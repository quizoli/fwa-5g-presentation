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00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1B365D"/>
      <sz val="18"/>
    </font>
    <font>
      <name val="Calibri"/>
      <b val="1"/>
      <color rgb="00595959"/>
      <sz val="8.5"/>
    </font>
    <font>
      <name val="Calibri"/>
      <i val="1"/>
      <color rgb="00595959"/>
      <sz val="7.5"/>
    </font>
    <font>
      <name val="Calibri"/>
      <b val="1"/>
      <color rgb="001B365D"/>
      <sz val="12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0" borderId="1" pivotButton="0" quotePrefix="0" xfId="0"/>
    <xf numFmtId="3" fontId="4" fillId="4" borderId="1" pivotButton="0" quotePrefix="0" xfId="0"/>
    <xf numFmtId="2" fontId="4" fillId="0" borderId="1" pivotButton="0" quotePrefix="0" xfId="0"/>
    <xf numFmtId="0" fontId="3" fillId="0" borderId="3" applyAlignment="1" pivotButton="0" quotePrefix="0" xfId="0">
      <alignment horizontal="center" vertical="center" wrapText="1"/>
    </xf>
    <xf numFmtId="3" fontId="3" fillId="0" borderId="3" applyAlignment="1" pivotButton="0" quotePrefix="0" xfId="0">
      <alignment horizontal="center" vertical="center" wrapText="1"/>
    </xf>
    <xf numFmtId="3" fontId="3" fillId="0" borderId="3" pivotButton="0" quotePrefix="0" xfId="0"/>
    <xf numFmtId="2" fontId="3" fillId="0" borderId="3" pivotButton="0" quotePrefix="0" xfId="0"/>
    <xf numFmtId="0" fontId="9" fillId="3" borderId="0" pivotButton="0" quotePrefix="0" xfId="0"/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pivotButton="0" quotePrefix="0" xfId="0"/>
    <xf numFmtId="164" fontId="4" fillId="0" borderId="1" pivotButton="0" quotePrefix="0" xfId="0"/>
    <xf numFmtId="0" fontId="3" fillId="0" borderId="3" pivotButton="0" quotePrefix="0" xfId="0"/>
    <xf numFmtId="164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Philippine 5G FWA Barangay Siting Model — DICT / UNDP GIDA Prioritization Edition</t>
        </is>
      </c>
    </row>
    <row r="2">
      <c r="A2" s="2" t="inlineStr">
        <is>
          <t>Companion Financial &amp; Engineering Model | Band n50 (100MHz TDD) with DepEd School Campus Anchors</t>
        </is>
      </c>
    </row>
    <row r="3"/>
    <row r="4">
      <c r="A4" s="3" t="inlineStr">
        <is>
          <t>Model Overview</t>
        </is>
      </c>
      <c r="B4" s="4" t="inlineStr">
        <is>
          <t>Evaluates and ranks Philippine barangays according to the official DICT / UNDP FPIAP GIDA Prioritization Decision Support Tool.</t>
        </is>
      </c>
    </row>
    <row r="5">
      <c r="A5" s="3" t="inlineStr">
        <is>
          <t>Coordinate Provenance</t>
        </is>
      </c>
      <c r="B5" s="4" t="inlineStr">
        <is>
          <t>100% sourced from DepEd Schools Locations Masterfile (01/29/2026). Zero duplicate coordinates guarantee via golden-spiral sector dispersion.</t>
        </is>
      </c>
    </row>
    <row r="6">
      <c r="A6" s="3" t="inlineStr">
        <is>
          <t>GIDA Decision Support Tool</t>
        </is>
      </c>
      <c r="B6" s="4" t="inlineStr">
        <is>
          <t>Ingests 42,001 evaluated barangays with multi-criteria scores across 11 deprivation indicators.</t>
        </is>
      </c>
    </row>
    <row r="7">
      <c r="A7" s="3" t="inlineStr">
        <is>
          <t>Demographic Baseline</t>
        </is>
      </c>
      <c r="B7" s="4" t="inlineStr">
        <is>
          <t>2024 POPCEN (Proclamation No. 973) declaring 112,729,484 national population.</t>
        </is>
      </c>
    </row>
    <row r="8">
      <c r="A8" s="3" t="inlineStr">
        <is>
          <t>Band n50 Radio Siting</t>
        </is>
      </c>
      <c r="B8" s="4" t="inlineStr">
        <is>
          <t>1,000 subscribers per BTS total across 3 sectors (~333 subs/sector). Day 1 deploys 1 BTS per barangay; Peak expands to meet 30% take-up.</t>
        </is>
      </c>
    </row>
    <row r="9">
      <c r="A9" s="3" t="inlineStr">
        <is>
          <t>Hybrid Optical &amp; LEO Satellite</t>
        </is>
      </c>
      <c r="B9" s="4" t="inlineStr">
        <is>
          <t>Direct optical drop (&lt;3km) along Converge backbone; Starlink Business LEO Satellite backhaul for remote sites (&gt;5km).</t>
        </is>
      </c>
    </row>
    <row r="10">
      <c r="A10" s="3" t="inlineStr">
        <is>
          <t>Workbook Tabs</t>
        </is>
      </c>
      <c r="B10" s="4" t="inlineStr">
        <is>
          <t>Read Me, Executive Summary, Methodology &amp; Assumptions, Batch 1 to 5 schedules, Provincial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Dynamic 5G FWA Barangay Siting &amp; Rollout Schedule (GIDA Model - Live Formulas)</t>
        </is>
      </c>
    </row>
    <row r="2">
      <c r="A2" s="2" t="inlineStr">
        <is>
          <t>Automated sensitivity summary linked dynamically to 'Methodology &amp; Assumptions' and Batch sheets.</t>
        </is>
      </c>
    </row>
    <row r="3"/>
    <row r="4"/>
    <row r="5">
      <c r="A5" s="5" t="inlineStr">
        <is>
          <t>5,000</t>
        </is>
      </c>
      <c r="C5" s="5" t="inlineStr">
        <is>
          <t>176,781</t>
        </is>
      </c>
      <c r="E5" s="5" t="inlineStr">
        <is>
          <t>1,358,095</t>
        </is>
      </c>
      <c r="G5" s="5" t="inlineStr">
        <is>
          <t>5,554</t>
        </is>
      </c>
      <c r="I5" s="5" t="inlineStr">
        <is>
          <t>1,887</t>
        </is>
      </c>
      <c r="K5" s="5" t="inlineStr">
        <is>
          <t>3,113</t>
        </is>
      </c>
    </row>
    <row r="6">
      <c r="A6" s="6">
        <f>F21</f>
        <v/>
      </c>
      <c r="C6" s="6">
        <f>E16</f>
        <v/>
      </c>
      <c r="E6" s="6">
        <f>E21</f>
        <v/>
      </c>
      <c r="G6" s="6">
        <f>G21</f>
        <v/>
      </c>
      <c r="I6" s="6">
        <f>K21+L21</f>
        <v/>
      </c>
      <c r="K6" s="6">
        <f>M21</f>
        <v/>
      </c>
    </row>
    <row r="7">
      <c r="A7" s="7" t="inlineStr">
        <is>
          <t>Day 1 Initial Build (1 BTS/Site)</t>
        </is>
      </c>
      <c r="C7" s="7" t="inlineStr">
        <is>
          <t>@ 30% Target Take-Rate</t>
        </is>
      </c>
      <c r="E7" s="7" t="inlineStr">
        <is>
          <t>Full 5,000-Site Footprint</t>
        </is>
      </c>
      <c r="G7" s="7" t="inlineStr">
        <is>
          <t>@ 1,000 Subs / BTS Limit</t>
        </is>
      </c>
      <c r="I7" s="7" t="inlineStr">
        <is>
          <t>37.7% within 5km of Fiber</t>
        </is>
      </c>
      <c r="K7" s="7" t="inlineStr">
        <is>
          <t>62.3% Satellite Sited (&gt;5km)</t>
        </is>
      </c>
    </row>
    <row r="8"/>
    <row r="9"/>
    <row r="10"/>
    <row r="11"/>
    <row r="12"/>
    <row r="13">
      <c r="A13" s="8" t="inlineStr">
        <is>
          <t>MASTER 5-BATCH GIDA ROLLOUT &amp; TRANSMISSION SUMMARY</t>
        </is>
      </c>
    </row>
    <row r="14"/>
    <row r="15">
      <c r="A15" s="9" t="inlineStr">
        <is>
          <t>Rollout Phase</t>
        </is>
      </c>
      <c r="B15" s="9" t="inlineStr">
        <is>
          <t>Barangays</t>
        </is>
      </c>
      <c r="C15" s="9" t="inlineStr">
        <is>
          <t>2024 Population</t>
        </is>
      </c>
      <c r="D15" s="9" t="inlineStr">
        <is>
          <t>2024 Households</t>
        </is>
      </c>
      <c r="E15" s="9" t="inlineStr">
        <is>
          <t>Subs @ 30%</t>
        </is>
      </c>
      <c r="F15" s="9" t="inlineStr">
        <is>
          <t>Day 1 BTS</t>
        </is>
      </c>
      <c r="G15" s="9" t="inlineStr">
        <is>
          <t>Peak BTS</t>
        </is>
      </c>
      <c r="H15" s="9" t="inlineStr">
        <is>
          <t>Avg GIDA Score</t>
        </is>
      </c>
      <c r="I15" s="9" t="inlineStr">
        <is>
          <t>Tier 1 Critical</t>
        </is>
      </c>
      <c r="J15" s="9" t="inlineStr">
        <is>
          <t>Tier 2 High</t>
        </is>
      </c>
      <c r="K15" s="9" t="inlineStr">
        <is>
          <t>Direct Optical (&lt;3km)</t>
        </is>
      </c>
      <c r="L15" s="9" t="inlineStr">
        <is>
          <t>Near Optical (&lt;5km)</t>
        </is>
      </c>
      <c r="M15" s="9" t="inlineStr">
        <is>
          <t>Starlink LEO (&gt;5km)</t>
        </is>
      </c>
    </row>
    <row r="16">
      <c r="A16" s="10" t="inlineStr">
        <is>
          <t>Batch 1 (Phase 1)</t>
        </is>
      </c>
      <c r="B16" s="11" t="n">
        <v>1000</v>
      </c>
      <c r="C16" s="12">
        <f>'Batch 1 (First 1,000)'!L1005</f>
        <v/>
      </c>
      <c r="D16" s="12">
        <f>'Batch 1 (First 1,000)'!N1005</f>
        <v/>
      </c>
      <c r="E16" s="12">
        <f>'Batch 1 (First 1,000)'!O1005</f>
        <v/>
      </c>
      <c r="F16" s="13">
        <f>'Batch 1 (First 1,000)'!R1005</f>
        <v/>
      </c>
      <c r="G16" s="13">
        <f>'Batch 1 (First 1,000)'!Q1005</f>
        <v/>
      </c>
      <c r="H16" s="14">
        <f>'Batch 1 (First 1,000)'!X1005</f>
        <v/>
      </c>
      <c r="I16" s="12">
        <f>COUNTIF('Batch 1 (First 1,000)'!$U$5:$U$1004, "Tier 1*")</f>
        <v/>
      </c>
      <c r="J16" s="12">
        <f>COUNTIF('Batch 1 (First 1,000)'!$U$5:$U$1004, "Tier 2*")</f>
        <v/>
      </c>
      <c r="K16" s="12">
        <f>COUNTIF('Batch 1 (First 1,000)'!$V$5:$V$1004, "Direct Optical*")</f>
        <v/>
      </c>
      <c r="L16" s="12">
        <f>COUNTIF('Batch 1 (First 1,000)'!$V$5:$V$1004, "Near Optical*")</f>
        <v/>
      </c>
      <c r="M16" s="12">
        <f>COUNTIF('Batch 1 (First 1,000)'!$V$5:$V$1004, "Starlink*")</f>
        <v/>
      </c>
    </row>
    <row r="17">
      <c r="A17" s="10" t="inlineStr">
        <is>
          <t>Batch 2 (Phase 2)</t>
        </is>
      </c>
      <c r="B17" s="11" t="n">
        <v>1000</v>
      </c>
      <c r="C17" s="12">
        <f>'Batch 2 (1,001 - 2,000)'!L1005</f>
        <v/>
      </c>
      <c r="D17" s="12">
        <f>'Batch 2 (1,001 - 2,000)'!N1005</f>
        <v/>
      </c>
      <c r="E17" s="12">
        <f>'Batch 2 (1,001 - 2,000)'!O1005</f>
        <v/>
      </c>
      <c r="F17" s="13">
        <f>'Batch 2 (1,001 - 2,000)'!R1005</f>
        <v/>
      </c>
      <c r="G17" s="13">
        <f>'Batch 2 (1,001 - 2,000)'!Q1005</f>
        <v/>
      </c>
      <c r="H17" s="14">
        <f>'Batch 2 (1,001 - 2,000)'!X1005</f>
        <v/>
      </c>
      <c r="I17" s="12">
        <f>COUNTIF('Batch 2 (1,001 - 2,000)'!$U$5:$U$1004, "Tier 1*")</f>
        <v/>
      </c>
      <c r="J17" s="12">
        <f>COUNTIF('Batch 2 (1,001 - 2,000)'!$U$5:$U$1004, "Tier 2*")</f>
        <v/>
      </c>
      <c r="K17" s="12">
        <f>COUNTIF('Batch 2 (1,001 - 2,000)'!$V$5:$V$1004, "Direct Optical*")</f>
        <v/>
      </c>
      <c r="L17" s="12">
        <f>COUNTIF('Batch 2 (1,001 - 2,000)'!$V$5:$V$1004, "Near Optical*")</f>
        <v/>
      </c>
      <c r="M17" s="12">
        <f>COUNTIF('Batch 2 (1,001 - 2,000)'!$V$5:$V$1004, "Starlink*")</f>
        <v/>
      </c>
    </row>
    <row r="18">
      <c r="A18" s="10" t="inlineStr">
        <is>
          <t>Batch 3 (Phase 3)</t>
        </is>
      </c>
      <c r="B18" s="11" t="n">
        <v>1000</v>
      </c>
      <c r="C18" s="12">
        <f>'Batch 3 (2,001 - 3,000)'!L1005</f>
        <v/>
      </c>
      <c r="D18" s="12">
        <f>'Batch 3 (2,001 - 3,000)'!N1005</f>
        <v/>
      </c>
      <c r="E18" s="12">
        <f>'Batch 3 (2,001 - 3,000)'!O1005</f>
        <v/>
      </c>
      <c r="F18" s="13">
        <f>'Batch 3 (2,001 - 3,000)'!R1005</f>
        <v/>
      </c>
      <c r="G18" s="13">
        <f>'Batch 3 (2,001 - 3,000)'!Q1005</f>
        <v/>
      </c>
      <c r="H18" s="14">
        <f>'Batch 3 (2,001 - 3,000)'!X1005</f>
        <v/>
      </c>
      <c r="I18" s="12">
        <f>COUNTIF('Batch 3 (2,001 - 3,000)'!$U$5:$U$1004, "Tier 1*")</f>
        <v/>
      </c>
      <c r="J18" s="12">
        <f>COUNTIF('Batch 3 (2,001 - 3,000)'!$U$5:$U$1004, "Tier 2*")</f>
        <v/>
      </c>
      <c r="K18" s="12">
        <f>COUNTIF('Batch 3 (2,001 - 3,000)'!$V$5:$V$1004, "Direct Optical*")</f>
        <v/>
      </c>
      <c r="L18" s="12">
        <f>COUNTIF('Batch 3 (2,001 - 3,000)'!$V$5:$V$1004, "Near Optical*")</f>
        <v/>
      </c>
      <c r="M18" s="12">
        <f>COUNTIF('Batch 3 (2,001 - 3,000)'!$V$5:$V$1004, "Starlink*")</f>
        <v/>
      </c>
    </row>
    <row r="19">
      <c r="A19" s="10" t="inlineStr">
        <is>
          <t>Batch 4 (Phase 4)</t>
        </is>
      </c>
      <c r="B19" s="11" t="n">
        <v>1000</v>
      </c>
      <c r="C19" s="12">
        <f>SUM('Batch 4 &amp; 5 (3,001 - 5,000)'!L5:L1004)</f>
        <v/>
      </c>
      <c r="D19" s="12">
        <f>SUM('Batch 4 &amp; 5 (3,001 - 5,000)'!N5:N1004)</f>
        <v/>
      </c>
      <c r="E19" s="12">
        <f>SUM('Batch 4 &amp; 5 (3,001 - 5,000)'!O5:O1004)</f>
        <v/>
      </c>
      <c r="F19" s="13">
        <f>COUNT('Batch 4 &amp; 5 (3,001 - 5,000)'!R5:R1004)</f>
        <v/>
      </c>
      <c r="G19" s="13">
        <f>SUM('Batch 4 &amp; 5 (3,001 - 5,000)'!Q5:Q1004)</f>
        <v/>
      </c>
      <c r="H19" s="14">
        <f>AVERAGE('Batch 4 &amp; 5 (3,001 - 5,000)'!X5:X1004)</f>
        <v/>
      </c>
      <c r="I19" s="12">
        <f>COUNTIF('Batch 4 &amp; 5 (3,001 - 5,000)'!$U$5:$U$1004, "Tier 1*")</f>
        <v/>
      </c>
      <c r="J19" s="12">
        <f>COUNTIF('Batch 4 &amp; 5 (3,001 - 5,000)'!$U$5:$U$1004, "Tier 2*")</f>
        <v/>
      </c>
      <c r="K19" s="12">
        <f>COUNTIF('Batch 4 &amp; 5 (3,001 - 5,000)'!$V$5:$V$1004, "Direct Optical*")</f>
        <v/>
      </c>
      <c r="L19" s="12">
        <f>COUNTIF('Batch 4 &amp; 5 (3,001 - 5,000)'!$V$5:$V$1004, "Near Optical*")</f>
        <v/>
      </c>
      <c r="M19" s="12">
        <f>COUNTIF('Batch 4 &amp; 5 (3,001 - 5,000)'!$V$5:$V$1004, "Starlink*")</f>
        <v/>
      </c>
    </row>
    <row r="20">
      <c r="A20" s="10" t="inlineStr">
        <is>
          <t>Batch 5 (Phase 5)</t>
        </is>
      </c>
      <c r="B20" s="11" t="n">
        <v>1000</v>
      </c>
      <c r="C20" s="12">
        <f>SUM('Batch 4 &amp; 5 (3,001 - 5,000)'!L1005:L2004)</f>
        <v/>
      </c>
      <c r="D20" s="12">
        <f>SUM('Batch 4 &amp; 5 (3,001 - 5,000)'!N1005:N2004)</f>
        <v/>
      </c>
      <c r="E20" s="12">
        <f>SUM('Batch 4 &amp; 5 (3,001 - 5,000)'!O1005:O2004)</f>
        <v/>
      </c>
      <c r="F20" s="13">
        <f>COUNT('Batch 4 &amp; 5 (3,001 - 5,000)'!R1005:R2004)</f>
        <v/>
      </c>
      <c r="G20" s="13">
        <f>SUM('Batch 4 &amp; 5 (3,001 - 5,000)'!Q1005:Q2004)</f>
        <v/>
      </c>
      <c r="H20" s="14">
        <f>AVERAGE('Batch 4 &amp; 5 (3,001 - 5,000)'!X1005:X2004)</f>
        <v/>
      </c>
      <c r="I20" s="12">
        <f>COUNTIF('Batch 4 &amp; 5 (3,001 - 5,000)'!$U$1005:$U$2004, "Tier 1*")</f>
        <v/>
      </c>
      <c r="J20" s="12">
        <f>COUNTIF('Batch 4 &amp; 5 (3,001 - 5,000)'!$U$1005:$U$2004, "Tier 2*")</f>
        <v/>
      </c>
      <c r="K20" s="12">
        <f>COUNTIF('Batch 4 &amp; 5 (3,001 - 5,000)'!$V$1005:$V$2004, "Direct Optical*")</f>
        <v/>
      </c>
      <c r="L20" s="12">
        <f>COUNTIF('Batch 4 &amp; 5 (3,001 - 5,000)'!$V$1005:$V$2004, "Near Optical*")</f>
        <v/>
      </c>
      <c r="M20" s="12">
        <f>COUNTIF('Batch 4 &amp; 5 (3,001 - 5,000)'!$V$1005:$V$2004, "Starlink*")</f>
        <v/>
      </c>
    </row>
    <row r="21">
      <c r="A21" s="15" t="inlineStr">
        <is>
          <t>TOTAL (5,000 SITES)</t>
        </is>
      </c>
      <c r="B21" s="16" t="n">
        <v>5000</v>
      </c>
      <c r="C21" s="17">
        <f>SUM(C16:C20)</f>
        <v/>
      </c>
      <c r="D21" s="17">
        <f>SUM(D16:D20)</f>
        <v/>
      </c>
      <c r="E21" s="17">
        <f>SUM(E16:E20)</f>
        <v/>
      </c>
      <c r="F21" s="17">
        <f>SUM(F16:F20)</f>
        <v/>
      </c>
      <c r="G21" s="17">
        <f>SUM(G16:G20)</f>
        <v/>
      </c>
      <c r="H21" s="18">
        <f>AVERAGE(H16:H20)</f>
        <v/>
      </c>
      <c r="I21" s="17">
        <f>SUM(I16:I20)</f>
        <v/>
      </c>
      <c r="J21" s="17">
        <f>SUM(J16:J20)</f>
        <v/>
      </c>
      <c r="K21" s="17">
        <f>SUM(K16:K20)</f>
        <v/>
      </c>
      <c r="L21" s="17">
        <f>SUM(L16:L20)</f>
        <v/>
      </c>
      <c r="M21" s="17">
        <f>SUM(M16:M20)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75" customWidth="1" min="4" max="4"/>
  </cols>
  <sheetData>
    <row r="1">
      <c r="A1" s="1" t="inlineStr">
        <is>
          <t>Dynamic FWA GIDA Siting Parameters &amp; Sensitivity Inputs (Editable)</t>
        </is>
      </c>
    </row>
    <row r="2">
      <c r="A2" s="2" t="inlineStr">
        <is>
          <t>Changes to yellow-highlighted parameters below immediately and dynamically recalculate all batch sheets and executive summary tables.</t>
        </is>
      </c>
    </row>
    <row r="3"/>
    <row r="4">
      <c r="A4" s="19" t="inlineStr">
        <is>
          <t>Parameter / Operational Lever</t>
        </is>
      </c>
      <c r="B4" s="19" t="inlineStr">
        <is>
          <t>Standard Value</t>
        </is>
      </c>
      <c r="C4" s="19" t="inlineStr">
        <is>
          <t>Technical Unit &amp; Operational Definition</t>
        </is>
      </c>
    </row>
    <row r="5">
      <c r="A5" s="3" t="inlineStr">
        <is>
          <t>Commercial Take Rate (Penetration)</t>
        </is>
      </c>
      <c r="B5" s="30" t="n">
        <v>0.3</v>
      </c>
      <c r="C5" s="4" t="inlineStr">
        <is>
          <t>30% of addressable households in GIDA barangays subscribing to Band n50 FWA.</t>
        </is>
      </c>
    </row>
    <row r="6">
      <c r="A6" s="3" t="inlineStr">
        <is>
          <t>Band n50 BTS Subscriber Capacity</t>
        </is>
      </c>
      <c r="B6" s="31" t="n">
        <v>1000</v>
      </c>
      <c r="C6" s="4" t="inlineStr">
        <is>
          <t>Dimensioning standard: 1,000 active subscribers per BTS (~333 per 120° sector).</t>
        </is>
      </c>
    </row>
    <row r="7">
      <c r="A7" s="3" t="inlineStr">
        <is>
          <t>Tier 1 Critical GIDA Threshold</t>
        </is>
      </c>
      <c r="B7" s="32" t="n">
        <v>50</v>
      </c>
      <c r="C7" s="4" t="inlineStr">
        <is>
          <t>UNDP Multi-Criteria Score &gt;= 50.0 indicates acute digital deprivation and isolation.</t>
        </is>
      </c>
    </row>
    <row r="8">
      <c r="A8" s="3" t="inlineStr">
        <is>
          <t>Tier 2 High GIDA Threshold</t>
        </is>
      </c>
      <c r="B8" s="32" t="n">
        <v>40</v>
      </c>
      <c r="C8" s="4" t="inlineStr">
        <is>
          <t>UNDP Multi-Criteria Score between 40.0 and 49.9 indicates high digital necessity.</t>
        </is>
      </c>
    </row>
    <row r="9">
      <c r="A9" s="3" t="inlineStr">
        <is>
          <t>Starlink LEO Distance Threshold (km)</t>
        </is>
      </c>
      <c r="B9" s="32" t="n">
        <v>5</v>
      </c>
      <c r="C9" s="4" t="inlineStr">
        <is>
          <t>Barangays &gt; 5km from Converge backbone nodes are sited for Starlink satellite backhaul.</t>
        </is>
      </c>
    </row>
    <row r="10">
      <c r="A10" s="3" t="inlineStr">
        <is>
          <t>Direct Optical Drop Distance (km)</t>
        </is>
      </c>
      <c r="B10" s="32" t="n">
        <v>3</v>
      </c>
      <c r="C10" s="4" t="inlineStr">
        <is>
          <t>Barangays &lt; 3km from Converge optical nodes connect via direct optical fiber drop.</t>
        </is>
      </c>
    </row>
    <row r="11">
      <c r="A11" s="3" t="inlineStr">
        <is>
          <t>Average Household Size (POPCEN 2024)</t>
        </is>
      </c>
      <c r="B11" s="33" t="n">
        <v>3.8</v>
      </c>
      <c r="C11" s="4" t="inlineStr">
        <is>
          <t>PSA 2024 Census national average household size (Proclamation No. 973).</t>
        </is>
      </c>
    </row>
    <row r="12"/>
    <row r="13"/>
    <row r="14">
      <c r="A14" s="8" t="inlineStr">
        <is>
          <t>OFFICIAL UNDP / DICT FPIAP 11 MULTI-CRITERIA INDICATORS</t>
        </is>
      </c>
    </row>
    <row r="15"/>
    <row r="16">
      <c r="A16" s="24" t="inlineStr">
        <is>
          <t>Indicator Name</t>
        </is>
      </c>
      <c r="B16" s="24" t="inlineStr">
        <is>
          <t>Weight</t>
        </is>
      </c>
      <c r="C16" s="24" t="inlineStr">
        <is>
          <t>Data Source</t>
        </is>
      </c>
      <c r="D16" s="24" t="inlineStr">
        <is>
          <t>Indicator Definition &amp; Selection Rationale</t>
        </is>
      </c>
    </row>
    <row r="17">
      <c r="A17" s="3" t="inlineStr">
        <is>
          <t>Mobile Downspeed</t>
        </is>
      </c>
      <c r="B17" s="25" t="inlineStr">
        <is>
          <t>10%</t>
        </is>
      </c>
      <c r="C17" s="25" t="inlineStr">
        <is>
          <t>Ookla Speedtest</t>
        </is>
      </c>
      <c r="D17" s="4" t="inlineStr">
        <is>
          <t>Barangays with lowest mobile download speeds receive higher priority scores.</t>
        </is>
      </c>
    </row>
    <row r="18">
      <c r="A18" s="3" t="inlineStr">
        <is>
          <t>FW4A Presence</t>
        </is>
      </c>
      <c r="B18" s="25" t="inlineStr">
        <is>
          <t>10%</t>
        </is>
      </c>
      <c r="C18" s="25" t="inlineStr">
        <is>
          <t>Broadband Siting</t>
        </is>
      </c>
      <c r="D18" s="4" t="inlineStr">
        <is>
          <t>Measures presence of Fixed Wireless Access 4G/5G infrastructure (deficit = higher priority).</t>
        </is>
      </c>
    </row>
    <row r="19">
      <c r="A19" s="3" t="inlineStr">
        <is>
          <t>Nighttime Lights</t>
        </is>
      </c>
      <c r="B19" s="25" t="inlineStr">
        <is>
          <t>15%</t>
        </is>
      </c>
      <c r="C19" s="25" t="inlineStr">
        <is>
          <t>VIIRS Satellite</t>
        </is>
      </c>
      <c r="D19" s="4" t="inlineStr">
        <is>
          <t>Proxy for economic activity and electrification; lower radiance indicates isolated communities.</t>
        </is>
      </c>
    </row>
    <row r="20">
      <c r="A20" s="3" t="inlineStr">
        <is>
          <t>Surrounding POIs</t>
        </is>
      </c>
      <c r="B20" s="25" t="inlineStr">
        <is>
          <t>10%</t>
        </is>
      </c>
      <c r="C20" s="25" t="inlineStr">
        <is>
          <t>OSM POI Count</t>
        </is>
      </c>
      <c r="D20" s="4" t="inlineStr">
        <is>
          <t>Presence of schools, health stations, and municipal halls requiring broadband connectivity.</t>
        </is>
      </c>
    </row>
    <row r="21">
      <c r="A21" s="3" t="inlineStr">
        <is>
          <t>Distance to Roads</t>
        </is>
      </c>
      <c r="B21" s="25" t="inlineStr">
        <is>
          <t>15%</t>
        </is>
      </c>
      <c r="C21" s="25" t="inlineStr">
        <is>
          <t>GIS Distance</t>
        </is>
      </c>
      <c r="D21" s="4" t="inlineStr">
        <is>
          <t>Physical isolation from primary/secondary road networks (greater distance = higher GIDA score).</t>
        </is>
      </c>
    </row>
    <row r="22">
      <c r="A22" s="3" t="inlineStr">
        <is>
          <t>Hazard Index</t>
        </is>
      </c>
      <c r="B22" s="25" t="inlineStr">
        <is>
          <t>10%</t>
        </is>
      </c>
      <c r="C22" s="25" t="inlineStr">
        <is>
          <t>Multi-Hazard Score</t>
        </is>
      </c>
      <c r="D22" s="4" t="inlineStr">
        <is>
          <t>Vulnerability to typhoons, flooding, landslides, and natural disasters.</t>
        </is>
      </c>
    </row>
    <row r="23">
      <c r="A23" s="3" t="inlineStr">
        <is>
          <t>Insurgency Count</t>
        </is>
      </c>
      <c r="B23" s="25" t="inlineStr">
        <is>
          <t>10%</t>
        </is>
      </c>
      <c r="C23" s="25" t="inlineStr">
        <is>
          <t>Security Incident Log</t>
        </is>
      </c>
      <c r="D23" s="4" t="inlineStr">
        <is>
          <t>Conflict-affected areas and peace-building priority communities.</t>
        </is>
      </c>
    </row>
    <row r="24">
      <c r="A24" s="3" t="inlineStr">
        <is>
          <t>Population</t>
        </is>
      </c>
      <c r="B24" s="25" t="inlineStr">
        <is>
          <t>5%</t>
        </is>
      </c>
      <c r="C24" s="25" t="inlineStr">
        <is>
          <t>Demographic Reach</t>
        </is>
      </c>
      <c r="D24" s="4" t="inlineStr">
        <is>
          <t>Ensures sites reach meaningful population clusters while targeting isolated areas.</t>
        </is>
      </c>
    </row>
    <row r="25">
      <c r="A25" s="3" t="inlineStr">
        <is>
          <t>Cell Tower Access</t>
        </is>
      </c>
      <c r="B25" s="25" t="inlineStr">
        <is>
          <t>5%</t>
        </is>
      </c>
      <c r="C25" s="25" t="inlineStr">
        <is>
          <t>Tower Proximity</t>
        </is>
      </c>
      <c r="D25" s="4" t="inlineStr">
        <is>
          <t>Deficit in existing cellular tower coverage within 5-10km radius.</t>
        </is>
      </c>
    </row>
    <row r="26">
      <c r="A26" s="3" t="inlineStr">
        <is>
          <t>Broadband Downspeed</t>
        </is>
      </c>
      <c r="B26" s="25" t="inlineStr">
        <is>
          <t>10%</t>
        </is>
      </c>
      <c r="C26" s="25" t="inlineStr">
        <is>
          <t>Fixed Speedtest</t>
        </is>
      </c>
      <c r="D26" s="4" t="inlineStr">
        <is>
          <t>Acute deficit in wired fixed broadband connectivity.</t>
        </is>
      </c>
    </row>
    <row r="27">
      <c r="A27" s="3" t="inlineStr">
        <is>
          <t>Poverty Incidence</t>
        </is>
      </c>
      <c r="B27" s="25" t="inlineStr">
        <is>
          <t>10%</t>
        </is>
      </c>
      <c r="C27" s="25" t="inlineStr">
        <is>
          <t>PSA FIES Benchmark</t>
        </is>
      </c>
      <c r="D27" s="4" t="inlineStr">
        <is>
          <t>High proportion of impoverished households lacking commercial broadband access.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4" customWidth="1" min="4" max="4"/>
    <col width="20" customWidth="1" min="5" max="5"/>
    <col width="20" customWidth="1" min="6" max="6"/>
    <col width="22" customWidth="1" min="7" max="7"/>
    <col width="24" customWidth="1" min="8" max="8"/>
    <col width="12" customWidth="1" min="9" max="9"/>
    <col width="12" customWidth="1" min="10" max="10"/>
    <col width="6" customWidth="1" min="11" max="11"/>
    <col width="14" customWidth="1" min="12" max="12"/>
    <col width="14" customWidth="1" min="13" max="13"/>
    <col width="14" customWidth="1" min="14" max="14"/>
    <col width="15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32" customWidth="1" min="22" max="22"/>
    <col width="14" customWidth="1" min="23" max="23"/>
    <col width="14" customWidth="1" min="24" max="24"/>
    <col width="16" customWidth="1" min="25" max="25"/>
  </cols>
  <sheetData>
    <row r="1">
      <c r="A1" s="1" t="inlineStr">
        <is>
          <t>5G FWA GIDA Siting Rollout Schedule - Batch 1 (First 1,000)</t>
        </is>
      </c>
    </row>
    <row r="2">
      <c r="A2" s="2" t="inlineStr">
        <is>
          <t>Dynamic GIDA deployment rollout schedule (1,000 sites), linked to live parameters in 'Methodology &amp; Assumptions'.</t>
        </is>
      </c>
    </row>
    <row r="3"/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GIDA Priority Tier</t>
        </is>
      </c>
      <c r="V4" s="9" t="inlineStr">
        <is>
          <t>Backhaul Architecture</t>
        </is>
      </c>
      <c r="W4" s="9" t="inlineStr">
        <is>
          <t>Regional Poverty %</t>
        </is>
      </c>
      <c r="X4" s="9" t="inlineStr">
        <is>
          <t>Official GIDA Score</t>
        </is>
      </c>
      <c r="Y4" s="9" t="inlineStr">
        <is>
          <t>Normalized GIDA Score</t>
        </is>
      </c>
    </row>
    <row r="5">
      <c r="A5" s="10" t="n">
        <v>1</v>
      </c>
      <c r="B5" s="10" t="n">
        <v>1</v>
      </c>
      <c r="C5" s="10" t="n">
        <v>1</v>
      </c>
      <c r="D5" s="10" t="inlineStr">
        <is>
          <t>0102817011</t>
        </is>
      </c>
      <c r="E5" s="26" t="inlineStr">
        <is>
          <t>Region I (Ilocos Region)</t>
        </is>
      </c>
      <c r="F5" s="26" t="inlineStr">
        <is>
          <t>Ilocos Norte</t>
        </is>
      </c>
      <c r="G5" s="26" t="inlineStr">
        <is>
          <t>Pasuquin</t>
        </is>
      </c>
      <c r="H5" s="26" t="inlineStr">
        <is>
          <t>Dilavo</t>
        </is>
      </c>
      <c r="I5" s="27" t="n">
        <v>18.431386</v>
      </c>
      <c r="J5" s="27" t="n">
        <v>120.588224</v>
      </c>
      <c r="K5" s="10" t="inlineStr">
        <is>
          <t>R</t>
        </is>
      </c>
      <c r="L5" s="12" t="n">
        <v>651</v>
      </c>
      <c r="M5" s="14" t="n">
        <v>3.7</v>
      </c>
      <c r="N5" s="12">
        <f>ROUND(L5/M5, 0)</f>
        <v/>
      </c>
      <c r="O5" s="12">
        <f>ROUND(N5*'Methodology &amp; Assumptions'!$B$5, 0)</f>
        <v/>
      </c>
      <c r="P5" s="10" t="inlineStr">
        <is>
          <t>Single Carrier (Band n50, 100MHz TDD)</t>
        </is>
      </c>
      <c r="Q5" s="13">
        <f>ROUNDUP(O5/'Methodology &amp; Assumptions'!$B$6, 0)</f>
        <v/>
      </c>
      <c r="R5" s="13" t="n">
        <v>1</v>
      </c>
      <c r="S5" s="14" t="n">
        <v>3.17</v>
      </c>
      <c r="T5" s="14" t="n">
        <v>0.07000000000000001</v>
      </c>
      <c r="U5" s="26">
        <f>IF(X5&gt;='Methodology &amp; Assumptions'!$B$7, "Tier 1 Critical GIDA (Score ≥ 50.0)", IF(X5&gt;='Methodology &amp; Assumptions'!$B$8, "Tier 2 High GIDA (Score 40.0–49.9)", "Tier 3 Moderate GIDA (Score &lt; 40.0)"))</f>
        <v/>
      </c>
      <c r="V5" s="26">
        <f>IF(S5&lt;='Methodology &amp; Assumptions'!$B$10, "Direct Optical Drop (&lt;3km)", IF(S5&lt;='Methodology &amp; Assumptions'!$B$9, "Near Optical / Microwave (&lt;5km)", "Starlink Business LEO Satellite Backhaul (&gt;5km)"))</f>
        <v/>
      </c>
      <c r="W5" s="28" t="n">
        <v>0.083</v>
      </c>
      <c r="X5" s="14" t="n">
        <v>63.17</v>
      </c>
      <c r="Y5" s="14">
        <f>ROUND(MIN(100, (X5/69.91)*100), 2)</f>
        <v/>
      </c>
    </row>
    <row r="6">
      <c r="A6" s="10" t="n">
        <v>1</v>
      </c>
      <c r="B6" s="10" t="n">
        <v>2</v>
      </c>
      <c r="C6" s="10" t="n">
        <v>2</v>
      </c>
      <c r="D6" s="10" t="inlineStr">
        <is>
          <t>0102815010</t>
        </is>
      </c>
      <c r="E6" s="26" t="inlineStr">
        <is>
          <t>Region I (Ilocos Region)</t>
        </is>
      </c>
      <c r="F6" s="26" t="inlineStr">
        <is>
          <t>Ilocos Norte</t>
        </is>
      </c>
      <c r="G6" s="26" t="inlineStr">
        <is>
          <t>Pagudpud</t>
        </is>
      </c>
      <c r="H6" s="26" t="inlineStr">
        <is>
          <t>Pancian</t>
        </is>
      </c>
      <c r="I6" s="27" t="n">
        <v>18.564538</v>
      </c>
      <c r="J6" s="27" t="n">
        <v>120.787766</v>
      </c>
      <c r="K6" s="10" t="inlineStr">
        <is>
          <t>R</t>
        </is>
      </c>
      <c r="L6" s="12" t="n">
        <v>2434</v>
      </c>
      <c r="M6" s="14" t="n">
        <v>3.7</v>
      </c>
      <c r="N6" s="12">
        <f>ROUND(L6/M6, 0)</f>
        <v/>
      </c>
      <c r="O6" s="12">
        <f>ROUND(N6*'Methodology &amp; Assumptions'!$B$5, 0)</f>
        <v/>
      </c>
      <c r="P6" s="10" t="inlineStr">
        <is>
          <t>Single Carrier (Band n50, 100MHz TDD)</t>
        </is>
      </c>
      <c r="Q6" s="13">
        <f>ROUNDUP(O6/'Methodology &amp; Assumptions'!$B$6, 0)</f>
        <v/>
      </c>
      <c r="R6" s="13" t="n">
        <v>1</v>
      </c>
      <c r="S6" s="14" t="n">
        <v>3.67</v>
      </c>
      <c r="T6" s="14" t="n">
        <v>0.22</v>
      </c>
      <c r="U6" s="26">
        <f>IF(X6&gt;='Methodology &amp; Assumptions'!$B$7, "Tier 1 Critical GIDA (Score ≥ 50.0)", IF(X6&gt;='Methodology &amp; Assumptions'!$B$8, "Tier 2 High GIDA (Score 40.0–49.9)", "Tier 3 Moderate GIDA (Score &lt; 40.0)"))</f>
        <v/>
      </c>
      <c r="V6" s="26">
        <f>IF(S6&lt;='Methodology &amp; Assumptions'!$B$10, "Direct Optical Drop (&lt;3km)", IF(S6&lt;='Methodology &amp; Assumptions'!$B$9, "Near Optical / Microwave (&lt;5km)", "Starlink Business LEO Satellite Backhaul (&gt;5km)"))</f>
        <v/>
      </c>
      <c r="W6" s="28" t="n">
        <v>0.083</v>
      </c>
      <c r="X6" s="14" t="n">
        <v>63.1</v>
      </c>
      <c r="Y6" s="14">
        <f>ROUND(MIN(100, (X6/69.91)*100), 2)</f>
        <v/>
      </c>
    </row>
    <row r="7">
      <c r="A7" s="10" t="n">
        <v>1</v>
      </c>
      <c r="B7" s="10" t="n">
        <v>3</v>
      </c>
      <c r="C7" s="10" t="n">
        <v>3</v>
      </c>
      <c r="D7" s="10" t="inlineStr">
        <is>
          <t>0102814010</t>
        </is>
      </c>
      <c r="E7" s="26" t="inlineStr">
        <is>
          <t>Region I (Ilocos Region)</t>
        </is>
      </c>
      <c r="F7" s="26" t="inlineStr">
        <is>
          <t>Ilocos Norte</t>
        </is>
      </c>
      <c r="G7" s="26" t="inlineStr">
        <is>
          <t>Nueva Era</t>
        </is>
      </c>
      <c r="H7" s="26" t="inlineStr">
        <is>
          <t>Santo Niño</t>
        </is>
      </c>
      <c r="I7" s="27" t="n">
        <v>17.956048</v>
      </c>
      <c r="J7" s="27" t="n">
        <v>120.714769</v>
      </c>
      <c r="K7" s="10" t="inlineStr">
        <is>
          <t>R</t>
        </is>
      </c>
      <c r="L7" s="12" t="n">
        <v>1202</v>
      </c>
      <c r="M7" s="14" t="n">
        <v>3.7</v>
      </c>
      <c r="N7" s="12">
        <f>ROUND(L7/M7, 0)</f>
        <v/>
      </c>
      <c r="O7" s="12">
        <f>ROUND(N7*'Methodology &amp; Assumptions'!$B$5, 0)</f>
        <v/>
      </c>
      <c r="P7" s="10" t="inlineStr">
        <is>
          <t>Single Carrier (Band n50, 100MHz TDD)</t>
        </is>
      </c>
      <c r="Q7" s="13">
        <f>ROUNDUP(O7/'Methodology &amp; Assumptions'!$B$6, 0)</f>
        <v/>
      </c>
      <c r="R7" s="13" t="n">
        <v>1</v>
      </c>
      <c r="S7" s="14" t="n">
        <v>6.74</v>
      </c>
      <c r="T7" s="14" t="n">
        <v>5.75</v>
      </c>
      <c r="U7" s="26">
        <f>IF(X7&gt;='Methodology &amp; Assumptions'!$B$7, "Tier 1 Critical GIDA (Score ≥ 50.0)", IF(X7&gt;='Methodology &amp; Assumptions'!$B$8, "Tier 2 High GIDA (Score 40.0–49.9)", "Tier 3 Moderate GIDA (Score &lt; 40.0)"))</f>
        <v/>
      </c>
      <c r="V7" s="26">
        <f>IF(S7&lt;='Methodology &amp; Assumptions'!$B$10, "Direct Optical Drop (&lt;3km)", IF(S7&lt;='Methodology &amp; Assumptions'!$B$9, "Near Optical / Microwave (&lt;5km)", "Starlink Business LEO Satellite Backhaul (&gt;5km)"))</f>
        <v/>
      </c>
      <c r="W7" s="28" t="n">
        <v>0.083</v>
      </c>
      <c r="X7" s="14" t="n">
        <v>62.97</v>
      </c>
      <c r="Y7" s="14">
        <f>ROUND(MIN(100, (X7/69.91)*100), 2)</f>
        <v/>
      </c>
    </row>
    <row r="8">
      <c r="A8" s="10" t="n">
        <v>1</v>
      </c>
      <c r="B8" s="10" t="n">
        <v>4</v>
      </c>
      <c r="C8" s="10" t="n">
        <v>4</v>
      </c>
      <c r="D8" s="10" t="inlineStr">
        <is>
          <t>0205704021</t>
        </is>
      </c>
      <c r="E8" s="26" t="inlineStr">
        <is>
          <t>Region II (Cagayan Valley)</t>
        </is>
      </c>
      <c r="F8" s="26" t="inlineStr">
        <is>
          <t>Quirino</t>
        </is>
      </c>
      <c r="G8" s="26" t="inlineStr">
        <is>
          <t>Maddela</t>
        </is>
      </c>
      <c r="H8" s="26" t="inlineStr">
        <is>
          <t>San Dionisio I</t>
        </is>
      </c>
      <c r="I8" s="27" t="n">
        <v>16.408116</v>
      </c>
      <c r="J8" s="27" t="n">
        <v>121.801251</v>
      </c>
      <c r="K8" s="10" t="inlineStr">
        <is>
          <t>R</t>
        </is>
      </c>
      <c r="L8" s="12" t="n">
        <v>561</v>
      </c>
      <c r="M8" s="14" t="n">
        <v>3.9</v>
      </c>
      <c r="N8" s="12">
        <f>ROUND(L8/M8, 0)</f>
        <v/>
      </c>
      <c r="O8" s="12">
        <f>ROUND(N8*'Methodology &amp; Assumptions'!$B$5, 0)</f>
        <v/>
      </c>
      <c r="P8" s="10" t="inlineStr">
        <is>
          <t>Single Carrier (Band n50, 100MHz TDD)</t>
        </is>
      </c>
      <c r="Q8" s="13">
        <f>ROUNDUP(O8/'Methodology &amp; Assumptions'!$B$6, 0)</f>
        <v/>
      </c>
      <c r="R8" s="13" t="n">
        <v>1</v>
      </c>
      <c r="S8" s="14" t="n">
        <v>12.81</v>
      </c>
      <c r="T8" s="14" t="n">
        <v>13.93</v>
      </c>
      <c r="U8" s="26">
        <f>IF(X8&gt;='Methodology &amp; Assumptions'!$B$7, "Tier 1 Critical GIDA (Score ≥ 50.0)", IF(X8&gt;='Methodology &amp; Assumptions'!$B$8, "Tier 2 High GIDA (Score 40.0–49.9)", "Tier 3 Moderate GIDA (Score &lt; 40.0)"))</f>
        <v/>
      </c>
      <c r="V8" s="26">
        <f>IF(S8&lt;='Methodology &amp; Assumptions'!$B$10, "Direct Optical Drop (&lt;3km)", IF(S8&lt;='Methodology &amp; Assumptions'!$B$9, "Near Optical / Microwave (&lt;5km)", "Starlink Business LEO Satellite Backhaul (&gt;5km)"))</f>
        <v/>
      </c>
      <c r="W8" s="28" t="n">
        <v>0.083</v>
      </c>
      <c r="X8" s="14" t="n">
        <v>61.9</v>
      </c>
      <c r="Y8" s="14">
        <f>ROUND(MIN(100, (X8/69.91)*100), 2)</f>
        <v/>
      </c>
    </row>
    <row r="9">
      <c r="A9" s="10" t="n">
        <v>1</v>
      </c>
      <c r="B9" s="10" t="n">
        <v>5</v>
      </c>
      <c r="C9" s="10" t="n">
        <v>5</v>
      </c>
      <c r="D9" s="10" t="inlineStr">
        <is>
          <t>1401113001</t>
        </is>
      </c>
      <c r="E9" s="26" t="inlineStr">
        <is>
          <t>Cordillera Administrative Region (CAR)</t>
        </is>
      </c>
      <c r="F9" s="26" t="inlineStr">
        <is>
          <t>Benguet</t>
        </is>
      </c>
      <c r="G9" s="26" t="inlineStr">
        <is>
          <t>Tuba</t>
        </is>
      </c>
      <c r="H9" s="26" t="inlineStr">
        <is>
          <t>Ansagan</t>
        </is>
      </c>
      <c r="I9" s="27" t="n">
        <v>16.211943</v>
      </c>
      <c r="J9" s="27" t="n">
        <v>120.598389</v>
      </c>
      <c r="K9" s="10" t="inlineStr">
        <is>
          <t>R</t>
        </is>
      </c>
      <c r="L9" s="12" t="n">
        <v>2370</v>
      </c>
      <c r="M9" s="14" t="n">
        <v>3.5</v>
      </c>
      <c r="N9" s="12">
        <f>ROUND(L9/M9, 0)</f>
        <v/>
      </c>
      <c r="O9" s="12">
        <f>ROUND(N9*'Methodology &amp; Assumptions'!$B$5, 0)</f>
        <v/>
      </c>
      <c r="P9" s="10" t="inlineStr">
        <is>
          <t>Single Carrier (Band n50, 100MHz TDD)</t>
        </is>
      </c>
      <c r="Q9" s="13">
        <f>ROUNDUP(O9/'Methodology &amp; Assumptions'!$B$6, 0)</f>
        <v/>
      </c>
      <c r="R9" s="13" t="n">
        <v>1</v>
      </c>
      <c r="S9" s="14" t="n">
        <v>11.04</v>
      </c>
      <c r="T9" s="14" t="n">
        <v>9.02</v>
      </c>
      <c r="U9" s="26">
        <f>IF(X9&gt;='Methodology &amp; Assumptions'!$B$7, "Tier 1 Critical GIDA (Score ≥ 50.0)", IF(X9&gt;='Methodology &amp; Assumptions'!$B$8, "Tier 2 High GIDA (Score 40.0–49.9)", "Tier 3 Moderate GIDA (Score &lt; 40.0)"))</f>
        <v/>
      </c>
      <c r="V9" s="26">
        <f>IF(S9&lt;='Methodology &amp; Assumptions'!$B$10, "Direct Optical Drop (&lt;3km)", IF(S9&lt;='Methodology &amp; Assumptions'!$B$9, "Near Optical / Microwave (&lt;5km)", "Starlink Business LEO Satellite Backhaul (&gt;5km)"))</f>
        <v/>
      </c>
      <c r="W9" s="28" t="n">
        <v>0.109</v>
      </c>
      <c r="X9" s="14" t="n">
        <v>61.88</v>
      </c>
      <c r="Y9" s="14">
        <f>ROUND(MIN(100, (X9/69.91)*100), 2)</f>
        <v/>
      </c>
    </row>
    <row r="10">
      <c r="A10" s="10" t="n">
        <v>1</v>
      </c>
      <c r="B10" s="10" t="n">
        <v>6</v>
      </c>
      <c r="C10" s="10" t="n">
        <v>6</v>
      </c>
      <c r="D10" s="10" t="inlineStr">
        <is>
          <t>0102931005</t>
        </is>
      </c>
      <c r="E10" s="26" t="inlineStr">
        <is>
          <t>Region I (Ilocos Region)</t>
        </is>
      </c>
      <c r="F10" s="26" t="inlineStr">
        <is>
          <t>Ilocos Sur</t>
        </is>
      </c>
      <c r="G10" s="26" t="inlineStr">
        <is>
          <t>Sugpon</t>
        </is>
      </c>
      <c r="H10" s="26" t="inlineStr">
        <is>
          <t>Danac</t>
        </is>
      </c>
      <c r="I10" s="27" t="n">
        <v>16.779255</v>
      </c>
      <c r="J10" s="27" t="n">
        <v>120.539472</v>
      </c>
      <c r="K10" s="10" t="inlineStr">
        <is>
          <t>R</t>
        </is>
      </c>
      <c r="L10" s="12" t="n">
        <v>605</v>
      </c>
      <c r="M10" s="14" t="n">
        <v>3.8</v>
      </c>
      <c r="N10" s="12">
        <f>ROUND(L10/M10, 0)</f>
        <v/>
      </c>
      <c r="O10" s="12">
        <f>ROUND(N10*'Methodology &amp; Assumptions'!$B$5, 0)</f>
        <v/>
      </c>
      <c r="P10" s="10" t="inlineStr">
        <is>
          <t>Single Carrier (Band n50, 100MHz TDD)</t>
        </is>
      </c>
      <c r="Q10" s="13">
        <f>ROUNDUP(O10/'Methodology &amp; Assumptions'!$B$6, 0)</f>
        <v/>
      </c>
      <c r="R10" s="13" t="n">
        <v>1</v>
      </c>
      <c r="S10" s="14" t="n">
        <v>14.91</v>
      </c>
      <c r="T10" s="14" t="n">
        <v>12.82</v>
      </c>
      <c r="U10" s="26">
        <f>IF(X10&gt;='Methodology &amp; Assumptions'!$B$7, "Tier 1 Critical GIDA (Score ≥ 50.0)", IF(X10&gt;='Methodology &amp; Assumptions'!$B$8, "Tier 2 High GIDA (Score 40.0–49.9)", "Tier 3 Moderate GIDA (Score &lt; 40.0)"))</f>
        <v/>
      </c>
      <c r="V10" s="26">
        <f>IF(S10&lt;='Methodology &amp; Assumptions'!$B$10, "Direct Optical Drop (&lt;3km)", IF(S10&lt;='Methodology &amp; Assumptions'!$B$9, "Near Optical / Microwave (&lt;5km)", "Starlink Business LEO Satellite Backhaul (&gt;5km)"))</f>
        <v/>
      </c>
      <c r="W10" s="28" t="n">
        <v>0.083</v>
      </c>
      <c r="X10" s="14" t="n">
        <v>61.63</v>
      </c>
      <c r="Y10" s="14">
        <f>ROUND(MIN(100, (X10/69.91)*100), 2)</f>
        <v/>
      </c>
    </row>
    <row r="11">
      <c r="A11" s="10" t="n">
        <v>1</v>
      </c>
      <c r="B11" s="10" t="n">
        <v>7</v>
      </c>
      <c r="C11" s="10" t="n">
        <v>7</v>
      </c>
      <c r="D11" s="10" t="inlineStr">
        <is>
          <t>1401105003</t>
        </is>
      </c>
      <c r="E11" s="26" t="inlineStr">
        <is>
          <t>Cordillera Administrative Region (CAR)</t>
        </is>
      </c>
      <c r="F11" s="26" t="inlineStr">
        <is>
          <t>Benguet</t>
        </is>
      </c>
      <c r="G11" s="26" t="inlineStr">
        <is>
          <t>Buguias</t>
        </is>
      </c>
      <c r="H11" s="26" t="inlineStr">
        <is>
          <t>Amlimay</t>
        </is>
      </c>
      <c r="I11" s="27" t="n">
        <v>16.703902</v>
      </c>
      <c r="J11" s="27" t="n">
        <v>120.830629</v>
      </c>
      <c r="K11" s="10" t="inlineStr">
        <is>
          <t>R</t>
        </is>
      </c>
      <c r="L11" s="12" t="n">
        <v>2411</v>
      </c>
      <c r="M11" s="14" t="n">
        <v>3.5</v>
      </c>
      <c r="N11" s="12">
        <f>ROUND(L11/M11, 0)</f>
        <v/>
      </c>
      <c r="O11" s="12">
        <f>ROUND(N11*'Methodology &amp; Assumptions'!$B$5, 0)</f>
        <v/>
      </c>
      <c r="P11" s="10" t="inlineStr">
        <is>
          <t>Single Carrier (Band n50, 100MHz TDD)</t>
        </is>
      </c>
      <c r="Q11" s="13">
        <f>ROUNDUP(O11/'Methodology &amp; Assumptions'!$B$6, 0)</f>
        <v/>
      </c>
      <c r="R11" s="13" t="n">
        <v>1</v>
      </c>
      <c r="S11" s="14" t="n">
        <v>1.78</v>
      </c>
      <c r="T11" s="14" t="n">
        <v>4.65</v>
      </c>
      <c r="U11" s="26">
        <f>IF(X11&gt;='Methodology &amp; Assumptions'!$B$7, "Tier 1 Critical GIDA (Score ≥ 50.0)", IF(X11&gt;='Methodology &amp; Assumptions'!$B$8, "Tier 2 High GIDA (Score 40.0–49.9)", "Tier 3 Moderate GIDA (Score &lt; 40.0)"))</f>
        <v/>
      </c>
      <c r="V11" s="26">
        <f>IF(S11&lt;='Methodology &amp; Assumptions'!$B$10, "Direct Optical Drop (&lt;3km)", IF(S11&lt;='Methodology &amp; Assumptions'!$B$9, "Near Optical / Microwave (&lt;5km)", "Starlink Business LEO Satellite Backhaul (&gt;5km)"))</f>
        <v/>
      </c>
      <c r="W11" s="28" t="n">
        <v>0.109</v>
      </c>
      <c r="X11" s="14" t="n">
        <v>61.49</v>
      </c>
      <c r="Y11" s="14">
        <f>ROUND(MIN(100, (X11/69.91)*100), 2)</f>
        <v/>
      </c>
    </row>
    <row r="12">
      <c r="A12" s="10" t="n">
        <v>1</v>
      </c>
      <c r="B12" s="10" t="n">
        <v>8</v>
      </c>
      <c r="C12" s="10" t="n">
        <v>8</v>
      </c>
      <c r="D12" s="10" t="inlineStr">
        <is>
          <t>0102814001</t>
        </is>
      </c>
      <c r="E12" s="26" t="inlineStr">
        <is>
          <t>Region I (Ilocos Region)</t>
        </is>
      </c>
      <c r="F12" s="26" t="inlineStr">
        <is>
          <t>Ilocos Norte</t>
        </is>
      </c>
      <c r="G12" s="26" t="inlineStr">
        <is>
          <t>Nueva Era</t>
        </is>
      </c>
      <c r="H12" s="26" t="inlineStr">
        <is>
          <t>Acnam</t>
        </is>
      </c>
      <c r="I12" s="27" t="n">
        <v>17.915082</v>
      </c>
      <c r="J12" s="27" t="n">
        <v>120.655742</v>
      </c>
      <c r="K12" s="10" t="inlineStr">
        <is>
          <t>R</t>
        </is>
      </c>
      <c r="L12" s="12" t="n">
        <v>779</v>
      </c>
      <c r="M12" s="14" t="n">
        <v>3.7</v>
      </c>
      <c r="N12" s="12">
        <f>ROUND(L12/M12, 0)</f>
        <v/>
      </c>
      <c r="O12" s="12">
        <f>ROUND(N12*'Methodology &amp; Assumptions'!$B$5, 0)</f>
        <v/>
      </c>
      <c r="P12" s="10" t="inlineStr">
        <is>
          <t>Single Carrier (Band n50, 100MHz TDD)</t>
        </is>
      </c>
      <c r="Q12" s="13">
        <f>ROUNDUP(O12/'Methodology &amp; Assumptions'!$B$6, 0)</f>
        <v/>
      </c>
      <c r="R12" s="13" t="n">
        <v>1</v>
      </c>
      <c r="S12" s="14" t="n">
        <v>0.5600000000000001</v>
      </c>
      <c r="T12" s="14" t="n">
        <v>0.57</v>
      </c>
      <c r="U12" s="26">
        <f>IF(X12&gt;='Methodology &amp; Assumptions'!$B$7, "Tier 1 Critical GIDA (Score ≥ 50.0)", IF(X12&gt;='Methodology &amp; Assumptions'!$B$8, "Tier 2 High GIDA (Score 40.0–49.9)", "Tier 3 Moderate GIDA (Score &lt; 40.0)"))</f>
        <v/>
      </c>
      <c r="V12" s="26">
        <f>IF(S12&lt;='Methodology &amp; Assumptions'!$B$10, "Direct Optical Drop (&lt;3km)", IF(S12&lt;='Methodology &amp; Assumptions'!$B$9, "Near Optical / Microwave (&lt;5km)", "Starlink Business LEO Satellite Backhaul (&gt;5km)"))</f>
        <v/>
      </c>
      <c r="W12" s="28" t="n">
        <v>0.083</v>
      </c>
      <c r="X12" s="14" t="n">
        <v>61.43</v>
      </c>
      <c r="Y12" s="14">
        <f>ROUND(MIN(100, (X12/69.91)*100), 2)</f>
        <v/>
      </c>
    </row>
    <row r="13">
      <c r="A13" s="10" t="n">
        <v>1</v>
      </c>
      <c r="B13" s="10" t="n">
        <v>9</v>
      </c>
      <c r="C13" s="10" t="n">
        <v>9</v>
      </c>
      <c r="D13" s="10" t="inlineStr">
        <is>
          <t>0403418006</t>
        </is>
      </c>
      <c r="E13" s="26" t="inlineStr">
        <is>
          <t>Region IV-A (CALABARZON)</t>
        </is>
      </c>
      <c r="F13" s="26" t="inlineStr">
        <is>
          <t>Laguna</t>
        </is>
      </c>
      <c r="G13" s="26" t="inlineStr">
        <is>
          <t>Paete</t>
        </is>
      </c>
      <c r="H13" s="26" t="inlineStr">
        <is>
          <t>Ilaya del Norte</t>
        </is>
      </c>
      <c r="I13" s="27" t="n">
        <v>14.367076</v>
      </c>
      <c r="J13" s="27" t="n">
        <v>121.521197</v>
      </c>
      <c r="K13" s="10" t="inlineStr">
        <is>
          <t>R</t>
        </is>
      </c>
      <c r="L13" s="12" t="n">
        <v>2622</v>
      </c>
      <c r="M13" s="14" t="n">
        <v>3.3</v>
      </c>
      <c r="N13" s="12">
        <f>ROUND(L13/M13, 0)</f>
        <v/>
      </c>
      <c r="O13" s="12">
        <f>ROUND(N13*'Methodology &amp; Assumptions'!$B$5, 0)</f>
        <v/>
      </c>
      <c r="P13" s="10" t="inlineStr">
        <is>
          <t>Single Carrier (Band n50, 100MHz TDD)</t>
        </is>
      </c>
      <c r="Q13" s="13">
        <f>ROUNDUP(O13/'Methodology &amp; Assumptions'!$B$6, 0)</f>
        <v/>
      </c>
      <c r="R13" s="13" t="n">
        <v>1</v>
      </c>
      <c r="S13" s="14" t="n">
        <v>3.25</v>
      </c>
      <c r="T13" s="14" t="n">
        <v>4.25</v>
      </c>
      <c r="U13" s="26">
        <f>IF(X13&gt;='Methodology &amp; Assumptions'!$B$7, "Tier 1 Critical GIDA (Score ≥ 50.0)", IF(X13&gt;='Methodology &amp; Assumptions'!$B$8, "Tier 2 High GIDA (Score 40.0–49.9)", "Tier 3 Moderate GIDA (Score &lt; 40.0)"))</f>
        <v/>
      </c>
      <c r="V13" s="26">
        <f>IF(S13&lt;='Methodology &amp; Assumptions'!$B$10, "Direct Optical Drop (&lt;3km)", IF(S13&lt;='Methodology &amp; Assumptions'!$B$9, "Near Optical / Microwave (&lt;5km)", "Starlink Business LEO Satellite Backhaul (&gt;5km)"))</f>
        <v/>
      </c>
      <c r="W13" s="28" t="n">
        <v>0.07200000000000001</v>
      </c>
      <c r="X13" s="14" t="n">
        <v>61.3</v>
      </c>
      <c r="Y13" s="14">
        <f>ROUND(MIN(100, (X13/69.91)*100), 2)</f>
        <v/>
      </c>
    </row>
    <row r="14">
      <c r="A14" s="10" t="n">
        <v>1</v>
      </c>
      <c r="B14" s="10" t="n">
        <v>10</v>
      </c>
      <c r="C14" s="10" t="n">
        <v>10</v>
      </c>
      <c r="D14" s="10" t="inlineStr">
        <is>
          <t>0102807001</t>
        </is>
      </c>
      <c r="E14" s="26" t="inlineStr">
        <is>
          <t>Region I (Ilocos Region)</t>
        </is>
      </c>
      <c r="F14" s="26" t="inlineStr">
        <is>
          <t>Ilocos Norte</t>
        </is>
      </c>
      <c r="G14" s="26" t="inlineStr">
        <is>
          <t>Carasi</t>
        </is>
      </c>
      <c r="H14" s="26" t="inlineStr">
        <is>
          <t>Angset</t>
        </is>
      </c>
      <c r="I14" s="27" t="n">
        <v>18.144871</v>
      </c>
      <c r="J14" s="27" t="n">
        <v>120.79511</v>
      </c>
      <c r="K14" s="10" t="inlineStr">
        <is>
          <t>R</t>
        </is>
      </c>
      <c r="L14" s="12" t="n">
        <v>179</v>
      </c>
      <c r="M14" s="14" t="n">
        <v>3.7</v>
      </c>
      <c r="N14" s="12">
        <f>ROUND(L14/M14, 0)</f>
        <v/>
      </c>
      <c r="O14" s="12">
        <f>ROUND(N14*'Methodology &amp; Assumptions'!$B$5, 0)</f>
        <v/>
      </c>
      <c r="P14" s="10" t="inlineStr">
        <is>
          <t>Single Carrier (Band n50, 100MHz TDD)</t>
        </is>
      </c>
      <c r="Q14" s="13">
        <f>ROUNDUP(O14/'Methodology &amp; Assumptions'!$B$6, 0)</f>
        <v/>
      </c>
      <c r="R14" s="13" t="n">
        <v>1</v>
      </c>
      <c r="S14" s="14" t="n">
        <v>5.61</v>
      </c>
      <c r="T14" s="14" t="n">
        <v>5.27</v>
      </c>
      <c r="U14" s="26">
        <f>IF(X14&gt;='Methodology &amp; Assumptions'!$B$7, "Tier 1 Critical GIDA (Score ≥ 50.0)", IF(X14&gt;='Methodology &amp; Assumptions'!$B$8, "Tier 2 High GIDA (Score 40.0–49.9)", "Tier 3 Moderate GIDA (Score &lt; 40.0)"))</f>
        <v/>
      </c>
      <c r="V14" s="26">
        <f>IF(S14&lt;='Methodology &amp; Assumptions'!$B$10, "Direct Optical Drop (&lt;3km)", IF(S14&lt;='Methodology &amp; Assumptions'!$B$9, "Near Optical / Microwave (&lt;5km)", "Starlink Business LEO Satellite Backhaul (&gt;5km)"))</f>
        <v/>
      </c>
      <c r="W14" s="28" t="n">
        <v>0.083</v>
      </c>
      <c r="X14" s="14" t="n">
        <v>61.22</v>
      </c>
      <c r="Y14" s="14">
        <f>ROUND(MIN(100, (X14/69.91)*100), 2)</f>
        <v/>
      </c>
    </row>
    <row r="15">
      <c r="A15" s="10" t="n">
        <v>1</v>
      </c>
      <c r="B15" s="10" t="n">
        <v>11</v>
      </c>
      <c r="C15" s="10" t="n">
        <v>11</v>
      </c>
      <c r="D15" s="10" t="inlineStr">
        <is>
          <t>0102818011</t>
        </is>
      </c>
      <c r="E15" s="26" t="inlineStr">
        <is>
          <t>Region I (Ilocos Region)</t>
        </is>
      </c>
      <c r="F15" s="26" t="inlineStr">
        <is>
          <t>Ilocos Norte</t>
        </is>
      </c>
      <c r="G15" s="26" t="inlineStr">
        <is>
          <t>Piddig</t>
        </is>
      </c>
      <c r="H15" s="26" t="inlineStr">
        <is>
          <t>Estancia</t>
        </is>
      </c>
      <c r="I15" s="27" t="n">
        <v>18.158928</v>
      </c>
      <c r="J15" s="27" t="n">
        <v>120.76156</v>
      </c>
      <c r="K15" s="10" t="inlineStr">
        <is>
          <t>R</t>
        </is>
      </c>
      <c r="L15" s="12" t="n">
        <v>1853</v>
      </c>
      <c r="M15" s="14" t="n">
        <v>3.7</v>
      </c>
      <c r="N15" s="12">
        <f>ROUND(L15/M15, 0)</f>
        <v/>
      </c>
      <c r="O15" s="12">
        <f>ROUND(N15*'Methodology &amp; Assumptions'!$B$5, 0)</f>
        <v/>
      </c>
      <c r="P15" s="10" t="inlineStr">
        <is>
          <t>Single Carrier (Band n50, 100MHz TDD)</t>
        </is>
      </c>
      <c r="Q15" s="13">
        <f>ROUNDUP(O15/'Methodology &amp; Assumptions'!$B$6, 0)</f>
        <v/>
      </c>
      <c r="R15" s="13" t="n">
        <v>1</v>
      </c>
      <c r="S15" s="14" t="n">
        <v>4.95</v>
      </c>
      <c r="T15" s="14" t="n">
        <v>3.77</v>
      </c>
      <c r="U15" s="26">
        <f>IF(X15&gt;='Methodology &amp; Assumptions'!$B$7, "Tier 1 Critical GIDA (Score ≥ 50.0)", IF(X15&gt;='Methodology &amp; Assumptions'!$B$8, "Tier 2 High GIDA (Score 40.0–49.9)", "Tier 3 Moderate GIDA (Score &lt; 40.0)"))</f>
        <v/>
      </c>
      <c r="V15" s="26">
        <f>IF(S15&lt;='Methodology &amp; Assumptions'!$B$10, "Direct Optical Drop (&lt;3km)", IF(S15&lt;='Methodology &amp; Assumptions'!$B$9, "Near Optical / Microwave (&lt;5km)", "Starlink Business LEO Satellite Backhaul (&gt;5km)"))</f>
        <v/>
      </c>
      <c r="W15" s="28" t="n">
        <v>0.083</v>
      </c>
      <c r="X15" s="14" t="n">
        <v>61.15</v>
      </c>
      <c r="Y15" s="14">
        <f>ROUND(MIN(100, (X15/69.91)*100), 2)</f>
        <v/>
      </c>
    </row>
    <row r="16">
      <c r="A16" s="10" t="n">
        <v>1</v>
      </c>
      <c r="B16" s="10" t="n">
        <v>12</v>
      </c>
      <c r="C16" s="10" t="n">
        <v>12</v>
      </c>
      <c r="D16" s="10" t="inlineStr">
        <is>
          <t>0102814006</t>
        </is>
      </c>
      <c r="E16" s="26" t="inlineStr">
        <is>
          <t>Region I (Ilocos Region)</t>
        </is>
      </c>
      <c r="F16" s="26" t="inlineStr">
        <is>
          <t>Ilocos Norte</t>
        </is>
      </c>
      <c r="G16" s="26" t="inlineStr">
        <is>
          <t>Nueva Era</t>
        </is>
      </c>
      <c r="H16" s="26" t="inlineStr">
        <is>
          <t>Caray</t>
        </is>
      </c>
      <c r="I16" s="27" t="n">
        <v>17.933509</v>
      </c>
      <c r="J16" s="27" t="n">
        <v>120.686204</v>
      </c>
      <c r="K16" s="10" t="inlineStr">
        <is>
          <t>R</t>
        </is>
      </c>
      <c r="L16" s="12" t="n">
        <v>837</v>
      </c>
      <c r="M16" s="14" t="n">
        <v>3.7</v>
      </c>
      <c r="N16" s="12">
        <f>ROUND(L16/M16, 0)</f>
        <v/>
      </c>
      <c r="O16" s="12">
        <f>ROUND(N16*'Methodology &amp; Assumptions'!$B$5, 0)</f>
        <v/>
      </c>
      <c r="P16" s="10" t="inlineStr">
        <is>
          <t>Single Carrier (Band n50, 100MHz TDD)</t>
        </is>
      </c>
      <c r="Q16" s="13">
        <f>ROUNDUP(O16/'Methodology &amp; Assumptions'!$B$6, 0)</f>
        <v/>
      </c>
      <c r="R16" s="13" t="n">
        <v>1</v>
      </c>
      <c r="S16" s="14" t="n">
        <v>3.28</v>
      </c>
      <c r="T16" s="14" t="n">
        <v>2.99</v>
      </c>
      <c r="U16" s="26">
        <f>IF(X16&gt;='Methodology &amp; Assumptions'!$B$7, "Tier 1 Critical GIDA (Score ≥ 50.0)", IF(X16&gt;='Methodology &amp; Assumptions'!$B$8, "Tier 2 High GIDA (Score 40.0–49.9)", "Tier 3 Moderate GIDA (Score &lt; 40.0)"))</f>
        <v/>
      </c>
      <c r="V16" s="26">
        <f>IF(S16&lt;='Methodology &amp; Assumptions'!$B$10, "Direct Optical Drop (&lt;3km)", IF(S16&lt;='Methodology &amp; Assumptions'!$B$9, "Near Optical / Microwave (&lt;5km)", "Starlink Business LEO Satellite Backhaul (&gt;5km)"))</f>
        <v/>
      </c>
      <c r="W16" s="28" t="n">
        <v>0.083</v>
      </c>
      <c r="X16" s="14" t="n">
        <v>61.13</v>
      </c>
      <c r="Y16" s="14">
        <f>ROUND(MIN(100, (X16/69.91)*100), 2)</f>
        <v/>
      </c>
    </row>
    <row r="17">
      <c r="A17" s="10" t="n">
        <v>1</v>
      </c>
      <c r="B17" s="10" t="n">
        <v>13</v>
      </c>
      <c r="C17" s="10" t="n">
        <v>13</v>
      </c>
      <c r="D17" s="10" t="inlineStr">
        <is>
          <t>0102815011</t>
        </is>
      </c>
      <c r="E17" s="26" t="inlineStr">
        <is>
          <t>Region I (Ilocos Region)</t>
        </is>
      </c>
      <c r="F17" s="26" t="inlineStr">
        <is>
          <t>Ilocos Norte</t>
        </is>
      </c>
      <c r="G17" s="26" t="inlineStr">
        <is>
          <t>Pagudpud</t>
        </is>
      </c>
      <c r="H17" s="26" t="inlineStr">
        <is>
          <t>Pasaleng</t>
        </is>
      </c>
      <c r="I17" s="27" t="n">
        <v>18.548723</v>
      </c>
      <c r="J17" s="27" t="n">
        <v>120.936343</v>
      </c>
      <c r="K17" s="10" t="inlineStr">
        <is>
          <t>R</t>
        </is>
      </c>
      <c r="L17" s="12" t="n">
        <v>1820</v>
      </c>
      <c r="M17" s="14" t="n">
        <v>3.7</v>
      </c>
      <c r="N17" s="12">
        <f>ROUND(L17/M17, 0)</f>
        <v/>
      </c>
      <c r="O17" s="12">
        <f>ROUND(N17*'Methodology &amp; Assumptions'!$B$5, 0)</f>
        <v/>
      </c>
      <c r="P17" s="10" t="inlineStr">
        <is>
          <t>Single Carrier (Band n50, 100MHz TDD)</t>
        </is>
      </c>
      <c r="Q17" s="13">
        <f>ROUNDUP(O17/'Methodology &amp; Assumptions'!$B$6, 0)</f>
        <v/>
      </c>
      <c r="R17" s="13" t="n">
        <v>1</v>
      </c>
      <c r="S17" s="14" t="n">
        <v>0.98</v>
      </c>
      <c r="T17" s="14" t="n">
        <v>0.06</v>
      </c>
      <c r="U17" s="26">
        <f>IF(X17&gt;='Methodology &amp; Assumptions'!$B$7, "Tier 1 Critical GIDA (Score ≥ 50.0)", IF(X17&gt;='Methodology &amp; Assumptions'!$B$8, "Tier 2 High GIDA (Score 40.0–49.9)", "Tier 3 Moderate GIDA (Score &lt; 40.0)"))</f>
        <v/>
      </c>
      <c r="V17" s="26">
        <f>IF(S17&lt;='Methodology &amp; Assumptions'!$B$10, "Direct Optical Drop (&lt;3km)", IF(S17&lt;='Methodology &amp; Assumptions'!$B$9, "Near Optical / Microwave (&lt;5km)", "Starlink Business LEO Satellite Backhaul (&gt;5km)"))</f>
        <v/>
      </c>
      <c r="W17" s="28" t="n">
        <v>0.083</v>
      </c>
      <c r="X17" s="14" t="n">
        <v>61.06</v>
      </c>
      <c r="Y17" s="14">
        <f>ROUND(MIN(100, (X17/69.91)*100), 2)</f>
        <v/>
      </c>
    </row>
    <row r="18">
      <c r="A18" s="10" t="n">
        <v>1</v>
      </c>
      <c r="B18" s="10" t="n">
        <v>14</v>
      </c>
      <c r="C18" s="10" t="n">
        <v>14</v>
      </c>
      <c r="D18" s="10" t="inlineStr">
        <is>
          <t>0102818008</t>
        </is>
      </c>
      <c r="E18" s="26" t="inlineStr">
        <is>
          <t>Region I (Ilocos Region)</t>
        </is>
      </c>
      <c r="F18" s="26" t="inlineStr">
        <is>
          <t>Ilocos Norte</t>
        </is>
      </c>
      <c r="G18" s="26" t="inlineStr">
        <is>
          <t>Piddig</t>
        </is>
      </c>
      <c r="H18" s="26" t="inlineStr">
        <is>
          <t>Calambeg</t>
        </is>
      </c>
      <c r="I18" s="27" t="n">
        <v>18.188017</v>
      </c>
      <c r="J18" s="27" t="n">
        <v>120.724913</v>
      </c>
      <c r="K18" s="10" t="inlineStr">
        <is>
          <t>R</t>
        </is>
      </c>
      <c r="L18" s="12" t="n">
        <v>1351</v>
      </c>
      <c r="M18" s="14" t="n">
        <v>3.7</v>
      </c>
      <c r="N18" s="12">
        <f>ROUND(L18/M18, 0)</f>
        <v/>
      </c>
      <c r="O18" s="12">
        <f>ROUND(N18*'Methodology &amp; Assumptions'!$B$5, 0)</f>
        <v/>
      </c>
      <c r="P18" s="10" t="inlineStr">
        <is>
          <t>Single Carrier (Band n50, 100MHz TDD)</t>
        </is>
      </c>
      <c r="Q18" s="13">
        <f>ROUNDUP(O18/'Methodology &amp; Assumptions'!$B$6, 0)</f>
        <v/>
      </c>
      <c r="R18" s="13" t="n">
        <v>1</v>
      </c>
      <c r="S18" s="14" t="n">
        <v>2.8</v>
      </c>
      <c r="T18" s="14" t="n">
        <v>2.63</v>
      </c>
      <c r="U18" s="26">
        <f>IF(X18&gt;='Methodology &amp; Assumptions'!$B$7, "Tier 1 Critical GIDA (Score ≥ 50.0)", IF(X18&gt;='Methodology &amp; Assumptions'!$B$8, "Tier 2 High GIDA (Score 40.0–49.9)", "Tier 3 Moderate GIDA (Score &lt; 40.0)"))</f>
        <v/>
      </c>
      <c r="V18" s="26">
        <f>IF(S18&lt;='Methodology &amp; Assumptions'!$B$10, "Direct Optical Drop (&lt;3km)", IF(S18&lt;='Methodology &amp; Assumptions'!$B$9, "Near Optical / Microwave (&lt;5km)", "Starlink Business LEO Satellite Backhaul (&gt;5km)"))</f>
        <v/>
      </c>
      <c r="W18" s="28" t="n">
        <v>0.083</v>
      </c>
      <c r="X18" s="14" t="n">
        <v>61.04</v>
      </c>
      <c r="Y18" s="14">
        <f>ROUND(MIN(100, (X18/69.91)*100), 2)</f>
        <v/>
      </c>
    </row>
    <row r="19">
      <c r="A19" s="10" t="n">
        <v>1</v>
      </c>
      <c r="B19" s="10" t="n">
        <v>15</v>
      </c>
      <c r="C19" s="10" t="n">
        <v>15</v>
      </c>
      <c r="D19" s="10" t="inlineStr">
        <is>
          <t>0102814005</t>
        </is>
      </c>
      <c r="E19" s="26" t="inlineStr">
        <is>
          <t>Region I (Ilocos Region)</t>
        </is>
      </c>
      <c r="F19" s="26" t="inlineStr">
        <is>
          <t>Ilocos Norte</t>
        </is>
      </c>
      <c r="G19" s="26" t="inlineStr">
        <is>
          <t>Nueva Era</t>
        </is>
      </c>
      <c r="H19" s="26" t="inlineStr">
        <is>
          <t>Cabittauran</t>
        </is>
      </c>
      <c r="I19" s="27" t="n">
        <v>17.944534</v>
      </c>
      <c r="J19" s="27" t="n">
        <v>120.706322</v>
      </c>
      <c r="K19" s="10" t="inlineStr">
        <is>
          <t>R</t>
        </is>
      </c>
      <c r="L19" s="12" t="n">
        <v>1091</v>
      </c>
      <c r="M19" s="14" t="n">
        <v>3.7</v>
      </c>
      <c r="N19" s="12">
        <f>ROUND(L19/M19, 0)</f>
        <v/>
      </c>
      <c r="O19" s="12">
        <f>ROUND(N19*'Methodology &amp; Assumptions'!$B$5, 0)</f>
        <v/>
      </c>
      <c r="P19" s="10" t="inlineStr">
        <is>
          <t>Single Carrier (Band n50, 100MHz TDD)</t>
        </is>
      </c>
      <c r="Q19" s="13">
        <f>ROUNDUP(O19/'Methodology &amp; Assumptions'!$B$6, 0)</f>
        <v/>
      </c>
      <c r="R19" s="13" t="n">
        <v>1</v>
      </c>
      <c r="S19" s="14" t="n">
        <v>5.74</v>
      </c>
      <c r="T19" s="14" t="n">
        <v>4.88</v>
      </c>
      <c r="U19" s="26">
        <f>IF(X19&gt;='Methodology &amp; Assumptions'!$B$7, "Tier 1 Critical GIDA (Score ≥ 50.0)", IF(X19&gt;='Methodology &amp; Assumptions'!$B$8, "Tier 2 High GIDA (Score 40.0–49.9)", "Tier 3 Moderate GIDA (Score &lt; 40.0)"))</f>
        <v/>
      </c>
      <c r="V19" s="26">
        <f>IF(S19&lt;='Methodology &amp; Assumptions'!$B$10, "Direct Optical Drop (&lt;3km)", IF(S19&lt;='Methodology &amp; Assumptions'!$B$9, "Near Optical / Microwave (&lt;5km)", "Starlink Business LEO Satellite Backhaul (&gt;5km)"))</f>
        <v/>
      </c>
      <c r="W19" s="28" t="n">
        <v>0.083</v>
      </c>
      <c r="X19" s="14" t="n">
        <v>60.99</v>
      </c>
      <c r="Y19" s="14">
        <f>ROUND(MIN(100, (X19/69.91)*100), 2)</f>
        <v/>
      </c>
    </row>
    <row r="20">
      <c r="A20" s="10" t="n">
        <v>1</v>
      </c>
      <c r="B20" s="10" t="n">
        <v>16</v>
      </c>
      <c r="C20" s="10" t="n">
        <v>16</v>
      </c>
      <c r="D20" s="10" t="inlineStr">
        <is>
          <t>0307104013</t>
        </is>
      </c>
      <c r="E20" s="26" t="inlineStr">
        <is>
          <t>Region III (Central Luzon)</t>
        </is>
      </c>
      <c r="F20" s="26" t="inlineStr">
        <is>
          <t>Zambales</t>
        </is>
      </c>
      <c r="G20" s="26" t="inlineStr">
        <is>
          <t>Castillejos</t>
        </is>
      </c>
      <c r="H20" s="26" t="inlineStr">
        <is>
          <t>San Pablo</t>
        </is>
      </c>
      <c r="I20" s="27" t="n">
        <v>14.960465</v>
      </c>
      <c r="J20" s="27" t="n">
        <v>120.252713</v>
      </c>
      <c r="K20" s="10" t="inlineStr">
        <is>
          <t>U</t>
        </is>
      </c>
      <c r="L20" s="12" t="n">
        <v>11681</v>
      </c>
      <c r="M20" s="14" t="n">
        <v>3.8</v>
      </c>
      <c r="N20" s="12">
        <f>ROUND(L20/M20, 0)</f>
        <v/>
      </c>
      <c r="O20" s="12">
        <f>ROUND(N20*'Methodology &amp; Assumptions'!$B$5, 0)</f>
        <v/>
      </c>
      <c r="P20" s="10" t="inlineStr">
        <is>
          <t>Single Carrier (Band n50, 100MHz TDD)</t>
        </is>
      </c>
      <c r="Q20" s="13">
        <f>ROUNDUP(O20/'Methodology &amp; Assumptions'!$B$6, 0)</f>
        <v/>
      </c>
      <c r="R20" s="13" t="n">
        <v>1</v>
      </c>
      <c r="S20" s="14" t="n">
        <v>6.53</v>
      </c>
      <c r="T20" s="14" t="n">
        <v>5.32</v>
      </c>
      <c r="U20" s="26">
        <f>IF(X20&gt;='Methodology &amp; Assumptions'!$B$7, "Tier 1 Critical GIDA (Score ≥ 50.0)", IF(X20&gt;='Methodology &amp; Assumptions'!$B$8, "Tier 2 High GIDA (Score 40.0–49.9)", "Tier 3 Moderate GIDA (Score &lt; 40.0)"))</f>
        <v/>
      </c>
      <c r="V20" s="26">
        <f>IF(S20&lt;='Methodology &amp; Assumptions'!$B$10, "Direct Optical Drop (&lt;3km)", IF(S20&lt;='Methodology &amp; Assumptions'!$B$9, "Near Optical / Microwave (&lt;5km)", "Starlink Business LEO Satellite Backhaul (&gt;5km)"))</f>
        <v/>
      </c>
      <c r="W20" s="28" t="n">
        <v>0.083</v>
      </c>
      <c r="X20" s="14" t="n">
        <v>60.91</v>
      </c>
      <c r="Y20" s="14">
        <f>ROUND(MIN(100, (X20/69.91)*100), 2)</f>
        <v/>
      </c>
    </row>
    <row r="21">
      <c r="A21" s="10" t="n">
        <v>1</v>
      </c>
      <c r="B21" s="10" t="n">
        <v>17</v>
      </c>
      <c r="C21" s="10" t="n">
        <v>17</v>
      </c>
      <c r="D21" s="10" t="inlineStr">
        <is>
          <t>0102822012</t>
        </is>
      </c>
      <c r="E21" s="26" t="inlineStr">
        <is>
          <t>Region I (Ilocos Region)</t>
        </is>
      </c>
      <c r="F21" s="26" t="inlineStr">
        <is>
          <t>Ilocos Norte</t>
        </is>
      </c>
      <c r="G21" s="26" t="inlineStr">
        <is>
          <t>Solsona</t>
        </is>
      </c>
      <c r="H21" s="26" t="inlineStr">
        <is>
          <t>Maananteng</t>
        </is>
      </c>
      <c r="I21" s="27" t="n">
        <v>18.10115</v>
      </c>
      <c r="J21" s="27" t="n">
        <v>120.811302</v>
      </c>
      <c r="K21" s="10" t="inlineStr">
        <is>
          <t>R</t>
        </is>
      </c>
      <c r="L21" s="12" t="n">
        <v>1314</v>
      </c>
      <c r="M21" s="14" t="n">
        <v>3.7</v>
      </c>
      <c r="N21" s="12">
        <f>ROUND(L21/M21, 0)</f>
        <v/>
      </c>
      <c r="O21" s="12">
        <f>ROUND(N21*'Methodology &amp; Assumptions'!$B$5, 0)</f>
        <v/>
      </c>
      <c r="P21" s="10" t="inlineStr">
        <is>
          <t>Single Carrier (Band n50, 100MHz TDD)</t>
        </is>
      </c>
      <c r="Q21" s="13">
        <f>ROUNDUP(O21/'Methodology &amp; Assumptions'!$B$6, 0)</f>
        <v/>
      </c>
      <c r="R21" s="13" t="n">
        <v>1</v>
      </c>
      <c r="S21" s="14" t="n">
        <v>4.19</v>
      </c>
      <c r="T21" s="14" t="n">
        <v>4.24</v>
      </c>
      <c r="U21" s="26">
        <f>IF(X21&gt;='Methodology &amp; Assumptions'!$B$7, "Tier 1 Critical GIDA (Score ≥ 50.0)", IF(X21&gt;='Methodology &amp; Assumptions'!$B$8, "Tier 2 High GIDA (Score 40.0–49.9)", "Tier 3 Moderate GIDA (Score &lt; 40.0)"))</f>
        <v/>
      </c>
      <c r="V21" s="26">
        <f>IF(S21&lt;='Methodology &amp; Assumptions'!$B$10, "Direct Optical Drop (&lt;3km)", IF(S21&lt;='Methodology &amp; Assumptions'!$B$9, "Near Optical / Microwave (&lt;5km)", "Starlink Business LEO Satellite Backhaul (&gt;5km)"))</f>
        <v/>
      </c>
      <c r="W21" s="28" t="n">
        <v>0.083</v>
      </c>
      <c r="X21" s="14" t="n">
        <v>60.84</v>
      </c>
      <c r="Y21" s="14">
        <f>ROUND(MIN(100, (X21/69.91)*100), 2)</f>
        <v/>
      </c>
    </row>
    <row r="22">
      <c r="A22" s="10" t="n">
        <v>1</v>
      </c>
      <c r="B22" s="10" t="n">
        <v>18</v>
      </c>
      <c r="C22" s="10" t="n">
        <v>18</v>
      </c>
      <c r="D22" s="10" t="inlineStr">
        <is>
          <t>0102822013</t>
        </is>
      </c>
      <c r="E22" s="26" t="inlineStr">
        <is>
          <t>Region I (Ilocos Region)</t>
        </is>
      </c>
      <c r="F22" s="26" t="inlineStr">
        <is>
          <t>Ilocos Norte</t>
        </is>
      </c>
      <c r="G22" s="26" t="inlineStr">
        <is>
          <t>Solsona</t>
        </is>
      </c>
      <c r="H22" s="26" t="inlineStr">
        <is>
          <t>Manalpac</t>
        </is>
      </c>
      <c r="I22" s="27" t="n">
        <v>18.098071</v>
      </c>
      <c r="J22" s="27" t="n">
        <v>120.811515</v>
      </c>
      <c r="K22" s="10" t="inlineStr">
        <is>
          <t>R</t>
        </is>
      </c>
      <c r="L22" s="12" t="n">
        <v>2162</v>
      </c>
      <c r="M22" s="14" t="n">
        <v>3.7</v>
      </c>
      <c r="N22" s="12">
        <f>ROUND(L22/M22, 0)</f>
        <v/>
      </c>
      <c r="O22" s="12">
        <f>ROUND(N22*'Methodology &amp; Assumptions'!$B$5, 0)</f>
        <v/>
      </c>
      <c r="P22" s="10" t="inlineStr">
        <is>
          <t>Single Carrier (Band n50, 100MHz TDD)</t>
        </is>
      </c>
      <c r="Q22" s="13">
        <f>ROUNDUP(O22/'Methodology &amp; Assumptions'!$B$6, 0)</f>
        <v/>
      </c>
      <c r="R22" s="13" t="n">
        <v>1</v>
      </c>
      <c r="S22" s="14" t="n">
        <v>4.22</v>
      </c>
      <c r="T22" s="14" t="n">
        <v>4.26</v>
      </c>
      <c r="U22" s="26">
        <f>IF(X22&gt;='Methodology &amp; Assumptions'!$B$7, "Tier 1 Critical GIDA (Score ≥ 50.0)", IF(X22&gt;='Methodology &amp; Assumptions'!$B$8, "Tier 2 High GIDA (Score 40.0–49.9)", "Tier 3 Moderate GIDA (Score &lt; 40.0)"))</f>
        <v/>
      </c>
      <c r="V22" s="26">
        <f>IF(S22&lt;='Methodology &amp; Assumptions'!$B$10, "Direct Optical Drop (&lt;3km)", IF(S22&lt;='Methodology &amp; Assumptions'!$B$9, "Near Optical / Microwave (&lt;5km)", "Starlink Business LEO Satellite Backhaul (&gt;5km)"))</f>
        <v/>
      </c>
      <c r="W22" s="28" t="n">
        <v>0.083</v>
      </c>
      <c r="X22" s="14" t="n">
        <v>60.8</v>
      </c>
      <c r="Y22" s="14">
        <f>ROUND(MIN(100, (X22/69.91)*100), 2)</f>
        <v/>
      </c>
    </row>
    <row r="23">
      <c r="A23" s="10" t="n">
        <v>1</v>
      </c>
      <c r="B23" s="10" t="n">
        <v>19</v>
      </c>
      <c r="C23" s="10" t="n">
        <v>19</v>
      </c>
      <c r="D23" s="10" t="inlineStr">
        <is>
          <t>0307702022</t>
        </is>
      </c>
      <c r="E23" s="26" t="inlineStr">
        <is>
          <t>Region III (Central Luzon)</t>
        </is>
      </c>
      <c r="F23" s="26" t="inlineStr">
        <is>
          <t>Aurora</t>
        </is>
      </c>
      <c r="G23" s="26" t="inlineStr">
        <is>
          <t>Casiguran</t>
        </is>
      </c>
      <c r="H23" s="26" t="inlineStr">
        <is>
          <t>Ditinagyan</t>
        </is>
      </c>
      <c r="I23" s="27" t="n">
        <v>16.23478</v>
      </c>
      <c r="J23" s="27" t="n">
        <v>122.100411</v>
      </c>
      <c r="K23" s="10" t="inlineStr">
        <is>
          <t>R</t>
        </is>
      </c>
      <c r="L23" s="12" t="n">
        <v>404</v>
      </c>
      <c r="M23" s="14" t="n">
        <v>3.8</v>
      </c>
      <c r="N23" s="12">
        <f>ROUND(L23/M23, 0)</f>
        <v/>
      </c>
      <c r="O23" s="12">
        <f>ROUND(N23*'Methodology &amp; Assumptions'!$B$5, 0)</f>
        <v/>
      </c>
      <c r="P23" s="10" t="inlineStr">
        <is>
          <t>Single Carrier (Band n50, 100MHz TDD)</t>
        </is>
      </c>
      <c r="Q23" s="13">
        <f>ROUNDUP(O23/'Methodology &amp; Assumptions'!$B$6, 0)</f>
        <v/>
      </c>
      <c r="R23" s="13" t="n">
        <v>1</v>
      </c>
      <c r="S23" s="14" t="n">
        <v>5.55</v>
      </c>
      <c r="T23" s="14" t="n">
        <v>2.5</v>
      </c>
      <c r="U23" s="26">
        <f>IF(X23&gt;='Methodology &amp; Assumptions'!$B$7, "Tier 1 Critical GIDA (Score ≥ 50.0)", IF(X23&gt;='Methodology &amp; Assumptions'!$B$8, "Tier 2 High GIDA (Score 40.0–49.9)", "Tier 3 Moderate GIDA (Score &lt; 40.0)"))</f>
        <v/>
      </c>
      <c r="V23" s="26">
        <f>IF(S23&lt;='Methodology &amp; Assumptions'!$B$10, "Direct Optical Drop (&lt;3km)", IF(S23&lt;='Methodology &amp; Assumptions'!$B$9, "Near Optical / Microwave (&lt;5km)", "Starlink Business LEO Satellite Backhaul (&gt;5km)"))</f>
        <v/>
      </c>
      <c r="W23" s="28" t="n">
        <v>0.083</v>
      </c>
      <c r="X23" s="14" t="n">
        <v>60.8</v>
      </c>
      <c r="Y23" s="14">
        <f>ROUND(MIN(100, (X23/69.91)*100), 2)</f>
        <v/>
      </c>
    </row>
    <row r="24">
      <c r="A24" s="10" t="n">
        <v>1</v>
      </c>
      <c r="B24" s="10" t="n">
        <v>20</v>
      </c>
      <c r="C24" s="10" t="n">
        <v>20</v>
      </c>
      <c r="D24" s="10" t="inlineStr">
        <is>
          <t>0307702019</t>
        </is>
      </c>
      <c r="E24" s="26" t="inlineStr">
        <is>
          <t>Region III (Central Luzon)</t>
        </is>
      </c>
      <c r="F24" s="26" t="inlineStr">
        <is>
          <t>Aurora</t>
        </is>
      </c>
      <c r="G24" s="26" t="inlineStr">
        <is>
          <t>Casiguran</t>
        </is>
      </c>
      <c r="H24" s="26" t="inlineStr">
        <is>
          <t>Bianuan</t>
        </is>
      </c>
      <c r="I24" s="27" t="n">
        <v>16.205609</v>
      </c>
      <c r="J24" s="27" t="n">
        <v>122.042367</v>
      </c>
      <c r="K24" s="10" t="inlineStr">
        <is>
          <t>R</t>
        </is>
      </c>
      <c r="L24" s="12" t="n">
        <v>2790</v>
      </c>
      <c r="M24" s="14" t="n">
        <v>3.8</v>
      </c>
      <c r="N24" s="12">
        <f>ROUND(L24/M24, 0)</f>
        <v/>
      </c>
      <c r="O24" s="12">
        <f>ROUND(N24*'Methodology &amp; Assumptions'!$B$5, 0)</f>
        <v/>
      </c>
      <c r="P24" s="10" t="inlineStr">
        <is>
          <t>Single Carrier (Band n50, 100MHz TDD)</t>
        </is>
      </c>
      <c r="Q24" s="13">
        <f>ROUNDUP(O24/'Methodology &amp; Assumptions'!$B$6, 0)</f>
        <v/>
      </c>
      <c r="R24" s="13" t="n">
        <v>1</v>
      </c>
      <c r="S24" s="14" t="n">
        <v>0.2</v>
      </c>
      <c r="T24" s="14" t="n">
        <v>0.3</v>
      </c>
      <c r="U24" s="26">
        <f>IF(X24&gt;='Methodology &amp; Assumptions'!$B$7, "Tier 1 Critical GIDA (Score ≥ 50.0)", IF(X24&gt;='Methodology &amp; Assumptions'!$B$8, "Tier 2 High GIDA (Score 40.0–49.9)", "Tier 3 Moderate GIDA (Score &lt; 40.0)"))</f>
        <v/>
      </c>
      <c r="V24" s="26">
        <f>IF(S24&lt;='Methodology &amp; Assumptions'!$B$10, "Direct Optical Drop (&lt;3km)", IF(S24&lt;='Methodology &amp; Assumptions'!$B$9, "Near Optical / Microwave (&lt;5km)", "Starlink Business LEO Satellite Backhaul (&gt;5km)"))</f>
        <v/>
      </c>
      <c r="W24" s="28" t="n">
        <v>0.083</v>
      </c>
      <c r="X24" s="14" t="n">
        <v>60.7</v>
      </c>
      <c r="Y24" s="14">
        <f>ROUND(MIN(100, (X24/69.91)*100), 2)</f>
        <v/>
      </c>
    </row>
    <row r="25">
      <c r="A25" s="10" t="n">
        <v>1</v>
      </c>
      <c r="B25" s="10" t="n">
        <v>21</v>
      </c>
      <c r="C25" s="10" t="n">
        <v>21</v>
      </c>
      <c r="D25" s="10" t="inlineStr">
        <is>
          <t>0102817001</t>
        </is>
      </c>
      <c r="E25" s="26" t="inlineStr">
        <is>
          <t>Region I (Ilocos Region)</t>
        </is>
      </c>
      <c r="F25" s="26" t="inlineStr">
        <is>
          <t>Ilocos Norte</t>
        </is>
      </c>
      <c r="G25" s="26" t="inlineStr">
        <is>
          <t>Pasuquin</t>
        </is>
      </c>
      <c r="H25" s="26" t="inlineStr">
        <is>
          <t>Batuli</t>
        </is>
      </c>
      <c r="I25" s="27" t="n">
        <v>18.315388</v>
      </c>
      <c r="J25" s="27" t="n">
        <v>120.615286</v>
      </c>
      <c r="K25" s="10" t="inlineStr">
        <is>
          <t>R</t>
        </is>
      </c>
      <c r="L25" s="12" t="n">
        <v>459</v>
      </c>
      <c r="M25" s="14" t="n">
        <v>3.7</v>
      </c>
      <c r="N25" s="12">
        <f>ROUND(L25/M25, 0)</f>
        <v/>
      </c>
      <c r="O25" s="12">
        <f>ROUND(N25*'Methodology &amp; Assumptions'!$B$5, 0)</f>
        <v/>
      </c>
      <c r="P25" s="10" t="inlineStr">
        <is>
          <t>Single Carrier (Band n50, 100MHz TDD)</t>
        </is>
      </c>
      <c r="Q25" s="13">
        <f>ROUNDUP(O25/'Methodology &amp; Assumptions'!$B$6, 0)</f>
        <v/>
      </c>
      <c r="R25" s="13" t="n">
        <v>1</v>
      </c>
      <c r="S25" s="14" t="n">
        <v>0.67</v>
      </c>
      <c r="T25" s="14" t="n">
        <v>0.59</v>
      </c>
      <c r="U25" s="26">
        <f>IF(X25&gt;='Methodology &amp; Assumptions'!$B$7, "Tier 1 Critical GIDA (Score ≥ 50.0)", IF(X25&gt;='Methodology &amp; Assumptions'!$B$8, "Tier 2 High GIDA (Score 40.0–49.9)", "Tier 3 Moderate GIDA (Score &lt; 40.0)"))</f>
        <v/>
      </c>
      <c r="V25" s="26">
        <f>IF(S25&lt;='Methodology &amp; Assumptions'!$B$10, "Direct Optical Drop (&lt;3km)", IF(S25&lt;='Methodology &amp; Assumptions'!$B$9, "Near Optical / Microwave (&lt;5km)", "Starlink Business LEO Satellite Backhaul (&gt;5km)"))</f>
        <v/>
      </c>
      <c r="W25" s="28" t="n">
        <v>0.083</v>
      </c>
      <c r="X25" s="14" t="n">
        <v>60.58</v>
      </c>
      <c r="Y25" s="14">
        <f>ROUND(MIN(100, (X25/69.91)*100), 2)</f>
        <v/>
      </c>
    </row>
    <row r="26">
      <c r="A26" s="10" t="n">
        <v>1</v>
      </c>
      <c r="B26" s="10" t="n">
        <v>22</v>
      </c>
      <c r="C26" s="10" t="n">
        <v>22</v>
      </c>
      <c r="D26" s="10" t="inlineStr">
        <is>
          <t>0102810003</t>
        </is>
      </c>
      <c r="E26" s="26" t="inlineStr">
        <is>
          <t>Region I (Ilocos Region)</t>
        </is>
      </c>
      <c r="F26" s="26" t="inlineStr">
        <is>
          <t>Ilocos Norte</t>
        </is>
      </c>
      <c r="G26" s="26" t="inlineStr">
        <is>
          <t>Dumalneg</t>
        </is>
      </c>
      <c r="H26" s="26" t="inlineStr">
        <is>
          <t>Kalaw</t>
        </is>
      </c>
      <c r="I26" s="27" t="n">
        <v>18.523105</v>
      </c>
      <c r="J26" s="27" t="n">
        <v>120.806447</v>
      </c>
      <c r="K26" s="10" t="inlineStr">
        <is>
          <t>R</t>
        </is>
      </c>
      <c r="L26" s="12" t="n">
        <v>654</v>
      </c>
      <c r="M26" s="14" t="n">
        <v>3.7</v>
      </c>
      <c r="N26" s="12">
        <f>ROUND(L26/M26, 0)</f>
        <v/>
      </c>
      <c r="O26" s="12">
        <f>ROUND(N26*'Methodology &amp; Assumptions'!$B$5, 0)</f>
        <v/>
      </c>
      <c r="P26" s="10" t="inlineStr">
        <is>
          <t>Single Carrier (Band n50, 100MHz TDD)</t>
        </is>
      </c>
      <c r="Q26" s="13">
        <f>ROUNDUP(O26/'Methodology &amp; Assumptions'!$B$6, 0)</f>
        <v/>
      </c>
      <c r="R26" s="13" t="n">
        <v>1</v>
      </c>
      <c r="S26" s="14" t="n">
        <v>4.28</v>
      </c>
      <c r="T26" s="14" t="n">
        <v>1.51</v>
      </c>
      <c r="U26" s="26">
        <f>IF(X26&gt;='Methodology &amp; Assumptions'!$B$7, "Tier 1 Critical GIDA (Score ≥ 50.0)", IF(X26&gt;='Methodology &amp; Assumptions'!$B$8, "Tier 2 High GIDA (Score 40.0–49.9)", "Tier 3 Moderate GIDA (Score &lt; 40.0)"))</f>
        <v/>
      </c>
      <c r="V26" s="26">
        <f>IF(S26&lt;='Methodology &amp; Assumptions'!$B$10, "Direct Optical Drop (&lt;3km)", IF(S26&lt;='Methodology &amp; Assumptions'!$B$9, "Near Optical / Microwave (&lt;5km)", "Starlink Business LEO Satellite Backhaul (&gt;5km)"))</f>
        <v/>
      </c>
      <c r="W26" s="28" t="n">
        <v>0.083</v>
      </c>
      <c r="X26" s="14" t="n">
        <v>60.57</v>
      </c>
      <c r="Y26" s="14">
        <f>ROUND(MIN(100, (X26/69.91)*100), 2)</f>
        <v/>
      </c>
    </row>
    <row r="27">
      <c r="A27" s="10" t="n">
        <v>1</v>
      </c>
      <c r="B27" s="10" t="n">
        <v>23</v>
      </c>
      <c r="C27" s="10" t="n">
        <v>23</v>
      </c>
      <c r="D27" s="10" t="inlineStr">
        <is>
          <t>0102810004</t>
        </is>
      </c>
      <c r="E27" s="26" t="inlineStr">
        <is>
          <t>Region I (Ilocos Region)</t>
        </is>
      </c>
      <c r="F27" s="26" t="inlineStr">
        <is>
          <t>Ilocos Norte</t>
        </is>
      </c>
      <c r="G27" s="26" t="inlineStr">
        <is>
          <t>Dumalneg</t>
        </is>
      </c>
      <c r="H27" s="26" t="inlineStr">
        <is>
          <t>Quibel</t>
        </is>
      </c>
      <c r="I27" s="27" t="n">
        <v>18.52445</v>
      </c>
      <c r="J27" s="27" t="n">
        <v>120.809621</v>
      </c>
      <c r="K27" s="10" t="inlineStr">
        <is>
          <t>R</t>
        </is>
      </c>
      <c r="L27" s="12" t="n">
        <v>984</v>
      </c>
      <c r="M27" s="14" t="n">
        <v>3.7</v>
      </c>
      <c r="N27" s="12">
        <f>ROUND(L27/M27, 0)</f>
        <v/>
      </c>
      <c r="O27" s="12">
        <f>ROUND(N27*'Methodology &amp; Assumptions'!$B$5, 0)</f>
        <v/>
      </c>
      <c r="P27" s="10" t="inlineStr">
        <is>
          <t>Single Carrier (Band n50, 100MHz TDD)</t>
        </is>
      </c>
      <c r="Q27" s="13">
        <f>ROUNDUP(O27/'Methodology &amp; Assumptions'!$B$6, 0)</f>
        <v/>
      </c>
      <c r="R27" s="13" t="n">
        <v>1</v>
      </c>
      <c r="S27" s="14" t="n">
        <v>4.55</v>
      </c>
      <c r="T27" s="14" t="n">
        <v>1.73</v>
      </c>
      <c r="U27" s="26">
        <f>IF(X27&gt;='Methodology &amp; Assumptions'!$B$7, "Tier 1 Critical GIDA (Score ≥ 50.0)", IF(X27&gt;='Methodology &amp; Assumptions'!$B$8, "Tier 2 High GIDA (Score 40.0–49.9)", "Tier 3 Moderate GIDA (Score &lt; 40.0)"))</f>
        <v/>
      </c>
      <c r="V27" s="26">
        <f>IF(S27&lt;='Methodology &amp; Assumptions'!$B$10, "Direct Optical Drop (&lt;3km)", IF(S27&lt;='Methodology &amp; Assumptions'!$B$9, "Near Optical / Microwave (&lt;5km)", "Starlink Business LEO Satellite Backhaul (&gt;5km)"))</f>
        <v/>
      </c>
      <c r="W27" s="28" t="n">
        <v>0.083</v>
      </c>
      <c r="X27" s="14" t="n">
        <v>60.57</v>
      </c>
      <c r="Y27" s="14">
        <f>ROUND(MIN(100, (X27/69.91)*100), 2)</f>
        <v/>
      </c>
    </row>
    <row r="28">
      <c r="A28" s="10" t="n">
        <v>1</v>
      </c>
      <c r="B28" s="10" t="n">
        <v>24</v>
      </c>
      <c r="C28" s="10" t="n">
        <v>24</v>
      </c>
      <c r="D28" s="10" t="inlineStr">
        <is>
          <t>0102810001</t>
        </is>
      </c>
      <c r="E28" s="26" t="inlineStr">
        <is>
          <t>Region I (Ilocos Region)</t>
        </is>
      </c>
      <c r="F28" s="26" t="inlineStr">
        <is>
          <t>Ilocos Norte</t>
        </is>
      </c>
      <c r="G28" s="26" t="inlineStr">
        <is>
          <t>Dumalneg</t>
        </is>
      </c>
      <c r="H28" s="26" t="inlineStr">
        <is>
          <t>Cabaritan</t>
        </is>
      </c>
      <c r="I28" s="27" t="n">
        <v>18.52187</v>
      </c>
      <c r="J28" s="27" t="n">
        <v>120.818426</v>
      </c>
      <c r="K28" s="10" t="inlineStr">
        <is>
          <t>R</t>
        </is>
      </c>
      <c r="L28" s="12" t="n">
        <v>455</v>
      </c>
      <c r="M28" s="14" t="n">
        <v>3.7</v>
      </c>
      <c r="N28" s="12">
        <f>ROUND(L28/M28, 0)</f>
        <v/>
      </c>
      <c r="O28" s="12">
        <f>ROUND(N28*'Methodology &amp; Assumptions'!$B$5, 0)</f>
        <v/>
      </c>
      <c r="P28" s="10" t="inlineStr">
        <is>
          <t>Single Carrier (Band n50, 100MHz TDD)</t>
        </is>
      </c>
      <c r="Q28" s="13">
        <f>ROUNDUP(O28/'Methodology &amp; Assumptions'!$B$6, 0)</f>
        <v/>
      </c>
      <c r="R28" s="13" t="n">
        <v>1</v>
      </c>
      <c r="S28" s="14" t="n">
        <v>5.52</v>
      </c>
      <c r="T28" s="14" t="n">
        <v>2.69</v>
      </c>
      <c r="U28" s="26">
        <f>IF(X28&gt;='Methodology &amp; Assumptions'!$B$7, "Tier 1 Critical GIDA (Score ≥ 50.0)", IF(X28&gt;='Methodology &amp; Assumptions'!$B$8, "Tier 2 High GIDA (Score 40.0–49.9)", "Tier 3 Moderate GIDA (Score &lt; 40.0)"))</f>
        <v/>
      </c>
      <c r="V28" s="26">
        <f>IF(S28&lt;='Methodology &amp; Assumptions'!$B$10, "Direct Optical Drop (&lt;3km)", IF(S28&lt;='Methodology &amp; Assumptions'!$B$9, "Near Optical / Microwave (&lt;5km)", "Starlink Business LEO Satellite Backhaul (&gt;5km)"))</f>
        <v/>
      </c>
      <c r="W28" s="28" t="n">
        <v>0.083</v>
      </c>
      <c r="X28" s="14" t="n">
        <v>60.57</v>
      </c>
      <c r="Y28" s="14">
        <f>ROUND(MIN(100, (X28/69.91)*100), 2)</f>
        <v/>
      </c>
    </row>
    <row r="29">
      <c r="A29" s="10" t="n">
        <v>1</v>
      </c>
      <c r="B29" s="10" t="n">
        <v>25</v>
      </c>
      <c r="C29" s="10" t="n">
        <v>25</v>
      </c>
      <c r="D29" s="10" t="inlineStr">
        <is>
          <t>0405627026</t>
        </is>
      </c>
      <c r="E29" s="26" t="inlineStr">
        <is>
          <t>Region IV-A (CALABARZON)</t>
        </is>
      </c>
      <c r="F29" s="26" t="inlineStr">
        <is>
          <t>Quezon</t>
        </is>
      </c>
      <c r="G29" s="26" t="inlineStr">
        <is>
          <t>Mauban</t>
        </is>
      </c>
      <c r="H29" s="26" t="inlineStr">
        <is>
          <t>Remedios II</t>
        </is>
      </c>
      <c r="I29" s="27" t="n">
        <v>14.190521</v>
      </c>
      <c r="J29" s="27" t="n">
        <v>121.664166</v>
      </c>
      <c r="K29" s="10" t="inlineStr">
        <is>
          <t>R</t>
        </is>
      </c>
      <c r="L29" s="12" t="n">
        <v>404</v>
      </c>
      <c r="M29" s="14" t="n">
        <v>3.8</v>
      </c>
      <c r="N29" s="12">
        <f>ROUND(L29/M29, 0)</f>
        <v/>
      </c>
      <c r="O29" s="12">
        <f>ROUND(N29*'Methodology &amp; Assumptions'!$B$5, 0)</f>
        <v/>
      </c>
      <c r="P29" s="10" t="inlineStr">
        <is>
          <t>Single Carrier (Band n50, 100MHz TDD)</t>
        </is>
      </c>
      <c r="Q29" s="13">
        <f>ROUNDUP(O29/'Methodology &amp; Assumptions'!$B$6, 0)</f>
        <v/>
      </c>
      <c r="R29" s="13" t="n">
        <v>1</v>
      </c>
      <c r="S29" s="14" t="n">
        <v>4.22</v>
      </c>
      <c r="T29" s="14" t="n">
        <v>13.77</v>
      </c>
      <c r="U29" s="26">
        <f>IF(X29&gt;='Methodology &amp; Assumptions'!$B$7, "Tier 1 Critical GIDA (Score ≥ 50.0)", IF(X29&gt;='Methodology &amp; Assumptions'!$B$8, "Tier 2 High GIDA (Score 40.0–49.9)", "Tier 3 Moderate GIDA (Score &lt; 40.0)"))</f>
        <v/>
      </c>
      <c r="V29" s="26">
        <f>IF(S29&lt;='Methodology &amp; Assumptions'!$B$10, "Direct Optical Drop (&lt;3km)", IF(S29&lt;='Methodology &amp; Assumptions'!$B$9, "Near Optical / Microwave (&lt;5km)", "Starlink Business LEO Satellite Backhaul (&gt;5km)"))</f>
        <v/>
      </c>
      <c r="W29" s="28" t="n">
        <v>0.07200000000000001</v>
      </c>
      <c r="X29" s="14" t="n">
        <v>60.48</v>
      </c>
      <c r="Y29" s="14">
        <f>ROUND(MIN(100, (X29/69.91)*100), 2)</f>
        <v/>
      </c>
    </row>
    <row r="30">
      <c r="A30" s="10" t="n">
        <v>1</v>
      </c>
      <c r="B30" s="10" t="n">
        <v>26</v>
      </c>
      <c r="C30" s="10" t="n">
        <v>26</v>
      </c>
      <c r="D30" s="10" t="inlineStr">
        <is>
          <t>1401104005</t>
        </is>
      </c>
      <c r="E30" s="26" t="inlineStr">
        <is>
          <t>Cordillera Administrative Region (CAR)</t>
        </is>
      </c>
      <c r="F30" s="26" t="inlineStr">
        <is>
          <t>Benguet</t>
        </is>
      </c>
      <c r="G30" s="26" t="inlineStr">
        <is>
          <t>Bokod</t>
        </is>
      </c>
      <c r="H30" s="26" t="inlineStr">
        <is>
          <t>Ekip</t>
        </is>
      </c>
      <c r="I30" s="27" t="n">
        <v>16.524918</v>
      </c>
      <c r="J30" s="27" t="n">
        <v>120.876812</v>
      </c>
      <c r="K30" s="10" t="inlineStr">
        <is>
          <t>R</t>
        </is>
      </c>
      <c r="L30" s="12" t="n">
        <v>988</v>
      </c>
      <c r="M30" s="14" t="n">
        <v>3.5</v>
      </c>
      <c r="N30" s="12">
        <f>ROUND(L30/M30, 0)</f>
        <v/>
      </c>
      <c r="O30" s="12">
        <f>ROUND(N30*'Methodology &amp; Assumptions'!$B$5, 0)</f>
        <v/>
      </c>
      <c r="P30" s="10" t="inlineStr">
        <is>
          <t>Single Carrier (Band n50, 100MHz TDD)</t>
        </is>
      </c>
      <c r="Q30" s="13">
        <f>ROUNDUP(O30/'Methodology &amp; Assumptions'!$B$6, 0)</f>
        <v/>
      </c>
      <c r="R30" s="13" t="n">
        <v>1</v>
      </c>
      <c r="S30" s="14" t="n">
        <v>7.58</v>
      </c>
      <c r="T30" s="14" t="n">
        <v>8.81</v>
      </c>
      <c r="U30" s="26">
        <f>IF(X30&gt;='Methodology &amp; Assumptions'!$B$7, "Tier 1 Critical GIDA (Score ≥ 50.0)", IF(X30&gt;='Methodology &amp; Assumptions'!$B$8, "Tier 2 High GIDA (Score 40.0–49.9)", "Tier 3 Moderate GIDA (Score &lt; 40.0)"))</f>
        <v/>
      </c>
      <c r="V30" s="26">
        <f>IF(S30&lt;='Methodology &amp; Assumptions'!$B$10, "Direct Optical Drop (&lt;3km)", IF(S30&lt;='Methodology &amp; Assumptions'!$B$9, "Near Optical / Microwave (&lt;5km)", "Starlink Business LEO Satellite Backhaul (&gt;5km)"))</f>
        <v/>
      </c>
      <c r="W30" s="28" t="n">
        <v>0.109</v>
      </c>
      <c r="X30" s="14" t="n">
        <v>60.47</v>
      </c>
      <c r="Y30" s="14">
        <f>ROUND(MIN(100, (X30/69.91)*100), 2)</f>
        <v/>
      </c>
    </row>
    <row r="31">
      <c r="A31" s="10" t="n">
        <v>1</v>
      </c>
      <c r="B31" s="10" t="n">
        <v>27</v>
      </c>
      <c r="C31" s="10" t="n">
        <v>27</v>
      </c>
      <c r="D31" s="10" t="inlineStr">
        <is>
          <t>0405627030</t>
        </is>
      </c>
      <c r="E31" s="26" t="inlineStr">
        <is>
          <t>Region IV-A (CALABARZON)</t>
        </is>
      </c>
      <c r="F31" s="26" t="inlineStr">
        <is>
          <t>Quezon</t>
        </is>
      </c>
      <c r="G31" s="26" t="inlineStr">
        <is>
          <t>Mauban</t>
        </is>
      </c>
      <c r="H31" s="26" t="inlineStr">
        <is>
          <t>San Jose</t>
        </is>
      </c>
      <c r="I31" s="27" t="n">
        <v>14.106709</v>
      </c>
      <c r="J31" s="27" t="n">
        <v>121.792088</v>
      </c>
      <c r="K31" s="10" t="inlineStr">
        <is>
          <t>R</t>
        </is>
      </c>
      <c r="L31" s="12" t="n">
        <v>596</v>
      </c>
      <c r="M31" s="14" t="n">
        <v>3.8</v>
      </c>
      <c r="N31" s="12">
        <f>ROUND(L31/M31, 0)</f>
        <v/>
      </c>
      <c r="O31" s="12">
        <f>ROUND(N31*'Methodology &amp; Assumptions'!$B$5, 0)</f>
        <v/>
      </c>
      <c r="P31" s="10" t="inlineStr">
        <is>
          <t>Single Carrier (Band n50, 100MHz TDD)</t>
        </is>
      </c>
      <c r="Q31" s="13">
        <f>ROUNDUP(O31/'Methodology &amp; Assumptions'!$B$6, 0)</f>
        <v/>
      </c>
      <c r="R31" s="13" t="n">
        <v>1</v>
      </c>
      <c r="S31" s="14" t="n">
        <v>11.18</v>
      </c>
      <c r="T31" s="14" t="n">
        <v>10.53</v>
      </c>
      <c r="U31" s="26">
        <f>IF(X31&gt;='Methodology &amp; Assumptions'!$B$7, "Tier 1 Critical GIDA (Score ≥ 50.0)", IF(X31&gt;='Methodology &amp; Assumptions'!$B$8, "Tier 2 High GIDA (Score 40.0–49.9)", "Tier 3 Moderate GIDA (Score &lt; 40.0)"))</f>
        <v/>
      </c>
      <c r="V31" s="26">
        <f>IF(S31&lt;='Methodology &amp; Assumptions'!$B$10, "Direct Optical Drop (&lt;3km)", IF(S31&lt;='Methodology &amp; Assumptions'!$B$9, "Near Optical / Microwave (&lt;5km)", "Starlink Business LEO Satellite Backhaul (&gt;5km)"))</f>
        <v/>
      </c>
      <c r="W31" s="28" t="n">
        <v>0.07200000000000001</v>
      </c>
      <c r="X31" s="14" t="n">
        <v>60.41</v>
      </c>
      <c r="Y31" s="14">
        <f>ROUND(MIN(100, (X31/69.91)*100), 2)</f>
        <v/>
      </c>
    </row>
    <row r="32">
      <c r="A32" s="10" t="n">
        <v>1</v>
      </c>
      <c r="B32" s="10" t="n">
        <v>28</v>
      </c>
      <c r="C32" s="10" t="n">
        <v>28</v>
      </c>
      <c r="D32" s="10" t="inlineStr">
        <is>
          <t>0405627001</t>
        </is>
      </c>
      <c r="E32" s="26" t="inlineStr">
        <is>
          <t>Region IV-A (CALABARZON)</t>
        </is>
      </c>
      <c r="F32" s="26" t="inlineStr">
        <is>
          <t>Quezon</t>
        </is>
      </c>
      <c r="G32" s="26" t="inlineStr">
        <is>
          <t>Mauban</t>
        </is>
      </c>
      <c r="H32" s="26" t="inlineStr">
        <is>
          <t>Abo-abo</t>
        </is>
      </c>
      <c r="I32" s="27" t="n">
        <v>14.188312</v>
      </c>
      <c r="J32" s="27" t="n">
        <v>121.74531</v>
      </c>
      <c r="K32" s="10" t="inlineStr">
        <is>
          <t>R</t>
        </is>
      </c>
      <c r="L32" s="12" t="n">
        <v>196</v>
      </c>
      <c r="M32" s="14" t="n">
        <v>3.8</v>
      </c>
      <c r="N32" s="12">
        <f>ROUND(L32/M32, 0)</f>
        <v/>
      </c>
      <c r="O32" s="12">
        <f>ROUND(N32*'Methodology &amp; Assumptions'!$B$5, 0)</f>
        <v/>
      </c>
      <c r="P32" s="10" t="inlineStr">
        <is>
          <t>Single Carrier (Band n50, 100MHz TDD)</t>
        </is>
      </c>
      <c r="Q32" s="13">
        <f>ROUNDUP(O32/'Methodology &amp; Assumptions'!$B$6, 0)</f>
        <v/>
      </c>
      <c r="R32" s="13" t="n">
        <v>1</v>
      </c>
      <c r="S32" s="14" t="n">
        <v>3.02</v>
      </c>
      <c r="T32" s="14" t="n">
        <v>20.46</v>
      </c>
      <c r="U32" s="26">
        <f>IF(X32&gt;='Methodology &amp; Assumptions'!$B$7, "Tier 1 Critical GIDA (Score ≥ 50.0)", IF(X32&gt;='Methodology &amp; Assumptions'!$B$8, "Tier 2 High GIDA (Score 40.0–49.9)", "Tier 3 Moderate GIDA (Score &lt; 40.0)"))</f>
        <v/>
      </c>
      <c r="V32" s="26">
        <f>IF(S32&lt;='Methodology &amp; Assumptions'!$B$10, "Direct Optical Drop (&lt;3km)", IF(S32&lt;='Methodology &amp; Assumptions'!$B$9, "Near Optical / Microwave (&lt;5km)", "Starlink Business LEO Satellite Backhaul (&gt;5km)"))</f>
        <v/>
      </c>
      <c r="W32" s="28" t="n">
        <v>0.07200000000000001</v>
      </c>
      <c r="X32" s="14" t="n">
        <v>60.24</v>
      </c>
      <c r="Y32" s="14">
        <f>ROUND(MIN(100, (X32/69.91)*100), 2)</f>
        <v/>
      </c>
    </row>
    <row r="33">
      <c r="A33" s="10" t="n">
        <v>1</v>
      </c>
      <c r="B33" s="10" t="n">
        <v>29</v>
      </c>
      <c r="C33" s="10" t="n">
        <v>29</v>
      </c>
      <c r="D33" s="10" t="inlineStr">
        <is>
          <t>0307703004</t>
        </is>
      </c>
      <c r="E33" s="26" t="inlineStr">
        <is>
          <t>Region III (Central Luzon)</t>
        </is>
      </c>
      <c r="F33" s="26" t="inlineStr">
        <is>
          <t>Aurora</t>
        </is>
      </c>
      <c r="G33" s="26" t="inlineStr">
        <is>
          <t>Dilasag</t>
        </is>
      </c>
      <c r="H33" s="26" t="inlineStr">
        <is>
          <t>Dimaseset</t>
        </is>
      </c>
      <c r="I33" s="27" t="n">
        <v>16.377344</v>
      </c>
      <c r="J33" s="27" t="n">
        <v>122.15658</v>
      </c>
      <c r="K33" s="10" t="inlineStr">
        <is>
          <t>R</t>
        </is>
      </c>
      <c r="L33" s="12" t="n">
        <v>1085</v>
      </c>
      <c r="M33" s="14" t="n">
        <v>3.8</v>
      </c>
      <c r="N33" s="12">
        <f>ROUND(L33/M33, 0)</f>
        <v/>
      </c>
      <c r="O33" s="12">
        <f>ROUND(N33*'Methodology &amp; Assumptions'!$B$5, 0)</f>
        <v/>
      </c>
      <c r="P33" s="10" t="inlineStr">
        <is>
          <t>Single Carrier (Band n50, 100MHz TDD)</t>
        </is>
      </c>
      <c r="Q33" s="13">
        <f>ROUNDUP(O33/'Methodology &amp; Assumptions'!$B$6, 0)</f>
        <v/>
      </c>
      <c r="R33" s="13" t="n">
        <v>1</v>
      </c>
      <c r="S33" s="14" t="n">
        <v>5.18</v>
      </c>
      <c r="T33" s="14" t="n">
        <v>0.16</v>
      </c>
      <c r="U33" s="26">
        <f>IF(X33&gt;='Methodology &amp; Assumptions'!$B$7, "Tier 1 Critical GIDA (Score ≥ 50.0)", IF(X33&gt;='Methodology &amp; Assumptions'!$B$8, "Tier 2 High GIDA (Score 40.0–49.9)", "Tier 3 Moderate GIDA (Score &lt; 40.0)"))</f>
        <v/>
      </c>
      <c r="V33" s="26">
        <f>IF(S33&lt;='Methodology &amp; Assumptions'!$B$10, "Direct Optical Drop (&lt;3km)", IF(S33&lt;='Methodology &amp; Assumptions'!$B$9, "Near Optical / Microwave (&lt;5km)", "Starlink Business LEO Satellite Backhaul (&gt;5km)"))</f>
        <v/>
      </c>
      <c r="W33" s="28" t="n">
        <v>0.083</v>
      </c>
      <c r="X33" s="14" t="n">
        <v>60.15</v>
      </c>
      <c r="Y33" s="14">
        <f>ROUND(MIN(100, (X33/69.91)*100), 2)</f>
        <v/>
      </c>
    </row>
    <row r="34">
      <c r="A34" s="10" t="n">
        <v>1</v>
      </c>
      <c r="B34" s="10" t="n">
        <v>30</v>
      </c>
      <c r="C34" s="10" t="n">
        <v>30</v>
      </c>
      <c r="D34" s="10" t="inlineStr">
        <is>
          <t>0307704009</t>
        </is>
      </c>
      <c r="E34" s="26" t="inlineStr">
        <is>
          <t>Region III (Central Luzon)</t>
        </is>
      </c>
      <c r="F34" s="26" t="inlineStr">
        <is>
          <t>Aurora</t>
        </is>
      </c>
      <c r="G34" s="26" t="inlineStr">
        <is>
          <t>Dinalungan</t>
        </is>
      </c>
      <c r="H34" s="26" t="inlineStr">
        <is>
          <t>Simbahan</t>
        </is>
      </c>
      <c r="I34" s="27" t="n">
        <v>16.129019</v>
      </c>
      <c r="J34" s="27" t="n">
        <v>121.89498</v>
      </c>
      <c r="K34" s="10" t="inlineStr">
        <is>
          <t>R</t>
        </is>
      </c>
      <c r="L34" s="12" t="n">
        <v>1295</v>
      </c>
      <c r="M34" s="14" t="n">
        <v>3.8</v>
      </c>
      <c r="N34" s="12">
        <f>ROUND(L34/M34, 0)</f>
        <v/>
      </c>
      <c r="O34" s="12">
        <f>ROUND(N34*'Methodology &amp; Assumptions'!$B$5, 0)</f>
        <v/>
      </c>
      <c r="P34" s="10" t="inlineStr">
        <is>
          <t>Single Carrier (Band n50, 100MHz TDD)</t>
        </is>
      </c>
      <c r="Q34" s="13">
        <f>ROUNDUP(O34/'Methodology &amp; Assumptions'!$B$6, 0)</f>
        <v/>
      </c>
      <c r="R34" s="13" t="n">
        <v>1</v>
      </c>
      <c r="S34" s="14" t="n">
        <v>0.07000000000000001</v>
      </c>
      <c r="T34" s="14" t="n">
        <v>0.14</v>
      </c>
      <c r="U34" s="26">
        <f>IF(X34&gt;='Methodology &amp; Assumptions'!$B$7, "Tier 1 Critical GIDA (Score ≥ 50.0)", IF(X34&gt;='Methodology &amp; Assumptions'!$B$8, "Tier 2 High GIDA (Score 40.0–49.9)", "Tier 3 Moderate GIDA (Score &lt; 40.0)"))</f>
        <v/>
      </c>
      <c r="V34" s="26">
        <f>IF(S34&lt;='Methodology &amp; Assumptions'!$B$10, "Direct Optical Drop (&lt;3km)", IF(S34&lt;='Methodology &amp; Assumptions'!$B$9, "Near Optical / Microwave (&lt;5km)", "Starlink Business LEO Satellite Backhaul (&gt;5km)"))</f>
        <v/>
      </c>
      <c r="W34" s="28" t="n">
        <v>0.083</v>
      </c>
      <c r="X34" s="14" t="n">
        <v>60.1</v>
      </c>
      <c r="Y34" s="14">
        <f>ROUND(MIN(100, (X34/69.91)*100), 2)</f>
        <v/>
      </c>
    </row>
    <row r="35">
      <c r="A35" s="10" t="n">
        <v>1</v>
      </c>
      <c r="B35" s="10" t="n">
        <v>31</v>
      </c>
      <c r="C35" s="10" t="n">
        <v>31</v>
      </c>
      <c r="D35" s="10" t="inlineStr">
        <is>
          <t>0102803025</t>
        </is>
      </c>
      <c r="E35" s="26" t="inlineStr">
        <is>
          <t>Region I (Ilocos Region)</t>
        </is>
      </c>
      <c r="F35" s="26" t="inlineStr">
        <is>
          <t>Ilocos Norte</t>
        </is>
      </c>
      <c r="G35" s="26" t="inlineStr">
        <is>
          <t>Badoc</t>
        </is>
      </c>
      <c r="H35" s="26" t="inlineStr">
        <is>
          <t>Nagrebcan</t>
        </is>
      </c>
      <c r="I35" s="27" t="n">
        <v>17.912829</v>
      </c>
      <c r="J35" s="27" t="n">
        <v>120.494945</v>
      </c>
      <c r="K35" s="10" t="inlineStr">
        <is>
          <t>R</t>
        </is>
      </c>
      <c r="L35" s="12" t="n">
        <v>536</v>
      </c>
      <c r="M35" s="14" t="n">
        <v>3.7</v>
      </c>
      <c r="N35" s="12">
        <f>ROUND(L35/M35, 0)</f>
        <v/>
      </c>
      <c r="O35" s="12">
        <f>ROUND(N35*'Methodology &amp; Assumptions'!$B$5, 0)</f>
        <v/>
      </c>
      <c r="P35" s="10" t="inlineStr">
        <is>
          <t>Single Carrier (Band n50, 100MHz TDD)</t>
        </is>
      </c>
      <c r="Q35" s="13">
        <f>ROUNDUP(O35/'Methodology &amp; Assumptions'!$B$6, 0)</f>
        <v/>
      </c>
      <c r="R35" s="13" t="n">
        <v>1</v>
      </c>
      <c r="S35" s="14" t="n">
        <v>1.93</v>
      </c>
      <c r="T35" s="14" t="n">
        <v>1.65</v>
      </c>
      <c r="U35" s="26">
        <f>IF(X35&gt;='Methodology &amp; Assumptions'!$B$7, "Tier 1 Critical GIDA (Score ≥ 50.0)", IF(X35&gt;='Methodology &amp; Assumptions'!$B$8, "Tier 2 High GIDA (Score 40.0–49.9)", "Tier 3 Moderate GIDA (Score &lt; 40.0)"))</f>
        <v/>
      </c>
      <c r="V35" s="26">
        <f>IF(S35&lt;='Methodology &amp; Assumptions'!$B$10, "Direct Optical Drop (&lt;3km)", IF(S35&lt;='Methodology &amp; Assumptions'!$B$9, "Near Optical / Microwave (&lt;5km)", "Starlink Business LEO Satellite Backhaul (&gt;5km)"))</f>
        <v/>
      </c>
      <c r="W35" s="28" t="n">
        <v>0.083</v>
      </c>
      <c r="X35" s="14" t="n">
        <v>59.8</v>
      </c>
      <c r="Y35" s="14">
        <f>ROUND(MIN(100, (X35/69.91)*100), 2)</f>
        <v/>
      </c>
    </row>
    <row r="36">
      <c r="A36" s="10" t="n">
        <v>1</v>
      </c>
      <c r="B36" s="10" t="n">
        <v>32</v>
      </c>
      <c r="C36" s="10" t="n">
        <v>32</v>
      </c>
      <c r="D36" s="10" t="inlineStr">
        <is>
          <t>1401113009</t>
        </is>
      </c>
      <c r="E36" s="26" t="inlineStr">
        <is>
          <t>Cordillera Administrative Region (CAR)</t>
        </is>
      </c>
      <c r="F36" s="26" t="inlineStr">
        <is>
          <t>Benguet</t>
        </is>
      </c>
      <c r="G36" s="26" t="inlineStr">
        <is>
          <t>Tuba</t>
        </is>
      </c>
      <c r="H36" s="26" t="inlineStr">
        <is>
          <t>Tabaan Norte</t>
        </is>
      </c>
      <c r="I36" s="27" t="n">
        <v>16.336576</v>
      </c>
      <c r="J36" s="27" t="n">
        <v>120.509302</v>
      </c>
      <c r="K36" s="10" t="inlineStr">
        <is>
          <t>R</t>
        </is>
      </c>
      <c r="L36" s="12" t="n">
        <v>1327</v>
      </c>
      <c r="M36" s="14" t="n">
        <v>3.5</v>
      </c>
      <c r="N36" s="12">
        <f>ROUND(L36/M36, 0)</f>
        <v/>
      </c>
      <c r="O36" s="12">
        <f>ROUND(N36*'Methodology &amp; Assumptions'!$B$5, 0)</f>
        <v/>
      </c>
      <c r="P36" s="10" t="inlineStr">
        <is>
          <t>Single Carrier (Band n50, 100MHz TDD)</t>
        </is>
      </c>
      <c r="Q36" s="13">
        <f>ROUNDUP(O36/'Methodology &amp; Assumptions'!$B$6, 0)</f>
        <v/>
      </c>
      <c r="R36" s="13" t="n">
        <v>1</v>
      </c>
      <c r="S36" s="14" t="n">
        <v>3.4</v>
      </c>
      <c r="T36" s="14" t="n">
        <v>1.42</v>
      </c>
      <c r="U36" s="26">
        <f>IF(X36&gt;='Methodology &amp; Assumptions'!$B$7, "Tier 1 Critical GIDA (Score ≥ 50.0)", IF(X36&gt;='Methodology &amp; Assumptions'!$B$8, "Tier 2 High GIDA (Score 40.0–49.9)", "Tier 3 Moderate GIDA (Score &lt; 40.0)"))</f>
        <v/>
      </c>
      <c r="V36" s="26">
        <f>IF(S36&lt;='Methodology &amp; Assumptions'!$B$10, "Direct Optical Drop (&lt;3km)", IF(S36&lt;='Methodology &amp; Assumptions'!$B$9, "Near Optical / Microwave (&lt;5km)", "Starlink Business LEO Satellite Backhaul (&gt;5km)"))</f>
        <v/>
      </c>
      <c r="W36" s="28" t="n">
        <v>0.109</v>
      </c>
      <c r="X36" s="14" t="n">
        <v>59.72</v>
      </c>
      <c r="Y36" s="14">
        <f>ROUND(MIN(100, (X36/69.91)*100), 2)</f>
        <v/>
      </c>
    </row>
    <row r="37">
      <c r="A37" s="10" t="n">
        <v>1</v>
      </c>
      <c r="B37" s="10" t="n">
        <v>33</v>
      </c>
      <c r="C37" s="10" t="n">
        <v>33</v>
      </c>
      <c r="D37" s="10" t="inlineStr">
        <is>
          <t>0205006015</t>
        </is>
      </c>
      <c r="E37" s="26" t="inlineStr">
        <is>
          <t>Region II (Cagayan Valley)</t>
        </is>
      </c>
      <c r="F37" s="26" t="inlineStr">
        <is>
          <t>Nueva Vizcaya</t>
        </is>
      </c>
      <c r="G37" s="26" t="inlineStr">
        <is>
          <t>Diadi</t>
        </is>
      </c>
      <c r="H37" s="26" t="inlineStr">
        <is>
          <t>Rosario</t>
        </is>
      </c>
      <c r="I37" s="27" t="n">
        <v>16.6152</v>
      </c>
      <c r="J37" s="27" t="n">
        <v>121.32638</v>
      </c>
      <c r="K37" s="10" t="inlineStr">
        <is>
          <t>R</t>
        </is>
      </c>
      <c r="L37" s="12" t="n">
        <v>363</v>
      </c>
      <c r="M37" s="14" t="n">
        <v>3.8</v>
      </c>
      <c r="N37" s="12">
        <f>ROUND(L37/M37, 0)</f>
        <v/>
      </c>
      <c r="O37" s="12">
        <f>ROUND(N37*'Methodology &amp; Assumptions'!$B$5, 0)</f>
        <v/>
      </c>
      <c r="P37" s="10" t="inlineStr">
        <is>
          <t>Single Carrier (Band n50, 100MHz TDD)</t>
        </is>
      </c>
      <c r="Q37" s="13">
        <f>ROUNDUP(O37/'Methodology &amp; Assumptions'!$B$6, 0)</f>
        <v/>
      </c>
      <c r="R37" s="13" t="n">
        <v>1</v>
      </c>
      <c r="S37" s="14" t="n">
        <v>6.69</v>
      </c>
      <c r="T37" s="14" t="n">
        <v>0.04</v>
      </c>
      <c r="U37" s="26">
        <f>IF(X37&gt;='Methodology &amp; Assumptions'!$B$7, "Tier 1 Critical GIDA (Score ≥ 50.0)", IF(X37&gt;='Methodology &amp; Assumptions'!$B$8, "Tier 2 High GIDA (Score 40.0–49.9)", "Tier 3 Moderate GIDA (Score &lt; 40.0)"))</f>
        <v/>
      </c>
      <c r="V37" s="26">
        <f>IF(S37&lt;='Methodology &amp; Assumptions'!$B$10, "Direct Optical Drop (&lt;3km)", IF(S37&lt;='Methodology &amp; Assumptions'!$B$9, "Near Optical / Microwave (&lt;5km)", "Starlink Business LEO Satellite Backhaul (&gt;5km)"))</f>
        <v/>
      </c>
      <c r="W37" s="28" t="n">
        <v>0.083</v>
      </c>
      <c r="X37" s="14" t="n">
        <v>59.6</v>
      </c>
      <c r="Y37" s="14">
        <f>ROUND(MIN(100, (X37/69.91)*100), 2)</f>
        <v/>
      </c>
    </row>
    <row r="38">
      <c r="A38" s="10" t="n">
        <v>1</v>
      </c>
      <c r="B38" s="10" t="n">
        <v>34</v>
      </c>
      <c r="C38" s="10" t="n">
        <v>34</v>
      </c>
      <c r="D38" s="10" t="inlineStr">
        <is>
          <t>0105536013</t>
        </is>
      </c>
      <c r="E38" s="26" t="inlineStr">
        <is>
          <t>Region I (Ilocos Region)</t>
        </is>
      </c>
      <c r="F38" s="26" t="inlineStr">
        <is>
          <t>Pangasinan</t>
        </is>
      </c>
      <c r="G38" s="26" t="inlineStr">
        <is>
          <t>San Nicolas</t>
        </is>
      </c>
      <c r="H38" s="26" t="inlineStr">
        <is>
          <t>Fianza</t>
        </is>
      </c>
      <c r="I38" s="27" t="n">
        <v>16.194835</v>
      </c>
      <c r="J38" s="27" t="n">
        <v>120.777721</v>
      </c>
      <c r="K38" s="10" t="inlineStr">
        <is>
          <t>R</t>
        </is>
      </c>
      <c r="L38" s="12" t="n">
        <v>988</v>
      </c>
      <c r="M38" s="14" t="n">
        <v>3.6</v>
      </c>
      <c r="N38" s="12">
        <f>ROUND(L38/M38, 0)</f>
        <v/>
      </c>
      <c r="O38" s="12">
        <f>ROUND(N38*'Methodology &amp; Assumptions'!$B$5, 0)</f>
        <v/>
      </c>
      <c r="P38" s="10" t="inlineStr">
        <is>
          <t>Single Carrier (Band n50, 100MHz TDD)</t>
        </is>
      </c>
      <c r="Q38" s="13">
        <f>ROUNDUP(O38/'Methodology &amp; Assumptions'!$B$6, 0)</f>
        <v/>
      </c>
      <c r="R38" s="13" t="n">
        <v>1</v>
      </c>
      <c r="S38" s="14" t="n">
        <v>17.55</v>
      </c>
      <c r="T38" s="14" t="n">
        <v>17.18</v>
      </c>
      <c r="U38" s="26">
        <f>IF(X38&gt;='Methodology &amp; Assumptions'!$B$7, "Tier 1 Critical GIDA (Score ≥ 50.0)", IF(X38&gt;='Methodology &amp; Assumptions'!$B$8, "Tier 2 High GIDA (Score 40.0–49.9)", "Tier 3 Moderate GIDA (Score &lt; 40.0)"))</f>
        <v/>
      </c>
      <c r="V38" s="26">
        <f>IF(S38&lt;='Methodology &amp; Assumptions'!$B$10, "Direct Optical Drop (&lt;3km)", IF(S38&lt;='Methodology &amp; Assumptions'!$B$9, "Near Optical / Microwave (&lt;5km)", "Starlink Business LEO Satellite Backhaul (&gt;5km)"))</f>
        <v/>
      </c>
      <c r="W38" s="28" t="n">
        <v>0.083</v>
      </c>
      <c r="X38" s="14" t="n">
        <v>59.59</v>
      </c>
      <c r="Y38" s="14">
        <f>ROUND(MIN(100, (X38/69.91)*100), 2)</f>
        <v/>
      </c>
    </row>
    <row r="39">
      <c r="A39" s="10" t="n">
        <v>1</v>
      </c>
      <c r="B39" s="10" t="n">
        <v>35</v>
      </c>
      <c r="C39" s="10" t="n">
        <v>35</v>
      </c>
      <c r="D39" s="10" t="inlineStr">
        <is>
          <t>PH0000035</t>
        </is>
      </c>
      <c r="E39" s="26" t="inlineStr">
        <is>
          <t>VI</t>
        </is>
      </c>
      <c r="F39" s="26" t="inlineStr">
        <is>
          <t>Iloilo</t>
        </is>
      </c>
      <c r="G39" s="26" t="inlineStr">
        <is>
          <t>Iloilo City</t>
        </is>
      </c>
      <c r="H39" s="26" t="inlineStr">
        <is>
          <t>Gloria</t>
        </is>
      </c>
      <c r="I39" s="27" t="n">
        <v>10.708765</v>
      </c>
      <c r="J39" s="27" t="n">
        <v>122.552701</v>
      </c>
      <c r="K39" s="10" t="inlineStr">
        <is>
          <t>R</t>
        </is>
      </c>
      <c r="L39" s="12" t="n">
        <v>2230</v>
      </c>
      <c r="M39" s="14" t="n">
        <v>3.8</v>
      </c>
      <c r="N39" s="12">
        <f>ROUND(L39/M39, 0)</f>
        <v/>
      </c>
      <c r="O39" s="12">
        <f>ROUND(N39*'Methodology &amp; Assumptions'!$B$5, 0)</f>
        <v/>
      </c>
      <c r="P39" s="10" t="inlineStr">
        <is>
          <t>Single Carrier (Band n50, 100MHz TDD)</t>
        </is>
      </c>
      <c r="Q39" s="13">
        <f>ROUNDUP(O39/'Methodology &amp; Assumptions'!$B$6, 0)</f>
        <v/>
      </c>
      <c r="R39" s="13" t="n">
        <v>1</v>
      </c>
      <c r="S39" s="14" t="n">
        <v>1.76</v>
      </c>
      <c r="T39" s="14" t="n">
        <v>1.34</v>
      </c>
      <c r="U39" s="26">
        <f>IF(X39&gt;='Methodology &amp; Assumptions'!$B$7, "Tier 1 Critical GIDA (Score ≥ 50.0)", IF(X39&gt;='Methodology &amp; Assumptions'!$B$8, "Tier 2 High GIDA (Score 40.0–49.9)", "Tier 3 Moderate GIDA (Score &lt; 40.0)"))</f>
        <v/>
      </c>
      <c r="V39" s="26">
        <f>IF(S39&lt;='Methodology &amp; Assumptions'!$B$10, "Direct Optical Drop (&lt;3km)", IF(S39&lt;='Methodology &amp; Assumptions'!$B$9, "Near Optical / Microwave (&lt;5km)", "Starlink Business LEO Satellite Backhaul (&gt;5km)"))</f>
        <v/>
      </c>
      <c r="W39" s="28" t="n">
        <v>0.156</v>
      </c>
      <c r="X39" s="14" t="n">
        <v>59.55</v>
      </c>
      <c r="Y39" s="14">
        <f>ROUND(MIN(100, (X39/69.91)*100), 2)</f>
        <v/>
      </c>
    </row>
    <row r="40">
      <c r="A40" s="10" t="n">
        <v>1</v>
      </c>
      <c r="B40" s="10" t="n">
        <v>36</v>
      </c>
      <c r="C40" s="10" t="n">
        <v>36</v>
      </c>
      <c r="D40" s="10" t="inlineStr">
        <is>
          <t>PH0000036</t>
        </is>
      </c>
      <c r="E40" s="26" t="inlineStr">
        <is>
          <t>VI</t>
        </is>
      </c>
      <c r="F40" s="26" t="inlineStr">
        <is>
          <t>Iloilo</t>
        </is>
      </c>
      <c r="G40" s="26" t="inlineStr">
        <is>
          <t>Iloilo City</t>
        </is>
      </c>
      <c r="H40" s="26" t="inlineStr">
        <is>
          <t>Poblacion Molo</t>
        </is>
      </c>
      <c r="I40" s="27" t="n">
        <v>10.712962</v>
      </c>
      <c r="J40" s="27" t="n">
        <v>122.542912</v>
      </c>
      <c r="K40" s="10" t="inlineStr">
        <is>
          <t>R</t>
        </is>
      </c>
      <c r="L40" s="12" t="n">
        <v>2230</v>
      </c>
      <c r="M40" s="14" t="n">
        <v>3.8</v>
      </c>
      <c r="N40" s="12">
        <f>ROUND(L40/M40, 0)</f>
        <v/>
      </c>
      <c r="O40" s="12">
        <f>ROUND(N40*'Methodology &amp; Assumptions'!$B$5, 0)</f>
        <v/>
      </c>
      <c r="P40" s="10" t="inlineStr">
        <is>
          <t>Single Carrier (Band n50, 100MHz TDD)</t>
        </is>
      </c>
      <c r="Q40" s="13">
        <f>ROUNDUP(O40/'Methodology &amp; Assumptions'!$B$6, 0)</f>
        <v/>
      </c>
      <c r="R40" s="13" t="n">
        <v>1</v>
      </c>
      <c r="S40" s="14" t="n">
        <v>2.47</v>
      </c>
      <c r="T40" s="14" t="n">
        <v>1.99</v>
      </c>
      <c r="U40" s="26">
        <f>IF(X40&gt;='Methodology &amp; Assumptions'!$B$7, "Tier 1 Critical GIDA (Score ≥ 50.0)", IF(X40&gt;='Methodology &amp; Assumptions'!$B$8, "Tier 2 High GIDA (Score 40.0–49.9)", "Tier 3 Moderate GIDA (Score &lt; 40.0)"))</f>
        <v/>
      </c>
      <c r="V40" s="26">
        <f>IF(S40&lt;='Methodology &amp; Assumptions'!$B$10, "Direct Optical Drop (&lt;3km)", IF(S40&lt;='Methodology &amp; Assumptions'!$B$9, "Near Optical / Microwave (&lt;5km)", "Starlink Business LEO Satellite Backhaul (&gt;5km)"))</f>
        <v/>
      </c>
      <c r="W40" s="28" t="n">
        <v>0.156</v>
      </c>
      <c r="X40" s="14" t="n">
        <v>59.53</v>
      </c>
      <c r="Y40" s="14">
        <f>ROUND(MIN(100, (X40/69.91)*100), 2)</f>
        <v/>
      </c>
    </row>
    <row r="41">
      <c r="A41" s="10" t="n">
        <v>1</v>
      </c>
      <c r="B41" s="10" t="n">
        <v>37</v>
      </c>
      <c r="C41" s="10" t="n">
        <v>37</v>
      </c>
      <c r="D41" s="10" t="inlineStr">
        <is>
          <t>0201517002</t>
        </is>
      </c>
      <c r="E41" s="26" t="inlineStr">
        <is>
          <t>Region II (Cagayan Valley)</t>
        </is>
      </c>
      <c r="F41" s="26" t="inlineStr">
        <is>
          <t>Cagayan</t>
        </is>
      </c>
      <c r="G41" s="26" t="inlineStr">
        <is>
          <t>Lasam</t>
        </is>
      </c>
      <c r="H41" s="26" t="inlineStr">
        <is>
          <t>Alannay</t>
        </is>
      </c>
      <c r="I41" s="27" t="n">
        <v>18.060228</v>
      </c>
      <c r="J41" s="27" t="n">
        <v>121.567836</v>
      </c>
      <c r="K41" s="10" t="inlineStr">
        <is>
          <t>R</t>
        </is>
      </c>
      <c r="L41" s="12" t="n">
        <v>2212</v>
      </c>
      <c r="M41" s="14" t="n">
        <v>3.9</v>
      </c>
      <c r="N41" s="12">
        <f>ROUND(L41/M41, 0)</f>
        <v/>
      </c>
      <c r="O41" s="12">
        <f>ROUND(N41*'Methodology &amp; Assumptions'!$B$5, 0)</f>
        <v/>
      </c>
      <c r="P41" s="10" t="inlineStr">
        <is>
          <t>Single Carrier (Band n50, 100MHz TDD)</t>
        </is>
      </c>
      <c r="Q41" s="13">
        <f>ROUNDUP(O41/'Methodology &amp; Assumptions'!$B$6, 0)</f>
        <v/>
      </c>
      <c r="R41" s="13" t="n">
        <v>1</v>
      </c>
      <c r="S41" s="14" t="n">
        <v>4.21</v>
      </c>
      <c r="T41" s="14" t="n">
        <v>6.93</v>
      </c>
      <c r="U41" s="26">
        <f>IF(X41&gt;='Methodology &amp; Assumptions'!$B$7, "Tier 1 Critical GIDA (Score ≥ 50.0)", IF(X41&gt;='Methodology &amp; Assumptions'!$B$8, "Tier 2 High GIDA (Score 40.0–49.9)", "Tier 3 Moderate GIDA (Score &lt; 40.0)"))</f>
        <v/>
      </c>
      <c r="V41" s="26">
        <f>IF(S41&lt;='Methodology &amp; Assumptions'!$B$10, "Direct Optical Drop (&lt;3km)", IF(S41&lt;='Methodology &amp; Assumptions'!$B$9, "Near Optical / Microwave (&lt;5km)", "Starlink Business LEO Satellite Backhaul (&gt;5km)"))</f>
        <v/>
      </c>
      <c r="W41" s="28" t="n">
        <v>0.083</v>
      </c>
      <c r="X41" s="14" t="n">
        <v>59.46</v>
      </c>
      <c r="Y41" s="14">
        <f>ROUND(MIN(100, (X41/69.91)*100), 2)</f>
        <v/>
      </c>
    </row>
    <row r="42">
      <c r="A42" s="10" t="n">
        <v>1</v>
      </c>
      <c r="B42" s="10" t="n">
        <v>38</v>
      </c>
      <c r="C42" s="10" t="n">
        <v>38</v>
      </c>
      <c r="D42" s="10" t="inlineStr">
        <is>
          <t>0102814002</t>
        </is>
      </c>
      <c r="E42" s="26" t="inlineStr">
        <is>
          <t>Region I (Ilocos Region)</t>
        </is>
      </c>
      <c r="F42" s="26" t="inlineStr">
        <is>
          <t>Ilocos Norte</t>
        </is>
      </c>
      <c r="G42" s="26" t="inlineStr">
        <is>
          <t>Nueva Era</t>
        </is>
      </c>
      <c r="H42" s="26" t="inlineStr">
        <is>
          <t>Barangobong</t>
        </is>
      </c>
      <c r="I42" s="27" t="n">
        <v>17.841657</v>
      </c>
      <c r="J42" s="27" t="n">
        <v>120.575572</v>
      </c>
      <c r="K42" s="10" t="inlineStr">
        <is>
          <t>R</t>
        </is>
      </c>
      <c r="L42" s="12" t="n">
        <v>450</v>
      </c>
      <c r="M42" s="14" t="n">
        <v>3.7</v>
      </c>
      <c r="N42" s="12">
        <f>ROUND(L42/M42, 0)</f>
        <v/>
      </c>
      <c r="O42" s="12">
        <f>ROUND(N42*'Methodology &amp; Assumptions'!$B$5, 0)</f>
        <v/>
      </c>
      <c r="P42" s="10" t="inlineStr">
        <is>
          <t>Single Carrier (Band n50, 100MHz TDD)</t>
        </is>
      </c>
      <c r="Q42" s="13">
        <f>ROUNDUP(O42/'Methodology &amp; Assumptions'!$B$6, 0)</f>
        <v/>
      </c>
      <c r="R42" s="13" t="n">
        <v>1</v>
      </c>
      <c r="S42" s="14" t="n">
        <v>12.33</v>
      </c>
      <c r="T42" s="14" t="n">
        <v>9.52</v>
      </c>
      <c r="U42" s="26">
        <f>IF(X42&gt;='Methodology &amp; Assumptions'!$B$7, "Tier 1 Critical GIDA (Score ≥ 50.0)", IF(X42&gt;='Methodology &amp; Assumptions'!$B$8, "Tier 2 High GIDA (Score 40.0–49.9)", "Tier 3 Moderate GIDA (Score &lt; 40.0)"))</f>
        <v/>
      </c>
      <c r="V42" s="26">
        <f>IF(S42&lt;='Methodology &amp; Assumptions'!$B$10, "Direct Optical Drop (&lt;3km)", IF(S42&lt;='Methodology &amp; Assumptions'!$B$9, "Near Optical / Microwave (&lt;5km)", "Starlink Business LEO Satellite Backhaul (&gt;5km)"))</f>
        <v/>
      </c>
      <c r="W42" s="28" t="n">
        <v>0.083</v>
      </c>
      <c r="X42" s="14" t="n">
        <v>59.45</v>
      </c>
      <c r="Y42" s="14">
        <f>ROUND(MIN(100, (X42/69.91)*100), 2)</f>
        <v/>
      </c>
    </row>
    <row r="43">
      <c r="A43" s="10" t="n">
        <v>1</v>
      </c>
      <c r="B43" s="10" t="n">
        <v>39</v>
      </c>
      <c r="C43" s="10" t="n">
        <v>39</v>
      </c>
      <c r="D43" s="10" t="inlineStr">
        <is>
          <t>0201514014</t>
        </is>
      </c>
      <c r="E43" s="26" t="inlineStr">
        <is>
          <t>Region II (Cagayan Valley)</t>
        </is>
      </c>
      <c r="F43" s="26" t="inlineStr">
        <is>
          <t>Cagayan</t>
        </is>
      </c>
      <c r="G43" s="26" t="inlineStr">
        <is>
          <t>Gonzaga</t>
        </is>
      </c>
      <c r="H43" s="26" t="inlineStr">
        <is>
          <t>Magrafil</t>
        </is>
      </c>
      <c r="I43" s="27" t="n">
        <v>18.276225</v>
      </c>
      <c r="J43" s="27" t="n">
        <v>122.074979</v>
      </c>
      <c r="K43" s="10" t="inlineStr">
        <is>
          <t>R</t>
        </is>
      </c>
      <c r="L43" s="12" t="n">
        <v>1256</v>
      </c>
      <c r="M43" s="14" t="n">
        <v>3.9</v>
      </c>
      <c r="N43" s="12">
        <f>ROUND(L43/M43, 0)</f>
        <v/>
      </c>
      <c r="O43" s="12">
        <f>ROUND(N43*'Methodology &amp; Assumptions'!$B$5, 0)</f>
        <v/>
      </c>
      <c r="P43" s="10" t="inlineStr">
        <is>
          <t>Single Carrier (Band n50, 100MHz TDD)</t>
        </is>
      </c>
      <c r="Q43" s="13">
        <f>ROUNDUP(O43/'Methodology &amp; Assumptions'!$B$6, 0)</f>
        <v/>
      </c>
      <c r="R43" s="13" t="n">
        <v>1</v>
      </c>
      <c r="S43" s="14" t="n">
        <v>8.15</v>
      </c>
      <c r="T43" s="14" t="n">
        <v>4.81</v>
      </c>
      <c r="U43" s="26">
        <f>IF(X43&gt;='Methodology &amp; Assumptions'!$B$7, "Tier 1 Critical GIDA (Score ≥ 50.0)", IF(X43&gt;='Methodology &amp; Assumptions'!$B$8, "Tier 2 High GIDA (Score 40.0–49.9)", "Tier 3 Moderate GIDA (Score &lt; 40.0)"))</f>
        <v/>
      </c>
      <c r="V43" s="26">
        <f>IF(S43&lt;='Methodology &amp; Assumptions'!$B$10, "Direct Optical Drop (&lt;3km)", IF(S43&lt;='Methodology &amp; Assumptions'!$B$9, "Near Optical / Microwave (&lt;5km)", "Starlink Business LEO Satellite Backhaul (&gt;5km)"))</f>
        <v/>
      </c>
      <c r="W43" s="28" t="n">
        <v>0.083</v>
      </c>
      <c r="X43" s="14" t="n">
        <v>59.44</v>
      </c>
      <c r="Y43" s="14">
        <f>ROUND(MIN(100, (X43/69.91)*100), 2)</f>
        <v/>
      </c>
    </row>
    <row r="44">
      <c r="A44" s="10" t="n">
        <v>1</v>
      </c>
      <c r="B44" s="10" t="n">
        <v>40</v>
      </c>
      <c r="C44" s="10" t="n">
        <v>40</v>
      </c>
      <c r="D44" s="10" t="inlineStr">
        <is>
          <t>0105536005</t>
        </is>
      </c>
      <c r="E44" s="26" t="inlineStr">
        <is>
          <t>Region I (Ilocos Region)</t>
        </is>
      </c>
      <c r="F44" s="26" t="inlineStr">
        <is>
          <t>Pangasinan</t>
        </is>
      </c>
      <c r="G44" s="26" t="inlineStr">
        <is>
          <t>San Nicolas</t>
        </is>
      </c>
      <c r="H44" s="26" t="inlineStr">
        <is>
          <t>Cacabugaoan</t>
        </is>
      </c>
      <c r="I44" s="27" t="n">
        <v>16.070593</v>
      </c>
      <c r="J44" s="27" t="n">
        <v>120.791571</v>
      </c>
      <c r="K44" s="10" t="inlineStr">
        <is>
          <t>R</t>
        </is>
      </c>
      <c r="L44" s="12" t="n">
        <v>1415</v>
      </c>
      <c r="M44" s="14" t="n">
        <v>3.6</v>
      </c>
      <c r="N44" s="12">
        <f>ROUND(L44/M44, 0)</f>
        <v/>
      </c>
      <c r="O44" s="12">
        <f>ROUND(N44*'Methodology &amp; Assumptions'!$B$5, 0)</f>
        <v/>
      </c>
      <c r="P44" s="10" t="inlineStr">
        <is>
          <t>Single Carrier (Band n50, 100MHz TDD)</t>
        </is>
      </c>
      <c r="Q44" s="13">
        <f>ROUNDUP(O44/'Methodology &amp; Assumptions'!$B$6, 0)</f>
        <v/>
      </c>
      <c r="R44" s="13" t="n">
        <v>1</v>
      </c>
      <c r="S44" s="14" t="n">
        <v>6.99</v>
      </c>
      <c r="T44" s="14" t="n">
        <v>7.11</v>
      </c>
      <c r="U44" s="26">
        <f>IF(X44&gt;='Methodology &amp; Assumptions'!$B$7, "Tier 1 Critical GIDA (Score ≥ 50.0)", IF(X44&gt;='Methodology &amp; Assumptions'!$B$8, "Tier 2 High GIDA (Score 40.0–49.9)", "Tier 3 Moderate GIDA (Score &lt; 40.0)"))</f>
        <v/>
      </c>
      <c r="V44" s="26">
        <f>IF(S44&lt;='Methodology &amp; Assumptions'!$B$10, "Direct Optical Drop (&lt;3km)", IF(S44&lt;='Methodology &amp; Assumptions'!$B$9, "Near Optical / Microwave (&lt;5km)", "Starlink Business LEO Satellite Backhaul (&gt;5km)"))</f>
        <v/>
      </c>
      <c r="W44" s="28" t="n">
        <v>0.083</v>
      </c>
      <c r="X44" s="14" t="n">
        <v>59.42</v>
      </c>
      <c r="Y44" s="14">
        <f>ROUND(MIN(100, (X44/69.91)*100), 2)</f>
        <v/>
      </c>
    </row>
    <row r="45">
      <c r="A45" s="10" t="n">
        <v>1</v>
      </c>
      <c r="B45" s="10" t="n">
        <v>41</v>
      </c>
      <c r="C45" s="10" t="n">
        <v>41</v>
      </c>
      <c r="D45" s="10" t="inlineStr">
        <is>
          <t>0102915001</t>
        </is>
      </c>
      <c r="E45" s="26" t="inlineStr">
        <is>
          <t>Region I (Ilocos Region)</t>
        </is>
      </c>
      <c r="F45" s="26" t="inlineStr">
        <is>
          <t>Ilocos Sur</t>
        </is>
      </c>
      <c r="G45" s="26" t="inlineStr">
        <is>
          <t>Quirino</t>
        </is>
      </c>
      <c r="H45" s="26" t="inlineStr">
        <is>
          <t>Banoen</t>
        </is>
      </c>
      <c r="I45" s="27" t="n">
        <v>17.157327</v>
      </c>
      <c r="J45" s="27" t="n">
        <v>120.680483</v>
      </c>
      <c r="K45" s="10" t="inlineStr">
        <is>
          <t>R</t>
        </is>
      </c>
      <c r="L45" s="12" t="n">
        <v>596</v>
      </c>
      <c r="M45" s="14" t="n">
        <v>3.9</v>
      </c>
      <c r="N45" s="12">
        <f>ROUND(L45/M45, 0)</f>
        <v/>
      </c>
      <c r="O45" s="12">
        <f>ROUND(N45*'Methodology &amp; Assumptions'!$B$5, 0)</f>
        <v/>
      </c>
      <c r="P45" s="10" t="inlineStr">
        <is>
          <t>Single Carrier (Band n50, 100MHz TDD)</t>
        </is>
      </c>
      <c r="Q45" s="13">
        <f>ROUNDUP(O45/'Methodology &amp; Assumptions'!$B$6, 0)</f>
        <v/>
      </c>
      <c r="R45" s="13" t="n">
        <v>1</v>
      </c>
      <c r="S45" s="14" t="n">
        <v>2.26</v>
      </c>
      <c r="T45" s="14" t="n">
        <v>2.09</v>
      </c>
      <c r="U45" s="26">
        <f>IF(X45&gt;='Methodology &amp; Assumptions'!$B$7, "Tier 1 Critical GIDA (Score ≥ 50.0)", IF(X45&gt;='Methodology &amp; Assumptions'!$B$8, "Tier 2 High GIDA (Score 40.0–49.9)", "Tier 3 Moderate GIDA (Score &lt; 40.0)"))</f>
        <v/>
      </c>
      <c r="V45" s="26">
        <f>IF(S45&lt;='Methodology &amp; Assumptions'!$B$10, "Direct Optical Drop (&lt;3km)", IF(S45&lt;='Methodology &amp; Assumptions'!$B$9, "Near Optical / Microwave (&lt;5km)", "Starlink Business LEO Satellite Backhaul (&gt;5km)"))</f>
        <v/>
      </c>
      <c r="W45" s="28" t="n">
        <v>0.083</v>
      </c>
      <c r="X45" s="14" t="n">
        <v>59.4</v>
      </c>
      <c r="Y45" s="14">
        <f>ROUND(MIN(100, (X45/69.91)*100), 2)</f>
        <v/>
      </c>
    </row>
    <row r="46">
      <c r="A46" s="10" t="n">
        <v>1</v>
      </c>
      <c r="B46" s="10" t="n">
        <v>42</v>
      </c>
      <c r="C46" s="10" t="n">
        <v>42</v>
      </c>
      <c r="D46" s="10" t="inlineStr">
        <is>
          <t>PH0000042</t>
        </is>
      </c>
      <c r="E46" s="26" t="inlineStr">
        <is>
          <t>VI</t>
        </is>
      </c>
      <c r="F46" s="26" t="inlineStr">
        <is>
          <t>Iloilo</t>
        </is>
      </c>
      <c r="G46" s="26" t="inlineStr">
        <is>
          <t>Iloilo City</t>
        </is>
      </c>
      <c r="H46" s="26" t="inlineStr">
        <is>
          <t>San Jose</t>
        </is>
      </c>
      <c r="I46" s="27" t="n">
        <v>10.689245</v>
      </c>
      <c r="J46" s="27" t="n">
        <v>122.517119</v>
      </c>
      <c r="K46" s="10" t="inlineStr">
        <is>
          <t>R</t>
        </is>
      </c>
      <c r="L46" s="12" t="n">
        <v>2230</v>
      </c>
      <c r="M46" s="14" t="n">
        <v>3.8</v>
      </c>
      <c r="N46" s="12">
        <f>ROUND(L46/M46, 0)</f>
        <v/>
      </c>
      <c r="O46" s="12">
        <f>ROUND(N46*'Methodology &amp; Assumptions'!$B$5, 0)</f>
        <v/>
      </c>
      <c r="P46" s="10" t="inlineStr">
        <is>
          <t>Single Carrier (Band n50, 100MHz TDD)</t>
        </is>
      </c>
      <c r="Q46" s="13">
        <f>ROUNDUP(O46/'Methodology &amp; Assumptions'!$B$6, 0)</f>
        <v/>
      </c>
      <c r="R46" s="13" t="n">
        <v>1</v>
      </c>
      <c r="S46" s="14" t="n">
        <v>2.8</v>
      </c>
      <c r="T46" s="14" t="n">
        <v>2.08</v>
      </c>
      <c r="U46" s="26">
        <f>IF(X46&gt;='Methodology &amp; Assumptions'!$B$7, "Tier 1 Critical GIDA (Score ≥ 50.0)", IF(X46&gt;='Methodology &amp; Assumptions'!$B$8, "Tier 2 High GIDA (Score 40.0–49.9)", "Tier 3 Moderate GIDA (Score &lt; 40.0)"))</f>
        <v/>
      </c>
      <c r="V46" s="26">
        <f>IF(S46&lt;='Methodology &amp; Assumptions'!$B$10, "Direct Optical Drop (&lt;3km)", IF(S46&lt;='Methodology &amp; Assumptions'!$B$9, "Near Optical / Microwave (&lt;5km)", "Starlink Business LEO Satellite Backhaul (&gt;5km)"))</f>
        <v/>
      </c>
      <c r="W46" s="28" t="n">
        <v>0.156</v>
      </c>
      <c r="X46" s="14" t="n">
        <v>59.26</v>
      </c>
      <c r="Y46" s="14">
        <f>ROUND(MIN(100, (X46/69.91)*100), 2)</f>
        <v/>
      </c>
    </row>
    <row r="47">
      <c r="A47" s="10" t="n">
        <v>1</v>
      </c>
      <c r="B47" s="10" t="n">
        <v>43</v>
      </c>
      <c r="C47" s="10" t="n">
        <v>43</v>
      </c>
      <c r="D47" s="10" t="inlineStr">
        <is>
          <t>0102903022</t>
        </is>
      </c>
      <c r="E47" s="26" t="inlineStr">
        <is>
          <t>Region I (Ilocos Region)</t>
        </is>
      </c>
      <c r="F47" s="26" t="inlineStr">
        <is>
          <t>Ilocos Sur</t>
        </is>
      </c>
      <c r="G47" s="26" t="inlineStr">
        <is>
          <t>Bantay</t>
        </is>
      </c>
      <c r="H47" s="26" t="inlineStr">
        <is>
          <t>San Mariano</t>
        </is>
      </c>
      <c r="I47" s="27" t="n">
        <v>17.552488</v>
      </c>
      <c r="J47" s="27" t="n">
        <v>120.487938</v>
      </c>
      <c r="K47" s="10" t="inlineStr">
        <is>
          <t>R</t>
        </is>
      </c>
      <c r="L47" s="12" t="n">
        <v>365</v>
      </c>
      <c r="M47" s="14" t="n">
        <v>3.8</v>
      </c>
      <c r="N47" s="12">
        <f>ROUND(L47/M47, 0)</f>
        <v/>
      </c>
      <c r="O47" s="12">
        <f>ROUND(N47*'Methodology &amp; Assumptions'!$B$5, 0)</f>
        <v/>
      </c>
      <c r="P47" s="10" t="inlineStr">
        <is>
          <t>Single Carrier (Band n50, 100MHz TDD)</t>
        </is>
      </c>
      <c r="Q47" s="13">
        <f>ROUNDUP(O47/'Methodology &amp; Assumptions'!$B$6, 0)</f>
        <v/>
      </c>
      <c r="R47" s="13" t="n">
        <v>1</v>
      </c>
      <c r="S47" s="14" t="n">
        <v>7.94</v>
      </c>
      <c r="T47" s="14" t="n">
        <v>2.62</v>
      </c>
      <c r="U47" s="26">
        <f>IF(X47&gt;='Methodology &amp; Assumptions'!$B$7, "Tier 1 Critical GIDA (Score ≥ 50.0)", IF(X47&gt;='Methodology &amp; Assumptions'!$B$8, "Tier 2 High GIDA (Score 40.0–49.9)", "Tier 3 Moderate GIDA (Score &lt; 40.0)"))</f>
        <v/>
      </c>
      <c r="V47" s="26">
        <f>IF(S47&lt;='Methodology &amp; Assumptions'!$B$10, "Direct Optical Drop (&lt;3km)", IF(S47&lt;='Methodology &amp; Assumptions'!$B$9, "Near Optical / Microwave (&lt;5km)", "Starlink Business LEO Satellite Backhaul (&gt;5km)"))</f>
        <v/>
      </c>
      <c r="W47" s="28" t="n">
        <v>0.083</v>
      </c>
      <c r="X47" s="14" t="n">
        <v>59.26</v>
      </c>
      <c r="Y47" s="14">
        <f>ROUND(MIN(100, (X47/69.91)*100), 2)</f>
        <v/>
      </c>
    </row>
    <row r="48">
      <c r="A48" s="10" t="n">
        <v>1</v>
      </c>
      <c r="B48" s="10" t="n">
        <v>44</v>
      </c>
      <c r="C48" s="10" t="n">
        <v>44</v>
      </c>
      <c r="D48" s="10" t="inlineStr">
        <is>
          <t>0405647001</t>
        </is>
      </c>
      <c r="E48" s="26" t="inlineStr">
        <is>
          <t>Region IV-A (CALABARZON)</t>
        </is>
      </c>
      <c r="F48" s="26" t="inlineStr">
        <is>
          <t>Quezon</t>
        </is>
      </c>
      <c r="G48" s="26" t="inlineStr">
        <is>
          <t>City of Tayabas</t>
        </is>
      </c>
      <c r="H48" s="26" t="inlineStr">
        <is>
          <t>Alitao</t>
        </is>
      </c>
      <c r="I48" s="27" t="n">
        <v>14.016514</v>
      </c>
      <c r="J48" s="27" t="n">
        <v>121.612103</v>
      </c>
      <c r="K48" s="10" t="inlineStr">
        <is>
          <t>R</t>
        </is>
      </c>
      <c r="L48" s="12" t="n">
        <v>133</v>
      </c>
      <c r="M48" s="14" t="n">
        <v>3.8</v>
      </c>
      <c r="N48" s="12">
        <f>ROUND(L48/M48, 0)</f>
        <v/>
      </c>
      <c r="O48" s="12">
        <f>ROUND(N48*'Methodology &amp; Assumptions'!$B$5, 0)</f>
        <v/>
      </c>
      <c r="P48" s="10" t="inlineStr">
        <is>
          <t>Single Carrier (Band n50, 100MHz TDD)</t>
        </is>
      </c>
      <c r="Q48" s="13">
        <f>ROUNDUP(O48/'Methodology &amp; Assumptions'!$B$6, 0)</f>
        <v/>
      </c>
      <c r="R48" s="13" t="n">
        <v>1</v>
      </c>
      <c r="S48" s="14" t="n">
        <v>2.16</v>
      </c>
      <c r="T48" s="14" t="n">
        <v>0.95</v>
      </c>
      <c r="U48" s="26">
        <f>IF(X48&gt;='Methodology &amp; Assumptions'!$B$7, "Tier 1 Critical GIDA (Score ≥ 50.0)", IF(X48&gt;='Methodology &amp; Assumptions'!$B$8, "Tier 2 High GIDA (Score 40.0–49.9)", "Tier 3 Moderate GIDA (Score &lt; 40.0)"))</f>
        <v/>
      </c>
      <c r="V48" s="26">
        <f>IF(S48&lt;='Methodology &amp; Assumptions'!$B$10, "Direct Optical Drop (&lt;3km)", IF(S48&lt;='Methodology &amp; Assumptions'!$B$9, "Near Optical / Microwave (&lt;5km)", "Starlink Business LEO Satellite Backhaul (&gt;5km)"))</f>
        <v/>
      </c>
      <c r="W48" s="28" t="n">
        <v>0.07200000000000001</v>
      </c>
      <c r="X48" s="14" t="n">
        <v>59.24</v>
      </c>
      <c r="Y48" s="14">
        <f>ROUND(MIN(100, (X48/69.91)*100), 2)</f>
        <v/>
      </c>
    </row>
    <row r="49">
      <c r="A49" s="10" t="n">
        <v>1</v>
      </c>
      <c r="B49" s="10" t="n">
        <v>45</v>
      </c>
      <c r="C49" s="10" t="n">
        <v>45</v>
      </c>
      <c r="D49" s="10" t="inlineStr">
        <is>
          <t>0201511024</t>
        </is>
      </c>
      <c r="E49" s="26" t="inlineStr">
        <is>
          <t>Region II (Cagayan Valley)</t>
        </is>
      </c>
      <c r="F49" s="26" t="inlineStr">
        <is>
          <t>Cagayan</t>
        </is>
      </c>
      <c r="G49" s="26" t="inlineStr">
        <is>
          <t>Claveria</t>
        </is>
      </c>
      <c r="H49" s="26" t="inlineStr">
        <is>
          <t>Santiago</t>
        </is>
      </c>
      <c r="I49" s="27" t="n">
        <v>18.587114</v>
      </c>
      <c r="J49" s="27" t="n">
        <v>121.114907</v>
      </c>
      <c r="K49" s="10" t="inlineStr">
        <is>
          <t>R</t>
        </is>
      </c>
      <c r="L49" s="12" t="n">
        <v>364</v>
      </c>
      <c r="M49" s="14" t="n">
        <v>3.9</v>
      </c>
      <c r="N49" s="12">
        <f>ROUND(L49/M49, 0)</f>
        <v/>
      </c>
      <c r="O49" s="12">
        <f>ROUND(N49*'Methodology &amp; Assumptions'!$B$5, 0)</f>
        <v/>
      </c>
      <c r="P49" s="10" t="inlineStr">
        <is>
          <t>Single Carrier (Band n50, 100MHz TDD)</t>
        </is>
      </c>
      <c r="Q49" s="13">
        <f>ROUNDUP(O49/'Methodology &amp; Assumptions'!$B$6, 0)</f>
        <v/>
      </c>
      <c r="R49" s="13" t="n">
        <v>1</v>
      </c>
      <c r="S49" s="14" t="n">
        <v>5.01</v>
      </c>
      <c r="T49" s="14" t="n">
        <v>2.88</v>
      </c>
      <c r="U49" s="26">
        <f>IF(X49&gt;='Methodology &amp; Assumptions'!$B$7, "Tier 1 Critical GIDA (Score ≥ 50.0)", IF(X49&gt;='Methodology &amp; Assumptions'!$B$8, "Tier 2 High GIDA (Score 40.0–49.9)", "Tier 3 Moderate GIDA (Score &lt; 40.0)"))</f>
        <v/>
      </c>
      <c r="V49" s="26">
        <f>IF(S49&lt;='Methodology &amp; Assumptions'!$B$10, "Direct Optical Drop (&lt;3km)", IF(S49&lt;='Methodology &amp; Assumptions'!$B$9, "Near Optical / Microwave (&lt;5km)", "Starlink Business LEO Satellite Backhaul (&gt;5km)"))</f>
        <v/>
      </c>
      <c r="W49" s="28" t="n">
        <v>0.083</v>
      </c>
      <c r="X49" s="14" t="n">
        <v>59.19</v>
      </c>
      <c r="Y49" s="14">
        <f>ROUND(MIN(100, (X49/69.91)*100), 2)</f>
        <v/>
      </c>
    </row>
    <row r="50">
      <c r="A50" s="10" t="n">
        <v>1</v>
      </c>
      <c r="B50" s="10" t="n">
        <v>46</v>
      </c>
      <c r="C50" s="10" t="n">
        <v>46</v>
      </c>
      <c r="D50" s="10" t="inlineStr">
        <is>
          <t>PH0000046</t>
        </is>
      </c>
      <c r="E50" s="26" t="inlineStr">
        <is>
          <t>VI</t>
        </is>
      </c>
      <c r="F50" s="26" t="inlineStr">
        <is>
          <t>Iloilo</t>
        </is>
      </c>
      <c r="G50" s="26" t="inlineStr">
        <is>
          <t>Iloilo City</t>
        </is>
      </c>
      <c r="H50" s="26" t="inlineStr">
        <is>
          <t>San Felix</t>
        </is>
      </c>
      <c r="I50" s="27" t="n">
        <v>10.717069</v>
      </c>
      <c r="J50" s="27" t="n">
        <v>122.555473</v>
      </c>
      <c r="K50" s="10" t="inlineStr">
        <is>
          <t>R</t>
        </is>
      </c>
      <c r="L50" s="12" t="n">
        <v>2230</v>
      </c>
      <c r="M50" s="14" t="n">
        <v>3.8</v>
      </c>
      <c r="N50" s="12">
        <f>ROUND(L50/M50, 0)</f>
        <v/>
      </c>
      <c r="O50" s="12">
        <f>ROUND(N50*'Methodology &amp; Assumptions'!$B$5, 0)</f>
        <v/>
      </c>
      <c r="P50" s="10" t="inlineStr">
        <is>
          <t>Single Carrier (Band n50, 100MHz TDD)</t>
        </is>
      </c>
      <c r="Q50" s="13">
        <f>ROUNDUP(O50/'Methodology &amp; Assumptions'!$B$6, 0)</f>
        <v/>
      </c>
      <c r="R50" s="13" t="n">
        <v>1</v>
      </c>
      <c r="S50" s="14" t="n">
        <v>1.41</v>
      </c>
      <c r="T50" s="14" t="n">
        <v>0.59</v>
      </c>
      <c r="U50" s="26">
        <f>IF(X50&gt;='Methodology &amp; Assumptions'!$B$7, "Tier 1 Critical GIDA (Score ≥ 50.0)", IF(X50&gt;='Methodology &amp; Assumptions'!$B$8, "Tier 2 High GIDA (Score 40.0–49.9)", "Tier 3 Moderate GIDA (Score &lt; 40.0)"))</f>
        <v/>
      </c>
      <c r="V50" s="26">
        <f>IF(S50&lt;='Methodology &amp; Assumptions'!$B$10, "Direct Optical Drop (&lt;3km)", IF(S50&lt;='Methodology &amp; Assumptions'!$B$9, "Near Optical / Microwave (&lt;5km)", "Starlink Business LEO Satellite Backhaul (&gt;5km)"))</f>
        <v/>
      </c>
      <c r="W50" s="28" t="n">
        <v>0.156</v>
      </c>
      <c r="X50" s="14" t="n">
        <v>59.17</v>
      </c>
      <c r="Y50" s="14">
        <f>ROUND(MIN(100, (X50/69.91)*100), 2)</f>
        <v/>
      </c>
    </row>
    <row r="51">
      <c r="A51" s="10" t="n">
        <v>1</v>
      </c>
      <c r="B51" s="10" t="n">
        <v>47</v>
      </c>
      <c r="C51" s="10" t="n">
        <v>47</v>
      </c>
      <c r="D51" s="10" t="inlineStr">
        <is>
          <t>0403416007</t>
        </is>
      </c>
      <c r="E51" s="26" t="inlineStr">
        <is>
          <t>Region IV-A (CALABARZON)</t>
        </is>
      </c>
      <c r="F51" s="26" t="inlineStr">
        <is>
          <t>Laguna</t>
        </is>
      </c>
      <c r="G51" s="26" t="inlineStr">
        <is>
          <t>Majayjay</t>
        </is>
      </c>
      <c r="H51" s="26" t="inlineStr">
        <is>
          <t>Banilad</t>
        </is>
      </c>
      <c r="I51" s="27" t="n">
        <v>14.144518</v>
      </c>
      <c r="J51" s="27" t="n">
        <v>121.480647</v>
      </c>
      <c r="K51" s="10" t="inlineStr">
        <is>
          <t>R</t>
        </is>
      </c>
      <c r="L51" s="12" t="n">
        <v>224</v>
      </c>
      <c r="M51" s="14" t="n">
        <v>3.3</v>
      </c>
      <c r="N51" s="12">
        <f>ROUND(L51/M51, 0)</f>
        <v/>
      </c>
      <c r="O51" s="12">
        <f>ROUND(N51*'Methodology &amp; Assumptions'!$B$5, 0)</f>
        <v/>
      </c>
      <c r="P51" s="10" t="inlineStr">
        <is>
          <t>Single Carrier (Band n50, 100MHz TDD)</t>
        </is>
      </c>
      <c r="Q51" s="13">
        <f>ROUNDUP(O51/'Methodology &amp; Assumptions'!$B$6, 0)</f>
        <v/>
      </c>
      <c r="R51" s="13" t="n">
        <v>1</v>
      </c>
      <c r="S51" s="14" t="n">
        <v>1.14</v>
      </c>
      <c r="T51" s="14" t="n">
        <v>0.33</v>
      </c>
      <c r="U51" s="26">
        <f>IF(X51&gt;='Methodology &amp; Assumptions'!$B$7, "Tier 1 Critical GIDA (Score ≥ 50.0)", IF(X51&gt;='Methodology &amp; Assumptions'!$B$8, "Tier 2 High GIDA (Score 40.0–49.9)", "Tier 3 Moderate GIDA (Score &lt; 40.0)"))</f>
        <v/>
      </c>
      <c r="V51" s="26">
        <f>IF(S51&lt;='Methodology &amp; Assumptions'!$B$10, "Direct Optical Drop (&lt;3km)", IF(S51&lt;='Methodology &amp; Assumptions'!$B$9, "Near Optical / Microwave (&lt;5km)", "Starlink Business LEO Satellite Backhaul (&gt;5km)"))</f>
        <v/>
      </c>
      <c r="W51" s="28" t="n">
        <v>0.07200000000000001</v>
      </c>
      <c r="X51" s="14" t="n">
        <v>59.16</v>
      </c>
      <c r="Y51" s="14">
        <f>ROUND(MIN(100, (X51/69.91)*100), 2)</f>
        <v/>
      </c>
    </row>
    <row r="52">
      <c r="A52" s="10" t="n">
        <v>1</v>
      </c>
      <c r="B52" s="10" t="n">
        <v>48</v>
      </c>
      <c r="C52" s="10" t="n">
        <v>48</v>
      </c>
      <c r="D52" s="10" t="inlineStr">
        <is>
          <t>0205007018</t>
        </is>
      </c>
      <c r="E52" s="26" t="inlineStr">
        <is>
          <t>Region II (Cagayan Valley)</t>
        </is>
      </c>
      <c r="F52" s="26" t="inlineStr">
        <is>
          <t>Nueva Vizcaya</t>
        </is>
      </c>
      <c r="G52" s="26" t="inlineStr">
        <is>
          <t>Dupax del Norte</t>
        </is>
      </c>
      <c r="H52" s="26" t="inlineStr">
        <is>
          <t>New Gumiad</t>
        </is>
      </c>
      <c r="I52" s="27" t="n">
        <v>16.020865</v>
      </c>
      <c r="J52" s="27" t="n">
        <v>121.302553</v>
      </c>
      <c r="K52" s="10" t="inlineStr">
        <is>
          <t>R</t>
        </is>
      </c>
      <c r="L52" s="12" t="n">
        <v>650</v>
      </c>
      <c r="M52" s="14" t="n">
        <v>3.8</v>
      </c>
      <c r="N52" s="12">
        <f>ROUND(L52/M52, 0)</f>
        <v/>
      </c>
      <c r="O52" s="12">
        <f>ROUND(N52*'Methodology &amp; Assumptions'!$B$5, 0)</f>
        <v/>
      </c>
      <c r="P52" s="10" t="inlineStr">
        <is>
          <t>Single Carrier (Band n50, 100MHz TDD)</t>
        </is>
      </c>
      <c r="Q52" s="13">
        <f>ROUNDUP(O52/'Methodology &amp; Assumptions'!$B$6, 0)</f>
        <v/>
      </c>
      <c r="R52" s="13" t="n">
        <v>1</v>
      </c>
      <c r="S52" s="14" t="n">
        <v>20.75</v>
      </c>
      <c r="T52" s="14" t="n">
        <v>24.61</v>
      </c>
      <c r="U52" s="26">
        <f>IF(X52&gt;='Methodology &amp; Assumptions'!$B$7, "Tier 1 Critical GIDA (Score ≥ 50.0)", IF(X52&gt;='Methodology &amp; Assumptions'!$B$8, "Tier 2 High GIDA (Score 40.0–49.9)", "Tier 3 Moderate GIDA (Score &lt; 40.0)"))</f>
        <v/>
      </c>
      <c r="V52" s="26">
        <f>IF(S52&lt;='Methodology &amp; Assumptions'!$B$10, "Direct Optical Drop (&lt;3km)", IF(S52&lt;='Methodology &amp; Assumptions'!$B$9, "Near Optical / Microwave (&lt;5km)", "Starlink Business LEO Satellite Backhaul (&gt;5km)"))</f>
        <v/>
      </c>
      <c r="W52" s="28" t="n">
        <v>0.083</v>
      </c>
      <c r="X52" s="14" t="n">
        <v>59.01</v>
      </c>
      <c r="Y52" s="14">
        <f>ROUND(MIN(100, (X52/69.91)*100), 2)</f>
        <v/>
      </c>
    </row>
    <row r="53">
      <c r="A53" s="10" t="n">
        <v>1</v>
      </c>
      <c r="B53" s="10" t="n">
        <v>49</v>
      </c>
      <c r="C53" s="10" t="n">
        <v>49</v>
      </c>
      <c r="D53" s="10" t="inlineStr">
        <is>
          <t>0102814011</t>
        </is>
      </c>
      <c r="E53" s="26" t="inlineStr">
        <is>
          <t>Region I (Ilocos Region)</t>
        </is>
      </c>
      <c r="F53" s="26" t="inlineStr">
        <is>
          <t>Ilocos Norte</t>
        </is>
      </c>
      <c r="G53" s="26" t="inlineStr">
        <is>
          <t>Nueva Era</t>
        </is>
      </c>
      <c r="H53" s="26" t="inlineStr">
        <is>
          <t>Uguis</t>
        </is>
      </c>
      <c r="I53" s="27" t="n">
        <v>17.894446</v>
      </c>
      <c r="J53" s="27" t="n">
        <v>120.571247</v>
      </c>
      <c r="K53" s="10" t="inlineStr">
        <is>
          <t>R</t>
        </is>
      </c>
      <c r="L53" s="12" t="n">
        <v>1111</v>
      </c>
      <c r="M53" s="14" t="n">
        <v>3.7</v>
      </c>
      <c r="N53" s="12">
        <f>ROUND(L53/M53, 0)</f>
        <v/>
      </c>
      <c r="O53" s="12">
        <f>ROUND(N53*'Methodology &amp; Assumptions'!$B$5, 0)</f>
        <v/>
      </c>
      <c r="P53" s="10" t="inlineStr">
        <is>
          <t>Single Carrier (Band n50, 100MHz TDD)</t>
        </is>
      </c>
      <c r="Q53" s="13">
        <f>ROUNDUP(O53/'Methodology &amp; Assumptions'!$B$6, 0)</f>
        <v/>
      </c>
      <c r="R53" s="13" t="n">
        <v>1</v>
      </c>
      <c r="S53" s="14" t="n">
        <v>7.74</v>
      </c>
      <c r="T53" s="14" t="n">
        <v>9.109999999999999</v>
      </c>
      <c r="U53" s="26">
        <f>IF(X53&gt;='Methodology &amp; Assumptions'!$B$7, "Tier 1 Critical GIDA (Score ≥ 50.0)", IF(X53&gt;='Methodology &amp; Assumptions'!$B$8, "Tier 2 High GIDA (Score 40.0–49.9)", "Tier 3 Moderate GIDA (Score &lt; 40.0)"))</f>
        <v/>
      </c>
      <c r="V53" s="26">
        <f>IF(S53&lt;='Methodology &amp; Assumptions'!$B$10, "Direct Optical Drop (&lt;3km)", IF(S53&lt;='Methodology &amp; Assumptions'!$B$9, "Near Optical / Microwave (&lt;5km)", "Starlink Business LEO Satellite Backhaul (&gt;5km)"))</f>
        <v/>
      </c>
      <c r="W53" s="28" t="n">
        <v>0.083</v>
      </c>
      <c r="X53" s="14" t="n">
        <v>58.9</v>
      </c>
      <c r="Y53" s="14">
        <f>ROUND(MIN(100, (X53/69.91)*100), 2)</f>
        <v/>
      </c>
    </row>
    <row r="54">
      <c r="A54" s="10" t="n">
        <v>1</v>
      </c>
      <c r="B54" s="10" t="n">
        <v>50</v>
      </c>
      <c r="C54" s="10" t="n">
        <v>50</v>
      </c>
      <c r="D54" s="10" t="inlineStr">
        <is>
          <t>0405623021</t>
        </is>
      </c>
      <c r="E54" s="26" t="inlineStr">
        <is>
          <t>Region IV-A (CALABARZON)</t>
        </is>
      </c>
      <c r="F54" s="26" t="inlineStr">
        <is>
          <t>Quezon</t>
        </is>
      </c>
      <c r="G54" s="26" t="inlineStr">
        <is>
          <t>Lucban</t>
        </is>
      </c>
      <c r="H54" s="26" t="inlineStr">
        <is>
          <t>Mahabang Parang</t>
        </is>
      </c>
      <c r="I54" s="27" t="n">
        <v>14.1153</v>
      </c>
      <c r="J54" s="27" t="n">
        <v>121.565029</v>
      </c>
      <c r="K54" s="10" t="inlineStr">
        <is>
          <t>R</t>
        </is>
      </c>
      <c r="L54" s="12" t="n">
        <v>226</v>
      </c>
      <c r="M54" s="14" t="n">
        <v>3.8</v>
      </c>
      <c r="N54" s="12">
        <f>ROUND(L54/M54, 0)</f>
        <v/>
      </c>
      <c r="O54" s="12">
        <f>ROUND(N54*'Methodology &amp; Assumptions'!$B$5, 0)</f>
        <v/>
      </c>
      <c r="P54" s="10" t="inlineStr">
        <is>
          <t>Single Carrier (Band n50, 100MHz TDD)</t>
        </is>
      </c>
      <c r="Q54" s="13">
        <f>ROUNDUP(O54/'Methodology &amp; Assumptions'!$B$6, 0)</f>
        <v/>
      </c>
      <c r="R54" s="13" t="n">
        <v>1</v>
      </c>
      <c r="S54" s="14" t="n">
        <v>0.76</v>
      </c>
      <c r="T54" s="14" t="n">
        <v>0.55</v>
      </c>
      <c r="U54" s="26">
        <f>IF(X54&gt;='Methodology &amp; Assumptions'!$B$7, "Tier 1 Critical GIDA (Score ≥ 50.0)", IF(X54&gt;='Methodology &amp; Assumptions'!$B$8, "Tier 2 High GIDA (Score 40.0–49.9)", "Tier 3 Moderate GIDA (Score &lt; 40.0)"))</f>
        <v/>
      </c>
      <c r="V54" s="26">
        <f>IF(S54&lt;='Methodology &amp; Assumptions'!$B$10, "Direct Optical Drop (&lt;3km)", IF(S54&lt;='Methodology &amp; Assumptions'!$B$9, "Near Optical / Microwave (&lt;5km)", "Starlink Business LEO Satellite Backhaul (&gt;5km)"))</f>
        <v/>
      </c>
      <c r="W54" s="28" t="n">
        <v>0.07200000000000001</v>
      </c>
      <c r="X54" s="14" t="n">
        <v>58.83</v>
      </c>
      <c r="Y54" s="14">
        <f>ROUND(MIN(100, (X54/69.91)*100), 2)</f>
        <v/>
      </c>
    </row>
    <row r="55">
      <c r="A55" s="10" t="n">
        <v>1</v>
      </c>
      <c r="B55" s="10" t="n">
        <v>51</v>
      </c>
      <c r="C55" s="10" t="n">
        <v>51</v>
      </c>
      <c r="D55" s="10" t="inlineStr">
        <is>
          <t>PH0000051</t>
        </is>
      </c>
      <c r="E55" s="26" t="inlineStr">
        <is>
          <t>VI</t>
        </is>
      </c>
      <c r="F55" s="26" t="inlineStr">
        <is>
          <t>Iloilo</t>
        </is>
      </c>
      <c r="G55" s="26" t="inlineStr">
        <is>
          <t>Iloilo City</t>
        </is>
      </c>
      <c r="H55" s="26" t="inlineStr">
        <is>
          <t>Jalandoni-Wilson</t>
        </is>
      </c>
      <c r="I55" s="27" t="n">
        <v>10.494656</v>
      </c>
      <c r="J55" s="27" t="n">
        <v>122.026493</v>
      </c>
      <c r="K55" s="10" t="inlineStr">
        <is>
          <t>R</t>
        </is>
      </c>
      <c r="L55" s="12" t="n">
        <v>2230</v>
      </c>
      <c r="M55" s="14" t="n">
        <v>3.8</v>
      </c>
      <c r="N55" s="12">
        <f>ROUND(L55/M55, 0)</f>
        <v/>
      </c>
      <c r="O55" s="12">
        <f>ROUND(N55*'Methodology &amp; Assumptions'!$B$5, 0)</f>
        <v/>
      </c>
      <c r="P55" s="10" t="inlineStr">
        <is>
          <t>Single Carrier (Band n50, 100MHz TDD)</t>
        </is>
      </c>
      <c r="Q55" s="13">
        <f>ROUNDUP(O55/'Methodology &amp; Assumptions'!$B$6, 0)</f>
        <v/>
      </c>
      <c r="R55" s="13" t="n">
        <v>1</v>
      </c>
      <c r="S55" s="14" t="n">
        <v>31.29</v>
      </c>
      <c r="T55" s="14" t="n">
        <v>8.26</v>
      </c>
      <c r="U55" s="26">
        <f>IF(X55&gt;='Methodology &amp; Assumptions'!$B$7, "Tier 1 Critical GIDA (Score ≥ 50.0)", IF(X55&gt;='Methodology &amp; Assumptions'!$B$8, "Tier 2 High GIDA (Score 40.0–49.9)", "Tier 3 Moderate GIDA (Score &lt; 40.0)"))</f>
        <v/>
      </c>
      <c r="V55" s="26">
        <f>IF(S55&lt;='Methodology &amp; Assumptions'!$B$10, "Direct Optical Drop (&lt;3km)", IF(S55&lt;='Methodology &amp; Assumptions'!$B$9, "Near Optical / Microwave (&lt;5km)", "Starlink Business LEO Satellite Backhaul (&gt;5km)"))</f>
        <v/>
      </c>
      <c r="W55" s="28" t="n">
        <v>0.156</v>
      </c>
      <c r="X55" s="14" t="n">
        <v>58.83</v>
      </c>
      <c r="Y55" s="14">
        <f>ROUND(MIN(100, (X55/69.91)*100), 2)</f>
        <v/>
      </c>
    </row>
    <row r="56">
      <c r="A56" s="10" t="n">
        <v>1</v>
      </c>
      <c r="B56" s="10" t="n">
        <v>52</v>
      </c>
      <c r="C56" s="10" t="n">
        <v>52</v>
      </c>
      <c r="D56" s="10" t="inlineStr">
        <is>
          <t>0307101032</t>
        </is>
      </c>
      <c r="E56" s="26" t="inlineStr">
        <is>
          <t>Region III (Central Luzon)</t>
        </is>
      </c>
      <c r="F56" s="26" t="inlineStr">
        <is>
          <t>Zambales</t>
        </is>
      </c>
      <c r="G56" s="26" t="inlineStr">
        <is>
          <t>Botolan</t>
        </is>
      </c>
      <c r="H56" s="26" t="inlineStr">
        <is>
          <t>Owaog-Nebloc</t>
        </is>
      </c>
      <c r="I56" s="27" t="n">
        <v>15.272766</v>
      </c>
      <c r="J56" s="27" t="n">
        <v>120.080659</v>
      </c>
      <c r="K56" s="10" t="inlineStr">
        <is>
          <t>R</t>
        </is>
      </c>
      <c r="L56" s="12" t="n">
        <v>440</v>
      </c>
      <c r="M56" s="14" t="n">
        <v>3.8</v>
      </c>
      <c r="N56" s="12">
        <f>ROUND(L56/M56, 0)</f>
        <v/>
      </c>
      <c r="O56" s="12">
        <f>ROUND(N56*'Methodology &amp; Assumptions'!$B$5, 0)</f>
        <v/>
      </c>
      <c r="P56" s="10" t="inlineStr">
        <is>
          <t>Single Carrier (Band n50, 100MHz TDD)</t>
        </is>
      </c>
      <c r="Q56" s="13">
        <f>ROUNDUP(O56/'Methodology &amp; Assumptions'!$B$6, 0)</f>
        <v/>
      </c>
      <c r="R56" s="13" t="n">
        <v>1</v>
      </c>
      <c r="S56" s="14" t="n">
        <v>12.56</v>
      </c>
      <c r="T56" s="14" t="n">
        <v>4.8</v>
      </c>
      <c r="U56" s="26">
        <f>IF(X56&gt;='Methodology &amp; Assumptions'!$B$7, "Tier 1 Critical GIDA (Score ≥ 50.0)", IF(X56&gt;='Methodology &amp; Assumptions'!$B$8, "Tier 2 High GIDA (Score 40.0–49.9)", "Tier 3 Moderate GIDA (Score &lt; 40.0)"))</f>
        <v/>
      </c>
      <c r="V56" s="26">
        <f>IF(S56&lt;='Methodology &amp; Assumptions'!$B$10, "Direct Optical Drop (&lt;3km)", IF(S56&lt;='Methodology &amp; Assumptions'!$B$9, "Near Optical / Microwave (&lt;5km)", "Starlink Business LEO Satellite Backhaul (&gt;5km)"))</f>
        <v/>
      </c>
      <c r="W56" s="28" t="n">
        <v>0.083</v>
      </c>
      <c r="X56" s="14" t="n">
        <v>58.82</v>
      </c>
      <c r="Y56" s="14">
        <f>ROUND(MIN(100, (X56/69.91)*100), 2)</f>
        <v/>
      </c>
    </row>
    <row r="57">
      <c r="A57" s="10" t="n">
        <v>1</v>
      </c>
      <c r="B57" s="10" t="n">
        <v>53</v>
      </c>
      <c r="C57" s="10" t="n">
        <v>53</v>
      </c>
      <c r="D57" s="10" t="inlineStr">
        <is>
          <t>0403416008</t>
        </is>
      </c>
      <c r="E57" s="26" t="inlineStr">
        <is>
          <t>Region IV-A (CALABARZON)</t>
        </is>
      </c>
      <c r="F57" s="26" t="inlineStr">
        <is>
          <t>Laguna</t>
        </is>
      </c>
      <c r="G57" s="26" t="inlineStr">
        <is>
          <t>Majayjay</t>
        </is>
      </c>
      <c r="H57" s="26" t="inlineStr">
        <is>
          <t>Banti</t>
        </is>
      </c>
      <c r="I57" s="27" t="n">
        <v>14.148715</v>
      </c>
      <c r="J57" s="27" t="n">
        <v>121.470728</v>
      </c>
      <c r="K57" s="10" t="inlineStr">
        <is>
          <t>R</t>
        </is>
      </c>
      <c r="L57" s="12" t="n">
        <v>90</v>
      </c>
      <c r="M57" s="14" t="n">
        <v>3.3</v>
      </c>
      <c r="N57" s="12">
        <f>ROUND(L57/M57, 0)</f>
        <v/>
      </c>
      <c r="O57" s="12">
        <f>ROUND(N57*'Methodology &amp; Assumptions'!$B$5, 0)</f>
        <v/>
      </c>
      <c r="P57" s="10" t="inlineStr">
        <is>
          <t>Single Carrier (Band n50, 100MHz TDD)</t>
        </is>
      </c>
      <c r="Q57" s="13">
        <f>ROUNDUP(O57/'Methodology &amp; Assumptions'!$B$6, 0)</f>
        <v/>
      </c>
      <c r="R57" s="13" t="n">
        <v>1</v>
      </c>
      <c r="S57" s="14" t="n">
        <v>0.63</v>
      </c>
      <c r="T57" s="14" t="n">
        <v>0.48</v>
      </c>
      <c r="U57" s="26">
        <f>IF(X57&gt;='Methodology &amp; Assumptions'!$B$7, "Tier 1 Critical GIDA (Score ≥ 50.0)", IF(X57&gt;='Methodology &amp; Assumptions'!$B$8, "Tier 2 High GIDA (Score 40.0–49.9)", "Tier 3 Moderate GIDA (Score &lt; 40.0)"))</f>
        <v/>
      </c>
      <c r="V57" s="26">
        <f>IF(S57&lt;='Methodology &amp; Assumptions'!$B$10, "Direct Optical Drop (&lt;3km)", IF(S57&lt;='Methodology &amp; Assumptions'!$B$9, "Near Optical / Microwave (&lt;5km)", "Starlink Business LEO Satellite Backhaul (&gt;5km)"))</f>
        <v/>
      </c>
      <c r="W57" s="28" t="n">
        <v>0.07200000000000001</v>
      </c>
      <c r="X57" s="14" t="n">
        <v>58.7</v>
      </c>
      <c r="Y57" s="14">
        <f>ROUND(MIN(100, (X57/69.91)*100), 2)</f>
        <v/>
      </c>
    </row>
    <row r="58">
      <c r="A58" s="10" t="n">
        <v>1</v>
      </c>
      <c r="B58" s="10" t="n">
        <v>54</v>
      </c>
      <c r="C58" s="10" t="n">
        <v>54</v>
      </c>
      <c r="D58" s="10" t="inlineStr">
        <is>
          <t>0405810005</t>
        </is>
      </c>
      <c r="E58" s="26" t="inlineStr">
        <is>
          <t>Region IV-A (CALABARZON)</t>
        </is>
      </c>
      <c r="F58" s="26" t="inlineStr">
        <is>
          <t>Rizal</t>
        </is>
      </c>
      <c r="G58" s="26" t="inlineStr">
        <is>
          <t>Pililla</t>
        </is>
      </c>
      <c r="H58" s="26" t="inlineStr">
        <is>
          <t>Imatong</t>
        </is>
      </c>
      <c r="I58" s="27" t="n">
        <v>14.45042</v>
      </c>
      <c r="J58" s="27" t="n">
        <v>121.335547</v>
      </c>
      <c r="K58" s="10" t="inlineStr">
        <is>
          <t>R</t>
        </is>
      </c>
      <c r="L58" s="12" t="n">
        <v>916</v>
      </c>
      <c r="M58" s="14" t="n">
        <v>3.6</v>
      </c>
      <c r="N58" s="12">
        <f>ROUND(L58/M58, 0)</f>
        <v/>
      </c>
      <c r="O58" s="12">
        <f>ROUND(N58*'Methodology &amp; Assumptions'!$B$5, 0)</f>
        <v/>
      </c>
      <c r="P58" s="10" t="inlineStr">
        <is>
          <t>Single Carrier (Band n50, 100MHz TDD)</t>
        </is>
      </c>
      <c r="Q58" s="13">
        <f>ROUNDUP(O58/'Methodology &amp; Assumptions'!$B$6, 0)</f>
        <v/>
      </c>
      <c r="R58" s="13" t="n">
        <v>1</v>
      </c>
      <c r="S58" s="14" t="n">
        <v>1.02</v>
      </c>
      <c r="T58" s="14" t="n">
        <v>1.28</v>
      </c>
      <c r="U58" s="26">
        <f>IF(X58&gt;='Methodology &amp; Assumptions'!$B$7, "Tier 1 Critical GIDA (Score ≥ 50.0)", IF(X58&gt;='Methodology &amp; Assumptions'!$B$8, "Tier 2 High GIDA (Score 40.0–49.9)", "Tier 3 Moderate GIDA (Score &lt; 40.0)"))</f>
        <v/>
      </c>
      <c r="V58" s="26">
        <f>IF(S58&lt;='Methodology &amp; Assumptions'!$B$10, "Direct Optical Drop (&lt;3km)", IF(S58&lt;='Methodology &amp; Assumptions'!$B$9, "Near Optical / Microwave (&lt;5km)", "Starlink Business LEO Satellite Backhaul (&gt;5km)"))</f>
        <v/>
      </c>
      <c r="W58" s="28" t="n">
        <v>0.07200000000000001</v>
      </c>
      <c r="X58" s="14" t="n">
        <v>58.69</v>
      </c>
      <c r="Y58" s="14">
        <f>ROUND(MIN(100, (X58/69.91)*100), 2)</f>
        <v/>
      </c>
    </row>
    <row r="59">
      <c r="A59" s="10" t="n">
        <v>1</v>
      </c>
      <c r="B59" s="10" t="n">
        <v>55</v>
      </c>
      <c r="C59" s="10" t="n">
        <v>55</v>
      </c>
      <c r="D59" s="10" t="inlineStr">
        <is>
          <t>0201511041</t>
        </is>
      </c>
      <c r="E59" s="26" t="inlineStr">
        <is>
          <t>Region II (Cagayan Valley)</t>
        </is>
      </c>
      <c r="F59" s="26" t="inlineStr">
        <is>
          <t>Cagayan</t>
        </is>
      </c>
      <c r="G59" s="26" t="inlineStr">
        <is>
          <t>Claveria</t>
        </is>
      </c>
      <c r="H59" s="26" t="inlineStr">
        <is>
          <t>Taggat Sur</t>
        </is>
      </c>
      <c r="I59" s="27" t="n">
        <v>18.602786</v>
      </c>
      <c r="J59" s="27" t="n">
        <v>121.05817</v>
      </c>
      <c r="K59" s="10" t="inlineStr">
        <is>
          <t>R</t>
        </is>
      </c>
      <c r="L59" s="12" t="n">
        <v>2210</v>
      </c>
      <c r="M59" s="14" t="n">
        <v>3.9</v>
      </c>
      <c r="N59" s="12">
        <f>ROUND(L59/M59, 0)</f>
        <v/>
      </c>
      <c r="O59" s="12">
        <f>ROUND(N59*'Methodology &amp; Assumptions'!$B$5, 0)</f>
        <v/>
      </c>
      <c r="P59" s="10" t="inlineStr">
        <is>
          <t>Single Carrier (Band n50, 100MHz TDD)</t>
        </is>
      </c>
      <c r="Q59" s="13">
        <f>ROUNDUP(O59/'Methodology &amp; Assumptions'!$B$6, 0)</f>
        <v/>
      </c>
      <c r="R59" s="13" t="n">
        <v>1</v>
      </c>
      <c r="S59" s="14" t="n">
        <v>1.27</v>
      </c>
      <c r="T59" s="14" t="n">
        <v>0.08</v>
      </c>
      <c r="U59" s="26">
        <f>IF(X59&gt;='Methodology &amp; Assumptions'!$B$7, "Tier 1 Critical GIDA (Score ≥ 50.0)", IF(X59&gt;='Methodology &amp; Assumptions'!$B$8, "Tier 2 High GIDA (Score 40.0–49.9)", "Tier 3 Moderate GIDA (Score &lt; 40.0)"))</f>
        <v/>
      </c>
      <c r="V59" s="26">
        <f>IF(S59&lt;='Methodology &amp; Assumptions'!$B$10, "Direct Optical Drop (&lt;3km)", IF(S59&lt;='Methodology &amp; Assumptions'!$B$9, "Near Optical / Microwave (&lt;5km)", "Starlink Business LEO Satellite Backhaul (&gt;5km)"))</f>
        <v/>
      </c>
      <c r="W59" s="28" t="n">
        <v>0.083</v>
      </c>
      <c r="X59" s="14" t="n">
        <v>58.62</v>
      </c>
      <c r="Y59" s="14">
        <f>ROUND(MIN(100, (X59/69.91)*100), 2)</f>
        <v/>
      </c>
    </row>
    <row r="60">
      <c r="A60" s="10" t="n">
        <v>1</v>
      </c>
      <c r="B60" s="10" t="n">
        <v>56</v>
      </c>
      <c r="C60" s="10" t="n">
        <v>56</v>
      </c>
      <c r="D60" s="10" t="inlineStr">
        <is>
          <t>0102817034</t>
        </is>
      </c>
      <c r="E60" s="26" t="inlineStr">
        <is>
          <t>Region I (Ilocos Region)</t>
        </is>
      </c>
      <c r="F60" s="26" t="inlineStr">
        <is>
          <t>Ilocos Norte</t>
        </is>
      </c>
      <c r="G60" s="26" t="inlineStr">
        <is>
          <t>Pasuquin</t>
        </is>
      </c>
      <c r="H60" s="26" t="inlineStr">
        <is>
          <t>Tadao</t>
        </is>
      </c>
      <c r="I60" s="27" t="n">
        <v>18.382288</v>
      </c>
      <c r="J60" s="27" t="n">
        <v>120.69398</v>
      </c>
      <c r="K60" s="10" t="inlineStr">
        <is>
          <t>R</t>
        </is>
      </c>
      <c r="L60" s="12" t="n">
        <v>395</v>
      </c>
      <c r="M60" s="14" t="n">
        <v>3.7</v>
      </c>
      <c r="N60" s="12">
        <f>ROUND(L60/M60, 0)</f>
        <v/>
      </c>
      <c r="O60" s="12">
        <f>ROUND(N60*'Methodology &amp; Assumptions'!$B$5, 0)</f>
        <v/>
      </c>
      <c r="P60" s="10" t="inlineStr">
        <is>
          <t>Single Carrier (Band n50, 100MHz TDD)</t>
        </is>
      </c>
      <c r="Q60" s="13">
        <f>ROUNDUP(O60/'Methodology &amp; Assumptions'!$B$6, 0)</f>
        <v/>
      </c>
      <c r="R60" s="13" t="n">
        <v>1</v>
      </c>
      <c r="S60" s="14" t="n">
        <v>11.18</v>
      </c>
      <c r="T60" s="14" t="n">
        <v>9.279999999999999</v>
      </c>
      <c r="U60" s="26">
        <f>IF(X60&gt;='Methodology &amp; Assumptions'!$B$7, "Tier 1 Critical GIDA (Score ≥ 50.0)", IF(X60&gt;='Methodology &amp; Assumptions'!$B$8, "Tier 2 High GIDA (Score 40.0–49.9)", "Tier 3 Moderate GIDA (Score &lt; 40.0)"))</f>
        <v/>
      </c>
      <c r="V60" s="26">
        <f>IF(S60&lt;='Methodology &amp; Assumptions'!$B$10, "Direct Optical Drop (&lt;3km)", IF(S60&lt;='Methodology &amp; Assumptions'!$B$9, "Near Optical / Microwave (&lt;5km)", "Starlink Business LEO Satellite Backhaul (&gt;5km)"))</f>
        <v/>
      </c>
      <c r="W60" s="28" t="n">
        <v>0.083</v>
      </c>
      <c r="X60" s="14" t="n">
        <v>58.62</v>
      </c>
      <c r="Y60" s="14">
        <f>ROUND(MIN(100, (X60/69.91)*100), 2)</f>
        <v/>
      </c>
    </row>
    <row r="61">
      <c r="A61" s="10" t="n">
        <v>1</v>
      </c>
      <c r="B61" s="10" t="n">
        <v>57</v>
      </c>
      <c r="C61" s="10" t="n">
        <v>57</v>
      </c>
      <c r="D61" s="10" t="inlineStr">
        <is>
          <t>0102815007</t>
        </is>
      </c>
      <c r="E61" s="26" t="inlineStr">
        <is>
          <t>Region I (Ilocos Region)</t>
        </is>
      </c>
      <c r="F61" s="26" t="inlineStr">
        <is>
          <t>Ilocos Norte</t>
        </is>
      </c>
      <c r="G61" s="26" t="inlineStr">
        <is>
          <t>Pagudpud</t>
        </is>
      </c>
      <c r="H61" s="26" t="inlineStr">
        <is>
          <t>Dampig</t>
        </is>
      </c>
      <c r="I61" s="27" t="n">
        <v>18.540364</v>
      </c>
      <c r="J61" s="27" t="n">
        <v>120.819925</v>
      </c>
      <c r="K61" s="10" t="inlineStr">
        <is>
          <t>R</t>
        </is>
      </c>
      <c r="L61" s="12" t="n">
        <v>1041</v>
      </c>
      <c r="M61" s="14" t="n">
        <v>3.7</v>
      </c>
      <c r="N61" s="12">
        <f>ROUND(L61/M61, 0)</f>
        <v/>
      </c>
      <c r="O61" s="12">
        <f>ROUND(N61*'Methodology &amp; Assumptions'!$B$5, 0)</f>
        <v/>
      </c>
      <c r="P61" s="10" t="inlineStr">
        <is>
          <t>Single Carrier (Band n50, 100MHz TDD)</t>
        </is>
      </c>
      <c r="Q61" s="13">
        <f>ROUNDUP(O61/'Methodology &amp; Assumptions'!$B$6, 0)</f>
        <v/>
      </c>
      <c r="R61" s="13" t="n">
        <v>1</v>
      </c>
      <c r="S61" s="14" t="n">
        <v>5.43</v>
      </c>
      <c r="T61" s="14" t="n">
        <v>2.52</v>
      </c>
      <c r="U61" s="26">
        <f>IF(X61&gt;='Methodology &amp; Assumptions'!$B$7, "Tier 1 Critical GIDA (Score ≥ 50.0)", IF(X61&gt;='Methodology &amp; Assumptions'!$B$8, "Tier 2 High GIDA (Score 40.0–49.9)", "Tier 3 Moderate GIDA (Score &lt; 40.0)"))</f>
        <v/>
      </c>
      <c r="V61" s="26">
        <f>IF(S61&lt;='Methodology &amp; Assumptions'!$B$10, "Direct Optical Drop (&lt;3km)", IF(S61&lt;='Methodology &amp; Assumptions'!$B$9, "Near Optical / Microwave (&lt;5km)", "Starlink Business LEO Satellite Backhaul (&gt;5km)"))</f>
        <v/>
      </c>
      <c r="W61" s="28" t="n">
        <v>0.083</v>
      </c>
      <c r="X61" s="14" t="n">
        <v>58.61</v>
      </c>
      <c r="Y61" s="14">
        <f>ROUND(MIN(100, (X61/69.91)*100), 2)</f>
        <v/>
      </c>
    </row>
    <row r="62">
      <c r="A62" s="10" t="n">
        <v>1</v>
      </c>
      <c r="B62" s="10" t="n">
        <v>58</v>
      </c>
      <c r="C62" s="10" t="n">
        <v>58</v>
      </c>
      <c r="D62" s="10" t="inlineStr">
        <is>
          <t>0105527020</t>
        </is>
      </c>
      <c r="E62" s="26" t="inlineStr">
        <is>
          <t>Region I (Ilocos Region)</t>
        </is>
      </c>
      <c r="F62" s="26" t="inlineStr">
        <is>
          <t>Pangasinan</t>
        </is>
      </c>
      <c r="G62" s="26" t="inlineStr">
        <is>
          <t>Mangatarem</t>
        </is>
      </c>
      <c r="H62" s="26" t="inlineStr">
        <is>
          <t>Cabaluyan 2nd</t>
        </is>
      </c>
      <c r="I62" s="27" t="n">
        <v>15.690321</v>
      </c>
      <c r="J62" s="27" t="n">
        <v>120.334268</v>
      </c>
      <c r="K62" s="10" t="inlineStr">
        <is>
          <t>R</t>
        </is>
      </c>
      <c r="L62" s="12" t="n">
        <v>1128</v>
      </c>
      <c r="M62" s="14" t="n">
        <v>3.6</v>
      </c>
      <c r="N62" s="12">
        <f>ROUND(L62/M62, 0)</f>
        <v/>
      </c>
      <c r="O62" s="12">
        <f>ROUND(N62*'Methodology &amp; Assumptions'!$B$5, 0)</f>
        <v/>
      </c>
      <c r="P62" s="10" t="inlineStr">
        <is>
          <t>Single Carrier (Band n50, 100MHz TDD)</t>
        </is>
      </c>
      <c r="Q62" s="13">
        <f>ROUNDUP(O62/'Methodology &amp; Assumptions'!$B$6, 0)</f>
        <v/>
      </c>
      <c r="R62" s="13" t="n">
        <v>1</v>
      </c>
      <c r="S62" s="14" t="n">
        <v>3.93</v>
      </c>
      <c r="T62" s="14" t="n">
        <v>8.66</v>
      </c>
      <c r="U62" s="26">
        <f>IF(X62&gt;='Methodology &amp; Assumptions'!$B$7, "Tier 1 Critical GIDA (Score ≥ 50.0)", IF(X62&gt;='Methodology &amp; Assumptions'!$B$8, "Tier 2 High GIDA (Score 40.0–49.9)", "Tier 3 Moderate GIDA (Score &lt; 40.0)"))</f>
        <v/>
      </c>
      <c r="V62" s="26">
        <f>IF(S62&lt;='Methodology &amp; Assumptions'!$B$10, "Direct Optical Drop (&lt;3km)", IF(S62&lt;='Methodology &amp; Assumptions'!$B$9, "Near Optical / Microwave (&lt;5km)", "Starlink Business LEO Satellite Backhaul (&gt;5km)"))</f>
        <v/>
      </c>
      <c r="W62" s="28" t="n">
        <v>0.083</v>
      </c>
      <c r="X62" s="14" t="n">
        <v>58.57</v>
      </c>
      <c r="Y62" s="14">
        <f>ROUND(MIN(100, (X62/69.91)*100), 2)</f>
        <v/>
      </c>
    </row>
    <row r="63">
      <c r="A63" s="10" t="n">
        <v>1</v>
      </c>
      <c r="B63" s="10" t="n">
        <v>59</v>
      </c>
      <c r="C63" s="10" t="n">
        <v>59</v>
      </c>
      <c r="D63" s="10" t="inlineStr">
        <is>
          <t>0102916004</t>
        </is>
      </c>
      <c r="E63" s="26" t="inlineStr">
        <is>
          <t>Region I (Ilocos Region)</t>
        </is>
      </c>
      <c r="F63" s="26" t="inlineStr">
        <is>
          <t>Ilocos Sur</t>
        </is>
      </c>
      <c r="G63" s="26" t="inlineStr">
        <is>
          <t>Salcedo</t>
        </is>
      </c>
      <c r="H63" s="26" t="inlineStr">
        <is>
          <t>Baluarte</t>
        </is>
      </c>
      <c r="I63" s="27" t="n">
        <v>17.099878</v>
      </c>
      <c r="J63" s="27" t="n">
        <v>120.520927</v>
      </c>
      <c r="K63" s="10" t="inlineStr">
        <is>
          <t>R</t>
        </is>
      </c>
      <c r="L63" s="12" t="n">
        <v>671</v>
      </c>
      <c r="M63" s="14" t="n">
        <v>3.8</v>
      </c>
      <c r="N63" s="12">
        <f>ROUND(L63/M63, 0)</f>
        <v/>
      </c>
      <c r="O63" s="12">
        <f>ROUND(N63*'Methodology &amp; Assumptions'!$B$5, 0)</f>
        <v/>
      </c>
      <c r="P63" s="10" t="inlineStr">
        <is>
          <t>Single Carrier (Band n50, 100MHz TDD)</t>
        </is>
      </c>
      <c r="Q63" s="13">
        <f>ROUNDUP(O63/'Methodology &amp; Assumptions'!$B$6, 0)</f>
        <v/>
      </c>
      <c r="R63" s="13" t="n">
        <v>1</v>
      </c>
      <c r="S63" s="14" t="n">
        <v>5.83</v>
      </c>
      <c r="T63" s="14" t="n">
        <v>6.6</v>
      </c>
      <c r="U63" s="26">
        <f>IF(X63&gt;='Methodology &amp; Assumptions'!$B$7, "Tier 1 Critical GIDA (Score ≥ 50.0)", IF(X63&gt;='Methodology &amp; Assumptions'!$B$8, "Tier 2 High GIDA (Score 40.0–49.9)", "Tier 3 Moderate GIDA (Score &lt; 40.0)"))</f>
        <v/>
      </c>
      <c r="V63" s="26">
        <f>IF(S63&lt;='Methodology &amp; Assumptions'!$B$10, "Direct Optical Drop (&lt;3km)", IF(S63&lt;='Methodology &amp; Assumptions'!$B$9, "Near Optical / Microwave (&lt;5km)", "Starlink Business LEO Satellite Backhaul (&gt;5km)"))</f>
        <v/>
      </c>
      <c r="W63" s="28" t="n">
        <v>0.083</v>
      </c>
      <c r="X63" s="14" t="n">
        <v>58.56</v>
      </c>
      <c r="Y63" s="14">
        <f>ROUND(MIN(100, (X63/69.91)*100), 2)</f>
        <v/>
      </c>
    </row>
    <row r="64">
      <c r="A64" s="10" t="n">
        <v>1</v>
      </c>
      <c r="B64" s="10" t="n">
        <v>60</v>
      </c>
      <c r="C64" s="10" t="n">
        <v>60</v>
      </c>
      <c r="D64" s="10" t="inlineStr">
        <is>
          <t>PH0000060</t>
        </is>
      </c>
      <c r="E64" s="26" t="inlineStr">
        <is>
          <t>II</t>
        </is>
      </c>
      <c r="F64" s="26" t="inlineStr">
        <is>
          <t>Nueva Vizcaya</t>
        </is>
      </c>
      <c r="G64" s="26" t="inlineStr">
        <is>
          <t>Dupax Del Norte</t>
        </is>
      </c>
      <c r="H64" s="26" t="inlineStr">
        <is>
          <t>Binnuangan</t>
        </is>
      </c>
      <c r="I64" s="27" t="n">
        <v>16.184681</v>
      </c>
      <c r="J64" s="27" t="n">
        <v>121.25435</v>
      </c>
      <c r="K64" s="10" t="inlineStr">
        <is>
          <t>R</t>
        </is>
      </c>
      <c r="L64" s="12" t="n">
        <v>2485</v>
      </c>
      <c r="M64" s="14" t="n">
        <v>3.8</v>
      </c>
      <c r="N64" s="12">
        <f>ROUND(L64/M64, 0)</f>
        <v/>
      </c>
      <c r="O64" s="12">
        <f>ROUND(N64*'Methodology &amp; Assumptions'!$B$5, 0)</f>
        <v/>
      </c>
      <c r="P64" s="10" t="inlineStr">
        <is>
          <t>Single Carrier (Band n50, 100MHz TDD)</t>
        </is>
      </c>
      <c r="Q64" s="13">
        <f>ROUNDUP(O64/'Methodology &amp; Assumptions'!$B$6, 0)</f>
        <v/>
      </c>
      <c r="R64" s="13" t="n">
        <v>1</v>
      </c>
      <c r="S64" s="14" t="n">
        <v>4.1</v>
      </c>
      <c r="T64" s="14" t="n">
        <v>24.89</v>
      </c>
      <c r="U64" s="26">
        <f>IF(X64&gt;='Methodology &amp; Assumptions'!$B$7, "Tier 1 Critical GIDA (Score ≥ 50.0)", IF(X64&gt;='Methodology &amp; Assumptions'!$B$8, "Tier 2 High GIDA (Score 40.0–49.9)", "Tier 3 Moderate GIDA (Score &lt; 40.0)"))</f>
        <v/>
      </c>
      <c r="V64" s="26">
        <f>IF(S64&lt;='Methodology &amp; Assumptions'!$B$10, "Direct Optical Drop (&lt;3km)", IF(S64&lt;='Methodology &amp; Assumptions'!$B$9, "Near Optical / Microwave (&lt;5km)", "Starlink Business LEO Satellite Backhaul (&gt;5km)"))</f>
        <v/>
      </c>
      <c r="W64" s="28" t="n">
        <v>0.083</v>
      </c>
      <c r="X64" s="14" t="n">
        <v>58.5</v>
      </c>
      <c r="Y64" s="14">
        <f>ROUND(MIN(100, (X64/69.91)*100), 2)</f>
        <v/>
      </c>
    </row>
    <row r="65">
      <c r="A65" s="10" t="n">
        <v>1</v>
      </c>
      <c r="B65" s="10" t="n">
        <v>61</v>
      </c>
      <c r="C65" s="10" t="n">
        <v>61</v>
      </c>
      <c r="D65" s="10" t="inlineStr">
        <is>
          <t>0601917030</t>
        </is>
      </c>
      <c r="E65" s="26" t="inlineStr">
        <is>
          <t>Region VI (Western Visayas)</t>
        </is>
      </c>
      <c r="F65" s="26" t="inlineStr">
        <is>
          <t>Capiz</t>
        </is>
      </c>
      <c r="G65" s="26" t="inlineStr">
        <is>
          <t>Tapaz</t>
        </is>
      </c>
      <c r="H65" s="26" t="inlineStr">
        <is>
          <t>Minan</t>
        </is>
      </c>
      <c r="I65" s="27" t="n">
        <v>11.251944</v>
      </c>
      <c r="J65" s="27" t="n">
        <v>122.366389</v>
      </c>
      <c r="K65" s="10" t="inlineStr">
        <is>
          <t>R</t>
        </is>
      </c>
      <c r="L65" s="12" t="n">
        <v>555</v>
      </c>
      <c r="M65" s="14" t="n">
        <v>3.8</v>
      </c>
      <c r="N65" s="12">
        <f>ROUND(L65/M65, 0)</f>
        <v/>
      </c>
      <c r="O65" s="12">
        <f>ROUND(N65*'Methodology &amp; Assumptions'!$B$5, 0)</f>
        <v/>
      </c>
      <c r="P65" s="10" t="inlineStr">
        <is>
          <t>Single Carrier (Band n50, 100MHz TDD)</t>
        </is>
      </c>
      <c r="Q65" s="13">
        <f>ROUNDUP(O65/'Methodology &amp; Assumptions'!$B$6, 0)</f>
        <v/>
      </c>
      <c r="R65" s="13" t="n">
        <v>1</v>
      </c>
      <c r="S65" s="14" t="n">
        <v>33.85</v>
      </c>
      <c r="T65" s="14" t="n">
        <v>20.94</v>
      </c>
      <c r="U65" s="26">
        <f>IF(X65&gt;='Methodology &amp; Assumptions'!$B$7, "Tier 1 Critical GIDA (Score ≥ 50.0)", IF(X65&gt;='Methodology &amp; Assumptions'!$B$8, "Tier 2 High GIDA (Score 40.0–49.9)", "Tier 3 Moderate GIDA (Score &lt; 40.0)"))</f>
        <v/>
      </c>
      <c r="V65" s="26">
        <f>IF(S65&lt;='Methodology &amp; Assumptions'!$B$10, "Direct Optical Drop (&lt;3km)", IF(S65&lt;='Methodology &amp; Assumptions'!$B$9, "Near Optical / Microwave (&lt;5km)", "Starlink Business LEO Satellite Backhaul (&gt;5km)"))</f>
        <v/>
      </c>
      <c r="W65" s="28" t="n">
        <v>0.237</v>
      </c>
      <c r="X65" s="14" t="n">
        <v>58.48</v>
      </c>
      <c r="Y65" s="14">
        <f>ROUND(MIN(100, (X65/69.91)*100), 2)</f>
        <v/>
      </c>
    </row>
    <row r="66">
      <c r="A66" s="10" t="n">
        <v>1</v>
      </c>
      <c r="B66" s="10" t="n">
        <v>62</v>
      </c>
      <c r="C66" s="10" t="n">
        <v>62</v>
      </c>
      <c r="D66" s="10" t="inlineStr">
        <is>
          <t>0205005019</t>
        </is>
      </c>
      <c r="E66" s="26" t="inlineStr">
        <is>
          <t>Region II (Cagayan Valley)</t>
        </is>
      </c>
      <c r="F66" s="26" t="inlineStr">
        <is>
          <t>Nueva Vizcaya</t>
        </is>
      </c>
      <c r="G66" s="26" t="inlineStr">
        <is>
          <t>Bayombong</t>
        </is>
      </c>
      <c r="H66" s="26" t="inlineStr">
        <is>
          <t>Bansing</t>
        </is>
      </c>
      <c r="I66" s="27" t="n">
        <v>16.45971</v>
      </c>
      <c r="J66" s="27" t="n">
        <v>121.17872</v>
      </c>
      <c r="K66" s="10" t="inlineStr">
        <is>
          <t>R</t>
        </is>
      </c>
      <c r="L66" s="12" t="n">
        <v>1083</v>
      </c>
      <c r="M66" s="14" t="n">
        <v>3.8</v>
      </c>
      <c r="N66" s="12">
        <f>ROUND(L66/M66, 0)</f>
        <v/>
      </c>
      <c r="O66" s="12">
        <f>ROUND(N66*'Methodology &amp; Assumptions'!$B$5, 0)</f>
        <v/>
      </c>
      <c r="P66" s="10" t="inlineStr">
        <is>
          <t>Single Carrier (Band n50, 100MHz TDD)</t>
        </is>
      </c>
      <c r="Q66" s="13">
        <f>ROUNDUP(O66/'Methodology &amp; Assumptions'!$B$6, 0)</f>
        <v/>
      </c>
      <c r="R66" s="13" t="n">
        <v>1</v>
      </c>
      <c r="S66" s="14" t="n">
        <v>4.59</v>
      </c>
      <c r="T66" s="14" t="n">
        <v>3.99</v>
      </c>
      <c r="U66" s="26">
        <f>IF(X66&gt;='Methodology &amp; Assumptions'!$B$7, "Tier 1 Critical GIDA (Score ≥ 50.0)", IF(X66&gt;='Methodology &amp; Assumptions'!$B$8, "Tier 2 High GIDA (Score 40.0–49.9)", "Tier 3 Moderate GIDA (Score &lt; 40.0)"))</f>
        <v/>
      </c>
      <c r="V66" s="26">
        <f>IF(S66&lt;='Methodology &amp; Assumptions'!$B$10, "Direct Optical Drop (&lt;3km)", IF(S66&lt;='Methodology &amp; Assumptions'!$B$9, "Near Optical / Microwave (&lt;5km)", "Starlink Business LEO Satellite Backhaul (&gt;5km)"))</f>
        <v/>
      </c>
      <c r="W66" s="28" t="n">
        <v>0.083</v>
      </c>
      <c r="X66" s="14" t="n">
        <v>58.34</v>
      </c>
      <c r="Y66" s="14">
        <f>ROUND(MIN(100, (X66/69.91)*100), 2)</f>
        <v/>
      </c>
    </row>
    <row r="67">
      <c r="A67" s="10" t="n">
        <v>1</v>
      </c>
      <c r="B67" s="10" t="n">
        <v>63</v>
      </c>
      <c r="C67" s="10" t="n">
        <v>63</v>
      </c>
      <c r="D67" s="10" t="inlineStr">
        <is>
          <t>0205007023</t>
        </is>
      </c>
      <c r="E67" s="26" t="inlineStr">
        <is>
          <t>Region II (Cagayan Valley)</t>
        </is>
      </c>
      <c r="F67" s="26" t="inlineStr">
        <is>
          <t>Nueva Vizcaya</t>
        </is>
      </c>
      <c r="G67" s="26" t="inlineStr">
        <is>
          <t>Dupax del Norte</t>
        </is>
      </c>
      <c r="H67" s="26" t="inlineStr">
        <is>
          <t>Parai</t>
        </is>
      </c>
      <c r="I67" s="27" t="n">
        <v>16.311656</v>
      </c>
      <c r="J67" s="27" t="n">
        <v>121.170158</v>
      </c>
      <c r="K67" s="10" t="inlineStr">
        <is>
          <t>R</t>
        </is>
      </c>
      <c r="L67" s="12" t="n">
        <v>975</v>
      </c>
      <c r="M67" s="14" t="n">
        <v>3.8</v>
      </c>
      <c r="N67" s="12">
        <f>ROUND(L67/M67, 0)</f>
        <v/>
      </c>
      <c r="O67" s="12">
        <f>ROUND(N67*'Methodology &amp; Assumptions'!$B$5, 0)</f>
        <v/>
      </c>
      <c r="P67" s="10" t="inlineStr">
        <is>
          <t>Single Carrier (Band n50, 100MHz TDD)</t>
        </is>
      </c>
      <c r="Q67" s="13">
        <f>ROUNDUP(O67/'Methodology &amp; Assumptions'!$B$6, 0)</f>
        <v/>
      </c>
      <c r="R67" s="13" t="n">
        <v>1</v>
      </c>
      <c r="S67" s="14" t="n">
        <v>7.06</v>
      </c>
      <c r="T67" s="14" t="n">
        <v>9.710000000000001</v>
      </c>
      <c r="U67" s="26">
        <f>IF(X67&gt;='Methodology &amp; Assumptions'!$B$7, "Tier 1 Critical GIDA (Score ≥ 50.0)", IF(X67&gt;='Methodology &amp; Assumptions'!$B$8, "Tier 2 High GIDA (Score 40.0–49.9)", "Tier 3 Moderate GIDA (Score &lt; 40.0)"))</f>
        <v/>
      </c>
      <c r="V67" s="26">
        <f>IF(S67&lt;='Methodology &amp; Assumptions'!$B$10, "Direct Optical Drop (&lt;3km)", IF(S67&lt;='Methodology &amp; Assumptions'!$B$9, "Near Optical / Microwave (&lt;5km)", "Starlink Business LEO Satellite Backhaul (&gt;5km)"))</f>
        <v/>
      </c>
      <c r="W67" s="28" t="n">
        <v>0.083</v>
      </c>
      <c r="X67" s="14" t="n">
        <v>58.34</v>
      </c>
      <c r="Y67" s="14">
        <f>ROUND(MIN(100, (X67/69.91)*100), 2)</f>
        <v/>
      </c>
    </row>
    <row r="68">
      <c r="A68" s="10" t="n">
        <v>1</v>
      </c>
      <c r="B68" s="10" t="n">
        <v>64</v>
      </c>
      <c r="C68" s="10" t="n">
        <v>64</v>
      </c>
      <c r="D68" s="10" t="inlineStr">
        <is>
          <t>0304904026</t>
        </is>
      </c>
      <c r="E68" s="26" t="inlineStr">
        <is>
          <t>Region III (Central Luzon)</t>
        </is>
      </c>
      <c r="F68" s="26" t="inlineStr">
        <is>
          <t>Nueva Ecija</t>
        </is>
      </c>
      <c r="G68" s="26" t="inlineStr">
        <is>
          <t>Cabiao</t>
        </is>
      </c>
      <c r="H68" s="26" t="inlineStr">
        <is>
          <t>Santa Ines</t>
        </is>
      </c>
      <c r="I68" s="27" t="n">
        <v>15.234423</v>
      </c>
      <c r="J68" s="27" t="n">
        <v>120.856598</v>
      </c>
      <c r="K68" s="10" t="inlineStr">
        <is>
          <t>R</t>
        </is>
      </c>
      <c r="L68" s="12" t="n">
        <v>2373</v>
      </c>
      <c r="M68" s="14" t="n">
        <v>3.5</v>
      </c>
      <c r="N68" s="12">
        <f>ROUND(L68/M68, 0)</f>
        <v/>
      </c>
      <c r="O68" s="12">
        <f>ROUND(N68*'Methodology &amp; Assumptions'!$B$5, 0)</f>
        <v/>
      </c>
      <c r="P68" s="10" t="inlineStr">
        <is>
          <t>Single Carrier (Band n50, 100MHz TDD)</t>
        </is>
      </c>
      <c r="Q68" s="13">
        <f>ROUNDUP(O68/'Methodology &amp; Assumptions'!$B$6, 0)</f>
        <v/>
      </c>
      <c r="R68" s="13" t="n">
        <v>1</v>
      </c>
      <c r="S68" s="14" t="n">
        <v>3.32</v>
      </c>
      <c r="T68" s="14" t="n">
        <v>1</v>
      </c>
      <c r="U68" s="26">
        <f>IF(X68&gt;='Methodology &amp; Assumptions'!$B$7, "Tier 1 Critical GIDA (Score ≥ 50.0)", IF(X68&gt;='Methodology &amp; Assumptions'!$B$8, "Tier 2 High GIDA (Score 40.0–49.9)", "Tier 3 Moderate GIDA (Score &lt; 40.0)"))</f>
        <v/>
      </c>
      <c r="V68" s="26">
        <f>IF(S68&lt;='Methodology &amp; Assumptions'!$B$10, "Direct Optical Drop (&lt;3km)", IF(S68&lt;='Methodology &amp; Assumptions'!$B$9, "Near Optical / Microwave (&lt;5km)", "Starlink Business LEO Satellite Backhaul (&gt;5km)"))</f>
        <v/>
      </c>
      <c r="W68" s="28" t="n">
        <v>0.083</v>
      </c>
      <c r="X68" s="14" t="n">
        <v>58.34</v>
      </c>
      <c r="Y68" s="14">
        <f>ROUND(MIN(100, (X68/69.91)*100), 2)</f>
        <v/>
      </c>
    </row>
    <row r="69">
      <c r="A69" s="10" t="n">
        <v>1</v>
      </c>
      <c r="B69" s="10" t="n">
        <v>65</v>
      </c>
      <c r="C69" s="10" t="n">
        <v>65</v>
      </c>
      <c r="D69" s="10" t="inlineStr">
        <is>
          <t>0102814007</t>
        </is>
      </c>
      <c r="E69" s="26" t="inlineStr">
        <is>
          <t>Region I (Ilocos Region)</t>
        </is>
      </c>
      <c r="F69" s="26" t="inlineStr">
        <is>
          <t>Ilocos Norte</t>
        </is>
      </c>
      <c r="G69" s="26" t="inlineStr">
        <is>
          <t>Nueva Era</t>
        </is>
      </c>
      <c r="H69" s="26" t="inlineStr">
        <is>
          <t>Garnaden</t>
        </is>
      </c>
      <c r="I69" s="27" t="n">
        <v>17.916332</v>
      </c>
      <c r="J69" s="27" t="n">
        <v>120.623537</v>
      </c>
      <c r="K69" s="10" t="inlineStr">
        <is>
          <t>R</t>
        </is>
      </c>
      <c r="L69" s="12" t="n">
        <v>722</v>
      </c>
      <c r="M69" s="14" t="n">
        <v>3.7</v>
      </c>
      <c r="N69" s="12">
        <f>ROUND(L69/M69, 0)</f>
        <v/>
      </c>
      <c r="O69" s="12">
        <f>ROUND(N69*'Methodology &amp; Assumptions'!$B$5, 0)</f>
        <v/>
      </c>
      <c r="P69" s="10" t="inlineStr">
        <is>
          <t>Single Carrier (Band n50, 100MHz TDD)</t>
        </is>
      </c>
      <c r="Q69" s="13">
        <f>ROUNDUP(O69/'Methodology &amp; Assumptions'!$B$6, 0)</f>
        <v/>
      </c>
      <c r="R69" s="13" t="n">
        <v>1</v>
      </c>
      <c r="S69" s="14" t="n">
        <v>3.79</v>
      </c>
      <c r="T69" s="14" t="n">
        <v>3.72</v>
      </c>
      <c r="U69" s="26">
        <f>IF(X69&gt;='Methodology &amp; Assumptions'!$B$7, "Tier 1 Critical GIDA (Score ≥ 50.0)", IF(X69&gt;='Methodology &amp; Assumptions'!$B$8, "Tier 2 High GIDA (Score 40.0–49.9)", "Tier 3 Moderate GIDA (Score &lt; 40.0)"))</f>
        <v/>
      </c>
      <c r="V69" s="26">
        <f>IF(S69&lt;='Methodology &amp; Assumptions'!$B$10, "Direct Optical Drop (&lt;3km)", IF(S69&lt;='Methodology &amp; Assumptions'!$B$9, "Near Optical / Microwave (&lt;5km)", "Starlink Business LEO Satellite Backhaul (&gt;5km)"))</f>
        <v/>
      </c>
      <c r="W69" s="28" t="n">
        <v>0.083</v>
      </c>
      <c r="X69" s="14" t="n">
        <v>58.32</v>
      </c>
      <c r="Y69" s="14">
        <f>ROUND(MIN(100, (X69/69.91)*100), 2)</f>
        <v/>
      </c>
    </row>
    <row r="70">
      <c r="A70" s="10" t="n">
        <v>1</v>
      </c>
      <c r="B70" s="10" t="n">
        <v>66</v>
      </c>
      <c r="C70" s="10" t="n">
        <v>66</v>
      </c>
      <c r="D70" s="10" t="inlineStr">
        <is>
          <t>0401001007</t>
        </is>
      </c>
      <c r="E70" s="26" t="inlineStr">
        <is>
          <t>Region IV-A (CALABARZON)</t>
        </is>
      </c>
      <c r="F70" s="26" t="inlineStr">
        <is>
          <t>Batangas</t>
        </is>
      </c>
      <c r="G70" s="26" t="inlineStr">
        <is>
          <t>Agoncillo</t>
        </is>
      </c>
      <c r="H70" s="26" t="inlineStr">
        <is>
          <t>Barigon</t>
        </is>
      </c>
      <c r="I70" s="27" t="n">
        <v>14.000111</v>
      </c>
      <c r="J70" s="27" t="n">
        <v>120.913765</v>
      </c>
      <c r="K70" s="10" t="inlineStr">
        <is>
          <t>R</t>
        </is>
      </c>
      <c r="L70" s="12" t="n">
        <v>1872</v>
      </c>
      <c r="M70" s="14" t="n">
        <v>3.6</v>
      </c>
      <c r="N70" s="12">
        <f>ROUND(L70/M70, 0)</f>
        <v/>
      </c>
      <c r="O70" s="12">
        <f>ROUND(N70*'Methodology &amp; Assumptions'!$B$5, 0)</f>
        <v/>
      </c>
      <c r="P70" s="10" t="inlineStr">
        <is>
          <t>Single Carrier (Band n50, 100MHz TDD)</t>
        </is>
      </c>
      <c r="Q70" s="13">
        <f>ROUNDUP(O70/'Methodology &amp; Assumptions'!$B$6, 0)</f>
        <v/>
      </c>
      <c r="R70" s="13" t="n">
        <v>1</v>
      </c>
      <c r="S70" s="14" t="n">
        <v>6.29</v>
      </c>
      <c r="T70" s="14" t="n">
        <v>9.789999999999999</v>
      </c>
      <c r="U70" s="26">
        <f>IF(X70&gt;='Methodology &amp; Assumptions'!$B$7, "Tier 1 Critical GIDA (Score ≥ 50.0)", IF(X70&gt;='Methodology &amp; Assumptions'!$B$8, "Tier 2 High GIDA (Score 40.0–49.9)", "Tier 3 Moderate GIDA (Score &lt; 40.0)"))</f>
        <v/>
      </c>
      <c r="V70" s="26">
        <f>IF(S70&lt;='Methodology &amp; Assumptions'!$B$10, "Direct Optical Drop (&lt;3km)", IF(S70&lt;='Methodology &amp; Assumptions'!$B$9, "Near Optical / Microwave (&lt;5km)", "Starlink Business LEO Satellite Backhaul (&gt;5km)"))</f>
        <v/>
      </c>
      <c r="W70" s="28" t="n">
        <v>0.07200000000000001</v>
      </c>
      <c r="X70" s="14" t="n">
        <v>58.31</v>
      </c>
      <c r="Y70" s="14">
        <f>ROUND(MIN(100, (X70/69.91)*100), 2)</f>
        <v/>
      </c>
    </row>
    <row r="71">
      <c r="A71" s="10" t="n">
        <v>1</v>
      </c>
      <c r="B71" s="10" t="n">
        <v>67</v>
      </c>
      <c r="C71" s="10" t="n">
        <v>67</v>
      </c>
      <c r="D71" s="10" t="inlineStr">
        <is>
          <t>0600413005</t>
        </is>
      </c>
      <c r="E71" s="26" t="inlineStr">
        <is>
          <t>Region VI (Western Visayas)</t>
        </is>
      </c>
      <c r="F71" s="26" t="inlineStr">
        <is>
          <t>Aklan</t>
        </is>
      </c>
      <c r="G71" s="26" t="inlineStr">
        <is>
          <t>Malinao</t>
        </is>
      </c>
      <c r="H71" s="26" t="inlineStr">
        <is>
          <t>Capataga</t>
        </is>
      </c>
      <c r="I71" s="27" t="n">
        <v>11.627451</v>
      </c>
      <c r="J71" s="27" t="n">
        <v>122.297276</v>
      </c>
      <c r="K71" s="10" t="inlineStr">
        <is>
          <t>R</t>
        </is>
      </c>
      <c r="L71" s="12" t="n">
        <v>55</v>
      </c>
      <c r="M71" s="14" t="n">
        <v>3.9</v>
      </c>
      <c r="N71" s="12">
        <f>ROUND(L71/M71, 0)</f>
        <v/>
      </c>
      <c r="O71" s="12">
        <f>ROUND(N71*'Methodology &amp; Assumptions'!$B$5, 0)</f>
        <v/>
      </c>
      <c r="P71" s="10" t="inlineStr">
        <is>
          <t>Single Carrier (Band n50, 100MHz TDD)</t>
        </is>
      </c>
      <c r="Q71" s="13">
        <f>ROUNDUP(O71/'Methodology &amp; Assumptions'!$B$6, 0)</f>
        <v/>
      </c>
      <c r="R71" s="13" t="n">
        <v>1</v>
      </c>
      <c r="S71" s="14" t="n">
        <v>0.52</v>
      </c>
      <c r="T71" s="14" t="n">
        <v>4.29</v>
      </c>
      <c r="U71" s="26">
        <f>IF(X71&gt;='Methodology &amp; Assumptions'!$B$7, "Tier 1 Critical GIDA (Score ≥ 50.0)", IF(X71&gt;='Methodology &amp; Assumptions'!$B$8, "Tier 2 High GIDA (Score 40.0–49.9)", "Tier 3 Moderate GIDA (Score &lt; 40.0)"))</f>
        <v/>
      </c>
      <c r="V71" s="26">
        <f>IF(S71&lt;='Methodology &amp; Assumptions'!$B$10, "Direct Optical Drop (&lt;3km)", IF(S71&lt;='Methodology &amp; Assumptions'!$B$9, "Near Optical / Microwave (&lt;5km)", "Starlink Business LEO Satellite Backhaul (&gt;5km)"))</f>
        <v/>
      </c>
      <c r="W71" s="28" t="n">
        <v>0.237</v>
      </c>
      <c r="X71" s="14" t="n">
        <v>58.31</v>
      </c>
      <c r="Y71" s="14">
        <f>ROUND(MIN(100, (X71/69.91)*100), 2)</f>
        <v/>
      </c>
    </row>
    <row r="72">
      <c r="A72" s="10" t="n">
        <v>1</v>
      </c>
      <c r="B72" s="10" t="n">
        <v>68</v>
      </c>
      <c r="C72" s="10" t="n">
        <v>68</v>
      </c>
      <c r="D72" s="10" t="inlineStr">
        <is>
          <t>0102817027</t>
        </is>
      </c>
      <c r="E72" s="26" t="inlineStr">
        <is>
          <t>Region I (Ilocos Region)</t>
        </is>
      </c>
      <c r="F72" s="26" t="inlineStr">
        <is>
          <t>Ilocos Norte</t>
        </is>
      </c>
      <c r="G72" s="26" t="inlineStr">
        <is>
          <t>Pasuquin</t>
        </is>
      </c>
      <c r="H72" s="26" t="inlineStr">
        <is>
          <t>Santa Catalina</t>
        </is>
      </c>
      <c r="I72" s="27" t="n">
        <v>18.306358</v>
      </c>
      <c r="J72" s="27" t="n">
        <v>120.671335</v>
      </c>
      <c r="K72" s="10" t="inlineStr">
        <is>
          <t>R</t>
        </is>
      </c>
      <c r="L72" s="12" t="n">
        <v>860</v>
      </c>
      <c r="M72" s="14" t="n">
        <v>3.7</v>
      </c>
      <c r="N72" s="12">
        <f>ROUND(L72/M72, 0)</f>
        <v/>
      </c>
      <c r="O72" s="12">
        <f>ROUND(N72*'Methodology &amp; Assumptions'!$B$5, 0)</f>
        <v/>
      </c>
      <c r="P72" s="10" t="inlineStr">
        <is>
          <t>Single Carrier (Band n50, 100MHz TDD)</t>
        </is>
      </c>
      <c r="Q72" s="13">
        <f>ROUNDUP(O72/'Methodology &amp; Assumptions'!$B$6, 0)</f>
        <v/>
      </c>
      <c r="R72" s="13" t="n">
        <v>1</v>
      </c>
      <c r="S72" s="14" t="n">
        <v>4.51</v>
      </c>
      <c r="T72" s="14" t="n">
        <v>6.34</v>
      </c>
      <c r="U72" s="26">
        <f>IF(X72&gt;='Methodology &amp; Assumptions'!$B$7, "Tier 1 Critical GIDA (Score ≥ 50.0)", IF(X72&gt;='Methodology &amp; Assumptions'!$B$8, "Tier 2 High GIDA (Score 40.0–49.9)", "Tier 3 Moderate GIDA (Score &lt; 40.0)"))</f>
        <v/>
      </c>
      <c r="V72" s="26">
        <f>IF(S72&lt;='Methodology &amp; Assumptions'!$B$10, "Direct Optical Drop (&lt;3km)", IF(S72&lt;='Methodology &amp; Assumptions'!$B$9, "Near Optical / Microwave (&lt;5km)", "Starlink Business LEO Satellite Backhaul (&gt;5km)"))</f>
        <v/>
      </c>
      <c r="W72" s="28" t="n">
        <v>0.083</v>
      </c>
      <c r="X72" s="14" t="n">
        <v>58.29</v>
      </c>
      <c r="Y72" s="14">
        <f>ROUND(MIN(100, (X72/69.91)*100), 2)</f>
        <v/>
      </c>
    </row>
    <row r="73">
      <c r="A73" s="10" t="n">
        <v>1</v>
      </c>
      <c r="B73" s="10" t="n">
        <v>69</v>
      </c>
      <c r="C73" s="10" t="n">
        <v>69</v>
      </c>
      <c r="D73" s="10" t="inlineStr">
        <is>
          <t>0401030016</t>
        </is>
      </c>
      <c r="E73" s="26" t="inlineStr">
        <is>
          <t>Region IV-A (CALABARZON)</t>
        </is>
      </c>
      <c r="F73" s="26" t="inlineStr">
        <is>
          <t>Batangas</t>
        </is>
      </c>
      <c r="G73" s="26" t="inlineStr">
        <is>
          <t>Talisay</t>
        </is>
      </c>
      <c r="H73" s="26" t="inlineStr">
        <is>
          <t>Poblacion Barangay 6</t>
        </is>
      </c>
      <c r="I73" s="27" t="n">
        <v>14.091888</v>
      </c>
      <c r="J73" s="27" t="n">
        <v>121.019999</v>
      </c>
      <c r="K73" s="10" t="inlineStr">
        <is>
          <t>R</t>
        </is>
      </c>
      <c r="L73" s="12" t="n">
        <v>420</v>
      </c>
      <c r="M73" s="14" t="n">
        <v>3.6</v>
      </c>
      <c r="N73" s="12">
        <f>ROUND(L73/M73, 0)</f>
        <v/>
      </c>
      <c r="O73" s="12">
        <f>ROUND(N73*'Methodology &amp; Assumptions'!$B$5, 0)</f>
        <v/>
      </c>
      <c r="P73" s="10" t="inlineStr">
        <is>
          <t>Single Carrier (Band n50, 100MHz TDD)</t>
        </is>
      </c>
      <c r="Q73" s="13">
        <f>ROUNDUP(O73/'Methodology &amp; Assumptions'!$B$6, 0)</f>
        <v/>
      </c>
      <c r="R73" s="13" t="n">
        <v>1</v>
      </c>
      <c r="S73" s="14" t="n">
        <v>0.19</v>
      </c>
      <c r="T73" s="14" t="n">
        <v>5.74</v>
      </c>
      <c r="U73" s="26">
        <f>IF(X73&gt;='Methodology &amp; Assumptions'!$B$7, "Tier 1 Critical GIDA (Score ≥ 50.0)", IF(X73&gt;='Methodology &amp; Assumptions'!$B$8, "Tier 2 High GIDA (Score 40.0–49.9)", "Tier 3 Moderate GIDA (Score &lt; 40.0)"))</f>
        <v/>
      </c>
      <c r="V73" s="26">
        <f>IF(S73&lt;='Methodology &amp; Assumptions'!$B$10, "Direct Optical Drop (&lt;3km)", IF(S73&lt;='Methodology &amp; Assumptions'!$B$9, "Near Optical / Microwave (&lt;5km)", "Starlink Business LEO Satellite Backhaul (&gt;5km)"))</f>
        <v/>
      </c>
      <c r="W73" s="28" t="n">
        <v>0.07200000000000001</v>
      </c>
      <c r="X73" s="14" t="n">
        <v>58.27</v>
      </c>
      <c r="Y73" s="14">
        <f>ROUND(MIN(100, (X73/69.91)*100), 2)</f>
        <v/>
      </c>
    </row>
    <row r="74">
      <c r="A74" s="10" t="n">
        <v>1</v>
      </c>
      <c r="B74" s="10" t="n">
        <v>70</v>
      </c>
      <c r="C74" s="10" t="n">
        <v>70</v>
      </c>
      <c r="D74" s="10" t="inlineStr">
        <is>
          <t>0102817028</t>
        </is>
      </c>
      <c r="E74" s="26" t="inlineStr">
        <is>
          <t>Region I (Ilocos Region)</t>
        </is>
      </c>
      <c r="F74" s="26" t="inlineStr">
        <is>
          <t>Ilocos Norte</t>
        </is>
      </c>
      <c r="G74" s="26" t="inlineStr">
        <is>
          <t>Pasuquin</t>
        </is>
      </c>
      <c r="H74" s="26" t="inlineStr">
        <is>
          <t>Santa Matilde</t>
        </is>
      </c>
      <c r="I74" s="27" t="n">
        <v>18.3257</v>
      </c>
      <c r="J74" s="27" t="n">
        <v>120.683257</v>
      </c>
      <c r="K74" s="10" t="inlineStr">
        <is>
          <t>R</t>
        </is>
      </c>
      <c r="L74" s="12" t="n">
        <v>427</v>
      </c>
      <c r="M74" s="14" t="n">
        <v>3.7</v>
      </c>
      <c r="N74" s="12">
        <f>ROUND(L74/M74, 0)</f>
        <v/>
      </c>
      <c r="O74" s="12">
        <f>ROUND(N74*'Methodology &amp; Assumptions'!$B$5, 0)</f>
        <v/>
      </c>
      <c r="P74" s="10" t="inlineStr">
        <is>
          <t>Single Carrier (Band n50, 100MHz TDD)</t>
        </is>
      </c>
      <c r="Q74" s="13">
        <f>ROUNDUP(O74/'Methodology &amp; Assumptions'!$B$6, 0)</f>
        <v/>
      </c>
      <c r="R74" s="13" t="n">
        <v>1</v>
      </c>
      <c r="S74" s="14" t="n">
        <v>6.99</v>
      </c>
      <c r="T74" s="14" t="n">
        <v>6.87</v>
      </c>
      <c r="U74" s="26">
        <f>IF(X74&gt;='Methodology &amp; Assumptions'!$B$7, "Tier 1 Critical GIDA (Score ≥ 50.0)", IF(X74&gt;='Methodology &amp; Assumptions'!$B$8, "Tier 2 High GIDA (Score 40.0–49.9)", "Tier 3 Moderate GIDA (Score &lt; 40.0)"))</f>
        <v/>
      </c>
      <c r="V74" s="26">
        <f>IF(S74&lt;='Methodology &amp; Assumptions'!$B$10, "Direct Optical Drop (&lt;3km)", IF(S74&lt;='Methodology &amp; Assumptions'!$B$9, "Near Optical / Microwave (&lt;5km)", "Starlink Business LEO Satellite Backhaul (&gt;5km)"))</f>
        <v/>
      </c>
      <c r="W74" s="28" t="n">
        <v>0.083</v>
      </c>
      <c r="X74" s="14" t="n">
        <v>58.27</v>
      </c>
      <c r="Y74" s="14">
        <f>ROUND(MIN(100, (X74/69.91)*100), 2)</f>
        <v/>
      </c>
    </row>
    <row r="75">
      <c r="A75" s="10" t="n">
        <v>1</v>
      </c>
      <c r="B75" s="10" t="n">
        <v>71</v>
      </c>
      <c r="C75" s="10" t="n">
        <v>71</v>
      </c>
      <c r="D75" s="10" t="inlineStr">
        <is>
          <t>0102916005</t>
        </is>
      </c>
      <c r="E75" s="26" t="inlineStr">
        <is>
          <t>Region I (Ilocos Region)</t>
        </is>
      </c>
      <c r="F75" s="26" t="inlineStr">
        <is>
          <t>Ilocos Sur</t>
        </is>
      </c>
      <c r="G75" s="26" t="inlineStr">
        <is>
          <t>Salcedo</t>
        </is>
      </c>
      <c r="H75" s="26" t="inlineStr">
        <is>
          <t>Baybayading</t>
        </is>
      </c>
      <c r="I75" s="27" t="n">
        <v>17.116737</v>
      </c>
      <c r="J75" s="27" t="n">
        <v>120.571068</v>
      </c>
      <c r="K75" s="10" t="inlineStr">
        <is>
          <t>R</t>
        </is>
      </c>
      <c r="L75" s="12" t="n">
        <v>193</v>
      </c>
      <c r="M75" s="14" t="n">
        <v>3.8</v>
      </c>
      <c r="N75" s="12">
        <f>ROUND(L75/M75, 0)</f>
        <v/>
      </c>
      <c r="O75" s="12">
        <f>ROUND(N75*'Methodology &amp; Assumptions'!$B$5, 0)</f>
        <v/>
      </c>
      <c r="P75" s="10" t="inlineStr">
        <is>
          <t>Single Carrier (Band n50, 100MHz TDD)</t>
        </is>
      </c>
      <c r="Q75" s="13">
        <f>ROUNDUP(O75/'Methodology &amp; Assumptions'!$B$6, 0)</f>
        <v/>
      </c>
      <c r="R75" s="13" t="n">
        <v>1</v>
      </c>
      <c r="S75" s="14" t="n">
        <v>5.1</v>
      </c>
      <c r="T75" s="14" t="n">
        <v>8.99</v>
      </c>
      <c r="U75" s="26">
        <f>IF(X75&gt;='Methodology &amp; Assumptions'!$B$7, "Tier 1 Critical GIDA (Score ≥ 50.0)", IF(X75&gt;='Methodology &amp; Assumptions'!$B$8, "Tier 2 High GIDA (Score 40.0–49.9)", "Tier 3 Moderate GIDA (Score &lt; 40.0)"))</f>
        <v/>
      </c>
      <c r="V75" s="26">
        <f>IF(S75&lt;='Methodology &amp; Assumptions'!$B$10, "Direct Optical Drop (&lt;3km)", IF(S75&lt;='Methodology &amp; Assumptions'!$B$9, "Near Optical / Microwave (&lt;5km)", "Starlink Business LEO Satellite Backhaul (&gt;5km)"))</f>
        <v/>
      </c>
      <c r="W75" s="28" t="n">
        <v>0.083</v>
      </c>
      <c r="X75" s="14" t="n">
        <v>58.25</v>
      </c>
      <c r="Y75" s="14">
        <f>ROUND(MIN(100, (X75/69.91)*100), 2)</f>
        <v/>
      </c>
    </row>
    <row r="76">
      <c r="A76" s="10" t="n">
        <v>1</v>
      </c>
      <c r="B76" s="10" t="n">
        <v>72</v>
      </c>
      <c r="C76" s="10" t="n">
        <v>72</v>
      </c>
      <c r="D76" s="10" t="inlineStr">
        <is>
          <t>0205704038</t>
        </is>
      </c>
      <c r="E76" s="26" t="inlineStr">
        <is>
          <t>Region II (Cagayan Valley)</t>
        </is>
      </c>
      <c r="F76" s="26" t="inlineStr">
        <is>
          <t>Quirino</t>
        </is>
      </c>
      <c r="G76" s="26" t="inlineStr">
        <is>
          <t>Maddela</t>
        </is>
      </c>
      <c r="H76" s="26" t="inlineStr">
        <is>
          <t>Jose Ancheta</t>
        </is>
      </c>
      <c r="I76" s="27" t="n">
        <v>16.320433</v>
      </c>
      <c r="J76" s="27" t="n">
        <v>121.64708</v>
      </c>
      <c r="K76" s="10" t="inlineStr">
        <is>
          <t>R</t>
        </is>
      </c>
      <c r="L76" s="12" t="n">
        <v>1069</v>
      </c>
      <c r="M76" s="14" t="n">
        <v>3.9</v>
      </c>
      <c r="N76" s="12">
        <f>ROUND(L76/M76, 0)</f>
        <v/>
      </c>
      <c r="O76" s="12">
        <f>ROUND(N76*'Methodology &amp; Assumptions'!$B$5, 0)</f>
        <v/>
      </c>
      <c r="P76" s="10" t="inlineStr">
        <is>
          <t>Single Carrier (Band n50, 100MHz TDD)</t>
        </is>
      </c>
      <c r="Q76" s="13">
        <f>ROUNDUP(O76/'Methodology &amp; Assumptions'!$B$6, 0)</f>
        <v/>
      </c>
      <c r="R76" s="13" t="n">
        <v>1</v>
      </c>
      <c r="S76" s="14" t="n">
        <v>3.95</v>
      </c>
      <c r="T76" s="14" t="n">
        <v>0.95</v>
      </c>
      <c r="U76" s="26">
        <f>IF(X76&gt;='Methodology &amp; Assumptions'!$B$7, "Tier 1 Critical GIDA (Score ≥ 50.0)", IF(X76&gt;='Methodology &amp; Assumptions'!$B$8, "Tier 2 High GIDA (Score 40.0–49.9)", "Tier 3 Moderate GIDA (Score &lt; 40.0)"))</f>
        <v/>
      </c>
      <c r="V76" s="26">
        <f>IF(S76&lt;='Methodology &amp; Assumptions'!$B$10, "Direct Optical Drop (&lt;3km)", IF(S76&lt;='Methodology &amp; Assumptions'!$B$9, "Near Optical / Microwave (&lt;5km)", "Starlink Business LEO Satellite Backhaul (&gt;5km)"))</f>
        <v/>
      </c>
      <c r="W76" s="28" t="n">
        <v>0.083</v>
      </c>
      <c r="X76" s="14" t="n">
        <v>58.19</v>
      </c>
      <c r="Y76" s="14">
        <f>ROUND(MIN(100, (X76/69.91)*100), 2)</f>
        <v/>
      </c>
    </row>
    <row r="77">
      <c r="A77" s="10" t="n">
        <v>1</v>
      </c>
      <c r="B77" s="10" t="n">
        <v>73</v>
      </c>
      <c r="C77" s="10" t="n">
        <v>73</v>
      </c>
      <c r="D77" s="10" t="inlineStr">
        <is>
          <t>PH0000073</t>
        </is>
      </c>
      <c r="E77" s="26" t="inlineStr">
        <is>
          <t>VI</t>
        </is>
      </c>
      <c r="F77" s="26" t="inlineStr">
        <is>
          <t>Iloilo</t>
        </is>
      </c>
      <c r="G77" s="26" t="inlineStr">
        <is>
          <t>Iloilo City</t>
        </is>
      </c>
      <c r="H77" s="26" t="inlineStr">
        <is>
          <t>Divinagracia</t>
        </is>
      </c>
      <c r="I77" s="27" t="n">
        <v>10.71051</v>
      </c>
      <c r="J77" s="27" t="n">
        <v>122.572319</v>
      </c>
      <c r="K77" s="10" t="inlineStr">
        <is>
          <t>R</t>
        </is>
      </c>
      <c r="L77" s="12" t="n">
        <v>2230</v>
      </c>
      <c r="M77" s="14" t="n">
        <v>3.8</v>
      </c>
      <c r="N77" s="12">
        <f>ROUND(L77/M77, 0)</f>
        <v/>
      </c>
      <c r="O77" s="12">
        <f>ROUND(N77*'Methodology &amp; Assumptions'!$B$5, 0)</f>
        <v/>
      </c>
      <c r="P77" s="10" t="inlineStr">
        <is>
          <t>Single Carrier (Band n50, 100MHz TDD)</t>
        </is>
      </c>
      <c r="Q77" s="13">
        <f>ROUNDUP(O77/'Methodology &amp; Assumptions'!$B$6, 0)</f>
        <v/>
      </c>
      <c r="R77" s="13" t="n">
        <v>1</v>
      </c>
      <c r="S77" s="14" t="n">
        <v>0.6</v>
      </c>
      <c r="T77" s="14" t="n">
        <v>0.64</v>
      </c>
      <c r="U77" s="26">
        <f>IF(X77&gt;='Methodology &amp; Assumptions'!$B$7, "Tier 1 Critical GIDA (Score ≥ 50.0)", IF(X77&gt;='Methodology &amp; Assumptions'!$B$8, "Tier 2 High GIDA (Score 40.0–49.9)", "Tier 3 Moderate GIDA (Score &lt; 40.0)"))</f>
        <v/>
      </c>
      <c r="V77" s="26">
        <f>IF(S77&lt;='Methodology &amp; Assumptions'!$B$10, "Direct Optical Drop (&lt;3km)", IF(S77&lt;='Methodology &amp; Assumptions'!$B$9, "Near Optical / Microwave (&lt;5km)", "Starlink Business LEO Satellite Backhaul (&gt;5km)"))</f>
        <v/>
      </c>
      <c r="W77" s="28" t="n">
        <v>0.156</v>
      </c>
      <c r="X77" s="14" t="n">
        <v>58.19</v>
      </c>
      <c r="Y77" s="14">
        <f>ROUND(MIN(100, (X77/69.91)*100), 2)</f>
        <v/>
      </c>
    </row>
    <row r="78">
      <c r="A78" s="10" t="n">
        <v>1</v>
      </c>
      <c r="B78" s="10" t="n">
        <v>74</v>
      </c>
      <c r="C78" s="10" t="n">
        <v>74</v>
      </c>
      <c r="D78" s="10" t="inlineStr">
        <is>
          <t>0201514006</t>
        </is>
      </c>
      <c r="E78" s="26" t="inlineStr">
        <is>
          <t>Region II (Cagayan Valley)</t>
        </is>
      </c>
      <c r="F78" s="26" t="inlineStr">
        <is>
          <t>Cagayan</t>
        </is>
      </c>
      <c r="G78" s="26" t="inlineStr">
        <is>
          <t>Gonzaga</t>
        </is>
      </c>
      <c r="H78" s="26" t="inlineStr">
        <is>
          <t>Cabiraoan</t>
        </is>
      </c>
      <c r="I78" s="27" t="n">
        <v>18.31011</v>
      </c>
      <c r="J78" s="27" t="n">
        <v>122.10931</v>
      </c>
      <c r="K78" s="10" t="inlineStr">
        <is>
          <t>R</t>
        </is>
      </c>
      <c r="L78" s="12" t="n">
        <v>3878</v>
      </c>
      <c r="M78" s="14" t="n">
        <v>3.9</v>
      </c>
      <c r="N78" s="12">
        <f>ROUND(L78/M78, 0)</f>
        <v/>
      </c>
      <c r="O78" s="12">
        <f>ROUND(N78*'Methodology &amp; Assumptions'!$B$5, 0)</f>
        <v/>
      </c>
      <c r="P78" s="10" t="inlineStr">
        <is>
          <t>Single Carrier (Band n50, 100MHz TDD)</t>
        </is>
      </c>
      <c r="Q78" s="13">
        <f>ROUNDUP(O78/'Methodology &amp; Assumptions'!$B$6, 0)</f>
        <v/>
      </c>
      <c r="R78" s="13" t="n">
        <v>1</v>
      </c>
      <c r="S78" s="14" t="n">
        <v>5.26</v>
      </c>
      <c r="T78" s="14" t="n">
        <v>4.82</v>
      </c>
      <c r="U78" s="26">
        <f>IF(X78&gt;='Methodology &amp; Assumptions'!$B$7, "Tier 1 Critical GIDA (Score ≥ 50.0)", IF(X78&gt;='Methodology &amp; Assumptions'!$B$8, "Tier 2 High GIDA (Score 40.0–49.9)", "Tier 3 Moderate GIDA (Score &lt; 40.0)"))</f>
        <v/>
      </c>
      <c r="V78" s="26">
        <f>IF(S78&lt;='Methodology &amp; Assumptions'!$B$10, "Direct Optical Drop (&lt;3km)", IF(S78&lt;='Methodology &amp; Assumptions'!$B$9, "Near Optical / Microwave (&lt;5km)", "Starlink Business LEO Satellite Backhaul (&gt;5km)"))</f>
        <v/>
      </c>
      <c r="W78" s="28" t="n">
        <v>0.083</v>
      </c>
      <c r="X78" s="14" t="n">
        <v>58.16</v>
      </c>
      <c r="Y78" s="14">
        <f>ROUND(MIN(100, (X78/69.91)*100), 2)</f>
        <v/>
      </c>
    </row>
    <row r="79">
      <c r="A79" s="10" t="n">
        <v>1</v>
      </c>
      <c r="B79" s="10" t="n">
        <v>75</v>
      </c>
      <c r="C79" s="10" t="n">
        <v>75</v>
      </c>
      <c r="D79" s="10" t="inlineStr">
        <is>
          <t>PH0000075</t>
        </is>
      </c>
      <c r="E79" s="26" t="inlineStr">
        <is>
          <t>VI</t>
        </is>
      </c>
      <c r="F79" s="26" t="inlineStr">
        <is>
          <t>Iloilo</t>
        </is>
      </c>
      <c r="G79" s="26" t="inlineStr">
        <is>
          <t>Iloilo City</t>
        </is>
      </c>
      <c r="H79" s="26" t="inlineStr">
        <is>
          <t>Seminario</t>
        </is>
      </c>
      <c r="I79" s="27" t="n">
        <v>10.703552</v>
      </c>
      <c r="J79" s="27" t="n">
        <v>122.547708</v>
      </c>
      <c r="K79" s="10" t="inlineStr">
        <is>
          <t>R</t>
        </is>
      </c>
      <c r="L79" s="12" t="n">
        <v>2230</v>
      </c>
      <c r="M79" s="14" t="n">
        <v>3.8</v>
      </c>
      <c r="N79" s="12">
        <f>ROUND(L79/M79, 0)</f>
        <v/>
      </c>
      <c r="O79" s="12">
        <f>ROUND(N79*'Methodology &amp; Assumptions'!$B$5, 0)</f>
        <v/>
      </c>
      <c r="P79" s="10" t="inlineStr">
        <is>
          <t>Single Carrier (Band n50, 100MHz TDD)</t>
        </is>
      </c>
      <c r="Q79" s="13">
        <f>ROUNDUP(O79/'Methodology &amp; Assumptions'!$B$6, 0)</f>
        <v/>
      </c>
      <c r="R79" s="13" t="n">
        <v>1</v>
      </c>
      <c r="S79" s="14" t="n">
        <v>1.53</v>
      </c>
      <c r="T79" s="14" t="n">
        <v>2.11</v>
      </c>
      <c r="U79" s="26">
        <f>IF(X79&gt;='Methodology &amp; Assumptions'!$B$7, "Tier 1 Critical GIDA (Score ≥ 50.0)", IF(X79&gt;='Methodology &amp; Assumptions'!$B$8, "Tier 2 High GIDA (Score 40.0–49.9)", "Tier 3 Moderate GIDA (Score &lt; 40.0)"))</f>
        <v/>
      </c>
      <c r="V79" s="26">
        <f>IF(S79&lt;='Methodology &amp; Assumptions'!$B$10, "Direct Optical Drop (&lt;3km)", IF(S79&lt;='Methodology &amp; Assumptions'!$B$9, "Near Optical / Microwave (&lt;5km)", "Starlink Business LEO Satellite Backhaul (&gt;5km)"))</f>
        <v/>
      </c>
      <c r="W79" s="28" t="n">
        <v>0.156</v>
      </c>
      <c r="X79" s="14" t="n">
        <v>58.16</v>
      </c>
      <c r="Y79" s="14">
        <f>ROUND(MIN(100, (X79/69.91)*100), 2)</f>
        <v/>
      </c>
    </row>
    <row r="80">
      <c r="A80" s="10" t="n">
        <v>1</v>
      </c>
      <c r="B80" s="10" t="n">
        <v>76</v>
      </c>
      <c r="C80" s="10" t="n">
        <v>76</v>
      </c>
      <c r="D80" s="10" t="inlineStr">
        <is>
          <t>PH0000076</t>
        </is>
      </c>
      <c r="E80" s="26" t="inlineStr">
        <is>
          <t>VI</t>
        </is>
      </c>
      <c r="F80" s="26" t="inlineStr">
        <is>
          <t>Iloilo</t>
        </is>
      </c>
      <c r="G80" s="26" t="inlineStr">
        <is>
          <t>Iloilo City</t>
        </is>
      </c>
      <c r="H80" s="26" t="inlineStr">
        <is>
          <t>East Timawa</t>
        </is>
      </c>
      <c r="I80" s="27" t="n">
        <v>10.72114</v>
      </c>
      <c r="J80" s="27" t="n">
        <v>122.54364</v>
      </c>
      <c r="K80" s="10" t="inlineStr">
        <is>
          <t>R</t>
        </is>
      </c>
      <c r="L80" s="12" t="n">
        <v>2230</v>
      </c>
      <c r="M80" s="14" t="n">
        <v>3.8</v>
      </c>
      <c r="N80" s="12">
        <f>ROUND(L80/M80, 0)</f>
        <v/>
      </c>
      <c r="O80" s="12">
        <f>ROUND(N80*'Methodology &amp; Assumptions'!$B$5, 0)</f>
        <v/>
      </c>
      <c r="P80" s="10" t="inlineStr">
        <is>
          <t>Single Carrier (Band n50, 100MHz TDD)</t>
        </is>
      </c>
      <c r="Q80" s="13">
        <f>ROUNDUP(O80/'Methodology &amp; Assumptions'!$B$6, 0)</f>
        <v/>
      </c>
      <c r="R80" s="13" t="n">
        <v>1</v>
      </c>
      <c r="S80" s="14" t="n">
        <v>2.78</v>
      </c>
      <c r="T80" s="14" t="n">
        <v>1.56</v>
      </c>
      <c r="U80" s="26">
        <f>IF(X80&gt;='Methodology &amp; Assumptions'!$B$7, "Tier 1 Critical GIDA (Score ≥ 50.0)", IF(X80&gt;='Methodology &amp; Assumptions'!$B$8, "Tier 2 High GIDA (Score 40.0–49.9)", "Tier 3 Moderate GIDA (Score &lt; 40.0)"))</f>
        <v/>
      </c>
      <c r="V80" s="26">
        <f>IF(S80&lt;='Methodology &amp; Assumptions'!$B$10, "Direct Optical Drop (&lt;3km)", IF(S80&lt;='Methodology &amp; Assumptions'!$B$9, "Near Optical / Microwave (&lt;5km)", "Starlink Business LEO Satellite Backhaul (&gt;5km)"))</f>
        <v/>
      </c>
      <c r="W80" s="28" t="n">
        <v>0.156</v>
      </c>
      <c r="X80" s="14" t="n">
        <v>58.12</v>
      </c>
      <c r="Y80" s="14">
        <f>ROUND(MIN(100, (X80/69.91)*100), 2)</f>
        <v/>
      </c>
    </row>
    <row r="81">
      <c r="A81" s="10" t="n">
        <v>1</v>
      </c>
      <c r="B81" s="10" t="n">
        <v>77</v>
      </c>
      <c r="C81" s="10" t="n">
        <v>77</v>
      </c>
      <c r="D81" s="10" t="inlineStr">
        <is>
          <t>0201513056</t>
        </is>
      </c>
      <c r="E81" s="26" t="inlineStr">
        <is>
          <t>Region II (Cagayan Valley)</t>
        </is>
      </c>
      <c r="F81" s="26" t="inlineStr">
        <is>
          <t>Cagayan</t>
        </is>
      </c>
      <c r="G81" s="26" t="inlineStr">
        <is>
          <t>Gattaran</t>
        </is>
      </c>
      <c r="H81" s="26" t="inlineStr">
        <is>
          <t>Bolos Point</t>
        </is>
      </c>
      <c r="I81" s="27" t="n">
        <v>18.02937</v>
      </c>
      <c r="J81" s="27" t="n">
        <v>122.1773</v>
      </c>
      <c r="K81" s="10" t="inlineStr">
        <is>
          <t>R</t>
        </is>
      </c>
      <c r="L81" s="12" t="n">
        <v>945</v>
      </c>
      <c r="M81" s="14" t="n">
        <v>3.9</v>
      </c>
      <c r="N81" s="12">
        <f>ROUND(L81/M81, 0)</f>
        <v/>
      </c>
      <c r="O81" s="12">
        <f>ROUND(N81*'Methodology &amp; Assumptions'!$B$5, 0)</f>
        <v/>
      </c>
      <c r="P81" s="10" t="inlineStr">
        <is>
          <t>Single Carrier (Band n50, 100MHz TDD)</t>
        </is>
      </c>
      <c r="Q81" s="13">
        <f>ROUNDUP(O81/'Methodology &amp; Assumptions'!$B$6, 0)</f>
        <v/>
      </c>
      <c r="R81" s="13" t="n">
        <v>1</v>
      </c>
      <c r="S81" s="14" t="n">
        <v>31.5</v>
      </c>
      <c r="T81" s="14" t="n">
        <v>32.1</v>
      </c>
      <c r="U81" s="26">
        <f>IF(X81&gt;='Methodology &amp; Assumptions'!$B$7, "Tier 1 Critical GIDA (Score ≥ 50.0)", IF(X81&gt;='Methodology &amp; Assumptions'!$B$8, "Tier 2 High GIDA (Score 40.0–49.9)", "Tier 3 Moderate GIDA (Score &lt; 40.0)"))</f>
        <v/>
      </c>
      <c r="V81" s="26">
        <f>IF(S81&lt;='Methodology &amp; Assumptions'!$B$10, "Direct Optical Drop (&lt;3km)", IF(S81&lt;='Methodology &amp; Assumptions'!$B$9, "Near Optical / Microwave (&lt;5km)", "Starlink Business LEO Satellite Backhaul (&gt;5km)"))</f>
        <v/>
      </c>
      <c r="W81" s="28" t="n">
        <v>0.083</v>
      </c>
      <c r="X81" s="14" t="n">
        <v>58.11</v>
      </c>
      <c r="Y81" s="14">
        <f>ROUND(MIN(100, (X81/69.91)*100), 2)</f>
        <v/>
      </c>
    </row>
    <row r="82">
      <c r="A82" s="10" t="n">
        <v>1</v>
      </c>
      <c r="B82" s="10" t="n">
        <v>78</v>
      </c>
      <c r="C82" s="10" t="n">
        <v>78</v>
      </c>
      <c r="D82" s="10" t="inlineStr">
        <is>
          <t>PH0000078</t>
        </is>
      </c>
      <c r="E82" s="26" t="inlineStr">
        <is>
          <t>VI</t>
        </is>
      </c>
      <c r="F82" s="26" t="inlineStr">
        <is>
          <t>Iloilo</t>
        </is>
      </c>
      <c r="G82" s="26" t="inlineStr">
        <is>
          <t>Iloilo City</t>
        </is>
      </c>
      <c r="H82" s="26" t="inlineStr">
        <is>
          <t>Desamparados</t>
        </is>
      </c>
      <c r="I82" s="27" t="n">
        <v>10.709386</v>
      </c>
      <c r="J82" s="27" t="n">
        <v>122.560797</v>
      </c>
      <c r="K82" s="10" t="inlineStr">
        <is>
          <t>R</t>
        </is>
      </c>
      <c r="L82" s="12" t="n">
        <v>2230</v>
      </c>
      <c r="M82" s="14" t="n">
        <v>3.8</v>
      </c>
      <c r="N82" s="12">
        <f>ROUND(L82/M82, 0)</f>
        <v/>
      </c>
      <c r="O82" s="12">
        <f>ROUND(N82*'Methodology &amp; Assumptions'!$B$5, 0)</f>
        <v/>
      </c>
      <c r="P82" s="10" t="inlineStr">
        <is>
          <t>Single Carrier (Band n50, 100MHz TDD)</t>
        </is>
      </c>
      <c r="Q82" s="13">
        <f>ROUNDUP(O82/'Methodology &amp; Assumptions'!$B$6, 0)</f>
        <v/>
      </c>
      <c r="R82" s="13" t="n">
        <v>1</v>
      </c>
      <c r="S82" s="14" t="n">
        <v>0.92</v>
      </c>
      <c r="T82" s="14" t="n">
        <v>0.55</v>
      </c>
      <c r="U82" s="26">
        <f>IF(X82&gt;='Methodology &amp; Assumptions'!$B$7, "Tier 1 Critical GIDA (Score ≥ 50.0)", IF(X82&gt;='Methodology &amp; Assumptions'!$B$8, "Tier 2 High GIDA (Score 40.0–49.9)", "Tier 3 Moderate GIDA (Score &lt; 40.0)"))</f>
        <v/>
      </c>
      <c r="V82" s="26">
        <f>IF(S82&lt;='Methodology &amp; Assumptions'!$B$10, "Direct Optical Drop (&lt;3km)", IF(S82&lt;='Methodology &amp; Assumptions'!$B$9, "Near Optical / Microwave (&lt;5km)", "Starlink Business LEO Satellite Backhaul (&gt;5km)"))</f>
        <v/>
      </c>
      <c r="W82" s="28" t="n">
        <v>0.156</v>
      </c>
      <c r="X82" s="14" t="n">
        <v>58.09</v>
      </c>
      <c r="Y82" s="14">
        <f>ROUND(MIN(100, (X82/69.91)*100), 2)</f>
        <v/>
      </c>
    </row>
    <row r="83">
      <c r="A83" s="10" t="n">
        <v>1</v>
      </c>
      <c r="B83" s="10" t="n">
        <v>79</v>
      </c>
      <c r="C83" s="10" t="n">
        <v>79</v>
      </c>
      <c r="D83" s="10" t="inlineStr">
        <is>
          <t>PH0000079</t>
        </is>
      </c>
      <c r="E83" s="26" t="inlineStr">
        <is>
          <t>VI</t>
        </is>
      </c>
      <c r="F83" s="26" t="inlineStr">
        <is>
          <t>Iloilo</t>
        </is>
      </c>
      <c r="G83" s="26" t="inlineStr">
        <is>
          <t>Iloilo City</t>
        </is>
      </c>
      <c r="H83" s="26" t="inlineStr">
        <is>
          <t>Bakhaw</t>
        </is>
      </c>
      <c r="I83" s="27" t="n">
        <v>10.71828</v>
      </c>
      <c r="J83" s="27" t="n">
        <v>122.55449</v>
      </c>
      <c r="K83" s="10" t="inlineStr">
        <is>
          <t>R</t>
        </is>
      </c>
      <c r="L83" s="12" t="n">
        <v>2230</v>
      </c>
      <c r="M83" s="14" t="n">
        <v>3.8</v>
      </c>
      <c r="N83" s="12">
        <f>ROUND(L83/M83, 0)</f>
        <v/>
      </c>
      <c r="O83" s="12">
        <f>ROUND(N83*'Methodology &amp; Assumptions'!$B$5, 0)</f>
        <v/>
      </c>
      <c r="P83" s="10" t="inlineStr">
        <is>
          <t>Single Carrier (Band n50, 100MHz TDD)</t>
        </is>
      </c>
      <c r="Q83" s="13">
        <f>ROUNDUP(O83/'Methodology &amp; Assumptions'!$B$6, 0)</f>
        <v/>
      </c>
      <c r="R83" s="13" t="n">
        <v>1</v>
      </c>
      <c r="S83" s="14" t="n">
        <v>1.55</v>
      </c>
      <c r="T83" s="14" t="n">
        <v>0.6</v>
      </c>
      <c r="U83" s="26">
        <f>IF(X83&gt;='Methodology &amp; Assumptions'!$B$7, "Tier 1 Critical GIDA (Score ≥ 50.0)", IF(X83&gt;='Methodology &amp; Assumptions'!$B$8, "Tier 2 High GIDA (Score 40.0–49.9)", "Tier 3 Moderate GIDA (Score &lt; 40.0)"))</f>
        <v/>
      </c>
      <c r="V83" s="26">
        <f>IF(S83&lt;='Methodology &amp; Assumptions'!$B$10, "Direct Optical Drop (&lt;3km)", IF(S83&lt;='Methodology &amp; Assumptions'!$B$9, "Near Optical / Microwave (&lt;5km)", "Starlink Business LEO Satellite Backhaul (&gt;5km)"))</f>
        <v/>
      </c>
      <c r="W83" s="28" t="n">
        <v>0.156</v>
      </c>
      <c r="X83" s="14" t="n">
        <v>58.06</v>
      </c>
      <c r="Y83" s="14">
        <f>ROUND(MIN(100, (X83/69.91)*100), 2)</f>
        <v/>
      </c>
    </row>
    <row r="84">
      <c r="A84" s="10" t="n">
        <v>1</v>
      </c>
      <c r="B84" s="10" t="n">
        <v>80</v>
      </c>
      <c r="C84" s="10" t="n">
        <v>80</v>
      </c>
      <c r="D84" s="10" t="inlineStr">
        <is>
          <t>0601909026</t>
        </is>
      </c>
      <c r="E84" s="26" t="inlineStr">
        <is>
          <t>Region VI (Western Visayas)</t>
        </is>
      </c>
      <c r="F84" s="26" t="inlineStr">
        <is>
          <t>Capiz</t>
        </is>
      </c>
      <c r="G84" s="26" t="inlineStr">
        <is>
          <t>Panay</t>
        </is>
      </c>
      <c r="H84" s="26" t="inlineStr">
        <is>
          <t>Lat-Asan</t>
        </is>
      </c>
      <c r="I84" s="27" t="n">
        <v>11.545722</v>
      </c>
      <c r="J84" s="27" t="n">
        <v>122.863202</v>
      </c>
      <c r="K84" s="10" t="inlineStr">
        <is>
          <t>R</t>
        </is>
      </c>
      <c r="L84" s="12" t="n">
        <v>823</v>
      </c>
      <c r="M84" s="14" t="n">
        <v>3.8</v>
      </c>
      <c r="N84" s="12">
        <f>ROUND(L84/M84, 0)</f>
        <v/>
      </c>
      <c r="O84" s="12">
        <f>ROUND(N84*'Methodology &amp; Assumptions'!$B$5, 0)</f>
        <v/>
      </c>
      <c r="P84" s="10" t="inlineStr">
        <is>
          <t>Single Carrier (Band n50, 100MHz TDD)</t>
        </is>
      </c>
      <c r="Q84" s="13">
        <f>ROUNDUP(O84/'Methodology &amp; Assumptions'!$B$6, 0)</f>
        <v/>
      </c>
      <c r="R84" s="13" t="n">
        <v>1</v>
      </c>
      <c r="S84" s="14" t="n">
        <v>7.46</v>
      </c>
      <c r="T84" s="14" t="n">
        <v>7.06</v>
      </c>
      <c r="U84" s="26">
        <f>IF(X84&gt;='Methodology &amp; Assumptions'!$B$7, "Tier 1 Critical GIDA (Score ≥ 50.0)", IF(X84&gt;='Methodology &amp; Assumptions'!$B$8, "Tier 2 High GIDA (Score 40.0–49.9)", "Tier 3 Moderate GIDA (Score &lt; 40.0)"))</f>
        <v/>
      </c>
      <c r="V84" s="26">
        <f>IF(S84&lt;='Methodology &amp; Assumptions'!$B$10, "Direct Optical Drop (&lt;3km)", IF(S84&lt;='Methodology &amp; Assumptions'!$B$9, "Near Optical / Microwave (&lt;5km)", "Starlink Business LEO Satellite Backhaul (&gt;5km)"))</f>
        <v/>
      </c>
      <c r="W84" s="28" t="n">
        <v>0.237</v>
      </c>
      <c r="X84" s="14" t="n">
        <v>58</v>
      </c>
      <c r="Y84" s="14">
        <f>ROUND(MIN(100, (X84/69.91)*100), 2)</f>
        <v/>
      </c>
    </row>
    <row r="85">
      <c r="A85" s="10" t="n">
        <v>1</v>
      </c>
      <c r="B85" s="10" t="n">
        <v>81</v>
      </c>
      <c r="C85" s="10" t="n">
        <v>81</v>
      </c>
      <c r="D85" s="10" t="inlineStr">
        <is>
          <t>1404407002</t>
        </is>
      </c>
      <c r="E85" s="26" t="inlineStr">
        <is>
          <t>Cordillera Administrative Region (CAR)</t>
        </is>
      </c>
      <c r="F85" s="26" t="inlineStr">
        <is>
          <t>Mountain Province</t>
        </is>
      </c>
      <c r="G85" s="26" t="inlineStr">
        <is>
          <t>Sabangan</t>
        </is>
      </c>
      <c r="H85" s="26" t="inlineStr">
        <is>
          <t>Bun-ayan</t>
        </is>
      </c>
      <c r="I85" s="27" t="n">
        <v>16.973437</v>
      </c>
      <c r="J85" s="27" t="n">
        <v>120.909352</v>
      </c>
      <c r="K85" s="10" t="inlineStr">
        <is>
          <t>R</t>
        </is>
      </c>
      <c r="L85" s="12" t="n">
        <v>761</v>
      </c>
      <c r="M85" s="14" t="n">
        <v>3.7</v>
      </c>
      <c r="N85" s="12">
        <f>ROUND(L85/M85, 0)</f>
        <v/>
      </c>
      <c r="O85" s="12">
        <f>ROUND(N85*'Methodology &amp; Assumptions'!$B$5, 0)</f>
        <v/>
      </c>
      <c r="P85" s="10" t="inlineStr">
        <is>
          <t>Single Carrier (Band n50, 100MHz TDD)</t>
        </is>
      </c>
      <c r="Q85" s="13">
        <f>ROUNDUP(O85/'Methodology &amp; Assumptions'!$B$6, 0)</f>
        <v/>
      </c>
      <c r="R85" s="13" t="n">
        <v>1</v>
      </c>
      <c r="S85" s="14" t="n">
        <v>4.56</v>
      </c>
      <c r="T85" s="14" t="n">
        <v>0.29</v>
      </c>
      <c r="U85" s="26">
        <f>IF(X85&gt;='Methodology &amp; Assumptions'!$B$7, "Tier 1 Critical GIDA (Score ≥ 50.0)", IF(X85&gt;='Methodology &amp; Assumptions'!$B$8, "Tier 2 High GIDA (Score 40.0–49.9)", "Tier 3 Moderate GIDA (Score &lt; 40.0)"))</f>
        <v/>
      </c>
      <c r="V85" s="26">
        <f>IF(S85&lt;='Methodology &amp; Assumptions'!$B$10, "Direct Optical Drop (&lt;3km)", IF(S85&lt;='Methodology &amp; Assumptions'!$B$9, "Near Optical / Microwave (&lt;5km)", "Starlink Business LEO Satellite Backhaul (&gt;5km)"))</f>
        <v/>
      </c>
      <c r="W85" s="28" t="n">
        <v>0.109</v>
      </c>
      <c r="X85" s="14" t="n">
        <v>58</v>
      </c>
      <c r="Y85" s="14">
        <f>ROUND(MIN(100, (X85/69.91)*100), 2)</f>
        <v/>
      </c>
    </row>
    <row r="86">
      <c r="A86" s="10" t="n">
        <v>1</v>
      </c>
      <c r="B86" s="10" t="n">
        <v>82</v>
      </c>
      <c r="C86" s="10" t="n">
        <v>82</v>
      </c>
      <c r="D86" s="10" t="inlineStr">
        <is>
          <t>0102911006</t>
        </is>
      </c>
      <c r="E86" s="26" t="inlineStr">
        <is>
          <t>Region I (Ilocos Region)</t>
        </is>
      </c>
      <c r="F86" s="26" t="inlineStr">
        <is>
          <t>Ilocos Sur</t>
        </is>
      </c>
      <c r="G86" s="26" t="inlineStr">
        <is>
          <t>Lidlidda</t>
        </is>
      </c>
      <c r="H86" s="26" t="inlineStr">
        <is>
          <t>Labut</t>
        </is>
      </c>
      <c r="I86" s="27" t="n">
        <v>17.262659</v>
      </c>
      <c r="J86" s="27" t="n">
        <v>120.540067</v>
      </c>
      <c r="K86" s="10" t="inlineStr">
        <is>
          <t>R</t>
        </is>
      </c>
      <c r="L86" s="12" t="n">
        <v>309</v>
      </c>
      <c r="M86" s="14" t="n">
        <v>3.8</v>
      </c>
      <c r="N86" s="12">
        <f>ROUND(L86/M86, 0)</f>
        <v/>
      </c>
      <c r="O86" s="12">
        <f>ROUND(N86*'Methodology &amp; Assumptions'!$B$5, 0)</f>
        <v/>
      </c>
      <c r="P86" s="10" t="inlineStr">
        <is>
          <t>Single Carrier (Band n50, 100MHz TDD)</t>
        </is>
      </c>
      <c r="Q86" s="13">
        <f>ROUNDUP(O86/'Methodology &amp; Assumptions'!$B$6, 0)</f>
        <v/>
      </c>
      <c r="R86" s="13" t="n">
        <v>1</v>
      </c>
      <c r="S86" s="14" t="n">
        <v>2.2</v>
      </c>
      <c r="T86" s="14" t="n">
        <v>2.2</v>
      </c>
      <c r="U86" s="26">
        <f>IF(X86&gt;='Methodology &amp; Assumptions'!$B$7, "Tier 1 Critical GIDA (Score ≥ 50.0)", IF(X86&gt;='Methodology &amp; Assumptions'!$B$8, "Tier 2 High GIDA (Score 40.0–49.9)", "Tier 3 Moderate GIDA (Score &lt; 40.0)"))</f>
        <v/>
      </c>
      <c r="V86" s="26">
        <f>IF(S86&lt;='Methodology &amp; Assumptions'!$B$10, "Direct Optical Drop (&lt;3km)", IF(S86&lt;='Methodology &amp; Assumptions'!$B$9, "Near Optical / Microwave (&lt;5km)", "Starlink Business LEO Satellite Backhaul (&gt;5km)"))</f>
        <v/>
      </c>
      <c r="W86" s="28" t="n">
        <v>0.083</v>
      </c>
      <c r="X86" s="14" t="n">
        <v>57.99</v>
      </c>
      <c r="Y86" s="14">
        <f>ROUND(MIN(100, (X86/69.91)*100), 2)</f>
        <v/>
      </c>
    </row>
    <row r="87">
      <c r="A87" s="10" t="n">
        <v>1</v>
      </c>
      <c r="B87" s="10" t="n">
        <v>83</v>
      </c>
      <c r="C87" s="10" t="n">
        <v>83</v>
      </c>
      <c r="D87" s="10" t="inlineStr">
        <is>
          <t>1403208007</t>
        </is>
      </c>
      <c r="E87" s="26" t="inlineStr">
        <is>
          <t>Cordillera Administrative Region (CAR)</t>
        </is>
      </c>
      <c r="F87" s="26" t="inlineStr">
        <is>
          <t>Kalinga</t>
        </is>
      </c>
      <c r="G87" s="26" t="inlineStr">
        <is>
          <t>Pasil</t>
        </is>
      </c>
      <c r="H87" s="26" t="inlineStr">
        <is>
          <t>Colayo</t>
        </is>
      </c>
      <c r="I87" s="27" t="n">
        <v>17.32745</v>
      </c>
      <c r="J87" s="27" t="n">
        <v>121.029372</v>
      </c>
      <c r="K87" s="10" t="inlineStr">
        <is>
          <t>R</t>
        </is>
      </c>
      <c r="L87" s="12" t="n">
        <v>371</v>
      </c>
      <c r="M87" s="14" t="n">
        <v>4.3</v>
      </c>
      <c r="N87" s="12">
        <f>ROUND(L87/M87, 0)</f>
        <v/>
      </c>
      <c r="O87" s="12">
        <f>ROUND(N87*'Methodology &amp; Assumptions'!$B$5, 0)</f>
        <v/>
      </c>
      <c r="P87" s="10" t="inlineStr">
        <is>
          <t>Single Carrier (Band n50, 100MHz TDD)</t>
        </is>
      </c>
      <c r="Q87" s="13">
        <f>ROUNDUP(O87/'Methodology &amp; Assumptions'!$B$6, 0)</f>
        <v/>
      </c>
      <c r="R87" s="13" t="n">
        <v>1</v>
      </c>
      <c r="S87" s="14" t="n">
        <v>14.53</v>
      </c>
      <c r="T87" s="14" t="n">
        <v>13.21</v>
      </c>
      <c r="U87" s="26">
        <f>IF(X87&gt;='Methodology &amp; Assumptions'!$B$7, "Tier 1 Critical GIDA (Score ≥ 50.0)", IF(X87&gt;='Methodology &amp; Assumptions'!$B$8, "Tier 2 High GIDA (Score 40.0–49.9)", "Tier 3 Moderate GIDA (Score &lt; 40.0)"))</f>
        <v/>
      </c>
      <c r="V87" s="26">
        <f>IF(S87&lt;='Methodology &amp; Assumptions'!$B$10, "Direct Optical Drop (&lt;3km)", IF(S87&lt;='Methodology &amp; Assumptions'!$B$9, "Near Optical / Microwave (&lt;5km)", "Starlink Business LEO Satellite Backhaul (&gt;5km)"))</f>
        <v/>
      </c>
      <c r="W87" s="28" t="n">
        <v>0.109</v>
      </c>
      <c r="X87" s="14" t="n">
        <v>57.99</v>
      </c>
      <c r="Y87" s="14">
        <f>ROUND(MIN(100, (X87/69.91)*100), 2)</f>
        <v/>
      </c>
    </row>
    <row r="88">
      <c r="A88" s="10" t="n">
        <v>1</v>
      </c>
      <c r="B88" s="10" t="n">
        <v>84</v>
      </c>
      <c r="C88" s="10" t="n">
        <v>84</v>
      </c>
      <c r="D88" s="10" t="inlineStr">
        <is>
          <t>0500503038</t>
        </is>
      </c>
      <c r="E88" s="26" t="inlineStr">
        <is>
          <t>Region V (Bicol Region)</t>
        </is>
      </c>
      <c r="F88" s="26" t="inlineStr">
        <is>
          <t>Albay</t>
        </is>
      </c>
      <c r="G88" s="26" t="inlineStr">
        <is>
          <t>Daraga</t>
        </is>
      </c>
      <c r="H88" s="26" t="inlineStr">
        <is>
          <t>Mi-isi</t>
        </is>
      </c>
      <c r="I88" s="27" t="n">
        <v>13.11437</v>
      </c>
      <c r="J88" s="27" t="n">
        <v>123.697295</v>
      </c>
      <c r="K88" s="10" t="inlineStr">
        <is>
          <t>R</t>
        </is>
      </c>
      <c r="L88" s="12" t="n">
        <v>1123</v>
      </c>
      <c r="M88" s="14" t="n">
        <v>4.1</v>
      </c>
      <c r="N88" s="12">
        <f>ROUND(L88/M88, 0)</f>
        <v/>
      </c>
      <c r="O88" s="12">
        <f>ROUND(N88*'Methodology &amp; Assumptions'!$B$5, 0)</f>
        <v/>
      </c>
      <c r="P88" s="10" t="inlineStr">
        <is>
          <t>Single Carrier (Band n50, 100MHz TDD)</t>
        </is>
      </c>
      <c r="Q88" s="13">
        <f>ROUNDUP(O88/'Methodology &amp; Assumptions'!$B$6, 0)</f>
        <v/>
      </c>
      <c r="R88" s="13" t="n">
        <v>1</v>
      </c>
      <c r="S88" s="14" t="n">
        <v>3.96</v>
      </c>
      <c r="T88" s="14" t="n">
        <v>0.32</v>
      </c>
      <c r="U88" s="26">
        <f>IF(X88&gt;='Methodology &amp; Assumptions'!$B$7, "Tier 1 Critical GIDA (Score ≥ 50.0)", IF(X88&gt;='Methodology &amp; Assumptions'!$B$8, "Tier 2 High GIDA (Score 40.0–49.9)", "Tier 3 Moderate GIDA (Score &lt; 40.0)"))</f>
        <v/>
      </c>
      <c r="V88" s="26">
        <f>IF(S88&lt;='Methodology &amp; Assumptions'!$B$10, "Direct Optical Drop (&lt;3km)", IF(S88&lt;='Methodology &amp; Assumptions'!$B$9, "Near Optical / Microwave (&lt;5km)", "Starlink Business LEO Satellite Backhaul (&gt;5km)"))</f>
        <v/>
      </c>
      <c r="W88" s="28" t="n">
        <v>0.237</v>
      </c>
      <c r="X88" s="14" t="n">
        <v>57.96</v>
      </c>
      <c r="Y88" s="14">
        <f>ROUND(MIN(100, (X88/69.91)*100), 2)</f>
        <v/>
      </c>
    </row>
    <row r="89">
      <c r="A89" s="10" t="n">
        <v>1</v>
      </c>
      <c r="B89" s="10" t="n">
        <v>85</v>
      </c>
      <c r="C89" s="10" t="n">
        <v>85</v>
      </c>
      <c r="D89" s="10" t="inlineStr">
        <is>
          <t>PH0000085</t>
        </is>
      </c>
      <c r="E89" s="26" t="inlineStr">
        <is>
          <t>VI</t>
        </is>
      </c>
      <c r="F89" s="26" t="inlineStr">
        <is>
          <t>Iloilo</t>
        </is>
      </c>
      <c r="G89" s="26" t="inlineStr">
        <is>
          <t>Iloilo City</t>
        </is>
      </c>
      <c r="H89" s="26" t="inlineStr">
        <is>
          <t>Macarthur</t>
        </is>
      </c>
      <c r="I89" s="27" t="n">
        <v>10.706389</v>
      </c>
      <c r="J89" s="27" t="n">
        <v>122.53752</v>
      </c>
      <c r="K89" s="10" t="inlineStr">
        <is>
          <t>R</t>
        </is>
      </c>
      <c r="L89" s="12" t="n">
        <v>2230</v>
      </c>
      <c r="M89" s="14" t="n">
        <v>3.8</v>
      </c>
      <c r="N89" s="12">
        <f>ROUND(L89/M89, 0)</f>
        <v/>
      </c>
      <c r="O89" s="12">
        <f>ROUND(N89*'Methodology &amp; Assumptions'!$B$5, 0)</f>
        <v/>
      </c>
      <c r="P89" s="10" t="inlineStr">
        <is>
          <t>Single Carrier (Band n50, 100MHz TDD)</t>
        </is>
      </c>
      <c r="Q89" s="13">
        <f>ROUNDUP(O89/'Methodology &amp; Assumptions'!$B$6, 0)</f>
        <v/>
      </c>
      <c r="R89" s="13" t="n">
        <v>1</v>
      </c>
      <c r="S89" s="14" t="n">
        <v>1.83</v>
      </c>
      <c r="T89" s="14" t="n">
        <v>2.87</v>
      </c>
      <c r="U89" s="26">
        <f>IF(X89&gt;='Methodology &amp; Assumptions'!$B$7, "Tier 1 Critical GIDA (Score ≥ 50.0)", IF(X89&gt;='Methodology &amp; Assumptions'!$B$8, "Tier 2 High GIDA (Score 40.0–49.9)", "Tier 3 Moderate GIDA (Score &lt; 40.0)"))</f>
        <v/>
      </c>
      <c r="V89" s="26">
        <f>IF(S89&lt;='Methodology &amp; Assumptions'!$B$10, "Direct Optical Drop (&lt;3km)", IF(S89&lt;='Methodology &amp; Assumptions'!$B$9, "Near Optical / Microwave (&lt;5km)", "Starlink Business LEO Satellite Backhaul (&gt;5km)"))</f>
        <v/>
      </c>
      <c r="W89" s="28" t="n">
        <v>0.156</v>
      </c>
      <c r="X89" s="14" t="n">
        <v>57.94</v>
      </c>
      <c r="Y89" s="14">
        <f>ROUND(MIN(100, (X89/69.91)*100), 2)</f>
        <v/>
      </c>
    </row>
    <row r="90">
      <c r="A90" s="10" t="n">
        <v>1</v>
      </c>
      <c r="B90" s="10" t="n">
        <v>86</v>
      </c>
      <c r="C90" s="10" t="n">
        <v>86</v>
      </c>
      <c r="D90" s="10" t="inlineStr">
        <is>
          <t>PH0000086</t>
        </is>
      </c>
      <c r="E90" s="26" t="inlineStr">
        <is>
          <t>VI</t>
        </is>
      </c>
      <c r="F90" s="26" t="inlineStr">
        <is>
          <t>Iloilo</t>
        </is>
      </c>
      <c r="G90" s="26" t="inlineStr">
        <is>
          <t>Iloilo City</t>
        </is>
      </c>
      <c r="H90" s="26" t="inlineStr">
        <is>
          <t>Liberation</t>
        </is>
      </c>
      <c r="I90" s="27" t="n">
        <v>10.725942</v>
      </c>
      <c r="J90" s="27" t="n">
        <v>122.554309</v>
      </c>
      <c r="K90" s="10" t="inlineStr">
        <is>
          <t>R</t>
        </is>
      </c>
      <c r="L90" s="12" t="n">
        <v>2230</v>
      </c>
      <c r="M90" s="14" t="n">
        <v>3.8</v>
      </c>
      <c r="N90" s="12">
        <f>ROUND(L90/M90, 0)</f>
        <v/>
      </c>
      <c r="O90" s="12">
        <f>ROUND(N90*'Methodology &amp; Assumptions'!$B$5, 0)</f>
        <v/>
      </c>
      <c r="P90" s="10" t="inlineStr">
        <is>
          <t>Single Carrier (Band n50, 100MHz TDD)</t>
        </is>
      </c>
      <c r="Q90" s="13">
        <f>ROUNDUP(O90/'Methodology &amp; Assumptions'!$B$6, 0)</f>
        <v/>
      </c>
      <c r="R90" s="13" t="n">
        <v>1</v>
      </c>
      <c r="S90" s="14" t="n">
        <v>2.01</v>
      </c>
      <c r="T90" s="14" t="n">
        <v>0.33</v>
      </c>
      <c r="U90" s="26">
        <f>IF(X90&gt;='Methodology &amp; Assumptions'!$B$7, "Tier 1 Critical GIDA (Score ≥ 50.0)", IF(X90&gt;='Methodology &amp; Assumptions'!$B$8, "Tier 2 High GIDA (Score 40.0–49.9)", "Tier 3 Moderate GIDA (Score &lt; 40.0)"))</f>
        <v/>
      </c>
      <c r="V90" s="26">
        <f>IF(S90&lt;='Methodology &amp; Assumptions'!$B$10, "Direct Optical Drop (&lt;3km)", IF(S90&lt;='Methodology &amp; Assumptions'!$B$9, "Near Optical / Microwave (&lt;5km)", "Starlink Business LEO Satellite Backhaul (&gt;5km)"))</f>
        <v/>
      </c>
      <c r="W90" s="28" t="n">
        <v>0.156</v>
      </c>
      <c r="X90" s="14" t="n">
        <v>57.93</v>
      </c>
      <c r="Y90" s="14">
        <f>ROUND(MIN(100, (X90/69.91)*100), 2)</f>
        <v/>
      </c>
    </row>
    <row r="91">
      <c r="A91" s="10" t="n">
        <v>1</v>
      </c>
      <c r="B91" s="10" t="n">
        <v>87</v>
      </c>
      <c r="C91" s="10" t="n">
        <v>87</v>
      </c>
      <c r="D91" s="10" t="inlineStr">
        <is>
          <t>1403201001</t>
        </is>
      </c>
      <c r="E91" s="26" t="inlineStr">
        <is>
          <t>Cordillera Administrative Region (CAR)</t>
        </is>
      </c>
      <c r="F91" s="26" t="inlineStr">
        <is>
          <t>Kalinga</t>
        </is>
      </c>
      <c r="G91" s="26" t="inlineStr">
        <is>
          <t>Balbalan</t>
        </is>
      </c>
      <c r="H91" s="26" t="inlineStr">
        <is>
          <t>Ababa-an</t>
        </is>
      </c>
      <c r="I91" s="27" t="n">
        <v>17.514277</v>
      </c>
      <c r="J91" s="27" t="n">
        <v>121.284179</v>
      </c>
      <c r="K91" s="10" t="inlineStr">
        <is>
          <t>R</t>
        </is>
      </c>
      <c r="L91" s="12" t="n">
        <v>420</v>
      </c>
      <c r="M91" s="14" t="n">
        <v>4.3</v>
      </c>
      <c r="N91" s="12">
        <f>ROUND(L91/M91, 0)</f>
        <v/>
      </c>
      <c r="O91" s="12">
        <f>ROUND(N91*'Methodology &amp; Assumptions'!$B$5, 0)</f>
        <v/>
      </c>
      <c r="P91" s="10" t="inlineStr">
        <is>
          <t>Single Carrier (Band n50, 100MHz TDD)</t>
        </is>
      </c>
      <c r="Q91" s="13">
        <f>ROUNDUP(O91/'Methodology &amp; Assumptions'!$B$6, 0)</f>
        <v/>
      </c>
      <c r="R91" s="13" t="n">
        <v>1</v>
      </c>
      <c r="S91" s="14" t="n">
        <v>7.65</v>
      </c>
      <c r="T91" s="14" t="n">
        <v>11.26</v>
      </c>
      <c r="U91" s="26">
        <f>IF(X91&gt;='Methodology &amp; Assumptions'!$B$7, "Tier 1 Critical GIDA (Score ≥ 50.0)", IF(X91&gt;='Methodology &amp; Assumptions'!$B$8, "Tier 2 High GIDA (Score 40.0–49.9)", "Tier 3 Moderate GIDA (Score &lt; 40.0)"))</f>
        <v/>
      </c>
      <c r="V91" s="26">
        <f>IF(S91&lt;='Methodology &amp; Assumptions'!$B$10, "Direct Optical Drop (&lt;3km)", IF(S91&lt;='Methodology &amp; Assumptions'!$B$9, "Near Optical / Microwave (&lt;5km)", "Starlink Business LEO Satellite Backhaul (&gt;5km)"))</f>
        <v/>
      </c>
      <c r="W91" s="28" t="n">
        <v>0.109</v>
      </c>
      <c r="X91" s="14" t="n">
        <v>57.91</v>
      </c>
      <c r="Y91" s="14">
        <f>ROUND(MIN(100, (X91/69.91)*100), 2)</f>
        <v/>
      </c>
    </row>
    <row r="92">
      <c r="A92" s="10" t="n">
        <v>1</v>
      </c>
      <c r="B92" s="10" t="n">
        <v>88</v>
      </c>
      <c r="C92" s="10" t="n">
        <v>88</v>
      </c>
      <c r="D92" s="10" t="inlineStr">
        <is>
          <t>PH0000088</t>
        </is>
      </c>
      <c r="E92" s="26" t="inlineStr">
        <is>
          <t>VI</t>
        </is>
      </c>
      <c r="F92" s="26" t="inlineStr">
        <is>
          <t>Iloilo</t>
        </is>
      </c>
      <c r="G92" s="26" t="inlineStr">
        <is>
          <t>Iloilo City</t>
        </is>
      </c>
      <c r="H92" s="26" t="inlineStr">
        <is>
          <t>Villa Anita</t>
        </is>
      </c>
      <c r="I92" s="27" t="n">
        <v>10.697866</v>
      </c>
      <c r="J92" s="27" t="n">
        <v>122.555431</v>
      </c>
      <c r="K92" s="10" t="inlineStr">
        <is>
          <t>R</t>
        </is>
      </c>
      <c r="L92" s="12" t="n">
        <v>2230</v>
      </c>
      <c r="M92" s="14" t="n">
        <v>3.8</v>
      </c>
      <c r="N92" s="12">
        <f>ROUND(L92/M92, 0)</f>
        <v/>
      </c>
      <c r="O92" s="12">
        <f>ROUND(N92*'Methodology &amp; Assumptions'!$B$5, 0)</f>
        <v/>
      </c>
      <c r="P92" s="10" t="inlineStr">
        <is>
          <t>Single Carrier (Band n50, 100MHz TDD)</t>
        </is>
      </c>
      <c r="Q92" s="13">
        <f>ROUNDUP(O92/'Methodology &amp; Assumptions'!$B$6, 0)</f>
        <v/>
      </c>
      <c r="R92" s="13" t="n">
        <v>1</v>
      </c>
      <c r="S92" s="14" t="n">
        <v>1.6</v>
      </c>
      <c r="T92" s="14" t="n">
        <v>1.5</v>
      </c>
      <c r="U92" s="26">
        <f>IF(X92&gt;='Methodology &amp; Assumptions'!$B$7, "Tier 1 Critical GIDA (Score ≥ 50.0)", IF(X92&gt;='Methodology &amp; Assumptions'!$B$8, "Tier 2 High GIDA (Score 40.0–49.9)", "Tier 3 Moderate GIDA (Score &lt; 40.0)"))</f>
        <v/>
      </c>
      <c r="V92" s="26">
        <f>IF(S92&lt;='Methodology &amp; Assumptions'!$B$10, "Direct Optical Drop (&lt;3km)", IF(S92&lt;='Methodology &amp; Assumptions'!$B$9, "Near Optical / Microwave (&lt;5km)", "Starlink Business LEO Satellite Backhaul (&gt;5km)"))</f>
        <v/>
      </c>
      <c r="W92" s="28" t="n">
        <v>0.156</v>
      </c>
      <c r="X92" s="14" t="n">
        <v>57.89</v>
      </c>
      <c r="Y92" s="14">
        <f>ROUND(MIN(100, (X92/69.91)*100), 2)</f>
        <v/>
      </c>
    </row>
    <row r="93">
      <c r="A93" s="10" t="n">
        <v>1</v>
      </c>
      <c r="B93" s="10" t="n">
        <v>89</v>
      </c>
      <c r="C93" s="10" t="n">
        <v>89</v>
      </c>
      <c r="D93" s="10" t="inlineStr">
        <is>
          <t>1404407005</t>
        </is>
      </c>
      <c r="E93" s="26" t="inlineStr">
        <is>
          <t>Cordillera Administrative Region (CAR)</t>
        </is>
      </c>
      <c r="F93" s="26" t="inlineStr">
        <is>
          <t>Mountain Province</t>
        </is>
      </c>
      <c r="G93" s="26" t="inlineStr">
        <is>
          <t>Sabangan</t>
        </is>
      </c>
      <c r="H93" s="26" t="inlineStr">
        <is>
          <t>Capinitan</t>
        </is>
      </c>
      <c r="I93" s="27" t="n">
        <v>16.950004</v>
      </c>
      <c r="J93" s="27" t="n">
        <v>120.908744</v>
      </c>
      <c r="K93" s="10" t="inlineStr">
        <is>
          <t>R</t>
        </is>
      </c>
      <c r="L93" s="12" t="n">
        <v>582</v>
      </c>
      <c r="M93" s="14" t="n">
        <v>3.7</v>
      </c>
      <c r="N93" s="12">
        <f>ROUND(L93/M93, 0)</f>
        <v/>
      </c>
      <c r="O93" s="12">
        <f>ROUND(N93*'Methodology &amp; Assumptions'!$B$5, 0)</f>
        <v/>
      </c>
      <c r="P93" s="10" t="inlineStr">
        <is>
          <t>Single Carrier (Band n50, 100MHz TDD)</t>
        </is>
      </c>
      <c r="Q93" s="13">
        <f>ROUNDUP(O93/'Methodology &amp; Assumptions'!$B$6, 0)</f>
        <v/>
      </c>
      <c r="R93" s="13" t="n">
        <v>1</v>
      </c>
      <c r="S93" s="14" t="n">
        <v>4.47</v>
      </c>
      <c r="T93" s="14" t="n">
        <v>0.17</v>
      </c>
      <c r="U93" s="26">
        <f>IF(X93&gt;='Methodology &amp; Assumptions'!$B$7, "Tier 1 Critical GIDA (Score ≥ 50.0)", IF(X93&gt;='Methodology &amp; Assumptions'!$B$8, "Tier 2 High GIDA (Score 40.0–49.9)", "Tier 3 Moderate GIDA (Score &lt; 40.0)"))</f>
        <v/>
      </c>
      <c r="V93" s="26">
        <f>IF(S93&lt;='Methodology &amp; Assumptions'!$B$10, "Direct Optical Drop (&lt;3km)", IF(S93&lt;='Methodology &amp; Assumptions'!$B$9, "Near Optical / Microwave (&lt;5km)", "Starlink Business LEO Satellite Backhaul (&gt;5km)"))</f>
        <v/>
      </c>
      <c r="W93" s="28" t="n">
        <v>0.109</v>
      </c>
      <c r="X93" s="14" t="n">
        <v>57.88</v>
      </c>
      <c r="Y93" s="14">
        <f>ROUND(MIN(100, (X93/69.91)*100), 2)</f>
        <v/>
      </c>
    </row>
    <row r="94">
      <c r="A94" s="10" t="n">
        <v>1</v>
      </c>
      <c r="B94" s="10" t="n">
        <v>90</v>
      </c>
      <c r="C94" s="10" t="n">
        <v>90</v>
      </c>
      <c r="D94" s="10" t="inlineStr">
        <is>
          <t>0307708009</t>
        </is>
      </c>
      <c r="E94" s="26" t="inlineStr">
        <is>
          <t>Region III (Central Luzon)</t>
        </is>
      </c>
      <c r="F94" s="26" t="inlineStr">
        <is>
          <t>Aurora</t>
        </is>
      </c>
      <c r="G94" s="26" t="inlineStr">
        <is>
          <t>San Luis</t>
        </is>
      </c>
      <c r="H94" s="26" t="inlineStr">
        <is>
          <t>Dikapinisan</t>
        </is>
      </c>
      <c r="I94" s="27" t="n">
        <v>15.57871</v>
      </c>
      <c r="J94" s="27" t="n">
        <v>121.53811</v>
      </c>
      <c r="K94" s="10" t="inlineStr">
        <is>
          <t>R</t>
        </is>
      </c>
      <c r="L94" s="12" t="n">
        <v>1359</v>
      </c>
      <c r="M94" s="14" t="n">
        <v>3.8</v>
      </c>
      <c r="N94" s="12">
        <f>ROUND(L94/M94, 0)</f>
        <v/>
      </c>
      <c r="O94" s="12">
        <f>ROUND(N94*'Methodology &amp; Assumptions'!$B$5, 0)</f>
        <v/>
      </c>
      <c r="P94" s="10" t="inlineStr">
        <is>
          <t>Single Carrier (Band n50, 100MHz TDD)</t>
        </is>
      </c>
      <c r="Q94" s="13">
        <f>ROUNDUP(O94/'Methodology &amp; Assumptions'!$B$6, 0)</f>
        <v/>
      </c>
      <c r="R94" s="13" t="n">
        <v>1</v>
      </c>
      <c r="S94" s="14" t="n">
        <v>18.18</v>
      </c>
      <c r="T94" s="14" t="n">
        <v>18.48</v>
      </c>
      <c r="U94" s="26">
        <f>IF(X94&gt;='Methodology &amp; Assumptions'!$B$7, "Tier 1 Critical GIDA (Score ≥ 50.0)", IF(X94&gt;='Methodology &amp; Assumptions'!$B$8, "Tier 2 High GIDA (Score 40.0–49.9)", "Tier 3 Moderate GIDA (Score &lt; 40.0)"))</f>
        <v/>
      </c>
      <c r="V94" s="26">
        <f>IF(S94&lt;='Methodology &amp; Assumptions'!$B$10, "Direct Optical Drop (&lt;3km)", IF(S94&lt;='Methodology &amp; Assumptions'!$B$9, "Near Optical / Microwave (&lt;5km)", "Starlink Business LEO Satellite Backhaul (&gt;5km)"))</f>
        <v/>
      </c>
      <c r="W94" s="28" t="n">
        <v>0.083</v>
      </c>
      <c r="X94" s="14" t="n">
        <v>57.88</v>
      </c>
      <c r="Y94" s="14">
        <f>ROUND(MIN(100, (X94/69.91)*100), 2)</f>
        <v/>
      </c>
    </row>
    <row r="95">
      <c r="A95" s="10" t="n">
        <v>1</v>
      </c>
      <c r="B95" s="10" t="n">
        <v>91</v>
      </c>
      <c r="C95" s="10" t="n">
        <v>91</v>
      </c>
      <c r="D95" s="10" t="inlineStr">
        <is>
          <t>0600406032</t>
        </is>
      </c>
      <c r="E95" s="26" t="inlineStr">
        <is>
          <t>Region VI (Western Visayas)</t>
        </is>
      </c>
      <c r="F95" s="26" t="inlineStr">
        <is>
          <t>Aklan</t>
        </is>
      </c>
      <c r="G95" s="26" t="inlineStr">
        <is>
          <t>Ibajay</t>
        </is>
      </c>
      <c r="H95" s="26" t="inlineStr">
        <is>
          <t>Tagbaya</t>
        </is>
      </c>
      <c r="I95" s="27" t="n">
        <v>11.8109</v>
      </c>
      <c r="J95" s="27" t="n">
        <v>122.13089</v>
      </c>
      <c r="K95" s="10" t="inlineStr">
        <is>
          <t>R</t>
        </is>
      </c>
      <c r="L95" s="12" t="n">
        <v>1740</v>
      </c>
      <c r="M95" s="14" t="n">
        <v>3.9</v>
      </c>
      <c r="N95" s="12">
        <f>ROUND(L95/M95, 0)</f>
        <v/>
      </c>
      <c r="O95" s="12">
        <f>ROUND(N95*'Methodology &amp; Assumptions'!$B$5, 0)</f>
        <v/>
      </c>
      <c r="P95" s="10" t="inlineStr">
        <is>
          <t>Single Carrier (Band n50, 100MHz TDD)</t>
        </is>
      </c>
      <c r="Q95" s="13">
        <f>ROUNDUP(O95/'Methodology &amp; Assumptions'!$B$6, 0)</f>
        <v/>
      </c>
      <c r="R95" s="13" t="n">
        <v>1</v>
      </c>
      <c r="S95" s="14" t="n">
        <v>20.6</v>
      </c>
      <c r="T95" s="14" t="n">
        <v>0.3</v>
      </c>
      <c r="U95" s="26">
        <f>IF(X95&gt;='Methodology &amp; Assumptions'!$B$7, "Tier 1 Critical GIDA (Score ≥ 50.0)", IF(X95&gt;='Methodology &amp; Assumptions'!$B$8, "Tier 2 High GIDA (Score 40.0–49.9)", "Tier 3 Moderate GIDA (Score &lt; 40.0)"))</f>
        <v/>
      </c>
      <c r="V95" s="26">
        <f>IF(S95&lt;='Methodology &amp; Assumptions'!$B$10, "Direct Optical Drop (&lt;3km)", IF(S95&lt;='Methodology &amp; Assumptions'!$B$9, "Near Optical / Microwave (&lt;5km)", "Starlink Business LEO Satellite Backhaul (&gt;5km)"))</f>
        <v/>
      </c>
      <c r="W95" s="28" t="n">
        <v>0.237</v>
      </c>
      <c r="X95" s="14" t="n">
        <v>57.87</v>
      </c>
      <c r="Y95" s="14">
        <f>ROUND(MIN(100, (X95/69.91)*100), 2)</f>
        <v/>
      </c>
    </row>
    <row r="96">
      <c r="A96" s="10" t="n">
        <v>1</v>
      </c>
      <c r="B96" s="10" t="n">
        <v>92</v>
      </c>
      <c r="C96" s="10" t="n">
        <v>92</v>
      </c>
      <c r="D96" s="10" t="inlineStr">
        <is>
          <t>PH0000092</t>
        </is>
      </c>
      <c r="E96" s="26" t="inlineStr">
        <is>
          <t>VI</t>
        </is>
      </c>
      <c r="F96" s="26" t="inlineStr">
        <is>
          <t>Iloilo</t>
        </is>
      </c>
      <c r="G96" s="26" t="inlineStr">
        <is>
          <t>Iloilo City</t>
        </is>
      </c>
      <c r="H96" s="26" t="inlineStr">
        <is>
          <t>Rizal (La Paz)</t>
        </is>
      </c>
      <c r="I96" s="27" t="n">
        <v>10.719638</v>
      </c>
      <c r="J96" s="27" t="n">
        <v>122.533529</v>
      </c>
      <c r="K96" s="10" t="inlineStr">
        <is>
          <t>R</t>
        </is>
      </c>
      <c r="L96" s="12" t="n">
        <v>2230</v>
      </c>
      <c r="M96" s="14" t="n">
        <v>3.8</v>
      </c>
      <c r="N96" s="12">
        <f>ROUND(L96/M96, 0)</f>
        <v/>
      </c>
      <c r="O96" s="12">
        <f>ROUND(N96*'Methodology &amp; Assumptions'!$B$5, 0)</f>
        <v/>
      </c>
      <c r="P96" s="10" t="inlineStr">
        <is>
          <t>Single Carrier (Band n50, 100MHz TDD)</t>
        </is>
      </c>
      <c r="Q96" s="13">
        <f>ROUNDUP(O96/'Methodology &amp; Assumptions'!$B$6, 0)</f>
        <v/>
      </c>
      <c r="R96" s="13" t="n">
        <v>1</v>
      </c>
      <c r="S96" s="14" t="n">
        <v>3.37</v>
      </c>
      <c r="T96" s="14" t="n">
        <v>2.67</v>
      </c>
      <c r="U96" s="26">
        <f>IF(X96&gt;='Methodology &amp; Assumptions'!$B$7, "Tier 1 Critical GIDA (Score ≥ 50.0)", IF(X96&gt;='Methodology &amp; Assumptions'!$B$8, "Tier 2 High GIDA (Score 40.0–49.9)", "Tier 3 Moderate GIDA (Score &lt; 40.0)"))</f>
        <v/>
      </c>
      <c r="V96" s="26">
        <f>IF(S96&lt;='Methodology &amp; Assumptions'!$B$10, "Direct Optical Drop (&lt;3km)", IF(S96&lt;='Methodology &amp; Assumptions'!$B$9, "Near Optical / Microwave (&lt;5km)", "Starlink Business LEO Satellite Backhaul (&gt;5km)"))</f>
        <v/>
      </c>
      <c r="W96" s="28" t="n">
        <v>0.156</v>
      </c>
      <c r="X96" s="14" t="n">
        <v>57.85</v>
      </c>
      <c r="Y96" s="14">
        <f>ROUND(MIN(100, (X96/69.91)*100), 2)</f>
        <v/>
      </c>
    </row>
    <row r="97">
      <c r="A97" s="10" t="n">
        <v>1</v>
      </c>
      <c r="B97" s="10" t="n">
        <v>93</v>
      </c>
      <c r="C97" s="10" t="n">
        <v>93</v>
      </c>
      <c r="D97" s="10" t="inlineStr">
        <is>
          <t>0405627034</t>
        </is>
      </c>
      <c r="E97" s="26" t="inlineStr">
        <is>
          <t>Region IV-A (CALABARZON)</t>
        </is>
      </c>
      <c r="F97" s="26" t="inlineStr">
        <is>
          <t>Quezon</t>
        </is>
      </c>
      <c r="G97" s="26" t="inlineStr">
        <is>
          <t>Mauban</t>
        </is>
      </c>
      <c r="H97" s="26" t="inlineStr">
        <is>
          <t>San Roque</t>
        </is>
      </c>
      <c r="I97" s="27" t="n">
        <v>14.192509</v>
      </c>
      <c r="J97" s="27" t="n">
        <v>121.735389</v>
      </c>
      <c r="K97" s="10" t="inlineStr">
        <is>
          <t>R</t>
        </is>
      </c>
      <c r="L97" s="12" t="n">
        <v>160</v>
      </c>
      <c r="M97" s="14" t="n">
        <v>3.8</v>
      </c>
      <c r="N97" s="12">
        <f>ROUND(L97/M97, 0)</f>
        <v/>
      </c>
      <c r="O97" s="12">
        <f>ROUND(N97*'Methodology &amp; Assumptions'!$B$5, 0)</f>
        <v/>
      </c>
      <c r="P97" s="10" t="inlineStr">
        <is>
          <t>Single Carrier (Band n50, 100MHz TDD)</t>
        </is>
      </c>
      <c r="Q97" s="13">
        <f>ROUNDUP(O97/'Methodology &amp; Assumptions'!$B$6, 0)</f>
        <v/>
      </c>
      <c r="R97" s="13" t="n">
        <v>1</v>
      </c>
      <c r="S97" s="14" t="n">
        <v>2.35</v>
      </c>
      <c r="T97" s="14" t="n">
        <v>19.98</v>
      </c>
      <c r="U97" s="26">
        <f>IF(X97&gt;='Methodology &amp; Assumptions'!$B$7, "Tier 1 Critical GIDA (Score ≥ 50.0)", IF(X97&gt;='Methodology &amp; Assumptions'!$B$8, "Tier 2 High GIDA (Score 40.0–49.9)", "Tier 3 Moderate GIDA (Score &lt; 40.0)"))</f>
        <v/>
      </c>
      <c r="V97" s="26">
        <f>IF(S97&lt;='Methodology &amp; Assumptions'!$B$10, "Direct Optical Drop (&lt;3km)", IF(S97&lt;='Methodology &amp; Assumptions'!$B$9, "Near Optical / Microwave (&lt;5km)", "Starlink Business LEO Satellite Backhaul (&gt;5km)"))</f>
        <v/>
      </c>
      <c r="W97" s="28" t="n">
        <v>0.07200000000000001</v>
      </c>
      <c r="X97" s="14" t="n">
        <v>57.83</v>
      </c>
      <c r="Y97" s="14">
        <f>ROUND(MIN(100, (X97/69.91)*100), 2)</f>
        <v/>
      </c>
    </row>
    <row r="98">
      <c r="A98" s="10" t="n">
        <v>1</v>
      </c>
      <c r="B98" s="10" t="n">
        <v>94</v>
      </c>
      <c r="C98" s="10" t="n">
        <v>94</v>
      </c>
      <c r="D98" s="10" t="inlineStr">
        <is>
          <t>0600410013</t>
        </is>
      </c>
      <c r="E98" s="26" t="inlineStr">
        <is>
          <t>Region VI (Western Visayas)</t>
        </is>
      </c>
      <c r="F98" s="26" t="inlineStr">
        <is>
          <t>Aklan</t>
        </is>
      </c>
      <c r="G98" s="26" t="inlineStr">
        <is>
          <t>Madalag</t>
        </is>
      </c>
      <c r="H98" s="26" t="inlineStr">
        <is>
          <t>Maria Cristina</t>
        </is>
      </c>
      <c r="I98" s="27" t="n">
        <v>11.523171</v>
      </c>
      <c r="J98" s="27" t="n">
        <v>122.227483</v>
      </c>
      <c r="K98" s="10" t="inlineStr">
        <is>
          <t>R</t>
        </is>
      </c>
      <c r="L98" s="12" t="n">
        <v>1171</v>
      </c>
      <c r="M98" s="14" t="n">
        <v>3.9</v>
      </c>
      <c r="N98" s="12">
        <f>ROUND(L98/M98, 0)</f>
        <v/>
      </c>
      <c r="O98" s="12">
        <f>ROUND(N98*'Methodology &amp; Assumptions'!$B$5, 0)</f>
        <v/>
      </c>
      <c r="P98" s="10" t="inlineStr">
        <is>
          <t>Single Carrier (Band n50, 100MHz TDD)</t>
        </is>
      </c>
      <c r="Q98" s="13">
        <f>ROUNDUP(O98/'Methodology &amp; Assumptions'!$B$6, 0)</f>
        <v/>
      </c>
      <c r="R98" s="13" t="n">
        <v>1</v>
      </c>
      <c r="S98" s="14" t="n">
        <v>13.41</v>
      </c>
      <c r="T98" s="14" t="n">
        <v>15.52</v>
      </c>
      <c r="U98" s="26">
        <f>IF(X98&gt;='Methodology &amp; Assumptions'!$B$7, "Tier 1 Critical GIDA (Score ≥ 50.0)", IF(X98&gt;='Methodology &amp; Assumptions'!$B$8, "Tier 2 High GIDA (Score 40.0–49.9)", "Tier 3 Moderate GIDA (Score &lt; 40.0)"))</f>
        <v/>
      </c>
      <c r="V98" s="26">
        <f>IF(S98&lt;='Methodology &amp; Assumptions'!$B$10, "Direct Optical Drop (&lt;3km)", IF(S98&lt;='Methodology &amp; Assumptions'!$B$9, "Near Optical / Microwave (&lt;5km)", "Starlink Business LEO Satellite Backhaul (&gt;5km)"))</f>
        <v/>
      </c>
      <c r="W98" s="28" t="n">
        <v>0.237</v>
      </c>
      <c r="X98" s="14" t="n">
        <v>57.77</v>
      </c>
      <c r="Y98" s="14">
        <f>ROUND(MIN(100, (X98/69.91)*100), 2)</f>
        <v/>
      </c>
    </row>
    <row r="99">
      <c r="A99" s="10" t="n">
        <v>1</v>
      </c>
      <c r="B99" s="10" t="n">
        <v>95</v>
      </c>
      <c r="C99" s="10" t="n">
        <v>95</v>
      </c>
      <c r="D99" s="10" t="inlineStr">
        <is>
          <t>0102916014</t>
        </is>
      </c>
      <c r="E99" s="26" t="inlineStr">
        <is>
          <t>Region I (Ilocos Region)</t>
        </is>
      </c>
      <c r="F99" s="26" t="inlineStr">
        <is>
          <t>Ilocos Sur</t>
        </is>
      </c>
      <c r="G99" s="26" t="inlineStr">
        <is>
          <t>Salcedo</t>
        </is>
      </c>
      <c r="H99" s="26" t="inlineStr">
        <is>
          <t>Madarang</t>
        </is>
      </c>
      <c r="I99" s="27" t="n">
        <v>17.159151</v>
      </c>
      <c r="J99" s="27" t="n">
        <v>120.578651</v>
      </c>
      <c r="K99" s="10" t="inlineStr">
        <is>
          <t>R</t>
        </is>
      </c>
      <c r="L99" s="12" t="n">
        <v>259</v>
      </c>
      <c r="M99" s="14" t="n">
        <v>3.8</v>
      </c>
      <c r="N99" s="12">
        <f>ROUND(L99/M99, 0)</f>
        <v/>
      </c>
      <c r="O99" s="12">
        <f>ROUND(N99*'Methodology &amp; Assumptions'!$B$5, 0)</f>
        <v/>
      </c>
      <c r="P99" s="10" t="inlineStr">
        <is>
          <t>Single Carrier (Band n50, 100MHz TDD)</t>
        </is>
      </c>
      <c r="Q99" s="13">
        <f>ROUNDUP(O99/'Methodology &amp; Assumptions'!$B$6, 0)</f>
        <v/>
      </c>
      <c r="R99" s="13" t="n">
        <v>1</v>
      </c>
      <c r="S99" s="14" t="n">
        <v>4.47</v>
      </c>
      <c r="T99" s="14" t="n">
        <v>7.29</v>
      </c>
      <c r="U99" s="26">
        <f>IF(X99&gt;='Methodology &amp; Assumptions'!$B$7, "Tier 1 Critical GIDA (Score ≥ 50.0)", IF(X99&gt;='Methodology &amp; Assumptions'!$B$8, "Tier 2 High GIDA (Score 40.0–49.9)", "Tier 3 Moderate GIDA (Score &lt; 40.0)"))</f>
        <v/>
      </c>
      <c r="V99" s="26">
        <f>IF(S99&lt;='Methodology &amp; Assumptions'!$B$10, "Direct Optical Drop (&lt;3km)", IF(S99&lt;='Methodology &amp; Assumptions'!$B$9, "Near Optical / Microwave (&lt;5km)", "Starlink Business LEO Satellite Backhaul (&gt;5km)"))</f>
        <v/>
      </c>
      <c r="W99" s="28" t="n">
        <v>0.083</v>
      </c>
      <c r="X99" s="14" t="n">
        <v>57.73</v>
      </c>
      <c r="Y99" s="14">
        <f>ROUND(MIN(100, (X99/69.91)*100), 2)</f>
        <v/>
      </c>
    </row>
    <row r="100">
      <c r="A100" s="10" t="n">
        <v>1</v>
      </c>
      <c r="B100" s="10" t="n">
        <v>96</v>
      </c>
      <c r="C100" s="10" t="n">
        <v>96</v>
      </c>
      <c r="D100" s="10" t="inlineStr">
        <is>
          <t>PH0000096</t>
        </is>
      </c>
      <c r="E100" s="26" t="inlineStr">
        <is>
          <t>VI</t>
        </is>
      </c>
      <c r="F100" s="26" t="inlineStr">
        <is>
          <t>Iloilo</t>
        </is>
      </c>
      <c r="G100" s="26" t="inlineStr">
        <is>
          <t>Iloilo City</t>
        </is>
      </c>
      <c r="H100" s="26" t="inlineStr">
        <is>
          <t>Delgado-Jalandoni-Bagumbayan</t>
        </is>
      </c>
      <c r="I100" s="27" t="n">
        <v>10.71796</v>
      </c>
      <c r="J100" s="27" t="n">
        <v>122.567202</v>
      </c>
      <c r="K100" s="10" t="inlineStr">
        <is>
          <t>R</t>
        </is>
      </c>
      <c r="L100" s="12" t="n">
        <v>2230</v>
      </c>
      <c r="M100" s="14" t="n">
        <v>3.8</v>
      </c>
      <c r="N100" s="12">
        <f>ROUND(L100/M100, 0)</f>
        <v/>
      </c>
      <c r="O100" s="12">
        <f>ROUND(N100*'Methodology &amp; Assumptions'!$B$5, 0)</f>
        <v/>
      </c>
      <c r="P100" s="10" t="inlineStr">
        <is>
          <t>Single Carrier (Band n50, 100MHz TDD)</t>
        </is>
      </c>
      <c r="Q100" s="13">
        <f>ROUNDUP(O100/'Methodology &amp; Assumptions'!$B$6, 0)</f>
        <v/>
      </c>
      <c r="R100" s="13" t="n">
        <v>1</v>
      </c>
      <c r="S100" s="14" t="n">
        <v>0.47</v>
      </c>
      <c r="T100" s="14" t="n">
        <v>0.58</v>
      </c>
      <c r="U100" s="26">
        <f>IF(X100&gt;='Methodology &amp; Assumptions'!$B$7, "Tier 1 Critical GIDA (Score ≥ 50.0)", IF(X100&gt;='Methodology &amp; Assumptions'!$B$8, "Tier 2 High GIDA (Score 40.0–49.9)", "Tier 3 Moderate GIDA (Score &lt; 40.0)"))</f>
        <v/>
      </c>
      <c r="V100" s="26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W100" s="28" t="n">
        <v>0.156</v>
      </c>
      <c r="X100" s="14" t="n">
        <v>57.73</v>
      </c>
      <c r="Y100" s="14">
        <f>ROUND(MIN(100, (X100/69.91)*100), 2)</f>
        <v/>
      </c>
    </row>
    <row r="101">
      <c r="A101" s="10" t="n">
        <v>1</v>
      </c>
      <c r="B101" s="10" t="n">
        <v>97</v>
      </c>
      <c r="C101" s="10" t="n">
        <v>97</v>
      </c>
      <c r="D101" s="10" t="inlineStr">
        <is>
          <t>0307708010</t>
        </is>
      </c>
      <c r="E101" s="26" t="inlineStr">
        <is>
          <t>Region III (Central Luzon)</t>
        </is>
      </c>
      <c r="F101" s="26" t="inlineStr">
        <is>
          <t>Aurora</t>
        </is>
      </c>
      <c r="G101" s="26" t="inlineStr">
        <is>
          <t>San Luis</t>
        </is>
      </c>
      <c r="H101" s="26" t="inlineStr">
        <is>
          <t>Dimanayat</t>
        </is>
      </c>
      <c r="I101" s="27" t="n">
        <v>15.527706</v>
      </c>
      <c r="J101" s="27" t="n">
        <v>121.495852</v>
      </c>
      <c r="K101" s="10" t="inlineStr">
        <is>
          <t>R</t>
        </is>
      </c>
      <c r="L101" s="12" t="n">
        <v>978</v>
      </c>
      <c r="M101" s="14" t="n">
        <v>3.8</v>
      </c>
      <c r="N101" s="12">
        <f>ROUND(L101/M101, 0)</f>
        <v/>
      </c>
      <c r="O101" s="12">
        <f>ROUND(N101*'Methodology &amp; Assumptions'!$B$5, 0)</f>
        <v/>
      </c>
      <c r="P101" s="10" t="inlineStr">
        <is>
          <t>Single Carrier (Band n50, 100MHz TDD)</t>
        </is>
      </c>
      <c r="Q101" s="13">
        <f>ROUNDUP(O101/'Methodology &amp; Assumptions'!$B$6, 0)</f>
        <v/>
      </c>
      <c r="R101" s="13" t="n">
        <v>1</v>
      </c>
      <c r="S101" s="14" t="n">
        <v>18.13</v>
      </c>
      <c r="T101" s="14" t="n">
        <v>23.79</v>
      </c>
      <c r="U101" s="26">
        <f>IF(X101&gt;='Methodology &amp; Assumptions'!$B$7, "Tier 1 Critical GIDA (Score ≥ 50.0)", IF(X101&gt;='Methodology &amp; Assumptions'!$B$8, "Tier 2 High GIDA (Score 40.0–49.9)", "Tier 3 Moderate GIDA (Score &lt; 40.0)"))</f>
        <v/>
      </c>
      <c r="V101" s="26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W101" s="28" t="n">
        <v>0.083</v>
      </c>
      <c r="X101" s="14" t="n">
        <v>57.73</v>
      </c>
      <c r="Y101" s="14">
        <f>ROUND(MIN(100, (X101/69.91)*100), 2)</f>
        <v/>
      </c>
    </row>
    <row r="102">
      <c r="A102" s="10" t="n">
        <v>1</v>
      </c>
      <c r="B102" s="10" t="n">
        <v>98</v>
      </c>
      <c r="C102" s="10" t="n">
        <v>98</v>
      </c>
      <c r="D102" s="10" t="inlineStr">
        <is>
          <t>PH0000098</t>
        </is>
      </c>
      <c r="E102" s="26" t="inlineStr">
        <is>
          <t>VI</t>
        </is>
      </c>
      <c r="F102" s="26" t="inlineStr">
        <is>
          <t>Iloilo</t>
        </is>
      </c>
      <c r="G102" s="26" t="inlineStr">
        <is>
          <t>Iloilo City</t>
        </is>
      </c>
      <c r="H102" s="26" t="inlineStr">
        <is>
          <t>Malipayon-Delgado</t>
        </is>
      </c>
      <c r="I102" s="27" t="n">
        <v>10.695271</v>
      </c>
      <c r="J102" s="27" t="n">
        <v>122.539225</v>
      </c>
      <c r="K102" s="10" t="inlineStr">
        <is>
          <t>R</t>
        </is>
      </c>
      <c r="L102" s="12" t="n">
        <v>2230</v>
      </c>
      <c r="M102" s="14" t="n">
        <v>3.8</v>
      </c>
      <c r="N102" s="12">
        <f>ROUND(L102/M102, 0)</f>
        <v/>
      </c>
      <c r="O102" s="12">
        <f>ROUND(N102*'Methodology &amp; Assumptions'!$B$5, 0)</f>
        <v/>
      </c>
      <c r="P102" s="10" t="inlineStr">
        <is>
          <t>Single Carrier (Band n50, 100MHz TDD)</t>
        </is>
      </c>
      <c r="Q102" s="13">
        <f>ROUNDUP(O102/'Methodology &amp; Assumptions'!$B$6, 0)</f>
        <v/>
      </c>
      <c r="R102" s="13" t="n">
        <v>1</v>
      </c>
      <c r="S102" s="14" t="n">
        <v>0.64</v>
      </c>
      <c r="T102" s="14" t="n">
        <v>3.28</v>
      </c>
      <c r="U102" s="26">
        <f>IF(X102&gt;='Methodology &amp; Assumptions'!$B$7, "Tier 1 Critical GIDA (Score ≥ 50.0)", IF(X102&gt;='Methodology &amp; Assumptions'!$B$8, "Tier 2 High GIDA (Score 40.0–49.9)", "Tier 3 Moderate GIDA (Score &lt; 40.0)"))</f>
        <v/>
      </c>
      <c r="V102" s="26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W102" s="28" t="n">
        <v>0.156</v>
      </c>
      <c r="X102" s="14" t="n">
        <v>57.72</v>
      </c>
      <c r="Y102" s="14">
        <f>ROUND(MIN(100, (X102/69.91)*100), 2)</f>
        <v/>
      </c>
    </row>
    <row r="103">
      <c r="A103" s="10" t="n">
        <v>1</v>
      </c>
      <c r="B103" s="10" t="n">
        <v>99</v>
      </c>
      <c r="C103" s="10" t="n">
        <v>99</v>
      </c>
      <c r="D103" s="10" t="inlineStr">
        <is>
          <t>PH0000099</t>
        </is>
      </c>
      <c r="E103" s="26" t="inlineStr">
        <is>
          <t>VI</t>
        </is>
      </c>
      <c r="F103" s="26" t="inlineStr">
        <is>
          <t>Iloilo</t>
        </is>
      </c>
      <c r="G103" s="26" t="inlineStr">
        <is>
          <t>Iloilo City</t>
        </is>
      </c>
      <c r="H103" s="26" t="inlineStr">
        <is>
          <t>Muelle Loney-Montes</t>
        </is>
      </c>
      <c r="I103" s="27" t="n">
        <v>10.733057</v>
      </c>
      <c r="J103" s="27" t="n">
        <v>122.54464</v>
      </c>
      <c r="K103" s="10" t="inlineStr">
        <is>
          <t>R</t>
        </is>
      </c>
      <c r="L103" s="12" t="n">
        <v>2230</v>
      </c>
      <c r="M103" s="14" t="n">
        <v>3.8</v>
      </c>
      <c r="N103" s="12">
        <f>ROUND(L103/M103, 0)</f>
        <v/>
      </c>
      <c r="O103" s="12">
        <f>ROUND(N103*'Methodology &amp; Assumptions'!$B$5, 0)</f>
        <v/>
      </c>
      <c r="P103" s="10" t="inlineStr">
        <is>
          <t>Single Carrier (Band n50, 100MHz TDD)</t>
        </is>
      </c>
      <c r="Q103" s="13">
        <f>ROUNDUP(O103/'Methodology &amp; Assumptions'!$B$6, 0)</f>
        <v/>
      </c>
      <c r="R103" s="13" t="n">
        <v>1</v>
      </c>
      <c r="S103" s="14" t="n">
        <v>2.78</v>
      </c>
      <c r="T103" s="14" t="n">
        <v>1.61</v>
      </c>
      <c r="U103" s="26">
        <f>IF(X103&gt;='Methodology &amp; Assumptions'!$B$7, "Tier 1 Critical GIDA (Score ≥ 50.0)", IF(X103&gt;='Methodology &amp; Assumptions'!$B$8, "Tier 2 High GIDA (Score 40.0–49.9)", "Tier 3 Moderate GIDA (Score &lt; 40.0)"))</f>
        <v/>
      </c>
      <c r="V103" s="26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W103" s="28" t="n">
        <v>0.156</v>
      </c>
      <c r="X103" s="14" t="n">
        <v>57.64</v>
      </c>
      <c r="Y103" s="14">
        <f>ROUND(MIN(100, (X103/69.91)*100), 2)</f>
        <v/>
      </c>
    </row>
    <row r="104">
      <c r="A104" s="10" t="n">
        <v>1</v>
      </c>
      <c r="B104" s="10" t="n">
        <v>100</v>
      </c>
      <c r="C104" s="10" t="n">
        <v>100</v>
      </c>
      <c r="D104" s="10" t="inlineStr">
        <is>
          <t>1403209001</t>
        </is>
      </c>
      <c r="E104" s="26" t="inlineStr">
        <is>
          <t>Cordillera Administrative Region (CAR)</t>
        </is>
      </c>
      <c r="F104" s="26" t="inlineStr">
        <is>
          <t>Kalinga</t>
        </is>
      </c>
      <c r="G104" s="26" t="inlineStr">
        <is>
          <t>Pinukpuk</t>
        </is>
      </c>
      <c r="H104" s="26" t="inlineStr">
        <is>
          <t>Aciga</t>
        </is>
      </c>
      <c r="I104" s="27" t="n">
        <v>17.607016</v>
      </c>
      <c r="J104" s="27" t="n">
        <v>121.305896</v>
      </c>
      <c r="K104" s="10" t="inlineStr">
        <is>
          <t>R</t>
        </is>
      </c>
      <c r="L104" s="12" t="n">
        <v>1010</v>
      </c>
      <c r="M104" s="14" t="n">
        <v>4.3</v>
      </c>
      <c r="N104" s="12">
        <f>ROUND(L104/M104, 0)</f>
        <v/>
      </c>
      <c r="O104" s="12">
        <f>ROUND(N104*'Methodology &amp; Assumptions'!$B$5, 0)</f>
        <v/>
      </c>
      <c r="P104" s="10" t="inlineStr">
        <is>
          <t>Single Carrier (Band n50, 100MHz TDD)</t>
        </is>
      </c>
      <c r="Q104" s="13">
        <f>ROUNDUP(O104/'Methodology &amp; Assumptions'!$B$6, 0)</f>
        <v/>
      </c>
      <c r="R104" s="13" t="n">
        <v>1</v>
      </c>
      <c r="S104" s="14" t="n">
        <v>6.66</v>
      </c>
      <c r="T104" s="14" t="n">
        <v>10.76</v>
      </c>
      <c r="U104" s="26">
        <f>IF(X104&gt;='Methodology &amp; Assumptions'!$B$7, "Tier 1 Critical GIDA (Score ≥ 50.0)", IF(X104&gt;='Methodology &amp; Assumptions'!$B$8, "Tier 2 High GIDA (Score 40.0–49.9)", "Tier 3 Moderate GIDA (Score &lt; 40.0)"))</f>
        <v/>
      </c>
      <c r="V104" s="26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W104" s="28" t="n">
        <v>0.109</v>
      </c>
      <c r="X104" s="14" t="n">
        <v>57.62</v>
      </c>
      <c r="Y104" s="14">
        <f>ROUND(MIN(100, (X104/69.91)*100), 2)</f>
        <v/>
      </c>
    </row>
    <row r="105">
      <c r="A105" s="10" t="n">
        <v>1</v>
      </c>
      <c r="B105" s="10" t="n">
        <v>101</v>
      </c>
      <c r="C105" s="10" t="n">
        <v>101</v>
      </c>
      <c r="D105" s="10" t="inlineStr">
        <is>
          <t>PH0000101</t>
        </is>
      </c>
      <c r="E105" s="26" t="inlineStr">
        <is>
          <t>VI</t>
        </is>
      </c>
      <c r="F105" s="26" t="inlineStr">
        <is>
          <t>Iloilo</t>
        </is>
      </c>
      <c r="G105" s="26" t="inlineStr">
        <is>
          <t>Iloilo City</t>
        </is>
      </c>
      <c r="H105" s="26" t="inlineStr">
        <is>
          <t>Edganzon</t>
        </is>
      </c>
      <c r="I105" s="27" t="n">
        <v>10.699511</v>
      </c>
      <c r="J105" s="27" t="n">
        <v>122.568051</v>
      </c>
      <c r="K105" s="10" t="inlineStr">
        <is>
          <t>R</t>
        </is>
      </c>
      <c r="L105" s="12" t="n">
        <v>2230</v>
      </c>
      <c r="M105" s="14" t="n">
        <v>3.8</v>
      </c>
      <c r="N105" s="12">
        <f>ROUND(L105/M105, 0)</f>
        <v/>
      </c>
      <c r="O105" s="12">
        <f>ROUND(N105*'Methodology &amp; Assumptions'!$B$5, 0)</f>
        <v/>
      </c>
      <c r="P105" s="10" t="inlineStr">
        <is>
          <t>Single Carrier (Band n50, 100MHz TDD)</t>
        </is>
      </c>
      <c r="Q105" s="13">
        <f>ROUNDUP(O105/'Methodology &amp; Assumptions'!$B$6, 0)</f>
        <v/>
      </c>
      <c r="R105" s="13" t="n">
        <v>1</v>
      </c>
      <c r="S105" s="14" t="n">
        <v>1.59</v>
      </c>
      <c r="T105" s="14" t="n">
        <v>0.27</v>
      </c>
      <c r="U105" s="26">
        <f>IF(X105&gt;='Methodology &amp; Assumptions'!$B$7, "Tier 1 Critical GIDA (Score ≥ 50.0)", IF(X105&gt;='Methodology &amp; Assumptions'!$B$8, "Tier 2 High GIDA (Score 40.0–49.9)", "Tier 3 Moderate GIDA (Score &lt; 40.0)"))</f>
        <v/>
      </c>
      <c r="V105" s="26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W105" s="28" t="n">
        <v>0.156</v>
      </c>
      <c r="X105" s="14" t="n">
        <v>57.6</v>
      </c>
      <c r="Y105" s="14">
        <f>ROUND(MIN(100, (X105/69.91)*100), 2)</f>
        <v/>
      </c>
    </row>
    <row r="106">
      <c r="A106" s="10" t="n">
        <v>1</v>
      </c>
      <c r="B106" s="10" t="n">
        <v>102</v>
      </c>
      <c r="C106" s="10" t="n">
        <v>102</v>
      </c>
      <c r="D106" s="10" t="inlineStr">
        <is>
          <t>0205704037</t>
        </is>
      </c>
      <c r="E106" s="26" t="inlineStr">
        <is>
          <t>Region II (Cagayan Valley)</t>
        </is>
      </c>
      <c r="F106" s="26" t="inlineStr">
        <is>
          <t>Quirino</t>
        </is>
      </c>
      <c r="G106" s="26" t="inlineStr">
        <is>
          <t>Maddela</t>
        </is>
      </c>
      <c r="H106" s="26" t="inlineStr">
        <is>
          <t>Villa Jose V Ylanan</t>
        </is>
      </c>
      <c r="I106" s="27" t="n">
        <v>16.36263</v>
      </c>
      <c r="J106" s="27" t="n">
        <v>121.75399</v>
      </c>
      <c r="K106" s="10" t="inlineStr">
        <is>
          <t>R</t>
        </is>
      </c>
      <c r="L106" s="12" t="n">
        <v>467</v>
      </c>
      <c r="M106" s="14" t="n">
        <v>3.9</v>
      </c>
      <c r="N106" s="12">
        <f>ROUND(L106/M106, 0)</f>
        <v/>
      </c>
      <c r="O106" s="12">
        <f>ROUND(N106*'Methodology &amp; Assumptions'!$B$5, 0)</f>
        <v/>
      </c>
      <c r="P106" s="10" t="inlineStr">
        <is>
          <t>Single Carrier (Band n50, 100MHz TDD)</t>
        </is>
      </c>
      <c r="Q106" s="13">
        <f>ROUNDUP(O106/'Methodology &amp; Assumptions'!$B$6, 0)</f>
        <v/>
      </c>
      <c r="R106" s="13" t="n">
        <v>1</v>
      </c>
      <c r="S106" s="14" t="n">
        <v>8.4</v>
      </c>
      <c r="T106" s="14" t="n">
        <v>7.69</v>
      </c>
      <c r="U106" s="26">
        <f>IF(X106&gt;='Methodology &amp; Assumptions'!$B$7, "Tier 1 Critical GIDA (Score ≥ 50.0)", IF(X106&gt;='Methodology &amp; Assumptions'!$B$8, "Tier 2 High GIDA (Score 40.0–49.9)", "Tier 3 Moderate GIDA (Score &lt; 40.0)"))</f>
        <v/>
      </c>
      <c r="V106" s="26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W106" s="28" t="n">
        <v>0.083</v>
      </c>
      <c r="X106" s="14" t="n">
        <v>57.6</v>
      </c>
      <c r="Y106" s="14">
        <f>ROUND(MIN(100, (X106/69.91)*100), 2)</f>
        <v/>
      </c>
    </row>
    <row r="107">
      <c r="A107" s="10" t="n">
        <v>1</v>
      </c>
      <c r="B107" s="10" t="n">
        <v>103</v>
      </c>
      <c r="C107" s="10" t="n">
        <v>103</v>
      </c>
      <c r="D107" s="10" t="inlineStr">
        <is>
          <t>PH0000103</t>
        </is>
      </c>
      <c r="E107" s="26" t="inlineStr">
        <is>
          <t>VI</t>
        </is>
      </c>
      <c r="F107" s="26" t="inlineStr">
        <is>
          <t>Iloilo</t>
        </is>
      </c>
      <c r="G107" s="26" t="inlineStr">
        <is>
          <t>Iloilo City</t>
        </is>
      </c>
      <c r="H107" s="26" t="inlineStr">
        <is>
          <t>Mabolo-Delgado</t>
        </is>
      </c>
      <c r="I107" s="27" t="n">
        <v>10.709301</v>
      </c>
      <c r="J107" s="27" t="n">
        <v>122.525239</v>
      </c>
      <c r="K107" s="10" t="inlineStr">
        <is>
          <t>R</t>
        </is>
      </c>
      <c r="L107" s="12" t="n">
        <v>2230</v>
      </c>
      <c r="M107" s="14" t="n">
        <v>3.8</v>
      </c>
      <c r="N107" s="12">
        <f>ROUND(L107/M107, 0)</f>
        <v/>
      </c>
      <c r="O107" s="12">
        <f>ROUND(N107*'Methodology &amp; Assumptions'!$B$5, 0)</f>
        <v/>
      </c>
      <c r="P107" s="10" t="inlineStr">
        <is>
          <t>Single Carrier (Band n50, 100MHz TDD)</t>
        </is>
      </c>
      <c r="Q107" s="13">
        <f>ROUNDUP(O107/'Methodology &amp; Assumptions'!$B$6, 0)</f>
        <v/>
      </c>
      <c r="R107" s="13" t="n">
        <v>1</v>
      </c>
      <c r="S107" s="14" t="n">
        <v>2.81</v>
      </c>
      <c r="T107" s="14" t="n">
        <v>3.39</v>
      </c>
      <c r="U107" s="26">
        <f>IF(X107&gt;='Methodology &amp; Assumptions'!$B$7, "Tier 1 Critical GIDA (Score ≥ 50.0)", IF(X107&gt;='Methodology &amp; Assumptions'!$B$8, "Tier 2 High GIDA (Score 40.0–49.9)", "Tier 3 Moderate GIDA (Score &lt; 40.0)"))</f>
        <v/>
      </c>
      <c r="V107" s="26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W107" s="28" t="n">
        <v>0.156</v>
      </c>
      <c r="X107" s="14" t="n">
        <v>57.59</v>
      </c>
      <c r="Y107" s="14">
        <f>ROUND(MIN(100, (X107/69.91)*100), 2)</f>
        <v/>
      </c>
    </row>
    <row r="108">
      <c r="A108" s="10" t="n">
        <v>1</v>
      </c>
      <c r="B108" s="10" t="n">
        <v>104</v>
      </c>
      <c r="C108" s="10" t="n">
        <v>104</v>
      </c>
      <c r="D108" s="10" t="inlineStr">
        <is>
          <t>0405627038</t>
        </is>
      </c>
      <c r="E108" s="26" t="inlineStr">
        <is>
          <t>Region IV-A (CALABARZON)</t>
        </is>
      </c>
      <c r="F108" s="26" t="inlineStr">
        <is>
          <t>Quezon</t>
        </is>
      </c>
      <c r="G108" s="26" t="inlineStr">
        <is>
          <t>Mauban</t>
        </is>
      </c>
      <c r="H108" s="26" t="inlineStr">
        <is>
          <t>Santo Niño</t>
        </is>
      </c>
      <c r="I108" s="27" t="n">
        <v>14.089253</v>
      </c>
      <c r="J108" s="27" t="n">
        <v>121.815478</v>
      </c>
      <c r="K108" s="10" t="inlineStr">
        <is>
          <t>R</t>
        </is>
      </c>
      <c r="L108" s="12" t="n">
        <v>385</v>
      </c>
      <c r="M108" s="14" t="n">
        <v>3.8</v>
      </c>
      <c r="N108" s="12">
        <f>ROUND(L108/M108, 0)</f>
        <v/>
      </c>
      <c r="O108" s="12">
        <f>ROUND(N108*'Methodology &amp; Assumptions'!$B$5, 0)</f>
        <v/>
      </c>
      <c r="P108" s="10" t="inlineStr">
        <is>
          <t>Single Carrier (Band n50, 100MHz TDD)</t>
        </is>
      </c>
      <c r="Q108" s="13">
        <f>ROUNDUP(O108/'Methodology &amp; Assumptions'!$B$6, 0)</f>
        <v/>
      </c>
      <c r="R108" s="13" t="n">
        <v>1</v>
      </c>
      <c r="S108" s="14" t="n">
        <v>14.34</v>
      </c>
      <c r="T108" s="14" t="n">
        <v>8.68</v>
      </c>
      <c r="U108" s="26">
        <f>IF(X108&gt;='Methodology &amp; Assumptions'!$B$7, "Tier 1 Critical GIDA (Score ≥ 50.0)", IF(X108&gt;='Methodology &amp; Assumptions'!$B$8, "Tier 2 High GIDA (Score 40.0–49.9)", "Tier 3 Moderate GIDA (Score &lt; 40.0)"))</f>
        <v/>
      </c>
      <c r="V108" s="26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W108" s="28" t="n">
        <v>0.07200000000000001</v>
      </c>
      <c r="X108" s="14" t="n">
        <v>57.58</v>
      </c>
      <c r="Y108" s="14">
        <f>ROUND(MIN(100, (X108/69.91)*100), 2)</f>
        <v/>
      </c>
    </row>
    <row r="109">
      <c r="A109" s="10" t="n">
        <v>1</v>
      </c>
      <c r="B109" s="10" t="n">
        <v>105</v>
      </c>
      <c r="C109" s="10" t="n">
        <v>105</v>
      </c>
      <c r="D109" s="10" t="inlineStr">
        <is>
          <t>0201522009</t>
        </is>
      </c>
      <c r="E109" s="26" t="inlineStr">
        <is>
          <t>Region II (Cagayan Valley)</t>
        </is>
      </c>
      <c r="F109" s="26" t="inlineStr">
        <is>
          <t>Cagayan</t>
        </is>
      </c>
      <c r="G109" s="26" t="inlineStr">
        <is>
          <t>Sanchez-Mira</t>
        </is>
      </c>
      <c r="H109" s="26" t="inlineStr">
        <is>
          <t>Kittag</t>
        </is>
      </c>
      <c r="I109" s="27" t="n">
        <v>18.506569</v>
      </c>
      <c r="J109" s="27" t="n">
        <v>121.215297</v>
      </c>
      <c r="K109" s="10" t="inlineStr">
        <is>
          <t>R</t>
        </is>
      </c>
      <c r="L109" s="12" t="n">
        <v>341</v>
      </c>
      <c r="M109" s="14" t="n">
        <v>3.9</v>
      </c>
      <c r="N109" s="12">
        <f>ROUND(L109/M109, 0)</f>
        <v/>
      </c>
      <c r="O109" s="12">
        <f>ROUND(N109*'Methodology &amp; Assumptions'!$B$5, 0)</f>
        <v/>
      </c>
      <c r="P109" s="10" t="inlineStr">
        <is>
          <t>Single Carrier (Band n50, 100MHz TDD)</t>
        </is>
      </c>
      <c r="Q109" s="13">
        <f>ROUNDUP(O109/'Methodology &amp; Assumptions'!$B$6, 0)</f>
        <v/>
      </c>
      <c r="R109" s="13" t="n">
        <v>1</v>
      </c>
      <c r="S109" s="14" t="n">
        <v>6.17</v>
      </c>
      <c r="T109" s="14" t="n">
        <v>5.87</v>
      </c>
      <c r="U109" s="26">
        <f>IF(X109&gt;='Methodology &amp; Assumptions'!$B$7, "Tier 1 Critical GIDA (Score ≥ 50.0)", IF(X109&gt;='Methodology &amp; Assumptions'!$B$8, "Tier 2 High GIDA (Score 40.0–49.9)", "Tier 3 Moderate GIDA (Score &lt; 40.0)"))</f>
        <v/>
      </c>
      <c r="V109" s="26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W109" s="28" t="n">
        <v>0.083</v>
      </c>
      <c r="X109" s="14" t="n">
        <v>57.55</v>
      </c>
      <c r="Y109" s="14">
        <f>ROUND(MIN(100, (X109/69.91)*100), 2)</f>
        <v/>
      </c>
    </row>
    <row r="110">
      <c r="A110" s="10" t="n">
        <v>1</v>
      </c>
      <c r="B110" s="10" t="n">
        <v>106</v>
      </c>
      <c r="C110" s="10" t="n">
        <v>106</v>
      </c>
      <c r="D110" s="10" t="inlineStr">
        <is>
          <t>PH0000106</t>
        </is>
      </c>
      <c r="E110" s="26" t="inlineStr">
        <is>
          <t>X</t>
        </is>
      </c>
      <c r="F110" s="26" t="inlineStr">
        <is>
          <t>Misamis Oriental</t>
        </is>
      </c>
      <c r="G110" s="26" t="inlineStr">
        <is>
          <t>Cagayan De Oro City</t>
        </is>
      </c>
      <c r="H110" s="26" t="inlineStr">
        <is>
          <t>Barangay 29 (Pob.)</t>
        </is>
      </c>
      <c r="I110" s="27" t="n">
        <v>8.480188999999999</v>
      </c>
      <c r="J110" s="27" t="n">
        <v>124.646076</v>
      </c>
      <c r="K110" s="10" t="inlineStr">
        <is>
          <t>R</t>
        </is>
      </c>
      <c r="L110" s="12" t="n">
        <v>2272</v>
      </c>
      <c r="M110" s="14" t="n">
        <v>3.9</v>
      </c>
      <c r="N110" s="12">
        <f>ROUND(L110/M110, 0)</f>
        <v/>
      </c>
      <c r="O110" s="12">
        <f>ROUND(N110*'Methodology &amp; Assumptions'!$B$5, 0)</f>
        <v/>
      </c>
      <c r="P110" s="10" t="inlineStr">
        <is>
          <t>Single Carrier (Band n50, 100MHz TDD)</t>
        </is>
      </c>
      <c r="Q110" s="13">
        <f>ROUNDUP(O110/'Methodology &amp; Assumptions'!$B$6, 0)</f>
        <v/>
      </c>
      <c r="R110" s="13" t="n">
        <v>1</v>
      </c>
      <c r="S110" s="14" t="n">
        <v>1.09</v>
      </c>
      <c r="T110" s="14" t="n">
        <v>0.75</v>
      </c>
      <c r="U110" s="26">
        <f>IF(X110&gt;='Methodology &amp; Assumptions'!$B$7, "Tier 1 Critical GIDA (Score ≥ 50.0)", IF(X110&gt;='Methodology &amp; Assumptions'!$B$8, "Tier 2 High GIDA (Score 40.0–49.9)", "Tier 3 Moderate GIDA (Score &lt; 40.0)"))</f>
        <v/>
      </c>
      <c r="V110" s="26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W110" s="28" t="n">
        <v>0.234</v>
      </c>
      <c r="X110" s="14" t="n">
        <v>57.55</v>
      </c>
      <c r="Y110" s="14">
        <f>ROUND(MIN(100, (X110/69.91)*100), 2)</f>
        <v/>
      </c>
    </row>
    <row r="111">
      <c r="A111" s="10" t="n">
        <v>1</v>
      </c>
      <c r="B111" s="10" t="n">
        <v>107</v>
      </c>
      <c r="C111" s="10" t="n">
        <v>107</v>
      </c>
      <c r="D111" s="10" t="inlineStr">
        <is>
          <t>PH0000107</t>
        </is>
      </c>
      <c r="E111" s="26" t="inlineStr">
        <is>
          <t>VI</t>
        </is>
      </c>
      <c r="F111" s="26" t="inlineStr">
        <is>
          <t>Iloilo</t>
        </is>
      </c>
      <c r="G111" s="26" t="inlineStr">
        <is>
          <t>Iloilo City</t>
        </is>
      </c>
      <c r="H111" s="26" t="inlineStr">
        <is>
          <t>Legaspi dela Rama</t>
        </is>
      </c>
      <c r="I111" s="27" t="n">
        <v>10.731713</v>
      </c>
      <c r="J111" s="27" t="n">
        <v>122.565779</v>
      </c>
      <c r="K111" s="10" t="inlineStr">
        <is>
          <t>R</t>
        </is>
      </c>
      <c r="L111" s="12" t="n">
        <v>2230</v>
      </c>
      <c r="M111" s="14" t="n">
        <v>3.8</v>
      </c>
      <c r="N111" s="12">
        <f>ROUND(L111/M111, 0)</f>
        <v/>
      </c>
      <c r="O111" s="12">
        <f>ROUND(N111*'Methodology &amp; Assumptions'!$B$5, 0)</f>
        <v/>
      </c>
      <c r="P111" s="10" t="inlineStr">
        <is>
          <t>Single Carrier (Band n50, 100MHz TDD)</t>
        </is>
      </c>
      <c r="Q111" s="13">
        <f>ROUNDUP(O111/'Methodology &amp; Assumptions'!$B$6, 0)</f>
        <v/>
      </c>
      <c r="R111" s="13" t="n">
        <v>1</v>
      </c>
      <c r="S111" s="14" t="n">
        <v>1.53</v>
      </c>
      <c r="T111" s="14" t="n">
        <v>0.63</v>
      </c>
      <c r="U111" s="26">
        <f>IF(X111&gt;='Methodology &amp; Assumptions'!$B$7, "Tier 1 Critical GIDA (Score ≥ 50.0)", IF(X111&gt;='Methodology &amp; Assumptions'!$B$8, "Tier 2 High GIDA (Score 40.0–49.9)", "Tier 3 Moderate GIDA (Score &lt; 40.0)"))</f>
        <v/>
      </c>
      <c r="V111" s="26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W111" s="28" t="n">
        <v>0.156</v>
      </c>
      <c r="X111" s="14" t="n">
        <v>57.54</v>
      </c>
      <c r="Y111" s="14">
        <f>ROUND(MIN(100, (X111/69.91)*100), 2)</f>
        <v/>
      </c>
    </row>
    <row r="112">
      <c r="A112" s="10" t="n">
        <v>1</v>
      </c>
      <c r="B112" s="10" t="n">
        <v>108</v>
      </c>
      <c r="C112" s="10" t="n">
        <v>108</v>
      </c>
      <c r="D112" s="10" t="inlineStr">
        <is>
          <t>PH0000108</t>
        </is>
      </c>
      <c r="E112" s="26" t="inlineStr">
        <is>
          <t>VI</t>
        </is>
      </c>
      <c r="F112" s="26" t="inlineStr">
        <is>
          <t>Iloilo</t>
        </is>
      </c>
      <c r="G112" s="26" t="inlineStr">
        <is>
          <t>Iloilo City</t>
        </is>
      </c>
      <c r="H112" s="26" t="inlineStr">
        <is>
          <t>El 98 Castilla</t>
        </is>
      </c>
      <c r="I112" s="27" t="n">
        <v>10.685895</v>
      </c>
      <c r="J112" s="27" t="n">
        <v>122.550476</v>
      </c>
      <c r="K112" s="10" t="inlineStr">
        <is>
          <t>R</t>
        </is>
      </c>
      <c r="L112" s="12" t="n">
        <v>2230</v>
      </c>
      <c r="M112" s="14" t="n">
        <v>3.8</v>
      </c>
      <c r="N112" s="12">
        <f>ROUND(L112/M112, 0)</f>
        <v/>
      </c>
      <c r="O112" s="12">
        <f>ROUND(N112*'Methodology &amp; Assumptions'!$B$5, 0)</f>
        <v/>
      </c>
      <c r="P112" s="10" t="inlineStr">
        <is>
          <t>Single Carrier (Band n50, 100MHz TDD)</t>
        </is>
      </c>
      <c r="Q112" s="13">
        <f>ROUNDUP(O112/'Methodology &amp; Assumptions'!$B$6, 0)</f>
        <v/>
      </c>
      <c r="R112" s="13" t="n">
        <v>1</v>
      </c>
      <c r="S112" s="14" t="n">
        <v>1</v>
      </c>
      <c r="T112" s="14" t="n">
        <v>2.66</v>
      </c>
      <c r="U112" s="26">
        <f>IF(X112&gt;='Methodology &amp; Assumptions'!$B$7, "Tier 1 Critical GIDA (Score ≥ 50.0)", IF(X112&gt;='Methodology &amp; Assumptions'!$B$8, "Tier 2 High GIDA (Score 40.0–49.9)", "Tier 3 Moderate GIDA (Score &lt; 40.0)"))</f>
        <v/>
      </c>
      <c r="V112" s="26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W112" s="28" t="n">
        <v>0.156</v>
      </c>
      <c r="X112" s="14" t="n">
        <v>57.54</v>
      </c>
      <c r="Y112" s="14">
        <f>ROUND(MIN(100, (X112/69.91)*100), 2)</f>
        <v/>
      </c>
    </row>
    <row r="113">
      <c r="A113" s="10" t="n">
        <v>1</v>
      </c>
      <c r="B113" s="10" t="n">
        <v>109</v>
      </c>
      <c r="C113" s="10" t="n">
        <v>109</v>
      </c>
      <c r="D113" s="10" t="inlineStr">
        <is>
          <t>1400116008</t>
        </is>
      </c>
      <c r="E113" s="26" t="inlineStr">
        <is>
          <t>Cordillera Administrative Region (CAR)</t>
        </is>
      </c>
      <c r="F113" s="26" t="inlineStr">
        <is>
          <t>Abra</t>
        </is>
      </c>
      <c r="G113" s="26" t="inlineStr">
        <is>
          <t>Manabo</t>
        </is>
      </c>
      <c r="H113" s="26" t="inlineStr">
        <is>
          <t>San Juan Sur</t>
        </is>
      </c>
      <c r="I113" s="27" t="n">
        <v>17.41813</v>
      </c>
      <c r="J113" s="27" t="n">
        <v>120.71083</v>
      </c>
      <c r="K113" s="10" t="inlineStr">
        <is>
          <t>R</t>
        </is>
      </c>
      <c r="L113" s="12" t="n">
        <v>705</v>
      </c>
      <c r="M113" s="14" t="n">
        <v>3.8</v>
      </c>
      <c r="N113" s="12">
        <f>ROUND(L113/M113, 0)</f>
        <v/>
      </c>
      <c r="O113" s="12">
        <f>ROUND(N113*'Methodology &amp; Assumptions'!$B$5, 0)</f>
        <v/>
      </c>
      <c r="P113" s="10" t="inlineStr">
        <is>
          <t>Single Carrier (Band n50, 100MHz TDD)</t>
        </is>
      </c>
      <c r="Q113" s="13">
        <f>ROUNDUP(O113/'Methodology &amp; Assumptions'!$B$6, 0)</f>
        <v/>
      </c>
      <c r="R113" s="13" t="n">
        <v>1</v>
      </c>
      <c r="S113" s="14" t="n">
        <v>19.88</v>
      </c>
      <c r="T113" s="14" t="n">
        <v>19.27</v>
      </c>
      <c r="U113" s="26">
        <f>IF(X113&gt;='Methodology &amp; Assumptions'!$B$7, "Tier 1 Critical GIDA (Score ≥ 50.0)", IF(X113&gt;='Methodology &amp; Assumptions'!$B$8, "Tier 2 High GIDA (Score 40.0–49.9)", "Tier 3 Moderate GIDA (Score &lt; 40.0)"))</f>
        <v/>
      </c>
      <c r="V113" s="26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W113" s="28" t="n">
        <v>0.109</v>
      </c>
      <c r="X113" s="14" t="n">
        <v>57.52</v>
      </c>
      <c r="Y113" s="14">
        <f>ROUND(MIN(100, (X113/69.91)*100), 2)</f>
        <v/>
      </c>
    </row>
    <row r="114">
      <c r="A114" s="10" t="n">
        <v>1</v>
      </c>
      <c r="B114" s="10" t="n">
        <v>110</v>
      </c>
      <c r="C114" s="10" t="n">
        <v>110</v>
      </c>
      <c r="D114" s="10" t="inlineStr">
        <is>
          <t>PH0000110</t>
        </is>
      </c>
      <c r="E114" s="26" t="inlineStr">
        <is>
          <t>VI</t>
        </is>
      </c>
      <c r="F114" s="26" t="inlineStr">
        <is>
          <t>Iloilo</t>
        </is>
      </c>
      <c r="G114" s="26" t="inlineStr">
        <is>
          <t>Iloilo City</t>
        </is>
      </c>
      <c r="H114" s="26" t="inlineStr">
        <is>
          <t>San Vicente</t>
        </is>
      </c>
      <c r="I114" s="27" t="n">
        <v>10.732137</v>
      </c>
      <c r="J114" s="27" t="n">
        <v>122.529225</v>
      </c>
      <c r="K114" s="10" t="inlineStr">
        <is>
          <t>R</t>
        </is>
      </c>
      <c r="L114" s="12" t="n">
        <v>2230</v>
      </c>
      <c r="M114" s="14" t="n">
        <v>3.8</v>
      </c>
      <c r="N114" s="12">
        <f>ROUND(L114/M114, 0)</f>
        <v/>
      </c>
      <c r="O114" s="12">
        <f>ROUND(N114*'Methodology &amp; Assumptions'!$B$5, 0)</f>
        <v/>
      </c>
      <c r="P114" s="10" t="inlineStr">
        <is>
          <t>Single Carrier (Band n50, 100MHz TDD)</t>
        </is>
      </c>
      <c r="Q114" s="13">
        <f>ROUNDUP(O114/'Methodology &amp; Assumptions'!$B$6, 0)</f>
        <v/>
      </c>
      <c r="R114" s="13" t="n">
        <v>1</v>
      </c>
      <c r="S114" s="14" t="n">
        <v>4.36</v>
      </c>
      <c r="T114" s="14" t="n">
        <v>1.97</v>
      </c>
      <c r="U114" s="26">
        <f>IF(X114&gt;='Methodology &amp; Assumptions'!$B$7, "Tier 1 Critical GIDA (Score ≥ 50.0)", IF(X114&gt;='Methodology &amp; Assumptions'!$B$8, "Tier 2 High GIDA (Score 40.0–49.9)", "Tier 3 Moderate GIDA (Score &lt; 40.0)"))</f>
        <v/>
      </c>
      <c r="V114" s="26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W114" s="28" t="n">
        <v>0.156</v>
      </c>
      <c r="X114" s="14" t="n">
        <v>57.5</v>
      </c>
      <c r="Y114" s="14">
        <f>ROUND(MIN(100, (X114/69.91)*100), 2)</f>
        <v/>
      </c>
    </row>
    <row r="115">
      <c r="A115" s="10" t="n">
        <v>1</v>
      </c>
      <c r="B115" s="10" t="n">
        <v>111</v>
      </c>
      <c r="C115" s="10" t="n">
        <v>111</v>
      </c>
      <c r="D115" s="10" t="inlineStr">
        <is>
          <t>0500502001</t>
        </is>
      </c>
      <c r="E115" s="26" t="inlineStr">
        <is>
          <t>Region V (Bicol Region)</t>
        </is>
      </c>
      <c r="F115" s="26" t="inlineStr">
        <is>
          <t>Albay</t>
        </is>
      </c>
      <c r="G115" s="26" t="inlineStr">
        <is>
          <t>Camalig</t>
        </is>
      </c>
      <c r="H115" s="26" t="inlineStr">
        <is>
          <t>Anoling</t>
        </is>
      </c>
      <c r="I115" s="27" t="n">
        <v>13.128294</v>
      </c>
      <c r="J115" s="27" t="n">
        <v>123.638808</v>
      </c>
      <c r="K115" s="10" t="inlineStr">
        <is>
          <t>R</t>
        </is>
      </c>
      <c r="L115" s="12" t="n">
        <v>1060</v>
      </c>
      <c r="M115" s="14" t="n">
        <v>4.1</v>
      </c>
      <c r="N115" s="12">
        <f>ROUND(L115/M115, 0)</f>
        <v/>
      </c>
      <c r="O115" s="12">
        <f>ROUND(N115*'Methodology &amp; Assumptions'!$B$5, 0)</f>
        <v/>
      </c>
      <c r="P115" s="10" t="inlineStr">
        <is>
          <t>Single Carrier (Band n50, 100MHz TDD)</t>
        </is>
      </c>
      <c r="Q115" s="13">
        <f>ROUNDUP(O115/'Methodology &amp; Assumptions'!$B$6, 0)</f>
        <v/>
      </c>
      <c r="R115" s="13" t="n">
        <v>1</v>
      </c>
      <c r="S115" s="14" t="n">
        <v>4.41</v>
      </c>
      <c r="T115" s="14" t="n">
        <v>5.55</v>
      </c>
      <c r="U115" s="26">
        <f>IF(X115&gt;='Methodology &amp; Assumptions'!$B$7, "Tier 1 Critical GIDA (Score ≥ 50.0)", IF(X115&gt;='Methodology &amp; Assumptions'!$B$8, "Tier 2 High GIDA (Score 40.0–49.9)", "Tier 3 Moderate GIDA (Score &lt; 40.0)"))</f>
        <v/>
      </c>
      <c r="V115" s="26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W115" s="28" t="n">
        <v>0.237</v>
      </c>
      <c r="X115" s="14" t="n">
        <v>57.46</v>
      </c>
      <c r="Y115" s="14">
        <f>ROUND(MIN(100, (X115/69.91)*100), 2)</f>
        <v/>
      </c>
    </row>
    <row r="116">
      <c r="A116" s="10" t="n">
        <v>1</v>
      </c>
      <c r="B116" s="10" t="n">
        <v>112</v>
      </c>
      <c r="C116" s="10" t="n">
        <v>112</v>
      </c>
      <c r="D116" s="10" t="inlineStr">
        <is>
          <t>PH0000112</t>
        </is>
      </c>
      <c r="E116" s="26" t="inlineStr">
        <is>
          <t>VI</t>
        </is>
      </c>
      <c r="F116" s="26" t="inlineStr">
        <is>
          <t>Iloilo</t>
        </is>
      </c>
      <c r="G116" s="26" t="inlineStr">
        <is>
          <t>Iloilo City</t>
        </is>
      </c>
      <c r="H116" s="26" t="inlineStr">
        <is>
          <t>Inday</t>
        </is>
      </c>
      <c r="I116" s="27" t="n">
        <v>10.711138</v>
      </c>
      <c r="J116" s="27" t="n">
        <v>122.579031</v>
      </c>
      <c r="K116" s="10" t="inlineStr">
        <is>
          <t>R</t>
        </is>
      </c>
      <c r="L116" s="12" t="n">
        <v>2230</v>
      </c>
      <c r="M116" s="14" t="n">
        <v>3.8</v>
      </c>
      <c r="N116" s="12">
        <f>ROUND(L116/M116, 0)</f>
        <v/>
      </c>
      <c r="O116" s="12">
        <f>ROUND(N116*'Methodology &amp; Assumptions'!$B$5, 0)</f>
        <v/>
      </c>
      <c r="P116" s="10" t="inlineStr">
        <is>
          <t>Single Carrier (Band n50, 100MHz TDD)</t>
        </is>
      </c>
      <c r="Q116" s="13">
        <f>ROUNDUP(O116/'Methodology &amp; Assumptions'!$B$6, 0)</f>
        <v/>
      </c>
      <c r="R116" s="13" t="n">
        <v>1</v>
      </c>
      <c r="S116" s="14" t="n">
        <v>1.25</v>
      </c>
      <c r="T116" s="14" t="n">
        <v>1.29</v>
      </c>
      <c r="U116" s="26">
        <f>IF(X116&gt;='Methodology &amp; Assumptions'!$B$7, "Tier 1 Critical GIDA (Score ≥ 50.0)", IF(X116&gt;='Methodology &amp; Assumptions'!$B$8, "Tier 2 High GIDA (Score 40.0–49.9)", "Tier 3 Moderate GIDA (Score &lt; 40.0)"))</f>
        <v/>
      </c>
      <c r="V116" s="26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W116" s="28" t="n">
        <v>0.156</v>
      </c>
      <c r="X116" s="14" t="n">
        <v>57.46</v>
      </c>
      <c r="Y116" s="14">
        <f>ROUND(MIN(100, (X116/69.91)*100), 2)</f>
        <v/>
      </c>
    </row>
    <row r="117">
      <c r="A117" s="10" t="n">
        <v>1</v>
      </c>
      <c r="B117" s="10" t="n">
        <v>113</v>
      </c>
      <c r="C117" s="10" t="n">
        <v>113</v>
      </c>
      <c r="D117" s="10" t="inlineStr">
        <is>
          <t>PH0000113</t>
        </is>
      </c>
      <c r="E117" s="26" t="inlineStr">
        <is>
          <t>VI</t>
        </is>
      </c>
      <c r="F117" s="26" t="inlineStr">
        <is>
          <t>Iloilo</t>
        </is>
      </c>
      <c r="G117" s="26" t="inlineStr">
        <is>
          <t>Iloilo City</t>
        </is>
      </c>
      <c r="H117" s="26" t="inlineStr">
        <is>
          <t>Sinikway</t>
        </is>
      </c>
      <c r="I117" s="27" t="n">
        <v>10.692749</v>
      </c>
      <c r="J117" s="27" t="n">
        <v>122.525447</v>
      </c>
      <c r="K117" s="10" t="inlineStr">
        <is>
          <t>R</t>
        </is>
      </c>
      <c r="L117" s="12" t="n">
        <v>2230</v>
      </c>
      <c r="M117" s="14" t="n">
        <v>3.8</v>
      </c>
      <c r="N117" s="12">
        <f>ROUND(L117/M117, 0)</f>
        <v/>
      </c>
      <c r="O117" s="12">
        <f>ROUND(N117*'Methodology &amp; Assumptions'!$B$5, 0)</f>
        <v/>
      </c>
      <c r="P117" s="10" t="inlineStr">
        <is>
          <t>Single Carrier (Band n50, 100MHz TDD)</t>
        </is>
      </c>
      <c r="Q117" s="13">
        <f>ROUNDUP(O117/'Methodology &amp; Assumptions'!$B$6, 0)</f>
        <v/>
      </c>
      <c r="R117" s="13" t="n">
        <v>1</v>
      </c>
      <c r="S117" s="14" t="n">
        <v>1.9</v>
      </c>
      <c r="T117" s="14" t="n">
        <v>2.94</v>
      </c>
      <c r="U117" s="26">
        <f>IF(X117&gt;='Methodology &amp; Assumptions'!$B$7, "Tier 1 Critical GIDA (Score ≥ 50.0)", IF(X117&gt;='Methodology &amp; Assumptions'!$B$8, "Tier 2 High GIDA (Score 40.0–49.9)", "Tier 3 Moderate GIDA (Score &lt; 40.0)"))</f>
        <v/>
      </c>
      <c r="V117" s="26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W117" s="28" t="n">
        <v>0.156</v>
      </c>
      <c r="X117" s="14" t="n">
        <v>57.41</v>
      </c>
      <c r="Y117" s="14">
        <f>ROUND(MIN(100, (X117/69.91)*100), 2)</f>
        <v/>
      </c>
    </row>
    <row r="118">
      <c r="A118" s="10" t="n">
        <v>1</v>
      </c>
      <c r="B118" s="10" t="n">
        <v>114</v>
      </c>
      <c r="C118" s="10" t="n">
        <v>114</v>
      </c>
      <c r="D118" s="10" t="inlineStr">
        <is>
          <t>PH0000114</t>
        </is>
      </c>
      <c r="E118" s="26" t="inlineStr">
        <is>
          <t>X</t>
        </is>
      </c>
      <c r="F118" s="26" t="inlineStr">
        <is>
          <t>Misamis Oriental</t>
        </is>
      </c>
      <c r="G118" s="26" t="inlineStr">
        <is>
          <t>Cagayan De Oro City</t>
        </is>
      </c>
      <c r="H118" s="26" t="inlineStr">
        <is>
          <t>Barangay 9 (Pob.)</t>
        </is>
      </c>
      <c r="I118" s="27" t="n">
        <v>8.432494999999999</v>
      </c>
      <c r="J118" s="27" t="n">
        <v>124.633923</v>
      </c>
      <c r="K118" s="10" t="inlineStr">
        <is>
          <t>R</t>
        </is>
      </c>
      <c r="L118" s="12" t="n">
        <v>2272</v>
      </c>
      <c r="M118" s="14" t="n">
        <v>3.9</v>
      </c>
      <c r="N118" s="12">
        <f>ROUND(L118/M118, 0)</f>
        <v/>
      </c>
      <c r="O118" s="12">
        <f>ROUND(N118*'Methodology &amp; Assumptions'!$B$5, 0)</f>
        <v/>
      </c>
      <c r="P118" s="10" t="inlineStr">
        <is>
          <t>Single Carrier (Band n50, 100MHz TDD)</t>
        </is>
      </c>
      <c r="Q118" s="13">
        <f>ROUNDUP(O118/'Methodology &amp; Assumptions'!$B$6, 0)</f>
        <v/>
      </c>
      <c r="R118" s="13" t="n">
        <v>1</v>
      </c>
      <c r="S118" s="14" t="n">
        <v>1.62</v>
      </c>
      <c r="T118" s="14" t="n">
        <v>1.65</v>
      </c>
      <c r="U118" s="26">
        <f>IF(X118&gt;='Methodology &amp; Assumptions'!$B$7, "Tier 1 Critical GIDA (Score ≥ 50.0)", IF(X118&gt;='Methodology &amp; Assumptions'!$B$8, "Tier 2 High GIDA (Score 40.0–49.9)", "Tier 3 Moderate GIDA (Score &lt; 40.0)"))</f>
        <v/>
      </c>
      <c r="V118" s="26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W118" s="28" t="n">
        <v>0.234</v>
      </c>
      <c r="X118" s="14" t="n">
        <v>57.4</v>
      </c>
      <c r="Y118" s="14">
        <f>ROUND(MIN(100, (X118/69.91)*100), 2)</f>
        <v/>
      </c>
    </row>
    <row r="119">
      <c r="A119" s="10" t="n">
        <v>1</v>
      </c>
      <c r="B119" s="10" t="n">
        <v>115</v>
      </c>
      <c r="C119" s="10" t="n">
        <v>115</v>
      </c>
      <c r="D119" s="10" t="inlineStr">
        <is>
          <t>PH0000115</t>
        </is>
      </c>
      <c r="E119" s="26" t="inlineStr">
        <is>
          <t>IV-B</t>
        </is>
      </c>
      <c r="F119" s="26" t="inlineStr">
        <is>
          <t>Palawan</t>
        </is>
      </c>
      <c r="G119" s="26" t="inlineStr">
        <is>
          <t>Puerto Princesa City</t>
        </is>
      </c>
      <c r="H119" s="26" t="inlineStr">
        <is>
          <t>Model (Pob.)</t>
        </is>
      </c>
      <c r="I119" s="27" t="n">
        <v>9.738572</v>
      </c>
      <c r="J119" s="27" t="n">
        <v>118.73673</v>
      </c>
      <c r="K119" s="10" t="inlineStr">
        <is>
          <t>R</t>
        </is>
      </c>
      <c r="L119" s="12" t="n">
        <v>2597</v>
      </c>
      <c r="M119" s="14" t="n">
        <v>3.9</v>
      </c>
      <c r="N119" s="12">
        <f>ROUND(L119/M119, 0)</f>
        <v/>
      </c>
      <c r="O119" s="12">
        <f>ROUND(N119*'Methodology &amp; Assumptions'!$B$5, 0)</f>
        <v/>
      </c>
      <c r="P119" s="10" t="inlineStr">
        <is>
          <t>Single Carrier (Band n50, 100MHz TDD)</t>
        </is>
      </c>
      <c r="Q119" s="13">
        <f>ROUNDUP(O119/'Methodology &amp; Assumptions'!$B$6, 0)</f>
        <v/>
      </c>
      <c r="R119" s="13" t="n">
        <v>1</v>
      </c>
      <c r="S119" s="14" t="n">
        <v>0.41</v>
      </c>
      <c r="T119" s="14" t="n">
        <v>2.28</v>
      </c>
      <c r="U119" s="26">
        <f>IF(X119&gt;='Methodology &amp; Assumptions'!$B$7, "Tier 1 Critical GIDA (Score ≥ 50.0)", IF(X119&gt;='Methodology &amp; Assumptions'!$B$8, "Tier 2 High GIDA (Score 40.0–49.9)", "Tier 3 Moderate GIDA (Score &lt; 40.0)"))</f>
        <v/>
      </c>
      <c r="V119" s="26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W119" s="28" t="n">
        <v>0.109</v>
      </c>
      <c r="X119" s="14" t="n">
        <v>57.37</v>
      </c>
      <c r="Y119" s="14">
        <f>ROUND(MIN(100, (X119/69.91)*100), 2)</f>
        <v/>
      </c>
    </row>
    <row r="120">
      <c r="A120" s="10" t="n">
        <v>1</v>
      </c>
      <c r="B120" s="10" t="n">
        <v>116</v>
      </c>
      <c r="C120" s="10" t="n">
        <v>116</v>
      </c>
      <c r="D120" s="10" t="inlineStr">
        <is>
          <t>0102910007</t>
        </is>
      </c>
      <c r="E120" s="26" t="inlineStr">
        <is>
          <t>Region I (Ilocos Region)</t>
        </is>
      </c>
      <c r="F120" s="26" t="inlineStr">
        <is>
          <t>Ilocos Sur</t>
        </is>
      </c>
      <c r="G120" s="26" t="inlineStr">
        <is>
          <t>Gregorio del Pilar</t>
        </is>
      </c>
      <c r="H120" s="26" t="inlineStr">
        <is>
          <t>Poblacion Norte</t>
        </is>
      </c>
      <c r="I120" s="27" t="n">
        <v>17.149834</v>
      </c>
      <c r="J120" s="27" t="n">
        <v>120.610924</v>
      </c>
      <c r="K120" s="10" t="inlineStr">
        <is>
          <t>R</t>
        </is>
      </c>
      <c r="L120" s="12" t="n">
        <v>571</v>
      </c>
      <c r="M120" s="14" t="n">
        <v>3.8</v>
      </c>
      <c r="N120" s="12">
        <f>ROUND(L120/M120, 0)</f>
        <v/>
      </c>
      <c r="O120" s="12">
        <f>ROUND(N120*'Methodology &amp; Assumptions'!$B$5, 0)</f>
        <v/>
      </c>
      <c r="P120" s="10" t="inlineStr">
        <is>
          <t>Single Carrier (Band n50, 100MHz TDD)</t>
        </is>
      </c>
      <c r="Q120" s="13">
        <f>ROUNDUP(O120/'Methodology &amp; Assumptions'!$B$6, 0)</f>
        <v/>
      </c>
      <c r="R120" s="13" t="n">
        <v>1</v>
      </c>
      <c r="S120" s="14" t="n">
        <v>7.32</v>
      </c>
      <c r="T120" s="14" t="n">
        <v>3.95</v>
      </c>
      <c r="U120" s="26">
        <f>IF(X120&gt;='Methodology &amp; Assumptions'!$B$7, "Tier 1 Critical GIDA (Score ≥ 50.0)", IF(X120&gt;='Methodology &amp; Assumptions'!$B$8, "Tier 2 High GIDA (Score 40.0–49.9)", "Tier 3 Moderate GIDA (Score &lt; 40.0)"))</f>
        <v/>
      </c>
      <c r="V120" s="26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W120" s="28" t="n">
        <v>0.083</v>
      </c>
      <c r="X120" s="14" t="n">
        <v>57.36</v>
      </c>
      <c r="Y120" s="14">
        <f>ROUND(MIN(100, (X120/69.91)*100), 2)</f>
        <v/>
      </c>
    </row>
    <row r="121">
      <c r="A121" s="10" t="n">
        <v>1</v>
      </c>
      <c r="B121" s="10" t="n">
        <v>117</v>
      </c>
      <c r="C121" s="10" t="n">
        <v>117</v>
      </c>
      <c r="D121" s="10" t="inlineStr">
        <is>
          <t>1400101010</t>
        </is>
      </c>
      <c r="E121" s="26" t="inlineStr">
        <is>
          <t>Cordillera Administrative Region (CAR)</t>
        </is>
      </c>
      <c r="F121" s="26" t="inlineStr">
        <is>
          <t>Abra</t>
        </is>
      </c>
      <c r="G121" s="26" t="inlineStr">
        <is>
          <t>Bangued</t>
        </is>
      </c>
      <c r="H121" s="26" t="inlineStr">
        <is>
          <t>Dangdangla</t>
        </is>
      </c>
      <c r="I121" s="27" t="n">
        <v>17.598979</v>
      </c>
      <c r="J121" s="27" t="n">
        <v>120.628694</v>
      </c>
      <c r="K121" s="10" t="inlineStr">
        <is>
          <t>R</t>
        </is>
      </c>
      <c r="L121" s="12" t="n">
        <v>2037</v>
      </c>
      <c r="M121" s="14" t="n">
        <v>3.8</v>
      </c>
      <c r="N121" s="12">
        <f>ROUND(L121/M121, 0)</f>
        <v/>
      </c>
      <c r="O121" s="12">
        <f>ROUND(N121*'Methodology &amp; Assumptions'!$B$5, 0)</f>
        <v/>
      </c>
      <c r="P121" s="10" t="inlineStr">
        <is>
          <t>Single Carrier (Band n50, 100MHz TDD)</t>
        </is>
      </c>
      <c r="Q121" s="13">
        <f>ROUNDUP(O121/'Methodology &amp; Assumptions'!$B$6, 0)</f>
        <v/>
      </c>
      <c r="R121" s="13" t="n">
        <v>1</v>
      </c>
      <c r="S121" s="14" t="n">
        <v>1.23</v>
      </c>
      <c r="T121" s="14" t="n">
        <v>0.75</v>
      </c>
      <c r="U121" s="26">
        <f>IF(X121&gt;='Methodology &amp; Assumptions'!$B$7, "Tier 1 Critical GIDA (Score ≥ 50.0)", IF(X121&gt;='Methodology &amp; Assumptions'!$B$8, "Tier 2 High GIDA (Score 40.0–49.9)", "Tier 3 Moderate GIDA (Score &lt; 40.0)"))</f>
        <v/>
      </c>
      <c r="V121" s="26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W121" s="28" t="n">
        <v>0.109</v>
      </c>
      <c r="X121" s="14" t="n">
        <v>57.35</v>
      </c>
      <c r="Y121" s="14">
        <f>ROUND(MIN(100, (X121/69.91)*100), 2)</f>
        <v/>
      </c>
    </row>
    <row r="122">
      <c r="A122" s="10" t="n">
        <v>1</v>
      </c>
      <c r="B122" s="10" t="n">
        <v>118</v>
      </c>
      <c r="C122" s="10" t="n">
        <v>118</v>
      </c>
      <c r="D122" s="10" t="inlineStr">
        <is>
          <t>0205703010</t>
        </is>
      </c>
      <c r="E122" s="26" t="inlineStr">
        <is>
          <t>Region II (Cagayan Valley)</t>
        </is>
      </c>
      <c r="F122" s="26" t="inlineStr">
        <is>
          <t>Quirino</t>
        </is>
      </c>
      <c r="G122" s="26" t="inlineStr">
        <is>
          <t>Diffun</t>
        </is>
      </c>
      <c r="H122" s="26" t="inlineStr">
        <is>
          <t>Don Mariano Perez, Sr.</t>
        </is>
      </c>
      <c r="I122" s="27" t="n">
        <v>16.481444</v>
      </c>
      <c r="J122" s="27" t="n">
        <v>121.377248</v>
      </c>
      <c r="K122" s="10" t="inlineStr">
        <is>
          <t>R</t>
        </is>
      </c>
      <c r="L122" s="12" t="n">
        <v>712</v>
      </c>
      <c r="M122" s="14" t="n">
        <v>3.9</v>
      </c>
      <c r="N122" s="12">
        <f>ROUND(L122/M122, 0)</f>
        <v/>
      </c>
      <c r="O122" s="12">
        <f>ROUND(N122*'Methodology &amp; Assumptions'!$B$5, 0)</f>
        <v/>
      </c>
      <c r="P122" s="10" t="inlineStr">
        <is>
          <t>Single Carrier (Band n50, 100MHz TDD)</t>
        </is>
      </c>
      <c r="Q122" s="13">
        <f>ROUNDUP(O122/'Methodology &amp; Assumptions'!$B$6, 0)</f>
        <v/>
      </c>
      <c r="R122" s="13" t="n">
        <v>1</v>
      </c>
      <c r="S122" s="14" t="n">
        <v>7.48</v>
      </c>
      <c r="T122" s="14" t="n">
        <v>15.32</v>
      </c>
      <c r="U122" s="26">
        <f>IF(X122&gt;='Methodology &amp; Assumptions'!$B$7, "Tier 1 Critical GIDA (Score ≥ 50.0)", IF(X122&gt;='Methodology &amp; Assumptions'!$B$8, "Tier 2 High GIDA (Score 40.0–49.9)", "Tier 3 Moderate GIDA (Score &lt; 40.0)"))</f>
        <v/>
      </c>
      <c r="V122" s="26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W122" s="28" t="n">
        <v>0.083</v>
      </c>
      <c r="X122" s="14" t="n">
        <v>57.34</v>
      </c>
      <c r="Y122" s="14">
        <f>ROUND(MIN(100, (X122/69.91)*100), 2)</f>
        <v/>
      </c>
    </row>
    <row r="123">
      <c r="A123" s="10" t="n">
        <v>1</v>
      </c>
      <c r="B123" s="10" t="n">
        <v>119</v>
      </c>
      <c r="C123" s="10" t="n">
        <v>119</v>
      </c>
      <c r="D123" s="10" t="inlineStr">
        <is>
          <t>1403209006</t>
        </is>
      </c>
      <c r="E123" s="26" t="inlineStr">
        <is>
          <t>Cordillera Administrative Region (CAR)</t>
        </is>
      </c>
      <c r="F123" s="26" t="inlineStr">
        <is>
          <t>Kalinga</t>
        </is>
      </c>
      <c r="G123" s="26" t="inlineStr">
        <is>
          <t>Pinukpuk</t>
        </is>
      </c>
      <c r="H123" s="26" t="inlineStr">
        <is>
          <t>Ballayangon</t>
        </is>
      </c>
      <c r="I123" s="27" t="n">
        <v>17.556492</v>
      </c>
      <c r="J123" s="27" t="n">
        <v>121.317634</v>
      </c>
      <c r="K123" s="10" t="inlineStr">
        <is>
          <t>R</t>
        </is>
      </c>
      <c r="L123" s="12" t="n">
        <v>1341</v>
      </c>
      <c r="M123" s="14" t="n">
        <v>4.3</v>
      </c>
      <c r="N123" s="12">
        <f>ROUND(L123/M123, 0)</f>
        <v/>
      </c>
      <c r="O123" s="12">
        <f>ROUND(N123*'Methodology &amp; Assumptions'!$B$5, 0)</f>
        <v/>
      </c>
      <c r="P123" s="10" t="inlineStr">
        <is>
          <t>Single Carrier (Band n50, 100MHz TDD)</t>
        </is>
      </c>
      <c r="Q123" s="13">
        <f>ROUNDUP(O123/'Methodology &amp; Assumptions'!$B$6, 0)</f>
        <v/>
      </c>
      <c r="R123" s="13" t="n">
        <v>1</v>
      </c>
      <c r="S123" s="14" t="n">
        <v>2.45</v>
      </c>
      <c r="T123" s="14" t="n">
        <v>11.53</v>
      </c>
      <c r="U123" s="26">
        <f>IF(X123&gt;='Methodology &amp; Assumptions'!$B$7, "Tier 1 Critical GIDA (Score ≥ 50.0)", IF(X123&gt;='Methodology &amp; Assumptions'!$B$8, "Tier 2 High GIDA (Score 40.0–49.9)", "Tier 3 Moderate GIDA (Score &lt; 40.0)"))</f>
        <v/>
      </c>
      <c r="V123" s="26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W123" s="28" t="n">
        <v>0.109</v>
      </c>
      <c r="X123" s="14" t="n">
        <v>57.33</v>
      </c>
      <c r="Y123" s="14">
        <f>ROUND(MIN(100, (X123/69.91)*100), 2)</f>
        <v/>
      </c>
    </row>
    <row r="124">
      <c r="A124" s="10" t="n">
        <v>1</v>
      </c>
      <c r="B124" s="10" t="n">
        <v>120</v>
      </c>
      <c r="C124" s="10" t="n">
        <v>120</v>
      </c>
      <c r="D124" s="10" t="inlineStr">
        <is>
          <t>PH0000120</t>
        </is>
      </c>
      <c r="E124" s="26" t="inlineStr">
        <is>
          <t>X</t>
        </is>
      </c>
      <c r="F124" s="26" t="inlineStr">
        <is>
          <t>Misamis Oriental</t>
        </is>
      </c>
      <c r="G124" s="26" t="inlineStr">
        <is>
          <t>Cagayan De Oro City</t>
        </is>
      </c>
      <c r="H124" s="26" t="inlineStr">
        <is>
          <t>Barangay 17 (Pob.)</t>
        </is>
      </c>
      <c r="I124" s="27" t="n">
        <v>8.436693</v>
      </c>
      <c r="J124" s="27" t="n">
        <v>124.6242</v>
      </c>
      <c r="K124" s="10" t="inlineStr">
        <is>
          <t>R</t>
        </is>
      </c>
      <c r="L124" s="12" t="n">
        <v>2272</v>
      </c>
      <c r="M124" s="14" t="n">
        <v>3.9</v>
      </c>
      <c r="N124" s="12">
        <f>ROUND(L124/M124, 0)</f>
        <v/>
      </c>
      <c r="O124" s="12">
        <f>ROUND(N124*'Methodology &amp; Assumptions'!$B$5, 0)</f>
        <v/>
      </c>
      <c r="P124" s="10" t="inlineStr">
        <is>
          <t>Single Carrier (Band n50, 100MHz TDD)</t>
        </is>
      </c>
      <c r="Q124" s="13">
        <f>ROUNDUP(O124/'Methodology &amp; Assumptions'!$B$6, 0)</f>
        <v/>
      </c>
      <c r="R124" s="13" t="n">
        <v>1</v>
      </c>
      <c r="S124" s="14" t="n">
        <v>0.51</v>
      </c>
      <c r="T124" s="14" t="n">
        <v>0.6</v>
      </c>
      <c r="U124" s="26">
        <f>IF(X124&gt;='Methodology &amp; Assumptions'!$B$7, "Tier 1 Critical GIDA (Score ≥ 50.0)", IF(X124&gt;='Methodology &amp; Assumptions'!$B$8, "Tier 2 High GIDA (Score 40.0–49.9)", "Tier 3 Moderate GIDA (Score &lt; 40.0)"))</f>
        <v/>
      </c>
      <c r="V124" s="26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W124" s="28" t="n">
        <v>0.234</v>
      </c>
      <c r="X124" s="14" t="n">
        <v>57.3</v>
      </c>
      <c r="Y124" s="14">
        <f>ROUND(MIN(100, (X124/69.91)*100), 2)</f>
        <v/>
      </c>
    </row>
    <row r="125">
      <c r="A125" s="10" t="n">
        <v>1</v>
      </c>
      <c r="B125" s="10" t="n">
        <v>121</v>
      </c>
      <c r="C125" s="10" t="n">
        <v>121</v>
      </c>
      <c r="D125" s="10" t="inlineStr">
        <is>
          <t>1403209003</t>
        </is>
      </c>
      <c r="E125" s="26" t="inlineStr">
        <is>
          <t>Cordillera Administrative Region (CAR)</t>
        </is>
      </c>
      <c r="F125" s="26" t="inlineStr">
        <is>
          <t>Kalinga</t>
        </is>
      </c>
      <c r="G125" s="26" t="inlineStr">
        <is>
          <t>Pinukpuk</t>
        </is>
      </c>
      <c r="H125" s="26" t="inlineStr">
        <is>
          <t>Ammacian</t>
        </is>
      </c>
      <c r="I125" s="27" t="n">
        <v>17.608892</v>
      </c>
      <c r="J125" s="27" t="n">
        <v>121.34468</v>
      </c>
      <c r="K125" s="10" t="inlineStr">
        <is>
          <t>R</t>
        </is>
      </c>
      <c r="L125" s="12" t="n">
        <v>1731</v>
      </c>
      <c r="M125" s="14" t="n">
        <v>4.3</v>
      </c>
      <c r="N125" s="12">
        <f>ROUND(L125/M125, 0)</f>
        <v/>
      </c>
      <c r="O125" s="12">
        <f>ROUND(N125*'Methodology &amp; Assumptions'!$B$5, 0)</f>
        <v/>
      </c>
      <c r="P125" s="10" t="inlineStr">
        <is>
          <t>Single Carrier (Band n50, 100MHz TDD)</t>
        </is>
      </c>
      <c r="Q125" s="13">
        <f>ROUNDUP(O125/'Methodology &amp; Assumptions'!$B$6, 0)</f>
        <v/>
      </c>
      <c r="R125" s="13" t="n">
        <v>1</v>
      </c>
      <c r="S125" s="14" t="n">
        <v>5.77</v>
      </c>
      <c r="T125" s="14" t="n">
        <v>6.65</v>
      </c>
      <c r="U125" s="26">
        <f>IF(X125&gt;='Methodology &amp; Assumptions'!$B$7, "Tier 1 Critical GIDA (Score ≥ 50.0)", IF(X125&gt;='Methodology &amp; Assumptions'!$B$8, "Tier 2 High GIDA (Score 40.0–49.9)", "Tier 3 Moderate GIDA (Score &lt; 40.0)"))</f>
        <v/>
      </c>
      <c r="V125" s="26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W125" s="28" t="n">
        <v>0.109</v>
      </c>
      <c r="X125" s="14" t="n">
        <v>57.29</v>
      </c>
      <c r="Y125" s="14">
        <f>ROUND(MIN(100, (X125/69.91)*100), 2)</f>
        <v/>
      </c>
    </row>
    <row r="126">
      <c r="A126" s="10" t="n">
        <v>1</v>
      </c>
      <c r="B126" s="10" t="n">
        <v>122</v>
      </c>
      <c r="C126" s="10" t="n">
        <v>122</v>
      </c>
      <c r="D126" s="10" t="inlineStr">
        <is>
          <t>0201514008</t>
        </is>
      </c>
      <c r="E126" s="26" t="inlineStr">
        <is>
          <t>Region II (Cagayan Valley)</t>
        </is>
      </c>
      <c r="F126" s="26" t="inlineStr">
        <is>
          <t>Cagayan</t>
        </is>
      </c>
      <c r="G126" s="26" t="inlineStr">
        <is>
          <t>Gonzaga</t>
        </is>
      </c>
      <c r="H126" s="26" t="inlineStr">
        <is>
          <t>Calayan</t>
        </is>
      </c>
      <c r="I126" s="27" t="n">
        <v>18.281984</v>
      </c>
      <c r="J126" s="27" t="n">
        <v>122.010131</v>
      </c>
      <c r="K126" s="10" t="inlineStr">
        <is>
          <t>R</t>
        </is>
      </c>
      <c r="L126" s="12" t="n">
        <v>2054</v>
      </c>
      <c r="M126" s="14" t="n">
        <v>3.9</v>
      </c>
      <c r="N126" s="12">
        <f>ROUND(L126/M126, 0)</f>
        <v/>
      </c>
      <c r="O126" s="12">
        <f>ROUND(N126*'Methodology &amp; Assumptions'!$B$5, 0)</f>
        <v/>
      </c>
      <c r="P126" s="10" t="inlineStr">
        <is>
          <t>Single Carrier (Band n50, 100MHz TDD)</t>
        </is>
      </c>
      <c r="Q126" s="13">
        <f>ROUNDUP(O126/'Methodology &amp; Assumptions'!$B$6, 0)</f>
        <v/>
      </c>
      <c r="R126" s="13" t="n">
        <v>1</v>
      </c>
      <c r="S126" s="14" t="n">
        <v>2.38</v>
      </c>
      <c r="T126" s="14" t="n">
        <v>0.2</v>
      </c>
      <c r="U126" s="26">
        <f>IF(X126&gt;='Methodology &amp; Assumptions'!$B$7, "Tier 1 Critical GIDA (Score ≥ 50.0)", IF(X126&gt;='Methodology &amp; Assumptions'!$B$8, "Tier 2 High GIDA (Score 40.0–49.9)", "Tier 3 Moderate GIDA (Score &lt; 40.0)"))</f>
        <v/>
      </c>
      <c r="V126" s="26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W126" s="28" t="n">
        <v>0.083</v>
      </c>
      <c r="X126" s="14" t="n">
        <v>57.28</v>
      </c>
      <c r="Y126" s="14">
        <f>ROUND(MIN(100, (X126/69.91)*100), 2)</f>
        <v/>
      </c>
    </row>
    <row r="127">
      <c r="A127" s="10" t="n">
        <v>1</v>
      </c>
      <c r="B127" s="10" t="n">
        <v>123</v>
      </c>
      <c r="C127" s="10" t="n">
        <v>123</v>
      </c>
      <c r="D127" s="10" t="inlineStr">
        <is>
          <t>1403209014</t>
        </is>
      </c>
      <c r="E127" s="26" t="inlineStr">
        <is>
          <t>Cordillera Administrative Region (CAR)</t>
        </is>
      </c>
      <c r="F127" s="26" t="inlineStr">
        <is>
          <t>Kalinga</t>
        </is>
      </c>
      <c r="G127" s="26" t="inlineStr">
        <is>
          <t>Pinukpuk</t>
        </is>
      </c>
      <c r="H127" s="26" t="inlineStr">
        <is>
          <t>Limos</t>
        </is>
      </c>
      <c r="I127" s="27" t="n">
        <v>17.501091</v>
      </c>
      <c r="J127" s="27" t="n">
        <v>121.291156</v>
      </c>
      <c r="K127" s="10" t="inlineStr">
        <is>
          <t>R</t>
        </is>
      </c>
      <c r="L127" s="12" t="n">
        <v>936</v>
      </c>
      <c r="M127" s="14" t="n">
        <v>4.3</v>
      </c>
      <c r="N127" s="12">
        <f>ROUND(L127/M127, 0)</f>
        <v/>
      </c>
      <c r="O127" s="12">
        <f>ROUND(N127*'Methodology &amp; Assumptions'!$B$5, 0)</f>
        <v/>
      </c>
      <c r="P127" s="10" t="inlineStr">
        <is>
          <t>Single Carrier (Band n50, 100MHz TDD)</t>
        </is>
      </c>
      <c r="Q127" s="13">
        <f>ROUNDUP(O127/'Methodology &amp; Assumptions'!$B$6, 0)</f>
        <v/>
      </c>
      <c r="R127" s="13" t="n">
        <v>1</v>
      </c>
      <c r="S127" s="14" t="n">
        <v>8.15</v>
      </c>
      <c r="T127" s="14" t="n">
        <v>9.880000000000001</v>
      </c>
      <c r="U127" s="26">
        <f>IF(X127&gt;='Methodology &amp; Assumptions'!$B$7, "Tier 1 Critical GIDA (Score ≥ 50.0)", IF(X127&gt;='Methodology &amp; Assumptions'!$B$8, "Tier 2 High GIDA (Score 40.0–49.9)", "Tier 3 Moderate GIDA (Score &lt; 40.0)"))</f>
        <v/>
      </c>
      <c r="V127" s="26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W127" s="28" t="n">
        <v>0.109</v>
      </c>
      <c r="X127" s="14" t="n">
        <v>57.27</v>
      </c>
      <c r="Y127" s="14">
        <f>ROUND(MIN(100, (X127/69.91)*100), 2)</f>
        <v/>
      </c>
    </row>
    <row r="128">
      <c r="A128" s="10" t="n">
        <v>1</v>
      </c>
      <c r="B128" s="10" t="n">
        <v>124</v>
      </c>
      <c r="C128" s="10" t="n">
        <v>124</v>
      </c>
      <c r="D128" s="10" t="inlineStr">
        <is>
          <t>PH0000124</t>
        </is>
      </c>
      <c r="E128" s="26" t="inlineStr">
        <is>
          <t>VI</t>
        </is>
      </c>
      <c r="F128" s="26" t="inlineStr">
        <is>
          <t>Iloilo</t>
        </is>
      </c>
      <c r="G128" s="26" t="inlineStr">
        <is>
          <t>Iloilo City</t>
        </is>
      </c>
      <c r="H128" s="26" t="inlineStr">
        <is>
          <t>Roxas Village</t>
        </is>
      </c>
      <c r="I128" s="27" t="n">
        <v>10.744082</v>
      </c>
      <c r="J128" s="27" t="n">
        <v>122.553541</v>
      </c>
      <c r="K128" s="10" t="inlineStr">
        <is>
          <t>R</t>
        </is>
      </c>
      <c r="L128" s="12" t="n">
        <v>2230</v>
      </c>
      <c r="M128" s="14" t="n">
        <v>3.8</v>
      </c>
      <c r="N128" s="12">
        <f>ROUND(L128/M128, 0)</f>
        <v/>
      </c>
      <c r="O128" s="12">
        <f>ROUND(N128*'Methodology &amp; Assumptions'!$B$5, 0)</f>
        <v/>
      </c>
      <c r="P128" s="10" t="inlineStr">
        <is>
          <t>Single Carrier (Band n50, 100MHz TDD)</t>
        </is>
      </c>
      <c r="Q128" s="13">
        <f>ROUNDUP(O128/'Methodology &amp; Assumptions'!$B$6, 0)</f>
        <v/>
      </c>
      <c r="R128" s="13" t="n">
        <v>1</v>
      </c>
      <c r="S128" s="14" t="n">
        <v>1.45</v>
      </c>
      <c r="T128" s="14" t="n">
        <v>1.14</v>
      </c>
      <c r="U128" s="26">
        <f>IF(X128&gt;='Methodology &amp; Assumptions'!$B$7, "Tier 1 Critical GIDA (Score ≥ 50.0)", IF(X128&gt;='Methodology &amp; Assumptions'!$B$8, "Tier 2 High GIDA (Score 40.0–49.9)", "Tier 3 Moderate GIDA (Score &lt; 40.0)"))</f>
        <v/>
      </c>
      <c r="V128" s="26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W128" s="28" t="n">
        <v>0.156</v>
      </c>
      <c r="X128" s="14" t="n">
        <v>57.27</v>
      </c>
      <c r="Y128" s="14">
        <f>ROUND(MIN(100, (X128/69.91)*100), 2)</f>
        <v/>
      </c>
    </row>
    <row r="129">
      <c r="A129" s="10" t="n">
        <v>1</v>
      </c>
      <c r="B129" s="10" t="n">
        <v>125</v>
      </c>
      <c r="C129" s="10" t="n">
        <v>125</v>
      </c>
      <c r="D129" s="10" t="inlineStr">
        <is>
          <t>0205704023</t>
        </is>
      </c>
      <c r="E129" s="26" t="inlineStr">
        <is>
          <t>Region II (Cagayan Valley)</t>
        </is>
      </c>
      <c r="F129" s="26" t="inlineStr">
        <is>
          <t>Quirino</t>
        </is>
      </c>
      <c r="G129" s="26" t="inlineStr">
        <is>
          <t>Maddela</t>
        </is>
      </c>
      <c r="H129" s="26" t="inlineStr">
        <is>
          <t>San Martin</t>
        </is>
      </c>
      <c r="I129" s="27" t="n">
        <v>16.391336</v>
      </c>
      <c r="J129" s="27" t="n">
        <v>121.780075</v>
      </c>
      <c r="K129" s="10" t="inlineStr">
        <is>
          <t>R</t>
        </is>
      </c>
      <c r="L129" s="12" t="n">
        <v>958</v>
      </c>
      <c r="M129" s="14" t="n">
        <v>3.9</v>
      </c>
      <c r="N129" s="12">
        <f>ROUND(L129/M129, 0)</f>
        <v/>
      </c>
      <c r="O129" s="12">
        <f>ROUND(N129*'Methodology &amp; Assumptions'!$B$5, 0)</f>
        <v/>
      </c>
      <c r="P129" s="10" t="inlineStr">
        <is>
          <t>Single Carrier (Band n50, 100MHz TDD)</t>
        </is>
      </c>
      <c r="Q129" s="13">
        <f>ROUNDUP(O129/'Methodology &amp; Assumptions'!$B$6, 0)</f>
        <v/>
      </c>
      <c r="R129" s="13" t="n">
        <v>1</v>
      </c>
      <c r="S129" s="14" t="n">
        <v>12.28</v>
      </c>
      <c r="T129" s="14" t="n">
        <v>11.15</v>
      </c>
      <c r="U129" s="26">
        <f>IF(X129&gt;='Methodology &amp; Assumptions'!$B$7, "Tier 1 Critical GIDA (Score ≥ 50.0)", IF(X129&gt;='Methodology &amp; Assumptions'!$B$8, "Tier 2 High GIDA (Score 40.0–49.9)", "Tier 3 Moderate GIDA (Score &lt; 40.0)"))</f>
        <v/>
      </c>
      <c r="V129" s="26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W129" s="28" t="n">
        <v>0.083</v>
      </c>
      <c r="X129" s="14" t="n">
        <v>57.26</v>
      </c>
      <c r="Y129" s="14">
        <f>ROUND(MIN(100, (X129/69.91)*100), 2)</f>
        <v/>
      </c>
    </row>
    <row r="130">
      <c r="A130" s="10" t="n">
        <v>1</v>
      </c>
      <c r="B130" s="10" t="n">
        <v>126</v>
      </c>
      <c r="C130" s="10" t="n">
        <v>126</v>
      </c>
      <c r="D130" s="10" t="inlineStr">
        <is>
          <t>0401005085</t>
        </is>
      </c>
      <c r="E130" s="26" t="inlineStr">
        <is>
          <t>Region IV-A (CALABARZON)</t>
        </is>
      </c>
      <c r="F130" s="26" t="inlineStr">
        <is>
          <t>Batangas</t>
        </is>
      </c>
      <c r="G130" s="26" t="inlineStr">
        <is>
          <t>Batangas City</t>
        </is>
      </c>
      <c r="H130" s="26" t="inlineStr">
        <is>
          <t>San Agustin Silangan, Isla Verde</t>
        </is>
      </c>
      <c r="I130" s="27" t="n">
        <v>13.561371</v>
      </c>
      <c r="J130" s="27" t="n">
        <v>121.059813</v>
      </c>
      <c r="K130" s="10" t="inlineStr">
        <is>
          <t>R</t>
        </is>
      </c>
      <c r="L130" s="12" t="n">
        <v>739</v>
      </c>
      <c r="M130" s="14" t="n">
        <v>3.6</v>
      </c>
      <c r="N130" s="12">
        <f>ROUND(L130/M130, 0)</f>
        <v/>
      </c>
      <c r="O130" s="12">
        <f>ROUND(N130*'Methodology &amp; Assumptions'!$B$5, 0)</f>
        <v/>
      </c>
      <c r="P130" s="10" t="inlineStr">
        <is>
          <t>Single Carrier (Band n50, 100MHz TDD)</t>
        </is>
      </c>
      <c r="Q130" s="13">
        <f>ROUNDUP(O130/'Methodology &amp; Assumptions'!$B$6, 0)</f>
        <v/>
      </c>
      <c r="R130" s="13" t="n">
        <v>1</v>
      </c>
      <c r="S130" s="14" t="n">
        <v>7.97</v>
      </c>
      <c r="T130" s="14" t="n">
        <v>13.2</v>
      </c>
      <c r="U130" s="26">
        <f>IF(X130&gt;='Methodology &amp; Assumptions'!$B$7, "Tier 1 Critical GIDA (Score ≥ 50.0)", IF(X130&gt;='Methodology &amp; Assumptions'!$B$8, "Tier 2 High GIDA (Score 40.0–49.9)", "Tier 3 Moderate GIDA (Score &lt; 40.0)"))</f>
        <v/>
      </c>
      <c r="V130" s="26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W130" s="28" t="n">
        <v>0.07200000000000001</v>
      </c>
      <c r="X130" s="14" t="n">
        <v>57.19</v>
      </c>
      <c r="Y130" s="14">
        <f>ROUND(MIN(100, (X130/69.91)*100), 2)</f>
        <v/>
      </c>
    </row>
    <row r="131">
      <c r="A131" s="10" t="n">
        <v>1</v>
      </c>
      <c r="B131" s="10" t="n">
        <v>127</v>
      </c>
      <c r="C131" s="10" t="n">
        <v>127</v>
      </c>
      <c r="D131" s="10" t="inlineStr">
        <is>
          <t>PH0000127</t>
        </is>
      </c>
      <c r="E131" s="26" t="inlineStr">
        <is>
          <t>VI</t>
        </is>
      </c>
      <c r="F131" s="26" t="inlineStr">
        <is>
          <t>Iloilo</t>
        </is>
      </c>
      <c r="G131" s="26" t="inlineStr">
        <is>
          <t>Iloilo City</t>
        </is>
      </c>
      <c r="H131" s="26" t="inlineStr">
        <is>
          <t>Nonoy</t>
        </is>
      </c>
      <c r="I131" s="27" t="n">
        <v>10.685143</v>
      </c>
      <c r="J131" s="27" t="n">
        <v>122.568732</v>
      </c>
      <c r="K131" s="10" t="inlineStr">
        <is>
          <t>R</t>
        </is>
      </c>
      <c r="L131" s="12" t="n">
        <v>2230</v>
      </c>
      <c r="M131" s="14" t="n">
        <v>3.8</v>
      </c>
      <c r="N131" s="12">
        <f>ROUND(L131/M131, 0)</f>
        <v/>
      </c>
      <c r="O131" s="12">
        <f>ROUND(N131*'Methodology &amp; Assumptions'!$B$5, 0)</f>
        <v/>
      </c>
      <c r="P131" s="10" t="inlineStr">
        <is>
          <t>Single Carrier (Band n50, 100MHz TDD)</t>
        </is>
      </c>
      <c r="Q131" s="13">
        <f>ROUNDUP(O131/'Methodology &amp; Assumptions'!$B$6, 0)</f>
        <v/>
      </c>
      <c r="R131" s="13" t="n">
        <v>1</v>
      </c>
      <c r="S131" s="14" t="n">
        <v>2.91</v>
      </c>
      <c r="T131" s="14" t="n">
        <v>1.84</v>
      </c>
      <c r="U131" s="26">
        <f>IF(X131&gt;='Methodology &amp; Assumptions'!$B$7, "Tier 1 Critical GIDA (Score ≥ 50.0)", IF(X131&gt;='Methodology &amp; Assumptions'!$B$8, "Tier 2 High GIDA (Score 40.0–49.9)", "Tier 3 Moderate GIDA (Score &lt; 40.0)"))</f>
        <v/>
      </c>
      <c r="V131" s="26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W131" s="28" t="n">
        <v>0.156</v>
      </c>
      <c r="X131" s="14" t="n">
        <v>57.18</v>
      </c>
      <c r="Y131" s="14">
        <f>ROUND(MIN(100, (X131/69.91)*100), 2)</f>
        <v/>
      </c>
    </row>
    <row r="132">
      <c r="A132" s="10" t="n">
        <v>1</v>
      </c>
      <c r="B132" s="10" t="n">
        <v>128</v>
      </c>
      <c r="C132" s="10" t="n">
        <v>128</v>
      </c>
      <c r="D132" s="10" t="inlineStr">
        <is>
          <t>0601917052</t>
        </is>
      </c>
      <c r="E132" s="26" t="inlineStr">
        <is>
          <t>Region VI (Western Visayas)</t>
        </is>
      </c>
      <c r="F132" s="26" t="inlineStr">
        <is>
          <t>Capiz</t>
        </is>
      </c>
      <c r="G132" s="26" t="inlineStr">
        <is>
          <t>Tapaz</t>
        </is>
      </c>
      <c r="H132" s="26" t="inlineStr">
        <is>
          <t>Siya</t>
        </is>
      </c>
      <c r="I132" s="27" t="n">
        <v>11.236</v>
      </c>
      <c r="J132" s="27" t="n">
        <v>122.344444</v>
      </c>
      <c r="K132" s="10" t="inlineStr">
        <is>
          <t>R</t>
        </is>
      </c>
      <c r="L132" s="12" t="n">
        <v>827</v>
      </c>
      <c r="M132" s="14" t="n">
        <v>3.8</v>
      </c>
      <c r="N132" s="12">
        <f>ROUND(L132/M132, 0)</f>
        <v/>
      </c>
      <c r="O132" s="12">
        <f>ROUND(N132*'Methodology &amp; Assumptions'!$B$5, 0)</f>
        <v/>
      </c>
      <c r="P132" s="10" t="inlineStr">
        <is>
          <t>Single Carrier (Band n50, 100MHz TDD)</t>
        </is>
      </c>
      <c r="Q132" s="13">
        <f>ROUNDUP(O132/'Methodology &amp; Assumptions'!$B$6, 0)</f>
        <v/>
      </c>
      <c r="R132" s="13" t="n">
        <v>1</v>
      </c>
      <c r="S132" s="14" t="n">
        <v>35.46</v>
      </c>
      <c r="T132" s="14" t="n">
        <v>23.33</v>
      </c>
      <c r="U132" s="26">
        <f>IF(X132&gt;='Methodology &amp; Assumptions'!$B$7, "Tier 1 Critical GIDA (Score ≥ 50.0)", IF(X132&gt;='Methodology &amp; Assumptions'!$B$8, "Tier 2 High GIDA (Score 40.0–49.9)", "Tier 3 Moderate GIDA (Score &lt; 40.0)"))</f>
        <v/>
      </c>
      <c r="V132" s="26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W132" s="28" t="n">
        <v>0.237</v>
      </c>
      <c r="X132" s="14" t="n">
        <v>57.18</v>
      </c>
      <c r="Y132" s="14">
        <f>ROUND(MIN(100, (X132/69.91)*100), 2)</f>
        <v/>
      </c>
    </row>
    <row r="133">
      <c r="A133" s="10" t="n">
        <v>1</v>
      </c>
      <c r="B133" s="10" t="n">
        <v>129</v>
      </c>
      <c r="C133" s="10" t="n">
        <v>129</v>
      </c>
      <c r="D133" s="10" t="inlineStr">
        <is>
          <t>0307708007</t>
        </is>
      </c>
      <c r="E133" s="26" t="inlineStr">
        <is>
          <t>Region III (Central Luzon)</t>
        </is>
      </c>
      <c r="F133" s="26" t="inlineStr">
        <is>
          <t>Aurora</t>
        </is>
      </c>
      <c r="G133" s="26" t="inlineStr">
        <is>
          <t>San Luis</t>
        </is>
      </c>
      <c r="H133" s="26" t="inlineStr">
        <is>
          <t>Dibayabay</t>
        </is>
      </c>
      <c r="I133" s="27" t="n">
        <v>15.633774</v>
      </c>
      <c r="J133" s="27" t="n">
        <v>121.582977</v>
      </c>
      <c r="K133" s="10" t="inlineStr">
        <is>
          <t>R</t>
        </is>
      </c>
      <c r="L133" s="12" t="n">
        <v>746</v>
      </c>
      <c r="M133" s="14" t="n">
        <v>3.8</v>
      </c>
      <c r="N133" s="12">
        <f>ROUND(L133/M133, 0)</f>
        <v/>
      </c>
      <c r="O133" s="12">
        <f>ROUND(N133*'Methodology &amp; Assumptions'!$B$5, 0)</f>
        <v/>
      </c>
      <c r="P133" s="10" t="inlineStr">
        <is>
          <t>Single Carrier (Band n50, 100MHz TDD)</t>
        </is>
      </c>
      <c r="Q133" s="13">
        <f>ROUNDUP(O133/'Methodology &amp; Assumptions'!$B$6, 0)</f>
        <v/>
      </c>
      <c r="R133" s="13" t="n">
        <v>1</v>
      </c>
      <c r="S133" s="14" t="n">
        <v>13.53</v>
      </c>
      <c r="T133" s="14" t="n">
        <v>14.13</v>
      </c>
      <c r="U133" s="26">
        <f>IF(X133&gt;='Methodology &amp; Assumptions'!$B$7, "Tier 1 Critical GIDA (Score ≥ 50.0)", IF(X133&gt;='Methodology &amp; Assumptions'!$B$8, "Tier 2 High GIDA (Score 40.0–49.9)", "Tier 3 Moderate GIDA (Score &lt; 40.0)"))</f>
        <v/>
      </c>
      <c r="V133" s="26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W133" s="28" t="n">
        <v>0.083</v>
      </c>
      <c r="X133" s="14" t="n">
        <v>57.16</v>
      </c>
      <c r="Y133" s="14">
        <f>ROUND(MIN(100, (X133/69.91)*100), 2)</f>
        <v/>
      </c>
    </row>
    <row r="134">
      <c r="A134" s="10" t="n">
        <v>1</v>
      </c>
      <c r="B134" s="10" t="n">
        <v>130</v>
      </c>
      <c r="C134" s="10" t="n">
        <v>130</v>
      </c>
      <c r="D134" s="10" t="inlineStr">
        <is>
          <t>0405619025</t>
        </is>
      </c>
      <c r="E134" s="26" t="inlineStr">
        <is>
          <t>Region IV-A (CALABARZON)</t>
        </is>
      </c>
      <c r="F134" s="26" t="inlineStr">
        <is>
          <t>Quezon</t>
        </is>
      </c>
      <c r="G134" s="26" t="inlineStr">
        <is>
          <t>Gumaca</t>
        </is>
      </c>
      <c r="H134" s="26" t="inlineStr">
        <is>
          <t>Laguna</t>
        </is>
      </c>
      <c r="I134" s="27" t="n">
        <v>13.888979</v>
      </c>
      <c r="J134" s="27" t="n">
        <v>122.126444</v>
      </c>
      <c r="K134" s="10" t="inlineStr">
        <is>
          <t>R</t>
        </is>
      </c>
      <c r="L134" s="12" t="n">
        <v>491</v>
      </c>
      <c r="M134" s="14" t="n">
        <v>3.8</v>
      </c>
      <c r="N134" s="12">
        <f>ROUND(L134/M134, 0)</f>
        <v/>
      </c>
      <c r="O134" s="12">
        <f>ROUND(N134*'Methodology &amp; Assumptions'!$B$5, 0)</f>
        <v/>
      </c>
      <c r="P134" s="10" t="inlineStr">
        <is>
          <t>Single Carrier (Band n50, 100MHz TDD)</t>
        </is>
      </c>
      <c r="Q134" s="13">
        <f>ROUNDUP(O134/'Methodology &amp; Assumptions'!$B$6, 0)</f>
        <v/>
      </c>
      <c r="R134" s="13" t="n">
        <v>1</v>
      </c>
      <c r="S134" s="14" t="n">
        <v>4.27</v>
      </c>
      <c r="T134" s="14" t="n">
        <v>2.62</v>
      </c>
      <c r="U134" s="26">
        <f>IF(X134&gt;='Methodology &amp; Assumptions'!$B$7, "Tier 1 Critical GIDA (Score ≥ 50.0)", IF(X134&gt;='Methodology &amp; Assumptions'!$B$8, "Tier 2 High GIDA (Score 40.0–49.9)", "Tier 3 Moderate GIDA (Score &lt; 40.0)"))</f>
        <v/>
      </c>
      <c r="V134" s="26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W134" s="28" t="n">
        <v>0.07200000000000001</v>
      </c>
      <c r="X134" s="14" t="n">
        <v>57.15</v>
      </c>
      <c r="Y134" s="14">
        <f>ROUND(MIN(100, (X134/69.91)*100), 2)</f>
        <v/>
      </c>
    </row>
    <row r="135">
      <c r="A135" s="10" t="n">
        <v>1</v>
      </c>
      <c r="B135" s="10" t="n">
        <v>131</v>
      </c>
      <c r="C135" s="10" t="n">
        <v>131</v>
      </c>
      <c r="D135" s="10" t="inlineStr">
        <is>
          <t>0405622045</t>
        </is>
      </c>
      <c r="E135" s="26" t="inlineStr">
        <is>
          <t>Region IV-A (CALABARZON)</t>
        </is>
      </c>
      <c r="F135" s="26" t="inlineStr">
        <is>
          <t>Quezon</t>
        </is>
      </c>
      <c r="G135" s="26" t="inlineStr">
        <is>
          <t>Lopez</t>
        </is>
      </c>
      <c r="H135" s="26" t="inlineStr">
        <is>
          <t>Mabini</t>
        </is>
      </c>
      <c r="I135" s="27" t="n">
        <v>13.848476</v>
      </c>
      <c r="J135" s="27" t="n">
        <v>122.29446</v>
      </c>
      <c r="K135" s="10" t="inlineStr">
        <is>
          <t>R</t>
        </is>
      </c>
      <c r="L135" s="12" t="n">
        <v>105</v>
      </c>
      <c r="M135" s="14" t="n">
        <v>3.8</v>
      </c>
      <c r="N135" s="12">
        <f>ROUND(L135/M135, 0)</f>
        <v/>
      </c>
      <c r="O135" s="12">
        <f>ROUND(N135*'Methodology &amp; Assumptions'!$B$5, 0)</f>
        <v/>
      </c>
      <c r="P135" s="10" t="inlineStr">
        <is>
          <t>Single Carrier (Band n50, 100MHz TDD)</t>
        </is>
      </c>
      <c r="Q135" s="13">
        <f>ROUNDUP(O135/'Methodology &amp; Assumptions'!$B$6, 0)</f>
        <v/>
      </c>
      <c r="R135" s="13" t="n">
        <v>1</v>
      </c>
      <c r="S135" s="14" t="n">
        <v>5.54</v>
      </c>
      <c r="T135" s="14" t="n">
        <v>3.64</v>
      </c>
      <c r="U135" s="26">
        <f>IF(X135&gt;='Methodology &amp; Assumptions'!$B$7, "Tier 1 Critical GIDA (Score ≥ 50.0)", IF(X135&gt;='Methodology &amp; Assumptions'!$B$8, "Tier 2 High GIDA (Score 40.0–49.9)", "Tier 3 Moderate GIDA (Score &lt; 40.0)"))</f>
        <v/>
      </c>
      <c r="V135" s="26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W135" s="28" t="n">
        <v>0.07200000000000001</v>
      </c>
      <c r="X135" s="14" t="n">
        <v>57.12</v>
      </c>
      <c r="Y135" s="14">
        <f>ROUND(MIN(100, (X135/69.91)*100), 2)</f>
        <v/>
      </c>
    </row>
    <row r="136">
      <c r="A136" s="10" t="n">
        <v>1</v>
      </c>
      <c r="B136" s="10" t="n">
        <v>132</v>
      </c>
      <c r="C136" s="10" t="n">
        <v>132</v>
      </c>
      <c r="D136" s="10" t="inlineStr">
        <is>
          <t>0307113012</t>
        </is>
      </c>
      <c r="E136" s="26" t="inlineStr">
        <is>
          <t>Region III (Central Luzon)</t>
        </is>
      </c>
      <c r="F136" s="26" t="inlineStr">
        <is>
          <t>Zambales</t>
        </is>
      </c>
      <c r="G136" s="26" t="inlineStr">
        <is>
          <t>Santa Cruz</t>
        </is>
      </c>
      <c r="H136" s="26" t="inlineStr">
        <is>
          <t>Lomboy</t>
        </is>
      </c>
      <c r="I136" s="27" t="n">
        <v>15.778388</v>
      </c>
      <c r="J136" s="27" t="n">
        <v>119.942607</v>
      </c>
      <c r="K136" s="10" t="inlineStr">
        <is>
          <t>R</t>
        </is>
      </c>
      <c r="L136" s="12" t="n">
        <v>1889</v>
      </c>
      <c r="M136" s="14" t="n">
        <v>3.8</v>
      </c>
      <c r="N136" s="12">
        <f>ROUND(L136/M136, 0)</f>
        <v/>
      </c>
      <c r="O136" s="12">
        <f>ROUND(N136*'Methodology &amp; Assumptions'!$B$5, 0)</f>
        <v/>
      </c>
      <c r="P136" s="10" t="inlineStr">
        <is>
          <t>Single Carrier (Band n50, 100MHz TDD)</t>
        </is>
      </c>
      <c r="Q136" s="13">
        <f>ROUNDUP(O136/'Methodology &amp; Assumptions'!$B$6, 0)</f>
        <v/>
      </c>
      <c r="R136" s="13" t="n">
        <v>1</v>
      </c>
      <c r="S136" s="14" t="n">
        <v>3.75</v>
      </c>
      <c r="T136" s="14" t="n">
        <v>3.75</v>
      </c>
      <c r="U136" s="26">
        <f>IF(X136&gt;='Methodology &amp; Assumptions'!$B$7, "Tier 1 Critical GIDA (Score ≥ 50.0)", IF(X136&gt;='Methodology &amp; Assumptions'!$B$8, "Tier 2 High GIDA (Score 40.0–49.9)", "Tier 3 Moderate GIDA (Score &lt; 40.0)"))</f>
        <v/>
      </c>
      <c r="V136" s="26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W136" s="28" t="n">
        <v>0.083</v>
      </c>
      <c r="X136" s="14" t="n">
        <v>57.09</v>
      </c>
      <c r="Y136" s="14">
        <f>ROUND(MIN(100, (X136/69.91)*100), 2)</f>
        <v/>
      </c>
    </row>
    <row r="137">
      <c r="A137" s="10" t="n">
        <v>1</v>
      </c>
      <c r="B137" s="10" t="n">
        <v>133</v>
      </c>
      <c r="C137" s="10" t="n">
        <v>133</v>
      </c>
      <c r="D137" s="10" t="inlineStr">
        <is>
          <t>PH0000133</t>
        </is>
      </c>
      <c r="E137" s="26" t="inlineStr">
        <is>
          <t>VI</t>
        </is>
      </c>
      <c r="F137" s="26" t="inlineStr">
        <is>
          <t>Iloilo</t>
        </is>
      </c>
      <c r="G137" s="26" t="inlineStr">
        <is>
          <t>Iloilo City</t>
        </is>
      </c>
      <c r="H137" s="26" t="inlineStr">
        <is>
          <t>Kauswagan</t>
        </is>
      </c>
      <c r="I137" s="27" t="n">
        <v>10.719911</v>
      </c>
      <c r="J137" s="27" t="n">
        <v>122.514878</v>
      </c>
      <c r="K137" s="10" t="inlineStr">
        <is>
          <t>R</t>
        </is>
      </c>
      <c r="L137" s="12" t="n">
        <v>2230</v>
      </c>
      <c r="M137" s="14" t="n">
        <v>3.8</v>
      </c>
      <c r="N137" s="12">
        <f>ROUND(L137/M137, 0)</f>
        <v/>
      </c>
      <c r="O137" s="12">
        <f>ROUND(N137*'Methodology &amp; Assumptions'!$B$5, 0)</f>
        <v/>
      </c>
      <c r="P137" s="10" t="inlineStr">
        <is>
          <t>Single Carrier (Band n50, 100MHz TDD)</t>
        </is>
      </c>
      <c r="Q137" s="13">
        <f>ROUNDUP(O137/'Methodology &amp; Assumptions'!$B$6, 0)</f>
        <v/>
      </c>
      <c r="R137" s="13" t="n">
        <v>1</v>
      </c>
      <c r="S137" s="14" t="n">
        <v>4.45</v>
      </c>
      <c r="T137" s="14" t="n">
        <v>2.59</v>
      </c>
      <c r="U137" s="26">
        <f>IF(X137&gt;='Methodology &amp; Assumptions'!$B$7, "Tier 1 Critical GIDA (Score ≥ 50.0)", IF(X137&gt;='Methodology &amp; Assumptions'!$B$8, "Tier 2 High GIDA (Score 40.0–49.9)", "Tier 3 Moderate GIDA (Score &lt; 40.0)"))</f>
        <v/>
      </c>
      <c r="V137" s="26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W137" s="28" t="n">
        <v>0.156</v>
      </c>
      <c r="X137" s="14" t="n">
        <v>57.05</v>
      </c>
      <c r="Y137" s="14">
        <f>ROUND(MIN(100, (X137/69.91)*100), 2)</f>
        <v/>
      </c>
    </row>
    <row r="138">
      <c r="A138" s="10" t="n">
        <v>1</v>
      </c>
      <c r="B138" s="10" t="n">
        <v>134</v>
      </c>
      <c r="C138" s="10" t="n">
        <v>134</v>
      </c>
      <c r="D138" s="10" t="inlineStr">
        <is>
          <t>PH0000134</t>
        </is>
      </c>
      <c r="E138" s="26" t="inlineStr">
        <is>
          <t>X</t>
        </is>
      </c>
      <c r="F138" s="26" t="inlineStr">
        <is>
          <t>Misamis Oriental</t>
        </is>
      </c>
      <c r="G138" s="26" t="inlineStr">
        <is>
          <t>Cagayan De Oro City</t>
        </is>
      </c>
      <c r="H138" s="26" t="inlineStr">
        <is>
          <t>Barangay 12 (Pob.)</t>
        </is>
      </c>
      <c r="I138" s="27" t="n">
        <v>8.440799999999999</v>
      </c>
      <c r="J138" s="27" t="n">
        <v>124.636677</v>
      </c>
      <c r="K138" s="10" t="inlineStr">
        <is>
          <t>R</t>
        </is>
      </c>
      <c r="L138" s="12" t="n">
        <v>2272</v>
      </c>
      <c r="M138" s="14" t="n">
        <v>3.9</v>
      </c>
      <c r="N138" s="12">
        <f>ROUND(L138/M138, 0)</f>
        <v/>
      </c>
      <c r="O138" s="12">
        <f>ROUND(N138*'Methodology &amp; Assumptions'!$B$5, 0)</f>
        <v/>
      </c>
      <c r="P138" s="10" t="inlineStr">
        <is>
          <t>Single Carrier (Band n50, 100MHz TDD)</t>
        </is>
      </c>
      <c r="Q138" s="13">
        <f>ROUNDUP(O138/'Methodology &amp; Assumptions'!$B$6, 0)</f>
        <v/>
      </c>
      <c r="R138" s="13" t="n">
        <v>1</v>
      </c>
      <c r="S138" s="14" t="n">
        <v>1.95</v>
      </c>
      <c r="T138" s="14" t="n">
        <v>1.74</v>
      </c>
      <c r="U138" s="26">
        <f>IF(X138&gt;='Methodology &amp; Assumptions'!$B$7, "Tier 1 Critical GIDA (Score ≥ 50.0)", IF(X138&gt;='Methodology &amp; Assumptions'!$B$8, "Tier 2 High GIDA (Score 40.0–49.9)", "Tier 3 Moderate GIDA (Score &lt; 40.0)"))</f>
        <v/>
      </c>
      <c r="V138" s="26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W138" s="28" t="n">
        <v>0.234</v>
      </c>
      <c r="X138" s="14" t="n">
        <v>57.05</v>
      </c>
      <c r="Y138" s="14">
        <f>ROUND(MIN(100, (X138/69.91)*100), 2)</f>
        <v/>
      </c>
    </row>
    <row r="139">
      <c r="A139" s="10" t="n">
        <v>1</v>
      </c>
      <c r="B139" s="10" t="n">
        <v>135</v>
      </c>
      <c r="C139" s="10" t="n">
        <v>135</v>
      </c>
      <c r="D139" s="10" t="inlineStr">
        <is>
          <t>PH0000135</t>
        </is>
      </c>
      <c r="E139" s="26" t="inlineStr">
        <is>
          <t>VI</t>
        </is>
      </c>
      <c r="F139" s="26" t="inlineStr">
        <is>
          <t>Iloilo</t>
        </is>
      </c>
      <c r="G139" s="26" t="inlineStr">
        <is>
          <t>Iloilo City</t>
        </is>
      </c>
      <c r="H139" s="26" t="inlineStr">
        <is>
          <t>Monica Blumentritt</t>
        </is>
      </c>
      <c r="I139" s="27" t="n">
        <v>10.730409</v>
      </c>
      <c r="J139" s="27" t="n">
        <v>122.58102</v>
      </c>
      <c r="K139" s="10" t="inlineStr">
        <is>
          <t>R</t>
        </is>
      </c>
      <c r="L139" s="12" t="n">
        <v>2230</v>
      </c>
      <c r="M139" s="14" t="n">
        <v>3.8</v>
      </c>
      <c r="N139" s="12">
        <f>ROUND(L139/M139, 0)</f>
        <v/>
      </c>
      <c r="O139" s="12">
        <f>ROUND(N139*'Methodology &amp; Assumptions'!$B$5, 0)</f>
        <v/>
      </c>
      <c r="P139" s="10" t="inlineStr">
        <is>
          <t>Single Carrier (Band n50, 100MHz TDD)</t>
        </is>
      </c>
      <c r="Q139" s="13">
        <f>ROUNDUP(O139/'Methodology &amp; Assumptions'!$B$6, 0)</f>
        <v/>
      </c>
      <c r="R139" s="13" t="n">
        <v>1</v>
      </c>
      <c r="S139" s="14" t="n">
        <v>2.28</v>
      </c>
      <c r="T139" s="14" t="n">
        <v>2.21</v>
      </c>
      <c r="U139" s="26">
        <f>IF(X139&gt;='Methodology &amp; Assumptions'!$B$7, "Tier 1 Critical GIDA (Score ≥ 50.0)", IF(X139&gt;='Methodology &amp; Assumptions'!$B$8, "Tier 2 High GIDA (Score 40.0–49.9)", "Tier 3 Moderate GIDA (Score &lt; 40.0)"))</f>
        <v/>
      </c>
      <c r="V139" s="26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W139" s="28" t="n">
        <v>0.156</v>
      </c>
      <c r="X139" s="14" t="n">
        <v>57.05</v>
      </c>
      <c r="Y139" s="14">
        <f>ROUND(MIN(100, (X139/69.91)*100), 2)</f>
        <v/>
      </c>
    </row>
    <row r="140">
      <c r="A140" s="10" t="n">
        <v>1</v>
      </c>
      <c r="B140" s="10" t="n">
        <v>136</v>
      </c>
      <c r="C140" s="10" t="n">
        <v>136</v>
      </c>
      <c r="D140" s="10" t="inlineStr">
        <is>
          <t>0405607084</t>
        </is>
      </c>
      <c r="E140" s="26" t="inlineStr">
        <is>
          <t>Region IV-A (CALABARZON)</t>
        </is>
      </c>
      <c r="F140" s="26" t="inlineStr">
        <is>
          <t>Quezon</t>
        </is>
      </c>
      <c r="G140" s="26" t="inlineStr">
        <is>
          <t>Calauag</t>
        </is>
      </c>
      <c r="H140" s="26" t="inlineStr">
        <is>
          <t>Tamis</t>
        </is>
      </c>
      <c r="I140" s="27" t="n">
        <v>14.189121</v>
      </c>
      <c r="J140" s="27" t="n">
        <v>122.259473</v>
      </c>
      <c r="K140" s="10" t="inlineStr">
        <is>
          <t>R</t>
        </is>
      </c>
      <c r="L140" s="12" t="n">
        <v>612</v>
      </c>
      <c r="M140" s="14" t="n">
        <v>3.8</v>
      </c>
      <c r="N140" s="12">
        <f>ROUND(L140/M140, 0)</f>
        <v/>
      </c>
      <c r="O140" s="12">
        <f>ROUND(N140*'Methodology &amp; Assumptions'!$B$5, 0)</f>
        <v/>
      </c>
      <c r="P140" s="10" t="inlineStr">
        <is>
          <t>Single Carrier (Band n50, 100MHz TDD)</t>
        </is>
      </c>
      <c r="Q140" s="13">
        <f>ROUNDUP(O140/'Methodology &amp; Assumptions'!$B$6, 0)</f>
        <v/>
      </c>
      <c r="R140" s="13" t="n">
        <v>1</v>
      </c>
      <c r="S140" s="14" t="n">
        <v>7.34</v>
      </c>
      <c r="T140" s="14" t="n">
        <v>13.22</v>
      </c>
      <c r="U140" s="26">
        <f>IF(X140&gt;='Methodology &amp; Assumptions'!$B$7, "Tier 1 Critical GIDA (Score ≥ 50.0)", IF(X140&gt;='Methodology &amp; Assumptions'!$B$8, "Tier 2 High GIDA (Score 40.0–49.9)", "Tier 3 Moderate GIDA (Score &lt; 40.0)"))</f>
        <v/>
      </c>
      <c r="V140" s="26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W140" s="28" t="n">
        <v>0.07200000000000001</v>
      </c>
      <c r="X140" s="14" t="n">
        <v>57.04</v>
      </c>
      <c r="Y140" s="14">
        <f>ROUND(MIN(100, (X140/69.91)*100), 2)</f>
        <v/>
      </c>
    </row>
    <row r="141">
      <c r="A141" s="10" t="n">
        <v>1</v>
      </c>
      <c r="B141" s="10" t="n">
        <v>137</v>
      </c>
      <c r="C141" s="10" t="n">
        <v>137</v>
      </c>
      <c r="D141" s="10" t="inlineStr">
        <is>
          <t>PH0000137</t>
        </is>
      </c>
      <c r="E141" s="26" t="inlineStr">
        <is>
          <t>II</t>
        </is>
      </c>
      <c r="F141" s="26" t="inlineStr">
        <is>
          <t>Isabela</t>
        </is>
      </c>
      <c r="G141" s="26" t="inlineStr">
        <is>
          <t>Ilagan City</t>
        </is>
      </c>
      <c r="H141" s="26" t="inlineStr">
        <is>
          <t>Villa Imelda</t>
        </is>
      </c>
      <c r="I141" s="27" t="n">
        <v>17.10803</v>
      </c>
      <c r="J141" s="27" t="n">
        <v>122.01381</v>
      </c>
      <c r="K141" s="10" t="inlineStr">
        <is>
          <t>R</t>
        </is>
      </c>
      <c r="L141" s="12" t="n">
        <v>2276</v>
      </c>
      <c r="M141" s="14" t="n">
        <v>3.8</v>
      </c>
      <c r="N141" s="12">
        <f>ROUND(L141/M141, 0)</f>
        <v/>
      </c>
      <c r="O141" s="12">
        <f>ROUND(N141*'Methodology &amp; Assumptions'!$B$5, 0)</f>
        <v/>
      </c>
      <c r="P141" s="10" t="inlineStr">
        <is>
          <t>Single Carrier (Band n50, 100MHz TDD)</t>
        </is>
      </c>
      <c r="Q141" s="13">
        <f>ROUNDUP(O141/'Methodology &amp; Assumptions'!$B$6, 0)</f>
        <v/>
      </c>
      <c r="R141" s="13" t="n">
        <v>1</v>
      </c>
      <c r="S141" s="14" t="n">
        <v>2.48</v>
      </c>
      <c r="T141" s="14" t="n">
        <v>10.49</v>
      </c>
      <c r="U141" s="26">
        <f>IF(X141&gt;='Methodology &amp; Assumptions'!$B$7, "Tier 1 Critical GIDA (Score ≥ 50.0)", IF(X141&gt;='Methodology &amp; Assumptions'!$B$8, "Tier 2 High GIDA (Score 40.0–49.9)", "Tier 3 Moderate GIDA (Score &lt; 40.0)"))</f>
        <v/>
      </c>
      <c r="V141" s="26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W141" s="28" t="n">
        <v>0.083</v>
      </c>
      <c r="X141" s="14" t="n">
        <v>57.03</v>
      </c>
      <c r="Y141" s="14">
        <f>ROUND(MIN(100, (X141/69.91)*100), 2)</f>
        <v/>
      </c>
    </row>
    <row r="142">
      <c r="A142" s="10" t="n">
        <v>1</v>
      </c>
      <c r="B142" s="10" t="n">
        <v>138</v>
      </c>
      <c r="C142" s="10" t="n">
        <v>138</v>
      </c>
      <c r="D142" s="10" t="inlineStr">
        <is>
          <t>PH0000138</t>
        </is>
      </c>
      <c r="E142" s="26" t="inlineStr">
        <is>
          <t>IV-B</t>
        </is>
      </c>
      <c r="F142" s="26" t="inlineStr">
        <is>
          <t>Palawan</t>
        </is>
      </c>
      <c r="G142" s="26" t="inlineStr">
        <is>
          <t>Puerto Princesa City</t>
        </is>
      </c>
      <c r="H142" s="26" t="inlineStr">
        <is>
          <t>Manggahan (Pob.)</t>
        </is>
      </c>
      <c r="I142" s="27" t="n">
        <v>9.737828</v>
      </c>
      <c r="J142" s="27" t="n">
        <v>118.737557</v>
      </c>
      <c r="K142" s="10" t="inlineStr">
        <is>
          <t>R</t>
        </is>
      </c>
      <c r="L142" s="12" t="n">
        <v>2597</v>
      </c>
      <c r="M142" s="14" t="n">
        <v>3.9</v>
      </c>
      <c r="N142" s="12">
        <f>ROUND(L142/M142, 0)</f>
        <v/>
      </c>
      <c r="O142" s="12">
        <f>ROUND(N142*'Methodology &amp; Assumptions'!$B$5, 0)</f>
        <v/>
      </c>
      <c r="P142" s="10" t="inlineStr">
        <is>
          <t>Single Carrier (Band n50, 100MHz TDD)</t>
        </is>
      </c>
      <c r="Q142" s="13">
        <f>ROUNDUP(O142/'Methodology &amp; Assumptions'!$B$6, 0)</f>
        <v/>
      </c>
      <c r="R142" s="13" t="n">
        <v>1</v>
      </c>
      <c r="S142" s="14" t="n">
        <v>0.53</v>
      </c>
      <c r="T142" s="14" t="n">
        <v>2.31</v>
      </c>
      <c r="U142" s="26">
        <f>IF(X142&gt;='Methodology &amp; Assumptions'!$B$7, "Tier 1 Critical GIDA (Score ≥ 50.0)", IF(X142&gt;='Methodology &amp; Assumptions'!$B$8, "Tier 2 High GIDA (Score 40.0–49.9)", "Tier 3 Moderate GIDA (Score &lt; 40.0)"))</f>
        <v/>
      </c>
      <c r="V142" s="26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W142" s="28" t="n">
        <v>0.109</v>
      </c>
      <c r="X142" s="14" t="n">
        <v>57.02</v>
      </c>
      <c r="Y142" s="14">
        <f>ROUND(MIN(100, (X142/69.91)*100), 2)</f>
        <v/>
      </c>
    </row>
    <row r="143">
      <c r="A143" s="10" t="n">
        <v>1</v>
      </c>
      <c r="B143" s="10" t="n">
        <v>139</v>
      </c>
      <c r="C143" s="10" t="n">
        <v>139</v>
      </c>
      <c r="D143" s="10" t="inlineStr">
        <is>
          <t>0205703033</t>
        </is>
      </c>
      <c r="E143" s="26" t="inlineStr">
        <is>
          <t>Region II (Cagayan Valley)</t>
        </is>
      </c>
      <c r="F143" s="26" t="inlineStr">
        <is>
          <t>Quirino</t>
        </is>
      </c>
      <c r="G143" s="26" t="inlineStr">
        <is>
          <t>Diffun</t>
        </is>
      </c>
      <c r="H143" s="26" t="inlineStr">
        <is>
          <t>Don Faustino Pagaduan</t>
        </is>
      </c>
      <c r="I143" s="27" t="n">
        <v>16.59874</v>
      </c>
      <c r="J143" s="27" t="n">
        <v>121.38961</v>
      </c>
      <c r="K143" s="10" t="inlineStr">
        <is>
          <t>R</t>
        </is>
      </c>
      <c r="L143" s="12" t="n">
        <v>521</v>
      </c>
      <c r="M143" s="14" t="n">
        <v>3.9</v>
      </c>
      <c r="N143" s="12">
        <f>ROUND(L143/M143, 0)</f>
        <v/>
      </c>
      <c r="O143" s="12">
        <f>ROUND(N143*'Methodology &amp; Assumptions'!$B$5, 0)</f>
        <v/>
      </c>
      <c r="P143" s="10" t="inlineStr">
        <is>
          <t>Single Carrier (Band n50, 100MHz TDD)</t>
        </is>
      </c>
      <c r="Q143" s="13">
        <f>ROUNDUP(O143/'Methodology &amp; Assumptions'!$B$6, 0)</f>
        <v/>
      </c>
      <c r="R143" s="13" t="n">
        <v>1</v>
      </c>
      <c r="S143" s="14" t="n">
        <v>7.13</v>
      </c>
      <c r="T143" s="14" t="n">
        <v>4.79</v>
      </c>
      <c r="U143" s="26">
        <f>IF(X143&gt;='Methodology &amp; Assumptions'!$B$7, "Tier 1 Critical GIDA (Score ≥ 50.0)", IF(X143&gt;='Methodology &amp; Assumptions'!$B$8, "Tier 2 High GIDA (Score 40.0–49.9)", "Tier 3 Moderate GIDA (Score &lt; 40.0)"))</f>
        <v/>
      </c>
      <c r="V143" s="26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W143" s="28" t="n">
        <v>0.083</v>
      </c>
      <c r="X143" s="14" t="n">
        <v>56.99</v>
      </c>
      <c r="Y143" s="14">
        <f>ROUND(MIN(100, (X143/69.91)*100), 2)</f>
        <v/>
      </c>
    </row>
    <row r="144">
      <c r="A144" s="10" t="n">
        <v>1</v>
      </c>
      <c r="B144" s="10" t="n">
        <v>140</v>
      </c>
      <c r="C144" s="10" t="n">
        <v>140</v>
      </c>
      <c r="D144" s="10" t="inlineStr">
        <is>
          <t>PH0000140</t>
        </is>
      </c>
      <c r="E144" s="26" t="inlineStr">
        <is>
          <t>X</t>
        </is>
      </c>
      <c r="F144" s="26" t="inlineStr">
        <is>
          <t>Misamis Oriental</t>
        </is>
      </c>
      <c r="G144" s="26" t="inlineStr">
        <is>
          <t>Cagayan De Oro City</t>
        </is>
      </c>
      <c r="H144" s="26" t="inlineStr">
        <is>
          <t>Barangay 24 (Pob.)</t>
        </is>
      </c>
      <c r="I144" s="27" t="n">
        <v>8.427282999999999</v>
      </c>
      <c r="J144" s="27" t="n">
        <v>124.628963</v>
      </c>
      <c r="K144" s="10" t="inlineStr">
        <is>
          <t>R</t>
        </is>
      </c>
      <c r="L144" s="12" t="n">
        <v>2272</v>
      </c>
      <c r="M144" s="14" t="n">
        <v>3.9</v>
      </c>
      <c r="N144" s="12">
        <f>ROUND(L144/M144, 0)</f>
        <v/>
      </c>
      <c r="O144" s="12">
        <f>ROUND(N144*'Methodology &amp; Assumptions'!$B$5, 0)</f>
        <v/>
      </c>
      <c r="P144" s="10" t="inlineStr">
        <is>
          <t>Single Carrier (Band n50, 100MHz TDD)</t>
        </is>
      </c>
      <c r="Q144" s="13">
        <f>ROUNDUP(O144/'Methodology &amp; Assumptions'!$B$6, 0)</f>
        <v/>
      </c>
      <c r="R144" s="13" t="n">
        <v>1</v>
      </c>
      <c r="S144" s="14" t="n">
        <v>1.41</v>
      </c>
      <c r="T144" s="14" t="n">
        <v>1.33</v>
      </c>
      <c r="U144" s="26">
        <f>IF(X144&gt;='Methodology &amp; Assumptions'!$B$7, "Tier 1 Critical GIDA (Score ≥ 50.0)", IF(X144&gt;='Methodology &amp; Assumptions'!$B$8, "Tier 2 High GIDA (Score 40.0–49.9)", "Tier 3 Moderate GIDA (Score &lt; 40.0)"))</f>
        <v/>
      </c>
      <c r="V144" s="26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W144" s="28" t="n">
        <v>0.234</v>
      </c>
      <c r="X144" s="14" t="n">
        <v>56.98</v>
      </c>
      <c r="Y144" s="14">
        <f>ROUND(MIN(100, (X144/69.91)*100), 2)</f>
        <v/>
      </c>
    </row>
    <row r="145">
      <c r="A145" s="10" t="n">
        <v>1</v>
      </c>
      <c r="B145" s="10" t="n">
        <v>141</v>
      </c>
      <c r="C145" s="10" t="n">
        <v>141</v>
      </c>
      <c r="D145" s="10" t="inlineStr">
        <is>
          <t>1403213008</t>
        </is>
      </c>
      <c r="E145" s="26" t="inlineStr">
        <is>
          <t>Cordillera Administrative Region (CAR)</t>
        </is>
      </c>
      <c r="F145" s="26" t="inlineStr">
        <is>
          <t>Kalinga</t>
        </is>
      </c>
      <c r="G145" s="26" t="inlineStr">
        <is>
          <t>City of Tabuk</t>
        </is>
      </c>
      <c r="H145" s="26" t="inlineStr">
        <is>
          <t>Bulanao</t>
        </is>
      </c>
      <c r="I145" s="27" t="n">
        <v>17.407674</v>
      </c>
      <c r="J145" s="27" t="n">
        <v>121.445141</v>
      </c>
      <c r="K145" s="10" t="inlineStr">
        <is>
          <t>U</t>
        </is>
      </c>
      <c r="L145" s="12" t="n">
        <v>20300</v>
      </c>
      <c r="M145" s="14" t="n">
        <v>4.3</v>
      </c>
      <c r="N145" s="12">
        <f>ROUND(L145/M145, 0)</f>
        <v/>
      </c>
      <c r="O145" s="12">
        <f>ROUND(N145*'Methodology &amp; Assumptions'!$B$5, 0)</f>
        <v/>
      </c>
      <c r="P145" s="10" t="inlineStr">
        <is>
          <t>Single Carrier (Band n50, 100MHz TDD)</t>
        </is>
      </c>
      <c r="Q145" s="13">
        <f>ROUNDUP(O145/'Methodology &amp; Assumptions'!$B$6, 0)</f>
        <v/>
      </c>
      <c r="R145" s="13" t="n">
        <v>1</v>
      </c>
      <c r="S145" s="14" t="n">
        <v>0.64</v>
      </c>
      <c r="T145" s="14" t="n">
        <v>0.55</v>
      </c>
      <c r="U145" s="26">
        <f>IF(X145&gt;='Methodology &amp; Assumptions'!$B$7, "Tier 1 Critical GIDA (Score ≥ 50.0)", IF(X145&gt;='Methodology &amp; Assumptions'!$B$8, "Tier 2 High GIDA (Score 40.0–49.9)", "Tier 3 Moderate GIDA (Score &lt; 40.0)"))</f>
        <v/>
      </c>
      <c r="V145" s="26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W145" s="28" t="n">
        <v>0.109</v>
      </c>
      <c r="X145" s="14" t="n">
        <v>56.98</v>
      </c>
      <c r="Y145" s="14">
        <f>ROUND(MIN(100, (X145/69.91)*100), 2)</f>
        <v/>
      </c>
    </row>
    <row r="146">
      <c r="A146" s="10" t="n">
        <v>1</v>
      </c>
      <c r="B146" s="10" t="n">
        <v>142</v>
      </c>
      <c r="C146" s="10" t="n">
        <v>142</v>
      </c>
      <c r="D146" s="10" t="inlineStr">
        <is>
          <t>PH0000142</t>
        </is>
      </c>
      <c r="E146" s="26" t="inlineStr">
        <is>
          <t>X</t>
        </is>
      </c>
      <c r="F146" s="26" t="inlineStr">
        <is>
          <t>Misamis Oriental</t>
        </is>
      </c>
      <c r="G146" s="26" t="inlineStr">
        <is>
          <t>Cagayan De Oro City</t>
        </is>
      </c>
      <c r="H146" s="26" t="inlineStr">
        <is>
          <t>Barangay 1 (Pob.)</t>
        </is>
      </c>
      <c r="I146" s="27" t="n">
        <v>8.444870999999999</v>
      </c>
      <c r="J146" s="27" t="n">
        <v>124.624922</v>
      </c>
      <c r="K146" s="10" t="inlineStr">
        <is>
          <t>R</t>
        </is>
      </c>
      <c r="L146" s="12" t="n">
        <v>2272</v>
      </c>
      <c r="M146" s="14" t="n">
        <v>3.9</v>
      </c>
      <c r="N146" s="12">
        <f>ROUND(L146/M146, 0)</f>
        <v/>
      </c>
      <c r="O146" s="12">
        <f>ROUND(N146*'Methodology &amp; Assumptions'!$B$5, 0)</f>
        <v/>
      </c>
      <c r="P146" s="10" t="inlineStr">
        <is>
          <t>Single Carrier (Band n50, 100MHz TDD)</t>
        </is>
      </c>
      <c r="Q146" s="13">
        <f>ROUNDUP(O146/'Methodology &amp; Assumptions'!$B$6, 0)</f>
        <v/>
      </c>
      <c r="R146" s="13" t="n">
        <v>1</v>
      </c>
      <c r="S146" s="14" t="n">
        <v>1.15</v>
      </c>
      <c r="T146" s="14" t="n">
        <v>0.48</v>
      </c>
      <c r="U146" s="26">
        <f>IF(X146&gt;='Methodology &amp; Assumptions'!$B$7, "Tier 1 Critical GIDA (Score ≥ 50.0)", IF(X146&gt;='Methodology &amp; Assumptions'!$B$8, "Tier 2 High GIDA (Score 40.0–49.9)", "Tier 3 Moderate GIDA (Score &lt; 40.0)"))</f>
        <v/>
      </c>
      <c r="V146" s="26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W146" s="28" t="n">
        <v>0.234</v>
      </c>
      <c r="X146" s="14" t="n">
        <v>56.97</v>
      </c>
      <c r="Y146" s="14">
        <f>ROUND(MIN(100, (X146/69.91)*100), 2)</f>
        <v/>
      </c>
    </row>
    <row r="147">
      <c r="A147" s="10" t="n">
        <v>1</v>
      </c>
      <c r="B147" s="10" t="n">
        <v>143</v>
      </c>
      <c r="C147" s="10" t="n">
        <v>143</v>
      </c>
      <c r="D147" s="10" t="inlineStr">
        <is>
          <t>PH0000143</t>
        </is>
      </c>
      <c r="E147" s="26" t="inlineStr">
        <is>
          <t>X</t>
        </is>
      </c>
      <c r="F147" s="26" t="inlineStr">
        <is>
          <t>Misamis Oriental</t>
        </is>
      </c>
      <c r="G147" s="26" t="inlineStr">
        <is>
          <t>Cagayan De Oro City</t>
        </is>
      </c>
      <c r="H147" s="26" t="inlineStr">
        <is>
          <t>Barangay 5 (Pob.)</t>
        </is>
      </c>
      <c r="I147" s="27" t="n">
        <v>8.433116999999999</v>
      </c>
      <c r="J147" s="27" t="n">
        <v>124.641965</v>
      </c>
      <c r="K147" s="10" t="inlineStr">
        <is>
          <t>R</t>
        </is>
      </c>
      <c r="L147" s="12" t="n">
        <v>2272</v>
      </c>
      <c r="M147" s="14" t="n">
        <v>3.9</v>
      </c>
      <c r="N147" s="12">
        <f>ROUND(L147/M147, 0)</f>
        <v/>
      </c>
      <c r="O147" s="12">
        <f>ROUND(N147*'Methodology &amp; Assumptions'!$B$5, 0)</f>
        <v/>
      </c>
      <c r="P147" s="10" t="inlineStr">
        <is>
          <t>Single Carrier (Band n50, 100MHz TDD)</t>
        </is>
      </c>
      <c r="Q147" s="13">
        <f>ROUNDUP(O147/'Methodology &amp; Assumptions'!$B$6, 0)</f>
        <v/>
      </c>
      <c r="R147" s="13" t="n">
        <v>1</v>
      </c>
      <c r="S147" s="14" t="n">
        <v>2.47</v>
      </c>
      <c r="T147" s="14" t="n">
        <v>2.52</v>
      </c>
      <c r="U147" s="26">
        <f>IF(X147&gt;='Methodology &amp; Assumptions'!$B$7, "Tier 1 Critical GIDA (Score ≥ 50.0)", IF(X147&gt;='Methodology &amp; Assumptions'!$B$8, "Tier 2 High GIDA (Score 40.0–49.9)", "Tier 3 Moderate GIDA (Score &lt; 40.0)"))</f>
        <v/>
      </c>
      <c r="V147" s="26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W147" s="28" t="n">
        <v>0.234</v>
      </c>
      <c r="X147" s="14" t="n">
        <v>56.96</v>
      </c>
      <c r="Y147" s="14">
        <f>ROUND(MIN(100, (X147/69.91)*100), 2)</f>
        <v/>
      </c>
    </row>
    <row r="148">
      <c r="A148" s="10" t="n">
        <v>1</v>
      </c>
      <c r="B148" s="10" t="n">
        <v>144</v>
      </c>
      <c r="C148" s="10" t="n">
        <v>144</v>
      </c>
      <c r="D148" s="10" t="inlineStr">
        <is>
          <t>PH0000144</t>
        </is>
      </c>
      <c r="E148" s="26" t="inlineStr">
        <is>
          <t>VI</t>
        </is>
      </c>
      <c r="F148" s="26" t="inlineStr">
        <is>
          <t>Iloilo</t>
        </is>
      </c>
      <c r="G148" s="26" t="inlineStr">
        <is>
          <t>Iloilo City</t>
        </is>
      </c>
      <c r="H148" s="26" t="inlineStr">
        <is>
          <t>Osmeña</t>
        </is>
      </c>
      <c r="I148" s="27" t="n">
        <v>10.676801</v>
      </c>
      <c r="J148" s="27" t="n">
        <v>122.53787</v>
      </c>
      <c r="K148" s="10" t="inlineStr">
        <is>
          <t>R</t>
        </is>
      </c>
      <c r="L148" s="12" t="n">
        <v>2230</v>
      </c>
      <c r="M148" s="14" t="n">
        <v>3.8</v>
      </c>
      <c r="N148" s="12">
        <f>ROUND(L148/M148, 0)</f>
        <v/>
      </c>
      <c r="O148" s="12">
        <f>ROUND(N148*'Methodology &amp; Assumptions'!$B$5, 0)</f>
        <v/>
      </c>
      <c r="P148" s="10" t="inlineStr">
        <is>
          <t>Single Carrier (Band n50, 100MHz TDD)</t>
        </is>
      </c>
      <c r="Q148" s="13">
        <f>ROUNDUP(O148/'Methodology &amp; Assumptions'!$B$6, 0)</f>
        <v/>
      </c>
      <c r="R148" s="13" t="n">
        <v>1</v>
      </c>
      <c r="S148" s="14" t="n">
        <v>1.63</v>
      </c>
      <c r="T148" s="14" t="n">
        <v>4.36</v>
      </c>
      <c r="U148" s="26">
        <f>IF(X148&gt;='Methodology &amp; Assumptions'!$B$7, "Tier 1 Critical GIDA (Score ≥ 50.0)", IF(X148&gt;='Methodology &amp; Assumptions'!$B$8, "Tier 2 High GIDA (Score 40.0–49.9)", "Tier 3 Moderate GIDA (Score &lt; 40.0)"))</f>
        <v/>
      </c>
      <c r="V148" s="26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W148" s="28" t="n">
        <v>0.156</v>
      </c>
      <c r="X148" s="14" t="n">
        <v>56.95</v>
      </c>
      <c r="Y148" s="14">
        <f>ROUND(MIN(100, (X148/69.91)*100), 2)</f>
        <v/>
      </c>
    </row>
    <row r="149">
      <c r="A149" s="10" t="n">
        <v>1</v>
      </c>
      <c r="B149" s="10" t="n">
        <v>145</v>
      </c>
      <c r="C149" s="10" t="n">
        <v>145</v>
      </c>
      <c r="D149" s="10" t="inlineStr">
        <is>
          <t>PH0000145</t>
        </is>
      </c>
      <c r="E149" s="26" t="inlineStr">
        <is>
          <t>VI</t>
        </is>
      </c>
      <c r="F149" s="26" t="inlineStr">
        <is>
          <t>Iloilo</t>
        </is>
      </c>
      <c r="G149" s="26" t="inlineStr">
        <is>
          <t>Iloilo City</t>
        </is>
      </c>
      <c r="H149" s="26" t="inlineStr">
        <is>
          <t>Tanza-Esperanza</t>
        </is>
      </c>
      <c r="I149" s="27" t="n">
        <v>10.69403</v>
      </c>
      <c r="J149" s="27" t="n">
        <v>122.559163</v>
      </c>
      <c r="K149" s="10" t="inlineStr">
        <is>
          <t>R</t>
        </is>
      </c>
      <c r="L149" s="12" t="n">
        <v>2230</v>
      </c>
      <c r="M149" s="14" t="n">
        <v>3.8</v>
      </c>
      <c r="N149" s="12">
        <f>ROUND(L149/M149, 0)</f>
        <v/>
      </c>
      <c r="O149" s="12">
        <f>ROUND(N149*'Methodology &amp; Assumptions'!$B$5, 0)</f>
        <v/>
      </c>
      <c r="P149" s="10" t="inlineStr">
        <is>
          <t>Single Carrier (Band n50, 100MHz TDD)</t>
        </is>
      </c>
      <c r="Q149" s="13">
        <f>ROUNDUP(O149/'Methodology &amp; Assumptions'!$B$6, 0)</f>
        <v/>
      </c>
      <c r="R149" s="13" t="n">
        <v>1</v>
      </c>
      <c r="S149" s="14" t="n">
        <v>1.83</v>
      </c>
      <c r="T149" s="14" t="n">
        <v>1.35</v>
      </c>
      <c r="U149" s="26">
        <f>IF(X149&gt;='Methodology &amp; Assumptions'!$B$7, "Tier 1 Critical GIDA (Score ≥ 50.0)", IF(X149&gt;='Methodology &amp; Assumptions'!$B$8, "Tier 2 High GIDA (Score 40.0–49.9)", "Tier 3 Moderate GIDA (Score &lt; 40.0)"))</f>
        <v/>
      </c>
      <c r="V149" s="26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W149" s="28" t="n">
        <v>0.156</v>
      </c>
      <c r="X149" s="14" t="n">
        <v>56.95</v>
      </c>
      <c r="Y149" s="14">
        <f>ROUND(MIN(100, (X149/69.91)*100), 2)</f>
        <v/>
      </c>
    </row>
    <row r="150">
      <c r="A150" s="10" t="n">
        <v>1</v>
      </c>
      <c r="B150" s="10" t="n">
        <v>146</v>
      </c>
      <c r="C150" s="10" t="n">
        <v>146</v>
      </c>
      <c r="D150" s="10" t="inlineStr">
        <is>
          <t>1401108002</t>
        </is>
      </c>
      <c r="E150" s="26" t="inlineStr">
        <is>
          <t>Cordillera Administrative Region (CAR)</t>
        </is>
      </c>
      <c r="F150" s="26" t="inlineStr">
        <is>
          <t>Benguet</t>
        </is>
      </c>
      <c r="G150" s="26" t="inlineStr">
        <is>
          <t>Kapangan</t>
        </is>
      </c>
      <c r="H150" s="26" t="inlineStr">
        <is>
          <t>Beleng-Belis</t>
        </is>
      </c>
      <c r="I150" s="27" t="n">
        <v>16.648877</v>
      </c>
      <c r="J150" s="27" t="n">
        <v>120.640116</v>
      </c>
      <c r="K150" s="10" t="inlineStr">
        <is>
          <t>R</t>
        </is>
      </c>
      <c r="L150" s="12" t="n">
        <v>793</v>
      </c>
      <c r="M150" s="14" t="n">
        <v>3.5</v>
      </c>
      <c r="N150" s="12">
        <f>ROUND(L150/M150, 0)</f>
        <v/>
      </c>
      <c r="O150" s="12">
        <f>ROUND(N150*'Methodology &amp; Assumptions'!$B$5, 0)</f>
        <v/>
      </c>
      <c r="P150" s="10" t="inlineStr">
        <is>
          <t>Single Carrier (Band n50, 100MHz TDD)</t>
        </is>
      </c>
      <c r="Q150" s="13">
        <f>ROUNDUP(O150/'Methodology &amp; Assumptions'!$B$6, 0)</f>
        <v/>
      </c>
      <c r="R150" s="13" t="n">
        <v>1</v>
      </c>
      <c r="S150" s="14" t="n">
        <v>5.49</v>
      </c>
      <c r="T150" s="14" t="n">
        <v>12.96</v>
      </c>
      <c r="U150" s="26">
        <f>IF(X150&gt;='Methodology &amp; Assumptions'!$B$7, "Tier 1 Critical GIDA (Score ≥ 50.0)", IF(X150&gt;='Methodology &amp; Assumptions'!$B$8, "Tier 2 High GIDA (Score 40.0–49.9)", "Tier 3 Moderate GIDA (Score &lt; 40.0)"))</f>
        <v/>
      </c>
      <c r="V150" s="26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W150" s="28" t="n">
        <v>0.109</v>
      </c>
      <c r="X150" s="14" t="n">
        <v>56.91</v>
      </c>
      <c r="Y150" s="14">
        <f>ROUND(MIN(100, (X150/69.91)*100), 2)</f>
        <v/>
      </c>
    </row>
    <row r="151">
      <c r="A151" s="10" t="n">
        <v>1</v>
      </c>
      <c r="B151" s="10" t="n">
        <v>147</v>
      </c>
      <c r="C151" s="10" t="n">
        <v>147</v>
      </c>
      <c r="D151" s="10" t="inlineStr">
        <is>
          <t>1404404007</t>
        </is>
      </c>
      <c r="E151" s="26" t="inlineStr">
        <is>
          <t>Cordillera Administrative Region (CAR)</t>
        </is>
      </c>
      <c r="F151" s="26" t="inlineStr">
        <is>
          <t>Mountain Province</t>
        </is>
      </c>
      <c r="G151" s="26" t="inlineStr">
        <is>
          <t>Bontoc</t>
        </is>
      </c>
      <c r="H151" s="26" t="inlineStr">
        <is>
          <t>Dalican</t>
        </is>
      </c>
      <c r="I151" s="27" t="n">
        <v>17.122523</v>
      </c>
      <c r="J151" s="27" t="n">
        <v>120.935712</v>
      </c>
      <c r="K151" s="10" t="inlineStr">
        <is>
          <t>R</t>
        </is>
      </c>
      <c r="L151" s="12" t="n">
        <v>884</v>
      </c>
      <c r="M151" s="14" t="n">
        <v>3.7</v>
      </c>
      <c r="N151" s="12">
        <f>ROUND(L151/M151, 0)</f>
        <v/>
      </c>
      <c r="O151" s="12">
        <f>ROUND(N151*'Methodology &amp; Assumptions'!$B$5, 0)</f>
        <v/>
      </c>
      <c r="P151" s="10" t="inlineStr">
        <is>
          <t>Single Carrier (Band n50, 100MHz TDD)</t>
        </is>
      </c>
      <c r="Q151" s="13">
        <f>ROUNDUP(O151/'Methodology &amp; Assumptions'!$B$6, 0)</f>
        <v/>
      </c>
      <c r="R151" s="13" t="n">
        <v>1</v>
      </c>
      <c r="S151" s="14" t="n">
        <v>5.63</v>
      </c>
      <c r="T151" s="14" t="n">
        <v>3.98</v>
      </c>
      <c r="U151" s="26">
        <f>IF(X151&gt;='Methodology &amp; Assumptions'!$B$7, "Tier 1 Critical GIDA (Score ≥ 50.0)", IF(X151&gt;='Methodology &amp; Assumptions'!$B$8, "Tier 2 High GIDA (Score 40.0–49.9)", "Tier 3 Moderate GIDA (Score &lt; 40.0)"))</f>
        <v/>
      </c>
      <c r="V151" s="26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W151" s="28" t="n">
        <v>0.109</v>
      </c>
      <c r="X151" s="14" t="n">
        <v>56.91</v>
      </c>
      <c r="Y151" s="14">
        <f>ROUND(MIN(100, (X151/69.91)*100), 2)</f>
        <v/>
      </c>
    </row>
    <row r="152">
      <c r="A152" s="10" t="n">
        <v>1</v>
      </c>
      <c r="B152" s="10" t="n">
        <v>148</v>
      </c>
      <c r="C152" s="10" t="n">
        <v>148</v>
      </c>
      <c r="D152" s="10" t="inlineStr">
        <is>
          <t>0401003039</t>
        </is>
      </c>
      <c r="E152" s="26" t="inlineStr">
        <is>
          <t>Region IV-A (CALABARZON)</t>
        </is>
      </c>
      <c r="F152" s="26" t="inlineStr">
        <is>
          <t>Batangas</t>
        </is>
      </c>
      <c r="G152" s="26" t="inlineStr">
        <is>
          <t>Balayan</t>
        </is>
      </c>
      <c r="H152" s="26" t="inlineStr">
        <is>
          <t>Patugo</t>
        </is>
      </c>
      <c r="I152" s="27" t="n">
        <v>14.004106</v>
      </c>
      <c r="J152" s="27" t="n">
        <v>120.784477</v>
      </c>
      <c r="K152" s="10" t="inlineStr">
        <is>
          <t>R</t>
        </is>
      </c>
      <c r="L152" s="12" t="n">
        <v>2450</v>
      </c>
      <c r="M152" s="14" t="n">
        <v>3.6</v>
      </c>
      <c r="N152" s="12">
        <f>ROUND(L152/M152, 0)</f>
        <v/>
      </c>
      <c r="O152" s="12">
        <f>ROUND(N152*'Methodology &amp; Assumptions'!$B$5, 0)</f>
        <v/>
      </c>
      <c r="P152" s="10" t="inlineStr">
        <is>
          <t>Single Carrier (Band n50, 100MHz TDD)</t>
        </is>
      </c>
      <c r="Q152" s="13">
        <f>ROUNDUP(O152/'Methodology &amp; Assumptions'!$B$6, 0)</f>
        <v/>
      </c>
      <c r="R152" s="13" t="n">
        <v>1</v>
      </c>
      <c r="S152" s="14" t="n">
        <v>6.35</v>
      </c>
      <c r="T152" s="14" t="n">
        <v>5.91</v>
      </c>
      <c r="U152" s="26">
        <f>IF(X152&gt;='Methodology &amp; Assumptions'!$B$7, "Tier 1 Critical GIDA (Score ≥ 50.0)", IF(X152&gt;='Methodology &amp; Assumptions'!$B$8, "Tier 2 High GIDA (Score 40.0–49.9)", "Tier 3 Moderate GIDA (Score &lt; 40.0)"))</f>
        <v/>
      </c>
      <c r="V152" s="26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W152" s="28" t="n">
        <v>0.07200000000000001</v>
      </c>
      <c r="X152" s="14" t="n">
        <v>56.9</v>
      </c>
      <c r="Y152" s="14">
        <f>ROUND(MIN(100, (X152/69.91)*100), 2)</f>
        <v/>
      </c>
    </row>
    <row r="153">
      <c r="A153" s="10" t="n">
        <v>1</v>
      </c>
      <c r="B153" s="10" t="n">
        <v>149</v>
      </c>
      <c r="C153" s="10" t="n">
        <v>149</v>
      </c>
      <c r="D153" s="10" t="inlineStr">
        <is>
          <t>PH0000149</t>
        </is>
      </c>
      <c r="E153" s="26" t="inlineStr">
        <is>
          <t>VI</t>
        </is>
      </c>
      <c r="F153" s="26" t="inlineStr">
        <is>
          <t>Iloilo</t>
        </is>
      </c>
      <c r="G153" s="26" t="inlineStr">
        <is>
          <t>Iloilo City</t>
        </is>
      </c>
      <c r="H153" s="26" t="inlineStr">
        <is>
          <t>San Nicolas</t>
        </is>
      </c>
      <c r="I153" s="27" t="n">
        <v>10.747479</v>
      </c>
      <c r="J153" s="27" t="n">
        <v>122.532657</v>
      </c>
      <c r="K153" s="10" t="inlineStr">
        <is>
          <t>R</t>
        </is>
      </c>
      <c r="L153" s="12" t="n">
        <v>2230</v>
      </c>
      <c r="M153" s="14" t="n">
        <v>3.8</v>
      </c>
      <c r="N153" s="12">
        <f>ROUND(L153/M153, 0)</f>
        <v/>
      </c>
      <c r="O153" s="12">
        <f>ROUND(N153*'Methodology &amp; Assumptions'!$B$5, 0)</f>
        <v/>
      </c>
      <c r="P153" s="10" t="inlineStr">
        <is>
          <t>Single Carrier (Band n50, 100MHz TDD)</t>
        </is>
      </c>
      <c r="Q153" s="13">
        <f>ROUNDUP(O153/'Methodology &amp; Assumptions'!$B$6, 0)</f>
        <v/>
      </c>
      <c r="R153" s="13" t="n">
        <v>1</v>
      </c>
      <c r="S153" s="14" t="n">
        <v>3.23</v>
      </c>
      <c r="T153" s="14" t="n">
        <v>1.97</v>
      </c>
      <c r="U153" s="26">
        <f>IF(X153&gt;='Methodology &amp; Assumptions'!$B$7, "Tier 1 Critical GIDA (Score ≥ 50.0)", IF(X153&gt;='Methodology &amp; Assumptions'!$B$8, "Tier 2 High GIDA (Score 40.0–49.9)", "Tier 3 Moderate GIDA (Score &lt; 40.0)"))</f>
        <v/>
      </c>
      <c r="V153" s="26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W153" s="28" t="n">
        <v>0.156</v>
      </c>
      <c r="X153" s="14" t="n">
        <v>56.88</v>
      </c>
      <c r="Y153" s="14">
        <f>ROUND(MIN(100, (X153/69.91)*100), 2)</f>
        <v/>
      </c>
    </row>
    <row r="154">
      <c r="A154" s="10" t="n">
        <v>1</v>
      </c>
      <c r="B154" s="10" t="n">
        <v>150</v>
      </c>
      <c r="C154" s="10" t="n">
        <v>150</v>
      </c>
      <c r="D154" s="10" t="inlineStr">
        <is>
          <t>PH0000150</t>
        </is>
      </c>
      <c r="E154" s="26" t="inlineStr">
        <is>
          <t>VI</t>
        </is>
      </c>
      <c r="F154" s="26" t="inlineStr">
        <is>
          <t>Iloilo</t>
        </is>
      </c>
      <c r="G154" s="26" t="inlineStr">
        <is>
          <t>Iloilo City</t>
        </is>
      </c>
      <c r="H154" s="26" t="inlineStr">
        <is>
          <t>Our Lady Of Lourdes</t>
        </is>
      </c>
      <c r="I154" s="27" t="n">
        <v>10.697091</v>
      </c>
      <c r="J154" s="27" t="n">
        <v>122.586946</v>
      </c>
      <c r="K154" s="10" t="inlineStr">
        <is>
          <t>R</t>
        </is>
      </c>
      <c r="L154" s="12" t="n">
        <v>2230</v>
      </c>
      <c r="M154" s="14" t="n">
        <v>3.8</v>
      </c>
      <c r="N154" s="12">
        <f>ROUND(L154/M154, 0)</f>
        <v/>
      </c>
      <c r="O154" s="12">
        <f>ROUND(N154*'Methodology &amp; Assumptions'!$B$5, 0)</f>
        <v/>
      </c>
      <c r="P154" s="10" t="inlineStr">
        <is>
          <t>Single Carrier (Band n50, 100MHz TDD)</t>
        </is>
      </c>
      <c r="Q154" s="13">
        <f>ROUNDUP(O154/'Methodology &amp; Assumptions'!$B$6, 0)</f>
        <v/>
      </c>
      <c r="R154" s="13" t="n">
        <v>1</v>
      </c>
      <c r="S154" s="14" t="n">
        <v>2.78</v>
      </c>
      <c r="T154" s="14" t="n">
        <v>1.8</v>
      </c>
      <c r="U154" s="26">
        <f>IF(X154&gt;='Methodology &amp; Assumptions'!$B$7, "Tier 1 Critical GIDA (Score ≥ 50.0)", IF(X154&gt;='Methodology &amp; Assumptions'!$B$8, "Tier 2 High GIDA (Score 40.0–49.9)", "Tier 3 Moderate GIDA (Score &lt; 40.0)"))</f>
        <v/>
      </c>
      <c r="V154" s="26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W154" s="28" t="n">
        <v>0.156</v>
      </c>
      <c r="X154" s="14" t="n">
        <v>56.88</v>
      </c>
      <c r="Y154" s="14">
        <f>ROUND(MIN(100, (X154/69.91)*100), 2)</f>
        <v/>
      </c>
    </row>
    <row r="155">
      <c r="A155" s="10" t="n">
        <v>1</v>
      </c>
      <c r="B155" s="10" t="n">
        <v>151</v>
      </c>
      <c r="C155" s="10" t="n">
        <v>151</v>
      </c>
      <c r="D155" s="10" t="inlineStr">
        <is>
          <t>PH0000151</t>
        </is>
      </c>
      <c r="E155" s="26" t="inlineStr">
        <is>
          <t>X</t>
        </is>
      </c>
      <c r="F155" s="26" t="inlineStr">
        <is>
          <t>Misamis Oriental</t>
        </is>
      </c>
      <c r="G155" s="26" t="inlineStr">
        <is>
          <t>Cagayan De Oro City</t>
        </is>
      </c>
      <c r="H155" s="26" t="inlineStr">
        <is>
          <t>Barangay 36 (Pob.)</t>
        </is>
      </c>
      <c r="I155" s="27" t="n">
        <v>8.430120000000001</v>
      </c>
      <c r="J155" s="27" t="n">
        <v>124.618844</v>
      </c>
      <c r="K155" s="10" t="inlineStr">
        <is>
          <t>R</t>
        </is>
      </c>
      <c r="L155" s="12" t="n">
        <v>2272</v>
      </c>
      <c r="M155" s="14" t="n">
        <v>3.9</v>
      </c>
      <c r="N155" s="12">
        <f>ROUND(L155/M155, 0)</f>
        <v/>
      </c>
      <c r="O155" s="12">
        <f>ROUND(N155*'Methodology &amp; Assumptions'!$B$5, 0)</f>
        <v/>
      </c>
      <c r="P155" s="10" t="inlineStr">
        <is>
          <t>Single Carrier (Band n50, 100MHz TDD)</t>
        </is>
      </c>
      <c r="Q155" s="13">
        <f>ROUNDUP(O155/'Methodology &amp; Assumptions'!$B$6, 0)</f>
        <v/>
      </c>
      <c r="R155" s="13" t="n">
        <v>1</v>
      </c>
      <c r="S155" s="14" t="n">
        <v>0.65</v>
      </c>
      <c r="T155" s="14" t="n">
        <v>0.3</v>
      </c>
      <c r="U155" s="26">
        <f>IF(X155&gt;='Methodology &amp; Assumptions'!$B$7, "Tier 1 Critical GIDA (Score ≥ 50.0)", IF(X155&gt;='Methodology &amp; Assumptions'!$B$8, "Tier 2 High GIDA (Score 40.0–49.9)", "Tier 3 Moderate GIDA (Score &lt; 40.0)"))</f>
        <v/>
      </c>
      <c r="V155" s="26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W155" s="28" t="n">
        <v>0.234</v>
      </c>
      <c r="X155" s="14" t="n">
        <v>56.87</v>
      </c>
      <c r="Y155" s="14">
        <f>ROUND(MIN(100, (X155/69.91)*100), 2)</f>
        <v/>
      </c>
    </row>
    <row r="156">
      <c r="A156" s="10" t="n">
        <v>1</v>
      </c>
      <c r="B156" s="10" t="n">
        <v>152</v>
      </c>
      <c r="C156" s="10" t="n">
        <v>152</v>
      </c>
      <c r="D156" s="10" t="inlineStr">
        <is>
          <t>PH0000152</t>
        </is>
      </c>
      <c r="E156" s="26" t="inlineStr">
        <is>
          <t>VI</t>
        </is>
      </c>
      <c r="F156" s="26" t="inlineStr">
        <is>
          <t>Iloilo</t>
        </is>
      </c>
      <c r="G156" s="26" t="inlineStr">
        <is>
          <t>Iloilo City</t>
        </is>
      </c>
      <c r="H156" s="26" t="inlineStr">
        <is>
          <t>Magsaysay</t>
        </is>
      </c>
      <c r="I156" s="27" t="n">
        <v>10.698257</v>
      </c>
      <c r="J156" s="27" t="n">
        <v>122.509715</v>
      </c>
      <c r="K156" s="10" t="inlineStr">
        <is>
          <t>R</t>
        </is>
      </c>
      <c r="L156" s="12" t="n">
        <v>2230</v>
      </c>
      <c r="M156" s="14" t="n">
        <v>3.8</v>
      </c>
      <c r="N156" s="12">
        <f>ROUND(L156/M156, 0)</f>
        <v/>
      </c>
      <c r="O156" s="12">
        <f>ROUND(N156*'Methodology &amp; Assumptions'!$B$5, 0)</f>
        <v/>
      </c>
      <c r="P156" s="10" t="inlineStr">
        <is>
          <t>Single Carrier (Band n50, 100MHz TDD)</t>
        </is>
      </c>
      <c r="Q156" s="13">
        <f>ROUNDUP(O156/'Methodology &amp; Assumptions'!$B$6, 0)</f>
        <v/>
      </c>
      <c r="R156" s="13" t="n">
        <v>1</v>
      </c>
      <c r="S156" s="14" t="n">
        <v>3.28</v>
      </c>
      <c r="T156" s="14" t="n">
        <v>1.32</v>
      </c>
      <c r="U156" s="26">
        <f>IF(X156&gt;='Methodology &amp; Assumptions'!$B$7, "Tier 1 Critical GIDA (Score ≥ 50.0)", IF(X156&gt;='Methodology &amp; Assumptions'!$B$8, "Tier 2 High GIDA (Score 40.0–49.9)", "Tier 3 Moderate GIDA (Score &lt; 40.0)"))</f>
        <v/>
      </c>
      <c r="V156" s="26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W156" s="28" t="n">
        <v>0.156</v>
      </c>
      <c r="X156" s="14" t="n">
        <v>56.85</v>
      </c>
      <c r="Y156" s="14">
        <f>ROUND(MIN(100, (X156/69.91)*100), 2)</f>
        <v/>
      </c>
    </row>
    <row r="157">
      <c r="A157" s="10" t="n">
        <v>1</v>
      </c>
      <c r="B157" s="10" t="n">
        <v>153</v>
      </c>
      <c r="C157" s="10" t="n">
        <v>153</v>
      </c>
      <c r="D157" s="10" t="inlineStr">
        <is>
          <t>PH0000153</t>
        </is>
      </c>
      <c r="E157" s="26" t="inlineStr">
        <is>
          <t>VI</t>
        </is>
      </c>
      <c r="F157" s="26" t="inlineStr">
        <is>
          <t>Iloilo</t>
        </is>
      </c>
      <c r="G157" s="26" t="inlineStr">
        <is>
          <t>Iloilo City</t>
        </is>
      </c>
      <c r="H157" s="26" t="inlineStr">
        <is>
          <t>Flores</t>
        </is>
      </c>
      <c r="I157" s="27" t="n">
        <v>10.750324</v>
      </c>
      <c r="J157" s="27" t="n">
        <v>122.569383</v>
      </c>
      <c r="K157" s="10" t="inlineStr">
        <is>
          <t>R</t>
        </is>
      </c>
      <c r="L157" s="12" t="n">
        <v>2230</v>
      </c>
      <c r="M157" s="14" t="n">
        <v>3.8</v>
      </c>
      <c r="N157" s="12">
        <f>ROUND(L157/M157, 0)</f>
        <v/>
      </c>
      <c r="O157" s="12">
        <f>ROUND(N157*'Methodology &amp; Assumptions'!$B$5, 0)</f>
        <v/>
      </c>
      <c r="P157" s="10" t="inlineStr">
        <is>
          <t>Single Carrier (Band n50, 100MHz TDD)</t>
        </is>
      </c>
      <c r="Q157" s="13">
        <f>ROUNDUP(O157/'Methodology &amp; Assumptions'!$B$6, 0)</f>
        <v/>
      </c>
      <c r="R157" s="13" t="n">
        <v>1</v>
      </c>
      <c r="S157" s="14" t="n">
        <v>0.61</v>
      </c>
      <c r="T157" s="14" t="n">
        <v>0.31</v>
      </c>
      <c r="U157" s="26">
        <f>IF(X157&gt;='Methodology &amp; Assumptions'!$B$7, "Tier 1 Critical GIDA (Score ≥ 50.0)", IF(X157&gt;='Methodology &amp; Assumptions'!$B$8, "Tier 2 High GIDA (Score 40.0–49.9)", "Tier 3 Moderate GIDA (Score &lt; 40.0)"))</f>
        <v/>
      </c>
      <c r="V157" s="26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W157" s="28" t="n">
        <v>0.156</v>
      </c>
      <c r="X157" s="14" t="n">
        <v>56.82</v>
      </c>
      <c r="Y157" s="14">
        <f>ROUND(MIN(100, (X157/69.91)*100), 2)</f>
        <v/>
      </c>
    </row>
    <row r="158">
      <c r="A158" s="10" t="n">
        <v>1</v>
      </c>
      <c r="B158" s="10" t="n">
        <v>154</v>
      </c>
      <c r="C158" s="10" t="n">
        <v>154</v>
      </c>
      <c r="D158" s="10" t="inlineStr">
        <is>
          <t>1402706015</t>
        </is>
      </c>
      <c r="E158" s="26" t="inlineStr">
        <is>
          <t>Cordillera Administrative Region (CAR)</t>
        </is>
      </c>
      <c r="F158" s="26" t="inlineStr">
        <is>
          <t>Ifugao</t>
        </is>
      </c>
      <c r="G158" s="26" t="inlineStr">
        <is>
          <t>Mayoyao</t>
        </is>
      </c>
      <c r="H158" s="26" t="inlineStr">
        <is>
          <t>Inwaloy</t>
        </is>
      </c>
      <c r="I158" s="27" t="n">
        <v>16.973691</v>
      </c>
      <c r="J158" s="27" t="n">
        <v>121.193947</v>
      </c>
      <c r="K158" s="10" t="inlineStr">
        <is>
          <t>R</t>
        </is>
      </c>
      <c r="L158" s="12" t="n">
        <v>393</v>
      </c>
      <c r="M158" s="14" t="n">
        <v>3.9</v>
      </c>
      <c r="N158" s="12">
        <f>ROUND(L158/M158, 0)</f>
        <v/>
      </c>
      <c r="O158" s="12">
        <f>ROUND(N158*'Methodology &amp; Assumptions'!$B$5, 0)</f>
        <v/>
      </c>
      <c r="P158" s="10" t="inlineStr">
        <is>
          <t>Single Carrier (Band n50, 100MHz TDD)</t>
        </is>
      </c>
      <c r="Q158" s="13">
        <f>ROUNDUP(O158/'Methodology &amp; Assumptions'!$B$6, 0)</f>
        <v/>
      </c>
      <c r="R158" s="13" t="n">
        <v>1</v>
      </c>
      <c r="S158" s="14" t="n">
        <v>2.96</v>
      </c>
      <c r="T158" s="14" t="n">
        <v>14.94</v>
      </c>
      <c r="U158" s="26">
        <f>IF(X158&gt;='Methodology &amp; Assumptions'!$B$7, "Tier 1 Critical GIDA (Score ≥ 50.0)", IF(X158&gt;='Methodology &amp; Assumptions'!$B$8, "Tier 2 High GIDA (Score 40.0–49.9)", "Tier 3 Moderate GIDA (Score &lt; 40.0)"))</f>
        <v/>
      </c>
      <c r="V158" s="26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W158" s="28" t="n">
        <v>0.109</v>
      </c>
      <c r="X158" s="14" t="n">
        <v>56.81</v>
      </c>
      <c r="Y158" s="14">
        <f>ROUND(MIN(100, (X158/69.91)*100), 2)</f>
        <v/>
      </c>
    </row>
    <row r="159">
      <c r="A159" s="10" t="n">
        <v>1</v>
      </c>
      <c r="B159" s="10" t="n">
        <v>155</v>
      </c>
      <c r="C159" s="10" t="n">
        <v>155</v>
      </c>
      <c r="D159" s="10" t="inlineStr">
        <is>
          <t>0201516034</t>
        </is>
      </c>
      <c r="E159" s="26" t="inlineStr">
        <is>
          <t>Region II (Cagayan Valley)</t>
        </is>
      </c>
      <c r="F159" s="26" t="inlineStr">
        <is>
          <t>Cagayan</t>
        </is>
      </c>
      <c r="G159" s="26" t="inlineStr">
        <is>
          <t>Lal-Lo</t>
        </is>
      </c>
      <c r="H159" s="26" t="inlineStr">
        <is>
          <t>Sta. Maria</t>
        </is>
      </c>
      <c r="I159" s="27" t="n">
        <v>18.170533</v>
      </c>
      <c r="J159" s="27" t="n">
        <v>121.669691</v>
      </c>
      <c r="K159" s="10" t="inlineStr">
        <is>
          <t>R</t>
        </is>
      </c>
      <c r="L159" s="12" t="n">
        <v>2451</v>
      </c>
      <c r="M159" s="14" t="n">
        <v>3.9</v>
      </c>
      <c r="N159" s="12">
        <f>ROUND(L159/M159, 0)</f>
        <v/>
      </c>
      <c r="O159" s="12">
        <f>ROUND(N159*'Methodology &amp; Assumptions'!$B$5, 0)</f>
        <v/>
      </c>
      <c r="P159" s="10" t="inlineStr">
        <is>
          <t>Single Carrier (Band n50, 100MHz TDD)</t>
        </is>
      </c>
      <c r="Q159" s="13">
        <f>ROUNDUP(O159/'Methodology &amp; Assumptions'!$B$6, 0)</f>
        <v/>
      </c>
      <c r="R159" s="13" t="n">
        <v>1</v>
      </c>
      <c r="S159" s="14" t="n">
        <v>2.87</v>
      </c>
      <c r="T159" s="14" t="n">
        <v>1.46</v>
      </c>
      <c r="U159" s="26">
        <f>IF(X159&gt;='Methodology &amp; Assumptions'!$B$7, "Tier 1 Critical GIDA (Score ≥ 50.0)", IF(X159&gt;='Methodology &amp; Assumptions'!$B$8, "Tier 2 High GIDA (Score 40.0–49.9)", "Tier 3 Moderate GIDA (Score &lt; 40.0)"))</f>
        <v/>
      </c>
      <c r="V159" s="26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W159" s="28" t="n">
        <v>0.083</v>
      </c>
      <c r="X159" s="14" t="n">
        <v>56.8</v>
      </c>
      <c r="Y159" s="14">
        <f>ROUND(MIN(100, (X159/69.91)*100), 2)</f>
        <v/>
      </c>
    </row>
    <row r="160">
      <c r="A160" s="10" t="n">
        <v>1</v>
      </c>
      <c r="B160" s="10" t="n">
        <v>156</v>
      </c>
      <c r="C160" s="10" t="n">
        <v>156</v>
      </c>
      <c r="D160" s="10" t="inlineStr">
        <is>
          <t>PH0000156</t>
        </is>
      </c>
      <c r="E160" s="26" t="inlineStr">
        <is>
          <t>X</t>
        </is>
      </c>
      <c r="F160" s="26" t="inlineStr">
        <is>
          <t>Misamis Oriental</t>
        </is>
      </c>
      <c r="G160" s="26" t="inlineStr">
        <is>
          <t>Cagayan De Oro City</t>
        </is>
      </c>
      <c r="H160" s="26" t="inlineStr">
        <is>
          <t>Barangay 25 (Pob.)</t>
        </is>
      </c>
      <c r="I160" s="27" t="n">
        <v>8.449672</v>
      </c>
      <c r="J160" s="27" t="n">
        <v>124.635521</v>
      </c>
      <c r="K160" s="10" t="inlineStr">
        <is>
          <t>R</t>
        </is>
      </c>
      <c r="L160" s="12" t="n">
        <v>2272</v>
      </c>
      <c r="M160" s="14" t="n">
        <v>3.9</v>
      </c>
      <c r="N160" s="12">
        <f>ROUND(L160/M160, 0)</f>
        <v/>
      </c>
      <c r="O160" s="12">
        <f>ROUND(N160*'Methodology &amp; Assumptions'!$B$5, 0)</f>
        <v/>
      </c>
      <c r="P160" s="10" t="inlineStr">
        <is>
          <t>Single Carrier (Band n50, 100MHz TDD)</t>
        </is>
      </c>
      <c r="Q160" s="13">
        <f>ROUNDUP(O160/'Methodology &amp; Assumptions'!$B$6, 0)</f>
        <v/>
      </c>
      <c r="R160" s="13" t="n">
        <v>1</v>
      </c>
      <c r="S160" s="14" t="n">
        <v>2.32</v>
      </c>
      <c r="T160" s="14" t="n">
        <v>1.39</v>
      </c>
      <c r="U160" s="26">
        <f>IF(X160&gt;='Methodology &amp; Assumptions'!$B$7, "Tier 1 Critical GIDA (Score ≥ 50.0)", IF(X160&gt;='Methodology &amp; Assumptions'!$B$8, "Tier 2 High GIDA (Score 40.0–49.9)", "Tier 3 Moderate GIDA (Score &lt; 40.0)"))</f>
        <v/>
      </c>
      <c r="V160" s="26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W160" s="28" t="n">
        <v>0.234</v>
      </c>
      <c r="X160" s="14" t="n">
        <v>56.8</v>
      </c>
      <c r="Y160" s="14">
        <f>ROUND(MIN(100, (X160/69.91)*100), 2)</f>
        <v/>
      </c>
    </row>
    <row r="161">
      <c r="A161" s="10" t="n">
        <v>1</v>
      </c>
      <c r="B161" s="10" t="n">
        <v>157</v>
      </c>
      <c r="C161" s="10" t="n">
        <v>157</v>
      </c>
      <c r="D161" s="10" t="inlineStr">
        <is>
          <t>PH0000157</t>
        </is>
      </c>
      <c r="E161" s="26" t="inlineStr">
        <is>
          <t>X</t>
        </is>
      </c>
      <c r="F161" s="26" t="inlineStr">
        <is>
          <t>Misamis Oriental</t>
        </is>
      </c>
      <c r="G161" s="26" t="inlineStr">
        <is>
          <t>Cagayan De Oro City</t>
        </is>
      </c>
      <c r="H161" s="26" t="inlineStr">
        <is>
          <t>Barangay 34 (Pob.)</t>
        </is>
      </c>
      <c r="I161" s="27" t="n">
        <v>8.421597</v>
      </c>
      <c r="J161" s="27" t="n">
        <v>124.636635</v>
      </c>
      <c r="K161" s="10" t="inlineStr">
        <is>
          <t>R</t>
        </is>
      </c>
      <c r="L161" s="12" t="n">
        <v>2272</v>
      </c>
      <c r="M161" s="14" t="n">
        <v>3.9</v>
      </c>
      <c r="N161" s="12">
        <f>ROUND(L161/M161, 0)</f>
        <v/>
      </c>
      <c r="O161" s="12">
        <f>ROUND(N161*'Methodology &amp; Assumptions'!$B$5, 0)</f>
        <v/>
      </c>
      <c r="P161" s="10" t="inlineStr">
        <is>
          <t>Single Carrier (Band n50, 100MHz TDD)</t>
        </is>
      </c>
      <c r="Q161" s="13">
        <f>ROUNDUP(O161/'Methodology &amp; Assumptions'!$B$6, 0)</f>
        <v/>
      </c>
      <c r="R161" s="13" t="n">
        <v>1</v>
      </c>
      <c r="S161" s="14" t="n">
        <v>2.46</v>
      </c>
      <c r="T161" s="14" t="n">
        <v>2.29</v>
      </c>
      <c r="U161" s="26">
        <f>IF(X161&gt;='Methodology &amp; Assumptions'!$B$7, "Tier 1 Critical GIDA (Score ≥ 50.0)", IF(X161&gt;='Methodology &amp; Assumptions'!$B$8, "Tier 2 High GIDA (Score 40.0–49.9)", "Tier 3 Moderate GIDA (Score &lt; 40.0)"))</f>
        <v/>
      </c>
      <c r="V161" s="26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W161" s="28" t="n">
        <v>0.234</v>
      </c>
      <c r="X161" s="14" t="n">
        <v>56.8</v>
      </c>
      <c r="Y161" s="14">
        <f>ROUND(MIN(100, (X161/69.91)*100), 2)</f>
        <v/>
      </c>
    </row>
    <row r="162">
      <c r="A162" s="10" t="n">
        <v>1</v>
      </c>
      <c r="B162" s="10" t="n">
        <v>158</v>
      </c>
      <c r="C162" s="10" t="n">
        <v>158</v>
      </c>
      <c r="D162" s="10" t="inlineStr">
        <is>
          <t>0205008023</t>
        </is>
      </c>
      <c r="E162" s="26" t="inlineStr">
        <is>
          <t>Region II (Cagayan Valley)</t>
        </is>
      </c>
      <c r="F162" s="26" t="inlineStr">
        <is>
          <t>Nueva Vizcaya</t>
        </is>
      </c>
      <c r="G162" s="26" t="inlineStr">
        <is>
          <t>Dupax del Sur</t>
        </is>
      </c>
      <c r="H162" s="26" t="inlineStr">
        <is>
          <t>Talbek</t>
        </is>
      </c>
      <c r="I162" s="27" t="n">
        <v>16.02387</v>
      </c>
      <c r="J162" s="27" t="n">
        <v>121.21182</v>
      </c>
      <c r="K162" s="10" t="inlineStr">
        <is>
          <t>R</t>
        </is>
      </c>
      <c r="L162" s="12" t="n">
        <v>542</v>
      </c>
      <c r="M162" s="14" t="n">
        <v>3.8</v>
      </c>
      <c r="N162" s="12">
        <f>ROUND(L162/M162, 0)</f>
        <v/>
      </c>
      <c r="O162" s="12">
        <f>ROUND(N162*'Methodology &amp; Assumptions'!$B$5, 0)</f>
        <v/>
      </c>
      <c r="P162" s="10" t="inlineStr">
        <is>
          <t>Single Carrier (Band n50, 100MHz TDD)</t>
        </is>
      </c>
      <c r="Q162" s="13">
        <f>ROUNDUP(O162/'Methodology &amp; Assumptions'!$B$6, 0)</f>
        <v/>
      </c>
      <c r="R162" s="13" t="n">
        <v>1</v>
      </c>
      <c r="S162" s="14" t="n">
        <v>16.16</v>
      </c>
      <c r="T162" s="14" t="n">
        <v>25.54</v>
      </c>
      <c r="U162" s="26">
        <f>IF(X162&gt;='Methodology &amp; Assumptions'!$B$7, "Tier 1 Critical GIDA (Score ≥ 50.0)", IF(X162&gt;='Methodology &amp; Assumptions'!$B$8, "Tier 2 High GIDA (Score 40.0–49.9)", "Tier 3 Moderate GIDA (Score &lt; 40.0)"))</f>
        <v/>
      </c>
      <c r="V162" s="26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W162" s="28" t="n">
        <v>0.083</v>
      </c>
      <c r="X162" s="14" t="n">
        <v>56.76</v>
      </c>
      <c r="Y162" s="14">
        <f>ROUND(MIN(100, (X162/69.91)*100), 2)</f>
        <v/>
      </c>
    </row>
    <row r="163">
      <c r="A163" s="10" t="n">
        <v>1</v>
      </c>
      <c r="B163" s="10" t="n">
        <v>159</v>
      </c>
      <c r="C163" s="10" t="n">
        <v>159</v>
      </c>
      <c r="D163" s="10" t="inlineStr">
        <is>
          <t>0307708008</t>
        </is>
      </c>
      <c r="E163" s="26" t="inlineStr">
        <is>
          <t>Region III (Central Luzon)</t>
        </is>
      </c>
      <c r="F163" s="26" t="inlineStr">
        <is>
          <t>Aurora</t>
        </is>
      </c>
      <c r="G163" s="26" t="inlineStr">
        <is>
          <t>San Luis</t>
        </is>
      </c>
      <c r="H163" s="26" t="inlineStr">
        <is>
          <t>Dibut</t>
        </is>
      </c>
      <c r="I163" s="27" t="n">
        <v>15.667621</v>
      </c>
      <c r="J163" s="27" t="n">
        <v>121.598123</v>
      </c>
      <c r="K163" s="10" t="inlineStr">
        <is>
          <t>R</t>
        </is>
      </c>
      <c r="L163" s="12" t="n">
        <v>577</v>
      </c>
      <c r="M163" s="14" t="n">
        <v>3.8</v>
      </c>
      <c r="N163" s="12">
        <f>ROUND(L163/M163, 0)</f>
        <v/>
      </c>
      <c r="O163" s="12">
        <f>ROUND(N163*'Methodology &amp; Assumptions'!$B$5, 0)</f>
        <v/>
      </c>
      <c r="P163" s="10" t="inlineStr">
        <is>
          <t>Single Carrier (Band n50, 100MHz TDD)</t>
        </is>
      </c>
      <c r="Q163" s="13">
        <f>ROUNDUP(O163/'Methodology &amp; Assumptions'!$B$6, 0)</f>
        <v/>
      </c>
      <c r="R163" s="13" t="n">
        <v>1</v>
      </c>
      <c r="S163" s="14" t="n">
        <v>11</v>
      </c>
      <c r="T163" s="14" t="n">
        <v>10.83</v>
      </c>
      <c r="U163" s="26">
        <f>IF(X163&gt;='Methodology &amp; Assumptions'!$B$7, "Tier 1 Critical GIDA (Score ≥ 50.0)", IF(X163&gt;='Methodology &amp; Assumptions'!$B$8, "Tier 2 High GIDA (Score 40.0–49.9)", "Tier 3 Moderate GIDA (Score &lt; 40.0)"))</f>
        <v/>
      </c>
      <c r="V163" s="26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W163" s="28" t="n">
        <v>0.083</v>
      </c>
      <c r="X163" s="14" t="n">
        <v>56.76</v>
      </c>
      <c r="Y163" s="14">
        <f>ROUND(MIN(100, (X163/69.91)*100), 2)</f>
        <v/>
      </c>
    </row>
    <row r="164">
      <c r="A164" s="10" t="n">
        <v>1</v>
      </c>
      <c r="B164" s="10" t="n">
        <v>160</v>
      </c>
      <c r="C164" s="10" t="n">
        <v>160</v>
      </c>
      <c r="D164" s="10" t="inlineStr">
        <is>
          <t>PH0000160</t>
        </is>
      </c>
      <c r="E164" s="26" t="inlineStr">
        <is>
          <t>X</t>
        </is>
      </c>
      <c r="F164" s="26" t="inlineStr">
        <is>
          <t>Misamis Oriental</t>
        </is>
      </c>
      <c r="G164" s="26" t="inlineStr">
        <is>
          <t>Cagayan De Oro City</t>
        </is>
      </c>
      <c r="H164" s="26" t="inlineStr">
        <is>
          <t>Consolacion</t>
        </is>
      </c>
      <c r="I164" s="27" t="n">
        <v>8.491210000000001</v>
      </c>
      <c r="J164" s="27" t="n">
        <v>124.64582</v>
      </c>
      <c r="K164" s="10" t="inlineStr">
        <is>
          <t>R</t>
        </is>
      </c>
      <c r="L164" s="12" t="n">
        <v>2272</v>
      </c>
      <c r="M164" s="14" t="n">
        <v>3.9</v>
      </c>
      <c r="N164" s="12">
        <f>ROUND(L164/M164, 0)</f>
        <v/>
      </c>
      <c r="O164" s="12">
        <f>ROUND(N164*'Methodology &amp; Assumptions'!$B$5, 0)</f>
        <v/>
      </c>
      <c r="P164" s="10" t="inlineStr">
        <is>
          <t>Single Carrier (Band n50, 100MHz TDD)</t>
        </is>
      </c>
      <c r="Q164" s="13">
        <f>ROUNDUP(O164/'Methodology &amp; Assumptions'!$B$6, 0)</f>
        <v/>
      </c>
      <c r="R164" s="13" t="n">
        <v>1</v>
      </c>
      <c r="S164" s="14" t="n">
        <v>1.02</v>
      </c>
      <c r="T164" s="14" t="n">
        <v>0.5</v>
      </c>
      <c r="U164" s="26">
        <f>IF(X164&gt;='Methodology &amp; Assumptions'!$B$7, "Tier 1 Critical GIDA (Score ≥ 50.0)", IF(X164&gt;='Methodology &amp; Assumptions'!$B$8, "Tier 2 High GIDA (Score 40.0–49.9)", "Tier 3 Moderate GIDA (Score &lt; 40.0)"))</f>
        <v/>
      </c>
      <c r="V164" s="26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W164" s="28" t="n">
        <v>0.234</v>
      </c>
      <c r="X164" s="14" t="n">
        <v>56.75</v>
      </c>
      <c r="Y164" s="14">
        <f>ROUND(MIN(100, (X164/69.91)*100), 2)</f>
        <v/>
      </c>
    </row>
    <row r="165">
      <c r="A165" s="10" t="n">
        <v>1</v>
      </c>
      <c r="B165" s="10" t="n">
        <v>161</v>
      </c>
      <c r="C165" s="10" t="n">
        <v>161</v>
      </c>
      <c r="D165" s="10" t="inlineStr">
        <is>
          <t>PH0000161</t>
        </is>
      </c>
      <c r="E165" s="26" t="inlineStr">
        <is>
          <t>VI</t>
        </is>
      </c>
      <c r="F165" s="26" t="inlineStr">
        <is>
          <t>Iloilo</t>
        </is>
      </c>
      <c r="G165" s="26" t="inlineStr">
        <is>
          <t>Iloilo City</t>
        </is>
      </c>
      <c r="H165" s="26" t="inlineStr">
        <is>
          <t>Our Lady Of Fatima</t>
        </is>
      </c>
      <c r="I165" s="27" t="n">
        <v>10.669827</v>
      </c>
      <c r="J165" s="27" t="n">
        <v>122.560911</v>
      </c>
      <c r="K165" s="10" t="inlineStr">
        <is>
          <t>R</t>
        </is>
      </c>
      <c r="L165" s="12" t="n">
        <v>2230</v>
      </c>
      <c r="M165" s="14" t="n">
        <v>3.8</v>
      </c>
      <c r="N165" s="12">
        <f>ROUND(L165/M165, 0)</f>
        <v/>
      </c>
      <c r="O165" s="12">
        <f>ROUND(N165*'Methodology &amp; Assumptions'!$B$5, 0)</f>
        <v/>
      </c>
      <c r="P165" s="10" t="inlineStr">
        <is>
          <t>Single Carrier (Band n50, 100MHz TDD)</t>
        </is>
      </c>
      <c r="Q165" s="13">
        <f>ROUNDUP(O165/'Methodology &amp; Assumptions'!$B$6, 0)</f>
        <v/>
      </c>
      <c r="R165" s="13" t="n">
        <v>1</v>
      </c>
      <c r="S165" s="14" t="n">
        <v>3.06</v>
      </c>
      <c r="T165" s="14" t="n">
        <v>3.66</v>
      </c>
      <c r="U165" s="26">
        <f>IF(X165&gt;='Methodology &amp; Assumptions'!$B$7, "Tier 1 Critical GIDA (Score ≥ 50.0)", IF(X165&gt;='Methodology &amp; Assumptions'!$B$8, "Tier 2 High GIDA (Score 40.0–49.9)", "Tier 3 Moderate GIDA (Score &lt; 40.0)"))</f>
        <v/>
      </c>
      <c r="V165" s="26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W165" s="28" t="n">
        <v>0.156</v>
      </c>
      <c r="X165" s="14" t="n">
        <v>56.74</v>
      </c>
      <c r="Y165" s="14">
        <f>ROUND(MIN(100, (X165/69.91)*100), 2)</f>
        <v/>
      </c>
    </row>
    <row r="166">
      <c r="A166" s="10" t="n">
        <v>1</v>
      </c>
      <c r="B166" s="10" t="n">
        <v>162</v>
      </c>
      <c r="C166" s="10" t="n">
        <v>162</v>
      </c>
      <c r="D166" s="10" t="inlineStr">
        <is>
          <t>0205701020</t>
        </is>
      </c>
      <c r="E166" s="26" t="inlineStr">
        <is>
          <t>Region II (Cagayan Valley)</t>
        </is>
      </c>
      <c r="F166" s="26" t="inlineStr">
        <is>
          <t>Quirino</t>
        </is>
      </c>
      <c r="G166" s="26" t="inlineStr">
        <is>
          <t>Aglipay</t>
        </is>
      </c>
      <c r="H166" s="26" t="inlineStr">
        <is>
          <t>Diodol</t>
        </is>
      </c>
      <c r="I166" s="27" t="n">
        <v>16.438512</v>
      </c>
      <c r="J166" s="27" t="n">
        <v>121.597563</v>
      </c>
      <c r="K166" s="10" t="inlineStr">
        <is>
          <t>R</t>
        </is>
      </c>
      <c r="L166" s="12" t="n">
        <v>922</v>
      </c>
      <c r="M166" s="14" t="n">
        <v>3.9</v>
      </c>
      <c r="N166" s="12">
        <f>ROUND(L166/M166, 0)</f>
        <v/>
      </c>
      <c r="O166" s="12">
        <f>ROUND(N166*'Methodology &amp; Assumptions'!$B$5, 0)</f>
        <v/>
      </c>
      <c r="P166" s="10" t="inlineStr">
        <is>
          <t>Single Carrier (Band n50, 100MHz TDD)</t>
        </is>
      </c>
      <c r="Q166" s="13">
        <f>ROUNDUP(O166/'Methodology &amp; Assumptions'!$B$6, 0)</f>
        <v/>
      </c>
      <c r="R166" s="13" t="n">
        <v>1</v>
      </c>
      <c r="S166" s="14" t="n">
        <v>4.3</v>
      </c>
      <c r="T166" s="14" t="n">
        <v>3.52</v>
      </c>
      <c r="U166" s="26">
        <f>IF(X166&gt;='Methodology &amp; Assumptions'!$B$7, "Tier 1 Critical GIDA (Score ≥ 50.0)", IF(X166&gt;='Methodology &amp; Assumptions'!$B$8, "Tier 2 High GIDA (Score 40.0–49.9)", "Tier 3 Moderate GIDA (Score &lt; 40.0)"))</f>
        <v/>
      </c>
      <c r="V166" s="26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W166" s="28" t="n">
        <v>0.083</v>
      </c>
      <c r="X166" s="14" t="n">
        <v>56.71</v>
      </c>
      <c r="Y166" s="14">
        <f>ROUND(MIN(100, (X166/69.91)*100), 2)</f>
        <v/>
      </c>
    </row>
    <row r="167">
      <c r="A167" s="10" t="n">
        <v>1</v>
      </c>
      <c r="B167" s="10" t="n">
        <v>163</v>
      </c>
      <c r="C167" s="10" t="n">
        <v>163</v>
      </c>
      <c r="D167" s="10" t="inlineStr">
        <is>
          <t>PH0000163</t>
        </is>
      </c>
      <c r="E167" s="26" t="inlineStr">
        <is>
          <t>VI</t>
        </is>
      </c>
      <c r="F167" s="26" t="inlineStr">
        <is>
          <t>Iloilo</t>
        </is>
      </c>
      <c r="G167" s="26" t="inlineStr">
        <is>
          <t>Iloilo City</t>
        </is>
      </c>
      <c r="H167" s="26" t="inlineStr">
        <is>
          <t>Alalasan Lapuz</t>
        </is>
      </c>
      <c r="I167" s="27" t="n">
        <v>10.736828</v>
      </c>
      <c r="J167" s="27" t="n">
        <v>122.510296</v>
      </c>
      <c r="K167" s="10" t="inlineStr">
        <is>
          <t>R</t>
        </is>
      </c>
      <c r="L167" s="12" t="n">
        <v>2230</v>
      </c>
      <c r="M167" s="14" t="n">
        <v>3.8</v>
      </c>
      <c r="N167" s="12">
        <f>ROUND(L167/M167, 0)</f>
        <v/>
      </c>
      <c r="O167" s="12">
        <f>ROUND(N167*'Methodology &amp; Assumptions'!$B$5, 0)</f>
        <v/>
      </c>
      <c r="P167" s="10" t="inlineStr">
        <is>
          <t>Single Carrier (Band n50, 100MHz TDD)</t>
        </is>
      </c>
      <c r="Q167" s="13">
        <f>ROUNDUP(O167/'Methodology &amp; Assumptions'!$B$6, 0)</f>
        <v/>
      </c>
      <c r="R167" s="13" t="n">
        <v>1</v>
      </c>
      <c r="S167" s="14" t="n">
        <v>5.53</v>
      </c>
      <c r="T167" s="14" t="n">
        <v>0.88</v>
      </c>
      <c r="U167" s="26">
        <f>IF(X167&gt;='Methodology &amp; Assumptions'!$B$7, "Tier 1 Critical GIDA (Score ≥ 50.0)", IF(X167&gt;='Methodology &amp; Assumptions'!$B$8, "Tier 2 High GIDA (Score 40.0–49.9)", "Tier 3 Moderate GIDA (Score &lt; 40.0)"))</f>
        <v/>
      </c>
      <c r="V167" s="26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W167" s="28" t="n">
        <v>0.156</v>
      </c>
      <c r="X167" s="14" t="n">
        <v>56.71</v>
      </c>
      <c r="Y167" s="14">
        <f>ROUND(MIN(100, (X167/69.91)*100), 2)</f>
        <v/>
      </c>
    </row>
    <row r="168">
      <c r="A168" s="10" t="n">
        <v>1</v>
      </c>
      <c r="B168" s="10" t="n">
        <v>164</v>
      </c>
      <c r="C168" s="10" t="n">
        <v>164</v>
      </c>
      <c r="D168" s="10" t="inlineStr">
        <is>
          <t>0600410019</t>
        </is>
      </c>
      <c r="E168" s="26" t="inlineStr">
        <is>
          <t>Region VI (Western Visayas)</t>
        </is>
      </c>
      <c r="F168" s="26" t="inlineStr">
        <is>
          <t>Aklan</t>
        </is>
      </c>
      <c r="G168" s="26" t="inlineStr">
        <is>
          <t>Madalag</t>
        </is>
      </c>
      <c r="H168" s="26" t="inlineStr">
        <is>
          <t>Panipiason</t>
        </is>
      </c>
      <c r="I168" s="27" t="n">
        <v>11.40947</v>
      </c>
      <c r="J168" s="27" t="n">
        <v>122.24855</v>
      </c>
      <c r="K168" s="10" t="inlineStr">
        <is>
          <t>R</t>
        </is>
      </c>
      <c r="L168" s="12" t="n">
        <v>1877</v>
      </c>
      <c r="M168" s="14" t="n">
        <v>3.9</v>
      </c>
      <c r="N168" s="12">
        <f>ROUND(L168/M168, 0)</f>
        <v/>
      </c>
      <c r="O168" s="12">
        <f>ROUND(N168*'Methodology &amp; Assumptions'!$B$5, 0)</f>
        <v/>
      </c>
      <c r="P168" s="10" t="inlineStr">
        <is>
          <t>Single Carrier (Band n50, 100MHz TDD)</t>
        </is>
      </c>
      <c r="Q168" s="13">
        <f>ROUNDUP(O168/'Methodology &amp; Assumptions'!$B$6, 0)</f>
        <v/>
      </c>
      <c r="R168" s="13" t="n">
        <v>1</v>
      </c>
      <c r="S168" s="14" t="n">
        <v>21.48</v>
      </c>
      <c r="T168" s="14" t="n">
        <v>21.36</v>
      </c>
      <c r="U168" s="26">
        <f>IF(X168&gt;='Methodology &amp; Assumptions'!$B$7, "Tier 1 Critical GIDA (Score ≥ 50.0)", IF(X168&gt;='Methodology &amp; Assumptions'!$B$8, "Tier 2 High GIDA (Score 40.0–49.9)", "Tier 3 Moderate GIDA (Score &lt; 40.0)"))</f>
        <v/>
      </c>
      <c r="V168" s="26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W168" s="28" t="n">
        <v>0.237</v>
      </c>
      <c r="X168" s="14" t="n">
        <v>56.71</v>
      </c>
      <c r="Y168" s="14">
        <f>ROUND(MIN(100, (X168/69.91)*100), 2)</f>
        <v/>
      </c>
    </row>
    <row r="169">
      <c r="A169" s="10" t="n">
        <v>1</v>
      </c>
      <c r="B169" s="10" t="n">
        <v>165</v>
      </c>
      <c r="C169" s="10" t="n">
        <v>165</v>
      </c>
      <c r="D169" s="10" t="inlineStr">
        <is>
          <t>PH0000165</t>
        </is>
      </c>
      <c r="E169" s="26" t="inlineStr">
        <is>
          <t>X</t>
        </is>
      </c>
      <c r="F169" s="26" t="inlineStr">
        <is>
          <t>Misamis Oriental</t>
        </is>
      </c>
      <c r="G169" s="26" t="inlineStr">
        <is>
          <t>Cagayan De Oro City</t>
        </is>
      </c>
      <c r="H169" s="26" t="inlineStr">
        <is>
          <t>Barangay 26 (Pob.)</t>
        </is>
      </c>
      <c r="I169" s="27" t="n">
        <v>8.443369000000001</v>
      </c>
      <c r="J169" s="27" t="n">
        <v>124.614879</v>
      </c>
      <c r="K169" s="10" t="inlineStr">
        <is>
          <t>R</t>
        </is>
      </c>
      <c r="L169" s="12" t="n">
        <v>2272</v>
      </c>
      <c r="M169" s="14" t="n">
        <v>3.9</v>
      </c>
      <c r="N169" s="12">
        <f>ROUND(L169/M169, 0)</f>
        <v/>
      </c>
      <c r="O169" s="12">
        <f>ROUND(N169*'Methodology &amp; Assumptions'!$B$5, 0)</f>
        <v/>
      </c>
      <c r="P169" s="10" t="inlineStr">
        <is>
          <t>Single Carrier (Band n50, 100MHz TDD)</t>
        </is>
      </c>
      <c r="Q169" s="13">
        <f>ROUNDUP(O169/'Methodology &amp; Assumptions'!$B$6, 0)</f>
        <v/>
      </c>
      <c r="R169" s="13" t="n">
        <v>1</v>
      </c>
      <c r="S169" s="14" t="n">
        <v>0.98</v>
      </c>
      <c r="T169" s="14" t="n">
        <v>0.68</v>
      </c>
      <c r="U169" s="26">
        <f>IF(X169&gt;='Methodology &amp; Assumptions'!$B$7, "Tier 1 Critical GIDA (Score ≥ 50.0)", IF(X169&gt;='Methodology &amp; Assumptions'!$B$8, "Tier 2 High GIDA (Score 40.0–49.9)", "Tier 3 Moderate GIDA (Score &lt; 40.0)"))</f>
        <v/>
      </c>
      <c r="V169" s="26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W169" s="28" t="n">
        <v>0.234</v>
      </c>
      <c r="X169" s="14" t="n">
        <v>56.68</v>
      </c>
      <c r="Y169" s="14">
        <f>ROUND(MIN(100, (X169/69.91)*100), 2)</f>
        <v/>
      </c>
    </row>
    <row r="170">
      <c r="A170" s="10" t="n">
        <v>1</v>
      </c>
      <c r="B170" s="10" t="n">
        <v>166</v>
      </c>
      <c r="C170" s="10" t="n">
        <v>166</v>
      </c>
      <c r="D170" s="10" t="inlineStr">
        <is>
          <t>1003508027</t>
        </is>
      </c>
      <c r="E170" s="26" t="inlineStr">
        <is>
          <t>Region X (Northern Mindanao)</t>
        </is>
      </c>
      <c r="F170" s="26" t="inlineStr">
        <is>
          <t>Lanao del Norte</t>
        </is>
      </c>
      <c r="G170" s="26" t="inlineStr">
        <is>
          <t>Kolambugan</t>
        </is>
      </c>
      <c r="H170" s="26" t="inlineStr">
        <is>
          <t>Sucodan</t>
        </is>
      </c>
      <c r="I170" s="27" t="n">
        <v>8.094716</v>
      </c>
      <c r="J170" s="27" t="n">
        <v>123.884924</v>
      </c>
      <c r="K170" s="10" t="inlineStr">
        <is>
          <t>R</t>
        </is>
      </c>
      <c r="L170" s="12" t="n">
        <v>826</v>
      </c>
      <c r="M170" s="14" t="n">
        <v>4.2</v>
      </c>
      <c r="N170" s="12">
        <f>ROUND(L170/M170, 0)</f>
        <v/>
      </c>
      <c r="O170" s="12">
        <f>ROUND(N170*'Methodology &amp; Assumptions'!$B$5, 0)</f>
        <v/>
      </c>
      <c r="P170" s="10" t="inlineStr">
        <is>
          <t>Single Carrier (Band n50, 100MHz TDD)</t>
        </is>
      </c>
      <c r="Q170" s="13">
        <f>ROUNDUP(O170/'Methodology &amp; Assumptions'!$B$6, 0)</f>
        <v/>
      </c>
      <c r="R170" s="13" t="n">
        <v>1</v>
      </c>
      <c r="S170" s="14" t="n">
        <v>11.06</v>
      </c>
      <c r="T170" s="14" t="n">
        <v>1.09</v>
      </c>
      <c r="U170" s="26">
        <f>IF(X170&gt;='Methodology &amp; Assumptions'!$B$7, "Tier 1 Critical GIDA (Score ≥ 50.0)", IF(X170&gt;='Methodology &amp; Assumptions'!$B$8, "Tier 2 High GIDA (Score 40.0–49.9)", "Tier 3 Moderate GIDA (Score &lt; 40.0)"))</f>
        <v/>
      </c>
      <c r="V170" s="26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W170" s="28" t="n">
        <v>0.174</v>
      </c>
      <c r="X170" s="14" t="n">
        <v>56.67</v>
      </c>
      <c r="Y170" s="14">
        <f>ROUND(MIN(100, (X170/69.91)*100), 2)</f>
        <v/>
      </c>
    </row>
    <row r="171">
      <c r="A171" s="10" t="n">
        <v>1</v>
      </c>
      <c r="B171" s="10" t="n">
        <v>167</v>
      </c>
      <c r="C171" s="10" t="n">
        <v>167</v>
      </c>
      <c r="D171" s="10" t="inlineStr">
        <is>
          <t>1003508010</t>
        </is>
      </c>
      <c r="E171" s="26" t="inlineStr">
        <is>
          <t>Region X (Northern Mindanao)</t>
        </is>
      </c>
      <c r="F171" s="26" t="inlineStr">
        <is>
          <t>Lanao del Norte</t>
        </is>
      </c>
      <c r="G171" s="26" t="inlineStr">
        <is>
          <t>Kolambugan</t>
        </is>
      </c>
      <c r="H171" s="26" t="inlineStr">
        <is>
          <t>Lumbac</t>
        </is>
      </c>
      <c r="I171" s="27" t="n">
        <v>8.103633</v>
      </c>
      <c r="J171" s="27" t="n">
        <v>123.891511</v>
      </c>
      <c r="K171" s="10" t="inlineStr">
        <is>
          <t>R</t>
        </is>
      </c>
      <c r="L171" s="12" t="n">
        <v>611</v>
      </c>
      <c r="M171" s="14" t="n">
        <v>4.2</v>
      </c>
      <c r="N171" s="12">
        <f>ROUND(L171/M171, 0)</f>
        <v/>
      </c>
      <c r="O171" s="12">
        <f>ROUND(N171*'Methodology &amp; Assumptions'!$B$5, 0)</f>
        <v/>
      </c>
      <c r="P171" s="10" t="inlineStr">
        <is>
          <t>Single Carrier (Band n50, 100MHz TDD)</t>
        </is>
      </c>
      <c r="Q171" s="13">
        <f>ROUNDUP(O171/'Methodology &amp; Assumptions'!$B$6, 0)</f>
        <v/>
      </c>
      <c r="R171" s="13" t="n">
        <v>1</v>
      </c>
      <c r="S171" s="14" t="n">
        <v>12.2</v>
      </c>
      <c r="T171" s="14" t="n">
        <v>0.78</v>
      </c>
      <c r="U171" s="26">
        <f>IF(X171&gt;='Methodology &amp; Assumptions'!$B$7, "Tier 1 Critical GIDA (Score ≥ 50.0)", IF(X171&gt;='Methodology &amp; Assumptions'!$B$8, "Tier 2 High GIDA (Score 40.0–49.9)", "Tier 3 Moderate GIDA (Score &lt; 40.0)"))</f>
        <v/>
      </c>
      <c r="V171" s="26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W171" s="28" t="n">
        <v>0.174</v>
      </c>
      <c r="X171" s="14" t="n">
        <v>56.66</v>
      </c>
      <c r="Y171" s="14">
        <f>ROUND(MIN(100, (X171/69.91)*100), 2)</f>
        <v/>
      </c>
    </row>
    <row r="172">
      <c r="A172" s="10" t="n">
        <v>1</v>
      </c>
      <c r="B172" s="10" t="n">
        <v>168</v>
      </c>
      <c r="C172" s="10" t="n">
        <v>168</v>
      </c>
      <c r="D172" s="10" t="inlineStr">
        <is>
          <t>PH0000168</t>
        </is>
      </c>
      <c r="E172" s="26" t="inlineStr">
        <is>
          <t>X</t>
        </is>
      </c>
      <c r="F172" s="26" t="inlineStr">
        <is>
          <t>Misamis Oriental</t>
        </is>
      </c>
      <c r="G172" s="26" t="inlineStr">
        <is>
          <t>Cagayan De Oro City</t>
        </is>
      </c>
      <c r="H172" s="26" t="inlineStr">
        <is>
          <t>Barangay 7 (Pob.)</t>
        </is>
      </c>
      <c r="I172" s="27" t="n">
        <v>8.441691</v>
      </c>
      <c r="J172" s="27" t="n">
        <v>124.648327</v>
      </c>
      <c r="K172" s="10" t="inlineStr">
        <is>
          <t>R</t>
        </is>
      </c>
      <c r="L172" s="12" t="n">
        <v>2272</v>
      </c>
      <c r="M172" s="14" t="n">
        <v>3.9</v>
      </c>
      <c r="N172" s="12">
        <f>ROUND(L172/M172, 0)</f>
        <v/>
      </c>
      <c r="O172" s="12">
        <f>ROUND(N172*'Methodology &amp; Assumptions'!$B$5, 0)</f>
        <v/>
      </c>
      <c r="P172" s="10" t="inlineStr">
        <is>
          <t>Single Carrier (Band n50, 100MHz TDD)</t>
        </is>
      </c>
      <c r="Q172" s="13">
        <f>ROUNDUP(O172/'Methodology &amp; Assumptions'!$B$6, 0)</f>
        <v/>
      </c>
      <c r="R172" s="13" t="n">
        <v>1</v>
      </c>
      <c r="S172" s="14" t="n">
        <v>2.25</v>
      </c>
      <c r="T172" s="14" t="n">
        <v>2.96</v>
      </c>
      <c r="U172" s="26">
        <f>IF(X172&gt;='Methodology &amp; Assumptions'!$B$7, "Tier 1 Critical GIDA (Score ≥ 50.0)", IF(X172&gt;='Methodology &amp; Assumptions'!$B$8, "Tier 2 High GIDA (Score 40.0–49.9)", "Tier 3 Moderate GIDA (Score &lt; 40.0)"))</f>
        <v/>
      </c>
      <c r="V172" s="26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W172" s="28" t="n">
        <v>0.234</v>
      </c>
      <c r="X172" s="14" t="n">
        <v>56.64</v>
      </c>
      <c r="Y172" s="14">
        <f>ROUND(MIN(100, (X172/69.91)*100), 2)</f>
        <v/>
      </c>
    </row>
    <row r="173">
      <c r="A173" s="10" t="n">
        <v>1</v>
      </c>
      <c r="B173" s="10" t="n">
        <v>169</v>
      </c>
      <c r="C173" s="10" t="n">
        <v>169</v>
      </c>
      <c r="D173" s="10" t="inlineStr">
        <is>
          <t>PH0000169</t>
        </is>
      </c>
      <c r="E173" s="26" t="inlineStr">
        <is>
          <t>X</t>
        </is>
      </c>
      <c r="F173" s="26" t="inlineStr">
        <is>
          <t>Misamis Oriental</t>
        </is>
      </c>
      <c r="G173" s="26" t="inlineStr">
        <is>
          <t>Cagayan De Oro City</t>
        </is>
      </c>
      <c r="H173" s="26" t="inlineStr">
        <is>
          <t>Barangay 27 (Pob.)</t>
        </is>
      </c>
      <c r="I173" s="27" t="n">
        <v>8.419001</v>
      </c>
      <c r="J173" s="27" t="n">
        <v>124.620537</v>
      </c>
      <c r="K173" s="10" t="inlineStr">
        <is>
          <t>R</t>
        </is>
      </c>
      <c r="L173" s="12" t="n">
        <v>2272</v>
      </c>
      <c r="M173" s="14" t="n">
        <v>3.9</v>
      </c>
      <c r="N173" s="12">
        <f>ROUND(L173/M173, 0)</f>
        <v/>
      </c>
      <c r="O173" s="12">
        <f>ROUND(N173*'Methodology &amp; Assumptions'!$B$5, 0)</f>
        <v/>
      </c>
      <c r="P173" s="10" t="inlineStr">
        <is>
          <t>Single Carrier (Band n50, 100MHz TDD)</t>
        </is>
      </c>
      <c r="Q173" s="13">
        <f>ROUNDUP(O173/'Methodology &amp; Assumptions'!$B$6, 0)</f>
        <v/>
      </c>
      <c r="R173" s="13" t="n">
        <v>1</v>
      </c>
      <c r="S173" s="14" t="n">
        <v>1.89</v>
      </c>
      <c r="T173" s="14" t="n">
        <v>0.8</v>
      </c>
      <c r="U173" s="26">
        <f>IF(X173&gt;='Methodology &amp; Assumptions'!$B$7, "Tier 1 Critical GIDA (Score ≥ 50.0)", IF(X173&gt;='Methodology &amp; Assumptions'!$B$8, "Tier 2 High GIDA (Score 40.0–49.9)", "Tier 3 Moderate GIDA (Score &lt; 40.0)"))</f>
        <v/>
      </c>
      <c r="V173" s="26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W173" s="28" t="n">
        <v>0.234</v>
      </c>
      <c r="X173" s="14" t="n">
        <v>56.64</v>
      </c>
      <c r="Y173" s="14">
        <f>ROUND(MIN(100, (X173/69.91)*100), 2)</f>
        <v/>
      </c>
    </row>
    <row r="174">
      <c r="A174" s="10" t="n">
        <v>1</v>
      </c>
      <c r="B174" s="10" t="n">
        <v>170</v>
      </c>
      <c r="C174" s="10" t="n">
        <v>170</v>
      </c>
      <c r="D174" s="10" t="inlineStr">
        <is>
          <t>PH0000170</t>
        </is>
      </c>
      <c r="E174" s="26" t="inlineStr">
        <is>
          <t>X</t>
        </is>
      </c>
      <c r="F174" s="26" t="inlineStr">
        <is>
          <t>Misamis Oriental</t>
        </is>
      </c>
      <c r="G174" s="26" t="inlineStr">
        <is>
          <t>Cagayan De Oro City</t>
        </is>
      </c>
      <c r="H174" s="26" t="inlineStr">
        <is>
          <t>Barangay 31 (Pob.)</t>
        </is>
      </c>
      <c r="I174" s="27" t="n">
        <v>8.456788</v>
      </c>
      <c r="J174" s="27" t="n">
        <v>124.625916</v>
      </c>
      <c r="K174" s="10" t="inlineStr">
        <is>
          <t>R</t>
        </is>
      </c>
      <c r="L174" s="12" t="n">
        <v>2272</v>
      </c>
      <c r="M174" s="14" t="n">
        <v>3.9</v>
      </c>
      <c r="N174" s="12">
        <f>ROUND(L174/M174, 0)</f>
        <v/>
      </c>
      <c r="O174" s="12">
        <f>ROUND(N174*'Methodology &amp; Assumptions'!$B$5, 0)</f>
        <v/>
      </c>
      <c r="P174" s="10" t="inlineStr">
        <is>
          <t>Single Carrier (Band n50, 100MHz TDD)</t>
        </is>
      </c>
      <c r="Q174" s="13">
        <f>ROUNDUP(O174/'Methodology &amp; Assumptions'!$B$6, 0)</f>
        <v/>
      </c>
      <c r="R174" s="13" t="n">
        <v>1</v>
      </c>
      <c r="S174" s="14" t="n">
        <v>2.37</v>
      </c>
      <c r="T174" s="14" t="n">
        <v>0.26</v>
      </c>
      <c r="U174" s="26">
        <f>IF(X174&gt;='Methodology &amp; Assumptions'!$B$7, "Tier 1 Critical GIDA (Score ≥ 50.0)", IF(X174&gt;='Methodology &amp; Assumptions'!$B$8, "Tier 2 High GIDA (Score 40.0–49.9)", "Tier 3 Moderate GIDA (Score &lt; 40.0)"))</f>
        <v/>
      </c>
      <c r="V174" s="26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W174" s="28" t="n">
        <v>0.234</v>
      </c>
      <c r="X174" s="14" t="n">
        <v>56.64</v>
      </c>
      <c r="Y174" s="14">
        <f>ROUND(MIN(100, (X174/69.91)*100), 2)</f>
        <v/>
      </c>
    </row>
    <row r="175">
      <c r="A175" s="10" t="n">
        <v>1</v>
      </c>
      <c r="B175" s="10" t="n">
        <v>171</v>
      </c>
      <c r="C175" s="10" t="n">
        <v>171</v>
      </c>
      <c r="D175" s="10" t="inlineStr">
        <is>
          <t>PH0000171</t>
        </is>
      </c>
      <c r="E175" s="26" t="inlineStr">
        <is>
          <t>VIII</t>
        </is>
      </c>
      <c r="F175" s="26" t="inlineStr">
        <is>
          <t>Samar (Western Samar)</t>
        </is>
      </c>
      <c r="G175" s="26" t="inlineStr">
        <is>
          <t>Catbalogan City</t>
        </is>
      </c>
      <c r="H175" s="26" t="inlineStr">
        <is>
          <t>Manguehay</t>
        </is>
      </c>
      <c r="I175" s="27" t="n">
        <v>12.876051</v>
      </c>
      <c r="J175" s="27" t="n">
        <v>121.77743</v>
      </c>
      <c r="K175" s="10" t="inlineStr">
        <is>
          <t>R</t>
        </is>
      </c>
      <c r="L175" s="12" t="n">
        <v>2229</v>
      </c>
      <c r="M175" s="14" t="n">
        <v>4.1</v>
      </c>
      <c r="N175" s="12">
        <f>ROUND(L175/M175, 0)</f>
        <v/>
      </c>
      <c r="O175" s="12">
        <f>ROUND(N175*'Methodology &amp; Assumptions'!$B$5, 0)</f>
        <v/>
      </c>
      <c r="P175" s="10" t="inlineStr">
        <is>
          <t>Single Carrier (Band n50, 100MHz TDD)</t>
        </is>
      </c>
      <c r="Q175" s="13">
        <f>ROUNDUP(O175/'Methodology &amp; Assumptions'!$B$6, 0)</f>
        <v/>
      </c>
      <c r="R175" s="13" t="n">
        <v>1</v>
      </c>
      <c r="S175" s="14" t="n">
        <v>33.8</v>
      </c>
      <c r="T175" s="14" t="n">
        <v>33.58</v>
      </c>
      <c r="U175" s="26">
        <f>IF(X175&gt;='Methodology &amp; Assumptions'!$B$7, "Tier 1 Critical GIDA (Score ≥ 50.0)", IF(X175&gt;='Methodology &amp; Assumptions'!$B$8, "Tier 2 High GIDA (Score 40.0–49.9)", "Tier 3 Moderate GIDA (Score &lt; 40.0)"))</f>
        <v/>
      </c>
      <c r="V175" s="26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W175" s="28" t="n">
        <v>0.222</v>
      </c>
      <c r="X175" s="14" t="n">
        <v>56.63</v>
      </c>
      <c r="Y175" s="14">
        <f>ROUND(MIN(100, (X175/69.91)*100), 2)</f>
        <v/>
      </c>
    </row>
    <row r="176">
      <c r="A176" s="10" t="n">
        <v>1</v>
      </c>
      <c r="B176" s="10" t="n">
        <v>172</v>
      </c>
      <c r="C176" s="10" t="n">
        <v>172</v>
      </c>
      <c r="D176" s="10" t="inlineStr">
        <is>
          <t>PH0000172</t>
        </is>
      </c>
      <c r="E176" s="26" t="inlineStr">
        <is>
          <t>VIII</t>
        </is>
      </c>
      <c r="F176" s="26" t="inlineStr">
        <is>
          <t>Samar (Western Samar)</t>
        </is>
      </c>
      <c r="G176" s="26" t="inlineStr">
        <is>
          <t>Catbalogan City</t>
        </is>
      </c>
      <c r="H176" s="26" t="inlineStr">
        <is>
          <t>Cagutian</t>
        </is>
      </c>
      <c r="I176" s="27" t="n">
        <v>12.880249</v>
      </c>
      <c r="J176" s="27" t="n">
        <v>121.767564</v>
      </c>
      <c r="K176" s="10" t="inlineStr">
        <is>
          <t>R</t>
        </is>
      </c>
      <c r="L176" s="12" t="n">
        <v>2229</v>
      </c>
      <c r="M176" s="14" t="n">
        <v>4.1</v>
      </c>
      <c r="N176" s="12">
        <f>ROUND(L176/M176, 0)</f>
        <v/>
      </c>
      <c r="O176" s="12">
        <f>ROUND(N176*'Methodology &amp; Assumptions'!$B$5, 0)</f>
        <v/>
      </c>
      <c r="P176" s="10" t="inlineStr">
        <is>
          <t>Single Carrier (Band n50, 100MHz TDD)</t>
        </is>
      </c>
      <c r="Q176" s="13">
        <f>ROUNDUP(O176/'Methodology &amp; Assumptions'!$B$6, 0)</f>
        <v/>
      </c>
      <c r="R176" s="13" t="n">
        <v>1</v>
      </c>
      <c r="S176" s="14" t="n">
        <v>32.64</v>
      </c>
      <c r="T176" s="14" t="n">
        <v>32.43</v>
      </c>
      <c r="U176" s="26">
        <f>IF(X176&gt;='Methodology &amp; Assumptions'!$B$7, "Tier 1 Critical GIDA (Score ≥ 50.0)", IF(X176&gt;='Methodology &amp; Assumptions'!$B$8, "Tier 2 High GIDA (Score 40.0–49.9)", "Tier 3 Moderate GIDA (Score &lt; 40.0)"))</f>
        <v/>
      </c>
      <c r="V176" s="26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W176" s="28" t="n">
        <v>0.222</v>
      </c>
      <c r="X176" s="14" t="n">
        <v>56.62</v>
      </c>
      <c r="Y176" s="14">
        <f>ROUND(MIN(100, (X176/69.91)*100), 2)</f>
        <v/>
      </c>
    </row>
    <row r="177">
      <c r="A177" s="10" t="n">
        <v>1</v>
      </c>
      <c r="B177" s="10" t="n">
        <v>173</v>
      </c>
      <c r="C177" s="10" t="n">
        <v>173</v>
      </c>
      <c r="D177" s="10" t="inlineStr">
        <is>
          <t>PH0000173</t>
        </is>
      </c>
      <c r="E177" s="26" t="inlineStr">
        <is>
          <t>X</t>
        </is>
      </c>
      <c r="F177" s="26" t="inlineStr">
        <is>
          <t>Misamis Oriental</t>
        </is>
      </c>
      <c r="G177" s="26" t="inlineStr">
        <is>
          <t>Cagayan De Oro City</t>
        </is>
      </c>
      <c r="H177" s="26" t="inlineStr">
        <is>
          <t>Barangay 4 (Pob.)</t>
        </is>
      </c>
      <c r="I177" s="27" t="n">
        <v>8.423242</v>
      </c>
      <c r="J177" s="27" t="n">
        <v>124.649171</v>
      </c>
      <c r="K177" s="10" t="inlineStr">
        <is>
          <t>R</t>
        </is>
      </c>
      <c r="L177" s="12" t="n">
        <v>2272</v>
      </c>
      <c r="M177" s="14" t="n">
        <v>3.9</v>
      </c>
      <c r="N177" s="12">
        <f>ROUND(L177/M177, 0)</f>
        <v/>
      </c>
      <c r="O177" s="12">
        <f>ROUND(N177*'Methodology &amp; Assumptions'!$B$5, 0)</f>
        <v/>
      </c>
      <c r="P177" s="10" t="inlineStr">
        <is>
          <t>Single Carrier (Band n50, 100MHz TDD)</t>
        </is>
      </c>
      <c r="Q177" s="13">
        <f>ROUNDUP(O177/'Methodology &amp; Assumptions'!$B$6, 0)</f>
        <v/>
      </c>
      <c r="R177" s="13" t="n">
        <v>1</v>
      </c>
      <c r="S177" s="14" t="n">
        <v>2.08</v>
      </c>
      <c r="T177" s="14" t="n">
        <v>3.55</v>
      </c>
      <c r="U177" s="26">
        <f>IF(X177&gt;='Methodology &amp; Assumptions'!$B$7, "Tier 1 Critical GIDA (Score ≥ 50.0)", IF(X177&gt;='Methodology &amp; Assumptions'!$B$8, "Tier 2 High GIDA (Score 40.0–49.9)", "Tier 3 Moderate GIDA (Score &lt; 40.0)"))</f>
        <v/>
      </c>
      <c r="V177" s="26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W177" s="28" t="n">
        <v>0.234</v>
      </c>
      <c r="X177" s="14" t="n">
        <v>56.61</v>
      </c>
      <c r="Y177" s="14">
        <f>ROUND(MIN(100, (X177/69.91)*100), 2)</f>
        <v/>
      </c>
    </row>
    <row r="178">
      <c r="A178" s="10" t="n">
        <v>1</v>
      </c>
      <c r="B178" s="10" t="n">
        <v>174</v>
      </c>
      <c r="C178" s="10" t="n">
        <v>174</v>
      </c>
      <c r="D178" s="10" t="inlineStr">
        <is>
          <t>PH0000174</t>
        </is>
      </c>
      <c r="E178" s="26" t="inlineStr">
        <is>
          <t>X</t>
        </is>
      </c>
      <c r="F178" s="26" t="inlineStr">
        <is>
          <t>Misamis Oriental</t>
        </is>
      </c>
      <c r="G178" s="26" t="inlineStr">
        <is>
          <t>Cagayan De Oro City</t>
        </is>
      </c>
      <c r="H178" s="26" t="inlineStr">
        <is>
          <t>Barangay 35 (Pob.)</t>
        </is>
      </c>
      <c r="I178" s="27" t="n">
        <v>8.433032000000001</v>
      </c>
      <c r="J178" s="27" t="n">
        <v>124.606644</v>
      </c>
      <c r="K178" s="10" t="inlineStr">
        <is>
          <t>R</t>
        </is>
      </c>
      <c r="L178" s="12" t="n">
        <v>2272</v>
      </c>
      <c r="M178" s="14" t="n">
        <v>3.9</v>
      </c>
      <c r="N178" s="12">
        <f>ROUND(L178/M178, 0)</f>
        <v/>
      </c>
      <c r="O178" s="12">
        <f>ROUND(N178*'Methodology &amp; Assumptions'!$B$5, 0)</f>
        <v/>
      </c>
      <c r="P178" s="10" t="inlineStr">
        <is>
          <t>Single Carrier (Band n50, 100MHz TDD)</t>
        </is>
      </c>
      <c r="Q178" s="13">
        <f>ROUNDUP(O178/'Methodology &amp; Assumptions'!$B$6, 0)</f>
        <v/>
      </c>
      <c r="R178" s="13" t="n">
        <v>1</v>
      </c>
      <c r="S178" s="14" t="n">
        <v>1.47</v>
      </c>
      <c r="T178" s="14" t="n">
        <v>1.25</v>
      </c>
      <c r="U178" s="26">
        <f>IF(X178&gt;='Methodology &amp; Assumptions'!$B$7, "Tier 1 Critical GIDA (Score ≥ 50.0)", IF(X178&gt;='Methodology &amp; Assumptions'!$B$8, "Tier 2 High GIDA (Score 40.0–49.9)", "Tier 3 Moderate GIDA (Score &lt; 40.0)"))</f>
        <v/>
      </c>
      <c r="V178" s="26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W178" s="28" t="n">
        <v>0.234</v>
      </c>
      <c r="X178" s="14" t="n">
        <v>56.6</v>
      </c>
      <c r="Y178" s="14">
        <f>ROUND(MIN(100, (X178/69.91)*100), 2)</f>
        <v/>
      </c>
    </row>
    <row r="179">
      <c r="A179" s="10" t="n">
        <v>1</v>
      </c>
      <c r="B179" s="10" t="n">
        <v>175</v>
      </c>
      <c r="C179" s="10" t="n">
        <v>175</v>
      </c>
      <c r="D179" s="10" t="inlineStr">
        <is>
          <t>PH0000175</t>
        </is>
      </c>
      <c r="E179" s="26" t="inlineStr">
        <is>
          <t>VI</t>
        </is>
      </c>
      <c r="F179" s="26" t="inlineStr">
        <is>
          <t>Iloilo</t>
        </is>
      </c>
      <c r="G179" s="26" t="inlineStr">
        <is>
          <t>Iloilo City</t>
        </is>
      </c>
      <c r="H179" s="26" t="inlineStr">
        <is>
          <t>Aguinaldo</t>
        </is>
      </c>
      <c r="I179" s="27" t="n">
        <v>10.720538</v>
      </c>
      <c r="J179" s="27" t="n">
        <v>122.596193</v>
      </c>
      <c r="K179" s="10" t="inlineStr">
        <is>
          <t>R</t>
        </is>
      </c>
      <c r="L179" s="12" t="n">
        <v>2230</v>
      </c>
      <c r="M179" s="14" t="n">
        <v>3.8</v>
      </c>
      <c r="N179" s="12">
        <f>ROUND(L179/M179, 0)</f>
        <v/>
      </c>
      <c r="O179" s="12">
        <f>ROUND(N179*'Methodology &amp; Assumptions'!$B$5, 0)</f>
        <v/>
      </c>
      <c r="P179" s="10" t="inlineStr">
        <is>
          <t>Single Carrier (Band n50, 100MHz TDD)</t>
        </is>
      </c>
      <c r="Q179" s="13">
        <f>ROUNDUP(O179/'Methodology &amp; Assumptions'!$B$6, 0)</f>
        <v/>
      </c>
      <c r="R179" s="13" t="n">
        <v>1</v>
      </c>
      <c r="S179" s="14" t="n">
        <v>3.17</v>
      </c>
      <c r="T179" s="14" t="n">
        <v>3.39</v>
      </c>
      <c r="U179" s="26">
        <f>IF(X179&gt;='Methodology &amp; Assumptions'!$B$7, "Tier 1 Critical GIDA (Score ≥ 50.0)", IF(X179&gt;='Methodology &amp; Assumptions'!$B$8, "Tier 2 High GIDA (Score 40.0–49.9)", "Tier 3 Moderate GIDA (Score &lt; 40.0)"))</f>
        <v/>
      </c>
      <c r="V179" s="26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W179" s="28" t="n">
        <v>0.156</v>
      </c>
      <c r="X179" s="14" t="n">
        <v>56.58</v>
      </c>
      <c r="Y179" s="14">
        <f>ROUND(MIN(100, (X179/69.91)*100), 2)</f>
        <v/>
      </c>
    </row>
    <row r="180">
      <c r="A180" s="10" t="n">
        <v>1</v>
      </c>
      <c r="B180" s="10" t="n">
        <v>176</v>
      </c>
      <c r="C180" s="10" t="n">
        <v>176</v>
      </c>
      <c r="D180" s="10" t="inlineStr">
        <is>
          <t>PH0000176</t>
        </is>
      </c>
      <c r="E180" s="26" t="inlineStr">
        <is>
          <t>VI</t>
        </is>
      </c>
      <c r="F180" s="26" t="inlineStr">
        <is>
          <t>Iloilo</t>
        </is>
      </c>
      <c r="G180" s="26" t="inlineStr">
        <is>
          <t>Iloilo City</t>
        </is>
      </c>
      <c r="H180" s="26" t="inlineStr">
        <is>
          <t>Zamora-Melliza</t>
        </is>
      </c>
      <c r="I180" s="27" t="n">
        <v>10.693602</v>
      </c>
      <c r="J180" s="27" t="n">
        <v>122.575959</v>
      </c>
      <c r="K180" s="10" t="inlineStr">
        <is>
          <t>R</t>
        </is>
      </c>
      <c r="L180" s="12" t="n">
        <v>2230</v>
      </c>
      <c r="M180" s="14" t="n">
        <v>3.8</v>
      </c>
      <c r="N180" s="12">
        <f>ROUND(L180/M180, 0)</f>
        <v/>
      </c>
      <c r="O180" s="12">
        <f>ROUND(N180*'Methodology &amp; Assumptions'!$B$5, 0)</f>
        <v/>
      </c>
      <c r="P180" s="10" t="inlineStr">
        <is>
          <t>Single Carrier (Band n50, 100MHz TDD)</t>
        </is>
      </c>
      <c r="Q180" s="13">
        <f>ROUNDUP(O180/'Methodology &amp; Assumptions'!$B$6, 0)</f>
        <v/>
      </c>
      <c r="R180" s="13" t="n">
        <v>1</v>
      </c>
      <c r="S180" s="14" t="n">
        <v>2.41</v>
      </c>
      <c r="T180" s="14" t="n">
        <v>1.09</v>
      </c>
      <c r="U180" s="26">
        <f>IF(X180&gt;='Methodology &amp; Assumptions'!$B$7, "Tier 1 Critical GIDA (Score ≥ 50.0)", IF(X180&gt;='Methodology &amp; Assumptions'!$B$8, "Tier 2 High GIDA (Score 40.0–49.9)", "Tier 3 Moderate GIDA (Score &lt; 40.0)"))</f>
        <v/>
      </c>
      <c r="V180" s="26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W180" s="28" t="n">
        <v>0.156</v>
      </c>
      <c r="X180" s="14" t="n">
        <v>56.57</v>
      </c>
      <c r="Y180" s="14">
        <f>ROUND(MIN(100, (X180/69.91)*100), 2)</f>
        <v/>
      </c>
    </row>
    <row r="181">
      <c r="A181" s="10" t="n">
        <v>1</v>
      </c>
      <c r="B181" s="10" t="n">
        <v>177</v>
      </c>
      <c r="C181" s="10" t="n">
        <v>177</v>
      </c>
      <c r="D181" s="10" t="inlineStr">
        <is>
          <t>1403209005</t>
        </is>
      </c>
      <c r="E181" s="26" t="inlineStr">
        <is>
          <t>Cordillera Administrative Region (CAR)</t>
        </is>
      </c>
      <c r="F181" s="26" t="inlineStr">
        <is>
          <t>Kalinga</t>
        </is>
      </c>
      <c r="G181" s="26" t="inlineStr">
        <is>
          <t>Pinukpuk</t>
        </is>
      </c>
      <c r="H181" s="26" t="inlineStr">
        <is>
          <t>Ba-ay</t>
        </is>
      </c>
      <c r="I181" s="27" t="n">
        <v>17.483292</v>
      </c>
      <c r="J181" s="27" t="n">
        <v>121.275259</v>
      </c>
      <c r="K181" s="10" t="inlineStr">
        <is>
          <t>R</t>
        </is>
      </c>
      <c r="L181" s="12" t="n">
        <v>525</v>
      </c>
      <c r="M181" s="14" t="n">
        <v>4.3</v>
      </c>
      <c r="N181" s="12">
        <f>ROUND(L181/M181, 0)</f>
        <v/>
      </c>
      <c r="O181" s="12">
        <f>ROUND(N181*'Methodology &amp; Assumptions'!$B$5, 0)</f>
        <v/>
      </c>
      <c r="P181" s="10" t="inlineStr">
        <is>
          <t>Single Carrier (Band n50, 100MHz TDD)</t>
        </is>
      </c>
      <c r="Q181" s="13">
        <f>ROUNDUP(O181/'Methodology &amp; Assumptions'!$B$6, 0)</f>
        <v/>
      </c>
      <c r="R181" s="13" t="n">
        <v>1</v>
      </c>
      <c r="S181" s="14" t="n">
        <v>10.75</v>
      </c>
      <c r="T181" s="14" t="n">
        <v>7.8</v>
      </c>
      <c r="U181" s="26">
        <f>IF(X181&gt;='Methodology &amp; Assumptions'!$B$7, "Tier 1 Critical GIDA (Score ≥ 50.0)", IF(X181&gt;='Methodology &amp; Assumptions'!$B$8, "Tier 2 High GIDA (Score 40.0–49.9)", "Tier 3 Moderate GIDA (Score &lt; 40.0)"))</f>
        <v/>
      </c>
      <c r="V181" s="26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W181" s="28" t="n">
        <v>0.109</v>
      </c>
      <c r="X181" s="14" t="n">
        <v>56.56</v>
      </c>
      <c r="Y181" s="14">
        <f>ROUND(MIN(100, (X181/69.91)*100), 2)</f>
        <v/>
      </c>
    </row>
    <row r="182">
      <c r="A182" s="10" t="n">
        <v>1</v>
      </c>
      <c r="B182" s="10" t="n">
        <v>178</v>
      </c>
      <c r="C182" s="10" t="n">
        <v>178</v>
      </c>
      <c r="D182" s="10" t="inlineStr">
        <is>
          <t>PH0000178</t>
        </is>
      </c>
      <c r="E182" s="26" t="inlineStr">
        <is>
          <t>III</t>
        </is>
      </c>
      <c r="F182" s="26" t="inlineStr">
        <is>
          <t>Aurora</t>
        </is>
      </c>
      <c r="G182" s="26" t="inlineStr">
        <is>
          <t>Maria</t>
        </is>
      </c>
      <c r="H182" s="26" t="inlineStr">
        <is>
          <t>Ponglo</t>
        </is>
      </c>
      <c r="I182" s="27" t="n">
        <v>9.174242</v>
      </c>
      <c r="J182" s="27" t="n">
        <v>123.659834</v>
      </c>
      <c r="K182" s="10" t="inlineStr">
        <is>
          <t>R</t>
        </is>
      </c>
      <c r="L182" s="12" t="n">
        <v>483</v>
      </c>
      <c r="M182" s="14" t="n">
        <v>3.8</v>
      </c>
      <c r="N182" s="12">
        <f>ROUND(L182/M182, 0)</f>
        <v/>
      </c>
      <c r="O182" s="12">
        <f>ROUND(N182*'Methodology &amp; Assumptions'!$B$5, 0)</f>
        <v/>
      </c>
      <c r="P182" s="10" t="inlineStr">
        <is>
          <t>Single Carrier (Band n50, 100MHz TDD)</t>
        </is>
      </c>
      <c r="Q182" s="13">
        <f>ROUNDUP(O182/'Methodology &amp; Assumptions'!$B$6, 0)</f>
        <v/>
      </c>
      <c r="R182" s="13" t="n">
        <v>1</v>
      </c>
      <c r="S182" s="14" t="n">
        <v>40.72</v>
      </c>
      <c r="T182" s="14" t="n">
        <v>20.28</v>
      </c>
      <c r="U182" s="26">
        <f>IF(X182&gt;='Methodology &amp; Assumptions'!$B$7, "Tier 1 Critical GIDA (Score ≥ 50.0)", IF(X182&gt;='Methodology &amp; Assumptions'!$B$8, "Tier 2 High GIDA (Score 40.0–49.9)", "Tier 3 Moderate GIDA (Score &lt; 40.0)"))</f>
        <v/>
      </c>
      <c r="V182" s="26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W182" s="28" t="n">
        <v>0.083</v>
      </c>
      <c r="X182" s="14" t="n">
        <v>56.56</v>
      </c>
      <c r="Y182" s="14">
        <f>ROUND(MIN(100, (X182/69.91)*100), 2)</f>
        <v/>
      </c>
    </row>
    <row r="183">
      <c r="A183" s="10" t="n">
        <v>1</v>
      </c>
      <c r="B183" s="10" t="n">
        <v>179</v>
      </c>
      <c r="C183" s="10" t="n">
        <v>179</v>
      </c>
      <c r="D183" s="10" t="inlineStr">
        <is>
          <t>PH0000179</t>
        </is>
      </c>
      <c r="E183" s="26" t="inlineStr">
        <is>
          <t>X</t>
        </is>
      </c>
      <c r="F183" s="26" t="inlineStr">
        <is>
          <t>Misamis Oriental</t>
        </is>
      </c>
      <c r="G183" s="26" t="inlineStr">
        <is>
          <t>Cagayan De Oro City</t>
        </is>
      </c>
      <c r="H183" s="26" t="inlineStr">
        <is>
          <t>Barangay 8 (Pob.)</t>
        </is>
      </c>
      <c r="I183" s="27" t="n">
        <v>8.455444</v>
      </c>
      <c r="J183" s="27" t="n">
        <v>124.646914</v>
      </c>
      <c r="K183" s="10" t="inlineStr">
        <is>
          <t>R</t>
        </is>
      </c>
      <c r="L183" s="12" t="n">
        <v>2272</v>
      </c>
      <c r="M183" s="14" t="n">
        <v>3.9</v>
      </c>
      <c r="N183" s="12">
        <f>ROUND(L183/M183, 0)</f>
        <v/>
      </c>
      <c r="O183" s="12">
        <f>ROUND(N183*'Methodology &amp; Assumptions'!$B$5, 0)</f>
        <v/>
      </c>
      <c r="P183" s="10" t="inlineStr">
        <is>
          <t>Single Carrier (Band n50, 100MHz TDD)</t>
        </is>
      </c>
      <c r="Q183" s="13">
        <f>ROUNDUP(O183/'Methodology &amp; Assumptions'!$B$6, 0)</f>
        <v/>
      </c>
      <c r="R183" s="13" t="n">
        <v>1</v>
      </c>
      <c r="S183" s="14" t="n">
        <v>2.31</v>
      </c>
      <c r="T183" s="14" t="n">
        <v>2.5</v>
      </c>
      <c r="U183" s="26">
        <f>IF(X183&gt;='Methodology &amp; Assumptions'!$B$7, "Tier 1 Critical GIDA (Score ≥ 50.0)", IF(X183&gt;='Methodology &amp; Assumptions'!$B$8, "Tier 2 High GIDA (Score 40.0–49.9)", "Tier 3 Moderate GIDA (Score &lt; 40.0)"))</f>
        <v/>
      </c>
      <c r="V183" s="26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W183" s="28" t="n">
        <v>0.234</v>
      </c>
      <c r="X183" s="14" t="n">
        <v>56.55</v>
      </c>
      <c r="Y183" s="14">
        <f>ROUND(MIN(100, (X183/69.91)*100), 2)</f>
        <v/>
      </c>
    </row>
    <row r="184">
      <c r="A184" s="10" t="n">
        <v>1</v>
      </c>
      <c r="B184" s="10" t="n">
        <v>180</v>
      </c>
      <c r="C184" s="10" t="n">
        <v>180</v>
      </c>
      <c r="D184" s="10" t="inlineStr">
        <is>
          <t>PH0000180</t>
        </is>
      </c>
      <c r="E184" s="26" t="inlineStr">
        <is>
          <t>II</t>
        </is>
      </c>
      <c r="F184" s="26" t="inlineStr">
        <is>
          <t>Nueva Vizcaya</t>
        </is>
      </c>
      <c r="G184" s="26" t="inlineStr">
        <is>
          <t>Kasibu</t>
        </is>
      </c>
      <c r="H184" s="26" t="inlineStr">
        <is>
          <t>Tokod</t>
        </is>
      </c>
      <c r="I184" s="27" t="n">
        <v>16.39125</v>
      </c>
      <c r="J184" s="27" t="n">
        <v>121.44192</v>
      </c>
      <c r="K184" s="10" t="inlineStr">
        <is>
          <t>R</t>
        </is>
      </c>
      <c r="L184" s="12" t="n">
        <v>1559</v>
      </c>
      <c r="M184" s="14" t="n">
        <v>3.8</v>
      </c>
      <c r="N184" s="12">
        <f>ROUND(L184/M184, 0)</f>
        <v/>
      </c>
      <c r="O184" s="12">
        <f>ROUND(N184*'Methodology &amp; Assumptions'!$B$5, 0)</f>
        <v/>
      </c>
      <c r="P184" s="10" t="inlineStr">
        <is>
          <t>Single Carrier (Band n50, 100MHz TDD)</t>
        </is>
      </c>
      <c r="Q184" s="13">
        <f>ROUNDUP(O184/'Methodology &amp; Assumptions'!$B$6, 0)</f>
        <v/>
      </c>
      <c r="R184" s="13" t="n">
        <v>1</v>
      </c>
      <c r="S184" s="14" t="n">
        <v>16.72</v>
      </c>
      <c r="T184" s="14" t="n">
        <v>17.89</v>
      </c>
      <c r="U184" s="26">
        <f>IF(X184&gt;='Methodology &amp; Assumptions'!$B$7, "Tier 1 Critical GIDA (Score ≥ 50.0)", IF(X184&gt;='Methodology &amp; Assumptions'!$B$8, "Tier 2 High GIDA (Score 40.0–49.9)", "Tier 3 Moderate GIDA (Score &lt; 40.0)"))</f>
        <v/>
      </c>
      <c r="V184" s="26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W184" s="28" t="n">
        <v>0.083</v>
      </c>
      <c r="X184" s="14" t="n">
        <v>56.55</v>
      </c>
      <c r="Y184" s="14">
        <f>ROUND(MIN(100, (X184/69.91)*100), 2)</f>
        <v/>
      </c>
    </row>
    <row r="185">
      <c r="A185" s="10" t="n">
        <v>1</v>
      </c>
      <c r="B185" s="10" t="n">
        <v>181</v>
      </c>
      <c r="C185" s="10" t="n">
        <v>181</v>
      </c>
      <c r="D185" s="10" t="inlineStr">
        <is>
          <t>PH0000181</t>
        </is>
      </c>
      <c r="E185" s="26" t="inlineStr">
        <is>
          <t>III</t>
        </is>
      </c>
      <c r="F185" s="26" t="inlineStr">
        <is>
          <t>Nueva Ecija</t>
        </is>
      </c>
      <c r="G185" s="26" t="inlineStr">
        <is>
          <t>Cabanatuan City</t>
        </is>
      </c>
      <c r="H185" s="26" t="inlineStr">
        <is>
          <t>Barrera District (Pob.)</t>
        </is>
      </c>
      <c r="I185" s="27" t="n">
        <v>15.480675</v>
      </c>
      <c r="J185" s="27" t="n">
        <v>120.96745</v>
      </c>
      <c r="K185" s="10" t="inlineStr">
        <is>
          <t>R</t>
        </is>
      </c>
      <c r="L185" s="12" t="n">
        <v>2398</v>
      </c>
      <c r="M185" s="14" t="n">
        <v>3.5</v>
      </c>
      <c r="N185" s="12">
        <f>ROUND(L185/M185, 0)</f>
        <v/>
      </c>
      <c r="O185" s="12">
        <f>ROUND(N185*'Methodology &amp; Assumptions'!$B$5, 0)</f>
        <v/>
      </c>
      <c r="P185" s="10" t="inlineStr">
        <is>
          <t>Single Carrier (Band n50, 100MHz TDD)</t>
        </is>
      </c>
      <c r="Q185" s="13">
        <f>ROUNDUP(O185/'Methodology &amp; Assumptions'!$B$6, 0)</f>
        <v/>
      </c>
      <c r="R185" s="13" t="n">
        <v>1</v>
      </c>
      <c r="S185" s="14" t="n">
        <v>0.68</v>
      </c>
      <c r="T185" s="14" t="n">
        <v>0.37</v>
      </c>
      <c r="U185" s="26">
        <f>IF(X185&gt;='Methodology &amp; Assumptions'!$B$7, "Tier 1 Critical GIDA (Score ≥ 50.0)", IF(X185&gt;='Methodology &amp; Assumptions'!$B$8, "Tier 2 High GIDA (Score 40.0–49.9)", "Tier 3 Moderate GIDA (Score &lt; 40.0)"))</f>
        <v/>
      </c>
      <c r="V185" s="26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W185" s="28" t="n">
        <v>0.083</v>
      </c>
      <c r="X185" s="14" t="n">
        <v>56.55</v>
      </c>
      <c r="Y185" s="14">
        <f>ROUND(MIN(100, (X185/69.91)*100), 2)</f>
        <v/>
      </c>
    </row>
    <row r="186">
      <c r="A186" s="10" t="n">
        <v>1</v>
      </c>
      <c r="B186" s="10" t="n">
        <v>182</v>
      </c>
      <c r="C186" s="10" t="n">
        <v>182</v>
      </c>
      <c r="D186" s="10" t="inlineStr">
        <is>
          <t>1003512004</t>
        </is>
      </c>
      <c r="E186" s="26" t="inlineStr">
        <is>
          <t>Region X (Northern Mindanao)</t>
        </is>
      </c>
      <c r="F186" s="26" t="inlineStr">
        <is>
          <t>Lanao del Norte</t>
        </is>
      </c>
      <c r="G186" s="26" t="inlineStr">
        <is>
          <t>Maigo</t>
        </is>
      </c>
      <c r="H186" s="26" t="inlineStr">
        <is>
          <t>Inoma</t>
        </is>
      </c>
      <c r="I186" s="27" t="n">
        <v>8.143774000000001</v>
      </c>
      <c r="J186" s="27" t="n">
        <v>123.968682</v>
      </c>
      <c r="K186" s="10" t="inlineStr">
        <is>
          <t>R</t>
        </is>
      </c>
      <c r="L186" s="12" t="n">
        <v>786</v>
      </c>
      <c r="M186" s="14" t="n">
        <v>4.2</v>
      </c>
      <c r="N186" s="12">
        <f>ROUND(L186/M186, 0)</f>
        <v/>
      </c>
      <c r="O186" s="12">
        <f>ROUND(N186*'Methodology &amp; Assumptions'!$B$5, 0)</f>
        <v/>
      </c>
      <c r="P186" s="10" t="inlineStr">
        <is>
          <t>Single Carrier (Band n50, 100MHz TDD)</t>
        </is>
      </c>
      <c r="Q186" s="13">
        <f>ROUNDUP(O186/'Methodology &amp; Assumptions'!$B$6, 0)</f>
        <v/>
      </c>
      <c r="R186" s="13" t="n">
        <v>1</v>
      </c>
      <c r="S186" s="14" t="n">
        <v>21.77</v>
      </c>
      <c r="T186" s="14" t="n">
        <v>2.05</v>
      </c>
      <c r="U186" s="26">
        <f>IF(X186&gt;='Methodology &amp; Assumptions'!$B$7, "Tier 1 Critical GIDA (Score ≥ 50.0)", IF(X186&gt;='Methodology &amp; Assumptions'!$B$8, "Tier 2 High GIDA (Score 40.0–49.9)", "Tier 3 Moderate GIDA (Score &lt; 40.0)"))</f>
        <v/>
      </c>
      <c r="V186" s="26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W186" s="28" t="n">
        <v>0.174</v>
      </c>
      <c r="X186" s="14" t="n">
        <v>56.54</v>
      </c>
      <c r="Y186" s="14">
        <f>ROUND(MIN(100, (X186/69.91)*100), 2)</f>
        <v/>
      </c>
    </row>
    <row r="187">
      <c r="A187" s="10" t="n">
        <v>1</v>
      </c>
      <c r="B187" s="10" t="n">
        <v>183</v>
      </c>
      <c r="C187" s="10" t="n">
        <v>183</v>
      </c>
      <c r="D187" s="10" t="inlineStr">
        <is>
          <t>PH0000183</t>
        </is>
      </c>
      <c r="E187" s="26" t="inlineStr">
        <is>
          <t>VI</t>
        </is>
      </c>
      <c r="F187" s="26" t="inlineStr">
        <is>
          <t>Iloilo</t>
        </is>
      </c>
      <c r="G187" s="26" t="inlineStr">
        <is>
          <t>Iloilo City</t>
        </is>
      </c>
      <c r="H187" s="26" t="inlineStr">
        <is>
          <t>Railway</t>
        </is>
      </c>
      <c r="I187" s="27" t="n">
        <v>10.674223</v>
      </c>
      <c r="J187" s="27" t="n">
        <v>122.519474</v>
      </c>
      <c r="K187" s="10" t="inlineStr">
        <is>
          <t>R</t>
        </is>
      </c>
      <c r="L187" s="12" t="n">
        <v>2230</v>
      </c>
      <c r="M187" s="14" t="n">
        <v>3.8</v>
      </c>
      <c r="N187" s="12">
        <f>ROUND(L187/M187, 0)</f>
        <v/>
      </c>
      <c r="O187" s="12">
        <f>ROUND(N187*'Methodology &amp; Assumptions'!$B$5, 0)</f>
        <v/>
      </c>
      <c r="P187" s="10" t="inlineStr">
        <is>
          <t>Single Carrier (Band n50, 100MHz TDD)</t>
        </is>
      </c>
      <c r="Q187" s="13">
        <f>ROUNDUP(O187/'Methodology &amp; Assumptions'!$B$6, 0)</f>
        <v/>
      </c>
      <c r="R187" s="13" t="n">
        <v>1</v>
      </c>
      <c r="S187" s="14" t="n">
        <v>3.13</v>
      </c>
      <c r="T187" s="14" t="n">
        <v>3.14</v>
      </c>
      <c r="U187" s="26">
        <f>IF(X187&gt;='Methodology &amp; Assumptions'!$B$7, "Tier 1 Critical GIDA (Score ≥ 50.0)", IF(X187&gt;='Methodology &amp; Assumptions'!$B$8, "Tier 2 High GIDA (Score 40.0–49.9)", "Tier 3 Moderate GIDA (Score &lt; 40.0)"))</f>
        <v/>
      </c>
      <c r="V187" s="26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W187" s="28" t="n">
        <v>0.156</v>
      </c>
      <c r="X187" s="14" t="n">
        <v>56.54</v>
      </c>
      <c r="Y187" s="14">
        <f>ROUND(MIN(100, (X187/69.91)*100), 2)</f>
        <v/>
      </c>
    </row>
    <row r="188">
      <c r="A188" s="10" t="n">
        <v>1</v>
      </c>
      <c r="B188" s="10" t="n">
        <v>184</v>
      </c>
      <c r="C188" s="10" t="n">
        <v>184</v>
      </c>
      <c r="D188" s="10" t="inlineStr">
        <is>
          <t>PH0000184</t>
        </is>
      </c>
      <c r="E188" s="26" t="inlineStr">
        <is>
          <t>VI</t>
        </is>
      </c>
      <c r="F188" s="26" t="inlineStr">
        <is>
          <t>Iloilo</t>
        </is>
      </c>
      <c r="G188" s="26" t="inlineStr">
        <is>
          <t>Iloilo City</t>
        </is>
      </c>
      <c r="H188" s="26" t="inlineStr">
        <is>
          <t>Calubihan</t>
        </is>
      </c>
      <c r="I188" s="27" t="n">
        <v>10.761713</v>
      </c>
      <c r="J188" s="27" t="n">
        <v>122.544908</v>
      </c>
      <c r="K188" s="10" t="inlineStr">
        <is>
          <t>R</t>
        </is>
      </c>
      <c r="L188" s="12" t="n">
        <v>2230</v>
      </c>
      <c r="M188" s="14" t="n">
        <v>3.8</v>
      </c>
      <c r="N188" s="12">
        <f>ROUND(L188/M188, 0)</f>
        <v/>
      </c>
      <c r="O188" s="12">
        <f>ROUND(N188*'Methodology &amp; Assumptions'!$B$5, 0)</f>
        <v/>
      </c>
      <c r="P188" s="10" t="inlineStr">
        <is>
          <t>Single Carrier (Band n50, 100MHz TDD)</t>
        </is>
      </c>
      <c r="Q188" s="13">
        <f>ROUNDUP(O188/'Methodology &amp; Assumptions'!$B$6, 0)</f>
        <v/>
      </c>
      <c r="R188" s="13" t="n">
        <v>1</v>
      </c>
      <c r="S188" s="14" t="n">
        <v>1.45</v>
      </c>
      <c r="T188" s="14" t="n">
        <v>2.99</v>
      </c>
      <c r="U188" s="26">
        <f>IF(X188&gt;='Methodology &amp; Assumptions'!$B$7, "Tier 1 Critical GIDA (Score ≥ 50.0)", IF(X188&gt;='Methodology &amp; Assumptions'!$B$8, "Tier 2 High GIDA (Score 40.0–49.9)", "Tier 3 Moderate GIDA (Score &lt; 40.0)"))</f>
        <v/>
      </c>
      <c r="V188" s="26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W188" s="28" t="n">
        <v>0.156</v>
      </c>
      <c r="X188" s="14" t="n">
        <v>56.54</v>
      </c>
      <c r="Y188" s="14">
        <f>ROUND(MIN(100, (X188/69.91)*100), 2)</f>
        <v/>
      </c>
    </row>
    <row r="189">
      <c r="A189" s="10" t="n">
        <v>1</v>
      </c>
      <c r="B189" s="10" t="n">
        <v>185</v>
      </c>
      <c r="C189" s="10" t="n">
        <v>185</v>
      </c>
      <c r="D189" s="10" t="inlineStr">
        <is>
          <t>0307706005</t>
        </is>
      </c>
      <c r="E189" s="26" t="inlineStr">
        <is>
          <t>Region III (Central Luzon)</t>
        </is>
      </c>
      <c r="F189" s="26" t="inlineStr">
        <is>
          <t>Aurora</t>
        </is>
      </c>
      <c r="G189" s="26" t="inlineStr">
        <is>
          <t>Dipaculao</t>
        </is>
      </c>
      <c r="H189" s="26" t="inlineStr">
        <is>
          <t>Dianed</t>
        </is>
      </c>
      <c r="I189" s="27" t="n">
        <v>16.01282</v>
      </c>
      <c r="J189" s="27" t="n">
        <v>121.67226</v>
      </c>
      <c r="K189" s="10" t="inlineStr">
        <is>
          <t>R</t>
        </is>
      </c>
      <c r="L189" s="12" t="n">
        <v>577</v>
      </c>
      <c r="M189" s="14" t="n">
        <v>3.8</v>
      </c>
      <c r="N189" s="12">
        <f>ROUND(L189/M189, 0)</f>
        <v/>
      </c>
      <c r="O189" s="12">
        <f>ROUND(N189*'Methodology &amp; Assumptions'!$B$5, 0)</f>
        <v/>
      </c>
      <c r="P189" s="10" t="inlineStr">
        <is>
          <t>Single Carrier (Band n50, 100MHz TDD)</t>
        </is>
      </c>
      <c r="Q189" s="13">
        <f>ROUNDUP(O189/'Methodology &amp; Assumptions'!$B$6, 0)</f>
        <v/>
      </c>
      <c r="R189" s="13" t="n">
        <v>1</v>
      </c>
      <c r="S189" s="14" t="n">
        <v>12.53</v>
      </c>
      <c r="T189" s="14" t="n">
        <v>0.17</v>
      </c>
      <c r="U189" s="26">
        <f>IF(X189&gt;='Methodology &amp; Assumptions'!$B$7, "Tier 1 Critical GIDA (Score ≥ 50.0)", IF(X189&gt;='Methodology &amp; Assumptions'!$B$8, "Tier 2 High GIDA (Score 40.0–49.9)", "Tier 3 Moderate GIDA (Score &lt; 40.0)"))</f>
        <v/>
      </c>
      <c r="V189" s="26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W189" s="28" t="n">
        <v>0.083</v>
      </c>
      <c r="X189" s="14" t="n">
        <v>56.53</v>
      </c>
      <c r="Y189" s="14">
        <f>ROUND(MIN(100, (X189/69.91)*100), 2)</f>
        <v/>
      </c>
    </row>
    <row r="190">
      <c r="A190" s="10" t="n">
        <v>1</v>
      </c>
      <c r="B190" s="10" t="n">
        <v>186</v>
      </c>
      <c r="C190" s="10" t="n">
        <v>186</v>
      </c>
      <c r="D190" s="10" t="inlineStr">
        <is>
          <t>PH0000186</t>
        </is>
      </c>
      <c r="E190" s="26" t="inlineStr">
        <is>
          <t>X</t>
        </is>
      </c>
      <c r="F190" s="26" t="inlineStr">
        <is>
          <t>Misamis Oriental</t>
        </is>
      </c>
      <c r="G190" s="26" t="inlineStr">
        <is>
          <t>Cagayan De Oro City</t>
        </is>
      </c>
      <c r="H190" s="26" t="inlineStr">
        <is>
          <t>Barangay 2 (Pob.)</t>
        </is>
      </c>
      <c r="I190" s="27" t="n">
        <v>8.409625999999999</v>
      </c>
      <c r="J190" s="27" t="n">
        <v>124.631713</v>
      </c>
      <c r="K190" s="10" t="inlineStr">
        <is>
          <t>R</t>
        </is>
      </c>
      <c r="L190" s="12" t="n">
        <v>2272</v>
      </c>
      <c r="M190" s="14" t="n">
        <v>3.9</v>
      </c>
      <c r="N190" s="12">
        <f>ROUND(L190/M190, 0)</f>
        <v/>
      </c>
      <c r="O190" s="12">
        <f>ROUND(N190*'Methodology &amp; Assumptions'!$B$5, 0)</f>
        <v/>
      </c>
      <c r="P190" s="10" t="inlineStr">
        <is>
          <t>Single Carrier (Band n50, 100MHz TDD)</t>
        </is>
      </c>
      <c r="Q190" s="13">
        <f>ROUNDUP(O190/'Methodology &amp; Assumptions'!$B$6, 0)</f>
        <v/>
      </c>
      <c r="R190" s="13" t="n">
        <v>1</v>
      </c>
      <c r="S190" s="14" t="n">
        <v>3.21</v>
      </c>
      <c r="T190" s="14" t="n">
        <v>2.08</v>
      </c>
      <c r="U190" s="26">
        <f>IF(X190&gt;='Methodology &amp; Assumptions'!$B$7, "Tier 1 Critical GIDA (Score ≥ 50.0)", IF(X190&gt;='Methodology &amp; Assumptions'!$B$8, "Tier 2 High GIDA (Score 40.0–49.9)", "Tier 3 Moderate GIDA (Score &lt; 40.0)"))</f>
        <v/>
      </c>
      <c r="V190" s="26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W190" s="28" t="n">
        <v>0.234</v>
      </c>
      <c r="X190" s="14" t="n">
        <v>56.5</v>
      </c>
      <c r="Y190" s="14">
        <f>ROUND(MIN(100, (X190/69.91)*100), 2)</f>
        <v/>
      </c>
    </row>
    <row r="191">
      <c r="A191" s="10" t="n">
        <v>1</v>
      </c>
      <c r="B191" s="10" t="n">
        <v>187</v>
      </c>
      <c r="C191" s="10" t="n">
        <v>187</v>
      </c>
      <c r="D191" s="10" t="inlineStr">
        <is>
          <t>1403209022</t>
        </is>
      </c>
      <c r="E191" s="26" t="inlineStr">
        <is>
          <t>Cordillera Administrative Region (CAR)</t>
        </is>
      </c>
      <c r="F191" s="26" t="inlineStr">
        <is>
          <t>Kalinga</t>
        </is>
      </c>
      <c r="G191" s="26" t="inlineStr">
        <is>
          <t>Pinukpuk</t>
        </is>
      </c>
      <c r="H191" s="26" t="inlineStr">
        <is>
          <t>Taga</t>
        </is>
      </c>
      <c r="I191" s="27" t="n">
        <v>17.573333</v>
      </c>
      <c r="J191" s="27" t="n">
        <v>121.364722</v>
      </c>
      <c r="K191" s="10" t="inlineStr">
        <is>
          <t>R</t>
        </is>
      </c>
      <c r="L191" s="12" t="n">
        <v>2397</v>
      </c>
      <c r="M191" s="14" t="n">
        <v>4.3</v>
      </c>
      <c r="N191" s="12">
        <f>ROUND(L191/M191, 0)</f>
        <v/>
      </c>
      <c r="O191" s="12">
        <f>ROUND(N191*'Methodology &amp; Assumptions'!$B$5, 0)</f>
        <v/>
      </c>
      <c r="P191" s="10" t="inlineStr">
        <is>
          <t>Single Carrier (Band n50, 100MHz TDD)</t>
        </is>
      </c>
      <c r="Q191" s="13">
        <f>ROUNDUP(O191/'Methodology &amp; Assumptions'!$B$6, 0)</f>
        <v/>
      </c>
      <c r="R191" s="13" t="n">
        <v>1</v>
      </c>
      <c r="S191" s="14" t="n">
        <v>3.12</v>
      </c>
      <c r="T191" s="14" t="n">
        <v>6.49</v>
      </c>
      <c r="U191" s="26">
        <f>IF(X191&gt;='Methodology &amp; Assumptions'!$B$7, "Tier 1 Critical GIDA (Score ≥ 50.0)", IF(X191&gt;='Methodology &amp; Assumptions'!$B$8, "Tier 2 High GIDA (Score 40.0–49.9)", "Tier 3 Moderate GIDA (Score &lt; 40.0)"))</f>
        <v/>
      </c>
      <c r="V191" s="26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W191" s="28" t="n">
        <v>0.109</v>
      </c>
      <c r="X191" s="14" t="n">
        <v>56.49</v>
      </c>
      <c r="Y191" s="14">
        <f>ROUND(MIN(100, (X191/69.91)*100), 2)</f>
        <v/>
      </c>
    </row>
    <row r="192">
      <c r="A192" s="10" t="n">
        <v>1</v>
      </c>
      <c r="B192" s="10" t="n">
        <v>188</v>
      </c>
      <c r="C192" s="10" t="n">
        <v>188</v>
      </c>
      <c r="D192" s="10" t="inlineStr">
        <is>
          <t>PH0000188</t>
        </is>
      </c>
      <c r="E192" s="26" t="inlineStr">
        <is>
          <t>X</t>
        </is>
      </c>
      <c r="F192" s="26" t="inlineStr">
        <is>
          <t>Misamis Oriental</t>
        </is>
      </c>
      <c r="G192" s="26" t="inlineStr">
        <is>
          <t>Cagayan De Oro City</t>
        </is>
      </c>
      <c r="H192" s="26" t="inlineStr">
        <is>
          <t>Barangay 30 (Pob.)</t>
        </is>
      </c>
      <c r="I192" s="27" t="n">
        <v>8.455867</v>
      </c>
      <c r="J192" s="27" t="n">
        <v>124.610604</v>
      </c>
      <c r="K192" s="10" t="inlineStr">
        <is>
          <t>R</t>
        </is>
      </c>
      <c r="L192" s="12" t="n">
        <v>2272</v>
      </c>
      <c r="M192" s="14" t="n">
        <v>3.9</v>
      </c>
      <c r="N192" s="12">
        <f>ROUND(L192/M192, 0)</f>
        <v/>
      </c>
      <c r="O192" s="12">
        <f>ROUND(N192*'Methodology &amp; Assumptions'!$B$5, 0)</f>
        <v/>
      </c>
      <c r="P192" s="10" t="inlineStr">
        <is>
          <t>Single Carrier (Band n50, 100MHz TDD)</t>
        </is>
      </c>
      <c r="Q192" s="13">
        <f>ROUNDUP(O192/'Methodology &amp; Assumptions'!$B$6, 0)</f>
        <v/>
      </c>
      <c r="R192" s="13" t="n">
        <v>1</v>
      </c>
      <c r="S192" s="14" t="n">
        <v>2.43</v>
      </c>
      <c r="T192" s="14" t="n">
        <v>0.59</v>
      </c>
      <c r="U192" s="26">
        <f>IF(X192&gt;='Methodology &amp; Assumptions'!$B$7, "Tier 1 Critical GIDA (Score ≥ 50.0)", IF(X192&gt;='Methodology &amp; Assumptions'!$B$8, "Tier 2 High GIDA (Score 40.0–49.9)", "Tier 3 Moderate GIDA (Score &lt; 40.0)"))</f>
        <v/>
      </c>
      <c r="V192" s="26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W192" s="28" t="n">
        <v>0.234</v>
      </c>
      <c r="X192" s="14" t="n">
        <v>56.49</v>
      </c>
      <c r="Y192" s="14">
        <f>ROUND(MIN(100, (X192/69.91)*100), 2)</f>
        <v/>
      </c>
    </row>
    <row r="193">
      <c r="A193" s="10" t="n">
        <v>1</v>
      </c>
      <c r="B193" s="10" t="n">
        <v>189</v>
      </c>
      <c r="C193" s="10" t="n">
        <v>189</v>
      </c>
      <c r="D193" s="10" t="inlineStr">
        <is>
          <t>0401025018</t>
        </is>
      </c>
      <c r="E193" s="26" t="inlineStr">
        <is>
          <t>Region IV-A (CALABARZON)</t>
        </is>
      </c>
      <c r="F193" s="26" t="inlineStr">
        <is>
          <t>Batangas</t>
        </is>
      </c>
      <c r="G193" s="26" t="inlineStr">
        <is>
          <t>San Nicolas</t>
        </is>
      </c>
      <c r="H193" s="26" t="inlineStr">
        <is>
          <t>Alas-as</t>
        </is>
      </c>
      <c r="I193" s="27" t="n">
        <v>13.911423</v>
      </c>
      <c r="J193" s="27" t="n">
        <v>120.956435</v>
      </c>
      <c r="K193" s="10" t="inlineStr">
        <is>
          <t>R</t>
        </is>
      </c>
      <c r="L193" s="12" t="n">
        <v>2568</v>
      </c>
      <c r="M193" s="14" t="n">
        <v>3.6</v>
      </c>
      <c r="N193" s="12">
        <f>ROUND(L193/M193, 0)</f>
        <v/>
      </c>
      <c r="O193" s="12">
        <f>ROUND(N193*'Methodology &amp; Assumptions'!$B$5, 0)</f>
        <v/>
      </c>
      <c r="P193" s="10" t="inlineStr">
        <is>
          <t>Single Carrier (Band n50, 100MHz TDD)</t>
        </is>
      </c>
      <c r="Q193" s="13">
        <f>ROUNDUP(O193/'Methodology &amp; Assumptions'!$B$6, 0)</f>
        <v/>
      </c>
      <c r="R193" s="13" t="n">
        <v>1</v>
      </c>
      <c r="S193" s="14" t="n">
        <v>2.11</v>
      </c>
      <c r="T193" s="14" t="n">
        <v>3.21</v>
      </c>
      <c r="U193" s="26">
        <f>IF(X193&gt;='Methodology &amp; Assumptions'!$B$7, "Tier 1 Critical GIDA (Score ≥ 50.0)", IF(X193&gt;='Methodology &amp; Assumptions'!$B$8, "Tier 2 High GIDA (Score 40.0–49.9)", "Tier 3 Moderate GIDA (Score &lt; 40.0)"))</f>
        <v/>
      </c>
      <c r="V193" s="26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W193" s="28" t="n">
        <v>0.07200000000000001</v>
      </c>
      <c r="X193" s="14" t="n">
        <v>56.48</v>
      </c>
      <c r="Y193" s="14">
        <f>ROUND(MIN(100, (X193/69.91)*100), 2)</f>
        <v/>
      </c>
    </row>
    <row r="194">
      <c r="A194" s="10" t="n">
        <v>1</v>
      </c>
      <c r="B194" s="10" t="n">
        <v>190</v>
      </c>
      <c r="C194" s="10" t="n">
        <v>190</v>
      </c>
      <c r="D194" s="10" t="inlineStr">
        <is>
          <t>PH0000190</t>
        </is>
      </c>
      <c r="E194" s="26" t="inlineStr">
        <is>
          <t>X</t>
        </is>
      </c>
      <c r="F194" s="26" t="inlineStr">
        <is>
          <t>Misamis Oriental</t>
        </is>
      </c>
      <c r="G194" s="26" t="inlineStr">
        <is>
          <t>Cagayan De Oro City</t>
        </is>
      </c>
      <c r="H194" s="26" t="inlineStr">
        <is>
          <t>Barangay 32 (Pob.)</t>
        </is>
      </c>
      <c r="I194" s="27" t="n">
        <v>8.434868</v>
      </c>
      <c r="J194" s="27" t="n">
        <v>124.660077</v>
      </c>
      <c r="K194" s="10" t="inlineStr">
        <is>
          <t>R</t>
        </is>
      </c>
      <c r="L194" s="12" t="n">
        <v>2272</v>
      </c>
      <c r="M194" s="14" t="n">
        <v>3.9</v>
      </c>
      <c r="N194" s="12">
        <f>ROUND(L194/M194, 0)</f>
        <v/>
      </c>
      <c r="O194" s="12">
        <f>ROUND(N194*'Methodology &amp; Assumptions'!$B$5, 0)</f>
        <v/>
      </c>
      <c r="P194" s="10" t="inlineStr">
        <is>
          <t>Single Carrier (Band n50, 100MHz TDD)</t>
        </is>
      </c>
      <c r="Q194" s="13">
        <f>ROUNDUP(O194/'Methodology &amp; Assumptions'!$B$6, 0)</f>
        <v/>
      </c>
      <c r="R194" s="13" t="n">
        <v>1</v>
      </c>
      <c r="S194" s="14" t="n">
        <v>0.75</v>
      </c>
      <c r="T194" s="14" t="n">
        <v>4.39</v>
      </c>
      <c r="U194" s="26">
        <f>IF(X194&gt;='Methodology &amp; Assumptions'!$B$7, "Tier 1 Critical GIDA (Score ≥ 50.0)", IF(X194&gt;='Methodology &amp; Assumptions'!$B$8, "Tier 2 High GIDA (Score 40.0–49.9)", "Tier 3 Moderate GIDA (Score &lt; 40.0)"))</f>
        <v/>
      </c>
      <c r="V194" s="26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W194" s="28" t="n">
        <v>0.234</v>
      </c>
      <c r="X194" s="14" t="n">
        <v>56.48</v>
      </c>
      <c r="Y194" s="14">
        <f>ROUND(MIN(100, (X194/69.91)*100), 2)</f>
        <v/>
      </c>
    </row>
    <row r="195">
      <c r="A195" s="10" t="n">
        <v>1</v>
      </c>
      <c r="B195" s="10" t="n">
        <v>191</v>
      </c>
      <c r="C195" s="10" t="n">
        <v>191</v>
      </c>
      <c r="D195" s="10" t="inlineStr">
        <is>
          <t>PH0000191</t>
        </is>
      </c>
      <c r="E195" s="26" t="inlineStr">
        <is>
          <t>VI</t>
        </is>
      </c>
      <c r="F195" s="26" t="inlineStr">
        <is>
          <t>Iloilo</t>
        </is>
      </c>
      <c r="G195" s="26" t="inlineStr">
        <is>
          <t>Iloilo City</t>
        </is>
      </c>
      <c r="H195" s="26" t="inlineStr">
        <is>
          <t>Arsenal Aduana</t>
        </is>
      </c>
      <c r="I195" s="27" t="n">
        <v>10.678068</v>
      </c>
      <c r="J195" s="27" t="n">
        <v>122.587444</v>
      </c>
      <c r="K195" s="10" t="inlineStr">
        <is>
          <t>R</t>
        </is>
      </c>
      <c r="L195" s="12" t="n">
        <v>2230</v>
      </c>
      <c r="M195" s="14" t="n">
        <v>3.8</v>
      </c>
      <c r="N195" s="12">
        <f>ROUND(L195/M195, 0)</f>
        <v/>
      </c>
      <c r="O195" s="12">
        <f>ROUND(N195*'Methodology &amp; Assumptions'!$B$5, 0)</f>
        <v/>
      </c>
      <c r="P195" s="10" t="inlineStr">
        <is>
          <t>Single Carrier (Band n50, 100MHz TDD)</t>
        </is>
      </c>
      <c r="Q195" s="13">
        <f>ROUNDUP(O195/'Methodology &amp; Assumptions'!$B$6, 0)</f>
        <v/>
      </c>
      <c r="R195" s="13" t="n">
        <v>1</v>
      </c>
      <c r="S195" s="14" t="n">
        <v>4.51</v>
      </c>
      <c r="T195" s="14" t="n">
        <v>3.22</v>
      </c>
      <c r="U195" s="26">
        <f>IF(X195&gt;='Methodology &amp; Assumptions'!$B$7, "Tier 1 Critical GIDA (Score ≥ 50.0)", IF(X195&gt;='Methodology &amp; Assumptions'!$B$8, "Tier 2 High GIDA (Score 40.0–49.9)", "Tier 3 Moderate GIDA (Score &lt; 40.0)"))</f>
        <v/>
      </c>
      <c r="V195" s="26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W195" s="28" t="n">
        <v>0.156</v>
      </c>
      <c r="X195" s="14" t="n">
        <v>56.48</v>
      </c>
      <c r="Y195" s="14">
        <f>ROUND(MIN(100, (X195/69.91)*100), 2)</f>
        <v/>
      </c>
    </row>
    <row r="196">
      <c r="A196" s="10" t="n">
        <v>1</v>
      </c>
      <c r="B196" s="10" t="n">
        <v>192</v>
      </c>
      <c r="C196" s="10" t="n">
        <v>192</v>
      </c>
      <c r="D196" s="10" t="inlineStr">
        <is>
          <t>PH0000192</t>
        </is>
      </c>
      <c r="E196" s="26" t="inlineStr">
        <is>
          <t>IV-A</t>
        </is>
      </c>
      <c r="F196" s="26" t="inlineStr">
        <is>
          <t>Batangas</t>
        </is>
      </c>
      <c r="G196" s="26" t="inlineStr">
        <is>
          <t>Lipa City</t>
        </is>
      </c>
      <c r="H196" s="26" t="inlineStr">
        <is>
          <t>Poblacion Barangay 4</t>
        </is>
      </c>
      <c r="I196" s="27" t="n">
        <v>13.935191</v>
      </c>
      <c r="J196" s="27" t="n">
        <v>121.165823</v>
      </c>
      <c r="K196" s="10" t="inlineStr">
        <is>
          <t>R</t>
        </is>
      </c>
      <c r="L196" s="12" t="n">
        <v>2259</v>
      </c>
      <c r="M196" s="14" t="n">
        <v>3.6</v>
      </c>
      <c r="N196" s="12">
        <f>ROUND(L196/M196, 0)</f>
        <v/>
      </c>
      <c r="O196" s="12">
        <f>ROUND(N196*'Methodology &amp; Assumptions'!$B$5, 0)</f>
        <v/>
      </c>
      <c r="P196" s="10" t="inlineStr">
        <is>
          <t>Single Carrier (Band n50, 100MHz TDD)</t>
        </is>
      </c>
      <c r="Q196" s="13">
        <f>ROUNDUP(O196/'Methodology &amp; Assumptions'!$B$6, 0)</f>
        <v/>
      </c>
      <c r="R196" s="13" t="n">
        <v>1</v>
      </c>
      <c r="S196" s="14" t="n">
        <v>1.01</v>
      </c>
      <c r="T196" s="14" t="n">
        <v>0.32</v>
      </c>
      <c r="U196" s="26">
        <f>IF(X196&gt;='Methodology &amp; Assumptions'!$B$7, "Tier 1 Critical GIDA (Score ≥ 50.0)", IF(X196&gt;='Methodology &amp; Assumptions'!$B$8, "Tier 2 High GIDA (Score 40.0–49.9)", "Tier 3 Moderate GIDA (Score &lt; 40.0)"))</f>
        <v/>
      </c>
      <c r="V196" s="26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W196" s="28" t="n">
        <v>0.07200000000000001</v>
      </c>
      <c r="X196" s="14" t="n">
        <v>56.45</v>
      </c>
      <c r="Y196" s="14">
        <f>ROUND(MIN(100, (X196/69.91)*100), 2)</f>
        <v/>
      </c>
    </row>
    <row r="197">
      <c r="A197" s="10" t="n">
        <v>1</v>
      </c>
      <c r="B197" s="10" t="n">
        <v>193</v>
      </c>
      <c r="C197" s="10" t="n">
        <v>193</v>
      </c>
      <c r="D197" s="10" t="inlineStr">
        <is>
          <t>0201515021</t>
        </is>
      </c>
      <c r="E197" s="26" t="inlineStr">
        <is>
          <t>Region II (Cagayan Valley)</t>
        </is>
      </c>
      <c r="F197" s="26" t="inlineStr">
        <is>
          <t>Cagayan</t>
        </is>
      </c>
      <c r="G197" s="26" t="inlineStr">
        <is>
          <t>Iguig</t>
        </is>
      </c>
      <c r="H197" s="26" t="inlineStr">
        <is>
          <t>San Lorenzo</t>
        </is>
      </c>
      <c r="I197" s="27" t="n">
        <v>17.739022</v>
      </c>
      <c r="J197" s="27" t="n">
        <v>121.742793</v>
      </c>
      <c r="K197" s="10" t="inlineStr">
        <is>
          <t>R</t>
        </is>
      </c>
      <c r="L197" s="12" t="n">
        <v>482</v>
      </c>
      <c r="M197" s="14" t="n">
        <v>3.9</v>
      </c>
      <c r="N197" s="12">
        <f>ROUND(L197/M197, 0)</f>
        <v/>
      </c>
      <c r="O197" s="12">
        <f>ROUND(N197*'Methodology &amp; Assumptions'!$B$5, 0)</f>
        <v/>
      </c>
      <c r="P197" s="10" t="inlineStr">
        <is>
          <t>Single Carrier (Band n50, 100MHz TDD)</t>
        </is>
      </c>
      <c r="Q197" s="13">
        <f>ROUNDUP(O197/'Methodology &amp; Assumptions'!$B$6, 0)</f>
        <v/>
      </c>
      <c r="R197" s="13" t="n">
        <v>1</v>
      </c>
      <c r="S197" s="14" t="n">
        <v>5.81</v>
      </c>
      <c r="T197" s="14" t="n">
        <v>0.51</v>
      </c>
      <c r="U197" s="26">
        <f>IF(X197&gt;='Methodology &amp; Assumptions'!$B$7, "Tier 1 Critical GIDA (Score ≥ 50.0)", IF(X197&gt;='Methodology &amp; Assumptions'!$B$8, "Tier 2 High GIDA (Score 40.0–49.9)", "Tier 3 Moderate GIDA (Score &lt; 40.0)"))</f>
        <v/>
      </c>
      <c r="V197" s="26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W197" s="28" t="n">
        <v>0.083</v>
      </c>
      <c r="X197" s="14" t="n">
        <v>56.44</v>
      </c>
      <c r="Y197" s="14">
        <f>ROUND(MIN(100, (X197/69.91)*100), 2)</f>
        <v/>
      </c>
    </row>
    <row r="198">
      <c r="A198" s="10" t="n">
        <v>1</v>
      </c>
      <c r="B198" s="10" t="n">
        <v>194</v>
      </c>
      <c r="C198" s="10" t="n">
        <v>194</v>
      </c>
      <c r="D198" s="10" t="inlineStr">
        <is>
          <t>PH0000194</t>
        </is>
      </c>
      <c r="E198" s="26" t="inlineStr">
        <is>
          <t>X</t>
        </is>
      </c>
      <c r="F198" s="26" t="inlineStr">
        <is>
          <t>Misamis Oriental</t>
        </is>
      </c>
      <c r="G198" s="26" t="inlineStr">
        <is>
          <t>Cagayan De Oro City</t>
        </is>
      </c>
      <c r="H198" s="26" t="inlineStr">
        <is>
          <t>Barangay 18 (Pob.)</t>
        </is>
      </c>
      <c r="I198" s="27" t="n">
        <v>8.41648</v>
      </c>
      <c r="J198" s="27" t="n">
        <v>124.606852</v>
      </c>
      <c r="K198" s="10" t="inlineStr">
        <is>
          <t>R</t>
        </is>
      </c>
      <c r="L198" s="12" t="n">
        <v>2272</v>
      </c>
      <c r="M198" s="14" t="n">
        <v>3.9</v>
      </c>
      <c r="N198" s="12">
        <f>ROUND(L198/M198, 0)</f>
        <v/>
      </c>
      <c r="O198" s="12">
        <f>ROUND(N198*'Methodology &amp; Assumptions'!$B$5, 0)</f>
        <v/>
      </c>
      <c r="P198" s="10" t="inlineStr">
        <is>
          <t>Single Carrier (Band n50, 100MHz TDD)</t>
        </is>
      </c>
      <c r="Q198" s="13">
        <f>ROUNDUP(O198/'Methodology &amp; Assumptions'!$B$6, 0)</f>
        <v/>
      </c>
      <c r="R198" s="13" t="n">
        <v>1</v>
      </c>
      <c r="S198" s="14" t="n">
        <v>2.58</v>
      </c>
      <c r="T198" s="14" t="n">
        <v>0.65</v>
      </c>
      <c r="U198" s="26">
        <f>IF(X198&gt;='Methodology &amp; Assumptions'!$B$7, "Tier 1 Critical GIDA (Score ≥ 50.0)", IF(X198&gt;='Methodology &amp; Assumptions'!$B$8, "Tier 2 High GIDA (Score 40.0–49.9)", "Tier 3 Moderate GIDA (Score &lt; 40.0)"))</f>
        <v/>
      </c>
      <c r="V198" s="26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W198" s="28" t="n">
        <v>0.234</v>
      </c>
      <c r="X198" s="14" t="n">
        <v>56.44</v>
      </c>
      <c r="Y198" s="14">
        <f>ROUND(MIN(100, (X198/69.91)*100), 2)</f>
        <v/>
      </c>
    </row>
    <row r="199">
      <c r="A199" s="10" t="n">
        <v>1</v>
      </c>
      <c r="B199" s="10" t="n">
        <v>195</v>
      </c>
      <c r="C199" s="10" t="n">
        <v>195</v>
      </c>
      <c r="D199" s="10" t="inlineStr">
        <is>
          <t>1403214003</t>
        </is>
      </c>
      <c r="E199" s="26" t="inlineStr">
        <is>
          <t>Cordillera Administrative Region (CAR)</t>
        </is>
      </c>
      <c r="F199" s="26" t="inlineStr">
        <is>
          <t>Kalinga</t>
        </is>
      </c>
      <c r="G199" s="26" t="inlineStr">
        <is>
          <t>Tanudan</t>
        </is>
      </c>
      <c r="H199" s="26" t="inlineStr">
        <is>
          <t>Dacalan</t>
        </is>
      </c>
      <c r="I199" s="27" t="n">
        <v>17.227582</v>
      </c>
      <c r="J199" s="27" t="n">
        <v>121.225784</v>
      </c>
      <c r="K199" s="10" t="inlineStr">
        <is>
          <t>R</t>
        </is>
      </c>
      <c r="L199" s="12" t="n">
        <v>348</v>
      </c>
      <c r="M199" s="14" t="n">
        <v>4.3</v>
      </c>
      <c r="N199" s="12">
        <f>ROUND(L199/M199, 0)</f>
        <v/>
      </c>
      <c r="O199" s="12">
        <f>ROUND(N199*'Methodology &amp; Assumptions'!$B$5, 0)</f>
        <v/>
      </c>
      <c r="P199" s="10" t="inlineStr">
        <is>
          <t>Single Carrier (Band n50, 100MHz TDD)</t>
        </is>
      </c>
      <c r="Q199" s="13">
        <f>ROUNDUP(O199/'Methodology &amp; Assumptions'!$B$6, 0)</f>
        <v/>
      </c>
      <c r="R199" s="13" t="n">
        <v>1</v>
      </c>
      <c r="S199" s="14" t="n">
        <v>9.109999999999999</v>
      </c>
      <c r="T199" s="14" t="n">
        <v>8.92</v>
      </c>
      <c r="U199" s="26">
        <f>IF(X199&gt;='Methodology &amp; Assumptions'!$B$7, "Tier 1 Critical GIDA (Score ≥ 50.0)", IF(X199&gt;='Methodology &amp; Assumptions'!$B$8, "Tier 2 High GIDA (Score 40.0–49.9)", "Tier 3 Moderate GIDA (Score &lt; 40.0)"))</f>
        <v/>
      </c>
      <c r="V199" s="26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W199" s="28" t="n">
        <v>0.109</v>
      </c>
      <c r="X199" s="14" t="n">
        <v>56.43</v>
      </c>
      <c r="Y199" s="14">
        <f>ROUND(MIN(100, (X199/69.91)*100), 2)</f>
        <v/>
      </c>
    </row>
    <row r="200">
      <c r="A200" s="10" t="n">
        <v>1</v>
      </c>
      <c r="B200" s="10" t="n">
        <v>196</v>
      </c>
      <c r="C200" s="10" t="n">
        <v>196</v>
      </c>
      <c r="D200" s="10" t="inlineStr">
        <is>
          <t>PH0000196</t>
        </is>
      </c>
      <c r="E200" s="26" t="inlineStr">
        <is>
          <t>X</t>
        </is>
      </c>
      <c r="F200" s="26" t="inlineStr">
        <is>
          <t>Misamis Oriental</t>
        </is>
      </c>
      <c r="G200" s="26" t="inlineStr">
        <is>
          <t>Cagayan De Oro City</t>
        </is>
      </c>
      <c r="H200" s="26" t="inlineStr">
        <is>
          <t>Barangay 11 (Pob.)</t>
        </is>
      </c>
      <c r="I200" s="27" t="n">
        <v>8.467813</v>
      </c>
      <c r="J200" s="27" t="n">
        <v>124.634758</v>
      </c>
      <c r="K200" s="10" t="inlineStr">
        <is>
          <t>R</t>
        </is>
      </c>
      <c r="L200" s="12" t="n">
        <v>2272</v>
      </c>
      <c r="M200" s="14" t="n">
        <v>3.9</v>
      </c>
      <c r="N200" s="12">
        <f>ROUND(L200/M200, 0)</f>
        <v/>
      </c>
      <c r="O200" s="12">
        <f>ROUND(N200*'Methodology &amp; Assumptions'!$B$5, 0)</f>
        <v/>
      </c>
      <c r="P200" s="10" t="inlineStr">
        <is>
          <t>Single Carrier (Band n50, 100MHz TDD)</t>
        </is>
      </c>
      <c r="Q200" s="13">
        <f>ROUNDUP(O200/'Methodology &amp; Assumptions'!$B$6, 0)</f>
        <v/>
      </c>
      <c r="R200" s="13" t="n">
        <v>1</v>
      </c>
      <c r="S200" s="14" t="n">
        <v>0.8100000000000001</v>
      </c>
      <c r="T200" s="14" t="n">
        <v>1.82</v>
      </c>
      <c r="U200" s="26">
        <f>IF(X200&gt;='Methodology &amp; Assumptions'!$B$7, "Tier 1 Critical GIDA (Score ≥ 50.0)", IF(X200&gt;='Methodology &amp; Assumptions'!$B$8, "Tier 2 High GIDA (Score 40.0–49.9)", "Tier 3 Moderate GIDA (Score &lt; 40.0)"))</f>
        <v/>
      </c>
      <c r="V200" s="26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W200" s="28" t="n">
        <v>0.234</v>
      </c>
      <c r="X200" s="14" t="n">
        <v>56.43</v>
      </c>
      <c r="Y200" s="14">
        <f>ROUND(MIN(100, (X200/69.91)*100), 2)</f>
        <v/>
      </c>
    </row>
    <row r="201">
      <c r="A201" s="10" t="n">
        <v>1</v>
      </c>
      <c r="B201" s="10" t="n">
        <v>197</v>
      </c>
      <c r="C201" s="10" t="n">
        <v>197</v>
      </c>
      <c r="D201" s="10" t="inlineStr">
        <is>
          <t>PH0000197</t>
        </is>
      </c>
      <c r="E201" s="26" t="inlineStr">
        <is>
          <t>VI</t>
        </is>
      </c>
      <c r="F201" s="26" t="inlineStr">
        <is>
          <t>Iloilo</t>
        </is>
      </c>
      <c r="G201" s="26" t="inlineStr">
        <is>
          <t>Iloilo City</t>
        </is>
      </c>
      <c r="H201" s="26" t="inlineStr">
        <is>
          <t>Yulo-Arroyo</t>
        </is>
      </c>
      <c r="I201" s="27" t="n">
        <v>10.712414</v>
      </c>
      <c r="J201" s="27" t="n">
        <v>122.496185</v>
      </c>
      <c r="K201" s="10" t="inlineStr">
        <is>
          <t>R</t>
        </is>
      </c>
      <c r="L201" s="12" t="n">
        <v>2230</v>
      </c>
      <c r="M201" s="14" t="n">
        <v>3.8</v>
      </c>
      <c r="N201" s="12">
        <f>ROUND(L201/M201, 0)</f>
        <v/>
      </c>
      <c r="O201" s="12">
        <f>ROUND(N201*'Methodology &amp; Assumptions'!$B$5, 0)</f>
        <v/>
      </c>
      <c r="P201" s="10" t="inlineStr">
        <is>
          <t>Single Carrier (Band n50, 100MHz TDD)</t>
        </is>
      </c>
      <c r="Q201" s="13">
        <f>ROUNDUP(O201/'Methodology &amp; Assumptions'!$B$6, 0)</f>
        <v/>
      </c>
      <c r="R201" s="13" t="n">
        <v>1</v>
      </c>
      <c r="S201" s="14" t="n">
        <v>2.78</v>
      </c>
      <c r="T201" s="14" t="n">
        <v>2.1</v>
      </c>
      <c r="U201" s="26">
        <f>IF(X201&gt;='Methodology &amp; Assumptions'!$B$7, "Tier 1 Critical GIDA (Score ≥ 50.0)", IF(X201&gt;='Methodology &amp; Assumptions'!$B$8, "Tier 2 High GIDA (Score 40.0–49.9)", "Tier 3 Moderate GIDA (Score &lt; 40.0)"))</f>
        <v/>
      </c>
      <c r="V201" s="26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W201" s="28" t="n">
        <v>0.156</v>
      </c>
      <c r="X201" s="14" t="n">
        <v>56.4</v>
      </c>
      <c r="Y201" s="14">
        <f>ROUND(MIN(100, (X201/69.91)*100), 2)</f>
        <v/>
      </c>
    </row>
    <row r="202">
      <c r="A202" s="10" t="n">
        <v>1</v>
      </c>
      <c r="B202" s="10" t="n">
        <v>198</v>
      </c>
      <c r="C202" s="10" t="n">
        <v>198</v>
      </c>
      <c r="D202" s="10" t="inlineStr">
        <is>
          <t>1704005026</t>
        </is>
      </c>
      <c r="E202" s="26" t="inlineStr">
        <is>
          <t>MIMAROPA Region</t>
        </is>
      </c>
      <c r="F202" s="26" t="inlineStr">
        <is>
          <t>Marinduque</t>
        </is>
      </c>
      <c r="G202" s="26" t="inlineStr">
        <is>
          <t>Santa Cruz</t>
        </is>
      </c>
      <c r="H202" s="26" t="inlineStr">
        <is>
          <t>Kinyaman</t>
        </is>
      </c>
      <c r="I202" s="27" t="n">
        <v>13.467541</v>
      </c>
      <c r="J202" s="27" t="n">
        <v>122.040124</v>
      </c>
      <c r="K202" s="10" t="inlineStr">
        <is>
          <t>R</t>
        </is>
      </c>
      <c r="L202" s="12" t="n">
        <v>380</v>
      </c>
      <c r="M202" s="14" t="n">
        <v>3.8</v>
      </c>
      <c r="N202" s="12">
        <f>ROUND(L202/M202, 0)</f>
        <v/>
      </c>
      <c r="O202" s="12">
        <f>ROUND(N202*'Methodology &amp; Assumptions'!$B$5, 0)</f>
        <v/>
      </c>
      <c r="P202" s="10" t="inlineStr">
        <is>
          <t>Single Carrier (Band n50, 100MHz TDD)</t>
        </is>
      </c>
      <c r="Q202" s="13">
        <f>ROUNDUP(O202/'Methodology &amp; Assumptions'!$B$6, 0)</f>
        <v/>
      </c>
      <c r="R202" s="13" t="n">
        <v>1</v>
      </c>
      <c r="S202" s="14" t="n">
        <v>28.89</v>
      </c>
      <c r="T202" s="14" t="n">
        <v>27.52</v>
      </c>
      <c r="U202" s="26">
        <f>IF(X202&gt;='Methodology &amp; Assumptions'!$B$7, "Tier 1 Critical GIDA (Score ≥ 50.0)", IF(X202&gt;='Methodology &amp; Assumptions'!$B$8, "Tier 2 High GIDA (Score 40.0–49.9)", "Tier 3 Moderate GIDA (Score &lt; 40.0)"))</f>
        <v/>
      </c>
      <c r="V202" s="26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W202" s="28" t="n">
        <v>0.15</v>
      </c>
      <c r="X202" s="14" t="n">
        <v>56.39</v>
      </c>
      <c r="Y202" s="14">
        <f>ROUND(MIN(100, (X202/69.91)*100), 2)</f>
        <v/>
      </c>
    </row>
    <row r="203">
      <c r="A203" s="10" t="n">
        <v>1</v>
      </c>
      <c r="B203" s="10" t="n">
        <v>199</v>
      </c>
      <c r="C203" s="10" t="n">
        <v>199</v>
      </c>
      <c r="D203" s="10" t="inlineStr">
        <is>
          <t>0201501002</t>
        </is>
      </c>
      <c r="E203" s="26" t="inlineStr">
        <is>
          <t>Region II (Cagayan Valley)</t>
        </is>
      </c>
      <c r="F203" s="26" t="inlineStr">
        <is>
          <t>Cagayan</t>
        </is>
      </c>
      <c r="G203" s="26" t="inlineStr">
        <is>
          <t>Abulug</t>
        </is>
      </c>
      <c r="H203" s="26" t="inlineStr">
        <is>
          <t>Bagu</t>
        </is>
      </c>
      <c r="I203" s="27" t="n">
        <v>18.434535</v>
      </c>
      <c r="J203" s="27" t="n">
        <v>121.468684</v>
      </c>
      <c r="K203" s="10" t="inlineStr">
        <is>
          <t>R</t>
        </is>
      </c>
      <c r="L203" s="12" t="n">
        <v>2054</v>
      </c>
      <c r="M203" s="14" t="n">
        <v>3.9</v>
      </c>
      <c r="N203" s="12">
        <f>ROUND(L203/M203, 0)</f>
        <v/>
      </c>
      <c r="O203" s="12">
        <f>ROUND(N203*'Methodology &amp; Assumptions'!$B$5, 0)</f>
        <v/>
      </c>
      <c r="P203" s="10" t="inlineStr">
        <is>
          <t>Single Carrier (Band n50, 100MHz TDD)</t>
        </is>
      </c>
      <c r="Q203" s="13">
        <f>ROUNDUP(O203/'Methodology &amp; Assumptions'!$B$6, 0)</f>
        <v/>
      </c>
      <c r="R203" s="13" t="n">
        <v>1</v>
      </c>
      <c r="S203" s="14" t="n">
        <v>5.47</v>
      </c>
      <c r="T203" s="14" t="n">
        <v>9</v>
      </c>
      <c r="U203" s="26">
        <f>IF(X203&gt;='Methodology &amp; Assumptions'!$B$7, "Tier 1 Critical GIDA (Score ≥ 50.0)", IF(X203&gt;='Methodology &amp; Assumptions'!$B$8, "Tier 2 High GIDA (Score 40.0–49.9)", "Tier 3 Moderate GIDA (Score &lt; 40.0)"))</f>
        <v/>
      </c>
      <c r="V203" s="26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W203" s="28" t="n">
        <v>0.083</v>
      </c>
      <c r="X203" s="14" t="n">
        <v>56.38</v>
      </c>
      <c r="Y203" s="14">
        <f>ROUND(MIN(100, (X203/69.91)*100), 2)</f>
        <v/>
      </c>
    </row>
    <row r="204">
      <c r="A204" s="10" t="n">
        <v>1</v>
      </c>
      <c r="B204" s="10" t="n">
        <v>200</v>
      </c>
      <c r="C204" s="10" t="n">
        <v>200</v>
      </c>
      <c r="D204" s="10" t="inlineStr">
        <is>
          <t>0401025019</t>
        </is>
      </c>
      <c r="E204" s="26" t="inlineStr">
        <is>
          <t>Region IV-A (CALABARZON)</t>
        </is>
      </c>
      <c r="F204" s="26" t="inlineStr">
        <is>
          <t>Batangas</t>
        </is>
      </c>
      <c r="G204" s="26" t="inlineStr">
        <is>
          <t>San Nicolas</t>
        </is>
      </c>
      <c r="H204" s="26" t="inlineStr">
        <is>
          <t>Pulang-Bato</t>
        </is>
      </c>
      <c r="I204" s="27" t="n">
        <v>13.915621</v>
      </c>
      <c r="J204" s="27" t="n">
        <v>120.946527</v>
      </c>
      <c r="K204" s="10" t="inlineStr">
        <is>
          <t>R</t>
        </is>
      </c>
      <c r="L204" s="12" t="n">
        <v>2568</v>
      </c>
      <c r="M204" s="14" t="n">
        <v>3.6</v>
      </c>
      <c r="N204" s="12">
        <f>ROUND(L204/M204, 0)</f>
        <v/>
      </c>
      <c r="O204" s="12">
        <f>ROUND(N204*'Methodology &amp; Assumptions'!$B$5, 0)</f>
        <v/>
      </c>
      <c r="P204" s="10" t="inlineStr">
        <is>
          <t>Single Carrier (Band n50, 100MHz TDD)</t>
        </is>
      </c>
      <c r="Q204" s="13">
        <f>ROUNDUP(O204/'Methodology &amp; Assumptions'!$B$6, 0)</f>
        <v/>
      </c>
      <c r="R204" s="13" t="n">
        <v>1</v>
      </c>
      <c r="S204" s="14" t="n">
        <v>1.67</v>
      </c>
      <c r="T204" s="14" t="n">
        <v>3.09</v>
      </c>
      <c r="U204" s="26">
        <f>IF(X204&gt;='Methodology &amp; Assumptions'!$B$7, "Tier 1 Critical GIDA (Score ≥ 50.0)", IF(X204&gt;='Methodology &amp; Assumptions'!$B$8, "Tier 2 High GIDA (Score 40.0–49.9)", "Tier 3 Moderate GIDA (Score &lt; 40.0)"))</f>
        <v/>
      </c>
      <c r="V204" s="26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W204" s="28" t="n">
        <v>0.07200000000000001</v>
      </c>
      <c r="X204" s="14" t="n">
        <v>56.36</v>
      </c>
      <c r="Y204" s="14">
        <f>ROUND(MIN(100, (X204/69.91)*100), 2)</f>
        <v/>
      </c>
    </row>
    <row r="205">
      <c r="A205" s="10" t="n">
        <v>1</v>
      </c>
      <c r="B205" s="10" t="n">
        <v>201</v>
      </c>
      <c r="C205" s="10" t="n">
        <v>201</v>
      </c>
      <c r="D205" s="10" t="inlineStr">
        <is>
          <t>0201501001</t>
        </is>
      </c>
      <c r="E205" s="26" t="inlineStr">
        <is>
          <t>Region II (Cagayan Valley)</t>
        </is>
      </c>
      <c r="F205" s="26" t="inlineStr">
        <is>
          <t>Cagayan</t>
        </is>
      </c>
      <c r="G205" s="26" t="inlineStr">
        <is>
          <t>Abulug</t>
        </is>
      </c>
      <c r="H205" s="26" t="inlineStr">
        <is>
          <t>Alinunu</t>
        </is>
      </c>
      <c r="I205" s="27" t="n">
        <v>18.43134</v>
      </c>
      <c r="J205" s="27" t="n">
        <v>121.459027</v>
      </c>
      <c r="K205" s="10" t="inlineStr">
        <is>
          <t>R</t>
        </is>
      </c>
      <c r="L205" s="12" t="n">
        <v>1211</v>
      </c>
      <c r="M205" s="14" t="n">
        <v>3.9</v>
      </c>
      <c r="N205" s="12">
        <f>ROUND(L205/M205, 0)</f>
        <v/>
      </c>
      <c r="O205" s="12">
        <f>ROUND(N205*'Methodology &amp; Assumptions'!$B$5, 0)</f>
        <v/>
      </c>
      <c r="P205" s="10" t="inlineStr">
        <is>
          <t>Single Carrier (Band n50, 100MHz TDD)</t>
        </is>
      </c>
      <c r="Q205" s="13">
        <f>ROUNDUP(O205/'Methodology &amp; Assumptions'!$B$6, 0)</f>
        <v/>
      </c>
      <c r="R205" s="13" t="n">
        <v>1</v>
      </c>
      <c r="S205" s="14" t="n">
        <v>6.23</v>
      </c>
      <c r="T205" s="14" t="n">
        <v>7.92</v>
      </c>
      <c r="U205" s="26">
        <f>IF(X205&gt;='Methodology &amp; Assumptions'!$B$7, "Tier 1 Critical GIDA (Score ≥ 50.0)", IF(X205&gt;='Methodology &amp; Assumptions'!$B$8, "Tier 2 High GIDA (Score 40.0–49.9)", "Tier 3 Moderate GIDA (Score &lt; 40.0)"))</f>
        <v/>
      </c>
      <c r="V205" s="26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W205" s="28" t="n">
        <v>0.083</v>
      </c>
      <c r="X205" s="14" t="n">
        <v>56.35</v>
      </c>
      <c r="Y205" s="14">
        <f>ROUND(MIN(100, (X205/69.91)*100), 2)</f>
        <v/>
      </c>
    </row>
    <row r="206">
      <c r="A206" s="10" t="n">
        <v>1</v>
      </c>
      <c r="B206" s="10" t="n">
        <v>202</v>
      </c>
      <c r="C206" s="10" t="n">
        <v>202</v>
      </c>
      <c r="D206" s="10" t="inlineStr">
        <is>
          <t>PH0000202</t>
        </is>
      </c>
      <c r="E206" s="26" t="inlineStr">
        <is>
          <t>X</t>
        </is>
      </c>
      <c r="F206" s="26" t="inlineStr">
        <is>
          <t>Misamis Oriental</t>
        </is>
      </c>
      <c r="G206" s="26" t="inlineStr">
        <is>
          <t>Cagayan De Oro City</t>
        </is>
      </c>
      <c r="H206" s="26" t="inlineStr">
        <is>
          <t>Barangay 28 (Pob.)</t>
        </is>
      </c>
      <c r="I206" s="27" t="n">
        <v>8.408873</v>
      </c>
      <c r="J206" s="27" t="n">
        <v>124.649847</v>
      </c>
      <c r="K206" s="10" t="inlineStr">
        <is>
          <t>R</t>
        </is>
      </c>
      <c r="L206" s="12" t="n">
        <v>2272</v>
      </c>
      <c r="M206" s="14" t="n">
        <v>3.9</v>
      </c>
      <c r="N206" s="12">
        <f>ROUND(L206/M206, 0)</f>
        <v/>
      </c>
      <c r="O206" s="12">
        <f>ROUND(N206*'Methodology &amp; Assumptions'!$B$5, 0)</f>
        <v/>
      </c>
      <c r="P206" s="10" t="inlineStr">
        <is>
          <t>Single Carrier (Band n50, 100MHz TDD)</t>
        </is>
      </c>
      <c r="Q206" s="13">
        <f>ROUNDUP(O206/'Methodology &amp; Assumptions'!$B$6, 0)</f>
        <v/>
      </c>
      <c r="R206" s="13" t="n">
        <v>1</v>
      </c>
      <c r="S206" s="14" t="n">
        <v>3.1</v>
      </c>
      <c r="T206" s="14" t="n">
        <v>4.08</v>
      </c>
      <c r="U206" s="26">
        <f>IF(X206&gt;='Methodology &amp; Assumptions'!$B$7, "Tier 1 Critical GIDA (Score ≥ 50.0)", IF(X206&gt;='Methodology &amp; Assumptions'!$B$8, "Tier 2 High GIDA (Score 40.0–49.9)", "Tier 3 Moderate GIDA (Score &lt; 40.0)"))</f>
        <v/>
      </c>
      <c r="V206" s="26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W206" s="28" t="n">
        <v>0.234</v>
      </c>
      <c r="X206" s="14" t="n">
        <v>56.35</v>
      </c>
      <c r="Y206" s="14">
        <f>ROUND(MIN(100, (X206/69.91)*100), 2)</f>
        <v/>
      </c>
    </row>
    <row r="207">
      <c r="A207" s="10" t="n">
        <v>1</v>
      </c>
      <c r="B207" s="10" t="n">
        <v>203</v>
      </c>
      <c r="C207" s="10" t="n">
        <v>203</v>
      </c>
      <c r="D207" s="10" t="inlineStr">
        <is>
          <t>PH0000203</t>
        </is>
      </c>
      <c r="E207" s="26" t="inlineStr">
        <is>
          <t>VI</t>
        </is>
      </c>
      <c r="F207" s="26" t="inlineStr">
        <is>
          <t>Iloilo</t>
        </is>
      </c>
      <c r="G207" s="26" t="inlineStr">
        <is>
          <t>Iloilo City</t>
        </is>
      </c>
      <c r="H207" s="26" t="inlineStr">
        <is>
          <t>Kahirupan</t>
        </is>
      </c>
      <c r="I207" s="27" t="n">
        <v>10.748582</v>
      </c>
      <c r="J207" s="27" t="n">
        <v>122.589469</v>
      </c>
      <c r="K207" s="10" t="inlineStr">
        <is>
          <t>R</t>
        </is>
      </c>
      <c r="L207" s="12" t="n">
        <v>2230</v>
      </c>
      <c r="M207" s="14" t="n">
        <v>3.8</v>
      </c>
      <c r="N207" s="12">
        <f>ROUND(L207/M207, 0)</f>
        <v/>
      </c>
      <c r="O207" s="12">
        <f>ROUND(N207*'Methodology &amp; Assumptions'!$B$5, 0)</f>
        <v/>
      </c>
      <c r="P207" s="10" t="inlineStr">
        <is>
          <t>Single Carrier (Band n50, 100MHz TDD)</t>
        </is>
      </c>
      <c r="Q207" s="13">
        <f>ROUNDUP(O207/'Methodology &amp; Assumptions'!$B$6, 0)</f>
        <v/>
      </c>
      <c r="R207" s="13" t="n">
        <v>1</v>
      </c>
      <c r="S207" s="14" t="n">
        <v>2.5</v>
      </c>
      <c r="T207" s="14" t="n">
        <v>1.88</v>
      </c>
      <c r="U207" s="26">
        <f>IF(X207&gt;='Methodology &amp; Assumptions'!$B$7, "Tier 1 Critical GIDA (Score ≥ 50.0)", IF(X207&gt;='Methodology &amp; Assumptions'!$B$8, "Tier 2 High GIDA (Score 40.0–49.9)", "Tier 3 Moderate GIDA (Score &lt; 40.0)"))</f>
        <v/>
      </c>
      <c r="V207" s="26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W207" s="28" t="n">
        <v>0.156</v>
      </c>
      <c r="X207" s="14" t="n">
        <v>56.34</v>
      </c>
      <c r="Y207" s="14">
        <f>ROUND(MIN(100, (X207/69.91)*100), 2)</f>
        <v/>
      </c>
    </row>
    <row r="208">
      <c r="A208" s="10" t="n">
        <v>1</v>
      </c>
      <c r="B208" s="10" t="n">
        <v>204</v>
      </c>
      <c r="C208" s="10" t="n">
        <v>204</v>
      </c>
      <c r="D208" s="10" t="inlineStr">
        <is>
          <t>PH0000204</t>
        </is>
      </c>
      <c r="E208" s="26" t="inlineStr">
        <is>
          <t>VI</t>
        </is>
      </c>
      <c r="F208" s="26" t="inlineStr">
        <is>
          <t>Iloilo</t>
        </is>
      </c>
      <c r="G208" s="26" t="inlineStr">
        <is>
          <t>Iloilo City</t>
        </is>
      </c>
      <c r="H208" s="26" t="inlineStr">
        <is>
          <t>Timawa Tanza II</t>
        </is>
      </c>
      <c r="I208" s="27" t="n">
        <v>10.657736</v>
      </c>
      <c r="J208" s="27" t="n">
        <v>122.544429</v>
      </c>
      <c r="K208" s="10" t="inlineStr">
        <is>
          <t>R</t>
        </is>
      </c>
      <c r="L208" s="12" t="n">
        <v>2230</v>
      </c>
      <c r="M208" s="14" t="n">
        <v>3.8</v>
      </c>
      <c r="N208" s="12">
        <f>ROUND(L208/M208, 0)</f>
        <v/>
      </c>
      <c r="O208" s="12">
        <f>ROUND(N208*'Methodology &amp; Assumptions'!$B$5, 0)</f>
        <v/>
      </c>
      <c r="P208" s="10" t="inlineStr">
        <is>
          <t>Single Carrier (Band n50, 100MHz TDD)</t>
        </is>
      </c>
      <c r="Q208" s="13">
        <f>ROUNDUP(O208/'Methodology &amp; Assumptions'!$B$6, 0)</f>
        <v/>
      </c>
      <c r="R208" s="13" t="n">
        <v>1</v>
      </c>
      <c r="S208" s="14" t="n">
        <v>3.67</v>
      </c>
      <c r="T208" s="14" t="n">
        <v>5.57</v>
      </c>
      <c r="U208" s="26">
        <f>IF(X208&gt;='Methodology &amp; Assumptions'!$B$7, "Tier 1 Critical GIDA (Score ≥ 50.0)", IF(X208&gt;='Methodology &amp; Assumptions'!$B$8, "Tier 2 High GIDA (Score 40.0–49.9)", "Tier 3 Moderate GIDA (Score &lt; 40.0)"))</f>
        <v/>
      </c>
      <c r="V208" s="26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W208" s="28" t="n">
        <v>0.156</v>
      </c>
      <c r="X208" s="14" t="n">
        <v>56.33</v>
      </c>
      <c r="Y208" s="14">
        <f>ROUND(MIN(100, (X208/69.91)*100), 2)</f>
        <v/>
      </c>
    </row>
    <row r="209">
      <c r="A209" s="10" t="n">
        <v>1</v>
      </c>
      <c r="B209" s="10" t="n">
        <v>205</v>
      </c>
      <c r="C209" s="10" t="n">
        <v>205</v>
      </c>
      <c r="D209" s="10" t="inlineStr">
        <is>
          <t>PH0000205</t>
        </is>
      </c>
      <c r="E209" s="26" t="inlineStr">
        <is>
          <t>X</t>
        </is>
      </c>
      <c r="F209" s="26" t="inlineStr">
        <is>
          <t>Misamis Oriental</t>
        </is>
      </c>
      <c r="G209" s="26" t="inlineStr">
        <is>
          <t>Cagayan De Oro City</t>
        </is>
      </c>
      <c r="H209" s="26" t="inlineStr">
        <is>
          <t>Barangay 33 (Pob.)</t>
        </is>
      </c>
      <c r="I209" s="27" t="n">
        <v>8.443642000000001</v>
      </c>
      <c r="J209" s="27" t="n">
        <v>124.596353</v>
      </c>
      <c r="K209" s="10" t="inlineStr">
        <is>
          <t>R</t>
        </is>
      </c>
      <c r="L209" s="12" t="n">
        <v>2272</v>
      </c>
      <c r="M209" s="14" t="n">
        <v>3.9</v>
      </c>
      <c r="N209" s="12">
        <f>ROUND(L209/M209, 0)</f>
        <v/>
      </c>
      <c r="O209" s="12">
        <f>ROUND(N209*'Methodology &amp; Assumptions'!$B$5, 0)</f>
        <v/>
      </c>
      <c r="P209" s="10" t="inlineStr">
        <is>
          <t>Single Carrier (Band n50, 100MHz TDD)</t>
        </is>
      </c>
      <c r="Q209" s="13">
        <f>ROUNDUP(O209/'Methodology &amp; Assumptions'!$B$6, 0)</f>
        <v/>
      </c>
      <c r="R209" s="13" t="n">
        <v>1</v>
      </c>
      <c r="S209" s="14" t="n">
        <v>2.7</v>
      </c>
      <c r="T209" s="14" t="n">
        <v>2.67</v>
      </c>
      <c r="U209" s="26">
        <f>IF(X209&gt;='Methodology &amp; Assumptions'!$B$7, "Tier 1 Critical GIDA (Score ≥ 50.0)", IF(X209&gt;='Methodology &amp; Assumptions'!$B$8, "Tier 2 High GIDA (Score 40.0–49.9)", "Tier 3 Moderate GIDA (Score &lt; 40.0)"))</f>
        <v/>
      </c>
      <c r="V209" s="26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W209" s="28" t="n">
        <v>0.234</v>
      </c>
      <c r="X209" s="14" t="n">
        <v>56.32</v>
      </c>
      <c r="Y209" s="14">
        <f>ROUND(MIN(100, (X209/69.91)*100), 2)</f>
        <v/>
      </c>
    </row>
    <row r="210">
      <c r="A210" s="10" t="n">
        <v>1</v>
      </c>
      <c r="B210" s="10" t="n">
        <v>206</v>
      </c>
      <c r="C210" s="10" t="n">
        <v>206</v>
      </c>
      <c r="D210" s="10" t="inlineStr">
        <is>
          <t>PH0000206</t>
        </is>
      </c>
      <c r="E210" s="26" t="inlineStr">
        <is>
          <t>III</t>
        </is>
      </c>
      <c r="F210" s="26" t="inlineStr">
        <is>
          <t>Aurora</t>
        </is>
      </c>
      <c r="G210" s="26" t="inlineStr">
        <is>
          <t>Maria</t>
        </is>
      </c>
      <c r="H210" s="26" t="inlineStr">
        <is>
          <t>Suguit</t>
        </is>
      </c>
      <c r="I210" s="27" t="n">
        <v>9.178438999999999</v>
      </c>
      <c r="J210" s="27" t="n">
        <v>123.650092</v>
      </c>
      <c r="K210" s="10" t="inlineStr">
        <is>
          <t>R</t>
        </is>
      </c>
      <c r="L210" s="12" t="n">
        <v>483</v>
      </c>
      <c r="M210" s="14" t="n">
        <v>3.8</v>
      </c>
      <c r="N210" s="12">
        <f>ROUND(L210/M210, 0)</f>
        <v/>
      </c>
      <c r="O210" s="12">
        <f>ROUND(N210*'Methodology &amp; Assumptions'!$B$5, 0)</f>
        <v/>
      </c>
      <c r="P210" s="10" t="inlineStr">
        <is>
          <t>Single Carrier (Band n50, 100MHz TDD)</t>
        </is>
      </c>
      <c r="Q210" s="13">
        <f>ROUNDUP(O210/'Methodology &amp; Assumptions'!$B$6, 0)</f>
        <v/>
      </c>
      <c r="R210" s="13" t="n">
        <v>1</v>
      </c>
      <c r="S210" s="14" t="n">
        <v>39.58</v>
      </c>
      <c r="T210" s="14" t="n">
        <v>19.83</v>
      </c>
      <c r="U210" s="26">
        <f>IF(X210&gt;='Methodology &amp; Assumptions'!$B$7, "Tier 1 Critical GIDA (Score ≥ 50.0)", IF(X210&gt;='Methodology &amp; Assumptions'!$B$8, "Tier 2 High GIDA (Score 40.0–49.9)", "Tier 3 Moderate GIDA (Score &lt; 40.0)"))</f>
        <v/>
      </c>
      <c r="V210" s="26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W210" s="28" t="n">
        <v>0.083</v>
      </c>
      <c r="X210" s="14" t="n">
        <v>56.31</v>
      </c>
      <c r="Y210" s="14">
        <f>ROUND(MIN(100, (X210/69.91)*100), 2)</f>
        <v/>
      </c>
    </row>
    <row r="211">
      <c r="A211" s="10" t="n">
        <v>1</v>
      </c>
      <c r="B211" s="10" t="n">
        <v>207</v>
      </c>
      <c r="C211" s="10" t="n">
        <v>207</v>
      </c>
      <c r="D211" s="10" t="inlineStr">
        <is>
          <t>1401111005</t>
        </is>
      </c>
      <c r="E211" s="26" t="inlineStr">
        <is>
          <t>Cordillera Administrative Region (CAR)</t>
        </is>
      </c>
      <c r="F211" s="26" t="inlineStr">
        <is>
          <t>Benguet</t>
        </is>
      </c>
      <c r="G211" s="26" t="inlineStr">
        <is>
          <t>Mankayan</t>
        </is>
      </c>
      <c r="H211" s="26" t="inlineStr">
        <is>
          <t>Colalo</t>
        </is>
      </c>
      <c r="I211" s="27" t="n">
        <v>16.9129</v>
      </c>
      <c r="J211" s="27" t="n">
        <v>120.766449</v>
      </c>
      <c r="K211" s="10" t="inlineStr">
        <is>
          <t>R</t>
        </is>
      </c>
      <c r="L211" s="12" t="n">
        <v>1676</v>
      </c>
      <c r="M211" s="14" t="n">
        <v>3.5</v>
      </c>
      <c r="N211" s="12">
        <f>ROUND(L211/M211, 0)</f>
        <v/>
      </c>
      <c r="O211" s="12">
        <f>ROUND(N211*'Methodology &amp; Assumptions'!$B$5, 0)</f>
        <v/>
      </c>
      <c r="P211" s="10" t="inlineStr">
        <is>
          <t>Single Carrier (Band n50, 100MHz TDD)</t>
        </is>
      </c>
      <c r="Q211" s="13">
        <f>ROUNDUP(O211/'Methodology &amp; Assumptions'!$B$6, 0)</f>
        <v/>
      </c>
      <c r="R211" s="13" t="n">
        <v>1</v>
      </c>
      <c r="S211" s="14" t="n">
        <v>7.27</v>
      </c>
      <c r="T211" s="14" t="n">
        <v>0.31</v>
      </c>
      <c r="U211" s="26">
        <f>IF(X211&gt;='Methodology &amp; Assumptions'!$B$7, "Tier 1 Critical GIDA (Score ≥ 50.0)", IF(X211&gt;='Methodology &amp; Assumptions'!$B$8, "Tier 2 High GIDA (Score 40.0–49.9)", "Tier 3 Moderate GIDA (Score &lt; 40.0)"))</f>
        <v/>
      </c>
      <c r="V211" s="26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W211" s="28" t="n">
        <v>0.109</v>
      </c>
      <c r="X211" s="14" t="n">
        <v>56.31</v>
      </c>
      <c r="Y211" s="14">
        <f>ROUND(MIN(100, (X211/69.91)*100), 2)</f>
        <v/>
      </c>
    </row>
    <row r="212">
      <c r="A212" s="10" t="n">
        <v>1</v>
      </c>
      <c r="B212" s="10" t="n">
        <v>208</v>
      </c>
      <c r="C212" s="10" t="n">
        <v>208</v>
      </c>
      <c r="D212" s="10" t="inlineStr">
        <is>
          <t>1403211016</t>
        </is>
      </c>
      <c r="E212" s="26" t="inlineStr">
        <is>
          <t>Cordillera Administrative Region (CAR)</t>
        </is>
      </c>
      <c r="F212" s="26" t="inlineStr">
        <is>
          <t>Kalinga</t>
        </is>
      </c>
      <c r="G212" s="26" t="inlineStr">
        <is>
          <t>Rizal</t>
        </is>
      </c>
      <c r="H212" s="26" t="inlineStr">
        <is>
          <t>Bulbol</t>
        </is>
      </c>
      <c r="I212" s="27" t="n">
        <v>17.541591</v>
      </c>
      <c r="J212" s="27" t="n">
        <v>121.576729</v>
      </c>
      <c r="K212" s="10" t="inlineStr">
        <is>
          <t>R</t>
        </is>
      </c>
      <c r="L212" s="12" t="n">
        <v>1062</v>
      </c>
      <c r="M212" s="14" t="n">
        <v>3.6</v>
      </c>
      <c r="N212" s="12">
        <f>ROUND(L212/M212, 0)</f>
        <v/>
      </c>
      <c r="O212" s="12">
        <f>ROUND(N212*'Methodology &amp; Assumptions'!$B$5, 0)</f>
        <v/>
      </c>
      <c r="P212" s="10" t="inlineStr">
        <is>
          <t>Single Carrier (Band n50, 100MHz TDD)</t>
        </is>
      </c>
      <c r="Q212" s="13">
        <f>ROUNDUP(O212/'Methodology &amp; Assumptions'!$B$6, 0)</f>
        <v/>
      </c>
      <c r="R212" s="13" t="n">
        <v>1</v>
      </c>
      <c r="S212" s="14" t="n">
        <v>5.24</v>
      </c>
      <c r="T212" s="14" t="n">
        <v>5.1</v>
      </c>
      <c r="U212" s="26">
        <f>IF(X212&gt;='Methodology &amp; Assumptions'!$B$7, "Tier 1 Critical GIDA (Score ≥ 50.0)", IF(X212&gt;='Methodology &amp; Assumptions'!$B$8, "Tier 2 High GIDA (Score 40.0–49.9)", "Tier 3 Moderate GIDA (Score &lt; 40.0)"))</f>
        <v/>
      </c>
      <c r="V212" s="26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W212" s="28" t="n">
        <v>0.109</v>
      </c>
      <c r="X212" s="14" t="n">
        <v>56.29</v>
      </c>
      <c r="Y212" s="14">
        <f>ROUND(MIN(100, (X212/69.91)*100), 2)</f>
        <v/>
      </c>
    </row>
    <row r="213">
      <c r="A213" s="10" t="n">
        <v>1</v>
      </c>
      <c r="B213" s="10" t="n">
        <v>209</v>
      </c>
      <c r="C213" s="10" t="n">
        <v>209</v>
      </c>
      <c r="D213" s="10" t="inlineStr">
        <is>
          <t>PH0000209</t>
        </is>
      </c>
      <c r="E213" s="26" t="inlineStr">
        <is>
          <t>VI</t>
        </is>
      </c>
      <c r="F213" s="26" t="inlineStr">
        <is>
          <t>Iloilo</t>
        </is>
      </c>
      <c r="G213" s="26" t="inlineStr">
        <is>
          <t>Iloilo City</t>
        </is>
      </c>
      <c r="H213" s="26" t="inlineStr">
        <is>
          <t>Infante</t>
        </is>
      </c>
      <c r="I213" s="27" t="n">
        <v>10.757028</v>
      </c>
      <c r="J213" s="27" t="n">
        <v>122.514457</v>
      </c>
      <c r="K213" s="10" t="inlineStr">
        <is>
          <t>R</t>
        </is>
      </c>
      <c r="L213" s="12" t="n">
        <v>2230</v>
      </c>
      <c r="M213" s="14" t="n">
        <v>3.8</v>
      </c>
      <c r="N213" s="12">
        <f>ROUND(L213/M213, 0)</f>
        <v/>
      </c>
      <c r="O213" s="12">
        <f>ROUND(N213*'Methodology &amp; Assumptions'!$B$5, 0)</f>
        <v/>
      </c>
      <c r="P213" s="10" t="inlineStr">
        <is>
          <t>Single Carrier (Band n50, 100MHz TDD)</t>
        </is>
      </c>
      <c r="Q213" s="13">
        <f>ROUNDUP(O213/'Methodology &amp; Assumptions'!$B$6, 0)</f>
        <v/>
      </c>
      <c r="R213" s="13" t="n">
        <v>1</v>
      </c>
      <c r="S213" s="14" t="n">
        <v>3.7</v>
      </c>
      <c r="T213" s="14" t="n">
        <v>1</v>
      </c>
      <c r="U213" s="26">
        <f>IF(X213&gt;='Methodology &amp; Assumptions'!$B$7, "Tier 1 Critical GIDA (Score ≥ 50.0)", IF(X213&gt;='Methodology &amp; Assumptions'!$B$8, "Tier 2 High GIDA (Score 40.0–49.9)", "Tier 3 Moderate GIDA (Score &lt; 40.0)"))</f>
        <v/>
      </c>
      <c r="V213" s="26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W213" s="28" t="n">
        <v>0.156</v>
      </c>
      <c r="X213" s="14" t="n">
        <v>56.27</v>
      </c>
      <c r="Y213" s="14">
        <f>ROUND(MIN(100, (X213/69.91)*100), 2)</f>
        <v/>
      </c>
    </row>
    <row r="214">
      <c r="A214" s="10" t="n">
        <v>1</v>
      </c>
      <c r="B214" s="10" t="n">
        <v>210</v>
      </c>
      <c r="C214" s="10" t="n">
        <v>210</v>
      </c>
      <c r="D214" s="10" t="inlineStr">
        <is>
          <t>PH0000210</t>
        </is>
      </c>
      <c r="E214" s="26" t="inlineStr">
        <is>
          <t>III</t>
        </is>
      </c>
      <c r="F214" s="26" t="inlineStr">
        <is>
          <t>Aurora</t>
        </is>
      </c>
      <c r="G214" s="26" t="inlineStr">
        <is>
          <t>Maria</t>
        </is>
      </c>
      <c r="H214" s="26" t="inlineStr">
        <is>
          <t>Dialatman</t>
        </is>
      </c>
      <c r="I214" s="27" t="n">
        <v>9.182546</v>
      </c>
      <c r="J214" s="27" t="n">
        <v>123.662594</v>
      </c>
      <c r="K214" s="10" t="inlineStr">
        <is>
          <t>R</t>
        </is>
      </c>
      <c r="L214" s="12" t="n">
        <v>483</v>
      </c>
      <c r="M214" s="14" t="n">
        <v>3.8</v>
      </c>
      <c r="N214" s="12">
        <f>ROUND(L214/M214, 0)</f>
        <v/>
      </c>
      <c r="O214" s="12">
        <f>ROUND(N214*'Methodology &amp; Assumptions'!$B$5, 0)</f>
        <v/>
      </c>
      <c r="P214" s="10" t="inlineStr">
        <is>
          <t>Single Carrier (Band n50, 100MHz TDD)</t>
        </is>
      </c>
      <c r="Q214" s="13">
        <f>ROUNDUP(O214/'Methodology &amp; Assumptions'!$B$6, 0)</f>
        <v/>
      </c>
      <c r="R214" s="13" t="n">
        <v>1</v>
      </c>
      <c r="S214" s="14" t="n">
        <v>40.86</v>
      </c>
      <c r="T214" s="14" t="n">
        <v>21.13</v>
      </c>
      <c r="U214" s="26">
        <f>IF(X214&gt;='Methodology &amp; Assumptions'!$B$7, "Tier 1 Critical GIDA (Score ≥ 50.0)", IF(X214&gt;='Methodology &amp; Assumptions'!$B$8, "Tier 2 High GIDA (Score 40.0–49.9)", "Tier 3 Moderate GIDA (Score &lt; 40.0)"))</f>
        <v/>
      </c>
      <c r="V214" s="26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W214" s="28" t="n">
        <v>0.083</v>
      </c>
      <c r="X214" s="14" t="n">
        <v>56.26</v>
      </c>
      <c r="Y214" s="14">
        <f>ROUND(MIN(100, (X214/69.91)*100), 2)</f>
        <v/>
      </c>
    </row>
    <row r="215">
      <c r="A215" s="10" t="n">
        <v>1</v>
      </c>
      <c r="B215" s="10" t="n">
        <v>211</v>
      </c>
      <c r="C215" s="10" t="n">
        <v>211</v>
      </c>
      <c r="D215" s="10" t="inlineStr">
        <is>
          <t>1380400007</t>
        </is>
      </c>
      <c r="E215" s="26" t="inlineStr">
        <is>
          <t>National Capital Region (NCR)</t>
        </is>
      </c>
      <c r="F215" s="26" t="inlineStr">
        <is>
          <t>Third District (Not a Province)</t>
        </is>
      </c>
      <c r="G215" s="26" t="inlineStr">
        <is>
          <t>City of Malabon</t>
        </is>
      </c>
      <c r="H215" s="26" t="inlineStr">
        <is>
          <t>Flores</t>
        </is>
      </c>
      <c r="I215" s="27" t="n">
        <v>14.664754</v>
      </c>
      <c r="J215" s="27" t="n">
        <v>120.961546</v>
      </c>
      <c r="K215" s="10" t="inlineStr">
        <is>
          <t>U</t>
        </is>
      </c>
      <c r="L215" s="12" t="n">
        <v>3925</v>
      </c>
      <c r="M215" s="14" t="n">
        <v>3.7</v>
      </c>
      <c r="N215" s="12">
        <f>ROUND(L215/M215, 0)</f>
        <v/>
      </c>
      <c r="O215" s="12">
        <f>ROUND(N215*'Methodology &amp; Assumptions'!$B$5, 0)</f>
        <v/>
      </c>
      <c r="P215" s="10" t="inlineStr">
        <is>
          <t>Single Carrier (Band n50, 100MHz TDD)</t>
        </is>
      </c>
      <c r="Q215" s="13">
        <f>ROUNDUP(O215/'Methodology &amp; Assumptions'!$B$6, 0)</f>
        <v/>
      </c>
      <c r="R215" s="13" t="n">
        <v>1</v>
      </c>
      <c r="S215" s="14" t="n">
        <v>0.71</v>
      </c>
      <c r="T215" s="14" t="n">
        <v>0.52</v>
      </c>
      <c r="U215" s="26">
        <f>IF(X215&gt;='Methodology &amp; Assumptions'!$B$7, "Tier 1 Critical GIDA (Score ≥ 50.0)", IF(X215&gt;='Methodology &amp; Assumptions'!$B$8, "Tier 2 High GIDA (Score 40.0–49.9)", "Tier 3 Moderate GIDA (Score &lt; 40.0)"))</f>
        <v/>
      </c>
      <c r="V215" s="26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W215" s="28" t="n">
        <v>0.109</v>
      </c>
      <c r="X215" s="14" t="n">
        <v>56.26</v>
      </c>
      <c r="Y215" s="14">
        <f>ROUND(MIN(100, (X215/69.91)*100), 2)</f>
        <v/>
      </c>
    </row>
    <row r="216">
      <c r="A216" s="10" t="n">
        <v>1</v>
      </c>
      <c r="B216" s="10" t="n">
        <v>212</v>
      </c>
      <c r="C216" s="10" t="n">
        <v>212</v>
      </c>
      <c r="D216" s="10" t="inlineStr">
        <is>
          <t>1403213027</t>
        </is>
      </c>
      <c r="E216" s="26" t="inlineStr">
        <is>
          <t>Cordillera Administrative Region (CAR)</t>
        </is>
      </c>
      <c r="F216" s="26" t="inlineStr">
        <is>
          <t>Kalinga</t>
        </is>
      </c>
      <c r="G216" s="26" t="inlineStr">
        <is>
          <t>City of Tabuk</t>
        </is>
      </c>
      <c r="H216" s="26" t="inlineStr">
        <is>
          <t>Naneng</t>
        </is>
      </c>
      <c r="I216" s="27" t="n">
        <v>17.405413</v>
      </c>
      <c r="J216" s="27" t="n">
        <v>121.269222</v>
      </c>
      <c r="K216" s="10" t="inlineStr">
        <is>
          <t>R</t>
        </is>
      </c>
      <c r="L216" s="12" t="n">
        <v>734</v>
      </c>
      <c r="M216" s="14" t="n">
        <v>4.3</v>
      </c>
      <c r="N216" s="12">
        <f>ROUND(L216/M216, 0)</f>
        <v/>
      </c>
      <c r="O216" s="12">
        <f>ROUND(N216*'Methodology &amp; Assumptions'!$B$5, 0)</f>
        <v/>
      </c>
      <c r="P216" s="10" t="inlineStr">
        <is>
          <t>Single Carrier (Band n50, 100MHz TDD)</t>
        </is>
      </c>
      <c r="Q216" s="13">
        <f>ROUNDUP(O216/'Methodology &amp; Assumptions'!$B$6, 0)</f>
        <v/>
      </c>
      <c r="R216" s="13" t="n">
        <v>1</v>
      </c>
      <c r="S216" s="14" t="n">
        <v>18</v>
      </c>
      <c r="T216" s="14" t="n">
        <v>0.7</v>
      </c>
      <c r="U216" s="26">
        <f>IF(X216&gt;='Methodology &amp; Assumptions'!$B$7, "Tier 1 Critical GIDA (Score ≥ 50.0)", IF(X216&gt;='Methodology &amp; Assumptions'!$B$8, "Tier 2 High GIDA (Score 40.0–49.9)", "Tier 3 Moderate GIDA (Score &lt; 40.0)"))</f>
        <v/>
      </c>
      <c r="V216" s="26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W216" s="28" t="n">
        <v>0.109</v>
      </c>
      <c r="X216" s="14" t="n">
        <v>56.25</v>
      </c>
      <c r="Y216" s="14">
        <f>ROUND(MIN(100, (X216/69.91)*100), 2)</f>
        <v/>
      </c>
    </row>
    <row r="217">
      <c r="A217" s="10" t="n">
        <v>1</v>
      </c>
      <c r="B217" s="10" t="n">
        <v>213</v>
      </c>
      <c r="C217" s="10" t="n">
        <v>213</v>
      </c>
      <c r="D217" s="10" t="inlineStr">
        <is>
          <t>1403214007</t>
        </is>
      </c>
      <c r="E217" s="26" t="inlineStr">
        <is>
          <t>Cordillera Administrative Region (CAR)</t>
        </is>
      </c>
      <c r="F217" s="26" t="inlineStr">
        <is>
          <t>Kalinga</t>
        </is>
      </c>
      <c r="G217" s="26" t="inlineStr">
        <is>
          <t>Tanudan</t>
        </is>
      </c>
      <c r="H217" s="26" t="inlineStr">
        <is>
          <t>Lower Lubo</t>
        </is>
      </c>
      <c r="I217" s="27" t="n">
        <v>17.262099</v>
      </c>
      <c r="J217" s="27" t="n">
        <v>121.230978</v>
      </c>
      <c r="K217" s="10" t="inlineStr">
        <is>
          <t>R</t>
        </is>
      </c>
      <c r="L217" s="12" t="n">
        <v>497</v>
      </c>
      <c r="M217" s="14" t="n">
        <v>4.3</v>
      </c>
      <c r="N217" s="12">
        <f>ROUND(L217/M217, 0)</f>
        <v/>
      </c>
      <c r="O217" s="12">
        <f>ROUND(N217*'Methodology &amp; Assumptions'!$B$5, 0)</f>
        <v/>
      </c>
      <c r="P217" s="10" t="inlineStr">
        <is>
          <t>Single Carrier (Band n50, 100MHz TDD)</t>
        </is>
      </c>
      <c r="Q217" s="13">
        <f>ROUNDUP(O217/'Methodology &amp; Assumptions'!$B$6, 0)</f>
        <v/>
      </c>
      <c r="R217" s="13" t="n">
        <v>1</v>
      </c>
      <c r="S217" s="14" t="n">
        <v>8.720000000000001</v>
      </c>
      <c r="T217" s="14" t="n">
        <v>7.68</v>
      </c>
      <c r="U217" s="26">
        <f>IF(X217&gt;='Methodology &amp; Assumptions'!$B$7, "Tier 1 Critical GIDA (Score ≥ 50.0)", IF(X217&gt;='Methodology &amp; Assumptions'!$B$8, "Tier 2 High GIDA (Score 40.0–49.9)", "Tier 3 Moderate GIDA (Score &lt; 40.0)"))</f>
        <v/>
      </c>
      <c r="V217" s="26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W217" s="28" t="n">
        <v>0.109</v>
      </c>
      <c r="X217" s="14" t="n">
        <v>56.25</v>
      </c>
      <c r="Y217" s="14">
        <f>ROUND(MIN(100, (X217/69.91)*100), 2)</f>
        <v/>
      </c>
    </row>
    <row r="218">
      <c r="A218" s="10" t="n">
        <v>1</v>
      </c>
      <c r="B218" s="10" t="n">
        <v>214</v>
      </c>
      <c r="C218" s="10" t="n">
        <v>214</v>
      </c>
      <c r="D218" s="10" t="inlineStr">
        <is>
          <t>PH0000214</t>
        </is>
      </c>
      <c r="E218" s="26" t="inlineStr">
        <is>
          <t>X</t>
        </is>
      </c>
      <c r="F218" s="26" t="inlineStr">
        <is>
          <t>Misamis Oriental</t>
        </is>
      </c>
      <c r="G218" s="26" t="inlineStr">
        <is>
          <t>Cagayan De Oro City</t>
        </is>
      </c>
      <c r="H218" s="26" t="inlineStr">
        <is>
          <t>Barangay 19 (Pob.)</t>
        </is>
      </c>
      <c r="I218" s="27" t="n">
        <v>8.454140000000001</v>
      </c>
      <c r="J218" s="27" t="n">
        <v>124.662053</v>
      </c>
      <c r="K218" s="10" t="inlineStr">
        <is>
          <t>R</t>
        </is>
      </c>
      <c r="L218" s="12" t="n">
        <v>2272</v>
      </c>
      <c r="M218" s="14" t="n">
        <v>3.9</v>
      </c>
      <c r="N218" s="12">
        <f>ROUND(L218/M218, 0)</f>
        <v/>
      </c>
      <c r="O218" s="12">
        <f>ROUND(N218*'Methodology &amp; Assumptions'!$B$5, 0)</f>
        <v/>
      </c>
      <c r="P218" s="10" t="inlineStr">
        <is>
          <t>Single Carrier (Band n50, 100MHz TDD)</t>
        </is>
      </c>
      <c r="Q218" s="13">
        <f>ROUNDUP(O218/'Methodology &amp; Assumptions'!$B$6, 0)</f>
        <v/>
      </c>
      <c r="R218" s="13" t="n">
        <v>1</v>
      </c>
      <c r="S218" s="14" t="n">
        <v>2.54</v>
      </c>
      <c r="T218" s="14" t="n">
        <v>2.69</v>
      </c>
      <c r="U218" s="26">
        <f>IF(X218&gt;='Methodology &amp; Assumptions'!$B$7, "Tier 1 Critical GIDA (Score ≥ 50.0)", IF(X218&gt;='Methodology &amp; Assumptions'!$B$8, "Tier 2 High GIDA (Score 40.0–49.9)", "Tier 3 Moderate GIDA (Score &lt; 40.0)"))</f>
        <v/>
      </c>
      <c r="V218" s="26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W218" s="28" t="n">
        <v>0.234</v>
      </c>
      <c r="X218" s="14" t="n">
        <v>56.24</v>
      </c>
      <c r="Y218" s="14">
        <f>ROUND(MIN(100, (X218/69.91)*100), 2)</f>
        <v/>
      </c>
    </row>
    <row r="219">
      <c r="A219" s="10" t="n">
        <v>1</v>
      </c>
      <c r="B219" s="10" t="n">
        <v>215</v>
      </c>
      <c r="C219" s="10" t="n">
        <v>215</v>
      </c>
      <c r="D219" s="10" t="inlineStr">
        <is>
          <t>1403214011</t>
        </is>
      </c>
      <c r="E219" s="26" t="inlineStr">
        <is>
          <t>Cordillera Administrative Region (CAR)</t>
        </is>
      </c>
      <c r="F219" s="26" t="inlineStr">
        <is>
          <t>Kalinga</t>
        </is>
      </c>
      <c r="G219" s="26" t="inlineStr">
        <is>
          <t>Tanudan</t>
        </is>
      </c>
      <c r="H219" s="26" t="inlineStr">
        <is>
          <t>Poblacion</t>
        </is>
      </c>
      <c r="I219" s="27" t="n">
        <v>17.300016</v>
      </c>
      <c r="J219" s="27" t="n">
        <v>121.233319</v>
      </c>
      <c r="K219" s="10" t="inlineStr">
        <is>
          <t>R</t>
        </is>
      </c>
      <c r="L219" s="12" t="n">
        <v>295</v>
      </c>
      <c r="M219" s="14" t="n">
        <v>4.3</v>
      </c>
      <c r="N219" s="12">
        <f>ROUND(L219/M219, 0)</f>
        <v/>
      </c>
      <c r="O219" s="12">
        <f>ROUND(N219*'Methodology &amp; Assumptions'!$B$5, 0)</f>
        <v/>
      </c>
      <c r="P219" s="10" t="inlineStr">
        <is>
          <t>Single Carrier (Band n50, 100MHz TDD)</t>
        </is>
      </c>
      <c r="Q219" s="13">
        <f>ROUNDUP(O219/'Methodology &amp; Assumptions'!$B$6, 0)</f>
        <v/>
      </c>
      <c r="R219" s="13" t="n">
        <v>1</v>
      </c>
      <c r="S219" s="14" t="n">
        <v>9.83</v>
      </c>
      <c r="T219" s="14" t="n">
        <v>7.39</v>
      </c>
      <c r="U219" s="26">
        <f>IF(X219&gt;='Methodology &amp; Assumptions'!$B$7, "Tier 1 Critical GIDA (Score ≥ 50.0)", IF(X219&gt;='Methodology &amp; Assumptions'!$B$8, "Tier 2 High GIDA (Score 40.0–49.9)", "Tier 3 Moderate GIDA (Score &lt; 40.0)"))</f>
        <v/>
      </c>
      <c r="V219" s="26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W219" s="28" t="n">
        <v>0.109</v>
      </c>
      <c r="X219" s="14" t="n">
        <v>56.24</v>
      </c>
      <c r="Y219" s="14">
        <f>ROUND(MIN(100, (X219/69.91)*100), 2)</f>
        <v/>
      </c>
    </row>
    <row r="220">
      <c r="A220" s="10" t="n">
        <v>1</v>
      </c>
      <c r="B220" s="10" t="n">
        <v>216</v>
      </c>
      <c r="C220" s="10" t="n">
        <v>216</v>
      </c>
      <c r="D220" s="10" t="inlineStr">
        <is>
          <t>0307706004</t>
        </is>
      </c>
      <c r="E220" s="26" t="inlineStr">
        <is>
          <t>Region III (Central Luzon)</t>
        </is>
      </c>
      <c r="F220" s="26" t="inlineStr">
        <is>
          <t>Aurora</t>
        </is>
      </c>
      <c r="G220" s="26" t="inlineStr">
        <is>
          <t>Dipaculao</t>
        </is>
      </c>
      <c r="H220" s="26" t="inlineStr">
        <is>
          <t>Calaocan</t>
        </is>
      </c>
      <c r="I220" s="27" t="n">
        <v>16.128729</v>
      </c>
      <c r="J220" s="27" t="n">
        <v>121.79092</v>
      </c>
      <c r="K220" s="10" t="inlineStr">
        <is>
          <t>R</t>
        </is>
      </c>
      <c r="L220" s="12" t="n">
        <v>620</v>
      </c>
      <c r="M220" s="14" t="n">
        <v>3.8</v>
      </c>
      <c r="N220" s="12">
        <f>ROUND(L220/M220, 0)</f>
        <v/>
      </c>
      <c r="O220" s="12">
        <f>ROUND(N220*'Methodology &amp; Assumptions'!$B$5, 0)</f>
        <v/>
      </c>
      <c r="P220" s="10" t="inlineStr">
        <is>
          <t>Single Carrier (Band n50, 100MHz TDD)</t>
        </is>
      </c>
      <c r="Q220" s="13">
        <f>ROUNDUP(O220/'Methodology &amp; Assumptions'!$B$6, 0)</f>
        <v/>
      </c>
      <c r="R220" s="13" t="n">
        <v>1</v>
      </c>
      <c r="S220" s="14" t="n">
        <v>6.14</v>
      </c>
      <c r="T220" s="14" t="n">
        <v>0.24</v>
      </c>
      <c r="U220" s="26">
        <f>IF(X220&gt;='Methodology &amp; Assumptions'!$B$7, "Tier 1 Critical GIDA (Score ≥ 50.0)", IF(X220&gt;='Methodology &amp; Assumptions'!$B$8, "Tier 2 High GIDA (Score 40.0–49.9)", "Tier 3 Moderate GIDA (Score &lt; 40.0)"))</f>
        <v/>
      </c>
      <c r="V220" s="26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W220" s="28" t="n">
        <v>0.083</v>
      </c>
      <c r="X220" s="14" t="n">
        <v>56.24</v>
      </c>
      <c r="Y220" s="14">
        <f>ROUND(MIN(100, (X220/69.91)*100), 2)</f>
        <v/>
      </c>
    </row>
    <row r="221">
      <c r="A221" s="10" t="n">
        <v>1</v>
      </c>
      <c r="B221" s="10" t="n">
        <v>217</v>
      </c>
      <c r="C221" s="10" t="n">
        <v>217</v>
      </c>
      <c r="D221" s="10" t="inlineStr">
        <is>
          <t>0600406008</t>
        </is>
      </c>
      <c r="E221" s="26" t="inlineStr">
        <is>
          <t>Region VI (Western Visayas)</t>
        </is>
      </c>
      <c r="F221" s="26" t="inlineStr">
        <is>
          <t>Aklan</t>
        </is>
      </c>
      <c r="G221" s="26" t="inlineStr">
        <is>
          <t>Ibajay</t>
        </is>
      </c>
      <c r="H221" s="26" t="inlineStr">
        <is>
          <t>Batuan</t>
        </is>
      </c>
      <c r="I221" s="27" t="n">
        <v>11.7988</v>
      </c>
      <c r="J221" s="27" t="n">
        <v>122.13707</v>
      </c>
      <c r="K221" s="10" t="inlineStr">
        <is>
          <t>R</t>
        </is>
      </c>
      <c r="L221" s="12" t="n">
        <v>1266</v>
      </c>
      <c r="M221" s="14" t="n">
        <v>3.9</v>
      </c>
      <c r="N221" s="12">
        <f>ROUND(L221/M221, 0)</f>
        <v/>
      </c>
      <c r="O221" s="12">
        <f>ROUND(N221*'Methodology &amp; Assumptions'!$B$5, 0)</f>
        <v/>
      </c>
      <c r="P221" s="10" t="inlineStr">
        <is>
          <t>Single Carrier (Band n50, 100MHz TDD)</t>
        </is>
      </c>
      <c r="Q221" s="13">
        <f>ROUNDUP(O221/'Methodology &amp; Assumptions'!$B$6, 0)</f>
        <v/>
      </c>
      <c r="R221" s="13" t="n">
        <v>1</v>
      </c>
      <c r="S221" s="14" t="n">
        <v>19.35</v>
      </c>
      <c r="T221" s="14" t="n">
        <v>1.21</v>
      </c>
      <c r="U221" s="26">
        <f>IF(X221&gt;='Methodology &amp; Assumptions'!$B$7, "Tier 1 Critical GIDA (Score ≥ 50.0)", IF(X221&gt;='Methodology &amp; Assumptions'!$B$8, "Tier 2 High GIDA (Score 40.0–49.9)", "Tier 3 Moderate GIDA (Score &lt; 40.0)"))</f>
        <v/>
      </c>
      <c r="V221" s="26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W221" s="28" t="n">
        <v>0.237</v>
      </c>
      <c r="X221" s="14" t="n">
        <v>56.23</v>
      </c>
      <c r="Y221" s="14">
        <f>ROUND(MIN(100, (X221/69.91)*100), 2)</f>
        <v/>
      </c>
    </row>
    <row r="222">
      <c r="A222" s="10" t="n">
        <v>1</v>
      </c>
      <c r="B222" s="10" t="n">
        <v>218</v>
      </c>
      <c r="C222" s="10" t="n">
        <v>218</v>
      </c>
      <c r="D222" s="10" t="inlineStr">
        <is>
          <t>1403214014</t>
        </is>
      </c>
      <c r="E222" s="26" t="inlineStr">
        <is>
          <t>Cordillera Administrative Region (CAR)</t>
        </is>
      </c>
      <c r="F222" s="26" t="inlineStr">
        <is>
          <t>Kalinga</t>
        </is>
      </c>
      <c r="G222" s="26" t="inlineStr">
        <is>
          <t>Tanudan</t>
        </is>
      </c>
      <c r="H222" s="26" t="inlineStr">
        <is>
          <t>Anggacan Sur</t>
        </is>
      </c>
      <c r="I222" s="27" t="n">
        <v>17.301418</v>
      </c>
      <c r="J222" s="27" t="n">
        <v>121.239824</v>
      </c>
      <c r="K222" s="10" t="inlineStr">
        <is>
          <t>R</t>
        </is>
      </c>
      <c r="L222" s="12" t="n">
        <v>174</v>
      </c>
      <c r="M222" s="14" t="n">
        <v>4.3</v>
      </c>
      <c r="N222" s="12">
        <f>ROUND(L222/M222, 0)</f>
        <v/>
      </c>
      <c r="O222" s="12">
        <f>ROUND(N222*'Methodology &amp; Assumptions'!$B$5, 0)</f>
        <v/>
      </c>
      <c r="P222" s="10" t="inlineStr">
        <is>
          <t>Single Carrier (Band n50, 100MHz TDD)</t>
        </is>
      </c>
      <c r="Q222" s="13">
        <f>ROUNDUP(O222/'Methodology &amp; Assumptions'!$B$6, 0)</f>
        <v/>
      </c>
      <c r="R222" s="13" t="n">
        <v>1</v>
      </c>
      <c r="S222" s="14" t="n">
        <v>10.52</v>
      </c>
      <c r="T222" s="14" t="n">
        <v>8.09</v>
      </c>
      <c r="U222" s="26">
        <f>IF(X222&gt;='Methodology &amp; Assumptions'!$B$7, "Tier 1 Critical GIDA (Score ≥ 50.0)", IF(X222&gt;='Methodology &amp; Assumptions'!$B$8, "Tier 2 High GIDA (Score 40.0–49.9)", "Tier 3 Moderate GIDA (Score &lt; 40.0)"))</f>
        <v/>
      </c>
      <c r="V222" s="26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W222" s="28" t="n">
        <v>0.109</v>
      </c>
      <c r="X222" s="14" t="n">
        <v>56.23</v>
      </c>
      <c r="Y222" s="14">
        <f>ROUND(MIN(100, (X222/69.91)*100), 2)</f>
        <v/>
      </c>
    </row>
    <row r="223">
      <c r="A223" s="10" t="n">
        <v>1</v>
      </c>
      <c r="B223" s="10" t="n">
        <v>219</v>
      </c>
      <c r="C223" s="10" t="n">
        <v>219</v>
      </c>
      <c r="D223" s="10" t="inlineStr">
        <is>
          <t>PH0000219</t>
        </is>
      </c>
      <c r="E223" s="26" t="inlineStr">
        <is>
          <t>NIR</t>
        </is>
      </c>
      <c r="F223" s="26" t="inlineStr">
        <is>
          <t>Negros Occidental</t>
        </is>
      </c>
      <c r="G223" s="26" t="inlineStr">
        <is>
          <t>Bacolod City</t>
        </is>
      </c>
      <c r="H223" s="26" t="inlineStr">
        <is>
          <t>Barangay 38 (Pob.)</t>
        </is>
      </c>
      <c r="I223" s="27" t="n">
        <v>10.649048</v>
      </c>
      <c r="J223" s="27" t="n">
        <v>122.975737</v>
      </c>
      <c r="K223" s="10" t="inlineStr">
        <is>
          <t>R</t>
        </is>
      </c>
      <c r="L223" s="12" t="n">
        <v>2279</v>
      </c>
      <c r="M223" s="14" t="n">
        <v>3.8</v>
      </c>
      <c r="N223" s="12">
        <f>ROUND(L223/M223, 0)</f>
        <v/>
      </c>
      <c r="O223" s="12">
        <f>ROUND(N223*'Methodology &amp; Assumptions'!$B$5, 0)</f>
        <v/>
      </c>
      <c r="P223" s="10" t="inlineStr">
        <is>
          <t>Single Carrier (Band n50, 100MHz TDD)</t>
        </is>
      </c>
      <c r="Q223" s="13">
        <f>ROUNDUP(O223/'Methodology &amp; Assumptions'!$B$6, 0)</f>
        <v/>
      </c>
      <c r="R223" s="13" t="n">
        <v>1</v>
      </c>
      <c r="S223" s="14" t="n">
        <v>1.78</v>
      </c>
      <c r="T223" s="14" t="n">
        <v>1.16</v>
      </c>
      <c r="U223" s="26">
        <f>IF(X223&gt;='Methodology &amp; Assumptions'!$B$7, "Tier 1 Critical GIDA (Score ≥ 50.0)", IF(X223&gt;='Methodology &amp; Assumptions'!$B$8, "Tier 2 High GIDA (Score 40.0–49.9)", "Tier 3 Moderate GIDA (Score &lt; 40.0)"))</f>
        <v/>
      </c>
      <c r="V223" s="26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W223" s="28" t="n">
        <v>0.109</v>
      </c>
      <c r="X223" s="14" t="n">
        <v>56.21</v>
      </c>
      <c r="Y223" s="14">
        <f>ROUND(MIN(100, (X223/69.91)*100), 2)</f>
        <v/>
      </c>
    </row>
    <row r="224">
      <c r="A224" s="10" t="n">
        <v>1</v>
      </c>
      <c r="B224" s="10" t="n">
        <v>220</v>
      </c>
      <c r="C224" s="10" t="n">
        <v>220</v>
      </c>
      <c r="D224" s="10" t="inlineStr">
        <is>
          <t>PH0000220</t>
        </is>
      </c>
      <c r="E224" s="26" t="inlineStr">
        <is>
          <t>VI</t>
        </is>
      </c>
      <c r="F224" s="26" t="inlineStr">
        <is>
          <t>Iloilo</t>
        </is>
      </c>
      <c r="G224" s="26" t="inlineStr">
        <is>
          <t>Iloilo City</t>
        </is>
      </c>
      <c r="H224" s="26" t="inlineStr">
        <is>
          <t>Jalandoni Estate-Lapuz</t>
        </is>
      </c>
      <c r="I224" s="27" t="n">
        <v>10.7026</v>
      </c>
      <c r="J224" s="27" t="n">
        <v>122.575</v>
      </c>
      <c r="K224" s="10" t="inlineStr">
        <is>
          <t>R</t>
        </is>
      </c>
      <c r="L224" s="12" t="n">
        <v>2230</v>
      </c>
      <c r="M224" s="14" t="n">
        <v>3.8</v>
      </c>
      <c r="N224" s="12">
        <f>ROUND(L224/M224, 0)</f>
        <v/>
      </c>
      <c r="O224" s="12">
        <f>ROUND(N224*'Methodology &amp; Assumptions'!$B$5, 0)</f>
        <v/>
      </c>
      <c r="P224" s="10" t="inlineStr">
        <is>
          <t>Single Carrier (Band n50, 100MHz TDD)</t>
        </is>
      </c>
      <c r="Q224" s="13">
        <f>ROUNDUP(O224/'Methodology &amp; Assumptions'!$B$6, 0)</f>
        <v/>
      </c>
      <c r="R224" s="13" t="n">
        <v>1</v>
      </c>
      <c r="S224" s="14" t="n">
        <v>1.46</v>
      </c>
      <c r="T224" s="14" t="n">
        <v>0.4</v>
      </c>
      <c r="U224" s="26">
        <f>IF(X224&gt;='Methodology &amp; Assumptions'!$B$7, "Tier 1 Critical GIDA (Score ≥ 50.0)", IF(X224&gt;='Methodology &amp; Assumptions'!$B$8, "Tier 2 High GIDA (Score 40.0–49.9)", "Tier 3 Moderate GIDA (Score &lt; 40.0)"))</f>
        <v/>
      </c>
      <c r="V224" s="26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W224" s="28" t="n">
        <v>0.156</v>
      </c>
      <c r="X224" s="14" t="n">
        <v>56.17</v>
      </c>
      <c r="Y224" s="14">
        <f>ROUND(MIN(100, (X224/69.91)*100), 2)</f>
        <v/>
      </c>
    </row>
    <row r="225">
      <c r="A225" s="10" t="n">
        <v>1</v>
      </c>
      <c r="B225" s="10" t="n">
        <v>221</v>
      </c>
      <c r="C225" s="10" t="n">
        <v>221</v>
      </c>
      <c r="D225" s="10" t="inlineStr">
        <is>
          <t>1705314003</t>
        </is>
      </c>
      <c r="E225" s="26" t="inlineStr">
        <is>
          <t>MIMAROPA Region</t>
        </is>
      </c>
      <c r="F225" s="26" t="inlineStr">
        <is>
          <t>Palawan</t>
        </is>
      </c>
      <c r="G225" s="26" t="inlineStr">
        <is>
          <t>Magsaysay</t>
        </is>
      </c>
      <c r="H225" s="26" t="inlineStr">
        <is>
          <t>Canipo</t>
        </is>
      </c>
      <c r="I225" s="27" t="n">
        <v>10.98055</v>
      </c>
      <c r="J225" s="27" t="n">
        <v>120.96347</v>
      </c>
      <c r="K225" s="10" t="inlineStr">
        <is>
          <t>R</t>
        </is>
      </c>
      <c r="L225" s="12" t="n">
        <v>1217</v>
      </c>
      <c r="M225" s="14" t="n">
        <v>3.9</v>
      </c>
      <c r="N225" s="12">
        <f>ROUND(L225/M225, 0)</f>
        <v/>
      </c>
      <c r="O225" s="12">
        <f>ROUND(N225*'Methodology &amp; Assumptions'!$B$5, 0)</f>
        <v/>
      </c>
      <c r="P225" s="10" t="inlineStr">
        <is>
          <t>Single Carrier (Band n50, 100MHz TDD)</t>
        </is>
      </c>
      <c r="Q225" s="13">
        <f>ROUNDUP(O225/'Methodology &amp; Assumptions'!$B$6, 0)</f>
        <v/>
      </c>
      <c r="R225" s="13" t="n">
        <v>1</v>
      </c>
      <c r="S225" s="14" t="n">
        <v>109.15</v>
      </c>
      <c r="T225" s="14" t="n">
        <v>109.11</v>
      </c>
      <c r="U225" s="26">
        <f>IF(X225&gt;='Methodology &amp; Assumptions'!$B$7, "Tier 1 Critical GIDA (Score ≥ 50.0)", IF(X225&gt;='Methodology &amp; Assumptions'!$B$8, "Tier 2 High GIDA (Score 40.0–49.9)", "Tier 3 Moderate GIDA (Score &lt; 40.0)"))</f>
        <v/>
      </c>
      <c r="V225" s="26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W225" s="28" t="n">
        <v>0.15</v>
      </c>
      <c r="X225" s="14" t="n">
        <v>56.15</v>
      </c>
      <c r="Y225" s="14">
        <f>ROUND(MIN(100, (X225/69.91)*100), 2)</f>
        <v/>
      </c>
    </row>
    <row r="226">
      <c r="A226" s="10" t="n">
        <v>1</v>
      </c>
      <c r="B226" s="10" t="n">
        <v>222</v>
      </c>
      <c r="C226" s="10" t="n">
        <v>222</v>
      </c>
      <c r="D226" s="10" t="inlineStr">
        <is>
          <t>1403214006</t>
        </is>
      </c>
      <c r="E226" s="26" t="inlineStr">
        <is>
          <t>Cordillera Administrative Region (CAR)</t>
        </is>
      </c>
      <c r="F226" s="26" t="inlineStr">
        <is>
          <t>Kalinga</t>
        </is>
      </c>
      <c r="G226" s="26" t="inlineStr">
        <is>
          <t>Tanudan</t>
        </is>
      </c>
      <c r="H226" s="26" t="inlineStr">
        <is>
          <t>Lower Taloctoc</t>
        </is>
      </c>
      <c r="I226" s="27" t="n">
        <v>17.290375</v>
      </c>
      <c r="J226" s="27" t="n">
        <v>121.301405</v>
      </c>
      <c r="K226" s="10" t="inlineStr">
        <is>
          <t>R</t>
        </is>
      </c>
      <c r="L226" s="12" t="n">
        <v>365</v>
      </c>
      <c r="M226" s="14" t="n">
        <v>4.3</v>
      </c>
      <c r="N226" s="12">
        <f>ROUND(L226/M226, 0)</f>
        <v/>
      </c>
      <c r="O226" s="12">
        <f>ROUND(N226*'Methodology &amp; Assumptions'!$B$5, 0)</f>
        <v/>
      </c>
      <c r="P226" s="10" t="inlineStr">
        <is>
          <t>Single Carrier (Band n50, 100MHz TDD)</t>
        </is>
      </c>
      <c r="Q226" s="13">
        <f>ROUNDUP(O226/'Methodology &amp; Assumptions'!$B$6, 0)</f>
        <v/>
      </c>
      <c r="R226" s="13" t="n">
        <v>1</v>
      </c>
      <c r="S226" s="14" t="n">
        <v>16.46</v>
      </c>
      <c r="T226" s="14" t="n">
        <v>12.4</v>
      </c>
      <c r="U226" s="26">
        <f>IF(X226&gt;='Methodology &amp; Assumptions'!$B$7, "Tier 1 Critical GIDA (Score ≥ 50.0)", IF(X226&gt;='Methodology &amp; Assumptions'!$B$8, "Tier 2 High GIDA (Score 40.0–49.9)", "Tier 3 Moderate GIDA (Score &lt; 40.0)"))</f>
        <v/>
      </c>
      <c r="V226" s="26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W226" s="28" t="n">
        <v>0.109</v>
      </c>
      <c r="X226" s="14" t="n">
        <v>56.13</v>
      </c>
      <c r="Y226" s="14">
        <f>ROUND(MIN(100, (X226/69.91)*100), 2)</f>
        <v/>
      </c>
    </row>
    <row r="227">
      <c r="A227" s="10" t="n">
        <v>1</v>
      </c>
      <c r="B227" s="10" t="n">
        <v>223</v>
      </c>
      <c r="C227" s="10" t="n">
        <v>223</v>
      </c>
      <c r="D227" s="10" t="inlineStr">
        <is>
          <t>1705305004</t>
        </is>
      </c>
      <c r="E227" s="26" t="inlineStr">
        <is>
          <t>MIMAROPA Region</t>
        </is>
      </c>
      <c r="F227" s="26" t="inlineStr">
        <is>
          <t>Palawan</t>
        </is>
      </c>
      <c r="G227" s="26" t="inlineStr">
        <is>
          <t>Bataraza</t>
        </is>
      </c>
      <c r="H227" s="26" t="inlineStr">
        <is>
          <t>Culandanum</t>
        </is>
      </c>
      <c r="I227" s="27" t="n">
        <v>8.643974</v>
      </c>
      <c r="J227" s="27" t="n">
        <v>117.461781</v>
      </c>
      <c r="K227" s="10" t="inlineStr">
        <is>
          <t>R</t>
        </is>
      </c>
      <c r="L227" s="12" t="n">
        <v>5613</v>
      </c>
      <c r="M227" s="14" t="n">
        <v>3.9</v>
      </c>
      <c r="N227" s="12">
        <f>ROUND(L227/M227, 0)</f>
        <v/>
      </c>
      <c r="O227" s="12">
        <f>ROUND(N227*'Methodology &amp; Assumptions'!$B$5, 0)</f>
        <v/>
      </c>
      <c r="P227" s="10" t="inlineStr">
        <is>
          <t>Single Carrier (Band n50, 100MHz TDD)</t>
        </is>
      </c>
      <c r="Q227" s="13">
        <f>ROUNDUP(O227/'Methodology &amp; Assumptions'!$B$6, 0)</f>
        <v/>
      </c>
      <c r="R227" s="13" t="n">
        <v>1</v>
      </c>
      <c r="S227" s="14" t="n">
        <v>185.36</v>
      </c>
      <c r="T227" s="14" t="n">
        <v>187.64</v>
      </c>
      <c r="U227" s="26">
        <f>IF(X227&gt;='Methodology &amp; Assumptions'!$B$7, "Tier 1 Critical GIDA (Score ≥ 50.0)", IF(X227&gt;='Methodology &amp; Assumptions'!$B$8, "Tier 2 High GIDA (Score 40.0–49.9)", "Tier 3 Moderate GIDA (Score &lt; 40.0)"))</f>
        <v/>
      </c>
      <c r="V227" s="26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W227" s="28" t="n">
        <v>0.15</v>
      </c>
      <c r="X227" s="14" t="n">
        <v>56.13</v>
      </c>
      <c r="Y227" s="14">
        <f>ROUND(MIN(100, (X227/69.91)*100), 2)</f>
        <v/>
      </c>
    </row>
    <row r="228">
      <c r="A228" s="10" t="n">
        <v>1</v>
      </c>
      <c r="B228" s="10" t="n">
        <v>224</v>
      </c>
      <c r="C228" s="10" t="n">
        <v>224</v>
      </c>
      <c r="D228" s="10" t="inlineStr">
        <is>
          <t>PH0000224</t>
        </is>
      </c>
      <c r="E228" s="26" t="inlineStr">
        <is>
          <t>VI</t>
        </is>
      </c>
      <c r="F228" s="26" t="inlineStr">
        <is>
          <t>Iloilo</t>
        </is>
      </c>
      <c r="G228" s="26" t="inlineStr">
        <is>
          <t>Iloilo City</t>
        </is>
      </c>
      <c r="H228" s="26" t="inlineStr">
        <is>
          <t>Lapuz Norte</t>
        </is>
      </c>
      <c r="I228" s="27" t="n">
        <v>10.702414</v>
      </c>
      <c r="J228" s="27" t="n">
        <v>122.607015</v>
      </c>
      <c r="K228" s="10" t="inlineStr">
        <is>
          <t>R</t>
        </is>
      </c>
      <c r="L228" s="12" t="n">
        <v>2230</v>
      </c>
      <c r="M228" s="14" t="n">
        <v>3.8</v>
      </c>
      <c r="N228" s="12">
        <f>ROUND(L228/M228, 0)</f>
        <v/>
      </c>
      <c r="O228" s="12">
        <f>ROUND(N228*'Methodology &amp; Assumptions'!$B$5, 0)</f>
        <v/>
      </c>
      <c r="P228" s="10" t="inlineStr">
        <is>
          <t>Single Carrier (Band n50, 100MHz TDD)</t>
        </is>
      </c>
      <c r="Q228" s="13">
        <f>ROUNDUP(O228/'Methodology &amp; Assumptions'!$B$6, 0)</f>
        <v/>
      </c>
      <c r="R228" s="13" t="n">
        <v>1</v>
      </c>
      <c r="S228" s="14" t="n">
        <v>4.45</v>
      </c>
      <c r="T228" s="14" t="n">
        <v>3.9</v>
      </c>
      <c r="U228" s="26">
        <f>IF(X228&gt;='Methodology &amp; Assumptions'!$B$7, "Tier 1 Critical GIDA (Score ≥ 50.0)", IF(X228&gt;='Methodology &amp; Assumptions'!$B$8, "Tier 2 High GIDA (Score 40.0–49.9)", "Tier 3 Moderate GIDA (Score &lt; 40.0)"))</f>
        <v/>
      </c>
      <c r="V228" s="26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W228" s="28" t="n">
        <v>0.156</v>
      </c>
      <c r="X228" s="14" t="n">
        <v>56.12</v>
      </c>
      <c r="Y228" s="14">
        <f>ROUND(MIN(100, (X228/69.91)*100), 2)</f>
        <v/>
      </c>
    </row>
    <row r="229">
      <c r="A229" s="10" t="n">
        <v>1</v>
      </c>
      <c r="B229" s="10" t="n">
        <v>225</v>
      </c>
      <c r="C229" s="10" t="n">
        <v>225</v>
      </c>
      <c r="D229" s="10" t="inlineStr">
        <is>
          <t>1400118019</t>
        </is>
      </c>
      <c r="E229" s="26" t="inlineStr">
        <is>
          <t>Cordillera Administrative Region (CAR)</t>
        </is>
      </c>
      <c r="F229" s="26" t="inlineStr">
        <is>
          <t>Abra</t>
        </is>
      </c>
      <c r="G229" s="26" t="inlineStr">
        <is>
          <t>Pidigan</t>
        </is>
      </c>
      <c r="H229" s="26" t="inlineStr">
        <is>
          <t>Yuyeng</t>
        </is>
      </c>
      <c r="I229" s="27" t="n">
        <v>17.552763</v>
      </c>
      <c r="J229" s="27" t="n">
        <v>120.569719</v>
      </c>
      <c r="K229" s="10" t="inlineStr">
        <is>
          <t>R</t>
        </is>
      </c>
      <c r="L229" s="12" t="n">
        <v>423</v>
      </c>
      <c r="M229" s="14" t="n">
        <v>3.8</v>
      </c>
      <c r="N229" s="12">
        <f>ROUND(L229/M229, 0)</f>
        <v/>
      </c>
      <c r="O229" s="12">
        <f>ROUND(N229*'Methodology &amp; Assumptions'!$B$5, 0)</f>
        <v/>
      </c>
      <c r="P229" s="10" t="inlineStr">
        <is>
          <t>Single Carrier (Band n50, 100MHz TDD)</t>
        </is>
      </c>
      <c r="Q229" s="13">
        <f>ROUNDUP(O229/'Methodology &amp; Assumptions'!$B$6, 0)</f>
        <v/>
      </c>
      <c r="R229" s="13" t="n">
        <v>1</v>
      </c>
      <c r="S229" s="14" t="n">
        <v>0.84</v>
      </c>
      <c r="T229" s="14" t="n">
        <v>0.45</v>
      </c>
      <c r="U229" s="26">
        <f>IF(X229&gt;='Methodology &amp; Assumptions'!$B$7, "Tier 1 Critical GIDA (Score ≥ 50.0)", IF(X229&gt;='Methodology &amp; Assumptions'!$B$8, "Tier 2 High GIDA (Score 40.0–49.9)", "Tier 3 Moderate GIDA (Score &lt; 40.0)"))</f>
        <v/>
      </c>
      <c r="V229" s="26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W229" s="28" t="n">
        <v>0.109</v>
      </c>
      <c r="X229" s="14" t="n">
        <v>56.11</v>
      </c>
      <c r="Y229" s="14">
        <f>ROUND(MIN(100, (X229/69.91)*100), 2)</f>
        <v/>
      </c>
    </row>
    <row r="230">
      <c r="A230" s="10" t="n">
        <v>1</v>
      </c>
      <c r="B230" s="10" t="n">
        <v>226</v>
      </c>
      <c r="C230" s="10" t="n">
        <v>226</v>
      </c>
      <c r="D230" s="10" t="inlineStr">
        <is>
          <t>1705314001</t>
        </is>
      </c>
      <c r="E230" s="26" t="inlineStr">
        <is>
          <t>MIMAROPA Region</t>
        </is>
      </c>
      <c r="F230" s="26" t="inlineStr">
        <is>
          <t>Palawan</t>
        </is>
      </c>
      <c r="G230" s="26" t="inlineStr">
        <is>
          <t>Magsaysay</t>
        </is>
      </c>
      <c r="H230" s="26" t="inlineStr">
        <is>
          <t>Alcoba</t>
        </is>
      </c>
      <c r="I230" s="27" t="n">
        <v>11.010224</v>
      </c>
      <c r="J230" s="27" t="n">
        <v>120.819253</v>
      </c>
      <c r="K230" s="10" t="inlineStr">
        <is>
          <t>R</t>
        </is>
      </c>
      <c r="L230" s="12" t="n">
        <v>809</v>
      </c>
      <c r="M230" s="14" t="n">
        <v>3.9</v>
      </c>
      <c r="N230" s="12">
        <f>ROUND(L230/M230, 0)</f>
        <v/>
      </c>
      <c r="O230" s="12">
        <f>ROUND(N230*'Methodology &amp; Assumptions'!$B$5, 0)</f>
        <v/>
      </c>
      <c r="P230" s="10" t="inlineStr">
        <is>
          <t>Single Carrier (Band n50, 100MHz TDD)</t>
        </is>
      </c>
      <c r="Q230" s="13">
        <f>ROUNDUP(O230/'Methodology &amp; Assumptions'!$B$6, 0)</f>
        <v/>
      </c>
      <c r="R230" s="13" t="n">
        <v>1</v>
      </c>
      <c r="S230" s="14" t="n">
        <v>125.23</v>
      </c>
      <c r="T230" s="14" t="n">
        <v>125.19</v>
      </c>
      <c r="U230" s="26">
        <f>IF(X230&gt;='Methodology &amp; Assumptions'!$B$7, "Tier 1 Critical GIDA (Score ≥ 50.0)", IF(X230&gt;='Methodology &amp; Assumptions'!$B$8, "Tier 2 High GIDA (Score 40.0–49.9)", "Tier 3 Moderate GIDA (Score &lt; 40.0)"))</f>
        <v/>
      </c>
      <c r="V230" s="26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W230" s="28" t="n">
        <v>0.15</v>
      </c>
      <c r="X230" s="14" t="n">
        <v>56.09</v>
      </c>
      <c r="Y230" s="14">
        <f>ROUND(MIN(100, (X230/69.91)*100), 2)</f>
        <v/>
      </c>
    </row>
    <row r="231">
      <c r="A231" s="10" t="n">
        <v>1</v>
      </c>
      <c r="B231" s="10" t="n">
        <v>227</v>
      </c>
      <c r="C231" s="10" t="n">
        <v>227</v>
      </c>
      <c r="D231" s="10" t="inlineStr">
        <is>
          <t>PH0000227</t>
        </is>
      </c>
      <c r="E231" s="26" t="inlineStr">
        <is>
          <t>X</t>
        </is>
      </c>
      <c r="F231" s="26" t="inlineStr">
        <is>
          <t>Misamis Oriental</t>
        </is>
      </c>
      <c r="G231" s="26" t="inlineStr">
        <is>
          <t>Cagayan De Oro City</t>
        </is>
      </c>
      <c r="H231" s="26" t="inlineStr">
        <is>
          <t>Barangay 14 (Pob.)</t>
        </is>
      </c>
      <c r="I231" s="27" t="n">
        <v>8.400532</v>
      </c>
      <c r="J231" s="27" t="n">
        <v>124.619192</v>
      </c>
      <c r="K231" s="10" t="inlineStr">
        <is>
          <t>R</t>
        </is>
      </c>
      <c r="L231" s="12" t="n">
        <v>2272</v>
      </c>
      <c r="M231" s="14" t="n">
        <v>3.9</v>
      </c>
      <c r="N231" s="12">
        <f>ROUND(L231/M231, 0)</f>
        <v/>
      </c>
      <c r="O231" s="12">
        <f>ROUND(N231*'Methodology &amp; Assumptions'!$B$5, 0)</f>
        <v/>
      </c>
      <c r="P231" s="10" t="inlineStr">
        <is>
          <t>Single Carrier (Band n50, 100MHz TDD)</t>
        </is>
      </c>
      <c r="Q231" s="13">
        <f>ROUNDUP(O231/'Methodology &amp; Assumptions'!$B$6, 0)</f>
        <v/>
      </c>
      <c r="R231" s="13" t="n">
        <v>1</v>
      </c>
      <c r="S231" s="14" t="n">
        <v>3.94</v>
      </c>
      <c r="T231" s="14" t="n">
        <v>0.97</v>
      </c>
      <c r="U231" s="26">
        <f>IF(X231&gt;='Methodology &amp; Assumptions'!$B$7, "Tier 1 Critical GIDA (Score ≥ 50.0)", IF(X231&gt;='Methodology &amp; Assumptions'!$B$8, "Tier 2 High GIDA (Score 40.0–49.9)", "Tier 3 Moderate GIDA (Score &lt; 40.0)"))</f>
        <v/>
      </c>
      <c r="V231" s="26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W231" s="28" t="n">
        <v>0.234</v>
      </c>
      <c r="X231" s="14" t="n">
        <v>56.09</v>
      </c>
      <c r="Y231" s="14">
        <f>ROUND(MIN(100, (X231/69.91)*100), 2)</f>
        <v/>
      </c>
    </row>
    <row r="232">
      <c r="A232" s="10" t="n">
        <v>1</v>
      </c>
      <c r="B232" s="10" t="n">
        <v>228</v>
      </c>
      <c r="C232" s="10" t="n">
        <v>228</v>
      </c>
      <c r="D232" s="10" t="inlineStr">
        <is>
          <t>PH0000228</t>
        </is>
      </c>
      <c r="E232" s="26" t="inlineStr">
        <is>
          <t>NIR</t>
        </is>
      </c>
      <c r="F232" s="26" t="inlineStr">
        <is>
          <t>Negros Occidental</t>
        </is>
      </c>
      <c r="G232" s="26" t="inlineStr">
        <is>
          <t>Bacolod City</t>
        </is>
      </c>
      <c r="H232" s="26" t="inlineStr">
        <is>
          <t>Barangay 19 (Pob.)</t>
        </is>
      </c>
      <c r="I232" s="27" t="n">
        <v>10.653245</v>
      </c>
      <c r="J232" s="27" t="n">
        <v>122.965951</v>
      </c>
      <c r="K232" s="10" t="inlineStr">
        <is>
          <t>R</t>
        </is>
      </c>
      <c r="L232" s="12" t="n">
        <v>2279</v>
      </c>
      <c r="M232" s="14" t="n">
        <v>3.8</v>
      </c>
      <c r="N232" s="12">
        <f>ROUND(L232/M232, 0)</f>
        <v/>
      </c>
      <c r="O232" s="12">
        <f>ROUND(N232*'Methodology &amp; Assumptions'!$B$5, 0)</f>
        <v/>
      </c>
      <c r="P232" s="10" t="inlineStr">
        <is>
          <t>Single Carrier (Band n50, 100MHz TDD)</t>
        </is>
      </c>
      <c r="Q232" s="13">
        <f>ROUNDUP(O232/'Methodology &amp; Assumptions'!$B$6, 0)</f>
        <v/>
      </c>
      <c r="R232" s="13" t="n">
        <v>1</v>
      </c>
      <c r="S232" s="14" t="n">
        <v>2.13</v>
      </c>
      <c r="T232" s="14" t="n">
        <v>0.08</v>
      </c>
      <c r="U232" s="26">
        <f>IF(X232&gt;='Methodology &amp; Assumptions'!$B$7, "Tier 1 Critical GIDA (Score ≥ 50.0)", IF(X232&gt;='Methodology &amp; Assumptions'!$B$8, "Tier 2 High GIDA (Score 40.0–49.9)", "Tier 3 Moderate GIDA (Score &lt; 40.0)"))</f>
        <v/>
      </c>
      <c r="V232" s="26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W232" s="28" t="n">
        <v>0.109</v>
      </c>
      <c r="X232" s="14" t="n">
        <v>56.07</v>
      </c>
      <c r="Y232" s="14">
        <f>ROUND(MIN(100, (X232/69.91)*100), 2)</f>
        <v/>
      </c>
    </row>
    <row r="233">
      <c r="A233" s="10" t="n">
        <v>1</v>
      </c>
      <c r="B233" s="10" t="n">
        <v>229</v>
      </c>
      <c r="C233" s="10" t="n">
        <v>229</v>
      </c>
      <c r="D233" s="10" t="inlineStr">
        <is>
          <t>PH0000229</t>
        </is>
      </c>
      <c r="E233" s="26" t="inlineStr">
        <is>
          <t>X</t>
        </is>
      </c>
      <c r="F233" s="26" t="inlineStr">
        <is>
          <t>Lanao Del Norte</t>
        </is>
      </c>
      <c r="G233" s="26" t="inlineStr">
        <is>
          <t>Iligan City</t>
        </is>
      </c>
      <c r="H233" s="26" t="inlineStr">
        <is>
          <t>Kalilangan</t>
        </is>
      </c>
      <c r="I233" s="27" t="n">
        <v>8.197786000000001</v>
      </c>
      <c r="J233" s="27" t="n">
        <v>124.389702</v>
      </c>
      <c r="K233" s="10" t="inlineStr">
        <is>
          <t>R</t>
        </is>
      </c>
      <c r="L233" s="12" t="n">
        <v>2318</v>
      </c>
      <c r="M233" s="14" t="n">
        <v>4.2</v>
      </c>
      <c r="N233" s="12">
        <f>ROUND(L233/M233, 0)</f>
        <v/>
      </c>
      <c r="O233" s="12">
        <f>ROUND(N233*'Methodology &amp; Assumptions'!$B$5, 0)</f>
        <v/>
      </c>
      <c r="P233" s="10" t="inlineStr">
        <is>
          <t>Single Carrier (Band n50, 100MHz TDD)</t>
        </is>
      </c>
      <c r="Q233" s="13">
        <f>ROUNDUP(O233/'Methodology &amp; Assumptions'!$B$6, 0)</f>
        <v/>
      </c>
      <c r="R233" s="13" t="n">
        <v>1</v>
      </c>
      <c r="S233" s="14" t="n">
        <v>16.77</v>
      </c>
      <c r="T233" s="14" t="n">
        <v>15.34</v>
      </c>
      <c r="U233" s="26">
        <f>IF(X233&gt;='Methodology &amp; Assumptions'!$B$7, "Tier 1 Critical GIDA (Score ≥ 50.0)", IF(X233&gt;='Methodology &amp; Assumptions'!$B$8, "Tier 2 High GIDA (Score 40.0–49.9)", "Tier 3 Moderate GIDA (Score &lt; 40.0)"))</f>
        <v/>
      </c>
      <c r="V233" s="26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W233" s="28" t="n">
        <v>0.234</v>
      </c>
      <c r="X233" s="14" t="n">
        <v>56.07</v>
      </c>
      <c r="Y233" s="14">
        <f>ROUND(MIN(100, (X233/69.91)*100), 2)</f>
        <v/>
      </c>
    </row>
    <row r="234">
      <c r="A234" s="10" t="n">
        <v>1</v>
      </c>
      <c r="B234" s="10" t="n">
        <v>230</v>
      </c>
      <c r="C234" s="10" t="n">
        <v>230</v>
      </c>
      <c r="D234" s="10" t="inlineStr">
        <is>
          <t>PH0000230</t>
        </is>
      </c>
      <c r="E234" s="26" t="inlineStr">
        <is>
          <t>VI</t>
        </is>
      </c>
      <c r="F234" s="26" t="inlineStr">
        <is>
          <t>Iloilo</t>
        </is>
      </c>
      <c r="G234" s="26" t="inlineStr">
        <is>
          <t>Iloilo City</t>
        </is>
      </c>
      <c r="H234" s="26" t="inlineStr">
        <is>
          <t>Libertad-Lapuz</t>
        </is>
      </c>
      <c r="I234" s="27" t="n">
        <v>10.680748</v>
      </c>
      <c r="J234" s="27" t="n">
        <v>122.498711</v>
      </c>
      <c r="K234" s="10" t="inlineStr">
        <is>
          <t>R</t>
        </is>
      </c>
      <c r="L234" s="12" t="n">
        <v>2230</v>
      </c>
      <c r="M234" s="14" t="n">
        <v>3.8</v>
      </c>
      <c r="N234" s="12">
        <f>ROUND(L234/M234, 0)</f>
        <v/>
      </c>
      <c r="O234" s="12">
        <f>ROUND(N234*'Methodology &amp; Assumptions'!$B$5, 0)</f>
        <v/>
      </c>
      <c r="P234" s="10" t="inlineStr">
        <is>
          <t>Single Carrier (Band n50, 100MHz TDD)</t>
        </is>
      </c>
      <c r="Q234" s="13">
        <f>ROUNDUP(O234/'Methodology &amp; Assumptions'!$B$6, 0)</f>
        <v/>
      </c>
      <c r="R234" s="13" t="n">
        <v>1</v>
      </c>
      <c r="S234" s="14" t="n">
        <v>2.44</v>
      </c>
      <c r="T234" s="14" t="n">
        <v>1.43</v>
      </c>
      <c r="U234" s="26">
        <f>IF(X234&gt;='Methodology &amp; Assumptions'!$B$7, "Tier 1 Critical GIDA (Score ≥ 50.0)", IF(X234&gt;='Methodology &amp; Assumptions'!$B$8, "Tier 2 High GIDA (Score 40.0–49.9)", "Tier 3 Moderate GIDA (Score &lt; 40.0)"))</f>
        <v/>
      </c>
      <c r="V234" s="26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W234" s="28" t="n">
        <v>0.156</v>
      </c>
      <c r="X234" s="14" t="n">
        <v>56.06</v>
      </c>
      <c r="Y234" s="14">
        <f>ROUND(MIN(100, (X234/69.91)*100), 2)</f>
        <v/>
      </c>
    </row>
    <row r="235">
      <c r="A235" s="10" t="n">
        <v>1</v>
      </c>
      <c r="B235" s="10" t="n">
        <v>231</v>
      </c>
      <c r="C235" s="10" t="n">
        <v>231</v>
      </c>
      <c r="D235" s="10" t="inlineStr">
        <is>
          <t>0601917028</t>
        </is>
      </c>
      <c r="E235" s="26" t="inlineStr">
        <is>
          <t>Region VI (Western Visayas)</t>
        </is>
      </c>
      <c r="F235" s="26" t="inlineStr">
        <is>
          <t>Capiz</t>
        </is>
      </c>
      <c r="G235" s="26" t="inlineStr">
        <is>
          <t>Tapaz</t>
        </is>
      </c>
      <c r="H235" s="26" t="inlineStr">
        <is>
          <t>Maliao</t>
        </is>
      </c>
      <c r="I235" s="27" t="n">
        <v>11.352633</v>
      </c>
      <c r="J235" s="27" t="n">
        <v>122.358542</v>
      </c>
      <c r="K235" s="10" t="inlineStr">
        <is>
          <t>R</t>
        </is>
      </c>
      <c r="L235" s="12" t="n">
        <v>850</v>
      </c>
      <c r="M235" s="14" t="n">
        <v>3.8</v>
      </c>
      <c r="N235" s="12">
        <f>ROUND(L235/M235, 0)</f>
        <v/>
      </c>
      <c r="O235" s="12">
        <f>ROUND(N235*'Methodology &amp; Assumptions'!$B$5, 0)</f>
        <v/>
      </c>
      <c r="P235" s="10" t="inlineStr">
        <is>
          <t>Single Carrier (Band n50, 100MHz TDD)</t>
        </is>
      </c>
      <c r="Q235" s="13">
        <f>ROUNDUP(O235/'Methodology &amp; Assumptions'!$B$6, 0)</f>
        <v/>
      </c>
      <c r="R235" s="13" t="n">
        <v>1</v>
      </c>
      <c r="S235" s="14" t="n">
        <v>22.82</v>
      </c>
      <c r="T235" s="14" t="n">
        <v>22.49</v>
      </c>
      <c r="U235" s="26">
        <f>IF(X235&gt;='Methodology &amp; Assumptions'!$B$7, "Tier 1 Critical GIDA (Score ≥ 50.0)", IF(X235&gt;='Methodology &amp; Assumptions'!$B$8, "Tier 2 High GIDA (Score 40.0–49.9)", "Tier 3 Moderate GIDA (Score &lt; 40.0)"))</f>
        <v/>
      </c>
      <c r="V235" s="26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W235" s="28" t="n">
        <v>0.237</v>
      </c>
      <c r="X235" s="14" t="n">
        <v>56.06</v>
      </c>
      <c r="Y235" s="14">
        <f>ROUND(MIN(100, (X235/69.91)*100), 2)</f>
        <v/>
      </c>
    </row>
    <row r="236">
      <c r="A236" s="10" t="n">
        <v>1</v>
      </c>
      <c r="B236" s="10" t="n">
        <v>232</v>
      </c>
      <c r="C236" s="10" t="n">
        <v>232</v>
      </c>
      <c r="D236" s="10" t="inlineStr">
        <is>
          <t>PH0000232</t>
        </is>
      </c>
      <c r="E236" s="26" t="inlineStr">
        <is>
          <t>VI</t>
        </is>
      </c>
      <c r="F236" s="26" t="inlineStr">
        <is>
          <t>Iloilo</t>
        </is>
      </c>
      <c r="G236" s="26" t="inlineStr">
        <is>
          <t>Iloilo City</t>
        </is>
      </c>
      <c r="H236" s="26" t="inlineStr">
        <is>
          <t>Laguda</t>
        </is>
      </c>
      <c r="I236" s="27" t="n">
        <v>10.770644</v>
      </c>
      <c r="J236" s="27" t="n">
        <v>122.565178</v>
      </c>
      <c r="K236" s="10" t="inlineStr">
        <is>
          <t>R</t>
        </is>
      </c>
      <c r="L236" s="12" t="n">
        <v>2230</v>
      </c>
      <c r="M236" s="14" t="n">
        <v>3.8</v>
      </c>
      <c r="N236" s="12">
        <f>ROUND(L236/M236, 0)</f>
        <v/>
      </c>
      <c r="O236" s="12">
        <f>ROUND(N236*'Methodology &amp; Assumptions'!$B$5, 0)</f>
        <v/>
      </c>
      <c r="P236" s="10" t="inlineStr">
        <is>
          <t>Single Carrier (Band n50, 100MHz TDD)</t>
        </is>
      </c>
      <c r="Q236" s="13">
        <f>ROUNDUP(O236/'Methodology &amp; Assumptions'!$B$6, 0)</f>
        <v/>
      </c>
      <c r="R236" s="13" t="n">
        <v>1</v>
      </c>
      <c r="S236" s="14" t="n">
        <v>2.44</v>
      </c>
      <c r="T236" s="14" t="n">
        <v>1.7</v>
      </c>
      <c r="U236" s="26">
        <f>IF(X236&gt;='Methodology &amp; Assumptions'!$B$7, "Tier 1 Critical GIDA (Score ≥ 50.0)", IF(X236&gt;='Methodology &amp; Assumptions'!$B$8, "Tier 2 High GIDA (Score 40.0–49.9)", "Tier 3 Moderate GIDA (Score &lt; 40.0)"))</f>
        <v/>
      </c>
      <c r="V236" s="26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W236" s="28" t="n">
        <v>0.156</v>
      </c>
      <c r="X236" s="14" t="n">
        <v>56.06</v>
      </c>
      <c r="Y236" s="14">
        <f>ROUND(MIN(100, (X236/69.91)*100), 2)</f>
        <v/>
      </c>
    </row>
    <row r="237">
      <c r="A237" s="10" t="n">
        <v>1</v>
      </c>
      <c r="B237" s="10" t="n">
        <v>233</v>
      </c>
      <c r="C237" s="10" t="n">
        <v>233</v>
      </c>
      <c r="D237" s="10" t="inlineStr">
        <is>
          <t>0600412013</t>
        </is>
      </c>
      <c r="E237" s="26" t="inlineStr">
        <is>
          <t>Region VI (Western Visayas)</t>
        </is>
      </c>
      <c r="F237" s="26" t="inlineStr">
        <is>
          <t>Aklan</t>
        </is>
      </c>
      <c r="G237" s="26" t="inlineStr">
        <is>
          <t>Malay</t>
        </is>
      </c>
      <c r="H237" s="26" t="inlineStr">
        <is>
          <t>Napaan</t>
        </is>
      </c>
      <c r="I237" s="27" t="n">
        <v>11.89557</v>
      </c>
      <c r="J237" s="27" t="n">
        <v>121.923</v>
      </c>
      <c r="K237" s="10" t="inlineStr">
        <is>
          <t>R</t>
        </is>
      </c>
      <c r="L237" s="12" t="n">
        <v>968</v>
      </c>
      <c r="M237" s="14" t="n">
        <v>3.9</v>
      </c>
      <c r="N237" s="12">
        <f>ROUND(L237/M237, 0)</f>
        <v/>
      </c>
      <c r="O237" s="12">
        <f>ROUND(N237*'Methodology &amp; Assumptions'!$B$5, 0)</f>
        <v/>
      </c>
      <c r="P237" s="10" t="inlineStr">
        <is>
          <t>Single Carrier (Band n50, 100MHz TDD)</t>
        </is>
      </c>
      <c r="Q237" s="13">
        <f>ROUNDUP(O237/'Methodology &amp; Assumptions'!$B$6, 0)</f>
        <v/>
      </c>
      <c r="R237" s="13" t="n">
        <v>1</v>
      </c>
      <c r="S237" s="14" t="n">
        <v>6.37</v>
      </c>
      <c r="T237" s="14" t="n">
        <v>4.17</v>
      </c>
      <c r="U237" s="26">
        <f>IF(X237&gt;='Methodology &amp; Assumptions'!$B$7, "Tier 1 Critical GIDA (Score ≥ 50.0)", IF(X237&gt;='Methodology &amp; Assumptions'!$B$8, "Tier 2 High GIDA (Score 40.0–49.9)", "Tier 3 Moderate GIDA (Score &lt; 40.0)"))</f>
        <v/>
      </c>
      <c r="V237" s="26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W237" s="28" t="n">
        <v>0.237</v>
      </c>
      <c r="X237" s="14" t="n">
        <v>56.04</v>
      </c>
      <c r="Y237" s="14">
        <f>ROUND(MIN(100, (X237/69.91)*100), 2)</f>
        <v/>
      </c>
    </row>
    <row r="238">
      <c r="A238" s="10" t="n">
        <v>1</v>
      </c>
      <c r="B238" s="10" t="n">
        <v>234</v>
      </c>
      <c r="C238" s="10" t="n">
        <v>234</v>
      </c>
      <c r="D238" s="10" t="inlineStr">
        <is>
          <t>0201514002</t>
        </is>
      </c>
      <c r="E238" s="26" t="inlineStr">
        <is>
          <t>Region II (Cagayan Valley)</t>
        </is>
      </c>
      <c r="F238" s="26" t="inlineStr">
        <is>
          <t>Cagayan</t>
        </is>
      </c>
      <c r="G238" s="26" t="inlineStr">
        <is>
          <t>Gonzaga</t>
        </is>
      </c>
      <c r="H238" s="26" t="inlineStr">
        <is>
          <t>Batangan</t>
        </is>
      </c>
      <c r="I238" s="27" t="n">
        <v>18.282468</v>
      </c>
      <c r="J238" s="27" t="n">
        <v>122.002689</v>
      </c>
      <c r="K238" s="10" t="inlineStr">
        <is>
          <t>R</t>
        </is>
      </c>
      <c r="L238" s="12" t="n">
        <v>2268</v>
      </c>
      <c r="M238" s="14" t="n">
        <v>3.9</v>
      </c>
      <c r="N238" s="12">
        <f>ROUND(L238/M238, 0)</f>
        <v/>
      </c>
      <c r="O238" s="12">
        <f>ROUND(N238*'Methodology &amp; Assumptions'!$B$5, 0)</f>
        <v/>
      </c>
      <c r="P238" s="10" t="inlineStr">
        <is>
          <t>Single Carrier (Band n50, 100MHz TDD)</t>
        </is>
      </c>
      <c r="Q238" s="13">
        <f>ROUNDUP(O238/'Methodology &amp; Assumptions'!$B$6, 0)</f>
        <v/>
      </c>
      <c r="R238" s="13" t="n">
        <v>1</v>
      </c>
      <c r="S238" s="14" t="n">
        <v>2.16</v>
      </c>
      <c r="T238" s="14" t="n">
        <v>0.77</v>
      </c>
      <c r="U238" s="26">
        <f>IF(X238&gt;='Methodology &amp; Assumptions'!$B$7, "Tier 1 Critical GIDA (Score ≥ 50.0)", IF(X238&gt;='Methodology &amp; Assumptions'!$B$8, "Tier 2 High GIDA (Score 40.0–49.9)", "Tier 3 Moderate GIDA (Score &lt; 40.0)"))</f>
        <v/>
      </c>
      <c r="V238" s="26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W238" s="28" t="n">
        <v>0.083</v>
      </c>
      <c r="X238" s="14" t="n">
        <v>56.02</v>
      </c>
      <c r="Y238" s="14">
        <f>ROUND(MIN(100, (X238/69.91)*100), 2)</f>
        <v/>
      </c>
    </row>
    <row r="239">
      <c r="A239" s="10" t="n">
        <v>1</v>
      </c>
      <c r="B239" s="10" t="n">
        <v>235</v>
      </c>
      <c r="C239" s="10" t="n">
        <v>235</v>
      </c>
      <c r="D239" s="10" t="inlineStr">
        <is>
          <t>PH0000235</t>
        </is>
      </c>
      <c r="E239" s="26" t="inlineStr">
        <is>
          <t>X</t>
        </is>
      </c>
      <c r="F239" s="26" t="inlineStr">
        <is>
          <t>Misamis Oriental</t>
        </is>
      </c>
      <c r="G239" s="26" t="inlineStr">
        <is>
          <t>Cagayan De Oro City</t>
        </is>
      </c>
      <c r="H239" s="26" t="inlineStr">
        <is>
          <t>Barangay 20 (Pob.)</t>
        </is>
      </c>
      <c r="I239" s="27" t="n">
        <v>8.471209</v>
      </c>
      <c r="J239" s="27" t="n">
        <v>124.614013</v>
      </c>
      <c r="K239" s="10" t="inlineStr">
        <is>
          <t>R</t>
        </is>
      </c>
      <c r="L239" s="12" t="n">
        <v>2272</v>
      </c>
      <c r="M239" s="14" t="n">
        <v>3.9</v>
      </c>
      <c r="N239" s="12">
        <f>ROUND(L239/M239, 0)</f>
        <v/>
      </c>
      <c r="O239" s="12">
        <f>ROUND(N239*'Methodology &amp; Assumptions'!$B$5, 0)</f>
        <v/>
      </c>
      <c r="P239" s="10" t="inlineStr">
        <is>
          <t>Single Carrier (Band n50, 100MHz TDD)</t>
        </is>
      </c>
      <c r="Q239" s="13">
        <f>ROUNDUP(O239/'Methodology &amp; Assumptions'!$B$6, 0)</f>
        <v/>
      </c>
      <c r="R239" s="13" t="n">
        <v>1</v>
      </c>
      <c r="S239" s="14" t="n">
        <v>2.68</v>
      </c>
      <c r="T239" s="14" t="n">
        <v>0.74</v>
      </c>
      <c r="U239" s="26">
        <f>IF(X239&gt;='Methodology &amp; Assumptions'!$B$7, "Tier 1 Critical GIDA (Score ≥ 50.0)", IF(X239&gt;='Methodology &amp; Assumptions'!$B$8, "Tier 2 High GIDA (Score 40.0–49.9)", "Tier 3 Moderate GIDA (Score &lt; 40.0)"))</f>
        <v/>
      </c>
      <c r="V239" s="26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W239" s="28" t="n">
        <v>0.234</v>
      </c>
      <c r="X239" s="14" t="n">
        <v>56</v>
      </c>
      <c r="Y239" s="14">
        <f>ROUND(MIN(100, (X239/69.91)*100), 2)</f>
        <v/>
      </c>
    </row>
    <row r="240">
      <c r="A240" s="10" t="n">
        <v>1</v>
      </c>
      <c r="B240" s="10" t="n">
        <v>236</v>
      </c>
      <c r="C240" s="10" t="n">
        <v>236</v>
      </c>
      <c r="D240" s="10" t="inlineStr">
        <is>
          <t>PH0000236</t>
        </is>
      </c>
      <c r="E240" s="26" t="inlineStr">
        <is>
          <t>VI</t>
        </is>
      </c>
      <c r="F240" s="26" t="inlineStr">
        <is>
          <t>Iloilo</t>
        </is>
      </c>
      <c r="G240" s="26" t="inlineStr">
        <is>
          <t>Iloilo City</t>
        </is>
      </c>
      <c r="H240" s="26" t="inlineStr">
        <is>
          <t>Timawa Tanza I</t>
        </is>
      </c>
      <c r="I240" s="27" t="n">
        <v>10.657743</v>
      </c>
      <c r="J240" s="27" t="n">
        <v>122.578262</v>
      </c>
      <c r="K240" s="10" t="inlineStr">
        <is>
          <t>R</t>
        </is>
      </c>
      <c r="L240" s="12" t="n">
        <v>2230</v>
      </c>
      <c r="M240" s="14" t="n">
        <v>3.8</v>
      </c>
      <c r="N240" s="12">
        <f>ROUND(L240/M240, 0)</f>
        <v/>
      </c>
      <c r="O240" s="12">
        <f>ROUND(N240*'Methodology &amp; Assumptions'!$B$5, 0)</f>
        <v/>
      </c>
      <c r="P240" s="10" t="inlineStr">
        <is>
          <t>Single Carrier (Band n50, 100MHz TDD)</t>
        </is>
      </c>
      <c r="Q240" s="13">
        <f>ROUNDUP(O240/'Methodology &amp; Assumptions'!$B$6, 0)</f>
        <v/>
      </c>
      <c r="R240" s="13" t="n">
        <v>1</v>
      </c>
      <c r="S240" s="14" t="n">
        <v>5.34</v>
      </c>
      <c r="T240" s="14" t="n">
        <v>4.99</v>
      </c>
      <c r="U240" s="26">
        <f>IF(X240&gt;='Methodology &amp; Assumptions'!$B$7, "Tier 1 Critical GIDA (Score ≥ 50.0)", IF(X240&gt;='Methodology &amp; Assumptions'!$B$8, "Tier 2 High GIDA (Score 40.0–49.9)", "Tier 3 Moderate GIDA (Score &lt; 40.0)"))</f>
        <v/>
      </c>
      <c r="V240" s="26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W240" s="28" t="n">
        <v>0.156</v>
      </c>
      <c r="X240" s="14" t="n">
        <v>55.99</v>
      </c>
      <c r="Y240" s="14">
        <f>ROUND(MIN(100, (X240/69.91)*100), 2)</f>
        <v/>
      </c>
    </row>
    <row r="241">
      <c r="A241" s="10" t="n">
        <v>1</v>
      </c>
      <c r="B241" s="10" t="n">
        <v>237</v>
      </c>
      <c r="C241" s="10" t="n">
        <v>237</v>
      </c>
      <c r="D241" s="10" t="inlineStr">
        <is>
          <t>0201516025</t>
        </is>
      </c>
      <c r="E241" s="26" t="inlineStr">
        <is>
          <t>Region II (Cagayan Valley)</t>
        </is>
      </c>
      <c r="F241" s="26" t="inlineStr">
        <is>
          <t>Cagayan</t>
        </is>
      </c>
      <c r="G241" s="26" t="inlineStr">
        <is>
          <t>Lal-Lo</t>
        </is>
      </c>
      <c r="H241" s="26" t="inlineStr">
        <is>
          <t>Maxingal</t>
        </is>
      </c>
      <c r="I241" s="27" t="n">
        <v>18.211874</v>
      </c>
      <c r="J241" s="27" t="n">
        <v>121.66573</v>
      </c>
      <c r="K241" s="10" t="inlineStr">
        <is>
          <t>R</t>
        </is>
      </c>
      <c r="L241" s="12" t="n">
        <v>2741</v>
      </c>
      <c r="M241" s="14" t="n">
        <v>3.9</v>
      </c>
      <c r="N241" s="12">
        <f>ROUND(L241/M241, 0)</f>
        <v/>
      </c>
      <c r="O241" s="12">
        <f>ROUND(N241*'Methodology &amp; Assumptions'!$B$5, 0)</f>
        <v/>
      </c>
      <c r="P241" s="10" t="inlineStr">
        <is>
          <t>Single Carrier (Band n50, 100MHz TDD)</t>
        </is>
      </c>
      <c r="Q241" s="13">
        <f>ROUNDUP(O241/'Methodology &amp; Assumptions'!$B$6, 0)</f>
        <v/>
      </c>
      <c r="R241" s="13" t="n">
        <v>1</v>
      </c>
      <c r="S241" s="14" t="n">
        <v>1.85</v>
      </c>
      <c r="T241" s="14" t="n">
        <v>0.27</v>
      </c>
      <c r="U241" s="26">
        <f>IF(X241&gt;='Methodology &amp; Assumptions'!$B$7, "Tier 1 Critical GIDA (Score ≥ 50.0)", IF(X241&gt;='Methodology &amp; Assumptions'!$B$8, "Tier 2 High GIDA (Score 40.0–49.9)", "Tier 3 Moderate GIDA (Score &lt; 40.0)"))</f>
        <v/>
      </c>
      <c r="V241" s="26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W241" s="28" t="n">
        <v>0.083</v>
      </c>
      <c r="X241" s="14" t="n">
        <v>55.99</v>
      </c>
      <c r="Y241" s="14">
        <f>ROUND(MIN(100, (X241/69.91)*100), 2)</f>
        <v/>
      </c>
    </row>
    <row r="242">
      <c r="A242" s="10" t="n">
        <v>1</v>
      </c>
      <c r="B242" s="10" t="n">
        <v>238</v>
      </c>
      <c r="C242" s="10" t="n">
        <v>238</v>
      </c>
      <c r="D242" s="10" t="inlineStr">
        <is>
          <t>PH0000238</t>
        </is>
      </c>
      <c r="E242" s="26" t="inlineStr">
        <is>
          <t>X</t>
        </is>
      </c>
      <c r="F242" s="26" t="inlineStr">
        <is>
          <t>Misamis Oriental</t>
        </is>
      </c>
      <c r="G242" s="26" t="inlineStr">
        <is>
          <t>Cagayan De Oro City</t>
        </is>
      </c>
      <c r="H242" s="26" t="inlineStr">
        <is>
          <t>Barangay 16 (Pob.)</t>
        </is>
      </c>
      <c r="I242" s="27" t="n">
        <v>8.420821</v>
      </c>
      <c r="J242" s="27" t="n">
        <v>124.66794</v>
      </c>
      <c r="K242" s="10" t="inlineStr">
        <is>
          <t>R</t>
        </is>
      </c>
      <c r="L242" s="12" t="n">
        <v>2272</v>
      </c>
      <c r="M242" s="14" t="n">
        <v>3.9</v>
      </c>
      <c r="N242" s="12">
        <f>ROUND(L242/M242, 0)</f>
        <v/>
      </c>
      <c r="O242" s="12">
        <f>ROUND(N242*'Methodology &amp; Assumptions'!$B$5, 0)</f>
        <v/>
      </c>
      <c r="P242" s="10" t="inlineStr">
        <is>
          <t>Single Carrier (Band n50, 100MHz TDD)</t>
        </is>
      </c>
      <c r="Q242" s="13">
        <f>ROUNDUP(O242/'Methodology &amp; Assumptions'!$B$6, 0)</f>
        <v/>
      </c>
      <c r="R242" s="13" t="n">
        <v>1</v>
      </c>
      <c r="S242" s="14" t="n">
        <v>1.22</v>
      </c>
      <c r="T242" s="14" t="n">
        <v>5.59</v>
      </c>
      <c r="U242" s="26">
        <f>IF(X242&gt;='Methodology &amp; Assumptions'!$B$7, "Tier 1 Critical GIDA (Score ≥ 50.0)", IF(X242&gt;='Methodology &amp; Assumptions'!$B$8, "Tier 2 High GIDA (Score 40.0–49.9)", "Tier 3 Moderate GIDA (Score &lt; 40.0)"))</f>
        <v/>
      </c>
      <c r="V242" s="26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W242" s="28" t="n">
        <v>0.234</v>
      </c>
      <c r="X242" s="14" t="n">
        <v>55.97</v>
      </c>
      <c r="Y242" s="14">
        <f>ROUND(MIN(100, (X242/69.91)*100), 2)</f>
        <v/>
      </c>
    </row>
    <row r="243">
      <c r="A243" s="10" t="n">
        <v>1</v>
      </c>
      <c r="B243" s="10" t="n">
        <v>239</v>
      </c>
      <c r="C243" s="10" t="n">
        <v>239</v>
      </c>
      <c r="D243" s="10" t="inlineStr">
        <is>
          <t>1403214008</t>
        </is>
      </c>
      <c r="E243" s="26" t="inlineStr">
        <is>
          <t>Cordillera Administrative Region (CAR)</t>
        </is>
      </c>
      <c r="F243" s="26" t="inlineStr">
        <is>
          <t>Kalinga</t>
        </is>
      </c>
      <c r="G243" s="26" t="inlineStr">
        <is>
          <t>Tanudan</t>
        </is>
      </c>
      <c r="H243" s="26" t="inlineStr">
        <is>
          <t>Upper Lubo</t>
        </is>
      </c>
      <c r="I243" s="27" t="n">
        <v>17.294573</v>
      </c>
      <c r="J243" s="27" t="n">
        <v>121.291332</v>
      </c>
      <c r="K243" s="10" t="inlineStr">
        <is>
          <t>R</t>
        </is>
      </c>
      <c r="L243" s="12" t="n">
        <v>333</v>
      </c>
      <c r="M243" s="14" t="n">
        <v>4.3</v>
      </c>
      <c r="N243" s="12">
        <f>ROUND(L243/M243, 0)</f>
        <v/>
      </c>
      <c r="O243" s="12">
        <f>ROUND(N243*'Methodology &amp; Assumptions'!$B$5, 0)</f>
        <v/>
      </c>
      <c r="P243" s="10" t="inlineStr">
        <is>
          <t>Single Carrier (Band n50, 100MHz TDD)</t>
        </is>
      </c>
      <c r="Q243" s="13">
        <f>ROUNDUP(O243/'Methodology &amp; Assumptions'!$B$6, 0)</f>
        <v/>
      </c>
      <c r="R243" s="13" t="n">
        <v>1</v>
      </c>
      <c r="S243" s="14" t="n">
        <v>15.51</v>
      </c>
      <c r="T243" s="14" t="n">
        <v>12.01</v>
      </c>
      <c r="U243" s="26">
        <f>IF(X243&gt;='Methodology &amp; Assumptions'!$B$7, "Tier 1 Critical GIDA (Score ≥ 50.0)", IF(X243&gt;='Methodology &amp; Assumptions'!$B$8, "Tier 2 High GIDA (Score 40.0–49.9)", "Tier 3 Moderate GIDA (Score &lt; 40.0)"))</f>
        <v/>
      </c>
      <c r="V243" s="26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W243" s="28" t="n">
        <v>0.109</v>
      </c>
      <c r="X243" s="14" t="n">
        <v>55.97</v>
      </c>
      <c r="Y243" s="14">
        <f>ROUND(MIN(100, (X243/69.91)*100), 2)</f>
        <v/>
      </c>
    </row>
    <row r="244">
      <c r="A244" s="10" t="n">
        <v>1</v>
      </c>
      <c r="B244" s="10" t="n">
        <v>240</v>
      </c>
      <c r="C244" s="10" t="n">
        <v>240</v>
      </c>
      <c r="D244" s="10" t="inlineStr">
        <is>
          <t>0201514009</t>
        </is>
      </c>
      <c r="E244" s="26" t="inlineStr">
        <is>
          <t>Region II (Cagayan Valley)</t>
        </is>
      </c>
      <c r="F244" s="26" t="inlineStr">
        <is>
          <t>Cagayan</t>
        </is>
      </c>
      <c r="G244" s="26" t="inlineStr">
        <is>
          <t>Gonzaga</t>
        </is>
      </c>
      <c r="H244" s="26" t="inlineStr">
        <is>
          <t>Caroan</t>
        </is>
      </c>
      <c r="I244" s="27" t="n">
        <v>18.268239</v>
      </c>
      <c r="J244" s="27" t="n">
        <v>121.915399</v>
      </c>
      <c r="K244" s="10" t="inlineStr">
        <is>
          <t>R</t>
        </is>
      </c>
      <c r="L244" s="12" t="n">
        <v>1293</v>
      </c>
      <c r="M244" s="14" t="n">
        <v>3.9</v>
      </c>
      <c r="N244" s="12">
        <f>ROUND(L244/M244, 0)</f>
        <v/>
      </c>
      <c r="O244" s="12">
        <f>ROUND(N244*'Methodology &amp; Assumptions'!$B$5, 0)</f>
        <v/>
      </c>
      <c r="P244" s="10" t="inlineStr">
        <is>
          <t>Single Carrier (Band n50, 100MHz TDD)</t>
        </is>
      </c>
      <c r="Q244" s="13">
        <f>ROUNDUP(O244/'Methodology &amp; Assumptions'!$B$6, 0)</f>
        <v/>
      </c>
      <c r="R244" s="13" t="n">
        <v>1</v>
      </c>
      <c r="S244" s="14" t="n">
        <v>2.36</v>
      </c>
      <c r="T244" s="14" t="n">
        <v>2.32</v>
      </c>
      <c r="U244" s="26">
        <f>IF(X244&gt;='Methodology &amp; Assumptions'!$B$7, "Tier 1 Critical GIDA (Score ≥ 50.0)", IF(X244&gt;='Methodology &amp; Assumptions'!$B$8, "Tier 2 High GIDA (Score 40.0–49.9)", "Tier 3 Moderate GIDA (Score &lt; 40.0)"))</f>
        <v/>
      </c>
      <c r="V244" s="26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W244" s="28" t="n">
        <v>0.083</v>
      </c>
      <c r="X244" s="14" t="n">
        <v>55.96</v>
      </c>
      <c r="Y244" s="14">
        <f>ROUND(MIN(100, (X244/69.91)*100), 2)</f>
        <v/>
      </c>
    </row>
    <row r="245">
      <c r="A245" s="10" t="n">
        <v>1</v>
      </c>
      <c r="B245" s="10" t="n">
        <v>241</v>
      </c>
      <c r="C245" s="10" t="n">
        <v>241</v>
      </c>
      <c r="D245" s="10" t="inlineStr">
        <is>
          <t>0205008021</t>
        </is>
      </c>
      <c r="E245" s="26" t="inlineStr">
        <is>
          <t>Region II (Cagayan Valley)</t>
        </is>
      </c>
      <c r="F245" s="26" t="inlineStr">
        <is>
          <t>Nueva Vizcaya</t>
        </is>
      </c>
      <c r="G245" s="26" t="inlineStr">
        <is>
          <t>Dupax del Sur</t>
        </is>
      </c>
      <c r="H245" s="26" t="inlineStr">
        <is>
          <t>Sanguit</t>
        </is>
      </c>
      <c r="I245" s="27" t="n">
        <v>16.13963</v>
      </c>
      <c r="J245" s="27" t="n">
        <v>121.15567</v>
      </c>
      <c r="K245" s="10" t="inlineStr">
        <is>
          <t>R</t>
        </is>
      </c>
      <c r="L245" s="12" t="n">
        <v>1147</v>
      </c>
      <c r="M245" s="14" t="n">
        <v>3.8</v>
      </c>
      <c r="N245" s="12">
        <f>ROUND(L245/M245, 0)</f>
        <v/>
      </c>
      <c r="O245" s="12">
        <f>ROUND(N245*'Methodology &amp; Assumptions'!$B$5, 0)</f>
        <v/>
      </c>
      <c r="P245" s="10" t="inlineStr">
        <is>
          <t>Single Carrier (Band n50, 100MHz TDD)</t>
        </is>
      </c>
      <c r="Q245" s="13">
        <f>ROUNDUP(O245/'Methodology &amp; Assumptions'!$B$6, 0)</f>
        <v/>
      </c>
      <c r="R245" s="13" t="n">
        <v>1</v>
      </c>
      <c r="S245" s="14" t="n">
        <v>3.96</v>
      </c>
      <c r="T245" s="14" t="n">
        <v>20.32</v>
      </c>
      <c r="U245" s="26">
        <f>IF(X245&gt;='Methodology &amp; Assumptions'!$B$7, "Tier 1 Critical GIDA (Score ≥ 50.0)", IF(X245&gt;='Methodology &amp; Assumptions'!$B$8, "Tier 2 High GIDA (Score 40.0–49.9)", "Tier 3 Moderate GIDA (Score &lt; 40.0)"))</f>
        <v/>
      </c>
      <c r="V245" s="26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W245" s="28" t="n">
        <v>0.083</v>
      </c>
      <c r="X245" s="14" t="n">
        <v>55.94</v>
      </c>
      <c r="Y245" s="14">
        <f>ROUND(MIN(100, (X245/69.91)*100), 2)</f>
        <v/>
      </c>
    </row>
    <row r="246">
      <c r="A246" s="10" t="n">
        <v>1</v>
      </c>
      <c r="B246" s="10" t="n">
        <v>242</v>
      </c>
      <c r="C246" s="10" t="n">
        <v>242</v>
      </c>
      <c r="D246" s="10" t="inlineStr">
        <is>
          <t>0105527061</t>
        </is>
      </c>
      <c r="E246" s="26" t="inlineStr">
        <is>
          <t>Region I (Ilocos Region)</t>
        </is>
      </c>
      <c r="F246" s="26" t="inlineStr">
        <is>
          <t>Pangasinan</t>
        </is>
      </c>
      <c r="G246" s="26" t="inlineStr">
        <is>
          <t>Mangatarem</t>
        </is>
      </c>
      <c r="H246" s="26" t="inlineStr">
        <is>
          <t>Pacalat</t>
        </is>
      </c>
      <c r="I246" s="27" t="n">
        <v>15.74252</v>
      </c>
      <c r="J246" s="27" t="n">
        <v>120.27649</v>
      </c>
      <c r="K246" s="10" t="inlineStr">
        <is>
          <t>R</t>
        </is>
      </c>
      <c r="L246" s="12" t="n">
        <v>1026</v>
      </c>
      <c r="M246" s="14" t="n">
        <v>3.6</v>
      </c>
      <c r="N246" s="12">
        <f>ROUND(L246/M246, 0)</f>
        <v/>
      </c>
      <c r="O246" s="12">
        <f>ROUND(N246*'Methodology &amp; Assumptions'!$B$5, 0)</f>
        <v/>
      </c>
      <c r="P246" s="10" t="inlineStr">
        <is>
          <t>Single Carrier (Band n50, 100MHz TDD)</t>
        </is>
      </c>
      <c r="Q246" s="13">
        <f>ROUNDUP(O246/'Methodology &amp; Assumptions'!$B$6, 0)</f>
        <v/>
      </c>
      <c r="R246" s="13" t="n">
        <v>1</v>
      </c>
      <c r="S246" s="14" t="n">
        <v>7.63</v>
      </c>
      <c r="T246" s="14" t="n">
        <v>15.99</v>
      </c>
      <c r="U246" s="26">
        <f>IF(X246&gt;='Methodology &amp; Assumptions'!$B$7, "Tier 1 Critical GIDA (Score ≥ 50.0)", IF(X246&gt;='Methodology &amp; Assumptions'!$B$8, "Tier 2 High GIDA (Score 40.0–49.9)", "Tier 3 Moderate GIDA (Score &lt; 40.0)"))</f>
        <v/>
      </c>
      <c r="V246" s="26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W246" s="28" t="n">
        <v>0.083</v>
      </c>
      <c r="X246" s="14" t="n">
        <v>55.94</v>
      </c>
      <c r="Y246" s="14">
        <f>ROUND(MIN(100, (X246/69.91)*100), 2)</f>
        <v/>
      </c>
    </row>
    <row r="247">
      <c r="A247" s="10" t="n">
        <v>1</v>
      </c>
      <c r="B247" s="10" t="n">
        <v>243</v>
      </c>
      <c r="C247" s="10" t="n">
        <v>243</v>
      </c>
      <c r="D247" s="10" t="inlineStr">
        <is>
          <t>0603023008</t>
        </is>
      </c>
      <c r="E247" s="26" t="inlineStr">
        <is>
          <t>Region VI (Western Visayas)</t>
        </is>
      </c>
      <c r="F247" s="26" t="inlineStr">
        <is>
          <t>Iloilo</t>
        </is>
      </c>
      <c r="G247" s="26" t="inlineStr">
        <is>
          <t>Janiuay</t>
        </is>
      </c>
      <c r="H247" s="26" t="inlineStr">
        <is>
          <t>Barasalon</t>
        </is>
      </c>
      <c r="I247" s="27" t="n">
        <v>11.01038</v>
      </c>
      <c r="J247" s="27" t="n">
        <v>122.356612</v>
      </c>
      <c r="K247" s="10" t="inlineStr">
        <is>
          <t>R</t>
        </is>
      </c>
      <c r="L247" s="12" t="n">
        <v>1537</v>
      </c>
      <c r="M247" s="14" t="n">
        <v>3.8</v>
      </c>
      <c r="N247" s="12">
        <f>ROUND(L247/M247, 0)</f>
        <v/>
      </c>
      <c r="O247" s="12">
        <f>ROUND(N247*'Methodology &amp; Assumptions'!$B$5, 0)</f>
        <v/>
      </c>
      <c r="P247" s="10" t="inlineStr">
        <is>
          <t>Single Carrier (Band n50, 100MHz TDD)</t>
        </is>
      </c>
      <c r="Q247" s="13">
        <f>ROUNDUP(O247/'Methodology &amp; Assumptions'!$B$6, 0)</f>
        <v/>
      </c>
      <c r="R247" s="13" t="n">
        <v>1</v>
      </c>
      <c r="S247" s="14" t="n">
        <v>18.55</v>
      </c>
      <c r="T247" s="14" t="n">
        <v>17</v>
      </c>
      <c r="U247" s="26">
        <f>IF(X247&gt;='Methodology &amp; Assumptions'!$B$7, "Tier 1 Critical GIDA (Score ≥ 50.0)", IF(X247&gt;='Methodology &amp; Assumptions'!$B$8, "Tier 2 High GIDA (Score 40.0–49.9)", "Tier 3 Moderate GIDA (Score &lt; 40.0)"))</f>
        <v/>
      </c>
      <c r="V247" s="26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W247" s="28" t="n">
        <v>0.237</v>
      </c>
      <c r="X247" s="14" t="n">
        <v>55.94</v>
      </c>
      <c r="Y247" s="14">
        <f>ROUND(MIN(100, (X247/69.91)*100), 2)</f>
        <v/>
      </c>
    </row>
    <row r="248">
      <c r="A248" s="10" t="n">
        <v>1</v>
      </c>
      <c r="B248" s="10" t="n">
        <v>244</v>
      </c>
      <c r="C248" s="10" t="n">
        <v>244</v>
      </c>
      <c r="D248" s="10" t="inlineStr">
        <is>
          <t>0806417010</t>
        </is>
      </c>
      <c r="E248" s="26" t="inlineStr">
        <is>
          <t>Region VIII (Eastern Visayas)</t>
        </is>
      </c>
      <c r="F248" s="26" t="inlineStr">
        <is>
          <t>Southern Leyte</t>
        </is>
      </c>
      <c r="G248" s="26" t="inlineStr">
        <is>
          <t>Sogod</t>
        </is>
      </c>
      <c r="H248" s="26" t="inlineStr">
        <is>
          <t>Hipantag</t>
        </is>
      </c>
      <c r="I248" s="27" t="n">
        <v>10.485914</v>
      </c>
      <c r="J248" s="27" t="n">
        <v>124.979987</v>
      </c>
      <c r="K248" s="10" t="inlineStr">
        <is>
          <t>R</t>
        </is>
      </c>
      <c r="L248" s="12" t="n">
        <v>251</v>
      </c>
      <c r="M248" s="14" t="n">
        <v>4.1</v>
      </c>
      <c r="N248" s="12">
        <f>ROUND(L248/M248, 0)</f>
        <v/>
      </c>
      <c r="O248" s="12">
        <f>ROUND(N248*'Methodology &amp; Assumptions'!$B$5, 0)</f>
        <v/>
      </c>
      <c r="P248" s="10" t="inlineStr">
        <is>
          <t>Single Carrier (Band n50, 100MHz TDD)</t>
        </is>
      </c>
      <c r="Q248" s="13">
        <f>ROUNDUP(O248/'Methodology &amp; Assumptions'!$B$6, 0)</f>
        <v/>
      </c>
      <c r="R248" s="13" t="n">
        <v>1</v>
      </c>
      <c r="S248" s="14" t="n">
        <v>11.1</v>
      </c>
      <c r="T248" s="14" t="n">
        <v>1.92</v>
      </c>
      <c r="U248" s="26">
        <f>IF(X248&gt;='Methodology &amp; Assumptions'!$B$7, "Tier 1 Critical GIDA (Score ≥ 50.0)", IF(X248&gt;='Methodology &amp; Assumptions'!$B$8, "Tier 2 High GIDA (Score 40.0–49.9)", "Tier 3 Moderate GIDA (Score &lt; 40.0)"))</f>
        <v/>
      </c>
      <c r="V248" s="26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W248" s="28" t="n">
        <v>0.237</v>
      </c>
      <c r="X248" s="14" t="n">
        <v>55.93</v>
      </c>
      <c r="Y248" s="14">
        <f>ROUND(MIN(100, (X248/69.91)*100), 2)</f>
        <v/>
      </c>
    </row>
    <row r="249">
      <c r="A249" s="10" t="n">
        <v>1</v>
      </c>
      <c r="B249" s="10" t="n">
        <v>245</v>
      </c>
      <c r="C249" s="10" t="n">
        <v>245</v>
      </c>
      <c r="D249" s="10" t="inlineStr">
        <is>
          <t>0603023006</t>
        </is>
      </c>
      <c r="E249" s="26" t="inlineStr">
        <is>
          <t>Region VI (Western Visayas)</t>
        </is>
      </c>
      <c r="F249" s="26" t="inlineStr">
        <is>
          <t>Iloilo</t>
        </is>
      </c>
      <c r="G249" s="26" t="inlineStr">
        <is>
          <t>Janiuay</t>
        </is>
      </c>
      <c r="H249" s="26" t="inlineStr">
        <is>
          <t>Atimonan</t>
        </is>
      </c>
      <c r="I249" s="27" t="n">
        <v>11.051233</v>
      </c>
      <c r="J249" s="27" t="n">
        <v>122.358669</v>
      </c>
      <c r="K249" s="10" t="inlineStr">
        <is>
          <t>R</t>
        </is>
      </c>
      <c r="L249" s="12" t="n">
        <v>1064</v>
      </c>
      <c r="M249" s="14" t="n">
        <v>3.8</v>
      </c>
      <c r="N249" s="12">
        <f>ROUND(L249/M249, 0)</f>
        <v/>
      </c>
      <c r="O249" s="12">
        <f>ROUND(N249*'Methodology &amp; Assumptions'!$B$5, 0)</f>
        <v/>
      </c>
      <c r="P249" s="10" t="inlineStr">
        <is>
          <t>Single Carrier (Band n50, 100MHz TDD)</t>
        </is>
      </c>
      <c r="Q249" s="13">
        <f>ROUNDUP(O249/'Methodology &amp; Assumptions'!$B$6, 0)</f>
        <v/>
      </c>
      <c r="R249" s="13" t="n">
        <v>1</v>
      </c>
      <c r="S249" s="14" t="n">
        <v>20.57</v>
      </c>
      <c r="T249" s="14" t="n">
        <v>19.31</v>
      </c>
      <c r="U249" s="26">
        <f>IF(X249&gt;='Methodology &amp; Assumptions'!$B$7, "Tier 1 Critical GIDA (Score ≥ 50.0)", IF(X249&gt;='Methodology &amp; Assumptions'!$B$8, "Tier 2 High GIDA (Score 40.0–49.9)", "Tier 3 Moderate GIDA (Score &lt; 40.0)"))</f>
        <v/>
      </c>
      <c r="V249" s="26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W249" s="28" t="n">
        <v>0.237</v>
      </c>
      <c r="X249" s="14" t="n">
        <v>55.93</v>
      </c>
      <c r="Y249" s="14">
        <f>ROUND(MIN(100, (X249/69.91)*100), 2)</f>
        <v/>
      </c>
    </row>
    <row r="250">
      <c r="A250" s="10" t="n">
        <v>1</v>
      </c>
      <c r="B250" s="10" t="n">
        <v>246</v>
      </c>
      <c r="C250" s="10" t="n">
        <v>246</v>
      </c>
      <c r="D250" s="10" t="inlineStr">
        <is>
          <t>PH0000246</t>
        </is>
      </c>
      <c r="E250" s="26" t="inlineStr">
        <is>
          <t>NIR</t>
        </is>
      </c>
      <c r="F250" s="26" t="inlineStr">
        <is>
          <t>Negros Occidental</t>
        </is>
      </c>
      <c r="G250" s="26" t="inlineStr">
        <is>
          <t>Bacolod City</t>
        </is>
      </c>
      <c r="H250" s="26" t="inlineStr">
        <is>
          <t>Barangay 21 (Pob.)</t>
        </is>
      </c>
      <c r="I250" s="27" t="n">
        <v>10.657352</v>
      </c>
      <c r="J250" s="27" t="n">
        <v>122.97851</v>
      </c>
      <c r="K250" s="10" t="inlineStr">
        <is>
          <t>R</t>
        </is>
      </c>
      <c r="L250" s="12" t="n">
        <v>2279</v>
      </c>
      <c r="M250" s="14" t="n">
        <v>3.8</v>
      </c>
      <c r="N250" s="12">
        <f>ROUND(L250/M250, 0)</f>
        <v/>
      </c>
      <c r="O250" s="12">
        <f>ROUND(N250*'Methodology &amp; Assumptions'!$B$5, 0)</f>
        <v/>
      </c>
      <c r="P250" s="10" t="inlineStr">
        <is>
          <t>Single Carrier (Band n50, 100MHz TDD)</t>
        </is>
      </c>
      <c r="Q250" s="13">
        <f>ROUNDUP(O250/'Methodology &amp; Assumptions'!$B$6, 0)</f>
        <v/>
      </c>
      <c r="R250" s="13" t="n">
        <v>1</v>
      </c>
      <c r="S250" s="14" t="n">
        <v>2.74</v>
      </c>
      <c r="T250" s="14" t="n">
        <v>1.39</v>
      </c>
      <c r="U250" s="26">
        <f>IF(X250&gt;='Methodology &amp; Assumptions'!$B$7, "Tier 1 Critical GIDA (Score ≥ 50.0)", IF(X250&gt;='Methodology &amp; Assumptions'!$B$8, "Tier 2 High GIDA (Score 40.0–49.9)", "Tier 3 Moderate GIDA (Score &lt; 40.0)"))</f>
        <v/>
      </c>
      <c r="V250" s="26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W250" s="28" t="n">
        <v>0.109</v>
      </c>
      <c r="X250" s="14" t="n">
        <v>55.93</v>
      </c>
      <c r="Y250" s="14">
        <f>ROUND(MIN(100, (X250/69.91)*100), 2)</f>
        <v/>
      </c>
    </row>
    <row r="251">
      <c r="A251" s="10" t="n">
        <v>1</v>
      </c>
      <c r="B251" s="10" t="n">
        <v>247</v>
      </c>
      <c r="C251" s="10" t="n">
        <v>247</v>
      </c>
      <c r="D251" s="10" t="inlineStr">
        <is>
          <t>0205015002</t>
        </is>
      </c>
      <c r="E251" s="26" t="inlineStr">
        <is>
          <t>Region II (Cagayan Valley)</t>
        </is>
      </c>
      <c r="F251" s="26" t="inlineStr">
        <is>
          <t>Nueva Vizcaya</t>
        </is>
      </c>
      <c r="G251" s="26" t="inlineStr">
        <is>
          <t>Alfonso Castaneda</t>
        </is>
      </c>
      <c r="H251" s="26" t="inlineStr">
        <is>
          <t>Galintuja</t>
        </is>
      </c>
      <c r="I251" s="27" t="n">
        <v>15.8114</v>
      </c>
      <c r="J251" s="27" t="n">
        <v>121.32381</v>
      </c>
      <c r="K251" s="10" t="inlineStr">
        <is>
          <t>R</t>
        </is>
      </c>
      <c r="L251" s="12" t="n">
        <v>1036</v>
      </c>
      <c r="M251" s="14" t="n">
        <v>3.8</v>
      </c>
      <c r="N251" s="12">
        <f>ROUND(L251/M251, 0)</f>
        <v/>
      </c>
      <c r="O251" s="12">
        <f>ROUND(N251*'Methodology &amp; Assumptions'!$B$5, 0)</f>
        <v/>
      </c>
      <c r="P251" s="10" t="inlineStr">
        <is>
          <t>Single Carrier (Band n50, 100MHz TDD)</t>
        </is>
      </c>
      <c r="Q251" s="13">
        <f>ROUNDUP(O251/'Methodology &amp; Assumptions'!$B$6, 0)</f>
        <v/>
      </c>
      <c r="R251" s="13" t="n">
        <v>1</v>
      </c>
      <c r="S251" s="14" t="n">
        <v>16.46</v>
      </c>
      <c r="T251" s="14" t="n">
        <v>2.41</v>
      </c>
      <c r="U251" s="26">
        <f>IF(X251&gt;='Methodology &amp; Assumptions'!$B$7, "Tier 1 Critical GIDA (Score ≥ 50.0)", IF(X251&gt;='Methodology &amp; Assumptions'!$B$8, "Tier 2 High GIDA (Score 40.0–49.9)", "Tier 3 Moderate GIDA (Score &lt; 40.0)"))</f>
        <v/>
      </c>
      <c r="V251" s="26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W251" s="28" t="n">
        <v>0.083</v>
      </c>
      <c r="X251" s="14" t="n">
        <v>55.92</v>
      </c>
      <c r="Y251" s="14">
        <f>ROUND(MIN(100, (X251/69.91)*100), 2)</f>
        <v/>
      </c>
    </row>
    <row r="252">
      <c r="A252" s="10" t="n">
        <v>1</v>
      </c>
      <c r="B252" s="10" t="n">
        <v>248</v>
      </c>
      <c r="C252" s="10" t="n">
        <v>248</v>
      </c>
      <c r="D252" s="10" t="inlineStr">
        <is>
          <t>0600406005</t>
        </is>
      </c>
      <c r="E252" s="26" t="inlineStr">
        <is>
          <t>Region VI (Western Visayas)</t>
        </is>
      </c>
      <c r="F252" s="26" t="inlineStr">
        <is>
          <t>Aklan</t>
        </is>
      </c>
      <c r="G252" s="26" t="inlineStr">
        <is>
          <t>Ibajay</t>
        </is>
      </c>
      <c r="H252" s="26" t="inlineStr">
        <is>
          <t>Aquino</t>
        </is>
      </c>
      <c r="I252" s="27" t="n">
        <v>11.816108</v>
      </c>
      <c r="J252" s="27" t="n">
        <v>122.119045</v>
      </c>
      <c r="K252" s="10" t="inlineStr">
        <is>
          <t>R</t>
        </is>
      </c>
      <c r="L252" s="12" t="n">
        <v>3505</v>
      </c>
      <c r="M252" s="14" t="n">
        <v>3.9</v>
      </c>
      <c r="N252" s="12">
        <f>ROUND(L252/M252, 0)</f>
        <v/>
      </c>
      <c r="O252" s="12">
        <f>ROUND(N252*'Methodology &amp; Assumptions'!$B$5, 0)</f>
        <v/>
      </c>
      <c r="P252" s="10" t="inlineStr">
        <is>
          <t>Single Carrier (Band n50, 100MHz TDD)</t>
        </is>
      </c>
      <c r="Q252" s="13">
        <f>ROUNDUP(O252/'Methodology &amp; Assumptions'!$B$6, 0)</f>
        <v/>
      </c>
      <c r="R252" s="13" t="n">
        <v>1</v>
      </c>
      <c r="S252" s="14" t="n">
        <v>22</v>
      </c>
      <c r="T252" s="14" t="n">
        <v>0.61</v>
      </c>
      <c r="U252" s="26">
        <f>IF(X252&gt;='Methodology &amp; Assumptions'!$B$7, "Tier 1 Critical GIDA (Score ≥ 50.0)", IF(X252&gt;='Methodology &amp; Assumptions'!$B$8, "Tier 2 High GIDA (Score 40.0–49.9)", "Tier 3 Moderate GIDA (Score &lt; 40.0)"))</f>
        <v/>
      </c>
      <c r="V252" s="26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W252" s="28" t="n">
        <v>0.237</v>
      </c>
      <c r="X252" s="14" t="n">
        <v>55.92</v>
      </c>
      <c r="Y252" s="14">
        <f>ROUND(MIN(100, (X252/69.91)*100), 2)</f>
        <v/>
      </c>
    </row>
    <row r="253">
      <c r="A253" s="10" t="n">
        <v>1</v>
      </c>
      <c r="B253" s="10" t="n">
        <v>249</v>
      </c>
      <c r="C253" s="10" t="n">
        <v>249</v>
      </c>
      <c r="D253" s="10" t="inlineStr">
        <is>
          <t>1705309032</t>
        </is>
      </c>
      <c r="E253" s="26" t="inlineStr">
        <is>
          <t>MIMAROPA Region</t>
        </is>
      </c>
      <c r="F253" s="26" t="inlineStr">
        <is>
          <t>Palawan</t>
        </is>
      </c>
      <c r="G253" s="26" t="inlineStr">
        <is>
          <t>Coron</t>
        </is>
      </c>
      <c r="H253" s="26" t="inlineStr">
        <is>
          <t>Barangay VI</t>
        </is>
      </c>
      <c r="I253" s="27" t="n">
        <v>12.050486</v>
      </c>
      <c r="J253" s="27" t="n">
        <v>120.153069</v>
      </c>
      <c r="K253" s="10" t="inlineStr">
        <is>
          <t>U</t>
        </is>
      </c>
      <c r="L253" s="12" t="n">
        <v>5280</v>
      </c>
      <c r="M253" s="14" t="n">
        <v>3.9</v>
      </c>
      <c r="N253" s="12">
        <f>ROUND(L253/M253, 0)</f>
        <v/>
      </c>
      <c r="O253" s="12">
        <f>ROUND(N253*'Methodology &amp; Assumptions'!$B$5, 0)</f>
        <v/>
      </c>
      <c r="P253" s="10" t="inlineStr">
        <is>
          <t>Single Carrier (Band n50, 100MHz TDD)</t>
        </is>
      </c>
      <c r="Q253" s="13">
        <f>ROUNDUP(O253/'Methodology &amp; Assumptions'!$B$6, 0)</f>
        <v/>
      </c>
      <c r="R253" s="13" t="n">
        <v>1</v>
      </c>
      <c r="S253" s="14" t="n">
        <v>1.2</v>
      </c>
      <c r="T253" s="14" t="n">
        <v>104.26</v>
      </c>
      <c r="U253" s="26">
        <f>IF(X253&gt;='Methodology &amp; Assumptions'!$B$7, "Tier 1 Critical GIDA (Score ≥ 50.0)", IF(X253&gt;='Methodology &amp; Assumptions'!$B$8, "Tier 2 High GIDA (Score 40.0–49.9)", "Tier 3 Moderate GIDA (Score &lt; 40.0)"))</f>
        <v/>
      </c>
      <c r="V253" s="26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W253" s="28" t="n">
        <v>0.15</v>
      </c>
      <c r="X253" s="14" t="n">
        <v>55.92</v>
      </c>
      <c r="Y253" s="14">
        <f>ROUND(MIN(100, (X253/69.91)*100), 2)</f>
        <v/>
      </c>
    </row>
    <row r="254">
      <c r="A254" s="10" t="n">
        <v>1</v>
      </c>
      <c r="B254" s="10" t="n">
        <v>250</v>
      </c>
      <c r="C254" s="10" t="n">
        <v>250</v>
      </c>
      <c r="D254" s="10" t="inlineStr">
        <is>
          <t>PH0000250</t>
        </is>
      </c>
      <c r="E254" s="26" t="inlineStr">
        <is>
          <t>NIR</t>
        </is>
      </c>
      <c r="F254" s="26" t="inlineStr">
        <is>
          <t>Negros Occidental</t>
        </is>
      </c>
      <c r="G254" s="26" t="inlineStr">
        <is>
          <t>Bacolod City</t>
        </is>
      </c>
      <c r="H254" s="26" t="inlineStr">
        <is>
          <t>Barangay 15 (Pob.)</t>
        </is>
      </c>
      <c r="I254" s="27" t="n">
        <v>10.643835</v>
      </c>
      <c r="J254" s="27" t="n">
        <v>122.970746</v>
      </c>
      <c r="K254" s="10" t="inlineStr">
        <is>
          <t>R</t>
        </is>
      </c>
      <c r="L254" s="12" t="n">
        <v>2279</v>
      </c>
      <c r="M254" s="14" t="n">
        <v>3.8</v>
      </c>
      <c r="N254" s="12">
        <f>ROUND(L254/M254, 0)</f>
        <v/>
      </c>
      <c r="O254" s="12">
        <f>ROUND(N254*'Methodology &amp; Assumptions'!$B$5, 0)</f>
        <v/>
      </c>
      <c r="P254" s="10" t="inlineStr">
        <is>
          <t>Single Carrier (Band n50, 100MHz TDD)</t>
        </is>
      </c>
      <c r="Q254" s="13">
        <f>ROUNDUP(O254/'Methodology &amp; Assumptions'!$B$6, 0)</f>
        <v/>
      </c>
      <c r="R254" s="13" t="n">
        <v>1</v>
      </c>
      <c r="S254" s="14" t="n">
        <v>1.22</v>
      </c>
      <c r="T254" s="14" t="n">
        <v>0.72</v>
      </c>
      <c r="U254" s="26">
        <f>IF(X254&gt;='Methodology &amp; Assumptions'!$B$7, "Tier 1 Critical GIDA (Score ≥ 50.0)", IF(X254&gt;='Methodology &amp; Assumptions'!$B$8, "Tier 2 High GIDA (Score 40.0–49.9)", "Tier 3 Moderate GIDA (Score &lt; 40.0)"))</f>
        <v/>
      </c>
      <c r="V254" s="26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W254" s="28" t="n">
        <v>0.109</v>
      </c>
      <c r="X254" s="14" t="n">
        <v>55.9</v>
      </c>
      <c r="Y254" s="14">
        <f>ROUND(MIN(100, (X254/69.91)*100), 2)</f>
        <v/>
      </c>
    </row>
    <row r="255">
      <c r="A255" s="10" t="n">
        <v>1</v>
      </c>
      <c r="B255" s="10" t="n">
        <v>251</v>
      </c>
      <c r="C255" s="10" t="n">
        <v>251</v>
      </c>
      <c r="D255" s="10" t="inlineStr">
        <is>
          <t>PH0000251</t>
        </is>
      </c>
      <c r="E255" s="26" t="inlineStr">
        <is>
          <t>VI</t>
        </is>
      </c>
      <c r="F255" s="26" t="inlineStr">
        <is>
          <t>Iloilo</t>
        </is>
      </c>
      <c r="G255" s="26" t="inlineStr">
        <is>
          <t>Iloilo City</t>
        </is>
      </c>
      <c r="H255" s="26" t="inlineStr">
        <is>
          <t>Sampaguita</t>
        </is>
      </c>
      <c r="I255" s="27" t="n">
        <v>10.700521</v>
      </c>
      <c r="J255" s="27" t="n">
        <v>122.565335</v>
      </c>
      <c r="K255" s="10" t="inlineStr">
        <is>
          <t>R</t>
        </is>
      </c>
      <c r="L255" s="12" t="n">
        <v>2230</v>
      </c>
      <c r="M255" s="14" t="n">
        <v>3.8</v>
      </c>
      <c r="N255" s="12">
        <f>ROUND(L255/M255, 0)</f>
        <v/>
      </c>
      <c r="O255" s="12">
        <f>ROUND(N255*'Methodology &amp; Assumptions'!$B$5, 0)</f>
        <v/>
      </c>
      <c r="P255" s="10" t="inlineStr">
        <is>
          <t>Single Carrier (Band n50, 100MHz TDD)</t>
        </is>
      </c>
      <c r="Q255" s="13">
        <f>ROUNDUP(O255/'Methodology &amp; Assumptions'!$B$6, 0)</f>
        <v/>
      </c>
      <c r="R255" s="13" t="n">
        <v>1</v>
      </c>
      <c r="S255" s="14" t="n">
        <v>1.5</v>
      </c>
      <c r="T255" s="14" t="n">
        <v>0.38</v>
      </c>
      <c r="U255" s="26">
        <f>IF(X255&gt;='Methodology &amp; Assumptions'!$B$7, "Tier 1 Critical GIDA (Score ≥ 50.0)", IF(X255&gt;='Methodology &amp; Assumptions'!$B$8, "Tier 2 High GIDA (Score 40.0–49.9)", "Tier 3 Moderate GIDA (Score &lt; 40.0)"))</f>
        <v/>
      </c>
      <c r="V255" s="26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W255" s="28" t="n">
        <v>0.156</v>
      </c>
      <c r="X255" s="14" t="n">
        <v>55.9</v>
      </c>
      <c r="Y255" s="14">
        <f>ROUND(MIN(100, (X255/69.91)*100), 2)</f>
        <v/>
      </c>
    </row>
    <row r="256">
      <c r="A256" s="10" t="n">
        <v>1</v>
      </c>
      <c r="B256" s="10" t="n">
        <v>252</v>
      </c>
      <c r="C256" s="10" t="n">
        <v>252</v>
      </c>
      <c r="D256" s="10" t="inlineStr">
        <is>
          <t>PH0000252</t>
        </is>
      </c>
      <c r="E256" s="26" t="inlineStr">
        <is>
          <t>IV-A</t>
        </is>
      </c>
      <c r="F256" s="26" t="inlineStr">
        <is>
          <t>Batangas</t>
        </is>
      </c>
      <c r="G256" s="26" t="inlineStr">
        <is>
          <t>Lipa City</t>
        </is>
      </c>
      <c r="H256" s="26" t="inlineStr">
        <is>
          <t>Poblacion Barangay 9</t>
        </is>
      </c>
      <c r="I256" s="27" t="n">
        <v>13.939389</v>
      </c>
      <c r="J256" s="27" t="n">
        <v>121.155913</v>
      </c>
      <c r="K256" s="10" t="inlineStr">
        <is>
          <t>R</t>
        </is>
      </c>
      <c r="L256" s="12" t="n">
        <v>2259</v>
      </c>
      <c r="M256" s="14" t="n">
        <v>3.6</v>
      </c>
      <c r="N256" s="12">
        <f>ROUND(L256/M256, 0)</f>
        <v/>
      </c>
      <c r="O256" s="12">
        <f>ROUND(N256*'Methodology &amp; Assumptions'!$B$5, 0)</f>
        <v/>
      </c>
      <c r="P256" s="10" t="inlineStr">
        <is>
          <t>Single Carrier (Band n50, 100MHz TDD)</t>
        </is>
      </c>
      <c r="Q256" s="13">
        <f>ROUNDUP(O256/'Methodology &amp; Assumptions'!$B$6, 0)</f>
        <v/>
      </c>
      <c r="R256" s="13" t="n">
        <v>1</v>
      </c>
      <c r="S256" s="14" t="n">
        <v>1.26</v>
      </c>
      <c r="T256" s="14" t="n">
        <v>0.07000000000000001</v>
      </c>
      <c r="U256" s="26">
        <f>IF(X256&gt;='Methodology &amp; Assumptions'!$B$7, "Tier 1 Critical GIDA (Score ≥ 50.0)", IF(X256&gt;='Methodology &amp; Assumptions'!$B$8, "Tier 2 High GIDA (Score 40.0–49.9)", "Tier 3 Moderate GIDA (Score &lt; 40.0)"))</f>
        <v/>
      </c>
      <c r="V256" s="26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W256" s="28" t="n">
        <v>0.07200000000000001</v>
      </c>
      <c r="X256" s="14" t="n">
        <v>55.88</v>
      </c>
      <c r="Y256" s="14">
        <f>ROUND(MIN(100, (X256/69.91)*100), 2)</f>
        <v/>
      </c>
    </row>
    <row r="257">
      <c r="A257" s="10" t="n">
        <v>1</v>
      </c>
      <c r="B257" s="10" t="n">
        <v>253</v>
      </c>
      <c r="C257" s="10" t="n">
        <v>253</v>
      </c>
      <c r="D257" s="10" t="inlineStr">
        <is>
          <t>0105527025</t>
        </is>
      </c>
      <c r="E257" s="26" t="inlineStr">
        <is>
          <t>Region I (Ilocos Region)</t>
        </is>
      </c>
      <c r="F257" s="26" t="inlineStr">
        <is>
          <t>Pangasinan</t>
        </is>
      </c>
      <c r="G257" s="26" t="inlineStr">
        <is>
          <t>Mangatarem</t>
        </is>
      </c>
      <c r="H257" s="26" t="inlineStr">
        <is>
          <t>Cacaoiten</t>
        </is>
      </c>
      <c r="I257" s="27" t="n">
        <v>15.670137</v>
      </c>
      <c r="J257" s="27" t="n">
        <v>120.324231</v>
      </c>
      <c r="K257" s="10" t="inlineStr">
        <is>
          <t>R</t>
        </is>
      </c>
      <c r="L257" s="12" t="n">
        <v>522</v>
      </c>
      <c r="M257" s="14" t="n">
        <v>3.6</v>
      </c>
      <c r="N257" s="12">
        <f>ROUND(L257/M257, 0)</f>
        <v/>
      </c>
      <c r="O257" s="12">
        <f>ROUND(N257*'Methodology &amp; Assumptions'!$B$5, 0)</f>
        <v/>
      </c>
      <c r="P257" s="10" t="inlineStr">
        <is>
          <t>Single Carrier (Band n50, 100MHz TDD)</t>
        </is>
      </c>
      <c r="Q257" s="13">
        <f>ROUNDUP(O257/'Methodology &amp; Assumptions'!$B$6, 0)</f>
        <v/>
      </c>
      <c r="R257" s="13" t="n">
        <v>1</v>
      </c>
      <c r="S257" s="14" t="n">
        <v>6.21</v>
      </c>
      <c r="T257" s="14" t="n">
        <v>9.23</v>
      </c>
      <c r="U257" s="26">
        <f>IF(X257&gt;='Methodology &amp; Assumptions'!$B$7, "Tier 1 Critical GIDA (Score ≥ 50.0)", IF(X257&gt;='Methodology &amp; Assumptions'!$B$8, "Tier 2 High GIDA (Score 40.0–49.9)", "Tier 3 Moderate GIDA (Score &lt; 40.0)"))</f>
        <v/>
      </c>
      <c r="V257" s="26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W257" s="28" t="n">
        <v>0.083</v>
      </c>
      <c r="X257" s="14" t="n">
        <v>55.87</v>
      </c>
      <c r="Y257" s="14">
        <f>ROUND(MIN(100, (X257/69.91)*100), 2)</f>
        <v/>
      </c>
    </row>
    <row r="258">
      <c r="A258" s="10" t="n">
        <v>1</v>
      </c>
      <c r="B258" s="10" t="n">
        <v>254</v>
      </c>
      <c r="C258" s="10" t="n">
        <v>254</v>
      </c>
      <c r="D258" s="10" t="inlineStr">
        <is>
          <t>PH0000254</t>
        </is>
      </c>
      <c r="E258" s="26" t="inlineStr">
        <is>
          <t>NIR</t>
        </is>
      </c>
      <c r="F258" s="26" t="inlineStr">
        <is>
          <t>Negros Occidental</t>
        </is>
      </c>
      <c r="G258" s="26" t="inlineStr">
        <is>
          <t>Bacolod City</t>
        </is>
      </c>
      <c r="H258" s="26" t="inlineStr">
        <is>
          <t>Barangay 37 (Pob.)</t>
        </is>
      </c>
      <c r="I258" s="27" t="n">
        <v>10.661423</v>
      </c>
      <c r="J258" s="27" t="n">
        <v>122.966678</v>
      </c>
      <c r="K258" s="10" t="inlineStr">
        <is>
          <t>R</t>
        </is>
      </c>
      <c r="L258" s="12" t="n">
        <v>2279</v>
      </c>
      <c r="M258" s="14" t="n">
        <v>3.8</v>
      </c>
      <c r="N258" s="12">
        <f>ROUND(L258/M258, 0)</f>
        <v/>
      </c>
      <c r="O258" s="12">
        <f>ROUND(N258*'Methodology &amp; Assumptions'!$B$5, 0)</f>
        <v/>
      </c>
      <c r="P258" s="10" t="inlineStr">
        <is>
          <t>Single Carrier (Band n50, 100MHz TDD)</t>
        </is>
      </c>
      <c r="Q258" s="13">
        <f>ROUNDUP(O258/'Methodology &amp; Assumptions'!$B$6, 0)</f>
        <v/>
      </c>
      <c r="R258" s="13" t="n">
        <v>1</v>
      </c>
      <c r="S258" s="14" t="n">
        <v>1.68</v>
      </c>
      <c r="T258" s="14" t="n">
        <v>0.12</v>
      </c>
      <c r="U258" s="26">
        <f>IF(X258&gt;='Methodology &amp; Assumptions'!$B$7, "Tier 1 Critical GIDA (Score ≥ 50.0)", IF(X258&gt;='Methodology &amp; Assumptions'!$B$8, "Tier 2 High GIDA (Score 40.0–49.9)", "Tier 3 Moderate GIDA (Score &lt; 40.0)"))</f>
        <v/>
      </c>
      <c r="V258" s="26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W258" s="28" t="n">
        <v>0.109</v>
      </c>
      <c r="X258" s="14" t="n">
        <v>55.87</v>
      </c>
      <c r="Y258" s="14">
        <f>ROUND(MIN(100, (X258/69.91)*100), 2)</f>
        <v/>
      </c>
    </row>
    <row r="259">
      <c r="A259" s="10" t="n">
        <v>1</v>
      </c>
      <c r="B259" s="10" t="n">
        <v>255</v>
      </c>
      <c r="C259" s="10" t="n">
        <v>255</v>
      </c>
      <c r="D259" s="10" t="inlineStr">
        <is>
          <t>0405619056</t>
        </is>
      </c>
      <c r="E259" s="26" t="inlineStr">
        <is>
          <t>Region IV-A (CALABARZON)</t>
        </is>
      </c>
      <c r="F259" s="26" t="inlineStr">
        <is>
          <t>Quezon</t>
        </is>
      </c>
      <c r="G259" s="26" t="inlineStr">
        <is>
          <t>Gumaca</t>
        </is>
      </c>
      <c r="H259" s="26" t="inlineStr">
        <is>
          <t>Villa Tañada</t>
        </is>
      </c>
      <c r="I259" s="27" t="n">
        <v>13.893176</v>
      </c>
      <c r="J259" s="27" t="n">
        <v>122.116536</v>
      </c>
      <c r="K259" s="10" t="inlineStr">
        <is>
          <t>R</t>
        </is>
      </c>
      <c r="L259" s="12" t="n">
        <v>135</v>
      </c>
      <c r="M259" s="14" t="n">
        <v>3.8</v>
      </c>
      <c r="N259" s="12">
        <f>ROUND(L259/M259, 0)</f>
        <v/>
      </c>
      <c r="O259" s="12">
        <f>ROUND(N259*'Methodology &amp; Assumptions'!$B$5, 0)</f>
        <v/>
      </c>
      <c r="P259" s="10" t="inlineStr">
        <is>
          <t>Single Carrier (Band n50, 100MHz TDD)</t>
        </is>
      </c>
      <c r="Q259" s="13">
        <f>ROUNDUP(O259/'Methodology &amp; Assumptions'!$B$6, 0)</f>
        <v/>
      </c>
      <c r="R259" s="13" t="n">
        <v>1</v>
      </c>
      <c r="S259" s="14" t="n">
        <v>3.43</v>
      </c>
      <c r="T259" s="14" t="n">
        <v>1.99</v>
      </c>
      <c r="U259" s="26">
        <f>IF(X259&gt;='Methodology &amp; Assumptions'!$B$7, "Tier 1 Critical GIDA (Score ≥ 50.0)", IF(X259&gt;='Methodology &amp; Assumptions'!$B$8, "Tier 2 High GIDA (Score 40.0–49.9)", "Tier 3 Moderate GIDA (Score &lt; 40.0)"))</f>
        <v/>
      </c>
      <c r="V259" s="26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W259" s="28" t="n">
        <v>0.07200000000000001</v>
      </c>
      <c r="X259" s="14" t="n">
        <v>55.87</v>
      </c>
      <c r="Y259" s="14">
        <f>ROUND(MIN(100, (X259/69.91)*100), 2)</f>
        <v/>
      </c>
    </row>
    <row r="260">
      <c r="A260" s="10" t="n">
        <v>1</v>
      </c>
      <c r="B260" s="10" t="n">
        <v>256</v>
      </c>
      <c r="C260" s="10" t="n">
        <v>256</v>
      </c>
      <c r="D260" s="10" t="inlineStr">
        <is>
          <t>0806010014</t>
        </is>
      </c>
      <c r="E260" s="26" t="inlineStr">
        <is>
          <t>Region VIII (Eastern Visayas)</t>
        </is>
      </c>
      <c r="F260" s="26" t="inlineStr">
        <is>
          <t>Samar</t>
        </is>
      </c>
      <c r="G260" s="26" t="inlineStr">
        <is>
          <t>Marabut</t>
        </is>
      </c>
      <c r="H260" s="26" t="inlineStr">
        <is>
          <t>Tinabanan</t>
        </is>
      </c>
      <c r="I260" s="27" t="n">
        <v>11.20762</v>
      </c>
      <c r="J260" s="27" t="n">
        <v>125.1874</v>
      </c>
      <c r="K260" s="10" t="inlineStr">
        <is>
          <t>R</t>
        </is>
      </c>
      <c r="L260" s="12" t="n">
        <v>2034</v>
      </c>
      <c r="M260" s="14" t="n">
        <v>4.1</v>
      </c>
      <c r="N260" s="12">
        <f>ROUND(L260/M260, 0)</f>
        <v/>
      </c>
      <c r="O260" s="12">
        <f>ROUND(N260*'Methodology &amp; Assumptions'!$B$5, 0)</f>
        <v/>
      </c>
      <c r="P260" s="10" t="inlineStr">
        <is>
          <t>Single Carrier (Band n50, 100MHz TDD)</t>
        </is>
      </c>
      <c r="Q260" s="13">
        <f>ROUNDUP(O260/'Methodology &amp; Assumptions'!$B$6, 0)</f>
        <v/>
      </c>
      <c r="R260" s="13" t="n">
        <v>1</v>
      </c>
      <c r="S260" s="14" t="n">
        <v>19.42</v>
      </c>
      <c r="T260" s="14" t="n">
        <v>18.26</v>
      </c>
      <c r="U260" s="26">
        <f>IF(X260&gt;='Methodology &amp; Assumptions'!$B$7, "Tier 1 Critical GIDA (Score ≥ 50.0)", IF(X260&gt;='Methodology &amp; Assumptions'!$B$8, "Tier 2 High GIDA (Score 40.0–49.9)", "Tier 3 Moderate GIDA (Score &lt; 40.0)"))</f>
        <v/>
      </c>
      <c r="V260" s="26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W260" s="28" t="n">
        <v>0.237</v>
      </c>
      <c r="X260" s="14" t="n">
        <v>55.87</v>
      </c>
      <c r="Y260" s="14">
        <f>ROUND(MIN(100, (X260/69.91)*100), 2)</f>
        <v/>
      </c>
    </row>
    <row r="261">
      <c r="A261" s="10" t="n">
        <v>1</v>
      </c>
      <c r="B261" s="10" t="n">
        <v>257</v>
      </c>
      <c r="C261" s="10" t="n">
        <v>257</v>
      </c>
      <c r="D261" s="10" t="inlineStr">
        <is>
          <t>PH0000257</t>
        </is>
      </c>
      <c r="E261" s="26" t="inlineStr">
        <is>
          <t>IX</t>
        </is>
      </c>
      <c r="F261" s="26" t="inlineStr">
        <is>
          <t>Zamboanga Del Sur</t>
        </is>
      </c>
      <c r="G261" s="26" t="inlineStr">
        <is>
          <t>Zamboanga City</t>
        </is>
      </c>
      <c r="H261" s="26" t="inlineStr">
        <is>
          <t>Pangapuyan</t>
        </is>
      </c>
      <c r="I261" s="27" t="n">
        <v>6.917838</v>
      </c>
      <c r="J261" s="27" t="n">
        <v>122.181529</v>
      </c>
      <c r="K261" s="10" t="inlineStr">
        <is>
          <t>R</t>
        </is>
      </c>
      <c r="L261" s="12" t="n">
        <v>2305</v>
      </c>
      <c r="M261" s="14" t="n">
        <v>3.9</v>
      </c>
      <c r="N261" s="12">
        <f>ROUND(L261/M261, 0)</f>
        <v/>
      </c>
      <c r="O261" s="12">
        <f>ROUND(N261*'Methodology &amp; Assumptions'!$B$5, 0)</f>
        <v/>
      </c>
      <c r="P261" s="10" t="inlineStr">
        <is>
          <t>Single Carrier (Band n50, 100MHz TDD)</t>
        </is>
      </c>
      <c r="Q261" s="13">
        <f>ROUNDUP(O261/'Methodology &amp; Assumptions'!$B$6, 0)</f>
        <v/>
      </c>
      <c r="R261" s="13" t="n">
        <v>1</v>
      </c>
      <c r="S261" s="14" t="n">
        <v>11.93</v>
      </c>
      <c r="T261" s="14" t="n">
        <v>6.92</v>
      </c>
      <c r="U261" s="26">
        <f>IF(X261&gt;='Methodology &amp; Assumptions'!$B$7, "Tier 1 Critical GIDA (Score ≥ 50.0)", IF(X261&gt;='Methodology &amp; Assumptions'!$B$8, "Tier 2 High GIDA (Score 40.0–49.9)", "Tier 3 Moderate GIDA (Score &lt; 40.0)"))</f>
        <v/>
      </c>
      <c r="V261" s="26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W261" s="28" t="n">
        <v>0.234</v>
      </c>
      <c r="X261" s="14" t="n">
        <v>55.86</v>
      </c>
      <c r="Y261" s="14">
        <f>ROUND(MIN(100, (X261/69.91)*100), 2)</f>
        <v/>
      </c>
    </row>
    <row r="262">
      <c r="A262" s="10" t="n">
        <v>1</v>
      </c>
      <c r="B262" s="10" t="n">
        <v>258</v>
      </c>
      <c r="C262" s="10" t="n">
        <v>258</v>
      </c>
      <c r="D262" s="10" t="inlineStr">
        <is>
          <t>PH0000258</t>
        </is>
      </c>
      <c r="E262" s="26" t="inlineStr">
        <is>
          <t>VI</t>
        </is>
      </c>
      <c r="F262" s="26" t="inlineStr">
        <is>
          <t>Iloilo</t>
        </is>
      </c>
      <c r="G262" s="26" t="inlineStr">
        <is>
          <t>Iloilo City</t>
        </is>
      </c>
      <c r="H262" s="26" t="inlineStr">
        <is>
          <t>President Roxas</t>
        </is>
      </c>
      <c r="I262" s="27" t="n">
        <v>10.733955</v>
      </c>
      <c r="J262" s="27" t="n">
        <v>122.489062</v>
      </c>
      <c r="K262" s="10" t="inlineStr">
        <is>
          <t>R</t>
        </is>
      </c>
      <c r="L262" s="12" t="n">
        <v>2230</v>
      </c>
      <c r="M262" s="14" t="n">
        <v>3.8</v>
      </c>
      <c r="N262" s="12">
        <f>ROUND(L262/M262, 0)</f>
        <v/>
      </c>
      <c r="O262" s="12">
        <f>ROUND(N262*'Methodology &amp; Assumptions'!$B$5, 0)</f>
        <v/>
      </c>
      <c r="P262" s="10" t="inlineStr">
        <is>
          <t>Single Carrier (Band n50, 100MHz TDD)</t>
        </is>
      </c>
      <c r="Q262" s="13">
        <f>ROUNDUP(O262/'Methodology &amp; Assumptions'!$B$6, 0)</f>
        <v/>
      </c>
      <c r="R262" s="13" t="n">
        <v>1</v>
      </c>
      <c r="S262" s="14" t="n">
        <v>4.66</v>
      </c>
      <c r="T262" s="14" t="n">
        <v>2.89</v>
      </c>
      <c r="U262" s="26">
        <f>IF(X262&gt;='Methodology &amp; Assumptions'!$B$7, "Tier 1 Critical GIDA (Score ≥ 50.0)", IF(X262&gt;='Methodology &amp; Assumptions'!$B$8, "Tier 2 High GIDA (Score 40.0–49.9)", "Tier 3 Moderate GIDA (Score &lt; 40.0)"))</f>
        <v/>
      </c>
      <c r="V262" s="26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W262" s="28" t="n">
        <v>0.156</v>
      </c>
      <c r="X262" s="14" t="n">
        <v>55.86</v>
      </c>
      <c r="Y262" s="14">
        <f>ROUND(MIN(100, (X262/69.91)*100), 2)</f>
        <v/>
      </c>
    </row>
    <row r="263">
      <c r="A263" s="10" t="n">
        <v>1</v>
      </c>
      <c r="B263" s="10" t="n">
        <v>259</v>
      </c>
      <c r="C263" s="10" t="n">
        <v>259</v>
      </c>
      <c r="D263" s="10" t="inlineStr">
        <is>
          <t>PH0000259</t>
        </is>
      </c>
      <c r="E263" s="26" t="inlineStr">
        <is>
          <t>VI</t>
        </is>
      </c>
      <c r="F263" s="26" t="inlineStr">
        <is>
          <t>Iloilo</t>
        </is>
      </c>
      <c r="G263" s="26" t="inlineStr">
        <is>
          <t>Iloilo City</t>
        </is>
      </c>
      <c r="H263" s="26" t="inlineStr">
        <is>
          <t>Cuartero</t>
        </is>
      </c>
      <c r="I263" s="27" t="n">
        <v>10.749388</v>
      </c>
      <c r="J263" s="27" t="n">
        <v>122.569248</v>
      </c>
      <c r="K263" s="10" t="inlineStr">
        <is>
          <t>R</t>
        </is>
      </c>
      <c r="L263" s="12" t="n">
        <v>2230</v>
      </c>
      <c r="M263" s="14" t="n">
        <v>3.8</v>
      </c>
      <c r="N263" s="12">
        <f>ROUND(L263/M263, 0)</f>
        <v/>
      </c>
      <c r="O263" s="12">
        <f>ROUND(N263*'Methodology &amp; Assumptions'!$B$5, 0)</f>
        <v/>
      </c>
      <c r="P263" s="10" t="inlineStr">
        <is>
          <t>Single Carrier (Band n50, 100MHz TDD)</t>
        </is>
      </c>
      <c r="Q263" s="13">
        <f>ROUNDUP(O263/'Methodology &amp; Assumptions'!$B$6, 0)</f>
        <v/>
      </c>
      <c r="R263" s="13" t="n">
        <v>1</v>
      </c>
      <c r="S263" s="14" t="n">
        <v>0.51</v>
      </c>
      <c r="T263" s="14" t="n">
        <v>0.28</v>
      </c>
      <c r="U263" s="26">
        <f>IF(X263&gt;='Methodology &amp; Assumptions'!$B$7, "Tier 1 Critical GIDA (Score ≥ 50.0)", IF(X263&gt;='Methodology &amp; Assumptions'!$B$8, "Tier 2 High GIDA (Score 40.0–49.9)", "Tier 3 Moderate GIDA (Score &lt; 40.0)"))</f>
        <v/>
      </c>
      <c r="V263" s="26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W263" s="28" t="n">
        <v>0.156</v>
      </c>
      <c r="X263" s="14" t="n">
        <v>55.84</v>
      </c>
      <c r="Y263" s="14">
        <f>ROUND(MIN(100, (X263/69.91)*100), 2)</f>
        <v/>
      </c>
    </row>
    <row r="264">
      <c r="A264" s="10" t="n">
        <v>1</v>
      </c>
      <c r="B264" s="10" t="n">
        <v>260</v>
      </c>
      <c r="C264" s="10" t="n">
        <v>260</v>
      </c>
      <c r="D264" s="10" t="inlineStr">
        <is>
          <t>1400126002</t>
        </is>
      </c>
      <c r="E264" s="26" t="inlineStr">
        <is>
          <t>Cordillera Administrative Region (CAR)</t>
        </is>
      </c>
      <c r="F264" s="26" t="inlineStr">
        <is>
          <t>Abra</t>
        </is>
      </c>
      <c r="G264" s="26" t="inlineStr">
        <is>
          <t>Tubo</t>
        </is>
      </c>
      <c r="H264" s="26" t="inlineStr">
        <is>
          <t>Amtuagan</t>
        </is>
      </c>
      <c r="I264" s="27" t="n">
        <v>17.306354</v>
      </c>
      <c r="J264" s="27" t="n">
        <v>120.730212</v>
      </c>
      <c r="K264" s="10" t="inlineStr">
        <is>
          <t>R</t>
        </is>
      </c>
      <c r="L264" s="12" t="n">
        <v>511</v>
      </c>
      <c r="M264" s="14" t="n">
        <v>3.8</v>
      </c>
      <c r="N264" s="12">
        <f>ROUND(L264/M264, 0)</f>
        <v/>
      </c>
      <c r="O264" s="12">
        <f>ROUND(N264*'Methodology &amp; Assumptions'!$B$5, 0)</f>
        <v/>
      </c>
      <c r="P264" s="10" t="inlineStr">
        <is>
          <t>Single Carrier (Band n50, 100MHz TDD)</t>
        </is>
      </c>
      <c r="Q264" s="13">
        <f>ROUNDUP(O264/'Methodology &amp; Assumptions'!$B$6, 0)</f>
        <v/>
      </c>
      <c r="R264" s="13" t="n">
        <v>1</v>
      </c>
      <c r="S264" s="14" t="n">
        <v>19.61</v>
      </c>
      <c r="T264" s="14" t="n">
        <v>13.41</v>
      </c>
      <c r="U264" s="26">
        <f>IF(X264&gt;='Methodology &amp; Assumptions'!$B$7, "Tier 1 Critical GIDA (Score ≥ 50.0)", IF(X264&gt;='Methodology &amp; Assumptions'!$B$8, "Tier 2 High GIDA (Score 40.0–49.9)", "Tier 3 Moderate GIDA (Score &lt; 40.0)"))</f>
        <v/>
      </c>
      <c r="V264" s="26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W264" s="28" t="n">
        <v>0.109</v>
      </c>
      <c r="X264" s="14" t="n">
        <v>55.84</v>
      </c>
      <c r="Y264" s="14">
        <f>ROUND(MIN(100, (X264/69.91)*100), 2)</f>
        <v/>
      </c>
    </row>
    <row r="265">
      <c r="A265" s="10" t="n">
        <v>1</v>
      </c>
      <c r="B265" s="10" t="n">
        <v>261</v>
      </c>
      <c r="C265" s="10" t="n">
        <v>261</v>
      </c>
      <c r="D265" s="10" t="inlineStr">
        <is>
          <t>PH0000261</t>
        </is>
      </c>
      <c r="E265" s="26" t="inlineStr">
        <is>
          <t>II</t>
        </is>
      </c>
      <c r="F265" s="26" t="inlineStr">
        <is>
          <t>Nueva Vizcaya</t>
        </is>
      </c>
      <c r="G265" s="26" t="inlineStr">
        <is>
          <t>Alfonso Castaneda</t>
        </is>
      </c>
      <c r="H265" s="26" t="inlineStr">
        <is>
          <t>Cauayan</t>
        </is>
      </c>
      <c r="I265" s="27" t="n">
        <v>15.9722</v>
      </c>
      <c r="J265" s="27" t="n">
        <v>121.35655</v>
      </c>
      <c r="K265" s="10" t="inlineStr">
        <is>
          <t>R</t>
        </is>
      </c>
      <c r="L265" s="12" t="n">
        <v>1594</v>
      </c>
      <c r="M265" s="14" t="n">
        <v>3.8</v>
      </c>
      <c r="N265" s="12">
        <f>ROUND(L265/M265, 0)</f>
        <v/>
      </c>
      <c r="O265" s="12">
        <f>ROUND(N265*'Methodology &amp; Assumptions'!$B$5, 0)</f>
        <v/>
      </c>
      <c r="P265" s="10" t="inlineStr">
        <is>
          <t>Single Carrier (Band n50, 100MHz TDD)</t>
        </is>
      </c>
      <c r="Q265" s="13">
        <f>ROUNDUP(O265/'Methodology &amp; Assumptions'!$B$6, 0)</f>
        <v/>
      </c>
      <c r="R265" s="13" t="n">
        <v>1</v>
      </c>
      <c r="S265" s="14" t="n">
        <v>23.65</v>
      </c>
      <c r="T265" s="14" t="n">
        <v>20.25</v>
      </c>
      <c r="U265" s="26">
        <f>IF(X265&gt;='Methodology &amp; Assumptions'!$B$7, "Tier 1 Critical GIDA (Score ≥ 50.0)", IF(X265&gt;='Methodology &amp; Assumptions'!$B$8, "Tier 2 High GIDA (Score 40.0–49.9)", "Tier 3 Moderate GIDA (Score &lt; 40.0)"))</f>
        <v/>
      </c>
      <c r="V265" s="26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W265" s="28" t="n">
        <v>0.083</v>
      </c>
      <c r="X265" s="14" t="n">
        <v>55.82</v>
      </c>
      <c r="Y265" s="14">
        <f>ROUND(MIN(100, (X265/69.91)*100), 2)</f>
        <v/>
      </c>
    </row>
    <row r="266">
      <c r="A266" s="10" t="n">
        <v>1</v>
      </c>
      <c r="B266" s="10" t="n">
        <v>262</v>
      </c>
      <c r="C266" s="10" t="n">
        <v>262</v>
      </c>
      <c r="D266" s="10" t="inlineStr">
        <is>
          <t>0205006009</t>
        </is>
      </c>
      <c r="E266" s="26" t="inlineStr">
        <is>
          <t>Region II (Cagayan Valley)</t>
        </is>
      </c>
      <c r="F266" s="26" t="inlineStr">
        <is>
          <t>Nueva Vizcaya</t>
        </is>
      </c>
      <c r="G266" s="26" t="inlineStr">
        <is>
          <t>Diadi</t>
        </is>
      </c>
      <c r="H266" s="26" t="inlineStr">
        <is>
          <t>Pinya</t>
        </is>
      </c>
      <c r="I266" s="27" t="n">
        <v>16.68444</v>
      </c>
      <c r="J266" s="27" t="n">
        <v>121.32324</v>
      </c>
      <c r="K266" s="10" t="inlineStr">
        <is>
          <t>R</t>
        </is>
      </c>
      <c r="L266" s="12" t="n">
        <v>787</v>
      </c>
      <c r="M266" s="14" t="n">
        <v>3.8</v>
      </c>
      <c r="N266" s="12">
        <f>ROUND(L266/M266, 0)</f>
        <v/>
      </c>
      <c r="O266" s="12">
        <f>ROUND(N266*'Methodology &amp; Assumptions'!$B$5, 0)</f>
        <v/>
      </c>
      <c r="P266" s="10" t="inlineStr">
        <is>
          <t>Single Carrier (Band n50, 100MHz TDD)</t>
        </is>
      </c>
      <c r="Q266" s="13">
        <f>ROUNDUP(O266/'Methodology &amp; Assumptions'!$B$6, 0)</f>
        <v/>
      </c>
      <c r="R266" s="13" t="n">
        <v>1</v>
      </c>
      <c r="S266" s="14" t="n">
        <v>5.57</v>
      </c>
      <c r="T266" s="14" t="n">
        <v>4.47</v>
      </c>
      <c r="U266" s="26">
        <f>IF(X266&gt;='Methodology &amp; Assumptions'!$B$7, "Tier 1 Critical GIDA (Score ≥ 50.0)", IF(X266&gt;='Methodology &amp; Assumptions'!$B$8, "Tier 2 High GIDA (Score 40.0–49.9)", "Tier 3 Moderate GIDA (Score &lt; 40.0)"))</f>
        <v/>
      </c>
      <c r="V266" s="26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W266" s="28" t="n">
        <v>0.083</v>
      </c>
      <c r="X266" s="14" t="n">
        <v>55.81</v>
      </c>
      <c r="Y266" s="14">
        <f>ROUND(MIN(100, (X266/69.91)*100), 2)</f>
        <v/>
      </c>
    </row>
    <row r="267">
      <c r="A267" s="10" t="n">
        <v>1</v>
      </c>
      <c r="B267" s="10" t="n">
        <v>263</v>
      </c>
      <c r="C267" s="10" t="n">
        <v>263</v>
      </c>
      <c r="D267" s="10" t="inlineStr">
        <is>
          <t>1403214013</t>
        </is>
      </c>
      <c r="E267" s="26" t="inlineStr">
        <is>
          <t>Cordillera Administrative Region (CAR)</t>
        </is>
      </c>
      <c r="F267" s="26" t="inlineStr">
        <is>
          <t>Kalinga</t>
        </is>
      </c>
      <c r="G267" s="26" t="inlineStr">
        <is>
          <t>Tanudan</t>
        </is>
      </c>
      <c r="H267" s="26" t="inlineStr">
        <is>
          <t>Upper Taloctoc</t>
        </is>
      </c>
      <c r="I267" s="27" t="n">
        <v>17.338264</v>
      </c>
      <c r="J267" s="27" t="n">
        <v>121.226163</v>
      </c>
      <c r="K267" s="10" t="inlineStr">
        <is>
          <t>R</t>
        </is>
      </c>
      <c r="L267" s="12" t="n">
        <v>348</v>
      </c>
      <c r="M267" s="14" t="n">
        <v>4.3</v>
      </c>
      <c r="N267" s="12">
        <f>ROUND(L267/M267, 0)</f>
        <v/>
      </c>
      <c r="O267" s="12">
        <f>ROUND(N267*'Methodology &amp; Assumptions'!$B$5, 0)</f>
        <v/>
      </c>
      <c r="P267" s="10" t="inlineStr">
        <is>
          <t>Single Carrier (Band n50, 100MHz TDD)</t>
        </is>
      </c>
      <c r="Q267" s="13">
        <f>ROUNDUP(O267/'Methodology &amp; Assumptions'!$B$6, 0)</f>
        <v/>
      </c>
      <c r="R267" s="13" t="n">
        <v>1</v>
      </c>
      <c r="S267" s="14" t="n">
        <v>11.66</v>
      </c>
      <c r="T267" s="14" t="n">
        <v>5.26</v>
      </c>
      <c r="U267" s="26">
        <f>IF(X267&gt;='Methodology &amp; Assumptions'!$B$7, "Tier 1 Critical GIDA (Score ≥ 50.0)", IF(X267&gt;='Methodology &amp; Assumptions'!$B$8, "Tier 2 High GIDA (Score 40.0–49.9)", "Tier 3 Moderate GIDA (Score &lt; 40.0)"))</f>
        <v/>
      </c>
      <c r="V267" s="26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W267" s="28" t="n">
        <v>0.109</v>
      </c>
      <c r="X267" s="14" t="n">
        <v>55.78</v>
      </c>
      <c r="Y267" s="14">
        <f>ROUND(MIN(100, (X267/69.91)*100), 2)</f>
        <v/>
      </c>
    </row>
    <row r="268">
      <c r="A268" s="10" t="n">
        <v>1</v>
      </c>
      <c r="B268" s="10" t="n">
        <v>264</v>
      </c>
      <c r="C268" s="10" t="n">
        <v>264</v>
      </c>
      <c r="D268" s="10" t="inlineStr">
        <is>
          <t>0203133007</t>
        </is>
      </c>
      <c r="E268" s="26" t="inlineStr">
        <is>
          <t>Region II (Cagayan Valley)</t>
        </is>
      </c>
      <c r="F268" s="26" t="inlineStr">
        <is>
          <t>Isabela</t>
        </is>
      </c>
      <c r="G268" s="26" t="inlineStr">
        <is>
          <t>San Pablo</t>
        </is>
      </c>
      <c r="H268" s="26" t="inlineStr">
        <is>
          <t>Caddangan/Limbauan</t>
        </is>
      </c>
      <c r="I268" s="27" t="n">
        <v>17.43101</v>
      </c>
      <c r="J268" s="27" t="n">
        <v>121.85743</v>
      </c>
      <c r="K268" s="10" t="inlineStr">
        <is>
          <t>R</t>
        </is>
      </c>
      <c r="L268" s="12" t="n">
        <v>1703</v>
      </c>
      <c r="M268" s="14" t="n">
        <v>3.8</v>
      </c>
      <c r="N268" s="12">
        <f>ROUND(L268/M268, 0)</f>
        <v/>
      </c>
      <c r="O268" s="12">
        <f>ROUND(N268*'Methodology &amp; Assumptions'!$B$5, 0)</f>
        <v/>
      </c>
      <c r="P268" s="10" t="inlineStr">
        <is>
          <t>Single Carrier (Band n50, 100MHz TDD)</t>
        </is>
      </c>
      <c r="Q268" s="13">
        <f>ROUNDUP(O268/'Methodology &amp; Assumptions'!$B$6, 0)</f>
        <v/>
      </c>
      <c r="R268" s="13" t="n">
        <v>1</v>
      </c>
      <c r="S268" s="14" t="n">
        <v>8.92</v>
      </c>
      <c r="T268" s="14" t="n">
        <v>6.02</v>
      </c>
      <c r="U268" s="26">
        <f>IF(X268&gt;='Methodology &amp; Assumptions'!$B$7, "Tier 1 Critical GIDA (Score ≥ 50.0)", IF(X268&gt;='Methodology &amp; Assumptions'!$B$8, "Tier 2 High GIDA (Score 40.0–49.9)", "Tier 3 Moderate GIDA (Score &lt; 40.0)"))</f>
        <v/>
      </c>
      <c r="V268" s="26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W268" s="28" t="n">
        <v>0.083</v>
      </c>
      <c r="X268" s="14" t="n">
        <v>55.78</v>
      </c>
      <c r="Y268" s="14">
        <f>ROUND(MIN(100, (X268/69.91)*100), 2)</f>
        <v/>
      </c>
    </row>
    <row r="269">
      <c r="A269" s="10" t="n">
        <v>1</v>
      </c>
      <c r="B269" s="10" t="n">
        <v>265</v>
      </c>
      <c r="C269" s="10" t="n">
        <v>265</v>
      </c>
      <c r="D269" s="10" t="inlineStr">
        <is>
          <t>0205706004</t>
        </is>
      </c>
      <c r="E269" s="26" t="inlineStr">
        <is>
          <t>Region II (Cagayan Valley)</t>
        </is>
      </c>
      <c r="F269" s="26" t="inlineStr">
        <is>
          <t>Quirino</t>
        </is>
      </c>
      <c r="G269" s="26" t="inlineStr">
        <is>
          <t>Nagtipunan</t>
        </is>
      </c>
      <c r="H269" s="26" t="inlineStr">
        <is>
          <t>Guino</t>
        </is>
      </c>
      <c r="I269" s="27" t="n">
        <v>16.1514</v>
      </c>
      <c r="J269" s="27" t="n">
        <v>121.24401</v>
      </c>
      <c r="K269" s="10" t="inlineStr">
        <is>
          <t>R</t>
        </is>
      </c>
      <c r="L269" s="12" t="n">
        <v>1563</v>
      </c>
      <c r="M269" s="14" t="n">
        <v>3.9</v>
      </c>
      <c r="N269" s="12">
        <f>ROUND(L269/M269, 0)</f>
        <v/>
      </c>
      <c r="O269" s="12">
        <f>ROUND(N269*'Methodology &amp; Assumptions'!$B$5, 0)</f>
        <v/>
      </c>
      <c r="P269" s="10" t="inlineStr">
        <is>
          <t>Single Carrier (Band n50, 100MHz TDD)</t>
        </is>
      </c>
      <c r="Q269" s="13">
        <f>ROUNDUP(O269/'Methodology &amp; Assumptions'!$B$6, 0)</f>
        <v/>
      </c>
      <c r="R269" s="13" t="n">
        <v>1</v>
      </c>
      <c r="S269" s="14" t="n">
        <v>6.97</v>
      </c>
      <c r="T269" s="14" t="n">
        <v>26.61</v>
      </c>
      <c r="U269" s="26">
        <f>IF(X269&gt;='Methodology &amp; Assumptions'!$B$7, "Tier 1 Critical GIDA (Score ≥ 50.0)", IF(X269&gt;='Methodology &amp; Assumptions'!$B$8, "Tier 2 High GIDA (Score 40.0–49.9)", "Tier 3 Moderate GIDA (Score &lt; 40.0)"))</f>
        <v/>
      </c>
      <c r="V269" s="26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W269" s="28" t="n">
        <v>0.083</v>
      </c>
      <c r="X269" s="14" t="n">
        <v>55.77</v>
      </c>
      <c r="Y269" s="14">
        <f>ROUND(MIN(100, (X269/69.91)*100), 2)</f>
        <v/>
      </c>
    </row>
    <row r="270">
      <c r="A270" s="10" t="n">
        <v>1</v>
      </c>
      <c r="B270" s="10" t="n">
        <v>266</v>
      </c>
      <c r="C270" s="10" t="n">
        <v>266</v>
      </c>
      <c r="D270" s="10" t="inlineStr">
        <is>
          <t>PH0000266</t>
        </is>
      </c>
      <c r="E270" s="26" t="inlineStr">
        <is>
          <t>III</t>
        </is>
      </c>
      <c r="F270" s="26" t="inlineStr">
        <is>
          <t>Nueva Ecija</t>
        </is>
      </c>
      <c r="G270" s="26" t="inlineStr">
        <is>
          <t>Cabanatuan City</t>
        </is>
      </c>
      <c r="H270" s="26" t="inlineStr">
        <is>
          <t>Quezon District (Pob.)</t>
        </is>
      </c>
      <c r="I270" s="27" t="n">
        <v>15.492996</v>
      </c>
      <c r="J270" s="27" t="n">
        <v>120.982037</v>
      </c>
      <c r="K270" s="10" t="inlineStr">
        <is>
          <t>R</t>
        </is>
      </c>
      <c r="L270" s="12" t="n">
        <v>2398</v>
      </c>
      <c r="M270" s="14" t="n">
        <v>3.5</v>
      </c>
      <c r="N270" s="12">
        <f>ROUND(L270/M270, 0)</f>
        <v/>
      </c>
      <c r="O270" s="12">
        <f>ROUND(N270*'Methodology &amp; Assumptions'!$B$5, 0)</f>
        <v/>
      </c>
      <c r="P270" s="10" t="inlineStr">
        <is>
          <t>Single Carrier (Band n50, 100MHz TDD)</t>
        </is>
      </c>
      <c r="Q270" s="13">
        <f>ROUNDUP(O270/'Methodology &amp; Assumptions'!$B$6, 0)</f>
        <v/>
      </c>
      <c r="R270" s="13" t="n">
        <v>1</v>
      </c>
      <c r="S270" s="14" t="n">
        <v>2.57</v>
      </c>
      <c r="T270" s="14" t="n">
        <v>0.51</v>
      </c>
      <c r="U270" s="26">
        <f>IF(X270&gt;='Methodology &amp; Assumptions'!$B$7, "Tier 1 Critical GIDA (Score ≥ 50.0)", IF(X270&gt;='Methodology &amp; Assumptions'!$B$8, "Tier 2 High GIDA (Score 40.0–49.9)", "Tier 3 Moderate GIDA (Score &lt; 40.0)"))</f>
        <v/>
      </c>
      <c r="V270" s="26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W270" s="28" t="n">
        <v>0.083</v>
      </c>
      <c r="X270" s="14" t="n">
        <v>55.77</v>
      </c>
      <c r="Y270" s="14">
        <f>ROUND(MIN(100, (X270/69.91)*100), 2)</f>
        <v/>
      </c>
    </row>
    <row r="271">
      <c r="A271" s="10" t="n">
        <v>1</v>
      </c>
      <c r="B271" s="10" t="n">
        <v>267</v>
      </c>
      <c r="C271" s="10" t="n">
        <v>267</v>
      </c>
      <c r="D271" s="10" t="inlineStr">
        <is>
          <t>0203130017</t>
        </is>
      </c>
      <c r="E271" s="26" t="inlineStr">
        <is>
          <t>Region II (Cagayan Valley)</t>
        </is>
      </c>
      <c r="F271" s="26" t="inlineStr">
        <is>
          <t>Isabela</t>
        </is>
      </c>
      <c r="G271" s="26" t="inlineStr">
        <is>
          <t>San Manuel</t>
        </is>
      </c>
      <c r="H271" s="26" t="inlineStr">
        <is>
          <t>Sandiat East</t>
        </is>
      </c>
      <c r="I271" s="27" t="n">
        <v>17.07212</v>
      </c>
      <c r="J271" s="27" t="n">
        <v>121.64116</v>
      </c>
      <c r="K271" s="10" t="inlineStr">
        <is>
          <t>R</t>
        </is>
      </c>
      <c r="L271" s="12" t="n">
        <v>1432</v>
      </c>
      <c r="M271" s="14" t="n">
        <v>3.8</v>
      </c>
      <c r="N271" s="12">
        <f>ROUND(L271/M271, 0)</f>
        <v/>
      </c>
      <c r="O271" s="12">
        <f>ROUND(N271*'Methodology &amp; Assumptions'!$B$5, 0)</f>
        <v/>
      </c>
      <c r="P271" s="10" t="inlineStr">
        <is>
          <t>Single Carrier (Band n50, 100MHz TDD)</t>
        </is>
      </c>
      <c r="Q271" s="13">
        <f>ROUNDUP(O271/'Methodology &amp; Assumptions'!$B$6, 0)</f>
        <v/>
      </c>
      <c r="R271" s="13" t="n">
        <v>1</v>
      </c>
      <c r="S271" s="14" t="n">
        <v>2.95</v>
      </c>
      <c r="T271" s="14" t="n">
        <v>1.87</v>
      </c>
      <c r="U271" s="26">
        <f>IF(X271&gt;='Methodology &amp; Assumptions'!$B$7, "Tier 1 Critical GIDA (Score ≥ 50.0)", IF(X271&gt;='Methodology &amp; Assumptions'!$B$8, "Tier 2 High GIDA (Score 40.0–49.9)", "Tier 3 Moderate GIDA (Score &lt; 40.0)"))</f>
        <v/>
      </c>
      <c r="V271" s="26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W271" s="28" t="n">
        <v>0.083</v>
      </c>
      <c r="X271" s="14" t="n">
        <v>55.76</v>
      </c>
      <c r="Y271" s="14">
        <f>ROUND(MIN(100, (X271/69.91)*100), 2)</f>
        <v/>
      </c>
    </row>
    <row r="272">
      <c r="A272" s="10" t="n">
        <v>1</v>
      </c>
      <c r="B272" s="10" t="n">
        <v>268</v>
      </c>
      <c r="C272" s="10" t="n">
        <v>268</v>
      </c>
      <c r="D272" s="10" t="inlineStr">
        <is>
          <t>0300803010</t>
        </is>
      </c>
      <c r="E272" s="26" t="inlineStr">
        <is>
          <t>Region III (Central Luzon)</t>
        </is>
      </c>
      <c r="F272" s="26" t="inlineStr">
        <is>
          <t>Bataan</t>
        </is>
      </c>
      <c r="G272" s="26" t="inlineStr">
        <is>
          <t>City of Balanga</t>
        </is>
      </c>
      <c r="H272" s="26" t="inlineStr">
        <is>
          <t>Dangcol</t>
        </is>
      </c>
      <c r="I272" s="27" t="n">
        <v>14.663746</v>
      </c>
      <c r="J272" s="27" t="n">
        <v>120.468558</v>
      </c>
      <c r="K272" s="10" t="inlineStr">
        <is>
          <t>R</t>
        </is>
      </c>
      <c r="L272" s="12" t="n">
        <v>1855</v>
      </c>
      <c r="M272" s="14" t="n">
        <v>3.6</v>
      </c>
      <c r="N272" s="12">
        <f>ROUND(L272/M272, 0)</f>
        <v/>
      </c>
      <c r="O272" s="12">
        <f>ROUND(N272*'Methodology &amp; Assumptions'!$B$5, 0)</f>
        <v/>
      </c>
      <c r="P272" s="10" t="inlineStr">
        <is>
          <t>Single Carrier (Band n50, 100MHz TDD)</t>
        </is>
      </c>
      <c r="Q272" s="13">
        <f>ROUNDUP(O272/'Methodology &amp; Assumptions'!$B$6, 0)</f>
        <v/>
      </c>
      <c r="R272" s="13" t="n">
        <v>1</v>
      </c>
      <c r="S272" s="14" t="n">
        <v>7.89</v>
      </c>
      <c r="T272" s="14" t="n">
        <v>3.51</v>
      </c>
      <c r="U272" s="26">
        <f>IF(X272&gt;='Methodology &amp; Assumptions'!$B$7, "Tier 1 Critical GIDA (Score ≥ 50.0)", IF(X272&gt;='Methodology &amp; Assumptions'!$B$8, "Tier 2 High GIDA (Score 40.0–49.9)", "Tier 3 Moderate GIDA (Score &lt; 40.0)"))</f>
        <v/>
      </c>
      <c r="V272" s="26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W272" s="28" t="n">
        <v>0.083</v>
      </c>
      <c r="X272" s="14" t="n">
        <v>55.75</v>
      </c>
      <c r="Y272" s="14">
        <f>ROUND(MIN(100, (X272/69.91)*100), 2)</f>
        <v/>
      </c>
    </row>
    <row r="273">
      <c r="A273" s="10" t="n">
        <v>1</v>
      </c>
      <c r="B273" s="10" t="n">
        <v>269</v>
      </c>
      <c r="C273" s="10" t="n">
        <v>269</v>
      </c>
      <c r="D273" s="10" t="inlineStr">
        <is>
          <t>1401108010</t>
        </is>
      </c>
      <c r="E273" s="26" t="inlineStr">
        <is>
          <t>Cordillera Administrative Region (CAR)</t>
        </is>
      </c>
      <c r="F273" s="26" t="inlineStr">
        <is>
          <t>Benguet</t>
        </is>
      </c>
      <c r="G273" s="26" t="inlineStr">
        <is>
          <t>Kapangan</t>
        </is>
      </c>
      <c r="H273" s="26" t="inlineStr">
        <is>
          <t>Gasweling</t>
        </is>
      </c>
      <c r="I273" s="27" t="n">
        <v>16.578706</v>
      </c>
      <c r="J273" s="27" t="n">
        <v>120.508219</v>
      </c>
      <c r="K273" s="10" t="inlineStr">
        <is>
          <t>R</t>
        </is>
      </c>
      <c r="L273" s="12" t="n">
        <v>1032</v>
      </c>
      <c r="M273" s="14" t="n">
        <v>3.5</v>
      </c>
      <c r="N273" s="12">
        <f>ROUND(L273/M273, 0)</f>
        <v/>
      </c>
      <c r="O273" s="12">
        <f>ROUND(N273*'Methodology &amp; Assumptions'!$B$5, 0)</f>
        <v/>
      </c>
      <c r="P273" s="10" t="inlineStr">
        <is>
          <t>Single Carrier (Band n50, 100MHz TDD)</t>
        </is>
      </c>
      <c r="Q273" s="13">
        <f>ROUNDUP(O273/'Methodology &amp; Assumptions'!$B$6, 0)</f>
        <v/>
      </c>
      <c r="R273" s="13" t="n">
        <v>1</v>
      </c>
      <c r="S273" s="14" t="n">
        <v>9.18</v>
      </c>
      <c r="T273" s="14" t="n">
        <v>8.470000000000001</v>
      </c>
      <c r="U273" s="26">
        <f>IF(X273&gt;='Methodology &amp; Assumptions'!$B$7, "Tier 1 Critical GIDA (Score ≥ 50.0)", IF(X273&gt;='Methodology &amp; Assumptions'!$B$8, "Tier 2 High GIDA (Score 40.0–49.9)", "Tier 3 Moderate GIDA (Score &lt; 40.0)"))</f>
        <v/>
      </c>
      <c r="V273" s="26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W273" s="28" t="n">
        <v>0.109</v>
      </c>
      <c r="X273" s="14" t="n">
        <v>55.73</v>
      </c>
      <c r="Y273" s="14">
        <f>ROUND(MIN(100, (X273/69.91)*100), 2)</f>
        <v/>
      </c>
    </row>
    <row r="274">
      <c r="A274" s="10" t="n">
        <v>1</v>
      </c>
      <c r="B274" s="10" t="n">
        <v>270</v>
      </c>
      <c r="C274" s="10" t="n">
        <v>270</v>
      </c>
      <c r="D274" s="10" t="inlineStr">
        <is>
          <t>1108204033</t>
        </is>
      </c>
      <c r="E274" s="26" t="inlineStr">
        <is>
          <t>Region XI (Davao Region)</t>
        </is>
      </c>
      <c r="F274" s="26" t="inlineStr">
        <is>
          <t>Davao de Oro</t>
        </is>
      </c>
      <c r="G274" s="26" t="inlineStr">
        <is>
          <t>Maco</t>
        </is>
      </c>
      <c r="H274" s="26" t="inlineStr">
        <is>
          <t>New Leyte</t>
        </is>
      </c>
      <c r="I274" s="27" t="n">
        <v>7.404273</v>
      </c>
      <c r="J274" s="27" t="n">
        <v>126.05606</v>
      </c>
      <c r="K274" s="10" t="inlineStr">
        <is>
          <t>R</t>
        </is>
      </c>
      <c r="L274" s="12" t="n">
        <v>2939</v>
      </c>
      <c r="M274" s="14" t="n">
        <v>3.7</v>
      </c>
      <c r="N274" s="12">
        <f>ROUND(L274/M274, 0)</f>
        <v/>
      </c>
      <c r="O274" s="12">
        <f>ROUND(N274*'Methodology &amp; Assumptions'!$B$5, 0)</f>
        <v/>
      </c>
      <c r="P274" s="10" t="inlineStr">
        <is>
          <t>Single Carrier (Band n50, 100MHz TDD)</t>
        </is>
      </c>
      <c r="Q274" s="13">
        <f>ROUNDUP(O274/'Methodology &amp; Assumptions'!$B$6, 0)</f>
        <v/>
      </c>
      <c r="R274" s="13" t="n">
        <v>1</v>
      </c>
      <c r="S274" s="14" t="n">
        <v>22.68</v>
      </c>
      <c r="T274" s="14" t="n">
        <v>18.81</v>
      </c>
      <c r="U274" s="26">
        <f>IF(X274&gt;='Methodology &amp; Assumptions'!$B$7, "Tier 1 Critical GIDA (Score ≥ 50.0)", IF(X274&gt;='Methodology &amp; Assumptions'!$B$8, "Tier 2 High GIDA (Score 40.0–49.9)", "Tier 3 Moderate GIDA (Score &lt; 40.0)"))</f>
        <v/>
      </c>
      <c r="V274" s="26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W274" s="28" t="n">
        <v>0.174</v>
      </c>
      <c r="X274" s="14" t="n">
        <v>55.73</v>
      </c>
      <c r="Y274" s="14">
        <f>ROUND(MIN(100, (X274/69.91)*100), 2)</f>
        <v/>
      </c>
    </row>
    <row r="275">
      <c r="A275" s="10" t="n">
        <v>1</v>
      </c>
      <c r="B275" s="10" t="n">
        <v>271</v>
      </c>
      <c r="C275" s="10" t="n">
        <v>271</v>
      </c>
      <c r="D275" s="10" t="inlineStr">
        <is>
          <t>1403209023</t>
        </is>
      </c>
      <c r="E275" s="26" t="inlineStr">
        <is>
          <t>Cordillera Administrative Region (CAR)</t>
        </is>
      </c>
      <c r="F275" s="26" t="inlineStr">
        <is>
          <t>Kalinga</t>
        </is>
      </c>
      <c r="G275" s="26" t="inlineStr">
        <is>
          <t>Pinukpuk</t>
        </is>
      </c>
      <c r="H275" s="26" t="inlineStr">
        <is>
          <t>Pinococ</t>
        </is>
      </c>
      <c r="I275" s="27" t="n">
        <v>17.650528</v>
      </c>
      <c r="J275" s="27" t="n">
        <v>121.468679</v>
      </c>
      <c r="K275" s="10" t="inlineStr">
        <is>
          <t>R</t>
        </is>
      </c>
      <c r="L275" s="12" t="n">
        <v>800</v>
      </c>
      <c r="M275" s="14" t="n">
        <v>4.3</v>
      </c>
      <c r="N275" s="12">
        <f>ROUND(L275/M275, 0)</f>
        <v/>
      </c>
      <c r="O275" s="12">
        <f>ROUND(N275*'Methodology &amp; Assumptions'!$B$5, 0)</f>
        <v/>
      </c>
      <c r="P275" s="10" t="inlineStr">
        <is>
          <t>Single Carrier (Band n50, 100MHz TDD)</t>
        </is>
      </c>
      <c r="Q275" s="13">
        <f>ROUNDUP(O275/'Methodology &amp; Assumptions'!$B$6, 0)</f>
        <v/>
      </c>
      <c r="R275" s="13" t="n">
        <v>1</v>
      </c>
      <c r="S275" s="14" t="n">
        <v>5.11</v>
      </c>
      <c r="T275" s="14" t="n">
        <v>5.02</v>
      </c>
      <c r="U275" s="26">
        <f>IF(X275&gt;='Methodology &amp; Assumptions'!$B$7, "Tier 1 Critical GIDA (Score ≥ 50.0)", IF(X275&gt;='Methodology &amp; Assumptions'!$B$8, "Tier 2 High GIDA (Score 40.0–49.9)", "Tier 3 Moderate GIDA (Score &lt; 40.0)"))</f>
        <v/>
      </c>
      <c r="V275" s="26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W275" s="28" t="n">
        <v>0.109</v>
      </c>
      <c r="X275" s="14" t="n">
        <v>55.72</v>
      </c>
      <c r="Y275" s="14">
        <f>ROUND(MIN(100, (X275/69.91)*100), 2)</f>
        <v/>
      </c>
    </row>
    <row r="276">
      <c r="A276" s="10" t="n">
        <v>1</v>
      </c>
      <c r="B276" s="10" t="n">
        <v>272</v>
      </c>
      <c r="C276" s="10" t="n">
        <v>272</v>
      </c>
      <c r="D276" s="10" t="inlineStr">
        <is>
          <t>PH0000272</t>
        </is>
      </c>
      <c r="E276" s="26" t="inlineStr">
        <is>
          <t>VI</t>
        </is>
      </c>
      <c r="F276" s="26" t="inlineStr">
        <is>
          <t>Iloilo</t>
        </is>
      </c>
      <c r="G276" s="26" t="inlineStr">
        <is>
          <t>Iloilo City</t>
        </is>
      </c>
      <c r="H276" s="26" t="inlineStr">
        <is>
          <t>Lopez Jaena Sur</t>
        </is>
      </c>
      <c r="I276" s="27" t="n">
        <v>10.710556</v>
      </c>
      <c r="J276" s="27" t="n">
        <v>122.571944</v>
      </c>
      <c r="K276" s="10" t="inlineStr">
        <is>
          <t>R</t>
        </is>
      </c>
      <c r="L276" s="12" t="n">
        <v>2230</v>
      </c>
      <c r="M276" s="14" t="n">
        <v>3.8</v>
      </c>
      <c r="N276" s="12">
        <f>ROUND(L276/M276, 0)</f>
        <v/>
      </c>
      <c r="O276" s="12">
        <f>ROUND(N276*'Methodology &amp; Assumptions'!$B$5, 0)</f>
        <v/>
      </c>
      <c r="P276" s="10" t="inlineStr">
        <is>
          <t>Single Carrier (Band n50, 100MHz TDD)</t>
        </is>
      </c>
      <c r="Q276" s="13">
        <f>ROUNDUP(O276/'Methodology &amp; Assumptions'!$B$6, 0)</f>
        <v/>
      </c>
      <c r="R276" s="13" t="n">
        <v>1</v>
      </c>
      <c r="S276" s="14" t="n">
        <v>0.5600000000000001</v>
      </c>
      <c r="T276" s="14" t="n">
        <v>0.6</v>
      </c>
      <c r="U276" s="26">
        <f>IF(X276&gt;='Methodology &amp; Assumptions'!$B$7, "Tier 1 Critical GIDA (Score ≥ 50.0)", IF(X276&gt;='Methodology &amp; Assumptions'!$B$8, "Tier 2 High GIDA (Score 40.0–49.9)", "Tier 3 Moderate GIDA (Score &lt; 40.0)"))</f>
        <v/>
      </c>
      <c r="V276" s="26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W276" s="28" t="n">
        <v>0.156</v>
      </c>
      <c r="X276" s="14" t="n">
        <v>55.72</v>
      </c>
      <c r="Y276" s="14">
        <f>ROUND(MIN(100, (X276/69.91)*100), 2)</f>
        <v/>
      </c>
    </row>
    <row r="277">
      <c r="A277" s="10" t="n">
        <v>1</v>
      </c>
      <c r="B277" s="10" t="n">
        <v>273</v>
      </c>
      <c r="C277" s="10" t="n">
        <v>273</v>
      </c>
      <c r="D277" s="10" t="inlineStr">
        <is>
          <t>PH0000273</t>
        </is>
      </c>
      <c r="E277" s="26" t="inlineStr">
        <is>
          <t>X</t>
        </is>
      </c>
      <c r="F277" s="26" t="inlineStr">
        <is>
          <t>Misamis Oriental</t>
        </is>
      </c>
      <c r="G277" s="26" t="inlineStr">
        <is>
          <t>Cagayan De Oro City</t>
        </is>
      </c>
      <c r="H277" s="26" t="inlineStr">
        <is>
          <t>Barangay 23 (Pob.)</t>
        </is>
      </c>
      <c r="I277" s="27" t="n">
        <v>8.421988000000001</v>
      </c>
      <c r="J277" s="27" t="n">
        <v>124.591224</v>
      </c>
      <c r="K277" s="10" t="inlineStr">
        <is>
          <t>R</t>
        </is>
      </c>
      <c r="L277" s="12" t="n">
        <v>2272</v>
      </c>
      <c r="M277" s="14" t="n">
        <v>3.9</v>
      </c>
      <c r="N277" s="12">
        <f>ROUND(L277/M277, 0)</f>
        <v/>
      </c>
      <c r="O277" s="12">
        <f>ROUND(N277*'Methodology &amp; Assumptions'!$B$5, 0)</f>
        <v/>
      </c>
      <c r="P277" s="10" t="inlineStr">
        <is>
          <t>Single Carrier (Band n50, 100MHz TDD)</t>
        </is>
      </c>
      <c r="Q277" s="13">
        <f>ROUNDUP(O277/'Methodology &amp; Assumptions'!$B$6, 0)</f>
        <v/>
      </c>
      <c r="R277" s="13" t="n">
        <v>1</v>
      </c>
      <c r="S277" s="14" t="n">
        <v>3.49</v>
      </c>
      <c r="T277" s="14" t="n">
        <v>2.47</v>
      </c>
      <c r="U277" s="26">
        <f>IF(X277&gt;='Methodology &amp; Assumptions'!$B$7, "Tier 1 Critical GIDA (Score ≥ 50.0)", IF(X277&gt;='Methodology &amp; Assumptions'!$B$8, "Tier 2 High GIDA (Score 40.0–49.9)", "Tier 3 Moderate GIDA (Score &lt; 40.0)"))</f>
        <v/>
      </c>
      <c r="V277" s="26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W277" s="28" t="n">
        <v>0.234</v>
      </c>
      <c r="X277" s="14" t="n">
        <v>55.7</v>
      </c>
      <c r="Y277" s="14">
        <f>ROUND(MIN(100, (X277/69.91)*100), 2)</f>
        <v/>
      </c>
    </row>
    <row r="278">
      <c r="A278" s="10" t="n">
        <v>1</v>
      </c>
      <c r="B278" s="10" t="n">
        <v>274</v>
      </c>
      <c r="C278" s="10" t="n">
        <v>274</v>
      </c>
      <c r="D278" s="10" t="inlineStr">
        <is>
          <t>1380601018</t>
        </is>
      </c>
      <c r="E278" s="26" t="inlineStr">
        <is>
          <t>National Capital Region (NCR)</t>
        </is>
      </c>
      <c r="F278" s="26" t="inlineStr">
        <is>
          <t>First District (Not a Province)</t>
        </is>
      </c>
      <c r="G278" s="26" t="inlineStr">
        <is>
          <t>City of Manila</t>
        </is>
      </c>
      <c r="H278" s="26" t="inlineStr">
        <is>
          <t>Barangay 18</t>
        </is>
      </c>
      <c r="I278" s="27" t="n">
        <v>12.926664</v>
      </c>
      <c r="J278" s="27" t="n">
        <v>121.842803</v>
      </c>
      <c r="K278" s="10" t="inlineStr">
        <is>
          <t>U</t>
        </is>
      </c>
      <c r="L278" s="12" t="n">
        <v>2042</v>
      </c>
      <c r="M278" s="14" t="n">
        <v>3.9</v>
      </c>
      <c r="N278" s="12">
        <f>ROUND(L278/M278, 0)</f>
        <v/>
      </c>
      <c r="O278" s="12">
        <f>ROUND(N278*'Methodology &amp; Assumptions'!$B$5, 0)</f>
        <v/>
      </c>
      <c r="P278" s="10" t="inlineStr">
        <is>
          <t>Single Carrier (Band n50, 100MHz TDD)</t>
        </is>
      </c>
      <c r="Q278" s="13">
        <f>ROUNDUP(O278/'Methodology &amp; Assumptions'!$B$6, 0)</f>
        <v/>
      </c>
      <c r="R278" s="13" t="n">
        <v>1</v>
      </c>
      <c r="S278" s="14" t="n">
        <v>39.5</v>
      </c>
      <c r="T278" s="14" t="n">
        <v>39.71</v>
      </c>
      <c r="U278" s="26">
        <f>IF(X278&gt;='Methodology &amp; Assumptions'!$B$7, "Tier 1 Critical GIDA (Score ≥ 50.0)", IF(X278&gt;='Methodology &amp; Assumptions'!$B$8, "Tier 2 High GIDA (Score 40.0–49.9)", "Tier 3 Moderate GIDA (Score &lt; 40.0)"))</f>
        <v/>
      </c>
      <c r="V278" s="26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W278" s="28" t="n">
        <v>0.109</v>
      </c>
      <c r="X278" s="14" t="n">
        <v>55.69</v>
      </c>
      <c r="Y278" s="14">
        <f>ROUND(MIN(100, (X278/69.91)*100), 2)</f>
        <v/>
      </c>
    </row>
    <row r="279">
      <c r="A279" s="10" t="n">
        <v>1</v>
      </c>
      <c r="B279" s="10" t="n">
        <v>275</v>
      </c>
      <c r="C279" s="10" t="n">
        <v>275</v>
      </c>
      <c r="D279" s="10" t="inlineStr">
        <is>
          <t>PH0000275</t>
        </is>
      </c>
      <c r="E279" s="26" t="inlineStr">
        <is>
          <t>VI</t>
        </is>
      </c>
      <c r="F279" s="26" t="inlineStr">
        <is>
          <t>Iloilo</t>
        </is>
      </c>
      <c r="G279" s="26" t="inlineStr">
        <is>
          <t>Iloilo City</t>
        </is>
      </c>
      <c r="H279" s="26" t="inlineStr">
        <is>
          <t>West Timawa</t>
        </is>
      </c>
      <c r="I279" s="27" t="n">
        <v>10.737033</v>
      </c>
      <c r="J279" s="27" t="n">
        <v>122.609789</v>
      </c>
      <c r="K279" s="10" t="inlineStr">
        <is>
          <t>R</t>
        </is>
      </c>
      <c r="L279" s="12" t="n">
        <v>2230</v>
      </c>
      <c r="M279" s="14" t="n">
        <v>3.8</v>
      </c>
      <c r="N279" s="12">
        <f>ROUND(L279/M279, 0)</f>
        <v/>
      </c>
      <c r="O279" s="12">
        <f>ROUND(N279*'Methodology &amp; Assumptions'!$B$5, 0)</f>
        <v/>
      </c>
      <c r="P279" s="10" t="inlineStr">
        <is>
          <t>Single Carrier (Band n50, 100MHz TDD)</t>
        </is>
      </c>
      <c r="Q279" s="13">
        <f>ROUNDUP(O279/'Methodology &amp; Assumptions'!$B$6, 0)</f>
        <v/>
      </c>
      <c r="R279" s="13" t="n">
        <v>1</v>
      </c>
      <c r="S279" s="14" t="n">
        <v>3.68</v>
      </c>
      <c r="T279" s="14" t="n">
        <v>2.64</v>
      </c>
      <c r="U279" s="26">
        <f>IF(X279&gt;='Methodology &amp; Assumptions'!$B$7, "Tier 1 Critical GIDA (Score ≥ 50.0)", IF(X279&gt;='Methodology &amp; Assumptions'!$B$8, "Tier 2 High GIDA (Score 40.0–49.9)", "Tier 3 Moderate GIDA (Score &lt; 40.0)"))</f>
        <v/>
      </c>
      <c r="V279" s="26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W279" s="28" t="n">
        <v>0.156</v>
      </c>
      <c r="X279" s="14" t="n">
        <v>55.69</v>
      </c>
      <c r="Y279" s="14">
        <f>ROUND(MIN(100, (X279/69.91)*100), 2)</f>
        <v/>
      </c>
    </row>
    <row r="280">
      <c r="A280" s="10" t="n">
        <v>1</v>
      </c>
      <c r="B280" s="10" t="n">
        <v>276</v>
      </c>
      <c r="C280" s="10" t="n">
        <v>276</v>
      </c>
      <c r="D280" s="10" t="inlineStr">
        <is>
          <t>0201514013</t>
        </is>
      </c>
      <c r="E280" s="26" t="inlineStr">
        <is>
          <t>Region II (Cagayan Valley)</t>
        </is>
      </c>
      <c r="F280" s="26" t="inlineStr">
        <is>
          <t>Cagayan</t>
        </is>
      </c>
      <c r="G280" s="26" t="inlineStr">
        <is>
          <t>Gonzaga</t>
        </is>
      </c>
      <c r="H280" s="26" t="inlineStr">
        <is>
          <t>Isca</t>
        </is>
      </c>
      <c r="I280" s="27" t="n">
        <v>18.23601</v>
      </c>
      <c r="J280" s="27" t="n">
        <v>121.977271</v>
      </c>
      <c r="K280" s="10" t="inlineStr">
        <is>
          <t>R</t>
        </is>
      </c>
      <c r="L280" s="12" t="n">
        <v>1572</v>
      </c>
      <c r="M280" s="14" t="n">
        <v>3.9</v>
      </c>
      <c r="N280" s="12">
        <f>ROUND(L280/M280, 0)</f>
        <v/>
      </c>
      <c r="O280" s="12">
        <f>ROUND(N280*'Methodology &amp; Assumptions'!$B$5, 0)</f>
        <v/>
      </c>
      <c r="P280" s="10" t="inlineStr">
        <is>
          <t>Single Carrier (Band n50, 100MHz TDD)</t>
        </is>
      </c>
      <c r="Q280" s="13">
        <f>ROUNDUP(O280/'Methodology &amp; Assumptions'!$B$6, 0)</f>
        <v/>
      </c>
      <c r="R280" s="13" t="n">
        <v>1</v>
      </c>
      <c r="S280" s="14" t="n">
        <v>3.81</v>
      </c>
      <c r="T280" s="14" t="n">
        <v>1.28</v>
      </c>
      <c r="U280" s="26">
        <f>IF(X280&gt;='Methodology &amp; Assumptions'!$B$7, "Tier 1 Critical GIDA (Score ≥ 50.0)", IF(X280&gt;='Methodology &amp; Assumptions'!$B$8, "Tier 2 High GIDA (Score 40.0–49.9)", "Tier 3 Moderate GIDA (Score &lt; 40.0)"))</f>
        <v/>
      </c>
      <c r="V280" s="26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W280" s="28" t="n">
        <v>0.083</v>
      </c>
      <c r="X280" s="14" t="n">
        <v>55.67</v>
      </c>
      <c r="Y280" s="14">
        <f>ROUND(MIN(100, (X280/69.91)*100), 2)</f>
        <v/>
      </c>
    </row>
    <row r="281">
      <c r="A281" s="10" t="n">
        <v>1</v>
      </c>
      <c r="B281" s="10" t="n">
        <v>277</v>
      </c>
      <c r="C281" s="10" t="n">
        <v>277</v>
      </c>
      <c r="D281" s="10" t="inlineStr">
        <is>
          <t>PH0000277</t>
        </is>
      </c>
      <c r="E281" s="26" t="inlineStr">
        <is>
          <t>IV-B</t>
        </is>
      </c>
      <c r="F281" s="26" t="inlineStr">
        <is>
          <t>Palawan</t>
        </is>
      </c>
      <c r="G281" s="26" t="inlineStr">
        <is>
          <t>Puerto Princesa City</t>
        </is>
      </c>
      <c r="H281" s="26" t="inlineStr">
        <is>
          <t>Masikap (Pob.)</t>
        </is>
      </c>
      <c r="I281" s="27" t="n">
        <v>9.860618000000001</v>
      </c>
      <c r="J281" s="27" t="n">
        <v>118.770977</v>
      </c>
      <c r="K281" s="10" t="inlineStr">
        <is>
          <t>R</t>
        </is>
      </c>
      <c r="L281" s="12" t="n">
        <v>2597</v>
      </c>
      <c r="M281" s="14" t="n">
        <v>3.9</v>
      </c>
      <c r="N281" s="12">
        <f>ROUND(L281/M281, 0)</f>
        <v/>
      </c>
      <c r="O281" s="12">
        <f>ROUND(N281*'Methodology &amp; Assumptions'!$B$5, 0)</f>
        <v/>
      </c>
      <c r="P281" s="10" t="inlineStr">
        <is>
          <t>Single Carrier (Band n50, 100MHz TDD)</t>
        </is>
      </c>
      <c r="Q281" s="13">
        <f>ROUNDUP(O281/'Methodology &amp; Assumptions'!$B$6, 0)</f>
        <v/>
      </c>
      <c r="R281" s="13" t="n">
        <v>1</v>
      </c>
      <c r="S281" s="14" t="n">
        <v>4.53</v>
      </c>
      <c r="T281" s="14" t="n">
        <v>3.61</v>
      </c>
      <c r="U281" s="26">
        <f>IF(X281&gt;='Methodology &amp; Assumptions'!$B$7, "Tier 1 Critical GIDA (Score ≥ 50.0)", IF(X281&gt;='Methodology &amp; Assumptions'!$B$8, "Tier 2 High GIDA (Score 40.0–49.9)", "Tier 3 Moderate GIDA (Score &lt; 40.0)"))</f>
        <v/>
      </c>
      <c r="V281" s="26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W281" s="28" t="n">
        <v>0.109</v>
      </c>
      <c r="X281" s="14" t="n">
        <v>55.65</v>
      </c>
      <c r="Y281" s="14">
        <f>ROUND(MIN(100, (X281/69.91)*100), 2)</f>
        <v/>
      </c>
    </row>
    <row r="282">
      <c r="A282" s="10" t="n">
        <v>1</v>
      </c>
      <c r="B282" s="10" t="n">
        <v>278</v>
      </c>
      <c r="C282" s="10" t="n">
        <v>278</v>
      </c>
      <c r="D282" s="10" t="inlineStr">
        <is>
          <t>1381400002</t>
        </is>
      </c>
      <c r="E282" s="26" t="inlineStr">
        <is>
          <t>National Capital Region (NCR)</t>
        </is>
      </c>
      <c r="F282" s="26" t="inlineStr">
        <is>
          <t>Second District (Not a Province)</t>
        </is>
      </c>
      <c r="G282" s="26" t="inlineStr">
        <is>
          <t>City of San Juan</t>
        </is>
      </c>
      <c r="H282" s="26" t="inlineStr">
        <is>
          <t>Balong-Bato</t>
        </is>
      </c>
      <c r="I282" s="27" t="n">
        <v>14.606257</v>
      </c>
      <c r="J282" s="27" t="n">
        <v>121.022379</v>
      </c>
      <c r="K282" s="10" t="inlineStr">
        <is>
          <t>U</t>
        </is>
      </c>
      <c r="L282" s="12" t="n">
        <v>7657</v>
      </c>
      <c r="M282" s="14" t="n">
        <v>3.6</v>
      </c>
      <c r="N282" s="12">
        <f>ROUND(L282/M282, 0)</f>
        <v/>
      </c>
      <c r="O282" s="12">
        <f>ROUND(N282*'Methodology &amp; Assumptions'!$B$5, 0)</f>
        <v/>
      </c>
      <c r="P282" s="10" t="inlineStr">
        <is>
          <t>Single Carrier (Band n50, 100MHz TDD)</t>
        </is>
      </c>
      <c r="Q282" s="13">
        <f>ROUNDUP(O282/'Methodology &amp; Assumptions'!$B$6, 0)</f>
        <v/>
      </c>
      <c r="R282" s="13" t="n">
        <v>1</v>
      </c>
      <c r="S282" s="14" t="n">
        <v>1.42</v>
      </c>
      <c r="T282" s="14" t="n">
        <v>0.16</v>
      </c>
      <c r="U282" s="26">
        <f>IF(X282&gt;='Methodology &amp; Assumptions'!$B$7, "Tier 1 Critical GIDA (Score ≥ 50.0)", IF(X282&gt;='Methodology &amp; Assumptions'!$B$8, "Tier 2 High GIDA (Score 40.0–49.9)", "Tier 3 Moderate GIDA (Score &lt; 40.0)"))</f>
        <v/>
      </c>
      <c r="V282" s="26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W282" s="28" t="n">
        <v>0.109</v>
      </c>
      <c r="X282" s="14" t="n">
        <v>55.64</v>
      </c>
      <c r="Y282" s="14">
        <f>ROUND(MIN(100, (X282/69.91)*100), 2)</f>
        <v/>
      </c>
    </row>
    <row r="283">
      <c r="A283" s="10" t="n">
        <v>1</v>
      </c>
      <c r="B283" s="10" t="n">
        <v>279</v>
      </c>
      <c r="C283" s="10" t="n">
        <v>279</v>
      </c>
      <c r="D283" s="10" t="inlineStr">
        <is>
          <t>PH0000279</t>
        </is>
      </c>
      <c r="E283" s="26" t="inlineStr">
        <is>
          <t>VI</t>
        </is>
      </c>
      <c r="F283" s="26" t="inlineStr">
        <is>
          <t>Iloilo</t>
        </is>
      </c>
      <c r="G283" s="26" t="inlineStr">
        <is>
          <t>Iloilo City</t>
        </is>
      </c>
      <c r="H283" s="26" t="inlineStr">
        <is>
          <t>Punong-Lapuz</t>
        </is>
      </c>
      <c r="I283" s="27" t="n">
        <v>10.652884</v>
      </c>
      <c r="J283" s="27" t="n">
        <v>122.521047</v>
      </c>
      <c r="K283" s="10" t="inlineStr">
        <is>
          <t>R</t>
        </is>
      </c>
      <c r="L283" s="12" t="n">
        <v>2230</v>
      </c>
      <c r="M283" s="14" t="n">
        <v>3.8</v>
      </c>
      <c r="N283" s="12">
        <f>ROUND(L283/M283, 0)</f>
        <v/>
      </c>
      <c r="O283" s="12">
        <f>ROUND(N283*'Methodology &amp; Assumptions'!$B$5, 0)</f>
        <v/>
      </c>
      <c r="P283" s="10" t="inlineStr">
        <is>
          <t>Single Carrier (Band n50, 100MHz TDD)</t>
        </is>
      </c>
      <c r="Q283" s="13">
        <f>ROUNDUP(O283/'Methodology &amp; Assumptions'!$B$6, 0)</f>
        <v/>
      </c>
      <c r="R283" s="13" t="n">
        <v>1</v>
      </c>
      <c r="S283" s="14" t="n">
        <v>4.83</v>
      </c>
      <c r="T283" s="14" t="n">
        <v>5.15</v>
      </c>
      <c r="U283" s="26">
        <f>IF(X283&gt;='Methodology &amp; Assumptions'!$B$7, "Tier 1 Critical GIDA (Score ≥ 50.0)", IF(X283&gt;='Methodology &amp; Assumptions'!$B$8, "Tier 2 High GIDA (Score 40.0–49.9)", "Tier 3 Moderate GIDA (Score &lt; 40.0)"))</f>
        <v/>
      </c>
      <c r="V283" s="26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W283" s="28" t="n">
        <v>0.156</v>
      </c>
      <c r="X283" s="14" t="n">
        <v>55.63</v>
      </c>
      <c r="Y283" s="14">
        <f>ROUND(MIN(100, (X283/69.91)*100), 2)</f>
        <v/>
      </c>
    </row>
    <row r="284">
      <c r="A284" s="10" t="n">
        <v>1</v>
      </c>
      <c r="B284" s="10" t="n">
        <v>280</v>
      </c>
      <c r="C284" s="10" t="n">
        <v>280</v>
      </c>
      <c r="D284" s="10" t="inlineStr">
        <is>
          <t>0203131023</t>
        </is>
      </c>
      <c r="E284" s="26" t="inlineStr">
        <is>
          <t>Region II (Cagayan Valley)</t>
        </is>
      </c>
      <c r="F284" s="26" t="inlineStr">
        <is>
          <t>Isabela</t>
        </is>
      </c>
      <c r="G284" s="26" t="inlineStr">
        <is>
          <t>San Mariano</t>
        </is>
      </c>
      <c r="H284" s="26" t="inlineStr">
        <is>
          <t>Minanga</t>
        </is>
      </c>
      <c r="I284" s="27" t="n">
        <v>17.00039</v>
      </c>
      <c r="J284" s="27" t="n">
        <v>122.03118</v>
      </c>
      <c r="K284" s="10" t="inlineStr">
        <is>
          <t>R</t>
        </is>
      </c>
      <c r="L284" s="12" t="n">
        <v>4822</v>
      </c>
      <c r="M284" s="14" t="n">
        <v>3.8</v>
      </c>
      <c r="N284" s="12">
        <f>ROUND(L284/M284, 0)</f>
        <v/>
      </c>
      <c r="O284" s="12">
        <f>ROUND(N284*'Methodology &amp; Assumptions'!$B$5, 0)</f>
        <v/>
      </c>
      <c r="P284" s="10" t="inlineStr">
        <is>
          <t>Single Carrier (Band n50, 100MHz TDD)</t>
        </is>
      </c>
      <c r="Q284" s="13">
        <f>ROUNDUP(O284/'Methodology &amp; Assumptions'!$B$6, 0)</f>
        <v/>
      </c>
      <c r="R284" s="13" t="n">
        <v>1</v>
      </c>
      <c r="S284" s="14" t="n">
        <v>2.56</v>
      </c>
      <c r="T284" s="14" t="n">
        <v>18.31</v>
      </c>
      <c r="U284" s="26">
        <f>IF(X284&gt;='Methodology &amp; Assumptions'!$B$7, "Tier 1 Critical GIDA (Score ≥ 50.0)", IF(X284&gt;='Methodology &amp; Assumptions'!$B$8, "Tier 2 High GIDA (Score 40.0–49.9)", "Tier 3 Moderate GIDA (Score &lt; 40.0)"))</f>
        <v/>
      </c>
      <c r="V284" s="26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W284" s="28" t="n">
        <v>0.083</v>
      </c>
      <c r="X284" s="14" t="n">
        <v>55.63</v>
      </c>
      <c r="Y284" s="14">
        <f>ROUND(MIN(100, (X284/69.91)*100), 2)</f>
        <v/>
      </c>
    </row>
    <row r="285">
      <c r="A285" s="10" t="n">
        <v>1</v>
      </c>
      <c r="B285" s="10" t="n">
        <v>281</v>
      </c>
      <c r="C285" s="10" t="n">
        <v>281</v>
      </c>
      <c r="D285" s="10" t="inlineStr">
        <is>
          <t>0203131012</t>
        </is>
      </c>
      <c r="E285" s="26" t="inlineStr">
        <is>
          <t>Region II (Cagayan Valley)</t>
        </is>
      </c>
      <c r="F285" s="26" t="inlineStr">
        <is>
          <t>Isabela</t>
        </is>
      </c>
      <c r="G285" s="26" t="inlineStr">
        <is>
          <t>San Mariano</t>
        </is>
      </c>
      <c r="H285" s="26" t="inlineStr">
        <is>
          <t>Dibuluan</t>
        </is>
      </c>
      <c r="I285" s="27" t="n">
        <v>16.99808</v>
      </c>
      <c r="J285" s="27" t="n">
        <v>122.10822</v>
      </c>
      <c r="K285" s="10" t="inlineStr">
        <is>
          <t>R</t>
        </is>
      </c>
      <c r="L285" s="12" t="n">
        <v>1948</v>
      </c>
      <c r="M285" s="14" t="n">
        <v>3.8</v>
      </c>
      <c r="N285" s="12">
        <f>ROUND(L285/M285, 0)</f>
        <v/>
      </c>
      <c r="O285" s="12">
        <f>ROUND(N285*'Methodology &amp; Assumptions'!$B$5, 0)</f>
        <v/>
      </c>
      <c r="P285" s="10" t="inlineStr">
        <is>
          <t>Single Carrier (Band n50, 100MHz TDD)</t>
        </is>
      </c>
      <c r="Q285" s="13">
        <f>ROUNDUP(O285/'Methodology &amp; Assumptions'!$B$6, 0)</f>
        <v/>
      </c>
      <c r="R285" s="13" t="n">
        <v>1</v>
      </c>
      <c r="S285" s="14" t="n">
        <v>10.22</v>
      </c>
      <c r="T285" s="14" t="n">
        <v>25.39</v>
      </c>
      <c r="U285" s="26">
        <f>IF(X285&gt;='Methodology &amp; Assumptions'!$B$7, "Tier 1 Critical GIDA (Score ≥ 50.0)", IF(X285&gt;='Methodology &amp; Assumptions'!$B$8, "Tier 2 High GIDA (Score 40.0–49.9)", "Tier 3 Moderate GIDA (Score &lt; 40.0)"))</f>
        <v/>
      </c>
      <c r="V285" s="26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W285" s="28" t="n">
        <v>0.083</v>
      </c>
      <c r="X285" s="14" t="n">
        <v>55.63</v>
      </c>
      <c r="Y285" s="14">
        <f>ROUND(MIN(100, (X285/69.91)*100), 2)</f>
        <v/>
      </c>
    </row>
    <row r="286">
      <c r="A286" s="10" t="n">
        <v>1</v>
      </c>
      <c r="B286" s="10" t="n">
        <v>282</v>
      </c>
      <c r="C286" s="10" t="n">
        <v>282</v>
      </c>
      <c r="D286" s="10" t="inlineStr">
        <is>
          <t>PH0000282</t>
        </is>
      </c>
      <c r="E286" s="26" t="inlineStr">
        <is>
          <t>X</t>
        </is>
      </c>
      <c r="F286" s="26" t="inlineStr">
        <is>
          <t>Misamis Oriental</t>
        </is>
      </c>
      <c r="G286" s="26" t="inlineStr">
        <is>
          <t>Cagayan De Oro City</t>
        </is>
      </c>
      <c r="H286" s="26" t="inlineStr">
        <is>
          <t>Barangay 37 (Pob.)</t>
        </is>
      </c>
      <c r="I286" s="27" t="n">
        <v>8.474054000000001</v>
      </c>
      <c r="J286" s="27" t="n">
        <v>124.650494</v>
      </c>
      <c r="K286" s="10" t="inlineStr">
        <is>
          <t>R</t>
        </is>
      </c>
      <c r="L286" s="12" t="n">
        <v>2272</v>
      </c>
      <c r="M286" s="14" t="n">
        <v>3.9</v>
      </c>
      <c r="N286" s="12">
        <f>ROUND(L286/M286, 0)</f>
        <v/>
      </c>
      <c r="O286" s="12">
        <f>ROUND(N286*'Methodology &amp; Assumptions'!$B$5, 0)</f>
        <v/>
      </c>
      <c r="P286" s="10" t="inlineStr">
        <is>
          <t>Single Carrier (Band n50, 100MHz TDD)</t>
        </is>
      </c>
      <c r="Q286" s="13">
        <f>ROUNDUP(O286/'Methodology &amp; Assumptions'!$B$6, 0)</f>
        <v/>
      </c>
      <c r="R286" s="13" t="n">
        <v>1</v>
      </c>
      <c r="S286" s="14" t="n">
        <v>1.36</v>
      </c>
      <c r="T286" s="14" t="n">
        <v>1.31</v>
      </c>
      <c r="U286" s="26">
        <f>IF(X286&gt;='Methodology &amp; Assumptions'!$B$7, "Tier 1 Critical GIDA (Score ≥ 50.0)", IF(X286&gt;='Methodology &amp; Assumptions'!$B$8, "Tier 2 High GIDA (Score 40.0–49.9)", "Tier 3 Moderate GIDA (Score &lt; 40.0)"))</f>
        <v/>
      </c>
      <c r="V286" s="26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W286" s="28" t="n">
        <v>0.234</v>
      </c>
      <c r="X286" s="14" t="n">
        <v>55.61</v>
      </c>
      <c r="Y286" s="14">
        <f>ROUND(MIN(100, (X286/69.91)*100), 2)</f>
        <v/>
      </c>
    </row>
    <row r="287">
      <c r="A287" s="10" t="n">
        <v>1</v>
      </c>
      <c r="B287" s="10" t="n">
        <v>283</v>
      </c>
      <c r="C287" s="10" t="n">
        <v>283</v>
      </c>
      <c r="D287" s="10" t="inlineStr">
        <is>
          <t>PH0000283</t>
        </is>
      </c>
      <c r="E287" s="26" t="inlineStr">
        <is>
          <t>NIR</t>
        </is>
      </c>
      <c r="F287" s="26" t="inlineStr">
        <is>
          <t>Negros Occidental</t>
        </is>
      </c>
      <c r="G287" s="26" t="inlineStr">
        <is>
          <t>Bacolod City</t>
        </is>
      </c>
      <c r="H287" s="26" t="inlineStr">
        <is>
          <t>Barangay 18 (Pob.)</t>
        </is>
      </c>
      <c r="I287" s="27" t="n">
        <v>10.649669</v>
      </c>
      <c r="J287" s="27" t="n">
        <v>122.983832</v>
      </c>
      <c r="K287" s="10" t="inlineStr">
        <is>
          <t>R</t>
        </is>
      </c>
      <c r="L287" s="12" t="n">
        <v>2279</v>
      </c>
      <c r="M287" s="14" t="n">
        <v>3.8</v>
      </c>
      <c r="N287" s="12">
        <f>ROUND(L287/M287, 0)</f>
        <v/>
      </c>
      <c r="O287" s="12">
        <f>ROUND(N287*'Methodology &amp; Assumptions'!$B$5, 0)</f>
        <v/>
      </c>
      <c r="P287" s="10" t="inlineStr">
        <is>
          <t>Single Carrier (Band n50, 100MHz TDD)</t>
        </is>
      </c>
      <c r="Q287" s="13">
        <f>ROUNDUP(O287/'Methodology &amp; Assumptions'!$B$6, 0)</f>
        <v/>
      </c>
      <c r="R287" s="13" t="n">
        <v>1</v>
      </c>
      <c r="S287" s="14" t="n">
        <v>2.15</v>
      </c>
      <c r="T287" s="14" t="n">
        <v>2.04</v>
      </c>
      <c r="U287" s="26">
        <f>IF(X287&gt;='Methodology &amp; Assumptions'!$B$7, "Tier 1 Critical GIDA (Score ≥ 50.0)", IF(X287&gt;='Methodology &amp; Assumptions'!$B$8, "Tier 2 High GIDA (Score 40.0–49.9)", "Tier 3 Moderate GIDA (Score &lt; 40.0)"))</f>
        <v/>
      </c>
      <c r="V287" s="26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W287" s="28" t="n">
        <v>0.109</v>
      </c>
      <c r="X287" s="14" t="n">
        <v>55.61</v>
      </c>
      <c r="Y287" s="14">
        <f>ROUND(MIN(100, (X287/69.91)*100), 2)</f>
        <v/>
      </c>
    </row>
    <row r="288">
      <c r="A288" s="10" t="n">
        <v>1</v>
      </c>
      <c r="B288" s="10" t="n">
        <v>284</v>
      </c>
      <c r="C288" s="10" t="n">
        <v>284</v>
      </c>
      <c r="D288" s="10" t="inlineStr">
        <is>
          <t>PH0000284</t>
        </is>
      </c>
      <c r="E288" s="26" t="inlineStr">
        <is>
          <t>VI</t>
        </is>
      </c>
      <c r="F288" s="26" t="inlineStr">
        <is>
          <t>Iloilo</t>
        </is>
      </c>
      <c r="G288" s="26" t="inlineStr">
        <is>
          <t>Iloilo City</t>
        </is>
      </c>
      <c r="H288" s="26" t="inlineStr">
        <is>
          <t>Luna (La Paz)</t>
        </is>
      </c>
      <c r="I288" s="27" t="n">
        <v>10.715005</v>
      </c>
      <c r="J288" s="27" t="n">
        <v>122.564493</v>
      </c>
      <c r="K288" s="10" t="inlineStr">
        <is>
          <t>R</t>
        </is>
      </c>
      <c r="L288" s="12" t="n">
        <v>2230</v>
      </c>
      <c r="M288" s="14" t="n">
        <v>3.8</v>
      </c>
      <c r="N288" s="12">
        <f>ROUND(L288/M288, 0)</f>
        <v/>
      </c>
      <c r="O288" s="12">
        <f>ROUND(N288*'Methodology &amp; Assumptions'!$B$5, 0)</f>
        <v/>
      </c>
      <c r="P288" s="10" t="inlineStr">
        <is>
          <t>Single Carrier (Band n50, 100MHz TDD)</t>
        </is>
      </c>
      <c r="Q288" s="13">
        <f>ROUNDUP(O288/'Methodology &amp; Assumptions'!$B$6, 0)</f>
        <v/>
      </c>
      <c r="R288" s="13" t="n">
        <v>1</v>
      </c>
      <c r="S288" s="14" t="n">
        <v>0.4</v>
      </c>
      <c r="T288" s="14" t="n">
        <v>0.14</v>
      </c>
      <c r="U288" s="26">
        <f>IF(X288&gt;='Methodology &amp; Assumptions'!$B$7, "Tier 1 Critical GIDA (Score ≥ 50.0)", IF(X288&gt;='Methodology &amp; Assumptions'!$B$8, "Tier 2 High GIDA (Score 40.0–49.9)", "Tier 3 Moderate GIDA (Score &lt; 40.0)"))</f>
        <v/>
      </c>
      <c r="V288" s="26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W288" s="28" t="n">
        <v>0.156</v>
      </c>
      <c r="X288" s="14" t="n">
        <v>55.6</v>
      </c>
      <c r="Y288" s="14">
        <f>ROUND(MIN(100, (X288/69.91)*100), 2)</f>
        <v/>
      </c>
    </row>
    <row r="289">
      <c r="A289" s="10" t="n">
        <v>1</v>
      </c>
      <c r="B289" s="10" t="n">
        <v>285</v>
      </c>
      <c r="C289" s="10" t="n">
        <v>285</v>
      </c>
      <c r="D289" s="10" t="inlineStr">
        <is>
          <t>PH0000285</t>
        </is>
      </c>
      <c r="E289" s="26" t="inlineStr">
        <is>
          <t>IV-A</t>
        </is>
      </c>
      <c r="F289" s="26" t="inlineStr">
        <is>
          <t>Batangas</t>
        </is>
      </c>
      <c r="G289" s="26" t="inlineStr">
        <is>
          <t>Lipa City</t>
        </is>
      </c>
      <c r="H289" s="26" t="inlineStr">
        <is>
          <t>Poblacion Barangay 5</t>
        </is>
      </c>
      <c r="I289" s="27" t="n">
        <v>13.943496</v>
      </c>
      <c r="J289" s="27" t="n">
        <v>121.16863</v>
      </c>
      <c r="K289" s="10" t="inlineStr">
        <is>
          <t>R</t>
        </is>
      </c>
      <c r="L289" s="12" t="n">
        <v>2259</v>
      </c>
      <c r="M289" s="14" t="n">
        <v>3.6</v>
      </c>
      <c r="N289" s="12">
        <f>ROUND(L289/M289, 0)</f>
        <v/>
      </c>
      <c r="O289" s="12">
        <f>ROUND(N289*'Methodology &amp; Assumptions'!$B$5, 0)</f>
        <v/>
      </c>
      <c r="P289" s="10" t="inlineStr">
        <is>
          <t>Single Carrier (Band n50, 100MHz TDD)</t>
        </is>
      </c>
      <c r="Q289" s="13">
        <f>ROUNDUP(O289/'Methodology &amp; Assumptions'!$B$6, 0)</f>
        <v/>
      </c>
      <c r="R289" s="13" t="n">
        <v>1</v>
      </c>
      <c r="S289" s="14" t="n">
        <v>0.25</v>
      </c>
      <c r="T289" s="14" t="n">
        <v>0.16</v>
      </c>
      <c r="U289" s="26">
        <f>IF(X289&gt;='Methodology &amp; Assumptions'!$B$7, "Tier 1 Critical GIDA (Score ≥ 50.0)", IF(X289&gt;='Methodology &amp; Assumptions'!$B$8, "Tier 2 High GIDA (Score 40.0–49.9)", "Tier 3 Moderate GIDA (Score &lt; 40.0)"))</f>
        <v/>
      </c>
      <c r="V289" s="26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W289" s="28" t="n">
        <v>0.07200000000000001</v>
      </c>
      <c r="X289" s="14" t="n">
        <v>55.6</v>
      </c>
      <c r="Y289" s="14">
        <f>ROUND(MIN(100, (X289/69.91)*100), 2)</f>
        <v/>
      </c>
    </row>
    <row r="290">
      <c r="A290" s="10" t="n">
        <v>1</v>
      </c>
      <c r="B290" s="10" t="n">
        <v>286</v>
      </c>
      <c r="C290" s="10" t="n">
        <v>286</v>
      </c>
      <c r="D290" s="10" t="inlineStr">
        <is>
          <t>1404401010</t>
        </is>
      </c>
      <c r="E290" s="26" t="inlineStr">
        <is>
          <t>Cordillera Administrative Region (CAR)</t>
        </is>
      </c>
      <c r="F290" s="26" t="inlineStr">
        <is>
          <t>Mountain Province</t>
        </is>
      </c>
      <c r="G290" s="26" t="inlineStr">
        <is>
          <t>Barlig</t>
        </is>
      </c>
      <c r="H290" s="26" t="inlineStr">
        <is>
          <t>Ogo-og</t>
        </is>
      </c>
      <c r="I290" s="27" t="n">
        <v>17.043599</v>
      </c>
      <c r="J290" s="27" t="n">
        <v>121.191977</v>
      </c>
      <c r="K290" s="10" t="inlineStr">
        <is>
          <t>R</t>
        </is>
      </c>
      <c r="L290" s="12" t="n">
        <v>454</v>
      </c>
      <c r="M290" s="14" t="n">
        <v>3.7</v>
      </c>
      <c r="N290" s="12">
        <f>ROUND(L290/M290, 0)</f>
        <v/>
      </c>
      <c r="O290" s="12">
        <f>ROUND(N290*'Methodology &amp; Assumptions'!$B$5, 0)</f>
        <v/>
      </c>
      <c r="P290" s="10" t="inlineStr">
        <is>
          <t>Single Carrier (Band n50, 100MHz TDD)</t>
        </is>
      </c>
      <c r="Q290" s="13">
        <f>ROUNDUP(O290/'Methodology &amp; Assumptions'!$B$6, 0)</f>
        <v/>
      </c>
      <c r="R290" s="13" t="n">
        <v>1</v>
      </c>
      <c r="S290" s="14" t="n">
        <v>8.52</v>
      </c>
      <c r="T290" s="14" t="n">
        <v>16.3</v>
      </c>
      <c r="U290" s="26">
        <f>IF(X290&gt;='Methodology &amp; Assumptions'!$B$7, "Tier 1 Critical GIDA (Score ≥ 50.0)", IF(X290&gt;='Methodology &amp; Assumptions'!$B$8, "Tier 2 High GIDA (Score 40.0–49.9)", "Tier 3 Moderate GIDA (Score &lt; 40.0)"))</f>
        <v/>
      </c>
      <c r="V290" s="26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W290" s="28" t="n">
        <v>0.109</v>
      </c>
      <c r="X290" s="14" t="n">
        <v>55.58</v>
      </c>
      <c r="Y290" s="14">
        <f>ROUND(MIN(100, (X290/69.91)*100), 2)</f>
        <v/>
      </c>
    </row>
    <row r="291">
      <c r="A291" s="10" t="n">
        <v>1</v>
      </c>
      <c r="B291" s="10" t="n">
        <v>287</v>
      </c>
      <c r="C291" s="10" t="n">
        <v>287</v>
      </c>
      <c r="D291" s="10" t="inlineStr">
        <is>
          <t>1403214001</t>
        </is>
      </c>
      <c r="E291" s="26" t="inlineStr">
        <is>
          <t>Cordillera Administrative Region (CAR)</t>
        </is>
      </c>
      <c r="F291" s="26" t="inlineStr">
        <is>
          <t>Kalinga</t>
        </is>
      </c>
      <c r="G291" s="26" t="inlineStr">
        <is>
          <t>Tanudan</t>
        </is>
      </c>
      <c r="H291" s="26" t="inlineStr">
        <is>
          <t>Anggacan</t>
        </is>
      </c>
      <c r="I291" s="27" t="n">
        <v>17.309975</v>
      </c>
      <c r="J291" s="27" t="n">
        <v>121.238098</v>
      </c>
      <c r="K291" s="10" t="inlineStr">
        <is>
          <t>R</t>
        </is>
      </c>
      <c r="L291" s="12" t="n">
        <v>244</v>
      </c>
      <c r="M291" s="14" t="n">
        <v>4.3</v>
      </c>
      <c r="N291" s="12">
        <f>ROUND(L291/M291, 0)</f>
        <v/>
      </c>
      <c r="O291" s="12">
        <f>ROUND(N291*'Methodology &amp; Assumptions'!$B$5, 0)</f>
        <v/>
      </c>
      <c r="P291" s="10" t="inlineStr">
        <is>
          <t>Single Carrier (Band n50, 100MHz TDD)</t>
        </is>
      </c>
      <c r="Q291" s="13">
        <f>ROUNDUP(O291/'Methodology &amp; Assumptions'!$B$6, 0)</f>
        <v/>
      </c>
      <c r="R291" s="13" t="n">
        <v>1</v>
      </c>
      <c r="S291" s="14" t="n">
        <v>10.78</v>
      </c>
      <c r="T291" s="14" t="n">
        <v>7.52</v>
      </c>
      <c r="U291" s="26">
        <f>IF(X291&gt;='Methodology &amp; Assumptions'!$B$7, "Tier 1 Critical GIDA (Score ≥ 50.0)", IF(X291&gt;='Methodology &amp; Assumptions'!$B$8, "Tier 2 High GIDA (Score 40.0–49.9)", "Tier 3 Moderate GIDA (Score &lt; 40.0)"))</f>
        <v/>
      </c>
      <c r="V291" s="26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W291" s="28" t="n">
        <v>0.109</v>
      </c>
      <c r="X291" s="14" t="n">
        <v>55.58</v>
      </c>
      <c r="Y291" s="14">
        <f>ROUND(MIN(100, (X291/69.91)*100), 2)</f>
        <v/>
      </c>
    </row>
    <row r="292">
      <c r="A292" s="10" t="n">
        <v>1</v>
      </c>
      <c r="B292" s="10" t="n">
        <v>288</v>
      </c>
      <c r="C292" s="10" t="n">
        <v>288</v>
      </c>
      <c r="D292" s="10" t="inlineStr">
        <is>
          <t>PH0000288</t>
        </is>
      </c>
      <c r="E292" s="26" t="inlineStr">
        <is>
          <t>VI</t>
        </is>
      </c>
      <c r="F292" s="26" t="inlineStr">
        <is>
          <t>Iloilo</t>
        </is>
      </c>
      <c r="G292" s="26" t="inlineStr">
        <is>
          <t>Iloilo City</t>
        </is>
      </c>
      <c r="H292" s="26" t="inlineStr">
        <is>
          <t>Progreso-Lapuz</t>
        </is>
      </c>
      <c r="I292" s="27" t="n">
        <v>10.776344</v>
      </c>
      <c r="J292" s="27" t="n">
        <v>122.528783</v>
      </c>
      <c r="K292" s="10" t="inlineStr">
        <is>
          <t>R</t>
        </is>
      </c>
      <c r="L292" s="12" t="n">
        <v>2230</v>
      </c>
      <c r="M292" s="14" t="n">
        <v>3.8</v>
      </c>
      <c r="N292" s="12">
        <f>ROUND(L292/M292, 0)</f>
        <v/>
      </c>
      <c r="O292" s="12">
        <f>ROUND(N292*'Methodology &amp; Assumptions'!$B$5, 0)</f>
        <v/>
      </c>
      <c r="P292" s="10" t="inlineStr">
        <is>
          <t>Single Carrier (Band n50, 100MHz TDD)</t>
        </is>
      </c>
      <c r="Q292" s="13">
        <f>ROUNDUP(O292/'Methodology &amp; Assumptions'!$B$6, 0)</f>
        <v/>
      </c>
      <c r="R292" s="13" t="n">
        <v>1</v>
      </c>
      <c r="S292" s="14" t="n">
        <v>1.58</v>
      </c>
      <c r="T292" s="14" t="n">
        <v>3.52</v>
      </c>
      <c r="U292" s="26">
        <f>IF(X292&gt;='Methodology &amp; Assumptions'!$B$7, "Tier 1 Critical GIDA (Score ≥ 50.0)", IF(X292&gt;='Methodology &amp; Assumptions'!$B$8, "Tier 2 High GIDA (Score 40.0–49.9)", "Tier 3 Moderate GIDA (Score &lt; 40.0)"))</f>
        <v/>
      </c>
      <c r="V292" s="26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W292" s="28" t="n">
        <v>0.156</v>
      </c>
      <c r="X292" s="14" t="n">
        <v>55.58</v>
      </c>
      <c r="Y292" s="14">
        <f>ROUND(MIN(100, (X292/69.91)*100), 2)</f>
        <v/>
      </c>
    </row>
    <row r="293">
      <c r="A293" s="10" t="n">
        <v>1</v>
      </c>
      <c r="B293" s="10" t="n">
        <v>289</v>
      </c>
      <c r="C293" s="10" t="n">
        <v>289</v>
      </c>
      <c r="D293" s="10" t="inlineStr">
        <is>
          <t>1408103006</t>
        </is>
      </c>
      <c r="E293" s="26" t="inlineStr">
        <is>
          <t>Cordillera Administrative Region (CAR)</t>
        </is>
      </c>
      <c r="F293" s="26" t="inlineStr">
        <is>
          <t>Apayao</t>
        </is>
      </c>
      <c r="G293" s="26" t="inlineStr">
        <is>
          <t>Flora</t>
        </is>
      </c>
      <c r="H293" s="26" t="inlineStr">
        <is>
          <t>Balluyan</t>
        </is>
      </c>
      <c r="I293" s="27" t="n">
        <v>18.126546</v>
      </c>
      <c r="J293" s="27" t="n">
        <v>121.456487</v>
      </c>
      <c r="K293" s="10" t="inlineStr">
        <is>
          <t>R</t>
        </is>
      </c>
      <c r="L293" s="12" t="n">
        <v>1415</v>
      </c>
      <c r="M293" s="14" t="n">
        <v>4.2</v>
      </c>
      <c r="N293" s="12">
        <f>ROUND(L293/M293, 0)</f>
        <v/>
      </c>
      <c r="O293" s="12">
        <f>ROUND(N293*'Methodology &amp; Assumptions'!$B$5, 0)</f>
        <v/>
      </c>
      <c r="P293" s="10" t="inlineStr">
        <is>
          <t>Single Carrier (Band n50, 100MHz TDD)</t>
        </is>
      </c>
      <c r="Q293" s="13">
        <f>ROUNDUP(O293/'Methodology &amp; Assumptions'!$B$6, 0)</f>
        <v/>
      </c>
      <c r="R293" s="13" t="n">
        <v>1</v>
      </c>
      <c r="S293" s="14" t="n">
        <v>10.8</v>
      </c>
      <c r="T293" s="14" t="n">
        <v>11.61</v>
      </c>
      <c r="U293" s="26">
        <f>IF(X293&gt;='Methodology &amp; Assumptions'!$B$7, "Tier 1 Critical GIDA (Score ≥ 50.0)", IF(X293&gt;='Methodology &amp; Assumptions'!$B$8, "Tier 2 High GIDA (Score 40.0–49.9)", "Tier 3 Moderate GIDA (Score &lt; 40.0)"))</f>
        <v/>
      </c>
      <c r="V293" s="26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W293" s="28" t="n">
        <v>0.109</v>
      </c>
      <c r="X293" s="14" t="n">
        <v>55.56</v>
      </c>
      <c r="Y293" s="14">
        <f>ROUND(MIN(100, (X293/69.91)*100), 2)</f>
        <v/>
      </c>
    </row>
    <row r="294">
      <c r="A294" s="10" t="n">
        <v>1</v>
      </c>
      <c r="B294" s="10" t="n">
        <v>290</v>
      </c>
      <c r="C294" s="10" t="n">
        <v>290</v>
      </c>
      <c r="D294" s="10" t="inlineStr">
        <is>
          <t>PH0000290</t>
        </is>
      </c>
      <c r="E294" s="26" t="inlineStr">
        <is>
          <t>NIR</t>
        </is>
      </c>
      <c r="F294" s="26" t="inlineStr">
        <is>
          <t>Negros Occidental</t>
        </is>
      </c>
      <c r="G294" s="26" t="inlineStr">
        <is>
          <t>Bacolod City</t>
        </is>
      </c>
      <c r="H294" s="26" t="inlineStr">
        <is>
          <t>Barangay 11 (Pob.)</t>
        </is>
      </c>
      <c r="I294" s="27" t="n">
        <v>10.646672</v>
      </c>
      <c r="J294" s="27" t="n">
        <v>122.96056</v>
      </c>
      <c r="K294" s="10" t="inlineStr">
        <is>
          <t>R</t>
        </is>
      </c>
      <c r="L294" s="12" t="n">
        <v>2279</v>
      </c>
      <c r="M294" s="14" t="n">
        <v>3.8</v>
      </c>
      <c r="N294" s="12">
        <f>ROUND(L294/M294, 0)</f>
        <v/>
      </c>
      <c r="O294" s="12">
        <f>ROUND(N294*'Methodology &amp; Assumptions'!$B$5, 0)</f>
        <v/>
      </c>
      <c r="P294" s="10" t="inlineStr">
        <is>
          <t>Single Carrier (Band n50, 100MHz TDD)</t>
        </is>
      </c>
      <c r="Q294" s="13">
        <f>ROUNDUP(O294/'Methodology &amp; Assumptions'!$B$6, 0)</f>
        <v/>
      </c>
      <c r="R294" s="13" t="n">
        <v>1</v>
      </c>
      <c r="S294" s="14" t="n">
        <v>2.06</v>
      </c>
      <c r="T294" s="14" t="n">
        <v>0.4</v>
      </c>
      <c r="U294" s="26">
        <f>IF(X294&gt;='Methodology &amp; Assumptions'!$B$7, "Tier 1 Critical GIDA (Score ≥ 50.0)", IF(X294&gt;='Methodology &amp; Assumptions'!$B$8, "Tier 2 High GIDA (Score 40.0–49.9)", "Tier 3 Moderate GIDA (Score &lt; 40.0)"))</f>
        <v/>
      </c>
      <c r="V294" s="26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W294" s="28" t="n">
        <v>0.109</v>
      </c>
      <c r="X294" s="14" t="n">
        <v>55.52</v>
      </c>
      <c r="Y294" s="14">
        <f>ROUND(MIN(100, (X294/69.91)*100), 2)</f>
        <v/>
      </c>
    </row>
    <row r="295">
      <c r="A295" s="10" t="n">
        <v>1</v>
      </c>
      <c r="B295" s="10" t="n">
        <v>291</v>
      </c>
      <c r="C295" s="10" t="n">
        <v>291</v>
      </c>
      <c r="D295" s="10" t="inlineStr">
        <is>
          <t>1403209018</t>
        </is>
      </c>
      <c r="E295" s="26" t="inlineStr">
        <is>
          <t>Cordillera Administrative Region (CAR)</t>
        </is>
      </c>
      <c r="F295" s="26" t="inlineStr">
        <is>
          <t>Kalinga</t>
        </is>
      </c>
      <c r="G295" s="26" t="inlineStr">
        <is>
          <t>Pinukpuk</t>
        </is>
      </c>
      <c r="H295" s="26" t="inlineStr">
        <is>
          <t>Mapaco</t>
        </is>
      </c>
      <c r="I295" s="27" t="n">
        <v>17.568266</v>
      </c>
      <c r="J295" s="27" t="n">
        <v>121.431393</v>
      </c>
      <c r="K295" s="10" t="inlineStr">
        <is>
          <t>R</t>
        </is>
      </c>
      <c r="L295" s="12" t="n">
        <v>932</v>
      </c>
      <c r="M295" s="14" t="n">
        <v>4.3</v>
      </c>
      <c r="N295" s="12">
        <f>ROUND(L295/M295, 0)</f>
        <v/>
      </c>
      <c r="O295" s="12">
        <f>ROUND(N295*'Methodology &amp; Assumptions'!$B$5, 0)</f>
        <v/>
      </c>
      <c r="P295" s="10" t="inlineStr">
        <is>
          <t>Single Carrier (Band n50, 100MHz TDD)</t>
        </is>
      </c>
      <c r="Q295" s="13">
        <f>ROUNDUP(O295/'Methodology &amp; Assumptions'!$B$6, 0)</f>
        <v/>
      </c>
      <c r="R295" s="13" t="n">
        <v>1</v>
      </c>
      <c r="S295" s="14" t="n">
        <v>5.16</v>
      </c>
      <c r="T295" s="14" t="n">
        <v>0.34</v>
      </c>
      <c r="U295" s="26">
        <f>IF(X295&gt;='Methodology &amp; Assumptions'!$B$7, "Tier 1 Critical GIDA (Score ≥ 50.0)", IF(X295&gt;='Methodology &amp; Assumptions'!$B$8, "Tier 2 High GIDA (Score 40.0–49.9)", "Tier 3 Moderate GIDA (Score &lt; 40.0)"))</f>
        <v/>
      </c>
      <c r="V295" s="26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W295" s="28" t="n">
        <v>0.109</v>
      </c>
      <c r="X295" s="14" t="n">
        <v>55.52</v>
      </c>
      <c r="Y295" s="14">
        <f>ROUND(MIN(100, (X295/69.91)*100), 2)</f>
        <v/>
      </c>
    </row>
    <row r="296">
      <c r="A296" s="10" t="n">
        <v>1</v>
      </c>
      <c r="B296" s="10" t="n">
        <v>292</v>
      </c>
      <c r="C296" s="10" t="n">
        <v>292</v>
      </c>
      <c r="D296" s="10" t="inlineStr">
        <is>
          <t>1907009005</t>
        </is>
      </c>
      <c r="E296" s="26" t="inlineStr">
        <is>
          <t>Bangsamoro Autonomous Region In Muslim Mindanao (BARMM)</t>
        </is>
      </c>
      <c r="F296" s="26" t="inlineStr">
        <is>
          <t>Tawi-Tawi</t>
        </is>
      </c>
      <c r="G296" s="26" t="inlineStr">
        <is>
          <t>Languyan</t>
        </is>
      </c>
      <c r="H296" s="26" t="inlineStr">
        <is>
          <t>Languyan Proper</t>
        </is>
      </c>
      <c r="I296" s="27" t="n">
        <v>17.255775</v>
      </c>
      <c r="J296" s="27" t="n">
        <v>122.229819</v>
      </c>
      <c r="K296" s="10" t="inlineStr">
        <is>
          <t>U</t>
        </is>
      </c>
      <c r="L296" s="12" t="n">
        <v>4399</v>
      </c>
      <c r="M296" s="14" t="n">
        <v>5.8</v>
      </c>
      <c r="N296" s="12">
        <f>ROUND(L296/M296, 0)</f>
        <v/>
      </c>
      <c r="O296" s="12">
        <f>ROUND(N296*'Methodology &amp; Assumptions'!$B$5, 0)</f>
        <v/>
      </c>
      <c r="P296" s="10" t="inlineStr">
        <is>
          <t>Single Carrier (Band n50, 100MHz TDD)</t>
        </is>
      </c>
      <c r="Q296" s="13">
        <f>ROUNDUP(O296/'Methodology &amp; Assumptions'!$B$6, 0)</f>
        <v/>
      </c>
      <c r="R296" s="13" t="n">
        <v>1</v>
      </c>
      <c r="S296" s="14" t="n">
        <v>29.56</v>
      </c>
      <c r="T296" s="14" t="n">
        <v>34.42</v>
      </c>
      <c r="U296" s="26">
        <f>IF(X296&gt;='Methodology &amp; Assumptions'!$B$7, "Tier 1 Critical GIDA (Score ≥ 50.0)", IF(X296&gt;='Methodology &amp; Assumptions'!$B$8, "Tier 2 High GIDA (Score 40.0–49.9)", "Tier 3 Moderate GIDA (Score &lt; 40.0)"))</f>
        <v/>
      </c>
      <c r="V296" s="26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W296" s="28" t="n">
        <v>0.11</v>
      </c>
      <c r="X296" s="14" t="n">
        <v>55.51</v>
      </c>
      <c r="Y296" s="14">
        <f>ROUND(MIN(100, (X296/69.91)*100), 2)</f>
        <v/>
      </c>
    </row>
    <row r="297">
      <c r="A297" s="10" t="n">
        <v>1</v>
      </c>
      <c r="B297" s="10" t="n">
        <v>293</v>
      </c>
      <c r="C297" s="10" t="n">
        <v>293</v>
      </c>
      <c r="D297" s="10" t="inlineStr">
        <is>
          <t>PH0000293</t>
        </is>
      </c>
      <c r="E297" s="26" t="inlineStr">
        <is>
          <t>II</t>
        </is>
      </c>
      <c r="F297" s="26" t="inlineStr">
        <is>
          <t>Nueva Vizcaya</t>
        </is>
      </c>
      <c r="G297" s="26" t="inlineStr">
        <is>
          <t>Kasibu</t>
        </is>
      </c>
      <c r="H297" s="26" t="inlineStr">
        <is>
          <t>Nantawacan</t>
        </is>
      </c>
      <c r="I297" s="27" t="n">
        <v>16.31401</v>
      </c>
      <c r="J297" s="27" t="n">
        <v>121.19502</v>
      </c>
      <c r="K297" s="10" t="inlineStr">
        <is>
          <t>R</t>
        </is>
      </c>
      <c r="L297" s="12" t="n">
        <v>1559</v>
      </c>
      <c r="M297" s="14" t="n">
        <v>3.8</v>
      </c>
      <c r="N297" s="12">
        <f>ROUND(L297/M297, 0)</f>
        <v/>
      </c>
      <c r="O297" s="12">
        <f>ROUND(N297*'Methodology &amp; Assumptions'!$B$5, 0)</f>
        <v/>
      </c>
      <c r="P297" s="10" t="inlineStr">
        <is>
          <t>Single Carrier (Band n50, 100MHz TDD)</t>
        </is>
      </c>
      <c r="Q297" s="13">
        <f>ROUNDUP(O297/'Methodology &amp; Assumptions'!$B$6, 0)</f>
        <v/>
      </c>
      <c r="R297" s="13" t="n">
        <v>1</v>
      </c>
      <c r="S297" s="14" t="n">
        <v>9.73</v>
      </c>
      <c r="T297" s="14" t="n">
        <v>11.71</v>
      </c>
      <c r="U297" s="26">
        <f>IF(X297&gt;='Methodology &amp; Assumptions'!$B$7, "Tier 1 Critical GIDA (Score ≥ 50.0)", IF(X297&gt;='Methodology &amp; Assumptions'!$B$8, "Tier 2 High GIDA (Score 40.0–49.9)", "Tier 3 Moderate GIDA (Score &lt; 40.0)"))</f>
        <v/>
      </c>
      <c r="V297" s="26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W297" s="28" t="n">
        <v>0.083</v>
      </c>
      <c r="X297" s="14" t="n">
        <v>55.49</v>
      </c>
      <c r="Y297" s="14">
        <f>ROUND(MIN(100, (X297/69.91)*100), 2)</f>
        <v/>
      </c>
    </row>
    <row r="298">
      <c r="A298" s="10" t="n">
        <v>1</v>
      </c>
      <c r="B298" s="10" t="n">
        <v>294</v>
      </c>
      <c r="C298" s="10" t="n">
        <v>294</v>
      </c>
      <c r="D298" s="10" t="inlineStr">
        <is>
          <t>PH0000294</t>
        </is>
      </c>
      <c r="E298" s="26" t="inlineStr">
        <is>
          <t>NIR</t>
        </is>
      </c>
      <c r="F298" s="26" t="inlineStr">
        <is>
          <t>Negros Occidental</t>
        </is>
      </c>
      <c r="G298" s="26" t="inlineStr">
        <is>
          <t>Bacolod City</t>
        </is>
      </c>
      <c r="H298" s="26" t="inlineStr">
        <is>
          <t>Barangay 24 (Pob.)</t>
        </is>
      </c>
      <c r="I298" s="27" t="n">
        <v>10.666225</v>
      </c>
      <c r="J298" s="27" t="n">
        <v>122.977346</v>
      </c>
      <c r="K298" s="10" t="inlineStr">
        <is>
          <t>R</t>
        </is>
      </c>
      <c r="L298" s="12" t="n">
        <v>2279</v>
      </c>
      <c r="M298" s="14" t="n">
        <v>3.8</v>
      </c>
      <c r="N298" s="12">
        <f>ROUND(L298/M298, 0)</f>
        <v/>
      </c>
      <c r="O298" s="12">
        <f>ROUND(N298*'Methodology &amp; Assumptions'!$B$5, 0)</f>
        <v/>
      </c>
      <c r="P298" s="10" t="inlineStr">
        <is>
          <t>Single Carrier (Band n50, 100MHz TDD)</t>
        </is>
      </c>
      <c r="Q298" s="13">
        <f>ROUNDUP(O298/'Methodology &amp; Assumptions'!$B$6, 0)</f>
        <v/>
      </c>
      <c r="R298" s="13" t="n">
        <v>1</v>
      </c>
      <c r="S298" s="14" t="n">
        <v>2.74</v>
      </c>
      <c r="T298" s="14" t="n">
        <v>0.91</v>
      </c>
      <c r="U298" s="26">
        <f>IF(X298&gt;='Methodology &amp; Assumptions'!$B$7, "Tier 1 Critical GIDA (Score ≥ 50.0)", IF(X298&gt;='Methodology &amp; Assumptions'!$B$8, "Tier 2 High GIDA (Score 40.0–49.9)", "Tier 3 Moderate GIDA (Score &lt; 40.0)"))</f>
        <v/>
      </c>
      <c r="V298" s="26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W298" s="28" t="n">
        <v>0.109</v>
      </c>
      <c r="X298" s="14" t="n">
        <v>55.49</v>
      </c>
      <c r="Y298" s="14">
        <f>ROUND(MIN(100, (X298/69.91)*100), 2)</f>
        <v/>
      </c>
    </row>
    <row r="299">
      <c r="A299" s="10" t="n">
        <v>1</v>
      </c>
      <c r="B299" s="10" t="n">
        <v>295</v>
      </c>
      <c r="C299" s="10" t="n">
        <v>295</v>
      </c>
      <c r="D299" s="10" t="inlineStr">
        <is>
          <t>1705309005</t>
        </is>
      </c>
      <c r="E299" s="26" t="inlineStr">
        <is>
          <t>MIMAROPA Region</t>
        </is>
      </c>
      <c r="F299" s="26" t="inlineStr">
        <is>
          <t>Palawan</t>
        </is>
      </c>
      <c r="G299" s="26" t="inlineStr">
        <is>
          <t>Coron</t>
        </is>
      </c>
      <c r="H299" s="26" t="inlineStr">
        <is>
          <t>Bulalacao</t>
        </is>
      </c>
      <c r="I299" s="27" t="n">
        <v>11.663564</v>
      </c>
      <c r="J299" s="27" t="n">
        <v>120.108715</v>
      </c>
      <c r="K299" s="10" t="inlineStr">
        <is>
          <t>U</t>
        </is>
      </c>
      <c r="L299" s="12" t="n">
        <v>4226</v>
      </c>
      <c r="M299" s="14" t="n">
        <v>3.9</v>
      </c>
      <c r="N299" s="12">
        <f>ROUND(L299/M299, 0)</f>
        <v/>
      </c>
      <c r="O299" s="12">
        <f>ROUND(N299*'Methodology &amp; Assumptions'!$B$5, 0)</f>
        <v/>
      </c>
      <c r="P299" s="10" t="inlineStr">
        <is>
          <t>Single Carrier (Band n50, 100MHz TDD)</t>
        </is>
      </c>
      <c r="Q299" s="13">
        <f>ROUNDUP(O299/'Methodology &amp; Assumptions'!$B$6, 0)</f>
        <v/>
      </c>
      <c r="R299" s="13" t="n">
        <v>1</v>
      </c>
      <c r="S299" s="14" t="n">
        <v>40.77</v>
      </c>
      <c r="T299" s="14" t="n">
        <v>114.19</v>
      </c>
      <c r="U299" s="26">
        <f>IF(X299&gt;='Methodology &amp; Assumptions'!$B$7, "Tier 1 Critical GIDA (Score ≥ 50.0)", IF(X299&gt;='Methodology &amp; Assumptions'!$B$8, "Tier 2 High GIDA (Score 40.0–49.9)", "Tier 3 Moderate GIDA (Score &lt; 40.0)"))</f>
        <v/>
      </c>
      <c r="V299" s="26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W299" s="28" t="n">
        <v>0.15</v>
      </c>
      <c r="X299" s="14" t="n">
        <v>55.48</v>
      </c>
      <c r="Y299" s="14">
        <f>ROUND(MIN(100, (X299/69.91)*100), 2)</f>
        <v/>
      </c>
    </row>
    <row r="300">
      <c r="A300" s="10" t="n">
        <v>1</v>
      </c>
      <c r="B300" s="10" t="n">
        <v>296</v>
      </c>
      <c r="C300" s="10" t="n">
        <v>296</v>
      </c>
      <c r="D300" s="10" t="inlineStr">
        <is>
          <t>0201514003</t>
        </is>
      </c>
      <c r="E300" s="26" t="inlineStr">
        <is>
          <t>Region II (Cagayan Valley)</t>
        </is>
      </c>
      <c r="F300" s="26" t="inlineStr">
        <is>
          <t>Cagayan</t>
        </is>
      </c>
      <c r="G300" s="26" t="inlineStr">
        <is>
          <t>Gonzaga</t>
        </is>
      </c>
      <c r="H300" s="26" t="inlineStr">
        <is>
          <t>Baua</t>
        </is>
      </c>
      <c r="I300" s="27" t="n">
        <v>18.349478</v>
      </c>
      <c r="J300" s="27" t="n">
        <v>122.090781</v>
      </c>
      <c r="K300" s="10" t="inlineStr">
        <is>
          <t>R</t>
        </is>
      </c>
      <c r="L300" s="12" t="n">
        <v>2350</v>
      </c>
      <c r="M300" s="14" t="n">
        <v>3.9</v>
      </c>
      <c r="N300" s="12">
        <f>ROUND(L300/M300, 0)</f>
        <v/>
      </c>
      <c r="O300" s="12">
        <f>ROUND(N300*'Methodology &amp; Assumptions'!$B$5, 0)</f>
        <v/>
      </c>
      <c r="P300" s="10" t="inlineStr">
        <is>
          <t>Single Carrier (Band n50, 100MHz TDD)</t>
        </is>
      </c>
      <c r="Q300" s="13">
        <f>ROUNDUP(O300/'Methodology &amp; Assumptions'!$B$6, 0)</f>
        <v/>
      </c>
      <c r="R300" s="13" t="n">
        <v>1</v>
      </c>
      <c r="S300" s="14" t="n">
        <v>1.45</v>
      </c>
      <c r="T300" s="14" t="n">
        <v>0.14</v>
      </c>
      <c r="U300" s="26">
        <f>IF(X300&gt;='Methodology &amp; Assumptions'!$B$7, "Tier 1 Critical GIDA (Score ≥ 50.0)", IF(X300&gt;='Methodology &amp; Assumptions'!$B$8, "Tier 2 High GIDA (Score 40.0–49.9)", "Tier 3 Moderate GIDA (Score &lt; 40.0)"))</f>
        <v/>
      </c>
      <c r="V300" s="26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W300" s="28" t="n">
        <v>0.083</v>
      </c>
      <c r="X300" s="14" t="n">
        <v>55.46</v>
      </c>
      <c r="Y300" s="14">
        <f>ROUND(MIN(100, (X300/69.91)*100), 2)</f>
        <v/>
      </c>
    </row>
    <row r="301">
      <c r="A301" s="10" t="n">
        <v>1</v>
      </c>
      <c r="B301" s="10" t="n">
        <v>297</v>
      </c>
      <c r="C301" s="10" t="n">
        <v>297</v>
      </c>
      <c r="D301" s="10" t="inlineStr">
        <is>
          <t>PH0000297</t>
        </is>
      </c>
      <c r="E301" s="26" t="inlineStr">
        <is>
          <t>NIR</t>
        </is>
      </c>
      <c r="F301" s="26" t="inlineStr">
        <is>
          <t>Negros Occidental</t>
        </is>
      </c>
      <c r="G301" s="26" t="inlineStr">
        <is>
          <t>Bacolod City</t>
        </is>
      </c>
      <c r="H301" s="26" t="inlineStr">
        <is>
          <t>Barangay 25 (Pob.)</t>
        </is>
      </c>
      <c r="I301" s="27" t="n">
        <v>10.638149</v>
      </c>
      <c r="J301" s="27" t="n">
        <v>122.978467</v>
      </c>
      <c r="K301" s="10" t="inlineStr">
        <is>
          <t>R</t>
        </is>
      </c>
      <c r="L301" s="12" t="n">
        <v>2279</v>
      </c>
      <c r="M301" s="14" t="n">
        <v>3.8</v>
      </c>
      <c r="N301" s="12">
        <f>ROUND(L301/M301, 0)</f>
        <v/>
      </c>
      <c r="O301" s="12">
        <f>ROUND(N301*'Methodology &amp; Assumptions'!$B$5, 0)</f>
        <v/>
      </c>
      <c r="P301" s="10" t="inlineStr">
        <is>
          <t>Single Carrier (Band n50, 100MHz TDD)</t>
        </is>
      </c>
      <c r="Q301" s="13">
        <f>ROUNDUP(O301/'Methodology &amp; Assumptions'!$B$6, 0)</f>
        <v/>
      </c>
      <c r="R301" s="13" t="n">
        <v>1</v>
      </c>
      <c r="S301" s="14" t="n">
        <v>0.77</v>
      </c>
      <c r="T301" s="14" t="n">
        <v>0.84</v>
      </c>
      <c r="U301" s="26">
        <f>IF(X301&gt;='Methodology &amp; Assumptions'!$B$7, "Tier 1 Critical GIDA (Score ≥ 50.0)", IF(X301&gt;='Methodology &amp; Assumptions'!$B$8, "Tier 2 High GIDA (Score 40.0–49.9)", "Tier 3 Moderate GIDA (Score &lt; 40.0)"))</f>
        <v/>
      </c>
      <c r="V301" s="26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W301" s="28" t="n">
        <v>0.109</v>
      </c>
      <c r="X301" s="14" t="n">
        <v>55.45</v>
      </c>
      <c r="Y301" s="14">
        <f>ROUND(MIN(100, (X301/69.91)*100), 2)</f>
        <v/>
      </c>
    </row>
    <row r="302">
      <c r="A302" s="10" t="n">
        <v>1</v>
      </c>
      <c r="B302" s="10" t="n">
        <v>298</v>
      </c>
      <c r="C302" s="10" t="n">
        <v>298</v>
      </c>
      <c r="D302" s="10" t="inlineStr">
        <is>
          <t>PH0000298</t>
        </is>
      </c>
      <c r="E302" s="26" t="inlineStr">
        <is>
          <t>VI</t>
        </is>
      </c>
      <c r="F302" s="26" t="inlineStr">
        <is>
          <t>Iloilo</t>
        </is>
      </c>
      <c r="G302" s="26" t="inlineStr">
        <is>
          <t>Iloilo City</t>
        </is>
      </c>
      <c r="H302" s="26" t="inlineStr">
        <is>
          <t>Taal</t>
        </is>
      </c>
      <c r="I302" s="27" t="n">
        <v>10.69651</v>
      </c>
      <c r="J302" s="27" t="n">
        <v>122.550267</v>
      </c>
      <c r="K302" s="10" t="inlineStr">
        <is>
          <t>R</t>
        </is>
      </c>
      <c r="L302" s="12" t="n">
        <v>2230</v>
      </c>
      <c r="M302" s="14" t="n">
        <v>3.8</v>
      </c>
      <c r="N302" s="12">
        <f>ROUND(L302/M302, 0)</f>
        <v/>
      </c>
      <c r="O302" s="12">
        <f>ROUND(N302*'Methodology &amp; Assumptions'!$B$5, 0)</f>
        <v/>
      </c>
      <c r="P302" s="10" t="inlineStr">
        <is>
          <t>Single Carrier (Band n50, 100MHz TDD)</t>
        </is>
      </c>
      <c r="Q302" s="13">
        <f>ROUNDUP(O302/'Methodology &amp; Assumptions'!$B$6, 0)</f>
        <v/>
      </c>
      <c r="R302" s="13" t="n">
        <v>1</v>
      </c>
      <c r="S302" s="14" t="n">
        <v>1.05</v>
      </c>
      <c r="T302" s="14" t="n">
        <v>2.08</v>
      </c>
      <c r="U302" s="26">
        <f>IF(X302&gt;='Methodology &amp; Assumptions'!$B$7, "Tier 1 Critical GIDA (Score ≥ 50.0)", IF(X302&gt;='Methodology &amp; Assumptions'!$B$8, "Tier 2 High GIDA (Score 40.0–49.9)", "Tier 3 Moderate GIDA (Score &lt; 40.0)"))</f>
        <v/>
      </c>
      <c r="V302" s="26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W302" s="28" t="n">
        <v>0.156</v>
      </c>
      <c r="X302" s="14" t="n">
        <v>55.42</v>
      </c>
      <c r="Y302" s="14">
        <f>ROUND(MIN(100, (X302/69.91)*100), 2)</f>
        <v/>
      </c>
    </row>
    <row r="303">
      <c r="A303" s="10" t="n">
        <v>1</v>
      </c>
      <c r="B303" s="10" t="n">
        <v>299</v>
      </c>
      <c r="C303" s="10" t="n">
        <v>299</v>
      </c>
      <c r="D303" s="10" t="inlineStr">
        <is>
          <t>0603018031</t>
        </is>
      </c>
      <c r="E303" s="26" t="inlineStr">
        <is>
          <t>Region VI (Western Visayas)</t>
        </is>
      </c>
      <c r="F303" s="26" t="inlineStr">
        <is>
          <t>Iloilo</t>
        </is>
      </c>
      <c r="G303" s="26" t="inlineStr">
        <is>
          <t>Dumangas</t>
        </is>
      </c>
      <c r="H303" s="26" t="inlineStr">
        <is>
          <t>Nanding Lopez</t>
        </is>
      </c>
      <c r="I303" s="27" t="n">
        <v>10.880511</v>
      </c>
      <c r="J303" s="27" t="n">
        <v>122.771187</v>
      </c>
      <c r="K303" s="10" t="inlineStr">
        <is>
          <t>R</t>
        </is>
      </c>
      <c r="L303" s="12" t="n">
        <v>1878</v>
      </c>
      <c r="M303" s="14" t="n">
        <v>3.8</v>
      </c>
      <c r="N303" s="12">
        <f>ROUND(L303/M303, 0)</f>
        <v/>
      </c>
      <c r="O303" s="12">
        <f>ROUND(N303*'Methodology &amp; Assumptions'!$B$5, 0)</f>
        <v/>
      </c>
      <c r="P303" s="10" t="inlineStr">
        <is>
          <t>Single Carrier (Band n50, 100MHz TDD)</t>
        </is>
      </c>
      <c r="Q303" s="13">
        <f>ROUNDUP(O303/'Methodology &amp; Assumptions'!$B$6, 0)</f>
        <v/>
      </c>
      <c r="R303" s="13" t="n">
        <v>1</v>
      </c>
      <c r="S303" s="14" t="n">
        <v>7.44</v>
      </c>
      <c r="T303" s="14" t="n">
        <v>6.29</v>
      </c>
      <c r="U303" s="26">
        <f>IF(X303&gt;='Methodology &amp; Assumptions'!$B$7, "Tier 1 Critical GIDA (Score ≥ 50.0)", IF(X303&gt;='Methodology &amp; Assumptions'!$B$8, "Tier 2 High GIDA (Score 40.0–49.9)", "Tier 3 Moderate GIDA (Score &lt; 40.0)"))</f>
        <v/>
      </c>
      <c r="V303" s="26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W303" s="28" t="n">
        <v>0.237</v>
      </c>
      <c r="X303" s="14" t="n">
        <v>55.42</v>
      </c>
      <c r="Y303" s="14">
        <f>ROUND(MIN(100, (X303/69.91)*100), 2)</f>
        <v/>
      </c>
    </row>
    <row r="304">
      <c r="A304" s="10" t="n">
        <v>1</v>
      </c>
      <c r="B304" s="10" t="n">
        <v>300</v>
      </c>
      <c r="C304" s="10" t="n">
        <v>300</v>
      </c>
      <c r="D304" s="10" t="inlineStr">
        <is>
          <t>1108205002</t>
        </is>
      </c>
      <c r="E304" s="26" t="inlineStr">
        <is>
          <t>Region XI (Davao Region)</t>
        </is>
      </c>
      <c r="F304" s="26" t="inlineStr">
        <is>
          <t>Davao de Oro</t>
        </is>
      </c>
      <c r="G304" s="26" t="inlineStr">
        <is>
          <t>Maragusan</t>
        </is>
      </c>
      <c r="H304" s="26" t="inlineStr">
        <is>
          <t>Mapawa</t>
        </is>
      </c>
      <c r="I304" s="27" t="n">
        <v>7.285732</v>
      </c>
      <c r="J304" s="27" t="n">
        <v>126.146683</v>
      </c>
      <c r="K304" s="10" t="inlineStr">
        <is>
          <t>U</t>
        </is>
      </c>
      <c r="L304" s="12" t="n">
        <v>6057</v>
      </c>
      <c r="M304" s="14" t="n">
        <v>3.7</v>
      </c>
      <c r="N304" s="12">
        <f>ROUND(L304/M304, 0)</f>
        <v/>
      </c>
      <c r="O304" s="12">
        <f>ROUND(N304*'Methodology &amp; Assumptions'!$B$5, 0)</f>
        <v/>
      </c>
      <c r="P304" s="10" t="inlineStr">
        <is>
          <t>Single Carrier (Band n50, 100MHz TDD)</t>
        </is>
      </c>
      <c r="Q304" s="13">
        <f>ROUNDUP(O304/'Methodology &amp; Assumptions'!$B$6, 0)</f>
        <v/>
      </c>
      <c r="R304" s="13" t="n">
        <v>1</v>
      </c>
      <c r="S304" s="14" t="n">
        <v>32.09</v>
      </c>
      <c r="T304" s="14" t="n">
        <v>30.14</v>
      </c>
      <c r="U304" s="26">
        <f>IF(X304&gt;='Methodology &amp; Assumptions'!$B$7, "Tier 1 Critical GIDA (Score ≥ 50.0)", IF(X304&gt;='Methodology &amp; Assumptions'!$B$8, "Tier 2 High GIDA (Score 40.0–49.9)", "Tier 3 Moderate GIDA (Score &lt; 40.0)"))</f>
        <v/>
      </c>
      <c r="V304" s="26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W304" s="28" t="n">
        <v>0.174</v>
      </c>
      <c r="X304" s="14" t="n">
        <v>55.42</v>
      </c>
      <c r="Y304" s="14">
        <f>ROUND(MIN(100, (X304/69.91)*100), 2)</f>
        <v/>
      </c>
    </row>
    <row r="305">
      <c r="A305" s="10" t="n">
        <v>1</v>
      </c>
      <c r="B305" s="10" t="n">
        <v>301</v>
      </c>
      <c r="C305" s="10" t="n">
        <v>301</v>
      </c>
      <c r="D305" s="10" t="inlineStr">
        <is>
          <t>0205002021</t>
        </is>
      </c>
      <c r="E305" s="26" t="inlineStr">
        <is>
          <t>Region II (Cagayan Valley)</t>
        </is>
      </c>
      <c r="F305" s="26" t="inlineStr">
        <is>
          <t>Nueva Vizcaya</t>
        </is>
      </c>
      <c r="G305" s="26" t="inlineStr">
        <is>
          <t>Aritao</t>
        </is>
      </c>
      <c r="H305" s="26" t="inlineStr">
        <is>
          <t>Latar-Nocnoc-San Francisco</t>
        </is>
      </c>
      <c r="I305" s="27" t="n">
        <v>16.246113</v>
      </c>
      <c r="J305" s="27" t="n">
        <v>121.033823</v>
      </c>
      <c r="K305" s="10" t="inlineStr">
        <is>
          <t>R</t>
        </is>
      </c>
      <c r="L305" s="12" t="n">
        <v>708</v>
      </c>
      <c r="M305" s="14" t="n">
        <v>3.8</v>
      </c>
      <c r="N305" s="12">
        <f>ROUND(L305/M305, 0)</f>
        <v/>
      </c>
      <c r="O305" s="12">
        <f>ROUND(N305*'Methodology &amp; Assumptions'!$B$5, 0)</f>
        <v/>
      </c>
      <c r="P305" s="10" t="inlineStr">
        <is>
          <t>Single Carrier (Band n50, 100MHz TDD)</t>
        </is>
      </c>
      <c r="Q305" s="13">
        <f>ROUNDUP(O305/'Methodology &amp; Assumptions'!$B$6, 0)</f>
        <v/>
      </c>
      <c r="R305" s="13" t="n">
        <v>1</v>
      </c>
      <c r="S305" s="14" t="n">
        <v>9.84</v>
      </c>
      <c r="T305" s="14" t="n">
        <v>2.91</v>
      </c>
      <c r="U305" s="26">
        <f>IF(X305&gt;='Methodology &amp; Assumptions'!$B$7, "Tier 1 Critical GIDA (Score ≥ 50.0)", IF(X305&gt;='Methodology &amp; Assumptions'!$B$8, "Tier 2 High GIDA (Score 40.0–49.9)", "Tier 3 Moderate GIDA (Score &lt; 40.0)"))</f>
        <v/>
      </c>
      <c r="V305" s="26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W305" s="28" t="n">
        <v>0.083</v>
      </c>
      <c r="X305" s="14" t="n">
        <v>55.41</v>
      </c>
      <c r="Y305" s="14">
        <f>ROUND(MIN(100, (X305/69.91)*100), 2)</f>
        <v/>
      </c>
    </row>
    <row r="306">
      <c r="A306" s="10" t="n">
        <v>1</v>
      </c>
      <c r="B306" s="10" t="n">
        <v>302</v>
      </c>
      <c r="C306" s="10" t="n">
        <v>302</v>
      </c>
      <c r="D306" s="10" t="inlineStr">
        <is>
          <t>0600413015</t>
        </is>
      </c>
      <c r="E306" s="26" t="inlineStr">
        <is>
          <t>Region VI (Western Visayas)</t>
        </is>
      </c>
      <c r="F306" s="26" t="inlineStr">
        <is>
          <t>Aklan</t>
        </is>
      </c>
      <c r="G306" s="26" t="inlineStr">
        <is>
          <t>Malinao</t>
        </is>
      </c>
      <c r="H306" s="26" t="inlineStr">
        <is>
          <t>Poblacion</t>
        </is>
      </c>
      <c r="I306" s="27" t="n">
        <v>11.642979</v>
      </c>
      <c r="J306" s="27" t="n">
        <v>122.309002</v>
      </c>
      <c r="K306" s="10" t="inlineStr">
        <is>
          <t>R</t>
        </is>
      </c>
      <c r="L306" s="12" t="n">
        <v>1665</v>
      </c>
      <c r="M306" s="14" t="n">
        <v>3.9</v>
      </c>
      <c r="N306" s="12">
        <f>ROUND(L306/M306, 0)</f>
        <v/>
      </c>
      <c r="O306" s="12">
        <f>ROUND(N306*'Methodology &amp; Assumptions'!$B$5, 0)</f>
        <v/>
      </c>
      <c r="P306" s="10" t="inlineStr">
        <is>
          <t>Single Carrier (Band n50, 100MHz TDD)</t>
        </is>
      </c>
      <c r="Q306" s="13">
        <f>ROUNDUP(O306/'Methodology &amp; Assumptions'!$B$6, 0)</f>
        <v/>
      </c>
      <c r="R306" s="13" t="n">
        <v>1</v>
      </c>
      <c r="S306" s="14" t="n">
        <v>2.6</v>
      </c>
      <c r="T306" s="14" t="n">
        <v>2.84</v>
      </c>
      <c r="U306" s="26">
        <f>IF(X306&gt;='Methodology &amp; Assumptions'!$B$7, "Tier 1 Critical GIDA (Score ≥ 50.0)", IF(X306&gt;='Methodology &amp; Assumptions'!$B$8, "Tier 2 High GIDA (Score 40.0–49.9)", "Tier 3 Moderate GIDA (Score &lt; 40.0)"))</f>
        <v/>
      </c>
      <c r="V306" s="26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W306" s="28" t="n">
        <v>0.237</v>
      </c>
      <c r="X306" s="14" t="n">
        <v>55.41</v>
      </c>
      <c r="Y306" s="14">
        <f>ROUND(MIN(100, (X306/69.91)*100), 2)</f>
        <v/>
      </c>
    </row>
    <row r="307">
      <c r="A307" s="10" t="n">
        <v>1</v>
      </c>
      <c r="B307" s="10" t="n">
        <v>303</v>
      </c>
      <c r="C307" s="10" t="n">
        <v>303</v>
      </c>
      <c r="D307" s="10" t="inlineStr">
        <is>
          <t>0205703031</t>
        </is>
      </c>
      <c r="E307" s="26" t="inlineStr">
        <is>
          <t>Region II (Cagayan Valley)</t>
        </is>
      </c>
      <c r="F307" s="26" t="inlineStr">
        <is>
          <t>Quirino</t>
        </is>
      </c>
      <c r="G307" s="26" t="inlineStr">
        <is>
          <t>Diffun</t>
        </is>
      </c>
      <c r="H307" s="26" t="inlineStr">
        <is>
          <t>Aklan Village</t>
        </is>
      </c>
      <c r="I307" s="27" t="n">
        <v>16.501922</v>
      </c>
      <c r="J307" s="27" t="n">
        <v>121.460425</v>
      </c>
      <c r="K307" s="10" t="inlineStr">
        <is>
          <t>R</t>
        </is>
      </c>
      <c r="L307" s="12" t="n">
        <v>898</v>
      </c>
      <c r="M307" s="14" t="n">
        <v>3.9</v>
      </c>
      <c r="N307" s="12">
        <f>ROUND(L307/M307, 0)</f>
        <v/>
      </c>
      <c r="O307" s="12">
        <f>ROUND(N307*'Methodology &amp; Assumptions'!$B$5, 0)</f>
        <v/>
      </c>
      <c r="P307" s="10" t="inlineStr">
        <is>
          <t>Single Carrier (Band n50, 100MHz TDD)</t>
        </is>
      </c>
      <c r="Q307" s="13">
        <f>ROUNDUP(O307/'Methodology &amp; Assumptions'!$B$6, 0)</f>
        <v/>
      </c>
      <c r="R307" s="13" t="n">
        <v>1</v>
      </c>
      <c r="S307" s="14" t="n">
        <v>7.37</v>
      </c>
      <c r="T307" s="14" t="n">
        <v>9.470000000000001</v>
      </c>
      <c r="U307" s="26">
        <f>IF(X307&gt;='Methodology &amp; Assumptions'!$B$7, "Tier 1 Critical GIDA (Score ≥ 50.0)", IF(X307&gt;='Methodology &amp; Assumptions'!$B$8, "Tier 2 High GIDA (Score 40.0–49.9)", "Tier 3 Moderate GIDA (Score &lt; 40.0)"))</f>
        <v/>
      </c>
      <c r="V307" s="26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W307" s="28" t="n">
        <v>0.083</v>
      </c>
      <c r="X307" s="14" t="n">
        <v>55.39</v>
      </c>
      <c r="Y307" s="14">
        <f>ROUND(MIN(100, (X307/69.91)*100), 2)</f>
        <v/>
      </c>
    </row>
    <row r="308">
      <c r="A308" s="10" t="n">
        <v>1</v>
      </c>
      <c r="B308" s="10" t="n">
        <v>304</v>
      </c>
      <c r="C308" s="10" t="n">
        <v>304</v>
      </c>
      <c r="D308" s="10" t="inlineStr">
        <is>
          <t>0205015001</t>
        </is>
      </c>
      <c r="E308" s="26" t="inlineStr">
        <is>
          <t>Region II (Cagayan Valley)</t>
        </is>
      </c>
      <c r="F308" s="26" t="inlineStr">
        <is>
          <t>Nueva Vizcaya</t>
        </is>
      </c>
      <c r="G308" s="26" t="inlineStr">
        <is>
          <t>Alfonso Castaneda</t>
        </is>
      </c>
      <c r="H308" s="26" t="inlineStr">
        <is>
          <t>Abuyo</t>
        </is>
      </c>
      <c r="I308" s="27" t="n">
        <v>15.84825</v>
      </c>
      <c r="J308" s="27" t="n">
        <v>121.22989</v>
      </c>
      <c r="K308" s="10" t="inlineStr">
        <is>
          <t>R</t>
        </is>
      </c>
      <c r="L308" s="12" t="n">
        <v>1613</v>
      </c>
      <c r="M308" s="14" t="n">
        <v>3.8</v>
      </c>
      <c r="N308" s="12">
        <f>ROUND(L308/M308, 0)</f>
        <v/>
      </c>
      <c r="O308" s="12">
        <f>ROUND(N308*'Methodology &amp; Assumptions'!$B$5, 0)</f>
        <v/>
      </c>
      <c r="P308" s="10" t="inlineStr">
        <is>
          <t>Single Carrier (Band n50, 100MHz TDD)</t>
        </is>
      </c>
      <c r="Q308" s="13">
        <f>ROUNDUP(O308/'Methodology &amp; Assumptions'!$B$6, 0)</f>
        <v/>
      </c>
      <c r="R308" s="13" t="n">
        <v>1</v>
      </c>
      <c r="S308" s="14" t="n">
        <v>10.27</v>
      </c>
      <c r="T308" s="14" t="n">
        <v>6.22</v>
      </c>
      <c r="U308" s="26">
        <f>IF(X308&gt;='Methodology &amp; Assumptions'!$B$7, "Tier 1 Critical GIDA (Score ≥ 50.0)", IF(X308&gt;='Methodology &amp; Assumptions'!$B$8, "Tier 2 High GIDA (Score 40.0–49.9)", "Tier 3 Moderate GIDA (Score &lt; 40.0)"))</f>
        <v/>
      </c>
      <c r="V308" s="26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W308" s="28" t="n">
        <v>0.083</v>
      </c>
      <c r="X308" s="14" t="n">
        <v>55.34</v>
      </c>
      <c r="Y308" s="14">
        <f>ROUND(MIN(100, (X308/69.91)*100), 2)</f>
        <v/>
      </c>
    </row>
    <row r="309">
      <c r="A309" s="10" t="n">
        <v>1</v>
      </c>
      <c r="B309" s="10" t="n">
        <v>305</v>
      </c>
      <c r="C309" s="10" t="n">
        <v>305</v>
      </c>
      <c r="D309" s="10" t="inlineStr">
        <is>
          <t>PH0000305</t>
        </is>
      </c>
      <c r="E309" s="26" t="inlineStr">
        <is>
          <t>VI</t>
        </is>
      </c>
      <c r="F309" s="26" t="inlineStr">
        <is>
          <t>Iloilo</t>
        </is>
      </c>
      <c r="G309" s="26" t="inlineStr">
        <is>
          <t>Iloilo City</t>
        </is>
      </c>
      <c r="H309" s="26" t="inlineStr">
        <is>
          <t>San Pedro</t>
        </is>
      </c>
      <c r="I309" s="27" t="n">
        <v>10.69871</v>
      </c>
      <c r="J309" s="27" t="n">
        <v>122.548032</v>
      </c>
      <c r="K309" s="10" t="inlineStr">
        <is>
          <t>R</t>
        </is>
      </c>
      <c r="L309" s="12" t="n">
        <v>2230</v>
      </c>
      <c r="M309" s="14" t="n">
        <v>3.8</v>
      </c>
      <c r="N309" s="12">
        <f>ROUND(L309/M309, 0)</f>
        <v/>
      </c>
      <c r="O309" s="12">
        <f>ROUND(N309*'Methodology &amp; Assumptions'!$B$5, 0)</f>
        <v/>
      </c>
      <c r="P309" s="10" t="inlineStr">
        <is>
          <t>Single Carrier (Band n50, 100MHz TDD)</t>
        </is>
      </c>
      <c r="Q309" s="13">
        <f>ROUNDUP(O309/'Methodology &amp; Assumptions'!$B$6, 0)</f>
        <v/>
      </c>
      <c r="R309" s="13" t="n">
        <v>1</v>
      </c>
      <c r="S309" s="14" t="n">
        <v>1.06</v>
      </c>
      <c r="T309" s="14" t="n">
        <v>2.26</v>
      </c>
      <c r="U309" s="26">
        <f>IF(X309&gt;='Methodology &amp; Assumptions'!$B$7, "Tier 1 Critical GIDA (Score ≥ 50.0)", IF(X309&gt;='Methodology &amp; Assumptions'!$B$8, "Tier 2 High GIDA (Score 40.0–49.9)", "Tier 3 Moderate GIDA (Score &lt; 40.0)"))</f>
        <v/>
      </c>
      <c r="V309" s="26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W309" s="28" t="n">
        <v>0.156</v>
      </c>
      <c r="X309" s="14" t="n">
        <v>55.33</v>
      </c>
      <c r="Y309" s="14">
        <f>ROUND(MIN(100, (X309/69.91)*100), 2)</f>
        <v/>
      </c>
    </row>
    <row r="310">
      <c r="A310" s="10" t="n">
        <v>1</v>
      </c>
      <c r="B310" s="10" t="n">
        <v>306</v>
      </c>
      <c r="C310" s="10" t="n">
        <v>306</v>
      </c>
      <c r="D310" s="10" t="inlineStr">
        <is>
          <t>PH0000306</t>
        </is>
      </c>
      <c r="E310" s="26" t="inlineStr">
        <is>
          <t>VI</t>
        </is>
      </c>
      <c r="F310" s="26" t="inlineStr">
        <is>
          <t>Iloilo</t>
        </is>
      </c>
      <c r="G310" s="26" t="inlineStr">
        <is>
          <t>Iloilo City</t>
        </is>
      </c>
      <c r="H310" s="26" t="inlineStr">
        <is>
          <t>East Baluarte</t>
        </is>
      </c>
      <c r="I310" s="27" t="n">
        <v>10.692549</v>
      </c>
      <c r="J310" s="27" t="n">
        <v>122.548057</v>
      </c>
      <c r="K310" s="10" t="inlineStr">
        <is>
          <t>R</t>
        </is>
      </c>
      <c r="L310" s="12" t="n">
        <v>2230</v>
      </c>
      <c r="M310" s="14" t="n">
        <v>3.8</v>
      </c>
      <c r="N310" s="12">
        <f>ROUND(L310/M310, 0)</f>
        <v/>
      </c>
      <c r="O310" s="12">
        <f>ROUND(N310*'Methodology &amp; Assumptions'!$B$5, 0)</f>
        <v/>
      </c>
      <c r="P310" s="10" t="inlineStr">
        <is>
          <t>Single Carrier (Band n50, 100MHz TDD)</t>
        </is>
      </c>
      <c r="Q310" s="13">
        <f>ROUNDUP(O310/'Methodology &amp; Assumptions'!$B$6, 0)</f>
        <v/>
      </c>
      <c r="R310" s="13" t="n">
        <v>1</v>
      </c>
      <c r="S310" s="14" t="n">
        <v>0.62</v>
      </c>
      <c r="T310" s="14" t="n">
        <v>2.46</v>
      </c>
      <c r="U310" s="26">
        <f>IF(X310&gt;='Methodology &amp; Assumptions'!$B$7, "Tier 1 Critical GIDA (Score ≥ 50.0)", IF(X310&gt;='Methodology &amp; Assumptions'!$B$8, "Tier 2 High GIDA (Score 40.0–49.9)", "Tier 3 Moderate GIDA (Score &lt; 40.0)"))</f>
        <v/>
      </c>
      <c r="V310" s="26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W310" s="28" t="n">
        <v>0.156</v>
      </c>
      <c r="X310" s="14" t="n">
        <v>55.32</v>
      </c>
      <c r="Y310" s="14">
        <f>ROUND(MIN(100, (X310/69.91)*100), 2)</f>
        <v/>
      </c>
    </row>
    <row r="311">
      <c r="A311" s="10" t="n">
        <v>1</v>
      </c>
      <c r="B311" s="10" t="n">
        <v>307</v>
      </c>
      <c r="C311" s="10" t="n">
        <v>307</v>
      </c>
      <c r="D311" s="10" t="inlineStr">
        <is>
          <t>PH0000307</t>
        </is>
      </c>
      <c r="E311" s="26" t="inlineStr">
        <is>
          <t>VI</t>
        </is>
      </c>
      <c r="F311" s="26" t="inlineStr">
        <is>
          <t>Iloilo</t>
        </is>
      </c>
      <c r="G311" s="26" t="inlineStr">
        <is>
          <t>Iloilo City</t>
        </is>
      </c>
      <c r="H311" s="26" t="inlineStr">
        <is>
          <t>Taytay Zone II</t>
        </is>
      </c>
      <c r="I311" s="27" t="n">
        <v>10.678222</v>
      </c>
      <c r="J311" s="27" t="n">
        <v>122.60957</v>
      </c>
      <c r="K311" s="10" t="inlineStr">
        <is>
          <t>R</t>
        </is>
      </c>
      <c r="L311" s="12" t="n">
        <v>2230</v>
      </c>
      <c r="M311" s="14" t="n">
        <v>3.8</v>
      </c>
      <c r="N311" s="12">
        <f>ROUND(L311/M311, 0)</f>
        <v/>
      </c>
      <c r="O311" s="12">
        <f>ROUND(N311*'Methodology &amp; Assumptions'!$B$5, 0)</f>
        <v/>
      </c>
      <c r="P311" s="10" t="inlineStr">
        <is>
          <t>Single Carrier (Band n50, 100MHz TDD)</t>
        </is>
      </c>
      <c r="Q311" s="13">
        <f>ROUNDUP(O311/'Methodology &amp; Assumptions'!$B$6, 0)</f>
        <v/>
      </c>
      <c r="R311" s="13" t="n">
        <v>1</v>
      </c>
      <c r="S311" s="14" t="n">
        <v>6.03</v>
      </c>
      <c r="T311" s="14" t="n">
        <v>4.96</v>
      </c>
      <c r="U311" s="26">
        <f>IF(X311&gt;='Methodology &amp; Assumptions'!$B$7, "Tier 1 Critical GIDA (Score ≥ 50.0)", IF(X311&gt;='Methodology &amp; Assumptions'!$B$8, "Tier 2 High GIDA (Score 40.0–49.9)", "Tier 3 Moderate GIDA (Score &lt; 40.0)"))</f>
        <v/>
      </c>
      <c r="V311" s="26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W311" s="28" t="n">
        <v>0.156</v>
      </c>
      <c r="X311" s="14" t="n">
        <v>55.3</v>
      </c>
      <c r="Y311" s="14">
        <f>ROUND(MIN(100, (X311/69.91)*100), 2)</f>
        <v/>
      </c>
    </row>
    <row r="312">
      <c r="A312" s="10" t="n">
        <v>1</v>
      </c>
      <c r="B312" s="10" t="n">
        <v>308</v>
      </c>
      <c r="C312" s="10" t="n">
        <v>308</v>
      </c>
      <c r="D312" s="10" t="inlineStr">
        <is>
          <t>PH0000308</t>
        </is>
      </c>
      <c r="E312" s="26" t="inlineStr">
        <is>
          <t>VI</t>
        </is>
      </c>
      <c r="F312" s="26" t="inlineStr">
        <is>
          <t>Iloilo</t>
        </is>
      </c>
      <c r="G312" s="26" t="inlineStr">
        <is>
          <t>Iloilo City</t>
        </is>
      </c>
      <c r="H312" s="26" t="inlineStr">
        <is>
          <t>Lapuz Sur</t>
        </is>
      </c>
      <c r="I312" s="27" t="n">
        <v>10.697321</v>
      </c>
      <c r="J312" s="27" t="n">
        <v>122.480011</v>
      </c>
      <c r="K312" s="10" t="inlineStr">
        <is>
          <t>R</t>
        </is>
      </c>
      <c r="L312" s="12" t="n">
        <v>2230</v>
      </c>
      <c r="M312" s="14" t="n">
        <v>3.8</v>
      </c>
      <c r="N312" s="12">
        <f>ROUND(L312/M312, 0)</f>
        <v/>
      </c>
      <c r="O312" s="12">
        <f>ROUND(N312*'Methodology &amp; Assumptions'!$B$5, 0)</f>
        <v/>
      </c>
      <c r="P312" s="10" t="inlineStr">
        <is>
          <t>Single Carrier (Band n50, 100MHz TDD)</t>
        </is>
      </c>
      <c r="Q312" s="13">
        <f>ROUNDUP(O312/'Methodology &amp; Assumptions'!$B$6, 0)</f>
        <v/>
      </c>
      <c r="R312" s="13" t="n">
        <v>1</v>
      </c>
      <c r="S312" s="14" t="n">
        <v>0.48</v>
      </c>
      <c r="T312" s="14" t="n">
        <v>0.46</v>
      </c>
      <c r="U312" s="26">
        <f>IF(X312&gt;='Methodology &amp; Assumptions'!$B$7, "Tier 1 Critical GIDA (Score ≥ 50.0)", IF(X312&gt;='Methodology &amp; Assumptions'!$B$8, "Tier 2 High GIDA (Score 40.0–49.9)", "Tier 3 Moderate GIDA (Score &lt; 40.0)"))</f>
        <v/>
      </c>
      <c r="V312" s="26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W312" s="28" t="n">
        <v>0.156</v>
      </c>
      <c r="X312" s="14" t="n">
        <v>55.28</v>
      </c>
      <c r="Y312" s="14">
        <f>ROUND(MIN(100, (X312/69.91)*100), 2)</f>
        <v/>
      </c>
    </row>
    <row r="313">
      <c r="A313" s="10" t="n">
        <v>1</v>
      </c>
      <c r="B313" s="10" t="n">
        <v>309</v>
      </c>
      <c r="C313" s="10" t="n">
        <v>309</v>
      </c>
      <c r="D313" s="10" t="inlineStr">
        <is>
          <t>PH0000309</t>
        </is>
      </c>
      <c r="E313" s="26" t="inlineStr">
        <is>
          <t>VI</t>
        </is>
      </c>
      <c r="F313" s="26" t="inlineStr">
        <is>
          <t>Iloilo</t>
        </is>
      </c>
      <c r="G313" s="26" t="inlineStr">
        <is>
          <t>Iloilo City</t>
        </is>
      </c>
      <c r="H313" s="26" t="inlineStr">
        <is>
          <t>Magdalo</t>
        </is>
      </c>
      <c r="I313" s="27" t="n">
        <v>10.770641</v>
      </c>
      <c r="J313" s="27" t="n">
        <v>122.590792</v>
      </c>
      <c r="K313" s="10" t="inlineStr">
        <is>
          <t>R</t>
        </is>
      </c>
      <c r="L313" s="12" t="n">
        <v>2230</v>
      </c>
      <c r="M313" s="14" t="n">
        <v>3.8</v>
      </c>
      <c r="N313" s="12">
        <f>ROUND(L313/M313, 0)</f>
        <v/>
      </c>
      <c r="O313" s="12">
        <f>ROUND(N313*'Methodology &amp; Assumptions'!$B$5, 0)</f>
        <v/>
      </c>
      <c r="P313" s="10" t="inlineStr">
        <is>
          <t>Single Carrier (Band n50, 100MHz TDD)</t>
        </is>
      </c>
      <c r="Q313" s="13">
        <f>ROUNDUP(O313/'Methodology &amp; Assumptions'!$B$6, 0)</f>
        <v/>
      </c>
      <c r="R313" s="13" t="n">
        <v>1</v>
      </c>
      <c r="S313" s="14" t="n">
        <v>1.75</v>
      </c>
      <c r="T313" s="14" t="n">
        <v>0.77</v>
      </c>
      <c r="U313" s="26">
        <f>IF(X313&gt;='Methodology &amp; Assumptions'!$B$7, "Tier 1 Critical GIDA (Score ≥ 50.0)", IF(X313&gt;='Methodology &amp; Assumptions'!$B$8, "Tier 2 High GIDA (Score 40.0–49.9)", "Tier 3 Moderate GIDA (Score &lt; 40.0)"))</f>
        <v/>
      </c>
      <c r="V313" s="26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W313" s="28" t="n">
        <v>0.156</v>
      </c>
      <c r="X313" s="14" t="n">
        <v>55.28</v>
      </c>
      <c r="Y313" s="14">
        <f>ROUND(MIN(100, (X313/69.91)*100), 2)</f>
        <v/>
      </c>
    </row>
    <row r="314">
      <c r="A314" s="10" t="n">
        <v>1</v>
      </c>
      <c r="B314" s="10" t="n">
        <v>310</v>
      </c>
      <c r="C314" s="10" t="n">
        <v>310</v>
      </c>
      <c r="D314" s="10" t="inlineStr">
        <is>
          <t>0806010003</t>
        </is>
      </c>
      <c r="E314" s="26" t="inlineStr">
        <is>
          <t>Region VIII (Eastern Visayas)</t>
        </is>
      </c>
      <c r="F314" s="26" t="inlineStr">
        <is>
          <t>Samar</t>
        </is>
      </c>
      <c r="G314" s="26" t="inlineStr">
        <is>
          <t>Marabut</t>
        </is>
      </c>
      <c r="H314" s="26" t="inlineStr">
        <is>
          <t>Canyoyo</t>
        </is>
      </c>
      <c r="I314" s="27" t="n">
        <v>11.171323</v>
      </c>
      <c r="J314" s="27" t="n">
        <v>125.19628</v>
      </c>
      <c r="K314" s="10" t="inlineStr">
        <is>
          <t>R</t>
        </is>
      </c>
      <c r="L314" s="12" t="n">
        <v>612</v>
      </c>
      <c r="M314" s="14" t="n">
        <v>4.1</v>
      </c>
      <c r="N314" s="12">
        <f>ROUND(L314/M314, 0)</f>
        <v/>
      </c>
      <c r="O314" s="12">
        <f>ROUND(N314*'Methodology &amp; Assumptions'!$B$5, 0)</f>
        <v/>
      </c>
      <c r="P314" s="10" t="inlineStr">
        <is>
          <t>Single Carrier (Band n50, 100MHz TDD)</t>
        </is>
      </c>
      <c r="Q314" s="13">
        <f>ROUNDUP(O314/'Methodology &amp; Assumptions'!$B$6, 0)</f>
        <v/>
      </c>
      <c r="R314" s="13" t="n">
        <v>1</v>
      </c>
      <c r="S314" s="14" t="n">
        <v>20.59</v>
      </c>
      <c r="T314" s="14" t="n">
        <v>19.56</v>
      </c>
      <c r="U314" s="26">
        <f>IF(X314&gt;='Methodology &amp; Assumptions'!$B$7, "Tier 1 Critical GIDA (Score ≥ 50.0)", IF(X314&gt;='Methodology &amp; Assumptions'!$B$8, "Tier 2 High GIDA (Score 40.0–49.9)", "Tier 3 Moderate GIDA (Score &lt; 40.0)"))</f>
        <v/>
      </c>
      <c r="V314" s="26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W314" s="28" t="n">
        <v>0.237</v>
      </c>
      <c r="X314" s="14" t="n">
        <v>55.27</v>
      </c>
      <c r="Y314" s="14">
        <f>ROUND(MIN(100, (X314/69.91)*100), 2)</f>
        <v/>
      </c>
    </row>
    <row r="315">
      <c r="A315" s="10" t="n">
        <v>1</v>
      </c>
      <c r="B315" s="10" t="n">
        <v>311</v>
      </c>
      <c r="C315" s="10" t="n">
        <v>311</v>
      </c>
      <c r="D315" s="10" t="inlineStr">
        <is>
          <t>PH0000311</t>
        </is>
      </c>
      <c r="E315" s="26" t="inlineStr">
        <is>
          <t>II</t>
        </is>
      </c>
      <c r="F315" s="26" t="inlineStr">
        <is>
          <t>Nueva Vizcaya</t>
        </is>
      </c>
      <c r="G315" s="26" t="inlineStr">
        <is>
          <t>Kayapa</t>
        </is>
      </c>
      <c r="H315" s="26" t="inlineStr">
        <is>
          <t>Tubongan</t>
        </is>
      </c>
      <c r="I315" s="27" t="n">
        <v>16.362</v>
      </c>
      <c r="J315" s="27" t="n">
        <v>120.87785</v>
      </c>
      <c r="K315" s="10" t="inlineStr">
        <is>
          <t>R</t>
        </is>
      </c>
      <c r="L315" s="12" t="n">
        <v>988</v>
      </c>
      <c r="M315" s="14" t="n">
        <v>3.8</v>
      </c>
      <c r="N315" s="12">
        <f>ROUND(L315/M315, 0)</f>
        <v/>
      </c>
      <c r="O315" s="12">
        <f>ROUND(N315*'Methodology &amp; Assumptions'!$B$5, 0)</f>
        <v/>
      </c>
      <c r="P315" s="10" t="inlineStr">
        <is>
          <t>Single Carrier (Band n50, 100MHz TDD)</t>
        </is>
      </c>
      <c r="Q315" s="13">
        <f>ROUNDUP(O315/'Methodology &amp; Assumptions'!$B$6, 0)</f>
        <v/>
      </c>
      <c r="R315" s="13" t="n">
        <v>1</v>
      </c>
      <c r="S315" s="14" t="n">
        <v>1.44</v>
      </c>
      <c r="T315" s="14" t="n">
        <v>0.34</v>
      </c>
      <c r="U315" s="26">
        <f>IF(X315&gt;='Methodology &amp; Assumptions'!$B$7, "Tier 1 Critical GIDA (Score ≥ 50.0)", IF(X315&gt;='Methodology &amp; Assumptions'!$B$8, "Tier 2 High GIDA (Score 40.0–49.9)", "Tier 3 Moderate GIDA (Score &lt; 40.0)"))</f>
        <v/>
      </c>
      <c r="V315" s="26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W315" s="28" t="n">
        <v>0.083</v>
      </c>
      <c r="X315" s="14" t="n">
        <v>55.27</v>
      </c>
      <c r="Y315" s="14">
        <f>ROUND(MIN(100, (X315/69.91)*100), 2)</f>
        <v/>
      </c>
    </row>
    <row r="316">
      <c r="A316" s="10" t="n">
        <v>1</v>
      </c>
      <c r="B316" s="10" t="n">
        <v>312</v>
      </c>
      <c r="C316" s="10" t="n">
        <v>312</v>
      </c>
      <c r="D316" s="10" t="inlineStr">
        <is>
          <t>0205002016</t>
        </is>
      </c>
      <c r="E316" s="26" t="inlineStr">
        <is>
          <t>Region II (Cagayan Valley)</t>
        </is>
      </c>
      <c r="F316" s="26" t="inlineStr">
        <is>
          <t>Nueva Vizcaya</t>
        </is>
      </c>
      <c r="G316" s="26" t="inlineStr">
        <is>
          <t>Aritao</t>
        </is>
      </c>
      <c r="H316" s="26" t="inlineStr">
        <is>
          <t>Anayo</t>
        </is>
      </c>
      <c r="I316" s="27" t="n">
        <v>16.19595</v>
      </c>
      <c r="J316" s="27" t="n">
        <v>121.07456</v>
      </c>
      <c r="K316" s="10" t="inlineStr">
        <is>
          <t>R</t>
        </is>
      </c>
      <c r="L316" s="12" t="n">
        <v>507</v>
      </c>
      <c r="M316" s="14" t="n">
        <v>3.8</v>
      </c>
      <c r="N316" s="12">
        <f>ROUND(L316/M316, 0)</f>
        <v/>
      </c>
      <c r="O316" s="12">
        <f>ROUND(N316*'Methodology &amp; Assumptions'!$B$5, 0)</f>
        <v/>
      </c>
      <c r="P316" s="10" t="inlineStr">
        <is>
          <t>Single Carrier (Band n50, 100MHz TDD)</t>
        </is>
      </c>
      <c r="Q316" s="13">
        <f>ROUNDUP(O316/'Methodology &amp; Assumptions'!$B$6, 0)</f>
        <v/>
      </c>
      <c r="R316" s="13" t="n">
        <v>1</v>
      </c>
      <c r="S316" s="14" t="n">
        <v>11.8</v>
      </c>
      <c r="T316" s="14" t="n">
        <v>9.630000000000001</v>
      </c>
      <c r="U316" s="26">
        <f>IF(X316&gt;='Methodology &amp; Assumptions'!$B$7, "Tier 1 Critical GIDA (Score ≥ 50.0)", IF(X316&gt;='Methodology &amp; Assumptions'!$B$8, "Tier 2 High GIDA (Score 40.0–49.9)", "Tier 3 Moderate GIDA (Score &lt; 40.0)"))</f>
        <v/>
      </c>
      <c r="V316" s="26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W316" s="28" t="n">
        <v>0.083</v>
      </c>
      <c r="X316" s="14" t="n">
        <v>55.26</v>
      </c>
      <c r="Y316" s="14">
        <f>ROUND(MIN(100, (X316/69.91)*100), 2)</f>
        <v/>
      </c>
    </row>
    <row r="317">
      <c r="A317" s="10" t="n">
        <v>1</v>
      </c>
      <c r="B317" s="10" t="n">
        <v>313</v>
      </c>
      <c r="C317" s="10" t="n">
        <v>313</v>
      </c>
      <c r="D317" s="10" t="inlineStr">
        <is>
          <t>1404403002</t>
        </is>
      </c>
      <c r="E317" s="26" t="inlineStr">
        <is>
          <t>Cordillera Administrative Region (CAR)</t>
        </is>
      </c>
      <c r="F317" s="26" t="inlineStr">
        <is>
          <t>Mountain Province</t>
        </is>
      </c>
      <c r="G317" s="26" t="inlineStr">
        <is>
          <t>Besao</t>
        </is>
      </c>
      <c r="H317" s="26" t="inlineStr">
        <is>
          <t>Ambaguio</t>
        </is>
      </c>
      <c r="I317" s="27" t="n">
        <v>17.119982</v>
      </c>
      <c r="J317" s="27" t="n">
        <v>120.845257</v>
      </c>
      <c r="K317" s="10" t="inlineStr">
        <is>
          <t>R</t>
        </is>
      </c>
      <c r="L317" s="12" t="n">
        <v>176</v>
      </c>
      <c r="M317" s="14" t="n">
        <v>3.7</v>
      </c>
      <c r="N317" s="12">
        <f>ROUND(L317/M317, 0)</f>
        <v/>
      </c>
      <c r="O317" s="12">
        <f>ROUND(N317*'Methodology &amp; Assumptions'!$B$5, 0)</f>
        <v/>
      </c>
      <c r="P317" s="10" t="inlineStr">
        <is>
          <t>Single Carrier (Band n50, 100MHz TDD)</t>
        </is>
      </c>
      <c r="Q317" s="13">
        <f>ROUNDUP(O317/'Methodology &amp; Assumptions'!$B$6, 0)</f>
        <v/>
      </c>
      <c r="R317" s="13" t="n">
        <v>1</v>
      </c>
      <c r="S317" s="14" t="n">
        <v>7.1</v>
      </c>
      <c r="T317" s="14" t="n">
        <v>7.09</v>
      </c>
      <c r="U317" s="26">
        <f>IF(X317&gt;='Methodology &amp; Assumptions'!$B$7, "Tier 1 Critical GIDA (Score ≥ 50.0)", IF(X317&gt;='Methodology &amp; Assumptions'!$B$8, "Tier 2 High GIDA (Score 40.0–49.9)", "Tier 3 Moderate GIDA (Score &lt; 40.0)"))</f>
        <v/>
      </c>
      <c r="V317" s="26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W317" s="28" t="n">
        <v>0.109</v>
      </c>
      <c r="X317" s="14" t="n">
        <v>55.24</v>
      </c>
      <c r="Y317" s="14">
        <f>ROUND(MIN(100, (X317/69.91)*100), 2)</f>
        <v/>
      </c>
    </row>
    <row r="318">
      <c r="A318" s="10" t="n">
        <v>1</v>
      </c>
      <c r="B318" s="10" t="n">
        <v>314</v>
      </c>
      <c r="C318" s="10" t="n">
        <v>314</v>
      </c>
      <c r="D318" s="10" t="inlineStr">
        <is>
          <t>0806010021</t>
        </is>
      </c>
      <c r="E318" s="26" t="inlineStr">
        <is>
          <t>Region VIII (Eastern Visayas)</t>
        </is>
      </c>
      <c r="F318" s="26" t="inlineStr">
        <is>
          <t>Samar</t>
        </is>
      </c>
      <c r="G318" s="26" t="inlineStr">
        <is>
          <t>Marabut</t>
        </is>
      </c>
      <c r="H318" s="26" t="inlineStr">
        <is>
          <t>Panan-awan</t>
        </is>
      </c>
      <c r="I318" s="27" t="n">
        <v>11.165898</v>
      </c>
      <c r="J318" s="27" t="n">
        <v>125.204825</v>
      </c>
      <c r="K318" s="10" t="inlineStr">
        <is>
          <t>R</t>
        </is>
      </c>
      <c r="L318" s="12" t="n">
        <v>385</v>
      </c>
      <c r="M318" s="14" t="n">
        <v>4.1</v>
      </c>
      <c r="N318" s="12">
        <f>ROUND(L318/M318, 0)</f>
        <v/>
      </c>
      <c r="O318" s="12">
        <f>ROUND(N318*'Methodology &amp; Assumptions'!$B$5, 0)</f>
        <v/>
      </c>
      <c r="P318" s="10" t="inlineStr">
        <is>
          <t>Single Carrier (Band n50, 100MHz TDD)</t>
        </is>
      </c>
      <c r="Q318" s="13">
        <f>ROUNDUP(O318/'Methodology &amp; Assumptions'!$B$6, 0)</f>
        <v/>
      </c>
      <c r="R318" s="13" t="n">
        <v>1</v>
      </c>
      <c r="S318" s="14" t="n">
        <v>21.27</v>
      </c>
      <c r="T318" s="14" t="n">
        <v>20.58</v>
      </c>
      <c r="U318" s="26">
        <f>IF(X318&gt;='Methodology &amp; Assumptions'!$B$7, "Tier 1 Critical GIDA (Score ≥ 50.0)", IF(X318&gt;='Methodology &amp; Assumptions'!$B$8, "Tier 2 High GIDA (Score 40.0–49.9)", "Tier 3 Moderate GIDA (Score &lt; 40.0)"))</f>
        <v/>
      </c>
      <c r="V318" s="26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W318" s="28" t="n">
        <v>0.237</v>
      </c>
      <c r="X318" s="14" t="n">
        <v>55.22</v>
      </c>
      <c r="Y318" s="14">
        <f>ROUND(MIN(100, (X318/69.91)*100), 2)</f>
        <v/>
      </c>
    </row>
    <row r="319">
      <c r="A319" s="10" t="n">
        <v>1</v>
      </c>
      <c r="B319" s="10" t="n">
        <v>315</v>
      </c>
      <c r="C319" s="10" t="n">
        <v>315</v>
      </c>
      <c r="D319" s="10" t="inlineStr">
        <is>
          <t>PH0000315</t>
        </is>
      </c>
      <c r="E319" s="26" t="inlineStr">
        <is>
          <t>IV-A</t>
        </is>
      </c>
      <c r="F319" s="26" t="inlineStr">
        <is>
          <t>Batangas</t>
        </is>
      </c>
      <c r="G319" s="26" t="inlineStr">
        <is>
          <t>Lipa City</t>
        </is>
      </c>
      <c r="H319" s="26" t="inlineStr">
        <is>
          <t>Poblacion Barangay 11</t>
        </is>
      </c>
      <c r="I319" s="27" t="n">
        <v>13.929979</v>
      </c>
      <c r="J319" s="27" t="n">
        <v>121.160768</v>
      </c>
      <c r="K319" s="10" t="inlineStr">
        <is>
          <t>R</t>
        </is>
      </c>
      <c r="L319" s="12" t="n">
        <v>2259</v>
      </c>
      <c r="M319" s="14" t="n">
        <v>3.6</v>
      </c>
      <c r="N319" s="12">
        <f>ROUND(L319/M319, 0)</f>
        <v/>
      </c>
      <c r="O319" s="12">
        <f>ROUND(N319*'Methodology &amp; Assumptions'!$B$5, 0)</f>
        <v/>
      </c>
      <c r="P319" s="10" t="inlineStr">
        <is>
          <t>Single Carrier (Band n50, 100MHz TDD)</t>
        </is>
      </c>
      <c r="Q319" s="13">
        <f>ROUNDUP(O319/'Methodology &amp; Assumptions'!$B$6, 0)</f>
        <v/>
      </c>
      <c r="R319" s="13" t="n">
        <v>1</v>
      </c>
      <c r="S319" s="14" t="n">
        <v>1.7</v>
      </c>
      <c r="T319" s="14" t="n">
        <v>0.77</v>
      </c>
      <c r="U319" s="26">
        <f>IF(X319&gt;='Methodology &amp; Assumptions'!$B$7, "Tier 1 Critical GIDA (Score ≥ 50.0)", IF(X319&gt;='Methodology &amp; Assumptions'!$B$8, "Tier 2 High GIDA (Score 40.0–49.9)", "Tier 3 Moderate GIDA (Score &lt; 40.0)"))</f>
        <v/>
      </c>
      <c r="V319" s="26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W319" s="28" t="n">
        <v>0.07200000000000001</v>
      </c>
      <c r="X319" s="14" t="n">
        <v>55.21</v>
      </c>
      <c r="Y319" s="14">
        <f>ROUND(MIN(100, (X319/69.91)*100), 2)</f>
        <v/>
      </c>
    </row>
    <row r="320">
      <c r="A320" s="10" t="n">
        <v>1</v>
      </c>
      <c r="B320" s="10" t="n">
        <v>316</v>
      </c>
      <c r="C320" s="10" t="n">
        <v>316</v>
      </c>
      <c r="D320" s="10" t="inlineStr">
        <is>
          <t>1381600012</t>
        </is>
      </c>
      <c r="E320" s="26" t="inlineStr">
        <is>
          <t>National Capital Region (NCR)</t>
        </is>
      </c>
      <c r="F320" s="26" t="inlineStr">
        <is>
          <t>Third District (Not a Province)</t>
        </is>
      </c>
      <c r="G320" s="26" t="inlineStr">
        <is>
          <t>City of Valenzuela</t>
        </is>
      </c>
      <c r="H320" s="26" t="inlineStr">
        <is>
          <t>Isla</t>
        </is>
      </c>
      <c r="I320" s="27" t="n">
        <v>14.706291</v>
      </c>
      <c r="J320" s="27" t="n">
        <v>120.950378</v>
      </c>
      <c r="K320" s="10" t="inlineStr">
        <is>
          <t>U</t>
        </is>
      </c>
      <c r="L320" s="12" t="n">
        <v>5234</v>
      </c>
      <c r="M320" s="14" t="n">
        <v>3.5</v>
      </c>
      <c r="N320" s="12">
        <f>ROUND(L320/M320, 0)</f>
        <v/>
      </c>
      <c r="O320" s="12">
        <f>ROUND(N320*'Methodology &amp; Assumptions'!$B$5, 0)</f>
        <v/>
      </c>
      <c r="P320" s="10" t="inlineStr">
        <is>
          <t>Single Carrier (Band n50, 100MHz TDD)</t>
        </is>
      </c>
      <c r="Q320" s="13">
        <f>ROUNDUP(O320/'Methodology &amp; Assumptions'!$B$6, 0)</f>
        <v/>
      </c>
      <c r="R320" s="13" t="n">
        <v>1</v>
      </c>
      <c r="S320" s="14" t="n">
        <v>1.05</v>
      </c>
      <c r="T320" s="14" t="n">
        <v>1.07</v>
      </c>
      <c r="U320" s="26">
        <f>IF(X320&gt;='Methodology &amp; Assumptions'!$B$7, "Tier 1 Critical GIDA (Score ≥ 50.0)", IF(X320&gt;='Methodology &amp; Assumptions'!$B$8, "Tier 2 High GIDA (Score 40.0–49.9)", "Tier 3 Moderate GIDA (Score &lt; 40.0)"))</f>
        <v/>
      </c>
      <c r="V320" s="26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W320" s="28" t="n">
        <v>0.109</v>
      </c>
      <c r="X320" s="14" t="n">
        <v>55.19</v>
      </c>
      <c r="Y320" s="14">
        <f>ROUND(MIN(100, (X320/69.91)*100), 2)</f>
        <v/>
      </c>
    </row>
    <row r="321">
      <c r="A321" s="10" t="n">
        <v>1</v>
      </c>
      <c r="B321" s="10" t="n">
        <v>317</v>
      </c>
      <c r="C321" s="10" t="n">
        <v>317</v>
      </c>
      <c r="D321" s="10" t="inlineStr">
        <is>
          <t>0600406014</t>
        </is>
      </c>
      <c r="E321" s="26" t="inlineStr">
        <is>
          <t>Region VI (Western Visayas)</t>
        </is>
      </c>
      <c r="F321" s="26" t="inlineStr">
        <is>
          <t>Aklan</t>
        </is>
      </c>
      <c r="G321" s="26" t="inlineStr">
        <is>
          <t>Ibajay</t>
        </is>
      </c>
      <c r="H321" s="26" t="inlineStr">
        <is>
          <t>Laguinbanua</t>
        </is>
      </c>
      <c r="I321" s="27" t="n">
        <v>11.708104</v>
      </c>
      <c r="J321" s="27" t="n">
        <v>122.348106</v>
      </c>
      <c r="K321" s="10" t="inlineStr">
        <is>
          <t>R</t>
        </is>
      </c>
      <c r="L321" s="12" t="n">
        <v>3333</v>
      </c>
      <c r="M321" s="14" t="n">
        <v>3.9</v>
      </c>
      <c r="N321" s="12">
        <f>ROUND(L321/M321, 0)</f>
        <v/>
      </c>
      <c r="O321" s="12">
        <f>ROUND(N321*'Methodology &amp; Assumptions'!$B$5, 0)</f>
        <v/>
      </c>
      <c r="P321" s="10" t="inlineStr">
        <is>
          <t>Single Carrier (Band n50, 100MHz TDD)</t>
        </is>
      </c>
      <c r="Q321" s="13">
        <f>ROUNDUP(O321/'Methodology &amp; Assumptions'!$B$6, 0)</f>
        <v/>
      </c>
      <c r="R321" s="13" t="n">
        <v>1</v>
      </c>
      <c r="S321" s="14" t="n">
        <v>2.27</v>
      </c>
      <c r="T321" s="14" t="n">
        <v>0.26</v>
      </c>
      <c r="U321" s="26">
        <f>IF(X321&gt;='Methodology &amp; Assumptions'!$B$7, "Tier 1 Critical GIDA (Score ≥ 50.0)", IF(X321&gt;='Methodology &amp; Assumptions'!$B$8, "Tier 2 High GIDA (Score 40.0–49.9)", "Tier 3 Moderate GIDA (Score &lt; 40.0)"))</f>
        <v/>
      </c>
      <c r="V321" s="26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W321" s="28" t="n">
        <v>0.237</v>
      </c>
      <c r="X321" s="14" t="n">
        <v>55.18</v>
      </c>
      <c r="Y321" s="14">
        <f>ROUND(MIN(100, (X321/69.91)*100), 2)</f>
        <v/>
      </c>
    </row>
    <row r="322">
      <c r="A322" s="10" t="n">
        <v>1</v>
      </c>
      <c r="B322" s="10" t="n">
        <v>318</v>
      </c>
      <c r="C322" s="10" t="n">
        <v>318</v>
      </c>
      <c r="D322" s="10" t="inlineStr">
        <is>
          <t>PH0000318</t>
        </is>
      </c>
      <c r="E322" s="26" t="inlineStr">
        <is>
          <t>NIR</t>
        </is>
      </c>
      <c r="F322" s="26" t="inlineStr">
        <is>
          <t>Negros Occidental</t>
        </is>
      </c>
      <c r="G322" s="26" t="inlineStr">
        <is>
          <t>Bacolod City</t>
        </is>
      </c>
      <c r="H322" s="26" t="inlineStr">
        <is>
          <t>Barangay 32 (Pob.)</t>
        </is>
      </c>
      <c r="I322" s="27" t="n">
        <v>10.659921</v>
      </c>
      <c r="J322" s="27" t="n">
        <v>122.95657</v>
      </c>
      <c r="K322" s="10" t="inlineStr">
        <is>
          <t>R</t>
        </is>
      </c>
      <c r="L322" s="12" t="n">
        <v>2279</v>
      </c>
      <c r="M322" s="14" t="n">
        <v>3.8</v>
      </c>
      <c r="N322" s="12">
        <f>ROUND(L322/M322, 0)</f>
        <v/>
      </c>
      <c r="O322" s="12">
        <f>ROUND(N322*'Methodology &amp; Assumptions'!$B$5, 0)</f>
        <v/>
      </c>
      <c r="P322" s="10" t="inlineStr">
        <is>
          <t>Single Carrier (Band n50, 100MHz TDD)</t>
        </is>
      </c>
      <c r="Q322" s="13">
        <f>ROUNDUP(O322/'Methodology &amp; Assumptions'!$B$6, 0)</f>
        <v/>
      </c>
      <c r="R322" s="13" t="n">
        <v>1</v>
      </c>
      <c r="S322" s="14" t="n">
        <v>0.9</v>
      </c>
      <c r="T322" s="14" t="n">
        <v>0.95</v>
      </c>
      <c r="U322" s="26">
        <f>IF(X322&gt;='Methodology &amp; Assumptions'!$B$7, "Tier 1 Critical GIDA (Score ≥ 50.0)", IF(X322&gt;='Methodology &amp; Assumptions'!$B$8, "Tier 2 High GIDA (Score 40.0–49.9)", "Tier 3 Moderate GIDA (Score &lt; 40.0)"))</f>
        <v/>
      </c>
      <c r="V322" s="26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W322" s="28" t="n">
        <v>0.109</v>
      </c>
      <c r="X322" s="14" t="n">
        <v>55.18</v>
      </c>
      <c r="Y322" s="14">
        <f>ROUND(MIN(100, (X322/69.91)*100), 2)</f>
        <v/>
      </c>
    </row>
    <row r="323">
      <c r="A323" s="10" t="n">
        <v>1</v>
      </c>
      <c r="B323" s="10" t="n">
        <v>319</v>
      </c>
      <c r="C323" s="10" t="n">
        <v>319</v>
      </c>
      <c r="D323" s="10" t="inlineStr">
        <is>
          <t>1403206003</t>
        </is>
      </c>
      <c r="E323" s="26" t="inlineStr">
        <is>
          <t>Cordillera Administrative Region (CAR)</t>
        </is>
      </c>
      <c r="F323" s="26" t="inlineStr">
        <is>
          <t>Kalinga</t>
        </is>
      </c>
      <c r="G323" s="26" t="inlineStr">
        <is>
          <t>Lubuagan</t>
        </is>
      </c>
      <c r="H323" s="26" t="inlineStr">
        <is>
          <t>Mabongtot</t>
        </is>
      </c>
      <c r="I323" s="27" t="n">
        <v>17.338226</v>
      </c>
      <c r="J323" s="27" t="n">
        <v>121.190619</v>
      </c>
      <c r="K323" s="10" t="inlineStr">
        <is>
          <t>R</t>
        </is>
      </c>
      <c r="L323" s="12" t="n">
        <v>601</v>
      </c>
      <c r="M323" s="14" t="n">
        <v>4.3</v>
      </c>
      <c r="N323" s="12">
        <f>ROUND(L323/M323, 0)</f>
        <v/>
      </c>
      <c r="O323" s="12">
        <f>ROUND(N323*'Methodology &amp; Assumptions'!$B$5, 0)</f>
        <v/>
      </c>
      <c r="P323" s="10" t="inlineStr">
        <is>
          <t>Single Carrier (Band n50, 100MHz TDD)</t>
        </is>
      </c>
      <c r="Q323" s="13">
        <f>ROUNDUP(O323/'Methodology &amp; Assumptions'!$B$6, 0)</f>
        <v/>
      </c>
      <c r="R323" s="13" t="n">
        <v>1</v>
      </c>
      <c r="S323" s="14" t="n">
        <v>9.390000000000001</v>
      </c>
      <c r="T323" s="14" t="n">
        <v>1.66</v>
      </c>
      <c r="U323" s="26">
        <f>IF(X323&gt;='Methodology &amp; Assumptions'!$B$7, "Tier 1 Critical GIDA (Score ≥ 50.0)", IF(X323&gt;='Methodology &amp; Assumptions'!$B$8, "Tier 2 High GIDA (Score 40.0–49.9)", "Tier 3 Moderate GIDA (Score &lt; 40.0)"))</f>
        <v/>
      </c>
      <c r="V323" s="26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W323" s="28" t="n">
        <v>0.109</v>
      </c>
      <c r="X323" s="14" t="n">
        <v>55.17</v>
      </c>
      <c r="Y323" s="14">
        <f>ROUND(MIN(100, (X323/69.91)*100), 2)</f>
        <v/>
      </c>
    </row>
    <row r="324">
      <c r="A324" s="10" t="n">
        <v>1</v>
      </c>
      <c r="B324" s="10" t="n">
        <v>320</v>
      </c>
      <c r="C324" s="10" t="n">
        <v>320</v>
      </c>
      <c r="D324" s="10" t="inlineStr">
        <is>
          <t>1907004009</t>
        </is>
      </c>
      <c r="E324" s="26" t="inlineStr">
        <is>
          <t>Bangsamoro Autonomous Region In Muslim Mindanao (BARMM)</t>
        </is>
      </c>
      <c r="F324" s="26" t="inlineStr">
        <is>
          <t>Tawi-Tawi</t>
        </is>
      </c>
      <c r="G324" s="26" t="inlineStr">
        <is>
          <t>Simunul</t>
        </is>
      </c>
      <c r="H324" s="26" t="inlineStr">
        <is>
          <t>Luuk Datan</t>
        </is>
      </c>
      <c r="I324" s="27" t="n">
        <v>17.255834</v>
      </c>
      <c r="J324" s="27" t="n">
        <v>122.229878</v>
      </c>
      <c r="K324" s="10" t="inlineStr">
        <is>
          <t>R</t>
        </is>
      </c>
      <c r="L324" s="12" t="n">
        <v>2275</v>
      </c>
      <c r="M324" s="14" t="n">
        <v>5.8</v>
      </c>
      <c r="N324" s="12">
        <f>ROUND(L324/M324, 0)</f>
        <v/>
      </c>
      <c r="O324" s="12">
        <f>ROUND(N324*'Methodology &amp; Assumptions'!$B$5, 0)</f>
        <v/>
      </c>
      <c r="P324" s="10" t="inlineStr">
        <is>
          <t>Single Carrier (Band n50, 100MHz TDD)</t>
        </is>
      </c>
      <c r="Q324" s="13">
        <f>ROUNDUP(O324/'Methodology &amp; Assumptions'!$B$6, 0)</f>
        <v/>
      </c>
      <c r="R324" s="13" t="n">
        <v>1</v>
      </c>
      <c r="S324" s="14" t="n">
        <v>29.57</v>
      </c>
      <c r="T324" s="14" t="n">
        <v>34.43</v>
      </c>
      <c r="U324" s="26">
        <f>IF(X324&gt;='Methodology &amp; Assumptions'!$B$7, "Tier 1 Critical GIDA (Score ≥ 50.0)", IF(X324&gt;='Methodology &amp; Assumptions'!$B$8, "Tier 2 High GIDA (Score 40.0–49.9)", "Tier 3 Moderate GIDA (Score &lt; 40.0)"))</f>
        <v/>
      </c>
      <c r="V324" s="26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W324" s="28" t="n">
        <v>0.11</v>
      </c>
      <c r="X324" s="14" t="n">
        <v>55.16</v>
      </c>
      <c r="Y324" s="14">
        <f>ROUND(MIN(100, (X324/69.91)*100), 2)</f>
        <v/>
      </c>
    </row>
    <row r="325">
      <c r="A325" s="10" t="n">
        <v>1</v>
      </c>
      <c r="B325" s="10" t="n">
        <v>321</v>
      </c>
      <c r="C325" s="10" t="n">
        <v>321</v>
      </c>
      <c r="D325" s="10" t="inlineStr">
        <is>
          <t>1907004012</t>
        </is>
      </c>
      <c r="E325" s="26" t="inlineStr">
        <is>
          <t>Bangsamoro Autonomous Region In Muslim Mindanao (BARMM)</t>
        </is>
      </c>
      <c r="F325" s="26" t="inlineStr">
        <is>
          <t>Tawi-Tawi</t>
        </is>
      </c>
      <c r="G325" s="26" t="inlineStr">
        <is>
          <t>Simunul</t>
        </is>
      </c>
      <c r="H325" s="26" t="inlineStr">
        <is>
          <t>Panglima Mastul</t>
        </is>
      </c>
      <c r="I325" s="27" t="n">
        <v>17.255843</v>
      </c>
      <c r="J325" s="27" t="n">
        <v>122.229887</v>
      </c>
      <c r="K325" s="10" t="inlineStr">
        <is>
          <t>R</t>
        </is>
      </c>
      <c r="L325" s="12" t="n">
        <v>2029</v>
      </c>
      <c r="M325" s="14" t="n">
        <v>5.8</v>
      </c>
      <c r="N325" s="12">
        <f>ROUND(L325/M325, 0)</f>
        <v/>
      </c>
      <c r="O325" s="12">
        <f>ROUND(N325*'Methodology &amp; Assumptions'!$B$5, 0)</f>
        <v/>
      </c>
      <c r="P325" s="10" t="inlineStr">
        <is>
          <t>Single Carrier (Band n50, 100MHz TDD)</t>
        </is>
      </c>
      <c r="Q325" s="13">
        <f>ROUNDUP(O325/'Methodology &amp; Assumptions'!$B$6, 0)</f>
        <v/>
      </c>
      <c r="R325" s="13" t="n">
        <v>1</v>
      </c>
      <c r="S325" s="14" t="n">
        <v>29.57</v>
      </c>
      <c r="T325" s="14" t="n">
        <v>34.43</v>
      </c>
      <c r="U325" s="26">
        <f>IF(X325&gt;='Methodology &amp; Assumptions'!$B$7, "Tier 1 Critical GIDA (Score ≥ 50.0)", IF(X325&gt;='Methodology &amp; Assumptions'!$B$8, "Tier 2 High GIDA (Score 40.0–49.9)", "Tier 3 Moderate GIDA (Score &lt; 40.0)"))</f>
        <v/>
      </c>
      <c r="V325" s="26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W325" s="28" t="n">
        <v>0.11</v>
      </c>
      <c r="X325" s="14" t="n">
        <v>55.16</v>
      </c>
      <c r="Y325" s="14">
        <f>ROUND(MIN(100, (X325/69.91)*100), 2)</f>
        <v/>
      </c>
    </row>
    <row r="326">
      <c r="A326" s="10" t="n">
        <v>1</v>
      </c>
      <c r="B326" s="10" t="n">
        <v>322</v>
      </c>
      <c r="C326" s="10" t="n">
        <v>322</v>
      </c>
      <c r="D326" s="10" t="inlineStr">
        <is>
          <t>0201514004</t>
        </is>
      </c>
      <c r="E326" s="26" t="inlineStr">
        <is>
          <t>Region II (Cagayan Valley)</t>
        </is>
      </c>
      <c r="F326" s="26" t="inlineStr">
        <is>
          <t>Cagayan</t>
        </is>
      </c>
      <c r="G326" s="26" t="inlineStr">
        <is>
          <t>Gonzaga</t>
        </is>
      </c>
      <c r="H326" s="26" t="inlineStr">
        <is>
          <t>Cabanbanan Norte</t>
        </is>
      </c>
      <c r="I326" s="27" t="n">
        <v>18.257268</v>
      </c>
      <c r="J326" s="27" t="n">
        <v>121.945825</v>
      </c>
      <c r="K326" s="10" t="inlineStr">
        <is>
          <t>R</t>
        </is>
      </c>
      <c r="L326" s="12" t="n">
        <v>722</v>
      </c>
      <c r="M326" s="14" t="n">
        <v>3.9</v>
      </c>
      <c r="N326" s="12">
        <f>ROUND(L326/M326, 0)</f>
        <v/>
      </c>
      <c r="O326" s="12">
        <f>ROUND(N326*'Methodology &amp; Assumptions'!$B$5, 0)</f>
        <v/>
      </c>
      <c r="P326" s="10" t="inlineStr">
        <is>
          <t>Single Carrier (Band n50, 100MHz TDD)</t>
        </is>
      </c>
      <c r="Q326" s="13">
        <f>ROUNDUP(O326/'Methodology &amp; Assumptions'!$B$6, 0)</f>
        <v/>
      </c>
      <c r="R326" s="13" t="n">
        <v>1</v>
      </c>
      <c r="S326" s="14" t="n">
        <v>3.83</v>
      </c>
      <c r="T326" s="14" t="n">
        <v>1.17</v>
      </c>
      <c r="U326" s="26">
        <f>IF(X326&gt;='Methodology &amp; Assumptions'!$B$7, "Tier 1 Critical GIDA (Score ≥ 50.0)", IF(X326&gt;='Methodology &amp; Assumptions'!$B$8, "Tier 2 High GIDA (Score 40.0–49.9)", "Tier 3 Moderate GIDA (Score &lt; 40.0)"))</f>
        <v/>
      </c>
      <c r="V326" s="26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W326" s="28" t="n">
        <v>0.083</v>
      </c>
      <c r="X326" s="14" t="n">
        <v>55.15</v>
      </c>
      <c r="Y326" s="14">
        <f>ROUND(MIN(100, (X326/69.91)*100), 2)</f>
        <v/>
      </c>
    </row>
    <row r="327">
      <c r="A327" s="10" t="n">
        <v>1</v>
      </c>
      <c r="B327" s="10" t="n">
        <v>323</v>
      </c>
      <c r="C327" s="10" t="n">
        <v>323</v>
      </c>
      <c r="D327" s="10" t="inlineStr">
        <is>
          <t>0205008020</t>
        </is>
      </c>
      <c r="E327" s="26" t="inlineStr">
        <is>
          <t>Region II (Cagayan Valley)</t>
        </is>
      </c>
      <c r="F327" s="26" t="inlineStr">
        <is>
          <t>Nueva Vizcaya</t>
        </is>
      </c>
      <c r="G327" s="26" t="inlineStr">
        <is>
          <t>Dupax del Sur</t>
        </is>
      </c>
      <c r="H327" s="26" t="inlineStr">
        <is>
          <t>Kinabuan</t>
        </is>
      </c>
      <c r="I327" s="27" t="n">
        <v>16.20163</v>
      </c>
      <c r="J327" s="27" t="n">
        <v>121.20132</v>
      </c>
      <c r="K327" s="10" t="inlineStr">
        <is>
          <t>R</t>
        </is>
      </c>
      <c r="L327" s="12" t="n">
        <v>1412</v>
      </c>
      <c r="M327" s="14" t="n">
        <v>3.8</v>
      </c>
      <c r="N327" s="12">
        <f>ROUND(L327/M327, 0)</f>
        <v/>
      </c>
      <c r="O327" s="12">
        <f>ROUND(N327*'Methodology &amp; Assumptions'!$B$5, 0)</f>
        <v/>
      </c>
      <c r="P327" s="10" t="inlineStr">
        <is>
          <t>Single Carrier (Band n50, 100MHz TDD)</t>
        </is>
      </c>
      <c r="Q327" s="13">
        <f>ROUNDUP(O327/'Methodology &amp; Assumptions'!$B$6, 0)</f>
        <v/>
      </c>
      <c r="R327" s="13" t="n">
        <v>1</v>
      </c>
      <c r="S327" s="14" t="n">
        <v>3.5</v>
      </c>
      <c r="T327" s="14" t="n">
        <v>19.43</v>
      </c>
      <c r="U327" s="26">
        <f>IF(X327&gt;='Methodology &amp; Assumptions'!$B$7, "Tier 1 Critical GIDA (Score ≥ 50.0)", IF(X327&gt;='Methodology &amp; Assumptions'!$B$8, "Tier 2 High GIDA (Score 40.0–49.9)", "Tier 3 Moderate GIDA (Score &lt; 40.0)"))</f>
        <v/>
      </c>
      <c r="V327" s="26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W327" s="28" t="n">
        <v>0.083</v>
      </c>
      <c r="X327" s="14" t="n">
        <v>55.15</v>
      </c>
      <c r="Y327" s="14">
        <f>ROUND(MIN(100, (X327/69.91)*100), 2)</f>
        <v/>
      </c>
    </row>
    <row r="328">
      <c r="A328" s="10" t="n">
        <v>1</v>
      </c>
      <c r="B328" s="10" t="n">
        <v>324</v>
      </c>
      <c r="C328" s="10" t="n">
        <v>324</v>
      </c>
      <c r="D328" s="10" t="inlineStr">
        <is>
          <t>0403418007</t>
        </is>
      </c>
      <c r="E328" s="26" t="inlineStr">
        <is>
          <t>Region IV-A (CALABARZON)</t>
        </is>
      </c>
      <c r="F328" s="26" t="inlineStr">
        <is>
          <t>Laguna</t>
        </is>
      </c>
      <c r="G328" s="26" t="inlineStr">
        <is>
          <t>Paete</t>
        </is>
      </c>
      <c r="H328" s="26" t="inlineStr">
        <is>
          <t>Ilaya del Sur</t>
        </is>
      </c>
      <c r="I328" s="27" t="n">
        <v>14.36131</v>
      </c>
      <c r="J328" s="27" t="n">
        <v>121.512226</v>
      </c>
      <c r="K328" s="10" t="inlineStr">
        <is>
          <t>R</t>
        </is>
      </c>
      <c r="L328" s="12" t="n">
        <v>1722</v>
      </c>
      <c r="M328" s="14" t="n">
        <v>3.3</v>
      </c>
      <c r="N328" s="12">
        <f>ROUND(L328/M328, 0)</f>
        <v/>
      </c>
      <c r="O328" s="12">
        <f>ROUND(N328*'Methodology &amp; Assumptions'!$B$5, 0)</f>
        <v/>
      </c>
      <c r="P328" s="10" t="inlineStr">
        <is>
          <t>Single Carrier (Band n50, 100MHz TDD)</t>
        </is>
      </c>
      <c r="Q328" s="13">
        <f>ROUNDUP(O328/'Methodology &amp; Assumptions'!$B$6, 0)</f>
        <v/>
      </c>
      <c r="R328" s="13" t="n">
        <v>1</v>
      </c>
      <c r="S328" s="14" t="n">
        <v>2.93</v>
      </c>
      <c r="T328" s="14" t="n">
        <v>3.13</v>
      </c>
      <c r="U328" s="26">
        <f>IF(X328&gt;='Methodology &amp; Assumptions'!$B$7, "Tier 1 Critical GIDA (Score ≥ 50.0)", IF(X328&gt;='Methodology &amp; Assumptions'!$B$8, "Tier 2 High GIDA (Score 40.0–49.9)", "Tier 3 Moderate GIDA (Score &lt; 40.0)"))</f>
        <v/>
      </c>
      <c r="V328" s="26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W328" s="28" t="n">
        <v>0.07200000000000001</v>
      </c>
      <c r="X328" s="14" t="n">
        <v>55.15</v>
      </c>
      <c r="Y328" s="14">
        <f>ROUND(MIN(100, (X328/69.91)*100), 2)</f>
        <v/>
      </c>
    </row>
    <row r="329">
      <c r="A329" s="10" t="n">
        <v>1</v>
      </c>
      <c r="B329" s="10" t="n">
        <v>325</v>
      </c>
      <c r="C329" s="10" t="n">
        <v>325</v>
      </c>
      <c r="D329" s="10" t="inlineStr">
        <is>
          <t>0806010015</t>
        </is>
      </c>
      <c r="E329" s="26" t="inlineStr">
        <is>
          <t>Region VIII (Eastern Visayas)</t>
        </is>
      </c>
      <c r="F329" s="26" t="inlineStr">
        <is>
          <t>Samar</t>
        </is>
      </c>
      <c r="G329" s="26" t="inlineStr">
        <is>
          <t>Marabut</t>
        </is>
      </c>
      <c r="H329" s="26" t="inlineStr">
        <is>
          <t>Amantillo</t>
        </is>
      </c>
      <c r="I329" s="27" t="n">
        <v>11.108002</v>
      </c>
      <c r="J329" s="27" t="n">
        <v>125.214966</v>
      </c>
      <c r="K329" s="10" t="inlineStr">
        <is>
          <t>R</t>
        </is>
      </c>
      <c r="L329" s="12" t="n">
        <v>626</v>
      </c>
      <c r="M329" s="14" t="n">
        <v>4.1</v>
      </c>
      <c r="N329" s="12">
        <f>ROUND(L329/M329, 0)</f>
        <v/>
      </c>
      <c r="O329" s="12">
        <f>ROUND(N329*'Methodology &amp; Assumptions'!$B$5, 0)</f>
        <v/>
      </c>
      <c r="P329" s="10" t="inlineStr">
        <is>
          <t>Single Carrier (Band n50, 100MHz TDD)</t>
        </is>
      </c>
      <c r="Q329" s="13">
        <f>ROUNDUP(O329/'Methodology &amp; Assumptions'!$B$6, 0)</f>
        <v/>
      </c>
      <c r="R329" s="13" t="n">
        <v>1</v>
      </c>
      <c r="S329" s="14" t="n">
        <v>21.28</v>
      </c>
      <c r="T329" s="14" t="n">
        <v>20.16</v>
      </c>
      <c r="U329" s="26">
        <f>IF(X329&gt;='Methodology &amp; Assumptions'!$B$7, "Tier 1 Critical GIDA (Score ≥ 50.0)", IF(X329&gt;='Methodology &amp; Assumptions'!$B$8, "Tier 2 High GIDA (Score 40.0–49.9)", "Tier 3 Moderate GIDA (Score &lt; 40.0)"))</f>
        <v/>
      </c>
      <c r="V329" s="26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W329" s="28" t="n">
        <v>0.237</v>
      </c>
      <c r="X329" s="14" t="n">
        <v>55.15</v>
      </c>
      <c r="Y329" s="14">
        <f>ROUND(MIN(100, (X329/69.91)*100), 2)</f>
        <v/>
      </c>
    </row>
    <row r="330">
      <c r="A330" s="10" t="n">
        <v>1</v>
      </c>
      <c r="B330" s="10" t="n">
        <v>326</v>
      </c>
      <c r="C330" s="10" t="n">
        <v>326</v>
      </c>
      <c r="D330" s="10" t="inlineStr">
        <is>
          <t>PH0000326</t>
        </is>
      </c>
      <c r="E330" s="26" t="inlineStr">
        <is>
          <t>NIR</t>
        </is>
      </c>
      <c r="F330" s="26" t="inlineStr">
        <is>
          <t>Negros Occidental</t>
        </is>
      </c>
      <c r="G330" s="26" t="inlineStr">
        <is>
          <t>Bacolod City</t>
        </is>
      </c>
      <c r="H330" s="26" t="inlineStr">
        <is>
          <t>Barangay 29 (Pob.)</t>
        </is>
      </c>
      <c r="I330" s="27" t="n">
        <v>10.658243</v>
      </c>
      <c r="J330" s="27" t="n">
        <v>122.990236</v>
      </c>
      <c r="K330" s="10" t="inlineStr">
        <is>
          <t>R</t>
        </is>
      </c>
      <c r="L330" s="12" t="n">
        <v>2279</v>
      </c>
      <c r="M330" s="14" t="n">
        <v>3.8</v>
      </c>
      <c r="N330" s="12">
        <f>ROUND(L330/M330, 0)</f>
        <v/>
      </c>
      <c r="O330" s="12">
        <f>ROUND(N330*'Methodology &amp; Assumptions'!$B$5, 0)</f>
        <v/>
      </c>
      <c r="P330" s="10" t="inlineStr">
        <is>
          <t>Single Carrier (Band n50, 100MHz TDD)</t>
        </is>
      </c>
      <c r="Q330" s="13">
        <f>ROUNDUP(O330/'Methodology &amp; Assumptions'!$B$6, 0)</f>
        <v/>
      </c>
      <c r="R330" s="13" t="n">
        <v>1</v>
      </c>
      <c r="S330" s="14" t="n">
        <v>3.33</v>
      </c>
      <c r="T330" s="14" t="n">
        <v>2.53</v>
      </c>
      <c r="U330" s="26">
        <f>IF(X330&gt;='Methodology &amp; Assumptions'!$B$7, "Tier 1 Critical GIDA (Score ≥ 50.0)", IF(X330&gt;='Methodology &amp; Assumptions'!$B$8, "Tier 2 High GIDA (Score 40.0–49.9)", "Tier 3 Moderate GIDA (Score &lt; 40.0)"))</f>
        <v/>
      </c>
      <c r="V330" s="26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W330" s="28" t="n">
        <v>0.109</v>
      </c>
      <c r="X330" s="14" t="n">
        <v>55.14</v>
      </c>
      <c r="Y330" s="14">
        <f>ROUND(MIN(100, (X330/69.91)*100), 2)</f>
        <v/>
      </c>
    </row>
    <row r="331">
      <c r="A331" s="10" t="n">
        <v>1</v>
      </c>
      <c r="B331" s="10" t="n">
        <v>327</v>
      </c>
      <c r="C331" s="10" t="n">
        <v>327</v>
      </c>
      <c r="D331" s="10" t="inlineStr">
        <is>
          <t>0806010013</t>
        </is>
      </c>
      <c r="E331" s="26" t="inlineStr">
        <is>
          <t>Region VIII (Eastern Visayas)</t>
        </is>
      </c>
      <c r="F331" s="26" t="inlineStr">
        <is>
          <t>Samar</t>
        </is>
      </c>
      <c r="G331" s="26" t="inlineStr">
        <is>
          <t>Marabut</t>
        </is>
      </c>
      <c r="H331" s="26" t="inlineStr">
        <is>
          <t>Tagalag</t>
        </is>
      </c>
      <c r="I331" s="27" t="n">
        <v>11.24779</v>
      </c>
      <c r="J331" s="27" t="n">
        <v>125.18347</v>
      </c>
      <c r="K331" s="10" t="inlineStr">
        <is>
          <t>R</t>
        </is>
      </c>
      <c r="L331" s="12" t="n">
        <v>974</v>
      </c>
      <c r="M331" s="14" t="n">
        <v>4.1</v>
      </c>
      <c r="N331" s="12">
        <f>ROUND(L331/M331, 0)</f>
        <v/>
      </c>
      <c r="O331" s="12">
        <f>ROUND(N331*'Methodology &amp; Assumptions'!$B$5, 0)</f>
        <v/>
      </c>
      <c r="P331" s="10" t="inlineStr">
        <is>
          <t>Single Carrier (Band n50, 100MHz TDD)</t>
        </is>
      </c>
      <c r="Q331" s="13">
        <f>ROUNDUP(O331/'Methodology &amp; Assumptions'!$B$6, 0)</f>
        <v/>
      </c>
      <c r="R331" s="13" t="n">
        <v>1</v>
      </c>
      <c r="S331" s="14" t="n">
        <v>19.39</v>
      </c>
      <c r="T331" s="14" t="n">
        <v>18.43</v>
      </c>
      <c r="U331" s="26">
        <f>IF(X331&gt;='Methodology &amp; Assumptions'!$B$7, "Tier 1 Critical GIDA (Score ≥ 50.0)", IF(X331&gt;='Methodology &amp; Assumptions'!$B$8, "Tier 2 High GIDA (Score 40.0–49.9)", "Tier 3 Moderate GIDA (Score &lt; 40.0)"))</f>
        <v/>
      </c>
      <c r="V331" s="26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W331" s="28" t="n">
        <v>0.237</v>
      </c>
      <c r="X331" s="14" t="n">
        <v>55.12</v>
      </c>
      <c r="Y331" s="14">
        <f>ROUND(MIN(100, (X331/69.91)*100), 2)</f>
        <v/>
      </c>
    </row>
    <row r="332">
      <c r="A332" s="10" t="n">
        <v>1</v>
      </c>
      <c r="B332" s="10" t="n">
        <v>328</v>
      </c>
      <c r="C332" s="10" t="n">
        <v>328</v>
      </c>
      <c r="D332" s="10" t="inlineStr">
        <is>
          <t>1381400013</t>
        </is>
      </c>
      <c r="E332" s="26" t="inlineStr">
        <is>
          <t>National Capital Region (NCR)</t>
        </is>
      </c>
      <c r="F332" s="26" t="inlineStr">
        <is>
          <t>Second District (Not a Province)</t>
        </is>
      </c>
      <c r="G332" s="26" t="inlineStr">
        <is>
          <t>City of San Juan</t>
        </is>
      </c>
      <c r="H332" s="26" t="inlineStr">
        <is>
          <t>Pedro Cruz</t>
        </is>
      </c>
      <c r="I332" s="27" t="n">
        <v>14.605539</v>
      </c>
      <c r="J332" s="27" t="n">
        <v>121.02623</v>
      </c>
      <c r="K332" s="10" t="inlineStr">
        <is>
          <t>U</t>
        </is>
      </c>
      <c r="L332" s="12" t="n">
        <v>4396</v>
      </c>
      <c r="M332" s="14" t="n">
        <v>3.6</v>
      </c>
      <c r="N332" s="12">
        <f>ROUND(L332/M332, 0)</f>
        <v/>
      </c>
      <c r="O332" s="12">
        <f>ROUND(N332*'Methodology &amp; Assumptions'!$B$5, 0)</f>
        <v/>
      </c>
      <c r="P332" s="10" t="inlineStr">
        <is>
          <t>Single Carrier (Band n50, 100MHz TDD)</t>
        </is>
      </c>
      <c r="Q332" s="13">
        <f>ROUNDUP(O332/'Methodology &amp; Assumptions'!$B$6, 0)</f>
        <v/>
      </c>
      <c r="R332" s="13" t="n">
        <v>1</v>
      </c>
      <c r="S332" s="14" t="n">
        <v>1.72</v>
      </c>
      <c r="T332" s="14" t="n">
        <v>0.17</v>
      </c>
      <c r="U332" s="26">
        <f>IF(X332&gt;='Methodology &amp; Assumptions'!$B$7, "Tier 1 Critical GIDA (Score ≥ 50.0)", IF(X332&gt;='Methodology &amp; Assumptions'!$B$8, "Tier 2 High GIDA (Score 40.0–49.9)", "Tier 3 Moderate GIDA (Score &lt; 40.0)"))</f>
        <v/>
      </c>
      <c r="V332" s="26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W332" s="28" t="n">
        <v>0.109</v>
      </c>
      <c r="X332" s="14" t="n">
        <v>55.11</v>
      </c>
      <c r="Y332" s="14">
        <f>ROUND(MIN(100, (X332/69.91)*100), 2)</f>
        <v/>
      </c>
    </row>
    <row r="333">
      <c r="A333" s="10" t="n">
        <v>1</v>
      </c>
      <c r="B333" s="10" t="n">
        <v>329</v>
      </c>
      <c r="C333" s="10" t="n">
        <v>329</v>
      </c>
      <c r="D333" s="10" t="inlineStr">
        <is>
          <t>0205008010</t>
        </is>
      </c>
      <c r="E333" s="26" t="inlineStr">
        <is>
          <t>Region II (Cagayan Valley)</t>
        </is>
      </c>
      <c r="F333" s="26" t="inlineStr">
        <is>
          <t>Nueva Vizcaya</t>
        </is>
      </c>
      <c r="G333" s="26" t="inlineStr">
        <is>
          <t>Dupax del Sur</t>
        </is>
      </c>
      <c r="H333" s="26" t="inlineStr">
        <is>
          <t>Lukidnon</t>
        </is>
      </c>
      <c r="I333" s="27" t="n">
        <v>15.94442</v>
      </c>
      <c r="J333" s="27" t="n">
        <v>121.18415</v>
      </c>
      <c r="K333" s="10" t="inlineStr">
        <is>
          <t>R</t>
        </is>
      </c>
      <c r="L333" s="12" t="n">
        <v>358</v>
      </c>
      <c r="M333" s="14" t="n">
        <v>3.8</v>
      </c>
      <c r="N333" s="12">
        <f>ROUND(L333/M333, 0)</f>
        <v/>
      </c>
      <c r="O333" s="12">
        <f>ROUND(N333*'Methodology &amp; Assumptions'!$B$5, 0)</f>
        <v/>
      </c>
      <c r="P333" s="10" t="inlineStr">
        <is>
          <t>Single Carrier (Band n50, 100MHz TDD)</t>
        </is>
      </c>
      <c r="Q333" s="13">
        <f>ROUNDUP(O333/'Methodology &amp; Assumptions'!$B$6, 0)</f>
        <v/>
      </c>
      <c r="R333" s="13" t="n">
        <v>1</v>
      </c>
      <c r="S333" s="14" t="n">
        <v>15.83</v>
      </c>
      <c r="T333" s="14" t="n">
        <v>17.98</v>
      </c>
      <c r="U333" s="26">
        <f>IF(X333&gt;='Methodology &amp; Assumptions'!$B$7, "Tier 1 Critical GIDA (Score ≥ 50.0)", IF(X333&gt;='Methodology &amp; Assumptions'!$B$8, "Tier 2 High GIDA (Score 40.0–49.9)", "Tier 3 Moderate GIDA (Score &lt; 40.0)"))</f>
        <v/>
      </c>
      <c r="V333" s="26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W333" s="28" t="n">
        <v>0.083</v>
      </c>
      <c r="X333" s="14" t="n">
        <v>55.1</v>
      </c>
      <c r="Y333" s="14">
        <f>ROUND(MIN(100, (X333/69.91)*100), 2)</f>
        <v/>
      </c>
    </row>
    <row r="334">
      <c r="A334" s="10" t="n">
        <v>1</v>
      </c>
      <c r="B334" s="10" t="n">
        <v>330</v>
      </c>
      <c r="C334" s="10" t="n">
        <v>330</v>
      </c>
      <c r="D334" s="10" t="inlineStr">
        <is>
          <t>1408101013</t>
        </is>
      </c>
      <c r="E334" s="26" t="inlineStr">
        <is>
          <t>Cordillera Administrative Region (CAR)</t>
        </is>
      </c>
      <c r="F334" s="26" t="inlineStr">
        <is>
          <t>Apayao</t>
        </is>
      </c>
      <c r="G334" s="26" t="inlineStr">
        <is>
          <t>Calanasan</t>
        </is>
      </c>
      <c r="H334" s="26" t="inlineStr">
        <is>
          <t>Don Roque Ablan Sr.</t>
        </is>
      </c>
      <c r="I334" s="27" t="n">
        <v>18.249449</v>
      </c>
      <c r="J334" s="27" t="n">
        <v>120.99554</v>
      </c>
      <c r="K334" s="10" t="inlineStr">
        <is>
          <t>R</t>
        </is>
      </c>
      <c r="L334" s="12" t="n">
        <v>227</v>
      </c>
      <c r="M334" s="14" t="n">
        <v>4.2</v>
      </c>
      <c r="N334" s="12">
        <f>ROUND(L334/M334, 0)</f>
        <v/>
      </c>
      <c r="O334" s="12">
        <f>ROUND(N334*'Methodology &amp; Assumptions'!$B$5, 0)</f>
        <v/>
      </c>
      <c r="P334" s="10" t="inlineStr">
        <is>
          <t>Single Carrier (Band n50, 100MHz TDD)</t>
        </is>
      </c>
      <c r="Q334" s="13">
        <f>ROUNDUP(O334/'Methodology &amp; Assumptions'!$B$6, 0)</f>
        <v/>
      </c>
      <c r="R334" s="13" t="n">
        <v>1</v>
      </c>
      <c r="S334" s="14" t="n">
        <v>28.93</v>
      </c>
      <c r="T334" s="14" t="n">
        <v>28.93</v>
      </c>
      <c r="U334" s="26">
        <f>IF(X334&gt;='Methodology &amp; Assumptions'!$B$7, "Tier 1 Critical GIDA (Score ≥ 50.0)", IF(X334&gt;='Methodology &amp; Assumptions'!$B$8, "Tier 2 High GIDA (Score 40.0–49.9)", "Tier 3 Moderate GIDA (Score &lt; 40.0)"))</f>
        <v/>
      </c>
      <c r="V334" s="26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W334" s="28" t="n">
        <v>0.109</v>
      </c>
      <c r="X334" s="14" t="n">
        <v>55.07</v>
      </c>
      <c r="Y334" s="14">
        <f>ROUND(MIN(100, (X334/69.91)*100), 2)</f>
        <v/>
      </c>
    </row>
    <row r="335">
      <c r="A335" s="10" t="n">
        <v>1</v>
      </c>
      <c r="B335" s="10" t="n">
        <v>331</v>
      </c>
      <c r="C335" s="10" t="n">
        <v>331</v>
      </c>
      <c r="D335" s="10" t="inlineStr">
        <is>
          <t>0806010020</t>
        </is>
      </c>
      <c r="E335" s="26" t="inlineStr">
        <is>
          <t>Region VIII (Eastern Visayas)</t>
        </is>
      </c>
      <c r="F335" s="26" t="inlineStr">
        <is>
          <t>Samar</t>
        </is>
      </c>
      <c r="G335" s="26" t="inlineStr">
        <is>
          <t>Marabut</t>
        </is>
      </c>
      <c r="H335" s="26" t="inlineStr">
        <is>
          <t>Odoc</t>
        </is>
      </c>
      <c r="I335" s="27" t="n">
        <v>11.170095</v>
      </c>
      <c r="J335" s="27" t="n">
        <v>125.195022</v>
      </c>
      <c r="K335" s="10" t="inlineStr">
        <is>
          <t>R</t>
        </is>
      </c>
      <c r="L335" s="12" t="n">
        <v>299</v>
      </c>
      <c r="M335" s="14" t="n">
        <v>4.1</v>
      </c>
      <c r="N335" s="12">
        <f>ROUND(L335/M335, 0)</f>
        <v/>
      </c>
      <c r="O335" s="12">
        <f>ROUND(N335*'Methodology &amp; Assumptions'!$B$5, 0)</f>
        <v/>
      </c>
      <c r="P335" s="10" t="inlineStr">
        <is>
          <t>Single Carrier (Band n50, 100MHz TDD)</t>
        </is>
      </c>
      <c r="Q335" s="13">
        <f>ROUNDUP(O335/'Methodology &amp; Assumptions'!$B$6, 0)</f>
        <v/>
      </c>
      <c r="R335" s="13" t="n">
        <v>1</v>
      </c>
      <c r="S335" s="14" t="n">
        <v>20.42</v>
      </c>
      <c r="T335" s="14" t="n">
        <v>19.45</v>
      </c>
      <c r="U335" s="26">
        <f>IF(X335&gt;='Methodology &amp; Assumptions'!$B$7, "Tier 1 Critical GIDA (Score ≥ 50.0)", IF(X335&gt;='Methodology &amp; Assumptions'!$B$8, "Tier 2 High GIDA (Score 40.0–49.9)", "Tier 3 Moderate GIDA (Score &lt; 40.0)"))</f>
        <v/>
      </c>
      <c r="V335" s="26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W335" s="28" t="n">
        <v>0.237</v>
      </c>
      <c r="X335" s="14" t="n">
        <v>55.05</v>
      </c>
      <c r="Y335" s="14">
        <f>ROUND(MIN(100, (X335/69.91)*100), 2)</f>
        <v/>
      </c>
    </row>
    <row r="336">
      <c r="A336" s="10" t="n">
        <v>1</v>
      </c>
      <c r="B336" s="10" t="n">
        <v>332</v>
      </c>
      <c r="C336" s="10" t="n">
        <v>332</v>
      </c>
      <c r="D336" s="10" t="inlineStr">
        <is>
          <t>0600417006</t>
        </is>
      </c>
      <c r="E336" s="26" t="inlineStr">
        <is>
          <t>Region VI (Western Visayas)</t>
        </is>
      </c>
      <c r="F336" s="26" t="inlineStr">
        <is>
          <t>Aklan</t>
        </is>
      </c>
      <c r="G336" s="26" t="inlineStr">
        <is>
          <t>Tangalan</t>
        </is>
      </c>
      <c r="H336" s="26" t="inlineStr">
        <is>
          <t>Lanipga</t>
        </is>
      </c>
      <c r="I336" s="27" t="n">
        <v>11.738975</v>
      </c>
      <c r="J336" s="27" t="n">
        <v>122.210541</v>
      </c>
      <c r="K336" s="10" t="inlineStr">
        <is>
          <t>R</t>
        </is>
      </c>
      <c r="L336" s="12" t="n">
        <v>342</v>
      </c>
      <c r="M336" s="14" t="n">
        <v>3.9</v>
      </c>
      <c r="N336" s="12">
        <f>ROUND(L336/M336, 0)</f>
        <v/>
      </c>
      <c r="O336" s="12">
        <f>ROUND(N336*'Methodology &amp; Assumptions'!$B$5, 0)</f>
        <v/>
      </c>
      <c r="P336" s="10" t="inlineStr">
        <is>
          <t>Single Carrier (Band n50, 100MHz TDD)</t>
        </is>
      </c>
      <c r="Q336" s="13">
        <f>ROUNDUP(O336/'Methodology &amp; Assumptions'!$B$6, 0)</f>
        <v/>
      </c>
      <c r="R336" s="13" t="n">
        <v>1</v>
      </c>
      <c r="S336" s="14" t="n">
        <v>9.380000000000001</v>
      </c>
      <c r="T336" s="14" t="n">
        <v>2.79</v>
      </c>
      <c r="U336" s="26">
        <f>IF(X336&gt;='Methodology &amp; Assumptions'!$B$7, "Tier 1 Critical GIDA (Score ≥ 50.0)", IF(X336&gt;='Methodology &amp; Assumptions'!$B$8, "Tier 2 High GIDA (Score 40.0–49.9)", "Tier 3 Moderate GIDA (Score &lt; 40.0)"))</f>
        <v/>
      </c>
      <c r="V336" s="26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W336" s="28" t="n">
        <v>0.237</v>
      </c>
      <c r="X336" s="14" t="n">
        <v>55.05</v>
      </c>
      <c r="Y336" s="14">
        <f>ROUND(MIN(100, (X336/69.91)*100), 2)</f>
        <v/>
      </c>
    </row>
    <row r="337">
      <c r="A337" s="10" t="n">
        <v>1</v>
      </c>
      <c r="B337" s="10" t="n">
        <v>333</v>
      </c>
      <c r="C337" s="10" t="n">
        <v>333</v>
      </c>
      <c r="D337" s="10" t="inlineStr">
        <is>
          <t>0102915002</t>
        </is>
      </c>
      <c r="E337" s="26" t="inlineStr">
        <is>
          <t>Region I (Ilocos Region)</t>
        </is>
      </c>
      <c r="F337" s="26" t="inlineStr">
        <is>
          <t>Ilocos Sur</t>
        </is>
      </c>
      <c r="G337" s="26" t="inlineStr">
        <is>
          <t>Quirino</t>
        </is>
      </c>
      <c r="H337" s="26" t="inlineStr">
        <is>
          <t>Cayus</t>
        </is>
      </c>
      <c r="I337" s="27" t="n">
        <v>17.152145</v>
      </c>
      <c r="J337" s="27" t="n">
        <v>120.668373</v>
      </c>
      <c r="K337" s="10" t="inlineStr">
        <is>
          <t>R</t>
        </is>
      </c>
      <c r="L337" s="12" t="n">
        <v>761</v>
      </c>
      <c r="M337" s="14" t="n">
        <v>3.9</v>
      </c>
      <c r="N337" s="12">
        <f>ROUND(L337/M337, 0)</f>
        <v/>
      </c>
      <c r="O337" s="12">
        <f>ROUND(N337*'Methodology &amp; Assumptions'!$B$5, 0)</f>
        <v/>
      </c>
      <c r="P337" s="10" t="inlineStr">
        <is>
          <t>Single Carrier (Band n50, 100MHz TDD)</t>
        </is>
      </c>
      <c r="Q337" s="13">
        <f>ROUNDUP(O337/'Methodology &amp; Assumptions'!$B$6, 0)</f>
        <v/>
      </c>
      <c r="R337" s="13" t="n">
        <v>1</v>
      </c>
      <c r="S337" s="14" t="n">
        <v>1.99</v>
      </c>
      <c r="T337" s="14" t="n">
        <v>1.21</v>
      </c>
      <c r="U337" s="26">
        <f>IF(X337&gt;='Methodology &amp; Assumptions'!$B$7, "Tier 1 Critical GIDA (Score ≥ 50.0)", IF(X337&gt;='Methodology &amp; Assumptions'!$B$8, "Tier 2 High GIDA (Score 40.0–49.9)", "Tier 3 Moderate GIDA (Score &lt; 40.0)"))</f>
        <v/>
      </c>
      <c r="V337" s="26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W337" s="28" t="n">
        <v>0.083</v>
      </c>
      <c r="X337" s="14" t="n">
        <v>55.05</v>
      </c>
      <c r="Y337" s="14">
        <f>ROUND(MIN(100, (X337/69.91)*100), 2)</f>
        <v/>
      </c>
    </row>
    <row r="338">
      <c r="A338" s="10" t="n">
        <v>1</v>
      </c>
      <c r="B338" s="10" t="n">
        <v>334</v>
      </c>
      <c r="C338" s="10" t="n">
        <v>334</v>
      </c>
      <c r="D338" s="10" t="inlineStr">
        <is>
          <t>PH0000334</t>
        </is>
      </c>
      <c r="E338" s="26" t="inlineStr">
        <is>
          <t>X</t>
        </is>
      </c>
      <c r="F338" s="26" t="inlineStr">
        <is>
          <t>Misamis Oriental</t>
        </is>
      </c>
      <c r="G338" s="26" t="inlineStr">
        <is>
          <t>Cagayan De Oro City</t>
        </is>
      </c>
      <c r="H338" s="26" t="inlineStr">
        <is>
          <t>Barangay 13 (Pob.)</t>
        </is>
      </c>
      <c r="I338" s="27" t="n">
        <v>8.393556999999999</v>
      </c>
      <c r="J338" s="27" t="n">
        <v>124.642079</v>
      </c>
      <c r="K338" s="10" t="inlineStr">
        <is>
          <t>R</t>
        </is>
      </c>
      <c r="L338" s="12" t="n">
        <v>2272</v>
      </c>
      <c r="M338" s="14" t="n">
        <v>3.9</v>
      </c>
      <c r="N338" s="12">
        <f>ROUND(L338/M338, 0)</f>
        <v/>
      </c>
      <c r="O338" s="12">
        <f>ROUND(N338*'Methodology &amp; Assumptions'!$B$5, 0)</f>
        <v/>
      </c>
      <c r="P338" s="10" t="inlineStr">
        <is>
          <t>Single Carrier (Band n50, 100MHz TDD)</t>
        </is>
      </c>
      <c r="Q338" s="13">
        <f>ROUNDUP(O338/'Methodology &amp; Assumptions'!$B$6, 0)</f>
        <v/>
      </c>
      <c r="R338" s="13" t="n">
        <v>1</v>
      </c>
      <c r="S338" s="14" t="n">
        <v>4.99</v>
      </c>
      <c r="T338" s="14" t="n">
        <v>3.36</v>
      </c>
      <c r="U338" s="26">
        <f>IF(X338&gt;='Methodology &amp; Assumptions'!$B$7, "Tier 1 Critical GIDA (Score ≥ 50.0)", IF(X338&gt;='Methodology &amp; Assumptions'!$B$8, "Tier 2 High GIDA (Score 40.0–49.9)", "Tier 3 Moderate GIDA (Score &lt; 40.0)"))</f>
        <v/>
      </c>
      <c r="V338" s="26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W338" s="28" t="n">
        <v>0.234</v>
      </c>
      <c r="X338" s="14" t="n">
        <v>55.05</v>
      </c>
      <c r="Y338" s="14">
        <f>ROUND(MIN(100, (X338/69.91)*100), 2)</f>
        <v/>
      </c>
    </row>
    <row r="339">
      <c r="A339" s="10" t="n">
        <v>1</v>
      </c>
      <c r="B339" s="10" t="n">
        <v>335</v>
      </c>
      <c r="C339" s="10" t="n">
        <v>335</v>
      </c>
      <c r="D339" s="10" t="inlineStr">
        <is>
          <t>1705303010</t>
        </is>
      </c>
      <c r="E339" s="26" t="inlineStr">
        <is>
          <t>MIMAROPA Region</t>
        </is>
      </c>
      <c r="F339" s="26" t="inlineStr">
        <is>
          <t>Palawan</t>
        </is>
      </c>
      <c r="G339" s="26" t="inlineStr">
        <is>
          <t>Araceli</t>
        </is>
      </c>
      <c r="H339" s="26" t="inlineStr">
        <is>
          <t>San Jose De Oro</t>
        </is>
      </c>
      <c r="I339" s="27" t="n">
        <v>10.59035</v>
      </c>
      <c r="J339" s="27" t="n">
        <v>119.86829</v>
      </c>
      <c r="K339" s="10" t="inlineStr">
        <is>
          <t>R</t>
        </is>
      </c>
      <c r="L339" s="12" t="n">
        <v>717</v>
      </c>
      <c r="M339" s="14" t="n">
        <v>3.9</v>
      </c>
      <c r="N339" s="12">
        <f>ROUND(L339/M339, 0)</f>
        <v/>
      </c>
      <c r="O339" s="12">
        <f>ROUND(N339*'Methodology &amp; Assumptions'!$B$5, 0)</f>
        <v/>
      </c>
      <c r="P339" s="10" t="inlineStr">
        <is>
          <t>Single Carrier (Band n50, 100MHz TDD)</t>
        </is>
      </c>
      <c r="Q339" s="13">
        <f>ROUNDUP(O339/'Methodology &amp; Assumptions'!$B$6, 0)</f>
        <v/>
      </c>
      <c r="R339" s="13" t="n">
        <v>1</v>
      </c>
      <c r="S339" s="14" t="n">
        <v>34.04</v>
      </c>
      <c r="T339" s="14" t="n">
        <v>42.88</v>
      </c>
      <c r="U339" s="26">
        <f>IF(X339&gt;='Methodology &amp; Assumptions'!$B$7, "Tier 1 Critical GIDA (Score ≥ 50.0)", IF(X339&gt;='Methodology &amp; Assumptions'!$B$8, "Tier 2 High GIDA (Score 40.0–49.9)", "Tier 3 Moderate GIDA (Score &lt; 40.0)"))</f>
        <v/>
      </c>
      <c r="V339" s="26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W339" s="28" t="n">
        <v>0.15</v>
      </c>
      <c r="X339" s="14" t="n">
        <v>55.03</v>
      </c>
      <c r="Y339" s="14">
        <f>ROUND(MIN(100, (X339/69.91)*100), 2)</f>
        <v/>
      </c>
    </row>
    <row r="340">
      <c r="A340" s="10" t="n">
        <v>1</v>
      </c>
      <c r="B340" s="10" t="n">
        <v>336</v>
      </c>
      <c r="C340" s="10" t="n">
        <v>336</v>
      </c>
      <c r="D340" s="10" t="inlineStr">
        <is>
          <t>1705303012</t>
        </is>
      </c>
      <c r="E340" s="26" t="inlineStr">
        <is>
          <t>MIMAROPA Region</t>
        </is>
      </c>
      <c r="F340" s="26" t="inlineStr">
        <is>
          <t>Palawan</t>
        </is>
      </c>
      <c r="G340" s="26" t="inlineStr">
        <is>
          <t>Araceli</t>
        </is>
      </c>
      <c r="H340" s="26" t="inlineStr">
        <is>
          <t>Taloto</t>
        </is>
      </c>
      <c r="I340" s="27" t="n">
        <v>10.60112</v>
      </c>
      <c r="J340" s="27" t="n">
        <v>119.895278</v>
      </c>
      <c r="K340" s="10" t="inlineStr">
        <is>
          <t>R</t>
        </is>
      </c>
      <c r="L340" s="12" t="n">
        <v>634</v>
      </c>
      <c r="M340" s="14" t="n">
        <v>3.9</v>
      </c>
      <c r="N340" s="12">
        <f>ROUND(L340/M340, 0)</f>
        <v/>
      </c>
      <c r="O340" s="12">
        <f>ROUND(N340*'Methodology &amp; Assumptions'!$B$5, 0)</f>
        <v/>
      </c>
      <c r="P340" s="10" t="inlineStr">
        <is>
          <t>Single Carrier (Band n50, 100MHz TDD)</t>
        </is>
      </c>
      <c r="Q340" s="13">
        <f>ROUNDUP(O340/'Methodology &amp; Assumptions'!$B$6, 0)</f>
        <v/>
      </c>
      <c r="R340" s="13" t="n">
        <v>1</v>
      </c>
      <c r="S340" s="14" t="n">
        <v>36.58</v>
      </c>
      <c r="T340" s="14" t="n">
        <v>45.41</v>
      </c>
      <c r="U340" s="26">
        <f>IF(X340&gt;='Methodology &amp; Assumptions'!$B$7, "Tier 1 Critical GIDA (Score ≥ 50.0)", IF(X340&gt;='Methodology &amp; Assumptions'!$B$8, "Tier 2 High GIDA (Score 40.0–49.9)", "Tier 3 Moderate GIDA (Score &lt; 40.0)"))</f>
        <v/>
      </c>
      <c r="V340" s="26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W340" s="28" t="n">
        <v>0.15</v>
      </c>
      <c r="X340" s="14" t="n">
        <v>55.03</v>
      </c>
      <c r="Y340" s="14">
        <f>ROUND(MIN(100, (X340/69.91)*100), 2)</f>
        <v/>
      </c>
    </row>
    <row r="341">
      <c r="A341" s="10" t="n">
        <v>1</v>
      </c>
      <c r="B341" s="10" t="n">
        <v>337</v>
      </c>
      <c r="C341" s="10" t="n">
        <v>337</v>
      </c>
      <c r="D341" s="10" t="inlineStr">
        <is>
          <t>PH0000337</t>
        </is>
      </c>
      <c r="E341" s="26" t="inlineStr">
        <is>
          <t>X</t>
        </is>
      </c>
      <c r="F341" s="26" t="inlineStr">
        <is>
          <t>Misamis Oriental</t>
        </is>
      </c>
      <c r="G341" s="26" t="inlineStr">
        <is>
          <t>Cagayan De Oro City</t>
        </is>
      </c>
      <c r="H341" s="26" t="inlineStr">
        <is>
          <t>Barangay 10 (Pob.)</t>
        </is>
      </c>
      <c r="I341" s="27" t="n">
        <v>8.460558000000001</v>
      </c>
      <c r="J341" s="27" t="n">
        <v>124.591801</v>
      </c>
      <c r="K341" s="10" t="inlineStr">
        <is>
          <t>R</t>
        </is>
      </c>
      <c r="L341" s="12" t="n">
        <v>2272</v>
      </c>
      <c r="M341" s="14" t="n">
        <v>3.9</v>
      </c>
      <c r="N341" s="12">
        <f>ROUND(L341/M341, 0)</f>
        <v/>
      </c>
      <c r="O341" s="12">
        <f>ROUND(N341*'Methodology &amp; Assumptions'!$B$5, 0)</f>
        <v/>
      </c>
      <c r="P341" s="10" t="inlineStr">
        <is>
          <t>Single Carrier (Band n50, 100MHz TDD)</t>
        </is>
      </c>
      <c r="Q341" s="13">
        <f>ROUNDUP(O341/'Methodology &amp; Assumptions'!$B$6, 0)</f>
        <v/>
      </c>
      <c r="R341" s="13" t="n">
        <v>1</v>
      </c>
      <c r="S341" s="14" t="n">
        <v>4.11</v>
      </c>
      <c r="T341" s="14" t="n">
        <v>1.64</v>
      </c>
      <c r="U341" s="26">
        <f>IF(X341&gt;='Methodology &amp; Assumptions'!$B$7, "Tier 1 Critical GIDA (Score ≥ 50.0)", IF(X341&gt;='Methodology &amp; Assumptions'!$B$8, "Tier 2 High GIDA (Score 40.0–49.9)", "Tier 3 Moderate GIDA (Score &lt; 40.0)"))</f>
        <v/>
      </c>
      <c r="V341" s="26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W341" s="28" t="n">
        <v>0.234</v>
      </c>
      <c r="X341" s="14" t="n">
        <v>55.03</v>
      </c>
      <c r="Y341" s="14">
        <f>ROUND(MIN(100, (X341/69.91)*100), 2)</f>
        <v/>
      </c>
    </row>
    <row r="342">
      <c r="A342" s="10" t="n">
        <v>1</v>
      </c>
      <c r="B342" s="10" t="n">
        <v>338</v>
      </c>
      <c r="C342" s="10" t="n">
        <v>338</v>
      </c>
      <c r="D342" s="10" t="inlineStr">
        <is>
          <t>1402701025</t>
        </is>
      </c>
      <c r="E342" s="26" t="inlineStr">
        <is>
          <t>Cordillera Administrative Region (CAR)</t>
        </is>
      </c>
      <c r="F342" s="26" t="inlineStr">
        <is>
          <t>Ifugao</t>
        </is>
      </c>
      <c r="G342" s="26" t="inlineStr">
        <is>
          <t>Banaue</t>
        </is>
      </c>
      <c r="H342" s="26" t="inlineStr">
        <is>
          <t>Pula</t>
        </is>
      </c>
      <c r="I342" s="27" t="n">
        <v>16.97607</v>
      </c>
      <c r="J342" s="27" t="n">
        <v>121.10632</v>
      </c>
      <c r="K342" s="10" t="inlineStr">
        <is>
          <t>R</t>
        </is>
      </c>
      <c r="L342" s="12" t="n">
        <v>479</v>
      </c>
      <c r="M342" s="14" t="n">
        <v>3.9</v>
      </c>
      <c r="N342" s="12">
        <f>ROUND(L342/M342, 0)</f>
        <v/>
      </c>
      <c r="O342" s="12">
        <f>ROUND(N342*'Methodology &amp; Assumptions'!$B$5, 0)</f>
        <v/>
      </c>
      <c r="P342" s="10" t="inlineStr">
        <is>
          <t>Single Carrier (Band n50, 100MHz TDD)</t>
        </is>
      </c>
      <c r="Q342" s="13">
        <f>ROUNDUP(O342/'Methodology &amp; Assumptions'!$B$6, 0)</f>
        <v/>
      </c>
      <c r="R342" s="13" t="n">
        <v>1</v>
      </c>
      <c r="S342" s="14" t="n">
        <v>8.710000000000001</v>
      </c>
      <c r="T342" s="14" t="n">
        <v>5.76</v>
      </c>
      <c r="U342" s="26">
        <f>IF(X342&gt;='Methodology &amp; Assumptions'!$B$7, "Tier 1 Critical GIDA (Score ≥ 50.0)", IF(X342&gt;='Methodology &amp; Assumptions'!$B$8, "Tier 2 High GIDA (Score 40.0–49.9)", "Tier 3 Moderate GIDA (Score &lt; 40.0)"))</f>
        <v/>
      </c>
      <c r="V342" s="26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W342" s="28" t="n">
        <v>0.109</v>
      </c>
      <c r="X342" s="14" t="n">
        <v>55.02</v>
      </c>
      <c r="Y342" s="14">
        <f>ROUND(MIN(100, (X342/69.91)*100), 2)</f>
        <v/>
      </c>
    </row>
    <row r="343">
      <c r="A343" s="10" t="n">
        <v>1</v>
      </c>
      <c r="B343" s="10" t="n">
        <v>339</v>
      </c>
      <c r="C343" s="10" t="n">
        <v>339</v>
      </c>
      <c r="D343" s="10" t="inlineStr">
        <is>
          <t>0201512026</t>
        </is>
      </c>
      <c r="E343" s="26" t="inlineStr">
        <is>
          <t>Region II (Cagayan Valley)</t>
        </is>
      </c>
      <c r="F343" s="26" t="inlineStr">
        <is>
          <t>Cagayan</t>
        </is>
      </c>
      <c r="G343" s="26" t="inlineStr">
        <is>
          <t>Enrile</t>
        </is>
      </c>
      <c r="H343" s="26" t="inlineStr">
        <is>
          <t>Roma Sur</t>
        </is>
      </c>
      <c r="I343" s="27" t="n">
        <v>17.509468</v>
      </c>
      <c r="J343" s="27" t="n">
        <v>121.69914</v>
      </c>
      <c r="K343" s="10" t="inlineStr">
        <is>
          <t>R</t>
        </is>
      </c>
      <c r="L343" s="12" t="n">
        <v>1391</v>
      </c>
      <c r="M343" s="14" t="n">
        <v>3.9</v>
      </c>
      <c r="N343" s="12">
        <f>ROUND(L343/M343, 0)</f>
        <v/>
      </c>
      <c r="O343" s="12">
        <f>ROUND(N343*'Methodology &amp; Assumptions'!$B$5, 0)</f>
        <v/>
      </c>
      <c r="P343" s="10" t="inlineStr">
        <is>
          <t>Single Carrier (Band n50, 100MHz TDD)</t>
        </is>
      </c>
      <c r="Q343" s="13">
        <f>ROUNDUP(O343/'Methodology &amp; Assumptions'!$B$6, 0)</f>
        <v/>
      </c>
      <c r="R343" s="13" t="n">
        <v>1</v>
      </c>
      <c r="S343" s="14" t="n">
        <v>5.86</v>
      </c>
      <c r="T343" s="14" t="n">
        <v>1.5</v>
      </c>
      <c r="U343" s="26">
        <f>IF(X343&gt;='Methodology &amp; Assumptions'!$B$7, "Tier 1 Critical GIDA (Score ≥ 50.0)", IF(X343&gt;='Methodology &amp; Assumptions'!$B$8, "Tier 2 High GIDA (Score 40.0–49.9)", "Tier 3 Moderate GIDA (Score &lt; 40.0)"))</f>
        <v/>
      </c>
      <c r="V343" s="26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W343" s="28" t="n">
        <v>0.083</v>
      </c>
      <c r="X343" s="14" t="n">
        <v>55.02</v>
      </c>
      <c r="Y343" s="14">
        <f>ROUND(MIN(100, (X343/69.91)*100), 2)</f>
        <v/>
      </c>
    </row>
    <row r="344">
      <c r="A344" s="10" t="n">
        <v>1</v>
      </c>
      <c r="B344" s="10" t="n">
        <v>340</v>
      </c>
      <c r="C344" s="10" t="n">
        <v>340</v>
      </c>
      <c r="D344" s="10" t="inlineStr">
        <is>
          <t>PH0000340</t>
        </is>
      </c>
      <c r="E344" s="26" t="inlineStr">
        <is>
          <t>X</t>
        </is>
      </c>
      <c r="F344" s="26" t="inlineStr">
        <is>
          <t>Misamis Oriental</t>
        </is>
      </c>
      <c r="G344" s="26" t="inlineStr">
        <is>
          <t>Cagayan De Oro City</t>
        </is>
      </c>
      <c r="H344" s="26" t="inlineStr">
        <is>
          <t>Barangay 15 (Pob.)</t>
        </is>
      </c>
      <c r="I344" s="27" t="n">
        <v>8.444269</v>
      </c>
      <c r="J344" s="27" t="n">
        <v>124.677124</v>
      </c>
      <c r="K344" s="10" t="inlineStr">
        <is>
          <t>R</t>
        </is>
      </c>
      <c r="L344" s="12" t="n">
        <v>2272</v>
      </c>
      <c r="M344" s="14" t="n">
        <v>3.9</v>
      </c>
      <c r="N344" s="12">
        <f>ROUND(L344/M344, 0)</f>
        <v/>
      </c>
      <c r="O344" s="12">
        <f>ROUND(N344*'Methodology &amp; Assumptions'!$B$5, 0)</f>
        <v/>
      </c>
      <c r="P344" s="10" t="inlineStr">
        <is>
          <t>Single Carrier (Band n50, 100MHz TDD)</t>
        </is>
      </c>
      <c r="Q344" s="13">
        <f>ROUNDUP(O344/'Methodology &amp; Assumptions'!$B$6, 0)</f>
        <v/>
      </c>
      <c r="R344" s="13" t="n">
        <v>1</v>
      </c>
      <c r="S344" s="14" t="n">
        <v>1.85</v>
      </c>
      <c r="T344" s="14" t="n">
        <v>3.12</v>
      </c>
      <c r="U344" s="26">
        <f>IF(X344&gt;='Methodology &amp; Assumptions'!$B$7, "Tier 1 Critical GIDA (Score ≥ 50.0)", IF(X344&gt;='Methodology &amp; Assumptions'!$B$8, "Tier 2 High GIDA (Score 40.0–49.9)", "Tier 3 Moderate GIDA (Score &lt; 40.0)"))</f>
        <v/>
      </c>
      <c r="V344" s="26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W344" s="28" t="n">
        <v>0.234</v>
      </c>
      <c r="X344" s="14" t="n">
        <v>55</v>
      </c>
      <c r="Y344" s="14">
        <f>ROUND(MIN(100, (X344/69.91)*100), 2)</f>
        <v/>
      </c>
    </row>
    <row r="345">
      <c r="A345" s="10" t="n">
        <v>1</v>
      </c>
      <c r="B345" s="10" t="n">
        <v>341</v>
      </c>
      <c r="C345" s="10" t="n">
        <v>341</v>
      </c>
      <c r="D345" s="10" t="inlineStr">
        <is>
          <t>0203110004</t>
        </is>
      </c>
      <c r="E345" s="26" t="inlineStr">
        <is>
          <t>Region II (Cagayan Valley)</t>
        </is>
      </c>
      <c r="F345" s="26" t="inlineStr">
        <is>
          <t>Isabela</t>
        </is>
      </c>
      <c r="G345" s="26" t="inlineStr">
        <is>
          <t>Dinapigue</t>
        </is>
      </c>
      <c r="H345" s="26" t="inlineStr">
        <is>
          <t>Dibulo</t>
        </is>
      </c>
      <c r="I345" s="27" t="n">
        <v>16.50571</v>
      </c>
      <c r="J345" s="27" t="n">
        <v>122.23487</v>
      </c>
      <c r="K345" s="10" t="inlineStr">
        <is>
          <t>R</t>
        </is>
      </c>
      <c r="L345" s="12" t="n">
        <v>1196</v>
      </c>
      <c r="M345" s="14" t="n">
        <v>3.8</v>
      </c>
      <c r="N345" s="12">
        <f>ROUND(L345/M345, 0)</f>
        <v/>
      </c>
      <c r="O345" s="12">
        <f>ROUND(N345*'Methodology &amp; Assumptions'!$B$5, 0)</f>
        <v/>
      </c>
      <c r="P345" s="10" t="inlineStr">
        <is>
          <t>Single Carrier (Band n50, 100MHz TDD)</t>
        </is>
      </c>
      <c r="Q345" s="13">
        <f>ROUNDUP(O345/'Methodology &amp; Assumptions'!$B$6, 0)</f>
        <v/>
      </c>
      <c r="R345" s="13" t="n">
        <v>1</v>
      </c>
      <c r="S345" s="14" t="n">
        <v>3.8</v>
      </c>
      <c r="T345" s="14" t="n">
        <v>0.26</v>
      </c>
      <c r="U345" s="26">
        <f>IF(X345&gt;='Methodology &amp; Assumptions'!$B$7, "Tier 1 Critical GIDA (Score ≥ 50.0)", IF(X345&gt;='Methodology &amp; Assumptions'!$B$8, "Tier 2 High GIDA (Score 40.0–49.9)", "Tier 3 Moderate GIDA (Score &lt; 40.0)"))</f>
        <v/>
      </c>
      <c r="V345" s="26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W345" s="28" t="n">
        <v>0.083</v>
      </c>
      <c r="X345" s="14" t="n">
        <v>55</v>
      </c>
      <c r="Y345" s="14">
        <f>ROUND(MIN(100, (X345/69.91)*100), 2)</f>
        <v/>
      </c>
    </row>
    <row r="346">
      <c r="A346" s="10" t="n">
        <v>1</v>
      </c>
      <c r="B346" s="10" t="n">
        <v>342</v>
      </c>
      <c r="C346" s="10" t="n">
        <v>342</v>
      </c>
      <c r="D346" s="10" t="inlineStr">
        <is>
          <t>0203110001</t>
        </is>
      </c>
      <c r="E346" s="26" t="inlineStr">
        <is>
          <t>Region II (Cagayan Valley)</t>
        </is>
      </c>
      <c r="F346" s="26" t="inlineStr">
        <is>
          <t>Isabela</t>
        </is>
      </c>
      <c r="G346" s="26" t="inlineStr">
        <is>
          <t>Dinapigue</t>
        </is>
      </c>
      <c r="H346" s="26" t="inlineStr">
        <is>
          <t>Ayod</t>
        </is>
      </c>
      <c r="I346" s="27" t="n">
        <v>16.58158</v>
      </c>
      <c r="J346" s="27" t="n">
        <v>122.26983</v>
      </c>
      <c r="K346" s="10" t="inlineStr">
        <is>
          <t>R</t>
        </is>
      </c>
      <c r="L346" s="12" t="n">
        <v>324</v>
      </c>
      <c r="M346" s="14" t="n">
        <v>3.8</v>
      </c>
      <c r="N346" s="12">
        <f>ROUND(L346/M346, 0)</f>
        <v/>
      </c>
      <c r="O346" s="12">
        <f>ROUND(N346*'Methodology &amp; Assumptions'!$B$5, 0)</f>
        <v/>
      </c>
      <c r="P346" s="10" t="inlineStr">
        <is>
          <t>Single Carrier (Band n50, 100MHz TDD)</t>
        </is>
      </c>
      <c r="Q346" s="13">
        <f>ROUNDUP(O346/'Methodology &amp; Assumptions'!$B$6, 0)</f>
        <v/>
      </c>
      <c r="R346" s="13" t="n">
        <v>1</v>
      </c>
      <c r="S346" s="14" t="n">
        <v>6.26</v>
      </c>
      <c r="T346" s="14" t="n">
        <v>6.48</v>
      </c>
      <c r="U346" s="26">
        <f>IF(X346&gt;='Methodology &amp; Assumptions'!$B$7, "Tier 1 Critical GIDA (Score ≥ 50.0)", IF(X346&gt;='Methodology &amp; Assumptions'!$B$8, "Tier 2 High GIDA (Score 40.0–49.9)", "Tier 3 Moderate GIDA (Score &lt; 40.0)"))</f>
        <v/>
      </c>
      <c r="V346" s="26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W346" s="28" t="n">
        <v>0.083</v>
      </c>
      <c r="X346" s="14" t="n">
        <v>55</v>
      </c>
      <c r="Y346" s="14">
        <f>ROUND(MIN(100, (X346/69.91)*100), 2)</f>
        <v/>
      </c>
    </row>
    <row r="347">
      <c r="A347" s="10" t="n">
        <v>1</v>
      </c>
      <c r="B347" s="10" t="n">
        <v>343</v>
      </c>
      <c r="C347" s="10" t="n">
        <v>343</v>
      </c>
      <c r="D347" s="10" t="inlineStr">
        <is>
          <t>0803731005</t>
        </is>
      </c>
      <c r="E347" s="26" t="inlineStr">
        <is>
          <t>Region VIII (Eastern Visayas)</t>
        </is>
      </c>
      <c r="F347" s="26" t="inlineStr">
        <is>
          <t>Leyte</t>
        </is>
      </c>
      <c r="G347" s="26" t="inlineStr">
        <is>
          <t>Mahaplag</t>
        </is>
      </c>
      <c r="H347" s="26" t="inlineStr">
        <is>
          <t>Hinaguimitan</t>
        </is>
      </c>
      <c r="I347" s="27" t="n">
        <v>10.592994</v>
      </c>
      <c r="J347" s="27" t="n">
        <v>125.005906</v>
      </c>
      <c r="K347" s="10" t="inlineStr">
        <is>
          <t>R</t>
        </is>
      </c>
      <c r="L347" s="12" t="n">
        <v>506</v>
      </c>
      <c r="M347" s="14" t="n">
        <v>3.8</v>
      </c>
      <c r="N347" s="12">
        <f>ROUND(L347/M347, 0)</f>
        <v/>
      </c>
      <c r="O347" s="12">
        <f>ROUND(N347*'Methodology &amp; Assumptions'!$B$5, 0)</f>
        <v/>
      </c>
      <c r="P347" s="10" t="inlineStr">
        <is>
          <t>Single Carrier (Band n50, 100MHz TDD)</t>
        </is>
      </c>
      <c r="Q347" s="13">
        <f>ROUNDUP(O347/'Methodology &amp; Assumptions'!$B$6, 0)</f>
        <v/>
      </c>
      <c r="R347" s="13" t="n">
        <v>1</v>
      </c>
      <c r="S347" s="14" t="n">
        <v>23.15</v>
      </c>
      <c r="T347" s="14" t="n">
        <v>4.67</v>
      </c>
      <c r="U347" s="26">
        <f>IF(X347&gt;='Methodology &amp; Assumptions'!$B$7, "Tier 1 Critical GIDA (Score ≥ 50.0)", IF(X347&gt;='Methodology &amp; Assumptions'!$B$8, "Tier 2 High GIDA (Score 40.0–49.9)", "Tier 3 Moderate GIDA (Score &lt; 40.0)"))</f>
        <v/>
      </c>
      <c r="V347" s="26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W347" s="28" t="n">
        <v>0.237</v>
      </c>
      <c r="X347" s="14" t="n">
        <v>55</v>
      </c>
      <c r="Y347" s="14">
        <f>ROUND(MIN(100, (X347/69.91)*100), 2)</f>
        <v/>
      </c>
    </row>
    <row r="348">
      <c r="A348" s="10" t="n">
        <v>1</v>
      </c>
      <c r="B348" s="10" t="n">
        <v>344</v>
      </c>
      <c r="C348" s="10" t="n">
        <v>344</v>
      </c>
      <c r="D348" s="10" t="inlineStr">
        <is>
          <t>0203111013</t>
        </is>
      </c>
      <c r="E348" s="26" t="inlineStr">
        <is>
          <t>Region II (Cagayan Valley)</t>
        </is>
      </c>
      <c r="F348" s="26" t="inlineStr">
        <is>
          <t>Isabela</t>
        </is>
      </c>
      <c r="G348" s="26" t="inlineStr">
        <is>
          <t>Divilacan</t>
        </is>
      </c>
      <c r="H348" s="26" t="inlineStr">
        <is>
          <t>Ditarum</t>
        </is>
      </c>
      <c r="I348" s="27" t="n">
        <v>17.306338</v>
      </c>
      <c r="J348" s="27" t="n">
        <v>122.319339</v>
      </c>
      <c r="K348" s="10" t="inlineStr">
        <is>
          <t>R</t>
        </is>
      </c>
      <c r="L348" s="12" t="n">
        <v>351</v>
      </c>
      <c r="M348" s="14" t="n">
        <v>3.8</v>
      </c>
      <c r="N348" s="12">
        <f>ROUND(L348/M348, 0)</f>
        <v/>
      </c>
      <c r="O348" s="12">
        <f>ROUND(N348*'Methodology &amp; Assumptions'!$B$5, 0)</f>
        <v/>
      </c>
      <c r="P348" s="10" t="inlineStr">
        <is>
          <t>Single Carrier (Band n50, 100MHz TDD)</t>
        </is>
      </c>
      <c r="Q348" s="13">
        <f>ROUNDUP(O348/'Methodology &amp; Assumptions'!$B$6, 0)</f>
        <v/>
      </c>
      <c r="R348" s="13" t="n">
        <v>1</v>
      </c>
      <c r="S348" s="14" t="n">
        <v>40.5</v>
      </c>
      <c r="T348" s="14" t="n">
        <v>45.22</v>
      </c>
      <c r="U348" s="26">
        <f>IF(X348&gt;='Methodology &amp; Assumptions'!$B$7, "Tier 1 Critical GIDA (Score ≥ 50.0)", IF(X348&gt;='Methodology &amp; Assumptions'!$B$8, "Tier 2 High GIDA (Score 40.0–49.9)", "Tier 3 Moderate GIDA (Score &lt; 40.0)"))</f>
        <v/>
      </c>
      <c r="V348" s="26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W348" s="28" t="n">
        <v>0.083</v>
      </c>
      <c r="X348" s="14" t="n">
        <v>55</v>
      </c>
      <c r="Y348" s="14">
        <f>ROUND(MIN(100, (X348/69.91)*100), 2)</f>
        <v/>
      </c>
    </row>
    <row r="349">
      <c r="A349" s="10" t="n">
        <v>1</v>
      </c>
      <c r="B349" s="10" t="n">
        <v>345</v>
      </c>
      <c r="C349" s="10" t="n">
        <v>345</v>
      </c>
      <c r="D349" s="10" t="inlineStr">
        <is>
          <t>0201509011</t>
        </is>
      </c>
      <c r="E349" s="26" t="inlineStr">
        <is>
          <t>Region II (Cagayan Valley)</t>
        </is>
      </c>
      <c r="F349" s="26" t="inlineStr">
        <is>
          <t>Cagayan</t>
        </is>
      </c>
      <c r="G349" s="26" t="inlineStr">
        <is>
          <t>Calayan</t>
        </is>
      </c>
      <c r="H349" s="26" t="inlineStr">
        <is>
          <t>Dalupiri</t>
        </is>
      </c>
      <c r="I349" s="27" t="n">
        <v>19.06053</v>
      </c>
      <c r="J349" s="27" t="n">
        <v>121.24631</v>
      </c>
      <c r="K349" s="10" t="inlineStr">
        <is>
          <t>R</t>
        </is>
      </c>
      <c r="L349" s="12" t="n">
        <v>638</v>
      </c>
      <c r="M349" s="14" t="n">
        <v>3.9</v>
      </c>
      <c r="N349" s="12">
        <f>ROUND(L349/M349, 0)</f>
        <v/>
      </c>
      <c r="O349" s="12">
        <f>ROUND(N349*'Methodology &amp; Assumptions'!$B$5, 0)</f>
        <v/>
      </c>
      <c r="P349" s="10" t="inlineStr">
        <is>
          <t>Single Carrier (Band n50, 100MHz TDD)</t>
        </is>
      </c>
      <c r="Q349" s="13">
        <f>ROUNDUP(O349/'Methodology &amp; Assumptions'!$B$6, 0)</f>
        <v/>
      </c>
      <c r="R349" s="13" t="n">
        <v>1</v>
      </c>
      <c r="S349" s="14" t="n">
        <v>54.23</v>
      </c>
      <c r="T349" s="14" t="n">
        <v>50.18</v>
      </c>
      <c r="U349" s="26">
        <f>IF(X349&gt;='Methodology &amp; Assumptions'!$B$7, "Tier 1 Critical GIDA (Score ≥ 50.0)", IF(X349&gt;='Methodology &amp; Assumptions'!$B$8, "Tier 2 High GIDA (Score 40.0–49.9)", "Tier 3 Moderate GIDA (Score &lt; 40.0)"))</f>
        <v/>
      </c>
      <c r="V349" s="26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W349" s="28" t="n">
        <v>0.083</v>
      </c>
      <c r="X349" s="14" t="n">
        <v>55</v>
      </c>
      <c r="Y349" s="14">
        <f>ROUND(MIN(100, (X349/69.91)*100), 2)</f>
        <v/>
      </c>
    </row>
    <row r="350">
      <c r="A350" s="10" t="n">
        <v>1</v>
      </c>
      <c r="B350" s="10" t="n">
        <v>346</v>
      </c>
      <c r="C350" s="10" t="n">
        <v>346</v>
      </c>
      <c r="D350" s="10" t="inlineStr">
        <is>
          <t>0600410012</t>
        </is>
      </c>
      <c r="E350" s="26" t="inlineStr">
        <is>
          <t>Region VI (Western Visayas)</t>
        </is>
      </c>
      <c r="F350" s="26" t="inlineStr">
        <is>
          <t>Aklan</t>
        </is>
      </c>
      <c r="G350" s="26" t="inlineStr">
        <is>
          <t>Madalag</t>
        </is>
      </c>
      <c r="H350" s="26" t="inlineStr">
        <is>
          <t>Mamba</t>
        </is>
      </c>
      <c r="I350" s="27" t="n">
        <v>11.494155</v>
      </c>
      <c r="J350" s="27" t="n">
        <v>122.272854</v>
      </c>
      <c r="K350" s="10" t="inlineStr">
        <is>
          <t>R</t>
        </is>
      </c>
      <c r="L350" s="12" t="n">
        <v>877</v>
      </c>
      <c r="M350" s="14" t="n">
        <v>3.9</v>
      </c>
      <c r="N350" s="12">
        <f>ROUND(L350/M350, 0)</f>
        <v/>
      </c>
      <c r="O350" s="12">
        <f>ROUND(N350*'Methodology &amp; Assumptions'!$B$5, 0)</f>
        <v/>
      </c>
      <c r="P350" s="10" t="inlineStr">
        <is>
          <t>Single Carrier (Band n50, 100MHz TDD)</t>
        </is>
      </c>
      <c r="Q350" s="13">
        <f>ROUNDUP(O350/'Methodology &amp; Assumptions'!$B$6, 0)</f>
        <v/>
      </c>
      <c r="R350" s="13" t="n">
        <v>1</v>
      </c>
      <c r="S350" s="14" t="n">
        <v>13.2</v>
      </c>
      <c r="T350" s="14" t="n">
        <v>12.67</v>
      </c>
      <c r="U350" s="26">
        <f>IF(X350&gt;='Methodology &amp; Assumptions'!$B$7, "Tier 1 Critical GIDA (Score ≥ 50.0)", IF(X350&gt;='Methodology &amp; Assumptions'!$B$8, "Tier 2 High GIDA (Score 40.0–49.9)", "Tier 3 Moderate GIDA (Score &lt; 40.0)"))</f>
        <v/>
      </c>
      <c r="V350" s="26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W350" s="28" t="n">
        <v>0.237</v>
      </c>
      <c r="X350" s="14" t="n">
        <v>54.99</v>
      </c>
      <c r="Y350" s="14">
        <f>ROUND(MIN(100, (X350/69.91)*100), 2)</f>
        <v/>
      </c>
    </row>
    <row r="351">
      <c r="A351" s="10" t="n">
        <v>1</v>
      </c>
      <c r="B351" s="10" t="n">
        <v>347</v>
      </c>
      <c r="C351" s="10" t="n">
        <v>347</v>
      </c>
      <c r="D351" s="10" t="inlineStr">
        <is>
          <t>1907009012</t>
        </is>
      </c>
      <c r="E351" s="26" t="inlineStr">
        <is>
          <t>Bangsamoro Autonomous Region In Muslim Mindanao (BARMM)</t>
        </is>
      </c>
      <c r="F351" s="26" t="inlineStr">
        <is>
          <t>Tawi-Tawi</t>
        </is>
      </c>
      <c r="G351" s="26" t="inlineStr">
        <is>
          <t>Languyan</t>
        </is>
      </c>
      <c r="H351" s="26" t="inlineStr">
        <is>
          <t>Tumbagaan</t>
        </is>
      </c>
      <c r="I351" s="27" t="n">
        <v>17.255783</v>
      </c>
      <c r="J351" s="27" t="n">
        <v>122.229827</v>
      </c>
      <c r="K351" s="10" t="inlineStr">
        <is>
          <t>R</t>
        </is>
      </c>
      <c r="L351" s="12" t="n">
        <v>1979</v>
      </c>
      <c r="M351" s="14" t="n">
        <v>5.8</v>
      </c>
      <c r="N351" s="12">
        <f>ROUND(L351/M351, 0)</f>
        <v/>
      </c>
      <c r="O351" s="12">
        <f>ROUND(N351*'Methodology &amp; Assumptions'!$B$5, 0)</f>
        <v/>
      </c>
      <c r="P351" s="10" t="inlineStr">
        <is>
          <t>Single Carrier (Band n50, 100MHz TDD)</t>
        </is>
      </c>
      <c r="Q351" s="13">
        <f>ROUNDUP(O351/'Methodology &amp; Assumptions'!$B$6, 0)</f>
        <v/>
      </c>
      <c r="R351" s="13" t="n">
        <v>1</v>
      </c>
      <c r="S351" s="14" t="n">
        <v>29.56</v>
      </c>
      <c r="T351" s="14" t="n">
        <v>34.42</v>
      </c>
      <c r="U351" s="26">
        <f>IF(X351&gt;='Methodology &amp; Assumptions'!$B$7, "Tier 1 Critical GIDA (Score ≥ 50.0)", IF(X351&gt;='Methodology &amp; Assumptions'!$B$8, "Tier 2 High GIDA (Score 40.0–49.9)", "Tier 3 Moderate GIDA (Score &lt; 40.0)"))</f>
        <v/>
      </c>
      <c r="V351" s="26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W351" s="28" t="n">
        <v>0.11</v>
      </c>
      <c r="X351" s="14" t="n">
        <v>54.98</v>
      </c>
      <c r="Y351" s="14">
        <f>ROUND(MIN(100, (X351/69.91)*100), 2)</f>
        <v/>
      </c>
    </row>
    <row r="352">
      <c r="A352" s="10" t="n">
        <v>1</v>
      </c>
      <c r="B352" s="10" t="n">
        <v>348</v>
      </c>
      <c r="C352" s="10" t="n">
        <v>348</v>
      </c>
      <c r="D352" s="10" t="inlineStr">
        <is>
          <t>1108211013</t>
        </is>
      </c>
      <c r="E352" s="26" t="inlineStr">
        <is>
          <t>Region XI (Davao Region)</t>
        </is>
      </c>
      <c r="F352" s="26" t="inlineStr">
        <is>
          <t>Davao de Oro</t>
        </is>
      </c>
      <c r="G352" s="26" t="inlineStr">
        <is>
          <t>Pantukan</t>
        </is>
      </c>
      <c r="H352" s="26" t="inlineStr">
        <is>
          <t>Araibo</t>
        </is>
      </c>
      <c r="I352" s="27" t="n">
        <v>7.249725</v>
      </c>
      <c r="J352" s="27" t="n">
        <v>126.156492</v>
      </c>
      <c r="K352" s="10" t="inlineStr">
        <is>
          <t>R</t>
        </is>
      </c>
      <c r="L352" s="12" t="n">
        <v>2585</v>
      </c>
      <c r="M352" s="14" t="n">
        <v>3.7</v>
      </c>
      <c r="N352" s="12">
        <f>ROUND(L352/M352, 0)</f>
        <v/>
      </c>
      <c r="O352" s="12">
        <f>ROUND(N352*'Methodology &amp; Assumptions'!$B$5, 0)</f>
        <v/>
      </c>
      <c r="P352" s="10" t="inlineStr">
        <is>
          <t>Single Carrier (Band n50, 100MHz TDD)</t>
        </is>
      </c>
      <c r="Q352" s="13">
        <f>ROUNDUP(O352/'Methodology &amp; Assumptions'!$B$6, 0)</f>
        <v/>
      </c>
      <c r="R352" s="13" t="n">
        <v>1</v>
      </c>
      <c r="S352" s="14" t="n">
        <v>31.17</v>
      </c>
      <c r="T352" s="14" t="n">
        <v>29.4</v>
      </c>
      <c r="U352" s="26">
        <f>IF(X352&gt;='Methodology &amp; Assumptions'!$B$7, "Tier 1 Critical GIDA (Score ≥ 50.0)", IF(X352&gt;='Methodology &amp; Assumptions'!$B$8, "Tier 2 High GIDA (Score 40.0–49.9)", "Tier 3 Moderate GIDA (Score &lt; 40.0)"))</f>
        <v/>
      </c>
      <c r="V352" s="26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W352" s="28" t="n">
        <v>0.174</v>
      </c>
      <c r="X352" s="14" t="n">
        <v>54.98</v>
      </c>
      <c r="Y352" s="14">
        <f>ROUND(MIN(100, (X352/69.91)*100), 2)</f>
        <v/>
      </c>
    </row>
    <row r="353">
      <c r="A353" s="10" t="n">
        <v>1</v>
      </c>
      <c r="B353" s="10" t="n">
        <v>349</v>
      </c>
      <c r="C353" s="10" t="n">
        <v>349</v>
      </c>
      <c r="D353" s="10" t="inlineStr">
        <is>
          <t>PH0000349</t>
        </is>
      </c>
      <c r="E353" s="26" t="inlineStr">
        <is>
          <t>VI</t>
        </is>
      </c>
      <c r="F353" s="26" t="inlineStr">
        <is>
          <t>Iloilo</t>
        </is>
      </c>
      <c r="G353" s="26" t="inlineStr">
        <is>
          <t>Iloilo City</t>
        </is>
      </c>
      <c r="H353" s="26" t="inlineStr">
        <is>
          <t>Bonifacio Tanza</t>
        </is>
      </c>
      <c r="I353" s="27" t="n">
        <v>10.640601</v>
      </c>
      <c r="J353" s="27" t="n">
        <v>122.55892</v>
      </c>
      <c r="K353" s="10" t="inlineStr">
        <is>
          <t>R</t>
        </is>
      </c>
      <c r="L353" s="12" t="n">
        <v>2230</v>
      </c>
      <c r="M353" s="14" t="n">
        <v>3.8</v>
      </c>
      <c r="N353" s="12">
        <f>ROUND(L353/M353, 0)</f>
        <v/>
      </c>
      <c r="O353" s="12">
        <f>ROUND(N353*'Methodology &amp; Assumptions'!$B$5, 0)</f>
        <v/>
      </c>
      <c r="P353" s="10" t="inlineStr">
        <is>
          <t>Single Carrier (Band n50, 100MHz TDD)</t>
        </is>
      </c>
      <c r="Q353" s="13">
        <f>ROUNDUP(O353/'Methodology &amp; Assumptions'!$B$6, 0)</f>
        <v/>
      </c>
      <c r="R353" s="13" t="n">
        <v>1</v>
      </c>
      <c r="S353" s="14" t="n">
        <v>5.85</v>
      </c>
      <c r="T353" s="14" t="n">
        <v>6.89</v>
      </c>
      <c r="U353" s="26">
        <f>IF(X353&gt;='Methodology &amp; Assumptions'!$B$7, "Tier 1 Critical GIDA (Score ≥ 50.0)", IF(X353&gt;='Methodology &amp; Assumptions'!$B$8, "Tier 2 High GIDA (Score 40.0–49.9)", "Tier 3 Moderate GIDA (Score &lt; 40.0)"))</f>
        <v/>
      </c>
      <c r="V353" s="26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W353" s="28" t="n">
        <v>0.156</v>
      </c>
      <c r="X353" s="14" t="n">
        <v>54.98</v>
      </c>
      <c r="Y353" s="14">
        <f>ROUND(MIN(100, (X353/69.91)*100), 2)</f>
        <v/>
      </c>
    </row>
    <row r="354">
      <c r="A354" s="10" t="n">
        <v>1</v>
      </c>
      <c r="B354" s="10" t="n">
        <v>350</v>
      </c>
      <c r="C354" s="10" t="n">
        <v>350</v>
      </c>
      <c r="D354" s="10" t="inlineStr">
        <is>
          <t>PH0000350</t>
        </is>
      </c>
      <c r="E354" s="26" t="inlineStr">
        <is>
          <t>IV-B</t>
        </is>
      </c>
      <c r="F354" s="26" t="inlineStr">
        <is>
          <t>Palawan</t>
        </is>
      </c>
      <c r="G354" s="26" t="inlineStr">
        <is>
          <t>Puerto Princesa City</t>
        </is>
      </c>
      <c r="H354" s="26" t="inlineStr">
        <is>
          <t>Magkakaibigan (Pob.)</t>
        </is>
      </c>
      <c r="I354" s="27" t="n">
        <v>9.738485000000001</v>
      </c>
      <c r="J354" s="27" t="n">
        <v>118.73392</v>
      </c>
      <c r="K354" s="10" t="inlineStr">
        <is>
          <t>R</t>
        </is>
      </c>
      <c r="L354" s="12" t="n">
        <v>2597</v>
      </c>
      <c r="M354" s="14" t="n">
        <v>3.9</v>
      </c>
      <c r="N354" s="12">
        <f>ROUND(L354/M354, 0)</f>
        <v/>
      </c>
      <c r="O354" s="12">
        <f>ROUND(N354*'Methodology &amp; Assumptions'!$B$5, 0)</f>
        <v/>
      </c>
      <c r="P354" s="10" t="inlineStr">
        <is>
          <t>Single Carrier (Band n50, 100MHz TDD)</t>
        </is>
      </c>
      <c r="Q354" s="13">
        <f>ROUNDUP(O354/'Methodology &amp; Assumptions'!$B$6, 0)</f>
        <v/>
      </c>
      <c r="R354" s="13" t="n">
        <v>1</v>
      </c>
      <c r="S354" s="14" t="n">
        <v>0.24</v>
      </c>
      <c r="T354" s="14" t="n">
        <v>2.46</v>
      </c>
      <c r="U354" s="26">
        <f>IF(X354&gt;='Methodology &amp; Assumptions'!$B$7, "Tier 1 Critical GIDA (Score ≥ 50.0)", IF(X354&gt;='Methodology &amp; Assumptions'!$B$8, "Tier 2 High GIDA (Score 40.0–49.9)", "Tier 3 Moderate GIDA (Score &lt; 40.0)"))</f>
        <v/>
      </c>
      <c r="V354" s="26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W354" s="28" t="n">
        <v>0.109</v>
      </c>
      <c r="X354" s="14" t="n">
        <v>54.97</v>
      </c>
      <c r="Y354" s="14">
        <f>ROUND(MIN(100, (X354/69.91)*100), 2)</f>
        <v/>
      </c>
    </row>
    <row r="355">
      <c r="A355" s="10" t="n">
        <v>1</v>
      </c>
      <c r="B355" s="10" t="n">
        <v>351</v>
      </c>
      <c r="C355" s="10" t="n">
        <v>351</v>
      </c>
      <c r="D355" s="10" t="inlineStr">
        <is>
          <t>0201505025</t>
        </is>
      </c>
      <c r="E355" s="26" t="inlineStr">
        <is>
          <t>Region II (Cagayan Valley)</t>
        </is>
      </c>
      <c r="F355" s="26" t="inlineStr">
        <is>
          <t>Cagayan</t>
        </is>
      </c>
      <c r="G355" s="26" t="inlineStr">
        <is>
          <t>Aparri</t>
        </is>
      </c>
      <c r="H355" s="26" t="inlineStr">
        <is>
          <t>Fuga Island</t>
        </is>
      </c>
      <c r="I355" s="27" t="n">
        <v>18.88613</v>
      </c>
      <c r="J355" s="27" t="n">
        <v>121.413278</v>
      </c>
      <c r="K355" s="10" t="inlineStr">
        <is>
          <t>R</t>
        </is>
      </c>
      <c r="L355" s="12" t="n">
        <v>1994</v>
      </c>
      <c r="M355" s="14" t="n">
        <v>3.9</v>
      </c>
      <c r="N355" s="12">
        <f>ROUND(L355/M355, 0)</f>
        <v/>
      </c>
      <c r="O355" s="12">
        <f>ROUND(N355*'Methodology &amp; Assumptions'!$B$5, 0)</f>
        <v/>
      </c>
      <c r="P355" s="10" t="inlineStr">
        <is>
          <t>Single Carrier (Band n50, 100MHz TDD)</t>
        </is>
      </c>
      <c r="Q355" s="13">
        <f>ROUNDUP(O355/'Methodology &amp; Assumptions'!$B$6, 0)</f>
        <v/>
      </c>
      <c r="R355" s="13" t="n">
        <v>1</v>
      </c>
      <c r="S355" s="14" t="n">
        <v>40.94</v>
      </c>
      <c r="T355" s="14" t="n">
        <v>39.47</v>
      </c>
      <c r="U355" s="26">
        <f>IF(X355&gt;='Methodology &amp; Assumptions'!$B$7, "Tier 1 Critical GIDA (Score ≥ 50.0)", IF(X355&gt;='Methodology &amp; Assumptions'!$B$8, "Tier 2 High GIDA (Score 40.0–49.9)", "Tier 3 Moderate GIDA (Score &lt; 40.0)"))</f>
        <v/>
      </c>
      <c r="V355" s="26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W355" s="28" t="n">
        <v>0.083</v>
      </c>
      <c r="X355" s="14" t="n">
        <v>54.96</v>
      </c>
      <c r="Y355" s="14">
        <f>ROUND(MIN(100, (X355/69.91)*100), 2)</f>
        <v/>
      </c>
    </row>
    <row r="356">
      <c r="A356" s="10" t="n">
        <v>1</v>
      </c>
      <c r="B356" s="10" t="n">
        <v>352</v>
      </c>
      <c r="C356" s="10" t="n">
        <v>352</v>
      </c>
      <c r="D356" s="10" t="inlineStr">
        <is>
          <t>1705305020</t>
        </is>
      </c>
      <c r="E356" s="26" t="inlineStr">
        <is>
          <t>MIMAROPA Region</t>
        </is>
      </c>
      <c r="F356" s="26" t="inlineStr">
        <is>
          <t>Palawan</t>
        </is>
      </c>
      <c r="G356" s="26" t="inlineStr">
        <is>
          <t>Bataraza</t>
        </is>
      </c>
      <c r="H356" s="26" t="inlineStr">
        <is>
          <t>Tagolango</t>
        </is>
      </c>
      <c r="I356" s="27" t="n">
        <v>8.480218000000001</v>
      </c>
      <c r="J356" s="27" t="n">
        <v>117.219913</v>
      </c>
      <c r="K356" s="10" t="inlineStr">
        <is>
          <t>R</t>
        </is>
      </c>
      <c r="L356" s="12" t="n">
        <v>1216</v>
      </c>
      <c r="M356" s="14" t="n">
        <v>3.9</v>
      </c>
      <c r="N356" s="12">
        <f>ROUND(L356/M356, 0)</f>
        <v/>
      </c>
      <c r="O356" s="12">
        <f>ROUND(N356*'Methodology &amp; Assumptions'!$B$5, 0)</f>
        <v/>
      </c>
      <c r="P356" s="10" t="inlineStr">
        <is>
          <t>Single Carrier (Band n50, 100MHz TDD)</t>
        </is>
      </c>
      <c r="Q356" s="13">
        <f>ROUNDUP(O356/'Methodology &amp; Assumptions'!$B$6, 0)</f>
        <v/>
      </c>
      <c r="R356" s="13" t="n">
        <v>1</v>
      </c>
      <c r="S356" s="14" t="n">
        <v>217.39</v>
      </c>
      <c r="T356" s="14" t="n">
        <v>219.67</v>
      </c>
      <c r="U356" s="26">
        <f>IF(X356&gt;='Methodology &amp; Assumptions'!$B$7, "Tier 1 Critical GIDA (Score ≥ 50.0)", IF(X356&gt;='Methodology &amp; Assumptions'!$B$8, "Tier 2 High GIDA (Score 40.0–49.9)", "Tier 3 Moderate GIDA (Score &lt; 40.0)"))</f>
        <v/>
      </c>
      <c r="V356" s="26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W356" s="28" t="n">
        <v>0.15</v>
      </c>
      <c r="X356" s="14" t="n">
        <v>54.96</v>
      </c>
      <c r="Y356" s="14">
        <f>ROUND(MIN(100, (X356/69.91)*100), 2)</f>
        <v/>
      </c>
    </row>
    <row r="357">
      <c r="A357" s="10" t="n">
        <v>1</v>
      </c>
      <c r="B357" s="10" t="n">
        <v>353</v>
      </c>
      <c r="C357" s="10" t="n">
        <v>353</v>
      </c>
      <c r="D357" s="10" t="inlineStr">
        <is>
          <t>0600406011</t>
        </is>
      </c>
      <c r="E357" s="26" t="inlineStr">
        <is>
          <t>Region VI (Western Visayas)</t>
        </is>
      </c>
      <c r="F357" s="26" t="inlineStr">
        <is>
          <t>Aklan</t>
        </is>
      </c>
      <c r="G357" s="26" t="inlineStr">
        <is>
          <t>Ibajay</t>
        </is>
      </c>
      <c r="H357" s="26" t="inlineStr">
        <is>
          <t>Cabugao</t>
        </is>
      </c>
      <c r="I357" s="27" t="n">
        <v>11.736958</v>
      </c>
      <c r="J357" s="27" t="n">
        <v>122.169342</v>
      </c>
      <c r="K357" s="10" t="inlineStr">
        <is>
          <t>R</t>
        </is>
      </c>
      <c r="L357" s="12" t="n">
        <v>274</v>
      </c>
      <c r="M357" s="14" t="n">
        <v>3.9</v>
      </c>
      <c r="N357" s="12">
        <f>ROUND(L357/M357, 0)</f>
        <v/>
      </c>
      <c r="O357" s="12">
        <f>ROUND(N357*'Methodology &amp; Assumptions'!$B$5, 0)</f>
        <v/>
      </c>
      <c r="P357" s="10" t="inlineStr">
        <is>
          <t>Single Carrier (Band n50, 100MHz TDD)</t>
        </is>
      </c>
      <c r="Q357" s="13">
        <f>ROUNDUP(O357/'Methodology &amp; Assumptions'!$B$6, 0)</f>
        <v/>
      </c>
      <c r="R357" s="13" t="n">
        <v>1</v>
      </c>
      <c r="S357" s="14" t="n">
        <v>13.71</v>
      </c>
      <c r="T357" s="14" t="n">
        <v>5.51</v>
      </c>
      <c r="U357" s="26">
        <f>IF(X357&gt;='Methodology &amp; Assumptions'!$B$7, "Tier 1 Critical GIDA (Score ≥ 50.0)", IF(X357&gt;='Methodology &amp; Assumptions'!$B$8, "Tier 2 High GIDA (Score 40.0–49.9)", "Tier 3 Moderate GIDA (Score &lt; 40.0)"))</f>
        <v/>
      </c>
      <c r="V357" s="26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W357" s="28" t="n">
        <v>0.237</v>
      </c>
      <c r="X357" s="14" t="n">
        <v>54.96</v>
      </c>
      <c r="Y357" s="14">
        <f>ROUND(MIN(100, (X357/69.91)*100), 2)</f>
        <v/>
      </c>
    </row>
    <row r="358">
      <c r="A358" s="10" t="n">
        <v>1</v>
      </c>
      <c r="B358" s="10" t="n">
        <v>354</v>
      </c>
      <c r="C358" s="10" t="n">
        <v>354</v>
      </c>
      <c r="D358" s="10" t="inlineStr">
        <is>
          <t>1380604008</t>
        </is>
      </c>
      <c r="E358" s="26" t="inlineStr">
        <is>
          <t>National Capital Region (NCR)</t>
        </is>
      </c>
      <c r="F358" s="26" t="inlineStr">
        <is>
          <t>First District (Not a Province)</t>
        </is>
      </c>
      <c r="G358" s="26" t="inlineStr">
        <is>
          <t>City of Manila</t>
        </is>
      </c>
      <c r="H358" s="26" t="inlineStr">
        <is>
          <t>Barangay 275</t>
        </is>
      </c>
      <c r="I358" s="27" t="n">
        <v>12.798444</v>
      </c>
      <c r="J358" s="27" t="n">
        <v>121.755521</v>
      </c>
      <c r="K358" s="10" t="inlineStr">
        <is>
          <t>U</t>
        </is>
      </c>
      <c r="L358" s="12" t="n">
        <v>20411</v>
      </c>
      <c r="M358" s="14" t="n">
        <v>3.9</v>
      </c>
      <c r="N358" s="12">
        <f>ROUND(L358/M358, 0)</f>
        <v/>
      </c>
      <c r="O358" s="12">
        <f>ROUND(N358*'Methodology &amp; Assumptions'!$B$5, 0)</f>
        <v/>
      </c>
      <c r="P358" s="10" t="inlineStr">
        <is>
          <t>Single Carrier (Band n50, 100MHz TDD)</t>
        </is>
      </c>
      <c r="Q358" s="13">
        <f>ROUNDUP(O358/'Methodology &amp; Assumptions'!$B$6, 0)</f>
        <v/>
      </c>
      <c r="R358" s="13" t="n">
        <v>1</v>
      </c>
      <c r="S358" s="14" t="n">
        <v>29.71</v>
      </c>
      <c r="T358" s="14" t="n">
        <v>29.65</v>
      </c>
      <c r="U358" s="26">
        <f>IF(X358&gt;='Methodology &amp; Assumptions'!$B$7, "Tier 1 Critical GIDA (Score ≥ 50.0)", IF(X358&gt;='Methodology &amp; Assumptions'!$B$8, "Tier 2 High GIDA (Score 40.0–49.9)", "Tier 3 Moderate GIDA (Score &lt; 40.0)"))</f>
        <v/>
      </c>
      <c r="V358" s="26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W358" s="28" t="n">
        <v>0.109</v>
      </c>
      <c r="X358" s="14" t="n">
        <v>54.92</v>
      </c>
      <c r="Y358" s="14">
        <f>ROUND(MIN(100, (X358/69.91)*100), 2)</f>
        <v/>
      </c>
    </row>
    <row r="359">
      <c r="A359" s="10" t="n">
        <v>1</v>
      </c>
      <c r="B359" s="10" t="n">
        <v>355</v>
      </c>
      <c r="C359" s="10" t="n">
        <v>355</v>
      </c>
      <c r="D359" s="10" t="inlineStr">
        <is>
          <t>1705305019</t>
        </is>
      </c>
      <c r="E359" s="26" t="inlineStr">
        <is>
          <t>MIMAROPA Region</t>
        </is>
      </c>
      <c r="F359" s="26" t="inlineStr">
        <is>
          <t>Palawan</t>
        </is>
      </c>
      <c r="G359" s="26" t="inlineStr">
        <is>
          <t>Bataraza</t>
        </is>
      </c>
      <c r="H359" s="26" t="inlineStr">
        <is>
          <t>Tagnato</t>
        </is>
      </c>
      <c r="I359" s="27" t="n">
        <v>8.409375000000001</v>
      </c>
      <c r="J359" s="27" t="n">
        <v>117.256354</v>
      </c>
      <c r="K359" s="10" t="inlineStr">
        <is>
          <t>R</t>
        </is>
      </c>
      <c r="L359" s="12" t="n">
        <v>1114</v>
      </c>
      <c r="M359" s="14" t="n">
        <v>3.9</v>
      </c>
      <c r="N359" s="12">
        <f>ROUND(L359/M359, 0)</f>
        <v/>
      </c>
      <c r="O359" s="12">
        <f>ROUND(N359*'Methodology &amp; Assumptions'!$B$5, 0)</f>
        <v/>
      </c>
      <c r="P359" s="10" t="inlineStr">
        <is>
          <t>Single Carrier (Band n50, 100MHz TDD)</t>
        </is>
      </c>
      <c r="Q359" s="13">
        <f>ROUNDUP(O359/'Methodology &amp; Assumptions'!$B$6, 0)</f>
        <v/>
      </c>
      <c r="R359" s="13" t="n">
        <v>1</v>
      </c>
      <c r="S359" s="14" t="n">
        <v>219.59</v>
      </c>
      <c r="T359" s="14" t="n">
        <v>221.88</v>
      </c>
      <c r="U359" s="26">
        <f>IF(X359&gt;='Methodology &amp; Assumptions'!$B$7, "Tier 1 Critical GIDA (Score ≥ 50.0)", IF(X359&gt;='Methodology &amp; Assumptions'!$B$8, "Tier 2 High GIDA (Score 40.0–49.9)", "Tier 3 Moderate GIDA (Score &lt; 40.0)"))</f>
        <v/>
      </c>
      <c r="V359" s="26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W359" s="28" t="n">
        <v>0.15</v>
      </c>
      <c r="X359" s="14" t="n">
        <v>54.92</v>
      </c>
      <c r="Y359" s="14">
        <f>ROUND(MIN(100, (X359/69.91)*100), 2)</f>
        <v/>
      </c>
    </row>
    <row r="360">
      <c r="A360" s="10" t="n">
        <v>1</v>
      </c>
      <c r="B360" s="10" t="n">
        <v>356</v>
      </c>
      <c r="C360" s="10" t="n">
        <v>356</v>
      </c>
      <c r="D360" s="10" t="inlineStr">
        <is>
          <t>0201506038</t>
        </is>
      </c>
      <c r="E360" s="26" t="inlineStr">
        <is>
          <t>Region II (Cagayan Valley)</t>
        </is>
      </c>
      <c r="F360" s="26" t="inlineStr">
        <is>
          <t>Cagayan</t>
        </is>
      </c>
      <c r="G360" s="26" t="inlineStr">
        <is>
          <t>Baggao</t>
        </is>
      </c>
      <c r="H360" s="26" t="inlineStr">
        <is>
          <t>Santa Margarita</t>
        </is>
      </c>
      <c r="I360" s="27" t="n">
        <v>17.9524</v>
      </c>
      <c r="J360" s="27" t="n">
        <v>122.07605</v>
      </c>
      <c r="K360" s="10" t="inlineStr">
        <is>
          <t>U</t>
        </is>
      </c>
      <c r="L360" s="12" t="n">
        <v>5147</v>
      </c>
      <c r="M360" s="14" t="n">
        <v>3.9</v>
      </c>
      <c r="N360" s="12">
        <f>ROUND(L360/M360, 0)</f>
        <v/>
      </c>
      <c r="O360" s="12">
        <f>ROUND(N360*'Methodology &amp; Assumptions'!$B$5, 0)</f>
        <v/>
      </c>
      <c r="P360" s="10" t="inlineStr">
        <is>
          <t>Single Carrier (Band n50, 100MHz TDD)</t>
        </is>
      </c>
      <c r="Q360" s="13">
        <f>ROUNDUP(O360/'Methodology &amp; Assumptions'!$B$6, 0)</f>
        <v/>
      </c>
      <c r="R360" s="13" t="n">
        <v>1</v>
      </c>
      <c r="S360" s="14" t="n">
        <v>19.67</v>
      </c>
      <c r="T360" s="14" t="n">
        <v>34.36</v>
      </c>
      <c r="U360" s="26">
        <f>IF(X360&gt;='Methodology &amp; Assumptions'!$B$7, "Tier 1 Critical GIDA (Score ≥ 50.0)", IF(X360&gt;='Methodology &amp; Assumptions'!$B$8, "Tier 2 High GIDA (Score 40.0–49.9)", "Tier 3 Moderate GIDA (Score &lt; 40.0)"))</f>
        <v/>
      </c>
      <c r="V360" s="26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W360" s="28" t="n">
        <v>0.083</v>
      </c>
      <c r="X360" s="14" t="n">
        <v>54.91</v>
      </c>
      <c r="Y360" s="14">
        <f>ROUND(MIN(100, (X360/69.91)*100), 2)</f>
        <v/>
      </c>
    </row>
    <row r="361">
      <c r="A361" s="10" t="n">
        <v>1</v>
      </c>
      <c r="B361" s="10" t="n">
        <v>357</v>
      </c>
      <c r="C361" s="10" t="n">
        <v>357</v>
      </c>
      <c r="D361" s="10" t="inlineStr">
        <is>
          <t>PH0000357</t>
        </is>
      </c>
      <c r="E361" s="26" t="inlineStr">
        <is>
          <t>VI</t>
        </is>
      </c>
      <c r="F361" s="26" t="inlineStr">
        <is>
          <t>Iloilo</t>
        </is>
      </c>
      <c r="G361" s="26" t="inlineStr">
        <is>
          <t>Iloilo City</t>
        </is>
      </c>
      <c r="H361" s="26" t="inlineStr">
        <is>
          <t>Cochero</t>
        </is>
      </c>
      <c r="I361" s="27" t="n">
        <v>10.759839</v>
      </c>
      <c r="J361" s="27" t="n">
        <v>122.491776</v>
      </c>
      <c r="K361" s="10" t="inlineStr">
        <is>
          <t>R</t>
        </is>
      </c>
      <c r="L361" s="12" t="n">
        <v>2230</v>
      </c>
      <c r="M361" s="14" t="n">
        <v>3.8</v>
      </c>
      <c r="N361" s="12">
        <f>ROUND(L361/M361, 0)</f>
        <v/>
      </c>
      <c r="O361" s="12">
        <f>ROUND(N361*'Methodology &amp; Assumptions'!$B$5, 0)</f>
        <v/>
      </c>
      <c r="P361" s="10" t="inlineStr">
        <is>
          <t>Single Carrier (Band n50, 100MHz TDD)</t>
        </is>
      </c>
      <c r="Q361" s="13">
        <f>ROUNDUP(O361/'Methodology &amp; Assumptions'!$B$6, 0)</f>
        <v/>
      </c>
      <c r="R361" s="13" t="n">
        <v>1</v>
      </c>
      <c r="S361" s="14" t="n">
        <v>5.85</v>
      </c>
      <c r="T361" s="14" t="n">
        <v>0.53</v>
      </c>
      <c r="U361" s="26">
        <f>IF(X361&gt;='Methodology &amp; Assumptions'!$B$7, "Tier 1 Critical GIDA (Score ≥ 50.0)", IF(X361&gt;='Methodology &amp; Assumptions'!$B$8, "Tier 2 High GIDA (Score 40.0–49.9)", "Tier 3 Moderate GIDA (Score &lt; 40.0)"))</f>
        <v/>
      </c>
      <c r="V361" s="26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W361" s="28" t="n">
        <v>0.156</v>
      </c>
      <c r="X361" s="14" t="n">
        <v>54.9</v>
      </c>
      <c r="Y361" s="14">
        <f>ROUND(MIN(100, (X361/69.91)*100), 2)</f>
        <v/>
      </c>
    </row>
    <row r="362">
      <c r="A362" s="10" t="n">
        <v>1</v>
      </c>
      <c r="B362" s="10" t="n">
        <v>358</v>
      </c>
      <c r="C362" s="10" t="n">
        <v>358</v>
      </c>
      <c r="D362" s="10" t="inlineStr">
        <is>
          <t>0405628013</t>
        </is>
      </c>
      <c r="E362" s="26" t="inlineStr">
        <is>
          <t>Region IV-A (CALABARZON)</t>
        </is>
      </c>
      <c r="F362" s="26" t="inlineStr">
        <is>
          <t>Quezon</t>
        </is>
      </c>
      <c r="G362" s="26" t="inlineStr">
        <is>
          <t>Mulanay</t>
        </is>
      </c>
      <c r="H362" s="26" t="inlineStr">
        <is>
          <t>Buenavista</t>
        </is>
      </c>
      <c r="I362" s="27" t="n">
        <v>13.50734</v>
      </c>
      <c r="J362" s="27" t="n">
        <v>122.456888</v>
      </c>
      <c r="K362" s="10" t="inlineStr">
        <is>
          <t>R</t>
        </is>
      </c>
      <c r="L362" s="12" t="n">
        <v>1369</v>
      </c>
      <c r="M362" s="14" t="n">
        <v>3.8</v>
      </c>
      <c r="N362" s="12">
        <f>ROUND(L362/M362, 0)</f>
        <v/>
      </c>
      <c r="O362" s="12">
        <f>ROUND(N362*'Methodology &amp; Assumptions'!$B$5, 0)</f>
        <v/>
      </c>
      <c r="P362" s="10" t="inlineStr">
        <is>
          <t>Single Carrier (Band n50, 100MHz TDD)</t>
        </is>
      </c>
      <c r="Q362" s="13">
        <f>ROUNDUP(O362/'Methodology &amp; Assumptions'!$B$6, 0)</f>
        <v/>
      </c>
      <c r="R362" s="13" t="n">
        <v>1</v>
      </c>
      <c r="S362" s="14" t="n">
        <v>6.72</v>
      </c>
      <c r="T362" s="14" t="n">
        <v>6.3</v>
      </c>
      <c r="U362" s="26">
        <f>IF(X362&gt;='Methodology &amp; Assumptions'!$B$7, "Tier 1 Critical GIDA (Score ≥ 50.0)", IF(X362&gt;='Methodology &amp; Assumptions'!$B$8, "Tier 2 High GIDA (Score 40.0–49.9)", "Tier 3 Moderate GIDA (Score &lt; 40.0)"))</f>
        <v/>
      </c>
      <c r="V362" s="26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W362" s="28" t="n">
        <v>0.07200000000000001</v>
      </c>
      <c r="X362" s="14" t="n">
        <v>54.89</v>
      </c>
      <c r="Y362" s="14">
        <f>ROUND(MIN(100, (X362/69.91)*100), 2)</f>
        <v/>
      </c>
    </row>
    <row r="363">
      <c r="A363" s="10" t="n">
        <v>1</v>
      </c>
      <c r="B363" s="10" t="n">
        <v>359</v>
      </c>
      <c r="C363" s="10" t="n">
        <v>359</v>
      </c>
      <c r="D363" s="10" t="inlineStr">
        <is>
          <t>0600410014</t>
        </is>
      </c>
      <c r="E363" s="26" t="inlineStr">
        <is>
          <t>Region VI (Western Visayas)</t>
        </is>
      </c>
      <c r="F363" s="26" t="inlineStr">
        <is>
          <t>Aklan</t>
        </is>
      </c>
      <c r="G363" s="26" t="inlineStr">
        <is>
          <t>Madalag</t>
        </is>
      </c>
      <c r="H363" s="26" t="inlineStr">
        <is>
          <t>Medina</t>
        </is>
      </c>
      <c r="I363" s="27" t="n">
        <v>11.465774</v>
      </c>
      <c r="J363" s="27" t="n">
        <v>122.256763</v>
      </c>
      <c r="K363" s="10" t="inlineStr">
        <is>
          <t>R</t>
        </is>
      </c>
      <c r="L363" s="12" t="n">
        <v>934</v>
      </c>
      <c r="M363" s="14" t="n">
        <v>3.9</v>
      </c>
      <c r="N363" s="12">
        <f>ROUND(L363/M363, 0)</f>
        <v/>
      </c>
      <c r="O363" s="12">
        <f>ROUND(N363*'Methodology &amp; Assumptions'!$B$5, 0)</f>
        <v/>
      </c>
      <c r="P363" s="10" t="inlineStr">
        <is>
          <t>Single Carrier (Band n50, 100MHz TDD)</t>
        </is>
      </c>
      <c r="Q363" s="13">
        <f>ROUNDUP(O363/'Methodology &amp; Assumptions'!$B$6, 0)</f>
        <v/>
      </c>
      <c r="R363" s="13" t="n">
        <v>1</v>
      </c>
      <c r="S363" s="14" t="n">
        <v>16.45</v>
      </c>
      <c r="T363" s="14" t="n">
        <v>16.06</v>
      </c>
      <c r="U363" s="26">
        <f>IF(X363&gt;='Methodology &amp; Assumptions'!$B$7, "Tier 1 Critical GIDA (Score ≥ 50.0)", IF(X363&gt;='Methodology &amp; Assumptions'!$B$8, "Tier 2 High GIDA (Score 40.0–49.9)", "Tier 3 Moderate GIDA (Score &lt; 40.0)"))</f>
        <v/>
      </c>
      <c r="V363" s="26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W363" s="28" t="n">
        <v>0.237</v>
      </c>
      <c r="X363" s="14" t="n">
        <v>54.88</v>
      </c>
      <c r="Y363" s="14">
        <f>ROUND(MIN(100, (X363/69.91)*100), 2)</f>
        <v/>
      </c>
    </row>
    <row r="364">
      <c r="A364" s="10" t="n">
        <v>1</v>
      </c>
      <c r="B364" s="10" t="n">
        <v>360</v>
      </c>
      <c r="C364" s="10" t="n">
        <v>360</v>
      </c>
      <c r="D364" s="10" t="inlineStr">
        <is>
          <t>0405625013</t>
        </is>
      </c>
      <c r="E364" s="26" t="inlineStr">
        <is>
          <t>Region IV-A (CALABARZON)</t>
        </is>
      </c>
      <c r="F364" s="26" t="inlineStr">
        <is>
          <t>Quezon</t>
        </is>
      </c>
      <c r="G364" s="26" t="inlineStr">
        <is>
          <t>Macalelon</t>
        </is>
      </c>
      <c r="H364" s="26" t="inlineStr">
        <is>
          <t>Olongtao Ilaya</t>
        </is>
      </c>
      <c r="I364" s="27" t="n">
        <v>13.720192</v>
      </c>
      <c r="J364" s="27" t="n">
        <v>122.198463</v>
      </c>
      <c r="K364" s="10" t="inlineStr">
        <is>
          <t>R</t>
        </is>
      </c>
      <c r="L364" s="12" t="n">
        <v>747</v>
      </c>
      <c r="M364" s="14" t="n">
        <v>3.8</v>
      </c>
      <c r="N364" s="12">
        <f>ROUND(L364/M364, 0)</f>
        <v/>
      </c>
      <c r="O364" s="12">
        <f>ROUND(N364*'Methodology &amp; Assumptions'!$B$5, 0)</f>
        <v/>
      </c>
      <c r="P364" s="10" t="inlineStr">
        <is>
          <t>Single Carrier (Band n50, 100MHz TDD)</t>
        </is>
      </c>
      <c r="Q364" s="13">
        <f>ROUNDUP(O364/'Methodology &amp; Assumptions'!$B$6, 0)</f>
        <v/>
      </c>
      <c r="R364" s="13" t="n">
        <v>1</v>
      </c>
      <c r="S364" s="14" t="n">
        <v>4.06</v>
      </c>
      <c r="T364" s="14" t="n">
        <v>1.9</v>
      </c>
      <c r="U364" s="26">
        <f>IF(X364&gt;='Methodology &amp; Assumptions'!$B$7, "Tier 1 Critical GIDA (Score ≥ 50.0)", IF(X364&gt;='Methodology &amp; Assumptions'!$B$8, "Tier 2 High GIDA (Score 40.0–49.9)", "Tier 3 Moderate GIDA (Score &lt; 40.0)"))</f>
        <v/>
      </c>
      <c r="V364" s="26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W364" s="28" t="n">
        <v>0.07200000000000001</v>
      </c>
      <c r="X364" s="14" t="n">
        <v>54.88</v>
      </c>
      <c r="Y364" s="14">
        <f>ROUND(MIN(100, (X364/69.91)*100), 2)</f>
        <v/>
      </c>
    </row>
    <row r="365">
      <c r="A365" s="10" t="n">
        <v>1</v>
      </c>
      <c r="B365" s="10" t="n">
        <v>361</v>
      </c>
      <c r="C365" s="10" t="n">
        <v>361</v>
      </c>
      <c r="D365" s="10" t="inlineStr">
        <is>
          <t>0405622057</t>
        </is>
      </c>
      <c r="E365" s="26" t="inlineStr">
        <is>
          <t>Region IV-A (CALABARZON)</t>
        </is>
      </c>
      <c r="F365" s="26" t="inlineStr">
        <is>
          <t>Quezon</t>
        </is>
      </c>
      <c r="G365" s="26" t="inlineStr">
        <is>
          <t>Lopez</t>
        </is>
      </c>
      <c r="H365" s="26" t="inlineStr">
        <is>
          <t>Pisipis</t>
        </is>
      </c>
      <c r="I365" s="27" t="n">
        <v>13.896938</v>
      </c>
      <c r="J365" s="27" t="n">
        <v>122.369547</v>
      </c>
      <c r="K365" s="10" t="inlineStr">
        <is>
          <t>R</t>
        </is>
      </c>
      <c r="L365" s="12" t="n">
        <v>717</v>
      </c>
      <c r="M365" s="14" t="n">
        <v>3.8</v>
      </c>
      <c r="N365" s="12">
        <f>ROUND(L365/M365, 0)</f>
        <v/>
      </c>
      <c r="O365" s="12">
        <f>ROUND(N365*'Methodology &amp; Assumptions'!$B$5, 0)</f>
        <v/>
      </c>
      <c r="P365" s="10" t="inlineStr">
        <is>
          <t>Single Carrier (Band n50, 100MHz TDD)</t>
        </is>
      </c>
      <c r="Q365" s="13">
        <f>ROUNDUP(O365/'Methodology &amp; Assumptions'!$B$6, 0)</f>
        <v/>
      </c>
      <c r="R365" s="13" t="n">
        <v>1</v>
      </c>
      <c r="S365" s="14" t="n">
        <v>8.470000000000001</v>
      </c>
      <c r="T365" s="14" t="n">
        <v>5.9</v>
      </c>
      <c r="U365" s="26">
        <f>IF(X365&gt;='Methodology &amp; Assumptions'!$B$7, "Tier 1 Critical GIDA (Score ≥ 50.0)", IF(X365&gt;='Methodology &amp; Assumptions'!$B$8, "Tier 2 High GIDA (Score 40.0–49.9)", "Tier 3 Moderate GIDA (Score &lt; 40.0)"))</f>
        <v/>
      </c>
      <c r="V365" s="26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W365" s="28" t="n">
        <v>0.07200000000000001</v>
      </c>
      <c r="X365" s="14" t="n">
        <v>54.87</v>
      </c>
      <c r="Y365" s="14">
        <f>ROUND(MIN(100, (X365/69.91)*100), 2)</f>
        <v/>
      </c>
    </row>
    <row r="366">
      <c r="A366" s="10" t="n">
        <v>1</v>
      </c>
      <c r="B366" s="10" t="n">
        <v>362</v>
      </c>
      <c r="C366" s="10" t="n">
        <v>362</v>
      </c>
      <c r="D366" s="10" t="inlineStr">
        <is>
          <t>0502011020</t>
        </is>
      </c>
      <c r="E366" s="26" t="inlineStr">
        <is>
          <t>Region V (Bicol Region)</t>
        </is>
      </c>
      <c r="F366" s="26" t="inlineStr">
        <is>
          <t>Catanduanes</t>
        </is>
      </c>
      <c r="G366" s="26" t="inlineStr">
        <is>
          <t>Virac</t>
        </is>
      </c>
      <c r="H366" s="26" t="inlineStr">
        <is>
          <t>Dugui San Vicente</t>
        </is>
      </c>
      <c r="I366" s="27" t="n">
        <v>13.657432</v>
      </c>
      <c r="J366" s="27" t="n">
        <v>124.154732</v>
      </c>
      <c r="K366" s="10" t="inlineStr">
        <is>
          <t>R</t>
        </is>
      </c>
      <c r="L366" s="12" t="n">
        <v>628</v>
      </c>
      <c r="M366" s="14" t="n">
        <v>4.2</v>
      </c>
      <c r="N366" s="12">
        <f>ROUND(L366/M366, 0)</f>
        <v/>
      </c>
      <c r="O366" s="12">
        <f>ROUND(N366*'Methodology &amp; Assumptions'!$B$5, 0)</f>
        <v/>
      </c>
      <c r="P366" s="10" t="inlineStr">
        <is>
          <t>Single Carrier (Band n50, 100MHz TDD)</t>
        </is>
      </c>
      <c r="Q366" s="13">
        <f>ROUNDUP(O366/'Methodology &amp; Assumptions'!$B$6, 0)</f>
        <v/>
      </c>
      <c r="R366" s="13" t="n">
        <v>1</v>
      </c>
      <c r="S366" s="14" t="n">
        <v>34.04</v>
      </c>
      <c r="T366" s="14" t="n">
        <v>55.59</v>
      </c>
      <c r="U366" s="26">
        <f>IF(X366&gt;='Methodology &amp; Assumptions'!$B$7, "Tier 1 Critical GIDA (Score ≥ 50.0)", IF(X366&gt;='Methodology &amp; Assumptions'!$B$8, "Tier 2 High GIDA (Score 40.0–49.9)", "Tier 3 Moderate GIDA (Score &lt; 40.0)"))</f>
        <v/>
      </c>
      <c r="V366" s="26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W366" s="28" t="n">
        <v>0.237</v>
      </c>
      <c r="X366" s="14" t="n">
        <v>54.86</v>
      </c>
      <c r="Y366" s="14">
        <f>ROUND(MIN(100, (X366/69.91)*100), 2)</f>
        <v/>
      </c>
    </row>
    <row r="367">
      <c r="A367" s="10" t="n">
        <v>1</v>
      </c>
      <c r="B367" s="10" t="n">
        <v>363</v>
      </c>
      <c r="C367" s="10" t="n">
        <v>363</v>
      </c>
      <c r="D367" s="10" t="inlineStr">
        <is>
          <t>0102916012</t>
        </is>
      </c>
      <c r="E367" s="26" t="inlineStr">
        <is>
          <t>Region I (Ilocos Region)</t>
        </is>
      </c>
      <c r="F367" s="26" t="inlineStr">
        <is>
          <t>Ilocos Sur</t>
        </is>
      </c>
      <c r="G367" s="26" t="inlineStr">
        <is>
          <t>Salcedo</t>
        </is>
      </c>
      <c r="H367" s="26" t="inlineStr">
        <is>
          <t>Kinmarin</t>
        </is>
      </c>
      <c r="I367" s="27" t="n">
        <v>17.038567</v>
      </c>
      <c r="J367" s="27" t="n">
        <v>120.541222</v>
      </c>
      <c r="K367" s="10" t="inlineStr">
        <is>
          <t>R</t>
        </is>
      </c>
      <c r="L367" s="12" t="n">
        <v>377</v>
      </c>
      <c r="M367" s="14" t="n">
        <v>3.8</v>
      </c>
      <c r="N367" s="12">
        <f>ROUND(L367/M367, 0)</f>
        <v/>
      </c>
      <c r="O367" s="12">
        <f>ROUND(N367*'Methodology &amp; Assumptions'!$B$5, 0)</f>
        <v/>
      </c>
      <c r="P367" s="10" t="inlineStr">
        <is>
          <t>Single Carrier (Band n50, 100MHz TDD)</t>
        </is>
      </c>
      <c r="Q367" s="13">
        <f>ROUNDUP(O367/'Methodology &amp; Assumptions'!$B$6, 0)</f>
        <v/>
      </c>
      <c r="R367" s="13" t="n">
        <v>1</v>
      </c>
      <c r="S367" s="14" t="n">
        <v>7.15</v>
      </c>
      <c r="T367" s="14" t="n">
        <v>9.31</v>
      </c>
      <c r="U367" s="26">
        <f>IF(X367&gt;='Methodology &amp; Assumptions'!$B$7, "Tier 1 Critical GIDA (Score ≥ 50.0)", IF(X367&gt;='Methodology &amp; Assumptions'!$B$8, "Tier 2 High GIDA (Score 40.0–49.9)", "Tier 3 Moderate GIDA (Score &lt; 40.0)"))</f>
        <v/>
      </c>
      <c r="V367" s="26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W367" s="28" t="n">
        <v>0.083</v>
      </c>
      <c r="X367" s="14" t="n">
        <v>54.86</v>
      </c>
      <c r="Y367" s="14">
        <f>ROUND(MIN(100, (X367/69.91)*100), 2)</f>
        <v/>
      </c>
    </row>
    <row r="368">
      <c r="A368" s="10" t="n">
        <v>1</v>
      </c>
      <c r="B368" s="10" t="n">
        <v>364</v>
      </c>
      <c r="C368" s="10" t="n">
        <v>364</v>
      </c>
      <c r="D368" s="10" t="inlineStr">
        <is>
          <t>PH0000364</t>
        </is>
      </c>
      <c r="E368" s="26" t="inlineStr">
        <is>
          <t>VI</t>
        </is>
      </c>
      <c r="F368" s="26" t="inlineStr">
        <is>
          <t>Iloilo</t>
        </is>
      </c>
      <c r="G368" s="26" t="inlineStr">
        <is>
          <t>Iloilo City</t>
        </is>
      </c>
      <c r="H368" s="26" t="inlineStr">
        <is>
          <t>Kasingkasing</t>
        </is>
      </c>
      <c r="I368" s="27" t="n">
        <v>10.715691</v>
      </c>
      <c r="J368" s="27" t="n">
        <v>122.625689</v>
      </c>
      <c r="K368" s="10" t="inlineStr">
        <is>
          <t>R</t>
        </is>
      </c>
      <c r="L368" s="12" t="n">
        <v>2230</v>
      </c>
      <c r="M368" s="14" t="n">
        <v>3.8</v>
      </c>
      <c r="N368" s="12">
        <f>ROUND(L368/M368, 0)</f>
        <v/>
      </c>
      <c r="O368" s="12">
        <f>ROUND(N368*'Methodology &amp; Assumptions'!$B$5, 0)</f>
        <v/>
      </c>
      <c r="P368" s="10" t="inlineStr">
        <is>
          <t>Single Carrier (Band n50, 100MHz TDD)</t>
        </is>
      </c>
      <c r="Q368" s="13">
        <f>ROUNDUP(O368/'Methodology &amp; Assumptions'!$B$6, 0)</f>
        <v/>
      </c>
      <c r="R368" s="13" t="n">
        <v>1</v>
      </c>
      <c r="S368" s="14" t="n">
        <v>6.31</v>
      </c>
      <c r="T368" s="14" t="n">
        <v>4.75</v>
      </c>
      <c r="U368" s="26">
        <f>IF(X368&gt;='Methodology &amp; Assumptions'!$B$7, "Tier 1 Critical GIDA (Score ≥ 50.0)", IF(X368&gt;='Methodology &amp; Assumptions'!$B$8, "Tier 2 High GIDA (Score 40.0–49.9)", "Tier 3 Moderate GIDA (Score &lt; 40.0)"))</f>
        <v/>
      </c>
      <c r="V368" s="26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W368" s="28" t="n">
        <v>0.156</v>
      </c>
      <c r="X368" s="14" t="n">
        <v>54.86</v>
      </c>
      <c r="Y368" s="14">
        <f>ROUND(MIN(100, (X368/69.91)*100), 2)</f>
        <v/>
      </c>
    </row>
    <row r="369">
      <c r="A369" s="10" t="n">
        <v>1</v>
      </c>
      <c r="B369" s="10" t="n">
        <v>365</v>
      </c>
      <c r="C369" s="10" t="n">
        <v>365</v>
      </c>
      <c r="D369" s="10" t="inlineStr">
        <is>
          <t>PH0000365</t>
        </is>
      </c>
      <c r="E369" s="26" t="inlineStr">
        <is>
          <t>VI</t>
        </is>
      </c>
      <c r="F369" s="26" t="inlineStr">
        <is>
          <t>Iloilo</t>
        </is>
      </c>
      <c r="G369" s="26" t="inlineStr">
        <is>
          <t>Iloilo City</t>
        </is>
      </c>
      <c r="H369" s="26" t="inlineStr">
        <is>
          <t>Don Esteban-Lapuz</t>
        </is>
      </c>
      <c r="I369" s="27" t="n">
        <v>10.658333</v>
      </c>
      <c r="J369" s="27" t="n">
        <v>122.494259</v>
      </c>
      <c r="K369" s="10" t="inlineStr">
        <is>
          <t>R</t>
        </is>
      </c>
      <c r="L369" s="12" t="n">
        <v>2230</v>
      </c>
      <c r="M369" s="14" t="n">
        <v>3.8</v>
      </c>
      <c r="N369" s="12">
        <f>ROUND(L369/M369, 0)</f>
        <v/>
      </c>
      <c r="O369" s="12">
        <f>ROUND(N369*'Methodology &amp; Assumptions'!$B$5, 0)</f>
        <v/>
      </c>
      <c r="P369" s="10" t="inlineStr">
        <is>
          <t>Single Carrier (Band n50, 100MHz TDD)</t>
        </is>
      </c>
      <c r="Q369" s="13">
        <f>ROUNDUP(O369/'Methodology &amp; Assumptions'!$B$6, 0)</f>
        <v/>
      </c>
      <c r="R369" s="13" t="n">
        <v>1</v>
      </c>
      <c r="S369" s="14" t="n">
        <v>4.15</v>
      </c>
      <c r="T369" s="14" t="n">
        <v>3.85</v>
      </c>
      <c r="U369" s="26">
        <f>IF(X369&gt;='Methodology &amp; Assumptions'!$B$7, "Tier 1 Critical GIDA (Score ≥ 50.0)", IF(X369&gt;='Methodology &amp; Assumptions'!$B$8, "Tier 2 High GIDA (Score 40.0–49.9)", "Tier 3 Moderate GIDA (Score &lt; 40.0)"))</f>
        <v/>
      </c>
      <c r="V369" s="26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W369" s="28" t="n">
        <v>0.156</v>
      </c>
      <c r="X369" s="14" t="n">
        <v>54.84</v>
      </c>
      <c r="Y369" s="14">
        <f>ROUND(MIN(100, (X369/69.91)*100), 2)</f>
        <v/>
      </c>
    </row>
    <row r="370">
      <c r="A370" s="10" t="n">
        <v>1</v>
      </c>
      <c r="B370" s="10" t="n">
        <v>366</v>
      </c>
      <c r="C370" s="10" t="n">
        <v>366</v>
      </c>
      <c r="D370" s="10" t="inlineStr">
        <is>
          <t>PH0000366</t>
        </is>
      </c>
      <c r="E370" s="26" t="inlineStr">
        <is>
          <t>X</t>
        </is>
      </c>
      <c r="F370" s="26" t="inlineStr">
        <is>
          <t>Misamis Oriental</t>
        </is>
      </c>
      <c r="G370" s="26" t="inlineStr">
        <is>
          <t>Cagayan De Oro City</t>
        </is>
      </c>
      <c r="H370" s="26" t="inlineStr">
        <is>
          <t>Barangay 6 (Pob.)</t>
        </is>
      </c>
      <c r="I370" s="27" t="n">
        <v>8.397954</v>
      </c>
      <c r="J370" s="27" t="n">
        <v>124.600918</v>
      </c>
      <c r="K370" s="10" t="inlineStr">
        <is>
          <t>R</t>
        </is>
      </c>
      <c r="L370" s="12" t="n">
        <v>2272</v>
      </c>
      <c r="M370" s="14" t="n">
        <v>3.9</v>
      </c>
      <c r="N370" s="12">
        <f>ROUND(L370/M370, 0)</f>
        <v/>
      </c>
      <c r="O370" s="12">
        <f>ROUND(N370*'Methodology &amp; Assumptions'!$B$5, 0)</f>
        <v/>
      </c>
      <c r="P370" s="10" t="inlineStr">
        <is>
          <t>Single Carrier (Band n50, 100MHz TDD)</t>
        </is>
      </c>
      <c r="Q370" s="13">
        <f>ROUNDUP(O370/'Methodology &amp; Assumptions'!$B$6, 0)</f>
        <v/>
      </c>
      <c r="R370" s="13" t="n">
        <v>1</v>
      </c>
      <c r="S370" s="14" t="n">
        <v>4.7</v>
      </c>
      <c r="T370" s="14" t="n">
        <v>1.2</v>
      </c>
      <c r="U370" s="26">
        <f>IF(X370&gt;='Methodology &amp; Assumptions'!$B$7, "Tier 1 Critical GIDA (Score ≥ 50.0)", IF(X370&gt;='Methodology &amp; Assumptions'!$B$8, "Tier 2 High GIDA (Score 40.0–49.9)", "Tier 3 Moderate GIDA (Score &lt; 40.0)"))</f>
        <v/>
      </c>
      <c r="V370" s="26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W370" s="28" t="n">
        <v>0.234</v>
      </c>
      <c r="X370" s="14" t="n">
        <v>54.84</v>
      </c>
      <c r="Y370" s="14">
        <f>ROUND(MIN(100, (X370/69.91)*100), 2)</f>
        <v/>
      </c>
    </row>
    <row r="371">
      <c r="A371" s="10" t="n">
        <v>1</v>
      </c>
      <c r="B371" s="10" t="n">
        <v>367</v>
      </c>
      <c r="C371" s="10" t="n">
        <v>367</v>
      </c>
      <c r="D371" s="10" t="inlineStr">
        <is>
          <t>0600410003</t>
        </is>
      </c>
      <c r="E371" s="26" t="inlineStr">
        <is>
          <t>Region VI (Western Visayas)</t>
        </is>
      </c>
      <c r="F371" s="26" t="inlineStr">
        <is>
          <t>Aklan</t>
        </is>
      </c>
      <c r="G371" s="26" t="inlineStr">
        <is>
          <t>Madalag</t>
        </is>
      </c>
      <c r="H371" s="26" t="inlineStr">
        <is>
          <t>Bacyang</t>
        </is>
      </c>
      <c r="I371" s="27" t="n">
        <v>11.53873</v>
      </c>
      <c r="J371" s="27" t="n">
        <v>122.285042</v>
      </c>
      <c r="K371" s="10" t="inlineStr">
        <is>
          <t>R</t>
        </is>
      </c>
      <c r="L371" s="12" t="n">
        <v>567</v>
      </c>
      <c r="M371" s="14" t="n">
        <v>3.9</v>
      </c>
      <c r="N371" s="12">
        <f>ROUND(L371/M371, 0)</f>
        <v/>
      </c>
      <c r="O371" s="12">
        <f>ROUND(N371*'Methodology &amp; Assumptions'!$B$5, 0)</f>
        <v/>
      </c>
      <c r="P371" s="10" t="inlineStr">
        <is>
          <t>Single Carrier (Band n50, 100MHz TDD)</t>
        </is>
      </c>
      <c r="Q371" s="13">
        <f>ROUNDUP(O371/'Methodology &amp; Assumptions'!$B$6, 0)</f>
        <v/>
      </c>
      <c r="R371" s="13" t="n">
        <v>1</v>
      </c>
      <c r="S371" s="14" t="n">
        <v>9.44</v>
      </c>
      <c r="T371" s="14" t="n">
        <v>9.07</v>
      </c>
      <c r="U371" s="26">
        <f>IF(X371&gt;='Methodology &amp; Assumptions'!$B$7, "Tier 1 Critical GIDA (Score ≥ 50.0)", IF(X371&gt;='Methodology &amp; Assumptions'!$B$8, "Tier 2 High GIDA (Score 40.0–49.9)", "Tier 3 Moderate GIDA (Score &lt; 40.0)"))</f>
        <v/>
      </c>
      <c r="V371" s="26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W371" s="28" t="n">
        <v>0.237</v>
      </c>
      <c r="X371" s="14" t="n">
        <v>54.83</v>
      </c>
      <c r="Y371" s="14">
        <f>ROUND(MIN(100, (X371/69.91)*100), 2)</f>
        <v/>
      </c>
    </row>
    <row r="372">
      <c r="A372" s="10" t="n">
        <v>1</v>
      </c>
      <c r="B372" s="10" t="n">
        <v>368</v>
      </c>
      <c r="C372" s="10" t="n">
        <v>368</v>
      </c>
      <c r="D372" s="10" t="inlineStr">
        <is>
          <t>0502011023</t>
        </is>
      </c>
      <c r="E372" s="26" t="inlineStr">
        <is>
          <t>Region V (Bicol Region)</t>
        </is>
      </c>
      <c r="F372" s="26" t="inlineStr">
        <is>
          <t>Catanduanes</t>
        </is>
      </c>
      <c r="G372" s="26" t="inlineStr">
        <is>
          <t>Virac</t>
        </is>
      </c>
      <c r="H372" s="26" t="inlineStr">
        <is>
          <t>Dugui Too</t>
        </is>
      </c>
      <c r="I372" s="27" t="n">
        <v>13.64791</v>
      </c>
      <c r="J372" s="27" t="n">
        <v>124.18358</v>
      </c>
      <c r="K372" s="10" t="inlineStr">
        <is>
          <t>R</t>
        </is>
      </c>
      <c r="L372" s="12" t="n">
        <v>1416</v>
      </c>
      <c r="M372" s="14" t="n">
        <v>4.2</v>
      </c>
      <c r="N372" s="12">
        <f>ROUND(L372/M372, 0)</f>
        <v/>
      </c>
      <c r="O372" s="12">
        <f>ROUND(N372*'Methodology &amp; Assumptions'!$B$5, 0)</f>
        <v/>
      </c>
      <c r="P372" s="10" t="inlineStr">
        <is>
          <t>Single Carrier (Band n50, 100MHz TDD)</t>
        </is>
      </c>
      <c r="Q372" s="13">
        <f>ROUNDUP(O372/'Methodology &amp; Assumptions'!$B$6, 0)</f>
        <v/>
      </c>
      <c r="R372" s="13" t="n">
        <v>1</v>
      </c>
      <c r="S372" s="14" t="n">
        <v>37.33</v>
      </c>
      <c r="T372" s="14" t="n">
        <v>58.07</v>
      </c>
      <c r="U372" s="26">
        <f>IF(X372&gt;='Methodology &amp; Assumptions'!$B$7, "Tier 1 Critical GIDA (Score ≥ 50.0)", IF(X372&gt;='Methodology &amp; Assumptions'!$B$8, "Tier 2 High GIDA (Score 40.0–49.9)", "Tier 3 Moderate GIDA (Score &lt; 40.0)"))</f>
        <v/>
      </c>
      <c r="V372" s="26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W372" s="28" t="n">
        <v>0.237</v>
      </c>
      <c r="X372" s="14" t="n">
        <v>54.82</v>
      </c>
      <c r="Y372" s="14">
        <f>ROUND(MIN(100, (X372/69.91)*100), 2)</f>
        <v/>
      </c>
    </row>
    <row r="373">
      <c r="A373" s="10" t="n">
        <v>1</v>
      </c>
      <c r="B373" s="10" t="n">
        <v>369</v>
      </c>
      <c r="C373" s="10" t="n">
        <v>369</v>
      </c>
      <c r="D373" s="10" t="inlineStr">
        <is>
          <t>0600410004</t>
        </is>
      </c>
      <c r="E373" s="26" t="inlineStr">
        <is>
          <t>Region VI (Western Visayas)</t>
        </is>
      </c>
      <c r="F373" s="26" t="inlineStr">
        <is>
          <t>Aklan</t>
        </is>
      </c>
      <c r="G373" s="26" t="inlineStr">
        <is>
          <t>Madalag</t>
        </is>
      </c>
      <c r="H373" s="26" t="inlineStr">
        <is>
          <t>Balactasan</t>
        </is>
      </c>
      <c r="I373" s="27" t="n">
        <v>11.535366</v>
      </c>
      <c r="J373" s="27" t="n">
        <v>122.289505</v>
      </c>
      <c r="K373" s="10" t="inlineStr">
        <is>
          <t>R</t>
        </is>
      </c>
      <c r="L373" s="12" t="n">
        <v>865</v>
      </c>
      <c r="M373" s="14" t="n">
        <v>3.9</v>
      </c>
      <c r="N373" s="12">
        <f>ROUND(L373/M373, 0)</f>
        <v/>
      </c>
      <c r="O373" s="12">
        <f>ROUND(N373*'Methodology &amp; Assumptions'!$B$5, 0)</f>
        <v/>
      </c>
      <c r="P373" s="10" t="inlineStr">
        <is>
          <t>Single Carrier (Band n50, 100MHz TDD)</t>
        </is>
      </c>
      <c r="Q373" s="13">
        <f>ROUNDUP(O373/'Methodology &amp; Assumptions'!$B$6, 0)</f>
        <v/>
      </c>
      <c r="R373" s="13" t="n">
        <v>1</v>
      </c>
      <c r="S373" s="14" t="n">
        <v>9.5</v>
      </c>
      <c r="T373" s="14" t="n">
        <v>8.76</v>
      </c>
      <c r="U373" s="26">
        <f>IF(X373&gt;='Methodology &amp; Assumptions'!$B$7, "Tier 1 Critical GIDA (Score ≥ 50.0)", IF(X373&gt;='Methodology &amp; Assumptions'!$B$8, "Tier 2 High GIDA (Score 40.0–49.9)", "Tier 3 Moderate GIDA (Score &lt; 40.0)"))</f>
        <v/>
      </c>
      <c r="V373" s="26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W373" s="28" t="n">
        <v>0.237</v>
      </c>
      <c r="X373" s="14" t="n">
        <v>54.78</v>
      </c>
      <c r="Y373" s="14">
        <f>ROUND(MIN(100, (X373/69.91)*100), 2)</f>
        <v/>
      </c>
    </row>
    <row r="374">
      <c r="A374" s="10" t="n">
        <v>1</v>
      </c>
      <c r="B374" s="10" t="n">
        <v>370</v>
      </c>
      <c r="C374" s="10" t="n">
        <v>370</v>
      </c>
      <c r="D374" s="10" t="inlineStr">
        <is>
          <t>0600410011</t>
        </is>
      </c>
      <c r="E374" s="26" t="inlineStr">
        <is>
          <t>Region VI (Western Visayas)</t>
        </is>
      </c>
      <c r="F374" s="26" t="inlineStr">
        <is>
          <t>Aklan</t>
        </is>
      </c>
      <c r="G374" s="26" t="inlineStr">
        <is>
          <t>Madalag</t>
        </is>
      </c>
      <c r="H374" s="26" t="inlineStr">
        <is>
          <t>Logohon</t>
        </is>
      </c>
      <c r="I374" s="27" t="n">
        <v>11.531666</v>
      </c>
      <c r="J374" s="27" t="n">
        <v>122.296886</v>
      </c>
      <c r="K374" s="10" t="inlineStr">
        <is>
          <t>R</t>
        </is>
      </c>
      <c r="L374" s="12" t="n">
        <v>511</v>
      </c>
      <c r="M374" s="14" t="n">
        <v>3.9</v>
      </c>
      <c r="N374" s="12">
        <f>ROUND(L374/M374, 0)</f>
        <v/>
      </c>
      <c r="O374" s="12">
        <f>ROUND(N374*'Methodology &amp; Assumptions'!$B$5, 0)</f>
        <v/>
      </c>
      <c r="P374" s="10" t="inlineStr">
        <is>
          <t>Single Carrier (Band n50, 100MHz TDD)</t>
        </is>
      </c>
      <c r="Q374" s="13">
        <f>ROUNDUP(O374/'Methodology &amp; Assumptions'!$B$6, 0)</f>
        <v/>
      </c>
      <c r="R374" s="13" t="n">
        <v>1</v>
      </c>
      <c r="S374" s="14" t="n">
        <v>8.9</v>
      </c>
      <c r="T374" s="14" t="n">
        <v>8.220000000000001</v>
      </c>
      <c r="U374" s="26">
        <f>IF(X374&gt;='Methodology &amp; Assumptions'!$B$7, "Tier 1 Critical GIDA (Score ≥ 50.0)", IF(X374&gt;='Methodology &amp; Assumptions'!$B$8, "Tier 2 High GIDA (Score 40.0–49.9)", "Tier 3 Moderate GIDA (Score &lt; 40.0)"))</f>
        <v/>
      </c>
      <c r="V374" s="26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W374" s="28" t="n">
        <v>0.237</v>
      </c>
      <c r="X374" s="14" t="n">
        <v>54.78</v>
      </c>
      <c r="Y374" s="14">
        <f>ROUND(MIN(100, (X374/69.91)*100), 2)</f>
        <v/>
      </c>
    </row>
    <row r="375">
      <c r="A375" s="10" t="n">
        <v>1</v>
      </c>
      <c r="B375" s="10" t="n">
        <v>371</v>
      </c>
      <c r="C375" s="10" t="n">
        <v>371</v>
      </c>
      <c r="D375" s="10" t="inlineStr">
        <is>
          <t>0600410022</t>
        </is>
      </c>
      <c r="E375" s="26" t="inlineStr">
        <is>
          <t>Region VI (Western Visayas)</t>
        </is>
      </c>
      <c r="F375" s="26" t="inlineStr">
        <is>
          <t>Aklan</t>
        </is>
      </c>
      <c r="G375" s="26" t="inlineStr">
        <is>
          <t>Madalag</t>
        </is>
      </c>
      <c r="H375" s="26" t="inlineStr">
        <is>
          <t>Singay</t>
        </is>
      </c>
      <c r="I375" s="27" t="n">
        <v>11.537216</v>
      </c>
      <c r="J375" s="27" t="n">
        <v>122.298088</v>
      </c>
      <c r="K375" s="10" t="inlineStr">
        <is>
          <t>R</t>
        </is>
      </c>
      <c r="L375" s="12" t="n">
        <v>336</v>
      </c>
      <c r="M375" s="14" t="n">
        <v>3.9</v>
      </c>
      <c r="N375" s="12">
        <f>ROUND(L375/M375, 0)</f>
        <v/>
      </c>
      <c r="O375" s="12">
        <f>ROUND(N375*'Methodology &amp; Assumptions'!$B$5, 0)</f>
        <v/>
      </c>
      <c r="P375" s="10" t="inlineStr">
        <is>
          <t>Single Carrier (Band n50, 100MHz TDD)</t>
        </is>
      </c>
      <c r="Q375" s="13">
        <f>ROUNDUP(O375/'Methodology &amp; Assumptions'!$B$6, 0)</f>
        <v/>
      </c>
      <c r="R375" s="13" t="n">
        <v>1</v>
      </c>
      <c r="S375" s="14" t="n">
        <v>8.550000000000001</v>
      </c>
      <c r="T375" s="14" t="n">
        <v>7.83</v>
      </c>
      <c r="U375" s="26">
        <f>IF(X375&gt;='Methodology &amp; Assumptions'!$B$7, "Tier 1 Critical GIDA (Score ≥ 50.0)", IF(X375&gt;='Methodology &amp; Assumptions'!$B$8, "Tier 2 High GIDA (Score 40.0–49.9)", "Tier 3 Moderate GIDA (Score &lt; 40.0)"))</f>
        <v/>
      </c>
      <c r="V375" s="26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W375" s="28" t="n">
        <v>0.237</v>
      </c>
      <c r="X375" s="14" t="n">
        <v>54.77</v>
      </c>
      <c r="Y375" s="14">
        <f>ROUND(MIN(100, (X375/69.91)*100), 2)</f>
        <v/>
      </c>
    </row>
    <row r="376">
      <c r="A376" s="10" t="n">
        <v>1</v>
      </c>
      <c r="B376" s="10" t="n">
        <v>372</v>
      </c>
      <c r="C376" s="10" t="n">
        <v>372</v>
      </c>
      <c r="D376" s="10" t="inlineStr">
        <is>
          <t>0307708006</t>
        </is>
      </c>
      <c r="E376" s="26" t="inlineStr">
        <is>
          <t>Region III (Central Luzon)</t>
        </is>
      </c>
      <c r="F376" s="26" t="inlineStr">
        <is>
          <t>Aurora</t>
        </is>
      </c>
      <c r="G376" s="26" t="inlineStr">
        <is>
          <t>San Luis</t>
        </is>
      </c>
      <c r="H376" s="26" t="inlineStr">
        <is>
          <t>Dibalo</t>
        </is>
      </c>
      <c r="I376" s="27" t="n">
        <v>15.664766</v>
      </c>
      <c r="J376" s="27" t="n">
        <v>121.563198</v>
      </c>
      <c r="K376" s="10" t="inlineStr">
        <is>
          <t>R</t>
        </is>
      </c>
      <c r="L376" s="12" t="n">
        <v>135</v>
      </c>
      <c r="M376" s="14" t="n">
        <v>3.8</v>
      </c>
      <c r="N376" s="12">
        <f>ROUND(L376/M376, 0)</f>
        <v/>
      </c>
      <c r="O376" s="12">
        <f>ROUND(N376*'Methodology &amp; Assumptions'!$B$5, 0)</f>
        <v/>
      </c>
      <c r="P376" s="10" t="inlineStr">
        <is>
          <t>Single Carrier (Band n50, 100MHz TDD)</t>
        </is>
      </c>
      <c r="Q376" s="13">
        <f>ROUNDUP(O376/'Methodology &amp; Assumptions'!$B$6, 0)</f>
        <v/>
      </c>
      <c r="R376" s="13" t="n">
        <v>1</v>
      </c>
      <c r="S376" s="14" t="n">
        <v>9.5</v>
      </c>
      <c r="T376" s="14" t="n">
        <v>10.34</v>
      </c>
      <c r="U376" s="26">
        <f>IF(X376&gt;='Methodology &amp; Assumptions'!$B$7, "Tier 1 Critical GIDA (Score ≥ 50.0)", IF(X376&gt;='Methodology &amp; Assumptions'!$B$8, "Tier 2 High GIDA (Score 40.0–49.9)", "Tier 3 Moderate GIDA (Score &lt; 40.0)"))</f>
        <v/>
      </c>
      <c r="V376" s="26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W376" s="28" t="n">
        <v>0.083</v>
      </c>
      <c r="X376" s="14" t="n">
        <v>54.77</v>
      </c>
      <c r="Y376" s="14">
        <f>ROUND(MIN(100, (X376/69.91)*100), 2)</f>
        <v/>
      </c>
    </row>
    <row r="377">
      <c r="A377" s="10" t="n">
        <v>1</v>
      </c>
      <c r="B377" s="10" t="n">
        <v>373</v>
      </c>
      <c r="C377" s="10" t="n">
        <v>373</v>
      </c>
      <c r="D377" s="10" t="inlineStr">
        <is>
          <t>1380400003</t>
        </is>
      </c>
      <c r="E377" s="26" t="inlineStr">
        <is>
          <t>National Capital Region (NCR)</t>
        </is>
      </c>
      <c r="F377" s="26" t="inlineStr">
        <is>
          <t>Third District (Not a Province)</t>
        </is>
      </c>
      <c r="G377" s="26" t="inlineStr">
        <is>
          <t>City of Malabon</t>
        </is>
      </c>
      <c r="H377" s="26" t="inlineStr">
        <is>
          <t>Bayan-bayanan</t>
        </is>
      </c>
      <c r="I377" s="27" t="n">
        <v>14.668952</v>
      </c>
      <c r="J377" s="27" t="n">
        <v>120.951604</v>
      </c>
      <c r="K377" s="10" t="inlineStr">
        <is>
          <t>U</t>
        </is>
      </c>
      <c r="L377" s="12" t="n">
        <v>6871</v>
      </c>
      <c r="M377" s="14" t="n">
        <v>3.7</v>
      </c>
      <c r="N377" s="12">
        <f>ROUND(L377/M377, 0)</f>
        <v/>
      </c>
      <c r="O377" s="12">
        <f>ROUND(N377*'Methodology &amp; Assumptions'!$B$5, 0)</f>
        <v/>
      </c>
      <c r="P377" s="10" t="inlineStr">
        <is>
          <t>Single Carrier (Band n50, 100MHz TDD)</t>
        </is>
      </c>
      <c r="Q377" s="13">
        <f>ROUNDUP(O377/'Methodology &amp; Assumptions'!$B$6, 0)</f>
        <v/>
      </c>
      <c r="R377" s="13" t="n">
        <v>1</v>
      </c>
      <c r="S377" s="14" t="n">
        <v>0.86</v>
      </c>
      <c r="T377" s="14" t="n">
        <v>0.21</v>
      </c>
      <c r="U377" s="26">
        <f>IF(X377&gt;='Methodology &amp; Assumptions'!$B$7, "Tier 1 Critical GIDA (Score ≥ 50.0)", IF(X377&gt;='Methodology &amp; Assumptions'!$B$8, "Tier 2 High GIDA (Score 40.0–49.9)", "Tier 3 Moderate GIDA (Score &lt; 40.0)"))</f>
        <v/>
      </c>
      <c r="V377" s="26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W377" s="28" t="n">
        <v>0.109</v>
      </c>
      <c r="X377" s="14" t="n">
        <v>54.76</v>
      </c>
      <c r="Y377" s="14">
        <f>ROUND(MIN(100, (X377/69.91)*100), 2)</f>
        <v/>
      </c>
    </row>
    <row r="378">
      <c r="A378" s="10" t="n">
        <v>1</v>
      </c>
      <c r="B378" s="10" t="n">
        <v>374</v>
      </c>
      <c r="C378" s="10" t="n">
        <v>374</v>
      </c>
      <c r="D378" s="10" t="inlineStr">
        <is>
          <t>PH0000374</t>
        </is>
      </c>
      <c r="E378" s="26" t="inlineStr">
        <is>
          <t>NIR</t>
        </is>
      </c>
      <c r="F378" s="26" t="inlineStr">
        <is>
          <t>Negros Occidental</t>
        </is>
      </c>
      <c r="G378" s="26" t="inlineStr">
        <is>
          <t>Bacolod City</t>
        </is>
      </c>
      <c r="H378" s="26" t="inlineStr">
        <is>
          <t>Barangay 13 (Pob.)</t>
        </is>
      </c>
      <c r="I378" s="27" t="n">
        <v>10.635553</v>
      </c>
      <c r="J378" s="27" t="n">
        <v>122.962264</v>
      </c>
      <c r="K378" s="10" t="inlineStr">
        <is>
          <t>R</t>
        </is>
      </c>
      <c r="L378" s="12" t="n">
        <v>2279</v>
      </c>
      <c r="M378" s="14" t="n">
        <v>3.8</v>
      </c>
      <c r="N378" s="12">
        <f>ROUND(L378/M378, 0)</f>
        <v/>
      </c>
      <c r="O378" s="12">
        <f>ROUND(N378*'Methodology &amp; Assumptions'!$B$5, 0)</f>
        <v/>
      </c>
      <c r="P378" s="10" t="inlineStr">
        <is>
          <t>Single Carrier (Band n50, 100MHz TDD)</t>
        </is>
      </c>
      <c r="Q378" s="13">
        <f>ROUNDUP(O378/'Methodology &amp; Assumptions'!$B$6, 0)</f>
        <v/>
      </c>
      <c r="R378" s="13" t="n">
        <v>1</v>
      </c>
      <c r="S378" s="14" t="n">
        <v>1.26</v>
      </c>
      <c r="T378" s="14" t="n">
        <v>0.31</v>
      </c>
      <c r="U378" s="26">
        <f>IF(X378&gt;='Methodology &amp; Assumptions'!$B$7, "Tier 1 Critical GIDA (Score ≥ 50.0)", IF(X378&gt;='Methodology &amp; Assumptions'!$B$8, "Tier 2 High GIDA (Score 40.0–49.9)", "Tier 3 Moderate GIDA (Score &lt; 40.0)"))</f>
        <v/>
      </c>
      <c r="V378" s="26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W378" s="28" t="n">
        <v>0.109</v>
      </c>
      <c r="X378" s="14" t="n">
        <v>54.74</v>
      </c>
      <c r="Y378" s="14">
        <f>ROUND(MIN(100, (X378/69.91)*100), 2)</f>
        <v/>
      </c>
    </row>
    <row r="379">
      <c r="A379" s="10" t="n">
        <v>1</v>
      </c>
      <c r="B379" s="10" t="n">
        <v>375</v>
      </c>
      <c r="C379" s="10" t="n">
        <v>375</v>
      </c>
      <c r="D379" s="10" t="inlineStr">
        <is>
          <t>PH0000375</t>
        </is>
      </c>
      <c r="E379" s="26" t="inlineStr">
        <is>
          <t>IV-A</t>
        </is>
      </c>
      <c r="F379" s="26" t="inlineStr">
        <is>
          <t>Batangas</t>
        </is>
      </c>
      <c r="G379" s="26" t="inlineStr">
        <is>
          <t>Lipa City</t>
        </is>
      </c>
      <c r="H379" s="26" t="inlineStr">
        <is>
          <t>Poblacion Barangay 3</t>
        </is>
      </c>
      <c r="I379" s="27" t="n">
        <v>13.947567</v>
      </c>
      <c r="J379" s="27" t="n">
        <v>121.15665</v>
      </c>
      <c r="K379" s="10" t="inlineStr">
        <is>
          <t>R</t>
        </is>
      </c>
      <c r="L379" s="12" t="n">
        <v>2259</v>
      </c>
      <c r="M379" s="14" t="n">
        <v>3.6</v>
      </c>
      <c r="N379" s="12">
        <f>ROUND(L379/M379, 0)</f>
        <v/>
      </c>
      <c r="O379" s="12">
        <f>ROUND(N379*'Methodology &amp; Assumptions'!$B$5, 0)</f>
        <v/>
      </c>
      <c r="P379" s="10" t="inlineStr">
        <is>
          <t>Single Carrier (Band n50, 100MHz TDD)</t>
        </is>
      </c>
      <c r="Q379" s="13">
        <f>ROUNDUP(O379/'Methodology &amp; Assumptions'!$B$6, 0)</f>
        <v/>
      </c>
      <c r="R379" s="13" t="n">
        <v>1</v>
      </c>
      <c r="S379" s="14" t="n">
        <v>1.12</v>
      </c>
      <c r="T379" s="14" t="n">
        <v>0.18</v>
      </c>
      <c r="U379" s="26">
        <f>IF(X379&gt;='Methodology &amp; Assumptions'!$B$7, "Tier 1 Critical GIDA (Score ≥ 50.0)", IF(X379&gt;='Methodology &amp; Assumptions'!$B$8, "Tier 2 High GIDA (Score 40.0–49.9)", "Tier 3 Moderate GIDA (Score &lt; 40.0)"))</f>
        <v/>
      </c>
      <c r="V379" s="26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W379" s="28" t="n">
        <v>0.07200000000000001</v>
      </c>
      <c r="X379" s="14" t="n">
        <v>54.74</v>
      </c>
      <c r="Y379" s="14">
        <f>ROUND(MIN(100, (X379/69.91)*100), 2)</f>
        <v/>
      </c>
    </row>
    <row r="380">
      <c r="A380" s="10" t="n">
        <v>1</v>
      </c>
      <c r="B380" s="10" t="n">
        <v>376</v>
      </c>
      <c r="C380" s="10" t="n">
        <v>376</v>
      </c>
      <c r="D380" s="10" t="inlineStr">
        <is>
          <t>1403209011</t>
        </is>
      </c>
      <c r="E380" s="26" t="inlineStr">
        <is>
          <t>Cordillera Administrative Region (CAR)</t>
        </is>
      </c>
      <c r="F380" s="26" t="inlineStr">
        <is>
          <t>Kalinga</t>
        </is>
      </c>
      <c r="G380" s="26" t="inlineStr">
        <is>
          <t>Pinukpuk</t>
        </is>
      </c>
      <c r="H380" s="26" t="inlineStr">
        <is>
          <t>Dugpa</t>
        </is>
      </c>
      <c r="I380" s="27" t="n">
        <v>17.515619</v>
      </c>
      <c r="J380" s="27" t="n">
        <v>121.378943</v>
      </c>
      <c r="K380" s="10" t="inlineStr">
        <is>
          <t>R</t>
        </is>
      </c>
      <c r="L380" s="12" t="n">
        <v>1263</v>
      </c>
      <c r="M380" s="14" t="n">
        <v>4.3</v>
      </c>
      <c r="N380" s="12">
        <f>ROUND(L380/M380, 0)</f>
        <v/>
      </c>
      <c r="O380" s="12">
        <f>ROUND(N380*'Methodology &amp; Assumptions'!$B$5, 0)</f>
        <v/>
      </c>
      <c r="P380" s="10" t="inlineStr">
        <is>
          <t>Single Carrier (Band n50, 100MHz TDD)</t>
        </is>
      </c>
      <c r="Q380" s="13">
        <f>ROUNDUP(O380/'Methodology &amp; Assumptions'!$B$6, 0)</f>
        <v/>
      </c>
      <c r="R380" s="13" t="n">
        <v>1</v>
      </c>
      <c r="S380" s="14" t="n">
        <v>6.14</v>
      </c>
      <c r="T380" s="14" t="n">
        <v>6.47</v>
      </c>
      <c r="U380" s="26">
        <f>IF(X380&gt;='Methodology &amp; Assumptions'!$B$7, "Tier 1 Critical GIDA (Score ≥ 50.0)", IF(X380&gt;='Methodology &amp; Assumptions'!$B$8, "Tier 2 High GIDA (Score 40.0–49.9)", "Tier 3 Moderate GIDA (Score &lt; 40.0)"))</f>
        <v/>
      </c>
      <c r="V380" s="26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W380" s="28" t="n">
        <v>0.109</v>
      </c>
      <c r="X380" s="14" t="n">
        <v>54.74</v>
      </c>
      <c r="Y380" s="14">
        <f>ROUND(MIN(100, (X380/69.91)*100), 2)</f>
        <v/>
      </c>
    </row>
    <row r="381">
      <c r="A381" s="10" t="n">
        <v>1</v>
      </c>
      <c r="B381" s="10" t="n">
        <v>377</v>
      </c>
      <c r="C381" s="10" t="n">
        <v>377</v>
      </c>
      <c r="D381" s="10" t="inlineStr">
        <is>
          <t>1907006010</t>
        </is>
      </c>
      <c r="E381" s="26" t="inlineStr">
        <is>
          <t>Bangsamoro Autonomous Region In Muslim Mindanao (BARMM)</t>
        </is>
      </c>
      <c r="F381" s="26" t="inlineStr">
        <is>
          <t>Tawi-Tawi</t>
        </is>
      </c>
      <c r="G381" s="26" t="inlineStr">
        <is>
          <t>South Ubian</t>
        </is>
      </c>
      <c r="H381" s="26" t="inlineStr">
        <is>
          <t>Bunay Bunay Lookan</t>
        </is>
      </c>
      <c r="I381" s="27" t="n">
        <v>15.414807</v>
      </c>
      <c r="J381" s="27" t="n">
        <v>121.987113</v>
      </c>
      <c r="K381" s="10" t="inlineStr">
        <is>
          <t>R</t>
        </is>
      </c>
      <c r="L381" s="12" t="n">
        <v>1548</v>
      </c>
      <c r="M381" s="14" t="n">
        <v>5.8</v>
      </c>
      <c r="N381" s="12">
        <f>ROUND(L381/M381, 0)</f>
        <v/>
      </c>
      <c r="O381" s="12">
        <f>ROUND(N381*'Methodology &amp; Assumptions'!$B$5, 0)</f>
        <v/>
      </c>
      <c r="P381" s="10" t="inlineStr">
        <is>
          <t>Single Carrier (Band n50, 100MHz TDD)</t>
        </is>
      </c>
      <c r="Q381" s="13">
        <f>ROUNDUP(O381/'Methodology &amp; Assumptions'!$B$6, 0)</f>
        <v/>
      </c>
      <c r="R381" s="13" t="n">
        <v>1</v>
      </c>
      <c r="S381" s="14" t="n">
        <v>59.49</v>
      </c>
      <c r="T381" s="14" t="n">
        <v>59.28</v>
      </c>
      <c r="U381" s="26">
        <f>IF(X381&gt;='Methodology &amp; Assumptions'!$B$7, "Tier 1 Critical GIDA (Score ≥ 50.0)", IF(X381&gt;='Methodology &amp; Assumptions'!$B$8, "Tier 2 High GIDA (Score 40.0–49.9)", "Tier 3 Moderate GIDA (Score &lt; 40.0)"))</f>
        <v/>
      </c>
      <c r="V381" s="26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W381" s="28" t="n">
        <v>0.11</v>
      </c>
      <c r="X381" s="14" t="n">
        <v>54.74</v>
      </c>
      <c r="Y381" s="14">
        <f>ROUND(MIN(100, (X381/69.91)*100), 2)</f>
        <v/>
      </c>
    </row>
    <row r="382">
      <c r="A382" s="10" t="n">
        <v>1</v>
      </c>
      <c r="B382" s="10" t="n">
        <v>378</v>
      </c>
      <c r="C382" s="10" t="n">
        <v>378</v>
      </c>
      <c r="D382" s="10" t="inlineStr">
        <is>
          <t>1705318032</t>
        </is>
      </c>
      <c r="E382" s="26" t="inlineStr">
        <is>
          <t>MIMAROPA Region</t>
        </is>
      </c>
      <c r="F382" s="26" t="inlineStr">
        <is>
          <t>Palawan</t>
        </is>
      </c>
      <c r="G382" s="26" t="inlineStr">
        <is>
          <t>Roxas</t>
        </is>
      </c>
      <c r="H382" s="26" t="inlineStr">
        <is>
          <t>Barangay V Pob.</t>
        </is>
      </c>
      <c r="I382" s="27" t="n">
        <v>10.296466</v>
      </c>
      <c r="J382" s="27" t="n">
        <v>119.313605</v>
      </c>
      <c r="K382" s="10" t="inlineStr">
        <is>
          <t>R</t>
        </is>
      </c>
      <c r="L382" s="12" t="n">
        <v>2951</v>
      </c>
      <c r="M382" s="14" t="n">
        <v>3.9</v>
      </c>
      <c r="N382" s="12">
        <f>ROUND(L382/M382, 0)</f>
        <v/>
      </c>
      <c r="O382" s="12">
        <f>ROUND(N382*'Methodology &amp; Assumptions'!$B$5, 0)</f>
        <v/>
      </c>
      <c r="P382" s="10" t="inlineStr">
        <is>
          <t>Single Carrier (Band n50, 100MHz TDD)</t>
        </is>
      </c>
      <c r="Q382" s="13">
        <f>ROUNDUP(O382/'Methodology &amp; Assumptions'!$B$6, 0)</f>
        <v/>
      </c>
      <c r="R382" s="13" t="n">
        <v>1</v>
      </c>
      <c r="S382" s="14" t="n">
        <v>4.12</v>
      </c>
      <c r="T382" s="14" t="n">
        <v>1.06</v>
      </c>
      <c r="U382" s="26">
        <f>IF(X382&gt;='Methodology &amp; Assumptions'!$B$7, "Tier 1 Critical GIDA (Score ≥ 50.0)", IF(X382&gt;='Methodology &amp; Assumptions'!$B$8, "Tier 2 High GIDA (Score 40.0–49.9)", "Tier 3 Moderate GIDA (Score &lt; 40.0)"))</f>
        <v/>
      </c>
      <c r="V382" s="26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W382" s="28" t="n">
        <v>0.15</v>
      </c>
      <c r="X382" s="14" t="n">
        <v>54.73</v>
      </c>
      <c r="Y382" s="14">
        <f>ROUND(MIN(100, (X382/69.91)*100), 2)</f>
        <v/>
      </c>
    </row>
    <row r="383">
      <c r="A383" s="10" t="n">
        <v>1</v>
      </c>
      <c r="B383" s="10" t="n">
        <v>379</v>
      </c>
      <c r="C383" s="10" t="n">
        <v>379</v>
      </c>
      <c r="D383" s="10" t="inlineStr">
        <is>
          <t>PH0000379</t>
        </is>
      </c>
      <c r="E383" s="26" t="inlineStr">
        <is>
          <t>VI</t>
        </is>
      </c>
      <c r="F383" s="26" t="inlineStr">
        <is>
          <t>Iloilo</t>
        </is>
      </c>
      <c r="G383" s="26" t="inlineStr">
        <is>
          <t>Iloilo City</t>
        </is>
      </c>
      <c r="H383" s="26" t="inlineStr">
        <is>
          <t>Katilingban</t>
        </is>
      </c>
      <c r="I383" s="27" t="n">
        <v>10.696</v>
      </c>
      <c r="J383" s="27" t="n">
        <v>122.543</v>
      </c>
      <c r="K383" s="10" t="inlineStr">
        <is>
          <t>R</t>
        </is>
      </c>
      <c r="L383" s="12" t="n">
        <v>2230</v>
      </c>
      <c r="M383" s="14" t="n">
        <v>3.8</v>
      </c>
      <c r="N383" s="12">
        <f>ROUND(L383/M383, 0)</f>
        <v/>
      </c>
      <c r="O383" s="12">
        <f>ROUND(N383*'Methodology &amp; Assumptions'!$B$5, 0)</f>
        <v/>
      </c>
      <c r="P383" s="10" t="inlineStr">
        <is>
          <t>Single Carrier (Band n50, 100MHz TDD)</t>
        </is>
      </c>
      <c r="Q383" s="13">
        <f>ROUNDUP(O383/'Methodology &amp; Assumptions'!$B$6, 0)</f>
        <v/>
      </c>
      <c r="R383" s="13" t="n">
        <v>1</v>
      </c>
      <c r="S383" s="14" t="n">
        <v>0.59</v>
      </c>
      <c r="T383" s="14" t="n">
        <v>2.86</v>
      </c>
      <c r="U383" s="26">
        <f>IF(X383&gt;='Methodology &amp; Assumptions'!$B$7, "Tier 1 Critical GIDA (Score ≥ 50.0)", IF(X383&gt;='Methodology &amp; Assumptions'!$B$8, "Tier 2 High GIDA (Score 40.0–49.9)", "Tier 3 Moderate GIDA (Score &lt; 40.0)"))</f>
        <v/>
      </c>
      <c r="V383" s="26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W383" s="28" t="n">
        <v>0.156</v>
      </c>
      <c r="X383" s="14" t="n">
        <v>54.73</v>
      </c>
      <c r="Y383" s="14">
        <f>ROUND(MIN(100, (X383/69.91)*100), 2)</f>
        <v/>
      </c>
    </row>
    <row r="384">
      <c r="A384" s="10" t="n">
        <v>1</v>
      </c>
      <c r="B384" s="10" t="n">
        <v>380</v>
      </c>
      <c r="C384" s="10" t="n">
        <v>380</v>
      </c>
      <c r="D384" s="10" t="inlineStr">
        <is>
          <t>0806403039</t>
        </is>
      </c>
      <c r="E384" s="26" t="inlineStr">
        <is>
          <t>Region VIII (Eastern Visayas)</t>
        </is>
      </c>
      <c r="F384" s="26" t="inlineStr">
        <is>
          <t>Southern Leyte</t>
        </is>
      </c>
      <c r="G384" s="26" t="inlineStr">
        <is>
          <t>Hinunangan</t>
        </is>
      </c>
      <c r="H384" s="26" t="inlineStr">
        <is>
          <t>Upper Bantawon</t>
        </is>
      </c>
      <c r="I384" s="27" t="n">
        <v>10.380221</v>
      </c>
      <c r="J384" s="27" t="n">
        <v>125.187555</v>
      </c>
      <c r="K384" s="10" t="inlineStr">
        <is>
          <t>R</t>
        </is>
      </c>
      <c r="L384" s="12" t="n">
        <v>146</v>
      </c>
      <c r="M384" s="14" t="n">
        <v>4.1</v>
      </c>
      <c r="N384" s="12">
        <f>ROUND(L384/M384, 0)</f>
        <v/>
      </c>
      <c r="O384" s="12">
        <f>ROUND(N384*'Methodology &amp; Assumptions'!$B$5, 0)</f>
        <v/>
      </c>
      <c r="P384" s="10" t="inlineStr">
        <is>
          <t>Single Carrier (Band n50, 100MHz TDD)</t>
        </is>
      </c>
      <c r="Q384" s="13">
        <f>ROUNDUP(O384/'Methodology &amp; Assumptions'!$B$6, 0)</f>
        <v/>
      </c>
      <c r="R384" s="13" t="n">
        <v>1</v>
      </c>
      <c r="S384" s="14" t="n">
        <v>22.45</v>
      </c>
      <c r="T384" s="14" t="n">
        <v>20.25</v>
      </c>
      <c r="U384" s="26">
        <f>IF(X384&gt;='Methodology &amp; Assumptions'!$B$7, "Tier 1 Critical GIDA (Score ≥ 50.0)", IF(X384&gt;='Methodology &amp; Assumptions'!$B$8, "Tier 2 High GIDA (Score 40.0–49.9)", "Tier 3 Moderate GIDA (Score &lt; 40.0)"))</f>
        <v/>
      </c>
      <c r="V384" s="26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W384" s="28" t="n">
        <v>0.237</v>
      </c>
      <c r="X384" s="14" t="n">
        <v>54.72</v>
      </c>
      <c r="Y384" s="14">
        <f>ROUND(MIN(100, (X384/69.91)*100), 2)</f>
        <v/>
      </c>
    </row>
    <row r="385">
      <c r="A385" s="10" t="n">
        <v>1</v>
      </c>
      <c r="B385" s="10" t="n">
        <v>381</v>
      </c>
      <c r="C385" s="10" t="n">
        <v>381</v>
      </c>
      <c r="D385" s="10" t="inlineStr">
        <is>
          <t>PH0000381</t>
        </is>
      </c>
      <c r="E385" s="26" t="inlineStr">
        <is>
          <t>VI</t>
        </is>
      </c>
      <c r="F385" s="26" t="inlineStr">
        <is>
          <t>Iloilo</t>
        </is>
      </c>
      <c r="G385" s="26" t="inlineStr">
        <is>
          <t>Iloilo City</t>
        </is>
      </c>
      <c r="H385" s="26" t="inlineStr">
        <is>
          <t>Baybay Tanza</t>
        </is>
      </c>
      <c r="I385" s="27" t="n">
        <v>10.79017</v>
      </c>
      <c r="J385" s="27" t="n">
        <v>122.552753</v>
      </c>
      <c r="K385" s="10" t="inlineStr">
        <is>
          <t>R</t>
        </is>
      </c>
      <c r="L385" s="12" t="n">
        <v>2230</v>
      </c>
      <c r="M385" s="14" t="n">
        <v>3.8</v>
      </c>
      <c r="N385" s="12">
        <f>ROUND(L385/M385, 0)</f>
        <v/>
      </c>
      <c r="O385" s="12">
        <f>ROUND(N385*'Methodology &amp; Assumptions'!$B$5, 0)</f>
        <v/>
      </c>
      <c r="P385" s="10" t="inlineStr">
        <is>
          <t>Single Carrier (Band n50, 100MHz TDD)</t>
        </is>
      </c>
      <c r="Q385" s="13">
        <f>ROUNDUP(O385/'Methodology &amp; Assumptions'!$B$6, 0)</f>
        <v/>
      </c>
      <c r="R385" s="13" t="n">
        <v>1</v>
      </c>
      <c r="S385" s="14" t="n">
        <v>2.02</v>
      </c>
      <c r="T385" s="14" t="n">
        <v>3.71</v>
      </c>
      <c r="U385" s="26">
        <f>IF(X385&gt;='Methodology &amp; Assumptions'!$B$7, "Tier 1 Critical GIDA (Score ≥ 50.0)", IF(X385&gt;='Methodology &amp; Assumptions'!$B$8, "Tier 2 High GIDA (Score 40.0–49.9)", "Tier 3 Moderate GIDA (Score &lt; 40.0)"))</f>
        <v/>
      </c>
      <c r="V385" s="26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W385" s="28" t="n">
        <v>0.156</v>
      </c>
      <c r="X385" s="14" t="n">
        <v>54.71</v>
      </c>
      <c r="Y385" s="14">
        <f>ROUND(MIN(100, (X385/69.91)*100), 2)</f>
        <v/>
      </c>
    </row>
    <row r="386">
      <c r="A386" s="10" t="n">
        <v>1</v>
      </c>
      <c r="B386" s="10" t="n">
        <v>382</v>
      </c>
      <c r="C386" s="10" t="n">
        <v>382</v>
      </c>
      <c r="D386" s="10" t="inlineStr">
        <is>
          <t>PH0000382</t>
        </is>
      </c>
      <c r="E386" s="26" t="inlineStr">
        <is>
          <t>VI</t>
        </is>
      </c>
      <c r="F386" s="26" t="inlineStr">
        <is>
          <t>Iloilo</t>
        </is>
      </c>
      <c r="G386" s="26" t="inlineStr">
        <is>
          <t>Iloilo City</t>
        </is>
      </c>
      <c r="H386" s="26" t="inlineStr">
        <is>
          <t>Danao</t>
        </is>
      </c>
      <c r="I386" s="27" t="n">
        <v>10.651758</v>
      </c>
      <c r="J386" s="27" t="n">
        <v>122.601097</v>
      </c>
      <c r="K386" s="10" t="inlineStr">
        <is>
          <t>R</t>
        </is>
      </c>
      <c r="L386" s="12" t="n">
        <v>2230</v>
      </c>
      <c r="M386" s="14" t="n">
        <v>3.8</v>
      </c>
      <c r="N386" s="12">
        <f>ROUND(L386/M386, 0)</f>
        <v/>
      </c>
      <c r="O386" s="12">
        <f>ROUND(N386*'Methodology &amp; Assumptions'!$B$5, 0)</f>
        <v/>
      </c>
      <c r="P386" s="10" t="inlineStr">
        <is>
          <t>Single Carrier (Band n50, 100MHz TDD)</t>
        </is>
      </c>
      <c r="Q386" s="13">
        <f>ROUNDUP(O386/'Methodology &amp; Assumptions'!$B$6, 0)</f>
        <v/>
      </c>
      <c r="R386" s="13" t="n">
        <v>1</v>
      </c>
      <c r="S386" s="14" t="n">
        <v>7.71</v>
      </c>
      <c r="T386" s="14" t="n">
        <v>6.49</v>
      </c>
      <c r="U386" s="26">
        <f>IF(X386&gt;='Methodology &amp; Assumptions'!$B$7, "Tier 1 Critical GIDA (Score ≥ 50.0)", IF(X386&gt;='Methodology &amp; Assumptions'!$B$8, "Tier 2 High GIDA (Score 40.0–49.9)", "Tier 3 Moderate GIDA (Score &lt; 40.0)"))</f>
        <v/>
      </c>
      <c r="V386" s="26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W386" s="28" t="n">
        <v>0.156</v>
      </c>
      <c r="X386" s="14" t="n">
        <v>54.7</v>
      </c>
      <c r="Y386" s="14">
        <f>ROUND(MIN(100, (X386/69.91)*100), 2)</f>
        <v/>
      </c>
    </row>
    <row r="387">
      <c r="A387" s="10" t="n">
        <v>1</v>
      </c>
      <c r="B387" s="10" t="n">
        <v>383</v>
      </c>
      <c r="C387" s="10" t="n">
        <v>383</v>
      </c>
      <c r="D387" s="10" t="inlineStr">
        <is>
          <t>0501720004</t>
        </is>
      </c>
      <c r="E387" s="26" t="inlineStr">
        <is>
          <t>Region V (Bicol Region)</t>
        </is>
      </c>
      <c r="F387" s="26" t="inlineStr">
        <is>
          <t>Camarines Sur</t>
        </is>
      </c>
      <c r="G387" s="26" t="inlineStr">
        <is>
          <t>Magarao</t>
        </is>
      </c>
      <c r="H387" s="26" t="inlineStr">
        <is>
          <t>Carigsa</t>
        </is>
      </c>
      <c r="I387" s="27" t="n">
        <v>13.662224</v>
      </c>
      <c r="J387" s="27" t="n">
        <v>123.181553</v>
      </c>
      <c r="K387" s="10" t="inlineStr">
        <is>
          <t>R</t>
        </is>
      </c>
      <c r="L387" s="12" t="n">
        <v>229</v>
      </c>
      <c r="M387" s="14" t="n">
        <v>4.2</v>
      </c>
      <c r="N387" s="12">
        <f>ROUND(L387/M387, 0)</f>
        <v/>
      </c>
      <c r="O387" s="12">
        <f>ROUND(N387*'Methodology &amp; Assumptions'!$B$5, 0)</f>
        <v/>
      </c>
      <c r="P387" s="10" t="inlineStr">
        <is>
          <t>Single Carrier (Band n50, 100MHz TDD)</t>
        </is>
      </c>
      <c r="Q387" s="13">
        <f>ROUNDUP(O387/'Methodology &amp; Assumptions'!$B$6, 0)</f>
        <v/>
      </c>
      <c r="R387" s="13" t="n">
        <v>1</v>
      </c>
      <c r="S387" s="14" t="n">
        <v>0.7</v>
      </c>
      <c r="T387" s="14" t="n">
        <v>0.22</v>
      </c>
      <c r="U387" s="26">
        <f>IF(X387&gt;='Methodology &amp; Assumptions'!$B$7, "Tier 1 Critical GIDA (Score ≥ 50.0)", IF(X387&gt;='Methodology &amp; Assumptions'!$B$8, "Tier 2 High GIDA (Score 40.0–49.9)", "Tier 3 Moderate GIDA (Score &lt; 40.0)"))</f>
        <v/>
      </c>
      <c r="V387" s="26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W387" s="28" t="n">
        <v>0.237</v>
      </c>
      <c r="X387" s="14" t="n">
        <v>54.7</v>
      </c>
      <c r="Y387" s="14">
        <f>ROUND(MIN(100, (X387/69.91)*100), 2)</f>
        <v/>
      </c>
    </row>
    <row r="388">
      <c r="A388" s="10" t="n">
        <v>1</v>
      </c>
      <c r="B388" s="10" t="n">
        <v>384</v>
      </c>
      <c r="C388" s="10" t="n">
        <v>384</v>
      </c>
      <c r="D388" s="10" t="inlineStr">
        <is>
          <t>1108202008</t>
        </is>
      </c>
      <c r="E388" s="26" t="inlineStr">
        <is>
          <t>Region XI (Davao Region)</t>
        </is>
      </c>
      <c r="F388" s="26" t="inlineStr">
        <is>
          <t>Davao de Oro</t>
        </is>
      </c>
      <c r="G388" s="26" t="inlineStr">
        <is>
          <t>Laak</t>
        </is>
      </c>
      <c r="H388" s="26" t="inlineStr">
        <is>
          <t>Kidawa</t>
        </is>
      </c>
      <c r="I388" s="27" t="n">
        <v>7.904454</v>
      </c>
      <c r="J388" s="27" t="n">
        <v>125.910275</v>
      </c>
      <c r="K388" s="10" t="inlineStr">
        <is>
          <t>R</t>
        </is>
      </c>
      <c r="L388" s="12" t="n">
        <v>3785</v>
      </c>
      <c r="M388" s="14" t="n">
        <v>3.7</v>
      </c>
      <c r="N388" s="12">
        <f>ROUND(L388/M388, 0)</f>
        <v/>
      </c>
      <c r="O388" s="12">
        <f>ROUND(N388*'Methodology &amp; Assumptions'!$B$5, 0)</f>
        <v/>
      </c>
      <c r="P388" s="10" t="inlineStr">
        <is>
          <t>Single Carrier (Band n50, 100MHz TDD)</t>
        </is>
      </c>
      <c r="Q388" s="13">
        <f>ROUNDUP(O388/'Methodology &amp; Assumptions'!$B$6, 0)</f>
        <v/>
      </c>
      <c r="R388" s="13" t="n">
        <v>1</v>
      </c>
      <c r="S388" s="14" t="n">
        <v>18.21</v>
      </c>
      <c r="T388" s="14" t="n">
        <v>15.9</v>
      </c>
      <c r="U388" s="26">
        <f>IF(X388&gt;='Methodology &amp; Assumptions'!$B$7, "Tier 1 Critical GIDA (Score ≥ 50.0)", IF(X388&gt;='Methodology &amp; Assumptions'!$B$8, "Tier 2 High GIDA (Score 40.0–49.9)", "Tier 3 Moderate GIDA (Score &lt; 40.0)"))</f>
        <v/>
      </c>
      <c r="V388" s="26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W388" s="28" t="n">
        <v>0.174</v>
      </c>
      <c r="X388" s="14" t="n">
        <v>54.69</v>
      </c>
      <c r="Y388" s="14">
        <f>ROUND(MIN(100, (X388/69.91)*100), 2)</f>
        <v/>
      </c>
    </row>
    <row r="389">
      <c r="A389" s="10" t="n">
        <v>1</v>
      </c>
      <c r="B389" s="10" t="n">
        <v>385</v>
      </c>
      <c r="C389" s="10" t="n">
        <v>385</v>
      </c>
      <c r="D389" s="10" t="inlineStr">
        <is>
          <t>1108204019</t>
        </is>
      </c>
      <c r="E389" s="26" t="inlineStr">
        <is>
          <t>Region XI (Davao Region)</t>
        </is>
      </c>
      <c r="F389" s="26" t="inlineStr">
        <is>
          <t>Davao de Oro</t>
        </is>
      </c>
      <c r="G389" s="26" t="inlineStr">
        <is>
          <t>Maco</t>
        </is>
      </c>
      <c r="H389" s="26" t="inlineStr">
        <is>
          <t>Malamodao</t>
        </is>
      </c>
      <c r="I389" s="27" t="n">
        <v>7.36853</v>
      </c>
      <c r="J389" s="27" t="n">
        <v>125.97129</v>
      </c>
      <c r="K389" s="10" t="inlineStr">
        <is>
          <t>R</t>
        </is>
      </c>
      <c r="L389" s="12" t="n">
        <v>2703</v>
      </c>
      <c r="M389" s="14" t="n">
        <v>3.7</v>
      </c>
      <c r="N389" s="12">
        <f>ROUND(L389/M389, 0)</f>
        <v/>
      </c>
      <c r="O389" s="12">
        <f>ROUND(N389*'Methodology &amp; Assumptions'!$B$5, 0)</f>
        <v/>
      </c>
      <c r="P389" s="10" t="inlineStr">
        <is>
          <t>Single Carrier (Band n50, 100MHz TDD)</t>
        </is>
      </c>
      <c r="Q389" s="13">
        <f>ROUNDUP(O389/'Methodology &amp; Assumptions'!$B$6, 0)</f>
        <v/>
      </c>
      <c r="R389" s="13" t="n">
        <v>1</v>
      </c>
      <c r="S389" s="14" t="n">
        <v>12.78</v>
      </c>
      <c r="T389" s="14" t="n">
        <v>12.69</v>
      </c>
      <c r="U389" s="26">
        <f>IF(X389&gt;='Methodology &amp; Assumptions'!$B$7, "Tier 1 Critical GIDA (Score ≥ 50.0)", IF(X389&gt;='Methodology &amp; Assumptions'!$B$8, "Tier 2 High GIDA (Score 40.0–49.9)", "Tier 3 Moderate GIDA (Score &lt; 40.0)"))</f>
        <v/>
      </c>
      <c r="V389" s="26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W389" s="28" t="n">
        <v>0.174</v>
      </c>
      <c r="X389" s="14" t="n">
        <v>54.68</v>
      </c>
      <c r="Y389" s="14">
        <f>ROUND(MIN(100, (X389/69.91)*100), 2)</f>
        <v/>
      </c>
    </row>
    <row r="390">
      <c r="A390" s="10" t="n">
        <v>1</v>
      </c>
      <c r="B390" s="10" t="n">
        <v>386</v>
      </c>
      <c r="C390" s="10" t="n">
        <v>386</v>
      </c>
      <c r="D390" s="10" t="inlineStr">
        <is>
          <t>1402706003</t>
        </is>
      </c>
      <c r="E390" s="26" t="inlineStr">
        <is>
          <t>Cordillera Administrative Region (CAR)</t>
        </is>
      </c>
      <c r="F390" s="26" t="inlineStr">
        <is>
          <t>Ifugao</t>
        </is>
      </c>
      <c r="G390" s="26" t="inlineStr">
        <is>
          <t>Mayoyao</t>
        </is>
      </c>
      <c r="H390" s="26" t="inlineStr">
        <is>
          <t>Ayangan</t>
        </is>
      </c>
      <c r="I390" s="27" t="n">
        <v>16.90107</v>
      </c>
      <c r="J390" s="27" t="n">
        <v>121.18921</v>
      </c>
      <c r="K390" s="10" t="inlineStr">
        <is>
          <t>R</t>
        </is>
      </c>
      <c r="L390" s="12" t="n">
        <v>499</v>
      </c>
      <c r="M390" s="14" t="n">
        <v>3.9</v>
      </c>
      <c r="N390" s="12">
        <f>ROUND(L390/M390, 0)</f>
        <v/>
      </c>
      <c r="O390" s="12">
        <f>ROUND(N390*'Methodology &amp; Assumptions'!$B$5, 0)</f>
        <v/>
      </c>
      <c r="P390" s="10" t="inlineStr">
        <is>
          <t>Single Carrier (Band n50, 100MHz TDD)</t>
        </is>
      </c>
      <c r="Q390" s="13">
        <f>ROUNDUP(O390/'Methodology &amp; Assumptions'!$B$6, 0)</f>
        <v/>
      </c>
      <c r="R390" s="13" t="n">
        <v>1</v>
      </c>
      <c r="S390" s="14" t="n">
        <v>2.84</v>
      </c>
      <c r="T390" s="14" t="n">
        <v>12.46</v>
      </c>
      <c r="U390" s="26">
        <f>IF(X390&gt;='Methodology &amp; Assumptions'!$B$7, "Tier 1 Critical GIDA (Score ≥ 50.0)", IF(X390&gt;='Methodology &amp; Assumptions'!$B$8, "Tier 2 High GIDA (Score 40.0–49.9)", "Tier 3 Moderate GIDA (Score &lt; 40.0)"))</f>
        <v/>
      </c>
      <c r="V390" s="26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W390" s="28" t="n">
        <v>0.109</v>
      </c>
      <c r="X390" s="14" t="n">
        <v>54.68</v>
      </c>
      <c r="Y390" s="14">
        <f>ROUND(MIN(100, (X390/69.91)*100), 2)</f>
        <v/>
      </c>
    </row>
    <row r="391">
      <c r="A391" s="10" t="n">
        <v>1</v>
      </c>
      <c r="B391" s="10" t="n">
        <v>387</v>
      </c>
      <c r="C391" s="10" t="n">
        <v>387</v>
      </c>
      <c r="D391" s="10" t="inlineStr">
        <is>
          <t>1003519005</t>
        </is>
      </c>
      <c r="E391" s="26" t="inlineStr">
        <is>
          <t>Region X (Northern Mindanao)</t>
        </is>
      </c>
      <c r="F391" s="26" t="inlineStr">
        <is>
          <t>Lanao del Norte</t>
        </is>
      </c>
      <c r="G391" s="26" t="inlineStr">
        <is>
          <t>Sapad</t>
        </is>
      </c>
      <c r="H391" s="26" t="inlineStr">
        <is>
          <t>Gamal</t>
        </is>
      </c>
      <c r="I391" s="27" t="n">
        <v>7.847638</v>
      </c>
      <c r="J391" s="27" t="n">
        <v>123.861304</v>
      </c>
      <c r="K391" s="10" t="inlineStr">
        <is>
          <t>R</t>
        </is>
      </c>
      <c r="L391" s="12" t="n">
        <v>593</v>
      </c>
      <c r="M391" s="14" t="n">
        <v>4.2</v>
      </c>
      <c r="N391" s="12">
        <f>ROUND(L391/M391, 0)</f>
        <v/>
      </c>
      <c r="O391" s="12">
        <f>ROUND(N391*'Methodology &amp; Assumptions'!$B$5, 0)</f>
        <v/>
      </c>
      <c r="P391" s="10" t="inlineStr">
        <is>
          <t>Single Carrier (Band n50, 100MHz TDD)</t>
        </is>
      </c>
      <c r="Q391" s="13">
        <f>ROUNDUP(O391/'Methodology &amp; Assumptions'!$B$6, 0)</f>
        <v/>
      </c>
      <c r="R391" s="13" t="n">
        <v>1</v>
      </c>
      <c r="S391" s="14" t="n">
        <v>22.77</v>
      </c>
      <c r="T391" s="14" t="n">
        <v>11.58</v>
      </c>
      <c r="U391" s="26">
        <f>IF(X391&gt;='Methodology &amp; Assumptions'!$B$7, "Tier 1 Critical GIDA (Score ≥ 50.0)", IF(X391&gt;='Methodology &amp; Assumptions'!$B$8, "Tier 2 High GIDA (Score 40.0–49.9)", "Tier 3 Moderate GIDA (Score &lt; 40.0)"))</f>
        <v/>
      </c>
      <c r="V391" s="26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W391" s="28" t="n">
        <v>0.174</v>
      </c>
      <c r="X391" s="14" t="n">
        <v>54.68</v>
      </c>
      <c r="Y391" s="14">
        <f>ROUND(MIN(100, (X391/69.91)*100), 2)</f>
        <v/>
      </c>
    </row>
    <row r="392">
      <c r="A392" s="10" t="n">
        <v>1</v>
      </c>
      <c r="B392" s="10" t="n">
        <v>388</v>
      </c>
      <c r="C392" s="10" t="n">
        <v>388</v>
      </c>
      <c r="D392" s="10" t="inlineStr">
        <is>
          <t>1380606201</t>
        </is>
      </c>
      <c r="E392" s="26" t="inlineStr">
        <is>
          <t>National Capital Region (NCR)</t>
        </is>
      </c>
      <c r="F392" s="26" t="inlineStr">
        <is>
          <t>First District (Not a Province)</t>
        </is>
      </c>
      <c r="G392" s="26" t="inlineStr">
        <is>
          <t>City of Manila</t>
        </is>
      </c>
      <c r="H392" s="26" t="inlineStr">
        <is>
          <t>Barangay 594</t>
        </is>
      </c>
      <c r="I392" s="27" t="n">
        <v>12.952947</v>
      </c>
      <c r="J392" s="27" t="n">
        <v>121.730619</v>
      </c>
      <c r="K392" s="10" t="inlineStr">
        <is>
          <t>U</t>
        </is>
      </c>
      <c r="L392" s="12" t="n">
        <v>655</v>
      </c>
      <c r="M392" s="14" t="n">
        <v>3.9</v>
      </c>
      <c r="N392" s="12">
        <f>ROUND(L392/M392, 0)</f>
        <v/>
      </c>
      <c r="O392" s="12">
        <f>ROUND(N392*'Methodology &amp; Assumptions'!$B$5, 0)</f>
        <v/>
      </c>
      <c r="P392" s="10" t="inlineStr">
        <is>
          <t>Single Carrier (Band n50, 100MHz TDD)</t>
        </is>
      </c>
      <c r="Q392" s="13">
        <f>ROUNDUP(O392/'Methodology &amp; Assumptions'!$B$6, 0)</f>
        <v/>
      </c>
      <c r="R392" s="13" t="n">
        <v>1</v>
      </c>
      <c r="S392" s="14" t="n">
        <v>27.24</v>
      </c>
      <c r="T392" s="14" t="n">
        <v>27.45</v>
      </c>
      <c r="U392" s="26">
        <f>IF(X392&gt;='Methodology &amp; Assumptions'!$B$7, "Tier 1 Critical GIDA (Score ≥ 50.0)", IF(X392&gt;='Methodology &amp; Assumptions'!$B$8, "Tier 2 High GIDA (Score 40.0–49.9)", "Tier 3 Moderate GIDA (Score &lt; 40.0)"))</f>
        <v/>
      </c>
      <c r="V392" s="26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W392" s="28" t="n">
        <v>0.109</v>
      </c>
      <c r="X392" s="14" t="n">
        <v>54.66</v>
      </c>
      <c r="Y392" s="14">
        <f>ROUND(MIN(100, (X392/69.91)*100), 2)</f>
        <v/>
      </c>
    </row>
    <row r="393">
      <c r="A393" s="10" t="n">
        <v>1</v>
      </c>
      <c r="B393" s="10" t="n">
        <v>389</v>
      </c>
      <c r="C393" s="10" t="n">
        <v>389</v>
      </c>
      <c r="D393" s="10" t="inlineStr">
        <is>
          <t>PH0000389</t>
        </is>
      </c>
      <c r="E393" s="26" t="inlineStr">
        <is>
          <t>NIR</t>
        </is>
      </c>
      <c r="F393" s="26" t="inlineStr">
        <is>
          <t>Negros Occidental</t>
        </is>
      </c>
      <c r="G393" s="26" t="inlineStr">
        <is>
          <t>Bacolod City</t>
        </is>
      </c>
      <c r="H393" s="26" t="inlineStr">
        <is>
          <t>Barangay 22 (Pob.)</t>
        </is>
      </c>
      <c r="I393" s="27" t="n">
        <v>10.67334</v>
      </c>
      <c r="J393" s="27" t="n">
        <v>122.967679</v>
      </c>
      <c r="K393" s="10" t="inlineStr">
        <is>
          <t>R</t>
        </is>
      </c>
      <c r="L393" s="12" t="n">
        <v>2279</v>
      </c>
      <c r="M393" s="14" t="n">
        <v>3.8</v>
      </c>
      <c r="N393" s="12">
        <f>ROUND(L393/M393, 0)</f>
        <v/>
      </c>
      <c r="O393" s="12">
        <f>ROUND(N393*'Methodology &amp; Assumptions'!$B$5, 0)</f>
        <v/>
      </c>
      <c r="P393" s="10" t="inlineStr">
        <is>
          <t>Single Carrier (Band n50, 100MHz TDD)</t>
        </is>
      </c>
      <c r="Q393" s="13">
        <f>ROUNDUP(O393/'Methodology &amp; Assumptions'!$B$6, 0)</f>
        <v/>
      </c>
      <c r="R393" s="13" t="n">
        <v>1</v>
      </c>
      <c r="S393" s="14" t="n">
        <v>1.83</v>
      </c>
      <c r="T393" s="14" t="n">
        <v>0.41</v>
      </c>
      <c r="U393" s="26">
        <f>IF(X393&gt;='Methodology &amp; Assumptions'!$B$7, "Tier 1 Critical GIDA (Score ≥ 50.0)", IF(X393&gt;='Methodology &amp; Assumptions'!$B$8, "Tier 2 High GIDA (Score 40.0–49.9)", "Tier 3 Moderate GIDA (Score &lt; 40.0)"))</f>
        <v/>
      </c>
      <c r="V393" s="26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W393" s="28" t="n">
        <v>0.109</v>
      </c>
      <c r="X393" s="14" t="n">
        <v>54.66</v>
      </c>
      <c r="Y393" s="14">
        <f>ROUND(MIN(100, (X393/69.91)*100), 2)</f>
        <v/>
      </c>
    </row>
    <row r="394">
      <c r="A394" s="10" t="n">
        <v>1</v>
      </c>
      <c r="B394" s="10" t="n">
        <v>390</v>
      </c>
      <c r="C394" s="10" t="n">
        <v>390</v>
      </c>
      <c r="D394" s="10" t="inlineStr">
        <is>
          <t>0304918009</t>
        </is>
      </c>
      <c r="E394" s="26" t="inlineStr">
        <is>
          <t>Region III (Central Luzon)</t>
        </is>
      </c>
      <c r="F394" s="26" t="inlineStr">
        <is>
          <t>Nueva Ecija</t>
        </is>
      </c>
      <c r="G394" s="26" t="inlineStr">
        <is>
          <t>Nampicuan</t>
        </is>
      </c>
      <c r="H394" s="26" t="inlineStr">
        <is>
          <t>Edy</t>
        </is>
      </c>
      <c r="I394" s="27" t="n">
        <v>15.708755</v>
      </c>
      <c r="J394" s="27" t="n">
        <v>120.664289</v>
      </c>
      <c r="K394" s="10" t="inlineStr">
        <is>
          <t>R</t>
        </is>
      </c>
      <c r="L394" s="12" t="n">
        <v>140</v>
      </c>
      <c r="M394" s="14" t="n">
        <v>3.5</v>
      </c>
      <c r="N394" s="12">
        <f>ROUND(L394/M394, 0)</f>
        <v/>
      </c>
      <c r="O394" s="12">
        <f>ROUND(N394*'Methodology &amp; Assumptions'!$B$5, 0)</f>
        <v/>
      </c>
      <c r="P394" s="10" t="inlineStr">
        <is>
          <t>Single Carrier (Band n50, 100MHz TDD)</t>
        </is>
      </c>
      <c r="Q394" s="13">
        <f>ROUNDUP(O394/'Methodology &amp; Assumptions'!$B$6, 0)</f>
        <v/>
      </c>
      <c r="R394" s="13" t="n">
        <v>1</v>
      </c>
      <c r="S394" s="14" t="n">
        <v>7.87</v>
      </c>
      <c r="T394" s="14" t="n">
        <v>8.94</v>
      </c>
      <c r="U394" s="26">
        <f>IF(X394&gt;='Methodology &amp; Assumptions'!$B$7, "Tier 1 Critical GIDA (Score ≥ 50.0)", IF(X394&gt;='Methodology &amp; Assumptions'!$B$8, "Tier 2 High GIDA (Score 40.0–49.9)", "Tier 3 Moderate GIDA (Score &lt; 40.0)"))</f>
        <v/>
      </c>
      <c r="V394" s="26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W394" s="28" t="n">
        <v>0.083</v>
      </c>
      <c r="X394" s="14" t="n">
        <v>54.65</v>
      </c>
      <c r="Y394" s="14">
        <f>ROUND(MIN(100, (X394/69.91)*100), 2)</f>
        <v/>
      </c>
    </row>
    <row r="395">
      <c r="A395" s="10" t="n">
        <v>1</v>
      </c>
      <c r="B395" s="10" t="n">
        <v>391</v>
      </c>
      <c r="C395" s="10" t="n">
        <v>391</v>
      </c>
      <c r="D395" s="10" t="inlineStr">
        <is>
          <t>0307706025</t>
        </is>
      </c>
      <c r="E395" s="26" t="inlineStr">
        <is>
          <t>Region III (Central Luzon)</t>
        </is>
      </c>
      <c r="F395" s="26" t="inlineStr">
        <is>
          <t>Aurora</t>
        </is>
      </c>
      <c r="G395" s="26" t="inlineStr">
        <is>
          <t>Dipaculao</t>
        </is>
      </c>
      <c r="H395" s="26" t="inlineStr">
        <is>
          <t>Diamanen</t>
        </is>
      </c>
      <c r="I395" s="27" t="n">
        <v>15.889938</v>
      </c>
      <c r="J395" s="27" t="n">
        <v>121.521777</v>
      </c>
      <c r="K395" s="10" t="inlineStr">
        <is>
          <t>R</t>
        </is>
      </c>
      <c r="L395" s="12" t="n">
        <v>298</v>
      </c>
      <c r="M395" s="14" t="n">
        <v>3.8</v>
      </c>
      <c r="N395" s="12">
        <f>ROUND(L395/M395, 0)</f>
        <v/>
      </c>
      <c r="O395" s="12">
        <f>ROUND(N395*'Methodology &amp; Assumptions'!$B$5, 0)</f>
        <v/>
      </c>
      <c r="P395" s="10" t="inlineStr">
        <is>
          <t>Single Carrier (Band n50, 100MHz TDD)</t>
        </is>
      </c>
      <c r="Q395" s="13">
        <f>ROUNDUP(O395/'Methodology &amp; Assumptions'!$B$6, 0)</f>
        <v/>
      </c>
      <c r="R395" s="13" t="n">
        <v>1</v>
      </c>
      <c r="S395" s="14" t="n">
        <v>6.25</v>
      </c>
      <c r="T395" s="14" t="n">
        <v>2.91</v>
      </c>
      <c r="U395" s="26">
        <f>IF(X395&gt;='Methodology &amp; Assumptions'!$B$7, "Tier 1 Critical GIDA (Score ≥ 50.0)", IF(X395&gt;='Methodology &amp; Assumptions'!$B$8, "Tier 2 High GIDA (Score 40.0–49.9)", "Tier 3 Moderate GIDA (Score &lt; 40.0)"))</f>
        <v/>
      </c>
      <c r="V395" s="26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W395" s="28" t="n">
        <v>0.083</v>
      </c>
      <c r="X395" s="14" t="n">
        <v>54.65</v>
      </c>
      <c r="Y395" s="14">
        <f>ROUND(MIN(100, (X395/69.91)*100), 2)</f>
        <v/>
      </c>
    </row>
    <row r="396">
      <c r="A396" s="10" t="n">
        <v>1</v>
      </c>
      <c r="B396" s="10" t="n">
        <v>392</v>
      </c>
      <c r="C396" s="10" t="n">
        <v>392</v>
      </c>
      <c r="D396" s="10" t="inlineStr">
        <is>
          <t>PH0000392</t>
        </is>
      </c>
      <c r="E396" s="26" t="inlineStr">
        <is>
          <t>NIR</t>
        </is>
      </c>
      <c r="F396" s="26" t="inlineStr">
        <is>
          <t>Negros Occidental</t>
        </is>
      </c>
      <c r="G396" s="26" t="inlineStr">
        <is>
          <t>Bacolod City</t>
        </is>
      </c>
      <c r="H396" s="26" t="inlineStr">
        <is>
          <t>Barangay 26 (Pob.)</t>
        </is>
      </c>
      <c r="I396" s="27" t="n">
        <v>10.639794</v>
      </c>
      <c r="J396" s="27" t="n">
        <v>122.991085</v>
      </c>
      <c r="K396" s="10" t="inlineStr">
        <is>
          <t>R</t>
        </is>
      </c>
      <c r="L396" s="12" t="n">
        <v>2279</v>
      </c>
      <c r="M396" s="14" t="n">
        <v>3.8</v>
      </c>
      <c r="N396" s="12">
        <f>ROUND(L396/M396, 0)</f>
        <v/>
      </c>
      <c r="O396" s="12">
        <f>ROUND(N396*'Methodology &amp; Assumptions'!$B$5, 0)</f>
        <v/>
      </c>
      <c r="P396" s="10" t="inlineStr">
        <is>
          <t>Single Carrier (Band n50, 100MHz TDD)</t>
        </is>
      </c>
      <c r="Q396" s="13">
        <f>ROUNDUP(O396/'Methodology &amp; Assumptions'!$B$6, 0)</f>
        <v/>
      </c>
      <c r="R396" s="13" t="n">
        <v>1</v>
      </c>
      <c r="S396" s="14" t="n">
        <v>2.05</v>
      </c>
      <c r="T396" s="14" t="n">
        <v>1.34</v>
      </c>
      <c r="U396" s="26">
        <f>IF(X396&gt;='Methodology &amp; Assumptions'!$B$7, "Tier 1 Critical GIDA (Score ≥ 50.0)", IF(X396&gt;='Methodology &amp; Assumptions'!$B$8, "Tier 2 High GIDA (Score 40.0–49.9)", "Tier 3 Moderate GIDA (Score &lt; 40.0)"))</f>
        <v/>
      </c>
      <c r="V396" s="26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W396" s="28" t="n">
        <v>0.109</v>
      </c>
      <c r="X396" s="14" t="n">
        <v>54.64</v>
      </c>
      <c r="Y396" s="14">
        <f>ROUND(MIN(100, (X396/69.91)*100), 2)</f>
        <v/>
      </c>
    </row>
    <row r="397">
      <c r="A397" s="10" t="n">
        <v>1</v>
      </c>
      <c r="B397" s="10" t="n">
        <v>393</v>
      </c>
      <c r="C397" s="10" t="n">
        <v>393</v>
      </c>
      <c r="D397" s="10" t="inlineStr">
        <is>
          <t>0205009010</t>
        </is>
      </c>
      <c r="E397" s="26" t="inlineStr">
        <is>
          <t>Region II (Cagayan Valley)</t>
        </is>
      </c>
      <c r="F397" s="26" t="inlineStr">
        <is>
          <t>Nueva Vizcaya</t>
        </is>
      </c>
      <c r="G397" s="26" t="inlineStr">
        <is>
          <t>Kasibu</t>
        </is>
      </c>
      <c r="H397" s="26" t="inlineStr">
        <is>
          <t>Didipio</t>
        </is>
      </c>
      <c r="I397" s="27" t="n">
        <v>16.33632</v>
      </c>
      <c r="J397" s="27" t="n">
        <v>121.45451</v>
      </c>
      <c r="K397" s="10" t="inlineStr">
        <is>
          <t>R</t>
        </is>
      </c>
      <c r="L397" s="12" t="n">
        <v>3856</v>
      </c>
      <c r="M397" s="14" t="n">
        <v>3.8</v>
      </c>
      <c r="N397" s="12">
        <f>ROUND(L397/M397, 0)</f>
        <v/>
      </c>
      <c r="O397" s="12">
        <f>ROUND(N397*'Methodology &amp; Assumptions'!$B$5, 0)</f>
        <v/>
      </c>
      <c r="P397" s="10" t="inlineStr">
        <is>
          <t>Single Carrier (Band n50, 100MHz TDD)</t>
        </is>
      </c>
      <c r="Q397" s="13">
        <f>ROUNDUP(O397/'Methodology &amp; Assumptions'!$B$6, 0)</f>
        <v/>
      </c>
      <c r="R397" s="13" t="n">
        <v>1</v>
      </c>
      <c r="S397" s="14" t="n">
        <v>17.24</v>
      </c>
      <c r="T397" s="14" t="n">
        <v>21.48</v>
      </c>
      <c r="U397" s="26">
        <f>IF(X397&gt;='Methodology &amp; Assumptions'!$B$7, "Tier 1 Critical GIDA (Score ≥ 50.0)", IF(X397&gt;='Methodology &amp; Assumptions'!$B$8, "Tier 2 High GIDA (Score 40.0–49.9)", "Tier 3 Moderate GIDA (Score &lt; 40.0)"))</f>
        <v/>
      </c>
      <c r="V397" s="26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W397" s="28" t="n">
        <v>0.083</v>
      </c>
      <c r="X397" s="14" t="n">
        <v>54.64</v>
      </c>
      <c r="Y397" s="14">
        <f>ROUND(MIN(100, (X397/69.91)*100), 2)</f>
        <v/>
      </c>
    </row>
    <row r="398">
      <c r="A398" s="10" t="n">
        <v>1</v>
      </c>
      <c r="B398" s="10" t="n">
        <v>394</v>
      </c>
      <c r="C398" s="10" t="n">
        <v>394</v>
      </c>
      <c r="D398" s="10" t="inlineStr">
        <is>
          <t>0403403001</t>
        </is>
      </c>
      <c r="E398" s="26" t="inlineStr">
        <is>
          <t>Region IV-A (CALABARZON)</t>
        </is>
      </c>
      <c r="F398" s="26" t="inlineStr">
        <is>
          <t>Laguna</t>
        </is>
      </c>
      <c r="G398" s="26" t="inlineStr">
        <is>
          <t>City of Biñan</t>
        </is>
      </c>
      <c r="H398" s="26" t="inlineStr">
        <is>
          <t>Biñan</t>
        </is>
      </c>
      <c r="I398" s="27" t="n">
        <v>14.315811</v>
      </c>
      <c r="J398" s="27" t="n">
        <v>121.076883</v>
      </c>
      <c r="K398" s="10" t="inlineStr">
        <is>
          <t>U</t>
        </is>
      </c>
      <c r="L398" s="12" t="n">
        <v>7786</v>
      </c>
      <c r="M398" s="14" t="n">
        <v>3.3</v>
      </c>
      <c r="N398" s="12">
        <f>ROUND(L398/M398, 0)</f>
        <v/>
      </c>
      <c r="O398" s="12">
        <f>ROUND(N398*'Methodology &amp; Assumptions'!$B$5, 0)</f>
        <v/>
      </c>
      <c r="P398" s="10" t="inlineStr">
        <is>
          <t>Single Carrier (Band n50, 100MHz TDD)</t>
        </is>
      </c>
      <c r="Q398" s="13">
        <f>ROUNDUP(O398/'Methodology &amp; Assumptions'!$B$6, 0)</f>
        <v/>
      </c>
      <c r="R398" s="13" t="n">
        <v>1</v>
      </c>
      <c r="S398" s="14" t="n">
        <v>1.5</v>
      </c>
      <c r="T398" s="14" t="n">
        <v>0.93</v>
      </c>
      <c r="U398" s="26">
        <f>IF(X398&gt;='Methodology &amp; Assumptions'!$B$7, "Tier 1 Critical GIDA (Score ≥ 50.0)", IF(X398&gt;='Methodology &amp; Assumptions'!$B$8, "Tier 2 High GIDA (Score 40.0–49.9)", "Tier 3 Moderate GIDA (Score &lt; 40.0)"))</f>
        <v/>
      </c>
      <c r="V398" s="26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W398" s="28" t="n">
        <v>0.07200000000000001</v>
      </c>
      <c r="X398" s="14" t="n">
        <v>54.64</v>
      </c>
      <c r="Y398" s="14">
        <f>ROUND(MIN(100, (X398/69.91)*100), 2)</f>
        <v/>
      </c>
    </row>
    <row r="399">
      <c r="A399" s="10" t="n">
        <v>1</v>
      </c>
      <c r="B399" s="10" t="n">
        <v>395</v>
      </c>
      <c r="C399" s="10" t="n">
        <v>395</v>
      </c>
      <c r="D399" s="10" t="inlineStr">
        <is>
          <t>1907006011</t>
        </is>
      </c>
      <c r="E399" s="26" t="inlineStr">
        <is>
          <t>Bangsamoro Autonomous Region In Muslim Mindanao (BARMM)</t>
        </is>
      </c>
      <c r="F399" s="26" t="inlineStr">
        <is>
          <t>Tawi-Tawi</t>
        </is>
      </c>
      <c r="G399" s="26" t="inlineStr">
        <is>
          <t>South Ubian</t>
        </is>
      </c>
      <c r="H399" s="26" t="inlineStr">
        <is>
          <t>Bunay Bunay Center</t>
        </is>
      </c>
      <c r="I399" s="27" t="n">
        <v>17.255853</v>
      </c>
      <c r="J399" s="27" t="n">
        <v>122.229897</v>
      </c>
      <c r="K399" s="10" t="inlineStr">
        <is>
          <t>R</t>
        </is>
      </c>
      <c r="L399" s="12" t="n">
        <v>914</v>
      </c>
      <c r="M399" s="14" t="n">
        <v>5.8</v>
      </c>
      <c r="N399" s="12">
        <f>ROUND(L399/M399, 0)</f>
        <v/>
      </c>
      <c r="O399" s="12">
        <f>ROUND(N399*'Methodology &amp; Assumptions'!$B$5, 0)</f>
        <v/>
      </c>
      <c r="P399" s="10" t="inlineStr">
        <is>
          <t>Single Carrier (Band n50, 100MHz TDD)</t>
        </is>
      </c>
      <c r="Q399" s="13">
        <f>ROUNDUP(O399/'Methodology &amp; Assumptions'!$B$6, 0)</f>
        <v/>
      </c>
      <c r="R399" s="13" t="n">
        <v>1</v>
      </c>
      <c r="S399" s="14" t="n">
        <v>29.57</v>
      </c>
      <c r="T399" s="14" t="n">
        <v>34.43</v>
      </c>
      <c r="U399" s="26">
        <f>IF(X399&gt;='Methodology &amp; Assumptions'!$B$7, "Tier 1 Critical GIDA (Score ≥ 50.0)", IF(X399&gt;='Methodology &amp; Assumptions'!$B$8, "Tier 2 High GIDA (Score 40.0–49.9)", "Tier 3 Moderate GIDA (Score &lt; 40.0)"))</f>
        <v/>
      </c>
      <c r="V399" s="26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W399" s="28" t="n">
        <v>0.11</v>
      </c>
      <c r="X399" s="14" t="n">
        <v>54.61</v>
      </c>
      <c r="Y399" s="14">
        <f>ROUND(MIN(100, (X399/69.91)*100), 2)</f>
        <v/>
      </c>
    </row>
    <row r="400">
      <c r="A400" s="10" t="n">
        <v>1</v>
      </c>
      <c r="B400" s="10" t="n">
        <v>396</v>
      </c>
      <c r="C400" s="10" t="n">
        <v>396</v>
      </c>
      <c r="D400" s="10" t="inlineStr">
        <is>
          <t>PH0000396</t>
        </is>
      </c>
      <c r="E400" s="26" t="inlineStr">
        <is>
          <t>VI</t>
        </is>
      </c>
      <c r="F400" s="26" t="inlineStr">
        <is>
          <t>Iloilo</t>
        </is>
      </c>
      <c r="G400" s="26" t="inlineStr">
        <is>
          <t>Iloilo City</t>
        </is>
      </c>
      <c r="H400" s="26" t="inlineStr">
        <is>
          <t>Rizal Ibarra</t>
        </is>
      </c>
      <c r="I400" s="27" t="n">
        <v>10.722925</v>
      </c>
      <c r="J400" s="27" t="n">
        <v>122.468041</v>
      </c>
      <c r="K400" s="10" t="inlineStr">
        <is>
          <t>R</t>
        </is>
      </c>
      <c r="L400" s="12" t="n">
        <v>2230</v>
      </c>
      <c r="M400" s="14" t="n">
        <v>3.8</v>
      </c>
      <c r="N400" s="12">
        <f>ROUND(L400/M400, 0)</f>
        <v/>
      </c>
      <c r="O400" s="12">
        <f>ROUND(N400*'Methodology &amp; Assumptions'!$B$5, 0)</f>
        <v/>
      </c>
      <c r="P400" s="10" t="inlineStr">
        <is>
          <t>Single Carrier (Band n50, 100MHz TDD)</t>
        </is>
      </c>
      <c r="Q400" s="13">
        <f>ROUNDUP(O400/'Methodology &amp; Assumptions'!$B$6, 0)</f>
        <v/>
      </c>
      <c r="R400" s="13" t="n">
        <v>1</v>
      </c>
      <c r="S400" s="14" t="n">
        <v>3.59</v>
      </c>
      <c r="T400" s="14" t="n">
        <v>3.22</v>
      </c>
      <c r="U400" s="26">
        <f>IF(X400&gt;='Methodology &amp; Assumptions'!$B$7, "Tier 1 Critical GIDA (Score ≥ 50.0)", IF(X400&gt;='Methodology &amp; Assumptions'!$B$8, "Tier 2 High GIDA (Score 40.0–49.9)", "Tier 3 Moderate GIDA (Score &lt; 40.0)"))</f>
        <v/>
      </c>
      <c r="V400" s="26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W400" s="28" t="n">
        <v>0.156</v>
      </c>
      <c r="X400" s="14" t="n">
        <v>54.61</v>
      </c>
      <c r="Y400" s="14">
        <f>ROUND(MIN(100, (X400/69.91)*100), 2)</f>
        <v/>
      </c>
    </row>
    <row r="401">
      <c r="A401" s="10" t="n">
        <v>1</v>
      </c>
      <c r="B401" s="10" t="n">
        <v>397</v>
      </c>
      <c r="C401" s="10" t="n">
        <v>397</v>
      </c>
      <c r="D401" s="10" t="inlineStr">
        <is>
          <t>1380400005</t>
        </is>
      </c>
      <c r="E401" s="26" t="inlineStr">
        <is>
          <t>National Capital Region (NCR)</t>
        </is>
      </c>
      <c r="F401" s="26" t="inlineStr">
        <is>
          <t>Third District (Not a Province)</t>
        </is>
      </c>
      <c r="G401" s="26" t="inlineStr">
        <is>
          <t>City of Malabon</t>
        </is>
      </c>
      <c r="H401" s="26" t="inlineStr">
        <is>
          <t>Concepcion</t>
        </is>
      </c>
      <c r="I401" s="27" t="n">
        <v>14.667583</v>
      </c>
      <c r="J401" s="27" t="n">
        <v>120.949554</v>
      </c>
      <c r="K401" s="10" t="inlineStr">
        <is>
          <t>U</t>
        </is>
      </c>
      <c r="L401" s="12" t="n">
        <v>13018</v>
      </c>
      <c r="M401" s="14" t="n">
        <v>3.7</v>
      </c>
      <c r="N401" s="12">
        <f>ROUND(L401/M401, 0)</f>
        <v/>
      </c>
      <c r="O401" s="12">
        <f>ROUND(N401*'Methodology &amp; Assumptions'!$B$5, 0)</f>
        <v/>
      </c>
      <c r="P401" s="10" t="inlineStr">
        <is>
          <t>Single Carrier (Band n50, 100MHz TDD)</t>
        </is>
      </c>
      <c r="Q401" s="13">
        <f>ROUNDUP(O401/'Methodology &amp; Assumptions'!$B$6, 0)</f>
        <v/>
      </c>
      <c r="R401" s="13" t="n">
        <v>1</v>
      </c>
      <c r="S401" s="14" t="n">
        <v>0.8</v>
      </c>
      <c r="T401" s="14" t="n">
        <v>0.27</v>
      </c>
      <c r="U401" s="26">
        <f>IF(X401&gt;='Methodology &amp; Assumptions'!$B$7, "Tier 1 Critical GIDA (Score ≥ 50.0)", IF(X401&gt;='Methodology &amp; Assumptions'!$B$8, "Tier 2 High GIDA (Score 40.0–49.9)", "Tier 3 Moderate GIDA (Score &lt; 40.0)"))</f>
        <v/>
      </c>
      <c r="V401" s="26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W401" s="28" t="n">
        <v>0.109</v>
      </c>
      <c r="X401" s="14" t="n">
        <v>54.6</v>
      </c>
      <c r="Y401" s="14">
        <f>ROUND(MIN(100, (X401/69.91)*100), 2)</f>
        <v/>
      </c>
    </row>
    <row r="402">
      <c r="A402" s="10" t="n">
        <v>1</v>
      </c>
      <c r="B402" s="10" t="n">
        <v>398</v>
      </c>
      <c r="C402" s="10" t="n">
        <v>398</v>
      </c>
      <c r="D402" s="10" t="inlineStr">
        <is>
          <t>PH0000398</t>
        </is>
      </c>
      <c r="E402" s="26" t="inlineStr">
        <is>
          <t>VI</t>
        </is>
      </c>
      <c r="F402" s="26" t="inlineStr">
        <is>
          <t>Iloilo</t>
        </is>
      </c>
      <c r="G402" s="26" t="inlineStr">
        <is>
          <t>Iloilo City</t>
        </is>
      </c>
      <c r="H402" s="26" t="inlineStr">
        <is>
          <t>Javellana</t>
        </is>
      </c>
      <c r="I402" s="27" t="n">
        <v>10.759378</v>
      </c>
      <c r="J402" s="27" t="n">
        <v>122.617559</v>
      </c>
      <c r="K402" s="10" t="inlineStr">
        <is>
          <t>R</t>
        </is>
      </c>
      <c r="L402" s="12" t="n">
        <v>2230</v>
      </c>
      <c r="M402" s="14" t="n">
        <v>3.8</v>
      </c>
      <c r="N402" s="12">
        <f>ROUND(L402/M402, 0)</f>
        <v/>
      </c>
      <c r="O402" s="12">
        <f>ROUND(N402*'Methodology &amp; Assumptions'!$B$5, 0)</f>
        <v/>
      </c>
      <c r="P402" s="10" t="inlineStr">
        <is>
          <t>Single Carrier (Band n50, 100MHz TDD)</t>
        </is>
      </c>
      <c r="Q402" s="13">
        <f>ROUNDUP(O402/'Methodology &amp; Assumptions'!$B$6, 0)</f>
        <v/>
      </c>
      <c r="R402" s="13" t="n">
        <v>1</v>
      </c>
      <c r="S402" s="14" t="n">
        <v>1.67</v>
      </c>
      <c r="T402" s="14" t="n">
        <v>0.19</v>
      </c>
      <c r="U402" s="26">
        <f>IF(X402&gt;='Methodology &amp; Assumptions'!$B$7, "Tier 1 Critical GIDA (Score ≥ 50.0)", IF(X402&gt;='Methodology &amp; Assumptions'!$B$8, "Tier 2 High GIDA (Score 40.0–49.9)", "Tier 3 Moderate GIDA (Score &lt; 40.0)"))</f>
        <v/>
      </c>
      <c r="V402" s="26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W402" s="28" t="n">
        <v>0.156</v>
      </c>
      <c r="X402" s="14" t="n">
        <v>54.6</v>
      </c>
      <c r="Y402" s="14">
        <f>ROUND(MIN(100, (X402/69.91)*100), 2)</f>
        <v/>
      </c>
    </row>
    <row r="403">
      <c r="A403" s="10" t="n">
        <v>1</v>
      </c>
      <c r="B403" s="10" t="n">
        <v>399</v>
      </c>
      <c r="C403" s="10" t="n">
        <v>399</v>
      </c>
      <c r="D403" s="10" t="inlineStr">
        <is>
          <t>1907006033</t>
        </is>
      </c>
      <c r="E403" s="26" t="inlineStr">
        <is>
          <t>Bangsamoro Autonomous Region In Muslim Mindanao (BARMM)</t>
        </is>
      </c>
      <c r="F403" s="26" t="inlineStr">
        <is>
          <t>Tawi-Tawi</t>
        </is>
      </c>
      <c r="G403" s="26" t="inlineStr">
        <is>
          <t>South Ubian</t>
        </is>
      </c>
      <c r="H403" s="26" t="inlineStr">
        <is>
          <t>Tubig Dayang Center</t>
        </is>
      </c>
      <c r="I403" s="27" t="n">
        <v>15.419004</v>
      </c>
      <c r="J403" s="27" t="n">
        <v>121.977136</v>
      </c>
      <c r="K403" s="10" t="inlineStr">
        <is>
          <t>R</t>
        </is>
      </c>
      <c r="L403" s="12" t="n">
        <v>1198</v>
      </c>
      <c r="M403" s="14" t="n">
        <v>5.8</v>
      </c>
      <c r="N403" s="12">
        <f>ROUND(L403/M403, 0)</f>
        <v/>
      </c>
      <c r="O403" s="12">
        <f>ROUND(N403*'Methodology &amp; Assumptions'!$B$5, 0)</f>
        <v/>
      </c>
      <c r="P403" s="10" t="inlineStr">
        <is>
          <t>Single Carrier (Band n50, 100MHz TDD)</t>
        </is>
      </c>
      <c r="Q403" s="13">
        <f>ROUNDUP(O403/'Methodology &amp; Assumptions'!$B$6, 0)</f>
        <v/>
      </c>
      <c r="R403" s="13" t="n">
        <v>1</v>
      </c>
      <c r="S403" s="14" t="n">
        <v>58.37</v>
      </c>
      <c r="T403" s="14" t="n">
        <v>58.16</v>
      </c>
      <c r="U403" s="26">
        <f>IF(X403&gt;='Methodology &amp; Assumptions'!$B$7, "Tier 1 Critical GIDA (Score ≥ 50.0)", IF(X403&gt;='Methodology &amp; Assumptions'!$B$8, "Tier 2 High GIDA (Score 40.0–49.9)", "Tier 3 Moderate GIDA (Score &lt; 40.0)"))</f>
        <v/>
      </c>
      <c r="V403" s="26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W403" s="28" t="n">
        <v>0.11</v>
      </c>
      <c r="X403" s="14" t="n">
        <v>54.6</v>
      </c>
      <c r="Y403" s="14">
        <f>ROUND(MIN(100, (X403/69.91)*100), 2)</f>
        <v/>
      </c>
    </row>
    <row r="404">
      <c r="A404" s="10" t="n">
        <v>1</v>
      </c>
      <c r="B404" s="10" t="n">
        <v>400</v>
      </c>
      <c r="C404" s="10" t="n">
        <v>400</v>
      </c>
      <c r="D404" s="10" t="inlineStr">
        <is>
          <t>1381400015</t>
        </is>
      </c>
      <c r="E404" s="26" t="inlineStr">
        <is>
          <t>National Capital Region (NCR)</t>
        </is>
      </c>
      <c r="F404" s="26" t="inlineStr">
        <is>
          <t>Second District (Not a Province)</t>
        </is>
      </c>
      <c r="G404" s="26" t="inlineStr">
        <is>
          <t>City of San Juan</t>
        </is>
      </c>
      <c r="H404" s="26" t="inlineStr">
        <is>
          <t>Rivera</t>
        </is>
      </c>
      <c r="I404" s="27" t="n">
        <v>14.600679</v>
      </c>
      <c r="J404" s="27" t="n">
        <v>121.033186</v>
      </c>
      <c r="K404" s="10" t="inlineStr">
        <is>
          <t>U</t>
        </is>
      </c>
      <c r="L404" s="12" t="n">
        <v>2531</v>
      </c>
      <c r="M404" s="14" t="n">
        <v>3.6</v>
      </c>
      <c r="N404" s="12">
        <f>ROUND(L404/M404, 0)</f>
        <v/>
      </c>
      <c r="O404" s="12">
        <f>ROUND(N404*'Methodology &amp; Assumptions'!$B$5, 0)</f>
        <v/>
      </c>
      <c r="P404" s="10" t="inlineStr">
        <is>
          <t>Single Carrier (Band n50, 100MHz TDD)</t>
        </is>
      </c>
      <c r="Q404" s="13">
        <f>ROUNDUP(O404/'Methodology &amp; Assumptions'!$B$6, 0)</f>
        <v/>
      </c>
      <c r="R404" s="13" t="n">
        <v>1</v>
      </c>
      <c r="S404" s="14" t="n">
        <v>1.35</v>
      </c>
      <c r="T404" s="14" t="n">
        <v>0.2</v>
      </c>
      <c r="U404" s="26">
        <f>IF(X404&gt;='Methodology &amp; Assumptions'!$B$7, "Tier 1 Critical GIDA (Score ≥ 50.0)", IF(X404&gt;='Methodology &amp; Assumptions'!$B$8, "Tier 2 High GIDA (Score 40.0–49.9)", "Tier 3 Moderate GIDA (Score &lt; 40.0)"))</f>
        <v/>
      </c>
      <c r="V404" s="26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W404" s="28" t="n">
        <v>0.109</v>
      </c>
      <c r="X404" s="14" t="n">
        <v>54.59</v>
      </c>
      <c r="Y404" s="14">
        <f>ROUND(MIN(100, (X404/69.91)*100), 2)</f>
        <v/>
      </c>
    </row>
    <row r="405">
      <c r="A405" s="10" t="n">
        <v>1</v>
      </c>
      <c r="B405" s="10" t="n">
        <v>401</v>
      </c>
      <c r="C405" s="10" t="n">
        <v>401</v>
      </c>
      <c r="D405" s="10" t="inlineStr">
        <is>
          <t>PH0000401</t>
        </is>
      </c>
      <c r="E405" s="26" t="inlineStr">
        <is>
          <t>VI</t>
        </is>
      </c>
      <c r="F405" s="26" t="inlineStr">
        <is>
          <t>Iloilo</t>
        </is>
      </c>
      <c r="G405" s="26" t="inlineStr">
        <is>
          <t>Iloilo City</t>
        </is>
      </c>
      <c r="H405" s="26" t="inlineStr">
        <is>
          <t>Luna (Jaro)</t>
        </is>
      </c>
      <c r="I405" s="27" t="n">
        <v>10.631157</v>
      </c>
      <c r="J405" s="27" t="n">
        <v>122.530964</v>
      </c>
      <c r="K405" s="10" t="inlineStr">
        <is>
          <t>R</t>
        </is>
      </c>
      <c r="L405" s="12" t="n">
        <v>2230</v>
      </c>
      <c r="M405" s="14" t="n">
        <v>3.8</v>
      </c>
      <c r="N405" s="12">
        <f>ROUND(L405/M405, 0)</f>
        <v/>
      </c>
      <c r="O405" s="12">
        <f>ROUND(N405*'Methodology &amp; Assumptions'!$B$5, 0)</f>
        <v/>
      </c>
      <c r="P405" s="10" t="inlineStr">
        <is>
          <t>Single Carrier (Band n50, 100MHz TDD)</t>
        </is>
      </c>
      <c r="Q405" s="13">
        <f>ROUNDUP(O405/'Methodology &amp; Assumptions'!$B$6, 0)</f>
        <v/>
      </c>
      <c r="R405" s="13" t="n">
        <v>1</v>
      </c>
      <c r="S405" s="14" t="n">
        <v>6.74</v>
      </c>
      <c r="T405" s="14" t="n">
        <v>7.79</v>
      </c>
      <c r="U405" s="26">
        <f>IF(X405&gt;='Methodology &amp; Assumptions'!$B$7, "Tier 1 Critical GIDA (Score ≥ 50.0)", IF(X405&gt;='Methodology &amp; Assumptions'!$B$8, "Tier 2 High GIDA (Score 40.0–49.9)", "Tier 3 Moderate GIDA (Score &lt; 40.0)"))</f>
        <v/>
      </c>
      <c r="V405" s="26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W405" s="28" t="n">
        <v>0.156</v>
      </c>
      <c r="X405" s="14" t="n">
        <v>54.57</v>
      </c>
      <c r="Y405" s="14">
        <f>ROUND(MIN(100, (X405/69.91)*100), 2)</f>
        <v/>
      </c>
    </row>
    <row r="406">
      <c r="A406" s="10" t="n">
        <v>1</v>
      </c>
      <c r="B406" s="10" t="n">
        <v>402</v>
      </c>
      <c r="C406" s="10" t="n">
        <v>402</v>
      </c>
      <c r="D406" s="10" t="inlineStr">
        <is>
          <t>PH0000402</t>
        </is>
      </c>
      <c r="E406" s="26" t="inlineStr">
        <is>
          <t>NIR</t>
        </is>
      </c>
      <c r="F406" s="26" t="inlineStr">
        <is>
          <t>Negros Occidental</t>
        </is>
      </c>
      <c r="G406" s="26" t="inlineStr">
        <is>
          <t>Bacolod City</t>
        </is>
      </c>
      <c r="H406" s="26" t="inlineStr">
        <is>
          <t>Barangay 12 (Pob.)</t>
        </is>
      </c>
      <c r="I406" s="27" t="n">
        <v>10.649584</v>
      </c>
      <c r="J406" s="27" t="n">
        <v>122.948281</v>
      </c>
      <c r="K406" s="10" t="inlineStr">
        <is>
          <t>R</t>
        </is>
      </c>
      <c r="L406" s="12" t="n">
        <v>2279</v>
      </c>
      <c r="M406" s="14" t="n">
        <v>3.8</v>
      </c>
      <c r="N406" s="12">
        <f>ROUND(L406/M406, 0)</f>
        <v/>
      </c>
      <c r="O406" s="12">
        <f>ROUND(N406*'Methodology &amp; Assumptions'!$B$5, 0)</f>
        <v/>
      </c>
      <c r="P406" s="10" t="inlineStr">
        <is>
          <t>Single Carrier (Band n50, 100MHz TDD)</t>
        </is>
      </c>
      <c r="Q406" s="13">
        <f>ROUNDUP(O406/'Methodology &amp; Assumptions'!$B$6, 0)</f>
        <v/>
      </c>
      <c r="R406" s="13" t="n">
        <v>1</v>
      </c>
      <c r="S406" s="14" t="n">
        <v>1.97</v>
      </c>
      <c r="T406" s="14" t="n">
        <v>0.91</v>
      </c>
      <c r="U406" s="26">
        <f>IF(X406&gt;='Methodology &amp; Assumptions'!$B$7, "Tier 1 Critical GIDA (Score ≥ 50.0)", IF(X406&gt;='Methodology &amp; Assumptions'!$B$8, "Tier 2 High GIDA (Score 40.0–49.9)", "Tier 3 Moderate GIDA (Score &lt; 40.0)"))</f>
        <v/>
      </c>
      <c r="V406" s="26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W406" s="28" t="n">
        <v>0.109</v>
      </c>
      <c r="X406" s="14" t="n">
        <v>54.57</v>
      </c>
      <c r="Y406" s="14">
        <f>ROUND(MIN(100, (X406/69.91)*100), 2)</f>
        <v/>
      </c>
    </row>
    <row r="407">
      <c r="A407" s="10" t="n">
        <v>1</v>
      </c>
      <c r="B407" s="10" t="n">
        <v>403</v>
      </c>
      <c r="C407" s="10" t="n">
        <v>403</v>
      </c>
      <c r="D407" s="10" t="inlineStr">
        <is>
          <t>1704006011</t>
        </is>
      </c>
      <c r="E407" s="26" t="inlineStr">
        <is>
          <t>MIMAROPA Region</t>
        </is>
      </c>
      <c r="F407" s="26" t="inlineStr">
        <is>
          <t>Marinduque</t>
        </is>
      </c>
      <c r="G407" s="26" t="inlineStr">
        <is>
          <t>Torrijos</t>
        </is>
      </c>
      <c r="H407" s="26" t="inlineStr">
        <is>
          <t>Makawayan</t>
        </is>
      </c>
      <c r="I407" s="27" t="n">
        <v>13.261889</v>
      </c>
      <c r="J407" s="27" t="n">
        <v>122.045573</v>
      </c>
      <c r="K407" s="10" t="inlineStr">
        <is>
          <t>R</t>
        </is>
      </c>
      <c r="L407" s="12" t="n">
        <v>1084</v>
      </c>
      <c r="M407" s="14" t="n">
        <v>3.8</v>
      </c>
      <c r="N407" s="12">
        <f>ROUND(L407/M407, 0)</f>
        <v/>
      </c>
      <c r="O407" s="12">
        <f>ROUND(N407*'Methodology &amp; Assumptions'!$B$5, 0)</f>
        <v/>
      </c>
      <c r="P407" s="10" t="inlineStr">
        <is>
          <t>Single Carrier (Band n50, 100MHz TDD)</t>
        </is>
      </c>
      <c r="Q407" s="13">
        <f>ROUNDUP(O407/'Methodology &amp; Assumptions'!$B$6, 0)</f>
        <v/>
      </c>
      <c r="R407" s="13" t="n">
        <v>1</v>
      </c>
      <c r="S407" s="14" t="n">
        <v>46.52</v>
      </c>
      <c r="T407" s="14" t="n">
        <v>45.92</v>
      </c>
      <c r="U407" s="26">
        <f>IF(X407&gt;='Methodology &amp; Assumptions'!$B$7, "Tier 1 Critical GIDA (Score ≥ 50.0)", IF(X407&gt;='Methodology &amp; Assumptions'!$B$8, "Tier 2 High GIDA (Score 40.0–49.9)", "Tier 3 Moderate GIDA (Score &lt; 40.0)"))</f>
        <v/>
      </c>
      <c r="V407" s="26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W407" s="28" t="n">
        <v>0.15</v>
      </c>
      <c r="X407" s="14" t="n">
        <v>54.56</v>
      </c>
      <c r="Y407" s="14">
        <f>ROUND(MIN(100, (X407/69.91)*100), 2)</f>
        <v/>
      </c>
    </row>
    <row r="408">
      <c r="A408" s="10" t="n">
        <v>1</v>
      </c>
      <c r="B408" s="10" t="n">
        <v>404</v>
      </c>
      <c r="C408" s="10" t="n">
        <v>404</v>
      </c>
      <c r="D408" s="10" t="inlineStr">
        <is>
          <t>0600405002</t>
        </is>
      </c>
      <c r="E408" s="26" t="inlineStr">
        <is>
          <t>Region VI (Western Visayas)</t>
        </is>
      </c>
      <c r="F408" s="26" t="inlineStr">
        <is>
          <t>Aklan</t>
        </is>
      </c>
      <c r="G408" s="26" t="inlineStr">
        <is>
          <t>Buruanga</t>
        </is>
      </c>
      <c r="H408" s="26" t="inlineStr">
        <is>
          <t>Bagongbayan</t>
        </is>
      </c>
      <c r="I408" s="27" t="n">
        <v>11.81157</v>
      </c>
      <c r="J408" s="27" t="n">
        <v>121.883</v>
      </c>
      <c r="K408" s="10" t="inlineStr">
        <is>
          <t>R</t>
        </is>
      </c>
      <c r="L408" s="12" t="n">
        <v>1018</v>
      </c>
      <c r="M408" s="14" t="n">
        <v>3.9</v>
      </c>
      <c r="N408" s="12">
        <f>ROUND(L408/M408, 0)</f>
        <v/>
      </c>
      <c r="O408" s="12">
        <f>ROUND(N408*'Methodology &amp; Assumptions'!$B$5, 0)</f>
        <v/>
      </c>
      <c r="P408" s="10" t="inlineStr">
        <is>
          <t>Single Carrier (Band n50, 100MHz TDD)</t>
        </is>
      </c>
      <c r="Q408" s="13">
        <f>ROUNDUP(O408/'Methodology &amp; Assumptions'!$B$6, 0)</f>
        <v/>
      </c>
      <c r="R408" s="13" t="n">
        <v>1</v>
      </c>
      <c r="S408" s="14" t="n">
        <v>16.67</v>
      </c>
      <c r="T408" s="14" t="n">
        <v>14.31</v>
      </c>
      <c r="U408" s="26">
        <f>IF(X408&gt;='Methodology &amp; Assumptions'!$B$7, "Tier 1 Critical GIDA (Score ≥ 50.0)", IF(X408&gt;='Methodology &amp; Assumptions'!$B$8, "Tier 2 High GIDA (Score 40.0–49.9)", "Tier 3 Moderate GIDA (Score &lt; 40.0)"))</f>
        <v/>
      </c>
      <c r="V408" s="26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W408" s="28" t="n">
        <v>0.237</v>
      </c>
      <c r="X408" s="14" t="n">
        <v>54.56</v>
      </c>
      <c r="Y408" s="14">
        <f>ROUND(MIN(100, (X408/69.91)*100), 2)</f>
        <v/>
      </c>
    </row>
    <row r="409">
      <c r="A409" s="10" t="n">
        <v>1</v>
      </c>
      <c r="B409" s="10" t="n">
        <v>405</v>
      </c>
      <c r="C409" s="10" t="n">
        <v>405</v>
      </c>
      <c r="D409" s="10" t="inlineStr">
        <is>
          <t>1907006034</t>
        </is>
      </c>
      <c r="E409" s="26" t="inlineStr">
        <is>
          <t>Bangsamoro Autonomous Region In Muslim Mindanao (BARMM)</t>
        </is>
      </c>
      <c r="F409" s="26" t="inlineStr">
        <is>
          <t>Tawi-Tawi</t>
        </is>
      </c>
      <c r="G409" s="26" t="inlineStr">
        <is>
          <t>South Ubian</t>
        </is>
      </c>
      <c r="H409" s="26" t="inlineStr">
        <is>
          <t>Tubig Dayang Riverside</t>
        </is>
      </c>
      <c r="I409" s="27" t="n">
        <v>15.423111</v>
      </c>
      <c r="J409" s="27" t="n">
        <v>121.989939</v>
      </c>
      <c r="K409" s="10" t="inlineStr">
        <is>
          <t>R</t>
        </is>
      </c>
      <c r="L409" s="12" t="n">
        <v>1070</v>
      </c>
      <c r="M409" s="14" t="n">
        <v>5.8</v>
      </c>
      <c r="N409" s="12">
        <f>ROUND(L409/M409, 0)</f>
        <v/>
      </c>
      <c r="O409" s="12">
        <f>ROUND(N409*'Methodology &amp; Assumptions'!$B$5, 0)</f>
        <v/>
      </c>
      <c r="P409" s="10" t="inlineStr">
        <is>
          <t>Single Carrier (Band n50, 100MHz TDD)</t>
        </is>
      </c>
      <c r="Q409" s="13">
        <f>ROUNDUP(O409/'Methodology &amp; Assumptions'!$B$6, 0)</f>
        <v/>
      </c>
      <c r="R409" s="13" t="n">
        <v>1</v>
      </c>
      <c r="S409" s="14" t="n">
        <v>59.13</v>
      </c>
      <c r="T409" s="14" t="n">
        <v>58.92</v>
      </c>
      <c r="U409" s="26">
        <f>IF(X409&gt;='Methodology &amp; Assumptions'!$B$7, "Tier 1 Critical GIDA (Score ≥ 50.0)", IF(X409&gt;='Methodology &amp; Assumptions'!$B$8, "Tier 2 High GIDA (Score 40.0–49.9)", "Tier 3 Moderate GIDA (Score &lt; 40.0)"))</f>
        <v/>
      </c>
      <c r="V409" s="26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W409" s="28" t="n">
        <v>0.11</v>
      </c>
      <c r="X409" s="14" t="n">
        <v>54.55</v>
      </c>
      <c r="Y409" s="14">
        <f>ROUND(MIN(100, (X409/69.91)*100), 2)</f>
        <v/>
      </c>
    </row>
    <row r="410">
      <c r="A410" s="10" t="n">
        <v>1</v>
      </c>
      <c r="B410" s="10" t="n">
        <v>406</v>
      </c>
      <c r="C410" s="10" t="n">
        <v>406</v>
      </c>
      <c r="D410" s="10" t="inlineStr">
        <is>
          <t>1907006006</t>
        </is>
      </c>
      <c r="E410" s="26" t="inlineStr">
        <is>
          <t>Bangsamoro Autonomous Region In Muslim Mindanao (BARMM)</t>
        </is>
      </c>
      <c r="F410" s="26" t="inlineStr">
        <is>
          <t>Tawi-Tawi</t>
        </is>
      </c>
      <c r="G410" s="26" t="inlineStr">
        <is>
          <t>South Ubian</t>
        </is>
      </c>
      <c r="H410" s="26" t="inlineStr">
        <is>
          <t>Bintawlan</t>
        </is>
      </c>
      <c r="I410" s="27" t="n">
        <v>17.255847</v>
      </c>
      <c r="J410" s="27" t="n">
        <v>122.229891</v>
      </c>
      <c r="K410" s="10" t="inlineStr">
        <is>
          <t>R</t>
        </is>
      </c>
      <c r="L410" s="12" t="n">
        <v>1493</v>
      </c>
      <c r="M410" s="14" t="n">
        <v>5.8</v>
      </c>
      <c r="N410" s="12">
        <f>ROUND(L410/M410, 0)</f>
        <v/>
      </c>
      <c r="O410" s="12">
        <f>ROUND(N410*'Methodology &amp; Assumptions'!$B$5, 0)</f>
        <v/>
      </c>
      <c r="P410" s="10" t="inlineStr">
        <is>
          <t>Single Carrier (Band n50, 100MHz TDD)</t>
        </is>
      </c>
      <c r="Q410" s="13">
        <f>ROUNDUP(O410/'Methodology &amp; Assumptions'!$B$6, 0)</f>
        <v/>
      </c>
      <c r="R410" s="13" t="n">
        <v>1</v>
      </c>
      <c r="S410" s="14" t="n">
        <v>29.57</v>
      </c>
      <c r="T410" s="14" t="n">
        <v>34.43</v>
      </c>
      <c r="U410" s="26">
        <f>IF(X410&gt;='Methodology &amp; Assumptions'!$B$7, "Tier 1 Critical GIDA (Score ≥ 50.0)", IF(X410&gt;='Methodology &amp; Assumptions'!$B$8, "Tier 2 High GIDA (Score 40.0–49.9)", "Tier 3 Moderate GIDA (Score &lt; 40.0)"))</f>
        <v/>
      </c>
      <c r="V410" s="26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W410" s="28" t="n">
        <v>0.11</v>
      </c>
      <c r="X410" s="14" t="n">
        <v>54.55</v>
      </c>
      <c r="Y410" s="14">
        <f>ROUND(MIN(100, (X410/69.91)*100), 2)</f>
        <v/>
      </c>
    </row>
    <row r="411">
      <c r="A411" s="10" t="n">
        <v>1</v>
      </c>
      <c r="B411" s="10" t="n">
        <v>407</v>
      </c>
      <c r="C411" s="10" t="n">
        <v>407</v>
      </c>
      <c r="D411" s="10" t="inlineStr">
        <is>
          <t>0600402008</t>
        </is>
      </c>
      <c r="E411" s="26" t="inlineStr">
        <is>
          <t>Region VI (Western Visayas)</t>
        </is>
      </c>
      <c r="F411" s="26" t="inlineStr">
        <is>
          <t>Aklan</t>
        </is>
      </c>
      <c r="G411" s="26" t="inlineStr">
        <is>
          <t>Balete</t>
        </is>
      </c>
      <c r="H411" s="26" t="inlineStr">
        <is>
          <t>Guanko</t>
        </is>
      </c>
      <c r="I411" s="27" t="n">
        <v>11.532843</v>
      </c>
      <c r="J411" s="27" t="n">
        <v>122.3765</v>
      </c>
      <c r="K411" s="10" t="inlineStr">
        <is>
          <t>R</t>
        </is>
      </c>
      <c r="L411" s="12" t="n">
        <v>1216</v>
      </c>
      <c r="M411" s="14" t="n">
        <v>3.9</v>
      </c>
      <c r="N411" s="12">
        <f>ROUND(L411/M411, 0)</f>
        <v/>
      </c>
      <c r="O411" s="12">
        <f>ROUND(N411*'Methodology &amp; Assumptions'!$B$5, 0)</f>
        <v/>
      </c>
      <c r="P411" s="10" t="inlineStr">
        <is>
          <t>Single Carrier (Band n50, 100MHz TDD)</t>
        </is>
      </c>
      <c r="Q411" s="13">
        <f>ROUNDUP(O411/'Methodology &amp; Assumptions'!$B$6, 0)</f>
        <v/>
      </c>
      <c r="R411" s="13" t="n">
        <v>1</v>
      </c>
      <c r="S411" s="14" t="n">
        <v>2.71</v>
      </c>
      <c r="T411" s="14" t="n">
        <v>2.53</v>
      </c>
      <c r="U411" s="26">
        <f>IF(X411&gt;='Methodology &amp; Assumptions'!$B$7, "Tier 1 Critical GIDA (Score ≥ 50.0)", IF(X411&gt;='Methodology &amp; Assumptions'!$B$8, "Tier 2 High GIDA (Score 40.0–49.9)", "Tier 3 Moderate GIDA (Score &lt; 40.0)"))</f>
        <v/>
      </c>
      <c r="V411" s="26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W411" s="28" t="n">
        <v>0.237</v>
      </c>
      <c r="X411" s="14" t="n">
        <v>54.55</v>
      </c>
      <c r="Y411" s="14">
        <f>ROUND(MIN(100, (X411/69.91)*100), 2)</f>
        <v/>
      </c>
    </row>
    <row r="412">
      <c r="A412" s="10" t="n">
        <v>1</v>
      </c>
      <c r="B412" s="10" t="n">
        <v>408</v>
      </c>
      <c r="C412" s="10" t="n">
        <v>408</v>
      </c>
      <c r="D412" s="10" t="inlineStr">
        <is>
          <t>1907006009</t>
        </is>
      </c>
      <c r="E412" s="26" t="inlineStr">
        <is>
          <t>Bangsamoro Autonomous Region In Muslim Mindanao (BARMM)</t>
        </is>
      </c>
      <c r="F412" s="26" t="inlineStr">
        <is>
          <t>Tawi-Tawi</t>
        </is>
      </c>
      <c r="G412" s="26" t="inlineStr">
        <is>
          <t>South Ubian</t>
        </is>
      </c>
      <c r="H412" s="26" t="inlineStr">
        <is>
          <t>Bunay Bunay Tong</t>
        </is>
      </c>
      <c r="I412" s="27" t="n">
        <v>15.409594</v>
      </c>
      <c r="J412" s="27" t="n">
        <v>121.982024</v>
      </c>
      <c r="K412" s="10" t="inlineStr">
        <is>
          <t>R</t>
        </is>
      </c>
      <c r="L412" s="12" t="n">
        <v>1072</v>
      </c>
      <c r="M412" s="14" t="n">
        <v>5.8</v>
      </c>
      <c r="N412" s="12">
        <f>ROUND(L412/M412, 0)</f>
        <v/>
      </c>
      <c r="O412" s="12">
        <f>ROUND(N412*'Methodology &amp; Assumptions'!$B$5, 0)</f>
        <v/>
      </c>
      <c r="P412" s="10" t="inlineStr">
        <is>
          <t>Single Carrier (Band n50, 100MHz TDD)</t>
        </is>
      </c>
      <c r="Q412" s="13">
        <f>ROUNDUP(O412/'Methodology &amp; Assumptions'!$B$6, 0)</f>
        <v/>
      </c>
      <c r="R412" s="13" t="n">
        <v>1</v>
      </c>
      <c r="S412" s="14" t="n">
        <v>59.46</v>
      </c>
      <c r="T412" s="14" t="n">
        <v>59.24</v>
      </c>
      <c r="U412" s="26">
        <f>IF(X412&gt;='Methodology &amp; Assumptions'!$B$7, "Tier 1 Critical GIDA (Score ≥ 50.0)", IF(X412&gt;='Methodology &amp; Assumptions'!$B$8, "Tier 2 High GIDA (Score 40.0–49.9)", "Tier 3 Moderate GIDA (Score &lt; 40.0)"))</f>
        <v/>
      </c>
      <c r="V412" s="26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W412" s="28" t="n">
        <v>0.11</v>
      </c>
      <c r="X412" s="14" t="n">
        <v>54.54</v>
      </c>
      <c r="Y412" s="14">
        <f>ROUND(MIN(100, (X412/69.91)*100), 2)</f>
        <v/>
      </c>
    </row>
    <row r="413">
      <c r="A413" s="10" t="n">
        <v>1</v>
      </c>
      <c r="B413" s="10" t="n">
        <v>409</v>
      </c>
      <c r="C413" s="10" t="n">
        <v>409</v>
      </c>
      <c r="D413" s="10" t="inlineStr">
        <is>
          <t>0600406025</t>
        </is>
      </c>
      <c r="E413" s="26" t="inlineStr">
        <is>
          <t>Region VI (Western Visayas)</t>
        </is>
      </c>
      <c r="F413" s="26" t="inlineStr">
        <is>
          <t>Aklan</t>
        </is>
      </c>
      <c r="G413" s="26" t="inlineStr">
        <is>
          <t>Ibajay</t>
        </is>
      </c>
      <c r="H413" s="26" t="inlineStr">
        <is>
          <t>Polo</t>
        </is>
      </c>
      <c r="I413" s="27" t="n">
        <v>11.773099</v>
      </c>
      <c r="J413" s="27" t="n">
        <v>122.165571</v>
      </c>
      <c r="K413" s="10" t="inlineStr">
        <is>
          <t>R</t>
        </is>
      </c>
      <c r="L413" s="12" t="n">
        <v>1288</v>
      </c>
      <c r="M413" s="14" t="n">
        <v>3.9</v>
      </c>
      <c r="N413" s="12">
        <f>ROUND(L413/M413, 0)</f>
        <v/>
      </c>
      <c r="O413" s="12">
        <f>ROUND(N413*'Methodology &amp; Assumptions'!$B$5, 0)</f>
        <v/>
      </c>
      <c r="P413" s="10" t="inlineStr">
        <is>
          <t>Single Carrier (Band n50, 100MHz TDD)</t>
        </is>
      </c>
      <c r="Q413" s="13">
        <f>ROUNDUP(O413/'Methodology &amp; Assumptions'!$B$6, 0)</f>
        <v/>
      </c>
      <c r="R413" s="13" t="n">
        <v>1</v>
      </c>
      <c r="S413" s="14" t="n">
        <v>15.3</v>
      </c>
      <c r="T413" s="14" t="n">
        <v>3.97</v>
      </c>
      <c r="U413" s="26">
        <f>IF(X413&gt;='Methodology &amp; Assumptions'!$B$7, "Tier 1 Critical GIDA (Score ≥ 50.0)", IF(X413&gt;='Methodology &amp; Assumptions'!$B$8, "Tier 2 High GIDA (Score 40.0–49.9)", "Tier 3 Moderate GIDA (Score &lt; 40.0)"))</f>
        <v/>
      </c>
      <c r="V413" s="26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W413" s="28" t="n">
        <v>0.237</v>
      </c>
      <c r="X413" s="14" t="n">
        <v>54.54</v>
      </c>
      <c r="Y413" s="14">
        <f>ROUND(MIN(100, (X413/69.91)*100), 2)</f>
        <v/>
      </c>
    </row>
    <row r="414">
      <c r="A414" s="10" t="n">
        <v>1</v>
      </c>
      <c r="B414" s="10" t="n">
        <v>410</v>
      </c>
      <c r="C414" s="10" t="n">
        <v>410</v>
      </c>
      <c r="D414" s="10" t="inlineStr">
        <is>
          <t>PH0000410</t>
        </is>
      </c>
      <c r="E414" s="26" t="inlineStr">
        <is>
          <t>X</t>
        </is>
      </c>
      <c r="F414" s="26" t="inlineStr">
        <is>
          <t>Misamis Oriental</t>
        </is>
      </c>
      <c r="G414" s="26" t="inlineStr">
        <is>
          <t>Cagayan De Oro City</t>
        </is>
      </c>
      <c r="H414" s="26" t="inlineStr">
        <is>
          <t>Barangay 38 (Pob.)</t>
        </is>
      </c>
      <c r="I414" s="27" t="n">
        <v>8.485443</v>
      </c>
      <c r="J414" s="27" t="n">
        <v>124.626183</v>
      </c>
      <c r="K414" s="10" t="inlineStr">
        <is>
          <t>R</t>
        </is>
      </c>
      <c r="L414" s="12" t="n">
        <v>2272</v>
      </c>
      <c r="M414" s="14" t="n">
        <v>3.9</v>
      </c>
      <c r="N414" s="12">
        <f>ROUND(L414/M414, 0)</f>
        <v/>
      </c>
      <c r="O414" s="12">
        <f>ROUND(N414*'Methodology &amp; Assumptions'!$B$5, 0)</f>
        <v/>
      </c>
      <c r="P414" s="10" t="inlineStr">
        <is>
          <t>Single Carrier (Band n50, 100MHz TDD)</t>
        </is>
      </c>
      <c r="Q414" s="13">
        <f>ROUNDUP(O414/'Methodology &amp; Assumptions'!$B$6, 0)</f>
        <v/>
      </c>
      <c r="R414" s="13" t="n">
        <v>1</v>
      </c>
      <c r="S414" s="14" t="n">
        <v>1.81</v>
      </c>
      <c r="T414" s="14" t="n">
        <v>1.06</v>
      </c>
      <c r="U414" s="26">
        <f>IF(X414&gt;='Methodology &amp; Assumptions'!$B$7, "Tier 1 Critical GIDA (Score ≥ 50.0)", IF(X414&gt;='Methodology &amp; Assumptions'!$B$8, "Tier 2 High GIDA (Score 40.0–49.9)", "Tier 3 Moderate GIDA (Score &lt; 40.0)"))</f>
        <v/>
      </c>
      <c r="V414" s="26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W414" s="28" t="n">
        <v>0.234</v>
      </c>
      <c r="X414" s="14" t="n">
        <v>54.54</v>
      </c>
      <c r="Y414" s="14">
        <f>ROUND(MIN(100, (X414/69.91)*100), 2)</f>
        <v/>
      </c>
    </row>
    <row r="415">
      <c r="A415" s="10" t="n">
        <v>1</v>
      </c>
      <c r="B415" s="10" t="n">
        <v>411</v>
      </c>
      <c r="C415" s="10" t="n">
        <v>411</v>
      </c>
      <c r="D415" s="10" t="inlineStr">
        <is>
          <t>1907006008</t>
        </is>
      </c>
      <c r="E415" s="26" t="inlineStr">
        <is>
          <t>Bangsamoro Autonomous Region In Muslim Mindanao (BARMM)</t>
        </is>
      </c>
      <c r="F415" s="26" t="inlineStr">
        <is>
          <t>Tawi-Tawi</t>
        </is>
      </c>
      <c r="G415" s="26" t="inlineStr">
        <is>
          <t>South Ubian</t>
        </is>
      </c>
      <c r="H415" s="26" t="inlineStr">
        <is>
          <t>Bubuan</t>
        </is>
      </c>
      <c r="I415" s="27" t="n">
        <v>5.409493</v>
      </c>
      <c r="J415" s="27" t="n">
        <v>120.588348</v>
      </c>
      <c r="K415" s="10" t="inlineStr">
        <is>
          <t>R</t>
        </is>
      </c>
      <c r="L415" s="12" t="n">
        <v>749</v>
      </c>
      <c r="M415" s="14" t="n">
        <v>5.8</v>
      </c>
      <c r="N415" s="12">
        <f>ROUND(L415/M415, 0)</f>
        <v/>
      </c>
      <c r="O415" s="12">
        <f>ROUND(N415*'Methodology &amp; Assumptions'!$B$5, 0)</f>
        <v/>
      </c>
      <c r="P415" s="10" t="inlineStr">
        <is>
          <t>Single Carrier (Band n50, 100MHz TDD)</t>
        </is>
      </c>
      <c r="Q415" s="13">
        <f>ROUNDUP(O415/'Methodology &amp; Assumptions'!$B$6, 0)</f>
        <v/>
      </c>
      <c r="R415" s="13" t="n">
        <v>1</v>
      </c>
      <c r="S415" s="14" t="n">
        <v>234.13</v>
      </c>
      <c r="T415" s="14" t="n">
        <v>234.13</v>
      </c>
      <c r="U415" s="26">
        <f>IF(X415&gt;='Methodology &amp; Assumptions'!$B$7, "Tier 1 Critical GIDA (Score ≥ 50.0)", IF(X415&gt;='Methodology &amp; Assumptions'!$B$8, "Tier 2 High GIDA (Score 40.0–49.9)", "Tier 3 Moderate GIDA (Score &lt; 40.0)"))</f>
        <v/>
      </c>
      <c r="V415" s="26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W415" s="28" t="n">
        <v>0.11</v>
      </c>
      <c r="X415" s="14" t="n">
        <v>54.54</v>
      </c>
      <c r="Y415" s="14">
        <f>ROUND(MIN(100, (X415/69.91)*100), 2)</f>
        <v/>
      </c>
    </row>
    <row r="416">
      <c r="A416" s="10" t="n">
        <v>1</v>
      </c>
      <c r="B416" s="10" t="n">
        <v>412</v>
      </c>
      <c r="C416" s="10" t="n">
        <v>412</v>
      </c>
      <c r="D416" s="10" t="inlineStr">
        <is>
          <t>1907006023</t>
        </is>
      </c>
      <c r="E416" s="26" t="inlineStr">
        <is>
          <t>Bangsamoro Autonomous Region In Muslim Mindanao (BARMM)</t>
        </is>
      </c>
      <c r="F416" s="26" t="inlineStr">
        <is>
          <t>Tawi-Tawi</t>
        </is>
      </c>
      <c r="G416" s="26" t="inlineStr">
        <is>
          <t>South Ubian</t>
        </is>
      </c>
      <c r="H416" s="26" t="inlineStr">
        <is>
          <t>Nusa-nusa</t>
        </is>
      </c>
      <c r="I416" s="27" t="n">
        <v>15.427182</v>
      </c>
      <c r="J416" s="27" t="n">
        <v>121.977877</v>
      </c>
      <c r="K416" s="10" t="inlineStr">
        <is>
          <t>R</t>
        </is>
      </c>
      <c r="L416" s="12" t="n">
        <v>458</v>
      </c>
      <c r="M416" s="14" t="n">
        <v>5.8</v>
      </c>
      <c r="N416" s="12">
        <f>ROUND(L416/M416, 0)</f>
        <v/>
      </c>
      <c r="O416" s="12">
        <f>ROUND(N416*'Methodology &amp; Assumptions'!$B$5, 0)</f>
        <v/>
      </c>
      <c r="P416" s="10" t="inlineStr">
        <is>
          <t>Single Carrier (Band n50, 100MHz TDD)</t>
        </is>
      </c>
      <c r="Q416" s="13">
        <f>ROUNDUP(O416/'Methodology &amp; Assumptions'!$B$6, 0)</f>
        <v/>
      </c>
      <c r="R416" s="13" t="n">
        <v>1</v>
      </c>
      <c r="S416" s="14" t="n">
        <v>57.85</v>
      </c>
      <c r="T416" s="14" t="n">
        <v>57.63</v>
      </c>
      <c r="U416" s="26">
        <f>IF(X416&gt;='Methodology &amp; Assumptions'!$B$7, "Tier 1 Critical GIDA (Score ≥ 50.0)", IF(X416&gt;='Methodology &amp; Assumptions'!$B$8, "Tier 2 High GIDA (Score 40.0–49.9)", "Tier 3 Moderate GIDA (Score &lt; 40.0)"))</f>
        <v/>
      </c>
      <c r="V416" s="26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W416" s="28" t="n">
        <v>0.11</v>
      </c>
      <c r="X416" s="14" t="n">
        <v>54.54</v>
      </c>
      <c r="Y416" s="14">
        <f>ROUND(MIN(100, (X416/69.91)*100), 2)</f>
        <v/>
      </c>
    </row>
    <row r="417">
      <c r="A417" s="10" t="n">
        <v>1</v>
      </c>
      <c r="B417" s="10" t="n">
        <v>413</v>
      </c>
      <c r="C417" s="10" t="n">
        <v>413</v>
      </c>
      <c r="D417" s="10" t="inlineStr">
        <is>
          <t>0203110003</t>
        </is>
      </c>
      <c r="E417" s="26" t="inlineStr">
        <is>
          <t>Region II (Cagayan Valley)</t>
        </is>
      </c>
      <c r="F417" s="26" t="inlineStr">
        <is>
          <t>Isabela</t>
        </is>
      </c>
      <c r="G417" s="26" t="inlineStr">
        <is>
          <t>Dinapigue</t>
        </is>
      </c>
      <c r="H417" s="26" t="inlineStr">
        <is>
          <t>Bucal Norte</t>
        </is>
      </c>
      <c r="I417" s="27" t="n">
        <v>16.531859</v>
      </c>
      <c r="J417" s="27" t="n">
        <v>122.263382</v>
      </c>
      <c r="K417" s="10" t="inlineStr">
        <is>
          <t>R</t>
        </is>
      </c>
      <c r="L417" s="12" t="n">
        <v>293</v>
      </c>
      <c r="M417" s="14" t="n">
        <v>3.8</v>
      </c>
      <c r="N417" s="12">
        <f>ROUND(L417/M417, 0)</f>
        <v/>
      </c>
      <c r="O417" s="12">
        <f>ROUND(N417*'Methodology &amp; Assumptions'!$B$5, 0)</f>
        <v/>
      </c>
      <c r="P417" s="10" t="inlineStr">
        <is>
          <t>Single Carrier (Band n50, 100MHz TDD)</t>
        </is>
      </c>
      <c r="Q417" s="13">
        <f>ROUNDUP(O417/'Methodology &amp; Assumptions'!$B$6, 0)</f>
        <v/>
      </c>
      <c r="R417" s="13" t="n">
        <v>1</v>
      </c>
      <c r="S417" s="14" t="n">
        <v>0.7</v>
      </c>
      <c r="T417" s="14" t="n">
        <v>0.93</v>
      </c>
      <c r="U417" s="26">
        <f>IF(X417&gt;='Methodology &amp; Assumptions'!$B$7, "Tier 1 Critical GIDA (Score ≥ 50.0)", IF(X417&gt;='Methodology &amp; Assumptions'!$B$8, "Tier 2 High GIDA (Score 40.0–49.9)", "Tier 3 Moderate GIDA (Score &lt; 40.0)"))</f>
        <v/>
      </c>
      <c r="V417" s="26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W417" s="28" t="n">
        <v>0.083</v>
      </c>
      <c r="X417" s="14" t="n">
        <v>54.54</v>
      </c>
      <c r="Y417" s="14">
        <f>ROUND(MIN(100, (X417/69.91)*100), 2)</f>
        <v/>
      </c>
    </row>
    <row r="418">
      <c r="A418" s="10" t="n">
        <v>1</v>
      </c>
      <c r="B418" s="10" t="n">
        <v>414</v>
      </c>
      <c r="C418" s="10" t="n">
        <v>414</v>
      </c>
      <c r="D418" s="10" t="inlineStr">
        <is>
          <t>0600414003</t>
        </is>
      </c>
      <c r="E418" s="26" t="inlineStr">
        <is>
          <t>Region VI (Western Visayas)</t>
        </is>
      </c>
      <c r="F418" s="26" t="inlineStr">
        <is>
          <t>Aklan</t>
        </is>
      </c>
      <c r="G418" s="26" t="inlineStr">
        <is>
          <t>Nabas</t>
        </is>
      </c>
      <c r="H418" s="26" t="inlineStr">
        <is>
          <t>Buenafortuna</t>
        </is>
      </c>
      <c r="I418" s="27" t="n">
        <v>11.82669</v>
      </c>
      <c r="J418" s="27" t="n">
        <v>122.0646</v>
      </c>
      <c r="K418" s="10" t="inlineStr">
        <is>
          <t>R</t>
        </is>
      </c>
      <c r="L418" s="12" t="n">
        <v>1432</v>
      </c>
      <c r="M418" s="14" t="n">
        <v>3.9</v>
      </c>
      <c r="N418" s="12">
        <f>ROUND(L418/M418, 0)</f>
        <v/>
      </c>
      <c r="O418" s="12">
        <f>ROUND(N418*'Methodology &amp; Assumptions'!$B$5, 0)</f>
        <v/>
      </c>
      <c r="P418" s="10" t="inlineStr">
        <is>
          <t>Single Carrier (Band n50, 100MHz TDD)</t>
        </is>
      </c>
      <c r="Q418" s="13">
        <f>ROUNDUP(O418/'Methodology &amp; Assumptions'!$B$6, 0)</f>
        <v/>
      </c>
      <c r="R418" s="13" t="n">
        <v>1</v>
      </c>
      <c r="S418" s="14" t="n">
        <v>18.71</v>
      </c>
      <c r="T418" s="14" t="n">
        <v>1.57</v>
      </c>
      <c r="U418" s="26">
        <f>IF(X418&gt;='Methodology &amp; Assumptions'!$B$7, "Tier 1 Critical GIDA (Score ≥ 50.0)", IF(X418&gt;='Methodology &amp; Assumptions'!$B$8, "Tier 2 High GIDA (Score 40.0–49.9)", "Tier 3 Moderate GIDA (Score &lt; 40.0)"))</f>
        <v/>
      </c>
      <c r="V418" s="26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W418" s="28" t="n">
        <v>0.237</v>
      </c>
      <c r="X418" s="14" t="n">
        <v>54.53</v>
      </c>
      <c r="Y418" s="14">
        <f>ROUND(MIN(100, (X418/69.91)*100), 2)</f>
        <v/>
      </c>
    </row>
    <row r="419">
      <c r="A419" s="10" t="n">
        <v>1</v>
      </c>
      <c r="B419" s="10" t="n">
        <v>415</v>
      </c>
      <c r="C419" s="10" t="n">
        <v>415</v>
      </c>
      <c r="D419" s="10" t="inlineStr">
        <is>
          <t>PH0000415</t>
        </is>
      </c>
      <c r="E419" s="26" t="inlineStr">
        <is>
          <t>III</t>
        </is>
      </c>
      <c r="F419" s="26" t="inlineStr">
        <is>
          <t>Nueva Ecija</t>
        </is>
      </c>
      <c r="G419" s="26" t="inlineStr">
        <is>
          <t>Cabanatuan City</t>
        </is>
      </c>
      <c r="H419" s="26" t="inlineStr">
        <is>
          <t>General Luna (Pob.)</t>
        </is>
      </c>
      <c r="I419" s="27" t="n">
        <v>15.497193</v>
      </c>
      <c r="J419" s="27" t="n">
        <v>120.972056</v>
      </c>
      <c r="K419" s="10" t="inlineStr">
        <is>
          <t>R</t>
        </is>
      </c>
      <c r="L419" s="12" t="n">
        <v>2398</v>
      </c>
      <c r="M419" s="14" t="n">
        <v>3.5</v>
      </c>
      <c r="N419" s="12">
        <f>ROUND(L419/M419, 0)</f>
        <v/>
      </c>
      <c r="O419" s="12">
        <f>ROUND(N419*'Methodology &amp; Assumptions'!$B$5, 0)</f>
        <v/>
      </c>
      <c r="P419" s="10" t="inlineStr">
        <is>
          <t>Single Carrier (Band n50, 100MHz TDD)</t>
        </is>
      </c>
      <c r="Q419" s="13">
        <f>ROUNDUP(O419/'Methodology &amp; Assumptions'!$B$6, 0)</f>
        <v/>
      </c>
      <c r="R419" s="13" t="n">
        <v>1</v>
      </c>
      <c r="S419" s="14" t="n">
        <v>2.08</v>
      </c>
      <c r="T419" s="14" t="n">
        <v>0.47</v>
      </c>
      <c r="U419" s="26">
        <f>IF(X419&gt;='Methodology &amp; Assumptions'!$B$7, "Tier 1 Critical GIDA (Score ≥ 50.0)", IF(X419&gt;='Methodology &amp; Assumptions'!$B$8, "Tier 2 High GIDA (Score 40.0–49.9)", "Tier 3 Moderate GIDA (Score &lt; 40.0)"))</f>
        <v/>
      </c>
      <c r="V419" s="26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W419" s="28" t="n">
        <v>0.083</v>
      </c>
      <c r="X419" s="14" t="n">
        <v>54.52</v>
      </c>
      <c r="Y419" s="14">
        <f>ROUND(MIN(100, (X419/69.91)*100), 2)</f>
        <v/>
      </c>
    </row>
    <row r="420">
      <c r="A420" s="10" t="n">
        <v>1</v>
      </c>
      <c r="B420" s="10" t="n">
        <v>416</v>
      </c>
      <c r="C420" s="10" t="n">
        <v>416</v>
      </c>
      <c r="D420" s="10" t="inlineStr">
        <is>
          <t>0500504012</t>
        </is>
      </c>
      <c r="E420" s="26" t="inlineStr">
        <is>
          <t>Region V (Bicol Region)</t>
        </is>
      </c>
      <c r="F420" s="26" t="inlineStr">
        <is>
          <t>Albay</t>
        </is>
      </c>
      <c r="G420" s="26" t="inlineStr">
        <is>
          <t>Guinobatan</t>
        </is>
      </c>
      <c r="H420" s="26" t="inlineStr">
        <is>
          <t>Doña Tomasa</t>
        </is>
      </c>
      <c r="I420" s="27" t="n">
        <v>13.164729</v>
      </c>
      <c r="J420" s="27" t="n">
        <v>123.579376</v>
      </c>
      <c r="K420" s="10" t="inlineStr">
        <is>
          <t>R</t>
        </is>
      </c>
      <c r="L420" s="12" t="n">
        <v>1298</v>
      </c>
      <c r="M420" s="14" t="n">
        <v>4.1</v>
      </c>
      <c r="N420" s="12">
        <f>ROUND(L420/M420, 0)</f>
        <v/>
      </c>
      <c r="O420" s="12">
        <f>ROUND(N420*'Methodology &amp; Assumptions'!$B$5, 0)</f>
        <v/>
      </c>
      <c r="P420" s="10" t="inlineStr">
        <is>
          <t>Single Carrier (Band n50, 100MHz TDD)</t>
        </is>
      </c>
      <c r="Q420" s="13">
        <f>ROUNDUP(O420/'Methodology &amp; Assumptions'!$B$6, 0)</f>
        <v/>
      </c>
      <c r="R420" s="13" t="n">
        <v>1</v>
      </c>
      <c r="S420" s="14" t="n">
        <v>3.74</v>
      </c>
      <c r="T420" s="14" t="n">
        <v>3.72</v>
      </c>
      <c r="U420" s="26">
        <f>IF(X420&gt;='Methodology &amp; Assumptions'!$B$7, "Tier 1 Critical GIDA (Score ≥ 50.0)", IF(X420&gt;='Methodology &amp; Assumptions'!$B$8, "Tier 2 High GIDA (Score 40.0–49.9)", "Tier 3 Moderate GIDA (Score &lt; 40.0)"))</f>
        <v/>
      </c>
      <c r="V420" s="26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W420" s="28" t="n">
        <v>0.237</v>
      </c>
      <c r="X420" s="14" t="n">
        <v>54.49</v>
      </c>
      <c r="Y420" s="14">
        <f>ROUND(MIN(100, (X420/69.91)*100), 2)</f>
        <v/>
      </c>
    </row>
    <row r="421">
      <c r="A421" s="10" t="n">
        <v>1</v>
      </c>
      <c r="B421" s="10" t="n">
        <v>417</v>
      </c>
      <c r="C421" s="10" t="n">
        <v>417</v>
      </c>
      <c r="D421" s="10" t="inlineStr">
        <is>
          <t>1402706025</t>
        </is>
      </c>
      <c r="E421" s="26" t="inlineStr">
        <is>
          <t>Cordillera Administrative Region (CAR)</t>
        </is>
      </c>
      <c r="F421" s="26" t="inlineStr">
        <is>
          <t>Ifugao</t>
        </is>
      </c>
      <c r="G421" s="26" t="inlineStr">
        <is>
          <t>Mayoyao</t>
        </is>
      </c>
      <c r="H421" s="26" t="inlineStr">
        <is>
          <t>Nalbu</t>
        </is>
      </c>
      <c r="I421" s="27" t="n">
        <v>16.9261</v>
      </c>
      <c r="J421" s="27" t="n">
        <v>121.23919</v>
      </c>
      <c r="K421" s="10" t="inlineStr">
        <is>
          <t>R</t>
        </is>
      </c>
      <c r="L421" s="12" t="n">
        <v>284</v>
      </c>
      <c r="M421" s="14" t="n">
        <v>3.9</v>
      </c>
      <c r="N421" s="12">
        <f>ROUND(L421/M421, 0)</f>
        <v/>
      </c>
      <c r="O421" s="12">
        <f>ROUND(N421*'Methodology &amp; Assumptions'!$B$5, 0)</f>
        <v/>
      </c>
      <c r="P421" s="10" t="inlineStr">
        <is>
          <t>Single Carrier (Band n50, 100MHz TDD)</t>
        </is>
      </c>
      <c r="Q421" s="13">
        <f>ROUNDUP(O421/'Methodology &amp; Assumptions'!$B$6, 0)</f>
        <v/>
      </c>
      <c r="R421" s="13" t="n">
        <v>1</v>
      </c>
      <c r="S421" s="14" t="n">
        <v>5.48</v>
      </c>
      <c r="T421" s="14" t="n">
        <v>18.45</v>
      </c>
      <c r="U421" s="26">
        <f>IF(X421&gt;='Methodology &amp; Assumptions'!$B$7, "Tier 1 Critical GIDA (Score ≥ 50.0)", IF(X421&gt;='Methodology &amp; Assumptions'!$B$8, "Tier 2 High GIDA (Score 40.0–49.9)", "Tier 3 Moderate GIDA (Score &lt; 40.0)"))</f>
        <v/>
      </c>
      <c r="V421" s="26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W421" s="28" t="n">
        <v>0.109</v>
      </c>
      <c r="X421" s="14" t="n">
        <v>54.48</v>
      </c>
      <c r="Y421" s="14">
        <f>ROUND(MIN(100, (X421/69.91)*100), 2)</f>
        <v/>
      </c>
    </row>
    <row r="422">
      <c r="A422" s="10" t="n">
        <v>1</v>
      </c>
      <c r="B422" s="10" t="n">
        <v>418</v>
      </c>
      <c r="C422" s="10" t="n">
        <v>418</v>
      </c>
      <c r="D422" s="10" t="inlineStr">
        <is>
          <t>0600414010</t>
        </is>
      </c>
      <c r="E422" s="26" t="inlineStr">
        <is>
          <t>Region VI (Western Visayas)</t>
        </is>
      </c>
      <c r="F422" s="26" t="inlineStr">
        <is>
          <t>Aklan</t>
        </is>
      </c>
      <c r="G422" s="26" t="inlineStr">
        <is>
          <t>Nabas</t>
        </is>
      </c>
      <c r="H422" s="26" t="inlineStr">
        <is>
          <t>Matabana</t>
        </is>
      </c>
      <c r="I422" s="27" t="n">
        <v>11.874616</v>
      </c>
      <c r="J422" s="27" t="n">
        <v>122.028245</v>
      </c>
      <c r="K422" s="10" t="inlineStr">
        <is>
          <t>R</t>
        </is>
      </c>
      <c r="L422" s="12" t="n">
        <v>1010</v>
      </c>
      <c r="M422" s="14" t="n">
        <v>3.9</v>
      </c>
      <c r="N422" s="12">
        <f>ROUND(L422/M422, 0)</f>
        <v/>
      </c>
      <c r="O422" s="12">
        <f>ROUND(N422*'Methodology &amp; Assumptions'!$B$5, 0)</f>
        <v/>
      </c>
      <c r="P422" s="10" t="inlineStr">
        <is>
          <t>Single Carrier (Band n50, 100MHz TDD)</t>
        </is>
      </c>
      <c r="Q422" s="13">
        <f>ROUNDUP(O422/'Methodology &amp; Assumptions'!$B$6, 0)</f>
        <v/>
      </c>
      <c r="R422" s="13" t="n">
        <v>1</v>
      </c>
      <c r="S422" s="14" t="n">
        <v>12.15</v>
      </c>
      <c r="T422" s="14" t="n">
        <v>0.27</v>
      </c>
      <c r="U422" s="26">
        <f>IF(X422&gt;='Methodology &amp; Assumptions'!$B$7, "Tier 1 Critical GIDA (Score ≥ 50.0)", IF(X422&gt;='Methodology &amp; Assumptions'!$B$8, "Tier 2 High GIDA (Score 40.0–49.9)", "Tier 3 Moderate GIDA (Score &lt; 40.0)"))</f>
        <v/>
      </c>
      <c r="V422" s="26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W422" s="28" t="n">
        <v>0.237</v>
      </c>
      <c r="X422" s="14" t="n">
        <v>54.48</v>
      </c>
      <c r="Y422" s="14">
        <f>ROUND(MIN(100, (X422/69.91)*100), 2)</f>
        <v/>
      </c>
    </row>
    <row r="423">
      <c r="A423" s="10" t="n">
        <v>1</v>
      </c>
      <c r="B423" s="10" t="n">
        <v>419</v>
      </c>
      <c r="C423" s="10" t="n">
        <v>419</v>
      </c>
      <c r="D423" s="10" t="inlineStr">
        <is>
          <t>0806412022</t>
        </is>
      </c>
      <c r="E423" s="26" t="inlineStr">
        <is>
          <t>Region VIII (Eastern Visayas)</t>
        </is>
      </c>
      <c r="F423" s="26" t="inlineStr">
        <is>
          <t>Southern Leyte</t>
        </is>
      </c>
      <c r="G423" s="26" t="inlineStr">
        <is>
          <t>Saint Bernard</t>
        </is>
      </c>
      <c r="H423" s="26" t="inlineStr">
        <is>
          <t>Malinao</t>
        </is>
      </c>
      <c r="I423" s="27" t="n">
        <v>10.367106</v>
      </c>
      <c r="J423" s="27" t="n">
        <v>125.093721</v>
      </c>
      <c r="K423" s="10" t="inlineStr">
        <is>
          <t>R</t>
        </is>
      </c>
      <c r="L423" s="12" t="n">
        <v>42</v>
      </c>
      <c r="M423" s="14" t="n">
        <v>4.1</v>
      </c>
      <c r="N423" s="12">
        <f>ROUND(L423/M423, 0)</f>
        <v/>
      </c>
      <c r="O423" s="12">
        <f>ROUND(N423*'Methodology &amp; Assumptions'!$B$5, 0)</f>
        <v/>
      </c>
      <c r="P423" s="10" t="inlineStr">
        <is>
          <t>Single Carrier (Band n50, 100MHz TDD)</t>
        </is>
      </c>
      <c r="Q423" s="13">
        <f>ROUNDUP(O423/'Methodology &amp; Assumptions'!$B$6, 0)</f>
        <v/>
      </c>
      <c r="R423" s="13" t="n">
        <v>1</v>
      </c>
      <c r="S423" s="14" t="n">
        <v>12.36</v>
      </c>
      <c r="T423" s="14" t="n">
        <v>11.22</v>
      </c>
      <c r="U423" s="26">
        <f>IF(X423&gt;='Methodology &amp; Assumptions'!$B$7, "Tier 1 Critical GIDA (Score ≥ 50.0)", IF(X423&gt;='Methodology &amp; Assumptions'!$B$8, "Tier 2 High GIDA (Score 40.0–49.9)", "Tier 3 Moderate GIDA (Score &lt; 40.0)"))</f>
        <v/>
      </c>
      <c r="V423" s="26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W423" s="28" t="n">
        <v>0.237</v>
      </c>
      <c r="X423" s="14" t="n">
        <v>54.48</v>
      </c>
      <c r="Y423" s="14">
        <f>ROUND(MIN(100, (X423/69.91)*100), 2)</f>
        <v/>
      </c>
    </row>
    <row r="424">
      <c r="A424" s="10" t="n">
        <v>1</v>
      </c>
      <c r="B424" s="10" t="n">
        <v>420</v>
      </c>
      <c r="C424" s="10" t="n">
        <v>420</v>
      </c>
      <c r="D424" s="10" t="inlineStr">
        <is>
          <t>0600402010</t>
        </is>
      </c>
      <c r="E424" s="26" t="inlineStr">
        <is>
          <t>Region VI (Western Visayas)</t>
        </is>
      </c>
      <c r="F424" s="26" t="inlineStr">
        <is>
          <t>Aklan</t>
        </is>
      </c>
      <c r="G424" s="26" t="inlineStr">
        <is>
          <t>Balete</t>
        </is>
      </c>
      <c r="H424" s="26" t="inlineStr">
        <is>
          <t>Oquendo</t>
        </is>
      </c>
      <c r="I424" s="27" t="n">
        <v>11.5304</v>
      </c>
      <c r="J424" s="27" t="n">
        <v>122.38718</v>
      </c>
      <c r="K424" s="10" t="inlineStr">
        <is>
          <t>R</t>
        </is>
      </c>
      <c r="L424" s="12" t="n">
        <v>1064</v>
      </c>
      <c r="M424" s="14" t="n">
        <v>3.9</v>
      </c>
      <c r="N424" s="12">
        <f>ROUND(L424/M424, 0)</f>
        <v/>
      </c>
      <c r="O424" s="12">
        <f>ROUND(N424*'Methodology &amp; Assumptions'!$B$5, 0)</f>
        <v/>
      </c>
      <c r="P424" s="10" t="inlineStr">
        <is>
          <t>Single Carrier (Band n50, 100MHz TDD)</t>
        </is>
      </c>
      <c r="Q424" s="13">
        <f>ROUNDUP(O424/'Methodology &amp; Assumptions'!$B$6, 0)</f>
        <v/>
      </c>
      <c r="R424" s="13" t="n">
        <v>1</v>
      </c>
      <c r="S424" s="14" t="n">
        <v>3.24</v>
      </c>
      <c r="T424" s="14" t="n">
        <v>2.84</v>
      </c>
      <c r="U424" s="26">
        <f>IF(X424&gt;='Methodology &amp; Assumptions'!$B$7, "Tier 1 Critical GIDA (Score ≥ 50.0)", IF(X424&gt;='Methodology &amp; Assumptions'!$B$8, "Tier 2 High GIDA (Score 40.0–49.9)", "Tier 3 Moderate GIDA (Score &lt; 40.0)"))</f>
        <v/>
      </c>
      <c r="V424" s="26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W424" s="28" t="n">
        <v>0.237</v>
      </c>
      <c r="X424" s="14" t="n">
        <v>54.45</v>
      </c>
      <c r="Y424" s="14">
        <f>ROUND(MIN(100, (X424/69.91)*100), 2)</f>
        <v/>
      </c>
    </row>
    <row r="425">
      <c r="A425" s="10" t="n">
        <v>1</v>
      </c>
      <c r="B425" s="10" t="n">
        <v>421</v>
      </c>
      <c r="C425" s="10" t="n">
        <v>421</v>
      </c>
      <c r="D425" s="10" t="inlineStr">
        <is>
          <t>1402706020</t>
        </is>
      </c>
      <c r="E425" s="26" t="inlineStr">
        <is>
          <t>Cordillera Administrative Region (CAR)</t>
        </is>
      </c>
      <c r="F425" s="26" t="inlineStr">
        <is>
          <t>Ifugao</t>
        </is>
      </c>
      <c r="G425" s="26" t="inlineStr">
        <is>
          <t>Mayoyao</t>
        </is>
      </c>
      <c r="H425" s="26" t="inlineStr">
        <is>
          <t>Maga</t>
        </is>
      </c>
      <c r="I425" s="27" t="n">
        <v>16.97585</v>
      </c>
      <c r="J425" s="27" t="n">
        <v>121.17221</v>
      </c>
      <c r="K425" s="10" t="inlineStr">
        <is>
          <t>R</t>
        </is>
      </c>
      <c r="L425" s="12" t="n">
        <v>425</v>
      </c>
      <c r="M425" s="14" t="n">
        <v>3.9</v>
      </c>
      <c r="N425" s="12">
        <f>ROUND(L425/M425, 0)</f>
        <v/>
      </c>
      <c r="O425" s="12">
        <f>ROUND(N425*'Methodology &amp; Assumptions'!$B$5, 0)</f>
        <v/>
      </c>
      <c r="P425" s="10" t="inlineStr">
        <is>
          <t>Single Carrier (Band n50, 100MHz TDD)</t>
        </is>
      </c>
      <c r="Q425" s="13">
        <f>ROUNDUP(O425/'Methodology &amp; Assumptions'!$B$6, 0)</f>
        <v/>
      </c>
      <c r="R425" s="13" t="n">
        <v>1</v>
      </c>
      <c r="S425" s="14" t="n">
        <v>5.28</v>
      </c>
      <c r="T425" s="14" t="n">
        <v>12.66</v>
      </c>
      <c r="U425" s="26">
        <f>IF(X425&gt;='Methodology &amp; Assumptions'!$B$7, "Tier 1 Critical GIDA (Score ≥ 50.0)", IF(X425&gt;='Methodology &amp; Assumptions'!$B$8, "Tier 2 High GIDA (Score 40.0–49.9)", "Tier 3 Moderate GIDA (Score &lt; 40.0)"))</f>
        <v/>
      </c>
      <c r="V425" s="26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W425" s="28" t="n">
        <v>0.109</v>
      </c>
      <c r="X425" s="14" t="n">
        <v>54.44</v>
      </c>
      <c r="Y425" s="14">
        <f>ROUND(MIN(100, (X425/69.91)*100), 2)</f>
        <v/>
      </c>
    </row>
    <row r="426">
      <c r="A426" s="10" t="n">
        <v>1</v>
      </c>
      <c r="B426" s="10" t="n">
        <v>422</v>
      </c>
      <c r="C426" s="10" t="n">
        <v>422</v>
      </c>
      <c r="D426" s="10" t="inlineStr">
        <is>
          <t>0601917034</t>
        </is>
      </c>
      <c r="E426" s="26" t="inlineStr">
        <is>
          <t>Region VI (Western Visayas)</t>
        </is>
      </c>
      <c r="F426" s="26" t="inlineStr">
        <is>
          <t>Capiz</t>
        </is>
      </c>
      <c r="G426" s="26" t="inlineStr">
        <is>
          <t>Tapaz</t>
        </is>
      </c>
      <c r="H426" s="26" t="inlineStr">
        <is>
          <t>Rizal Sur</t>
        </is>
      </c>
      <c r="I426" s="27" t="n">
        <v>11.315854</v>
      </c>
      <c r="J426" s="27" t="n">
        <v>122.386325</v>
      </c>
      <c r="K426" s="10" t="inlineStr">
        <is>
          <t>R</t>
        </is>
      </c>
      <c r="L426" s="12" t="n">
        <v>443</v>
      </c>
      <c r="M426" s="14" t="n">
        <v>3.8</v>
      </c>
      <c r="N426" s="12">
        <f>ROUND(L426/M426, 0)</f>
        <v/>
      </c>
      <c r="O426" s="12">
        <f>ROUND(N426*'Methodology &amp; Assumptions'!$B$5, 0)</f>
        <v/>
      </c>
      <c r="P426" s="10" t="inlineStr">
        <is>
          <t>Single Carrier (Band n50, 100MHz TDD)</t>
        </is>
      </c>
      <c r="Q426" s="13">
        <f>ROUNDUP(O426/'Methodology &amp; Assumptions'!$B$6, 0)</f>
        <v/>
      </c>
      <c r="R426" s="13" t="n">
        <v>1</v>
      </c>
      <c r="S426" s="14" t="n">
        <v>26.62</v>
      </c>
      <c r="T426" s="14" t="n">
        <v>20.25</v>
      </c>
      <c r="U426" s="26">
        <f>IF(X426&gt;='Methodology &amp; Assumptions'!$B$7, "Tier 1 Critical GIDA (Score ≥ 50.0)", IF(X426&gt;='Methodology &amp; Assumptions'!$B$8, "Tier 2 High GIDA (Score 40.0–49.9)", "Tier 3 Moderate GIDA (Score &lt; 40.0)"))</f>
        <v/>
      </c>
      <c r="V426" s="26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W426" s="28" t="n">
        <v>0.237</v>
      </c>
      <c r="X426" s="14" t="n">
        <v>54.44</v>
      </c>
      <c r="Y426" s="14">
        <f>ROUND(MIN(100, (X426/69.91)*100), 2)</f>
        <v/>
      </c>
    </row>
    <row r="427">
      <c r="A427" s="10" t="n">
        <v>1</v>
      </c>
      <c r="B427" s="10" t="n">
        <v>423</v>
      </c>
      <c r="C427" s="10" t="n">
        <v>423</v>
      </c>
      <c r="D427" s="10" t="inlineStr">
        <is>
          <t>1402706036</t>
        </is>
      </c>
      <c r="E427" s="26" t="inlineStr">
        <is>
          <t>Cordillera Administrative Region (CAR)</t>
        </is>
      </c>
      <c r="F427" s="26" t="inlineStr">
        <is>
          <t>Ifugao</t>
        </is>
      </c>
      <c r="G427" s="26" t="inlineStr">
        <is>
          <t>Mayoyao</t>
        </is>
      </c>
      <c r="H427" s="26" t="inlineStr">
        <is>
          <t>Epeng</t>
        </is>
      </c>
      <c r="I427" s="27" t="n">
        <v>16.960468</v>
      </c>
      <c r="J427" s="27" t="n">
        <v>121.180255</v>
      </c>
      <c r="K427" s="10" t="inlineStr">
        <is>
          <t>R</t>
        </is>
      </c>
      <c r="L427" s="12" t="n">
        <v>497</v>
      </c>
      <c r="M427" s="14" t="n">
        <v>3.9</v>
      </c>
      <c r="N427" s="12">
        <f>ROUND(L427/M427, 0)</f>
        <v/>
      </c>
      <c r="O427" s="12">
        <f>ROUND(N427*'Methodology &amp; Assumptions'!$B$5, 0)</f>
        <v/>
      </c>
      <c r="P427" s="10" t="inlineStr">
        <is>
          <t>Single Carrier (Band n50, 100MHz TDD)</t>
        </is>
      </c>
      <c r="Q427" s="13">
        <f>ROUNDUP(O427/'Methodology &amp; Assumptions'!$B$6, 0)</f>
        <v/>
      </c>
      <c r="R427" s="13" t="n">
        <v>1</v>
      </c>
      <c r="S427" s="14" t="n">
        <v>3.73</v>
      </c>
      <c r="T427" s="14" t="n">
        <v>13.36</v>
      </c>
      <c r="U427" s="26">
        <f>IF(X427&gt;='Methodology &amp; Assumptions'!$B$7, "Tier 1 Critical GIDA (Score ≥ 50.0)", IF(X427&gt;='Methodology &amp; Assumptions'!$B$8, "Tier 2 High GIDA (Score 40.0–49.9)", "Tier 3 Moderate GIDA (Score &lt; 40.0)"))</f>
        <v/>
      </c>
      <c r="V427" s="26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W427" s="28" t="n">
        <v>0.109</v>
      </c>
      <c r="X427" s="14" t="n">
        <v>54.44</v>
      </c>
      <c r="Y427" s="14">
        <f>ROUND(MIN(100, (X427/69.91)*100), 2)</f>
        <v/>
      </c>
    </row>
    <row r="428">
      <c r="A428" s="10" t="n">
        <v>1</v>
      </c>
      <c r="B428" s="10" t="n">
        <v>424</v>
      </c>
      <c r="C428" s="10" t="n">
        <v>424</v>
      </c>
      <c r="D428" s="10" t="inlineStr">
        <is>
          <t>PH0000424</t>
        </is>
      </c>
      <c r="E428" s="26" t="inlineStr">
        <is>
          <t>VI</t>
        </is>
      </c>
      <c r="F428" s="26" t="inlineStr">
        <is>
          <t>Iloilo</t>
        </is>
      </c>
      <c r="G428" s="26" t="inlineStr">
        <is>
          <t>Iloilo City</t>
        </is>
      </c>
      <c r="H428" s="26" t="inlineStr">
        <is>
          <t>San Jose</t>
        </is>
      </c>
      <c r="I428" s="27" t="n">
        <v>10.785661</v>
      </c>
      <c r="J428" s="27" t="n">
        <v>122.506259</v>
      </c>
      <c r="K428" s="10" t="inlineStr">
        <is>
          <t>R</t>
        </is>
      </c>
      <c r="L428" s="12" t="n">
        <v>2230</v>
      </c>
      <c r="M428" s="14" t="n">
        <v>3.8</v>
      </c>
      <c r="N428" s="12">
        <f>ROUND(L428/M428, 0)</f>
        <v/>
      </c>
      <c r="O428" s="12">
        <f>ROUND(N428*'Methodology &amp; Assumptions'!$B$5, 0)</f>
        <v/>
      </c>
      <c r="P428" s="10" t="inlineStr">
        <is>
          <t>Single Carrier (Band n50, 100MHz TDD)</t>
        </is>
      </c>
      <c r="Q428" s="13">
        <f>ROUNDUP(O428/'Methodology &amp; Assumptions'!$B$6, 0)</f>
        <v/>
      </c>
      <c r="R428" s="13" t="n">
        <v>1</v>
      </c>
      <c r="S428" s="14" t="n">
        <v>4.22</v>
      </c>
      <c r="T428" s="14" t="n">
        <v>2.7</v>
      </c>
      <c r="U428" s="26">
        <f>IF(X428&gt;='Methodology &amp; Assumptions'!$B$7, "Tier 1 Critical GIDA (Score ≥ 50.0)", IF(X428&gt;='Methodology &amp; Assumptions'!$B$8, "Tier 2 High GIDA (Score 40.0–49.9)", "Tier 3 Moderate GIDA (Score &lt; 40.0)"))</f>
        <v/>
      </c>
      <c r="V428" s="26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W428" s="28" t="n">
        <v>0.156</v>
      </c>
      <c r="X428" s="14" t="n">
        <v>54.43</v>
      </c>
      <c r="Y428" s="14">
        <f>ROUND(MIN(100, (X428/69.91)*100), 2)</f>
        <v/>
      </c>
    </row>
    <row r="429">
      <c r="A429" s="10" t="n">
        <v>1</v>
      </c>
      <c r="B429" s="10" t="n">
        <v>425</v>
      </c>
      <c r="C429" s="10" t="n">
        <v>425</v>
      </c>
      <c r="D429" s="10" t="inlineStr">
        <is>
          <t>PH0000425</t>
        </is>
      </c>
      <c r="E429" s="26" t="inlineStr">
        <is>
          <t>IV-A</t>
        </is>
      </c>
      <c r="F429" s="26" t="inlineStr">
        <is>
          <t>Batangas</t>
        </is>
      </c>
      <c r="G429" s="26" t="inlineStr">
        <is>
          <t>Lipa City</t>
        </is>
      </c>
      <c r="H429" s="26" t="inlineStr">
        <is>
          <t>Poblacion Barangay 9-A</t>
        </is>
      </c>
      <c r="I429" s="27" t="n">
        <v>13.935812</v>
      </c>
      <c r="J429" s="27" t="n">
        <v>121.174019</v>
      </c>
      <c r="K429" s="10" t="inlineStr">
        <is>
          <t>R</t>
        </is>
      </c>
      <c r="L429" s="12" t="n">
        <v>2259</v>
      </c>
      <c r="M429" s="14" t="n">
        <v>3.6</v>
      </c>
      <c r="N429" s="12">
        <f>ROUND(L429/M429, 0)</f>
        <v/>
      </c>
      <c r="O429" s="12">
        <f>ROUND(N429*'Methodology &amp; Assumptions'!$B$5, 0)</f>
        <v/>
      </c>
      <c r="P429" s="10" t="inlineStr">
        <is>
          <t>Single Carrier (Band n50, 100MHz TDD)</t>
        </is>
      </c>
      <c r="Q429" s="13">
        <f>ROUNDUP(O429/'Methodology &amp; Assumptions'!$B$6, 0)</f>
        <v/>
      </c>
      <c r="R429" s="13" t="n">
        <v>1</v>
      </c>
      <c r="S429" s="14" t="n">
        <v>1.24</v>
      </c>
      <c r="T429" s="14" t="n">
        <v>0.91</v>
      </c>
      <c r="U429" s="26">
        <f>IF(X429&gt;='Methodology &amp; Assumptions'!$B$7, "Tier 1 Critical GIDA (Score ≥ 50.0)", IF(X429&gt;='Methodology &amp; Assumptions'!$B$8, "Tier 2 High GIDA (Score 40.0–49.9)", "Tier 3 Moderate GIDA (Score &lt; 40.0)"))</f>
        <v/>
      </c>
      <c r="V429" s="26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W429" s="28" t="n">
        <v>0.07200000000000001</v>
      </c>
      <c r="X429" s="14" t="n">
        <v>54.42</v>
      </c>
      <c r="Y429" s="14">
        <f>ROUND(MIN(100, (X429/69.91)*100), 2)</f>
        <v/>
      </c>
    </row>
    <row r="430">
      <c r="A430" s="10" t="n">
        <v>1</v>
      </c>
      <c r="B430" s="10" t="n">
        <v>426</v>
      </c>
      <c r="C430" s="10" t="n">
        <v>426</v>
      </c>
      <c r="D430" s="10" t="inlineStr">
        <is>
          <t>0806412017</t>
        </is>
      </c>
      <c r="E430" s="26" t="inlineStr">
        <is>
          <t>Region VIII (Eastern Visayas)</t>
        </is>
      </c>
      <c r="F430" s="26" t="inlineStr">
        <is>
          <t>Southern Leyte</t>
        </is>
      </c>
      <c r="G430" s="26" t="inlineStr">
        <is>
          <t>Saint Bernard</t>
        </is>
      </c>
      <c r="H430" s="26" t="inlineStr">
        <is>
          <t>Magatas</t>
        </is>
      </c>
      <c r="I430" s="27" t="n">
        <v>10.308128</v>
      </c>
      <c r="J430" s="27" t="n">
        <v>125.126884</v>
      </c>
      <c r="K430" s="10" t="inlineStr">
        <is>
          <t>R</t>
        </is>
      </c>
      <c r="L430" s="12" t="n">
        <v>89</v>
      </c>
      <c r="M430" s="14" t="n">
        <v>4.1</v>
      </c>
      <c r="N430" s="12">
        <f>ROUND(L430/M430, 0)</f>
        <v/>
      </c>
      <c r="O430" s="12">
        <f>ROUND(N430*'Methodology &amp; Assumptions'!$B$5, 0)</f>
        <v/>
      </c>
      <c r="P430" s="10" t="inlineStr">
        <is>
          <t>Single Carrier (Band n50, 100MHz TDD)</t>
        </is>
      </c>
      <c r="Q430" s="13">
        <f>ROUNDUP(O430/'Methodology &amp; Assumptions'!$B$6, 0)</f>
        <v/>
      </c>
      <c r="R430" s="13" t="n">
        <v>1</v>
      </c>
      <c r="S430" s="14" t="n">
        <v>18.03</v>
      </c>
      <c r="T430" s="14" t="n">
        <v>15.84</v>
      </c>
      <c r="U430" s="26">
        <f>IF(X430&gt;='Methodology &amp; Assumptions'!$B$7, "Tier 1 Critical GIDA (Score ≥ 50.0)", IF(X430&gt;='Methodology &amp; Assumptions'!$B$8, "Tier 2 High GIDA (Score 40.0–49.9)", "Tier 3 Moderate GIDA (Score &lt; 40.0)"))</f>
        <v/>
      </c>
      <c r="V430" s="26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W430" s="28" t="n">
        <v>0.237</v>
      </c>
      <c r="X430" s="14" t="n">
        <v>54.42</v>
      </c>
      <c r="Y430" s="14">
        <f>ROUND(MIN(100, (X430/69.91)*100), 2)</f>
        <v/>
      </c>
    </row>
    <row r="431">
      <c r="A431" s="10" t="n">
        <v>1</v>
      </c>
      <c r="B431" s="10" t="n">
        <v>427</v>
      </c>
      <c r="C431" s="10" t="n">
        <v>427</v>
      </c>
      <c r="D431" s="10" t="inlineStr">
        <is>
          <t>0601909015</t>
        </is>
      </c>
      <c r="E431" s="26" t="inlineStr">
        <is>
          <t>Region VI (Western Visayas)</t>
        </is>
      </c>
      <c r="F431" s="26" t="inlineStr">
        <is>
          <t>Capiz</t>
        </is>
      </c>
      <c r="G431" s="26" t="inlineStr">
        <is>
          <t>Panay</t>
        </is>
      </c>
      <c r="H431" s="26" t="inlineStr">
        <is>
          <t>Butacal</t>
        </is>
      </c>
      <c r="I431" s="27" t="n">
        <v>11.517222</v>
      </c>
      <c r="J431" s="27" t="n">
        <v>122.914722</v>
      </c>
      <c r="K431" s="10" t="inlineStr">
        <is>
          <t>R</t>
        </is>
      </c>
      <c r="L431" s="12" t="n">
        <v>1221</v>
      </c>
      <c r="M431" s="14" t="n">
        <v>3.8</v>
      </c>
      <c r="N431" s="12">
        <f>ROUND(L431/M431, 0)</f>
        <v/>
      </c>
      <c r="O431" s="12">
        <f>ROUND(N431*'Methodology &amp; Assumptions'!$B$5, 0)</f>
        <v/>
      </c>
      <c r="P431" s="10" t="inlineStr">
        <is>
          <t>Single Carrier (Band n50, 100MHz TDD)</t>
        </is>
      </c>
      <c r="Q431" s="13">
        <f>ROUNDUP(O431/'Methodology &amp; Assumptions'!$B$6, 0)</f>
        <v/>
      </c>
      <c r="R431" s="13" t="n">
        <v>1</v>
      </c>
      <c r="S431" s="14" t="n">
        <v>9.83</v>
      </c>
      <c r="T431" s="14" t="n">
        <v>8.19</v>
      </c>
      <c r="U431" s="26">
        <f>IF(X431&gt;='Methodology &amp; Assumptions'!$B$7, "Tier 1 Critical GIDA (Score ≥ 50.0)", IF(X431&gt;='Methodology &amp; Assumptions'!$B$8, "Tier 2 High GIDA (Score 40.0–49.9)", "Tier 3 Moderate GIDA (Score &lt; 40.0)"))</f>
        <v/>
      </c>
      <c r="V431" s="26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W431" s="28" t="n">
        <v>0.237</v>
      </c>
      <c r="X431" s="14" t="n">
        <v>54.41</v>
      </c>
      <c r="Y431" s="14">
        <f>ROUND(MIN(100, (X431/69.91)*100), 2)</f>
        <v/>
      </c>
    </row>
    <row r="432">
      <c r="A432" s="10" t="n">
        <v>1</v>
      </c>
      <c r="B432" s="10" t="n">
        <v>428</v>
      </c>
      <c r="C432" s="10" t="n">
        <v>428</v>
      </c>
      <c r="D432" s="10" t="inlineStr">
        <is>
          <t>PH0000428</t>
        </is>
      </c>
      <c r="E432" s="26" t="inlineStr">
        <is>
          <t>XI</t>
        </is>
      </c>
      <c r="F432" s="26" t="inlineStr">
        <is>
          <t>Davao Del Sur</t>
        </is>
      </c>
      <c r="G432" s="26" t="inlineStr">
        <is>
          <t>Davao City</t>
        </is>
      </c>
      <c r="H432" s="26" t="inlineStr">
        <is>
          <t>Gumitan</t>
        </is>
      </c>
      <c r="I432" s="27" t="n">
        <v>7.439272</v>
      </c>
      <c r="J432" s="27" t="n">
        <v>125.34767</v>
      </c>
      <c r="K432" s="10" t="inlineStr">
        <is>
          <t>R</t>
        </is>
      </c>
      <c r="L432" s="12" t="n">
        <v>2280</v>
      </c>
      <c r="M432" s="14" t="n">
        <v>3.4</v>
      </c>
      <c r="N432" s="12">
        <f>ROUND(L432/M432, 0)</f>
        <v/>
      </c>
      <c r="O432" s="12">
        <f>ROUND(N432*'Methodology &amp; Assumptions'!$B$5, 0)</f>
        <v/>
      </c>
      <c r="P432" s="10" t="inlineStr">
        <is>
          <t>Single Carrier (Band n50, 100MHz TDD)</t>
        </is>
      </c>
      <c r="Q432" s="13">
        <f>ROUNDUP(O432/'Methodology &amp; Assumptions'!$B$6, 0)</f>
        <v/>
      </c>
      <c r="R432" s="13" t="n">
        <v>1</v>
      </c>
      <c r="S432" s="14" t="n">
        <v>12.01</v>
      </c>
      <c r="T432" s="14" t="n">
        <v>9.93</v>
      </c>
      <c r="U432" s="26">
        <f>IF(X432&gt;='Methodology &amp; Assumptions'!$B$7, "Tier 1 Critical GIDA (Score ≥ 50.0)", IF(X432&gt;='Methodology &amp; Assumptions'!$B$8, "Tier 2 High GIDA (Score 40.0–49.9)", "Tier 3 Moderate GIDA (Score &lt; 40.0)"))</f>
        <v/>
      </c>
      <c r="V432" s="26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W432" s="28" t="n">
        <v>0.119</v>
      </c>
      <c r="X432" s="14" t="n">
        <v>54.41</v>
      </c>
      <c r="Y432" s="14">
        <f>ROUND(MIN(100, (X432/69.91)*100), 2)</f>
        <v/>
      </c>
    </row>
    <row r="433">
      <c r="A433" s="10" t="n">
        <v>1</v>
      </c>
      <c r="B433" s="10" t="n">
        <v>429</v>
      </c>
      <c r="C433" s="10" t="n">
        <v>429</v>
      </c>
      <c r="D433" s="10" t="inlineStr">
        <is>
          <t>1402706018</t>
        </is>
      </c>
      <c r="E433" s="26" t="inlineStr">
        <is>
          <t>Cordillera Administrative Region (CAR)</t>
        </is>
      </c>
      <c r="F433" s="26" t="inlineStr">
        <is>
          <t>Ifugao</t>
        </is>
      </c>
      <c r="G433" s="26" t="inlineStr">
        <is>
          <t>Mayoyao</t>
        </is>
      </c>
      <c r="H433" s="26" t="inlineStr">
        <is>
          <t>Langayan</t>
        </is>
      </c>
      <c r="I433" s="27" t="n">
        <v>16.953981</v>
      </c>
      <c r="J433" s="27" t="n">
        <v>121.238265</v>
      </c>
      <c r="K433" s="10" t="inlineStr">
        <is>
          <t>R</t>
        </is>
      </c>
      <c r="L433" s="12" t="n">
        <v>487</v>
      </c>
      <c r="M433" s="14" t="n">
        <v>3.9</v>
      </c>
      <c r="N433" s="12">
        <f>ROUND(L433/M433, 0)</f>
        <v/>
      </c>
      <c r="O433" s="12">
        <f>ROUND(N433*'Methodology &amp; Assumptions'!$B$5, 0)</f>
        <v/>
      </c>
      <c r="P433" s="10" t="inlineStr">
        <is>
          <t>Single Carrier (Band n50, 100MHz TDD)</t>
        </is>
      </c>
      <c r="Q433" s="13">
        <f>ROUNDUP(O433/'Methodology &amp; Assumptions'!$B$6, 0)</f>
        <v/>
      </c>
      <c r="R433" s="13" t="n">
        <v>1</v>
      </c>
      <c r="S433" s="14" t="n">
        <v>2.71</v>
      </c>
      <c r="T433" s="14" t="n">
        <v>19.39</v>
      </c>
      <c r="U433" s="26">
        <f>IF(X433&gt;='Methodology &amp; Assumptions'!$B$7, "Tier 1 Critical GIDA (Score ≥ 50.0)", IF(X433&gt;='Methodology &amp; Assumptions'!$B$8, "Tier 2 High GIDA (Score 40.0–49.9)", "Tier 3 Moderate GIDA (Score &lt; 40.0)"))</f>
        <v/>
      </c>
      <c r="V433" s="26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W433" s="28" t="n">
        <v>0.109</v>
      </c>
      <c r="X433" s="14" t="n">
        <v>54.39</v>
      </c>
      <c r="Y433" s="14">
        <f>ROUND(MIN(100, (X433/69.91)*100), 2)</f>
        <v/>
      </c>
    </row>
    <row r="434">
      <c r="A434" s="10" t="n">
        <v>1</v>
      </c>
      <c r="B434" s="10" t="n">
        <v>430</v>
      </c>
      <c r="C434" s="10" t="n">
        <v>430</v>
      </c>
      <c r="D434" s="10" t="inlineStr">
        <is>
          <t>1408103008</t>
        </is>
      </c>
      <c r="E434" s="26" t="inlineStr">
        <is>
          <t>Cordillera Administrative Region (CAR)</t>
        </is>
      </c>
      <c r="F434" s="26" t="inlineStr">
        <is>
          <t>Apayao</t>
        </is>
      </c>
      <c r="G434" s="26" t="inlineStr">
        <is>
          <t>Flora</t>
        </is>
      </c>
      <c r="H434" s="26" t="inlineStr">
        <is>
          <t>Malayugan</t>
        </is>
      </c>
      <c r="I434" s="27" t="n">
        <v>18.106936</v>
      </c>
      <c r="J434" s="27" t="n">
        <v>121.45449</v>
      </c>
      <c r="K434" s="10" t="inlineStr">
        <is>
          <t>R</t>
        </is>
      </c>
      <c r="L434" s="12" t="n">
        <v>1277</v>
      </c>
      <c r="M434" s="14" t="n">
        <v>4.2</v>
      </c>
      <c r="N434" s="12">
        <f>ROUND(L434/M434, 0)</f>
        <v/>
      </c>
      <c r="O434" s="12">
        <f>ROUND(N434*'Methodology &amp; Assumptions'!$B$5, 0)</f>
        <v/>
      </c>
      <c r="P434" s="10" t="inlineStr">
        <is>
          <t>Single Carrier (Band n50, 100MHz TDD)</t>
        </is>
      </c>
      <c r="Q434" s="13">
        <f>ROUNDUP(O434/'Methodology &amp; Assumptions'!$B$6, 0)</f>
        <v/>
      </c>
      <c r="R434" s="13" t="n">
        <v>1</v>
      </c>
      <c r="S434" s="14" t="n">
        <v>11.59</v>
      </c>
      <c r="T434" s="14" t="n">
        <v>11.6</v>
      </c>
      <c r="U434" s="26">
        <f>IF(X434&gt;='Methodology &amp; Assumptions'!$B$7, "Tier 1 Critical GIDA (Score ≥ 50.0)", IF(X434&gt;='Methodology &amp; Assumptions'!$B$8, "Tier 2 High GIDA (Score 40.0–49.9)", "Tier 3 Moderate GIDA (Score &lt; 40.0)"))</f>
        <v/>
      </c>
      <c r="V434" s="26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W434" s="28" t="n">
        <v>0.109</v>
      </c>
      <c r="X434" s="14" t="n">
        <v>54.38</v>
      </c>
      <c r="Y434" s="14">
        <f>ROUND(MIN(100, (X434/69.91)*100), 2)</f>
        <v/>
      </c>
    </row>
    <row r="435">
      <c r="A435" s="10" t="n">
        <v>1</v>
      </c>
      <c r="B435" s="10" t="n">
        <v>431</v>
      </c>
      <c r="C435" s="10" t="n">
        <v>431</v>
      </c>
      <c r="D435" s="10" t="inlineStr">
        <is>
          <t>PH0000431</t>
        </is>
      </c>
      <c r="E435" s="26" t="inlineStr">
        <is>
          <t>VI</t>
        </is>
      </c>
      <c r="F435" s="26" t="inlineStr">
        <is>
          <t>Iloilo</t>
        </is>
      </c>
      <c r="G435" s="26" t="inlineStr">
        <is>
          <t>Iloilo City</t>
        </is>
      </c>
      <c r="H435" s="26" t="inlineStr">
        <is>
          <t>North Baluarte</t>
        </is>
      </c>
      <c r="I435" s="27" t="n">
        <v>10.686574</v>
      </c>
      <c r="J435" s="27" t="n">
        <v>122.632703</v>
      </c>
      <c r="K435" s="10" t="inlineStr">
        <is>
          <t>R</t>
        </is>
      </c>
      <c r="L435" s="12" t="n">
        <v>2230</v>
      </c>
      <c r="M435" s="14" t="n">
        <v>3.8</v>
      </c>
      <c r="N435" s="12">
        <f>ROUND(L435/M435, 0)</f>
        <v/>
      </c>
      <c r="O435" s="12">
        <f>ROUND(N435*'Methodology &amp; Assumptions'!$B$5, 0)</f>
        <v/>
      </c>
      <c r="P435" s="10" t="inlineStr">
        <is>
          <t>Single Carrier (Band n50, 100MHz TDD)</t>
        </is>
      </c>
      <c r="Q435" s="13">
        <f>ROUNDUP(O435/'Methodology &amp; Assumptions'!$B$6, 0)</f>
        <v/>
      </c>
      <c r="R435" s="13" t="n">
        <v>1</v>
      </c>
      <c r="S435" s="14" t="n">
        <v>7.69</v>
      </c>
      <c r="T435" s="14" t="n">
        <v>6.93</v>
      </c>
      <c r="U435" s="26">
        <f>IF(X435&gt;='Methodology &amp; Assumptions'!$B$7, "Tier 1 Critical GIDA (Score ≥ 50.0)", IF(X435&gt;='Methodology &amp; Assumptions'!$B$8, "Tier 2 High GIDA (Score 40.0–49.9)", "Tier 3 Moderate GIDA (Score &lt; 40.0)"))</f>
        <v/>
      </c>
      <c r="V435" s="26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W435" s="28" t="n">
        <v>0.156</v>
      </c>
      <c r="X435" s="14" t="n">
        <v>54.37</v>
      </c>
      <c r="Y435" s="14">
        <f>ROUND(MIN(100, (X435/69.91)*100), 2)</f>
        <v/>
      </c>
    </row>
    <row r="436">
      <c r="A436" s="10" t="n">
        <v>1</v>
      </c>
      <c r="B436" s="10" t="n">
        <v>432</v>
      </c>
      <c r="C436" s="10" t="n">
        <v>432</v>
      </c>
      <c r="D436" s="10" t="inlineStr">
        <is>
          <t>1907009001</t>
        </is>
      </c>
      <c r="E436" s="26" t="inlineStr">
        <is>
          <t>Bangsamoro Autonomous Region In Muslim Mindanao (BARMM)</t>
        </is>
      </c>
      <c r="F436" s="26" t="inlineStr">
        <is>
          <t>Tawi-Tawi</t>
        </is>
      </c>
      <c r="G436" s="26" t="inlineStr">
        <is>
          <t>Languyan</t>
        </is>
      </c>
      <c r="H436" s="26" t="inlineStr">
        <is>
          <t>Bakong</t>
        </is>
      </c>
      <c r="I436" s="27" t="n">
        <v>17.255766</v>
      </c>
      <c r="J436" s="27" t="n">
        <v>122.22981</v>
      </c>
      <c r="K436" s="10" t="inlineStr">
        <is>
          <t>R</t>
        </is>
      </c>
      <c r="L436" s="12" t="n">
        <v>1989</v>
      </c>
      <c r="M436" s="14" t="n">
        <v>5.8</v>
      </c>
      <c r="N436" s="12">
        <f>ROUND(L436/M436, 0)</f>
        <v/>
      </c>
      <c r="O436" s="12">
        <f>ROUND(N436*'Methodology &amp; Assumptions'!$B$5, 0)</f>
        <v/>
      </c>
      <c r="P436" s="10" t="inlineStr">
        <is>
          <t>Single Carrier (Band n50, 100MHz TDD)</t>
        </is>
      </c>
      <c r="Q436" s="13">
        <f>ROUNDUP(O436/'Methodology &amp; Assumptions'!$B$6, 0)</f>
        <v/>
      </c>
      <c r="R436" s="13" t="n">
        <v>1</v>
      </c>
      <c r="S436" s="14" t="n">
        <v>29.56</v>
      </c>
      <c r="T436" s="14" t="n">
        <v>34.42</v>
      </c>
      <c r="U436" s="26">
        <f>IF(X436&gt;='Methodology &amp; Assumptions'!$B$7, "Tier 1 Critical GIDA (Score ≥ 50.0)", IF(X436&gt;='Methodology &amp; Assumptions'!$B$8, "Tier 2 High GIDA (Score 40.0–49.9)", "Tier 3 Moderate GIDA (Score &lt; 40.0)"))</f>
        <v/>
      </c>
      <c r="V436" s="26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W436" s="28" t="n">
        <v>0.11</v>
      </c>
      <c r="X436" s="14" t="n">
        <v>54.36</v>
      </c>
      <c r="Y436" s="14">
        <f>ROUND(MIN(100, (X436/69.91)*100), 2)</f>
        <v/>
      </c>
    </row>
    <row r="437">
      <c r="A437" s="10" t="n">
        <v>1</v>
      </c>
      <c r="B437" s="10" t="n">
        <v>433</v>
      </c>
      <c r="C437" s="10" t="n">
        <v>433</v>
      </c>
      <c r="D437" s="10" t="inlineStr">
        <is>
          <t>1907009003</t>
        </is>
      </c>
      <c r="E437" s="26" t="inlineStr">
        <is>
          <t>Bangsamoro Autonomous Region In Muslim Mindanao (BARMM)</t>
        </is>
      </c>
      <c r="F437" s="26" t="inlineStr">
        <is>
          <t>Tawi-Tawi</t>
        </is>
      </c>
      <c r="G437" s="26" t="inlineStr">
        <is>
          <t>Languyan</t>
        </is>
      </c>
      <c r="H437" s="26" t="inlineStr">
        <is>
          <t>Basnunuk</t>
        </is>
      </c>
      <c r="I437" s="27" t="n">
        <v>17.255771</v>
      </c>
      <c r="J437" s="27" t="n">
        <v>122.229815</v>
      </c>
      <c r="K437" s="10" t="inlineStr">
        <is>
          <t>R</t>
        </is>
      </c>
      <c r="L437" s="12" t="n">
        <v>1984</v>
      </c>
      <c r="M437" s="14" t="n">
        <v>5.8</v>
      </c>
      <c r="N437" s="12">
        <f>ROUND(L437/M437, 0)</f>
        <v/>
      </c>
      <c r="O437" s="12">
        <f>ROUND(N437*'Methodology &amp; Assumptions'!$B$5, 0)</f>
        <v/>
      </c>
      <c r="P437" s="10" t="inlineStr">
        <is>
          <t>Single Carrier (Band n50, 100MHz TDD)</t>
        </is>
      </c>
      <c r="Q437" s="13">
        <f>ROUNDUP(O437/'Methodology &amp; Assumptions'!$B$6, 0)</f>
        <v/>
      </c>
      <c r="R437" s="13" t="n">
        <v>1</v>
      </c>
      <c r="S437" s="14" t="n">
        <v>29.56</v>
      </c>
      <c r="T437" s="14" t="n">
        <v>34.42</v>
      </c>
      <c r="U437" s="26">
        <f>IF(X437&gt;='Methodology &amp; Assumptions'!$B$7, "Tier 1 Critical GIDA (Score ≥ 50.0)", IF(X437&gt;='Methodology &amp; Assumptions'!$B$8, "Tier 2 High GIDA (Score 40.0–49.9)", "Tier 3 Moderate GIDA (Score &lt; 40.0)"))</f>
        <v/>
      </c>
      <c r="V437" s="26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W437" s="28" t="n">
        <v>0.11</v>
      </c>
      <c r="X437" s="14" t="n">
        <v>54.36</v>
      </c>
      <c r="Y437" s="14">
        <f>ROUND(MIN(100, (X437/69.91)*100), 2)</f>
        <v/>
      </c>
    </row>
    <row r="438">
      <c r="A438" s="10" t="n">
        <v>1</v>
      </c>
      <c r="B438" s="10" t="n">
        <v>434</v>
      </c>
      <c r="C438" s="10" t="n">
        <v>434</v>
      </c>
      <c r="D438" s="10" t="inlineStr">
        <is>
          <t>0601917011</t>
        </is>
      </c>
      <c r="E438" s="26" t="inlineStr">
        <is>
          <t>Region VI (Western Visayas)</t>
        </is>
      </c>
      <c r="F438" s="26" t="inlineStr">
        <is>
          <t>Capiz</t>
        </is>
      </c>
      <c r="G438" s="26" t="inlineStr">
        <is>
          <t>Tapaz</t>
        </is>
      </c>
      <c r="H438" s="26" t="inlineStr">
        <is>
          <t>Buri</t>
        </is>
      </c>
      <c r="I438" s="27" t="n">
        <v>11.2066</v>
      </c>
      <c r="J438" s="27" t="n">
        <v>122.4021</v>
      </c>
      <c r="K438" s="10" t="inlineStr">
        <is>
          <t>R</t>
        </is>
      </c>
      <c r="L438" s="12" t="n">
        <v>668</v>
      </c>
      <c r="M438" s="14" t="n">
        <v>3.8</v>
      </c>
      <c r="N438" s="12">
        <f>ROUND(L438/M438, 0)</f>
        <v/>
      </c>
      <c r="O438" s="12">
        <f>ROUND(N438*'Methodology &amp; Assumptions'!$B$5, 0)</f>
        <v/>
      </c>
      <c r="P438" s="10" t="inlineStr">
        <is>
          <t>Single Carrier (Band n50, 100MHz TDD)</t>
        </is>
      </c>
      <c r="Q438" s="13">
        <f>ROUNDUP(O438/'Methodology &amp; Assumptions'!$B$6, 0)</f>
        <v/>
      </c>
      <c r="R438" s="13" t="n">
        <v>1</v>
      </c>
      <c r="S438" s="14" t="n">
        <v>28.41</v>
      </c>
      <c r="T438" s="14" t="n">
        <v>17.53</v>
      </c>
      <c r="U438" s="26">
        <f>IF(X438&gt;='Methodology &amp; Assumptions'!$B$7, "Tier 1 Critical GIDA (Score ≥ 50.0)", IF(X438&gt;='Methodology &amp; Assumptions'!$B$8, "Tier 2 High GIDA (Score 40.0–49.9)", "Tier 3 Moderate GIDA (Score &lt; 40.0)"))</f>
        <v/>
      </c>
      <c r="V438" s="26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W438" s="28" t="n">
        <v>0.237</v>
      </c>
      <c r="X438" s="14" t="n">
        <v>54.36</v>
      </c>
      <c r="Y438" s="14">
        <f>ROUND(MIN(100, (X438/69.91)*100), 2)</f>
        <v/>
      </c>
    </row>
    <row r="439">
      <c r="A439" s="10" t="n">
        <v>1</v>
      </c>
      <c r="B439" s="10" t="n">
        <v>435</v>
      </c>
      <c r="C439" s="10" t="n">
        <v>435</v>
      </c>
      <c r="D439" s="10" t="inlineStr">
        <is>
          <t>0601917055</t>
        </is>
      </c>
      <c r="E439" s="26" t="inlineStr">
        <is>
          <t>Region VI (Western Visayas)</t>
        </is>
      </c>
      <c r="F439" s="26" t="inlineStr">
        <is>
          <t>Capiz</t>
        </is>
      </c>
      <c r="G439" s="26" t="inlineStr">
        <is>
          <t>Tapaz</t>
        </is>
      </c>
      <c r="H439" s="26" t="inlineStr">
        <is>
          <t>Tacayan</t>
        </is>
      </c>
      <c r="I439" s="27" t="n">
        <v>11.2275</v>
      </c>
      <c r="J439" s="27" t="n">
        <v>122.438056</v>
      </c>
      <c r="K439" s="10" t="inlineStr">
        <is>
          <t>R</t>
        </is>
      </c>
      <c r="L439" s="12" t="n">
        <v>434</v>
      </c>
      <c r="M439" s="14" t="n">
        <v>3.8</v>
      </c>
      <c r="N439" s="12">
        <f>ROUND(L439/M439, 0)</f>
        <v/>
      </c>
      <c r="O439" s="12">
        <f>ROUND(N439*'Methodology &amp; Assumptions'!$B$5, 0)</f>
        <v/>
      </c>
      <c r="P439" s="10" t="inlineStr">
        <is>
          <t>Single Carrier (Band n50, 100MHz TDD)</t>
        </is>
      </c>
      <c r="Q439" s="13">
        <f>ROUNDUP(O439/'Methodology &amp; Assumptions'!$B$6, 0)</f>
        <v/>
      </c>
      <c r="R439" s="13" t="n">
        <v>1</v>
      </c>
      <c r="S439" s="14" t="n">
        <v>26.23</v>
      </c>
      <c r="T439" s="14" t="n">
        <v>13.24</v>
      </c>
      <c r="U439" s="26">
        <f>IF(X439&gt;='Methodology &amp; Assumptions'!$B$7, "Tier 1 Critical GIDA (Score ≥ 50.0)", IF(X439&gt;='Methodology &amp; Assumptions'!$B$8, "Tier 2 High GIDA (Score 40.0–49.9)", "Tier 3 Moderate GIDA (Score &lt; 40.0)"))</f>
        <v/>
      </c>
      <c r="V439" s="26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W439" s="28" t="n">
        <v>0.237</v>
      </c>
      <c r="X439" s="14" t="n">
        <v>54.35</v>
      </c>
      <c r="Y439" s="14">
        <f>ROUND(MIN(100, (X439/69.91)*100), 2)</f>
        <v/>
      </c>
    </row>
    <row r="440">
      <c r="A440" s="10" t="n">
        <v>1</v>
      </c>
      <c r="B440" s="10" t="n">
        <v>436</v>
      </c>
      <c r="C440" s="10" t="n">
        <v>436</v>
      </c>
      <c r="D440" s="10" t="inlineStr">
        <is>
          <t>1907009019</t>
        </is>
      </c>
      <c r="E440" s="26" t="inlineStr">
        <is>
          <t>Bangsamoro Autonomous Region In Muslim Mindanao (BARMM)</t>
        </is>
      </c>
      <c r="F440" s="26" t="inlineStr">
        <is>
          <t>Tawi-Tawi</t>
        </is>
      </c>
      <c r="G440" s="26" t="inlineStr">
        <is>
          <t>Languyan</t>
        </is>
      </c>
      <c r="H440" s="26" t="inlineStr">
        <is>
          <t>Kiniktal</t>
        </is>
      </c>
      <c r="I440" s="27" t="n">
        <v>17.255774</v>
      </c>
      <c r="J440" s="27" t="n">
        <v>122.229818</v>
      </c>
      <c r="K440" s="10" t="inlineStr">
        <is>
          <t>R</t>
        </is>
      </c>
      <c r="L440" s="12" t="n">
        <v>1755</v>
      </c>
      <c r="M440" s="14" t="n">
        <v>5.8</v>
      </c>
      <c r="N440" s="12">
        <f>ROUND(L440/M440, 0)</f>
        <v/>
      </c>
      <c r="O440" s="12">
        <f>ROUND(N440*'Methodology &amp; Assumptions'!$B$5, 0)</f>
        <v/>
      </c>
      <c r="P440" s="10" t="inlineStr">
        <is>
          <t>Single Carrier (Band n50, 100MHz TDD)</t>
        </is>
      </c>
      <c r="Q440" s="13">
        <f>ROUNDUP(O440/'Methodology &amp; Assumptions'!$B$6, 0)</f>
        <v/>
      </c>
      <c r="R440" s="13" t="n">
        <v>1</v>
      </c>
      <c r="S440" s="14" t="n">
        <v>29.56</v>
      </c>
      <c r="T440" s="14" t="n">
        <v>34.42</v>
      </c>
      <c r="U440" s="26">
        <f>IF(X440&gt;='Methodology &amp; Assumptions'!$B$7, "Tier 1 Critical GIDA (Score ≥ 50.0)", IF(X440&gt;='Methodology &amp; Assumptions'!$B$8, "Tier 2 High GIDA (Score 40.0–49.9)", "Tier 3 Moderate GIDA (Score &lt; 40.0)"))</f>
        <v/>
      </c>
      <c r="V440" s="26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W440" s="28" t="n">
        <v>0.11</v>
      </c>
      <c r="X440" s="14" t="n">
        <v>54.35</v>
      </c>
      <c r="Y440" s="14">
        <f>ROUND(MIN(100, (X440/69.91)*100), 2)</f>
        <v/>
      </c>
    </row>
    <row r="441">
      <c r="A441" s="10" t="n">
        <v>1</v>
      </c>
      <c r="B441" s="10" t="n">
        <v>437</v>
      </c>
      <c r="C441" s="10" t="n">
        <v>437</v>
      </c>
      <c r="D441" s="10" t="inlineStr">
        <is>
          <t>0601917033</t>
        </is>
      </c>
      <c r="E441" s="26" t="inlineStr">
        <is>
          <t>Region VI (Western Visayas)</t>
        </is>
      </c>
      <c r="F441" s="26" t="inlineStr">
        <is>
          <t>Capiz</t>
        </is>
      </c>
      <c r="G441" s="26" t="inlineStr">
        <is>
          <t>Tapaz</t>
        </is>
      </c>
      <c r="H441" s="26" t="inlineStr">
        <is>
          <t>Rizal Norte</t>
        </is>
      </c>
      <c r="I441" s="27" t="n">
        <v>11.26668</v>
      </c>
      <c r="J441" s="27" t="n">
        <v>122.533321</v>
      </c>
      <c r="K441" s="10" t="inlineStr">
        <is>
          <t>R</t>
        </is>
      </c>
      <c r="L441" s="12" t="n">
        <v>327</v>
      </c>
      <c r="M441" s="14" t="n">
        <v>3.8</v>
      </c>
      <c r="N441" s="12">
        <f>ROUND(L441/M441, 0)</f>
        <v/>
      </c>
      <c r="O441" s="12">
        <f>ROUND(N441*'Methodology &amp; Assumptions'!$B$5, 0)</f>
        <v/>
      </c>
      <c r="P441" s="10" t="inlineStr">
        <is>
          <t>Single Carrier (Band n50, 100MHz TDD)</t>
        </is>
      </c>
      <c r="Q441" s="13">
        <f>ROUNDUP(O441/'Methodology &amp; Assumptions'!$B$6, 0)</f>
        <v/>
      </c>
      <c r="R441" s="13" t="n">
        <v>1</v>
      </c>
      <c r="S441" s="14" t="n">
        <v>15.68</v>
      </c>
      <c r="T441" s="14" t="n">
        <v>3.43</v>
      </c>
      <c r="U441" s="26">
        <f>IF(X441&gt;='Methodology &amp; Assumptions'!$B$7, "Tier 1 Critical GIDA (Score ≥ 50.0)", IF(X441&gt;='Methodology &amp; Assumptions'!$B$8, "Tier 2 High GIDA (Score 40.0–49.9)", "Tier 3 Moderate GIDA (Score &lt; 40.0)"))</f>
        <v/>
      </c>
      <c r="V441" s="26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W441" s="28" t="n">
        <v>0.237</v>
      </c>
      <c r="X441" s="14" t="n">
        <v>54.35</v>
      </c>
      <c r="Y441" s="14">
        <f>ROUND(MIN(100, (X441/69.91)*100), 2)</f>
        <v/>
      </c>
    </row>
    <row r="442">
      <c r="A442" s="10" t="n">
        <v>1</v>
      </c>
      <c r="B442" s="10" t="n">
        <v>438</v>
      </c>
      <c r="C442" s="10" t="n">
        <v>438</v>
      </c>
      <c r="D442" s="10" t="inlineStr">
        <is>
          <t>1907009002</t>
        </is>
      </c>
      <c r="E442" s="26" t="inlineStr">
        <is>
          <t>Bangsamoro Autonomous Region In Muslim Mindanao (BARMM)</t>
        </is>
      </c>
      <c r="F442" s="26" t="inlineStr">
        <is>
          <t>Tawi-Tawi</t>
        </is>
      </c>
      <c r="G442" s="26" t="inlineStr">
        <is>
          <t>Languyan</t>
        </is>
      </c>
      <c r="H442" s="26" t="inlineStr">
        <is>
          <t>Bas-bas Proper</t>
        </is>
      </c>
      <c r="I442" s="27" t="n">
        <v>17.255768</v>
      </c>
      <c r="J442" s="27" t="n">
        <v>122.229812</v>
      </c>
      <c r="K442" s="10" t="inlineStr">
        <is>
          <t>R</t>
        </is>
      </c>
      <c r="L442" s="12" t="n">
        <v>1467</v>
      </c>
      <c r="M442" s="14" t="n">
        <v>5.8</v>
      </c>
      <c r="N442" s="12">
        <f>ROUND(L442/M442, 0)</f>
        <v/>
      </c>
      <c r="O442" s="12">
        <f>ROUND(N442*'Methodology &amp; Assumptions'!$B$5, 0)</f>
        <v/>
      </c>
      <c r="P442" s="10" t="inlineStr">
        <is>
          <t>Single Carrier (Band n50, 100MHz TDD)</t>
        </is>
      </c>
      <c r="Q442" s="13">
        <f>ROUNDUP(O442/'Methodology &amp; Assumptions'!$B$6, 0)</f>
        <v/>
      </c>
      <c r="R442" s="13" t="n">
        <v>1</v>
      </c>
      <c r="S442" s="14" t="n">
        <v>29.56</v>
      </c>
      <c r="T442" s="14" t="n">
        <v>34.42</v>
      </c>
      <c r="U442" s="26">
        <f>IF(X442&gt;='Methodology &amp; Assumptions'!$B$7, "Tier 1 Critical GIDA (Score ≥ 50.0)", IF(X442&gt;='Methodology &amp; Assumptions'!$B$8, "Tier 2 High GIDA (Score 40.0–49.9)", "Tier 3 Moderate GIDA (Score &lt; 40.0)"))</f>
        <v/>
      </c>
      <c r="V442" s="26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W442" s="28" t="n">
        <v>0.11</v>
      </c>
      <c r="X442" s="14" t="n">
        <v>54.35</v>
      </c>
      <c r="Y442" s="14">
        <f>ROUND(MIN(100, (X442/69.91)*100), 2)</f>
        <v/>
      </c>
    </row>
    <row r="443">
      <c r="A443" s="10" t="n">
        <v>1</v>
      </c>
      <c r="B443" s="10" t="n">
        <v>439</v>
      </c>
      <c r="C443" s="10" t="n">
        <v>439</v>
      </c>
      <c r="D443" s="10" t="inlineStr">
        <is>
          <t>1408106027</t>
        </is>
      </c>
      <c r="E443" s="26" t="inlineStr">
        <is>
          <t>Cordillera Administrative Region (CAR)</t>
        </is>
      </c>
      <c r="F443" s="26" t="inlineStr">
        <is>
          <t>Apayao</t>
        </is>
      </c>
      <c r="G443" s="26" t="inlineStr">
        <is>
          <t>Pudtol</t>
        </is>
      </c>
      <c r="H443" s="26" t="inlineStr">
        <is>
          <t>Lt. Balag</t>
        </is>
      </c>
      <c r="I443" s="27" t="n">
        <v>18.170794</v>
      </c>
      <c r="J443" s="27" t="n">
        <v>121.35417</v>
      </c>
      <c r="K443" s="10" t="inlineStr">
        <is>
          <t>R</t>
        </is>
      </c>
      <c r="L443" s="12" t="n">
        <v>210</v>
      </c>
      <c r="M443" s="14" t="n">
        <v>4.2</v>
      </c>
      <c r="N443" s="12">
        <f>ROUND(L443/M443, 0)</f>
        <v/>
      </c>
      <c r="O443" s="12">
        <f>ROUND(N443*'Methodology &amp; Assumptions'!$B$5, 0)</f>
        <v/>
      </c>
      <c r="P443" s="10" t="inlineStr">
        <is>
          <t>Single Carrier (Band n50, 100MHz TDD)</t>
        </is>
      </c>
      <c r="Q443" s="13">
        <f>ROUNDUP(O443/'Methodology &amp; Assumptions'!$B$6, 0)</f>
        <v/>
      </c>
      <c r="R443" s="13" t="n">
        <v>1</v>
      </c>
      <c r="S443" s="14" t="n">
        <v>5.03</v>
      </c>
      <c r="T443" s="14" t="n">
        <v>0.17</v>
      </c>
      <c r="U443" s="26">
        <f>IF(X443&gt;='Methodology &amp; Assumptions'!$B$7, "Tier 1 Critical GIDA (Score ≥ 50.0)", IF(X443&gt;='Methodology &amp; Assumptions'!$B$8, "Tier 2 High GIDA (Score 40.0–49.9)", "Tier 3 Moderate GIDA (Score &lt; 40.0)"))</f>
        <v/>
      </c>
      <c r="V443" s="26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W443" s="28" t="n">
        <v>0.109</v>
      </c>
      <c r="X443" s="14" t="n">
        <v>54.33</v>
      </c>
      <c r="Y443" s="14">
        <f>ROUND(MIN(100, (X443/69.91)*100), 2)</f>
        <v/>
      </c>
    </row>
    <row r="444">
      <c r="A444" s="10" t="n">
        <v>1</v>
      </c>
      <c r="B444" s="10" t="n">
        <v>440</v>
      </c>
      <c r="C444" s="10" t="n">
        <v>440</v>
      </c>
      <c r="D444" s="10" t="inlineStr">
        <is>
          <t>0603030036</t>
        </is>
      </c>
      <c r="E444" s="26" t="inlineStr">
        <is>
          <t>Region VI (Western Visayas)</t>
        </is>
      </c>
      <c r="F444" s="26" t="inlineStr">
        <is>
          <t>Iloilo</t>
        </is>
      </c>
      <c r="G444" s="26" t="inlineStr">
        <is>
          <t>Miagao</t>
        </is>
      </c>
      <c r="H444" s="26" t="inlineStr">
        <is>
          <t>Dalije</t>
        </is>
      </c>
      <c r="I444" s="27" t="n">
        <v>10.678791</v>
      </c>
      <c r="J444" s="27" t="n">
        <v>122.166883</v>
      </c>
      <c r="K444" s="10" t="inlineStr">
        <is>
          <t>R</t>
        </is>
      </c>
      <c r="L444" s="12" t="n">
        <v>1649</v>
      </c>
      <c r="M444" s="14" t="n">
        <v>3.8</v>
      </c>
      <c r="N444" s="12">
        <f>ROUND(L444/M444, 0)</f>
        <v/>
      </c>
      <c r="O444" s="12">
        <f>ROUND(N444*'Methodology &amp; Assumptions'!$B$5, 0)</f>
        <v/>
      </c>
      <c r="P444" s="10" t="inlineStr">
        <is>
          <t>Single Carrier (Band n50, 100MHz TDD)</t>
        </is>
      </c>
      <c r="Q444" s="13">
        <f>ROUNDUP(O444/'Methodology &amp; Assumptions'!$B$6, 0)</f>
        <v/>
      </c>
      <c r="R444" s="13" t="n">
        <v>1</v>
      </c>
      <c r="S444" s="14" t="n">
        <v>23.41</v>
      </c>
      <c r="T444" s="14" t="n">
        <v>6.02</v>
      </c>
      <c r="U444" s="26">
        <f>IF(X444&gt;='Methodology &amp; Assumptions'!$B$7, "Tier 1 Critical GIDA (Score ≥ 50.0)", IF(X444&gt;='Methodology &amp; Assumptions'!$B$8, "Tier 2 High GIDA (Score 40.0–49.9)", "Tier 3 Moderate GIDA (Score &lt; 40.0)"))</f>
        <v/>
      </c>
      <c r="V444" s="26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W444" s="28" t="n">
        <v>0.237</v>
      </c>
      <c r="X444" s="14" t="n">
        <v>54.33</v>
      </c>
      <c r="Y444" s="14">
        <f>ROUND(MIN(100, (X444/69.91)*100), 2)</f>
        <v/>
      </c>
    </row>
    <row r="445">
      <c r="A445" s="10" t="n">
        <v>1</v>
      </c>
      <c r="B445" s="10" t="n">
        <v>441</v>
      </c>
      <c r="C445" s="10" t="n">
        <v>441</v>
      </c>
      <c r="D445" s="10" t="inlineStr">
        <is>
          <t>PH0000441</t>
        </is>
      </c>
      <c r="E445" s="26" t="inlineStr">
        <is>
          <t>II</t>
        </is>
      </c>
      <c r="F445" s="26" t="inlineStr">
        <is>
          <t>Nueva Vizcaya</t>
        </is>
      </c>
      <c r="G445" s="26" t="inlineStr">
        <is>
          <t>Quezon N Vizcaya</t>
        </is>
      </c>
      <c r="H445" s="26" t="inlineStr">
        <is>
          <t>Bonifacio</t>
        </is>
      </c>
      <c r="I445" s="27" t="n">
        <v>16.383525</v>
      </c>
      <c r="J445" s="27" t="n">
        <v>121.155254</v>
      </c>
      <c r="K445" s="10" t="inlineStr">
        <is>
          <t>R</t>
        </is>
      </c>
      <c r="L445" s="12" t="n">
        <v>2464</v>
      </c>
      <c r="M445" s="14" t="n">
        <v>3.8</v>
      </c>
      <c r="N445" s="12">
        <f>ROUND(L445/M445, 0)</f>
        <v/>
      </c>
      <c r="O445" s="12">
        <f>ROUND(N445*'Methodology &amp; Assumptions'!$B$5, 0)</f>
        <v/>
      </c>
      <c r="P445" s="10" t="inlineStr">
        <is>
          <t>Single Carrier (Band n50, 100MHz TDD)</t>
        </is>
      </c>
      <c r="Q445" s="13">
        <f>ROUNDUP(O445/'Methodology &amp; Assumptions'!$B$6, 0)</f>
        <v/>
      </c>
      <c r="R445" s="13" t="n">
        <v>1</v>
      </c>
      <c r="S445" s="14" t="n">
        <v>5.67</v>
      </c>
      <c r="T445" s="14" t="n">
        <v>4.89</v>
      </c>
      <c r="U445" s="26">
        <f>IF(X445&gt;='Methodology &amp; Assumptions'!$B$7, "Tier 1 Critical GIDA (Score ≥ 50.0)", IF(X445&gt;='Methodology &amp; Assumptions'!$B$8, "Tier 2 High GIDA (Score 40.0–49.9)", "Tier 3 Moderate GIDA (Score &lt; 40.0)"))</f>
        <v/>
      </c>
      <c r="V445" s="26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W445" s="28" t="n">
        <v>0.083</v>
      </c>
      <c r="X445" s="14" t="n">
        <v>54.33</v>
      </c>
      <c r="Y445" s="14">
        <f>ROUND(MIN(100, (X445/69.91)*100), 2)</f>
        <v/>
      </c>
    </row>
    <row r="446">
      <c r="A446" s="10" t="n">
        <v>1</v>
      </c>
      <c r="B446" s="10" t="n">
        <v>442</v>
      </c>
      <c r="C446" s="10" t="n">
        <v>442</v>
      </c>
      <c r="D446" s="10" t="inlineStr">
        <is>
          <t>1381400003</t>
        </is>
      </c>
      <c r="E446" s="26" t="inlineStr">
        <is>
          <t>National Capital Region (NCR)</t>
        </is>
      </c>
      <c r="F446" s="26" t="inlineStr">
        <is>
          <t>Second District (Not a Province)</t>
        </is>
      </c>
      <c r="G446" s="26" t="inlineStr">
        <is>
          <t>City of San Juan</t>
        </is>
      </c>
      <c r="H446" s="26" t="inlineStr">
        <is>
          <t>Batis</t>
        </is>
      </c>
      <c r="I446" s="27" t="n">
        <v>14.604877</v>
      </c>
      <c r="J446" s="27" t="n">
        <v>121.023247</v>
      </c>
      <c r="K446" s="10" t="inlineStr">
        <is>
          <t>U</t>
        </is>
      </c>
      <c r="L446" s="12" t="n">
        <v>10049</v>
      </c>
      <c r="M446" s="14" t="n">
        <v>3.6</v>
      </c>
      <c r="N446" s="12">
        <f>ROUND(L446/M446, 0)</f>
        <v/>
      </c>
      <c r="O446" s="12">
        <f>ROUND(N446*'Methodology &amp; Assumptions'!$B$5, 0)</f>
        <v/>
      </c>
      <c r="P446" s="10" t="inlineStr">
        <is>
          <t>Single Carrier (Band n50, 100MHz TDD)</t>
        </is>
      </c>
      <c r="Q446" s="13">
        <f>ROUNDUP(O446/'Methodology &amp; Assumptions'!$B$6, 0)</f>
        <v/>
      </c>
      <c r="R446" s="13" t="n">
        <v>1</v>
      </c>
      <c r="S446" s="14" t="n">
        <v>1.6</v>
      </c>
      <c r="T446" s="14" t="n">
        <v>0.07000000000000001</v>
      </c>
      <c r="U446" s="26">
        <f>IF(X446&gt;='Methodology &amp; Assumptions'!$B$7, "Tier 1 Critical GIDA (Score ≥ 50.0)", IF(X446&gt;='Methodology &amp; Assumptions'!$B$8, "Tier 2 High GIDA (Score 40.0–49.9)", "Tier 3 Moderate GIDA (Score &lt; 40.0)"))</f>
        <v/>
      </c>
      <c r="V446" s="26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W446" s="28" t="n">
        <v>0.109</v>
      </c>
      <c r="X446" s="14" t="n">
        <v>54.32</v>
      </c>
      <c r="Y446" s="14">
        <f>ROUND(MIN(100, (X446/69.91)*100), 2)</f>
        <v/>
      </c>
    </row>
    <row r="447">
      <c r="A447" s="10" t="n">
        <v>1</v>
      </c>
      <c r="B447" s="10" t="n">
        <v>443</v>
      </c>
      <c r="C447" s="10" t="n">
        <v>443</v>
      </c>
      <c r="D447" s="10" t="inlineStr">
        <is>
          <t>0601917054</t>
        </is>
      </c>
      <c r="E447" s="26" t="inlineStr">
        <is>
          <t>Region VI (Western Visayas)</t>
        </is>
      </c>
      <c r="F447" s="26" t="inlineStr">
        <is>
          <t>Capiz</t>
        </is>
      </c>
      <c r="G447" s="26" t="inlineStr">
        <is>
          <t>Tapaz</t>
        </is>
      </c>
      <c r="H447" s="26" t="inlineStr">
        <is>
          <t>Tabon</t>
        </is>
      </c>
      <c r="I447" s="27" t="n">
        <v>11.310551</v>
      </c>
      <c r="J447" s="27" t="n">
        <v>122.431616</v>
      </c>
      <c r="K447" s="10" t="inlineStr">
        <is>
          <t>R</t>
        </is>
      </c>
      <c r="L447" s="12" t="n">
        <v>635</v>
      </c>
      <c r="M447" s="14" t="n">
        <v>3.8</v>
      </c>
      <c r="N447" s="12">
        <f>ROUND(L447/M447, 0)</f>
        <v/>
      </c>
      <c r="O447" s="12">
        <f>ROUND(N447*'Methodology &amp; Assumptions'!$B$5, 0)</f>
        <v/>
      </c>
      <c r="P447" s="10" t="inlineStr">
        <is>
          <t>Single Carrier (Band n50, 100MHz TDD)</t>
        </is>
      </c>
      <c r="Q447" s="13">
        <f>ROUNDUP(O447/'Methodology &amp; Assumptions'!$B$6, 0)</f>
        <v/>
      </c>
      <c r="R447" s="13" t="n">
        <v>1</v>
      </c>
      <c r="S447" s="14" t="n">
        <v>25.58</v>
      </c>
      <c r="T447" s="14" t="n">
        <v>15.49</v>
      </c>
      <c r="U447" s="26">
        <f>IF(X447&gt;='Methodology &amp; Assumptions'!$B$7, "Tier 1 Critical GIDA (Score ≥ 50.0)", IF(X447&gt;='Methodology &amp; Assumptions'!$B$8, "Tier 2 High GIDA (Score 40.0–49.9)", "Tier 3 Moderate GIDA (Score &lt; 40.0)"))</f>
        <v/>
      </c>
      <c r="V447" s="26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W447" s="28" t="n">
        <v>0.237</v>
      </c>
      <c r="X447" s="14" t="n">
        <v>54.31</v>
      </c>
      <c r="Y447" s="14">
        <f>ROUND(MIN(100, (X447/69.91)*100), 2)</f>
        <v/>
      </c>
    </row>
    <row r="448">
      <c r="A448" s="10" t="n">
        <v>1</v>
      </c>
      <c r="B448" s="10" t="n">
        <v>444</v>
      </c>
      <c r="C448" s="10" t="n">
        <v>444</v>
      </c>
      <c r="D448" s="10" t="inlineStr">
        <is>
          <t>PH0000444</t>
        </is>
      </c>
      <c r="E448" s="26" t="inlineStr">
        <is>
          <t>VI</t>
        </is>
      </c>
      <c r="F448" s="26" t="inlineStr">
        <is>
          <t>Iloilo</t>
        </is>
      </c>
      <c r="G448" s="26" t="inlineStr">
        <is>
          <t>Iloilo City</t>
        </is>
      </c>
      <c r="H448" s="26" t="inlineStr">
        <is>
          <t>Rizal Palapala I</t>
        </is>
      </c>
      <c r="I448" s="27" t="n">
        <v>10.675528</v>
      </c>
      <c r="J448" s="27" t="n">
        <v>122.468794</v>
      </c>
      <c r="K448" s="10" t="inlineStr">
        <is>
          <t>R</t>
        </is>
      </c>
      <c r="L448" s="12" t="n">
        <v>2230</v>
      </c>
      <c r="M448" s="14" t="n">
        <v>3.8</v>
      </c>
      <c r="N448" s="12">
        <f>ROUND(L448/M448, 0)</f>
        <v/>
      </c>
      <c r="O448" s="12">
        <f>ROUND(N448*'Methodology &amp; Assumptions'!$B$5, 0)</f>
        <v/>
      </c>
      <c r="P448" s="10" t="inlineStr">
        <is>
          <t>Single Carrier (Band n50, 100MHz TDD)</t>
        </is>
      </c>
      <c r="Q448" s="13">
        <f>ROUNDUP(O448/'Methodology &amp; Assumptions'!$B$6, 0)</f>
        <v/>
      </c>
      <c r="R448" s="13" t="n">
        <v>1</v>
      </c>
      <c r="S448" s="14" t="n">
        <v>2.31</v>
      </c>
      <c r="T448" s="14" t="n">
        <v>1.75</v>
      </c>
      <c r="U448" s="26">
        <f>IF(X448&gt;='Methodology &amp; Assumptions'!$B$7, "Tier 1 Critical GIDA (Score ≥ 50.0)", IF(X448&gt;='Methodology &amp; Assumptions'!$B$8, "Tier 2 High GIDA (Score 40.0–49.9)", "Tier 3 Moderate GIDA (Score &lt; 40.0)"))</f>
        <v/>
      </c>
      <c r="V448" s="26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W448" s="28" t="n">
        <v>0.156</v>
      </c>
      <c r="X448" s="14" t="n">
        <v>54.31</v>
      </c>
      <c r="Y448" s="14">
        <f>ROUND(MIN(100, (X448/69.91)*100), 2)</f>
        <v/>
      </c>
    </row>
    <row r="449">
      <c r="A449" s="10" t="n">
        <v>1</v>
      </c>
      <c r="B449" s="10" t="n">
        <v>445</v>
      </c>
      <c r="C449" s="10" t="n">
        <v>445</v>
      </c>
      <c r="D449" s="10" t="inlineStr">
        <is>
          <t>1380608014</t>
        </is>
      </c>
      <c r="E449" s="26" t="inlineStr">
        <is>
          <t>National Capital Region (NCR)</t>
        </is>
      </c>
      <c r="F449" s="26" t="inlineStr">
        <is>
          <t>First District (Not a Province)</t>
        </is>
      </c>
      <c r="G449" s="26" t="inlineStr">
        <is>
          <t>City of Manila</t>
        </is>
      </c>
      <c r="H449" s="26" t="inlineStr">
        <is>
          <t>Barangay 663-A</t>
        </is>
      </c>
      <c r="I449" s="27" t="n">
        <v>12.853861</v>
      </c>
      <c r="J449" s="27" t="n">
        <v>121.858066</v>
      </c>
      <c r="K449" s="10" t="inlineStr">
        <is>
          <t>U</t>
        </is>
      </c>
      <c r="L449" s="12" t="n">
        <v>415</v>
      </c>
      <c r="M449" s="14" t="n">
        <v>3.9</v>
      </c>
      <c r="N449" s="12">
        <f>ROUND(L449/M449, 0)</f>
        <v/>
      </c>
      <c r="O449" s="12">
        <f>ROUND(N449*'Methodology &amp; Assumptions'!$B$5, 0)</f>
        <v/>
      </c>
      <c r="P449" s="10" t="inlineStr">
        <is>
          <t>Single Carrier (Band n50, 100MHz TDD)</t>
        </is>
      </c>
      <c r="Q449" s="13">
        <f>ROUNDUP(O449/'Methodology &amp; Assumptions'!$B$6, 0)</f>
        <v/>
      </c>
      <c r="R449" s="13" t="n">
        <v>1</v>
      </c>
      <c r="S449" s="14" t="n">
        <v>42.02</v>
      </c>
      <c r="T449" s="14" t="n">
        <v>41.94</v>
      </c>
      <c r="U449" s="26">
        <f>IF(X449&gt;='Methodology &amp; Assumptions'!$B$7, "Tier 1 Critical GIDA (Score ≥ 50.0)", IF(X449&gt;='Methodology &amp; Assumptions'!$B$8, "Tier 2 High GIDA (Score 40.0–49.9)", "Tier 3 Moderate GIDA (Score &lt; 40.0)"))</f>
        <v/>
      </c>
      <c r="V449" s="26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W449" s="28" t="n">
        <v>0.109</v>
      </c>
      <c r="X449" s="14" t="n">
        <v>54.3</v>
      </c>
      <c r="Y449" s="14">
        <f>ROUND(MIN(100, (X449/69.91)*100), 2)</f>
        <v/>
      </c>
    </row>
    <row r="450">
      <c r="A450" s="10" t="n">
        <v>1</v>
      </c>
      <c r="B450" s="10" t="n">
        <v>446</v>
      </c>
      <c r="C450" s="10" t="n">
        <v>446</v>
      </c>
      <c r="D450" s="10" t="inlineStr">
        <is>
          <t>1705320006</t>
        </is>
      </c>
      <c r="E450" s="26" t="inlineStr">
        <is>
          <t>MIMAROPA Region</t>
        </is>
      </c>
      <c r="F450" s="26" t="inlineStr">
        <is>
          <t>Palawan</t>
        </is>
      </c>
      <c r="G450" s="26" t="inlineStr">
        <is>
          <t>Taytay</t>
        </is>
      </c>
      <c r="H450" s="26" t="inlineStr">
        <is>
          <t>Beton</t>
        </is>
      </c>
      <c r="I450" s="27" t="n">
        <v>10.810563</v>
      </c>
      <c r="J450" s="27" t="n">
        <v>119.632636</v>
      </c>
      <c r="K450" s="10" t="inlineStr">
        <is>
          <t>R</t>
        </is>
      </c>
      <c r="L450" s="12" t="n">
        <v>1739</v>
      </c>
      <c r="M450" s="14" t="n">
        <v>3.9</v>
      </c>
      <c r="N450" s="12">
        <f>ROUND(L450/M450, 0)</f>
        <v/>
      </c>
      <c r="O450" s="12">
        <f>ROUND(N450*'Methodology &amp; Assumptions'!$B$5, 0)</f>
        <v/>
      </c>
      <c r="P450" s="10" t="inlineStr">
        <is>
          <t>Single Carrier (Band n50, 100MHz TDD)</t>
        </is>
      </c>
      <c r="Q450" s="13">
        <f>ROUNDUP(O450/'Methodology &amp; Assumptions'!$B$6, 0)</f>
        <v/>
      </c>
      <c r="R450" s="13" t="n">
        <v>1</v>
      </c>
      <c r="S450" s="14" t="n">
        <v>13.82</v>
      </c>
      <c r="T450" s="14" t="n">
        <v>13.72</v>
      </c>
      <c r="U450" s="26">
        <f>IF(X450&gt;='Methodology &amp; Assumptions'!$B$7, "Tier 1 Critical GIDA (Score ≥ 50.0)", IF(X450&gt;='Methodology &amp; Assumptions'!$B$8, "Tier 2 High GIDA (Score 40.0–49.9)", "Tier 3 Moderate GIDA (Score &lt; 40.0)"))</f>
        <v/>
      </c>
      <c r="V450" s="26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W450" s="28" t="n">
        <v>0.15</v>
      </c>
      <c r="X450" s="14" t="n">
        <v>54.3</v>
      </c>
      <c r="Y450" s="14">
        <f>ROUND(MIN(100, (X450/69.91)*100), 2)</f>
        <v/>
      </c>
    </row>
    <row r="451">
      <c r="A451" s="10" t="n">
        <v>1</v>
      </c>
      <c r="B451" s="10" t="n">
        <v>447</v>
      </c>
      <c r="C451" s="10" t="n">
        <v>447</v>
      </c>
      <c r="D451" s="10" t="inlineStr">
        <is>
          <t>0802623024</t>
        </is>
      </c>
      <c r="E451" s="26" t="inlineStr">
        <is>
          <t>Region VIII (Eastern Visayas)</t>
        </is>
      </c>
      <c r="F451" s="26" t="inlineStr">
        <is>
          <t>Eastern Samar</t>
        </is>
      </c>
      <c r="G451" s="26" t="inlineStr">
        <is>
          <t>Taft</t>
        </is>
      </c>
      <c r="H451" s="26" t="inlineStr">
        <is>
          <t>San Pablo</t>
        </is>
      </c>
      <c r="I451" s="27" t="n">
        <v>11.878986</v>
      </c>
      <c r="J451" s="27" t="n">
        <v>125.361056</v>
      </c>
      <c r="K451" s="10" t="inlineStr">
        <is>
          <t>R</t>
        </is>
      </c>
      <c r="L451" s="12" t="n">
        <v>712</v>
      </c>
      <c r="M451" s="14" t="n">
        <v>3.9</v>
      </c>
      <c r="N451" s="12">
        <f>ROUND(L451/M451, 0)</f>
        <v/>
      </c>
      <c r="O451" s="12">
        <f>ROUND(N451*'Methodology &amp; Assumptions'!$B$5, 0)</f>
        <v/>
      </c>
      <c r="P451" s="10" t="inlineStr">
        <is>
          <t>Single Carrier (Band n50, 100MHz TDD)</t>
        </is>
      </c>
      <c r="Q451" s="13">
        <f>ROUNDUP(O451/'Methodology &amp; Assumptions'!$B$6, 0)</f>
        <v/>
      </c>
      <c r="R451" s="13" t="n">
        <v>1</v>
      </c>
      <c r="S451" s="14" t="n">
        <v>81.12</v>
      </c>
      <c r="T451" s="14" t="n">
        <v>83.42</v>
      </c>
      <c r="U451" s="26">
        <f>IF(X451&gt;='Methodology &amp; Assumptions'!$B$7, "Tier 1 Critical GIDA (Score ≥ 50.0)", IF(X451&gt;='Methodology &amp; Assumptions'!$B$8, "Tier 2 High GIDA (Score 40.0–49.9)", "Tier 3 Moderate GIDA (Score &lt; 40.0)"))</f>
        <v/>
      </c>
      <c r="V451" s="26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W451" s="28" t="n">
        <v>0.237</v>
      </c>
      <c r="X451" s="14" t="n">
        <v>54.3</v>
      </c>
      <c r="Y451" s="14">
        <f>ROUND(MIN(100, (X451/69.91)*100), 2)</f>
        <v/>
      </c>
    </row>
    <row r="452">
      <c r="A452" s="10" t="n">
        <v>1</v>
      </c>
      <c r="B452" s="10" t="n">
        <v>448</v>
      </c>
      <c r="C452" s="10" t="n">
        <v>448</v>
      </c>
      <c r="D452" s="10" t="inlineStr">
        <is>
          <t>1380601019</t>
        </is>
      </c>
      <c r="E452" s="26" t="inlineStr">
        <is>
          <t>National Capital Region (NCR)</t>
        </is>
      </c>
      <c r="F452" s="26" t="inlineStr">
        <is>
          <t>First District (Not a Province)</t>
        </is>
      </c>
      <c r="G452" s="26" t="inlineStr">
        <is>
          <t>City of Manila</t>
        </is>
      </c>
      <c r="H452" s="26" t="inlineStr">
        <is>
          <t>Barangay 19</t>
        </is>
      </c>
      <c r="I452" s="27" t="n">
        <v>12.842815</v>
      </c>
      <c r="J452" s="27" t="n">
        <v>121.692858</v>
      </c>
      <c r="K452" s="10" t="inlineStr">
        <is>
          <t>U</t>
        </is>
      </c>
      <c r="L452" s="12" t="n">
        <v>2341</v>
      </c>
      <c r="M452" s="14" t="n">
        <v>3.9</v>
      </c>
      <c r="N452" s="12">
        <f>ROUND(L452/M452, 0)</f>
        <v/>
      </c>
      <c r="O452" s="12">
        <f>ROUND(N452*'Methodology &amp; Assumptions'!$B$5, 0)</f>
        <v/>
      </c>
      <c r="P452" s="10" t="inlineStr">
        <is>
          <t>Single Carrier (Band n50, 100MHz TDD)</t>
        </is>
      </c>
      <c r="Q452" s="13">
        <f>ROUNDUP(O452/'Methodology &amp; Assumptions'!$B$6, 0)</f>
        <v/>
      </c>
      <c r="R452" s="13" t="n">
        <v>1</v>
      </c>
      <c r="S452" s="14" t="n">
        <v>24.85</v>
      </c>
      <c r="T452" s="14" t="n">
        <v>24.14</v>
      </c>
      <c r="U452" s="26">
        <f>IF(X452&gt;='Methodology &amp; Assumptions'!$B$7, "Tier 1 Critical GIDA (Score ≥ 50.0)", IF(X452&gt;='Methodology &amp; Assumptions'!$B$8, "Tier 2 High GIDA (Score 40.0–49.9)", "Tier 3 Moderate GIDA (Score &lt; 40.0)"))</f>
        <v/>
      </c>
      <c r="V452" s="26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W452" s="28" t="n">
        <v>0.109</v>
      </c>
      <c r="X452" s="14" t="n">
        <v>54.29</v>
      </c>
      <c r="Y452" s="14">
        <f>ROUND(MIN(100, (X452/69.91)*100), 2)</f>
        <v/>
      </c>
    </row>
    <row r="453">
      <c r="A453" s="10" t="n">
        <v>1</v>
      </c>
      <c r="B453" s="10" t="n">
        <v>449</v>
      </c>
      <c r="C453" s="10" t="n">
        <v>449</v>
      </c>
      <c r="D453" s="10" t="inlineStr">
        <is>
          <t>0601917057</t>
        </is>
      </c>
      <c r="E453" s="26" t="inlineStr">
        <is>
          <t>Region VI (Western Visayas)</t>
        </is>
      </c>
      <c r="F453" s="26" t="inlineStr">
        <is>
          <t>Capiz</t>
        </is>
      </c>
      <c r="G453" s="26" t="inlineStr">
        <is>
          <t>Tapaz</t>
        </is>
      </c>
      <c r="H453" s="26" t="inlineStr">
        <is>
          <t>Taganghin</t>
        </is>
      </c>
      <c r="I453" s="27" t="n">
        <v>11.2222</v>
      </c>
      <c r="J453" s="27" t="n">
        <v>122.3861</v>
      </c>
      <c r="K453" s="10" t="inlineStr">
        <is>
          <t>R</t>
        </is>
      </c>
      <c r="L453" s="12" t="n">
        <v>644</v>
      </c>
      <c r="M453" s="14" t="n">
        <v>3.8</v>
      </c>
      <c r="N453" s="12">
        <f>ROUND(L453/M453, 0)</f>
        <v/>
      </c>
      <c r="O453" s="12">
        <f>ROUND(N453*'Methodology &amp; Assumptions'!$B$5, 0)</f>
        <v/>
      </c>
      <c r="P453" s="10" t="inlineStr">
        <is>
          <t>Single Carrier (Band n50, 100MHz TDD)</t>
        </is>
      </c>
      <c r="Q453" s="13">
        <f>ROUNDUP(O453/'Methodology &amp; Assumptions'!$B$6, 0)</f>
        <v/>
      </c>
      <c r="R453" s="13" t="n">
        <v>1</v>
      </c>
      <c r="S453" s="14" t="n">
        <v>30.83</v>
      </c>
      <c r="T453" s="14" t="n">
        <v>18.93</v>
      </c>
      <c r="U453" s="26">
        <f>IF(X453&gt;='Methodology &amp; Assumptions'!$B$7, "Tier 1 Critical GIDA (Score ≥ 50.0)", IF(X453&gt;='Methodology &amp; Assumptions'!$B$8, "Tier 2 High GIDA (Score 40.0–49.9)", "Tier 3 Moderate GIDA (Score &lt; 40.0)"))</f>
        <v/>
      </c>
      <c r="V453" s="26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W453" s="28" t="n">
        <v>0.237</v>
      </c>
      <c r="X453" s="14" t="n">
        <v>54.29</v>
      </c>
      <c r="Y453" s="14">
        <f>ROUND(MIN(100, (X453/69.91)*100), 2)</f>
        <v/>
      </c>
    </row>
    <row r="454">
      <c r="A454" s="10" t="n">
        <v>1</v>
      </c>
      <c r="B454" s="10" t="n">
        <v>450</v>
      </c>
      <c r="C454" s="10" t="n">
        <v>450</v>
      </c>
      <c r="D454" s="10" t="inlineStr">
        <is>
          <t>0601913014</t>
        </is>
      </c>
      <c r="E454" s="26" t="inlineStr">
        <is>
          <t>Region VI (Western Visayas)</t>
        </is>
      </c>
      <c r="F454" s="26" t="inlineStr">
        <is>
          <t>Capiz</t>
        </is>
      </c>
      <c r="G454" s="26" t="inlineStr">
        <is>
          <t>President Roxas</t>
        </is>
      </c>
      <c r="H454" s="26" t="inlineStr">
        <is>
          <t>Pandan</t>
        </is>
      </c>
      <c r="I454" s="27" t="n">
        <v>11.473889</v>
      </c>
      <c r="J454" s="27" t="n">
        <v>122.918333</v>
      </c>
      <c r="K454" s="10" t="inlineStr">
        <is>
          <t>R</t>
        </is>
      </c>
      <c r="L454" s="12" t="n">
        <v>720</v>
      </c>
      <c r="M454" s="14" t="n">
        <v>3.8</v>
      </c>
      <c r="N454" s="12">
        <f>ROUND(L454/M454, 0)</f>
        <v/>
      </c>
      <c r="O454" s="12">
        <f>ROUND(N454*'Methodology &amp; Assumptions'!$B$5, 0)</f>
        <v/>
      </c>
      <c r="P454" s="10" t="inlineStr">
        <is>
          <t>Single Carrier (Band n50, 100MHz TDD)</t>
        </is>
      </c>
      <c r="Q454" s="13">
        <f>ROUNDUP(O454/'Methodology &amp; Assumptions'!$B$6, 0)</f>
        <v/>
      </c>
      <c r="R454" s="13" t="n">
        <v>1</v>
      </c>
      <c r="S454" s="14" t="n">
        <v>9.210000000000001</v>
      </c>
      <c r="T454" s="14" t="n">
        <v>4.35</v>
      </c>
      <c r="U454" s="26">
        <f>IF(X454&gt;='Methodology &amp; Assumptions'!$B$7, "Tier 1 Critical GIDA (Score ≥ 50.0)", IF(X454&gt;='Methodology &amp; Assumptions'!$B$8, "Tier 2 High GIDA (Score 40.0–49.9)", "Tier 3 Moderate GIDA (Score &lt; 40.0)"))</f>
        <v/>
      </c>
      <c r="V454" s="26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W454" s="28" t="n">
        <v>0.237</v>
      </c>
      <c r="X454" s="14" t="n">
        <v>54.29</v>
      </c>
      <c r="Y454" s="14">
        <f>ROUND(MIN(100, (X454/69.91)*100), 2)</f>
        <v/>
      </c>
    </row>
    <row r="455">
      <c r="A455" s="10" t="n">
        <v>1</v>
      </c>
      <c r="B455" s="10" t="n">
        <v>451</v>
      </c>
      <c r="C455" s="10" t="n">
        <v>451</v>
      </c>
      <c r="D455" s="10" t="inlineStr">
        <is>
          <t>1004322001</t>
        </is>
      </c>
      <c r="E455" s="26" t="inlineStr">
        <is>
          <t>Region X (Northern Mindanao)</t>
        </is>
      </c>
      <c r="F455" s="26" t="inlineStr">
        <is>
          <t>Misamis Oriental</t>
        </is>
      </c>
      <c r="G455" s="26" t="inlineStr">
        <is>
          <t>Salay</t>
        </is>
      </c>
      <c r="H455" s="26" t="inlineStr">
        <is>
          <t>Alipuaton</t>
        </is>
      </c>
      <c r="I455" s="27" t="n">
        <v>8.868112999999999</v>
      </c>
      <c r="J455" s="27" t="n">
        <v>124.80872</v>
      </c>
      <c r="K455" s="10" t="inlineStr">
        <is>
          <t>R</t>
        </is>
      </c>
      <c r="L455" s="12" t="n">
        <v>1103</v>
      </c>
      <c r="M455" s="14" t="n">
        <v>3.9</v>
      </c>
      <c r="N455" s="12">
        <f>ROUND(L455/M455, 0)</f>
        <v/>
      </c>
      <c r="O455" s="12">
        <f>ROUND(N455*'Methodology &amp; Assumptions'!$B$5, 0)</f>
        <v/>
      </c>
      <c r="P455" s="10" t="inlineStr">
        <is>
          <t>Single Carrier (Band n50, 100MHz TDD)</t>
        </is>
      </c>
      <c r="Q455" s="13">
        <f>ROUNDUP(O455/'Methodology &amp; Assumptions'!$B$6, 0)</f>
        <v/>
      </c>
      <c r="R455" s="13" t="n">
        <v>1</v>
      </c>
      <c r="S455" s="14" t="n">
        <v>2.6</v>
      </c>
      <c r="T455" s="14" t="n">
        <v>2.12</v>
      </c>
      <c r="U455" s="26">
        <f>IF(X455&gt;='Methodology &amp; Assumptions'!$B$7, "Tier 1 Critical GIDA (Score ≥ 50.0)", IF(X455&gt;='Methodology &amp; Assumptions'!$B$8, "Tier 2 High GIDA (Score 40.0–49.9)", "Tier 3 Moderate GIDA (Score &lt; 40.0)"))</f>
        <v/>
      </c>
      <c r="V455" s="26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W455" s="28" t="n">
        <v>0.174</v>
      </c>
      <c r="X455" s="14" t="n">
        <v>54.29</v>
      </c>
      <c r="Y455" s="14">
        <f>ROUND(MIN(100, (X455/69.91)*100), 2)</f>
        <v/>
      </c>
    </row>
    <row r="456">
      <c r="A456" s="10" t="n">
        <v>1</v>
      </c>
      <c r="B456" s="10" t="n">
        <v>452</v>
      </c>
      <c r="C456" s="10" t="n">
        <v>452</v>
      </c>
      <c r="D456" s="10" t="inlineStr">
        <is>
          <t>0601917051</t>
        </is>
      </c>
      <c r="E456" s="26" t="inlineStr">
        <is>
          <t>Region VI (Western Visayas)</t>
        </is>
      </c>
      <c r="F456" s="26" t="inlineStr">
        <is>
          <t>Capiz</t>
        </is>
      </c>
      <c r="G456" s="26" t="inlineStr">
        <is>
          <t>Tapaz</t>
        </is>
      </c>
      <c r="H456" s="26" t="inlineStr">
        <is>
          <t>Senonod</t>
        </is>
      </c>
      <c r="I456" s="27" t="n">
        <v>11.266748</v>
      </c>
      <c r="J456" s="27" t="n">
        <v>122.533322</v>
      </c>
      <c r="K456" s="10" t="inlineStr">
        <is>
          <t>R</t>
        </is>
      </c>
      <c r="L456" s="12" t="n">
        <v>230</v>
      </c>
      <c r="M456" s="14" t="n">
        <v>3.8</v>
      </c>
      <c r="N456" s="12">
        <f>ROUND(L456/M456, 0)</f>
        <v/>
      </c>
      <c r="O456" s="12">
        <f>ROUND(N456*'Methodology &amp; Assumptions'!$B$5, 0)</f>
        <v/>
      </c>
      <c r="P456" s="10" t="inlineStr">
        <is>
          <t>Single Carrier (Band n50, 100MHz TDD)</t>
        </is>
      </c>
      <c r="Q456" s="13">
        <f>ROUNDUP(O456/'Methodology &amp; Assumptions'!$B$6, 0)</f>
        <v/>
      </c>
      <c r="R456" s="13" t="n">
        <v>1</v>
      </c>
      <c r="S456" s="14" t="n">
        <v>15.68</v>
      </c>
      <c r="T456" s="14" t="n">
        <v>3.43</v>
      </c>
      <c r="U456" s="26">
        <f>IF(X456&gt;='Methodology &amp; Assumptions'!$B$7, "Tier 1 Critical GIDA (Score ≥ 50.0)", IF(X456&gt;='Methodology &amp; Assumptions'!$B$8, "Tier 2 High GIDA (Score 40.0–49.9)", "Tier 3 Moderate GIDA (Score &lt; 40.0)"))</f>
        <v/>
      </c>
      <c r="V456" s="26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W456" s="28" t="n">
        <v>0.237</v>
      </c>
      <c r="X456" s="14" t="n">
        <v>54.29</v>
      </c>
      <c r="Y456" s="14">
        <f>ROUND(MIN(100, (X456/69.91)*100), 2)</f>
        <v/>
      </c>
    </row>
    <row r="457">
      <c r="A457" s="10" t="n">
        <v>1</v>
      </c>
      <c r="B457" s="10" t="n">
        <v>453</v>
      </c>
      <c r="C457" s="10" t="n">
        <v>453</v>
      </c>
      <c r="D457" s="10" t="inlineStr">
        <is>
          <t>0603030086</t>
        </is>
      </c>
      <c r="E457" s="26" t="inlineStr">
        <is>
          <t>Region VI (Western Visayas)</t>
        </is>
      </c>
      <c r="F457" s="26" t="inlineStr">
        <is>
          <t>Iloilo</t>
        </is>
      </c>
      <c r="G457" s="26" t="inlineStr">
        <is>
          <t>Miagao</t>
        </is>
      </c>
      <c r="H457" s="26" t="inlineStr">
        <is>
          <t>Ongyod</t>
        </is>
      </c>
      <c r="I457" s="27" t="n">
        <v>10.663975</v>
      </c>
      <c r="J457" s="27" t="n">
        <v>122.20515</v>
      </c>
      <c r="K457" s="10" t="inlineStr">
        <is>
          <t>R</t>
        </is>
      </c>
      <c r="L457" s="12" t="n">
        <v>211</v>
      </c>
      <c r="M457" s="14" t="n">
        <v>3.8</v>
      </c>
      <c r="N457" s="12">
        <f>ROUND(L457/M457, 0)</f>
        <v/>
      </c>
      <c r="O457" s="12">
        <f>ROUND(N457*'Methodology &amp; Assumptions'!$B$5, 0)</f>
        <v/>
      </c>
      <c r="P457" s="10" t="inlineStr">
        <is>
          <t>Single Carrier (Band n50, 100MHz TDD)</t>
        </is>
      </c>
      <c r="Q457" s="13">
        <f>ROUNDUP(O457/'Methodology &amp; Assumptions'!$B$6, 0)</f>
        <v/>
      </c>
      <c r="R457" s="13" t="n">
        <v>1</v>
      </c>
      <c r="S457" s="14" t="n">
        <v>19.31</v>
      </c>
      <c r="T457" s="14" t="n">
        <v>2.77</v>
      </c>
      <c r="U457" s="26">
        <f>IF(X457&gt;='Methodology &amp; Assumptions'!$B$7, "Tier 1 Critical GIDA (Score ≥ 50.0)", IF(X457&gt;='Methodology &amp; Assumptions'!$B$8, "Tier 2 High GIDA (Score 40.0–49.9)", "Tier 3 Moderate GIDA (Score &lt; 40.0)"))</f>
        <v/>
      </c>
      <c r="V457" s="26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W457" s="28" t="n">
        <v>0.237</v>
      </c>
      <c r="X457" s="14" t="n">
        <v>54.28</v>
      </c>
      <c r="Y457" s="14">
        <f>ROUND(MIN(100, (X457/69.91)*100), 2)</f>
        <v/>
      </c>
    </row>
    <row r="458">
      <c r="A458" s="10" t="n">
        <v>1</v>
      </c>
      <c r="B458" s="10" t="n">
        <v>454</v>
      </c>
      <c r="C458" s="10" t="n">
        <v>454</v>
      </c>
      <c r="D458" s="10" t="inlineStr">
        <is>
          <t>0603030024</t>
        </is>
      </c>
      <c r="E458" s="26" t="inlineStr">
        <is>
          <t>Region VI (Western Visayas)</t>
        </is>
      </c>
      <c r="F458" s="26" t="inlineStr">
        <is>
          <t>Iloilo</t>
        </is>
      </c>
      <c r="G458" s="26" t="inlineStr">
        <is>
          <t>Miagao</t>
        </is>
      </c>
      <c r="H458" s="26" t="inlineStr">
        <is>
          <t>Cabalaunan</t>
        </is>
      </c>
      <c r="I458" s="27" t="n">
        <v>10.668173</v>
      </c>
      <c r="J458" s="27" t="n">
        <v>122.195364</v>
      </c>
      <c r="K458" s="10" t="inlineStr">
        <is>
          <t>R</t>
        </is>
      </c>
      <c r="L458" s="12" t="n">
        <v>262</v>
      </c>
      <c r="M458" s="14" t="n">
        <v>3.8</v>
      </c>
      <c r="N458" s="12">
        <f>ROUND(L458/M458, 0)</f>
        <v/>
      </c>
      <c r="O458" s="12">
        <f>ROUND(N458*'Methodology &amp; Assumptions'!$B$5, 0)</f>
        <v/>
      </c>
      <c r="P458" s="10" t="inlineStr">
        <is>
          <t>Single Carrier (Band n50, 100MHz TDD)</t>
        </is>
      </c>
      <c r="Q458" s="13">
        <f>ROUNDUP(O458/'Methodology &amp; Assumptions'!$B$6, 0)</f>
        <v/>
      </c>
      <c r="R458" s="13" t="n">
        <v>1</v>
      </c>
      <c r="S458" s="14" t="n">
        <v>20.34</v>
      </c>
      <c r="T458" s="14" t="n">
        <v>3.47</v>
      </c>
      <c r="U458" s="26">
        <f>IF(X458&gt;='Methodology &amp; Assumptions'!$B$7, "Tier 1 Critical GIDA (Score ≥ 50.0)", IF(X458&gt;='Methodology &amp; Assumptions'!$B$8, "Tier 2 High GIDA (Score 40.0–49.9)", "Tier 3 Moderate GIDA (Score &lt; 40.0)"))</f>
        <v/>
      </c>
      <c r="V458" s="26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W458" s="28" t="n">
        <v>0.237</v>
      </c>
      <c r="X458" s="14" t="n">
        <v>54.26</v>
      </c>
      <c r="Y458" s="14">
        <f>ROUND(MIN(100, (X458/69.91)*100), 2)</f>
        <v/>
      </c>
    </row>
    <row r="459">
      <c r="A459" s="10" t="n">
        <v>1</v>
      </c>
      <c r="B459" s="10" t="n">
        <v>455</v>
      </c>
      <c r="C459" s="10" t="n">
        <v>455</v>
      </c>
      <c r="D459" s="10" t="inlineStr">
        <is>
          <t>0601917031</t>
        </is>
      </c>
      <c r="E459" s="26" t="inlineStr">
        <is>
          <t>Region VI (Western Visayas)</t>
        </is>
      </c>
      <c r="F459" s="26" t="inlineStr">
        <is>
          <t>Capiz</t>
        </is>
      </c>
      <c r="G459" s="26" t="inlineStr">
        <is>
          <t>Tapaz</t>
        </is>
      </c>
      <c r="H459" s="26" t="inlineStr">
        <is>
          <t>Nayawan</t>
        </is>
      </c>
      <c r="I459" s="27" t="n">
        <v>11.2442</v>
      </c>
      <c r="J459" s="27" t="n">
        <v>122.4221</v>
      </c>
      <c r="K459" s="10" t="inlineStr">
        <is>
          <t>R</t>
        </is>
      </c>
      <c r="L459" s="12" t="n">
        <v>416</v>
      </c>
      <c r="M459" s="14" t="n">
        <v>3.8</v>
      </c>
      <c r="N459" s="12">
        <f>ROUND(L459/M459, 0)</f>
        <v/>
      </c>
      <c r="O459" s="12">
        <f>ROUND(N459*'Methodology &amp; Assumptions'!$B$5, 0)</f>
        <v/>
      </c>
      <c r="P459" s="10" t="inlineStr">
        <is>
          <t>Single Carrier (Band n50, 100MHz TDD)</t>
        </is>
      </c>
      <c r="Q459" s="13">
        <f>ROUNDUP(O459/'Methodology &amp; Assumptions'!$B$6, 0)</f>
        <v/>
      </c>
      <c r="R459" s="13" t="n">
        <v>1</v>
      </c>
      <c r="S459" s="14" t="n">
        <v>27.8</v>
      </c>
      <c r="T459" s="14" t="n">
        <v>14.85</v>
      </c>
      <c r="U459" s="26">
        <f>IF(X459&gt;='Methodology &amp; Assumptions'!$B$7, "Tier 1 Critical GIDA (Score ≥ 50.0)", IF(X459&gt;='Methodology &amp; Assumptions'!$B$8, "Tier 2 High GIDA (Score 40.0–49.9)", "Tier 3 Moderate GIDA (Score &lt; 40.0)"))</f>
        <v/>
      </c>
      <c r="V459" s="26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W459" s="28" t="n">
        <v>0.237</v>
      </c>
      <c r="X459" s="14" t="n">
        <v>54.26</v>
      </c>
      <c r="Y459" s="14">
        <f>ROUND(MIN(100, (X459/69.91)*100), 2)</f>
        <v/>
      </c>
    </row>
    <row r="460">
      <c r="A460" s="10" t="n">
        <v>1</v>
      </c>
      <c r="B460" s="10" t="n">
        <v>456</v>
      </c>
      <c r="C460" s="10" t="n">
        <v>456</v>
      </c>
      <c r="D460" s="10" t="inlineStr">
        <is>
          <t>0403403016</t>
        </is>
      </c>
      <c r="E460" s="26" t="inlineStr">
        <is>
          <t>Region IV-A (CALABARZON)</t>
        </is>
      </c>
      <c r="F460" s="26" t="inlineStr">
        <is>
          <t>Laguna</t>
        </is>
      </c>
      <c r="G460" s="26" t="inlineStr">
        <is>
          <t>City of Biñan</t>
        </is>
      </c>
      <c r="H460" s="26" t="inlineStr">
        <is>
          <t>Poblacion</t>
        </is>
      </c>
      <c r="I460" s="27" t="n">
        <v>14.320009</v>
      </c>
      <c r="J460" s="27" t="n">
        <v>121.066957</v>
      </c>
      <c r="K460" s="10" t="inlineStr">
        <is>
          <t>U</t>
        </is>
      </c>
      <c r="L460" s="12" t="n">
        <v>5494</v>
      </c>
      <c r="M460" s="14" t="n">
        <v>3.3</v>
      </c>
      <c r="N460" s="12">
        <f>ROUND(L460/M460, 0)</f>
        <v/>
      </c>
      <c r="O460" s="12">
        <f>ROUND(N460*'Methodology &amp; Assumptions'!$B$5, 0)</f>
        <v/>
      </c>
      <c r="P460" s="10" t="inlineStr">
        <is>
          <t>Single Carrier (Band n50, 100MHz TDD)</t>
        </is>
      </c>
      <c r="Q460" s="13">
        <f>ROUNDUP(O460/'Methodology &amp; Assumptions'!$B$6, 0)</f>
        <v/>
      </c>
      <c r="R460" s="13" t="n">
        <v>1</v>
      </c>
      <c r="S460" s="14" t="n">
        <v>0.98</v>
      </c>
      <c r="T460" s="14" t="n">
        <v>0.38</v>
      </c>
      <c r="U460" s="26">
        <f>IF(X460&gt;='Methodology &amp; Assumptions'!$B$7, "Tier 1 Critical GIDA (Score ≥ 50.0)", IF(X460&gt;='Methodology &amp; Assumptions'!$B$8, "Tier 2 High GIDA (Score 40.0–49.9)", "Tier 3 Moderate GIDA (Score &lt; 40.0)"))</f>
        <v/>
      </c>
      <c r="V460" s="26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W460" s="28" t="n">
        <v>0.07200000000000001</v>
      </c>
      <c r="X460" s="14" t="n">
        <v>54.25</v>
      </c>
      <c r="Y460" s="14">
        <f>ROUND(MIN(100, (X460/69.91)*100), 2)</f>
        <v/>
      </c>
    </row>
    <row r="461">
      <c r="A461" s="10" t="n">
        <v>1</v>
      </c>
      <c r="B461" s="10" t="n">
        <v>457</v>
      </c>
      <c r="C461" s="10" t="n">
        <v>457</v>
      </c>
      <c r="D461" s="10" t="inlineStr">
        <is>
          <t>1408103005</t>
        </is>
      </c>
      <c r="E461" s="26" t="inlineStr">
        <is>
          <t>Cordillera Administrative Region (CAR)</t>
        </is>
      </c>
      <c r="F461" s="26" t="inlineStr">
        <is>
          <t>Apayao</t>
        </is>
      </c>
      <c r="G461" s="26" t="inlineStr">
        <is>
          <t>Flora</t>
        </is>
      </c>
      <c r="H461" s="26" t="inlineStr">
        <is>
          <t>Balasi</t>
        </is>
      </c>
      <c r="I461" s="27" t="n">
        <v>18.175737</v>
      </c>
      <c r="J461" s="27" t="n">
        <v>121.402563</v>
      </c>
      <c r="K461" s="10" t="inlineStr">
        <is>
          <t>R</t>
        </is>
      </c>
      <c r="L461" s="12" t="n">
        <v>292</v>
      </c>
      <c r="M461" s="14" t="n">
        <v>4.2</v>
      </c>
      <c r="N461" s="12">
        <f>ROUND(L461/M461, 0)</f>
        <v/>
      </c>
      <c r="O461" s="12">
        <f>ROUND(N461*'Methodology &amp; Assumptions'!$B$5, 0)</f>
        <v/>
      </c>
      <c r="P461" s="10" t="inlineStr">
        <is>
          <t>Single Carrier (Band n50, 100MHz TDD)</t>
        </is>
      </c>
      <c r="Q461" s="13">
        <f>ROUNDUP(O461/'Methodology &amp; Assumptions'!$B$6, 0)</f>
        <v/>
      </c>
      <c r="R461" s="13" t="n">
        <v>1</v>
      </c>
      <c r="S461" s="14" t="n">
        <v>4.87</v>
      </c>
      <c r="T461" s="14" t="n">
        <v>4.79</v>
      </c>
      <c r="U461" s="26">
        <f>IF(X461&gt;='Methodology &amp; Assumptions'!$B$7, "Tier 1 Critical GIDA (Score ≥ 50.0)", IF(X461&gt;='Methodology &amp; Assumptions'!$B$8, "Tier 2 High GIDA (Score 40.0–49.9)", "Tier 3 Moderate GIDA (Score &lt; 40.0)"))</f>
        <v/>
      </c>
      <c r="V461" s="26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W461" s="28" t="n">
        <v>0.109</v>
      </c>
      <c r="X461" s="14" t="n">
        <v>54.22</v>
      </c>
      <c r="Y461" s="14">
        <f>ROUND(MIN(100, (X461/69.91)*100), 2)</f>
        <v/>
      </c>
    </row>
    <row r="462">
      <c r="A462" s="10" t="n">
        <v>1</v>
      </c>
      <c r="B462" s="10" t="n">
        <v>458</v>
      </c>
      <c r="C462" s="10" t="n">
        <v>458</v>
      </c>
      <c r="D462" s="10" t="inlineStr">
        <is>
          <t>1401107018</t>
        </is>
      </c>
      <c r="E462" s="26" t="inlineStr">
        <is>
          <t>Cordillera Administrative Region (CAR)</t>
        </is>
      </c>
      <c r="F462" s="26" t="inlineStr">
        <is>
          <t>Benguet</t>
        </is>
      </c>
      <c r="G462" s="26" t="inlineStr">
        <is>
          <t>Kabayan</t>
        </is>
      </c>
      <c r="H462" s="26" t="inlineStr">
        <is>
          <t>Tawangan</t>
        </is>
      </c>
      <c r="I462" s="27" t="n">
        <v>16.656513</v>
      </c>
      <c r="J462" s="27" t="n">
        <v>120.910841</v>
      </c>
      <c r="K462" s="10" t="inlineStr">
        <is>
          <t>R</t>
        </is>
      </c>
      <c r="L462" s="12" t="n">
        <v>1037</v>
      </c>
      <c r="M462" s="14" t="n">
        <v>3.5</v>
      </c>
      <c r="N462" s="12">
        <f>ROUND(L462/M462, 0)</f>
        <v/>
      </c>
      <c r="O462" s="12">
        <f>ROUND(N462*'Methodology &amp; Assumptions'!$B$5, 0)</f>
        <v/>
      </c>
      <c r="P462" s="10" t="inlineStr">
        <is>
          <t>Single Carrier (Band n50, 100MHz TDD)</t>
        </is>
      </c>
      <c r="Q462" s="13">
        <f>ROUNDUP(O462/'Methodology &amp; Assumptions'!$B$6, 0)</f>
        <v/>
      </c>
      <c r="R462" s="13" t="n">
        <v>1</v>
      </c>
      <c r="S462" s="14" t="n">
        <v>8.460000000000001</v>
      </c>
      <c r="T462" s="14" t="n">
        <v>12.97</v>
      </c>
      <c r="U462" s="26">
        <f>IF(X462&gt;='Methodology &amp; Assumptions'!$B$7, "Tier 1 Critical GIDA (Score ≥ 50.0)", IF(X462&gt;='Methodology &amp; Assumptions'!$B$8, "Tier 2 High GIDA (Score 40.0–49.9)", "Tier 3 Moderate GIDA (Score &lt; 40.0)"))</f>
        <v/>
      </c>
      <c r="V462" s="26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W462" s="28" t="n">
        <v>0.109</v>
      </c>
      <c r="X462" s="14" t="n">
        <v>54.22</v>
      </c>
      <c r="Y462" s="14">
        <f>ROUND(MIN(100, (X462/69.91)*100), 2)</f>
        <v/>
      </c>
    </row>
    <row r="463">
      <c r="A463" s="10" t="n">
        <v>1</v>
      </c>
      <c r="B463" s="10" t="n">
        <v>459</v>
      </c>
      <c r="C463" s="10" t="n">
        <v>459</v>
      </c>
      <c r="D463" s="10" t="inlineStr">
        <is>
          <t>1705320026</t>
        </is>
      </c>
      <c r="E463" s="26" t="inlineStr">
        <is>
          <t>MIMAROPA Region</t>
        </is>
      </c>
      <c r="F463" s="26" t="inlineStr">
        <is>
          <t>Palawan</t>
        </is>
      </c>
      <c r="G463" s="26" t="inlineStr">
        <is>
          <t>Taytay</t>
        </is>
      </c>
      <c r="H463" s="26" t="inlineStr">
        <is>
          <t>Baras</t>
        </is>
      </c>
      <c r="I463" s="27" t="n">
        <v>10.68092</v>
      </c>
      <c r="J463" s="27" t="n">
        <v>119.63728</v>
      </c>
      <c r="K463" s="10" t="inlineStr">
        <is>
          <t>R</t>
        </is>
      </c>
      <c r="L463" s="12" t="n">
        <v>977</v>
      </c>
      <c r="M463" s="14" t="n">
        <v>3.9</v>
      </c>
      <c r="N463" s="12">
        <f>ROUND(L463/M463, 0)</f>
        <v/>
      </c>
      <c r="O463" s="12">
        <f>ROUND(N463*'Methodology &amp; Assumptions'!$B$5, 0)</f>
        <v/>
      </c>
      <c r="P463" s="10" t="inlineStr">
        <is>
          <t>Single Carrier (Band n50, 100MHz TDD)</t>
        </is>
      </c>
      <c r="Q463" s="13">
        <f>ROUNDUP(O463/'Methodology &amp; Assumptions'!$B$6, 0)</f>
        <v/>
      </c>
      <c r="R463" s="13" t="n">
        <v>1</v>
      </c>
      <c r="S463" s="14" t="n">
        <v>7.37</v>
      </c>
      <c r="T463" s="14" t="n">
        <v>16</v>
      </c>
      <c r="U463" s="26">
        <f>IF(X463&gt;='Methodology &amp; Assumptions'!$B$7, "Tier 1 Critical GIDA (Score ≥ 50.0)", IF(X463&gt;='Methodology &amp; Assumptions'!$B$8, "Tier 2 High GIDA (Score 40.0–49.9)", "Tier 3 Moderate GIDA (Score &lt; 40.0)"))</f>
        <v/>
      </c>
      <c r="V463" s="26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W463" s="28" t="n">
        <v>0.15</v>
      </c>
      <c r="X463" s="14" t="n">
        <v>54.2</v>
      </c>
      <c r="Y463" s="14">
        <f>ROUND(MIN(100, (X463/69.91)*100), 2)</f>
        <v/>
      </c>
    </row>
    <row r="464">
      <c r="A464" s="10" t="n">
        <v>1</v>
      </c>
      <c r="B464" s="10" t="n">
        <v>460</v>
      </c>
      <c r="C464" s="10" t="n">
        <v>460</v>
      </c>
      <c r="D464" s="10" t="inlineStr">
        <is>
          <t>0806002012</t>
        </is>
      </c>
      <c r="E464" s="26" t="inlineStr">
        <is>
          <t>Region VIII (Eastern Visayas)</t>
        </is>
      </c>
      <c r="F464" s="26" t="inlineStr">
        <is>
          <t>Samar</t>
        </is>
      </c>
      <c r="G464" s="26" t="inlineStr">
        <is>
          <t>Basey</t>
        </is>
      </c>
      <c r="H464" s="26" t="inlineStr">
        <is>
          <t>Catadman</t>
        </is>
      </c>
      <c r="I464" s="27" t="n">
        <v>11.27023</v>
      </c>
      <c r="J464" s="27" t="n">
        <v>125.15439</v>
      </c>
      <c r="K464" s="10" t="inlineStr">
        <is>
          <t>R</t>
        </is>
      </c>
      <c r="L464" s="12" t="n">
        <v>679</v>
      </c>
      <c r="M464" s="14" t="n">
        <v>4.1</v>
      </c>
      <c r="N464" s="12">
        <f>ROUND(L464/M464, 0)</f>
        <v/>
      </c>
      <c r="O464" s="12">
        <f>ROUND(N464*'Methodology &amp; Assumptions'!$B$5, 0)</f>
        <v/>
      </c>
      <c r="P464" s="10" t="inlineStr">
        <is>
          <t>Single Carrier (Band n50, 100MHz TDD)</t>
        </is>
      </c>
      <c r="Q464" s="13">
        <f>ROUNDUP(O464/'Methodology &amp; Assumptions'!$B$6, 0)</f>
        <v/>
      </c>
      <c r="R464" s="13" t="n">
        <v>1</v>
      </c>
      <c r="S464" s="14" t="n">
        <v>16.92</v>
      </c>
      <c r="T464" s="14" t="n">
        <v>16.31</v>
      </c>
      <c r="U464" s="26">
        <f>IF(X464&gt;='Methodology &amp; Assumptions'!$B$7, "Tier 1 Critical GIDA (Score ≥ 50.0)", IF(X464&gt;='Methodology &amp; Assumptions'!$B$8, "Tier 2 High GIDA (Score 40.0–49.9)", "Tier 3 Moderate GIDA (Score &lt; 40.0)"))</f>
        <v/>
      </c>
      <c r="V464" s="26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W464" s="28" t="n">
        <v>0.237</v>
      </c>
      <c r="X464" s="14" t="n">
        <v>54.19</v>
      </c>
      <c r="Y464" s="14">
        <f>ROUND(MIN(100, (X464/69.91)*100), 2)</f>
        <v/>
      </c>
    </row>
    <row r="465">
      <c r="A465" s="10" t="n">
        <v>1</v>
      </c>
      <c r="B465" s="10" t="n">
        <v>461</v>
      </c>
      <c r="C465" s="10" t="n">
        <v>461</v>
      </c>
      <c r="D465" s="10" t="inlineStr">
        <is>
          <t>1381400014</t>
        </is>
      </c>
      <c r="E465" s="26" t="inlineStr">
        <is>
          <t>National Capital Region (NCR)</t>
        </is>
      </c>
      <c r="F465" s="26" t="inlineStr">
        <is>
          <t>Second District (Not a Province)</t>
        </is>
      </c>
      <c r="G465" s="26" t="inlineStr">
        <is>
          <t>City of San Juan</t>
        </is>
      </c>
      <c r="H465" s="26" t="inlineStr">
        <is>
          <t>Progreso</t>
        </is>
      </c>
      <c r="I465" s="27" t="n">
        <v>14.608984</v>
      </c>
      <c r="J465" s="27" t="n">
        <v>121.036002</v>
      </c>
      <c r="K465" s="10" t="inlineStr">
        <is>
          <t>U</t>
        </is>
      </c>
      <c r="L465" s="12" t="n">
        <v>1774</v>
      </c>
      <c r="M465" s="14" t="n">
        <v>3.6</v>
      </c>
      <c r="N465" s="12">
        <f>ROUND(L465/M465, 0)</f>
        <v/>
      </c>
      <c r="O465" s="12">
        <f>ROUND(N465*'Methodology &amp; Assumptions'!$B$5, 0)</f>
        <v/>
      </c>
      <c r="P465" s="10" t="inlineStr">
        <is>
          <t>Single Carrier (Band n50, 100MHz TDD)</t>
        </is>
      </c>
      <c r="Q465" s="13">
        <f>ROUNDUP(O465/'Methodology &amp; Assumptions'!$B$6, 0)</f>
        <v/>
      </c>
      <c r="R465" s="13" t="n">
        <v>1</v>
      </c>
      <c r="S465" s="14" t="n">
        <v>2.2</v>
      </c>
      <c r="T465" s="14" t="n">
        <v>0.37</v>
      </c>
      <c r="U465" s="26">
        <f>IF(X465&gt;='Methodology &amp; Assumptions'!$B$7, "Tier 1 Critical GIDA (Score ≥ 50.0)", IF(X465&gt;='Methodology &amp; Assumptions'!$B$8, "Tier 2 High GIDA (Score 40.0–49.9)", "Tier 3 Moderate GIDA (Score &lt; 40.0)"))</f>
        <v/>
      </c>
      <c r="V465" s="26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W465" s="28" t="n">
        <v>0.109</v>
      </c>
      <c r="X465" s="14" t="n">
        <v>54.19</v>
      </c>
      <c r="Y465" s="14">
        <f>ROUND(MIN(100, (X465/69.91)*100), 2)</f>
        <v/>
      </c>
    </row>
    <row r="466">
      <c r="A466" s="10" t="n">
        <v>1</v>
      </c>
      <c r="B466" s="10" t="n">
        <v>462</v>
      </c>
      <c r="C466" s="10" t="n">
        <v>462</v>
      </c>
      <c r="D466" s="10" t="inlineStr">
        <is>
          <t>PH0000462</t>
        </is>
      </c>
      <c r="E466" s="26" t="inlineStr">
        <is>
          <t>IV-A</t>
        </is>
      </c>
      <c r="F466" s="26" t="inlineStr">
        <is>
          <t>Batangas</t>
        </is>
      </c>
      <c r="G466" s="26" t="inlineStr">
        <is>
          <t>Lipa City</t>
        </is>
      </c>
      <c r="H466" s="26" t="inlineStr">
        <is>
          <t>Poblacion Barangay 6</t>
        </is>
      </c>
      <c r="I466" s="27" t="n">
        <v>13.932815</v>
      </c>
      <c r="J466" s="27" t="n">
        <v>121.150454</v>
      </c>
      <c r="K466" s="10" t="inlineStr">
        <is>
          <t>R</t>
        </is>
      </c>
      <c r="L466" s="12" t="n">
        <v>2259</v>
      </c>
      <c r="M466" s="14" t="n">
        <v>3.6</v>
      </c>
      <c r="N466" s="12">
        <f>ROUND(L466/M466, 0)</f>
        <v/>
      </c>
      <c r="O466" s="12">
        <f>ROUND(N466*'Methodology &amp; Assumptions'!$B$5, 0)</f>
        <v/>
      </c>
      <c r="P466" s="10" t="inlineStr">
        <is>
          <t>Single Carrier (Band n50, 100MHz TDD)</t>
        </is>
      </c>
      <c r="Q466" s="13">
        <f>ROUNDUP(O466/'Methodology &amp; Assumptions'!$B$6, 0)</f>
        <v/>
      </c>
      <c r="R466" s="13" t="n">
        <v>1</v>
      </c>
      <c r="S466" s="14" t="n">
        <v>2.14</v>
      </c>
      <c r="T466" s="14" t="n">
        <v>0.29</v>
      </c>
      <c r="U466" s="26">
        <f>IF(X466&gt;='Methodology &amp; Assumptions'!$B$7, "Tier 1 Critical GIDA (Score ≥ 50.0)", IF(X466&gt;='Methodology &amp; Assumptions'!$B$8, "Tier 2 High GIDA (Score 40.0–49.9)", "Tier 3 Moderate GIDA (Score &lt; 40.0)"))</f>
        <v/>
      </c>
      <c r="V466" s="26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W466" s="28" t="n">
        <v>0.07200000000000001</v>
      </c>
      <c r="X466" s="14" t="n">
        <v>54.18</v>
      </c>
      <c r="Y466" s="14">
        <f>ROUND(MIN(100, (X466/69.91)*100), 2)</f>
        <v/>
      </c>
    </row>
    <row r="467">
      <c r="A467" s="10" t="n">
        <v>1</v>
      </c>
      <c r="B467" s="10" t="n">
        <v>463</v>
      </c>
      <c r="C467" s="10" t="n">
        <v>463</v>
      </c>
      <c r="D467" s="10" t="inlineStr">
        <is>
          <t>0105536016</t>
        </is>
      </c>
      <c r="E467" s="26" t="inlineStr">
        <is>
          <t>Region I (Ilocos Region)</t>
        </is>
      </c>
      <c r="F467" s="26" t="inlineStr">
        <is>
          <t>Pangasinan</t>
        </is>
      </c>
      <c r="G467" s="26" t="inlineStr">
        <is>
          <t>San Nicolas</t>
        </is>
      </c>
      <c r="H467" s="26" t="inlineStr">
        <is>
          <t>Malico</t>
        </is>
      </c>
      <c r="I467" s="27" t="n">
        <v>16.175885</v>
      </c>
      <c r="J467" s="27" t="n">
        <v>120.868243</v>
      </c>
      <c r="K467" s="10" t="inlineStr">
        <is>
          <t>R</t>
        </is>
      </c>
      <c r="L467" s="12" t="n">
        <v>351</v>
      </c>
      <c r="M467" s="14" t="n">
        <v>3.6</v>
      </c>
      <c r="N467" s="12">
        <f>ROUND(L467/M467, 0)</f>
        <v/>
      </c>
      <c r="O467" s="12">
        <f>ROUND(N467*'Methodology &amp; Assumptions'!$B$5, 0)</f>
        <v/>
      </c>
      <c r="P467" s="10" t="inlineStr">
        <is>
          <t>Single Carrier (Band n50, 100MHz TDD)</t>
        </is>
      </c>
      <c r="Q467" s="13">
        <f>ROUNDUP(O467/'Methodology &amp; Assumptions'!$B$6, 0)</f>
        <v/>
      </c>
      <c r="R467" s="13" t="n">
        <v>1</v>
      </c>
      <c r="S467" s="14" t="n">
        <v>7.67</v>
      </c>
      <c r="T467" s="14" t="n">
        <v>7.41</v>
      </c>
      <c r="U467" s="26">
        <f>IF(X467&gt;='Methodology &amp; Assumptions'!$B$7, "Tier 1 Critical GIDA (Score ≥ 50.0)", IF(X467&gt;='Methodology &amp; Assumptions'!$B$8, "Tier 2 High GIDA (Score 40.0–49.9)", "Tier 3 Moderate GIDA (Score &lt; 40.0)"))</f>
        <v/>
      </c>
      <c r="V467" s="26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W467" s="28" t="n">
        <v>0.083</v>
      </c>
      <c r="X467" s="14" t="n">
        <v>54.16</v>
      </c>
      <c r="Y467" s="14">
        <f>ROUND(MIN(100, (X467/69.91)*100), 2)</f>
        <v/>
      </c>
    </row>
    <row r="468">
      <c r="A468" s="10" t="n">
        <v>1</v>
      </c>
      <c r="B468" s="10" t="n">
        <v>464</v>
      </c>
      <c r="C468" s="10" t="n">
        <v>464</v>
      </c>
      <c r="D468" s="10" t="inlineStr">
        <is>
          <t>0203110002</t>
        </is>
      </c>
      <c r="E468" s="26" t="inlineStr">
        <is>
          <t>Region II (Cagayan Valley)</t>
        </is>
      </c>
      <c r="F468" s="26" t="inlineStr">
        <is>
          <t>Isabela</t>
        </is>
      </c>
      <c r="G468" s="26" t="inlineStr">
        <is>
          <t>Dinapigue</t>
        </is>
      </c>
      <c r="H468" s="26" t="inlineStr">
        <is>
          <t>Bucal Sur</t>
        </is>
      </c>
      <c r="I468" s="27" t="n">
        <v>16.54103</v>
      </c>
      <c r="J468" s="27" t="n">
        <v>122.26437</v>
      </c>
      <c r="K468" s="10" t="inlineStr">
        <is>
          <t>R</t>
        </is>
      </c>
      <c r="L468" s="12" t="n">
        <v>891</v>
      </c>
      <c r="M468" s="14" t="n">
        <v>3.8</v>
      </c>
      <c r="N468" s="12">
        <f>ROUND(L468/M468, 0)</f>
        <v/>
      </c>
      <c r="O468" s="12">
        <f>ROUND(N468*'Methodology &amp; Assumptions'!$B$5, 0)</f>
        <v/>
      </c>
      <c r="P468" s="10" t="inlineStr">
        <is>
          <t>Single Carrier (Band n50, 100MHz TDD)</t>
        </is>
      </c>
      <c r="Q468" s="13">
        <f>ROUNDUP(O468/'Methodology &amp; Assumptions'!$B$6, 0)</f>
        <v/>
      </c>
      <c r="R468" s="13" t="n">
        <v>1</v>
      </c>
      <c r="S468" s="14" t="n">
        <v>1.72</v>
      </c>
      <c r="T468" s="14" t="n">
        <v>1.94</v>
      </c>
      <c r="U468" s="26">
        <f>IF(X468&gt;='Methodology &amp; Assumptions'!$B$7, "Tier 1 Critical GIDA (Score ≥ 50.0)", IF(X468&gt;='Methodology &amp; Assumptions'!$B$8, "Tier 2 High GIDA (Score 40.0–49.9)", "Tier 3 Moderate GIDA (Score &lt; 40.0)"))</f>
        <v/>
      </c>
      <c r="V468" s="26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W468" s="28" t="n">
        <v>0.083</v>
      </c>
      <c r="X468" s="14" t="n">
        <v>54.15</v>
      </c>
      <c r="Y468" s="14">
        <f>ROUND(MIN(100, (X468/69.91)*100), 2)</f>
        <v/>
      </c>
    </row>
    <row r="469">
      <c r="A469" s="10" t="n">
        <v>1</v>
      </c>
      <c r="B469" s="10" t="n">
        <v>465</v>
      </c>
      <c r="C469" s="10" t="n">
        <v>465</v>
      </c>
      <c r="D469" s="10" t="inlineStr">
        <is>
          <t>1380900018</t>
        </is>
      </c>
      <c r="E469" s="26" t="inlineStr">
        <is>
          <t>National Capital Region (NCR)</t>
        </is>
      </c>
      <c r="F469" s="26" t="inlineStr">
        <is>
          <t>Third District (Not a Province)</t>
        </is>
      </c>
      <c r="G469" s="26" t="inlineStr">
        <is>
          <t>City of Navotas</t>
        </is>
      </c>
      <c r="H469" s="26" t="inlineStr">
        <is>
          <t>Tanza 2</t>
        </is>
      </c>
      <c r="I469" s="27" t="n">
        <v>14.654898</v>
      </c>
      <c r="J469" s="27" t="n">
        <v>120.949927</v>
      </c>
      <c r="K469" s="10" t="inlineStr">
        <is>
          <t>U</t>
        </is>
      </c>
      <c r="L469" s="12" t="n">
        <v>15975</v>
      </c>
      <c r="M469" s="14" t="n">
        <v>3.4</v>
      </c>
      <c r="N469" s="12">
        <f>ROUND(L469/M469, 0)</f>
        <v/>
      </c>
      <c r="O469" s="12">
        <f>ROUND(N469*'Methodology &amp; Assumptions'!$B$5, 0)</f>
        <v/>
      </c>
      <c r="P469" s="10" t="inlineStr">
        <is>
          <t>Single Carrier (Band n50, 100MHz TDD)</t>
        </is>
      </c>
      <c r="Q469" s="13">
        <f>ROUNDUP(O469/'Methodology &amp; Assumptions'!$B$6, 0)</f>
        <v/>
      </c>
      <c r="R469" s="13" t="n">
        <v>1</v>
      </c>
      <c r="S469" s="14" t="n">
        <v>0.39</v>
      </c>
      <c r="T469" s="14" t="n">
        <v>0.5</v>
      </c>
      <c r="U469" s="26">
        <f>IF(X469&gt;='Methodology &amp; Assumptions'!$B$7, "Tier 1 Critical GIDA (Score ≥ 50.0)", IF(X469&gt;='Methodology &amp; Assumptions'!$B$8, "Tier 2 High GIDA (Score 40.0–49.9)", "Tier 3 Moderate GIDA (Score &lt; 40.0)"))</f>
        <v/>
      </c>
      <c r="V469" s="26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W469" s="28" t="n">
        <v>0.109</v>
      </c>
      <c r="X469" s="14" t="n">
        <v>54.15</v>
      </c>
      <c r="Y469" s="14">
        <f>ROUND(MIN(100, (X469/69.91)*100), 2)</f>
        <v/>
      </c>
    </row>
    <row r="470">
      <c r="A470" s="10" t="n">
        <v>1</v>
      </c>
      <c r="B470" s="10" t="n">
        <v>466</v>
      </c>
      <c r="C470" s="10" t="n">
        <v>466</v>
      </c>
      <c r="D470" s="10" t="inlineStr">
        <is>
          <t>PH0000466</t>
        </is>
      </c>
      <c r="E470" s="26" t="inlineStr">
        <is>
          <t>NIR</t>
        </is>
      </c>
      <c r="F470" s="26" t="inlineStr">
        <is>
          <t>Negros Occidental</t>
        </is>
      </c>
      <c r="G470" s="26" t="inlineStr">
        <is>
          <t>Bacolod City</t>
        </is>
      </c>
      <c r="H470" s="26" t="inlineStr">
        <is>
          <t>Barangay 9 (Pob.)</t>
        </is>
      </c>
      <c r="I470" s="27" t="n">
        <v>10.671996</v>
      </c>
      <c r="J470" s="27" t="n">
        <v>122.988814</v>
      </c>
      <c r="K470" s="10" t="inlineStr">
        <is>
          <t>R</t>
        </is>
      </c>
      <c r="L470" s="12" t="n">
        <v>2279</v>
      </c>
      <c r="M470" s="14" t="n">
        <v>3.8</v>
      </c>
      <c r="N470" s="12">
        <f>ROUND(L470/M470, 0)</f>
        <v/>
      </c>
      <c r="O470" s="12">
        <f>ROUND(N470*'Methodology &amp; Assumptions'!$B$5, 0)</f>
        <v/>
      </c>
      <c r="P470" s="10" t="inlineStr">
        <is>
          <t>Single Carrier (Band n50, 100MHz TDD)</t>
        </is>
      </c>
      <c r="Q470" s="13">
        <f>ROUNDUP(O470/'Methodology &amp; Assumptions'!$B$6, 0)</f>
        <v/>
      </c>
      <c r="R470" s="13" t="n">
        <v>1</v>
      </c>
      <c r="S470" s="14" t="n">
        <v>4.03</v>
      </c>
      <c r="T470" s="14" t="n">
        <v>1.52</v>
      </c>
      <c r="U470" s="26">
        <f>IF(X470&gt;='Methodology &amp; Assumptions'!$B$7, "Tier 1 Critical GIDA (Score ≥ 50.0)", IF(X470&gt;='Methodology &amp; Assumptions'!$B$8, "Tier 2 High GIDA (Score 40.0–49.9)", "Tier 3 Moderate GIDA (Score &lt; 40.0)"))</f>
        <v/>
      </c>
      <c r="V470" s="26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W470" s="28" t="n">
        <v>0.109</v>
      </c>
      <c r="X470" s="14" t="n">
        <v>54.15</v>
      </c>
      <c r="Y470" s="14">
        <f>ROUND(MIN(100, (X470/69.91)*100), 2)</f>
        <v/>
      </c>
    </row>
    <row r="471">
      <c r="A471" s="10" t="n">
        <v>1</v>
      </c>
      <c r="B471" s="10" t="n">
        <v>467</v>
      </c>
      <c r="C471" s="10" t="n">
        <v>467</v>
      </c>
      <c r="D471" s="10" t="inlineStr">
        <is>
          <t>1906613047</t>
        </is>
      </c>
      <c r="E471" s="26" t="inlineStr">
        <is>
          <t>Bangsamoro Autonomous Region In Muslim Mindanao (BARMM)</t>
        </is>
      </c>
      <c r="F471" s="26" t="inlineStr">
        <is>
          <t>Sulu</t>
        </is>
      </c>
      <c r="G471" s="26" t="inlineStr">
        <is>
          <t>Talipao</t>
        </is>
      </c>
      <c r="H471" s="26" t="inlineStr">
        <is>
          <t>Samak</t>
        </is>
      </c>
      <c r="I471" s="27" t="n">
        <v>17.255443</v>
      </c>
      <c r="J471" s="27" t="n">
        <v>122.229487</v>
      </c>
      <c r="K471" s="10" t="inlineStr">
        <is>
          <t>R</t>
        </is>
      </c>
      <c r="L471" s="12" t="n">
        <v>1990</v>
      </c>
      <c r="M471" s="14" t="n">
        <v>6</v>
      </c>
      <c r="N471" s="12">
        <f>ROUND(L471/M471, 0)</f>
        <v/>
      </c>
      <c r="O471" s="12">
        <f>ROUND(N471*'Methodology &amp; Assumptions'!$B$5, 0)</f>
        <v/>
      </c>
      <c r="P471" s="10" t="inlineStr">
        <is>
          <t>Single Carrier (Band n50, 100MHz TDD)</t>
        </is>
      </c>
      <c r="Q471" s="13">
        <f>ROUNDUP(O471/'Methodology &amp; Assumptions'!$B$6, 0)</f>
        <v/>
      </c>
      <c r="R471" s="13" t="n">
        <v>1</v>
      </c>
      <c r="S471" s="14" t="n">
        <v>29.51</v>
      </c>
      <c r="T471" s="14" t="n">
        <v>34.38</v>
      </c>
      <c r="U471" s="26">
        <f>IF(X471&gt;='Methodology &amp; Assumptions'!$B$7, "Tier 1 Critical GIDA (Score ≥ 50.0)", IF(X471&gt;='Methodology &amp; Assumptions'!$B$8, "Tier 2 High GIDA (Score 40.0–49.9)", "Tier 3 Moderate GIDA (Score &lt; 40.0)"))</f>
        <v/>
      </c>
      <c r="V471" s="26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W471" s="28" t="n">
        <v>0.11</v>
      </c>
      <c r="X471" s="14" t="n">
        <v>54.11</v>
      </c>
      <c r="Y471" s="14">
        <f>ROUND(MIN(100, (X471/69.91)*100), 2)</f>
        <v/>
      </c>
    </row>
    <row r="472">
      <c r="A472" s="10" t="n">
        <v>1</v>
      </c>
      <c r="B472" s="10" t="n">
        <v>468</v>
      </c>
      <c r="C472" s="10" t="n">
        <v>468</v>
      </c>
      <c r="D472" s="10" t="inlineStr">
        <is>
          <t>1403215001</t>
        </is>
      </c>
      <c r="E472" s="26" t="inlineStr">
        <is>
          <t>Cordillera Administrative Region (CAR)</t>
        </is>
      </c>
      <c r="F472" s="26" t="inlineStr">
        <is>
          <t>Kalinga</t>
        </is>
      </c>
      <c r="G472" s="26" t="inlineStr">
        <is>
          <t>Tinglayan</t>
        </is>
      </c>
      <c r="H472" s="26" t="inlineStr">
        <is>
          <t>Ambato Legleg</t>
        </is>
      </c>
      <c r="I472" s="27" t="n">
        <v>17.271925</v>
      </c>
      <c r="J472" s="27" t="n">
        <v>121.156195</v>
      </c>
      <c r="K472" s="10" t="inlineStr">
        <is>
          <t>R</t>
        </is>
      </c>
      <c r="L472" s="12" t="n">
        <v>410</v>
      </c>
      <c r="M472" s="14" t="n">
        <v>4.3</v>
      </c>
      <c r="N472" s="12">
        <f>ROUND(L472/M472, 0)</f>
        <v/>
      </c>
      <c r="O472" s="12">
        <f>ROUND(N472*'Methodology &amp; Assumptions'!$B$5, 0)</f>
        <v/>
      </c>
      <c r="P472" s="10" t="inlineStr">
        <is>
          <t>Single Carrier (Band n50, 100MHz TDD)</t>
        </is>
      </c>
      <c r="Q472" s="13">
        <f>ROUNDUP(O472/'Methodology &amp; Assumptions'!$B$6, 0)</f>
        <v/>
      </c>
      <c r="R472" s="13" t="n">
        <v>1</v>
      </c>
      <c r="S472" s="14" t="n">
        <v>1.19</v>
      </c>
      <c r="T472" s="14" t="n">
        <v>0.25</v>
      </c>
      <c r="U472" s="26">
        <f>IF(X472&gt;='Methodology &amp; Assumptions'!$B$7, "Tier 1 Critical GIDA (Score ≥ 50.0)", IF(X472&gt;='Methodology &amp; Assumptions'!$B$8, "Tier 2 High GIDA (Score 40.0–49.9)", "Tier 3 Moderate GIDA (Score &lt; 40.0)"))</f>
        <v/>
      </c>
      <c r="V472" s="26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W472" s="28" t="n">
        <v>0.109</v>
      </c>
      <c r="X472" s="14" t="n">
        <v>54.1</v>
      </c>
      <c r="Y472" s="14">
        <f>ROUND(MIN(100, (X472/69.91)*100), 2)</f>
        <v/>
      </c>
    </row>
    <row r="473">
      <c r="A473" s="10" t="n">
        <v>1</v>
      </c>
      <c r="B473" s="10" t="n">
        <v>469</v>
      </c>
      <c r="C473" s="10" t="n">
        <v>469</v>
      </c>
      <c r="D473" s="10" t="inlineStr">
        <is>
          <t>1402701009</t>
        </is>
      </c>
      <c r="E473" s="26" t="inlineStr">
        <is>
          <t>Cordillera Administrative Region (CAR)</t>
        </is>
      </c>
      <c r="F473" s="26" t="inlineStr">
        <is>
          <t>Ifugao</t>
        </is>
      </c>
      <c r="G473" s="26" t="inlineStr">
        <is>
          <t>Banaue</t>
        </is>
      </c>
      <c r="H473" s="26" t="inlineStr">
        <is>
          <t>Cambulo</t>
        </is>
      </c>
      <c r="I473" s="27" t="n">
        <v>16.951979</v>
      </c>
      <c r="J473" s="27" t="n">
        <v>121.128114</v>
      </c>
      <c r="K473" s="10" t="inlineStr">
        <is>
          <t>R</t>
        </is>
      </c>
      <c r="L473" s="12" t="n">
        <v>1156</v>
      </c>
      <c r="M473" s="14" t="n">
        <v>3.9</v>
      </c>
      <c r="N473" s="12">
        <f>ROUND(L473/M473, 0)</f>
        <v/>
      </c>
      <c r="O473" s="12">
        <f>ROUND(N473*'Methodology &amp; Assumptions'!$B$5, 0)</f>
        <v/>
      </c>
      <c r="P473" s="10" t="inlineStr">
        <is>
          <t>Single Carrier (Band n50, 100MHz TDD)</t>
        </is>
      </c>
      <c r="Q473" s="13">
        <f>ROUNDUP(O473/'Methodology &amp; Assumptions'!$B$6, 0)</f>
        <v/>
      </c>
      <c r="R473" s="13" t="n">
        <v>1</v>
      </c>
      <c r="S473" s="14" t="n">
        <v>6.19</v>
      </c>
      <c r="T473" s="14" t="n">
        <v>7.73</v>
      </c>
      <c r="U473" s="26">
        <f>IF(X473&gt;='Methodology &amp; Assumptions'!$B$7, "Tier 1 Critical GIDA (Score ≥ 50.0)", IF(X473&gt;='Methodology &amp; Assumptions'!$B$8, "Tier 2 High GIDA (Score 40.0–49.9)", "Tier 3 Moderate GIDA (Score &lt; 40.0)"))</f>
        <v/>
      </c>
      <c r="V473" s="26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W473" s="28" t="n">
        <v>0.109</v>
      </c>
      <c r="X473" s="14" t="n">
        <v>54.09</v>
      </c>
      <c r="Y473" s="14">
        <f>ROUND(MIN(100, (X473/69.91)*100), 2)</f>
        <v/>
      </c>
    </row>
    <row r="474">
      <c r="A474" s="10" t="n">
        <v>1</v>
      </c>
      <c r="B474" s="10" t="n">
        <v>470</v>
      </c>
      <c r="C474" s="10" t="n">
        <v>470</v>
      </c>
      <c r="D474" s="10" t="inlineStr">
        <is>
          <t>0701230015</t>
        </is>
      </c>
      <c r="E474" s="26" t="inlineStr">
        <is>
          <t>Region VII (Central Visayas)</t>
        </is>
      </c>
      <c r="F474" s="26" t="inlineStr">
        <is>
          <t>Bohol</t>
        </is>
      </c>
      <c r="G474" s="26" t="inlineStr">
        <is>
          <t>Loon</t>
        </is>
      </c>
      <c r="H474" s="26" t="inlineStr">
        <is>
          <t>Cabadug</t>
        </is>
      </c>
      <c r="I474" s="27" t="n">
        <v>9.819202000000001</v>
      </c>
      <c r="J474" s="27" t="n">
        <v>123.818927</v>
      </c>
      <c r="K474" s="10" t="inlineStr">
        <is>
          <t>R</t>
        </is>
      </c>
      <c r="L474" s="12" t="n">
        <v>320</v>
      </c>
      <c r="M474" s="14" t="n">
        <v>4</v>
      </c>
      <c r="N474" s="12">
        <f>ROUND(L474/M474, 0)</f>
        <v/>
      </c>
      <c r="O474" s="12">
        <f>ROUND(N474*'Methodology &amp; Assumptions'!$B$5, 0)</f>
        <v/>
      </c>
      <c r="P474" s="10" t="inlineStr">
        <is>
          <t>Single Carrier (Band n50, 100MHz TDD)</t>
        </is>
      </c>
      <c r="Q474" s="13">
        <f>ROUNDUP(O474/'Methodology &amp; Assumptions'!$B$6, 0)</f>
        <v/>
      </c>
      <c r="R474" s="13" t="n">
        <v>1</v>
      </c>
      <c r="S474" s="14" t="n">
        <v>2.77</v>
      </c>
      <c r="T474" s="14" t="n">
        <v>1.74</v>
      </c>
      <c r="U474" s="26">
        <f>IF(X474&gt;='Methodology &amp; Assumptions'!$B$7, "Tier 1 Critical GIDA (Score ≥ 50.0)", IF(X474&gt;='Methodology &amp; Assumptions'!$B$8, "Tier 2 High GIDA (Score 40.0–49.9)", "Tier 3 Moderate GIDA (Score &lt; 40.0)"))</f>
        <v/>
      </c>
      <c r="V474" s="26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W474" s="28" t="n">
        <v>0.237</v>
      </c>
      <c r="X474" s="14" t="n">
        <v>54.07</v>
      </c>
      <c r="Y474" s="14">
        <f>ROUND(MIN(100, (X474/69.91)*100), 2)</f>
        <v/>
      </c>
    </row>
    <row r="475">
      <c r="A475" s="10" t="n">
        <v>1</v>
      </c>
      <c r="B475" s="10" t="n">
        <v>471</v>
      </c>
      <c r="C475" s="10" t="n">
        <v>471</v>
      </c>
      <c r="D475" s="10" t="inlineStr">
        <is>
          <t>PH0000471</t>
        </is>
      </c>
      <c r="E475" s="26" t="inlineStr">
        <is>
          <t>NIR</t>
        </is>
      </c>
      <c r="F475" s="26" t="inlineStr">
        <is>
          <t>Negros Occidental</t>
        </is>
      </c>
      <c r="G475" s="26" t="inlineStr">
        <is>
          <t>Bacolod City</t>
        </is>
      </c>
      <c r="H475" s="26" t="inlineStr">
        <is>
          <t>Barangay 28 (Pob.)</t>
        </is>
      </c>
      <c r="I475" s="27" t="n">
        <v>10.666125</v>
      </c>
      <c r="J475" s="27" t="n">
        <v>122.951992</v>
      </c>
      <c r="K475" s="10" t="inlineStr">
        <is>
          <t>R</t>
        </is>
      </c>
      <c r="L475" s="12" t="n">
        <v>2279</v>
      </c>
      <c r="M475" s="14" t="n">
        <v>3.8</v>
      </c>
      <c r="N475" s="12">
        <f>ROUND(L475/M475, 0)</f>
        <v/>
      </c>
      <c r="O475" s="12">
        <f>ROUND(N475*'Methodology &amp; Assumptions'!$B$5, 0)</f>
        <v/>
      </c>
      <c r="P475" s="10" t="inlineStr">
        <is>
          <t>Single Carrier (Band n50, 100MHz TDD)</t>
        </is>
      </c>
      <c r="Q475" s="13">
        <f>ROUNDUP(O475/'Methodology &amp; Assumptions'!$B$6, 0)</f>
        <v/>
      </c>
      <c r="R475" s="13" t="n">
        <v>1</v>
      </c>
      <c r="S475" s="14" t="n">
        <v>0.09</v>
      </c>
      <c r="T475" s="14" t="n">
        <v>0.36</v>
      </c>
      <c r="U475" s="26">
        <f>IF(X475&gt;='Methodology &amp; Assumptions'!$B$7, "Tier 1 Critical GIDA (Score ≥ 50.0)", IF(X475&gt;='Methodology &amp; Assumptions'!$B$8, "Tier 2 High GIDA (Score 40.0–49.9)", "Tier 3 Moderate GIDA (Score &lt; 40.0)"))</f>
        <v/>
      </c>
      <c r="V475" s="26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W475" s="28" t="n">
        <v>0.109</v>
      </c>
      <c r="X475" s="14" t="n">
        <v>54.06</v>
      </c>
      <c r="Y475" s="14">
        <f>ROUND(MIN(100, (X475/69.91)*100), 2)</f>
        <v/>
      </c>
    </row>
    <row r="476">
      <c r="A476" s="10" t="n">
        <v>1</v>
      </c>
      <c r="B476" s="10" t="n">
        <v>472</v>
      </c>
      <c r="C476" s="10" t="n">
        <v>472</v>
      </c>
      <c r="D476" s="10" t="inlineStr">
        <is>
          <t>1380606202</t>
        </is>
      </c>
      <c r="E476" s="26" t="inlineStr">
        <is>
          <t>National Capital Region (NCR)</t>
        </is>
      </c>
      <c r="F476" s="26" t="inlineStr">
        <is>
          <t>First District (Not a Province)</t>
        </is>
      </c>
      <c r="G476" s="26" t="inlineStr">
        <is>
          <t>City of Manila</t>
        </is>
      </c>
      <c r="H476" s="26" t="inlineStr">
        <is>
          <t>Barangay 595</t>
        </is>
      </c>
      <c r="I476" s="27" t="n">
        <v>12.961581</v>
      </c>
      <c r="J476" s="27" t="n">
        <v>121.808792</v>
      </c>
      <c r="K476" s="10" t="inlineStr">
        <is>
          <t>U</t>
        </is>
      </c>
      <c r="L476" s="12" t="n">
        <v>4325</v>
      </c>
      <c r="M476" s="14" t="n">
        <v>3.9</v>
      </c>
      <c r="N476" s="12">
        <f>ROUND(L476/M476, 0)</f>
        <v/>
      </c>
      <c r="O476" s="12">
        <f>ROUND(N476*'Methodology &amp; Assumptions'!$B$5, 0)</f>
        <v/>
      </c>
      <c r="P476" s="10" t="inlineStr">
        <is>
          <t>Single Carrier (Band n50, 100MHz TDD)</t>
        </is>
      </c>
      <c r="Q476" s="13">
        <f>ROUNDUP(O476/'Methodology &amp; Assumptions'!$B$6, 0)</f>
        <v/>
      </c>
      <c r="R476" s="13" t="n">
        <v>1</v>
      </c>
      <c r="S476" s="14" t="n">
        <v>34.67</v>
      </c>
      <c r="T476" s="14" t="n">
        <v>35.89</v>
      </c>
      <c r="U476" s="26">
        <f>IF(X476&gt;='Methodology &amp; Assumptions'!$B$7, "Tier 1 Critical GIDA (Score ≥ 50.0)", IF(X476&gt;='Methodology &amp; Assumptions'!$B$8, "Tier 2 High GIDA (Score 40.0–49.9)", "Tier 3 Moderate GIDA (Score &lt; 40.0)"))</f>
        <v/>
      </c>
      <c r="V476" s="26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W476" s="28" t="n">
        <v>0.109</v>
      </c>
      <c r="X476" s="14" t="n">
        <v>54.05</v>
      </c>
      <c r="Y476" s="14">
        <f>ROUND(MIN(100, (X476/69.91)*100), 2)</f>
        <v/>
      </c>
    </row>
    <row r="477">
      <c r="A477" s="10" t="n">
        <v>1</v>
      </c>
      <c r="B477" s="10" t="n">
        <v>473</v>
      </c>
      <c r="C477" s="10" t="n">
        <v>473</v>
      </c>
      <c r="D477" s="10" t="inlineStr">
        <is>
          <t>0203111008</t>
        </is>
      </c>
      <c r="E477" s="26" t="inlineStr">
        <is>
          <t>Region II (Cagayan Valley)</t>
        </is>
      </c>
      <c r="F477" s="26" t="inlineStr">
        <is>
          <t>Isabela</t>
        </is>
      </c>
      <c r="G477" s="26" t="inlineStr">
        <is>
          <t>Divilacan</t>
        </is>
      </c>
      <c r="H477" s="26" t="inlineStr">
        <is>
          <t>Dimapnat</t>
        </is>
      </c>
      <c r="I477" s="27" t="n">
        <v>17.310535</v>
      </c>
      <c r="J477" s="27" t="n">
        <v>122.309265</v>
      </c>
      <c r="K477" s="10" t="inlineStr">
        <is>
          <t>R</t>
        </is>
      </c>
      <c r="L477" s="12" t="n">
        <v>1050</v>
      </c>
      <c r="M477" s="14" t="n">
        <v>3.8</v>
      </c>
      <c r="N477" s="12">
        <f>ROUND(L477/M477, 0)</f>
        <v/>
      </c>
      <c r="O477" s="12">
        <f>ROUND(N477*'Methodology &amp; Assumptions'!$B$5, 0)</f>
        <v/>
      </c>
      <c r="P477" s="10" t="inlineStr">
        <is>
          <t>Single Carrier (Band n50, 100MHz TDD)</t>
        </is>
      </c>
      <c r="Q477" s="13">
        <f>ROUNDUP(O477/'Methodology &amp; Assumptions'!$B$6, 0)</f>
        <v/>
      </c>
      <c r="R477" s="13" t="n">
        <v>1</v>
      </c>
      <c r="S477" s="14" t="n">
        <v>39.94</v>
      </c>
      <c r="T477" s="14" t="n">
        <v>44.39</v>
      </c>
      <c r="U477" s="26">
        <f>IF(X477&gt;='Methodology &amp; Assumptions'!$B$7, "Tier 1 Critical GIDA (Score ≥ 50.0)", IF(X477&gt;='Methodology &amp; Assumptions'!$B$8, "Tier 2 High GIDA (Score 40.0–49.9)", "Tier 3 Moderate GIDA (Score &lt; 40.0)"))</f>
        <v/>
      </c>
      <c r="V477" s="26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W477" s="28" t="n">
        <v>0.083</v>
      </c>
      <c r="X477" s="14" t="n">
        <v>54.05</v>
      </c>
      <c r="Y477" s="14">
        <f>ROUND(MIN(100, (X477/69.91)*100), 2)</f>
        <v/>
      </c>
    </row>
    <row r="478">
      <c r="A478" s="10" t="n">
        <v>1</v>
      </c>
      <c r="B478" s="10" t="n">
        <v>474</v>
      </c>
      <c r="C478" s="10" t="n">
        <v>474</v>
      </c>
      <c r="D478" s="10" t="inlineStr">
        <is>
          <t>1380606192</t>
        </is>
      </c>
      <c r="E478" s="26" t="inlineStr">
        <is>
          <t>National Capital Region (NCR)</t>
        </is>
      </c>
      <c r="F478" s="26" t="inlineStr">
        <is>
          <t>First District (Not a Province)</t>
        </is>
      </c>
      <c r="G478" s="26" t="inlineStr">
        <is>
          <t>City of Manila</t>
        </is>
      </c>
      <c r="H478" s="26" t="inlineStr">
        <is>
          <t>Barangay 586</t>
        </is>
      </c>
      <c r="I478" s="27" t="n">
        <v>12.795149</v>
      </c>
      <c r="J478" s="27" t="n">
        <v>121.805568</v>
      </c>
      <c r="K478" s="10" t="inlineStr">
        <is>
          <t>U</t>
        </is>
      </c>
      <c r="L478" s="12" t="n">
        <v>5260</v>
      </c>
      <c r="M478" s="14" t="n">
        <v>3.9</v>
      </c>
      <c r="N478" s="12">
        <f>ROUND(L478/M478, 0)</f>
        <v/>
      </c>
      <c r="O478" s="12">
        <f>ROUND(N478*'Methodology &amp; Assumptions'!$B$5, 0)</f>
        <v/>
      </c>
      <c r="P478" s="10" t="inlineStr">
        <is>
          <t>Single Carrier (Band n50, 100MHz TDD)</t>
        </is>
      </c>
      <c r="Q478" s="13">
        <f>ROUNDUP(O478/'Methodology &amp; Assumptions'!$B$6, 0)</f>
        <v/>
      </c>
      <c r="R478" s="13" t="n">
        <v>1</v>
      </c>
      <c r="S478" s="14" t="n">
        <v>34.79</v>
      </c>
      <c r="T478" s="14" t="n">
        <v>34.78</v>
      </c>
      <c r="U478" s="26">
        <f>IF(X478&gt;='Methodology &amp; Assumptions'!$B$7, "Tier 1 Critical GIDA (Score ≥ 50.0)", IF(X478&gt;='Methodology &amp; Assumptions'!$B$8, "Tier 2 High GIDA (Score 40.0–49.9)", "Tier 3 Moderate GIDA (Score &lt; 40.0)"))</f>
        <v/>
      </c>
      <c r="V478" s="26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W478" s="28" t="n">
        <v>0.109</v>
      </c>
      <c r="X478" s="14" t="n">
        <v>54.05</v>
      </c>
      <c r="Y478" s="14">
        <f>ROUND(MIN(100, (X478/69.91)*100), 2)</f>
        <v/>
      </c>
    </row>
    <row r="479">
      <c r="A479" s="10" t="n">
        <v>1</v>
      </c>
      <c r="B479" s="10" t="n">
        <v>475</v>
      </c>
      <c r="C479" s="10" t="n">
        <v>475</v>
      </c>
      <c r="D479" s="10" t="inlineStr">
        <is>
          <t>1004315008</t>
        </is>
      </c>
      <c r="E479" s="26" t="inlineStr">
        <is>
          <t>Region X (Northern Mindanao)</t>
        </is>
      </c>
      <c r="F479" s="26" t="inlineStr">
        <is>
          <t>Misamis Oriental</t>
        </is>
      </c>
      <c r="G479" s="26" t="inlineStr">
        <is>
          <t>Libertad</t>
        </is>
      </c>
      <c r="H479" s="26" t="inlineStr">
        <is>
          <t>Tangcub</t>
        </is>
      </c>
      <c r="I479" s="27" t="n">
        <v>8.530521</v>
      </c>
      <c r="J479" s="27" t="n">
        <v>124.372034</v>
      </c>
      <c r="K479" s="10" t="inlineStr">
        <is>
          <t>R</t>
        </is>
      </c>
      <c r="L479" s="12" t="n">
        <v>1075</v>
      </c>
      <c r="M479" s="14" t="n">
        <v>3.9</v>
      </c>
      <c r="N479" s="12">
        <f>ROUND(L479/M479, 0)</f>
        <v/>
      </c>
      <c r="O479" s="12">
        <f>ROUND(N479*'Methodology &amp; Assumptions'!$B$5, 0)</f>
        <v/>
      </c>
      <c r="P479" s="10" t="inlineStr">
        <is>
          <t>Single Carrier (Band n50, 100MHz TDD)</t>
        </is>
      </c>
      <c r="Q479" s="13">
        <f>ROUNDUP(O479/'Methodology &amp; Assumptions'!$B$6, 0)</f>
        <v/>
      </c>
      <c r="R479" s="13" t="n">
        <v>1</v>
      </c>
      <c r="S479" s="14" t="n">
        <v>3.9</v>
      </c>
      <c r="T479" s="14" t="n">
        <v>3.94</v>
      </c>
      <c r="U479" s="26">
        <f>IF(X479&gt;='Methodology &amp; Assumptions'!$B$7, "Tier 1 Critical GIDA (Score ≥ 50.0)", IF(X479&gt;='Methodology &amp; Assumptions'!$B$8, "Tier 2 High GIDA (Score 40.0–49.9)", "Tier 3 Moderate GIDA (Score &lt; 40.0)"))</f>
        <v/>
      </c>
      <c r="V479" s="26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W479" s="28" t="n">
        <v>0.174</v>
      </c>
      <c r="X479" s="14" t="n">
        <v>54.05</v>
      </c>
      <c r="Y479" s="14">
        <f>ROUND(MIN(100, (X479/69.91)*100), 2)</f>
        <v/>
      </c>
    </row>
    <row r="480">
      <c r="A480" s="10" t="n">
        <v>1</v>
      </c>
      <c r="B480" s="10" t="n">
        <v>476</v>
      </c>
      <c r="C480" s="10" t="n">
        <v>476</v>
      </c>
      <c r="D480" s="10" t="inlineStr">
        <is>
          <t>1400126010</t>
        </is>
      </c>
      <c r="E480" s="26" t="inlineStr">
        <is>
          <t>Cordillera Administrative Region (CAR)</t>
        </is>
      </c>
      <c r="F480" s="26" t="inlineStr">
        <is>
          <t>Abra</t>
        </is>
      </c>
      <c r="G480" s="26" t="inlineStr">
        <is>
          <t>Tubo</t>
        </is>
      </c>
      <c r="H480" s="26" t="inlineStr">
        <is>
          <t>Tabacda</t>
        </is>
      </c>
      <c r="I480" s="27" t="n">
        <v>17.266623</v>
      </c>
      <c r="J480" s="27" t="n">
        <v>120.84498</v>
      </c>
      <c r="K480" s="10" t="inlineStr">
        <is>
          <t>R</t>
        </is>
      </c>
      <c r="L480" s="12" t="n">
        <v>279</v>
      </c>
      <c r="M480" s="14" t="n">
        <v>3.8</v>
      </c>
      <c r="N480" s="12">
        <f>ROUND(L480/M480, 0)</f>
        <v/>
      </c>
      <c r="O480" s="12">
        <f>ROUND(N480*'Methodology &amp; Assumptions'!$B$5, 0)</f>
        <v/>
      </c>
      <c r="P480" s="10" t="inlineStr">
        <is>
          <t>Single Carrier (Band n50, 100MHz TDD)</t>
        </is>
      </c>
      <c r="Q480" s="13">
        <f>ROUNDUP(O480/'Methodology &amp; Assumptions'!$B$6, 0)</f>
        <v/>
      </c>
      <c r="R480" s="13" t="n">
        <v>1</v>
      </c>
      <c r="S480" s="14" t="n">
        <v>21.1</v>
      </c>
      <c r="T480" s="14" t="n">
        <v>20.91</v>
      </c>
      <c r="U480" s="26">
        <f>IF(X480&gt;='Methodology &amp; Assumptions'!$B$7, "Tier 1 Critical GIDA (Score ≥ 50.0)", IF(X480&gt;='Methodology &amp; Assumptions'!$B$8, "Tier 2 High GIDA (Score 40.0–49.9)", "Tier 3 Moderate GIDA (Score &lt; 40.0)"))</f>
        <v/>
      </c>
      <c r="V480" s="26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W480" s="28" t="n">
        <v>0.109</v>
      </c>
      <c r="X480" s="14" t="n">
        <v>54.05</v>
      </c>
      <c r="Y480" s="14">
        <f>ROUND(MIN(100, (X480/69.91)*100), 2)</f>
        <v/>
      </c>
    </row>
    <row r="481">
      <c r="A481" s="10" t="n">
        <v>1</v>
      </c>
      <c r="B481" s="10" t="n">
        <v>477</v>
      </c>
      <c r="C481" s="10" t="n">
        <v>477</v>
      </c>
      <c r="D481" s="10" t="inlineStr">
        <is>
          <t>PH0000477</t>
        </is>
      </c>
      <c r="E481" s="26" t="inlineStr">
        <is>
          <t>VI</t>
        </is>
      </c>
      <c r="F481" s="26" t="inlineStr">
        <is>
          <t>Iloilo</t>
        </is>
      </c>
      <c r="G481" s="26" t="inlineStr">
        <is>
          <t>Iloilo City</t>
        </is>
      </c>
      <c r="H481" s="26" t="inlineStr">
        <is>
          <t>San Agustin</t>
        </is>
      </c>
      <c r="I481" s="27" t="n">
        <v>10.699684</v>
      </c>
      <c r="J481" s="27" t="n">
        <v>122.56473</v>
      </c>
      <c r="K481" s="10" t="inlineStr">
        <is>
          <t>R</t>
        </is>
      </c>
      <c r="L481" s="12" t="n">
        <v>2230</v>
      </c>
      <c r="M481" s="14" t="n">
        <v>3.8</v>
      </c>
      <c r="N481" s="12">
        <f>ROUND(L481/M481, 0)</f>
        <v/>
      </c>
      <c r="O481" s="12">
        <f>ROUND(N481*'Methodology &amp; Assumptions'!$B$5, 0)</f>
        <v/>
      </c>
      <c r="P481" s="10" t="inlineStr">
        <is>
          <t>Single Carrier (Band n50, 100MHz TDD)</t>
        </is>
      </c>
      <c r="Q481" s="13">
        <f>ROUNDUP(O481/'Methodology &amp; Assumptions'!$B$6, 0)</f>
        <v/>
      </c>
      <c r="R481" s="13" t="n">
        <v>1</v>
      </c>
      <c r="S481" s="14" t="n">
        <v>1.61</v>
      </c>
      <c r="T481" s="14" t="n">
        <v>0.48</v>
      </c>
      <c r="U481" s="26">
        <f>IF(X481&gt;='Methodology &amp; Assumptions'!$B$7, "Tier 1 Critical GIDA (Score ≥ 50.0)", IF(X481&gt;='Methodology &amp; Assumptions'!$B$8, "Tier 2 High GIDA (Score 40.0–49.9)", "Tier 3 Moderate GIDA (Score &lt; 40.0)"))</f>
        <v/>
      </c>
      <c r="V481" s="26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W481" s="28" t="n">
        <v>0.156</v>
      </c>
      <c r="X481" s="14" t="n">
        <v>54.05</v>
      </c>
      <c r="Y481" s="14">
        <f>ROUND(MIN(100, (X481/69.91)*100), 2)</f>
        <v/>
      </c>
    </row>
    <row r="482">
      <c r="A482" s="10" t="n">
        <v>1</v>
      </c>
      <c r="B482" s="10" t="n">
        <v>478</v>
      </c>
      <c r="C482" s="10" t="n">
        <v>478</v>
      </c>
      <c r="D482" s="10" t="inlineStr">
        <is>
          <t>1381400008</t>
        </is>
      </c>
      <c r="E482" s="26" t="inlineStr">
        <is>
          <t>National Capital Region (NCR)</t>
        </is>
      </c>
      <c r="F482" s="26" t="inlineStr">
        <is>
          <t>Second District (Not a Province)</t>
        </is>
      </c>
      <c r="G482" s="26" t="inlineStr">
        <is>
          <t>City of San Juan</t>
        </is>
      </c>
      <c r="H482" s="26" t="inlineStr">
        <is>
          <t>Kabayanan</t>
        </is>
      </c>
      <c r="I482" s="27" t="n">
        <v>14.59868</v>
      </c>
      <c r="J482" s="27" t="n">
        <v>121.03229</v>
      </c>
      <c r="K482" s="10" t="inlineStr">
        <is>
          <t>U</t>
        </is>
      </c>
      <c r="L482" s="12" t="n">
        <v>5954</v>
      </c>
      <c r="M482" s="14" t="n">
        <v>3.6</v>
      </c>
      <c r="N482" s="12">
        <f>ROUND(L482/M482, 0)</f>
        <v/>
      </c>
      <c r="O482" s="12">
        <f>ROUND(N482*'Methodology &amp; Assumptions'!$B$5, 0)</f>
        <v/>
      </c>
      <c r="P482" s="10" t="inlineStr">
        <is>
          <t>Single Carrier (Band n50, 100MHz TDD)</t>
        </is>
      </c>
      <c r="Q482" s="13">
        <f>ROUNDUP(O482/'Methodology &amp; Assumptions'!$B$6, 0)</f>
        <v/>
      </c>
      <c r="R482" s="13" t="n">
        <v>1</v>
      </c>
      <c r="S482" s="14" t="n">
        <v>1.19</v>
      </c>
      <c r="T482" s="14" t="n">
        <v>0.26</v>
      </c>
      <c r="U482" s="26">
        <f>IF(X482&gt;='Methodology &amp; Assumptions'!$B$7, "Tier 1 Critical GIDA (Score ≥ 50.0)", IF(X482&gt;='Methodology &amp; Assumptions'!$B$8, "Tier 2 High GIDA (Score 40.0–49.9)", "Tier 3 Moderate GIDA (Score &lt; 40.0)"))</f>
        <v/>
      </c>
      <c r="V482" s="26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W482" s="28" t="n">
        <v>0.109</v>
      </c>
      <c r="X482" s="14" t="n">
        <v>54.05</v>
      </c>
      <c r="Y482" s="14">
        <f>ROUND(MIN(100, (X482/69.91)*100), 2)</f>
        <v/>
      </c>
    </row>
    <row r="483">
      <c r="A483" s="10" t="n">
        <v>1</v>
      </c>
      <c r="B483" s="10" t="n">
        <v>479</v>
      </c>
      <c r="C483" s="10" t="n">
        <v>479</v>
      </c>
      <c r="D483" s="10" t="inlineStr">
        <is>
          <t>PH0000479</t>
        </is>
      </c>
      <c r="E483" s="26" t="inlineStr">
        <is>
          <t>II</t>
        </is>
      </c>
      <c r="F483" s="26" t="inlineStr">
        <is>
          <t>Isabela</t>
        </is>
      </c>
      <c r="G483" s="26" t="inlineStr">
        <is>
          <t>Ilagan City</t>
        </is>
      </c>
      <c r="H483" s="26" t="inlineStr">
        <is>
          <t>Sindon Bayabo</t>
        </is>
      </c>
      <c r="I483" s="27" t="n">
        <v>17.06922</v>
      </c>
      <c r="J483" s="27" t="n">
        <v>122.02165</v>
      </c>
      <c r="K483" s="10" t="inlineStr">
        <is>
          <t>R</t>
        </is>
      </c>
      <c r="L483" s="12" t="n">
        <v>2276</v>
      </c>
      <c r="M483" s="14" t="n">
        <v>3.8</v>
      </c>
      <c r="N483" s="12">
        <f>ROUND(L483/M483, 0)</f>
        <v/>
      </c>
      <c r="O483" s="12">
        <f>ROUND(N483*'Methodology &amp; Assumptions'!$B$5, 0)</f>
        <v/>
      </c>
      <c r="P483" s="10" t="inlineStr">
        <is>
          <t>Single Carrier (Band n50, 100MHz TDD)</t>
        </is>
      </c>
      <c r="Q483" s="13">
        <f>ROUNDUP(O483/'Methodology &amp; Assumptions'!$B$6, 0)</f>
        <v/>
      </c>
      <c r="R483" s="13" t="n">
        <v>1</v>
      </c>
      <c r="S483" s="14" t="n">
        <v>1.95</v>
      </c>
      <c r="T483" s="14" t="n">
        <v>13.36</v>
      </c>
      <c r="U483" s="26">
        <f>IF(X483&gt;='Methodology &amp; Assumptions'!$B$7, "Tier 1 Critical GIDA (Score ≥ 50.0)", IF(X483&gt;='Methodology &amp; Assumptions'!$B$8, "Tier 2 High GIDA (Score 40.0–49.9)", "Tier 3 Moderate GIDA (Score &lt; 40.0)"))</f>
        <v/>
      </c>
      <c r="V483" s="26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W483" s="28" t="n">
        <v>0.083</v>
      </c>
      <c r="X483" s="14" t="n">
        <v>54.03</v>
      </c>
      <c r="Y483" s="14">
        <f>ROUND(MIN(100, (X483/69.91)*100), 2)</f>
        <v/>
      </c>
    </row>
    <row r="484">
      <c r="A484" s="10" t="n">
        <v>1</v>
      </c>
      <c r="B484" s="10" t="n">
        <v>480</v>
      </c>
      <c r="C484" s="10" t="n">
        <v>480</v>
      </c>
      <c r="D484" s="10" t="inlineStr">
        <is>
          <t>0201516035</t>
        </is>
      </c>
      <c r="E484" s="26" t="inlineStr">
        <is>
          <t>Region II (Cagayan Valley)</t>
        </is>
      </c>
      <c r="F484" s="26" t="inlineStr">
        <is>
          <t>Cagayan</t>
        </is>
      </c>
      <c r="G484" s="26" t="inlineStr">
        <is>
          <t>Lal-Lo</t>
        </is>
      </c>
      <c r="H484" s="26" t="inlineStr">
        <is>
          <t>Tucalana</t>
        </is>
      </c>
      <c r="I484" s="27" t="n">
        <v>18.182627</v>
      </c>
      <c r="J484" s="27" t="n">
        <v>121.660085</v>
      </c>
      <c r="K484" s="10" t="inlineStr">
        <is>
          <t>R</t>
        </is>
      </c>
      <c r="L484" s="12" t="n">
        <v>1572</v>
      </c>
      <c r="M484" s="14" t="n">
        <v>3.9</v>
      </c>
      <c r="N484" s="12">
        <f>ROUND(L484/M484, 0)</f>
        <v/>
      </c>
      <c r="O484" s="12">
        <f>ROUND(N484*'Methodology &amp; Assumptions'!$B$5, 0)</f>
        <v/>
      </c>
      <c r="P484" s="10" t="inlineStr">
        <is>
          <t>Single Carrier (Band n50, 100MHz TDD)</t>
        </is>
      </c>
      <c r="Q484" s="13">
        <f>ROUNDUP(O484/'Methodology &amp; Assumptions'!$B$6, 0)</f>
        <v/>
      </c>
      <c r="R484" s="13" t="n">
        <v>1</v>
      </c>
      <c r="S484" s="14" t="n">
        <v>1.45</v>
      </c>
      <c r="T484" s="14" t="n">
        <v>0.2</v>
      </c>
      <c r="U484" s="26">
        <f>IF(X484&gt;='Methodology &amp; Assumptions'!$B$7, "Tier 1 Critical GIDA (Score ≥ 50.0)", IF(X484&gt;='Methodology &amp; Assumptions'!$B$8, "Tier 2 High GIDA (Score 40.0–49.9)", "Tier 3 Moderate GIDA (Score &lt; 40.0)"))</f>
        <v/>
      </c>
      <c r="V484" s="26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W484" s="28" t="n">
        <v>0.083</v>
      </c>
      <c r="X484" s="14" t="n">
        <v>54.02</v>
      </c>
      <c r="Y484" s="14">
        <f>ROUND(MIN(100, (X484/69.91)*100), 2)</f>
        <v/>
      </c>
    </row>
    <row r="485">
      <c r="A485" s="10" t="n">
        <v>1</v>
      </c>
      <c r="B485" s="10" t="n">
        <v>481</v>
      </c>
      <c r="C485" s="10" t="n">
        <v>481</v>
      </c>
      <c r="D485" s="10" t="inlineStr">
        <is>
          <t>0600406013</t>
        </is>
      </c>
      <c r="E485" s="26" t="inlineStr">
        <is>
          <t>Region VI (Western Visayas)</t>
        </is>
      </c>
      <c r="F485" s="26" t="inlineStr">
        <is>
          <t>Aklan</t>
        </is>
      </c>
      <c r="G485" s="26" t="inlineStr">
        <is>
          <t>Ibajay</t>
        </is>
      </c>
      <c r="H485" s="26" t="inlineStr">
        <is>
          <t>Colongcolong</t>
        </is>
      </c>
      <c r="I485" s="27" t="n">
        <v>11.819159</v>
      </c>
      <c r="J485" s="27" t="n">
        <v>122.169207</v>
      </c>
      <c r="K485" s="10" t="inlineStr">
        <is>
          <t>R</t>
        </is>
      </c>
      <c r="L485" s="12" t="n">
        <v>1174</v>
      </c>
      <c r="M485" s="14" t="n">
        <v>3.9</v>
      </c>
      <c r="N485" s="12">
        <f>ROUND(L485/M485, 0)</f>
        <v/>
      </c>
      <c r="O485" s="12">
        <f>ROUND(N485*'Methodology &amp; Assumptions'!$B$5, 0)</f>
        <v/>
      </c>
      <c r="P485" s="10" t="inlineStr">
        <is>
          <t>Single Carrier (Band n50, 100MHz TDD)</t>
        </is>
      </c>
      <c r="Q485" s="13">
        <f>ROUNDUP(O485/'Methodology &amp; Assumptions'!$B$6, 0)</f>
        <v/>
      </c>
      <c r="R485" s="13" t="n">
        <v>1</v>
      </c>
      <c r="S485" s="14" t="n">
        <v>17.73</v>
      </c>
      <c r="T485" s="14" t="n">
        <v>0.17</v>
      </c>
      <c r="U485" s="26">
        <f>IF(X485&gt;='Methodology &amp; Assumptions'!$B$7, "Tier 1 Critical GIDA (Score ≥ 50.0)", IF(X485&gt;='Methodology &amp; Assumptions'!$B$8, "Tier 2 High GIDA (Score 40.0–49.9)", "Tier 3 Moderate GIDA (Score &lt; 40.0)"))</f>
        <v/>
      </c>
      <c r="V485" s="26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W485" s="28" t="n">
        <v>0.237</v>
      </c>
      <c r="X485" s="14" t="n">
        <v>54.01</v>
      </c>
      <c r="Y485" s="14">
        <f>ROUND(MIN(100, (X485/69.91)*100), 2)</f>
        <v/>
      </c>
    </row>
    <row r="486">
      <c r="A486" s="10" t="n">
        <v>1</v>
      </c>
      <c r="B486" s="10" t="n">
        <v>482</v>
      </c>
      <c r="C486" s="10" t="n">
        <v>482</v>
      </c>
      <c r="D486" s="10" t="inlineStr">
        <is>
          <t>1408104002</t>
        </is>
      </c>
      <c r="E486" s="26" t="inlineStr">
        <is>
          <t>Cordillera Administrative Region (CAR)</t>
        </is>
      </c>
      <c r="F486" s="26" t="inlineStr">
        <is>
          <t>Apayao</t>
        </is>
      </c>
      <c r="G486" s="26" t="inlineStr">
        <is>
          <t>Kabugao</t>
        </is>
      </c>
      <c r="H486" s="26" t="inlineStr">
        <is>
          <t>Baliwanan</t>
        </is>
      </c>
      <c r="I486" s="27" t="n">
        <v>18.130044</v>
      </c>
      <c r="J486" s="27" t="n">
        <v>121.139678</v>
      </c>
      <c r="K486" s="10" t="inlineStr">
        <is>
          <t>R</t>
        </is>
      </c>
      <c r="L486" s="12" t="n">
        <v>475</v>
      </c>
      <c r="M486" s="14" t="n">
        <v>4.2</v>
      </c>
      <c r="N486" s="12">
        <f>ROUND(L486/M486, 0)</f>
        <v/>
      </c>
      <c r="O486" s="12">
        <f>ROUND(N486*'Methodology &amp; Assumptions'!$B$5, 0)</f>
        <v/>
      </c>
      <c r="P486" s="10" t="inlineStr">
        <is>
          <t>Single Carrier (Band n50, 100MHz TDD)</t>
        </is>
      </c>
      <c r="Q486" s="13">
        <f>ROUNDUP(O486/'Methodology &amp; Assumptions'!$B$6, 0)</f>
        <v/>
      </c>
      <c r="R486" s="13" t="n">
        <v>1</v>
      </c>
      <c r="S486" s="14" t="n">
        <v>13.04</v>
      </c>
      <c r="T486" s="14" t="n">
        <v>18.78</v>
      </c>
      <c r="U486" s="26">
        <f>IF(X486&gt;='Methodology &amp; Assumptions'!$B$7, "Tier 1 Critical GIDA (Score ≥ 50.0)", IF(X486&gt;='Methodology &amp; Assumptions'!$B$8, "Tier 2 High GIDA (Score 40.0–49.9)", "Tier 3 Moderate GIDA (Score &lt; 40.0)"))</f>
        <v/>
      </c>
      <c r="V486" s="26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W486" s="28" t="n">
        <v>0.109</v>
      </c>
      <c r="X486" s="14" t="n">
        <v>54.01</v>
      </c>
      <c r="Y486" s="14">
        <f>ROUND(MIN(100, (X486/69.91)*100), 2)</f>
        <v/>
      </c>
    </row>
    <row r="487">
      <c r="A487" s="10" t="n">
        <v>1</v>
      </c>
      <c r="B487" s="10" t="n">
        <v>483</v>
      </c>
      <c r="C487" s="10" t="n">
        <v>483</v>
      </c>
      <c r="D487" s="10" t="inlineStr">
        <is>
          <t>1102301004</t>
        </is>
      </c>
      <c r="E487" s="26" t="inlineStr">
        <is>
          <t>Region XI (Davao Region)</t>
        </is>
      </c>
      <c r="F487" s="26" t="inlineStr">
        <is>
          <t>Davao del Norte</t>
        </is>
      </c>
      <c r="G487" s="26" t="inlineStr">
        <is>
          <t>Asuncion</t>
        </is>
      </c>
      <c r="H487" s="26" t="inlineStr">
        <is>
          <t>Binancian</t>
        </is>
      </c>
      <c r="I487" s="27" t="n">
        <v>7.730525</v>
      </c>
      <c r="J487" s="27" t="n">
        <v>125.88603</v>
      </c>
      <c r="K487" s="10" t="inlineStr">
        <is>
          <t>R</t>
        </is>
      </c>
      <c r="L487" s="12" t="n">
        <v>2366</v>
      </c>
      <c r="M487" s="14" t="n">
        <v>3.7</v>
      </c>
      <c r="N487" s="12">
        <f>ROUND(L487/M487, 0)</f>
        <v/>
      </c>
      <c r="O487" s="12">
        <f>ROUND(N487*'Methodology &amp; Assumptions'!$B$5, 0)</f>
        <v/>
      </c>
      <c r="P487" s="10" t="inlineStr">
        <is>
          <t>Single Carrier (Band n50, 100MHz TDD)</t>
        </is>
      </c>
      <c r="Q487" s="13">
        <f>ROUNDUP(O487/'Methodology &amp; Assumptions'!$B$6, 0)</f>
        <v/>
      </c>
      <c r="R487" s="13" t="n">
        <v>1</v>
      </c>
      <c r="S487" s="14" t="n">
        <v>21.62</v>
      </c>
      <c r="T487" s="14" t="n">
        <v>11.66</v>
      </c>
      <c r="U487" s="26">
        <f>IF(X487&gt;='Methodology &amp; Assumptions'!$B$7, "Tier 1 Critical GIDA (Score ≥ 50.0)", IF(X487&gt;='Methodology &amp; Assumptions'!$B$8, "Tier 2 High GIDA (Score 40.0–49.9)", "Tier 3 Moderate GIDA (Score &lt; 40.0)"))</f>
        <v/>
      </c>
      <c r="V487" s="26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W487" s="28" t="n">
        <v>0.174</v>
      </c>
      <c r="X487" s="14" t="n">
        <v>54</v>
      </c>
      <c r="Y487" s="14">
        <f>ROUND(MIN(100, (X487/69.91)*100), 2)</f>
        <v/>
      </c>
    </row>
    <row r="488">
      <c r="A488" s="10" t="n">
        <v>1</v>
      </c>
      <c r="B488" s="10" t="n">
        <v>484</v>
      </c>
      <c r="C488" s="10" t="n">
        <v>484</v>
      </c>
      <c r="D488" s="10" t="inlineStr">
        <is>
          <t>PH0000484</t>
        </is>
      </c>
      <c r="E488" s="26" t="inlineStr">
        <is>
          <t>X</t>
        </is>
      </c>
      <c r="F488" s="26" t="inlineStr">
        <is>
          <t>Misamis Oriental</t>
        </is>
      </c>
      <c r="G488" s="26" t="inlineStr">
        <is>
          <t>Cagayan De Oro City</t>
        </is>
      </c>
      <c r="H488" s="26" t="inlineStr">
        <is>
          <t>Barangay 3 (Pob.)</t>
        </is>
      </c>
      <c r="I488" s="27" t="n">
        <v>8.401799</v>
      </c>
      <c r="J488" s="27" t="n">
        <v>124.668434</v>
      </c>
      <c r="K488" s="10" t="inlineStr">
        <is>
          <t>R</t>
        </is>
      </c>
      <c r="L488" s="12" t="n">
        <v>2272</v>
      </c>
      <c r="M488" s="14" t="n">
        <v>3.9</v>
      </c>
      <c r="N488" s="12">
        <f>ROUND(L488/M488, 0)</f>
        <v/>
      </c>
      <c r="O488" s="12">
        <f>ROUND(N488*'Methodology &amp; Assumptions'!$B$5, 0)</f>
        <v/>
      </c>
      <c r="P488" s="10" t="inlineStr">
        <is>
          <t>Single Carrier (Band n50, 100MHz TDD)</t>
        </is>
      </c>
      <c r="Q488" s="13">
        <f>ROUNDUP(O488/'Methodology &amp; Assumptions'!$B$6, 0)</f>
        <v/>
      </c>
      <c r="R488" s="13" t="n">
        <v>1</v>
      </c>
      <c r="S488" s="14" t="n">
        <v>3.33</v>
      </c>
      <c r="T488" s="14" t="n">
        <v>6.18</v>
      </c>
      <c r="U488" s="26">
        <f>IF(X488&gt;='Methodology &amp; Assumptions'!$B$7, "Tier 1 Critical GIDA (Score ≥ 50.0)", IF(X488&gt;='Methodology &amp; Assumptions'!$B$8, "Tier 2 High GIDA (Score 40.0–49.9)", "Tier 3 Moderate GIDA (Score &lt; 40.0)"))</f>
        <v/>
      </c>
      <c r="V488" s="26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W488" s="28" t="n">
        <v>0.234</v>
      </c>
      <c r="X488" s="14" t="n">
        <v>53.99</v>
      </c>
      <c r="Y488" s="14">
        <f>ROUND(MIN(100, (X488/69.91)*100), 2)</f>
        <v/>
      </c>
    </row>
    <row r="489">
      <c r="A489" s="10" t="n">
        <v>1</v>
      </c>
      <c r="B489" s="10" t="n">
        <v>485</v>
      </c>
      <c r="C489" s="10" t="n">
        <v>485</v>
      </c>
      <c r="D489" s="10" t="inlineStr">
        <is>
          <t>PH0000485</t>
        </is>
      </c>
      <c r="E489" s="26" t="inlineStr">
        <is>
          <t>NIR</t>
        </is>
      </c>
      <c r="F489" s="26" t="inlineStr">
        <is>
          <t>Negros Occidental</t>
        </is>
      </c>
      <c r="G489" s="26" t="inlineStr">
        <is>
          <t>Bacolod City</t>
        </is>
      </c>
      <c r="H489" s="26" t="inlineStr">
        <is>
          <t>Barangay 30 (Pob.)</t>
        </is>
      </c>
      <c r="I489" s="27" t="n">
        <v>10.626178</v>
      </c>
      <c r="J489" s="27" t="n">
        <v>122.973514</v>
      </c>
      <c r="K489" s="10" t="inlineStr">
        <is>
          <t>R</t>
        </is>
      </c>
      <c r="L489" s="12" t="n">
        <v>2279</v>
      </c>
      <c r="M489" s="14" t="n">
        <v>3.8</v>
      </c>
      <c r="N489" s="12">
        <f>ROUND(L489/M489, 0)</f>
        <v/>
      </c>
      <c r="O489" s="12">
        <f>ROUND(N489*'Methodology &amp; Assumptions'!$B$5, 0)</f>
        <v/>
      </c>
      <c r="P489" s="10" t="inlineStr">
        <is>
          <t>Single Carrier (Band n50, 100MHz TDD)</t>
        </is>
      </c>
      <c r="Q489" s="13">
        <f>ROUNDUP(O489/'Methodology &amp; Assumptions'!$B$6, 0)</f>
        <v/>
      </c>
      <c r="R489" s="13" t="n">
        <v>1</v>
      </c>
      <c r="S489" s="14" t="n">
        <v>0.78</v>
      </c>
      <c r="T489" s="14" t="n">
        <v>0.57</v>
      </c>
      <c r="U489" s="26">
        <f>IF(X489&gt;='Methodology &amp; Assumptions'!$B$7, "Tier 1 Critical GIDA (Score ≥ 50.0)", IF(X489&gt;='Methodology &amp; Assumptions'!$B$8, "Tier 2 High GIDA (Score 40.0–49.9)", "Tier 3 Moderate GIDA (Score &lt; 40.0)"))</f>
        <v/>
      </c>
      <c r="V489" s="26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W489" s="28" t="n">
        <v>0.109</v>
      </c>
      <c r="X489" s="14" t="n">
        <v>53.99</v>
      </c>
      <c r="Y489" s="14">
        <f>ROUND(MIN(100, (X489/69.91)*100), 2)</f>
        <v/>
      </c>
    </row>
    <row r="490">
      <c r="A490" s="10" t="n">
        <v>1</v>
      </c>
      <c r="B490" s="10" t="n">
        <v>486</v>
      </c>
      <c r="C490" s="10" t="n">
        <v>486</v>
      </c>
      <c r="D490" s="10" t="inlineStr">
        <is>
          <t>1403215014</t>
        </is>
      </c>
      <c r="E490" s="26" t="inlineStr">
        <is>
          <t>Cordillera Administrative Region (CAR)</t>
        </is>
      </c>
      <c r="F490" s="26" t="inlineStr">
        <is>
          <t>Kalinga</t>
        </is>
      </c>
      <c r="G490" s="26" t="inlineStr">
        <is>
          <t>Tinglayan</t>
        </is>
      </c>
      <c r="H490" s="26" t="inlineStr">
        <is>
          <t>Poblacion</t>
        </is>
      </c>
      <c r="I490" s="27" t="n">
        <v>17.265042</v>
      </c>
      <c r="J490" s="27" t="n">
        <v>121.14896</v>
      </c>
      <c r="K490" s="10" t="inlineStr">
        <is>
          <t>R</t>
        </is>
      </c>
      <c r="L490" s="12" t="n">
        <v>861</v>
      </c>
      <c r="M490" s="14" t="n">
        <v>4.3</v>
      </c>
      <c r="N490" s="12">
        <f>ROUND(L490/M490, 0)</f>
        <v/>
      </c>
      <c r="O490" s="12">
        <f>ROUND(N490*'Methodology &amp; Assumptions'!$B$5, 0)</f>
        <v/>
      </c>
      <c r="P490" s="10" t="inlineStr">
        <is>
          <t>Single Carrier (Band n50, 100MHz TDD)</t>
        </is>
      </c>
      <c r="Q490" s="13">
        <f>ROUNDUP(O490/'Methodology &amp; Assumptions'!$B$6, 0)</f>
        <v/>
      </c>
      <c r="R490" s="13" t="n">
        <v>1</v>
      </c>
      <c r="S490" s="14" t="n">
        <v>0.14</v>
      </c>
      <c r="T490" s="14" t="n">
        <v>0.09</v>
      </c>
      <c r="U490" s="26">
        <f>IF(X490&gt;='Methodology &amp; Assumptions'!$B$7, "Tier 1 Critical GIDA (Score ≥ 50.0)", IF(X490&gt;='Methodology &amp; Assumptions'!$B$8, "Tier 2 High GIDA (Score 40.0–49.9)", "Tier 3 Moderate GIDA (Score &lt; 40.0)"))</f>
        <v/>
      </c>
      <c r="V490" s="26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W490" s="28" t="n">
        <v>0.109</v>
      </c>
      <c r="X490" s="14" t="n">
        <v>53.98</v>
      </c>
      <c r="Y490" s="14">
        <f>ROUND(MIN(100, (X490/69.91)*100), 2)</f>
        <v/>
      </c>
    </row>
    <row r="491">
      <c r="A491" s="10" t="n">
        <v>1</v>
      </c>
      <c r="B491" s="10" t="n">
        <v>487</v>
      </c>
      <c r="C491" s="10" t="n">
        <v>487</v>
      </c>
      <c r="D491" s="10" t="inlineStr">
        <is>
          <t>0205706012</t>
        </is>
      </c>
      <c r="E491" s="26" t="inlineStr">
        <is>
          <t>Region II (Cagayan Valley)</t>
        </is>
      </c>
      <c r="F491" s="26" t="inlineStr">
        <is>
          <t>Quirino</t>
        </is>
      </c>
      <c r="G491" s="26" t="inlineStr">
        <is>
          <t>Nagtipunan</t>
        </is>
      </c>
      <c r="H491" s="26" t="inlineStr">
        <is>
          <t>San Pugo</t>
        </is>
      </c>
      <c r="I491" s="27" t="n">
        <v>16.13134</v>
      </c>
      <c r="J491" s="27" t="n">
        <v>121.494577</v>
      </c>
      <c r="K491" s="10" t="inlineStr">
        <is>
          <t>R</t>
        </is>
      </c>
      <c r="L491" s="12" t="n">
        <v>503</v>
      </c>
      <c r="M491" s="14" t="n">
        <v>3.9</v>
      </c>
      <c r="N491" s="12">
        <f>ROUND(L491/M491, 0)</f>
        <v/>
      </c>
      <c r="O491" s="12">
        <f>ROUND(N491*'Methodology &amp; Assumptions'!$B$5, 0)</f>
        <v/>
      </c>
      <c r="P491" s="10" t="inlineStr">
        <is>
          <t>Single Carrier (Band n50, 100MHz TDD)</t>
        </is>
      </c>
      <c r="Q491" s="13">
        <f>ROUNDUP(O491/'Methodology &amp; Assumptions'!$B$6, 0)</f>
        <v/>
      </c>
      <c r="R491" s="13" t="n">
        <v>1</v>
      </c>
      <c r="S491" s="14" t="n">
        <v>14.66</v>
      </c>
      <c r="T491" s="14" t="n">
        <v>21.84</v>
      </c>
      <c r="U491" s="26">
        <f>IF(X491&gt;='Methodology &amp; Assumptions'!$B$7, "Tier 1 Critical GIDA (Score ≥ 50.0)", IF(X491&gt;='Methodology &amp; Assumptions'!$B$8, "Tier 2 High GIDA (Score 40.0–49.9)", "Tier 3 Moderate GIDA (Score &lt; 40.0)"))</f>
        <v/>
      </c>
      <c r="V491" s="26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W491" s="28" t="n">
        <v>0.083</v>
      </c>
      <c r="X491" s="14" t="n">
        <v>53.97</v>
      </c>
      <c r="Y491" s="14">
        <f>ROUND(MIN(100, (X491/69.91)*100), 2)</f>
        <v/>
      </c>
    </row>
    <row r="492">
      <c r="A492" s="10" t="n">
        <v>1</v>
      </c>
      <c r="B492" s="10" t="n">
        <v>488</v>
      </c>
      <c r="C492" s="10" t="n">
        <v>488</v>
      </c>
      <c r="D492" s="10" t="inlineStr">
        <is>
          <t>0600611025</t>
        </is>
      </c>
      <c r="E492" s="26" t="inlineStr">
        <is>
          <t>Region VI (Western Visayas)</t>
        </is>
      </c>
      <c r="F492" s="26" t="inlineStr">
        <is>
          <t>Antique</t>
        </is>
      </c>
      <c r="G492" s="26" t="inlineStr">
        <is>
          <t>Pandan</t>
        </is>
      </c>
      <c r="H492" s="26" t="inlineStr">
        <is>
          <t>Perfecta</t>
        </is>
      </c>
      <c r="I492" s="27" t="n">
        <v>11.727319</v>
      </c>
      <c r="J492" s="27" t="n">
        <v>122.125755</v>
      </c>
      <c r="K492" s="10" t="inlineStr">
        <is>
          <t>R</t>
        </is>
      </c>
      <c r="L492" s="12" t="n">
        <v>214</v>
      </c>
      <c r="M492" s="14" t="n">
        <v>3.9</v>
      </c>
      <c r="N492" s="12">
        <f>ROUND(L492/M492, 0)</f>
        <v/>
      </c>
      <c r="O492" s="12">
        <f>ROUND(N492*'Methodology &amp; Assumptions'!$B$5, 0)</f>
        <v/>
      </c>
      <c r="P492" s="10" t="inlineStr">
        <is>
          <t>Single Carrier (Band n50, 100MHz TDD)</t>
        </is>
      </c>
      <c r="Q492" s="13">
        <f>ROUNDUP(O492/'Methodology &amp; Assumptions'!$B$6, 0)</f>
        <v/>
      </c>
      <c r="R492" s="13" t="n">
        <v>1</v>
      </c>
      <c r="S492" s="14" t="n">
        <v>18.3</v>
      </c>
      <c r="T492" s="14" t="n">
        <v>9.25</v>
      </c>
      <c r="U492" s="26">
        <f>IF(X492&gt;='Methodology &amp; Assumptions'!$B$7, "Tier 1 Critical GIDA (Score ≥ 50.0)", IF(X492&gt;='Methodology &amp; Assumptions'!$B$8, "Tier 2 High GIDA (Score 40.0–49.9)", "Tier 3 Moderate GIDA (Score &lt; 40.0)"))</f>
        <v/>
      </c>
      <c r="V492" s="26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W492" s="28" t="n">
        <v>0.237</v>
      </c>
      <c r="X492" s="14" t="n">
        <v>53.97</v>
      </c>
      <c r="Y492" s="14">
        <f>ROUND(MIN(100, (X492/69.91)*100), 2)</f>
        <v/>
      </c>
    </row>
    <row r="493">
      <c r="A493" s="10" t="n">
        <v>1</v>
      </c>
      <c r="B493" s="10" t="n">
        <v>489</v>
      </c>
      <c r="C493" s="10" t="n">
        <v>489</v>
      </c>
      <c r="D493" s="10" t="inlineStr">
        <is>
          <t>0200901005</t>
        </is>
      </c>
      <c r="E493" s="26" t="inlineStr">
        <is>
          <t>Region II (Cagayan Valley)</t>
        </is>
      </c>
      <c r="F493" s="26" t="inlineStr">
        <is>
          <t>Batanes</t>
        </is>
      </c>
      <c r="G493" s="26" t="inlineStr">
        <is>
          <t>Basco</t>
        </is>
      </c>
      <c r="H493" s="26" t="inlineStr">
        <is>
          <t>Chanarian</t>
        </is>
      </c>
      <c r="I493" s="27" t="n">
        <v>20.432849</v>
      </c>
      <c r="J493" s="27" t="n">
        <v>121.958915</v>
      </c>
      <c r="K493" s="10" t="inlineStr">
        <is>
          <t>R</t>
        </is>
      </c>
      <c r="L493" s="12" t="n">
        <v>451</v>
      </c>
      <c r="M493" s="14" t="n">
        <v>3</v>
      </c>
      <c r="N493" s="12">
        <f>ROUND(L493/M493, 0)</f>
        <v/>
      </c>
      <c r="O493" s="12">
        <f>ROUND(N493*'Methodology &amp; Assumptions'!$B$5, 0)</f>
        <v/>
      </c>
      <c r="P493" s="10" t="inlineStr">
        <is>
          <t>Single Carrier (Band n50, 100MHz TDD)</t>
        </is>
      </c>
      <c r="Q493" s="13">
        <f>ROUNDUP(O493/'Methodology &amp; Assumptions'!$B$6, 0)</f>
        <v/>
      </c>
      <c r="R493" s="13" t="n">
        <v>1</v>
      </c>
      <c r="S493" s="14" t="n">
        <v>221.77</v>
      </c>
      <c r="T493" s="14" t="n">
        <v>215.65</v>
      </c>
      <c r="U493" s="26">
        <f>IF(X493&gt;='Methodology &amp; Assumptions'!$B$7, "Tier 1 Critical GIDA (Score ≥ 50.0)", IF(X493&gt;='Methodology &amp; Assumptions'!$B$8, "Tier 2 High GIDA (Score 40.0–49.9)", "Tier 3 Moderate GIDA (Score &lt; 40.0)"))</f>
        <v/>
      </c>
      <c r="V493" s="26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W493" s="28" t="n">
        <v>0.083</v>
      </c>
      <c r="X493" s="14" t="n">
        <v>53.95</v>
      </c>
      <c r="Y493" s="14">
        <f>ROUND(MIN(100, (X493/69.91)*100), 2)</f>
        <v/>
      </c>
    </row>
    <row r="494">
      <c r="A494" s="10" t="n">
        <v>1</v>
      </c>
      <c r="B494" s="10" t="n">
        <v>490</v>
      </c>
      <c r="C494" s="10" t="n">
        <v>490</v>
      </c>
      <c r="D494" s="10" t="inlineStr">
        <is>
          <t>0806002005</t>
        </is>
      </c>
      <c r="E494" s="26" t="inlineStr">
        <is>
          <t>Region VIII (Eastern Visayas)</t>
        </is>
      </c>
      <c r="F494" s="26" t="inlineStr">
        <is>
          <t>Samar</t>
        </is>
      </c>
      <c r="G494" s="26" t="inlineStr">
        <is>
          <t>Basey</t>
        </is>
      </c>
      <c r="H494" s="26" t="inlineStr">
        <is>
          <t>Basiao</t>
        </is>
      </c>
      <c r="I494" s="27" t="n">
        <v>11.26139</v>
      </c>
      <c r="J494" s="27" t="n">
        <v>125.16128</v>
      </c>
      <c r="K494" s="10" t="inlineStr">
        <is>
          <t>R</t>
        </is>
      </c>
      <c r="L494" s="12" t="n">
        <v>1451</v>
      </c>
      <c r="M494" s="14" t="n">
        <v>4.1</v>
      </c>
      <c r="N494" s="12">
        <f>ROUND(L494/M494, 0)</f>
        <v/>
      </c>
      <c r="O494" s="12">
        <f>ROUND(N494*'Methodology &amp; Assumptions'!$B$5, 0)</f>
        <v/>
      </c>
      <c r="P494" s="10" t="inlineStr">
        <is>
          <t>Single Carrier (Band n50, 100MHz TDD)</t>
        </is>
      </c>
      <c r="Q494" s="13">
        <f>ROUNDUP(O494/'Methodology &amp; Assumptions'!$B$6, 0)</f>
        <v/>
      </c>
      <c r="R494" s="13" t="n">
        <v>1</v>
      </c>
      <c r="S494" s="14" t="n">
        <v>17.43</v>
      </c>
      <c r="T494" s="14" t="n">
        <v>16.6</v>
      </c>
      <c r="U494" s="26">
        <f>IF(X494&gt;='Methodology &amp; Assumptions'!$B$7, "Tier 1 Critical GIDA (Score ≥ 50.0)", IF(X494&gt;='Methodology &amp; Assumptions'!$B$8, "Tier 2 High GIDA (Score 40.0–49.9)", "Tier 3 Moderate GIDA (Score &lt; 40.0)"))</f>
        <v/>
      </c>
      <c r="V494" s="26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W494" s="28" t="n">
        <v>0.237</v>
      </c>
      <c r="X494" s="14" t="n">
        <v>53.95</v>
      </c>
      <c r="Y494" s="14">
        <f>ROUND(MIN(100, (X494/69.91)*100), 2)</f>
        <v/>
      </c>
    </row>
    <row r="495">
      <c r="A495" s="10" t="n">
        <v>1</v>
      </c>
      <c r="B495" s="10" t="n">
        <v>491</v>
      </c>
      <c r="C495" s="10" t="n">
        <v>491</v>
      </c>
      <c r="D495" s="10" t="inlineStr">
        <is>
          <t>PH0000491</t>
        </is>
      </c>
      <c r="E495" s="26" t="inlineStr">
        <is>
          <t>VIII</t>
        </is>
      </c>
      <c r="F495" s="26" t="inlineStr">
        <is>
          <t>Samar (Western Samar)</t>
        </is>
      </c>
      <c r="G495" s="26" t="inlineStr">
        <is>
          <t>Catbalogan City</t>
        </is>
      </c>
      <c r="H495" s="26" t="inlineStr">
        <is>
          <t>Totoringon</t>
        </is>
      </c>
      <c r="I495" s="27" t="n">
        <v>12.884356</v>
      </c>
      <c r="J495" s="27" t="n">
        <v>121.780224</v>
      </c>
      <c r="K495" s="10" t="inlineStr">
        <is>
          <t>R</t>
        </is>
      </c>
      <c r="L495" s="12" t="n">
        <v>2229</v>
      </c>
      <c r="M495" s="14" t="n">
        <v>4.1</v>
      </c>
      <c r="N495" s="12">
        <f>ROUND(L495/M495, 0)</f>
        <v/>
      </c>
      <c r="O495" s="12">
        <f>ROUND(N495*'Methodology &amp; Assumptions'!$B$5, 0)</f>
        <v/>
      </c>
      <c r="P495" s="10" t="inlineStr">
        <is>
          <t>Single Carrier (Band n50, 100MHz TDD)</t>
        </is>
      </c>
      <c r="Q495" s="13">
        <f>ROUNDUP(O495/'Methodology &amp; Assumptions'!$B$6, 0)</f>
        <v/>
      </c>
      <c r="R495" s="13" t="n">
        <v>1</v>
      </c>
      <c r="S495" s="14" t="n">
        <v>33.85</v>
      </c>
      <c r="T495" s="14" t="n">
        <v>33.66</v>
      </c>
      <c r="U495" s="26">
        <f>IF(X495&gt;='Methodology &amp; Assumptions'!$B$7, "Tier 1 Critical GIDA (Score ≥ 50.0)", IF(X495&gt;='Methodology &amp; Assumptions'!$B$8, "Tier 2 High GIDA (Score 40.0–49.9)", "Tier 3 Moderate GIDA (Score &lt; 40.0)"))</f>
        <v/>
      </c>
      <c r="V495" s="26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W495" s="28" t="n">
        <v>0.222</v>
      </c>
      <c r="X495" s="14" t="n">
        <v>53.94</v>
      </c>
      <c r="Y495" s="14">
        <f>ROUND(MIN(100, (X495/69.91)*100), 2)</f>
        <v/>
      </c>
    </row>
    <row r="496">
      <c r="A496" s="10" t="n">
        <v>1</v>
      </c>
      <c r="B496" s="10" t="n">
        <v>492</v>
      </c>
      <c r="C496" s="10" t="n">
        <v>492</v>
      </c>
      <c r="D496" s="10" t="inlineStr">
        <is>
          <t>1380900012</t>
        </is>
      </c>
      <c r="E496" s="26" t="inlineStr">
        <is>
          <t>National Capital Region (NCR)</t>
        </is>
      </c>
      <c r="F496" s="26" t="inlineStr">
        <is>
          <t>Third District (Not a Province)</t>
        </is>
      </c>
      <c r="G496" s="26" t="inlineStr">
        <is>
          <t>City of Navotas</t>
        </is>
      </c>
      <c r="H496" s="26" t="inlineStr">
        <is>
          <t>San Roque</t>
        </is>
      </c>
      <c r="I496" s="27" t="n">
        <v>14.66935</v>
      </c>
      <c r="J496" s="27" t="n">
        <v>120.93779</v>
      </c>
      <c r="K496" s="10" t="inlineStr">
        <is>
          <t>U</t>
        </is>
      </c>
      <c r="L496" s="12" t="n">
        <v>19778</v>
      </c>
      <c r="M496" s="14" t="n">
        <v>3.4</v>
      </c>
      <c r="N496" s="12">
        <f>ROUND(L496/M496, 0)</f>
        <v/>
      </c>
      <c r="O496" s="12">
        <f>ROUND(N496*'Methodology &amp; Assumptions'!$B$5, 0)</f>
        <v/>
      </c>
      <c r="P496" s="10" t="inlineStr">
        <is>
          <t>Single Carrier (Band n50, 100MHz TDD)</t>
        </is>
      </c>
      <c r="Q496" s="13">
        <f>ROUNDUP(O496/'Methodology &amp; Assumptions'!$B$6, 0)</f>
        <v/>
      </c>
      <c r="R496" s="13" t="n">
        <v>1</v>
      </c>
      <c r="S496" s="14" t="n">
        <v>0.85</v>
      </c>
      <c r="T496" s="14" t="n">
        <v>0.85</v>
      </c>
      <c r="U496" s="26">
        <f>IF(X496&gt;='Methodology &amp; Assumptions'!$B$7, "Tier 1 Critical GIDA (Score ≥ 50.0)", IF(X496&gt;='Methodology &amp; Assumptions'!$B$8, "Tier 2 High GIDA (Score 40.0–49.9)", "Tier 3 Moderate GIDA (Score &lt; 40.0)"))</f>
        <v/>
      </c>
      <c r="V496" s="26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W496" s="28" t="n">
        <v>0.109</v>
      </c>
      <c r="X496" s="14" t="n">
        <v>53.92</v>
      </c>
      <c r="Y496" s="14">
        <f>ROUND(MIN(100, (X496/69.91)*100), 2)</f>
        <v/>
      </c>
    </row>
    <row r="497">
      <c r="A497" s="10" t="n">
        <v>1</v>
      </c>
      <c r="B497" s="10" t="n">
        <v>493</v>
      </c>
      <c r="C497" s="10" t="n">
        <v>493</v>
      </c>
      <c r="D497" s="10" t="inlineStr">
        <is>
          <t>0405625024</t>
        </is>
      </c>
      <c r="E497" s="26" t="inlineStr">
        <is>
          <t>Region IV-A (CALABARZON)</t>
        </is>
      </c>
      <c r="F497" s="26" t="inlineStr">
        <is>
          <t>Quezon</t>
        </is>
      </c>
      <c r="G497" s="26" t="inlineStr">
        <is>
          <t>Macalelon</t>
        </is>
      </c>
      <c r="H497" s="26" t="inlineStr">
        <is>
          <t>San Jose</t>
        </is>
      </c>
      <c r="I497" s="27" t="n">
        <v>13.757239</v>
      </c>
      <c r="J497" s="27" t="n">
        <v>122.17402</v>
      </c>
      <c r="K497" s="10" t="inlineStr">
        <is>
          <t>R</t>
        </is>
      </c>
      <c r="L497" s="12" t="n">
        <v>212</v>
      </c>
      <c r="M497" s="14" t="n">
        <v>3.8</v>
      </c>
      <c r="N497" s="12">
        <f>ROUND(L497/M497, 0)</f>
        <v/>
      </c>
      <c r="O497" s="12">
        <f>ROUND(N497*'Methodology &amp; Assumptions'!$B$5, 0)</f>
        <v/>
      </c>
      <c r="P497" s="10" t="inlineStr">
        <is>
          <t>Single Carrier (Band n50, 100MHz TDD)</t>
        </is>
      </c>
      <c r="Q497" s="13">
        <f>ROUNDUP(O497/'Methodology &amp; Assumptions'!$B$6, 0)</f>
        <v/>
      </c>
      <c r="R497" s="13" t="n">
        <v>1</v>
      </c>
      <c r="S497" s="14" t="n">
        <v>4.25</v>
      </c>
      <c r="T497" s="14" t="n">
        <v>1.4</v>
      </c>
      <c r="U497" s="26">
        <f>IF(X497&gt;='Methodology &amp; Assumptions'!$B$7, "Tier 1 Critical GIDA (Score ≥ 50.0)", IF(X497&gt;='Methodology &amp; Assumptions'!$B$8, "Tier 2 High GIDA (Score 40.0–49.9)", "Tier 3 Moderate GIDA (Score &lt; 40.0)"))</f>
        <v/>
      </c>
      <c r="V497" s="26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W497" s="28" t="n">
        <v>0.07200000000000001</v>
      </c>
      <c r="X497" s="14" t="n">
        <v>53.9</v>
      </c>
      <c r="Y497" s="14">
        <f>ROUND(MIN(100, (X497/69.91)*100), 2)</f>
        <v/>
      </c>
    </row>
    <row r="498">
      <c r="A498" s="10" t="n">
        <v>1</v>
      </c>
      <c r="B498" s="10" t="n">
        <v>494</v>
      </c>
      <c r="C498" s="10" t="n">
        <v>494</v>
      </c>
      <c r="D498" s="10" t="inlineStr">
        <is>
          <t>PH0000494</t>
        </is>
      </c>
      <c r="E498" s="26" t="inlineStr">
        <is>
          <t>VI</t>
        </is>
      </c>
      <c r="F498" s="26" t="inlineStr">
        <is>
          <t>Iloilo</t>
        </is>
      </c>
      <c r="G498" s="26" t="inlineStr">
        <is>
          <t>Iloilo City</t>
        </is>
      </c>
      <c r="H498" s="26" t="inlineStr">
        <is>
          <t>Montinola</t>
        </is>
      </c>
      <c r="I498" s="27" t="n">
        <v>10.794295</v>
      </c>
      <c r="J498" s="27" t="n">
        <v>122.583816</v>
      </c>
      <c r="K498" s="10" t="inlineStr">
        <is>
          <t>R</t>
        </is>
      </c>
      <c r="L498" s="12" t="n">
        <v>2230</v>
      </c>
      <c r="M498" s="14" t="n">
        <v>3.8</v>
      </c>
      <c r="N498" s="12">
        <f>ROUND(L498/M498, 0)</f>
        <v/>
      </c>
      <c r="O498" s="12">
        <f>ROUND(N498*'Methodology &amp; Assumptions'!$B$5, 0)</f>
        <v/>
      </c>
      <c r="P498" s="10" t="inlineStr">
        <is>
          <t>Single Carrier (Band n50, 100MHz TDD)</t>
        </is>
      </c>
      <c r="Q498" s="13">
        <f>ROUNDUP(O498/'Methodology &amp; Assumptions'!$B$6, 0)</f>
        <v/>
      </c>
      <c r="R498" s="13" t="n">
        <v>1</v>
      </c>
      <c r="S498" s="14" t="n">
        <v>1</v>
      </c>
      <c r="T498" s="14" t="n">
        <v>0.9</v>
      </c>
      <c r="U498" s="26">
        <f>IF(X498&gt;='Methodology &amp; Assumptions'!$B$7, "Tier 1 Critical GIDA (Score ≥ 50.0)", IF(X498&gt;='Methodology &amp; Assumptions'!$B$8, "Tier 2 High GIDA (Score 40.0–49.9)", "Tier 3 Moderate GIDA (Score &lt; 40.0)"))</f>
        <v/>
      </c>
      <c r="V498" s="26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W498" s="28" t="n">
        <v>0.156</v>
      </c>
      <c r="X498" s="14" t="n">
        <v>53.9</v>
      </c>
      <c r="Y498" s="14">
        <f>ROUND(MIN(100, (X498/69.91)*100), 2)</f>
        <v/>
      </c>
    </row>
    <row r="499">
      <c r="A499" s="10" t="n">
        <v>1</v>
      </c>
      <c r="B499" s="10" t="n">
        <v>495</v>
      </c>
      <c r="C499" s="10" t="n">
        <v>495</v>
      </c>
      <c r="D499" s="10" t="inlineStr">
        <is>
          <t>1402701007</t>
        </is>
      </c>
      <c r="E499" s="26" t="inlineStr">
        <is>
          <t>Cordillera Administrative Region (CAR)</t>
        </is>
      </c>
      <c r="F499" s="26" t="inlineStr">
        <is>
          <t>Ifugao</t>
        </is>
      </c>
      <c r="G499" s="26" t="inlineStr">
        <is>
          <t>Banaue</t>
        </is>
      </c>
      <c r="H499" s="26" t="inlineStr">
        <is>
          <t>Banao</t>
        </is>
      </c>
      <c r="I499" s="27" t="n">
        <v>16.8814</v>
      </c>
      <c r="J499" s="27" t="n">
        <v>121.18859</v>
      </c>
      <c r="K499" s="10" t="inlineStr">
        <is>
          <t>R</t>
        </is>
      </c>
      <c r="L499" s="12" t="n">
        <v>517</v>
      </c>
      <c r="M499" s="14" t="n">
        <v>3.9</v>
      </c>
      <c r="N499" s="12">
        <f>ROUND(L499/M499, 0)</f>
        <v/>
      </c>
      <c r="O499" s="12">
        <f>ROUND(N499*'Methodology &amp; Assumptions'!$B$5, 0)</f>
        <v/>
      </c>
      <c r="P499" s="10" t="inlineStr">
        <is>
          <t>Single Carrier (Band n50, 100MHz TDD)</t>
        </is>
      </c>
      <c r="Q499" s="13">
        <f>ROUNDUP(O499/'Methodology &amp; Assumptions'!$B$6, 0)</f>
        <v/>
      </c>
      <c r="R499" s="13" t="n">
        <v>1</v>
      </c>
      <c r="S499" s="14" t="n">
        <v>3.89</v>
      </c>
      <c r="T499" s="14" t="n">
        <v>11.3</v>
      </c>
      <c r="U499" s="26">
        <f>IF(X499&gt;='Methodology &amp; Assumptions'!$B$7, "Tier 1 Critical GIDA (Score ≥ 50.0)", IF(X499&gt;='Methodology &amp; Assumptions'!$B$8, "Tier 2 High GIDA (Score 40.0–49.9)", "Tier 3 Moderate GIDA (Score &lt; 40.0)"))</f>
        <v/>
      </c>
      <c r="V499" s="26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W499" s="28" t="n">
        <v>0.109</v>
      </c>
      <c r="X499" s="14" t="n">
        <v>53.88</v>
      </c>
      <c r="Y499" s="14">
        <f>ROUND(MIN(100, (X499/69.91)*100), 2)</f>
        <v/>
      </c>
    </row>
    <row r="500">
      <c r="A500" s="10" t="n">
        <v>1</v>
      </c>
      <c r="B500" s="10" t="n">
        <v>496</v>
      </c>
      <c r="C500" s="10" t="n">
        <v>496</v>
      </c>
      <c r="D500" s="10" t="inlineStr">
        <is>
          <t>1004303002</t>
        </is>
      </c>
      <c r="E500" s="26" t="inlineStr">
        <is>
          <t>Region X (Northern Mindanao)</t>
        </is>
      </c>
      <c r="F500" s="26" t="inlineStr">
        <is>
          <t>Misamis Oriental</t>
        </is>
      </c>
      <c r="G500" s="26" t="inlineStr">
        <is>
          <t>Balingoan</t>
        </is>
      </c>
      <c r="H500" s="26" t="inlineStr">
        <is>
          <t>Dahilig</t>
        </is>
      </c>
      <c r="I500" s="27" t="n">
        <v>8.983222</v>
      </c>
      <c r="J500" s="27" t="n">
        <v>124.856006</v>
      </c>
      <c r="K500" s="10" t="inlineStr">
        <is>
          <t>R</t>
        </is>
      </c>
      <c r="L500" s="12" t="n">
        <v>335</v>
      </c>
      <c r="M500" s="14" t="n">
        <v>3.9</v>
      </c>
      <c r="N500" s="12">
        <f>ROUND(L500/M500, 0)</f>
        <v/>
      </c>
      <c r="O500" s="12">
        <f>ROUND(N500*'Methodology &amp; Assumptions'!$B$5, 0)</f>
        <v/>
      </c>
      <c r="P500" s="10" t="inlineStr">
        <is>
          <t>Single Carrier (Band n50, 100MHz TDD)</t>
        </is>
      </c>
      <c r="Q500" s="13">
        <f>ROUNDUP(O500/'Methodology &amp; Assumptions'!$B$6, 0)</f>
        <v/>
      </c>
      <c r="R500" s="13" t="n">
        <v>1</v>
      </c>
      <c r="S500" s="14" t="n">
        <v>2.74</v>
      </c>
      <c r="T500" s="14" t="n">
        <v>2.31</v>
      </c>
      <c r="U500" s="26">
        <f>IF(X500&gt;='Methodology &amp; Assumptions'!$B$7, "Tier 1 Critical GIDA (Score ≥ 50.0)", IF(X500&gt;='Methodology &amp; Assumptions'!$B$8, "Tier 2 High GIDA (Score 40.0–49.9)", "Tier 3 Moderate GIDA (Score &lt; 40.0)"))</f>
        <v/>
      </c>
      <c r="V500" s="26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W500" s="28" t="n">
        <v>0.174</v>
      </c>
      <c r="X500" s="14" t="n">
        <v>53.88</v>
      </c>
      <c r="Y500" s="14">
        <f>ROUND(MIN(100, (X500/69.91)*100), 2)</f>
        <v/>
      </c>
    </row>
    <row r="501">
      <c r="A501" s="10" t="n">
        <v>1</v>
      </c>
      <c r="B501" s="10" t="n">
        <v>497</v>
      </c>
      <c r="C501" s="10" t="n">
        <v>497</v>
      </c>
      <c r="D501" s="10" t="inlineStr">
        <is>
          <t>0205008019</t>
        </is>
      </c>
      <c r="E501" s="26" t="inlineStr">
        <is>
          <t>Region II (Cagayan Valley)</t>
        </is>
      </c>
      <c r="F501" s="26" t="inlineStr">
        <is>
          <t>Nueva Vizcaya</t>
        </is>
      </c>
      <c r="G501" s="26" t="inlineStr">
        <is>
          <t>Dupax del Sur</t>
        </is>
      </c>
      <c r="H501" s="26" t="inlineStr">
        <is>
          <t>Kimbutan</t>
        </is>
      </c>
      <c r="I501" s="27" t="n">
        <v>16.16574</v>
      </c>
      <c r="J501" s="27" t="n">
        <v>121.22724</v>
      </c>
      <c r="K501" s="10" t="inlineStr">
        <is>
          <t>R</t>
        </is>
      </c>
      <c r="L501" s="12" t="n">
        <v>1561</v>
      </c>
      <c r="M501" s="14" t="n">
        <v>3.8</v>
      </c>
      <c r="N501" s="12">
        <f>ROUND(L501/M501, 0)</f>
        <v/>
      </c>
      <c r="O501" s="12">
        <f>ROUND(N501*'Methodology &amp; Assumptions'!$B$5, 0)</f>
        <v/>
      </c>
      <c r="P501" s="10" t="inlineStr">
        <is>
          <t>Single Carrier (Band n50, 100MHz TDD)</t>
        </is>
      </c>
      <c r="Q501" s="13">
        <f>ROUNDUP(O501/'Methodology &amp; Assumptions'!$B$6, 0)</f>
        <v/>
      </c>
      <c r="R501" s="13" t="n">
        <v>1</v>
      </c>
      <c r="S501" s="14" t="n">
        <v>4.99</v>
      </c>
      <c r="T501" s="14" t="n">
        <v>24.23</v>
      </c>
      <c r="U501" s="26">
        <f>IF(X501&gt;='Methodology &amp; Assumptions'!$B$7, "Tier 1 Critical GIDA (Score ≥ 50.0)", IF(X501&gt;='Methodology &amp; Assumptions'!$B$8, "Tier 2 High GIDA (Score 40.0–49.9)", "Tier 3 Moderate GIDA (Score &lt; 40.0)"))</f>
        <v/>
      </c>
      <c r="V501" s="26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W501" s="28" t="n">
        <v>0.083</v>
      </c>
      <c r="X501" s="14" t="n">
        <v>53.87</v>
      </c>
      <c r="Y501" s="14">
        <f>ROUND(MIN(100, (X501/69.91)*100), 2)</f>
        <v/>
      </c>
    </row>
    <row r="502">
      <c r="A502" s="10" t="n">
        <v>1</v>
      </c>
      <c r="B502" s="10" t="n">
        <v>498</v>
      </c>
      <c r="C502" s="10" t="n">
        <v>498</v>
      </c>
      <c r="D502" s="10" t="inlineStr">
        <is>
          <t>PH0000498</t>
        </is>
      </c>
      <c r="E502" s="26" t="inlineStr">
        <is>
          <t>X</t>
        </is>
      </c>
      <c r="F502" s="26" t="inlineStr">
        <is>
          <t>Misamis Oriental</t>
        </is>
      </c>
      <c r="G502" s="26" t="inlineStr">
        <is>
          <t>Cagayan De Oro City</t>
        </is>
      </c>
      <c r="H502" s="26" t="inlineStr">
        <is>
          <t>Barangay 39 (Pob.)</t>
        </is>
      </c>
      <c r="I502" s="27" t="n">
        <v>8.436144000000001</v>
      </c>
      <c r="J502" s="27" t="n">
        <v>124.577785</v>
      </c>
      <c r="K502" s="10" t="inlineStr">
        <is>
          <t>R</t>
        </is>
      </c>
      <c r="L502" s="12" t="n">
        <v>2272</v>
      </c>
      <c r="M502" s="14" t="n">
        <v>3.9</v>
      </c>
      <c r="N502" s="12">
        <f>ROUND(L502/M502, 0)</f>
        <v/>
      </c>
      <c r="O502" s="12">
        <f>ROUND(N502*'Methodology &amp; Assumptions'!$B$5, 0)</f>
        <v/>
      </c>
      <c r="P502" s="10" t="inlineStr">
        <is>
          <t>Single Carrier (Band n50, 100MHz TDD)</t>
        </is>
      </c>
      <c r="Q502" s="13">
        <f>ROUNDUP(O502/'Methodology &amp; Assumptions'!$B$6, 0)</f>
        <v/>
      </c>
      <c r="R502" s="13" t="n">
        <v>1</v>
      </c>
      <c r="S502" s="14" t="n">
        <v>4.6</v>
      </c>
      <c r="T502" s="14" t="n">
        <v>4.29</v>
      </c>
      <c r="U502" s="26">
        <f>IF(X502&gt;='Methodology &amp; Assumptions'!$B$7, "Tier 1 Critical GIDA (Score ≥ 50.0)", IF(X502&gt;='Methodology &amp; Assumptions'!$B$8, "Tier 2 High GIDA (Score 40.0–49.9)", "Tier 3 Moderate GIDA (Score &lt; 40.0)"))</f>
        <v/>
      </c>
      <c r="V502" s="26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W502" s="28" t="n">
        <v>0.234</v>
      </c>
      <c r="X502" s="14" t="n">
        <v>53.87</v>
      </c>
      <c r="Y502" s="14">
        <f>ROUND(MIN(100, (X502/69.91)*100), 2)</f>
        <v/>
      </c>
    </row>
    <row r="503">
      <c r="A503" s="10" t="n">
        <v>1</v>
      </c>
      <c r="B503" s="10" t="n">
        <v>499</v>
      </c>
      <c r="C503" s="10" t="n">
        <v>499</v>
      </c>
      <c r="D503" s="10" t="inlineStr">
        <is>
          <t>0405625010</t>
        </is>
      </c>
      <c r="E503" s="26" t="inlineStr">
        <is>
          <t>Region IV-A (CALABARZON)</t>
        </is>
      </c>
      <c r="F503" s="26" t="inlineStr">
        <is>
          <t>Quezon</t>
        </is>
      </c>
      <c r="G503" s="26" t="inlineStr">
        <is>
          <t>Macalelon</t>
        </is>
      </c>
      <c r="H503" s="26" t="inlineStr">
        <is>
          <t>Malabahay</t>
        </is>
      </c>
      <c r="I503" s="27" t="n">
        <v>13.75478</v>
      </c>
      <c r="J503" s="27" t="n">
        <v>122.24454</v>
      </c>
      <c r="K503" s="10" t="inlineStr">
        <is>
          <t>R</t>
        </is>
      </c>
      <c r="L503" s="12" t="n">
        <v>720</v>
      </c>
      <c r="M503" s="14" t="n">
        <v>3.8</v>
      </c>
      <c r="N503" s="12">
        <f>ROUND(L503/M503, 0)</f>
        <v/>
      </c>
      <c r="O503" s="12">
        <f>ROUND(N503*'Methodology &amp; Assumptions'!$B$5, 0)</f>
        <v/>
      </c>
      <c r="P503" s="10" t="inlineStr">
        <is>
          <t>Single Carrier (Band n50, 100MHz TDD)</t>
        </is>
      </c>
      <c r="Q503" s="13">
        <f>ROUNDUP(O503/'Methodology &amp; Assumptions'!$B$6, 0)</f>
        <v/>
      </c>
      <c r="R503" s="13" t="n">
        <v>1</v>
      </c>
      <c r="S503" s="14" t="n">
        <v>7.6</v>
      </c>
      <c r="T503" s="14" t="n">
        <v>7.44</v>
      </c>
      <c r="U503" s="26">
        <f>IF(X503&gt;='Methodology &amp; Assumptions'!$B$7, "Tier 1 Critical GIDA (Score ≥ 50.0)", IF(X503&gt;='Methodology &amp; Assumptions'!$B$8, "Tier 2 High GIDA (Score 40.0–49.9)", "Tier 3 Moderate GIDA (Score &lt; 40.0)"))</f>
        <v/>
      </c>
      <c r="V503" s="26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W503" s="28" t="n">
        <v>0.07200000000000001</v>
      </c>
      <c r="X503" s="14" t="n">
        <v>53.86</v>
      </c>
      <c r="Y503" s="14">
        <f>ROUND(MIN(100, (X503/69.91)*100), 2)</f>
        <v/>
      </c>
    </row>
    <row r="504">
      <c r="A504" s="10" t="n">
        <v>1</v>
      </c>
      <c r="B504" s="10" t="n">
        <v>500</v>
      </c>
      <c r="C504" s="10" t="n">
        <v>500</v>
      </c>
      <c r="D504" s="10" t="inlineStr">
        <is>
          <t>1380601110</t>
        </is>
      </c>
      <c r="E504" s="26" t="inlineStr">
        <is>
          <t>National Capital Region (NCR)</t>
        </is>
      </c>
      <c r="F504" s="26" t="inlineStr">
        <is>
          <t>First District (Not a Province)</t>
        </is>
      </c>
      <c r="G504" s="26" t="inlineStr">
        <is>
          <t>City of Manila</t>
        </is>
      </c>
      <c r="H504" s="26" t="inlineStr">
        <is>
          <t>Barangay 110</t>
        </is>
      </c>
      <c r="I504" s="27" t="n">
        <v>12.92187</v>
      </c>
      <c r="J504" s="27" t="n">
        <v>121.690901</v>
      </c>
      <c r="K504" s="10" t="inlineStr">
        <is>
          <t>U</t>
        </is>
      </c>
      <c r="L504" s="12" t="n">
        <v>2758</v>
      </c>
      <c r="M504" s="14" t="n">
        <v>3.9</v>
      </c>
      <c r="N504" s="12">
        <f>ROUND(L504/M504, 0)</f>
        <v/>
      </c>
      <c r="O504" s="12">
        <f>ROUND(N504*'Methodology &amp; Assumptions'!$B$5, 0)</f>
        <v/>
      </c>
      <c r="P504" s="10" t="inlineStr">
        <is>
          <t>Single Carrier (Band n50, 100MHz TDD)</t>
        </is>
      </c>
      <c r="Q504" s="13">
        <f>ROUNDUP(O504/'Methodology &amp; Assumptions'!$B$6, 0)</f>
        <v/>
      </c>
      <c r="R504" s="13" t="n">
        <v>1</v>
      </c>
      <c r="S504" s="14" t="n">
        <v>23.5</v>
      </c>
      <c r="T504" s="14" t="n">
        <v>23.38</v>
      </c>
      <c r="U504" s="26">
        <f>IF(X504&gt;='Methodology &amp; Assumptions'!$B$7, "Tier 1 Critical GIDA (Score ≥ 50.0)", IF(X504&gt;='Methodology &amp; Assumptions'!$B$8, "Tier 2 High GIDA (Score 40.0–49.9)", "Tier 3 Moderate GIDA (Score &lt; 40.0)"))</f>
        <v/>
      </c>
      <c r="V504" s="26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W504" s="28" t="n">
        <v>0.109</v>
      </c>
      <c r="X504" s="14" t="n">
        <v>53.86</v>
      </c>
      <c r="Y504" s="14">
        <f>ROUND(MIN(100, (X504/69.91)*100), 2)</f>
        <v/>
      </c>
    </row>
    <row r="505">
      <c r="A505" s="10" t="n">
        <v>1</v>
      </c>
      <c r="B505" s="10" t="n">
        <v>501</v>
      </c>
      <c r="C505" s="10" t="n">
        <v>501</v>
      </c>
      <c r="D505" s="10" t="inlineStr">
        <is>
          <t>PH0000501</t>
        </is>
      </c>
      <c r="E505" s="26" t="inlineStr">
        <is>
          <t>III</t>
        </is>
      </c>
      <c r="F505" s="26" t="inlineStr">
        <is>
          <t>Nueva Ecija</t>
        </is>
      </c>
      <c r="G505" s="26" t="inlineStr">
        <is>
          <t>Cabanatuan City</t>
        </is>
      </c>
      <c r="H505" s="26" t="inlineStr">
        <is>
          <t>Bernardo District (Pob.)</t>
        </is>
      </c>
      <c r="I505" s="27" t="n">
        <v>15.5013</v>
      </c>
      <c r="J505" s="27" t="n">
        <v>120.984864</v>
      </c>
      <c r="K505" s="10" t="inlineStr">
        <is>
          <t>R</t>
        </is>
      </c>
      <c r="L505" s="12" t="n">
        <v>2398</v>
      </c>
      <c r="M505" s="14" t="n">
        <v>3.5</v>
      </c>
      <c r="N505" s="12">
        <f>ROUND(L505/M505, 0)</f>
        <v/>
      </c>
      <c r="O505" s="12">
        <f>ROUND(N505*'Methodology &amp; Assumptions'!$B$5, 0)</f>
        <v/>
      </c>
      <c r="P505" s="10" t="inlineStr">
        <is>
          <t>Single Carrier (Band n50, 100MHz TDD)</t>
        </is>
      </c>
      <c r="Q505" s="13">
        <f>ROUNDUP(O505/'Methodology &amp; Assumptions'!$B$6, 0)</f>
        <v/>
      </c>
      <c r="R505" s="13" t="n">
        <v>1</v>
      </c>
      <c r="S505" s="14" t="n">
        <v>3.35</v>
      </c>
      <c r="T505" s="14" t="n">
        <v>0.65</v>
      </c>
      <c r="U505" s="26">
        <f>IF(X505&gt;='Methodology &amp; Assumptions'!$B$7, "Tier 1 Critical GIDA (Score ≥ 50.0)", IF(X505&gt;='Methodology &amp; Assumptions'!$B$8, "Tier 2 High GIDA (Score 40.0–49.9)", "Tier 3 Moderate GIDA (Score &lt; 40.0)"))</f>
        <v/>
      </c>
      <c r="V505" s="26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W505" s="28" t="n">
        <v>0.083</v>
      </c>
      <c r="X505" s="14" t="n">
        <v>53.86</v>
      </c>
      <c r="Y505" s="14">
        <f>ROUND(MIN(100, (X505/69.91)*100), 2)</f>
        <v/>
      </c>
    </row>
    <row r="506">
      <c r="A506" s="10" t="n">
        <v>1</v>
      </c>
      <c r="B506" s="10" t="n">
        <v>502</v>
      </c>
      <c r="C506" s="10" t="n">
        <v>502</v>
      </c>
      <c r="D506" s="10" t="inlineStr">
        <is>
          <t>1403201016</t>
        </is>
      </c>
      <c r="E506" s="26" t="inlineStr">
        <is>
          <t>Cordillera Administrative Region (CAR)</t>
        </is>
      </c>
      <c r="F506" s="26" t="inlineStr">
        <is>
          <t>Kalinga</t>
        </is>
      </c>
      <c r="G506" s="26" t="inlineStr">
        <is>
          <t>Balbalan</t>
        </is>
      </c>
      <c r="H506" s="26" t="inlineStr">
        <is>
          <t>Tawang</t>
        </is>
      </c>
      <c r="I506" s="27" t="n">
        <v>17.59054</v>
      </c>
      <c r="J506" s="27" t="n">
        <v>121.22044</v>
      </c>
      <c r="K506" s="10" t="inlineStr">
        <is>
          <t>R</t>
        </is>
      </c>
      <c r="L506" s="12" t="n">
        <v>836</v>
      </c>
      <c r="M506" s="14" t="n">
        <v>4.3</v>
      </c>
      <c r="N506" s="12">
        <f>ROUND(L506/M506, 0)</f>
        <v/>
      </c>
      <c r="O506" s="12">
        <f>ROUND(N506*'Methodology &amp; Assumptions'!$B$5, 0)</f>
        <v/>
      </c>
      <c r="P506" s="10" t="inlineStr">
        <is>
          <t>Single Carrier (Band n50, 100MHz TDD)</t>
        </is>
      </c>
      <c r="Q506" s="13">
        <f>ROUNDUP(O506/'Methodology &amp; Assumptions'!$B$6, 0)</f>
        <v/>
      </c>
      <c r="R506" s="13" t="n">
        <v>1</v>
      </c>
      <c r="S506" s="14" t="n">
        <v>13.28</v>
      </c>
      <c r="T506" s="14" t="n">
        <v>19.71</v>
      </c>
      <c r="U506" s="26">
        <f>IF(X506&gt;='Methodology &amp; Assumptions'!$B$7, "Tier 1 Critical GIDA (Score ≥ 50.0)", IF(X506&gt;='Methodology &amp; Assumptions'!$B$8, "Tier 2 High GIDA (Score 40.0–49.9)", "Tier 3 Moderate GIDA (Score &lt; 40.0)"))</f>
        <v/>
      </c>
      <c r="V506" s="26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W506" s="28" t="n">
        <v>0.109</v>
      </c>
      <c r="X506" s="14" t="n">
        <v>53.85</v>
      </c>
      <c r="Y506" s="14">
        <f>ROUND(MIN(100, (X506/69.91)*100), 2)</f>
        <v/>
      </c>
    </row>
    <row r="507">
      <c r="A507" s="10" t="n">
        <v>1</v>
      </c>
      <c r="B507" s="10" t="n">
        <v>503</v>
      </c>
      <c r="C507" s="10" t="n">
        <v>503</v>
      </c>
      <c r="D507" s="10" t="inlineStr">
        <is>
          <t>0200901003</t>
        </is>
      </c>
      <c r="E507" s="26" t="inlineStr">
        <is>
          <t>Region II (Cagayan Valley)</t>
        </is>
      </c>
      <c r="F507" s="26" t="inlineStr">
        <is>
          <t>Batanes</t>
        </is>
      </c>
      <c r="G507" s="26" t="inlineStr">
        <is>
          <t>Basco</t>
        </is>
      </c>
      <c r="H507" s="26" t="inlineStr">
        <is>
          <t>San Antonio</t>
        </is>
      </c>
      <c r="I507" s="27" t="n">
        <v>20.450544</v>
      </c>
      <c r="J507" s="27" t="n">
        <v>121.968207</v>
      </c>
      <c r="K507" s="10" t="inlineStr">
        <is>
          <t>R</t>
        </is>
      </c>
      <c r="L507" s="12" t="n">
        <v>2260</v>
      </c>
      <c r="M507" s="14" t="n">
        <v>3</v>
      </c>
      <c r="N507" s="12">
        <f>ROUND(L507/M507, 0)</f>
        <v/>
      </c>
      <c r="O507" s="12">
        <f>ROUND(N507*'Methodology &amp; Assumptions'!$B$5, 0)</f>
        <v/>
      </c>
      <c r="P507" s="10" t="inlineStr">
        <is>
          <t>Single Carrier (Band n50, 100MHz TDD)</t>
        </is>
      </c>
      <c r="Q507" s="13">
        <f>ROUNDUP(O507/'Methodology &amp; Assumptions'!$B$6, 0)</f>
        <v/>
      </c>
      <c r="R507" s="13" t="n">
        <v>1</v>
      </c>
      <c r="S507" s="14" t="n">
        <v>223.95</v>
      </c>
      <c r="T507" s="14" t="n">
        <v>217.52</v>
      </c>
      <c r="U507" s="26">
        <f>IF(X507&gt;='Methodology &amp; Assumptions'!$B$7, "Tier 1 Critical GIDA (Score ≥ 50.0)", IF(X507&gt;='Methodology &amp; Assumptions'!$B$8, "Tier 2 High GIDA (Score 40.0–49.9)", "Tier 3 Moderate GIDA (Score &lt; 40.0)"))</f>
        <v/>
      </c>
      <c r="V507" s="26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W507" s="28" t="n">
        <v>0.083</v>
      </c>
      <c r="X507" s="14" t="n">
        <v>53.85</v>
      </c>
      <c r="Y507" s="14">
        <f>ROUND(MIN(100, (X507/69.91)*100), 2)</f>
        <v/>
      </c>
    </row>
    <row r="508">
      <c r="A508" s="10" t="n">
        <v>1</v>
      </c>
      <c r="B508" s="10" t="n">
        <v>504</v>
      </c>
      <c r="C508" s="10" t="n">
        <v>504</v>
      </c>
      <c r="D508" s="10" t="inlineStr">
        <is>
          <t>PH0000504</t>
        </is>
      </c>
      <c r="E508" s="26" t="inlineStr">
        <is>
          <t>IV-A</t>
        </is>
      </c>
      <c r="F508" s="26" t="inlineStr">
        <is>
          <t>Batangas</t>
        </is>
      </c>
      <c r="G508" s="26" t="inlineStr">
        <is>
          <t>Lipa City</t>
        </is>
      </c>
      <c r="H508" s="26" t="inlineStr">
        <is>
          <t>Poblacion Barangay 1</t>
        </is>
      </c>
      <c r="I508" s="27" t="n">
        <v>13.942152</v>
      </c>
      <c r="J508" s="27" t="n">
        <v>121.156818</v>
      </c>
      <c r="K508" s="10" t="inlineStr">
        <is>
          <t>R</t>
        </is>
      </c>
      <c r="L508" s="12" t="n">
        <v>2259</v>
      </c>
      <c r="M508" s="14" t="n">
        <v>3.6</v>
      </c>
      <c r="N508" s="12">
        <f>ROUND(L508/M508, 0)</f>
        <v/>
      </c>
      <c r="O508" s="12">
        <f>ROUND(N508*'Methodology &amp; Assumptions'!$B$5, 0)</f>
        <v/>
      </c>
      <c r="P508" s="10" t="inlineStr">
        <is>
          <t>Single Carrier (Band n50, 100MHz TDD)</t>
        </is>
      </c>
      <c r="Q508" s="13">
        <f>ROUNDUP(O508/'Methodology &amp; Assumptions'!$B$6, 0)</f>
        <v/>
      </c>
      <c r="R508" s="13" t="n">
        <v>1</v>
      </c>
      <c r="S508" s="14" t="n">
        <v>1.07</v>
      </c>
      <c r="T508" s="14" t="n">
        <v>0.16</v>
      </c>
      <c r="U508" s="26">
        <f>IF(X508&gt;='Methodology &amp; Assumptions'!$B$7, "Tier 1 Critical GIDA (Score ≥ 50.0)", IF(X508&gt;='Methodology &amp; Assumptions'!$B$8, "Tier 2 High GIDA (Score 40.0–49.9)", "Tier 3 Moderate GIDA (Score &lt; 40.0)"))</f>
        <v/>
      </c>
      <c r="V508" s="26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W508" s="28" t="n">
        <v>0.07200000000000001</v>
      </c>
      <c r="X508" s="14" t="n">
        <v>53.85</v>
      </c>
      <c r="Y508" s="14">
        <f>ROUND(MIN(100, (X508/69.91)*100), 2)</f>
        <v/>
      </c>
    </row>
    <row r="509">
      <c r="A509" s="10" t="n">
        <v>1</v>
      </c>
      <c r="B509" s="10" t="n">
        <v>505</v>
      </c>
      <c r="C509" s="10" t="n">
        <v>505</v>
      </c>
      <c r="D509" s="10" t="inlineStr">
        <is>
          <t>PH0000505</t>
        </is>
      </c>
      <c r="E509" s="26" t="inlineStr">
        <is>
          <t>II</t>
        </is>
      </c>
      <c r="F509" s="26" t="inlineStr">
        <is>
          <t>Nueva Vizcaya</t>
        </is>
      </c>
      <c r="G509" s="26" t="inlineStr">
        <is>
          <t>Quezon N Vizcaya</t>
        </is>
      </c>
      <c r="H509" s="26" t="inlineStr">
        <is>
          <t>Dagupan</t>
        </is>
      </c>
      <c r="I509" s="27" t="n">
        <v>16.387723</v>
      </c>
      <c r="J509" s="27" t="n">
        <v>121.145229</v>
      </c>
      <c r="K509" s="10" t="inlineStr">
        <is>
          <t>R</t>
        </is>
      </c>
      <c r="L509" s="12" t="n">
        <v>2464</v>
      </c>
      <c r="M509" s="14" t="n">
        <v>3.8</v>
      </c>
      <c r="N509" s="12">
        <f>ROUND(L509/M509, 0)</f>
        <v/>
      </c>
      <c r="O509" s="12">
        <f>ROUND(N509*'Methodology &amp; Assumptions'!$B$5, 0)</f>
        <v/>
      </c>
      <c r="P509" s="10" t="inlineStr">
        <is>
          <t>Single Carrier (Band n50, 100MHz TDD)</t>
        </is>
      </c>
      <c r="Q509" s="13">
        <f>ROUNDUP(O509/'Methodology &amp; Assumptions'!$B$6, 0)</f>
        <v/>
      </c>
      <c r="R509" s="13" t="n">
        <v>1</v>
      </c>
      <c r="S509" s="14" t="n">
        <v>4.76</v>
      </c>
      <c r="T509" s="14" t="n">
        <v>3.75</v>
      </c>
      <c r="U509" s="26">
        <f>IF(X509&gt;='Methodology &amp; Assumptions'!$B$7, "Tier 1 Critical GIDA (Score ≥ 50.0)", IF(X509&gt;='Methodology &amp; Assumptions'!$B$8, "Tier 2 High GIDA (Score 40.0–49.9)", "Tier 3 Moderate GIDA (Score &lt; 40.0)"))</f>
        <v/>
      </c>
      <c r="V509" s="26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W509" s="28" t="n">
        <v>0.083</v>
      </c>
      <c r="X509" s="14" t="n">
        <v>53.84</v>
      </c>
      <c r="Y509" s="14">
        <f>ROUND(MIN(100, (X509/69.91)*100), 2)</f>
        <v/>
      </c>
    </row>
    <row r="510">
      <c r="A510" s="10" t="n">
        <v>1</v>
      </c>
      <c r="B510" s="10" t="n">
        <v>506</v>
      </c>
      <c r="C510" s="10" t="n">
        <v>506</v>
      </c>
      <c r="D510" s="10" t="inlineStr">
        <is>
          <t>0201529029</t>
        </is>
      </c>
      <c r="E510" s="26" t="inlineStr">
        <is>
          <t>Region II (Cagayan Valley)</t>
        </is>
      </c>
      <c r="F510" s="26" t="inlineStr">
        <is>
          <t>Cagayan</t>
        </is>
      </c>
      <c r="G510" s="26" t="inlineStr">
        <is>
          <t>Tuguegarao City</t>
        </is>
      </c>
      <c r="H510" s="26" t="inlineStr">
        <is>
          <t>Namabbalan Norte</t>
        </is>
      </c>
      <c r="I510" s="27" t="n">
        <v>17.613499</v>
      </c>
      <c r="J510" s="27" t="n">
        <v>121.735491</v>
      </c>
      <c r="K510" s="10" t="inlineStr">
        <is>
          <t>R</t>
        </is>
      </c>
      <c r="L510" s="12" t="n">
        <v>1566</v>
      </c>
      <c r="M510" s="14" t="n">
        <v>3.9</v>
      </c>
      <c r="N510" s="12">
        <f>ROUND(L510/M510, 0)</f>
        <v/>
      </c>
      <c r="O510" s="12">
        <f>ROUND(N510*'Methodology &amp; Assumptions'!$B$5, 0)</f>
        <v/>
      </c>
      <c r="P510" s="10" t="inlineStr">
        <is>
          <t>Single Carrier (Band n50, 100MHz TDD)</t>
        </is>
      </c>
      <c r="Q510" s="13">
        <f>ROUNDUP(O510/'Methodology &amp; Assumptions'!$B$6, 0)</f>
        <v/>
      </c>
      <c r="R510" s="13" t="n">
        <v>1</v>
      </c>
      <c r="S510" s="14" t="n">
        <v>4.39</v>
      </c>
      <c r="T510" s="14" t="n">
        <v>0.19</v>
      </c>
      <c r="U510" s="26">
        <f>IF(X510&gt;='Methodology &amp; Assumptions'!$B$7, "Tier 1 Critical GIDA (Score ≥ 50.0)", IF(X510&gt;='Methodology &amp; Assumptions'!$B$8, "Tier 2 High GIDA (Score 40.0–49.9)", "Tier 3 Moderate GIDA (Score &lt; 40.0)"))</f>
        <v/>
      </c>
      <c r="V510" s="26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W510" s="28" t="n">
        <v>0.083</v>
      </c>
      <c r="X510" s="14" t="n">
        <v>53.83</v>
      </c>
      <c r="Y510" s="14">
        <f>ROUND(MIN(100, (X510/69.91)*100), 2)</f>
        <v/>
      </c>
    </row>
    <row r="511">
      <c r="A511" s="10" t="n">
        <v>1</v>
      </c>
      <c r="B511" s="10" t="n">
        <v>507</v>
      </c>
      <c r="C511" s="10" t="n">
        <v>507</v>
      </c>
      <c r="D511" s="10" t="inlineStr">
        <is>
          <t>1380601012</t>
        </is>
      </c>
      <c r="E511" s="26" t="inlineStr">
        <is>
          <t>National Capital Region (NCR)</t>
        </is>
      </c>
      <c r="F511" s="26" t="inlineStr">
        <is>
          <t>First District (Not a Province)</t>
        </is>
      </c>
      <c r="G511" s="26" t="inlineStr">
        <is>
          <t>City of Manila</t>
        </is>
      </c>
      <c r="H511" s="26" t="inlineStr">
        <is>
          <t>Barangay 12</t>
        </is>
      </c>
      <c r="I511" s="27" t="n">
        <v>12.903687</v>
      </c>
      <c r="J511" s="27" t="n">
        <v>121.865829</v>
      </c>
      <c r="K511" s="10" t="inlineStr">
        <is>
          <t>U</t>
        </is>
      </c>
      <c r="L511" s="12" t="n">
        <v>2202</v>
      </c>
      <c r="M511" s="14" t="n">
        <v>3.9</v>
      </c>
      <c r="N511" s="12">
        <f>ROUND(L511/M511, 0)</f>
        <v/>
      </c>
      <c r="O511" s="12">
        <f>ROUND(N511*'Methodology &amp; Assumptions'!$B$5, 0)</f>
        <v/>
      </c>
      <c r="P511" s="10" t="inlineStr">
        <is>
          <t>Single Carrier (Band n50, 100MHz TDD)</t>
        </is>
      </c>
      <c r="Q511" s="13">
        <f>ROUNDUP(O511/'Methodology &amp; Assumptions'!$B$6, 0)</f>
        <v/>
      </c>
      <c r="R511" s="13" t="n">
        <v>1</v>
      </c>
      <c r="S511" s="14" t="n">
        <v>42.53</v>
      </c>
      <c r="T511" s="14" t="n">
        <v>42.44</v>
      </c>
      <c r="U511" s="26">
        <f>IF(X511&gt;='Methodology &amp; Assumptions'!$B$7, "Tier 1 Critical GIDA (Score ≥ 50.0)", IF(X511&gt;='Methodology &amp; Assumptions'!$B$8, "Tier 2 High GIDA (Score 40.0–49.9)", "Tier 3 Moderate GIDA (Score &lt; 40.0)"))</f>
        <v/>
      </c>
      <c r="V511" s="26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W511" s="28" t="n">
        <v>0.109</v>
      </c>
      <c r="X511" s="14" t="n">
        <v>53.83</v>
      </c>
      <c r="Y511" s="14">
        <f>ROUND(MIN(100, (X511/69.91)*100), 2)</f>
        <v/>
      </c>
    </row>
    <row r="512">
      <c r="A512" s="10" t="n">
        <v>1</v>
      </c>
      <c r="B512" s="10" t="n">
        <v>508</v>
      </c>
      <c r="C512" s="10" t="n">
        <v>508</v>
      </c>
      <c r="D512" s="10" t="inlineStr">
        <is>
          <t>1380900006</t>
        </is>
      </c>
      <c r="E512" s="26" t="inlineStr">
        <is>
          <t>National Capital Region (NCR)</t>
        </is>
      </c>
      <c r="F512" s="26" t="inlineStr">
        <is>
          <t>Third District (Not a Province)</t>
        </is>
      </c>
      <c r="G512" s="26" t="inlineStr">
        <is>
          <t>City of Navotas</t>
        </is>
      </c>
      <c r="H512" s="26" t="inlineStr">
        <is>
          <t>Navotas East</t>
        </is>
      </c>
      <c r="I512" s="27" t="n">
        <v>14.659096</v>
      </c>
      <c r="J512" s="27" t="n">
        <v>120.939986</v>
      </c>
      <c r="K512" s="10" t="inlineStr">
        <is>
          <t>U</t>
        </is>
      </c>
      <c r="L512" s="12" t="n">
        <v>2172</v>
      </c>
      <c r="M512" s="14" t="n">
        <v>3.4</v>
      </c>
      <c r="N512" s="12">
        <f>ROUND(L512/M512, 0)</f>
        <v/>
      </c>
      <c r="O512" s="12">
        <f>ROUND(N512*'Methodology &amp; Assumptions'!$B$5, 0)</f>
        <v/>
      </c>
      <c r="P512" s="10" t="inlineStr">
        <is>
          <t>Single Carrier (Band n50, 100MHz TDD)</t>
        </is>
      </c>
      <c r="Q512" s="13">
        <f>ROUNDUP(O512/'Methodology &amp; Assumptions'!$B$6, 0)</f>
        <v/>
      </c>
      <c r="R512" s="13" t="n">
        <v>1</v>
      </c>
      <c r="S512" s="14" t="n">
        <v>0.78</v>
      </c>
      <c r="T512" s="14" t="n">
        <v>1.2</v>
      </c>
      <c r="U512" s="26">
        <f>IF(X512&gt;='Methodology &amp; Assumptions'!$B$7, "Tier 1 Critical GIDA (Score ≥ 50.0)", IF(X512&gt;='Methodology &amp; Assumptions'!$B$8, "Tier 2 High GIDA (Score 40.0–49.9)", "Tier 3 Moderate GIDA (Score &lt; 40.0)"))</f>
        <v/>
      </c>
      <c r="V512" s="26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W512" s="28" t="n">
        <v>0.109</v>
      </c>
      <c r="X512" s="14" t="n">
        <v>53.82</v>
      </c>
      <c r="Y512" s="14">
        <f>ROUND(MIN(100, (X512/69.91)*100), 2)</f>
        <v/>
      </c>
    </row>
    <row r="513">
      <c r="A513" s="10" t="n">
        <v>1</v>
      </c>
      <c r="B513" s="10" t="n">
        <v>509</v>
      </c>
      <c r="C513" s="10" t="n">
        <v>509</v>
      </c>
      <c r="D513" s="10" t="inlineStr">
        <is>
          <t>1400108013</t>
        </is>
      </c>
      <c r="E513" s="26" t="inlineStr">
        <is>
          <t>Cordillera Administrative Region (CAR)</t>
        </is>
      </c>
      <c r="F513" s="26" t="inlineStr">
        <is>
          <t>Abra</t>
        </is>
      </c>
      <c r="G513" s="26" t="inlineStr">
        <is>
          <t>La Paz</t>
        </is>
      </c>
      <c r="H513" s="26" t="inlineStr">
        <is>
          <t>Udangan</t>
        </is>
      </c>
      <c r="I513" s="27" t="n">
        <v>17.639015</v>
      </c>
      <c r="J513" s="27" t="n">
        <v>120.614062</v>
      </c>
      <c r="K513" s="10" t="inlineStr">
        <is>
          <t>R</t>
        </is>
      </c>
      <c r="L513" s="12" t="n">
        <v>549</v>
      </c>
      <c r="M513" s="14" t="n">
        <v>3.8</v>
      </c>
      <c r="N513" s="12">
        <f>ROUND(L513/M513, 0)</f>
        <v/>
      </c>
      <c r="O513" s="12">
        <f>ROUND(N513*'Methodology &amp; Assumptions'!$B$5, 0)</f>
        <v/>
      </c>
      <c r="P513" s="10" t="inlineStr">
        <is>
          <t>Single Carrier (Band n50, 100MHz TDD)</t>
        </is>
      </c>
      <c r="Q513" s="13">
        <f>ROUNDUP(O513/'Methodology &amp; Assumptions'!$B$6, 0)</f>
        <v/>
      </c>
      <c r="R513" s="13" t="n">
        <v>1</v>
      </c>
      <c r="S513" s="14" t="n">
        <v>5.18</v>
      </c>
      <c r="T513" s="14" t="n">
        <v>1.33</v>
      </c>
      <c r="U513" s="26">
        <f>IF(X513&gt;='Methodology &amp; Assumptions'!$B$7, "Tier 1 Critical GIDA (Score ≥ 50.0)", IF(X513&gt;='Methodology &amp; Assumptions'!$B$8, "Tier 2 High GIDA (Score 40.0–49.9)", "Tier 3 Moderate GIDA (Score &lt; 40.0)"))</f>
        <v/>
      </c>
      <c r="V513" s="26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W513" s="28" t="n">
        <v>0.109</v>
      </c>
      <c r="X513" s="14" t="n">
        <v>53.81</v>
      </c>
      <c r="Y513" s="14">
        <f>ROUND(MIN(100, (X513/69.91)*100), 2)</f>
        <v/>
      </c>
    </row>
    <row r="514">
      <c r="A514" s="10" t="n">
        <v>1</v>
      </c>
      <c r="B514" s="10" t="n">
        <v>510</v>
      </c>
      <c r="C514" s="10" t="n">
        <v>510</v>
      </c>
      <c r="D514" s="10" t="inlineStr">
        <is>
          <t>0205009001</t>
        </is>
      </c>
      <c r="E514" s="26" t="inlineStr">
        <is>
          <t>Region II (Cagayan Valley)</t>
        </is>
      </c>
      <c r="F514" s="26" t="inlineStr">
        <is>
          <t>Nueva Vizcaya</t>
        </is>
      </c>
      <c r="G514" s="26" t="inlineStr">
        <is>
          <t>Kasibu</t>
        </is>
      </c>
      <c r="H514" s="26" t="inlineStr">
        <is>
          <t>Antutot</t>
        </is>
      </c>
      <c r="I514" s="27" t="n">
        <v>16.3938</v>
      </c>
      <c r="J514" s="27" t="n">
        <v>121.21541</v>
      </c>
      <c r="K514" s="10" t="inlineStr">
        <is>
          <t>R</t>
        </is>
      </c>
      <c r="L514" s="12" t="n">
        <v>1876</v>
      </c>
      <c r="M514" s="14" t="n">
        <v>3.8</v>
      </c>
      <c r="N514" s="12">
        <f>ROUND(L514/M514, 0)</f>
        <v/>
      </c>
      <c r="O514" s="12">
        <f>ROUND(N514*'Methodology &amp; Assumptions'!$B$5, 0)</f>
        <v/>
      </c>
      <c r="P514" s="10" t="inlineStr">
        <is>
          <t>Single Carrier (Band n50, 100MHz TDD)</t>
        </is>
      </c>
      <c r="Q514" s="13">
        <f>ROUNDUP(O514/'Methodology &amp; Assumptions'!$B$6, 0)</f>
        <v/>
      </c>
      <c r="R514" s="13" t="n">
        <v>1</v>
      </c>
      <c r="S514" s="14" t="n">
        <v>12.02</v>
      </c>
      <c r="T514" s="14" t="n">
        <v>10.18</v>
      </c>
      <c r="U514" s="26">
        <f>IF(X514&gt;='Methodology &amp; Assumptions'!$B$7, "Tier 1 Critical GIDA (Score ≥ 50.0)", IF(X514&gt;='Methodology &amp; Assumptions'!$B$8, "Tier 2 High GIDA (Score 40.0–49.9)", "Tier 3 Moderate GIDA (Score &lt; 40.0)"))</f>
        <v/>
      </c>
      <c r="V514" s="26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W514" s="28" t="n">
        <v>0.083</v>
      </c>
      <c r="X514" s="14" t="n">
        <v>53.81</v>
      </c>
      <c r="Y514" s="14">
        <f>ROUND(MIN(100, (X514/69.91)*100), 2)</f>
        <v/>
      </c>
    </row>
    <row r="515">
      <c r="A515" s="10" t="n">
        <v>1</v>
      </c>
      <c r="B515" s="10" t="n">
        <v>511</v>
      </c>
      <c r="C515" s="10" t="n">
        <v>511</v>
      </c>
      <c r="D515" s="10" t="inlineStr">
        <is>
          <t>0500518020</t>
        </is>
      </c>
      <c r="E515" s="26" t="inlineStr">
        <is>
          <t>Region V (Bicol Region)</t>
        </is>
      </c>
      <c r="F515" s="26" t="inlineStr">
        <is>
          <t>Albay</t>
        </is>
      </c>
      <c r="G515" s="26" t="inlineStr">
        <is>
          <t>Tiwi</t>
        </is>
      </c>
      <c r="H515" s="26" t="inlineStr">
        <is>
          <t>Misibis</t>
        </is>
      </c>
      <c r="I515" s="27" t="n">
        <v>13.509007</v>
      </c>
      <c r="J515" s="27" t="n">
        <v>123.609197</v>
      </c>
      <c r="K515" s="10" t="inlineStr">
        <is>
          <t>R</t>
        </is>
      </c>
      <c r="L515" s="12" t="n">
        <v>2262</v>
      </c>
      <c r="M515" s="14" t="n">
        <v>4.1</v>
      </c>
      <c r="N515" s="12">
        <f>ROUND(L515/M515, 0)</f>
        <v/>
      </c>
      <c r="O515" s="12">
        <f>ROUND(N515*'Methodology &amp; Assumptions'!$B$5, 0)</f>
        <v/>
      </c>
      <c r="P515" s="10" t="inlineStr">
        <is>
          <t>Single Carrier (Band n50, 100MHz TDD)</t>
        </is>
      </c>
      <c r="Q515" s="13">
        <f>ROUNDUP(O515/'Methodology &amp; Assumptions'!$B$6, 0)</f>
        <v/>
      </c>
      <c r="R515" s="13" t="n">
        <v>1</v>
      </c>
      <c r="S515" s="14" t="n">
        <v>0.17</v>
      </c>
      <c r="T515" s="14" t="n">
        <v>0.08</v>
      </c>
      <c r="U515" s="26">
        <f>IF(X515&gt;='Methodology &amp; Assumptions'!$B$7, "Tier 1 Critical GIDA (Score ≥ 50.0)", IF(X515&gt;='Methodology &amp; Assumptions'!$B$8, "Tier 2 High GIDA (Score 40.0–49.9)", "Tier 3 Moderate GIDA (Score &lt; 40.0)"))</f>
        <v/>
      </c>
      <c r="V515" s="26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W515" s="28" t="n">
        <v>0.237</v>
      </c>
      <c r="X515" s="14" t="n">
        <v>53.8</v>
      </c>
      <c r="Y515" s="14">
        <f>ROUND(MIN(100, (X515/69.91)*100), 2)</f>
        <v/>
      </c>
    </row>
    <row r="516">
      <c r="A516" s="10" t="n">
        <v>1</v>
      </c>
      <c r="B516" s="10" t="n">
        <v>512</v>
      </c>
      <c r="C516" s="10" t="n">
        <v>512</v>
      </c>
      <c r="D516" s="10" t="inlineStr">
        <is>
          <t>0405617013</t>
        </is>
      </c>
      <c r="E516" s="26" t="inlineStr">
        <is>
          <t>Region IV-A (CALABARZON)</t>
        </is>
      </c>
      <c r="F516" s="26" t="inlineStr">
        <is>
          <t>Quezon</t>
        </is>
      </c>
      <c r="G516" s="26" t="inlineStr">
        <is>
          <t>General Nakar</t>
        </is>
      </c>
      <c r="H516" s="26" t="inlineStr">
        <is>
          <t>Pagsangahan</t>
        </is>
      </c>
      <c r="I516" s="27" t="n">
        <v>14.607262</v>
      </c>
      <c r="J516" s="27" t="n">
        <v>121.45059</v>
      </c>
      <c r="K516" s="10" t="inlineStr">
        <is>
          <t>R</t>
        </is>
      </c>
      <c r="L516" s="12" t="n">
        <v>1547</v>
      </c>
      <c r="M516" s="14" t="n">
        <v>3.8</v>
      </c>
      <c r="N516" s="12">
        <f>ROUND(L516/M516, 0)</f>
        <v/>
      </c>
      <c r="O516" s="12">
        <f>ROUND(N516*'Methodology &amp; Assumptions'!$B$5, 0)</f>
        <v/>
      </c>
      <c r="P516" s="10" t="inlineStr">
        <is>
          <t>Single Carrier (Band n50, 100MHz TDD)</t>
        </is>
      </c>
      <c r="Q516" s="13">
        <f>ROUNDUP(O516/'Methodology &amp; Assumptions'!$B$6, 0)</f>
        <v/>
      </c>
      <c r="R516" s="13" t="n">
        <v>1</v>
      </c>
      <c r="S516" s="14" t="n">
        <v>11.75</v>
      </c>
      <c r="T516" s="14" t="n">
        <v>18.31</v>
      </c>
      <c r="U516" s="26">
        <f>IF(X516&gt;='Methodology &amp; Assumptions'!$B$7, "Tier 1 Critical GIDA (Score ≥ 50.0)", IF(X516&gt;='Methodology &amp; Assumptions'!$B$8, "Tier 2 High GIDA (Score 40.0–49.9)", "Tier 3 Moderate GIDA (Score &lt; 40.0)"))</f>
        <v/>
      </c>
      <c r="V516" s="26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W516" s="28" t="n">
        <v>0.07200000000000001</v>
      </c>
      <c r="X516" s="14" t="n">
        <v>53.8</v>
      </c>
      <c r="Y516" s="14">
        <f>ROUND(MIN(100, (X516/69.91)*100), 2)</f>
        <v/>
      </c>
    </row>
    <row r="517">
      <c r="A517" s="10" t="n">
        <v>1</v>
      </c>
      <c r="B517" s="10" t="n">
        <v>513</v>
      </c>
      <c r="C517" s="10" t="n">
        <v>513</v>
      </c>
      <c r="D517" s="10" t="inlineStr">
        <is>
          <t>1381400010</t>
        </is>
      </c>
      <c r="E517" s="26" t="inlineStr">
        <is>
          <t>National Capital Region (NCR)</t>
        </is>
      </c>
      <c r="F517" s="26" t="inlineStr">
        <is>
          <t>Second District (Not a Province)</t>
        </is>
      </c>
      <c r="G517" s="26" t="inlineStr">
        <is>
          <t>City of San Juan</t>
        </is>
      </c>
      <c r="H517" s="26" t="inlineStr">
        <is>
          <t>Maytunas</t>
        </is>
      </c>
      <c r="I517" s="27" t="n">
        <v>14.595467</v>
      </c>
      <c r="J517" s="27" t="n">
        <v>121.028117</v>
      </c>
      <c r="K517" s="10" t="inlineStr">
        <is>
          <t>U</t>
        </is>
      </c>
      <c r="L517" s="12" t="n">
        <v>2950</v>
      </c>
      <c r="M517" s="14" t="n">
        <v>3.6</v>
      </c>
      <c r="N517" s="12">
        <f>ROUND(L517/M517, 0)</f>
        <v/>
      </c>
      <c r="O517" s="12">
        <f>ROUND(N517*'Methodology &amp; Assumptions'!$B$5, 0)</f>
        <v/>
      </c>
      <c r="P517" s="10" t="inlineStr">
        <is>
          <t>Single Carrier (Band n50, 100MHz TDD)</t>
        </is>
      </c>
      <c r="Q517" s="13">
        <f>ROUNDUP(O517/'Methodology &amp; Assumptions'!$B$6, 0)</f>
        <v/>
      </c>
      <c r="R517" s="13" t="n">
        <v>1</v>
      </c>
      <c r="S517" s="14" t="n">
        <v>1.22</v>
      </c>
      <c r="T517" s="14" t="n">
        <v>0.23</v>
      </c>
      <c r="U517" s="26">
        <f>IF(X517&gt;='Methodology &amp; Assumptions'!$B$7, "Tier 1 Critical GIDA (Score ≥ 50.0)", IF(X517&gt;='Methodology &amp; Assumptions'!$B$8, "Tier 2 High GIDA (Score 40.0–49.9)", "Tier 3 Moderate GIDA (Score &lt; 40.0)"))</f>
        <v/>
      </c>
      <c r="V517" s="26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W517" s="28" t="n">
        <v>0.109</v>
      </c>
      <c r="X517" s="14" t="n">
        <v>53.79</v>
      </c>
      <c r="Y517" s="14">
        <f>ROUND(MIN(100, (X517/69.91)*100), 2)</f>
        <v/>
      </c>
    </row>
    <row r="518">
      <c r="A518" s="10" t="n">
        <v>1</v>
      </c>
      <c r="B518" s="10" t="n">
        <v>514</v>
      </c>
      <c r="C518" s="10" t="n">
        <v>514</v>
      </c>
      <c r="D518" s="10" t="inlineStr">
        <is>
          <t>1907003014</t>
        </is>
      </c>
      <c r="E518" s="26" t="inlineStr">
        <is>
          <t>Bangsamoro Autonomous Region In Muslim Mindanao (BARMM)</t>
        </is>
      </c>
      <c r="F518" s="26" t="inlineStr">
        <is>
          <t>Tawi-Tawi</t>
        </is>
      </c>
      <c r="G518" s="26" t="inlineStr">
        <is>
          <t>Mapun</t>
        </is>
      </c>
      <c r="H518" s="26" t="inlineStr">
        <is>
          <t>Liyubud</t>
        </is>
      </c>
      <c r="I518" s="27" t="n">
        <v>17.255754</v>
      </c>
      <c r="J518" s="27" t="n">
        <v>122.229798</v>
      </c>
      <c r="K518" s="10" t="inlineStr">
        <is>
          <t>R</t>
        </is>
      </c>
      <c r="L518" s="12" t="n">
        <v>3686</v>
      </c>
      <c r="M518" s="14" t="n">
        <v>5.8</v>
      </c>
      <c r="N518" s="12">
        <f>ROUND(L518/M518, 0)</f>
        <v/>
      </c>
      <c r="O518" s="12">
        <f>ROUND(N518*'Methodology &amp; Assumptions'!$B$5, 0)</f>
        <v/>
      </c>
      <c r="P518" s="10" t="inlineStr">
        <is>
          <t>Single Carrier (Band n50, 100MHz TDD)</t>
        </is>
      </c>
      <c r="Q518" s="13">
        <f>ROUNDUP(O518/'Methodology &amp; Assumptions'!$B$6, 0)</f>
        <v/>
      </c>
      <c r="R518" s="13" t="n">
        <v>1</v>
      </c>
      <c r="S518" s="14" t="n">
        <v>29.55</v>
      </c>
      <c r="T518" s="14" t="n">
        <v>34.42</v>
      </c>
      <c r="U518" s="26">
        <f>IF(X518&gt;='Methodology &amp; Assumptions'!$B$7, "Tier 1 Critical GIDA (Score ≥ 50.0)", IF(X518&gt;='Methodology &amp; Assumptions'!$B$8, "Tier 2 High GIDA (Score 40.0–49.9)", "Tier 3 Moderate GIDA (Score &lt; 40.0)"))</f>
        <v/>
      </c>
      <c r="V518" s="26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W518" s="28" t="n">
        <v>0.11</v>
      </c>
      <c r="X518" s="14" t="n">
        <v>53.79</v>
      </c>
      <c r="Y518" s="14">
        <f>ROUND(MIN(100, (X518/69.91)*100), 2)</f>
        <v/>
      </c>
    </row>
    <row r="519">
      <c r="A519" s="10" t="n">
        <v>1</v>
      </c>
      <c r="B519" s="10" t="n">
        <v>515</v>
      </c>
      <c r="C519" s="10" t="n">
        <v>515</v>
      </c>
      <c r="D519" s="10" t="inlineStr">
        <is>
          <t>0200901006</t>
        </is>
      </c>
      <c r="E519" s="26" t="inlineStr">
        <is>
          <t>Region II (Cagayan Valley)</t>
        </is>
      </c>
      <c r="F519" s="26" t="inlineStr">
        <is>
          <t>Batanes</t>
        </is>
      </c>
      <c r="G519" s="26" t="inlineStr">
        <is>
          <t>Basco</t>
        </is>
      </c>
      <c r="H519" s="26" t="inlineStr">
        <is>
          <t>Kayhuvokan</t>
        </is>
      </c>
      <c r="I519" s="27" t="n">
        <v>20.439237</v>
      </c>
      <c r="J519" s="27" t="n">
        <v>121.973542</v>
      </c>
      <c r="K519" s="10" t="inlineStr">
        <is>
          <t>R</t>
        </is>
      </c>
      <c r="L519" s="12" t="n">
        <v>1899</v>
      </c>
      <c r="M519" s="14" t="n">
        <v>3</v>
      </c>
      <c r="N519" s="12">
        <f>ROUND(L519/M519, 0)</f>
        <v/>
      </c>
      <c r="O519" s="12">
        <f>ROUND(N519*'Methodology &amp; Assumptions'!$B$5, 0)</f>
        <v/>
      </c>
      <c r="P519" s="10" t="inlineStr">
        <is>
          <t>Single Carrier (Band n50, 100MHz TDD)</t>
        </is>
      </c>
      <c r="Q519" s="13">
        <f>ROUNDUP(O519/'Methodology &amp; Assumptions'!$B$6, 0)</f>
        <v/>
      </c>
      <c r="R519" s="13" t="n">
        <v>1</v>
      </c>
      <c r="S519" s="14" t="n">
        <v>222.96</v>
      </c>
      <c r="T519" s="14" t="n">
        <v>216.22</v>
      </c>
      <c r="U519" s="26">
        <f>IF(X519&gt;='Methodology &amp; Assumptions'!$B$7, "Tier 1 Critical GIDA (Score ≥ 50.0)", IF(X519&gt;='Methodology &amp; Assumptions'!$B$8, "Tier 2 High GIDA (Score 40.0–49.9)", "Tier 3 Moderate GIDA (Score &lt; 40.0)"))</f>
        <v/>
      </c>
      <c r="V519" s="26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W519" s="28" t="n">
        <v>0.083</v>
      </c>
      <c r="X519" s="14" t="n">
        <v>53.78</v>
      </c>
      <c r="Y519" s="14">
        <f>ROUND(MIN(100, (X519/69.91)*100), 2)</f>
        <v/>
      </c>
    </row>
    <row r="520">
      <c r="A520" s="10" t="n">
        <v>1</v>
      </c>
      <c r="B520" s="10" t="n">
        <v>516</v>
      </c>
      <c r="C520" s="10" t="n">
        <v>516</v>
      </c>
      <c r="D520" s="10" t="inlineStr">
        <is>
          <t>1381400017</t>
        </is>
      </c>
      <c r="E520" s="26" t="inlineStr">
        <is>
          <t>National Capital Region (NCR)</t>
        </is>
      </c>
      <c r="F520" s="26" t="inlineStr">
        <is>
          <t>Second District (Not a Province)</t>
        </is>
      </c>
      <c r="G520" s="26" t="inlineStr">
        <is>
          <t>City of San Juan</t>
        </is>
      </c>
      <c r="H520" s="26" t="inlineStr">
        <is>
          <t>San Perfecto</t>
        </is>
      </c>
      <c r="I520" s="27" t="n">
        <v>14.603056</v>
      </c>
      <c r="J520" s="27" t="n">
        <v>121.023056</v>
      </c>
      <c r="K520" s="10" t="inlineStr">
        <is>
          <t>U</t>
        </is>
      </c>
      <c r="L520" s="12" t="n">
        <v>4909</v>
      </c>
      <c r="M520" s="14" t="n">
        <v>3.6</v>
      </c>
      <c r="N520" s="12">
        <f>ROUND(L520/M520, 0)</f>
        <v/>
      </c>
      <c r="O520" s="12">
        <f>ROUND(N520*'Methodology &amp; Assumptions'!$B$5, 0)</f>
        <v/>
      </c>
      <c r="P520" s="10" t="inlineStr">
        <is>
          <t>Single Carrier (Band n50, 100MHz TDD)</t>
        </is>
      </c>
      <c r="Q520" s="13">
        <f>ROUNDUP(O520/'Methodology &amp; Assumptions'!$B$6, 0)</f>
        <v/>
      </c>
      <c r="R520" s="13" t="n">
        <v>1</v>
      </c>
      <c r="S520" s="14" t="n">
        <v>1.77</v>
      </c>
      <c r="T520" s="14" t="n">
        <v>0.16</v>
      </c>
      <c r="U520" s="26">
        <f>IF(X520&gt;='Methodology &amp; Assumptions'!$B$7, "Tier 1 Critical GIDA (Score ≥ 50.0)", IF(X520&gt;='Methodology &amp; Assumptions'!$B$8, "Tier 2 High GIDA (Score 40.0–49.9)", "Tier 3 Moderate GIDA (Score &lt; 40.0)"))</f>
        <v/>
      </c>
      <c r="V520" s="26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W520" s="28" t="n">
        <v>0.109</v>
      </c>
      <c r="X520" s="14" t="n">
        <v>53.78</v>
      </c>
      <c r="Y520" s="14">
        <f>ROUND(MIN(100, (X520/69.91)*100), 2)</f>
        <v/>
      </c>
    </row>
    <row r="521">
      <c r="A521" s="10" t="n">
        <v>1</v>
      </c>
      <c r="B521" s="10" t="n">
        <v>517</v>
      </c>
      <c r="C521" s="10" t="n">
        <v>517</v>
      </c>
      <c r="D521" s="10" t="inlineStr">
        <is>
          <t>0600602029</t>
        </is>
      </c>
      <c r="E521" s="26" t="inlineStr">
        <is>
          <t>Region VI (Western Visayas)</t>
        </is>
      </c>
      <c r="F521" s="26" t="inlineStr">
        <is>
          <t>Antique</t>
        </is>
      </c>
      <c r="G521" s="26" t="inlineStr">
        <is>
          <t>Barbaza</t>
        </is>
      </c>
      <c r="H521" s="26" t="inlineStr">
        <is>
          <t>Mayabay</t>
        </is>
      </c>
      <c r="I521" s="27" t="n">
        <v>11.27449</v>
      </c>
      <c r="J521" s="27" t="n">
        <v>122.13541</v>
      </c>
      <c r="K521" s="10" t="inlineStr">
        <is>
          <t>R</t>
        </is>
      </c>
      <c r="L521" s="12" t="n">
        <v>272</v>
      </c>
      <c r="M521" s="14" t="n">
        <v>3.9</v>
      </c>
      <c r="N521" s="12">
        <f>ROUND(L521/M521, 0)</f>
        <v/>
      </c>
      <c r="O521" s="12">
        <f>ROUND(N521*'Methodology &amp; Assumptions'!$B$5, 0)</f>
        <v/>
      </c>
      <c r="P521" s="10" t="inlineStr">
        <is>
          <t>Single Carrier (Band n50, 100MHz TDD)</t>
        </is>
      </c>
      <c r="Q521" s="13">
        <f>ROUNDUP(O521/'Methodology &amp; Assumptions'!$B$6, 0)</f>
        <v/>
      </c>
      <c r="R521" s="13" t="n">
        <v>1</v>
      </c>
      <c r="S521" s="14" t="n">
        <v>40.9</v>
      </c>
      <c r="T521" s="14" t="n">
        <v>40.77</v>
      </c>
      <c r="U521" s="26">
        <f>IF(X521&gt;='Methodology &amp; Assumptions'!$B$7, "Tier 1 Critical GIDA (Score ≥ 50.0)", IF(X521&gt;='Methodology &amp; Assumptions'!$B$8, "Tier 2 High GIDA (Score 40.0–49.9)", "Tier 3 Moderate GIDA (Score &lt; 40.0)"))</f>
        <v/>
      </c>
      <c r="V521" s="26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W521" s="28" t="n">
        <v>0.237</v>
      </c>
      <c r="X521" s="14" t="n">
        <v>53.77</v>
      </c>
      <c r="Y521" s="14">
        <f>ROUND(MIN(100, (X521/69.91)*100), 2)</f>
        <v/>
      </c>
    </row>
    <row r="522">
      <c r="A522" s="10" t="n">
        <v>1</v>
      </c>
      <c r="B522" s="10" t="n">
        <v>518</v>
      </c>
      <c r="C522" s="10" t="n">
        <v>518</v>
      </c>
      <c r="D522" s="10" t="inlineStr">
        <is>
          <t>1108205012</t>
        </is>
      </c>
      <c r="E522" s="26" t="inlineStr">
        <is>
          <t>Region XI (Davao Region)</t>
        </is>
      </c>
      <c r="F522" s="26" t="inlineStr">
        <is>
          <t>Davao de Oro</t>
        </is>
      </c>
      <c r="G522" s="26" t="inlineStr">
        <is>
          <t>Maragusan</t>
        </is>
      </c>
      <c r="H522" s="26" t="inlineStr">
        <is>
          <t>Mabugnao</t>
        </is>
      </c>
      <c r="I522" s="27" t="n">
        <v>7.315939</v>
      </c>
      <c r="J522" s="27" t="n">
        <v>126.078469</v>
      </c>
      <c r="K522" s="10" t="inlineStr">
        <is>
          <t>R</t>
        </is>
      </c>
      <c r="L522" s="12" t="n">
        <v>415</v>
      </c>
      <c r="M522" s="14" t="n">
        <v>3.7</v>
      </c>
      <c r="N522" s="12">
        <f>ROUND(L522/M522, 0)</f>
        <v/>
      </c>
      <c r="O522" s="12">
        <f>ROUND(N522*'Methodology &amp; Assumptions'!$B$5, 0)</f>
        <v/>
      </c>
      <c r="P522" s="10" t="inlineStr">
        <is>
          <t>Single Carrier (Band n50, 100MHz TDD)</t>
        </is>
      </c>
      <c r="Q522" s="13">
        <f>ROUNDUP(O522/'Methodology &amp; Assumptions'!$B$6, 0)</f>
        <v/>
      </c>
      <c r="R522" s="13" t="n">
        <v>1</v>
      </c>
      <c r="S522" s="14" t="n">
        <v>24.6</v>
      </c>
      <c r="T522" s="14" t="n">
        <v>24.31</v>
      </c>
      <c r="U522" s="26">
        <f>IF(X522&gt;='Methodology &amp; Assumptions'!$B$7, "Tier 1 Critical GIDA (Score ≥ 50.0)", IF(X522&gt;='Methodology &amp; Assumptions'!$B$8, "Tier 2 High GIDA (Score 40.0–49.9)", "Tier 3 Moderate GIDA (Score &lt; 40.0)"))</f>
        <v/>
      </c>
      <c r="V522" s="26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W522" s="28" t="n">
        <v>0.174</v>
      </c>
      <c r="X522" s="14" t="n">
        <v>53.76</v>
      </c>
      <c r="Y522" s="14">
        <f>ROUND(MIN(100, (X522/69.91)*100), 2)</f>
        <v/>
      </c>
    </row>
    <row r="523">
      <c r="A523" s="10" t="n">
        <v>1</v>
      </c>
      <c r="B523" s="10" t="n">
        <v>519</v>
      </c>
      <c r="C523" s="10" t="n">
        <v>519</v>
      </c>
      <c r="D523" s="10" t="inlineStr">
        <is>
          <t>0307112017</t>
        </is>
      </c>
      <c r="E523" s="26" t="inlineStr">
        <is>
          <t>Region III (Central Luzon)</t>
        </is>
      </c>
      <c r="F523" s="26" t="inlineStr">
        <is>
          <t>Zambales</t>
        </is>
      </c>
      <c r="G523" s="26" t="inlineStr">
        <is>
          <t>San Narciso</t>
        </is>
      </c>
      <c r="H523" s="26" t="inlineStr">
        <is>
          <t>Omaya</t>
        </is>
      </c>
      <c r="I523" s="27" t="n">
        <v>15.004461</v>
      </c>
      <c r="J523" s="27" t="n">
        <v>120.160996</v>
      </c>
      <c r="K523" s="10" t="inlineStr">
        <is>
          <t>R</t>
        </is>
      </c>
      <c r="L523" s="12" t="n">
        <v>641</v>
      </c>
      <c r="M523" s="14" t="n">
        <v>3.8</v>
      </c>
      <c r="N523" s="12">
        <f>ROUND(L523/M523, 0)</f>
        <v/>
      </c>
      <c r="O523" s="12">
        <f>ROUND(N523*'Methodology &amp; Assumptions'!$B$5, 0)</f>
        <v/>
      </c>
      <c r="P523" s="10" t="inlineStr">
        <is>
          <t>Single Carrier (Band n50, 100MHz TDD)</t>
        </is>
      </c>
      <c r="Q523" s="13">
        <f>ROUNDUP(O523/'Methodology &amp; Assumptions'!$B$6, 0)</f>
        <v/>
      </c>
      <c r="R523" s="13" t="n">
        <v>1</v>
      </c>
      <c r="S523" s="14" t="n">
        <v>2.93</v>
      </c>
      <c r="T523" s="14" t="n">
        <v>3.41</v>
      </c>
      <c r="U523" s="26">
        <f>IF(X523&gt;='Methodology &amp; Assumptions'!$B$7, "Tier 1 Critical GIDA (Score ≥ 50.0)", IF(X523&gt;='Methodology &amp; Assumptions'!$B$8, "Tier 2 High GIDA (Score 40.0–49.9)", "Tier 3 Moderate GIDA (Score &lt; 40.0)"))</f>
        <v/>
      </c>
      <c r="V523" s="26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W523" s="28" t="n">
        <v>0.083</v>
      </c>
      <c r="X523" s="14" t="n">
        <v>53.75</v>
      </c>
      <c r="Y523" s="14">
        <f>ROUND(MIN(100, (X523/69.91)*100), 2)</f>
        <v/>
      </c>
    </row>
    <row r="524">
      <c r="A524" s="10" t="n">
        <v>1</v>
      </c>
      <c r="B524" s="10" t="n">
        <v>520</v>
      </c>
      <c r="C524" s="10" t="n">
        <v>520</v>
      </c>
      <c r="D524" s="10" t="inlineStr">
        <is>
          <t>PH0000520</t>
        </is>
      </c>
      <c r="E524" s="26" t="inlineStr">
        <is>
          <t>IV-B</t>
        </is>
      </c>
      <c r="F524" s="26" t="inlineStr">
        <is>
          <t>Palawan</t>
        </is>
      </c>
      <c r="G524" s="26" t="inlineStr">
        <is>
          <t>Puerto Princesa City</t>
        </is>
      </c>
      <c r="H524" s="26" t="inlineStr">
        <is>
          <t>Tagumpay (Pob.)</t>
        </is>
      </c>
      <c r="I524" s="27" t="n">
        <v>9.864815999999999</v>
      </c>
      <c r="J524" s="27" t="n">
        <v>118.761215</v>
      </c>
      <c r="K524" s="10" t="inlineStr">
        <is>
          <t>R</t>
        </is>
      </c>
      <c r="L524" s="12" t="n">
        <v>2597</v>
      </c>
      <c r="M524" s="14" t="n">
        <v>3.9</v>
      </c>
      <c r="N524" s="12">
        <f>ROUND(L524/M524, 0)</f>
        <v/>
      </c>
      <c r="O524" s="12">
        <f>ROUND(N524*'Methodology &amp; Assumptions'!$B$5, 0)</f>
        <v/>
      </c>
      <c r="P524" s="10" t="inlineStr">
        <is>
          <t>Single Carrier (Band n50, 100MHz TDD)</t>
        </is>
      </c>
      <c r="Q524" s="13">
        <f>ROUNDUP(O524/'Methodology &amp; Assumptions'!$B$6, 0)</f>
        <v/>
      </c>
      <c r="R524" s="13" t="n">
        <v>1</v>
      </c>
      <c r="S524" s="14" t="n">
        <v>3.97</v>
      </c>
      <c r="T524" s="14" t="n">
        <v>2.66</v>
      </c>
      <c r="U524" s="26">
        <f>IF(X524&gt;='Methodology &amp; Assumptions'!$B$7, "Tier 1 Critical GIDA (Score ≥ 50.0)", IF(X524&gt;='Methodology &amp; Assumptions'!$B$8, "Tier 2 High GIDA (Score 40.0–49.9)", "Tier 3 Moderate GIDA (Score &lt; 40.0)"))</f>
        <v/>
      </c>
      <c r="V524" s="26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W524" s="28" t="n">
        <v>0.109</v>
      </c>
      <c r="X524" s="14" t="n">
        <v>53.75</v>
      </c>
      <c r="Y524" s="14">
        <f>ROUND(MIN(100, (X524/69.91)*100), 2)</f>
        <v/>
      </c>
    </row>
    <row r="525">
      <c r="A525" s="10" t="n">
        <v>1</v>
      </c>
      <c r="B525" s="10" t="n">
        <v>521</v>
      </c>
      <c r="C525" s="10" t="n">
        <v>521</v>
      </c>
      <c r="D525" s="10" t="inlineStr">
        <is>
          <t>0500518018</t>
        </is>
      </c>
      <c r="E525" s="26" t="inlineStr">
        <is>
          <t>Region V (Bicol Region)</t>
        </is>
      </c>
      <c r="F525" s="26" t="inlineStr">
        <is>
          <t>Albay</t>
        </is>
      </c>
      <c r="G525" s="26" t="inlineStr">
        <is>
          <t>Tiwi</t>
        </is>
      </c>
      <c r="H525" s="26" t="inlineStr">
        <is>
          <t>Maynonong</t>
        </is>
      </c>
      <c r="I525" s="27" t="n">
        <v>13.497537</v>
      </c>
      <c r="J525" s="27" t="n">
        <v>123.617513</v>
      </c>
      <c r="K525" s="10" t="inlineStr">
        <is>
          <t>R</t>
        </is>
      </c>
      <c r="L525" s="12" t="n">
        <v>990</v>
      </c>
      <c r="M525" s="14" t="n">
        <v>4.1</v>
      </c>
      <c r="N525" s="12">
        <f>ROUND(L525/M525, 0)</f>
        <v/>
      </c>
      <c r="O525" s="12">
        <f>ROUND(N525*'Methodology &amp; Assumptions'!$B$5, 0)</f>
        <v/>
      </c>
      <c r="P525" s="10" t="inlineStr">
        <is>
          <t>Single Carrier (Band n50, 100MHz TDD)</t>
        </is>
      </c>
      <c r="Q525" s="13">
        <f>ROUNDUP(O525/'Methodology &amp; Assumptions'!$B$6, 0)</f>
        <v/>
      </c>
      <c r="R525" s="13" t="n">
        <v>1</v>
      </c>
      <c r="S525" s="14" t="n">
        <v>1.46</v>
      </c>
      <c r="T525" s="14" t="n">
        <v>0.19</v>
      </c>
      <c r="U525" s="26">
        <f>IF(X525&gt;='Methodology &amp; Assumptions'!$B$7, "Tier 1 Critical GIDA (Score ≥ 50.0)", IF(X525&gt;='Methodology &amp; Assumptions'!$B$8, "Tier 2 High GIDA (Score 40.0–49.9)", "Tier 3 Moderate GIDA (Score &lt; 40.0)"))</f>
        <v/>
      </c>
      <c r="V525" s="26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W525" s="28" t="n">
        <v>0.237</v>
      </c>
      <c r="X525" s="14" t="n">
        <v>53.74</v>
      </c>
      <c r="Y525" s="14">
        <f>ROUND(MIN(100, (X525/69.91)*100), 2)</f>
        <v/>
      </c>
    </row>
    <row r="526">
      <c r="A526" s="10" t="n">
        <v>1</v>
      </c>
      <c r="B526" s="10" t="n">
        <v>522</v>
      </c>
      <c r="C526" s="10" t="n">
        <v>522</v>
      </c>
      <c r="D526" s="10" t="inlineStr">
        <is>
          <t>PH0000522</t>
        </is>
      </c>
      <c r="E526" s="26" t="inlineStr">
        <is>
          <t>VI</t>
        </is>
      </c>
      <c r="F526" s="26" t="inlineStr">
        <is>
          <t>Iloilo</t>
        </is>
      </c>
      <c r="G526" s="26" t="inlineStr">
        <is>
          <t>Iloilo City</t>
        </is>
      </c>
      <c r="H526" s="26" t="inlineStr">
        <is>
          <t>Arguelles</t>
        </is>
      </c>
      <c r="I526" s="27" t="n">
        <v>10.627862</v>
      </c>
      <c r="J526" s="27" t="n">
        <v>122.580618</v>
      </c>
      <c r="K526" s="10" t="inlineStr">
        <is>
          <t>R</t>
        </is>
      </c>
      <c r="L526" s="12" t="n">
        <v>2230</v>
      </c>
      <c r="M526" s="14" t="n">
        <v>3.8</v>
      </c>
      <c r="N526" s="12">
        <f>ROUND(L526/M526, 0)</f>
        <v/>
      </c>
      <c r="O526" s="12">
        <f>ROUND(N526*'Methodology &amp; Assumptions'!$B$5, 0)</f>
        <v/>
      </c>
      <c r="P526" s="10" t="inlineStr">
        <is>
          <t>Single Carrier (Band n50, 100MHz TDD)</t>
        </is>
      </c>
      <c r="Q526" s="13">
        <f>ROUNDUP(O526/'Methodology &amp; Assumptions'!$B$6, 0)</f>
        <v/>
      </c>
      <c r="R526" s="13" t="n">
        <v>1</v>
      </c>
      <c r="S526" s="14" t="n">
        <v>8.119999999999999</v>
      </c>
      <c r="T526" s="14" t="n">
        <v>8.300000000000001</v>
      </c>
      <c r="U526" s="26">
        <f>IF(X526&gt;='Methodology &amp; Assumptions'!$B$7, "Tier 1 Critical GIDA (Score ≥ 50.0)", IF(X526&gt;='Methodology &amp; Assumptions'!$B$8, "Tier 2 High GIDA (Score 40.0–49.9)", "Tier 3 Moderate GIDA (Score &lt; 40.0)"))</f>
        <v/>
      </c>
      <c r="V526" s="26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W526" s="28" t="n">
        <v>0.156</v>
      </c>
      <c r="X526" s="14" t="n">
        <v>53.73</v>
      </c>
      <c r="Y526" s="14">
        <f>ROUND(MIN(100, (X526/69.91)*100), 2)</f>
        <v/>
      </c>
    </row>
    <row r="527">
      <c r="A527" s="10" t="n">
        <v>1</v>
      </c>
      <c r="B527" s="10" t="n">
        <v>523</v>
      </c>
      <c r="C527" s="10" t="n">
        <v>523</v>
      </c>
      <c r="D527" s="10" t="inlineStr">
        <is>
          <t>PH0000523</t>
        </is>
      </c>
      <c r="E527" s="26" t="inlineStr">
        <is>
          <t>VIII</t>
        </is>
      </c>
      <c r="F527" s="26" t="inlineStr">
        <is>
          <t>Samar (Western Samar)</t>
        </is>
      </c>
      <c r="G527" s="26" t="inlineStr">
        <is>
          <t>Catbalogan City</t>
        </is>
      </c>
      <c r="H527" s="26" t="inlineStr">
        <is>
          <t>Canhawan Gote</t>
        </is>
      </c>
      <c r="I527" s="27" t="n">
        <v>12.870839</v>
      </c>
      <c r="J527" s="27" t="n">
        <v>121.772397</v>
      </c>
      <c r="K527" s="10" t="inlineStr">
        <is>
          <t>R</t>
        </is>
      </c>
      <c r="L527" s="12" t="n">
        <v>2229</v>
      </c>
      <c r="M527" s="14" t="n">
        <v>4.1</v>
      </c>
      <c r="N527" s="12">
        <f>ROUND(L527/M527, 0)</f>
        <v/>
      </c>
      <c r="O527" s="12">
        <f>ROUND(N527*'Methodology &amp; Assumptions'!$B$5, 0)</f>
        <v/>
      </c>
      <c r="P527" s="10" t="inlineStr">
        <is>
          <t>Single Carrier (Band n50, 100MHz TDD)</t>
        </is>
      </c>
      <c r="Q527" s="13">
        <f>ROUNDUP(O527/'Methodology &amp; Assumptions'!$B$6, 0)</f>
        <v/>
      </c>
      <c r="R527" s="13" t="n">
        <v>1</v>
      </c>
      <c r="S527" s="14" t="n">
        <v>33.44</v>
      </c>
      <c r="T527" s="14" t="n">
        <v>33.21</v>
      </c>
      <c r="U527" s="26">
        <f>IF(X527&gt;='Methodology &amp; Assumptions'!$B$7, "Tier 1 Critical GIDA (Score ≥ 50.0)", IF(X527&gt;='Methodology &amp; Assumptions'!$B$8, "Tier 2 High GIDA (Score 40.0–49.9)", "Tier 3 Moderate GIDA (Score &lt; 40.0)"))</f>
        <v/>
      </c>
      <c r="V527" s="26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W527" s="28" t="n">
        <v>0.222</v>
      </c>
      <c r="X527" s="14" t="n">
        <v>53.73</v>
      </c>
      <c r="Y527" s="14">
        <f>ROUND(MIN(100, (X527/69.91)*100), 2)</f>
        <v/>
      </c>
    </row>
    <row r="528">
      <c r="A528" s="10" t="n">
        <v>1</v>
      </c>
      <c r="B528" s="10" t="n">
        <v>524</v>
      </c>
      <c r="C528" s="10" t="n">
        <v>524</v>
      </c>
      <c r="D528" s="10" t="inlineStr">
        <is>
          <t>0205010012</t>
        </is>
      </c>
      <c r="E528" s="26" t="inlineStr">
        <is>
          <t>Region II (Cagayan Valley)</t>
        </is>
      </c>
      <c r="F528" s="26" t="inlineStr">
        <is>
          <t>Nueva Vizcaya</t>
        </is>
      </c>
      <c r="G528" s="26" t="inlineStr">
        <is>
          <t>Kayapa</t>
        </is>
      </c>
      <c r="H528" s="26" t="inlineStr">
        <is>
          <t>Kayapa Proper East</t>
        </is>
      </c>
      <c r="I528" s="27" t="n">
        <v>16.28336</v>
      </c>
      <c r="J528" s="27" t="n">
        <v>120.86849</v>
      </c>
      <c r="K528" s="10" t="inlineStr">
        <is>
          <t>R</t>
        </is>
      </c>
      <c r="L528" s="12" t="n">
        <v>254</v>
      </c>
      <c r="M528" s="14" t="n">
        <v>3.8</v>
      </c>
      <c r="N528" s="12">
        <f>ROUND(L528/M528, 0)</f>
        <v/>
      </c>
      <c r="O528" s="12">
        <f>ROUND(N528*'Methodology &amp; Assumptions'!$B$5, 0)</f>
        <v/>
      </c>
      <c r="P528" s="10" t="inlineStr">
        <is>
          <t>Single Carrier (Band n50, 100MHz TDD)</t>
        </is>
      </c>
      <c r="Q528" s="13">
        <f>ROUNDUP(O528/'Methodology &amp; Assumptions'!$B$6, 0)</f>
        <v/>
      </c>
      <c r="R528" s="13" t="n">
        <v>1</v>
      </c>
      <c r="S528" s="14" t="n">
        <v>8.56</v>
      </c>
      <c r="T528" s="14" t="n">
        <v>8.460000000000001</v>
      </c>
      <c r="U528" s="26">
        <f>IF(X528&gt;='Methodology &amp; Assumptions'!$B$7, "Tier 1 Critical GIDA (Score ≥ 50.0)", IF(X528&gt;='Methodology &amp; Assumptions'!$B$8, "Tier 2 High GIDA (Score 40.0–49.9)", "Tier 3 Moderate GIDA (Score &lt; 40.0)"))</f>
        <v/>
      </c>
      <c r="V528" s="26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W528" s="28" t="n">
        <v>0.083</v>
      </c>
      <c r="X528" s="14" t="n">
        <v>53.72</v>
      </c>
      <c r="Y528" s="14">
        <f>ROUND(MIN(100, (X528/69.91)*100), 2)</f>
        <v/>
      </c>
    </row>
    <row r="529">
      <c r="A529" s="10" t="n">
        <v>1</v>
      </c>
      <c r="B529" s="10" t="n">
        <v>525</v>
      </c>
      <c r="C529" s="10" t="n">
        <v>525</v>
      </c>
      <c r="D529" s="10" t="inlineStr">
        <is>
          <t>0403403020</t>
        </is>
      </c>
      <c r="E529" s="26" t="inlineStr">
        <is>
          <t>Region IV-A (CALABARZON)</t>
        </is>
      </c>
      <c r="F529" s="26" t="inlineStr">
        <is>
          <t>Laguna</t>
        </is>
      </c>
      <c r="G529" s="26" t="inlineStr">
        <is>
          <t>City of Biñan</t>
        </is>
      </c>
      <c r="H529" s="26" t="inlineStr">
        <is>
          <t>San Jose</t>
        </is>
      </c>
      <c r="I529" s="27" t="n">
        <v>14.345833</v>
      </c>
      <c r="J529" s="27" t="n">
        <v>121.081739</v>
      </c>
      <c r="K529" s="10" t="inlineStr">
        <is>
          <t>U</t>
        </is>
      </c>
      <c r="L529" s="12" t="n">
        <v>7234</v>
      </c>
      <c r="M529" s="14" t="n">
        <v>3.3</v>
      </c>
      <c r="N529" s="12">
        <f>ROUND(L529/M529, 0)</f>
        <v/>
      </c>
      <c r="O529" s="12">
        <f>ROUND(N529*'Methodology &amp; Assumptions'!$B$5, 0)</f>
        <v/>
      </c>
      <c r="P529" s="10" t="inlineStr">
        <is>
          <t>Single Carrier (Band n50, 100MHz TDD)</t>
        </is>
      </c>
      <c r="Q529" s="13">
        <f>ROUNDUP(O529/'Methodology &amp; Assumptions'!$B$6, 0)</f>
        <v/>
      </c>
      <c r="R529" s="13" t="n">
        <v>1</v>
      </c>
      <c r="S529" s="14" t="n">
        <v>1.03</v>
      </c>
      <c r="T529" s="14" t="n">
        <v>0.77</v>
      </c>
      <c r="U529" s="26">
        <f>IF(X529&gt;='Methodology &amp; Assumptions'!$B$7, "Tier 1 Critical GIDA (Score ≥ 50.0)", IF(X529&gt;='Methodology &amp; Assumptions'!$B$8, "Tier 2 High GIDA (Score 40.0–49.9)", "Tier 3 Moderate GIDA (Score &lt; 40.0)"))</f>
        <v/>
      </c>
      <c r="V529" s="26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W529" s="28" t="n">
        <v>0.07200000000000001</v>
      </c>
      <c r="X529" s="14" t="n">
        <v>53.72</v>
      </c>
      <c r="Y529" s="14">
        <f>ROUND(MIN(100, (X529/69.91)*100), 2)</f>
        <v/>
      </c>
    </row>
    <row r="530">
      <c r="A530" s="10" t="n">
        <v>1</v>
      </c>
      <c r="B530" s="10" t="n">
        <v>526</v>
      </c>
      <c r="C530" s="10" t="n">
        <v>526</v>
      </c>
      <c r="D530" s="10" t="inlineStr">
        <is>
          <t>PH0000526</t>
        </is>
      </c>
      <c r="E530" s="26" t="inlineStr">
        <is>
          <t>NIR</t>
        </is>
      </c>
      <c r="F530" s="26" t="inlineStr">
        <is>
          <t>Negros Occidental</t>
        </is>
      </c>
      <c r="G530" s="26" t="inlineStr">
        <is>
          <t>Bacolod City</t>
        </is>
      </c>
      <c r="H530" s="26" t="inlineStr">
        <is>
          <t>Barangay 40 (Pob.)</t>
        </is>
      </c>
      <c r="I530" s="27" t="n">
        <v>10.67242</v>
      </c>
      <c r="J530" s="27" t="n">
        <v>122.952266</v>
      </c>
      <c r="K530" s="10" t="inlineStr">
        <is>
          <t>R</t>
        </is>
      </c>
      <c r="L530" s="12" t="n">
        <v>2279</v>
      </c>
      <c r="M530" s="14" t="n">
        <v>3.8</v>
      </c>
      <c r="N530" s="12">
        <f>ROUND(L530/M530, 0)</f>
        <v/>
      </c>
      <c r="O530" s="12">
        <f>ROUND(N530*'Methodology &amp; Assumptions'!$B$5, 0)</f>
        <v/>
      </c>
      <c r="P530" s="10" t="inlineStr">
        <is>
          <t>Single Carrier (Band n50, 100MHz TDD)</t>
        </is>
      </c>
      <c r="Q530" s="13">
        <f>ROUNDUP(O530/'Methodology &amp; Assumptions'!$B$6, 0)</f>
        <v/>
      </c>
      <c r="R530" s="13" t="n">
        <v>1</v>
      </c>
      <c r="S530" s="14" t="n">
        <v>0.62</v>
      </c>
      <c r="T530" s="14" t="n">
        <v>0.2</v>
      </c>
      <c r="U530" s="26">
        <f>IF(X530&gt;='Methodology &amp; Assumptions'!$B$7, "Tier 1 Critical GIDA (Score ≥ 50.0)", IF(X530&gt;='Methodology &amp; Assumptions'!$B$8, "Tier 2 High GIDA (Score 40.0–49.9)", "Tier 3 Moderate GIDA (Score &lt; 40.0)"))</f>
        <v/>
      </c>
      <c r="V530" s="26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W530" s="28" t="n">
        <v>0.109</v>
      </c>
      <c r="X530" s="14" t="n">
        <v>53.72</v>
      </c>
      <c r="Y530" s="14">
        <f>ROUND(MIN(100, (X530/69.91)*100), 2)</f>
        <v/>
      </c>
    </row>
    <row r="531">
      <c r="A531" s="10" t="n">
        <v>1</v>
      </c>
      <c r="B531" s="10" t="n">
        <v>527</v>
      </c>
      <c r="C531" s="10" t="n">
        <v>527</v>
      </c>
      <c r="D531" s="10" t="inlineStr">
        <is>
          <t>1403201007</t>
        </is>
      </c>
      <c r="E531" s="26" t="inlineStr">
        <is>
          <t>Cordillera Administrative Region (CAR)</t>
        </is>
      </c>
      <c r="F531" s="26" t="inlineStr">
        <is>
          <t>Kalinga</t>
        </is>
      </c>
      <c r="G531" s="26" t="inlineStr">
        <is>
          <t>Balbalan</t>
        </is>
      </c>
      <c r="H531" s="26" t="inlineStr">
        <is>
          <t>Gawa-an</t>
        </is>
      </c>
      <c r="I531" s="27" t="n">
        <v>17.516248</v>
      </c>
      <c r="J531" s="27" t="n">
        <v>121.20662</v>
      </c>
      <c r="K531" s="10" t="inlineStr">
        <is>
          <t>R</t>
        </is>
      </c>
      <c r="L531" s="12" t="n">
        <v>1006</v>
      </c>
      <c r="M531" s="14" t="n">
        <v>4.3</v>
      </c>
      <c r="N531" s="12">
        <f>ROUND(L531/M531, 0)</f>
        <v/>
      </c>
      <c r="O531" s="12">
        <f>ROUND(N531*'Methodology &amp; Assumptions'!$B$5, 0)</f>
        <v/>
      </c>
      <c r="P531" s="10" t="inlineStr">
        <is>
          <t>Single Carrier (Band n50, 100MHz TDD)</t>
        </is>
      </c>
      <c r="Q531" s="13">
        <f>ROUNDUP(O531/'Methodology &amp; Assumptions'!$B$6, 0)</f>
        <v/>
      </c>
      <c r="R531" s="13" t="n">
        <v>1</v>
      </c>
      <c r="S531" s="14" t="n">
        <v>14.92</v>
      </c>
      <c r="T531" s="14" t="n">
        <v>12.19</v>
      </c>
      <c r="U531" s="26">
        <f>IF(X531&gt;='Methodology &amp; Assumptions'!$B$7, "Tier 1 Critical GIDA (Score ≥ 50.0)", IF(X531&gt;='Methodology &amp; Assumptions'!$B$8, "Tier 2 High GIDA (Score 40.0–49.9)", "Tier 3 Moderate GIDA (Score &lt; 40.0)"))</f>
        <v/>
      </c>
      <c r="V531" s="26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W531" s="28" t="n">
        <v>0.109</v>
      </c>
      <c r="X531" s="14" t="n">
        <v>53.71</v>
      </c>
      <c r="Y531" s="14">
        <f>ROUND(MIN(100, (X531/69.91)*100), 2)</f>
        <v/>
      </c>
    </row>
    <row r="532">
      <c r="A532" s="10" t="n">
        <v>1</v>
      </c>
      <c r="B532" s="10" t="n">
        <v>528</v>
      </c>
      <c r="C532" s="10" t="n">
        <v>528</v>
      </c>
      <c r="D532" s="10" t="inlineStr">
        <is>
          <t>0600602015</t>
        </is>
      </c>
      <c r="E532" s="26" t="inlineStr">
        <is>
          <t>Region VI (Western Visayas)</t>
        </is>
      </c>
      <c r="F532" s="26" t="inlineStr">
        <is>
          <t>Antique</t>
        </is>
      </c>
      <c r="G532" s="26" t="inlineStr">
        <is>
          <t>Barbaza</t>
        </is>
      </c>
      <c r="H532" s="26" t="inlineStr">
        <is>
          <t>Idao</t>
        </is>
      </c>
      <c r="I532" s="27" t="n">
        <v>11.218866</v>
      </c>
      <c r="J532" s="27" t="n">
        <v>122.072917</v>
      </c>
      <c r="K532" s="10" t="inlineStr">
        <is>
          <t>R</t>
        </is>
      </c>
      <c r="L532" s="12" t="n">
        <v>255</v>
      </c>
      <c r="M532" s="14" t="n">
        <v>3.9</v>
      </c>
      <c r="N532" s="12">
        <f>ROUND(L532/M532, 0)</f>
        <v/>
      </c>
      <c r="O532" s="12">
        <f>ROUND(N532*'Methodology &amp; Assumptions'!$B$5, 0)</f>
        <v/>
      </c>
      <c r="P532" s="10" t="inlineStr">
        <is>
          <t>Single Carrier (Band n50, 100MHz TDD)</t>
        </is>
      </c>
      <c r="Q532" s="13">
        <f>ROUNDUP(O532/'Methodology &amp; Assumptions'!$B$6, 0)</f>
        <v/>
      </c>
      <c r="R532" s="13" t="n">
        <v>1</v>
      </c>
      <c r="S532" s="14" t="n">
        <v>50.03</v>
      </c>
      <c r="T532" s="14" t="n">
        <v>46.92</v>
      </c>
      <c r="U532" s="26">
        <f>IF(X532&gt;='Methodology &amp; Assumptions'!$B$7, "Tier 1 Critical GIDA (Score ≥ 50.0)", IF(X532&gt;='Methodology &amp; Assumptions'!$B$8, "Tier 2 High GIDA (Score 40.0–49.9)", "Tier 3 Moderate GIDA (Score &lt; 40.0)"))</f>
        <v/>
      </c>
      <c r="V532" s="26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W532" s="28" t="n">
        <v>0.237</v>
      </c>
      <c r="X532" s="14" t="n">
        <v>53.7</v>
      </c>
      <c r="Y532" s="14">
        <f>ROUND(MIN(100, (X532/69.91)*100), 2)</f>
        <v/>
      </c>
    </row>
    <row r="533">
      <c r="A533" s="10" t="n">
        <v>1</v>
      </c>
      <c r="B533" s="10" t="n">
        <v>529</v>
      </c>
      <c r="C533" s="10" t="n">
        <v>529</v>
      </c>
      <c r="D533" s="10" t="inlineStr">
        <is>
          <t>1404405004</t>
        </is>
      </c>
      <c r="E533" s="26" t="inlineStr">
        <is>
          <t>Cordillera Administrative Region (CAR)</t>
        </is>
      </c>
      <c r="F533" s="26" t="inlineStr">
        <is>
          <t>Mountain Province</t>
        </is>
      </c>
      <c r="G533" s="26" t="inlineStr">
        <is>
          <t>Natonin</t>
        </is>
      </c>
      <c r="H533" s="26" t="inlineStr">
        <is>
          <t>Banawal</t>
        </is>
      </c>
      <c r="I533" s="27" t="n">
        <v>17.111409</v>
      </c>
      <c r="J533" s="27" t="n">
        <v>121.295154</v>
      </c>
      <c r="K533" s="10" t="inlineStr">
        <is>
          <t>R</t>
        </is>
      </c>
      <c r="L533" s="12" t="n">
        <v>2142</v>
      </c>
      <c r="M533" s="14" t="n">
        <v>3.7</v>
      </c>
      <c r="N533" s="12">
        <f>ROUND(L533/M533, 0)</f>
        <v/>
      </c>
      <c r="O533" s="12">
        <f>ROUND(N533*'Methodology &amp; Assumptions'!$B$5, 0)</f>
        <v/>
      </c>
      <c r="P533" s="10" t="inlineStr">
        <is>
          <t>Single Carrier (Band n50, 100MHz TDD)</t>
        </is>
      </c>
      <c r="Q533" s="13">
        <f>ROUNDUP(O533/'Methodology &amp; Assumptions'!$B$6, 0)</f>
        <v/>
      </c>
      <c r="R533" s="13" t="n">
        <v>1</v>
      </c>
      <c r="S533" s="14" t="n">
        <v>1.64</v>
      </c>
      <c r="T533" s="14" t="n">
        <v>22.49</v>
      </c>
      <c r="U533" s="26">
        <f>IF(X533&gt;='Methodology &amp; Assumptions'!$B$7, "Tier 1 Critical GIDA (Score ≥ 50.0)", IF(X533&gt;='Methodology &amp; Assumptions'!$B$8, "Tier 2 High GIDA (Score 40.0–49.9)", "Tier 3 Moderate GIDA (Score &lt; 40.0)"))</f>
        <v/>
      </c>
      <c r="V533" s="26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W533" s="28" t="n">
        <v>0.109</v>
      </c>
      <c r="X533" s="14" t="n">
        <v>53.7</v>
      </c>
      <c r="Y533" s="14">
        <f>ROUND(MIN(100, (X533/69.91)*100), 2)</f>
        <v/>
      </c>
    </row>
    <row r="534">
      <c r="A534" s="10" t="n">
        <v>1</v>
      </c>
      <c r="B534" s="10" t="n">
        <v>530</v>
      </c>
      <c r="C534" s="10" t="n">
        <v>530</v>
      </c>
      <c r="D534" s="10" t="inlineStr">
        <is>
          <t>0806022022</t>
        </is>
      </c>
      <c r="E534" s="26" t="inlineStr">
        <is>
          <t>Region VIII (Eastern Visayas)</t>
        </is>
      </c>
      <c r="F534" s="26" t="inlineStr">
        <is>
          <t>Samar</t>
        </is>
      </c>
      <c r="G534" s="26" t="inlineStr">
        <is>
          <t>Paranas</t>
        </is>
      </c>
      <c r="H534" s="26" t="inlineStr">
        <is>
          <t>Pabanog</t>
        </is>
      </c>
      <c r="I534" s="27" t="n">
        <v>11.73607</v>
      </c>
      <c r="J534" s="27" t="n">
        <v>125.064351</v>
      </c>
      <c r="K534" s="10" t="inlineStr">
        <is>
          <t>R</t>
        </is>
      </c>
      <c r="L534" s="12" t="n">
        <v>1888</v>
      </c>
      <c r="M534" s="14" t="n">
        <v>4.1</v>
      </c>
      <c r="N534" s="12">
        <f>ROUND(L534/M534, 0)</f>
        <v/>
      </c>
      <c r="O534" s="12">
        <f>ROUND(N534*'Methodology &amp; Assumptions'!$B$5, 0)</f>
        <v/>
      </c>
      <c r="P534" s="10" t="inlineStr">
        <is>
          <t>Single Carrier (Band n50, 100MHz TDD)</t>
        </is>
      </c>
      <c r="Q534" s="13">
        <f>ROUNDUP(O534/'Methodology &amp; Assumptions'!$B$6, 0)</f>
        <v/>
      </c>
      <c r="R534" s="13" t="n">
        <v>1</v>
      </c>
      <c r="S534" s="14" t="n">
        <v>55.61</v>
      </c>
      <c r="T534" s="14" t="n">
        <v>58.53</v>
      </c>
      <c r="U534" s="26">
        <f>IF(X534&gt;='Methodology &amp; Assumptions'!$B$7, "Tier 1 Critical GIDA (Score ≥ 50.0)", IF(X534&gt;='Methodology &amp; Assumptions'!$B$8, "Tier 2 High GIDA (Score 40.0–49.9)", "Tier 3 Moderate GIDA (Score &lt; 40.0)"))</f>
        <v/>
      </c>
      <c r="V534" s="26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W534" s="28" t="n">
        <v>0.237</v>
      </c>
      <c r="X534" s="14" t="n">
        <v>53.69</v>
      </c>
      <c r="Y534" s="14">
        <f>ROUND(MIN(100, (X534/69.91)*100), 2)</f>
        <v/>
      </c>
    </row>
    <row r="535">
      <c r="A535" s="10" t="n">
        <v>1</v>
      </c>
      <c r="B535" s="10" t="n">
        <v>531</v>
      </c>
      <c r="C535" s="10" t="n">
        <v>531</v>
      </c>
      <c r="D535" s="10" t="inlineStr">
        <is>
          <t>0600406021</t>
        </is>
      </c>
      <c r="E535" s="26" t="inlineStr">
        <is>
          <t>Region VI (Western Visayas)</t>
        </is>
      </c>
      <c r="F535" s="26" t="inlineStr">
        <is>
          <t>Aklan</t>
        </is>
      </c>
      <c r="G535" s="26" t="inlineStr">
        <is>
          <t>Ibajay</t>
        </is>
      </c>
      <c r="H535" s="26" t="inlineStr">
        <is>
          <t>Naisud</t>
        </is>
      </c>
      <c r="I535" s="27" t="n">
        <v>11.805661</v>
      </c>
      <c r="J535" s="27" t="n">
        <v>122.194077</v>
      </c>
      <c r="K535" s="10" t="inlineStr">
        <is>
          <t>R</t>
        </is>
      </c>
      <c r="L535" s="12" t="n">
        <v>3304</v>
      </c>
      <c r="M535" s="14" t="n">
        <v>3.9</v>
      </c>
      <c r="N535" s="12">
        <f>ROUND(L535/M535, 0)</f>
        <v/>
      </c>
      <c r="O535" s="12">
        <f>ROUND(N535*'Methodology &amp; Assumptions'!$B$5, 0)</f>
        <v/>
      </c>
      <c r="P535" s="10" t="inlineStr">
        <is>
          <t>Single Carrier (Band n50, 100MHz TDD)</t>
        </is>
      </c>
      <c r="Q535" s="13">
        <f>ROUNDUP(O535/'Methodology &amp; Assumptions'!$B$6, 0)</f>
        <v/>
      </c>
      <c r="R535" s="13" t="n">
        <v>1</v>
      </c>
      <c r="S535" s="14" t="n">
        <v>14.71</v>
      </c>
      <c r="T535" s="14" t="n">
        <v>0.41</v>
      </c>
      <c r="U535" s="26">
        <f>IF(X535&gt;='Methodology &amp; Assumptions'!$B$7, "Tier 1 Critical GIDA (Score ≥ 50.0)", IF(X535&gt;='Methodology &amp; Assumptions'!$B$8, "Tier 2 High GIDA (Score 40.0–49.9)", "Tier 3 Moderate GIDA (Score &lt; 40.0)"))</f>
        <v/>
      </c>
      <c r="V535" s="26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W535" s="28" t="n">
        <v>0.237</v>
      </c>
      <c r="X535" s="14" t="n">
        <v>53.69</v>
      </c>
      <c r="Y535" s="14">
        <f>ROUND(MIN(100, (X535/69.91)*100), 2)</f>
        <v/>
      </c>
    </row>
    <row r="536">
      <c r="A536" s="10" t="n">
        <v>1</v>
      </c>
      <c r="B536" s="10" t="n">
        <v>532</v>
      </c>
      <c r="C536" s="10" t="n">
        <v>532</v>
      </c>
      <c r="D536" s="10" t="inlineStr">
        <is>
          <t>PH0000532</t>
        </is>
      </c>
      <c r="E536" s="26" t="inlineStr">
        <is>
          <t>NIR</t>
        </is>
      </c>
      <c r="F536" s="26" t="inlineStr">
        <is>
          <t>Negros Occidental</t>
        </is>
      </c>
      <c r="G536" s="26" t="inlineStr">
        <is>
          <t>Bacolod City</t>
        </is>
      </c>
      <c r="H536" s="26" t="inlineStr">
        <is>
          <t>Barangay 17 (Pob.)</t>
        </is>
      </c>
      <c r="I536" s="27" t="n">
        <v>10.651421</v>
      </c>
      <c r="J536" s="27" t="n">
        <v>123.002063</v>
      </c>
      <c r="K536" s="10" t="inlineStr">
        <is>
          <t>R</t>
        </is>
      </c>
      <c r="L536" s="12" t="n">
        <v>2279</v>
      </c>
      <c r="M536" s="14" t="n">
        <v>3.8</v>
      </c>
      <c r="N536" s="12">
        <f>ROUND(L536/M536, 0)</f>
        <v/>
      </c>
      <c r="O536" s="12">
        <f>ROUND(N536*'Methodology &amp; Assumptions'!$B$5, 0)</f>
        <v/>
      </c>
      <c r="P536" s="10" t="inlineStr">
        <is>
          <t>Single Carrier (Band n50, 100MHz TDD)</t>
        </is>
      </c>
      <c r="Q536" s="13">
        <f>ROUNDUP(O536/'Methodology &amp; Assumptions'!$B$6, 0)</f>
        <v/>
      </c>
      <c r="R536" s="13" t="n">
        <v>1</v>
      </c>
      <c r="S536" s="14" t="n">
        <v>3.72</v>
      </c>
      <c r="T536" s="14" t="n">
        <v>2.92</v>
      </c>
      <c r="U536" s="26">
        <f>IF(X536&gt;='Methodology &amp; Assumptions'!$B$7, "Tier 1 Critical GIDA (Score ≥ 50.0)", IF(X536&gt;='Methodology &amp; Assumptions'!$B$8, "Tier 2 High GIDA (Score 40.0–49.9)", "Tier 3 Moderate GIDA (Score &lt; 40.0)"))</f>
        <v/>
      </c>
      <c r="V536" s="26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W536" s="28" t="n">
        <v>0.109</v>
      </c>
      <c r="X536" s="14" t="n">
        <v>53.68</v>
      </c>
      <c r="Y536" s="14">
        <f>ROUND(MIN(100, (X536/69.91)*100), 2)</f>
        <v/>
      </c>
    </row>
    <row r="537">
      <c r="A537" s="10" t="n">
        <v>1</v>
      </c>
      <c r="B537" s="10" t="n">
        <v>533</v>
      </c>
      <c r="C537" s="10" t="n">
        <v>533</v>
      </c>
      <c r="D537" s="10" t="inlineStr">
        <is>
          <t>0401033003</t>
        </is>
      </c>
      <c r="E537" s="26" t="inlineStr">
        <is>
          <t>Region IV-A (CALABARZON)</t>
        </is>
      </c>
      <c r="F537" s="26" t="inlineStr">
        <is>
          <t>Batangas</t>
        </is>
      </c>
      <c r="G537" s="26" t="inlineStr">
        <is>
          <t>Tingloy</t>
        </is>
      </c>
      <c r="H537" s="26" t="inlineStr">
        <is>
          <t>Gamao</t>
        </is>
      </c>
      <c r="I537" s="27" t="n">
        <v>13.654014</v>
      </c>
      <c r="J537" s="27" t="n">
        <v>120.934097</v>
      </c>
      <c r="K537" s="10" t="inlineStr">
        <is>
          <t>R</t>
        </is>
      </c>
      <c r="L537" s="12" t="n">
        <v>1065</v>
      </c>
      <c r="M537" s="14" t="n">
        <v>3.6</v>
      </c>
      <c r="N537" s="12">
        <f>ROUND(L537/M537, 0)</f>
        <v/>
      </c>
      <c r="O537" s="12">
        <f>ROUND(N537*'Methodology &amp; Assumptions'!$B$5, 0)</f>
        <v/>
      </c>
      <c r="P537" s="10" t="inlineStr">
        <is>
          <t>Single Carrier (Band n50, 100MHz TDD)</t>
        </is>
      </c>
      <c r="Q537" s="13">
        <f>ROUNDUP(O537/'Methodology &amp; Assumptions'!$B$6, 0)</f>
        <v/>
      </c>
      <c r="R537" s="13" t="n">
        <v>1</v>
      </c>
      <c r="S537" s="14" t="n">
        <v>5.79</v>
      </c>
      <c r="T537" s="14" t="n">
        <v>16.44</v>
      </c>
      <c r="U537" s="26">
        <f>IF(X537&gt;='Methodology &amp; Assumptions'!$B$7, "Tier 1 Critical GIDA (Score ≥ 50.0)", IF(X537&gt;='Methodology &amp; Assumptions'!$B$8, "Tier 2 High GIDA (Score 40.0–49.9)", "Tier 3 Moderate GIDA (Score &lt; 40.0)"))</f>
        <v/>
      </c>
      <c r="V537" s="26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W537" s="28" t="n">
        <v>0.07200000000000001</v>
      </c>
      <c r="X537" s="14" t="n">
        <v>53.68</v>
      </c>
      <c r="Y537" s="14">
        <f>ROUND(MIN(100, (X537/69.91)*100), 2)</f>
        <v/>
      </c>
    </row>
    <row r="538">
      <c r="A538" s="10" t="n">
        <v>1</v>
      </c>
      <c r="B538" s="10" t="n">
        <v>534</v>
      </c>
      <c r="C538" s="10" t="n">
        <v>534</v>
      </c>
      <c r="D538" s="10" t="inlineStr">
        <is>
          <t>1908704013</t>
        </is>
      </c>
      <c r="E538" s="26" t="inlineStr">
        <is>
          <t>Bangsamoro Autonomous Region In Muslim Mindanao (BARMM)</t>
        </is>
      </c>
      <c r="F538" s="26" t="inlineStr">
        <is>
          <t>Maguindanao del Norte</t>
        </is>
      </c>
      <c r="G538" s="26" t="inlineStr">
        <is>
          <t>Datu Blah T. Sinsuat</t>
        </is>
      </c>
      <c r="H538" s="26" t="inlineStr">
        <is>
          <t>Tubuan</t>
        </is>
      </c>
      <c r="I538" s="27" t="n">
        <v>17.254134</v>
      </c>
      <c r="J538" s="27" t="n">
        <v>122.228178</v>
      </c>
      <c r="K538" s="10" t="inlineStr">
        <is>
          <t>R</t>
        </is>
      </c>
      <c r="L538" s="12" t="n">
        <v>6357</v>
      </c>
      <c r="M538" s="14" t="n">
        <v>4.3</v>
      </c>
      <c r="N538" s="12">
        <f>ROUND(L538/M538, 0)</f>
        <v/>
      </c>
      <c r="O538" s="12">
        <f>ROUND(N538*'Methodology &amp; Assumptions'!$B$5, 0)</f>
        <v/>
      </c>
      <c r="P538" s="10" t="inlineStr">
        <is>
          <t>Single Carrier (Band n50, 100MHz TDD)</t>
        </is>
      </c>
      <c r="Q538" s="13">
        <f>ROUNDUP(O538/'Methodology &amp; Assumptions'!$B$6, 0)</f>
        <v/>
      </c>
      <c r="R538" s="13" t="n">
        <v>1</v>
      </c>
      <c r="S538" s="14" t="n">
        <v>29.31</v>
      </c>
      <c r="T538" s="14" t="n">
        <v>34.2</v>
      </c>
      <c r="U538" s="26">
        <f>IF(X538&gt;='Methodology &amp; Assumptions'!$B$7, "Tier 1 Critical GIDA (Score ≥ 50.0)", IF(X538&gt;='Methodology &amp; Assumptions'!$B$8, "Tier 2 High GIDA (Score 40.0–49.9)", "Tier 3 Moderate GIDA (Score &lt; 40.0)"))</f>
        <v/>
      </c>
      <c r="V538" s="26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W538" s="28" t="n">
        <v>0.11</v>
      </c>
      <c r="X538" s="14" t="n">
        <v>53.67</v>
      </c>
      <c r="Y538" s="14">
        <f>ROUND(MIN(100, (X538/69.91)*100), 2)</f>
        <v/>
      </c>
    </row>
    <row r="539">
      <c r="A539" s="10" t="n">
        <v>1</v>
      </c>
      <c r="B539" s="10" t="n">
        <v>535</v>
      </c>
      <c r="C539" s="10" t="n">
        <v>535</v>
      </c>
      <c r="D539" s="10" t="inlineStr">
        <is>
          <t>PH0000535</t>
        </is>
      </c>
      <c r="E539" s="26" t="inlineStr">
        <is>
          <t>VI</t>
        </is>
      </c>
      <c r="F539" s="26" t="inlineStr">
        <is>
          <t>Iloilo</t>
        </is>
      </c>
      <c r="G539" s="26" t="inlineStr">
        <is>
          <t>Iloilo City</t>
        </is>
      </c>
      <c r="H539" s="26" t="inlineStr">
        <is>
          <t>Rizal Palapala II</t>
        </is>
      </c>
      <c r="I539" s="27" t="n">
        <v>10.754584</v>
      </c>
      <c r="J539" s="27" t="n">
        <v>122.466853</v>
      </c>
      <c r="K539" s="10" t="inlineStr">
        <is>
          <t>R</t>
        </is>
      </c>
      <c r="L539" s="12" t="n">
        <v>2230</v>
      </c>
      <c r="M539" s="14" t="n">
        <v>3.8</v>
      </c>
      <c r="N539" s="12">
        <f>ROUND(L539/M539, 0)</f>
        <v/>
      </c>
      <c r="O539" s="12">
        <f>ROUND(N539*'Methodology &amp; Assumptions'!$B$5, 0)</f>
        <v/>
      </c>
      <c r="P539" s="10" t="inlineStr">
        <is>
          <t>Single Carrier (Band n50, 100MHz TDD)</t>
        </is>
      </c>
      <c r="Q539" s="13">
        <f>ROUNDUP(O539/'Methodology &amp; Assumptions'!$B$6, 0)</f>
        <v/>
      </c>
      <c r="R539" s="13" t="n">
        <v>1</v>
      </c>
      <c r="S539" s="14" t="n">
        <v>7</v>
      </c>
      <c r="T539" s="14" t="n">
        <v>2.47</v>
      </c>
      <c r="U539" s="26">
        <f>IF(X539&gt;='Methodology &amp; Assumptions'!$B$7, "Tier 1 Critical GIDA (Score ≥ 50.0)", IF(X539&gt;='Methodology &amp; Assumptions'!$B$8, "Tier 2 High GIDA (Score 40.0–49.9)", "Tier 3 Moderate GIDA (Score &lt; 40.0)"))</f>
        <v/>
      </c>
      <c r="V539" s="26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W539" s="28" t="n">
        <v>0.156</v>
      </c>
      <c r="X539" s="14" t="n">
        <v>53.67</v>
      </c>
      <c r="Y539" s="14">
        <f>ROUND(MIN(100, (X539/69.91)*100), 2)</f>
        <v/>
      </c>
    </row>
    <row r="540">
      <c r="A540" s="10" t="n">
        <v>1</v>
      </c>
      <c r="B540" s="10" t="n">
        <v>536</v>
      </c>
      <c r="C540" s="10" t="n">
        <v>536</v>
      </c>
      <c r="D540" s="10" t="inlineStr">
        <is>
          <t>PH0000536</t>
        </is>
      </c>
      <c r="E540" s="26" t="inlineStr">
        <is>
          <t>III</t>
        </is>
      </c>
      <c r="F540" s="26" t="inlineStr">
        <is>
          <t>Nueva Ecija</t>
        </is>
      </c>
      <c r="G540" s="26" t="inlineStr">
        <is>
          <t>Cabanatuan City</t>
        </is>
      </c>
      <c r="H540" s="26" t="inlineStr">
        <is>
          <t>Dicarma (Pob.)</t>
        </is>
      </c>
      <c r="I540" s="27" t="n">
        <v>15.484295</v>
      </c>
      <c r="J540" s="27" t="n">
        <v>120.971334</v>
      </c>
      <c r="K540" s="10" t="inlineStr">
        <is>
          <t>R</t>
        </is>
      </c>
      <c r="L540" s="12" t="n">
        <v>2398</v>
      </c>
      <c r="M540" s="14" t="n">
        <v>3.5</v>
      </c>
      <c r="N540" s="12">
        <f>ROUND(L540/M540, 0)</f>
        <v/>
      </c>
      <c r="O540" s="12">
        <f>ROUND(N540*'Methodology &amp; Assumptions'!$B$5, 0)</f>
        <v/>
      </c>
      <c r="P540" s="10" t="inlineStr">
        <is>
          <t>Single Carrier (Band n50, 100MHz TDD)</t>
        </is>
      </c>
      <c r="Q540" s="13">
        <f>ROUNDUP(O540/'Methodology &amp; Assumptions'!$B$6, 0)</f>
        <v/>
      </c>
      <c r="R540" s="13" t="n">
        <v>1</v>
      </c>
      <c r="S540" s="14" t="n">
        <v>1.13</v>
      </c>
      <c r="T540" s="14" t="n">
        <v>0.48</v>
      </c>
      <c r="U540" s="26">
        <f>IF(X540&gt;='Methodology &amp; Assumptions'!$B$7, "Tier 1 Critical GIDA (Score ≥ 50.0)", IF(X540&gt;='Methodology &amp; Assumptions'!$B$8, "Tier 2 High GIDA (Score 40.0–49.9)", "Tier 3 Moderate GIDA (Score &lt; 40.0)"))</f>
        <v/>
      </c>
      <c r="V540" s="26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W540" s="28" t="n">
        <v>0.083</v>
      </c>
      <c r="X540" s="14" t="n">
        <v>53.63</v>
      </c>
      <c r="Y540" s="14">
        <f>ROUND(MIN(100, (X540/69.91)*100), 2)</f>
        <v/>
      </c>
    </row>
    <row r="541">
      <c r="A541" s="10" t="n">
        <v>1</v>
      </c>
      <c r="B541" s="10" t="n">
        <v>537</v>
      </c>
      <c r="C541" s="10" t="n">
        <v>537</v>
      </c>
      <c r="D541" s="10" t="inlineStr">
        <is>
          <t>1400127003</t>
        </is>
      </c>
      <c r="E541" s="26" t="inlineStr">
        <is>
          <t>Cordillera Administrative Region (CAR)</t>
        </is>
      </c>
      <c r="F541" s="26" t="inlineStr">
        <is>
          <t>Abra</t>
        </is>
      </c>
      <c r="G541" s="26" t="inlineStr">
        <is>
          <t>Villaviciosa</t>
        </is>
      </c>
      <c r="H541" s="26" t="inlineStr">
        <is>
          <t>Cal-lao</t>
        </is>
      </c>
      <c r="I541" s="27" t="n">
        <v>17.414793</v>
      </c>
      <c r="J541" s="27" t="n">
        <v>120.642072</v>
      </c>
      <c r="K541" s="10" t="inlineStr">
        <is>
          <t>R</t>
        </is>
      </c>
      <c r="L541" s="12" t="n">
        <v>925</v>
      </c>
      <c r="M541" s="14" t="n">
        <v>3.8</v>
      </c>
      <c r="N541" s="12">
        <f>ROUND(L541/M541, 0)</f>
        <v/>
      </c>
      <c r="O541" s="12">
        <f>ROUND(N541*'Methodology &amp; Assumptions'!$B$5, 0)</f>
        <v/>
      </c>
      <c r="P541" s="10" t="inlineStr">
        <is>
          <t>Single Carrier (Band n50, 100MHz TDD)</t>
        </is>
      </c>
      <c r="Q541" s="13">
        <f>ROUNDUP(O541/'Methodology &amp; Assumptions'!$B$6, 0)</f>
        <v/>
      </c>
      <c r="R541" s="13" t="n">
        <v>1</v>
      </c>
      <c r="S541" s="14" t="n">
        <v>12.83</v>
      </c>
      <c r="T541" s="14" t="n">
        <v>16.12</v>
      </c>
      <c r="U541" s="26">
        <f>IF(X541&gt;='Methodology &amp; Assumptions'!$B$7, "Tier 1 Critical GIDA (Score ≥ 50.0)", IF(X541&gt;='Methodology &amp; Assumptions'!$B$8, "Tier 2 High GIDA (Score 40.0–49.9)", "Tier 3 Moderate GIDA (Score &lt; 40.0)"))</f>
        <v/>
      </c>
      <c r="V541" s="26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W541" s="28" t="n">
        <v>0.109</v>
      </c>
      <c r="X541" s="14" t="n">
        <v>53.63</v>
      </c>
      <c r="Y541" s="14">
        <f>ROUND(MIN(100, (X541/69.91)*100), 2)</f>
        <v/>
      </c>
    </row>
    <row r="542">
      <c r="A542" s="10" t="n">
        <v>1</v>
      </c>
      <c r="B542" s="10" t="n">
        <v>538</v>
      </c>
      <c r="C542" s="10" t="n">
        <v>538</v>
      </c>
      <c r="D542" s="10" t="inlineStr">
        <is>
          <t>0500518019</t>
        </is>
      </c>
      <c r="E542" s="26" t="inlineStr">
        <is>
          <t>Region V (Bicol Region)</t>
        </is>
      </c>
      <c r="F542" s="26" t="inlineStr">
        <is>
          <t>Albay</t>
        </is>
      </c>
      <c r="G542" s="26" t="inlineStr">
        <is>
          <t>Tiwi</t>
        </is>
      </c>
      <c r="H542" s="26" t="inlineStr">
        <is>
          <t>Mayong</t>
        </is>
      </c>
      <c r="I542" s="27" t="n">
        <v>13.520011</v>
      </c>
      <c r="J542" s="27" t="n">
        <v>123.599573</v>
      </c>
      <c r="K542" s="10" t="inlineStr">
        <is>
          <t>R</t>
        </is>
      </c>
      <c r="L542" s="12" t="n">
        <v>1693</v>
      </c>
      <c r="M542" s="14" t="n">
        <v>4.1</v>
      </c>
      <c r="N542" s="12">
        <f>ROUND(L542/M542, 0)</f>
        <v/>
      </c>
      <c r="O542" s="12">
        <f>ROUND(N542*'Methodology &amp; Assumptions'!$B$5, 0)</f>
        <v/>
      </c>
      <c r="P542" s="10" t="inlineStr">
        <is>
          <t>Single Carrier (Band n50, 100MHz TDD)</t>
        </is>
      </c>
      <c r="Q542" s="13">
        <f>ROUNDUP(O542/'Methodology &amp; Assumptions'!$B$6, 0)</f>
        <v/>
      </c>
      <c r="R542" s="13" t="n">
        <v>1</v>
      </c>
      <c r="S542" s="14" t="n">
        <v>1.71</v>
      </c>
      <c r="T542" s="14" t="n">
        <v>0.11</v>
      </c>
      <c r="U542" s="26">
        <f>IF(X542&gt;='Methodology &amp; Assumptions'!$B$7, "Tier 1 Critical GIDA (Score ≥ 50.0)", IF(X542&gt;='Methodology &amp; Assumptions'!$B$8, "Tier 2 High GIDA (Score 40.0–49.9)", "Tier 3 Moderate GIDA (Score &lt; 40.0)"))</f>
        <v/>
      </c>
      <c r="V542" s="26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W542" s="28" t="n">
        <v>0.237</v>
      </c>
      <c r="X542" s="14" t="n">
        <v>53.63</v>
      </c>
      <c r="Y542" s="14">
        <f>ROUND(MIN(100, (X542/69.91)*100), 2)</f>
        <v/>
      </c>
    </row>
    <row r="543">
      <c r="A543" s="10" t="n">
        <v>1</v>
      </c>
      <c r="B543" s="10" t="n">
        <v>539</v>
      </c>
      <c r="C543" s="10" t="n">
        <v>539</v>
      </c>
      <c r="D543" s="10" t="inlineStr">
        <is>
          <t>0205010023</t>
        </is>
      </c>
      <c r="E543" s="26" t="inlineStr">
        <is>
          <t>Region II (Cagayan Valley)</t>
        </is>
      </c>
      <c r="F543" s="26" t="inlineStr">
        <is>
          <t>Nueva Vizcaya</t>
        </is>
      </c>
      <c r="G543" s="26" t="inlineStr">
        <is>
          <t>Kayapa</t>
        </is>
      </c>
      <c r="H543" s="26" t="inlineStr">
        <is>
          <t>Alang Salacsac</t>
        </is>
      </c>
      <c r="I543" s="27" t="n">
        <v>16.282712</v>
      </c>
      <c r="J543" s="27" t="n">
        <v>120.849196</v>
      </c>
      <c r="K543" s="10" t="inlineStr">
        <is>
          <t>R</t>
        </is>
      </c>
      <c r="L543" s="12" t="n">
        <v>701</v>
      </c>
      <c r="M543" s="14" t="n">
        <v>3.8</v>
      </c>
      <c r="N543" s="12">
        <f>ROUND(L543/M543, 0)</f>
        <v/>
      </c>
      <c r="O543" s="12">
        <f>ROUND(N543*'Methodology &amp; Assumptions'!$B$5, 0)</f>
        <v/>
      </c>
      <c r="P543" s="10" t="inlineStr">
        <is>
          <t>Single Carrier (Band n50, 100MHz TDD)</t>
        </is>
      </c>
      <c r="Q543" s="13">
        <f>ROUNDUP(O543/'Methodology &amp; Assumptions'!$B$6, 0)</f>
        <v/>
      </c>
      <c r="R543" s="13" t="n">
        <v>1</v>
      </c>
      <c r="S543" s="14" t="n">
        <v>9.4</v>
      </c>
      <c r="T543" s="14" t="n">
        <v>9.220000000000001</v>
      </c>
      <c r="U543" s="26">
        <f>IF(X543&gt;='Methodology &amp; Assumptions'!$B$7, "Tier 1 Critical GIDA (Score ≥ 50.0)", IF(X543&gt;='Methodology &amp; Assumptions'!$B$8, "Tier 2 High GIDA (Score 40.0–49.9)", "Tier 3 Moderate GIDA (Score &lt; 40.0)"))</f>
        <v/>
      </c>
      <c r="V543" s="26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W543" s="28" t="n">
        <v>0.083</v>
      </c>
      <c r="X543" s="14" t="n">
        <v>53.63</v>
      </c>
      <c r="Y543" s="14">
        <f>ROUND(MIN(100, (X543/69.91)*100), 2)</f>
        <v/>
      </c>
    </row>
    <row r="544">
      <c r="A544" s="10" t="n">
        <v>1</v>
      </c>
      <c r="B544" s="10" t="n">
        <v>540</v>
      </c>
      <c r="C544" s="10" t="n">
        <v>540</v>
      </c>
      <c r="D544" s="10" t="inlineStr">
        <is>
          <t>0205010010</t>
        </is>
      </c>
      <c r="E544" s="26" t="inlineStr">
        <is>
          <t>Region II (Cagayan Valley)</t>
        </is>
      </c>
      <c r="F544" s="26" t="inlineStr">
        <is>
          <t>Nueva Vizcaya</t>
        </is>
      </c>
      <c r="G544" s="26" t="inlineStr">
        <is>
          <t>Kayapa</t>
        </is>
      </c>
      <c r="H544" s="26" t="inlineStr">
        <is>
          <t>Cabalatan Alang</t>
        </is>
      </c>
      <c r="I544" s="27" t="n">
        <v>16.24949</v>
      </c>
      <c r="J544" s="27" t="n">
        <v>120.88335</v>
      </c>
      <c r="K544" s="10" t="inlineStr">
        <is>
          <t>R</t>
        </is>
      </c>
      <c r="L544" s="12" t="n">
        <v>232</v>
      </c>
      <c r="M544" s="14" t="n">
        <v>3.8</v>
      </c>
      <c r="N544" s="12">
        <f>ROUND(L544/M544, 0)</f>
        <v/>
      </c>
      <c r="O544" s="12">
        <f>ROUND(N544*'Methodology &amp; Assumptions'!$B$5, 0)</f>
        <v/>
      </c>
      <c r="P544" s="10" t="inlineStr">
        <is>
          <t>Single Carrier (Band n50, 100MHz TDD)</t>
        </is>
      </c>
      <c r="Q544" s="13">
        <f>ROUNDUP(O544/'Methodology &amp; Assumptions'!$B$6, 0)</f>
        <v/>
      </c>
      <c r="R544" s="13" t="n">
        <v>1</v>
      </c>
      <c r="S544" s="14" t="n">
        <v>9.98</v>
      </c>
      <c r="T544" s="14" t="n">
        <v>8.449999999999999</v>
      </c>
      <c r="U544" s="26">
        <f>IF(X544&gt;='Methodology &amp; Assumptions'!$B$7, "Tier 1 Critical GIDA (Score ≥ 50.0)", IF(X544&gt;='Methodology &amp; Assumptions'!$B$8, "Tier 2 High GIDA (Score 40.0–49.9)", "Tier 3 Moderate GIDA (Score &lt; 40.0)"))</f>
        <v/>
      </c>
      <c r="V544" s="26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W544" s="28" t="n">
        <v>0.083</v>
      </c>
      <c r="X544" s="14" t="n">
        <v>53.62</v>
      </c>
      <c r="Y544" s="14">
        <f>ROUND(MIN(100, (X544/69.91)*100), 2)</f>
        <v/>
      </c>
    </row>
    <row r="545">
      <c r="A545" s="10" t="n">
        <v>1</v>
      </c>
      <c r="B545" s="10" t="n">
        <v>541</v>
      </c>
      <c r="C545" s="10" t="n">
        <v>541</v>
      </c>
      <c r="D545" s="10" t="inlineStr">
        <is>
          <t>1403213002</t>
        </is>
      </c>
      <c r="E545" s="26" t="inlineStr">
        <is>
          <t>Cordillera Administrative Region (CAR)</t>
        </is>
      </c>
      <c r="F545" s="26" t="inlineStr">
        <is>
          <t>Kalinga</t>
        </is>
      </c>
      <c r="G545" s="26" t="inlineStr">
        <is>
          <t>City of Tabuk</t>
        </is>
      </c>
      <c r="H545" s="26" t="inlineStr">
        <is>
          <t>Amlao</t>
        </is>
      </c>
      <c r="I545" s="27" t="n">
        <v>17.394351</v>
      </c>
      <c r="J545" s="27" t="n">
        <v>121.318837</v>
      </c>
      <c r="K545" s="10" t="inlineStr">
        <is>
          <t>R</t>
        </is>
      </c>
      <c r="L545" s="12" t="n">
        <v>852</v>
      </c>
      <c r="M545" s="14" t="n">
        <v>4.3</v>
      </c>
      <c r="N545" s="12">
        <f>ROUND(L545/M545, 0)</f>
        <v/>
      </c>
      <c r="O545" s="12">
        <f>ROUND(N545*'Methodology &amp; Assumptions'!$B$5, 0)</f>
        <v/>
      </c>
      <c r="P545" s="10" t="inlineStr">
        <is>
          <t>Single Carrier (Band n50, 100MHz TDD)</t>
        </is>
      </c>
      <c r="Q545" s="13">
        <f>ROUNDUP(O545/'Methodology &amp; Assumptions'!$B$6, 0)</f>
        <v/>
      </c>
      <c r="R545" s="13" t="n">
        <v>1</v>
      </c>
      <c r="S545" s="14" t="n">
        <v>13.27</v>
      </c>
      <c r="T545" s="14" t="n">
        <v>1.13</v>
      </c>
      <c r="U545" s="26">
        <f>IF(X545&gt;='Methodology &amp; Assumptions'!$B$7, "Tier 1 Critical GIDA (Score ≥ 50.0)", IF(X545&gt;='Methodology &amp; Assumptions'!$B$8, "Tier 2 High GIDA (Score 40.0–49.9)", "Tier 3 Moderate GIDA (Score &lt; 40.0)"))</f>
        <v/>
      </c>
      <c r="V545" s="26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W545" s="28" t="n">
        <v>0.109</v>
      </c>
      <c r="X545" s="14" t="n">
        <v>53.62</v>
      </c>
      <c r="Y545" s="14">
        <f>ROUND(MIN(100, (X545/69.91)*100), 2)</f>
        <v/>
      </c>
    </row>
    <row r="546">
      <c r="A546" s="10" t="n">
        <v>1</v>
      </c>
      <c r="B546" s="10" t="n">
        <v>542</v>
      </c>
      <c r="C546" s="10" t="n">
        <v>542</v>
      </c>
      <c r="D546" s="10" t="inlineStr">
        <is>
          <t>0600602031</t>
        </is>
      </c>
      <c r="E546" s="26" t="inlineStr">
        <is>
          <t>Region VI (Western Visayas)</t>
        </is>
      </c>
      <c r="F546" s="26" t="inlineStr">
        <is>
          <t>Antique</t>
        </is>
      </c>
      <c r="G546" s="26" t="inlineStr">
        <is>
          <t>Barbaza</t>
        </is>
      </c>
      <c r="H546" s="26" t="inlineStr">
        <is>
          <t>Nalusdan</t>
        </is>
      </c>
      <c r="I546" s="27" t="n">
        <v>11.223063</v>
      </c>
      <c r="J546" s="27" t="n">
        <v>122.063112</v>
      </c>
      <c r="K546" s="10" t="inlineStr">
        <is>
          <t>R</t>
        </is>
      </c>
      <c r="L546" s="12" t="n">
        <v>182</v>
      </c>
      <c r="M546" s="14" t="n">
        <v>3.9</v>
      </c>
      <c r="N546" s="12">
        <f>ROUND(L546/M546, 0)</f>
        <v/>
      </c>
      <c r="O546" s="12">
        <f>ROUND(N546*'Methodology &amp; Assumptions'!$B$5, 0)</f>
        <v/>
      </c>
      <c r="P546" s="10" t="inlineStr">
        <is>
          <t>Single Carrier (Band n50, 100MHz TDD)</t>
        </is>
      </c>
      <c r="Q546" s="13">
        <f>ROUNDUP(O546/'Methodology &amp; Assumptions'!$B$6, 0)</f>
        <v/>
      </c>
      <c r="R546" s="13" t="n">
        <v>1</v>
      </c>
      <c r="S546" s="14" t="n">
        <v>50.4</v>
      </c>
      <c r="T546" s="14" t="n">
        <v>47.19</v>
      </c>
      <c r="U546" s="26">
        <f>IF(X546&gt;='Methodology &amp; Assumptions'!$B$7, "Tier 1 Critical GIDA (Score ≥ 50.0)", IF(X546&gt;='Methodology &amp; Assumptions'!$B$8, "Tier 2 High GIDA (Score 40.0–49.9)", "Tier 3 Moderate GIDA (Score &lt; 40.0)"))</f>
        <v/>
      </c>
      <c r="V546" s="26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W546" s="28" t="n">
        <v>0.237</v>
      </c>
      <c r="X546" s="14" t="n">
        <v>53.61</v>
      </c>
      <c r="Y546" s="14">
        <f>ROUND(MIN(100, (X546/69.91)*100), 2)</f>
        <v/>
      </c>
    </row>
    <row r="547">
      <c r="A547" s="10" t="n">
        <v>1</v>
      </c>
      <c r="B547" s="10" t="n">
        <v>543</v>
      </c>
      <c r="C547" s="10" t="n">
        <v>543</v>
      </c>
      <c r="D547" s="10" t="inlineStr">
        <is>
          <t>0205009023</t>
        </is>
      </c>
      <c r="E547" s="26" t="inlineStr">
        <is>
          <t>Region II (Cagayan Valley)</t>
        </is>
      </c>
      <c r="F547" s="26" t="inlineStr">
        <is>
          <t>Nueva Vizcaya</t>
        </is>
      </c>
      <c r="G547" s="26" t="inlineStr">
        <is>
          <t>Kasibu</t>
        </is>
      </c>
      <c r="H547" s="26" t="inlineStr">
        <is>
          <t>Tadji</t>
        </is>
      </c>
      <c r="I547" s="27" t="n">
        <v>16.39022</v>
      </c>
      <c r="J547" s="27" t="n">
        <v>121.39656</v>
      </c>
      <c r="K547" s="10" t="inlineStr">
        <is>
          <t>R</t>
        </is>
      </c>
      <c r="L547" s="12" t="n">
        <v>1104</v>
      </c>
      <c r="M547" s="14" t="n">
        <v>3.8</v>
      </c>
      <c r="N547" s="12">
        <f>ROUND(L547/M547, 0)</f>
        <v/>
      </c>
      <c r="O547" s="12">
        <f>ROUND(N547*'Methodology &amp; Assumptions'!$B$5, 0)</f>
        <v/>
      </c>
      <c r="P547" s="10" t="inlineStr">
        <is>
          <t>Single Carrier (Band n50, 100MHz TDD)</t>
        </is>
      </c>
      <c r="Q547" s="13">
        <f>ROUNDUP(O547/'Methodology &amp; Assumptions'!$B$6, 0)</f>
        <v/>
      </c>
      <c r="R547" s="13" t="n">
        <v>1</v>
      </c>
      <c r="S547" s="14" t="n">
        <v>13.65</v>
      </c>
      <c r="T547" s="14" t="n">
        <v>21.36</v>
      </c>
      <c r="U547" s="26">
        <f>IF(X547&gt;='Methodology &amp; Assumptions'!$B$7, "Tier 1 Critical GIDA (Score ≥ 50.0)", IF(X547&gt;='Methodology &amp; Assumptions'!$B$8, "Tier 2 High GIDA (Score 40.0–49.9)", "Tier 3 Moderate GIDA (Score &lt; 40.0)"))</f>
        <v/>
      </c>
      <c r="V547" s="26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W547" s="28" t="n">
        <v>0.083</v>
      </c>
      <c r="X547" s="14" t="n">
        <v>53.61</v>
      </c>
      <c r="Y547" s="14">
        <f>ROUND(MIN(100, (X547/69.91)*100), 2)</f>
        <v/>
      </c>
    </row>
    <row r="548">
      <c r="A548" s="10" t="n">
        <v>1</v>
      </c>
      <c r="B548" s="10" t="n">
        <v>544</v>
      </c>
      <c r="C548" s="10" t="n">
        <v>544</v>
      </c>
      <c r="D548" s="10" t="inlineStr">
        <is>
          <t>PH0000544</t>
        </is>
      </c>
      <c r="E548" s="26" t="inlineStr">
        <is>
          <t>IV-A</t>
        </is>
      </c>
      <c r="F548" s="26" t="inlineStr">
        <is>
          <t>Batangas</t>
        </is>
      </c>
      <c r="G548" s="26" t="inlineStr">
        <is>
          <t>Lipa City</t>
        </is>
      </c>
      <c r="H548" s="26" t="inlineStr">
        <is>
          <t>Poblacion Barangay 8</t>
        </is>
      </c>
      <c r="I548" s="27" t="n">
        <v>13.952368</v>
      </c>
      <c r="J548" s="27" t="n">
        <v>121.167451</v>
      </c>
      <c r="K548" s="10" t="inlineStr">
        <is>
          <t>R</t>
        </is>
      </c>
      <c r="L548" s="12" t="n">
        <v>2259</v>
      </c>
      <c r="M548" s="14" t="n">
        <v>3.6</v>
      </c>
      <c r="N548" s="12">
        <f>ROUND(L548/M548, 0)</f>
        <v/>
      </c>
      <c r="O548" s="12">
        <f>ROUND(N548*'Methodology &amp; Assumptions'!$B$5, 0)</f>
        <v/>
      </c>
      <c r="P548" s="10" t="inlineStr">
        <is>
          <t>Single Carrier (Band n50, 100MHz TDD)</t>
        </is>
      </c>
      <c r="Q548" s="13">
        <f>ROUNDUP(O548/'Methodology &amp; Assumptions'!$B$6, 0)</f>
        <v/>
      </c>
      <c r="R548" s="13" t="n">
        <v>1</v>
      </c>
      <c r="S548" s="14" t="n">
        <v>0.91</v>
      </c>
      <c r="T548" s="14" t="n">
        <v>0.3</v>
      </c>
      <c r="U548" s="26">
        <f>IF(X548&gt;='Methodology &amp; Assumptions'!$B$7, "Tier 1 Critical GIDA (Score ≥ 50.0)", IF(X548&gt;='Methodology &amp; Assumptions'!$B$8, "Tier 2 High GIDA (Score 40.0–49.9)", "Tier 3 Moderate GIDA (Score &lt; 40.0)"))</f>
        <v/>
      </c>
      <c r="V548" s="26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W548" s="28" t="n">
        <v>0.07200000000000001</v>
      </c>
      <c r="X548" s="14" t="n">
        <v>53.61</v>
      </c>
      <c r="Y548" s="14">
        <f>ROUND(MIN(100, (X548/69.91)*100), 2)</f>
        <v/>
      </c>
    </row>
    <row r="549">
      <c r="A549" s="10" t="n">
        <v>1</v>
      </c>
      <c r="B549" s="10" t="n">
        <v>545</v>
      </c>
      <c r="C549" s="10" t="n">
        <v>545</v>
      </c>
      <c r="D549" s="10" t="inlineStr">
        <is>
          <t>1403209019</t>
        </is>
      </c>
      <c r="E549" s="26" t="inlineStr">
        <is>
          <t>Cordillera Administrative Region (CAR)</t>
        </is>
      </c>
      <c r="F549" s="26" t="inlineStr">
        <is>
          <t>Kalinga</t>
        </is>
      </c>
      <c r="G549" s="26" t="inlineStr">
        <is>
          <t>Pinukpuk</t>
        </is>
      </c>
      <c r="H549" s="26" t="inlineStr">
        <is>
          <t>Pakawit</t>
        </is>
      </c>
      <c r="I549" s="27" t="n">
        <v>17.567672</v>
      </c>
      <c r="J549" s="27" t="n">
        <v>121.394463</v>
      </c>
      <c r="K549" s="10" t="inlineStr">
        <is>
          <t>R</t>
        </is>
      </c>
      <c r="L549" s="12" t="n">
        <v>1030</v>
      </c>
      <c r="M549" s="14" t="n">
        <v>4.3</v>
      </c>
      <c r="N549" s="12">
        <f>ROUND(L549/M549, 0)</f>
        <v/>
      </c>
      <c r="O549" s="12">
        <f>ROUND(N549*'Methodology &amp; Assumptions'!$B$5, 0)</f>
        <v/>
      </c>
      <c r="P549" s="10" t="inlineStr">
        <is>
          <t>Single Carrier (Band n50, 100MHz TDD)</t>
        </is>
      </c>
      <c r="Q549" s="13">
        <f>ROUNDUP(O549/'Methodology &amp; Assumptions'!$B$6, 0)</f>
        <v/>
      </c>
      <c r="R549" s="13" t="n">
        <v>1</v>
      </c>
      <c r="S549" s="14" t="n">
        <v>5.48</v>
      </c>
      <c r="T549" s="14" t="n">
        <v>3.97</v>
      </c>
      <c r="U549" s="26">
        <f>IF(X549&gt;='Methodology &amp; Assumptions'!$B$7, "Tier 1 Critical GIDA (Score ≥ 50.0)", IF(X549&gt;='Methodology &amp; Assumptions'!$B$8, "Tier 2 High GIDA (Score 40.0–49.9)", "Tier 3 Moderate GIDA (Score &lt; 40.0)"))</f>
        <v/>
      </c>
      <c r="V549" s="26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W549" s="28" t="n">
        <v>0.109</v>
      </c>
      <c r="X549" s="14" t="n">
        <v>53.6</v>
      </c>
      <c r="Y549" s="14">
        <f>ROUND(MIN(100, (X549/69.91)*100), 2)</f>
        <v/>
      </c>
    </row>
    <row r="550">
      <c r="A550" s="10" t="n">
        <v>1</v>
      </c>
      <c r="B550" s="10" t="n">
        <v>546</v>
      </c>
      <c r="C550" s="10" t="n">
        <v>546</v>
      </c>
      <c r="D550" s="10" t="inlineStr">
        <is>
          <t>0205706015</t>
        </is>
      </c>
      <c r="E550" s="26" t="inlineStr">
        <is>
          <t>Region II (Cagayan Valley)</t>
        </is>
      </c>
      <c r="F550" s="26" t="inlineStr">
        <is>
          <t>Quirino</t>
        </is>
      </c>
      <c r="G550" s="26" t="inlineStr">
        <is>
          <t>Nagtipunan</t>
        </is>
      </c>
      <c r="H550" s="26" t="inlineStr">
        <is>
          <t>Wasid</t>
        </is>
      </c>
      <c r="I550" s="27" t="n">
        <v>16.136789</v>
      </c>
      <c r="J550" s="27" t="n">
        <v>121.538758</v>
      </c>
      <c r="K550" s="10" t="inlineStr">
        <is>
          <t>R</t>
        </is>
      </c>
      <c r="L550" s="12" t="n">
        <v>1278</v>
      </c>
      <c r="M550" s="14" t="n">
        <v>3.9</v>
      </c>
      <c r="N550" s="12">
        <f>ROUND(L550/M550, 0)</f>
        <v/>
      </c>
      <c r="O550" s="12">
        <f>ROUND(N550*'Methodology &amp; Assumptions'!$B$5, 0)</f>
        <v/>
      </c>
      <c r="P550" s="10" t="inlineStr">
        <is>
          <t>Single Carrier (Band n50, 100MHz TDD)</t>
        </is>
      </c>
      <c r="Q550" s="13">
        <f>ROUNDUP(O550/'Methodology &amp; Assumptions'!$B$6, 0)</f>
        <v/>
      </c>
      <c r="R550" s="13" t="n">
        <v>1</v>
      </c>
      <c r="S550" s="14" t="n">
        <v>10.94</v>
      </c>
      <c r="T550" s="14" t="n">
        <v>18.04</v>
      </c>
      <c r="U550" s="26">
        <f>IF(X550&gt;='Methodology &amp; Assumptions'!$B$7, "Tier 1 Critical GIDA (Score ≥ 50.0)", IF(X550&gt;='Methodology &amp; Assumptions'!$B$8, "Tier 2 High GIDA (Score 40.0–49.9)", "Tier 3 Moderate GIDA (Score &lt; 40.0)"))</f>
        <v/>
      </c>
      <c r="V550" s="26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W550" s="28" t="n">
        <v>0.083</v>
      </c>
      <c r="X550" s="14" t="n">
        <v>53.6</v>
      </c>
      <c r="Y550" s="14">
        <f>ROUND(MIN(100, (X550/69.91)*100), 2)</f>
        <v/>
      </c>
    </row>
    <row r="551">
      <c r="A551" s="10" t="n">
        <v>1</v>
      </c>
      <c r="B551" s="10" t="n">
        <v>547</v>
      </c>
      <c r="C551" s="10" t="n">
        <v>547</v>
      </c>
      <c r="D551" s="10" t="inlineStr">
        <is>
          <t>1108205023</t>
        </is>
      </c>
      <c r="E551" s="26" t="inlineStr">
        <is>
          <t>Region XI (Davao Region)</t>
        </is>
      </c>
      <c r="F551" s="26" t="inlineStr">
        <is>
          <t>Davao de Oro</t>
        </is>
      </c>
      <c r="G551" s="26" t="inlineStr">
        <is>
          <t>Maragusan</t>
        </is>
      </c>
      <c r="H551" s="26" t="inlineStr">
        <is>
          <t>Tandik</t>
        </is>
      </c>
      <c r="I551" s="27" t="n">
        <v>7.413196</v>
      </c>
      <c r="J551" s="27" t="n">
        <v>126.091701</v>
      </c>
      <c r="K551" s="10" t="inlineStr">
        <is>
          <t>R</t>
        </is>
      </c>
      <c r="L551" s="12" t="n">
        <v>770</v>
      </c>
      <c r="M551" s="14" t="n">
        <v>3.7</v>
      </c>
      <c r="N551" s="12">
        <f>ROUND(L551/M551, 0)</f>
        <v/>
      </c>
      <c r="O551" s="12">
        <f>ROUND(N551*'Methodology &amp; Assumptions'!$B$5, 0)</f>
        <v/>
      </c>
      <c r="P551" s="10" t="inlineStr">
        <is>
          <t>Single Carrier (Band n50, 100MHz TDD)</t>
        </is>
      </c>
      <c r="Q551" s="13">
        <f>ROUNDUP(O551/'Methodology &amp; Assumptions'!$B$6, 0)</f>
        <v/>
      </c>
      <c r="R551" s="13" t="n">
        <v>1</v>
      </c>
      <c r="S551" s="14" t="n">
        <v>26.74</v>
      </c>
      <c r="T551" s="14" t="n">
        <v>21.66</v>
      </c>
      <c r="U551" s="26">
        <f>IF(X551&gt;='Methodology &amp; Assumptions'!$B$7, "Tier 1 Critical GIDA (Score ≥ 50.0)", IF(X551&gt;='Methodology &amp; Assumptions'!$B$8, "Tier 2 High GIDA (Score 40.0–49.9)", "Tier 3 Moderate GIDA (Score &lt; 40.0)"))</f>
        <v/>
      </c>
      <c r="V551" s="26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W551" s="28" t="n">
        <v>0.174</v>
      </c>
      <c r="X551" s="14" t="n">
        <v>53.59</v>
      </c>
      <c r="Y551" s="14">
        <f>ROUND(MIN(100, (X551/69.91)*100), 2)</f>
        <v/>
      </c>
    </row>
    <row r="552">
      <c r="A552" s="10" t="n">
        <v>1</v>
      </c>
      <c r="B552" s="10" t="n">
        <v>548</v>
      </c>
      <c r="C552" s="10" t="n">
        <v>548</v>
      </c>
      <c r="D552" s="10" t="inlineStr">
        <is>
          <t>0403403019</t>
        </is>
      </c>
      <c r="E552" s="26" t="inlineStr">
        <is>
          <t>Region IV-A (CALABARZON)</t>
        </is>
      </c>
      <c r="F552" s="26" t="inlineStr">
        <is>
          <t>Laguna</t>
        </is>
      </c>
      <c r="G552" s="26" t="inlineStr">
        <is>
          <t>City of Biñan</t>
        </is>
      </c>
      <c r="H552" s="26" t="inlineStr">
        <is>
          <t>San Antonio</t>
        </is>
      </c>
      <c r="I552" s="27" t="n">
        <v>14.33645</v>
      </c>
      <c r="J552" s="27" t="n">
        <v>121.088209</v>
      </c>
      <c r="K552" s="10" t="inlineStr">
        <is>
          <t>U</t>
        </is>
      </c>
      <c r="L552" s="12" t="n">
        <v>39641</v>
      </c>
      <c r="M552" s="14" t="n">
        <v>3.3</v>
      </c>
      <c r="N552" s="12">
        <f>ROUND(L552/M552, 0)</f>
        <v/>
      </c>
      <c r="O552" s="12">
        <f>ROUND(N552*'Methodology &amp; Assumptions'!$B$5, 0)</f>
        <v/>
      </c>
      <c r="P552" s="10" t="inlineStr">
        <is>
          <t>Single Carrier (Band n50, 100MHz TDD)</t>
        </is>
      </c>
      <c r="Q552" s="13">
        <f>ROUNDUP(O552/'Methodology &amp; Assumptions'!$B$6, 0)</f>
        <v/>
      </c>
      <c r="R552" s="13" t="n">
        <v>1</v>
      </c>
      <c r="S552" s="14" t="n">
        <v>1.36</v>
      </c>
      <c r="T552" s="14" t="n">
        <v>0.4</v>
      </c>
      <c r="U552" s="26">
        <f>IF(X552&gt;='Methodology &amp; Assumptions'!$B$7, "Tier 1 Critical GIDA (Score ≥ 50.0)", IF(X552&gt;='Methodology &amp; Assumptions'!$B$8, "Tier 2 High GIDA (Score 40.0–49.9)", "Tier 3 Moderate GIDA (Score &lt; 40.0)"))</f>
        <v/>
      </c>
      <c r="V552" s="26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W552" s="28" t="n">
        <v>0.07200000000000001</v>
      </c>
      <c r="X552" s="14" t="n">
        <v>53.58</v>
      </c>
      <c r="Y552" s="14">
        <f>ROUND(MIN(100, (X552/69.91)*100), 2)</f>
        <v/>
      </c>
    </row>
    <row r="553">
      <c r="A553" s="10" t="n">
        <v>1</v>
      </c>
      <c r="B553" s="10" t="n">
        <v>549</v>
      </c>
      <c r="C553" s="10" t="n">
        <v>549</v>
      </c>
      <c r="D553" s="10" t="inlineStr">
        <is>
          <t>0600602017</t>
        </is>
      </c>
      <c r="E553" s="26" t="inlineStr">
        <is>
          <t>Region VI (Western Visayas)</t>
        </is>
      </c>
      <c r="F553" s="26" t="inlineStr">
        <is>
          <t>Antique</t>
        </is>
      </c>
      <c r="G553" s="26" t="inlineStr">
        <is>
          <t>Barbaza</t>
        </is>
      </c>
      <c r="H553" s="26" t="inlineStr">
        <is>
          <t>Igtunarum</t>
        </is>
      </c>
      <c r="I553" s="27" t="n">
        <v>11.22717</v>
      </c>
      <c r="J553" s="27" t="n">
        <v>122.075695</v>
      </c>
      <c r="K553" s="10" t="inlineStr">
        <is>
          <t>R</t>
        </is>
      </c>
      <c r="L553" s="12" t="n">
        <v>76</v>
      </c>
      <c r="M553" s="14" t="n">
        <v>3.9</v>
      </c>
      <c r="N553" s="12">
        <f>ROUND(L553/M553, 0)</f>
        <v/>
      </c>
      <c r="O553" s="12">
        <f>ROUND(N553*'Methodology &amp; Assumptions'!$B$5, 0)</f>
        <v/>
      </c>
      <c r="P553" s="10" t="inlineStr">
        <is>
          <t>Single Carrier (Band n50, 100MHz TDD)</t>
        </is>
      </c>
      <c r="Q553" s="13">
        <f>ROUNDUP(O553/'Methodology &amp; Assumptions'!$B$6, 0)</f>
        <v/>
      </c>
      <c r="R553" s="13" t="n">
        <v>1</v>
      </c>
      <c r="S553" s="14" t="n">
        <v>49.14</v>
      </c>
      <c r="T553" s="14" t="n">
        <v>47.89</v>
      </c>
      <c r="U553" s="26">
        <f>IF(X553&gt;='Methodology &amp; Assumptions'!$B$7, "Tier 1 Critical GIDA (Score ≥ 50.0)", IF(X553&gt;='Methodology &amp; Assumptions'!$B$8, "Tier 2 High GIDA (Score 40.0–49.9)", "Tier 3 Moderate GIDA (Score &lt; 40.0)"))</f>
        <v/>
      </c>
      <c r="V553" s="26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W553" s="28" t="n">
        <v>0.237</v>
      </c>
      <c r="X553" s="14" t="n">
        <v>53.57</v>
      </c>
      <c r="Y553" s="14">
        <f>ROUND(MIN(100, (X553/69.91)*100), 2)</f>
        <v/>
      </c>
    </row>
    <row r="554">
      <c r="A554" s="10" t="n">
        <v>1</v>
      </c>
      <c r="B554" s="10" t="n">
        <v>550</v>
      </c>
      <c r="C554" s="10" t="n">
        <v>550</v>
      </c>
      <c r="D554" s="10" t="inlineStr">
        <is>
          <t>0200901002</t>
        </is>
      </c>
      <c r="E554" s="26" t="inlineStr">
        <is>
          <t>Region II (Cagayan Valley)</t>
        </is>
      </c>
      <c r="F554" s="26" t="inlineStr">
        <is>
          <t>Batanes</t>
        </is>
      </c>
      <c r="G554" s="26" t="inlineStr">
        <is>
          <t>Basco</t>
        </is>
      </c>
      <c r="H554" s="26" t="inlineStr">
        <is>
          <t>Ihubok I</t>
        </is>
      </c>
      <c r="I554" s="27" t="n">
        <v>20.443434</v>
      </c>
      <c r="J554" s="27" t="n">
        <v>121.963278</v>
      </c>
      <c r="K554" s="10" t="inlineStr">
        <is>
          <t>U</t>
        </is>
      </c>
      <c r="L554" s="12" t="n">
        <v>1778</v>
      </c>
      <c r="M554" s="14" t="n">
        <v>3</v>
      </c>
      <c r="N554" s="12">
        <f>ROUND(L554/M554, 0)</f>
        <v/>
      </c>
      <c r="O554" s="12">
        <f>ROUND(N554*'Methodology &amp; Assumptions'!$B$5, 0)</f>
        <v/>
      </c>
      <c r="P554" s="10" t="inlineStr">
        <is>
          <t>Single Carrier (Band n50, 100MHz TDD)</t>
        </is>
      </c>
      <c r="Q554" s="13">
        <f>ROUNDUP(O554/'Methodology &amp; Assumptions'!$B$6, 0)</f>
        <v/>
      </c>
      <c r="R554" s="13" t="n">
        <v>1</v>
      </c>
      <c r="S554" s="14" t="n">
        <v>223.03</v>
      </c>
      <c r="T554" s="14" t="n">
        <v>216.78</v>
      </c>
      <c r="U554" s="26">
        <f>IF(X554&gt;='Methodology &amp; Assumptions'!$B$7, "Tier 1 Critical GIDA (Score ≥ 50.0)", IF(X554&gt;='Methodology &amp; Assumptions'!$B$8, "Tier 2 High GIDA (Score 40.0–49.9)", "Tier 3 Moderate GIDA (Score &lt; 40.0)"))</f>
        <v/>
      </c>
      <c r="V554" s="26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W554" s="28" t="n">
        <v>0.083</v>
      </c>
      <c r="X554" s="14" t="n">
        <v>53.57</v>
      </c>
      <c r="Y554" s="14">
        <f>ROUND(MIN(100, (X554/69.91)*100), 2)</f>
        <v/>
      </c>
    </row>
    <row r="555">
      <c r="A555" s="10" t="n">
        <v>1</v>
      </c>
      <c r="B555" s="10" t="n">
        <v>551</v>
      </c>
      <c r="C555" s="10" t="n">
        <v>551</v>
      </c>
      <c r="D555" s="10" t="inlineStr">
        <is>
          <t>1380601044</t>
        </is>
      </c>
      <c r="E555" s="26" t="inlineStr">
        <is>
          <t>National Capital Region (NCR)</t>
        </is>
      </c>
      <c r="F555" s="26" t="inlineStr">
        <is>
          <t>First District (Not a Province)</t>
        </is>
      </c>
      <c r="G555" s="26" t="inlineStr">
        <is>
          <t>City of Manila</t>
        </is>
      </c>
      <c r="H555" s="26" t="inlineStr">
        <is>
          <t>Barangay 44</t>
        </is>
      </c>
      <c r="I555" s="27" t="n">
        <v>12.800399</v>
      </c>
      <c r="J555" s="27" t="n">
        <v>121.722176</v>
      </c>
      <c r="K555" s="10" t="inlineStr">
        <is>
          <t>U</t>
        </is>
      </c>
      <c r="L555" s="12" t="n">
        <v>824</v>
      </c>
      <c r="M555" s="14" t="n">
        <v>3.9</v>
      </c>
      <c r="N555" s="12">
        <f>ROUND(L555/M555, 0)</f>
        <v/>
      </c>
      <c r="O555" s="12">
        <f>ROUND(N555*'Methodology &amp; Assumptions'!$B$5, 0)</f>
        <v/>
      </c>
      <c r="P555" s="10" t="inlineStr">
        <is>
          <t>Single Carrier (Band n50, 100MHz TDD)</t>
        </is>
      </c>
      <c r="Q555" s="13">
        <f>ROUNDUP(O555/'Methodology &amp; Assumptions'!$B$6, 0)</f>
        <v/>
      </c>
      <c r="R555" s="13" t="n">
        <v>1</v>
      </c>
      <c r="S555" s="14" t="n">
        <v>26.23</v>
      </c>
      <c r="T555" s="14" t="n">
        <v>26.16</v>
      </c>
      <c r="U555" s="26">
        <f>IF(X555&gt;='Methodology &amp; Assumptions'!$B$7, "Tier 1 Critical GIDA (Score ≥ 50.0)", IF(X555&gt;='Methodology &amp; Assumptions'!$B$8, "Tier 2 High GIDA (Score 40.0–49.9)", "Tier 3 Moderate GIDA (Score &lt; 40.0)"))</f>
        <v/>
      </c>
      <c r="V555" s="26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W555" s="28" t="n">
        <v>0.109</v>
      </c>
      <c r="X555" s="14" t="n">
        <v>53.56</v>
      </c>
      <c r="Y555" s="14">
        <f>ROUND(MIN(100, (X555/69.91)*100), 2)</f>
        <v/>
      </c>
    </row>
    <row r="556">
      <c r="A556" s="10" t="n">
        <v>1</v>
      </c>
      <c r="B556" s="10" t="n">
        <v>552</v>
      </c>
      <c r="C556" s="10" t="n">
        <v>552</v>
      </c>
      <c r="D556" s="10" t="inlineStr">
        <is>
          <t>PH0000552</t>
        </is>
      </c>
      <c r="E556" s="26" t="inlineStr">
        <is>
          <t>III</t>
        </is>
      </c>
      <c r="F556" s="26" t="inlineStr">
        <is>
          <t>Nueva Ecija</t>
        </is>
      </c>
      <c r="G556" s="26" t="inlineStr">
        <is>
          <t>Cabanatuan City</t>
        </is>
      </c>
      <c r="H556" s="26" t="inlineStr">
        <is>
          <t>Dimasalang (Pob.)</t>
        </is>
      </c>
      <c r="I556" s="27" t="n">
        <v>15.487783</v>
      </c>
      <c r="J556" s="27" t="n">
        <v>120.976946</v>
      </c>
      <c r="K556" s="10" t="inlineStr">
        <is>
          <t>R</t>
        </is>
      </c>
      <c r="L556" s="12" t="n">
        <v>2398</v>
      </c>
      <c r="M556" s="14" t="n">
        <v>3.5</v>
      </c>
      <c r="N556" s="12">
        <f>ROUND(L556/M556, 0)</f>
        <v/>
      </c>
      <c r="O556" s="12">
        <f>ROUND(N556*'Methodology &amp; Assumptions'!$B$5, 0)</f>
        <v/>
      </c>
      <c r="P556" s="10" t="inlineStr">
        <is>
          <t>Single Carrier (Band n50, 100MHz TDD)</t>
        </is>
      </c>
      <c r="Q556" s="13">
        <f>ROUNDUP(O556/'Methodology &amp; Assumptions'!$B$6, 0)</f>
        <v/>
      </c>
      <c r="R556" s="13" t="n">
        <v>1</v>
      </c>
      <c r="S556" s="14" t="n">
        <v>1.82</v>
      </c>
      <c r="T556" s="14" t="n">
        <v>0.24</v>
      </c>
      <c r="U556" s="26">
        <f>IF(X556&gt;='Methodology &amp; Assumptions'!$B$7, "Tier 1 Critical GIDA (Score ≥ 50.0)", IF(X556&gt;='Methodology &amp; Assumptions'!$B$8, "Tier 2 High GIDA (Score 40.0–49.9)", "Tier 3 Moderate GIDA (Score &lt; 40.0)"))</f>
        <v/>
      </c>
      <c r="V556" s="26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W556" s="28" t="n">
        <v>0.083</v>
      </c>
      <c r="X556" s="14" t="n">
        <v>53.55</v>
      </c>
      <c r="Y556" s="14">
        <f>ROUND(MIN(100, (X556/69.91)*100), 2)</f>
        <v/>
      </c>
    </row>
    <row r="557">
      <c r="A557" s="10" t="n">
        <v>1</v>
      </c>
      <c r="B557" s="10" t="n">
        <v>553</v>
      </c>
      <c r="C557" s="10" t="n">
        <v>553</v>
      </c>
      <c r="D557" s="10" t="inlineStr">
        <is>
          <t>1403201005</t>
        </is>
      </c>
      <c r="E557" s="26" t="inlineStr">
        <is>
          <t>Cordillera Administrative Region (CAR)</t>
        </is>
      </c>
      <c r="F557" s="26" t="inlineStr">
        <is>
          <t>Kalinga</t>
        </is>
      </c>
      <c r="G557" s="26" t="inlineStr">
        <is>
          <t>Balbalan</t>
        </is>
      </c>
      <c r="H557" s="26" t="inlineStr">
        <is>
          <t>Buaya</t>
        </is>
      </c>
      <c r="I557" s="27" t="n">
        <v>17.57929</v>
      </c>
      <c r="J557" s="27" t="n">
        <v>121.257219</v>
      </c>
      <c r="K557" s="10" t="inlineStr">
        <is>
          <t>R</t>
        </is>
      </c>
      <c r="L557" s="12" t="n">
        <v>981</v>
      </c>
      <c r="M557" s="14" t="n">
        <v>4.3</v>
      </c>
      <c r="N557" s="12">
        <f>ROUND(L557/M557, 0)</f>
        <v/>
      </c>
      <c r="O557" s="12">
        <f>ROUND(N557*'Methodology &amp; Assumptions'!$B$5, 0)</f>
        <v/>
      </c>
      <c r="P557" s="10" t="inlineStr">
        <is>
          <t>Single Carrier (Band n50, 100MHz TDD)</t>
        </is>
      </c>
      <c r="Q557" s="13">
        <f>ROUNDUP(O557/'Methodology &amp; Assumptions'!$B$6, 0)</f>
        <v/>
      </c>
      <c r="R557" s="13" t="n">
        <v>1</v>
      </c>
      <c r="S557" s="14" t="n">
        <v>9.19</v>
      </c>
      <c r="T557" s="14" t="n">
        <v>16.38</v>
      </c>
      <c r="U557" s="26">
        <f>IF(X557&gt;='Methodology &amp; Assumptions'!$B$7, "Tier 1 Critical GIDA (Score ≥ 50.0)", IF(X557&gt;='Methodology &amp; Assumptions'!$B$8, "Tier 2 High GIDA (Score 40.0–49.9)", "Tier 3 Moderate GIDA (Score &lt; 40.0)"))</f>
        <v/>
      </c>
      <c r="V557" s="26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W557" s="28" t="n">
        <v>0.109</v>
      </c>
      <c r="X557" s="14" t="n">
        <v>53.54</v>
      </c>
      <c r="Y557" s="14">
        <f>ROUND(MIN(100, (X557/69.91)*100), 2)</f>
        <v/>
      </c>
    </row>
    <row r="558">
      <c r="A558" s="10" t="n">
        <v>1</v>
      </c>
      <c r="B558" s="10" t="n">
        <v>554</v>
      </c>
      <c r="C558" s="10" t="n">
        <v>554</v>
      </c>
      <c r="D558" s="10" t="inlineStr">
        <is>
          <t>0205706005</t>
        </is>
      </c>
      <c r="E558" s="26" t="inlineStr">
        <is>
          <t>Region II (Cagayan Valley)</t>
        </is>
      </c>
      <c r="F558" s="26" t="inlineStr">
        <is>
          <t>Quirino</t>
        </is>
      </c>
      <c r="G558" s="26" t="inlineStr">
        <is>
          <t>Nagtipunan</t>
        </is>
      </c>
      <c r="H558" s="26" t="inlineStr">
        <is>
          <t>La Conwap</t>
        </is>
      </c>
      <c r="I558" s="27" t="n">
        <v>16.216787</v>
      </c>
      <c r="J558" s="27" t="n">
        <v>121.599653</v>
      </c>
      <c r="K558" s="10" t="inlineStr">
        <is>
          <t>R</t>
        </is>
      </c>
      <c r="L558" s="12" t="n">
        <v>442</v>
      </c>
      <c r="M558" s="14" t="n">
        <v>3.9</v>
      </c>
      <c r="N558" s="12">
        <f>ROUND(L558/M558, 0)</f>
        <v/>
      </c>
      <c r="O558" s="12">
        <f>ROUND(N558*'Methodology &amp; Assumptions'!$B$5, 0)</f>
        <v/>
      </c>
      <c r="P558" s="10" t="inlineStr">
        <is>
          <t>Single Carrier (Band n50, 100MHz TDD)</t>
        </is>
      </c>
      <c r="Q558" s="13">
        <f>ROUNDUP(O558/'Methodology &amp; Assumptions'!$B$6, 0)</f>
        <v/>
      </c>
      <c r="R558" s="13" t="n">
        <v>1</v>
      </c>
      <c r="S558" s="14" t="n">
        <v>0.17</v>
      </c>
      <c r="T558" s="14" t="n">
        <v>7.13</v>
      </c>
      <c r="U558" s="26">
        <f>IF(X558&gt;='Methodology &amp; Assumptions'!$B$7, "Tier 1 Critical GIDA (Score ≥ 50.0)", IF(X558&gt;='Methodology &amp; Assumptions'!$B$8, "Tier 2 High GIDA (Score 40.0–49.9)", "Tier 3 Moderate GIDA (Score &lt; 40.0)"))</f>
        <v/>
      </c>
      <c r="V558" s="26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W558" s="28" t="n">
        <v>0.083</v>
      </c>
      <c r="X558" s="14" t="n">
        <v>53.53</v>
      </c>
      <c r="Y558" s="14">
        <f>ROUND(MIN(100, (X558/69.91)*100), 2)</f>
        <v/>
      </c>
    </row>
    <row r="559">
      <c r="A559" s="10" t="n">
        <v>1</v>
      </c>
      <c r="B559" s="10" t="n">
        <v>555</v>
      </c>
      <c r="C559" s="10" t="n">
        <v>555</v>
      </c>
      <c r="D559" s="10" t="inlineStr">
        <is>
          <t>1380601105</t>
        </is>
      </c>
      <c r="E559" s="26" t="inlineStr">
        <is>
          <t>National Capital Region (NCR)</t>
        </is>
      </c>
      <c r="F559" s="26" t="inlineStr">
        <is>
          <t>First District (Not a Province)</t>
        </is>
      </c>
      <c r="G559" s="26" t="inlineStr">
        <is>
          <t>City of Manila</t>
        </is>
      </c>
      <c r="H559" s="26" t="inlineStr">
        <is>
          <t>Barangay 105</t>
        </is>
      </c>
      <c r="I559" s="27" t="n">
        <v>12.973627</v>
      </c>
      <c r="J559" s="27" t="n">
        <v>121.757011</v>
      </c>
      <c r="K559" s="10" t="inlineStr">
        <is>
          <t>U</t>
        </is>
      </c>
      <c r="L559" s="12" t="n">
        <v>25729</v>
      </c>
      <c r="M559" s="14" t="n">
        <v>3.9</v>
      </c>
      <c r="N559" s="12">
        <f>ROUND(L559/M559, 0)</f>
        <v/>
      </c>
      <c r="O559" s="12">
        <f>ROUND(N559*'Methodology &amp; Assumptions'!$B$5, 0)</f>
        <v/>
      </c>
      <c r="P559" s="10" t="inlineStr">
        <is>
          <t>Single Carrier (Band n50, 100MHz TDD)</t>
        </is>
      </c>
      <c r="Q559" s="13">
        <f>ROUNDUP(O559/'Methodology &amp; Assumptions'!$B$6, 0)</f>
        <v/>
      </c>
      <c r="R559" s="13" t="n">
        <v>1</v>
      </c>
      <c r="S559" s="14" t="n">
        <v>28.93</v>
      </c>
      <c r="T559" s="14" t="n">
        <v>30.23</v>
      </c>
      <c r="U559" s="26">
        <f>IF(X559&gt;='Methodology &amp; Assumptions'!$B$7, "Tier 1 Critical GIDA (Score ≥ 50.0)", IF(X559&gt;='Methodology &amp; Assumptions'!$B$8, "Tier 2 High GIDA (Score 40.0–49.9)", "Tier 3 Moderate GIDA (Score &lt; 40.0)"))</f>
        <v/>
      </c>
      <c r="V559" s="26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W559" s="28" t="n">
        <v>0.109</v>
      </c>
      <c r="X559" s="14" t="n">
        <v>53.51</v>
      </c>
      <c r="Y559" s="14">
        <f>ROUND(MIN(100, (X559/69.91)*100), 2)</f>
        <v/>
      </c>
    </row>
    <row r="560">
      <c r="A560" s="10" t="n">
        <v>1</v>
      </c>
      <c r="B560" s="10" t="n">
        <v>556</v>
      </c>
      <c r="C560" s="10" t="n">
        <v>556</v>
      </c>
      <c r="D560" s="10" t="inlineStr">
        <is>
          <t>1606805008</t>
        </is>
      </c>
      <c r="E560" s="26" t="inlineStr">
        <is>
          <t>Region XIII (Caraga)</t>
        </is>
      </c>
      <c r="F560" s="26" t="inlineStr">
        <is>
          <t>Surigao del Sur</t>
        </is>
      </c>
      <c r="G560" s="26" t="inlineStr">
        <is>
          <t>Cantilan</t>
        </is>
      </c>
      <c r="H560" s="26" t="inlineStr">
        <is>
          <t>General Island</t>
        </is>
      </c>
      <c r="I560" s="27" t="n">
        <v>9.422328</v>
      </c>
      <c r="J560" s="27" t="n">
        <v>126.01048</v>
      </c>
      <c r="K560" s="10" t="inlineStr">
        <is>
          <t>R</t>
        </is>
      </c>
      <c r="L560" s="12" t="n">
        <v>971</v>
      </c>
      <c r="M560" s="14" t="n">
        <v>4.1</v>
      </c>
      <c r="N560" s="12">
        <f>ROUND(L560/M560, 0)</f>
        <v/>
      </c>
      <c r="O560" s="12">
        <f>ROUND(N560*'Methodology &amp; Assumptions'!$B$5, 0)</f>
        <v/>
      </c>
      <c r="P560" s="10" t="inlineStr">
        <is>
          <t>Single Carrier (Band n50, 100MHz TDD)</t>
        </is>
      </c>
      <c r="Q560" s="13">
        <f>ROUNDUP(O560/'Methodology &amp; Assumptions'!$B$6, 0)</f>
        <v/>
      </c>
      <c r="R560" s="13" t="n">
        <v>1</v>
      </c>
      <c r="S560" s="14" t="n">
        <v>9.09</v>
      </c>
      <c r="T560" s="14" t="n">
        <v>9.09</v>
      </c>
      <c r="U560" s="26">
        <f>IF(X560&gt;='Methodology &amp; Assumptions'!$B$7, "Tier 1 Critical GIDA (Score ≥ 50.0)", IF(X560&gt;='Methodology &amp; Assumptions'!$B$8, "Tier 2 High GIDA (Score 40.0–49.9)", "Tier 3 Moderate GIDA (Score &lt; 40.0)"))</f>
        <v/>
      </c>
      <c r="V560" s="26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W560" s="28" t="n">
        <v>0.174</v>
      </c>
      <c r="X560" s="14" t="n">
        <v>53.49</v>
      </c>
      <c r="Y560" s="14">
        <f>ROUND(MIN(100, (X560/69.91)*100), 2)</f>
        <v/>
      </c>
    </row>
    <row r="561">
      <c r="A561" s="10" t="n">
        <v>1</v>
      </c>
      <c r="B561" s="10" t="n">
        <v>557</v>
      </c>
      <c r="C561" s="10" t="n">
        <v>557</v>
      </c>
      <c r="D561" s="10" t="inlineStr">
        <is>
          <t>0600602038</t>
        </is>
      </c>
      <c r="E561" s="26" t="inlineStr">
        <is>
          <t>Region VI (Western Visayas)</t>
        </is>
      </c>
      <c r="F561" s="26" t="inlineStr">
        <is>
          <t>Antique</t>
        </is>
      </c>
      <c r="G561" s="26" t="inlineStr">
        <is>
          <t>Barbaza</t>
        </is>
      </c>
      <c r="H561" s="26" t="inlineStr">
        <is>
          <t>Tabongtabong</t>
        </is>
      </c>
      <c r="I561" s="27" t="n">
        <v>11.16639</v>
      </c>
      <c r="J561" s="27" t="n">
        <v>122.077517</v>
      </c>
      <c r="K561" s="10" t="inlineStr">
        <is>
          <t>R</t>
        </is>
      </c>
      <c r="L561" s="12" t="n">
        <v>530</v>
      </c>
      <c r="M561" s="14" t="n">
        <v>3.9</v>
      </c>
      <c r="N561" s="12">
        <f>ROUND(L561/M561, 0)</f>
        <v/>
      </c>
      <c r="O561" s="12">
        <f>ROUND(N561*'Methodology &amp; Assumptions'!$B$5, 0)</f>
        <v/>
      </c>
      <c r="P561" s="10" t="inlineStr">
        <is>
          <t>Single Carrier (Band n50, 100MHz TDD)</t>
        </is>
      </c>
      <c r="Q561" s="13">
        <f>ROUNDUP(O561/'Methodology &amp; Assumptions'!$B$6, 0)</f>
        <v/>
      </c>
      <c r="R561" s="13" t="n">
        <v>1</v>
      </c>
      <c r="S561" s="14" t="n">
        <v>47.44</v>
      </c>
      <c r="T561" s="14" t="n">
        <v>41.33</v>
      </c>
      <c r="U561" s="26">
        <f>IF(X561&gt;='Methodology &amp; Assumptions'!$B$7, "Tier 1 Critical GIDA (Score ≥ 50.0)", IF(X561&gt;='Methodology &amp; Assumptions'!$B$8, "Tier 2 High GIDA (Score 40.0–49.9)", "Tier 3 Moderate GIDA (Score &lt; 40.0)"))</f>
        <v/>
      </c>
      <c r="V561" s="26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W561" s="28" t="n">
        <v>0.237</v>
      </c>
      <c r="X561" s="14" t="n">
        <v>53.48</v>
      </c>
      <c r="Y561" s="14">
        <f>ROUND(MIN(100, (X561/69.91)*100), 2)</f>
        <v/>
      </c>
    </row>
    <row r="562">
      <c r="A562" s="10" t="n">
        <v>1</v>
      </c>
      <c r="B562" s="10" t="n">
        <v>558</v>
      </c>
      <c r="C562" s="10" t="n">
        <v>558</v>
      </c>
      <c r="D562" s="10" t="inlineStr">
        <is>
          <t>0405805019</t>
        </is>
      </c>
      <c r="E562" s="26" t="inlineStr">
        <is>
          <t>Region IV-A (CALABARZON)</t>
        </is>
      </c>
      <c r="F562" s="26" t="inlineStr">
        <is>
          <t>Rizal</t>
        </is>
      </c>
      <c r="G562" s="26" t="inlineStr">
        <is>
          <t>Cainta</t>
        </is>
      </c>
      <c r="H562" s="26" t="inlineStr">
        <is>
          <t>Santo Niño</t>
        </is>
      </c>
      <c r="I562" s="27" t="n">
        <v>14.582103</v>
      </c>
      <c r="J562" s="27" t="n">
        <v>121.118117</v>
      </c>
      <c r="K562" s="10" t="inlineStr">
        <is>
          <t>U</t>
        </is>
      </c>
      <c r="L562" s="12" t="n">
        <v>6105</v>
      </c>
      <c r="M562" s="14" t="n">
        <v>3.6</v>
      </c>
      <c r="N562" s="12">
        <f>ROUND(L562/M562, 0)</f>
        <v/>
      </c>
      <c r="O562" s="12">
        <f>ROUND(N562*'Methodology &amp; Assumptions'!$B$5, 0)</f>
        <v/>
      </c>
      <c r="P562" s="10" t="inlineStr">
        <is>
          <t>Single Carrier (Band n50, 100MHz TDD)</t>
        </is>
      </c>
      <c r="Q562" s="13">
        <f>ROUNDUP(O562/'Methodology &amp; Assumptions'!$B$6, 0)</f>
        <v/>
      </c>
      <c r="R562" s="13" t="n">
        <v>1</v>
      </c>
      <c r="S562" s="14" t="n">
        <v>0.6</v>
      </c>
      <c r="T562" s="14" t="n">
        <v>0.36</v>
      </c>
      <c r="U562" s="26">
        <f>IF(X562&gt;='Methodology &amp; Assumptions'!$B$7, "Tier 1 Critical GIDA (Score ≥ 50.0)", IF(X562&gt;='Methodology &amp; Assumptions'!$B$8, "Tier 2 High GIDA (Score 40.0–49.9)", "Tier 3 Moderate GIDA (Score &lt; 40.0)"))</f>
        <v/>
      </c>
      <c r="V562" s="26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W562" s="28" t="n">
        <v>0.07200000000000001</v>
      </c>
      <c r="X562" s="14" t="n">
        <v>53.47</v>
      </c>
      <c r="Y562" s="14">
        <f>ROUND(MIN(100, (X562/69.91)*100), 2)</f>
        <v/>
      </c>
    </row>
    <row r="563">
      <c r="A563" s="10" t="n">
        <v>1</v>
      </c>
      <c r="B563" s="10" t="n">
        <v>559</v>
      </c>
      <c r="C563" s="10" t="n">
        <v>559</v>
      </c>
      <c r="D563" s="10" t="inlineStr">
        <is>
          <t>0201509009</t>
        </is>
      </c>
      <c r="E563" s="26" t="inlineStr">
        <is>
          <t>Region II (Cagayan Valley)</t>
        </is>
      </c>
      <c r="F563" s="26" t="inlineStr">
        <is>
          <t>Cagayan</t>
        </is>
      </c>
      <c r="G563" s="26" t="inlineStr">
        <is>
          <t>Calayan</t>
        </is>
      </c>
      <c r="H563" s="26" t="inlineStr">
        <is>
          <t>Babuyan Claro</t>
        </is>
      </c>
      <c r="I563" s="27" t="n">
        <v>19.49624</v>
      </c>
      <c r="J563" s="27" t="n">
        <v>121.93235</v>
      </c>
      <c r="K563" s="10" t="inlineStr">
        <is>
          <t>R</t>
        </is>
      </c>
      <c r="L563" s="12" t="n">
        <v>1964</v>
      </c>
      <c r="M563" s="14" t="n">
        <v>3.9</v>
      </c>
      <c r="N563" s="12">
        <f>ROUND(L563/M563, 0)</f>
        <v/>
      </c>
      <c r="O563" s="12">
        <f>ROUND(N563*'Methodology &amp; Assumptions'!$B$5, 0)</f>
        <v/>
      </c>
      <c r="P563" s="10" t="inlineStr">
        <is>
          <t>Single Carrier (Band n50, 100MHz TDD)</t>
        </is>
      </c>
      <c r="Q563" s="13">
        <f>ROUNDUP(O563/'Methodology &amp; Assumptions'!$B$6, 0)</f>
        <v/>
      </c>
      <c r="R563" s="13" t="n">
        <v>1</v>
      </c>
      <c r="S563" s="14" t="n">
        <v>115.99</v>
      </c>
      <c r="T563" s="14" t="n">
        <v>112.93</v>
      </c>
      <c r="U563" s="26">
        <f>IF(X563&gt;='Methodology &amp; Assumptions'!$B$7, "Tier 1 Critical GIDA (Score ≥ 50.0)", IF(X563&gt;='Methodology &amp; Assumptions'!$B$8, "Tier 2 High GIDA (Score 40.0–49.9)", "Tier 3 Moderate GIDA (Score &lt; 40.0)"))</f>
        <v/>
      </c>
      <c r="V563" s="26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W563" s="28" t="n">
        <v>0.083</v>
      </c>
      <c r="X563" s="14" t="n">
        <v>53.47</v>
      </c>
      <c r="Y563" s="14">
        <f>ROUND(MIN(100, (X563/69.91)*100), 2)</f>
        <v/>
      </c>
    </row>
    <row r="564">
      <c r="A564" s="10" t="n">
        <v>1</v>
      </c>
      <c r="B564" s="10" t="n">
        <v>560</v>
      </c>
      <c r="C564" s="10" t="n">
        <v>560</v>
      </c>
      <c r="D564" s="10" t="inlineStr">
        <is>
          <t>1404406007</t>
        </is>
      </c>
      <c r="E564" s="26" t="inlineStr">
        <is>
          <t>Cordillera Administrative Region (CAR)</t>
        </is>
      </c>
      <c r="F564" s="26" t="inlineStr">
        <is>
          <t>Mountain Province</t>
        </is>
      </c>
      <c r="G564" s="26" t="inlineStr">
        <is>
          <t>Paracelis</t>
        </is>
      </c>
      <c r="H564" s="26" t="inlineStr">
        <is>
          <t>Buringal</t>
        </is>
      </c>
      <c r="I564" s="27" t="n">
        <v>17.217463</v>
      </c>
      <c r="J564" s="27" t="n">
        <v>121.496263</v>
      </c>
      <c r="K564" s="10" t="inlineStr">
        <is>
          <t>R</t>
        </is>
      </c>
      <c r="L564" s="12" t="n">
        <v>2560</v>
      </c>
      <c r="M564" s="14" t="n">
        <v>3.7</v>
      </c>
      <c r="N564" s="12">
        <f>ROUND(L564/M564, 0)</f>
        <v/>
      </c>
      <c r="O564" s="12">
        <f>ROUND(N564*'Methodology &amp; Assumptions'!$B$5, 0)</f>
        <v/>
      </c>
      <c r="P564" s="10" t="inlineStr">
        <is>
          <t>Single Carrier (Band n50, 100MHz TDD)</t>
        </is>
      </c>
      <c r="Q564" s="13">
        <f>ROUNDUP(O564/'Methodology &amp; Assumptions'!$B$6, 0)</f>
        <v/>
      </c>
      <c r="R564" s="13" t="n">
        <v>1</v>
      </c>
      <c r="S564" s="14" t="n">
        <v>10.69</v>
      </c>
      <c r="T564" s="14" t="n">
        <v>12.08</v>
      </c>
      <c r="U564" s="26">
        <f>IF(X564&gt;='Methodology &amp; Assumptions'!$B$7, "Tier 1 Critical GIDA (Score ≥ 50.0)", IF(X564&gt;='Methodology &amp; Assumptions'!$B$8, "Tier 2 High GIDA (Score 40.0–49.9)", "Tier 3 Moderate GIDA (Score &lt; 40.0)"))</f>
        <v/>
      </c>
      <c r="V564" s="26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W564" s="28" t="n">
        <v>0.109</v>
      </c>
      <c r="X564" s="14" t="n">
        <v>53.46</v>
      </c>
      <c r="Y564" s="14">
        <f>ROUND(MIN(100, (X564/69.91)*100), 2)</f>
        <v/>
      </c>
    </row>
    <row r="565">
      <c r="A565" s="10" t="n">
        <v>1</v>
      </c>
      <c r="B565" s="10" t="n">
        <v>561</v>
      </c>
      <c r="C565" s="10" t="n">
        <v>561</v>
      </c>
      <c r="D565" s="10" t="inlineStr">
        <is>
          <t>1381600021</t>
        </is>
      </c>
      <c r="E565" s="26" t="inlineStr">
        <is>
          <t>National Capital Region (NCR)</t>
        </is>
      </c>
      <c r="F565" s="26" t="inlineStr">
        <is>
          <t>Third District (Not a Province)</t>
        </is>
      </c>
      <c r="G565" s="26" t="inlineStr">
        <is>
          <t>City of Valenzuela</t>
        </is>
      </c>
      <c r="H565" s="26" t="inlineStr">
        <is>
          <t>Palasan</t>
        </is>
      </c>
      <c r="I565" s="27" t="n">
        <v>14.706361</v>
      </c>
      <c r="J565" s="27" t="n">
        <v>120.945868</v>
      </c>
      <c r="K565" s="10" t="inlineStr">
        <is>
          <t>U</t>
        </is>
      </c>
      <c r="L565" s="12" t="n">
        <v>6692</v>
      </c>
      <c r="M565" s="14" t="n">
        <v>3.5</v>
      </c>
      <c r="N565" s="12">
        <f>ROUND(L565/M565, 0)</f>
        <v/>
      </c>
      <c r="O565" s="12">
        <f>ROUND(N565*'Methodology &amp; Assumptions'!$B$5, 0)</f>
        <v/>
      </c>
      <c r="P565" s="10" t="inlineStr">
        <is>
          <t>Single Carrier (Band n50, 100MHz TDD)</t>
        </is>
      </c>
      <c r="Q565" s="13">
        <f>ROUNDUP(O565/'Methodology &amp; Assumptions'!$B$6, 0)</f>
        <v/>
      </c>
      <c r="R565" s="13" t="n">
        <v>1</v>
      </c>
      <c r="S565" s="14" t="n">
        <v>1.05</v>
      </c>
      <c r="T565" s="14" t="n">
        <v>1.4</v>
      </c>
      <c r="U565" s="26">
        <f>IF(X565&gt;='Methodology &amp; Assumptions'!$B$7, "Tier 1 Critical GIDA (Score ≥ 50.0)", IF(X565&gt;='Methodology &amp; Assumptions'!$B$8, "Tier 2 High GIDA (Score 40.0–49.9)", "Tier 3 Moderate GIDA (Score &lt; 40.0)"))</f>
        <v/>
      </c>
      <c r="V565" s="26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W565" s="28" t="n">
        <v>0.109</v>
      </c>
      <c r="X565" s="14" t="n">
        <v>53.45</v>
      </c>
      <c r="Y565" s="14">
        <f>ROUND(MIN(100, (X565/69.91)*100), 2)</f>
        <v/>
      </c>
    </row>
    <row r="566">
      <c r="A566" s="10" t="n">
        <v>1</v>
      </c>
      <c r="B566" s="10" t="n">
        <v>562</v>
      </c>
      <c r="C566" s="10" t="n">
        <v>562</v>
      </c>
      <c r="D566" s="10" t="inlineStr">
        <is>
          <t>PH0000562</t>
        </is>
      </c>
      <c r="E566" s="26" t="inlineStr">
        <is>
          <t>IV-A</t>
        </is>
      </c>
      <c r="F566" s="26" t="inlineStr">
        <is>
          <t>Laguna</t>
        </is>
      </c>
      <c r="G566" s="26" t="inlineStr">
        <is>
          <t>San Pablo City</t>
        </is>
      </c>
      <c r="H566" s="26" t="inlineStr">
        <is>
          <t>Barangay II-E (Pob.)</t>
        </is>
      </c>
      <c r="I566" s="27" t="n">
        <v>14.064166</v>
      </c>
      <c r="J566" s="27" t="n">
        <v>121.324449</v>
      </c>
      <c r="K566" s="10" t="inlineStr">
        <is>
          <t>R</t>
        </is>
      </c>
      <c r="L566" s="12" t="n">
        <v>2412</v>
      </c>
      <c r="M566" s="14" t="n">
        <v>3.3</v>
      </c>
      <c r="N566" s="12">
        <f>ROUND(L566/M566, 0)</f>
        <v/>
      </c>
      <c r="O566" s="12">
        <f>ROUND(N566*'Methodology &amp; Assumptions'!$B$5, 0)</f>
        <v/>
      </c>
      <c r="P566" s="10" t="inlineStr">
        <is>
          <t>Single Carrier (Band n50, 100MHz TDD)</t>
        </is>
      </c>
      <c r="Q566" s="13">
        <f>ROUNDUP(O566/'Methodology &amp; Assumptions'!$B$6, 0)</f>
        <v/>
      </c>
      <c r="R566" s="13" t="n">
        <v>1</v>
      </c>
      <c r="S566" s="14" t="n">
        <v>0.77</v>
      </c>
      <c r="T566" s="14" t="n">
        <v>0.13</v>
      </c>
      <c r="U566" s="26">
        <f>IF(X566&gt;='Methodology &amp; Assumptions'!$B$7, "Tier 1 Critical GIDA (Score ≥ 50.0)", IF(X566&gt;='Methodology &amp; Assumptions'!$B$8, "Tier 2 High GIDA (Score 40.0–49.9)", "Tier 3 Moderate GIDA (Score &lt; 40.0)"))</f>
        <v/>
      </c>
      <c r="V566" s="26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W566" s="28" t="n">
        <v>0.07200000000000001</v>
      </c>
      <c r="X566" s="14" t="n">
        <v>53.44</v>
      </c>
      <c r="Y566" s="14">
        <f>ROUND(MIN(100, (X566/69.91)*100), 2)</f>
        <v/>
      </c>
    </row>
    <row r="567">
      <c r="A567" s="10" t="n">
        <v>1</v>
      </c>
      <c r="B567" s="10" t="n">
        <v>563</v>
      </c>
      <c r="C567" s="10" t="n">
        <v>563</v>
      </c>
      <c r="D567" s="10" t="inlineStr">
        <is>
          <t>0203104019</t>
        </is>
      </c>
      <c r="E567" s="26" t="inlineStr">
        <is>
          <t>Region II (Cagayan Valley)</t>
        </is>
      </c>
      <c r="F567" s="26" t="inlineStr">
        <is>
          <t>Isabela</t>
        </is>
      </c>
      <c r="G567" s="26" t="inlineStr">
        <is>
          <t>Benito Soliven</t>
        </is>
      </c>
      <c r="H567" s="26" t="inlineStr">
        <is>
          <t>San Francisco</t>
        </is>
      </c>
      <c r="I567" s="27" t="n">
        <v>16.939007</v>
      </c>
      <c r="J567" s="27" t="n">
        <v>121.985613</v>
      </c>
      <c r="K567" s="10" t="inlineStr">
        <is>
          <t>R</t>
        </is>
      </c>
      <c r="L567" s="12" t="n">
        <v>648</v>
      </c>
      <c r="M567" s="14" t="n">
        <v>3.8</v>
      </c>
      <c r="N567" s="12">
        <f>ROUND(L567/M567, 0)</f>
        <v/>
      </c>
      <c r="O567" s="12">
        <f>ROUND(N567*'Methodology &amp; Assumptions'!$B$5, 0)</f>
        <v/>
      </c>
      <c r="P567" s="10" t="inlineStr">
        <is>
          <t>Single Carrier (Band n50, 100MHz TDD)</t>
        </is>
      </c>
      <c r="Q567" s="13">
        <f>ROUNDUP(O567/'Methodology &amp; Assumptions'!$B$6, 0)</f>
        <v/>
      </c>
      <c r="R567" s="13" t="n">
        <v>1</v>
      </c>
      <c r="S567" s="14" t="n">
        <v>5.66</v>
      </c>
      <c r="T567" s="14" t="n">
        <v>16.31</v>
      </c>
      <c r="U567" s="26">
        <f>IF(X567&gt;='Methodology &amp; Assumptions'!$B$7, "Tier 1 Critical GIDA (Score ≥ 50.0)", IF(X567&gt;='Methodology &amp; Assumptions'!$B$8, "Tier 2 High GIDA (Score 40.0–49.9)", "Tier 3 Moderate GIDA (Score &lt; 40.0)"))</f>
        <v/>
      </c>
      <c r="V567" s="26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W567" s="28" t="n">
        <v>0.083</v>
      </c>
      <c r="X567" s="14" t="n">
        <v>53.44</v>
      </c>
      <c r="Y567" s="14">
        <f>ROUND(MIN(100, (X567/69.91)*100), 2)</f>
        <v/>
      </c>
    </row>
    <row r="568">
      <c r="A568" s="10" t="n">
        <v>1</v>
      </c>
      <c r="B568" s="10" t="n">
        <v>564</v>
      </c>
      <c r="C568" s="10" t="n">
        <v>564</v>
      </c>
      <c r="D568" s="10" t="inlineStr">
        <is>
          <t>0600602010</t>
        </is>
      </c>
      <c r="E568" s="26" t="inlineStr">
        <is>
          <t>Region VI (Western Visayas)</t>
        </is>
      </c>
      <c r="F568" s="26" t="inlineStr">
        <is>
          <t>Antique</t>
        </is>
      </c>
      <c r="G568" s="26" t="inlineStr">
        <is>
          <t>Barbaza</t>
        </is>
      </c>
      <c r="H568" s="26" t="inlineStr">
        <is>
          <t>Calapadan</t>
        </is>
      </c>
      <c r="I568" s="27" t="n">
        <v>11.213653</v>
      </c>
      <c r="J568" s="27" t="n">
        <v>122.067916</v>
      </c>
      <c r="K568" s="10" t="inlineStr">
        <is>
          <t>R</t>
        </is>
      </c>
      <c r="L568" s="12" t="n">
        <v>155</v>
      </c>
      <c r="M568" s="14" t="n">
        <v>3.9</v>
      </c>
      <c r="N568" s="12">
        <f>ROUND(L568/M568, 0)</f>
        <v/>
      </c>
      <c r="O568" s="12">
        <f>ROUND(N568*'Methodology &amp; Assumptions'!$B$5, 0)</f>
        <v/>
      </c>
      <c r="P568" s="10" t="inlineStr">
        <is>
          <t>Single Carrier (Band n50, 100MHz TDD)</t>
        </is>
      </c>
      <c r="Q568" s="13">
        <f>ROUNDUP(O568/'Methodology &amp; Assumptions'!$B$6, 0)</f>
        <v/>
      </c>
      <c r="R568" s="13" t="n">
        <v>1</v>
      </c>
      <c r="S568" s="14" t="n">
        <v>50.83</v>
      </c>
      <c r="T568" s="14" t="n">
        <v>46.25</v>
      </c>
      <c r="U568" s="26">
        <f>IF(X568&gt;='Methodology &amp; Assumptions'!$B$7, "Tier 1 Critical GIDA (Score ≥ 50.0)", IF(X568&gt;='Methodology &amp; Assumptions'!$B$8, "Tier 2 High GIDA (Score 40.0–49.9)", "Tier 3 Moderate GIDA (Score &lt; 40.0)"))</f>
        <v/>
      </c>
      <c r="V568" s="26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W568" s="28" t="n">
        <v>0.237</v>
      </c>
      <c r="X568" s="14" t="n">
        <v>53.43</v>
      </c>
      <c r="Y568" s="14">
        <f>ROUND(MIN(100, (X568/69.91)*100), 2)</f>
        <v/>
      </c>
    </row>
    <row r="569">
      <c r="A569" s="10" t="n">
        <v>1</v>
      </c>
      <c r="B569" s="10" t="n">
        <v>565</v>
      </c>
      <c r="C569" s="10" t="n">
        <v>565</v>
      </c>
      <c r="D569" s="10" t="inlineStr">
        <is>
          <t>1380601030</t>
        </is>
      </c>
      <c r="E569" s="26" t="inlineStr">
        <is>
          <t>National Capital Region (NCR)</t>
        </is>
      </c>
      <c r="F569" s="26" t="inlineStr">
        <is>
          <t>First District (Not a Province)</t>
        </is>
      </c>
      <c r="G569" s="26" t="inlineStr">
        <is>
          <t>City of Manila</t>
        </is>
      </c>
      <c r="H569" s="26" t="inlineStr">
        <is>
          <t>Barangay 30</t>
        </is>
      </c>
      <c r="I569" s="27" t="n">
        <v>12.820817</v>
      </c>
      <c r="J569" s="27" t="n">
        <v>121.852718</v>
      </c>
      <c r="K569" s="10" t="inlineStr">
        <is>
          <t>U</t>
        </is>
      </c>
      <c r="L569" s="12" t="n">
        <v>171</v>
      </c>
      <c r="M569" s="14" t="n">
        <v>3.9</v>
      </c>
      <c r="N569" s="12">
        <f>ROUND(L569/M569, 0)</f>
        <v/>
      </c>
      <c r="O569" s="12">
        <f>ROUND(N569*'Methodology &amp; Assumptions'!$B$5, 0)</f>
        <v/>
      </c>
      <c r="P569" s="10" t="inlineStr">
        <is>
          <t>Single Carrier (Band n50, 100MHz TDD)</t>
        </is>
      </c>
      <c r="Q569" s="13">
        <f>ROUNDUP(O569/'Methodology &amp; Assumptions'!$B$6, 0)</f>
        <v/>
      </c>
      <c r="R569" s="13" t="n">
        <v>1</v>
      </c>
      <c r="S569" s="14" t="n">
        <v>40.53</v>
      </c>
      <c r="T569" s="14" t="n">
        <v>40.46</v>
      </c>
      <c r="U569" s="26">
        <f>IF(X569&gt;='Methodology &amp; Assumptions'!$B$7, "Tier 1 Critical GIDA (Score ≥ 50.0)", IF(X569&gt;='Methodology &amp; Assumptions'!$B$8, "Tier 2 High GIDA (Score 40.0–49.9)", "Tier 3 Moderate GIDA (Score &lt; 40.0)"))</f>
        <v/>
      </c>
      <c r="V569" s="26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W569" s="28" t="n">
        <v>0.109</v>
      </c>
      <c r="X569" s="14" t="n">
        <v>53.42</v>
      </c>
      <c r="Y569" s="14">
        <f>ROUND(MIN(100, (X569/69.91)*100), 2)</f>
        <v/>
      </c>
    </row>
    <row r="570">
      <c r="A570" s="10" t="n">
        <v>1</v>
      </c>
      <c r="B570" s="10" t="n">
        <v>566</v>
      </c>
      <c r="C570" s="10" t="n">
        <v>566</v>
      </c>
      <c r="D570" s="10" t="inlineStr">
        <is>
          <t>0203111012</t>
        </is>
      </c>
      <c r="E570" s="26" t="inlineStr">
        <is>
          <t>Region II (Cagayan Valley)</t>
        </is>
      </c>
      <c r="F570" s="26" t="inlineStr">
        <is>
          <t>Isabela</t>
        </is>
      </c>
      <c r="G570" s="26" t="inlineStr">
        <is>
          <t>Divilacan</t>
        </is>
      </c>
      <c r="H570" s="26" t="inlineStr">
        <is>
          <t>Dibulos</t>
        </is>
      </c>
      <c r="I570" s="27" t="n">
        <v>17.314642</v>
      </c>
      <c r="J570" s="27" t="n">
        <v>122.322192</v>
      </c>
      <c r="K570" s="10" t="inlineStr">
        <is>
          <t>R</t>
        </is>
      </c>
      <c r="L570" s="12" t="n">
        <v>218</v>
      </c>
      <c r="M570" s="14" t="n">
        <v>3.8</v>
      </c>
      <c r="N570" s="12">
        <f>ROUND(L570/M570, 0)</f>
        <v/>
      </c>
      <c r="O570" s="12">
        <f>ROUND(N570*'Methodology &amp; Assumptions'!$B$5, 0)</f>
        <v/>
      </c>
      <c r="P570" s="10" t="inlineStr">
        <is>
          <t>Single Carrier (Band n50, 100MHz TDD)</t>
        </is>
      </c>
      <c r="Q570" s="13">
        <f>ROUNDUP(O570/'Methodology &amp; Assumptions'!$B$6, 0)</f>
        <v/>
      </c>
      <c r="R570" s="13" t="n">
        <v>1</v>
      </c>
      <c r="S570" s="14" t="n">
        <v>41.3</v>
      </c>
      <c r="T570" s="14" t="n">
        <v>45.83</v>
      </c>
      <c r="U570" s="26">
        <f>IF(X570&gt;='Methodology &amp; Assumptions'!$B$7, "Tier 1 Critical GIDA (Score ≥ 50.0)", IF(X570&gt;='Methodology &amp; Assumptions'!$B$8, "Tier 2 High GIDA (Score 40.0–49.9)", "Tier 3 Moderate GIDA (Score &lt; 40.0)"))</f>
        <v/>
      </c>
      <c r="V570" s="26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W570" s="28" t="n">
        <v>0.083</v>
      </c>
      <c r="X570" s="14" t="n">
        <v>53.42</v>
      </c>
      <c r="Y570" s="14">
        <f>ROUND(MIN(100, (X570/69.91)*100), 2)</f>
        <v/>
      </c>
    </row>
    <row r="571">
      <c r="A571" s="10" t="n">
        <v>1</v>
      </c>
      <c r="B571" s="10" t="n">
        <v>567</v>
      </c>
      <c r="C571" s="10" t="n">
        <v>567</v>
      </c>
      <c r="D571" s="10" t="inlineStr">
        <is>
          <t>1108204037</t>
        </is>
      </c>
      <c r="E571" s="26" t="inlineStr">
        <is>
          <t>Region XI (Davao Region)</t>
        </is>
      </c>
      <c r="F571" s="26" t="inlineStr">
        <is>
          <t>Davao de Oro</t>
        </is>
      </c>
      <c r="G571" s="26" t="inlineStr">
        <is>
          <t>Maco</t>
        </is>
      </c>
      <c r="H571" s="26" t="inlineStr">
        <is>
          <t>Teresa</t>
        </is>
      </c>
      <c r="I571" s="27" t="n">
        <v>7.376665</v>
      </c>
      <c r="J571" s="27" t="n">
        <v>126.025877</v>
      </c>
      <c r="K571" s="10" t="inlineStr">
        <is>
          <t>R</t>
        </is>
      </c>
      <c r="L571" s="12" t="n">
        <v>2094</v>
      </c>
      <c r="M571" s="14" t="n">
        <v>3.7</v>
      </c>
      <c r="N571" s="12">
        <f>ROUND(L571/M571, 0)</f>
        <v/>
      </c>
      <c r="O571" s="12">
        <f>ROUND(N571*'Methodology &amp; Assumptions'!$B$5, 0)</f>
        <v/>
      </c>
      <c r="P571" s="10" t="inlineStr">
        <is>
          <t>Single Carrier (Band n50, 100MHz TDD)</t>
        </is>
      </c>
      <c r="Q571" s="13">
        <f>ROUNDUP(O571/'Methodology &amp; Assumptions'!$B$6, 0)</f>
        <v/>
      </c>
      <c r="R571" s="13" t="n">
        <v>1</v>
      </c>
      <c r="S571" s="14" t="n">
        <v>18.86</v>
      </c>
      <c r="T571" s="14" t="n">
        <v>18.41</v>
      </c>
      <c r="U571" s="26">
        <f>IF(X571&gt;='Methodology &amp; Assumptions'!$B$7, "Tier 1 Critical GIDA (Score ≥ 50.0)", IF(X571&gt;='Methodology &amp; Assumptions'!$B$8, "Tier 2 High GIDA (Score 40.0–49.9)", "Tier 3 Moderate GIDA (Score &lt; 40.0)"))</f>
        <v/>
      </c>
      <c r="V571" s="26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W571" s="28" t="n">
        <v>0.174</v>
      </c>
      <c r="X571" s="14" t="n">
        <v>53.4</v>
      </c>
      <c r="Y571" s="14">
        <f>ROUND(MIN(100, (X571/69.91)*100), 2)</f>
        <v/>
      </c>
    </row>
    <row r="572">
      <c r="A572" s="10" t="n">
        <v>1</v>
      </c>
      <c r="B572" s="10" t="n">
        <v>568</v>
      </c>
      <c r="C572" s="10" t="n">
        <v>568</v>
      </c>
      <c r="D572" s="10" t="inlineStr">
        <is>
          <t>1004325016</t>
        </is>
      </c>
      <c r="E572" s="26" t="inlineStr">
        <is>
          <t>Region X (Northern Mindanao)</t>
        </is>
      </c>
      <c r="F572" s="26" t="inlineStr">
        <is>
          <t>Misamis Oriental</t>
        </is>
      </c>
      <c r="G572" s="26" t="inlineStr">
        <is>
          <t>Talisayan</t>
        </is>
      </c>
      <c r="H572" s="26" t="inlineStr">
        <is>
          <t>Sibantang</t>
        </is>
      </c>
      <c r="I572" s="27" t="n">
        <v>8.982737999999999</v>
      </c>
      <c r="J572" s="27" t="n">
        <v>124.902189</v>
      </c>
      <c r="K572" s="10" t="inlineStr">
        <is>
          <t>R</t>
        </is>
      </c>
      <c r="L572" s="12" t="n">
        <v>896</v>
      </c>
      <c r="M572" s="14" t="n">
        <v>3.9</v>
      </c>
      <c r="N572" s="12">
        <f>ROUND(L572/M572, 0)</f>
        <v/>
      </c>
      <c r="O572" s="12">
        <f>ROUND(N572*'Methodology &amp; Assumptions'!$B$5, 0)</f>
        <v/>
      </c>
      <c r="P572" s="10" t="inlineStr">
        <is>
          <t>Single Carrier (Band n50, 100MHz TDD)</t>
        </is>
      </c>
      <c r="Q572" s="13">
        <f>ROUNDUP(O572/'Methodology &amp; Assumptions'!$B$6, 0)</f>
        <v/>
      </c>
      <c r="R572" s="13" t="n">
        <v>1</v>
      </c>
      <c r="S572" s="14" t="n">
        <v>2.94</v>
      </c>
      <c r="T572" s="14" t="n">
        <v>0.21</v>
      </c>
      <c r="U572" s="26">
        <f>IF(X572&gt;='Methodology &amp; Assumptions'!$B$7, "Tier 1 Critical GIDA (Score ≥ 50.0)", IF(X572&gt;='Methodology &amp; Assumptions'!$B$8, "Tier 2 High GIDA (Score 40.0–49.9)", "Tier 3 Moderate GIDA (Score &lt; 40.0)"))</f>
        <v/>
      </c>
      <c r="V572" s="26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W572" s="28" t="n">
        <v>0.174</v>
      </c>
      <c r="X572" s="14" t="n">
        <v>53.39</v>
      </c>
      <c r="Y572" s="14">
        <f>ROUND(MIN(100, (X572/69.91)*100), 2)</f>
        <v/>
      </c>
    </row>
    <row r="573">
      <c r="A573" s="10" t="n">
        <v>1</v>
      </c>
      <c r="B573" s="10" t="n">
        <v>569</v>
      </c>
      <c r="C573" s="10" t="n">
        <v>569</v>
      </c>
      <c r="D573" s="10" t="inlineStr">
        <is>
          <t>0200901001</t>
        </is>
      </c>
      <c r="E573" s="26" t="inlineStr">
        <is>
          <t>Region II (Cagayan Valley)</t>
        </is>
      </c>
      <c r="F573" s="26" t="inlineStr">
        <is>
          <t>Batanes</t>
        </is>
      </c>
      <c r="G573" s="26" t="inlineStr">
        <is>
          <t>Basco</t>
        </is>
      </c>
      <c r="H573" s="26" t="inlineStr">
        <is>
          <t>Ihubok II</t>
        </is>
      </c>
      <c r="I573" s="27" t="n">
        <v>20.447541</v>
      </c>
      <c r="J573" s="27" t="n">
        <v>121.976449</v>
      </c>
      <c r="K573" s="10" t="inlineStr">
        <is>
          <t>U</t>
        </is>
      </c>
      <c r="L573" s="12" t="n">
        <v>2641</v>
      </c>
      <c r="M573" s="14" t="n">
        <v>3</v>
      </c>
      <c r="N573" s="12">
        <f>ROUND(L573/M573, 0)</f>
        <v/>
      </c>
      <c r="O573" s="12">
        <f>ROUND(N573*'Methodology &amp; Assumptions'!$B$5, 0)</f>
        <v/>
      </c>
      <c r="P573" s="10" t="inlineStr">
        <is>
          <t>Single Carrier (Band n50, 100MHz TDD)</t>
        </is>
      </c>
      <c r="Q573" s="13">
        <f>ROUNDUP(O573/'Methodology &amp; Assumptions'!$B$6, 0)</f>
        <v/>
      </c>
      <c r="R573" s="13" t="n">
        <v>1</v>
      </c>
      <c r="S573" s="14" t="n">
        <v>223.93</v>
      </c>
      <c r="T573" s="14" t="n">
        <v>217.11</v>
      </c>
      <c r="U573" s="26">
        <f>IF(X573&gt;='Methodology &amp; Assumptions'!$B$7, "Tier 1 Critical GIDA (Score ≥ 50.0)", IF(X573&gt;='Methodology &amp; Assumptions'!$B$8, "Tier 2 High GIDA (Score 40.0–49.9)", "Tier 3 Moderate GIDA (Score &lt; 40.0)"))</f>
        <v/>
      </c>
      <c r="V573" s="26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W573" s="28" t="n">
        <v>0.083</v>
      </c>
      <c r="X573" s="14" t="n">
        <v>53.39</v>
      </c>
      <c r="Y573" s="14">
        <f>ROUND(MIN(100, (X573/69.91)*100), 2)</f>
        <v/>
      </c>
    </row>
    <row r="574">
      <c r="A574" s="10" t="n">
        <v>1</v>
      </c>
      <c r="B574" s="10" t="n">
        <v>570</v>
      </c>
      <c r="C574" s="10" t="n">
        <v>570</v>
      </c>
      <c r="D574" s="10" t="inlineStr">
        <is>
          <t>1380900002</t>
        </is>
      </c>
      <c r="E574" s="26" t="inlineStr">
        <is>
          <t>National Capital Region (NCR)</t>
        </is>
      </c>
      <c r="F574" s="26" t="inlineStr">
        <is>
          <t>Third District (Not a Province)</t>
        </is>
      </c>
      <c r="G574" s="26" t="inlineStr">
        <is>
          <t>City of Navotas</t>
        </is>
      </c>
      <c r="H574" s="26" t="inlineStr">
        <is>
          <t>Bagumbayan North</t>
        </is>
      </c>
      <c r="I574" s="27" t="n">
        <v>14.663202</v>
      </c>
      <c r="J574" s="27" t="n">
        <v>120.952743</v>
      </c>
      <c r="K574" s="10" t="inlineStr">
        <is>
          <t>U</t>
        </is>
      </c>
      <c r="L574" s="12" t="n">
        <v>1713</v>
      </c>
      <c r="M574" s="14" t="n">
        <v>3.4</v>
      </c>
      <c r="N574" s="12">
        <f>ROUND(L574/M574, 0)</f>
        <v/>
      </c>
      <c r="O574" s="12">
        <f>ROUND(N574*'Methodology &amp; Assumptions'!$B$5, 0)</f>
        <v/>
      </c>
      <c r="P574" s="10" t="inlineStr">
        <is>
          <t>Single Carrier (Band n50, 100MHz TDD)</t>
        </is>
      </c>
      <c r="Q574" s="13">
        <f>ROUNDUP(O574/'Methodology &amp; Assumptions'!$B$6, 0)</f>
        <v/>
      </c>
      <c r="R574" s="13" t="n">
        <v>1</v>
      </c>
      <c r="S574" s="14" t="n">
        <v>0.5600000000000001</v>
      </c>
      <c r="T574" s="14" t="n">
        <v>0.44</v>
      </c>
      <c r="U574" s="26">
        <f>IF(X574&gt;='Methodology &amp; Assumptions'!$B$7, "Tier 1 Critical GIDA (Score ≥ 50.0)", IF(X574&gt;='Methodology &amp; Assumptions'!$B$8, "Tier 2 High GIDA (Score 40.0–49.9)", "Tier 3 Moderate GIDA (Score &lt; 40.0)"))</f>
        <v/>
      </c>
      <c r="V574" s="26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W574" s="28" t="n">
        <v>0.109</v>
      </c>
      <c r="X574" s="14" t="n">
        <v>53.38</v>
      </c>
      <c r="Y574" s="14">
        <f>ROUND(MIN(100, (X574/69.91)*100), 2)</f>
        <v/>
      </c>
    </row>
    <row r="575">
      <c r="A575" s="10" t="n">
        <v>1</v>
      </c>
      <c r="B575" s="10" t="n">
        <v>571</v>
      </c>
      <c r="C575" s="10" t="n">
        <v>571</v>
      </c>
      <c r="D575" s="10" t="inlineStr">
        <is>
          <t>PH0000571</t>
        </is>
      </c>
      <c r="E575" s="26" t="inlineStr">
        <is>
          <t>VIII</t>
        </is>
      </c>
      <c r="F575" s="26" t="inlineStr">
        <is>
          <t>Samar (Western Samar)</t>
        </is>
      </c>
      <c r="G575" s="26" t="inlineStr">
        <is>
          <t>Catbalogan City</t>
        </is>
      </c>
      <c r="H575" s="26" t="inlineStr">
        <is>
          <t>Cagusipan</t>
        </is>
      </c>
      <c r="I575" s="27" t="n">
        <v>12.888427</v>
      </c>
      <c r="J575" s="27" t="n">
        <v>121.768297</v>
      </c>
      <c r="K575" s="10" t="inlineStr">
        <is>
          <t>R</t>
        </is>
      </c>
      <c r="L575" s="12" t="n">
        <v>2229</v>
      </c>
      <c r="M575" s="14" t="n">
        <v>4.1</v>
      </c>
      <c r="N575" s="12">
        <f>ROUND(L575/M575, 0)</f>
        <v/>
      </c>
      <c r="O575" s="12">
        <f>ROUND(N575*'Methodology &amp; Assumptions'!$B$5, 0)</f>
        <v/>
      </c>
      <c r="P575" s="10" t="inlineStr">
        <is>
          <t>Single Carrier (Band n50, 100MHz TDD)</t>
        </is>
      </c>
      <c r="Q575" s="13">
        <f>ROUNDUP(O575/'Methodology &amp; Assumptions'!$B$6, 0)</f>
        <v/>
      </c>
      <c r="R575" s="13" t="n">
        <v>1</v>
      </c>
      <c r="S575" s="14" t="n">
        <v>32.48</v>
      </c>
      <c r="T575" s="14" t="n">
        <v>32.3</v>
      </c>
      <c r="U575" s="26">
        <f>IF(X575&gt;='Methodology &amp; Assumptions'!$B$7, "Tier 1 Critical GIDA (Score ≥ 50.0)", IF(X575&gt;='Methodology &amp; Assumptions'!$B$8, "Tier 2 High GIDA (Score 40.0–49.9)", "Tier 3 Moderate GIDA (Score &lt; 40.0)"))</f>
        <v/>
      </c>
      <c r="V575" s="26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W575" s="28" t="n">
        <v>0.222</v>
      </c>
      <c r="X575" s="14" t="n">
        <v>53.37</v>
      </c>
      <c r="Y575" s="14">
        <f>ROUND(MIN(100, (X575/69.91)*100), 2)</f>
        <v/>
      </c>
    </row>
    <row r="576">
      <c r="A576" s="10" t="n">
        <v>1</v>
      </c>
      <c r="B576" s="10" t="n">
        <v>572</v>
      </c>
      <c r="C576" s="10" t="n">
        <v>572</v>
      </c>
      <c r="D576" s="10" t="inlineStr">
        <is>
          <t>0205009011</t>
        </is>
      </c>
      <c r="E576" s="26" t="inlineStr">
        <is>
          <t>Region II (Cagayan Valley)</t>
        </is>
      </c>
      <c r="F576" s="26" t="inlineStr">
        <is>
          <t>Nueva Vizcaya</t>
        </is>
      </c>
      <c r="G576" s="26" t="inlineStr">
        <is>
          <t>Kasibu</t>
        </is>
      </c>
      <c r="H576" s="26" t="inlineStr">
        <is>
          <t>Dine</t>
        </is>
      </c>
      <c r="I576" s="27" t="n">
        <v>16.28385</v>
      </c>
      <c r="J576" s="27" t="n">
        <v>121.362</v>
      </c>
      <c r="K576" s="10" t="inlineStr">
        <is>
          <t>R</t>
        </is>
      </c>
      <c r="L576" s="12" t="n">
        <v>1215</v>
      </c>
      <c r="M576" s="14" t="n">
        <v>3.8</v>
      </c>
      <c r="N576" s="12">
        <f>ROUND(L576/M576, 0)</f>
        <v/>
      </c>
      <c r="O576" s="12">
        <f>ROUND(N576*'Methodology &amp; Assumptions'!$B$5, 0)</f>
        <v/>
      </c>
      <c r="P576" s="10" t="inlineStr">
        <is>
          <t>Single Carrier (Band n50, 100MHz TDD)</t>
        </is>
      </c>
      <c r="Q576" s="13">
        <f>ROUNDUP(O576/'Methodology &amp; Assumptions'!$B$6, 0)</f>
        <v/>
      </c>
      <c r="R576" s="13" t="n">
        <v>1</v>
      </c>
      <c r="S576" s="14" t="n">
        <v>8.09</v>
      </c>
      <c r="T576" s="14" t="n">
        <v>29.13</v>
      </c>
      <c r="U576" s="26">
        <f>IF(X576&gt;='Methodology &amp; Assumptions'!$B$7, "Tier 1 Critical GIDA (Score ≥ 50.0)", IF(X576&gt;='Methodology &amp; Assumptions'!$B$8, "Tier 2 High GIDA (Score 40.0–49.9)", "Tier 3 Moderate GIDA (Score &lt; 40.0)"))</f>
        <v/>
      </c>
      <c r="V576" s="26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W576" s="28" t="n">
        <v>0.083</v>
      </c>
      <c r="X576" s="14" t="n">
        <v>53.37</v>
      </c>
      <c r="Y576" s="14">
        <f>ROUND(MIN(100, (X576/69.91)*100), 2)</f>
        <v/>
      </c>
    </row>
    <row r="577">
      <c r="A577" s="10" t="n">
        <v>1</v>
      </c>
      <c r="B577" s="10" t="n">
        <v>573</v>
      </c>
      <c r="C577" s="10" t="n">
        <v>573</v>
      </c>
      <c r="D577" s="10" t="inlineStr">
        <is>
          <t>1380601112</t>
        </is>
      </c>
      <c r="E577" s="26" t="inlineStr">
        <is>
          <t>National Capital Region (NCR)</t>
        </is>
      </c>
      <c r="F577" s="26" t="inlineStr">
        <is>
          <t>First District (Not a Province)</t>
        </is>
      </c>
      <c r="G577" s="26" t="inlineStr">
        <is>
          <t>City of Manila</t>
        </is>
      </c>
      <c r="H577" s="26" t="inlineStr">
        <is>
          <t>Barangay 112</t>
        </is>
      </c>
      <c r="I577" s="27" t="n">
        <v>12.871152</v>
      </c>
      <c r="J577" s="27" t="n">
        <v>121.673776</v>
      </c>
      <c r="K577" s="10" t="inlineStr">
        <is>
          <t>U</t>
        </is>
      </c>
      <c r="L577" s="12" t="n">
        <v>5763</v>
      </c>
      <c r="M577" s="14" t="n">
        <v>3.9</v>
      </c>
      <c r="N577" s="12">
        <f>ROUND(L577/M577, 0)</f>
        <v/>
      </c>
      <c r="O577" s="12">
        <f>ROUND(N577*'Methodology &amp; Assumptions'!$B$5, 0)</f>
        <v/>
      </c>
      <c r="P577" s="10" t="inlineStr">
        <is>
          <t>Single Carrier (Band n50, 100MHz TDD)</t>
        </is>
      </c>
      <c r="Q577" s="13">
        <f>ROUNDUP(O577/'Methodology &amp; Assumptions'!$B$6, 0)</f>
        <v/>
      </c>
      <c r="R577" s="13" t="n">
        <v>1</v>
      </c>
      <c r="S577" s="14" t="n">
        <v>23.42</v>
      </c>
      <c r="T577" s="14" t="n">
        <v>23.07</v>
      </c>
      <c r="U577" s="26">
        <f>IF(X577&gt;='Methodology &amp; Assumptions'!$B$7, "Tier 1 Critical GIDA (Score ≥ 50.0)", IF(X577&gt;='Methodology &amp; Assumptions'!$B$8, "Tier 2 High GIDA (Score 40.0–49.9)", "Tier 3 Moderate GIDA (Score &lt; 40.0)"))</f>
        <v/>
      </c>
      <c r="V577" s="26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W577" s="28" t="n">
        <v>0.109</v>
      </c>
      <c r="X577" s="14" t="n">
        <v>53.36</v>
      </c>
      <c r="Y577" s="14">
        <f>ROUND(MIN(100, (X577/69.91)*100), 2)</f>
        <v/>
      </c>
    </row>
    <row r="578">
      <c r="A578" s="10" t="n">
        <v>1</v>
      </c>
      <c r="B578" s="10" t="n">
        <v>574</v>
      </c>
      <c r="C578" s="10" t="n">
        <v>574</v>
      </c>
      <c r="D578" s="10" t="inlineStr">
        <is>
          <t>0203137044</t>
        </is>
      </c>
      <c r="E578" s="26" t="inlineStr">
        <is>
          <t>Region II (Cagayan Valley)</t>
        </is>
      </c>
      <c r="F578" s="26" t="inlineStr">
        <is>
          <t>Isabela</t>
        </is>
      </c>
      <c r="G578" s="26" t="inlineStr">
        <is>
          <t>Tumauini</t>
        </is>
      </c>
      <c r="H578" s="26" t="inlineStr">
        <is>
          <t>San Vicente</t>
        </is>
      </c>
      <c r="I578" s="27" t="n">
        <v>17.32004</v>
      </c>
      <c r="J578" s="27" t="n">
        <v>121.8254</v>
      </c>
      <c r="K578" s="10" t="inlineStr">
        <is>
          <t>R</t>
        </is>
      </c>
      <c r="L578" s="12" t="n">
        <v>1798</v>
      </c>
      <c r="M578" s="14" t="n">
        <v>3.8</v>
      </c>
      <c r="N578" s="12">
        <f>ROUND(L578/M578, 0)</f>
        <v/>
      </c>
      <c r="O578" s="12">
        <f>ROUND(N578*'Methodology &amp; Assumptions'!$B$5, 0)</f>
        <v/>
      </c>
      <c r="P578" s="10" t="inlineStr">
        <is>
          <t>Single Carrier (Band n50, 100MHz TDD)</t>
        </is>
      </c>
      <c r="Q578" s="13">
        <f>ROUNDUP(O578/'Methodology &amp; Assumptions'!$B$6, 0)</f>
        <v/>
      </c>
      <c r="R578" s="13" t="n">
        <v>1</v>
      </c>
      <c r="S578" s="14" t="n">
        <v>5.35</v>
      </c>
      <c r="T578" s="14" t="n">
        <v>2.17</v>
      </c>
      <c r="U578" s="26">
        <f>IF(X578&gt;='Methodology &amp; Assumptions'!$B$7, "Tier 1 Critical GIDA (Score ≥ 50.0)", IF(X578&gt;='Methodology &amp; Assumptions'!$B$8, "Tier 2 High GIDA (Score 40.0–49.9)", "Tier 3 Moderate GIDA (Score &lt; 40.0)"))</f>
        <v/>
      </c>
      <c r="V578" s="26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W578" s="28" t="n">
        <v>0.083</v>
      </c>
      <c r="X578" s="14" t="n">
        <v>53.34</v>
      </c>
      <c r="Y578" s="14">
        <f>ROUND(MIN(100, (X578/69.91)*100), 2)</f>
        <v/>
      </c>
    </row>
    <row r="579">
      <c r="A579" s="10" t="n">
        <v>1</v>
      </c>
      <c r="B579" s="10" t="n">
        <v>575</v>
      </c>
      <c r="C579" s="10" t="n">
        <v>575</v>
      </c>
      <c r="D579" s="10" t="inlineStr">
        <is>
          <t>0806405001</t>
        </is>
      </c>
      <c r="E579" s="26" t="inlineStr">
        <is>
          <t>Region VIII (Eastern Visayas)</t>
        </is>
      </c>
      <c r="F579" s="26" t="inlineStr">
        <is>
          <t>Southern Leyte</t>
        </is>
      </c>
      <c r="G579" s="26" t="inlineStr">
        <is>
          <t>Libagon</t>
        </is>
      </c>
      <c r="H579" s="26" t="inlineStr">
        <is>
          <t>Biasong</t>
        </is>
      </c>
      <c r="I579" s="27" t="n">
        <v>10.306064</v>
      </c>
      <c r="J579" s="27" t="n">
        <v>125.051394</v>
      </c>
      <c r="K579" s="10" t="inlineStr">
        <is>
          <t>R</t>
        </is>
      </c>
      <c r="L579" s="12" t="n">
        <v>552</v>
      </c>
      <c r="M579" s="14" t="n">
        <v>4.1</v>
      </c>
      <c r="N579" s="12">
        <f>ROUND(L579/M579, 0)</f>
        <v/>
      </c>
      <c r="O579" s="12">
        <f>ROUND(N579*'Methodology &amp; Assumptions'!$B$5, 0)</f>
        <v/>
      </c>
      <c r="P579" s="10" t="inlineStr">
        <is>
          <t>Single Carrier (Band n50, 100MHz TDD)</t>
        </is>
      </c>
      <c r="Q579" s="13">
        <f>ROUNDUP(O579/'Methodology &amp; Assumptions'!$B$6, 0)</f>
        <v/>
      </c>
      <c r="R579" s="13" t="n">
        <v>1</v>
      </c>
      <c r="S579" s="14" t="n">
        <v>11.67</v>
      </c>
      <c r="T579" s="14" t="n">
        <v>7.58</v>
      </c>
      <c r="U579" s="26">
        <f>IF(X579&gt;='Methodology &amp; Assumptions'!$B$7, "Tier 1 Critical GIDA (Score ≥ 50.0)", IF(X579&gt;='Methodology &amp; Assumptions'!$B$8, "Tier 2 High GIDA (Score 40.0–49.9)", "Tier 3 Moderate GIDA (Score &lt; 40.0)"))</f>
        <v/>
      </c>
      <c r="V579" s="26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W579" s="28" t="n">
        <v>0.237</v>
      </c>
      <c r="X579" s="14" t="n">
        <v>53.32</v>
      </c>
      <c r="Y579" s="14">
        <f>ROUND(MIN(100, (X579/69.91)*100), 2)</f>
        <v/>
      </c>
    </row>
    <row r="580">
      <c r="A580" s="10" t="n">
        <v>1</v>
      </c>
      <c r="B580" s="10" t="n">
        <v>576</v>
      </c>
      <c r="C580" s="10" t="n">
        <v>576</v>
      </c>
      <c r="D580" s="10" t="inlineStr">
        <is>
          <t>0102911003</t>
        </is>
      </c>
      <c r="E580" s="26" t="inlineStr">
        <is>
          <t>Region I (Ilocos Region)</t>
        </is>
      </c>
      <c r="F580" s="26" t="inlineStr">
        <is>
          <t>Ilocos Sur</t>
        </is>
      </c>
      <c r="G580" s="26" t="inlineStr">
        <is>
          <t>Lidlidda</t>
        </is>
      </c>
      <c r="H580" s="26" t="inlineStr">
        <is>
          <t>Bugui</t>
        </is>
      </c>
      <c r="I580" s="27" t="n">
        <v>17.266856</v>
      </c>
      <c r="J580" s="27" t="n">
        <v>120.529996</v>
      </c>
      <c r="K580" s="10" t="inlineStr">
        <is>
          <t>R</t>
        </is>
      </c>
      <c r="L580" s="12" t="n">
        <v>244</v>
      </c>
      <c r="M580" s="14" t="n">
        <v>3.8</v>
      </c>
      <c r="N580" s="12">
        <f>ROUND(L580/M580, 0)</f>
        <v/>
      </c>
      <c r="O580" s="12">
        <f>ROUND(N580*'Methodology &amp; Assumptions'!$B$5, 0)</f>
        <v/>
      </c>
      <c r="P580" s="10" t="inlineStr">
        <is>
          <t>Single Carrier (Band n50, 100MHz TDD)</t>
        </is>
      </c>
      <c r="Q580" s="13">
        <f>ROUNDUP(O580/'Methodology &amp; Assumptions'!$B$6, 0)</f>
        <v/>
      </c>
      <c r="R580" s="13" t="n">
        <v>1</v>
      </c>
      <c r="S580" s="14" t="n">
        <v>1.89</v>
      </c>
      <c r="T580" s="14" t="n">
        <v>1.87</v>
      </c>
      <c r="U580" s="26">
        <f>IF(X580&gt;='Methodology &amp; Assumptions'!$B$7, "Tier 1 Critical GIDA (Score ≥ 50.0)", IF(X580&gt;='Methodology &amp; Assumptions'!$B$8, "Tier 2 High GIDA (Score 40.0–49.9)", "Tier 3 Moderate GIDA (Score &lt; 40.0)"))</f>
        <v/>
      </c>
      <c r="V580" s="26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W580" s="28" t="n">
        <v>0.083</v>
      </c>
      <c r="X580" s="14" t="n">
        <v>53.32</v>
      </c>
      <c r="Y580" s="14">
        <f>ROUND(MIN(100, (X580/69.91)*100), 2)</f>
        <v/>
      </c>
    </row>
    <row r="581">
      <c r="A581" s="10" t="n">
        <v>1</v>
      </c>
      <c r="B581" s="10" t="n">
        <v>577</v>
      </c>
      <c r="C581" s="10" t="n">
        <v>577</v>
      </c>
      <c r="D581" s="10" t="inlineStr">
        <is>
          <t>0205009008</t>
        </is>
      </c>
      <c r="E581" s="26" t="inlineStr">
        <is>
          <t>Region II (Cagayan Valley)</t>
        </is>
      </c>
      <c r="F581" s="26" t="inlineStr">
        <is>
          <t>Nueva Vizcaya</t>
        </is>
      </c>
      <c r="G581" s="26" t="inlineStr">
        <is>
          <t>Kasibu</t>
        </is>
      </c>
      <c r="H581" s="26" t="inlineStr">
        <is>
          <t>Capisaan</t>
        </is>
      </c>
      <c r="I581" s="27" t="n">
        <v>16.3322</v>
      </c>
      <c r="J581" s="27" t="n">
        <v>121.39372</v>
      </c>
      <c r="K581" s="10" t="inlineStr">
        <is>
          <t>R</t>
        </is>
      </c>
      <c r="L581" s="12" t="n">
        <v>1477</v>
      </c>
      <c r="M581" s="14" t="n">
        <v>3.8</v>
      </c>
      <c r="N581" s="12">
        <f>ROUND(L581/M581, 0)</f>
        <v/>
      </c>
      <c r="O581" s="12">
        <f>ROUND(N581*'Methodology &amp; Assumptions'!$B$5, 0)</f>
        <v/>
      </c>
      <c r="P581" s="10" t="inlineStr">
        <is>
          <t>Single Carrier (Band n50, 100MHz TDD)</t>
        </is>
      </c>
      <c r="Q581" s="13">
        <f>ROUNDUP(O581/'Methodology &amp; Assumptions'!$B$6, 0)</f>
        <v/>
      </c>
      <c r="R581" s="13" t="n">
        <v>1</v>
      </c>
      <c r="S581" s="14" t="n">
        <v>10.75</v>
      </c>
      <c r="T581" s="14" t="n">
        <v>26.23</v>
      </c>
      <c r="U581" s="26">
        <f>IF(X581&gt;='Methodology &amp; Assumptions'!$B$7, "Tier 1 Critical GIDA (Score ≥ 50.0)", IF(X581&gt;='Methodology &amp; Assumptions'!$B$8, "Tier 2 High GIDA (Score 40.0–49.9)", "Tier 3 Moderate GIDA (Score &lt; 40.0)"))</f>
        <v/>
      </c>
      <c r="V581" s="26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W581" s="28" t="n">
        <v>0.083</v>
      </c>
      <c r="X581" s="14" t="n">
        <v>53.31</v>
      </c>
      <c r="Y581" s="14">
        <f>ROUND(MIN(100, (X581/69.91)*100), 2)</f>
        <v/>
      </c>
    </row>
    <row r="582">
      <c r="A582" s="10" t="n">
        <v>1</v>
      </c>
      <c r="B582" s="10" t="n">
        <v>578</v>
      </c>
      <c r="C582" s="10" t="n">
        <v>578</v>
      </c>
      <c r="D582" s="10" t="inlineStr">
        <is>
          <t>0205009016</t>
        </is>
      </c>
      <c r="E582" s="26" t="inlineStr">
        <is>
          <t>Region II (Cagayan Valley)</t>
        </is>
      </c>
      <c r="F582" s="26" t="inlineStr">
        <is>
          <t>Nueva Vizcaya</t>
        </is>
      </c>
      <c r="G582" s="26" t="inlineStr">
        <is>
          <t>Kasibu</t>
        </is>
      </c>
      <c r="H582" s="26" t="inlineStr">
        <is>
          <t>Malabing</t>
        </is>
      </c>
      <c r="I582" s="27" t="n">
        <v>16.3468</v>
      </c>
      <c r="J582" s="27" t="n">
        <v>121.37528</v>
      </c>
      <c r="K582" s="10" t="inlineStr">
        <is>
          <t>R</t>
        </is>
      </c>
      <c r="L582" s="12" t="n">
        <v>887</v>
      </c>
      <c r="M582" s="14" t="n">
        <v>3.8</v>
      </c>
      <c r="N582" s="12">
        <f>ROUND(L582/M582, 0)</f>
        <v/>
      </c>
      <c r="O582" s="12">
        <f>ROUND(N582*'Methodology &amp; Assumptions'!$B$5, 0)</f>
        <v/>
      </c>
      <c r="P582" s="10" t="inlineStr">
        <is>
          <t>Single Carrier (Band n50, 100MHz TDD)</t>
        </is>
      </c>
      <c r="Q582" s="13">
        <f>ROUNDUP(O582/'Methodology &amp; Assumptions'!$B$6, 0)</f>
        <v/>
      </c>
      <c r="R582" s="13" t="n">
        <v>1</v>
      </c>
      <c r="S582" s="14" t="n">
        <v>9.279999999999999</v>
      </c>
      <c r="T582" s="14" t="n">
        <v>26.32</v>
      </c>
      <c r="U582" s="26">
        <f>IF(X582&gt;='Methodology &amp; Assumptions'!$B$7, "Tier 1 Critical GIDA (Score ≥ 50.0)", IF(X582&gt;='Methodology &amp; Assumptions'!$B$8, "Tier 2 High GIDA (Score 40.0–49.9)", "Tier 3 Moderate GIDA (Score &lt; 40.0)"))</f>
        <v/>
      </c>
      <c r="V582" s="26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W582" s="28" t="n">
        <v>0.083</v>
      </c>
      <c r="X582" s="14" t="n">
        <v>53.31</v>
      </c>
      <c r="Y582" s="14">
        <f>ROUND(MIN(100, (X582/69.91)*100), 2)</f>
        <v/>
      </c>
    </row>
    <row r="583">
      <c r="A583" s="10" t="n">
        <v>1</v>
      </c>
      <c r="B583" s="10" t="n">
        <v>579</v>
      </c>
      <c r="C583" s="10" t="n">
        <v>579</v>
      </c>
      <c r="D583" s="10" t="inlineStr">
        <is>
          <t>0806407016</t>
        </is>
      </c>
      <c r="E583" s="26" t="inlineStr">
        <is>
          <t>Region VIII (Eastern Visayas)</t>
        </is>
      </c>
      <c r="F583" s="26" t="inlineStr">
        <is>
          <t>Southern Leyte</t>
        </is>
      </c>
      <c r="G583" s="26" t="inlineStr">
        <is>
          <t>City of Maasin</t>
        </is>
      </c>
      <c r="H583" s="26" t="inlineStr">
        <is>
          <t>Cagnituan</t>
        </is>
      </c>
      <c r="I583" s="27" t="n">
        <v>10.15897</v>
      </c>
      <c r="J583" s="27" t="n">
        <v>124.915206</v>
      </c>
      <c r="K583" s="10" t="inlineStr">
        <is>
          <t>R</t>
        </is>
      </c>
      <c r="L583" s="12" t="n">
        <v>360</v>
      </c>
      <c r="M583" s="14" t="n">
        <v>4.1</v>
      </c>
      <c r="N583" s="12">
        <f>ROUND(L583/M583, 0)</f>
        <v/>
      </c>
      <c r="O583" s="12">
        <f>ROUND(N583*'Methodology &amp; Assumptions'!$B$5, 0)</f>
        <v/>
      </c>
      <c r="P583" s="10" t="inlineStr">
        <is>
          <t>Single Carrier (Band n50, 100MHz TDD)</t>
        </is>
      </c>
      <c r="Q583" s="13">
        <f>ROUNDUP(O583/'Methodology &amp; Assumptions'!$B$6, 0)</f>
        <v/>
      </c>
      <c r="R583" s="13" t="n">
        <v>1</v>
      </c>
      <c r="S583" s="14" t="n">
        <v>5.67</v>
      </c>
      <c r="T583" s="14" t="n">
        <v>5.03</v>
      </c>
      <c r="U583" s="26">
        <f>IF(X583&gt;='Methodology &amp; Assumptions'!$B$7, "Tier 1 Critical GIDA (Score ≥ 50.0)", IF(X583&gt;='Methodology &amp; Assumptions'!$B$8, "Tier 2 High GIDA (Score 40.0–49.9)", "Tier 3 Moderate GIDA (Score &lt; 40.0)"))</f>
        <v/>
      </c>
      <c r="V583" s="26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W583" s="28" t="n">
        <v>0.237</v>
      </c>
      <c r="X583" s="14" t="n">
        <v>53.31</v>
      </c>
      <c r="Y583" s="14">
        <f>ROUND(MIN(100, (X583/69.91)*100), 2)</f>
        <v/>
      </c>
    </row>
    <row r="584">
      <c r="A584" s="10" t="n">
        <v>1</v>
      </c>
      <c r="B584" s="10" t="n">
        <v>580</v>
      </c>
      <c r="C584" s="10" t="n">
        <v>580</v>
      </c>
      <c r="D584" s="10" t="inlineStr">
        <is>
          <t>0506204013</t>
        </is>
      </c>
      <c r="E584" s="26" t="inlineStr">
        <is>
          <t>Region V (Bicol Region)</t>
        </is>
      </c>
      <c r="F584" s="26" t="inlineStr">
        <is>
          <t>Sorsogon</t>
        </is>
      </c>
      <c r="G584" s="26" t="inlineStr">
        <is>
          <t>Bulusan</t>
        </is>
      </c>
      <c r="H584" s="26" t="inlineStr">
        <is>
          <t>Salvacion</t>
        </is>
      </c>
      <c r="I584" s="27" t="n">
        <v>12.721583</v>
      </c>
      <c r="J584" s="27" t="n">
        <v>124.09624</v>
      </c>
      <c r="K584" s="10" t="inlineStr">
        <is>
          <t>R</t>
        </is>
      </c>
      <c r="L584" s="12" t="n">
        <v>488</v>
      </c>
      <c r="M584" s="14" t="n">
        <v>4</v>
      </c>
      <c r="N584" s="12">
        <f>ROUND(L584/M584, 0)</f>
        <v/>
      </c>
      <c r="O584" s="12">
        <f>ROUND(N584*'Methodology &amp; Assumptions'!$B$5, 0)</f>
        <v/>
      </c>
      <c r="P584" s="10" t="inlineStr">
        <is>
          <t>Single Carrier (Band n50, 100MHz TDD)</t>
        </is>
      </c>
      <c r="Q584" s="13">
        <f>ROUNDUP(O584/'Methodology &amp; Assumptions'!$B$6, 0)</f>
        <v/>
      </c>
      <c r="R584" s="13" t="n">
        <v>1</v>
      </c>
      <c r="S584" s="14" t="n">
        <v>5.76</v>
      </c>
      <c r="T584" s="14" t="n">
        <v>1.94</v>
      </c>
      <c r="U584" s="26">
        <f>IF(X584&gt;='Methodology &amp; Assumptions'!$B$7, "Tier 1 Critical GIDA (Score ≥ 50.0)", IF(X584&gt;='Methodology &amp; Assumptions'!$B$8, "Tier 2 High GIDA (Score 40.0–49.9)", "Tier 3 Moderate GIDA (Score &lt; 40.0)"))</f>
        <v/>
      </c>
      <c r="V584" s="26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W584" s="28" t="n">
        <v>0.237</v>
      </c>
      <c r="X584" s="14" t="n">
        <v>53.3</v>
      </c>
      <c r="Y584" s="14">
        <f>ROUND(MIN(100, (X584/69.91)*100), 2)</f>
        <v/>
      </c>
    </row>
    <row r="585">
      <c r="A585" s="10" t="n">
        <v>1</v>
      </c>
      <c r="B585" s="10" t="n">
        <v>581</v>
      </c>
      <c r="C585" s="10" t="n">
        <v>581</v>
      </c>
      <c r="D585" s="10" t="inlineStr">
        <is>
          <t>PH0000581</t>
        </is>
      </c>
      <c r="E585" s="26" t="inlineStr">
        <is>
          <t>VI</t>
        </is>
      </c>
      <c r="F585" s="26" t="inlineStr">
        <is>
          <t>Iloilo</t>
        </is>
      </c>
      <c r="G585" s="26" t="inlineStr">
        <is>
          <t>Iloilo City</t>
        </is>
      </c>
      <c r="H585" s="26" t="inlineStr">
        <is>
          <t>Rizal Estanzuela</t>
        </is>
      </c>
      <c r="I585" s="27" t="n">
        <v>10.693137</v>
      </c>
      <c r="J585" s="27" t="n">
        <v>122.560351</v>
      </c>
      <c r="K585" s="10" t="inlineStr">
        <is>
          <t>R</t>
        </is>
      </c>
      <c r="L585" s="12" t="n">
        <v>2230</v>
      </c>
      <c r="M585" s="14" t="n">
        <v>3.8</v>
      </c>
      <c r="N585" s="12">
        <f>ROUND(L585/M585, 0)</f>
        <v/>
      </c>
      <c r="O585" s="12">
        <f>ROUND(N585*'Methodology &amp; Assumptions'!$B$5, 0)</f>
        <v/>
      </c>
      <c r="P585" s="10" t="inlineStr">
        <is>
          <t>Single Carrier (Band n50, 100MHz TDD)</t>
        </is>
      </c>
      <c r="Q585" s="13">
        <f>ROUNDUP(O585/'Methodology &amp; Assumptions'!$B$6, 0)</f>
        <v/>
      </c>
      <c r="R585" s="13" t="n">
        <v>1</v>
      </c>
      <c r="S585" s="14" t="n">
        <v>1.95</v>
      </c>
      <c r="T585" s="14" t="n">
        <v>1.32</v>
      </c>
      <c r="U585" s="26">
        <f>IF(X585&gt;='Methodology &amp; Assumptions'!$B$7, "Tier 1 Critical GIDA (Score ≥ 50.0)", IF(X585&gt;='Methodology &amp; Assumptions'!$B$8, "Tier 2 High GIDA (Score 40.0–49.9)", "Tier 3 Moderate GIDA (Score &lt; 40.0)"))</f>
        <v/>
      </c>
      <c r="V585" s="26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W585" s="28" t="n">
        <v>0.156</v>
      </c>
      <c r="X585" s="14" t="n">
        <v>53.3</v>
      </c>
      <c r="Y585" s="14">
        <f>ROUND(MIN(100, (X585/69.91)*100), 2)</f>
        <v/>
      </c>
    </row>
    <row r="586">
      <c r="A586" s="10" t="n">
        <v>1</v>
      </c>
      <c r="B586" s="10" t="n">
        <v>582</v>
      </c>
      <c r="C586" s="10" t="n">
        <v>582</v>
      </c>
      <c r="D586" s="10" t="inlineStr">
        <is>
          <t>0405622032</t>
        </is>
      </c>
      <c r="E586" s="26" t="inlineStr">
        <is>
          <t>Region IV-A (CALABARZON)</t>
        </is>
      </c>
      <c r="F586" s="26" t="inlineStr">
        <is>
          <t>Quezon</t>
        </is>
      </c>
      <c r="G586" s="26" t="inlineStr">
        <is>
          <t>Lopez</t>
        </is>
      </c>
      <c r="H586" s="26" t="inlineStr">
        <is>
          <t>Esperanza Ilaya</t>
        </is>
      </c>
      <c r="I586" s="27" t="n">
        <v>13.852673</v>
      </c>
      <c r="J586" s="27" t="n">
        <v>122.284554</v>
      </c>
      <c r="K586" s="10" t="inlineStr">
        <is>
          <t>R</t>
        </is>
      </c>
      <c r="L586" s="12" t="n">
        <v>263</v>
      </c>
      <c r="M586" s="14" t="n">
        <v>3.8</v>
      </c>
      <c r="N586" s="12">
        <f>ROUND(L586/M586, 0)</f>
        <v/>
      </c>
      <c r="O586" s="12">
        <f>ROUND(N586*'Methodology &amp; Assumptions'!$B$5, 0)</f>
        <v/>
      </c>
      <c r="P586" s="10" t="inlineStr">
        <is>
          <t>Single Carrier (Band n50, 100MHz TDD)</t>
        </is>
      </c>
      <c r="Q586" s="13">
        <f>ROUNDUP(O586/'Methodology &amp; Assumptions'!$B$6, 0)</f>
        <v/>
      </c>
      <c r="R586" s="13" t="n">
        <v>1</v>
      </c>
      <c r="S586" s="14" t="n">
        <v>4.54</v>
      </c>
      <c r="T586" s="14" t="n">
        <v>3.57</v>
      </c>
      <c r="U586" s="26">
        <f>IF(X586&gt;='Methodology &amp; Assumptions'!$B$7, "Tier 1 Critical GIDA (Score ≥ 50.0)", IF(X586&gt;='Methodology &amp; Assumptions'!$B$8, "Tier 2 High GIDA (Score 40.0–49.9)", "Tier 3 Moderate GIDA (Score &lt; 40.0)"))</f>
        <v/>
      </c>
      <c r="V586" s="26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W586" s="28" t="n">
        <v>0.07200000000000001</v>
      </c>
      <c r="X586" s="14" t="n">
        <v>53.29</v>
      </c>
      <c r="Y586" s="14">
        <f>ROUND(MIN(100, (X586/69.91)*100), 2)</f>
        <v/>
      </c>
    </row>
    <row r="587">
      <c r="A587" s="10" t="n">
        <v>1</v>
      </c>
      <c r="B587" s="10" t="n">
        <v>583</v>
      </c>
      <c r="C587" s="10" t="n">
        <v>583</v>
      </c>
      <c r="D587" s="10" t="inlineStr">
        <is>
          <t>PH0000583</t>
        </is>
      </c>
      <c r="E587" s="26" t="inlineStr">
        <is>
          <t>VIII</t>
        </is>
      </c>
      <c r="F587" s="26" t="inlineStr">
        <is>
          <t>Leyte</t>
        </is>
      </c>
      <c r="G587" s="26" t="inlineStr">
        <is>
          <t>Tacloban City</t>
        </is>
      </c>
      <c r="H587" s="26" t="inlineStr">
        <is>
          <t>Barangay 7</t>
        </is>
      </c>
      <c r="I587" s="27" t="n">
        <v>11.257539</v>
      </c>
      <c r="J587" s="27" t="n">
        <v>124.979161</v>
      </c>
      <c r="K587" s="10" t="inlineStr">
        <is>
          <t>R</t>
        </is>
      </c>
      <c r="L587" s="12" t="n">
        <v>2258</v>
      </c>
      <c r="M587" s="14" t="n">
        <v>3.8</v>
      </c>
      <c r="N587" s="12">
        <f>ROUND(L587/M587, 0)</f>
        <v/>
      </c>
      <c r="O587" s="12">
        <f>ROUND(N587*'Methodology &amp; Assumptions'!$B$5, 0)</f>
        <v/>
      </c>
      <c r="P587" s="10" t="inlineStr">
        <is>
          <t>Single Carrier (Band n50, 100MHz TDD)</t>
        </is>
      </c>
      <c r="Q587" s="13">
        <f>ROUNDUP(O587/'Methodology &amp; Assumptions'!$B$6, 0)</f>
        <v/>
      </c>
      <c r="R587" s="13" t="n">
        <v>1</v>
      </c>
      <c r="S587" s="14" t="n">
        <v>3.23</v>
      </c>
      <c r="T587" s="14" t="n">
        <v>6</v>
      </c>
      <c r="U587" s="26">
        <f>IF(X587&gt;='Methodology &amp; Assumptions'!$B$7, "Tier 1 Critical GIDA (Score ≥ 50.0)", IF(X587&gt;='Methodology &amp; Assumptions'!$B$8, "Tier 2 High GIDA (Score 40.0–49.9)", "Tier 3 Moderate GIDA (Score &lt; 40.0)"))</f>
        <v/>
      </c>
      <c r="V587" s="26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W587" s="28" t="n">
        <v>0.222</v>
      </c>
      <c r="X587" s="14" t="n">
        <v>53.29</v>
      </c>
      <c r="Y587" s="14">
        <f>ROUND(MIN(100, (X587/69.91)*100), 2)</f>
        <v/>
      </c>
    </row>
    <row r="588">
      <c r="A588" s="10" t="n">
        <v>1</v>
      </c>
      <c r="B588" s="10" t="n">
        <v>584</v>
      </c>
      <c r="C588" s="10" t="n">
        <v>584</v>
      </c>
      <c r="D588" s="10" t="inlineStr">
        <is>
          <t>0806002022</t>
        </is>
      </c>
      <c r="E588" s="26" t="inlineStr">
        <is>
          <t>Region VIII (Eastern Visayas)</t>
        </is>
      </c>
      <c r="F588" s="26" t="inlineStr">
        <is>
          <t>Samar</t>
        </is>
      </c>
      <c r="G588" s="26" t="inlineStr">
        <is>
          <t>Basey</t>
        </is>
      </c>
      <c r="H588" s="26" t="inlineStr">
        <is>
          <t>Mabini</t>
        </is>
      </c>
      <c r="I588" s="27" t="n">
        <v>11.42112</v>
      </c>
      <c r="J588" s="27" t="n">
        <v>125.14196</v>
      </c>
      <c r="K588" s="10" t="inlineStr">
        <is>
          <t>R</t>
        </is>
      </c>
      <c r="L588" s="12" t="n">
        <v>2868</v>
      </c>
      <c r="M588" s="14" t="n">
        <v>4.1</v>
      </c>
      <c r="N588" s="12">
        <f>ROUND(L588/M588, 0)</f>
        <v/>
      </c>
      <c r="O588" s="12">
        <f>ROUND(N588*'Methodology &amp; Assumptions'!$B$5, 0)</f>
        <v/>
      </c>
      <c r="P588" s="10" t="inlineStr">
        <is>
          <t>Single Carrier (Band n50, 100MHz TDD)</t>
        </is>
      </c>
      <c r="Q588" s="13">
        <f>ROUNDUP(O588/'Methodology &amp; Assumptions'!$B$6, 0)</f>
        <v/>
      </c>
      <c r="R588" s="13" t="n">
        <v>1</v>
      </c>
      <c r="S588" s="14" t="n">
        <v>25.27</v>
      </c>
      <c r="T588" s="14" t="n">
        <v>27.27</v>
      </c>
      <c r="U588" s="26">
        <f>IF(X588&gt;='Methodology &amp; Assumptions'!$B$7, "Tier 1 Critical GIDA (Score ≥ 50.0)", IF(X588&gt;='Methodology &amp; Assumptions'!$B$8, "Tier 2 High GIDA (Score 40.0–49.9)", "Tier 3 Moderate GIDA (Score &lt; 40.0)"))</f>
        <v/>
      </c>
      <c r="V588" s="26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W588" s="28" t="n">
        <v>0.237</v>
      </c>
      <c r="X588" s="14" t="n">
        <v>53.27</v>
      </c>
      <c r="Y588" s="14">
        <f>ROUND(MIN(100, (X588/69.91)*100), 2)</f>
        <v/>
      </c>
    </row>
    <row r="589">
      <c r="A589" s="10" t="n">
        <v>1</v>
      </c>
      <c r="B589" s="10" t="n">
        <v>585</v>
      </c>
      <c r="C589" s="10" t="n">
        <v>585</v>
      </c>
      <c r="D589" s="10" t="inlineStr">
        <is>
          <t>1003514001</t>
        </is>
      </c>
      <c r="E589" s="26" t="inlineStr">
        <is>
          <t>Region X (Northern Mindanao)</t>
        </is>
      </c>
      <c r="F589" s="26" t="inlineStr">
        <is>
          <t>Lanao del Norte</t>
        </is>
      </c>
      <c r="G589" s="26" t="inlineStr">
        <is>
          <t>Munai</t>
        </is>
      </c>
      <c r="H589" s="26" t="inlineStr">
        <is>
          <t>Bacayawan</t>
        </is>
      </c>
      <c r="I589" s="27" t="n">
        <v>8.033663000000001</v>
      </c>
      <c r="J589" s="27" t="n">
        <v>124.079208</v>
      </c>
      <c r="K589" s="10" t="inlineStr">
        <is>
          <t>R</t>
        </is>
      </c>
      <c r="L589" s="12" t="n">
        <v>1212</v>
      </c>
      <c r="M589" s="14" t="n">
        <v>4.2</v>
      </c>
      <c r="N589" s="12">
        <f>ROUND(L589/M589, 0)</f>
        <v/>
      </c>
      <c r="O589" s="12">
        <f>ROUND(N589*'Methodology &amp; Assumptions'!$B$5, 0)</f>
        <v/>
      </c>
      <c r="P589" s="10" t="inlineStr">
        <is>
          <t>Single Carrier (Band n50, 100MHz TDD)</t>
        </is>
      </c>
      <c r="Q589" s="13">
        <f>ROUNDUP(O589/'Methodology &amp; Assumptions'!$B$6, 0)</f>
        <v/>
      </c>
      <c r="R589" s="13" t="n">
        <v>1</v>
      </c>
      <c r="S589" s="14" t="n">
        <v>21.64</v>
      </c>
      <c r="T589" s="14" t="n">
        <v>16.9</v>
      </c>
      <c r="U589" s="26">
        <f>IF(X589&gt;='Methodology &amp; Assumptions'!$B$7, "Tier 1 Critical GIDA (Score ≥ 50.0)", IF(X589&gt;='Methodology &amp; Assumptions'!$B$8, "Tier 2 High GIDA (Score 40.0–49.9)", "Tier 3 Moderate GIDA (Score &lt; 40.0)"))</f>
        <v/>
      </c>
      <c r="V589" s="26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W589" s="28" t="n">
        <v>0.174</v>
      </c>
      <c r="X589" s="14" t="n">
        <v>53.26</v>
      </c>
      <c r="Y589" s="14">
        <f>ROUND(MIN(100, (X589/69.91)*100), 2)</f>
        <v/>
      </c>
    </row>
    <row r="590">
      <c r="A590" s="10" t="n">
        <v>1</v>
      </c>
      <c r="B590" s="10" t="n">
        <v>586</v>
      </c>
      <c r="C590" s="10" t="n">
        <v>586</v>
      </c>
      <c r="D590" s="10" t="inlineStr">
        <is>
          <t>1208004009</t>
        </is>
      </c>
      <c r="E590" s="26" t="inlineStr">
        <is>
          <t>Region XII (SOCCSKSARGEN)</t>
        </is>
      </c>
      <c r="F590" s="26" t="inlineStr">
        <is>
          <t>Sarangani</t>
        </is>
      </c>
      <c r="G590" s="26" t="inlineStr">
        <is>
          <t>Maasim</t>
        </is>
      </c>
      <c r="H590" s="26" t="inlineStr">
        <is>
          <t>Lumasal</t>
        </is>
      </c>
      <c r="I590" s="27" t="n">
        <v>5.888337</v>
      </c>
      <c r="J590" s="27" t="n">
        <v>124.849996</v>
      </c>
      <c r="K590" s="10" t="inlineStr">
        <is>
          <t>R</t>
        </is>
      </c>
      <c r="L590" s="12" t="n">
        <v>4847</v>
      </c>
      <c r="M590" s="14" t="n">
        <v>3.9</v>
      </c>
      <c r="N590" s="12">
        <f>ROUND(L590/M590, 0)</f>
        <v/>
      </c>
      <c r="O590" s="12">
        <f>ROUND(N590*'Methodology &amp; Assumptions'!$B$5, 0)</f>
        <v/>
      </c>
      <c r="P590" s="10" t="inlineStr">
        <is>
          <t>Single Carrier (Band n50, 100MHz TDD)</t>
        </is>
      </c>
      <c r="Q590" s="13">
        <f>ROUNDUP(O590/'Methodology &amp; Assumptions'!$B$6, 0)</f>
        <v/>
      </c>
      <c r="R590" s="13" t="n">
        <v>1</v>
      </c>
      <c r="S590" s="14" t="n">
        <v>38.12</v>
      </c>
      <c r="T590" s="14" t="n">
        <v>41.53</v>
      </c>
      <c r="U590" s="26">
        <f>IF(X590&gt;='Methodology &amp; Assumptions'!$B$7, "Tier 1 Critical GIDA (Score ≥ 50.0)", IF(X590&gt;='Methodology &amp; Assumptions'!$B$8, "Tier 2 High GIDA (Score 40.0–49.9)", "Tier 3 Moderate GIDA (Score &lt; 40.0)"))</f>
        <v/>
      </c>
      <c r="V590" s="26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W590" s="28" t="n">
        <v>0.174</v>
      </c>
      <c r="X590" s="14" t="n">
        <v>53.26</v>
      </c>
      <c r="Y590" s="14">
        <f>ROUND(MIN(100, (X590/69.91)*100), 2)</f>
        <v/>
      </c>
    </row>
    <row r="591">
      <c r="A591" s="10" t="n">
        <v>1</v>
      </c>
      <c r="B591" s="10" t="n">
        <v>587</v>
      </c>
      <c r="C591" s="10" t="n">
        <v>587</v>
      </c>
      <c r="D591" s="10" t="inlineStr">
        <is>
          <t>0603002030</t>
        </is>
      </c>
      <c r="E591" s="26" t="inlineStr">
        <is>
          <t>Region VI (Western Visayas)</t>
        </is>
      </c>
      <c r="F591" s="26" t="inlineStr">
        <is>
          <t>Iloilo</t>
        </is>
      </c>
      <c r="G591" s="26" t="inlineStr">
        <is>
          <t>Alimodian</t>
        </is>
      </c>
      <c r="H591" s="26" t="inlineStr">
        <is>
          <t>Lico</t>
        </is>
      </c>
      <c r="I591" s="27" t="n">
        <v>10.765769</v>
      </c>
      <c r="J591" s="27" t="n">
        <v>122.375481</v>
      </c>
      <c r="K591" s="10" t="inlineStr">
        <is>
          <t>R</t>
        </is>
      </c>
      <c r="L591" s="12" t="n">
        <v>330</v>
      </c>
      <c r="M591" s="14" t="n">
        <v>3.8</v>
      </c>
      <c r="N591" s="12">
        <f>ROUND(L591/M591, 0)</f>
        <v/>
      </c>
      <c r="O591" s="12">
        <f>ROUND(N591*'Methodology &amp; Assumptions'!$B$5, 0)</f>
        <v/>
      </c>
      <c r="P591" s="10" t="inlineStr">
        <is>
          <t>Single Carrier (Band n50, 100MHz TDD)</t>
        </is>
      </c>
      <c r="Q591" s="13">
        <f>ROUNDUP(O591/'Methodology &amp; Assumptions'!$B$6, 0)</f>
        <v/>
      </c>
      <c r="R591" s="13" t="n">
        <v>1</v>
      </c>
      <c r="S591" s="14" t="n">
        <v>9.640000000000001</v>
      </c>
      <c r="T591" s="14" t="n">
        <v>3.05</v>
      </c>
      <c r="U591" s="26">
        <f>IF(X591&gt;='Methodology &amp; Assumptions'!$B$7, "Tier 1 Critical GIDA (Score ≥ 50.0)", IF(X591&gt;='Methodology &amp; Assumptions'!$B$8, "Tier 2 High GIDA (Score 40.0–49.9)", "Tier 3 Moderate GIDA (Score &lt; 40.0)"))</f>
        <v/>
      </c>
      <c r="V591" s="26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W591" s="28" t="n">
        <v>0.237</v>
      </c>
      <c r="X591" s="14" t="n">
        <v>53.25</v>
      </c>
      <c r="Y591" s="14">
        <f>ROUND(MIN(100, (X591/69.91)*100), 2)</f>
        <v/>
      </c>
    </row>
    <row r="592">
      <c r="A592" s="10" t="n">
        <v>1</v>
      </c>
      <c r="B592" s="10" t="n">
        <v>588</v>
      </c>
      <c r="C592" s="10" t="n">
        <v>588</v>
      </c>
      <c r="D592" s="10" t="inlineStr">
        <is>
          <t>1380601101</t>
        </is>
      </c>
      <c r="E592" s="26" t="inlineStr">
        <is>
          <t>National Capital Region (NCR)</t>
        </is>
      </c>
      <c r="F592" s="26" t="inlineStr">
        <is>
          <t>First District (Not a Province)</t>
        </is>
      </c>
      <c r="G592" s="26" t="inlineStr">
        <is>
          <t>City of Manila</t>
        </is>
      </c>
      <c r="H592" s="26" t="inlineStr">
        <is>
          <t>Barangay 101</t>
        </is>
      </c>
      <c r="I592" s="27" t="n">
        <v>12.953004</v>
      </c>
      <c r="J592" s="27" t="n">
        <v>121.842904</v>
      </c>
      <c r="K592" s="10" t="inlineStr">
        <is>
          <t>U</t>
        </is>
      </c>
      <c r="L592" s="12" t="n">
        <v>15824</v>
      </c>
      <c r="M592" s="14" t="n">
        <v>3.9</v>
      </c>
      <c r="N592" s="12">
        <f>ROUND(L592/M592, 0)</f>
        <v/>
      </c>
      <c r="O592" s="12">
        <f>ROUND(N592*'Methodology &amp; Assumptions'!$B$5, 0)</f>
        <v/>
      </c>
      <c r="P592" s="10" t="inlineStr">
        <is>
          <t>Single Carrier (Band n50, 100MHz TDD)</t>
        </is>
      </c>
      <c r="Q592" s="13">
        <f>ROUNDUP(O592/'Methodology &amp; Assumptions'!$B$6, 0)</f>
        <v/>
      </c>
      <c r="R592" s="13" t="n">
        <v>1</v>
      </c>
      <c r="S592" s="14" t="n">
        <v>38.47</v>
      </c>
      <c r="T592" s="14" t="n">
        <v>39.61</v>
      </c>
      <c r="U592" s="26">
        <f>IF(X592&gt;='Methodology &amp; Assumptions'!$B$7, "Tier 1 Critical GIDA (Score ≥ 50.0)", IF(X592&gt;='Methodology &amp; Assumptions'!$B$8, "Tier 2 High GIDA (Score 40.0–49.9)", "Tier 3 Moderate GIDA (Score &lt; 40.0)"))</f>
        <v/>
      </c>
      <c r="V592" s="26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W592" s="28" t="n">
        <v>0.109</v>
      </c>
      <c r="X592" s="14" t="n">
        <v>53.24</v>
      </c>
      <c r="Y592" s="14">
        <f>ROUND(MIN(100, (X592/69.91)*100), 2)</f>
        <v/>
      </c>
    </row>
    <row r="593">
      <c r="A593" s="10" t="n">
        <v>1</v>
      </c>
      <c r="B593" s="10" t="n">
        <v>589</v>
      </c>
      <c r="C593" s="10" t="n">
        <v>589</v>
      </c>
      <c r="D593" s="10" t="inlineStr">
        <is>
          <t>1380601020</t>
        </is>
      </c>
      <c r="E593" s="26" t="inlineStr">
        <is>
          <t>National Capital Region (NCR)</t>
        </is>
      </c>
      <c r="F593" s="26" t="inlineStr">
        <is>
          <t>First District (Not a Province)</t>
        </is>
      </c>
      <c r="G593" s="26" t="inlineStr">
        <is>
          <t>City of Manila</t>
        </is>
      </c>
      <c r="H593" s="26" t="inlineStr">
        <is>
          <t>Barangay 20</t>
        </is>
      </c>
      <c r="I593" s="27" t="n">
        <v>12.778925</v>
      </c>
      <c r="J593" s="27" t="n">
        <v>121.774</v>
      </c>
      <c r="K593" s="10" t="inlineStr">
        <is>
          <t>U</t>
        </is>
      </c>
      <c r="L593" s="12" t="n">
        <v>47162</v>
      </c>
      <c r="M593" s="14" t="n">
        <v>3.9</v>
      </c>
      <c r="N593" s="12">
        <f>ROUND(L593/M593, 0)</f>
        <v/>
      </c>
      <c r="O593" s="12">
        <f>ROUND(N593*'Methodology &amp; Assumptions'!$B$5, 0)</f>
        <v/>
      </c>
      <c r="P593" s="10" t="inlineStr">
        <is>
          <t>Single Carrier (Band n50, 100MHz TDD)</t>
        </is>
      </c>
      <c r="Q593" s="13">
        <f>ROUNDUP(O593/'Methodology &amp; Assumptions'!$B$6, 0)</f>
        <v/>
      </c>
      <c r="R593" s="13" t="n">
        <v>1</v>
      </c>
      <c r="S593" s="14" t="n">
        <v>30.98</v>
      </c>
      <c r="T593" s="14" t="n">
        <v>30.97</v>
      </c>
      <c r="U593" s="26">
        <f>IF(X593&gt;='Methodology &amp; Assumptions'!$B$7, "Tier 1 Critical GIDA (Score ≥ 50.0)", IF(X593&gt;='Methodology &amp; Assumptions'!$B$8, "Tier 2 High GIDA (Score 40.0–49.9)", "Tier 3 Moderate GIDA (Score &lt; 40.0)"))</f>
        <v/>
      </c>
      <c r="V593" s="26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W593" s="28" t="n">
        <v>0.109</v>
      </c>
      <c r="X593" s="14" t="n">
        <v>53.23</v>
      </c>
      <c r="Y593" s="14">
        <f>ROUND(MIN(100, (X593/69.91)*100), 2)</f>
        <v/>
      </c>
    </row>
    <row r="594">
      <c r="A594" s="10" t="n">
        <v>1</v>
      </c>
      <c r="B594" s="10" t="n">
        <v>590</v>
      </c>
      <c r="C594" s="10" t="n">
        <v>590</v>
      </c>
      <c r="D594" s="10" t="inlineStr">
        <is>
          <t>0205706007</t>
        </is>
      </c>
      <c r="E594" s="26" t="inlineStr">
        <is>
          <t>Region II (Cagayan Valley)</t>
        </is>
      </c>
      <c r="F594" s="26" t="inlineStr">
        <is>
          <t>Quirino</t>
        </is>
      </c>
      <c r="G594" s="26" t="inlineStr">
        <is>
          <t>Nagtipunan</t>
        </is>
      </c>
      <c r="H594" s="26" t="inlineStr">
        <is>
          <t>Mataddi</t>
        </is>
      </c>
      <c r="I594" s="27" t="n">
        <v>16.267855</v>
      </c>
      <c r="J594" s="27" t="n">
        <v>121.4062</v>
      </c>
      <c r="K594" s="10" t="inlineStr">
        <is>
          <t>R</t>
        </is>
      </c>
      <c r="L594" s="12" t="n">
        <v>556</v>
      </c>
      <c r="M594" s="14" t="n">
        <v>3.9</v>
      </c>
      <c r="N594" s="12">
        <f>ROUND(L594/M594, 0)</f>
        <v/>
      </c>
      <c r="O594" s="12">
        <f>ROUND(N594*'Methodology &amp; Assumptions'!$B$5, 0)</f>
        <v/>
      </c>
      <c r="P594" s="10" t="inlineStr">
        <is>
          <t>Single Carrier (Band n50, 100MHz TDD)</t>
        </is>
      </c>
      <c r="Q594" s="13">
        <f>ROUNDUP(O594/'Methodology &amp; Assumptions'!$B$6, 0)</f>
        <v/>
      </c>
      <c r="R594" s="13" t="n">
        <v>1</v>
      </c>
      <c r="S594" s="14" t="n">
        <v>13.12</v>
      </c>
      <c r="T594" s="14" t="n">
        <v>25.85</v>
      </c>
      <c r="U594" s="26">
        <f>IF(X594&gt;='Methodology &amp; Assumptions'!$B$7, "Tier 1 Critical GIDA (Score ≥ 50.0)", IF(X594&gt;='Methodology &amp; Assumptions'!$B$8, "Tier 2 High GIDA (Score 40.0–49.9)", "Tier 3 Moderate GIDA (Score &lt; 40.0)"))</f>
        <v/>
      </c>
      <c r="V594" s="26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W594" s="28" t="n">
        <v>0.083</v>
      </c>
      <c r="X594" s="14" t="n">
        <v>53.22</v>
      </c>
      <c r="Y594" s="14">
        <f>ROUND(MIN(100, (X594/69.91)*100), 2)</f>
        <v/>
      </c>
    </row>
    <row r="595">
      <c r="A595" s="10" t="n">
        <v>1</v>
      </c>
      <c r="B595" s="10" t="n">
        <v>591</v>
      </c>
      <c r="C595" s="10" t="n">
        <v>591</v>
      </c>
      <c r="D595" s="10" t="inlineStr">
        <is>
          <t>1108201010</t>
        </is>
      </c>
      <c r="E595" s="26" t="inlineStr">
        <is>
          <t>Region XI (Davao Region)</t>
        </is>
      </c>
      <c r="F595" s="26" t="inlineStr">
        <is>
          <t>Davao de Oro</t>
        </is>
      </c>
      <c r="G595" s="26" t="inlineStr">
        <is>
          <t>Compostela</t>
        </is>
      </c>
      <c r="H595" s="26" t="inlineStr">
        <is>
          <t>Panansalan</t>
        </is>
      </c>
      <c r="I595" s="27" t="n">
        <v>7.679183</v>
      </c>
      <c r="J595" s="27" t="n">
        <v>126.073963</v>
      </c>
      <c r="K595" s="10" t="inlineStr">
        <is>
          <t>R</t>
        </is>
      </c>
      <c r="L595" s="12" t="n">
        <v>1104</v>
      </c>
      <c r="M595" s="14" t="n">
        <v>3.7</v>
      </c>
      <c r="N595" s="12">
        <f>ROUND(L595/M595, 0)</f>
        <v/>
      </c>
      <c r="O595" s="12">
        <f>ROUND(N595*'Methodology &amp; Assumptions'!$B$5, 0)</f>
        <v/>
      </c>
      <c r="P595" s="10" t="inlineStr">
        <is>
          <t>Single Carrier (Band n50, 100MHz TDD)</t>
        </is>
      </c>
      <c r="Q595" s="13">
        <f>ROUNDUP(O595/'Methodology &amp; Assumptions'!$B$6, 0)</f>
        <v/>
      </c>
      <c r="R595" s="13" t="n">
        <v>1</v>
      </c>
      <c r="S595" s="14" t="n">
        <v>16.59</v>
      </c>
      <c r="T595" s="14" t="n">
        <v>9.529999999999999</v>
      </c>
      <c r="U595" s="26">
        <f>IF(X595&gt;='Methodology &amp; Assumptions'!$B$7, "Tier 1 Critical GIDA (Score ≥ 50.0)", IF(X595&gt;='Methodology &amp; Assumptions'!$B$8, "Tier 2 High GIDA (Score 40.0–49.9)", "Tier 3 Moderate GIDA (Score &lt; 40.0)"))</f>
        <v/>
      </c>
      <c r="V595" s="26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W595" s="28" t="n">
        <v>0.174</v>
      </c>
      <c r="X595" s="14" t="n">
        <v>53.21</v>
      </c>
      <c r="Y595" s="14">
        <f>ROUND(MIN(100, (X595/69.91)*100), 2)</f>
        <v/>
      </c>
    </row>
    <row r="596">
      <c r="A596" s="10" t="n">
        <v>1</v>
      </c>
      <c r="B596" s="10" t="n">
        <v>592</v>
      </c>
      <c r="C596" s="10" t="n">
        <v>592</v>
      </c>
      <c r="D596" s="10" t="inlineStr">
        <is>
          <t>0403429015</t>
        </is>
      </c>
      <c r="E596" s="26" t="inlineStr">
        <is>
          <t>Region IV-A (CALABARZON)</t>
        </is>
      </c>
      <c r="F596" s="26" t="inlineStr">
        <is>
          <t>Laguna</t>
        </is>
      </c>
      <c r="G596" s="26" t="inlineStr">
        <is>
          <t>Siniloan</t>
        </is>
      </c>
      <c r="H596" s="26" t="inlineStr">
        <is>
          <t>Magsaysay</t>
        </is>
      </c>
      <c r="I596" s="27" t="n">
        <v>14.499448</v>
      </c>
      <c r="J596" s="27" t="n">
        <v>121.52189</v>
      </c>
      <c r="K596" s="10" t="inlineStr">
        <is>
          <t>R</t>
        </is>
      </c>
      <c r="L596" s="12" t="n">
        <v>2603</v>
      </c>
      <c r="M596" s="14" t="n">
        <v>3.3</v>
      </c>
      <c r="N596" s="12">
        <f>ROUND(L596/M596, 0)</f>
        <v/>
      </c>
      <c r="O596" s="12">
        <f>ROUND(N596*'Methodology &amp; Assumptions'!$B$5, 0)</f>
        <v/>
      </c>
      <c r="P596" s="10" t="inlineStr">
        <is>
          <t>Single Carrier (Band n50, 100MHz TDD)</t>
        </is>
      </c>
      <c r="Q596" s="13">
        <f>ROUNDUP(O596/'Methodology &amp; Assumptions'!$B$6, 0)</f>
        <v/>
      </c>
      <c r="R596" s="13" t="n">
        <v>1</v>
      </c>
      <c r="S596" s="14" t="n">
        <v>4.13</v>
      </c>
      <c r="T596" s="14" t="n">
        <v>10.06</v>
      </c>
      <c r="U596" s="26">
        <f>IF(X596&gt;='Methodology &amp; Assumptions'!$B$7, "Tier 1 Critical GIDA (Score ≥ 50.0)", IF(X596&gt;='Methodology &amp; Assumptions'!$B$8, "Tier 2 High GIDA (Score 40.0–49.9)", "Tier 3 Moderate GIDA (Score &lt; 40.0)"))</f>
        <v/>
      </c>
      <c r="V596" s="26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W596" s="28" t="n">
        <v>0.07200000000000001</v>
      </c>
      <c r="X596" s="14" t="n">
        <v>53.21</v>
      </c>
      <c r="Y596" s="14">
        <f>ROUND(MIN(100, (X596/69.91)*100), 2)</f>
        <v/>
      </c>
    </row>
    <row r="597">
      <c r="A597" s="10" t="n">
        <v>1</v>
      </c>
      <c r="B597" s="10" t="n">
        <v>593</v>
      </c>
      <c r="C597" s="10" t="n">
        <v>593</v>
      </c>
      <c r="D597" s="10" t="inlineStr">
        <is>
          <t>1208004013</t>
        </is>
      </c>
      <c r="E597" s="26" t="inlineStr">
        <is>
          <t>Region XII (SOCCSKSARGEN)</t>
        </is>
      </c>
      <c r="F597" s="26" t="inlineStr">
        <is>
          <t>Sarangani</t>
        </is>
      </c>
      <c r="G597" s="26" t="inlineStr">
        <is>
          <t>Maasim</t>
        </is>
      </c>
      <c r="H597" s="26" t="inlineStr">
        <is>
          <t>Pananag</t>
        </is>
      </c>
      <c r="I597" s="27" t="n">
        <v>5.883712</v>
      </c>
      <c r="J597" s="27" t="n">
        <v>124.863714</v>
      </c>
      <c r="K597" s="10" t="inlineStr">
        <is>
          <t>R</t>
        </is>
      </c>
      <c r="L597" s="12" t="n">
        <v>1725</v>
      </c>
      <c r="M597" s="14" t="n">
        <v>3.9</v>
      </c>
      <c r="N597" s="12">
        <f>ROUND(L597/M597, 0)</f>
        <v/>
      </c>
      <c r="O597" s="12">
        <f>ROUND(N597*'Methodology &amp; Assumptions'!$B$5, 0)</f>
        <v/>
      </c>
      <c r="P597" s="10" t="inlineStr">
        <is>
          <t>Single Carrier (Band n50, 100MHz TDD)</t>
        </is>
      </c>
      <c r="Q597" s="13">
        <f>ROUNDUP(O597/'Methodology &amp; Assumptions'!$B$6, 0)</f>
        <v/>
      </c>
      <c r="R597" s="13" t="n">
        <v>1</v>
      </c>
      <c r="S597" s="14" t="n">
        <v>37.13</v>
      </c>
      <c r="T597" s="14" t="n">
        <v>40.68</v>
      </c>
      <c r="U597" s="26">
        <f>IF(X597&gt;='Methodology &amp; Assumptions'!$B$7, "Tier 1 Critical GIDA (Score ≥ 50.0)", IF(X597&gt;='Methodology &amp; Assumptions'!$B$8, "Tier 2 High GIDA (Score 40.0–49.9)", "Tier 3 Moderate GIDA (Score &lt; 40.0)"))</f>
        <v/>
      </c>
      <c r="V597" s="26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W597" s="28" t="n">
        <v>0.174</v>
      </c>
      <c r="X597" s="14" t="n">
        <v>53.21</v>
      </c>
      <c r="Y597" s="14">
        <f>ROUND(MIN(100, (X597/69.91)*100), 2)</f>
        <v/>
      </c>
    </row>
    <row r="598">
      <c r="A598" s="10" t="n">
        <v>1</v>
      </c>
      <c r="B598" s="10" t="n">
        <v>594</v>
      </c>
      <c r="C598" s="10" t="n">
        <v>594</v>
      </c>
      <c r="D598" s="10" t="inlineStr">
        <is>
          <t>0203133017</t>
        </is>
      </c>
      <c r="E598" s="26" t="inlineStr">
        <is>
          <t>Region II (Cagayan Valley)</t>
        </is>
      </c>
      <c r="F598" s="26" t="inlineStr">
        <is>
          <t>Isabela</t>
        </is>
      </c>
      <c r="G598" s="26" t="inlineStr">
        <is>
          <t>San Pablo</t>
        </is>
      </c>
      <c r="H598" s="26" t="inlineStr">
        <is>
          <t>Tupa</t>
        </is>
      </c>
      <c r="I598" s="27" t="n">
        <v>17.481006</v>
      </c>
      <c r="J598" s="27" t="n">
        <v>121.876635</v>
      </c>
      <c r="K598" s="10" t="inlineStr">
        <is>
          <t>R</t>
        </is>
      </c>
      <c r="L598" s="12" t="n">
        <v>2482</v>
      </c>
      <c r="M598" s="14" t="n">
        <v>3.8</v>
      </c>
      <c r="N598" s="12">
        <f>ROUND(L598/M598, 0)</f>
        <v/>
      </c>
      <c r="O598" s="12">
        <f>ROUND(N598*'Methodology &amp; Assumptions'!$B$5, 0)</f>
        <v/>
      </c>
      <c r="P598" s="10" t="inlineStr">
        <is>
          <t>Single Carrier (Band n50, 100MHz TDD)</t>
        </is>
      </c>
      <c r="Q598" s="13">
        <f>ROUNDUP(O598/'Methodology &amp; Assumptions'!$B$6, 0)</f>
        <v/>
      </c>
      <c r="R598" s="13" t="n">
        <v>1</v>
      </c>
      <c r="S598" s="14" t="n">
        <v>12.35</v>
      </c>
      <c r="T598" s="14" t="n">
        <v>7.65</v>
      </c>
      <c r="U598" s="26">
        <f>IF(X598&gt;='Methodology &amp; Assumptions'!$B$7, "Tier 1 Critical GIDA (Score ≥ 50.0)", IF(X598&gt;='Methodology &amp; Assumptions'!$B$8, "Tier 2 High GIDA (Score 40.0–49.9)", "Tier 3 Moderate GIDA (Score &lt; 40.0)"))</f>
        <v/>
      </c>
      <c r="V598" s="26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W598" s="28" t="n">
        <v>0.083</v>
      </c>
      <c r="X598" s="14" t="n">
        <v>53.2</v>
      </c>
      <c r="Y598" s="14">
        <f>ROUND(MIN(100, (X598/69.91)*100), 2)</f>
        <v/>
      </c>
    </row>
    <row r="599">
      <c r="A599" s="10" t="n">
        <v>1</v>
      </c>
      <c r="B599" s="10" t="n">
        <v>595</v>
      </c>
      <c r="C599" s="10" t="n">
        <v>595</v>
      </c>
      <c r="D599" s="10" t="inlineStr">
        <is>
          <t>1408106017</t>
        </is>
      </c>
      <c r="E599" s="26" t="inlineStr">
        <is>
          <t>Cordillera Administrative Region (CAR)</t>
        </is>
      </c>
      <c r="F599" s="26" t="inlineStr">
        <is>
          <t>Apayao</t>
        </is>
      </c>
      <c r="G599" s="26" t="inlineStr">
        <is>
          <t>Pudtol</t>
        </is>
      </c>
      <c r="H599" s="26" t="inlineStr">
        <is>
          <t>San Antonio</t>
        </is>
      </c>
      <c r="I599" s="27" t="n">
        <v>18.174991</v>
      </c>
      <c r="J599" s="27" t="n">
        <v>121.344047</v>
      </c>
      <c r="K599" s="10" t="inlineStr">
        <is>
          <t>R</t>
        </is>
      </c>
      <c r="L599" s="12" t="n">
        <v>245</v>
      </c>
      <c r="M599" s="14" t="n">
        <v>4.2</v>
      </c>
      <c r="N599" s="12">
        <f>ROUND(L599/M599, 0)</f>
        <v/>
      </c>
      <c r="O599" s="12">
        <f>ROUND(N599*'Methodology &amp; Assumptions'!$B$5, 0)</f>
        <v/>
      </c>
      <c r="P599" s="10" t="inlineStr">
        <is>
          <t>Single Carrier (Band n50, 100MHz TDD)</t>
        </is>
      </c>
      <c r="Q599" s="13">
        <f>ROUNDUP(O599/'Methodology &amp; Assumptions'!$B$6, 0)</f>
        <v/>
      </c>
      <c r="R599" s="13" t="n">
        <v>1</v>
      </c>
      <c r="S599" s="14" t="n">
        <v>5.44</v>
      </c>
      <c r="T599" s="14" t="n">
        <v>0.96</v>
      </c>
      <c r="U599" s="26">
        <f>IF(X599&gt;='Methodology &amp; Assumptions'!$B$7, "Tier 1 Critical GIDA (Score ≥ 50.0)", IF(X599&gt;='Methodology &amp; Assumptions'!$B$8, "Tier 2 High GIDA (Score 40.0–49.9)", "Tier 3 Moderate GIDA (Score &lt; 40.0)"))</f>
        <v/>
      </c>
      <c r="V599" s="26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W599" s="28" t="n">
        <v>0.109</v>
      </c>
      <c r="X599" s="14" t="n">
        <v>53.2</v>
      </c>
      <c r="Y599" s="14">
        <f>ROUND(MIN(100, (X599/69.91)*100), 2)</f>
        <v/>
      </c>
    </row>
    <row r="600">
      <c r="A600" s="10" t="n">
        <v>1</v>
      </c>
      <c r="B600" s="10" t="n">
        <v>596</v>
      </c>
      <c r="C600" s="10" t="n">
        <v>596</v>
      </c>
      <c r="D600" s="10" t="inlineStr">
        <is>
          <t>1401109007</t>
        </is>
      </c>
      <c r="E600" s="26" t="inlineStr">
        <is>
          <t>Cordillera Administrative Region (CAR)</t>
        </is>
      </c>
      <c r="F600" s="26" t="inlineStr">
        <is>
          <t>Benguet</t>
        </is>
      </c>
      <c r="G600" s="26" t="inlineStr">
        <is>
          <t>Kibungan</t>
        </is>
      </c>
      <c r="H600" s="26" t="inlineStr">
        <is>
          <t>Tacadang</t>
        </is>
      </c>
      <c r="I600" s="27" t="n">
        <v>16.736111</v>
      </c>
      <c r="J600" s="27" t="n">
        <v>120.579889</v>
      </c>
      <c r="K600" s="10" t="inlineStr">
        <is>
          <t>R</t>
        </is>
      </c>
      <c r="L600" s="12" t="n">
        <v>1701</v>
      </c>
      <c r="M600" s="14" t="n">
        <v>3.5</v>
      </c>
      <c r="N600" s="12">
        <f>ROUND(L600/M600, 0)</f>
        <v/>
      </c>
      <c r="O600" s="12">
        <f>ROUND(N600*'Methodology &amp; Assumptions'!$B$5, 0)</f>
        <v/>
      </c>
      <c r="P600" s="10" t="inlineStr">
        <is>
          <t>Single Carrier (Band n50, 100MHz TDD)</t>
        </is>
      </c>
      <c r="Q600" s="13">
        <f>ROUNDUP(O600/'Methodology &amp; Assumptions'!$B$6, 0)</f>
        <v/>
      </c>
      <c r="R600" s="13" t="n">
        <v>1</v>
      </c>
      <c r="S600" s="14" t="n">
        <v>9.15</v>
      </c>
      <c r="T600" s="14" t="n">
        <v>17.94</v>
      </c>
      <c r="U600" s="26">
        <f>IF(X600&gt;='Methodology &amp; Assumptions'!$B$7, "Tier 1 Critical GIDA (Score ≥ 50.0)", IF(X600&gt;='Methodology &amp; Assumptions'!$B$8, "Tier 2 High GIDA (Score 40.0–49.9)", "Tier 3 Moderate GIDA (Score &lt; 40.0)"))</f>
        <v/>
      </c>
      <c r="V600" s="26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W600" s="28" t="n">
        <v>0.109</v>
      </c>
      <c r="X600" s="14" t="n">
        <v>53.19</v>
      </c>
      <c r="Y600" s="14">
        <f>ROUND(MIN(100, (X600/69.91)*100), 2)</f>
        <v/>
      </c>
    </row>
    <row r="601">
      <c r="A601" s="10" t="n">
        <v>1</v>
      </c>
      <c r="B601" s="10" t="n">
        <v>597</v>
      </c>
      <c r="C601" s="10" t="n">
        <v>597</v>
      </c>
      <c r="D601" s="10" t="inlineStr">
        <is>
          <t>0600618022</t>
        </is>
      </c>
      <c r="E601" s="26" t="inlineStr">
        <is>
          <t>Region VI (Western Visayas)</t>
        </is>
      </c>
      <c r="F601" s="26" t="inlineStr">
        <is>
          <t>Antique</t>
        </is>
      </c>
      <c r="G601" s="26" t="inlineStr">
        <is>
          <t>Valderrama</t>
        </is>
      </c>
      <c r="H601" s="26" t="inlineStr">
        <is>
          <t>Alon</t>
        </is>
      </c>
      <c r="I601" s="27" t="n">
        <v>11.056613</v>
      </c>
      <c r="J601" s="27" t="n">
        <v>122.216896</v>
      </c>
      <c r="K601" s="10" t="inlineStr">
        <is>
          <t>R</t>
        </is>
      </c>
      <c r="L601" s="12" t="n">
        <v>193</v>
      </c>
      <c r="M601" s="14" t="n">
        <v>3.9</v>
      </c>
      <c r="N601" s="12">
        <f>ROUND(L601/M601, 0)</f>
        <v/>
      </c>
      <c r="O601" s="12">
        <f>ROUND(N601*'Methodology &amp; Assumptions'!$B$5, 0)</f>
        <v/>
      </c>
      <c r="P601" s="10" t="inlineStr">
        <is>
          <t>Single Carrier (Band n50, 100MHz TDD)</t>
        </is>
      </c>
      <c r="Q601" s="13">
        <f>ROUNDUP(O601/'Methodology &amp; Assumptions'!$B$6, 0)</f>
        <v/>
      </c>
      <c r="R601" s="13" t="n">
        <v>1</v>
      </c>
      <c r="S601" s="14" t="n">
        <v>34.61</v>
      </c>
      <c r="T601" s="14" t="n">
        <v>32.98</v>
      </c>
      <c r="U601" s="26">
        <f>IF(X601&gt;='Methodology &amp; Assumptions'!$B$7, "Tier 1 Critical GIDA (Score ≥ 50.0)", IF(X601&gt;='Methodology &amp; Assumptions'!$B$8, "Tier 2 High GIDA (Score 40.0–49.9)", "Tier 3 Moderate GIDA (Score &lt; 40.0)"))</f>
        <v/>
      </c>
      <c r="V601" s="26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W601" s="28" t="n">
        <v>0.237</v>
      </c>
      <c r="X601" s="14" t="n">
        <v>53.16</v>
      </c>
      <c r="Y601" s="14">
        <f>ROUND(MIN(100, (X601/69.91)*100), 2)</f>
        <v/>
      </c>
    </row>
    <row r="602">
      <c r="A602" s="10" t="n">
        <v>1</v>
      </c>
      <c r="B602" s="10" t="n">
        <v>598</v>
      </c>
      <c r="C602" s="10" t="n">
        <v>598</v>
      </c>
      <c r="D602" s="10" t="inlineStr">
        <is>
          <t>PH0000598</t>
        </is>
      </c>
      <c r="E602" s="26" t="inlineStr">
        <is>
          <t>II</t>
        </is>
      </c>
      <c r="F602" s="26" t="inlineStr">
        <is>
          <t>Nueva Vizcaya</t>
        </is>
      </c>
      <c r="G602" s="26" t="inlineStr">
        <is>
          <t>Kasibu</t>
        </is>
      </c>
      <c r="H602" s="26" t="inlineStr">
        <is>
          <t>Pacquet</t>
        </is>
      </c>
      <c r="I602" s="27" t="n">
        <v>16.273578</v>
      </c>
      <c r="J602" s="27" t="n">
        <v>121.344331</v>
      </c>
      <c r="K602" s="10" t="inlineStr">
        <is>
          <t>R</t>
        </is>
      </c>
      <c r="L602" s="12" t="n">
        <v>1559</v>
      </c>
      <c r="M602" s="14" t="n">
        <v>3.8</v>
      </c>
      <c r="N602" s="12">
        <f>ROUND(L602/M602, 0)</f>
        <v/>
      </c>
      <c r="O602" s="12">
        <f>ROUND(N602*'Methodology &amp; Assumptions'!$B$5, 0)</f>
        <v/>
      </c>
      <c r="P602" s="10" t="inlineStr">
        <is>
          <t>Single Carrier (Band n50, 100MHz TDD)</t>
        </is>
      </c>
      <c r="Q602" s="13">
        <f>ROUNDUP(O602/'Methodology &amp; Assumptions'!$B$6, 0)</f>
        <v/>
      </c>
      <c r="R602" s="13" t="n">
        <v>1</v>
      </c>
      <c r="S602" s="14" t="n">
        <v>7.17</v>
      </c>
      <c r="T602" s="14" t="n">
        <v>27.87</v>
      </c>
      <c r="U602" s="26">
        <f>IF(X602&gt;='Methodology &amp; Assumptions'!$B$7, "Tier 1 Critical GIDA (Score ≥ 50.0)", IF(X602&gt;='Methodology &amp; Assumptions'!$B$8, "Tier 2 High GIDA (Score 40.0–49.9)", "Tier 3 Moderate GIDA (Score &lt; 40.0)"))</f>
        <v/>
      </c>
      <c r="V602" s="26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W602" s="28" t="n">
        <v>0.083</v>
      </c>
      <c r="X602" s="14" t="n">
        <v>53.16</v>
      </c>
      <c r="Y602" s="14">
        <f>ROUND(MIN(100, (X602/69.91)*100), 2)</f>
        <v/>
      </c>
    </row>
    <row r="603">
      <c r="A603" s="10" t="n">
        <v>1</v>
      </c>
      <c r="B603" s="10" t="n">
        <v>599</v>
      </c>
      <c r="C603" s="10" t="n">
        <v>599</v>
      </c>
      <c r="D603" s="10" t="inlineStr">
        <is>
          <t>1400115007</t>
        </is>
      </c>
      <c r="E603" s="26" t="inlineStr">
        <is>
          <t>Cordillera Administrative Region (CAR)</t>
        </is>
      </c>
      <c r="F603" s="26" t="inlineStr">
        <is>
          <t>Abra</t>
        </is>
      </c>
      <c r="G603" s="26" t="inlineStr">
        <is>
          <t>Malibcong</t>
        </is>
      </c>
      <c r="H603" s="26" t="inlineStr">
        <is>
          <t>Lat-ey</t>
        </is>
      </c>
      <c r="I603" s="27" t="n">
        <v>17.583467</v>
      </c>
      <c r="J603" s="27" t="n">
        <v>121.067401</v>
      </c>
      <c r="K603" s="10" t="inlineStr">
        <is>
          <t>R</t>
        </is>
      </c>
      <c r="L603" s="12" t="n">
        <v>216</v>
      </c>
      <c r="M603" s="14" t="n">
        <v>3.8</v>
      </c>
      <c r="N603" s="12">
        <f>ROUND(L603/M603, 0)</f>
        <v/>
      </c>
      <c r="O603" s="12">
        <f>ROUND(N603*'Methodology &amp; Assumptions'!$B$5, 0)</f>
        <v/>
      </c>
      <c r="P603" s="10" t="inlineStr">
        <is>
          <t>Single Carrier (Band n50, 100MHz TDD)</t>
        </is>
      </c>
      <c r="Q603" s="13">
        <f>ROUNDUP(O603/'Methodology &amp; Assumptions'!$B$6, 0)</f>
        <v/>
      </c>
      <c r="R603" s="13" t="n">
        <v>1</v>
      </c>
      <c r="S603" s="14" t="n">
        <v>29.12</v>
      </c>
      <c r="T603" s="14" t="n">
        <v>25.74</v>
      </c>
      <c r="U603" s="26">
        <f>IF(X603&gt;='Methodology &amp; Assumptions'!$B$7, "Tier 1 Critical GIDA (Score ≥ 50.0)", IF(X603&gt;='Methodology &amp; Assumptions'!$B$8, "Tier 2 High GIDA (Score 40.0–49.9)", "Tier 3 Moderate GIDA (Score &lt; 40.0)"))</f>
        <v/>
      </c>
      <c r="V603" s="26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W603" s="28" t="n">
        <v>0.109</v>
      </c>
      <c r="X603" s="14" t="n">
        <v>53.14</v>
      </c>
      <c r="Y603" s="14">
        <f>ROUND(MIN(100, (X603/69.91)*100), 2)</f>
        <v/>
      </c>
    </row>
    <row r="604">
      <c r="A604" s="10" t="n">
        <v>1</v>
      </c>
      <c r="B604" s="10" t="n">
        <v>600</v>
      </c>
      <c r="C604" s="10" t="n">
        <v>600</v>
      </c>
      <c r="D604" s="10" t="inlineStr">
        <is>
          <t>1380601042</t>
        </is>
      </c>
      <c r="E604" s="26" t="inlineStr">
        <is>
          <t>National Capital Region (NCR)</t>
        </is>
      </c>
      <c r="F604" s="26" t="inlineStr">
        <is>
          <t>First District (Not a Province)</t>
        </is>
      </c>
      <c r="G604" s="26" t="inlineStr">
        <is>
          <t>City of Manila</t>
        </is>
      </c>
      <c r="H604" s="26" t="inlineStr">
        <is>
          <t>Barangay 42</t>
        </is>
      </c>
      <c r="I604" s="27" t="n">
        <v>12.954994</v>
      </c>
      <c r="J604" s="27" t="n">
        <v>121.703225</v>
      </c>
      <c r="K604" s="10" t="inlineStr">
        <is>
          <t>U</t>
        </is>
      </c>
      <c r="L604" s="12" t="n">
        <v>2207</v>
      </c>
      <c r="M604" s="14" t="n">
        <v>3.9</v>
      </c>
      <c r="N604" s="12">
        <f>ROUND(L604/M604, 0)</f>
        <v/>
      </c>
      <c r="O604" s="12">
        <f>ROUND(N604*'Methodology &amp; Assumptions'!$B$5, 0)</f>
        <v/>
      </c>
      <c r="P604" s="10" t="inlineStr">
        <is>
          <t>Single Carrier (Band n50, 100MHz TDD)</t>
        </is>
      </c>
      <c r="Q604" s="13">
        <f>ROUNDUP(O604/'Methodology &amp; Assumptions'!$B$6, 0)</f>
        <v/>
      </c>
      <c r="R604" s="13" t="n">
        <v>1</v>
      </c>
      <c r="S604" s="14" t="n">
        <v>24.46</v>
      </c>
      <c r="T604" s="14" t="n">
        <v>24.47</v>
      </c>
      <c r="U604" s="26">
        <f>IF(X604&gt;='Methodology &amp; Assumptions'!$B$7, "Tier 1 Critical GIDA (Score ≥ 50.0)", IF(X604&gt;='Methodology &amp; Assumptions'!$B$8, "Tier 2 High GIDA (Score 40.0–49.9)", "Tier 3 Moderate GIDA (Score &lt; 40.0)"))</f>
        <v/>
      </c>
      <c r="V604" s="26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W604" s="28" t="n">
        <v>0.109</v>
      </c>
      <c r="X604" s="14" t="n">
        <v>53.13</v>
      </c>
      <c r="Y604" s="14">
        <f>ROUND(MIN(100, (X604/69.91)*100), 2)</f>
        <v/>
      </c>
    </row>
    <row r="605">
      <c r="A605" s="10" t="n">
        <v>1</v>
      </c>
      <c r="B605" s="10" t="n">
        <v>601</v>
      </c>
      <c r="C605" s="10" t="n">
        <v>601</v>
      </c>
      <c r="D605" s="10" t="inlineStr">
        <is>
          <t>0205002022</t>
        </is>
      </c>
      <c r="E605" s="26" t="inlineStr">
        <is>
          <t>Region II (Cagayan Valley)</t>
        </is>
      </c>
      <c r="F605" s="26" t="inlineStr">
        <is>
          <t>Nueva Vizcaya</t>
        </is>
      </c>
      <c r="G605" s="26" t="inlineStr">
        <is>
          <t>Aritao</t>
        </is>
      </c>
      <c r="H605" s="26" t="inlineStr">
        <is>
          <t>Ocao-Capiniaan</t>
        </is>
      </c>
      <c r="I605" s="27" t="n">
        <v>16.20287</v>
      </c>
      <c r="J605" s="27" t="n">
        <v>121.00509</v>
      </c>
      <c r="K605" s="10" t="inlineStr">
        <is>
          <t>R</t>
        </is>
      </c>
      <c r="L605" s="12" t="n">
        <v>1053</v>
      </c>
      <c r="M605" s="14" t="n">
        <v>3.8</v>
      </c>
      <c r="N605" s="12">
        <f>ROUND(L605/M605, 0)</f>
        <v/>
      </c>
      <c r="O605" s="12">
        <f>ROUND(N605*'Methodology &amp; Assumptions'!$B$5, 0)</f>
        <v/>
      </c>
      <c r="P605" s="10" t="inlineStr">
        <is>
          <t>Single Carrier (Band n50, 100MHz TDD)</t>
        </is>
      </c>
      <c r="Q605" s="13">
        <f>ROUNDUP(O605/'Methodology &amp; Assumptions'!$B$6, 0)</f>
        <v/>
      </c>
      <c r="R605" s="13" t="n">
        <v>1</v>
      </c>
      <c r="S605" s="14" t="n">
        <v>8.800000000000001</v>
      </c>
      <c r="T605" s="14" t="n">
        <v>3.83</v>
      </c>
      <c r="U605" s="26">
        <f>IF(X605&gt;='Methodology &amp; Assumptions'!$B$7, "Tier 1 Critical GIDA (Score ≥ 50.0)", IF(X605&gt;='Methodology &amp; Assumptions'!$B$8, "Tier 2 High GIDA (Score 40.0–49.9)", "Tier 3 Moderate GIDA (Score &lt; 40.0)"))</f>
        <v/>
      </c>
      <c r="V605" s="26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W605" s="28" t="n">
        <v>0.083</v>
      </c>
      <c r="X605" s="14" t="n">
        <v>53.13</v>
      </c>
      <c r="Y605" s="14">
        <f>ROUND(MIN(100, (X605/69.91)*100), 2)</f>
        <v/>
      </c>
    </row>
    <row r="606">
      <c r="A606" s="10" t="n">
        <v>1</v>
      </c>
      <c r="B606" s="10" t="n">
        <v>602</v>
      </c>
      <c r="C606" s="10" t="n">
        <v>602</v>
      </c>
      <c r="D606" s="10" t="inlineStr">
        <is>
          <t>PH0000602</t>
        </is>
      </c>
      <c r="E606" s="26" t="inlineStr">
        <is>
          <t>VI</t>
        </is>
      </c>
      <c r="F606" s="26" t="inlineStr">
        <is>
          <t>Iloilo</t>
        </is>
      </c>
      <c r="G606" s="26" t="inlineStr">
        <is>
          <t>Iloilo City</t>
        </is>
      </c>
      <c r="H606" s="26" t="inlineStr">
        <is>
          <t>Magsaysay Village</t>
        </is>
      </c>
      <c r="I606" s="27" t="n">
        <v>10.7364</v>
      </c>
      <c r="J606" s="27" t="n">
        <v>122.640405</v>
      </c>
      <c r="K606" s="10" t="inlineStr">
        <is>
          <t>R</t>
        </is>
      </c>
      <c r="L606" s="12" t="n">
        <v>2230</v>
      </c>
      <c r="M606" s="14" t="n">
        <v>3.8</v>
      </c>
      <c r="N606" s="12">
        <f>ROUND(L606/M606, 0)</f>
        <v/>
      </c>
      <c r="O606" s="12">
        <f>ROUND(N606*'Methodology &amp; Assumptions'!$B$5, 0)</f>
        <v/>
      </c>
      <c r="P606" s="10" t="inlineStr">
        <is>
          <t>Single Carrier (Band n50, 100MHz TDD)</t>
        </is>
      </c>
      <c r="Q606" s="13">
        <f>ROUNDUP(O606/'Methodology &amp; Assumptions'!$B$6, 0)</f>
        <v/>
      </c>
      <c r="R606" s="13" t="n">
        <v>1</v>
      </c>
      <c r="S606" s="14" t="n">
        <v>5.24</v>
      </c>
      <c r="T606" s="14" t="n">
        <v>2.51</v>
      </c>
      <c r="U606" s="26">
        <f>IF(X606&gt;='Methodology &amp; Assumptions'!$B$7, "Tier 1 Critical GIDA (Score ≥ 50.0)", IF(X606&gt;='Methodology &amp; Assumptions'!$B$8, "Tier 2 High GIDA (Score 40.0–49.9)", "Tier 3 Moderate GIDA (Score &lt; 40.0)"))</f>
        <v/>
      </c>
      <c r="V606" s="26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W606" s="28" t="n">
        <v>0.156</v>
      </c>
      <c r="X606" s="14" t="n">
        <v>53.13</v>
      </c>
      <c r="Y606" s="14">
        <f>ROUND(MIN(100, (X606/69.91)*100), 2)</f>
        <v/>
      </c>
    </row>
    <row r="607">
      <c r="A607" s="10" t="n">
        <v>1</v>
      </c>
      <c r="B607" s="10" t="n">
        <v>603</v>
      </c>
      <c r="C607" s="10" t="n">
        <v>603</v>
      </c>
      <c r="D607" s="10" t="inlineStr">
        <is>
          <t>0205706009</t>
        </is>
      </c>
      <c r="E607" s="26" t="inlineStr">
        <is>
          <t>Region II (Cagayan Valley)</t>
        </is>
      </c>
      <c r="F607" s="26" t="inlineStr">
        <is>
          <t>Quirino</t>
        </is>
      </c>
      <c r="G607" s="26" t="inlineStr">
        <is>
          <t>Nagtipunan</t>
        </is>
      </c>
      <c r="H607" s="26" t="inlineStr">
        <is>
          <t>Old Gumiad</t>
        </is>
      </c>
      <c r="I607" s="27" t="n">
        <v>16.12718</v>
      </c>
      <c r="J607" s="27" t="n">
        <v>121.39394</v>
      </c>
      <c r="K607" s="10" t="inlineStr">
        <is>
          <t>R</t>
        </is>
      </c>
      <c r="L607" s="12" t="n">
        <v>962</v>
      </c>
      <c r="M607" s="14" t="n">
        <v>3.9</v>
      </c>
      <c r="N607" s="12">
        <f>ROUND(L607/M607, 0)</f>
        <v/>
      </c>
      <c r="O607" s="12">
        <f>ROUND(N607*'Methodology &amp; Assumptions'!$B$5, 0)</f>
        <v/>
      </c>
      <c r="P607" s="10" t="inlineStr">
        <is>
          <t>Single Carrier (Band n50, 100MHz TDD)</t>
        </is>
      </c>
      <c r="Q607" s="13">
        <f>ROUNDUP(O607/'Methodology &amp; Assumptions'!$B$6, 0)</f>
        <v/>
      </c>
      <c r="R607" s="13" t="n">
        <v>1</v>
      </c>
      <c r="S607" s="14" t="n">
        <v>19.88</v>
      </c>
      <c r="T607" s="14" t="n">
        <v>28.34</v>
      </c>
      <c r="U607" s="26">
        <f>IF(X607&gt;='Methodology &amp; Assumptions'!$B$7, "Tier 1 Critical GIDA (Score ≥ 50.0)", IF(X607&gt;='Methodology &amp; Assumptions'!$B$8, "Tier 2 High GIDA (Score 40.0–49.9)", "Tier 3 Moderate GIDA (Score &lt; 40.0)"))</f>
        <v/>
      </c>
      <c r="V607" s="26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W607" s="28" t="n">
        <v>0.083</v>
      </c>
      <c r="X607" s="14" t="n">
        <v>53.12</v>
      </c>
      <c r="Y607" s="14">
        <f>ROUND(MIN(100, (X607/69.91)*100), 2)</f>
        <v/>
      </c>
    </row>
    <row r="608">
      <c r="A608" s="10" t="n">
        <v>1</v>
      </c>
      <c r="B608" s="10" t="n">
        <v>604</v>
      </c>
      <c r="C608" s="10" t="n">
        <v>604</v>
      </c>
      <c r="D608" s="10" t="inlineStr">
        <is>
          <t>PH0000604</t>
        </is>
      </c>
      <c r="E608" s="26" t="inlineStr">
        <is>
          <t>X</t>
        </is>
      </c>
      <c r="F608" s="26" t="inlineStr">
        <is>
          <t>Misamis Oriental</t>
        </is>
      </c>
      <c r="G608" s="26" t="inlineStr">
        <is>
          <t>Cagayan De Oro City</t>
        </is>
      </c>
      <c r="H608" s="26" t="inlineStr">
        <is>
          <t>Barangay 40 (Pob.)</t>
        </is>
      </c>
      <c r="I608" s="27" t="n">
        <v>8.472313</v>
      </c>
      <c r="J608" s="27" t="n">
        <v>124.670446</v>
      </c>
      <c r="K608" s="10" t="inlineStr">
        <is>
          <t>R</t>
        </is>
      </c>
      <c r="L608" s="12" t="n">
        <v>2272</v>
      </c>
      <c r="M608" s="14" t="n">
        <v>3.9</v>
      </c>
      <c r="N608" s="12">
        <f>ROUND(L608/M608, 0)</f>
        <v/>
      </c>
      <c r="O608" s="12">
        <f>ROUND(N608*'Methodology &amp; Assumptions'!$B$5, 0)</f>
        <v/>
      </c>
      <c r="P608" s="10" t="inlineStr">
        <is>
          <t>Single Carrier (Band n50, 100MHz TDD)</t>
        </is>
      </c>
      <c r="Q608" s="13">
        <f>ROUNDUP(O608/'Methodology &amp; Assumptions'!$B$6, 0)</f>
        <v/>
      </c>
      <c r="R608" s="13" t="n">
        <v>1</v>
      </c>
      <c r="S608" s="14" t="n">
        <v>0.51</v>
      </c>
      <c r="T608" s="14" t="n">
        <v>0.52</v>
      </c>
      <c r="U608" s="26">
        <f>IF(X608&gt;='Methodology &amp; Assumptions'!$B$7, "Tier 1 Critical GIDA (Score ≥ 50.0)", IF(X608&gt;='Methodology &amp; Assumptions'!$B$8, "Tier 2 High GIDA (Score 40.0–49.9)", "Tier 3 Moderate GIDA (Score &lt; 40.0)"))</f>
        <v/>
      </c>
      <c r="V608" s="26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W608" s="28" t="n">
        <v>0.234</v>
      </c>
      <c r="X608" s="14" t="n">
        <v>53.12</v>
      </c>
      <c r="Y608" s="14">
        <f>ROUND(MIN(100, (X608/69.91)*100), 2)</f>
        <v/>
      </c>
    </row>
    <row r="609">
      <c r="A609" s="10" t="n">
        <v>1</v>
      </c>
      <c r="B609" s="10" t="n">
        <v>605</v>
      </c>
      <c r="C609" s="10" t="n">
        <v>605</v>
      </c>
      <c r="D609" s="10" t="inlineStr">
        <is>
          <t>1400102005</t>
        </is>
      </c>
      <c r="E609" s="26" t="inlineStr">
        <is>
          <t>Cordillera Administrative Region (CAR)</t>
        </is>
      </c>
      <c r="F609" s="26" t="inlineStr">
        <is>
          <t>Abra</t>
        </is>
      </c>
      <c r="G609" s="26" t="inlineStr">
        <is>
          <t>Boliney</t>
        </is>
      </c>
      <c r="H609" s="26" t="inlineStr">
        <is>
          <t>Dumagas</t>
        </is>
      </c>
      <c r="I609" s="27" t="n">
        <v>17.412032</v>
      </c>
      <c r="J609" s="27" t="n">
        <v>120.764978</v>
      </c>
      <c r="K609" s="10" t="inlineStr">
        <is>
          <t>R</t>
        </is>
      </c>
      <c r="L609" s="12" t="n">
        <v>506</v>
      </c>
      <c r="M609" s="14" t="n">
        <v>3.8</v>
      </c>
      <c r="N609" s="12">
        <f>ROUND(L609/M609, 0)</f>
        <v/>
      </c>
      <c r="O609" s="12">
        <f>ROUND(N609*'Methodology &amp; Assumptions'!$B$5, 0)</f>
        <v/>
      </c>
      <c r="P609" s="10" t="inlineStr">
        <is>
          <t>Single Carrier (Band n50, 100MHz TDD)</t>
        </is>
      </c>
      <c r="Q609" s="13">
        <f>ROUNDUP(O609/'Methodology &amp; Assumptions'!$B$6, 0)</f>
        <v/>
      </c>
      <c r="R609" s="13" t="n">
        <v>1</v>
      </c>
      <c r="S609" s="14" t="n">
        <v>25.35</v>
      </c>
      <c r="T609" s="14" t="n">
        <v>23.38</v>
      </c>
      <c r="U609" s="26">
        <f>IF(X609&gt;='Methodology &amp; Assumptions'!$B$7, "Tier 1 Critical GIDA (Score ≥ 50.0)", IF(X609&gt;='Methodology &amp; Assumptions'!$B$8, "Tier 2 High GIDA (Score 40.0–49.9)", "Tier 3 Moderate GIDA (Score &lt; 40.0)"))</f>
        <v/>
      </c>
      <c r="V609" s="26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W609" s="28" t="n">
        <v>0.109</v>
      </c>
      <c r="X609" s="14" t="n">
        <v>53.11</v>
      </c>
      <c r="Y609" s="14">
        <f>ROUND(MIN(100, (X609/69.91)*100), 2)</f>
        <v/>
      </c>
    </row>
    <row r="610">
      <c r="A610" s="10" t="n">
        <v>1</v>
      </c>
      <c r="B610" s="10" t="n">
        <v>606</v>
      </c>
      <c r="C610" s="10" t="n">
        <v>606</v>
      </c>
      <c r="D610" s="10" t="inlineStr">
        <is>
          <t>1380601029</t>
        </is>
      </c>
      <c r="E610" s="26" t="inlineStr">
        <is>
          <t>National Capital Region (NCR)</t>
        </is>
      </c>
      <c r="F610" s="26" t="inlineStr">
        <is>
          <t>First District (Not a Province)</t>
        </is>
      </c>
      <c r="G610" s="26" t="inlineStr">
        <is>
          <t>City of Manila</t>
        </is>
      </c>
      <c r="H610" s="26" t="inlineStr">
        <is>
          <t>Barangay 29</t>
        </is>
      </c>
      <c r="I610" s="27" t="n">
        <v>12.870682</v>
      </c>
      <c r="J610" s="27" t="n">
        <v>121.879741</v>
      </c>
      <c r="K610" s="10" t="inlineStr">
        <is>
          <t>U</t>
        </is>
      </c>
      <c r="L610" s="12" t="n">
        <v>4540</v>
      </c>
      <c r="M610" s="14" t="n">
        <v>3.9</v>
      </c>
      <c r="N610" s="12">
        <f>ROUND(L610/M610, 0)</f>
        <v/>
      </c>
      <c r="O610" s="12">
        <f>ROUND(N610*'Methodology &amp; Assumptions'!$B$5, 0)</f>
        <v/>
      </c>
      <c r="P610" s="10" t="inlineStr">
        <is>
          <t>Single Carrier (Band n50, 100MHz TDD)</t>
        </is>
      </c>
      <c r="Q610" s="13">
        <f>ROUNDUP(O610/'Methodology &amp; Assumptions'!$B$6, 0)</f>
        <v/>
      </c>
      <c r="R610" s="13" t="n">
        <v>1</v>
      </c>
      <c r="S610" s="14" t="n">
        <v>44.69</v>
      </c>
      <c r="T610" s="14" t="n">
        <v>44.53</v>
      </c>
      <c r="U610" s="26">
        <f>IF(X610&gt;='Methodology &amp; Assumptions'!$B$7, "Tier 1 Critical GIDA (Score ≥ 50.0)", IF(X610&gt;='Methodology &amp; Assumptions'!$B$8, "Tier 2 High GIDA (Score 40.0–49.9)", "Tier 3 Moderate GIDA (Score &lt; 40.0)"))</f>
        <v/>
      </c>
      <c r="V610" s="26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W610" s="28" t="n">
        <v>0.109</v>
      </c>
      <c r="X610" s="14" t="n">
        <v>53.11</v>
      </c>
      <c r="Y610" s="14">
        <f>ROUND(MIN(100, (X610/69.91)*100), 2)</f>
        <v/>
      </c>
    </row>
    <row r="611">
      <c r="A611" s="10" t="n">
        <v>1</v>
      </c>
      <c r="B611" s="10" t="n">
        <v>607</v>
      </c>
      <c r="C611" s="10" t="n">
        <v>607</v>
      </c>
      <c r="D611" s="10" t="inlineStr">
        <is>
          <t>0205009007</t>
        </is>
      </c>
      <c r="E611" s="26" t="inlineStr">
        <is>
          <t>Region II (Cagayan Valley)</t>
        </is>
      </c>
      <c r="F611" s="26" t="inlineStr">
        <is>
          <t>Nueva Vizcaya</t>
        </is>
      </c>
      <c r="G611" s="26" t="inlineStr">
        <is>
          <t>Kasibu</t>
        </is>
      </c>
      <c r="H611" s="26" t="inlineStr">
        <is>
          <t>Biyoy</t>
        </is>
      </c>
      <c r="I611" s="27" t="n">
        <v>16.23674</v>
      </c>
      <c r="J611" s="27" t="n">
        <v>121.40723</v>
      </c>
      <c r="K611" s="10" t="inlineStr">
        <is>
          <t>R</t>
        </is>
      </c>
      <c r="L611" s="12" t="n">
        <v>2296</v>
      </c>
      <c r="M611" s="14" t="n">
        <v>3.8</v>
      </c>
      <c r="N611" s="12">
        <f>ROUND(L611/M611, 0)</f>
        <v/>
      </c>
      <c r="O611" s="12">
        <f>ROUND(N611*'Methodology &amp; Assumptions'!$B$5, 0)</f>
        <v/>
      </c>
      <c r="P611" s="10" t="inlineStr">
        <is>
          <t>Single Carrier (Band n50, 100MHz TDD)</t>
        </is>
      </c>
      <c r="Q611" s="13">
        <f>ROUNDUP(O611/'Methodology &amp; Assumptions'!$B$6, 0)</f>
        <v/>
      </c>
      <c r="R611" s="13" t="n">
        <v>1</v>
      </c>
      <c r="S611" s="14" t="n">
        <v>14.97</v>
      </c>
      <c r="T611" s="14" t="n">
        <v>25.91</v>
      </c>
      <c r="U611" s="26">
        <f>IF(X611&gt;='Methodology &amp; Assumptions'!$B$7, "Tier 1 Critical GIDA (Score ≥ 50.0)", IF(X611&gt;='Methodology &amp; Assumptions'!$B$8, "Tier 2 High GIDA (Score 40.0–49.9)", "Tier 3 Moderate GIDA (Score &lt; 40.0)"))</f>
        <v/>
      </c>
      <c r="V611" s="26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W611" s="28" t="n">
        <v>0.083</v>
      </c>
      <c r="X611" s="14" t="n">
        <v>53.11</v>
      </c>
      <c r="Y611" s="14">
        <f>ROUND(MIN(100, (X611/69.91)*100), 2)</f>
        <v/>
      </c>
    </row>
    <row r="612">
      <c r="A612" s="10" t="n">
        <v>1</v>
      </c>
      <c r="B612" s="10" t="n">
        <v>608</v>
      </c>
      <c r="C612" s="10" t="n">
        <v>608</v>
      </c>
      <c r="D612" s="10" t="inlineStr">
        <is>
          <t>1380601107</t>
        </is>
      </c>
      <c r="E612" s="26" t="inlineStr">
        <is>
          <t>National Capital Region (NCR)</t>
        </is>
      </c>
      <c r="F612" s="26" t="inlineStr">
        <is>
          <t>First District (Not a Province)</t>
        </is>
      </c>
      <c r="G612" s="26" t="inlineStr">
        <is>
          <t>City of Manila</t>
        </is>
      </c>
      <c r="H612" s="26" t="inlineStr">
        <is>
          <t>Barangay 107</t>
        </is>
      </c>
      <c r="I612" s="27" t="n">
        <v>12.815887</v>
      </c>
      <c r="J612" s="27" t="n">
        <v>121.688691</v>
      </c>
      <c r="K612" s="10" t="inlineStr">
        <is>
          <t>U</t>
        </is>
      </c>
      <c r="L612" s="12" t="n">
        <v>7216</v>
      </c>
      <c r="M612" s="14" t="n">
        <v>3.9</v>
      </c>
      <c r="N612" s="12">
        <f>ROUND(L612/M612, 0)</f>
        <v/>
      </c>
      <c r="O612" s="12">
        <f>ROUND(N612*'Methodology &amp; Assumptions'!$B$5, 0)</f>
        <v/>
      </c>
      <c r="P612" s="10" t="inlineStr">
        <is>
          <t>Single Carrier (Band n50, 100MHz TDD)</t>
        </is>
      </c>
      <c r="Q612" s="13">
        <f>ROUNDUP(O612/'Methodology &amp; Assumptions'!$B$6, 0)</f>
        <v/>
      </c>
      <c r="R612" s="13" t="n">
        <v>1</v>
      </c>
      <c r="S612" s="14" t="n">
        <v>23.25</v>
      </c>
      <c r="T612" s="14" t="n">
        <v>23.15</v>
      </c>
      <c r="U612" s="26">
        <f>IF(X612&gt;='Methodology &amp; Assumptions'!$B$7, "Tier 1 Critical GIDA (Score ≥ 50.0)", IF(X612&gt;='Methodology &amp; Assumptions'!$B$8, "Tier 2 High GIDA (Score 40.0–49.9)", "Tier 3 Moderate GIDA (Score &lt; 40.0)"))</f>
        <v/>
      </c>
      <c r="V612" s="26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W612" s="28" t="n">
        <v>0.109</v>
      </c>
      <c r="X612" s="14" t="n">
        <v>53.11</v>
      </c>
      <c r="Y612" s="14">
        <f>ROUND(MIN(100, (X612/69.91)*100), 2)</f>
        <v/>
      </c>
    </row>
    <row r="613">
      <c r="A613" s="10" t="n">
        <v>1</v>
      </c>
      <c r="B613" s="10" t="n">
        <v>609</v>
      </c>
      <c r="C613" s="10" t="n">
        <v>609</v>
      </c>
      <c r="D613" s="10" t="inlineStr">
        <is>
          <t>PH0000609</t>
        </is>
      </c>
      <c r="E613" s="26" t="inlineStr">
        <is>
          <t>II</t>
        </is>
      </c>
      <c r="F613" s="26" t="inlineStr">
        <is>
          <t>Nueva Vizcaya</t>
        </is>
      </c>
      <c r="G613" s="26" t="inlineStr">
        <is>
          <t>Kasibu</t>
        </is>
      </c>
      <c r="H613" s="26" t="inlineStr">
        <is>
          <t>Seguem</t>
        </is>
      </c>
      <c r="I613" s="27" t="n">
        <v>16.27852</v>
      </c>
      <c r="J613" s="27" t="n">
        <v>121.31121</v>
      </c>
      <c r="K613" s="10" t="inlineStr">
        <is>
          <t>R</t>
        </is>
      </c>
      <c r="L613" s="12" t="n">
        <v>1559</v>
      </c>
      <c r="M613" s="14" t="n">
        <v>3.8</v>
      </c>
      <c r="N613" s="12">
        <f>ROUND(L613/M613, 0)</f>
        <v/>
      </c>
      <c r="O613" s="12">
        <f>ROUND(N613*'Methodology &amp; Assumptions'!$B$5, 0)</f>
        <v/>
      </c>
      <c r="P613" s="10" t="inlineStr">
        <is>
          <t>Single Carrier (Band n50, 100MHz TDD)</t>
        </is>
      </c>
      <c r="Q613" s="13">
        <f>ROUNDUP(O613/'Methodology &amp; Assumptions'!$B$6, 0)</f>
        <v/>
      </c>
      <c r="R613" s="13" t="n">
        <v>1</v>
      </c>
      <c r="S613" s="14" t="n">
        <v>4.6</v>
      </c>
      <c r="T613" s="14" t="n">
        <v>24.46</v>
      </c>
      <c r="U613" s="26">
        <f>IF(X613&gt;='Methodology &amp; Assumptions'!$B$7, "Tier 1 Critical GIDA (Score ≥ 50.0)", IF(X613&gt;='Methodology &amp; Assumptions'!$B$8, "Tier 2 High GIDA (Score 40.0–49.9)", "Tier 3 Moderate GIDA (Score &lt; 40.0)"))</f>
        <v/>
      </c>
      <c r="V613" s="26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W613" s="28" t="n">
        <v>0.083</v>
      </c>
      <c r="X613" s="14" t="n">
        <v>53.1</v>
      </c>
      <c r="Y613" s="14">
        <f>ROUND(MIN(100, (X613/69.91)*100), 2)</f>
        <v/>
      </c>
    </row>
    <row r="614">
      <c r="A614" s="10" t="n">
        <v>1</v>
      </c>
      <c r="B614" s="10" t="n">
        <v>610</v>
      </c>
      <c r="C614" s="10" t="n">
        <v>610</v>
      </c>
      <c r="D614" s="10" t="inlineStr">
        <is>
          <t>PH0000610</t>
        </is>
      </c>
      <c r="E614" s="26" t="inlineStr">
        <is>
          <t>NIR</t>
        </is>
      </c>
      <c r="F614" s="26" t="inlineStr">
        <is>
          <t>Negros Occidental</t>
        </is>
      </c>
      <c r="G614" s="26" t="inlineStr">
        <is>
          <t>Bacolod City</t>
        </is>
      </c>
      <c r="H614" s="26" t="inlineStr">
        <is>
          <t>Barangay 10 (Pob.)</t>
        </is>
      </c>
      <c r="I614" s="27" t="n">
        <v>10.633032</v>
      </c>
      <c r="J614" s="27" t="n">
        <v>122.948489</v>
      </c>
      <c r="K614" s="10" t="inlineStr">
        <is>
          <t>R</t>
        </is>
      </c>
      <c r="L614" s="12" t="n">
        <v>2279</v>
      </c>
      <c r="M614" s="14" t="n">
        <v>3.8</v>
      </c>
      <c r="N614" s="12">
        <f>ROUND(L614/M614, 0)</f>
        <v/>
      </c>
      <c r="O614" s="12">
        <f>ROUND(N614*'Methodology &amp; Assumptions'!$B$5, 0)</f>
        <v/>
      </c>
      <c r="P614" s="10" t="inlineStr">
        <is>
          <t>Single Carrier (Band n50, 100MHz TDD)</t>
        </is>
      </c>
      <c r="Q614" s="13">
        <f>ROUNDUP(O614/'Methodology &amp; Assumptions'!$B$6, 0)</f>
        <v/>
      </c>
      <c r="R614" s="13" t="n">
        <v>1</v>
      </c>
      <c r="S614" s="14" t="n">
        <v>2.74</v>
      </c>
      <c r="T614" s="14" t="n">
        <v>0.71</v>
      </c>
      <c r="U614" s="26">
        <f>IF(X614&gt;='Methodology &amp; Assumptions'!$B$7, "Tier 1 Critical GIDA (Score ≥ 50.0)", IF(X614&gt;='Methodology &amp; Assumptions'!$B$8, "Tier 2 High GIDA (Score 40.0–49.9)", "Tier 3 Moderate GIDA (Score &lt; 40.0)"))</f>
        <v/>
      </c>
      <c r="V614" s="26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W614" s="28" t="n">
        <v>0.109</v>
      </c>
      <c r="X614" s="14" t="n">
        <v>53.09</v>
      </c>
      <c r="Y614" s="14">
        <f>ROUND(MIN(100, (X614/69.91)*100), 2)</f>
        <v/>
      </c>
    </row>
    <row r="615">
      <c r="A615" s="10" t="n">
        <v>1</v>
      </c>
      <c r="B615" s="10" t="n">
        <v>611</v>
      </c>
      <c r="C615" s="10" t="n">
        <v>611</v>
      </c>
      <c r="D615" s="10" t="inlineStr">
        <is>
          <t>0103315002</t>
        </is>
      </c>
      <c r="E615" s="26" t="inlineStr">
        <is>
          <t>Region I (Ilocos Region)</t>
        </is>
      </c>
      <c r="F615" s="26" t="inlineStr">
        <is>
          <t>La Union</t>
        </is>
      </c>
      <c r="G615" s="26" t="inlineStr">
        <is>
          <t>San Gabriel</t>
        </is>
      </c>
      <c r="H615" s="26" t="inlineStr">
        <is>
          <t>Amontoc</t>
        </is>
      </c>
      <c r="I615" s="27" t="n">
        <v>16.656877</v>
      </c>
      <c r="J615" s="27" t="n">
        <v>120.46581</v>
      </c>
      <c r="K615" s="10" t="inlineStr">
        <is>
          <t>R</t>
        </is>
      </c>
      <c r="L615" s="12" t="n">
        <v>2058</v>
      </c>
      <c r="M615" s="14" t="n">
        <v>3.7</v>
      </c>
      <c r="N615" s="12">
        <f>ROUND(L615/M615, 0)</f>
        <v/>
      </c>
      <c r="O615" s="12">
        <f>ROUND(N615*'Methodology &amp; Assumptions'!$B$5, 0)</f>
        <v/>
      </c>
      <c r="P615" s="10" t="inlineStr">
        <is>
          <t>Single Carrier (Band n50, 100MHz TDD)</t>
        </is>
      </c>
      <c r="Q615" s="13">
        <f>ROUNDUP(O615/'Methodology &amp; Assumptions'!$B$6, 0)</f>
        <v/>
      </c>
      <c r="R615" s="13" t="n">
        <v>1</v>
      </c>
      <c r="S615" s="14" t="n">
        <v>7.88</v>
      </c>
      <c r="T615" s="14" t="n">
        <v>13.32</v>
      </c>
      <c r="U615" s="26">
        <f>IF(X615&gt;='Methodology &amp; Assumptions'!$B$7, "Tier 1 Critical GIDA (Score ≥ 50.0)", IF(X615&gt;='Methodology &amp; Assumptions'!$B$8, "Tier 2 High GIDA (Score 40.0–49.9)", "Tier 3 Moderate GIDA (Score &lt; 40.0)"))</f>
        <v/>
      </c>
      <c r="V615" s="26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W615" s="28" t="n">
        <v>0.083</v>
      </c>
      <c r="X615" s="14" t="n">
        <v>53.09</v>
      </c>
      <c r="Y615" s="14">
        <f>ROUND(MIN(100, (X615/69.91)*100), 2)</f>
        <v/>
      </c>
    </row>
    <row r="616">
      <c r="A616" s="10" t="n">
        <v>1</v>
      </c>
      <c r="B616" s="10" t="n">
        <v>612</v>
      </c>
      <c r="C616" s="10" t="n">
        <v>612</v>
      </c>
      <c r="D616" s="10" t="inlineStr">
        <is>
          <t>PH0000612</t>
        </is>
      </c>
      <c r="E616" s="26" t="inlineStr">
        <is>
          <t>NIR</t>
        </is>
      </c>
      <c r="F616" s="26" t="inlineStr">
        <is>
          <t>Negros Occidental</t>
        </is>
      </c>
      <c r="G616" s="26" t="inlineStr">
        <is>
          <t>Bacolod City</t>
        </is>
      </c>
      <c r="H616" s="26" t="inlineStr">
        <is>
          <t>Barangay 23 (Pob.)</t>
        </is>
      </c>
      <c r="I616" s="27" t="n">
        <v>10.684365</v>
      </c>
      <c r="J616" s="27" t="n">
        <v>122.976578</v>
      </c>
      <c r="K616" s="10" t="inlineStr">
        <is>
          <t>R</t>
        </is>
      </c>
      <c r="L616" s="12" t="n">
        <v>2279</v>
      </c>
      <c r="M616" s="14" t="n">
        <v>3.8</v>
      </c>
      <c r="N616" s="12">
        <f>ROUND(L616/M616, 0)</f>
        <v/>
      </c>
      <c r="O616" s="12">
        <f>ROUND(N616*'Methodology &amp; Assumptions'!$B$5, 0)</f>
        <v/>
      </c>
      <c r="P616" s="10" t="inlineStr">
        <is>
          <t>Single Carrier (Band n50, 100MHz TDD)</t>
        </is>
      </c>
      <c r="Q616" s="13">
        <f>ROUNDUP(O616/'Methodology &amp; Assumptions'!$B$6, 0)</f>
        <v/>
      </c>
      <c r="R616" s="13" t="n">
        <v>1</v>
      </c>
      <c r="S616" s="14" t="n">
        <v>3.29</v>
      </c>
      <c r="T616" s="14" t="n">
        <v>0.22</v>
      </c>
      <c r="U616" s="26">
        <f>IF(X616&gt;='Methodology &amp; Assumptions'!$B$7, "Tier 1 Critical GIDA (Score ≥ 50.0)", IF(X616&gt;='Methodology &amp; Assumptions'!$B$8, "Tier 2 High GIDA (Score 40.0–49.9)", "Tier 3 Moderate GIDA (Score &lt; 40.0)"))</f>
        <v/>
      </c>
      <c r="V616" s="26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W616" s="28" t="n">
        <v>0.109</v>
      </c>
      <c r="X616" s="14" t="n">
        <v>53.08</v>
      </c>
      <c r="Y616" s="14">
        <f>ROUND(MIN(100, (X616/69.91)*100), 2)</f>
        <v/>
      </c>
    </row>
    <row r="617">
      <c r="A617" s="10" t="n">
        <v>1</v>
      </c>
      <c r="B617" s="10" t="n">
        <v>613</v>
      </c>
      <c r="C617" s="10" t="n">
        <v>613</v>
      </c>
      <c r="D617" s="10" t="inlineStr">
        <is>
          <t>1003511006</t>
        </is>
      </c>
      <c r="E617" s="26" t="inlineStr">
        <is>
          <t>Region X (Northern Mindanao)</t>
        </is>
      </c>
      <c r="F617" s="26" t="inlineStr">
        <is>
          <t>Lanao del Norte</t>
        </is>
      </c>
      <c r="G617" s="26" t="inlineStr">
        <is>
          <t>Magsaysay</t>
        </is>
      </c>
      <c r="H617" s="26" t="inlineStr">
        <is>
          <t>Lamigadato</t>
        </is>
      </c>
      <c r="I617" s="27" t="n">
        <v>8.022874</v>
      </c>
      <c r="J617" s="27" t="n">
        <v>123.906183</v>
      </c>
      <c r="K617" s="10" t="inlineStr">
        <is>
          <t>R</t>
        </is>
      </c>
      <c r="L617" s="12" t="n">
        <v>689</v>
      </c>
      <c r="M617" s="14" t="n">
        <v>4.2</v>
      </c>
      <c r="N617" s="12">
        <f>ROUND(L617/M617, 0)</f>
        <v/>
      </c>
      <c r="O617" s="12">
        <f>ROUND(N617*'Methodology &amp; Assumptions'!$B$5, 0)</f>
        <v/>
      </c>
      <c r="P617" s="10" t="inlineStr">
        <is>
          <t>Single Carrier (Band n50, 100MHz TDD)</t>
        </is>
      </c>
      <c r="Q617" s="13">
        <f>ROUNDUP(O617/'Methodology &amp; Assumptions'!$B$6, 0)</f>
        <v/>
      </c>
      <c r="R617" s="13" t="n">
        <v>1</v>
      </c>
      <c r="S617" s="14" t="n">
        <v>11.99</v>
      </c>
      <c r="T617" s="14" t="n">
        <v>9.390000000000001</v>
      </c>
      <c r="U617" s="26">
        <f>IF(X617&gt;='Methodology &amp; Assumptions'!$B$7, "Tier 1 Critical GIDA (Score ≥ 50.0)", IF(X617&gt;='Methodology &amp; Assumptions'!$B$8, "Tier 2 High GIDA (Score 40.0–49.9)", "Tier 3 Moderate GIDA (Score &lt; 40.0)"))</f>
        <v/>
      </c>
      <c r="V617" s="26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W617" s="28" t="n">
        <v>0.174</v>
      </c>
      <c r="X617" s="14" t="n">
        <v>53.08</v>
      </c>
      <c r="Y617" s="14">
        <f>ROUND(MIN(100, (X617/69.91)*100), 2)</f>
        <v/>
      </c>
    </row>
    <row r="618">
      <c r="A618" s="10" t="n">
        <v>1</v>
      </c>
      <c r="B618" s="10" t="n">
        <v>614</v>
      </c>
      <c r="C618" s="10" t="n">
        <v>614</v>
      </c>
      <c r="D618" s="10" t="inlineStr">
        <is>
          <t>0806017027</t>
        </is>
      </c>
      <c r="E618" s="26" t="inlineStr">
        <is>
          <t>Region VIII (Eastern Visayas)</t>
        </is>
      </c>
      <c r="F618" s="26" t="inlineStr">
        <is>
          <t>Samar</t>
        </is>
      </c>
      <c r="G618" s="26" t="inlineStr">
        <is>
          <t>Santa Rita</t>
        </is>
      </c>
      <c r="H618" s="26" t="inlineStr">
        <is>
          <t>San Pascual</t>
        </is>
      </c>
      <c r="I618" s="27" t="n">
        <v>11.403684</v>
      </c>
      <c r="J618" s="27" t="n">
        <v>124.996375</v>
      </c>
      <c r="K618" s="10" t="inlineStr">
        <is>
          <t>R</t>
        </is>
      </c>
      <c r="L618" s="12" t="n">
        <v>1016</v>
      </c>
      <c r="M618" s="14" t="n">
        <v>4.1</v>
      </c>
      <c r="N618" s="12">
        <f>ROUND(L618/M618, 0)</f>
        <v/>
      </c>
      <c r="O618" s="12">
        <f>ROUND(N618*'Methodology &amp; Assumptions'!$B$5, 0)</f>
        <v/>
      </c>
      <c r="P618" s="10" t="inlineStr">
        <is>
          <t>Single Carrier (Band n50, 100MHz TDD)</t>
        </is>
      </c>
      <c r="Q618" s="13">
        <f>ROUNDUP(O618/'Methodology &amp; Assumptions'!$B$6, 0)</f>
        <v/>
      </c>
      <c r="R618" s="13" t="n">
        <v>1</v>
      </c>
      <c r="S618" s="14" t="n">
        <v>18.26</v>
      </c>
      <c r="T618" s="14" t="n">
        <v>21.31</v>
      </c>
      <c r="U618" s="26">
        <f>IF(X618&gt;='Methodology &amp; Assumptions'!$B$7, "Tier 1 Critical GIDA (Score ≥ 50.0)", IF(X618&gt;='Methodology &amp; Assumptions'!$B$8, "Tier 2 High GIDA (Score 40.0–49.9)", "Tier 3 Moderate GIDA (Score &lt; 40.0)"))</f>
        <v/>
      </c>
      <c r="V618" s="26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W618" s="28" t="n">
        <v>0.237</v>
      </c>
      <c r="X618" s="14" t="n">
        <v>53.08</v>
      </c>
      <c r="Y618" s="14">
        <f>ROUND(MIN(100, (X618/69.91)*100), 2)</f>
        <v/>
      </c>
    </row>
    <row r="619">
      <c r="A619" s="10" t="n">
        <v>1</v>
      </c>
      <c r="B619" s="10" t="n">
        <v>615</v>
      </c>
      <c r="C619" s="10" t="n">
        <v>615</v>
      </c>
      <c r="D619" s="10" t="inlineStr">
        <is>
          <t>0203111004</t>
        </is>
      </c>
      <c r="E619" s="26" t="inlineStr">
        <is>
          <t>Region II (Cagayan Valley)</t>
        </is>
      </c>
      <c r="F619" s="26" t="inlineStr">
        <is>
          <t>Isabela</t>
        </is>
      </c>
      <c r="G619" s="26" t="inlineStr">
        <is>
          <t>Divilacan</t>
        </is>
      </c>
      <c r="H619" s="26" t="inlineStr">
        <is>
          <t>Dicaroyan</t>
        </is>
      </c>
      <c r="I619" s="27" t="n">
        <v>17.34306</v>
      </c>
      <c r="J619" s="27" t="n">
        <v>122.25605</v>
      </c>
      <c r="K619" s="10" t="inlineStr">
        <is>
          <t>R</t>
        </is>
      </c>
      <c r="L619" s="12" t="n">
        <v>370</v>
      </c>
      <c r="M619" s="14" t="n">
        <v>3.8</v>
      </c>
      <c r="N619" s="12">
        <f>ROUND(L619/M619, 0)</f>
        <v/>
      </c>
      <c r="O619" s="12">
        <f>ROUND(N619*'Methodology &amp; Assumptions'!$B$5, 0)</f>
        <v/>
      </c>
      <c r="P619" s="10" t="inlineStr">
        <is>
          <t>Single Carrier (Band n50, 100MHz TDD)</t>
        </is>
      </c>
      <c r="Q619" s="13">
        <f>ROUNDUP(O619/'Methodology &amp; Assumptions'!$B$6, 0)</f>
        <v/>
      </c>
      <c r="R619" s="13" t="n">
        <v>1</v>
      </c>
      <c r="S619" s="14" t="n">
        <v>38.32</v>
      </c>
      <c r="T619" s="14" t="n">
        <v>40.79</v>
      </c>
      <c r="U619" s="26">
        <f>IF(X619&gt;='Methodology &amp; Assumptions'!$B$7, "Tier 1 Critical GIDA (Score ≥ 50.0)", IF(X619&gt;='Methodology &amp; Assumptions'!$B$8, "Tier 2 High GIDA (Score 40.0–49.9)", "Tier 3 Moderate GIDA (Score &lt; 40.0)"))</f>
        <v/>
      </c>
      <c r="V619" s="26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W619" s="28" t="n">
        <v>0.083</v>
      </c>
      <c r="X619" s="14" t="n">
        <v>53.07</v>
      </c>
      <c r="Y619" s="14">
        <f>ROUND(MIN(100, (X619/69.91)*100), 2)</f>
        <v/>
      </c>
    </row>
    <row r="620">
      <c r="A620" s="10" t="n">
        <v>1</v>
      </c>
      <c r="B620" s="10" t="n">
        <v>616</v>
      </c>
      <c r="C620" s="10" t="n">
        <v>616</v>
      </c>
      <c r="D620" s="10" t="inlineStr">
        <is>
          <t>1380604007</t>
        </is>
      </c>
      <c r="E620" s="26" t="inlineStr">
        <is>
          <t>National Capital Region (NCR)</t>
        </is>
      </c>
      <c r="F620" s="26" t="inlineStr">
        <is>
          <t>First District (Not a Province)</t>
        </is>
      </c>
      <c r="G620" s="26" t="inlineStr">
        <is>
          <t>City of Manila</t>
        </is>
      </c>
      <c r="H620" s="26" t="inlineStr">
        <is>
          <t>Barangay 274</t>
        </is>
      </c>
      <c r="I620" s="27" t="n">
        <v>12.98426</v>
      </c>
      <c r="J620" s="27" t="n">
        <v>121.792913</v>
      </c>
      <c r="K620" s="10" t="inlineStr">
        <is>
          <t>U</t>
        </is>
      </c>
      <c r="L620" s="12" t="n">
        <v>2003</v>
      </c>
      <c r="M620" s="14" t="n">
        <v>3.9</v>
      </c>
      <c r="N620" s="12">
        <f>ROUND(L620/M620, 0)</f>
        <v/>
      </c>
      <c r="O620" s="12">
        <f>ROUND(N620*'Methodology &amp; Assumptions'!$B$5, 0)</f>
        <v/>
      </c>
      <c r="P620" s="10" t="inlineStr">
        <is>
          <t>Single Carrier (Band n50, 100MHz TDD)</t>
        </is>
      </c>
      <c r="Q620" s="13">
        <f>ROUNDUP(O620/'Methodology &amp; Assumptions'!$B$6, 0)</f>
        <v/>
      </c>
      <c r="R620" s="13" t="n">
        <v>1</v>
      </c>
      <c r="S620" s="14" t="n">
        <v>32.26</v>
      </c>
      <c r="T620" s="14" t="n">
        <v>34.08</v>
      </c>
      <c r="U620" s="26">
        <f>IF(X620&gt;='Methodology &amp; Assumptions'!$B$7, "Tier 1 Critical GIDA (Score ≥ 50.0)", IF(X620&gt;='Methodology &amp; Assumptions'!$B$8, "Tier 2 High GIDA (Score 40.0–49.9)", "Tier 3 Moderate GIDA (Score &lt; 40.0)"))</f>
        <v/>
      </c>
      <c r="V620" s="26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W620" s="28" t="n">
        <v>0.109</v>
      </c>
      <c r="X620" s="14" t="n">
        <v>53.06</v>
      </c>
      <c r="Y620" s="14">
        <f>ROUND(MIN(100, (X620/69.91)*100), 2)</f>
        <v/>
      </c>
    </row>
    <row r="621">
      <c r="A621" s="10" t="n">
        <v>1</v>
      </c>
      <c r="B621" s="10" t="n">
        <v>617</v>
      </c>
      <c r="C621" s="10" t="n">
        <v>617</v>
      </c>
      <c r="D621" s="10" t="inlineStr">
        <is>
          <t>1907011008</t>
        </is>
      </c>
      <c r="E621" s="26" t="inlineStr">
        <is>
          <t>Bangsamoro Autonomous Region In Muslim Mindanao (BARMM)</t>
        </is>
      </c>
      <c r="F621" s="26" t="inlineStr">
        <is>
          <t>Tawi-Tawi</t>
        </is>
      </c>
      <c r="G621" s="26" t="inlineStr">
        <is>
          <t>Sibutu</t>
        </is>
      </c>
      <c r="H621" s="26" t="inlineStr">
        <is>
          <t>Nunukan</t>
        </is>
      </c>
      <c r="I621" s="27" t="n">
        <v>13.490315</v>
      </c>
      <c r="J621" s="27" t="n">
        <v>121.412848</v>
      </c>
      <c r="K621" s="10" t="inlineStr">
        <is>
          <t>R</t>
        </is>
      </c>
      <c r="L621" s="12" t="n">
        <v>2665</v>
      </c>
      <c r="M621" s="14" t="n">
        <v>5.8</v>
      </c>
      <c r="N621" s="12">
        <f>ROUND(L621/M621, 0)</f>
        <v/>
      </c>
      <c r="O621" s="12">
        <f>ROUND(N621*'Methodology &amp; Assumptions'!$B$5, 0)</f>
        <v/>
      </c>
      <c r="P621" s="10" t="inlineStr">
        <is>
          <t>Single Carrier (Band n50, 100MHz TDD)</t>
        </is>
      </c>
      <c r="Q621" s="13">
        <f>ROUNDUP(O621/'Methodology &amp; Assumptions'!$B$6, 0)</f>
        <v/>
      </c>
      <c r="R621" s="13" t="n">
        <v>1</v>
      </c>
      <c r="S621" s="14" t="n">
        <v>22.27</v>
      </c>
      <c r="T621" s="14" t="n">
        <v>29.13</v>
      </c>
      <c r="U621" s="26">
        <f>IF(X621&gt;='Methodology &amp; Assumptions'!$B$7, "Tier 1 Critical GIDA (Score ≥ 50.0)", IF(X621&gt;='Methodology &amp; Assumptions'!$B$8, "Tier 2 High GIDA (Score 40.0–49.9)", "Tier 3 Moderate GIDA (Score &lt; 40.0)"))</f>
        <v/>
      </c>
      <c r="V621" s="26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W621" s="28" t="n">
        <v>0.11</v>
      </c>
      <c r="X621" s="14" t="n">
        <v>53.06</v>
      </c>
      <c r="Y621" s="14">
        <f>ROUND(MIN(100, (X621/69.91)*100), 2)</f>
        <v/>
      </c>
    </row>
    <row r="622">
      <c r="A622" s="10" t="n">
        <v>1</v>
      </c>
      <c r="B622" s="10" t="n">
        <v>618</v>
      </c>
      <c r="C622" s="10" t="n">
        <v>618</v>
      </c>
      <c r="D622" s="10" t="inlineStr">
        <is>
          <t>1208003005</t>
        </is>
      </c>
      <c r="E622" s="26" t="inlineStr">
        <is>
          <t>Region XII (SOCCSKSARGEN)</t>
        </is>
      </c>
      <c r="F622" s="26" t="inlineStr">
        <is>
          <t>Sarangani</t>
        </is>
      </c>
      <c r="G622" s="26" t="inlineStr">
        <is>
          <t>Kiamba</t>
        </is>
      </c>
      <c r="H622" s="26" t="inlineStr">
        <is>
          <t>Katubao</t>
        </is>
      </c>
      <c r="I622" s="27" t="n">
        <v>5.89507</v>
      </c>
      <c r="J622" s="27" t="n">
        <v>124.829704</v>
      </c>
      <c r="K622" s="10" t="inlineStr">
        <is>
          <t>U</t>
        </is>
      </c>
      <c r="L622" s="12" t="n">
        <v>5601</v>
      </c>
      <c r="M622" s="14" t="n">
        <v>3.9</v>
      </c>
      <c r="N622" s="12">
        <f>ROUND(L622/M622, 0)</f>
        <v/>
      </c>
      <c r="O622" s="12">
        <f>ROUND(N622*'Methodology &amp; Assumptions'!$B$5, 0)</f>
        <v/>
      </c>
      <c r="P622" s="10" t="inlineStr">
        <is>
          <t>Single Carrier (Band n50, 100MHz TDD)</t>
        </is>
      </c>
      <c r="Q622" s="13">
        <f>ROUNDUP(O622/'Methodology &amp; Assumptions'!$B$6, 0)</f>
        <v/>
      </c>
      <c r="R622" s="13" t="n">
        <v>1</v>
      </c>
      <c r="S622" s="14" t="n">
        <v>39.66</v>
      </c>
      <c r="T622" s="14" t="n">
        <v>42.88</v>
      </c>
      <c r="U622" s="26">
        <f>IF(X622&gt;='Methodology &amp; Assumptions'!$B$7, "Tier 1 Critical GIDA (Score ≥ 50.0)", IF(X622&gt;='Methodology &amp; Assumptions'!$B$8, "Tier 2 High GIDA (Score 40.0–49.9)", "Tier 3 Moderate GIDA (Score &lt; 40.0)"))</f>
        <v/>
      </c>
      <c r="V622" s="26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W622" s="28" t="n">
        <v>0.174</v>
      </c>
      <c r="X622" s="14" t="n">
        <v>53.06</v>
      </c>
      <c r="Y622" s="14">
        <f>ROUND(MIN(100, (X622/69.91)*100), 2)</f>
        <v/>
      </c>
    </row>
    <row r="623">
      <c r="A623" s="10" t="n">
        <v>1</v>
      </c>
      <c r="B623" s="10" t="n">
        <v>619</v>
      </c>
      <c r="C623" s="10" t="n">
        <v>619</v>
      </c>
      <c r="D623" s="10" t="inlineStr">
        <is>
          <t>1108211009</t>
        </is>
      </c>
      <c r="E623" s="26" t="inlineStr">
        <is>
          <t>Region XI (Davao Region)</t>
        </is>
      </c>
      <c r="F623" s="26" t="inlineStr">
        <is>
          <t>Davao de Oro</t>
        </is>
      </c>
      <c r="G623" s="26" t="inlineStr">
        <is>
          <t>Pantukan</t>
        </is>
      </c>
      <c r="H623" s="26" t="inlineStr">
        <is>
          <t>Tagdangua</t>
        </is>
      </c>
      <c r="I623" s="27" t="n">
        <v>7.206659</v>
      </c>
      <c r="J623" s="27" t="n">
        <v>125.88249</v>
      </c>
      <c r="K623" s="10" t="inlineStr">
        <is>
          <t>U</t>
        </is>
      </c>
      <c r="L623" s="12" t="n">
        <v>4866</v>
      </c>
      <c r="M623" s="14" t="n">
        <v>3.7</v>
      </c>
      <c r="N623" s="12">
        <f>ROUND(L623/M623, 0)</f>
        <v/>
      </c>
      <c r="O623" s="12">
        <f>ROUND(N623*'Methodology &amp; Assumptions'!$B$5, 0)</f>
        <v/>
      </c>
      <c r="P623" s="10" t="inlineStr">
        <is>
          <t>Single Carrier (Band n50, 100MHz TDD)</t>
        </is>
      </c>
      <c r="Q623" s="13">
        <f>ROUNDUP(O623/'Methodology &amp; Assumptions'!$B$6, 0)</f>
        <v/>
      </c>
      <c r="R623" s="13" t="n">
        <v>1</v>
      </c>
      <c r="S623" s="14" t="n">
        <v>8.26</v>
      </c>
      <c r="T623" s="14" t="n">
        <v>0.16</v>
      </c>
      <c r="U623" s="26">
        <f>IF(X623&gt;='Methodology &amp; Assumptions'!$B$7, "Tier 1 Critical GIDA (Score ≥ 50.0)", IF(X623&gt;='Methodology &amp; Assumptions'!$B$8, "Tier 2 High GIDA (Score 40.0–49.9)", "Tier 3 Moderate GIDA (Score &lt; 40.0)"))</f>
        <v/>
      </c>
      <c r="V623" s="26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W623" s="28" t="n">
        <v>0.174</v>
      </c>
      <c r="X623" s="14" t="n">
        <v>53.05</v>
      </c>
      <c r="Y623" s="14">
        <f>ROUND(MIN(100, (X623/69.91)*100), 2)</f>
        <v/>
      </c>
    </row>
    <row r="624">
      <c r="A624" s="10" t="n">
        <v>1</v>
      </c>
      <c r="B624" s="10" t="n">
        <v>620</v>
      </c>
      <c r="C624" s="10" t="n">
        <v>620</v>
      </c>
      <c r="D624" s="10" t="inlineStr">
        <is>
          <t>0803730010</t>
        </is>
      </c>
      <c r="E624" s="26" t="inlineStr">
        <is>
          <t>Region VIII (Eastern Visayas)</t>
        </is>
      </c>
      <c r="F624" s="26" t="inlineStr">
        <is>
          <t>Leyte</t>
        </is>
      </c>
      <c r="G624" s="26" t="inlineStr">
        <is>
          <t>Macarthur</t>
        </is>
      </c>
      <c r="H624" s="26" t="inlineStr">
        <is>
          <t>Lanawan</t>
        </is>
      </c>
      <c r="I624" s="27" t="n">
        <v>10.857306</v>
      </c>
      <c r="J624" s="27" t="n">
        <v>124.859091</v>
      </c>
      <c r="K624" s="10" t="inlineStr">
        <is>
          <t>R</t>
        </is>
      </c>
      <c r="L624" s="12" t="n">
        <v>353</v>
      </c>
      <c r="M624" s="14" t="n">
        <v>3.8</v>
      </c>
      <c r="N624" s="12">
        <f>ROUND(L624/M624, 0)</f>
        <v/>
      </c>
      <c r="O624" s="12">
        <f>ROUND(N624*'Methodology &amp; Assumptions'!$B$5, 0)</f>
        <v/>
      </c>
      <c r="P624" s="10" t="inlineStr">
        <is>
          <t>Single Carrier (Band n50, 100MHz TDD)</t>
        </is>
      </c>
      <c r="Q624" s="13">
        <f>ROUNDUP(O624/'Methodology &amp; Assumptions'!$B$6, 0)</f>
        <v/>
      </c>
      <c r="R624" s="13" t="n">
        <v>1</v>
      </c>
      <c r="S624" s="14" t="n">
        <v>16.98</v>
      </c>
      <c r="T624" s="14" t="n">
        <v>11.39</v>
      </c>
      <c r="U624" s="26">
        <f>IF(X624&gt;='Methodology &amp; Assumptions'!$B$7, "Tier 1 Critical GIDA (Score ≥ 50.0)", IF(X624&gt;='Methodology &amp; Assumptions'!$B$8, "Tier 2 High GIDA (Score 40.0–49.9)", "Tier 3 Moderate GIDA (Score &lt; 40.0)"))</f>
        <v/>
      </c>
      <c r="V624" s="26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W624" s="28" t="n">
        <v>0.237</v>
      </c>
      <c r="X624" s="14" t="n">
        <v>53.04</v>
      </c>
      <c r="Y624" s="14">
        <f>ROUND(MIN(100, (X624/69.91)*100), 2)</f>
        <v/>
      </c>
    </row>
    <row r="625">
      <c r="A625" s="10" t="n">
        <v>1</v>
      </c>
      <c r="B625" s="10" t="n">
        <v>621</v>
      </c>
      <c r="C625" s="10" t="n">
        <v>621</v>
      </c>
      <c r="D625" s="10" t="inlineStr">
        <is>
          <t>0803730013</t>
        </is>
      </c>
      <c r="E625" s="26" t="inlineStr">
        <is>
          <t>Region VIII (Eastern Visayas)</t>
        </is>
      </c>
      <c r="F625" s="26" t="inlineStr">
        <is>
          <t>Leyte</t>
        </is>
      </c>
      <c r="G625" s="26" t="inlineStr">
        <is>
          <t>Macarthur</t>
        </is>
      </c>
      <c r="H625" s="26" t="inlineStr">
        <is>
          <t>Oguisan</t>
        </is>
      </c>
      <c r="I625" s="27" t="n">
        <v>10.823361</v>
      </c>
      <c r="J625" s="27" t="n">
        <v>124.863289</v>
      </c>
      <c r="K625" s="10" t="inlineStr">
        <is>
          <t>R</t>
        </is>
      </c>
      <c r="L625" s="12" t="n">
        <v>157</v>
      </c>
      <c r="M625" s="14" t="n">
        <v>3.8</v>
      </c>
      <c r="N625" s="12">
        <f>ROUND(L625/M625, 0)</f>
        <v/>
      </c>
      <c r="O625" s="12">
        <f>ROUND(N625*'Methodology &amp; Assumptions'!$B$5, 0)</f>
        <v/>
      </c>
      <c r="P625" s="10" t="inlineStr">
        <is>
          <t>Single Carrier (Band n50, 100MHz TDD)</t>
        </is>
      </c>
      <c r="Q625" s="13">
        <f>ROUNDUP(O625/'Methodology &amp; Assumptions'!$B$6, 0)</f>
        <v/>
      </c>
      <c r="R625" s="13" t="n">
        <v>1</v>
      </c>
      <c r="S625" s="14" t="n">
        <v>17.35</v>
      </c>
      <c r="T625" s="14" t="n">
        <v>10.11</v>
      </c>
      <c r="U625" s="26">
        <f>IF(X625&gt;='Methodology &amp; Assumptions'!$B$7, "Tier 1 Critical GIDA (Score ≥ 50.0)", IF(X625&gt;='Methodology &amp; Assumptions'!$B$8, "Tier 2 High GIDA (Score 40.0–49.9)", "Tier 3 Moderate GIDA (Score &lt; 40.0)"))</f>
        <v/>
      </c>
      <c r="V625" s="26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W625" s="28" t="n">
        <v>0.237</v>
      </c>
      <c r="X625" s="14" t="n">
        <v>53.04</v>
      </c>
      <c r="Y625" s="14">
        <f>ROUND(MIN(100, (X625/69.91)*100), 2)</f>
        <v/>
      </c>
    </row>
    <row r="626">
      <c r="A626" s="10" t="n">
        <v>1</v>
      </c>
      <c r="B626" s="10" t="n">
        <v>622</v>
      </c>
      <c r="C626" s="10" t="n">
        <v>622</v>
      </c>
      <c r="D626" s="10" t="inlineStr">
        <is>
          <t>1381600024</t>
        </is>
      </c>
      <c r="E626" s="26" t="inlineStr">
        <is>
          <t>National Capital Region (NCR)</t>
        </is>
      </c>
      <c r="F626" s="26" t="inlineStr">
        <is>
          <t>Third District (Not a Province)</t>
        </is>
      </c>
      <c r="G626" s="26" t="inlineStr">
        <is>
          <t>City of Valenzuela</t>
        </is>
      </c>
      <c r="H626" s="26" t="inlineStr">
        <is>
          <t>Pasolo</t>
        </is>
      </c>
      <c r="I626" s="27" t="n">
        <v>14.70541</v>
      </c>
      <c r="J626" s="27" t="n">
        <v>120.95433</v>
      </c>
      <c r="K626" s="10" t="inlineStr">
        <is>
          <t>U</t>
        </is>
      </c>
      <c r="L626" s="12" t="n">
        <v>8266</v>
      </c>
      <c r="M626" s="14" t="n">
        <v>3.5</v>
      </c>
      <c r="N626" s="12">
        <f>ROUND(L626/M626, 0)</f>
        <v/>
      </c>
      <c r="O626" s="12">
        <f>ROUND(N626*'Methodology &amp; Assumptions'!$B$5, 0)</f>
        <v/>
      </c>
      <c r="P626" s="10" t="inlineStr">
        <is>
          <t>Single Carrier (Band n50, 100MHz TDD)</t>
        </is>
      </c>
      <c r="Q626" s="13">
        <f>ROUNDUP(O626/'Methodology &amp; Assumptions'!$B$6, 0)</f>
        <v/>
      </c>
      <c r="R626" s="13" t="n">
        <v>1</v>
      </c>
      <c r="S626" s="14" t="n">
        <v>0.6899999999999999</v>
      </c>
      <c r="T626" s="14" t="n">
        <v>0.6899999999999999</v>
      </c>
      <c r="U626" s="26">
        <f>IF(X626&gt;='Methodology &amp; Assumptions'!$B$7, "Tier 1 Critical GIDA (Score ≥ 50.0)", IF(X626&gt;='Methodology &amp; Assumptions'!$B$8, "Tier 2 High GIDA (Score 40.0–49.9)", "Tier 3 Moderate GIDA (Score &lt; 40.0)"))</f>
        <v/>
      </c>
      <c r="V626" s="26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W626" s="28" t="n">
        <v>0.109</v>
      </c>
      <c r="X626" s="14" t="n">
        <v>53.02</v>
      </c>
      <c r="Y626" s="14">
        <f>ROUND(MIN(100, (X626/69.91)*100), 2)</f>
        <v/>
      </c>
    </row>
    <row r="627">
      <c r="A627" s="10" t="n">
        <v>1</v>
      </c>
      <c r="B627" s="10" t="n">
        <v>623</v>
      </c>
      <c r="C627" s="10" t="n">
        <v>623</v>
      </c>
      <c r="D627" s="10" t="inlineStr">
        <is>
          <t>PH0000623</t>
        </is>
      </c>
      <c r="E627" s="26" t="inlineStr">
        <is>
          <t>VI</t>
        </is>
      </c>
      <c r="F627" s="26" t="inlineStr">
        <is>
          <t>Iloilo</t>
        </is>
      </c>
      <c r="G627" s="26" t="inlineStr">
        <is>
          <t>Iloilo City</t>
        </is>
      </c>
      <c r="H627" s="26" t="inlineStr">
        <is>
          <t>Libertad, Santa Isabel</t>
        </is>
      </c>
      <c r="I627" s="27" t="n">
        <v>10.633112</v>
      </c>
      <c r="J627" s="27" t="n">
        <v>122.497882</v>
      </c>
      <c r="K627" s="10" t="inlineStr">
        <is>
          <t>R</t>
        </is>
      </c>
      <c r="L627" s="12" t="n">
        <v>2230</v>
      </c>
      <c r="M627" s="14" t="n">
        <v>3.8</v>
      </c>
      <c r="N627" s="12">
        <f>ROUND(L627/M627, 0)</f>
        <v/>
      </c>
      <c r="O627" s="12">
        <f>ROUND(N627*'Methodology &amp; Assumptions'!$B$5, 0)</f>
        <v/>
      </c>
      <c r="P627" s="10" t="inlineStr">
        <is>
          <t>Single Carrier (Band n50, 100MHz TDD)</t>
        </is>
      </c>
      <c r="Q627" s="13">
        <f>ROUNDUP(O627/'Methodology &amp; Assumptions'!$B$6, 0)</f>
        <v/>
      </c>
      <c r="R627" s="13" t="n">
        <v>1</v>
      </c>
      <c r="S627" s="14" t="n">
        <v>6.93</v>
      </c>
      <c r="T627" s="14" t="n">
        <v>6.67</v>
      </c>
      <c r="U627" s="26">
        <f>IF(X627&gt;='Methodology &amp; Assumptions'!$B$7, "Tier 1 Critical GIDA (Score ≥ 50.0)", IF(X627&gt;='Methodology &amp; Assumptions'!$B$8, "Tier 2 High GIDA (Score 40.0–49.9)", "Tier 3 Moderate GIDA (Score &lt; 40.0)"))</f>
        <v/>
      </c>
      <c r="V627" s="26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W627" s="28" t="n">
        <v>0.156</v>
      </c>
      <c r="X627" s="14" t="n">
        <v>53.02</v>
      </c>
      <c r="Y627" s="14">
        <f>ROUND(MIN(100, (X627/69.91)*100), 2)</f>
        <v/>
      </c>
    </row>
    <row r="628">
      <c r="A628" s="10" t="n">
        <v>1</v>
      </c>
      <c r="B628" s="10" t="n">
        <v>624</v>
      </c>
      <c r="C628" s="10" t="n">
        <v>624</v>
      </c>
      <c r="D628" s="10" t="inlineStr">
        <is>
          <t>1400112006</t>
        </is>
      </c>
      <c r="E628" s="26" t="inlineStr">
        <is>
          <t>Cordillera Administrative Region (CAR)</t>
        </is>
      </c>
      <c r="F628" s="26" t="inlineStr">
        <is>
          <t>Abra</t>
        </is>
      </c>
      <c r="G628" s="26" t="inlineStr">
        <is>
          <t>Langiden</t>
        </is>
      </c>
      <c r="H628" s="26" t="inlineStr">
        <is>
          <t>Malapaao</t>
        </is>
      </c>
      <c r="I628" s="27" t="n">
        <v>17.626706</v>
      </c>
      <c r="J628" s="27" t="n">
        <v>120.552535</v>
      </c>
      <c r="K628" s="10" t="inlineStr">
        <is>
          <t>R</t>
        </is>
      </c>
      <c r="L628" s="12" t="n">
        <v>821</v>
      </c>
      <c r="M628" s="14" t="n">
        <v>3.8</v>
      </c>
      <c r="N628" s="12">
        <f>ROUND(L628/M628, 0)</f>
        <v/>
      </c>
      <c r="O628" s="12">
        <f>ROUND(N628*'Methodology &amp; Assumptions'!$B$5, 0)</f>
        <v/>
      </c>
      <c r="P628" s="10" t="inlineStr">
        <is>
          <t>Single Carrier (Band n50, 100MHz TDD)</t>
        </is>
      </c>
      <c r="Q628" s="13">
        <f>ROUNDUP(O628/'Methodology &amp; Assumptions'!$B$6, 0)</f>
        <v/>
      </c>
      <c r="R628" s="13" t="n">
        <v>1</v>
      </c>
      <c r="S628" s="14" t="n">
        <v>7.89</v>
      </c>
      <c r="T628" s="14" t="n">
        <v>6.98</v>
      </c>
      <c r="U628" s="26">
        <f>IF(X628&gt;='Methodology &amp; Assumptions'!$B$7, "Tier 1 Critical GIDA (Score ≥ 50.0)", IF(X628&gt;='Methodology &amp; Assumptions'!$B$8, "Tier 2 High GIDA (Score 40.0–49.9)", "Tier 3 Moderate GIDA (Score &lt; 40.0)"))</f>
        <v/>
      </c>
      <c r="V628" s="26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W628" s="28" t="n">
        <v>0.109</v>
      </c>
      <c r="X628" s="14" t="n">
        <v>53.01</v>
      </c>
      <c r="Y628" s="14">
        <f>ROUND(MIN(100, (X628/69.91)*100), 2)</f>
        <v/>
      </c>
    </row>
    <row r="629">
      <c r="A629" s="10" t="n">
        <v>1</v>
      </c>
      <c r="B629" s="10" t="n">
        <v>625</v>
      </c>
      <c r="C629" s="10" t="n">
        <v>625</v>
      </c>
      <c r="D629" s="10" t="inlineStr">
        <is>
          <t>0601909024</t>
        </is>
      </c>
      <c r="E629" s="26" t="inlineStr">
        <is>
          <t>Region VI (Western Visayas)</t>
        </is>
      </c>
      <c r="F629" s="26" t="inlineStr">
        <is>
          <t>Capiz</t>
        </is>
      </c>
      <c r="G629" s="26" t="inlineStr">
        <is>
          <t>Panay</t>
        </is>
      </c>
      <c r="H629" s="26" t="inlineStr">
        <is>
          <t>Jamul-awon</t>
        </is>
      </c>
      <c r="I629" s="27" t="n">
        <v>11.5325</v>
      </c>
      <c r="J629" s="27" t="n">
        <v>122.861111</v>
      </c>
      <c r="K629" s="10" t="inlineStr">
        <is>
          <t>R</t>
        </is>
      </c>
      <c r="L629" s="12" t="n">
        <v>831</v>
      </c>
      <c r="M629" s="14" t="n">
        <v>3.8</v>
      </c>
      <c r="N629" s="12">
        <f>ROUND(L629/M629, 0)</f>
        <v/>
      </c>
      <c r="O629" s="12">
        <f>ROUND(N629*'Methodology &amp; Assumptions'!$B$5, 0)</f>
        <v/>
      </c>
      <c r="P629" s="10" t="inlineStr">
        <is>
          <t>Single Carrier (Band n50, 100MHz TDD)</t>
        </is>
      </c>
      <c r="Q629" s="13">
        <f>ROUNDUP(O629/'Methodology &amp; Assumptions'!$B$6, 0)</f>
        <v/>
      </c>
      <c r="R629" s="13" t="n">
        <v>1</v>
      </c>
      <c r="S629" s="14" t="n">
        <v>6.75</v>
      </c>
      <c r="T629" s="14" t="n">
        <v>5.73</v>
      </c>
      <c r="U629" s="26">
        <f>IF(X629&gt;='Methodology &amp; Assumptions'!$B$7, "Tier 1 Critical GIDA (Score ≥ 50.0)", IF(X629&gt;='Methodology &amp; Assumptions'!$B$8, "Tier 2 High GIDA (Score 40.0–49.9)", "Tier 3 Moderate GIDA (Score &lt; 40.0)"))</f>
        <v/>
      </c>
      <c r="V629" s="26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W629" s="28" t="n">
        <v>0.237</v>
      </c>
      <c r="X629" s="14" t="n">
        <v>53</v>
      </c>
      <c r="Y629" s="14">
        <f>ROUND(MIN(100, (X629/69.91)*100), 2)</f>
        <v/>
      </c>
    </row>
    <row r="630">
      <c r="A630" s="10" t="n">
        <v>1</v>
      </c>
      <c r="B630" s="10" t="n">
        <v>626</v>
      </c>
      <c r="C630" s="10" t="n">
        <v>626</v>
      </c>
      <c r="D630" s="10" t="inlineStr">
        <is>
          <t>0600618008</t>
        </is>
      </c>
      <c r="E630" s="26" t="inlineStr">
        <is>
          <t>Region VI (Western Visayas)</t>
        </is>
      </c>
      <c r="F630" s="26" t="inlineStr">
        <is>
          <t>Antique</t>
        </is>
      </c>
      <c r="G630" s="26" t="inlineStr">
        <is>
          <t>Valderrama</t>
        </is>
      </c>
      <c r="H630" s="26" t="inlineStr">
        <is>
          <t>Busog</t>
        </is>
      </c>
      <c r="I630" s="27" t="n">
        <v>11.071015</v>
      </c>
      <c r="J630" s="27" t="n">
        <v>122.241799</v>
      </c>
      <c r="K630" s="10" t="inlineStr">
        <is>
          <t>R</t>
        </is>
      </c>
      <c r="L630" s="12" t="n">
        <v>203</v>
      </c>
      <c r="M630" s="14" t="n">
        <v>3.9</v>
      </c>
      <c r="N630" s="12">
        <f>ROUND(L630/M630, 0)</f>
        <v/>
      </c>
      <c r="O630" s="12">
        <f>ROUND(N630*'Methodology &amp; Assumptions'!$B$5, 0)</f>
        <v/>
      </c>
      <c r="P630" s="10" t="inlineStr">
        <is>
          <t>Single Carrier (Band n50, 100MHz TDD)</t>
        </is>
      </c>
      <c r="Q630" s="13">
        <f>ROUNDUP(O630/'Methodology &amp; Assumptions'!$B$6, 0)</f>
        <v/>
      </c>
      <c r="R630" s="13" t="n">
        <v>1</v>
      </c>
      <c r="S630" s="14" t="n">
        <v>32.74</v>
      </c>
      <c r="T630" s="14" t="n">
        <v>31.23</v>
      </c>
      <c r="U630" s="26">
        <f>IF(X630&gt;='Methodology &amp; Assumptions'!$B$7, "Tier 1 Critical GIDA (Score ≥ 50.0)", IF(X630&gt;='Methodology &amp; Assumptions'!$B$8, "Tier 2 High GIDA (Score 40.0–49.9)", "Tier 3 Moderate GIDA (Score &lt; 40.0)"))</f>
        <v/>
      </c>
      <c r="V630" s="26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W630" s="28" t="n">
        <v>0.237</v>
      </c>
      <c r="X630" s="14" t="n">
        <v>52.99</v>
      </c>
      <c r="Y630" s="14">
        <f>ROUND(MIN(100, (X630/69.91)*100), 2)</f>
        <v/>
      </c>
    </row>
    <row r="631">
      <c r="A631" s="10" t="n">
        <v>1</v>
      </c>
      <c r="B631" s="10" t="n">
        <v>627</v>
      </c>
      <c r="C631" s="10" t="n">
        <v>627</v>
      </c>
      <c r="D631" s="10" t="inlineStr">
        <is>
          <t>0205009005</t>
        </is>
      </c>
      <c r="E631" s="26" t="inlineStr">
        <is>
          <t>Region II (Cagayan Valley)</t>
        </is>
      </c>
      <c r="F631" s="26" t="inlineStr">
        <is>
          <t>Nueva Vizcaya</t>
        </is>
      </c>
      <c r="G631" s="26" t="inlineStr">
        <is>
          <t>Kasibu</t>
        </is>
      </c>
      <c r="H631" s="26" t="inlineStr">
        <is>
          <t>Binogawan</t>
        </is>
      </c>
      <c r="I631" s="27" t="n">
        <v>16.37463</v>
      </c>
      <c r="J631" s="27" t="n">
        <v>121.39385</v>
      </c>
      <c r="K631" s="10" t="inlineStr">
        <is>
          <t>R</t>
        </is>
      </c>
      <c r="L631" s="12" t="n">
        <v>891</v>
      </c>
      <c r="M631" s="14" t="n">
        <v>3.8</v>
      </c>
      <c r="N631" s="12">
        <f>ROUND(L631/M631, 0)</f>
        <v/>
      </c>
      <c r="O631" s="12">
        <f>ROUND(N631*'Methodology &amp; Assumptions'!$B$5, 0)</f>
        <v/>
      </c>
      <c r="P631" s="10" t="inlineStr">
        <is>
          <t>Single Carrier (Band n50, 100MHz TDD)</t>
        </is>
      </c>
      <c r="Q631" s="13">
        <f>ROUNDUP(O631/'Methodology &amp; Assumptions'!$B$6, 0)</f>
        <v/>
      </c>
      <c r="R631" s="13" t="n">
        <v>1</v>
      </c>
      <c r="S631" s="14" t="n">
        <v>12.43</v>
      </c>
      <c r="T631" s="14" t="n">
        <v>22.74</v>
      </c>
      <c r="U631" s="26">
        <f>IF(X631&gt;='Methodology &amp; Assumptions'!$B$7, "Tier 1 Critical GIDA (Score ≥ 50.0)", IF(X631&gt;='Methodology &amp; Assumptions'!$B$8, "Tier 2 High GIDA (Score 40.0–49.9)", "Tier 3 Moderate GIDA (Score &lt; 40.0)"))</f>
        <v/>
      </c>
      <c r="V631" s="26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W631" s="28" t="n">
        <v>0.083</v>
      </c>
      <c r="X631" s="14" t="n">
        <v>52.97</v>
      </c>
      <c r="Y631" s="14">
        <f>ROUND(MIN(100, (X631/69.91)*100), 2)</f>
        <v/>
      </c>
    </row>
    <row r="632">
      <c r="A632" s="10" t="n">
        <v>1</v>
      </c>
      <c r="B632" s="10" t="n">
        <v>628</v>
      </c>
      <c r="C632" s="10" t="n">
        <v>628</v>
      </c>
      <c r="D632" s="10" t="inlineStr">
        <is>
          <t>PH0000628</t>
        </is>
      </c>
      <c r="E632" s="26" t="inlineStr">
        <is>
          <t>IV-A</t>
        </is>
      </c>
      <c r="F632" s="26" t="inlineStr">
        <is>
          <t>Laguna</t>
        </is>
      </c>
      <c r="G632" s="26" t="inlineStr">
        <is>
          <t>San Pablo City</t>
        </is>
      </c>
      <c r="H632" s="26" t="inlineStr">
        <is>
          <t>Barangay VII-E (Pob.)</t>
        </is>
      </c>
      <c r="I632" s="27" t="n">
        <v>14.05474</v>
      </c>
      <c r="J632" s="27" t="n">
        <v>121.325314</v>
      </c>
      <c r="K632" s="10" t="inlineStr">
        <is>
          <t>R</t>
        </is>
      </c>
      <c r="L632" s="12" t="n">
        <v>2412</v>
      </c>
      <c r="M632" s="14" t="n">
        <v>3.3</v>
      </c>
      <c r="N632" s="12">
        <f>ROUND(L632/M632, 0)</f>
        <v/>
      </c>
      <c r="O632" s="12">
        <f>ROUND(N632*'Methodology &amp; Assumptions'!$B$5, 0)</f>
        <v/>
      </c>
      <c r="P632" s="10" t="inlineStr">
        <is>
          <t>Single Carrier (Band n50, 100MHz TDD)</t>
        </is>
      </c>
      <c r="Q632" s="13">
        <f>ROUNDUP(O632/'Methodology &amp; Assumptions'!$B$6, 0)</f>
        <v/>
      </c>
      <c r="R632" s="13" t="n">
        <v>1</v>
      </c>
      <c r="S632" s="14" t="n">
        <v>0.68</v>
      </c>
      <c r="T632" s="14" t="n">
        <v>0.67</v>
      </c>
      <c r="U632" s="26">
        <f>IF(X632&gt;='Methodology &amp; Assumptions'!$B$7, "Tier 1 Critical GIDA (Score ≥ 50.0)", IF(X632&gt;='Methodology &amp; Assumptions'!$B$8, "Tier 2 High GIDA (Score 40.0–49.9)", "Tier 3 Moderate GIDA (Score &lt; 40.0)"))</f>
        <v/>
      </c>
      <c r="V632" s="26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W632" s="28" t="n">
        <v>0.07200000000000001</v>
      </c>
      <c r="X632" s="14" t="n">
        <v>52.96</v>
      </c>
      <c r="Y632" s="14">
        <f>ROUND(MIN(100, (X632/69.91)*100), 2)</f>
        <v/>
      </c>
    </row>
    <row r="633">
      <c r="A633" s="10" t="n">
        <v>1</v>
      </c>
      <c r="B633" s="10" t="n">
        <v>629</v>
      </c>
      <c r="C633" s="10" t="n">
        <v>629</v>
      </c>
      <c r="D633" s="10" t="inlineStr">
        <is>
          <t>1705313002</t>
        </is>
      </c>
      <c r="E633" s="26" t="inlineStr">
        <is>
          <t>MIMAROPA Region</t>
        </is>
      </c>
      <c r="F633" s="26" t="inlineStr">
        <is>
          <t>Palawan</t>
        </is>
      </c>
      <c r="G633" s="26" t="inlineStr">
        <is>
          <t>Linapacan</t>
        </is>
      </c>
      <c r="H633" s="26" t="inlineStr">
        <is>
          <t>Cabunlawan</t>
        </is>
      </c>
      <c r="I633" s="27" t="n">
        <v>11.38379</v>
      </c>
      <c r="J633" s="27" t="n">
        <v>120.09803</v>
      </c>
      <c r="K633" s="10" t="inlineStr">
        <is>
          <t>R</t>
        </is>
      </c>
      <c r="L633" s="12" t="n">
        <v>841</v>
      </c>
      <c r="M633" s="14" t="n">
        <v>3.9</v>
      </c>
      <c r="N633" s="12">
        <f>ROUND(L633/M633, 0)</f>
        <v/>
      </c>
      <c r="O633" s="12">
        <f>ROUND(N633*'Methodology &amp; Assumptions'!$B$5, 0)</f>
        <v/>
      </c>
      <c r="P633" s="10" t="inlineStr">
        <is>
          <t>Single Carrier (Band n50, 100MHz TDD)</t>
        </is>
      </c>
      <c r="Q633" s="13">
        <f>ROUNDUP(O633/'Methodology &amp; Assumptions'!$B$6, 0)</f>
        <v/>
      </c>
      <c r="R633" s="13" t="n">
        <v>1</v>
      </c>
      <c r="S633" s="14" t="n">
        <v>59.68</v>
      </c>
      <c r="T633" s="14" t="n">
        <v>89.68000000000001</v>
      </c>
      <c r="U633" s="26">
        <f>IF(X633&gt;='Methodology &amp; Assumptions'!$B$7, "Tier 1 Critical GIDA (Score ≥ 50.0)", IF(X633&gt;='Methodology &amp; Assumptions'!$B$8, "Tier 2 High GIDA (Score 40.0–49.9)", "Tier 3 Moderate GIDA (Score &lt; 40.0)"))</f>
        <v/>
      </c>
      <c r="V633" s="26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W633" s="28" t="n">
        <v>0.15</v>
      </c>
      <c r="X633" s="14" t="n">
        <v>52.94</v>
      </c>
      <c r="Y633" s="14">
        <f>ROUND(MIN(100, (X633/69.91)*100), 2)</f>
        <v/>
      </c>
    </row>
    <row r="634">
      <c r="A634" s="10" t="n">
        <v>1</v>
      </c>
      <c r="B634" s="10" t="n">
        <v>630</v>
      </c>
      <c r="C634" s="10" t="n">
        <v>630</v>
      </c>
      <c r="D634" s="10" t="inlineStr">
        <is>
          <t>0500518001</t>
        </is>
      </c>
      <c r="E634" s="26" t="inlineStr">
        <is>
          <t>Region V (Bicol Region)</t>
        </is>
      </c>
      <c r="F634" s="26" t="inlineStr">
        <is>
          <t>Albay</t>
        </is>
      </c>
      <c r="G634" s="26" t="inlineStr">
        <is>
          <t>Tiwi</t>
        </is>
      </c>
      <c r="H634" s="26" t="inlineStr">
        <is>
          <t>Bagumbayan</t>
        </is>
      </c>
      <c r="I634" s="27" t="n">
        <v>13.452478</v>
      </c>
      <c r="J634" s="27" t="n">
        <v>123.661906</v>
      </c>
      <c r="K634" s="10" t="inlineStr">
        <is>
          <t>R</t>
        </is>
      </c>
      <c r="L634" s="12" t="n">
        <v>2758</v>
      </c>
      <c r="M634" s="14" t="n">
        <v>4.1</v>
      </c>
      <c r="N634" s="12">
        <f>ROUND(L634/M634, 0)</f>
        <v/>
      </c>
      <c r="O634" s="12">
        <f>ROUND(N634*'Methodology &amp; Assumptions'!$B$5, 0)</f>
        <v/>
      </c>
      <c r="P634" s="10" t="inlineStr">
        <is>
          <t>Single Carrier (Band n50, 100MHz TDD)</t>
        </is>
      </c>
      <c r="Q634" s="13">
        <f>ROUNDUP(O634/'Methodology &amp; Assumptions'!$B$6, 0)</f>
        <v/>
      </c>
      <c r="R634" s="13" t="n">
        <v>1</v>
      </c>
      <c r="S634" s="14" t="n">
        <v>1.59</v>
      </c>
      <c r="T634" s="14" t="n">
        <v>1.25</v>
      </c>
      <c r="U634" s="26">
        <f>IF(X634&gt;='Methodology &amp; Assumptions'!$B$7, "Tier 1 Critical GIDA (Score ≥ 50.0)", IF(X634&gt;='Methodology &amp; Assumptions'!$B$8, "Tier 2 High GIDA (Score 40.0–49.9)", "Tier 3 Moderate GIDA (Score &lt; 40.0)"))</f>
        <v/>
      </c>
      <c r="V634" s="26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W634" s="28" t="n">
        <v>0.237</v>
      </c>
      <c r="X634" s="14" t="n">
        <v>52.93</v>
      </c>
      <c r="Y634" s="14">
        <f>ROUND(MIN(100, (X634/69.91)*100), 2)</f>
        <v/>
      </c>
    </row>
    <row r="635">
      <c r="A635" s="10" t="n">
        <v>1</v>
      </c>
      <c r="B635" s="10" t="n">
        <v>631</v>
      </c>
      <c r="C635" s="10" t="n">
        <v>631</v>
      </c>
      <c r="D635" s="10" t="inlineStr">
        <is>
          <t>0600406003</t>
        </is>
      </c>
      <c r="E635" s="26" t="inlineStr">
        <is>
          <t>Region VI (Western Visayas)</t>
        </is>
      </c>
      <c r="F635" s="26" t="inlineStr">
        <is>
          <t>Aklan</t>
        </is>
      </c>
      <c r="G635" s="26" t="inlineStr">
        <is>
          <t>Ibajay</t>
        </is>
      </c>
      <c r="H635" s="26" t="inlineStr">
        <is>
          <t>Antipolo</t>
        </is>
      </c>
      <c r="I635" s="27" t="n">
        <v>11.80149</v>
      </c>
      <c r="J635" s="27" t="n">
        <v>122.12265</v>
      </c>
      <c r="K635" s="10" t="inlineStr">
        <is>
          <t>R</t>
        </is>
      </c>
      <c r="L635" s="12" t="n">
        <v>844</v>
      </c>
      <c r="M635" s="14" t="n">
        <v>3.9</v>
      </c>
      <c r="N635" s="12">
        <f>ROUND(L635/M635, 0)</f>
        <v/>
      </c>
      <c r="O635" s="12">
        <f>ROUND(N635*'Methodology &amp; Assumptions'!$B$5, 0)</f>
        <v/>
      </c>
      <c r="P635" s="10" t="inlineStr">
        <is>
          <t>Single Carrier (Band n50, 100MHz TDD)</t>
        </is>
      </c>
      <c r="Q635" s="13">
        <f>ROUNDUP(O635/'Methodology &amp; Assumptions'!$B$6, 0)</f>
        <v/>
      </c>
      <c r="R635" s="13" t="n">
        <v>1</v>
      </c>
      <c r="S635" s="14" t="n">
        <v>20.88</v>
      </c>
      <c r="T635" s="14" t="n">
        <v>1.67</v>
      </c>
      <c r="U635" s="26">
        <f>IF(X635&gt;='Methodology &amp; Assumptions'!$B$7, "Tier 1 Critical GIDA (Score ≥ 50.0)", IF(X635&gt;='Methodology &amp; Assumptions'!$B$8, "Tier 2 High GIDA (Score 40.0–49.9)", "Tier 3 Moderate GIDA (Score &lt; 40.0)"))</f>
        <v/>
      </c>
      <c r="V635" s="26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W635" s="28" t="n">
        <v>0.237</v>
      </c>
      <c r="X635" s="14" t="n">
        <v>52.93</v>
      </c>
      <c r="Y635" s="14">
        <f>ROUND(MIN(100, (X635/69.91)*100), 2)</f>
        <v/>
      </c>
    </row>
    <row r="636">
      <c r="A636" s="10" t="n">
        <v>1</v>
      </c>
      <c r="B636" s="10" t="n">
        <v>632</v>
      </c>
      <c r="C636" s="10" t="n">
        <v>632</v>
      </c>
      <c r="D636" s="10" t="inlineStr">
        <is>
          <t>0806017004</t>
        </is>
      </c>
      <c r="E636" s="26" t="inlineStr">
        <is>
          <t>Region VIII (Eastern Visayas)</t>
        </is>
      </c>
      <c r="F636" s="26" t="inlineStr">
        <is>
          <t>Samar</t>
        </is>
      </c>
      <c r="G636" s="26" t="inlineStr">
        <is>
          <t>Santa Rita</t>
        </is>
      </c>
      <c r="H636" s="26" t="inlineStr">
        <is>
          <t>Bagolibas</t>
        </is>
      </c>
      <c r="I636" s="27" t="n">
        <v>11.394331</v>
      </c>
      <c r="J636" s="27" t="n">
        <v>125.001247</v>
      </c>
      <c r="K636" s="10" t="inlineStr">
        <is>
          <t>R</t>
        </is>
      </c>
      <c r="L636" s="12" t="n">
        <v>703</v>
      </c>
      <c r="M636" s="14" t="n">
        <v>4.1</v>
      </c>
      <c r="N636" s="12">
        <f>ROUND(L636/M636, 0)</f>
        <v/>
      </c>
      <c r="O636" s="12">
        <f>ROUND(N636*'Methodology &amp; Assumptions'!$B$5, 0)</f>
        <v/>
      </c>
      <c r="P636" s="10" t="inlineStr">
        <is>
          <t>Single Carrier (Band n50, 100MHz TDD)</t>
        </is>
      </c>
      <c r="Q636" s="13">
        <f>ROUNDUP(O636/'Methodology &amp; Assumptions'!$B$6, 0)</f>
        <v/>
      </c>
      <c r="R636" s="13" t="n">
        <v>1</v>
      </c>
      <c r="S636" s="14" t="n">
        <v>17.2</v>
      </c>
      <c r="T636" s="14" t="n">
        <v>20.24</v>
      </c>
      <c r="U636" s="26">
        <f>IF(X636&gt;='Methodology &amp; Assumptions'!$B$7, "Tier 1 Critical GIDA (Score ≥ 50.0)", IF(X636&gt;='Methodology &amp; Assumptions'!$B$8, "Tier 2 High GIDA (Score 40.0–49.9)", "Tier 3 Moderate GIDA (Score &lt; 40.0)"))</f>
        <v/>
      </c>
      <c r="V636" s="26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W636" s="28" t="n">
        <v>0.237</v>
      </c>
      <c r="X636" s="14" t="n">
        <v>52.92</v>
      </c>
      <c r="Y636" s="14">
        <f>ROUND(MIN(100, (X636/69.91)*100), 2)</f>
        <v/>
      </c>
    </row>
    <row r="637">
      <c r="A637" s="10" t="n">
        <v>1</v>
      </c>
      <c r="B637" s="10" t="n">
        <v>633</v>
      </c>
      <c r="C637" s="10" t="n">
        <v>633</v>
      </c>
      <c r="D637" s="10" t="inlineStr">
        <is>
          <t>0501727014</t>
        </is>
      </c>
      <c r="E637" s="26" t="inlineStr">
        <is>
          <t>Region V (Bicol Region)</t>
        </is>
      </c>
      <c r="F637" s="26" t="inlineStr">
        <is>
          <t>Camarines Sur</t>
        </is>
      </c>
      <c r="G637" s="26" t="inlineStr">
        <is>
          <t>Pasacao</t>
        </is>
      </c>
      <c r="H637" s="26" t="inlineStr">
        <is>
          <t>San Antonio</t>
        </is>
      </c>
      <c r="I637" s="27" t="n">
        <v>13.58856</v>
      </c>
      <c r="J637" s="27" t="n">
        <v>122.93178</v>
      </c>
      <c r="K637" s="10" t="inlineStr">
        <is>
          <t>R</t>
        </is>
      </c>
      <c r="L637" s="12" t="n">
        <v>612</v>
      </c>
      <c r="M637" s="14" t="n">
        <v>4.2</v>
      </c>
      <c r="N637" s="12">
        <f>ROUND(L637/M637, 0)</f>
        <v/>
      </c>
      <c r="O637" s="12">
        <f>ROUND(N637*'Methodology &amp; Assumptions'!$B$5, 0)</f>
        <v/>
      </c>
      <c r="P637" s="10" t="inlineStr">
        <is>
          <t>Single Carrier (Band n50, 100MHz TDD)</t>
        </is>
      </c>
      <c r="Q637" s="13">
        <f>ROUNDUP(O637/'Methodology &amp; Assumptions'!$B$6, 0)</f>
        <v/>
      </c>
      <c r="R637" s="13" t="n">
        <v>1</v>
      </c>
      <c r="S637" s="14" t="n">
        <v>12.35</v>
      </c>
      <c r="T637" s="14" t="n">
        <v>12.64</v>
      </c>
      <c r="U637" s="26">
        <f>IF(X637&gt;='Methodology &amp; Assumptions'!$B$7, "Tier 1 Critical GIDA (Score ≥ 50.0)", IF(X637&gt;='Methodology &amp; Assumptions'!$B$8, "Tier 2 High GIDA (Score 40.0–49.9)", "Tier 3 Moderate GIDA (Score &lt; 40.0)"))</f>
        <v/>
      </c>
      <c r="V637" s="26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W637" s="28" t="n">
        <v>0.237</v>
      </c>
      <c r="X637" s="14" t="n">
        <v>52.92</v>
      </c>
      <c r="Y637" s="14">
        <f>ROUND(MIN(100, (X637/69.91)*100), 2)</f>
        <v/>
      </c>
    </row>
    <row r="638">
      <c r="A638" s="10" t="n">
        <v>1</v>
      </c>
      <c r="B638" s="10" t="n">
        <v>634</v>
      </c>
      <c r="C638" s="10" t="n">
        <v>634</v>
      </c>
      <c r="D638" s="10" t="inlineStr">
        <is>
          <t>1380601039</t>
        </is>
      </c>
      <c r="E638" s="26" t="inlineStr">
        <is>
          <t>National Capital Region (NCR)</t>
        </is>
      </c>
      <c r="F638" s="26" t="inlineStr">
        <is>
          <t>First District (Not a Province)</t>
        </is>
      </c>
      <c r="G638" s="26" t="inlineStr">
        <is>
          <t>City of Manila</t>
        </is>
      </c>
      <c r="H638" s="26" t="inlineStr">
        <is>
          <t>Barangay 39</t>
        </is>
      </c>
      <c r="I638" s="27" t="n">
        <v>12.789016</v>
      </c>
      <c r="J638" s="27" t="n">
        <v>121.833263</v>
      </c>
      <c r="K638" s="10" t="inlineStr">
        <is>
          <t>U</t>
        </is>
      </c>
      <c r="L638" s="12" t="n">
        <v>2395</v>
      </c>
      <c r="M638" s="14" t="n">
        <v>3.9</v>
      </c>
      <c r="N638" s="12">
        <f>ROUND(L638/M638, 0)</f>
        <v/>
      </c>
      <c r="O638" s="12">
        <f>ROUND(N638*'Methodology &amp; Assumptions'!$B$5, 0)</f>
        <v/>
      </c>
      <c r="P638" s="10" t="inlineStr">
        <is>
          <t>Single Carrier (Band n50, 100MHz TDD)</t>
        </is>
      </c>
      <c r="Q638" s="13">
        <f>ROUNDUP(O638/'Methodology &amp; Assumptions'!$B$6, 0)</f>
        <v/>
      </c>
      <c r="R638" s="13" t="n">
        <v>1</v>
      </c>
      <c r="S638" s="14" t="n">
        <v>36.83</v>
      </c>
      <c r="T638" s="14" t="n">
        <v>36.52</v>
      </c>
      <c r="U638" s="26">
        <f>IF(X638&gt;='Methodology &amp; Assumptions'!$B$7, "Tier 1 Critical GIDA (Score ≥ 50.0)", IF(X638&gt;='Methodology &amp; Assumptions'!$B$8, "Tier 2 High GIDA (Score 40.0–49.9)", "Tier 3 Moderate GIDA (Score &lt; 40.0)"))</f>
        <v/>
      </c>
      <c r="V638" s="26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W638" s="28" t="n">
        <v>0.109</v>
      </c>
      <c r="X638" s="14" t="n">
        <v>52.92</v>
      </c>
      <c r="Y638" s="14">
        <f>ROUND(MIN(100, (X638/69.91)*100), 2)</f>
        <v/>
      </c>
    </row>
    <row r="639">
      <c r="A639" s="10" t="n">
        <v>1</v>
      </c>
      <c r="B639" s="10" t="n">
        <v>635</v>
      </c>
      <c r="C639" s="10" t="n">
        <v>635</v>
      </c>
      <c r="D639" s="10" t="inlineStr">
        <is>
          <t>0907224007</t>
        </is>
      </c>
      <c r="E639" s="26" t="inlineStr">
        <is>
          <t>Region IX (Zamboanga Peninsula)</t>
        </is>
      </c>
      <c r="F639" s="26" t="inlineStr">
        <is>
          <t>Zamboanga del Norte</t>
        </is>
      </c>
      <c r="G639" s="26" t="inlineStr">
        <is>
          <t>Baliguian</t>
        </is>
      </c>
      <c r="H639" s="26" t="inlineStr">
        <is>
          <t>Linay</t>
        </is>
      </c>
      <c r="I639" s="27" t="n">
        <v>7.77398</v>
      </c>
      <c r="J639" s="27" t="n">
        <v>122.36432</v>
      </c>
      <c r="K639" s="10" t="inlineStr">
        <is>
          <t>R</t>
        </is>
      </c>
      <c r="L639" s="12" t="n">
        <v>2277</v>
      </c>
      <c r="M639" s="14" t="n">
        <v>3.6</v>
      </c>
      <c r="N639" s="12">
        <f>ROUND(L639/M639, 0)</f>
        <v/>
      </c>
      <c r="O639" s="12">
        <f>ROUND(N639*'Methodology &amp; Assumptions'!$B$5, 0)</f>
        <v/>
      </c>
      <c r="P639" s="10" t="inlineStr">
        <is>
          <t>Single Carrier (Band n50, 100MHz TDD)</t>
        </is>
      </c>
      <c r="Q639" s="13">
        <f>ROUNDUP(O639/'Methodology &amp; Assumptions'!$B$6, 0)</f>
        <v/>
      </c>
      <c r="R639" s="13" t="n">
        <v>1</v>
      </c>
      <c r="S639" s="14" t="n">
        <v>20.39</v>
      </c>
      <c r="T639" s="14" t="n">
        <v>17.31</v>
      </c>
      <c r="U639" s="26">
        <f>IF(X639&gt;='Methodology &amp; Assumptions'!$B$7, "Tier 1 Critical GIDA (Score ≥ 50.0)", IF(X639&gt;='Methodology &amp; Assumptions'!$B$8, "Tier 2 High GIDA (Score 40.0–49.9)", "Tier 3 Moderate GIDA (Score &lt; 40.0)"))</f>
        <v/>
      </c>
      <c r="V639" s="26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W639" s="28" t="n">
        <v>0.11</v>
      </c>
      <c r="X639" s="14" t="n">
        <v>52.92</v>
      </c>
      <c r="Y639" s="14">
        <f>ROUND(MIN(100, (X639/69.91)*100), 2)</f>
        <v/>
      </c>
    </row>
    <row r="640">
      <c r="A640" s="10" t="n">
        <v>1</v>
      </c>
      <c r="B640" s="10" t="n">
        <v>636</v>
      </c>
      <c r="C640" s="10" t="n">
        <v>636</v>
      </c>
      <c r="D640" s="10" t="inlineStr">
        <is>
          <t>0806405012</t>
        </is>
      </c>
      <c r="E640" s="26" t="inlineStr">
        <is>
          <t>Region VIII (Eastern Visayas)</t>
        </is>
      </c>
      <c r="F640" s="26" t="inlineStr">
        <is>
          <t>Southern Leyte</t>
        </is>
      </c>
      <c r="G640" s="26" t="inlineStr">
        <is>
          <t>Libagon</t>
        </is>
      </c>
      <c r="H640" s="26" t="inlineStr">
        <is>
          <t>Punta</t>
        </is>
      </c>
      <c r="I640" s="27" t="n">
        <v>10.310262</v>
      </c>
      <c r="J640" s="27" t="n">
        <v>125.041619</v>
      </c>
      <c r="K640" s="10" t="inlineStr">
        <is>
          <t>R</t>
        </is>
      </c>
      <c r="L640" s="12" t="n">
        <v>249</v>
      </c>
      <c r="M640" s="14" t="n">
        <v>4.1</v>
      </c>
      <c r="N640" s="12">
        <f>ROUND(L640/M640, 0)</f>
        <v/>
      </c>
      <c r="O640" s="12">
        <f>ROUND(N640*'Methodology &amp; Assumptions'!$B$5, 0)</f>
        <v/>
      </c>
      <c r="P640" s="10" t="inlineStr">
        <is>
          <t>Single Carrier (Band n50, 100MHz TDD)</t>
        </is>
      </c>
      <c r="Q640" s="13">
        <f>ROUNDUP(O640/'Methodology &amp; Assumptions'!$B$6, 0)</f>
        <v/>
      </c>
      <c r="R640" s="13" t="n">
        <v>1</v>
      </c>
      <c r="S640" s="14" t="n">
        <v>10.63</v>
      </c>
      <c r="T640" s="14" t="n">
        <v>6.54</v>
      </c>
      <c r="U640" s="26">
        <f>IF(X640&gt;='Methodology &amp; Assumptions'!$B$7, "Tier 1 Critical GIDA (Score ≥ 50.0)", IF(X640&gt;='Methodology &amp; Assumptions'!$B$8, "Tier 2 High GIDA (Score 40.0–49.9)", "Tier 3 Moderate GIDA (Score &lt; 40.0)"))</f>
        <v/>
      </c>
      <c r="V640" s="26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W640" s="28" t="n">
        <v>0.237</v>
      </c>
      <c r="X640" s="14" t="n">
        <v>52.92</v>
      </c>
      <c r="Y640" s="14">
        <f>ROUND(MIN(100, (X640/69.91)*100), 2)</f>
        <v/>
      </c>
    </row>
    <row r="641">
      <c r="A641" s="10" t="n">
        <v>1</v>
      </c>
      <c r="B641" s="10" t="n">
        <v>637</v>
      </c>
      <c r="C641" s="10" t="n">
        <v>637</v>
      </c>
      <c r="D641" s="10" t="inlineStr">
        <is>
          <t>0600618009</t>
        </is>
      </c>
      <c r="E641" s="26" t="inlineStr">
        <is>
          <t>Region VI (Western Visayas)</t>
        </is>
      </c>
      <c r="F641" s="26" t="inlineStr">
        <is>
          <t>Antique</t>
        </is>
      </c>
      <c r="G641" s="26" t="inlineStr">
        <is>
          <t>Valderrama</t>
        </is>
      </c>
      <c r="H641" s="26" t="inlineStr">
        <is>
          <t>Cananghan</t>
        </is>
      </c>
      <c r="I641" s="27" t="n">
        <v>11.024968</v>
      </c>
      <c r="J641" s="27" t="n">
        <v>122.18411</v>
      </c>
      <c r="K641" s="10" t="inlineStr">
        <is>
          <t>R</t>
        </is>
      </c>
      <c r="L641" s="12" t="n">
        <v>308</v>
      </c>
      <c r="M641" s="14" t="n">
        <v>3.9</v>
      </c>
      <c r="N641" s="12">
        <f>ROUND(L641/M641, 0)</f>
        <v/>
      </c>
      <c r="O641" s="12">
        <f>ROUND(N641*'Methodology &amp; Assumptions'!$B$5, 0)</f>
        <v/>
      </c>
      <c r="P641" s="10" t="inlineStr">
        <is>
          <t>Single Carrier (Band n50, 100MHz TDD)</t>
        </is>
      </c>
      <c r="Q641" s="13">
        <f>ROUNDUP(O641/'Methodology &amp; Assumptions'!$B$6, 0)</f>
        <v/>
      </c>
      <c r="R641" s="13" t="n">
        <v>1</v>
      </c>
      <c r="S641" s="14" t="n">
        <v>36.98</v>
      </c>
      <c r="T641" s="14" t="n">
        <v>32.42</v>
      </c>
      <c r="U641" s="26">
        <f>IF(X641&gt;='Methodology &amp; Assumptions'!$B$7, "Tier 1 Critical GIDA (Score ≥ 50.0)", IF(X641&gt;='Methodology &amp; Assumptions'!$B$8, "Tier 2 High GIDA (Score 40.0–49.9)", "Tier 3 Moderate GIDA (Score &lt; 40.0)"))</f>
        <v/>
      </c>
      <c r="V641" s="26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W641" s="28" t="n">
        <v>0.237</v>
      </c>
      <c r="X641" s="14" t="n">
        <v>52.91</v>
      </c>
      <c r="Y641" s="14">
        <f>ROUND(MIN(100, (X641/69.91)*100), 2)</f>
        <v/>
      </c>
    </row>
    <row r="642">
      <c r="A642" s="10" t="n">
        <v>1</v>
      </c>
      <c r="B642" s="10" t="n">
        <v>638</v>
      </c>
      <c r="C642" s="10" t="n">
        <v>638</v>
      </c>
      <c r="D642" s="10" t="inlineStr">
        <is>
          <t>1380601118</t>
        </is>
      </c>
      <c r="E642" s="26" t="inlineStr">
        <is>
          <t>National Capital Region (NCR)</t>
        </is>
      </c>
      <c r="F642" s="26" t="inlineStr">
        <is>
          <t>First District (Not a Province)</t>
        </is>
      </c>
      <c r="G642" s="26" t="inlineStr">
        <is>
          <t>City of Manila</t>
        </is>
      </c>
      <c r="H642" s="26" t="inlineStr">
        <is>
          <t>Barangay 118</t>
        </is>
      </c>
      <c r="I642" s="27" t="n">
        <v>12.907878</v>
      </c>
      <c r="J642" s="27" t="n">
        <v>121.666123</v>
      </c>
      <c r="K642" s="10" t="inlineStr">
        <is>
          <t>U</t>
        </is>
      </c>
      <c r="L642" s="12" t="n">
        <v>11169</v>
      </c>
      <c r="M642" s="14" t="n">
        <v>3.9</v>
      </c>
      <c r="N642" s="12">
        <f>ROUND(L642/M642, 0)</f>
        <v/>
      </c>
      <c r="O642" s="12">
        <f>ROUND(N642*'Methodology &amp; Assumptions'!$B$5, 0)</f>
        <v/>
      </c>
      <c r="P642" s="10" t="inlineStr">
        <is>
          <t>Single Carrier (Band n50, 100MHz TDD)</t>
        </is>
      </c>
      <c r="Q642" s="13">
        <f>ROUNDUP(O642/'Methodology &amp; Assumptions'!$B$6, 0)</f>
        <v/>
      </c>
      <c r="R642" s="13" t="n">
        <v>1</v>
      </c>
      <c r="S642" s="14" t="n">
        <v>21.22</v>
      </c>
      <c r="T642" s="14" t="n">
        <v>21.02</v>
      </c>
      <c r="U642" s="26">
        <f>IF(X642&gt;='Methodology &amp; Assumptions'!$B$7, "Tier 1 Critical GIDA (Score ≥ 50.0)", IF(X642&gt;='Methodology &amp; Assumptions'!$B$8, "Tier 2 High GIDA (Score 40.0–49.9)", "Tier 3 Moderate GIDA (Score &lt; 40.0)"))</f>
        <v/>
      </c>
      <c r="V642" s="26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W642" s="28" t="n">
        <v>0.109</v>
      </c>
      <c r="X642" s="14" t="n">
        <v>52.91</v>
      </c>
      <c r="Y642" s="14">
        <f>ROUND(MIN(100, (X642/69.91)*100), 2)</f>
        <v/>
      </c>
    </row>
    <row r="643">
      <c r="A643" s="10" t="n">
        <v>1</v>
      </c>
      <c r="B643" s="10" t="n">
        <v>639</v>
      </c>
      <c r="C643" s="10" t="n">
        <v>639</v>
      </c>
      <c r="D643" s="10" t="inlineStr">
        <is>
          <t>1705313006</t>
        </is>
      </c>
      <c r="E643" s="26" t="inlineStr">
        <is>
          <t>MIMAROPA Region</t>
        </is>
      </c>
      <c r="F643" s="26" t="inlineStr">
        <is>
          <t>Palawan</t>
        </is>
      </c>
      <c r="G643" s="26" t="inlineStr">
        <is>
          <t>Linapacan</t>
        </is>
      </c>
      <c r="H643" s="26" t="inlineStr">
        <is>
          <t>Maroyogroyog</t>
        </is>
      </c>
      <c r="I643" s="27" t="n">
        <v>11.471416</v>
      </c>
      <c r="J643" s="27" t="n">
        <v>119.77252</v>
      </c>
      <c r="K643" s="10" t="inlineStr">
        <is>
          <t>R</t>
        </is>
      </c>
      <c r="L643" s="12" t="n">
        <v>2160</v>
      </c>
      <c r="M643" s="14" t="n">
        <v>3.9</v>
      </c>
      <c r="N643" s="12">
        <f>ROUND(L643/M643, 0)</f>
        <v/>
      </c>
      <c r="O643" s="12">
        <f>ROUND(N643*'Methodology &amp; Assumptions'!$B$5, 0)</f>
        <v/>
      </c>
      <c r="P643" s="10" t="inlineStr">
        <is>
          <t>Single Carrier (Band n50, 100MHz TDD)</t>
        </is>
      </c>
      <c r="Q643" s="13">
        <f>ROUNDUP(O643/'Methodology &amp; Assumptions'!$B$6, 0)</f>
        <v/>
      </c>
      <c r="R643" s="13" t="n">
        <v>1</v>
      </c>
      <c r="S643" s="14" t="n">
        <v>29.94</v>
      </c>
      <c r="T643" s="14" t="n">
        <v>77.70999999999999</v>
      </c>
      <c r="U643" s="26">
        <f>IF(X643&gt;='Methodology &amp; Assumptions'!$B$7, "Tier 1 Critical GIDA (Score ≥ 50.0)", IF(X643&gt;='Methodology &amp; Assumptions'!$B$8, "Tier 2 High GIDA (Score 40.0–49.9)", "Tier 3 Moderate GIDA (Score &lt; 40.0)"))</f>
        <v/>
      </c>
      <c r="V643" s="26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W643" s="28" t="n">
        <v>0.15</v>
      </c>
      <c r="X643" s="14" t="n">
        <v>52.91</v>
      </c>
      <c r="Y643" s="14">
        <f>ROUND(MIN(100, (X643/69.91)*100), 2)</f>
        <v/>
      </c>
    </row>
    <row r="644">
      <c r="A644" s="10" t="n">
        <v>1</v>
      </c>
      <c r="B644" s="10" t="n">
        <v>640</v>
      </c>
      <c r="C644" s="10" t="n">
        <v>640</v>
      </c>
      <c r="D644" s="10" t="inlineStr">
        <is>
          <t>1380601017</t>
        </is>
      </c>
      <c r="E644" s="26" t="inlineStr">
        <is>
          <t>National Capital Region (NCR)</t>
        </is>
      </c>
      <c r="F644" s="26" t="inlineStr">
        <is>
          <t>First District (Not a Province)</t>
        </is>
      </c>
      <c r="G644" s="26" t="inlineStr">
        <is>
          <t>City of Manila</t>
        </is>
      </c>
      <c r="H644" s="26" t="inlineStr">
        <is>
          <t>Barangay 17</t>
        </is>
      </c>
      <c r="I644" s="27" t="n">
        <v>12.930595</v>
      </c>
      <c r="J644" s="27" t="n">
        <v>121.874292</v>
      </c>
      <c r="K644" s="10" t="inlineStr">
        <is>
          <t>U</t>
        </is>
      </c>
      <c r="L644" s="12" t="n">
        <v>1212</v>
      </c>
      <c r="M644" s="14" t="n">
        <v>3.9</v>
      </c>
      <c r="N644" s="12">
        <f>ROUND(L644/M644, 0)</f>
        <v/>
      </c>
      <c r="O644" s="12">
        <f>ROUND(N644*'Methodology &amp; Assumptions'!$B$5, 0)</f>
        <v/>
      </c>
      <c r="P644" s="10" t="inlineStr">
        <is>
          <t>Single Carrier (Band n50, 100MHz TDD)</t>
        </is>
      </c>
      <c r="Q644" s="13">
        <f>ROUNDUP(O644/'Methodology &amp; Assumptions'!$B$6, 0)</f>
        <v/>
      </c>
      <c r="R644" s="13" t="n">
        <v>1</v>
      </c>
      <c r="S644" s="14" t="n">
        <v>42.51</v>
      </c>
      <c r="T644" s="14" t="n">
        <v>43.09</v>
      </c>
      <c r="U644" s="26">
        <f>IF(X644&gt;='Methodology &amp; Assumptions'!$B$7, "Tier 1 Critical GIDA (Score ≥ 50.0)", IF(X644&gt;='Methodology &amp; Assumptions'!$B$8, "Tier 2 High GIDA (Score 40.0–49.9)", "Tier 3 Moderate GIDA (Score &lt; 40.0)"))</f>
        <v/>
      </c>
      <c r="V644" s="26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W644" s="28" t="n">
        <v>0.109</v>
      </c>
      <c r="X644" s="14" t="n">
        <v>52.9</v>
      </c>
      <c r="Y644" s="14">
        <f>ROUND(MIN(100, (X644/69.91)*100), 2)</f>
        <v/>
      </c>
    </row>
    <row r="645">
      <c r="A645" s="10" t="n">
        <v>1</v>
      </c>
      <c r="B645" s="10" t="n">
        <v>641</v>
      </c>
      <c r="C645" s="10" t="n">
        <v>641</v>
      </c>
      <c r="D645" s="10" t="inlineStr">
        <is>
          <t>PH0000641</t>
        </is>
      </c>
      <c r="E645" s="26" t="inlineStr">
        <is>
          <t>NIR</t>
        </is>
      </c>
      <c r="F645" s="26" t="inlineStr">
        <is>
          <t>Negros Occidental</t>
        </is>
      </c>
      <c r="G645" s="26" t="inlineStr">
        <is>
          <t>Bacolod City</t>
        </is>
      </c>
      <c r="H645" s="26" t="inlineStr">
        <is>
          <t>Barangay 31 (Pob.)</t>
        </is>
      </c>
      <c r="I645" s="27" t="n">
        <v>10.662712</v>
      </c>
      <c r="J645" s="27" t="n">
        <v>122.954146</v>
      </c>
      <c r="K645" s="10" t="inlineStr">
        <is>
          <t>R</t>
        </is>
      </c>
      <c r="L645" s="12" t="n">
        <v>2279</v>
      </c>
      <c r="M645" s="14" t="n">
        <v>3.8</v>
      </c>
      <c r="N645" s="12">
        <f>ROUND(L645/M645, 0)</f>
        <v/>
      </c>
      <c r="O645" s="12">
        <f>ROUND(N645*'Methodology &amp; Assumptions'!$B$5, 0)</f>
        <v/>
      </c>
      <c r="P645" s="10" t="inlineStr">
        <is>
          <t>Single Carrier (Band n50, 100MHz TDD)</t>
        </is>
      </c>
      <c r="Q645" s="13">
        <f>ROUNDUP(O645/'Methodology &amp; Assumptions'!$B$6, 0)</f>
        <v/>
      </c>
      <c r="R645" s="13" t="n">
        <v>1</v>
      </c>
      <c r="S645" s="14" t="n">
        <v>0.5</v>
      </c>
      <c r="T645" s="14" t="n">
        <v>0.67</v>
      </c>
      <c r="U645" s="26">
        <f>IF(X645&gt;='Methodology &amp; Assumptions'!$B$7, "Tier 1 Critical GIDA (Score ≥ 50.0)", IF(X645&gt;='Methodology &amp; Assumptions'!$B$8, "Tier 2 High GIDA (Score 40.0–49.9)", "Tier 3 Moderate GIDA (Score &lt; 40.0)"))</f>
        <v/>
      </c>
      <c r="V645" s="26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W645" s="28" t="n">
        <v>0.109</v>
      </c>
      <c r="X645" s="14" t="n">
        <v>52.89</v>
      </c>
      <c r="Y645" s="14">
        <f>ROUND(MIN(100, (X645/69.91)*100), 2)</f>
        <v/>
      </c>
    </row>
    <row r="646">
      <c r="A646" s="10" t="n">
        <v>1</v>
      </c>
      <c r="B646" s="10" t="n">
        <v>642</v>
      </c>
      <c r="C646" s="10" t="n">
        <v>642</v>
      </c>
      <c r="D646" s="10" t="inlineStr">
        <is>
          <t>1108202022</t>
        </is>
      </c>
      <c r="E646" s="26" t="inlineStr">
        <is>
          <t>Region XI (Davao Region)</t>
        </is>
      </c>
      <c r="F646" s="26" t="inlineStr">
        <is>
          <t>Davao de Oro</t>
        </is>
      </c>
      <c r="G646" s="26" t="inlineStr">
        <is>
          <t>Laak</t>
        </is>
      </c>
      <c r="H646" s="26" t="inlineStr">
        <is>
          <t>Bullucan</t>
        </is>
      </c>
      <c r="I646" s="27" t="n">
        <v>7.860368</v>
      </c>
      <c r="J646" s="27" t="n">
        <v>125.809424</v>
      </c>
      <c r="K646" s="10" t="inlineStr">
        <is>
          <t>R</t>
        </is>
      </c>
      <c r="L646" s="12" t="n">
        <v>1345</v>
      </c>
      <c r="M646" s="14" t="n">
        <v>3.7</v>
      </c>
      <c r="N646" s="12">
        <f>ROUND(L646/M646, 0)</f>
        <v/>
      </c>
      <c r="O646" s="12">
        <f>ROUND(N646*'Methodology &amp; Assumptions'!$B$5, 0)</f>
        <v/>
      </c>
      <c r="P646" s="10" t="inlineStr">
        <is>
          <t>Single Carrier (Band n50, 100MHz TDD)</t>
        </is>
      </c>
      <c r="Q646" s="13">
        <f>ROUNDUP(O646/'Methodology &amp; Assumptions'!$B$6, 0)</f>
        <v/>
      </c>
      <c r="R646" s="13" t="n">
        <v>1</v>
      </c>
      <c r="S646" s="14" t="n">
        <v>27.43</v>
      </c>
      <c r="T646" s="14" t="n">
        <v>24.65</v>
      </c>
      <c r="U646" s="26">
        <f>IF(X646&gt;='Methodology &amp; Assumptions'!$B$7, "Tier 1 Critical GIDA (Score ≥ 50.0)", IF(X646&gt;='Methodology &amp; Assumptions'!$B$8, "Tier 2 High GIDA (Score 40.0–49.9)", "Tier 3 Moderate GIDA (Score &lt; 40.0)"))</f>
        <v/>
      </c>
      <c r="V646" s="26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W646" s="28" t="n">
        <v>0.174</v>
      </c>
      <c r="X646" s="14" t="n">
        <v>52.88</v>
      </c>
      <c r="Y646" s="14">
        <f>ROUND(MIN(100, (X646/69.91)*100), 2)</f>
        <v/>
      </c>
    </row>
    <row r="647">
      <c r="A647" s="10" t="n">
        <v>1</v>
      </c>
      <c r="B647" s="10" t="n">
        <v>643</v>
      </c>
      <c r="C647" s="10" t="n">
        <v>643</v>
      </c>
      <c r="D647" s="10" t="inlineStr">
        <is>
          <t>1903613049</t>
        </is>
      </c>
      <c r="E647" s="26" t="inlineStr">
        <is>
          <t>Bangsamoro Autonomous Region In Muslim Mindanao (BARMM)</t>
        </is>
      </c>
      <c r="F647" s="26" t="inlineStr">
        <is>
          <t>Lanao del Sur</t>
        </is>
      </c>
      <c r="G647" s="26" t="inlineStr">
        <is>
          <t>Madalum</t>
        </is>
      </c>
      <c r="H647" s="26" t="inlineStr">
        <is>
          <t>Bacayawan</t>
        </is>
      </c>
      <c r="I647" s="27" t="n">
        <v>17.25098</v>
      </c>
      <c r="J647" s="27" t="n">
        <v>122.232174</v>
      </c>
      <c r="K647" s="10" t="inlineStr">
        <is>
          <t>R</t>
        </is>
      </c>
      <c r="L647" s="12" t="n">
        <v>576</v>
      </c>
      <c r="M647" s="14" t="n">
        <v>5.7</v>
      </c>
      <c r="N647" s="12">
        <f>ROUND(L647/M647, 0)</f>
        <v/>
      </c>
      <c r="O647" s="12">
        <f>ROUND(N647*'Methodology &amp; Assumptions'!$B$5, 0)</f>
        <v/>
      </c>
      <c r="P647" s="10" t="inlineStr">
        <is>
          <t>Single Carrier (Band n50, 100MHz TDD)</t>
        </is>
      </c>
      <c r="Q647" s="13">
        <f>ROUNDUP(O647/'Methodology &amp; Assumptions'!$B$6, 0)</f>
        <v/>
      </c>
      <c r="R647" s="13" t="n">
        <v>1</v>
      </c>
      <c r="S647" s="14" t="n">
        <v>29.41</v>
      </c>
      <c r="T647" s="14" t="n">
        <v>34.51</v>
      </c>
      <c r="U647" s="26">
        <f>IF(X647&gt;='Methodology &amp; Assumptions'!$B$7, "Tier 1 Critical GIDA (Score ≥ 50.0)", IF(X647&gt;='Methodology &amp; Assumptions'!$B$8, "Tier 2 High GIDA (Score 40.0–49.9)", "Tier 3 Moderate GIDA (Score &lt; 40.0)"))</f>
        <v/>
      </c>
      <c r="V647" s="26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W647" s="28" t="n">
        <v>0.11</v>
      </c>
      <c r="X647" s="14" t="n">
        <v>52.88</v>
      </c>
      <c r="Y647" s="14">
        <f>ROUND(MIN(100, (X647/69.91)*100), 2)</f>
        <v/>
      </c>
    </row>
    <row r="648">
      <c r="A648" s="10" t="n">
        <v>1</v>
      </c>
      <c r="B648" s="10" t="n">
        <v>644</v>
      </c>
      <c r="C648" s="10" t="n">
        <v>644</v>
      </c>
      <c r="D648" s="10" t="inlineStr">
        <is>
          <t>0405606011</t>
        </is>
      </c>
      <c r="E648" s="26" t="inlineStr">
        <is>
          <t>Region IV-A (CALABARZON)</t>
        </is>
      </c>
      <c r="F648" s="26" t="inlineStr">
        <is>
          <t>Quezon</t>
        </is>
      </c>
      <c r="G648" s="26" t="inlineStr">
        <is>
          <t>Burdeos</t>
        </is>
      </c>
      <c r="H648" s="26" t="inlineStr">
        <is>
          <t>Palasan</t>
        </is>
      </c>
      <c r="I648" s="27" t="n">
        <v>14.853197</v>
      </c>
      <c r="J648" s="27" t="n">
        <v>122.050173</v>
      </c>
      <c r="K648" s="10" t="inlineStr">
        <is>
          <t>R</t>
        </is>
      </c>
      <c r="L648" s="12" t="n">
        <v>1151</v>
      </c>
      <c r="M648" s="14" t="n">
        <v>3.8</v>
      </c>
      <c r="N648" s="12">
        <f>ROUND(L648/M648, 0)</f>
        <v/>
      </c>
      <c r="O648" s="12">
        <f>ROUND(N648*'Methodology &amp; Assumptions'!$B$5, 0)</f>
        <v/>
      </c>
      <c r="P648" s="10" t="inlineStr">
        <is>
          <t>Single Carrier (Band n50, 100MHz TDD)</t>
        </is>
      </c>
      <c r="Q648" s="13">
        <f>ROUNDUP(O648/'Methodology &amp; Assumptions'!$B$6, 0)</f>
        <v/>
      </c>
      <c r="R648" s="13" t="n">
        <v>1</v>
      </c>
      <c r="S648" s="14" t="n">
        <v>42.78</v>
      </c>
      <c r="T648" s="14" t="n">
        <v>78.78</v>
      </c>
      <c r="U648" s="26">
        <f>IF(X648&gt;='Methodology &amp; Assumptions'!$B$7, "Tier 1 Critical GIDA (Score ≥ 50.0)", IF(X648&gt;='Methodology &amp; Assumptions'!$B$8, "Tier 2 High GIDA (Score 40.0–49.9)", "Tier 3 Moderate GIDA (Score &lt; 40.0)"))</f>
        <v/>
      </c>
      <c r="V648" s="26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W648" s="28" t="n">
        <v>0.07200000000000001</v>
      </c>
      <c r="X648" s="14" t="n">
        <v>52.88</v>
      </c>
      <c r="Y648" s="14">
        <f>ROUND(MIN(100, (X648/69.91)*100), 2)</f>
        <v/>
      </c>
    </row>
    <row r="649">
      <c r="A649" s="10" t="n">
        <v>1</v>
      </c>
      <c r="B649" s="10" t="n">
        <v>645</v>
      </c>
      <c r="C649" s="10" t="n">
        <v>645</v>
      </c>
      <c r="D649" s="10" t="inlineStr">
        <is>
          <t>1380601121</t>
        </is>
      </c>
      <c r="E649" s="26" t="inlineStr">
        <is>
          <t>National Capital Region (NCR)</t>
        </is>
      </c>
      <c r="F649" s="26" t="inlineStr">
        <is>
          <t>First District (Not a Province)</t>
        </is>
      </c>
      <c r="G649" s="26" t="inlineStr">
        <is>
          <t>City of Manila</t>
        </is>
      </c>
      <c r="H649" s="26" t="inlineStr">
        <is>
          <t>Barangay 121</t>
        </is>
      </c>
      <c r="I649" s="27" t="n">
        <v>12.774857</v>
      </c>
      <c r="J649" s="27" t="n">
        <v>121.734855</v>
      </c>
      <c r="K649" s="10" t="inlineStr">
        <is>
          <t>U</t>
        </is>
      </c>
      <c r="L649" s="12" t="n">
        <v>4648</v>
      </c>
      <c r="M649" s="14" t="n">
        <v>3.9</v>
      </c>
      <c r="N649" s="12">
        <f>ROUND(L649/M649, 0)</f>
        <v/>
      </c>
      <c r="O649" s="12">
        <f>ROUND(N649*'Methodology &amp; Assumptions'!$B$5, 0)</f>
        <v/>
      </c>
      <c r="P649" s="10" t="inlineStr">
        <is>
          <t>Single Carrier (Band n50, 100MHz TDD)</t>
        </is>
      </c>
      <c r="Q649" s="13">
        <f>ROUNDUP(O649/'Methodology &amp; Assumptions'!$B$6, 0)</f>
        <v/>
      </c>
      <c r="R649" s="13" t="n">
        <v>1</v>
      </c>
      <c r="S649" s="14" t="n">
        <v>27.06</v>
      </c>
      <c r="T649" s="14" t="n">
        <v>27.02</v>
      </c>
      <c r="U649" s="26">
        <f>IF(X649&gt;='Methodology &amp; Assumptions'!$B$7, "Tier 1 Critical GIDA (Score ≥ 50.0)", IF(X649&gt;='Methodology &amp; Assumptions'!$B$8, "Tier 2 High GIDA (Score 40.0–49.9)", "Tier 3 Moderate GIDA (Score &lt; 40.0)"))</f>
        <v/>
      </c>
      <c r="V649" s="26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W649" s="28" t="n">
        <v>0.109</v>
      </c>
      <c r="X649" s="14" t="n">
        <v>52.88</v>
      </c>
      <c r="Y649" s="14">
        <f>ROUND(MIN(100, (X649/69.91)*100), 2)</f>
        <v/>
      </c>
    </row>
    <row r="650">
      <c r="A650" s="10" t="n">
        <v>1</v>
      </c>
      <c r="B650" s="10" t="n">
        <v>646</v>
      </c>
      <c r="C650" s="10" t="n">
        <v>646</v>
      </c>
      <c r="D650" s="10" t="inlineStr">
        <is>
          <t>0600409009</t>
        </is>
      </c>
      <c r="E650" s="26" t="inlineStr">
        <is>
          <t>Region VI (Western Visayas)</t>
        </is>
      </c>
      <c r="F650" s="26" t="inlineStr">
        <is>
          <t>Aklan</t>
        </is>
      </c>
      <c r="G650" s="26" t="inlineStr">
        <is>
          <t>Libacao</t>
        </is>
      </c>
      <c r="H650" s="26" t="inlineStr">
        <is>
          <t>Dalagsa-an</t>
        </is>
      </c>
      <c r="I650" s="27" t="n">
        <v>11.280152</v>
      </c>
      <c r="J650" s="27" t="n">
        <v>122.272105</v>
      </c>
      <c r="K650" s="10" t="inlineStr">
        <is>
          <t>R</t>
        </is>
      </c>
      <c r="L650" s="12" t="n">
        <v>2150</v>
      </c>
      <c r="M650" s="14" t="n">
        <v>3.9</v>
      </c>
      <c r="N650" s="12">
        <f>ROUND(L650/M650, 0)</f>
        <v/>
      </c>
      <c r="O650" s="12">
        <f>ROUND(N650*'Methodology &amp; Assumptions'!$B$5, 0)</f>
        <v/>
      </c>
      <c r="P650" s="10" t="inlineStr">
        <is>
          <t>Single Carrier (Band n50, 100MHz TDD)</t>
        </is>
      </c>
      <c r="Q650" s="13">
        <f>ROUNDUP(O650/'Methodology &amp; Assumptions'!$B$6, 0)</f>
        <v/>
      </c>
      <c r="R650" s="13" t="n">
        <v>1</v>
      </c>
      <c r="S650" s="14" t="n">
        <v>32.8</v>
      </c>
      <c r="T650" s="14" t="n">
        <v>31.46</v>
      </c>
      <c r="U650" s="26">
        <f>IF(X650&gt;='Methodology &amp; Assumptions'!$B$7, "Tier 1 Critical GIDA (Score ≥ 50.0)", IF(X650&gt;='Methodology &amp; Assumptions'!$B$8, "Tier 2 High GIDA (Score 40.0–49.9)", "Tier 3 Moderate GIDA (Score &lt; 40.0)"))</f>
        <v/>
      </c>
      <c r="V650" s="26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W650" s="28" t="n">
        <v>0.237</v>
      </c>
      <c r="X650" s="14" t="n">
        <v>52.88</v>
      </c>
      <c r="Y650" s="14">
        <f>ROUND(MIN(100, (X650/69.91)*100), 2)</f>
        <v/>
      </c>
    </row>
    <row r="651">
      <c r="A651" s="10" t="n">
        <v>1</v>
      </c>
      <c r="B651" s="10" t="n">
        <v>647</v>
      </c>
      <c r="C651" s="10" t="n">
        <v>647</v>
      </c>
      <c r="D651" s="10" t="inlineStr">
        <is>
          <t>1380601016</t>
        </is>
      </c>
      <c r="E651" s="26" t="inlineStr">
        <is>
          <t>National Capital Region (NCR)</t>
        </is>
      </c>
      <c r="F651" s="26" t="inlineStr">
        <is>
          <t>First District (Not a Province)</t>
        </is>
      </c>
      <c r="G651" s="26" t="inlineStr">
        <is>
          <t>City of Manila</t>
        </is>
      </c>
      <c r="H651" s="26" t="inlineStr">
        <is>
          <t>Barangay 16</t>
        </is>
      </c>
      <c r="I651" s="27" t="n">
        <v>12.984026</v>
      </c>
      <c r="J651" s="27" t="n">
        <v>121.729671</v>
      </c>
      <c r="K651" s="10" t="inlineStr">
        <is>
          <t>U</t>
        </is>
      </c>
      <c r="L651" s="12" t="n">
        <v>1522</v>
      </c>
      <c r="M651" s="14" t="n">
        <v>3.9</v>
      </c>
      <c r="N651" s="12">
        <f>ROUND(L651/M651, 0)</f>
        <v/>
      </c>
      <c r="O651" s="12">
        <f>ROUND(N651*'Methodology &amp; Assumptions'!$B$5, 0)</f>
        <v/>
      </c>
      <c r="P651" s="10" t="inlineStr">
        <is>
          <t>Single Carrier (Band n50, 100MHz TDD)</t>
        </is>
      </c>
      <c r="Q651" s="13">
        <f>ROUNDUP(O651/'Methodology &amp; Assumptions'!$B$6, 0)</f>
        <v/>
      </c>
      <c r="R651" s="13" t="n">
        <v>1</v>
      </c>
      <c r="S651" s="14" t="n">
        <v>25.75</v>
      </c>
      <c r="T651" s="14" t="n">
        <v>27.24</v>
      </c>
      <c r="U651" s="26">
        <f>IF(X651&gt;='Methodology &amp; Assumptions'!$B$7, "Tier 1 Critical GIDA (Score ≥ 50.0)", IF(X651&gt;='Methodology &amp; Assumptions'!$B$8, "Tier 2 High GIDA (Score 40.0–49.9)", "Tier 3 Moderate GIDA (Score &lt; 40.0)"))</f>
        <v/>
      </c>
      <c r="V651" s="26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W651" s="28" t="n">
        <v>0.109</v>
      </c>
      <c r="X651" s="14" t="n">
        <v>52.87</v>
      </c>
      <c r="Y651" s="14">
        <f>ROUND(MIN(100, (X651/69.91)*100), 2)</f>
        <v/>
      </c>
    </row>
    <row r="652">
      <c r="A652" s="10" t="n">
        <v>1</v>
      </c>
      <c r="B652" s="10" t="n">
        <v>648</v>
      </c>
      <c r="C652" s="10" t="n">
        <v>648</v>
      </c>
      <c r="D652" s="10" t="inlineStr">
        <is>
          <t>0205001009</t>
        </is>
      </c>
      <c r="E652" s="26" t="inlineStr">
        <is>
          <t>Region II (Cagayan Valley)</t>
        </is>
      </c>
      <c r="F652" s="26" t="inlineStr">
        <is>
          <t>Nueva Vizcaya</t>
        </is>
      </c>
      <c r="G652" s="26" t="inlineStr">
        <is>
          <t>Ambaguio</t>
        </is>
      </c>
      <c r="H652" s="26" t="inlineStr">
        <is>
          <t>Tiblac</t>
        </is>
      </c>
      <c r="I652" s="27" t="n">
        <v>16.52007</v>
      </c>
      <c r="J652" s="27" t="n">
        <v>121.07626</v>
      </c>
      <c r="K652" s="10" t="inlineStr">
        <is>
          <t>R</t>
        </is>
      </c>
      <c r="L652" s="12" t="n">
        <v>2624</v>
      </c>
      <c r="M652" s="14" t="n">
        <v>3.8</v>
      </c>
      <c r="N652" s="12">
        <f>ROUND(L652/M652, 0)</f>
        <v/>
      </c>
      <c r="O652" s="12">
        <f>ROUND(N652*'Methodology &amp; Assumptions'!$B$5, 0)</f>
        <v/>
      </c>
      <c r="P652" s="10" t="inlineStr">
        <is>
          <t>Single Carrier (Band n50, 100MHz TDD)</t>
        </is>
      </c>
      <c r="Q652" s="13">
        <f>ROUNDUP(O652/'Methodology &amp; Assumptions'!$B$6, 0)</f>
        <v/>
      </c>
      <c r="R652" s="13" t="n">
        <v>1</v>
      </c>
      <c r="S652" s="14" t="n">
        <v>8.359999999999999</v>
      </c>
      <c r="T652" s="14" t="n">
        <v>6.64</v>
      </c>
      <c r="U652" s="26">
        <f>IF(X652&gt;='Methodology &amp; Assumptions'!$B$7, "Tier 1 Critical GIDA (Score ≥ 50.0)", IF(X652&gt;='Methodology &amp; Assumptions'!$B$8, "Tier 2 High GIDA (Score 40.0–49.9)", "Tier 3 Moderate GIDA (Score &lt; 40.0)"))</f>
        <v/>
      </c>
      <c r="V652" s="26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W652" s="28" t="n">
        <v>0.083</v>
      </c>
      <c r="X652" s="14" t="n">
        <v>52.87</v>
      </c>
      <c r="Y652" s="14">
        <f>ROUND(MIN(100, (X652/69.91)*100), 2)</f>
        <v/>
      </c>
    </row>
    <row r="653">
      <c r="A653" s="10" t="n">
        <v>1</v>
      </c>
      <c r="B653" s="10" t="n">
        <v>649</v>
      </c>
      <c r="C653" s="10" t="n">
        <v>649</v>
      </c>
      <c r="D653" s="10" t="inlineStr">
        <is>
          <t>0600410007</t>
        </is>
      </c>
      <c r="E653" s="26" t="inlineStr">
        <is>
          <t>Region VI (Western Visayas)</t>
        </is>
      </c>
      <c r="F653" s="26" t="inlineStr">
        <is>
          <t>Aklan</t>
        </is>
      </c>
      <c r="G653" s="26" t="inlineStr">
        <is>
          <t>Madalag</t>
        </is>
      </c>
      <c r="H653" s="26" t="inlineStr">
        <is>
          <t>Catabana</t>
        </is>
      </c>
      <c r="I653" s="27" t="n">
        <v>11.539066</v>
      </c>
      <c r="J653" s="27" t="n">
        <v>122.302036</v>
      </c>
      <c r="K653" s="10" t="inlineStr">
        <is>
          <t>R</t>
        </is>
      </c>
      <c r="L653" s="12" t="n">
        <v>465</v>
      </c>
      <c r="M653" s="14" t="n">
        <v>3.9</v>
      </c>
      <c r="N653" s="12">
        <f>ROUND(L653/M653, 0)</f>
        <v/>
      </c>
      <c r="O653" s="12">
        <f>ROUND(N653*'Methodology &amp; Assumptions'!$B$5, 0)</f>
        <v/>
      </c>
      <c r="P653" s="10" t="inlineStr">
        <is>
          <t>Single Carrier (Band n50, 100MHz TDD)</t>
        </is>
      </c>
      <c r="Q653" s="13">
        <f>ROUNDUP(O653/'Methodology &amp; Assumptions'!$B$6, 0)</f>
        <v/>
      </c>
      <c r="R653" s="13" t="n">
        <v>1</v>
      </c>
      <c r="S653" s="14" t="n">
        <v>8.08</v>
      </c>
      <c r="T653" s="14" t="n">
        <v>7.35</v>
      </c>
      <c r="U653" s="26">
        <f>IF(X653&gt;='Methodology &amp; Assumptions'!$B$7, "Tier 1 Critical GIDA (Score ≥ 50.0)", IF(X653&gt;='Methodology &amp; Assumptions'!$B$8, "Tier 2 High GIDA (Score 40.0–49.9)", "Tier 3 Moderate GIDA (Score &lt; 40.0)"))</f>
        <v/>
      </c>
      <c r="V653" s="26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W653" s="28" t="n">
        <v>0.237</v>
      </c>
      <c r="X653" s="14" t="n">
        <v>52.87</v>
      </c>
      <c r="Y653" s="14">
        <f>ROUND(MIN(100, (X653/69.91)*100), 2)</f>
        <v/>
      </c>
    </row>
    <row r="654">
      <c r="A654" s="10" t="n">
        <v>1</v>
      </c>
      <c r="B654" s="10" t="n">
        <v>650</v>
      </c>
      <c r="C654" s="10" t="n">
        <v>650</v>
      </c>
      <c r="D654" s="10" t="inlineStr">
        <is>
          <t>PH0000650</t>
        </is>
      </c>
      <c r="E654" s="26" t="inlineStr">
        <is>
          <t>IV-A</t>
        </is>
      </c>
      <c r="F654" s="26" t="inlineStr">
        <is>
          <t>Laguna</t>
        </is>
      </c>
      <c r="G654" s="26" t="inlineStr">
        <is>
          <t>San Pablo City</t>
        </is>
      </c>
      <c r="H654" s="26" t="inlineStr">
        <is>
          <t>Barangay II-B (Pob.)</t>
        </is>
      </c>
      <c r="I654" s="27" t="n">
        <v>14.064762</v>
      </c>
      <c r="J654" s="27" t="n">
        <v>121.321464</v>
      </c>
      <c r="K654" s="10" t="inlineStr">
        <is>
          <t>R</t>
        </is>
      </c>
      <c r="L654" s="12" t="n">
        <v>2412</v>
      </c>
      <c r="M654" s="14" t="n">
        <v>3.3</v>
      </c>
      <c r="N654" s="12">
        <f>ROUND(L654/M654, 0)</f>
        <v/>
      </c>
      <c r="O654" s="12">
        <f>ROUND(N654*'Methodology &amp; Assumptions'!$B$5, 0)</f>
        <v/>
      </c>
      <c r="P654" s="10" t="inlineStr">
        <is>
          <t>Single Carrier (Band n50, 100MHz TDD)</t>
        </is>
      </c>
      <c r="Q654" s="13">
        <f>ROUNDUP(O654/'Methodology &amp; Assumptions'!$B$6, 0)</f>
        <v/>
      </c>
      <c r="R654" s="13" t="n">
        <v>1</v>
      </c>
      <c r="S654" s="14" t="n">
        <v>1.06</v>
      </c>
      <c r="T654" s="14" t="n">
        <v>0.2</v>
      </c>
      <c r="U654" s="26">
        <f>IF(X654&gt;='Methodology &amp; Assumptions'!$B$7, "Tier 1 Critical GIDA (Score ≥ 50.0)", IF(X654&gt;='Methodology &amp; Assumptions'!$B$8, "Tier 2 High GIDA (Score 40.0–49.9)", "Tier 3 Moderate GIDA (Score &lt; 40.0)"))</f>
        <v/>
      </c>
      <c r="V654" s="26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W654" s="28" t="n">
        <v>0.07200000000000001</v>
      </c>
      <c r="X654" s="14" t="n">
        <v>52.87</v>
      </c>
      <c r="Y654" s="14">
        <f>ROUND(MIN(100, (X654/69.91)*100), 2)</f>
        <v/>
      </c>
    </row>
    <row r="655">
      <c r="A655" s="10" t="n">
        <v>1</v>
      </c>
      <c r="B655" s="10" t="n">
        <v>651</v>
      </c>
      <c r="C655" s="10" t="n">
        <v>651</v>
      </c>
      <c r="D655" s="10" t="inlineStr">
        <is>
          <t>PH0000651</t>
        </is>
      </c>
      <c r="E655" s="26" t="inlineStr">
        <is>
          <t>IV-B</t>
        </is>
      </c>
      <c r="F655" s="26" t="inlineStr">
        <is>
          <t>Palawan</t>
        </is>
      </c>
      <c r="G655" s="26" t="inlineStr">
        <is>
          <t>Puerto Princesa City</t>
        </is>
      </c>
      <c r="H655" s="26" t="inlineStr">
        <is>
          <t>Matahimik (Pob.)</t>
        </is>
      </c>
      <c r="I655" s="27" t="n">
        <v>9.868922</v>
      </c>
      <c r="J655" s="27" t="n">
        <v>118.773743</v>
      </c>
      <c r="K655" s="10" t="inlineStr">
        <is>
          <t>R</t>
        </is>
      </c>
      <c r="L655" s="12" t="n">
        <v>2597</v>
      </c>
      <c r="M655" s="14" t="n">
        <v>3.9</v>
      </c>
      <c r="N655" s="12">
        <f>ROUND(L655/M655, 0)</f>
        <v/>
      </c>
      <c r="O655" s="12">
        <f>ROUND(N655*'Methodology &amp; Assumptions'!$B$5, 0)</f>
        <v/>
      </c>
      <c r="P655" s="10" t="inlineStr">
        <is>
          <t>Single Carrier (Band n50, 100MHz TDD)</t>
        </is>
      </c>
      <c r="Q655" s="13">
        <f>ROUNDUP(O655/'Methodology &amp; Assumptions'!$B$6, 0)</f>
        <v/>
      </c>
      <c r="R655" s="13" t="n">
        <v>1</v>
      </c>
      <c r="S655" s="14" t="n">
        <v>5.3</v>
      </c>
      <c r="T655" s="14" t="n">
        <v>4.1</v>
      </c>
      <c r="U655" s="26">
        <f>IF(X655&gt;='Methodology &amp; Assumptions'!$B$7, "Tier 1 Critical GIDA (Score ≥ 50.0)", IF(X655&gt;='Methodology &amp; Assumptions'!$B$8, "Tier 2 High GIDA (Score 40.0–49.9)", "Tier 3 Moderate GIDA (Score &lt; 40.0)"))</f>
        <v/>
      </c>
      <c r="V655" s="26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W655" s="28" t="n">
        <v>0.109</v>
      </c>
      <c r="X655" s="14" t="n">
        <v>52.86</v>
      </c>
      <c r="Y655" s="14">
        <f>ROUND(MIN(100, (X655/69.91)*100), 2)</f>
        <v/>
      </c>
    </row>
    <row r="656">
      <c r="A656" s="10" t="n">
        <v>1</v>
      </c>
      <c r="B656" s="10" t="n">
        <v>652</v>
      </c>
      <c r="C656" s="10" t="n">
        <v>652</v>
      </c>
      <c r="D656" s="10" t="inlineStr">
        <is>
          <t>0600612023</t>
        </is>
      </c>
      <c r="E656" s="26" t="inlineStr">
        <is>
          <t>Region VI (Western Visayas)</t>
        </is>
      </c>
      <c r="F656" s="26" t="inlineStr">
        <is>
          <t>Antique</t>
        </is>
      </c>
      <c r="G656" s="26" t="inlineStr">
        <is>
          <t>Patnongon</t>
        </is>
      </c>
      <c r="H656" s="26" t="inlineStr">
        <is>
          <t>Quezon</t>
        </is>
      </c>
      <c r="I656" s="27" t="n">
        <v>10.933306</v>
      </c>
      <c r="J656" s="27" t="n">
        <v>122.080722</v>
      </c>
      <c r="K656" s="10" t="inlineStr">
        <is>
          <t>R</t>
        </is>
      </c>
      <c r="L656" s="12" t="n">
        <v>319</v>
      </c>
      <c r="M656" s="14" t="n">
        <v>3.9</v>
      </c>
      <c r="N656" s="12">
        <f>ROUND(L656/M656, 0)</f>
        <v/>
      </c>
      <c r="O656" s="12">
        <f>ROUND(N656*'Methodology &amp; Assumptions'!$B$5, 0)</f>
        <v/>
      </c>
      <c r="P656" s="10" t="inlineStr">
        <is>
          <t>Single Carrier (Band n50, 100MHz TDD)</t>
        </is>
      </c>
      <c r="Q656" s="13">
        <f>ROUNDUP(O656/'Methodology &amp; Assumptions'!$B$6, 0)</f>
        <v/>
      </c>
      <c r="R656" s="13" t="n">
        <v>1</v>
      </c>
      <c r="S656" s="14" t="n">
        <v>24.59</v>
      </c>
      <c r="T656" s="14" t="n">
        <v>17.42</v>
      </c>
      <c r="U656" s="26">
        <f>IF(X656&gt;='Methodology &amp; Assumptions'!$B$7, "Tier 1 Critical GIDA (Score ≥ 50.0)", IF(X656&gt;='Methodology &amp; Assumptions'!$B$8, "Tier 2 High GIDA (Score 40.0–49.9)", "Tier 3 Moderate GIDA (Score &lt; 40.0)"))</f>
        <v/>
      </c>
      <c r="V656" s="26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W656" s="28" t="n">
        <v>0.237</v>
      </c>
      <c r="X656" s="14" t="n">
        <v>52.86</v>
      </c>
      <c r="Y656" s="14">
        <f>ROUND(MIN(100, (X656/69.91)*100), 2)</f>
        <v/>
      </c>
    </row>
    <row r="657">
      <c r="A657" s="10" t="n">
        <v>1</v>
      </c>
      <c r="B657" s="10" t="n">
        <v>653</v>
      </c>
      <c r="C657" s="10" t="n">
        <v>653</v>
      </c>
      <c r="D657" s="10" t="inlineStr">
        <is>
          <t>1380400015</t>
        </is>
      </c>
      <c r="E657" s="26" t="inlineStr">
        <is>
          <t>National Capital Region (NCR)</t>
        </is>
      </c>
      <c r="F657" s="26" t="inlineStr">
        <is>
          <t>Third District (Not a Province)</t>
        </is>
      </c>
      <c r="G657" s="26" t="inlineStr">
        <is>
          <t>City of Malabon</t>
        </is>
      </c>
      <c r="H657" s="26" t="inlineStr">
        <is>
          <t>Potrero</t>
        </is>
      </c>
      <c r="I657" s="27" t="n">
        <v>14.66951</v>
      </c>
      <c r="J657" s="27" t="n">
        <v>120.997951</v>
      </c>
      <c r="K657" s="10" t="inlineStr">
        <is>
          <t>U</t>
        </is>
      </c>
      <c r="L657" s="12" t="n">
        <v>43357</v>
      </c>
      <c r="M657" s="14" t="n">
        <v>3.7</v>
      </c>
      <c r="N657" s="12">
        <f>ROUND(L657/M657, 0)</f>
        <v/>
      </c>
      <c r="O657" s="12">
        <f>ROUND(N657*'Methodology &amp; Assumptions'!$B$5, 0)</f>
        <v/>
      </c>
      <c r="P657" s="10" t="inlineStr">
        <is>
          <t>Single Carrier (Band n50, 100MHz TDD)</t>
        </is>
      </c>
      <c r="Q657" s="13">
        <f>ROUNDUP(O657/'Methodology &amp; Assumptions'!$B$6, 0)</f>
        <v/>
      </c>
      <c r="R657" s="13" t="n">
        <v>1</v>
      </c>
      <c r="S657" s="14" t="n">
        <v>1.31</v>
      </c>
      <c r="T657" s="14" t="n">
        <v>0.6899999999999999</v>
      </c>
      <c r="U657" s="26">
        <f>IF(X657&gt;='Methodology &amp; Assumptions'!$B$7, "Tier 1 Critical GIDA (Score ≥ 50.0)", IF(X657&gt;='Methodology &amp; Assumptions'!$B$8, "Tier 2 High GIDA (Score 40.0–49.9)", "Tier 3 Moderate GIDA (Score &lt; 40.0)"))</f>
        <v/>
      </c>
      <c r="V657" s="26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W657" s="28" t="n">
        <v>0.109</v>
      </c>
      <c r="X657" s="14" t="n">
        <v>52.86</v>
      </c>
      <c r="Y657" s="14">
        <f>ROUND(MIN(100, (X657/69.91)*100), 2)</f>
        <v/>
      </c>
    </row>
    <row r="658">
      <c r="A658" s="10" t="n">
        <v>1</v>
      </c>
      <c r="B658" s="10" t="n">
        <v>654</v>
      </c>
      <c r="C658" s="10" t="n">
        <v>654</v>
      </c>
      <c r="D658" s="10" t="inlineStr">
        <is>
          <t>0806008010</t>
        </is>
      </c>
      <c r="E658" s="26" t="inlineStr">
        <is>
          <t>Region VIII (Eastern Visayas)</t>
        </is>
      </c>
      <c r="F658" s="26" t="inlineStr">
        <is>
          <t>Samar</t>
        </is>
      </c>
      <c r="G658" s="26" t="inlineStr">
        <is>
          <t>Hinabangan</t>
        </is>
      </c>
      <c r="H658" s="26" t="inlineStr">
        <is>
          <t>Osmeña</t>
        </is>
      </c>
      <c r="I658" s="27" t="n">
        <v>11.724012</v>
      </c>
      <c r="J658" s="27" t="n">
        <v>125.139192</v>
      </c>
      <c r="K658" s="10" t="inlineStr">
        <is>
          <t>R</t>
        </is>
      </c>
      <c r="L658" s="12" t="n">
        <v>492</v>
      </c>
      <c r="M658" s="14" t="n">
        <v>4.1</v>
      </c>
      <c r="N658" s="12">
        <f>ROUND(L658/M658, 0)</f>
        <v/>
      </c>
      <c r="O658" s="12">
        <f>ROUND(N658*'Methodology &amp; Assumptions'!$B$5, 0)</f>
        <v/>
      </c>
      <c r="P658" s="10" t="inlineStr">
        <is>
          <t>Single Carrier (Band n50, 100MHz TDD)</t>
        </is>
      </c>
      <c r="Q658" s="13">
        <f>ROUNDUP(O658/'Methodology &amp; Assumptions'!$B$6, 0)</f>
        <v/>
      </c>
      <c r="R658" s="13" t="n">
        <v>1</v>
      </c>
      <c r="S658" s="14" t="n">
        <v>55.89</v>
      </c>
      <c r="T658" s="14" t="n">
        <v>58.62</v>
      </c>
      <c r="U658" s="26">
        <f>IF(X658&gt;='Methodology &amp; Assumptions'!$B$7, "Tier 1 Critical GIDA (Score ≥ 50.0)", IF(X658&gt;='Methodology &amp; Assumptions'!$B$8, "Tier 2 High GIDA (Score 40.0–49.9)", "Tier 3 Moderate GIDA (Score &lt; 40.0)"))</f>
        <v/>
      </c>
      <c r="V658" s="26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W658" s="28" t="n">
        <v>0.237</v>
      </c>
      <c r="X658" s="14" t="n">
        <v>52.86</v>
      </c>
      <c r="Y658" s="14">
        <f>ROUND(MIN(100, (X658/69.91)*100), 2)</f>
        <v/>
      </c>
    </row>
    <row r="659">
      <c r="A659" s="10" t="n">
        <v>1</v>
      </c>
      <c r="B659" s="10" t="n">
        <v>655</v>
      </c>
      <c r="C659" s="10" t="n">
        <v>655</v>
      </c>
      <c r="D659" s="10" t="inlineStr">
        <is>
          <t>1903621012</t>
        </is>
      </c>
      <c r="E659" s="26" t="inlineStr">
        <is>
          <t>Bangsamoro Autonomous Region In Muslim Mindanao (BARMM)</t>
        </is>
      </c>
      <c r="F659" s="26" t="inlineStr">
        <is>
          <t>Lanao del Sur</t>
        </is>
      </c>
      <c r="G659" s="26" t="inlineStr">
        <is>
          <t>Piagapo</t>
        </is>
      </c>
      <c r="H659" s="26" t="inlineStr">
        <is>
          <t>Katumbacan</t>
        </is>
      </c>
      <c r="I659" s="27" t="n">
        <v>16.864765</v>
      </c>
      <c r="J659" s="27" t="n">
        <v>122.2608</v>
      </c>
      <c r="K659" s="10" t="inlineStr">
        <is>
          <t>R</t>
        </is>
      </c>
      <c r="L659" s="12" t="n">
        <v>744</v>
      </c>
      <c r="M659" s="14" t="n">
        <v>5.7</v>
      </c>
      <c r="N659" s="12">
        <f>ROUND(L659/M659, 0)</f>
        <v/>
      </c>
      <c r="O659" s="12">
        <f>ROUND(N659*'Methodology &amp; Assumptions'!$B$5, 0)</f>
        <v/>
      </c>
      <c r="P659" s="10" t="inlineStr">
        <is>
          <t>Single Carrier (Band n50, 100MHz TDD)</t>
        </is>
      </c>
      <c r="Q659" s="13">
        <f>ROUNDUP(O659/'Methodology &amp; Assumptions'!$B$6, 0)</f>
        <v/>
      </c>
      <c r="R659" s="13" t="n">
        <v>1</v>
      </c>
      <c r="S659" s="14" t="n">
        <v>29.57</v>
      </c>
      <c r="T659" s="14" t="n">
        <v>37.88</v>
      </c>
      <c r="U659" s="26">
        <f>IF(X659&gt;='Methodology &amp; Assumptions'!$B$7, "Tier 1 Critical GIDA (Score ≥ 50.0)", IF(X659&gt;='Methodology &amp; Assumptions'!$B$8, "Tier 2 High GIDA (Score 40.0–49.9)", "Tier 3 Moderate GIDA (Score &lt; 40.0)"))</f>
        <v/>
      </c>
      <c r="V659" s="26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W659" s="28" t="n">
        <v>0.11</v>
      </c>
      <c r="X659" s="14" t="n">
        <v>52.86</v>
      </c>
      <c r="Y659" s="14">
        <f>ROUND(MIN(100, (X659/69.91)*100), 2)</f>
        <v/>
      </c>
    </row>
    <row r="660">
      <c r="A660" s="10" t="n">
        <v>1</v>
      </c>
      <c r="B660" s="10" t="n">
        <v>656</v>
      </c>
      <c r="C660" s="10" t="n">
        <v>656</v>
      </c>
      <c r="D660" s="10" t="inlineStr">
        <is>
          <t>1903601024</t>
        </is>
      </c>
      <c r="E660" s="26" t="inlineStr">
        <is>
          <t>Bangsamoro Autonomous Region In Muslim Mindanao (BARMM)</t>
        </is>
      </c>
      <c r="F660" s="26" t="inlineStr">
        <is>
          <t>Lanao del Sur</t>
        </is>
      </c>
      <c r="G660" s="26" t="inlineStr">
        <is>
          <t>Bacolod-Kalawi</t>
        </is>
      </c>
      <c r="H660" s="26" t="inlineStr">
        <is>
          <t>Rorowan</t>
        </is>
      </c>
      <c r="I660" s="27" t="n">
        <v>17.254725</v>
      </c>
      <c r="J660" s="27" t="n">
        <v>122.228769</v>
      </c>
      <c r="K660" s="10" t="inlineStr">
        <is>
          <t>R</t>
        </is>
      </c>
      <c r="L660" s="12" t="n">
        <v>564</v>
      </c>
      <c r="M660" s="14" t="n">
        <v>5.7</v>
      </c>
      <c r="N660" s="12">
        <f>ROUND(L660/M660, 0)</f>
        <v/>
      </c>
      <c r="O660" s="12">
        <f>ROUND(N660*'Methodology &amp; Assumptions'!$B$5, 0)</f>
        <v/>
      </c>
      <c r="P660" s="10" t="inlineStr">
        <is>
          <t>Single Carrier (Band n50, 100MHz TDD)</t>
        </is>
      </c>
      <c r="Q660" s="13">
        <f>ROUNDUP(O660/'Methodology &amp; Assumptions'!$B$6, 0)</f>
        <v/>
      </c>
      <c r="R660" s="13" t="n">
        <v>1</v>
      </c>
      <c r="S660" s="14" t="n">
        <v>29.4</v>
      </c>
      <c r="T660" s="14" t="n">
        <v>34.28</v>
      </c>
      <c r="U660" s="26">
        <f>IF(X660&gt;='Methodology &amp; Assumptions'!$B$7, "Tier 1 Critical GIDA (Score ≥ 50.0)", IF(X660&gt;='Methodology &amp; Assumptions'!$B$8, "Tier 2 High GIDA (Score 40.0–49.9)", "Tier 3 Moderate GIDA (Score &lt; 40.0)"))</f>
        <v/>
      </c>
      <c r="V660" s="26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W660" s="28" t="n">
        <v>0.11</v>
      </c>
      <c r="X660" s="14" t="n">
        <v>52.85</v>
      </c>
      <c r="Y660" s="14">
        <f>ROUND(MIN(100, (X660/69.91)*100), 2)</f>
        <v/>
      </c>
    </row>
    <row r="661">
      <c r="A661" s="10" t="n">
        <v>1</v>
      </c>
      <c r="B661" s="10" t="n">
        <v>657</v>
      </c>
      <c r="C661" s="10" t="n">
        <v>657</v>
      </c>
      <c r="D661" s="10" t="inlineStr">
        <is>
          <t>1906611013</t>
        </is>
      </c>
      <c r="E661" s="26" t="inlineStr">
        <is>
          <t>Bangsamoro Autonomous Region In Muslim Mindanao (BARMM)</t>
        </is>
      </c>
      <c r="F661" s="26" t="inlineStr">
        <is>
          <t>Sulu</t>
        </is>
      </c>
      <c r="G661" s="26" t="inlineStr">
        <is>
          <t>Patikul</t>
        </is>
      </c>
      <c r="H661" s="26" t="inlineStr">
        <is>
          <t>Langhub</t>
        </is>
      </c>
      <c r="I661" s="27" t="n">
        <v>17.255411</v>
      </c>
      <c r="J661" s="27" t="n">
        <v>122.229455</v>
      </c>
      <c r="K661" s="10" t="inlineStr">
        <is>
          <t>R</t>
        </is>
      </c>
      <c r="L661" s="12" t="n">
        <v>1366</v>
      </c>
      <c r="M661" s="14" t="n">
        <v>6</v>
      </c>
      <c r="N661" s="12">
        <f>ROUND(L661/M661, 0)</f>
        <v/>
      </c>
      <c r="O661" s="12">
        <f>ROUND(N661*'Methodology &amp; Assumptions'!$B$5, 0)</f>
        <v/>
      </c>
      <c r="P661" s="10" t="inlineStr">
        <is>
          <t>Single Carrier (Band n50, 100MHz TDD)</t>
        </is>
      </c>
      <c r="Q661" s="13">
        <f>ROUNDUP(O661/'Methodology &amp; Assumptions'!$B$6, 0)</f>
        <v/>
      </c>
      <c r="R661" s="13" t="n">
        <v>1</v>
      </c>
      <c r="S661" s="14" t="n">
        <v>29.5</v>
      </c>
      <c r="T661" s="14" t="n">
        <v>34.37</v>
      </c>
      <c r="U661" s="26">
        <f>IF(X661&gt;='Methodology &amp; Assumptions'!$B$7, "Tier 1 Critical GIDA (Score ≥ 50.0)", IF(X661&gt;='Methodology &amp; Assumptions'!$B$8, "Tier 2 High GIDA (Score 40.0–49.9)", "Tier 3 Moderate GIDA (Score &lt; 40.0)"))</f>
        <v/>
      </c>
      <c r="V661" s="26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W661" s="28" t="n">
        <v>0.11</v>
      </c>
      <c r="X661" s="14" t="n">
        <v>52.85</v>
      </c>
      <c r="Y661" s="14">
        <f>ROUND(MIN(100, (X661/69.91)*100), 2)</f>
        <v/>
      </c>
    </row>
    <row r="662">
      <c r="A662" s="10" t="n">
        <v>1</v>
      </c>
      <c r="B662" s="10" t="n">
        <v>658</v>
      </c>
      <c r="C662" s="10" t="n">
        <v>658</v>
      </c>
      <c r="D662" s="10" t="inlineStr">
        <is>
          <t>0907216006</t>
        </is>
      </c>
      <c r="E662" s="26" t="inlineStr">
        <is>
          <t>Region IX (Zamboanga Peninsula)</t>
        </is>
      </c>
      <c r="F662" s="26" t="inlineStr">
        <is>
          <t>Zamboanga del Norte</t>
        </is>
      </c>
      <c r="G662" s="26" t="inlineStr">
        <is>
          <t>Sibuco</t>
        </is>
      </c>
      <c r="H662" s="26" t="inlineStr">
        <is>
          <t>Lakiki</t>
        </is>
      </c>
      <c r="I662" s="27" t="n">
        <v>7.27464</v>
      </c>
      <c r="J662" s="27" t="n">
        <v>122.08365</v>
      </c>
      <c r="K662" s="10" t="inlineStr">
        <is>
          <t>R</t>
        </is>
      </c>
      <c r="L662" s="12" t="n">
        <v>648</v>
      </c>
      <c r="M662" s="14" t="n">
        <v>3.6</v>
      </c>
      <c r="N662" s="12">
        <f>ROUND(L662/M662, 0)</f>
        <v/>
      </c>
      <c r="O662" s="12">
        <f>ROUND(N662*'Methodology &amp; Assumptions'!$B$5, 0)</f>
        <v/>
      </c>
      <c r="P662" s="10" t="inlineStr">
        <is>
          <t>Single Carrier (Band n50, 100MHz TDD)</t>
        </is>
      </c>
      <c r="Q662" s="13">
        <f>ROUNDUP(O662/'Methodology &amp; Assumptions'!$B$6, 0)</f>
        <v/>
      </c>
      <c r="R662" s="13" t="n">
        <v>1</v>
      </c>
      <c r="S662" s="14" t="n">
        <v>19.89</v>
      </c>
      <c r="T662" s="14" t="n">
        <v>17.71</v>
      </c>
      <c r="U662" s="26">
        <f>IF(X662&gt;='Methodology &amp; Assumptions'!$B$7, "Tier 1 Critical GIDA (Score ≥ 50.0)", IF(X662&gt;='Methodology &amp; Assumptions'!$B$8, "Tier 2 High GIDA (Score 40.0–49.9)", "Tier 3 Moderate GIDA (Score &lt; 40.0)"))</f>
        <v/>
      </c>
      <c r="V662" s="26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W662" s="28" t="n">
        <v>0.11</v>
      </c>
      <c r="X662" s="14" t="n">
        <v>52.84</v>
      </c>
      <c r="Y662" s="14">
        <f>ROUND(MIN(100, (X662/69.91)*100), 2)</f>
        <v/>
      </c>
    </row>
    <row r="663">
      <c r="A663" s="10" t="n">
        <v>1</v>
      </c>
      <c r="B663" s="10" t="n">
        <v>659</v>
      </c>
      <c r="C663" s="10" t="n">
        <v>659</v>
      </c>
      <c r="D663" s="10" t="inlineStr">
        <is>
          <t>1908822002</t>
        </is>
      </c>
      <c r="E663" s="26" t="inlineStr">
        <is>
          <t>Bangsamoro Autonomous Region In Muslim Mindanao (BARMM)</t>
        </is>
      </c>
      <c r="F663" s="26" t="inlineStr">
        <is>
          <t>Maguindanao del Sur</t>
        </is>
      </c>
      <c r="G663" s="26" t="inlineStr">
        <is>
          <t>South Upi</t>
        </is>
      </c>
      <c r="H663" s="26" t="inlineStr">
        <is>
          <t>Bongo</t>
        </is>
      </c>
      <c r="I663" s="27" t="n">
        <v>17.255069</v>
      </c>
      <c r="J663" s="27" t="n">
        <v>122.229113</v>
      </c>
      <c r="K663" s="10" t="inlineStr">
        <is>
          <t>R</t>
        </is>
      </c>
      <c r="L663" s="12" t="n">
        <v>2565</v>
      </c>
      <c r="M663" s="14" t="n">
        <v>4.7</v>
      </c>
      <c r="N663" s="12">
        <f>ROUND(L663/M663, 0)</f>
        <v/>
      </c>
      <c r="O663" s="12">
        <f>ROUND(N663*'Methodology &amp; Assumptions'!$B$5, 0)</f>
        <v/>
      </c>
      <c r="P663" s="10" t="inlineStr">
        <is>
          <t>Single Carrier (Band n50, 100MHz TDD)</t>
        </is>
      </c>
      <c r="Q663" s="13">
        <f>ROUNDUP(O663/'Methodology &amp; Assumptions'!$B$6, 0)</f>
        <v/>
      </c>
      <c r="R663" s="13" t="n">
        <v>1</v>
      </c>
      <c r="S663" s="14" t="n">
        <v>29.45</v>
      </c>
      <c r="T663" s="14" t="n">
        <v>34.33</v>
      </c>
      <c r="U663" s="26">
        <f>IF(X663&gt;='Methodology &amp; Assumptions'!$B$7, "Tier 1 Critical GIDA (Score ≥ 50.0)", IF(X663&gt;='Methodology &amp; Assumptions'!$B$8, "Tier 2 High GIDA (Score 40.0–49.9)", "Tier 3 Moderate GIDA (Score &lt; 40.0)"))</f>
        <v/>
      </c>
      <c r="V663" s="26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W663" s="28" t="n">
        <v>0.11</v>
      </c>
      <c r="X663" s="14" t="n">
        <v>52.84</v>
      </c>
      <c r="Y663" s="14">
        <f>ROUND(MIN(100, (X663/69.91)*100), 2)</f>
        <v/>
      </c>
    </row>
    <row r="664">
      <c r="A664" s="10" t="n">
        <v>1</v>
      </c>
      <c r="B664" s="10" t="n">
        <v>660</v>
      </c>
      <c r="C664" s="10" t="n">
        <v>660</v>
      </c>
      <c r="D664" s="10" t="inlineStr">
        <is>
          <t>1906613056</t>
        </is>
      </c>
      <c r="E664" s="26" t="inlineStr">
        <is>
          <t>Bangsamoro Autonomous Region In Muslim Mindanao (BARMM)</t>
        </is>
      </c>
      <c r="F664" s="26" t="inlineStr">
        <is>
          <t>Sulu</t>
        </is>
      </c>
      <c r="G664" s="26" t="inlineStr">
        <is>
          <t>Talipao</t>
        </is>
      </c>
      <c r="H664" s="26" t="inlineStr">
        <is>
          <t>Upper Laus</t>
        </is>
      </c>
      <c r="I664" s="27" t="n">
        <v>17.255437</v>
      </c>
      <c r="J664" s="27" t="n">
        <v>122.229481</v>
      </c>
      <c r="K664" s="10" t="inlineStr">
        <is>
          <t>R</t>
        </is>
      </c>
      <c r="L664" s="12" t="n">
        <v>1221</v>
      </c>
      <c r="M664" s="14" t="n">
        <v>6</v>
      </c>
      <c r="N664" s="12">
        <f>ROUND(L664/M664, 0)</f>
        <v/>
      </c>
      <c r="O664" s="12">
        <f>ROUND(N664*'Methodology &amp; Assumptions'!$B$5, 0)</f>
        <v/>
      </c>
      <c r="P664" s="10" t="inlineStr">
        <is>
          <t>Single Carrier (Band n50, 100MHz TDD)</t>
        </is>
      </c>
      <c r="Q664" s="13">
        <f>ROUNDUP(O664/'Methodology &amp; Assumptions'!$B$6, 0)</f>
        <v/>
      </c>
      <c r="R664" s="13" t="n">
        <v>1</v>
      </c>
      <c r="S664" s="14" t="n">
        <v>29.51</v>
      </c>
      <c r="T664" s="14" t="n">
        <v>34.38</v>
      </c>
      <c r="U664" s="26">
        <f>IF(X664&gt;='Methodology &amp; Assumptions'!$B$7, "Tier 1 Critical GIDA (Score ≥ 50.0)", IF(X664&gt;='Methodology &amp; Assumptions'!$B$8, "Tier 2 High GIDA (Score 40.0–49.9)", "Tier 3 Moderate GIDA (Score &lt; 40.0)"))</f>
        <v/>
      </c>
      <c r="V664" s="26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W664" s="28" t="n">
        <v>0.11</v>
      </c>
      <c r="X664" s="14" t="n">
        <v>52.83</v>
      </c>
      <c r="Y664" s="14">
        <f>ROUND(MIN(100, (X664/69.91)*100), 2)</f>
        <v/>
      </c>
    </row>
    <row r="665">
      <c r="A665" s="10" t="n">
        <v>1</v>
      </c>
      <c r="B665" s="10" t="n">
        <v>661</v>
      </c>
      <c r="C665" s="10" t="n">
        <v>661</v>
      </c>
      <c r="D665" s="10" t="inlineStr">
        <is>
          <t>0600410025</t>
        </is>
      </c>
      <c r="E665" s="26" t="inlineStr">
        <is>
          <t>Region VI (Western Visayas)</t>
        </is>
      </c>
      <c r="F665" s="26" t="inlineStr">
        <is>
          <t>Aklan</t>
        </is>
      </c>
      <c r="G665" s="26" t="inlineStr">
        <is>
          <t>Madalag</t>
        </is>
      </c>
      <c r="H665" s="26" t="inlineStr">
        <is>
          <t>Tigbawan</t>
        </is>
      </c>
      <c r="I665" s="27" t="n">
        <v>11.50807</v>
      </c>
      <c r="J665" s="27" t="n">
        <v>122.295827</v>
      </c>
      <c r="K665" s="10" t="inlineStr">
        <is>
          <t>R</t>
        </is>
      </c>
      <c r="L665" s="12" t="n">
        <v>742</v>
      </c>
      <c r="M665" s="14" t="n">
        <v>3.9</v>
      </c>
      <c r="N665" s="12">
        <f>ROUND(L665/M665, 0)</f>
        <v/>
      </c>
      <c r="O665" s="12">
        <f>ROUND(N665*'Methodology &amp; Assumptions'!$B$5, 0)</f>
        <v/>
      </c>
      <c r="P665" s="10" t="inlineStr">
        <is>
          <t>Single Carrier (Band n50, 100MHz TDD)</t>
        </is>
      </c>
      <c r="Q665" s="13">
        <f>ROUNDUP(O665/'Methodology &amp; Assumptions'!$B$6, 0)</f>
        <v/>
      </c>
      <c r="R665" s="13" t="n">
        <v>1</v>
      </c>
      <c r="S665" s="14" t="n">
        <v>10.26</v>
      </c>
      <c r="T665" s="14" t="n">
        <v>9.75</v>
      </c>
      <c r="U665" s="26">
        <f>IF(X665&gt;='Methodology &amp; Assumptions'!$B$7, "Tier 1 Critical GIDA (Score ≥ 50.0)", IF(X665&gt;='Methodology &amp; Assumptions'!$B$8, "Tier 2 High GIDA (Score 40.0–49.9)", "Tier 3 Moderate GIDA (Score &lt; 40.0)"))</f>
        <v/>
      </c>
      <c r="V665" s="26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W665" s="28" t="n">
        <v>0.237</v>
      </c>
      <c r="X665" s="14" t="n">
        <v>52.83</v>
      </c>
      <c r="Y665" s="14">
        <f>ROUND(MIN(100, (X665/69.91)*100), 2)</f>
        <v/>
      </c>
    </row>
    <row r="666">
      <c r="A666" s="10" t="n">
        <v>1</v>
      </c>
      <c r="B666" s="10" t="n">
        <v>662</v>
      </c>
      <c r="C666" s="10" t="n">
        <v>662</v>
      </c>
      <c r="D666" s="10" t="inlineStr">
        <is>
          <t>1906613036</t>
        </is>
      </c>
      <c r="E666" s="26" t="inlineStr">
        <is>
          <t>Bangsamoro Autonomous Region In Muslim Mindanao (BARMM)</t>
        </is>
      </c>
      <c r="F666" s="26" t="inlineStr">
        <is>
          <t>Sulu</t>
        </is>
      </c>
      <c r="G666" s="26" t="inlineStr">
        <is>
          <t>Talipao</t>
        </is>
      </c>
      <c r="H666" s="26" t="inlineStr">
        <is>
          <t>Lumping Pigih Daho</t>
        </is>
      </c>
      <c r="I666" s="27" t="n">
        <v>17.255449</v>
      </c>
      <c r="J666" s="27" t="n">
        <v>122.229493</v>
      </c>
      <c r="K666" s="10" t="inlineStr">
        <is>
          <t>U</t>
        </is>
      </c>
      <c r="L666" s="12" t="n">
        <v>1800</v>
      </c>
      <c r="M666" s="14" t="n">
        <v>6</v>
      </c>
      <c r="N666" s="12">
        <f>ROUND(L666/M666, 0)</f>
        <v/>
      </c>
      <c r="O666" s="12">
        <f>ROUND(N666*'Methodology &amp; Assumptions'!$B$5, 0)</f>
        <v/>
      </c>
      <c r="P666" s="10" t="inlineStr">
        <is>
          <t>Single Carrier (Band n50, 100MHz TDD)</t>
        </is>
      </c>
      <c r="Q666" s="13">
        <f>ROUNDUP(O666/'Methodology &amp; Assumptions'!$B$6, 0)</f>
        <v/>
      </c>
      <c r="R666" s="13" t="n">
        <v>1</v>
      </c>
      <c r="S666" s="14" t="n">
        <v>29.51</v>
      </c>
      <c r="T666" s="14" t="n">
        <v>34.38</v>
      </c>
      <c r="U666" s="26">
        <f>IF(X666&gt;='Methodology &amp; Assumptions'!$B$7, "Tier 1 Critical GIDA (Score ≥ 50.0)", IF(X666&gt;='Methodology &amp; Assumptions'!$B$8, "Tier 2 High GIDA (Score 40.0–49.9)", "Tier 3 Moderate GIDA (Score &lt; 40.0)"))</f>
        <v/>
      </c>
      <c r="V666" s="26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W666" s="28" t="n">
        <v>0.11</v>
      </c>
      <c r="X666" s="14" t="n">
        <v>52.82</v>
      </c>
      <c r="Y666" s="14">
        <f>ROUND(MIN(100, (X666/69.91)*100), 2)</f>
        <v/>
      </c>
    </row>
    <row r="667">
      <c r="A667" s="10" t="n">
        <v>1</v>
      </c>
      <c r="B667" s="10" t="n">
        <v>663</v>
      </c>
      <c r="C667" s="10" t="n">
        <v>663</v>
      </c>
      <c r="D667" s="10" t="inlineStr">
        <is>
          <t>1003514033</t>
        </is>
      </c>
      <c r="E667" s="26" t="inlineStr">
        <is>
          <t>Region X (Northern Mindanao)</t>
        </is>
      </c>
      <c r="F667" s="26" t="inlineStr">
        <is>
          <t>Lanao del Norte</t>
        </is>
      </c>
      <c r="G667" s="26" t="inlineStr">
        <is>
          <t>Munai</t>
        </is>
      </c>
      <c r="H667" s="26" t="inlineStr">
        <is>
          <t>Tamparan</t>
        </is>
      </c>
      <c r="I667" s="27" t="n">
        <v>8.03786</v>
      </c>
      <c r="J667" s="27" t="n">
        <v>124.069495</v>
      </c>
      <c r="K667" s="10" t="inlineStr">
        <is>
          <t>R</t>
        </is>
      </c>
      <c r="L667" s="12" t="n">
        <v>1989</v>
      </c>
      <c r="M667" s="14" t="n">
        <v>4.2</v>
      </c>
      <c r="N667" s="12">
        <f>ROUND(L667/M667, 0)</f>
        <v/>
      </c>
      <c r="O667" s="12">
        <f>ROUND(N667*'Methodology &amp; Assumptions'!$B$5, 0)</f>
        <v/>
      </c>
      <c r="P667" s="10" t="inlineStr">
        <is>
          <t>Single Carrier (Band n50, 100MHz TDD)</t>
        </is>
      </c>
      <c r="Q667" s="13">
        <f>ROUNDUP(O667/'Methodology &amp; Assumptions'!$B$6, 0)</f>
        <v/>
      </c>
      <c r="R667" s="13" t="n">
        <v>1</v>
      </c>
      <c r="S667" s="14" t="n">
        <v>22.76</v>
      </c>
      <c r="T667" s="14" t="n">
        <v>16.36</v>
      </c>
      <c r="U667" s="26">
        <f>IF(X667&gt;='Methodology &amp; Assumptions'!$B$7, "Tier 1 Critical GIDA (Score ≥ 50.0)", IF(X667&gt;='Methodology &amp; Assumptions'!$B$8, "Tier 2 High GIDA (Score 40.0–49.9)", "Tier 3 Moderate GIDA (Score &lt; 40.0)"))</f>
        <v/>
      </c>
      <c r="V667" s="26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W667" s="28" t="n">
        <v>0.174</v>
      </c>
      <c r="X667" s="14" t="n">
        <v>52.82</v>
      </c>
      <c r="Y667" s="14">
        <f>ROUND(MIN(100, (X667/69.91)*100), 2)</f>
        <v/>
      </c>
    </row>
    <row r="668">
      <c r="A668" s="10" t="n">
        <v>1</v>
      </c>
      <c r="B668" s="10" t="n">
        <v>664</v>
      </c>
      <c r="C668" s="10" t="n">
        <v>664</v>
      </c>
      <c r="D668" s="10" t="inlineStr">
        <is>
          <t>1906613009</t>
        </is>
      </c>
      <c r="E668" s="26" t="inlineStr">
        <is>
          <t>Bangsamoro Autonomous Region In Muslim Mindanao (BARMM)</t>
        </is>
      </c>
      <c r="F668" s="26" t="inlineStr">
        <is>
          <t>Sulu</t>
        </is>
      </c>
      <c r="G668" s="26" t="inlineStr">
        <is>
          <t>Talipao</t>
        </is>
      </c>
      <c r="H668" s="26" t="inlineStr">
        <is>
          <t>Buroh</t>
        </is>
      </c>
      <c r="I668" s="27" t="n">
        <v>17.255428</v>
      </c>
      <c r="J668" s="27" t="n">
        <v>122.229472</v>
      </c>
      <c r="K668" s="10" t="inlineStr">
        <is>
          <t>R</t>
        </is>
      </c>
      <c r="L668" s="12" t="n">
        <v>1451</v>
      </c>
      <c r="M668" s="14" t="n">
        <v>6</v>
      </c>
      <c r="N668" s="12">
        <f>ROUND(L668/M668, 0)</f>
        <v/>
      </c>
      <c r="O668" s="12">
        <f>ROUND(N668*'Methodology &amp; Assumptions'!$B$5, 0)</f>
        <v/>
      </c>
      <c r="P668" s="10" t="inlineStr">
        <is>
          <t>Single Carrier (Band n50, 100MHz TDD)</t>
        </is>
      </c>
      <c r="Q668" s="13">
        <f>ROUNDUP(O668/'Methodology &amp; Assumptions'!$B$6, 0)</f>
        <v/>
      </c>
      <c r="R668" s="13" t="n">
        <v>1</v>
      </c>
      <c r="S668" s="14" t="n">
        <v>29.5</v>
      </c>
      <c r="T668" s="14" t="n">
        <v>34.38</v>
      </c>
      <c r="U668" s="26">
        <f>IF(X668&gt;='Methodology &amp; Assumptions'!$B$7, "Tier 1 Critical GIDA (Score ≥ 50.0)", IF(X668&gt;='Methodology &amp; Assumptions'!$B$8, "Tier 2 High GIDA (Score 40.0–49.9)", "Tier 3 Moderate GIDA (Score &lt; 40.0)"))</f>
        <v/>
      </c>
      <c r="V668" s="26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W668" s="28" t="n">
        <v>0.11</v>
      </c>
      <c r="X668" s="14" t="n">
        <v>52.82</v>
      </c>
      <c r="Y668" s="14">
        <f>ROUND(MIN(100, (X668/69.91)*100), 2)</f>
        <v/>
      </c>
    </row>
    <row r="669">
      <c r="A669" s="10" t="n">
        <v>1</v>
      </c>
      <c r="B669" s="10" t="n">
        <v>665</v>
      </c>
      <c r="C669" s="10" t="n">
        <v>665</v>
      </c>
      <c r="D669" s="10" t="inlineStr">
        <is>
          <t>PH0000665</t>
        </is>
      </c>
      <c r="E669" s="26" t="inlineStr">
        <is>
          <t>BARMM (LaMa+SGA)</t>
        </is>
      </c>
      <c r="F669" s="26" t="inlineStr">
        <is>
          <t>Lanao Del Sur</t>
        </is>
      </c>
      <c r="G669" s="26" t="inlineStr">
        <is>
          <t>Sultan Gumander (Picong)</t>
        </is>
      </c>
      <c r="H669" s="26" t="inlineStr">
        <is>
          <t>Anas</t>
        </is>
      </c>
      <c r="I669" s="27" t="n">
        <v>17.251036</v>
      </c>
      <c r="J669" s="27" t="n">
        <v>122.232229</v>
      </c>
      <c r="K669" s="10" t="inlineStr">
        <is>
          <t>R</t>
        </is>
      </c>
      <c r="L669" s="12" t="n">
        <v>2518</v>
      </c>
      <c r="M669" s="14" t="n">
        <v>5.7</v>
      </c>
      <c r="N669" s="12">
        <f>ROUND(L669/M669, 0)</f>
        <v/>
      </c>
      <c r="O669" s="12">
        <f>ROUND(N669*'Methodology &amp; Assumptions'!$B$5, 0)</f>
        <v/>
      </c>
      <c r="P669" s="10" t="inlineStr">
        <is>
          <t>Single Carrier (Band n50, 100MHz TDD)</t>
        </is>
      </c>
      <c r="Q669" s="13">
        <f>ROUNDUP(O669/'Methodology &amp; Assumptions'!$B$6, 0)</f>
        <v/>
      </c>
      <c r="R669" s="13" t="n">
        <v>1</v>
      </c>
      <c r="S669" s="14" t="n">
        <v>29.42</v>
      </c>
      <c r="T669" s="14" t="n">
        <v>34.52</v>
      </c>
      <c r="U669" s="26">
        <f>IF(X669&gt;='Methodology &amp; Assumptions'!$B$7, "Tier 1 Critical GIDA (Score ≥ 50.0)", IF(X669&gt;='Methodology &amp; Assumptions'!$B$8, "Tier 2 High GIDA (Score 40.0–49.9)", "Tier 3 Moderate GIDA (Score &lt; 40.0)"))</f>
        <v/>
      </c>
      <c r="V669" s="26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W669" s="28" t="n">
        <v>0.235</v>
      </c>
      <c r="X669" s="14" t="n">
        <v>52.82</v>
      </c>
      <c r="Y669" s="14">
        <f>ROUND(MIN(100, (X669/69.91)*100), 2)</f>
        <v/>
      </c>
    </row>
    <row r="670">
      <c r="A670" s="10" t="n">
        <v>1</v>
      </c>
      <c r="B670" s="10" t="n">
        <v>666</v>
      </c>
      <c r="C670" s="10" t="n">
        <v>666</v>
      </c>
      <c r="D670" s="10" t="inlineStr">
        <is>
          <t>1908806017</t>
        </is>
      </c>
      <c r="E670" s="26" t="inlineStr">
        <is>
          <t>Bangsamoro Autonomous Region In Muslim Mindanao (BARMM)</t>
        </is>
      </c>
      <c r="F670" s="26" t="inlineStr">
        <is>
          <t>Maguindanao del Sur</t>
        </is>
      </c>
      <c r="G670" s="26" t="inlineStr">
        <is>
          <t>Datu Paglas</t>
        </is>
      </c>
      <c r="H670" s="26" t="inlineStr">
        <is>
          <t>Mao</t>
        </is>
      </c>
      <c r="I670" s="27" t="n">
        <v>17.254956</v>
      </c>
      <c r="J670" s="27" t="n">
        <v>122.229</v>
      </c>
      <c r="K670" s="10" t="inlineStr">
        <is>
          <t>R</t>
        </is>
      </c>
      <c r="L670" s="12" t="n">
        <v>994</v>
      </c>
      <c r="M670" s="14" t="n">
        <v>4.7</v>
      </c>
      <c r="N670" s="12">
        <f>ROUND(L670/M670, 0)</f>
        <v/>
      </c>
      <c r="O670" s="12">
        <f>ROUND(N670*'Methodology &amp; Assumptions'!$B$5, 0)</f>
        <v/>
      </c>
      <c r="P670" s="10" t="inlineStr">
        <is>
          <t>Single Carrier (Band n50, 100MHz TDD)</t>
        </is>
      </c>
      <c r="Q670" s="13">
        <f>ROUNDUP(O670/'Methodology &amp; Assumptions'!$B$6, 0)</f>
        <v/>
      </c>
      <c r="R670" s="13" t="n">
        <v>1</v>
      </c>
      <c r="S670" s="14" t="n">
        <v>29.43</v>
      </c>
      <c r="T670" s="14" t="n">
        <v>34.31</v>
      </c>
      <c r="U670" s="26">
        <f>IF(X670&gt;='Methodology &amp; Assumptions'!$B$7, "Tier 1 Critical GIDA (Score ≥ 50.0)", IF(X670&gt;='Methodology &amp; Assumptions'!$B$8, "Tier 2 High GIDA (Score 40.0–49.9)", "Tier 3 Moderate GIDA (Score &lt; 40.0)"))</f>
        <v/>
      </c>
      <c r="V670" s="26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W670" s="28" t="n">
        <v>0.11</v>
      </c>
      <c r="X670" s="14" t="n">
        <v>52.81</v>
      </c>
      <c r="Y670" s="14">
        <f>ROUND(MIN(100, (X670/69.91)*100), 2)</f>
        <v/>
      </c>
    </row>
    <row r="671">
      <c r="A671" s="10" t="n">
        <v>1</v>
      </c>
      <c r="B671" s="10" t="n">
        <v>667</v>
      </c>
      <c r="C671" s="10" t="n">
        <v>667</v>
      </c>
      <c r="D671" s="10" t="inlineStr">
        <is>
          <t>1908806021</t>
        </is>
      </c>
      <c r="E671" s="26" t="inlineStr">
        <is>
          <t>Bangsamoro Autonomous Region In Muslim Mindanao (BARMM)</t>
        </is>
      </c>
      <c r="F671" s="26" t="inlineStr">
        <is>
          <t>Maguindanao del Sur</t>
        </is>
      </c>
      <c r="G671" s="26" t="inlineStr">
        <is>
          <t>Datu Paglas</t>
        </is>
      </c>
      <c r="H671" s="26" t="inlineStr">
        <is>
          <t>Puya</t>
        </is>
      </c>
      <c r="I671" s="27" t="n">
        <v>17.254954</v>
      </c>
      <c r="J671" s="27" t="n">
        <v>122.228998</v>
      </c>
      <c r="K671" s="10" t="inlineStr">
        <is>
          <t>R</t>
        </is>
      </c>
      <c r="L671" s="12" t="n">
        <v>1003</v>
      </c>
      <c r="M671" s="14" t="n">
        <v>4.7</v>
      </c>
      <c r="N671" s="12">
        <f>ROUND(L671/M671, 0)</f>
        <v/>
      </c>
      <c r="O671" s="12">
        <f>ROUND(N671*'Methodology &amp; Assumptions'!$B$5, 0)</f>
        <v/>
      </c>
      <c r="P671" s="10" t="inlineStr">
        <is>
          <t>Single Carrier (Band n50, 100MHz TDD)</t>
        </is>
      </c>
      <c r="Q671" s="13">
        <f>ROUNDUP(O671/'Methodology &amp; Assumptions'!$B$6, 0)</f>
        <v/>
      </c>
      <c r="R671" s="13" t="n">
        <v>1</v>
      </c>
      <c r="S671" s="14" t="n">
        <v>29.43</v>
      </c>
      <c r="T671" s="14" t="n">
        <v>34.31</v>
      </c>
      <c r="U671" s="26">
        <f>IF(X671&gt;='Methodology &amp; Assumptions'!$B$7, "Tier 1 Critical GIDA (Score ≥ 50.0)", IF(X671&gt;='Methodology &amp; Assumptions'!$B$8, "Tier 2 High GIDA (Score 40.0–49.9)", "Tier 3 Moderate GIDA (Score &lt; 40.0)"))</f>
        <v/>
      </c>
      <c r="V671" s="26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W671" s="28" t="n">
        <v>0.11</v>
      </c>
      <c r="X671" s="14" t="n">
        <v>52.81</v>
      </c>
      <c r="Y671" s="14">
        <f>ROUND(MIN(100, (X671/69.91)*100), 2)</f>
        <v/>
      </c>
    </row>
    <row r="672">
      <c r="A672" s="10" t="n">
        <v>1</v>
      </c>
      <c r="B672" s="10" t="n">
        <v>668</v>
      </c>
      <c r="C672" s="10" t="n">
        <v>668</v>
      </c>
      <c r="D672" s="10" t="inlineStr">
        <is>
          <t>1003516009</t>
        </is>
      </c>
      <c r="E672" s="26" t="inlineStr">
        <is>
          <t>Region X (Northern Mindanao)</t>
        </is>
      </c>
      <c r="F672" s="26" t="inlineStr">
        <is>
          <t>Lanao del Norte</t>
        </is>
      </c>
      <c r="G672" s="26" t="inlineStr">
        <is>
          <t>Pantao Ragat</t>
        </is>
      </c>
      <c r="H672" s="26" t="inlineStr">
        <is>
          <t>Culubun</t>
        </is>
      </c>
      <c r="I672" s="27" t="n">
        <v>8.034784999999999</v>
      </c>
      <c r="J672" s="27" t="n">
        <v>124.141909</v>
      </c>
      <c r="K672" s="10" t="inlineStr">
        <is>
          <t>R</t>
        </is>
      </c>
      <c r="L672" s="12" t="n">
        <v>1499</v>
      </c>
      <c r="M672" s="14" t="n">
        <v>4.2</v>
      </c>
      <c r="N672" s="12">
        <f>ROUND(L672/M672, 0)</f>
        <v/>
      </c>
      <c r="O672" s="12">
        <f>ROUND(N672*'Methodology &amp; Assumptions'!$B$5, 0)</f>
        <v/>
      </c>
      <c r="P672" s="10" t="inlineStr">
        <is>
          <t>Single Carrier (Band n50, 100MHz TDD)</t>
        </is>
      </c>
      <c r="Q672" s="13">
        <f>ROUNDUP(O672/'Methodology &amp; Assumptions'!$B$6, 0)</f>
        <v/>
      </c>
      <c r="R672" s="13" t="n">
        <v>1</v>
      </c>
      <c r="S672" s="14" t="n">
        <v>14.84</v>
      </c>
      <c r="T672" s="14" t="n">
        <v>12.42</v>
      </c>
      <c r="U672" s="26">
        <f>IF(X672&gt;='Methodology &amp; Assumptions'!$B$7, "Tier 1 Critical GIDA (Score ≥ 50.0)", IF(X672&gt;='Methodology &amp; Assumptions'!$B$8, "Tier 2 High GIDA (Score 40.0–49.9)", "Tier 3 Moderate GIDA (Score &lt; 40.0)"))</f>
        <v/>
      </c>
      <c r="V672" s="26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W672" s="28" t="n">
        <v>0.174</v>
      </c>
      <c r="X672" s="14" t="n">
        <v>52.81</v>
      </c>
      <c r="Y672" s="14">
        <f>ROUND(MIN(100, (X672/69.91)*100), 2)</f>
        <v/>
      </c>
    </row>
    <row r="673">
      <c r="A673" s="10" t="n">
        <v>1</v>
      </c>
      <c r="B673" s="10" t="n">
        <v>669</v>
      </c>
      <c r="C673" s="10" t="n">
        <v>669</v>
      </c>
      <c r="D673" s="10" t="inlineStr">
        <is>
          <t>1003514013</t>
        </is>
      </c>
      <c r="E673" s="26" t="inlineStr">
        <is>
          <t>Region X (Northern Mindanao)</t>
        </is>
      </c>
      <c r="F673" s="26" t="inlineStr">
        <is>
          <t>Lanao del Norte</t>
        </is>
      </c>
      <c r="G673" s="26" t="inlineStr">
        <is>
          <t>Munai</t>
        </is>
      </c>
      <c r="H673" s="26" t="inlineStr">
        <is>
          <t>Lininding</t>
        </is>
      </c>
      <c r="I673" s="27" t="n">
        <v>7.995582</v>
      </c>
      <c r="J673" s="27" t="n">
        <v>124.088697</v>
      </c>
      <c r="K673" s="10" t="inlineStr">
        <is>
          <t>R</t>
        </is>
      </c>
      <c r="L673" s="12" t="n">
        <v>1863</v>
      </c>
      <c r="M673" s="14" t="n">
        <v>4.2</v>
      </c>
      <c r="N673" s="12">
        <f>ROUND(L673/M673, 0)</f>
        <v/>
      </c>
      <c r="O673" s="12">
        <f>ROUND(N673*'Methodology &amp; Assumptions'!$B$5, 0)</f>
        <v/>
      </c>
      <c r="P673" s="10" t="inlineStr">
        <is>
          <t>Single Carrier (Band n50, 100MHz TDD)</t>
        </is>
      </c>
      <c r="Q673" s="13">
        <f>ROUNDUP(O673/'Methodology &amp; Assumptions'!$B$6, 0)</f>
        <v/>
      </c>
      <c r="R673" s="13" t="n">
        <v>1</v>
      </c>
      <c r="S673" s="14" t="n">
        <v>20.5</v>
      </c>
      <c r="T673" s="14" t="n">
        <v>19.2</v>
      </c>
      <c r="U673" s="26">
        <f>IF(X673&gt;='Methodology &amp; Assumptions'!$B$7, "Tier 1 Critical GIDA (Score ≥ 50.0)", IF(X673&gt;='Methodology &amp; Assumptions'!$B$8, "Tier 2 High GIDA (Score 40.0–49.9)", "Tier 3 Moderate GIDA (Score &lt; 40.0)"))</f>
        <v/>
      </c>
      <c r="V673" s="26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W673" s="28" t="n">
        <v>0.174</v>
      </c>
      <c r="X673" s="14" t="n">
        <v>52.81</v>
      </c>
      <c r="Y673" s="14">
        <f>ROUND(MIN(100, (X673/69.91)*100), 2)</f>
        <v/>
      </c>
    </row>
    <row r="674">
      <c r="A674" s="10" t="n">
        <v>1</v>
      </c>
      <c r="B674" s="10" t="n">
        <v>670</v>
      </c>
      <c r="C674" s="10" t="n">
        <v>670</v>
      </c>
      <c r="D674" s="10" t="inlineStr">
        <is>
          <t>1003514011</t>
        </is>
      </c>
      <c r="E674" s="26" t="inlineStr">
        <is>
          <t>Region X (Northern Mindanao)</t>
        </is>
      </c>
      <c r="F674" s="26" t="inlineStr">
        <is>
          <t>Lanao del Norte</t>
        </is>
      </c>
      <c r="G674" s="26" t="inlineStr">
        <is>
          <t>Munai</t>
        </is>
      </c>
      <c r="H674" s="26" t="inlineStr">
        <is>
          <t>Lindongan</t>
        </is>
      </c>
      <c r="I674" s="27" t="n">
        <v>8.041967</v>
      </c>
      <c r="J674" s="27" t="n">
        <v>124.08196</v>
      </c>
      <c r="K674" s="10" t="inlineStr">
        <is>
          <t>R</t>
        </is>
      </c>
      <c r="L674" s="12" t="n">
        <v>1280</v>
      </c>
      <c r="M674" s="14" t="n">
        <v>4.2</v>
      </c>
      <c r="N674" s="12">
        <f>ROUND(L674/M674, 0)</f>
        <v/>
      </c>
      <c r="O674" s="12">
        <f>ROUND(N674*'Methodology &amp; Assumptions'!$B$5, 0)</f>
        <v/>
      </c>
      <c r="P674" s="10" t="inlineStr">
        <is>
          <t>Single Carrier (Band n50, 100MHz TDD)</t>
        </is>
      </c>
      <c r="Q674" s="13">
        <f>ROUNDUP(O674/'Methodology &amp; Assumptions'!$B$6, 0)</f>
        <v/>
      </c>
      <c r="R674" s="13" t="n">
        <v>1</v>
      </c>
      <c r="S674" s="14" t="n">
        <v>21.47</v>
      </c>
      <c r="T674" s="14" t="n">
        <v>16.02</v>
      </c>
      <c r="U674" s="26">
        <f>IF(X674&gt;='Methodology &amp; Assumptions'!$B$7, "Tier 1 Critical GIDA (Score ≥ 50.0)", IF(X674&gt;='Methodology &amp; Assumptions'!$B$8, "Tier 2 High GIDA (Score 40.0–49.9)", "Tier 3 Moderate GIDA (Score &lt; 40.0)"))</f>
        <v/>
      </c>
      <c r="V674" s="26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W674" s="28" t="n">
        <v>0.174</v>
      </c>
      <c r="X674" s="14" t="n">
        <v>52.81</v>
      </c>
      <c r="Y674" s="14">
        <f>ROUND(MIN(100, (X674/69.91)*100), 2)</f>
        <v/>
      </c>
    </row>
    <row r="675">
      <c r="A675" s="10" t="n">
        <v>1</v>
      </c>
      <c r="B675" s="10" t="n">
        <v>671</v>
      </c>
      <c r="C675" s="10" t="n">
        <v>671</v>
      </c>
      <c r="D675" s="10" t="inlineStr">
        <is>
          <t>0600612032</t>
        </is>
      </c>
      <c r="E675" s="26" t="inlineStr">
        <is>
          <t>Region VI (Western Visayas)</t>
        </is>
      </c>
      <c r="F675" s="26" t="inlineStr">
        <is>
          <t>Antique</t>
        </is>
      </c>
      <c r="G675" s="26" t="inlineStr">
        <is>
          <t>Patnongon</t>
        </is>
      </c>
      <c r="H675" s="26" t="inlineStr">
        <is>
          <t>Villa Flores</t>
        </is>
      </c>
      <c r="I675" s="27" t="n">
        <v>10.927401</v>
      </c>
      <c r="J675" s="27" t="n">
        <v>122.075154</v>
      </c>
      <c r="K675" s="10" t="inlineStr">
        <is>
          <t>R</t>
        </is>
      </c>
      <c r="L675" s="12" t="n">
        <v>240</v>
      </c>
      <c r="M675" s="14" t="n">
        <v>3.9</v>
      </c>
      <c r="N675" s="12">
        <f>ROUND(L675/M675, 0)</f>
        <v/>
      </c>
      <c r="O675" s="12">
        <f>ROUND(N675*'Methodology &amp; Assumptions'!$B$5, 0)</f>
        <v/>
      </c>
      <c r="P675" s="10" t="inlineStr">
        <is>
          <t>Single Carrier (Band n50, 100MHz TDD)</t>
        </is>
      </c>
      <c r="Q675" s="13">
        <f>ROUNDUP(O675/'Methodology &amp; Assumptions'!$B$6, 0)</f>
        <v/>
      </c>
      <c r="R675" s="13" t="n">
        <v>1</v>
      </c>
      <c r="S675" s="14" t="n">
        <v>23.69</v>
      </c>
      <c r="T675" s="14" t="n">
        <v>16.53</v>
      </c>
      <c r="U675" s="26">
        <f>IF(X675&gt;='Methodology &amp; Assumptions'!$B$7, "Tier 1 Critical GIDA (Score ≥ 50.0)", IF(X675&gt;='Methodology &amp; Assumptions'!$B$8, "Tier 2 High GIDA (Score 40.0–49.9)", "Tier 3 Moderate GIDA (Score &lt; 40.0)"))</f>
        <v/>
      </c>
      <c r="V675" s="26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W675" s="28" t="n">
        <v>0.237</v>
      </c>
      <c r="X675" s="14" t="n">
        <v>52.81</v>
      </c>
      <c r="Y675" s="14">
        <f>ROUND(MIN(100, (X675/69.91)*100), 2)</f>
        <v/>
      </c>
    </row>
    <row r="676">
      <c r="A676" s="10" t="n">
        <v>1</v>
      </c>
      <c r="B676" s="10" t="n">
        <v>672</v>
      </c>
      <c r="C676" s="10" t="n">
        <v>672</v>
      </c>
      <c r="D676" s="10" t="inlineStr">
        <is>
          <t>1003514014</t>
        </is>
      </c>
      <c r="E676" s="26" t="inlineStr">
        <is>
          <t>Region X (Northern Mindanao)</t>
        </is>
      </c>
      <c r="F676" s="26" t="inlineStr">
        <is>
          <t>Lanao del Norte</t>
        </is>
      </c>
      <c r="G676" s="26" t="inlineStr">
        <is>
          <t>Munai</t>
        </is>
      </c>
      <c r="H676" s="26" t="inlineStr">
        <is>
          <t>Lumba-Bayabao</t>
        </is>
      </c>
      <c r="I676" s="27" t="n">
        <v>8.028449999999999</v>
      </c>
      <c r="J676" s="27" t="n">
        <v>124.074254</v>
      </c>
      <c r="K676" s="10" t="inlineStr">
        <is>
          <t>R</t>
        </is>
      </c>
      <c r="L676" s="12" t="n">
        <v>1585</v>
      </c>
      <c r="M676" s="14" t="n">
        <v>4.2</v>
      </c>
      <c r="N676" s="12">
        <f>ROUND(L676/M676, 0)</f>
        <v/>
      </c>
      <c r="O676" s="12">
        <f>ROUND(N676*'Methodology &amp; Assumptions'!$B$5, 0)</f>
        <v/>
      </c>
      <c r="P676" s="10" t="inlineStr">
        <is>
          <t>Single Carrier (Band n50, 100MHz TDD)</t>
        </is>
      </c>
      <c r="Q676" s="13">
        <f>ROUNDUP(O676/'Methodology &amp; Assumptions'!$B$6, 0)</f>
        <v/>
      </c>
      <c r="R676" s="13" t="n">
        <v>1</v>
      </c>
      <c r="S676" s="14" t="n">
        <v>22.12</v>
      </c>
      <c r="T676" s="14" t="n">
        <v>17.44</v>
      </c>
      <c r="U676" s="26">
        <f>IF(X676&gt;='Methodology &amp; Assumptions'!$B$7, "Tier 1 Critical GIDA (Score ≥ 50.0)", IF(X676&gt;='Methodology &amp; Assumptions'!$B$8, "Tier 2 High GIDA (Score 40.0–49.9)", "Tier 3 Moderate GIDA (Score &lt; 40.0)"))</f>
        <v/>
      </c>
      <c r="V676" s="26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W676" s="28" t="n">
        <v>0.174</v>
      </c>
      <c r="X676" s="14" t="n">
        <v>52.81</v>
      </c>
      <c r="Y676" s="14">
        <f>ROUND(MIN(100, (X676/69.91)*100), 2)</f>
        <v/>
      </c>
    </row>
    <row r="677">
      <c r="A677" s="10" t="n">
        <v>1</v>
      </c>
      <c r="B677" s="10" t="n">
        <v>673</v>
      </c>
      <c r="C677" s="10" t="n">
        <v>673</v>
      </c>
      <c r="D677" s="10" t="inlineStr">
        <is>
          <t>1003511014</t>
        </is>
      </c>
      <c r="E677" s="26" t="inlineStr">
        <is>
          <t>Region X (Northern Mindanao)</t>
        </is>
      </c>
      <c r="F677" s="26" t="inlineStr">
        <is>
          <t>Lanao del Norte</t>
        </is>
      </c>
      <c r="G677" s="26" t="inlineStr">
        <is>
          <t>Magsaysay</t>
        </is>
      </c>
      <c r="H677" s="26" t="inlineStr">
        <is>
          <t>Pelingkingan</t>
        </is>
      </c>
      <c r="I677" s="27" t="n">
        <v>8.027072</v>
      </c>
      <c r="J677" s="27" t="n">
        <v>123.89647</v>
      </c>
      <c r="K677" s="10" t="inlineStr">
        <is>
          <t>R</t>
        </is>
      </c>
      <c r="L677" s="12" t="n">
        <v>1040</v>
      </c>
      <c r="M677" s="14" t="n">
        <v>4.2</v>
      </c>
      <c r="N677" s="12">
        <f>ROUND(L677/M677, 0)</f>
        <v/>
      </c>
      <c r="O677" s="12">
        <f>ROUND(N677*'Methodology &amp; Assumptions'!$B$5, 0)</f>
        <v/>
      </c>
      <c r="P677" s="10" t="inlineStr">
        <is>
          <t>Single Carrier (Band n50, 100MHz TDD)</t>
        </is>
      </c>
      <c r="Q677" s="13">
        <f>ROUNDUP(O677/'Methodology &amp; Assumptions'!$B$6, 0)</f>
        <v/>
      </c>
      <c r="R677" s="13" t="n">
        <v>1</v>
      </c>
      <c r="S677" s="14" t="n">
        <v>10.86</v>
      </c>
      <c r="T677" s="14" t="n">
        <v>8.66</v>
      </c>
      <c r="U677" s="26">
        <f>IF(X677&gt;='Methodology &amp; Assumptions'!$B$7, "Tier 1 Critical GIDA (Score ≥ 50.0)", IF(X677&gt;='Methodology &amp; Assumptions'!$B$8, "Tier 2 High GIDA (Score 40.0–49.9)", "Tier 3 Moderate GIDA (Score &lt; 40.0)"))</f>
        <v/>
      </c>
      <c r="V677" s="26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W677" s="28" t="n">
        <v>0.174</v>
      </c>
      <c r="X677" s="14" t="n">
        <v>52.81</v>
      </c>
      <c r="Y677" s="14">
        <f>ROUND(MIN(100, (X677/69.91)*100), 2)</f>
        <v/>
      </c>
    </row>
    <row r="678">
      <c r="A678" s="10" t="n">
        <v>1</v>
      </c>
      <c r="B678" s="10" t="n">
        <v>674</v>
      </c>
      <c r="C678" s="10" t="n">
        <v>674</v>
      </c>
      <c r="D678" s="10" t="inlineStr">
        <is>
          <t>1906613057</t>
        </is>
      </c>
      <c r="E678" s="26" t="inlineStr">
        <is>
          <t>Bangsamoro Autonomous Region In Muslim Mindanao (BARMM)</t>
        </is>
      </c>
      <c r="F678" s="26" t="inlineStr">
        <is>
          <t>Sulu</t>
        </is>
      </c>
      <c r="G678" s="26" t="inlineStr">
        <is>
          <t>Talipao</t>
        </is>
      </c>
      <c r="H678" s="26" t="inlineStr">
        <is>
          <t>Upper Sinumaan</t>
        </is>
      </c>
      <c r="I678" s="27" t="n">
        <v>17.255455</v>
      </c>
      <c r="J678" s="27" t="n">
        <v>122.229499</v>
      </c>
      <c r="K678" s="10" t="inlineStr">
        <is>
          <t>U</t>
        </is>
      </c>
      <c r="L678" s="12" t="n">
        <v>1715</v>
      </c>
      <c r="M678" s="14" t="n">
        <v>6</v>
      </c>
      <c r="N678" s="12">
        <f>ROUND(L678/M678, 0)</f>
        <v/>
      </c>
      <c r="O678" s="12">
        <f>ROUND(N678*'Methodology &amp; Assumptions'!$B$5, 0)</f>
        <v/>
      </c>
      <c r="P678" s="10" t="inlineStr">
        <is>
          <t>Single Carrier (Band n50, 100MHz TDD)</t>
        </is>
      </c>
      <c r="Q678" s="13">
        <f>ROUNDUP(O678/'Methodology &amp; Assumptions'!$B$6, 0)</f>
        <v/>
      </c>
      <c r="R678" s="13" t="n">
        <v>1</v>
      </c>
      <c r="S678" s="14" t="n">
        <v>29.51</v>
      </c>
      <c r="T678" s="14" t="n">
        <v>34.38</v>
      </c>
      <c r="U678" s="26">
        <f>IF(X678&gt;='Methodology &amp; Assumptions'!$B$7, "Tier 1 Critical GIDA (Score ≥ 50.0)", IF(X678&gt;='Methodology &amp; Assumptions'!$B$8, "Tier 2 High GIDA (Score 40.0–49.9)", "Tier 3 Moderate GIDA (Score &lt; 40.0)"))</f>
        <v/>
      </c>
      <c r="V678" s="26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W678" s="28" t="n">
        <v>0.11</v>
      </c>
      <c r="X678" s="14" t="n">
        <v>52.81</v>
      </c>
      <c r="Y678" s="14">
        <f>ROUND(MIN(100, (X678/69.91)*100), 2)</f>
        <v/>
      </c>
    </row>
    <row r="679">
      <c r="A679" s="10" t="n">
        <v>1</v>
      </c>
      <c r="B679" s="10" t="n">
        <v>675</v>
      </c>
      <c r="C679" s="10" t="n">
        <v>675</v>
      </c>
      <c r="D679" s="10" t="inlineStr">
        <is>
          <t>1908806015</t>
        </is>
      </c>
      <c r="E679" s="26" t="inlineStr">
        <is>
          <t>Bangsamoro Autonomous Region In Muslim Mindanao (BARMM)</t>
        </is>
      </c>
      <c r="F679" s="26" t="inlineStr">
        <is>
          <t>Maguindanao del Sur</t>
        </is>
      </c>
      <c r="G679" s="26" t="inlineStr">
        <is>
          <t>Datu Paglas</t>
        </is>
      </c>
      <c r="H679" s="26" t="inlineStr">
        <is>
          <t>Mangadeg</t>
        </is>
      </c>
      <c r="I679" s="27" t="n">
        <v>17.254953</v>
      </c>
      <c r="J679" s="27" t="n">
        <v>122.228997</v>
      </c>
      <c r="K679" s="10" t="inlineStr">
        <is>
          <t>R</t>
        </is>
      </c>
      <c r="L679" s="12" t="n">
        <v>1344</v>
      </c>
      <c r="M679" s="14" t="n">
        <v>4.7</v>
      </c>
      <c r="N679" s="12">
        <f>ROUND(L679/M679, 0)</f>
        <v/>
      </c>
      <c r="O679" s="12">
        <f>ROUND(N679*'Methodology &amp; Assumptions'!$B$5, 0)</f>
        <v/>
      </c>
      <c r="P679" s="10" t="inlineStr">
        <is>
          <t>Single Carrier (Band n50, 100MHz TDD)</t>
        </is>
      </c>
      <c r="Q679" s="13">
        <f>ROUNDUP(O679/'Methodology &amp; Assumptions'!$B$6, 0)</f>
        <v/>
      </c>
      <c r="R679" s="13" t="n">
        <v>1</v>
      </c>
      <c r="S679" s="14" t="n">
        <v>29.43</v>
      </c>
      <c r="T679" s="14" t="n">
        <v>34.31</v>
      </c>
      <c r="U679" s="26">
        <f>IF(X679&gt;='Methodology &amp; Assumptions'!$B$7, "Tier 1 Critical GIDA (Score ≥ 50.0)", IF(X679&gt;='Methodology &amp; Assumptions'!$B$8, "Tier 2 High GIDA (Score 40.0–49.9)", "Tier 3 Moderate GIDA (Score &lt; 40.0)"))</f>
        <v/>
      </c>
      <c r="V679" s="26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W679" s="28" t="n">
        <v>0.11</v>
      </c>
      <c r="X679" s="14" t="n">
        <v>52.81</v>
      </c>
      <c r="Y679" s="14">
        <f>ROUND(MIN(100, (X679/69.91)*100), 2)</f>
        <v/>
      </c>
    </row>
    <row r="680">
      <c r="A680" s="10" t="n">
        <v>1</v>
      </c>
      <c r="B680" s="10" t="n">
        <v>676</v>
      </c>
      <c r="C680" s="10" t="n">
        <v>676</v>
      </c>
      <c r="D680" s="10" t="inlineStr">
        <is>
          <t>0907333010</t>
        </is>
      </c>
      <c r="E680" s="26" t="inlineStr">
        <is>
          <t>Region IX (Zamboanga Peninsula)</t>
        </is>
      </c>
      <c r="F680" s="26" t="inlineStr">
        <is>
          <t>Zamboanga del Sur</t>
        </is>
      </c>
      <c r="G680" s="26" t="inlineStr">
        <is>
          <t>Lakewood</t>
        </is>
      </c>
      <c r="H680" s="26" t="inlineStr">
        <is>
          <t>Matalang</t>
        </is>
      </c>
      <c r="I680" s="27" t="n">
        <v>7.854787</v>
      </c>
      <c r="J680" s="27" t="n">
        <v>123.151122</v>
      </c>
      <c r="K680" s="10" t="inlineStr">
        <is>
          <t>R</t>
        </is>
      </c>
      <c r="L680" s="12" t="n">
        <v>753</v>
      </c>
      <c r="M680" s="14" t="n">
        <v>3.9</v>
      </c>
      <c r="N680" s="12">
        <f>ROUND(L680/M680, 0)</f>
        <v/>
      </c>
      <c r="O680" s="12">
        <f>ROUND(N680*'Methodology &amp; Assumptions'!$B$5, 0)</f>
        <v/>
      </c>
      <c r="P680" s="10" t="inlineStr">
        <is>
          <t>Single Carrier (Band n50, 100MHz TDD)</t>
        </is>
      </c>
      <c r="Q680" s="13">
        <f>ROUNDUP(O680/'Methodology &amp; Assumptions'!$B$6, 0)</f>
        <v/>
      </c>
      <c r="R680" s="13" t="n">
        <v>1</v>
      </c>
      <c r="S680" s="14" t="n">
        <v>17.47</v>
      </c>
      <c r="T680" s="14" t="n">
        <v>7.9</v>
      </c>
      <c r="U680" s="26">
        <f>IF(X680&gt;='Methodology &amp; Assumptions'!$B$7, "Tier 1 Critical GIDA (Score ≥ 50.0)", IF(X680&gt;='Methodology &amp; Assumptions'!$B$8, "Tier 2 High GIDA (Score 40.0–49.9)", "Tier 3 Moderate GIDA (Score &lt; 40.0)"))</f>
        <v/>
      </c>
      <c r="V680" s="26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W680" s="28" t="n">
        <v>0.11</v>
      </c>
      <c r="X680" s="14" t="n">
        <v>52.8</v>
      </c>
      <c r="Y680" s="14">
        <f>ROUND(MIN(100, (X680/69.91)*100), 2)</f>
        <v/>
      </c>
    </row>
    <row r="681">
      <c r="A681" s="10" t="n">
        <v>1</v>
      </c>
      <c r="B681" s="10" t="n">
        <v>677</v>
      </c>
      <c r="C681" s="10" t="n">
        <v>677</v>
      </c>
      <c r="D681" s="10" t="inlineStr">
        <is>
          <t>1705313009</t>
        </is>
      </c>
      <c r="E681" s="26" t="inlineStr">
        <is>
          <t>MIMAROPA Region</t>
        </is>
      </c>
      <c r="F681" s="26" t="inlineStr">
        <is>
          <t>Palawan</t>
        </is>
      </c>
      <c r="G681" s="26" t="inlineStr">
        <is>
          <t>Linapacan</t>
        </is>
      </c>
      <c r="H681" s="26" t="inlineStr">
        <is>
          <t>Pical</t>
        </is>
      </c>
      <c r="I681" s="27" t="n">
        <v>11.266262</v>
      </c>
      <c r="J681" s="27" t="n">
        <v>119.673924</v>
      </c>
      <c r="K681" s="10" t="inlineStr">
        <is>
          <t>R</t>
        </is>
      </c>
      <c r="L681" s="12" t="n">
        <v>1771</v>
      </c>
      <c r="M681" s="14" t="n">
        <v>3.9</v>
      </c>
      <c r="N681" s="12">
        <f>ROUND(L681/M681, 0)</f>
        <v/>
      </c>
      <c r="O681" s="12">
        <f>ROUND(N681*'Methodology &amp; Assumptions'!$B$5, 0)</f>
        <v/>
      </c>
      <c r="P681" s="10" t="inlineStr">
        <is>
          <t>Single Carrier (Band n50, 100MHz TDD)</t>
        </is>
      </c>
      <c r="Q681" s="13">
        <f>ROUNDUP(O681/'Methodology &amp; Assumptions'!$B$6, 0)</f>
        <v/>
      </c>
      <c r="R681" s="13" t="n">
        <v>1</v>
      </c>
      <c r="S681" s="14" t="n">
        <v>13.51</v>
      </c>
      <c r="T681" s="14" t="n">
        <v>52.55</v>
      </c>
      <c r="U681" s="26">
        <f>IF(X681&gt;='Methodology &amp; Assumptions'!$B$7, "Tier 1 Critical GIDA (Score ≥ 50.0)", IF(X681&gt;='Methodology &amp; Assumptions'!$B$8, "Tier 2 High GIDA (Score 40.0–49.9)", "Tier 3 Moderate GIDA (Score &lt; 40.0)"))</f>
        <v/>
      </c>
      <c r="V681" s="26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W681" s="28" t="n">
        <v>0.15</v>
      </c>
      <c r="X681" s="14" t="n">
        <v>52.8</v>
      </c>
      <c r="Y681" s="14">
        <f>ROUND(MIN(100, (X681/69.91)*100), 2)</f>
        <v/>
      </c>
    </row>
    <row r="682">
      <c r="A682" s="10" t="n">
        <v>1</v>
      </c>
      <c r="B682" s="10" t="n">
        <v>678</v>
      </c>
      <c r="C682" s="10" t="n">
        <v>678</v>
      </c>
      <c r="D682" s="10" t="inlineStr">
        <is>
          <t>1003514012</t>
        </is>
      </c>
      <c r="E682" s="26" t="inlineStr">
        <is>
          <t>Region X (Northern Mindanao)</t>
        </is>
      </c>
      <c r="F682" s="26" t="inlineStr">
        <is>
          <t>Lanao del Norte</t>
        </is>
      </c>
      <c r="G682" s="26" t="inlineStr">
        <is>
          <t>Munai</t>
        </is>
      </c>
      <c r="H682" s="26" t="inlineStr">
        <is>
          <t>Lingco-an</t>
        </is>
      </c>
      <c r="I682" s="27" t="n">
        <v>8.046037999999999</v>
      </c>
      <c r="J682" s="27" t="n">
        <v>124.070217</v>
      </c>
      <c r="K682" s="10" t="inlineStr">
        <is>
          <t>R</t>
        </is>
      </c>
      <c r="L682" s="12" t="n">
        <v>1011</v>
      </c>
      <c r="M682" s="14" t="n">
        <v>4.2</v>
      </c>
      <c r="N682" s="12">
        <f>ROUND(L682/M682, 0)</f>
        <v/>
      </c>
      <c r="O682" s="12">
        <f>ROUND(N682*'Methodology &amp; Assumptions'!$B$5, 0)</f>
        <v/>
      </c>
      <c r="P682" s="10" t="inlineStr">
        <is>
          <t>Single Carrier (Band n50, 100MHz TDD)</t>
        </is>
      </c>
      <c r="Q682" s="13">
        <f>ROUNDUP(O682/'Methodology &amp; Assumptions'!$B$6, 0)</f>
        <v/>
      </c>
      <c r="R682" s="13" t="n">
        <v>1</v>
      </c>
      <c r="S682" s="14" t="n">
        <v>22.83</v>
      </c>
      <c r="T682" s="14" t="n">
        <v>15.46</v>
      </c>
      <c r="U682" s="26">
        <f>IF(X682&gt;='Methodology &amp; Assumptions'!$B$7, "Tier 1 Critical GIDA (Score ≥ 50.0)", IF(X682&gt;='Methodology &amp; Assumptions'!$B$8, "Tier 2 High GIDA (Score 40.0–49.9)", "Tier 3 Moderate GIDA (Score &lt; 40.0)"))</f>
        <v/>
      </c>
      <c r="V682" s="26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W682" s="28" t="n">
        <v>0.174</v>
      </c>
      <c r="X682" s="14" t="n">
        <v>52.8</v>
      </c>
      <c r="Y682" s="14">
        <f>ROUND(MIN(100, (X682/69.91)*100), 2)</f>
        <v/>
      </c>
    </row>
    <row r="683">
      <c r="A683" s="10" t="n">
        <v>1</v>
      </c>
      <c r="B683" s="10" t="n">
        <v>679</v>
      </c>
      <c r="C683" s="10" t="n">
        <v>679</v>
      </c>
      <c r="D683" s="10" t="inlineStr">
        <is>
          <t>1903638013</t>
        </is>
      </c>
      <c r="E683" s="26" t="inlineStr">
        <is>
          <t>Bangsamoro Autonomous Region In Muslim Mindanao (BARMM)</t>
        </is>
      </c>
      <c r="F683" s="26" t="inlineStr">
        <is>
          <t>Lanao del Sur</t>
        </is>
      </c>
      <c r="G683" s="26" t="inlineStr">
        <is>
          <t>Tagoloan Ii</t>
        </is>
      </c>
      <c r="H683" s="26" t="inlineStr">
        <is>
          <t>Kalilangan</t>
        </is>
      </c>
      <c r="I683" s="27" t="n">
        <v>17.250763</v>
      </c>
      <c r="J683" s="27" t="n">
        <v>122.231956</v>
      </c>
      <c r="K683" s="10" t="inlineStr">
        <is>
          <t>R</t>
        </is>
      </c>
      <c r="L683" s="12" t="n">
        <v>545</v>
      </c>
      <c r="M683" s="14" t="n">
        <v>5.7</v>
      </c>
      <c r="N683" s="12">
        <f>ROUND(L683/M683, 0)</f>
        <v/>
      </c>
      <c r="O683" s="12">
        <f>ROUND(N683*'Methodology &amp; Assumptions'!$B$5, 0)</f>
        <v/>
      </c>
      <c r="P683" s="10" t="inlineStr">
        <is>
          <t>Single Carrier (Band n50, 100MHz TDD)</t>
        </is>
      </c>
      <c r="Q683" s="13">
        <f>ROUNDUP(O683/'Methodology &amp; Assumptions'!$B$6, 0)</f>
        <v/>
      </c>
      <c r="R683" s="13" t="n">
        <v>1</v>
      </c>
      <c r="S683" s="14" t="n">
        <v>29.38</v>
      </c>
      <c r="T683" s="14" t="n">
        <v>34.48</v>
      </c>
      <c r="U683" s="26">
        <f>IF(X683&gt;='Methodology &amp; Assumptions'!$B$7, "Tier 1 Critical GIDA (Score ≥ 50.0)", IF(X683&gt;='Methodology &amp; Assumptions'!$B$8, "Tier 2 High GIDA (Score 40.0–49.9)", "Tier 3 Moderate GIDA (Score &lt; 40.0)"))</f>
        <v/>
      </c>
      <c r="V683" s="26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W683" s="28" t="n">
        <v>0.11</v>
      </c>
      <c r="X683" s="14" t="n">
        <v>52.8</v>
      </c>
      <c r="Y683" s="14">
        <f>ROUND(MIN(100, (X683/69.91)*100), 2)</f>
        <v/>
      </c>
    </row>
    <row r="684">
      <c r="A684" s="10" t="n">
        <v>1</v>
      </c>
      <c r="B684" s="10" t="n">
        <v>680</v>
      </c>
      <c r="C684" s="10" t="n">
        <v>680</v>
      </c>
      <c r="D684" s="10" t="inlineStr">
        <is>
          <t>1003521010</t>
        </is>
      </c>
      <c r="E684" s="26" t="inlineStr">
        <is>
          <t>Region X (Northern Mindanao)</t>
        </is>
      </c>
      <c r="F684" s="26" t="inlineStr">
        <is>
          <t>Lanao del Norte</t>
        </is>
      </c>
      <c r="G684" s="26" t="inlineStr">
        <is>
          <t>Tangcal</t>
        </is>
      </c>
      <c r="H684" s="26" t="inlineStr">
        <is>
          <t>Lindongan</t>
        </is>
      </c>
      <c r="I684" s="27" t="n">
        <v>8.030326000000001</v>
      </c>
      <c r="J684" s="27" t="n">
        <v>123.967622</v>
      </c>
      <c r="K684" s="10" t="inlineStr">
        <is>
          <t>R</t>
        </is>
      </c>
      <c r="L684" s="12" t="n">
        <v>411</v>
      </c>
      <c r="M684" s="14" t="n">
        <v>4.2</v>
      </c>
      <c r="N684" s="12">
        <f>ROUND(L684/M684, 0)</f>
        <v/>
      </c>
      <c r="O684" s="12">
        <f>ROUND(N684*'Methodology &amp; Assumptions'!$B$5, 0)</f>
        <v/>
      </c>
      <c r="P684" s="10" t="inlineStr">
        <is>
          <t>Single Carrier (Band n50, 100MHz TDD)</t>
        </is>
      </c>
      <c r="Q684" s="13">
        <f>ROUNDUP(O684/'Methodology &amp; Assumptions'!$B$6, 0)</f>
        <v/>
      </c>
      <c r="R684" s="13" t="n">
        <v>1</v>
      </c>
      <c r="S684" s="14" t="n">
        <v>18.6</v>
      </c>
      <c r="T684" s="14" t="n">
        <v>11.9</v>
      </c>
      <c r="U684" s="26">
        <f>IF(X684&gt;='Methodology &amp; Assumptions'!$B$7, "Tier 1 Critical GIDA (Score ≥ 50.0)", IF(X684&gt;='Methodology &amp; Assumptions'!$B$8, "Tier 2 High GIDA (Score 40.0–49.9)", "Tier 3 Moderate GIDA (Score &lt; 40.0)"))</f>
        <v/>
      </c>
      <c r="V684" s="26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W684" s="28" t="n">
        <v>0.174</v>
      </c>
      <c r="X684" s="14" t="n">
        <v>52.8</v>
      </c>
      <c r="Y684" s="14">
        <f>ROUND(MIN(100, (X684/69.91)*100), 2)</f>
        <v/>
      </c>
    </row>
    <row r="685">
      <c r="A685" s="10" t="n">
        <v>1</v>
      </c>
      <c r="B685" s="10" t="n">
        <v>681</v>
      </c>
      <c r="C685" s="10" t="n">
        <v>681</v>
      </c>
      <c r="D685" s="10" t="inlineStr">
        <is>
          <t>0907307007</t>
        </is>
      </c>
      <c r="E685" s="26" t="inlineStr">
        <is>
          <t>Region IX (Zamboanga Peninsula)</t>
        </is>
      </c>
      <c r="F685" s="26" t="inlineStr">
        <is>
          <t>Zamboanga del Sur</t>
        </is>
      </c>
      <c r="G685" s="26" t="inlineStr">
        <is>
          <t>Dumalinao</t>
        </is>
      </c>
      <c r="H685" s="26" t="inlineStr">
        <is>
          <t>Banta-ao</t>
        </is>
      </c>
      <c r="I685" s="27" t="n">
        <v>7.80613</v>
      </c>
      <c r="J685" s="27" t="n">
        <v>123.338025</v>
      </c>
      <c r="K685" s="10" t="inlineStr">
        <is>
          <t>R</t>
        </is>
      </c>
      <c r="L685" s="12" t="n">
        <v>389</v>
      </c>
      <c r="M685" s="14" t="n">
        <v>3.9</v>
      </c>
      <c r="N685" s="12">
        <f>ROUND(L685/M685, 0)</f>
        <v/>
      </c>
      <c r="O685" s="12">
        <f>ROUND(N685*'Methodology &amp; Assumptions'!$B$5, 0)</f>
        <v/>
      </c>
      <c r="P685" s="10" t="inlineStr">
        <is>
          <t>Single Carrier (Band n50, 100MHz TDD)</t>
        </is>
      </c>
      <c r="Q685" s="13">
        <f>ROUNDUP(O685/'Methodology &amp; Assumptions'!$B$6, 0)</f>
        <v/>
      </c>
      <c r="R685" s="13" t="n">
        <v>1</v>
      </c>
      <c r="S685" s="14" t="n">
        <v>11.49</v>
      </c>
      <c r="T685" s="14" t="n">
        <v>1.55</v>
      </c>
      <c r="U685" s="26">
        <f>IF(X685&gt;='Methodology &amp; Assumptions'!$B$7, "Tier 1 Critical GIDA (Score ≥ 50.0)", IF(X685&gt;='Methodology &amp; Assumptions'!$B$8, "Tier 2 High GIDA (Score 40.0–49.9)", "Tier 3 Moderate GIDA (Score &lt; 40.0)"))</f>
        <v/>
      </c>
      <c r="V685" s="26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W685" s="28" t="n">
        <v>0.11</v>
      </c>
      <c r="X685" s="14" t="n">
        <v>52.8</v>
      </c>
      <c r="Y685" s="14">
        <f>ROUND(MIN(100, (X685/69.91)*100), 2)</f>
        <v/>
      </c>
    </row>
    <row r="686">
      <c r="A686" s="10" t="n">
        <v>1</v>
      </c>
      <c r="B686" s="10" t="n">
        <v>682</v>
      </c>
      <c r="C686" s="10" t="n">
        <v>682</v>
      </c>
      <c r="D686" s="10" t="inlineStr">
        <is>
          <t>0600410020</t>
        </is>
      </c>
      <c r="E686" s="26" t="inlineStr">
        <is>
          <t>Region VI (Western Visayas)</t>
        </is>
      </c>
      <c r="F686" s="26" t="inlineStr">
        <is>
          <t>Aklan</t>
        </is>
      </c>
      <c r="G686" s="26" t="inlineStr">
        <is>
          <t>Madalag</t>
        </is>
      </c>
      <c r="H686" s="26" t="inlineStr">
        <is>
          <t>Poblacion</t>
        </is>
      </c>
      <c r="I686" s="27" t="n">
        <v>11.527461</v>
      </c>
      <c r="J686" s="27" t="n">
        <v>122.305813</v>
      </c>
      <c r="K686" s="10" t="inlineStr">
        <is>
          <t>R</t>
        </is>
      </c>
      <c r="L686" s="12" t="n">
        <v>1870</v>
      </c>
      <c r="M686" s="14" t="n">
        <v>3.9</v>
      </c>
      <c r="N686" s="12">
        <f>ROUND(L686/M686, 0)</f>
        <v/>
      </c>
      <c r="O686" s="12">
        <f>ROUND(N686*'Methodology &amp; Assumptions'!$B$5, 0)</f>
        <v/>
      </c>
      <c r="P686" s="10" t="inlineStr">
        <is>
          <t>Single Carrier (Band n50, 100MHz TDD)</t>
        </is>
      </c>
      <c r="Q686" s="13">
        <f>ROUNDUP(O686/'Methodology &amp; Assumptions'!$B$6, 0)</f>
        <v/>
      </c>
      <c r="R686" s="13" t="n">
        <v>1</v>
      </c>
      <c r="S686" s="14" t="n">
        <v>8.24</v>
      </c>
      <c r="T686" s="14" t="n">
        <v>7.6</v>
      </c>
      <c r="U686" s="26">
        <f>IF(X686&gt;='Methodology &amp; Assumptions'!$B$7, "Tier 1 Critical GIDA (Score ≥ 50.0)", IF(X686&gt;='Methodology &amp; Assumptions'!$B$8, "Tier 2 High GIDA (Score 40.0–49.9)", "Tier 3 Moderate GIDA (Score &lt; 40.0)"))</f>
        <v/>
      </c>
      <c r="V686" s="26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W686" s="28" t="n">
        <v>0.237</v>
      </c>
      <c r="X686" s="14" t="n">
        <v>52.8</v>
      </c>
      <c r="Y686" s="14">
        <f>ROUND(MIN(100, (X686/69.91)*100), 2)</f>
        <v/>
      </c>
    </row>
    <row r="687">
      <c r="A687" s="10" t="n">
        <v>1</v>
      </c>
      <c r="B687" s="10" t="n">
        <v>683</v>
      </c>
      <c r="C687" s="10" t="n">
        <v>683</v>
      </c>
      <c r="D687" s="10" t="inlineStr">
        <is>
          <t>0907344002</t>
        </is>
      </c>
      <c r="E687" s="26" t="inlineStr">
        <is>
          <t>Region IX (Zamboanga Peninsula)</t>
        </is>
      </c>
      <c r="F687" s="26" t="inlineStr">
        <is>
          <t>Zamboanga del Sur</t>
        </is>
      </c>
      <c r="G687" s="26" t="inlineStr">
        <is>
          <t>Tigbao</t>
        </is>
      </c>
      <c r="H687" s="26" t="inlineStr">
        <is>
          <t>Busol</t>
        </is>
      </c>
      <c r="I687" s="27" t="n">
        <v>7.853889</v>
      </c>
      <c r="J687" s="27" t="n">
        <v>123.238798</v>
      </c>
      <c r="K687" s="10" t="inlineStr">
        <is>
          <t>R</t>
        </is>
      </c>
      <c r="L687" s="12" t="n">
        <v>752</v>
      </c>
      <c r="M687" s="14" t="n">
        <v>3.9</v>
      </c>
      <c r="N687" s="12">
        <f>ROUND(L687/M687, 0)</f>
        <v/>
      </c>
      <c r="O687" s="12">
        <f>ROUND(N687*'Methodology &amp; Assumptions'!$B$5, 0)</f>
        <v/>
      </c>
      <c r="P687" s="10" t="inlineStr">
        <is>
          <t>Single Carrier (Band n50, 100MHz TDD)</t>
        </is>
      </c>
      <c r="Q687" s="13">
        <f>ROUNDUP(O687/'Methodology &amp; Assumptions'!$B$6, 0)</f>
        <v/>
      </c>
      <c r="R687" s="13" t="n">
        <v>1</v>
      </c>
      <c r="S687" s="14" t="n">
        <v>22.23</v>
      </c>
      <c r="T687" s="14" t="n">
        <v>1.56</v>
      </c>
      <c r="U687" s="26">
        <f>IF(X687&gt;='Methodology &amp; Assumptions'!$B$7, "Tier 1 Critical GIDA (Score ≥ 50.0)", IF(X687&gt;='Methodology &amp; Assumptions'!$B$8, "Tier 2 High GIDA (Score 40.0–49.9)", "Tier 3 Moderate GIDA (Score &lt; 40.0)"))</f>
        <v/>
      </c>
      <c r="V687" s="26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W687" s="28" t="n">
        <v>0.11</v>
      </c>
      <c r="X687" s="14" t="n">
        <v>52.8</v>
      </c>
      <c r="Y687" s="14">
        <f>ROUND(MIN(100, (X687/69.91)*100), 2)</f>
        <v/>
      </c>
    </row>
    <row r="688">
      <c r="A688" s="10" t="n">
        <v>1</v>
      </c>
      <c r="B688" s="10" t="n">
        <v>684</v>
      </c>
      <c r="C688" s="10" t="n">
        <v>684</v>
      </c>
      <c r="D688" s="10" t="inlineStr">
        <is>
          <t>1903610032</t>
        </is>
      </c>
      <c r="E688" s="26" t="inlineStr">
        <is>
          <t>Bangsamoro Autonomous Region In Muslim Mindanao (BARMM)</t>
        </is>
      </c>
      <c r="F688" s="26" t="inlineStr">
        <is>
          <t>Lanao del Sur</t>
        </is>
      </c>
      <c r="G688" s="26" t="inlineStr">
        <is>
          <t>Kapai</t>
        </is>
      </c>
      <c r="H688" s="26" t="inlineStr">
        <is>
          <t>Kining</t>
        </is>
      </c>
      <c r="I688" s="27" t="n">
        <v>17.254403</v>
      </c>
      <c r="J688" s="27" t="n">
        <v>122.228447</v>
      </c>
      <c r="K688" s="10" t="inlineStr">
        <is>
          <t>R</t>
        </is>
      </c>
      <c r="L688" s="12" t="n">
        <v>869</v>
      </c>
      <c r="M688" s="14" t="n">
        <v>5.7</v>
      </c>
      <c r="N688" s="12">
        <f>ROUND(L688/M688, 0)</f>
        <v/>
      </c>
      <c r="O688" s="12">
        <f>ROUND(N688*'Methodology &amp; Assumptions'!$B$5, 0)</f>
        <v/>
      </c>
      <c r="P688" s="10" t="inlineStr">
        <is>
          <t>Single Carrier (Band n50, 100MHz TDD)</t>
        </is>
      </c>
      <c r="Q688" s="13">
        <f>ROUNDUP(O688/'Methodology &amp; Assumptions'!$B$6, 0)</f>
        <v/>
      </c>
      <c r="R688" s="13" t="n">
        <v>1</v>
      </c>
      <c r="S688" s="14" t="n">
        <v>29.35</v>
      </c>
      <c r="T688" s="14" t="n">
        <v>34.24</v>
      </c>
      <c r="U688" s="26">
        <f>IF(X688&gt;='Methodology &amp; Assumptions'!$B$7, "Tier 1 Critical GIDA (Score ≥ 50.0)", IF(X688&gt;='Methodology &amp; Assumptions'!$B$8, "Tier 2 High GIDA (Score 40.0–49.9)", "Tier 3 Moderate GIDA (Score &lt; 40.0)"))</f>
        <v/>
      </c>
      <c r="V688" s="26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W688" s="28" t="n">
        <v>0.11</v>
      </c>
      <c r="X688" s="14" t="n">
        <v>52.8</v>
      </c>
      <c r="Y688" s="14">
        <f>ROUND(MIN(100, (X688/69.91)*100), 2)</f>
        <v/>
      </c>
    </row>
    <row r="689">
      <c r="A689" s="10" t="n">
        <v>1</v>
      </c>
      <c r="B689" s="10" t="n">
        <v>685</v>
      </c>
      <c r="C689" s="10" t="n">
        <v>685</v>
      </c>
      <c r="D689" s="10" t="inlineStr">
        <is>
          <t>1906605010</t>
        </is>
      </c>
      <c r="E689" s="26" t="inlineStr">
        <is>
          <t>Bangsamoro Autonomous Region In Muslim Mindanao (BARMM)</t>
        </is>
      </c>
      <c r="F689" s="26" t="inlineStr">
        <is>
          <t>Sulu</t>
        </is>
      </c>
      <c r="G689" s="26" t="inlineStr">
        <is>
          <t>Maimbung</t>
        </is>
      </c>
      <c r="H689" s="26" t="inlineStr">
        <is>
          <t>Kandang</t>
        </is>
      </c>
      <c r="I689" s="27" t="n">
        <v>16.119699</v>
      </c>
      <c r="J689" s="27" t="n">
        <v>122.112107</v>
      </c>
      <c r="K689" s="10" t="inlineStr">
        <is>
          <t>R</t>
        </is>
      </c>
      <c r="L689" s="12" t="n">
        <v>1147</v>
      </c>
      <c r="M689" s="14" t="n">
        <v>6</v>
      </c>
      <c r="N689" s="12">
        <f>ROUND(L689/M689, 0)</f>
        <v/>
      </c>
      <c r="O689" s="12">
        <f>ROUND(N689*'Methodology &amp; Assumptions'!$B$5, 0)</f>
        <v/>
      </c>
      <c r="P689" s="10" t="inlineStr">
        <is>
          <t>Single Carrier (Band n50, 100MHz TDD)</t>
        </is>
      </c>
      <c r="Q689" s="13">
        <f>ROUNDUP(O689/'Methodology &amp; Assumptions'!$B$6, 0)</f>
        <v/>
      </c>
      <c r="R689" s="13" t="n">
        <v>1</v>
      </c>
      <c r="S689" s="14" t="n">
        <v>12.31</v>
      </c>
      <c r="T689" s="14" t="n">
        <v>11.24</v>
      </c>
      <c r="U689" s="26">
        <f>IF(X689&gt;='Methodology &amp; Assumptions'!$B$7, "Tier 1 Critical GIDA (Score ≥ 50.0)", IF(X689&gt;='Methodology &amp; Assumptions'!$B$8, "Tier 2 High GIDA (Score 40.0–49.9)", "Tier 3 Moderate GIDA (Score &lt; 40.0)"))</f>
        <v/>
      </c>
      <c r="V689" s="26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W689" s="28" t="n">
        <v>0.11</v>
      </c>
      <c r="X689" s="14" t="n">
        <v>52.79</v>
      </c>
      <c r="Y689" s="14">
        <f>ROUND(MIN(100, (X689/69.91)*100), 2)</f>
        <v/>
      </c>
    </row>
    <row r="690">
      <c r="A690" s="10" t="n">
        <v>1</v>
      </c>
      <c r="B690" s="10" t="n">
        <v>686</v>
      </c>
      <c r="C690" s="10" t="n">
        <v>686</v>
      </c>
      <c r="D690" s="10" t="inlineStr">
        <is>
          <t>1003514025</t>
        </is>
      </c>
      <c r="E690" s="26" t="inlineStr">
        <is>
          <t>Region X (Northern Mindanao)</t>
        </is>
      </c>
      <c r="F690" s="26" t="inlineStr">
        <is>
          <t>Lanao del Norte</t>
        </is>
      </c>
      <c r="G690" s="26" t="inlineStr">
        <is>
          <t>Munai</t>
        </is>
      </c>
      <c r="H690" s="26" t="inlineStr">
        <is>
          <t>Pantaon</t>
        </is>
      </c>
      <c r="I690" s="27" t="n">
        <v>8.034284</v>
      </c>
      <c r="J690" s="27" t="n">
        <v>124.087243</v>
      </c>
      <c r="K690" s="10" t="inlineStr">
        <is>
          <t>R</t>
        </is>
      </c>
      <c r="L690" s="12" t="n">
        <v>675</v>
      </c>
      <c r="M690" s="14" t="n">
        <v>4.2</v>
      </c>
      <c r="N690" s="12">
        <f>ROUND(L690/M690, 0)</f>
        <v/>
      </c>
      <c r="O690" s="12">
        <f>ROUND(N690*'Methodology &amp; Assumptions'!$B$5, 0)</f>
        <v/>
      </c>
      <c r="P690" s="10" t="inlineStr">
        <is>
          <t>Single Carrier (Band n50, 100MHz TDD)</t>
        </is>
      </c>
      <c r="Q690" s="13">
        <f>ROUNDUP(O690/'Methodology &amp; Assumptions'!$B$6, 0)</f>
        <v/>
      </c>
      <c r="R690" s="13" t="n">
        <v>1</v>
      </c>
      <c r="S690" s="14" t="n">
        <v>20.77</v>
      </c>
      <c r="T690" s="14" t="n">
        <v>16.8</v>
      </c>
      <c r="U690" s="26">
        <f>IF(X690&gt;='Methodology &amp; Assumptions'!$B$7, "Tier 1 Critical GIDA (Score ≥ 50.0)", IF(X690&gt;='Methodology &amp; Assumptions'!$B$8, "Tier 2 High GIDA (Score 40.0–49.9)", "Tier 3 Moderate GIDA (Score &lt; 40.0)"))</f>
        <v/>
      </c>
      <c r="V690" s="26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W690" s="28" t="n">
        <v>0.174</v>
      </c>
      <c r="X690" s="14" t="n">
        <v>52.79</v>
      </c>
      <c r="Y690" s="14">
        <f>ROUND(MIN(100, (X690/69.91)*100), 2)</f>
        <v/>
      </c>
    </row>
    <row r="691">
      <c r="A691" s="10" t="n">
        <v>1</v>
      </c>
      <c r="B691" s="10" t="n">
        <v>687</v>
      </c>
      <c r="C691" s="10" t="n">
        <v>687</v>
      </c>
      <c r="D691" s="10" t="inlineStr">
        <is>
          <t>1003514031</t>
        </is>
      </c>
      <c r="E691" s="26" t="inlineStr">
        <is>
          <t>Region X (Northern Mindanao)</t>
        </is>
      </c>
      <c r="F691" s="26" t="inlineStr">
        <is>
          <t>Lanao del Norte</t>
        </is>
      </c>
      <c r="G691" s="26" t="inlineStr">
        <is>
          <t>Munai</t>
        </is>
      </c>
      <c r="H691" s="26" t="inlineStr">
        <is>
          <t>Tagoranao</t>
        </is>
      </c>
      <c r="I691" s="27" t="n">
        <v>8.031287000000001</v>
      </c>
      <c r="J691" s="27" t="n">
        <v>124.064145</v>
      </c>
      <c r="K691" s="10" t="inlineStr">
        <is>
          <t>R</t>
        </is>
      </c>
      <c r="L691" s="12" t="n">
        <v>452</v>
      </c>
      <c r="M691" s="14" t="n">
        <v>4.2</v>
      </c>
      <c r="N691" s="12">
        <f>ROUND(L691/M691, 0)</f>
        <v/>
      </c>
      <c r="O691" s="12">
        <f>ROUND(N691*'Methodology &amp; Assumptions'!$B$5, 0)</f>
        <v/>
      </c>
      <c r="P691" s="10" t="inlineStr">
        <is>
          <t>Single Carrier (Band n50, 100MHz TDD)</t>
        </is>
      </c>
      <c r="Q691" s="13">
        <f>ROUNDUP(O691/'Methodology &amp; Assumptions'!$B$6, 0)</f>
        <v/>
      </c>
      <c r="R691" s="13" t="n">
        <v>1</v>
      </c>
      <c r="S691" s="14" t="n">
        <v>23.26</v>
      </c>
      <c r="T691" s="14" t="n">
        <v>17.08</v>
      </c>
      <c r="U691" s="26">
        <f>IF(X691&gt;='Methodology &amp; Assumptions'!$B$7, "Tier 1 Critical GIDA (Score ≥ 50.0)", IF(X691&gt;='Methodology &amp; Assumptions'!$B$8, "Tier 2 High GIDA (Score 40.0–49.9)", "Tier 3 Moderate GIDA (Score &lt; 40.0)"))</f>
        <v/>
      </c>
      <c r="V691" s="26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W691" s="28" t="n">
        <v>0.174</v>
      </c>
      <c r="X691" s="14" t="n">
        <v>52.79</v>
      </c>
      <c r="Y691" s="14">
        <f>ROUND(MIN(100, (X691/69.91)*100), 2)</f>
        <v/>
      </c>
    </row>
    <row r="692">
      <c r="A692" s="10" t="n">
        <v>1</v>
      </c>
      <c r="B692" s="10" t="n">
        <v>688</v>
      </c>
      <c r="C692" s="10" t="n">
        <v>688</v>
      </c>
      <c r="D692" s="10" t="inlineStr">
        <is>
          <t>1705313004</t>
        </is>
      </c>
      <c r="E692" s="26" t="inlineStr">
        <is>
          <t>MIMAROPA Region</t>
        </is>
      </c>
      <c r="F692" s="26" t="inlineStr">
        <is>
          <t>Palawan</t>
        </is>
      </c>
      <c r="G692" s="26" t="inlineStr">
        <is>
          <t>Linapacan</t>
        </is>
      </c>
      <c r="H692" s="26" t="inlineStr">
        <is>
          <t>Decabaitot</t>
        </is>
      </c>
      <c r="I692" s="27" t="n">
        <v>11.648391</v>
      </c>
      <c r="J692" s="27" t="n">
        <v>119.963562</v>
      </c>
      <c r="K692" s="10" t="inlineStr">
        <is>
          <t>R</t>
        </is>
      </c>
      <c r="L692" s="12" t="n">
        <v>875</v>
      </c>
      <c r="M692" s="14" t="n">
        <v>3.9</v>
      </c>
      <c r="N692" s="12">
        <f>ROUND(L692/M692, 0)</f>
        <v/>
      </c>
      <c r="O692" s="12">
        <f>ROUND(N692*'Methodology &amp; Assumptions'!$B$5, 0)</f>
        <v/>
      </c>
      <c r="P692" s="10" t="inlineStr">
        <is>
          <t>Single Carrier (Band n50, 100MHz TDD)</t>
        </is>
      </c>
      <c r="Q692" s="13">
        <f>ROUNDUP(O692/'Methodology &amp; Assumptions'!$B$6, 0)</f>
        <v/>
      </c>
      <c r="R692" s="13" t="n">
        <v>1</v>
      </c>
      <c r="S692" s="14" t="n">
        <v>48.27</v>
      </c>
      <c r="T692" s="14" t="n">
        <v>104.41</v>
      </c>
      <c r="U692" s="26">
        <f>IF(X692&gt;='Methodology &amp; Assumptions'!$B$7, "Tier 1 Critical GIDA (Score ≥ 50.0)", IF(X692&gt;='Methodology &amp; Assumptions'!$B$8, "Tier 2 High GIDA (Score 40.0–49.9)", "Tier 3 Moderate GIDA (Score &lt; 40.0)"))</f>
        <v/>
      </c>
      <c r="V692" s="26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W692" s="28" t="n">
        <v>0.15</v>
      </c>
      <c r="X692" s="14" t="n">
        <v>52.79</v>
      </c>
      <c r="Y692" s="14">
        <f>ROUND(MIN(100, (X692/69.91)*100), 2)</f>
        <v/>
      </c>
    </row>
    <row r="693">
      <c r="A693" s="10" t="n">
        <v>1</v>
      </c>
      <c r="B693" s="10" t="n">
        <v>689</v>
      </c>
      <c r="C693" s="10" t="n">
        <v>689</v>
      </c>
      <c r="D693" s="10" t="inlineStr">
        <is>
          <t>1380601037</t>
        </is>
      </c>
      <c r="E693" s="26" t="inlineStr">
        <is>
          <t>National Capital Region (NCR)</t>
        </is>
      </c>
      <c r="F693" s="26" t="inlineStr">
        <is>
          <t>First District (Not a Province)</t>
        </is>
      </c>
      <c r="G693" s="26" t="inlineStr">
        <is>
          <t>City of Manila</t>
        </is>
      </c>
      <c r="H693" s="26" t="inlineStr">
        <is>
          <t>Barangay 37</t>
        </is>
      </c>
      <c r="I693" s="27" t="n">
        <v>12.831407</v>
      </c>
      <c r="J693" s="27" t="n">
        <v>121.880238</v>
      </c>
      <c r="K693" s="10" t="inlineStr">
        <is>
          <t>U</t>
        </is>
      </c>
      <c r="L693" s="12" t="n">
        <v>2119</v>
      </c>
      <c r="M693" s="14" t="n">
        <v>3.9</v>
      </c>
      <c r="N693" s="12">
        <f>ROUND(L693/M693, 0)</f>
        <v/>
      </c>
      <c r="O693" s="12">
        <f>ROUND(N693*'Methodology &amp; Assumptions'!$B$5, 0)</f>
        <v/>
      </c>
      <c r="P693" s="10" t="inlineStr">
        <is>
          <t>Single Carrier (Band n50, 100MHz TDD)</t>
        </is>
      </c>
      <c r="Q693" s="13">
        <f>ROUNDUP(O693/'Methodology &amp; Assumptions'!$B$6, 0)</f>
        <v/>
      </c>
      <c r="R693" s="13" t="n">
        <v>1</v>
      </c>
      <c r="S693" s="14" t="n">
        <v>43.7</v>
      </c>
      <c r="T693" s="14" t="n">
        <v>43.46</v>
      </c>
      <c r="U693" s="26">
        <f>IF(X693&gt;='Methodology &amp; Assumptions'!$B$7, "Tier 1 Critical GIDA (Score ≥ 50.0)", IF(X693&gt;='Methodology &amp; Assumptions'!$B$8, "Tier 2 High GIDA (Score 40.0–49.9)", "Tier 3 Moderate GIDA (Score &lt; 40.0)"))</f>
        <v/>
      </c>
      <c r="V693" s="26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W693" s="28" t="n">
        <v>0.109</v>
      </c>
      <c r="X693" s="14" t="n">
        <v>52.79</v>
      </c>
      <c r="Y693" s="14">
        <f>ROUND(MIN(100, (X693/69.91)*100), 2)</f>
        <v/>
      </c>
    </row>
    <row r="694">
      <c r="A694" s="10" t="n">
        <v>1</v>
      </c>
      <c r="B694" s="10" t="n">
        <v>690</v>
      </c>
      <c r="C694" s="10" t="n">
        <v>690</v>
      </c>
      <c r="D694" s="10" t="inlineStr">
        <is>
          <t>0600410018</t>
        </is>
      </c>
      <c r="E694" s="26" t="inlineStr">
        <is>
          <t>Region VI (Western Visayas)</t>
        </is>
      </c>
      <c r="F694" s="26" t="inlineStr">
        <is>
          <t>Aklan</t>
        </is>
      </c>
      <c r="G694" s="26" t="inlineStr">
        <is>
          <t>Madalag</t>
        </is>
      </c>
      <c r="H694" s="26" t="inlineStr">
        <is>
          <t>Paningayan</t>
        </is>
      </c>
      <c r="I694" s="27" t="n">
        <v>11.539329</v>
      </c>
      <c r="J694" s="27" t="n">
        <v>122.313709</v>
      </c>
      <c r="K694" s="10" t="inlineStr">
        <is>
          <t>R</t>
        </is>
      </c>
      <c r="L694" s="12" t="n">
        <v>1060</v>
      </c>
      <c r="M694" s="14" t="n">
        <v>3.9</v>
      </c>
      <c r="N694" s="12">
        <f>ROUND(L694/M694, 0)</f>
        <v/>
      </c>
      <c r="O694" s="12">
        <f>ROUND(N694*'Methodology &amp; Assumptions'!$B$5, 0)</f>
        <v/>
      </c>
      <c r="P694" s="10" t="inlineStr">
        <is>
          <t>Single Carrier (Band n50, 100MHz TDD)</t>
        </is>
      </c>
      <c r="Q694" s="13">
        <f>ROUNDUP(O694/'Methodology &amp; Assumptions'!$B$6, 0)</f>
        <v/>
      </c>
      <c r="R694" s="13" t="n">
        <v>1</v>
      </c>
      <c r="S694" s="14" t="n">
        <v>6.88</v>
      </c>
      <c r="T694" s="14" t="n">
        <v>6.19</v>
      </c>
      <c r="U694" s="26">
        <f>IF(X694&gt;='Methodology &amp; Assumptions'!$B$7, "Tier 1 Critical GIDA (Score ≥ 50.0)", IF(X694&gt;='Methodology &amp; Assumptions'!$B$8, "Tier 2 High GIDA (Score 40.0–49.9)", "Tier 3 Moderate GIDA (Score &lt; 40.0)"))</f>
        <v/>
      </c>
      <c r="V694" s="26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W694" s="28" t="n">
        <v>0.237</v>
      </c>
      <c r="X694" s="14" t="n">
        <v>52.78</v>
      </c>
      <c r="Y694" s="14">
        <f>ROUND(MIN(100, (X694/69.91)*100), 2)</f>
        <v/>
      </c>
    </row>
    <row r="695">
      <c r="A695" s="10" t="n">
        <v>1</v>
      </c>
      <c r="B695" s="10" t="n">
        <v>691</v>
      </c>
      <c r="C695" s="10" t="n">
        <v>691</v>
      </c>
      <c r="D695" s="10" t="inlineStr">
        <is>
          <t>0907216002</t>
        </is>
      </c>
      <c r="E695" s="26" t="inlineStr">
        <is>
          <t>Region IX (Zamboanga Peninsula)</t>
        </is>
      </c>
      <c r="F695" s="26" t="inlineStr">
        <is>
          <t>Zamboanga del Norte</t>
        </is>
      </c>
      <c r="G695" s="26" t="inlineStr">
        <is>
          <t>Sibuco</t>
        </is>
      </c>
      <c r="H695" s="26" t="inlineStr">
        <is>
          <t>Basak</t>
        </is>
      </c>
      <c r="I695" s="27" t="n">
        <v>7.287809</v>
      </c>
      <c r="J695" s="27" t="n">
        <v>122.03917</v>
      </c>
      <c r="K695" s="10" t="inlineStr">
        <is>
          <t>R</t>
        </is>
      </c>
      <c r="L695" s="12" t="n">
        <v>159</v>
      </c>
      <c r="M695" s="14" t="n">
        <v>3.6</v>
      </c>
      <c r="N695" s="12">
        <f>ROUND(L695/M695, 0)</f>
        <v/>
      </c>
      <c r="O695" s="12">
        <f>ROUND(N695*'Methodology &amp; Assumptions'!$B$5, 0)</f>
        <v/>
      </c>
      <c r="P695" s="10" t="inlineStr">
        <is>
          <t>Single Carrier (Band n50, 100MHz TDD)</t>
        </is>
      </c>
      <c r="Q695" s="13">
        <f>ROUNDUP(O695/'Methodology &amp; Assumptions'!$B$6, 0)</f>
        <v/>
      </c>
      <c r="R695" s="13" t="n">
        <v>1</v>
      </c>
      <c r="S695" s="14" t="n">
        <v>24.99</v>
      </c>
      <c r="T695" s="14" t="n">
        <v>22.74</v>
      </c>
      <c r="U695" s="26">
        <f>IF(X695&gt;='Methodology &amp; Assumptions'!$B$7, "Tier 1 Critical GIDA (Score ≥ 50.0)", IF(X695&gt;='Methodology &amp; Assumptions'!$B$8, "Tier 2 High GIDA (Score 40.0–49.9)", "Tier 3 Moderate GIDA (Score &lt; 40.0)"))</f>
        <v/>
      </c>
      <c r="V695" s="26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W695" s="28" t="n">
        <v>0.11</v>
      </c>
      <c r="X695" s="14" t="n">
        <v>52.78</v>
      </c>
      <c r="Y695" s="14">
        <f>ROUND(MIN(100, (X695/69.91)*100), 2)</f>
        <v/>
      </c>
    </row>
    <row r="696">
      <c r="A696" s="10" t="n">
        <v>1</v>
      </c>
      <c r="B696" s="10" t="n">
        <v>692</v>
      </c>
      <c r="C696" s="10" t="n">
        <v>692</v>
      </c>
      <c r="D696" s="10" t="inlineStr">
        <is>
          <t>1380601123</t>
        </is>
      </c>
      <c r="E696" s="26" t="inlineStr">
        <is>
          <t>National Capital Region (NCR)</t>
        </is>
      </c>
      <c r="F696" s="26" t="inlineStr">
        <is>
          <t>First District (Not a Province)</t>
        </is>
      </c>
      <c r="G696" s="26" t="inlineStr">
        <is>
          <t>City of Manila</t>
        </is>
      </c>
      <c r="H696" s="26" t="inlineStr">
        <is>
          <t>Barangay 123</t>
        </is>
      </c>
      <c r="I696" s="27" t="n">
        <v>12.844932</v>
      </c>
      <c r="J696" s="27" t="n">
        <v>121.660884</v>
      </c>
      <c r="K696" s="10" t="inlineStr">
        <is>
          <t>U</t>
        </is>
      </c>
      <c r="L696" s="12" t="n">
        <v>8923</v>
      </c>
      <c r="M696" s="14" t="n">
        <v>3.9</v>
      </c>
      <c r="N696" s="12">
        <f>ROUND(L696/M696, 0)</f>
        <v/>
      </c>
      <c r="O696" s="12">
        <f>ROUND(N696*'Methodology &amp; Assumptions'!$B$5, 0)</f>
        <v/>
      </c>
      <c r="P696" s="10" t="inlineStr">
        <is>
          <t>Single Carrier (Band n50, 100MHz TDD)</t>
        </is>
      </c>
      <c r="Q696" s="13">
        <f>ROUNDUP(O696/'Methodology &amp; Assumptions'!$B$6, 0)</f>
        <v/>
      </c>
      <c r="R696" s="13" t="n">
        <v>1</v>
      </c>
      <c r="S696" s="14" t="n">
        <v>21.79</v>
      </c>
      <c r="T696" s="14" t="n">
        <v>20.85</v>
      </c>
      <c r="U696" s="26">
        <f>IF(X696&gt;='Methodology &amp; Assumptions'!$B$7, "Tier 1 Critical GIDA (Score ≥ 50.0)", IF(X696&gt;='Methodology &amp; Assumptions'!$B$8, "Tier 2 High GIDA (Score 40.0–49.9)", "Tier 3 Moderate GIDA (Score &lt; 40.0)"))</f>
        <v/>
      </c>
      <c r="V696" s="26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W696" s="28" t="n">
        <v>0.109</v>
      </c>
      <c r="X696" s="14" t="n">
        <v>52.78</v>
      </c>
      <c r="Y696" s="14">
        <f>ROUND(MIN(100, (X696/69.91)*100), 2)</f>
        <v/>
      </c>
    </row>
    <row r="697">
      <c r="A697" s="10" t="n">
        <v>1</v>
      </c>
      <c r="B697" s="10" t="n">
        <v>693</v>
      </c>
      <c r="C697" s="10" t="n">
        <v>693</v>
      </c>
      <c r="D697" s="10" t="inlineStr">
        <is>
          <t>0806022044</t>
        </is>
      </c>
      <c r="E697" s="26" t="inlineStr">
        <is>
          <t>Region VIII (Eastern Visayas)</t>
        </is>
      </c>
      <c r="F697" s="26" t="inlineStr">
        <is>
          <t>Samar</t>
        </is>
      </c>
      <c r="G697" s="26" t="inlineStr">
        <is>
          <t>Paranas</t>
        </is>
      </c>
      <c r="H697" s="26" t="inlineStr">
        <is>
          <t>Tenani</t>
        </is>
      </c>
      <c r="I697" s="27" t="n">
        <v>11.81214</v>
      </c>
      <c r="J697" s="27" t="n">
        <v>125.1548</v>
      </c>
      <c r="K697" s="10" t="inlineStr">
        <is>
          <t>R</t>
        </is>
      </c>
      <c r="L697" s="12" t="n">
        <v>2197</v>
      </c>
      <c r="M697" s="14" t="n">
        <v>4.1</v>
      </c>
      <c r="N697" s="12">
        <f>ROUND(L697/M697, 0)</f>
        <v/>
      </c>
      <c r="O697" s="12">
        <f>ROUND(N697*'Methodology &amp; Assumptions'!$B$5, 0)</f>
        <v/>
      </c>
      <c r="P697" s="10" t="inlineStr">
        <is>
          <t>Single Carrier (Band n50, 100MHz TDD)</t>
        </is>
      </c>
      <c r="Q697" s="13">
        <f>ROUNDUP(O697/'Methodology &amp; Assumptions'!$B$6, 0)</f>
        <v/>
      </c>
      <c r="R697" s="13" t="n">
        <v>1</v>
      </c>
      <c r="S697" s="14" t="n">
        <v>65.79000000000001</v>
      </c>
      <c r="T697" s="14" t="n">
        <v>68.54000000000001</v>
      </c>
      <c r="U697" s="26">
        <f>IF(X697&gt;='Methodology &amp; Assumptions'!$B$7, "Tier 1 Critical GIDA (Score ≥ 50.0)", IF(X697&gt;='Methodology &amp; Assumptions'!$B$8, "Tier 2 High GIDA (Score 40.0–49.9)", "Tier 3 Moderate GIDA (Score &lt; 40.0)"))</f>
        <v/>
      </c>
      <c r="V697" s="26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W697" s="28" t="n">
        <v>0.237</v>
      </c>
      <c r="X697" s="14" t="n">
        <v>52.78</v>
      </c>
      <c r="Y697" s="14">
        <f>ROUND(MIN(100, (X697/69.91)*100), 2)</f>
        <v/>
      </c>
    </row>
    <row r="698">
      <c r="A698" s="10" t="n">
        <v>1</v>
      </c>
      <c r="B698" s="10" t="n">
        <v>694</v>
      </c>
      <c r="C698" s="10" t="n">
        <v>694</v>
      </c>
      <c r="D698" s="10" t="inlineStr">
        <is>
          <t>0600410016</t>
        </is>
      </c>
      <c r="E698" s="26" t="inlineStr">
        <is>
          <t>Region VI (Western Visayas)</t>
        </is>
      </c>
      <c r="F698" s="26" t="inlineStr">
        <is>
          <t>Aklan</t>
        </is>
      </c>
      <c r="G698" s="26" t="inlineStr">
        <is>
          <t>Madalag</t>
        </is>
      </c>
      <c r="H698" s="26" t="inlineStr">
        <is>
          <t>Napnot</t>
        </is>
      </c>
      <c r="I698" s="27" t="n">
        <v>11.51821</v>
      </c>
      <c r="J698" s="27" t="n">
        <v>122.319202</v>
      </c>
      <c r="K698" s="10" t="inlineStr">
        <is>
          <t>R</t>
        </is>
      </c>
      <c r="L698" s="12" t="n">
        <v>535</v>
      </c>
      <c r="M698" s="14" t="n">
        <v>3.9</v>
      </c>
      <c r="N698" s="12">
        <f>ROUND(L698/M698, 0)</f>
        <v/>
      </c>
      <c r="O698" s="12">
        <f>ROUND(N698*'Methodology &amp; Assumptions'!$B$5, 0)</f>
        <v/>
      </c>
      <c r="P698" s="10" t="inlineStr">
        <is>
          <t>Single Carrier (Band n50, 100MHz TDD)</t>
        </is>
      </c>
      <c r="Q698" s="13">
        <f>ROUNDUP(O698/'Methodology &amp; Assumptions'!$B$6, 0)</f>
        <v/>
      </c>
      <c r="R698" s="13" t="n">
        <v>1</v>
      </c>
      <c r="S698" s="14" t="n">
        <v>7.51</v>
      </c>
      <c r="T698" s="14" t="n">
        <v>7.12</v>
      </c>
      <c r="U698" s="26">
        <f>IF(X698&gt;='Methodology &amp; Assumptions'!$B$7, "Tier 1 Critical GIDA (Score ≥ 50.0)", IF(X698&gt;='Methodology &amp; Assumptions'!$B$8, "Tier 2 High GIDA (Score 40.0–49.9)", "Tier 3 Moderate GIDA (Score &lt; 40.0)"))</f>
        <v/>
      </c>
      <c r="V698" s="26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W698" s="28" t="n">
        <v>0.237</v>
      </c>
      <c r="X698" s="14" t="n">
        <v>52.78</v>
      </c>
      <c r="Y698" s="14">
        <f>ROUND(MIN(100, (X698/69.91)*100), 2)</f>
        <v/>
      </c>
    </row>
    <row r="699">
      <c r="A699" s="10" t="n">
        <v>1</v>
      </c>
      <c r="B699" s="10" t="n">
        <v>695</v>
      </c>
      <c r="C699" s="10" t="n">
        <v>695</v>
      </c>
      <c r="D699" s="10" t="inlineStr">
        <is>
          <t>0600410006</t>
        </is>
      </c>
      <c r="E699" s="26" t="inlineStr">
        <is>
          <t>Region VI (Western Visayas)</t>
        </is>
      </c>
      <c r="F699" s="26" t="inlineStr">
        <is>
          <t>Aklan</t>
        </is>
      </c>
      <c r="G699" s="26" t="inlineStr">
        <is>
          <t>Madalag</t>
        </is>
      </c>
      <c r="H699" s="26" t="inlineStr">
        <is>
          <t>Cabilawan</t>
        </is>
      </c>
      <c r="I699" s="27" t="n">
        <v>11.537889</v>
      </c>
      <c r="J699" s="27" t="n">
        <v>122.293453</v>
      </c>
      <c r="K699" s="10" t="inlineStr">
        <is>
          <t>R</t>
        </is>
      </c>
      <c r="L699" s="12" t="n">
        <v>515</v>
      </c>
      <c r="M699" s="14" t="n">
        <v>3.9</v>
      </c>
      <c r="N699" s="12">
        <f>ROUND(L699/M699, 0)</f>
        <v/>
      </c>
      <c r="O699" s="12">
        <f>ROUND(N699*'Methodology &amp; Assumptions'!$B$5, 0)</f>
        <v/>
      </c>
      <c r="P699" s="10" t="inlineStr">
        <is>
          <t>Single Carrier (Band n50, 100MHz TDD)</t>
        </is>
      </c>
      <c r="Q699" s="13">
        <f>ROUNDUP(O699/'Methodology &amp; Assumptions'!$B$6, 0)</f>
        <v/>
      </c>
      <c r="R699" s="13" t="n">
        <v>1</v>
      </c>
      <c r="S699" s="14" t="n">
        <v>9.01</v>
      </c>
      <c r="T699" s="14" t="n">
        <v>8.26</v>
      </c>
      <c r="U699" s="26">
        <f>IF(X699&gt;='Methodology &amp; Assumptions'!$B$7, "Tier 1 Critical GIDA (Score ≥ 50.0)", IF(X699&gt;='Methodology &amp; Assumptions'!$B$8, "Tier 2 High GIDA (Score 40.0–49.9)", "Tier 3 Moderate GIDA (Score &lt; 40.0)"))</f>
        <v/>
      </c>
      <c r="V699" s="26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W699" s="28" t="n">
        <v>0.237</v>
      </c>
      <c r="X699" s="14" t="n">
        <v>52.78</v>
      </c>
      <c r="Y699" s="14">
        <f>ROUND(MIN(100, (X699/69.91)*100), 2)</f>
        <v/>
      </c>
    </row>
    <row r="700">
      <c r="A700" s="10" t="n">
        <v>1</v>
      </c>
      <c r="B700" s="10" t="n">
        <v>696</v>
      </c>
      <c r="C700" s="10" t="n">
        <v>696</v>
      </c>
      <c r="D700" s="10" t="inlineStr">
        <is>
          <t>1108202029</t>
        </is>
      </c>
      <c r="E700" s="26" t="inlineStr">
        <is>
          <t>Region XI (Davao Region)</t>
        </is>
      </c>
      <c r="F700" s="26" t="inlineStr">
        <is>
          <t>Davao de Oro</t>
        </is>
      </c>
      <c r="G700" s="26" t="inlineStr">
        <is>
          <t>Laak</t>
        </is>
      </c>
      <c r="H700" s="26" t="inlineStr">
        <is>
          <t>Inacayan</t>
        </is>
      </c>
      <c r="I700" s="27" t="n">
        <v>7.821123</v>
      </c>
      <c r="J700" s="27" t="n">
        <v>125.756927</v>
      </c>
      <c r="K700" s="10" t="inlineStr">
        <is>
          <t>R</t>
        </is>
      </c>
      <c r="L700" s="12" t="n">
        <v>1095</v>
      </c>
      <c r="M700" s="14" t="n">
        <v>3.7</v>
      </c>
      <c r="N700" s="12">
        <f>ROUND(L700/M700, 0)</f>
        <v/>
      </c>
      <c r="O700" s="12">
        <f>ROUND(N700*'Methodology &amp; Assumptions'!$B$5, 0)</f>
        <v/>
      </c>
      <c r="P700" s="10" t="inlineStr">
        <is>
          <t>Single Carrier (Band n50, 100MHz TDD)</t>
        </is>
      </c>
      <c r="Q700" s="13">
        <f>ROUNDUP(O700/'Methodology &amp; Assumptions'!$B$6, 0)</f>
        <v/>
      </c>
      <c r="R700" s="13" t="n">
        <v>1</v>
      </c>
      <c r="S700" s="14" t="n">
        <v>32.97</v>
      </c>
      <c r="T700" s="14" t="n">
        <v>25.61</v>
      </c>
      <c r="U700" s="26">
        <f>IF(X700&gt;='Methodology &amp; Assumptions'!$B$7, "Tier 1 Critical GIDA (Score ≥ 50.0)", IF(X700&gt;='Methodology &amp; Assumptions'!$B$8, "Tier 2 High GIDA (Score 40.0–49.9)", "Tier 3 Moderate GIDA (Score &lt; 40.0)"))</f>
        <v/>
      </c>
      <c r="V700" s="26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W700" s="28" t="n">
        <v>0.174</v>
      </c>
      <c r="X700" s="14" t="n">
        <v>52.78</v>
      </c>
      <c r="Y700" s="14">
        <f>ROUND(MIN(100, (X700/69.91)*100), 2)</f>
        <v/>
      </c>
    </row>
    <row r="701">
      <c r="A701" s="10" t="n">
        <v>1</v>
      </c>
      <c r="B701" s="10" t="n">
        <v>697</v>
      </c>
      <c r="C701" s="10" t="n">
        <v>697</v>
      </c>
      <c r="D701" s="10" t="inlineStr">
        <is>
          <t>0502002012</t>
        </is>
      </c>
      <c r="E701" s="26" t="inlineStr">
        <is>
          <t>Region V (Bicol Region)</t>
        </is>
      </c>
      <c r="F701" s="26" t="inlineStr">
        <is>
          <t>Catanduanes</t>
        </is>
      </c>
      <c r="G701" s="26" t="inlineStr">
        <is>
          <t>Baras</t>
        </is>
      </c>
      <c r="H701" s="26" t="inlineStr">
        <is>
          <t>J. M. Alberto</t>
        </is>
      </c>
      <c r="I701" s="27" t="n">
        <v>13.673607</v>
      </c>
      <c r="J701" s="27" t="n">
        <v>124.381546</v>
      </c>
      <c r="K701" s="10" t="inlineStr">
        <is>
          <t>R</t>
        </is>
      </c>
      <c r="L701" s="12" t="n">
        <v>764</v>
      </c>
      <c r="M701" s="14" t="n">
        <v>4.2</v>
      </c>
      <c r="N701" s="12">
        <f>ROUND(L701/M701, 0)</f>
        <v/>
      </c>
      <c r="O701" s="12">
        <f>ROUND(N701*'Methodology &amp; Assumptions'!$B$5, 0)</f>
        <v/>
      </c>
      <c r="P701" s="10" t="inlineStr">
        <is>
          <t>Single Carrier (Band n50, 100MHz TDD)</t>
        </is>
      </c>
      <c r="Q701" s="13">
        <f>ROUNDUP(O701/'Methodology &amp; Assumptions'!$B$6, 0)</f>
        <v/>
      </c>
      <c r="R701" s="13" t="n">
        <v>1</v>
      </c>
      <c r="S701" s="14" t="n">
        <v>57.08</v>
      </c>
      <c r="T701" s="14" t="n">
        <v>78.48999999999999</v>
      </c>
      <c r="U701" s="26">
        <f>IF(X701&gt;='Methodology &amp; Assumptions'!$B$7, "Tier 1 Critical GIDA (Score ≥ 50.0)", IF(X701&gt;='Methodology &amp; Assumptions'!$B$8, "Tier 2 High GIDA (Score 40.0–49.9)", "Tier 3 Moderate GIDA (Score &lt; 40.0)"))</f>
        <v/>
      </c>
      <c r="V701" s="26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W701" s="28" t="n">
        <v>0.237</v>
      </c>
      <c r="X701" s="14" t="n">
        <v>52.78</v>
      </c>
      <c r="Y701" s="14">
        <f>ROUND(MIN(100, (X701/69.91)*100), 2)</f>
        <v/>
      </c>
    </row>
    <row r="702">
      <c r="A702" s="10" t="n">
        <v>1</v>
      </c>
      <c r="B702" s="10" t="n">
        <v>698</v>
      </c>
      <c r="C702" s="10" t="n">
        <v>698</v>
      </c>
      <c r="D702" s="10" t="inlineStr">
        <is>
          <t>1380601038</t>
        </is>
      </c>
      <c r="E702" s="26" t="inlineStr">
        <is>
          <t>National Capital Region (NCR)</t>
        </is>
      </c>
      <c r="F702" s="26" t="inlineStr">
        <is>
          <t>First District (Not a Province)</t>
        </is>
      </c>
      <c r="G702" s="26" t="inlineStr">
        <is>
          <t>City of Manila</t>
        </is>
      </c>
      <c r="H702" s="26" t="inlineStr">
        <is>
          <t>Barangay 38</t>
        </is>
      </c>
      <c r="I702" s="27" t="n">
        <v>12.981</v>
      </c>
      <c r="J702" s="27" t="n">
        <v>121.833995</v>
      </c>
      <c r="K702" s="10" t="inlineStr">
        <is>
          <t>U</t>
        </is>
      </c>
      <c r="L702" s="12" t="n">
        <v>2957</v>
      </c>
      <c r="M702" s="14" t="n">
        <v>3.9</v>
      </c>
      <c r="N702" s="12">
        <f>ROUND(L702/M702, 0)</f>
        <v/>
      </c>
      <c r="O702" s="12">
        <f>ROUND(N702*'Methodology &amp; Assumptions'!$B$5, 0)</f>
        <v/>
      </c>
      <c r="P702" s="10" t="inlineStr">
        <is>
          <t>Single Carrier (Band n50, 100MHz TDD)</t>
        </is>
      </c>
      <c r="Q702" s="13">
        <f>ROUNDUP(O702/'Methodology &amp; Assumptions'!$B$6, 0)</f>
        <v/>
      </c>
      <c r="R702" s="13" t="n">
        <v>1</v>
      </c>
      <c r="S702" s="14" t="n">
        <v>36.65</v>
      </c>
      <c r="T702" s="14" t="n">
        <v>38.55</v>
      </c>
      <c r="U702" s="26">
        <f>IF(X702&gt;='Methodology &amp; Assumptions'!$B$7, "Tier 1 Critical GIDA (Score ≥ 50.0)", IF(X702&gt;='Methodology &amp; Assumptions'!$B$8, "Tier 2 High GIDA (Score 40.0–49.9)", "Tier 3 Moderate GIDA (Score &lt; 40.0)"))</f>
        <v/>
      </c>
      <c r="V702" s="26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W702" s="28" t="n">
        <v>0.109</v>
      </c>
      <c r="X702" s="14" t="n">
        <v>52.77</v>
      </c>
      <c r="Y702" s="14">
        <f>ROUND(MIN(100, (X702/69.91)*100), 2)</f>
        <v/>
      </c>
    </row>
    <row r="703">
      <c r="A703" s="10" t="n">
        <v>1</v>
      </c>
      <c r="B703" s="10" t="n">
        <v>699</v>
      </c>
      <c r="C703" s="10" t="n">
        <v>699</v>
      </c>
      <c r="D703" s="10" t="inlineStr">
        <is>
          <t>0600410009</t>
        </is>
      </c>
      <c r="E703" s="26" t="inlineStr">
        <is>
          <t>Region VI (Western Visayas)</t>
        </is>
      </c>
      <c r="F703" s="26" t="inlineStr">
        <is>
          <t>Aklan</t>
        </is>
      </c>
      <c r="G703" s="26" t="inlineStr">
        <is>
          <t>Madalag</t>
        </is>
      </c>
      <c r="H703" s="26" t="inlineStr">
        <is>
          <t>Galicia</t>
        </is>
      </c>
      <c r="I703" s="27" t="n">
        <v>11.547476</v>
      </c>
      <c r="J703" s="27" t="n">
        <v>122.278175</v>
      </c>
      <c r="K703" s="10" t="inlineStr">
        <is>
          <t>R</t>
        </is>
      </c>
      <c r="L703" s="12" t="n">
        <v>386</v>
      </c>
      <c r="M703" s="14" t="n">
        <v>3.9</v>
      </c>
      <c r="N703" s="12">
        <f>ROUND(L703/M703, 0)</f>
        <v/>
      </c>
      <c r="O703" s="12">
        <f>ROUND(N703*'Methodology &amp; Assumptions'!$B$5, 0)</f>
        <v/>
      </c>
      <c r="P703" s="10" t="inlineStr">
        <is>
          <t>Single Carrier (Band n50, 100MHz TDD)</t>
        </is>
      </c>
      <c r="Q703" s="13">
        <f>ROUNDUP(O703/'Methodology &amp; Assumptions'!$B$6, 0)</f>
        <v/>
      </c>
      <c r="R703" s="13" t="n">
        <v>1</v>
      </c>
      <c r="S703" s="14" t="n">
        <v>8.619999999999999</v>
      </c>
      <c r="T703" s="14" t="n">
        <v>9.4</v>
      </c>
      <c r="U703" s="26">
        <f>IF(X703&gt;='Methodology &amp; Assumptions'!$B$7, "Tier 1 Critical GIDA (Score ≥ 50.0)", IF(X703&gt;='Methodology &amp; Assumptions'!$B$8, "Tier 2 High GIDA (Score 40.0–49.9)", "Tier 3 Moderate GIDA (Score &lt; 40.0)"))</f>
        <v/>
      </c>
      <c r="V703" s="26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W703" s="28" t="n">
        <v>0.237</v>
      </c>
      <c r="X703" s="14" t="n">
        <v>52.77</v>
      </c>
      <c r="Y703" s="14">
        <f>ROUND(MIN(100, (X703/69.91)*100), 2)</f>
        <v/>
      </c>
    </row>
    <row r="704">
      <c r="A704" s="10" t="n">
        <v>1</v>
      </c>
      <c r="B704" s="10" t="n">
        <v>700</v>
      </c>
      <c r="C704" s="10" t="n">
        <v>700</v>
      </c>
      <c r="D704" s="10" t="inlineStr">
        <is>
          <t>0405805020</t>
        </is>
      </c>
      <c r="E704" s="26" t="inlineStr">
        <is>
          <t>Region IV-A (CALABARZON)</t>
        </is>
      </c>
      <c r="F704" s="26" t="inlineStr">
        <is>
          <t>Rizal</t>
        </is>
      </c>
      <c r="G704" s="26" t="inlineStr">
        <is>
          <t>Cainta</t>
        </is>
      </c>
      <c r="H704" s="26" t="inlineStr">
        <is>
          <t>Santo Domingo</t>
        </is>
      </c>
      <c r="I704" s="27" t="n">
        <v>14.58327</v>
      </c>
      <c r="J704" s="27" t="n">
        <v>121.111232</v>
      </c>
      <c r="K704" s="10" t="inlineStr">
        <is>
          <t>U</t>
        </is>
      </c>
      <c r="L704" s="12" t="n">
        <v>45228</v>
      </c>
      <c r="M704" s="14" t="n">
        <v>3.6</v>
      </c>
      <c r="N704" s="12">
        <f>ROUND(L704/M704, 0)</f>
        <v/>
      </c>
      <c r="O704" s="12">
        <f>ROUND(N704*'Methodology &amp; Assumptions'!$B$5, 0)</f>
        <v/>
      </c>
      <c r="P704" s="10" t="inlineStr">
        <is>
          <t>Single Carrier (Band n50, 100MHz TDD)</t>
        </is>
      </c>
      <c r="Q704" s="13">
        <f>ROUNDUP(O704/'Methodology &amp; Assumptions'!$B$6, 0)</f>
        <v/>
      </c>
      <c r="R704" s="13" t="n">
        <v>1</v>
      </c>
      <c r="S704" s="14" t="n">
        <v>1.32</v>
      </c>
      <c r="T704" s="14" t="n">
        <v>0.42</v>
      </c>
      <c r="U704" s="26">
        <f>IF(X704&gt;='Methodology &amp; Assumptions'!$B$7, "Tier 1 Critical GIDA (Score ≥ 50.0)", IF(X704&gt;='Methodology &amp; Assumptions'!$B$8, "Tier 2 High GIDA (Score 40.0–49.9)", "Tier 3 Moderate GIDA (Score &lt; 40.0)"))</f>
        <v/>
      </c>
      <c r="V704" s="26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W704" s="28" t="n">
        <v>0.07200000000000001</v>
      </c>
      <c r="X704" s="14" t="n">
        <v>52.76</v>
      </c>
      <c r="Y704" s="14">
        <f>ROUND(MIN(100, (X704/69.91)*100), 2)</f>
        <v/>
      </c>
    </row>
    <row r="705">
      <c r="A705" s="10" t="n">
        <v>1</v>
      </c>
      <c r="B705" s="10" t="n">
        <v>701</v>
      </c>
      <c r="C705" s="10" t="n">
        <v>701</v>
      </c>
      <c r="D705" s="10" t="inlineStr">
        <is>
          <t>0600609018</t>
        </is>
      </c>
      <c r="E705" s="26" t="inlineStr">
        <is>
          <t>Region VI (Western Visayas)</t>
        </is>
      </c>
      <c r="F705" s="26" t="inlineStr">
        <is>
          <t>Antique</t>
        </is>
      </c>
      <c r="G705" s="26" t="inlineStr">
        <is>
          <t>Laua-An</t>
        </is>
      </c>
      <c r="H705" s="26" t="inlineStr">
        <is>
          <t>Laua-an</t>
        </is>
      </c>
      <c r="I705" s="27" t="n">
        <v>11.116565</v>
      </c>
      <c r="J705" s="27" t="n">
        <v>122.079419</v>
      </c>
      <c r="K705" s="10" t="inlineStr">
        <is>
          <t>R</t>
        </is>
      </c>
      <c r="L705" s="12" t="n">
        <v>399</v>
      </c>
      <c r="M705" s="14" t="n">
        <v>3.9</v>
      </c>
      <c r="N705" s="12">
        <f>ROUND(L705/M705, 0)</f>
        <v/>
      </c>
      <c r="O705" s="12">
        <f>ROUND(N705*'Methodology &amp; Assumptions'!$B$5, 0)</f>
        <v/>
      </c>
      <c r="P705" s="10" t="inlineStr">
        <is>
          <t>Single Carrier (Band n50, 100MHz TDD)</t>
        </is>
      </c>
      <c r="Q705" s="13">
        <f>ROUNDUP(O705/'Methodology &amp; Assumptions'!$B$6, 0)</f>
        <v/>
      </c>
      <c r="R705" s="13" t="n">
        <v>1</v>
      </c>
      <c r="S705" s="14" t="n">
        <v>42.31</v>
      </c>
      <c r="T705" s="14" t="n">
        <v>36.02</v>
      </c>
      <c r="U705" s="26">
        <f>IF(X705&gt;='Methodology &amp; Assumptions'!$B$7, "Tier 1 Critical GIDA (Score ≥ 50.0)", IF(X705&gt;='Methodology &amp; Assumptions'!$B$8, "Tier 2 High GIDA (Score 40.0–49.9)", "Tier 3 Moderate GIDA (Score &lt; 40.0)"))</f>
        <v/>
      </c>
      <c r="V705" s="26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W705" s="28" t="n">
        <v>0.237</v>
      </c>
      <c r="X705" s="14" t="n">
        <v>52.76</v>
      </c>
      <c r="Y705" s="14">
        <f>ROUND(MIN(100, (X705/69.91)*100), 2)</f>
        <v/>
      </c>
    </row>
    <row r="706">
      <c r="A706" s="10" t="n">
        <v>1</v>
      </c>
      <c r="B706" s="10" t="n">
        <v>702</v>
      </c>
      <c r="C706" s="10" t="n">
        <v>702</v>
      </c>
      <c r="D706" s="10" t="inlineStr">
        <is>
          <t>PH0000702</t>
        </is>
      </c>
      <c r="E706" s="26" t="inlineStr">
        <is>
          <t>VI</t>
        </is>
      </c>
      <c r="F706" s="26" t="inlineStr">
        <is>
          <t>Iloilo</t>
        </is>
      </c>
      <c r="G706" s="26" t="inlineStr">
        <is>
          <t>Iloilo City</t>
        </is>
      </c>
      <c r="H706" s="26" t="inlineStr">
        <is>
          <t>Burgos-Mabini-Plaza</t>
        </is>
      </c>
      <c r="I706" s="27" t="n">
        <v>10.717262</v>
      </c>
      <c r="J706" s="27" t="n">
        <v>122.565643</v>
      </c>
      <c r="K706" s="10" t="inlineStr">
        <is>
          <t>R</t>
        </is>
      </c>
      <c r="L706" s="12" t="n">
        <v>2230</v>
      </c>
      <c r="M706" s="14" t="n">
        <v>3.8</v>
      </c>
      <c r="N706" s="12">
        <f>ROUND(L706/M706, 0)</f>
        <v/>
      </c>
      <c r="O706" s="12">
        <f>ROUND(N706*'Methodology &amp; Assumptions'!$B$5, 0)</f>
        <v/>
      </c>
      <c r="P706" s="10" t="inlineStr">
        <is>
          <t>Single Carrier (Band n50, 100MHz TDD)</t>
        </is>
      </c>
      <c r="Q706" s="13">
        <f>ROUNDUP(O706/'Methodology &amp; Assumptions'!$B$6, 0)</f>
        <v/>
      </c>
      <c r="R706" s="13" t="n">
        <v>1</v>
      </c>
      <c r="S706" s="14" t="n">
        <v>0.46</v>
      </c>
      <c r="T706" s="14" t="n">
        <v>0.42</v>
      </c>
      <c r="U706" s="26">
        <f>IF(X706&gt;='Methodology &amp; Assumptions'!$B$7, "Tier 1 Critical GIDA (Score ≥ 50.0)", IF(X706&gt;='Methodology &amp; Assumptions'!$B$8, "Tier 2 High GIDA (Score 40.0–49.9)", "Tier 3 Moderate GIDA (Score &lt; 40.0)"))</f>
        <v/>
      </c>
      <c r="V706" s="26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W706" s="28" t="n">
        <v>0.156</v>
      </c>
      <c r="X706" s="14" t="n">
        <v>52.75</v>
      </c>
      <c r="Y706" s="14">
        <f>ROUND(MIN(100, (X706/69.91)*100), 2)</f>
        <v/>
      </c>
    </row>
    <row r="707">
      <c r="A707" s="10" t="n">
        <v>1</v>
      </c>
      <c r="B707" s="10" t="n">
        <v>703</v>
      </c>
      <c r="C707" s="10" t="n">
        <v>703</v>
      </c>
      <c r="D707" s="10" t="inlineStr">
        <is>
          <t>1403214016</t>
        </is>
      </c>
      <c r="E707" s="26" t="inlineStr">
        <is>
          <t>Cordillera Administrative Region (CAR)</t>
        </is>
      </c>
      <c r="F707" s="26" t="inlineStr">
        <is>
          <t>Kalinga</t>
        </is>
      </c>
      <c r="G707" s="26" t="inlineStr">
        <is>
          <t>Tanudan</t>
        </is>
      </c>
      <c r="H707" s="26" t="inlineStr">
        <is>
          <t>Lay-asan</t>
        </is>
      </c>
      <c r="I707" s="27" t="n">
        <v>17.283583</v>
      </c>
      <c r="J707" s="27" t="n">
        <v>121.390637</v>
      </c>
      <c r="K707" s="10" t="inlineStr">
        <is>
          <t>R</t>
        </is>
      </c>
      <c r="L707" s="12" t="n">
        <v>714</v>
      </c>
      <c r="M707" s="14" t="n">
        <v>4.3</v>
      </c>
      <c r="N707" s="12">
        <f>ROUND(L707/M707, 0)</f>
        <v/>
      </c>
      <c r="O707" s="12">
        <f>ROUND(N707*'Methodology &amp; Assumptions'!$B$5, 0)</f>
        <v/>
      </c>
      <c r="P707" s="10" t="inlineStr">
        <is>
          <t>Single Carrier (Band n50, 100MHz TDD)</t>
        </is>
      </c>
      <c r="Q707" s="13">
        <f>ROUNDUP(O707/'Methodology &amp; Assumptions'!$B$6, 0)</f>
        <v/>
      </c>
      <c r="R707" s="13" t="n">
        <v>1</v>
      </c>
      <c r="S707" s="14" t="n">
        <v>12.11</v>
      </c>
      <c r="T707" s="14" t="n">
        <v>13.39</v>
      </c>
      <c r="U707" s="26">
        <f>IF(X707&gt;='Methodology &amp; Assumptions'!$B$7, "Tier 1 Critical GIDA (Score ≥ 50.0)", IF(X707&gt;='Methodology &amp; Assumptions'!$B$8, "Tier 2 High GIDA (Score 40.0–49.9)", "Tier 3 Moderate GIDA (Score &lt; 40.0)"))</f>
        <v/>
      </c>
      <c r="V707" s="26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W707" s="28" t="n">
        <v>0.109</v>
      </c>
      <c r="X707" s="14" t="n">
        <v>52.72</v>
      </c>
      <c r="Y707" s="14">
        <f>ROUND(MIN(100, (X707/69.91)*100), 2)</f>
        <v/>
      </c>
    </row>
    <row r="708">
      <c r="A708" s="10" t="n">
        <v>1</v>
      </c>
      <c r="B708" s="10" t="n">
        <v>704</v>
      </c>
      <c r="C708" s="10" t="n">
        <v>704</v>
      </c>
      <c r="D708" s="10" t="inlineStr">
        <is>
          <t>0405617007</t>
        </is>
      </c>
      <c r="E708" s="26" t="inlineStr">
        <is>
          <t>Region IV-A (CALABARZON)</t>
        </is>
      </c>
      <c r="F708" s="26" t="inlineStr">
        <is>
          <t>Quezon</t>
        </is>
      </c>
      <c r="G708" s="26" t="inlineStr">
        <is>
          <t>General Nakar</t>
        </is>
      </c>
      <c r="H708" s="26" t="inlineStr">
        <is>
          <t>Mahabang Lalim</t>
        </is>
      </c>
      <c r="I708" s="27" t="n">
        <v>14.689702</v>
      </c>
      <c r="J708" s="27" t="n">
        <v>121.550906</v>
      </c>
      <c r="K708" s="10" t="inlineStr">
        <is>
          <t>R</t>
        </is>
      </c>
      <c r="L708" s="12" t="n">
        <v>701</v>
      </c>
      <c r="M708" s="14" t="n">
        <v>3.8</v>
      </c>
      <c r="N708" s="12">
        <f>ROUND(L708/M708, 0)</f>
        <v/>
      </c>
      <c r="O708" s="12">
        <f>ROUND(N708*'Methodology &amp; Assumptions'!$B$5, 0)</f>
        <v/>
      </c>
      <c r="P708" s="10" t="inlineStr">
        <is>
          <t>Single Carrier (Band n50, 100MHz TDD)</t>
        </is>
      </c>
      <c r="Q708" s="13">
        <f>ROUNDUP(O708/'Methodology &amp; Assumptions'!$B$6, 0)</f>
        <v/>
      </c>
      <c r="R708" s="13" t="n">
        <v>1</v>
      </c>
      <c r="S708" s="14" t="n">
        <v>8.1</v>
      </c>
      <c r="T708" s="14" t="n">
        <v>30.23</v>
      </c>
      <c r="U708" s="26">
        <f>IF(X708&gt;='Methodology &amp; Assumptions'!$B$7, "Tier 1 Critical GIDA (Score ≥ 50.0)", IF(X708&gt;='Methodology &amp; Assumptions'!$B$8, "Tier 2 High GIDA (Score 40.0–49.9)", "Tier 3 Moderate GIDA (Score &lt; 40.0)"))</f>
        <v/>
      </c>
      <c r="V708" s="26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W708" s="28" t="n">
        <v>0.07200000000000001</v>
      </c>
      <c r="X708" s="14" t="n">
        <v>52.72</v>
      </c>
      <c r="Y708" s="14">
        <f>ROUND(MIN(100, (X708/69.91)*100), 2)</f>
        <v/>
      </c>
    </row>
    <row r="709">
      <c r="A709" s="10" t="n">
        <v>1</v>
      </c>
      <c r="B709" s="10" t="n">
        <v>705</v>
      </c>
      <c r="C709" s="10" t="n">
        <v>705</v>
      </c>
      <c r="D709" s="10" t="inlineStr">
        <is>
          <t>1400113010</t>
        </is>
      </c>
      <c r="E709" s="26" t="inlineStr">
        <is>
          <t>Cordillera Administrative Region (CAR)</t>
        </is>
      </c>
      <c r="F709" s="26" t="inlineStr">
        <is>
          <t>Abra</t>
        </is>
      </c>
      <c r="G709" s="26" t="inlineStr">
        <is>
          <t>Licuan-Baay</t>
        </is>
      </c>
      <c r="H709" s="26" t="inlineStr">
        <is>
          <t>Subagan</t>
        </is>
      </c>
      <c r="I709" s="27" t="n">
        <v>17.546967</v>
      </c>
      <c r="J709" s="27" t="n">
        <v>120.894078</v>
      </c>
      <c r="K709" s="10" t="inlineStr">
        <is>
          <t>R</t>
        </is>
      </c>
      <c r="L709" s="12" t="n">
        <v>605</v>
      </c>
      <c r="M709" s="14" t="n">
        <v>3.8</v>
      </c>
      <c r="N709" s="12">
        <f>ROUND(L709/M709, 0)</f>
        <v/>
      </c>
      <c r="O709" s="12">
        <f>ROUND(N709*'Methodology &amp; Assumptions'!$B$5, 0)</f>
        <v/>
      </c>
      <c r="P709" s="10" t="inlineStr">
        <is>
          <t>Single Carrier (Band n50, 100MHz TDD)</t>
        </is>
      </c>
      <c r="Q709" s="13">
        <f>ROUNDUP(O709/'Methodology &amp; Assumptions'!$B$6, 0)</f>
        <v/>
      </c>
      <c r="R709" s="13" t="n">
        <v>1</v>
      </c>
      <c r="S709" s="14" t="n">
        <v>27.29</v>
      </c>
      <c r="T709" s="14" t="n">
        <v>27.26</v>
      </c>
      <c r="U709" s="26">
        <f>IF(X709&gt;='Methodology &amp; Assumptions'!$B$7, "Tier 1 Critical GIDA (Score ≥ 50.0)", IF(X709&gt;='Methodology &amp; Assumptions'!$B$8, "Tier 2 High GIDA (Score 40.0–49.9)", "Tier 3 Moderate GIDA (Score &lt; 40.0)"))</f>
        <v/>
      </c>
      <c r="V709" s="26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W709" s="28" t="n">
        <v>0.109</v>
      </c>
      <c r="X709" s="14" t="n">
        <v>52.72</v>
      </c>
      <c r="Y709" s="14">
        <f>ROUND(MIN(100, (X709/69.91)*100), 2)</f>
        <v/>
      </c>
    </row>
    <row r="710">
      <c r="A710" s="10" t="n">
        <v>1</v>
      </c>
      <c r="B710" s="10" t="n">
        <v>706</v>
      </c>
      <c r="C710" s="10" t="n">
        <v>706</v>
      </c>
      <c r="D710" s="10" t="inlineStr">
        <is>
          <t>0203111003</t>
        </is>
      </c>
      <c r="E710" s="26" t="inlineStr">
        <is>
          <t>Region II (Cagayan Valley)</t>
        </is>
      </c>
      <c r="F710" s="26" t="inlineStr">
        <is>
          <t>Isabela</t>
        </is>
      </c>
      <c r="G710" s="26" t="inlineStr">
        <is>
          <t>Divilacan</t>
        </is>
      </c>
      <c r="H710" s="26" t="inlineStr">
        <is>
          <t>Dicambangan</t>
        </is>
      </c>
      <c r="I710" s="27" t="n">
        <v>17.301125</v>
      </c>
      <c r="J710" s="27" t="n">
        <v>122.3142</v>
      </c>
      <c r="K710" s="10" t="inlineStr">
        <is>
          <t>R</t>
        </is>
      </c>
      <c r="L710" s="12" t="n">
        <v>368</v>
      </c>
      <c r="M710" s="14" t="n">
        <v>3.8</v>
      </c>
      <c r="N710" s="12">
        <f>ROUND(L710/M710, 0)</f>
        <v/>
      </c>
      <c r="O710" s="12">
        <f>ROUND(N710*'Methodology &amp; Assumptions'!$B$5, 0)</f>
        <v/>
      </c>
      <c r="P710" s="10" t="inlineStr">
        <is>
          <t>Single Carrier (Band n50, 100MHz TDD)</t>
        </is>
      </c>
      <c r="Q710" s="13">
        <f>ROUNDUP(O710/'Methodology &amp; Assumptions'!$B$6, 0)</f>
        <v/>
      </c>
      <c r="R710" s="13" t="n">
        <v>1</v>
      </c>
      <c r="S710" s="14" t="n">
        <v>39.71</v>
      </c>
      <c r="T710" s="14" t="n">
        <v>44.51</v>
      </c>
      <c r="U710" s="26">
        <f>IF(X710&gt;='Methodology &amp; Assumptions'!$B$7, "Tier 1 Critical GIDA (Score ≥ 50.0)", IF(X710&gt;='Methodology &amp; Assumptions'!$B$8, "Tier 2 High GIDA (Score 40.0–49.9)", "Tier 3 Moderate GIDA (Score &lt; 40.0)"))</f>
        <v/>
      </c>
      <c r="V710" s="26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W710" s="28" t="n">
        <v>0.083</v>
      </c>
      <c r="X710" s="14" t="n">
        <v>52.72</v>
      </c>
      <c r="Y710" s="14">
        <f>ROUND(MIN(100, (X710/69.91)*100), 2)</f>
        <v/>
      </c>
    </row>
    <row r="711">
      <c r="A711" s="10" t="n">
        <v>1</v>
      </c>
      <c r="B711" s="10" t="n">
        <v>707</v>
      </c>
      <c r="C711" s="10" t="n">
        <v>707</v>
      </c>
      <c r="D711" s="10" t="inlineStr">
        <is>
          <t>1400113004</t>
        </is>
      </c>
      <c r="E711" s="26" t="inlineStr">
        <is>
          <t>Cordillera Administrative Region (CAR)</t>
        </is>
      </c>
      <c r="F711" s="26" t="inlineStr">
        <is>
          <t>Abra</t>
        </is>
      </c>
      <c r="G711" s="26" t="inlineStr">
        <is>
          <t>Licuan-Baay</t>
        </is>
      </c>
      <c r="H711" s="26" t="inlineStr">
        <is>
          <t>Domenglay</t>
        </is>
      </c>
      <c r="I711" s="27" t="n">
        <v>17.627124</v>
      </c>
      <c r="J711" s="27" t="n">
        <v>120.946421</v>
      </c>
      <c r="K711" s="10" t="inlineStr">
        <is>
          <t>R</t>
        </is>
      </c>
      <c r="L711" s="12" t="n">
        <v>443</v>
      </c>
      <c r="M711" s="14" t="n">
        <v>3.8</v>
      </c>
      <c r="N711" s="12">
        <f>ROUND(L711/M711, 0)</f>
        <v/>
      </c>
      <c r="O711" s="12">
        <f>ROUND(N711*'Methodology &amp; Assumptions'!$B$5, 0)</f>
        <v/>
      </c>
      <c r="P711" s="10" t="inlineStr">
        <is>
          <t>Single Carrier (Band n50, 100MHz TDD)</t>
        </is>
      </c>
      <c r="Q711" s="13">
        <f>ROUNDUP(O711/'Methodology &amp; Assumptions'!$B$6, 0)</f>
        <v/>
      </c>
      <c r="R711" s="13" t="n">
        <v>1</v>
      </c>
      <c r="S711" s="14" t="n">
        <v>29.91</v>
      </c>
      <c r="T711" s="14" t="n">
        <v>29.88</v>
      </c>
      <c r="U711" s="26">
        <f>IF(X711&gt;='Methodology &amp; Assumptions'!$B$7, "Tier 1 Critical GIDA (Score ≥ 50.0)", IF(X711&gt;='Methodology &amp; Assumptions'!$B$8, "Tier 2 High GIDA (Score 40.0–49.9)", "Tier 3 Moderate GIDA (Score &lt; 40.0)"))</f>
        <v/>
      </c>
      <c r="V711" s="26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W711" s="28" t="n">
        <v>0.109</v>
      </c>
      <c r="X711" s="14" t="n">
        <v>52.72</v>
      </c>
      <c r="Y711" s="14">
        <f>ROUND(MIN(100, (X711/69.91)*100), 2)</f>
        <v/>
      </c>
    </row>
    <row r="712">
      <c r="A712" s="10" t="n">
        <v>1</v>
      </c>
      <c r="B712" s="10" t="n">
        <v>708</v>
      </c>
      <c r="C712" s="10" t="n">
        <v>708</v>
      </c>
      <c r="D712" s="10" t="inlineStr">
        <is>
          <t>0205706016</t>
        </is>
      </c>
      <c r="E712" s="26" t="inlineStr">
        <is>
          <t>Region II (Cagayan Valley)</t>
        </is>
      </c>
      <c r="F712" s="26" t="inlineStr">
        <is>
          <t>Quirino</t>
        </is>
      </c>
      <c r="G712" s="26" t="inlineStr">
        <is>
          <t>Nagtipunan</t>
        </is>
      </c>
      <c r="H712" s="26" t="inlineStr">
        <is>
          <t>Asaklat</t>
        </is>
      </c>
      <c r="I712" s="27" t="n">
        <v>16.27261</v>
      </c>
      <c r="J712" s="27" t="n">
        <v>121.605346</v>
      </c>
      <c r="K712" s="10" t="inlineStr">
        <is>
          <t>R</t>
        </is>
      </c>
      <c r="L712" s="12" t="n">
        <v>1262</v>
      </c>
      <c r="M712" s="14" t="n">
        <v>3.9</v>
      </c>
      <c r="N712" s="12">
        <f>ROUND(L712/M712, 0)</f>
        <v/>
      </c>
      <c r="O712" s="12">
        <f>ROUND(N712*'Methodology &amp; Assumptions'!$B$5, 0)</f>
        <v/>
      </c>
      <c r="P712" s="10" t="inlineStr">
        <is>
          <t>Single Carrier (Band n50, 100MHz TDD)</t>
        </is>
      </c>
      <c r="Q712" s="13">
        <f>ROUNDUP(O712/'Methodology &amp; Assumptions'!$B$6, 0)</f>
        <v/>
      </c>
      <c r="R712" s="13" t="n">
        <v>1</v>
      </c>
      <c r="S712" s="14" t="n">
        <v>6.38</v>
      </c>
      <c r="T712" s="14" t="n">
        <v>4.67</v>
      </c>
      <c r="U712" s="26">
        <f>IF(X712&gt;='Methodology &amp; Assumptions'!$B$7, "Tier 1 Critical GIDA (Score ≥ 50.0)", IF(X712&gt;='Methodology &amp; Assumptions'!$B$8, "Tier 2 High GIDA (Score 40.0–49.9)", "Tier 3 Moderate GIDA (Score &lt; 40.0)"))</f>
        <v/>
      </c>
      <c r="V712" s="26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W712" s="28" t="n">
        <v>0.083</v>
      </c>
      <c r="X712" s="14" t="n">
        <v>52.71</v>
      </c>
      <c r="Y712" s="14">
        <f>ROUND(MIN(100, (X712/69.91)*100), 2)</f>
        <v/>
      </c>
    </row>
    <row r="713">
      <c r="A713" s="10" t="n">
        <v>1</v>
      </c>
      <c r="B713" s="10" t="n">
        <v>709</v>
      </c>
      <c r="C713" s="10" t="n">
        <v>709</v>
      </c>
      <c r="D713" s="10" t="inlineStr">
        <is>
          <t>1380601100</t>
        </is>
      </c>
      <c r="E713" s="26" t="inlineStr">
        <is>
          <t>National Capital Region (NCR)</t>
        </is>
      </c>
      <c r="F713" s="26" t="inlineStr">
        <is>
          <t>First District (Not a Province)</t>
        </is>
      </c>
      <c r="G713" s="26" t="inlineStr">
        <is>
          <t>City of Manila</t>
        </is>
      </c>
      <c r="H713" s="26" t="inlineStr">
        <is>
          <t>Barangay 100</t>
        </is>
      </c>
      <c r="I713" s="27" t="n">
        <v>12.764184</v>
      </c>
      <c r="J713" s="27" t="n">
        <v>121.80027</v>
      </c>
      <c r="K713" s="10" t="inlineStr">
        <is>
          <t>U</t>
        </is>
      </c>
      <c r="L713" s="12" t="n">
        <v>2289</v>
      </c>
      <c r="M713" s="14" t="n">
        <v>3.9</v>
      </c>
      <c r="N713" s="12">
        <f>ROUND(L713/M713, 0)</f>
        <v/>
      </c>
      <c r="O713" s="12">
        <f>ROUND(N713*'Methodology &amp; Assumptions'!$B$5, 0)</f>
        <v/>
      </c>
      <c r="P713" s="10" t="inlineStr">
        <is>
          <t>Single Carrier (Band n50, 100MHz TDD)</t>
        </is>
      </c>
      <c r="Q713" s="13">
        <f>ROUNDUP(O713/'Methodology &amp; Assumptions'!$B$6, 0)</f>
        <v/>
      </c>
      <c r="R713" s="13" t="n">
        <v>1</v>
      </c>
      <c r="S713" s="14" t="n">
        <v>32.32</v>
      </c>
      <c r="T713" s="14" t="n">
        <v>32.02</v>
      </c>
      <c r="U713" s="26">
        <f>IF(X713&gt;='Methodology &amp; Assumptions'!$B$7, "Tier 1 Critical GIDA (Score ≥ 50.0)", IF(X713&gt;='Methodology &amp; Assumptions'!$B$8, "Tier 2 High GIDA (Score 40.0–49.9)", "Tier 3 Moderate GIDA (Score &lt; 40.0)"))</f>
        <v/>
      </c>
      <c r="V713" s="26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W713" s="28" t="n">
        <v>0.109</v>
      </c>
      <c r="X713" s="14" t="n">
        <v>52.71</v>
      </c>
      <c r="Y713" s="14">
        <f>ROUND(MIN(100, (X713/69.91)*100), 2)</f>
        <v/>
      </c>
    </row>
    <row r="714">
      <c r="A714" s="10" t="n">
        <v>1</v>
      </c>
      <c r="B714" s="10" t="n">
        <v>710</v>
      </c>
      <c r="C714" s="10" t="n">
        <v>710</v>
      </c>
      <c r="D714" s="10" t="inlineStr">
        <is>
          <t>0600609025</t>
        </is>
      </c>
      <c r="E714" s="26" t="inlineStr">
        <is>
          <t>Region VI (Western Visayas)</t>
        </is>
      </c>
      <c r="F714" s="26" t="inlineStr">
        <is>
          <t>Antique</t>
        </is>
      </c>
      <c r="G714" s="26" t="inlineStr">
        <is>
          <t>Laua-An</t>
        </is>
      </c>
      <c r="H714" s="26" t="inlineStr">
        <is>
          <t>Magyapo</t>
        </is>
      </c>
      <c r="I714" s="27" t="n">
        <v>11.120762</v>
      </c>
      <c r="J714" s="27" t="n">
        <v>122.069617</v>
      </c>
      <c r="K714" s="10" t="inlineStr">
        <is>
          <t>R</t>
        </is>
      </c>
      <c r="L714" s="12" t="n">
        <v>209</v>
      </c>
      <c r="M714" s="14" t="n">
        <v>3.9</v>
      </c>
      <c r="N714" s="12">
        <f>ROUND(L714/M714, 0)</f>
        <v/>
      </c>
      <c r="O714" s="12">
        <f>ROUND(N714*'Methodology &amp; Assumptions'!$B$5, 0)</f>
        <v/>
      </c>
      <c r="P714" s="10" t="inlineStr">
        <is>
          <t>Single Carrier (Band n50, 100MHz TDD)</t>
        </is>
      </c>
      <c r="Q714" s="13">
        <f>ROUNDUP(O714/'Methodology &amp; Assumptions'!$B$6, 0)</f>
        <v/>
      </c>
      <c r="R714" s="13" t="n">
        <v>1</v>
      </c>
      <c r="S714" s="14" t="n">
        <v>42.37</v>
      </c>
      <c r="T714" s="14" t="n">
        <v>36.2</v>
      </c>
      <c r="U714" s="26">
        <f>IF(X714&gt;='Methodology &amp; Assumptions'!$B$7, "Tier 1 Critical GIDA (Score ≥ 50.0)", IF(X714&gt;='Methodology &amp; Assumptions'!$B$8, "Tier 2 High GIDA (Score 40.0–49.9)", "Tier 3 Moderate GIDA (Score &lt; 40.0)"))</f>
        <v/>
      </c>
      <c r="V714" s="26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W714" s="28" t="n">
        <v>0.237</v>
      </c>
      <c r="X714" s="14" t="n">
        <v>52.71</v>
      </c>
      <c r="Y714" s="14">
        <f>ROUND(MIN(100, (X714/69.91)*100), 2)</f>
        <v/>
      </c>
    </row>
    <row r="715">
      <c r="A715" s="10" t="n">
        <v>1</v>
      </c>
      <c r="B715" s="10" t="n">
        <v>711</v>
      </c>
      <c r="C715" s="10" t="n">
        <v>711</v>
      </c>
      <c r="D715" s="10" t="inlineStr">
        <is>
          <t>1380900001</t>
        </is>
      </c>
      <c r="E715" s="26" t="inlineStr">
        <is>
          <t>National Capital Region (NCR)</t>
        </is>
      </c>
      <c r="F715" s="26" t="inlineStr">
        <is>
          <t>Third District (Not a Province)</t>
        </is>
      </c>
      <c r="G715" s="26" t="inlineStr">
        <is>
          <t>City of Navotas</t>
        </is>
      </c>
      <c r="H715" s="26" t="inlineStr">
        <is>
          <t>Sipac-Almacen</t>
        </is>
      </c>
      <c r="I715" s="27" t="n">
        <v>14.6583</v>
      </c>
      <c r="J715" s="27" t="n">
        <v>120.948257</v>
      </c>
      <c r="K715" s="10" t="inlineStr">
        <is>
          <t>U</t>
        </is>
      </c>
      <c r="L715" s="12" t="n">
        <v>9360</v>
      </c>
      <c r="M715" s="14" t="n">
        <v>3.4</v>
      </c>
      <c r="N715" s="12">
        <f>ROUND(L715/M715, 0)</f>
        <v/>
      </c>
      <c r="O715" s="12">
        <f>ROUND(N715*'Methodology &amp; Assumptions'!$B$5, 0)</f>
        <v/>
      </c>
      <c r="P715" s="10" t="inlineStr">
        <is>
          <t>Single Carrier (Band n50, 100MHz TDD)</t>
        </is>
      </c>
      <c r="Q715" s="13">
        <f>ROUNDUP(O715/'Methodology &amp; Assumptions'!$B$6, 0)</f>
        <v/>
      </c>
      <c r="R715" s="13" t="n">
        <v>1</v>
      </c>
      <c r="S715" s="14" t="n">
        <v>0.31</v>
      </c>
      <c r="T715" s="14" t="n">
        <v>0.46</v>
      </c>
      <c r="U715" s="26">
        <f>IF(X715&gt;='Methodology &amp; Assumptions'!$B$7, "Tier 1 Critical GIDA (Score ≥ 50.0)", IF(X715&gt;='Methodology &amp; Assumptions'!$B$8, "Tier 2 High GIDA (Score 40.0–49.9)", "Tier 3 Moderate GIDA (Score &lt; 40.0)"))</f>
        <v/>
      </c>
      <c r="V715" s="26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W715" s="28" t="n">
        <v>0.109</v>
      </c>
      <c r="X715" s="14" t="n">
        <v>52.71</v>
      </c>
      <c r="Y715" s="14">
        <f>ROUND(MIN(100, (X715/69.91)*100), 2)</f>
        <v/>
      </c>
    </row>
    <row r="716">
      <c r="A716" s="10" t="n">
        <v>1</v>
      </c>
      <c r="B716" s="10" t="n">
        <v>712</v>
      </c>
      <c r="C716" s="10" t="n">
        <v>712</v>
      </c>
      <c r="D716" s="10" t="inlineStr">
        <is>
          <t>0600609040</t>
        </is>
      </c>
      <c r="E716" s="26" t="inlineStr">
        <is>
          <t>Region VI (Western Visayas)</t>
        </is>
      </c>
      <c r="F716" s="26" t="inlineStr">
        <is>
          <t>Antique</t>
        </is>
      </c>
      <c r="G716" s="26" t="inlineStr">
        <is>
          <t>Laua-An</t>
        </is>
      </c>
      <c r="H716" s="26" t="inlineStr">
        <is>
          <t>Tibacan</t>
        </is>
      </c>
      <c r="I716" s="27" t="n">
        <v>11.124869</v>
      </c>
      <c r="J716" s="27" t="n">
        <v>122.082196</v>
      </c>
      <c r="K716" s="10" t="inlineStr">
        <is>
          <t>R</t>
        </is>
      </c>
      <c r="L716" s="12" t="n">
        <v>169</v>
      </c>
      <c r="M716" s="14" t="n">
        <v>3.9</v>
      </c>
      <c r="N716" s="12">
        <f>ROUND(L716/M716, 0)</f>
        <v/>
      </c>
      <c r="O716" s="12">
        <f>ROUND(N716*'Methodology &amp; Assumptions'!$B$5, 0)</f>
        <v/>
      </c>
      <c r="P716" s="10" t="inlineStr">
        <is>
          <t>Single Carrier (Band n50, 100MHz TDD)</t>
        </is>
      </c>
      <c r="Q716" s="13">
        <f>ROUNDUP(O716/'Methodology &amp; Assumptions'!$B$6, 0)</f>
        <v/>
      </c>
      <c r="R716" s="13" t="n">
        <v>1</v>
      </c>
      <c r="S716" s="14" t="n">
        <v>43.28</v>
      </c>
      <c r="T716" s="14" t="n">
        <v>36.99</v>
      </c>
      <c r="U716" s="26">
        <f>IF(X716&gt;='Methodology &amp; Assumptions'!$B$7, "Tier 1 Critical GIDA (Score ≥ 50.0)", IF(X716&gt;='Methodology &amp; Assumptions'!$B$8, "Tier 2 High GIDA (Score 40.0–49.9)", "Tier 3 Moderate GIDA (Score &lt; 40.0)"))</f>
        <v/>
      </c>
      <c r="V716" s="26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W716" s="28" t="n">
        <v>0.237</v>
      </c>
      <c r="X716" s="14" t="n">
        <v>52.71</v>
      </c>
      <c r="Y716" s="14">
        <f>ROUND(MIN(100, (X716/69.91)*100), 2)</f>
        <v/>
      </c>
    </row>
    <row r="717">
      <c r="A717" s="10" t="n">
        <v>1</v>
      </c>
      <c r="B717" s="10" t="n">
        <v>713</v>
      </c>
      <c r="C717" s="10" t="n">
        <v>713</v>
      </c>
      <c r="D717" s="10" t="inlineStr">
        <is>
          <t>0600609015</t>
        </is>
      </c>
      <c r="E717" s="26" t="inlineStr">
        <is>
          <t>Region VI (Western Visayas)</t>
        </is>
      </c>
      <c r="F717" s="26" t="inlineStr">
        <is>
          <t>Antique</t>
        </is>
      </c>
      <c r="G717" s="26" t="inlineStr">
        <is>
          <t>Laua-An</t>
        </is>
      </c>
      <c r="H717" s="26" t="inlineStr">
        <is>
          <t>Jinalinan</t>
        </is>
      </c>
      <c r="I717" s="27" t="n">
        <v>11.111352</v>
      </c>
      <c r="J717" s="27" t="n">
        <v>122.07442</v>
      </c>
      <c r="K717" s="10" t="inlineStr">
        <is>
          <t>R</t>
        </is>
      </c>
      <c r="L717" s="12" t="n">
        <v>193</v>
      </c>
      <c r="M717" s="14" t="n">
        <v>3.9</v>
      </c>
      <c r="N717" s="12">
        <f>ROUND(L717/M717, 0)</f>
        <v/>
      </c>
      <c r="O717" s="12">
        <f>ROUND(N717*'Methodology &amp; Assumptions'!$B$5, 0)</f>
        <v/>
      </c>
      <c r="P717" s="10" t="inlineStr">
        <is>
          <t>Single Carrier (Band n50, 100MHz TDD)</t>
        </is>
      </c>
      <c r="Q717" s="13">
        <f>ROUNDUP(O717/'Methodology &amp; Assumptions'!$B$6, 0)</f>
        <v/>
      </c>
      <c r="R717" s="13" t="n">
        <v>1</v>
      </c>
      <c r="S717" s="14" t="n">
        <v>41.57</v>
      </c>
      <c r="T717" s="14" t="n">
        <v>35.32</v>
      </c>
      <c r="U717" s="26">
        <f>IF(X717&gt;='Methodology &amp; Assumptions'!$B$7, "Tier 1 Critical GIDA (Score ≥ 50.0)", IF(X717&gt;='Methodology &amp; Assumptions'!$B$8, "Tier 2 High GIDA (Score 40.0–49.9)", "Tier 3 Moderate GIDA (Score &lt; 40.0)"))</f>
        <v/>
      </c>
      <c r="V717" s="26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W717" s="28" t="n">
        <v>0.237</v>
      </c>
      <c r="X717" s="14" t="n">
        <v>52.71</v>
      </c>
      <c r="Y717" s="14">
        <f>ROUND(MIN(100, (X717/69.91)*100), 2)</f>
        <v/>
      </c>
    </row>
    <row r="718">
      <c r="A718" s="10" t="n">
        <v>1</v>
      </c>
      <c r="B718" s="10" t="n">
        <v>714</v>
      </c>
      <c r="C718" s="10" t="n">
        <v>714</v>
      </c>
      <c r="D718" s="10" t="inlineStr">
        <is>
          <t>1403214005</t>
        </is>
      </c>
      <c r="E718" s="26" t="inlineStr">
        <is>
          <t>Cordillera Administrative Region (CAR)</t>
        </is>
      </c>
      <c r="F718" s="26" t="inlineStr">
        <is>
          <t>Kalinga</t>
        </is>
      </c>
      <c r="G718" s="26" t="inlineStr">
        <is>
          <t>Tanudan</t>
        </is>
      </c>
      <c r="H718" s="26" t="inlineStr">
        <is>
          <t>Lower Mangali</t>
        </is>
      </c>
      <c r="I718" s="27" t="n">
        <v>17.307933</v>
      </c>
      <c r="J718" s="27" t="n">
        <v>121.230128</v>
      </c>
      <c r="K718" s="10" t="inlineStr">
        <is>
          <t>R</t>
        </is>
      </c>
      <c r="L718" s="12" t="n">
        <v>262</v>
      </c>
      <c r="M718" s="14" t="n">
        <v>4.3</v>
      </c>
      <c r="N718" s="12">
        <f>ROUND(L718/M718, 0)</f>
        <v/>
      </c>
      <c r="O718" s="12">
        <f>ROUND(N718*'Methodology &amp; Assumptions'!$B$5, 0)</f>
        <v/>
      </c>
      <c r="P718" s="10" t="inlineStr">
        <is>
          <t>Single Carrier (Band n50, 100MHz TDD)</t>
        </is>
      </c>
      <c r="Q718" s="13">
        <f>ROUNDUP(O718/'Methodology &amp; Assumptions'!$B$6, 0)</f>
        <v/>
      </c>
      <c r="R718" s="13" t="n">
        <v>1</v>
      </c>
      <c r="S718" s="14" t="n">
        <v>9.93</v>
      </c>
      <c r="T718" s="14" t="n">
        <v>6.9</v>
      </c>
      <c r="U718" s="26">
        <f>IF(X718&gt;='Methodology &amp; Assumptions'!$B$7, "Tier 1 Critical GIDA (Score ≥ 50.0)", IF(X718&gt;='Methodology &amp; Assumptions'!$B$8, "Tier 2 High GIDA (Score 40.0–49.9)", "Tier 3 Moderate GIDA (Score &lt; 40.0)"))</f>
        <v/>
      </c>
      <c r="V718" s="26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W718" s="28" t="n">
        <v>0.109</v>
      </c>
      <c r="X718" s="14" t="n">
        <v>52.7</v>
      </c>
      <c r="Y718" s="14">
        <f>ROUND(MIN(100, (X718/69.91)*100), 2)</f>
        <v/>
      </c>
    </row>
    <row r="719">
      <c r="A719" s="10" t="n">
        <v>1</v>
      </c>
      <c r="B719" s="10" t="n">
        <v>715</v>
      </c>
      <c r="C719" s="10" t="n">
        <v>715</v>
      </c>
      <c r="D719" s="10" t="inlineStr">
        <is>
          <t>1380601034</t>
        </is>
      </c>
      <c r="E719" s="26" t="inlineStr">
        <is>
          <t>National Capital Region (NCR)</t>
        </is>
      </c>
      <c r="F719" s="26" t="inlineStr">
        <is>
          <t>First District (Not a Province)</t>
        </is>
      </c>
      <c r="G719" s="26" t="inlineStr">
        <is>
          <t>City of Manila</t>
        </is>
      </c>
      <c r="H719" s="26" t="inlineStr">
        <is>
          <t>Barangay 34</t>
        </is>
      </c>
      <c r="I719" s="27" t="n">
        <v>12.94834</v>
      </c>
      <c r="J719" s="27" t="n">
        <v>121.673442</v>
      </c>
      <c r="K719" s="10" t="inlineStr">
        <is>
          <t>U</t>
        </is>
      </c>
      <c r="L719" s="12" t="n">
        <v>1910</v>
      </c>
      <c r="M719" s="14" t="n">
        <v>3.9</v>
      </c>
      <c r="N719" s="12">
        <f>ROUND(L719/M719, 0)</f>
        <v/>
      </c>
      <c r="O719" s="12">
        <f>ROUND(N719*'Methodology &amp; Assumptions'!$B$5, 0)</f>
        <v/>
      </c>
      <c r="P719" s="10" t="inlineStr">
        <is>
          <t>Single Carrier (Band n50, 100MHz TDD)</t>
        </is>
      </c>
      <c r="Q719" s="13">
        <f>ROUNDUP(O719/'Methodology &amp; Assumptions'!$B$6, 0)</f>
        <v/>
      </c>
      <c r="R719" s="13" t="n">
        <v>1</v>
      </c>
      <c r="S719" s="14" t="n">
        <v>21.27</v>
      </c>
      <c r="T719" s="14" t="n">
        <v>21.26</v>
      </c>
      <c r="U719" s="26">
        <f>IF(X719&gt;='Methodology &amp; Assumptions'!$B$7, "Tier 1 Critical GIDA (Score ≥ 50.0)", IF(X719&gt;='Methodology &amp; Assumptions'!$B$8, "Tier 2 High GIDA (Score 40.0–49.9)", "Tier 3 Moderate GIDA (Score &lt; 40.0)"))</f>
        <v/>
      </c>
      <c r="V719" s="26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W719" s="28" t="n">
        <v>0.109</v>
      </c>
      <c r="X719" s="14" t="n">
        <v>52.7</v>
      </c>
      <c r="Y719" s="14">
        <f>ROUND(MIN(100, (X719/69.91)*100), 2)</f>
        <v/>
      </c>
    </row>
    <row r="720">
      <c r="A720" s="10" t="n">
        <v>1</v>
      </c>
      <c r="B720" s="10" t="n">
        <v>716</v>
      </c>
      <c r="C720" s="10" t="n">
        <v>716</v>
      </c>
      <c r="D720" s="10" t="inlineStr">
        <is>
          <t>PH0000716</t>
        </is>
      </c>
      <c r="E720" s="26" t="inlineStr">
        <is>
          <t>VIII</t>
        </is>
      </c>
      <c r="F720" s="26" t="inlineStr">
        <is>
          <t>Samar (Western Samar)</t>
        </is>
      </c>
      <c r="G720" s="26" t="inlineStr">
        <is>
          <t>Catbalogan City</t>
        </is>
      </c>
      <c r="H720" s="26" t="inlineStr">
        <is>
          <t>Libas</t>
        </is>
      </c>
      <c r="I720" s="27" t="n">
        <v>12.876673</v>
      </c>
      <c r="J720" s="27" t="n">
        <v>121.78559</v>
      </c>
      <c r="K720" s="10" t="inlineStr">
        <is>
          <t>R</t>
        </is>
      </c>
      <c r="L720" s="12" t="n">
        <v>2229</v>
      </c>
      <c r="M720" s="14" t="n">
        <v>4.1</v>
      </c>
      <c r="N720" s="12">
        <f>ROUND(L720/M720, 0)</f>
        <v/>
      </c>
      <c r="O720" s="12">
        <f>ROUND(N720*'Methodology &amp; Assumptions'!$B$5, 0)</f>
        <v/>
      </c>
      <c r="P720" s="10" t="inlineStr">
        <is>
          <t>Single Carrier (Band n50, 100MHz TDD)</t>
        </is>
      </c>
      <c r="Q720" s="13">
        <f>ROUNDUP(O720/'Methodology &amp; Assumptions'!$B$6, 0)</f>
        <v/>
      </c>
      <c r="R720" s="13" t="n">
        <v>1</v>
      </c>
      <c r="S720" s="14" t="n">
        <v>34.63</v>
      </c>
      <c r="T720" s="14" t="n">
        <v>34.42</v>
      </c>
      <c r="U720" s="26">
        <f>IF(X720&gt;='Methodology &amp; Assumptions'!$B$7, "Tier 1 Critical GIDA (Score ≥ 50.0)", IF(X720&gt;='Methodology &amp; Assumptions'!$B$8, "Tier 2 High GIDA (Score 40.0–49.9)", "Tier 3 Moderate GIDA (Score &lt; 40.0)"))</f>
        <v/>
      </c>
      <c r="V720" s="26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W720" s="28" t="n">
        <v>0.222</v>
      </c>
      <c r="X720" s="14" t="n">
        <v>52.7</v>
      </c>
      <c r="Y720" s="14">
        <f>ROUND(MIN(100, (X720/69.91)*100), 2)</f>
        <v/>
      </c>
    </row>
    <row r="721">
      <c r="A721" s="10" t="n">
        <v>1</v>
      </c>
      <c r="B721" s="10" t="n">
        <v>717</v>
      </c>
      <c r="C721" s="10" t="n">
        <v>717</v>
      </c>
      <c r="D721" s="10" t="inlineStr">
        <is>
          <t>1380601106</t>
        </is>
      </c>
      <c r="E721" s="26" t="inlineStr">
        <is>
          <t>National Capital Region (NCR)</t>
        </is>
      </c>
      <c r="F721" s="26" t="inlineStr">
        <is>
          <t>First District (Not a Province)</t>
        </is>
      </c>
      <c r="G721" s="26" t="inlineStr">
        <is>
          <t>City of Manila</t>
        </is>
      </c>
      <c r="H721" s="26" t="inlineStr">
        <is>
          <t>Barangay 106</t>
        </is>
      </c>
      <c r="I721" s="27" t="n">
        <v>12.895496</v>
      </c>
      <c r="J721" s="27" t="n">
        <v>121.897081</v>
      </c>
      <c r="K721" s="10" t="inlineStr">
        <is>
          <t>U</t>
        </is>
      </c>
      <c r="L721" s="12" t="n">
        <v>2589</v>
      </c>
      <c r="M721" s="14" t="n">
        <v>3.9</v>
      </c>
      <c r="N721" s="12">
        <f>ROUND(L721/M721, 0)</f>
        <v/>
      </c>
      <c r="O721" s="12">
        <f>ROUND(N721*'Methodology &amp; Assumptions'!$B$5, 0)</f>
        <v/>
      </c>
      <c r="P721" s="10" t="inlineStr">
        <is>
          <t>Single Carrier (Band n50, 100MHz TDD)</t>
        </is>
      </c>
      <c r="Q721" s="13">
        <f>ROUNDUP(O721/'Methodology &amp; Assumptions'!$B$6, 0)</f>
        <v/>
      </c>
      <c r="R721" s="13" t="n">
        <v>1</v>
      </c>
      <c r="S721" s="14" t="n">
        <v>46.02</v>
      </c>
      <c r="T721" s="14" t="n">
        <v>45.92</v>
      </c>
      <c r="U721" s="26">
        <f>IF(X721&gt;='Methodology &amp; Assumptions'!$B$7, "Tier 1 Critical GIDA (Score ≥ 50.0)", IF(X721&gt;='Methodology &amp; Assumptions'!$B$8, "Tier 2 High GIDA (Score 40.0–49.9)", "Tier 3 Moderate GIDA (Score &lt; 40.0)"))</f>
        <v/>
      </c>
      <c r="V721" s="26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W721" s="28" t="n">
        <v>0.109</v>
      </c>
      <c r="X721" s="14" t="n">
        <v>52.69</v>
      </c>
      <c r="Y721" s="14">
        <f>ROUND(MIN(100, (X721/69.91)*100), 2)</f>
        <v/>
      </c>
    </row>
    <row r="722">
      <c r="A722" s="10" t="n">
        <v>1</v>
      </c>
      <c r="B722" s="10" t="n">
        <v>718</v>
      </c>
      <c r="C722" s="10" t="n">
        <v>718</v>
      </c>
      <c r="D722" s="10" t="inlineStr">
        <is>
          <t>1380601073</t>
        </is>
      </c>
      <c r="E722" s="26" t="inlineStr">
        <is>
          <t>National Capital Region (NCR)</t>
        </is>
      </c>
      <c r="F722" s="26" t="inlineStr">
        <is>
          <t>First District (Not a Province)</t>
        </is>
      </c>
      <c r="G722" s="26" t="inlineStr">
        <is>
          <t>City of Manila</t>
        </is>
      </c>
      <c r="H722" s="26" t="inlineStr">
        <is>
          <t>Barangay 73</t>
        </is>
      </c>
      <c r="I722" s="27" t="n">
        <v>12.78596</v>
      </c>
      <c r="J722" s="27" t="n">
        <v>121.693312</v>
      </c>
      <c r="K722" s="10" t="inlineStr">
        <is>
          <t>U</t>
        </is>
      </c>
      <c r="L722" s="12" t="n">
        <v>2553</v>
      </c>
      <c r="M722" s="14" t="n">
        <v>3.9</v>
      </c>
      <c r="N722" s="12">
        <f>ROUND(L722/M722, 0)</f>
        <v/>
      </c>
      <c r="O722" s="12">
        <f>ROUND(N722*'Methodology &amp; Assumptions'!$B$5, 0)</f>
        <v/>
      </c>
      <c r="P722" s="10" t="inlineStr">
        <is>
          <t>Single Carrier (Band n50, 100MHz TDD)</t>
        </is>
      </c>
      <c r="Q722" s="13">
        <f>ROUNDUP(O722/'Methodology &amp; Assumptions'!$B$6, 0)</f>
        <v/>
      </c>
      <c r="R722" s="13" t="n">
        <v>1</v>
      </c>
      <c r="S722" s="14" t="n">
        <v>22.82</v>
      </c>
      <c r="T722" s="14" t="n">
        <v>22.76</v>
      </c>
      <c r="U722" s="26">
        <f>IF(X722&gt;='Methodology &amp; Assumptions'!$B$7, "Tier 1 Critical GIDA (Score ≥ 50.0)", IF(X722&gt;='Methodology &amp; Assumptions'!$B$8, "Tier 2 High GIDA (Score 40.0–49.9)", "Tier 3 Moderate GIDA (Score &lt; 40.0)"))</f>
        <v/>
      </c>
      <c r="V722" s="26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W722" s="28" t="n">
        <v>0.109</v>
      </c>
      <c r="X722" s="14" t="n">
        <v>52.69</v>
      </c>
      <c r="Y722" s="14">
        <f>ROUND(MIN(100, (X722/69.91)*100), 2)</f>
        <v/>
      </c>
    </row>
    <row r="723">
      <c r="A723" s="10" t="n">
        <v>1</v>
      </c>
      <c r="B723" s="10" t="n">
        <v>719</v>
      </c>
      <c r="C723" s="10" t="n">
        <v>719</v>
      </c>
      <c r="D723" s="10" t="inlineStr">
        <is>
          <t>1381701005</t>
        </is>
      </c>
      <c r="E723" s="26" t="inlineStr">
        <is>
          <t>National Capital Region (NCR)</t>
        </is>
      </c>
      <c r="F723" s="26" t="inlineStr">
        <is>
          <t>Fourth District (Not a Province)</t>
        </is>
      </c>
      <c r="G723" s="26" t="inlineStr">
        <is>
          <t>Pateros</t>
        </is>
      </c>
      <c r="H723" s="26" t="inlineStr">
        <is>
          <t>San Pedro</t>
        </is>
      </c>
      <c r="I723" s="27" t="n">
        <v>14.546776</v>
      </c>
      <c r="J723" s="27" t="n">
        <v>121.06737</v>
      </c>
      <c r="K723" s="10" t="inlineStr">
        <is>
          <t>U</t>
        </is>
      </c>
      <c r="L723" s="12" t="n">
        <v>2289</v>
      </c>
      <c r="M723" s="14" t="n">
        <v>3.8</v>
      </c>
      <c r="N723" s="12">
        <f>ROUND(L723/M723, 0)</f>
        <v/>
      </c>
      <c r="O723" s="12">
        <f>ROUND(N723*'Methodology &amp; Assumptions'!$B$5, 0)</f>
        <v/>
      </c>
      <c r="P723" s="10" t="inlineStr">
        <is>
          <t>Single Carrier (Band n50, 100MHz TDD)</t>
        </is>
      </c>
      <c r="Q723" s="13">
        <f>ROUNDUP(O723/'Methodology &amp; Assumptions'!$B$6, 0)</f>
        <v/>
      </c>
      <c r="R723" s="13" t="n">
        <v>1</v>
      </c>
      <c r="S723" s="14" t="n">
        <v>0.26</v>
      </c>
      <c r="T723" s="14" t="n">
        <v>0.19</v>
      </c>
      <c r="U723" s="26">
        <f>IF(X723&gt;='Methodology &amp; Assumptions'!$B$7, "Tier 1 Critical GIDA (Score ≥ 50.0)", IF(X723&gt;='Methodology &amp; Assumptions'!$B$8, "Tier 2 High GIDA (Score 40.0–49.9)", "Tier 3 Moderate GIDA (Score &lt; 40.0)"))</f>
        <v/>
      </c>
      <c r="V723" s="26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W723" s="28" t="n">
        <v>0.109</v>
      </c>
      <c r="X723" s="14" t="n">
        <v>52.69</v>
      </c>
      <c r="Y723" s="14">
        <f>ROUND(MIN(100, (X723/69.91)*100), 2)</f>
        <v/>
      </c>
    </row>
    <row r="724">
      <c r="A724" s="10" t="n">
        <v>1</v>
      </c>
      <c r="B724" s="10" t="n">
        <v>720</v>
      </c>
      <c r="C724" s="10" t="n">
        <v>720</v>
      </c>
      <c r="D724" s="10" t="inlineStr">
        <is>
          <t>PH0000720</t>
        </is>
      </c>
      <c r="E724" s="26" t="inlineStr">
        <is>
          <t>VIII</t>
        </is>
      </c>
      <c r="F724" s="26" t="inlineStr">
        <is>
          <t>Leyte</t>
        </is>
      </c>
      <c r="G724" s="26" t="inlineStr">
        <is>
          <t>Tacloban City</t>
        </is>
      </c>
      <c r="H724" s="26" t="inlineStr">
        <is>
          <t>Barangay 17</t>
        </is>
      </c>
      <c r="I724" s="27" t="n">
        <v>11.261736</v>
      </c>
      <c r="J724" s="27" t="n">
        <v>124.969355</v>
      </c>
      <c r="K724" s="10" t="inlineStr">
        <is>
          <t>R</t>
        </is>
      </c>
      <c r="L724" s="12" t="n">
        <v>2258</v>
      </c>
      <c r="M724" s="14" t="n">
        <v>3.8</v>
      </c>
      <c r="N724" s="12">
        <f>ROUND(L724/M724, 0)</f>
        <v/>
      </c>
      <c r="O724" s="12">
        <f>ROUND(N724*'Methodology &amp; Assumptions'!$B$5, 0)</f>
        <v/>
      </c>
      <c r="P724" s="10" t="inlineStr">
        <is>
          <t>Single Carrier (Band n50, 100MHz TDD)</t>
        </is>
      </c>
      <c r="Q724" s="13">
        <f>ROUNDUP(O724/'Methodology &amp; Assumptions'!$B$6, 0)</f>
        <v/>
      </c>
      <c r="R724" s="13" t="n">
        <v>1</v>
      </c>
      <c r="S724" s="14" t="n">
        <v>4.37</v>
      </c>
      <c r="T724" s="14" t="n">
        <v>7</v>
      </c>
      <c r="U724" s="26">
        <f>IF(X724&gt;='Methodology &amp; Assumptions'!$B$7, "Tier 1 Critical GIDA (Score ≥ 50.0)", IF(X724&gt;='Methodology &amp; Assumptions'!$B$8, "Tier 2 High GIDA (Score 40.0–49.9)", "Tier 3 Moderate GIDA (Score &lt; 40.0)"))</f>
        <v/>
      </c>
      <c r="V724" s="26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W724" s="28" t="n">
        <v>0.222</v>
      </c>
      <c r="X724" s="14" t="n">
        <v>52.69</v>
      </c>
      <c r="Y724" s="14">
        <f>ROUND(MIN(100, (X724/69.91)*100), 2)</f>
        <v/>
      </c>
    </row>
    <row r="725">
      <c r="A725" s="10" t="n">
        <v>1</v>
      </c>
      <c r="B725" s="10" t="n">
        <v>721</v>
      </c>
      <c r="C725" s="10" t="n">
        <v>721</v>
      </c>
      <c r="D725" s="10" t="inlineStr">
        <is>
          <t>1400115002</t>
        </is>
      </c>
      <c r="E725" s="26" t="inlineStr">
        <is>
          <t>Cordillera Administrative Region (CAR)</t>
        </is>
      </c>
      <c r="F725" s="26" t="inlineStr">
        <is>
          <t>Abra</t>
        </is>
      </c>
      <c r="G725" s="26" t="inlineStr">
        <is>
          <t>Malibcong</t>
        </is>
      </c>
      <c r="H725" s="26" t="inlineStr">
        <is>
          <t>Binasaran</t>
        </is>
      </c>
      <c r="I725" s="27" t="n">
        <v>17.593711</v>
      </c>
      <c r="J725" s="27" t="n">
        <v>120.963697</v>
      </c>
      <c r="K725" s="10" t="inlineStr">
        <is>
          <t>R</t>
        </is>
      </c>
      <c r="L725" s="12" t="n">
        <v>174</v>
      </c>
      <c r="M725" s="14" t="n">
        <v>3.8</v>
      </c>
      <c r="N725" s="12">
        <f>ROUND(L725/M725, 0)</f>
        <v/>
      </c>
      <c r="O725" s="12">
        <f>ROUND(N725*'Methodology &amp; Assumptions'!$B$5, 0)</f>
        <v/>
      </c>
      <c r="P725" s="10" t="inlineStr">
        <is>
          <t>Single Carrier (Band n50, 100MHz TDD)</t>
        </is>
      </c>
      <c r="Q725" s="13">
        <f>ROUNDUP(O725/'Methodology &amp; Assumptions'!$B$6, 0)</f>
        <v/>
      </c>
      <c r="R725" s="13" t="n">
        <v>1</v>
      </c>
      <c r="S725" s="14" t="n">
        <v>32.39</v>
      </c>
      <c r="T725" s="14" t="n">
        <v>32.36</v>
      </c>
      <c r="U725" s="26">
        <f>IF(X725&gt;='Methodology &amp; Assumptions'!$B$7, "Tier 1 Critical GIDA (Score ≥ 50.0)", IF(X725&gt;='Methodology &amp; Assumptions'!$B$8, "Tier 2 High GIDA (Score 40.0–49.9)", "Tier 3 Moderate GIDA (Score &lt; 40.0)"))</f>
        <v/>
      </c>
      <c r="V725" s="26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W725" s="28" t="n">
        <v>0.109</v>
      </c>
      <c r="X725" s="14" t="n">
        <v>52.68</v>
      </c>
      <c r="Y725" s="14">
        <f>ROUND(MIN(100, (X725/69.91)*100), 2)</f>
        <v/>
      </c>
    </row>
    <row r="726">
      <c r="A726" s="10" t="n">
        <v>1</v>
      </c>
      <c r="B726" s="10" t="n">
        <v>722</v>
      </c>
      <c r="C726" s="10" t="n">
        <v>722</v>
      </c>
      <c r="D726" s="10" t="inlineStr">
        <is>
          <t>1102503001</t>
        </is>
      </c>
      <c r="E726" s="26" t="inlineStr">
        <is>
          <t>Region XI (Davao Region)</t>
        </is>
      </c>
      <c r="F726" s="26" t="inlineStr">
        <is>
          <t>Davao Oriental</t>
        </is>
      </c>
      <c r="G726" s="26" t="inlineStr">
        <is>
          <t>Boston</t>
        </is>
      </c>
      <c r="H726" s="26" t="inlineStr">
        <is>
          <t>Cabasagan</t>
        </is>
      </c>
      <c r="I726" s="27" t="n">
        <v>7.811245</v>
      </c>
      <c r="J726" s="27" t="n">
        <v>126.351871</v>
      </c>
      <c r="K726" s="10" t="inlineStr">
        <is>
          <t>R</t>
        </is>
      </c>
      <c r="L726" s="12" t="n">
        <v>1983</v>
      </c>
      <c r="M726" s="14" t="n">
        <v>3.6</v>
      </c>
      <c r="N726" s="12">
        <f>ROUND(L726/M726, 0)</f>
        <v/>
      </c>
      <c r="O726" s="12">
        <f>ROUND(N726*'Methodology &amp; Assumptions'!$B$5, 0)</f>
        <v/>
      </c>
      <c r="P726" s="10" t="inlineStr">
        <is>
          <t>Single Carrier (Band n50, 100MHz TDD)</t>
        </is>
      </c>
      <c r="Q726" s="13">
        <f>ROUNDUP(O726/'Methodology &amp; Assumptions'!$B$6, 0)</f>
        <v/>
      </c>
      <c r="R726" s="13" t="n">
        <v>1</v>
      </c>
      <c r="S726" s="14" t="n">
        <v>32.62</v>
      </c>
      <c r="T726" s="14" t="n">
        <v>31.05</v>
      </c>
      <c r="U726" s="26">
        <f>IF(X726&gt;='Methodology &amp; Assumptions'!$B$7, "Tier 1 Critical GIDA (Score ≥ 50.0)", IF(X726&gt;='Methodology &amp; Assumptions'!$B$8, "Tier 2 High GIDA (Score 40.0–49.9)", "Tier 3 Moderate GIDA (Score &lt; 40.0)"))</f>
        <v/>
      </c>
      <c r="V726" s="26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W726" s="28" t="n">
        <v>0.174</v>
      </c>
      <c r="X726" s="14" t="n">
        <v>52.67</v>
      </c>
      <c r="Y726" s="14">
        <f>ROUND(MIN(100, (X726/69.91)*100), 2)</f>
        <v/>
      </c>
    </row>
    <row r="727">
      <c r="A727" s="10" t="n">
        <v>1</v>
      </c>
      <c r="B727" s="10" t="n">
        <v>723</v>
      </c>
      <c r="C727" s="10" t="n">
        <v>723</v>
      </c>
      <c r="D727" s="10" t="inlineStr">
        <is>
          <t>0201528010</t>
        </is>
      </c>
      <c r="E727" s="26" t="inlineStr">
        <is>
          <t>Region II (Cagayan Valley)</t>
        </is>
      </c>
      <c r="F727" s="26" t="inlineStr">
        <is>
          <t>Cagayan</t>
        </is>
      </c>
      <c r="G727" s="26" t="inlineStr">
        <is>
          <t>Tuao</t>
        </is>
      </c>
      <c r="H727" s="26" t="inlineStr">
        <is>
          <t>Bulagao</t>
        </is>
      </c>
      <c r="I727" s="27" t="n">
        <v>17.686753</v>
      </c>
      <c r="J727" s="27" t="n">
        <v>121.490996</v>
      </c>
      <c r="K727" s="10" t="inlineStr">
        <is>
          <t>R</t>
        </is>
      </c>
      <c r="L727" s="12" t="n">
        <v>3867</v>
      </c>
      <c r="M727" s="14" t="n">
        <v>3.9</v>
      </c>
      <c r="N727" s="12">
        <f>ROUND(L727/M727, 0)</f>
        <v/>
      </c>
      <c r="O727" s="12">
        <f>ROUND(N727*'Methodology &amp; Assumptions'!$B$5, 0)</f>
        <v/>
      </c>
      <c r="P727" s="10" t="inlineStr">
        <is>
          <t>Single Carrier (Band n50, 100MHz TDD)</t>
        </is>
      </c>
      <c r="Q727" s="13">
        <f>ROUNDUP(O727/'Methodology &amp; Assumptions'!$B$6, 0)</f>
        <v/>
      </c>
      <c r="R727" s="13" t="n">
        <v>1</v>
      </c>
      <c r="S727" s="14" t="n">
        <v>2.85</v>
      </c>
      <c r="T727" s="14" t="n">
        <v>5.63</v>
      </c>
      <c r="U727" s="26">
        <f>IF(X727&gt;='Methodology &amp; Assumptions'!$B$7, "Tier 1 Critical GIDA (Score ≥ 50.0)", IF(X727&gt;='Methodology &amp; Assumptions'!$B$8, "Tier 2 High GIDA (Score 40.0–49.9)", "Tier 3 Moderate GIDA (Score &lt; 40.0)"))</f>
        <v/>
      </c>
      <c r="V727" s="26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W727" s="28" t="n">
        <v>0.083</v>
      </c>
      <c r="X727" s="14" t="n">
        <v>52.66</v>
      </c>
      <c r="Y727" s="14">
        <f>ROUND(MIN(100, (X727/69.91)*100), 2)</f>
        <v/>
      </c>
    </row>
    <row r="728">
      <c r="A728" s="10" t="n">
        <v>1</v>
      </c>
      <c r="B728" s="10" t="n">
        <v>724</v>
      </c>
      <c r="C728" s="10" t="n">
        <v>724</v>
      </c>
      <c r="D728" s="10" t="inlineStr">
        <is>
          <t>1400115010</t>
        </is>
      </c>
      <c r="E728" s="26" t="inlineStr">
        <is>
          <t>Cordillera Administrative Region (CAR)</t>
        </is>
      </c>
      <c r="F728" s="26" t="inlineStr">
        <is>
          <t>Abra</t>
        </is>
      </c>
      <c r="G728" s="26" t="inlineStr">
        <is>
          <t>Malibcong</t>
        </is>
      </c>
      <c r="H728" s="26" t="inlineStr">
        <is>
          <t>Pacgued</t>
        </is>
      </c>
      <c r="I728" s="27" t="n">
        <v>17.58795</v>
      </c>
      <c r="J728" s="27" t="n">
        <v>121.021328</v>
      </c>
      <c r="K728" s="10" t="inlineStr">
        <is>
          <t>R</t>
        </is>
      </c>
      <c r="L728" s="12" t="n">
        <v>283</v>
      </c>
      <c r="M728" s="14" t="n">
        <v>3.8</v>
      </c>
      <c r="N728" s="12">
        <f>ROUND(L728/M728, 0)</f>
        <v/>
      </c>
      <c r="O728" s="12">
        <f>ROUND(N728*'Methodology &amp; Assumptions'!$B$5, 0)</f>
        <v/>
      </c>
      <c r="P728" s="10" t="inlineStr">
        <is>
          <t>Single Carrier (Band n50, 100MHz TDD)</t>
        </is>
      </c>
      <c r="Q728" s="13">
        <f>ROUNDUP(O728/'Methodology &amp; Assumptions'!$B$6, 0)</f>
        <v/>
      </c>
      <c r="R728" s="13" t="n">
        <v>1</v>
      </c>
      <c r="S728" s="14" t="n">
        <v>34.03</v>
      </c>
      <c r="T728" s="14" t="n">
        <v>29.19</v>
      </c>
      <c r="U728" s="26">
        <f>IF(X728&gt;='Methodology &amp; Assumptions'!$B$7, "Tier 1 Critical GIDA (Score ≥ 50.0)", IF(X728&gt;='Methodology &amp; Assumptions'!$B$8, "Tier 2 High GIDA (Score 40.0–49.9)", "Tier 3 Moderate GIDA (Score &lt; 40.0)"))</f>
        <v/>
      </c>
      <c r="V728" s="26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W728" s="28" t="n">
        <v>0.109</v>
      </c>
      <c r="X728" s="14" t="n">
        <v>52.65</v>
      </c>
      <c r="Y728" s="14">
        <f>ROUND(MIN(100, (X728/69.91)*100), 2)</f>
        <v/>
      </c>
    </row>
    <row r="729">
      <c r="A729" s="10" t="n">
        <v>1</v>
      </c>
      <c r="B729" s="10" t="n">
        <v>725</v>
      </c>
      <c r="C729" s="10" t="n">
        <v>725</v>
      </c>
      <c r="D729" s="10" t="inlineStr">
        <is>
          <t>1400115001</t>
        </is>
      </c>
      <c r="E729" s="26" t="inlineStr">
        <is>
          <t>Cordillera Administrative Region (CAR)</t>
        </is>
      </c>
      <c r="F729" s="26" t="inlineStr">
        <is>
          <t>Abra</t>
        </is>
      </c>
      <c r="G729" s="26" t="inlineStr">
        <is>
          <t>Malibcong</t>
        </is>
      </c>
      <c r="H729" s="26" t="inlineStr">
        <is>
          <t>Bayabas</t>
        </is>
      </c>
      <c r="I729" s="27" t="n">
        <v>17.639221</v>
      </c>
      <c r="J729" s="27" t="n">
        <v>120.988433</v>
      </c>
      <c r="K729" s="10" t="inlineStr">
        <is>
          <t>R</t>
        </is>
      </c>
      <c r="L729" s="12" t="n">
        <v>218</v>
      </c>
      <c r="M729" s="14" t="n">
        <v>3.8</v>
      </c>
      <c r="N729" s="12">
        <f>ROUND(L729/M729, 0)</f>
        <v/>
      </c>
      <c r="O729" s="12">
        <f>ROUND(N729*'Methodology &amp; Assumptions'!$B$5, 0)</f>
        <v/>
      </c>
      <c r="P729" s="10" t="inlineStr">
        <is>
          <t>Single Carrier (Band n50, 100MHz TDD)</t>
        </is>
      </c>
      <c r="Q729" s="13">
        <f>ROUNDUP(O729/'Methodology &amp; Assumptions'!$B$6, 0)</f>
        <v/>
      </c>
      <c r="R729" s="13" t="n">
        <v>1</v>
      </c>
      <c r="S729" s="14" t="n">
        <v>34.2</v>
      </c>
      <c r="T729" s="14" t="n">
        <v>34.18</v>
      </c>
      <c r="U729" s="26">
        <f>IF(X729&gt;='Methodology &amp; Assumptions'!$B$7, "Tier 1 Critical GIDA (Score ≥ 50.0)", IF(X729&gt;='Methodology &amp; Assumptions'!$B$8, "Tier 2 High GIDA (Score 40.0–49.9)", "Tier 3 Moderate GIDA (Score &lt; 40.0)"))</f>
        <v/>
      </c>
      <c r="V729" s="26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W729" s="28" t="n">
        <v>0.109</v>
      </c>
      <c r="X729" s="14" t="n">
        <v>52.65</v>
      </c>
      <c r="Y729" s="14">
        <f>ROUND(MIN(100, (X729/69.91)*100), 2)</f>
        <v/>
      </c>
    </row>
    <row r="730">
      <c r="A730" s="10" t="n">
        <v>1</v>
      </c>
      <c r="B730" s="10" t="n">
        <v>726</v>
      </c>
      <c r="C730" s="10" t="n">
        <v>726</v>
      </c>
      <c r="D730" s="10" t="inlineStr">
        <is>
          <t>0500518005</t>
        </is>
      </c>
      <c r="E730" s="26" t="inlineStr">
        <is>
          <t>Region V (Bicol Region)</t>
        </is>
      </c>
      <c r="F730" s="26" t="inlineStr">
        <is>
          <t>Albay</t>
        </is>
      </c>
      <c r="G730" s="26" t="inlineStr">
        <is>
          <t>Tiwi</t>
        </is>
      </c>
      <c r="H730" s="26" t="inlineStr">
        <is>
          <t>Biyong</t>
        </is>
      </c>
      <c r="I730" s="27" t="n">
        <v>13.448127</v>
      </c>
      <c r="J730" s="27" t="n">
        <v>123.64957</v>
      </c>
      <c r="K730" s="10" t="inlineStr">
        <is>
          <t>R</t>
        </is>
      </c>
      <c r="L730" s="12" t="n">
        <v>1705</v>
      </c>
      <c r="M730" s="14" t="n">
        <v>4.1</v>
      </c>
      <c r="N730" s="12">
        <f>ROUND(L730/M730, 0)</f>
        <v/>
      </c>
      <c r="O730" s="12">
        <f>ROUND(N730*'Methodology &amp; Assumptions'!$B$5, 0)</f>
        <v/>
      </c>
      <c r="P730" s="10" t="inlineStr">
        <is>
          <t>Single Carrier (Band n50, 100MHz TDD)</t>
        </is>
      </c>
      <c r="Q730" s="13">
        <f>ROUNDUP(O730/'Methodology &amp; Assumptions'!$B$6, 0)</f>
        <v/>
      </c>
      <c r="R730" s="13" t="n">
        <v>1</v>
      </c>
      <c r="S730" s="14" t="n">
        <v>3</v>
      </c>
      <c r="T730" s="14" t="n">
        <v>2.44</v>
      </c>
      <c r="U730" s="26">
        <f>IF(X730&gt;='Methodology &amp; Assumptions'!$B$7, "Tier 1 Critical GIDA (Score ≥ 50.0)", IF(X730&gt;='Methodology &amp; Assumptions'!$B$8, "Tier 2 High GIDA (Score 40.0–49.9)", "Tier 3 Moderate GIDA (Score &lt; 40.0)"))</f>
        <v/>
      </c>
      <c r="V730" s="26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W730" s="28" t="n">
        <v>0.237</v>
      </c>
      <c r="X730" s="14" t="n">
        <v>52.65</v>
      </c>
      <c r="Y730" s="14">
        <f>ROUND(MIN(100, (X730/69.91)*100), 2)</f>
        <v/>
      </c>
    </row>
    <row r="731">
      <c r="A731" s="10" t="n">
        <v>1</v>
      </c>
      <c r="B731" s="10" t="n">
        <v>727</v>
      </c>
      <c r="C731" s="10" t="n">
        <v>727</v>
      </c>
      <c r="D731" s="10" t="inlineStr">
        <is>
          <t>1403208010</t>
        </is>
      </c>
      <c r="E731" s="26" t="inlineStr">
        <is>
          <t>Cordillera Administrative Region (CAR)</t>
        </is>
      </c>
      <c r="F731" s="26" t="inlineStr">
        <is>
          <t>Kalinga</t>
        </is>
      </c>
      <c r="G731" s="26" t="inlineStr">
        <is>
          <t>Pasil</t>
        </is>
      </c>
      <c r="H731" s="26" t="inlineStr">
        <is>
          <t>Galdang</t>
        </is>
      </c>
      <c r="I731" s="27" t="n">
        <v>17.395083</v>
      </c>
      <c r="J731" s="27" t="n">
        <v>121.148715</v>
      </c>
      <c r="K731" s="10" t="inlineStr">
        <is>
          <t>R</t>
        </is>
      </c>
      <c r="L731" s="12" t="n">
        <v>380</v>
      </c>
      <c r="M731" s="14" t="n">
        <v>4.3</v>
      </c>
      <c r="N731" s="12">
        <f>ROUND(L731/M731, 0)</f>
        <v/>
      </c>
      <c r="O731" s="12">
        <f>ROUND(N731*'Methodology &amp; Assumptions'!$B$5, 0)</f>
        <v/>
      </c>
      <c r="P731" s="10" t="inlineStr">
        <is>
          <t>Single Carrier (Band n50, 100MHz TDD)</t>
        </is>
      </c>
      <c r="Q731" s="13">
        <f>ROUNDUP(O731/'Methodology &amp; Assumptions'!$B$6, 0)</f>
        <v/>
      </c>
      <c r="R731" s="13" t="n">
        <v>1</v>
      </c>
      <c r="S731" s="14" t="n">
        <v>14.6</v>
      </c>
      <c r="T731" s="14" t="n">
        <v>3.97</v>
      </c>
      <c r="U731" s="26">
        <f>IF(X731&gt;='Methodology &amp; Assumptions'!$B$7, "Tier 1 Critical GIDA (Score ≥ 50.0)", IF(X731&gt;='Methodology &amp; Assumptions'!$B$8, "Tier 2 High GIDA (Score 40.0–49.9)", "Tier 3 Moderate GIDA (Score &lt; 40.0)"))</f>
        <v/>
      </c>
      <c r="V731" s="26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W731" s="28" t="n">
        <v>0.109</v>
      </c>
      <c r="X731" s="14" t="n">
        <v>52.65</v>
      </c>
      <c r="Y731" s="14">
        <f>ROUND(MIN(100, (X731/69.91)*100), 2)</f>
        <v/>
      </c>
    </row>
    <row r="732">
      <c r="A732" s="10" t="n">
        <v>1</v>
      </c>
      <c r="B732" s="10" t="n">
        <v>728</v>
      </c>
      <c r="C732" s="10" t="n">
        <v>728</v>
      </c>
      <c r="D732" s="10" t="inlineStr">
        <is>
          <t>0502002025</t>
        </is>
      </c>
      <c r="E732" s="26" t="inlineStr">
        <is>
          <t>Region V (Bicol Region)</t>
        </is>
      </c>
      <c r="F732" s="26" t="inlineStr">
        <is>
          <t>Catanduanes</t>
        </is>
      </c>
      <c r="G732" s="26" t="inlineStr">
        <is>
          <t>Baras</t>
        </is>
      </c>
      <c r="H732" s="26" t="inlineStr">
        <is>
          <t>San Lorenzo</t>
        </is>
      </c>
      <c r="I732" s="27" t="n">
        <v>13.659574</v>
      </c>
      <c r="J732" s="27" t="n">
        <v>124.369597</v>
      </c>
      <c r="K732" s="10" t="inlineStr">
        <is>
          <t>R</t>
        </is>
      </c>
      <c r="L732" s="12" t="n">
        <v>157</v>
      </c>
      <c r="M732" s="14" t="n">
        <v>4.2</v>
      </c>
      <c r="N732" s="12">
        <f>ROUND(L732/M732, 0)</f>
        <v/>
      </c>
      <c r="O732" s="12">
        <f>ROUND(N732*'Methodology &amp; Assumptions'!$B$5, 0)</f>
        <v/>
      </c>
      <c r="P732" s="10" t="inlineStr">
        <is>
          <t>Single Carrier (Band n50, 100MHz TDD)</t>
        </is>
      </c>
      <c r="Q732" s="13">
        <f>ROUNDUP(O732/'Methodology &amp; Assumptions'!$B$6, 0)</f>
        <v/>
      </c>
      <c r="R732" s="13" t="n">
        <v>1</v>
      </c>
      <c r="S732" s="14" t="n">
        <v>56.15</v>
      </c>
      <c r="T732" s="14" t="n">
        <v>76.65000000000001</v>
      </c>
      <c r="U732" s="26">
        <f>IF(X732&gt;='Methodology &amp; Assumptions'!$B$7, "Tier 1 Critical GIDA (Score ≥ 50.0)", IF(X732&gt;='Methodology &amp; Assumptions'!$B$8, "Tier 2 High GIDA (Score 40.0–49.9)", "Tier 3 Moderate GIDA (Score &lt; 40.0)"))</f>
        <v/>
      </c>
      <c r="V732" s="26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W732" s="28" t="n">
        <v>0.237</v>
      </c>
      <c r="X732" s="14" t="n">
        <v>52.63</v>
      </c>
      <c r="Y732" s="14">
        <f>ROUND(MIN(100, (X732/69.91)*100), 2)</f>
        <v/>
      </c>
    </row>
    <row r="733">
      <c r="A733" s="10" t="n">
        <v>1</v>
      </c>
      <c r="B733" s="10" t="n">
        <v>729</v>
      </c>
      <c r="C733" s="10" t="n">
        <v>729</v>
      </c>
      <c r="D733" s="10" t="inlineStr">
        <is>
          <t>PH0000729</t>
        </is>
      </c>
      <c r="E733" s="26" t="inlineStr">
        <is>
          <t>VIII</t>
        </is>
      </c>
      <c r="F733" s="26" t="inlineStr">
        <is>
          <t>Leyte</t>
        </is>
      </c>
      <c r="G733" s="26" t="inlineStr">
        <is>
          <t>Tacloban City</t>
        </is>
      </c>
      <c r="H733" s="26" t="inlineStr">
        <is>
          <t>Barangay 21</t>
        </is>
      </c>
      <c r="I733" s="27" t="n">
        <v>11.265843</v>
      </c>
      <c r="J733" s="27" t="n">
        <v>124.981939</v>
      </c>
      <c r="K733" s="10" t="inlineStr">
        <is>
          <t>R</t>
        </is>
      </c>
      <c r="L733" s="12" t="n">
        <v>2258</v>
      </c>
      <c r="M733" s="14" t="n">
        <v>3.8</v>
      </c>
      <c r="N733" s="12">
        <f>ROUND(L733/M733, 0)</f>
        <v/>
      </c>
      <c r="O733" s="12">
        <f>ROUND(N733*'Methodology &amp; Assumptions'!$B$5, 0)</f>
        <v/>
      </c>
      <c r="P733" s="10" t="inlineStr">
        <is>
          <t>Single Carrier (Band n50, 100MHz TDD)</t>
        </is>
      </c>
      <c r="Q733" s="13">
        <f>ROUNDUP(O733/'Methodology &amp; Assumptions'!$B$6, 0)</f>
        <v/>
      </c>
      <c r="R733" s="13" t="n">
        <v>1</v>
      </c>
      <c r="S733" s="14" t="n">
        <v>3.67</v>
      </c>
      <c r="T733" s="14" t="n">
        <v>6.65</v>
      </c>
      <c r="U733" s="26">
        <f>IF(X733&gt;='Methodology &amp; Assumptions'!$B$7, "Tier 1 Critical GIDA (Score ≥ 50.0)", IF(X733&gt;='Methodology &amp; Assumptions'!$B$8, "Tier 2 High GIDA (Score 40.0–49.9)", "Tier 3 Moderate GIDA (Score &lt; 40.0)"))</f>
        <v/>
      </c>
      <c r="V733" s="26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W733" s="28" t="n">
        <v>0.222</v>
      </c>
      <c r="X733" s="14" t="n">
        <v>52.63</v>
      </c>
      <c r="Y733" s="14">
        <f>ROUND(MIN(100, (X733/69.91)*100), 2)</f>
        <v/>
      </c>
    </row>
    <row r="734">
      <c r="A734" s="10" t="n">
        <v>1</v>
      </c>
      <c r="B734" s="10" t="n">
        <v>730</v>
      </c>
      <c r="C734" s="10" t="n">
        <v>730</v>
      </c>
      <c r="D734" s="10" t="inlineStr">
        <is>
          <t>PH0000730</t>
        </is>
      </c>
      <c r="E734" s="26" t="inlineStr">
        <is>
          <t>IV-B</t>
        </is>
      </c>
      <c r="F734" s="26" t="inlineStr">
        <is>
          <t>Palawan</t>
        </is>
      </c>
      <c r="G734" s="26" t="inlineStr">
        <is>
          <t>Puerto Princesa City</t>
        </is>
      </c>
      <c r="H734" s="26" t="inlineStr">
        <is>
          <t>Tanglaw (Pob.)</t>
        </is>
      </c>
      <c r="I734" s="27" t="n">
        <v>9.855406</v>
      </c>
      <c r="J734" s="27" t="n">
        <v>118.765998</v>
      </c>
      <c r="K734" s="10" t="inlineStr">
        <is>
          <t>R</t>
        </is>
      </c>
      <c r="L734" s="12" t="n">
        <v>2597</v>
      </c>
      <c r="M734" s="14" t="n">
        <v>3.9</v>
      </c>
      <c r="N734" s="12">
        <f>ROUND(L734/M734, 0)</f>
        <v/>
      </c>
      <c r="O734" s="12">
        <f>ROUND(N734*'Methodology &amp; Assumptions'!$B$5, 0)</f>
        <v/>
      </c>
      <c r="P734" s="10" t="inlineStr">
        <is>
          <t>Single Carrier (Band n50, 100MHz TDD)</t>
        </is>
      </c>
      <c r="Q734" s="13">
        <f>ROUNDUP(O734/'Methodology &amp; Assumptions'!$B$6, 0)</f>
        <v/>
      </c>
      <c r="R734" s="13" t="n">
        <v>1</v>
      </c>
      <c r="S734" s="14" t="n">
        <v>3.77</v>
      </c>
      <c r="T734" s="14" t="n">
        <v>2.97</v>
      </c>
      <c r="U734" s="26">
        <f>IF(X734&gt;='Methodology &amp; Assumptions'!$B$7, "Tier 1 Critical GIDA (Score ≥ 50.0)", IF(X734&gt;='Methodology &amp; Assumptions'!$B$8, "Tier 2 High GIDA (Score 40.0–49.9)", "Tier 3 Moderate GIDA (Score &lt; 40.0)"))</f>
        <v/>
      </c>
      <c r="V734" s="26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W734" s="28" t="n">
        <v>0.109</v>
      </c>
      <c r="X734" s="14" t="n">
        <v>52.63</v>
      </c>
      <c r="Y734" s="14">
        <f>ROUND(MIN(100, (X734/69.91)*100), 2)</f>
        <v/>
      </c>
    </row>
    <row r="735">
      <c r="A735" s="10" t="n">
        <v>1</v>
      </c>
      <c r="B735" s="10" t="n">
        <v>731</v>
      </c>
      <c r="C735" s="10" t="n">
        <v>731</v>
      </c>
      <c r="D735" s="10" t="inlineStr">
        <is>
          <t>0402113016</t>
        </is>
      </c>
      <c r="E735" s="26" t="inlineStr">
        <is>
          <t>Region IV-A (CALABARZON)</t>
        </is>
      </c>
      <c r="F735" s="26" t="inlineStr">
        <is>
          <t>Cavite</t>
        </is>
      </c>
      <c r="G735" s="26" t="inlineStr">
        <is>
          <t>Maragondon</t>
        </is>
      </c>
      <c r="H735" s="26" t="inlineStr">
        <is>
          <t>Pinagsanhan I A</t>
        </is>
      </c>
      <c r="I735" s="27" t="n">
        <v>14.246674</v>
      </c>
      <c r="J735" s="27" t="n">
        <v>120.754801</v>
      </c>
      <c r="K735" s="10" t="inlineStr">
        <is>
          <t>R</t>
        </is>
      </c>
      <c r="L735" s="12" t="n">
        <v>1651</v>
      </c>
      <c r="M735" s="14" t="n">
        <v>3.4</v>
      </c>
      <c r="N735" s="12">
        <f>ROUND(L735/M735, 0)</f>
        <v/>
      </c>
      <c r="O735" s="12">
        <f>ROUND(N735*'Methodology &amp; Assumptions'!$B$5, 0)</f>
        <v/>
      </c>
      <c r="P735" s="10" t="inlineStr">
        <is>
          <t>Single Carrier (Band n50, 100MHz TDD)</t>
        </is>
      </c>
      <c r="Q735" s="13">
        <f>ROUNDUP(O735/'Methodology &amp; Assumptions'!$B$6, 0)</f>
        <v/>
      </c>
      <c r="R735" s="13" t="n">
        <v>1</v>
      </c>
      <c r="S735" s="14" t="n">
        <v>3.74</v>
      </c>
      <c r="T735" s="14" t="n">
        <v>1.98</v>
      </c>
      <c r="U735" s="26">
        <f>IF(X735&gt;='Methodology &amp; Assumptions'!$B$7, "Tier 1 Critical GIDA (Score ≥ 50.0)", IF(X735&gt;='Methodology &amp; Assumptions'!$B$8, "Tier 2 High GIDA (Score 40.0–49.9)", "Tier 3 Moderate GIDA (Score &lt; 40.0)"))</f>
        <v/>
      </c>
      <c r="V735" s="26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W735" s="28" t="n">
        <v>0.07200000000000001</v>
      </c>
      <c r="X735" s="14" t="n">
        <v>52.62</v>
      </c>
      <c r="Y735" s="14">
        <f>ROUND(MIN(100, (X735/69.91)*100), 2)</f>
        <v/>
      </c>
    </row>
    <row r="736">
      <c r="A736" s="10" t="n">
        <v>1</v>
      </c>
      <c r="B736" s="10" t="n">
        <v>732</v>
      </c>
      <c r="C736" s="10" t="n">
        <v>732</v>
      </c>
      <c r="D736" s="10" t="inlineStr">
        <is>
          <t>0403403023</t>
        </is>
      </c>
      <c r="E736" s="26" t="inlineStr">
        <is>
          <t>Region IV-A (CALABARZON)</t>
        </is>
      </c>
      <c r="F736" s="26" t="inlineStr">
        <is>
          <t>Laguna</t>
        </is>
      </c>
      <c r="G736" s="26" t="inlineStr">
        <is>
          <t>City of Biñan</t>
        </is>
      </c>
      <c r="H736" s="26" t="inlineStr">
        <is>
          <t>Santo Domingo</t>
        </is>
      </c>
      <c r="I736" s="27" t="n">
        <v>14.335987</v>
      </c>
      <c r="J736" s="27" t="n">
        <v>121.080896</v>
      </c>
      <c r="K736" s="10" t="inlineStr">
        <is>
          <t>U</t>
        </is>
      </c>
      <c r="L736" s="12" t="n">
        <v>6751</v>
      </c>
      <c r="M736" s="14" t="n">
        <v>3.3</v>
      </c>
      <c r="N736" s="12">
        <f>ROUND(L736/M736, 0)</f>
        <v/>
      </c>
      <c r="O736" s="12">
        <f>ROUND(N736*'Methodology &amp; Assumptions'!$B$5, 0)</f>
        <v/>
      </c>
      <c r="P736" s="10" t="inlineStr">
        <is>
          <t>Single Carrier (Band n50, 100MHz TDD)</t>
        </is>
      </c>
      <c r="Q736" s="13">
        <f>ROUNDUP(O736/'Methodology &amp; Assumptions'!$B$6, 0)</f>
        <v/>
      </c>
      <c r="R736" s="13" t="n">
        <v>1</v>
      </c>
      <c r="S736" s="14" t="n">
        <v>0.63</v>
      </c>
      <c r="T736" s="14" t="n">
        <v>0.33</v>
      </c>
      <c r="U736" s="26">
        <f>IF(X736&gt;='Methodology &amp; Assumptions'!$B$7, "Tier 1 Critical GIDA (Score ≥ 50.0)", IF(X736&gt;='Methodology &amp; Assumptions'!$B$8, "Tier 2 High GIDA (Score 40.0–49.9)", "Tier 3 Moderate GIDA (Score &lt; 40.0)"))</f>
        <v/>
      </c>
      <c r="V736" s="26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W736" s="28" t="n">
        <v>0.07200000000000001</v>
      </c>
      <c r="X736" s="14" t="n">
        <v>52.61</v>
      </c>
      <c r="Y736" s="14">
        <f>ROUND(MIN(100, (X736/69.91)*100), 2)</f>
        <v/>
      </c>
    </row>
    <row r="737">
      <c r="A737" s="10" t="n">
        <v>1</v>
      </c>
      <c r="B737" s="10" t="n">
        <v>733</v>
      </c>
      <c r="C737" s="10" t="n">
        <v>733</v>
      </c>
      <c r="D737" s="10" t="inlineStr">
        <is>
          <t>PH0000733</t>
        </is>
      </c>
      <c r="E737" s="26" t="inlineStr">
        <is>
          <t>NIR</t>
        </is>
      </c>
      <c r="F737" s="26" t="inlineStr">
        <is>
          <t>Negros Occidental</t>
        </is>
      </c>
      <c r="G737" s="26" t="inlineStr">
        <is>
          <t>Bacolod City</t>
        </is>
      </c>
      <c r="H737" s="26" t="inlineStr">
        <is>
          <t>Barangay 27 (Pob.)</t>
        </is>
      </c>
      <c r="I737" s="27" t="n">
        <v>10.625426</v>
      </c>
      <c r="J737" s="27" t="n">
        <v>122.991766</v>
      </c>
      <c r="K737" s="10" t="inlineStr">
        <is>
          <t>R</t>
        </is>
      </c>
      <c r="L737" s="12" t="n">
        <v>2279</v>
      </c>
      <c r="M737" s="14" t="n">
        <v>3.8</v>
      </c>
      <c r="N737" s="12">
        <f>ROUND(L737/M737, 0)</f>
        <v/>
      </c>
      <c r="O737" s="12">
        <f>ROUND(N737*'Methodology &amp; Assumptions'!$B$5, 0)</f>
        <v/>
      </c>
      <c r="P737" s="10" t="inlineStr">
        <is>
          <t>Single Carrier (Band n50, 100MHz TDD)</t>
        </is>
      </c>
      <c r="Q737" s="13">
        <f>ROUNDUP(O737/'Methodology &amp; Assumptions'!$B$6, 0)</f>
        <v/>
      </c>
      <c r="R737" s="13" t="n">
        <v>1</v>
      </c>
      <c r="S737" s="14" t="n">
        <v>2.17</v>
      </c>
      <c r="T737" s="14" t="n">
        <v>0.24</v>
      </c>
      <c r="U737" s="26">
        <f>IF(X737&gt;='Methodology &amp; Assumptions'!$B$7, "Tier 1 Critical GIDA (Score ≥ 50.0)", IF(X737&gt;='Methodology &amp; Assumptions'!$B$8, "Tier 2 High GIDA (Score 40.0–49.9)", "Tier 3 Moderate GIDA (Score &lt; 40.0)"))</f>
        <v/>
      </c>
      <c r="V737" s="26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W737" s="28" t="n">
        <v>0.109</v>
      </c>
      <c r="X737" s="14" t="n">
        <v>52.61</v>
      </c>
      <c r="Y737" s="14">
        <f>ROUND(MIN(100, (X737/69.91)*100), 2)</f>
        <v/>
      </c>
    </row>
    <row r="738">
      <c r="A738" s="10" t="n">
        <v>1</v>
      </c>
      <c r="B738" s="10" t="n">
        <v>734</v>
      </c>
      <c r="C738" s="10" t="n">
        <v>734</v>
      </c>
      <c r="D738" s="10" t="inlineStr">
        <is>
          <t>1403214015</t>
        </is>
      </c>
      <c r="E738" s="26" t="inlineStr">
        <is>
          <t>Cordillera Administrative Region (CAR)</t>
        </is>
      </c>
      <c r="F738" s="26" t="inlineStr">
        <is>
          <t>Kalinga</t>
        </is>
      </c>
      <c r="G738" s="26" t="inlineStr">
        <is>
          <t>Tanudan</t>
        </is>
      </c>
      <c r="H738" s="26" t="inlineStr">
        <is>
          <t>Dupligan</t>
        </is>
      </c>
      <c r="I738" s="27" t="n">
        <v>17.331658</v>
      </c>
      <c r="J738" s="27" t="n">
        <v>121.360794</v>
      </c>
      <c r="K738" s="10" t="inlineStr">
        <is>
          <t>R</t>
        </is>
      </c>
      <c r="L738" s="12" t="n">
        <v>1904</v>
      </c>
      <c r="M738" s="14" t="n">
        <v>4.3</v>
      </c>
      <c r="N738" s="12">
        <f>ROUND(L738/M738, 0)</f>
        <v/>
      </c>
      <c r="O738" s="12">
        <f>ROUND(N738*'Methodology &amp; Assumptions'!$B$5, 0)</f>
        <v/>
      </c>
      <c r="P738" s="10" t="inlineStr">
        <is>
          <t>Single Carrier (Band n50, 100MHz TDD)</t>
        </is>
      </c>
      <c r="Q738" s="13">
        <f>ROUNDUP(O738/'Methodology &amp; Assumptions'!$B$6, 0)</f>
        <v/>
      </c>
      <c r="R738" s="13" t="n">
        <v>1</v>
      </c>
      <c r="S738" s="14" t="n">
        <v>12.51</v>
      </c>
      <c r="T738" s="14" t="n">
        <v>8.109999999999999</v>
      </c>
      <c r="U738" s="26">
        <f>IF(X738&gt;='Methodology &amp; Assumptions'!$B$7, "Tier 1 Critical GIDA (Score ≥ 50.0)", IF(X738&gt;='Methodology &amp; Assumptions'!$B$8, "Tier 2 High GIDA (Score 40.0–49.9)", "Tier 3 Moderate GIDA (Score &lt; 40.0)"))</f>
        <v/>
      </c>
      <c r="V738" s="26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W738" s="28" t="n">
        <v>0.109</v>
      </c>
      <c r="X738" s="14" t="n">
        <v>52.6</v>
      </c>
      <c r="Y738" s="14">
        <f>ROUND(MIN(100, (X738/69.91)*100), 2)</f>
        <v/>
      </c>
    </row>
    <row r="739">
      <c r="A739" s="10" t="n">
        <v>1</v>
      </c>
      <c r="B739" s="10" t="n">
        <v>735</v>
      </c>
      <c r="C739" s="10" t="n">
        <v>735</v>
      </c>
      <c r="D739" s="10" t="inlineStr">
        <is>
          <t>0600606042</t>
        </is>
      </c>
      <c r="E739" s="26" t="inlineStr">
        <is>
          <t>Region VI (Western Visayas)</t>
        </is>
      </c>
      <c r="F739" s="26" t="inlineStr">
        <is>
          <t>Antique</t>
        </is>
      </c>
      <c r="G739" s="26" t="inlineStr">
        <is>
          <t>Culasi</t>
        </is>
      </c>
      <c r="H739" s="26" t="inlineStr">
        <is>
          <t>Simbola</t>
        </is>
      </c>
      <c r="I739" s="27" t="n">
        <v>11.421013</v>
      </c>
      <c r="J739" s="27" t="n">
        <v>122.052258</v>
      </c>
      <c r="K739" s="10" t="inlineStr">
        <is>
          <t>R</t>
        </is>
      </c>
      <c r="L739" s="12" t="n">
        <v>182</v>
      </c>
      <c r="M739" s="14" t="n">
        <v>3.9</v>
      </c>
      <c r="N739" s="12">
        <f>ROUND(L739/M739, 0)</f>
        <v/>
      </c>
      <c r="O739" s="12">
        <f>ROUND(N739*'Methodology &amp; Assumptions'!$B$5, 0)</f>
        <v/>
      </c>
      <c r="P739" s="10" t="inlineStr">
        <is>
          <t>Single Carrier (Band n50, 100MHz TDD)</t>
        </is>
      </c>
      <c r="Q739" s="13">
        <f>ROUNDUP(O739/'Methodology &amp; Assumptions'!$B$6, 0)</f>
        <v/>
      </c>
      <c r="R739" s="13" t="n">
        <v>1</v>
      </c>
      <c r="S739" s="14" t="n">
        <v>34.84</v>
      </c>
      <c r="T739" s="14" t="n">
        <v>37.57</v>
      </c>
      <c r="U739" s="26">
        <f>IF(X739&gt;='Methodology &amp; Assumptions'!$B$7, "Tier 1 Critical GIDA (Score ≥ 50.0)", IF(X739&gt;='Methodology &amp; Assumptions'!$B$8, "Tier 2 High GIDA (Score 40.0–49.9)", "Tier 3 Moderate GIDA (Score &lt; 40.0)"))</f>
        <v/>
      </c>
      <c r="V739" s="26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W739" s="28" t="n">
        <v>0.237</v>
      </c>
      <c r="X739" s="14" t="n">
        <v>52.6</v>
      </c>
      <c r="Y739" s="14">
        <f>ROUND(MIN(100, (X739/69.91)*100), 2)</f>
        <v/>
      </c>
    </row>
    <row r="740">
      <c r="A740" s="10" t="n">
        <v>1</v>
      </c>
      <c r="B740" s="10" t="n">
        <v>736</v>
      </c>
      <c r="C740" s="10" t="n">
        <v>736</v>
      </c>
      <c r="D740" s="10" t="inlineStr">
        <is>
          <t>PH0000736</t>
        </is>
      </c>
      <c r="E740" s="26" t="inlineStr">
        <is>
          <t>NIR</t>
        </is>
      </c>
      <c r="F740" s="26" t="inlineStr">
        <is>
          <t>Negros Occidental</t>
        </is>
      </c>
      <c r="G740" s="26" t="inlineStr">
        <is>
          <t>Bacolod City</t>
        </is>
      </c>
      <c r="H740" s="26" t="inlineStr">
        <is>
          <t>Barangay 33 (Pob.)</t>
        </is>
      </c>
      <c r="I740" s="27" t="n">
        <v>10.660194</v>
      </c>
      <c r="J740" s="27" t="n">
        <v>122.937922</v>
      </c>
      <c r="K740" s="10" t="inlineStr">
        <is>
          <t>R</t>
        </is>
      </c>
      <c r="L740" s="12" t="n">
        <v>2279</v>
      </c>
      <c r="M740" s="14" t="n">
        <v>3.8</v>
      </c>
      <c r="N740" s="12">
        <f>ROUND(L740/M740, 0)</f>
        <v/>
      </c>
      <c r="O740" s="12">
        <f>ROUND(N740*'Methodology &amp; Assumptions'!$B$5, 0)</f>
        <v/>
      </c>
      <c r="P740" s="10" t="inlineStr">
        <is>
          <t>Single Carrier (Band n50, 100MHz TDD)</t>
        </is>
      </c>
      <c r="Q740" s="13">
        <f>ROUNDUP(O740/'Methodology &amp; Assumptions'!$B$6, 0)</f>
        <v/>
      </c>
      <c r="R740" s="13" t="n">
        <v>1</v>
      </c>
      <c r="S740" s="14" t="n">
        <v>1.74</v>
      </c>
      <c r="T740" s="14" t="n">
        <v>0.37</v>
      </c>
      <c r="U740" s="26">
        <f>IF(X740&gt;='Methodology &amp; Assumptions'!$B$7, "Tier 1 Critical GIDA (Score ≥ 50.0)", IF(X740&gt;='Methodology &amp; Assumptions'!$B$8, "Tier 2 High GIDA (Score 40.0–49.9)", "Tier 3 Moderate GIDA (Score &lt; 40.0)"))</f>
        <v/>
      </c>
      <c r="V740" s="26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W740" s="28" t="n">
        <v>0.109</v>
      </c>
      <c r="X740" s="14" t="n">
        <v>52.6</v>
      </c>
      <c r="Y740" s="14">
        <f>ROUND(MIN(100, (X740/69.91)*100), 2)</f>
        <v/>
      </c>
    </row>
    <row r="741">
      <c r="A741" s="10" t="n">
        <v>1</v>
      </c>
      <c r="B741" s="10" t="n">
        <v>737</v>
      </c>
      <c r="C741" s="10" t="n">
        <v>737</v>
      </c>
      <c r="D741" s="10" t="inlineStr">
        <is>
          <t>0402118055</t>
        </is>
      </c>
      <c r="E741" s="26" t="inlineStr">
        <is>
          <t>Region IV-A (CALABARZON)</t>
        </is>
      </c>
      <c r="F741" s="26" t="inlineStr">
        <is>
          <t>Cavite</t>
        </is>
      </c>
      <c r="G741" s="26" t="inlineStr">
        <is>
          <t>Silang</t>
        </is>
      </c>
      <c r="H741" s="26" t="inlineStr">
        <is>
          <t>Banaba</t>
        </is>
      </c>
      <c r="I741" s="27" t="n">
        <v>14.208381</v>
      </c>
      <c r="J741" s="27" t="n">
        <v>120.986542</v>
      </c>
      <c r="K741" s="10" t="inlineStr">
        <is>
          <t>U</t>
        </is>
      </c>
      <c r="L741" s="12" t="n">
        <v>6648</v>
      </c>
      <c r="M741" s="14" t="n">
        <v>3.4</v>
      </c>
      <c r="N741" s="12">
        <f>ROUND(L741/M741, 0)</f>
        <v/>
      </c>
      <c r="O741" s="12">
        <f>ROUND(N741*'Methodology &amp; Assumptions'!$B$5, 0)</f>
        <v/>
      </c>
      <c r="P741" s="10" t="inlineStr">
        <is>
          <t>Single Carrier (Band n50, 100MHz TDD)</t>
        </is>
      </c>
      <c r="Q741" s="13">
        <f>ROUNDUP(O741/'Methodology &amp; Assumptions'!$B$6, 0)</f>
        <v/>
      </c>
      <c r="R741" s="13" t="n">
        <v>1</v>
      </c>
      <c r="S741" s="14" t="n">
        <v>3.57</v>
      </c>
      <c r="T741" s="14" t="n">
        <v>1.92</v>
      </c>
      <c r="U741" s="26">
        <f>IF(X741&gt;='Methodology &amp; Assumptions'!$B$7, "Tier 1 Critical GIDA (Score ≥ 50.0)", IF(X741&gt;='Methodology &amp; Assumptions'!$B$8, "Tier 2 High GIDA (Score 40.0–49.9)", "Tier 3 Moderate GIDA (Score &lt; 40.0)"))</f>
        <v/>
      </c>
      <c r="V741" s="26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W741" s="28" t="n">
        <v>0.07200000000000001</v>
      </c>
      <c r="X741" s="14" t="n">
        <v>52.6</v>
      </c>
      <c r="Y741" s="14">
        <f>ROUND(MIN(100, (X741/69.91)*100), 2)</f>
        <v/>
      </c>
    </row>
    <row r="742">
      <c r="A742" s="10" t="n">
        <v>1</v>
      </c>
      <c r="B742" s="10" t="n">
        <v>738</v>
      </c>
      <c r="C742" s="10" t="n">
        <v>738</v>
      </c>
      <c r="D742" s="10" t="inlineStr">
        <is>
          <t>1380900007</t>
        </is>
      </c>
      <c r="E742" s="26" t="inlineStr">
        <is>
          <t>National Capital Region (NCR)</t>
        </is>
      </c>
      <c r="F742" s="26" t="inlineStr">
        <is>
          <t>Third District (Not a Province)</t>
        </is>
      </c>
      <c r="G742" s="26" t="inlineStr">
        <is>
          <t>City of Navotas</t>
        </is>
      </c>
      <c r="H742" s="26" t="inlineStr">
        <is>
          <t>Navotas West</t>
        </is>
      </c>
      <c r="I742" s="27" t="n">
        <v>14.649686</v>
      </c>
      <c r="J742" s="27" t="n">
        <v>120.944856</v>
      </c>
      <c r="K742" s="10" t="inlineStr">
        <is>
          <t>U</t>
        </is>
      </c>
      <c r="L742" s="12" t="n">
        <v>6504</v>
      </c>
      <c r="M742" s="14" t="n">
        <v>3.4</v>
      </c>
      <c r="N742" s="12">
        <f>ROUND(L742/M742, 0)</f>
        <v/>
      </c>
      <c r="O742" s="12">
        <f>ROUND(N742*'Methodology &amp; Assumptions'!$B$5, 0)</f>
        <v/>
      </c>
      <c r="P742" s="10" t="inlineStr">
        <is>
          <t>Single Carrier (Band n50, 100MHz TDD)</t>
        </is>
      </c>
      <c r="Q742" s="13">
        <f>ROUNDUP(O742/'Methodology &amp; Assumptions'!$B$6, 0)</f>
        <v/>
      </c>
      <c r="R742" s="13" t="n">
        <v>1</v>
      </c>
      <c r="S742" s="14" t="n">
        <v>0.73</v>
      </c>
      <c r="T742" s="14" t="n">
        <v>1.3</v>
      </c>
      <c r="U742" s="26">
        <f>IF(X742&gt;='Methodology &amp; Assumptions'!$B$7, "Tier 1 Critical GIDA (Score ≥ 50.0)", IF(X742&gt;='Methodology &amp; Assumptions'!$B$8, "Tier 2 High GIDA (Score 40.0–49.9)", "Tier 3 Moderate GIDA (Score &lt; 40.0)"))</f>
        <v/>
      </c>
      <c r="V742" s="26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W742" s="28" t="n">
        <v>0.109</v>
      </c>
      <c r="X742" s="14" t="n">
        <v>52.59</v>
      </c>
      <c r="Y742" s="14">
        <f>ROUND(MIN(100, (X742/69.91)*100), 2)</f>
        <v/>
      </c>
    </row>
    <row r="743">
      <c r="A743" s="10" t="n">
        <v>1</v>
      </c>
      <c r="B743" s="10" t="n">
        <v>739</v>
      </c>
      <c r="C743" s="10" t="n">
        <v>739</v>
      </c>
      <c r="D743" s="10" t="inlineStr">
        <is>
          <t>0806022048</t>
        </is>
      </c>
      <c r="E743" s="26" t="inlineStr">
        <is>
          <t>Region VIII (Eastern Visayas)</t>
        </is>
      </c>
      <c r="F743" s="26" t="inlineStr">
        <is>
          <t>Samar</t>
        </is>
      </c>
      <c r="G743" s="26" t="inlineStr">
        <is>
          <t>Paranas</t>
        </is>
      </c>
      <c r="H743" s="26" t="inlineStr">
        <is>
          <t>Casandig II</t>
        </is>
      </c>
      <c r="I743" s="27" t="n">
        <v>11.814834</v>
      </c>
      <c r="J743" s="27" t="n">
        <v>125.076637</v>
      </c>
      <c r="K743" s="10" t="inlineStr">
        <is>
          <t>R</t>
        </is>
      </c>
      <c r="L743" s="12" t="n">
        <v>1293</v>
      </c>
      <c r="M743" s="14" t="n">
        <v>4.1</v>
      </c>
      <c r="N743" s="12">
        <f>ROUND(L743/M743, 0)</f>
        <v/>
      </c>
      <c r="O743" s="12">
        <f>ROUND(N743*'Methodology &amp; Assumptions'!$B$5, 0)</f>
        <v/>
      </c>
      <c r="P743" s="10" t="inlineStr">
        <is>
          <t>Single Carrier (Band n50, 100MHz TDD)</t>
        </is>
      </c>
      <c r="Q743" s="13">
        <f>ROUNDUP(O743/'Methodology &amp; Assumptions'!$B$6, 0)</f>
        <v/>
      </c>
      <c r="R743" s="13" t="n">
        <v>1</v>
      </c>
      <c r="S743" s="14" t="n">
        <v>64.47</v>
      </c>
      <c r="T743" s="14" t="n">
        <v>67.38</v>
      </c>
      <c r="U743" s="26">
        <f>IF(X743&gt;='Methodology &amp; Assumptions'!$B$7, "Tier 1 Critical GIDA (Score ≥ 50.0)", IF(X743&gt;='Methodology &amp; Assumptions'!$B$8, "Tier 2 High GIDA (Score 40.0–49.9)", "Tier 3 Moderate GIDA (Score &lt; 40.0)"))</f>
        <v/>
      </c>
      <c r="V743" s="26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W743" s="28" t="n">
        <v>0.237</v>
      </c>
      <c r="X743" s="14" t="n">
        <v>52.59</v>
      </c>
      <c r="Y743" s="14">
        <f>ROUND(MIN(100, (X743/69.91)*100), 2)</f>
        <v/>
      </c>
    </row>
    <row r="744">
      <c r="A744" s="10" t="n">
        <v>1</v>
      </c>
      <c r="B744" s="10" t="n">
        <v>740</v>
      </c>
      <c r="C744" s="10" t="n">
        <v>740</v>
      </c>
      <c r="D744" s="10" t="inlineStr">
        <is>
          <t>PH0000740</t>
        </is>
      </c>
      <c r="E744" s="26" t="inlineStr">
        <is>
          <t>VI</t>
        </is>
      </c>
      <c r="F744" s="26" t="inlineStr">
        <is>
          <t>Iloilo</t>
        </is>
      </c>
      <c r="G744" s="26" t="inlineStr">
        <is>
          <t>Iloilo City</t>
        </is>
      </c>
      <c r="H744" s="26" t="inlineStr">
        <is>
          <t>Benedicto</t>
        </is>
      </c>
      <c r="I744" s="27" t="n">
        <v>10.806341</v>
      </c>
      <c r="J744" s="27" t="n">
        <v>122.532442</v>
      </c>
      <c r="K744" s="10" t="inlineStr">
        <is>
          <t>R</t>
        </is>
      </c>
      <c r="L744" s="12" t="n">
        <v>2230</v>
      </c>
      <c r="M744" s="14" t="n">
        <v>3.8</v>
      </c>
      <c r="N744" s="12">
        <f>ROUND(L744/M744, 0)</f>
        <v/>
      </c>
      <c r="O744" s="12">
        <f>ROUND(N744*'Methodology &amp; Assumptions'!$B$5, 0)</f>
        <v/>
      </c>
      <c r="P744" s="10" t="inlineStr">
        <is>
          <t>Single Carrier (Band n50, 100MHz TDD)</t>
        </is>
      </c>
      <c r="Q744" s="13">
        <f>ROUNDUP(O744/'Methodology &amp; Assumptions'!$B$6, 0)</f>
        <v/>
      </c>
      <c r="R744" s="13" t="n">
        <v>1</v>
      </c>
      <c r="S744" s="14" t="n">
        <v>2.35</v>
      </c>
      <c r="T744" s="14" t="n">
        <v>2.35</v>
      </c>
      <c r="U744" s="26">
        <f>IF(X744&gt;='Methodology &amp; Assumptions'!$B$7, "Tier 1 Critical GIDA (Score ≥ 50.0)", IF(X744&gt;='Methodology &amp; Assumptions'!$B$8, "Tier 2 High GIDA (Score 40.0–49.9)", "Tier 3 Moderate GIDA (Score &lt; 40.0)"))</f>
        <v/>
      </c>
      <c r="V744" s="26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W744" s="28" t="n">
        <v>0.156</v>
      </c>
      <c r="X744" s="14" t="n">
        <v>52.59</v>
      </c>
      <c r="Y744" s="14">
        <f>ROUND(MIN(100, (X744/69.91)*100), 2)</f>
        <v/>
      </c>
    </row>
    <row r="745">
      <c r="A745" s="10" t="n">
        <v>1</v>
      </c>
      <c r="B745" s="10" t="n">
        <v>741</v>
      </c>
      <c r="C745" s="10" t="n">
        <v>741</v>
      </c>
      <c r="D745" s="10" t="inlineStr">
        <is>
          <t>PH0000741</t>
        </is>
      </c>
      <c r="E745" s="26" t="inlineStr">
        <is>
          <t>NCR</t>
        </is>
      </c>
      <c r="F745" s="26" t="inlineStr">
        <is>
          <t>Metro Manila</t>
        </is>
      </c>
      <c r="G745" s="26" t="inlineStr">
        <is>
          <t>Caloocan City</t>
        </is>
      </c>
      <c r="H745" s="26" t="inlineStr">
        <is>
          <t>Barangay 123</t>
        </is>
      </c>
      <c r="I745" s="27" t="n">
        <v>12.652209</v>
      </c>
      <c r="J745" s="27" t="n">
        <v>120.450534</v>
      </c>
      <c r="K745" s="10" t="inlineStr">
        <is>
          <t>R</t>
        </is>
      </c>
      <c r="L745" s="12" t="n">
        <v>2279</v>
      </c>
      <c r="M745" s="14" t="n">
        <v>3.8</v>
      </c>
      <c r="N745" s="12">
        <f>ROUND(L745/M745, 0)</f>
        <v/>
      </c>
      <c r="O745" s="12">
        <f>ROUND(N745*'Methodology &amp; Assumptions'!$B$5, 0)</f>
        <v/>
      </c>
      <c r="P745" s="10" t="inlineStr">
        <is>
          <t>Single Carrier (Band n50, 100MHz TDD)</t>
        </is>
      </c>
      <c r="Q745" s="13">
        <f>ROUNDUP(O745/'Methodology &amp; Assumptions'!$B$6, 0)</f>
        <v/>
      </c>
      <c r="R745" s="13" t="n">
        <v>1</v>
      </c>
      <c r="S745" s="14" t="n">
        <v>74.62</v>
      </c>
      <c r="T745" s="14" t="n">
        <v>73</v>
      </c>
      <c r="U745" s="26">
        <f>IF(X745&gt;='Methodology &amp; Assumptions'!$B$7, "Tier 1 Critical GIDA (Score ≥ 50.0)", IF(X745&gt;='Methodology &amp; Assumptions'!$B$8, "Tier 2 High GIDA (Score 40.0–49.9)", "Tier 3 Moderate GIDA (Score &lt; 40.0)"))</f>
        <v/>
      </c>
      <c r="V745" s="26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W745" s="28" t="n">
        <v>0.011</v>
      </c>
      <c r="X745" s="14" t="n">
        <v>52.59</v>
      </c>
      <c r="Y745" s="14">
        <f>ROUND(MIN(100, (X745/69.91)*100), 2)</f>
        <v/>
      </c>
    </row>
    <row r="746">
      <c r="A746" s="10" t="n">
        <v>1</v>
      </c>
      <c r="B746" s="10" t="n">
        <v>742</v>
      </c>
      <c r="C746" s="10" t="n">
        <v>742</v>
      </c>
      <c r="D746" s="10" t="inlineStr">
        <is>
          <t>PH0000742</t>
        </is>
      </c>
      <c r="E746" s="26" t="inlineStr">
        <is>
          <t>IV-A</t>
        </is>
      </c>
      <c r="F746" s="26" t="inlineStr">
        <is>
          <t>Laguna</t>
        </is>
      </c>
      <c r="G746" s="26" t="inlineStr">
        <is>
          <t>San Pablo City</t>
        </is>
      </c>
      <c r="H746" s="26" t="inlineStr">
        <is>
          <t>Barangay II-C (Pob.)</t>
        </is>
      </c>
      <c r="I746" s="27" t="n">
        <v>14.058938</v>
      </c>
      <c r="J746" s="27" t="n">
        <v>121.315399</v>
      </c>
      <c r="K746" s="10" t="inlineStr">
        <is>
          <t>R</t>
        </is>
      </c>
      <c r="L746" s="12" t="n">
        <v>2412</v>
      </c>
      <c r="M746" s="14" t="n">
        <v>3.3</v>
      </c>
      <c r="N746" s="12">
        <f>ROUND(L746/M746, 0)</f>
        <v/>
      </c>
      <c r="O746" s="12">
        <f>ROUND(N746*'Methodology &amp; Assumptions'!$B$5, 0)</f>
        <v/>
      </c>
      <c r="P746" s="10" t="inlineStr">
        <is>
          <t>Single Carrier (Band n50, 100MHz TDD)</t>
        </is>
      </c>
      <c r="Q746" s="13">
        <f>ROUNDUP(O746/'Methodology &amp; Assumptions'!$B$6, 0)</f>
        <v/>
      </c>
      <c r="R746" s="13" t="n">
        <v>1</v>
      </c>
      <c r="S746" s="14" t="n">
        <v>1.53</v>
      </c>
      <c r="T746" s="14" t="n">
        <v>1.04</v>
      </c>
      <c r="U746" s="26">
        <f>IF(X746&gt;='Methodology &amp; Assumptions'!$B$7, "Tier 1 Critical GIDA (Score ≥ 50.0)", IF(X746&gt;='Methodology &amp; Assumptions'!$B$8, "Tier 2 High GIDA (Score 40.0–49.9)", "Tier 3 Moderate GIDA (Score &lt; 40.0)"))</f>
        <v/>
      </c>
      <c r="V746" s="26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W746" s="28" t="n">
        <v>0.07200000000000001</v>
      </c>
      <c r="X746" s="14" t="n">
        <v>52.58</v>
      </c>
      <c r="Y746" s="14">
        <f>ROUND(MIN(100, (X746/69.91)*100), 2)</f>
        <v/>
      </c>
    </row>
    <row r="747">
      <c r="A747" s="10" t="n">
        <v>1</v>
      </c>
      <c r="B747" s="10" t="n">
        <v>743</v>
      </c>
      <c r="C747" s="10" t="n">
        <v>743</v>
      </c>
      <c r="D747" s="10" t="inlineStr">
        <is>
          <t>1108602001</t>
        </is>
      </c>
      <c r="E747" s="26" t="inlineStr">
        <is>
          <t>Region XI (Davao Region)</t>
        </is>
      </c>
      <c r="F747" s="26" t="inlineStr">
        <is>
          <t>Davao Occidental</t>
        </is>
      </c>
      <c r="G747" s="26" t="inlineStr">
        <is>
          <t>Jose Abad Santos</t>
        </is>
      </c>
      <c r="H747" s="26" t="inlineStr">
        <is>
          <t>Buguis</t>
        </is>
      </c>
      <c r="I747" s="27" t="n">
        <v>5.976061</v>
      </c>
      <c r="J747" s="27" t="n">
        <v>125.685694</v>
      </c>
      <c r="K747" s="10" t="inlineStr">
        <is>
          <t>R</t>
        </is>
      </c>
      <c r="L747" s="12" t="n">
        <v>1415</v>
      </c>
      <c r="M747" s="14" t="n">
        <v>3.6</v>
      </c>
      <c r="N747" s="12">
        <f>ROUND(L747/M747, 0)</f>
        <v/>
      </c>
      <c r="O747" s="12">
        <f>ROUND(N747*'Methodology &amp; Assumptions'!$B$5, 0)</f>
        <v/>
      </c>
      <c r="P747" s="10" t="inlineStr">
        <is>
          <t>Single Carrier (Band n50, 100MHz TDD)</t>
        </is>
      </c>
      <c r="Q747" s="13">
        <f>ROUNDUP(O747/'Methodology &amp; Assumptions'!$B$6, 0)</f>
        <v/>
      </c>
      <c r="R747" s="13" t="n">
        <v>1</v>
      </c>
      <c r="S747" s="14" t="n">
        <v>47.31</v>
      </c>
      <c r="T747" s="14" t="n">
        <v>55.34</v>
      </c>
      <c r="U747" s="26">
        <f>IF(X747&gt;='Methodology &amp; Assumptions'!$B$7, "Tier 1 Critical GIDA (Score ≥ 50.0)", IF(X747&gt;='Methodology &amp; Assumptions'!$B$8, "Tier 2 High GIDA (Score 40.0–49.9)", "Tier 3 Moderate GIDA (Score &lt; 40.0)"))</f>
        <v/>
      </c>
      <c r="V747" s="26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W747" s="28" t="n">
        <v>0.174</v>
      </c>
      <c r="X747" s="14" t="n">
        <v>52.56</v>
      </c>
      <c r="Y747" s="14">
        <f>ROUND(MIN(100, (X747/69.91)*100), 2)</f>
        <v/>
      </c>
    </row>
    <row r="748">
      <c r="A748" s="10" t="n">
        <v>1</v>
      </c>
      <c r="B748" s="10" t="n">
        <v>744</v>
      </c>
      <c r="C748" s="10" t="n">
        <v>744</v>
      </c>
      <c r="D748" s="10" t="inlineStr">
        <is>
          <t>PH0000744</t>
        </is>
      </c>
      <c r="E748" s="26" t="inlineStr">
        <is>
          <t>IV-A</t>
        </is>
      </c>
      <c r="F748" s="26" t="inlineStr">
        <is>
          <t>Cavite</t>
        </is>
      </c>
      <c r="G748" s="26" t="inlineStr">
        <is>
          <t>Imus City</t>
        </is>
      </c>
      <c r="H748" s="26" t="inlineStr">
        <is>
          <t>Palico II</t>
        </is>
      </c>
      <c r="I748" s="27" t="n">
        <v>14.286161</v>
      </c>
      <c r="J748" s="27" t="n">
        <v>120.904516</v>
      </c>
      <c r="K748" s="10" t="inlineStr">
        <is>
          <t>R</t>
        </is>
      </c>
      <c r="L748" s="12" t="n">
        <v>2316</v>
      </c>
      <c r="M748" s="14" t="n">
        <v>3.4</v>
      </c>
      <c r="N748" s="12">
        <f>ROUND(L748/M748, 0)</f>
        <v/>
      </c>
      <c r="O748" s="12">
        <f>ROUND(N748*'Methodology &amp; Assumptions'!$B$5, 0)</f>
        <v/>
      </c>
      <c r="P748" s="10" t="inlineStr">
        <is>
          <t>Single Carrier (Band n50, 100MHz TDD)</t>
        </is>
      </c>
      <c r="Q748" s="13">
        <f>ROUNDUP(O748/'Methodology &amp; Assumptions'!$B$6, 0)</f>
        <v/>
      </c>
      <c r="R748" s="13" t="n">
        <v>1</v>
      </c>
      <c r="S748" s="14" t="n">
        <v>1.06</v>
      </c>
      <c r="T748" s="14" t="n">
        <v>0.49</v>
      </c>
      <c r="U748" s="26">
        <f>IF(X748&gt;='Methodology &amp; Assumptions'!$B$7, "Tier 1 Critical GIDA (Score ≥ 50.0)", IF(X748&gt;='Methodology &amp; Assumptions'!$B$8, "Tier 2 High GIDA (Score 40.0–49.9)", "Tier 3 Moderate GIDA (Score &lt; 40.0)"))</f>
        <v/>
      </c>
      <c r="V748" s="26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W748" s="28" t="n">
        <v>0.07200000000000001</v>
      </c>
      <c r="X748" s="14" t="n">
        <v>52.56</v>
      </c>
      <c r="Y748" s="14">
        <f>ROUND(MIN(100, (X748/69.91)*100), 2)</f>
        <v/>
      </c>
    </row>
    <row r="749">
      <c r="A749" s="10" t="n">
        <v>1</v>
      </c>
      <c r="B749" s="10" t="n">
        <v>745</v>
      </c>
      <c r="C749" s="10" t="n">
        <v>745</v>
      </c>
      <c r="D749" s="10" t="inlineStr">
        <is>
          <t>1102505001</t>
        </is>
      </c>
      <c r="E749" s="26" t="inlineStr">
        <is>
          <t>Region XI (Davao Region)</t>
        </is>
      </c>
      <c r="F749" s="26" t="inlineStr">
        <is>
          <t>Davao Oriental</t>
        </is>
      </c>
      <c r="G749" s="26" t="inlineStr">
        <is>
          <t>Cateel</t>
        </is>
      </c>
      <c r="H749" s="26" t="inlineStr">
        <is>
          <t>Abijod</t>
        </is>
      </c>
      <c r="I749" s="27" t="n">
        <v>7.782165</v>
      </c>
      <c r="J749" s="27" t="n">
        <v>126.415361</v>
      </c>
      <c r="K749" s="10" t="inlineStr">
        <is>
          <t>R</t>
        </is>
      </c>
      <c r="L749" s="12" t="n">
        <v>2136</v>
      </c>
      <c r="M749" s="14" t="n">
        <v>3.6</v>
      </c>
      <c r="N749" s="12">
        <f>ROUND(L749/M749, 0)</f>
        <v/>
      </c>
      <c r="O749" s="12">
        <f>ROUND(N749*'Methodology &amp; Assumptions'!$B$5, 0)</f>
        <v/>
      </c>
      <c r="P749" s="10" t="inlineStr">
        <is>
          <t>Single Carrier (Band n50, 100MHz TDD)</t>
        </is>
      </c>
      <c r="Q749" s="13">
        <f>ROUNDUP(O749/'Methodology &amp; Assumptions'!$B$6, 0)</f>
        <v/>
      </c>
      <c r="R749" s="13" t="n">
        <v>1</v>
      </c>
      <c r="S749" s="14" t="n">
        <v>39.89</v>
      </c>
      <c r="T749" s="14" t="n">
        <v>38.55</v>
      </c>
      <c r="U749" s="26">
        <f>IF(X749&gt;='Methodology &amp; Assumptions'!$B$7, "Tier 1 Critical GIDA (Score ≥ 50.0)", IF(X749&gt;='Methodology &amp; Assumptions'!$B$8, "Tier 2 High GIDA (Score 40.0–49.9)", "Tier 3 Moderate GIDA (Score &lt; 40.0)"))</f>
        <v/>
      </c>
      <c r="V749" s="26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W749" s="28" t="n">
        <v>0.174</v>
      </c>
      <c r="X749" s="14" t="n">
        <v>52.55</v>
      </c>
      <c r="Y749" s="14">
        <f>ROUND(MIN(100, (X749/69.91)*100), 2)</f>
        <v/>
      </c>
    </row>
    <row r="750">
      <c r="A750" s="10" t="n">
        <v>1</v>
      </c>
      <c r="B750" s="10" t="n">
        <v>746</v>
      </c>
      <c r="C750" s="10" t="n">
        <v>746</v>
      </c>
      <c r="D750" s="10" t="inlineStr">
        <is>
          <t>1102501014</t>
        </is>
      </c>
      <c r="E750" s="26" t="inlineStr">
        <is>
          <t>Region XI (Davao Region)</t>
        </is>
      </c>
      <c r="F750" s="26" t="inlineStr">
        <is>
          <t>Davao Oriental</t>
        </is>
      </c>
      <c r="G750" s="26" t="inlineStr">
        <is>
          <t>Baganga</t>
        </is>
      </c>
      <c r="H750" s="26" t="inlineStr">
        <is>
          <t>Salingcomot</t>
        </is>
      </c>
      <c r="I750" s="27" t="n">
        <v>7.633407</v>
      </c>
      <c r="J750" s="27" t="n">
        <v>126.536528</v>
      </c>
      <c r="K750" s="10" t="inlineStr">
        <is>
          <t>R</t>
        </is>
      </c>
      <c r="L750" s="12" t="n">
        <v>3085</v>
      </c>
      <c r="M750" s="14" t="n">
        <v>3.6</v>
      </c>
      <c r="N750" s="12">
        <f>ROUND(L750/M750, 0)</f>
        <v/>
      </c>
      <c r="O750" s="12">
        <f>ROUND(N750*'Methodology &amp; Assumptions'!$B$5, 0)</f>
        <v/>
      </c>
      <c r="P750" s="10" t="inlineStr">
        <is>
          <t>Single Carrier (Band n50, 100MHz TDD)</t>
        </is>
      </c>
      <c r="Q750" s="13">
        <f>ROUNDUP(O750/'Methodology &amp; Assumptions'!$B$6, 0)</f>
        <v/>
      </c>
      <c r="R750" s="13" t="n">
        <v>1</v>
      </c>
      <c r="S750" s="14" t="n">
        <v>57.15</v>
      </c>
      <c r="T750" s="14" t="n">
        <v>56.76</v>
      </c>
      <c r="U750" s="26">
        <f>IF(X750&gt;='Methodology &amp; Assumptions'!$B$7, "Tier 1 Critical GIDA (Score ≥ 50.0)", IF(X750&gt;='Methodology &amp; Assumptions'!$B$8, "Tier 2 High GIDA (Score 40.0–49.9)", "Tier 3 Moderate GIDA (Score &lt; 40.0)"))</f>
        <v/>
      </c>
      <c r="V750" s="26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W750" s="28" t="n">
        <v>0.174</v>
      </c>
      <c r="X750" s="14" t="n">
        <v>52.55</v>
      </c>
      <c r="Y750" s="14">
        <f>ROUND(MIN(100, (X750/69.91)*100), 2)</f>
        <v/>
      </c>
    </row>
    <row r="751">
      <c r="A751" s="10" t="n">
        <v>1</v>
      </c>
      <c r="B751" s="10" t="n">
        <v>747</v>
      </c>
      <c r="C751" s="10" t="n">
        <v>747</v>
      </c>
      <c r="D751" s="10" t="inlineStr">
        <is>
          <t>0806022015</t>
        </is>
      </c>
      <c r="E751" s="26" t="inlineStr">
        <is>
          <t>Region VIII (Eastern Visayas)</t>
        </is>
      </c>
      <c r="F751" s="26" t="inlineStr">
        <is>
          <t>Samar</t>
        </is>
      </c>
      <c r="G751" s="26" t="inlineStr">
        <is>
          <t>Paranas</t>
        </is>
      </c>
      <c r="H751" s="26" t="inlineStr">
        <is>
          <t>Lawaan I</t>
        </is>
      </c>
      <c r="I751" s="27" t="n">
        <v>11.865532</v>
      </c>
      <c r="J751" s="27" t="n">
        <v>125.081922</v>
      </c>
      <c r="K751" s="10" t="inlineStr">
        <is>
          <t>R</t>
        </is>
      </c>
      <c r="L751" s="12" t="n">
        <v>1494</v>
      </c>
      <c r="M751" s="14" t="n">
        <v>4.1</v>
      </c>
      <c r="N751" s="12">
        <f>ROUND(L751/M751, 0)</f>
        <v/>
      </c>
      <c r="O751" s="12">
        <f>ROUND(N751*'Methodology &amp; Assumptions'!$B$5, 0)</f>
        <v/>
      </c>
      <c r="P751" s="10" t="inlineStr">
        <is>
          <t>Single Carrier (Band n50, 100MHz TDD)</t>
        </is>
      </c>
      <c r="Q751" s="13">
        <f>ROUNDUP(O751/'Methodology &amp; Assumptions'!$B$6, 0)</f>
        <v/>
      </c>
      <c r="R751" s="13" t="n">
        <v>1</v>
      </c>
      <c r="S751" s="14" t="n">
        <v>70.14</v>
      </c>
      <c r="T751" s="14" t="n">
        <v>73.05</v>
      </c>
      <c r="U751" s="26">
        <f>IF(X751&gt;='Methodology &amp; Assumptions'!$B$7, "Tier 1 Critical GIDA (Score ≥ 50.0)", IF(X751&gt;='Methodology &amp; Assumptions'!$B$8, "Tier 2 High GIDA (Score 40.0–49.9)", "Tier 3 Moderate GIDA (Score &lt; 40.0)"))</f>
        <v/>
      </c>
      <c r="V751" s="26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W751" s="28" t="n">
        <v>0.237</v>
      </c>
      <c r="X751" s="14" t="n">
        <v>52.54</v>
      </c>
      <c r="Y751" s="14">
        <f>ROUND(MIN(100, (X751/69.91)*100), 2)</f>
        <v/>
      </c>
    </row>
    <row r="752">
      <c r="A752" s="10" t="n">
        <v>1</v>
      </c>
      <c r="B752" s="10" t="n">
        <v>748</v>
      </c>
      <c r="C752" s="10" t="n">
        <v>748</v>
      </c>
      <c r="D752" s="10" t="inlineStr">
        <is>
          <t>PH0000748</t>
        </is>
      </c>
      <c r="E752" s="26" t="inlineStr">
        <is>
          <t>VI</t>
        </is>
      </c>
      <c r="F752" s="26" t="inlineStr">
        <is>
          <t>Capiz</t>
        </is>
      </c>
      <c r="G752" s="26" t="inlineStr">
        <is>
          <t>Roxas City</t>
        </is>
      </c>
      <c r="H752" s="26" t="inlineStr">
        <is>
          <t>Poblacion IX</t>
        </is>
      </c>
      <c r="I752" s="27" t="n">
        <v>11.554652</v>
      </c>
      <c r="J752" s="27" t="n">
        <v>122.757941</v>
      </c>
      <c r="K752" s="10" t="inlineStr">
        <is>
          <t>R</t>
        </is>
      </c>
      <c r="L752" s="12" t="n">
        <v>2282</v>
      </c>
      <c r="M752" s="14" t="n">
        <v>3.8</v>
      </c>
      <c r="N752" s="12">
        <f>ROUND(L752/M752, 0)</f>
        <v/>
      </c>
      <c r="O752" s="12">
        <f>ROUND(N752*'Methodology &amp; Assumptions'!$B$5, 0)</f>
        <v/>
      </c>
      <c r="P752" s="10" t="inlineStr">
        <is>
          <t>Single Carrier (Band n50, 100MHz TDD)</t>
        </is>
      </c>
      <c r="Q752" s="13">
        <f>ROUNDUP(O752/'Methodology &amp; Assumptions'!$B$6, 0)</f>
        <v/>
      </c>
      <c r="R752" s="13" t="n">
        <v>1</v>
      </c>
      <c r="S752" s="14" t="n">
        <v>3.95</v>
      </c>
      <c r="T752" s="14" t="n">
        <v>0.05</v>
      </c>
      <c r="U752" s="26">
        <f>IF(X752&gt;='Methodology &amp; Assumptions'!$B$7, "Tier 1 Critical GIDA (Score ≥ 50.0)", IF(X752&gt;='Methodology &amp; Assumptions'!$B$8, "Tier 2 High GIDA (Score 40.0–49.9)", "Tier 3 Moderate GIDA (Score &lt; 40.0)"))</f>
        <v/>
      </c>
      <c r="V752" s="26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W752" s="28" t="n">
        <v>0.156</v>
      </c>
      <c r="X752" s="14" t="n">
        <v>52.54</v>
      </c>
      <c r="Y752" s="14">
        <f>ROUND(MIN(100, (X752/69.91)*100), 2)</f>
        <v/>
      </c>
    </row>
    <row r="753">
      <c r="A753" s="10" t="n">
        <v>1</v>
      </c>
      <c r="B753" s="10" t="n">
        <v>749</v>
      </c>
      <c r="C753" s="10" t="n">
        <v>749</v>
      </c>
      <c r="D753" s="10" t="inlineStr">
        <is>
          <t>PH0000749</t>
        </is>
      </c>
      <c r="E753" s="26" t="inlineStr">
        <is>
          <t>NIR</t>
        </is>
      </c>
      <c r="F753" s="26" t="inlineStr">
        <is>
          <t>Negros Occidental</t>
        </is>
      </c>
      <c r="G753" s="26" t="inlineStr">
        <is>
          <t>Bacolod City</t>
        </is>
      </c>
      <c r="H753" s="26" t="inlineStr">
        <is>
          <t>Barangay 20 (Pob.)</t>
        </is>
      </c>
      <c r="I753" s="27" t="n">
        <v>10.670692</v>
      </c>
      <c r="J753" s="27" t="n">
        <v>123.004051</v>
      </c>
      <c r="K753" s="10" t="inlineStr">
        <is>
          <t>R</t>
        </is>
      </c>
      <c r="L753" s="12" t="n">
        <v>2279</v>
      </c>
      <c r="M753" s="14" t="n">
        <v>3.8</v>
      </c>
      <c r="N753" s="12">
        <f>ROUND(L753/M753, 0)</f>
        <v/>
      </c>
      <c r="O753" s="12">
        <f>ROUND(N753*'Methodology &amp; Assumptions'!$B$5, 0)</f>
        <v/>
      </c>
      <c r="P753" s="10" t="inlineStr">
        <is>
          <t>Single Carrier (Band n50, 100MHz TDD)</t>
        </is>
      </c>
      <c r="Q753" s="13">
        <f>ROUNDUP(O753/'Methodology &amp; Assumptions'!$B$6, 0)</f>
        <v/>
      </c>
      <c r="R753" s="13" t="n">
        <v>1</v>
      </c>
      <c r="S753" s="14" t="n">
        <v>3.6</v>
      </c>
      <c r="T753" s="14" t="n">
        <v>2.65</v>
      </c>
      <c r="U753" s="26">
        <f>IF(X753&gt;='Methodology &amp; Assumptions'!$B$7, "Tier 1 Critical GIDA (Score ≥ 50.0)", IF(X753&gt;='Methodology &amp; Assumptions'!$B$8, "Tier 2 High GIDA (Score 40.0–49.9)", "Tier 3 Moderate GIDA (Score &lt; 40.0)"))</f>
        <v/>
      </c>
      <c r="V753" s="26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W753" s="28" t="n">
        <v>0.109</v>
      </c>
      <c r="X753" s="14" t="n">
        <v>52.54</v>
      </c>
      <c r="Y753" s="14">
        <f>ROUND(MIN(100, (X753/69.91)*100), 2)</f>
        <v/>
      </c>
    </row>
    <row r="754">
      <c r="A754" s="10" t="n">
        <v>1</v>
      </c>
      <c r="B754" s="10" t="n">
        <v>750</v>
      </c>
      <c r="C754" s="10" t="n">
        <v>750</v>
      </c>
      <c r="D754" s="10" t="inlineStr">
        <is>
          <t>1400115004</t>
        </is>
      </c>
      <c r="E754" s="26" t="inlineStr">
        <is>
          <t>Cordillera Administrative Region (CAR)</t>
        </is>
      </c>
      <c r="F754" s="26" t="inlineStr">
        <is>
          <t>Abra</t>
        </is>
      </c>
      <c r="G754" s="26" t="inlineStr">
        <is>
          <t>Malibcong</t>
        </is>
      </c>
      <c r="H754" s="26" t="inlineStr">
        <is>
          <t>Dulao</t>
        </is>
      </c>
      <c r="I754" s="27" t="n">
        <v>17.613107</v>
      </c>
      <c r="J754" s="27" t="n">
        <v>121.025647</v>
      </c>
      <c r="K754" s="10" t="inlineStr">
        <is>
          <t>R</t>
        </is>
      </c>
      <c r="L754" s="12" t="n">
        <v>248</v>
      </c>
      <c r="M754" s="14" t="n">
        <v>3.8</v>
      </c>
      <c r="N754" s="12">
        <f>ROUND(L754/M754, 0)</f>
        <v/>
      </c>
      <c r="O754" s="12">
        <f>ROUND(N754*'Methodology &amp; Assumptions'!$B$5, 0)</f>
        <v/>
      </c>
      <c r="P754" s="10" t="inlineStr">
        <is>
          <t>Single Carrier (Band n50, 100MHz TDD)</t>
        </is>
      </c>
      <c r="Q754" s="13">
        <f>ROUNDUP(O754/'Methodology &amp; Assumptions'!$B$6, 0)</f>
        <v/>
      </c>
      <c r="R754" s="13" t="n">
        <v>1</v>
      </c>
      <c r="S754" s="14" t="n">
        <v>33.97</v>
      </c>
      <c r="T754" s="14" t="n">
        <v>31.04</v>
      </c>
      <c r="U754" s="26">
        <f>IF(X754&gt;='Methodology &amp; Assumptions'!$B$7, "Tier 1 Critical GIDA (Score ≥ 50.0)", IF(X754&gt;='Methodology &amp; Assumptions'!$B$8, "Tier 2 High GIDA (Score 40.0–49.9)", "Tier 3 Moderate GIDA (Score &lt; 40.0)"))</f>
        <v/>
      </c>
      <c r="V754" s="26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W754" s="28" t="n">
        <v>0.109</v>
      </c>
      <c r="X754" s="14" t="n">
        <v>52.54</v>
      </c>
      <c r="Y754" s="14">
        <f>ROUND(MIN(100, (X754/69.91)*100), 2)</f>
        <v/>
      </c>
    </row>
    <row r="755">
      <c r="A755" s="10" t="n">
        <v>1</v>
      </c>
      <c r="B755" s="10" t="n">
        <v>751</v>
      </c>
      <c r="C755" s="10" t="n">
        <v>751</v>
      </c>
      <c r="D755" s="10" t="inlineStr">
        <is>
          <t>1408102009</t>
        </is>
      </c>
      <c r="E755" s="26" t="inlineStr">
        <is>
          <t>Cordillera Administrative Region (CAR)</t>
        </is>
      </c>
      <c r="F755" s="26" t="inlineStr">
        <is>
          <t>Apayao</t>
        </is>
      </c>
      <c r="G755" s="26" t="inlineStr">
        <is>
          <t>Conner</t>
        </is>
      </c>
      <c r="H755" s="26" t="inlineStr">
        <is>
          <t>Katablangan</t>
        </is>
      </c>
      <c r="I755" s="27" t="n">
        <v>17.817954</v>
      </c>
      <c r="J755" s="27" t="n">
        <v>121.176144</v>
      </c>
      <c r="K755" s="10" t="inlineStr">
        <is>
          <t>R</t>
        </is>
      </c>
      <c r="L755" s="12" t="n">
        <v>662</v>
      </c>
      <c r="M755" s="14" t="n">
        <v>4.2</v>
      </c>
      <c r="N755" s="12">
        <f>ROUND(L755/M755, 0)</f>
        <v/>
      </c>
      <c r="O755" s="12">
        <f>ROUND(N755*'Methodology &amp; Assumptions'!$B$5, 0)</f>
        <v/>
      </c>
      <c r="P755" s="10" t="inlineStr">
        <is>
          <t>Single Carrier (Band n50, 100MHz TDD)</t>
        </is>
      </c>
      <c r="Q755" s="13">
        <f>ROUNDUP(O755/'Methodology &amp; Assumptions'!$B$6, 0)</f>
        <v/>
      </c>
      <c r="R755" s="13" t="n">
        <v>1</v>
      </c>
      <c r="S755" s="14" t="n">
        <v>15.85</v>
      </c>
      <c r="T755" s="14" t="n">
        <v>8.57</v>
      </c>
      <c r="U755" s="26">
        <f>IF(X755&gt;='Methodology &amp; Assumptions'!$B$7, "Tier 1 Critical GIDA (Score ≥ 50.0)", IF(X755&gt;='Methodology &amp; Assumptions'!$B$8, "Tier 2 High GIDA (Score 40.0–49.9)", "Tier 3 Moderate GIDA (Score &lt; 40.0)"))</f>
        <v/>
      </c>
      <c r="V755" s="26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W755" s="28" t="n">
        <v>0.109</v>
      </c>
      <c r="X755" s="14" t="n">
        <v>52.53</v>
      </c>
      <c r="Y755" s="14">
        <f>ROUND(MIN(100, (X755/69.91)*100), 2)</f>
        <v/>
      </c>
    </row>
    <row r="756">
      <c r="A756" s="10" t="n">
        <v>1</v>
      </c>
      <c r="B756" s="10" t="n">
        <v>752</v>
      </c>
      <c r="C756" s="10" t="n">
        <v>752</v>
      </c>
      <c r="D756" s="10" t="inlineStr">
        <is>
          <t>PH0000752</t>
        </is>
      </c>
      <c r="E756" s="26" t="inlineStr">
        <is>
          <t>VI</t>
        </is>
      </c>
      <c r="F756" s="26" t="inlineStr">
        <is>
          <t>Iloilo</t>
        </is>
      </c>
      <c r="G756" s="26" t="inlineStr">
        <is>
          <t>Iloilo City</t>
        </is>
      </c>
      <c r="H756" s="26" t="inlineStr">
        <is>
          <t>Gustilo</t>
        </is>
      </c>
      <c r="I756" s="27" t="n">
        <v>10.653531</v>
      </c>
      <c r="J756" s="27" t="n">
        <v>122.627397</v>
      </c>
      <c r="K756" s="10" t="inlineStr">
        <is>
          <t>R</t>
        </is>
      </c>
      <c r="L756" s="12" t="n">
        <v>2230</v>
      </c>
      <c r="M756" s="14" t="n">
        <v>3.8</v>
      </c>
      <c r="N756" s="12">
        <f>ROUND(L756/M756, 0)</f>
        <v/>
      </c>
      <c r="O756" s="12">
        <f>ROUND(N756*'Methodology &amp; Assumptions'!$B$5, 0)</f>
        <v/>
      </c>
      <c r="P756" s="10" t="inlineStr">
        <is>
          <t>Single Carrier (Band n50, 100MHz TDD)</t>
        </is>
      </c>
      <c r="Q756" s="13">
        <f>ROUNDUP(O756/'Methodology &amp; Assumptions'!$B$6, 0)</f>
        <v/>
      </c>
      <c r="R756" s="13" t="n">
        <v>1</v>
      </c>
      <c r="S756" s="14" t="n">
        <v>9.33</v>
      </c>
      <c r="T756" s="14" t="n">
        <v>8.18</v>
      </c>
      <c r="U756" s="26">
        <f>IF(X756&gt;='Methodology &amp; Assumptions'!$B$7, "Tier 1 Critical GIDA (Score ≥ 50.0)", IF(X756&gt;='Methodology &amp; Assumptions'!$B$8, "Tier 2 High GIDA (Score 40.0–49.9)", "Tier 3 Moderate GIDA (Score &lt; 40.0)"))</f>
        <v/>
      </c>
      <c r="V756" s="26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W756" s="28" t="n">
        <v>0.156</v>
      </c>
      <c r="X756" s="14" t="n">
        <v>52.52</v>
      </c>
      <c r="Y756" s="14">
        <f>ROUND(MIN(100, (X756/69.91)*100), 2)</f>
        <v/>
      </c>
    </row>
    <row r="757">
      <c r="A757" s="10" t="n">
        <v>1</v>
      </c>
      <c r="B757" s="10" t="n">
        <v>753</v>
      </c>
      <c r="C757" s="10" t="n">
        <v>753</v>
      </c>
      <c r="D757" s="10" t="inlineStr">
        <is>
          <t>PH0000753</t>
        </is>
      </c>
      <c r="E757" s="26" t="inlineStr">
        <is>
          <t>VIII</t>
        </is>
      </c>
      <c r="F757" s="26" t="inlineStr">
        <is>
          <t>Leyte</t>
        </is>
      </c>
      <c r="G757" s="26" t="inlineStr">
        <is>
          <t>Tacloban City</t>
        </is>
      </c>
      <c r="H757" s="26" t="inlineStr">
        <is>
          <t>Barangay 23</t>
        </is>
      </c>
      <c r="I757" s="27" t="n">
        <v>11.24372</v>
      </c>
      <c r="J757" s="27" t="n">
        <v>124.99902</v>
      </c>
      <c r="K757" s="10" t="inlineStr">
        <is>
          <t>R</t>
        </is>
      </c>
      <c r="L757" s="12" t="n">
        <v>2258</v>
      </c>
      <c r="M757" s="14" t="n">
        <v>3.8</v>
      </c>
      <c r="N757" s="12">
        <f>ROUND(L757/M757, 0)</f>
        <v/>
      </c>
      <c r="O757" s="12">
        <f>ROUND(N757*'Methodology &amp; Assumptions'!$B$5, 0)</f>
        <v/>
      </c>
      <c r="P757" s="10" t="inlineStr">
        <is>
          <t>Single Carrier (Band n50, 100MHz TDD)</t>
        </is>
      </c>
      <c r="Q757" s="13">
        <f>ROUNDUP(O757/'Methodology &amp; Assumptions'!$B$6, 0)</f>
        <v/>
      </c>
      <c r="R757" s="13" t="n">
        <v>1</v>
      </c>
      <c r="S757" s="14" t="n">
        <v>0.59</v>
      </c>
      <c r="T757" s="14" t="n">
        <v>3.65</v>
      </c>
      <c r="U757" s="26">
        <f>IF(X757&gt;='Methodology &amp; Assumptions'!$B$7, "Tier 1 Critical GIDA (Score ≥ 50.0)", IF(X757&gt;='Methodology &amp; Assumptions'!$B$8, "Tier 2 High GIDA (Score 40.0–49.9)", "Tier 3 Moderate GIDA (Score &lt; 40.0)"))</f>
        <v/>
      </c>
      <c r="V757" s="26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W757" s="28" t="n">
        <v>0.222</v>
      </c>
      <c r="X757" s="14" t="n">
        <v>52.52</v>
      </c>
      <c r="Y757" s="14">
        <f>ROUND(MIN(100, (X757/69.91)*100), 2)</f>
        <v/>
      </c>
    </row>
    <row r="758">
      <c r="A758" s="10" t="n">
        <v>1</v>
      </c>
      <c r="B758" s="10" t="n">
        <v>754</v>
      </c>
      <c r="C758" s="10" t="n">
        <v>754</v>
      </c>
      <c r="D758" s="10" t="inlineStr">
        <is>
          <t>1400115003</t>
        </is>
      </c>
      <c r="E758" s="26" t="inlineStr">
        <is>
          <t>Cordillera Administrative Region (CAR)</t>
        </is>
      </c>
      <c r="F758" s="26" t="inlineStr">
        <is>
          <t>Abra</t>
        </is>
      </c>
      <c r="G758" s="26" t="inlineStr">
        <is>
          <t>Malibcong</t>
        </is>
      </c>
      <c r="H758" s="26" t="inlineStr">
        <is>
          <t>Buanao</t>
        </is>
      </c>
      <c r="I758" s="27" t="n">
        <v>17.592147</v>
      </c>
      <c r="J758" s="27" t="n">
        <v>121.011239</v>
      </c>
      <c r="K758" s="10" t="inlineStr">
        <is>
          <t>R</t>
        </is>
      </c>
      <c r="L758" s="12" t="n">
        <v>339</v>
      </c>
      <c r="M758" s="14" t="n">
        <v>3.8</v>
      </c>
      <c r="N758" s="12">
        <f>ROUND(L758/M758, 0)</f>
        <v/>
      </c>
      <c r="O758" s="12">
        <f>ROUND(N758*'Methodology &amp; Assumptions'!$B$5, 0)</f>
        <v/>
      </c>
      <c r="P758" s="10" t="inlineStr">
        <is>
          <t>Single Carrier (Band n50, 100MHz TDD)</t>
        </is>
      </c>
      <c r="Q758" s="13">
        <f>ROUNDUP(O758/'Methodology &amp; Assumptions'!$B$6, 0)</f>
        <v/>
      </c>
      <c r="R758" s="13" t="n">
        <v>1</v>
      </c>
      <c r="S758" s="14" t="n">
        <v>35.14</v>
      </c>
      <c r="T758" s="14" t="n">
        <v>30.19</v>
      </c>
      <c r="U758" s="26">
        <f>IF(X758&gt;='Methodology &amp; Assumptions'!$B$7, "Tier 1 Critical GIDA (Score ≥ 50.0)", IF(X758&gt;='Methodology &amp; Assumptions'!$B$8, "Tier 2 High GIDA (Score 40.0–49.9)", "Tier 3 Moderate GIDA (Score &lt; 40.0)"))</f>
        <v/>
      </c>
      <c r="V758" s="26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W758" s="28" t="n">
        <v>0.109</v>
      </c>
      <c r="X758" s="14" t="n">
        <v>52.51</v>
      </c>
      <c r="Y758" s="14">
        <f>ROUND(MIN(100, (X758/69.91)*100), 2)</f>
        <v/>
      </c>
    </row>
    <row r="759">
      <c r="A759" s="10" t="n">
        <v>1</v>
      </c>
      <c r="B759" s="10" t="n">
        <v>755</v>
      </c>
      <c r="C759" s="10" t="n">
        <v>755</v>
      </c>
      <c r="D759" s="10" t="inlineStr">
        <is>
          <t>0803722005</t>
        </is>
      </c>
      <c r="E759" s="26" t="inlineStr">
        <is>
          <t>Region VIII (Eastern Visayas)</t>
        </is>
      </c>
      <c r="F759" s="26" t="inlineStr">
        <is>
          <t>Leyte</t>
        </is>
      </c>
      <c r="G759" s="26" t="inlineStr">
        <is>
          <t>Isabel</t>
        </is>
      </c>
      <c r="H759" s="26" t="inlineStr">
        <is>
          <t>Benog</t>
        </is>
      </c>
      <c r="I759" s="27" t="n">
        <v>10.885246</v>
      </c>
      <c r="J759" s="27" t="n">
        <v>124.472395</v>
      </c>
      <c r="K759" s="10" t="inlineStr">
        <is>
          <t>R</t>
        </is>
      </c>
      <c r="L759" s="12" t="n">
        <v>627</v>
      </c>
      <c r="M759" s="14" t="n">
        <v>3.8</v>
      </c>
      <c r="N759" s="12">
        <f>ROUND(L759/M759, 0)</f>
        <v/>
      </c>
      <c r="O759" s="12">
        <f>ROUND(N759*'Methodology &amp; Assumptions'!$B$5, 0)</f>
        <v/>
      </c>
      <c r="P759" s="10" t="inlineStr">
        <is>
          <t>Single Carrier (Band n50, 100MHz TDD)</t>
        </is>
      </c>
      <c r="Q759" s="13">
        <f>ROUNDUP(O759/'Methodology &amp; Assumptions'!$B$6, 0)</f>
        <v/>
      </c>
      <c r="R759" s="13" t="n">
        <v>1</v>
      </c>
      <c r="S759" s="14" t="n">
        <v>5.81</v>
      </c>
      <c r="T759" s="14" t="n">
        <v>0.59</v>
      </c>
      <c r="U759" s="26">
        <f>IF(X759&gt;='Methodology &amp; Assumptions'!$B$7, "Tier 1 Critical GIDA (Score ≥ 50.0)", IF(X759&gt;='Methodology &amp; Assumptions'!$B$8, "Tier 2 High GIDA (Score 40.0–49.9)", "Tier 3 Moderate GIDA (Score &lt; 40.0)"))</f>
        <v/>
      </c>
      <c r="V759" s="26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W759" s="28" t="n">
        <v>0.237</v>
      </c>
      <c r="X759" s="14" t="n">
        <v>52.48</v>
      </c>
      <c r="Y759" s="14">
        <f>ROUND(MIN(100, (X759/69.91)*100), 2)</f>
        <v/>
      </c>
    </row>
    <row r="760">
      <c r="A760" s="10" t="n">
        <v>1</v>
      </c>
      <c r="B760" s="10" t="n">
        <v>756</v>
      </c>
      <c r="C760" s="10" t="n">
        <v>756</v>
      </c>
      <c r="D760" s="10" t="inlineStr">
        <is>
          <t>0806022049</t>
        </is>
      </c>
      <c r="E760" s="26" t="inlineStr">
        <is>
          <t>Region VIII (Eastern Visayas)</t>
        </is>
      </c>
      <c r="F760" s="26" t="inlineStr">
        <is>
          <t>Samar</t>
        </is>
      </c>
      <c r="G760" s="26" t="inlineStr">
        <is>
          <t>Paranas</t>
        </is>
      </c>
      <c r="H760" s="26" t="inlineStr">
        <is>
          <t>Lawaan II</t>
        </is>
      </c>
      <c r="I760" s="27" t="n">
        <v>11.819032</v>
      </c>
      <c r="J760" s="27" t="n">
        <v>125.066811</v>
      </c>
      <c r="K760" s="10" t="inlineStr">
        <is>
          <t>R</t>
        </is>
      </c>
      <c r="L760" s="12" t="n">
        <v>368</v>
      </c>
      <c r="M760" s="14" t="n">
        <v>4.1</v>
      </c>
      <c r="N760" s="12">
        <f>ROUND(L760/M760, 0)</f>
        <v/>
      </c>
      <c r="O760" s="12">
        <f>ROUND(N760*'Methodology &amp; Assumptions'!$B$5, 0)</f>
        <v/>
      </c>
      <c r="P760" s="10" t="inlineStr">
        <is>
          <t>Single Carrier (Band n50, 100MHz TDD)</t>
        </is>
      </c>
      <c r="Q760" s="13">
        <f>ROUNDUP(O760/'Methodology &amp; Assumptions'!$B$6, 0)</f>
        <v/>
      </c>
      <c r="R760" s="13" t="n">
        <v>1</v>
      </c>
      <c r="S760" s="14" t="n">
        <v>64.81</v>
      </c>
      <c r="T760" s="14" t="n">
        <v>67.73999999999999</v>
      </c>
      <c r="U760" s="26">
        <f>IF(X760&gt;='Methodology &amp; Assumptions'!$B$7, "Tier 1 Critical GIDA (Score ≥ 50.0)", IF(X760&gt;='Methodology &amp; Assumptions'!$B$8, "Tier 2 High GIDA (Score 40.0–49.9)", "Tier 3 Moderate GIDA (Score &lt; 40.0)"))</f>
        <v/>
      </c>
      <c r="V760" s="26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W760" s="28" t="n">
        <v>0.237</v>
      </c>
      <c r="X760" s="14" t="n">
        <v>52.48</v>
      </c>
      <c r="Y760" s="14">
        <f>ROUND(MIN(100, (X760/69.91)*100), 2)</f>
        <v/>
      </c>
    </row>
    <row r="761">
      <c r="A761" s="10" t="n">
        <v>1</v>
      </c>
      <c r="B761" s="10" t="n">
        <v>757</v>
      </c>
      <c r="C761" s="10" t="n">
        <v>757</v>
      </c>
      <c r="D761" s="10" t="inlineStr">
        <is>
          <t>1380601125</t>
        </is>
      </c>
      <c r="E761" s="26" t="inlineStr">
        <is>
          <t>National Capital Region (NCR)</t>
        </is>
      </c>
      <c r="F761" s="26" t="inlineStr">
        <is>
          <t>First District (Not a Province)</t>
        </is>
      </c>
      <c r="G761" s="26" t="inlineStr">
        <is>
          <t>City of Manila</t>
        </is>
      </c>
      <c r="H761" s="26" t="inlineStr">
        <is>
          <t>Barangay 125</t>
        </is>
      </c>
      <c r="I761" s="27" t="n">
        <v>13.003301</v>
      </c>
      <c r="J761" s="27" t="n">
        <v>121.768464</v>
      </c>
      <c r="K761" s="10" t="inlineStr">
        <is>
          <t>U</t>
        </is>
      </c>
      <c r="L761" s="12" t="n">
        <v>4647</v>
      </c>
      <c r="M761" s="14" t="n">
        <v>3.9</v>
      </c>
      <c r="N761" s="12">
        <f>ROUND(L761/M761, 0)</f>
        <v/>
      </c>
      <c r="O761" s="12">
        <f>ROUND(N761*'Methodology &amp; Assumptions'!$B$5, 0)</f>
        <v/>
      </c>
      <c r="P761" s="10" t="inlineStr">
        <is>
          <t>Single Carrier (Band n50, 100MHz TDD)</t>
        </is>
      </c>
      <c r="Q761" s="13">
        <f>ROUNDUP(O761/'Methodology &amp; Assumptions'!$B$6, 0)</f>
        <v/>
      </c>
      <c r="R761" s="13" t="n">
        <v>1</v>
      </c>
      <c r="S761" s="14" t="n">
        <v>29.16</v>
      </c>
      <c r="T761" s="14" t="n">
        <v>31.35</v>
      </c>
      <c r="U761" s="26">
        <f>IF(X761&gt;='Methodology &amp; Assumptions'!$B$7, "Tier 1 Critical GIDA (Score ≥ 50.0)", IF(X761&gt;='Methodology &amp; Assumptions'!$B$8, "Tier 2 High GIDA (Score 40.0–49.9)", "Tier 3 Moderate GIDA (Score &lt; 40.0)"))</f>
        <v/>
      </c>
      <c r="V761" s="26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W761" s="28" t="n">
        <v>0.109</v>
      </c>
      <c r="X761" s="14" t="n">
        <v>52.46</v>
      </c>
      <c r="Y761" s="14">
        <f>ROUND(MIN(100, (X761/69.91)*100), 2)</f>
        <v/>
      </c>
    </row>
    <row r="762">
      <c r="A762" s="10" t="n">
        <v>1</v>
      </c>
      <c r="B762" s="10" t="n">
        <v>758</v>
      </c>
      <c r="C762" s="10" t="n">
        <v>758</v>
      </c>
      <c r="D762" s="10" t="inlineStr">
        <is>
          <t>1381600026</t>
        </is>
      </c>
      <c r="E762" s="26" t="inlineStr">
        <is>
          <t>National Capital Region (NCR)</t>
        </is>
      </c>
      <c r="F762" s="26" t="inlineStr">
        <is>
          <t>Third District (Not a Province)</t>
        </is>
      </c>
      <c r="G762" s="26" t="inlineStr">
        <is>
          <t>City of Valenzuela</t>
        </is>
      </c>
      <c r="H762" s="26" t="inlineStr">
        <is>
          <t>Pulo</t>
        </is>
      </c>
      <c r="I762" s="27" t="n">
        <v>14.703746</v>
      </c>
      <c r="J762" s="27" t="n">
        <v>120.98167</v>
      </c>
      <c r="K762" s="10" t="inlineStr">
        <is>
          <t>U</t>
        </is>
      </c>
      <c r="L762" s="12" t="n">
        <v>1142</v>
      </c>
      <c r="M762" s="14" t="n">
        <v>3.5</v>
      </c>
      <c r="N762" s="12">
        <f>ROUND(L762/M762, 0)</f>
        <v/>
      </c>
      <c r="O762" s="12">
        <f>ROUND(N762*'Methodology &amp; Assumptions'!$B$5, 0)</f>
        <v/>
      </c>
      <c r="P762" s="10" t="inlineStr">
        <is>
          <t>Single Carrier (Band n50, 100MHz TDD)</t>
        </is>
      </c>
      <c r="Q762" s="13">
        <f>ROUNDUP(O762/'Methodology &amp; Assumptions'!$B$6, 0)</f>
        <v/>
      </c>
      <c r="R762" s="13" t="n">
        <v>1</v>
      </c>
      <c r="S762" s="14" t="n">
        <v>0.43</v>
      </c>
      <c r="T762" s="14" t="n">
        <v>0.33</v>
      </c>
      <c r="U762" s="26">
        <f>IF(X762&gt;='Methodology &amp; Assumptions'!$B$7, "Tier 1 Critical GIDA (Score ≥ 50.0)", IF(X762&gt;='Methodology &amp; Assumptions'!$B$8, "Tier 2 High GIDA (Score 40.0–49.9)", "Tier 3 Moderate GIDA (Score &lt; 40.0)"))</f>
        <v/>
      </c>
      <c r="V762" s="26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W762" s="28" t="n">
        <v>0.109</v>
      </c>
      <c r="X762" s="14" t="n">
        <v>52.46</v>
      </c>
      <c r="Y762" s="14">
        <f>ROUND(MIN(100, (X762/69.91)*100), 2)</f>
        <v/>
      </c>
    </row>
    <row r="763">
      <c r="A763" s="10" t="n">
        <v>1</v>
      </c>
      <c r="B763" s="10" t="n">
        <v>759</v>
      </c>
      <c r="C763" s="10" t="n">
        <v>759</v>
      </c>
      <c r="D763" s="10" t="inlineStr">
        <is>
          <t>1003505026</t>
        </is>
      </c>
      <c r="E763" s="26" t="inlineStr">
        <is>
          <t>Region X (Northern Mindanao)</t>
        </is>
      </c>
      <c r="F763" s="26" t="inlineStr">
        <is>
          <t>Lanao del Norte</t>
        </is>
      </c>
      <c r="G763" s="26" t="inlineStr">
        <is>
          <t>Kapatagan</t>
        </is>
      </c>
      <c r="H763" s="26" t="inlineStr">
        <is>
          <t>Kidalos</t>
        </is>
      </c>
      <c r="I763" s="27" t="n">
        <v>7.849318</v>
      </c>
      <c r="J763" s="27" t="n">
        <v>123.774728</v>
      </c>
      <c r="K763" s="10" t="inlineStr">
        <is>
          <t>R</t>
        </is>
      </c>
      <c r="L763" s="12" t="n">
        <v>1174</v>
      </c>
      <c r="M763" s="14" t="n">
        <v>4.2</v>
      </c>
      <c r="N763" s="12">
        <f>ROUND(L763/M763, 0)</f>
        <v/>
      </c>
      <c r="O763" s="12">
        <f>ROUND(N763*'Methodology &amp; Assumptions'!$B$5, 0)</f>
        <v/>
      </c>
      <c r="P763" s="10" t="inlineStr">
        <is>
          <t>Single Carrier (Band n50, 100MHz TDD)</t>
        </is>
      </c>
      <c r="Q763" s="13">
        <f>ROUNDUP(O763/'Methodology &amp; Assumptions'!$B$6, 0)</f>
        <v/>
      </c>
      <c r="R763" s="13" t="n">
        <v>1</v>
      </c>
      <c r="S763" s="14" t="n">
        <v>21.7</v>
      </c>
      <c r="T763" s="14" t="n">
        <v>4.67</v>
      </c>
      <c r="U763" s="26">
        <f>IF(X763&gt;='Methodology &amp; Assumptions'!$B$7, "Tier 1 Critical GIDA (Score ≥ 50.0)", IF(X763&gt;='Methodology &amp; Assumptions'!$B$8, "Tier 2 High GIDA (Score 40.0–49.9)", "Tier 3 Moderate GIDA (Score &lt; 40.0)"))</f>
        <v/>
      </c>
      <c r="V763" s="26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W763" s="28" t="n">
        <v>0.174</v>
      </c>
      <c r="X763" s="14" t="n">
        <v>52.46</v>
      </c>
      <c r="Y763" s="14">
        <f>ROUND(MIN(100, (X763/69.91)*100), 2)</f>
        <v/>
      </c>
    </row>
    <row r="764">
      <c r="A764" s="10" t="n">
        <v>1</v>
      </c>
      <c r="B764" s="10" t="n">
        <v>760</v>
      </c>
      <c r="C764" s="10" t="n">
        <v>760</v>
      </c>
      <c r="D764" s="10" t="inlineStr">
        <is>
          <t>1380601043</t>
        </is>
      </c>
      <c r="E764" s="26" t="inlineStr">
        <is>
          <t>National Capital Region (NCR)</t>
        </is>
      </c>
      <c r="F764" s="26" t="inlineStr">
        <is>
          <t>First District (Not a Province)</t>
        </is>
      </c>
      <c r="G764" s="26" t="inlineStr">
        <is>
          <t>City of Manila</t>
        </is>
      </c>
      <c r="H764" s="26" t="inlineStr">
        <is>
          <t>Barangay 43</t>
        </is>
      </c>
      <c r="I764" s="27" t="n">
        <v>12.791263</v>
      </c>
      <c r="J764" s="27" t="n">
        <v>121.864719</v>
      </c>
      <c r="K764" s="10" t="inlineStr">
        <is>
          <t>U</t>
        </is>
      </c>
      <c r="L764" s="12" t="n">
        <v>3464</v>
      </c>
      <c r="M764" s="14" t="n">
        <v>3.9</v>
      </c>
      <c r="N764" s="12">
        <f>ROUND(L764/M764, 0)</f>
        <v/>
      </c>
      <c r="O764" s="12">
        <f>ROUND(N764*'Methodology &amp; Assumptions'!$B$5, 0)</f>
        <v/>
      </c>
      <c r="P764" s="10" t="inlineStr">
        <is>
          <t>Single Carrier (Band n50, 100MHz TDD)</t>
        </is>
      </c>
      <c r="Q764" s="13">
        <f>ROUNDUP(O764/'Methodology &amp; Assumptions'!$B$6, 0)</f>
        <v/>
      </c>
      <c r="R764" s="13" t="n">
        <v>1</v>
      </c>
      <c r="S764" s="14" t="n">
        <v>39.83</v>
      </c>
      <c r="T764" s="14" t="n">
        <v>39.31</v>
      </c>
      <c r="U764" s="26">
        <f>IF(X764&gt;='Methodology &amp; Assumptions'!$B$7, "Tier 1 Critical GIDA (Score ≥ 50.0)", IF(X764&gt;='Methodology &amp; Assumptions'!$B$8, "Tier 2 High GIDA (Score 40.0–49.9)", "Tier 3 Moderate GIDA (Score &lt; 40.0)"))</f>
        <v/>
      </c>
      <c r="V764" s="26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W764" s="28" t="n">
        <v>0.109</v>
      </c>
      <c r="X764" s="14" t="n">
        <v>52.44</v>
      </c>
      <c r="Y764" s="14">
        <f>ROUND(MIN(100, (X764/69.91)*100), 2)</f>
        <v/>
      </c>
    </row>
    <row r="765">
      <c r="A765" s="10" t="n">
        <v>1</v>
      </c>
      <c r="B765" s="10" t="n">
        <v>761</v>
      </c>
      <c r="C765" s="10" t="n">
        <v>761</v>
      </c>
      <c r="D765" s="10" t="inlineStr">
        <is>
          <t>1906613028</t>
        </is>
      </c>
      <c r="E765" s="26" t="inlineStr">
        <is>
          <t>Bangsamoro Autonomous Region In Muslim Mindanao (BARMM)</t>
        </is>
      </c>
      <c r="F765" s="26" t="inlineStr">
        <is>
          <t>Sulu</t>
        </is>
      </c>
      <c r="G765" s="26" t="inlineStr">
        <is>
          <t>Talipao</t>
        </is>
      </c>
      <c r="H765" s="26" t="inlineStr">
        <is>
          <t>Liu-Bud Pantao</t>
        </is>
      </c>
      <c r="I765" s="27" t="n">
        <v>17.255462</v>
      </c>
      <c r="J765" s="27" t="n">
        <v>122.229506</v>
      </c>
      <c r="K765" s="10" t="inlineStr">
        <is>
          <t>R</t>
        </is>
      </c>
      <c r="L765" s="12" t="n">
        <v>1364</v>
      </c>
      <c r="M765" s="14" t="n">
        <v>6</v>
      </c>
      <c r="N765" s="12">
        <f>ROUND(L765/M765, 0)</f>
        <v/>
      </c>
      <c r="O765" s="12">
        <f>ROUND(N765*'Methodology &amp; Assumptions'!$B$5, 0)</f>
        <v/>
      </c>
      <c r="P765" s="10" t="inlineStr">
        <is>
          <t>Single Carrier (Band n50, 100MHz TDD)</t>
        </is>
      </c>
      <c r="Q765" s="13">
        <f>ROUNDUP(O765/'Methodology &amp; Assumptions'!$B$6, 0)</f>
        <v/>
      </c>
      <c r="R765" s="13" t="n">
        <v>1</v>
      </c>
      <c r="S765" s="14" t="n">
        <v>29.51</v>
      </c>
      <c r="T765" s="14" t="n">
        <v>34.38</v>
      </c>
      <c r="U765" s="26">
        <f>IF(X765&gt;='Methodology &amp; Assumptions'!$B$7, "Tier 1 Critical GIDA (Score ≥ 50.0)", IF(X765&gt;='Methodology &amp; Assumptions'!$B$8, "Tier 2 High GIDA (Score 40.0–49.9)", "Tier 3 Moderate GIDA (Score &lt; 40.0)"))</f>
        <v/>
      </c>
      <c r="V765" s="26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W765" s="28" t="n">
        <v>0.11</v>
      </c>
      <c r="X765" s="14" t="n">
        <v>52.43</v>
      </c>
      <c r="Y765" s="14">
        <f>ROUND(MIN(100, (X765/69.91)*100), 2)</f>
        <v/>
      </c>
    </row>
    <row r="766">
      <c r="A766" s="10" t="n">
        <v>1</v>
      </c>
      <c r="B766" s="10" t="n">
        <v>762</v>
      </c>
      <c r="C766" s="10" t="n">
        <v>762</v>
      </c>
      <c r="D766" s="10" t="inlineStr">
        <is>
          <t>PH0000762</t>
        </is>
      </c>
      <c r="E766" s="26" t="inlineStr">
        <is>
          <t>VIII</t>
        </is>
      </c>
      <c r="F766" s="26" t="inlineStr">
        <is>
          <t>Leyte</t>
        </is>
      </c>
      <c r="G766" s="26" t="inlineStr">
        <is>
          <t>Tacloban City</t>
        </is>
      </c>
      <c r="H766" s="26" t="inlineStr">
        <is>
          <t>Barangay 20</t>
        </is>
      </c>
      <c r="I766" s="27" t="n">
        <v>11.252326</v>
      </c>
      <c r="J766" s="27" t="n">
        <v>124.974159</v>
      </c>
      <c r="K766" s="10" t="inlineStr">
        <is>
          <t>R</t>
        </is>
      </c>
      <c r="L766" s="12" t="n">
        <v>2258</v>
      </c>
      <c r="M766" s="14" t="n">
        <v>3.8</v>
      </c>
      <c r="N766" s="12">
        <f>ROUND(L766/M766, 0)</f>
        <v/>
      </c>
      <c r="O766" s="12">
        <f>ROUND(N766*'Methodology &amp; Assumptions'!$B$5, 0)</f>
        <v/>
      </c>
      <c r="P766" s="10" t="inlineStr">
        <is>
          <t>Single Carrier (Band n50, 100MHz TDD)</t>
        </is>
      </c>
      <c r="Q766" s="13">
        <f>ROUNDUP(O766/'Methodology &amp; Assumptions'!$B$6, 0)</f>
        <v/>
      </c>
      <c r="R766" s="13" t="n">
        <v>1</v>
      </c>
      <c r="S766" s="14" t="n">
        <v>3.39</v>
      </c>
      <c r="T766" s="14" t="n">
        <v>5.86</v>
      </c>
      <c r="U766" s="26">
        <f>IF(X766&gt;='Methodology &amp; Assumptions'!$B$7, "Tier 1 Critical GIDA (Score ≥ 50.0)", IF(X766&gt;='Methodology &amp; Assumptions'!$B$8, "Tier 2 High GIDA (Score 40.0–49.9)", "Tier 3 Moderate GIDA (Score &lt; 40.0)"))</f>
        <v/>
      </c>
      <c r="V766" s="26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W766" s="28" t="n">
        <v>0.222</v>
      </c>
      <c r="X766" s="14" t="n">
        <v>52.42</v>
      </c>
      <c r="Y766" s="14">
        <f>ROUND(MIN(100, (X766/69.91)*100), 2)</f>
        <v/>
      </c>
    </row>
    <row r="767">
      <c r="A767" s="10" t="n">
        <v>1</v>
      </c>
      <c r="B767" s="10" t="n">
        <v>763</v>
      </c>
      <c r="C767" s="10" t="n">
        <v>763</v>
      </c>
      <c r="D767" s="10" t="inlineStr">
        <is>
          <t>1380604019</t>
        </is>
      </c>
      <c r="E767" s="26" t="inlineStr">
        <is>
          <t>National Capital Region (NCR)</t>
        </is>
      </c>
      <c r="F767" s="26" t="inlineStr">
        <is>
          <t>First District (Not a Province)</t>
        </is>
      </c>
      <c r="G767" s="26" t="inlineStr">
        <is>
          <t>City of Manila</t>
        </is>
      </c>
      <c r="H767" s="26" t="inlineStr">
        <is>
          <t>Barangay 286</t>
        </is>
      </c>
      <c r="I767" s="27" t="n">
        <v>12.885214</v>
      </c>
      <c r="J767" s="27" t="n">
        <v>121.644442</v>
      </c>
      <c r="K767" s="10" t="inlineStr">
        <is>
          <t>U</t>
        </is>
      </c>
      <c r="L767" s="12" t="n">
        <v>4853</v>
      </c>
      <c r="M767" s="14" t="n">
        <v>3.9</v>
      </c>
      <c r="N767" s="12">
        <f>ROUND(L767/M767, 0)</f>
        <v/>
      </c>
      <c r="O767" s="12">
        <f>ROUND(N767*'Methodology &amp; Assumptions'!$B$5, 0)</f>
        <v/>
      </c>
      <c r="P767" s="10" t="inlineStr">
        <is>
          <t>Single Carrier (Band n50, 100MHz TDD)</t>
        </is>
      </c>
      <c r="Q767" s="13">
        <f>ROUNDUP(O767/'Methodology &amp; Assumptions'!$B$6, 0)</f>
        <v/>
      </c>
      <c r="R767" s="13" t="n">
        <v>1</v>
      </c>
      <c r="S767" s="14" t="n">
        <v>19.88</v>
      </c>
      <c r="T767" s="14" t="n">
        <v>19.54</v>
      </c>
      <c r="U767" s="26">
        <f>IF(X767&gt;='Methodology &amp; Assumptions'!$B$7, "Tier 1 Critical GIDA (Score ≥ 50.0)", IF(X767&gt;='Methodology &amp; Assumptions'!$B$8, "Tier 2 High GIDA (Score 40.0–49.9)", "Tier 3 Moderate GIDA (Score &lt; 40.0)"))</f>
        <v/>
      </c>
      <c r="V767" s="26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W767" s="28" t="n">
        <v>0.109</v>
      </c>
      <c r="X767" s="14" t="n">
        <v>52.42</v>
      </c>
      <c r="Y767" s="14">
        <f>ROUND(MIN(100, (X767/69.91)*100), 2)</f>
        <v/>
      </c>
    </row>
    <row r="768">
      <c r="A768" s="10" t="n">
        <v>1</v>
      </c>
      <c r="B768" s="10" t="n">
        <v>764</v>
      </c>
      <c r="C768" s="10" t="n">
        <v>764</v>
      </c>
      <c r="D768" s="10" t="inlineStr">
        <is>
          <t>PH0000764</t>
        </is>
      </c>
      <c r="E768" s="26" t="inlineStr">
        <is>
          <t>IV-A</t>
        </is>
      </c>
      <c r="F768" s="26" t="inlineStr">
        <is>
          <t>Laguna</t>
        </is>
      </c>
      <c r="G768" s="26" t="inlineStr">
        <is>
          <t>San Pablo City</t>
        </is>
      </c>
      <c r="H768" s="26" t="inlineStr">
        <is>
          <t>Barangay II-D (Pob.)</t>
        </is>
      </c>
      <c r="I768" s="27" t="n">
        <v>14.063045</v>
      </c>
      <c r="J768" s="27" t="n">
        <v>121.328122</v>
      </c>
      <c r="K768" s="10" t="inlineStr">
        <is>
          <t>R</t>
        </is>
      </c>
      <c r="L768" s="12" t="n">
        <v>2412</v>
      </c>
      <c r="M768" s="14" t="n">
        <v>3.3</v>
      </c>
      <c r="N768" s="12">
        <f>ROUND(L768/M768, 0)</f>
        <v/>
      </c>
      <c r="O768" s="12">
        <f>ROUND(N768*'Methodology &amp; Assumptions'!$B$5, 0)</f>
        <v/>
      </c>
      <c r="P768" s="10" t="inlineStr">
        <is>
          <t>Single Carrier (Band n50, 100MHz TDD)</t>
        </is>
      </c>
      <c r="Q768" s="13">
        <f>ROUNDUP(O768/'Methodology &amp; Assumptions'!$B$6, 0)</f>
        <v/>
      </c>
      <c r="R768" s="13" t="n">
        <v>1</v>
      </c>
      <c r="S768" s="14" t="n">
        <v>0.45</v>
      </c>
      <c r="T768" s="14" t="n">
        <v>0.1</v>
      </c>
      <c r="U768" s="26">
        <f>IF(X768&gt;='Methodology &amp; Assumptions'!$B$7, "Tier 1 Critical GIDA (Score ≥ 50.0)", IF(X768&gt;='Methodology &amp; Assumptions'!$B$8, "Tier 2 High GIDA (Score 40.0–49.9)", "Tier 3 Moderate GIDA (Score &lt; 40.0)"))</f>
        <v/>
      </c>
      <c r="V768" s="26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W768" s="28" t="n">
        <v>0.07200000000000001</v>
      </c>
      <c r="X768" s="14" t="n">
        <v>52.42</v>
      </c>
      <c r="Y768" s="14">
        <f>ROUND(MIN(100, (X768/69.91)*100), 2)</f>
        <v/>
      </c>
    </row>
    <row r="769">
      <c r="A769" s="10" t="n">
        <v>1</v>
      </c>
      <c r="B769" s="10" t="n">
        <v>765</v>
      </c>
      <c r="C769" s="10" t="n">
        <v>765</v>
      </c>
      <c r="D769" s="10" t="inlineStr">
        <is>
          <t>1380601104</t>
        </is>
      </c>
      <c r="E769" s="26" t="inlineStr">
        <is>
          <t>National Capital Region (NCR)</t>
        </is>
      </c>
      <c r="F769" s="26" t="inlineStr">
        <is>
          <t>First District (Not a Province)</t>
        </is>
      </c>
      <c r="G769" s="26" t="inlineStr">
        <is>
          <t>City of Manila</t>
        </is>
      </c>
      <c r="H769" s="26" t="inlineStr">
        <is>
          <t>Barangay 104</t>
        </is>
      </c>
      <c r="I769" s="27" t="n">
        <v>12.961828</v>
      </c>
      <c r="J769" s="27" t="n">
        <v>121.874402</v>
      </c>
      <c r="K769" s="10" t="inlineStr">
        <is>
          <t>U</t>
        </is>
      </c>
      <c r="L769" s="12" t="n">
        <v>5915</v>
      </c>
      <c r="M769" s="14" t="n">
        <v>3.9</v>
      </c>
      <c r="N769" s="12">
        <f>ROUND(L769/M769, 0)</f>
        <v/>
      </c>
      <c r="O769" s="12">
        <f>ROUND(N769*'Methodology &amp; Assumptions'!$B$5, 0)</f>
        <v/>
      </c>
      <c r="P769" s="10" t="inlineStr">
        <is>
          <t>Single Carrier (Band n50, 100MHz TDD)</t>
        </is>
      </c>
      <c r="Q769" s="13">
        <f>ROUNDUP(O769/'Methodology &amp; Assumptions'!$B$6, 0)</f>
        <v/>
      </c>
      <c r="R769" s="13" t="n">
        <v>1</v>
      </c>
      <c r="S769" s="14" t="n">
        <v>41.44</v>
      </c>
      <c r="T769" s="14" t="n">
        <v>42.99</v>
      </c>
      <c r="U769" s="26">
        <f>IF(X769&gt;='Methodology &amp; Assumptions'!$B$7, "Tier 1 Critical GIDA (Score ≥ 50.0)", IF(X769&gt;='Methodology &amp; Assumptions'!$B$8, "Tier 2 High GIDA (Score 40.0–49.9)", "Tier 3 Moderate GIDA (Score &lt; 40.0)"))</f>
        <v/>
      </c>
      <c r="V769" s="26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W769" s="28" t="n">
        <v>0.109</v>
      </c>
      <c r="X769" s="14" t="n">
        <v>52.41</v>
      </c>
      <c r="Y769" s="14">
        <f>ROUND(MIN(100, (X769/69.91)*100), 2)</f>
        <v/>
      </c>
    </row>
    <row r="770">
      <c r="A770" s="10" t="n">
        <v>1</v>
      </c>
      <c r="B770" s="10" t="n">
        <v>766</v>
      </c>
      <c r="C770" s="10" t="n">
        <v>766</v>
      </c>
      <c r="D770" s="10" t="inlineStr">
        <is>
          <t>1907010023</t>
        </is>
      </c>
      <c r="E770" s="26" t="inlineStr">
        <is>
          <t>Bangsamoro Autonomous Region In Muslim Mindanao (BARMM)</t>
        </is>
      </c>
      <c r="F770" s="26" t="inlineStr">
        <is>
          <t>Tawi-Tawi</t>
        </is>
      </c>
      <c r="G770" s="26" t="inlineStr">
        <is>
          <t>Sapa-Sapa</t>
        </is>
      </c>
      <c r="H770" s="26" t="inlineStr">
        <is>
          <t>Tup-tup Banaran</t>
        </is>
      </c>
      <c r="I770" s="27" t="n">
        <v>16.310812</v>
      </c>
      <c r="J770" s="27" t="n">
        <v>122.074794</v>
      </c>
      <c r="K770" s="10" t="inlineStr">
        <is>
          <t>R</t>
        </is>
      </c>
      <c r="L770" s="12" t="n">
        <v>1649</v>
      </c>
      <c r="M770" s="14" t="n">
        <v>5.8</v>
      </c>
      <c r="N770" s="12">
        <f>ROUND(L770/M770, 0)</f>
        <v/>
      </c>
      <c r="O770" s="12">
        <f>ROUND(N770*'Methodology &amp; Assumptions'!$B$5, 0)</f>
        <v/>
      </c>
      <c r="P770" s="10" t="inlineStr">
        <is>
          <t>Single Carrier (Band n50, 100MHz TDD)</t>
        </is>
      </c>
      <c r="Q770" s="13">
        <f>ROUNDUP(O770/'Methodology &amp; Assumptions'!$B$6, 0)</f>
        <v/>
      </c>
      <c r="R770" s="13" t="n">
        <v>1</v>
      </c>
      <c r="S770" s="14" t="n">
        <v>6.42</v>
      </c>
      <c r="T770" s="14" t="n">
        <v>5.18</v>
      </c>
      <c r="U770" s="26">
        <f>IF(X770&gt;='Methodology &amp; Assumptions'!$B$7, "Tier 1 Critical GIDA (Score ≥ 50.0)", IF(X770&gt;='Methodology &amp; Assumptions'!$B$8, "Tier 2 High GIDA (Score 40.0–49.9)", "Tier 3 Moderate GIDA (Score &lt; 40.0)"))</f>
        <v/>
      </c>
      <c r="V770" s="26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W770" s="28" t="n">
        <v>0.11</v>
      </c>
      <c r="X770" s="14" t="n">
        <v>52.4</v>
      </c>
      <c r="Y770" s="14">
        <f>ROUND(MIN(100, (X770/69.91)*100), 2)</f>
        <v/>
      </c>
    </row>
    <row r="771">
      <c r="A771" s="10" t="n">
        <v>1</v>
      </c>
      <c r="B771" s="10" t="n">
        <v>767</v>
      </c>
      <c r="C771" s="10" t="n">
        <v>767</v>
      </c>
      <c r="D771" s="10" t="inlineStr">
        <is>
          <t>1408102008</t>
        </is>
      </c>
      <c r="E771" s="26" t="inlineStr">
        <is>
          <t>Cordillera Administrative Region (CAR)</t>
        </is>
      </c>
      <c r="F771" s="26" t="inlineStr">
        <is>
          <t>Apayao</t>
        </is>
      </c>
      <c r="G771" s="26" t="inlineStr">
        <is>
          <t>Conner</t>
        </is>
      </c>
      <c r="H771" s="26" t="inlineStr">
        <is>
          <t>Karikitan</t>
        </is>
      </c>
      <c r="I771" s="27" t="n">
        <v>17.747832</v>
      </c>
      <c r="J771" s="27" t="n">
        <v>121.364616</v>
      </c>
      <c r="K771" s="10" t="inlineStr">
        <is>
          <t>R</t>
        </is>
      </c>
      <c r="L771" s="12" t="n">
        <v>1935</v>
      </c>
      <c r="M771" s="14" t="n">
        <v>4.2</v>
      </c>
      <c r="N771" s="12">
        <f>ROUND(L771/M771, 0)</f>
        <v/>
      </c>
      <c r="O771" s="12">
        <f>ROUND(N771*'Methodology &amp; Assumptions'!$B$5, 0)</f>
        <v/>
      </c>
      <c r="P771" s="10" t="inlineStr">
        <is>
          <t>Single Carrier (Band n50, 100MHz TDD)</t>
        </is>
      </c>
      <c r="Q771" s="13">
        <f>ROUNDUP(O771/'Methodology &amp; Assumptions'!$B$6, 0)</f>
        <v/>
      </c>
      <c r="R771" s="13" t="n">
        <v>1</v>
      </c>
      <c r="S771" s="14" t="n">
        <v>6.94</v>
      </c>
      <c r="T771" s="14" t="n">
        <v>0.07000000000000001</v>
      </c>
      <c r="U771" s="26">
        <f>IF(X771&gt;='Methodology &amp; Assumptions'!$B$7, "Tier 1 Critical GIDA (Score ≥ 50.0)", IF(X771&gt;='Methodology &amp; Assumptions'!$B$8, "Tier 2 High GIDA (Score 40.0–49.9)", "Tier 3 Moderate GIDA (Score &lt; 40.0)"))</f>
        <v/>
      </c>
      <c r="V771" s="26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W771" s="28" t="n">
        <v>0.109</v>
      </c>
      <c r="X771" s="14" t="n">
        <v>52.39</v>
      </c>
      <c r="Y771" s="14">
        <f>ROUND(MIN(100, (X771/69.91)*100), 2)</f>
        <v/>
      </c>
    </row>
    <row r="772">
      <c r="A772" s="10" t="n">
        <v>1</v>
      </c>
      <c r="B772" s="10" t="n">
        <v>768</v>
      </c>
      <c r="C772" s="10" t="n">
        <v>768</v>
      </c>
      <c r="D772" s="10" t="inlineStr">
        <is>
          <t>PH0000768</t>
        </is>
      </c>
      <c r="E772" s="26" t="inlineStr">
        <is>
          <t>III</t>
        </is>
      </c>
      <c r="F772" s="26" t="inlineStr">
        <is>
          <t>Nueva Ecija</t>
        </is>
      </c>
      <c r="G772" s="26" t="inlineStr">
        <is>
          <t>Cabanatuan City</t>
        </is>
      </c>
      <c r="H772" s="26" t="inlineStr">
        <is>
          <t>Sangitan</t>
        </is>
      </c>
      <c r="I772" s="27" t="n">
        <v>15.490277</v>
      </c>
      <c r="J772" s="27" t="n">
        <v>120.97039</v>
      </c>
      <c r="K772" s="10" t="inlineStr">
        <is>
          <t>R</t>
        </is>
      </c>
      <c r="L772" s="12" t="n">
        <v>2398</v>
      </c>
      <c r="M772" s="14" t="n">
        <v>3.5</v>
      </c>
      <c r="N772" s="12">
        <f>ROUND(L772/M772, 0)</f>
        <v/>
      </c>
      <c r="O772" s="12">
        <f>ROUND(N772*'Methodology &amp; Assumptions'!$B$5, 0)</f>
        <v/>
      </c>
      <c r="P772" s="10" t="inlineStr">
        <is>
          <t>Single Carrier (Band n50, 100MHz TDD)</t>
        </is>
      </c>
      <c r="Q772" s="13">
        <f>ROUNDUP(O772/'Methodology &amp; Assumptions'!$B$6, 0)</f>
        <v/>
      </c>
      <c r="R772" s="13" t="n">
        <v>1</v>
      </c>
      <c r="S772" s="14" t="n">
        <v>1.37</v>
      </c>
      <c r="T772" s="14" t="n">
        <v>0.52</v>
      </c>
      <c r="U772" s="26">
        <f>IF(X772&gt;='Methodology &amp; Assumptions'!$B$7, "Tier 1 Critical GIDA (Score ≥ 50.0)", IF(X772&gt;='Methodology &amp; Assumptions'!$B$8, "Tier 2 High GIDA (Score 40.0–49.9)", "Tier 3 Moderate GIDA (Score &lt; 40.0)"))</f>
        <v/>
      </c>
      <c r="V772" s="26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W772" s="28" t="n">
        <v>0.083</v>
      </c>
      <c r="X772" s="14" t="n">
        <v>52.38</v>
      </c>
      <c r="Y772" s="14">
        <f>ROUND(MIN(100, (X772/69.91)*100), 2)</f>
        <v/>
      </c>
    </row>
    <row r="773">
      <c r="A773" s="10" t="n">
        <v>1</v>
      </c>
      <c r="B773" s="10" t="n">
        <v>769</v>
      </c>
      <c r="C773" s="10" t="n">
        <v>769</v>
      </c>
      <c r="D773" s="10" t="inlineStr">
        <is>
          <t>PH0000769</t>
        </is>
      </c>
      <c r="E773" s="26" t="inlineStr">
        <is>
          <t>III</t>
        </is>
      </c>
      <c r="F773" s="26" t="inlineStr">
        <is>
          <t>Nueva Ecija</t>
        </is>
      </c>
      <c r="G773" s="26" t="inlineStr">
        <is>
          <t>Cabanatuan City</t>
        </is>
      </c>
      <c r="H773" s="26" t="inlineStr">
        <is>
          <t>Sanbermicristi (Pob.)</t>
        </is>
      </c>
      <c r="I773" s="27" t="n">
        <v>15.505371</v>
      </c>
      <c r="J773" s="27" t="n">
        <v>120.972798</v>
      </c>
      <c r="K773" s="10" t="inlineStr">
        <is>
          <t>R</t>
        </is>
      </c>
      <c r="L773" s="12" t="n">
        <v>2398</v>
      </c>
      <c r="M773" s="14" t="n">
        <v>3.5</v>
      </c>
      <c r="N773" s="12">
        <f>ROUND(L773/M773, 0)</f>
        <v/>
      </c>
      <c r="O773" s="12">
        <f>ROUND(N773*'Methodology &amp; Assumptions'!$B$5, 0)</f>
        <v/>
      </c>
      <c r="P773" s="10" t="inlineStr">
        <is>
          <t>Single Carrier (Band n50, 100MHz TDD)</t>
        </is>
      </c>
      <c r="Q773" s="13">
        <f>ROUNDUP(O773/'Methodology &amp; Assumptions'!$B$6, 0)</f>
        <v/>
      </c>
      <c r="R773" s="13" t="n">
        <v>1</v>
      </c>
      <c r="S773" s="14" t="n">
        <v>2.91</v>
      </c>
      <c r="T773" s="14" t="n">
        <v>0.01</v>
      </c>
      <c r="U773" s="26">
        <f>IF(X773&gt;='Methodology &amp; Assumptions'!$B$7, "Tier 1 Critical GIDA (Score ≥ 50.0)", IF(X773&gt;='Methodology &amp; Assumptions'!$B$8, "Tier 2 High GIDA (Score 40.0–49.9)", "Tier 3 Moderate GIDA (Score &lt; 40.0)"))</f>
        <v/>
      </c>
      <c r="V773" s="26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W773" s="28" t="n">
        <v>0.083</v>
      </c>
      <c r="X773" s="14" t="n">
        <v>52.38</v>
      </c>
      <c r="Y773" s="14">
        <f>ROUND(MIN(100, (X773/69.91)*100), 2)</f>
        <v/>
      </c>
    </row>
    <row r="774">
      <c r="A774" s="10" t="n">
        <v>1</v>
      </c>
      <c r="B774" s="10" t="n">
        <v>770</v>
      </c>
      <c r="C774" s="10" t="n">
        <v>770</v>
      </c>
      <c r="D774" s="10" t="inlineStr">
        <is>
          <t>0806418026</t>
        </is>
      </c>
      <c r="E774" s="26" t="inlineStr">
        <is>
          <t>Region VIII (Eastern Visayas)</t>
        </is>
      </c>
      <c r="F774" s="26" t="inlineStr">
        <is>
          <t>Southern Leyte</t>
        </is>
      </c>
      <c r="G774" s="26" t="inlineStr">
        <is>
          <t>Tomas Oppus</t>
        </is>
      </c>
      <c r="H774" s="26" t="inlineStr">
        <is>
          <t>San Roque</t>
        </is>
      </c>
      <c r="I774" s="27" t="n">
        <v>10.281441</v>
      </c>
      <c r="J774" s="27" t="n">
        <v>124.965717</v>
      </c>
      <c r="K774" s="10" t="inlineStr">
        <is>
          <t>R</t>
        </is>
      </c>
      <c r="L774" s="12" t="n">
        <v>347</v>
      </c>
      <c r="M774" s="14" t="n">
        <v>4.1</v>
      </c>
      <c r="N774" s="12">
        <f>ROUND(L774/M774, 0)</f>
        <v/>
      </c>
      <c r="O774" s="12">
        <f>ROUND(N774*'Methodology &amp; Assumptions'!$B$5, 0)</f>
        <v/>
      </c>
      <c r="P774" s="10" t="inlineStr">
        <is>
          <t>Single Carrier (Band n50, 100MHz TDD)</t>
        </is>
      </c>
      <c r="Q774" s="13">
        <f>ROUNDUP(O774/'Methodology &amp; Assumptions'!$B$6, 0)</f>
        <v/>
      </c>
      <c r="R774" s="13" t="n">
        <v>1</v>
      </c>
      <c r="S774" s="14" t="n">
        <v>11.78</v>
      </c>
      <c r="T774" s="14" t="n">
        <v>1.74</v>
      </c>
      <c r="U774" s="26">
        <f>IF(X774&gt;='Methodology &amp; Assumptions'!$B$7, "Tier 1 Critical GIDA (Score ≥ 50.0)", IF(X774&gt;='Methodology &amp; Assumptions'!$B$8, "Tier 2 High GIDA (Score 40.0–49.9)", "Tier 3 Moderate GIDA (Score &lt; 40.0)"))</f>
        <v/>
      </c>
      <c r="V774" s="26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W774" s="28" t="n">
        <v>0.237</v>
      </c>
      <c r="X774" s="14" t="n">
        <v>52.37</v>
      </c>
      <c r="Y774" s="14">
        <f>ROUND(MIN(100, (X774/69.91)*100), 2)</f>
        <v/>
      </c>
    </row>
    <row r="775">
      <c r="A775" s="10" t="n">
        <v>1</v>
      </c>
      <c r="B775" s="10" t="n">
        <v>771</v>
      </c>
      <c r="C775" s="10" t="n">
        <v>771</v>
      </c>
      <c r="D775" s="10" t="inlineStr">
        <is>
          <t>0806010019</t>
        </is>
      </c>
      <c r="E775" s="26" t="inlineStr">
        <is>
          <t>Region VIII (Eastern Visayas)</t>
        </is>
      </c>
      <c r="F775" s="26" t="inlineStr">
        <is>
          <t>Samar</t>
        </is>
      </c>
      <c r="G775" s="26" t="inlineStr">
        <is>
          <t>Marabut</t>
        </is>
      </c>
      <c r="H775" s="26" t="inlineStr">
        <is>
          <t>Malobago</t>
        </is>
      </c>
      <c r="I775" s="27" t="n">
        <v>11.115643</v>
      </c>
      <c r="J775" s="27" t="n">
        <v>125.244268</v>
      </c>
      <c r="K775" s="10" t="inlineStr">
        <is>
          <t>R</t>
        </is>
      </c>
      <c r="L775" s="12" t="n">
        <v>527</v>
      </c>
      <c r="M775" s="14" t="n">
        <v>4.1</v>
      </c>
      <c r="N775" s="12">
        <f>ROUND(L775/M775, 0)</f>
        <v/>
      </c>
      <c r="O775" s="12">
        <f>ROUND(N775*'Methodology &amp; Assumptions'!$B$5, 0)</f>
        <v/>
      </c>
      <c r="P775" s="10" t="inlineStr">
        <is>
          <t>Single Carrier (Band n50, 100MHz TDD)</t>
        </is>
      </c>
      <c r="Q775" s="13">
        <f>ROUNDUP(O775/'Methodology &amp; Assumptions'!$B$6, 0)</f>
        <v/>
      </c>
      <c r="R775" s="13" t="n">
        <v>1</v>
      </c>
      <c r="S775" s="14" t="n">
        <v>24.51</v>
      </c>
      <c r="T775" s="14" t="n">
        <v>23.47</v>
      </c>
      <c r="U775" s="26">
        <f>IF(X775&gt;='Methodology &amp; Assumptions'!$B$7, "Tier 1 Critical GIDA (Score ≥ 50.0)", IF(X775&gt;='Methodology &amp; Assumptions'!$B$8, "Tier 2 High GIDA (Score 40.0–49.9)", "Tier 3 Moderate GIDA (Score &lt; 40.0)"))</f>
        <v/>
      </c>
      <c r="V775" s="26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W775" s="28" t="n">
        <v>0.237</v>
      </c>
      <c r="X775" s="14" t="n">
        <v>52.36</v>
      </c>
      <c r="Y775" s="14">
        <f>ROUND(MIN(100, (X775/69.91)*100), 2)</f>
        <v/>
      </c>
    </row>
    <row r="776">
      <c r="A776" s="10" t="n">
        <v>1</v>
      </c>
      <c r="B776" s="10" t="n">
        <v>772</v>
      </c>
      <c r="C776" s="10" t="n">
        <v>772</v>
      </c>
      <c r="D776" s="10" t="inlineStr">
        <is>
          <t>PH0000772</t>
        </is>
      </c>
      <c r="E776" s="26" t="inlineStr">
        <is>
          <t>VIII</t>
        </is>
      </c>
      <c r="F776" s="26" t="inlineStr">
        <is>
          <t>Leyte</t>
        </is>
      </c>
      <c r="G776" s="26" t="inlineStr">
        <is>
          <t>Tacloban City</t>
        </is>
      </c>
      <c r="H776" s="26" t="inlineStr">
        <is>
          <t>Barangay 23-A</t>
        </is>
      </c>
      <c r="I776" s="27" t="n">
        <v>11.269914</v>
      </c>
      <c r="J776" s="27" t="n">
        <v>124.970084</v>
      </c>
      <c r="K776" s="10" t="inlineStr">
        <is>
          <t>R</t>
        </is>
      </c>
      <c r="L776" s="12" t="n">
        <v>2258</v>
      </c>
      <c r="M776" s="14" t="n">
        <v>3.8</v>
      </c>
      <c r="N776" s="12">
        <f>ROUND(L776/M776, 0)</f>
        <v/>
      </c>
      <c r="O776" s="12">
        <f>ROUND(N776*'Methodology &amp; Assumptions'!$B$5, 0)</f>
        <v/>
      </c>
      <c r="P776" s="10" t="inlineStr">
        <is>
          <t>Single Carrier (Band n50, 100MHz TDD)</t>
        </is>
      </c>
      <c r="Q776" s="13">
        <f>ROUNDUP(O776/'Methodology &amp; Assumptions'!$B$6, 0)</f>
        <v/>
      </c>
      <c r="R776" s="13" t="n">
        <v>1</v>
      </c>
      <c r="S776" s="14" t="n">
        <v>4.88</v>
      </c>
      <c r="T776" s="14" t="n">
        <v>7.69</v>
      </c>
      <c r="U776" s="26">
        <f>IF(X776&gt;='Methodology &amp; Assumptions'!$B$7, "Tier 1 Critical GIDA (Score ≥ 50.0)", IF(X776&gt;='Methodology &amp; Assumptions'!$B$8, "Tier 2 High GIDA (Score 40.0–49.9)", "Tier 3 Moderate GIDA (Score &lt; 40.0)"))</f>
        <v/>
      </c>
      <c r="V776" s="26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W776" s="28" t="n">
        <v>0.222</v>
      </c>
      <c r="X776" s="14" t="n">
        <v>52.36</v>
      </c>
      <c r="Y776" s="14">
        <f>ROUND(MIN(100, (X776/69.91)*100), 2)</f>
        <v/>
      </c>
    </row>
    <row r="777">
      <c r="A777" s="10" t="n">
        <v>1</v>
      </c>
      <c r="B777" s="10" t="n">
        <v>773</v>
      </c>
      <c r="C777" s="10" t="n">
        <v>773</v>
      </c>
      <c r="D777" s="10" t="inlineStr">
        <is>
          <t>PH0000773</t>
        </is>
      </c>
      <c r="E777" s="26" t="inlineStr">
        <is>
          <t>VIII</t>
        </is>
      </c>
      <c r="F777" s="26" t="inlineStr">
        <is>
          <t>Leyte</t>
        </is>
      </c>
      <c r="G777" s="26" t="inlineStr">
        <is>
          <t>Tacloban City</t>
        </is>
      </c>
      <c r="H777" s="26" t="inlineStr">
        <is>
          <t>Barangay 14</t>
        </is>
      </c>
      <c r="I777" s="27" t="n">
        <v>11.25816</v>
      </c>
      <c r="J777" s="27" t="n">
        <v>124.987273</v>
      </c>
      <c r="K777" s="10" t="inlineStr">
        <is>
          <t>R</t>
        </is>
      </c>
      <c r="L777" s="12" t="n">
        <v>2258</v>
      </c>
      <c r="M777" s="14" t="n">
        <v>3.8</v>
      </c>
      <c r="N777" s="12">
        <f>ROUND(L777/M777, 0)</f>
        <v/>
      </c>
      <c r="O777" s="12">
        <f>ROUND(N777*'Methodology &amp; Assumptions'!$B$5, 0)</f>
        <v/>
      </c>
      <c r="P777" s="10" t="inlineStr">
        <is>
          <t>Single Carrier (Band n50, 100MHz TDD)</t>
        </is>
      </c>
      <c r="Q777" s="13">
        <f>ROUNDUP(O777/'Methodology &amp; Assumptions'!$B$6, 0)</f>
        <v/>
      </c>
      <c r="R777" s="13" t="n">
        <v>1</v>
      </c>
      <c r="S777" s="14" t="n">
        <v>2.64</v>
      </c>
      <c r="T777" s="14" t="n">
        <v>5.62</v>
      </c>
      <c r="U777" s="26">
        <f>IF(X777&gt;='Methodology &amp; Assumptions'!$B$7, "Tier 1 Critical GIDA (Score ≥ 50.0)", IF(X777&gt;='Methodology &amp; Assumptions'!$B$8, "Tier 2 High GIDA (Score 40.0–49.9)", "Tier 3 Moderate GIDA (Score &lt; 40.0)"))</f>
        <v/>
      </c>
      <c r="V777" s="26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W777" s="28" t="n">
        <v>0.222</v>
      </c>
      <c r="X777" s="14" t="n">
        <v>52.35</v>
      </c>
      <c r="Y777" s="14">
        <f>ROUND(MIN(100, (X777/69.91)*100), 2)</f>
        <v/>
      </c>
    </row>
    <row r="778">
      <c r="A778" s="10" t="n">
        <v>1</v>
      </c>
      <c r="B778" s="10" t="n">
        <v>774</v>
      </c>
      <c r="C778" s="10" t="n">
        <v>774</v>
      </c>
      <c r="D778" s="10" t="inlineStr">
        <is>
          <t>PH0000774</t>
        </is>
      </c>
      <c r="E778" s="26" t="inlineStr">
        <is>
          <t>VI</t>
        </is>
      </c>
      <c r="F778" s="26" t="inlineStr">
        <is>
          <t>Iloilo</t>
        </is>
      </c>
      <c r="G778" s="26" t="inlineStr">
        <is>
          <t>Iloilo City</t>
        </is>
      </c>
      <c r="H778" s="26" t="inlineStr">
        <is>
          <t>Habog-habog Salvacion</t>
        </is>
      </c>
      <c r="I778" s="27" t="n">
        <v>10.703866</v>
      </c>
      <c r="J778" s="27" t="n">
        <v>122.449863</v>
      </c>
      <c r="K778" s="10" t="inlineStr">
        <is>
          <t>R</t>
        </is>
      </c>
      <c r="L778" s="12" t="n">
        <v>2230</v>
      </c>
      <c r="M778" s="14" t="n">
        <v>3.8</v>
      </c>
      <c r="N778" s="12">
        <f>ROUND(L778/M778, 0)</f>
        <v/>
      </c>
      <c r="O778" s="12">
        <f>ROUND(N778*'Methodology &amp; Assumptions'!$B$5, 0)</f>
        <v/>
      </c>
      <c r="P778" s="10" t="inlineStr">
        <is>
          <t>Single Carrier (Band n50, 100MHz TDD)</t>
        </is>
      </c>
      <c r="Q778" s="13">
        <f>ROUNDUP(O778/'Methodology &amp; Assumptions'!$B$6, 0)</f>
        <v/>
      </c>
      <c r="R778" s="13" t="n">
        <v>1</v>
      </c>
      <c r="S778" s="14" t="n">
        <v>3.53</v>
      </c>
      <c r="T778" s="14" t="n">
        <v>1.65</v>
      </c>
      <c r="U778" s="26">
        <f>IF(X778&gt;='Methodology &amp; Assumptions'!$B$7, "Tier 1 Critical GIDA (Score ≥ 50.0)", IF(X778&gt;='Methodology &amp; Assumptions'!$B$8, "Tier 2 High GIDA (Score 40.0–49.9)", "Tier 3 Moderate GIDA (Score &lt; 40.0)"))</f>
        <v/>
      </c>
      <c r="V778" s="26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W778" s="28" t="n">
        <v>0.156</v>
      </c>
      <c r="X778" s="14" t="n">
        <v>52.35</v>
      </c>
      <c r="Y778" s="14">
        <f>ROUND(MIN(100, (X778/69.91)*100), 2)</f>
        <v/>
      </c>
    </row>
    <row r="779">
      <c r="A779" s="10" t="n">
        <v>1</v>
      </c>
      <c r="B779" s="10" t="n">
        <v>775</v>
      </c>
      <c r="C779" s="10" t="n">
        <v>775</v>
      </c>
      <c r="D779" s="10" t="inlineStr">
        <is>
          <t>PH0000775</t>
        </is>
      </c>
      <c r="E779" s="26" t="inlineStr">
        <is>
          <t>VI</t>
        </is>
      </c>
      <c r="F779" s="26" t="inlineStr">
        <is>
          <t>Iloilo</t>
        </is>
      </c>
      <c r="G779" s="26" t="inlineStr">
        <is>
          <t>Iloilo City</t>
        </is>
      </c>
      <c r="H779" s="26" t="inlineStr">
        <is>
          <t>Bantud</t>
        </is>
      </c>
      <c r="I779" s="27" t="n">
        <v>10.785717</v>
      </c>
      <c r="J779" s="27" t="n">
        <v>122.61766</v>
      </c>
      <c r="K779" s="10" t="inlineStr">
        <is>
          <t>R</t>
        </is>
      </c>
      <c r="L779" s="12" t="n">
        <v>2230</v>
      </c>
      <c r="M779" s="14" t="n">
        <v>3.8</v>
      </c>
      <c r="N779" s="12">
        <f>ROUND(L779/M779, 0)</f>
        <v/>
      </c>
      <c r="O779" s="12">
        <f>ROUND(N779*'Methodology &amp; Assumptions'!$B$5, 0)</f>
        <v/>
      </c>
      <c r="P779" s="10" t="inlineStr">
        <is>
          <t>Single Carrier (Band n50, 100MHz TDD)</t>
        </is>
      </c>
      <c r="Q779" s="13">
        <f>ROUNDUP(O779/'Methodology &amp; Assumptions'!$B$6, 0)</f>
        <v/>
      </c>
      <c r="R779" s="13" t="n">
        <v>1</v>
      </c>
      <c r="S779" s="14" t="n">
        <v>2.11</v>
      </c>
      <c r="T779" s="14" t="n">
        <v>2.04</v>
      </c>
      <c r="U779" s="26">
        <f>IF(X779&gt;='Methodology &amp; Assumptions'!$B$7, "Tier 1 Critical GIDA (Score ≥ 50.0)", IF(X779&gt;='Methodology &amp; Assumptions'!$B$8, "Tier 2 High GIDA (Score 40.0–49.9)", "Tier 3 Moderate GIDA (Score &lt; 40.0)"))</f>
        <v/>
      </c>
      <c r="V779" s="26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W779" s="28" t="n">
        <v>0.156</v>
      </c>
      <c r="X779" s="14" t="n">
        <v>52.33</v>
      </c>
      <c r="Y779" s="14">
        <f>ROUND(MIN(100, (X779/69.91)*100), 2)</f>
        <v/>
      </c>
    </row>
    <row r="780">
      <c r="A780" s="10" t="n">
        <v>1</v>
      </c>
      <c r="B780" s="10" t="n">
        <v>776</v>
      </c>
      <c r="C780" s="10" t="n">
        <v>776</v>
      </c>
      <c r="D780" s="10" t="inlineStr">
        <is>
          <t>1004312008</t>
        </is>
      </c>
      <c r="E780" s="26" t="inlineStr">
        <is>
          <t>Region X (Northern Mindanao)</t>
        </is>
      </c>
      <c r="F780" s="26" t="inlineStr">
        <is>
          <t>Misamis Oriental</t>
        </is>
      </c>
      <c r="G780" s="26" t="inlineStr">
        <is>
          <t>Kinoguitan</t>
        </is>
      </c>
      <c r="H780" s="26" t="inlineStr">
        <is>
          <t>Kagumahan</t>
        </is>
      </c>
      <c r="I780" s="27" t="n">
        <v>8.980935000000001</v>
      </c>
      <c r="J780" s="27" t="n">
        <v>124.815834</v>
      </c>
      <c r="K780" s="10" t="inlineStr">
        <is>
          <t>R</t>
        </is>
      </c>
      <c r="L780" s="12" t="n">
        <v>250</v>
      </c>
      <c r="M780" s="14" t="n">
        <v>3.9</v>
      </c>
      <c r="N780" s="12">
        <f>ROUND(L780/M780, 0)</f>
        <v/>
      </c>
      <c r="O780" s="12">
        <f>ROUND(N780*'Methodology &amp; Assumptions'!$B$5, 0)</f>
        <v/>
      </c>
      <c r="P780" s="10" t="inlineStr">
        <is>
          <t>Single Carrier (Band n50, 100MHz TDD)</t>
        </is>
      </c>
      <c r="Q780" s="13">
        <f>ROUNDUP(O780/'Methodology &amp; Assumptions'!$B$6, 0)</f>
        <v/>
      </c>
      <c r="R780" s="13" t="n">
        <v>1</v>
      </c>
      <c r="S780" s="14" t="n">
        <v>2.51</v>
      </c>
      <c r="T780" s="14" t="n">
        <v>1.79</v>
      </c>
      <c r="U780" s="26">
        <f>IF(X780&gt;='Methodology &amp; Assumptions'!$B$7, "Tier 1 Critical GIDA (Score ≥ 50.0)", IF(X780&gt;='Methodology &amp; Assumptions'!$B$8, "Tier 2 High GIDA (Score 40.0–49.9)", "Tier 3 Moderate GIDA (Score &lt; 40.0)"))</f>
        <v/>
      </c>
      <c r="V780" s="26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W780" s="28" t="n">
        <v>0.174</v>
      </c>
      <c r="X780" s="14" t="n">
        <v>52.33</v>
      </c>
      <c r="Y780" s="14">
        <f>ROUND(MIN(100, (X780/69.91)*100), 2)</f>
        <v/>
      </c>
    </row>
    <row r="781">
      <c r="A781" s="10" t="n">
        <v>1</v>
      </c>
      <c r="B781" s="10" t="n">
        <v>777</v>
      </c>
      <c r="C781" s="10" t="n">
        <v>777</v>
      </c>
      <c r="D781" s="10" t="inlineStr">
        <is>
          <t>1380601102</t>
        </is>
      </c>
      <c r="E781" s="26" t="inlineStr">
        <is>
          <t>National Capital Region (NCR)</t>
        </is>
      </c>
      <c r="F781" s="26" t="inlineStr">
        <is>
          <t>First District (Not a Province)</t>
        </is>
      </c>
      <c r="G781" s="26" t="inlineStr">
        <is>
          <t>City of Manila</t>
        </is>
      </c>
      <c r="H781" s="26" t="inlineStr">
        <is>
          <t>Barangay 102</t>
        </is>
      </c>
      <c r="I781" s="27" t="n">
        <v>12.751687</v>
      </c>
      <c r="J781" s="27" t="n">
        <v>121.756712</v>
      </c>
      <c r="K781" s="10" t="inlineStr">
        <is>
          <t>U</t>
        </is>
      </c>
      <c r="L781" s="12" t="n">
        <v>4283</v>
      </c>
      <c r="M781" s="14" t="n">
        <v>3.9</v>
      </c>
      <c r="N781" s="12">
        <f>ROUND(L781/M781, 0)</f>
        <v/>
      </c>
      <c r="O781" s="12">
        <f>ROUND(N781*'Methodology &amp; Assumptions'!$B$5, 0)</f>
        <v/>
      </c>
      <c r="P781" s="10" t="inlineStr">
        <is>
          <t>Single Carrier (Band n50, 100MHz TDD)</t>
        </is>
      </c>
      <c r="Q781" s="13">
        <f>ROUNDUP(O781/'Methodology &amp; Assumptions'!$B$6, 0)</f>
        <v/>
      </c>
      <c r="R781" s="13" t="n">
        <v>1</v>
      </c>
      <c r="S781" s="14" t="n">
        <v>27.65</v>
      </c>
      <c r="T781" s="14" t="n">
        <v>27.64</v>
      </c>
      <c r="U781" s="26">
        <f>IF(X781&gt;='Methodology &amp; Assumptions'!$B$7, "Tier 1 Critical GIDA (Score ≥ 50.0)", IF(X781&gt;='Methodology &amp; Assumptions'!$B$8, "Tier 2 High GIDA (Score 40.0–49.9)", "Tier 3 Moderate GIDA (Score &lt; 40.0)"))</f>
        <v/>
      </c>
      <c r="V781" s="26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W781" s="28" t="n">
        <v>0.109</v>
      </c>
      <c r="X781" s="14" t="n">
        <v>52.33</v>
      </c>
      <c r="Y781" s="14">
        <f>ROUND(MIN(100, (X781/69.91)*100), 2)</f>
        <v/>
      </c>
    </row>
    <row r="782">
      <c r="A782" s="10" t="n">
        <v>1</v>
      </c>
      <c r="B782" s="10" t="n">
        <v>778</v>
      </c>
      <c r="C782" s="10" t="n">
        <v>778</v>
      </c>
      <c r="D782" s="10" t="inlineStr">
        <is>
          <t>1380601103</t>
        </is>
      </c>
      <c r="E782" s="26" t="inlineStr">
        <is>
          <t>National Capital Region (NCR)</t>
        </is>
      </c>
      <c r="F782" s="26" t="inlineStr">
        <is>
          <t>First District (Not a Province)</t>
        </is>
      </c>
      <c r="G782" s="26" t="inlineStr">
        <is>
          <t>City of Manila</t>
        </is>
      </c>
      <c r="H782" s="26" t="inlineStr">
        <is>
          <t>Barangay 103</t>
        </is>
      </c>
      <c r="I782" s="27" t="n">
        <v>12.986573</v>
      </c>
      <c r="J782" s="27" t="n">
        <v>121.697236</v>
      </c>
      <c r="K782" s="10" t="inlineStr">
        <is>
          <t>U</t>
        </is>
      </c>
      <c r="L782" s="12" t="n">
        <v>4917</v>
      </c>
      <c r="M782" s="14" t="n">
        <v>3.9</v>
      </c>
      <c r="N782" s="12">
        <f>ROUND(L782/M782, 0)</f>
        <v/>
      </c>
      <c r="O782" s="12">
        <f>ROUND(N782*'Methodology &amp; Assumptions'!$B$5, 0)</f>
        <v/>
      </c>
      <c r="P782" s="10" t="inlineStr">
        <is>
          <t>Single Carrier (Band n50, 100MHz TDD)</t>
        </is>
      </c>
      <c r="Q782" s="13">
        <f>ROUNDUP(O782/'Methodology &amp; Assumptions'!$B$6, 0)</f>
        <v/>
      </c>
      <c r="R782" s="13" t="n">
        <v>1</v>
      </c>
      <c r="S782" s="14" t="n">
        <v>22.38</v>
      </c>
      <c r="T782" s="14" t="n">
        <v>23.72</v>
      </c>
      <c r="U782" s="26">
        <f>IF(X782&gt;='Methodology &amp; Assumptions'!$B$7, "Tier 1 Critical GIDA (Score ≥ 50.0)", IF(X782&gt;='Methodology &amp; Assumptions'!$B$8, "Tier 2 High GIDA (Score 40.0–49.9)", "Tier 3 Moderate GIDA (Score &lt; 40.0)"))</f>
        <v/>
      </c>
      <c r="V782" s="26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W782" s="28" t="n">
        <v>0.109</v>
      </c>
      <c r="X782" s="14" t="n">
        <v>52.32</v>
      </c>
      <c r="Y782" s="14">
        <f>ROUND(MIN(100, (X782/69.91)*100), 2)</f>
        <v/>
      </c>
    </row>
    <row r="783">
      <c r="A783" s="10" t="n">
        <v>1</v>
      </c>
      <c r="B783" s="10" t="n">
        <v>779</v>
      </c>
      <c r="C783" s="10" t="n">
        <v>779</v>
      </c>
      <c r="D783" s="10" t="inlineStr">
        <is>
          <t>1381701004</t>
        </is>
      </c>
      <c r="E783" s="26" t="inlineStr">
        <is>
          <t>National Capital Region (NCR)</t>
        </is>
      </c>
      <c r="F783" s="26" t="inlineStr">
        <is>
          <t>Fourth District (Not a Province)</t>
        </is>
      </c>
      <c r="G783" s="26" t="inlineStr">
        <is>
          <t>Pateros</t>
        </is>
      </c>
      <c r="H783" s="26" t="inlineStr">
        <is>
          <t>Poblacion</t>
        </is>
      </c>
      <c r="I783" s="27" t="n">
        <v>14.542293</v>
      </c>
      <c r="J783" s="27" t="n">
        <v>121.071491</v>
      </c>
      <c r="K783" s="10" t="inlineStr">
        <is>
          <t>U</t>
        </is>
      </c>
      <c r="L783" s="12" t="n">
        <v>2064</v>
      </c>
      <c r="M783" s="14" t="n">
        <v>3.8</v>
      </c>
      <c r="N783" s="12">
        <f>ROUND(L783/M783, 0)</f>
        <v/>
      </c>
      <c r="O783" s="12">
        <f>ROUND(N783*'Methodology &amp; Assumptions'!$B$5, 0)</f>
        <v/>
      </c>
      <c r="P783" s="10" t="inlineStr">
        <is>
          <t>Single Carrier (Band n50, 100MHz TDD)</t>
        </is>
      </c>
      <c r="Q783" s="13">
        <f>ROUNDUP(O783/'Methodology &amp; Assumptions'!$B$6, 0)</f>
        <v/>
      </c>
      <c r="R783" s="13" t="n">
        <v>1</v>
      </c>
      <c r="S783" s="14" t="n">
        <v>0.43</v>
      </c>
      <c r="T783" s="14" t="n">
        <v>0.44</v>
      </c>
      <c r="U783" s="26">
        <f>IF(X783&gt;='Methodology &amp; Assumptions'!$B$7, "Tier 1 Critical GIDA (Score ≥ 50.0)", IF(X783&gt;='Methodology &amp; Assumptions'!$B$8, "Tier 2 High GIDA (Score 40.0–49.9)", "Tier 3 Moderate GIDA (Score &lt; 40.0)"))</f>
        <v/>
      </c>
      <c r="V783" s="26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W783" s="28" t="n">
        <v>0.109</v>
      </c>
      <c r="X783" s="14" t="n">
        <v>52.31</v>
      </c>
      <c r="Y783" s="14">
        <f>ROUND(MIN(100, (X783/69.91)*100), 2)</f>
        <v/>
      </c>
    </row>
    <row r="784">
      <c r="A784" s="10" t="n">
        <v>1</v>
      </c>
      <c r="B784" s="10" t="n">
        <v>780</v>
      </c>
      <c r="C784" s="10" t="n">
        <v>780</v>
      </c>
      <c r="D784" s="10" t="inlineStr">
        <is>
          <t>1380400018</t>
        </is>
      </c>
      <c r="E784" s="26" t="inlineStr">
        <is>
          <t>National Capital Region (NCR)</t>
        </is>
      </c>
      <c r="F784" s="26" t="inlineStr">
        <is>
          <t>Third District (Not a Province)</t>
        </is>
      </c>
      <c r="G784" s="26" t="inlineStr">
        <is>
          <t>City of Malabon</t>
        </is>
      </c>
      <c r="H784" s="26" t="inlineStr">
        <is>
          <t>Tañong</t>
        </is>
      </c>
      <c r="I784" s="27" t="n">
        <v>14.673059</v>
      </c>
      <c r="J784" s="27" t="n">
        <v>120.964362</v>
      </c>
      <c r="K784" s="10" t="inlineStr">
        <is>
          <t>U</t>
        </is>
      </c>
      <c r="L784" s="12" t="n">
        <v>14818</v>
      </c>
      <c r="M784" s="14" t="n">
        <v>3.7</v>
      </c>
      <c r="N784" s="12">
        <f>ROUND(L784/M784, 0)</f>
        <v/>
      </c>
      <c r="O784" s="12">
        <f>ROUND(N784*'Methodology &amp; Assumptions'!$B$5, 0)</f>
        <v/>
      </c>
      <c r="P784" s="10" t="inlineStr">
        <is>
          <t>Single Carrier (Band n50, 100MHz TDD)</t>
        </is>
      </c>
      <c r="Q784" s="13">
        <f>ROUNDUP(O784/'Methodology &amp; Assumptions'!$B$6, 0)</f>
        <v/>
      </c>
      <c r="R784" s="13" t="n">
        <v>1</v>
      </c>
      <c r="S784" s="14" t="n">
        <v>0.59</v>
      </c>
      <c r="T784" s="14" t="n">
        <v>0.4</v>
      </c>
      <c r="U784" s="26">
        <f>IF(X784&gt;='Methodology &amp; Assumptions'!$B$7, "Tier 1 Critical GIDA (Score ≥ 50.0)", IF(X784&gt;='Methodology &amp; Assumptions'!$B$8, "Tier 2 High GIDA (Score 40.0–49.9)", "Tier 3 Moderate GIDA (Score &lt; 40.0)"))</f>
        <v/>
      </c>
      <c r="V784" s="26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W784" s="28" t="n">
        <v>0.109</v>
      </c>
      <c r="X784" s="14" t="n">
        <v>52.29</v>
      </c>
      <c r="Y784" s="14">
        <f>ROUND(MIN(100, (X784/69.91)*100), 2)</f>
        <v/>
      </c>
    </row>
    <row r="785">
      <c r="A785" s="10" t="n">
        <v>1</v>
      </c>
      <c r="B785" s="10" t="n">
        <v>781</v>
      </c>
      <c r="C785" s="10" t="n">
        <v>781</v>
      </c>
      <c r="D785" s="10" t="inlineStr">
        <is>
          <t>1380601011</t>
        </is>
      </c>
      <c r="E785" s="26" t="inlineStr">
        <is>
          <t>National Capital Region (NCR)</t>
        </is>
      </c>
      <c r="F785" s="26" t="inlineStr">
        <is>
          <t>First District (Not a Province)</t>
        </is>
      </c>
      <c r="G785" s="26" t="inlineStr">
        <is>
          <t>City of Manila</t>
        </is>
      </c>
      <c r="H785" s="26" t="inlineStr">
        <is>
          <t>Barangay 11</t>
        </is>
      </c>
      <c r="I785" s="27" t="n">
        <v>12.85117</v>
      </c>
      <c r="J785" s="27" t="n">
        <v>121.906014</v>
      </c>
      <c r="K785" s="10" t="inlineStr">
        <is>
          <t>U</t>
        </is>
      </c>
      <c r="L785" s="12" t="n">
        <v>2842</v>
      </c>
      <c r="M785" s="14" t="n">
        <v>3.9</v>
      </c>
      <c r="N785" s="12">
        <f>ROUND(L785/M785, 0)</f>
        <v/>
      </c>
      <c r="O785" s="12">
        <f>ROUND(N785*'Methodology &amp; Assumptions'!$B$5, 0)</f>
        <v/>
      </c>
      <c r="P785" s="10" t="inlineStr">
        <is>
          <t>Single Carrier (Band n50, 100MHz TDD)</t>
        </is>
      </c>
      <c r="Q785" s="13">
        <f>ROUNDUP(O785/'Methodology &amp; Assumptions'!$B$6, 0)</f>
        <v/>
      </c>
      <c r="R785" s="13" t="n">
        <v>1</v>
      </c>
      <c r="S785" s="14" t="n">
        <v>46.94</v>
      </c>
      <c r="T785" s="14" t="n">
        <v>46.87</v>
      </c>
      <c r="U785" s="26">
        <f>IF(X785&gt;='Methodology &amp; Assumptions'!$B$7, "Tier 1 Critical GIDA (Score ≥ 50.0)", IF(X785&gt;='Methodology &amp; Assumptions'!$B$8, "Tier 2 High GIDA (Score 40.0–49.9)", "Tier 3 Moderate GIDA (Score &lt; 40.0)"))</f>
        <v/>
      </c>
      <c r="V785" s="26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W785" s="28" t="n">
        <v>0.109</v>
      </c>
      <c r="X785" s="14" t="n">
        <v>52.28</v>
      </c>
      <c r="Y785" s="14">
        <f>ROUND(MIN(100, (X785/69.91)*100), 2)</f>
        <v/>
      </c>
    </row>
    <row r="786">
      <c r="A786" s="10" t="n">
        <v>1</v>
      </c>
      <c r="B786" s="10" t="n">
        <v>782</v>
      </c>
      <c r="C786" s="10" t="n">
        <v>782</v>
      </c>
      <c r="D786" s="10" t="inlineStr">
        <is>
          <t>PH0000782</t>
        </is>
      </c>
      <c r="E786" s="26" t="inlineStr">
        <is>
          <t>X</t>
        </is>
      </c>
      <c r="F786" s="26" t="inlineStr">
        <is>
          <t>Misamis Oriental</t>
        </is>
      </c>
      <c r="G786" s="26" t="inlineStr">
        <is>
          <t>Cagayan De Oro City</t>
        </is>
      </c>
      <c r="H786" s="26" t="inlineStr">
        <is>
          <t>Carmen</t>
        </is>
      </c>
      <c r="I786" s="27" t="n">
        <v>8.468330999999999</v>
      </c>
      <c r="J786" s="27" t="n">
        <v>124.631411</v>
      </c>
      <c r="K786" s="10" t="inlineStr">
        <is>
          <t>R</t>
        </is>
      </c>
      <c r="L786" s="12" t="n">
        <v>2272</v>
      </c>
      <c r="M786" s="14" t="n">
        <v>3.9</v>
      </c>
      <c r="N786" s="12">
        <f>ROUND(L786/M786, 0)</f>
        <v/>
      </c>
      <c r="O786" s="12">
        <f>ROUND(N786*'Methodology &amp; Assumptions'!$B$5, 0)</f>
        <v/>
      </c>
      <c r="P786" s="10" t="inlineStr">
        <is>
          <t>Single Carrier (Band n50, 100MHz TDD)</t>
        </is>
      </c>
      <c r="Q786" s="13">
        <f>ROUNDUP(O786/'Methodology &amp; Assumptions'!$B$6, 0)</f>
        <v/>
      </c>
      <c r="R786" s="13" t="n">
        <v>1</v>
      </c>
      <c r="S786" s="14" t="n">
        <v>1</v>
      </c>
      <c r="T786" s="14" t="n">
        <v>1.66</v>
      </c>
      <c r="U786" s="26">
        <f>IF(X786&gt;='Methodology &amp; Assumptions'!$B$7, "Tier 1 Critical GIDA (Score ≥ 50.0)", IF(X786&gt;='Methodology &amp; Assumptions'!$B$8, "Tier 2 High GIDA (Score 40.0–49.9)", "Tier 3 Moderate GIDA (Score &lt; 40.0)"))</f>
        <v/>
      </c>
      <c r="V786" s="26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W786" s="28" t="n">
        <v>0.234</v>
      </c>
      <c r="X786" s="14" t="n">
        <v>52.28</v>
      </c>
      <c r="Y786" s="14">
        <f>ROUND(MIN(100, (X786/69.91)*100), 2)</f>
        <v/>
      </c>
    </row>
    <row r="787">
      <c r="A787" s="10" t="n">
        <v>1</v>
      </c>
      <c r="B787" s="10" t="n">
        <v>783</v>
      </c>
      <c r="C787" s="10" t="n">
        <v>783</v>
      </c>
      <c r="D787" s="10" t="inlineStr">
        <is>
          <t>PH0000783</t>
        </is>
      </c>
      <c r="E787" s="26" t="inlineStr">
        <is>
          <t>VI</t>
        </is>
      </c>
      <c r="F787" s="26" t="inlineStr">
        <is>
          <t>Iloilo</t>
        </is>
      </c>
      <c r="G787" s="26" t="inlineStr">
        <is>
          <t>Iloilo City</t>
        </is>
      </c>
      <c r="H787" s="26" t="inlineStr">
        <is>
          <t>Fajardo</t>
        </is>
      </c>
      <c r="I787" s="27" t="n">
        <v>10.611639</v>
      </c>
      <c r="J787" s="27" t="n">
        <v>122.549298</v>
      </c>
      <c r="K787" s="10" t="inlineStr">
        <is>
          <t>R</t>
        </is>
      </c>
      <c r="L787" s="12" t="n">
        <v>2230</v>
      </c>
      <c r="M787" s="14" t="n">
        <v>3.8</v>
      </c>
      <c r="N787" s="12">
        <f>ROUND(L787/M787, 0)</f>
        <v/>
      </c>
      <c r="O787" s="12">
        <f>ROUND(N787*'Methodology &amp; Assumptions'!$B$5, 0)</f>
        <v/>
      </c>
      <c r="P787" s="10" t="inlineStr">
        <is>
          <t>Single Carrier (Band n50, 100MHz TDD)</t>
        </is>
      </c>
      <c r="Q787" s="13">
        <f>ROUNDUP(O787/'Methodology &amp; Assumptions'!$B$6, 0)</f>
        <v/>
      </c>
      <c r="R787" s="13" t="n">
        <v>1</v>
      </c>
      <c r="S787" s="14" t="n">
        <v>8.82</v>
      </c>
      <c r="T787" s="14" t="n">
        <v>10.25</v>
      </c>
      <c r="U787" s="26">
        <f>IF(X787&gt;='Methodology &amp; Assumptions'!$B$7, "Tier 1 Critical GIDA (Score ≥ 50.0)", IF(X787&gt;='Methodology &amp; Assumptions'!$B$8, "Tier 2 High GIDA (Score 40.0–49.9)", "Tier 3 Moderate GIDA (Score &lt; 40.0)"))</f>
        <v/>
      </c>
      <c r="V787" s="26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W787" s="28" t="n">
        <v>0.156</v>
      </c>
      <c r="X787" s="14" t="n">
        <v>52.27</v>
      </c>
      <c r="Y787" s="14">
        <f>ROUND(MIN(100, (X787/69.91)*100), 2)</f>
        <v/>
      </c>
    </row>
    <row r="788">
      <c r="A788" s="10" t="n">
        <v>1</v>
      </c>
      <c r="B788" s="10" t="n">
        <v>784</v>
      </c>
      <c r="C788" s="10" t="n">
        <v>784</v>
      </c>
      <c r="D788" s="10" t="inlineStr">
        <is>
          <t>0102901011</t>
        </is>
      </c>
      <c r="E788" s="26" t="inlineStr">
        <is>
          <t>Region I (Ilocos Region)</t>
        </is>
      </c>
      <c r="F788" s="26" t="inlineStr">
        <is>
          <t>Ilocos Sur</t>
        </is>
      </c>
      <c r="G788" s="26" t="inlineStr">
        <is>
          <t>Alilem</t>
        </is>
      </c>
      <c r="H788" s="26" t="inlineStr">
        <is>
          <t>Dalawa</t>
        </is>
      </c>
      <c r="I788" s="27" t="n">
        <v>16.916443</v>
      </c>
      <c r="J788" s="27" t="n">
        <v>120.519879</v>
      </c>
      <c r="K788" s="10" t="inlineStr">
        <is>
          <t>R</t>
        </is>
      </c>
      <c r="L788" s="12" t="n">
        <v>1448</v>
      </c>
      <c r="M788" s="14" t="n">
        <v>3.8</v>
      </c>
      <c r="N788" s="12">
        <f>ROUND(L788/M788, 0)</f>
        <v/>
      </c>
      <c r="O788" s="12">
        <f>ROUND(N788*'Methodology &amp; Assumptions'!$B$5, 0)</f>
        <v/>
      </c>
      <c r="P788" s="10" t="inlineStr">
        <is>
          <t>Single Carrier (Band n50, 100MHz TDD)</t>
        </is>
      </c>
      <c r="Q788" s="13">
        <f>ROUNDUP(O788/'Methodology &amp; Assumptions'!$B$6, 0)</f>
        <v/>
      </c>
      <c r="R788" s="13" t="n">
        <v>1</v>
      </c>
      <c r="S788" s="14" t="n">
        <v>6.65</v>
      </c>
      <c r="T788" s="14" t="n">
        <v>6.02</v>
      </c>
      <c r="U788" s="26">
        <f>IF(X788&gt;='Methodology &amp; Assumptions'!$B$7, "Tier 1 Critical GIDA (Score ≥ 50.0)", IF(X788&gt;='Methodology &amp; Assumptions'!$B$8, "Tier 2 High GIDA (Score 40.0–49.9)", "Tier 3 Moderate GIDA (Score &lt; 40.0)"))</f>
        <v/>
      </c>
      <c r="V788" s="26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W788" s="28" t="n">
        <v>0.083</v>
      </c>
      <c r="X788" s="14" t="n">
        <v>52.26</v>
      </c>
      <c r="Y788" s="14">
        <f>ROUND(MIN(100, (X788/69.91)*100), 2)</f>
        <v/>
      </c>
    </row>
    <row r="789">
      <c r="A789" s="10" t="n">
        <v>1</v>
      </c>
      <c r="B789" s="10" t="n">
        <v>785</v>
      </c>
      <c r="C789" s="10" t="n">
        <v>785</v>
      </c>
      <c r="D789" s="10" t="inlineStr">
        <is>
          <t>0501609006</t>
        </is>
      </c>
      <c r="E789" s="26" t="inlineStr">
        <is>
          <t>Region V (Bicol Region)</t>
        </is>
      </c>
      <c r="F789" s="26" t="inlineStr">
        <is>
          <t>Camarines Norte</t>
        </is>
      </c>
      <c r="G789" s="26" t="inlineStr">
        <is>
          <t>San Vicente</t>
        </is>
      </c>
      <c r="H789" s="26" t="inlineStr">
        <is>
          <t>Man-Ogob</t>
        </is>
      </c>
      <c r="I789" s="27" t="n">
        <v>14.101407</v>
      </c>
      <c r="J789" s="27" t="n">
        <v>122.872103</v>
      </c>
      <c r="K789" s="10" t="inlineStr">
        <is>
          <t>R</t>
        </is>
      </c>
      <c r="L789" s="12" t="n">
        <v>3172</v>
      </c>
      <c r="M789" s="14" t="n">
        <v>4</v>
      </c>
      <c r="N789" s="12">
        <f>ROUND(L789/M789, 0)</f>
        <v/>
      </c>
      <c r="O789" s="12">
        <f>ROUND(N789*'Methodology &amp; Assumptions'!$B$5, 0)</f>
        <v/>
      </c>
      <c r="P789" s="10" t="inlineStr">
        <is>
          <t>Single Carrier (Band n50, 100MHz TDD)</t>
        </is>
      </c>
      <c r="Q789" s="13">
        <f>ROUNDUP(O789/'Methodology &amp; Assumptions'!$B$6, 0)</f>
        <v/>
      </c>
      <c r="R789" s="13" t="n">
        <v>1</v>
      </c>
      <c r="S789" s="14" t="n">
        <v>6.98</v>
      </c>
      <c r="T789" s="14" t="n">
        <v>4.8</v>
      </c>
      <c r="U789" s="26">
        <f>IF(X789&gt;='Methodology &amp; Assumptions'!$B$7, "Tier 1 Critical GIDA (Score ≥ 50.0)", IF(X789&gt;='Methodology &amp; Assumptions'!$B$8, "Tier 2 High GIDA (Score 40.0–49.9)", "Tier 3 Moderate GIDA (Score &lt; 40.0)"))</f>
        <v/>
      </c>
      <c r="V789" s="26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W789" s="28" t="n">
        <v>0.237</v>
      </c>
      <c r="X789" s="14" t="n">
        <v>52.26</v>
      </c>
      <c r="Y789" s="14">
        <f>ROUND(MIN(100, (X789/69.91)*100), 2)</f>
        <v/>
      </c>
    </row>
    <row r="790">
      <c r="A790" s="10" t="n">
        <v>1</v>
      </c>
      <c r="B790" s="10" t="n">
        <v>786</v>
      </c>
      <c r="C790" s="10" t="n">
        <v>786</v>
      </c>
      <c r="D790" s="10" t="inlineStr">
        <is>
          <t>1705303004</t>
        </is>
      </c>
      <c r="E790" s="26" t="inlineStr">
        <is>
          <t>MIMAROPA Region</t>
        </is>
      </c>
      <c r="F790" s="26" t="inlineStr">
        <is>
          <t>Palawan</t>
        </is>
      </c>
      <c r="G790" s="26" t="inlineStr">
        <is>
          <t>Araceli</t>
        </is>
      </c>
      <c r="H790" s="26" t="inlineStr">
        <is>
          <t>Dagman</t>
        </is>
      </c>
      <c r="I790" s="27" t="n">
        <v>10.525505</v>
      </c>
      <c r="J790" s="27" t="n">
        <v>119.961664</v>
      </c>
      <c r="K790" s="10" t="inlineStr">
        <is>
          <t>R</t>
        </is>
      </c>
      <c r="L790" s="12" t="n">
        <v>934</v>
      </c>
      <c r="M790" s="14" t="n">
        <v>3.9</v>
      </c>
      <c r="N790" s="12">
        <f>ROUND(L790/M790, 0)</f>
        <v/>
      </c>
      <c r="O790" s="12">
        <f>ROUND(N790*'Methodology &amp; Assumptions'!$B$5, 0)</f>
        <v/>
      </c>
      <c r="P790" s="10" t="inlineStr">
        <is>
          <t>Single Carrier (Band n50, 100MHz TDD)</t>
        </is>
      </c>
      <c r="Q790" s="13">
        <f>ROUNDUP(O790/'Methodology &amp; Assumptions'!$B$6, 0)</f>
        <v/>
      </c>
      <c r="R790" s="13" t="n">
        <v>1</v>
      </c>
      <c r="S790" s="14" t="n">
        <v>46.06</v>
      </c>
      <c r="T790" s="14" t="n">
        <v>54.87</v>
      </c>
      <c r="U790" s="26">
        <f>IF(X790&gt;='Methodology &amp; Assumptions'!$B$7, "Tier 1 Critical GIDA (Score ≥ 50.0)", IF(X790&gt;='Methodology &amp; Assumptions'!$B$8, "Tier 2 High GIDA (Score 40.0–49.9)", "Tier 3 Moderate GIDA (Score &lt; 40.0)"))</f>
        <v/>
      </c>
      <c r="V790" s="26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W790" s="28" t="n">
        <v>0.15</v>
      </c>
      <c r="X790" s="14" t="n">
        <v>52.26</v>
      </c>
      <c r="Y790" s="14">
        <f>ROUND(MIN(100, (X790/69.91)*100), 2)</f>
        <v/>
      </c>
    </row>
    <row r="791">
      <c r="A791" s="10" t="n">
        <v>1</v>
      </c>
      <c r="B791" s="10" t="n">
        <v>787</v>
      </c>
      <c r="C791" s="10" t="n">
        <v>787</v>
      </c>
      <c r="D791" s="10" t="inlineStr">
        <is>
          <t>1908816005</t>
        </is>
      </c>
      <c r="E791" s="26" t="inlineStr">
        <is>
          <t>Bangsamoro Autonomous Region In Muslim Mindanao (BARMM)</t>
        </is>
      </c>
      <c r="F791" s="26" t="inlineStr">
        <is>
          <t>Maguindanao del Sur</t>
        </is>
      </c>
      <c r="G791" s="26" t="inlineStr">
        <is>
          <t>Pagalungan</t>
        </is>
      </c>
      <c r="H791" s="26" t="inlineStr">
        <is>
          <t>Galakit</t>
        </is>
      </c>
      <c r="I791" s="27" t="n">
        <v>7.069633</v>
      </c>
      <c r="J791" s="27" t="n">
        <v>124.709939</v>
      </c>
      <c r="K791" s="10" t="inlineStr">
        <is>
          <t>R</t>
        </is>
      </c>
      <c r="L791" s="12" t="n">
        <v>2798</v>
      </c>
      <c r="M791" s="14" t="n">
        <v>4.7</v>
      </c>
      <c r="N791" s="12">
        <f>ROUND(L791/M791, 0)</f>
        <v/>
      </c>
      <c r="O791" s="12">
        <f>ROUND(N791*'Methodology &amp; Assumptions'!$B$5, 0)</f>
        <v/>
      </c>
      <c r="P791" s="10" t="inlineStr">
        <is>
          <t>Single Carrier (Band n50, 100MHz TDD)</t>
        </is>
      </c>
      <c r="Q791" s="13">
        <f>ROUNDUP(O791/'Methodology &amp; Assumptions'!$B$6, 0)</f>
        <v/>
      </c>
      <c r="R791" s="13" t="n">
        <v>1</v>
      </c>
      <c r="S791" s="14" t="n">
        <v>17.63</v>
      </c>
      <c r="T791" s="14" t="n">
        <v>11.85</v>
      </c>
      <c r="U791" s="26">
        <f>IF(X791&gt;='Methodology &amp; Assumptions'!$B$7, "Tier 1 Critical GIDA (Score ≥ 50.0)", IF(X791&gt;='Methodology &amp; Assumptions'!$B$8, "Tier 2 High GIDA (Score 40.0–49.9)", "Tier 3 Moderate GIDA (Score &lt; 40.0)"))</f>
        <v/>
      </c>
      <c r="V791" s="26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W791" s="28" t="n">
        <v>0.11</v>
      </c>
      <c r="X791" s="14" t="n">
        <v>52.25</v>
      </c>
      <c r="Y791" s="14">
        <f>ROUND(MIN(100, (X791/69.91)*100), 2)</f>
        <v/>
      </c>
    </row>
    <row r="792">
      <c r="A792" s="10" t="n">
        <v>1</v>
      </c>
      <c r="B792" s="10" t="n">
        <v>788</v>
      </c>
      <c r="C792" s="10" t="n">
        <v>788</v>
      </c>
      <c r="D792" s="10" t="inlineStr">
        <is>
          <t>1380601108</t>
        </is>
      </c>
      <c r="E792" s="26" t="inlineStr">
        <is>
          <t>National Capital Region (NCR)</t>
        </is>
      </c>
      <c r="F792" s="26" t="inlineStr">
        <is>
          <t>First District (Not a Province)</t>
        </is>
      </c>
      <c r="G792" s="26" t="inlineStr">
        <is>
          <t>City of Manila</t>
        </is>
      </c>
      <c r="H792" s="26" t="inlineStr">
        <is>
          <t>Barangay 108</t>
        </is>
      </c>
      <c r="I792" s="27" t="n">
        <v>12.813117</v>
      </c>
      <c r="J792" s="27" t="n">
        <v>121.655698</v>
      </c>
      <c r="K792" s="10" t="inlineStr">
        <is>
          <t>U</t>
        </is>
      </c>
      <c r="L792" s="12" t="n">
        <v>5555</v>
      </c>
      <c r="M792" s="14" t="n">
        <v>3.9</v>
      </c>
      <c r="N792" s="12">
        <f>ROUND(L792/M792, 0)</f>
        <v/>
      </c>
      <c r="O792" s="12">
        <f>ROUND(N792*'Methodology &amp; Assumptions'!$B$5, 0)</f>
        <v/>
      </c>
      <c r="P792" s="10" t="inlineStr">
        <is>
          <t>Single Carrier (Band n50, 100MHz TDD)</t>
        </is>
      </c>
      <c r="Q792" s="13">
        <f>ROUNDUP(O792/'Methodology &amp; Assumptions'!$B$6, 0)</f>
        <v/>
      </c>
      <c r="R792" s="13" t="n">
        <v>1</v>
      </c>
      <c r="S792" s="14" t="n">
        <v>19.81</v>
      </c>
      <c r="T792" s="14" t="n">
        <v>19.56</v>
      </c>
      <c r="U792" s="26">
        <f>IF(X792&gt;='Methodology &amp; Assumptions'!$B$7, "Tier 1 Critical GIDA (Score ≥ 50.0)", IF(X792&gt;='Methodology &amp; Assumptions'!$B$8, "Tier 2 High GIDA (Score 40.0–49.9)", "Tier 3 Moderate GIDA (Score &lt; 40.0)"))</f>
        <v/>
      </c>
      <c r="V792" s="26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W792" s="28" t="n">
        <v>0.109</v>
      </c>
      <c r="X792" s="14" t="n">
        <v>52.25</v>
      </c>
      <c r="Y792" s="14">
        <f>ROUND(MIN(100, (X792/69.91)*100), 2)</f>
        <v/>
      </c>
    </row>
    <row r="793">
      <c r="A793" s="10" t="n">
        <v>1</v>
      </c>
      <c r="B793" s="10" t="n">
        <v>789</v>
      </c>
      <c r="C793" s="10" t="n">
        <v>789</v>
      </c>
      <c r="D793" s="10" t="inlineStr">
        <is>
          <t>1102501006</t>
        </is>
      </c>
      <c r="E793" s="26" t="inlineStr">
        <is>
          <t>Region XI (Davao Region)</t>
        </is>
      </c>
      <c r="F793" s="26" t="inlineStr">
        <is>
          <t>Davao Oriental</t>
        </is>
      </c>
      <c r="G793" s="26" t="inlineStr">
        <is>
          <t>Baganga</t>
        </is>
      </c>
      <c r="H793" s="26" t="inlineStr">
        <is>
          <t>Bobonao</t>
        </is>
      </c>
      <c r="I793" s="27" t="n">
        <v>7.481806</v>
      </c>
      <c r="J793" s="27" t="n">
        <v>126.578047</v>
      </c>
      <c r="K793" s="10" t="inlineStr">
        <is>
          <t>R</t>
        </is>
      </c>
      <c r="L793" s="12" t="n">
        <v>942</v>
      </c>
      <c r="M793" s="14" t="n">
        <v>3.6</v>
      </c>
      <c r="N793" s="12">
        <f>ROUND(L793/M793, 0)</f>
        <v/>
      </c>
      <c r="O793" s="12">
        <f>ROUND(N793*'Methodology &amp; Assumptions'!$B$5, 0)</f>
        <v/>
      </c>
      <c r="P793" s="10" t="inlineStr">
        <is>
          <t>Single Carrier (Band n50, 100MHz TDD)</t>
        </is>
      </c>
      <c r="Q793" s="13">
        <f>ROUNDUP(O793/'Methodology &amp; Assumptions'!$B$6, 0)</f>
        <v/>
      </c>
      <c r="R793" s="13" t="n">
        <v>1</v>
      </c>
      <c r="S793" s="14" t="n">
        <v>69.17</v>
      </c>
      <c r="T793" s="14" t="n">
        <v>68.18000000000001</v>
      </c>
      <c r="U793" s="26">
        <f>IF(X793&gt;='Methodology &amp; Assumptions'!$B$7, "Tier 1 Critical GIDA (Score ≥ 50.0)", IF(X793&gt;='Methodology &amp; Assumptions'!$B$8, "Tier 2 High GIDA (Score 40.0–49.9)", "Tier 3 Moderate GIDA (Score &lt; 40.0)"))</f>
        <v/>
      </c>
      <c r="V793" s="26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W793" s="28" t="n">
        <v>0.174</v>
      </c>
      <c r="X793" s="14" t="n">
        <v>52.24</v>
      </c>
      <c r="Y793" s="14">
        <f>ROUND(MIN(100, (X793/69.91)*100), 2)</f>
        <v/>
      </c>
    </row>
    <row r="794">
      <c r="A794" s="10" t="n">
        <v>1</v>
      </c>
      <c r="B794" s="10" t="n">
        <v>790</v>
      </c>
      <c r="C794" s="10" t="n">
        <v>790</v>
      </c>
      <c r="D794" s="10" t="inlineStr">
        <is>
          <t>PH0000790</t>
        </is>
      </c>
      <c r="E794" s="26" t="inlineStr">
        <is>
          <t>NCR</t>
        </is>
      </c>
      <c r="F794" s="26" t="inlineStr">
        <is>
          <t>Metro Manila</t>
        </is>
      </c>
      <c r="G794" s="26" t="inlineStr">
        <is>
          <t>Caloocan City</t>
        </is>
      </c>
      <c r="H794" s="26" t="inlineStr">
        <is>
          <t>Barangay 106</t>
        </is>
      </c>
      <c r="I794" s="27" t="n">
        <v>13.92012</v>
      </c>
      <c r="J794" s="27" t="n">
        <v>122.592947</v>
      </c>
      <c r="K794" s="10" t="inlineStr">
        <is>
          <t>R</t>
        </is>
      </c>
      <c r="L794" s="12" t="n">
        <v>2279</v>
      </c>
      <c r="M794" s="14" t="n">
        <v>3.8</v>
      </c>
      <c r="N794" s="12">
        <f>ROUND(L794/M794, 0)</f>
        <v/>
      </c>
      <c r="O794" s="12">
        <f>ROUND(N794*'Methodology &amp; Assumptions'!$B$5, 0)</f>
        <v/>
      </c>
      <c r="P794" s="10" t="inlineStr">
        <is>
          <t>Single Carrier (Band n50, 100MHz TDD)</t>
        </is>
      </c>
      <c r="Q794" s="13">
        <f>ROUNDUP(O794/'Methodology &amp; Assumptions'!$B$6, 0)</f>
        <v/>
      </c>
      <c r="R794" s="13" t="n">
        <v>1</v>
      </c>
      <c r="S794" s="14" t="n">
        <v>0.79</v>
      </c>
      <c r="T794" s="14" t="n">
        <v>0.53</v>
      </c>
      <c r="U794" s="26">
        <f>IF(X794&gt;='Methodology &amp; Assumptions'!$B$7, "Tier 1 Critical GIDA (Score ≥ 50.0)", IF(X794&gt;='Methodology &amp; Assumptions'!$B$8, "Tier 2 High GIDA (Score 40.0–49.9)", "Tier 3 Moderate GIDA (Score &lt; 40.0)"))</f>
        <v/>
      </c>
      <c r="V794" s="26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W794" s="28" t="n">
        <v>0.011</v>
      </c>
      <c r="X794" s="14" t="n">
        <v>52.24</v>
      </c>
      <c r="Y794" s="14">
        <f>ROUND(MIN(100, (X794/69.91)*100), 2)</f>
        <v/>
      </c>
    </row>
    <row r="795">
      <c r="A795" s="10" t="n">
        <v>1</v>
      </c>
      <c r="B795" s="10" t="n">
        <v>791</v>
      </c>
      <c r="C795" s="10" t="n">
        <v>791</v>
      </c>
      <c r="D795" s="10" t="inlineStr">
        <is>
          <t>0205702014</t>
        </is>
      </c>
      <c r="E795" s="26" t="inlineStr">
        <is>
          <t>Region II (Cagayan Valley)</t>
        </is>
      </c>
      <c r="F795" s="26" t="inlineStr">
        <is>
          <t>Quirino</t>
        </is>
      </c>
      <c r="G795" s="26" t="inlineStr">
        <is>
          <t>Cabarroguis</t>
        </is>
      </c>
      <c r="H795" s="26" t="inlineStr">
        <is>
          <t>Dingasan</t>
        </is>
      </c>
      <c r="I795" s="27" t="n">
        <v>16.341264</v>
      </c>
      <c r="J795" s="27" t="n">
        <v>121.517717</v>
      </c>
      <c r="K795" s="10" t="inlineStr">
        <is>
          <t>R</t>
        </is>
      </c>
      <c r="L795" s="12" t="n">
        <v>1393</v>
      </c>
      <c r="M795" s="14" t="n">
        <v>3.9</v>
      </c>
      <c r="N795" s="12">
        <f>ROUND(L795/M795, 0)</f>
        <v/>
      </c>
      <c r="O795" s="12">
        <f>ROUND(N795*'Methodology &amp; Assumptions'!$B$5, 0)</f>
        <v/>
      </c>
      <c r="P795" s="10" t="inlineStr">
        <is>
          <t>Single Carrier (Band n50, 100MHz TDD)</t>
        </is>
      </c>
      <c r="Q795" s="13">
        <f>ROUNDUP(O795/'Methodology &amp; Assumptions'!$B$6, 0)</f>
        <v/>
      </c>
      <c r="R795" s="13" t="n">
        <v>1</v>
      </c>
      <c r="S795" s="14" t="n">
        <v>16.54</v>
      </c>
      <c r="T795" s="14" t="n">
        <v>14.91</v>
      </c>
      <c r="U795" s="26">
        <f>IF(X795&gt;='Methodology &amp; Assumptions'!$B$7, "Tier 1 Critical GIDA (Score ≥ 50.0)", IF(X795&gt;='Methodology &amp; Assumptions'!$B$8, "Tier 2 High GIDA (Score 40.0–49.9)", "Tier 3 Moderate GIDA (Score &lt; 40.0)"))</f>
        <v/>
      </c>
      <c r="V795" s="26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W795" s="28" t="n">
        <v>0.083</v>
      </c>
      <c r="X795" s="14" t="n">
        <v>52.24</v>
      </c>
      <c r="Y795" s="14">
        <f>ROUND(MIN(100, (X795/69.91)*100), 2)</f>
        <v/>
      </c>
    </row>
    <row r="796">
      <c r="A796" s="10" t="n">
        <v>1</v>
      </c>
      <c r="B796" s="10" t="n">
        <v>792</v>
      </c>
      <c r="C796" s="10" t="n">
        <v>792</v>
      </c>
      <c r="D796" s="10" t="inlineStr">
        <is>
          <t>0806411009</t>
        </is>
      </c>
      <c r="E796" s="26" t="inlineStr">
        <is>
          <t>Region VIII (Eastern Visayas)</t>
        </is>
      </c>
      <c r="F796" s="26" t="inlineStr">
        <is>
          <t>Southern Leyte</t>
        </is>
      </c>
      <c r="G796" s="26" t="inlineStr">
        <is>
          <t>Pintuyan</t>
        </is>
      </c>
      <c r="H796" s="26" t="inlineStr">
        <is>
          <t>Dan-an</t>
        </is>
      </c>
      <c r="I796" s="27" t="n">
        <v>9.988471000000001</v>
      </c>
      <c r="J796" s="27" t="n">
        <v>125.209699</v>
      </c>
      <c r="K796" s="10" t="inlineStr">
        <is>
          <t>R</t>
        </is>
      </c>
      <c r="L796" s="12" t="n">
        <v>494</v>
      </c>
      <c r="M796" s="14" t="n">
        <v>4.1</v>
      </c>
      <c r="N796" s="12">
        <f>ROUND(L796/M796, 0)</f>
        <v/>
      </c>
      <c r="O796" s="12">
        <f>ROUND(N796*'Methodology &amp; Assumptions'!$B$5, 0)</f>
        <v/>
      </c>
      <c r="P796" s="10" t="inlineStr">
        <is>
          <t>Single Carrier (Band n50, 100MHz TDD)</t>
        </is>
      </c>
      <c r="Q796" s="13">
        <f>ROUNDUP(O796/'Methodology &amp; Assumptions'!$B$6, 0)</f>
        <v/>
      </c>
      <c r="R796" s="13" t="n">
        <v>1</v>
      </c>
      <c r="S796" s="14" t="n">
        <v>36.72</v>
      </c>
      <c r="T796" s="14" t="n">
        <v>21.08</v>
      </c>
      <c r="U796" s="26">
        <f>IF(X796&gt;='Methodology &amp; Assumptions'!$B$7, "Tier 1 Critical GIDA (Score ≥ 50.0)", IF(X796&gt;='Methodology &amp; Assumptions'!$B$8, "Tier 2 High GIDA (Score 40.0–49.9)", "Tier 3 Moderate GIDA (Score &lt; 40.0)"))</f>
        <v/>
      </c>
      <c r="V796" s="26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W796" s="28" t="n">
        <v>0.237</v>
      </c>
      <c r="X796" s="14" t="n">
        <v>52.24</v>
      </c>
      <c r="Y796" s="14">
        <f>ROUND(MIN(100, (X796/69.91)*100), 2)</f>
        <v/>
      </c>
    </row>
    <row r="797">
      <c r="A797" s="10" t="n">
        <v>1</v>
      </c>
      <c r="B797" s="10" t="n">
        <v>793</v>
      </c>
      <c r="C797" s="10" t="n">
        <v>793</v>
      </c>
      <c r="D797" s="10" t="inlineStr">
        <is>
          <t>1903639014</t>
        </is>
      </c>
      <c r="E797" s="26" t="inlineStr">
        <is>
          <t>Bangsamoro Autonomous Region In Muslim Mindanao (BARMM)</t>
        </is>
      </c>
      <c r="F797" s="26" t="inlineStr">
        <is>
          <t>Lanao del Sur</t>
        </is>
      </c>
      <c r="G797" s="26" t="inlineStr">
        <is>
          <t>Kapatagan</t>
        </is>
      </c>
      <c r="H797" s="26" t="inlineStr">
        <is>
          <t>Tabuan</t>
        </is>
      </c>
      <c r="I797" s="27" t="n">
        <v>17.254577</v>
      </c>
      <c r="J797" s="27" t="n">
        <v>122.228621</v>
      </c>
      <c r="K797" s="10" t="inlineStr">
        <is>
          <t>R</t>
        </is>
      </c>
      <c r="L797" s="12" t="n">
        <v>984</v>
      </c>
      <c r="M797" s="14" t="n">
        <v>5.7</v>
      </c>
      <c r="N797" s="12">
        <f>ROUND(L797/M797, 0)</f>
        <v/>
      </c>
      <c r="O797" s="12">
        <f>ROUND(N797*'Methodology &amp; Assumptions'!$B$5, 0)</f>
        <v/>
      </c>
      <c r="P797" s="10" t="inlineStr">
        <is>
          <t>Single Carrier (Band n50, 100MHz TDD)</t>
        </is>
      </c>
      <c r="Q797" s="13">
        <f>ROUNDUP(O797/'Methodology &amp; Assumptions'!$B$6, 0)</f>
        <v/>
      </c>
      <c r="R797" s="13" t="n">
        <v>1</v>
      </c>
      <c r="S797" s="14" t="n">
        <v>29.37</v>
      </c>
      <c r="T797" s="14" t="n">
        <v>34.26</v>
      </c>
      <c r="U797" s="26">
        <f>IF(X797&gt;='Methodology &amp; Assumptions'!$B$7, "Tier 1 Critical GIDA (Score ≥ 50.0)", IF(X797&gt;='Methodology &amp; Assumptions'!$B$8, "Tier 2 High GIDA (Score 40.0–49.9)", "Tier 3 Moderate GIDA (Score &lt; 40.0)"))</f>
        <v/>
      </c>
      <c r="V797" s="26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W797" s="28" t="n">
        <v>0.11</v>
      </c>
      <c r="X797" s="14" t="n">
        <v>52.24</v>
      </c>
      <c r="Y797" s="14">
        <f>ROUND(MIN(100, (X797/69.91)*100), 2)</f>
        <v/>
      </c>
    </row>
    <row r="798">
      <c r="A798" s="10" t="n">
        <v>1</v>
      </c>
      <c r="B798" s="10" t="n">
        <v>794</v>
      </c>
      <c r="C798" s="10" t="n">
        <v>794</v>
      </c>
      <c r="D798" s="10" t="inlineStr">
        <is>
          <t>PH0000794</t>
        </is>
      </c>
      <c r="E798" s="26" t="inlineStr">
        <is>
          <t>VIII</t>
        </is>
      </c>
      <c r="F798" s="26" t="inlineStr">
        <is>
          <t>Leyte</t>
        </is>
      </c>
      <c r="G798" s="26" t="inlineStr">
        <is>
          <t>Tacloban City</t>
        </is>
      </c>
      <c r="H798" s="26" t="inlineStr">
        <is>
          <t>Barangay 27</t>
        </is>
      </c>
      <c r="I798" s="27" t="n">
        <v>11.255163</v>
      </c>
      <c r="J798" s="27" t="n">
        <v>124.963953</v>
      </c>
      <c r="K798" s="10" t="inlineStr">
        <is>
          <t>R</t>
        </is>
      </c>
      <c r="L798" s="12" t="n">
        <v>2258</v>
      </c>
      <c r="M798" s="14" t="n">
        <v>3.8</v>
      </c>
      <c r="N798" s="12">
        <f>ROUND(L798/M798, 0)</f>
        <v/>
      </c>
      <c r="O798" s="12">
        <f>ROUND(N798*'Methodology &amp; Assumptions'!$B$5, 0)</f>
        <v/>
      </c>
      <c r="P798" s="10" t="inlineStr">
        <is>
          <t>Single Carrier (Band n50, 100MHz TDD)</t>
        </is>
      </c>
      <c r="Q798" s="13">
        <f>ROUNDUP(O798/'Methodology &amp; Assumptions'!$B$6, 0)</f>
        <v/>
      </c>
      <c r="R798" s="13" t="n">
        <v>1</v>
      </c>
      <c r="S798" s="14" t="n">
        <v>4.54</v>
      </c>
      <c r="T798" s="14" t="n">
        <v>6.86</v>
      </c>
      <c r="U798" s="26">
        <f>IF(X798&gt;='Methodology &amp; Assumptions'!$B$7, "Tier 1 Critical GIDA (Score ≥ 50.0)", IF(X798&gt;='Methodology &amp; Assumptions'!$B$8, "Tier 2 High GIDA (Score 40.0–49.9)", "Tier 3 Moderate GIDA (Score &lt; 40.0)"))</f>
        <v/>
      </c>
      <c r="V798" s="26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W798" s="28" t="n">
        <v>0.222</v>
      </c>
      <c r="X798" s="14" t="n">
        <v>52.23</v>
      </c>
      <c r="Y798" s="14">
        <f>ROUND(MIN(100, (X798/69.91)*100), 2)</f>
        <v/>
      </c>
    </row>
    <row r="799">
      <c r="A799" s="10" t="n">
        <v>1</v>
      </c>
      <c r="B799" s="10" t="n">
        <v>795</v>
      </c>
      <c r="C799" s="10" t="n">
        <v>795</v>
      </c>
      <c r="D799" s="10" t="inlineStr">
        <is>
          <t>0102931007</t>
        </is>
      </c>
      <c r="E799" s="26" t="inlineStr">
        <is>
          <t>Region I (Ilocos Region)</t>
        </is>
      </c>
      <c r="F799" s="26" t="inlineStr">
        <is>
          <t>Ilocos Sur</t>
        </is>
      </c>
      <c r="G799" s="26" t="inlineStr">
        <is>
          <t>Sugpon</t>
        </is>
      </c>
      <c r="H799" s="26" t="inlineStr">
        <is>
          <t>Pangotan</t>
        </is>
      </c>
      <c r="I799" s="27" t="n">
        <v>16.859323</v>
      </c>
      <c r="J799" s="27" t="n">
        <v>120.518605</v>
      </c>
      <c r="K799" s="10" t="inlineStr">
        <is>
          <t>R</t>
        </is>
      </c>
      <c r="L799" s="12" t="n">
        <v>381</v>
      </c>
      <c r="M799" s="14" t="n">
        <v>3.8</v>
      </c>
      <c r="N799" s="12">
        <f>ROUND(L799/M799, 0)</f>
        <v/>
      </c>
      <c r="O799" s="12">
        <f>ROUND(N799*'Methodology &amp; Assumptions'!$B$5, 0)</f>
        <v/>
      </c>
      <c r="P799" s="10" t="inlineStr">
        <is>
          <t>Single Carrier (Band n50, 100MHz TDD)</t>
        </is>
      </c>
      <c r="Q799" s="13">
        <f>ROUNDUP(O799/'Methodology &amp; Assumptions'!$B$6, 0)</f>
        <v/>
      </c>
      <c r="R799" s="13" t="n">
        <v>1</v>
      </c>
      <c r="S799" s="14" t="n">
        <v>10.66</v>
      </c>
      <c r="T799" s="14" t="n">
        <v>7.84</v>
      </c>
      <c r="U799" s="26">
        <f>IF(X799&gt;='Methodology &amp; Assumptions'!$B$7, "Tier 1 Critical GIDA (Score ≥ 50.0)", IF(X799&gt;='Methodology &amp; Assumptions'!$B$8, "Tier 2 High GIDA (Score 40.0–49.9)", "Tier 3 Moderate GIDA (Score &lt; 40.0)"))</f>
        <v/>
      </c>
      <c r="V799" s="26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W799" s="28" t="n">
        <v>0.083</v>
      </c>
      <c r="X799" s="14" t="n">
        <v>52.22</v>
      </c>
      <c r="Y799" s="14">
        <f>ROUND(MIN(100, (X799/69.91)*100), 2)</f>
        <v/>
      </c>
    </row>
    <row r="800">
      <c r="A800" s="10" t="n">
        <v>1</v>
      </c>
      <c r="B800" s="10" t="n">
        <v>796</v>
      </c>
      <c r="C800" s="10" t="n">
        <v>796</v>
      </c>
      <c r="D800" s="10" t="inlineStr">
        <is>
          <t>1907004003</t>
        </is>
      </c>
      <c r="E800" s="26" t="inlineStr">
        <is>
          <t>Bangsamoro Autonomous Region In Muslim Mindanao (BARMM)</t>
        </is>
      </c>
      <c r="F800" s="26" t="inlineStr">
        <is>
          <t>Tawi-Tawi</t>
        </is>
      </c>
      <c r="G800" s="26" t="inlineStr">
        <is>
          <t>Simunul</t>
        </is>
      </c>
      <c r="H800" s="26" t="inlineStr">
        <is>
          <t>Mongkay</t>
        </is>
      </c>
      <c r="I800" s="27" t="n">
        <v>4.923876</v>
      </c>
      <c r="J800" s="27" t="n">
        <v>119.805699</v>
      </c>
      <c r="K800" s="10" t="inlineStr">
        <is>
          <t>R</t>
        </is>
      </c>
      <c r="L800" s="12" t="n">
        <v>2260</v>
      </c>
      <c r="M800" s="14" t="n">
        <v>5.8</v>
      </c>
      <c r="N800" s="12">
        <f>ROUND(L800/M800, 0)</f>
        <v/>
      </c>
      <c r="O800" s="12">
        <f>ROUND(N800*'Methodology &amp; Assumptions'!$B$5, 0)</f>
        <v/>
      </c>
      <c r="P800" s="10" t="inlineStr">
        <is>
          <t>Single Carrier (Band n50, 100MHz TDD)</t>
        </is>
      </c>
      <c r="Q800" s="13">
        <f>ROUNDUP(O800/'Methodology &amp; Assumptions'!$B$6, 0)</f>
        <v/>
      </c>
      <c r="R800" s="13" t="n">
        <v>1</v>
      </c>
      <c r="S800" s="14" t="n">
        <v>999</v>
      </c>
      <c r="T800" s="14" t="n">
        <v>999</v>
      </c>
      <c r="U800" s="26">
        <f>IF(X800&gt;='Methodology &amp; Assumptions'!$B$7, "Tier 1 Critical GIDA (Score ≥ 50.0)", IF(X800&gt;='Methodology &amp; Assumptions'!$B$8, "Tier 2 High GIDA (Score 40.0–49.9)", "Tier 3 Moderate GIDA (Score &lt; 40.0)"))</f>
        <v/>
      </c>
      <c r="V800" s="26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W800" s="28" t="n">
        <v>0.11</v>
      </c>
      <c r="X800" s="14" t="n">
        <v>52.22</v>
      </c>
      <c r="Y800" s="14">
        <f>ROUND(MIN(100, (X800/69.91)*100), 2)</f>
        <v/>
      </c>
    </row>
    <row r="801">
      <c r="A801" s="10" t="n">
        <v>1</v>
      </c>
      <c r="B801" s="10" t="n">
        <v>797</v>
      </c>
      <c r="C801" s="10" t="n">
        <v>797</v>
      </c>
      <c r="D801" s="10" t="inlineStr">
        <is>
          <t>0405802017</t>
        </is>
      </c>
      <c r="E801" s="26" t="inlineStr">
        <is>
          <t>Region IV-A (CALABARZON)</t>
        </is>
      </c>
      <c r="F801" s="26" t="inlineStr">
        <is>
          <t>Rizal</t>
        </is>
      </c>
      <c r="G801" s="26" t="inlineStr">
        <is>
          <t>City of Antipolo</t>
        </is>
      </c>
      <c r="H801" s="26" t="inlineStr">
        <is>
          <t>Santa Cruz</t>
        </is>
      </c>
      <c r="I801" s="27" t="n">
        <v>14.61534</v>
      </c>
      <c r="J801" s="27" t="n">
        <v>121.170815</v>
      </c>
      <c r="K801" s="10" t="inlineStr">
        <is>
          <t>U</t>
        </is>
      </c>
      <c r="L801" s="12" t="n">
        <v>62537</v>
      </c>
      <c r="M801" s="14" t="n">
        <v>3.6</v>
      </c>
      <c r="N801" s="12">
        <f>ROUND(L801/M801, 0)</f>
        <v/>
      </c>
      <c r="O801" s="12">
        <f>ROUND(N801*'Methodology &amp; Assumptions'!$B$5, 0)</f>
        <v/>
      </c>
      <c r="P801" s="10" t="inlineStr">
        <is>
          <t>Single Carrier (Band n50, 100MHz TDD)</t>
        </is>
      </c>
      <c r="Q801" s="13">
        <f>ROUNDUP(O801/'Methodology &amp; Assumptions'!$B$6, 0)</f>
        <v/>
      </c>
      <c r="R801" s="13" t="n">
        <v>1</v>
      </c>
      <c r="S801" s="14" t="n">
        <v>0.63</v>
      </c>
      <c r="T801" s="14" t="n">
        <v>0.17</v>
      </c>
      <c r="U801" s="26">
        <f>IF(X801&gt;='Methodology &amp; Assumptions'!$B$7, "Tier 1 Critical GIDA (Score ≥ 50.0)", IF(X801&gt;='Methodology &amp; Assumptions'!$B$8, "Tier 2 High GIDA (Score 40.0–49.9)", "Tier 3 Moderate GIDA (Score &lt; 40.0)"))</f>
        <v/>
      </c>
      <c r="V801" s="26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W801" s="28" t="n">
        <v>0.07200000000000001</v>
      </c>
      <c r="X801" s="14" t="n">
        <v>52.21</v>
      </c>
      <c r="Y801" s="14">
        <f>ROUND(MIN(100, (X801/69.91)*100), 2)</f>
        <v/>
      </c>
    </row>
    <row r="802">
      <c r="A802" s="10" t="n">
        <v>1</v>
      </c>
      <c r="B802" s="10" t="n">
        <v>798</v>
      </c>
      <c r="C802" s="10" t="n">
        <v>798</v>
      </c>
      <c r="D802" s="10" t="inlineStr">
        <is>
          <t>0806411014</t>
        </is>
      </c>
      <c r="E802" s="26" t="inlineStr">
        <is>
          <t>Region VIII (Eastern Visayas)</t>
        </is>
      </c>
      <c r="F802" s="26" t="inlineStr">
        <is>
          <t>Southern Leyte</t>
        </is>
      </c>
      <c r="G802" s="26" t="inlineStr">
        <is>
          <t>Pintuyan</t>
        </is>
      </c>
      <c r="H802" s="26" t="inlineStr">
        <is>
          <t>Nueva Estrella Sur</t>
        </is>
      </c>
      <c r="I802" s="27" t="n">
        <v>9.954295</v>
      </c>
      <c r="J802" s="27" t="n">
        <v>125.244545</v>
      </c>
      <c r="K802" s="10" t="inlineStr">
        <is>
          <t>R</t>
        </is>
      </c>
      <c r="L802" s="12" t="n">
        <v>420</v>
      </c>
      <c r="M802" s="14" t="n">
        <v>4.1</v>
      </c>
      <c r="N802" s="12">
        <f>ROUND(L802/M802, 0)</f>
        <v/>
      </c>
      <c r="O802" s="12">
        <f>ROUND(N802*'Methodology &amp; Assumptions'!$B$5, 0)</f>
        <v/>
      </c>
      <c r="P802" s="10" t="inlineStr">
        <is>
          <t>Single Carrier (Band n50, 100MHz TDD)</t>
        </is>
      </c>
      <c r="Q802" s="13">
        <f>ROUNDUP(O802/'Methodology &amp; Assumptions'!$B$6, 0)</f>
        <v/>
      </c>
      <c r="R802" s="13" t="n">
        <v>1</v>
      </c>
      <c r="S802" s="14" t="n">
        <v>33.07</v>
      </c>
      <c r="T802" s="14" t="n">
        <v>25.94</v>
      </c>
      <c r="U802" s="26">
        <f>IF(X802&gt;='Methodology &amp; Assumptions'!$B$7, "Tier 1 Critical GIDA (Score ≥ 50.0)", IF(X802&gt;='Methodology &amp; Assumptions'!$B$8, "Tier 2 High GIDA (Score 40.0–49.9)", "Tier 3 Moderate GIDA (Score &lt; 40.0)"))</f>
        <v/>
      </c>
      <c r="V802" s="26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W802" s="28" t="n">
        <v>0.237</v>
      </c>
      <c r="X802" s="14" t="n">
        <v>52.21</v>
      </c>
      <c r="Y802" s="14">
        <f>ROUND(MIN(100, (X802/69.91)*100), 2)</f>
        <v/>
      </c>
    </row>
    <row r="803">
      <c r="A803" s="10" t="n">
        <v>1</v>
      </c>
      <c r="B803" s="10" t="n">
        <v>799</v>
      </c>
      <c r="C803" s="10" t="n">
        <v>799</v>
      </c>
      <c r="D803" s="10" t="inlineStr">
        <is>
          <t>PH0000799</t>
        </is>
      </c>
      <c r="E803" s="26" t="inlineStr">
        <is>
          <t>III</t>
        </is>
      </c>
      <c r="F803" s="26" t="inlineStr">
        <is>
          <t>Nueva Ecija</t>
        </is>
      </c>
      <c r="G803" s="26" t="inlineStr">
        <is>
          <t>Cabanatuan City</t>
        </is>
      </c>
      <c r="H803" s="26" t="inlineStr">
        <is>
          <t>Mabini Extension</t>
        </is>
      </c>
      <c r="I803" s="27" t="n">
        <v>15.4857</v>
      </c>
      <c r="J803" s="27" t="n">
        <v>120.974188</v>
      </c>
      <c r="K803" s="10" t="inlineStr">
        <is>
          <t>R</t>
        </is>
      </c>
      <c r="L803" s="12" t="n">
        <v>2398</v>
      </c>
      <c r="M803" s="14" t="n">
        <v>3.5</v>
      </c>
      <c r="N803" s="12">
        <f>ROUND(L803/M803, 0)</f>
        <v/>
      </c>
      <c r="O803" s="12">
        <f>ROUND(N803*'Methodology &amp; Assumptions'!$B$5, 0)</f>
        <v/>
      </c>
      <c r="P803" s="10" t="inlineStr">
        <is>
          <t>Single Carrier (Band n50, 100MHz TDD)</t>
        </is>
      </c>
      <c r="Q803" s="13">
        <f>ROUNDUP(O803/'Methodology &amp; Assumptions'!$B$6, 0)</f>
        <v/>
      </c>
      <c r="R803" s="13" t="n">
        <v>1</v>
      </c>
      <c r="S803" s="14" t="n">
        <v>1.47</v>
      </c>
      <c r="T803" s="14" t="n">
        <v>0.34</v>
      </c>
      <c r="U803" s="26">
        <f>IF(X803&gt;='Methodology &amp; Assumptions'!$B$7, "Tier 1 Critical GIDA (Score ≥ 50.0)", IF(X803&gt;='Methodology &amp; Assumptions'!$B$8, "Tier 2 High GIDA (Score 40.0–49.9)", "Tier 3 Moderate GIDA (Score &lt; 40.0)"))</f>
        <v/>
      </c>
      <c r="V803" s="26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W803" s="28" t="n">
        <v>0.083</v>
      </c>
      <c r="X803" s="14" t="n">
        <v>52.2</v>
      </c>
      <c r="Y803" s="14">
        <f>ROUND(MIN(100, (X803/69.91)*100), 2)</f>
        <v/>
      </c>
    </row>
    <row r="804">
      <c r="A804" s="10" t="n">
        <v>1</v>
      </c>
      <c r="B804" s="10" t="n">
        <v>800</v>
      </c>
      <c r="C804" s="10" t="n">
        <v>800</v>
      </c>
      <c r="D804" s="10" t="inlineStr">
        <is>
          <t>0803726022</t>
        </is>
      </c>
      <c r="E804" s="26" t="inlineStr">
        <is>
          <t>Region VIII (Eastern Visayas)</t>
        </is>
      </c>
      <c r="F804" s="26" t="inlineStr">
        <is>
          <t>Leyte</t>
        </is>
      </c>
      <c r="G804" s="26" t="inlineStr">
        <is>
          <t>Kananga</t>
        </is>
      </c>
      <c r="H804" s="26" t="inlineStr">
        <is>
          <t>Tongonan</t>
        </is>
      </c>
      <c r="I804" s="27" t="n">
        <v>11.130575</v>
      </c>
      <c r="J804" s="27" t="n">
        <v>124.641054</v>
      </c>
      <c r="K804" s="10" t="inlineStr">
        <is>
          <t>U</t>
        </is>
      </c>
      <c r="L804" s="12" t="n">
        <v>1652</v>
      </c>
      <c r="M804" s="14" t="n">
        <v>3.8</v>
      </c>
      <c r="N804" s="12">
        <f>ROUND(L804/M804, 0)</f>
        <v/>
      </c>
      <c r="O804" s="12">
        <f>ROUND(N804*'Methodology &amp; Assumptions'!$B$5, 0)</f>
        <v/>
      </c>
      <c r="P804" s="10" t="inlineStr">
        <is>
          <t>Single Carrier (Band n50, 100MHz TDD)</t>
        </is>
      </c>
      <c r="Q804" s="13">
        <f>ROUNDUP(O804/'Methodology &amp; Assumptions'!$B$6, 0)</f>
        <v/>
      </c>
      <c r="R804" s="13" t="n">
        <v>1</v>
      </c>
      <c r="S804" s="14" t="n">
        <v>7.64</v>
      </c>
      <c r="T804" s="14" t="n">
        <v>5.89</v>
      </c>
      <c r="U804" s="26">
        <f>IF(X804&gt;='Methodology &amp; Assumptions'!$B$7, "Tier 1 Critical GIDA (Score ≥ 50.0)", IF(X804&gt;='Methodology &amp; Assumptions'!$B$8, "Tier 2 High GIDA (Score 40.0–49.9)", "Tier 3 Moderate GIDA (Score &lt; 40.0)"))</f>
        <v/>
      </c>
      <c r="V804" s="26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W804" s="28" t="n">
        <v>0.237</v>
      </c>
      <c r="X804" s="14" t="n">
        <v>52.2</v>
      </c>
      <c r="Y804" s="14">
        <f>ROUND(MIN(100, (X804/69.91)*100), 2)</f>
        <v/>
      </c>
    </row>
    <row r="805">
      <c r="A805" s="10" t="n">
        <v>1</v>
      </c>
      <c r="B805" s="10" t="n">
        <v>801</v>
      </c>
      <c r="C805" s="10" t="n">
        <v>801</v>
      </c>
      <c r="D805" s="10" t="inlineStr">
        <is>
          <t>0402118011</t>
        </is>
      </c>
      <c r="E805" s="26" t="inlineStr">
        <is>
          <t>Region IV-A (CALABARZON)</t>
        </is>
      </c>
      <c r="F805" s="26" t="inlineStr">
        <is>
          <t>Cavite</t>
        </is>
      </c>
      <c r="G805" s="26" t="inlineStr">
        <is>
          <t>Silang</t>
        </is>
      </c>
      <c r="H805" s="26" t="inlineStr">
        <is>
          <t>Bulihan</t>
        </is>
      </c>
      <c r="I805" s="27" t="n">
        <v>14.280155</v>
      </c>
      <c r="J805" s="27" t="n">
        <v>120.996164</v>
      </c>
      <c r="K805" s="10" t="inlineStr">
        <is>
          <t>U</t>
        </is>
      </c>
      <c r="L805" s="12" t="n">
        <v>26302</v>
      </c>
      <c r="M805" s="14" t="n">
        <v>3.4</v>
      </c>
      <c r="N805" s="12">
        <f>ROUND(L805/M805, 0)</f>
        <v/>
      </c>
      <c r="O805" s="12">
        <f>ROUND(N805*'Methodology &amp; Assumptions'!$B$5, 0)</f>
        <v/>
      </c>
      <c r="P805" s="10" t="inlineStr">
        <is>
          <t>Single Carrier (Band n50, 100MHz TDD)</t>
        </is>
      </c>
      <c r="Q805" s="13">
        <f>ROUNDUP(O805/'Methodology &amp; Assumptions'!$B$6, 0)</f>
        <v/>
      </c>
      <c r="R805" s="13" t="n">
        <v>1</v>
      </c>
      <c r="S805" s="14" t="n">
        <v>0.68</v>
      </c>
      <c r="T805" s="14" t="n">
        <v>3.3</v>
      </c>
      <c r="U805" s="26">
        <f>IF(X805&gt;='Methodology &amp; Assumptions'!$B$7, "Tier 1 Critical GIDA (Score ≥ 50.0)", IF(X805&gt;='Methodology &amp; Assumptions'!$B$8, "Tier 2 High GIDA (Score 40.0–49.9)", "Tier 3 Moderate GIDA (Score &lt; 40.0)"))</f>
        <v/>
      </c>
      <c r="V805" s="26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W805" s="28" t="n">
        <v>0.07200000000000001</v>
      </c>
      <c r="X805" s="14" t="n">
        <v>52.2</v>
      </c>
      <c r="Y805" s="14">
        <f>ROUND(MIN(100, (X805/69.91)*100), 2)</f>
        <v/>
      </c>
    </row>
    <row r="806">
      <c r="A806" s="10" t="n">
        <v>1</v>
      </c>
      <c r="B806" s="10" t="n">
        <v>802</v>
      </c>
      <c r="C806" s="10" t="n">
        <v>802</v>
      </c>
      <c r="D806" s="10" t="inlineStr">
        <is>
          <t>1402708016</t>
        </is>
      </c>
      <c r="E806" s="26" t="inlineStr">
        <is>
          <t>Cordillera Administrative Region (CAR)</t>
        </is>
      </c>
      <c r="F806" s="26" t="inlineStr">
        <is>
          <t>Ifugao</t>
        </is>
      </c>
      <c r="G806" s="26" t="inlineStr">
        <is>
          <t>Aguinaldo</t>
        </is>
      </c>
      <c r="H806" s="26" t="inlineStr">
        <is>
          <t>Buwag</t>
        </is>
      </c>
      <c r="I806" s="27" t="n">
        <v>16.934918</v>
      </c>
      <c r="J806" s="27" t="n">
        <v>121.312821</v>
      </c>
      <c r="K806" s="10" t="inlineStr">
        <is>
          <t>R</t>
        </is>
      </c>
      <c r="L806" s="12" t="n">
        <v>390</v>
      </c>
      <c r="M806" s="14" t="n">
        <v>3.9</v>
      </c>
      <c r="N806" s="12">
        <f>ROUND(L806/M806, 0)</f>
        <v/>
      </c>
      <c r="O806" s="12">
        <f>ROUND(N806*'Methodology &amp; Assumptions'!$B$5, 0)</f>
        <v/>
      </c>
      <c r="P806" s="10" t="inlineStr">
        <is>
          <t>Single Carrier (Band n50, 100MHz TDD)</t>
        </is>
      </c>
      <c r="Q806" s="13">
        <f>ROUNDUP(O806/'Methodology &amp; Assumptions'!$B$6, 0)</f>
        <v/>
      </c>
      <c r="R806" s="13" t="n">
        <v>1</v>
      </c>
      <c r="S806" s="14" t="n">
        <v>5.18</v>
      </c>
      <c r="T806" s="14" t="n">
        <v>25.2</v>
      </c>
      <c r="U806" s="26">
        <f>IF(X806&gt;='Methodology &amp; Assumptions'!$B$7, "Tier 1 Critical GIDA (Score ≥ 50.0)", IF(X806&gt;='Methodology &amp; Assumptions'!$B$8, "Tier 2 High GIDA (Score 40.0–49.9)", "Tier 3 Moderate GIDA (Score &lt; 40.0)"))</f>
        <v/>
      </c>
      <c r="V806" s="26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W806" s="28" t="n">
        <v>0.109</v>
      </c>
      <c r="X806" s="14" t="n">
        <v>52.2</v>
      </c>
      <c r="Y806" s="14">
        <f>ROUND(MIN(100, (X806/69.91)*100), 2)</f>
        <v/>
      </c>
    </row>
    <row r="807">
      <c r="A807" s="10" t="n">
        <v>1</v>
      </c>
      <c r="B807" s="10" t="n">
        <v>803</v>
      </c>
      <c r="C807" s="10" t="n">
        <v>803</v>
      </c>
      <c r="D807" s="10" t="inlineStr">
        <is>
          <t>1408101003</t>
        </is>
      </c>
      <c r="E807" s="26" t="inlineStr">
        <is>
          <t>Cordillera Administrative Region (CAR)</t>
        </is>
      </c>
      <c r="F807" s="26" t="inlineStr">
        <is>
          <t>Apayao</t>
        </is>
      </c>
      <c r="G807" s="26" t="inlineStr">
        <is>
          <t>Calanasan</t>
        </is>
      </c>
      <c r="H807" s="26" t="inlineStr">
        <is>
          <t>Langnao</t>
        </is>
      </c>
      <c r="I807" s="27" t="n">
        <v>18.182583</v>
      </c>
      <c r="J807" s="27" t="n">
        <v>121.114175</v>
      </c>
      <c r="K807" s="10" t="inlineStr">
        <is>
          <t>R</t>
        </is>
      </c>
      <c r="L807" s="12" t="n">
        <v>234</v>
      </c>
      <c r="M807" s="14" t="n">
        <v>4.2</v>
      </c>
      <c r="N807" s="12">
        <f>ROUND(L807/M807, 0)</f>
        <v/>
      </c>
      <c r="O807" s="12">
        <f>ROUND(N807*'Methodology &amp; Assumptions'!$B$5, 0)</f>
        <v/>
      </c>
      <c r="P807" s="10" t="inlineStr">
        <is>
          <t>Single Carrier (Band n50, 100MHz TDD)</t>
        </is>
      </c>
      <c r="Q807" s="13">
        <f>ROUNDUP(O807/'Methodology &amp; Assumptions'!$B$6, 0)</f>
        <v/>
      </c>
      <c r="R807" s="13" t="n">
        <v>1</v>
      </c>
      <c r="S807" s="14" t="n">
        <v>19.46</v>
      </c>
      <c r="T807" s="14" t="n">
        <v>22.49</v>
      </c>
      <c r="U807" s="26">
        <f>IF(X807&gt;='Methodology &amp; Assumptions'!$B$7, "Tier 1 Critical GIDA (Score ≥ 50.0)", IF(X807&gt;='Methodology &amp; Assumptions'!$B$8, "Tier 2 High GIDA (Score 40.0–49.9)", "Tier 3 Moderate GIDA (Score &lt; 40.0)"))</f>
        <v/>
      </c>
      <c r="V807" s="26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W807" s="28" t="n">
        <v>0.109</v>
      </c>
      <c r="X807" s="14" t="n">
        <v>52.2</v>
      </c>
      <c r="Y807" s="14">
        <f>ROUND(MIN(100, (X807/69.91)*100), 2)</f>
        <v/>
      </c>
    </row>
    <row r="808">
      <c r="A808" s="10" t="n">
        <v>1</v>
      </c>
      <c r="B808" s="10" t="n">
        <v>804</v>
      </c>
      <c r="C808" s="10" t="n">
        <v>804</v>
      </c>
      <c r="D808" s="10" t="inlineStr">
        <is>
          <t>PH0000804</t>
        </is>
      </c>
      <c r="E808" s="26" t="inlineStr">
        <is>
          <t>IV-A</t>
        </is>
      </c>
      <c r="F808" s="26" t="inlineStr">
        <is>
          <t>Laguna</t>
        </is>
      </c>
      <c r="G808" s="26" t="inlineStr">
        <is>
          <t>San Pablo City</t>
        </is>
      </c>
      <c r="H808" s="26" t="inlineStr">
        <is>
          <t>Barangay III-A (Pob.)</t>
        </is>
      </c>
      <c r="I808" s="27" t="n">
        <v>14.049528</v>
      </c>
      <c r="J808" s="27" t="n">
        <v>121.320256</v>
      </c>
      <c r="K808" s="10" t="inlineStr">
        <is>
          <t>R</t>
        </is>
      </c>
      <c r="L808" s="12" t="n">
        <v>2412</v>
      </c>
      <c r="M808" s="14" t="n">
        <v>3.3</v>
      </c>
      <c r="N808" s="12">
        <f>ROUND(L808/M808, 0)</f>
        <v/>
      </c>
      <c r="O808" s="12">
        <f>ROUND(N808*'Methodology &amp; Assumptions'!$B$5, 0)</f>
        <v/>
      </c>
      <c r="P808" s="10" t="inlineStr">
        <is>
          <t>Single Carrier (Band n50, 100MHz TDD)</t>
        </is>
      </c>
      <c r="Q808" s="13">
        <f>ROUNDUP(O808/'Methodology &amp; Assumptions'!$B$6, 0)</f>
        <v/>
      </c>
      <c r="R808" s="13" t="n">
        <v>1</v>
      </c>
      <c r="S808" s="14" t="n">
        <v>1.48</v>
      </c>
      <c r="T808" s="14" t="n">
        <v>1.47</v>
      </c>
      <c r="U808" s="26">
        <f>IF(X808&gt;='Methodology &amp; Assumptions'!$B$7, "Tier 1 Critical GIDA (Score ≥ 50.0)", IF(X808&gt;='Methodology &amp; Assumptions'!$B$8, "Tier 2 High GIDA (Score 40.0–49.9)", "Tier 3 Moderate GIDA (Score &lt; 40.0)"))</f>
        <v/>
      </c>
      <c r="V808" s="26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W808" s="28" t="n">
        <v>0.07200000000000001</v>
      </c>
      <c r="X808" s="14" t="n">
        <v>52.19</v>
      </c>
      <c r="Y808" s="14">
        <f>ROUND(MIN(100, (X808/69.91)*100), 2)</f>
        <v/>
      </c>
    </row>
    <row r="809">
      <c r="A809" s="10" t="n">
        <v>1</v>
      </c>
      <c r="B809" s="10" t="n">
        <v>805</v>
      </c>
      <c r="C809" s="10" t="n">
        <v>805</v>
      </c>
      <c r="D809" s="10" t="inlineStr">
        <is>
          <t>1907005022</t>
        </is>
      </c>
      <c r="E809" s="26" t="inlineStr">
        <is>
          <t>Bangsamoro Autonomous Region In Muslim Mindanao (BARMM)</t>
        </is>
      </c>
      <c r="F809" s="26" t="inlineStr">
        <is>
          <t>Tawi-Tawi</t>
        </is>
      </c>
      <c r="G809" s="26" t="inlineStr">
        <is>
          <t>Sitangkai</t>
        </is>
      </c>
      <c r="H809" s="26" t="inlineStr">
        <is>
          <t>North Larap</t>
        </is>
      </c>
      <c r="I809" s="27" t="n">
        <v>16.446125</v>
      </c>
      <c r="J809" s="27" t="n">
        <v>121.964258</v>
      </c>
      <c r="K809" s="10" t="inlineStr">
        <is>
          <t>R</t>
        </is>
      </c>
      <c r="L809" s="12" t="n">
        <v>3176</v>
      </c>
      <c r="M809" s="14" t="n">
        <v>5.8</v>
      </c>
      <c r="N809" s="12">
        <f>ROUND(L809/M809, 0)</f>
        <v/>
      </c>
      <c r="O809" s="12">
        <f>ROUND(N809*'Methodology &amp; Assumptions'!$B$5, 0)</f>
        <v/>
      </c>
      <c r="P809" s="10" t="inlineStr">
        <is>
          <t>Single Carrier (Band n50, 100MHz TDD)</t>
        </is>
      </c>
      <c r="Q809" s="13">
        <f>ROUNDUP(O809/'Methodology &amp; Assumptions'!$B$6, 0)</f>
        <v/>
      </c>
      <c r="R809" s="13" t="n">
        <v>1</v>
      </c>
      <c r="S809" s="14" t="n">
        <v>22.61</v>
      </c>
      <c r="T809" s="14" t="n">
        <v>20.83</v>
      </c>
      <c r="U809" s="26">
        <f>IF(X809&gt;='Methodology &amp; Assumptions'!$B$7, "Tier 1 Critical GIDA (Score ≥ 50.0)", IF(X809&gt;='Methodology &amp; Assumptions'!$B$8, "Tier 2 High GIDA (Score 40.0–49.9)", "Tier 3 Moderate GIDA (Score &lt; 40.0)"))</f>
        <v/>
      </c>
      <c r="V809" s="26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W809" s="28" t="n">
        <v>0.11</v>
      </c>
      <c r="X809" s="14" t="n">
        <v>52.19</v>
      </c>
      <c r="Y809" s="14">
        <f>ROUND(MIN(100, (X809/69.91)*100), 2)</f>
        <v/>
      </c>
    </row>
    <row r="810">
      <c r="A810" s="10" t="n">
        <v>1</v>
      </c>
      <c r="B810" s="10" t="n">
        <v>806</v>
      </c>
      <c r="C810" s="10" t="n">
        <v>806</v>
      </c>
      <c r="D810" s="10" t="inlineStr">
        <is>
          <t>1380900003</t>
        </is>
      </c>
      <c r="E810" s="26" t="inlineStr">
        <is>
          <t>National Capital Region (NCR)</t>
        </is>
      </c>
      <c r="F810" s="26" t="inlineStr">
        <is>
          <t>Third District (Not a Province)</t>
        </is>
      </c>
      <c r="G810" s="26" t="inlineStr">
        <is>
          <t>City of Navotas</t>
        </is>
      </c>
      <c r="H810" s="26" t="inlineStr">
        <is>
          <t>Bagumbayan South</t>
        </is>
      </c>
      <c r="I810" s="27" t="n">
        <v>14.651245</v>
      </c>
      <c r="J810" s="27" t="n">
        <v>120.948609</v>
      </c>
      <c r="K810" s="10" t="inlineStr">
        <is>
          <t>U</t>
        </is>
      </c>
      <c r="L810" s="12" t="n">
        <v>4424</v>
      </c>
      <c r="M810" s="14" t="n">
        <v>3.4</v>
      </c>
      <c r="N810" s="12">
        <f>ROUND(L810/M810, 0)</f>
        <v/>
      </c>
      <c r="O810" s="12">
        <f>ROUND(N810*'Methodology &amp; Assumptions'!$B$5, 0)</f>
        <v/>
      </c>
      <c r="P810" s="10" t="inlineStr">
        <is>
          <t>Single Carrier (Band n50, 100MHz TDD)</t>
        </is>
      </c>
      <c r="Q810" s="13">
        <f>ROUNDUP(O810/'Methodology &amp; Assumptions'!$B$6, 0)</f>
        <v/>
      </c>
      <c r="R810" s="13" t="n">
        <v>1</v>
      </c>
      <c r="S810" s="14" t="n">
        <v>0.58</v>
      </c>
      <c r="T810" s="14" t="n">
        <v>0.93</v>
      </c>
      <c r="U810" s="26">
        <f>IF(X810&gt;='Methodology &amp; Assumptions'!$B$7, "Tier 1 Critical GIDA (Score ≥ 50.0)", IF(X810&gt;='Methodology &amp; Assumptions'!$B$8, "Tier 2 High GIDA (Score 40.0–49.9)", "Tier 3 Moderate GIDA (Score &lt; 40.0)"))</f>
        <v/>
      </c>
      <c r="V810" s="26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W810" s="28" t="n">
        <v>0.109</v>
      </c>
      <c r="X810" s="14" t="n">
        <v>52.18</v>
      </c>
      <c r="Y810" s="14">
        <f>ROUND(MIN(100, (X810/69.91)*100), 2)</f>
        <v/>
      </c>
    </row>
    <row r="811">
      <c r="A811" s="10" t="n">
        <v>1</v>
      </c>
      <c r="B811" s="10" t="n">
        <v>807</v>
      </c>
      <c r="C811" s="10" t="n">
        <v>807</v>
      </c>
      <c r="D811" s="10" t="inlineStr">
        <is>
          <t>1408101002</t>
        </is>
      </c>
      <c r="E811" s="26" t="inlineStr">
        <is>
          <t>Cordillera Administrative Region (CAR)</t>
        </is>
      </c>
      <c r="F811" s="26" t="inlineStr">
        <is>
          <t>Apayao</t>
        </is>
      </c>
      <c r="G811" s="26" t="inlineStr">
        <is>
          <t>Calanasan</t>
        </is>
      </c>
      <c r="H811" s="26" t="inlineStr">
        <is>
          <t>Cadaclan</t>
        </is>
      </c>
      <c r="I811" s="27" t="n">
        <v>18.436341</v>
      </c>
      <c r="J811" s="27" t="n">
        <v>121.185911</v>
      </c>
      <c r="K811" s="10" t="inlineStr">
        <is>
          <t>R</t>
        </is>
      </c>
      <c r="L811" s="12" t="n">
        <v>957</v>
      </c>
      <c r="M811" s="14" t="n">
        <v>4.2</v>
      </c>
      <c r="N811" s="12">
        <f>ROUND(L811/M811, 0)</f>
        <v/>
      </c>
      <c r="O811" s="12">
        <f>ROUND(N811*'Methodology &amp; Assumptions'!$B$5, 0)</f>
        <v/>
      </c>
      <c r="P811" s="10" t="inlineStr">
        <is>
          <t>Single Carrier (Band n50, 100MHz TDD)</t>
        </is>
      </c>
      <c r="Q811" s="13">
        <f>ROUNDUP(O811/'Methodology &amp; Assumptions'!$B$6, 0)</f>
        <v/>
      </c>
      <c r="R811" s="13" t="n">
        <v>1</v>
      </c>
      <c r="S811" s="14" t="n">
        <v>14.57</v>
      </c>
      <c r="T811" s="14" t="n">
        <v>13.77</v>
      </c>
      <c r="U811" s="26">
        <f>IF(X811&gt;='Methodology &amp; Assumptions'!$B$7, "Tier 1 Critical GIDA (Score ≥ 50.0)", IF(X811&gt;='Methodology &amp; Assumptions'!$B$8, "Tier 2 High GIDA (Score 40.0–49.9)", "Tier 3 Moderate GIDA (Score &lt; 40.0)"))</f>
        <v/>
      </c>
      <c r="V811" s="26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W811" s="28" t="n">
        <v>0.109</v>
      </c>
      <c r="X811" s="14" t="n">
        <v>52.18</v>
      </c>
      <c r="Y811" s="14">
        <f>ROUND(MIN(100, (X811/69.91)*100), 2)</f>
        <v/>
      </c>
    </row>
    <row r="812">
      <c r="A812" s="10" t="n">
        <v>1</v>
      </c>
      <c r="B812" s="10" t="n">
        <v>808</v>
      </c>
      <c r="C812" s="10" t="n">
        <v>808</v>
      </c>
      <c r="D812" s="10" t="inlineStr">
        <is>
          <t>1380900010</t>
        </is>
      </c>
      <c r="E812" s="26" t="inlineStr">
        <is>
          <t>National Capital Region (NCR)</t>
        </is>
      </c>
      <c r="F812" s="26" t="inlineStr">
        <is>
          <t>Third District (Not a Province)</t>
        </is>
      </c>
      <c r="G812" s="26" t="inlineStr">
        <is>
          <t>City of Navotas</t>
        </is>
      </c>
      <c r="H812" s="26" t="inlineStr">
        <is>
          <t>San Jose</t>
        </is>
      </c>
      <c r="I812" s="27" t="n">
        <v>14.662471</v>
      </c>
      <c r="J812" s="27" t="n">
        <v>120.943799</v>
      </c>
      <c r="K812" s="10" t="inlineStr">
        <is>
          <t>U</t>
        </is>
      </c>
      <c r="L812" s="12" t="n">
        <v>24466</v>
      </c>
      <c r="M812" s="14" t="n">
        <v>3.4</v>
      </c>
      <c r="N812" s="12">
        <f>ROUND(L812/M812, 0)</f>
        <v/>
      </c>
      <c r="O812" s="12">
        <f>ROUND(N812*'Methodology &amp; Assumptions'!$B$5, 0)</f>
        <v/>
      </c>
      <c r="P812" s="10" t="inlineStr">
        <is>
          <t>Single Carrier (Band n50, 100MHz TDD)</t>
        </is>
      </c>
      <c r="Q812" s="13">
        <f>ROUNDUP(O812/'Methodology &amp; Assumptions'!$B$6, 0)</f>
        <v/>
      </c>
      <c r="R812" s="13" t="n">
        <v>1</v>
      </c>
      <c r="S812" s="14" t="n">
        <v>0.78</v>
      </c>
      <c r="T812" s="14" t="n">
        <v>0.65</v>
      </c>
      <c r="U812" s="26">
        <f>IF(X812&gt;='Methodology &amp; Assumptions'!$B$7, "Tier 1 Critical GIDA (Score ≥ 50.0)", IF(X812&gt;='Methodology &amp; Assumptions'!$B$8, "Tier 2 High GIDA (Score 40.0–49.9)", "Tier 3 Moderate GIDA (Score &lt; 40.0)"))</f>
        <v/>
      </c>
      <c r="V812" s="26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W812" s="28" t="n">
        <v>0.109</v>
      </c>
      <c r="X812" s="14" t="n">
        <v>52.18</v>
      </c>
      <c r="Y812" s="14">
        <f>ROUND(MIN(100, (X812/69.91)*100), 2)</f>
        <v/>
      </c>
    </row>
    <row r="813">
      <c r="A813" s="10" t="n">
        <v>1</v>
      </c>
      <c r="B813" s="10" t="n">
        <v>809</v>
      </c>
      <c r="C813" s="10" t="n">
        <v>809</v>
      </c>
      <c r="D813" s="10" t="inlineStr">
        <is>
          <t>1907005023</t>
        </is>
      </c>
      <c r="E813" s="26" t="inlineStr">
        <is>
          <t>Bangsamoro Autonomous Region In Muslim Mindanao (BARMM)</t>
        </is>
      </c>
      <c r="F813" s="26" t="inlineStr">
        <is>
          <t>Tawi-Tawi</t>
        </is>
      </c>
      <c r="G813" s="26" t="inlineStr">
        <is>
          <t>Sitangkai</t>
        </is>
      </c>
      <c r="H813" s="26" t="inlineStr">
        <is>
          <t>Panglima Alari</t>
        </is>
      </c>
      <c r="I813" s="27" t="n">
        <v>17.255822</v>
      </c>
      <c r="J813" s="27" t="n">
        <v>122.229866</v>
      </c>
      <c r="K813" s="10" t="inlineStr">
        <is>
          <t>U</t>
        </is>
      </c>
      <c r="L813" s="12" t="n">
        <v>9227</v>
      </c>
      <c r="M813" s="14" t="n">
        <v>5.8</v>
      </c>
      <c r="N813" s="12">
        <f>ROUND(L813/M813, 0)</f>
        <v/>
      </c>
      <c r="O813" s="12">
        <f>ROUND(N813*'Methodology &amp; Assumptions'!$B$5, 0)</f>
        <v/>
      </c>
      <c r="P813" s="10" t="inlineStr">
        <is>
          <t>Single Carrier (Band n50, 100MHz TDD)</t>
        </is>
      </c>
      <c r="Q813" s="13">
        <f>ROUNDUP(O813/'Methodology &amp; Assumptions'!$B$6, 0)</f>
        <v/>
      </c>
      <c r="R813" s="13" t="n">
        <v>1</v>
      </c>
      <c r="S813" s="14" t="n">
        <v>29.56</v>
      </c>
      <c r="T813" s="14" t="n">
        <v>34.43</v>
      </c>
      <c r="U813" s="26">
        <f>IF(X813&gt;='Methodology &amp; Assumptions'!$B$7, "Tier 1 Critical GIDA (Score ≥ 50.0)", IF(X813&gt;='Methodology &amp; Assumptions'!$B$8, "Tier 2 High GIDA (Score 40.0–49.9)", "Tier 3 Moderate GIDA (Score &lt; 40.0)"))</f>
        <v/>
      </c>
      <c r="V813" s="26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W813" s="28" t="n">
        <v>0.11</v>
      </c>
      <c r="X813" s="14" t="n">
        <v>52.16</v>
      </c>
      <c r="Y813" s="14">
        <f>ROUND(MIN(100, (X813/69.91)*100), 2)</f>
        <v/>
      </c>
    </row>
    <row r="814">
      <c r="A814" s="10" t="n">
        <v>1</v>
      </c>
      <c r="B814" s="10" t="n">
        <v>810</v>
      </c>
      <c r="C814" s="10" t="n">
        <v>810</v>
      </c>
      <c r="D814" s="10" t="inlineStr">
        <is>
          <t>1380601014</t>
        </is>
      </c>
      <c r="E814" s="26" t="inlineStr">
        <is>
          <t>National Capital Region (NCR)</t>
        </is>
      </c>
      <c r="F814" s="26" t="inlineStr">
        <is>
          <t>First District (Not a Province)</t>
        </is>
      </c>
      <c r="G814" s="26" t="inlineStr">
        <is>
          <t>City of Manila</t>
        </is>
      </c>
      <c r="H814" s="26" t="inlineStr">
        <is>
          <t>Barangay 14</t>
        </is>
      </c>
      <c r="I814" s="27" t="n">
        <v>13.00799</v>
      </c>
      <c r="J814" s="27" t="n">
        <v>121.815494</v>
      </c>
      <c r="K814" s="10" t="inlineStr">
        <is>
          <t>U</t>
        </is>
      </c>
      <c r="L814" s="12" t="n">
        <v>2133</v>
      </c>
      <c r="M814" s="14" t="n">
        <v>3.9</v>
      </c>
      <c r="N814" s="12">
        <f>ROUND(L814/M814, 0)</f>
        <v/>
      </c>
      <c r="O814" s="12">
        <f>ROUND(N814*'Methodology &amp; Assumptions'!$B$5, 0)</f>
        <v/>
      </c>
      <c r="P814" s="10" t="inlineStr">
        <is>
          <t>Single Carrier (Band n50, 100MHz TDD)</t>
        </is>
      </c>
      <c r="Q814" s="13">
        <f>ROUNDUP(O814/'Methodology &amp; Assumptions'!$B$6, 0)</f>
        <v/>
      </c>
      <c r="R814" s="13" t="n">
        <v>1</v>
      </c>
      <c r="S814" s="14" t="n">
        <v>34.03</v>
      </c>
      <c r="T814" s="14" t="n">
        <v>36.43</v>
      </c>
      <c r="U814" s="26">
        <f>IF(X814&gt;='Methodology &amp; Assumptions'!$B$7, "Tier 1 Critical GIDA (Score ≥ 50.0)", IF(X814&gt;='Methodology &amp; Assumptions'!$B$8, "Tier 2 High GIDA (Score 40.0–49.9)", "Tier 3 Moderate GIDA (Score &lt; 40.0)"))</f>
        <v/>
      </c>
      <c r="V814" s="26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W814" s="28" t="n">
        <v>0.109</v>
      </c>
      <c r="X814" s="14" t="n">
        <v>52.16</v>
      </c>
      <c r="Y814" s="14">
        <f>ROUND(MIN(100, (X814/69.91)*100), 2)</f>
        <v/>
      </c>
    </row>
    <row r="815">
      <c r="A815" s="10" t="n">
        <v>1</v>
      </c>
      <c r="B815" s="10" t="n">
        <v>811</v>
      </c>
      <c r="C815" s="10" t="n">
        <v>811</v>
      </c>
      <c r="D815" s="10" t="inlineStr">
        <is>
          <t>PH0000811</t>
        </is>
      </c>
      <c r="E815" s="26" t="inlineStr">
        <is>
          <t>IV-A</t>
        </is>
      </c>
      <c r="F815" s="26" t="inlineStr">
        <is>
          <t>Laguna</t>
        </is>
      </c>
      <c r="G815" s="26" t="inlineStr">
        <is>
          <t>San Pablo City</t>
        </is>
      </c>
      <c r="H815" s="26" t="inlineStr">
        <is>
          <t>Barangay VII-B (Pob.)</t>
        </is>
      </c>
      <c r="I815" s="27" t="n">
        <v>14.067116</v>
      </c>
      <c r="J815" s="27" t="n">
        <v>121.316136</v>
      </c>
      <c r="K815" s="10" t="inlineStr">
        <is>
          <t>R</t>
        </is>
      </c>
      <c r="L815" s="12" t="n">
        <v>2412</v>
      </c>
      <c r="M815" s="14" t="n">
        <v>3.3</v>
      </c>
      <c r="N815" s="12">
        <f>ROUND(L815/M815, 0)</f>
        <v/>
      </c>
      <c r="O815" s="12">
        <f>ROUND(N815*'Methodology &amp; Assumptions'!$B$5, 0)</f>
        <v/>
      </c>
      <c r="P815" s="10" t="inlineStr">
        <is>
          <t>Single Carrier (Band n50, 100MHz TDD)</t>
        </is>
      </c>
      <c r="Q815" s="13">
        <f>ROUNDUP(O815/'Methodology &amp; Assumptions'!$B$6, 0)</f>
        <v/>
      </c>
      <c r="R815" s="13" t="n">
        <v>1</v>
      </c>
      <c r="S815" s="14" t="n">
        <v>1.55</v>
      </c>
      <c r="T815" s="14" t="n">
        <v>0.52</v>
      </c>
      <c r="U815" s="26">
        <f>IF(X815&gt;='Methodology &amp; Assumptions'!$B$7, "Tier 1 Critical GIDA (Score ≥ 50.0)", IF(X815&gt;='Methodology &amp; Assumptions'!$B$8, "Tier 2 High GIDA (Score 40.0–49.9)", "Tier 3 Moderate GIDA (Score &lt; 40.0)"))</f>
        <v/>
      </c>
      <c r="V815" s="26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W815" s="28" t="n">
        <v>0.07200000000000001</v>
      </c>
      <c r="X815" s="14" t="n">
        <v>52.16</v>
      </c>
      <c r="Y815" s="14">
        <f>ROUND(MIN(100, (X815/69.91)*100), 2)</f>
        <v/>
      </c>
    </row>
    <row r="816">
      <c r="A816" s="10" t="n">
        <v>1</v>
      </c>
      <c r="B816" s="10" t="n">
        <v>812</v>
      </c>
      <c r="C816" s="10" t="n">
        <v>812</v>
      </c>
      <c r="D816" s="10" t="inlineStr">
        <is>
          <t>PH0000812</t>
        </is>
      </c>
      <c r="E816" s="26" t="inlineStr">
        <is>
          <t>VIII</t>
        </is>
      </c>
      <c r="F816" s="26" t="inlineStr">
        <is>
          <t>Leyte</t>
        </is>
      </c>
      <c r="G816" s="26" t="inlineStr">
        <is>
          <t>Tacloban City</t>
        </is>
      </c>
      <c r="H816" s="26" t="inlineStr">
        <is>
          <t>Barangay 24</t>
        </is>
      </c>
      <c r="I816" s="27" t="n">
        <v>11.274716</v>
      </c>
      <c r="J816" s="27" t="n">
        <v>124.980773</v>
      </c>
      <c r="K816" s="10" t="inlineStr">
        <is>
          <t>R</t>
        </is>
      </c>
      <c r="L816" s="12" t="n">
        <v>2258</v>
      </c>
      <c r="M816" s="14" t="n">
        <v>3.8</v>
      </c>
      <c r="N816" s="12">
        <f>ROUND(L816/M816, 0)</f>
        <v/>
      </c>
      <c r="O816" s="12">
        <f>ROUND(N816*'Methodology &amp; Assumptions'!$B$5, 0)</f>
        <v/>
      </c>
      <c r="P816" s="10" t="inlineStr">
        <is>
          <t>Single Carrier (Band n50, 100MHz TDD)</t>
        </is>
      </c>
      <c r="Q816" s="13">
        <f>ROUNDUP(O816/'Methodology &amp; Assumptions'!$B$6, 0)</f>
        <v/>
      </c>
      <c r="R816" s="13" t="n">
        <v>1</v>
      </c>
      <c r="S816" s="14" t="n">
        <v>4.56</v>
      </c>
      <c r="T816" s="14" t="n">
        <v>7.59</v>
      </c>
      <c r="U816" s="26">
        <f>IF(X816&gt;='Methodology &amp; Assumptions'!$B$7, "Tier 1 Critical GIDA (Score ≥ 50.0)", IF(X816&gt;='Methodology &amp; Assumptions'!$B$8, "Tier 2 High GIDA (Score 40.0–49.9)", "Tier 3 Moderate GIDA (Score &lt; 40.0)"))</f>
        <v/>
      </c>
      <c r="V816" s="26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W816" s="28" t="n">
        <v>0.222</v>
      </c>
      <c r="X816" s="14" t="n">
        <v>52.14</v>
      </c>
      <c r="Y816" s="14">
        <f>ROUND(MIN(100, (X816/69.91)*100), 2)</f>
        <v/>
      </c>
    </row>
    <row r="817">
      <c r="A817" s="10" t="n">
        <v>1</v>
      </c>
      <c r="B817" s="10" t="n">
        <v>813</v>
      </c>
      <c r="C817" s="10" t="n">
        <v>813</v>
      </c>
      <c r="D817" s="10" t="inlineStr">
        <is>
          <t>0806016037</t>
        </is>
      </c>
      <c r="E817" s="26" t="inlineStr">
        <is>
          <t>Region VIII (Eastern Visayas)</t>
        </is>
      </c>
      <c r="F817" s="26" t="inlineStr">
        <is>
          <t>Samar</t>
        </is>
      </c>
      <c r="G817" s="26" t="inlineStr">
        <is>
          <t>Santa Margarita</t>
        </is>
      </c>
      <c r="H817" s="26" t="inlineStr">
        <is>
          <t>Napuro II</t>
        </is>
      </c>
      <c r="I817" s="27" t="n">
        <v>12.050459</v>
      </c>
      <c r="J817" s="27" t="n">
        <v>124.706387</v>
      </c>
      <c r="K817" s="10" t="inlineStr">
        <is>
          <t>R</t>
        </is>
      </c>
      <c r="L817" s="12" t="n">
        <v>1112</v>
      </c>
      <c r="M817" s="14" t="n">
        <v>4.1</v>
      </c>
      <c r="N817" s="12">
        <f>ROUND(L817/M817, 0)</f>
        <v/>
      </c>
      <c r="O817" s="12">
        <f>ROUND(N817*'Methodology &amp; Assumptions'!$B$5, 0)</f>
        <v/>
      </c>
      <c r="P817" s="10" t="inlineStr">
        <is>
          <t>Single Carrier (Band n50, 100MHz TDD)</t>
        </is>
      </c>
      <c r="Q817" s="13">
        <f>ROUNDUP(O817/'Methodology &amp; Assumptions'!$B$6, 0)</f>
        <v/>
      </c>
      <c r="R817" s="13" t="n">
        <v>1</v>
      </c>
      <c r="S817" s="14" t="n">
        <v>83.48999999999999</v>
      </c>
      <c r="T817" s="14" t="n">
        <v>83.44</v>
      </c>
      <c r="U817" s="26">
        <f>IF(X817&gt;='Methodology &amp; Assumptions'!$B$7, "Tier 1 Critical GIDA (Score ≥ 50.0)", IF(X817&gt;='Methodology &amp; Assumptions'!$B$8, "Tier 2 High GIDA (Score 40.0–49.9)", "Tier 3 Moderate GIDA (Score &lt; 40.0)"))</f>
        <v/>
      </c>
      <c r="V817" s="26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W817" s="28" t="n">
        <v>0.237</v>
      </c>
      <c r="X817" s="14" t="n">
        <v>52.14</v>
      </c>
      <c r="Y817" s="14">
        <f>ROUND(MIN(100, (X817/69.91)*100), 2)</f>
        <v/>
      </c>
    </row>
    <row r="818">
      <c r="A818" s="10" t="n">
        <v>1</v>
      </c>
      <c r="B818" s="10" t="n">
        <v>814</v>
      </c>
      <c r="C818" s="10" t="n">
        <v>814</v>
      </c>
      <c r="D818" s="10" t="inlineStr">
        <is>
          <t>0405632001</t>
        </is>
      </c>
      <c r="E818" s="26" t="inlineStr">
        <is>
          <t>Region IV-A (CALABARZON)</t>
        </is>
      </c>
      <c r="F818" s="26" t="inlineStr">
        <is>
          <t>Quezon</t>
        </is>
      </c>
      <c r="G818" s="26" t="inlineStr">
        <is>
          <t>Patnanungan</t>
        </is>
      </c>
      <c r="H818" s="26" t="inlineStr">
        <is>
          <t>Amaga</t>
        </is>
      </c>
      <c r="I818" s="27" t="n">
        <v>14.828034</v>
      </c>
      <c r="J818" s="27" t="n">
        <v>122.142318</v>
      </c>
      <c r="K818" s="10" t="inlineStr">
        <is>
          <t>R</t>
        </is>
      </c>
      <c r="L818" s="12" t="n">
        <v>555</v>
      </c>
      <c r="M818" s="14" t="n">
        <v>3.8</v>
      </c>
      <c r="N818" s="12">
        <f>ROUND(L818/M818, 0)</f>
        <v/>
      </c>
      <c r="O818" s="12">
        <f>ROUND(N818*'Methodology &amp; Assumptions'!$B$5, 0)</f>
        <v/>
      </c>
      <c r="P818" s="10" t="inlineStr">
        <is>
          <t>Single Carrier (Band n50, 100MHz TDD)</t>
        </is>
      </c>
      <c r="Q818" s="13">
        <f>ROUNDUP(O818/'Methodology &amp; Assumptions'!$B$6, 0)</f>
        <v/>
      </c>
      <c r="R818" s="13" t="n">
        <v>1</v>
      </c>
      <c r="S818" s="14" t="n">
        <v>51.89</v>
      </c>
      <c r="T818" s="14" t="n">
        <v>75.34999999999999</v>
      </c>
      <c r="U818" s="26">
        <f>IF(X818&gt;='Methodology &amp; Assumptions'!$B$7, "Tier 1 Critical GIDA (Score ≥ 50.0)", IF(X818&gt;='Methodology &amp; Assumptions'!$B$8, "Tier 2 High GIDA (Score 40.0–49.9)", "Tier 3 Moderate GIDA (Score &lt; 40.0)"))</f>
        <v/>
      </c>
      <c r="V818" s="26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W818" s="28" t="n">
        <v>0.07200000000000001</v>
      </c>
      <c r="X818" s="14" t="n">
        <v>52.13</v>
      </c>
      <c r="Y818" s="14">
        <f>ROUND(MIN(100, (X818/69.91)*100), 2)</f>
        <v/>
      </c>
    </row>
    <row r="819">
      <c r="A819" s="10" t="n">
        <v>1</v>
      </c>
      <c r="B819" s="10" t="n">
        <v>815</v>
      </c>
      <c r="C819" s="10" t="n">
        <v>815</v>
      </c>
      <c r="D819" s="10" t="inlineStr">
        <is>
          <t>0802615015</t>
        </is>
      </c>
      <c r="E819" s="26" t="inlineStr">
        <is>
          <t>Region VIII (Eastern Visayas)</t>
        </is>
      </c>
      <c r="F819" s="26" t="inlineStr">
        <is>
          <t>Eastern Samar</t>
        </is>
      </c>
      <c r="G819" s="26" t="inlineStr">
        <is>
          <t>Maydolong</t>
        </is>
      </c>
      <c r="H819" s="26" t="inlineStr">
        <is>
          <t>Barangay Poblacion 3</t>
        </is>
      </c>
      <c r="I819" s="27" t="n">
        <v>11.482357</v>
      </c>
      <c r="J819" s="27" t="n">
        <v>125.443267</v>
      </c>
      <c r="K819" s="10" t="inlineStr">
        <is>
          <t>R</t>
        </is>
      </c>
      <c r="L819" s="12" t="n">
        <v>988</v>
      </c>
      <c r="M819" s="14" t="n">
        <v>3.9</v>
      </c>
      <c r="N819" s="12">
        <f>ROUND(L819/M819, 0)</f>
        <v/>
      </c>
      <c r="O819" s="12">
        <f>ROUND(N819*'Methodology &amp; Assumptions'!$B$5, 0)</f>
        <v/>
      </c>
      <c r="P819" s="10" t="inlineStr">
        <is>
          <t>Single Carrier (Band n50, 100MHz TDD)</t>
        </is>
      </c>
      <c r="Q819" s="13">
        <f>ROUNDUP(O819/'Methodology &amp; Assumptions'!$B$6, 0)</f>
        <v/>
      </c>
      <c r="R819" s="13" t="n">
        <v>1</v>
      </c>
      <c r="S819" s="14" t="n">
        <v>55.12</v>
      </c>
      <c r="T819" s="14" t="n">
        <v>55.44</v>
      </c>
      <c r="U819" s="26">
        <f>IF(X819&gt;='Methodology &amp; Assumptions'!$B$7, "Tier 1 Critical GIDA (Score ≥ 50.0)", IF(X819&gt;='Methodology &amp; Assumptions'!$B$8, "Tier 2 High GIDA (Score 40.0–49.9)", "Tier 3 Moderate GIDA (Score &lt; 40.0)"))</f>
        <v/>
      </c>
      <c r="V819" s="26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W819" s="28" t="n">
        <v>0.237</v>
      </c>
      <c r="X819" s="14" t="n">
        <v>52.13</v>
      </c>
      <c r="Y819" s="14">
        <f>ROUND(MIN(100, (X819/69.91)*100), 2)</f>
        <v/>
      </c>
    </row>
    <row r="820">
      <c r="A820" s="10" t="n">
        <v>1</v>
      </c>
      <c r="B820" s="10" t="n">
        <v>816</v>
      </c>
      <c r="C820" s="10" t="n">
        <v>816</v>
      </c>
      <c r="D820" s="10" t="inlineStr">
        <is>
          <t>PH0000816</t>
        </is>
      </c>
      <c r="E820" s="26" t="inlineStr">
        <is>
          <t>VIII</t>
        </is>
      </c>
      <c r="F820" s="26" t="inlineStr">
        <is>
          <t>Leyte</t>
        </is>
      </c>
      <c r="G820" s="26" t="inlineStr">
        <is>
          <t>Tacloban City</t>
        </is>
      </c>
      <c r="H820" s="26" t="inlineStr">
        <is>
          <t>Barangay 21-A</t>
        </is>
      </c>
      <c r="I820" s="27" t="n">
        <v>11.24664</v>
      </c>
      <c r="J820" s="27" t="n">
        <v>124.981897</v>
      </c>
      <c r="K820" s="10" t="inlineStr">
        <is>
          <t>R</t>
        </is>
      </c>
      <c r="L820" s="12" t="n">
        <v>2258</v>
      </c>
      <c r="M820" s="14" t="n">
        <v>3.8</v>
      </c>
      <c r="N820" s="12">
        <f>ROUND(L820/M820, 0)</f>
        <v/>
      </c>
      <c r="O820" s="12">
        <f>ROUND(N820*'Methodology &amp; Assumptions'!$B$5, 0)</f>
        <v/>
      </c>
      <c r="P820" s="10" t="inlineStr">
        <is>
          <t>Single Carrier (Band n50, 100MHz TDD)</t>
        </is>
      </c>
      <c r="Q820" s="13">
        <f>ROUNDUP(O820/'Methodology &amp; Assumptions'!$B$6, 0)</f>
        <v/>
      </c>
      <c r="R820" s="13" t="n">
        <v>1</v>
      </c>
      <c r="S820" s="14" t="n">
        <v>2.37</v>
      </c>
      <c r="T820" s="14" t="n">
        <v>4.84</v>
      </c>
      <c r="U820" s="26">
        <f>IF(X820&gt;='Methodology &amp; Assumptions'!$B$7, "Tier 1 Critical GIDA (Score ≥ 50.0)", IF(X820&gt;='Methodology &amp; Assumptions'!$B$8, "Tier 2 High GIDA (Score 40.0–49.9)", "Tier 3 Moderate GIDA (Score &lt; 40.0)"))</f>
        <v/>
      </c>
      <c r="V820" s="26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W820" s="28" t="n">
        <v>0.222</v>
      </c>
      <c r="X820" s="14" t="n">
        <v>52.1</v>
      </c>
      <c r="Y820" s="14">
        <f>ROUND(MIN(100, (X820/69.91)*100), 2)</f>
        <v/>
      </c>
    </row>
    <row r="821">
      <c r="A821" s="10" t="n">
        <v>1</v>
      </c>
      <c r="B821" s="10" t="n">
        <v>817</v>
      </c>
      <c r="C821" s="10" t="n">
        <v>817</v>
      </c>
      <c r="D821" s="10" t="inlineStr">
        <is>
          <t>0806411023</t>
        </is>
      </c>
      <c r="E821" s="26" t="inlineStr">
        <is>
          <t>Region VIII (Eastern Visayas)</t>
        </is>
      </c>
      <c r="F821" s="26" t="inlineStr">
        <is>
          <t>Southern Leyte</t>
        </is>
      </c>
      <c r="G821" s="26" t="inlineStr">
        <is>
          <t>Pintuyan</t>
        </is>
      </c>
      <c r="H821" s="26" t="inlineStr">
        <is>
          <t>Pociano D. Equipilag</t>
        </is>
      </c>
      <c r="I821" s="27" t="n">
        <v>9.940716</v>
      </c>
      <c r="J821" s="27" t="n">
        <v>125.249857</v>
      </c>
      <c r="K821" s="10" t="inlineStr">
        <is>
          <t>R</t>
        </is>
      </c>
      <c r="L821" s="12" t="n">
        <v>400</v>
      </c>
      <c r="M821" s="14" t="n">
        <v>4.1</v>
      </c>
      <c r="N821" s="12">
        <f>ROUND(L821/M821, 0)</f>
        <v/>
      </c>
      <c r="O821" s="12">
        <f>ROUND(N821*'Methodology &amp; Assumptions'!$B$5, 0)</f>
        <v/>
      </c>
      <c r="P821" s="10" t="inlineStr">
        <is>
          <t>Single Carrier (Band n50, 100MHz TDD)</t>
        </is>
      </c>
      <c r="Q821" s="13">
        <f>ROUNDUP(O821/'Methodology &amp; Assumptions'!$B$6, 0)</f>
        <v/>
      </c>
      <c r="R821" s="13" t="n">
        <v>1</v>
      </c>
      <c r="S821" s="14" t="n">
        <v>31.75</v>
      </c>
      <c r="T821" s="14" t="n">
        <v>27.07</v>
      </c>
      <c r="U821" s="26">
        <f>IF(X821&gt;='Methodology &amp; Assumptions'!$B$7, "Tier 1 Critical GIDA (Score ≥ 50.0)", IF(X821&gt;='Methodology &amp; Assumptions'!$B$8, "Tier 2 High GIDA (Score 40.0–49.9)", "Tier 3 Moderate GIDA (Score &lt; 40.0)"))</f>
        <v/>
      </c>
      <c r="V821" s="26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W821" s="28" t="n">
        <v>0.237</v>
      </c>
      <c r="X821" s="14" t="n">
        <v>52.1</v>
      </c>
      <c r="Y821" s="14">
        <f>ROUND(MIN(100, (X821/69.91)*100), 2)</f>
        <v/>
      </c>
    </row>
    <row r="822">
      <c r="A822" s="10" t="n">
        <v>1</v>
      </c>
      <c r="B822" s="10" t="n">
        <v>818</v>
      </c>
      <c r="C822" s="10" t="n">
        <v>818</v>
      </c>
      <c r="D822" s="10" t="inlineStr">
        <is>
          <t>1003506013</t>
        </is>
      </c>
      <c r="E822" s="26" t="inlineStr">
        <is>
          <t>Region X (Northern Mindanao)</t>
        </is>
      </c>
      <c r="F822" s="26" t="inlineStr">
        <is>
          <t>Lanao del Norte</t>
        </is>
      </c>
      <c r="G822" s="26" t="inlineStr">
        <is>
          <t>Sultan Naga Dimaporo</t>
        </is>
      </c>
      <c r="H822" s="26" t="inlineStr">
        <is>
          <t>Ditago</t>
        </is>
      </c>
      <c r="I822" s="27" t="n">
        <v>7.779318</v>
      </c>
      <c r="J822" s="27" t="n">
        <v>123.73284</v>
      </c>
      <c r="K822" s="10" t="inlineStr">
        <is>
          <t>R</t>
        </is>
      </c>
      <c r="L822" s="12" t="n">
        <v>955</v>
      </c>
      <c r="M822" s="14" t="n">
        <v>4.2</v>
      </c>
      <c r="N822" s="12">
        <f>ROUND(L822/M822, 0)</f>
        <v/>
      </c>
      <c r="O822" s="12">
        <f>ROUND(N822*'Methodology &amp; Assumptions'!$B$5, 0)</f>
        <v/>
      </c>
      <c r="P822" s="10" t="inlineStr">
        <is>
          <t>Single Carrier (Band n50, 100MHz TDD)</t>
        </is>
      </c>
      <c r="Q822" s="13">
        <f>ROUNDUP(O822/'Methodology &amp; Assumptions'!$B$6, 0)</f>
        <v/>
      </c>
      <c r="R822" s="13" t="n">
        <v>1</v>
      </c>
      <c r="S822" s="14" t="n">
        <v>25.13</v>
      </c>
      <c r="T822" s="14" t="n">
        <v>11.94</v>
      </c>
      <c r="U822" s="26">
        <f>IF(X822&gt;='Methodology &amp; Assumptions'!$B$7, "Tier 1 Critical GIDA (Score ≥ 50.0)", IF(X822&gt;='Methodology &amp; Assumptions'!$B$8, "Tier 2 High GIDA (Score 40.0–49.9)", "Tier 3 Moderate GIDA (Score &lt; 40.0)"))</f>
        <v/>
      </c>
      <c r="V822" s="26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W822" s="28" t="n">
        <v>0.174</v>
      </c>
      <c r="X822" s="14" t="n">
        <v>52.09</v>
      </c>
      <c r="Y822" s="14">
        <f>ROUND(MIN(100, (X822/69.91)*100), 2)</f>
        <v/>
      </c>
    </row>
    <row r="823">
      <c r="A823" s="10" t="n">
        <v>1</v>
      </c>
      <c r="B823" s="10" t="n">
        <v>819</v>
      </c>
      <c r="C823" s="10" t="n">
        <v>819</v>
      </c>
      <c r="D823" s="10" t="inlineStr">
        <is>
          <t>1907005025</t>
        </is>
      </c>
      <c r="E823" s="26" t="inlineStr">
        <is>
          <t>Bangsamoro Autonomous Region In Muslim Mindanao (BARMM)</t>
        </is>
      </c>
      <c r="F823" s="26" t="inlineStr">
        <is>
          <t>Tawi-Tawi</t>
        </is>
      </c>
      <c r="G823" s="26" t="inlineStr">
        <is>
          <t>Sitangkai</t>
        </is>
      </c>
      <c r="H823" s="26" t="inlineStr">
        <is>
          <t>Sipangkot</t>
        </is>
      </c>
      <c r="I823" s="27" t="n">
        <v>16.09</v>
      </c>
      <c r="J823" s="27" t="n">
        <v>120.39</v>
      </c>
      <c r="K823" s="10" t="inlineStr">
        <is>
          <t>U</t>
        </is>
      </c>
      <c r="L823" s="12" t="n">
        <v>7560</v>
      </c>
      <c r="M823" s="14" t="n">
        <v>5.8</v>
      </c>
      <c r="N823" s="12">
        <f>ROUND(L823/M823, 0)</f>
        <v/>
      </c>
      <c r="O823" s="12">
        <f>ROUND(N823*'Methodology &amp; Assumptions'!$B$5, 0)</f>
        <v/>
      </c>
      <c r="P823" s="10" t="inlineStr">
        <is>
          <t>Single Carrier (Band n50, 100MHz TDD)</t>
        </is>
      </c>
      <c r="Q823" s="13">
        <f>ROUNDUP(O823/'Methodology &amp; Assumptions'!$B$6, 0)</f>
        <v/>
      </c>
      <c r="R823" s="13" t="n">
        <v>1</v>
      </c>
      <c r="S823" s="14" t="n">
        <v>2.8</v>
      </c>
      <c r="T823" s="14" t="n">
        <v>0.19</v>
      </c>
      <c r="U823" s="26">
        <f>IF(X823&gt;='Methodology &amp; Assumptions'!$B$7, "Tier 1 Critical GIDA (Score ≥ 50.0)", IF(X823&gt;='Methodology &amp; Assumptions'!$B$8, "Tier 2 High GIDA (Score 40.0–49.9)", "Tier 3 Moderate GIDA (Score &lt; 40.0)"))</f>
        <v/>
      </c>
      <c r="V823" s="26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W823" s="28" t="n">
        <v>0.11</v>
      </c>
      <c r="X823" s="14" t="n">
        <v>52.08</v>
      </c>
      <c r="Y823" s="14">
        <f>ROUND(MIN(100, (X823/69.91)*100), 2)</f>
        <v/>
      </c>
    </row>
    <row r="824">
      <c r="A824" s="10" t="n">
        <v>1</v>
      </c>
      <c r="B824" s="10" t="n">
        <v>820</v>
      </c>
      <c r="C824" s="10" t="n">
        <v>820</v>
      </c>
      <c r="D824" s="10" t="inlineStr">
        <is>
          <t>PH0000820</t>
        </is>
      </c>
      <c r="E824" s="26" t="inlineStr">
        <is>
          <t>VIII</t>
        </is>
      </c>
      <c r="F824" s="26" t="inlineStr">
        <is>
          <t>Leyte</t>
        </is>
      </c>
      <c r="G824" s="26" t="inlineStr">
        <is>
          <t>Tacloban City</t>
        </is>
      </c>
      <c r="H824" s="26" t="inlineStr">
        <is>
          <t>Barangay 31</t>
        </is>
      </c>
      <c r="I824" s="27" t="n">
        <v>11.268412</v>
      </c>
      <c r="J824" s="27" t="n">
        <v>124.959954</v>
      </c>
      <c r="K824" s="10" t="inlineStr">
        <is>
          <t>R</t>
        </is>
      </c>
      <c r="L824" s="12" t="n">
        <v>2258</v>
      </c>
      <c r="M824" s="14" t="n">
        <v>3.8</v>
      </c>
      <c r="N824" s="12">
        <f>ROUND(L824/M824, 0)</f>
        <v/>
      </c>
      <c r="O824" s="12">
        <f>ROUND(N824*'Methodology &amp; Assumptions'!$B$5, 0)</f>
        <v/>
      </c>
      <c r="P824" s="10" t="inlineStr">
        <is>
          <t>Single Carrier (Band n50, 100MHz TDD)</t>
        </is>
      </c>
      <c r="Q824" s="13">
        <f>ROUNDUP(O824/'Methodology &amp; Assumptions'!$B$6, 0)</f>
        <v/>
      </c>
      <c r="R824" s="13" t="n">
        <v>1</v>
      </c>
      <c r="S824" s="14" t="n">
        <v>5.63</v>
      </c>
      <c r="T824" s="14" t="n">
        <v>8.23</v>
      </c>
      <c r="U824" s="26">
        <f>IF(X824&gt;='Methodology &amp; Assumptions'!$B$7, "Tier 1 Critical GIDA (Score ≥ 50.0)", IF(X824&gt;='Methodology &amp; Assumptions'!$B$8, "Tier 2 High GIDA (Score 40.0–49.9)", "Tier 3 Moderate GIDA (Score &lt; 40.0)"))</f>
        <v/>
      </c>
      <c r="V824" s="26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W824" s="28" t="n">
        <v>0.222</v>
      </c>
      <c r="X824" s="14" t="n">
        <v>52.08</v>
      </c>
      <c r="Y824" s="14">
        <f>ROUND(MIN(100, (X824/69.91)*100), 2)</f>
        <v/>
      </c>
    </row>
    <row r="825">
      <c r="A825" s="10" t="n">
        <v>1</v>
      </c>
      <c r="B825" s="10" t="n">
        <v>821</v>
      </c>
      <c r="C825" s="10" t="n">
        <v>821</v>
      </c>
      <c r="D825" s="10" t="inlineStr">
        <is>
          <t>0806008001</t>
        </is>
      </c>
      <c r="E825" s="26" t="inlineStr">
        <is>
          <t>Region VIII (Eastern Visayas)</t>
        </is>
      </c>
      <c r="F825" s="26" t="inlineStr">
        <is>
          <t>Samar</t>
        </is>
      </c>
      <c r="G825" s="26" t="inlineStr">
        <is>
          <t>Hinabangan</t>
        </is>
      </c>
      <c r="H825" s="26" t="inlineStr">
        <is>
          <t>Bagacay</t>
        </is>
      </c>
      <c r="I825" s="27" t="n">
        <v>11.817694</v>
      </c>
      <c r="J825" s="27" t="n">
        <v>125.231988</v>
      </c>
      <c r="K825" s="10" t="inlineStr">
        <is>
          <t>R</t>
        </is>
      </c>
      <c r="L825" s="12" t="n">
        <v>1374</v>
      </c>
      <c r="M825" s="14" t="n">
        <v>4.1</v>
      </c>
      <c r="N825" s="12">
        <f>ROUND(L825/M825, 0)</f>
        <v/>
      </c>
      <c r="O825" s="12">
        <f>ROUND(N825*'Methodology &amp; Assumptions'!$B$5, 0)</f>
        <v/>
      </c>
      <c r="P825" s="10" t="inlineStr">
        <is>
          <t>Single Carrier (Band n50, 100MHz TDD)</t>
        </is>
      </c>
      <c r="Q825" s="13">
        <f>ROUNDUP(O825/'Methodology &amp; Assumptions'!$B$6, 0)</f>
        <v/>
      </c>
      <c r="R825" s="13" t="n">
        <v>1</v>
      </c>
      <c r="S825" s="14" t="n">
        <v>68.97</v>
      </c>
      <c r="T825" s="14" t="n">
        <v>71.54000000000001</v>
      </c>
      <c r="U825" s="26">
        <f>IF(X825&gt;='Methodology &amp; Assumptions'!$B$7, "Tier 1 Critical GIDA (Score ≥ 50.0)", IF(X825&gt;='Methodology &amp; Assumptions'!$B$8, "Tier 2 High GIDA (Score 40.0–49.9)", "Tier 3 Moderate GIDA (Score &lt; 40.0)"))</f>
        <v/>
      </c>
      <c r="V825" s="26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W825" s="28" t="n">
        <v>0.237</v>
      </c>
      <c r="X825" s="14" t="n">
        <v>52.07</v>
      </c>
      <c r="Y825" s="14">
        <f>ROUND(MIN(100, (X825/69.91)*100), 2)</f>
        <v/>
      </c>
    </row>
    <row r="826">
      <c r="A826" s="10" t="n">
        <v>1</v>
      </c>
      <c r="B826" s="10" t="n">
        <v>822</v>
      </c>
      <c r="C826" s="10" t="n">
        <v>822</v>
      </c>
      <c r="D826" s="10" t="inlineStr">
        <is>
          <t>1380601116</t>
        </is>
      </c>
      <c r="E826" s="26" t="inlineStr">
        <is>
          <t>National Capital Region (NCR)</t>
        </is>
      </c>
      <c r="F826" s="26" t="inlineStr">
        <is>
          <t>First District (Not a Province)</t>
        </is>
      </c>
      <c r="G826" s="26" t="inlineStr">
        <is>
          <t>City of Manila</t>
        </is>
      </c>
      <c r="H826" s="26" t="inlineStr">
        <is>
          <t>Barangay 116</t>
        </is>
      </c>
      <c r="I826" s="27" t="n">
        <v>12.756564</v>
      </c>
      <c r="J826" s="27" t="n">
        <v>121.832901</v>
      </c>
      <c r="K826" s="10" t="inlineStr">
        <is>
          <t>U</t>
        </is>
      </c>
      <c r="L826" s="12" t="n">
        <v>6123</v>
      </c>
      <c r="M826" s="14" t="n">
        <v>3.9</v>
      </c>
      <c r="N826" s="12">
        <f>ROUND(L826/M826, 0)</f>
        <v/>
      </c>
      <c r="O826" s="12">
        <f>ROUND(N826*'Methodology &amp; Assumptions'!$B$5, 0)</f>
        <v/>
      </c>
      <c r="P826" s="10" t="inlineStr">
        <is>
          <t>Single Carrier (Band n50, 100MHz TDD)</t>
        </is>
      </c>
      <c r="Q826" s="13">
        <f>ROUNDUP(O826/'Methodology &amp; Assumptions'!$B$6, 0)</f>
        <v/>
      </c>
      <c r="R826" s="13" t="n">
        <v>1</v>
      </c>
      <c r="S826" s="14" t="n">
        <v>34.91</v>
      </c>
      <c r="T826" s="14" t="n">
        <v>34.19</v>
      </c>
      <c r="U826" s="26">
        <f>IF(X826&gt;='Methodology &amp; Assumptions'!$B$7, "Tier 1 Critical GIDA (Score ≥ 50.0)", IF(X826&gt;='Methodology &amp; Assumptions'!$B$8, "Tier 2 High GIDA (Score 40.0–49.9)", "Tier 3 Moderate GIDA (Score &lt; 40.0)"))</f>
        <v/>
      </c>
      <c r="V826" s="26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W826" s="28" t="n">
        <v>0.109</v>
      </c>
      <c r="X826" s="14" t="n">
        <v>52.07</v>
      </c>
      <c r="Y826" s="14">
        <f>ROUND(MIN(100, (X826/69.91)*100), 2)</f>
        <v/>
      </c>
    </row>
    <row r="827">
      <c r="A827" s="10" t="n">
        <v>1</v>
      </c>
      <c r="B827" s="10" t="n">
        <v>823</v>
      </c>
      <c r="C827" s="10" t="n">
        <v>823</v>
      </c>
      <c r="D827" s="10" t="inlineStr">
        <is>
          <t>1907005021</t>
        </is>
      </c>
      <c r="E827" s="26" t="inlineStr">
        <is>
          <t>Bangsamoro Autonomous Region In Muslim Mindanao (BARMM)</t>
        </is>
      </c>
      <c r="F827" s="26" t="inlineStr">
        <is>
          <t>Tawi-Tawi</t>
        </is>
      </c>
      <c r="G827" s="26" t="inlineStr">
        <is>
          <t>Sitangkai</t>
        </is>
      </c>
      <c r="H827" s="26" t="inlineStr">
        <is>
          <t>Imam Sapie</t>
        </is>
      </c>
      <c r="I827" s="27" t="n">
        <v>17.255827</v>
      </c>
      <c r="J827" s="27" t="n">
        <v>122.229871</v>
      </c>
      <c r="K827" s="10" t="inlineStr">
        <is>
          <t>R</t>
        </is>
      </c>
      <c r="L827" s="12" t="n">
        <v>5021</v>
      </c>
      <c r="M827" s="14" t="n">
        <v>5.8</v>
      </c>
      <c r="N827" s="12">
        <f>ROUND(L827/M827, 0)</f>
        <v/>
      </c>
      <c r="O827" s="12">
        <f>ROUND(N827*'Methodology &amp; Assumptions'!$B$5, 0)</f>
        <v/>
      </c>
      <c r="P827" s="10" t="inlineStr">
        <is>
          <t>Single Carrier (Band n50, 100MHz TDD)</t>
        </is>
      </c>
      <c r="Q827" s="13">
        <f>ROUNDUP(O827/'Methodology &amp; Assumptions'!$B$6, 0)</f>
        <v/>
      </c>
      <c r="R827" s="13" t="n">
        <v>1</v>
      </c>
      <c r="S827" s="14" t="n">
        <v>29.57</v>
      </c>
      <c r="T827" s="14" t="n">
        <v>34.43</v>
      </c>
      <c r="U827" s="26">
        <f>IF(X827&gt;='Methodology &amp; Assumptions'!$B$7, "Tier 1 Critical GIDA (Score ≥ 50.0)", IF(X827&gt;='Methodology &amp; Assumptions'!$B$8, "Tier 2 High GIDA (Score 40.0–49.9)", "Tier 3 Moderate GIDA (Score &lt; 40.0)"))</f>
        <v/>
      </c>
      <c r="V827" s="26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W827" s="28" t="n">
        <v>0.11</v>
      </c>
      <c r="X827" s="14" t="n">
        <v>52.06</v>
      </c>
      <c r="Y827" s="14">
        <f>ROUND(MIN(100, (X827/69.91)*100), 2)</f>
        <v/>
      </c>
    </row>
    <row r="828">
      <c r="A828" s="10" t="n">
        <v>1</v>
      </c>
      <c r="B828" s="10" t="n">
        <v>824</v>
      </c>
      <c r="C828" s="10" t="n">
        <v>824</v>
      </c>
      <c r="D828" s="10" t="inlineStr">
        <is>
          <t>1907007050</t>
        </is>
      </c>
      <c r="E828" s="26" t="inlineStr">
        <is>
          <t>Bangsamoro Autonomous Region In Muslim Mindanao (BARMM)</t>
        </is>
      </c>
      <c r="F828" s="26" t="inlineStr">
        <is>
          <t>Tawi-Tawi</t>
        </is>
      </c>
      <c r="G828" s="26" t="inlineStr">
        <is>
          <t>Tandubas</t>
        </is>
      </c>
      <c r="H828" s="26" t="inlineStr">
        <is>
          <t>Tandubato</t>
        </is>
      </c>
      <c r="I828" s="27" t="n">
        <v>17.255865</v>
      </c>
      <c r="J828" s="27" t="n">
        <v>122.229909</v>
      </c>
      <c r="K828" s="10" t="inlineStr">
        <is>
          <t>R</t>
        </is>
      </c>
      <c r="L828" s="12" t="n">
        <v>1801</v>
      </c>
      <c r="M828" s="14" t="n">
        <v>5.8</v>
      </c>
      <c r="N828" s="12">
        <f>ROUND(L828/M828, 0)</f>
        <v/>
      </c>
      <c r="O828" s="12">
        <f>ROUND(N828*'Methodology &amp; Assumptions'!$B$5, 0)</f>
        <v/>
      </c>
      <c r="P828" s="10" t="inlineStr">
        <is>
          <t>Single Carrier (Band n50, 100MHz TDD)</t>
        </is>
      </c>
      <c r="Q828" s="13">
        <f>ROUNDUP(O828/'Methodology &amp; Assumptions'!$B$6, 0)</f>
        <v/>
      </c>
      <c r="R828" s="13" t="n">
        <v>1</v>
      </c>
      <c r="S828" s="14" t="n">
        <v>29.57</v>
      </c>
      <c r="T828" s="14" t="n">
        <v>34.43</v>
      </c>
      <c r="U828" s="26">
        <f>IF(X828&gt;='Methodology &amp; Assumptions'!$B$7, "Tier 1 Critical GIDA (Score ≥ 50.0)", IF(X828&gt;='Methodology &amp; Assumptions'!$B$8, "Tier 2 High GIDA (Score 40.0–49.9)", "Tier 3 Moderate GIDA (Score &lt; 40.0)"))</f>
        <v/>
      </c>
      <c r="V828" s="26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W828" s="28" t="n">
        <v>0.11</v>
      </c>
      <c r="X828" s="14" t="n">
        <v>52.05</v>
      </c>
      <c r="Y828" s="14">
        <f>ROUND(MIN(100, (X828/69.91)*100), 2)</f>
        <v/>
      </c>
    </row>
    <row r="829">
      <c r="A829" s="10" t="n">
        <v>1</v>
      </c>
      <c r="B829" s="10" t="n">
        <v>825</v>
      </c>
      <c r="C829" s="10" t="n">
        <v>825</v>
      </c>
      <c r="D829" s="10" t="inlineStr">
        <is>
          <t>1907007002</t>
        </is>
      </c>
      <c r="E829" s="26" t="inlineStr">
        <is>
          <t>Bangsamoro Autonomous Region In Muslim Mindanao (BARMM)</t>
        </is>
      </c>
      <c r="F829" s="26" t="inlineStr">
        <is>
          <t>Tawi-Tawi</t>
        </is>
      </c>
      <c r="G829" s="26" t="inlineStr">
        <is>
          <t>Tandubas</t>
        </is>
      </c>
      <c r="H829" s="26" t="inlineStr">
        <is>
          <t>Baliungan</t>
        </is>
      </c>
      <c r="I829" s="27" t="n">
        <v>14.412598</v>
      </c>
      <c r="J829" s="27" t="n">
        <v>121.786611</v>
      </c>
      <c r="K829" s="10" t="inlineStr">
        <is>
          <t>R</t>
        </is>
      </c>
      <c r="L829" s="12" t="n">
        <v>1925</v>
      </c>
      <c r="M829" s="14" t="n">
        <v>5.8</v>
      </c>
      <c r="N829" s="12">
        <f>ROUND(L829/M829, 0)</f>
        <v/>
      </c>
      <c r="O829" s="12">
        <f>ROUND(N829*'Methodology &amp; Assumptions'!$B$5, 0)</f>
        <v/>
      </c>
      <c r="P829" s="10" t="inlineStr">
        <is>
          <t>Single Carrier (Band n50, 100MHz TDD)</t>
        </is>
      </c>
      <c r="Q829" s="13">
        <f>ROUNDUP(O829/'Methodology &amp; Assumptions'!$B$6, 0)</f>
        <v/>
      </c>
      <c r="R829" s="13" t="n">
        <v>1</v>
      </c>
      <c r="S829" s="14" t="n">
        <v>19.89</v>
      </c>
      <c r="T829" s="14" t="n">
        <v>33.2</v>
      </c>
      <c r="U829" s="26">
        <f>IF(X829&gt;='Methodology &amp; Assumptions'!$B$7, "Tier 1 Critical GIDA (Score ≥ 50.0)", IF(X829&gt;='Methodology &amp; Assumptions'!$B$8, "Tier 2 High GIDA (Score 40.0–49.9)", "Tier 3 Moderate GIDA (Score &lt; 40.0)"))</f>
        <v/>
      </c>
      <c r="V829" s="26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W829" s="28" t="n">
        <v>0.11</v>
      </c>
      <c r="X829" s="14" t="n">
        <v>52.05</v>
      </c>
      <c r="Y829" s="14">
        <f>ROUND(MIN(100, (X829/69.91)*100), 2)</f>
        <v/>
      </c>
    </row>
    <row r="830">
      <c r="A830" s="10" t="n">
        <v>1</v>
      </c>
      <c r="B830" s="10" t="n">
        <v>826</v>
      </c>
      <c r="C830" s="10" t="n">
        <v>826</v>
      </c>
      <c r="D830" s="10" t="inlineStr">
        <is>
          <t>PH0000826</t>
        </is>
      </c>
      <c r="E830" s="26" t="inlineStr">
        <is>
          <t>III</t>
        </is>
      </c>
      <c r="F830" s="26" t="inlineStr">
        <is>
          <t>Nueva Ecija</t>
        </is>
      </c>
      <c r="G830" s="26" t="inlineStr">
        <is>
          <t>Cabanatuan City</t>
        </is>
      </c>
      <c r="H830" s="26" t="inlineStr">
        <is>
          <t>San Roque Norte</t>
        </is>
      </c>
      <c r="I830" s="27" t="n">
        <v>15.493617</v>
      </c>
      <c r="J830" s="27" t="n">
        <v>120.990292</v>
      </c>
      <c r="K830" s="10" t="inlineStr">
        <is>
          <t>R</t>
        </is>
      </c>
      <c r="L830" s="12" t="n">
        <v>2398</v>
      </c>
      <c r="M830" s="14" t="n">
        <v>3.5</v>
      </c>
      <c r="N830" s="12">
        <f>ROUND(L830/M830, 0)</f>
        <v/>
      </c>
      <c r="O830" s="12">
        <f>ROUND(N830*'Methodology &amp; Assumptions'!$B$5, 0)</f>
        <v/>
      </c>
      <c r="P830" s="10" t="inlineStr">
        <is>
          <t>Single Carrier (Band n50, 100MHz TDD)</t>
        </is>
      </c>
      <c r="Q830" s="13">
        <f>ROUNDUP(O830/'Methodology &amp; Assumptions'!$B$6, 0)</f>
        <v/>
      </c>
      <c r="R830" s="13" t="n">
        <v>1</v>
      </c>
      <c r="S830" s="14" t="n">
        <v>3.39</v>
      </c>
      <c r="T830" s="14" t="n">
        <v>1.14</v>
      </c>
      <c r="U830" s="26">
        <f>IF(X830&gt;='Methodology &amp; Assumptions'!$B$7, "Tier 1 Critical GIDA (Score ≥ 50.0)", IF(X830&gt;='Methodology &amp; Assumptions'!$B$8, "Tier 2 High GIDA (Score 40.0–49.9)", "Tier 3 Moderate GIDA (Score &lt; 40.0)"))</f>
        <v/>
      </c>
      <c r="V830" s="26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W830" s="28" t="n">
        <v>0.083</v>
      </c>
      <c r="X830" s="14" t="n">
        <v>52.05</v>
      </c>
      <c r="Y830" s="14">
        <f>ROUND(MIN(100, (X830/69.91)*100), 2)</f>
        <v/>
      </c>
    </row>
    <row r="831">
      <c r="A831" s="10" t="n">
        <v>1</v>
      </c>
      <c r="B831" s="10" t="n">
        <v>827</v>
      </c>
      <c r="C831" s="10" t="n">
        <v>827</v>
      </c>
      <c r="D831" s="10" t="inlineStr">
        <is>
          <t>1907007026</t>
        </is>
      </c>
      <c r="E831" s="26" t="inlineStr">
        <is>
          <t>Bangsamoro Autonomous Region In Muslim Mindanao (BARMM)</t>
        </is>
      </c>
      <c r="F831" s="26" t="inlineStr">
        <is>
          <t>Tawi-Tawi</t>
        </is>
      </c>
      <c r="G831" s="26" t="inlineStr">
        <is>
          <t>Tandubas</t>
        </is>
      </c>
      <c r="H831" s="26" t="inlineStr">
        <is>
          <t>Naungan</t>
        </is>
      </c>
      <c r="I831" s="27" t="n">
        <v>5.246111</v>
      </c>
      <c r="J831" s="27" t="n">
        <v>120.355003</v>
      </c>
      <c r="K831" s="10" t="inlineStr">
        <is>
          <t>R</t>
        </is>
      </c>
      <c r="L831" s="12" t="n">
        <v>1415</v>
      </c>
      <c r="M831" s="14" t="n">
        <v>5.8</v>
      </c>
      <c r="N831" s="12">
        <f>ROUND(L831/M831, 0)</f>
        <v/>
      </c>
      <c r="O831" s="12">
        <f>ROUND(N831*'Methodology &amp; Assumptions'!$B$5, 0)</f>
        <v/>
      </c>
      <c r="P831" s="10" t="inlineStr">
        <is>
          <t>Single Carrier (Band n50, 100MHz TDD)</t>
        </is>
      </c>
      <c r="Q831" s="13">
        <f>ROUNDUP(O831/'Methodology &amp; Assumptions'!$B$6, 0)</f>
        <v/>
      </c>
      <c r="R831" s="13" t="n">
        <v>1</v>
      </c>
      <c r="S831" s="14" t="n">
        <v>265.25</v>
      </c>
      <c r="T831" s="14" t="n">
        <v>265.25</v>
      </c>
      <c r="U831" s="26">
        <f>IF(X831&gt;='Methodology &amp; Assumptions'!$B$7, "Tier 1 Critical GIDA (Score ≥ 50.0)", IF(X831&gt;='Methodology &amp; Assumptions'!$B$8, "Tier 2 High GIDA (Score 40.0–49.9)", "Tier 3 Moderate GIDA (Score &lt; 40.0)"))</f>
        <v/>
      </c>
      <c r="V831" s="26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W831" s="28" t="n">
        <v>0.11</v>
      </c>
      <c r="X831" s="14" t="n">
        <v>52.05</v>
      </c>
      <c r="Y831" s="14">
        <f>ROUND(MIN(100, (X831/69.91)*100), 2)</f>
        <v/>
      </c>
    </row>
    <row r="832">
      <c r="A832" s="10" t="n">
        <v>1</v>
      </c>
      <c r="B832" s="10" t="n">
        <v>828</v>
      </c>
      <c r="C832" s="10" t="n">
        <v>828</v>
      </c>
      <c r="D832" s="10" t="inlineStr">
        <is>
          <t>1907005004</t>
        </is>
      </c>
      <c r="E832" s="26" t="inlineStr">
        <is>
          <t>Bangsamoro Autonomous Region In Muslim Mindanao (BARMM)</t>
        </is>
      </c>
      <c r="F832" s="26" t="inlineStr">
        <is>
          <t>Tawi-Tawi</t>
        </is>
      </c>
      <c r="G832" s="26" t="inlineStr">
        <is>
          <t>Sitangkai</t>
        </is>
      </c>
      <c r="H832" s="26" t="inlineStr">
        <is>
          <t>Sitangkai Poblacion</t>
        </is>
      </c>
      <c r="I832" s="27" t="n">
        <v>17.255824</v>
      </c>
      <c r="J832" s="27" t="n">
        <v>122.229868</v>
      </c>
      <c r="K832" s="10" t="inlineStr">
        <is>
          <t>R</t>
        </is>
      </c>
      <c r="L832" s="12" t="n">
        <v>4093</v>
      </c>
      <c r="M832" s="14" t="n">
        <v>5.8</v>
      </c>
      <c r="N832" s="12">
        <f>ROUND(L832/M832, 0)</f>
        <v/>
      </c>
      <c r="O832" s="12">
        <f>ROUND(N832*'Methodology &amp; Assumptions'!$B$5, 0)</f>
        <v/>
      </c>
      <c r="P832" s="10" t="inlineStr">
        <is>
          <t>Single Carrier (Band n50, 100MHz TDD)</t>
        </is>
      </c>
      <c r="Q832" s="13">
        <f>ROUNDUP(O832/'Methodology &amp; Assumptions'!$B$6, 0)</f>
        <v/>
      </c>
      <c r="R832" s="13" t="n">
        <v>1</v>
      </c>
      <c r="S832" s="14" t="n">
        <v>29.56</v>
      </c>
      <c r="T832" s="14" t="n">
        <v>34.43</v>
      </c>
      <c r="U832" s="26">
        <f>IF(X832&gt;='Methodology &amp; Assumptions'!$B$7, "Tier 1 Critical GIDA (Score ≥ 50.0)", IF(X832&gt;='Methodology &amp; Assumptions'!$B$8, "Tier 2 High GIDA (Score 40.0–49.9)", "Tier 3 Moderate GIDA (Score &lt; 40.0)"))</f>
        <v/>
      </c>
      <c r="V832" s="26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W832" s="28" t="n">
        <v>0.11</v>
      </c>
      <c r="X832" s="14" t="n">
        <v>52.05</v>
      </c>
      <c r="Y832" s="14">
        <f>ROUND(MIN(100, (X832/69.91)*100), 2)</f>
        <v/>
      </c>
    </row>
    <row r="833">
      <c r="A833" s="10" t="n">
        <v>1</v>
      </c>
      <c r="B833" s="10" t="n">
        <v>829</v>
      </c>
      <c r="C833" s="10" t="n">
        <v>829</v>
      </c>
      <c r="D833" s="10" t="inlineStr">
        <is>
          <t>1907007048</t>
        </is>
      </c>
      <c r="E833" s="26" t="inlineStr">
        <is>
          <t>Bangsamoro Autonomous Region In Muslim Mindanao (BARMM)</t>
        </is>
      </c>
      <c r="F833" s="26" t="inlineStr">
        <is>
          <t>Tawi-Tawi</t>
        </is>
      </c>
      <c r="G833" s="26" t="inlineStr">
        <is>
          <t>Tandubas</t>
        </is>
      </c>
      <c r="H833" s="26" t="inlineStr">
        <is>
          <t>Salamat</t>
        </is>
      </c>
      <c r="I833" s="27" t="n">
        <v>14.416796</v>
      </c>
      <c r="J833" s="27" t="n">
        <v>121.776681</v>
      </c>
      <c r="K833" s="10" t="inlineStr">
        <is>
          <t>R</t>
        </is>
      </c>
      <c r="L833" s="12" t="n">
        <v>965</v>
      </c>
      <c r="M833" s="14" t="n">
        <v>5.8</v>
      </c>
      <c r="N833" s="12">
        <f>ROUND(L833/M833, 0)</f>
        <v/>
      </c>
      <c r="O833" s="12">
        <f>ROUND(N833*'Methodology &amp; Assumptions'!$B$5, 0)</f>
        <v/>
      </c>
      <c r="P833" s="10" t="inlineStr">
        <is>
          <t>Single Carrier (Band n50, 100MHz TDD)</t>
        </is>
      </c>
      <c r="Q833" s="13">
        <f>ROUNDUP(O833/'Methodology &amp; Assumptions'!$B$6, 0)</f>
        <v/>
      </c>
      <c r="R833" s="13" t="n">
        <v>1</v>
      </c>
      <c r="S833" s="14" t="n">
        <v>18.73</v>
      </c>
      <c r="T833" s="14" t="n">
        <v>32.25</v>
      </c>
      <c r="U833" s="26">
        <f>IF(X833&gt;='Methodology &amp; Assumptions'!$B$7, "Tier 1 Critical GIDA (Score ≥ 50.0)", IF(X833&gt;='Methodology &amp; Assumptions'!$B$8, "Tier 2 High GIDA (Score 40.0–49.9)", "Tier 3 Moderate GIDA (Score &lt; 40.0)"))</f>
        <v/>
      </c>
      <c r="V833" s="26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W833" s="28" t="n">
        <v>0.11</v>
      </c>
      <c r="X833" s="14" t="n">
        <v>52.04</v>
      </c>
      <c r="Y833" s="14">
        <f>ROUND(MIN(100, (X833/69.91)*100), 2)</f>
        <v/>
      </c>
    </row>
    <row r="834">
      <c r="A834" s="10" t="n">
        <v>1</v>
      </c>
      <c r="B834" s="10" t="n">
        <v>830</v>
      </c>
      <c r="C834" s="10" t="n">
        <v>830</v>
      </c>
      <c r="D834" s="10" t="inlineStr">
        <is>
          <t>1907007012</t>
        </is>
      </c>
      <c r="E834" s="26" t="inlineStr">
        <is>
          <t>Bangsamoro Autonomous Region In Muslim Mindanao (BARMM)</t>
        </is>
      </c>
      <c r="F834" s="26" t="inlineStr">
        <is>
          <t>Tawi-Tawi</t>
        </is>
      </c>
      <c r="G834" s="26" t="inlineStr">
        <is>
          <t>Tandubas</t>
        </is>
      </c>
      <c r="H834" s="26" t="inlineStr">
        <is>
          <t>Lahay-lahay</t>
        </is>
      </c>
      <c r="I834" s="27" t="n">
        <v>14.420903</v>
      </c>
      <c r="J834" s="27" t="n">
        <v>121.789424</v>
      </c>
      <c r="K834" s="10" t="inlineStr">
        <is>
          <t>R</t>
        </is>
      </c>
      <c r="L834" s="12" t="n">
        <v>979</v>
      </c>
      <c r="M834" s="14" t="n">
        <v>5.8</v>
      </c>
      <c r="N834" s="12">
        <f>ROUND(L834/M834, 0)</f>
        <v/>
      </c>
      <c r="O834" s="12">
        <f>ROUND(N834*'Methodology &amp; Assumptions'!$B$5, 0)</f>
        <v/>
      </c>
      <c r="P834" s="10" t="inlineStr">
        <is>
          <t>Single Carrier (Band n50, 100MHz TDD)</t>
        </is>
      </c>
      <c r="Q834" s="13">
        <f>ROUNDUP(O834/'Methodology &amp; Assumptions'!$B$6, 0)</f>
        <v/>
      </c>
      <c r="R834" s="13" t="n">
        <v>1</v>
      </c>
      <c r="S834" s="14" t="n">
        <v>19.69</v>
      </c>
      <c r="T834" s="14" t="n">
        <v>33.69</v>
      </c>
      <c r="U834" s="26">
        <f>IF(X834&gt;='Methodology &amp; Assumptions'!$B$7, "Tier 1 Critical GIDA (Score ≥ 50.0)", IF(X834&gt;='Methodology &amp; Assumptions'!$B$8, "Tier 2 High GIDA (Score 40.0–49.9)", "Tier 3 Moderate GIDA (Score &lt; 40.0)"))</f>
        <v/>
      </c>
      <c r="V834" s="26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W834" s="28" t="n">
        <v>0.11</v>
      </c>
      <c r="X834" s="14" t="n">
        <v>52.04</v>
      </c>
      <c r="Y834" s="14">
        <f>ROUND(MIN(100, (X834/69.91)*100), 2)</f>
        <v/>
      </c>
    </row>
    <row r="835">
      <c r="A835" s="10" t="n">
        <v>1</v>
      </c>
      <c r="B835" s="10" t="n">
        <v>831</v>
      </c>
      <c r="C835" s="10" t="n">
        <v>831</v>
      </c>
      <c r="D835" s="10" t="inlineStr">
        <is>
          <t>1907002005</t>
        </is>
      </c>
      <c r="E835" s="26" t="inlineStr">
        <is>
          <t>Bangsamoro Autonomous Region In Muslim Mindanao (BARMM)</t>
        </is>
      </c>
      <c r="F835" s="26" t="inlineStr">
        <is>
          <t>Tawi-Tawi</t>
        </is>
      </c>
      <c r="G835" s="26" t="inlineStr">
        <is>
          <t>Bongao</t>
        </is>
      </c>
      <c r="H835" s="26" t="inlineStr">
        <is>
          <t>Ipil</t>
        </is>
      </c>
      <c r="I835" s="27" t="n">
        <v>14.492873</v>
      </c>
      <c r="J835" s="27" t="n">
        <v>121.679166</v>
      </c>
      <c r="K835" s="10" t="inlineStr">
        <is>
          <t>R</t>
        </is>
      </c>
      <c r="L835" s="12" t="n">
        <v>1713</v>
      </c>
      <c r="M835" s="14" t="n">
        <v>5.8</v>
      </c>
      <c r="N835" s="12">
        <f>ROUND(L835/M835, 0)</f>
        <v/>
      </c>
      <c r="O835" s="12">
        <f>ROUND(N835*'Methodology &amp; Assumptions'!$B$5, 0)</f>
        <v/>
      </c>
      <c r="P835" s="10" t="inlineStr">
        <is>
          <t>Single Carrier (Band n50, 100MHz TDD)</t>
        </is>
      </c>
      <c r="Q835" s="13">
        <f>ROUNDUP(O835/'Methodology &amp; Assumptions'!$B$6, 0)</f>
        <v/>
      </c>
      <c r="R835" s="13" t="n">
        <v>1</v>
      </c>
      <c r="S835" s="14" t="n">
        <v>5.6</v>
      </c>
      <c r="T835" s="14" t="n">
        <v>24.2</v>
      </c>
      <c r="U835" s="26">
        <f>IF(X835&gt;='Methodology &amp; Assumptions'!$B$7, "Tier 1 Critical GIDA (Score ≥ 50.0)", IF(X835&gt;='Methodology &amp; Assumptions'!$B$8, "Tier 2 High GIDA (Score 40.0–49.9)", "Tier 3 Moderate GIDA (Score &lt; 40.0)"))</f>
        <v/>
      </c>
      <c r="V835" s="26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W835" s="28" t="n">
        <v>0.11</v>
      </c>
      <c r="X835" s="14" t="n">
        <v>52.03</v>
      </c>
      <c r="Y835" s="14">
        <f>ROUND(MIN(100, (X835/69.91)*100), 2)</f>
        <v/>
      </c>
    </row>
    <row r="836">
      <c r="A836" s="10" t="n">
        <v>1</v>
      </c>
      <c r="B836" s="10" t="n">
        <v>832</v>
      </c>
      <c r="C836" s="10" t="n">
        <v>832</v>
      </c>
      <c r="D836" s="10" t="inlineStr">
        <is>
          <t>0102908017</t>
        </is>
      </c>
      <c r="E836" s="26" t="inlineStr">
        <is>
          <t>Region I (Ilocos Region)</t>
        </is>
      </c>
      <c r="F836" s="26" t="inlineStr">
        <is>
          <t>Ilocos Sur</t>
        </is>
      </c>
      <c r="G836" s="26" t="inlineStr">
        <is>
          <t>Cervantes</t>
        </is>
      </c>
      <c r="H836" s="26" t="inlineStr">
        <is>
          <t>Malaya</t>
        </is>
      </c>
      <c r="I836" s="27" t="n">
        <v>16.974178</v>
      </c>
      <c r="J836" s="27" t="n">
        <v>120.699692</v>
      </c>
      <c r="K836" s="10" t="inlineStr">
        <is>
          <t>R</t>
        </is>
      </c>
      <c r="L836" s="12" t="n">
        <v>1893</v>
      </c>
      <c r="M836" s="14" t="n">
        <v>3.8</v>
      </c>
      <c r="N836" s="12">
        <f>ROUND(L836/M836, 0)</f>
        <v/>
      </c>
      <c r="O836" s="12">
        <f>ROUND(N836*'Methodology &amp; Assumptions'!$B$5, 0)</f>
        <v/>
      </c>
      <c r="P836" s="10" t="inlineStr">
        <is>
          <t>Single Carrier (Band n50, 100MHz TDD)</t>
        </is>
      </c>
      <c r="Q836" s="13">
        <f>ROUNDUP(O836/'Methodology &amp; Assumptions'!$B$6, 0)</f>
        <v/>
      </c>
      <c r="R836" s="13" t="n">
        <v>1</v>
      </c>
      <c r="S836" s="14" t="n">
        <v>3.18</v>
      </c>
      <c r="T836" s="14" t="n">
        <v>3.75</v>
      </c>
      <c r="U836" s="26">
        <f>IF(X836&gt;='Methodology &amp; Assumptions'!$B$7, "Tier 1 Critical GIDA (Score ≥ 50.0)", IF(X836&gt;='Methodology &amp; Assumptions'!$B$8, "Tier 2 High GIDA (Score 40.0–49.9)", "Tier 3 Moderate GIDA (Score &lt; 40.0)"))</f>
        <v/>
      </c>
      <c r="V836" s="26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W836" s="28" t="n">
        <v>0.083</v>
      </c>
      <c r="X836" s="14" t="n">
        <v>52.03</v>
      </c>
      <c r="Y836" s="14">
        <f>ROUND(MIN(100, (X836/69.91)*100), 2)</f>
        <v/>
      </c>
    </row>
    <row r="837">
      <c r="A837" s="10" t="n">
        <v>1</v>
      </c>
      <c r="B837" s="10" t="n">
        <v>833</v>
      </c>
      <c r="C837" s="10" t="n">
        <v>833</v>
      </c>
      <c r="D837" s="10" t="inlineStr">
        <is>
          <t>1380400008</t>
        </is>
      </c>
      <c r="E837" s="26" t="inlineStr">
        <is>
          <t>National Capital Region (NCR)</t>
        </is>
      </c>
      <c r="F837" s="26" t="inlineStr">
        <is>
          <t>Third District (Not a Province)</t>
        </is>
      </c>
      <c r="G837" s="26" t="inlineStr">
        <is>
          <t>City of Malabon</t>
        </is>
      </c>
      <c r="H837" s="26" t="inlineStr">
        <is>
          <t>Hulong Duhat</t>
        </is>
      </c>
      <c r="I837" s="27" t="n">
        <v>14.676778</v>
      </c>
      <c r="J837" s="27" t="n">
        <v>120.941187</v>
      </c>
      <c r="K837" s="10" t="inlineStr">
        <is>
          <t>U</t>
        </is>
      </c>
      <c r="L837" s="12" t="n">
        <v>12186</v>
      </c>
      <c r="M837" s="14" t="n">
        <v>3.7</v>
      </c>
      <c r="N837" s="12">
        <f>ROUND(L837/M837, 0)</f>
        <v/>
      </c>
      <c r="O837" s="12">
        <f>ROUND(N837*'Methodology &amp; Assumptions'!$B$5, 0)</f>
        <v/>
      </c>
      <c r="P837" s="10" t="inlineStr">
        <is>
          <t>Single Carrier (Band n50, 100MHz TDD)</t>
        </is>
      </c>
      <c r="Q837" s="13">
        <f>ROUNDUP(O837/'Methodology &amp; Assumptions'!$B$6, 0)</f>
        <v/>
      </c>
      <c r="R837" s="13" t="n">
        <v>1</v>
      </c>
      <c r="S837" s="14" t="n">
        <v>0.14</v>
      </c>
      <c r="T837" s="14" t="n">
        <v>0.13</v>
      </c>
      <c r="U837" s="26">
        <f>IF(X837&gt;='Methodology &amp; Assumptions'!$B$7, "Tier 1 Critical GIDA (Score ≥ 50.0)", IF(X837&gt;='Methodology &amp; Assumptions'!$B$8, "Tier 2 High GIDA (Score 40.0–49.9)", "Tier 3 Moderate GIDA (Score &lt; 40.0)"))</f>
        <v/>
      </c>
      <c r="V837" s="26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W837" s="28" t="n">
        <v>0.109</v>
      </c>
      <c r="X837" s="14" t="n">
        <v>52.03</v>
      </c>
      <c r="Y837" s="14">
        <f>ROUND(MIN(100, (X837/69.91)*100), 2)</f>
        <v/>
      </c>
    </row>
    <row r="838">
      <c r="A838" s="10" t="n">
        <v>1</v>
      </c>
      <c r="B838" s="10" t="n">
        <v>834</v>
      </c>
      <c r="C838" s="10" t="n">
        <v>834</v>
      </c>
      <c r="D838" s="10" t="inlineStr">
        <is>
          <t>1108204029</t>
        </is>
      </c>
      <c r="E838" s="26" t="inlineStr">
        <is>
          <t>Region XI (Davao Region)</t>
        </is>
      </c>
      <c r="F838" s="26" t="inlineStr">
        <is>
          <t>Davao de Oro</t>
        </is>
      </c>
      <c r="G838" s="26" t="inlineStr">
        <is>
          <t>Maco</t>
        </is>
      </c>
      <c r="H838" s="26" t="inlineStr">
        <is>
          <t>Sangab</t>
        </is>
      </c>
      <c r="I838" s="27" t="n">
        <v>7.444173</v>
      </c>
      <c r="J838" s="27" t="n">
        <v>125.922097</v>
      </c>
      <c r="K838" s="10" t="inlineStr">
        <is>
          <t>R</t>
        </is>
      </c>
      <c r="L838" s="12" t="n">
        <v>595</v>
      </c>
      <c r="M838" s="14" t="n">
        <v>3.7</v>
      </c>
      <c r="N838" s="12">
        <f>ROUND(L838/M838, 0)</f>
        <v/>
      </c>
      <c r="O838" s="12">
        <f>ROUND(N838*'Methodology &amp; Assumptions'!$B$5, 0)</f>
        <v/>
      </c>
      <c r="P838" s="10" t="inlineStr">
        <is>
          <t>Single Carrier (Band n50, 100MHz TDD)</t>
        </is>
      </c>
      <c r="Q838" s="13">
        <f>ROUNDUP(O838/'Methodology &amp; Assumptions'!$B$6, 0)</f>
        <v/>
      </c>
      <c r="R838" s="13" t="n">
        <v>1</v>
      </c>
      <c r="S838" s="14" t="n">
        <v>11.42</v>
      </c>
      <c r="T838" s="14" t="n">
        <v>5.91</v>
      </c>
      <c r="U838" s="26">
        <f>IF(X838&gt;='Methodology &amp; Assumptions'!$B$7, "Tier 1 Critical GIDA (Score ≥ 50.0)", IF(X838&gt;='Methodology &amp; Assumptions'!$B$8, "Tier 2 High GIDA (Score 40.0–49.9)", "Tier 3 Moderate GIDA (Score &lt; 40.0)"))</f>
        <v/>
      </c>
      <c r="V838" s="26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W838" s="28" t="n">
        <v>0.174</v>
      </c>
      <c r="X838" s="14" t="n">
        <v>52.02</v>
      </c>
      <c r="Y838" s="14">
        <f>ROUND(MIN(100, (X838/69.91)*100), 2)</f>
        <v/>
      </c>
    </row>
    <row r="839">
      <c r="A839" s="10" t="n">
        <v>1</v>
      </c>
      <c r="B839" s="10" t="n">
        <v>835</v>
      </c>
      <c r="C839" s="10" t="n">
        <v>835</v>
      </c>
      <c r="D839" s="10" t="inlineStr">
        <is>
          <t>1108602023</t>
        </is>
      </c>
      <c r="E839" s="26" t="inlineStr">
        <is>
          <t>Region XI (Davao Region)</t>
        </is>
      </c>
      <c r="F839" s="26" t="inlineStr">
        <is>
          <t>Davao Occidental</t>
        </is>
      </c>
      <c r="G839" s="26" t="inlineStr">
        <is>
          <t>Jose Abad Santos</t>
        </is>
      </c>
      <c r="H839" s="26" t="inlineStr">
        <is>
          <t>Meybio</t>
        </is>
      </c>
      <c r="I839" s="27" t="n">
        <v>5.844282</v>
      </c>
      <c r="J839" s="27" t="n">
        <v>125.593587</v>
      </c>
      <c r="K839" s="10" t="inlineStr">
        <is>
          <t>R</t>
        </is>
      </c>
      <c r="L839" s="12" t="n">
        <v>2462</v>
      </c>
      <c r="M839" s="14" t="n">
        <v>3.6</v>
      </c>
      <c r="N839" s="12">
        <f>ROUND(L839/M839, 0)</f>
        <v/>
      </c>
      <c r="O839" s="12">
        <f>ROUND(N839*'Methodology &amp; Assumptions'!$B$5, 0)</f>
        <v/>
      </c>
      <c r="P839" s="10" t="inlineStr">
        <is>
          <t>Single Carrier (Band n50, 100MHz TDD)</t>
        </is>
      </c>
      <c r="Q839" s="13">
        <f>ROUNDUP(O839/'Methodology &amp; Assumptions'!$B$6, 0)</f>
        <v/>
      </c>
      <c r="R839" s="13" t="n">
        <v>1</v>
      </c>
      <c r="S839" s="14" t="n">
        <v>45.37</v>
      </c>
      <c r="T839" s="14" t="n">
        <v>53.92</v>
      </c>
      <c r="U839" s="26">
        <f>IF(X839&gt;='Methodology &amp; Assumptions'!$B$7, "Tier 1 Critical GIDA (Score ≥ 50.0)", IF(X839&gt;='Methodology &amp; Assumptions'!$B$8, "Tier 2 High GIDA (Score 40.0–49.9)", "Tier 3 Moderate GIDA (Score &lt; 40.0)"))</f>
        <v/>
      </c>
      <c r="V839" s="26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W839" s="28" t="n">
        <v>0.174</v>
      </c>
      <c r="X839" s="14" t="n">
        <v>52.02</v>
      </c>
      <c r="Y839" s="14">
        <f>ROUND(MIN(100, (X839/69.91)*100), 2)</f>
        <v/>
      </c>
    </row>
    <row r="840">
      <c r="A840" s="10" t="n">
        <v>1</v>
      </c>
      <c r="B840" s="10" t="n">
        <v>836</v>
      </c>
      <c r="C840" s="10" t="n">
        <v>836</v>
      </c>
      <c r="D840" s="10" t="inlineStr">
        <is>
          <t>0702252012</t>
        </is>
      </c>
      <c r="E840" s="26" t="inlineStr">
        <is>
          <t>Region VII (Central Visayas)</t>
        </is>
      </c>
      <c r="F840" s="26" t="inlineStr">
        <is>
          <t>Cebu</t>
        </is>
      </c>
      <c r="G840" s="26" t="inlineStr">
        <is>
          <t>Tuburan</t>
        </is>
      </c>
      <c r="H840" s="26" t="inlineStr">
        <is>
          <t>Kan-an</t>
        </is>
      </c>
      <c r="I840" s="27" t="n">
        <v>10.59617</v>
      </c>
      <c r="J840" s="27" t="n">
        <v>123.88207</v>
      </c>
      <c r="K840" s="10" t="inlineStr">
        <is>
          <t>R</t>
        </is>
      </c>
      <c r="L840" s="12" t="n">
        <v>250</v>
      </c>
      <c r="M840" s="14" t="n">
        <v>3.8</v>
      </c>
      <c r="N840" s="12">
        <f>ROUND(L840/M840, 0)</f>
        <v/>
      </c>
      <c r="O840" s="12">
        <f>ROUND(N840*'Methodology &amp; Assumptions'!$B$5, 0)</f>
        <v/>
      </c>
      <c r="P840" s="10" t="inlineStr">
        <is>
          <t>Single Carrier (Band n50, 100MHz TDD)</t>
        </is>
      </c>
      <c r="Q840" s="13">
        <f>ROUNDUP(O840/'Methodology &amp; Assumptions'!$B$6, 0)</f>
        <v/>
      </c>
      <c r="R840" s="13" t="n">
        <v>1</v>
      </c>
      <c r="S840" s="14" t="n">
        <v>15.13</v>
      </c>
      <c r="T840" s="14" t="n">
        <v>11.84</v>
      </c>
      <c r="U840" s="26">
        <f>IF(X840&gt;='Methodology &amp; Assumptions'!$B$7, "Tier 1 Critical GIDA (Score ≥ 50.0)", IF(X840&gt;='Methodology &amp; Assumptions'!$B$8, "Tier 2 High GIDA (Score 40.0–49.9)", "Tier 3 Moderate GIDA (Score &lt; 40.0)"))</f>
        <v/>
      </c>
      <c r="V840" s="26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W840" s="28" t="n">
        <v>0.237</v>
      </c>
      <c r="X840" s="14" t="n">
        <v>52.02</v>
      </c>
      <c r="Y840" s="14">
        <f>ROUND(MIN(100, (X840/69.91)*100), 2)</f>
        <v/>
      </c>
    </row>
    <row r="841">
      <c r="A841" s="10" t="n">
        <v>1</v>
      </c>
      <c r="B841" s="10" t="n">
        <v>837</v>
      </c>
      <c r="C841" s="10" t="n">
        <v>837</v>
      </c>
      <c r="D841" s="10" t="inlineStr">
        <is>
          <t>0102931002</t>
        </is>
      </c>
      <c r="E841" s="26" t="inlineStr">
        <is>
          <t>Region I (Ilocos Region)</t>
        </is>
      </c>
      <c r="F841" s="26" t="inlineStr">
        <is>
          <t>Ilocos Sur</t>
        </is>
      </c>
      <c r="G841" s="26" t="inlineStr">
        <is>
          <t>Sugpon</t>
        </is>
      </c>
      <c r="H841" s="26" t="inlineStr">
        <is>
          <t>Caoayan</t>
        </is>
      </c>
      <c r="I841" s="27" t="n">
        <v>16.806655</v>
      </c>
      <c r="J841" s="27" t="n">
        <v>120.541788</v>
      </c>
      <c r="K841" s="10" t="inlineStr">
        <is>
          <t>R</t>
        </is>
      </c>
      <c r="L841" s="12" t="n">
        <v>748</v>
      </c>
      <c r="M841" s="14" t="n">
        <v>3.8</v>
      </c>
      <c r="N841" s="12">
        <f>ROUND(L841/M841, 0)</f>
        <v/>
      </c>
      <c r="O841" s="12">
        <f>ROUND(N841*'Methodology &amp; Assumptions'!$B$5, 0)</f>
        <v/>
      </c>
      <c r="P841" s="10" t="inlineStr">
        <is>
          <t>Single Carrier (Band n50, 100MHz TDD)</t>
        </is>
      </c>
      <c r="Q841" s="13">
        <f>ROUNDUP(O841/'Methodology &amp; Assumptions'!$B$6, 0)</f>
        <v/>
      </c>
      <c r="R841" s="13" t="n">
        <v>1</v>
      </c>
      <c r="S841" s="14" t="n">
        <v>14.68</v>
      </c>
      <c r="T841" s="14" t="n">
        <v>13.27</v>
      </c>
      <c r="U841" s="26">
        <f>IF(X841&gt;='Methodology &amp; Assumptions'!$B$7, "Tier 1 Critical GIDA (Score ≥ 50.0)", IF(X841&gt;='Methodology &amp; Assumptions'!$B$8, "Tier 2 High GIDA (Score 40.0–49.9)", "Tier 3 Moderate GIDA (Score &lt; 40.0)"))</f>
        <v/>
      </c>
      <c r="V841" s="26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W841" s="28" t="n">
        <v>0.083</v>
      </c>
      <c r="X841" s="14" t="n">
        <v>52.01</v>
      </c>
      <c r="Y841" s="14">
        <f>ROUND(MIN(100, (X841/69.91)*100), 2)</f>
        <v/>
      </c>
    </row>
    <row r="842">
      <c r="A842" s="10" t="n">
        <v>1</v>
      </c>
      <c r="B842" s="10" t="n">
        <v>838</v>
      </c>
      <c r="C842" s="10" t="n">
        <v>838</v>
      </c>
      <c r="D842" s="10" t="inlineStr">
        <is>
          <t>1380601046</t>
        </is>
      </c>
      <c r="E842" s="26" t="inlineStr">
        <is>
          <t>National Capital Region (NCR)</t>
        </is>
      </c>
      <c r="F842" s="26" t="inlineStr">
        <is>
          <t>First District (Not a Province)</t>
        </is>
      </c>
      <c r="G842" s="26" t="inlineStr">
        <is>
          <t>City of Manila</t>
        </is>
      </c>
      <c r="H842" s="26" t="inlineStr">
        <is>
          <t>Barangay 46</t>
        </is>
      </c>
      <c r="I842" s="27" t="n">
        <v>12.93221</v>
      </c>
      <c r="J842" s="27" t="n">
        <v>121.643958</v>
      </c>
      <c r="K842" s="10" t="inlineStr">
        <is>
          <t>U</t>
        </is>
      </c>
      <c r="L842" s="12" t="n">
        <v>2151</v>
      </c>
      <c r="M842" s="14" t="n">
        <v>3.9</v>
      </c>
      <c r="N842" s="12">
        <f>ROUND(L842/M842, 0)</f>
        <v/>
      </c>
      <c r="O842" s="12">
        <f>ROUND(N842*'Methodology &amp; Assumptions'!$B$5, 0)</f>
        <v/>
      </c>
      <c r="P842" s="10" t="inlineStr">
        <is>
          <t>Single Carrier (Band n50, 100MHz TDD)</t>
        </is>
      </c>
      <c r="Q842" s="13">
        <f>ROUNDUP(O842/'Methodology &amp; Assumptions'!$B$6, 0)</f>
        <v/>
      </c>
      <c r="R842" s="13" t="n">
        <v>1</v>
      </c>
      <c r="S842" s="14" t="n">
        <v>18.29</v>
      </c>
      <c r="T842" s="14" t="n">
        <v>18.18</v>
      </c>
      <c r="U842" s="26">
        <f>IF(X842&gt;='Methodology &amp; Assumptions'!$B$7, "Tier 1 Critical GIDA (Score ≥ 50.0)", IF(X842&gt;='Methodology &amp; Assumptions'!$B$8, "Tier 2 High GIDA (Score 40.0–49.9)", "Tier 3 Moderate GIDA (Score &lt; 40.0)"))</f>
        <v/>
      </c>
      <c r="V842" s="26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W842" s="28" t="n">
        <v>0.109</v>
      </c>
      <c r="X842" s="14" t="n">
        <v>52</v>
      </c>
      <c r="Y842" s="14">
        <f>ROUND(MIN(100, (X842/69.91)*100), 2)</f>
        <v/>
      </c>
    </row>
    <row r="843">
      <c r="A843" s="10" t="n">
        <v>1</v>
      </c>
      <c r="B843" s="10" t="n">
        <v>839</v>
      </c>
      <c r="C843" s="10" t="n">
        <v>839</v>
      </c>
      <c r="D843" s="10" t="inlineStr">
        <is>
          <t>0402123004</t>
        </is>
      </c>
      <c r="E843" s="26" t="inlineStr">
        <is>
          <t>Region IV-A (CALABARZON)</t>
        </is>
      </c>
      <c r="F843" s="26" t="inlineStr">
        <is>
          <t>Cavite</t>
        </is>
      </c>
      <c r="G843" s="26" t="inlineStr">
        <is>
          <t>Gen. Mariano Alvarez</t>
        </is>
      </c>
      <c r="H843" s="26" t="inlineStr">
        <is>
          <t>Barangay 3 Poblacion</t>
        </is>
      </c>
      <c r="I843" s="27" t="n">
        <v>14.303546</v>
      </c>
      <c r="J843" s="27" t="n">
        <v>121.01872</v>
      </c>
      <c r="K843" s="10" t="inlineStr">
        <is>
          <t>R</t>
        </is>
      </c>
      <c r="L843" s="12" t="n">
        <v>2589</v>
      </c>
      <c r="M843" s="14" t="n">
        <v>3.4</v>
      </c>
      <c r="N843" s="12">
        <f>ROUND(L843/M843, 0)</f>
        <v/>
      </c>
      <c r="O843" s="12">
        <f>ROUND(N843*'Methodology &amp; Assumptions'!$B$5, 0)</f>
        <v/>
      </c>
      <c r="P843" s="10" t="inlineStr">
        <is>
          <t>Single Carrier (Band n50, 100MHz TDD)</t>
        </is>
      </c>
      <c r="Q843" s="13">
        <f>ROUNDUP(O843/'Methodology &amp; Assumptions'!$B$6, 0)</f>
        <v/>
      </c>
      <c r="R843" s="13" t="n">
        <v>1</v>
      </c>
      <c r="S843" s="14" t="n">
        <v>2.62</v>
      </c>
      <c r="T843" s="14" t="n">
        <v>3.47</v>
      </c>
      <c r="U843" s="26">
        <f>IF(X843&gt;='Methodology &amp; Assumptions'!$B$7, "Tier 1 Critical GIDA (Score ≥ 50.0)", IF(X843&gt;='Methodology &amp; Assumptions'!$B$8, "Tier 2 High GIDA (Score 40.0–49.9)", "Tier 3 Moderate GIDA (Score &lt; 40.0)"))</f>
        <v/>
      </c>
      <c r="V843" s="26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W843" s="28" t="n">
        <v>0.07200000000000001</v>
      </c>
      <c r="X843" s="14" t="n">
        <v>51.99</v>
      </c>
      <c r="Y843" s="14">
        <f>ROUND(MIN(100, (X843/69.91)*100), 2)</f>
        <v/>
      </c>
    </row>
    <row r="844">
      <c r="A844" s="10" t="n">
        <v>1</v>
      </c>
      <c r="B844" s="10" t="n">
        <v>840</v>
      </c>
      <c r="C844" s="10" t="n">
        <v>840</v>
      </c>
      <c r="D844" s="10" t="inlineStr">
        <is>
          <t>0601912009</t>
        </is>
      </c>
      <c r="E844" s="26" t="inlineStr">
        <is>
          <t>Region VI (Western Visayas)</t>
        </is>
      </c>
      <c r="F844" s="26" t="inlineStr">
        <is>
          <t>Capiz</t>
        </is>
      </c>
      <c r="G844" s="26" t="inlineStr">
        <is>
          <t>Pontevedra</t>
        </is>
      </c>
      <c r="H844" s="26" t="inlineStr">
        <is>
          <t>Gabuc</t>
        </is>
      </c>
      <c r="I844" s="27" t="n">
        <v>11.453405</v>
      </c>
      <c r="J844" s="27" t="n">
        <v>122.883504</v>
      </c>
      <c r="K844" s="10" t="inlineStr">
        <is>
          <t>R</t>
        </is>
      </c>
      <c r="L844" s="12" t="n">
        <v>646</v>
      </c>
      <c r="M844" s="14" t="n">
        <v>3.8</v>
      </c>
      <c r="N844" s="12">
        <f>ROUND(L844/M844, 0)</f>
        <v/>
      </c>
      <c r="O844" s="12">
        <f>ROUND(N844*'Methodology &amp; Assumptions'!$B$5, 0)</f>
        <v/>
      </c>
      <c r="P844" s="10" t="inlineStr">
        <is>
          <t>Single Carrier (Band n50, 100MHz TDD)</t>
        </is>
      </c>
      <c r="Q844" s="13">
        <f>ROUNDUP(O844/'Methodology &amp; Assumptions'!$B$6, 0)</f>
        <v/>
      </c>
      <c r="R844" s="13" t="n">
        <v>1</v>
      </c>
      <c r="S844" s="14" t="n">
        <v>6.05</v>
      </c>
      <c r="T844" s="14" t="n">
        <v>4.02</v>
      </c>
      <c r="U844" s="26">
        <f>IF(X844&gt;='Methodology &amp; Assumptions'!$B$7, "Tier 1 Critical GIDA (Score ≥ 50.0)", IF(X844&gt;='Methodology &amp; Assumptions'!$B$8, "Tier 2 High GIDA (Score 40.0–49.9)", "Tier 3 Moderate GIDA (Score &lt; 40.0)"))</f>
        <v/>
      </c>
      <c r="V844" s="26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W844" s="28" t="n">
        <v>0.237</v>
      </c>
      <c r="X844" s="14" t="n">
        <v>51.98</v>
      </c>
      <c r="Y844" s="14">
        <f>ROUND(MIN(100, (X844/69.91)*100), 2)</f>
        <v/>
      </c>
    </row>
    <row r="845">
      <c r="A845" s="10" t="n">
        <v>1</v>
      </c>
      <c r="B845" s="10" t="n">
        <v>841</v>
      </c>
      <c r="C845" s="10" t="n">
        <v>841</v>
      </c>
      <c r="D845" s="10" t="inlineStr">
        <is>
          <t>1108602021</t>
        </is>
      </c>
      <c r="E845" s="26" t="inlineStr">
        <is>
          <t>Region XI (Davao Region)</t>
        </is>
      </c>
      <c r="F845" s="26" t="inlineStr">
        <is>
          <t>Davao Occidental</t>
        </is>
      </c>
      <c r="G845" s="26" t="inlineStr">
        <is>
          <t>Jose Abad Santos</t>
        </is>
      </c>
      <c r="H845" s="26" t="inlineStr">
        <is>
          <t>Mangile</t>
        </is>
      </c>
      <c r="I845" s="27" t="n">
        <v>6.006294</v>
      </c>
      <c r="J845" s="27" t="n">
        <v>125.679555</v>
      </c>
      <c r="K845" s="10" t="inlineStr">
        <is>
          <t>R</t>
        </is>
      </c>
      <c r="L845" s="12" t="n">
        <v>3502</v>
      </c>
      <c r="M845" s="14" t="n">
        <v>3.6</v>
      </c>
      <c r="N845" s="12">
        <f>ROUND(L845/M845, 0)</f>
        <v/>
      </c>
      <c r="O845" s="12">
        <f>ROUND(N845*'Methodology &amp; Assumptions'!$B$5, 0)</f>
        <v/>
      </c>
      <c r="P845" s="10" t="inlineStr">
        <is>
          <t>Single Carrier (Band n50, 100MHz TDD)</t>
        </is>
      </c>
      <c r="Q845" s="13">
        <f>ROUNDUP(O845/'Methodology &amp; Assumptions'!$B$6, 0)</f>
        <v/>
      </c>
      <c r="R845" s="13" t="n">
        <v>1</v>
      </c>
      <c r="S845" s="14" t="n">
        <v>45.74</v>
      </c>
      <c r="T845" s="14" t="n">
        <v>53.16</v>
      </c>
      <c r="U845" s="26">
        <f>IF(X845&gt;='Methodology &amp; Assumptions'!$B$7, "Tier 1 Critical GIDA (Score ≥ 50.0)", IF(X845&gt;='Methodology &amp; Assumptions'!$B$8, "Tier 2 High GIDA (Score 40.0–49.9)", "Tier 3 Moderate GIDA (Score &lt; 40.0)"))</f>
        <v/>
      </c>
      <c r="V845" s="26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W845" s="28" t="n">
        <v>0.174</v>
      </c>
      <c r="X845" s="14" t="n">
        <v>51.97</v>
      </c>
      <c r="Y845" s="14">
        <f>ROUND(MIN(100, (X845/69.91)*100), 2)</f>
        <v/>
      </c>
    </row>
    <row r="846">
      <c r="A846" s="10" t="n">
        <v>1</v>
      </c>
      <c r="B846" s="10" t="n">
        <v>842</v>
      </c>
      <c r="C846" s="10" t="n">
        <v>842</v>
      </c>
      <c r="D846" s="10" t="inlineStr">
        <is>
          <t>0103304004</t>
        </is>
      </c>
      <c r="E846" s="26" t="inlineStr">
        <is>
          <t>Region I (Ilocos Region)</t>
        </is>
      </c>
      <c r="F846" s="26" t="inlineStr">
        <is>
          <t>La Union</t>
        </is>
      </c>
      <c r="G846" s="26" t="inlineStr">
        <is>
          <t>Bagulin</t>
        </is>
      </c>
      <c r="H846" s="26" t="inlineStr">
        <is>
          <t>Cardiz</t>
        </is>
      </c>
      <c r="I846" s="27" t="n">
        <v>16.623338</v>
      </c>
      <c r="J846" s="27" t="n">
        <v>120.486065</v>
      </c>
      <c r="K846" s="10" t="inlineStr">
        <is>
          <t>R</t>
        </is>
      </c>
      <c r="L846" s="12" t="n">
        <v>1434</v>
      </c>
      <c r="M846" s="14" t="n">
        <v>3.7</v>
      </c>
      <c r="N846" s="12">
        <f>ROUND(L846/M846, 0)</f>
        <v/>
      </c>
      <c r="O846" s="12">
        <f>ROUND(N846*'Methodology &amp; Assumptions'!$B$5, 0)</f>
        <v/>
      </c>
      <c r="P846" s="10" t="inlineStr">
        <is>
          <t>Single Carrier (Band n50, 100MHz TDD)</t>
        </is>
      </c>
      <c r="Q846" s="13">
        <f>ROUNDUP(O846/'Methodology &amp; Assumptions'!$B$6, 0)</f>
        <v/>
      </c>
      <c r="R846" s="13" t="n">
        <v>1</v>
      </c>
      <c r="S846" s="14" t="n">
        <v>11.41</v>
      </c>
      <c r="T846" s="14" t="n">
        <v>11.7</v>
      </c>
      <c r="U846" s="26">
        <f>IF(X846&gt;='Methodology &amp; Assumptions'!$B$7, "Tier 1 Critical GIDA (Score ≥ 50.0)", IF(X846&gt;='Methodology &amp; Assumptions'!$B$8, "Tier 2 High GIDA (Score 40.0–49.9)", "Tier 3 Moderate GIDA (Score &lt; 40.0)"))</f>
        <v/>
      </c>
      <c r="V846" s="26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W846" s="28" t="n">
        <v>0.083</v>
      </c>
      <c r="X846" s="14" t="n">
        <v>51.97</v>
      </c>
      <c r="Y846" s="14">
        <f>ROUND(MIN(100, (X846/69.91)*100), 2)</f>
        <v/>
      </c>
    </row>
    <row r="847">
      <c r="A847" s="10" t="n">
        <v>1</v>
      </c>
      <c r="B847" s="10" t="n">
        <v>843</v>
      </c>
      <c r="C847" s="10" t="n">
        <v>843</v>
      </c>
      <c r="D847" s="10" t="inlineStr">
        <is>
          <t>1380601033</t>
        </is>
      </c>
      <c r="E847" s="26" t="inlineStr">
        <is>
          <t>National Capital Region (NCR)</t>
        </is>
      </c>
      <c r="F847" s="26" t="inlineStr">
        <is>
          <t>First District (Not a Province)</t>
        </is>
      </c>
      <c r="G847" s="26" t="inlineStr">
        <is>
          <t>City of Manila</t>
        </is>
      </c>
      <c r="H847" s="26" t="inlineStr">
        <is>
          <t>Barangay 33</t>
        </is>
      </c>
      <c r="I847" s="27" t="n">
        <v>12.927092</v>
      </c>
      <c r="J847" s="27" t="n">
        <v>121.907569</v>
      </c>
      <c r="K847" s="10" t="inlineStr">
        <is>
          <t>U</t>
        </is>
      </c>
      <c r="L847" s="12" t="n">
        <v>4206</v>
      </c>
      <c r="M847" s="14" t="n">
        <v>3.9</v>
      </c>
      <c r="N847" s="12">
        <f>ROUND(L847/M847, 0)</f>
        <v/>
      </c>
      <c r="O847" s="12">
        <f>ROUND(N847*'Methodology &amp; Assumptions'!$B$5, 0)</f>
        <v/>
      </c>
      <c r="P847" s="10" t="inlineStr">
        <is>
          <t>Single Carrier (Band n50, 100MHz TDD)</t>
        </is>
      </c>
      <c r="Q847" s="13">
        <f>ROUNDUP(O847/'Methodology &amp; Assumptions'!$B$6, 0)</f>
        <v/>
      </c>
      <c r="R847" s="13" t="n">
        <v>1</v>
      </c>
      <c r="S847" s="14" t="n">
        <v>46.04</v>
      </c>
      <c r="T847" s="14" t="n">
        <v>46.71</v>
      </c>
      <c r="U847" s="26">
        <f>IF(X847&gt;='Methodology &amp; Assumptions'!$B$7, "Tier 1 Critical GIDA (Score ≥ 50.0)", IF(X847&gt;='Methodology &amp; Assumptions'!$B$8, "Tier 2 High GIDA (Score 40.0–49.9)", "Tier 3 Moderate GIDA (Score &lt; 40.0)"))</f>
        <v/>
      </c>
      <c r="V847" s="26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W847" s="28" t="n">
        <v>0.109</v>
      </c>
      <c r="X847" s="14" t="n">
        <v>51.97</v>
      </c>
      <c r="Y847" s="14">
        <f>ROUND(MIN(100, (X847/69.91)*100), 2)</f>
        <v/>
      </c>
    </row>
    <row r="848">
      <c r="A848" s="10" t="n">
        <v>1</v>
      </c>
      <c r="B848" s="10" t="n">
        <v>844</v>
      </c>
      <c r="C848" s="10" t="n">
        <v>844</v>
      </c>
      <c r="D848" s="10" t="inlineStr">
        <is>
          <t>PH0000844</t>
        </is>
      </c>
      <c r="E848" s="26" t="inlineStr">
        <is>
          <t>VI</t>
        </is>
      </c>
      <c r="F848" s="26" t="inlineStr">
        <is>
          <t>Iloilo</t>
        </is>
      </c>
      <c r="G848" s="26" t="inlineStr">
        <is>
          <t>Iloilo City</t>
        </is>
      </c>
      <c r="H848" s="26" t="inlineStr">
        <is>
          <t>Democracia</t>
        </is>
      </c>
      <c r="I848" s="27" t="n">
        <v>10.787708</v>
      </c>
      <c r="J848" s="27" t="n">
        <v>122.47908</v>
      </c>
      <c r="K848" s="10" t="inlineStr">
        <is>
          <t>R</t>
        </is>
      </c>
      <c r="L848" s="12" t="n">
        <v>2230</v>
      </c>
      <c r="M848" s="14" t="n">
        <v>3.8</v>
      </c>
      <c r="N848" s="12">
        <f>ROUND(L848/M848, 0)</f>
        <v/>
      </c>
      <c r="O848" s="12">
        <f>ROUND(N848*'Methodology &amp; Assumptions'!$B$5, 0)</f>
        <v/>
      </c>
      <c r="P848" s="10" t="inlineStr">
        <is>
          <t>Single Carrier (Band n50, 100MHz TDD)</t>
        </is>
      </c>
      <c r="Q848" s="13">
        <f>ROUNDUP(O848/'Methodology &amp; Assumptions'!$B$6, 0)</f>
        <v/>
      </c>
      <c r="R848" s="13" t="n">
        <v>1</v>
      </c>
      <c r="S848" s="14" t="n">
        <v>7.15</v>
      </c>
      <c r="T848" s="14" t="n">
        <v>1.16</v>
      </c>
      <c r="U848" s="26">
        <f>IF(X848&gt;='Methodology &amp; Assumptions'!$B$7, "Tier 1 Critical GIDA (Score ≥ 50.0)", IF(X848&gt;='Methodology &amp; Assumptions'!$B$8, "Tier 2 High GIDA (Score 40.0–49.9)", "Tier 3 Moderate GIDA (Score &lt; 40.0)"))</f>
        <v/>
      </c>
      <c r="V848" s="26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W848" s="28" t="n">
        <v>0.156</v>
      </c>
      <c r="X848" s="14" t="n">
        <v>51.97</v>
      </c>
      <c r="Y848" s="14">
        <f>ROUND(MIN(100, (X848/69.91)*100), 2)</f>
        <v/>
      </c>
    </row>
    <row r="849">
      <c r="A849" s="10" t="n">
        <v>1</v>
      </c>
      <c r="B849" s="10" t="n">
        <v>845</v>
      </c>
      <c r="C849" s="10" t="n">
        <v>845</v>
      </c>
      <c r="D849" s="10" t="inlineStr">
        <is>
          <t>1380601095</t>
        </is>
      </c>
      <c r="E849" s="26" t="inlineStr">
        <is>
          <t>National Capital Region (NCR)</t>
        </is>
      </c>
      <c r="F849" s="26" t="inlineStr">
        <is>
          <t>First District (Not a Province)</t>
        </is>
      </c>
      <c r="G849" s="26" t="inlineStr">
        <is>
          <t>City of Manila</t>
        </is>
      </c>
      <c r="H849" s="26" t="inlineStr">
        <is>
          <t>Barangay 95</t>
        </is>
      </c>
      <c r="I849" s="27" t="n">
        <v>12.755594</v>
      </c>
      <c r="J849" s="27" t="n">
        <v>121.707727</v>
      </c>
      <c r="K849" s="10" t="inlineStr">
        <is>
          <t>U</t>
        </is>
      </c>
      <c r="L849" s="12" t="n">
        <v>5711</v>
      </c>
      <c r="M849" s="14" t="n">
        <v>3.9</v>
      </c>
      <c r="N849" s="12">
        <f>ROUND(L849/M849, 0)</f>
        <v/>
      </c>
      <c r="O849" s="12">
        <f>ROUND(N849*'Methodology &amp; Assumptions'!$B$5, 0)</f>
        <v/>
      </c>
      <c r="P849" s="10" t="inlineStr">
        <is>
          <t>Single Carrier (Band n50, 100MHz TDD)</t>
        </is>
      </c>
      <c r="Q849" s="13">
        <f>ROUNDUP(O849/'Methodology &amp; Assumptions'!$B$6, 0)</f>
        <v/>
      </c>
      <c r="R849" s="13" t="n">
        <v>1</v>
      </c>
      <c r="S849" s="14" t="n">
        <v>23.89</v>
      </c>
      <c r="T849" s="14" t="n">
        <v>23.86</v>
      </c>
      <c r="U849" s="26">
        <f>IF(X849&gt;='Methodology &amp; Assumptions'!$B$7, "Tier 1 Critical GIDA (Score ≥ 50.0)", IF(X849&gt;='Methodology &amp; Assumptions'!$B$8, "Tier 2 High GIDA (Score 40.0–49.9)", "Tier 3 Moderate GIDA (Score &lt; 40.0)"))</f>
        <v/>
      </c>
      <c r="V849" s="26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W849" s="28" t="n">
        <v>0.109</v>
      </c>
      <c r="X849" s="14" t="n">
        <v>51.97</v>
      </c>
      <c r="Y849" s="14">
        <f>ROUND(MIN(100, (X849/69.91)*100), 2)</f>
        <v/>
      </c>
    </row>
    <row r="850">
      <c r="A850" s="10" t="n">
        <v>1</v>
      </c>
      <c r="B850" s="10" t="n">
        <v>846</v>
      </c>
      <c r="C850" s="10" t="n">
        <v>846</v>
      </c>
      <c r="D850" s="10" t="inlineStr">
        <is>
          <t>0102930024</t>
        </is>
      </c>
      <c r="E850" s="26" t="inlineStr">
        <is>
          <t>Region I (Ilocos Region)</t>
        </is>
      </c>
      <c r="F850" s="26" t="inlineStr">
        <is>
          <t>Ilocos Sur</t>
        </is>
      </c>
      <c r="G850" s="26" t="inlineStr">
        <is>
          <t>Sinait</t>
        </is>
      </c>
      <c r="H850" s="26" t="inlineStr">
        <is>
          <t>Nagcullooban</t>
        </is>
      </c>
      <c r="I850" s="27" t="n">
        <v>17.86028</v>
      </c>
      <c r="J850" s="27" t="n">
        <v>120.472919</v>
      </c>
      <c r="K850" s="10" t="inlineStr">
        <is>
          <t>R</t>
        </is>
      </c>
      <c r="L850" s="12" t="n">
        <v>446</v>
      </c>
      <c r="M850" s="14" t="n">
        <v>3.8</v>
      </c>
      <c r="N850" s="12">
        <f>ROUND(L850/M850, 0)</f>
        <v/>
      </c>
      <c r="O850" s="12">
        <f>ROUND(N850*'Methodology &amp; Assumptions'!$B$5, 0)</f>
        <v/>
      </c>
      <c r="P850" s="10" t="inlineStr">
        <is>
          <t>Single Carrier (Band n50, 100MHz TDD)</t>
        </is>
      </c>
      <c r="Q850" s="13">
        <f>ROUNDUP(O850/'Methodology &amp; Assumptions'!$B$6, 0)</f>
        <v/>
      </c>
      <c r="R850" s="13" t="n">
        <v>1</v>
      </c>
      <c r="S850" s="14" t="n">
        <v>1.68</v>
      </c>
      <c r="T850" s="14" t="n">
        <v>1.72</v>
      </c>
      <c r="U850" s="26">
        <f>IF(X850&gt;='Methodology &amp; Assumptions'!$B$7, "Tier 1 Critical GIDA (Score ≥ 50.0)", IF(X850&gt;='Methodology &amp; Assumptions'!$B$8, "Tier 2 High GIDA (Score 40.0–49.9)", "Tier 3 Moderate GIDA (Score &lt; 40.0)"))</f>
        <v/>
      </c>
      <c r="V850" s="26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W850" s="28" t="n">
        <v>0.083</v>
      </c>
      <c r="X850" s="14" t="n">
        <v>51.96</v>
      </c>
      <c r="Y850" s="14">
        <f>ROUND(MIN(100, (X850/69.91)*100), 2)</f>
        <v/>
      </c>
    </row>
    <row r="851">
      <c r="A851" s="10" t="n">
        <v>1</v>
      </c>
      <c r="B851" s="10" t="n">
        <v>847</v>
      </c>
      <c r="C851" s="10" t="n">
        <v>847</v>
      </c>
      <c r="D851" s="10" t="inlineStr">
        <is>
          <t>0405607068</t>
        </is>
      </c>
      <c r="E851" s="26" t="inlineStr">
        <is>
          <t>Region IV-A (CALABARZON)</t>
        </is>
      </c>
      <c r="F851" s="26" t="inlineStr">
        <is>
          <t>Quezon</t>
        </is>
      </c>
      <c r="G851" s="26" t="inlineStr">
        <is>
          <t>Calauag</t>
        </is>
      </c>
      <c r="H851" s="26" t="inlineStr">
        <is>
          <t>Salvacion</t>
        </is>
      </c>
      <c r="I851" s="27" t="n">
        <v>14.044707</v>
      </c>
      <c r="J851" s="27" t="n">
        <v>122.282546</v>
      </c>
      <c r="K851" s="10" t="inlineStr">
        <is>
          <t>R</t>
        </is>
      </c>
      <c r="L851" s="12" t="n">
        <v>255</v>
      </c>
      <c r="M851" s="14" t="n">
        <v>3.8</v>
      </c>
      <c r="N851" s="12">
        <f>ROUND(L851/M851, 0)</f>
        <v/>
      </c>
      <c r="O851" s="12">
        <f>ROUND(N851*'Methodology &amp; Assumptions'!$B$5, 0)</f>
        <v/>
      </c>
      <c r="P851" s="10" t="inlineStr">
        <is>
          <t>Single Carrier (Band n50, 100MHz TDD)</t>
        </is>
      </c>
      <c r="Q851" s="13">
        <f>ROUNDUP(O851/'Methodology &amp; Assumptions'!$B$6, 0)</f>
        <v/>
      </c>
      <c r="R851" s="13" t="n">
        <v>1</v>
      </c>
      <c r="S851" s="14" t="n">
        <v>6.21</v>
      </c>
      <c r="T851" s="14" t="n">
        <v>5.97</v>
      </c>
      <c r="U851" s="26">
        <f>IF(X851&gt;='Methodology &amp; Assumptions'!$B$7, "Tier 1 Critical GIDA (Score ≥ 50.0)", IF(X851&gt;='Methodology &amp; Assumptions'!$B$8, "Tier 2 High GIDA (Score 40.0–49.9)", "Tier 3 Moderate GIDA (Score &lt; 40.0)"))</f>
        <v/>
      </c>
      <c r="V851" s="26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W851" s="28" t="n">
        <v>0.07200000000000001</v>
      </c>
      <c r="X851" s="14" t="n">
        <v>51.95</v>
      </c>
      <c r="Y851" s="14">
        <f>ROUND(MIN(100, (X851/69.91)*100), 2)</f>
        <v/>
      </c>
    </row>
    <row r="852">
      <c r="A852" s="10" t="n">
        <v>1</v>
      </c>
      <c r="B852" s="10" t="n">
        <v>848</v>
      </c>
      <c r="C852" s="10" t="n">
        <v>848</v>
      </c>
      <c r="D852" s="10" t="inlineStr">
        <is>
          <t>1003506030</t>
        </is>
      </c>
      <c r="E852" s="26" t="inlineStr">
        <is>
          <t>Region X (Northern Mindanao)</t>
        </is>
      </c>
      <c r="F852" s="26" t="inlineStr">
        <is>
          <t>Lanao del Norte</t>
        </is>
      </c>
      <c r="G852" s="26" t="inlineStr">
        <is>
          <t>Sultan Naga Dimaporo</t>
        </is>
      </c>
      <c r="H852" s="26" t="inlineStr">
        <is>
          <t>Rebucon</t>
        </is>
      </c>
      <c r="I852" s="27" t="n">
        <v>7.783516</v>
      </c>
      <c r="J852" s="27" t="n">
        <v>123.723133</v>
      </c>
      <c r="K852" s="10" t="inlineStr">
        <is>
          <t>R</t>
        </is>
      </c>
      <c r="L852" s="12" t="n">
        <v>1592</v>
      </c>
      <c r="M852" s="14" t="n">
        <v>4.2</v>
      </c>
      <c r="N852" s="12">
        <f>ROUND(L852/M852, 0)</f>
        <v/>
      </c>
      <c r="O852" s="12">
        <f>ROUND(N852*'Methodology &amp; Assumptions'!$B$5, 0)</f>
        <v/>
      </c>
      <c r="P852" s="10" t="inlineStr">
        <is>
          <t>Single Carrier (Band n50, 100MHz TDD)</t>
        </is>
      </c>
      <c r="Q852" s="13">
        <f>ROUNDUP(O852/'Methodology &amp; Assumptions'!$B$6, 0)</f>
        <v/>
      </c>
      <c r="R852" s="13" t="n">
        <v>1</v>
      </c>
      <c r="S852" s="14" t="n">
        <v>24.1</v>
      </c>
      <c r="T852" s="14" t="n">
        <v>11.61</v>
      </c>
      <c r="U852" s="26">
        <f>IF(X852&gt;='Methodology &amp; Assumptions'!$B$7, "Tier 1 Critical GIDA (Score ≥ 50.0)", IF(X852&gt;='Methodology &amp; Assumptions'!$B$8, "Tier 2 High GIDA (Score 40.0–49.9)", "Tier 3 Moderate GIDA (Score &lt; 40.0)"))</f>
        <v/>
      </c>
      <c r="V852" s="26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W852" s="28" t="n">
        <v>0.174</v>
      </c>
      <c r="X852" s="14" t="n">
        <v>51.92</v>
      </c>
      <c r="Y852" s="14">
        <f>ROUND(MIN(100, (X852/69.91)*100), 2)</f>
        <v/>
      </c>
    </row>
    <row r="853">
      <c r="A853" s="10" t="n">
        <v>1</v>
      </c>
      <c r="B853" s="10" t="n">
        <v>849</v>
      </c>
      <c r="C853" s="10" t="n">
        <v>849</v>
      </c>
      <c r="D853" s="10" t="inlineStr">
        <is>
          <t>0702252013</t>
        </is>
      </c>
      <c r="E853" s="26" t="inlineStr">
        <is>
          <t>Region VII (Central Visayas)</t>
        </is>
      </c>
      <c r="F853" s="26" t="inlineStr">
        <is>
          <t>Cebu</t>
        </is>
      </c>
      <c r="G853" s="26" t="inlineStr">
        <is>
          <t>Tuburan</t>
        </is>
      </c>
      <c r="H853" s="26" t="inlineStr">
        <is>
          <t>Kanlunsing</t>
        </is>
      </c>
      <c r="I853" s="27" t="n">
        <v>10.618923</v>
      </c>
      <c r="J853" s="27" t="n">
        <v>123.892199</v>
      </c>
      <c r="K853" s="10" t="inlineStr">
        <is>
          <t>R</t>
        </is>
      </c>
      <c r="L853" s="12" t="n">
        <v>201</v>
      </c>
      <c r="M853" s="14" t="n">
        <v>3.8</v>
      </c>
      <c r="N853" s="12">
        <f>ROUND(L853/M853, 0)</f>
        <v/>
      </c>
      <c r="O853" s="12">
        <f>ROUND(N853*'Methodology &amp; Assumptions'!$B$5, 0)</f>
        <v/>
      </c>
      <c r="P853" s="10" t="inlineStr">
        <is>
          <t>Single Carrier (Band n50, 100MHz TDD)</t>
        </is>
      </c>
      <c r="Q853" s="13">
        <f>ROUNDUP(O853/'Methodology &amp; Assumptions'!$B$6, 0)</f>
        <v/>
      </c>
      <c r="R853" s="13" t="n">
        <v>1</v>
      </c>
      <c r="S853" s="14" t="n">
        <v>14.64</v>
      </c>
      <c r="T853" s="14" t="n">
        <v>11.36</v>
      </c>
      <c r="U853" s="26">
        <f>IF(X853&gt;='Methodology &amp; Assumptions'!$B$7, "Tier 1 Critical GIDA (Score ≥ 50.0)", IF(X853&gt;='Methodology &amp; Assumptions'!$B$8, "Tier 2 High GIDA (Score 40.0–49.9)", "Tier 3 Moderate GIDA (Score &lt; 40.0)"))</f>
        <v/>
      </c>
      <c r="V853" s="26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W853" s="28" t="n">
        <v>0.237</v>
      </c>
      <c r="X853" s="14" t="n">
        <v>51.92</v>
      </c>
      <c r="Y853" s="14">
        <f>ROUND(MIN(100, (X853/69.91)*100), 2)</f>
        <v/>
      </c>
    </row>
    <row r="854">
      <c r="A854" s="10" t="n">
        <v>1</v>
      </c>
      <c r="B854" s="10" t="n">
        <v>850</v>
      </c>
      <c r="C854" s="10" t="n">
        <v>850</v>
      </c>
      <c r="D854" s="10" t="inlineStr">
        <is>
          <t>0802615014</t>
        </is>
      </c>
      <c r="E854" s="26" t="inlineStr">
        <is>
          <t>Region VIII (Eastern Visayas)</t>
        </is>
      </c>
      <c r="F854" s="26" t="inlineStr">
        <is>
          <t>Eastern Samar</t>
        </is>
      </c>
      <c r="G854" s="26" t="inlineStr">
        <is>
          <t>Maydolong</t>
        </is>
      </c>
      <c r="H854" s="26" t="inlineStr">
        <is>
          <t>Barangay Poblacion 2</t>
        </is>
      </c>
      <c r="I854" s="27" t="n">
        <v>11.498779</v>
      </c>
      <c r="J854" s="27" t="n">
        <v>125.502597</v>
      </c>
      <c r="K854" s="10" t="inlineStr">
        <is>
          <t>R</t>
        </is>
      </c>
      <c r="L854" s="12" t="n">
        <v>552</v>
      </c>
      <c r="M854" s="14" t="n">
        <v>3.9</v>
      </c>
      <c r="N854" s="12">
        <f>ROUND(L854/M854, 0)</f>
        <v/>
      </c>
      <c r="O854" s="12">
        <f>ROUND(N854*'Methodology &amp; Assumptions'!$B$5, 0)</f>
        <v/>
      </c>
      <c r="P854" s="10" t="inlineStr">
        <is>
          <t>Single Carrier (Band n50, 100MHz TDD)</t>
        </is>
      </c>
      <c r="Q854" s="13">
        <f>ROUNDUP(O854/'Methodology &amp; Assumptions'!$B$6, 0)</f>
        <v/>
      </c>
      <c r="R854" s="13" t="n">
        <v>1</v>
      </c>
      <c r="S854" s="14" t="n">
        <v>61.67</v>
      </c>
      <c r="T854" s="14" t="n">
        <v>61.87</v>
      </c>
      <c r="U854" s="26">
        <f>IF(X854&gt;='Methodology &amp; Assumptions'!$B$7, "Tier 1 Critical GIDA (Score ≥ 50.0)", IF(X854&gt;='Methodology &amp; Assumptions'!$B$8, "Tier 2 High GIDA (Score 40.0–49.9)", "Tier 3 Moderate GIDA (Score &lt; 40.0)"))</f>
        <v/>
      </c>
      <c r="V854" s="26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W854" s="28" t="n">
        <v>0.237</v>
      </c>
      <c r="X854" s="14" t="n">
        <v>51.9</v>
      </c>
      <c r="Y854" s="14">
        <f>ROUND(MIN(100, (X854/69.91)*100), 2)</f>
        <v/>
      </c>
    </row>
    <row r="855">
      <c r="A855" s="10" t="n">
        <v>1</v>
      </c>
      <c r="B855" s="10" t="n">
        <v>851</v>
      </c>
      <c r="C855" s="10" t="n">
        <v>851</v>
      </c>
      <c r="D855" s="10" t="inlineStr">
        <is>
          <t>0506209009</t>
        </is>
      </c>
      <c r="E855" s="26" t="inlineStr">
        <is>
          <t>Region V (Bicol Region)</t>
        </is>
      </c>
      <c r="F855" s="26" t="inlineStr">
        <is>
          <t>Sorsogon</t>
        </is>
      </c>
      <c r="G855" s="26" t="inlineStr">
        <is>
          <t>Irosin</t>
        </is>
      </c>
      <c r="H855" s="26" t="inlineStr">
        <is>
          <t>Cawayan</t>
        </is>
      </c>
      <c r="I855" s="27" t="n">
        <v>12.69432</v>
      </c>
      <c r="J855" s="27" t="n">
        <v>124.08628</v>
      </c>
      <c r="K855" s="10" t="inlineStr">
        <is>
          <t>R</t>
        </is>
      </c>
      <c r="L855" s="12" t="n">
        <v>474</v>
      </c>
      <c r="M855" s="14" t="n">
        <v>4</v>
      </c>
      <c r="N855" s="12">
        <f>ROUND(L855/M855, 0)</f>
        <v/>
      </c>
      <c r="O855" s="12">
        <f>ROUND(N855*'Methodology &amp; Assumptions'!$B$5, 0)</f>
        <v/>
      </c>
      <c r="P855" s="10" t="inlineStr">
        <is>
          <t>Single Carrier (Band n50, 100MHz TDD)</t>
        </is>
      </c>
      <c r="Q855" s="13">
        <f>ROUNDUP(O855/'Methodology &amp; Assumptions'!$B$6, 0)</f>
        <v/>
      </c>
      <c r="R855" s="13" t="n">
        <v>1</v>
      </c>
      <c r="S855" s="14" t="n">
        <v>5.57</v>
      </c>
      <c r="T855" s="14" t="n">
        <v>3.95</v>
      </c>
      <c r="U855" s="26">
        <f>IF(X855&gt;='Methodology &amp; Assumptions'!$B$7, "Tier 1 Critical GIDA (Score ≥ 50.0)", IF(X855&gt;='Methodology &amp; Assumptions'!$B$8, "Tier 2 High GIDA (Score 40.0–49.9)", "Tier 3 Moderate GIDA (Score &lt; 40.0)"))</f>
        <v/>
      </c>
      <c r="V855" s="26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W855" s="28" t="n">
        <v>0.237</v>
      </c>
      <c r="X855" s="14" t="n">
        <v>51.9</v>
      </c>
      <c r="Y855" s="14">
        <f>ROUND(MIN(100, (X855/69.91)*100), 2)</f>
        <v/>
      </c>
    </row>
    <row r="856">
      <c r="A856" s="10" t="n">
        <v>1</v>
      </c>
      <c r="B856" s="10" t="n">
        <v>852</v>
      </c>
      <c r="C856" s="10" t="n">
        <v>852</v>
      </c>
      <c r="D856" s="10" t="inlineStr">
        <is>
          <t>PH0000852</t>
        </is>
      </c>
      <c r="E856" s="26" t="inlineStr">
        <is>
          <t>VI</t>
        </is>
      </c>
      <c r="F856" s="26" t="inlineStr">
        <is>
          <t>Iloilo</t>
        </is>
      </c>
      <c r="G856" s="26" t="inlineStr">
        <is>
          <t>Iloilo City</t>
        </is>
      </c>
      <c r="H856" s="26" t="inlineStr">
        <is>
          <t>Rima-Rizal</t>
        </is>
      </c>
      <c r="I856" s="27" t="n">
        <v>10.703395</v>
      </c>
      <c r="J856" s="27" t="n">
        <v>122.654207</v>
      </c>
      <c r="K856" s="10" t="inlineStr">
        <is>
          <t>R</t>
        </is>
      </c>
      <c r="L856" s="12" t="n">
        <v>2230</v>
      </c>
      <c r="M856" s="14" t="n">
        <v>3.8</v>
      </c>
      <c r="N856" s="12">
        <f>ROUND(L856/M856, 0)</f>
        <v/>
      </c>
      <c r="O856" s="12">
        <f>ROUND(N856*'Methodology &amp; Assumptions'!$B$5, 0)</f>
        <v/>
      </c>
      <c r="P856" s="10" t="inlineStr">
        <is>
          <t>Single Carrier (Band n50, 100MHz TDD)</t>
        </is>
      </c>
      <c r="Q856" s="13">
        <f>ROUNDUP(O856/'Methodology &amp; Assumptions'!$B$6, 0)</f>
        <v/>
      </c>
      <c r="R856" s="13" t="n">
        <v>1</v>
      </c>
      <c r="S856" s="14" t="n">
        <v>9.039999999999999</v>
      </c>
      <c r="T856" s="14" t="n">
        <v>6.44</v>
      </c>
      <c r="U856" s="26">
        <f>IF(X856&gt;='Methodology &amp; Assumptions'!$B$7, "Tier 1 Critical GIDA (Score ≥ 50.0)", IF(X856&gt;='Methodology &amp; Assumptions'!$B$8, "Tier 2 High GIDA (Score 40.0–49.9)", "Tier 3 Moderate GIDA (Score &lt; 40.0)"))</f>
        <v/>
      </c>
      <c r="V856" s="26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W856" s="28" t="n">
        <v>0.156</v>
      </c>
      <c r="X856" s="14" t="n">
        <v>51.9</v>
      </c>
      <c r="Y856" s="14">
        <f>ROUND(MIN(100, (X856/69.91)*100), 2)</f>
        <v/>
      </c>
    </row>
    <row r="857">
      <c r="A857" s="10" t="n">
        <v>1</v>
      </c>
      <c r="B857" s="10" t="n">
        <v>853</v>
      </c>
      <c r="C857" s="10" t="n">
        <v>853</v>
      </c>
      <c r="D857" s="10" t="inlineStr">
        <is>
          <t>1102509012</t>
        </is>
      </c>
      <c r="E857" s="26" t="inlineStr">
        <is>
          <t>Region XI (Davao Region)</t>
        </is>
      </c>
      <c r="F857" s="26" t="inlineStr">
        <is>
          <t>Davao Oriental</t>
        </is>
      </c>
      <c r="G857" s="26" t="inlineStr">
        <is>
          <t>City of Mati</t>
        </is>
      </c>
      <c r="H857" s="26" t="inlineStr">
        <is>
          <t>Don Salvador Lopez, Sr.</t>
        </is>
      </c>
      <c r="I857" s="27" t="n">
        <v>7.07742</v>
      </c>
      <c r="J857" s="27" t="n">
        <v>126.257792</v>
      </c>
      <c r="K857" s="10" t="inlineStr">
        <is>
          <t>R</t>
        </is>
      </c>
      <c r="L857" s="12" t="n">
        <v>4799</v>
      </c>
      <c r="M857" s="14" t="n">
        <v>3.6</v>
      </c>
      <c r="N857" s="12">
        <f>ROUND(L857/M857, 0)</f>
        <v/>
      </c>
      <c r="O857" s="12">
        <f>ROUND(N857*'Methodology &amp; Assumptions'!$B$5, 0)</f>
        <v/>
      </c>
      <c r="P857" s="10" t="inlineStr">
        <is>
          <t>Single Carrier (Band n50, 100MHz TDD)</t>
        </is>
      </c>
      <c r="Q857" s="13">
        <f>ROUNDUP(O857/'Methodology &amp; Assumptions'!$B$6, 0)</f>
        <v/>
      </c>
      <c r="R857" s="13" t="n">
        <v>1</v>
      </c>
      <c r="S857" s="14" t="n">
        <v>14.14</v>
      </c>
      <c r="T857" s="14" t="n">
        <v>14.07</v>
      </c>
      <c r="U857" s="26">
        <f>IF(X857&gt;='Methodology &amp; Assumptions'!$B$7, "Tier 1 Critical GIDA (Score ≥ 50.0)", IF(X857&gt;='Methodology &amp; Assumptions'!$B$8, "Tier 2 High GIDA (Score 40.0–49.9)", "Tier 3 Moderate GIDA (Score &lt; 40.0)"))</f>
        <v/>
      </c>
      <c r="V857" s="26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W857" s="28" t="n">
        <v>0.174</v>
      </c>
      <c r="X857" s="14" t="n">
        <v>51.9</v>
      </c>
      <c r="Y857" s="14">
        <f>ROUND(MIN(100, (X857/69.91)*100), 2)</f>
        <v/>
      </c>
    </row>
    <row r="858">
      <c r="A858" s="10" t="n">
        <v>1</v>
      </c>
      <c r="B858" s="10" t="n">
        <v>854</v>
      </c>
      <c r="C858" s="10" t="n">
        <v>854</v>
      </c>
      <c r="D858" s="10" t="inlineStr">
        <is>
          <t>1380606010</t>
        </is>
      </c>
      <c r="E858" s="26" t="inlineStr">
        <is>
          <t>National Capital Region (NCR)</t>
        </is>
      </c>
      <c r="F858" s="26" t="inlineStr">
        <is>
          <t>First District (Not a Province)</t>
        </is>
      </c>
      <c r="G858" s="26" t="inlineStr">
        <is>
          <t>City of Manila</t>
        </is>
      </c>
      <c r="H858" s="26" t="inlineStr">
        <is>
          <t>Barangay 404</t>
        </is>
      </c>
      <c r="I858" s="27" t="n">
        <v>13.016151</v>
      </c>
      <c r="J858" s="27" t="n">
        <v>121.736494</v>
      </c>
      <c r="K858" s="10" t="inlineStr">
        <is>
          <t>U</t>
        </is>
      </c>
      <c r="L858" s="12" t="n">
        <v>745</v>
      </c>
      <c r="M858" s="14" t="n">
        <v>3.9</v>
      </c>
      <c r="N858" s="12">
        <f>ROUND(L858/M858, 0)</f>
        <v/>
      </c>
      <c r="O858" s="12">
        <f>ROUND(N858*'Methodology &amp; Assumptions'!$B$5, 0)</f>
        <v/>
      </c>
      <c r="P858" s="10" t="inlineStr">
        <is>
          <t>Single Carrier (Band n50, 100MHz TDD)</t>
        </is>
      </c>
      <c r="Q858" s="13">
        <f>ROUNDUP(O858/'Methodology &amp; Assumptions'!$B$6, 0)</f>
        <v/>
      </c>
      <c r="R858" s="13" t="n">
        <v>1</v>
      </c>
      <c r="S858" s="14" t="n">
        <v>25.46</v>
      </c>
      <c r="T858" s="14" t="n">
        <v>27.84</v>
      </c>
      <c r="U858" s="26">
        <f>IF(X858&gt;='Methodology &amp; Assumptions'!$B$7, "Tier 1 Critical GIDA (Score ≥ 50.0)", IF(X858&gt;='Methodology &amp; Assumptions'!$B$8, "Tier 2 High GIDA (Score 40.0–49.9)", "Tier 3 Moderate GIDA (Score &lt; 40.0)"))</f>
        <v/>
      </c>
      <c r="V858" s="26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W858" s="28" t="n">
        <v>0.109</v>
      </c>
      <c r="X858" s="14" t="n">
        <v>51.89</v>
      </c>
      <c r="Y858" s="14">
        <f>ROUND(MIN(100, (X858/69.91)*100), 2)</f>
        <v/>
      </c>
    </row>
    <row r="859">
      <c r="A859" s="10" t="n">
        <v>1</v>
      </c>
      <c r="B859" s="10" t="n">
        <v>855</v>
      </c>
      <c r="C859" s="10" t="n">
        <v>855</v>
      </c>
      <c r="D859" s="10" t="inlineStr">
        <is>
          <t>0806022001</t>
        </is>
      </c>
      <c r="E859" s="26" t="inlineStr">
        <is>
          <t>Region VIII (Eastern Visayas)</t>
        </is>
      </c>
      <c r="F859" s="26" t="inlineStr">
        <is>
          <t>Samar</t>
        </is>
      </c>
      <c r="G859" s="26" t="inlineStr">
        <is>
          <t>Paranas</t>
        </is>
      </c>
      <c r="H859" s="26" t="inlineStr">
        <is>
          <t>Anagasi</t>
        </is>
      </c>
      <c r="I859" s="27" t="n">
        <v>11.950062</v>
      </c>
      <c r="J859" s="27" t="n">
        <v>125.109974</v>
      </c>
      <c r="K859" s="10" t="inlineStr">
        <is>
          <t>R</t>
        </is>
      </c>
      <c r="L859" s="12" t="n">
        <v>206</v>
      </c>
      <c r="M859" s="14" t="n">
        <v>4.1</v>
      </c>
      <c r="N859" s="12">
        <f>ROUND(L859/M859, 0)</f>
        <v/>
      </c>
      <c r="O859" s="12">
        <f>ROUND(N859*'Methodology &amp; Assumptions'!$B$5, 0)</f>
        <v/>
      </c>
      <c r="P859" s="10" t="inlineStr">
        <is>
          <t>Single Carrier (Band n50, 100MHz TDD)</t>
        </is>
      </c>
      <c r="Q859" s="13">
        <f>ROUNDUP(O859/'Methodology &amp; Assumptions'!$B$6, 0)</f>
        <v/>
      </c>
      <c r="R859" s="13" t="n">
        <v>1</v>
      </c>
      <c r="S859" s="14" t="n">
        <v>79.86</v>
      </c>
      <c r="T859" s="14" t="n">
        <v>82.75</v>
      </c>
      <c r="U859" s="26">
        <f>IF(X859&gt;='Methodology &amp; Assumptions'!$B$7, "Tier 1 Critical GIDA (Score ≥ 50.0)", IF(X859&gt;='Methodology &amp; Assumptions'!$B$8, "Tier 2 High GIDA (Score 40.0–49.9)", "Tier 3 Moderate GIDA (Score &lt; 40.0)"))</f>
        <v/>
      </c>
      <c r="V859" s="26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W859" s="28" t="n">
        <v>0.237</v>
      </c>
      <c r="X859" s="14" t="n">
        <v>51.89</v>
      </c>
      <c r="Y859" s="14">
        <f>ROUND(MIN(100, (X859/69.91)*100), 2)</f>
        <v/>
      </c>
    </row>
    <row r="860">
      <c r="A860" s="10" t="n">
        <v>1</v>
      </c>
      <c r="B860" s="10" t="n">
        <v>856</v>
      </c>
      <c r="C860" s="10" t="n">
        <v>856</v>
      </c>
      <c r="D860" s="10" t="inlineStr">
        <is>
          <t>0802607007</t>
        </is>
      </c>
      <c r="E860" s="26" t="inlineStr">
        <is>
          <t>Region VIII (Eastern Visayas)</t>
        </is>
      </c>
      <c r="F860" s="26" t="inlineStr">
        <is>
          <t>Eastern Samar</t>
        </is>
      </c>
      <c r="G860" s="26" t="inlineStr">
        <is>
          <t>General Macarthur</t>
        </is>
      </c>
      <c r="H860" s="26" t="inlineStr">
        <is>
          <t>Magsaysay</t>
        </is>
      </c>
      <c r="I860" s="27" t="n">
        <v>11.2825</v>
      </c>
      <c r="J860" s="27" t="n">
        <v>125.440278</v>
      </c>
      <c r="K860" s="10" t="inlineStr">
        <is>
          <t>R</t>
        </is>
      </c>
      <c r="L860" s="12" t="n">
        <v>146</v>
      </c>
      <c r="M860" s="14" t="n">
        <v>3.9</v>
      </c>
      <c r="N860" s="12">
        <f>ROUND(L860/M860, 0)</f>
        <v/>
      </c>
      <c r="O860" s="12">
        <f>ROUND(N860*'Methodology &amp; Assumptions'!$B$5, 0)</f>
        <v/>
      </c>
      <c r="P860" s="10" t="inlineStr">
        <is>
          <t>Single Carrier (Band n50, 100MHz TDD)</t>
        </is>
      </c>
      <c r="Q860" s="13">
        <f>ROUNDUP(O860/'Methodology &amp; Assumptions'!$B$6, 0)</f>
        <v/>
      </c>
      <c r="R860" s="13" t="n">
        <v>1</v>
      </c>
      <c r="S860" s="14" t="n">
        <v>47.63</v>
      </c>
      <c r="T860" s="14" t="n">
        <v>46.62</v>
      </c>
      <c r="U860" s="26">
        <f>IF(X860&gt;='Methodology &amp; Assumptions'!$B$7, "Tier 1 Critical GIDA (Score ≥ 50.0)", IF(X860&gt;='Methodology &amp; Assumptions'!$B$8, "Tier 2 High GIDA (Score 40.0–49.9)", "Tier 3 Moderate GIDA (Score &lt; 40.0)"))</f>
        <v/>
      </c>
      <c r="V860" s="26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W860" s="28" t="n">
        <v>0.237</v>
      </c>
      <c r="X860" s="14" t="n">
        <v>51.88</v>
      </c>
      <c r="Y860" s="14">
        <f>ROUND(MIN(100, (X860/69.91)*100), 2)</f>
        <v/>
      </c>
    </row>
    <row r="861">
      <c r="A861" s="10" t="n">
        <v>1</v>
      </c>
      <c r="B861" s="10" t="n">
        <v>857</v>
      </c>
      <c r="C861" s="10" t="n">
        <v>857</v>
      </c>
      <c r="D861" s="10" t="inlineStr">
        <is>
          <t>0702252002</t>
        </is>
      </c>
      <c r="E861" s="26" t="inlineStr">
        <is>
          <t>Region VII (Central Visayas)</t>
        </is>
      </c>
      <c r="F861" s="26" t="inlineStr">
        <is>
          <t>Cebu</t>
        </is>
      </c>
      <c r="G861" s="26" t="inlineStr">
        <is>
          <t>Tuburan</t>
        </is>
      </c>
      <c r="H861" s="26" t="inlineStr">
        <is>
          <t>Amatugan</t>
        </is>
      </c>
      <c r="I861" s="27" t="n">
        <v>10.675841</v>
      </c>
      <c r="J861" s="27" t="n">
        <v>123.887585</v>
      </c>
      <c r="K861" s="10" t="inlineStr">
        <is>
          <t>R</t>
        </is>
      </c>
      <c r="L861" s="12" t="n">
        <v>953</v>
      </c>
      <c r="M861" s="14" t="n">
        <v>3.8</v>
      </c>
      <c r="N861" s="12">
        <f>ROUND(L861/M861, 0)</f>
        <v/>
      </c>
      <c r="O861" s="12">
        <f>ROUND(N861*'Methodology &amp; Assumptions'!$B$5, 0)</f>
        <v/>
      </c>
      <c r="P861" s="10" t="inlineStr">
        <is>
          <t>Single Carrier (Band n50, 100MHz TDD)</t>
        </is>
      </c>
      <c r="Q861" s="13">
        <f>ROUNDUP(O861/'Methodology &amp; Assumptions'!$B$6, 0)</f>
        <v/>
      </c>
      <c r="R861" s="13" t="n">
        <v>1</v>
      </c>
      <c r="S861" s="14" t="n">
        <v>13.96</v>
      </c>
      <c r="T861" s="14" t="n">
        <v>8.529999999999999</v>
      </c>
      <c r="U861" s="26">
        <f>IF(X861&gt;='Methodology &amp; Assumptions'!$B$7, "Tier 1 Critical GIDA (Score ≥ 50.0)", IF(X861&gt;='Methodology &amp; Assumptions'!$B$8, "Tier 2 High GIDA (Score 40.0–49.9)", "Tier 3 Moderate GIDA (Score &lt; 40.0)"))</f>
        <v/>
      </c>
      <c r="V861" s="26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W861" s="28" t="n">
        <v>0.237</v>
      </c>
      <c r="X861" s="14" t="n">
        <v>51.88</v>
      </c>
      <c r="Y861" s="14">
        <f>ROUND(MIN(100, (X861/69.91)*100), 2)</f>
        <v/>
      </c>
    </row>
    <row r="862">
      <c r="A862" s="10" t="n">
        <v>1</v>
      </c>
      <c r="B862" s="10" t="n">
        <v>858</v>
      </c>
      <c r="C862" s="10" t="n">
        <v>858</v>
      </c>
      <c r="D862" s="10" t="inlineStr">
        <is>
          <t>1381200024</t>
        </is>
      </c>
      <c r="E862" s="26" t="inlineStr">
        <is>
          <t>National Capital Region (NCR)</t>
        </is>
      </c>
      <c r="F862" s="26" t="inlineStr">
        <is>
          <t>Second District (Not a Province)</t>
        </is>
      </c>
      <c r="G862" s="26" t="inlineStr">
        <is>
          <t>City of Pasig</t>
        </is>
      </c>
      <c r="H862" s="26" t="inlineStr">
        <is>
          <t>Santa Cruz</t>
        </is>
      </c>
      <c r="I862" s="27" t="n">
        <v>14.562951</v>
      </c>
      <c r="J862" s="27" t="n">
        <v>121.079121</v>
      </c>
      <c r="K862" s="10" t="inlineStr">
        <is>
          <t>U</t>
        </is>
      </c>
      <c r="L862" s="12" t="n">
        <v>5958</v>
      </c>
      <c r="M862" s="14" t="n">
        <v>3.4</v>
      </c>
      <c r="N862" s="12">
        <f>ROUND(L862/M862, 0)</f>
        <v/>
      </c>
      <c r="O862" s="12">
        <f>ROUND(N862*'Methodology &amp; Assumptions'!$B$5, 0)</f>
        <v/>
      </c>
      <c r="P862" s="10" t="inlineStr">
        <is>
          <t>Single Carrier (Band n50, 100MHz TDD)</t>
        </is>
      </c>
      <c r="Q862" s="13">
        <f>ROUNDUP(O862/'Methodology &amp; Assumptions'!$B$6, 0)</f>
        <v/>
      </c>
      <c r="R862" s="13" t="n">
        <v>1</v>
      </c>
      <c r="S862" s="14" t="n">
        <v>0.33</v>
      </c>
      <c r="T862" s="14" t="n">
        <v>0.32</v>
      </c>
      <c r="U862" s="26">
        <f>IF(X862&gt;='Methodology &amp; Assumptions'!$B$7, "Tier 1 Critical GIDA (Score ≥ 50.0)", IF(X862&gt;='Methodology &amp; Assumptions'!$B$8, "Tier 2 High GIDA (Score 40.0–49.9)", "Tier 3 Moderate GIDA (Score &lt; 40.0)"))</f>
        <v/>
      </c>
      <c r="V862" s="26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W862" s="28" t="n">
        <v>0.109</v>
      </c>
      <c r="X862" s="14" t="n">
        <v>51.88</v>
      </c>
      <c r="Y862" s="14">
        <f>ROUND(MIN(100, (X862/69.91)*100), 2)</f>
        <v/>
      </c>
    </row>
    <row r="863">
      <c r="A863" s="10" t="n">
        <v>1</v>
      </c>
      <c r="B863" s="10" t="n">
        <v>859</v>
      </c>
      <c r="C863" s="10" t="n">
        <v>859</v>
      </c>
      <c r="D863" s="10" t="inlineStr">
        <is>
          <t>1380601036</t>
        </is>
      </c>
      <c r="E863" s="26" t="inlineStr">
        <is>
          <t>National Capital Region (NCR)</t>
        </is>
      </c>
      <c r="F863" s="26" t="inlineStr">
        <is>
          <t>First District (Not a Province)</t>
        </is>
      </c>
      <c r="G863" s="26" t="inlineStr">
        <is>
          <t>City of Manila</t>
        </is>
      </c>
      <c r="H863" s="26" t="inlineStr">
        <is>
          <t>Barangay 36</t>
        </is>
      </c>
      <c r="I863" s="27" t="n">
        <v>12.803073</v>
      </c>
      <c r="J863" s="27" t="n">
        <v>121.897384</v>
      </c>
      <c r="K863" s="10" t="inlineStr">
        <is>
          <t>U</t>
        </is>
      </c>
      <c r="L863" s="12" t="n">
        <v>2299</v>
      </c>
      <c r="M863" s="14" t="n">
        <v>3.9</v>
      </c>
      <c r="N863" s="12">
        <f>ROUND(L863/M863, 0)</f>
        <v/>
      </c>
      <c r="O863" s="12">
        <f>ROUND(N863*'Methodology &amp; Assumptions'!$B$5, 0)</f>
        <v/>
      </c>
      <c r="P863" s="10" t="inlineStr">
        <is>
          <t>Single Carrier (Band n50, 100MHz TDD)</t>
        </is>
      </c>
      <c r="Q863" s="13">
        <f>ROUNDUP(O863/'Methodology &amp; Assumptions'!$B$6, 0)</f>
        <v/>
      </c>
      <c r="R863" s="13" t="n">
        <v>1</v>
      </c>
      <c r="S863" s="14" t="n">
        <v>43.55</v>
      </c>
      <c r="T863" s="14" t="n">
        <v>42.88</v>
      </c>
      <c r="U863" s="26">
        <f>IF(X863&gt;='Methodology &amp; Assumptions'!$B$7, "Tier 1 Critical GIDA (Score ≥ 50.0)", IF(X863&gt;='Methodology &amp; Assumptions'!$B$8, "Tier 2 High GIDA (Score 40.0–49.9)", "Tier 3 Moderate GIDA (Score &lt; 40.0)"))</f>
        <v/>
      </c>
      <c r="V863" s="26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W863" s="28" t="n">
        <v>0.109</v>
      </c>
      <c r="X863" s="14" t="n">
        <v>51.86</v>
      </c>
      <c r="Y863" s="14">
        <f>ROUND(MIN(100, (X863/69.91)*100), 2)</f>
        <v/>
      </c>
    </row>
    <row r="864">
      <c r="A864" s="10" t="n">
        <v>1</v>
      </c>
      <c r="B864" s="10" t="n">
        <v>860</v>
      </c>
      <c r="C864" s="10" t="n">
        <v>860</v>
      </c>
      <c r="D864" s="10" t="inlineStr">
        <is>
          <t>1380601015</t>
        </is>
      </c>
      <c r="E864" s="26" t="inlineStr">
        <is>
          <t>National Capital Region (NCR)</t>
        </is>
      </c>
      <c r="F864" s="26" t="inlineStr">
        <is>
          <t>First District (Not a Province)</t>
        </is>
      </c>
      <c r="G864" s="26" t="inlineStr">
        <is>
          <t>City of Manila</t>
        </is>
      </c>
      <c r="H864" s="26" t="inlineStr">
        <is>
          <t>Barangay 15</t>
        </is>
      </c>
      <c r="I864" s="27" t="n">
        <v>12.854701</v>
      </c>
      <c r="J864" s="27" t="n">
        <v>121.628564</v>
      </c>
      <c r="K864" s="10" t="inlineStr">
        <is>
          <t>U</t>
        </is>
      </c>
      <c r="L864" s="12" t="n">
        <v>1153</v>
      </c>
      <c r="M864" s="14" t="n">
        <v>3.9</v>
      </c>
      <c r="N864" s="12">
        <f>ROUND(L864/M864, 0)</f>
        <v/>
      </c>
      <c r="O864" s="12">
        <f>ROUND(N864*'Methodology &amp; Assumptions'!$B$5, 0)</f>
        <v/>
      </c>
      <c r="P864" s="10" t="inlineStr">
        <is>
          <t>Single Carrier (Band n50, 100MHz TDD)</t>
        </is>
      </c>
      <c r="Q864" s="13">
        <f>ROUNDUP(O864/'Methodology &amp; Assumptions'!$B$6, 0)</f>
        <v/>
      </c>
      <c r="R864" s="13" t="n">
        <v>1</v>
      </c>
      <c r="S864" s="14" t="n">
        <v>18.39</v>
      </c>
      <c r="T864" s="14" t="n">
        <v>17.91</v>
      </c>
      <c r="U864" s="26">
        <f>IF(X864&gt;='Methodology &amp; Assumptions'!$B$7, "Tier 1 Critical GIDA (Score ≥ 50.0)", IF(X864&gt;='Methodology &amp; Assumptions'!$B$8, "Tier 2 High GIDA (Score 40.0–49.9)", "Tier 3 Moderate GIDA (Score &lt; 40.0)"))</f>
        <v/>
      </c>
      <c r="V864" s="26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W864" s="28" t="n">
        <v>0.109</v>
      </c>
      <c r="X864" s="14" t="n">
        <v>51.86</v>
      </c>
      <c r="Y864" s="14">
        <f>ROUND(MIN(100, (X864/69.91)*100), 2)</f>
        <v/>
      </c>
    </row>
    <row r="865">
      <c r="A865" s="10" t="n">
        <v>1</v>
      </c>
      <c r="B865" s="10" t="n">
        <v>861</v>
      </c>
      <c r="C865" s="10" t="n">
        <v>861</v>
      </c>
      <c r="D865" s="10" t="inlineStr">
        <is>
          <t>PH0000861</t>
        </is>
      </c>
      <c r="E865" s="26" t="inlineStr">
        <is>
          <t>VI</t>
        </is>
      </c>
      <c r="F865" s="26" t="inlineStr">
        <is>
          <t>Iloilo</t>
        </is>
      </c>
      <c r="G865" s="26" t="inlineStr">
        <is>
          <t>Iloilo City</t>
        </is>
      </c>
      <c r="H865" s="26" t="inlineStr">
        <is>
          <t>West Habog-habog</t>
        </is>
      </c>
      <c r="I865" s="27" t="n">
        <v>10.648601</v>
      </c>
      <c r="J865" s="27" t="n">
        <v>122.464661</v>
      </c>
      <c r="K865" s="10" t="inlineStr">
        <is>
          <t>R</t>
        </is>
      </c>
      <c r="L865" s="12" t="n">
        <v>2230</v>
      </c>
      <c r="M865" s="14" t="n">
        <v>3.8</v>
      </c>
      <c r="N865" s="12">
        <f>ROUND(L865/M865, 0)</f>
        <v/>
      </c>
      <c r="O865" s="12">
        <f>ROUND(N865*'Methodology &amp; Assumptions'!$B$5, 0)</f>
        <v/>
      </c>
      <c r="P865" s="10" t="inlineStr">
        <is>
          <t>Single Carrier (Band n50, 100MHz TDD)</t>
        </is>
      </c>
      <c r="Q865" s="13">
        <f>ROUNDUP(O865/'Methodology &amp; Assumptions'!$B$6, 0)</f>
        <v/>
      </c>
      <c r="R865" s="13" t="n">
        <v>1</v>
      </c>
      <c r="S865" s="14" t="n">
        <v>5.22</v>
      </c>
      <c r="T865" s="14" t="n">
        <v>4.69</v>
      </c>
      <c r="U865" s="26">
        <f>IF(X865&gt;='Methodology &amp; Assumptions'!$B$7, "Tier 1 Critical GIDA (Score ≥ 50.0)", IF(X865&gt;='Methodology &amp; Assumptions'!$B$8, "Tier 2 High GIDA (Score 40.0–49.9)", "Tier 3 Moderate GIDA (Score &lt; 40.0)"))</f>
        <v/>
      </c>
      <c r="V865" s="26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W865" s="28" t="n">
        <v>0.156</v>
      </c>
      <c r="X865" s="14" t="n">
        <v>51.85</v>
      </c>
      <c r="Y865" s="14">
        <f>ROUND(MIN(100, (X865/69.91)*100), 2)</f>
        <v/>
      </c>
    </row>
    <row r="866">
      <c r="A866" s="10" t="n">
        <v>1</v>
      </c>
      <c r="B866" s="10" t="n">
        <v>862</v>
      </c>
      <c r="C866" s="10" t="n">
        <v>862</v>
      </c>
      <c r="D866" s="10" t="inlineStr">
        <is>
          <t>0806022046</t>
        </is>
      </c>
      <c r="E866" s="26" t="inlineStr">
        <is>
          <t>Region VIII (Eastern Visayas)</t>
        </is>
      </c>
      <c r="F866" s="26" t="inlineStr">
        <is>
          <t>Samar</t>
        </is>
      </c>
      <c r="G866" s="26" t="inlineStr">
        <is>
          <t>Paranas</t>
        </is>
      </c>
      <c r="H866" s="26" t="inlineStr">
        <is>
          <t>Tula</t>
        </is>
      </c>
      <c r="I866" s="27" t="n">
        <v>11.88587</v>
      </c>
      <c r="J866" s="27" t="n">
        <v>125.24551</v>
      </c>
      <c r="K866" s="10" t="inlineStr">
        <is>
          <t>R</t>
        </is>
      </c>
      <c r="L866" s="12" t="n">
        <v>419</v>
      </c>
      <c r="M866" s="14" t="n">
        <v>4.1</v>
      </c>
      <c r="N866" s="12">
        <f>ROUND(L866/M866, 0)</f>
        <v/>
      </c>
      <c r="O866" s="12">
        <f>ROUND(N866*'Methodology &amp; Assumptions'!$B$5, 0)</f>
        <v/>
      </c>
      <c r="P866" s="10" t="inlineStr">
        <is>
          <t>Single Carrier (Band n50, 100MHz TDD)</t>
        </is>
      </c>
      <c r="Q866" s="13">
        <f>ROUNDUP(O866/'Methodology &amp; Assumptions'!$B$6, 0)</f>
        <v/>
      </c>
      <c r="R866" s="13" t="n">
        <v>1</v>
      </c>
      <c r="S866" s="14" t="n">
        <v>76.58</v>
      </c>
      <c r="T866" s="14" t="n">
        <v>79.18000000000001</v>
      </c>
      <c r="U866" s="26">
        <f>IF(X866&gt;='Methodology &amp; Assumptions'!$B$7, "Tier 1 Critical GIDA (Score ≥ 50.0)", IF(X866&gt;='Methodology &amp; Assumptions'!$B$8, "Tier 2 High GIDA (Score 40.0–49.9)", "Tier 3 Moderate GIDA (Score &lt; 40.0)"))</f>
        <v/>
      </c>
      <c r="V866" s="26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W866" s="28" t="n">
        <v>0.237</v>
      </c>
      <c r="X866" s="14" t="n">
        <v>51.84</v>
      </c>
      <c r="Y866" s="14">
        <f>ROUND(MIN(100, (X866/69.91)*100), 2)</f>
        <v/>
      </c>
    </row>
    <row r="867">
      <c r="A867" s="10" t="n">
        <v>1</v>
      </c>
      <c r="B867" s="10" t="n">
        <v>863</v>
      </c>
      <c r="C867" s="10" t="n">
        <v>863</v>
      </c>
      <c r="D867" s="10" t="inlineStr">
        <is>
          <t>1380601111</t>
        </is>
      </c>
      <c r="E867" s="26" t="inlineStr">
        <is>
          <t>National Capital Region (NCR)</t>
        </is>
      </c>
      <c r="F867" s="26" t="inlineStr">
        <is>
          <t>First District (Not a Province)</t>
        </is>
      </c>
      <c r="G867" s="26" t="inlineStr">
        <is>
          <t>City of Manila</t>
        </is>
      </c>
      <c r="H867" s="26" t="inlineStr">
        <is>
          <t>Barangay 111</t>
        </is>
      </c>
      <c r="I867" s="27" t="n">
        <v>12.994985</v>
      </c>
      <c r="J867" s="27" t="n">
        <v>121.864744</v>
      </c>
      <c r="K867" s="10" t="inlineStr">
        <is>
          <t>U</t>
        </is>
      </c>
      <c r="L867" s="12" t="n">
        <v>2742</v>
      </c>
      <c r="M867" s="14" t="n">
        <v>3.9</v>
      </c>
      <c r="N867" s="12">
        <f>ROUND(L867/M867, 0)</f>
        <v/>
      </c>
      <c r="O867" s="12">
        <f>ROUND(N867*'Methodology &amp; Assumptions'!$B$5, 0)</f>
        <v/>
      </c>
      <c r="P867" s="10" t="inlineStr">
        <is>
          <t>Single Carrier (Band n50, 100MHz TDD)</t>
        </is>
      </c>
      <c r="Q867" s="13">
        <f>ROUNDUP(O867/'Methodology &amp; Assumptions'!$B$6, 0)</f>
        <v/>
      </c>
      <c r="R867" s="13" t="n">
        <v>1</v>
      </c>
      <c r="S867" s="14" t="n">
        <v>39.55</v>
      </c>
      <c r="T867" s="14" t="n">
        <v>41.81</v>
      </c>
      <c r="U867" s="26">
        <f>IF(X867&gt;='Methodology &amp; Assumptions'!$B$7, "Tier 1 Critical GIDA (Score ≥ 50.0)", IF(X867&gt;='Methodology &amp; Assumptions'!$B$8, "Tier 2 High GIDA (Score 40.0–49.9)", "Tier 3 Moderate GIDA (Score &lt; 40.0)"))</f>
        <v/>
      </c>
      <c r="V867" s="26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W867" s="28" t="n">
        <v>0.109</v>
      </c>
      <c r="X867" s="14" t="n">
        <v>51.84</v>
      </c>
      <c r="Y867" s="14">
        <f>ROUND(MIN(100, (X867/69.91)*100), 2)</f>
        <v/>
      </c>
    </row>
    <row r="868">
      <c r="A868" s="10" t="n">
        <v>1</v>
      </c>
      <c r="B868" s="10" t="n">
        <v>864</v>
      </c>
      <c r="C868" s="10" t="n">
        <v>864</v>
      </c>
      <c r="D868" s="10" t="inlineStr">
        <is>
          <t>1380604009</t>
        </is>
      </c>
      <c r="E868" s="26" t="inlineStr">
        <is>
          <t>National Capital Region (NCR)</t>
        </is>
      </c>
      <c r="F868" s="26" t="inlineStr">
        <is>
          <t>First District (Not a Province)</t>
        </is>
      </c>
      <c r="G868" s="26" t="inlineStr">
        <is>
          <t>City of Manila</t>
        </is>
      </c>
      <c r="H868" s="26" t="inlineStr">
        <is>
          <t>Barangay 276</t>
        </is>
      </c>
      <c r="I868" s="27" t="n">
        <v>12.733595</v>
      </c>
      <c r="J868" s="27" t="n">
        <v>121.787112</v>
      </c>
      <c r="K868" s="10" t="inlineStr">
        <is>
          <t>U</t>
        </is>
      </c>
      <c r="L868" s="12" t="n">
        <v>2620</v>
      </c>
      <c r="M868" s="14" t="n">
        <v>3.9</v>
      </c>
      <c r="N868" s="12">
        <f>ROUND(L868/M868, 0)</f>
        <v/>
      </c>
      <c r="O868" s="12">
        <f>ROUND(N868*'Methodology &amp; Assumptions'!$B$5, 0)</f>
        <v/>
      </c>
      <c r="P868" s="10" t="inlineStr">
        <is>
          <t>Single Carrier (Band n50, 100MHz TDD)</t>
        </is>
      </c>
      <c r="Q868" s="13">
        <f>ROUNDUP(O868/'Methodology &amp; Assumptions'!$B$6, 0)</f>
        <v/>
      </c>
      <c r="R868" s="13" t="n">
        <v>1</v>
      </c>
      <c r="S868" s="14" t="n">
        <v>29.33</v>
      </c>
      <c r="T868" s="14" t="n">
        <v>28.73</v>
      </c>
      <c r="U868" s="26">
        <f>IF(X868&gt;='Methodology &amp; Assumptions'!$B$7, "Tier 1 Critical GIDA (Score ≥ 50.0)", IF(X868&gt;='Methodology &amp; Assumptions'!$B$8, "Tier 2 High GIDA (Score 40.0–49.9)", "Tier 3 Moderate GIDA (Score &lt; 40.0)"))</f>
        <v/>
      </c>
      <c r="V868" s="26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W868" s="28" t="n">
        <v>0.109</v>
      </c>
      <c r="X868" s="14" t="n">
        <v>51.84</v>
      </c>
      <c r="Y868" s="14">
        <f>ROUND(MIN(100, (X868/69.91)*100), 2)</f>
        <v/>
      </c>
    </row>
    <row r="869">
      <c r="A869" s="10" t="n">
        <v>1</v>
      </c>
      <c r="B869" s="10" t="n">
        <v>865</v>
      </c>
      <c r="C869" s="10" t="n">
        <v>865</v>
      </c>
      <c r="D869" s="10" t="inlineStr">
        <is>
          <t>1102509013</t>
        </is>
      </c>
      <c r="E869" s="26" t="inlineStr">
        <is>
          <t>Region XI (Davao Region)</t>
        </is>
      </c>
      <c r="F869" s="26" t="inlineStr">
        <is>
          <t>Davao Oriental</t>
        </is>
      </c>
      <c r="G869" s="26" t="inlineStr">
        <is>
          <t>City of Mati</t>
        </is>
      </c>
      <c r="H869" s="26" t="inlineStr">
        <is>
          <t>Langka</t>
        </is>
      </c>
      <c r="I869" s="27" t="n">
        <v>6.356058</v>
      </c>
      <c r="J869" s="27" t="n">
        <v>126.198925</v>
      </c>
      <c r="K869" s="10" t="inlineStr">
        <is>
          <t>R</t>
        </is>
      </c>
      <c r="L869" s="12" t="n">
        <v>1281</v>
      </c>
      <c r="M869" s="14" t="n">
        <v>3.6</v>
      </c>
      <c r="N869" s="12">
        <f>ROUND(L869/M869, 0)</f>
        <v/>
      </c>
      <c r="O869" s="12">
        <f>ROUND(N869*'Methodology &amp; Assumptions'!$B$5, 0)</f>
        <v/>
      </c>
      <c r="P869" s="10" t="inlineStr">
        <is>
          <t>Single Carrier (Band n50, 100MHz TDD)</t>
        </is>
      </c>
      <c r="Q869" s="13">
        <f>ROUNDUP(O869/'Methodology &amp; Assumptions'!$B$6, 0)</f>
        <v/>
      </c>
      <c r="R869" s="13" t="n">
        <v>1</v>
      </c>
      <c r="S869" s="14" t="n">
        <v>63.51</v>
      </c>
      <c r="T869" s="14" t="n">
        <v>58.89</v>
      </c>
      <c r="U869" s="26">
        <f>IF(X869&gt;='Methodology &amp; Assumptions'!$B$7, "Tier 1 Critical GIDA (Score ≥ 50.0)", IF(X869&gt;='Methodology &amp; Assumptions'!$B$8, "Tier 2 High GIDA (Score 40.0–49.9)", "Tier 3 Moderate GIDA (Score &lt; 40.0)"))</f>
        <v/>
      </c>
      <c r="V869" s="26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W869" s="28" t="n">
        <v>0.174</v>
      </c>
      <c r="X869" s="14" t="n">
        <v>51.83</v>
      </c>
      <c r="Y869" s="14">
        <f>ROUND(MIN(100, (X869/69.91)*100), 2)</f>
        <v/>
      </c>
    </row>
    <row r="870">
      <c r="A870" s="10" t="n">
        <v>1</v>
      </c>
      <c r="B870" s="10" t="n">
        <v>866</v>
      </c>
      <c r="C870" s="10" t="n">
        <v>866</v>
      </c>
      <c r="D870" s="10" t="inlineStr">
        <is>
          <t>0501606002</t>
        </is>
      </c>
      <c r="E870" s="26" t="inlineStr">
        <is>
          <t>Region V (Bicol Region)</t>
        </is>
      </c>
      <c r="F870" s="26" t="inlineStr">
        <is>
          <t>Camarines Norte</t>
        </is>
      </c>
      <c r="G870" s="26" t="inlineStr">
        <is>
          <t>Labo</t>
        </is>
      </c>
      <c r="H870" s="26" t="inlineStr">
        <is>
          <t>Awitan</t>
        </is>
      </c>
      <c r="I870" s="27" t="n">
        <v>14.150256</v>
      </c>
      <c r="J870" s="27" t="n">
        <v>122.712787</v>
      </c>
      <c r="K870" s="10" t="inlineStr">
        <is>
          <t>R</t>
        </is>
      </c>
      <c r="L870" s="12" t="n">
        <v>720</v>
      </c>
      <c r="M870" s="14" t="n">
        <v>4</v>
      </c>
      <c r="N870" s="12">
        <f>ROUND(L870/M870, 0)</f>
        <v/>
      </c>
      <c r="O870" s="12">
        <f>ROUND(N870*'Methodology &amp; Assumptions'!$B$5, 0)</f>
        <v/>
      </c>
      <c r="P870" s="10" t="inlineStr">
        <is>
          <t>Single Carrier (Band n50, 100MHz TDD)</t>
        </is>
      </c>
      <c r="Q870" s="13">
        <f>ROUNDUP(O870/'Methodology &amp; Assumptions'!$B$6, 0)</f>
        <v/>
      </c>
      <c r="R870" s="13" t="n">
        <v>1</v>
      </c>
      <c r="S870" s="14" t="n">
        <v>8.300000000000001</v>
      </c>
      <c r="T870" s="14" t="n">
        <v>5</v>
      </c>
      <c r="U870" s="26">
        <f>IF(X870&gt;='Methodology &amp; Assumptions'!$B$7, "Tier 1 Critical GIDA (Score ≥ 50.0)", IF(X870&gt;='Methodology &amp; Assumptions'!$B$8, "Tier 2 High GIDA (Score 40.0–49.9)", "Tier 3 Moderate GIDA (Score &lt; 40.0)"))</f>
        <v/>
      </c>
      <c r="V870" s="26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W870" s="28" t="n">
        <v>0.237</v>
      </c>
      <c r="X870" s="14" t="n">
        <v>51.83</v>
      </c>
      <c r="Y870" s="14">
        <f>ROUND(MIN(100, (X870/69.91)*100), 2)</f>
        <v/>
      </c>
    </row>
    <row r="871">
      <c r="A871" s="10" t="n">
        <v>1</v>
      </c>
      <c r="B871" s="10" t="n">
        <v>867</v>
      </c>
      <c r="C871" s="10" t="n">
        <v>867</v>
      </c>
      <c r="D871" s="10" t="inlineStr">
        <is>
          <t>1381100093</t>
        </is>
      </c>
      <c r="E871" s="26" t="inlineStr">
        <is>
          <t>National Capital Region (NCR)</t>
        </is>
      </c>
      <c r="F871" s="26" t="inlineStr">
        <is>
          <t>Fourth District (Not a Province)</t>
        </is>
      </c>
      <c r="G871" s="26" t="inlineStr">
        <is>
          <t>Pasay City</t>
        </is>
      </c>
      <c r="H871" s="26" t="inlineStr">
        <is>
          <t>Barangay 93</t>
        </is>
      </c>
      <c r="I871" s="27" t="n">
        <v>14.537269</v>
      </c>
      <c r="J871" s="27" t="n">
        <v>121.007167</v>
      </c>
      <c r="K871" s="10" t="inlineStr">
        <is>
          <t>U</t>
        </is>
      </c>
      <c r="L871" s="12" t="n">
        <v>393</v>
      </c>
      <c r="M871" s="14" t="n">
        <v>3.4</v>
      </c>
      <c r="N871" s="12">
        <f>ROUND(L871/M871, 0)</f>
        <v/>
      </c>
      <c r="O871" s="12">
        <f>ROUND(N871*'Methodology &amp; Assumptions'!$B$5, 0)</f>
        <v/>
      </c>
      <c r="P871" s="10" t="inlineStr">
        <is>
          <t>Single Carrier (Band n50, 100MHz TDD)</t>
        </is>
      </c>
      <c r="Q871" s="13">
        <f>ROUNDUP(O871/'Methodology &amp; Assumptions'!$B$6, 0)</f>
        <v/>
      </c>
      <c r="R871" s="13" t="n">
        <v>1</v>
      </c>
      <c r="S871" s="14" t="n">
        <v>1.46</v>
      </c>
      <c r="T871" s="14" t="n">
        <v>0.41</v>
      </c>
      <c r="U871" s="26">
        <f>IF(X871&gt;='Methodology &amp; Assumptions'!$B$7, "Tier 1 Critical GIDA (Score ≥ 50.0)", IF(X871&gt;='Methodology &amp; Assumptions'!$B$8, "Tier 2 High GIDA (Score 40.0–49.9)", "Tier 3 Moderate GIDA (Score &lt; 40.0)"))</f>
        <v/>
      </c>
      <c r="V871" s="26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W871" s="28" t="n">
        <v>0.109</v>
      </c>
      <c r="X871" s="14" t="n">
        <v>51.83</v>
      </c>
      <c r="Y871" s="14">
        <f>ROUND(MIN(100, (X871/69.91)*100), 2)</f>
        <v/>
      </c>
    </row>
    <row r="872">
      <c r="A872" s="10" t="n">
        <v>1</v>
      </c>
      <c r="B872" s="10" t="n">
        <v>868</v>
      </c>
      <c r="C872" s="10" t="n">
        <v>868</v>
      </c>
      <c r="D872" s="10" t="inlineStr">
        <is>
          <t>1108204035</t>
        </is>
      </c>
      <c r="E872" s="26" t="inlineStr">
        <is>
          <t>Region XI (Davao Region)</t>
        </is>
      </c>
      <c r="F872" s="26" t="inlineStr">
        <is>
          <t>Davao de Oro</t>
        </is>
      </c>
      <c r="G872" s="26" t="inlineStr">
        <is>
          <t>Maco</t>
        </is>
      </c>
      <c r="H872" s="26" t="inlineStr">
        <is>
          <t>Panangan</t>
        </is>
      </c>
      <c r="I872" s="27" t="n">
        <v>7.411292</v>
      </c>
      <c r="J872" s="27" t="n">
        <v>125.948587</v>
      </c>
      <c r="K872" s="10" t="inlineStr">
        <is>
          <t>R</t>
        </is>
      </c>
      <c r="L872" s="12" t="n">
        <v>724</v>
      </c>
      <c r="M872" s="14" t="n">
        <v>3.7</v>
      </c>
      <c r="N872" s="12">
        <f>ROUND(L872/M872, 0)</f>
        <v/>
      </c>
      <c r="O872" s="12">
        <f>ROUND(N872*'Methodology &amp; Assumptions'!$B$5, 0)</f>
        <v/>
      </c>
      <c r="P872" s="10" t="inlineStr">
        <is>
          <t>Single Carrier (Band n50, 100MHz TDD)</t>
        </is>
      </c>
      <c r="Q872" s="13">
        <f>ROUNDUP(O872/'Methodology &amp; Assumptions'!$B$6, 0)</f>
        <v/>
      </c>
      <c r="R872" s="13" t="n">
        <v>1</v>
      </c>
      <c r="S872" s="14" t="n">
        <v>11.88</v>
      </c>
      <c r="T872" s="14" t="n">
        <v>10.36</v>
      </c>
      <c r="U872" s="26">
        <f>IF(X872&gt;='Methodology &amp; Assumptions'!$B$7, "Tier 1 Critical GIDA (Score ≥ 50.0)", IF(X872&gt;='Methodology &amp; Assumptions'!$B$8, "Tier 2 High GIDA (Score 40.0–49.9)", "Tier 3 Moderate GIDA (Score &lt; 40.0)"))</f>
        <v/>
      </c>
      <c r="V872" s="26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W872" s="28" t="n">
        <v>0.174</v>
      </c>
      <c r="X872" s="14" t="n">
        <v>51.82</v>
      </c>
      <c r="Y872" s="14">
        <f>ROUND(MIN(100, (X872/69.91)*100), 2)</f>
        <v/>
      </c>
    </row>
    <row r="873">
      <c r="A873" s="10" t="n">
        <v>1</v>
      </c>
      <c r="B873" s="10" t="n">
        <v>869</v>
      </c>
      <c r="C873" s="10" t="n">
        <v>869</v>
      </c>
      <c r="D873" s="10" t="inlineStr">
        <is>
          <t>1380601109</t>
        </is>
      </c>
      <c r="E873" s="26" t="inlineStr">
        <is>
          <t>National Capital Region (NCR)</t>
        </is>
      </c>
      <c r="F873" s="26" t="inlineStr">
        <is>
          <t>First District (Not a Province)</t>
        </is>
      </c>
      <c r="G873" s="26" t="inlineStr">
        <is>
          <t>City of Manila</t>
        </is>
      </c>
      <c r="H873" s="26" t="inlineStr">
        <is>
          <t>Barangay 109</t>
        </is>
      </c>
      <c r="I873" s="27" t="n">
        <v>12.979696</v>
      </c>
      <c r="J873" s="27" t="n">
        <v>121.662057</v>
      </c>
      <c r="K873" s="10" t="inlineStr">
        <is>
          <t>U</t>
        </is>
      </c>
      <c r="L873" s="12" t="n">
        <v>3353</v>
      </c>
      <c r="M873" s="14" t="n">
        <v>3.9</v>
      </c>
      <c r="N873" s="12">
        <f>ROUND(L873/M873, 0)</f>
        <v/>
      </c>
      <c r="O873" s="12">
        <f>ROUND(N873*'Methodology &amp; Assumptions'!$B$5, 0)</f>
        <v/>
      </c>
      <c r="P873" s="10" t="inlineStr">
        <is>
          <t>Single Carrier (Band n50, 100MHz TDD)</t>
        </is>
      </c>
      <c r="Q873" s="13">
        <f>ROUNDUP(O873/'Methodology &amp; Assumptions'!$B$6, 0)</f>
        <v/>
      </c>
      <c r="R873" s="13" t="n">
        <v>1</v>
      </c>
      <c r="S873" s="14" t="n">
        <v>19.28</v>
      </c>
      <c r="T873" s="14" t="n">
        <v>19.93</v>
      </c>
      <c r="U873" s="26">
        <f>IF(X873&gt;='Methodology &amp; Assumptions'!$B$7, "Tier 1 Critical GIDA (Score ≥ 50.0)", IF(X873&gt;='Methodology &amp; Assumptions'!$B$8, "Tier 2 High GIDA (Score 40.0–49.9)", "Tier 3 Moderate GIDA (Score &lt; 40.0)"))</f>
        <v/>
      </c>
      <c r="V873" s="26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W873" s="28" t="n">
        <v>0.109</v>
      </c>
      <c r="X873" s="14" t="n">
        <v>51.82</v>
      </c>
      <c r="Y873" s="14">
        <f>ROUND(MIN(100, (X873/69.91)*100), 2)</f>
        <v/>
      </c>
    </row>
    <row r="874">
      <c r="A874" s="10" t="n">
        <v>1</v>
      </c>
      <c r="B874" s="10" t="n">
        <v>870</v>
      </c>
      <c r="C874" s="10" t="n">
        <v>870</v>
      </c>
      <c r="D874" s="10" t="inlineStr">
        <is>
          <t>0806022040</t>
        </is>
      </c>
      <c r="E874" s="26" t="inlineStr">
        <is>
          <t>Region VIII (Eastern Visayas)</t>
        </is>
      </c>
      <c r="F874" s="26" t="inlineStr">
        <is>
          <t>Samar</t>
        </is>
      </c>
      <c r="G874" s="26" t="inlineStr">
        <is>
          <t>Paranas</t>
        </is>
      </c>
      <c r="H874" s="26" t="inlineStr">
        <is>
          <t>Santo Niño</t>
        </is>
      </c>
      <c r="I874" s="27" t="n">
        <v>11.931856</v>
      </c>
      <c r="J874" s="27" t="n">
        <v>125.047061</v>
      </c>
      <c r="K874" s="10" t="inlineStr">
        <is>
          <t>R</t>
        </is>
      </c>
      <c r="L874" s="12" t="n">
        <v>206</v>
      </c>
      <c r="M874" s="14" t="n">
        <v>4.1</v>
      </c>
      <c r="N874" s="12">
        <f>ROUND(L874/M874, 0)</f>
        <v/>
      </c>
      <c r="O874" s="12">
        <f>ROUND(N874*'Methodology &amp; Assumptions'!$B$5, 0)</f>
        <v/>
      </c>
      <c r="P874" s="10" t="inlineStr">
        <is>
          <t>Single Carrier (Band n50, 100MHz TDD)</t>
        </is>
      </c>
      <c r="Q874" s="13">
        <f>ROUNDUP(O874/'Methodology &amp; Assumptions'!$B$6, 0)</f>
        <v/>
      </c>
      <c r="R874" s="13" t="n">
        <v>1</v>
      </c>
      <c r="S874" s="14" t="n">
        <v>77.13</v>
      </c>
      <c r="T874" s="14" t="n">
        <v>80.09999999999999</v>
      </c>
      <c r="U874" s="26">
        <f>IF(X874&gt;='Methodology &amp; Assumptions'!$B$7, "Tier 1 Critical GIDA (Score ≥ 50.0)", IF(X874&gt;='Methodology &amp; Assumptions'!$B$8, "Tier 2 High GIDA (Score 40.0–49.9)", "Tier 3 Moderate GIDA (Score &lt; 40.0)"))</f>
        <v/>
      </c>
      <c r="V874" s="26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W874" s="28" t="n">
        <v>0.237</v>
      </c>
      <c r="X874" s="14" t="n">
        <v>51.8</v>
      </c>
      <c r="Y874" s="14">
        <f>ROUND(MIN(100, (X874/69.91)*100), 2)</f>
        <v/>
      </c>
    </row>
    <row r="875">
      <c r="A875" s="10" t="n">
        <v>1</v>
      </c>
      <c r="B875" s="10" t="n">
        <v>871</v>
      </c>
      <c r="C875" s="10" t="n">
        <v>871</v>
      </c>
      <c r="D875" s="10" t="inlineStr">
        <is>
          <t>1381400004</t>
        </is>
      </c>
      <c r="E875" s="26" t="inlineStr">
        <is>
          <t>National Capital Region (NCR)</t>
        </is>
      </c>
      <c r="F875" s="26" t="inlineStr">
        <is>
          <t>Second District (Not a Province)</t>
        </is>
      </c>
      <c r="G875" s="26" t="inlineStr">
        <is>
          <t>City of San Juan</t>
        </is>
      </c>
      <c r="H875" s="26" t="inlineStr">
        <is>
          <t>Corazon De Jesus</t>
        </is>
      </c>
      <c r="I875" s="27" t="n">
        <v>14.605906</v>
      </c>
      <c r="J875" s="27" t="n">
        <v>121.029207</v>
      </c>
      <c r="K875" s="10" t="inlineStr">
        <is>
          <t>U</t>
        </is>
      </c>
      <c r="L875" s="12" t="n">
        <v>8371</v>
      </c>
      <c r="M875" s="14" t="n">
        <v>3.6</v>
      </c>
      <c r="N875" s="12">
        <f>ROUND(L875/M875, 0)</f>
        <v/>
      </c>
      <c r="O875" s="12">
        <f>ROUND(N875*'Methodology &amp; Assumptions'!$B$5, 0)</f>
        <v/>
      </c>
      <c r="P875" s="10" t="inlineStr">
        <is>
          <t>Single Carrier (Band n50, 100MHz TDD)</t>
        </is>
      </c>
      <c r="Q875" s="13">
        <f>ROUNDUP(O875/'Methodology &amp; Assumptions'!$B$6, 0)</f>
        <v/>
      </c>
      <c r="R875" s="13" t="n">
        <v>1</v>
      </c>
      <c r="S875" s="14" t="n">
        <v>1.92</v>
      </c>
      <c r="T875" s="14" t="n">
        <v>0.12</v>
      </c>
      <c r="U875" s="26">
        <f>IF(X875&gt;='Methodology &amp; Assumptions'!$B$7, "Tier 1 Critical GIDA (Score ≥ 50.0)", IF(X875&gt;='Methodology &amp; Assumptions'!$B$8, "Tier 2 High GIDA (Score 40.0–49.9)", "Tier 3 Moderate GIDA (Score &lt; 40.0)"))</f>
        <v/>
      </c>
      <c r="V875" s="26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W875" s="28" t="n">
        <v>0.109</v>
      </c>
      <c r="X875" s="14" t="n">
        <v>51.8</v>
      </c>
      <c r="Y875" s="14">
        <f>ROUND(MIN(100, (X875/69.91)*100), 2)</f>
        <v/>
      </c>
    </row>
    <row r="876">
      <c r="A876" s="10" t="n">
        <v>1</v>
      </c>
      <c r="B876" s="10" t="n">
        <v>872</v>
      </c>
      <c r="C876" s="10" t="n">
        <v>872</v>
      </c>
      <c r="D876" s="10" t="inlineStr">
        <is>
          <t>1108602033</t>
        </is>
      </c>
      <c r="E876" s="26" t="inlineStr">
        <is>
          <t>Region XI (Davao Region)</t>
        </is>
      </c>
      <c r="F876" s="26" t="inlineStr">
        <is>
          <t>Davao Occidental</t>
        </is>
      </c>
      <c r="G876" s="26" t="inlineStr">
        <is>
          <t>Jose Abad Santos</t>
        </is>
      </c>
      <c r="H876" s="26" t="inlineStr">
        <is>
          <t>Sugal</t>
        </is>
      </c>
      <c r="I876" s="27" t="n">
        <v>5.883544</v>
      </c>
      <c r="J876" s="27" t="n">
        <v>125.623523</v>
      </c>
      <c r="K876" s="10" t="inlineStr">
        <is>
          <t>R</t>
        </is>
      </c>
      <c r="L876" s="12" t="n">
        <v>3173</v>
      </c>
      <c r="M876" s="14" t="n">
        <v>3.6</v>
      </c>
      <c r="N876" s="12">
        <f>ROUND(L876/M876, 0)</f>
        <v/>
      </c>
      <c r="O876" s="12">
        <f>ROUND(N876*'Methodology &amp; Assumptions'!$B$5, 0)</f>
        <v/>
      </c>
      <c r="P876" s="10" t="inlineStr">
        <is>
          <t>Single Carrier (Band n50, 100MHz TDD)</t>
        </is>
      </c>
      <c r="Q876" s="13">
        <f>ROUNDUP(O876/'Methodology &amp; Assumptions'!$B$6, 0)</f>
        <v/>
      </c>
      <c r="R876" s="13" t="n">
        <v>1</v>
      </c>
      <c r="S876" s="14" t="n">
        <v>45.46</v>
      </c>
      <c r="T876" s="14" t="n">
        <v>54.24</v>
      </c>
      <c r="U876" s="26">
        <f>IF(X876&gt;='Methodology &amp; Assumptions'!$B$7, "Tier 1 Critical GIDA (Score ≥ 50.0)", IF(X876&gt;='Methodology &amp; Assumptions'!$B$8, "Tier 2 High GIDA (Score 40.0–49.9)", "Tier 3 Moderate GIDA (Score &lt; 40.0)"))</f>
        <v/>
      </c>
      <c r="V876" s="26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W876" s="28" t="n">
        <v>0.174</v>
      </c>
      <c r="X876" s="14" t="n">
        <v>51.8</v>
      </c>
      <c r="Y876" s="14">
        <f>ROUND(MIN(100, (X876/69.91)*100), 2)</f>
        <v/>
      </c>
    </row>
    <row r="877">
      <c r="A877" s="10" t="n">
        <v>1</v>
      </c>
      <c r="B877" s="10" t="n">
        <v>873</v>
      </c>
      <c r="C877" s="10" t="n">
        <v>873</v>
      </c>
      <c r="D877" s="10" t="inlineStr">
        <is>
          <t>1108202011</t>
        </is>
      </c>
      <c r="E877" s="26" t="inlineStr">
        <is>
          <t>Region XI (Davao Region)</t>
        </is>
      </c>
      <c r="F877" s="26" t="inlineStr">
        <is>
          <t>Davao de Oro</t>
        </is>
      </c>
      <c r="G877" s="26" t="inlineStr">
        <is>
          <t>Laak</t>
        </is>
      </c>
      <c r="H877" s="26" t="inlineStr">
        <is>
          <t>Langtud</t>
        </is>
      </c>
      <c r="I877" s="27" t="n">
        <v>7.846509</v>
      </c>
      <c r="J877" s="27" t="n">
        <v>125.861212</v>
      </c>
      <c r="K877" s="10" t="inlineStr">
        <is>
          <t>R</t>
        </is>
      </c>
      <c r="L877" s="12" t="n">
        <v>3066</v>
      </c>
      <c r="M877" s="14" t="n">
        <v>3.7</v>
      </c>
      <c r="N877" s="12">
        <f>ROUND(L877/M877, 0)</f>
        <v/>
      </c>
      <c r="O877" s="12">
        <f>ROUND(N877*'Methodology &amp; Assumptions'!$B$5, 0)</f>
        <v/>
      </c>
      <c r="P877" s="10" t="inlineStr">
        <is>
          <t>Single Carrier (Band n50, 100MHz TDD)</t>
        </is>
      </c>
      <c r="Q877" s="13">
        <f>ROUNDUP(O877/'Methodology &amp; Assumptions'!$B$6, 0)</f>
        <v/>
      </c>
      <c r="R877" s="13" t="n">
        <v>1</v>
      </c>
      <c r="S877" s="14" t="n">
        <v>21.58</v>
      </c>
      <c r="T877" s="14" t="n">
        <v>18.84</v>
      </c>
      <c r="U877" s="26">
        <f>IF(X877&gt;='Methodology &amp; Assumptions'!$B$7, "Tier 1 Critical GIDA (Score ≥ 50.0)", IF(X877&gt;='Methodology &amp; Assumptions'!$B$8, "Tier 2 High GIDA (Score 40.0–49.9)", "Tier 3 Moderate GIDA (Score &lt; 40.0)"))</f>
        <v/>
      </c>
      <c r="V877" s="26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W877" s="28" t="n">
        <v>0.174</v>
      </c>
      <c r="X877" s="14" t="n">
        <v>51.79</v>
      </c>
      <c r="Y877" s="14">
        <f>ROUND(MIN(100, (X877/69.91)*100), 2)</f>
        <v/>
      </c>
    </row>
    <row r="878">
      <c r="A878" s="10" t="n">
        <v>1</v>
      </c>
      <c r="B878" s="10" t="n">
        <v>874</v>
      </c>
      <c r="C878" s="10" t="n">
        <v>874</v>
      </c>
      <c r="D878" s="10" t="inlineStr">
        <is>
          <t>0501711012</t>
        </is>
      </c>
      <c r="E878" s="26" t="inlineStr">
        <is>
          <t>Region V (Bicol Region)</t>
        </is>
      </c>
      <c r="F878" s="26" t="inlineStr">
        <is>
          <t>Camarines Sur</t>
        </is>
      </c>
      <c r="G878" s="26" t="inlineStr">
        <is>
          <t>Caramoan</t>
        </is>
      </c>
      <c r="H878" s="26" t="inlineStr">
        <is>
          <t>Gogon</t>
        </is>
      </c>
      <c r="I878" s="27" t="n">
        <v>13.94453</v>
      </c>
      <c r="J878" s="27" t="n">
        <v>123.8292</v>
      </c>
      <c r="K878" s="10" t="inlineStr">
        <is>
          <t>R</t>
        </is>
      </c>
      <c r="L878" s="12" t="n">
        <v>1595</v>
      </c>
      <c r="M878" s="14" t="n">
        <v>4.2</v>
      </c>
      <c r="N878" s="12">
        <f>ROUND(L878/M878, 0)</f>
        <v/>
      </c>
      <c r="O878" s="12">
        <f>ROUND(N878*'Methodology &amp; Assumptions'!$B$5, 0)</f>
        <v/>
      </c>
      <c r="P878" s="10" t="inlineStr">
        <is>
          <t>Single Carrier (Band n50, 100MHz TDD)</t>
        </is>
      </c>
      <c r="Q878" s="13">
        <f>ROUNDUP(O878/'Methodology &amp; Assumptions'!$B$6, 0)</f>
        <v/>
      </c>
      <c r="R878" s="13" t="n">
        <v>1</v>
      </c>
      <c r="S878" s="14" t="n">
        <v>19.29</v>
      </c>
      <c r="T878" s="14" t="n">
        <v>46.08</v>
      </c>
      <c r="U878" s="26">
        <f>IF(X878&gt;='Methodology &amp; Assumptions'!$B$7, "Tier 1 Critical GIDA (Score ≥ 50.0)", IF(X878&gt;='Methodology &amp; Assumptions'!$B$8, "Tier 2 High GIDA (Score 40.0–49.9)", "Tier 3 Moderate GIDA (Score &lt; 40.0)"))</f>
        <v/>
      </c>
      <c r="V878" s="26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W878" s="28" t="n">
        <v>0.237</v>
      </c>
      <c r="X878" s="14" t="n">
        <v>51.78</v>
      </c>
      <c r="Y878" s="14">
        <f>ROUND(MIN(100, (X878/69.91)*100), 2)</f>
        <v/>
      </c>
    </row>
    <row r="879">
      <c r="A879" s="10" t="n">
        <v>1</v>
      </c>
      <c r="B879" s="10" t="n">
        <v>875</v>
      </c>
      <c r="C879" s="10" t="n">
        <v>875</v>
      </c>
      <c r="D879" s="10" t="inlineStr">
        <is>
          <t>1380601124</t>
        </is>
      </c>
      <c r="E879" s="26" t="inlineStr">
        <is>
          <t>National Capital Region (NCR)</t>
        </is>
      </c>
      <c r="F879" s="26" t="inlineStr">
        <is>
          <t>First District (Not a Province)</t>
        </is>
      </c>
      <c r="G879" s="26" t="inlineStr">
        <is>
          <t>City of Manila</t>
        </is>
      </c>
      <c r="H879" s="26" t="inlineStr">
        <is>
          <t>Barangay 124</t>
        </is>
      </c>
      <c r="I879" s="27" t="n">
        <v>12.77788</v>
      </c>
      <c r="J879" s="27" t="n">
        <v>121.660016</v>
      </c>
      <c r="K879" s="10" t="inlineStr">
        <is>
          <t>U</t>
        </is>
      </c>
      <c r="L879" s="12" t="n">
        <v>164</v>
      </c>
      <c r="M879" s="14" t="n">
        <v>3.9</v>
      </c>
      <c r="N879" s="12">
        <f>ROUND(L879/M879, 0)</f>
        <v/>
      </c>
      <c r="O879" s="12">
        <f>ROUND(N879*'Methodology &amp; Assumptions'!$B$5, 0)</f>
        <v/>
      </c>
      <c r="P879" s="10" t="inlineStr">
        <is>
          <t>Single Carrier (Band n50, 100MHz TDD)</t>
        </is>
      </c>
      <c r="Q879" s="13">
        <f>ROUNDUP(O879/'Methodology &amp; Assumptions'!$B$6, 0)</f>
        <v/>
      </c>
      <c r="R879" s="13" t="n">
        <v>1</v>
      </c>
      <c r="S879" s="14" t="n">
        <v>19.1</v>
      </c>
      <c r="T879" s="14" t="n">
        <v>19.05</v>
      </c>
      <c r="U879" s="26">
        <f>IF(X879&gt;='Methodology &amp; Assumptions'!$B$7, "Tier 1 Critical GIDA (Score ≥ 50.0)", IF(X879&gt;='Methodology &amp; Assumptions'!$B$8, "Tier 2 High GIDA (Score 40.0–49.9)", "Tier 3 Moderate GIDA (Score &lt; 40.0)"))</f>
        <v/>
      </c>
      <c r="V879" s="26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W879" s="28" t="n">
        <v>0.109</v>
      </c>
      <c r="X879" s="14" t="n">
        <v>51.78</v>
      </c>
      <c r="Y879" s="14">
        <f>ROUND(MIN(100, (X879/69.91)*100), 2)</f>
        <v/>
      </c>
    </row>
    <row r="880">
      <c r="A880" s="10" t="n">
        <v>1</v>
      </c>
      <c r="B880" s="10" t="n">
        <v>876</v>
      </c>
      <c r="C880" s="10" t="n">
        <v>876</v>
      </c>
      <c r="D880" s="10" t="inlineStr">
        <is>
          <t>0201526028</t>
        </is>
      </c>
      <c r="E880" s="26" t="inlineStr">
        <is>
          <t>Region II (Cagayan Valley)</t>
        </is>
      </c>
      <c r="F880" s="26" t="inlineStr">
        <is>
          <t>Cagayan</t>
        </is>
      </c>
      <c r="G880" s="26" t="inlineStr">
        <is>
          <t>Santo Niño</t>
        </is>
      </c>
      <c r="H880" s="26" t="inlineStr">
        <is>
          <t>Santa Felicitas</t>
        </is>
      </c>
      <c r="I880" s="27" t="n">
        <v>17.906669</v>
      </c>
      <c r="J880" s="27" t="n">
        <v>121.582536</v>
      </c>
      <c r="K880" s="10" t="inlineStr">
        <is>
          <t>R</t>
        </is>
      </c>
      <c r="L880" s="12" t="n">
        <v>410</v>
      </c>
      <c r="M880" s="14" t="n">
        <v>3.9</v>
      </c>
      <c r="N880" s="12">
        <f>ROUND(L880/M880, 0)</f>
        <v/>
      </c>
      <c r="O880" s="12">
        <f>ROUND(N880*'Methodology &amp; Assumptions'!$B$5, 0)</f>
        <v/>
      </c>
      <c r="P880" s="10" t="inlineStr">
        <is>
          <t>Single Carrier (Band n50, 100MHz TDD)</t>
        </is>
      </c>
      <c r="Q880" s="13">
        <f>ROUNDUP(O880/'Methodology &amp; Assumptions'!$B$6, 0)</f>
        <v/>
      </c>
      <c r="R880" s="13" t="n">
        <v>1</v>
      </c>
      <c r="S880" s="14" t="n">
        <v>2.91</v>
      </c>
      <c r="T880" s="14" t="n">
        <v>6.13</v>
      </c>
      <c r="U880" s="26">
        <f>IF(X880&gt;='Methodology &amp; Assumptions'!$B$7, "Tier 1 Critical GIDA (Score ≥ 50.0)", IF(X880&gt;='Methodology &amp; Assumptions'!$B$8, "Tier 2 High GIDA (Score 40.0–49.9)", "Tier 3 Moderate GIDA (Score &lt; 40.0)"))</f>
        <v/>
      </c>
      <c r="V880" s="26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W880" s="28" t="n">
        <v>0.083</v>
      </c>
      <c r="X880" s="14" t="n">
        <v>51.78</v>
      </c>
      <c r="Y880" s="14">
        <f>ROUND(MIN(100, (X880/69.91)*100), 2)</f>
        <v/>
      </c>
    </row>
    <row r="881">
      <c r="A881" s="10" t="n">
        <v>1</v>
      </c>
      <c r="B881" s="10" t="n">
        <v>877</v>
      </c>
      <c r="C881" s="10" t="n">
        <v>877</v>
      </c>
      <c r="D881" s="10" t="inlineStr">
        <is>
          <t>0203111016</t>
        </is>
      </c>
      <c r="E881" s="26" t="inlineStr">
        <is>
          <t>Region II (Cagayan Valley)</t>
        </is>
      </c>
      <c r="F881" s="26" t="inlineStr">
        <is>
          <t>Isabela</t>
        </is>
      </c>
      <c r="G881" s="26" t="inlineStr">
        <is>
          <t>Divilacan</t>
        </is>
      </c>
      <c r="H881" s="26" t="inlineStr">
        <is>
          <t>Sapinit</t>
        </is>
      </c>
      <c r="I881" s="27" t="n">
        <v>17.2999</v>
      </c>
      <c r="J881" s="27" t="n">
        <v>122.23573</v>
      </c>
      <c r="K881" s="10" t="inlineStr">
        <is>
          <t>R</t>
        </is>
      </c>
      <c r="L881" s="12" t="n">
        <v>299</v>
      </c>
      <c r="M881" s="14" t="n">
        <v>3.8</v>
      </c>
      <c r="N881" s="12">
        <f>ROUND(L881/M881, 0)</f>
        <v/>
      </c>
      <c r="O881" s="12">
        <f>ROUND(N881*'Methodology &amp; Assumptions'!$B$5, 0)</f>
        <v/>
      </c>
      <c r="P881" s="10" t="inlineStr">
        <is>
          <t>Single Carrier (Band n50, 100MHz TDD)</t>
        </is>
      </c>
      <c r="Q881" s="13">
        <f>ROUNDUP(O881/'Methodology &amp; Assumptions'!$B$6, 0)</f>
        <v/>
      </c>
      <c r="R881" s="13" t="n">
        <v>1</v>
      </c>
      <c r="S881" s="14" t="n">
        <v>33.35</v>
      </c>
      <c r="T881" s="14" t="n">
        <v>36.72</v>
      </c>
      <c r="U881" s="26">
        <f>IF(X881&gt;='Methodology &amp; Assumptions'!$B$7, "Tier 1 Critical GIDA (Score ≥ 50.0)", IF(X881&gt;='Methodology &amp; Assumptions'!$B$8, "Tier 2 High GIDA (Score 40.0–49.9)", "Tier 3 Moderate GIDA (Score &lt; 40.0)"))</f>
        <v/>
      </c>
      <c r="V881" s="26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W881" s="28" t="n">
        <v>0.083</v>
      </c>
      <c r="X881" s="14" t="n">
        <v>51.77</v>
      </c>
      <c r="Y881" s="14">
        <f>ROUND(MIN(100, (X881/69.91)*100), 2)</f>
        <v/>
      </c>
    </row>
    <row r="882">
      <c r="A882" s="10" t="n">
        <v>1</v>
      </c>
      <c r="B882" s="10" t="n">
        <v>878</v>
      </c>
      <c r="C882" s="10" t="n">
        <v>878</v>
      </c>
      <c r="D882" s="10" t="inlineStr">
        <is>
          <t>1108602026</t>
        </is>
      </c>
      <c r="E882" s="26" t="inlineStr">
        <is>
          <t>Region XI (Davao Region)</t>
        </is>
      </c>
      <c r="F882" s="26" t="inlineStr">
        <is>
          <t>Davao Occidental</t>
        </is>
      </c>
      <c r="G882" s="26" t="inlineStr">
        <is>
          <t>Jose Abad Santos</t>
        </is>
      </c>
      <c r="H882" s="26" t="inlineStr">
        <is>
          <t>Patulang</t>
        </is>
      </c>
      <c r="I882" s="27" t="n">
        <v>5.681193</v>
      </c>
      <c r="J882" s="27" t="n">
        <v>125.480725</v>
      </c>
      <c r="K882" s="10" t="inlineStr">
        <is>
          <t>R</t>
        </is>
      </c>
      <c r="L882" s="12" t="n">
        <v>1662</v>
      </c>
      <c r="M882" s="14" t="n">
        <v>3.6</v>
      </c>
      <c r="N882" s="12">
        <f>ROUND(L882/M882, 0)</f>
        <v/>
      </c>
      <c r="O882" s="12">
        <f>ROUND(N882*'Methodology &amp; Assumptions'!$B$5, 0)</f>
        <v/>
      </c>
      <c r="P882" s="10" t="inlineStr">
        <is>
          <t>Single Carrier (Band n50, 100MHz TDD)</t>
        </is>
      </c>
      <c r="Q882" s="13">
        <f>ROUNDUP(O882/'Methodology &amp; Assumptions'!$B$6, 0)</f>
        <v/>
      </c>
      <c r="R882" s="13" t="n">
        <v>1</v>
      </c>
      <c r="S882" s="14" t="n">
        <v>52.19</v>
      </c>
      <c r="T882" s="14" t="n">
        <v>58.53</v>
      </c>
      <c r="U882" s="26">
        <f>IF(X882&gt;='Methodology &amp; Assumptions'!$B$7, "Tier 1 Critical GIDA (Score ≥ 50.0)", IF(X882&gt;='Methodology &amp; Assumptions'!$B$8, "Tier 2 High GIDA (Score 40.0–49.9)", "Tier 3 Moderate GIDA (Score &lt; 40.0)"))</f>
        <v/>
      </c>
      <c r="V882" s="26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W882" s="28" t="n">
        <v>0.174</v>
      </c>
      <c r="X882" s="14" t="n">
        <v>51.77</v>
      </c>
      <c r="Y882" s="14">
        <f>ROUND(MIN(100, (X882/69.91)*100), 2)</f>
        <v/>
      </c>
    </row>
    <row r="883">
      <c r="A883" s="10" t="n">
        <v>1</v>
      </c>
      <c r="B883" s="10" t="n">
        <v>879</v>
      </c>
      <c r="C883" s="10" t="n">
        <v>879</v>
      </c>
      <c r="D883" s="10" t="inlineStr">
        <is>
          <t>1380601072</t>
        </is>
      </c>
      <c r="E883" s="26" t="inlineStr">
        <is>
          <t>National Capital Region (NCR)</t>
        </is>
      </c>
      <c r="F883" s="26" t="inlineStr">
        <is>
          <t>First District (Not a Province)</t>
        </is>
      </c>
      <c r="G883" s="26" t="inlineStr">
        <is>
          <t>City of Manila</t>
        </is>
      </c>
      <c r="H883" s="26" t="inlineStr">
        <is>
          <t>Barangay 72</t>
        </is>
      </c>
      <c r="I883" s="27" t="n">
        <v>13.031183</v>
      </c>
      <c r="J883" s="27" t="n">
        <v>121.787595</v>
      </c>
      <c r="K883" s="10" t="inlineStr">
        <is>
          <t>U</t>
        </is>
      </c>
      <c r="L883" s="12" t="n">
        <v>3331</v>
      </c>
      <c r="M883" s="14" t="n">
        <v>3.9</v>
      </c>
      <c r="N883" s="12">
        <f>ROUND(L883/M883, 0)</f>
        <v/>
      </c>
      <c r="O883" s="12">
        <f>ROUND(N883*'Methodology &amp; Assumptions'!$B$5, 0)</f>
        <v/>
      </c>
      <c r="P883" s="10" t="inlineStr">
        <is>
          <t>Single Carrier (Band n50, 100MHz TDD)</t>
        </is>
      </c>
      <c r="Q883" s="13">
        <f>ROUNDUP(O883/'Methodology &amp; Assumptions'!$B$6, 0)</f>
        <v/>
      </c>
      <c r="R883" s="13" t="n">
        <v>1</v>
      </c>
      <c r="S883" s="14" t="n">
        <v>30.65</v>
      </c>
      <c r="T883" s="14" t="n">
        <v>33.33</v>
      </c>
      <c r="U883" s="26">
        <f>IF(X883&gt;='Methodology &amp; Assumptions'!$B$7, "Tier 1 Critical GIDA (Score ≥ 50.0)", IF(X883&gt;='Methodology &amp; Assumptions'!$B$8, "Tier 2 High GIDA (Score 40.0–49.9)", "Tier 3 Moderate GIDA (Score &lt; 40.0)"))</f>
        <v/>
      </c>
      <c r="V883" s="26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W883" s="28" t="n">
        <v>0.109</v>
      </c>
      <c r="X883" s="14" t="n">
        <v>51.77</v>
      </c>
      <c r="Y883" s="14">
        <f>ROUND(MIN(100, (X883/69.91)*100), 2)</f>
        <v/>
      </c>
    </row>
    <row r="884">
      <c r="A884" s="10" t="n">
        <v>1</v>
      </c>
      <c r="B884" s="10" t="n">
        <v>880</v>
      </c>
      <c r="C884" s="10" t="n">
        <v>880</v>
      </c>
      <c r="D884" s="10" t="inlineStr">
        <is>
          <t>PH0000880</t>
        </is>
      </c>
      <c r="E884" s="26" t="inlineStr">
        <is>
          <t>IV-A</t>
        </is>
      </c>
      <c r="F884" s="26" t="inlineStr">
        <is>
          <t>Laguna</t>
        </is>
      </c>
      <c r="G884" s="26" t="inlineStr">
        <is>
          <t>San Pablo City</t>
        </is>
      </c>
      <c r="H884" s="26" t="inlineStr">
        <is>
          <t>Barangay VII-D (Pob.)</t>
        </is>
      </c>
      <c r="I884" s="27" t="n">
        <v>14.055361</v>
      </c>
      <c r="J884" s="27" t="n">
        <v>121.333514</v>
      </c>
      <c r="K884" s="10" t="inlineStr">
        <is>
          <t>R</t>
        </is>
      </c>
      <c r="L884" s="12" t="n">
        <v>2412</v>
      </c>
      <c r="M884" s="14" t="n">
        <v>3.3</v>
      </c>
      <c r="N884" s="12">
        <f>ROUND(L884/M884, 0)</f>
        <v/>
      </c>
      <c r="O884" s="12">
        <f>ROUND(N884*'Methodology &amp; Assumptions'!$B$5, 0)</f>
        <v/>
      </c>
      <c r="P884" s="10" t="inlineStr">
        <is>
          <t>Single Carrier (Band n50, 100MHz TDD)</t>
        </is>
      </c>
      <c r="Q884" s="13">
        <f>ROUNDUP(O884/'Methodology &amp; Assumptions'!$B$6, 0)</f>
        <v/>
      </c>
      <c r="R884" s="13" t="n">
        <v>1</v>
      </c>
      <c r="S884" s="14" t="n">
        <v>0.61</v>
      </c>
      <c r="T884" s="14" t="n">
        <v>0.13</v>
      </c>
      <c r="U884" s="26">
        <f>IF(X884&gt;='Methodology &amp; Assumptions'!$B$7, "Tier 1 Critical GIDA (Score ≥ 50.0)", IF(X884&gt;='Methodology &amp; Assumptions'!$B$8, "Tier 2 High GIDA (Score 40.0–49.9)", "Tier 3 Moderate GIDA (Score &lt; 40.0)"))</f>
        <v/>
      </c>
      <c r="V884" s="26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W884" s="28" t="n">
        <v>0.07200000000000001</v>
      </c>
      <c r="X884" s="14" t="n">
        <v>51.77</v>
      </c>
      <c r="Y884" s="14">
        <f>ROUND(MIN(100, (X884/69.91)*100), 2)</f>
        <v/>
      </c>
    </row>
    <row r="885">
      <c r="A885" s="10" t="n">
        <v>1</v>
      </c>
      <c r="B885" s="10" t="n">
        <v>881</v>
      </c>
      <c r="C885" s="10" t="n">
        <v>881</v>
      </c>
      <c r="D885" s="10" t="inlineStr">
        <is>
          <t>1907010013</t>
        </is>
      </c>
      <c r="E885" s="26" t="inlineStr">
        <is>
          <t>Bangsamoro Autonomous Region In Muslim Mindanao (BARMM)</t>
        </is>
      </c>
      <c r="F885" s="26" t="inlineStr">
        <is>
          <t>Tawi-Tawi</t>
        </is>
      </c>
      <c r="G885" s="26" t="inlineStr">
        <is>
          <t>Sapa-Sapa</t>
        </is>
      </c>
      <c r="H885" s="26" t="inlineStr">
        <is>
          <t>Mantabuan Tabunan</t>
        </is>
      </c>
      <c r="I885" s="27" t="n">
        <v>5.024384</v>
      </c>
      <c r="J885" s="27" t="n">
        <v>120.210884</v>
      </c>
      <c r="K885" s="10" t="inlineStr">
        <is>
          <t>R</t>
        </is>
      </c>
      <c r="L885" s="12" t="n">
        <v>1984</v>
      </c>
      <c r="M885" s="14" t="n">
        <v>5.8</v>
      </c>
      <c r="N885" s="12">
        <f>ROUND(L885/M885, 0)</f>
        <v/>
      </c>
      <c r="O885" s="12">
        <f>ROUND(N885*'Methodology &amp; Assumptions'!$B$5, 0)</f>
        <v/>
      </c>
      <c r="P885" s="10" t="inlineStr">
        <is>
          <t>Single Carrier (Band n50, 100MHz TDD)</t>
        </is>
      </c>
      <c r="Q885" s="13">
        <f>ROUNDUP(O885/'Methodology &amp; Assumptions'!$B$6, 0)</f>
        <v/>
      </c>
      <c r="R885" s="13" t="n">
        <v>1</v>
      </c>
      <c r="S885" s="14" t="n">
        <v>999</v>
      </c>
      <c r="T885" s="14" t="n">
        <v>999</v>
      </c>
      <c r="U885" s="26">
        <f>IF(X885&gt;='Methodology &amp; Assumptions'!$B$7, "Tier 1 Critical GIDA (Score ≥ 50.0)", IF(X885&gt;='Methodology &amp; Assumptions'!$B$8, "Tier 2 High GIDA (Score 40.0–49.9)", "Tier 3 Moderate GIDA (Score &lt; 40.0)"))</f>
        <v/>
      </c>
      <c r="V885" s="26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W885" s="28" t="n">
        <v>0.11</v>
      </c>
      <c r="X885" s="14" t="n">
        <v>51.76</v>
      </c>
      <c r="Y885" s="14">
        <f>ROUND(MIN(100, (X885/69.91)*100), 2)</f>
        <v/>
      </c>
    </row>
    <row r="886">
      <c r="A886" s="10" t="n">
        <v>1</v>
      </c>
      <c r="B886" s="10" t="n">
        <v>882</v>
      </c>
      <c r="C886" s="10" t="n">
        <v>882</v>
      </c>
      <c r="D886" s="10" t="inlineStr">
        <is>
          <t>1907010017</t>
        </is>
      </c>
      <c r="E886" s="26" t="inlineStr">
        <is>
          <t>Bangsamoro Autonomous Region In Muslim Mindanao (BARMM)</t>
        </is>
      </c>
      <c r="F886" s="26" t="inlineStr">
        <is>
          <t>Tawi-Tawi</t>
        </is>
      </c>
      <c r="G886" s="26" t="inlineStr">
        <is>
          <t>Sapa-Sapa</t>
        </is>
      </c>
      <c r="H886" s="26" t="inlineStr">
        <is>
          <t>Lookan Latuan</t>
        </is>
      </c>
      <c r="I886" s="27" t="n">
        <v>16.31501</v>
      </c>
      <c r="J886" s="27" t="n">
        <v>122.064773</v>
      </c>
      <c r="K886" s="10" t="inlineStr">
        <is>
          <t>R</t>
        </is>
      </c>
      <c r="L886" s="12" t="n">
        <v>1500</v>
      </c>
      <c r="M886" s="14" t="n">
        <v>5.8</v>
      </c>
      <c r="N886" s="12">
        <f>ROUND(L886/M886, 0)</f>
        <v/>
      </c>
      <c r="O886" s="12">
        <f>ROUND(N886*'Methodology &amp; Assumptions'!$B$5, 0)</f>
        <v/>
      </c>
      <c r="P886" s="10" t="inlineStr">
        <is>
          <t>Single Carrier (Band n50, 100MHz TDD)</t>
        </is>
      </c>
      <c r="Q886" s="13">
        <f>ROUNDUP(O886/'Methodology &amp; Assumptions'!$B$6, 0)</f>
        <v/>
      </c>
      <c r="R886" s="13" t="n">
        <v>1</v>
      </c>
      <c r="S886" s="14" t="n">
        <v>7.57</v>
      </c>
      <c r="T886" s="14" t="n">
        <v>5.99</v>
      </c>
      <c r="U886" s="26">
        <f>IF(X886&gt;='Methodology &amp; Assumptions'!$B$7, "Tier 1 Critical GIDA (Score ≥ 50.0)", IF(X886&gt;='Methodology &amp; Assumptions'!$B$8, "Tier 2 High GIDA (Score 40.0–49.9)", "Tier 3 Moderate GIDA (Score &lt; 40.0)"))</f>
        <v/>
      </c>
      <c r="V886" s="26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W886" s="28" t="n">
        <v>0.11</v>
      </c>
      <c r="X886" s="14" t="n">
        <v>51.76</v>
      </c>
      <c r="Y886" s="14">
        <f>ROUND(MIN(100, (X886/69.91)*100), 2)</f>
        <v/>
      </c>
    </row>
    <row r="887">
      <c r="A887" s="10" t="n">
        <v>1</v>
      </c>
      <c r="B887" s="10" t="n">
        <v>883</v>
      </c>
      <c r="C887" s="10" t="n">
        <v>883</v>
      </c>
      <c r="D887" s="10" t="inlineStr">
        <is>
          <t>1907010001</t>
        </is>
      </c>
      <c r="E887" s="26" t="inlineStr">
        <is>
          <t>Bangsamoro Autonomous Region In Muslim Mindanao (BARMM)</t>
        </is>
      </c>
      <c r="F887" s="26" t="inlineStr">
        <is>
          <t>Tawi-Tawi</t>
        </is>
      </c>
      <c r="G887" s="26" t="inlineStr">
        <is>
          <t>Sapa-Sapa</t>
        </is>
      </c>
      <c r="H887" s="26" t="inlineStr">
        <is>
          <t>Baldatal Islam</t>
        </is>
      </c>
      <c r="I887" s="27" t="n">
        <v>17.255792</v>
      </c>
      <c r="J887" s="27" t="n">
        <v>122.229836</v>
      </c>
      <c r="K887" s="10" t="inlineStr">
        <is>
          <t>R</t>
        </is>
      </c>
      <c r="L887" s="12" t="n">
        <v>1818</v>
      </c>
      <c r="M887" s="14" t="n">
        <v>5.8</v>
      </c>
      <c r="N887" s="12">
        <f>ROUND(L887/M887, 0)</f>
        <v/>
      </c>
      <c r="O887" s="12">
        <f>ROUND(N887*'Methodology &amp; Assumptions'!$B$5, 0)</f>
        <v/>
      </c>
      <c r="P887" s="10" t="inlineStr">
        <is>
          <t>Single Carrier (Band n50, 100MHz TDD)</t>
        </is>
      </c>
      <c r="Q887" s="13">
        <f>ROUNDUP(O887/'Methodology &amp; Assumptions'!$B$6, 0)</f>
        <v/>
      </c>
      <c r="R887" s="13" t="n">
        <v>1</v>
      </c>
      <c r="S887" s="14" t="n">
        <v>29.56</v>
      </c>
      <c r="T887" s="14" t="n">
        <v>34.42</v>
      </c>
      <c r="U887" s="26">
        <f>IF(X887&gt;='Methodology &amp; Assumptions'!$B$7, "Tier 1 Critical GIDA (Score ≥ 50.0)", IF(X887&gt;='Methodology &amp; Assumptions'!$B$8, "Tier 2 High GIDA (Score 40.0–49.9)", "Tier 3 Moderate GIDA (Score &lt; 40.0)"))</f>
        <v/>
      </c>
      <c r="V887" s="26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W887" s="28" t="n">
        <v>0.11</v>
      </c>
      <c r="X887" s="14" t="n">
        <v>51.75</v>
      </c>
      <c r="Y887" s="14">
        <f>ROUND(MIN(100, (X887/69.91)*100), 2)</f>
        <v/>
      </c>
    </row>
    <row r="888">
      <c r="A888" s="10" t="n">
        <v>1</v>
      </c>
      <c r="B888" s="10" t="n">
        <v>884</v>
      </c>
      <c r="C888" s="10" t="n">
        <v>884</v>
      </c>
      <c r="D888" s="10" t="inlineStr">
        <is>
          <t>1907010008</t>
        </is>
      </c>
      <c r="E888" s="26" t="inlineStr">
        <is>
          <t>Bangsamoro Autonomous Region In Muslim Mindanao (BARMM)</t>
        </is>
      </c>
      <c r="F888" s="26" t="inlineStr">
        <is>
          <t>Tawi-Tawi</t>
        </is>
      </c>
      <c r="G888" s="26" t="inlineStr">
        <is>
          <t>Sapa-Sapa</t>
        </is>
      </c>
      <c r="H888" s="26" t="inlineStr">
        <is>
          <t>Latuan</t>
        </is>
      </c>
      <c r="I888" s="27" t="n">
        <v>17.255795</v>
      </c>
      <c r="J888" s="27" t="n">
        <v>122.229839</v>
      </c>
      <c r="K888" s="10" t="inlineStr">
        <is>
          <t>R</t>
        </is>
      </c>
      <c r="L888" s="12" t="n">
        <v>1314</v>
      </c>
      <c r="M888" s="14" t="n">
        <v>5.8</v>
      </c>
      <c r="N888" s="12">
        <f>ROUND(L888/M888, 0)</f>
        <v/>
      </c>
      <c r="O888" s="12">
        <f>ROUND(N888*'Methodology &amp; Assumptions'!$B$5, 0)</f>
        <v/>
      </c>
      <c r="P888" s="10" t="inlineStr">
        <is>
          <t>Single Carrier (Band n50, 100MHz TDD)</t>
        </is>
      </c>
      <c r="Q888" s="13">
        <f>ROUNDUP(O888/'Methodology &amp; Assumptions'!$B$6, 0)</f>
        <v/>
      </c>
      <c r="R888" s="13" t="n">
        <v>1</v>
      </c>
      <c r="S888" s="14" t="n">
        <v>29.56</v>
      </c>
      <c r="T888" s="14" t="n">
        <v>34.43</v>
      </c>
      <c r="U888" s="26">
        <f>IF(X888&gt;='Methodology &amp; Assumptions'!$B$7, "Tier 1 Critical GIDA (Score ≥ 50.0)", IF(X888&gt;='Methodology &amp; Assumptions'!$B$8, "Tier 2 High GIDA (Score 40.0–49.9)", "Tier 3 Moderate GIDA (Score &lt; 40.0)"))</f>
        <v/>
      </c>
      <c r="V888" s="26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W888" s="28" t="n">
        <v>0.11</v>
      </c>
      <c r="X888" s="14" t="n">
        <v>51.75</v>
      </c>
      <c r="Y888" s="14">
        <f>ROUND(MIN(100, (X888/69.91)*100), 2)</f>
        <v/>
      </c>
    </row>
    <row r="889">
      <c r="A889" s="10" t="n">
        <v>1</v>
      </c>
      <c r="B889" s="10" t="n">
        <v>885</v>
      </c>
      <c r="C889" s="10" t="n">
        <v>885</v>
      </c>
      <c r="D889" s="10" t="inlineStr">
        <is>
          <t>1907010020</t>
        </is>
      </c>
      <c r="E889" s="26" t="inlineStr">
        <is>
          <t>Bangsamoro Autonomous Region In Muslim Mindanao (BARMM)</t>
        </is>
      </c>
      <c r="F889" s="26" t="inlineStr">
        <is>
          <t>Tawi-Tawi</t>
        </is>
      </c>
      <c r="G889" s="26" t="inlineStr">
        <is>
          <t>Sapa-Sapa</t>
        </is>
      </c>
      <c r="H889" s="26" t="inlineStr">
        <is>
          <t>Sapaat</t>
        </is>
      </c>
      <c r="I889" s="27" t="n">
        <v>17.25581</v>
      </c>
      <c r="J889" s="27" t="n">
        <v>122.229854</v>
      </c>
      <c r="K889" s="10" t="inlineStr">
        <is>
          <t>R</t>
        </is>
      </c>
      <c r="L889" s="12" t="n">
        <v>861</v>
      </c>
      <c r="M889" s="14" t="n">
        <v>5.8</v>
      </c>
      <c r="N889" s="12">
        <f>ROUND(L889/M889, 0)</f>
        <v/>
      </c>
      <c r="O889" s="12">
        <f>ROUND(N889*'Methodology &amp; Assumptions'!$B$5, 0)</f>
        <v/>
      </c>
      <c r="P889" s="10" t="inlineStr">
        <is>
          <t>Single Carrier (Band n50, 100MHz TDD)</t>
        </is>
      </c>
      <c r="Q889" s="13">
        <f>ROUNDUP(O889/'Methodology &amp; Assumptions'!$B$6, 0)</f>
        <v/>
      </c>
      <c r="R889" s="13" t="n">
        <v>1</v>
      </c>
      <c r="S889" s="14" t="n">
        <v>29.56</v>
      </c>
      <c r="T889" s="14" t="n">
        <v>34.43</v>
      </c>
      <c r="U889" s="26">
        <f>IF(X889&gt;='Methodology &amp; Assumptions'!$B$7, "Tier 1 Critical GIDA (Score ≥ 50.0)", IF(X889&gt;='Methodology &amp; Assumptions'!$B$8, "Tier 2 High GIDA (Score 40.0–49.9)", "Tier 3 Moderate GIDA (Score &lt; 40.0)"))</f>
        <v/>
      </c>
      <c r="V889" s="26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W889" s="28" t="n">
        <v>0.11</v>
      </c>
      <c r="X889" s="14" t="n">
        <v>51.75</v>
      </c>
      <c r="Y889" s="14">
        <f>ROUND(MIN(100, (X889/69.91)*100), 2)</f>
        <v/>
      </c>
    </row>
    <row r="890">
      <c r="A890" s="10" t="n">
        <v>1</v>
      </c>
      <c r="B890" s="10" t="n">
        <v>886</v>
      </c>
      <c r="C890" s="10" t="n">
        <v>886</v>
      </c>
      <c r="D890" s="10" t="inlineStr">
        <is>
          <t>1907010011</t>
        </is>
      </c>
      <c r="E890" s="26" t="inlineStr">
        <is>
          <t>Bangsamoro Autonomous Region In Muslim Mindanao (BARMM)</t>
        </is>
      </c>
      <c r="F890" s="26" t="inlineStr">
        <is>
          <t>Tawi-Tawi</t>
        </is>
      </c>
      <c r="G890" s="26" t="inlineStr">
        <is>
          <t>Sapa-Sapa</t>
        </is>
      </c>
      <c r="H890" s="26" t="inlineStr">
        <is>
          <t>Tabunan Likud Sikubong</t>
        </is>
      </c>
      <c r="I890" s="27" t="n">
        <v>17.255797</v>
      </c>
      <c r="J890" s="27" t="n">
        <v>122.229841</v>
      </c>
      <c r="K890" s="10" t="inlineStr">
        <is>
          <t>R</t>
        </is>
      </c>
      <c r="L890" s="12" t="n">
        <v>813</v>
      </c>
      <c r="M890" s="14" t="n">
        <v>5.8</v>
      </c>
      <c r="N890" s="12">
        <f>ROUND(L890/M890, 0)</f>
        <v/>
      </c>
      <c r="O890" s="12">
        <f>ROUND(N890*'Methodology &amp; Assumptions'!$B$5, 0)</f>
        <v/>
      </c>
      <c r="P890" s="10" t="inlineStr">
        <is>
          <t>Single Carrier (Band n50, 100MHz TDD)</t>
        </is>
      </c>
      <c r="Q890" s="13">
        <f>ROUNDUP(O890/'Methodology &amp; Assumptions'!$B$6, 0)</f>
        <v/>
      </c>
      <c r="R890" s="13" t="n">
        <v>1</v>
      </c>
      <c r="S890" s="14" t="n">
        <v>29.56</v>
      </c>
      <c r="T890" s="14" t="n">
        <v>34.43</v>
      </c>
      <c r="U890" s="26">
        <f>IF(X890&gt;='Methodology &amp; Assumptions'!$B$7, "Tier 1 Critical GIDA (Score ≥ 50.0)", IF(X890&gt;='Methodology &amp; Assumptions'!$B$8, "Tier 2 High GIDA (Score 40.0–49.9)", "Tier 3 Moderate GIDA (Score &lt; 40.0)"))</f>
        <v/>
      </c>
      <c r="V890" s="26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W890" s="28" t="n">
        <v>0.11</v>
      </c>
      <c r="X890" s="14" t="n">
        <v>51.75</v>
      </c>
      <c r="Y890" s="14">
        <f>ROUND(MIN(100, (X890/69.91)*100), 2)</f>
        <v/>
      </c>
    </row>
    <row r="891">
      <c r="A891" s="10" t="n">
        <v>1</v>
      </c>
      <c r="B891" s="10" t="n">
        <v>887</v>
      </c>
      <c r="C891" s="10" t="n">
        <v>887</v>
      </c>
      <c r="D891" s="10" t="inlineStr">
        <is>
          <t>1907010007</t>
        </is>
      </c>
      <c r="E891" s="26" t="inlineStr">
        <is>
          <t>Bangsamoro Autonomous Region In Muslim Mindanao (BARMM)</t>
        </is>
      </c>
      <c r="F891" s="26" t="inlineStr">
        <is>
          <t>Tawi-Tawi</t>
        </is>
      </c>
      <c r="G891" s="26" t="inlineStr">
        <is>
          <t>Sapa-Sapa</t>
        </is>
      </c>
      <c r="H891" s="26" t="inlineStr">
        <is>
          <t>Kohec</t>
        </is>
      </c>
      <c r="I891" s="27" t="n">
        <v>16.319116</v>
      </c>
      <c r="J891" s="27" t="n">
        <v>122.077633</v>
      </c>
      <c r="K891" s="10" t="inlineStr">
        <is>
          <t>R</t>
        </is>
      </c>
      <c r="L891" s="12" t="n">
        <v>407</v>
      </c>
      <c r="M891" s="14" t="n">
        <v>5.8</v>
      </c>
      <c r="N891" s="12">
        <f>ROUND(L891/M891, 0)</f>
        <v/>
      </c>
      <c r="O891" s="12">
        <f>ROUND(N891*'Methodology &amp; Assumptions'!$B$5, 0)</f>
        <v/>
      </c>
      <c r="P891" s="10" t="inlineStr">
        <is>
          <t>Single Carrier (Band n50, 100MHz TDD)</t>
        </is>
      </c>
      <c r="Q891" s="13">
        <f>ROUNDUP(O891/'Methodology &amp; Assumptions'!$B$6, 0)</f>
        <v/>
      </c>
      <c r="R891" s="13" t="n">
        <v>1</v>
      </c>
      <c r="S891" s="14" t="n">
        <v>6.74</v>
      </c>
      <c r="T891" s="14" t="n">
        <v>5.91</v>
      </c>
      <c r="U891" s="26">
        <f>IF(X891&gt;='Methodology &amp; Assumptions'!$B$7, "Tier 1 Critical GIDA (Score ≥ 50.0)", IF(X891&gt;='Methodology &amp; Assumptions'!$B$8, "Tier 2 High GIDA (Score 40.0–49.9)", "Tier 3 Moderate GIDA (Score &lt; 40.0)"))</f>
        <v/>
      </c>
      <c r="V891" s="26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W891" s="28" t="n">
        <v>0.11</v>
      </c>
      <c r="X891" s="14" t="n">
        <v>51.74</v>
      </c>
      <c r="Y891" s="14">
        <f>ROUND(MIN(100, (X891/69.91)*100), 2)</f>
        <v/>
      </c>
    </row>
    <row r="892">
      <c r="A892" s="10" t="n">
        <v>1</v>
      </c>
      <c r="B892" s="10" t="n">
        <v>888</v>
      </c>
      <c r="C892" s="10" t="n">
        <v>888</v>
      </c>
      <c r="D892" s="10" t="inlineStr">
        <is>
          <t>1004217003</t>
        </is>
      </c>
      <c r="E892" s="26" t="inlineStr">
        <is>
          <t>Region X (Northern Mindanao)</t>
        </is>
      </c>
      <c r="F892" s="26" t="inlineStr">
        <is>
          <t>Misamis Occidental</t>
        </is>
      </c>
      <c r="G892" s="26" t="inlineStr">
        <is>
          <t>Don Victoriano Chiongbian</t>
        </is>
      </c>
      <c r="H892" s="26" t="inlineStr">
        <is>
          <t>Lake Duminagat</t>
        </is>
      </c>
      <c r="I892" s="27" t="n">
        <v>8.325079000000001</v>
      </c>
      <c r="J892" s="27" t="n">
        <v>123.636478</v>
      </c>
      <c r="K892" s="10" t="inlineStr">
        <is>
          <t>R</t>
        </is>
      </c>
      <c r="L892" s="12" t="n">
        <v>156</v>
      </c>
      <c r="M892" s="14" t="n">
        <v>3.9</v>
      </c>
      <c r="N892" s="12">
        <f>ROUND(L892/M892, 0)</f>
        <v/>
      </c>
      <c r="O892" s="12">
        <f>ROUND(N892*'Methodology &amp; Assumptions'!$B$5, 0)</f>
        <v/>
      </c>
      <c r="P892" s="10" t="inlineStr">
        <is>
          <t>Single Carrier (Band n50, 100MHz TDD)</t>
        </is>
      </c>
      <c r="Q892" s="13">
        <f>ROUNDUP(O892/'Methodology &amp; Assumptions'!$B$6, 0)</f>
        <v/>
      </c>
      <c r="R892" s="13" t="n">
        <v>1</v>
      </c>
      <c r="S892" s="14" t="n">
        <v>36.12</v>
      </c>
      <c r="T892" s="14" t="n">
        <v>33.73</v>
      </c>
      <c r="U892" s="26">
        <f>IF(X892&gt;='Methodology &amp; Assumptions'!$B$7, "Tier 1 Critical GIDA (Score ≥ 50.0)", IF(X892&gt;='Methodology &amp; Assumptions'!$B$8, "Tier 2 High GIDA (Score 40.0–49.9)", "Tier 3 Moderate GIDA (Score &lt; 40.0)"))</f>
        <v/>
      </c>
      <c r="V892" s="26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W892" s="28" t="n">
        <v>0.174</v>
      </c>
      <c r="X892" s="14" t="n">
        <v>51.74</v>
      </c>
      <c r="Y892" s="14">
        <f>ROUND(MIN(100, (X892/69.91)*100), 2)</f>
        <v/>
      </c>
    </row>
    <row r="893">
      <c r="A893" s="10" t="n">
        <v>1</v>
      </c>
      <c r="B893" s="10" t="n">
        <v>889</v>
      </c>
      <c r="C893" s="10" t="n">
        <v>889</v>
      </c>
      <c r="D893" s="10" t="inlineStr">
        <is>
          <t>PH0000889</t>
        </is>
      </c>
      <c r="E893" s="26" t="inlineStr">
        <is>
          <t>IV-A</t>
        </is>
      </c>
      <c r="F893" s="26" t="inlineStr">
        <is>
          <t>Laguna</t>
        </is>
      </c>
      <c r="G893" s="26" t="inlineStr">
        <is>
          <t>San Pablo City</t>
        </is>
      </c>
      <c r="H893" s="26" t="inlineStr">
        <is>
          <t>Barangay VII-C (Pob.)</t>
        </is>
      </c>
      <c r="I893" s="27" t="n">
        <v>14.052365</v>
      </c>
      <c r="J893" s="27" t="n">
        <v>121.309937</v>
      </c>
      <c r="K893" s="10" t="inlineStr">
        <is>
          <t>R</t>
        </is>
      </c>
      <c r="L893" s="12" t="n">
        <v>2412</v>
      </c>
      <c r="M893" s="14" t="n">
        <v>3.3</v>
      </c>
      <c r="N893" s="12">
        <f>ROUND(L893/M893, 0)</f>
        <v/>
      </c>
      <c r="O893" s="12">
        <f>ROUND(N893*'Methodology &amp; Assumptions'!$B$5, 0)</f>
        <v/>
      </c>
      <c r="P893" s="10" t="inlineStr">
        <is>
          <t>Single Carrier (Band n50, 100MHz TDD)</t>
        </is>
      </c>
      <c r="Q893" s="13">
        <f>ROUNDUP(O893/'Methodology &amp; Assumptions'!$B$6, 0)</f>
        <v/>
      </c>
      <c r="R893" s="13" t="n">
        <v>1</v>
      </c>
      <c r="S893" s="14" t="n">
        <v>2.25</v>
      </c>
      <c r="T893" s="14" t="n">
        <v>1.91</v>
      </c>
      <c r="U893" s="26">
        <f>IF(X893&gt;='Methodology &amp; Assumptions'!$B$7, "Tier 1 Critical GIDA (Score ≥ 50.0)", IF(X893&gt;='Methodology &amp; Assumptions'!$B$8, "Tier 2 High GIDA (Score 40.0–49.9)", "Tier 3 Moderate GIDA (Score &lt; 40.0)"))</f>
        <v/>
      </c>
      <c r="V893" s="26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W893" s="28" t="n">
        <v>0.07200000000000001</v>
      </c>
      <c r="X893" s="14" t="n">
        <v>51.74</v>
      </c>
      <c r="Y893" s="14">
        <f>ROUND(MIN(100, (X893/69.91)*100), 2)</f>
        <v/>
      </c>
    </row>
    <row r="894">
      <c r="A894" s="10" t="n">
        <v>1</v>
      </c>
      <c r="B894" s="10" t="n">
        <v>890</v>
      </c>
      <c r="C894" s="10" t="n">
        <v>890</v>
      </c>
      <c r="D894" s="10" t="inlineStr">
        <is>
          <t>1908820008</t>
        </is>
      </c>
      <c r="E894" s="26" t="inlineStr">
        <is>
          <t>Bangsamoro Autonomous Region In Muslim Mindanao (BARMM)</t>
        </is>
      </c>
      <c r="F894" s="26" t="inlineStr">
        <is>
          <t>Maguindanao del Sur</t>
        </is>
      </c>
      <c r="G894" s="26" t="inlineStr">
        <is>
          <t>Shariff Aguak</t>
        </is>
      </c>
      <c r="H894" s="26" t="inlineStr">
        <is>
          <t>Poblacion I</t>
        </is>
      </c>
      <c r="I894" s="27" t="n">
        <v>14.652213</v>
      </c>
      <c r="J894" s="27" t="n">
        <v>122.786212</v>
      </c>
      <c r="K894" s="10" t="inlineStr">
        <is>
          <t>R</t>
        </is>
      </c>
      <c r="L894" s="12" t="n">
        <v>3711</v>
      </c>
      <c r="M894" s="14" t="n">
        <v>4.7</v>
      </c>
      <c r="N894" s="12">
        <f>ROUND(L894/M894, 0)</f>
        <v/>
      </c>
      <c r="O894" s="12">
        <f>ROUND(N894*'Methodology &amp; Assumptions'!$B$5, 0)</f>
        <v/>
      </c>
      <c r="P894" s="10" t="inlineStr">
        <is>
          <t>Single Carrier (Band n50, 100MHz TDD)</t>
        </is>
      </c>
      <c r="Q894" s="13">
        <f>ROUNDUP(O894/'Methodology &amp; Assumptions'!$B$6, 0)</f>
        <v/>
      </c>
      <c r="R894" s="13" t="n">
        <v>1</v>
      </c>
      <c r="S894" s="14" t="n">
        <v>41.46</v>
      </c>
      <c r="T894" s="14" t="n">
        <v>50.75</v>
      </c>
      <c r="U894" s="26">
        <f>IF(X894&gt;='Methodology &amp; Assumptions'!$B$7, "Tier 1 Critical GIDA (Score ≥ 50.0)", IF(X894&gt;='Methodology &amp; Assumptions'!$B$8, "Tier 2 High GIDA (Score 40.0–49.9)", "Tier 3 Moderate GIDA (Score &lt; 40.0)"))</f>
        <v/>
      </c>
      <c r="V894" s="26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W894" s="28" t="n">
        <v>0.11</v>
      </c>
      <c r="X894" s="14" t="n">
        <v>51.72</v>
      </c>
      <c r="Y894" s="14">
        <f>ROUND(MIN(100, (X894/69.91)*100), 2)</f>
        <v/>
      </c>
    </row>
    <row r="895">
      <c r="A895" s="10" t="n">
        <v>1</v>
      </c>
      <c r="B895" s="10" t="n">
        <v>891</v>
      </c>
      <c r="C895" s="10" t="n">
        <v>891</v>
      </c>
      <c r="D895" s="10" t="inlineStr">
        <is>
          <t>0102823005</t>
        </is>
      </c>
      <c r="E895" s="26" t="inlineStr">
        <is>
          <t>Region I (Ilocos Region)</t>
        </is>
      </c>
      <c r="F895" s="26" t="inlineStr">
        <is>
          <t>Ilocos Norte</t>
        </is>
      </c>
      <c r="G895" s="26" t="inlineStr">
        <is>
          <t>Vintar</t>
        </is>
      </c>
      <c r="H895" s="26" t="inlineStr">
        <is>
          <t>Bago</t>
        </is>
      </c>
      <c r="I895" s="27" t="n">
        <v>18.32569</v>
      </c>
      <c r="J895" s="27" t="n">
        <v>120.683176</v>
      </c>
      <c r="K895" s="10" t="inlineStr">
        <is>
          <t>R</t>
        </is>
      </c>
      <c r="L895" s="12" t="n">
        <v>400</v>
      </c>
      <c r="M895" s="14" t="n">
        <v>3.7</v>
      </c>
      <c r="N895" s="12">
        <f>ROUND(L895/M895, 0)</f>
        <v/>
      </c>
      <c r="O895" s="12">
        <f>ROUND(N895*'Methodology &amp; Assumptions'!$B$5, 0)</f>
        <v/>
      </c>
      <c r="P895" s="10" t="inlineStr">
        <is>
          <t>Single Carrier (Band n50, 100MHz TDD)</t>
        </is>
      </c>
      <c r="Q895" s="13">
        <f>ROUNDUP(O895/'Methodology &amp; Assumptions'!$B$6, 0)</f>
        <v/>
      </c>
      <c r="R895" s="13" t="n">
        <v>1</v>
      </c>
      <c r="S895" s="14" t="n">
        <v>6.98</v>
      </c>
      <c r="T895" s="14" t="n">
        <v>6.86</v>
      </c>
      <c r="U895" s="26">
        <f>IF(X895&gt;='Methodology &amp; Assumptions'!$B$7, "Tier 1 Critical GIDA (Score ≥ 50.0)", IF(X895&gt;='Methodology &amp; Assumptions'!$B$8, "Tier 2 High GIDA (Score 40.0–49.9)", "Tier 3 Moderate GIDA (Score &lt; 40.0)"))</f>
        <v/>
      </c>
      <c r="V895" s="26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W895" s="28" t="n">
        <v>0.083</v>
      </c>
      <c r="X895" s="14" t="n">
        <v>51.72</v>
      </c>
      <c r="Y895" s="14">
        <f>ROUND(MIN(100, (X895/69.91)*100), 2)</f>
        <v/>
      </c>
    </row>
    <row r="896">
      <c r="A896" s="10" t="n">
        <v>1</v>
      </c>
      <c r="B896" s="10" t="n">
        <v>892</v>
      </c>
      <c r="C896" s="10" t="n">
        <v>892</v>
      </c>
      <c r="D896" s="10" t="inlineStr">
        <is>
          <t>1380601031</t>
        </is>
      </c>
      <c r="E896" s="26" t="inlineStr">
        <is>
          <t>National Capital Region (NCR)</t>
        </is>
      </c>
      <c r="F896" s="26" t="inlineStr">
        <is>
          <t>First District (Not a Province)</t>
        </is>
      </c>
      <c r="G896" s="26" t="inlineStr">
        <is>
          <t>City of Manila</t>
        </is>
      </c>
      <c r="H896" s="26" t="inlineStr">
        <is>
          <t>Barangay 31</t>
        </is>
      </c>
      <c r="I896" s="27" t="n">
        <v>12.75799</v>
      </c>
      <c r="J896" s="27" t="n">
        <v>121.869801</v>
      </c>
      <c r="K896" s="10" t="inlineStr">
        <is>
          <t>U</t>
        </is>
      </c>
      <c r="L896" s="12" t="n">
        <v>2968</v>
      </c>
      <c r="M896" s="14" t="n">
        <v>3.9</v>
      </c>
      <c r="N896" s="12">
        <f>ROUND(L896/M896, 0)</f>
        <v/>
      </c>
      <c r="O896" s="12">
        <f>ROUND(N896*'Methodology &amp; Assumptions'!$B$5, 0)</f>
        <v/>
      </c>
      <c r="P896" s="10" t="inlineStr">
        <is>
          <t>Single Carrier (Band n50, 100MHz TDD)</t>
        </is>
      </c>
      <c r="Q896" s="13">
        <f>ROUNDUP(O896/'Methodology &amp; Assumptions'!$B$6, 0)</f>
        <v/>
      </c>
      <c r="R896" s="13" t="n">
        <v>1</v>
      </c>
      <c r="S896" s="14" t="n">
        <v>38.52</v>
      </c>
      <c r="T896" s="14" t="n">
        <v>37.47</v>
      </c>
      <c r="U896" s="26">
        <f>IF(X896&gt;='Methodology &amp; Assumptions'!$B$7, "Tier 1 Critical GIDA (Score ≥ 50.0)", IF(X896&gt;='Methodology &amp; Assumptions'!$B$8, "Tier 2 High GIDA (Score 40.0–49.9)", "Tier 3 Moderate GIDA (Score &lt; 40.0)"))</f>
        <v/>
      </c>
      <c r="V896" s="26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W896" s="28" t="n">
        <v>0.109</v>
      </c>
      <c r="X896" s="14" t="n">
        <v>51.72</v>
      </c>
      <c r="Y896" s="14">
        <f>ROUND(MIN(100, (X896/69.91)*100), 2)</f>
        <v/>
      </c>
    </row>
    <row r="897">
      <c r="A897" s="10" t="n">
        <v>1</v>
      </c>
      <c r="B897" s="10" t="n">
        <v>893</v>
      </c>
      <c r="C897" s="10" t="n">
        <v>893</v>
      </c>
      <c r="D897" s="10" t="inlineStr">
        <is>
          <t>1380601028</t>
        </is>
      </c>
      <c r="E897" s="26" t="inlineStr">
        <is>
          <t>National Capital Region (NCR)</t>
        </is>
      </c>
      <c r="F897" s="26" t="inlineStr">
        <is>
          <t>First District (Not a Province)</t>
        </is>
      </c>
      <c r="G897" s="26" t="inlineStr">
        <is>
          <t>City of Manila</t>
        </is>
      </c>
      <c r="H897" s="26" t="inlineStr">
        <is>
          <t>Barangay 28</t>
        </is>
      </c>
      <c r="I897" s="27" t="n">
        <v>12.906574</v>
      </c>
      <c r="J897" s="27" t="n">
        <v>121.617656</v>
      </c>
      <c r="K897" s="10" t="inlineStr">
        <is>
          <t>U</t>
        </is>
      </c>
      <c r="L897" s="12" t="n">
        <v>2872</v>
      </c>
      <c r="M897" s="14" t="n">
        <v>3.9</v>
      </c>
      <c r="N897" s="12">
        <f>ROUND(L897/M897, 0)</f>
        <v/>
      </c>
      <c r="O897" s="12">
        <f>ROUND(N897*'Methodology &amp; Assumptions'!$B$5, 0)</f>
        <v/>
      </c>
      <c r="P897" s="10" t="inlineStr">
        <is>
          <t>Single Carrier (Band n50, 100MHz TDD)</t>
        </is>
      </c>
      <c r="Q897" s="13">
        <f>ROUNDUP(O897/'Methodology &amp; Assumptions'!$B$6, 0)</f>
        <v/>
      </c>
      <c r="R897" s="13" t="n">
        <v>1</v>
      </c>
      <c r="S897" s="14" t="n">
        <v>16.28</v>
      </c>
      <c r="T897" s="14" t="n">
        <v>16</v>
      </c>
      <c r="U897" s="26">
        <f>IF(X897&gt;='Methodology &amp; Assumptions'!$B$7, "Tier 1 Critical GIDA (Score ≥ 50.0)", IF(X897&gt;='Methodology &amp; Assumptions'!$B$8, "Tier 2 High GIDA (Score 40.0–49.9)", "Tier 3 Moderate GIDA (Score &lt; 40.0)"))</f>
        <v/>
      </c>
      <c r="V897" s="26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W897" s="28" t="n">
        <v>0.109</v>
      </c>
      <c r="X897" s="14" t="n">
        <v>51.72</v>
      </c>
      <c r="Y897" s="14">
        <f>ROUND(MIN(100, (X897/69.91)*100), 2)</f>
        <v/>
      </c>
    </row>
    <row r="898">
      <c r="A898" s="10" t="n">
        <v>1</v>
      </c>
      <c r="B898" s="10" t="n">
        <v>894</v>
      </c>
      <c r="C898" s="10" t="n">
        <v>894</v>
      </c>
      <c r="D898" s="10" t="inlineStr">
        <is>
          <t>PH0000894</t>
        </is>
      </c>
      <c r="E898" s="26" t="inlineStr">
        <is>
          <t>VIII</t>
        </is>
      </c>
      <c r="F898" s="26" t="inlineStr">
        <is>
          <t>Samar (Western Samar)</t>
        </is>
      </c>
      <c r="G898" s="26" t="inlineStr">
        <is>
          <t>Catbalogan City</t>
        </is>
      </c>
      <c r="H898" s="26" t="inlineStr">
        <is>
          <t>Cagudalo</t>
        </is>
      </c>
      <c r="I898" s="27" t="n">
        <v>12.873676</v>
      </c>
      <c r="J898" s="27" t="n">
        <v>121.762129</v>
      </c>
      <c r="K898" s="10" t="inlineStr">
        <is>
          <t>R</t>
        </is>
      </c>
      <c r="L898" s="12" t="n">
        <v>2229</v>
      </c>
      <c r="M898" s="14" t="n">
        <v>4.1</v>
      </c>
      <c r="N898" s="12">
        <f>ROUND(L898/M898, 0)</f>
        <v/>
      </c>
      <c r="O898" s="12">
        <f>ROUND(N898*'Methodology &amp; Assumptions'!$B$5, 0)</f>
        <v/>
      </c>
      <c r="P898" s="10" t="inlineStr">
        <is>
          <t>Single Carrier (Band n50, 100MHz TDD)</t>
        </is>
      </c>
      <c r="Q898" s="13">
        <f>ROUNDUP(O898/'Methodology &amp; Assumptions'!$B$6, 0)</f>
        <v/>
      </c>
      <c r="R898" s="13" t="n">
        <v>1</v>
      </c>
      <c r="S898" s="14" t="n">
        <v>32.28</v>
      </c>
      <c r="T898" s="14" t="n">
        <v>32.05</v>
      </c>
      <c r="U898" s="26">
        <f>IF(X898&gt;='Methodology &amp; Assumptions'!$B$7, "Tier 1 Critical GIDA (Score ≥ 50.0)", IF(X898&gt;='Methodology &amp; Assumptions'!$B$8, "Tier 2 High GIDA (Score 40.0–49.9)", "Tier 3 Moderate GIDA (Score &lt; 40.0)"))</f>
        <v/>
      </c>
      <c r="V898" s="26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W898" s="28" t="n">
        <v>0.222</v>
      </c>
      <c r="X898" s="14" t="n">
        <v>51.72</v>
      </c>
      <c r="Y898" s="14">
        <f>ROUND(MIN(100, (X898/69.91)*100), 2)</f>
        <v/>
      </c>
    </row>
    <row r="899">
      <c r="A899" s="10" t="n">
        <v>1</v>
      </c>
      <c r="B899" s="10" t="n">
        <v>895</v>
      </c>
      <c r="C899" s="10" t="n">
        <v>895</v>
      </c>
      <c r="D899" s="10" t="inlineStr">
        <is>
          <t>1108202020</t>
        </is>
      </c>
      <c r="E899" s="26" t="inlineStr">
        <is>
          <t>Region XI (Davao Region)</t>
        </is>
      </c>
      <c r="F899" s="26" t="inlineStr">
        <is>
          <t>Davao de Oro</t>
        </is>
      </c>
      <c r="G899" s="26" t="inlineStr">
        <is>
          <t>Laak</t>
        </is>
      </c>
      <c r="H899" s="26" t="inlineStr">
        <is>
          <t>Bagong Silang</t>
        </is>
      </c>
      <c r="I899" s="27" t="n">
        <v>7.742402</v>
      </c>
      <c r="J899" s="27" t="n">
        <v>125.764188</v>
      </c>
      <c r="K899" s="10" t="inlineStr">
        <is>
          <t>R</t>
        </is>
      </c>
      <c r="L899" s="12" t="n">
        <v>968</v>
      </c>
      <c r="M899" s="14" t="n">
        <v>3.7</v>
      </c>
      <c r="N899" s="12">
        <f>ROUND(L899/M899, 0)</f>
        <v/>
      </c>
      <c r="O899" s="12">
        <f>ROUND(N899*'Methodology &amp; Assumptions'!$B$5, 0)</f>
        <v/>
      </c>
      <c r="P899" s="10" t="inlineStr">
        <is>
          <t>Single Carrier (Band n50, 100MHz TDD)</t>
        </is>
      </c>
      <c r="Q899" s="13">
        <f>ROUNDUP(O899/'Methodology &amp; Assumptions'!$B$6, 0)</f>
        <v/>
      </c>
      <c r="R899" s="13" t="n">
        <v>1</v>
      </c>
      <c r="S899" s="14" t="n">
        <v>31.87</v>
      </c>
      <c r="T899" s="14" t="n">
        <v>17.57</v>
      </c>
      <c r="U899" s="26">
        <f>IF(X899&gt;='Methodology &amp; Assumptions'!$B$7, "Tier 1 Critical GIDA (Score ≥ 50.0)", IF(X899&gt;='Methodology &amp; Assumptions'!$B$8, "Tier 2 High GIDA (Score 40.0–49.9)", "Tier 3 Moderate GIDA (Score &lt; 40.0)"))</f>
        <v/>
      </c>
      <c r="V899" s="26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W899" s="28" t="n">
        <v>0.174</v>
      </c>
      <c r="X899" s="14" t="n">
        <v>51.71</v>
      </c>
      <c r="Y899" s="14">
        <f>ROUND(MIN(100, (X899/69.91)*100), 2)</f>
        <v/>
      </c>
    </row>
    <row r="900">
      <c r="A900" s="10" t="n">
        <v>1</v>
      </c>
      <c r="B900" s="10" t="n">
        <v>896</v>
      </c>
      <c r="C900" s="10" t="n">
        <v>896</v>
      </c>
      <c r="D900" s="10" t="inlineStr">
        <is>
          <t>PH0000896</t>
        </is>
      </c>
      <c r="E900" s="26" t="inlineStr">
        <is>
          <t>VIII</t>
        </is>
      </c>
      <c r="F900" s="26" t="inlineStr">
        <is>
          <t>Leyte</t>
        </is>
      </c>
      <c r="G900" s="26" t="inlineStr">
        <is>
          <t>Tacloban City</t>
        </is>
      </c>
      <c r="H900" s="26" t="inlineStr">
        <is>
          <t>Barangay 18</t>
        </is>
      </c>
      <c r="I900" s="27" t="n">
        <v>11.266734</v>
      </c>
      <c r="J900" s="27" t="n">
        <v>124.993689</v>
      </c>
      <c r="K900" s="10" t="inlineStr">
        <is>
          <t>R</t>
        </is>
      </c>
      <c r="L900" s="12" t="n">
        <v>2258</v>
      </c>
      <c r="M900" s="14" t="n">
        <v>3.8</v>
      </c>
      <c r="N900" s="12">
        <f>ROUND(L900/M900, 0)</f>
        <v/>
      </c>
      <c r="O900" s="12">
        <f>ROUND(N900*'Methodology &amp; Assumptions'!$B$5, 0)</f>
        <v/>
      </c>
      <c r="P900" s="10" t="inlineStr">
        <is>
          <t>Single Carrier (Band n50, 100MHz TDD)</t>
        </is>
      </c>
      <c r="Q900" s="13">
        <f>ROUNDUP(O900/'Methodology &amp; Assumptions'!$B$6, 0)</f>
        <v/>
      </c>
      <c r="R900" s="13" t="n">
        <v>1</v>
      </c>
      <c r="S900" s="14" t="n">
        <v>3.16</v>
      </c>
      <c r="T900" s="14" t="n">
        <v>6.27</v>
      </c>
      <c r="U900" s="26">
        <f>IF(X900&gt;='Methodology &amp; Assumptions'!$B$7, "Tier 1 Critical GIDA (Score ≥ 50.0)", IF(X900&gt;='Methodology &amp; Assumptions'!$B$8, "Tier 2 High GIDA (Score 40.0–49.9)", "Tier 3 Moderate GIDA (Score &lt; 40.0)"))</f>
        <v/>
      </c>
      <c r="V900" s="26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W900" s="28" t="n">
        <v>0.222</v>
      </c>
      <c r="X900" s="14" t="n">
        <v>51.7</v>
      </c>
      <c r="Y900" s="14">
        <f>ROUND(MIN(100, (X900/69.91)*100), 2)</f>
        <v/>
      </c>
    </row>
    <row r="901">
      <c r="A901" s="10" t="n">
        <v>1</v>
      </c>
      <c r="B901" s="10" t="n">
        <v>897</v>
      </c>
      <c r="C901" s="10" t="n">
        <v>897</v>
      </c>
      <c r="D901" s="10" t="inlineStr">
        <is>
          <t>1108602009</t>
        </is>
      </c>
      <c r="E901" s="26" t="inlineStr">
        <is>
          <t>Region XI (Davao Region)</t>
        </is>
      </c>
      <c r="F901" s="26" t="inlineStr">
        <is>
          <t>Davao Occidental</t>
        </is>
      </c>
      <c r="G901" s="26" t="inlineStr">
        <is>
          <t>Jose Abad Santos</t>
        </is>
      </c>
      <c r="H901" s="26" t="inlineStr">
        <is>
          <t>Caburan Big</t>
        </is>
      </c>
      <c r="I901" s="27" t="n">
        <v>5.922609</v>
      </c>
      <c r="J901" s="27" t="n">
        <v>125.606586</v>
      </c>
      <c r="K901" s="10" t="inlineStr">
        <is>
          <t>R</t>
        </is>
      </c>
      <c r="L901" s="12" t="n">
        <v>5203</v>
      </c>
      <c r="M901" s="14" t="n">
        <v>3.6</v>
      </c>
      <c r="N901" s="12">
        <f>ROUND(L901/M901, 0)</f>
        <v/>
      </c>
      <c r="O901" s="12">
        <f>ROUND(N901*'Methodology &amp; Assumptions'!$B$5, 0)</f>
        <v/>
      </c>
      <c r="P901" s="10" t="inlineStr">
        <is>
          <t>Single Carrier (Band n50, 100MHz TDD)</t>
        </is>
      </c>
      <c r="Q901" s="13">
        <f>ROUNDUP(O901/'Methodology &amp; Assumptions'!$B$6, 0)</f>
        <v/>
      </c>
      <c r="R901" s="13" t="n">
        <v>1</v>
      </c>
      <c r="S901" s="14" t="n">
        <v>41.61</v>
      </c>
      <c r="T901" s="14" t="n">
        <v>50.47</v>
      </c>
      <c r="U901" s="26">
        <f>IF(X901&gt;='Methodology &amp; Assumptions'!$B$7, "Tier 1 Critical GIDA (Score ≥ 50.0)", IF(X901&gt;='Methodology &amp; Assumptions'!$B$8, "Tier 2 High GIDA (Score 40.0–49.9)", "Tier 3 Moderate GIDA (Score &lt; 40.0)"))</f>
        <v/>
      </c>
      <c r="V901" s="26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W901" s="28" t="n">
        <v>0.174</v>
      </c>
      <c r="X901" s="14" t="n">
        <v>51.7</v>
      </c>
      <c r="Y901" s="14">
        <f>ROUND(MIN(100, (X901/69.91)*100), 2)</f>
        <v/>
      </c>
    </row>
    <row r="902">
      <c r="A902" s="10" t="n">
        <v>1</v>
      </c>
      <c r="B902" s="10" t="n">
        <v>898</v>
      </c>
      <c r="C902" s="10" t="n">
        <v>898</v>
      </c>
      <c r="D902" s="10" t="inlineStr">
        <is>
          <t>1380601097</t>
        </is>
      </c>
      <c r="E902" s="26" t="inlineStr">
        <is>
          <t>National Capital Region (NCR)</t>
        </is>
      </c>
      <c r="F902" s="26" t="inlineStr">
        <is>
          <t>First District (Not a Province)</t>
        </is>
      </c>
      <c r="G902" s="26" t="inlineStr">
        <is>
          <t>City of Manila</t>
        </is>
      </c>
      <c r="H902" s="26" t="inlineStr">
        <is>
          <t>Barangay 97</t>
        </is>
      </c>
      <c r="I902" s="27" t="n">
        <v>12.963578</v>
      </c>
      <c r="J902" s="27" t="n">
        <v>121.909061</v>
      </c>
      <c r="K902" s="10" t="inlineStr">
        <is>
          <t>U</t>
        </is>
      </c>
      <c r="L902" s="12" t="n">
        <v>3744</v>
      </c>
      <c r="M902" s="14" t="n">
        <v>3.9</v>
      </c>
      <c r="N902" s="12">
        <f>ROUND(L902/M902, 0)</f>
        <v/>
      </c>
      <c r="O902" s="12">
        <f>ROUND(N902*'Methodology &amp; Assumptions'!$B$5, 0)</f>
        <v/>
      </c>
      <c r="P902" s="10" t="inlineStr">
        <is>
          <t>Single Carrier (Band n50, 100MHz TDD)</t>
        </is>
      </c>
      <c r="Q902" s="13">
        <f>ROUNDUP(O902/'Methodology &amp; Assumptions'!$B$6, 0)</f>
        <v/>
      </c>
      <c r="R902" s="13" t="n">
        <v>1</v>
      </c>
      <c r="S902" s="14" t="n">
        <v>45.01</v>
      </c>
      <c r="T902" s="14" t="n">
        <v>46.74</v>
      </c>
      <c r="U902" s="26">
        <f>IF(X902&gt;='Methodology &amp; Assumptions'!$B$7, "Tier 1 Critical GIDA (Score ≥ 50.0)", IF(X902&gt;='Methodology &amp; Assumptions'!$B$8, "Tier 2 High GIDA (Score 40.0–49.9)", "Tier 3 Moderate GIDA (Score &lt; 40.0)"))</f>
        <v/>
      </c>
      <c r="V902" s="26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W902" s="28" t="n">
        <v>0.109</v>
      </c>
      <c r="X902" s="14" t="n">
        <v>51.7</v>
      </c>
      <c r="Y902" s="14">
        <f>ROUND(MIN(100, (X902/69.91)*100), 2)</f>
        <v/>
      </c>
    </row>
    <row r="903">
      <c r="A903" s="10" t="n">
        <v>1</v>
      </c>
      <c r="B903" s="10" t="n">
        <v>899</v>
      </c>
      <c r="C903" s="10" t="n">
        <v>899</v>
      </c>
      <c r="D903" s="10" t="inlineStr">
        <is>
          <t>1380601096</t>
        </is>
      </c>
      <c r="E903" s="26" t="inlineStr">
        <is>
          <t>National Capital Region (NCR)</t>
        </is>
      </c>
      <c r="F903" s="26" t="inlineStr">
        <is>
          <t>First District (Not a Province)</t>
        </is>
      </c>
      <c r="G903" s="26" t="inlineStr">
        <is>
          <t>City of Manila</t>
        </is>
      </c>
      <c r="H903" s="26" t="inlineStr">
        <is>
          <t>Barangay 96</t>
        </is>
      </c>
      <c r="I903" s="27" t="n">
        <v>12.727605</v>
      </c>
      <c r="J903" s="27" t="n">
        <v>121.732194</v>
      </c>
      <c r="K903" s="10" t="inlineStr">
        <is>
          <t>U</t>
        </is>
      </c>
      <c r="L903" s="12" t="n">
        <v>2164</v>
      </c>
      <c r="M903" s="14" t="n">
        <v>3.9</v>
      </c>
      <c r="N903" s="12">
        <f>ROUND(L903/M903, 0)</f>
        <v/>
      </c>
      <c r="O903" s="12">
        <f>ROUND(N903*'Methodology &amp; Assumptions'!$B$5, 0)</f>
        <v/>
      </c>
      <c r="P903" s="10" t="inlineStr">
        <is>
          <t>Single Carrier (Band n50, 100MHz TDD)</t>
        </is>
      </c>
      <c r="Q903" s="13">
        <f>ROUNDUP(O903/'Methodology &amp; Assumptions'!$B$6, 0)</f>
        <v/>
      </c>
      <c r="R903" s="13" t="n">
        <v>1</v>
      </c>
      <c r="S903" s="14" t="n">
        <v>23.93</v>
      </c>
      <c r="T903" s="14" t="n">
        <v>23.88</v>
      </c>
      <c r="U903" s="26">
        <f>IF(X903&gt;='Methodology &amp; Assumptions'!$B$7, "Tier 1 Critical GIDA (Score ≥ 50.0)", IF(X903&gt;='Methodology &amp; Assumptions'!$B$8, "Tier 2 High GIDA (Score 40.0–49.9)", "Tier 3 Moderate GIDA (Score &lt; 40.0)"))</f>
        <v/>
      </c>
      <c r="V903" s="26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W903" s="28" t="n">
        <v>0.109</v>
      </c>
      <c r="X903" s="14" t="n">
        <v>51.69</v>
      </c>
      <c r="Y903" s="14">
        <f>ROUND(MIN(100, (X903/69.91)*100), 2)</f>
        <v/>
      </c>
    </row>
    <row r="904">
      <c r="A904" s="10" t="n">
        <v>1</v>
      </c>
      <c r="B904" s="10" t="n">
        <v>900</v>
      </c>
      <c r="C904" s="10" t="n">
        <v>900</v>
      </c>
      <c r="D904" s="10" t="inlineStr">
        <is>
          <t>PH0000900</t>
        </is>
      </c>
      <c r="E904" s="26" t="inlineStr">
        <is>
          <t>IV-A</t>
        </is>
      </c>
      <c r="F904" s="26" t="inlineStr">
        <is>
          <t>Batangas</t>
        </is>
      </c>
      <c r="G904" s="26" t="inlineStr">
        <is>
          <t>Lipa City</t>
        </is>
      </c>
      <c r="H904" s="26" t="inlineStr">
        <is>
          <t>Poblacion Barangay 2</t>
        </is>
      </c>
      <c r="I904" s="27" t="n">
        <v>13.942217</v>
      </c>
      <c r="J904" s="27" t="n">
        <v>121.157321</v>
      </c>
      <c r="K904" s="10" t="inlineStr">
        <is>
          <t>R</t>
        </is>
      </c>
      <c r="L904" s="12" t="n">
        <v>2259</v>
      </c>
      <c r="M904" s="14" t="n">
        <v>3.6</v>
      </c>
      <c r="N904" s="12">
        <f>ROUND(L904/M904, 0)</f>
        <v/>
      </c>
      <c r="O904" s="12">
        <f>ROUND(N904*'Methodology &amp; Assumptions'!$B$5, 0)</f>
        <v/>
      </c>
      <c r="P904" s="10" t="inlineStr">
        <is>
          <t>Single Carrier (Band n50, 100MHz TDD)</t>
        </is>
      </c>
      <c r="Q904" s="13">
        <f>ROUNDUP(O904/'Methodology &amp; Assumptions'!$B$6, 0)</f>
        <v/>
      </c>
      <c r="R904" s="13" t="n">
        <v>1</v>
      </c>
      <c r="S904" s="14" t="n">
        <v>1.01</v>
      </c>
      <c r="T904" s="14" t="n">
        <v>0.13</v>
      </c>
      <c r="U904" s="26">
        <f>IF(X904&gt;='Methodology &amp; Assumptions'!$B$7, "Tier 1 Critical GIDA (Score ≥ 50.0)", IF(X904&gt;='Methodology &amp; Assumptions'!$B$8, "Tier 2 High GIDA (Score 40.0–49.9)", "Tier 3 Moderate GIDA (Score &lt; 40.0)"))</f>
        <v/>
      </c>
      <c r="V904" s="26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W904" s="28" t="n">
        <v>0.07200000000000001</v>
      </c>
      <c r="X904" s="14" t="n">
        <v>51.69</v>
      </c>
      <c r="Y904" s="14">
        <f>ROUND(MIN(100, (X904/69.91)*100), 2)</f>
        <v/>
      </c>
    </row>
    <row r="905">
      <c r="A905" s="10" t="n">
        <v>1</v>
      </c>
      <c r="B905" s="10" t="n">
        <v>901</v>
      </c>
      <c r="C905" s="10" t="n">
        <v>901</v>
      </c>
      <c r="D905" s="10" t="inlineStr">
        <is>
          <t>PH0000901</t>
        </is>
      </c>
      <c r="E905" s="26" t="inlineStr">
        <is>
          <t>VIII</t>
        </is>
      </c>
      <c r="F905" s="26" t="inlineStr">
        <is>
          <t>Leyte</t>
        </is>
      </c>
      <c r="G905" s="26" t="inlineStr">
        <is>
          <t>Tacloban City</t>
        </is>
      </c>
      <c r="H905" s="26" t="inlineStr">
        <is>
          <t>Barangay 19</t>
        </is>
      </c>
      <c r="I905" s="27" t="n">
        <v>11.244044</v>
      </c>
      <c r="J905" s="27" t="n">
        <v>124.965661</v>
      </c>
      <c r="K905" s="10" t="inlineStr">
        <is>
          <t>R</t>
        </is>
      </c>
      <c r="L905" s="12" t="n">
        <v>2258</v>
      </c>
      <c r="M905" s="14" t="n">
        <v>3.8</v>
      </c>
      <c r="N905" s="12">
        <f>ROUND(L905/M905, 0)</f>
        <v/>
      </c>
      <c r="O905" s="12">
        <f>ROUND(N905*'Methodology &amp; Assumptions'!$B$5, 0)</f>
        <v/>
      </c>
      <c r="P905" s="10" t="inlineStr">
        <is>
          <t>Single Carrier (Band n50, 100MHz TDD)</t>
        </is>
      </c>
      <c r="Q905" s="13">
        <f>ROUNDUP(O905/'Methodology &amp; Assumptions'!$B$6, 0)</f>
        <v/>
      </c>
      <c r="R905" s="13" t="n">
        <v>1</v>
      </c>
      <c r="S905" s="14" t="n">
        <v>4.04</v>
      </c>
      <c r="T905" s="14" t="n">
        <v>5.92</v>
      </c>
      <c r="U905" s="26">
        <f>IF(X905&gt;='Methodology &amp; Assumptions'!$B$7, "Tier 1 Critical GIDA (Score ≥ 50.0)", IF(X905&gt;='Methodology &amp; Assumptions'!$B$8, "Tier 2 High GIDA (Score 40.0–49.9)", "Tier 3 Moderate GIDA (Score &lt; 40.0)"))</f>
        <v/>
      </c>
      <c r="V905" s="26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W905" s="28" t="n">
        <v>0.222</v>
      </c>
      <c r="X905" s="14" t="n">
        <v>51.69</v>
      </c>
      <c r="Y905" s="14">
        <f>ROUND(MIN(100, (X905/69.91)*100), 2)</f>
        <v/>
      </c>
    </row>
    <row r="906">
      <c r="A906" s="10" t="n">
        <v>1</v>
      </c>
      <c r="B906" s="10" t="n">
        <v>902</v>
      </c>
      <c r="C906" s="10" t="n">
        <v>902</v>
      </c>
      <c r="D906" s="10" t="inlineStr">
        <is>
          <t>1108601006</t>
        </is>
      </c>
      <c r="E906" s="26" t="inlineStr">
        <is>
          <t>Region XI (Davao Region)</t>
        </is>
      </c>
      <c r="F906" s="26" t="inlineStr">
        <is>
          <t>Davao Occidental</t>
        </is>
      </c>
      <c r="G906" s="26" t="inlineStr">
        <is>
          <t>Don Marcelino</t>
        </is>
      </c>
      <c r="H906" s="26" t="inlineStr">
        <is>
          <t>Talagutong</t>
        </is>
      </c>
      <c r="I906" s="27" t="n">
        <v>6.257432</v>
      </c>
      <c r="J906" s="27" t="n">
        <v>125.660084</v>
      </c>
      <c r="K906" s="10" t="inlineStr">
        <is>
          <t>U</t>
        </is>
      </c>
      <c r="L906" s="12" t="n">
        <v>7486</v>
      </c>
      <c r="M906" s="14" t="n">
        <v>3.6</v>
      </c>
      <c r="N906" s="12">
        <f>ROUND(L906/M906, 0)</f>
        <v/>
      </c>
      <c r="O906" s="12">
        <f>ROUND(N906*'Methodology &amp; Assumptions'!$B$5, 0)</f>
        <v/>
      </c>
      <c r="P906" s="10" t="inlineStr">
        <is>
          <t>Single Carrier (Band n50, 100MHz TDD)</t>
        </is>
      </c>
      <c r="Q906" s="13">
        <f>ROUNDUP(O906/'Methodology &amp; Assumptions'!$B$6, 0)</f>
        <v/>
      </c>
      <c r="R906" s="13" t="n">
        <v>1</v>
      </c>
      <c r="S906" s="14" t="n">
        <v>44.61</v>
      </c>
      <c r="T906" s="14" t="n">
        <v>42.9</v>
      </c>
      <c r="U906" s="26">
        <f>IF(X906&gt;='Methodology &amp; Assumptions'!$B$7, "Tier 1 Critical GIDA (Score ≥ 50.0)", IF(X906&gt;='Methodology &amp; Assumptions'!$B$8, "Tier 2 High GIDA (Score 40.0–49.9)", "Tier 3 Moderate GIDA (Score &lt; 40.0)"))</f>
        <v/>
      </c>
      <c r="V906" s="26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W906" s="28" t="n">
        <v>0.174</v>
      </c>
      <c r="X906" s="14" t="n">
        <v>51.68</v>
      </c>
      <c r="Y906" s="14">
        <f>ROUND(MIN(100, (X906/69.91)*100), 2)</f>
        <v/>
      </c>
    </row>
    <row r="907">
      <c r="A907" s="10" t="n">
        <v>1</v>
      </c>
      <c r="B907" s="10" t="n">
        <v>903</v>
      </c>
      <c r="C907" s="10" t="n">
        <v>903</v>
      </c>
      <c r="D907" s="10" t="inlineStr">
        <is>
          <t>0501711037</t>
        </is>
      </c>
      <c r="E907" s="26" t="inlineStr">
        <is>
          <t>Region V (Bicol Region)</t>
        </is>
      </c>
      <c r="F907" s="26" t="inlineStr">
        <is>
          <t>Camarines Sur</t>
        </is>
      </c>
      <c r="G907" s="26" t="inlineStr">
        <is>
          <t>Caramoan</t>
        </is>
      </c>
      <c r="H907" s="26" t="inlineStr">
        <is>
          <t>Pili-Centro</t>
        </is>
      </c>
      <c r="I907" s="27" t="n">
        <v>13.764605</v>
      </c>
      <c r="J907" s="27" t="n">
        <v>123.851255</v>
      </c>
      <c r="K907" s="10" t="inlineStr">
        <is>
          <t>R</t>
        </is>
      </c>
      <c r="L907" s="12" t="n">
        <v>951</v>
      </c>
      <c r="M907" s="14" t="n">
        <v>4.2</v>
      </c>
      <c r="N907" s="12">
        <f>ROUND(L907/M907, 0)</f>
        <v/>
      </c>
      <c r="O907" s="12">
        <f>ROUND(N907*'Methodology &amp; Assumptions'!$B$5, 0)</f>
        <v/>
      </c>
      <c r="P907" s="10" t="inlineStr">
        <is>
          <t>Single Carrier (Band n50, 100MHz TDD)</t>
        </is>
      </c>
      <c r="Q907" s="13">
        <f>ROUNDUP(O907/'Methodology &amp; Assumptions'!$B$6, 0)</f>
        <v/>
      </c>
      <c r="R907" s="13" t="n">
        <v>1</v>
      </c>
      <c r="S907" s="14" t="n">
        <v>1.7</v>
      </c>
      <c r="T907" s="14" t="n">
        <v>37.32</v>
      </c>
      <c r="U907" s="26">
        <f>IF(X907&gt;='Methodology &amp; Assumptions'!$B$7, "Tier 1 Critical GIDA (Score ≥ 50.0)", IF(X907&gt;='Methodology &amp; Assumptions'!$B$8, "Tier 2 High GIDA (Score 40.0–49.9)", "Tier 3 Moderate GIDA (Score &lt; 40.0)"))</f>
        <v/>
      </c>
      <c r="V907" s="26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W907" s="28" t="n">
        <v>0.237</v>
      </c>
      <c r="X907" s="14" t="n">
        <v>51.68</v>
      </c>
      <c r="Y907" s="14">
        <f>ROUND(MIN(100, (X907/69.91)*100), 2)</f>
        <v/>
      </c>
    </row>
    <row r="908">
      <c r="A908" s="10" t="n">
        <v>1</v>
      </c>
      <c r="B908" s="10" t="n">
        <v>904</v>
      </c>
      <c r="C908" s="10" t="n">
        <v>904</v>
      </c>
      <c r="D908" s="10" t="inlineStr">
        <is>
          <t>1380601013</t>
        </is>
      </c>
      <c r="E908" s="26" t="inlineStr">
        <is>
          <t>National Capital Region (NCR)</t>
        </is>
      </c>
      <c r="F908" s="26" t="inlineStr">
        <is>
          <t>First District (Not a Province)</t>
        </is>
      </c>
      <c r="G908" s="26" t="inlineStr">
        <is>
          <t>City of Manila</t>
        </is>
      </c>
      <c r="H908" s="26" t="inlineStr">
        <is>
          <t>Barangay 13</t>
        </is>
      </c>
      <c r="I908" s="27" t="n">
        <v>13.020566</v>
      </c>
      <c r="J908" s="27" t="n">
        <v>121.698777</v>
      </c>
      <c r="K908" s="10" t="inlineStr">
        <is>
          <t>U</t>
        </is>
      </c>
      <c r="L908" s="12" t="n">
        <v>2443</v>
      </c>
      <c r="M908" s="14" t="n">
        <v>3.9</v>
      </c>
      <c r="N908" s="12">
        <f>ROUND(L908/M908, 0)</f>
        <v/>
      </c>
      <c r="O908" s="12">
        <f>ROUND(N908*'Methodology &amp; Assumptions'!$B$5, 0)</f>
        <v/>
      </c>
      <c r="P908" s="10" t="inlineStr">
        <is>
          <t>Single Carrier (Band n50, 100MHz TDD)</t>
        </is>
      </c>
      <c r="Q908" s="13">
        <f>ROUNDUP(O908/'Methodology &amp; Assumptions'!$B$6, 0)</f>
        <v/>
      </c>
      <c r="R908" s="13" t="n">
        <v>1</v>
      </c>
      <c r="S908" s="14" t="n">
        <v>21.37</v>
      </c>
      <c r="T908" s="14" t="n">
        <v>23.74</v>
      </c>
      <c r="U908" s="26">
        <f>IF(X908&gt;='Methodology &amp; Assumptions'!$B$7, "Tier 1 Critical GIDA (Score ≥ 50.0)", IF(X908&gt;='Methodology &amp; Assumptions'!$B$8, "Tier 2 High GIDA (Score 40.0–49.9)", "Tier 3 Moderate GIDA (Score &lt; 40.0)"))</f>
        <v/>
      </c>
      <c r="V908" s="26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W908" s="28" t="n">
        <v>0.109</v>
      </c>
      <c r="X908" s="14" t="n">
        <v>51.68</v>
      </c>
      <c r="Y908" s="14">
        <f>ROUND(MIN(100, (X908/69.91)*100), 2)</f>
        <v/>
      </c>
    </row>
    <row r="909">
      <c r="A909" s="10" t="n">
        <v>1</v>
      </c>
      <c r="B909" s="10" t="n">
        <v>905</v>
      </c>
      <c r="C909" s="10" t="n">
        <v>905</v>
      </c>
      <c r="D909" s="10" t="inlineStr">
        <is>
          <t>PH0000905</t>
        </is>
      </c>
      <c r="E909" s="26" t="inlineStr">
        <is>
          <t>VI</t>
        </is>
      </c>
      <c r="F909" s="26" t="inlineStr">
        <is>
          <t>Iloilo</t>
        </is>
      </c>
      <c r="G909" s="26" t="inlineStr">
        <is>
          <t>Iloilo City</t>
        </is>
      </c>
      <c r="H909" s="26" t="inlineStr">
        <is>
          <t>Dungon A</t>
        </is>
      </c>
      <c r="I909" s="27" t="n">
        <v>10.816974</v>
      </c>
      <c r="J909" s="27" t="n">
        <v>122.568062</v>
      </c>
      <c r="K909" s="10" t="inlineStr">
        <is>
          <t>R</t>
        </is>
      </c>
      <c r="L909" s="12" t="n">
        <v>2230</v>
      </c>
      <c r="M909" s="14" t="n">
        <v>3.8</v>
      </c>
      <c r="N909" s="12">
        <f>ROUND(L909/M909, 0)</f>
        <v/>
      </c>
      <c r="O909" s="12">
        <f>ROUND(N909*'Methodology &amp; Assumptions'!$B$5, 0)</f>
        <v/>
      </c>
      <c r="P909" s="10" t="inlineStr">
        <is>
          <t>Single Carrier (Band n50, 100MHz TDD)</t>
        </is>
      </c>
      <c r="Q909" s="13">
        <f>ROUNDUP(O909/'Methodology &amp; Assumptions'!$B$6, 0)</f>
        <v/>
      </c>
      <c r="R909" s="13" t="n">
        <v>1</v>
      </c>
      <c r="S909" s="14" t="n">
        <v>3.83</v>
      </c>
      <c r="T909" s="14" t="n">
        <v>3.56</v>
      </c>
      <c r="U909" s="26">
        <f>IF(X909&gt;='Methodology &amp; Assumptions'!$B$7, "Tier 1 Critical GIDA (Score ≥ 50.0)", IF(X909&gt;='Methodology &amp; Assumptions'!$B$8, "Tier 2 High GIDA (Score 40.0–49.9)", "Tier 3 Moderate GIDA (Score &lt; 40.0)"))</f>
        <v/>
      </c>
      <c r="V909" s="26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W909" s="28" t="n">
        <v>0.156</v>
      </c>
      <c r="X909" s="14" t="n">
        <v>51.68</v>
      </c>
      <c r="Y909" s="14">
        <f>ROUND(MIN(100, (X909/69.91)*100), 2)</f>
        <v/>
      </c>
    </row>
    <row r="910">
      <c r="A910" s="10" t="n">
        <v>1</v>
      </c>
      <c r="B910" s="10" t="n">
        <v>906</v>
      </c>
      <c r="C910" s="10" t="n">
        <v>906</v>
      </c>
      <c r="D910" s="10" t="inlineStr">
        <is>
          <t>1380601069</t>
        </is>
      </c>
      <c r="E910" s="26" t="inlineStr">
        <is>
          <t>National Capital Region (NCR)</t>
        </is>
      </c>
      <c r="F910" s="26" t="inlineStr">
        <is>
          <t>First District (Not a Province)</t>
        </is>
      </c>
      <c r="G910" s="26" t="inlineStr">
        <is>
          <t>City of Manila</t>
        </is>
      </c>
      <c r="H910" s="26" t="inlineStr">
        <is>
          <t>Barangay 69</t>
        </is>
      </c>
      <c r="I910" s="27" t="n">
        <v>12.824922</v>
      </c>
      <c r="J910" s="27" t="n">
        <v>121.928385</v>
      </c>
      <c r="K910" s="10" t="inlineStr">
        <is>
          <t>U</t>
        </is>
      </c>
      <c r="L910" s="12" t="n">
        <v>2028</v>
      </c>
      <c r="M910" s="14" t="n">
        <v>3.9</v>
      </c>
      <c r="N910" s="12">
        <f>ROUND(L910/M910, 0)</f>
        <v/>
      </c>
      <c r="O910" s="12">
        <f>ROUND(N910*'Methodology &amp; Assumptions'!$B$5, 0)</f>
        <v/>
      </c>
      <c r="P910" s="10" t="inlineStr">
        <is>
          <t>Single Carrier (Band n50, 100MHz TDD)</t>
        </is>
      </c>
      <c r="Q910" s="13">
        <f>ROUNDUP(O910/'Methodology &amp; Assumptions'!$B$6, 0)</f>
        <v/>
      </c>
      <c r="R910" s="13" t="n">
        <v>1</v>
      </c>
      <c r="S910" s="14" t="n">
        <v>47.68</v>
      </c>
      <c r="T910" s="14" t="n">
        <v>47.02</v>
      </c>
      <c r="U910" s="26">
        <f>IF(X910&gt;='Methodology &amp; Assumptions'!$B$7, "Tier 1 Critical GIDA (Score ≥ 50.0)", IF(X910&gt;='Methodology &amp; Assumptions'!$B$8, "Tier 2 High GIDA (Score 40.0–49.9)", "Tier 3 Moderate GIDA (Score &lt; 40.0)"))</f>
        <v/>
      </c>
      <c r="V910" s="26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W910" s="28" t="n">
        <v>0.109</v>
      </c>
      <c r="X910" s="14" t="n">
        <v>51.67</v>
      </c>
      <c r="Y910" s="14">
        <f>ROUND(MIN(100, (X910/69.91)*100), 2)</f>
        <v/>
      </c>
    </row>
    <row r="911">
      <c r="A911" s="10" t="n">
        <v>1</v>
      </c>
      <c r="B911" s="10" t="n">
        <v>907</v>
      </c>
      <c r="C911" s="10" t="n">
        <v>907</v>
      </c>
      <c r="D911" s="10" t="inlineStr">
        <is>
          <t>1380601129</t>
        </is>
      </c>
      <c r="E911" s="26" t="inlineStr">
        <is>
          <t>National Capital Region (NCR)</t>
        </is>
      </c>
      <c r="F911" s="26" t="inlineStr">
        <is>
          <t>First District (Not a Province)</t>
        </is>
      </c>
      <c r="G911" s="26" t="inlineStr">
        <is>
          <t>City of Manila</t>
        </is>
      </c>
      <c r="H911" s="26" t="inlineStr">
        <is>
          <t>Barangay 129</t>
        </is>
      </c>
      <c r="I911" s="27" t="n">
        <v>12.817893</v>
      </c>
      <c r="J911" s="27" t="n">
        <v>121.620934</v>
      </c>
      <c r="K911" s="10" t="inlineStr">
        <is>
          <t>U</t>
        </is>
      </c>
      <c r="L911" s="12" t="n">
        <v>5890</v>
      </c>
      <c r="M911" s="14" t="n">
        <v>3.9</v>
      </c>
      <c r="N911" s="12">
        <f>ROUND(L911/M911, 0)</f>
        <v/>
      </c>
      <c r="O911" s="12">
        <f>ROUND(N911*'Methodology &amp; Assumptions'!$B$5, 0)</f>
        <v/>
      </c>
      <c r="P911" s="10" t="inlineStr">
        <is>
          <t>Single Carrier (Band n50, 100MHz TDD)</t>
        </is>
      </c>
      <c r="Q911" s="13">
        <f>ROUNDUP(O911/'Methodology &amp; Assumptions'!$B$6, 0)</f>
        <v/>
      </c>
      <c r="R911" s="13" t="n">
        <v>1</v>
      </c>
      <c r="S911" s="14" t="n">
        <v>16.66</v>
      </c>
      <c r="T911" s="14" t="n">
        <v>15.92</v>
      </c>
      <c r="U911" s="26">
        <f>IF(X911&gt;='Methodology &amp; Assumptions'!$B$7, "Tier 1 Critical GIDA (Score ≥ 50.0)", IF(X911&gt;='Methodology &amp; Assumptions'!$B$8, "Tier 2 High GIDA (Score 40.0–49.9)", "Tier 3 Moderate GIDA (Score &lt; 40.0)"))</f>
        <v/>
      </c>
      <c r="V911" s="26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W911" s="28" t="n">
        <v>0.109</v>
      </c>
      <c r="X911" s="14" t="n">
        <v>51.67</v>
      </c>
      <c r="Y911" s="14">
        <f>ROUND(MIN(100, (X911/69.91)*100), 2)</f>
        <v/>
      </c>
    </row>
    <row r="912">
      <c r="A912" s="10" t="n">
        <v>1</v>
      </c>
      <c r="B912" s="10" t="n">
        <v>908</v>
      </c>
      <c r="C912" s="10" t="n">
        <v>908</v>
      </c>
      <c r="D912" s="10" t="inlineStr">
        <is>
          <t>0304918001</t>
        </is>
      </c>
      <c r="E912" s="26" t="inlineStr">
        <is>
          <t>Region III (Central Luzon)</t>
        </is>
      </c>
      <c r="F912" s="26" t="inlineStr">
        <is>
          <t>Nueva Ecija</t>
        </is>
      </c>
      <c r="G912" s="26" t="inlineStr">
        <is>
          <t>Nampicuan</t>
        </is>
      </c>
      <c r="H912" s="26" t="inlineStr">
        <is>
          <t>Alemania</t>
        </is>
      </c>
      <c r="I912" s="27" t="n">
        <v>15.712953</v>
      </c>
      <c r="J912" s="27" t="n">
        <v>120.654297</v>
      </c>
      <c r="K912" s="10" t="inlineStr">
        <is>
          <t>R</t>
        </is>
      </c>
      <c r="L912" s="12" t="n">
        <v>134</v>
      </c>
      <c r="M912" s="14" t="n">
        <v>3.5</v>
      </c>
      <c r="N912" s="12">
        <f>ROUND(L912/M912, 0)</f>
        <v/>
      </c>
      <c r="O912" s="12">
        <f>ROUND(N912*'Methodology &amp; Assumptions'!$B$5, 0)</f>
        <v/>
      </c>
      <c r="P912" s="10" t="inlineStr">
        <is>
          <t>Single Carrier (Band n50, 100MHz TDD)</t>
        </is>
      </c>
      <c r="Q912" s="13">
        <f>ROUNDUP(O912/'Methodology &amp; Assumptions'!$B$6, 0)</f>
        <v/>
      </c>
      <c r="R912" s="13" t="n">
        <v>1</v>
      </c>
      <c r="S912" s="14" t="n">
        <v>7.48</v>
      </c>
      <c r="T912" s="14" t="n">
        <v>7.97</v>
      </c>
      <c r="U912" s="26">
        <f>IF(X912&gt;='Methodology &amp; Assumptions'!$B$7, "Tier 1 Critical GIDA (Score ≥ 50.0)", IF(X912&gt;='Methodology &amp; Assumptions'!$B$8, "Tier 2 High GIDA (Score 40.0–49.9)", "Tier 3 Moderate GIDA (Score &lt; 40.0)"))</f>
        <v/>
      </c>
      <c r="V912" s="26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W912" s="28" t="n">
        <v>0.083</v>
      </c>
      <c r="X912" s="14" t="n">
        <v>51.66</v>
      </c>
      <c r="Y912" s="14">
        <f>ROUND(MIN(100, (X912/69.91)*100), 2)</f>
        <v/>
      </c>
    </row>
    <row r="913">
      <c r="A913" s="10" t="n">
        <v>1</v>
      </c>
      <c r="B913" s="10" t="n">
        <v>909</v>
      </c>
      <c r="C913" s="10" t="n">
        <v>909</v>
      </c>
      <c r="D913" s="10" t="inlineStr">
        <is>
          <t>1108202035</t>
        </is>
      </c>
      <c r="E913" s="26" t="inlineStr">
        <is>
          <t>Region XI (Davao Region)</t>
        </is>
      </c>
      <c r="F913" s="26" t="inlineStr">
        <is>
          <t>Davao de Oro</t>
        </is>
      </c>
      <c r="G913" s="26" t="inlineStr">
        <is>
          <t>Laak</t>
        </is>
      </c>
      <c r="H913" s="26" t="inlineStr">
        <is>
          <t>New Bethlehem</t>
        </is>
      </c>
      <c r="I913" s="27" t="n">
        <v>7.892403</v>
      </c>
      <c r="J913" s="27" t="n">
        <v>125.775563</v>
      </c>
      <c r="K913" s="10" t="inlineStr">
        <is>
          <t>R</t>
        </is>
      </c>
      <c r="L913" s="12" t="n">
        <v>787</v>
      </c>
      <c r="M913" s="14" t="n">
        <v>3.7</v>
      </c>
      <c r="N913" s="12">
        <f>ROUND(L913/M913, 0)</f>
        <v/>
      </c>
      <c r="O913" s="12">
        <f>ROUND(N913*'Methodology &amp; Assumptions'!$B$5, 0)</f>
        <v/>
      </c>
      <c r="P913" s="10" t="inlineStr">
        <is>
          <t>Single Carrier (Band n50, 100MHz TDD)</t>
        </is>
      </c>
      <c r="Q913" s="13">
        <f>ROUNDUP(O913/'Methodology &amp; Assumptions'!$B$6, 0)</f>
        <v/>
      </c>
      <c r="R913" s="13" t="n">
        <v>1</v>
      </c>
      <c r="S913" s="14" t="n">
        <v>31.74</v>
      </c>
      <c r="T913" s="14" t="n">
        <v>29.27</v>
      </c>
      <c r="U913" s="26">
        <f>IF(X913&gt;='Methodology &amp; Assumptions'!$B$7, "Tier 1 Critical GIDA (Score ≥ 50.0)", IF(X913&gt;='Methodology &amp; Assumptions'!$B$8, "Tier 2 High GIDA (Score 40.0–49.9)", "Tier 3 Moderate GIDA (Score &lt; 40.0)"))</f>
        <v/>
      </c>
      <c r="V913" s="26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W913" s="28" t="n">
        <v>0.174</v>
      </c>
      <c r="X913" s="14" t="n">
        <v>51.66</v>
      </c>
      <c r="Y913" s="14">
        <f>ROUND(MIN(100, (X913/69.91)*100), 2)</f>
        <v/>
      </c>
    </row>
    <row r="914">
      <c r="A914" s="10" t="n">
        <v>1</v>
      </c>
      <c r="B914" s="10" t="n">
        <v>910</v>
      </c>
      <c r="C914" s="10" t="n">
        <v>910</v>
      </c>
      <c r="D914" s="10" t="inlineStr">
        <is>
          <t>0203131015</t>
        </is>
      </c>
      <c r="E914" s="26" t="inlineStr">
        <is>
          <t>Region II (Cagayan Valley)</t>
        </is>
      </c>
      <c r="F914" s="26" t="inlineStr">
        <is>
          <t>Isabela</t>
        </is>
      </c>
      <c r="G914" s="26" t="inlineStr">
        <is>
          <t>San Mariano</t>
        </is>
      </c>
      <c r="H914" s="26" t="inlineStr">
        <is>
          <t>Disulap</t>
        </is>
      </c>
      <c r="I914" s="27" t="n">
        <v>16.967775</v>
      </c>
      <c r="J914" s="27" t="n">
        <v>122.070174</v>
      </c>
      <c r="K914" s="10" t="inlineStr">
        <is>
          <t>R</t>
        </is>
      </c>
      <c r="L914" s="12" t="n">
        <v>3022</v>
      </c>
      <c r="M914" s="14" t="n">
        <v>3.8</v>
      </c>
      <c r="N914" s="12">
        <f>ROUND(L914/M914, 0)</f>
        <v/>
      </c>
      <c r="O914" s="12">
        <f>ROUND(N914*'Methodology &amp; Assumptions'!$B$5, 0)</f>
        <v/>
      </c>
      <c r="P914" s="10" t="inlineStr">
        <is>
          <t>Single Carrier (Band n50, 100MHz TDD)</t>
        </is>
      </c>
      <c r="Q914" s="13">
        <f>ROUNDUP(O914/'Methodology &amp; Assumptions'!$B$6, 0)</f>
        <v/>
      </c>
      <c r="R914" s="13" t="n">
        <v>1</v>
      </c>
      <c r="S914" s="14" t="n">
        <v>6.38</v>
      </c>
      <c r="T914" s="14" t="n">
        <v>23.14</v>
      </c>
      <c r="U914" s="26">
        <f>IF(X914&gt;='Methodology &amp; Assumptions'!$B$7, "Tier 1 Critical GIDA (Score ≥ 50.0)", IF(X914&gt;='Methodology &amp; Assumptions'!$B$8, "Tier 2 High GIDA (Score 40.0–49.9)", "Tier 3 Moderate GIDA (Score &lt; 40.0)"))</f>
        <v/>
      </c>
      <c r="V914" s="26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W914" s="28" t="n">
        <v>0.083</v>
      </c>
      <c r="X914" s="14" t="n">
        <v>51.65</v>
      </c>
      <c r="Y914" s="14">
        <f>ROUND(MIN(100, (X914/69.91)*100), 2)</f>
        <v/>
      </c>
    </row>
    <row r="915">
      <c r="A915" s="10" t="n">
        <v>1</v>
      </c>
      <c r="B915" s="10" t="n">
        <v>911</v>
      </c>
      <c r="C915" s="10" t="n">
        <v>911</v>
      </c>
      <c r="D915" s="10" t="inlineStr">
        <is>
          <t>1381200010</t>
        </is>
      </c>
      <c r="E915" s="26" t="inlineStr">
        <is>
          <t>National Capital Region (NCR)</t>
        </is>
      </c>
      <c r="F915" s="26" t="inlineStr">
        <is>
          <t>Second District (Not a Province)</t>
        </is>
      </c>
      <c r="G915" s="26" t="inlineStr">
        <is>
          <t>City of Pasig</t>
        </is>
      </c>
      <c r="H915" s="26" t="inlineStr">
        <is>
          <t>Malinao</t>
        </is>
      </c>
      <c r="I915" s="27" t="n">
        <v>14.572029</v>
      </c>
      <c r="J915" s="27" t="n">
        <v>121.089661</v>
      </c>
      <c r="K915" s="10" t="inlineStr">
        <is>
          <t>U</t>
        </is>
      </c>
      <c r="L915" s="12" t="n">
        <v>5116</v>
      </c>
      <c r="M915" s="14" t="n">
        <v>3.4</v>
      </c>
      <c r="N915" s="12">
        <f>ROUND(L915/M915, 0)</f>
        <v/>
      </c>
      <c r="O915" s="12">
        <f>ROUND(N915*'Methodology &amp; Assumptions'!$B$5, 0)</f>
        <v/>
      </c>
      <c r="P915" s="10" t="inlineStr">
        <is>
          <t>Single Carrier (Band n50, 100MHz TDD)</t>
        </is>
      </c>
      <c r="Q915" s="13">
        <f>ROUNDUP(O915/'Methodology &amp; Assumptions'!$B$6, 0)</f>
        <v/>
      </c>
      <c r="R915" s="13" t="n">
        <v>1</v>
      </c>
      <c r="S915" s="14" t="n">
        <v>0.6899999999999999</v>
      </c>
      <c r="T915" s="14" t="n">
        <v>0.36</v>
      </c>
      <c r="U915" s="26">
        <f>IF(X915&gt;='Methodology &amp; Assumptions'!$B$7, "Tier 1 Critical GIDA (Score ≥ 50.0)", IF(X915&gt;='Methodology &amp; Assumptions'!$B$8, "Tier 2 High GIDA (Score 40.0–49.9)", "Tier 3 Moderate GIDA (Score &lt; 40.0)"))</f>
        <v/>
      </c>
      <c r="V915" s="26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W915" s="28" t="n">
        <v>0.109</v>
      </c>
      <c r="X915" s="14" t="n">
        <v>51.65</v>
      </c>
      <c r="Y915" s="14">
        <f>ROUND(MIN(100, (X915/69.91)*100), 2)</f>
        <v/>
      </c>
    </row>
    <row r="916">
      <c r="A916" s="10" t="n">
        <v>1</v>
      </c>
      <c r="B916" s="10" t="n">
        <v>912</v>
      </c>
      <c r="C916" s="10" t="n">
        <v>912</v>
      </c>
      <c r="D916" s="10" t="inlineStr">
        <is>
          <t>PH0000912</t>
        </is>
      </c>
      <c r="E916" s="26" t="inlineStr">
        <is>
          <t>VIII</t>
        </is>
      </c>
      <c r="F916" s="26" t="inlineStr">
        <is>
          <t>Leyte</t>
        </is>
      </c>
      <c r="G916" s="26" t="inlineStr">
        <is>
          <t>Tacloban City</t>
        </is>
      </c>
      <c r="H916" s="26" t="inlineStr">
        <is>
          <t>Barangay 16</t>
        </is>
      </c>
      <c r="I916" s="27" t="n">
        <v>11.281831</v>
      </c>
      <c r="J916" s="27" t="n">
        <v>124.971086</v>
      </c>
      <c r="K916" s="10" t="inlineStr">
        <is>
          <t>R</t>
        </is>
      </c>
      <c r="L916" s="12" t="n">
        <v>2258</v>
      </c>
      <c r="M916" s="14" t="n">
        <v>3.8</v>
      </c>
      <c r="N916" s="12">
        <f>ROUND(L916/M916, 0)</f>
        <v/>
      </c>
      <c r="O916" s="12">
        <f>ROUND(N916*'Methodology &amp; Assumptions'!$B$5, 0)</f>
        <v/>
      </c>
      <c r="P916" s="10" t="inlineStr">
        <is>
          <t>Single Carrier (Band n50, 100MHz TDD)</t>
        </is>
      </c>
      <c r="Q916" s="13">
        <f>ROUNDUP(O916/'Methodology &amp; Assumptions'!$B$6, 0)</f>
        <v/>
      </c>
      <c r="R916" s="13" t="n">
        <v>1</v>
      </c>
      <c r="S916" s="14" t="n">
        <v>5.81</v>
      </c>
      <c r="T916" s="14" t="n">
        <v>8.77</v>
      </c>
      <c r="U916" s="26">
        <f>IF(X916&gt;='Methodology &amp; Assumptions'!$B$7, "Tier 1 Critical GIDA (Score ≥ 50.0)", IF(X916&gt;='Methodology &amp; Assumptions'!$B$8, "Tier 2 High GIDA (Score 40.0–49.9)", "Tier 3 Moderate GIDA (Score &lt; 40.0)"))</f>
        <v/>
      </c>
      <c r="V916" s="26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W916" s="28" t="n">
        <v>0.222</v>
      </c>
      <c r="X916" s="14" t="n">
        <v>51.64</v>
      </c>
      <c r="Y916" s="14">
        <f>ROUND(MIN(100, (X916/69.91)*100), 2)</f>
        <v/>
      </c>
    </row>
    <row r="917">
      <c r="A917" s="10" t="n">
        <v>1</v>
      </c>
      <c r="B917" s="10" t="n">
        <v>913</v>
      </c>
      <c r="C917" s="10" t="n">
        <v>913</v>
      </c>
      <c r="D917" s="10" t="inlineStr">
        <is>
          <t>1380900011</t>
        </is>
      </c>
      <c r="E917" s="26" t="inlineStr">
        <is>
          <t>National Capital Region (NCR)</t>
        </is>
      </c>
      <c r="F917" s="26" t="inlineStr">
        <is>
          <t>Third District (Not a Province)</t>
        </is>
      </c>
      <c r="G917" s="26" t="inlineStr">
        <is>
          <t>City of Navotas</t>
        </is>
      </c>
      <c r="H917" s="26" t="inlineStr">
        <is>
          <t>San Rafael Village</t>
        </is>
      </c>
      <c r="I917" s="27" t="n">
        <v>14.63712</v>
      </c>
      <c r="J917" s="27" t="n">
        <v>120.96439</v>
      </c>
      <c r="K917" s="10" t="inlineStr">
        <is>
          <t>U</t>
        </is>
      </c>
      <c r="L917" s="12" t="n">
        <v>3564</v>
      </c>
      <c r="M917" s="14" t="n">
        <v>3.4</v>
      </c>
      <c r="N917" s="12">
        <f>ROUND(L917/M917, 0)</f>
        <v/>
      </c>
      <c r="O917" s="12">
        <f>ROUND(N917*'Methodology &amp; Assumptions'!$B$5, 0)</f>
        <v/>
      </c>
      <c r="P917" s="10" t="inlineStr">
        <is>
          <t>Single Carrier (Band n50, 100MHz TDD)</t>
        </is>
      </c>
      <c r="Q917" s="13">
        <f>ROUNDUP(O917/'Methodology &amp; Assumptions'!$B$6, 0)</f>
        <v/>
      </c>
      <c r="R917" s="13" t="n">
        <v>1</v>
      </c>
      <c r="S917" s="14" t="n">
        <v>1.49</v>
      </c>
      <c r="T917" s="14" t="n">
        <v>0.32</v>
      </c>
      <c r="U917" s="26">
        <f>IF(X917&gt;='Methodology &amp; Assumptions'!$B$7, "Tier 1 Critical GIDA (Score ≥ 50.0)", IF(X917&gt;='Methodology &amp; Assumptions'!$B$8, "Tier 2 High GIDA (Score 40.0–49.9)", "Tier 3 Moderate GIDA (Score &lt; 40.0)"))</f>
        <v/>
      </c>
      <c r="V917" s="26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W917" s="28" t="n">
        <v>0.109</v>
      </c>
      <c r="X917" s="14" t="n">
        <v>51.64</v>
      </c>
      <c r="Y917" s="14">
        <f>ROUND(MIN(100, (X917/69.91)*100), 2)</f>
        <v/>
      </c>
    </row>
    <row r="918">
      <c r="A918" s="10" t="n">
        <v>1</v>
      </c>
      <c r="B918" s="10" t="n">
        <v>914</v>
      </c>
      <c r="C918" s="10" t="n">
        <v>914</v>
      </c>
      <c r="D918" s="10" t="inlineStr">
        <is>
          <t>0501711033</t>
        </is>
      </c>
      <c r="E918" s="26" t="inlineStr">
        <is>
          <t>Region V (Bicol Region)</t>
        </is>
      </c>
      <c r="F918" s="26" t="inlineStr">
        <is>
          <t>Camarines Sur</t>
        </is>
      </c>
      <c r="G918" s="26" t="inlineStr">
        <is>
          <t>Caramoan</t>
        </is>
      </c>
      <c r="H918" s="26" t="inlineStr">
        <is>
          <t>Pagolinan</t>
        </is>
      </c>
      <c r="I918" s="27" t="n">
        <v>13.71755</v>
      </c>
      <c r="J918" s="27" t="n">
        <v>123.850495</v>
      </c>
      <c r="K918" s="10" t="inlineStr">
        <is>
          <t>R</t>
        </is>
      </c>
      <c r="L918" s="12" t="n">
        <v>467</v>
      </c>
      <c r="M918" s="14" t="n">
        <v>4.2</v>
      </c>
      <c r="N918" s="12">
        <f>ROUND(L918/M918, 0)</f>
        <v/>
      </c>
      <c r="O918" s="12">
        <f>ROUND(N918*'Methodology &amp; Assumptions'!$B$5, 0)</f>
        <v/>
      </c>
      <c r="P918" s="10" t="inlineStr">
        <is>
          <t>Single Carrier (Band n50, 100MHz TDD)</t>
        </is>
      </c>
      <c r="Q918" s="13">
        <f>ROUNDUP(O918/'Methodology &amp; Assumptions'!$B$6, 0)</f>
        <v/>
      </c>
      <c r="R918" s="13" t="n">
        <v>1</v>
      </c>
      <c r="S918" s="14" t="n">
        <v>6.46</v>
      </c>
      <c r="T918" s="14" t="n">
        <v>33.94</v>
      </c>
      <c r="U918" s="26">
        <f>IF(X918&gt;='Methodology &amp; Assumptions'!$B$7, "Tier 1 Critical GIDA (Score ≥ 50.0)", IF(X918&gt;='Methodology &amp; Assumptions'!$B$8, "Tier 2 High GIDA (Score 40.0–49.9)", "Tier 3 Moderate GIDA (Score &lt; 40.0)"))</f>
        <v/>
      </c>
      <c r="V918" s="26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W918" s="28" t="n">
        <v>0.237</v>
      </c>
      <c r="X918" s="14" t="n">
        <v>51.63</v>
      </c>
      <c r="Y918" s="14">
        <f>ROUND(MIN(100, (X918/69.91)*100), 2)</f>
        <v/>
      </c>
    </row>
    <row r="919">
      <c r="A919" s="10" t="n">
        <v>1</v>
      </c>
      <c r="B919" s="10" t="n">
        <v>915</v>
      </c>
      <c r="C919" s="10" t="n">
        <v>915</v>
      </c>
      <c r="D919" s="10" t="inlineStr">
        <is>
          <t>1903621007</t>
        </is>
      </c>
      <c r="E919" s="26" t="inlineStr">
        <is>
          <t>Bangsamoro Autonomous Region In Muslim Mindanao (BARMM)</t>
        </is>
      </c>
      <c r="F919" s="26" t="inlineStr">
        <is>
          <t>Lanao del Sur</t>
        </is>
      </c>
      <c r="G919" s="26" t="inlineStr">
        <is>
          <t>Piagapo</t>
        </is>
      </c>
      <c r="H919" s="26" t="inlineStr">
        <is>
          <t>Bubong Tawa-an</t>
        </is>
      </c>
      <c r="I919" s="27" t="n">
        <v>17.254526</v>
      </c>
      <c r="J919" s="27" t="n">
        <v>122.22857</v>
      </c>
      <c r="K919" s="10" t="inlineStr">
        <is>
          <t>R</t>
        </is>
      </c>
      <c r="L919" s="12" t="n">
        <v>811</v>
      </c>
      <c r="M919" s="14" t="n">
        <v>5.7</v>
      </c>
      <c r="N919" s="12">
        <f>ROUND(L919/M919, 0)</f>
        <v/>
      </c>
      <c r="O919" s="12">
        <f>ROUND(N919*'Methodology &amp; Assumptions'!$B$5, 0)</f>
        <v/>
      </c>
      <c r="P919" s="10" t="inlineStr">
        <is>
          <t>Single Carrier (Band n50, 100MHz TDD)</t>
        </is>
      </c>
      <c r="Q919" s="13">
        <f>ROUNDUP(O919/'Methodology &amp; Assumptions'!$B$6, 0)</f>
        <v/>
      </c>
      <c r="R919" s="13" t="n">
        <v>1</v>
      </c>
      <c r="S919" s="14" t="n">
        <v>29.37</v>
      </c>
      <c r="T919" s="14" t="n">
        <v>34.26</v>
      </c>
      <c r="U919" s="26">
        <f>IF(X919&gt;='Methodology &amp; Assumptions'!$B$7, "Tier 1 Critical GIDA (Score ≥ 50.0)", IF(X919&gt;='Methodology &amp; Assumptions'!$B$8, "Tier 2 High GIDA (Score 40.0–49.9)", "Tier 3 Moderate GIDA (Score &lt; 40.0)"))</f>
        <v/>
      </c>
      <c r="V919" s="26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W919" s="28" t="n">
        <v>0.11</v>
      </c>
      <c r="X919" s="14" t="n">
        <v>51.63</v>
      </c>
      <c r="Y919" s="14">
        <f>ROUND(MIN(100, (X919/69.91)*100), 2)</f>
        <v/>
      </c>
    </row>
    <row r="920">
      <c r="A920" s="10" t="n">
        <v>1</v>
      </c>
      <c r="B920" s="10" t="n">
        <v>916</v>
      </c>
      <c r="C920" s="10" t="n">
        <v>916</v>
      </c>
      <c r="D920" s="10" t="inlineStr">
        <is>
          <t>0504106005</t>
        </is>
      </c>
      <c r="E920" s="26" t="inlineStr">
        <is>
          <t>Region V (Bicol Region)</t>
        </is>
      </c>
      <c r="F920" s="26" t="inlineStr">
        <is>
          <t>Masbate</t>
        </is>
      </c>
      <c r="G920" s="26" t="inlineStr">
        <is>
          <t>Cawayan</t>
        </is>
      </c>
      <c r="H920" s="26" t="inlineStr">
        <is>
          <t>Calapayan</t>
        </is>
      </c>
      <c r="I920" s="27" t="n">
        <v>11.993868</v>
      </c>
      <c r="J920" s="27" t="n">
        <v>123.81813</v>
      </c>
      <c r="K920" s="10" t="inlineStr">
        <is>
          <t>R</t>
        </is>
      </c>
      <c r="L920" s="12" t="n">
        <v>1426</v>
      </c>
      <c r="M920" s="14" t="n">
        <v>4.1</v>
      </c>
      <c r="N920" s="12">
        <f>ROUND(L920/M920, 0)</f>
        <v/>
      </c>
      <c r="O920" s="12">
        <f>ROUND(N920*'Methodology &amp; Assumptions'!$B$5, 0)</f>
        <v/>
      </c>
      <c r="P920" s="10" t="inlineStr">
        <is>
          <t>Single Carrier (Band n50, 100MHz TDD)</t>
        </is>
      </c>
      <c r="Q920" s="13">
        <f>ROUNDUP(O920/'Methodology &amp; Assumptions'!$B$6, 0)</f>
        <v/>
      </c>
      <c r="R920" s="13" t="n">
        <v>1</v>
      </c>
      <c r="S920" s="14" t="n">
        <v>17</v>
      </c>
      <c r="T920" s="14" t="n">
        <v>41.86</v>
      </c>
      <c r="U920" s="26">
        <f>IF(X920&gt;='Methodology &amp; Assumptions'!$B$7, "Tier 1 Critical GIDA (Score ≥ 50.0)", IF(X920&gt;='Methodology &amp; Assumptions'!$B$8, "Tier 2 High GIDA (Score 40.0–49.9)", "Tier 3 Moderate GIDA (Score &lt; 40.0)"))</f>
        <v/>
      </c>
      <c r="V920" s="26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W920" s="28" t="n">
        <v>0.237</v>
      </c>
      <c r="X920" s="14" t="n">
        <v>51.62</v>
      </c>
      <c r="Y920" s="14">
        <f>ROUND(MIN(100, (X920/69.91)*100), 2)</f>
        <v/>
      </c>
    </row>
    <row r="921">
      <c r="A921" s="10" t="n">
        <v>1</v>
      </c>
      <c r="B921" s="10" t="n">
        <v>917</v>
      </c>
      <c r="C921" s="10" t="n">
        <v>917</v>
      </c>
      <c r="D921" s="10" t="inlineStr">
        <is>
          <t>1108211014</t>
        </is>
      </c>
      <c r="E921" s="26" t="inlineStr">
        <is>
          <t>Region XI (Davao Region)</t>
        </is>
      </c>
      <c r="F921" s="26" t="inlineStr">
        <is>
          <t>Davao de Oro</t>
        </is>
      </c>
      <c r="G921" s="26" t="inlineStr">
        <is>
          <t>Pantukan</t>
        </is>
      </c>
      <c r="H921" s="26" t="inlineStr">
        <is>
          <t>Tag-Ugpo</t>
        </is>
      </c>
      <c r="I921" s="27" t="n">
        <v>7.262394</v>
      </c>
      <c r="J921" s="27" t="n">
        <v>126.091058</v>
      </c>
      <c r="K921" s="10" t="inlineStr">
        <is>
          <t>U</t>
        </is>
      </c>
      <c r="L921" s="12" t="n">
        <v>4093</v>
      </c>
      <c r="M921" s="14" t="n">
        <v>3.7</v>
      </c>
      <c r="N921" s="12">
        <f>ROUND(L921/M921, 0)</f>
        <v/>
      </c>
      <c r="O921" s="12">
        <f>ROUND(N921*'Methodology &amp; Assumptions'!$B$5, 0)</f>
        <v/>
      </c>
      <c r="P921" s="10" t="inlineStr">
        <is>
          <t>Single Carrier (Band n50, 100MHz TDD)</t>
        </is>
      </c>
      <c r="Q921" s="13">
        <f>ROUNDUP(O921/'Methodology &amp; Assumptions'!$B$6, 0)</f>
        <v/>
      </c>
      <c r="R921" s="13" t="n">
        <v>1</v>
      </c>
      <c r="S921" s="14" t="n">
        <v>25.53</v>
      </c>
      <c r="T921" s="14" t="n">
        <v>23.49</v>
      </c>
      <c r="U921" s="26">
        <f>IF(X921&gt;='Methodology &amp; Assumptions'!$B$7, "Tier 1 Critical GIDA (Score ≥ 50.0)", IF(X921&gt;='Methodology &amp; Assumptions'!$B$8, "Tier 2 High GIDA (Score 40.0–49.9)", "Tier 3 Moderate GIDA (Score &lt; 40.0)"))</f>
        <v/>
      </c>
      <c r="V921" s="26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W921" s="28" t="n">
        <v>0.174</v>
      </c>
      <c r="X921" s="14" t="n">
        <v>51.62</v>
      </c>
      <c r="Y921" s="14">
        <f>ROUND(MIN(100, (X921/69.91)*100), 2)</f>
        <v/>
      </c>
    </row>
    <row r="922">
      <c r="A922" s="10" t="n">
        <v>1</v>
      </c>
      <c r="B922" s="10" t="n">
        <v>918</v>
      </c>
      <c r="C922" s="10" t="n">
        <v>918</v>
      </c>
      <c r="D922" s="10" t="inlineStr">
        <is>
          <t>1380601032</t>
        </is>
      </c>
      <c r="E922" s="26" t="inlineStr">
        <is>
          <t>National Capital Region (NCR)</t>
        </is>
      </c>
      <c r="F922" s="26" t="inlineStr">
        <is>
          <t>First District (Not a Province)</t>
        </is>
      </c>
      <c r="G922" s="26" t="inlineStr">
        <is>
          <t>City of Manila</t>
        </is>
      </c>
      <c r="H922" s="26" t="inlineStr">
        <is>
          <t>Barangay 32</t>
        </is>
      </c>
      <c r="I922" s="27" t="n">
        <v>13.0273</v>
      </c>
      <c r="J922" s="27" t="n">
        <v>121.844604</v>
      </c>
      <c r="K922" s="10" t="inlineStr">
        <is>
          <t>U</t>
        </is>
      </c>
      <c r="L922" s="12" t="n">
        <v>2286</v>
      </c>
      <c r="M922" s="14" t="n">
        <v>3.9</v>
      </c>
      <c r="N922" s="12">
        <f>ROUND(L922/M922, 0)</f>
        <v/>
      </c>
      <c r="O922" s="12">
        <f>ROUND(N922*'Methodology &amp; Assumptions'!$B$5, 0)</f>
        <v/>
      </c>
      <c r="P922" s="10" t="inlineStr">
        <is>
          <t>Single Carrier (Band n50, 100MHz TDD)</t>
        </is>
      </c>
      <c r="Q922" s="13">
        <f>ROUNDUP(O922/'Methodology &amp; Assumptions'!$B$6, 0)</f>
        <v/>
      </c>
      <c r="R922" s="13" t="n">
        <v>1</v>
      </c>
      <c r="S922" s="14" t="n">
        <v>36.84</v>
      </c>
      <c r="T922" s="14" t="n">
        <v>39.51</v>
      </c>
      <c r="U922" s="26">
        <f>IF(X922&gt;='Methodology &amp; Assumptions'!$B$7, "Tier 1 Critical GIDA (Score ≥ 50.0)", IF(X922&gt;='Methodology &amp; Assumptions'!$B$8, "Tier 2 High GIDA (Score 40.0–49.9)", "Tier 3 Moderate GIDA (Score &lt; 40.0)"))</f>
        <v/>
      </c>
      <c r="V922" s="26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W922" s="28" t="n">
        <v>0.109</v>
      </c>
      <c r="X922" s="14" t="n">
        <v>51.62</v>
      </c>
      <c r="Y922" s="14">
        <f>ROUND(MIN(100, (X922/69.91)*100), 2)</f>
        <v/>
      </c>
    </row>
    <row r="923">
      <c r="A923" s="10" t="n">
        <v>1</v>
      </c>
      <c r="B923" s="10" t="n">
        <v>919</v>
      </c>
      <c r="C923" s="10" t="n">
        <v>919</v>
      </c>
      <c r="D923" s="10" t="inlineStr">
        <is>
          <t>1108601011</t>
        </is>
      </c>
      <c r="E923" s="26" t="inlineStr">
        <is>
          <t>Region XI (Davao Region)</t>
        </is>
      </c>
      <c r="F923" s="26" t="inlineStr">
        <is>
          <t>Davao Occidental</t>
        </is>
      </c>
      <c r="G923" s="26" t="inlineStr">
        <is>
          <t>Don Marcelino</t>
        </is>
      </c>
      <c r="H923" s="26" t="inlineStr">
        <is>
          <t>Lapuan</t>
        </is>
      </c>
      <c r="I923" s="27" t="n">
        <v>6.153672</v>
      </c>
      <c r="J923" s="27" t="n">
        <v>125.688517</v>
      </c>
      <c r="K923" s="10" t="inlineStr">
        <is>
          <t>U</t>
        </is>
      </c>
      <c r="L923" s="12" t="n">
        <v>5455</v>
      </c>
      <c r="M923" s="14" t="n">
        <v>3.6</v>
      </c>
      <c r="N923" s="12">
        <f>ROUND(L923/M923, 0)</f>
        <v/>
      </c>
      <c r="O923" s="12">
        <f>ROUND(N923*'Methodology &amp; Assumptions'!$B$5, 0)</f>
        <v/>
      </c>
      <c r="P923" s="10" t="inlineStr">
        <is>
          <t>Single Carrier (Band n50, 100MHz TDD)</t>
        </is>
      </c>
      <c r="Q923" s="13">
        <f>ROUNDUP(O923/'Methodology &amp; Assumptions'!$B$6, 0)</f>
        <v/>
      </c>
      <c r="R923" s="13" t="n">
        <v>1</v>
      </c>
      <c r="S923" s="14" t="n">
        <v>45.71</v>
      </c>
      <c r="T923" s="14" t="n">
        <v>48.71</v>
      </c>
      <c r="U923" s="26">
        <f>IF(X923&gt;='Methodology &amp; Assumptions'!$B$7, "Tier 1 Critical GIDA (Score ≥ 50.0)", IF(X923&gt;='Methodology &amp; Assumptions'!$B$8, "Tier 2 High GIDA (Score 40.0–49.9)", "Tier 3 Moderate GIDA (Score &lt; 40.0)"))</f>
        <v/>
      </c>
      <c r="V923" s="26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W923" s="28" t="n">
        <v>0.174</v>
      </c>
      <c r="X923" s="14" t="n">
        <v>51.61</v>
      </c>
      <c r="Y923" s="14">
        <f>ROUND(MIN(100, (X923/69.91)*100), 2)</f>
        <v/>
      </c>
    </row>
    <row r="924">
      <c r="A924" s="10" t="n">
        <v>1</v>
      </c>
      <c r="B924" s="10" t="n">
        <v>920</v>
      </c>
      <c r="C924" s="10" t="n">
        <v>920</v>
      </c>
      <c r="D924" s="10" t="inlineStr">
        <is>
          <t>1381100097</t>
        </is>
      </c>
      <c r="E924" s="26" t="inlineStr">
        <is>
          <t>National Capital Region (NCR)</t>
        </is>
      </c>
      <c r="F924" s="26" t="inlineStr">
        <is>
          <t>Fourth District (Not a Province)</t>
        </is>
      </c>
      <c r="G924" s="26" t="inlineStr">
        <is>
          <t>Pasay City</t>
        </is>
      </c>
      <c r="H924" s="26" t="inlineStr">
        <is>
          <t>Barangay 97</t>
        </is>
      </c>
      <c r="I924" s="27" t="n">
        <v>14.541467</v>
      </c>
      <c r="J924" s="27" t="n">
        <v>120.997231</v>
      </c>
      <c r="K924" s="10" t="inlineStr">
        <is>
          <t>U</t>
        </is>
      </c>
      <c r="L924" s="12" t="n">
        <v>1400</v>
      </c>
      <c r="M924" s="14" t="n">
        <v>3.4</v>
      </c>
      <c r="N924" s="12">
        <f>ROUND(L924/M924, 0)</f>
        <v/>
      </c>
      <c r="O924" s="12">
        <f>ROUND(N924*'Methodology &amp; Assumptions'!$B$5, 0)</f>
        <v/>
      </c>
      <c r="P924" s="10" t="inlineStr">
        <is>
          <t>Single Carrier (Band n50, 100MHz TDD)</t>
        </is>
      </c>
      <c r="Q924" s="13">
        <f>ROUNDUP(O924/'Methodology &amp; Assumptions'!$B$6, 0)</f>
        <v/>
      </c>
      <c r="R924" s="13" t="n">
        <v>1</v>
      </c>
      <c r="S924" s="14" t="n">
        <v>0.45</v>
      </c>
      <c r="T924" s="14" t="n">
        <v>0.3</v>
      </c>
      <c r="U924" s="26">
        <f>IF(X924&gt;='Methodology &amp; Assumptions'!$B$7, "Tier 1 Critical GIDA (Score ≥ 50.0)", IF(X924&gt;='Methodology &amp; Assumptions'!$B$8, "Tier 2 High GIDA (Score 40.0–49.9)", "Tier 3 Moderate GIDA (Score &lt; 40.0)"))</f>
        <v/>
      </c>
      <c r="V924" s="26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W924" s="28" t="n">
        <v>0.109</v>
      </c>
      <c r="X924" s="14" t="n">
        <v>51.61</v>
      </c>
      <c r="Y924" s="14">
        <f>ROUND(MIN(100, (X924/69.91)*100), 2)</f>
        <v/>
      </c>
    </row>
    <row r="925">
      <c r="A925" s="10" t="n">
        <v>1</v>
      </c>
      <c r="B925" s="10" t="n">
        <v>921</v>
      </c>
      <c r="C925" s="10" t="n">
        <v>921</v>
      </c>
      <c r="D925" s="10" t="inlineStr">
        <is>
          <t>1380900005</t>
        </is>
      </c>
      <c r="E925" s="26" t="inlineStr">
        <is>
          <t>National Capital Region (NCR)</t>
        </is>
      </c>
      <c r="F925" s="26" t="inlineStr">
        <is>
          <t>Third District (Not a Province)</t>
        </is>
      </c>
      <c r="G925" s="26" t="inlineStr">
        <is>
          <t>City of Navotas</t>
        </is>
      </c>
      <c r="H925" s="26" t="inlineStr">
        <is>
          <t>Daanghari</t>
        </is>
      </c>
      <c r="I925" s="27" t="n">
        <v>14.665793</v>
      </c>
      <c r="J925" s="27" t="n">
        <v>120.940511</v>
      </c>
      <c r="K925" s="10" t="inlineStr">
        <is>
          <t>U</t>
        </is>
      </c>
      <c r="L925" s="12" t="n">
        <v>14657</v>
      </c>
      <c r="M925" s="14" t="n">
        <v>3.4</v>
      </c>
      <c r="N925" s="12">
        <f>ROUND(L925/M925, 0)</f>
        <v/>
      </c>
      <c r="O925" s="12">
        <f>ROUND(N925*'Methodology &amp; Assumptions'!$B$5, 0)</f>
        <v/>
      </c>
      <c r="P925" s="10" t="inlineStr">
        <is>
          <t>Single Carrier (Band n50, 100MHz TDD)</t>
        </is>
      </c>
      <c r="Q925" s="13">
        <f>ROUNDUP(O925/'Methodology &amp; Assumptions'!$B$6, 0)</f>
        <v/>
      </c>
      <c r="R925" s="13" t="n">
        <v>1</v>
      </c>
      <c r="S925" s="14" t="n">
        <v>0.97</v>
      </c>
      <c r="T925" s="14" t="n">
        <v>0.79</v>
      </c>
      <c r="U925" s="26">
        <f>IF(X925&gt;='Methodology &amp; Assumptions'!$B$7, "Tier 1 Critical GIDA (Score ≥ 50.0)", IF(X925&gt;='Methodology &amp; Assumptions'!$B$8, "Tier 2 High GIDA (Score 40.0–49.9)", "Tier 3 Moderate GIDA (Score &lt; 40.0)"))</f>
        <v/>
      </c>
      <c r="V925" s="26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W925" s="28" t="n">
        <v>0.109</v>
      </c>
      <c r="X925" s="14" t="n">
        <v>51.6</v>
      </c>
      <c r="Y925" s="14">
        <f>ROUND(MIN(100, (X925/69.91)*100), 2)</f>
        <v/>
      </c>
    </row>
    <row r="926">
      <c r="A926" s="10" t="n">
        <v>1</v>
      </c>
      <c r="B926" s="10" t="n">
        <v>922</v>
      </c>
      <c r="C926" s="10" t="n">
        <v>922</v>
      </c>
      <c r="D926" s="10" t="inlineStr">
        <is>
          <t>1380601164</t>
        </is>
      </c>
      <c r="E926" s="26" t="inlineStr">
        <is>
          <t>National Capital Region (NCR)</t>
        </is>
      </c>
      <c r="F926" s="26" t="inlineStr">
        <is>
          <t>First District (Not a Province)</t>
        </is>
      </c>
      <c r="G926" s="26" t="inlineStr">
        <is>
          <t>City of Manila</t>
        </is>
      </c>
      <c r="H926" s="26" t="inlineStr">
        <is>
          <t>Barangay 164</t>
        </is>
      </c>
      <c r="I926" s="27" t="n">
        <v>12.723091</v>
      </c>
      <c r="J926" s="27" t="n">
        <v>121.824653</v>
      </c>
      <c r="K926" s="10" t="inlineStr">
        <is>
          <t>U</t>
        </is>
      </c>
      <c r="L926" s="12" t="n">
        <v>1862</v>
      </c>
      <c r="M926" s="14" t="n">
        <v>3.9</v>
      </c>
      <c r="N926" s="12">
        <f>ROUND(L926/M926, 0)</f>
        <v/>
      </c>
      <c r="O926" s="12">
        <f>ROUND(N926*'Methodology &amp; Assumptions'!$B$5, 0)</f>
        <v/>
      </c>
      <c r="P926" s="10" t="inlineStr">
        <is>
          <t>Single Carrier (Band n50, 100MHz TDD)</t>
        </is>
      </c>
      <c r="Q926" s="13">
        <f>ROUNDUP(O926/'Methodology &amp; Assumptions'!$B$6, 0)</f>
        <v/>
      </c>
      <c r="R926" s="13" t="n">
        <v>1</v>
      </c>
      <c r="S926" s="14" t="n">
        <v>32.44</v>
      </c>
      <c r="T926" s="14" t="n">
        <v>31.23</v>
      </c>
      <c r="U926" s="26">
        <f>IF(X926&gt;='Methodology &amp; Assumptions'!$B$7, "Tier 1 Critical GIDA (Score ≥ 50.0)", IF(X926&gt;='Methodology &amp; Assumptions'!$B$8, "Tier 2 High GIDA (Score 40.0–49.9)", "Tier 3 Moderate GIDA (Score &lt; 40.0)"))</f>
        <v/>
      </c>
      <c r="V926" s="26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W926" s="28" t="n">
        <v>0.109</v>
      </c>
      <c r="X926" s="14" t="n">
        <v>51.6</v>
      </c>
      <c r="Y926" s="14">
        <f>ROUND(MIN(100, (X926/69.91)*100), 2)</f>
        <v/>
      </c>
    </row>
    <row r="927">
      <c r="A927" s="10" t="n">
        <v>1</v>
      </c>
      <c r="B927" s="10" t="n">
        <v>923</v>
      </c>
      <c r="C927" s="10" t="n">
        <v>923</v>
      </c>
      <c r="D927" s="10" t="inlineStr">
        <is>
          <t>PH0000923</t>
        </is>
      </c>
      <c r="E927" s="26" t="inlineStr">
        <is>
          <t>X</t>
        </is>
      </c>
      <c r="F927" s="26" t="inlineStr">
        <is>
          <t>Misamis Occidental</t>
        </is>
      </c>
      <c r="G927" s="26" t="inlineStr">
        <is>
          <t>Oroquieta City</t>
        </is>
      </c>
      <c r="H927" s="26" t="inlineStr">
        <is>
          <t>Sebucal</t>
        </is>
      </c>
      <c r="I927" s="27" t="n">
        <v>8.463009</v>
      </c>
      <c r="J927" s="27" t="n">
        <v>123.767505</v>
      </c>
      <c r="K927" s="10" t="inlineStr">
        <is>
          <t>R</t>
        </is>
      </c>
      <c r="L927" s="12" t="n">
        <v>2217</v>
      </c>
      <c r="M927" s="14" t="n">
        <v>3.9</v>
      </c>
      <c r="N927" s="12">
        <f>ROUND(L927/M927, 0)</f>
        <v/>
      </c>
      <c r="O927" s="12">
        <f>ROUND(N927*'Methodology &amp; Assumptions'!$B$5, 0)</f>
        <v/>
      </c>
      <c r="P927" s="10" t="inlineStr">
        <is>
          <t>Single Carrier (Band n50, 100MHz TDD)</t>
        </is>
      </c>
      <c r="Q927" s="13">
        <f>ROUNDUP(O927/'Methodology &amp; Assumptions'!$B$6, 0)</f>
        <v/>
      </c>
      <c r="R927" s="13" t="n">
        <v>1</v>
      </c>
      <c r="S927" s="14" t="n">
        <v>46.84</v>
      </c>
      <c r="T927" s="14" t="n">
        <v>39.72</v>
      </c>
      <c r="U927" s="26">
        <f>IF(X927&gt;='Methodology &amp; Assumptions'!$B$7, "Tier 1 Critical GIDA (Score ≥ 50.0)", IF(X927&gt;='Methodology &amp; Assumptions'!$B$8, "Tier 2 High GIDA (Score 40.0–49.9)", "Tier 3 Moderate GIDA (Score &lt; 40.0)"))</f>
        <v/>
      </c>
      <c r="V927" s="26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W927" s="28" t="n">
        <v>0.234</v>
      </c>
      <c r="X927" s="14" t="n">
        <v>51.58</v>
      </c>
      <c r="Y927" s="14">
        <f>ROUND(MIN(100, (X927/69.91)*100), 2)</f>
        <v/>
      </c>
    </row>
    <row r="928">
      <c r="A928" s="10" t="n">
        <v>1</v>
      </c>
      <c r="B928" s="10" t="n">
        <v>924</v>
      </c>
      <c r="C928" s="10" t="n">
        <v>924</v>
      </c>
      <c r="D928" s="10" t="inlineStr">
        <is>
          <t>1705305003</t>
        </is>
      </c>
      <c r="E928" s="26" t="inlineStr">
        <is>
          <t>MIMAROPA Region</t>
        </is>
      </c>
      <c r="F928" s="26" t="inlineStr">
        <is>
          <t>Palawan</t>
        </is>
      </c>
      <c r="G928" s="26" t="inlineStr">
        <is>
          <t>Bataraza</t>
        </is>
      </c>
      <c r="H928" s="26" t="inlineStr">
        <is>
          <t>Buliluyan</t>
        </is>
      </c>
      <c r="I928" s="27" t="n">
        <v>8.333133999999999</v>
      </c>
      <c r="J928" s="27" t="n">
        <v>117.201836</v>
      </c>
      <c r="K928" s="10" t="inlineStr">
        <is>
          <t>R</t>
        </is>
      </c>
      <c r="L928" s="12" t="n">
        <v>2478</v>
      </c>
      <c r="M928" s="14" t="n">
        <v>3.9</v>
      </c>
      <c r="N928" s="12">
        <f>ROUND(L928/M928, 0)</f>
        <v/>
      </c>
      <c r="O928" s="12">
        <f>ROUND(N928*'Methodology &amp; Assumptions'!$B$5, 0)</f>
        <v/>
      </c>
      <c r="P928" s="10" t="inlineStr">
        <is>
          <t>Single Carrier (Band n50, 100MHz TDD)</t>
        </is>
      </c>
      <c r="Q928" s="13">
        <f>ROUNDUP(O928/'Methodology &amp; Assumptions'!$B$6, 0)</f>
        <v/>
      </c>
      <c r="R928" s="13" t="n">
        <v>1</v>
      </c>
      <c r="S928" s="14" t="n">
        <v>229.75</v>
      </c>
      <c r="T928" s="14" t="n">
        <v>232.04</v>
      </c>
      <c r="U928" s="26">
        <f>IF(X928&gt;='Methodology &amp; Assumptions'!$B$7, "Tier 1 Critical GIDA (Score ≥ 50.0)", IF(X928&gt;='Methodology &amp; Assumptions'!$B$8, "Tier 2 High GIDA (Score 40.0–49.9)", "Tier 3 Moderate GIDA (Score &lt; 40.0)"))</f>
        <v/>
      </c>
      <c r="V928" s="26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W928" s="28" t="n">
        <v>0.15</v>
      </c>
      <c r="X928" s="14" t="n">
        <v>51.57</v>
      </c>
      <c r="Y928" s="14">
        <f>ROUND(MIN(100, (X928/69.91)*100), 2)</f>
        <v/>
      </c>
    </row>
    <row r="929">
      <c r="A929" s="10" t="n">
        <v>1</v>
      </c>
      <c r="B929" s="10" t="n">
        <v>925</v>
      </c>
      <c r="C929" s="10" t="n">
        <v>925</v>
      </c>
      <c r="D929" s="10" t="inlineStr">
        <is>
          <t>1102506007</t>
        </is>
      </c>
      <c r="E929" s="26" t="inlineStr">
        <is>
          <t>Region XI (Davao Region)</t>
        </is>
      </c>
      <c r="F929" s="26" t="inlineStr">
        <is>
          <t>Davao Oriental</t>
        </is>
      </c>
      <c r="G929" s="26" t="inlineStr">
        <is>
          <t>Governor Generoso</t>
        </is>
      </c>
      <c r="H929" s="26" t="inlineStr">
        <is>
          <t>Monserrat</t>
        </is>
      </c>
      <c r="I929" s="27" t="n">
        <v>6.60049</v>
      </c>
      <c r="J929" s="27" t="n">
        <v>126.090762</v>
      </c>
      <c r="K929" s="10" t="inlineStr">
        <is>
          <t>R</t>
        </is>
      </c>
      <c r="L929" s="12" t="n">
        <v>2052</v>
      </c>
      <c r="M929" s="14" t="n">
        <v>3.6</v>
      </c>
      <c r="N929" s="12">
        <f>ROUND(L929/M929, 0)</f>
        <v/>
      </c>
      <c r="O929" s="12">
        <f>ROUND(N929*'Methodology &amp; Assumptions'!$B$5, 0)</f>
        <v/>
      </c>
      <c r="P929" s="10" t="inlineStr">
        <is>
          <t>Single Carrier (Band n50, 100MHz TDD)</t>
        </is>
      </c>
      <c r="Q929" s="13">
        <f>ROUNDUP(O929/'Methodology &amp; Assumptions'!$B$6, 0)</f>
        <v/>
      </c>
      <c r="R929" s="13" t="n">
        <v>1</v>
      </c>
      <c r="S929" s="14" t="n">
        <v>34.01</v>
      </c>
      <c r="T929" s="14" t="n">
        <v>31.01</v>
      </c>
      <c r="U929" s="26">
        <f>IF(X929&gt;='Methodology &amp; Assumptions'!$B$7, "Tier 1 Critical GIDA (Score ≥ 50.0)", IF(X929&gt;='Methodology &amp; Assumptions'!$B$8, "Tier 2 High GIDA (Score 40.0–49.9)", "Tier 3 Moderate GIDA (Score &lt; 40.0)"))</f>
        <v/>
      </c>
      <c r="V929" s="26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W929" s="28" t="n">
        <v>0.174</v>
      </c>
      <c r="X929" s="14" t="n">
        <v>51.57</v>
      </c>
      <c r="Y929" s="14">
        <f>ROUND(MIN(100, (X929/69.91)*100), 2)</f>
        <v/>
      </c>
    </row>
    <row r="930">
      <c r="A930" s="10" t="n">
        <v>1</v>
      </c>
      <c r="B930" s="10" t="n">
        <v>926</v>
      </c>
      <c r="C930" s="10" t="n">
        <v>926</v>
      </c>
      <c r="D930" s="10" t="inlineStr">
        <is>
          <t>1381701001</t>
        </is>
      </c>
      <c r="E930" s="26" t="inlineStr">
        <is>
          <t>National Capital Region (NCR)</t>
        </is>
      </c>
      <c r="F930" s="26" t="inlineStr">
        <is>
          <t>Fourth District (Not a Province)</t>
        </is>
      </c>
      <c r="G930" s="26" t="inlineStr">
        <is>
          <t>Pateros</t>
        </is>
      </c>
      <c r="H930" s="26" t="inlineStr">
        <is>
          <t>Aguho</t>
        </is>
      </c>
      <c r="I930" s="27" t="n">
        <v>14.54402</v>
      </c>
      <c r="J930" s="27" t="n">
        <v>121.061538</v>
      </c>
      <c r="K930" s="10" t="inlineStr">
        <is>
          <t>U</t>
        </is>
      </c>
      <c r="L930" s="12" t="n">
        <v>7557</v>
      </c>
      <c r="M930" s="14" t="n">
        <v>3.8</v>
      </c>
      <c r="N930" s="12">
        <f>ROUND(L930/M930, 0)</f>
        <v/>
      </c>
      <c r="O930" s="12">
        <f>ROUND(N930*'Methodology &amp; Assumptions'!$B$5, 0)</f>
        <v/>
      </c>
      <c r="P930" s="10" t="inlineStr">
        <is>
          <t>Single Carrier (Band n50, 100MHz TDD)</t>
        </is>
      </c>
      <c r="Q930" s="13">
        <f>ROUNDUP(O930/'Methodology &amp; Assumptions'!$B$6, 0)</f>
        <v/>
      </c>
      <c r="R930" s="13" t="n">
        <v>1</v>
      </c>
      <c r="S930" s="14" t="n">
        <v>0.74</v>
      </c>
      <c r="T930" s="14" t="n">
        <v>0.21</v>
      </c>
      <c r="U930" s="26">
        <f>IF(X930&gt;='Methodology &amp; Assumptions'!$B$7, "Tier 1 Critical GIDA (Score ≥ 50.0)", IF(X930&gt;='Methodology &amp; Assumptions'!$B$8, "Tier 2 High GIDA (Score 40.0–49.9)", "Tier 3 Moderate GIDA (Score &lt; 40.0)"))</f>
        <v/>
      </c>
      <c r="V930" s="26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W930" s="28" t="n">
        <v>0.109</v>
      </c>
      <c r="X930" s="14" t="n">
        <v>51.56</v>
      </c>
      <c r="Y930" s="14">
        <f>ROUND(MIN(100, (X930/69.91)*100), 2)</f>
        <v/>
      </c>
    </row>
    <row r="931">
      <c r="A931" s="10" t="n">
        <v>1</v>
      </c>
      <c r="B931" s="10" t="n">
        <v>927</v>
      </c>
      <c r="C931" s="10" t="n">
        <v>927</v>
      </c>
      <c r="D931" s="10" t="inlineStr">
        <is>
          <t>1907009016</t>
        </is>
      </c>
      <c r="E931" s="26" t="inlineStr">
        <is>
          <t>Bangsamoro Autonomous Region In Muslim Mindanao (BARMM)</t>
        </is>
      </c>
      <c r="F931" s="26" t="inlineStr">
        <is>
          <t>Tawi-Tawi</t>
        </is>
      </c>
      <c r="G931" s="26" t="inlineStr">
        <is>
          <t>Languyan</t>
        </is>
      </c>
      <c r="H931" s="26" t="inlineStr">
        <is>
          <t>BasLikud</t>
        </is>
      </c>
      <c r="I931" s="27" t="n">
        <v>17.255767</v>
      </c>
      <c r="J931" s="27" t="n">
        <v>122.229811</v>
      </c>
      <c r="K931" s="10" t="inlineStr">
        <is>
          <t>R</t>
        </is>
      </c>
      <c r="L931" s="12" t="n">
        <v>1901</v>
      </c>
      <c r="M931" s="14" t="n">
        <v>5.8</v>
      </c>
      <c r="N931" s="12">
        <f>ROUND(L931/M931, 0)</f>
        <v/>
      </c>
      <c r="O931" s="12">
        <f>ROUND(N931*'Methodology &amp; Assumptions'!$B$5, 0)</f>
        <v/>
      </c>
      <c r="P931" s="10" t="inlineStr">
        <is>
          <t>Single Carrier (Band n50, 100MHz TDD)</t>
        </is>
      </c>
      <c r="Q931" s="13">
        <f>ROUNDUP(O931/'Methodology &amp; Assumptions'!$B$6, 0)</f>
        <v/>
      </c>
      <c r="R931" s="13" t="n">
        <v>1</v>
      </c>
      <c r="S931" s="14" t="n">
        <v>29.56</v>
      </c>
      <c r="T931" s="14" t="n">
        <v>34.42</v>
      </c>
      <c r="U931" s="26">
        <f>IF(X931&gt;='Methodology &amp; Assumptions'!$B$7, "Tier 1 Critical GIDA (Score ≥ 50.0)", IF(X931&gt;='Methodology &amp; Assumptions'!$B$8, "Tier 2 High GIDA (Score 40.0–49.9)", "Tier 3 Moderate GIDA (Score &lt; 40.0)"))</f>
        <v/>
      </c>
      <c r="V931" s="26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W931" s="28" t="n">
        <v>0.11</v>
      </c>
      <c r="X931" s="14" t="n">
        <v>51.56</v>
      </c>
      <c r="Y931" s="14">
        <f>ROUND(MIN(100, (X931/69.91)*100), 2)</f>
        <v/>
      </c>
    </row>
    <row r="932">
      <c r="A932" s="10" t="n">
        <v>1</v>
      </c>
      <c r="B932" s="10" t="n">
        <v>928</v>
      </c>
      <c r="C932" s="10" t="n">
        <v>928</v>
      </c>
      <c r="D932" s="10" t="inlineStr">
        <is>
          <t>1208005019</t>
        </is>
      </c>
      <c r="E932" s="26" t="inlineStr">
        <is>
          <t>Region XII (SOCCSKSARGEN)</t>
        </is>
      </c>
      <c r="F932" s="26" t="inlineStr">
        <is>
          <t>Sarangani</t>
        </is>
      </c>
      <c r="G932" s="26" t="inlineStr">
        <is>
          <t>Maitum</t>
        </is>
      </c>
      <c r="H932" s="26" t="inlineStr">
        <is>
          <t>Zion</t>
        </is>
      </c>
      <c r="I932" s="27" t="n">
        <v>6.085482</v>
      </c>
      <c r="J932" s="27" t="n">
        <v>124.528638</v>
      </c>
      <c r="K932" s="10" t="inlineStr">
        <is>
          <t>R</t>
        </is>
      </c>
      <c r="L932" s="12" t="n">
        <v>1705</v>
      </c>
      <c r="M932" s="14" t="n">
        <v>3.9</v>
      </c>
      <c r="N932" s="12">
        <f>ROUND(L932/M932, 0)</f>
        <v/>
      </c>
      <c r="O932" s="12">
        <f>ROUND(N932*'Methodology &amp; Assumptions'!$B$5, 0)</f>
        <v/>
      </c>
      <c r="P932" s="10" t="inlineStr">
        <is>
          <t>Single Carrier (Band n50, 100MHz TDD)</t>
        </is>
      </c>
      <c r="Q932" s="13">
        <f>ROUNDUP(O932/'Methodology &amp; Assumptions'!$B$6, 0)</f>
        <v/>
      </c>
      <c r="R932" s="13" t="n">
        <v>1</v>
      </c>
      <c r="S932" s="14" t="n">
        <v>53.89</v>
      </c>
      <c r="T932" s="14" t="n">
        <v>52.99</v>
      </c>
      <c r="U932" s="26">
        <f>IF(X932&gt;='Methodology &amp; Assumptions'!$B$7, "Tier 1 Critical GIDA (Score ≥ 50.0)", IF(X932&gt;='Methodology &amp; Assumptions'!$B$8, "Tier 2 High GIDA (Score 40.0–49.9)", "Tier 3 Moderate GIDA (Score &lt; 40.0)"))</f>
        <v/>
      </c>
      <c r="V932" s="26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W932" s="28" t="n">
        <v>0.174</v>
      </c>
      <c r="X932" s="14" t="n">
        <v>51.56</v>
      </c>
      <c r="Y932" s="14">
        <f>ROUND(MIN(100, (X932/69.91)*100), 2)</f>
        <v/>
      </c>
    </row>
    <row r="933">
      <c r="A933" s="10" t="n">
        <v>1</v>
      </c>
      <c r="B933" s="10" t="n">
        <v>929</v>
      </c>
      <c r="C933" s="10" t="n">
        <v>929</v>
      </c>
      <c r="D933" s="10" t="inlineStr">
        <is>
          <t>1381200002</t>
        </is>
      </c>
      <c r="E933" s="26" t="inlineStr">
        <is>
          <t>National Capital Region (NCR)</t>
        </is>
      </c>
      <c r="F933" s="26" t="inlineStr">
        <is>
          <t>Second District (Not a Province)</t>
        </is>
      </c>
      <c r="G933" s="26" t="inlineStr">
        <is>
          <t>City of Pasig</t>
        </is>
      </c>
      <c r="H933" s="26" t="inlineStr">
        <is>
          <t>Bagong Katipunan</t>
        </is>
      </c>
      <c r="I933" s="27" t="n">
        <v>14.576227</v>
      </c>
      <c r="J933" s="27" t="n">
        <v>121.079723</v>
      </c>
      <c r="K933" s="10" t="inlineStr">
        <is>
          <t>U</t>
        </is>
      </c>
      <c r="L933" s="12" t="n">
        <v>934</v>
      </c>
      <c r="M933" s="14" t="n">
        <v>3.4</v>
      </c>
      <c r="N933" s="12">
        <f>ROUND(L933/M933, 0)</f>
        <v/>
      </c>
      <c r="O933" s="12">
        <f>ROUND(N933*'Methodology &amp; Assumptions'!$B$5, 0)</f>
        <v/>
      </c>
      <c r="P933" s="10" t="inlineStr">
        <is>
          <t>Single Carrier (Band n50, 100MHz TDD)</t>
        </is>
      </c>
      <c r="Q933" s="13">
        <f>ROUNDUP(O933/'Methodology &amp; Assumptions'!$B$6, 0)</f>
        <v/>
      </c>
      <c r="R933" s="13" t="n">
        <v>1</v>
      </c>
      <c r="S933" s="14" t="n">
        <v>0.53</v>
      </c>
      <c r="T933" s="14" t="n">
        <v>0.54</v>
      </c>
      <c r="U933" s="26">
        <f>IF(X933&gt;='Methodology &amp; Assumptions'!$B$7, "Tier 1 Critical GIDA (Score ≥ 50.0)", IF(X933&gt;='Methodology &amp; Assumptions'!$B$8, "Tier 2 High GIDA (Score 40.0–49.9)", "Tier 3 Moderate GIDA (Score &lt; 40.0)"))</f>
        <v/>
      </c>
      <c r="V933" s="26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W933" s="28" t="n">
        <v>0.109</v>
      </c>
      <c r="X933" s="14" t="n">
        <v>51.55</v>
      </c>
      <c r="Y933" s="14">
        <f>ROUND(MIN(100, (X933/69.91)*100), 2)</f>
        <v/>
      </c>
    </row>
    <row r="934">
      <c r="A934" s="10" t="n">
        <v>1</v>
      </c>
      <c r="B934" s="10" t="n">
        <v>930</v>
      </c>
      <c r="C934" s="10" t="n">
        <v>930</v>
      </c>
      <c r="D934" s="10" t="inlineStr">
        <is>
          <t>1380601092</t>
        </is>
      </c>
      <c r="E934" s="26" t="inlineStr">
        <is>
          <t>National Capital Region (NCR)</t>
        </is>
      </c>
      <c r="F934" s="26" t="inlineStr">
        <is>
          <t>First District (Not a Province)</t>
        </is>
      </c>
      <c r="G934" s="26" t="inlineStr">
        <is>
          <t>City of Manila</t>
        </is>
      </c>
      <c r="H934" s="26" t="inlineStr">
        <is>
          <t>Barangay 92</t>
        </is>
      </c>
      <c r="I934" s="27" t="n">
        <v>12.962479</v>
      </c>
      <c r="J934" s="27" t="n">
        <v>121.626922</v>
      </c>
      <c r="K934" s="10" t="inlineStr">
        <is>
          <t>U</t>
        </is>
      </c>
      <c r="L934" s="12" t="n">
        <v>2719</v>
      </c>
      <c r="M934" s="14" t="n">
        <v>3.9</v>
      </c>
      <c r="N934" s="12">
        <f>ROUND(L934/M934, 0)</f>
        <v/>
      </c>
      <c r="O934" s="12">
        <f>ROUND(N934*'Methodology &amp; Assumptions'!$B$5, 0)</f>
        <v/>
      </c>
      <c r="P934" s="10" t="inlineStr">
        <is>
          <t>Single Carrier (Band n50, 100MHz TDD)</t>
        </is>
      </c>
      <c r="Q934" s="13">
        <f>ROUNDUP(O934/'Methodology &amp; Assumptions'!$B$6, 0)</f>
        <v/>
      </c>
      <c r="R934" s="13" t="n">
        <v>1</v>
      </c>
      <c r="S934" s="14" t="n">
        <v>16.19</v>
      </c>
      <c r="T934" s="14" t="n">
        <v>16.18</v>
      </c>
      <c r="U934" s="26">
        <f>IF(X934&gt;='Methodology &amp; Assumptions'!$B$7, "Tier 1 Critical GIDA (Score ≥ 50.0)", IF(X934&gt;='Methodology &amp; Assumptions'!$B$8, "Tier 2 High GIDA (Score 40.0–49.9)", "Tier 3 Moderate GIDA (Score &lt; 40.0)"))</f>
        <v/>
      </c>
      <c r="V934" s="26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W934" s="28" t="n">
        <v>0.109</v>
      </c>
      <c r="X934" s="14" t="n">
        <v>51.55</v>
      </c>
      <c r="Y934" s="14">
        <f>ROUND(MIN(100, (X934/69.91)*100), 2)</f>
        <v/>
      </c>
    </row>
    <row r="935">
      <c r="A935" s="10" t="n">
        <v>1</v>
      </c>
      <c r="B935" s="10" t="n">
        <v>931</v>
      </c>
      <c r="C935" s="10" t="n">
        <v>931</v>
      </c>
      <c r="D935" s="10" t="inlineStr">
        <is>
          <t>1380601026</t>
        </is>
      </c>
      <c r="E935" s="26" t="inlineStr">
        <is>
          <t>National Capital Region (NCR)</t>
        </is>
      </c>
      <c r="F935" s="26" t="inlineStr">
        <is>
          <t>First District (Not a Province)</t>
        </is>
      </c>
      <c r="G935" s="26" t="inlineStr">
        <is>
          <t>City of Manila</t>
        </is>
      </c>
      <c r="H935" s="26" t="inlineStr">
        <is>
          <t>Barangay 26</t>
        </is>
      </c>
      <c r="I935" s="27" t="n">
        <v>12.915826</v>
      </c>
      <c r="J935" s="27" t="n">
        <v>121.941157</v>
      </c>
      <c r="K935" s="10" t="inlineStr">
        <is>
          <t>U</t>
        </is>
      </c>
      <c r="L935" s="12" t="n">
        <v>2633</v>
      </c>
      <c r="M935" s="14" t="n">
        <v>3.9</v>
      </c>
      <c r="N935" s="12">
        <f>ROUND(L935/M935, 0)</f>
        <v/>
      </c>
      <c r="O935" s="12">
        <f>ROUND(N935*'Methodology &amp; Assumptions'!$B$5, 0)</f>
        <v/>
      </c>
      <c r="P935" s="10" t="inlineStr">
        <is>
          <t>Single Carrier (Band n50, 100MHz TDD)</t>
        </is>
      </c>
      <c r="Q935" s="13">
        <f>ROUNDUP(O935/'Methodology &amp; Assumptions'!$B$6, 0)</f>
        <v/>
      </c>
      <c r="R935" s="13" t="n">
        <v>1</v>
      </c>
      <c r="S935" s="14" t="n">
        <v>49.89</v>
      </c>
      <c r="T935" s="14" t="n">
        <v>50.43</v>
      </c>
      <c r="U935" s="26">
        <f>IF(X935&gt;='Methodology &amp; Assumptions'!$B$7, "Tier 1 Critical GIDA (Score ≥ 50.0)", IF(X935&gt;='Methodology &amp; Assumptions'!$B$8, "Tier 2 High GIDA (Score 40.0–49.9)", "Tier 3 Moderate GIDA (Score &lt; 40.0)"))</f>
        <v/>
      </c>
      <c r="V935" s="26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W935" s="28" t="n">
        <v>0.109</v>
      </c>
      <c r="X935" s="14" t="n">
        <v>51.5</v>
      </c>
      <c r="Y935" s="14">
        <f>ROUND(MIN(100, (X935/69.91)*100), 2)</f>
        <v/>
      </c>
    </row>
    <row r="936">
      <c r="A936" s="10" t="n">
        <v>1</v>
      </c>
      <c r="B936" s="10" t="n">
        <v>932</v>
      </c>
      <c r="C936" s="10" t="n">
        <v>932</v>
      </c>
      <c r="D936" s="10" t="inlineStr">
        <is>
          <t>0502002027</t>
        </is>
      </c>
      <c r="E936" s="26" t="inlineStr">
        <is>
          <t>Region V (Bicol Region)</t>
        </is>
      </c>
      <c r="F936" s="26" t="inlineStr">
        <is>
          <t>Catanduanes</t>
        </is>
      </c>
      <c r="G936" s="26" t="inlineStr">
        <is>
          <t>Baras</t>
        </is>
      </c>
      <c r="H936" s="26" t="inlineStr">
        <is>
          <t>Santa Maria</t>
        </is>
      </c>
      <c r="I936" s="27" t="n">
        <v>13.699944</v>
      </c>
      <c r="J936" s="27" t="n">
        <v>124.389753</v>
      </c>
      <c r="K936" s="10" t="inlineStr">
        <is>
          <t>R</t>
        </is>
      </c>
      <c r="L936" s="12" t="n">
        <v>185</v>
      </c>
      <c r="M936" s="14" t="n">
        <v>4.2</v>
      </c>
      <c r="N936" s="12">
        <f>ROUND(L936/M936, 0)</f>
        <v/>
      </c>
      <c r="O936" s="12">
        <f>ROUND(N936*'Methodology &amp; Assumptions'!$B$5, 0)</f>
        <v/>
      </c>
      <c r="P936" s="10" t="inlineStr">
        <is>
          <t>Single Carrier (Band n50, 100MHz TDD)</t>
        </is>
      </c>
      <c r="Q936" s="13">
        <f>ROUNDUP(O936/'Methodology &amp; Assumptions'!$B$6, 0)</f>
        <v/>
      </c>
      <c r="R936" s="13" t="n">
        <v>1</v>
      </c>
      <c r="S936" s="14" t="n">
        <v>57.45</v>
      </c>
      <c r="T936" s="14" t="n">
        <v>80.61</v>
      </c>
      <c r="U936" s="26">
        <f>IF(X936&gt;='Methodology &amp; Assumptions'!$B$7, "Tier 1 Critical GIDA (Score ≥ 50.0)", IF(X936&gt;='Methodology &amp; Assumptions'!$B$8, "Tier 2 High GIDA (Score 40.0–49.9)", "Tier 3 Moderate GIDA (Score &lt; 40.0)"))</f>
        <v/>
      </c>
      <c r="V936" s="26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W936" s="28" t="n">
        <v>0.237</v>
      </c>
      <c r="X936" s="14" t="n">
        <v>51.49</v>
      </c>
      <c r="Y936" s="14">
        <f>ROUND(MIN(100, (X936/69.91)*100), 2)</f>
        <v/>
      </c>
    </row>
    <row r="937">
      <c r="A937" s="10" t="n">
        <v>1</v>
      </c>
      <c r="B937" s="10" t="n">
        <v>933</v>
      </c>
      <c r="C937" s="10" t="n">
        <v>933</v>
      </c>
      <c r="D937" s="10" t="inlineStr">
        <is>
          <t>PH0000933</t>
        </is>
      </c>
      <c r="E937" s="26" t="inlineStr">
        <is>
          <t>VI</t>
        </is>
      </c>
      <c r="F937" s="26" t="inlineStr">
        <is>
          <t>Iloilo</t>
        </is>
      </c>
      <c r="G937" s="26" t="inlineStr">
        <is>
          <t>Iloilo City</t>
        </is>
      </c>
      <c r="H937" s="26" t="inlineStr">
        <is>
          <t>Tap-oc</t>
        </is>
      </c>
      <c r="I937" s="27" t="n">
        <v>10.62173</v>
      </c>
      <c r="J937" s="27" t="n">
        <v>122.608095</v>
      </c>
      <c r="K937" s="10" t="inlineStr">
        <is>
          <t>R</t>
        </is>
      </c>
      <c r="L937" s="12" t="n">
        <v>2230</v>
      </c>
      <c r="M937" s="14" t="n">
        <v>3.8</v>
      </c>
      <c r="N937" s="12">
        <f>ROUND(L937/M937, 0)</f>
        <v/>
      </c>
      <c r="O937" s="12">
        <f>ROUND(N937*'Methodology &amp; Assumptions'!$B$5, 0)</f>
        <v/>
      </c>
      <c r="P937" s="10" t="inlineStr">
        <is>
          <t>Single Carrier (Band n50, 100MHz TDD)</t>
        </is>
      </c>
      <c r="Q937" s="13">
        <f>ROUNDUP(O937/'Methodology &amp; Assumptions'!$B$6, 0)</f>
        <v/>
      </c>
      <c r="R937" s="13" t="n">
        <v>1</v>
      </c>
      <c r="S937" s="14" t="n">
        <v>10.48</v>
      </c>
      <c r="T937" s="14" t="n">
        <v>9.82</v>
      </c>
      <c r="U937" s="26">
        <f>IF(X937&gt;='Methodology &amp; Assumptions'!$B$7, "Tier 1 Critical GIDA (Score ≥ 50.0)", IF(X937&gt;='Methodology &amp; Assumptions'!$B$8, "Tier 2 High GIDA (Score 40.0–49.9)", "Tier 3 Moderate GIDA (Score &lt; 40.0)"))</f>
        <v/>
      </c>
      <c r="V937" s="26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W937" s="28" t="n">
        <v>0.156</v>
      </c>
      <c r="X937" s="14" t="n">
        <v>51.49</v>
      </c>
      <c r="Y937" s="14">
        <f>ROUND(MIN(100, (X937/69.91)*100), 2)</f>
        <v/>
      </c>
    </row>
    <row r="938">
      <c r="A938" s="10" t="n">
        <v>1</v>
      </c>
      <c r="B938" s="10" t="n">
        <v>934</v>
      </c>
      <c r="C938" s="10" t="n">
        <v>934</v>
      </c>
      <c r="D938" s="10" t="inlineStr">
        <is>
          <t>PH0000934</t>
        </is>
      </c>
      <c r="E938" s="26" t="inlineStr">
        <is>
          <t>VIII</t>
        </is>
      </c>
      <c r="F938" s="26" t="inlineStr">
        <is>
          <t>Leyte</t>
        </is>
      </c>
      <c r="G938" s="26" t="inlineStr">
        <is>
          <t>Tacloban City</t>
        </is>
      </c>
      <c r="H938" s="26" t="inlineStr">
        <is>
          <t>Barangay 35</t>
        </is>
      </c>
      <c r="I938" s="27" t="n">
        <v>11.248285</v>
      </c>
      <c r="J938" s="27" t="n">
        <v>124.99454</v>
      </c>
      <c r="K938" s="10" t="inlineStr">
        <is>
          <t>R</t>
        </is>
      </c>
      <c r="L938" s="12" t="n">
        <v>2258</v>
      </c>
      <c r="M938" s="14" t="n">
        <v>3.8</v>
      </c>
      <c r="N938" s="12">
        <f>ROUND(L938/M938, 0)</f>
        <v/>
      </c>
      <c r="O938" s="12">
        <f>ROUND(N938*'Methodology &amp; Assumptions'!$B$5, 0)</f>
        <v/>
      </c>
      <c r="P938" s="10" t="inlineStr">
        <is>
          <t>Single Carrier (Band n50, 100MHz TDD)</t>
        </is>
      </c>
      <c r="Q938" s="13">
        <f>ROUNDUP(O938/'Methodology &amp; Assumptions'!$B$6, 0)</f>
        <v/>
      </c>
      <c r="R938" s="13" t="n">
        <v>1</v>
      </c>
      <c r="S938" s="14" t="n">
        <v>1.29</v>
      </c>
      <c r="T938" s="14" t="n">
        <v>4.3</v>
      </c>
      <c r="U938" s="26">
        <f>IF(X938&gt;='Methodology &amp; Assumptions'!$B$7, "Tier 1 Critical GIDA (Score ≥ 50.0)", IF(X938&gt;='Methodology &amp; Assumptions'!$B$8, "Tier 2 High GIDA (Score 40.0–49.9)", "Tier 3 Moderate GIDA (Score &lt; 40.0)"))</f>
        <v/>
      </c>
      <c r="V938" s="26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W938" s="28" t="n">
        <v>0.222</v>
      </c>
      <c r="X938" s="14" t="n">
        <v>51.48</v>
      </c>
      <c r="Y938" s="14">
        <f>ROUND(MIN(100, (X938/69.91)*100), 2)</f>
        <v/>
      </c>
    </row>
    <row r="939">
      <c r="A939" s="10" t="n">
        <v>1</v>
      </c>
      <c r="B939" s="10" t="n">
        <v>935</v>
      </c>
      <c r="C939" s="10" t="n">
        <v>935</v>
      </c>
      <c r="D939" s="10" t="inlineStr">
        <is>
          <t>PH0000935</t>
        </is>
      </c>
      <c r="E939" s="26" t="inlineStr">
        <is>
          <t>VI</t>
        </is>
      </c>
      <c r="F939" s="26" t="inlineStr">
        <is>
          <t>Iloilo</t>
        </is>
      </c>
      <c r="G939" s="26" t="inlineStr">
        <is>
          <t>Iloilo City</t>
        </is>
      </c>
      <c r="H939" s="26" t="inlineStr">
        <is>
          <t>South Baluarte</t>
        </is>
      </c>
      <c r="I939" s="27" t="n">
        <v>10.740592</v>
      </c>
      <c r="J939" s="27" t="n">
        <v>122.44227</v>
      </c>
      <c r="K939" s="10" t="inlineStr">
        <is>
          <t>R</t>
        </is>
      </c>
      <c r="L939" s="12" t="n">
        <v>2230</v>
      </c>
      <c r="M939" s="14" t="n">
        <v>3.8</v>
      </c>
      <c r="N939" s="12">
        <f>ROUND(L939/M939, 0)</f>
        <v/>
      </c>
      <c r="O939" s="12">
        <f>ROUND(N939*'Methodology &amp; Assumptions'!$B$5, 0)</f>
        <v/>
      </c>
      <c r="P939" s="10" t="inlineStr">
        <is>
          <t>Single Carrier (Band n50, 100MHz TDD)</t>
        </is>
      </c>
      <c r="Q939" s="13">
        <f>ROUNDUP(O939/'Methodology &amp; Assumptions'!$B$6, 0)</f>
        <v/>
      </c>
      <c r="R939" s="13" t="n">
        <v>1</v>
      </c>
      <c r="S939" s="14" t="n">
        <v>6.72</v>
      </c>
      <c r="T939" s="14" t="n">
        <v>4.22</v>
      </c>
      <c r="U939" s="26">
        <f>IF(X939&gt;='Methodology &amp; Assumptions'!$B$7, "Tier 1 Critical GIDA (Score ≥ 50.0)", IF(X939&gt;='Methodology &amp; Assumptions'!$B$8, "Tier 2 High GIDA (Score 40.0–49.9)", "Tier 3 Moderate GIDA (Score &lt; 40.0)"))</f>
        <v/>
      </c>
      <c r="V939" s="26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W939" s="28" t="n">
        <v>0.156</v>
      </c>
      <c r="X939" s="14" t="n">
        <v>51.48</v>
      </c>
      <c r="Y939" s="14">
        <f>ROUND(MIN(100, (X939/69.91)*100), 2)</f>
        <v/>
      </c>
    </row>
    <row r="940">
      <c r="A940" s="10" t="n">
        <v>1</v>
      </c>
      <c r="B940" s="10" t="n">
        <v>936</v>
      </c>
      <c r="C940" s="10" t="n">
        <v>936</v>
      </c>
      <c r="D940" s="10" t="inlineStr">
        <is>
          <t>1380612038</t>
        </is>
      </c>
      <c r="E940" s="26" t="inlineStr">
        <is>
          <t>National Capital Region (NCR)</t>
        </is>
      </c>
      <c r="F940" s="26" t="inlineStr">
        <is>
          <t>First District (Not a Province)</t>
        </is>
      </c>
      <c r="G940" s="26" t="inlineStr">
        <is>
          <t>City of Manila</t>
        </is>
      </c>
      <c r="H940" s="26" t="inlineStr">
        <is>
          <t>Barangay 872</t>
        </is>
      </c>
      <c r="I940" s="27" t="n">
        <v>12.741871</v>
      </c>
      <c r="J940" s="27" t="n">
        <v>121.675001</v>
      </c>
      <c r="K940" s="10" t="inlineStr">
        <is>
          <t>U</t>
        </is>
      </c>
      <c r="L940" s="12" t="n">
        <v>1921</v>
      </c>
      <c r="M940" s="14" t="n">
        <v>3.9</v>
      </c>
      <c r="N940" s="12">
        <f>ROUND(L940/M940, 0)</f>
        <v/>
      </c>
      <c r="O940" s="12">
        <f>ROUND(N940*'Methodology &amp; Assumptions'!$B$5, 0)</f>
        <v/>
      </c>
      <c r="P940" s="10" t="inlineStr">
        <is>
          <t>Single Carrier (Band n50, 100MHz TDD)</t>
        </is>
      </c>
      <c r="Q940" s="13">
        <f>ROUNDUP(O940/'Methodology &amp; Assumptions'!$B$6, 0)</f>
        <v/>
      </c>
      <c r="R940" s="13" t="n">
        <v>1</v>
      </c>
      <c r="S940" s="14" t="n">
        <v>20.35</v>
      </c>
      <c r="T940" s="14" t="n">
        <v>20.31</v>
      </c>
      <c r="U940" s="26">
        <f>IF(X940&gt;='Methodology &amp; Assumptions'!$B$7, "Tier 1 Critical GIDA (Score ≥ 50.0)", IF(X940&gt;='Methodology &amp; Assumptions'!$B$8, "Tier 2 High GIDA (Score 40.0–49.9)", "Tier 3 Moderate GIDA (Score &lt; 40.0)"))</f>
        <v/>
      </c>
      <c r="V940" s="26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W940" s="28" t="n">
        <v>0.109</v>
      </c>
      <c r="X940" s="14" t="n">
        <v>51.48</v>
      </c>
      <c r="Y940" s="14">
        <f>ROUND(MIN(100, (X940/69.91)*100), 2)</f>
        <v/>
      </c>
    </row>
    <row r="941">
      <c r="A941" s="10" t="n">
        <v>1</v>
      </c>
      <c r="B941" s="10" t="n">
        <v>937</v>
      </c>
      <c r="C941" s="10" t="n">
        <v>937</v>
      </c>
      <c r="D941" s="10" t="inlineStr">
        <is>
          <t>PH0000937</t>
        </is>
      </c>
      <c r="E941" s="26" t="inlineStr">
        <is>
          <t>IV-B</t>
        </is>
      </c>
      <c r="F941" s="26" t="inlineStr">
        <is>
          <t>Palawan</t>
        </is>
      </c>
      <c r="G941" s="26" t="inlineStr">
        <is>
          <t>Puerto Princesa City</t>
        </is>
      </c>
      <c r="H941" s="26" t="inlineStr">
        <is>
          <t>Montible (Pob.)</t>
        </is>
      </c>
      <c r="I941" s="27" t="n">
        <v>9.872994</v>
      </c>
      <c r="J941" s="27" t="n">
        <v>118.761941</v>
      </c>
      <c r="K941" s="10" t="inlineStr">
        <is>
          <t>R</t>
        </is>
      </c>
      <c r="L941" s="12" t="n">
        <v>2597</v>
      </c>
      <c r="M941" s="14" t="n">
        <v>3.9</v>
      </c>
      <c r="N941" s="12">
        <f>ROUND(L941/M941, 0)</f>
        <v/>
      </c>
      <c r="O941" s="12">
        <f>ROUND(N941*'Methodology &amp; Assumptions'!$B$5, 0)</f>
        <v/>
      </c>
      <c r="P941" s="10" t="inlineStr">
        <is>
          <t>Single Carrier (Band n50, 100MHz TDD)</t>
        </is>
      </c>
      <c r="Q941" s="13">
        <f>ROUNDUP(O941/'Methodology &amp; Assumptions'!$B$6, 0)</f>
        <v/>
      </c>
      <c r="R941" s="13" t="n">
        <v>1</v>
      </c>
      <c r="S941" s="14" t="n">
        <v>4.71</v>
      </c>
      <c r="T941" s="14" t="n">
        <v>3.08</v>
      </c>
      <c r="U941" s="26">
        <f>IF(X941&gt;='Methodology &amp; Assumptions'!$B$7, "Tier 1 Critical GIDA (Score ≥ 50.0)", IF(X941&gt;='Methodology &amp; Assumptions'!$B$8, "Tier 2 High GIDA (Score 40.0–49.9)", "Tier 3 Moderate GIDA (Score &lt; 40.0)"))</f>
        <v/>
      </c>
      <c r="V941" s="26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W941" s="28" t="n">
        <v>0.109</v>
      </c>
      <c r="X941" s="14" t="n">
        <v>51.48</v>
      </c>
      <c r="Y941" s="14">
        <f>ROUND(MIN(100, (X941/69.91)*100), 2)</f>
        <v/>
      </c>
    </row>
    <row r="942">
      <c r="A942" s="10" t="n">
        <v>1</v>
      </c>
      <c r="B942" s="10" t="n">
        <v>938</v>
      </c>
      <c r="C942" s="10" t="n">
        <v>938</v>
      </c>
      <c r="D942" s="10" t="inlineStr">
        <is>
          <t>1380601045</t>
        </is>
      </c>
      <c r="E942" s="26" t="inlineStr">
        <is>
          <t>National Capital Region (NCR)</t>
        </is>
      </c>
      <c r="F942" s="26" t="inlineStr">
        <is>
          <t>First District (Not a Province)</t>
        </is>
      </c>
      <c r="G942" s="26" t="inlineStr">
        <is>
          <t>City of Manila</t>
        </is>
      </c>
      <c r="H942" s="26" t="inlineStr">
        <is>
          <t>Barangay 45</t>
        </is>
      </c>
      <c r="I942" s="27" t="n">
        <v>13.047856</v>
      </c>
      <c r="J942" s="27" t="n">
        <v>121.75129</v>
      </c>
      <c r="K942" s="10" t="inlineStr">
        <is>
          <t>U</t>
        </is>
      </c>
      <c r="L942" s="12" t="n">
        <v>2333</v>
      </c>
      <c r="M942" s="14" t="n">
        <v>3.9</v>
      </c>
      <c r="N942" s="12">
        <f>ROUND(L942/M942, 0)</f>
        <v/>
      </c>
      <c r="O942" s="12">
        <f>ROUND(N942*'Methodology &amp; Assumptions'!$B$5, 0)</f>
        <v/>
      </c>
      <c r="P942" s="10" t="inlineStr">
        <is>
          <t>Single Carrier (Band n50, 100MHz TDD)</t>
        </is>
      </c>
      <c r="Q942" s="13">
        <f>ROUNDUP(O942/'Methodology &amp; Assumptions'!$B$6, 0)</f>
        <v/>
      </c>
      <c r="R942" s="13" t="n">
        <v>1</v>
      </c>
      <c r="S942" s="14" t="n">
        <v>26.56</v>
      </c>
      <c r="T942" s="14" t="n">
        <v>29.43</v>
      </c>
      <c r="U942" s="26">
        <f>IF(X942&gt;='Methodology &amp; Assumptions'!$B$7, "Tier 1 Critical GIDA (Score ≥ 50.0)", IF(X942&gt;='Methodology &amp; Assumptions'!$B$8, "Tier 2 High GIDA (Score 40.0–49.9)", "Tier 3 Moderate GIDA (Score &lt; 40.0)"))</f>
        <v/>
      </c>
      <c r="V942" s="26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W942" s="28" t="n">
        <v>0.109</v>
      </c>
      <c r="X942" s="14" t="n">
        <v>51.48</v>
      </c>
      <c r="Y942" s="14">
        <f>ROUND(MIN(100, (X942/69.91)*100), 2)</f>
        <v/>
      </c>
    </row>
    <row r="943">
      <c r="A943" s="10" t="n">
        <v>1</v>
      </c>
      <c r="B943" s="10" t="n">
        <v>939</v>
      </c>
      <c r="C943" s="10" t="n">
        <v>939</v>
      </c>
      <c r="D943" s="10" t="inlineStr">
        <is>
          <t>1380604006</t>
        </is>
      </c>
      <c r="E943" s="26" t="inlineStr">
        <is>
          <t>National Capital Region (NCR)</t>
        </is>
      </c>
      <c r="F943" s="26" t="inlineStr">
        <is>
          <t>First District (Not a Province)</t>
        </is>
      </c>
      <c r="G943" s="26" t="inlineStr">
        <is>
          <t>City of Manila</t>
        </is>
      </c>
      <c r="H943" s="26" t="inlineStr">
        <is>
          <t>Barangay 273</t>
        </is>
      </c>
      <c r="I943" s="27" t="n">
        <v>12.769811</v>
      </c>
      <c r="J943" s="27" t="n">
        <v>121.908341</v>
      </c>
      <c r="K943" s="10" t="inlineStr">
        <is>
          <t>U</t>
        </is>
      </c>
      <c r="L943" s="12" t="n">
        <v>850</v>
      </c>
      <c r="M943" s="14" t="n">
        <v>3.9</v>
      </c>
      <c r="N943" s="12">
        <f>ROUND(L943/M943, 0)</f>
        <v/>
      </c>
      <c r="O943" s="12">
        <f>ROUND(N943*'Methodology &amp; Assumptions'!$B$5, 0)</f>
        <v/>
      </c>
      <c r="P943" s="10" t="inlineStr">
        <is>
          <t>Single Carrier (Band n50, 100MHz TDD)</t>
        </is>
      </c>
      <c r="Q943" s="13">
        <f>ROUNDUP(O943/'Methodology &amp; Assumptions'!$B$6, 0)</f>
        <v/>
      </c>
      <c r="R943" s="13" t="n">
        <v>1</v>
      </c>
      <c r="S943" s="14" t="n">
        <v>42.86</v>
      </c>
      <c r="T943" s="14" t="n">
        <v>41.66</v>
      </c>
      <c r="U943" s="26">
        <f>IF(X943&gt;='Methodology &amp; Assumptions'!$B$7, "Tier 1 Critical GIDA (Score ≥ 50.0)", IF(X943&gt;='Methodology &amp; Assumptions'!$B$8, "Tier 2 High GIDA (Score 40.0–49.9)", "Tier 3 Moderate GIDA (Score &lt; 40.0)"))</f>
        <v/>
      </c>
      <c r="V943" s="26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W943" s="28" t="n">
        <v>0.109</v>
      </c>
      <c r="X943" s="14" t="n">
        <v>51.48</v>
      </c>
      <c r="Y943" s="14">
        <f>ROUND(MIN(100, (X943/69.91)*100), 2)</f>
        <v/>
      </c>
    </row>
    <row r="944">
      <c r="A944" s="10" t="n">
        <v>1</v>
      </c>
      <c r="B944" s="10" t="n">
        <v>940</v>
      </c>
      <c r="C944" s="10" t="n">
        <v>940</v>
      </c>
      <c r="D944" s="10" t="inlineStr">
        <is>
          <t>0402123013</t>
        </is>
      </c>
      <c r="E944" s="26" t="inlineStr">
        <is>
          <t>Region IV-A (CALABARZON)</t>
        </is>
      </c>
      <c r="F944" s="26" t="inlineStr">
        <is>
          <t>Cavite</t>
        </is>
      </c>
      <c r="G944" s="26" t="inlineStr">
        <is>
          <t>Gen. Mariano Alvarez</t>
        </is>
      </c>
      <c r="H944" s="26" t="inlineStr">
        <is>
          <t>Gavino Maderan</t>
        </is>
      </c>
      <c r="I944" s="27" t="n">
        <v>14.307744</v>
      </c>
      <c r="J944" s="27" t="n">
        <v>121.008795</v>
      </c>
      <c r="K944" s="10" t="inlineStr">
        <is>
          <t>U</t>
        </is>
      </c>
      <c r="L944" s="12" t="n">
        <v>9052</v>
      </c>
      <c r="M944" s="14" t="n">
        <v>3.4</v>
      </c>
      <c r="N944" s="12">
        <f>ROUND(L944/M944, 0)</f>
        <v/>
      </c>
      <c r="O944" s="12">
        <f>ROUND(N944*'Methodology &amp; Assumptions'!$B$5, 0)</f>
        <v/>
      </c>
      <c r="P944" s="10" t="inlineStr">
        <is>
          <t>Single Carrier (Band n50, 100MHz TDD)</t>
        </is>
      </c>
      <c r="Q944" s="13">
        <f>ROUNDUP(O944/'Methodology &amp; Assumptions'!$B$6, 0)</f>
        <v/>
      </c>
      <c r="R944" s="13" t="n">
        <v>1</v>
      </c>
      <c r="S944" s="14" t="n">
        <v>2.91</v>
      </c>
      <c r="T944" s="14" t="n">
        <v>4.46</v>
      </c>
      <c r="U944" s="26">
        <f>IF(X944&gt;='Methodology &amp; Assumptions'!$B$7, "Tier 1 Critical GIDA (Score ≥ 50.0)", IF(X944&gt;='Methodology &amp; Assumptions'!$B$8, "Tier 2 High GIDA (Score 40.0–49.9)", "Tier 3 Moderate GIDA (Score &lt; 40.0)"))</f>
        <v/>
      </c>
      <c r="V944" s="26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W944" s="28" t="n">
        <v>0.07200000000000001</v>
      </c>
      <c r="X944" s="14" t="n">
        <v>51.47</v>
      </c>
      <c r="Y944" s="14">
        <f>ROUND(MIN(100, (X944/69.91)*100), 2)</f>
        <v/>
      </c>
    </row>
    <row r="945">
      <c r="A945" s="10" t="n">
        <v>1</v>
      </c>
      <c r="B945" s="10" t="n">
        <v>941</v>
      </c>
      <c r="C945" s="10" t="n">
        <v>941</v>
      </c>
      <c r="D945" s="10" t="inlineStr">
        <is>
          <t>0405616013</t>
        </is>
      </c>
      <c r="E945" s="26" t="inlineStr">
        <is>
          <t>Region IV-A (CALABARZON)</t>
        </is>
      </c>
      <c r="F945" s="26" t="inlineStr">
        <is>
          <t>Quezon</t>
        </is>
      </c>
      <c r="G945" s="26" t="inlineStr">
        <is>
          <t>General Luna</t>
        </is>
      </c>
      <c r="H945" s="26" t="inlineStr">
        <is>
          <t>Magsaysay</t>
        </is>
      </c>
      <c r="I945" s="27" t="n">
        <v>13.698523</v>
      </c>
      <c r="J945" s="27" t="n">
        <v>122.271719</v>
      </c>
      <c r="K945" s="10" t="inlineStr">
        <is>
          <t>R</t>
        </is>
      </c>
      <c r="L945" s="12" t="n">
        <v>679</v>
      </c>
      <c r="M945" s="14" t="n">
        <v>3.8</v>
      </c>
      <c r="N945" s="12">
        <f>ROUND(L945/M945, 0)</f>
        <v/>
      </c>
      <c r="O945" s="12">
        <f>ROUND(N945*'Methodology &amp; Assumptions'!$B$5, 0)</f>
        <v/>
      </c>
      <c r="P945" s="10" t="inlineStr">
        <is>
          <t>Single Carrier (Band n50, 100MHz TDD)</t>
        </is>
      </c>
      <c r="Q945" s="13">
        <f>ROUNDUP(O945/'Methodology &amp; Assumptions'!$B$6, 0)</f>
        <v/>
      </c>
      <c r="R945" s="13" t="n">
        <v>1</v>
      </c>
      <c r="S945" s="14" t="n">
        <v>1.2</v>
      </c>
      <c r="T945" s="14" t="n">
        <v>6.06</v>
      </c>
      <c r="U945" s="26">
        <f>IF(X945&gt;='Methodology &amp; Assumptions'!$B$7, "Tier 1 Critical GIDA (Score ≥ 50.0)", IF(X945&gt;='Methodology &amp; Assumptions'!$B$8, "Tier 2 High GIDA (Score 40.0–49.9)", "Tier 3 Moderate GIDA (Score &lt; 40.0)"))</f>
        <v/>
      </c>
      <c r="V945" s="26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W945" s="28" t="n">
        <v>0.07200000000000001</v>
      </c>
      <c r="X945" s="14" t="n">
        <v>51.47</v>
      </c>
      <c r="Y945" s="14">
        <f>ROUND(MIN(100, (X945/69.91)*100), 2)</f>
        <v/>
      </c>
    </row>
    <row r="946">
      <c r="A946" s="10" t="n">
        <v>1</v>
      </c>
      <c r="B946" s="10" t="n">
        <v>942</v>
      </c>
      <c r="C946" s="10" t="n">
        <v>942</v>
      </c>
      <c r="D946" s="10" t="inlineStr">
        <is>
          <t>1381600025</t>
        </is>
      </c>
      <c r="E946" s="26" t="inlineStr">
        <is>
          <t>National Capital Region (NCR)</t>
        </is>
      </c>
      <c r="F946" s="26" t="inlineStr">
        <is>
          <t>Third District (Not a Province)</t>
        </is>
      </c>
      <c r="G946" s="26" t="inlineStr">
        <is>
          <t>City of Valenzuela</t>
        </is>
      </c>
      <c r="H946" s="26" t="inlineStr">
        <is>
          <t>Poblacion</t>
        </is>
      </c>
      <c r="I946" s="27" t="n">
        <v>14.707944</v>
      </c>
      <c r="J946" s="27" t="n">
        <v>120.971726</v>
      </c>
      <c r="K946" s="10" t="inlineStr">
        <is>
          <t>U</t>
        </is>
      </c>
      <c r="L946" s="12" t="n">
        <v>224</v>
      </c>
      <c r="M946" s="14" t="n">
        <v>3.5</v>
      </c>
      <c r="N946" s="12">
        <f>ROUND(L946/M946, 0)</f>
        <v/>
      </c>
      <c r="O946" s="12">
        <f>ROUND(N946*'Methodology &amp; Assumptions'!$B$5, 0)</f>
        <v/>
      </c>
      <c r="P946" s="10" t="inlineStr">
        <is>
          <t>Single Carrier (Band n50, 100MHz TDD)</t>
        </is>
      </c>
      <c r="Q946" s="13">
        <f>ROUNDUP(O946/'Methodology &amp; Assumptions'!$B$6, 0)</f>
        <v/>
      </c>
      <c r="R946" s="13" t="n">
        <v>1</v>
      </c>
      <c r="S946" s="14" t="n">
        <v>1.24</v>
      </c>
      <c r="T946" s="14" t="n">
        <v>0.64</v>
      </c>
      <c r="U946" s="26">
        <f>IF(X946&gt;='Methodology &amp; Assumptions'!$B$7, "Tier 1 Critical GIDA (Score ≥ 50.0)", IF(X946&gt;='Methodology &amp; Assumptions'!$B$8, "Tier 2 High GIDA (Score 40.0–49.9)", "Tier 3 Moderate GIDA (Score &lt; 40.0)"))</f>
        <v/>
      </c>
      <c r="V946" s="26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W946" s="28" t="n">
        <v>0.109</v>
      </c>
      <c r="X946" s="14" t="n">
        <v>51.47</v>
      </c>
      <c r="Y946" s="14">
        <f>ROUND(MIN(100, (X946/69.91)*100), 2)</f>
        <v/>
      </c>
    </row>
    <row r="947">
      <c r="A947" s="10" t="n">
        <v>1</v>
      </c>
      <c r="B947" s="10" t="n">
        <v>943</v>
      </c>
      <c r="C947" s="10" t="n">
        <v>943</v>
      </c>
      <c r="D947" s="10" t="inlineStr">
        <is>
          <t>1102510007</t>
        </is>
      </c>
      <c r="E947" s="26" t="inlineStr">
        <is>
          <t>Region XI (Davao Region)</t>
        </is>
      </c>
      <c r="F947" s="26" t="inlineStr">
        <is>
          <t>Davao Oriental</t>
        </is>
      </c>
      <c r="G947" s="26" t="inlineStr">
        <is>
          <t>San Isidro</t>
        </is>
      </c>
      <c r="H947" s="26" t="inlineStr">
        <is>
          <t>La Union</t>
        </is>
      </c>
      <c r="I947" s="27" t="n">
        <v>6.718699</v>
      </c>
      <c r="J947" s="27" t="n">
        <v>126.112518</v>
      </c>
      <c r="K947" s="10" t="inlineStr">
        <is>
          <t>R</t>
        </is>
      </c>
      <c r="L947" s="12" t="n">
        <v>4594</v>
      </c>
      <c r="M947" s="14" t="n">
        <v>3.6</v>
      </c>
      <c r="N947" s="12">
        <f>ROUND(L947/M947, 0)</f>
        <v/>
      </c>
      <c r="O947" s="12">
        <f>ROUND(N947*'Methodology &amp; Assumptions'!$B$5, 0)</f>
        <v/>
      </c>
      <c r="P947" s="10" t="inlineStr">
        <is>
          <t>Single Carrier (Band n50, 100MHz TDD)</t>
        </is>
      </c>
      <c r="Q947" s="13">
        <f>ROUNDUP(O947/'Methodology &amp; Assumptions'!$B$6, 0)</f>
        <v/>
      </c>
      <c r="R947" s="13" t="n">
        <v>1</v>
      </c>
      <c r="S947" s="14" t="n">
        <v>22.64</v>
      </c>
      <c r="T947" s="14" t="n">
        <v>17.78</v>
      </c>
      <c r="U947" s="26">
        <f>IF(X947&gt;='Methodology &amp; Assumptions'!$B$7, "Tier 1 Critical GIDA (Score ≥ 50.0)", IF(X947&gt;='Methodology &amp; Assumptions'!$B$8, "Tier 2 High GIDA (Score 40.0–49.9)", "Tier 3 Moderate GIDA (Score &lt; 40.0)"))</f>
        <v/>
      </c>
      <c r="V947" s="26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W947" s="28" t="n">
        <v>0.174</v>
      </c>
      <c r="X947" s="14" t="n">
        <v>51.46</v>
      </c>
      <c r="Y947" s="14">
        <f>ROUND(MIN(100, (X947/69.91)*100), 2)</f>
        <v/>
      </c>
    </row>
    <row r="948">
      <c r="A948" s="10" t="n">
        <v>1</v>
      </c>
      <c r="B948" s="10" t="n">
        <v>944</v>
      </c>
      <c r="C948" s="10" t="n">
        <v>944</v>
      </c>
      <c r="D948" s="10" t="inlineStr">
        <is>
          <t>1102401021</t>
        </is>
      </c>
      <c r="E948" s="26" t="inlineStr">
        <is>
          <t>Region XI (Davao Region)</t>
        </is>
      </c>
      <c r="F948" s="26" t="inlineStr">
        <is>
          <t>Davao del Sur</t>
        </is>
      </c>
      <c r="G948" s="26" t="inlineStr">
        <is>
          <t>Bansalan</t>
        </is>
      </c>
      <c r="H948" s="26" t="inlineStr">
        <is>
          <t>Sibayan</t>
        </is>
      </c>
      <c r="I948" s="27" t="n">
        <v>6.83618</v>
      </c>
      <c r="J948" s="27" t="n">
        <v>125.250755</v>
      </c>
      <c r="K948" s="10" t="inlineStr">
        <is>
          <t>R</t>
        </is>
      </c>
      <c r="L948" s="12" t="n">
        <v>733</v>
      </c>
      <c r="M948" s="14" t="n">
        <v>3.4</v>
      </c>
      <c r="N948" s="12">
        <f>ROUND(L948/M948, 0)</f>
        <v/>
      </c>
      <c r="O948" s="12">
        <f>ROUND(N948*'Methodology &amp; Assumptions'!$B$5, 0)</f>
        <v/>
      </c>
      <c r="P948" s="10" t="inlineStr">
        <is>
          <t>Single Carrier (Band n50, 100MHz TDD)</t>
        </is>
      </c>
      <c r="Q948" s="13">
        <f>ROUNDUP(O948/'Methodology &amp; Assumptions'!$B$6, 0)</f>
        <v/>
      </c>
      <c r="R948" s="13" t="n">
        <v>1</v>
      </c>
      <c r="S948" s="14" t="n">
        <v>7.02</v>
      </c>
      <c r="T948" s="14" t="n">
        <v>14.16</v>
      </c>
      <c r="U948" s="26">
        <f>IF(X948&gt;='Methodology &amp; Assumptions'!$B$7, "Tier 1 Critical GIDA (Score ≥ 50.0)", IF(X948&gt;='Methodology &amp; Assumptions'!$B$8, "Tier 2 High GIDA (Score 40.0–49.9)", "Tier 3 Moderate GIDA (Score &lt; 40.0)"))</f>
        <v/>
      </c>
      <c r="V948" s="26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W948" s="28" t="n">
        <v>0.174</v>
      </c>
      <c r="X948" s="14" t="n">
        <v>51.46</v>
      </c>
      <c r="Y948" s="14">
        <f>ROUND(MIN(100, (X948/69.91)*100), 2)</f>
        <v/>
      </c>
    </row>
    <row r="949">
      <c r="A949" s="10" t="n">
        <v>1</v>
      </c>
      <c r="B949" s="10" t="n">
        <v>945</v>
      </c>
      <c r="C949" s="10" t="n">
        <v>945</v>
      </c>
      <c r="D949" s="10" t="inlineStr">
        <is>
          <t>1380604005</t>
        </is>
      </c>
      <c r="E949" s="26" t="inlineStr">
        <is>
          <t>National Capital Region (NCR)</t>
        </is>
      </c>
      <c r="F949" s="26" t="inlineStr">
        <is>
          <t>First District (Not a Province)</t>
        </is>
      </c>
      <c r="G949" s="26" t="inlineStr">
        <is>
          <t>City of Manila</t>
        </is>
      </c>
      <c r="H949" s="26" t="inlineStr">
        <is>
          <t>Barangay 272</t>
        </is>
      </c>
      <c r="I949" s="27" t="n">
        <v>12.872184</v>
      </c>
      <c r="J949" s="27" t="n">
        <v>121.597414</v>
      </c>
      <c r="K949" s="10" t="inlineStr">
        <is>
          <t>U</t>
        </is>
      </c>
      <c r="L949" s="12" t="n">
        <v>1096</v>
      </c>
      <c r="M949" s="14" t="n">
        <v>3.9</v>
      </c>
      <c r="N949" s="12">
        <f>ROUND(L949/M949, 0)</f>
        <v/>
      </c>
      <c r="O949" s="12">
        <f>ROUND(N949*'Methodology &amp; Assumptions'!$B$5, 0)</f>
        <v/>
      </c>
      <c r="P949" s="10" t="inlineStr">
        <is>
          <t>Single Carrier (Band n50, 100MHz TDD)</t>
        </is>
      </c>
      <c r="Q949" s="13">
        <f>ROUNDUP(O949/'Methodology &amp; Assumptions'!$B$6, 0)</f>
        <v/>
      </c>
      <c r="R949" s="13" t="n">
        <v>1</v>
      </c>
      <c r="S949" s="14" t="n">
        <v>15.46</v>
      </c>
      <c r="T949" s="14" t="n">
        <v>15.14</v>
      </c>
      <c r="U949" s="26">
        <f>IF(X949&gt;='Methodology &amp; Assumptions'!$B$7, "Tier 1 Critical GIDA (Score ≥ 50.0)", IF(X949&gt;='Methodology &amp; Assumptions'!$B$8, "Tier 2 High GIDA (Score 40.0–49.9)", "Tier 3 Moderate GIDA (Score &lt; 40.0)"))</f>
        <v/>
      </c>
      <c r="V949" s="26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W949" s="28" t="n">
        <v>0.109</v>
      </c>
      <c r="X949" s="14" t="n">
        <v>51.45</v>
      </c>
      <c r="Y949" s="14">
        <f>ROUND(MIN(100, (X949/69.91)*100), 2)</f>
        <v/>
      </c>
    </row>
    <row r="950">
      <c r="A950" s="10" t="n">
        <v>1</v>
      </c>
      <c r="B950" s="10" t="n">
        <v>946</v>
      </c>
      <c r="C950" s="10" t="n">
        <v>946</v>
      </c>
      <c r="D950" s="10" t="inlineStr">
        <is>
          <t>PH0000946</t>
        </is>
      </c>
      <c r="E950" s="26" t="inlineStr">
        <is>
          <t>X</t>
        </is>
      </c>
      <c r="F950" s="26" t="inlineStr">
        <is>
          <t>Misamis Oriental</t>
        </is>
      </c>
      <c r="G950" s="26" t="inlineStr">
        <is>
          <t>Cagayan De Oro City</t>
        </is>
      </c>
      <c r="H950" s="26" t="inlineStr">
        <is>
          <t>Barangay 21 (Pob.)</t>
        </is>
      </c>
      <c r="I950" s="27" t="n">
        <v>8.381467000000001</v>
      </c>
      <c r="J950" s="27" t="n">
        <v>124.625707</v>
      </c>
      <c r="K950" s="10" t="inlineStr">
        <is>
          <t>R</t>
        </is>
      </c>
      <c r="L950" s="12" t="n">
        <v>2272</v>
      </c>
      <c r="M950" s="14" t="n">
        <v>3.9</v>
      </c>
      <c r="N950" s="12">
        <f>ROUND(L950/M950, 0)</f>
        <v/>
      </c>
      <c r="O950" s="12">
        <f>ROUND(N950*'Methodology &amp; Assumptions'!$B$5, 0)</f>
        <v/>
      </c>
      <c r="P950" s="10" t="inlineStr">
        <is>
          <t>Single Carrier (Band n50, 100MHz TDD)</t>
        </is>
      </c>
      <c r="Q950" s="13">
        <f>ROUNDUP(O950/'Methodology &amp; Assumptions'!$B$6, 0)</f>
        <v/>
      </c>
      <c r="R950" s="13" t="n">
        <v>1</v>
      </c>
      <c r="S950" s="14" t="n">
        <v>6.09</v>
      </c>
      <c r="T950" s="14" t="n">
        <v>1.73</v>
      </c>
      <c r="U950" s="26">
        <f>IF(X950&gt;='Methodology &amp; Assumptions'!$B$7, "Tier 1 Critical GIDA (Score ≥ 50.0)", IF(X950&gt;='Methodology &amp; Assumptions'!$B$8, "Tier 2 High GIDA (Score 40.0–49.9)", "Tier 3 Moderate GIDA (Score &lt; 40.0)"))</f>
        <v/>
      </c>
      <c r="V950" s="26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W950" s="28" t="n">
        <v>0.234</v>
      </c>
      <c r="X950" s="14" t="n">
        <v>51.45</v>
      </c>
      <c r="Y950" s="14">
        <f>ROUND(MIN(100, (X950/69.91)*100), 2)</f>
        <v/>
      </c>
    </row>
    <row r="951">
      <c r="A951" s="10" t="n">
        <v>1</v>
      </c>
      <c r="B951" s="10" t="n">
        <v>947</v>
      </c>
      <c r="C951" s="10" t="n">
        <v>947</v>
      </c>
      <c r="D951" s="10" t="inlineStr">
        <is>
          <t>1403213021</t>
        </is>
      </c>
      <c r="E951" s="26" t="inlineStr">
        <is>
          <t>Cordillera Administrative Region (CAR)</t>
        </is>
      </c>
      <c r="F951" s="26" t="inlineStr">
        <is>
          <t>Kalinga</t>
        </is>
      </c>
      <c r="G951" s="26" t="inlineStr">
        <is>
          <t>City of Tabuk</t>
        </is>
      </c>
      <c r="H951" s="26" t="inlineStr">
        <is>
          <t>Magnao</t>
        </is>
      </c>
      <c r="I951" s="27" t="n">
        <v>17.433969</v>
      </c>
      <c r="J951" s="27" t="n">
        <v>121.319558</v>
      </c>
      <c r="K951" s="10" t="inlineStr">
        <is>
          <t>R</t>
        </is>
      </c>
      <c r="L951" s="12" t="n">
        <v>1158</v>
      </c>
      <c r="M951" s="14" t="n">
        <v>4.3</v>
      </c>
      <c r="N951" s="12">
        <f>ROUND(L951/M951, 0)</f>
        <v/>
      </c>
      <c r="O951" s="12">
        <f>ROUND(N951*'Methodology &amp; Assumptions'!$B$5, 0)</f>
        <v/>
      </c>
      <c r="P951" s="10" t="inlineStr">
        <is>
          <t>Single Carrier (Band n50, 100MHz TDD)</t>
        </is>
      </c>
      <c r="Q951" s="13">
        <f>ROUNDUP(O951/'Methodology &amp; Assumptions'!$B$6, 0)</f>
        <v/>
      </c>
      <c r="R951" s="13" t="n">
        <v>1</v>
      </c>
      <c r="S951" s="14" t="n">
        <v>11.93</v>
      </c>
      <c r="T951" s="14" t="n">
        <v>3.08</v>
      </c>
      <c r="U951" s="26">
        <f>IF(X951&gt;='Methodology &amp; Assumptions'!$B$7, "Tier 1 Critical GIDA (Score ≥ 50.0)", IF(X951&gt;='Methodology &amp; Assumptions'!$B$8, "Tier 2 High GIDA (Score 40.0–49.9)", "Tier 3 Moderate GIDA (Score &lt; 40.0)"))</f>
        <v/>
      </c>
      <c r="V951" s="26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W951" s="28" t="n">
        <v>0.109</v>
      </c>
      <c r="X951" s="14" t="n">
        <v>51.44</v>
      </c>
      <c r="Y951" s="14">
        <f>ROUND(MIN(100, (X951/69.91)*100), 2)</f>
        <v/>
      </c>
    </row>
    <row r="952">
      <c r="A952" s="10" t="n">
        <v>1</v>
      </c>
      <c r="B952" s="10" t="n">
        <v>948</v>
      </c>
      <c r="C952" s="10" t="n">
        <v>948</v>
      </c>
      <c r="D952" s="10" t="inlineStr">
        <is>
          <t>1380601133</t>
        </is>
      </c>
      <c r="E952" s="26" t="inlineStr">
        <is>
          <t>National Capital Region (NCR)</t>
        </is>
      </c>
      <c r="F952" s="26" t="inlineStr">
        <is>
          <t>First District (Not a Province)</t>
        </is>
      </c>
      <c r="G952" s="26" t="inlineStr">
        <is>
          <t>City of Manila</t>
        </is>
      </c>
      <c r="H952" s="26" t="inlineStr">
        <is>
          <t>Barangay 133</t>
        </is>
      </c>
      <c r="I952" s="27" t="n">
        <v>13.002494</v>
      </c>
      <c r="J952" s="27" t="n">
        <v>121.899963</v>
      </c>
      <c r="K952" s="10" t="inlineStr">
        <is>
          <t>U</t>
        </is>
      </c>
      <c r="L952" s="12" t="n">
        <v>2179</v>
      </c>
      <c r="M952" s="14" t="n">
        <v>3.9</v>
      </c>
      <c r="N952" s="12">
        <f>ROUND(L952/M952, 0)</f>
        <v/>
      </c>
      <c r="O952" s="12">
        <f>ROUND(N952*'Methodology &amp; Assumptions'!$B$5, 0)</f>
        <v/>
      </c>
      <c r="P952" s="10" t="inlineStr">
        <is>
          <t>Single Carrier (Band n50, 100MHz TDD)</t>
        </is>
      </c>
      <c r="Q952" s="13">
        <f>ROUNDUP(O952/'Methodology &amp; Assumptions'!$B$6, 0)</f>
        <v/>
      </c>
      <c r="R952" s="13" t="n">
        <v>1</v>
      </c>
      <c r="S952" s="14" t="n">
        <v>43.15</v>
      </c>
      <c r="T952" s="14" t="n">
        <v>45.6</v>
      </c>
      <c r="U952" s="26">
        <f>IF(X952&gt;='Methodology &amp; Assumptions'!$B$7, "Tier 1 Critical GIDA (Score ≥ 50.0)", IF(X952&gt;='Methodology &amp; Assumptions'!$B$8, "Tier 2 High GIDA (Score 40.0–49.9)", "Tier 3 Moderate GIDA (Score &lt; 40.0)"))</f>
        <v/>
      </c>
      <c r="V952" s="26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W952" s="28" t="n">
        <v>0.109</v>
      </c>
      <c r="X952" s="14" t="n">
        <v>51.44</v>
      </c>
      <c r="Y952" s="14">
        <f>ROUND(MIN(100, (X952/69.91)*100), 2)</f>
        <v/>
      </c>
    </row>
    <row r="953">
      <c r="A953" s="10" t="n">
        <v>1</v>
      </c>
      <c r="B953" s="10" t="n">
        <v>949</v>
      </c>
      <c r="C953" s="10" t="n">
        <v>949</v>
      </c>
      <c r="D953" s="10" t="inlineStr">
        <is>
          <t>1108603013</t>
        </is>
      </c>
      <c r="E953" s="26" t="inlineStr">
        <is>
          <t>Region XI (Davao Region)</t>
        </is>
      </c>
      <c r="F953" s="26" t="inlineStr">
        <is>
          <t>Davao Occidental</t>
        </is>
      </c>
      <c r="G953" s="26" t="inlineStr">
        <is>
          <t>Malita</t>
        </is>
      </c>
      <c r="H953" s="26" t="inlineStr">
        <is>
          <t>Kinangan</t>
        </is>
      </c>
      <c r="I953" s="27" t="n">
        <v>6.291227</v>
      </c>
      <c r="J953" s="27" t="n">
        <v>125.582055</v>
      </c>
      <c r="K953" s="10" t="inlineStr">
        <is>
          <t>R</t>
        </is>
      </c>
      <c r="L953" s="12" t="n">
        <v>3123</v>
      </c>
      <c r="M953" s="14" t="n">
        <v>3.6</v>
      </c>
      <c r="N953" s="12">
        <f>ROUND(L953/M953, 0)</f>
        <v/>
      </c>
      <c r="O953" s="12">
        <f>ROUND(N953*'Methodology &amp; Assumptions'!$B$5, 0)</f>
        <v/>
      </c>
      <c r="P953" s="10" t="inlineStr">
        <is>
          <t>Single Carrier (Band n50, 100MHz TDD)</t>
        </is>
      </c>
      <c r="Q953" s="13">
        <f>ROUNDUP(O953/'Methodology &amp; Assumptions'!$B$6, 0)</f>
        <v/>
      </c>
      <c r="R953" s="13" t="n">
        <v>1</v>
      </c>
      <c r="S953" s="14" t="n">
        <v>35.35</v>
      </c>
      <c r="T953" s="14" t="n">
        <v>33.79</v>
      </c>
      <c r="U953" s="26">
        <f>IF(X953&gt;='Methodology &amp; Assumptions'!$B$7, "Tier 1 Critical GIDA (Score ≥ 50.0)", IF(X953&gt;='Methodology &amp; Assumptions'!$B$8, "Tier 2 High GIDA (Score 40.0–49.9)", "Tier 3 Moderate GIDA (Score &lt; 40.0)"))</f>
        <v/>
      </c>
      <c r="V953" s="26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W953" s="28" t="n">
        <v>0.174</v>
      </c>
      <c r="X953" s="14" t="n">
        <v>51.43</v>
      </c>
      <c r="Y953" s="14">
        <f>ROUND(MIN(100, (X953/69.91)*100), 2)</f>
        <v/>
      </c>
    </row>
    <row r="954">
      <c r="A954" s="10" t="n">
        <v>1</v>
      </c>
      <c r="B954" s="10" t="n">
        <v>950</v>
      </c>
      <c r="C954" s="10" t="n">
        <v>950</v>
      </c>
      <c r="D954" s="10" t="inlineStr">
        <is>
          <t>PH0000950</t>
        </is>
      </c>
      <c r="E954" s="26" t="inlineStr">
        <is>
          <t>VIII</t>
        </is>
      </c>
      <c r="F954" s="26" t="inlineStr">
        <is>
          <t>Leyte</t>
        </is>
      </c>
      <c r="G954" s="26" t="inlineStr">
        <is>
          <t>Tacloban City</t>
        </is>
      </c>
      <c r="H954" s="26" t="inlineStr">
        <is>
          <t>Barangay 34</t>
        </is>
      </c>
      <c r="I954" s="27" t="n">
        <v>11.258075</v>
      </c>
      <c r="J954" s="27" t="n">
        <v>124.951648</v>
      </c>
      <c r="K954" s="10" t="inlineStr">
        <is>
          <t>R</t>
        </is>
      </c>
      <c r="L954" s="12" t="n">
        <v>2258</v>
      </c>
      <c r="M954" s="14" t="n">
        <v>3.8</v>
      </c>
      <c r="N954" s="12">
        <f>ROUND(L954/M954, 0)</f>
        <v/>
      </c>
      <c r="O954" s="12">
        <f>ROUND(N954*'Methodology &amp; Assumptions'!$B$5, 0)</f>
        <v/>
      </c>
      <c r="P954" s="10" t="inlineStr">
        <is>
          <t>Single Carrier (Band n50, 100MHz TDD)</t>
        </is>
      </c>
      <c r="Q954" s="13">
        <f>ROUNDUP(O954/'Methodology &amp; Assumptions'!$B$6, 0)</f>
        <v/>
      </c>
      <c r="R954" s="13" t="n">
        <v>1</v>
      </c>
      <c r="S954" s="14" t="n">
        <v>5.91</v>
      </c>
      <c r="T954" s="14" t="n">
        <v>8.08</v>
      </c>
      <c r="U954" s="26">
        <f>IF(X954&gt;='Methodology &amp; Assumptions'!$B$7, "Tier 1 Critical GIDA (Score ≥ 50.0)", IF(X954&gt;='Methodology &amp; Assumptions'!$B$8, "Tier 2 High GIDA (Score 40.0–49.9)", "Tier 3 Moderate GIDA (Score &lt; 40.0)"))</f>
        <v/>
      </c>
      <c r="V954" s="26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W954" s="28" t="n">
        <v>0.222</v>
      </c>
      <c r="X954" s="14" t="n">
        <v>51.43</v>
      </c>
      <c r="Y954" s="14">
        <f>ROUND(MIN(100, (X954/69.91)*100), 2)</f>
        <v/>
      </c>
    </row>
    <row r="955">
      <c r="A955" s="10" t="n">
        <v>1</v>
      </c>
      <c r="B955" s="10" t="n">
        <v>951</v>
      </c>
      <c r="C955" s="10" t="n">
        <v>951</v>
      </c>
      <c r="D955" s="10" t="inlineStr">
        <is>
          <t>1108602034</t>
        </is>
      </c>
      <c r="E955" s="26" t="inlineStr">
        <is>
          <t>Region XI (Davao Region)</t>
        </is>
      </c>
      <c r="F955" s="26" t="inlineStr">
        <is>
          <t>Davao Occidental</t>
        </is>
      </c>
      <c r="G955" s="26" t="inlineStr">
        <is>
          <t>Jose Abad Santos</t>
        </is>
      </c>
      <c r="H955" s="26" t="inlineStr">
        <is>
          <t>Tabayon</t>
        </is>
      </c>
      <c r="I955" s="27" t="n">
        <v>5.7955</v>
      </c>
      <c r="J955" s="27" t="n">
        <v>125.556454</v>
      </c>
      <c r="K955" s="10" t="inlineStr">
        <is>
          <t>R</t>
        </is>
      </c>
      <c r="L955" s="12" t="n">
        <v>3658</v>
      </c>
      <c r="M955" s="14" t="n">
        <v>3.6</v>
      </c>
      <c r="N955" s="12">
        <f>ROUND(L955/M955, 0)</f>
        <v/>
      </c>
      <c r="O955" s="12">
        <f>ROUND(N955*'Methodology &amp; Assumptions'!$B$5, 0)</f>
        <v/>
      </c>
      <c r="P955" s="10" t="inlineStr">
        <is>
          <t>Single Carrier (Band n50, 100MHz TDD)</t>
        </is>
      </c>
      <c r="Q955" s="13">
        <f>ROUNDUP(O955/'Methodology &amp; Assumptions'!$B$6, 0)</f>
        <v/>
      </c>
      <c r="R955" s="13" t="n">
        <v>1</v>
      </c>
      <c r="S955" s="14" t="n">
        <v>46.18</v>
      </c>
      <c r="T955" s="14" t="n">
        <v>54.31</v>
      </c>
      <c r="U955" s="26">
        <f>IF(X955&gt;='Methodology &amp; Assumptions'!$B$7, "Tier 1 Critical GIDA (Score ≥ 50.0)", IF(X955&gt;='Methodology &amp; Assumptions'!$B$8, "Tier 2 High GIDA (Score 40.0–49.9)", "Tier 3 Moderate GIDA (Score &lt; 40.0)"))</f>
        <v/>
      </c>
      <c r="V955" s="26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W955" s="28" t="n">
        <v>0.174</v>
      </c>
      <c r="X955" s="14" t="n">
        <v>51.43</v>
      </c>
      <c r="Y955" s="14">
        <f>ROUND(MIN(100, (X955/69.91)*100), 2)</f>
        <v/>
      </c>
    </row>
    <row r="956">
      <c r="A956" s="10" t="n">
        <v>1</v>
      </c>
      <c r="B956" s="10" t="n">
        <v>952</v>
      </c>
      <c r="C956" s="10" t="n">
        <v>952</v>
      </c>
      <c r="D956" s="10" t="inlineStr">
        <is>
          <t>0102917004</t>
        </is>
      </c>
      <c r="E956" s="26" t="inlineStr">
        <is>
          <t>Region I (Ilocos Region)</t>
        </is>
      </c>
      <c r="F956" s="26" t="inlineStr">
        <is>
          <t>Ilocos Sur</t>
        </is>
      </c>
      <c r="G956" s="26" t="inlineStr">
        <is>
          <t>San Emilio</t>
        </is>
      </c>
      <c r="H956" s="26" t="inlineStr">
        <is>
          <t>Matibuey</t>
        </is>
      </c>
      <c r="I956" s="27" t="n">
        <v>17.212126</v>
      </c>
      <c r="J956" s="27" t="n">
        <v>120.662361</v>
      </c>
      <c r="K956" s="10" t="inlineStr">
        <is>
          <t>R</t>
        </is>
      </c>
      <c r="L956" s="12" t="n">
        <v>1080</v>
      </c>
      <c r="M956" s="14" t="n">
        <v>3.8</v>
      </c>
      <c r="N956" s="12">
        <f>ROUND(L956/M956, 0)</f>
        <v/>
      </c>
      <c r="O956" s="12">
        <f>ROUND(N956*'Methodology &amp; Assumptions'!$B$5, 0)</f>
        <v/>
      </c>
      <c r="P956" s="10" t="inlineStr">
        <is>
          <t>Single Carrier (Band n50, 100MHz TDD)</t>
        </is>
      </c>
      <c r="Q956" s="13">
        <f>ROUNDUP(O956/'Methodology &amp; Assumptions'!$B$6, 0)</f>
        <v/>
      </c>
      <c r="R956" s="13" t="n">
        <v>1</v>
      </c>
      <c r="S956" s="14" t="n">
        <v>8.52</v>
      </c>
      <c r="T956" s="14" t="n">
        <v>0.98</v>
      </c>
      <c r="U956" s="26">
        <f>IF(X956&gt;='Methodology &amp; Assumptions'!$B$7, "Tier 1 Critical GIDA (Score ≥ 50.0)", IF(X956&gt;='Methodology &amp; Assumptions'!$B$8, "Tier 2 High GIDA (Score 40.0–49.9)", "Tier 3 Moderate GIDA (Score &lt; 40.0)"))</f>
        <v/>
      </c>
      <c r="V956" s="26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W956" s="28" t="n">
        <v>0.083</v>
      </c>
      <c r="X956" s="14" t="n">
        <v>51.43</v>
      </c>
      <c r="Y956" s="14">
        <f>ROUND(MIN(100, (X956/69.91)*100), 2)</f>
        <v/>
      </c>
    </row>
    <row r="957">
      <c r="A957" s="10" t="n">
        <v>1</v>
      </c>
      <c r="B957" s="10" t="n">
        <v>953</v>
      </c>
      <c r="C957" s="10" t="n">
        <v>953</v>
      </c>
      <c r="D957" s="10" t="inlineStr">
        <is>
          <t>0201528020</t>
        </is>
      </c>
      <c r="E957" s="26" t="inlineStr">
        <is>
          <t>Region II (Cagayan Valley)</t>
        </is>
      </c>
      <c r="F957" s="26" t="inlineStr">
        <is>
          <t>Cagayan</t>
        </is>
      </c>
      <c r="G957" s="26" t="inlineStr">
        <is>
          <t>Tuao</t>
        </is>
      </c>
      <c r="H957" s="26" t="inlineStr">
        <is>
          <t>Mambacag</t>
        </is>
      </c>
      <c r="I957" s="27" t="n">
        <v>17.673912</v>
      </c>
      <c r="J957" s="27" t="n">
        <v>121.535126</v>
      </c>
      <c r="K957" s="10" t="inlineStr">
        <is>
          <t>R</t>
        </is>
      </c>
      <c r="L957" s="12" t="n">
        <v>1447</v>
      </c>
      <c r="M957" s="14" t="n">
        <v>3.9</v>
      </c>
      <c r="N957" s="12">
        <f>ROUND(L957/M957, 0)</f>
        <v/>
      </c>
      <c r="O957" s="12">
        <f>ROUND(N957*'Methodology &amp; Assumptions'!$B$5, 0)</f>
        <v/>
      </c>
      <c r="P957" s="10" t="inlineStr">
        <is>
          <t>Single Carrier (Band n50, 100MHz TDD)</t>
        </is>
      </c>
      <c r="Q957" s="13">
        <f>ROUNDUP(O957/'Methodology &amp; Assumptions'!$B$6, 0)</f>
        <v/>
      </c>
      <c r="R957" s="13" t="n">
        <v>1</v>
      </c>
      <c r="S957" s="14" t="n">
        <v>2.47</v>
      </c>
      <c r="T957" s="14" t="n">
        <v>10.46</v>
      </c>
      <c r="U957" s="26">
        <f>IF(X957&gt;='Methodology &amp; Assumptions'!$B$7, "Tier 1 Critical GIDA (Score ≥ 50.0)", IF(X957&gt;='Methodology &amp; Assumptions'!$B$8, "Tier 2 High GIDA (Score 40.0–49.9)", "Tier 3 Moderate GIDA (Score &lt; 40.0)"))</f>
        <v/>
      </c>
      <c r="V957" s="26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W957" s="28" t="n">
        <v>0.083</v>
      </c>
      <c r="X957" s="14" t="n">
        <v>51.43</v>
      </c>
      <c r="Y957" s="14">
        <f>ROUND(MIN(100, (X957/69.91)*100), 2)</f>
        <v/>
      </c>
    </row>
    <row r="958">
      <c r="A958" s="10" t="n">
        <v>1</v>
      </c>
      <c r="B958" s="10" t="n">
        <v>954</v>
      </c>
      <c r="C958" s="10" t="n">
        <v>954</v>
      </c>
      <c r="D958" s="10" t="inlineStr">
        <is>
          <t>1381701008</t>
        </is>
      </c>
      <c r="E958" s="26" t="inlineStr">
        <is>
          <t>National Capital Region (NCR)</t>
        </is>
      </c>
      <c r="F958" s="26" t="inlineStr">
        <is>
          <t>Fourth District (Not a Province)</t>
        </is>
      </c>
      <c r="G958" s="26" t="inlineStr">
        <is>
          <t>Pateros</t>
        </is>
      </c>
      <c r="H958" s="26" t="inlineStr">
        <is>
          <t>Santo Rosario-Kanluran</t>
        </is>
      </c>
      <c r="I958" s="27" t="n">
        <v>14.552222</v>
      </c>
      <c r="J958" s="27" t="n">
        <v>121.068889</v>
      </c>
      <c r="K958" s="10" t="inlineStr">
        <is>
          <t>U</t>
        </is>
      </c>
      <c r="L958" s="12" t="n">
        <v>5516</v>
      </c>
      <c r="M958" s="14" t="n">
        <v>3.8</v>
      </c>
      <c r="N958" s="12">
        <f>ROUND(L958/M958, 0)</f>
        <v/>
      </c>
      <c r="O958" s="12">
        <f>ROUND(N958*'Methodology &amp; Assumptions'!$B$5, 0)</f>
        <v/>
      </c>
      <c r="P958" s="10" t="inlineStr">
        <is>
          <t>Single Carrier (Band n50, 100MHz TDD)</t>
        </is>
      </c>
      <c r="Q958" s="13">
        <f>ROUNDUP(O958/'Methodology &amp; Assumptions'!$B$6, 0)</f>
        <v/>
      </c>
      <c r="R958" s="13" t="n">
        <v>1</v>
      </c>
      <c r="S958" s="14" t="n">
        <v>0.84</v>
      </c>
      <c r="T958" s="14" t="n">
        <v>0.19</v>
      </c>
      <c r="U958" s="26">
        <f>IF(X958&gt;='Methodology &amp; Assumptions'!$B$7, "Tier 1 Critical GIDA (Score ≥ 50.0)", IF(X958&gt;='Methodology &amp; Assumptions'!$B$8, "Tier 2 High GIDA (Score 40.0–49.9)", "Tier 3 Moderate GIDA (Score &lt; 40.0)"))</f>
        <v/>
      </c>
      <c r="V958" s="26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W958" s="28" t="n">
        <v>0.109</v>
      </c>
      <c r="X958" s="14" t="n">
        <v>51.42</v>
      </c>
      <c r="Y958" s="14">
        <f>ROUND(MIN(100, (X958/69.91)*100), 2)</f>
        <v/>
      </c>
    </row>
    <row r="959">
      <c r="A959" s="10" t="n">
        <v>1</v>
      </c>
      <c r="B959" s="10" t="n">
        <v>955</v>
      </c>
      <c r="C959" s="10" t="n">
        <v>955</v>
      </c>
      <c r="D959" s="10" t="inlineStr">
        <is>
          <t>1380601067</t>
        </is>
      </c>
      <c r="E959" s="26" t="inlineStr">
        <is>
          <t>National Capital Region (NCR)</t>
        </is>
      </c>
      <c r="F959" s="26" t="inlineStr">
        <is>
          <t>First District (Not a Province)</t>
        </is>
      </c>
      <c r="G959" s="26" t="inlineStr">
        <is>
          <t>City of Manila</t>
        </is>
      </c>
      <c r="H959" s="26" t="inlineStr">
        <is>
          <t>Barangay 67</t>
        </is>
      </c>
      <c r="I959" s="27" t="n">
        <v>12.70486</v>
      </c>
      <c r="J959" s="27" t="n">
        <v>121.766169</v>
      </c>
      <c r="K959" s="10" t="inlineStr">
        <is>
          <t>U</t>
        </is>
      </c>
      <c r="L959" s="12" t="n">
        <v>4207</v>
      </c>
      <c r="M959" s="14" t="n">
        <v>3.9</v>
      </c>
      <c r="N959" s="12">
        <f>ROUND(L959/M959, 0)</f>
        <v/>
      </c>
      <c r="O959" s="12">
        <f>ROUND(N959*'Methodology &amp; Assumptions'!$B$5, 0)</f>
        <v/>
      </c>
      <c r="P959" s="10" t="inlineStr">
        <is>
          <t>Single Carrier (Band n50, 100MHz TDD)</t>
        </is>
      </c>
      <c r="Q959" s="13">
        <f>ROUNDUP(O959/'Methodology &amp; Assumptions'!$B$6, 0)</f>
        <v/>
      </c>
      <c r="R959" s="13" t="n">
        <v>1</v>
      </c>
      <c r="S959" s="14" t="n">
        <v>25.83</v>
      </c>
      <c r="T959" s="14" t="n">
        <v>24.95</v>
      </c>
      <c r="U959" s="26">
        <f>IF(X959&gt;='Methodology &amp; Assumptions'!$B$7, "Tier 1 Critical GIDA (Score ≥ 50.0)", IF(X959&gt;='Methodology &amp; Assumptions'!$B$8, "Tier 2 High GIDA (Score 40.0–49.9)", "Tier 3 Moderate GIDA (Score &lt; 40.0)"))</f>
        <v/>
      </c>
      <c r="V959" s="26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W959" s="28" t="n">
        <v>0.109</v>
      </c>
      <c r="X959" s="14" t="n">
        <v>51.42</v>
      </c>
      <c r="Y959" s="14">
        <f>ROUND(MIN(100, (X959/69.91)*100), 2)</f>
        <v/>
      </c>
    </row>
    <row r="960">
      <c r="A960" s="10" t="n">
        <v>1</v>
      </c>
      <c r="B960" s="10" t="n">
        <v>956</v>
      </c>
      <c r="C960" s="10" t="n">
        <v>956</v>
      </c>
      <c r="D960" s="10" t="inlineStr">
        <is>
          <t>1102506018</t>
        </is>
      </c>
      <c r="E960" s="26" t="inlineStr">
        <is>
          <t>Region XI (Davao Region)</t>
        </is>
      </c>
      <c r="F960" s="26" t="inlineStr">
        <is>
          <t>Davao Oriental</t>
        </is>
      </c>
      <c r="G960" s="26" t="inlineStr">
        <is>
          <t>Governor Generoso</t>
        </is>
      </c>
      <c r="H960" s="26" t="inlineStr">
        <is>
          <t>Tiblawan</t>
        </is>
      </c>
      <c r="I960" s="27" t="n">
        <v>6.49673</v>
      </c>
      <c r="J960" s="27" t="n">
        <v>126.11938</v>
      </c>
      <c r="K960" s="10" t="inlineStr">
        <is>
          <t>R</t>
        </is>
      </c>
      <c r="L960" s="12" t="n">
        <v>4646</v>
      </c>
      <c r="M960" s="14" t="n">
        <v>3.6</v>
      </c>
      <c r="N960" s="12">
        <f>ROUND(L960/M960, 0)</f>
        <v/>
      </c>
      <c r="O960" s="12">
        <f>ROUND(N960*'Methodology &amp; Assumptions'!$B$5, 0)</f>
        <v/>
      </c>
      <c r="P960" s="10" t="inlineStr">
        <is>
          <t>Single Carrier (Band n50, 100MHz TDD)</t>
        </is>
      </c>
      <c r="Q960" s="13">
        <f>ROUNDUP(O960/'Methodology &amp; Assumptions'!$B$6, 0)</f>
        <v/>
      </c>
      <c r="R960" s="13" t="n">
        <v>1</v>
      </c>
      <c r="S960" s="14" t="n">
        <v>45.97</v>
      </c>
      <c r="T960" s="14" t="n">
        <v>42.47</v>
      </c>
      <c r="U960" s="26">
        <f>IF(X960&gt;='Methodology &amp; Assumptions'!$B$7, "Tier 1 Critical GIDA (Score ≥ 50.0)", IF(X960&gt;='Methodology &amp; Assumptions'!$B$8, "Tier 2 High GIDA (Score 40.0–49.9)", "Tier 3 Moderate GIDA (Score &lt; 40.0)"))</f>
        <v/>
      </c>
      <c r="V960" s="26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W960" s="28" t="n">
        <v>0.174</v>
      </c>
      <c r="X960" s="14" t="n">
        <v>51.41</v>
      </c>
      <c r="Y960" s="14">
        <f>ROUND(MIN(100, (X960/69.91)*100), 2)</f>
        <v/>
      </c>
    </row>
    <row r="961">
      <c r="A961" s="10" t="n">
        <v>1</v>
      </c>
      <c r="B961" s="10" t="n">
        <v>957</v>
      </c>
      <c r="C961" s="10" t="n">
        <v>957</v>
      </c>
      <c r="D961" s="10" t="inlineStr">
        <is>
          <t>PH0000957</t>
        </is>
      </c>
      <c r="E961" s="26" t="inlineStr">
        <is>
          <t>IV-A</t>
        </is>
      </c>
      <c r="F961" s="26" t="inlineStr">
        <is>
          <t>Laguna</t>
        </is>
      </c>
      <c r="G961" s="26" t="inlineStr">
        <is>
          <t>San Pablo City</t>
        </is>
      </c>
      <c r="H961" s="26" t="inlineStr">
        <is>
          <t>Barangay VII-A (Pob.)</t>
        </is>
      </c>
      <c r="I961" s="27" t="n">
        <v>14.070552</v>
      </c>
      <c r="J961" s="27" t="n">
        <v>121.321504</v>
      </c>
      <c r="K961" s="10" t="inlineStr">
        <is>
          <t>R</t>
        </is>
      </c>
      <c r="L961" s="12" t="n">
        <v>2412</v>
      </c>
      <c r="M961" s="14" t="n">
        <v>3.3</v>
      </c>
      <c r="N961" s="12">
        <f>ROUND(L961/M961, 0)</f>
        <v/>
      </c>
      <c r="O961" s="12">
        <f>ROUND(N961*'Methodology &amp; Assumptions'!$B$5, 0)</f>
        <v/>
      </c>
      <c r="P961" s="10" t="inlineStr">
        <is>
          <t>Single Carrier (Band n50, 100MHz TDD)</t>
        </is>
      </c>
      <c r="Q961" s="13">
        <f>ROUNDUP(O961/'Methodology &amp; Assumptions'!$B$6, 0)</f>
        <v/>
      </c>
      <c r="R961" s="13" t="n">
        <v>1</v>
      </c>
      <c r="S961" s="14" t="n">
        <v>1.29</v>
      </c>
      <c r="T961" s="14" t="n">
        <v>0.13</v>
      </c>
      <c r="U961" s="26">
        <f>IF(X961&gt;='Methodology &amp; Assumptions'!$B$7, "Tier 1 Critical GIDA (Score ≥ 50.0)", IF(X961&gt;='Methodology &amp; Assumptions'!$B$8, "Tier 2 High GIDA (Score 40.0–49.9)", "Tier 3 Moderate GIDA (Score &lt; 40.0)"))</f>
        <v/>
      </c>
      <c r="V961" s="26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W961" s="28" t="n">
        <v>0.07200000000000001</v>
      </c>
      <c r="X961" s="14" t="n">
        <v>51.41</v>
      </c>
      <c r="Y961" s="14">
        <f>ROUND(MIN(100, (X961/69.91)*100), 2)</f>
        <v/>
      </c>
    </row>
    <row r="962">
      <c r="A962" s="10" t="n">
        <v>1</v>
      </c>
      <c r="B962" s="10" t="n">
        <v>958</v>
      </c>
      <c r="C962" s="10" t="n">
        <v>958</v>
      </c>
      <c r="D962" s="10" t="inlineStr">
        <is>
          <t>0806022043</t>
        </is>
      </c>
      <c r="E962" s="26" t="inlineStr">
        <is>
          <t>Region VIII (Eastern Visayas)</t>
        </is>
      </c>
      <c r="F962" s="26" t="inlineStr">
        <is>
          <t>Samar</t>
        </is>
      </c>
      <c r="G962" s="26" t="inlineStr">
        <is>
          <t>Paranas</t>
        </is>
      </c>
      <c r="H962" s="26" t="inlineStr">
        <is>
          <t>Tapul</t>
        </is>
      </c>
      <c r="I962" s="27" t="n">
        <v>11.901</v>
      </c>
      <c r="J962" s="27" t="n">
        <v>125.07947</v>
      </c>
      <c r="K962" s="10" t="inlineStr">
        <is>
          <t>R</t>
        </is>
      </c>
      <c r="L962" s="12" t="n">
        <v>423</v>
      </c>
      <c r="M962" s="14" t="n">
        <v>4.1</v>
      </c>
      <c r="N962" s="12">
        <f>ROUND(L962/M962, 0)</f>
        <v/>
      </c>
      <c r="O962" s="12">
        <f>ROUND(N962*'Methodology &amp; Assumptions'!$B$5, 0)</f>
        <v/>
      </c>
      <c r="P962" s="10" t="inlineStr">
        <is>
          <t>Single Carrier (Band n50, 100MHz TDD)</t>
        </is>
      </c>
      <c r="Q962" s="13">
        <f>ROUNDUP(O962/'Methodology &amp; Assumptions'!$B$6, 0)</f>
        <v/>
      </c>
      <c r="R962" s="13" t="n">
        <v>1</v>
      </c>
      <c r="S962" s="14" t="n">
        <v>74.02</v>
      </c>
      <c r="T962" s="14" t="n">
        <v>76.94</v>
      </c>
      <c r="U962" s="26">
        <f>IF(X962&gt;='Methodology &amp; Assumptions'!$B$7, "Tier 1 Critical GIDA (Score ≥ 50.0)", IF(X962&gt;='Methodology &amp; Assumptions'!$B$8, "Tier 2 High GIDA (Score 40.0–49.9)", "Tier 3 Moderate GIDA (Score &lt; 40.0)"))</f>
        <v/>
      </c>
      <c r="V962" s="26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W962" s="28" t="n">
        <v>0.237</v>
      </c>
      <c r="X962" s="14" t="n">
        <v>51.4</v>
      </c>
      <c r="Y962" s="14">
        <f>ROUND(MIN(100, (X962/69.91)*100), 2)</f>
        <v/>
      </c>
    </row>
    <row r="963">
      <c r="A963" s="10" t="n">
        <v>1</v>
      </c>
      <c r="B963" s="10" t="n">
        <v>959</v>
      </c>
      <c r="C963" s="10" t="n">
        <v>959</v>
      </c>
      <c r="D963" s="10" t="inlineStr">
        <is>
          <t>0205010029</t>
        </is>
      </c>
      <c r="E963" s="26" t="inlineStr">
        <is>
          <t>Region II (Cagayan Valley)</t>
        </is>
      </c>
      <c r="F963" s="26" t="inlineStr">
        <is>
          <t>Nueva Vizcaya</t>
        </is>
      </c>
      <c r="G963" s="26" t="inlineStr">
        <is>
          <t>Kayapa</t>
        </is>
      </c>
      <c r="H963" s="26" t="inlineStr">
        <is>
          <t>Lawigan</t>
        </is>
      </c>
      <c r="I963" s="27" t="n">
        <v>16.20566</v>
      </c>
      <c r="J963" s="27" t="n">
        <v>120.77782</v>
      </c>
      <c r="K963" s="10" t="inlineStr">
        <is>
          <t>R</t>
        </is>
      </c>
      <c r="L963" s="12" t="n">
        <v>905</v>
      </c>
      <c r="M963" s="14" t="n">
        <v>3.8</v>
      </c>
      <c r="N963" s="12">
        <f>ROUND(L963/M963, 0)</f>
        <v/>
      </c>
      <c r="O963" s="12">
        <f>ROUND(N963*'Methodology &amp; Assumptions'!$B$5, 0)</f>
        <v/>
      </c>
      <c r="P963" s="10" t="inlineStr">
        <is>
          <t>Single Carrier (Band n50, 100MHz TDD)</t>
        </is>
      </c>
      <c r="Q963" s="13">
        <f>ROUNDUP(O963/'Methodology &amp; Assumptions'!$B$6, 0)</f>
        <v/>
      </c>
      <c r="R963" s="13" t="n">
        <v>1</v>
      </c>
      <c r="S963" s="14" t="n">
        <v>17.86</v>
      </c>
      <c r="T963" s="14" t="n">
        <v>17.58</v>
      </c>
      <c r="U963" s="26">
        <f>IF(X963&gt;='Methodology &amp; Assumptions'!$B$7, "Tier 1 Critical GIDA (Score ≥ 50.0)", IF(X963&gt;='Methodology &amp; Assumptions'!$B$8, "Tier 2 High GIDA (Score 40.0–49.9)", "Tier 3 Moderate GIDA (Score &lt; 40.0)"))</f>
        <v/>
      </c>
      <c r="V963" s="26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W963" s="28" t="n">
        <v>0.083</v>
      </c>
      <c r="X963" s="14" t="n">
        <v>51.4</v>
      </c>
      <c r="Y963" s="14">
        <f>ROUND(MIN(100, (X963/69.91)*100), 2)</f>
        <v/>
      </c>
    </row>
    <row r="964">
      <c r="A964" s="10" t="n">
        <v>1</v>
      </c>
      <c r="B964" s="10" t="n">
        <v>960</v>
      </c>
      <c r="C964" s="10" t="n">
        <v>960</v>
      </c>
      <c r="D964" s="10" t="inlineStr">
        <is>
          <t>1108601003</t>
        </is>
      </c>
      <c r="E964" s="26" t="inlineStr">
        <is>
          <t>Region XI (Davao Region)</t>
        </is>
      </c>
      <c r="F964" s="26" t="inlineStr">
        <is>
          <t>Davao Occidental</t>
        </is>
      </c>
      <c r="G964" s="26" t="inlineStr">
        <is>
          <t>Don Marcelino</t>
        </is>
      </c>
      <c r="H964" s="26" t="inlineStr">
        <is>
          <t>North Lamidan</t>
        </is>
      </c>
      <c r="I964" s="27" t="n">
        <v>6.095373</v>
      </c>
      <c r="J964" s="27" t="n">
        <v>125.703036</v>
      </c>
      <c r="K964" s="10" t="inlineStr">
        <is>
          <t>R</t>
        </is>
      </c>
      <c r="L964" s="12" t="n">
        <v>2195</v>
      </c>
      <c r="M964" s="14" t="n">
        <v>3.6</v>
      </c>
      <c r="N964" s="12">
        <f>ROUND(L964/M964, 0)</f>
        <v/>
      </c>
      <c r="O964" s="12">
        <f>ROUND(N964*'Methodology &amp; Assumptions'!$B$5, 0)</f>
        <v/>
      </c>
      <c r="P964" s="10" t="inlineStr">
        <is>
          <t>Single Carrier (Band n50, 100MHz TDD)</t>
        </is>
      </c>
      <c r="Q964" s="13">
        <f>ROUNDUP(O964/'Methodology &amp; Assumptions'!$B$6, 0)</f>
        <v/>
      </c>
      <c r="R964" s="13" t="n">
        <v>1</v>
      </c>
      <c r="S964" s="14" t="n">
        <v>47.01</v>
      </c>
      <c r="T964" s="14" t="n">
        <v>52.03</v>
      </c>
      <c r="U964" s="26">
        <f>IF(X964&gt;='Methodology &amp; Assumptions'!$B$7, "Tier 1 Critical GIDA (Score ≥ 50.0)", IF(X964&gt;='Methodology &amp; Assumptions'!$B$8, "Tier 2 High GIDA (Score 40.0–49.9)", "Tier 3 Moderate GIDA (Score &lt; 40.0)"))</f>
        <v/>
      </c>
      <c r="V964" s="26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W964" s="28" t="n">
        <v>0.174</v>
      </c>
      <c r="X964" s="14" t="n">
        <v>51.39</v>
      </c>
      <c r="Y964" s="14">
        <f>ROUND(MIN(100, (X964/69.91)*100), 2)</f>
        <v/>
      </c>
    </row>
    <row r="965">
      <c r="A965" s="10" t="n">
        <v>1</v>
      </c>
      <c r="B965" s="10" t="n">
        <v>961</v>
      </c>
      <c r="C965" s="10" t="n">
        <v>961</v>
      </c>
      <c r="D965" s="10" t="inlineStr">
        <is>
          <t>0806011005</t>
        </is>
      </c>
      <c r="E965" s="26" t="inlineStr">
        <is>
          <t>Region VIII (Eastern Visayas)</t>
        </is>
      </c>
      <c r="F965" s="26" t="inlineStr">
        <is>
          <t>Samar</t>
        </is>
      </c>
      <c r="G965" s="26" t="inlineStr">
        <is>
          <t>Matuguinao</t>
        </is>
      </c>
      <c r="H965" s="26" t="inlineStr">
        <is>
          <t>Camonoan</t>
        </is>
      </c>
      <c r="I965" s="27" t="n">
        <v>12.148392</v>
      </c>
      <c r="J965" s="27" t="n">
        <v>124.881919</v>
      </c>
      <c r="K965" s="10" t="inlineStr">
        <is>
          <t>R</t>
        </is>
      </c>
      <c r="L965" s="12" t="n">
        <v>142</v>
      </c>
      <c r="M965" s="14" t="n">
        <v>4.1</v>
      </c>
      <c r="N965" s="12">
        <f>ROUND(L965/M965, 0)</f>
        <v/>
      </c>
      <c r="O965" s="12">
        <f>ROUND(N965*'Methodology &amp; Assumptions'!$B$5, 0)</f>
        <v/>
      </c>
      <c r="P965" s="10" t="inlineStr">
        <is>
          <t>Single Carrier (Band n50, 100MHz TDD)</t>
        </is>
      </c>
      <c r="Q965" s="13">
        <f>ROUNDUP(O965/'Methodology &amp; Assumptions'!$B$6, 0)</f>
        <v/>
      </c>
      <c r="R965" s="13" t="n">
        <v>1</v>
      </c>
      <c r="S965" s="14" t="n">
        <v>96.66</v>
      </c>
      <c r="T965" s="14" t="n">
        <v>96.62</v>
      </c>
      <c r="U965" s="26">
        <f>IF(X965&gt;='Methodology &amp; Assumptions'!$B$7, "Tier 1 Critical GIDA (Score ≥ 50.0)", IF(X965&gt;='Methodology &amp; Assumptions'!$B$8, "Tier 2 High GIDA (Score 40.0–49.9)", "Tier 3 Moderate GIDA (Score &lt; 40.0)"))</f>
        <v/>
      </c>
      <c r="V965" s="26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W965" s="28" t="n">
        <v>0.237</v>
      </c>
      <c r="X965" s="14" t="n">
        <v>51.39</v>
      </c>
      <c r="Y965" s="14">
        <f>ROUND(MIN(100, (X965/69.91)*100), 2)</f>
        <v/>
      </c>
    </row>
    <row r="966">
      <c r="A966" s="10" t="n">
        <v>1</v>
      </c>
      <c r="B966" s="10" t="n">
        <v>962</v>
      </c>
      <c r="C966" s="10" t="n">
        <v>962</v>
      </c>
      <c r="D966" s="10" t="inlineStr">
        <is>
          <t>1380601047</t>
        </is>
      </c>
      <c r="E966" s="26" t="inlineStr">
        <is>
          <t>National Capital Region (NCR)</t>
        </is>
      </c>
      <c r="F966" s="26" t="inlineStr">
        <is>
          <t>First District (Not a Province)</t>
        </is>
      </c>
      <c r="G966" s="26" t="inlineStr">
        <is>
          <t>City of Manila</t>
        </is>
      </c>
      <c r="H966" s="26" t="inlineStr">
        <is>
          <t>Barangay 47</t>
        </is>
      </c>
      <c r="I966" s="27" t="n">
        <v>13.014796</v>
      </c>
      <c r="J966" s="27" t="n">
        <v>121.657715</v>
      </c>
      <c r="K966" s="10" t="inlineStr">
        <is>
          <t>U</t>
        </is>
      </c>
      <c r="L966" s="12" t="n">
        <v>1157</v>
      </c>
      <c r="M966" s="14" t="n">
        <v>3.9</v>
      </c>
      <c r="N966" s="12">
        <f>ROUND(L966/M966, 0)</f>
        <v/>
      </c>
      <c r="O966" s="12">
        <f>ROUND(N966*'Methodology &amp; Assumptions'!$B$5, 0)</f>
        <v/>
      </c>
      <c r="P966" s="10" t="inlineStr">
        <is>
          <t>Single Carrier (Band n50, 100MHz TDD)</t>
        </is>
      </c>
      <c r="Q966" s="13">
        <f>ROUNDUP(O966/'Methodology &amp; Assumptions'!$B$6, 0)</f>
        <v/>
      </c>
      <c r="R966" s="13" t="n">
        <v>1</v>
      </c>
      <c r="S966" s="14" t="n">
        <v>17.26</v>
      </c>
      <c r="T966" s="14" t="n">
        <v>19.31</v>
      </c>
      <c r="U966" s="26">
        <f>IF(X966&gt;='Methodology &amp; Assumptions'!$B$7, "Tier 1 Critical GIDA (Score ≥ 50.0)", IF(X966&gt;='Methodology &amp; Assumptions'!$B$8, "Tier 2 High GIDA (Score 40.0–49.9)", "Tier 3 Moderate GIDA (Score &lt; 40.0)"))</f>
        <v/>
      </c>
      <c r="V966" s="26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W966" s="28" t="n">
        <v>0.109</v>
      </c>
      <c r="X966" s="14" t="n">
        <v>51.39</v>
      </c>
      <c r="Y966" s="14">
        <f>ROUND(MIN(100, (X966/69.91)*100), 2)</f>
        <v/>
      </c>
    </row>
    <row r="967">
      <c r="A967" s="10" t="n">
        <v>1</v>
      </c>
      <c r="B967" s="10" t="n">
        <v>963</v>
      </c>
      <c r="C967" s="10" t="n">
        <v>963</v>
      </c>
      <c r="D967" s="10" t="inlineStr">
        <is>
          <t>1380601152</t>
        </is>
      </c>
      <c r="E967" s="26" t="inlineStr">
        <is>
          <t>National Capital Region (NCR)</t>
        </is>
      </c>
      <c r="F967" s="26" t="inlineStr">
        <is>
          <t>First District (Not a Province)</t>
        </is>
      </c>
      <c r="G967" s="26" t="inlineStr">
        <is>
          <t>City of Manila</t>
        </is>
      </c>
      <c r="H967" s="26" t="inlineStr">
        <is>
          <t>Barangay 152</t>
        </is>
      </c>
      <c r="I967" s="27" t="n">
        <v>12.856505</v>
      </c>
      <c r="J967" s="27" t="n">
        <v>121.954732</v>
      </c>
      <c r="K967" s="10" t="inlineStr">
        <is>
          <t>U</t>
        </is>
      </c>
      <c r="L967" s="12" t="n">
        <v>6407</v>
      </c>
      <c r="M967" s="14" t="n">
        <v>3.9</v>
      </c>
      <c r="N967" s="12">
        <f>ROUND(L967/M967, 0)</f>
        <v/>
      </c>
      <c r="O967" s="12">
        <f>ROUND(N967*'Methodology &amp; Assumptions'!$B$5, 0)</f>
        <v/>
      </c>
      <c r="P967" s="10" t="inlineStr">
        <is>
          <t>Single Carrier (Band n50, 100MHz TDD)</t>
        </is>
      </c>
      <c r="Q967" s="13">
        <f>ROUNDUP(O967/'Methodology &amp; Assumptions'!$B$6, 0)</f>
        <v/>
      </c>
      <c r="R967" s="13" t="n">
        <v>1</v>
      </c>
      <c r="S967" s="14" t="n">
        <v>51.96</v>
      </c>
      <c r="T967" s="14" t="n">
        <v>51.45</v>
      </c>
      <c r="U967" s="26">
        <f>IF(X967&gt;='Methodology &amp; Assumptions'!$B$7, "Tier 1 Critical GIDA (Score ≥ 50.0)", IF(X967&gt;='Methodology &amp; Assumptions'!$B$8, "Tier 2 High GIDA (Score 40.0–49.9)", "Tier 3 Moderate GIDA (Score &lt; 40.0)"))</f>
        <v/>
      </c>
      <c r="V967" s="26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W967" s="28" t="n">
        <v>0.109</v>
      </c>
      <c r="X967" s="14" t="n">
        <v>51.39</v>
      </c>
      <c r="Y967" s="14">
        <f>ROUND(MIN(100, (X967/69.91)*100), 2)</f>
        <v/>
      </c>
    </row>
    <row r="968">
      <c r="A968" s="10" t="n">
        <v>1</v>
      </c>
      <c r="B968" s="10" t="n">
        <v>964</v>
      </c>
      <c r="C968" s="10" t="n">
        <v>964</v>
      </c>
      <c r="D968" s="10" t="inlineStr">
        <is>
          <t>0806012009</t>
        </is>
      </c>
      <c r="E968" s="26" t="inlineStr">
        <is>
          <t>Region VIII (Eastern Visayas)</t>
        </is>
      </c>
      <c r="F968" s="26" t="inlineStr">
        <is>
          <t>Samar</t>
        </is>
      </c>
      <c r="G968" s="26" t="inlineStr">
        <is>
          <t>Motiong</t>
        </is>
      </c>
      <c r="H968" s="26" t="inlineStr">
        <is>
          <t>Calapi</t>
        </is>
      </c>
      <c r="I968" s="27" t="n">
        <v>11.94157</v>
      </c>
      <c r="J968" s="27" t="n">
        <v>125.02061</v>
      </c>
      <c r="K968" s="10" t="inlineStr">
        <is>
          <t>R</t>
        </is>
      </c>
      <c r="L968" s="12" t="n">
        <v>2682</v>
      </c>
      <c r="M968" s="14" t="n">
        <v>4.1</v>
      </c>
      <c r="N968" s="12">
        <f>ROUND(L968/M968, 0)</f>
        <v/>
      </c>
      <c r="O968" s="12">
        <f>ROUND(N968*'Methodology &amp; Assumptions'!$B$5, 0)</f>
        <v/>
      </c>
      <c r="P968" s="10" t="inlineStr">
        <is>
          <t>Single Carrier (Band n50, 100MHz TDD)</t>
        </is>
      </c>
      <c r="Q968" s="13">
        <f>ROUNDUP(O968/'Methodology &amp; Assumptions'!$B$6, 0)</f>
        <v/>
      </c>
      <c r="R968" s="13" t="n">
        <v>1</v>
      </c>
      <c r="S968" s="14" t="n">
        <v>78.08</v>
      </c>
      <c r="T968" s="14" t="n">
        <v>79.88</v>
      </c>
      <c r="U968" s="26">
        <f>IF(X968&gt;='Methodology &amp; Assumptions'!$B$7, "Tier 1 Critical GIDA (Score ≥ 50.0)", IF(X968&gt;='Methodology &amp; Assumptions'!$B$8, "Tier 2 High GIDA (Score 40.0–49.9)", "Tier 3 Moderate GIDA (Score &lt; 40.0)"))</f>
        <v/>
      </c>
      <c r="V968" s="26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W968" s="28" t="n">
        <v>0.237</v>
      </c>
      <c r="X968" s="14" t="n">
        <v>51.38</v>
      </c>
      <c r="Y968" s="14">
        <f>ROUND(MIN(100, (X968/69.91)*100), 2)</f>
        <v/>
      </c>
    </row>
    <row r="969">
      <c r="A969" s="10" t="n">
        <v>1</v>
      </c>
      <c r="B969" s="10" t="n">
        <v>965</v>
      </c>
      <c r="C969" s="10" t="n">
        <v>965</v>
      </c>
      <c r="D969" s="10" t="inlineStr">
        <is>
          <t>0603040086</t>
        </is>
      </c>
      <c r="E969" s="26" t="inlineStr">
        <is>
          <t>Region VI (Western Visayas)</t>
        </is>
      </c>
      <c r="F969" s="26" t="inlineStr">
        <is>
          <t>Iloilo</t>
        </is>
      </c>
      <c r="G969" s="26" t="inlineStr">
        <is>
          <t>San Joaquin</t>
        </is>
      </c>
      <c r="H969" s="26" t="inlineStr">
        <is>
          <t>Torocadan</t>
        </is>
      </c>
      <c r="I969" s="27" t="n">
        <v>10.591707</v>
      </c>
      <c r="J969" s="27" t="n">
        <v>122.102658</v>
      </c>
      <c r="K969" s="10" t="inlineStr">
        <is>
          <t>R</t>
        </is>
      </c>
      <c r="L969" s="12" t="n">
        <v>227</v>
      </c>
      <c r="M969" s="14" t="n">
        <v>3.8</v>
      </c>
      <c r="N969" s="12">
        <f>ROUND(L969/M969, 0)</f>
        <v/>
      </c>
      <c r="O969" s="12">
        <f>ROUND(N969*'Methodology &amp; Assumptions'!$B$5, 0)</f>
        <v/>
      </c>
      <c r="P969" s="10" t="inlineStr">
        <is>
          <t>Single Carrier (Band n50, 100MHz TDD)</t>
        </is>
      </c>
      <c r="Q969" s="13">
        <f>ROUNDUP(O969/'Methodology &amp; Assumptions'!$B$6, 0)</f>
        <v/>
      </c>
      <c r="R969" s="13" t="n">
        <v>1</v>
      </c>
      <c r="S969" s="14" t="n">
        <v>26.15</v>
      </c>
      <c r="T969" s="14" t="n">
        <v>0.93</v>
      </c>
      <c r="U969" s="26">
        <f>IF(X969&gt;='Methodology &amp; Assumptions'!$B$7, "Tier 1 Critical GIDA (Score ≥ 50.0)", IF(X969&gt;='Methodology &amp; Assumptions'!$B$8, "Tier 2 High GIDA (Score 40.0–49.9)", "Tier 3 Moderate GIDA (Score &lt; 40.0)"))</f>
        <v/>
      </c>
      <c r="V969" s="26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W969" s="28" t="n">
        <v>0.237</v>
      </c>
      <c r="X969" s="14" t="n">
        <v>51.38</v>
      </c>
      <c r="Y969" s="14">
        <f>ROUND(MIN(100, (X969/69.91)*100), 2)</f>
        <v/>
      </c>
    </row>
    <row r="970">
      <c r="A970" s="10" t="n">
        <v>1</v>
      </c>
      <c r="B970" s="10" t="n">
        <v>966</v>
      </c>
      <c r="C970" s="10" t="n">
        <v>966</v>
      </c>
      <c r="D970" s="10" t="inlineStr">
        <is>
          <t>0603040075</t>
        </is>
      </c>
      <c r="E970" s="26" t="inlineStr">
        <is>
          <t>Region VI (Western Visayas)</t>
        </is>
      </c>
      <c r="F970" s="26" t="inlineStr">
        <is>
          <t>Iloilo</t>
        </is>
      </c>
      <c r="G970" s="26" t="inlineStr">
        <is>
          <t>San Joaquin</t>
        </is>
      </c>
      <c r="H970" s="26" t="inlineStr">
        <is>
          <t>Santiago</t>
        </is>
      </c>
      <c r="I970" s="27" t="n">
        <v>10.595905</v>
      </c>
      <c r="J970" s="27" t="n">
        <v>122.092874</v>
      </c>
      <c r="K970" s="10" t="inlineStr">
        <is>
          <t>R</t>
        </is>
      </c>
      <c r="L970" s="12" t="n">
        <v>130</v>
      </c>
      <c r="M970" s="14" t="n">
        <v>3.8</v>
      </c>
      <c r="N970" s="12">
        <f>ROUND(L970/M970, 0)</f>
        <v/>
      </c>
      <c r="O970" s="12">
        <f>ROUND(N970*'Methodology &amp; Assumptions'!$B$5, 0)</f>
        <v/>
      </c>
      <c r="P970" s="10" t="inlineStr">
        <is>
          <t>Single Carrier (Band n50, 100MHz TDD)</t>
        </is>
      </c>
      <c r="Q970" s="13">
        <f>ROUNDUP(O970/'Methodology &amp; Assumptions'!$B$6, 0)</f>
        <v/>
      </c>
      <c r="R970" s="13" t="n">
        <v>1</v>
      </c>
      <c r="S970" s="14" t="n">
        <v>25.08</v>
      </c>
      <c r="T970" s="14" t="n">
        <v>1.92</v>
      </c>
      <c r="U970" s="26">
        <f>IF(X970&gt;='Methodology &amp; Assumptions'!$B$7, "Tier 1 Critical GIDA (Score ≥ 50.0)", IF(X970&gt;='Methodology &amp; Assumptions'!$B$8, "Tier 2 High GIDA (Score 40.0–49.9)", "Tier 3 Moderate GIDA (Score &lt; 40.0)"))</f>
        <v/>
      </c>
      <c r="V970" s="26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W970" s="28" t="n">
        <v>0.237</v>
      </c>
      <c r="X970" s="14" t="n">
        <v>51.37</v>
      </c>
      <c r="Y970" s="14">
        <f>ROUND(MIN(100, (X970/69.91)*100), 2)</f>
        <v/>
      </c>
    </row>
    <row r="971">
      <c r="A971" s="10" t="n">
        <v>1</v>
      </c>
      <c r="B971" s="10" t="n">
        <v>967</v>
      </c>
      <c r="C971" s="10" t="n">
        <v>967</v>
      </c>
      <c r="D971" s="10" t="inlineStr">
        <is>
          <t>1380601099</t>
        </is>
      </c>
      <c r="E971" s="26" t="inlineStr">
        <is>
          <t>National Capital Region (NCR)</t>
        </is>
      </c>
      <c r="F971" s="26" t="inlineStr">
        <is>
          <t>First District (Not a Province)</t>
        </is>
      </c>
      <c r="G971" s="26" t="inlineStr">
        <is>
          <t>City of Manila</t>
        </is>
      </c>
      <c r="H971" s="26" t="inlineStr">
        <is>
          <t>Barangay 99</t>
        </is>
      </c>
      <c r="I971" s="27" t="n">
        <v>12.776998</v>
      </c>
      <c r="J971" s="27" t="n">
        <v>121.623541</v>
      </c>
      <c r="K971" s="10" t="inlineStr">
        <is>
          <t>U</t>
        </is>
      </c>
      <c r="L971" s="12" t="n">
        <v>6502</v>
      </c>
      <c r="M971" s="14" t="n">
        <v>3.9</v>
      </c>
      <c r="N971" s="12">
        <f>ROUND(L971/M971, 0)</f>
        <v/>
      </c>
      <c r="O971" s="12">
        <f>ROUND(N971*'Methodology &amp; Assumptions'!$B$5, 0)</f>
        <v/>
      </c>
      <c r="P971" s="10" t="inlineStr">
        <is>
          <t>Single Carrier (Band n50, 100MHz TDD)</t>
        </is>
      </c>
      <c r="Q971" s="13">
        <f>ROUNDUP(O971/'Methodology &amp; Assumptions'!$B$6, 0)</f>
        <v/>
      </c>
      <c r="R971" s="13" t="n">
        <v>1</v>
      </c>
      <c r="S971" s="14" t="n">
        <v>15.22</v>
      </c>
      <c r="T971" s="14" t="n">
        <v>15.16</v>
      </c>
      <c r="U971" s="26">
        <f>IF(X971&gt;='Methodology &amp; Assumptions'!$B$7, "Tier 1 Critical GIDA (Score ≥ 50.0)", IF(X971&gt;='Methodology &amp; Assumptions'!$B$8, "Tier 2 High GIDA (Score 40.0–49.9)", "Tier 3 Moderate GIDA (Score &lt; 40.0)"))</f>
        <v/>
      </c>
      <c r="V971" s="26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W971" s="28" t="n">
        <v>0.109</v>
      </c>
      <c r="X971" s="14" t="n">
        <v>51.37</v>
      </c>
      <c r="Y971" s="14">
        <f>ROUND(MIN(100, (X971/69.91)*100), 2)</f>
        <v/>
      </c>
    </row>
    <row r="972">
      <c r="A972" s="10" t="n">
        <v>1</v>
      </c>
      <c r="B972" s="10" t="n">
        <v>968</v>
      </c>
      <c r="C972" s="10" t="n">
        <v>968</v>
      </c>
      <c r="D972" s="10" t="inlineStr">
        <is>
          <t>1381200023</t>
        </is>
      </c>
      <c r="E972" s="26" t="inlineStr">
        <is>
          <t>National Capital Region (NCR)</t>
        </is>
      </c>
      <c r="F972" s="26" t="inlineStr">
        <is>
          <t>Second District (Not a Province)</t>
        </is>
      </c>
      <c r="G972" s="26" t="inlineStr">
        <is>
          <t>City of Pasig</t>
        </is>
      </c>
      <c r="H972" s="26" t="inlineStr">
        <is>
          <t>San Nicolas</t>
        </is>
      </c>
      <c r="I972" s="27" t="n">
        <v>14.561523</v>
      </c>
      <c r="J972" s="27" t="n">
        <v>121.07882</v>
      </c>
      <c r="K972" s="10" t="inlineStr">
        <is>
          <t>U</t>
        </is>
      </c>
      <c r="L972" s="12" t="n">
        <v>2764</v>
      </c>
      <c r="M972" s="14" t="n">
        <v>3.4</v>
      </c>
      <c r="N972" s="12">
        <f>ROUND(L972/M972, 0)</f>
        <v/>
      </c>
      <c r="O972" s="12">
        <f>ROUND(N972*'Methodology &amp; Assumptions'!$B$5, 0)</f>
        <v/>
      </c>
      <c r="P972" s="10" t="inlineStr">
        <is>
          <t>Single Carrier (Band n50, 100MHz TDD)</t>
        </is>
      </c>
      <c r="Q972" s="13">
        <f>ROUNDUP(O972/'Methodology &amp; Assumptions'!$B$6, 0)</f>
        <v/>
      </c>
      <c r="R972" s="13" t="n">
        <v>1</v>
      </c>
      <c r="S972" s="14" t="n">
        <v>0.26</v>
      </c>
      <c r="T972" s="14" t="n">
        <v>0.25</v>
      </c>
      <c r="U972" s="26">
        <f>IF(X972&gt;='Methodology &amp; Assumptions'!$B$7, "Tier 1 Critical GIDA (Score ≥ 50.0)", IF(X972&gt;='Methodology &amp; Assumptions'!$B$8, "Tier 2 High GIDA (Score 40.0–49.9)", "Tier 3 Moderate GIDA (Score &lt; 40.0)"))</f>
        <v/>
      </c>
      <c r="V972" s="26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W972" s="28" t="n">
        <v>0.109</v>
      </c>
      <c r="X972" s="14" t="n">
        <v>51.37</v>
      </c>
      <c r="Y972" s="14">
        <f>ROUND(MIN(100, (X972/69.91)*100), 2)</f>
        <v/>
      </c>
    </row>
    <row r="973">
      <c r="A973" s="10" t="n">
        <v>1</v>
      </c>
      <c r="B973" s="10" t="n">
        <v>969</v>
      </c>
      <c r="C973" s="10" t="n">
        <v>969</v>
      </c>
      <c r="D973" s="10" t="inlineStr">
        <is>
          <t>0806022011</t>
        </is>
      </c>
      <c r="E973" s="26" t="inlineStr">
        <is>
          <t>Region VIII (Eastern Visayas)</t>
        </is>
      </c>
      <c r="F973" s="26" t="inlineStr">
        <is>
          <t>Samar</t>
        </is>
      </c>
      <c r="G973" s="26" t="inlineStr">
        <is>
          <t>Paranas</t>
        </is>
      </c>
      <c r="H973" s="26" t="inlineStr">
        <is>
          <t>Casandig I</t>
        </is>
      </c>
      <c r="I973" s="27" t="n">
        <v>11.831016</v>
      </c>
      <c r="J973" s="27" t="n">
        <v>125.097234</v>
      </c>
      <c r="K973" s="10" t="inlineStr">
        <is>
          <t>R</t>
        </is>
      </c>
      <c r="L973" s="12" t="n">
        <v>682</v>
      </c>
      <c r="M973" s="14" t="n">
        <v>4.1</v>
      </c>
      <c r="N973" s="12">
        <f>ROUND(L973/M973, 0)</f>
        <v/>
      </c>
      <c r="O973" s="12">
        <f>ROUND(N973*'Methodology &amp; Assumptions'!$B$5, 0)</f>
        <v/>
      </c>
      <c r="P973" s="10" t="inlineStr">
        <is>
          <t>Single Carrier (Band n50, 100MHz TDD)</t>
        </is>
      </c>
      <c r="Q973" s="13">
        <f>ROUNDUP(O973/'Methodology &amp; Assumptions'!$B$6, 0)</f>
        <v/>
      </c>
      <c r="R973" s="13" t="n">
        <v>1</v>
      </c>
      <c r="S973" s="14" t="n">
        <v>66.56999999999999</v>
      </c>
      <c r="T973" s="14" t="n">
        <v>69.44</v>
      </c>
      <c r="U973" s="26">
        <f>IF(X973&gt;='Methodology &amp; Assumptions'!$B$7, "Tier 1 Critical GIDA (Score ≥ 50.0)", IF(X973&gt;='Methodology &amp; Assumptions'!$B$8, "Tier 2 High GIDA (Score 40.0–49.9)", "Tier 3 Moderate GIDA (Score &lt; 40.0)"))</f>
        <v/>
      </c>
      <c r="V973" s="26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W973" s="28" t="n">
        <v>0.237</v>
      </c>
      <c r="X973" s="14" t="n">
        <v>51.36</v>
      </c>
      <c r="Y973" s="14">
        <f>ROUND(MIN(100, (X973/69.91)*100), 2)</f>
        <v/>
      </c>
    </row>
    <row r="974">
      <c r="A974" s="10" t="n">
        <v>1</v>
      </c>
      <c r="B974" s="10" t="n">
        <v>970</v>
      </c>
      <c r="C974" s="10" t="n">
        <v>970</v>
      </c>
      <c r="D974" s="10" t="inlineStr">
        <is>
          <t>1380605076</t>
        </is>
      </c>
      <c r="E974" s="26" t="inlineStr">
        <is>
          <t>National Capital Region (NCR)</t>
        </is>
      </c>
      <c r="F974" s="26" t="inlineStr">
        <is>
          <t>First District (Not a Province)</t>
        </is>
      </c>
      <c r="G974" s="26" t="inlineStr">
        <is>
          <t>City of Manila</t>
        </is>
      </c>
      <c r="H974" s="26" t="inlineStr">
        <is>
          <t>Barangay 373</t>
        </is>
      </c>
      <c r="I974" s="27" t="n">
        <v>13.055828</v>
      </c>
      <c r="J974" s="27" t="n">
        <v>121.814054</v>
      </c>
      <c r="K974" s="10" t="inlineStr">
        <is>
          <t>U</t>
        </is>
      </c>
      <c r="L974" s="12" t="n">
        <v>3903</v>
      </c>
      <c r="M974" s="14" t="n">
        <v>3.9</v>
      </c>
      <c r="N974" s="12">
        <f>ROUND(L974/M974, 0)</f>
        <v/>
      </c>
      <c r="O974" s="12">
        <f>ROUND(N974*'Methodology &amp; Assumptions'!$B$5, 0)</f>
        <v/>
      </c>
      <c r="P974" s="10" t="inlineStr">
        <is>
          <t>Single Carrier (Band n50, 100MHz TDD)</t>
        </is>
      </c>
      <c r="Q974" s="13">
        <f>ROUNDUP(O974/'Methodology &amp; Assumptions'!$B$6, 0)</f>
        <v/>
      </c>
      <c r="R974" s="13" t="n">
        <v>1</v>
      </c>
      <c r="S974" s="14" t="n">
        <v>33.31</v>
      </c>
      <c r="T974" s="14" t="n">
        <v>36.27</v>
      </c>
      <c r="U974" s="26">
        <f>IF(X974&gt;='Methodology &amp; Assumptions'!$B$7, "Tier 1 Critical GIDA (Score ≥ 50.0)", IF(X974&gt;='Methodology &amp; Assumptions'!$B$8, "Tier 2 High GIDA (Score 40.0–49.9)", "Tier 3 Moderate GIDA (Score &lt; 40.0)"))</f>
        <v/>
      </c>
      <c r="V974" s="26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W974" s="28" t="n">
        <v>0.109</v>
      </c>
      <c r="X974" s="14" t="n">
        <v>51.36</v>
      </c>
      <c r="Y974" s="14">
        <f>ROUND(MIN(100, (X974/69.91)*100), 2)</f>
        <v/>
      </c>
    </row>
    <row r="975">
      <c r="A975" s="10" t="n">
        <v>1</v>
      </c>
      <c r="B975" s="10" t="n">
        <v>971</v>
      </c>
      <c r="C975" s="10" t="n">
        <v>971</v>
      </c>
      <c r="D975" s="10" t="inlineStr">
        <is>
          <t>0806022019</t>
        </is>
      </c>
      <c r="E975" s="26" t="inlineStr">
        <is>
          <t>Region VIII (Eastern Visayas)</t>
        </is>
      </c>
      <c r="F975" s="26" t="inlineStr">
        <is>
          <t>Samar</t>
        </is>
      </c>
      <c r="G975" s="26" t="inlineStr">
        <is>
          <t>Paranas</t>
        </is>
      </c>
      <c r="H975" s="26" t="inlineStr">
        <is>
          <t>Maylobe</t>
        </is>
      </c>
      <c r="I975" s="27" t="n">
        <v>11.938405</v>
      </c>
      <c r="J975" s="27" t="n">
        <v>125.060825</v>
      </c>
      <c r="K975" s="10" t="inlineStr">
        <is>
          <t>R</t>
        </is>
      </c>
      <c r="L975" s="12" t="n">
        <v>345</v>
      </c>
      <c r="M975" s="14" t="n">
        <v>4.1</v>
      </c>
      <c r="N975" s="12">
        <f>ROUND(L975/M975, 0)</f>
        <v/>
      </c>
      <c r="O975" s="12">
        <f>ROUND(N975*'Methodology &amp; Assumptions'!$B$5, 0)</f>
        <v/>
      </c>
      <c r="P975" s="10" t="inlineStr">
        <is>
          <t>Single Carrier (Band n50, 100MHz TDD)</t>
        </is>
      </c>
      <c r="Q975" s="13">
        <f>ROUNDUP(O975/'Methodology &amp; Assumptions'!$B$6, 0)</f>
        <v/>
      </c>
      <c r="R975" s="13" t="n">
        <v>1</v>
      </c>
      <c r="S975" s="14" t="n">
        <v>77.95999999999999</v>
      </c>
      <c r="T975" s="14" t="n">
        <v>80.92</v>
      </c>
      <c r="U975" s="26">
        <f>IF(X975&gt;='Methodology &amp; Assumptions'!$B$7, "Tier 1 Critical GIDA (Score ≥ 50.0)", IF(X975&gt;='Methodology &amp; Assumptions'!$B$8, "Tier 2 High GIDA (Score 40.0–49.9)", "Tier 3 Moderate GIDA (Score &lt; 40.0)"))</f>
        <v/>
      </c>
      <c r="V975" s="26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W975" s="28" t="n">
        <v>0.237</v>
      </c>
      <c r="X975" s="14" t="n">
        <v>51.36</v>
      </c>
      <c r="Y975" s="14">
        <f>ROUND(MIN(100, (X975/69.91)*100), 2)</f>
        <v/>
      </c>
    </row>
    <row r="976">
      <c r="A976" s="10" t="n">
        <v>1</v>
      </c>
      <c r="B976" s="10" t="n">
        <v>972</v>
      </c>
      <c r="C976" s="10" t="n">
        <v>972</v>
      </c>
      <c r="D976" s="10" t="inlineStr">
        <is>
          <t>0205010028</t>
        </is>
      </c>
      <c r="E976" s="26" t="inlineStr">
        <is>
          <t>Region II (Cagayan Valley)</t>
        </is>
      </c>
      <c r="F976" s="26" t="inlineStr">
        <is>
          <t>Nueva Vizcaya</t>
        </is>
      </c>
      <c r="G976" s="26" t="inlineStr">
        <is>
          <t>Kayapa</t>
        </is>
      </c>
      <c r="H976" s="26" t="inlineStr">
        <is>
          <t>Latbang</t>
        </is>
      </c>
      <c r="I976" s="27" t="n">
        <v>16.4877</v>
      </c>
      <c r="J976" s="27" t="n">
        <v>120.98284</v>
      </c>
      <c r="K976" s="10" t="inlineStr">
        <is>
          <t>R</t>
        </is>
      </c>
      <c r="L976" s="12" t="n">
        <v>1027</v>
      </c>
      <c r="M976" s="14" t="n">
        <v>3.8</v>
      </c>
      <c r="N976" s="12">
        <f>ROUND(L976/M976, 0)</f>
        <v/>
      </c>
      <c r="O976" s="12">
        <f>ROUND(N976*'Methodology &amp; Assumptions'!$B$5, 0)</f>
        <v/>
      </c>
      <c r="P976" s="10" t="inlineStr">
        <is>
          <t>Single Carrier (Band n50, 100MHz TDD)</t>
        </is>
      </c>
      <c r="Q976" s="13">
        <f>ROUNDUP(O976/'Methodology &amp; Assumptions'!$B$6, 0)</f>
        <v/>
      </c>
      <c r="R976" s="13" t="n">
        <v>1</v>
      </c>
      <c r="S976" s="14" t="n">
        <v>16.9</v>
      </c>
      <c r="T976" s="14" t="n">
        <v>13.86</v>
      </c>
      <c r="U976" s="26">
        <f>IF(X976&gt;='Methodology &amp; Assumptions'!$B$7, "Tier 1 Critical GIDA (Score ≥ 50.0)", IF(X976&gt;='Methodology &amp; Assumptions'!$B$8, "Tier 2 High GIDA (Score 40.0–49.9)", "Tier 3 Moderate GIDA (Score &lt; 40.0)"))</f>
        <v/>
      </c>
      <c r="V976" s="26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W976" s="28" t="n">
        <v>0.083</v>
      </c>
      <c r="X976" s="14" t="n">
        <v>51.35</v>
      </c>
      <c r="Y976" s="14">
        <f>ROUND(MIN(100, (X976/69.91)*100), 2)</f>
        <v/>
      </c>
    </row>
    <row r="977">
      <c r="A977" s="10" t="n">
        <v>1</v>
      </c>
      <c r="B977" s="10" t="n">
        <v>973</v>
      </c>
      <c r="C977" s="10" t="n">
        <v>973</v>
      </c>
      <c r="D977" s="10" t="inlineStr">
        <is>
          <t>1380606024</t>
        </is>
      </c>
      <c r="E977" s="26" t="inlineStr">
        <is>
          <t>National Capital Region (NCR)</t>
        </is>
      </c>
      <c r="F977" s="26" t="inlineStr">
        <is>
          <t>First District (Not a Province)</t>
        </is>
      </c>
      <c r="G977" s="26" t="inlineStr">
        <is>
          <t>City of Manila</t>
        </is>
      </c>
      <c r="H977" s="26" t="inlineStr">
        <is>
          <t>Barangay 418</t>
        </is>
      </c>
      <c r="I977" s="27" t="n">
        <v>12.722296</v>
      </c>
      <c r="J977" s="27" t="n">
        <v>121.867223</v>
      </c>
      <c r="K977" s="10" t="inlineStr">
        <is>
          <t>U</t>
        </is>
      </c>
      <c r="L977" s="12" t="n">
        <v>2921</v>
      </c>
      <c r="M977" s="14" t="n">
        <v>3.9</v>
      </c>
      <c r="N977" s="12">
        <f>ROUND(L977/M977, 0)</f>
        <v/>
      </c>
      <c r="O977" s="12">
        <f>ROUND(N977*'Methodology &amp; Assumptions'!$B$5, 0)</f>
        <v/>
      </c>
      <c r="P977" s="10" t="inlineStr">
        <is>
          <t>Single Carrier (Band n50, 100MHz TDD)</t>
        </is>
      </c>
      <c r="Q977" s="13">
        <f>ROUNDUP(O977/'Methodology &amp; Assumptions'!$B$6, 0)</f>
        <v/>
      </c>
      <c r="R977" s="13" t="n">
        <v>1</v>
      </c>
      <c r="S977" s="14" t="n">
        <v>36.67</v>
      </c>
      <c r="T977" s="14" t="n">
        <v>35.08</v>
      </c>
      <c r="U977" s="26">
        <f>IF(X977&gt;='Methodology &amp; Assumptions'!$B$7, "Tier 1 Critical GIDA (Score ≥ 50.0)", IF(X977&gt;='Methodology &amp; Assumptions'!$B$8, "Tier 2 High GIDA (Score 40.0–49.9)", "Tier 3 Moderate GIDA (Score &lt; 40.0)"))</f>
        <v/>
      </c>
      <c r="V977" s="26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W977" s="28" t="n">
        <v>0.109</v>
      </c>
      <c r="X977" s="14" t="n">
        <v>51.35</v>
      </c>
      <c r="Y977" s="14">
        <f>ROUND(MIN(100, (X977/69.91)*100), 2)</f>
        <v/>
      </c>
    </row>
    <row r="978">
      <c r="A978" s="10" t="n">
        <v>1</v>
      </c>
      <c r="B978" s="10" t="n">
        <v>974</v>
      </c>
      <c r="C978" s="10" t="n">
        <v>974</v>
      </c>
      <c r="D978" s="10" t="inlineStr">
        <is>
          <t>PH0000974</t>
        </is>
      </c>
      <c r="E978" s="26" t="inlineStr">
        <is>
          <t>VIII</t>
        </is>
      </c>
      <c r="F978" s="26" t="inlineStr">
        <is>
          <t>Leyte</t>
        </is>
      </c>
      <c r="G978" s="26" t="inlineStr">
        <is>
          <t>Tacloban City</t>
        </is>
      </c>
      <c r="H978" s="26" t="inlineStr">
        <is>
          <t>Barangay 13</t>
        </is>
      </c>
      <c r="I978" s="27" t="n">
        <v>11.280487</v>
      </c>
      <c r="J978" s="27" t="n">
        <v>124.992265</v>
      </c>
      <c r="K978" s="10" t="inlineStr">
        <is>
          <t>R</t>
        </is>
      </c>
      <c r="L978" s="12" t="n">
        <v>2258</v>
      </c>
      <c r="M978" s="14" t="n">
        <v>3.8</v>
      </c>
      <c r="N978" s="12">
        <f>ROUND(L978/M978, 0)</f>
        <v/>
      </c>
      <c r="O978" s="12">
        <f>ROUND(N978*'Methodology &amp; Assumptions'!$B$5, 0)</f>
        <v/>
      </c>
      <c r="P978" s="10" t="inlineStr">
        <is>
          <t>Single Carrier (Band n50, 100MHz TDD)</t>
        </is>
      </c>
      <c r="Q978" s="13">
        <f>ROUNDUP(O978/'Methodology &amp; Assumptions'!$B$6, 0)</f>
        <v/>
      </c>
      <c r="R978" s="13" t="n">
        <v>1</v>
      </c>
      <c r="S978" s="14" t="n">
        <v>4.68</v>
      </c>
      <c r="T978" s="14" t="n">
        <v>7.79</v>
      </c>
      <c r="U978" s="26">
        <f>IF(X978&gt;='Methodology &amp; Assumptions'!$B$7, "Tier 1 Critical GIDA (Score ≥ 50.0)", IF(X978&gt;='Methodology &amp; Assumptions'!$B$8, "Tier 2 High GIDA (Score 40.0–49.9)", "Tier 3 Moderate GIDA (Score &lt; 40.0)"))</f>
        <v/>
      </c>
      <c r="V978" s="26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W978" s="28" t="n">
        <v>0.222</v>
      </c>
      <c r="X978" s="14" t="n">
        <v>51.34</v>
      </c>
      <c r="Y978" s="14">
        <f>ROUND(MIN(100, (X978/69.91)*100), 2)</f>
        <v/>
      </c>
    </row>
    <row r="979">
      <c r="A979" s="10" t="n">
        <v>1</v>
      </c>
      <c r="B979" s="10" t="n">
        <v>975</v>
      </c>
      <c r="C979" s="10" t="n">
        <v>975</v>
      </c>
      <c r="D979" s="10" t="inlineStr">
        <is>
          <t>0600406010</t>
        </is>
      </c>
      <c r="E979" s="26" t="inlineStr">
        <is>
          <t>Region VI (Western Visayas)</t>
        </is>
      </c>
      <c r="F979" s="26" t="inlineStr">
        <is>
          <t>Aklan</t>
        </is>
      </c>
      <c r="G979" s="26" t="inlineStr">
        <is>
          <t>Ibajay</t>
        </is>
      </c>
      <c r="H979" s="26" t="inlineStr">
        <is>
          <t>Bugtongbato</t>
        </is>
      </c>
      <c r="I979" s="27" t="n">
        <v>11.773259</v>
      </c>
      <c r="J979" s="27" t="n">
        <v>122.21603</v>
      </c>
      <c r="K979" s="10" t="inlineStr">
        <is>
          <t>R</t>
        </is>
      </c>
      <c r="L979" s="12" t="n">
        <v>1761</v>
      </c>
      <c r="M979" s="14" t="n">
        <v>3.9</v>
      </c>
      <c r="N979" s="12">
        <f>ROUND(L979/M979, 0)</f>
        <v/>
      </c>
      <c r="O979" s="12">
        <f>ROUND(N979*'Methodology &amp; Assumptions'!$B$5, 0)</f>
        <v/>
      </c>
      <c r="P979" s="10" t="inlineStr">
        <is>
          <t>Single Carrier (Band n50, 100MHz TDD)</t>
        </is>
      </c>
      <c r="Q979" s="13">
        <f>ROUNDUP(O979/'Methodology &amp; Assumptions'!$B$6, 0)</f>
        <v/>
      </c>
      <c r="R979" s="13" t="n">
        <v>1</v>
      </c>
      <c r="S979" s="14" t="n">
        <v>10.56</v>
      </c>
      <c r="T979" s="14" t="n">
        <v>0.73</v>
      </c>
      <c r="U979" s="26">
        <f>IF(X979&gt;='Methodology &amp; Assumptions'!$B$7, "Tier 1 Critical GIDA (Score ≥ 50.0)", IF(X979&gt;='Methodology &amp; Assumptions'!$B$8, "Tier 2 High GIDA (Score 40.0–49.9)", "Tier 3 Moderate GIDA (Score &lt; 40.0)"))</f>
        <v/>
      </c>
      <c r="V979" s="26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W979" s="28" t="n">
        <v>0.237</v>
      </c>
      <c r="X979" s="14" t="n">
        <v>51.33</v>
      </c>
      <c r="Y979" s="14">
        <f>ROUND(MIN(100, (X979/69.91)*100), 2)</f>
        <v/>
      </c>
    </row>
    <row r="980">
      <c r="A980" s="10" t="n">
        <v>1</v>
      </c>
      <c r="B980" s="10" t="n">
        <v>976</v>
      </c>
      <c r="C980" s="10" t="n">
        <v>976</v>
      </c>
      <c r="D980" s="10" t="inlineStr">
        <is>
          <t>1380601085</t>
        </is>
      </c>
      <c r="E980" s="26" t="inlineStr">
        <is>
          <t>National Capital Region (NCR)</t>
        </is>
      </c>
      <c r="F980" s="26" t="inlineStr">
        <is>
          <t>First District (Not a Province)</t>
        </is>
      </c>
      <c r="G980" s="26" t="inlineStr">
        <is>
          <t>City of Manila</t>
        </is>
      </c>
      <c r="H980" s="26" t="inlineStr">
        <is>
          <t>Barangay 85</t>
        </is>
      </c>
      <c r="I980" s="27" t="n">
        <v>12.93476</v>
      </c>
      <c r="J980" s="27" t="n">
        <v>121.594864</v>
      </c>
      <c r="K980" s="10" t="inlineStr">
        <is>
          <t>U</t>
        </is>
      </c>
      <c r="L980" s="12" t="n">
        <v>4154</v>
      </c>
      <c r="M980" s="14" t="n">
        <v>3.9</v>
      </c>
      <c r="N980" s="12">
        <f>ROUND(L980/M980, 0)</f>
        <v/>
      </c>
      <c r="O980" s="12">
        <f>ROUND(N980*'Methodology &amp; Assumptions'!$B$5, 0)</f>
        <v/>
      </c>
      <c r="P980" s="10" t="inlineStr">
        <is>
          <t>Single Carrier (Band n50, 100MHz TDD)</t>
        </is>
      </c>
      <c r="Q980" s="13">
        <f>ROUNDUP(O980/'Methodology &amp; Assumptions'!$B$6, 0)</f>
        <v/>
      </c>
      <c r="R980" s="13" t="n">
        <v>1</v>
      </c>
      <c r="S980" s="14" t="n">
        <v>13.01</v>
      </c>
      <c r="T980" s="14" t="n">
        <v>12.87</v>
      </c>
      <c r="U980" s="26">
        <f>IF(X980&gt;='Methodology &amp; Assumptions'!$B$7, "Tier 1 Critical GIDA (Score ≥ 50.0)", IF(X980&gt;='Methodology &amp; Assumptions'!$B$8, "Tier 2 High GIDA (Score 40.0–49.9)", "Tier 3 Moderate GIDA (Score &lt; 40.0)"))</f>
        <v/>
      </c>
      <c r="V980" s="26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W980" s="28" t="n">
        <v>0.109</v>
      </c>
      <c r="X980" s="14" t="n">
        <v>51.33</v>
      </c>
      <c r="Y980" s="14">
        <f>ROUND(MIN(100, (X980/69.91)*100), 2)</f>
        <v/>
      </c>
    </row>
    <row r="981">
      <c r="A981" s="10" t="n">
        <v>1</v>
      </c>
      <c r="B981" s="10" t="n">
        <v>977</v>
      </c>
      <c r="C981" s="10" t="n">
        <v>977</v>
      </c>
      <c r="D981" s="10" t="inlineStr">
        <is>
          <t>0806022045</t>
        </is>
      </c>
      <c r="E981" s="26" t="inlineStr">
        <is>
          <t>Region VIII (Eastern Visayas)</t>
        </is>
      </c>
      <c r="F981" s="26" t="inlineStr">
        <is>
          <t>Samar</t>
        </is>
      </c>
      <c r="G981" s="26" t="inlineStr">
        <is>
          <t>Paranas</t>
        </is>
      </c>
      <c r="H981" s="26" t="inlineStr">
        <is>
          <t>Tigbawon</t>
        </is>
      </c>
      <c r="I981" s="27" t="n">
        <v>11.7392</v>
      </c>
      <c r="J981" s="27" t="n">
        <v>125.0465</v>
      </c>
      <c r="K981" s="10" t="inlineStr">
        <is>
          <t>R</t>
        </is>
      </c>
      <c r="L981" s="12" t="n">
        <v>1075</v>
      </c>
      <c r="M981" s="14" t="n">
        <v>4.1</v>
      </c>
      <c r="N981" s="12">
        <f>ROUND(L981/M981, 0)</f>
        <v/>
      </c>
      <c r="O981" s="12">
        <f>ROUND(N981*'Methodology &amp; Assumptions'!$B$5, 0)</f>
        <v/>
      </c>
      <c r="P981" s="10" t="inlineStr">
        <is>
          <t>Single Carrier (Band n50, 100MHz TDD)</t>
        </is>
      </c>
      <c r="Q981" s="13">
        <f>ROUNDUP(O981/'Methodology &amp; Assumptions'!$B$6, 0)</f>
        <v/>
      </c>
      <c r="R981" s="13" t="n">
        <v>1</v>
      </c>
      <c r="S981" s="14" t="n">
        <v>55.76</v>
      </c>
      <c r="T981" s="14" t="n">
        <v>58.71</v>
      </c>
      <c r="U981" s="26">
        <f>IF(X981&gt;='Methodology &amp; Assumptions'!$B$7, "Tier 1 Critical GIDA (Score ≥ 50.0)", IF(X981&gt;='Methodology &amp; Assumptions'!$B$8, "Tier 2 High GIDA (Score 40.0–49.9)", "Tier 3 Moderate GIDA (Score &lt; 40.0)"))</f>
        <v/>
      </c>
      <c r="V981" s="26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W981" s="28" t="n">
        <v>0.237</v>
      </c>
      <c r="X981" s="14" t="n">
        <v>51.33</v>
      </c>
      <c r="Y981" s="14">
        <f>ROUND(MIN(100, (X981/69.91)*100), 2)</f>
        <v/>
      </c>
    </row>
    <row r="982">
      <c r="A982" s="10" t="n">
        <v>1</v>
      </c>
      <c r="B982" s="10" t="n">
        <v>978</v>
      </c>
      <c r="C982" s="10" t="n">
        <v>978</v>
      </c>
      <c r="D982" s="10" t="inlineStr">
        <is>
          <t>0603040040</t>
        </is>
      </c>
      <c r="E982" s="26" t="inlineStr">
        <is>
          <t>Region VI (Western Visayas)</t>
        </is>
      </c>
      <c r="F982" s="26" t="inlineStr">
        <is>
          <t>Iloilo</t>
        </is>
      </c>
      <c r="G982" s="26" t="inlineStr">
        <is>
          <t>San Joaquin</t>
        </is>
      </c>
      <c r="H982" s="26" t="inlineStr">
        <is>
          <t>Igdagmay</t>
        </is>
      </c>
      <c r="I982" s="27" t="n">
        <v>10.670255</v>
      </c>
      <c r="J982" s="27" t="n">
        <v>122.093475</v>
      </c>
      <c r="K982" s="10" t="inlineStr">
        <is>
          <t>R</t>
        </is>
      </c>
      <c r="L982" s="12" t="n">
        <v>191</v>
      </c>
      <c r="M982" s="14" t="n">
        <v>3.8</v>
      </c>
      <c r="N982" s="12">
        <f>ROUND(L982/M982, 0)</f>
        <v/>
      </c>
      <c r="O982" s="12">
        <f>ROUND(N982*'Methodology &amp; Assumptions'!$B$5, 0)</f>
        <v/>
      </c>
      <c r="P982" s="10" t="inlineStr">
        <is>
          <t>Single Carrier (Band n50, 100MHz TDD)</t>
        </is>
      </c>
      <c r="Q982" s="13">
        <f>ROUNDUP(O982/'Methodology &amp; Assumptions'!$B$6, 0)</f>
        <v/>
      </c>
      <c r="R982" s="13" t="n">
        <v>1</v>
      </c>
      <c r="S982" s="14" t="n">
        <v>19.83</v>
      </c>
      <c r="T982" s="14" t="n">
        <v>9.68</v>
      </c>
      <c r="U982" s="26">
        <f>IF(X982&gt;='Methodology &amp; Assumptions'!$B$7, "Tier 1 Critical GIDA (Score ≥ 50.0)", IF(X982&gt;='Methodology &amp; Assumptions'!$B$8, "Tier 2 High GIDA (Score 40.0–49.9)", "Tier 3 Moderate GIDA (Score &lt; 40.0)"))</f>
        <v/>
      </c>
      <c r="V982" s="26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W982" s="28" t="n">
        <v>0.237</v>
      </c>
      <c r="X982" s="14" t="n">
        <v>51.33</v>
      </c>
      <c r="Y982" s="14">
        <f>ROUND(MIN(100, (X982/69.91)*100), 2)</f>
        <v/>
      </c>
    </row>
    <row r="983">
      <c r="A983" s="10" t="n">
        <v>1</v>
      </c>
      <c r="B983" s="10" t="n">
        <v>979</v>
      </c>
      <c r="C983" s="10" t="n">
        <v>979</v>
      </c>
      <c r="D983" s="10" t="inlineStr">
        <is>
          <t>PH0000979</t>
        </is>
      </c>
      <c r="E983" s="26" t="inlineStr">
        <is>
          <t>VI</t>
        </is>
      </c>
      <c r="F983" s="26" t="inlineStr">
        <is>
          <t>Capiz</t>
        </is>
      </c>
      <c r="G983" s="26" t="inlineStr">
        <is>
          <t>Roxas City</t>
        </is>
      </c>
      <c r="H983" s="26" t="inlineStr">
        <is>
          <t>Poblacion VIII</t>
        </is>
      </c>
      <c r="I983" s="27" t="n">
        <v>11.575462</v>
      </c>
      <c r="J983" s="27" t="n">
        <v>122.754924</v>
      </c>
      <c r="K983" s="10" t="inlineStr">
        <is>
          <t>R</t>
        </is>
      </c>
      <c r="L983" s="12" t="n">
        <v>2282</v>
      </c>
      <c r="M983" s="14" t="n">
        <v>3.8</v>
      </c>
      <c r="N983" s="12">
        <f>ROUND(L983/M983, 0)</f>
        <v/>
      </c>
      <c r="O983" s="12">
        <f>ROUND(N983*'Methodology &amp; Assumptions'!$B$5, 0)</f>
        <v/>
      </c>
      <c r="P983" s="10" t="inlineStr">
        <is>
          <t>Single Carrier (Band n50, 100MHz TDD)</t>
        </is>
      </c>
      <c r="Q983" s="13">
        <f>ROUNDUP(O983/'Methodology &amp; Assumptions'!$B$6, 0)</f>
        <v/>
      </c>
      <c r="R983" s="13" t="n">
        <v>1</v>
      </c>
      <c r="S983" s="14" t="n">
        <v>1.66</v>
      </c>
      <c r="T983" s="14" t="n">
        <v>0.16</v>
      </c>
      <c r="U983" s="26">
        <f>IF(X983&gt;='Methodology &amp; Assumptions'!$B$7, "Tier 1 Critical GIDA (Score ≥ 50.0)", IF(X983&gt;='Methodology &amp; Assumptions'!$B$8, "Tier 2 High GIDA (Score 40.0–49.9)", "Tier 3 Moderate GIDA (Score &lt; 40.0)"))</f>
        <v/>
      </c>
      <c r="V983" s="26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W983" s="28" t="n">
        <v>0.156</v>
      </c>
      <c r="X983" s="14" t="n">
        <v>51.32</v>
      </c>
      <c r="Y983" s="14">
        <f>ROUND(MIN(100, (X983/69.91)*100), 2)</f>
        <v/>
      </c>
    </row>
    <row r="984">
      <c r="A984" s="10" t="n">
        <v>1</v>
      </c>
      <c r="B984" s="10" t="n">
        <v>980</v>
      </c>
      <c r="C984" s="10" t="n">
        <v>980</v>
      </c>
      <c r="D984" s="10" t="inlineStr">
        <is>
          <t>1380601161</t>
        </is>
      </c>
      <c r="E984" s="26" t="inlineStr">
        <is>
          <t>National Capital Region (NCR)</t>
        </is>
      </c>
      <c r="F984" s="26" t="inlineStr">
        <is>
          <t>First District (Not a Province)</t>
        </is>
      </c>
      <c r="G984" s="26" t="inlineStr">
        <is>
          <t>City of Manila</t>
        </is>
      </c>
      <c r="H984" s="26" t="inlineStr">
        <is>
          <t>Barangay 161</t>
        </is>
      </c>
      <c r="I984" s="27" t="n">
        <v>12.957654</v>
      </c>
      <c r="J984" s="27" t="n">
        <v>121.945486</v>
      </c>
      <c r="K984" s="10" t="inlineStr">
        <is>
          <t>U</t>
        </is>
      </c>
      <c r="L984" s="12" t="n">
        <v>1034</v>
      </c>
      <c r="M984" s="14" t="n">
        <v>3.9</v>
      </c>
      <c r="N984" s="12">
        <f>ROUND(L984/M984, 0)</f>
        <v/>
      </c>
      <c r="O984" s="12">
        <f>ROUND(N984*'Methodology &amp; Assumptions'!$B$5, 0)</f>
        <v/>
      </c>
      <c r="P984" s="10" t="inlineStr">
        <is>
          <t>Single Carrier (Band n50, 100MHz TDD)</t>
        </is>
      </c>
      <c r="Q984" s="13">
        <f>ROUNDUP(O984/'Methodology &amp; Assumptions'!$B$6, 0)</f>
        <v/>
      </c>
      <c r="R984" s="13" t="n">
        <v>1</v>
      </c>
      <c r="S984" s="14" t="n">
        <v>49</v>
      </c>
      <c r="T984" s="14" t="n">
        <v>50.7</v>
      </c>
      <c r="U984" s="26">
        <f>IF(X984&gt;='Methodology &amp; Assumptions'!$B$7, "Tier 1 Critical GIDA (Score ≥ 50.0)", IF(X984&gt;='Methodology &amp; Assumptions'!$B$8, "Tier 2 High GIDA (Score 40.0–49.9)", "Tier 3 Moderate GIDA (Score &lt; 40.0)"))</f>
        <v/>
      </c>
      <c r="V984" s="26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W984" s="28" t="n">
        <v>0.109</v>
      </c>
      <c r="X984" s="14" t="n">
        <v>51.32</v>
      </c>
      <c r="Y984" s="14">
        <f>ROUND(MIN(100, (X984/69.91)*100), 2)</f>
        <v/>
      </c>
    </row>
    <row r="985">
      <c r="A985" s="10" t="n">
        <v>1</v>
      </c>
      <c r="B985" s="10" t="n">
        <v>981</v>
      </c>
      <c r="C985" s="10" t="n">
        <v>981</v>
      </c>
      <c r="D985" s="10" t="inlineStr">
        <is>
          <t>0200901004</t>
        </is>
      </c>
      <c r="E985" s="26" t="inlineStr">
        <is>
          <t>Region II (Cagayan Valley)</t>
        </is>
      </c>
      <c r="F985" s="26" t="inlineStr">
        <is>
          <t>Batanes</t>
        </is>
      </c>
      <c r="G985" s="26" t="inlineStr">
        <is>
          <t>Basco</t>
        </is>
      </c>
      <c r="H985" s="26" t="inlineStr">
        <is>
          <t>San Joaquin</t>
        </is>
      </c>
      <c r="I985" s="27" t="n">
        <v>20.441196</v>
      </c>
      <c r="J985" s="27" t="n">
        <v>121.988829</v>
      </c>
      <c r="K985" s="10" t="inlineStr">
        <is>
          <t>R</t>
        </is>
      </c>
      <c r="L985" s="12" t="n">
        <v>543</v>
      </c>
      <c r="M985" s="14" t="n">
        <v>3</v>
      </c>
      <c r="N985" s="12">
        <f>ROUND(L985/M985, 0)</f>
        <v/>
      </c>
      <c r="O985" s="12">
        <f>ROUND(N985*'Methodology &amp; Assumptions'!$B$5, 0)</f>
        <v/>
      </c>
      <c r="P985" s="10" t="inlineStr">
        <is>
          <t>Single Carrier (Band n50, 100MHz TDD)</t>
        </is>
      </c>
      <c r="Q985" s="13">
        <f>ROUNDUP(O985/'Methodology &amp; Assumptions'!$B$6, 0)</f>
        <v/>
      </c>
      <c r="R985" s="13" t="n">
        <v>1</v>
      </c>
      <c r="S985" s="14" t="n">
        <v>223.73</v>
      </c>
      <c r="T985" s="14" t="n">
        <v>216.3</v>
      </c>
      <c r="U985" s="26">
        <f>IF(X985&gt;='Methodology &amp; Assumptions'!$B$7, "Tier 1 Critical GIDA (Score ≥ 50.0)", IF(X985&gt;='Methodology &amp; Assumptions'!$B$8, "Tier 2 High GIDA (Score 40.0–49.9)", "Tier 3 Moderate GIDA (Score &lt; 40.0)"))</f>
        <v/>
      </c>
      <c r="V985" s="26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W985" s="28" t="n">
        <v>0.083</v>
      </c>
      <c r="X985" s="14" t="n">
        <v>51.31</v>
      </c>
      <c r="Y985" s="14">
        <f>ROUND(MIN(100, (X985/69.91)*100), 2)</f>
        <v/>
      </c>
    </row>
    <row r="986">
      <c r="A986" s="10" t="n">
        <v>1</v>
      </c>
      <c r="B986" s="10" t="n">
        <v>982</v>
      </c>
      <c r="C986" s="10" t="n">
        <v>982</v>
      </c>
      <c r="D986" s="10" t="inlineStr">
        <is>
          <t>1380601004</t>
        </is>
      </c>
      <c r="E986" s="26" t="inlineStr">
        <is>
          <t>National Capital Region (NCR)</t>
        </is>
      </c>
      <c r="F986" s="26" t="inlineStr">
        <is>
          <t>First District (Not a Province)</t>
        </is>
      </c>
      <c r="G986" s="26" t="inlineStr">
        <is>
          <t>City of Manila</t>
        </is>
      </c>
      <c r="H986" s="26" t="inlineStr">
        <is>
          <t>Barangay 4</t>
        </is>
      </c>
      <c r="I986" s="27" t="n">
        <v>12.70804</v>
      </c>
      <c r="J986" s="27" t="n">
        <v>121.701061</v>
      </c>
      <c r="K986" s="10" t="inlineStr">
        <is>
          <t>U</t>
        </is>
      </c>
      <c r="L986" s="12" t="n">
        <v>1742</v>
      </c>
      <c r="M986" s="14" t="n">
        <v>3.9</v>
      </c>
      <c r="N986" s="12">
        <f>ROUND(L986/M986, 0)</f>
        <v/>
      </c>
      <c r="O986" s="12">
        <f>ROUND(N986*'Methodology &amp; Assumptions'!$B$5, 0)</f>
        <v/>
      </c>
      <c r="P986" s="10" t="inlineStr">
        <is>
          <t>Single Carrier (Band n50, 100MHz TDD)</t>
        </is>
      </c>
      <c r="Q986" s="13">
        <f>ROUNDUP(O986/'Methodology &amp; Assumptions'!$B$6, 0)</f>
        <v/>
      </c>
      <c r="R986" s="13" t="n">
        <v>1</v>
      </c>
      <c r="S986" s="14" t="n">
        <v>19.91</v>
      </c>
      <c r="T986" s="14" t="n">
        <v>19.91</v>
      </c>
      <c r="U986" s="26">
        <f>IF(X986&gt;='Methodology &amp; Assumptions'!$B$7, "Tier 1 Critical GIDA (Score ≥ 50.0)", IF(X986&gt;='Methodology &amp; Assumptions'!$B$8, "Tier 2 High GIDA (Score 40.0–49.9)", "Tier 3 Moderate GIDA (Score &lt; 40.0)"))</f>
        <v/>
      </c>
      <c r="V986" s="26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W986" s="28" t="n">
        <v>0.109</v>
      </c>
      <c r="X986" s="14" t="n">
        <v>51.31</v>
      </c>
      <c r="Y986" s="14">
        <f>ROUND(MIN(100, (X986/69.91)*100), 2)</f>
        <v/>
      </c>
    </row>
    <row r="987">
      <c r="A987" s="10" t="n">
        <v>1</v>
      </c>
      <c r="B987" s="10" t="n">
        <v>983</v>
      </c>
      <c r="C987" s="10" t="n">
        <v>983</v>
      </c>
      <c r="D987" s="10" t="inlineStr">
        <is>
          <t>PH0000983</t>
        </is>
      </c>
      <c r="E987" s="26" t="inlineStr">
        <is>
          <t>VIII</t>
        </is>
      </c>
      <c r="F987" s="26" t="inlineStr">
        <is>
          <t>Leyte</t>
        </is>
      </c>
      <c r="G987" s="26" t="inlineStr">
        <is>
          <t>Tacloban City</t>
        </is>
      </c>
      <c r="H987" s="26" t="inlineStr">
        <is>
          <t>Barangay 28</t>
        </is>
      </c>
      <c r="I987" s="27" t="n">
        <v>11.244466</v>
      </c>
      <c r="J987" s="27" t="n">
        <v>125.006736</v>
      </c>
      <c r="K987" s="10" t="inlineStr">
        <is>
          <t>R</t>
        </is>
      </c>
      <c r="L987" s="12" t="n">
        <v>2258</v>
      </c>
      <c r="M987" s="14" t="n">
        <v>3.8</v>
      </c>
      <c r="N987" s="12">
        <f>ROUND(L987/M987, 0)</f>
        <v/>
      </c>
      <c r="O987" s="12">
        <f>ROUND(N987*'Methodology &amp; Assumptions'!$B$5, 0)</f>
        <v/>
      </c>
      <c r="P987" s="10" t="inlineStr">
        <is>
          <t>Single Carrier (Band n50, 100MHz TDD)</t>
        </is>
      </c>
      <c r="Q987" s="13">
        <f>ROUNDUP(O987/'Methodology &amp; Assumptions'!$B$6, 0)</f>
        <v/>
      </c>
      <c r="R987" s="13" t="n">
        <v>1</v>
      </c>
      <c r="S987" s="14" t="n">
        <v>0.72</v>
      </c>
      <c r="T987" s="14" t="n">
        <v>3.57</v>
      </c>
      <c r="U987" s="26">
        <f>IF(X987&gt;='Methodology &amp; Assumptions'!$B$7, "Tier 1 Critical GIDA (Score ≥ 50.0)", IF(X987&gt;='Methodology &amp; Assumptions'!$B$8, "Tier 2 High GIDA (Score 40.0–49.9)", "Tier 3 Moderate GIDA (Score &lt; 40.0)"))</f>
        <v/>
      </c>
      <c r="V987" s="26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W987" s="28" t="n">
        <v>0.222</v>
      </c>
      <c r="X987" s="14" t="n">
        <v>51.3</v>
      </c>
      <c r="Y987" s="14">
        <f>ROUND(MIN(100, (X987/69.91)*100), 2)</f>
        <v/>
      </c>
    </row>
    <row r="988">
      <c r="A988" s="10" t="n">
        <v>1</v>
      </c>
      <c r="B988" s="10" t="n">
        <v>984</v>
      </c>
      <c r="C988" s="10" t="n">
        <v>984</v>
      </c>
      <c r="D988" s="10" t="inlineStr">
        <is>
          <t>1108602035</t>
        </is>
      </c>
      <c r="E988" s="26" t="inlineStr">
        <is>
          <t>Region XI (Davao Region)</t>
        </is>
      </c>
      <c r="F988" s="26" t="inlineStr">
        <is>
          <t>Davao Occidental</t>
        </is>
      </c>
      <c r="G988" s="26" t="inlineStr">
        <is>
          <t>Jose Abad Santos</t>
        </is>
      </c>
      <c r="H988" s="26" t="inlineStr">
        <is>
          <t>Tanuman</t>
        </is>
      </c>
      <c r="I988" s="27" t="n">
        <v>5.747836</v>
      </c>
      <c r="J988" s="27" t="n">
        <v>125.510767</v>
      </c>
      <c r="K988" s="10" t="inlineStr">
        <is>
          <t>R</t>
        </is>
      </c>
      <c r="L988" s="12" t="n">
        <v>2420</v>
      </c>
      <c r="M988" s="14" t="n">
        <v>3.6</v>
      </c>
      <c r="N988" s="12">
        <f>ROUND(L988/M988, 0)</f>
        <v/>
      </c>
      <c r="O988" s="12">
        <f>ROUND(N988*'Methodology &amp; Assumptions'!$B$5, 0)</f>
        <v/>
      </c>
      <c r="P988" s="10" t="inlineStr">
        <is>
          <t>Single Carrier (Band n50, 100MHz TDD)</t>
        </is>
      </c>
      <c r="Q988" s="13">
        <f>ROUNDUP(O988/'Methodology &amp; Assumptions'!$B$6, 0)</f>
        <v/>
      </c>
      <c r="R988" s="13" t="n">
        <v>1</v>
      </c>
      <c r="S988" s="14" t="n">
        <v>47.33</v>
      </c>
      <c r="T988" s="14" t="n">
        <v>54.63</v>
      </c>
      <c r="U988" s="26">
        <f>IF(X988&gt;='Methodology &amp; Assumptions'!$B$7, "Tier 1 Critical GIDA (Score ≥ 50.0)", IF(X988&gt;='Methodology &amp; Assumptions'!$B$8, "Tier 2 High GIDA (Score 40.0–49.9)", "Tier 3 Moderate GIDA (Score &lt; 40.0)"))</f>
        <v/>
      </c>
      <c r="V988" s="26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W988" s="28" t="n">
        <v>0.174</v>
      </c>
      <c r="X988" s="14" t="n">
        <v>51.3</v>
      </c>
      <c r="Y988" s="14">
        <f>ROUND(MIN(100, (X988/69.91)*100), 2)</f>
        <v/>
      </c>
    </row>
    <row r="989">
      <c r="A989" s="10" t="n">
        <v>1</v>
      </c>
      <c r="B989" s="10" t="n">
        <v>985</v>
      </c>
      <c r="C989" s="10" t="n">
        <v>985</v>
      </c>
      <c r="D989" s="10" t="inlineStr">
        <is>
          <t>1380601130</t>
        </is>
      </c>
      <c r="E989" s="26" t="inlineStr">
        <is>
          <t>National Capital Region (NCR)</t>
        </is>
      </c>
      <c r="F989" s="26" t="inlineStr">
        <is>
          <t>First District (Not a Province)</t>
        </is>
      </c>
      <c r="G989" s="26" t="inlineStr">
        <is>
          <t>City of Manila</t>
        </is>
      </c>
      <c r="H989" s="26" t="inlineStr">
        <is>
          <t>Barangay 130</t>
        </is>
      </c>
      <c r="I989" s="27" t="n">
        <v>13.055566</v>
      </c>
      <c r="J989" s="27" t="n">
        <v>121.708338</v>
      </c>
      <c r="K989" s="10" t="inlineStr">
        <is>
          <t>U</t>
        </is>
      </c>
      <c r="L989" s="12" t="n">
        <v>1811</v>
      </c>
      <c r="M989" s="14" t="n">
        <v>3.9</v>
      </c>
      <c r="N989" s="12">
        <f>ROUND(L989/M989, 0)</f>
        <v/>
      </c>
      <c r="O989" s="12">
        <f>ROUND(N989*'Methodology &amp; Assumptions'!$B$5, 0)</f>
        <v/>
      </c>
      <c r="P989" s="10" t="inlineStr">
        <is>
          <t>Single Carrier (Band n50, 100MHz TDD)</t>
        </is>
      </c>
      <c r="Q989" s="13">
        <f>ROUNDUP(O989/'Methodology &amp; Assumptions'!$B$6, 0)</f>
        <v/>
      </c>
      <c r="R989" s="13" t="n">
        <v>1</v>
      </c>
      <c r="S989" s="14" t="n">
        <v>21.86</v>
      </c>
      <c r="T989" s="14" t="n">
        <v>24.85</v>
      </c>
      <c r="U989" s="26">
        <f>IF(X989&gt;='Methodology &amp; Assumptions'!$B$7, "Tier 1 Critical GIDA (Score ≥ 50.0)", IF(X989&gt;='Methodology &amp; Assumptions'!$B$8, "Tier 2 High GIDA (Score 40.0–49.9)", "Tier 3 Moderate GIDA (Score &lt; 40.0)"))</f>
        <v/>
      </c>
      <c r="V989" s="26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W989" s="28" t="n">
        <v>0.109</v>
      </c>
      <c r="X989" s="14" t="n">
        <v>51.3</v>
      </c>
      <c r="Y989" s="14">
        <f>ROUND(MIN(100, (X989/69.91)*100), 2)</f>
        <v/>
      </c>
    </row>
    <row r="990">
      <c r="A990" s="10" t="n">
        <v>1</v>
      </c>
      <c r="B990" s="10" t="n">
        <v>986</v>
      </c>
      <c r="C990" s="10" t="n">
        <v>986</v>
      </c>
      <c r="D990" s="10" t="inlineStr">
        <is>
          <t>1381100085</t>
        </is>
      </c>
      <c r="E990" s="26" t="inlineStr">
        <is>
          <t>National Capital Region (NCR)</t>
        </is>
      </c>
      <c r="F990" s="26" t="inlineStr">
        <is>
          <t>Fourth District (Not a Province)</t>
        </is>
      </c>
      <c r="G990" s="26" t="inlineStr">
        <is>
          <t>Pasay City</t>
        </is>
      </c>
      <c r="H990" s="26" t="inlineStr">
        <is>
          <t>Barangay 85</t>
        </is>
      </c>
      <c r="I990" s="27" t="n">
        <v>14.545574</v>
      </c>
      <c r="J990" s="27" t="n">
        <v>121.009981</v>
      </c>
      <c r="K990" s="10" t="inlineStr">
        <is>
          <t>U</t>
        </is>
      </c>
      <c r="L990" s="12" t="n">
        <v>1322</v>
      </c>
      <c r="M990" s="14" t="n">
        <v>3.4</v>
      </c>
      <c r="N990" s="12">
        <f>ROUND(L990/M990, 0)</f>
        <v/>
      </c>
      <c r="O990" s="12">
        <f>ROUND(N990*'Methodology &amp; Assumptions'!$B$5, 0)</f>
        <v/>
      </c>
      <c r="P990" s="10" t="inlineStr">
        <is>
          <t>Single Carrier (Band n50, 100MHz TDD)</t>
        </is>
      </c>
      <c r="Q990" s="13">
        <f>ROUNDUP(O990/'Methodology &amp; Assumptions'!$B$6, 0)</f>
        <v/>
      </c>
      <c r="R990" s="13" t="n">
        <v>1</v>
      </c>
      <c r="S990" s="14" t="n">
        <v>0.49</v>
      </c>
      <c r="T990" s="14" t="n">
        <v>0.26</v>
      </c>
      <c r="U990" s="26">
        <f>IF(X990&gt;='Methodology &amp; Assumptions'!$B$7, "Tier 1 Critical GIDA (Score ≥ 50.0)", IF(X990&gt;='Methodology &amp; Assumptions'!$B$8, "Tier 2 High GIDA (Score 40.0–49.9)", "Tier 3 Moderate GIDA (Score &lt; 40.0)"))</f>
        <v/>
      </c>
      <c r="V990" s="26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W990" s="28" t="n">
        <v>0.109</v>
      </c>
      <c r="X990" s="14" t="n">
        <v>51.29</v>
      </c>
      <c r="Y990" s="14">
        <f>ROUND(MIN(100, (X990/69.91)*100), 2)</f>
        <v/>
      </c>
    </row>
    <row r="991">
      <c r="A991" s="10" t="n">
        <v>1</v>
      </c>
      <c r="B991" s="10" t="n">
        <v>987</v>
      </c>
      <c r="C991" s="10" t="n">
        <v>987</v>
      </c>
      <c r="D991" s="10" t="inlineStr">
        <is>
          <t>0102917008</t>
        </is>
      </c>
      <c r="E991" s="26" t="inlineStr">
        <is>
          <t>Region I (Ilocos Region)</t>
        </is>
      </c>
      <c r="F991" s="26" t="inlineStr">
        <is>
          <t>Ilocos Sur</t>
        </is>
      </c>
      <c r="G991" s="26" t="inlineStr">
        <is>
          <t>San Emilio</t>
        </is>
      </c>
      <c r="H991" s="26" t="inlineStr">
        <is>
          <t>San Miliano</t>
        </is>
      </c>
      <c r="I991" s="27" t="n">
        <v>17.205687</v>
      </c>
      <c r="J991" s="27" t="n">
        <v>120.554955</v>
      </c>
      <c r="K991" s="10" t="inlineStr">
        <is>
          <t>R</t>
        </is>
      </c>
      <c r="L991" s="12" t="n">
        <v>689</v>
      </c>
      <c r="M991" s="14" t="n">
        <v>3.8</v>
      </c>
      <c r="N991" s="12">
        <f>ROUND(L991/M991, 0)</f>
        <v/>
      </c>
      <c r="O991" s="12">
        <f>ROUND(N991*'Methodology &amp; Assumptions'!$B$5, 0)</f>
        <v/>
      </c>
      <c r="P991" s="10" t="inlineStr">
        <is>
          <t>Single Carrier (Band n50, 100MHz TDD)</t>
        </is>
      </c>
      <c r="Q991" s="13">
        <f>ROUNDUP(O991/'Methodology &amp; Assumptions'!$B$6, 0)</f>
        <v/>
      </c>
      <c r="R991" s="13" t="n">
        <v>1</v>
      </c>
      <c r="S991" s="14" t="n">
        <v>6.06</v>
      </c>
      <c r="T991" s="14" t="n">
        <v>3.54</v>
      </c>
      <c r="U991" s="26">
        <f>IF(X991&gt;='Methodology &amp; Assumptions'!$B$7, "Tier 1 Critical GIDA (Score ≥ 50.0)", IF(X991&gt;='Methodology &amp; Assumptions'!$B$8, "Tier 2 High GIDA (Score 40.0–49.9)", "Tier 3 Moderate GIDA (Score &lt; 40.0)"))</f>
        <v/>
      </c>
      <c r="V991" s="26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W991" s="28" t="n">
        <v>0.083</v>
      </c>
      <c r="X991" s="14" t="n">
        <v>51.29</v>
      </c>
      <c r="Y991" s="14">
        <f>ROUND(MIN(100, (X991/69.91)*100), 2)</f>
        <v/>
      </c>
    </row>
    <row r="992">
      <c r="A992" s="10" t="n">
        <v>1</v>
      </c>
      <c r="B992" s="10" t="n">
        <v>988</v>
      </c>
      <c r="C992" s="10" t="n">
        <v>988</v>
      </c>
      <c r="D992" s="10" t="inlineStr">
        <is>
          <t>0502004010</t>
        </is>
      </c>
      <c r="E992" s="26" t="inlineStr">
        <is>
          <t>Region V (Bicol Region)</t>
        </is>
      </c>
      <c r="F992" s="26" t="inlineStr">
        <is>
          <t>Catanduanes</t>
        </is>
      </c>
      <c r="G992" s="26" t="inlineStr">
        <is>
          <t>Caramoran</t>
        </is>
      </c>
      <c r="H992" s="26" t="inlineStr">
        <is>
          <t>Guiamlong</t>
        </is>
      </c>
      <c r="I992" s="27" t="n">
        <v>13.799017</v>
      </c>
      <c r="J992" s="27" t="n">
        <v>124.136414</v>
      </c>
      <c r="K992" s="10" t="inlineStr">
        <is>
          <t>R</t>
        </is>
      </c>
      <c r="L992" s="12" t="n">
        <v>757</v>
      </c>
      <c r="M992" s="14" t="n">
        <v>4.2</v>
      </c>
      <c r="N992" s="12">
        <f>ROUND(L992/M992, 0)</f>
        <v/>
      </c>
      <c r="O992" s="12">
        <f>ROUND(N992*'Methodology &amp; Assumptions'!$B$5, 0)</f>
        <v/>
      </c>
      <c r="P992" s="10" t="inlineStr">
        <is>
          <t>Single Carrier (Band n50, 100MHz TDD)</t>
        </is>
      </c>
      <c r="Q992" s="13">
        <f>ROUNDUP(O992/'Methodology &amp; Assumptions'!$B$6, 0)</f>
        <v/>
      </c>
      <c r="R992" s="13" t="n">
        <v>1</v>
      </c>
      <c r="S992" s="14" t="n">
        <v>29.61</v>
      </c>
      <c r="T992" s="14" t="n">
        <v>61.92</v>
      </c>
      <c r="U992" s="26">
        <f>IF(X992&gt;='Methodology &amp; Assumptions'!$B$7, "Tier 1 Critical GIDA (Score ≥ 50.0)", IF(X992&gt;='Methodology &amp; Assumptions'!$B$8, "Tier 2 High GIDA (Score 40.0–49.9)", "Tier 3 Moderate GIDA (Score &lt; 40.0)"))</f>
        <v/>
      </c>
      <c r="V992" s="26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W992" s="28" t="n">
        <v>0.237</v>
      </c>
      <c r="X992" s="14" t="n">
        <v>51.29</v>
      </c>
      <c r="Y992" s="14">
        <f>ROUND(MIN(100, (X992/69.91)*100), 2)</f>
        <v/>
      </c>
    </row>
    <row r="993">
      <c r="A993" s="10" t="n">
        <v>1</v>
      </c>
      <c r="B993" s="10" t="n">
        <v>989</v>
      </c>
      <c r="C993" s="10" t="n">
        <v>989</v>
      </c>
      <c r="D993" s="10" t="inlineStr">
        <is>
          <t>0603040013</t>
        </is>
      </c>
      <c r="E993" s="26" t="inlineStr">
        <is>
          <t>Region VI (Western Visayas)</t>
        </is>
      </c>
      <c r="F993" s="26" t="inlineStr">
        <is>
          <t>Iloilo</t>
        </is>
      </c>
      <c r="G993" s="26" t="inlineStr">
        <is>
          <t>San Joaquin</t>
        </is>
      </c>
      <c r="H993" s="26" t="inlineStr">
        <is>
          <t>Cadluman</t>
        </is>
      </c>
      <c r="I993" s="27" t="n">
        <v>10.600012</v>
      </c>
      <c r="J993" s="27" t="n">
        <v>122.10543</v>
      </c>
      <c r="K993" s="10" t="inlineStr">
        <is>
          <t>R</t>
        </is>
      </c>
      <c r="L993" s="12" t="n">
        <v>197</v>
      </c>
      <c r="M993" s="14" t="n">
        <v>3.8</v>
      </c>
      <c r="N993" s="12">
        <f>ROUND(L993/M993, 0)</f>
        <v/>
      </c>
      <c r="O993" s="12">
        <f>ROUND(N993*'Methodology &amp; Assumptions'!$B$5, 0)</f>
        <v/>
      </c>
      <c r="P993" s="10" t="inlineStr">
        <is>
          <t>Single Carrier (Band n50, 100MHz TDD)</t>
        </is>
      </c>
      <c r="Q993" s="13">
        <f>ROUNDUP(O993/'Methodology &amp; Assumptions'!$B$6, 0)</f>
        <v/>
      </c>
      <c r="R993" s="13" t="n">
        <v>1</v>
      </c>
      <c r="S993" s="14" t="n">
        <v>25.7</v>
      </c>
      <c r="T993" s="14" t="n">
        <v>1.81</v>
      </c>
      <c r="U993" s="26">
        <f>IF(X993&gt;='Methodology &amp; Assumptions'!$B$7, "Tier 1 Critical GIDA (Score ≥ 50.0)", IF(X993&gt;='Methodology &amp; Assumptions'!$B$8, "Tier 2 High GIDA (Score 40.0–49.9)", "Tier 3 Moderate GIDA (Score &lt; 40.0)"))</f>
        <v/>
      </c>
      <c r="V993" s="26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W993" s="28" t="n">
        <v>0.237</v>
      </c>
      <c r="X993" s="14" t="n">
        <v>51.28</v>
      </c>
      <c r="Y993" s="14">
        <f>ROUND(MIN(100, (X993/69.91)*100), 2)</f>
        <v/>
      </c>
    </row>
    <row r="994">
      <c r="A994" s="10" t="n">
        <v>1</v>
      </c>
      <c r="B994" s="10" t="n">
        <v>990</v>
      </c>
      <c r="C994" s="10" t="n">
        <v>990</v>
      </c>
      <c r="D994" s="10" t="inlineStr">
        <is>
          <t>0603040073</t>
        </is>
      </c>
      <c r="E994" s="26" t="inlineStr">
        <is>
          <t>Region VI (Western Visayas)</t>
        </is>
      </c>
      <c r="F994" s="26" t="inlineStr">
        <is>
          <t>Iloilo</t>
        </is>
      </c>
      <c r="G994" s="26" t="inlineStr">
        <is>
          <t>San Joaquin</t>
        </is>
      </c>
      <c r="H994" s="26" t="inlineStr">
        <is>
          <t>San Mateo Norte</t>
        </is>
      </c>
      <c r="I994" s="27" t="n">
        <v>10.586495</v>
      </c>
      <c r="J994" s="27" t="n">
        <v>122.097667</v>
      </c>
      <c r="K994" s="10" t="inlineStr">
        <is>
          <t>R</t>
        </is>
      </c>
      <c r="L994" s="12" t="n">
        <v>192</v>
      </c>
      <c r="M994" s="14" t="n">
        <v>3.8</v>
      </c>
      <c r="N994" s="12">
        <f>ROUND(L994/M994, 0)</f>
        <v/>
      </c>
      <c r="O994" s="12">
        <f>ROUND(N994*'Methodology &amp; Assumptions'!$B$5, 0)</f>
        <v/>
      </c>
      <c r="P994" s="10" t="inlineStr">
        <is>
          <t>Single Carrier (Band n50, 100MHz TDD)</t>
        </is>
      </c>
      <c r="Q994" s="13">
        <f>ROUNDUP(O994/'Methodology &amp; Assumptions'!$B$6, 0)</f>
        <v/>
      </c>
      <c r="R994" s="13" t="n">
        <v>1</v>
      </c>
      <c r="S994" s="14" t="n">
        <v>26.2</v>
      </c>
      <c r="T994" s="14" t="n">
        <v>0.83</v>
      </c>
      <c r="U994" s="26">
        <f>IF(X994&gt;='Methodology &amp; Assumptions'!$B$7, "Tier 1 Critical GIDA (Score ≥ 50.0)", IF(X994&gt;='Methodology &amp; Assumptions'!$B$8, "Tier 2 High GIDA (Score 40.0–49.9)", "Tier 3 Moderate GIDA (Score &lt; 40.0)"))</f>
        <v/>
      </c>
      <c r="V994" s="26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W994" s="28" t="n">
        <v>0.237</v>
      </c>
      <c r="X994" s="14" t="n">
        <v>51.28</v>
      </c>
      <c r="Y994" s="14">
        <f>ROUND(MIN(100, (X994/69.91)*100), 2)</f>
        <v/>
      </c>
    </row>
    <row r="995">
      <c r="A995" s="10" t="n">
        <v>1</v>
      </c>
      <c r="B995" s="10" t="n">
        <v>991</v>
      </c>
      <c r="C995" s="10" t="n">
        <v>991</v>
      </c>
      <c r="D995" s="10" t="inlineStr">
        <is>
          <t>0603040043</t>
        </is>
      </c>
      <c r="E995" s="26" t="inlineStr">
        <is>
          <t>Region VI (Western Visayas)</t>
        </is>
      </c>
      <c r="F995" s="26" t="inlineStr">
        <is>
          <t>Iloilo</t>
        </is>
      </c>
      <c r="G995" s="26" t="inlineStr">
        <is>
          <t>San Joaquin</t>
        </is>
      </c>
      <c r="H995" s="26" t="inlineStr">
        <is>
          <t>Igpayong</t>
        </is>
      </c>
      <c r="I995" s="27" t="n">
        <v>10.604083</v>
      </c>
      <c r="J995" s="27" t="n">
        <v>122.093601</v>
      </c>
      <c r="K995" s="10" t="inlineStr">
        <is>
          <t>R</t>
        </is>
      </c>
      <c r="L995" s="12" t="n">
        <v>127</v>
      </c>
      <c r="M995" s="14" t="n">
        <v>3.8</v>
      </c>
      <c r="N995" s="12">
        <f>ROUND(L995/M995, 0)</f>
        <v/>
      </c>
      <c r="O995" s="12">
        <f>ROUND(N995*'Methodology &amp; Assumptions'!$B$5, 0)</f>
        <v/>
      </c>
      <c r="P995" s="10" t="inlineStr">
        <is>
          <t>Single Carrier (Band n50, 100MHz TDD)</t>
        </is>
      </c>
      <c r="Q995" s="13">
        <f>ROUNDUP(O995/'Methodology &amp; Assumptions'!$B$6, 0)</f>
        <v/>
      </c>
      <c r="R995" s="13" t="n">
        <v>1</v>
      </c>
      <c r="S995" s="14" t="n">
        <v>24.47</v>
      </c>
      <c r="T995" s="14" t="n">
        <v>2.6</v>
      </c>
      <c r="U995" s="26">
        <f>IF(X995&gt;='Methodology &amp; Assumptions'!$B$7, "Tier 1 Critical GIDA (Score ≥ 50.0)", IF(X995&gt;='Methodology &amp; Assumptions'!$B$8, "Tier 2 High GIDA (Score 40.0–49.9)", "Tier 3 Moderate GIDA (Score &lt; 40.0)"))</f>
        <v/>
      </c>
      <c r="V995" s="26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W995" s="28" t="n">
        <v>0.237</v>
      </c>
      <c r="X995" s="14" t="n">
        <v>51.28</v>
      </c>
      <c r="Y995" s="14">
        <f>ROUND(MIN(100, (X995/69.91)*100), 2)</f>
        <v/>
      </c>
    </row>
    <row r="996">
      <c r="A996" s="10" t="n">
        <v>1</v>
      </c>
      <c r="B996" s="10" t="n">
        <v>992</v>
      </c>
      <c r="C996" s="10" t="n">
        <v>992</v>
      </c>
      <c r="D996" s="10" t="inlineStr">
        <is>
          <t>PH0000992</t>
        </is>
      </c>
      <c r="E996" s="26" t="inlineStr">
        <is>
          <t>VIII</t>
        </is>
      </c>
      <c r="F996" s="26" t="inlineStr">
        <is>
          <t>Leyte</t>
        </is>
      </c>
      <c r="G996" s="26" t="inlineStr">
        <is>
          <t>Tacloban City</t>
        </is>
      </c>
      <c r="H996" s="26" t="inlineStr">
        <is>
          <t>Barangay 43-A</t>
        </is>
      </c>
      <c r="I996" s="27" t="n">
        <v>11.234669</v>
      </c>
      <c r="J996" s="27" t="n">
        <v>124.976933</v>
      </c>
      <c r="K996" s="10" t="inlineStr">
        <is>
          <t>R</t>
        </is>
      </c>
      <c r="L996" s="12" t="n">
        <v>2258</v>
      </c>
      <c r="M996" s="14" t="n">
        <v>3.8</v>
      </c>
      <c r="N996" s="12">
        <f>ROUND(L996/M996, 0)</f>
        <v/>
      </c>
      <c r="O996" s="12">
        <f>ROUND(N996*'Methodology &amp; Assumptions'!$B$5, 0)</f>
        <v/>
      </c>
      <c r="P996" s="10" t="inlineStr">
        <is>
          <t>Single Carrier (Band n50, 100MHz TDD)</t>
        </is>
      </c>
      <c r="Q996" s="13">
        <f>ROUNDUP(O996/'Methodology &amp; Assumptions'!$B$6, 0)</f>
        <v/>
      </c>
      <c r="R996" s="13" t="n">
        <v>1</v>
      </c>
      <c r="S996" s="14" t="n">
        <v>2.83</v>
      </c>
      <c r="T996" s="14" t="n">
        <v>4.31</v>
      </c>
      <c r="U996" s="26">
        <f>IF(X996&gt;='Methodology &amp; Assumptions'!$B$7, "Tier 1 Critical GIDA (Score ≥ 50.0)", IF(X996&gt;='Methodology &amp; Assumptions'!$B$8, "Tier 2 High GIDA (Score 40.0–49.9)", "Tier 3 Moderate GIDA (Score &lt; 40.0)"))</f>
        <v/>
      </c>
      <c r="V996" s="26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W996" s="28" t="n">
        <v>0.222</v>
      </c>
      <c r="X996" s="14" t="n">
        <v>51.27</v>
      </c>
      <c r="Y996" s="14">
        <f>ROUND(MIN(100, (X996/69.91)*100), 2)</f>
        <v/>
      </c>
    </row>
    <row r="997">
      <c r="A997" s="10" t="n">
        <v>1</v>
      </c>
      <c r="B997" s="10" t="n">
        <v>993</v>
      </c>
      <c r="C997" s="10" t="n">
        <v>993</v>
      </c>
      <c r="D997" s="10" t="inlineStr">
        <is>
          <t>1003515020</t>
        </is>
      </c>
      <c r="E997" s="26" t="inlineStr">
        <is>
          <t>Region X (Northern Mindanao)</t>
        </is>
      </c>
      <c r="F997" s="26" t="inlineStr">
        <is>
          <t>Lanao del Norte</t>
        </is>
      </c>
      <c r="G997" s="26" t="inlineStr">
        <is>
          <t>Nunungan</t>
        </is>
      </c>
      <c r="H997" s="26" t="inlineStr">
        <is>
          <t>Panganapan</t>
        </is>
      </c>
      <c r="I997" s="27" t="n">
        <v>7.785804</v>
      </c>
      <c r="J997" s="27" t="n">
        <v>123.912701</v>
      </c>
      <c r="K997" s="10" t="inlineStr">
        <is>
          <t>R</t>
        </is>
      </c>
      <c r="L997" s="12" t="n">
        <v>663</v>
      </c>
      <c r="M997" s="14" t="n">
        <v>4.2</v>
      </c>
      <c r="N997" s="12">
        <f>ROUND(L997/M997, 0)</f>
        <v/>
      </c>
      <c r="O997" s="12">
        <f>ROUND(N997*'Methodology &amp; Assumptions'!$B$5, 0)</f>
        <v/>
      </c>
      <c r="P997" s="10" t="inlineStr">
        <is>
          <t>Single Carrier (Band n50, 100MHz TDD)</t>
        </is>
      </c>
      <c r="Q997" s="13">
        <f>ROUNDUP(O997/'Methodology &amp; Assumptions'!$B$6, 0)</f>
        <v/>
      </c>
      <c r="R997" s="13" t="n">
        <v>1</v>
      </c>
      <c r="S997" s="14" t="n">
        <v>31.21</v>
      </c>
      <c r="T997" s="14" t="n">
        <v>20.07</v>
      </c>
      <c r="U997" s="26">
        <f>IF(X997&gt;='Methodology &amp; Assumptions'!$B$7, "Tier 1 Critical GIDA (Score ≥ 50.0)", IF(X997&gt;='Methodology &amp; Assumptions'!$B$8, "Tier 2 High GIDA (Score 40.0–49.9)", "Tier 3 Moderate GIDA (Score &lt; 40.0)"))</f>
        <v/>
      </c>
      <c r="V997" s="26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W997" s="28" t="n">
        <v>0.174</v>
      </c>
      <c r="X997" s="14" t="n">
        <v>51.27</v>
      </c>
      <c r="Y997" s="14">
        <f>ROUND(MIN(100, (X997/69.91)*100), 2)</f>
        <v/>
      </c>
    </row>
    <row r="998">
      <c r="A998" s="10" t="n">
        <v>1</v>
      </c>
      <c r="B998" s="10" t="n">
        <v>994</v>
      </c>
      <c r="C998" s="10" t="n">
        <v>994</v>
      </c>
      <c r="D998" s="10" t="inlineStr">
        <is>
          <t>1003515015</t>
        </is>
      </c>
      <c r="E998" s="26" t="inlineStr">
        <is>
          <t>Region X (Northern Mindanao)</t>
        </is>
      </c>
      <c r="F998" s="26" t="inlineStr">
        <is>
          <t>Lanao del Norte</t>
        </is>
      </c>
      <c r="G998" s="26" t="inlineStr">
        <is>
          <t>Nunungan</t>
        </is>
      </c>
      <c r="H998" s="26" t="inlineStr">
        <is>
          <t>Malaig</t>
        </is>
      </c>
      <c r="I998" s="27" t="n">
        <v>7.790001</v>
      </c>
      <c r="J998" s="27" t="n">
        <v>123.902993</v>
      </c>
      <c r="K998" s="10" t="inlineStr">
        <is>
          <t>R</t>
        </is>
      </c>
      <c r="L998" s="12" t="n">
        <v>605</v>
      </c>
      <c r="M998" s="14" t="n">
        <v>4.2</v>
      </c>
      <c r="N998" s="12">
        <f>ROUND(L998/M998, 0)</f>
        <v/>
      </c>
      <c r="O998" s="12">
        <f>ROUND(N998*'Methodology &amp; Assumptions'!$B$5, 0)</f>
        <v/>
      </c>
      <c r="P998" s="10" t="inlineStr">
        <is>
          <t>Single Carrier (Band n50, 100MHz TDD)</t>
        </is>
      </c>
      <c r="Q998" s="13">
        <f>ROUNDUP(O998/'Methodology &amp; Assumptions'!$B$6, 0)</f>
        <v/>
      </c>
      <c r="R998" s="13" t="n">
        <v>1</v>
      </c>
      <c r="S998" s="14" t="n">
        <v>30.36</v>
      </c>
      <c r="T998" s="14" t="n">
        <v>18.94</v>
      </c>
      <c r="U998" s="26">
        <f>IF(X998&gt;='Methodology &amp; Assumptions'!$B$7, "Tier 1 Critical GIDA (Score ≥ 50.0)", IF(X998&gt;='Methodology &amp; Assumptions'!$B$8, "Tier 2 High GIDA (Score 40.0–49.9)", "Tier 3 Moderate GIDA (Score &lt; 40.0)"))</f>
        <v/>
      </c>
      <c r="V998" s="26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W998" s="28" t="n">
        <v>0.174</v>
      </c>
      <c r="X998" s="14" t="n">
        <v>51.26</v>
      </c>
      <c r="Y998" s="14">
        <f>ROUND(MIN(100, (X998/69.91)*100), 2)</f>
        <v/>
      </c>
    </row>
    <row r="999">
      <c r="A999" s="10" t="n">
        <v>1</v>
      </c>
      <c r="B999" s="10" t="n">
        <v>995</v>
      </c>
      <c r="C999" s="10" t="n">
        <v>995</v>
      </c>
      <c r="D999" s="10" t="inlineStr">
        <is>
          <t>1380601119</t>
        </is>
      </c>
      <c r="E999" s="26" t="inlineStr">
        <is>
          <t>National Capital Region (NCR)</t>
        </is>
      </c>
      <c r="F999" s="26" t="inlineStr">
        <is>
          <t>First District (Not a Province)</t>
        </is>
      </c>
      <c r="G999" s="26" t="inlineStr">
        <is>
          <t>City of Manila</t>
        </is>
      </c>
      <c r="H999" s="26" t="inlineStr">
        <is>
          <t>Barangay 119</t>
        </is>
      </c>
      <c r="I999" s="27" t="n">
        <v>12.792659</v>
      </c>
      <c r="J999" s="27" t="n">
        <v>121.945519</v>
      </c>
      <c r="K999" s="10" t="inlineStr">
        <is>
          <t>U</t>
        </is>
      </c>
      <c r="L999" s="12" t="n">
        <v>2416</v>
      </c>
      <c r="M999" s="14" t="n">
        <v>3.9</v>
      </c>
      <c r="N999" s="12">
        <f>ROUND(L999/M999, 0)</f>
        <v/>
      </c>
      <c r="O999" s="12">
        <f>ROUND(N999*'Methodology &amp; Assumptions'!$B$5, 0)</f>
        <v/>
      </c>
      <c r="P999" s="10" t="inlineStr">
        <is>
          <t>Single Carrier (Band n50, 100MHz TDD)</t>
        </is>
      </c>
      <c r="Q999" s="13">
        <f>ROUNDUP(O999/'Methodology &amp; Assumptions'!$B$6, 0)</f>
        <v/>
      </c>
      <c r="R999" s="13" t="n">
        <v>1</v>
      </c>
      <c r="S999" s="14" t="n">
        <v>47.59</v>
      </c>
      <c r="T999" s="14" t="n">
        <v>46.43</v>
      </c>
      <c r="U999" s="26">
        <f>IF(X999&gt;='Methodology &amp; Assumptions'!$B$7, "Tier 1 Critical GIDA (Score ≥ 50.0)", IF(X999&gt;='Methodology &amp; Assumptions'!$B$8, "Tier 2 High GIDA (Score 40.0–49.9)", "Tier 3 Moderate GIDA (Score &lt; 40.0)"))</f>
        <v/>
      </c>
      <c r="V999" s="26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W999" s="28" t="n">
        <v>0.109</v>
      </c>
      <c r="X999" s="14" t="n">
        <v>51.26</v>
      </c>
      <c r="Y999" s="14">
        <f>ROUND(MIN(100, (X999/69.91)*100), 2)</f>
        <v/>
      </c>
    </row>
    <row r="1000">
      <c r="A1000" s="10" t="n">
        <v>1</v>
      </c>
      <c r="B1000" s="10" t="n">
        <v>996</v>
      </c>
      <c r="C1000" s="10" t="n">
        <v>996</v>
      </c>
      <c r="D1000" s="10" t="inlineStr">
        <is>
          <t>1380607012</t>
        </is>
      </c>
      <c r="E1000" s="26" t="inlineStr">
        <is>
          <t>National Capital Region (NCR)</t>
        </is>
      </c>
      <c r="F1000" s="26" t="inlineStr">
        <is>
          <t>First District (Not a Province)</t>
        </is>
      </c>
      <c r="G1000" s="26" t="inlineStr">
        <is>
          <t>City of Manila</t>
        </is>
      </c>
      <c r="H1000" s="26" t="inlineStr">
        <is>
          <t>Barangay 648</t>
        </is>
      </c>
      <c r="I1000" s="27" t="n">
        <v>12.830563</v>
      </c>
      <c r="J1000" s="27" t="n">
        <v>121.585884</v>
      </c>
      <c r="K1000" s="10" t="inlineStr">
        <is>
          <t>U</t>
        </is>
      </c>
      <c r="L1000" s="12" t="n">
        <v>5805</v>
      </c>
      <c r="M1000" s="14" t="n">
        <v>3.9</v>
      </c>
      <c r="N1000" s="12">
        <f>ROUND(L1000/M1000, 0)</f>
        <v/>
      </c>
      <c r="O1000" s="12">
        <f>ROUND(N1000*'Methodology &amp; Assumptions'!$B$5, 0)</f>
        <v/>
      </c>
      <c r="P1000" s="10" t="inlineStr">
        <is>
          <t>Single Carrier (Band n50, 100MHz TDD)</t>
        </is>
      </c>
      <c r="Q1000" s="13">
        <f>ROUNDUP(O1000/'Methodology &amp; Assumptions'!$B$6, 0)</f>
        <v/>
      </c>
      <c r="R1000" s="13" t="n">
        <v>1</v>
      </c>
      <c r="S1000" s="14" t="n">
        <v>13.64</v>
      </c>
      <c r="T1000" s="14" t="n">
        <v>12.63</v>
      </c>
      <c r="U1000" s="26">
        <f>IF(X1000&gt;='Methodology &amp; Assumptions'!$B$7, "Tier 1 Critical GIDA (Score ≥ 50.0)", IF(X1000&gt;='Methodology &amp; Assumptions'!$B$8, "Tier 2 High GIDA (Score 40.0–49.9)", "Tier 3 Moderate GIDA (Score &lt; 40.0)"))</f>
        <v/>
      </c>
      <c r="V1000" s="26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W1000" s="28" t="n">
        <v>0.109</v>
      </c>
      <c r="X1000" s="14" t="n">
        <v>51.25</v>
      </c>
      <c r="Y1000" s="14">
        <f>ROUND(MIN(100, (X1000/69.91)*100), 2)</f>
        <v/>
      </c>
    </row>
    <row r="1001">
      <c r="A1001" s="10" t="n">
        <v>1</v>
      </c>
      <c r="B1001" s="10" t="n">
        <v>997</v>
      </c>
      <c r="C1001" s="10" t="n">
        <v>997</v>
      </c>
      <c r="D1001" s="10" t="inlineStr">
        <is>
          <t>1380614056</t>
        </is>
      </c>
      <c r="E1001" s="26" t="inlineStr">
        <is>
          <t>National Capital Region (NCR)</t>
        </is>
      </c>
      <c r="F1001" s="26" t="inlineStr">
        <is>
          <t>First District (Not a Province)</t>
        </is>
      </c>
      <c r="G1001" s="26" t="inlineStr">
        <is>
          <t>City of Manila</t>
        </is>
      </c>
      <c r="H1001" s="26" t="inlineStr">
        <is>
          <t>Barangay 800</t>
        </is>
      </c>
      <c r="I1001" s="27" t="n">
        <v>13.040958</v>
      </c>
      <c r="J1001" s="27" t="n">
        <v>121.879384</v>
      </c>
      <c r="K1001" s="10" t="inlineStr">
        <is>
          <t>U</t>
        </is>
      </c>
      <c r="L1001" s="12" t="n">
        <v>1605</v>
      </c>
      <c r="M1001" s="14" t="n">
        <v>3.9</v>
      </c>
      <c r="N1001" s="12">
        <f>ROUND(L1001/M1001, 0)</f>
        <v/>
      </c>
      <c r="O1001" s="12">
        <f>ROUND(N1001*'Methodology &amp; Assumptions'!$B$5, 0)</f>
        <v/>
      </c>
      <c r="P1001" s="10" t="inlineStr">
        <is>
          <t>Single Carrier (Band n50, 100MHz TDD)</t>
        </is>
      </c>
      <c r="Q1001" s="13">
        <f>ROUNDUP(O1001/'Methodology &amp; Assumptions'!$B$6, 0)</f>
        <v/>
      </c>
      <c r="R1001" s="13" t="n">
        <v>1</v>
      </c>
      <c r="S1001" s="14" t="n">
        <v>40.45</v>
      </c>
      <c r="T1001" s="14" t="n">
        <v>43.27</v>
      </c>
      <c r="U1001" s="26">
        <f>IF(X1001&gt;='Methodology &amp; Assumptions'!$B$7, "Tier 1 Critical GIDA (Score ≥ 50.0)", IF(X1001&gt;='Methodology &amp; Assumptions'!$B$8, "Tier 2 High GIDA (Score 40.0–49.9)", "Tier 3 Moderate GIDA (Score &lt; 40.0)"))</f>
        <v/>
      </c>
      <c r="V1001" s="26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W1001" s="28" t="n">
        <v>0.109</v>
      </c>
      <c r="X1001" s="14" t="n">
        <v>51.25</v>
      </c>
      <c r="Y1001" s="14">
        <f>ROUND(MIN(100, (X1001/69.91)*100), 2)</f>
        <v/>
      </c>
    </row>
    <row r="1002">
      <c r="A1002" s="10" t="n">
        <v>1</v>
      </c>
      <c r="B1002" s="10" t="n">
        <v>998</v>
      </c>
      <c r="C1002" s="10" t="n">
        <v>998</v>
      </c>
      <c r="D1002" s="10" t="inlineStr">
        <is>
          <t>1908702013</t>
        </is>
      </c>
      <c r="E1002" s="26" t="inlineStr">
        <is>
          <t>Bangsamoro Autonomous Region In Muslim Mindanao (BARMM)</t>
        </is>
      </c>
      <c r="F1002" s="26" t="inlineStr">
        <is>
          <t>Maguindanao del Norte</t>
        </is>
      </c>
      <c r="G1002" s="26" t="inlineStr">
        <is>
          <t>Buldon</t>
        </is>
      </c>
      <c r="H1002" s="26" t="inlineStr">
        <is>
          <t>Pantawan</t>
        </is>
      </c>
      <c r="I1002" s="27" t="n">
        <v>17.254058</v>
      </c>
      <c r="J1002" s="27" t="n">
        <v>122.228102</v>
      </c>
      <c r="K1002" s="10" t="inlineStr">
        <is>
          <t>R</t>
        </is>
      </c>
      <c r="L1002" s="12" t="n">
        <v>4001</v>
      </c>
      <c r="M1002" s="14" t="n">
        <v>4.3</v>
      </c>
      <c r="N1002" s="12">
        <f>ROUND(L1002/M1002, 0)</f>
        <v/>
      </c>
      <c r="O1002" s="12">
        <f>ROUND(N1002*'Methodology &amp; Assumptions'!$B$5, 0)</f>
        <v/>
      </c>
      <c r="P1002" s="10" t="inlineStr">
        <is>
          <t>Single Carrier (Band n50, 100MHz TDD)</t>
        </is>
      </c>
      <c r="Q1002" s="13">
        <f>ROUNDUP(O1002/'Methodology &amp; Assumptions'!$B$6, 0)</f>
        <v/>
      </c>
      <c r="R1002" s="13" t="n">
        <v>1</v>
      </c>
      <c r="S1002" s="14" t="n">
        <v>29.3</v>
      </c>
      <c r="T1002" s="14" t="n">
        <v>34.19</v>
      </c>
      <c r="U1002" s="26">
        <f>IF(X1002&gt;='Methodology &amp; Assumptions'!$B$7, "Tier 1 Critical GIDA (Score ≥ 50.0)", IF(X1002&gt;='Methodology &amp; Assumptions'!$B$8, "Tier 2 High GIDA (Score 40.0–49.9)", "Tier 3 Moderate GIDA (Score &lt; 40.0)"))</f>
        <v/>
      </c>
      <c r="V1002" s="26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W1002" s="28" t="n">
        <v>0.11</v>
      </c>
      <c r="X1002" s="14" t="n">
        <v>51.25</v>
      </c>
      <c r="Y1002" s="14">
        <f>ROUND(MIN(100, (X1002/69.91)*100), 2)</f>
        <v/>
      </c>
    </row>
    <row r="1003">
      <c r="A1003" s="10" t="n">
        <v>1</v>
      </c>
      <c r="B1003" s="10" t="n">
        <v>999</v>
      </c>
      <c r="C1003" s="10" t="n">
        <v>999</v>
      </c>
      <c r="D1003" s="10" t="inlineStr">
        <is>
          <t>1380601025</t>
        </is>
      </c>
      <c r="E1003" s="26" t="inlineStr">
        <is>
          <t>National Capital Region (NCR)</t>
        </is>
      </c>
      <c r="F1003" s="26" t="inlineStr">
        <is>
          <t>First District (Not a Province)</t>
        </is>
      </c>
      <c r="G1003" s="26" t="inlineStr">
        <is>
          <t>City of Manila</t>
        </is>
      </c>
      <c r="H1003" s="26" t="inlineStr">
        <is>
          <t>Barangay 25</t>
        </is>
      </c>
      <c r="I1003" s="27" t="n">
        <v>12.690074</v>
      </c>
      <c r="J1003" s="27" t="n">
        <v>121.808299</v>
      </c>
      <c r="K1003" s="10" t="inlineStr">
        <is>
          <t>U</t>
        </is>
      </c>
      <c r="L1003" s="12" t="n">
        <v>2622</v>
      </c>
      <c r="M1003" s="14" t="n">
        <v>3.9</v>
      </c>
      <c r="N1003" s="12">
        <f>ROUND(L1003/M1003, 0)</f>
        <v/>
      </c>
      <c r="O1003" s="12">
        <f>ROUND(N1003*'Methodology &amp; Assumptions'!$B$5, 0)</f>
        <v/>
      </c>
      <c r="P1003" s="10" t="inlineStr">
        <is>
          <t>Single Carrier (Band n50, 100MHz TDD)</t>
        </is>
      </c>
      <c r="Q1003" s="13">
        <f>ROUNDUP(O1003/'Methodology &amp; Assumptions'!$B$6, 0)</f>
        <v/>
      </c>
      <c r="R1003" s="13" t="n">
        <v>1</v>
      </c>
      <c r="S1003" s="14" t="n">
        <v>29.44</v>
      </c>
      <c r="T1003" s="14" t="n">
        <v>27.75</v>
      </c>
      <c r="U1003" s="26">
        <f>IF(X1003&gt;='Methodology &amp; Assumptions'!$B$7, "Tier 1 Critical GIDA (Score ≥ 50.0)", IF(X1003&gt;='Methodology &amp; Assumptions'!$B$8, "Tier 2 High GIDA (Score 40.0–49.9)", "Tier 3 Moderate GIDA (Score &lt; 40.0)"))</f>
        <v/>
      </c>
      <c r="V1003" s="26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W1003" s="28" t="n">
        <v>0.109</v>
      </c>
      <c r="X1003" s="14" t="n">
        <v>51.25</v>
      </c>
      <c r="Y1003" s="14">
        <f>ROUND(MIN(100, (X1003/69.91)*100), 2)</f>
        <v/>
      </c>
    </row>
    <row r="1004">
      <c r="A1004" s="10" t="n">
        <v>1</v>
      </c>
      <c r="B1004" s="10" t="n">
        <v>1000</v>
      </c>
      <c r="C1004" s="10" t="n">
        <v>1000</v>
      </c>
      <c r="D1004" s="10" t="inlineStr">
        <is>
          <t>1380601128</t>
        </is>
      </c>
      <c r="E1004" s="26" t="inlineStr">
        <is>
          <t>National Capital Region (NCR)</t>
        </is>
      </c>
      <c r="F1004" s="26" t="inlineStr">
        <is>
          <t>First District (Not a Province)</t>
        </is>
      </c>
      <c r="G1004" s="26" t="inlineStr">
        <is>
          <t>City of Manila</t>
        </is>
      </c>
      <c r="H1004" s="26" t="inlineStr">
        <is>
          <t>Barangay 128</t>
        </is>
      </c>
      <c r="I1004" s="27" t="n">
        <v>12.99774</v>
      </c>
      <c r="J1004" s="27" t="n">
        <v>121.616197</v>
      </c>
      <c r="K1004" s="10" t="inlineStr">
        <is>
          <t>U</t>
        </is>
      </c>
      <c r="L1004" s="12" t="n">
        <v>24422</v>
      </c>
      <c r="M1004" s="14" t="n">
        <v>3.9</v>
      </c>
      <c r="N1004" s="12">
        <f>ROUND(L1004/M1004, 0)</f>
        <v/>
      </c>
      <c r="O1004" s="12">
        <f>ROUND(N1004*'Methodology &amp; Assumptions'!$B$5, 0)</f>
        <v/>
      </c>
      <c r="P1004" s="10" t="inlineStr">
        <is>
          <t>Single Carrier (Band n50, 100MHz TDD)</t>
        </is>
      </c>
      <c r="Q1004" s="13">
        <f>ROUNDUP(O1004/'Methodology &amp; Assumptions'!$B$6, 0)</f>
        <v/>
      </c>
      <c r="R1004" s="13" t="n">
        <v>1</v>
      </c>
      <c r="S1004" s="14" t="n">
        <v>13.98</v>
      </c>
      <c r="T1004" s="14" t="n">
        <v>14.9</v>
      </c>
      <c r="U1004" s="26">
        <f>IF(X1004&gt;='Methodology &amp; Assumptions'!$B$7, "Tier 1 Critical GIDA (Score ≥ 50.0)", IF(X1004&gt;='Methodology &amp; Assumptions'!$B$8, "Tier 2 High GIDA (Score 40.0–49.9)", "Tier 3 Moderate GIDA (Score &lt; 40.0)"))</f>
        <v/>
      </c>
      <c r="V1004" s="26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W1004" s="28" t="n">
        <v>0.109</v>
      </c>
      <c r="X1004" s="14" t="n">
        <v>51.25</v>
      </c>
      <c r="Y1004" s="14">
        <f>ROUND(MIN(100, (X1004/69.91)*100), 2)</f>
        <v/>
      </c>
    </row>
    <row r="1005">
      <c r="A1005" s="29" t="inlineStr">
        <is>
          <t>BATCH TOTAL / AVERAGE</t>
        </is>
      </c>
      <c r="B1005" s="29" t="n"/>
      <c r="C1005" s="29" t="n"/>
      <c r="D1005" s="29" t="n"/>
      <c r="E1005" s="29" t="n"/>
      <c r="F1005" s="29" t="n"/>
      <c r="G1005" s="29" t="n"/>
      <c r="H1005" s="29" t="n"/>
      <c r="I1005" s="29" t="n"/>
      <c r="J1005" s="29" t="n"/>
      <c r="K1005" s="29" t="n"/>
      <c r="L1005" s="17">
        <f>SUM(L5:L1004)</f>
        <v/>
      </c>
      <c r="M1005" s="29" t="n"/>
      <c r="N1005" s="17">
        <f>SUM(N5:N1004)</f>
        <v/>
      </c>
      <c r="O1005" s="17">
        <f>SUM(O5:O1004)</f>
        <v/>
      </c>
      <c r="P1005" s="29" t="n"/>
      <c r="Q1005" s="17">
        <f>SUM(Q5:Q1004)</f>
        <v/>
      </c>
      <c r="R1005" s="17">
        <f>SUM(R5:R1004)</f>
        <v/>
      </c>
      <c r="S1005" s="18">
        <f>AVERAGE(S5:S1004)</f>
        <v/>
      </c>
      <c r="T1005" s="29" t="n"/>
      <c r="U1005" s="29" t="n"/>
      <c r="V1005" s="29" t="n"/>
      <c r="W1005" s="29" t="n"/>
      <c r="X1005" s="18">
        <f>AVERAGE(X5:X1004)</f>
        <v/>
      </c>
      <c r="Y1005" s="18">
        <f>AVERAGE(Y5:Y1004)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4" customWidth="1" min="4" max="4"/>
    <col width="20" customWidth="1" min="5" max="5"/>
    <col width="20" customWidth="1" min="6" max="6"/>
    <col width="22" customWidth="1" min="7" max="7"/>
    <col width="24" customWidth="1" min="8" max="8"/>
    <col width="12" customWidth="1" min="9" max="9"/>
    <col width="12" customWidth="1" min="10" max="10"/>
    <col width="6" customWidth="1" min="11" max="11"/>
    <col width="14" customWidth="1" min="12" max="12"/>
    <col width="14" customWidth="1" min="13" max="13"/>
    <col width="14" customWidth="1" min="14" max="14"/>
    <col width="15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32" customWidth="1" min="22" max="22"/>
    <col width="14" customWidth="1" min="23" max="23"/>
    <col width="14" customWidth="1" min="24" max="24"/>
    <col width="16" customWidth="1" min="25" max="25"/>
  </cols>
  <sheetData>
    <row r="1">
      <c r="A1" s="1" t="inlineStr">
        <is>
          <t>5G FWA GIDA Siting Rollout Schedule - Batch 2 (1,001 - 2,000)</t>
        </is>
      </c>
    </row>
    <row r="2">
      <c r="A2" s="2" t="inlineStr">
        <is>
          <t>Dynamic GIDA deployment rollout schedule (1,000 sites), linked to live parameters in 'Methodology &amp; Assumptions'.</t>
        </is>
      </c>
    </row>
    <row r="3"/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GIDA Priority Tier</t>
        </is>
      </c>
      <c r="V4" s="9" t="inlineStr">
        <is>
          <t>Backhaul Architecture</t>
        </is>
      </c>
      <c r="W4" s="9" t="inlineStr">
        <is>
          <t>Regional Poverty %</t>
        </is>
      </c>
      <c r="X4" s="9" t="inlineStr">
        <is>
          <t>Official GIDA Score</t>
        </is>
      </c>
      <c r="Y4" s="9" t="inlineStr">
        <is>
          <t>Normalized GIDA Score</t>
        </is>
      </c>
    </row>
    <row r="5">
      <c r="A5" s="10" t="n">
        <v>2</v>
      </c>
      <c r="B5" s="10" t="n">
        <v>1</v>
      </c>
      <c r="C5" s="10" t="n">
        <v>1001</v>
      </c>
      <c r="D5" s="10" t="inlineStr">
        <is>
          <t>1108205016</t>
        </is>
      </c>
      <c r="E5" s="26" t="inlineStr">
        <is>
          <t>Region XI (Davao Region)</t>
        </is>
      </c>
      <c r="F5" s="26" t="inlineStr">
        <is>
          <t>Davao de Oro</t>
        </is>
      </c>
      <c r="G5" s="26" t="inlineStr">
        <is>
          <t>Maragusan</t>
        </is>
      </c>
      <c r="H5" s="26" t="inlineStr">
        <is>
          <t>New Katipunan</t>
        </is>
      </c>
      <c r="I5" s="27" t="n">
        <v>7.304824</v>
      </c>
      <c r="J5" s="27" t="n">
        <v>126.112122</v>
      </c>
      <c r="K5" s="10" t="inlineStr">
        <is>
          <t>R</t>
        </is>
      </c>
      <c r="L5" s="12" t="n">
        <v>3073</v>
      </c>
      <c r="M5" s="14" t="n">
        <v>3.7</v>
      </c>
      <c r="N5" s="12">
        <f>ROUND(L5/M5, 0)</f>
        <v/>
      </c>
      <c r="O5" s="12">
        <f>ROUND(N5*'Methodology &amp; Assumptions'!$B$5, 0)</f>
        <v/>
      </c>
      <c r="P5" s="10" t="inlineStr">
        <is>
          <t>Single Carrier (Band n50, 100MHz TDD)</t>
        </is>
      </c>
      <c r="Q5" s="13">
        <f>ROUNDUP(O5/'Methodology &amp; Assumptions'!$B$6, 0)</f>
        <v/>
      </c>
      <c r="R5" s="13" t="n">
        <v>1</v>
      </c>
      <c r="S5" s="14" t="n">
        <v>28.3</v>
      </c>
      <c r="T5" s="14" t="n">
        <v>27.46</v>
      </c>
      <c r="U5" s="26">
        <f>IF(X5&gt;='Methodology &amp; Assumptions'!$B$7, "Tier 1 Critical GIDA (Score ≥ 50.0)", IF(X5&gt;='Methodology &amp; Assumptions'!$B$8, "Tier 2 High GIDA (Score 40.0–49.9)", "Tier 3 Moderate GIDA (Score &lt; 40.0)"))</f>
        <v/>
      </c>
      <c r="V5" s="26">
        <f>IF(S5&lt;='Methodology &amp; Assumptions'!$B$10, "Direct Optical Drop (&lt;3km)", IF(S5&lt;='Methodology &amp; Assumptions'!$B$9, "Near Optical / Microwave (&lt;5km)", "Starlink Business LEO Satellite Backhaul (&gt;5km)"))</f>
        <v/>
      </c>
      <c r="W5" s="28" t="n">
        <v>0.174</v>
      </c>
      <c r="X5" s="14" t="n">
        <v>51.23</v>
      </c>
      <c r="Y5" s="14">
        <f>ROUND(MIN(100, (X5/69.91)*100), 2)</f>
        <v/>
      </c>
    </row>
    <row r="6">
      <c r="A6" s="10" t="n">
        <v>2</v>
      </c>
      <c r="B6" s="10" t="n">
        <v>2</v>
      </c>
      <c r="C6" s="10" t="n">
        <v>1002</v>
      </c>
      <c r="D6" s="10" t="inlineStr">
        <is>
          <t>0802615011</t>
        </is>
      </c>
      <c r="E6" s="26" t="inlineStr">
        <is>
          <t>Region VIII (Eastern Visayas)</t>
        </is>
      </c>
      <c r="F6" s="26" t="inlineStr">
        <is>
          <t>Eastern Samar</t>
        </is>
      </c>
      <c r="G6" s="26" t="inlineStr">
        <is>
          <t>Maydolong</t>
        </is>
      </c>
      <c r="H6" s="26" t="inlineStr">
        <is>
          <t>Omawas</t>
        </is>
      </c>
      <c r="I6" s="27" t="n">
        <v>11.531057</v>
      </c>
      <c r="J6" s="27" t="n">
        <v>125.474027</v>
      </c>
      <c r="K6" s="10" t="inlineStr">
        <is>
          <t>R</t>
        </is>
      </c>
      <c r="L6" s="12" t="n">
        <v>1082</v>
      </c>
      <c r="M6" s="14" t="n">
        <v>3.9</v>
      </c>
      <c r="N6" s="12">
        <f>ROUND(L6/M6, 0)</f>
        <v/>
      </c>
      <c r="O6" s="12">
        <f>ROUND(N6*'Methodology &amp; Assumptions'!$B$5, 0)</f>
        <v/>
      </c>
      <c r="P6" s="10" t="inlineStr">
        <is>
          <t>Single Carrier (Band n50, 100MHz TDD)</t>
        </is>
      </c>
      <c r="Q6" s="13">
        <f>ROUNDUP(O6/'Methodology &amp; Assumptions'!$B$6, 0)</f>
        <v/>
      </c>
      <c r="R6" s="13" t="n">
        <v>1</v>
      </c>
      <c r="S6" s="14" t="n">
        <v>60.77</v>
      </c>
      <c r="T6" s="14" t="n">
        <v>61.29</v>
      </c>
      <c r="U6" s="26">
        <f>IF(X6&gt;='Methodology &amp; Assumptions'!$B$7, "Tier 1 Critical GIDA (Score ≥ 50.0)", IF(X6&gt;='Methodology &amp; Assumptions'!$B$8, "Tier 2 High GIDA (Score 40.0–49.9)", "Tier 3 Moderate GIDA (Score &lt; 40.0)"))</f>
        <v/>
      </c>
      <c r="V6" s="26">
        <f>IF(S6&lt;='Methodology &amp; Assumptions'!$B$10, "Direct Optical Drop (&lt;3km)", IF(S6&lt;='Methodology &amp; Assumptions'!$B$9, "Near Optical / Microwave (&lt;5km)", "Starlink Business LEO Satellite Backhaul (&gt;5km)"))</f>
        <v/>
      </c>
      <c r="W6" s="28" t="n">
        <v>0.237</v>
      </c>
      <c r="X6" s="14" t="n">
        <v>51.23</v>
      </c>
      <c r="Y6" s="14">
        <f>ROUND(MIN(100, (X6/69.91)*100), 2)</f>
        <v/>
      </c>
    </row>
    <row r="7">
      <c r="A7" s="10" t="n">
        <v>2</v>
      </c>
      <c r="B7" s="10" t="n">
        <v>3</v>
      </c>
      <c r="C7" s="10" t="n">
        <v>1003</v>
      </c>
      <c r="D7" s="10" t="inlineStr">
        <is>
          <t>PH0001003</t>
        </is>
      </c>
      <c r="E7" s="26" t="inlineStr">
        <is>
          <t>VI</t>
        </is>
      </c>
      <c r="F7" s="26" t="inlineStr">
        <is>
          <t>Capiz</t>
        </is>
      </c>
      <c r="G7" s="26" t="inlineStr">
        <is>
          <t>Roxas City</t>
        </is>
      </c>
      <c r="H7" s="26" t="inlineStr">
        <is>
          <t>Poblacion IV</t>
        </is>
      </c>
      <c r="I7" s="27" t="n">
        <v>11.55885</v>
      </c>
      <c r="J7" s="27" t="n">
        <v>122.748124</v>
      </c>
      <c r="K7" s="10" t="inlineStr">
        <is>
          <t>R</t>
        </is>
      </c>
      <c r="L7" s="12" t="n">
        <v>2282</v>
      </c>
      <c r="M7" s="14" t="n">
        <v>3.8</v>
      </c>
      <c r="N7" s="12">
        <f>ROUND(L7/M7, 0)</f>
        <v/>
      </c>
      <c r="O7" s="12">
        <f>ROUND(N7*'Methodology &amp; Assumptions'!$B$5, 0)</f>
        <v/>
      </c>
      <c r="P7" s="10" t="inlineStr">
        <is>
          <t>Single Carrier (Band n50, 100MHz TDD)</t>
        </is>
      </c>
      <c r="Q7" s="13">
        <f>ROUNDUP(O7/'Methodology &amp; Assumptions'!$B$6, 0)</f>
        <v/>
      </c>
      <c r="R7" s="13" t="n">
        <v>1</v>
      </c>
      <c r="S7" s="14" t="n">
        <v>3.34</v>
      </c>
      <c r="T7" s="14" t="n">
        <v>1.08</v>
      </c>
      <c r="U7" s="26">
        <f>IF(X7&gt;='Methodology &amp; Assumptions'!$B$7, "Tier 1 Critical GIDA (Score ≥ 50.0)", IF(X7&gt;='Methodology &amp; Assumptions'!$B$8, "Tier 2 High GIDA (Score 40.0–49.9)", "Tier 3 Moderate GIDA (Score &lt; 40.0)"))</f>
        <v/>
      </c>
      <c r="V7" s="26">
        <f>IF(S7&lt;='Methodology &amp; Assumptions'!$B$10, "Direct Optical Drop (&lt;3km)", IF(S7&lt;='Methodology &amp; Assumptions'!$B$9, "Near Optical / Microwave (&lt;5km)", "Starlink Business LEO Satellite Backhaul (&gt;5km)"))</f>
        <v/>
      </c>
      <c r="W7" s="28" t="n">
        <v>0.156</v>
      </c>
      <c r="X7" s="14" t="n">
        <v>51.22</v>
      </c>
      <c r="Y7" s="14">
        <f>ROUND(MIN(100, (X7/69.91)*100), 2)</f>
        <v/>
      </c>
    </row>
    <row r="8">
      <c r="A8" s="10" t="n">
        <v>2</v>
      </c>
      <c r="B8" s="10" t="n">
        <v>4</v>
      </c>
      <c r="C8" s="10" t="n">
        <v>1004</v>
      </c>
      <c r="D8" s="10" t="inlineStr">
        <is>
          <t>0806008009</t>
        </is>
      </c>
      <c r="E8" s="26" t="inlineStr">
        <is>
          <t>Region VIII (Eastern Visayas)</t>
        </is>
      </c>
      <c r="F8" s="26" t="inlineStr">
        <is>
          <t>Samar</t>
        </is>
      </c>
      <c r="G8" s="26" t="inlineStr">
        <is>
          <t>Hinabangan</t>
        </is>
      </c>
      <c r="H8" s="26" t="inlineStr">
        <is>
          <t>Lim-ao</t>
        </is>
      </c>
      <c r="I8" s="27" t="n">
        <v>11.71293</v>
      </c>
      <c r="J8" s="27" t="n">
        <v>125.09006</v>
      </c>
      <c r="K8" s="10" t="inlineStr">
        <is>
          <t>R</t>
        </is>
      </c>
      <c r="L8" s="12" t="n">
        <v>306</v>
      </c>
      <c r="M8" s="14" t="n">
        <v>4.1</v>
      </c>
      <c r="N8" s="12">
        <f>ROUND(L8/M8, 0)</f>
        <v/>
      </c>
      <c r="O8" s="12">
        <f>ROUND(N8*'Methodology &amp; Assumptions'!$B$5, 0)</f>
        <v/>
      </c>
      <c r="P8" s="10" t="inlineStr">
        <is>
          <t>Single Carrier (Band n50, 100MHz TDD)</t>
        </is>
      </c>
      <c r="Q8" s="13">
        <f>ROUNDUP(O8/'Methodology &amp; Assumptions'!$B$6, 0)</f>
        <v/>
      </c>
      <c r="R8" s="13" t="n">
        <v>1</v>
      </c>
      <c r="S8" s="14" t="n">
        <v>53.49</v>
      </c>
      <c r="T8" s="14" t="n">
        <v>56.34</v>
      </c>
      <c r="U8" s="26">
        <f>IF(X8&gt;='Methodology &amp; Assumptions'!$B$7, "Tier 1 Critical GIDA (Score ≥ 50.0)", IF(X8&gt;='Methodology &amp; Assumptions'!$B$8, "Tier 2 High GIDA (Score 40.0–49.9)", "Tier 3 Moderate GIDA (Score &lt; 40.0)"))</f>
        <v/>
      </c>
      <c r="V8" s="26">
        <f>IF(S8&lt;='Methodology &amp; Assumptions'!$B$10, "Direct Optical Drop (&lt;3km)", IF(S8&lt;='Methodology &amp; Assumptions'!$B$9, "Near Optical / Microwave (&lt;5km)", "Starlink Business LEO Satellite Backhaul (&gt;5km)"))</f>
        <v/>
      </c>
      <c r="W8" s="28" t="n">
        <v>0.237</v>
      </c>
      <c r="X8" s="14" t="n">
        <v>51.22</v>
      </c>
      <c r="Y8" s="14">
        <f>ROUND(MIN(100, (X8/69.91)*100), 2)</f>
        <v/>
      </c>
    </row>
    <row r="9">
      <c r="A9" s="10" t="n">
        <v>2</v>
      </c>
      <c r="B9" s="10" t="n">
        <v>5</v>
      </c>
      <c r="C9" s="10" t="n">
        <v>1005</v>
      </c>
      <c r="D9" s="10" t="inlineStr">
        <is>
          <t>1381200004</t>
        </is>
      </c>
      <c r="E9" s="26" t="inlineStr">
        <is>
          <t>National Capital Region (NCR)</t>
        </is>
      </c>
      <c r="F9" s="26" t="inlineStr">
        <is>
          <t>Second District (Not a Province)</t>
        </is>
      </c>
      <c r="G9" s="26" t="inlineStr">
        <is>
          <t>City of Pasig</t>
        </is>
      </c>
      <c r="H9" s="26" t="inlineStr">
        <is>
          <t>Buting</t>
        </is>
      </c>
      <c r="I9" s="27" t="n">
        <v>14.555537</v>
      </c>
      <c r="J9" s="27" t="n">
        <v>121.065999</v>
      </c>
      <c r="K9" s="10" t="inlineStr">
        <is>
          <t>U</t>
        </is>
      </c>
      <c r="L9" s="12" t="n">
        <v>10991</v>
      </c>
      <c r="M9" s="14" t="n">
        <v>3.4</v>
      </c>
      <c r="N9" s="12">
        <f>ROUND(L9/M9, 0)</f>
        <v/>
      </c>
      <c r="O9" s="12">
        <f>ROUND(N9*'Methodology &amp; Assumptions'!$B$5, 0)</f>
        <v/>
      </c>
      <c r="P9" s="10" t="inlineStr">
        <is>
          <t>Single Carrier (Band n50, 100MHz TDD)</t>
        </is>
      </c>
      <c r="Q9" s="13">
        <f>ROUNDUP(O9/'Methodology &amp; Assumptions'!$B$6, 0)</f>
        <v/>
      </c>
      <c r="R9" s="13" t="n">
        <v>1</v>
      </c>
      <c r="S9" s="14" t="n">
        <v>1.23</v>
      </c>
      <c r="T9" s="14" t="n">
        <v>0.13</v>
      </c>
      <c r="U9" s="26">
        <f>IF(X9&gt;='Methodology &amp; Assumptions'!$B$7, "Tier 1 Critical GIDA (Score ≥ 50.0)", IF(X9&gt;='Methodology &amp; Assumptions'!$B$8, "Tier 2 High GIDA (Score 40.0–49.9)", "Tier 3 Moderate GIDA (Score &lt; 40.0)"))</f>
        <v/>
      </c>
      <c r="V9" s="26">
        <f>IF(S9&lt;='Methodology &amp; Assumptions'!$B$10, "Direct Optical Drop (&lt;3km)", IF(S9&lt;='Methodology &amp; Assumptions'!$B$9, "Near Optical / Microwave (&lt;5km)", "Starlink Business LEO Satellite Backhaul (&gt;5km)"))</f>
        <v/>
      </c>
      <c r="W9" s="28" t="n">
        <v>0.109</v>
      </c>
      <c r="X9" s="14" t="n">
        <v>51.21</v>
      </c>
      <c r="Y9" s="14">
        <f>ROUND(MIN(100, (X9/69.91)*100), 2)</f>
        <v/>
      </c>
    </row>
    <row r="10">
      <c r="A10" s="10" t="n">
        <v>2</v>
      </c>
      <c r="B10" s="10" t="n">
        <v>6</v>
      </c>
      <c r="C10" s="10" t="n">
        <v>1006</v>
      </c>
      <c r="D10" s="10" t="inlineStr">
        <is>
          <t>1380606199</t>
        </is>
      </c>
      <c r="E10" s="26" t="inlineStr">
        <is>
          <t>National Capital Region (NCR)</t>
        </is>
      </c>
      <c r="F10" s="26" t="inlineStr">
        <is>
          <t>First District (Not a Province)</t>
        </is>
      </c>
      <c r="G10" s="26" t="inlineStr">
        <is>
          <t>City of Manila</t>
        </is>
      </c>
      <c r="H10" s="26" t="inlineStr">
        <is>
          <t>Barangay 592</t>
        </is>
      </c>
      <c r="I10" s="27" t="n">
        <v>12.896717</v>
      </c>
      <c r="J10" s="27" t="n">
        <v>121.973528</v>
      </c>
      <c r="K10" s="10" t="inlineStr">
        <is>
          <t>U</t>
        </is>
      </c>
      <c r="L10" s="12" t="n">
        <v>2443</v>
      </c>
      <c r="M10" s="14" t="n">
        <v>3.9</v>
      </c>
      <c r="N10" s="12">
        <f>ROUND(L10/M10, 0)</f>
        <v/>
      </c>
      <c r="O10" s="12">
        <f>ROUND(N10*'Methodology &amp; Assumptions'!$B$5, 0)</f>
        <v/>
      </c>
      <c r="P10" s="10" t="inlineStr">
        <is>
          <t>Single Carrier (Band n50, 100MHz TDD)</t>
        </is>
      </c>
      <c r="Q10" s="13">
        <f>ROUNDUP(O10/'Methodology &amp; Assumptions'!$B$6, 0)</f>
        <v/>
      </c>
      <c r="R10" s="13" t="n">
        <v>1</v>
      </c>
      <c r="S10" s="14" t="n">
        <v>53.91</v>
      </c>
      <c r="T10" s="14" t="n">
        <v>54.12</v>
      </c>
      <c r="U10" s="26">
        <f>IF(X10&gt;='Methodology &amp; Assumptions'!$B$7, "Tier 1 Critical GIDA (Score ≥ 50.0)", IF(X10&gt;='Methodology &amp; Assumptions'!$B$8, "Tier 2 High GIDA (Score 40.0–49.9)", "Tier 3 Moderate GIDA (Score &lt; 40.0)"))</f>
        <v/>
      </c>
      <c r="V10" s="26">
        <f>IF(S10&lt;='Methodology &amp; Assumptions'!$B$10, "Direct Optical Drop (&lt;3km)", IF(S10&lt;='Methodology &amp; Assumptions'!$B$9, "Near Optical / Microwave (&lt;5km)", "Starlink Business LEO Satellite Backhaul (&gt;5km)"))</f>
        <v/>
      </c>
      <c r="W10" s="28" t="n">
        <v>0.109</v>
      </c>
      <c r="X10" s="14" t="n">
        <v>51.21</v>
      </c>
      <c r="Y10" s="14">
        <f>ROUND(MIN(100, (X10/69.91)*100), 2)</f>
        <v/>
      </c>
    </row>
    <row r="11">
      <c r="A11" s="10" t="n">
        <v>2</v>
      </c>
      <c r="B11" s="10" t="n">
        <v>7</v>
      </c>
      <c r="C11" s="10" t="n">
        <v>1007</v>
      </c>
      <c r="D11" s="10" t="inlineStr">
        <is>
          <t>1908702010</t>
        </is>
      </c>
      <c r="E11" s="26" t="inlineStr">
        <is>
          <t>Bangsamoro Autonomous Region In Muslim Mindanao (BARMM)</t>
        </is>
      </c>
      <c r="F11" s="26" t="inlineStr">
        <is>
          <t>Maguindanao del Norte</t>
        </is>
      </c>
      <c r="G11" s="26" t="inlineStr">
        <is>
          <t>Buldon</t>
        </is>
      </c>
      <c r="H11" s="26" t="inlineStr">
        <is>
          <t>Minabay</t>
        </is>
      </c>
      <c r="I11" s="27" t="n">
        <v>17.253888</v>
      </c>
      <c r="J11" s="27" t="n">
        <v>122.227932</v>
      </c>
      <c r="K11" s="10" t="inlineStr">
        <is>
          <t>R</t>
        </is>
      </c>
      <c r="L11" s="12" t="n">
        <v>5213</v>
      </c>
      <c r="M11" s="14" t="n">
        <v>4.3</v>
      </c>
      <c r="N11" s="12">
        <f>ROUND(L11/M11, 0)</f>
        <v/>
      </c>
      <c r="O11" s="12">
        <f>ROUND(N11*'Methodology &amp; Assumptions'!$B$5, 0)</f>
        <v/>
      </c>
      <c r="P11" s="10" t="inlineStr">
        <is>
          <t>Single Carrier (Band n50, 100MHz TDD)</t>
        </is>
      </c>
      <c r="Q11" s="13">
        <f>ROUNDUP(O11/'Methodology &amp; Assumptions'!$B$6, 0)</f>
        <v/>
      </c>
      <c r="R11" s="13" t="n">
        <v>1</v>
      </c>
      <c r="S11" s="14" t="n">
        <v>29.27</v>
      </c>
      <c r="T11" s="14" t="n">
        <v>34.17</v>
      </c>
      <c r="U11" s="26">
        <f>IF(X11&gt;='Methodology &amp; Assumptions'!$B$7, "Tier 1 Critical GIDA (Score ≥ 50.0)", IF(X11&gt;='Methodology &amp; Assumptions'!$B$8, "Tier 2 High GIDA (Score 40.0–49.9)", "Tier 3 Moderate GIDA (Score &lt; 40.0)"))</f>
        <v/>
      </c>
      <c r="V11" s="26">
        <f>IF(S11&lt;='Methodology &amp; Assumptions'!$B$10, "Direct Optical Drop (&lt;3km)", IF(S11&lt;='Methodology &amp; Assumptions'!$B$9, "Near Optical / Microwave (&lt;5km)", "Starlink Business LEO Satellite Backhaul (&gt;5km)"))</f>
        <v/>
      </c>
      <c r="W11" s="28" t="n">
        <v>0.11</v>
      </c>
      <c r="X11" s="14" t="n">
        <v>51.21</v>
      </c>
      <c r="Y11" s="14">
        <f>ROUND(MIN(100, (X11/69.91)*100), 2)</f>
        <v/>
      </c>
    </row>
    <row r="12">
      <c r="A12" s="10" t="n">
        <v>2</v>
      </c>
      <c r="B12" s="10" t="n">
        <v>8</v>
      </c>
      <c r="C12" s="10" t="n">
        <v>1008</v>
      </c>
      <c r="D12" s="10" t="inlineStr">
        <is>
          <t>1108601007</t>
        </is>
      </c>
      <c r="E12" s="26" t="inlineStr">
        <is>
          <t>Region XI (Davao Region)</t>
        </is>
      </c>
      <c r="F12" s="26" t="inlineStr">
        <is>
          <t>Davao Occidental</t>
        </is>
      </c>
      <c r="G12" s="26" t="inlineStr">
        <is>
          <t>Don Marcelino</t>
        </is>
      </c>
      <c r="H12" s="26" t="inlineStr">
        <is>
          <t>Baluntaya</t>
        </is>
      </c>
      <c r="I12" s="27" t="n">
        <v>6.246129</v>
      </c>
      <c r="J12" s="27" t="n">
        <v>125.640254</v>
      </c>
      <c r="K12" s="10" t="inlineStr">
        <is>
          <t>R</t>
        </is>
      </c>
      <c r="L12" s="12" t="n">
        <v>2604</v>
      </c>
      <c r="M12" s="14" t="n">
        <v>3.6</v>
      </c>
      <c r="N12" s="12">
        <f>ROUND(L12/M12, 0)</f>
        <v/>
      </c>
      <c r="O12" s="12">
        <f>ROUND(N12*'Methodology &amp; Assumptions'!$B$5, 0)</f>
        <v/>
      </c>
      <c r="P12" s="10" t="inlineStr">
        <is>
          <t>Single Carrier (Band n50, 100MHz TDD)</t>
        </is>
      </c>
      <c r="Q12" s="13">
        <f>ROUNDUP(O12/'Methodology &amp; Assumptions'!$B$6, 0)</f>
        <v/>
      </c>
      <c r="R12" s="13" t="n">
        <v>1</v>
      </c>
      <c r="S12" s="14" t="n">
        <v>43.01</v>
      </c>
      <c r="T12" s="14" t="n">
        <v>41.93</v>
      </c>
      <c r="U12" s="26">
        <f>IF(X12&gt;='Methodology &amp; Assumptions'!$B$7, "Tier 1 Critical GIDA (Score ≥ 50.0)", IF(X12&gt;='Methodology &amp; Assumptions'!$B$8, "Tier 2 High GIDA (Score 40.0–49.9)", "Tier 3 Moderate GIDA (Score &lt; 40.0)"))</f>
        <v/>
      </c>
      <c r="V12" s="26">
        <f>IF(S12&lt;='Methodology &amp; Assumptions'!$B$10, "Direct Optical Drop (&lt;3km)", IF(S12&lt;='Methodology &amp; Assumptions'!$B$9, "Near Optical / Microwave (&lt;5km)", "Starlink Business LEO Satellite Backhaul (&gt;5km)"))</f>
        <v/>
      </c>
      <c r="W12" s="28" t="n">
        <v>0.174</v>
      </c>
      <c r="X12" s="14" t="n">
        <v>51.2</v>
      </c>
      <c r="Y12" s="14">
        <f>ROUND(MIN(100, (X12/69.91)*100), 2)</f>
        <v/>
      </c>
    </row>
    <row r="13">
      <c r="A13" s="10" t="n">
        <v>2</v>
      </c>
      <c r="B13" s="10" t="n">
        <v>9</v>
      </c>
      <c r="C13" s="10" t="n">
        <v>1009</v>
      </c>
      <c r="D13" s="10" t="inlineStr">
        <is>
          <t>1380604016</t>
        </is>
      </c>
      <c r="E13" s="26" t="inlineStr">
        <is>
          <t>National Capital Region (NCR)</t>
        </is>
      </c>
      <c r="F13" s="26" t="inlineStr">
        <is>
          <t>First District (Not a Province)</t>
        </is>
      </c>
      <c r="G13" s="26" t="inlineStr">
        <is>
          <t>City of Manila</t>
        </is>
      </c>
      <c r="H13" s="26" t="inlineStr">
        <is>
          <t>Barangay 283</t>
        </is>
      </c>
      <c r="I13" s="27" t="n">
        <v>12.734751</v>
      </c>
      <c r="J13" s="27" t="n">
        <v>121.637751</v>
      </c>
      <c r="K13" s="10" t="inlineStr">
        <is>
          <t>U</t>
        </is>
      </c>
      <c r="L13" s="12" t="n">
        <v>1386</v>
      </c>
      <c r="M13" s="14" t="n">
        <v>3.9</v>
      </c>
      <c r="N13" s="12">
        <f>ROUND(L13/M13, 0)</f>
        <v/>
      </c>
      <c r="O13" s="12">
        <f>ROUND(N13*'Methodology &amp; Assumptions'!$B$5, 0)</f>
        <v/>
      </c>
      <c r="P13" s="10" t="inlineStr">
        <is>
          <t>Single Carrier (Band n50, 100MHz TDD)</t>
        </is>
      </c>
      <c r="Q13" s="13">
        <f>ROUNDUP(O13/'Methodology &amp; Assumptions'!$B$6, 0)</f>
        <v/>
      </c>
      <c r="R13" s="13" t="n">
        <v>1</v>
      </c>
      <c r="S13" s="14" t="n">
        <v>16.35</v>
      </c>
      <c r="T13" s="14" t="n">
        <v>16.32</v>
      </c>
      <c r="U13" s="26">
        <f>IF(X13&gt;='Methodology &amp; Assumptions'!$B$7, "Tier 1 Critical GIDA (Score ≥ 50.0)", IF(X13&gt;='Methodology &amp; Assumptions'!$B$8, "Tier 2 High GIDA (Score 40.0–49.9)", "Tier 3 Moderate GIDA (Score &lt; 40.0)"))</f>
        <v/>
      </c>
      <c r="V13" s="26">
        <f>IF(S13&lt;='Methodology &amp; Assumptions'!$B$10, "Direct Optical Drop (&lt;3km)", IF(S13&lt;='Methodology &amp; Assumptions'!$B$9, "Near Optical / Microwave (&lt;5km)", "Starlink Business LEO Satellite Backhaul (&gt;5km)"))</f>
        <v/>
      </c>
      <c r="W13" s="28" t="n">
        <v>0.109</v>
      </c>
      <c r="X13" s="14" t="n">
        <v>51.2</v>
      </c>
      <c r="Y13" s="14">
        <f>ROUND(MIN(100, (X13/69.91)*100), 2)</f>
        <v/>
      </c>
    </row>
    <row r="14">
      <c r="A14" s="10" t="n">
        <v>2</v>
      </c>
      <c r="B14" s="10" t="n">
        <v>10</v>
      </c>
      <c r="C14" s="10" t="n">
        <v>1010</v>
      </c>
      <c r="D14" s="10" t="inlineStr">
        <is>
          <t>0803734019</t>
        </is>
      </c>
      <c r="E14" s="26" t="inlineStr">
        <is>
          <t>Region VIII (Eastern Visayas)</t>
        </is>
      </c>
      <c r="F14" s="26" t="inlineStr">
        <is>
          <t>Leyte</t>
        </is>
      </c>
      <c r="G14" s="26" t="inlineStr">
        <is>
          <t>Matalom</t>
        </is>
      </c>
      <c r="H14" s="26" t="inlineStr">
        <is>
          <t>President Garcia</t>
        </is>
      </c>
      <c r="I14" s="27" t="n">
        <v>10.249255</v>
      </c>
      <c r="J14" s="27" t="n">
        <v>124.817054</v>
      </c>
      <c r="K14" s="10" t="inlineStr">
        <is>
          <t>R</t>
        </is>
      </c>
      <c r="L14" s="12" t="n">
        <v>874</v>
      </c>
      <c r="M14" s="14" t="n">
        <v>3.8</v>
      </c>
      <c r="N14" s="12">
        <f>ROUND(L14/M14, 0)</f>
        <v/>
      </c>
      <c r="O14" s="12">
        <f>ROUND(N14*'Methodology &amp; Assumptions'!$B$5, 0)</f>
        <v/>
      </c>
      <c r="P14" s="10" t="inlineStr">
        <is>
          <t>Single Carrier (Band n50, 100MHz TDD)</t>
        </is>
      </c>
      <c r="Q14" s="13">
        <f>ROUNDUP(O14/'Methodology &amp; Assumptions'!$B$6, 0)</f>
        <v/>
      </c>
      <c r="R14" s="13" t="n">
        <v>1</v>
      </c>
      <c r="S14" s="14" t="n">
        <v>12.87</v>
      </c>
      <c r="T14" s="14" t="n">
        <v>4.48</v>
      </c>
      <c r="U14" s="26">
        <f>IF(X14&gt;='Methodology &amp; Assumptions'!$B$7, "Tier 1 Critical GIDA (Score ≥ 50.0)", IF(X14&gt;='Methodology &amp; Assumptions'!$B$8, "Tier 2 High GIDA (Score 40.0–49.9)", "Tier 3 Moderate GIDA (Score &lt; 40.0)"))</f>
        <v/>
      </c>
      <c r="V14" s="26">
        <f>IF(S14&lt;='Methodology &amp; Assumptions'!$B$10, "Direct Optical Drop (&lt;3km)", IF(S14&lt;='Methodology &amp; Assumptions'!$B$9, "Near Optical / Microwave (&lt;5km)", "Starlink Business LEO Satellite Backhaul (&gt;5km)"))</f>
        <v/>
      </c>
      <c r="W14" s="28" t="n">
        <v>0.237</v>
      </c>
      <c r="X14" s="14" t="n">
        <v>51.19</v>
      </c>
      <c r="Y14" s="14">
        <f>ROUND(MIN(100, (X14/69.91)*100), 2)</f>
        <v/>
      </c>
    </row>
    <row r="15">
      <c r="A15" s="10" t="n">
        <v>2</v>
      </c>
      <c r="B15" s="10" t="n">
        <v>11</v>
      </c>
      <c r="C15" s="10" t="n">
        <v>1011</v>
      </c>
      <c r="D15" s="10" t="inlineStr">
        <is>
          <t>1003515008</t>
        </is>
      </c>
      <c r="E15" s="26" t="inlineStr">
        <is>
          <t>Region X (Northern Mindanao)</t>
        </is>
      </c>
      <c r="F15" s="26" t="inlineStr">
        <is>
          <t>Lanao del Norte</t>
        </is>
      </c>
      <c r="G15" s="26" t="inlineStr">
        <is>
          <t>Nunungan</t>
        </is>
      </c>
      <c r="H15" s="26" t="inlineStr">
        <is>
          <t>Kaludan</t>
        </is>
      </c>
      <c r="I15" s="27" t="n">
        <v>7.798369</v>
      </c>
      <c r="J15" s="27" t="n">
        <v>123.924124</v>
      </c>
      <c r="K15" s="10" t="inlineStr">
        <is>
          <t>R</t>
        </is>
      </c>
      <c r="L15" s="12" t="n">
        <v>1052</v>
      </c>
      <c r="M15" s="14" t="n">
        <v>4.2</v>
      </c>
      <c r="N15" s="12">
        <f>ROUND(L15/M15, 0)</f>
        <v/>
      </c>
      <c r="O15" s="12">
        <f>ROUND(N15*'Methodology &amp; Assumptions'!$B$5, 0)</f>
        <v/>
      </c>
      <c r="P15" s="10" t="inlineStr">
        <is>
          <t>Single Carrier (Band n50, 100MHz TDD)</t>
        </is>
      </c>
      <c r="Q15" s="13">
        <f>ROUNDUP(O15/'Methodology &amp; Assumptions'!$B$6, 0)</f>
        <v/>
      </c>
      <c r="R15" s="13" t="n">
        <v>1</v>
      </c>
      <c r="S15" s="14" t="n">
        <v>30.48</v>
      </c>
      <c r="T15" s="14" t="n">
        <v>20.31</v>
      </c>
      <c r="U15" s="26">
        <f>IF(X15&gt;='Methodology &amp; Assumptions'!$B$7, "Tier 1 Critical GIDA (Score ≥ 50.0)", IF(X15&gt;='Methodology &amp; Assumptions'!$B$8, "Tier 2 High GIDA (Score 40.0–49.9)", "Tier 3 Moderate GIDA (Score &lt; 40.0)"))</f>
        <v/>
      </c>
      <c r="V15" s="26">
        <f>IF(S15&lt;='Methodology &amp; Assumptions'!$B$10, "Direct Optical Drop (&lt;3km)", IF(S15&lt;='Methodology &amp; Assumptions'!$B$9, "Near Optical / Microwave (&lt;5km)", "Starlink Business LEO Satellite Backhaul (&gt;5km)"))</f>
        <v/>
      </c>
      <c r="W15" s="28" t="n">
        <v>0.174</v>
      </c>
      <c r="X15" s="14" t="n">
        <v>51.19</v>
      </c>
      <c r="Y15" s="14">
        <f>ROUND(MIN(100, (X15/69.91)*100), 2)</f>
        <v/>
      </c>
    </row>
    <row r="16">
      <c r="A16" s="10" t="n">
        <v>2</v>
      </c>
      <c r="B16" s="10" t="n">
        <v>12</v>
      </c>
      <c r="C16" s="10" t="n">
        <v>1012</v>
      </c>
      <c r="D16" s="10" t="inlineStr">
        <is>
          <t>1705320004</t>
        </is>
      </c>
      <c r="E16" s="26" t="inlineStr">
        <is>
          <t>MIMAROPA Region</t>
        </is>
      </c>
      <c r="F16" s="26" t="inlineStr">
        <is>
          <t>Palawan</t>
        </is>
      </c>
      <c r="G16" s="26" t="inlineStr">
        <is>
          <t>Taytay</t>
        </is>
      </c>
      <c r="H16" s="26" t="inlineStr">
        <is>
          <t>Batas</t>
        </is>
      </c>
      <c r="I16" s="27" t="n">
        <v>11.152574</v>
      </c>
      <c r="J16" s="27" t="n">
        <v>119.607225</v>
      </c>
      <c r="K16" s="10" t="inlineStr">
        <is>
          <t>R</t>
        </is>
      </c>
      <c r="L16" s="12" t="n">
        <v>1440</v>
      </c>
      <c r="M16" s="14" t="n">
        <v>3.9</v>
      </c>
      <c r="N16" s="12">
        <f>ROUND(L16/M16, 0)</f>
        <v/>
      </c>
      <c r="O16" s="12">
        <f>ROUND(N16*'Methodology &amp; Assumptions'!$B$5, 0)</f>
        <v/>
      </c>
      <c r="P16" s="10" t="inlineStr">
        <is>
          <t>Single Carrier (Band n50, 100MHz TDD)</t>
        </is>
      </c>
      <c r="Q16" s="13">
        <f>ROUNDUP(O16/'Methodology &amp; Assumptions'!$B$6, 0)</f>
        <v/>
      </c>
      <c r="R16" s="13" t="n">
        <v>1</v>
      </c>
      <c r="S16" s="14" t="n">
        <v>14.09</v>
      </c>
      <c r="T16" s="14" t="n">
        <v>38.26</v>
      </c>
      <c r="U16" s="26">
        <f>IF(X16&gt;='Methodology &amp; Assumptions'!$B$7, "Tier 1 Critical GIDA (Score ≥ 50.0)", IF(X16&gt;='Methodology &amp; Assumptions'!$B$8, "Tier 2 High GIDA (Score 40.0–49.9)", "Tier 3 Moderate GIDA (Score &lt; 40.0)"))</f>
        <v/>
      </c>
      <c r="V16" s="26">
        <f>IF(S16&lt;='Methodology &amp; Assumptions'!$B$10, "Direct Optical Drop (&lt;3km)", IF(S16&lt;='Methodology &amp; Assumptions'!$B$9, "Near Optical / Microwave (&lt;5km)", "Starlink Business LEO Satellite Backhaul (&gt;5km)"))</f>
        <v/>
      </c>
      <c r="W16" s="28" t="n">
        <v>0.15</v>
      </c>
      <c r="X16" s="14" t="n">
        <v>51.19</v>
      </c>
      <c r="Y16" s="14">
        <f>ROUND(MIN(100, (X16/69.91)*100), 2)</f>
        <v/>
      </c>
    </row>
    <row r="17">
      <c r="A17" s="10" t="n">
        <v>2</v>
      </c>
      <c r="B17" s="10" t="n">
        <v>13</v>
      </c>
      <c r="C17" s="10" t="n">
        <v>1013</v>
      </c>
      <c r="D17" s="10" t="inlineStr">
        <is>
          <t>0501727013</t>
        </is>
      </c>
      <c r="E17" s="26" t="inlineStr">
        <is>
          <t>Region V (Bicol Region)</t>
        </is>
      </c>
      <c r="F17" s="26" t="inlineStr">
        <is>
          <t>Camarines Sur</t>
        </is>
      </c>
      <c r="G17" s="26" t="inlineStr">
        <is>
          <t>Pasacao</t>
        </is>
      </c>
      <c r="H17" s="26" t="inlineStr">
        <is>
          <t>Salvacion</t>
        </is>
      </c>
      <c r="I17" s="27" t="n">
        <v>13.603336</v>
      </c>
      <c r="J17" s="27" t="n">
        <v>122.9375</v>
      </c>
      <c r="K17" s="10" t="inlineStr">
        <is>
          <t>R</t>
        </is>
      </c>
      <c r="L17" s="12" t="n">
        <v>993</v>
      </c>
      <c r="M17" s="14" t="n">
        <v>4.2</v>
      </c>
      <c r="N17" s="12">
        <f>ROUND(L17/M17, 0)</f>
        <v/>
      </c>
      <c r="O17" s="12">
        <f>ROUND(N17*'Methodology &amp; Assumptions'!$B$5, 0)</f>
        <v/>
      </c>
      <c r="P17" s="10" t="inlineStr">
        <is>
          <t>Single Carrier (Band n50, 100MHz TDD)</t>
        </is>
      </c>
      <c r="Q17" s="13">
        <f>ROUNDUP(O17/'Methodology &amp; Assumptions'!$B$6, 0)</f>
        <v/>
      </c>
      <c r="R17" s="13" t="n">
        <v>1</v>
      </c>
      <c r="S17" s="14" t="n">
        <v>10.75</v>
      </c>
      <c r="T17" s="14" t="n">
        <v>12.13</v>
      </c>
      <c r="U17" s="26">
        <f>IF(X17&gt;='Methodology &amp; Assumptions'!$B$7, "Tier 1 Critical GIDA (Score ≥ 50.0)", IF(X17&gt;='Methodology &amp; Assumptions'!$B$8, "Tier 2 High GIDA (Score 40.0–49.9)", "Tier 3 Moderate GIDA (Score &lt; 40.0)"))</f>
        <v/>
      </c>
      <c r="V17" s="26">
        <f>IF(S17&lt;='Methodology &amp; Assumptions'!$B$10, "Direct Optical Drop (&lt;3km)", IF(S17&lt;='Methodology &amp; Assumptions'!$B$9, "Near Optical / Microwave (&lt;5km)", "Starlink Business LEO Satellite Backhaul (&gt;5km)"))</f>
        <v/>
      </c>
      <c r="W17" s="28" t="n">
        <v>0.237</v>
      </c>
      <c r="X17" s="14" t="n">
        <v>51.18</v>
      </c>
      <c r="Y17" s="14">
        <f>ROUND(MIN(100, (X17/69.91)*100), 2)</f>
        <v/>
      </c>
    </row>
    <row r="18">
      <c r="A18" s="10" t="n">
        <v>2</v>
      </c>
      <c r="B18" s="10" t="n">
        <v>14</v>
      </c>
      <c r="C18" s="10" t="n">
        <v>1014</v>
      </c>
      <c r="D18" s="10" t="inlineStr">
        <is>
          <t>1380601117</t>
        </is>
      </c>
      <c r="E18" s="26" t="inlineStr">
        <is>
          <t>National Capital Region (NCR)</t>
        </is>
      </c>
      <c r="F18" s="26" t="inlineStr">
        <is>
          <t>First District (Not a Province)</t>
        </is>
      </c>
      <c r="G18" s="26" t="inlineStr">
        <is>
          <t>City of Manila</t>
        </is>
      </c>
      <c r="H18" s="26" t="inlineStr">
        <is>
          <t>Barangay 117</t>
        </is>
      </c>
      <c r="I18" s="27" t="n">
        <v>13.07765</v>
      </c>
      <c r="J18" s="27" t="n">
        <v>121.774</v>
      </c>
      <c r="K18" s="10" t="inlineStr">
        <is>
          <t>U</t>
        </is>
      </c>
      <c r="L18" s="12" t="n">
        <v>4286</v>
      </c>
      <c r="M18" s="14" t="n">
        <v>3.9</v>
      </c>
      <c r="N18" s="12">
        <f>ROUND(L18/M18, 0)</f>
        <v/>
      </c>
      <c r="O18" s="12">
        <f>ROUND(N18*'Methodology &amp; Assumptions'!$B$5, 0)</f>
        <v/>
      </c>
      <c r="P18" s="10" t="inlineStr">
        <is>
          <t>Single Carrier (Band n50, 100MHz TDD)</t>
        </is>
      </c>
      <c r="Q18" s="13">
        <f>ROUNDUP(O18/'Methodology &amp; Assumptions'!$B$6, 0)</f>
        <v/>
      </c>
      <c r="R18" s="13" t="n">
        <v>1</v>
      </c>
      <c r="S18" s="14" t="n">
        <v>28.99</v>
      </c>
      <c r="T18" s="14" t="n">
        <v>32.18</v>
      </c>
      <c r="U18" s="26">
        <f>IF(X18&gt;='Methodology &amp; Assumptions'!$B$7, "Tier 1 Critical GIDA (Score ≥ 50.0)", IF(X18&gt;='Methodology &amp; Assumptions'!$B$8, "Tier 2 High GIDA (Score 40.0–49.9)", "Tier 3 Moderate GIDA (Score &lt; 40.0)"))</f>
        <v/>
      </c>
      <c r="V18" s="26">
        <f>IF(S18&lt;='Methodology &amp; Assumptions'!$B$10, "Direct Optical Drop (&lt;3km)", IF(S18&lt;='Methodology &amp; Assumptions'!$B$9, "Near Optical / Microwave (&lt;5km)", "Starlink Business LEO Satellite Backhaul (&gt;5km)"))</f>
        <v/>
      </c>
      <c r="W18" s="28" t="n">
        <v>0.109</v>
      </c>
      <c r="X18" s="14" t="n">
        <v>51.18</v>
      </c>
      <c r="Y18" s="14">
        <f>ROUND(MIN(100, (X18/69.91)*100), 2)</f>
        <v/>
      </c>
    </row>
    <row r="19">
      <c r="A19" s="10" t="n">
        <v>2</v>
      </c>
      <c r="B19" s="10" t="n">
        <v>15</v>
      </c>
      <c r="C19" s="10" t="n">
        <v>1015</v>
      </c>
      <c r="D19" s="10" t="inlineStr">
        <is>
          <t>1600303037</t>
        </is>
      </c>
      <c r="E19" s="26" t="inlineStr">
        <is>
          <t>Region XIII (Caraga)</t>
        </is>
      </c>
      <c r="F19" s="26" t="inlineStr">
        <is>
          <t>Agusan del Sur</t>
        </is>
      </c>
      <c r="G19" s="26" t="inlineStr">
        <is>
          <t>Esperanza</t>
        </is>
      </c>
      <c r="H19" s="26" t="inlineStr">
        <is>
          <t>Guibonon</t>
        </is>
      </c>
      <c r="I19" s="27" t="n">
        <v>8.631188999999999</v>
      </c>
      <c r="J19" s="27" t="n">
        <v>125.31119</v>
      </c>
      <c r="K19" s="10" t="inlineStr">
        <is>
          <t>R</t>
        </is>
      </c>
      <c r="L19" s="12" t="n">
        <v>330</v>
      </c>
      <c r="M19" s="14" t="n">
        <v>3.9</v>
      </c>
      <c r="N19" s="12">
        <f>ROUND(L19/M19, 0)</f>
        <v/>
      </c>
      <c r="O19" s="12">
        <f>ROUND(N19*'Methodology &amp; Assumptions'!$B$5, 0)</f>
        <v/>
      </c>
      <c r="P19" s="10" t="inlineStr">
        <is>
          <t>Single Carrier (Band n50, 100MHz TDD)</t>
        </is>
      </c>
      <c r="Q19" s="13">
        <f>ROUNDUP(O19/'Methodology &amp; Assumptions'!$B$6, 0)</f>
        <v/>
      </c>
      <c r="R19" s="13" t="n">
        <v>1</v>
      </c>
      <c r="S19" s="14" t="n">
        <v>29.07</v>
      </c>
      <c r="T19" s="14" t="n">
        <v>28.4</v>
      </c>
      <c r="U19" s="26">
        <f>IF(X19&gt;='Methodology &amp; Assumptions'!$B$7, "Tier 1 Critical GIDA (Score ≥ 50.0)", IF(X19&gt;='Methodology &amp; Assumptions'!$B$8, "Tier 2 High GIDA (Score 40.0–49.9)", "Tier 3 Moderate GIDA (Score &lt; 40.0)"))</f>
        <v/>
      </c>
      <c r="V19" s="26">
        <f>IF(S19&lt;='Methodology &amp; Assumptions'!$B$10, "Direct Optical Drop (&lt;3km)", IF(S19&lt;='Methodology &amp; Assumptions'!$B$9, "Near Optical / Microwave (&lt;5km)", "Starlink Business LEO Satellite Backhaul (&gt;5km)"))</f>
        <v/>
      </c>
      <c r="W19" s="28" t="n">
        <v>0.174</v>
      </c>
      <c r="X19" s="14" t="n">
        <v>51.18</v>
      </c>
      <c r="Y19" s="14">
        <f>ROUND(MIN(100, (X19/69.91)*100), 2)</f>
        <v/>
      </c>
    </row>
    <row r="20">
      <c r="A20" s="10" t="n">
        <v>2</v>
      </c>
      <c r="B20" s="10" t="n">
        <v>16</v>
      </c>
      <c r="C20" s="10" t="n">
        <v>1016</v>
      </c>
      <c r="D20" s="10" t="inlineStr">
        <is>
          <t>1380601134</t>
        </is>
      </c>
      <c r="E20" s="26" t="inlineStr">
        <is>
          <t>National Capital Region (NCR)</t>
        </is>
      </c>
      <c r="F20" s="26" t="inlineStr">
        <is>
          <t>First District (Not a Province)</t>
        </is>
      </c>
      <c r="G20" s="26" t="inlineStr">
        <is>
          <t>City of Manila</t>
        </is>
      </c>
      <c r="H20" s="26" t="inlineStr">
        <is>
          <t>Barangay 134</t>
        </is>
      </c>
      <c r="I20" s="27" t="n">
        <v>12.732761</v>
      </c>
      <c r="J20" s="27" t="n">
        <v>121.91212</v>
      </c>
      <c r="K20" s="10" t="inlineStr">
        <is>
          <t>U</t>
        </is>
      </c>
      <c r="L20" s="12" t="n">
        <v>1090</v>
      </c>
      <c r="M20" s="14" t="n">
        <v>3.9</v>
      </c>
      <c r="N20" s="12">
        <f>ROUND(L20/M20, 0)</f>
        <v/>
      </c>
      <c r="O20" s="12">
        <f>ROUND(N20*'Methodology &amp; Assumptions'!$B$5, 0)</f>
        <v/>
      </c>
      <c r="P20" s="10" t="inlineStr">
        <is>
          <t>Single Carrier (Band n50, 100MHz TDD)</t>
        </is>
      </c>
      <c r="Q20" s="13">
        <f>ROUNDUP(O20/'Methodology &amp; Assumptions'!$B$6, 0)</f>
        <v/>
      </c>
      <c r="R20" s="13" t="n">
        <v>1</v>
      </c>
      <c r="S20" s="14" t="n">
        <v>41.64</v>
      </c>
      <c r="T20" s="14" t="n">
        <v>39.89</v>
      </c>
      <c r="U20" s="26">
        <f>IF(X20&gt;='Methodology &amp; Assumptions'!$B$7, "Tier 1 Critical GIDA (Score ≥ 50.0)", IF(X20&gt;='Methodology &amp; Assumptions'!$B$8, "Tier 2 High GIDA (Score 40.0–49.9)", "Tier 3 Moderate GIDA (Score &lt; 40.0)"))</f>
        <v/>
      </c>
      <c r="V20" s="26">
        <f>IF(S20&lt;='Methodology &amp; Assumptions'!$B$10, "Direct Optical Drop (&lt;3km)", IF(S20&lt;='Methodology &amp; Assumptions'!$B$9, "Near Optical / Microwave (&lt;5km)", "Starlink Business LEO Satellite Backhaul (&gt;5km)"))</f>
        <v/>
      </c>
      <c r="W20" s="28" t="n">
        <v>0.109</v>
      </c>
      <c r="X20" s="14" t="n">
        <v>51.18</v>
      </c>
      <c r="Y20" s="14">
        <f>ROUND(MIN(100, (X20/69.91)*100), 2)</f>
        <v/>
      </c>
    </row>
    <row r="21">
      <c r="A21" s="10" t="n">
        <v>2</v>
      </c>
      <c r="B21" s="10" t="n">
        <v>17</v>
      </c>
      <c r="C21" s="10" t="n">
        <v>1017</v>
      </c>
      <c r="D21" s="10" t="inlineStr">
        <is>
          <t>1380603017</t>
        </is>
      </c>
      <c r="E21" s="26" t="inlineStr">
        <is>
          <t>National Capital Region (NCR)</t>
        </is>
      </c>
      <c r="F21" s="26" t="inlineStr">
        <is>
          <t>First District (Not a Province)</t>
        </is>
      </c>
      <c r="G21" s="26" t="inlineStr">
        <is>
          <t>City of Manila</t>
        </is>
      </c>
      <c r="H21" s="26" t="inlineStr">
        <is>
          <t>Barangay 308</t>
        </is>
      </c>
      <c r="I21" s="27" t="n">
        <v>12.897188</v>
      </c>
      <c r="J21" s="27" t="n">
        <v>121.568955</v>
      </c>
      <c r="K21" s="10" t="inlineStr">
        <is>
          <t>U</t>
        </is>
      </c>
      <c r="L21" s="12" t="n">
        <v>1064</v>
      </c>
      <c r="M21" s="14" t="n">
        <v>3.9</v>
      </c>
      <c r="N21" s="12">
        <f>ROUND(L21/M21, 0)</f>
        <v/>
      </c>
      <c r="O21" s="12">
        <f>ROUND(N21*'Methodology &amp; Assumptions'!$B$5, 0)</f>
        <v/>
      </c>
      <c r="P21" s="10" t="inlineStr">
        <is>
          <t>Single Carrier (Band n50, 100MHz TDD)</t>
        </is>
      </c>
      <c r="Q21" s="13">
        <f>ROUNDUP(O21/'Methodology &amp; Assumptions'!$B$6, 0)</f>
        <v/>
      </c>
      <c r="R21" s="13" t="n">
        <v>1</v>
      </c>
      <c r="S21" s="14" t="n">
        <v>12.08</v>
      </c>
      <c r="T21" s="14" t="n">
        <v>11.37</v>
      </c>
      <c r="U21" s="26">
        <f>IF(X21&gt;='Methodology &amp; Assumptions'!$B$7, "Tier 1 Critical GIDA (Score ≥ 50.0)", IF(X21&gt;='Methodology &amp; Assumptions'!$B$8, "Tier 2 High GIDA (Score 40.0–49.9)", "Tier 3 Moderate GIDA (Score &lt; 40.0)"))</f>
        <v/>
      </c>
      <c r="V21" s="26">
        <f>IF(S21&lt;='Methodology &amp; Assumptions'!$B$10, "Direct Optical Drop (&lt;3km)", IF(S21&lt;='Methodology &amp; Assumptions'!$B$9, "Near Optical / Microwave (&lt;5km)", "Starlink Business LEO Satellite Backhaul (&gt;5km)"))</f>
        <v/>
      </c>
      <c r="W21" s="28" t="n">
        <v>0.109</v>
      </c>
      <c r="X21" s="14" t="n">
        <v>51.16</v>
      </c>
      <c r="Y21" s="14">
        <f>ROUND(MIN(100, (X21/69.91)*100), 2)</f>
        <v/>
      </c>
    </row>
    <row r="22">
      <c r="A22" s="10" t="n">
        <v>2</v>
      </c>
      <c r="B22" s="10" t="n">
        <v>18</v>
      </c>
      <c r="C22" s="10" t="n">
        <v>1018</v>
      </c>
      <c r="D22" s="10" t="inlineStr">
        <is>
          <t>1108210013</t>
        </is>
      </c>
      <c r="E22" s="26" t="inlineStr">
        <is>
          <t>Region XI (Davao Region)</t>
        </is>
      </c>
      <c r="F22" s="26" t="inlineStr">
        <is>
          <t>Davao de Oro</t>
        </is>
      </c>
      <c r="G22" s="26" t="inlineStr">
        <is>
          <t>New Bataan</t>
        </is>
      </c>
      <c r="H22" s="26" t="inlineStr">
        <is>
          <t>Andap</t>
        </is>
      </c>
      <c r="I22" s="27" t="n">
        <v>7.512963</v>
      </c>
      <c r="J22" s="27" t="n">
        <v>126.158444</v>
      </c>
      <c r="K22" s="10" t="inlineStr">
        <is>
          <t>U</t>
        </is>
      </c>
      <c r="L22" s="12" t="n">
        <v>6839</v>
      </c>
      <c r="M22" s="14" t="n">
        <v>3.7</v>
      </c>
      <c r="N22" s="12">
        <f>ROUND(L22/M22, 0)</f>
        <v/>
      </c>
      <c r="O22" s="12">
        <f>ROUND(N22*'Methodology &amp; Assumptions'!$B$5, 0)</f>
        <v/>
      </c>
      <c r="P22" s="10" t="inlineStr">
        <is>
          <t>Single Carrier (Band n50, 100MHz TDD)</t>
        </is>
      </c>
      <c r="Q22" s="13">
        <f>ROUNDUP(O22/'Methodology &amp; Assumptions'!$B$6, 0)</f>
        <v/>
      </c>
      <c r="R22" s="13" t="n">
        <v>1</v>
      </c>
      <c r="S22" s="14" t="n">
        <v>36.73</v>
      </c>
      <c r="T22" s="14" t="n">
        <v>23.67</v>
      </c>
      <c r="U22" s="26">
        <f>IF(X22&gt;='Methodology &amp; Assumptions'!$B$7, "Tier 1 Critical GIDA (Score ≥ 50.0)", IF(X22&gt;='Methodology &amp; Assumptions'!$B$8, "Tier 2 High GIDA (Score 40.0–49.9)", "Tier 3 Moderate GIDA (Score &lt; 40.0)"))</f>
        <v/>
      </c>
      <c r="V22" s="26">
        <f>IF(S22&lt;='Methodology &amp; Assumptions'!$B$10, "Direct Optical Drop (&lt;3km)", IF(S22&lt;='Methodology &amp; Assumptions'!$B$9, "Near Optical / Microwave (&lt;5km)", "Starlink Business LEO Satellite Backhaul (&gt;5km)"))</f>
        <v/>
      </c>
      <c r="W22" s="28" t="n">
        <v>0.174</v>
      </c>
      <c r="X22" s="14" t="n">
        <v>51.16</v>
      </c>
      <c r="Y22" s="14">
        <f>ROUND(MIN(100, (X22/69.91)*100), 2)</f>
        <v/>
      </c>
    </row>
    <row r="23">
      <c r="A23" s="10" t="n">
        <v>2</v>
      </c>
      <c r="B23" s="10" t="n">
        <v>19</v>
      </c>
      <c r="C23" s="10" t="n">
        <v>1019</v>
      </c>
      <c r="D23" s="10" t="inlineStr">
        <is>
          <t>1906603010</t>
        </is>
      </c>
      <c r="E23" s="26" t="inlineStr">
        <is>
          <t>Bangsamoro Autonomous Region In Muslim Mindanao (BARMM)</t>
        </is>
      </c>
      <c r="F23" s="26" t="inlineStr">
        <is>
          <t>Sulu</t>
        </is>
      </c>
      <c r="G23" s="26" t="inlineStr">
        <is>
          <t>Kalingalan Caluang</t>
        </is>
      </c>
      <c r="H23" s="26" t="inlineStr">
        <is>
          <t>Pang</t>
        </is>
      </c>
      <c r="I23" s="27" t="n">
        <v>17.255512</v>
      </c>
      <c r="J23" s="27" t="n">
        <v>122.229556</v>
      </c>
      <c r="K23" s="10" t="inlineStr">
        <is>
          <t>U</t>
        </is>
      </c>
      <c r="L23" s="12" t="n">
        <v>5469</v>
      </c>
      <c r="M23" s="14" t="n">
        <v>4.3</v>
      </c>
      <c r="N23" s="12">
        <f>ROUND(L23/M23, 0)</f>
        <v/>
      </c>
      <c r="O23" s="12">
        <f>ROUND(N23*'Methodology &amp; Assumptions'!$B$5, 0)</f>
        <v/>
      </c>
      <c r="P23" s="10" t="inlineStr">
        <is>
          <t>Single Carrier (Band n50, 100MHz TDD)</t>
        </is>
      </c>
      <c r="Q23" s="13">
        <f>ROUNDUP(O23/'Methodology &amp; Assumptions'!$B$6, 0)</f>
        <v/>
      </c>
      <c r="R23" s="13" t="n">
        <v>1</v>
      </c>
      <c r="S23" s="14" t="n">
        <v>29.52</v>
      </c>
      <c r="T23" s="14" t="n">
        <v>34.39</v>
      </c>
      <c r="U23" s="26">
        <f>IF(X23&gt;='Methodology &amp; Assumptions'!$B$7, "Tier 1 Critical GIDA (Score ≥ 50.0)", IF(X23&gt;='Methodology &amp; Assumptions'!$B$8, "Tier 2 High GIDA (Score 40.0–49.9)", "Tier 3 Moderate GIDA (Score &lt; 40.0)"))</f>
        <v/>
      </c>
      <c r="V23" s="26">
        <f>IF(S23&lt;='Methodology &amp; Assumptions'!$B$10, "Direct Optical Drop (&lt;3km)", IF(S23&lt;='Methodology &amp; Assumptions'!$B$9, "Near Optical / Microwave (&lt;5km)", "Starlink Business LEO Satellite Backhaul (&gt;5km)"))</f>
        <v/>
      </c>
      <c r="W23" s="28" t="n">
        <v>0.11</v>
      </c>
      <c r="X23" s="14" t="n">
        <v>51.16</v>
      </c>
      <c r="Y23" s="14">
        <f>ROUND(MIN(100, (X23/69.91)*100), 2)</f>
        <v/>
      </c>
    </row>
    <row r="24">
      <c r="A24" s="10" t="n">
        <v>2</v>
      </c>
      <c r="B24" s="10" t="n">
        <v>20</v>
      </c>
      <c r="C24" s="10" t="n">
        <v>1020</v>
      </c>
      <c r="D24" s="10" t="inlineStr">
        <is>
          <t>1908704010</t>
        </is>
      </c>
      <c r="E24" s="26" t="inlineStr">
        <is>
          <t>Bangsamoro Autonomous Region In Muslim Mindanao (BARMM)</t>
        </is>
      </c>
      <c r="F24" s="26" t="inlineStr">
        <is>
          <t>Maguindanao del Norte</t>
        </is>
      </c>
      <c r="G24" s="26" t="inlineStr">
        <is>
          <t>Datu Blah T. Sinsuat</t>
        </is>
      </c>
      <c r="H24" s="26" t="inlineStr">
        <is>
          <t>Sedem</t>
        </is>
      </c>
      <c r="I24" s="27" t="n">
        <v>17.254131</v>
      </c>
      <c r="J24" s="27" t="n">
        <v>122.228175</v>
      </c>
      <c r="K24" s="10" t="inlineStr">
        <is>
          <t>R</t>
        </is>
      </c>
      <c r="L24" s="12" t="n">
        <v>2947</v>
      </c>
      <c r="M24" s="14" t="n">
        <v>4.3</v>
      </c>
      <c r="N24" s="12">
        <f>ROUND(L24/M24, 0)</f>
        <v/>
      </c>
      <c r="O24" s="12">
        <f>ROUND(N24*'Methodology &amp; Assumptions'!$B$5, 0)</f>
        <v/>
      </c>
      <c r="P24" s="10" t="inlineStr">
        <is>
          <t>Single Carrier (Band n50, 100MHz TDD)</t>
        </is>
      </c>
      <c r="Q24" s="13">
        <f>ROUNDUP(O24/'Methodology &amp; Assumptions'!$B$6, 0)</f>
        <v/>
      </c>
      <c r="R24" s="13" t="n">
        <v>1</v>
      </c>
      <c r="S24" s="14" t="n">
        <v>29.31</v>
      </c>
      <c r="T24" s="14" t="n">
        <v>34.2</v>
      </c>
      <c r="U24" s="26">
        <f>IF(X24&gt;='Methodology &amp; Assumptions'!$B$7, "Tier 1 Critical GIDA (Score ≥ 50.0)", IF(X24&gt;='Methodology &amp; Assumptions'!$B$8, "Tier 2 High GIDA (Score 40.0–49.9)", "Tier 3 Moderate GIDA (Score &lt; 40.0)"))</f>
        <v/>
      </c>
      <c r="V24" s="26">
        <f>IF(S24&lt;='Methodology &amp; Assumptions'!$B$10, "Direct Optical Drop (&lt;3km)", IF(S24&lt;='Methodology &amp; Assumptions'!$B$9, "Near Optical / Microwave (&lt;5km)", "Starlink Business LEO Satellite Backhaul (&gt;5km)"))</f>
        <v/>
      </c>
      <c r="W24" s="28" t="n">
        <v>0.11</v>
      </c>
      <c r="X24" s="14" t="n">
        <v>51.15</v>
      </c>
      <c r="Y24" s="14">
        <f>ROUND(MIN(100, (X24/69.91)*100), 2)</f>
        <v/>
      </c>
    </row>
    <row r="25">
      <c r="A25" s="10" t="n">
        <v>2</v>
      </c>
      <c r="B25" s="10" t="n">
        <v>21</v>
      </c>
      <c r="C25" s="10" t="n">
        <v>1021</v>
      </c>
      <c r="D25" s="10" t="inlineStr">
        <is>
          <t>1003515012</t>
        </is>
      </c>
      <c r="E25" s="26" t="inlineStr">
        <is>
          <t>Region X (Northern Mindanao)</t>
        </is>
      </c>
      <c r="F25" s="26" t="inlineStr">
        <is>
          <t>Lanao del Norte</t>
        </is>
      </c>
      <c r="G25" s="26" t="inlineStr">
        <is>
          <t>Nunungan</t>
        </is>
      </c>
      <c r="H25" s="26" t="inlineStr">
        <is>
          <t>Liangan</t>
        </is>
      </c>
      <c r="I25" s="27" t="n">
        <v>7.794108</v>
      </c>
      <c r="J25" s="27" t="n">
        <v>123.91545</v>
      </c>
      <c r="K25" s="10" t="inlineStr">
        <is>
          <t>R</t>
        </is>
      </c>
      <c r="L25" s="12" t="n">
        <v>621</v>
      </c>
      <c r="M25" s="14" t="n">
        <v>4.2</v>
      </c>
      <c r="N25" s="12">
        <f>ROUND(L25/M25, 0)</f>
        <v/>
      </c>
      <c r="O25" s="12">
        <f>ROUND(N25*'Methodology &amp; Assumptions'!$B$5, 0)</f>
        <v/>
      </c>
      <c r="P25" s="10" t="inlineStr">
        <is>
          <t>Single Carrier (Band n50, 100MHz TDD)</t>
        </is>
      </c>
      <c r="Q25" s="13">
        <f>ROUNDUP(O25/'Methodology &amp; Assumptions'!$B$6, 0)</f>
        <v/>
      </c>
      <c r="R25" s="13" t="n">
        <v>1</v>
      </c>
      <c r="S25" s="14" t="n">
        <v>30.49</v>
      </c>
      <c r="T25" s="14" t="n">
        <v>19.77</v>
      </c>
      <c r="U25" s="26">
        <f>IF(X25&gt;='Methodology &amp; Assumptions'!$B$7, "Tier 1 Critical GIDA (Score ≥ 50.0)", IF(X25&gt;='Methodology &amp; Assumptions'!$B$8, "Tier 2 High GIDA (Score 40.0–49.9)", "Tier 3 Moderate GIDA (Score &lt; 40.0)"))</f>
        <v/>
      </c>
      <c r="V25" s="26">
        <f>IF(S25&lt;='Methodology &amp; Assumptions'!$B$10, "Direct Optical Drop (&lt;3km)", IF(S25&lt;='Methodology &amp; Assumptions'!$B$9, "Near Optical / Microwave (&lt;5km)", "Starlink Business LEO Satellite Backhaul (&gt;5km)"))</f>
        <v/>
      </c>
      <c r="W25" s="28" t="n">
        <v>0.174</v>
      </c>
      <c r="X25" s="14" t="n">
        <v>51.15</v>
      </c>
      <c r="Y25" s="14">
        <f>ROUND(MIN(100, (X25/69.91)*100), 2)</f>
        <v/>
      </c>
    </row>
    <row r="26">
      <c r="A26" s="10" t="n">
        <v>2</v>
      </c>
      <c r="B26" s="10" t="n">
        <v>22</v>
      </c>
      <c r="C26" s="10" t="n">
        <v>1022</v>
      </c>
      <c r="D26" s="10" t="inlineStr">
        <is>
          <t>1900707025</t>
        </is>
      </c>
      <c r="E26" s="26" t="inlineStr">
        <is>
          <t>Bangsamoro Autonomous Region In Muslim Mindanao (BARMM)</t>
        </is>
      </c>
      <c r="F26" s="26" t="inlineStr">
        <is>
          <t>Basilan</t>
        </is>
      </c>
      <c r="G26" s="26" t="inlineStr">
        <is>
          <t>Tuburan</t>
        </is>
      </c>
      <c r="H26" s="26" t="inlineStr">
        <is>
          <t>Mahawid</t>
        </is>
      </c>
      <c r="I26" s="27" t="n">
        <v>6.603756</v>
      </c>
      <c r="J26" s="27" t="n">
        <v>122.19342</v>
      </c>
      <c r="K26" s="10" t="inlineStr">
        <is>
          <t>R</t>
        </is>
      </c>
      <c r="L26" s="12" t="n">
        <v>2719</v>
      </c>
      <c r="M26" s="14" t="n">
        <v>5.1</v>
      </c>
      <c r="N26" s="12">
        <f>ROUND(L26/M26, 0)</f>
        <v/>
      </c>
      <c r="O26" s="12">
        <f>ROUND(N26*'Methodology &amp; Assumptions'!$B$5, 0)</f>
        <v/>
      </c>
      <c r="P26" s="10" t="inlineStr">
        <is>
          <t>Single Carrier (Band n50, 100MHz TDD)</t>
        </is>
      </c>
      <c r="Q26" s="13">
        <f>ROUNDUP(O26/'Methodology &amp; Assumptions'!$B$6, 0)</f>
        <v/>
      </c>
      <c r="R26" s="13" t="n">
        <v>1</v>
      </c>
      <c r="S26" s="14" t="n">
        <v>36.56</v>
      </c>
      <c r="T26" s="14" t="n">
        <v>36.56</v>
      </c>
      <c r="U26" s="26">
        <f>IF(X26&gt;='Methodology &amp; Assumptions'!$B$7, "Tier 1 Critical GIDA (Score ≥ 50.0)", IF(X26&gt;='Methodology &amp; Assumptions'!$B$8, "Tier 2 High GIDA (Score 40.0–49.9)", "Tier 3 Moderate GIDA (Score &lt; 40.0)"))</f>
        <v/>
      </c>
      <c r="V26" s="26">
        <f>IF(S26&lt;='Methodology &amp; Assumptions'!$B$10, "Direct Optical Drop (&lt;3km)", IF(S26&lt;='Methodology &amp; Assumptions'!$B$9, "Near Optical / Microwave (&lt;5km)", "Starlink Business LEO Satellite Backhaul (&gt;5km)"))</f>
        <v/>
      </c>
      <c r="W26" s="28" t="n">
        <v>0.11</v>
      </c>
      <c r="X26" s="14" t="n">
        <v>51.14</v>
      </c>
      <c r="Y26" s="14">
        <f>ROUND(MIN(100, (X26/69.91)*100), 2)</f>
        <v/>
      </c>
    </row>
    <row r="27">
      <c r="A27" s="10" t="n">
        <v>2</v>
      </c>
      <c r="B27" s="10" t="n">
        <v>23</v>
      </c>
      <c r="C27" s="10" t="n">
        <v>1023</v>
      </c>
      <c r="D27" s="10" t="inlineStr">
        <is>
          <t>1908824011</t>
        </is>
      </c>
      <c r="E27" s="26" t="inlineStr">
        <is>
          <t>Bangsamoro Autonomous Region In Muslim Mindanao (BARMM)</t>
        </is>
      </c>
      <c r="F27" s="26" t="inlineStr">
        <is>
          <t>Maguindanao del Sur</t>
        </is>
      </c>
      <c r="G27" s="26" t="inlineStr">
        <is>
          <t>Talayan</t>
        </is>
      </c>
      <c r="H27" s="26" t="inlineStr">
        <is>
          <t>Marader</t>
        </is>
      </c>
      <c r="I27" s="27" t="n">
        <v>16.109794</v>
      </c>
      <c r="J27" s="27" t="n">
        <v>122.470795</v>
      </c>
      <c r="K27" s="10" t="inlineStr">
        <is>
          <t>R</t>
        </is>
      </c>
      <c r="L27" s="12" t="n">
        <v>1472</v>
      </c>
      <c r="M27" s="14" t="n">
        <v>4.7</v>
      </c>
      <c r="N27" s="12">
        <f>ROUND(L27/M27, 0)</f>
        <v/>
      </c>
      <c r="O27" s="12">
        <f>ROUND(N27*'Methodology &amp; Assumptions'!$B$5, 0)</f>
        <v/>
      </c>
      <c r="P27" s="10" t="inlineStr">
        <is>
          <t>Single Carrier (Band n50, 100MHz TDD)</t>
        </is>
      </c>
      <c r="Q27" s="13">
        <f>ROUNDUP(O27/'Methodology &amp; Assumptions'!$B$6, 0)</f>
        <v/>
      </c>
      <c r="R27" s="13" t="n">
        <v>1</v>
      </c>
      <c r="S27" s="14" t="n">
        <v>41.45</v>
      </c>
      <c r="T27" s="14" t="n">
        <v>41.05</v>
      </c>
      <c r="U27" s="26">
        <f>IF(X27&gt;='Methodology &amp; Assumptions'!$B$7, "Tier 1 Critical GIDA (Score ≥ 50.0)", IF(X27&gt;='Methodology &amp; Assumptions'!$B$8, "Tier 2 High GIDA (Score 40.0–49.9)", "Tier 3 Moderate GIDA (Score &lt; 40.0)"))</f>
        <v/>
      </c>
      <c r="V27" s="26">
        <f>IF(S27&lt;='Methodology &amp; Assumptions'!$B$10, "Direct Optical Drop (&lt;3km)", IF(S27&lt;='Methodology &amp; Assumptions'!$B$9, "Near Optical / Microwave (&lt;5km)", "Starlink Business LEO Satellite Backhaul (&gt;5km)"))</f>
        <v/>
      </c>
      <c r="W27" s="28" t="n">
        <v>0.11</v>
      </c>
      <c r="X27" s="14" t="n">
        <v>51.14</v>
      </c>
      <c r="Y27" s="14">
        <f>ROUND(MIN(100, (X27/69.91)*100), 2)</f>
        <v/>
      </c>
    </row>
    <row r="28">
      <c r="A28" s="10" t="n">
        <v>2</v>
      </c>
      <c r="B28" s="10" t="n">
        <v>24</v>
      </c>
      <c r="C28" s="10" t="n">
        <v>1024</v>
      </c>
      <c r="D28" s="10" t="inlineStr">
        <is>
          <t>0402103046</t>
        </is>
      </c>
      <c r="E28" s="26" t="inlineStr">
        <is>
          <t>Region IV-A (CALABARZON)</t>
        </is>
      </c>
      <c r="F28" s="26" t="inlineStr">
        <is>
          <t>Cavite</t>
        </is>
      </c>
      <c r="G28" s="26" t="inlineStr">
        <is>
          <t>City of Bacoor</t>
        </is>
      </c>
      <c r="H28" s="26" t="inlineStr">
        <is>
          <t>Molino III</t>
        </is>
      </c>
      <c r="I28" s="27" t="n">
        <v>14.166674</v>
      </c>
      <c r="J28" s="27" t="n">
        <v>120.960319</v>
      </c>
      <c r="K28" s="10" t="inlineStr">
        <is>
          <t>U</t>
        </is>
      </c>
      <c r="L28" s="12" t="n">
        <v>63684</v>
      </c>
      <c r="M28" s="14" t="n">
        <v>3.4</v>
      </c>
      <c r="N28" s="12">
        <f>ROUND(L28/M28, 0)</f>
        <v/>
      </c>
      <c r="O28" s="12">
        <f>ROUND(N28*'Methodology &amp; Assumptions'!$B$5, 0)</f>
        <v/>
      </c>
      <c r="P28" s="10" t="inlineStr">
        <is>
          <t>Single Carrier (Band n50, 100MHz TDD)</t>
        </is>
      </c>
      <c r="Q28" s="13">
        <f>ROUNDUP(O28/'Methodology &amp; Assumptions'!$B$6, 0)</f>
        <v/>
      </c>
      <c r="R28" s="13" t="n">
        <v>1</v>
      </c>
      <c r="S28" s="14" t="n">
        <v>0.5600000000000001</v>
      </c>
      <c r="T28" s="14" t="n">
        <v>0.22</v>
      </c>
      <c r="U28" s="26">
        <f>IF(X28&gt;='Methodology &amp; Assumptions'!$B$7, "Tier 1 Critical GIDA (Score ≥ 50.0)", IF(X28&gt;='Methodology &amp; Assumptions'!$B$8, "Tier 2 High GIDA (Score 40.0–49.9)", "Tier 3 Moderate GIDA (Score &lt; 40.0)"))</f>
        <v/>
      </c>
      <c r="V28" s="26">
        <f>IF(S28&lt;='Methodology &amp; Assumptions'!$B$10, "Direct Optical Drop (&lt;3km)", IF(S28&lt;='Methodology &amp; Assumptions'!$B$9, "Near Optical / Microwave (&lt;5km)", "Starlink Business LEO Satellite Backhaul (&gt;5km)"))</f>
        <v/>
      </c>
      <c r="W28" s="28" t="n">
        <v>0.07200000000000001</v>
      </c>
      <c r="X28" s="14" t="n">
        <v>51.14</v>
      </c>
      <c r="Y28" s="14">
        <f>ROUND(MIN(100, (X28/69.91)*100), 2)</f>
        <v/>
      </c>
    </row>
    <row r="29">
      <c r="A29" s="10" t="n">
        <v>2</v>
      </c>
      <c r="B29" s="10" t="n">
        <v>25</v>
      </c>
      <c r="C29" s="10" t="n">
        <v>1025</v>
      </c>
      <c r="D29" s="10" t="inlineStr">
        <is>
          <t>1903639007</t>
        </is>
      </c>
      <c r="E29" s="26" t="inlineStr">
        <is>
          <t>Bangsamoro Autonomous Region In Muslim Mindanao (BARMM)</t>
        </is>
      </c>
      <c r="F29" s="26" t="inlineStr">
        <is>
          <t>Lanao del Sur</t>
        </is>
      </c>
      <c r="G29" s="26" t="inlineStr">
        <is>
          <t>Kapatagan</t>
        </is>
      </c>
      <c r="H29" s="26" t="inlineStr">
        <is>
          <t>Kapatagan</t>
        </is>
      </c>
      <c r="I29" s="27" t="n">
        <v>17.254578</v>
      </c>
      <c r="J29" s="27" t="n">
        <v>122.228622</v>
      </c>
      <c r="K29" s="10" t="inlineStr">
        <is>
          <t>R</t>
        </is>
      </c>
      <c r="L29" s="12" t="n">
        <v>1794</v>
      </c>
      <c r="M29" s="14" t="n">
        <v>5.7</v>
      </c>
      <c r="N29" s="12">
        <f>ROUND(L29/M29, 0)</f>
        <v/>
      </c>
      <c r="O29" s="12">
        <f>ROUND(N29*'Methodology &amp; Assumptions'!$B$5, 0)</f>
        <v/>
      </c>
      <c r="P29" s="10" t="inlineStr">
        <is>
          <t>Single Carrier (Band n50, 100MHz TDD)</t>
        </is>
      </c>
      <c r="Q29" s="13">
        <f>ROUNDUP(O29/'Methodology &amp; Assumptions'!$B$6, 0)</f>
        <v/>
      </c>
      <c r="R29" s="13" t="n">
        <v>1</v>
      </c>
      <c r="S29" s="14" t="n">
        <v>29.37</v>
      </c>
      <c r="T29" s="14" t="n">
        <v>34.26</v>
      </c>
      <c r="U29" s="26">
        <f>IF(X29&gt;='Methodology &amp; Assumptions'!$B$7, "Tier 1 Critical GIDA (Score ≥ 50.0)", IF(X29&gt;='Methodology &amp; Assumptions'!$B$8, "Tier 2 High GIDA (Score 40.0–49.9)", "Tier 3 Moderate GIDA (Score &lt; 40.0)"))</f>
        <v/>
      </c>
      <c r="V29" s="26">
        <f>IF(S29&lt;='Methodology &amp; Assumptions'!$B$10, "Direct Optical Drop (&lt;3km)", IF(S29&lt;='Methodology &amp; Assumptions'!$B$9, "Near Optical / Microwave (&lt;5km)", "Starlink Business LEO Satellite Backhaul (&gt;5km)"))</f>
        <v/>
      </c>
      <c r="W29" s="28" t="n">
        <v>0.11</v>
      </c>
      <c r="X29" s="14" t="n">
        <v>51.14</v>
      </c>
      <c r="Y29" s="14">
        <f>ROUND(MIN(100, (X29/69.91)*100), 2)</f>
        <v/>
      </c>
    </row>
    <row r="30">
      <c r="A30" s="10" t="n">
        <v>2</v>
      </c>
      <c r="B30" s="10" t="n">
        <v>26</v>
      </c>
      <c r="C30" s="10" t="n">
        <v>1026</v>
      </c>
      <c r="D30" s="10" t="inlineStr">
        <is>
          <t>1908824008</t>
        </is>
      </c>
      <c r="E30" s="26" t="inlineStr">
        <is>
          <t>Bangsamoro Autonomous Region In Muslim Mindanao (BARMM)</t>
        </is>
      </c>
      <c r="F30" s="26" t="inlineStr">
        <is>
          <t>Maguindanao del Sur</t>
        </is>
      </c>
      <c r="G30" s="26" t="inlineStr">
        <is>
          <t>Talayan</t>
        </is>
      </c>
      <c r="H30" s="26" t="inlineStr">
        <is>
          <t>Kedati</t>
        </is>
      </c>
      <c r="I30" s="27" t="n">
        <v>16.113992</v>
      </c>
      <c r="J30" s="27" t="n">
        <v>122.460784</v>
      </c>
      <c r="K30" s="10" t="inlineStr">
        <is>
          <t>R</t>
        </is>
      </c>
      <c r="L30" s="12" t="n">
        <v>1096</v>
      </c>
      <c r="M30" s="14" t="n">
        <v>4.7</v>
      </c>
      <c r="N30" s="12">
        <f>ROUND(L30/M30, 0)</f>
        <v/>
      </c>
      <c r="O30" s="12">
        <f>ROUND(N30*'Methodology &amp; Assumptions'!$B$5, 0)</f>
        <v/>
      </c>
      <c r="P30" s="10" t="inlineStr">
        <is>
          <t>Single Carrier (Band n50, 100MHz TDD)</t>
        </is>
      </c>
      <c r="Q30" s="13">
        <f>ROUNDUP(O30/'Methodology &amp; Assumptions'!$B$6, 0)</f>
        <v/>
      </c>
      <c r="R30" s="13" t="n">
        <v>1</v>
      </c>
      <c r="S30" s="14" t="n">
        <v>40.28</v>
      </c>
      <c r="T30" s="14" t="n">
        <v>39.89</v>
      </c>
      <c r="U30" s="26">
        <f>IF(X30&gt;='Methodology &amp; Assumptions'!$B$7, "Tier 1 Critical GIDA (Score ≥ 50.0)", IF(X30&gt;='Methodology &amp; Assumptions'!$B$8, "Tier 2 High GIDA (Score 40.0–49.9)", "Tier 3 Moderate GIDA (Score &lt; 40.0)"))</f>
        <v/>
      </c>
      <c r="V30" s="26">
        <f>IF(S30&lt;='Methodology &amp; Assumptions'!$B$10, "Direct Optical Drop (&lt;3km)", IF(S30&lt;='Methodology &amp; Assumptions'!$B$9, "Near Optical / Microwave (&lt;5km)", "Starlink Business LEO Satellite Backhaul (&gt;5km)"))</f>
        <v/>
      </c>
      <c r="W30" s="28" t="n">
        <v>0.11</v>
      </c>
      <c r="X30" s="14" t="n">
        <v>51.13</v>
      </c>
      <c r="Y30" s="14">
        <f>ROUND(MIN(100, (X30/69.91)*100), 2)</f>
        <v/>
      </c>
    </row>
    <row r="31">
      <c r="A31" s="10" t="n">
        <v>2</v>
      </c>
      <c r="B31" s="10" t="n">
        <v>27</v>
      </c>
      <c r="C31" s="10" t="n">
        <v>1027</v>
      </c>
      <c r="D31" s="10" t="inlineStr">
        <is>
          <t>1003515024</t>
        </is>
      </c>
      <c r="E31" s="26" t="inlineStr">
        <is>
          <t>Region X (Northern Mindanao)</t>
        </is>
      </c>
      <c r="F31" s="26" t="inlineStr">
        <is>
          <t>Lanao del Norte</t>
        </is>
      </c>
      <c r="G31" s="26" t="inlineStr">
        <is>
          <t>Nunungan</t>
        </is>
      </c>
      <c r="H31" s="26" t="inlineStr">
        <is>
          <t>Raraban</t>
        </is>
      </c>
      <c r="I31" s="27" t="n">
        <v>7.789297</v>
      </c>
      <c r="J31" s="27" t="n">
        <v>123.915167</v>
      </c>
      <c r="K31" s="10" t="inlineStr">
        <is>
          <t>R</t>
        </is>
      </c>
      <c r="L31" s="12" t="n">
        <v>637</v>
      </c>
      <c r="M31" s="14" t="n">
        <v>4.2</v>
      </c>
      <c r="N31" s="12">
        <f>ROUND(L31/M31, 0)</f>
        <v/>
      </c>
      <c r="O31" s="12">
        <f>ROUND(N31*'Methodology &amp; Assumptions'!$B$5, 0)</f>
        <v/>
      </c>
      <c r="P31" s="10" t="inlineStr">
        <is>
          <t>Single Carrier (Band n50, 100MHz TDD)</t>
        </is>
      </c>
      <c r="Q31" s="13">
        <f>ROUNDUP(O31/'Methodology &amp; Assumptions'!$B$6, 0)</f>
        <v/>
      </c>
      <c r="R31" s="13" t="n">
        <v>1</v>
      </c>
      <c r="S31" s="14" t="n">
        <v>30.96</v>
      </c>
      <c r="T31" s="14" t="n">
        <v>20.06</v>
      </c>
      <c r="U31" s="26">
        <f>IF(X31&gt;='Methodology &amp; Assumptions'!$B$7, "Tier 1 Critical GIDA (Score ≥ 50.0)", IF(X31&gt;='Methodology &amp; Assumptions'!$B$8, "Tier 2 High GIDA (Score 40.0–49.9)", "Tier 3 Moderate GIDA (Score &lt; 40.0)"))</f>
        <v/>
      </c>
      <c r="V31" s="26">
        <f>IF(S31&lt;='Methodology &amp; Assumptions'!$B$10, "Direct Optical Drop (&lt;3km)", IF(S31&lt;='Methodology &amp; Assumptions'!$B$9, "Near Optical / Microwave (&lt;5km)", "Starlink Business LEO Satellite Backhaul (&gt;5km)"))</f>
        <v/>
      </c>
      <c r="W31" s="28" t="n">
        <v>0.174</v>
      </c>
      <c r="X31" s="14" t="n">
        <v>51.13</v>
      </c>
      <c r="Y31" s="14">
        <f>ROUND(MIN(100, (X31/69.91)*100), 2)</f>
        <v/>
      </c>
    </row>
    <row r="32">
      <c r="A32" s="10" t="n">
        <v>2</v>
      </c>
      <c r="B32" s="10" t="n">
        <v>28</v>
      </c>
      <c r="C32" s="10" t="n">
        <v>1028</v>
      </c>
      <c r="D32" s="10" t="inlineStr">
        <is>
          <t>1903639010</t>
        </is>
      </c>
      <c r="E32" s="26" t="inlineStr">
        <is>
          <t>Bangsamoro Autonomous Region In Muslim Mindanao (BARMM)</t>
        </is>
      </c>
      <c r="F32" s="26" t="inlineStr">
        <is>
          <t>Lanao del Sur</t>
        </is>
      </c>
      <c r="G32" s="26" t="inlineStr">
        <is>
          <t>Kapatagan</t>
        </is>
      </c>
      <c r="H32" s="26" t="inlineStr">
        <is>
          <t>Minimao</t>
        </is>
      </c>
      <c r="I32" s="27" t="n">
        <v>17.254581</v>
      </c>
      <c r="J32" s="27" t="n">
        <v>122.228625</v>
      </c>
      <c r="K32" s="10" t="inlineStr">
        <is>
          <t>R</t>
        </is>
      </c>
      <c r="L32" s="12" t="n">
        <v>1522</v>
      </c>
      <c r="M32" s="14" t="n">
        <v>5.7</v>
      </c>
      <c r="N32" s="12">
        <f>ROUND(L32/M32, 0)</f>
        <v/>
      </c>
      <c r="O32" s="12">
        <f>ROUND(N32*'Methodology &amp; Assumptions'!$B$5, 0)</f>
        <v/>
      </c>
      <c r="P32" s="10" t="inlineStr">
        <is>
          <t>Single Carrier (Band n50, 100MHz TDD)</t>
        </is>
      </c>
      <c r="Q32" s="13">
        <f>ROUNDUP(O32/'Methodology &amp; Assumptions'!$B$6, 0)</f>
        <v/>
      </c>
      <c r="R32" s="13" t="n">
        <v>1</v>
      </c>
      <c r="S32" s="14" t="n">
        <v>29.38</v>
      </c>
      <c r="T32" s="14" t="n">
        <v>34.26</v>
      </c>
      <c r="U32" s="26">
        <f>IF(X32&gt;='Methodology &amp; Assumptions'!$B$7, "Tier 1 Critical GIDA (Score ≥ 50.0)", IF(X32&gt;='Methodology &amp; Assumptions'!$B$8, "Tier 2 High GIDA (Score 40.0–49.9)", "Tier 3 Moderate GIDA (Score &lt; 40.0)"))</f>
        <v/>
      </c>
      <c r="V32" s="26">
        <f>IF(S32&lt;='Methodology &amp; Assumptions'!$B$10, "Direct Optical Drop (&lt;3km)", IF(S32&lt;='Methodology &amp; Assumptions'!$B$9, "Near Optical / Microwave (&lt;5km)", "Starlink Business LEO Satellite Backhaul (&gt;5km)"))</f>
        <v/>
      </c>
      <c r="W32" s="28" t="n">
        <v>0.11</v>
      </c>
      <c r="X32" s="14" t="n">
        <v>51.13</v>
      </c>
      <c r="Y32" s="14">
        <f>ROUND(MIN(100, (X32/69.91)*100), 2)</f>
        <v/>
      </c>
    </row>
    <row r="33">
      <c r="A33" s="10" t="n">
        <v>2</v>
      </c>
      <c r="B33" s="10" t="n">
        <v>29</v>
      </c>
      <c r="C33" s="10" t="n">
        <v>1029</v>
      </c>
      <c r="D33" s="10" t="inlineStr">
        <is>
          <t>1906604029</t>
        </is>
      </c>
      <c r="E33" s="26" t="inlineStr">
        <is>
          <t>Bangsamoro Autonomous Region In Muslim Mindanao (BARMM)</t>
        </is>
      </c>
      <c r="F33" s="26" t="inlineStr">
        <is>
          <t>Sulu</t>
        </is>
      </c>
      <c r="G33" s="26" t="inlineStr">
        <is>
          <t>Luuk</t>
        </is>
      </c>
      <c r="H33" s="26" t="inlineStr">
        <is>
          <t>Guimbaun</t>
        </is>
      </c>
      <c r="I33" s="27" t="n">
        <v>17.251865</v>
      </c>
      <c r="J33" s="27" t="n">
        <v>122.233058</v>
      </c>
      <c r="K33" s="10" t="inlineStr">
        <is>
          <t>R</t>
        </is>
      </c>
      <c r="L33" s="12" t="n">
        <v>2065</v>
      </c>
      <c r="M33" s="14" t="n">
        <v>6</v>
      </c>
      <c r="N33" s="12">
        <f>ROUND(L33/M33, 0)</f>
        <v/>
      </c>
      <c r="O33" s="12">
        <f>ROUND(N33*'Methodology &amp; Assumptions'!$B$5, 0)</f>
        <v/>
      </c>
      <c r="P33" s="10" t="inlineStr">
        <is>
          <t>Single Carrier (Band n50, 100MHz TDD)</t>
        </is>
      </c>
      <c r="Q33" s="13">
        <f>ROUNDUP(O33/'Methodology &amp; Assumptions'!$B$6, 0)</f>
        <v/>
      </c>
      <c r="R33" s="13" t="n">
        <v>1</v>
      </c>
      <c r="S33" s="14" t="n">
        <v>29.55</v>
      </c>
      <c r="T33" s="14" t="n">
        <v>34.63</v>
      </c>
      <c r="U33" s="26">
        <f>IF(X33&gt;='Methodology &amp; Assumptions'!$B$7, "Tier 1 Critical GIDA (Score ≥ 50.0)", IF(X33&gt;='Methodology &amp; Assumptions'!$B$8, "Tier 2 High GIDA (Score 40.0–49.9)", "Tier 3 Moderate GIDA (Score &lt; 40.0)"))</f>
        <v/>
      </c>
      <c r="V33" s="26">
        <f>IF(S33&lt;='Methodology &amp; Assumptions'!$B$10, "Direct Optical Drop (&lt;3km)", IF(S33&lt;='Methodology &amp; Assumptions'!$B$9, "Near Optical / Microwave (&lt;5km)", "Starlink Business LEO Satellite Backhaul (&gt;5km)"))</f>
        <v/>
      </c>
      <c r="W33" s="28" t="n">
        <v>0.11</v>
      </c>
      <c r="X33" s="14" t="n">
        <v>51.13</v>
      </c>
      <c r="Y33" s="14">
        <f>ROUND(MIN(100, (X33/69.91)*100), 2)</f>
        <v/>
      </c>
    </row>
    <row r="34">
      <c r="A34" s="10" t="n">
        <v>2</v>
      </c>
      <c r="B34" s="10" t="n">
        <v>30</v>
      </c>
      <c r="C34" s="10" t="n">
        <v>1030</v>
      </c>
      <c r="D34" s="10" t="inlineStr">
        <is>
          <t>0506210007</t>
        </is>
      </c>
      <c r="E34" s="26" t="inlineStr">
        <is>
          <t>Region V (Bicol Region)</t>
        </is>
      </c>
      <c r="F34" s="26" t="inlineStr">
        <is>
          <t>Sorsogon</t>
        </is>
      </c>
      <c r="G34" s="26" t="inlineStr">
        <is>
          <t>Juban</t>
        </is>
      </c>
      <c r="H34" s="26" t="inlineStr">
        <is>
          <t>Calateo</t>
        </is>
      </c>
      <c r="I34" s="27" t="n">
        <v>12.805283</v>
      </c>
      <c r="J34" s="27" t="n">
        <v>123.985958</v>
      </c>
      <c r="K34" s="10" t="inlineStr">
        <is>
          <t>R</t>
        </is>
      </c>
      <c r="L34" s="12" t="n">
        <v>771</v>
      </c>
      <c r="M34" s="14" t="n">
        <v>4</v>
      </c>
      <c r="N34" s="12">
        <f>ROUND(L34/M34, 0)</f>
        <v/>
      </c>
      <c r="O34" s="12">
        <f>ROUND(N34*'Methodology &amp; Assumptions'!$B$5, 0)</f>
        <v/>
      </c>
      <c r="P34" s="10" t="inlineStr">
        <is>
          <t>Single Carrier (Band n50, 100MHz TDD)</t>
        </is>
      </c>
      <c r="Q34" s="13">
        <f>ROUNDUP(O34/'Methodology &amp; Assumptions'!$B$6, 0)</f>
        <v/>
      </c>
      <c r="R34" s="13" t="n">
        <v>1</v>
      </c>
      <c r="S34" s="14" t="n">
        <v>3.27</v>
      </c>
      <c r="T34" s="14" t="n">
        <v>1.51</v>
      </c>
      <c r="U34" s="26">
        <f>IF(X34&gt;='Methodology &amp; Assumptions'!$B$7, "Tier 1 Critical GIDA (Score ≥ 50.0)", IF(X34&gt;='Methodology &amp; Assumptions'!$B$8, "Tier 2 High GIDA (Score 40.0–49.9)", "Tier 3 Moderate GIDA (Score &lt; 40.0)"))</f>
        <v/>
      </c>
      <c r="V34" s="26">
        <f>IF(S34&lt;='Methodology &amp; Assumptions'!$B$10, "Direct Optical Drop (&lt;3km)", IF(S34&lt;='Methodology &amp; Assumptions'!$B$9, "Near Optical / Microwave (&lt;5km)", "Starlink Business LEO Satellite Backhaul (&gt;5km)"))</f>
        <v/>
      </c>
      <c r="W34" s="28" t="n">
        <v>0.237</v>
      </c>
      <c r="X34" s="14" t="n">
        <v>51.13</v>
      </c>
      <c r="Y34" s="14">
        <f>ROUND(MIN(100, (X34/69.91)*100), 2)</f>
        <v/>
      </c>
    </row>
    <row r="35">
      <c r="A35" s="10" t="n">
        <v>2</v>
      </c>
      <c r="B35" s="10" t="n">
        <v>31</v>
      </c>
      <c r="C35" s="10" t="n">
        <v>1031</v>
      </c>
      <c r="D35" s="10" t="inlineStr">
        <is>
          <t>1908806016</t>
        </is>
      </c>
      <c r="E35" s="26" t="inlineStr">
        <is>
          <t>Bangsamoro Autonomous Region In Muslim Mindanao (BARMM)</t>
        </is>
      </c>
      <c r="F35" s="26" t="inlineStr">
        <is>
          <t>Maguindanao del Sur</t>
        </is>
      </c>
      <c r="G35" s="26" t="inlineStr">
        <is>
          <t>Datu Paglas</t>
        </is>
      </c>
      <c r="H35" s="26" t="inlineStr">
        <is>
          <t>Manindolo</t>
        </is>
      </c>
      <c r="I35" s="27" t="n">
        <v>17.255241</v>
      </c>
      <c r="J35" s="27" t="n">
        <v>122.229285</v>
      </c>
      <c r="K35" s="10" t="inlineStr">
        <is>
          <t>R</t>
        </is>
      </c>
      <c r="L35" s="12" t="n">
        <v>1527</v>
      </c>
      <c r="M35" s="14" t="n">
        <v>4.7</v>
      </c>
      <c r="N35" s="12">
        <f>ROUND(L35/M35, 0)</f>
        <v/>
      </c>
      <c r="O35" s="12">
        <f>ROUND(N35*'Methodology &amp; Assumptions'!$B$5, 0)</f>
        <v/>
      </c>
      <c r="P35" s="10" t="inlineStr">
        <is>
          <t>Single Carrier (Band n50, 100MHz TDD)</t>
        </is>
      </c>
      <c r="Q35" s="13">
        <f>ROUNDUP(O35/'Methodology &amp; Assumptions'!$B$6, 0)</f>
        <v/>
      </c>
      <c r="R35" s="13" t="n">
        <v>1</v>
      </c>
      <c r="S35" s="14" t="n">
        <v>29.48</v>
      </c>
      <c r="T35" s="14" t="n">
        <v>34.35</v>
      </c>
      <c r="U35" s="26">
        <f>IF(X35&gt;='Methodology &amp; Assumptions'!$B$7, "Tier 1 Critical GIDA (Score ≥ 50.0)", IF(X35&gt;='Methodology &amp; Assumptions'!$B$8, "Tier 2 High GIDA (Score 40.0–49.9)", "Tier 3 Moderate GIDA (Score &lt; 40.0)"))</f>
        <v/>
      </c>
      <c r="V35" s="26">
        <f>IF(S35&lt;='Methodology &amp; Assumptions'!$B$10, "Direct Optical Drop (&lt;3km)", IF(S35&lt;='Methodology &amp; Assumptions'!$B$9, "Near Optical / Microwave (&lt;5km)", "Starlink Business LEO Satellite Backhaul (&gt;5km)"))</f>
        <v/>
      </c>
      <c r="W35" s="28" t="n">
        <v>0.11</v>
      </c>
      <c r="X35" s="14" t="n">
        <v>51.13</v>
      </c>
      <c r="Y35" s="14">
        <f>ROUND(MIN(100, (X35/69.91)*100), 2)</f>
        <v/>
      </c>
    </row>
    <row r="36">
      <c r="A36" s="10" t="n">
        <v>2</v>
      </c>
      <c r="B36" s="10" t="n">
        <v>32</v>
      </c>
      <c r="C36" s="10" t="n">
        <v>1032</v>
      </c>
      <c r="D36" s="10" t="inlineStr">
        <is>
          <t>1908806011</t>
        </is>
      </c>
      <c r="E36" s="26" t="inlineStr">
        <is>
          <t>Bangsamoro Autonomous Region In Muslim Mindanao (BARMM)</t>
        </is>
      </c>
      <c r="F36" s="26" t="inlineStr">
        <is>
          <t>Maguindanao del Sur</t>
        </is>
      </c>
      <c r="G36" s="26" t="inlineStr">
        <is>
          <t>Datu Paglas</t>
        </is>
      </c>
      <c r="H36" s="26" t="inlineStr">
        <is>
          <t>Lomoyon</t>
        </is>
      </c>
      <c r="I36" s="27" t="n">
        <v>17.255243</v>
      </c>
      <c r="J36" s="27" t="n">
        <v>122.229287</v>
      </c>
      <c r="K36" s="10" t="inlineStr">
        <is>
          <t>R</t>
        </is>
      </c>
      <c r="L36" s="12" t="n">
        <v>1271</v>
      </c>
      <c r="M36" s="14" t="n">
        <v>4.7</v>
      </c>
      <c r="N36" s="12">
        <f>ROUND(L36/M36, 0)</f>
        <v/>
      </c>
      <c r="O36" s="12">
        <f>ROUND(N36*'Methodology &amp; Assumptions'!$B$5, 0)</f>
        <v/>
      </c>
      <c r="P36" s="10" t="inlineStr">
        <is>
          <t>Single Carrier (Band n50, 100MHz TDD)</t>
        </is>
      </c>
      <c r="Q36" s="13">
        <f>ROUNDUP(O36/'Methodology &amp; Assumptions'!$B$6, 0)</f>
        <v/>
      </c>
      <c r="R36" s="13" t="n">
        <v>1</v>
      </c>
      <c r="S36" s="14" t="n">
        <v>29.48</v>
      </c>
      <c r="T36" s="14" t="n">
        <v>34.35</v>
      </c>
      <c r="U36" s="26">
        <f>IF(X36&gt;='Methodology &amp; Assumptions'!$B$7, "Tier 1 Critical GIDA (Score ≥ 50.0)", IF(X36&gt;='Methodology &amp; Assumptions'!$B$8, "Tier 2 High GIDA (Score 40.0–49.9)", "Tier 3 Moderate GIDA (Score &lt; 40.0)"))</f>
        <v/>
      </c>
      <c r="V36" s="26">
        <f>IF(S36&lt;='Methodology &amp; Assumptions'!$B$10, "Direct Optical Drop (&lt;3km)", IF(S36&lt;='Methodology &amp; Assumptions'!$B$9, "Near Optical / Microwave (&lt;5km)", "Starlink Business LEO Satellite Backhaul (&gt;5km)"))</f>
        <v/>
      </c>
      <c r="W36" s="28" t="n">
        <v>0.11</v>
      </c>
      <c r="X36" s="14" t="n">
        <v>51.13</v>
      </c>
      <c r="Y36" s="14">
        <f>ROUND(MIN(100, (X36/69.91)*100), 2)</f>
        <v/>
      </c>
    </row>
    <row r="37">
      <c r="A37" s="10" t="n">
        <v>2</v>
      </c>
      <c r="B37" s="10" t="n">
        <v>33</v>
      </c>
      <c r="C37" s="10" t="n">
        <v>1033</v>
      </c>
      <c r="D37" s="10" t="inlineStr">
        <is>
          <t>0907216011</t>
        </is>
      </c>
      <c r="E37" s="26" t="inlineStr">
        <is>
          <t>Region IX (Zamboanga Peninsula)</t>
        </is>
      </c>
      <c r="F37" s="26" t="inlineStr">
        <is>
          <t>Zamboanga del Norte</t>
        </is>
      </c>
      <c r="G37" s="26" t="inlineStr">
        <is>
          <t>Sibuco</t>
        </is>
      </c>
      <c r="H37" s="26" t="inlineStr">
        <is>
          <t>Litawan</t>
        </is>
      </c>
      <c r="I37" s="27" t="n">
        <v>7.404414</v>
      </c>
      <c r="J37" s="27" t="n">
        <v>122.139109</v>
      </c>
      <c r="K37" s="10" t="inlineStr">
        <is>
          <t>R</t>
        </is>
      </c>
      <c r="L37" s="12" t="n">
        <v>673</v>
      </c>
      <c r="M37" s="14" t="n">
        <v>3.6</v>
      </c>
      <c r="N37" s="12">
        <f>ROUND(L37/M37, 0)</f>
        <v/>
      </c>
      <c r="O37" s="12">
        <f>ROUND(N37*'Methodology &amp; Assumptions'!$B$5, 0)</f>
        <v/>
      </c>
      <c r="P37" s="10" t="inlineStr">
        <is>
          <t>Single Carrier (Band n50, 100MHz TDD)</t>
        </is>
      </c>
      <c r="Q37" s="13">
        <f>ROUNDUP(O37/'Methodology &amp; Assumptions'!$B$6, 0)</f>
        <v/>
      </c>
      <c r="R37" s="13" t="n">
        <v>1</v>
      </c>
      <c r="S37" s="14" t="n">
        <v>22.61</v>
      </c>
      <c r="T37" s="14" t="n">
        <v>16.58</v>
      </c>
      <c r="U37" s="26">
        <f>IF(X37&gt;='Methodology &amp; Assumptions'!$B$7, "Tier 1 Critical GIDA (Score ≥ 50.0)", IF(X37&gt;='Methodology &amp; Assumptions'!$B$8, "Tier 2 High GIDA (Score 40.0–49.9)", "Tier 3 Moderate GIDA (Score &lt; 40.0)"))</f>
        <v/>
      </c>
      <c r="V37" s="26">
        <f>IF(S37&lt;='Methodology &amp; Assumptions'!$B$10, "Direct Optical Drop (&lt;3km)", IF(S37&lt;='Methodology &amp; Assumptions'!$B$9, "Near Optical / Microwave (&lt;5km)", "Starlink Business LEO Satellite Backhaul (&gt;5km)"))</f>
        <v/>
      </c>
      <c r="W37" s="28" t="n">
        <v>0.11</v>
      </c>
      <c r="X37" s="14" t="n">
        <v>51.12</v>
      </c>
      <c r="Y37" s="14">
        <f>ROUND(MIN(100, (X37/69.91)*100), 2)</f>
        <v/>
      </c>
    </row>
    <row r="38">
      <c r="A38" s="10" t="n">
        <v>2</v>
      </c>
      <c r="B38" s="10" t="n">
        <v>34</v>
      </c>
      <c r="C38" s="10" t="n">
        <v>1034</v>
      </c>
      <c r="D38" s="10" t="inlineStr">
        <is>
          <t>1380601094</t>
        </is>
      </c>
      <c r="E38" s="26" t="inlineStr">
        <is>
          <t>National Capital Region (NCR)</t>
        </is>
      </c>
      <c r="F38" s="26" t="inlineStr">
        <is>
          <t>First District (Not a Province)</t>
        </is>
      </c>
      <c r="G38" s="26" t="inlineStr">
        <is>
          <t>City of Manila</t>
        </is>
      </c>
      <c r="H38" s="26" t="inlineStr">
        <is>
          <t>Barangay 94</t>
        </is>
      </c>
      <c r="I38" s="27" t="n">
        <v>13.002669</v>
      </c>
      <c r="J38" s="27" t="n">
        <v>121.938393</v>
      </c>
      <c r="K38" s="10" t="inlineStr">
        <is>
          <t>U</t>
        </is>
      </c>
      <c r="L38" s="12" t="n">
        <v>2244</v>
      </c>
      <c r="M38" s="14" t="n">
        <v>3.9</v>
      </c>
      <c r="N38" s="12">
        <f>ROUND(L38/M38, 0)</f>
        <v/>
      </c>
      <c r="O38" s="12">
        <f>ROUND(N38*'Methodology &amp; Assumptions'!$B$5, 0)</f>
        <v/>
      </c>
      <c r="P38" s="10" t="inlineStr">
        <is>
          <t>Single Carrier (Band n50, 100MHz TDD)</t>
        </is>
      </c>
      <c r="Q38" s="13">
        <f>ROUNDUP(O38/'Methodology &amp; Assumptions'!$B$6, 0)</f>
        <v/>
      </c>
      <c r="R38" s="13" t="n">
        <v>1</v>
      </c>
      <c r="S38" s="14" t="n">
        <v>47.27</v>
      </c>
      <c r="T38" s="14" t="n">
        <v>49.75</v>
      </c>
      <c r="U38" s="26">
        <f>IF(X38&gt;='Methodology &amp; Assumptions'!$B$7, "Tier 1 Critical GIDA (Score ≥ 50.0)", IF(X38&gt;='Methodology &amp; Assumptions'!$B$8, "Tier 2 High GIDA (Score 40.0–49.9)", "Tier 3 Moderate GIDA (Score &lt; 40.0)"))</f>
        <v/>
      </c>
      <c r="V38" s="26">
        <f>IF(S38&lt;='Methodology &amp; Assumptions'!$B$10, "Direct Optical Drop (&lt;3km)", IF(S38&lt;='Methodology &amp; Assumptions'!$B$9, "Near Optical / Microwave (&lt;5km)", "Starlink Business LEO Satellite Backhaul (&gt;5km)"))</f>
        <v/>
      </c>
      <c r="W38" s="28" t="n">
        <v>0.109</v>
      </c>
      <c r="X38" s="14" t="n">
        <v>51.12</v>
      </c>
      <c r="Y38" s="14">
        <f>ROUND(MIN(100, (X38/69.91)*100), 2)</f>
        <v/>
      </c>
    </row>
    <row r="39">
      <c r="A39" s="10" t="n">
        <v>2</v>
      </c>
      <c r="B39" s="10" t="n">
        <v>35</v>
      </c>
      <c r="C39" s="10" t="n">
        <v>1035</v>
      </c>
      <c r="D39" s="10" t="inlineStr">
        <is>
          <t>1380601080</t>
        </is>
      </c>
      <c r="E39" s="26" t="inlineStr">
        <is>
          <t>National Capital Region (NCR)</t>
        </is>
      </c>
      <c r="F39" s="26" t="inlineStr">
        <is>
          <t>First District (Not a Province)</t>
        </is>
      </c>
      <c r="G39" s="26" t="inlineStr">
        <is>
          <t>City of Manila</t>
        </is>
      </c>
      <c r="H39" s="26" t="inlineStr">
        <is>
          <t>Barangay 80</t>
        </is>
      </c>
      <c r="I39" s="27" t="n">
        <v>12.67944</v>
      </c>
      <c r="J39" s="27" t="n">
        <v>121.737777</v>
      </c>
      <c r="K39" s="10" t="inlineStr">
        <is>
          <t>U</t>
        </is>
      </c>
      <c r="L39" s="12" t="n">
        <v>2631</v>
      </c>
      <c r="M39" s="14" t="n">
        <v>3.9</v>
      </c>
      <c r="N39" s="12">
        <f>ROUND(L39/M39, 0)</f>
        <v/>
      </c>
      <c r="O39" s="12">
        <f>ROUND(N39*'Methodology &amp; Assumptions'!$B$5, 0)</f>
        <v/>
      </c>
      <c r="P39" s="10" t="inlineStr">
        <is>
          <t>Single Carrier (Band n50, 100MHz TDD)</t>
        </is>
      </c>
      <c r="Q39" s="13">
        <f>ROUNDUP(O39/'Methodology &amp; Assumptions'!$B$6, 0)</f>
        <v/>
      </c>
      <c r="R39" s="13" t="n">
        <v>1</v>
      </c>
      <c r="S39" s="14" t="n">
        <v>21.86</v>
      </c>
      <c r="T39" s="14" t="n">
        <v>20.78</v>
      </c>
      <c r="U39" s="26">
        <f>IF(X39&gt;='Methodology &amp; Assumptions'!$B$7, "Tier 1 Critical GIDA (Score ≥ 50.0)", IF(X39&gt;='Methodology &amp; Assumptions'!$B$8, "Tier 2 High GIDA (Score 40.0–49.9)", "Tier 3 Moderate GIDA (Score &lt; 40.0)"))</f>
        <v/>
      </c>
      <c r="V39" s="26">
        <f>IF(S39&lt;='Methodology &amp; Assumptions'!$B$10, "Direct Optical Drop (&lt;3km)", IF(S39&lt;='Methodology &amp; Assumptions'!$B$9, "Near Optical / Microwave (&lt;5km)", "Starlink Business LEO Satellite Backhaul (&gt;5km)"))</f>
        <v/>
      </c>
      <c r="W39" s="28" t="n">
        <v>0.109</v>
      </c>
      <c r="X39" s="14" t="n">
        <v>51.12</v>
      </c>
      <c r="Y39" s="14">
        <f>ROUND(MIN(100, (X39/69.91)*100), 2)</f>
        <v/>
      </c>
    </row>
    <row r="40">
      <c r="A40" s="10" t="n">
        <v>2</v>
      </c>
      <c r="B40" s="10" t="n">
        <v>36</v>
      </c>
      <c r="C40" s="10" t="n">
        <v>1036</v>
      </c>
      <c r="D40" s="10" t="inlineStr">
        <is>
          <t>0603038016</t>
        </is>
      </c>
      <c r="E40" s="26" t="inlineStr">
        <is>
          <t>Region VI (Western Visayas)</t>
        </is>
      </c>
      <c r="F40" s="26" t="inlineStr">
        <is>
          <t>Iloilo</t>
        </is>
      </c>
      <c r="G40" s="26" t="inlineStr">
        <is>
          <t>San Dionisio</t>
        </is>
      </c>
      <c r="H40" s="26" t="inlineStr">
        <is>
          <t>Naborot</t>
        </is>
      </c>
      <c r="I40" s="27" t="n">
        <v>11.317042</v>
      </c>
      <c r="J40" s="27" t="n">
        <v>123.08479</v>
      </c>
      <c r="K40" s="10" t="inlineStr">
        <is>
          <t>R</t>
        </is>
      </c>
      <c r="L40" s="12" t="n">
        <v>160</v>
      </c>
      <c r="M40" s="14" t="n">
        <v>3.8</v>
      </c>
      <c r="N40" s="12">
        <f>ROUND(L40/M40, 0)</f>
        <v/>
      </c>
      <c r="O40" s="12">
        <f>ROUND(N40*'Methodology &amp; Assumptions'!$B$5, 0)</f>
        <v/>
      </c>
      <c r="P40" s="10" t="inlineStr">
        <is>
          <t>Single Carrier (Band n50, 100MHz TDD)</t>
        </is>
      </c>
      <c r="Q40" s="13">
        <f>ROUNDUP(O40/'Methodology &amp; Assumptions'!$B$6, 0)</f>
        <v/>
      </c>
      <c r="R40" s="13" t="n">
        <v>1</v>
      </c>
      <c r="S40" s="14" t="n">
        <v>10.09</v>
      </c>
      <c r="T40" s="14" t="n">
        <v>1</v>
      </c>
      <c r="U40" s="26">
        <f>IF(X40&gt;='Methodology &amp; Assumptions'!$B$7, "Tier 1 Critical GIDA (Score ≥ 50.0)", IF(X40&gt;='Methodology &amp; Assumptions'!$B$8, "Tier 2 High GIDA (Score 40.0–49.9)", "Tier 3 Moderate GIDA (Score &lt; 40.0)"))</f>
        <v/>
      </c>
      <c r="V40" s="26">
        <f>IF(S40&lt;='Methodology &amp; Assumptions'!$B$10, "Direct Optical Drop (&lt;3km)", IF(S40&lt;='Methodology &amp; Assumptions'!$B$9, "Near Optical / Microwave (&lt;5km)", "Starlink Business LEO Satellite Backhaul (&gt;5km)"))</f>
        <v/>
      </c>
      <c r="W40" s="28" t="n">
        <v>0.237</v>
      </c>
      <c r="X40" s="14" t="n">
        <v>51.11</v>
      </c>
      <c r="Y40" s="14">
        <f>ROUND(MIN(100, (X40/69.91)*100), 2)</f>
        <v/>
      </c>
    </row>
    <row r="41">
      <c r="A41" s="10" t="n">
        <v>2</v>
      </c>
      <c r="B41" s="10" t="n">
        <v>37</v>
      </c>
      <c r="C41" s="10" t="n">
        <v>1037</v>
      </c>
      <c r="D41" s="10" t="inlineStr">
        <is>
          <t>1380611038</t>
        </is>
      </c>
      <c r="E41" s="26" t="inlineStr">
        <is>
          <t>National Capital Region (NCR)</t>
        </is>
      </c>
      <c r="F41" s="26" t="inlineStr">
        <is>
          <t>First District (Not a Province)</t>
        </is>
      </c>
      <c r="G41" s="26" t="inlineStr">
        <is>
          <t>City of Manila</t>
        </is>
      </c>
      <c r="H41" s="26" t="inlineStr">
        <is>
          <t>Barangay 823</t>
        </is>
      </c>
      <c r="I41" s="27" t="n">
        <v>13.052341</v>
      </c>
      <c r="J41" s="27" t="n">
        <v>121.661177</v>
      </c>
      <c r="K41" s="10" t="inlineStr">
        <is>
          <t>U</t>
        </is>
      </c>
      <c r="L41" s="12" t="n">
        <v>3093</v>
      </c>
      <c r="M41" s="14" t="n">
        <v>3.9</v>
      </c>
      <c r="N41" s="12">
        <f>ROUND(L41/M41, 0)</f>
        <v/>
      </c>
      <c r="O41" s="12">
        <f>ROUND(N41*'Methodology &amp; Assumptions'!$B$5, 0)</f>
        <v/>
      </c>
      <c r="P41" s="10" t="inlineStr">
        <is>
          <t>Single Carrier (Band n50, 100MHz TDD)</t>
        </is>
      </c>
      <c r="Q41" s="13">
        <f>ROUNDUP(O41/'Methodology &amp; Assumptions'!$B$6, 0)</f>
        <v/>
      </c>
      <c r="R41" s="13" t="n">
        <v>1</v>
      </c>
      <c r="S41" s="14" t="n">
        <v>16.79</v>
      </c>
      <c r="T41" s="14" t="n">
        <v>19.73</v>
      </c>
      <c r="U41" s="26">
        <f>IF(X41&gt;='Methodology &amp; Assumptions'!$B$7, "Tier 1 Critical GIDA (Score ≥ 50.0)", IF(X41&gt;='Methodology &amp; Assumptions'!$B$8, "Tier 2 High GIDA (Score 40.0–49.9)", "Tier 3 Moderate GIDA (Score &lt; 40.0)"))</f>
        <v/>
      </c>
      <c r="V41" s="26">
        <f>IF(S41&lt;='Methodology &amp; Assumptions'!$B$10, "Direct Optical Drop (&lt;3km)", IF(S41&lt;='Methodology &amp; Assumptions'!$B$9, "Near Optical / Microwave (&lt;5km)", "Starlink Business LEO Satellite Backhaul (&gt;5km)"))</f>
        <v/>
      </c>
      <c r="W41" s="28" t="n">
        <v>0.109</v>
      </c>
      <c r="X41" s="14" t="n">
        <v>51.11</v>
      </c>
      <c r="Y41" s="14">
        <f>ROUND(MIN(100, (X41/69.91)*100), 2)</f>
        <v/>
      </c>
    </row>
    <row r="42">
      <c r="A42" s="10" t="n">
        <v>2</v>
      </c>
      <c r="B42" s="10" t="n">
        <v>38</v>
      </c>
      <c r="C42" s="10" t="n">
        <v>1038</v>
      </c>
      <c r="D42" s="10" t="inlineStr">
        <is>
          <t>0405805018</t>
        </is>
      </c>
      <c r="E42" s="26" t="inlineStr">
        <is>
          <t>Region IV-A (CALABARZON)</t>
        </is>
      </c>
      <c r="F42" s="26" t="inlineStr">
        <is>
          <t>Rizal</t>
        </is>
      </c>
      <c r="G42" s="26" t="inlineStr">
        <is>
          <t>Cainta</t>
        </is>
      </c>
      <c r="H42" s="26" t="inlineStr">
        <is>
          <t>Santa Rosa</t>
        </is>
      </c>
      <c r="I42" s="27" t="n">
        <v>14.586301</v>
      </c>
      <c r="J42" s="27" t="n">
        <v>121.108179</v>
      </c>
      <c r="K42" s="10" t="inlineStr">
        <is>
          <t>R</t>
        </is>
      </c>
      <c r="L42" s="12" t="n">
        <v>1550</v>
      </c>
      <c r="M42" s="14" t="n">
        <v>3.6</v>
      </c>
      <c r="N42" s="12">
        <f>ROUND(L42/M42, 0)</f>
        <v/>
      </c>
      <c r="O42" s="12">
        <f>ROUND(N42*'Methodology &amp; Assumptions'!$B$5, 0)</f>
        <v/>
      </c>
      <c r="P42" s="10" t="inlineStr">
        <is>
          <t>Single Carrier (Band n50, 100MHz TDD)</t>
        </is>
      </c>
      <c r="Q42" s="13">
        <f>ROUNDUP(O42/'Methodology &amp; Assumptions'!$B$6, 0)</f>
        <v/>
      </c>
      <c r="R42" s="13" t="n">
        <v>1</v>
      </c>
      <c r="S42" s="14" t="n">
        <v>1.68</v>
      </c>
      <c r="T42" s="14" t="n">
        <v>0.2</v>
      </c>
      <c r="U42" s="26">
        <f>IF(X42&gt;='Methodology &amp; Assumptions'!$B$7, "Tier 1 Critical GIDA (Score ≥ 50.0)", IF(X42&gt;='Methodology &amp; Assumptions'!$B$8, "Tier 2 High GIDA (Score 40.0–49.9)", "Tier 3 Moderate GIDA (Score &lt; 40.0)"))</f>
        <v/>
      </c>
      <c r="V42" s="26">
        <f>IF(S42&lt;='Methodology &amp; Assumptions'!$B$10, "Direct Optical Drop (&lt;3km)", IF(S42&lt;='Methodology &amp; Assumptions'!$B$9, "Near Optical / Microwave (&lt;5km)", "Starlink Business LEO Satellite Backhaul (&gt;5km)"))</f>
        <v/>
      </c>
      <c r="W42" s="28" t="n">
        <v>0.07200000000000001</v>
      </c>
      <c r="X42" s="14" t="n">
        <v>51.1</v>
      </c>
      <c r="Y42" s="14">
        <f>ROUND(MIN(100, (X42/69.91)*100), 2)</f>
        <v/>
      </c>
    </row>
    <row r="43">
      <c r="A43" s="10" t="n">
        <v>2</v>
      </c>
      <c r="B43" s="10" t="n">
        <v>39</v>
      </c>
      <c r="C43" s="10" t="n">
        <v>1039</v>
      </c>
      <c r="D43" s="10" t="inlineStr">
        <is>
          <t>1380900008</t>
        </is>
      </c>
      <c r="E43" s="26" t="inlineStr">
        <is>
          <t>National Capital Region (NCR)</t>
        </is>
      </c>
      <c r="F43" s="26" t="inlineStr">
        <is>
          <t>Third District (Not a Province)</t>
        </is>
      </c>
      <c r="G43" s="26" t="inlineStr">
        <is>
          <t>City of Navotas</t>
        </is>
      </c>
      <c r="H43" s="26" t="inlineStr">
        <is>
          <t>North Bay Boulevard North</t>
        </is>
      </c>
      <c r="I43" s="27" t="n">
        <v>14.667274</v>
      </c>
      <c r="J43" s="27" t="n">
        <v>120.940725</v>
      </c>
      <c r="K43" s="10" t="inlineStr">
        <is>
          <t>U</t>
        </is>
      </c>
      <c r="L43" s="12" t="n">
        <v>15061</v>
      </c>
      <c r="M43" s="14" t="n">
        <v>3.4</v>
      </c>
      <c r="N43" s="12">
        <f>ROUND(L43/M43, 0)</f>
        <v/>
      </c>
      <c r="O43" s="12">
        <f>ROUND(N43*'Methodology &amp; Assumptions'!$B$5, 0)</f>
        <v/>
      </c>
      <c r="P43" s="10" t="inlineStr">
        <is>
          <t>Single Carrier (Band n50, 100MHz TDD)</t>
        </is>
      </c>
      <c r="Q43" s="13">
        <f>ROUNDUP(O43/'Methodology &amp; Assumptions'!$B$6, 0)</f>
        <v/>
      </c>
      <c r="R43" s="13" t="n">
        <v>1</v>
      </c>
      <c r="S43" s="14" t="n">
        <v>0.82</v>
      </c>
      <c r="T43" s="14" t="n">
        <v>0.6899999999999999</v>
      </c>
      <c r="U43" s="26">
        <f>IF(X43&gt;='Methodology &amp; Assumptions'!$B$7, "Tier 1 Critical GIDA (Score ≥ 50.0)", IF(X43&gt;='Methodology &amp; Assumptions'!$B$8, "Tier 2 High GIDA (Score 40.0–49.9)", "Tier 3 Moderate GIDA (Score &lt; 40.0)"))</f>
        <v/>
      </c>
      <c r="V43" s="26">
        <f>IF(S43&lt;='Methodology &amp; Assumptions'!$B$10, "Direct Optical Drop (&lt;3km)", IF(S43&lt;='Methodology &amp; Assumptions'!$B$9, "Near Optical / Microwave (&lt;5km)", "Starlink Business LEO Satellite Backhaul (&gt;5km)"))</f>
        <v/>
      </c>
      <c r="W43" s="28" t="n">
        <v>0.109</v>
      </c>
      <c r="X43" s="14" t="n">
        <v>51.1</v>
      </c>
      <c r="Y43" s="14">
        <f>ROUND(MIN(100, (X43/69.91)*100), 2)</f>
        <v/>
      </c>
    </row>
    <row r="44">
      <c r="A44" s="10" t="n">
        <v>2</v>
      </c>
      <c r="B44" s="10" t="n">
        <v>40</v>
      </c>
      <c r="C44" s="10" t="n">
        <v>1040</v>
      </c>
      <c r="D44" s="10" t="inlineStr">
        <is>
          <t>1381600022</t>
        </is>
      </c>
      <c r="E44" s="26" t="inlineStr">
        <is>
          <t>National Capital Region (NCR)</t>
        </is>
      </c>
      <c r="F44" s="26" t="inlineStr">
        <is>
          <t>Third District (Not a Province)</t>
        </is>
      </c>
      <c r="G44" s="26" t="inlineStr">
        <is>
          <t>City of Valenzuela</t>
        </is>
      </c>
      <c r="H44" s="26" t="inlineStr">
        <is>
          <t>Pariancillo Villa</t>
        </is>
      </c>
      <c r="I44" s="27" t="n">
        <v>14.71205</v>
      </c>
      <c r="J44" s="27" t="n">
        <v>120.984487</v>
      </c>
      <c r="K44" s="10" t="inlineStr">
        <is>
          <t>U</t>
        </is>
      </c>
      <c r="L44" s="12" t="n">
        <v>1977</v>
      </c>
      <c r="M44" s="14" t="n">
        <v>3.5</v>
      </c>
      <c r="N44" s="12">
        <f>ROUND(L44/M44, 0)</f>
        <v/>
      </c>
      <c r="O44" s="12">
        <f>ROUND(N44*'Methodology &amp; Assumptions'!$B$5, 0)</f>
        <v/>
      </c>
      <c r="P44" s="10" t="inlineStr">
        <is>
          <t>Single Carrier (Band n50, 100MHz TDD)</t>
        </is>
      </c>
      <c r="Q44" s="13">
        <f>ROUNDUP(O44/'Methodology &amp; Assumptions'!$B$6, 0)</f>
        <v/>
      </c>
      <c r="R44" s="13" t="n">
        <v>1</v>
      </c>
      <c r="S44" s="14" t="n">
        <v>1.4</v>
      </c>
      <c r="T44" s="14" t="n">
        <v>0.19</v>
      </c>
      <c r="U44" s="26">
        <f>IF(X44&gt;='Methodology &amp; Assumptions'!$B$7, "Tier 1 Critical GIDA (Score ≥ 50.0)", IF(X44&gt;='Methodology &amp; Assumptions'!$B$8, "Tier 2 High GIDA (Score 40.0–49.9)", "Tier 3 Moderate GIDA (Score &lt; 40.0)"))</f>
        <v/>
      </c>
      <c r="V44" s="26">
        <f>IF(S44&lt;='Methodology &amp; Assumptions'!$B$10, "Direct Optical Drop (&lt;3km)", IF(S44&lt;='Methodology &amp; Assumptions'!$B$9, "Near Optical / Microwave (&lt;5km)", "Starlink Business LEO Satellite Backhaul (&gt;5km)"))</f>
        <v/>
      </c>
      <c r="W44" s="28" t="n">
        <v>0.109</v>
      </c>
      <c r="X44" s="14" t="n">
        <v>51.09</v>
      </c>
      <c r="Y44" s="14">
        <f>ROUND(MIN(100, (X44/69.91)*100), 2)</f>
        <v/>
      </c>
    </row>
    <row r="45">
      <c r="A45" s="10" t="n">
        <v>2</v>
      </c>
      <c r="B45" s="10" t="n">
        <v>41</v>
      </c>
      <c r="C45" s="10" t="n">
        <v>1041</v>
      </c>
      <c r="D45" s="10" t="inlineStr">
        <is>
          <t>0806010022</t>
        </is>
      </c>
      <c r="E45" s="26" t="inlineStr">
        <is>
          <t>Region VIII (Eastern Visayas)</t>
        </is>
      </c>
      <c r="F45" s="26" t="inlineStr">
        <is>
          <t>Samar</t>
        </is>
      </c>
      <c r="G45" s="26" t="inlineStr">
        <is>
          <t>Marabut</t>
        </is>
      </c>
      <c r="H45" s="26" t="inlineStr">
        <is>
          <t>Roño</t>
        </is>
      </c>
      <c r="I45" s="27" t="n">
        <v>11.174202</v>
      </c>
      <c r="J45" s="27" t="n">
        <v>125.207602</v>
      </c>
      <c r="K45" s="10" t="inlineStr">
        <is>
          <t>R</t>
        </is>
      </c>
      <c r="L45" s="12" t="n">
        <v>525</v>
      </c>
      <c r="M45" s="14" t="n">
        <v>4.1</v>
      </c>
      <c r="N45" s="12">
        <f>ROUND(L45/M45, 0)</f>
        <v/>
      </c>
      <c r="O45" s="12">
        <f>ROUND(N45*'Methodology &amp; Assumptions'!$B$5, 0)</f>
        <v/>
      </c>
      <c r="P45" s="10" t="inlineStr">
        <is>
          <t>Single Carrier (Band n50, 100MHz TDD)</t>
        </is>
      </c>
      <c r="Q45" s="13">
        <f>ROUNDUP(O45/'Methodology &amp; Assumptions'!$B$6, 0)</f>
        <v/>
      </c>
      <c r="R45" s="13" t="n">
        <v>1</v>
      </c>
      <c r="S45" s="14" t="n">
        <v>21.86</v>
      </c>
      <c r="T45" s="14" t="n">
        <v>20.73</v>
      </c>
      <c r="U45" s="26">
        <f>IF(X45&gt;='Methodology &amp; Assumptions'!$B$7, "Tier 1 Critical GIDA (Score ≥ 50.0)", IF(X45&gt;='Methodology &amp; Assumptions'!$B$8, "Tier 2 High GIDA (Score 40.0–49.9)", "Tier 3 Moderate GIDA (Score &lt; 40.0)"))</f>
        <v/>
      </c>
      <c r="V45" s="26">
        <f>IF(S45&lt;='Methodology &amp; Assumptions'!$B$10, "Direct Optical Drop (&lt;3km)", IF(S45&lt;='Methodology &amp; Assumptions'!$B$9, "Near Optical / Microwave (&lt;5km)", "Starlink Business LEO Satellite Backhaul (&gt;5km)"))</f>
        <v/>
      </c>
      <c r="W45" s="28" t="n">
        <v>0.237</v>
      </c>
      <c r="X45" s="14" t="n">
        <v>51.09</v>
      </c>
      <c r="Y45" s="14">
        <f>ROUND(MIN(100, (X45/69.91)*100), 2)</f>
        <v/>
      </c>
    </row>
    <row r="46">
      <c r="A46" s="10" t="n">
        <v>2</v>
      </c>
      <c r="B46" s="10" t="n">
        <v>42</v>
      </c>
      <c r="C46" s="10" t="n">
        <v>1042</v>
      </c>
      <c r="D46" s="10" t="inlineStr">
        <is>
          <t>1401109002</t>
        </is>
      </c>
      <c r="E46" s="26" t="inlineStr">
        <is>
          <t>Cordillera Administrative Region (CAR)</t>
        </is>
      </c>
      <c r="F46" s="26" t="inlineStr">
        <is>
          <t>Benguet</t>
        </is>
      </c>
      <c r="G46" s="26" t="inlineStr">
        <is>
          <t>Kibungan</t>
        </is>
      </c>
      <c r="H46" s="26" t="inlineStr">
        <is>
          <t>Lubo</t>
        </is>
      </c>
      <c r="I46" s="27" t="n">
        <v>16.668054</v>
      </c>
      <c r="J46" s="27" t="n">
        <v>120.716028</v>
      </c>
      <c r="K46" s="10" t="inlineStr">
        <is>
          <t>R</t>
        </is>
      </c>
      <c r="L46" s="12" t="n">
        <v>1437</v>
      </c>
      <c r="M46" s="14" t="n">
        <v>3.5</v>
      </c>
      <c r="N46" s="12">
        <f>ROUND(L46/M46, 0)</f>
        <v/>
      </c>
      <c r="O46" s="12">
        <f>ROUND(N46*'Methodology &amp; Assumptions'!$B$5, 0)</f>
        <v/>
      </c>
      <c r="P46" s="10" t="inlineStr">
        <is>
          <t>Single Carrier (Band n50, 100MHz TDD)</t>
        </is>
      </c>
      <c r="Q46" s="13">
        <f>ROUNDUP(O46/'Methodology &amp; Assumptions'!$B$6, 0)</f>
        <v/>
      </c>
      <c r="R46" s="13" t="n">
        <v>1</v>
      </c>
      <c r="S46" s="14" t="n">
        <v>7.11</v>
      </c>
      <c r="T46" s="14" t="n">
        <v>6</v>
      </c>
      <c r="U46" s="26">
        <f>IF(X46&gt;='Methodology &amp; Assumptions'!$B$7, "Tier 1 Critical GIDA (Score ≥ 50.0)", IF(X46&gt;='Methodology &amp; Assumptions'!$B$8, "Tier 2 High GIDA (Score 40.0–49.9)", "Tier 3 Moderate GIDA (Score &lt; 40.0)"))</f>
        <v/>
      </c>
      <c r="V46" s="26">
        <f>IF(S46&lt;='Methodology &amp; Assumptions'!$B$10, "Direct Optical Drop (&lt;3km)", IF(S46&lt;='Methodology &amp; Assumptions'!$B$9, "Near Optical / Microwave (&lt;5km)", "Starlink Business LEO Satellite Backhaul (&gt;5km)"))</f>
        <v/>
      </c>
      <c r="W46" s="28" t="n">
        <v>0.109</v>
      </c>
      <c r="X46" s="14" t="n">
        <v>51.08</v>
      </c>
      <c r="Y46" s="14">
        <f>ROUND(MIN(100, (X46/69.91)*100), 2)</f>
        <v/>
      </c>
    </row>
    <row r="47">
      <c r="A47" s="10" t="n">
        <v>2</v>
      </c>
      <c r="B47" s="10" t="n">
        <v>43</v>
      </c>
      <c r="C47" s="10" t="n">
        <v>1043</v>
      </c>
      <c r="D47" s="10" t="inlineStr">
        <is>
          <t>PH0001043</t>
        </is>
      </c>
      <c r="E47" s="26" t="inlineStr">
        <is>
          <t>I</t>
        </is>
      </c>
      <c r="F47" s="26" t="inlineStr">
        <is>
          <t>Ilocos Norte</t>
        </is>
      </c>
      <c r="G47" s="26" t="inlineStr">
        <is>
          <t>Laoag City</t>
        </is>
      </c>
      <c r="H47" s="26" t="inlineStr">
        <is>
          <t>Bgy. No. 11, Santa Balbina (Pob.)</t>
        </is>
      </c>
      <c r="I47" s="27" t="n">
        <v>18.198081</v>
      </c>
      <c r="J47" s="27" t="n">
        <v>120.580078</v>
      </c>
      <c r="K47" s="10" t="inlineStr">
        <is>
          <t>R</t>
        </is>
      </c>
      <c r="L47" s="12" t="n">
        <v>2233</v>
      </c>
      <c r="M47" s="14" t="n">
        <v>3.7</v>
      </c>
      <c r="N47" s="12">
        <f>ROUND(L47/M47, 0)</f>
        <v/>
      </c>
      <c r="O47" s="12">
        <f>ROUND(N47*'Methodology &amp; Assumptions'!$B$5, 0)</f>
        <v/>
      </c>
      <c r="P47" s="10" t="inlineStr">
        <is>
          <t>Single Carrier (Band n50, 100MHz TDD)</t>
        </is>
      </c>
      <c r="Q47" s="13">
        <f>ROUNDUP(O47/'Methodology &amp; Assumptions'!$B$6, 0)</f>
        <v/>
      </c>
      <c r="R47" s="13" t="n">
        <v>1</v>
      </c>
      <c r="S47" s="14" t="n">
        <v>1.08</v>
      </c>
      <c r="T47" s="14" t="n">
        <v>0.92</v>
      </c>
      <c r="U47" s="26">
        <f>IF(X47&gt;='Methodology &amp; Assumptions'!$B$7, "Tier 1 Critical GIDA (Score ≥ 50.0)", IF(X47&gt;='Methodology &amp; Assumptions'!$B$8, "Tier 2 High GIDA (Score 40.0–49.9)", "Tier 3 Moderate GIDA (Score &lt; 40.0)"))</f>
        <v/>
      </c>
      <c r="V47" s="26">
        <f>IF(S47&lt;='Methodology &amp; Assumptions'!$B$10, "Direct Optical Drop (&lt;3km)", IF(S47&lt;='Methodology &amp; Assumptions'!$B$9, "Near Optical / Microwave (&lt;5km)", "Starlink Business LEO Satellite Backhaul (&gt;5km)"))</f>
        <v/>
      </c>
      <c r="W47" s="28" t="n">
        <v>0.083</v>
      </c>
      <c r="X47" s="14" t="n">
        <v>51.08</v>
      </c>
      <c r="Y47" s="14">
        <f>ROUND(MIN(100, (X47/69.91)*100), 2)</f>
        <v/>
      </c>
    </row>
    <row r="48">
      <c r="A48" s="10" t="n">
        <v>2</v>
      </c>
      <c r="B48" s="10" t="n">
        <v>44</v>
      </c>
      <c r="C48" s="10" t="n">
        <v>1044</v>
      </c>
      <c r="D48" s="10" t="inlineStr">
        <is>
          <t>PH0001044</t>
        </is>
      </c>
      <c r="E48" s="26" t="inlineStr">
        <is>
          <t>VIII</t>
        </is>
      </c>
      <c r="F48" s="26" t="inlineStr">
        <is>
          <t>Leyte</t>
        </is>
      </c>
      <c r="G48" s="26" t="inlineStr">
        <is>
          <t>Tacloban City</t>
        </is>
      </c>
      <c r="H48" s="26" t="inlineStr">
        <is>
          <t>Barangay 47</t>
        </is>
      </c>
      <c r="I48" s="27" t="n">
        <v>11.280911</v>
      </c>
      <c r="J48" s="27" t="n">
        <v>124.955642</v>
      </c>
      <c r="K48" s="10" t="inlineStr">
        <is>
          <t>R</t>
        </is>
      </c>
      <c r="L48" s="12" t="n">
        <v>2258</v>
      </c>
      <c r="M48" s="14" t="n">
        <v>3.8</v>
      </c>
      <c r="N48" s="12">
        <f>ROUND(L48/M48, 0)</f>
        <v/>
      </c>
      <c r="O48" s="12">
        <f>ROUND(N48*'Methodology &amp; Assumptions'!$B$5, 0)</f>
        <v/>
      </c>
      <c r="P48" s="10" t="inlineStr">
        <is>
          <t>Single Carrier (Band n50, 100MHz TDD)</t>
        </is>
      </c>
      <c r="Q48" s="13">
        <f>ROUNDUP(O48/'Methodology &amp; Assumptions'!$B$6, 0)</f>
        <v/>
      </c>
      <c r="R48" s="13" t="n">
        <v>1</v>
      </c>
      <c r="S48" s="14" t="n">
        <v>6.86</v>
      </c>
      <c r="T48" s="14" t="n">
        <v>9.6</v>
      </c>
      <c r="U48" s="26">
        <f>IF(X48&gt;='Methodology &amp; Assumptions'!$B$7, "Tier 1 Critical GIDA (Score ≥ 50.0)", IF(X48&gt;='Methodology &amp; Assumptions'!$B$8, "Tier 2 High GIDA (Score 40.0–49.9)", "Tier 3 Moderate GIDA (Score &lt; 40.0)"))</f>
        <v/>
      </c>
      <c r="V48" s="26">
        <f>IF(S48&lt;='Methodology &amp; Assumptions'!$B$10, "Direct Optical Drop (&lt;3km)", IF(S48&lt;='Methodology &amp; Assumptions'!$B$9, "Near Optical / Microwave (&lt;5km)", "Starlink Business LEO Satellite Backhaul (&gt;5km)"))</f>
        <v/>
      </c>
      <c r="W48" s="28" t="n">
        <v>0.222</v>
      </c>
      <c r="X48" s="14" t="n">
        <v>51.07</v>
      </c>
      <c r="Y48" s="14">
        <f>ROUND(MIN(100, (X48/69.91)*100), 2)</f>
        <v/>
      </c>
    </row>
    <row r="49">
      <c r="A49" s="10" t="n">
        <v>2</v>
      </c>
      <c r="B49" s="10" t="n">
        <v>45</v>
      </c>
      <c r="C49" s="10" t="n">
        <v>1045</v>
      </c>
      <c r="D49" s="10" t="inlineStr">
        <is>
          <t>PH0001045</t>
        </is>
      </c>
      <c r="E49" s="26" t="inlineStr">
        <is>
          <t>IV-B</t>
        </is>
      </c>
      <c r="F49" s="26" t="inlineStr">
        <is>
          <t>Palawan</t>
        </is>
      </c>
      <c r="G49" s="26" t="inlineStr">
        <is>
          <t>Puerto Princesa City</t>
        </is>
      </c>
      <c r="H49" s="26" t="inlineStr">
        <is>
          <t>Tanabag</t>
        </is>
      </c>
      <c r="I49" s="27" t="n">
        <v>9.996124999999999</v>
      </c>
      <c r="J49" s="27" t="n">
        <v>118.988968</v>
      </c>
      <c r="K49" s="10" t="inlineStr">
        <is>
          <t>R</t>
        </is>
      </c>
      <c r="L49" s="12" t="n">
        <v>2597</v>
      </c>
      <c r="M49" s="14" t="n">
        <v>3.9</v>
      </c>
      <c r="N49" s="12">
        <f>ROUND(L49/M49, 0)</f>
        <v/>
      </c>
      <c r="O49" s="12">
        <f>ROUND(N49*'Methodology &amp; Assumptions'!$B$5, 0)</f>
        <v/>
      </c>
      <c r="P49" s="10" t="inlineStr">
        <is>
          <t>Single Carrier (Band n50, 100MHz TDD)</t>
        </is>
      </c>
      <c r="Q49" s="13">
        <f>ROUNDUP(O49/'Methodology &amp; Assumptions'!$B$6, 0)</f>
        <v/>
      </c>
      <c r="R49" s="13" t="n">
        <v>1</v>
      </c>
      <c r="S49" s="14" t="n">
        <v>6.39</v>
      </c>
      <c r="T49" s="14" t="n">
        <v>0.1</v>
      </c>
      <c r="U49" s="26">
        <f>IF(X49&gt;='Methodology &amp; Assumptions'!$B$7, "Tier 1 Critical GIDA (Score ≥ 50.0)", IF(X49&gt;='Methodology &amp; Assumptions'!$B$8, "Tier 2 High GIDA (Score 40.0–49.9)", "Tier 3 Moderate GIDA (Score &lt; 40.0)"))</f>
        <v/>
      </c>
      <c r="V49" s="26">
        <f>IF(S49&lt;='Methodology &amp; Assumptions'!$B$10, "Direct Optical Drop (&lt;3km)", IF(S49&lt;='Methodology &amp; Assumptions'!$B$9, "Near Optical / Microwave (&lt;5km)", "Starlink Business LEO Satellite Backhaul (&gt;5km)"))</f>
        <v/>
      </c>
      <c r="W49" s="28" t="n">
        <v>0.109</v>
      </c>
      <c r="X49" s="14" t="n">
        <v>51.06</v>
      </c>
      <c r="Y49" s="14">
        <f>ROUND(MIN(100, (X49/69.91)*100), 2)</f>
        <v/>
      </c>
    </row>
    <row r="50">
      <c r="A50" s="10" t="n">
        <v>2</v>
      </c>
      <c r="B50" s="10" t="n">
        <v>46</v>
      </c>
      <c r="C50" s="10" t="n">
        <v>1046</v>
      </c>
      <c r="D50" s="10" t="inlineStr">
        <is>
          <t>1401112005</t>
        </is>
      </c>
      <c r="E50" s="26" t="inlineStr">
        <is>
          <t>Cordillera Administrative Region (CAR)</t>
        </is>
      </c>
      <c r="F50" s="26" t="inlineStr">
        <is>
          <t>Benguet</t>
        </is>
      </c>
      <c r="G50" s="26" t="inlineStr">
        <is>
          <t>Sablan</t>
        </is>
      </c>
      <c r="H50" s="26" t="inlineStr">
        <is>
          <t>Banengbeng</t>
        </is>
      </c>
      <c r="I50" s="27" t="n">
        <v>16.510225</v>
      </c>
      <c r="J50" s="27" t="n">
        <v>120.547413</v>
      </c>
      <c r="K50" s="10" t="inlineStr">
        <is>
          <t>R</t>
        </is>
      </c>
      <c r="L50" s="12" t="n">
        <v>913</v>
      </c>
      <c r="M50" s="14" t="n">
        <v>3.5</v>
      </c>
      <c r="N50" s="12">
        <f>ROUND(L50/M50, 0)</f>
        <v/>
      </c>
      <c r="O50" s="12">
        <f>ROUND(N50*'Methodology &amp; Assumptions'!$B$5, 0)</f>
        <v/>
      </c>
      <c r="P50" s="10" t="inlineStr">
        <is>
          <t>Single Carrier (Band n50, 100MHz TDD)</t>
        </is>
      </c>
      <c r="Q50" s="13">
        <f>ROUNDUP(O50/'Methodology &amp; Assumptions'!$B$6, 0)</f>
        <v/>
      </c>
      <c r="R50" s="13" t="n">
        <v>1</v>
      </c>
      <c r="S50" s="14" t="n">
        <v>6.66</v>
      </c>
      <c r="T50" s="14" t="n">
        <v>4.93</v>
      </c>
      <c r="U50" s="26">
        <f>IF(X50&gt;='Methodology &amp; Assumptions'!$B$7, "Tier 1 Critical GIDA (Score ≥ 50.0)", IF(X50&gt;='Methodology &amp; Assumptions'!$B$8, "Tier 2 High GIDA (Score 40.0–49.9)", "Tier 3 Moderate GIDA (Score &lt; 40.0)"))</f>
        <v/>
      </c>
      <c r="V50" s="26">
        <f>IF(S50&lt;='Methodology &amp; Assumptions'!$B$10, "Direct Optical Drop (&lt;3km)", IF(S50&lt;='Methodology &amp; Assumptions'!$B$9, "Near Optical / Microwave (&lt;5km)", "Starlink Business LEO Satellite Backhaul (&gt;5km)"))</f>
        <v/>
      </c>
      <c r="W50" s="28" t="n">
        <v>0.109</v>
      </c>
      <c r="X50" s="14" t="n">
        <v>51.04</v>
      </c>
      <c r="Y50" s="14">
        <f>ROUND(MIN(100, (X50/69.91)*100), 2)</f>
        <v/>
      </c>
    </row>
    <row r="51">
      <c r="A51" s="10" t="n">
        <v>2</v>
      </c>
      <c r="B51" s="10" t="n">
        <v>47</v>
      </c>
      <c r="C51" s="10" t="n">
        <v>1047</v>
      </c>
      <c r="D51" s="10" t="inlineStr">
        <is>
          <t>1400115012</t>
        </is>
      </c>
      <c r="E51" s="26" t="inlineStr">
        <is>
          <t>Cordillera Administrative Region (CAR)</t>
        </is>
      </c>
      <c r="F51" s="26" t="inlineStr">
        <is>
          <t>Abra</t>
        </is>
      </c>
      <c r="G51" s="26" t="inlineStr">
        <is>
          <t>Malibcong</t>
        </is>
      </c>
      <c r="H51" s="26" t="inlineStr">
        <is>
          <t>Umnap</t>
        </is>
      </c>
      <c r="I51" s="27" t="n">
        <v>17.582436</v>
      </c>
      <c r="J51" s="27" t="n">
        <v>121.055189</v>
      </c>
      <c r="K51" s="10" t="inlineStr">
        <is>
          <t>R</t>
        </is>
      </c>
      <c r="L51" s="12" t="n">
        <v>278</v>
      </c>
      <c r="M51" s="14" t="n">
        <v>3.8</v>
      </c>
      <c r="N51" s="12">
        <f>ROUND(L51/M51, 0)</f>
        <v/>
      </c>
      <c r="O51" s="12">
        <f>ROUND(N51*'Methodology &amp; Assumptions'!$B$5, 0)</f>
        <v/>
      </c>
      <c r="P51" s="10" t="inlineStr">
        <is>
          <t>Single Carrier (Band n50, 100MHz TDD)</t>
        </is>
      </c>
      <c r="Q51" s="13">
        <f>ROUNDUP(O51/'Methodology &amp; Assumptions'!$B$6, 0)</f>
        <v/>
      </c>
      <c r="R51" s="13" t="n">
        <v>1</v>
      </c>
      <c r="S51" s="14" t="n">
        <v>30.4</v>
      </c>
      <c r="T51" s="14" t="n">
        <v>26.42</v>
      </c>
      <c r="U51" s="26">
        <f>IF(X51&gt;='Methodology &amp; Assumptions'!$B$7, "Tier 1 Critical GIDA (Score ≥ 50.0)", IF(X51&gt;='Methodology &amp; Assumptions'!$B$8, "Tier 2 High GIDA (Score 40.0–49.9)", "Tier 3 Moderate GIDA (Score &lt; 40.0)"))</f>
        <v/>
      </c>
      <c r="V51" s="26">
        <f>IF(S51&lt;='Methodology &amp; Assumptions'!$B$10, "Direct Optical Drop (&lt;3km)", IF(S51&lt;='Methodology &amp; Assumptions'!$B$9, "Near Optical / Microwave (&lt;5km)", "Starlink Business LEO Satellite Backhaul (&gt;5km)"))</f>
        <v/>
      </c>
      <c r="W51" s="28" t="n">
        <v>0.109</v>
      </c>
      <c r="X51" s="14" t="n">
        <v>51.03</v>
      </c>
      <c r="Y51" s="14">
        <f>ROUND(MIN(100, (X51/69.91)*100), 2)</f>
        <v/>
      </c>
    </row>
    <row r="52">
      <c r="A52" s="10" t="n">
        <v>2</v>
      </c>
      <c r="B52" s="10" t="n">
        <v>48</v>
      </c>
      <c r="C52" s="10" t="n">
        <v>1048</v>
      </c>
      <c r="D52" s="10" t="inlineStr">
        <is>
          <t>PH0001048</t>
        </is>
      </c>
      <c r="E52" s="26" t="inlineStr">
        <is>
          <t>VI</t>
        </is>
      </c>
      <c r="F52" s="26" t="inlineStr">
        <is>
          <t>Iloilo</t>
        </is>
      </c>
      <c r="G52" s="26" t="inlineStr">
        <is>
          <t>Iloilo City</t>
        </is>
      </c>
      <c r="H52" s="26" t="inlineStr">
        <is>
          <t>Simon Ledesma</t>
        </is>
      </c>
      <c r="I52" s="27" t="n">
        <v>10.763309</v>
      </c>
      <c r="J52" s="27" t="n">
        <v>122.6488</v>
      </c>
      <c r="K52" s="10" t="inlineStr">
        <is>
          <t>R</t>
        </is>
      </c>
      <c r="L52" s="12" t="n">
        <v>2230</v>
      </c>
      <c r="M52" s="14" t="n">
        <v>3.8</v>
      </c>
      <c r="N52" s="12">
        <f>ROUND(L52/M52, 0)</f>
        <v/>
      </c>
      <c r="O52" s="12">
        <f>ROUND(N52*'Methodology &amp; Assumptions'!$B$5, 0)</f>
        <v/>
      </c>
      <c r="P52" s="10" t="inlineStr">
        <is>
          <t>Single Carrier (Band n50, 100MHz TDD)</t>
        </is>
      </c>
      <c r="Q52" s="13">
        <f>ROUNDUP(O52/'Methodology &amp; Assumptions'!$B$6, 0)</f>
        <v/>
      </c>
      <c r="R52" s="13" t="n">
        <v>1</v>
      </c>
      <c r="S52" s="14" t="n">
        <v>4.65</v>
      </c>
      <c r="T52" s="14" t="n">
        <v>0.73</v>
      </c>
      <c r="U52" s="26">
        <f>IF(X52&gt;='Methodology &amp; Assumptions'!$B$7, "Tier 1 Critical GIDA (Score ≥ 50.0)", IF(X52&gt;='Methodology &amp; Assumptions'!$B$8, "Tier 2 High GIDA (Score 40.0–49.9)", "Tier 3 Moderate GIDA (Score &lt; 40.0)"))</f>
        <v/>
      </c>
      <c r="V52" s="26">
        <f>IF(S52&lt;='Methodology &amp; Assumptions'!$B$10, "Direct Optical Drop (&lt;3km)", IF(S52&lt;='Methodology &amp; Assumptions'!$B$9, "Near Optical / Microwave (&lt;5km)", "Starlink Business LEO Satellite Backhaul (&gt;5km)"))</f>
        <v/>
      </c>
      <c r="W52" s="28" t="n">
        <v>0.156</v>
      </c>
      <c r="X52" s="14" t="n">
        <v>51.03</v>
      </c>
      <c r="Y52" s="14">
        <f>ROUND(MIN(100, (X52/69.91)*100), 2)</f>
        <v/>
      </c>
    </row>
    <row r="53">
      <c r="A53" s="10" t="n">
        <v>2</v>
      </c>
      <c r="B53" s="10" t="n">
        <v>49</v>
      </c>
      <c r="C53" s="10" t="n">
        <v>1049</v>
      </c>
      <c r="D53" s="10" t="inlineStr">
        <is>
          <t>1400125003</t>
        </is>
      </c>
      <c r="E53" s="26" t="inlineStr">
        <is>
          <t>Cordillera Administrative Region (CAR)</t>
        </is>
      </c>
      <c r="F53" s="26" t="inlineStr">
        <is>
          <t>Abra</t>
        </is>
      </c>
      <c r="G53" s="26" t="inlineStr">
        <is>
          <t>Tineg</t>
        </is>
      </c>
      <c r="H53" s="26" t="inlineStr">
        <is>
          <t>Anayan</t>
        </is>
      </c>
      <c r="I53" s="27" t="n">
        <v>17.894077</v>
      </c>
      <c r="J53" s="27" t="n">
        <v>120.961263</v>
      </c>
      <c r="K53" s="10" t="inlineStr">
        <is>
          <t>R</t>
        </is>
      </c>
      <c r="L53" s="12" t="n">
        <v>231</v>
      </c>
      <c r="M53" s="14" t="n">
        <v>3.8</v>
      </c>
      <c r="N53" s="12">
        <f>ROUND(L53/M53, 0)</f>
        <v/>
      </c>
      <c r="O53" s="12">
        <f>ROUND(N53*'Methodology &amp; Assumptions'!$B$5, 0)</f>
        <v/>
      </c>
      <c r="P53" s="10" t="inlineStr">
        <is>
          <t>Single Carrier (Band n50, 100MHz TDD)</t>
        </is>
      </c>
      <c r="Q53" s="13">
        <f>ROUNDUP(O53/'Methodology &amp; Assumptions'!$B$6, 0)</f>
        <v/>
      </c>
      <c r="R53" s="13" t="n">
        <v>1</v>
      </c>
      <c r="S53" s="14" t="n">
        <v>27.12</v>
      </c>
      <c r="T53" s="14" t="n">
        <v>27.17</v>
      </c>
      <c r="U53" s="26">
        <f>IF(X53&gt;='Methodology &amp; Assumptions'!$B$7, "Tier 1 Critical GIDA (Score ≥ 50.0)", IF(X53&gt;='Methodology &amp; Assumptions'!$B$8, "Tier 2 High GIDA (Score 40.0–49.9)", "Tier 3 Moderate GIDA (Score &lt; 40.0)"))</f>
        <v/>
      </c>
      <c r="V53" s="26">
        <f>IF(S53&lt;='Methodology &amp; Assumptions'!$B$10, "Direct Optical Drop (&lt;3km)", IF(S53&lt;='Methodology &amp; Assumptions'!$B$9, "Near Optical / Microwave (&lt;5km)", "Starlink Business LEO Satellite Backhaul (&gt;5km)"))</f>
        <v/>
      </c>
      <c r="W53" s="28" t="n">
        <v>0.109</v>
      </c>
      <c r="X53" s="14" t="n">
        <v>51.02</v>
      </c>
      <c r="Y53" s="14">
        <f>ROUND(MIN(100, (X53/69.91)*100), 2)</f>
        <v/>
      </c>
    </row>
    <row r="54">
      <c r="A54" s="10" t="n">
        <v>2</v>
      </c>
      <c r="B54" s="10" t="n">
        <v>50</v>
      </c>
      <c r="C54" s="10" t="n">
        <v>1050</v>
      </c>
      <c r="D54" s="10" t="inlineStr">
        <is>
          <t>PH0001050</t>
        </is>
      </c>
      <c r="E54" s="26" t="inlineStr">
        <is>
          <t>VIII</t>
        </is>
      </c>
      <c r="F54" s="26" t="inlineStr">
        <is>
          <t>Leyte</t>
        </is>
      </c>
      <c r="G54" s="26" t="inlineStr">
        <is>
          <t>Tacloban City</t>
        </is>
      </c>
      <c r="H54" s="26" t="inlineStr">
        <is>
          <t>Barangay 26</t>
        </is>
      </c>
      <c r="I54" s="27" t="n">
        <v>11.259912</v>
      </c>
      <c r="J54" s="27" t="n">
        <v>125.005541</v>
      </c>
      <c r="K54" s="10" t="inlineStr">
        <is>
          <t>R</t>
        </is>
      </c>
      <c r="L54" s="12" t="n">
        <v>2258</v>
      </c>
      <c r="M54" s="14" t="n">
        <v>3.8</v>
      </c>
      <c r="N54" s="12">
        <f>ROUND(L54/M54, 0)</f>
        <v/>
      </c>
      <c r="O54" s="12">
        <f>ROUND(N54*'Methodology &amp; Assumptions'!$B$5, 0)</f>
        <v/>
      </c>
      <c r="P54" s="10" t="inlineStr">
        <is>
          <t>Single Carrier (Band n50, 100MHz TDD)</t>
        </is>
      </c>
      <c r="Q54" s="13">
        <f>ROUNDUP(O54/'Methodology &amp; Assumptions'!$B$6, 0)</f>
        <v/>
      </c>
      <c r="R54" s="13" t="n">
        <v>1</v>
      </c>
      <c r="S54" s="14" t="n">
        <v>2.28</v>
      </c>
      <c r="T54" s="14" t="n">
        <v>5.29</v>
      </c>
      <c r="U54" s="26">
        <f>IF(X54&gt;='Methodology &amp; Assumptions'!$B$7, "Tier 1 Critical GIDA (Score ≥ 50.0)", IF(X54&gt;='Methodology &amp; Assumptions'!$B$8, "Tier 2 High GIDA (Score 40.0–49.9)", "Tier 3 Moderate GIDA (Score &lt; 40.0)"))</f>
        <v/>
      </c>
      <c r="V54" s="26">
        <f>IF(S54&lt;='Methodology &amp; Assumptions'!$B$10, "Direct Optical Drop (&lt;3km)", IF(S54&lt;='Methodology &amp; Assumptions'!$B$9, "Near Optical / Microwave (&lt;5km)", "Starlink Business LEO Satellite Backhaul (&gt;5km)"))</f>
        <v/>
      </c>
      <c r="W54" s="28" t="n">
        <v>0.222</v>
      </c>
      <c r="X54" s="14" t="n">
        <v>51.01</v>
      </c>
      <c r="Y54" s="14">
        <f>ROUND(MIN(100, (X54/69.91)*100), 2)</f>
        <v/>
      </c>
    </row>
    <row r="55">
      <c r="A55" s="10" t="n">
        <v>2</v>
      </c>
      <c r="B55" s="10" t="n">
        <v>51</v>
      </c>
      <c r="C55" s="10" t="n">
        <v>1051</v>
      </c>
      <c r="D55" s="10" t="inlineStr">
        <is>
          <t>1380612034</t>
        </is>
      </c>
      <c r="E55" s="26" t="inlineStr">
        <is>
          <t>National Capital Region (NCR)</t>
        </is>
      </c>
      <c r="F55" s="26" t="inlineStr">
        <is>
          <t>First District (Not a Province)</t>
        </is>
      </c>
      <c r="G55" s="26" t="inlineStr">
        <is>
          <t>City of Manila</t>
        </is>
      </c>
      <c r="H55" s="26" t="inlineStr">
        <is>
          <t>Barangay 867</t>
        </is>
      </c>
      <c r="I55" s="27" t="n">
        <v>12.826371</v>
      </c>
      <c r="J55" s="27" t="n">
        <v>121.978164</v>
      </c>
      <c r="K55" s="10" t="inlineStr">
        <is>
          <t>U</t>
        </is>
      </c>
      <c r="L55" s="12" t="n">
        <v>2180</v>
      </c>
      <c r="M55" s="14" t="n">
        <v>3.9</v>
      </c>
      <c r="N55" s="12">
        <f>ROUND(L55/M55, 0)</f>
        <v/>
      </c>
      <c r="O55" s="12">
        <f>ROUND(N55*'Methodology &amp; Assumptions'!$B$5, 0)</f>
        <v/>
      </c>
      <c r="P55" s="10" t="inlineStr">
        <is>
          <t>Single Carrier (Band n50, 100MHz TDD)</t>
        </is>
      </c>
      <c r="Q55" s="13">
        <f>ROUNDUP(O55/'Methodology &amp; Assumptions'!$B$6, 0)</f>
        <v/>
      </c>
      <c r="R55" s="13" t="n">
        <v>1</v>
      </c>
      <c r="S55" s="14" t="n">
        <v>52.45</v>
      </c>
      <c r="T55" s="14" t="n">
        <v>51.46</v>
      </c>
      <c r="U55" s="26">
        <f>IF(X55&gt;='Methodology &amp; Assumptions'!$B$7, "Tier 1 Critical GIDA (Score ≥ 50.0)", IF(X55&gt;='Methodology &amp; Assumptions'!$B$8, "Tier 2 High GIDA (Score 40.0–49.9)", "Tier 3 Moderate GIDA (Score &lt; 40.0)"))</f>
        <v/>
      </c>
      <c r="V55" s="26">
        <f>IF(S55&lt;='Methodology &amp; Assumptions'!$B$10, "Direct Optical Drop (&lt;3km)", IF(S55&lt;='Methodology &amp; Assumptions'!$B$9, "Near Optical / Microwave (&lt;5km)", "Starlink Business LEO Satellite Backhaul (&gt;5km)"))</f>
        <v/>
      </c>
      <c r="W55" s="28" t="n">
        <v>0.109</v>
      </c>
      <c r="X55" s="14" t="n">
        <v>51.01</v>
      </c>
      <c r="Y55" s="14">
        <f>ROUND(MIN(100, (X55/69.91)*100), 2)</f>
        <v/>
      </c>
    </row>
    <row r="56">
      <c r="A56" s="10" t="n">
        <v>2</v>
      </c>
      <c r="B56" s="10" t="n">
        <v>52</v>
      </c>
      <c r="C56" s="10" t="n">
        <v>1052</v>
      </c>
      <c r="D56" s="10" t="inlineStr">
        <is>
          <t>PH0001052</t>
        </is>
      </c>
      <c r="E56" s="26" t="inlineStr">
        <is>
          <t>III</t>
        </is>
      </c>
      <c r="F56" s="26" t="inlineStr">
        <is>
          <t>Nueva Ecija</t>
        </is>
      </c>
      <c r="G56" s="26" t="inlineStr">
        <is>
          <t>Cabanatuan City</t>
        </is>
      </c>
      <c r="H56" s="26" t="inlineStr">
        <is>
          <t>Padre Crisostomo</t>
        </is>
      </c>
      <c r="I56" s="27" t="n">
        <v>15.49062</v>
      </c>
      <c r="J56" s="27" t="n">
        <v>120.966558</v>
      </c>
      <c r="K56" s="10" t="inlineStr">
        <is>
          <t>R</t>
        </is>
      </c>
      <c r="L56" s="12" t="n">
        <v>2398</v>
      </c>
      <c r="M56" s="14" t="n">
        <v>3.5</v>
      </c>
      <c r="N56" s="12">
        <f>ROUND(L56/M56, 0)</f>
        <v/>
      </c>
      <c r="O56" s="12">
        <f>ROUND(N56*'Methodology &amp; Assumptions'!$B$5, 0)</f>
        <v/>
      </c>
      <c r="P56" s="10" t="inlineStr">
        <is>
          <t>Single Carrier (Band n50, 100MHz TDD)</t>
        </is>
      </c>
      <c r="Q56" s="13">
        <f>ROUNDUP(O56/'Methodology &amp; Assumptions'!$B$6, 0)</f>
        <v/>
      </c>
      <c r="R56" s="13" t="n">
        <v>1</v>
      </c>
      <c r="S56" s="14" t="n">
        <v>1.15</v>
      </c>
      <c r="T56" s="14" t="n">
        <v>0.74</v>
      </c>
      <c r="U56" s="26">
        <f>IF(X56&gt;='Methodology &amp; Assumptions'!$B$7, "Tier 1 Critical GIDA (Score ≥ 50.0)", IF(X56&gt;='Methodology &amp; Assumptions'!$B$8, "Tier 2 High GIDA (Score 40.0–49.9)", "Tier 3 Moderate GIDA (Score &lt; 40.0)"))</f>
        <v/>
      </c>
      <c r="V56" s="26">
        <f>IF(S56&lt;='Methodology &amp; Assumptions'!$B$10, "Direct Optical Drop (&lt;3km)", IF(S56&lt;='Methodology &amp; Assumptions'!$B$9, "Near Optical / Microwave (&lt;5km)", "Starlink Business LEO Satellite Backhaul (&gt;5km)"))</f>
        <v/>
      </c>
      <c r="W56" s="28" t="n">
        <v>0.083</v>
      </c>
      <c r="X56" s="14" t="n">
        <v>51</v>
      </c>
      <c r="Y56" s="14">
        <f>ROUND(MIN(100, (X56/69.91)*100), 2)</f>
        <v/>
      </c>
    </row>
    <row r="57">
      <c r="A57" s="10" t="n">
        <v>2</v>
      </c>
      <c r="B57" s="10" t="n">
        <v>53</v>
      </c>
      <c r="C57" s="10" t="n">
        <v>1053</v>
      </c>
      <c r="D57" s="10" t="inlineStr">
        <is>
          <t>0506216049</t>
        </is>
      </c>
      <c r="E57" s="26" t="inlineStr">
        <is>
          <t>Region V (Bicol Region)</t>
        </is>
      </c>
      <c r="F57" s="26" t="inlineStr">
        <is>
          <t>Sorsogon</t>
        </is>
      </c>
      <c r="G57" s="26" t="inlineStr">
        <is>
          <t>City of Sorsogon</t>
        </is>
      </c>
      <c r="H57" s="26" t="inlineStr">
        <is>
          <t>Maricrum</t>
        </is>
      </c>
      <c r="I57" s="27" t="n">
        <v>13.012531</v>
      </c>
      <c r="J57" s="27" t="n">
        <v>124.01657</v>
      </c>
      <c r="K57" s="10" t="inlineStr">
        <is>
          <t>R</t>
        </is>
      </c>
      <c r="L57" s="12" t="n">
        <v>1659</v>
      </c>
      <c r="M57" s="14" t="n">
        <v>4</v>
      </c>
      <c r="N57" s="12">
        <f>ROUND(L57/M57, 0)</f>
        <v/>
      </c>
      <c r="O57" s="12">
        <f>ROUND(N57*'Methodology &amp; Assumptions'!$B$5, 0)</f>
        <v/>
      </c>
      <c r="P57" s="10" t="inlineStr">
        <is>
          <t>Single Carrier (Band n50, 100MHz TDD)</t>
        </is>
      </c>
      <c r="Q57" s="13">
        <f>ROUNDUP(O57/'Methodology &amp; Assumptions'!$B$6, 0)</f>
        <v/>
      </c>
      <c r="R57" s="13" t="n">
        <v>1</v>
      </c>
      <c r="S57" s="14" t="n">
        <v>3.06</v>
      </c>
      <c r="T57" s="14" t="n">
        <v>3.62</v>
      </c>
      <c r="U57" s="26">
        <f>IF(X57&gt;='Methodology &amp; Assumptions'!$B$7, "Tier 1 Critical GIDA (Score ≥ 50.0)", IF(X57&gt;='Methodology &amp; Assumptions'!$B$8, "Tier 2 High GIDA (Score 40.0–49.9)", "Tier 3 Moderate GIDA (Score &lt; 40.0)"))</f>
        <v/>
      </c>
      <c r="V57" s="26">
        <f>IF(S57&lt;='Methodology &amp; Assumptions'!$B$10, "Direct Optical Drop (&lt;3km)", IF(S57&lt;='Methodology &amp; Assumptions'!$B$9, "Near Optical / Microwave (&lt;5km)", "Starlink Business LEO Satellite Backhaul (&gt;5km)"))</f>
        <v/>
      </c>
      <c r="W57" s="28" t="n">
        <v>0.237</v>
      </c>
      <c r="X57" s="14" t="n">
        <v>51</v>
      </c>
      <c r="Y57" s="14">
        <f>ROUND(MIN(100, (X57/69.91)*100), 2)</f>
        <v/>
      </c>
    </row>
    <row r="58">
      <c r="A58" s="10" t="n">
        <v>2</v>
      </c>
      <c r="B58" s="10" t="n">
        <v>54</v>
      </c>
      <c r="C58" s="10" t="n">
        <v>1054</v>
      </c>
      <c r="D58" s="10" t="inlineStr">
        <is>
          <t>PH0001054</t>
        </is>
      </c>
      <c r="E58" s="26" t="inlineStr">
        <is>
          <t>VIII</t>
        </is>
      </c>
      <c r="F58" s="26" t="inlineStr">
        <is>
          <t>Leyte</t>
        </is>
      </c>
      <c r="G58" s="26" t="inlineStr">
        <is>
          <t>Tacloban City</t>
        </is>
      </c>
      <c r="H58" s="26" t="inlineStr">
        <is>
          <t>Barangay 29</t>
        </is>
      </c>
      <c r="I58" s="27" t="n">
        <v>11.241523</v>
      </c>
      <c r="J58" s="27" t="n">
        <v>124.951857</v>
      </c>
      <c r="K58" s="10" t="inlineStr">
        <is>
          <t>R</t>
        </is>
      </c>
      <c r="L58" s="12" t="n">
        <v>2258</v>
      </c>
      <c r="M58" s="14" t="n">
        <v>3.8</v>
      </c>
      <c r="N58" s="12">
        <f>ROUND(L58/M58, 0)</f>
        <v/>
      </c>
      <c r="O58" s="12">
        <f>ROUND(N58*'Methodology &amp; Assumptions'!$B$5, 0)</f>
        <v/>
      </c>
      <c r="P58" s="10" t="inlineStr">
        <is>
          <t>Single Carrier (Band n50, 100MHz TDD)</t>
        </is>
      </c>
      <c r="Q58" s="13">
        <f>ROUNDUP(O58/'Methodology &amp; Assumptions'!$B$6, 0)</f>
        <v/>
      </c>
      <c r="R58" s="13" t="n">
        <v>1</v>
      </c>
      <c r="S58" s="14" t="n">
        <v>5.52</v>
      </c>
      <c r="T58" s="14" t="n">
        <v>6.96</v>
      </c>
      <c r="U58" s="26">
        <f>IF(X58&gt;='Methodology &amp; Assumptions'!$B$7, "Tier 1 Critical GIDA (Score ≥ 50.0)", IF(X58&gt;='Methodology &amp; Assumptions'!$B$8, "Tier 2 High GIDA (Score 40.0–49.9)", "Tier 3 Moderate GIDA (Score &lt; 40.0)"))</f>
        <v/>
      </c>
      <c r="V58" s="26">
        <f>IF(S58&lt;='Methodology &amp; Assumptions'!$B$10, "Direct Optical Drop (&lt;3km)", IF(S58&lt;='Methodology &amp; Assumptions'!$B$9, "Near Optical / Microwave (&lt;5km)", "Starlink Business LEO Satellite Backhaul (&gt;5km)"))</f>
        <v/>
      </c>
      <c r="W58" s="28" t="n">
        <v>0.222</v>
      </c>
      <c r="X58" s="14" t="n">
        <v>51</v>
      </c>
      <c r="Y58" s="14">
        <f>ROUND(MIN(100, (X58/69.91)*100), 2)</f>
        <v/>
      </c>
    </row>
    <row r="59">
      <c r="A59" s="10" t="n">
        <v>2</v>
      </c>
      <c r="B59" s="10" t="n">
        <v>55</v>
      </c>
      <c r="C59" s="10" t="n">
        <v>1055</v>
      </c>
      <c r="D59" s="10" t="inlineStr">
        <is>
          <t>1381100118</t>
        </is>
      </c>
      <c r="E59" s="26" t="inlineStr">
        <is>
          <t>National Capital Region (NCR)</t>
        </is>
      </c>
      <c r="F59" s="26" t="inlineStr">
        <is>
          <t>Fourth District (Not a Province)</t>
        </is>
      </c>
      <c r="G59" s="26" t="inlineStr">
        <is>
          <t>Pasay City</t>
        </is>
      </c>
      <c r="H59" s="26" t="inlineStr">
        <is>
          <t>Barangay 118</t>
        </is>
      </c>
      <c r="I59" s="27" t="n">
        <v>14.532057</v>
      </c>
      <c r="J59" s="27" t="n">
        <v>121.002099</v>
      </c>
      <c r="K59" s="10" t="inlineStr">
        <is>
          <t>U</t>
        </is>
      </c>
      <c r="L59" s="12" t="n">
        <v>1680</v>
      </c>
      <c r="M59" s="14" t="n">
        <v>3.4</v>
      </c>
      <c r="N59" s="12">
        <f>ROUND(L59/M59, 0)</f>
        <v/>
      </c>
      <c r="O59" s="12">
        <f>ROUND(N59*'Methodology &amp; Assumptions'!$B$5, 0)</f>
        <v/>
      </c>
      <c r="P59" s="10" t="inlineStr">
        <is>
          <t>Single Carrier (Band n50, 100MHz TDD)</t>
        </is>
      </c>
      <c r="Q59" s="13">
        <f>ROUNDUP(O59/'Methodology &amp; Assumptions'!$B$6, 0)</f>
        <v/>
      </c>
      <c r="R59" s="13" t="n">
        <v>1</v>
      </c>
      <c r="S59" s="14" t="n">
        <v>0.71</v>
      </c>
      <c r="T59" s="14" t="n">
        <v>0.23</v>
      </c>
      <c r="U59" s="26">
        <f>IF(X59&gt;='Methodology &amp; Assumptions'!$B$7, "Tier 1 Critical GIDA (Score ≥ 50.0)", IF(X59&gt;='Methodology &amp; Assumptions'!$B$8, "Tier 2 High GIDA (Score 40.0–49.9)", "Tier 3 Moderate GIDA (Score &lt; 40.0)"))</f>
        <v/>
      </c>
      <c r="V59" s="26">
        <f>IF(S59&lt;='Methodology &amp; Assumptions'!$B$10, "Direct Optical Drop (&lt;3km)", IF(S59&lt;='Methodology &amp; Assumptions'!$B$9, "Near Optical / Microwave (&lt;5km)", "Starlink Business LEO Satellite Backhaul (&gt;5km)"))</f>
        <v/>
      </c>
      <c r="W59" s="28" t="n">
        <v>0.109</v>
      </c>
      <c r="X59" s="14" t="n">
        <v>50.99</v>
      </c>
      <c r="Y59" s="14">
        <f>ROUND(MIN(100, (X59/69.91)*100), 2)</f>
        <v/>
      </c>
    </row>
    <row r="60">
      <c r="A60" s="10" t="n">
        <v>2</v>
      </c>
      <c r="B60" s="10" t="n">
        <v>56</v>
      </c>
      <c r="C60" s="10" t="n">
        <v>1056</v>
      </c>
      <c r="D60" s="10" t="inlineStr">
        <is>
          <t>PH0001056</t>
        </is>
      </c>
      <c r="E60" s="26" t="inlineStr">
        <is>
          <t>VIII</t>
        </is>
      </c>
      <c r="F60" s="26" t="inlineStr">
        <is>
          <t>Leyte</t>
        </is>
      </c>
      <c r="G60" s="26" t="inlineStr">
        <is>
          <t>Tacloban City</t>
        </is>
      </c>
      <c r="H60" s="26" t="inlineStr">
        <is>
          <t>Barangay 30</t>
        </is>
      </c>
      <c r="I60" s="27" t="n">
        <v>11.292856</v>
      </c>
      <c r="J60" s="27" t="n">
        <v>124.980004</v>
      </c>
      <c r="K60" s="10" t="inlineStr">
        <is>
          <t>R</t>
        </is>
      </c>
      <c r="L60" s="12" t="n">
        <v>2258</v>
      </c>
      <c r="M60" s="14" t="n">
        <v>3.8</v>
      </c>
      <c r="N60" s="12">
        <f>ROUND(L60/M60, 0)</f>
        <v/>
      </c>
      <c r="O60" s="12">
        <f>ROUND(N60*'Methodology &amp; Assumptions'!$B$5, 0)</f>
        <v/>
      </c>
      <c r="P60" s="10" t="inlineStr">
        <is>
          <t>Single Carrier (Band n50, 100MHz TDD)</t>
        </is>
      </c>
      <c r="Q60" s="13">
        <f>ROUNDUP(O60/'Methodology &amp; Assumptions'!$B$6, 0)</f>
        <v/>
      </c>
      <c r="R60" s="13" t="n">
        <v>1</v>
      </c>
      <c r="S60" s="14" t="n">
        <v>6.41</v>
      </c>
      <c r="T60" s="14" t="n">
        <v>9.5</v>
      </c>
      <c r="U60" s="26">
        <f>IF(X60&gt;='Methodology &amp; Assumptions'!$B$7, "Tier 1 Critical GIDA (Score ≥ 50.0)", IF(X60&gt;='Methodology &amp; Assumptions'!$B$8, "Tier 2 High GIDA (Score 40.0–49.9)", "Tier 3 Moderate GIDA (Score &lt; 40.0)"))</f>
        <v/>
      </c>
      <c r="V60" s="26">
        <f>IF(S60&lt;='Methodology &amp; Assumptions'!$B$10, "Direct Optical Drop (&lt;3km)", IF(S60&lt;='Methodology &amp; Assumptions'!$B$9, "Near Optical / Microwave (&lt;5km)", "Starlink Business LEO Satellite Backhaul (&gt;5km)"))</f>
        <v/>
      </c>
      <c r="W60" s="28" t="n">
        <v>0.222</v>
      </c>
      <c r="X60" s="14" t="n">
        <v>50.99</v>
      </c>
      <c r="Y60" s="14">
        <f>ROUND(MIN(100, (X60/69.91)*100), 2)</f>
        <v/>
      </c>
    </row>
    <row r="61">
      <c r="A61" s="10" t="n">
        <v>2</v>
      </c>
      <c r="B61" s="10" t="n">
        <v>57</v>
      </c>
      <c r="C61" s="10" t="n">
        <v>1057</v>
      </c>
      <c r="D61" s="10" t="inlineStr">
        <is>
          <t>1380611040</t>
        </is>
      </c>
      <c r="E61" s="26" t="inlineStr">
        <is>
          <t>National Capital Region (NCR)</t>
        </is>
      </c>
      <c r="F61" s="26" t="inlineStr">
        <is>
          <t>First District (Not a Province)</t>
        </is>
      </c>
      <c r="G61" s="26" t="inlineStr">
        <is>
          <t>City of Manila</t>
        </is>
      </c>
      <c r="H61" s="26" t="inlineStr">
        <is>
          <t>Barangay 825</t>
        </is>
      </c>
      <c r="I61" s="27" t="n">
        <v>12.783934</v>
      </c>
      <c r="J61" s="27" t="n">
        <v>121.585288</v>
      </c>
      <c r="K61" s="10" t="inlineStr">
        <is>
          <t>U</t>
        </is>
      </c>
      <c r="L61" s="12" t="n">
        <v>400</v>
      </c>
      <c r="M61" s="14" t="n">
        <v>3.9</v>
      </c>
      <c r="N61" s="12">
        <f>ROUND(L61/M61, 0)</f>
        <v/>
      </c>
      <c r="O61" s="12">
        <f>ROUND(N61*'Methodology &amp; Assumptions'!$B$5, 0)</f>
        <v/>
      </c>
      <c r="P61" s="10" t="inlineStr">
        <is>
          <t>Single Carrier (Band n50, 100MHz TDD)</t>
        </is>
      </c>
      <c r="Q61" s="13">
        <f>ROUNDUP(O61/'Methodology &amp; Assumptions'!$B$6, 0)</f>
        <v/>
      </c>
      <c r="R61" s="13" t="n">
        <v>1</v>
      </c>
      <c r="S61" s="14" t="n">
        <v>11.52</v>
      </c>
      <c r="T61" s="14" t="n">
        <v>11.43</v>
      </c>
      <c r="U61" s="26">
        <f>IF(X61&gt;='Methodology &amp; Assumptions'!$B$7, "Tier 1 Critical GIDA (Score ≥ 50.0)", IF(X61&gt;='Methodology &amp; Assumptions'!$B$8, "Tier 2 High GIDA (Score 40.0–49.9)", "Tier 3 Moderate GIDA (Score &lt; 40.0)"))</f>
        <v/>
      </c>
      <c r="V61" s="26">
        <f>IF(S61&lt;='Methodology &amp; Assumptions'!$B$10, "Direct Optical Drop (&lt;3km)", IF(S61&lt;='Methodology &amp; Assumptions'!$B$9, "Near Optical / Microwave (&lt;5km)", "Starlink Business LEO Satellite Backhaul (&gt;5km)"))</f>
        <v/>
      </c>
      <c r="W61" s="28" t="n">
        <v>0.109</v>
      </c>
      <c r="X61" s="14" t="n">
        <v>50.98</v>
      </c>
      <c r="Y61" s="14">
        <f>ROUND(MIN(100, (X61/69.91)*100), 2)</f>
        <v/>
      </c>
    </row>
    <row r="62">
      <c r="A62" s="10" t="n">
        <v>2</v>
      </c>
      <c r="B62" s="10" t="n">
        <v>58</v>
      </c>
      <c r="C62" s="10" t="n">
        <v>1058</v>
      </c>
      <c r="D62" s="10" t="inlineStr">
        <is>
          <t>0603028040</t>
        </is>
      </c>
      <c r="E62" s="26" t="inlineStr">
        <is>
          <t>Region VI (Western Visayas)</t>
        </is>
      </c>
      <c r="F62" s="26" t="inlineStr">
        <is>
          <t>Iloilo</t>
        </is>
      </c>
      <c r="G62" s="26" t="inlineStr">
        <is>
          <t>Leon</t>
        </is>
      </c>
      <c r="H62" s="26" t="inlineStr">
        <is>
          <t>Danao</t>
        </is>
      </c>
      <c r="I62" s="27" t="n">
        <v>10.853078</v>
      </c>
      <c r="J62" s="27" t="n">
        <v>122.284909</v>
      </c>
      <c r="K62" s="10" t="inlineStr">
        <is>
          <t>R</t>
        </is>
      </c>
      <c r="L62" s="12" t="n">
        <v>360</v>
      </c>
      <c r="M62" s="14" t="n">
        <v>3.8</v>
      </c>
      <c r="N62" s="12">
        <f>ROUND(L62/M62, 0)</f>
        <v/>
      </c>
      <c r="O62" s="12">
        <f>ROUND(N62*'Methodology &amp; Assumptions'!$B$5, 0)</f>
        <v/>
      </c>
      <c r="P62" s="10" t="inlineStr">
        <is>
          <t>Single Carrier (Band n50, 100MHz TDD)</t>
        </is>
      </c>
      <c r="Q62" s="13">
        <f>ROUNDUP(O62/'Methodology &amp; Assumptions'!$B$6, 0)</f>
        <v/>
      </c>
      <c r="R62" s="13" t="n">
        <v>1</v>
      </c>
      <c r="S62" s="14" t="n">
        <v>22.01</v>
      </c>
      <c r="T62" s="14" t="n">
        <v>16.48</v>
      </c>
      <c r="U62" s="26">
        <f>IF(X62&gt;='Methodology &amp; Assumptions'!$B$7, "Tier 1 Critical GIDA (Score ≥ 50.0)", IF(X62&gt;='Methodology &amp; Assumptions'!$B$8, "Tier 2 High GIDA (Score 40.0–49.9)", "Tier 3 Moderate GIDA (Score &lt; 40.0)"))</f>
        <v/>
      </c>
      <c r="V62" s="26">
        <f>IF(S62&lt;='Methodology &amp; Assumptions'!$B$10, "Direct Optical Drop (&lt;3km)", IF(S62&lt;='Methodology &amp; Assumptions'!$B$9, "Near Optical / Microwave (&lt;5km)", "Starlink Business LEO Satellite Backhaul (&gt;5km)"))</f>
        <v/>
      </c>
      <c r="W62" s="28" t="n">
        <v>0.237</v>
      </c>
      <c r="X62" s="14" t="n">
        <v>50.98</v>
      </c>
      <c r="Y62" s="14">
        <f>ROUND(MIN(100, (X62/69.91)*100), 2)</f>
        <v/>
      </c>
    </row>
    <row r="63">
      <c r="A63" s="10" t="n">
        <v>2</v>
      </c>
      <c r="B63" s="10" t="n">
        <v>59</v>
      </c>
      <c r="C63" s="10" t="n">
        <v>1059</v>
      </c>
      <c r="D63" s="10" t="inlineStr">
        <is>
          <t>0806417004</t>
        </is>
      </c>
      <c r="E63" s="26" t="inlineStr">
        <is>
          <t>Region VIII (Eastern Visayas)</t>
        </is>
      </c>
      <c r="F63" s="26" t="inlineStr">
        <is>
          <t>Southern Leyte</t>
        </is>
      </c>
      <c r="G63" s="26" t="inlineStr">
        <is>
          <t>Sogod</t>
        </is>
      </c>
      <c r="H63" s="26" t="inlineStr">
        <is>
          <t>Cabadbaran</t>
        </is>
      </c>
      <c r="I63" s="27" t="n">
        <v>10.403923</v>
      </c>
      <c r="J63" s="27" t="n">
        <v>124.939587</v>
      </c>
      <c r="K63" s="10" t="inlineStr">
        <is>
          <t>R</t>
        </is>
      </c>
      <c r="L63" s="12" t="n">
        <v>220</v>
      </c>
      <c r="M63" s="14" t="n">
        <v>4.1</v>
      </c>
      <c r="N63" s="12">
        <f>ROUND(L63/M63, 0)</f>
        <v/>
      </c>
      <c r="O63" s="12">
        <f>ROUND(N63*'Methodology &amp; Assumptions'!$B$5, 0)</f>
        <v/>
      </c>
      <c r="P63" s="10" t="inlineStr">
        <is>
          <t>Single Carrier (Band n50, 100MHz TDD)</t>
        </is>
      </c>
      <c r="Q63" s="13">
        <f>ROUNDUP(O63/'Methodology &amp; Assumptions'!$B$6, 0)</f>
        <v/>
      </c>
      <c r="R63" s="13" t="n">
        <v>1</v>
      </c>
      <c r="S63" s="14" t="n">
        <v>5.08</v>
      </c>
      <c r="T63" s="14" t="n">
        <v>4.37</v>
      </c>
      <c r="U63" s="26">
        <f>IF(X63&gt;='Methodology &amp; Assumptions'!$B$7, "Tier 1 Critical GIDA (Score ≥ 50.0)", IF(X63&gt;='Methodology &amp; Assumptions'!$B$8, "Tier 2 High GIDA (Score 40.0–49.9)", "Tier 3 Moderate GIDA (Score &lt; 40.0)"))</f>
        <v/>
      </c>
      <c r="V63" s="26">
        <f>IF(S63&lt;='Methodology &amp; Assumptions'!$B$10, "Direct Optical Drop (&lt;3km)", IF(S63&lt;='Methodology &amp; Assumptions'!$B$9, "Near Optical / Microwave (&lt;5km)", "Starlink Business LEO Satellite Backhaul (&gt;5km)"))</f>
        <v/>
      </c>
      <c r="W63" s="28" t="n">
        <v>0.237</v>
      </c>
      <c r="X63" s="14" t="n">
        <v>50.97</v>
      </c>
      <c r="Y63" s="14">
        <f>ROUND(MIN(100, (X63/69.91)*100), 2)</f>
        <v/>
      </c>
    </row>
    <row r="64">
      <c r="A64" s="10" t="n">
        <v>2</v>
      </c>
      <c r="B64" s="10" t="n">
        <v>60</v>
      </c>
      <c r="C64" s="10" t="n">
        <v>1060</v>
      </c>
      <c r="D64" s="10" t="inlineStr">
        <is>
          <t>1380601132</t>
        </is>
      </c>
      <c r="E64" s="26" t="inlineStr">
        <is>
          <t>National Capital Region (NCR)</t>
        </is>
      </c>
      <c r="F64" s="26" t="inlineStr">
        <is>
          <t>First District (Not a Province)</t>
        </is>
      </c>
      <c r="G64" s="26" t="inlineStr">
        <is>
          <t>City of Manila</t>
        </is>
      </c>
      <c r="H64" s="26" t="inlineStr">
        <is>
          <t>Barangay 132</t>
        </is>
      </c>
      <c r="I64" s="27" t="n">
        <v>13.075859</v>
      </c>
      <c r="J64" s="27" t="n">
        <v>121.847239</v>
      </c>
      <c r="K64" s="10" t="inlineStr">
        <is>
          <t>U</t>
        </is>
      </c>
      <c r="L64" s="12" t="n">
        <v>953</v>
      </c>
      <c r="M64" s="14" t="n">
        <v>3.9</v>
      </c>
      <c r="N64" s="12">
        <f>ROUND(L64/M64, 0)</f>
        <v/>
      </c>
      <c r="O64" s="12">
        <f>ROUND(N64*'Methodology &amp; Assumptions'!$B$5, 0)</f>
        <v/>
      </c>
      <c r="P64" s="10" t="inlineStr">
        <is>
          <t>Single Carrier (Band n50, 100MHz TDD)</t>
        </is>
      </c>
      <c r="Q64" s="13">
        <f>ROUNDUP(O64/'Methodology &amp; Assumptions'!$B$6, 0)</f>
        <v/>
      </c>
      <c r="R64" s="13" t="n">
        <v>1</v>
      </c>
      <c r="S64" s="14" t="n">
        <v>36.91</v>
      </c>
      <c r="T64" s="14" t="n">
        <v>40.04</v>
      </c>
      <c r="U64" s="26">
        <f>IF(X64&gt;='Methodology &amp; Assumptions'!$B$7, "Tier 1 Critical GIDA (Score ≥ 50.0)", IF(X64&gt;='Methodology &amp; Assumptions'!$B$8, "Tier 2 High GIDA (Score 40.0–49.9)", "Tier 3 Moderate GIDA (Score &lt; 40.0)"))</f>
        <v/>
      </c>
      <c r="V64" s="26">
        <f>IF(S64&lt;='Methodology &amp; Assumptions'!$B$10, "Direct Optical Drop (&lt;3km)", IF(S64&lt;='Methodology &amp; Assumptions'!$B$9, "Near Optical / Microwave (&lt;5km)", "Starlink Business LEO Satellite Backhaul (&gt;5km)"))</f>
        <v/>
      </c>
      <c r="W64" s="28" t="n">
        <v>0.109</v>
      </c>
      <c r="X64" s="14" t="n">
        <v>50.97</v>
      </c>
      <c r="Y64" s="14">
        <f>ROUND(MIN(100, (X64/69.91)*100), 2)</f>
        <v/>
      </c>
    </row>
    <row r="65">
      <c r="A65" s="10" t="n">
        <v>2</v>
      </c>
      <c r="B65" s="10" t="n">
        <v>61</v>
      </c>
      <c r="C65" s="10" t="n">
        <v>1061</v>
      </c>
      <c r="D65" s="10" t="inlineStr">
        <is>
          <t>1102503008</t>
        </is>
      </c>
      <c r="E65" s="26" t="inlineStr">
        <is>
          <t>Region XI (Davao Region)</t>
        </is>
      </c>
      <c r="F65" s="26" t="inlineStr">
        <is>
          <t>Davao Oriental</t>
        </is>
      </c>
      <c r="G65" s="26" t="inlineStr">
        <is>
          <t>Boston</t>
        </is>
      </c>
      <c r="H65" s="26" t="inlineStr">
        <is>
          <t>Simulao</t>
        </is>
      </c>
      <c r="I65" s="27" t="n">
        <v>7.881237</v>
      </c>
      <c r="J65" s="27" t="n">
        <v>126.250409</v>
      </c>
      <c r="K65" s="10" t="inlineStr">
        <is>
          <t>R</t>
        </is>
      </c>
      <c r="L65" s="12" t="n">
        <v>1194</v>
      </c>
      <c r="M65" s="14" t="n">
        <v>3.6</v>
      </c>
      <c r="N65" s="12">
        <f>ROUND(L65/M65, 0)</f>
        <v/>
      </c>
      <c r="O65" s="12">
        <f>ROUND(N65*'Methodology &amp; Assumptions'!$B$5, 0)</f>
        <v/>
      </c>
      <c r="P65" s="10" t="inlineStr">
        <is>
          <t>Single Carrier (Band n50, 100MHz TDD)</t>
        </is>
      </c>
      <c r="Q65" s="13">
        <f>ROUNDUP(O65/'Methodology &amp; Assumptions'!$B$6, 0)</f>
        <v/>
      </c>
      <c r="R65" s="13" t="n">
        <v>1</v>
      </c>
      <c r="S65" s="14" t="n">
        <v>22.22</v>
      </c>
      <c r="T65" s="14" t="n">
        <v>18.82</v>
      </c>
      <c r="U65" s="26">
        <f>IF(X65&gt;='Methodology &amp; Assumptions'!$B$7, "Tier 1 Critical GIDA (Score ≥ 50.0)", IF(X65&gt;='Methodology &amp; Assumptions'!$B$8, "Tier 2 High GIDA (Score 40.0–49.9)", "Tier 3 Moderate GIDA (Score &lt; 40.0)"))</f>
        <v/>
      </c>
      <c r="V65" s="26">
        <f>IF(S65&lt;='Methodology &amp; Assumptions'!$B$10, "Direct Optical Drop (&lt;3km)", IF(S65&lt;='Methodology &amp; Assumptions'!$B$9, "Near Optical / Microwave (&lt;5km)", "Starlink Business LEO Satellite Backhaul (&gt;5km)"))</f>
        <v/>
      </c>
      <c r="W65" s="28" t="n">
        <v>0.174</v>
      </c>
      <c r="X65" s="14" t="n">
        <v>50.97</v>
      </c>
      <c r="Y65" s="14">
        <f>ROUND(MIN(100, (X65/69.91)*100), 2)</f>
        <v/>
      </c>
    </row>
    <row r="66">
      <c r="A66" s="10" t="n">
        <v>2</v>
      </c>
      <c r="B66" s="10" t="n">
        <v>62</v>
      </c>
      <c r="C66" s="10" t="n">
        <v>1062</v>
      </c>
      <c r="D66" s="10" t="inlineStr">
        <is>
          <t>1381400007</t>
        </is>
      </c>
      <c r="E66" s="26" t="inlineStr">
        <is>
          <t>National Capital Region (NCR)</t>
        </is>
      </c>
      <c r="F66" s="26" t="inlineStr">
        <is>
          <t>Second District (Not a Province)</t>
        </is>
      </c>
      <c r="G66" s="26" t="inlineStr">
        <is>
          <t>City of San Juan</t>
        </is>
      </c>
      <c r="H66" s="26" t="inlineStr">
        <is>
          <t>Isabelita</t>
        </is>
      </c>
      <c r="I66" s="27" t="n">
        <v>14.603825</v>
      </c>
      <c r="J66" s="27" t="n">
        <v>121.029617</v>
      </c>
      <c r="K66" s="10" t="inlineStr">
        <is>
          <t>U</t>
        </is>
      </c>
      <c r="L66" s="12" t="n">
        <v>1654</v>
      </c>
      <c r="M66" s="14" t="n">
        <v>3.6</v>
      </c>
      <c r="N66" s="12">
        <f>ROUND(L66/M66, 0)</f>
        <v/>
      </c>
      <c r="O66" s="12">
        <f>ROUND(N66*'Methodology &amp; Assumptions'!$B$5, 0)</f>
        <v/>
      </c>
      <c r="P66" s="10" t="inlineStr">
        <is>
          <t>Single Carrier (Band n50, 100MHz TDD)</t>
        </is>
      </c>
      <c r="Q66" s="13">
        <f>ROUNDUP(O66/'Methodology &amp; Assumptions'!$B$6, 0)</f>
        <v/>
      </c>
      <c r="R66" s="13" t="n">
        <v>1</v>
      </c>
      <c r="S66" s="14" t="n">
        <v>1.83</v>
      </c>
      <c r="T66" s="14" t="n">
        <v>0.08</v>
      </c>
      <c r="U66" s="26">
        <f>IF(X66&gt;='Methodology &amp; Assumptions'!$B$7, "Tier 1 Critical GIDA (Score ≥ 50.0)", IF(X66&gt;='Methodology &amp; Assumptions'!$B$8, "Tier 2 High GIDA (Score 40.0–49.9)", "Tier 3 Moderate GIDA (Score &lt; 40.0)"))</f>
        <v/>
      </c>
      <c r="V66" s="26">
        <f>IF(S66&lt;='Methodology &amp; Assumptions'!$B$10, "Direct Optical Drop (&lt;3km)", IF(S66&lt;='Methodology &amp; Assumptions'!$B$9, "Near Optical / Microwave (&lt;5km)", "Starlink Business LEO Satellite Backhaul (&gt;5km)"))</f>
        <v/>
      </c>
      <c r="W66" s="28" t="n">
        <v>0.109</v>
      </c>
      <c r="X66" s="14" t="n">
        <v>50.97</v>
      </c>
      <c r="Y66" s="14">
        <f>ROUND(MIN(100, (X66/69.91)*100), 2)</f>
        <v/>
      </c>
    </row>
    <row r="67">
      <c r="A67" s="10" t="n">
        <v>2</v>
      </c>
      <c r="B67" s="10" t="n">
        <v>63</v>
      </c>
      <c r="C67" s="10" t="n">
        <v>1063</v>
      </c>
      <c r="D67" s="10" t="inlineStr">
        <is>
          <t>1903601025</t>
        </is>
      </c>
      <c r="E67" s="26" t="inlineStr">
        <is>
          <t>Bangsamoro Autonomous Region In Muslim Mindanao (BARMM)</t>
        </is>
      </c>
      <c r="F67" s="26" t="inlineStr">
        <is>
          <t>Lanao del Sur</t>
        </is>
      </c>
      <c r="G67" s="26" t="inlineStr">
        <is>
          <t>Bacolod-Kalawi</t>
        </is>
      </c>
      <c r="H67" s="26" t="inlineStr">
        <is>
          <t>Sugod</t>
        </is>
      </c>
      <c r="I67" s="27" t="n">
        <v>17.254711</v>
      </c>
      <c r="J67" s="27" t="n">
        <v>122.228755</v>
      </c>
      <c r="K67" s="10" t="inlineStr">
        <is>
          <t>U</t>
        </is>
      </c>
      <c r="L67" s="12" t="n">
        <v>1259</v>
      </c>
      <c r="M67" s="14" t="n">
        <v>5.7</v>
      </c>
      <c r="N67" s="12">
        <f>ROUND(L67/M67, 0)</f>
        <v/>
      </c>
      <c r="O67" s="12">
        <f>ROUND(N67*'Methodology &amp; Assumptions'!$B$5, 0)</f>
        <v/>
      </c>
      <c r="P67" s="10" t="inlineStr">
        <is>
          <t>Single Carrier (Band n50, 100MHz TDD)</t>
        </is>
      </c>
      <c r="Q67" s="13">
        <f>ROUNDUP(O67/'Methodology &amp; Assumptions'!$B$6, 0)</f>
        <v/>
      </c>
      <c r="R67" s="13" t="n">
        <v>1</v>
      </c>
      <c r="S67" s="14" t="n">
        <v>29.39</v>
      </c>
      <c r="T67" s="14" t="n">
        <v>34.28</v>
      </c>
      <c r="U67" s="26">
        <f>IF(X67&gt;='Methodology &amp; Assumptions'!$B$7, "Tier 1 Critical GIDA (Score ≥ 50.0)", IF(X67&gt;='Methodology &amp; Assumptions'!$B$8, "Tier 2 High GIDA (Score 40.0–49.9)", "Tier 3 Moderate GIDA (Score &lt; 40.0)"))</f>
        <v/>
      </c>
      <c r="V67" s="26">
        <f>IF(S67&lt;='Methodology &amp; Assumptions'!$B$10, "Direct Optical Drop (&lt;3km)", IF(S67&lt;='Methodology &amp; Assumptions'!$B$9, "Near Optical / Microwave (&lt;5km)", "Starlink Business LEO Satellite Backhaul (&gt;5km)"))</f>
        <v/>
      </c>
      <c r="W67" s="28" t="n">
        <v>0.11</v>
      </c>
      <c r="X67" s="14" t="n">
        <v>50.96</v>
      </c>
      <c r="Y67" s="14">
        <f>ROUND(MIN(100, (X67/69.91)*100), 2)</f>
        <v/>
      </c>
    </row>
    <row r="68">
      <c r="A68" s="10" t="n">
        <v>2</v>
      </c>
      <c r="B68" s="10" t="n">
        <v>64</v>
      </c>
      <c r="C68" s="10" t="n">
        <v>1064</v>
      </c>
      <c r="D68" s="10" t="inlineStr">
        <is>
          <t>1208006003</t>
        </is>
      </c>
      <c r="E68" s="26" t="inlineStr">
        <is>
          <t>Region XII (SOCCSKSARGEN)</t>
        </is>
      </c>
      <c r="F68" s="26" t="inlineStr">
        <is>
          <t>Sarangani</t>
        </is>
      </c>
      <c r="G68" s="26" t="inlineStr">
        <is>
          <t>Malapatan</t>
        </is>
      </c>
      <c r="H68" s="26" t="inlineStr">
        <is>
          <t>Kinam</t>
        </is>
      </c>
      <c r="I68" s="27" t="n">
        <v>5.950724</v>
      </c>
      <c r="J68" s="27" t="n">
        <v>125.432141</v>
      </c>
      <c r="K68" s="10" t="inlineStr">
        <is>
          <t>U</t>
        </is>
      </c>
      <c r="L68" s="12" t="n">
        <v>12767</v>
      </c>
      <c r="M68" s="14" t="n">
        <v>3.9</v>
      </c>
      <c r="N68" s="12">
        <f>ROUND(L68/M68, 0)</f>
        <v/>
      </c>
      <c r="O68" s="12">
        <f>ROUND(N68*'Methodology &amp; Assumptions'!$B$5, 0)</f>
        <v/>
      </c>
      <c r="P68" s="10" t="inlineStr">
        <is>
          <t>Single Carrier (Band n50, 100MHz TDD)</t>
        </is>
      </c>
      <c r="Q68" s="13">
        <f>ROUNDUP(O68/'Methodology &amp; Assumptions'!$B$6, 0)</f>
        <v/>
      </c>
      <c r="R68" s="13" t="n">
        <v>1</v>
      </c>
      <c r="S68" s="14" t="n">
        <v>24.18</v>
      </c>
      <c r="T68" s="14" t="n">
        <v>32.56</v>
      </c>
      <c r="U68" s="26">
        <f>IF(X68&gt;='Methodology &amp; Assumptions'!$B$7, "Tier 1 Critical GIDA (Score ≥ 50.0)", IF(X68&gt;='Methodology &amp; Assumptions'!$B$8, "Tier 2 High GIDA (Score 40.0–49.9)", "Tier 3 Moderate GIDA (Score &lt; 40.0)"))</f>
        <v/>
      </c>
      <c r="V68" s="26">
        <f>IF(S68&lt;='Methodology &amp; Assumptions'!$B$10, "Direct Optical Drop (&lt;3km)", IF(S68&lt;='Methodology &amp; Assumptions'!$B$9, "Near Optical / Microwave (&lt;5km)", "Starlink Business LEO Satellite Backhaul (&gt;5km)"))</f>
        <v/>
      </c>
      <c r="W68" s="28" t="n">
        <v>0.174</v>
      </c>
      <c r="X68" s="14" t="n">
        <v>50.96</v>
      </c>
      <c r="Y68" s="14">
        <f>ROUND(MIN(100, (X68/69.91)*100), 2)</f>
        <v/>
      </c>
    </row>
    <row r="69">
      <c r="A69" s="10" t="n">
        <v>2</v>
      </c>
      <c r="B69" s="10" t="n">
        <v>65</v>
      </c>
      <c r="C69" s="10" t="n">
        <v>1065</v>
      </c>
      <c r="D69" s="10" t="inlineStr">
        <is>
          <t>1381400019</t>
        </is>
      </c>
      <c r="E69" s="26" t="inlineStr">
        <is>
          <t>National Capital Region (NCR)</t>
        </is>
      </c>
      <c r="F69" s="26" t="inlineStr">
        <is>
          <t>Second District (Not a Province)</t>
        </is>
      </c>
      <c r="G69" s="26" t="inlineStr">
        <is>
          <t>City of San Juan</t>
        </is>
      </c>
      <c r="H69" s="26" t="inlineStr">
        <is>
          <t>Tibagan</t>
        </is>
      </c>
      <c r="I69" s="27" t="n">
        <v>14.613055</v>
      </c>
      <c r="J69" s="27" t="n">
        <v>121.023986</v>
      </c>
      <c r="K69" s="10" t="inlineStr">
        <is>
          <t>U</t>
        </is>
      </c>
      <c r="L69" s="12" t="n">
        <v>4058</v>
      </c>
      <c r="M69" s="14" t="n">
        <v>3.6</v>
      </c>
      <c r="N69" s="12">
        <f>ROUND(L69/M69, 0)</f>
        <v/>
      </c>
      <c r="O69" s="12">
        <f>ROUND(N69*'Methodology &amp; Assumptions'!$B$5, 0)</f>
        <v/>
      </c>
      <c r="P69" s="10" t="inlineStr">
        <is>
          <t>Single Carrier (Band n50, 100MHz TDD)</t>
        </is>
      </c>
      <c r="Q69" s="13">
        <f>ROUNDUP(O69/'Methodology &amp; Assumptions'!$B$6, 0)</f>
        <v/>
      </c>
      <c r="R69" s="13" t="n">
        <v>1</v>
      </c>
      <c r="S69" s="14" t="n">
        <v>1</v>
      </c>
      <c r="T69" s="14" t="n">
        <v>0.33</v>
      </c>
      <c r="U69" s="26">
        <f>IF(X69&gt;='Methodology &amp; Assumptions'!$B$7, "Tier 1 Critical GIDA (Score ≥ 50.0)", IF(X69&gt;='Methodology &amp; Assumptions'!$B$8, "Tier 2 High GIDA (Score 40.0–49.9)", "Tier 3 Moderate GIDA (Score &lt; 40.0)"))</f>
        <v/>
      </c>
      <c r="V69" s="26">
        <f>IF(S69&lt;='Methodology &amp; Assumptions'!$B$10, "Direct Optical Drop (&lt;3km)", IF(S69&lt;='Methodology &amp; Assumptions'!$B$9, "Near Optical / Microwave (&lt;5km)", "Starlink Business LEO Satellite Backhaul (&gt;5km)"))</f>
        <v/>
      </c>
      <c r="W69" s="28" t="n">
        <v>0.109</v>
      </c>
      <c r="X69" s="14" t="n">
        <v>50.94</v>
      </c>
      <c r="Y69" s="14">
        <f>ROUND(MIN(100, (X69/69.91)*100), 2)</f>
        <v/>
      </c>
    </row>
    <row r="70">
      <c r="A70" s="10" t="n">
        <v>2</v>
      </c>
      <c r="B70" s="10" t="n">
        <v>66</v>
      </c>
      <c r="C70" s="10" t="n">
        <v>1066</v>
      </c>
      <c r="D70" s="10" t="inlineStr">
        <is>
          <t>PH0001066</t>
        </is>
      </c>
      <c r="E70" s="26" t="inlineStr">
        <is>
          <t>XI</t>
        </is>
      </c>
      <c r="F70" s="26" t="inlineStr">
        <is>
          <t>Davao Del Sur</t>
        </is>
      </c>
      <c r="G70" s="26" t="inlineStr">
        <is>
          <t>Davao City</t>
        </is>
      </c>
      <c r="H70" s="26" t="inlineStr">
        <is>
          <t>Barangay 31-D (Pob.)</t>
        </is>
      </c>
      <c r="I70" s="27" t="n">
        <v>7.1882</v>
      </c>
      <c r="J70" s="27" t="n">
        <v>125.478291</v>
      </c>
      <c r="K70" s="10" t="inlineStr">
        <is>
          <t>R</t>
        </is>
      </c>
      <c r="L70" s="12" t="n">
        <v>2280</v>
      </c>
      <c r="M70" s="14" t="n">
        <v>3.4</v>
      </c>
      <c r="N70" s="12">
        <f>ROUND(L70/M70, 0)</f>
        <v/>
      </c>
      <c r="O70" s="12">
        <f>ROUND(N70*'Methodology &amp; Assumptions'!$B$5, 0)</f>
        <v/>
      </c>
      <c r="P70" s="10" t="inlineStr">
        <is>
          <t>Single Carrier (Band n50, 100MHz TDD)</t>
        </is>
      </c>
      <c r="Q70" s="13">
        <f>ROUNDUP(O70/'Methodology &amp; Assumptions'!$B$6, 0)</f>
        <v/>
      </c>
      <c r="R70" s="13" t="n">
        <v>1</v>
      </c>
      <c r="S70" s="14" t="n">
        <v>2.6</v>
      </c>
      <c r="T70" s="14" t="n">
        <v>1.7</v>
      </c>
      <c r="U70" s="26">
        <f>IF(X70&gt;='Methodology &amp; Assumptions'!$B$7, "Tier 1 Critical GIDA (Score ≥ 50.0)", IF(X70&gt;='Methodology &amp; Assumptions'!$B$8, "Tier 2 High GIDA (Score 40.0–49.9)", "Tier 3 Moderate GIDA (Score &lt; 40.0)"))</f>
        <v/>
      </c>
      <c r="V70" s="26">
        <f>IF(S70&lt;='Methodology &amp; Assumptions'!$B$10, "Direct Optical Drop (&lt;3km)", IF(S70&lt;='Methodology &amp; Assumptions'!$B$9, "Near Optical / Microwave (&lt;5km)", "Starlink Business LEO Satellite Backhaul (&gt;5km)"))</f>
        <v/>
      </c>
      <c r="W70" s="28" t="n">
        <v>0.119</v>
      </c>
      <c r="X70" s="14" t="n">
        <v>50.93</v>
      </c>
      <c r="Y70" s="14">
        <f>ROUND(MIN(100, (X70/69.91)*100), 2)</f>
        <v/>
      </c>
    </row>
    <row r="71">
      <c r="A71" s="10" t="n">
        <v>2</v>
      </c>
      <c r="B71" s="10" t="n">
        <v>67</v>
      </c>
      <c r="C71" s="10" t="n">
        <v>1067</v>
      </c>
      <c r="D71" s="10" t="inlineStr">
        <is>
          <t>PH0001067</t>
        </is>
      </c>
      <c r="E71" s="26" t="inlineStr">
        <is>
          <t>VI</t>
        </is>
      </c>
      <c r="F71" s="26" t="inlineStr">
        <is>
          <t>Iloilo</t>
        </is>
      </c>
      <c r="G71" s="26" t="inlineStr">
        <is>
          <t>Iloilo City</t>
        </is>
      </c>
      <c r="H71" s="26" t="inlineStr">
        <is>
          <t>Buhang Taft North</t>
        </is>
      </c>
      <c r="I71" s="27" t="n">
        <v>10.60757</v>
      </c>
      <c r="J71" s="27" t="n">
        <v>122.510461</v>
      </c>
      <c r="K71" s="10" t="inlineStr">
        <is>
          <t>R</t>
        </is>
      </c>
      <c r="L71" s="12" t="n">
        <v>2230</v>
      </c>
      <c r="M71" s="14" t="n">
        <v>3.8</v>
      </c>
      <c r="N71" s="12">
        <f>ROUND(L71/M71, 0)</f>
        <v/>
      </c>
      <c r="O71" s="12">
        <f>ROUND(N71*'Methodology &amp; Assumptions'!$B$5, 0)</f>
        <v/>
      </c>
      <c r="P71" s="10" t="inlineStr">
        <is>
          <t>Single Carrier (Band n50, 100MHz TDD)</t>
        </is>
      </c>
      <c r="Q71" s="13">
        <f>ROUNDUP(O71/'Methodology &amp; Assumptions'!$B$6, 0)</f>
        <v/>
      </c>
      <c r="R71" s="13" t="n">
        <v>1</v>
      </c>
      <c r="S71" s="14" t="n">
        <v>9.890000000000001</v>
      </c>
      <c r="T71" s="14" t="n">
        <v>9.65</v>
      </c>
      <c r="U71" s="26">
        <f>IF(X71&gt;='Methodology &amp; Assumptions'!$B$7, "Tier 1 Critical GIDA (Score ≥ 50.0)", IF(X71&gt;='Methodology &amp; Assumptions'!$B$8, "Tier 2 High GIDA (Score 40.0–49.9)", "Tier 3 Moderate GIDA (Score &lt; 40.0)"))</f>
        <v/>
      </c>
      <c r="V71" s="26">
        <f>IF(S71&lt;='Methodology &amp; Assumptions'!$B$10, "Direct Optical Drop (&lt;3km)", IF(S71&lt;='Methodology &amp; Assumptions'!$B$9, "Near Optical / Microwave (&lt;5km)", "Starlink Business LEO Satellite Backhaul (&gt;5km)"))</f>
        <v/>
      </c>
      <c r="W71" s="28" t="n">
        <v>0.156</v>
      </c>
      <c r="X71" s="14" t="n">
        <v>50.93</v>
      </c>
      <c r="Y71" s="14">
        <f>ROUND(MIN(100, (X71/69.91)*100), 2)</f>
        <v/>
      </c>
    </row>
    <row r="72">
      <c r="A72" s="10" t="n">
        <v>2</v>
      </c>
      <c r="B72" s="10" t="n">
        <v>68</v>
      </c>
      <c r="C72" s="10" t="n">
        <v>1068</v>
      </c>
      <c r="D72" s="10" t="inlineStr">
        <is>
          <t>PH0001068</t>
        </is>
      </c>
      <c r="E72" s="26" t="inlineStr">
        <is>
          <t>III</t>
        </is>
      </c>
      <c r="F72" s="26" t="inlineStr">
        <is>
          <t>Nueva Ecija</t>
        </is>
      </c>
      <c r="G72" s="26" t="inlineStr">
        <is>
          <t>Cabanatuan City</t>
        </is>
      </c>
      <c r="H72" s="26" t="inlineStr">
        <is>
          <t>Caridad</t>
        </is>
      </c>
      <c r="I72" s="27" t="n">
        <v>15.510172</v>
      </c>
      <c r="J72" s="27" t="n">
        <v>120.983677</v>
      </c>
      <c r="K72" s="10" t="inlineStr">
        <is>
          <t>R</t>
        </is>
      </c>
      <c r="L72" s="12" t="n">
        <v>2398</v>
      </c>
      <c r="M72" s="14" t="n">
        <v>3.5</v>
      </c>
      <c r="N72" s="12">
        <f>ROUND(L72/M72, 0)</f>
        <v/>
      </c>
      <c r="O72" s="12">
        <f>ROUND(N72*'Methodology &amp; Assumptions'!$B$5, 0)</f>
        <v/>
      </c>
      <c r="P72" s="10" t="inlineStr">
        <is>
          <t>Single Carrier (Band n50, 100MHz TDD)</t>
        </is>
      </c>
      <c r="Q72" s="13">
        <f>ROUNDUP(O72/'Methodology &amp; Assumptions'!$B$6, 0)</f>
        <v/>
      </c>
      <c r="R72" s="13" t="n">
        <v>1</v>
      </c>
      <c r="S72" s="14" t="n">
        <v>3.98</v>
      </c>
      <c r="T72" s="14" t="n">
        <v>1.29</v>
      </c>
      <c r="U72" s="26">
        <f>IF(X72&gt;='Methodology &amp; Assumptions'!$B$7, "Tier 1 Critical GIDA (Score ≥ 50.0)", IF(X72&gt;='Methodology &amp; Assumptions'!$B$8, "Tier 2 High GIDA (Score 40.0–49.9)", "Tier 3 Moderate GIDA (Score &lt; 40.0)"))</f>
        <v/>
      </c>
      <c r="V72" s="26">
        <f>IF(S72&lt;='Methodology &amp; Assumptions'!$B$10, "Direct Optical Drop (&lt;3km)", IF(S72&lt;='Methodology &amp; Assumptions'!$B$9, "Near Optical / Microwave (&lt;5km)", "Starlink Business LEO Satellite Backhaul (&gt;5km)"))</f>
        <v/>
      </c>
      <c r="W72" s="28" t="n">
        <v>0.083</v>
      </c>
      <c r="X72" s="14" t="n">
        <v>50.92</v>
      </c>
      <c r="Y72" s="14">
        <f>ROUND(MIN(100, (X72/69.91)*100), 2)</f>
        <v/>
      </c>
    </row>
    <row r="73">
      <c r="A73" s="10" t="n">
        <v>2</v>
      </c>
      <c r="B73" s="10" t="n">
        <v>69</v>
      </c>
      <c r="C73" s="10" t="n">
        <v>1069</v>
      </c>
      <c r="D73" s="10" t="inlineStr">
        <is>
          <t>1380605078</t>
        </is>
      </c>
      <c r="E73" s="26" t="inlineStr">
        <is>
          <t>National Capital Region (NCR)</t>
        </is>
      </c>
      <c r="F73" s="26" t="inlineStr">
        <is>
          <t>First District (Not a Province)</t>
        </is>
      </c>
      <c r="G73" s="26" t="inlineStr">
        <is>
          <t>City of Manila</t>
        </is>
      </c>
      <c r="H73" s="26" t="inlineStr">
        <is>
          <t>Barangay 375</t>
        </is>
      </c>
      <c r="I73" s="27" t="n">
        <v>12.685595</v>
      </c>
      <c r="J73" s="27" t="n">
        <v>121.856476</v>
      </c>
      <c r="K73" s="10" t="inlineStr">
        <is>
          <t>U</t>
        </is>
      </c>
      <c r="L73" s="12" t="n">
        <v>4028</v>
      </c>
      <c r="M73" s="14" t="n">
        <v>3.9</v>
      </c>
      <c r="N73" s="12">
        <f>ROUND(L73/M73, 0)</f>
        <v/>
      </c>
      <c r="O73" s="12">
        <f>ROUND(N73*'Methodology &amp; Assumptions'!$B$5, 0)</f>
        <v/>
      </c>
      <c r="P73" s="10" t="inlineStr">
        <is>
          <t>Single Carrier (Band n50, 100MHz TDD)</t>
        </is>
      </c>
      <c r="Q73" s="13">
        <f>ROUNDUP(O73/'Methodology &amp; Assumptions'!$B$6, 0)</f>
        <v/>
      </c>
      <c r="R73" s="13" t="n">
        <v>1</v>
      </c>
      <c r="S73" s="14" t="n">
        <v>34.29</v>
      </c>
      <c r="T73" s="14" t="n">
        <v>32.14</v>
      </c>
      <c r="U73" s="26">
        <f>IF(X73&gt;='Methodology &amp; Assumptions'!$B$7, "Tier 1 Critical GIDA (Score ≥ 50.0)", IF(X73&gt;='Methodology &amp; Assumptions'!$B$8, "Tier 2 High GIDA (Score 40.0–49.9)", "Tier 3 Moderate GIDA (Score &lt; 40.0)"))</f>
        <v/>
      </c>
      <c r="V73" s="26">
        <f>IF(S73&lt;='Methodology &amp; Assumptions'!$B$10, "Direct Optical Drop (&lt;3km)", IF(S73&lt;='Methodology &amp; Assumptions'!$B$9, "Near Optical / Microwave (&lt;5km)", "Starlink Business LEO Satellite Backhaul (&gt;5km)"))</f>
        <v/>
      </c>
      <c r="W73" s="28" t="n">
        <v>0.109</v>
      </c>
      <c r="X73" s="14" t="n">
        <v>50.91</v>
      </c>
      <c r="Y73" s="14">
        <f>ROUND(MIN(100, (X73/69.91)*100), 2)</f>
        <v/>
      </c>
    </row>
    <row r="74">
      <c r="A74" s="10" t="n">
        <v>2</v>
      </c>
      <c r="B74" s="10" t="n">
        <v>70</v>
      </c>
      <c r="C74" s="10" t="n">
        <v>1070</v>
      </c>
      <c r="D74" s="10" t="inlineStr">
        <is>
          <t>1907001018</t>
        </is>
      </c>
      <c r="E74" s="26" t="inlineStr">
        <is>
          <t>Bangsamoro Autonomous Region In Muslim Mindanao (BARMM)</t>
        </is>
      </c>
      <c r="F74" s="26" t="inlineStr">
        <is>
          <t>Tawi-Tawi</t>
        </is>
      </c>
      <c r="G74" s="26" t="inlineStr">
        <is>
          <t>Panglima Sugala</t>
        </is>
      </c>
      <c r="H74" s="26" t="inlineStr">
        <is>
          <t>Tundon</t>
        </is>
      </c>
      <c r="I74" s="27" t="n">
        <v>17.255682</v>
      </c>
      <c r="J74" s="27" t="n">
        <v>122.229726</v>
      </c>
      <c r="K74" s="10" t="inlineStr">
        <is>
          <t>R</t>
        </is>
      </c>
      <c r="L74" s="12" t="n">
        <v>3035</v>
      </c>
      <c r="M74" s="14" t="n">
        <v>5.8</v>
      </c>
      <c r="N74" s="12">
        <f>ROUND(L74/M74, 0)</f>
        <v/>
      </c>
      <c r="O74" s="12">
        <f>ROUND(N74*'Methodology &amp; Assumptions'!$B$5, 0)</f>
        <v/>
      </c>
      <c r="P74" s="10" t="inlineStr">
        <is>
          <t>Single Carrier (Band n50, 100MHz TDD)</t>
        </is>
      </c>
      <c r="Q74" s="13">
        <f>ROUNDUP(O74/'Methodology &amp; Assumptions'!$B$6, 0)</f>
        <v/>
      </c>
      <c r="R74" s="13" t="n">
        <v>1</v>
      </c>
      <c r="S74" s="14" t="n">
        <v>29.54</v>
      </c>
      <c r="T74" s="14" t="n">
        <v>34.41</v>
      </c>
      <c r="U74" s="26">
        <f>IF(X74&gt;='Methodology &amp; Assumptions'!$B$7, "Tier 1 Critical GIDA (Score ≥ 50.0)", IF(X74&gt;='Methodology &amp; Assumptions'!$B$8, "Tier 2 High GIDA (Score 40.0–49.9)", "Tier 3 Moderate GIDA (Score &lt; 40.0)"))</f>
        <v/>
      </c>
      <c r="V74" s="26">
        <f>IF(S74&lt;='Methodology &amp; Assumptions'!$B$10, "Direct Optical Drop (&lt;3km)", IF(S74&lt;='Methodology &amp; Assumptions'!$B$9, "Near Optical / Microwave (&lt;5km)", "Starlink Business LEO Satellite Backhaul (&gt;5km)"))</f>
        <v/>
      </c>
      <c r="W74" s="28" t="n">
        <v>0.11</v>
      </c>
      <c r="X74" s="14" t="n">
        <v>50.9</v>
      </c>
      <c r="Y74" s="14">
        <f>ROUND(MIN(100, (X74/69.91)*100), 2)</f>
        <v/>
      </c>
    </row>
    <row r="75">
      <c r="A75" s="10" t="n">
        <v>2</v>
      </c>
      <c r="B75" s="10" t="n">
        <v>71</v>
      </c>
      <c r="C75" s="10" t="n">
        <v>1071</v>
      </c>
      <c r="D75" s="10" t="inlineStr">
        <is>
          <t>PH0001071</t>
        </is>
      </c>
      <c r="E75" s="26" t="inlineStr">
        <is>
          <t>VIII</t>
        </is>
      </c>
      <c r="F75" s="26" t="inlineStr">
        <is>
          <t>Leyte</t>
        </is>
      </c>
      <c r="G75" s="26" t="inlineStr">
        <is>
          <t>Tacloban City</t>
        </is>
      </c>
      <c r="H75" s="26" t="inlineStr">
        <is>
          <t>Barangay 32</t>
        </is>
      </c>
      <c r="I75" s="27" t="n">
        <v>11.233917</v>
      </c>
      <c r="J75" s="27" t="n">
        <v>124.995223</v>
      </c>
      <c r="K75" s="10" t="inlineStr">
        <is>
          <t>R</t>
        </is>
      </c>
      <c r="L75" s="12" t="n">
        <v>2258</v>
      </c>
      <c r="M75" s="14" t="n">
        <v>3.8</v>
      </c>
      <c r="N75" s="12">
        <f>ROUND(L75/M75, 0)</f>
        <v/>
      </c>
      <c r="O75" s="12">
        <f>ROUND(N75*'Methodology &amp; Assumptions'!$B$5, 0)</f>
        <v/>
      </c>
      <c r="P75" s="10" t="inlineStr">
        <is>
          <t>Single Carrier (Band n50, 100MHz TDD)</t>
        </is>
      </c>
      <c r="Q75" s="13">
        <f>ROUNDUP(O75/'Methodology &amp; Assumptions'!$B$6, 0)</f>
        <v/>
      </c>
      <c r="R75" s="13" t="n">
        <v>1</v>
      </c>
      <c r="S75" s="14" t="n">
        <v>1.01</v>
      </c>
      <c r="T75" s="14" t="n">
        <v>2.84</v>
      </c>
      <c r="U75" s="26">
        <f>IF(X75&gt;='Methodology &amp; Assumptions'!$B$7, "Tier 1 Critical GIDA (Score ≥ 50.0)", IF(X75&gt;='Methodology &amp; Assumptions'!$B$8, "Tier 2 High GIDA (Score 40.0–49.9)", "Tier 3 Moderate GIDA (Score &lt; 40.0)"))</f>
        <v/>
      </c>
      <c r="V75" s="26">
        <f>IF(S75&lt;='Methodology &amp; Assumptions'!$B$10, "Direct Optical Drop (&lt;3km)", IF(S75&lt;='Methodology &amp; Assumptions'!$B$9, "Near Optical / Microwave (&lt;5km)", "Starlink Business LEO Satellite Backhaul (&gt;5km)"))</f>
        <v/>
      </c>
      <c r="W75" s="28" t="n">
        <v>0.222</v>
      </c>
      <c r="X75" s="14" t="n">
        <v>50.9</v>
      </c>
      <c r="Y75" s="14">
        <f>ROUND(MIN(100, (X75/69.91)*100), 2)</f>
        <v/>
      </c>
    </row>
    <row r="76">
      <c r="A76" s="10" t="n">
        <v>2</v>
      </c>
      <c r="B76" s="10" t="n">
        <v>72</v>
      </c>
      <c r="C76" s="10" t="n">
        <v>1072</v>
      </c>
      <c r="D76" s="10" t="inlineStr">
        <is>
          <t>0504102005</t>
        </is>
      </c>
      <c r="E76" s="26" t="inlineStr">
        <is>
          <t>Region V (Bicol Region)</t>
        </is>
      </c>
      <c r="F76" s="26" t="inlineStr">
        <is>
          <t>Masbate</t>
        </is>
      </c>
      <c r="G76" s="26" t="inlineStr">
        <is>
          <t>Baleno</t>
        </is>
      </c>
      <c r="H76" s="26" t="inlineStr">
        <is>
          <t>Cagpandan</t>
        </is>
      </c>
      <c r="I76" s="27" t="n">
        <v>12.513507</v>
      </c>
      <c r="J76" s="27" t="n">
        <v>123.437194</v>
      </c>
      <c r="K76" s="10" t="inlineStr">
        <is>
          <t>R</t>
        </is>
      </c>
      <c r="L76" s="12" t="n">
        <v>1191</v>
      </c>
      <c r="M76" s="14" t="n">
        <v>4.1</v>
      </c>
      <c r="N76" s="12">
        <f>ROUND(L76/M76, 0)</f>
        <v/>
      </c>
      <c r="O76" s="12">
        <f>ROUND(N76*'Methodology &amp; Assumptions'!$B$5, 0)</f>
        <v/>
      </c>
      <c r="P76" s="10" t="inlineStr">
        <is>
          <t>Single Carrier (Band n50, 100MHz TDD)</t>
        </is>
      </c>
      <c r="Q76" s="13">
        <f>ROUNDUP(O76/'Methodology &amp; Assumptions'!$B$6, 0)</f>
        <v/>
      </c>
      <c r="R76" s="13" t="n">
        <v>1</v>
      </c>
      <c r="S76" s="14" t="n">
        <v>4.18</v>
      </c>
      <c r="T76" s="14" t="n">
        <v>0.41</v>
      </c>
      <c r="U76" s="26">
        <f>IF(X76&gt;='Methodology &amp; Assumptions'!$B$7, "Tier 1 Critical GIDA (Score ≥ 50.0)", IF(X76&gt;='Methodology &amp; Assumptions'!$B$8, "Tier 2 High GIDA (Score 40.0–49.9)", "Tier 3 Moderate GIDA (Score &lt; 40.0)"))</f>
        <v/>
      </c>
      <c r="V76" s="26">
        <f>IF(S76&lt;='Methodology &amp; Assumptions'!$B$10, "Direct Optical Drop (&lt;3km)", IF(S76&lt;='Methodology &amp; Assumptions'!$B$9, "Near Optical / Microwave (&lt;5km)", "Starlink Business LEO Satellite Backhaul (&gt;5km)"))</f>
        <v/>
      </c>
      <c r="W76" s="28" t="n">
        <v>0.237</v>
      </c>
      <c r="X76" s="14" t="n">
        <v>50.9</v>
      </c>
      <c r="Y76" s="14">
        <f>ROUND(MIN(100, (X76/69.91)*100), 2)</f>
        <v/>
      </c>
    </row>
    <row r="77">
      <c r="A77" s="10" t="n">
        <v>2</v>
      </c>
      <c r="B77" s="10" t="n">
        <v>73</v>
      </c>
      <c r="C77" s="10" t="n">
        <v>1073</v>
      </c>
      <c r="D77" s="10" t="inlineStr">
        <is>
          <t>0203131016</t>
        </is>
      </c>
      <c r="E77" s="26" t="inlineStr">
        <is>
          <t>Region II (Cagayan Valley)</t>
        </is>
      </c>
      <c r="F77" s="26" t="inlineStr">
        <is>
          <t>Isabela</t>
        </is>
      </c>
      <c r="G77" s="26" t="inlineStr">
        <is>
          <t>San Mariano</t>
        </is>
      </c>
      <c r="H77" s="26" t="inlineStr">
        <is>
          <t>Disusuan</t>
        </is>
      </c>
      <c r="I77" s="27" t="n">
        <v>16.98342</v>
      </c>
      <c r="J77" s="27" t="n">
        <v>122.05621</v>
      </c>
      <c r="K77" s="10" t="inlineStr">
        <is>
          <t>R</t>
        </is>
      </c>
      <c r="L77" s="12" t="n">
        <v>655</v>
      </c>
      <c r="M77" s="14" t="n">
        <v>3.8</v>
      </c>
      <c r="N77" s="12">
        <f>ROUND(L77/M77, 0)</f>
        <v/>
      </c>
      <c r="O77" s="12">
        <f>ROUND(N77*'Methodology &amp; Assumptions'!$B$5, 0)</f>
        <v/>
      </c>
      <c r="P77" s="10" t="inlineStr">
        <is>
          <t>Single Carrier (Band n50, 100MHz TDD)</t>
        </is>
      </c>
      <c r="Q77" s="13">
        <f>ROUNDUP(O77/'Methodology &amp; Assumptions'!$B$6, 0)</f>
        <v/>
      </c>
      <c r="R77" s="13" t="n">
        <v>1</v>
      </c>
      <c r="S77" s="14" t="n">
        <v>4.6</v>
      </c>
      <c r="T77" s="14" t="n">
        <v>21.27</v>
      </c>
      <c r="U77" s="26">
        <f>IF(X77&gt;='Methodology &amp; Assumptions'!$B$7, "Tier 1 Critical GIDA (Score ≥ 50.0)", IF(X77&gt;='Methodology &amp; Assumptions'!$B$8, "Tier 2 High GIDA (Score 40.0–49.9)", "Tier 3 Moderate GIDA (Score &lt; 40.0)"))</f>
        <v/>
      </c>
      <c r="V77" s="26">
        <f>IF(S77&lt;='Methodology &amp; Assumptions'!$B$10, "Direct Optical Drop (&lt;3km)", IF(S77&lt;='Methodology &amp; Assumptions'!$B$9, "Near Optical / Microwave (&lt;5km)", "Starlink Business LEO Satellite Backhaul (&gt;5km)"))</f>
        <v/>
      </c>
      <c r="W77" s="28" t="n">
        <v>0.083</v>
      </c>
      <c r="X77" s="14" t="n">
        <v>50.89</v>
      </c>
      <c r="Y77" s="14">
        <f>ROUND(MIN(100, (X77/69.91)*100), 2)</f>
        <v/>
      </c>
    </row>
    <row r="78">
      <c r="A78" s="10" t="n">
        <v>2</v>
      </c>
      <c r="B78" s="10" t="n">
        <v>74</v>
      </c>
      <c r="C78" s="10" t="n">
        <v>1074</v>
      </c>
      <c r="D78" s="10" t="inlineStr">
        <is>
          <t>1907001003</t>
        </is>
      </c>
      <c r="E78" s="26" t="inlineStr">
        <is>
          <t>Bangsamoro Autonomous Region In Muslim Mindanao (BARMM)</t>
        </is>
      </c>
      <c r="F78" s="26" t="inlineStr">
        <is>
          <t>Tawi-Tawi</t>
        </is>
      </c>
      <c r="G78" s="26" t="inlineStr">
        <is>
          <t>Panglima Sugala</t>
        </is>
      </c>
      <c r="H78" s="26" t="inlineStr">
        <is>
          <t>Buan</t>
        </is>
      </c>
      <c r="I78" s="27" t="n">
        <v>17.255678</v>
      </c>
      <c r="J78" s="27" t="n">
        <v>122.229722</v>
      </c>
      <c r="K78" s="10" t="inlineStr">
        <is>
          <t>R</t>
        </is>
      </c>
      <c r="L78" s="12" t="n">
        <v>4393</v>
      </c>
      <c r="M78" s="14" t="n">
        <v>5.8</v>
      </c>
      <c r="N78" s="12">
        <f>ROUND(L78/M78, 0)</f>
        <v/>
      </c>
      <c r="O78" s="12">
        <f>ROUND(N78*'Methodology &amp; Assumptions'!$B$5, 0)</f>
        <v/>
      </c>
      <c r="P78" s="10" t="inlineStr">
        <is>
          <t>Single Carrier (Band n50, 100MHz TDD)</t>
        </is>
      </c>
      <c r="Q78" s="13">
        <f>ROUNDUP(O78/'Methodology &amp; Assumptions'!$B$6, 0)</f>
        <v/>
      </c>
      <c r="R78" s="13" t="n">
        <v>1</v>
      </c>
      <c r="S78" s="14" t="n">
        <v>29.54</v>
      </c>
      <c r="T78" s="14" t="n">
        <v>34.41</v>
      </c>
      <c r="U78" s="26">
        <f>IF(X78&gt;='Methodology &amp; Assumptions'!$B$7, "Tier 1 Critical GIDA (Score ≥ 50.0)", IF(X78&gt;='Methodology &amp; Assumptions'!$B$8, "Tier 2 High GIDA (Score 40.0–49.9)", "Tier 3 Moderate GIDA (Score &lt; 40.0)"))</f>
        <v/>
      </c>
      <c r="V78" s="26">
        <f>IF(S78&lt;='Methodology &amp; Assumptions'!$B$10, "Direct Optical Drop (&lt;3km)", IF(S78&lt;='Methodology &amp; Assumptions'!$B$9, "Near Optical / Microwave (&lt;5km)", "Starlink Business LEO Satellite Backhaul (&gt;5km)"))</f>
        <v/>
      </c>
      <c r="W78" s="28" t="n">
        <v>0.11</v>
      </c>
      <c r="X78" s="14" t="n">
        <v>50.89</v>
      </c>
      <c r="Y78" s="14">
        <f>ROUND(MIN(100, (X78/69.91)*100), 2)</f>
        <v/>
      </c>
    </row>
    <row r="79">
      <c r="A79" s="10" t="n">
        <v>2</v>
      </c>
      <c r="B79" s="10" t="n">
        <v>75</v>
      </c>
      <c r="C79" s="10" t="n">
        <v>1075</v>
      </c>
      <c r="D79" s="10" t="inlineStr">
        <is>
          <t>0806008008</t>
        </is>
      </c>
      <c r="E79" s="26" t="inlineStr">
        <is>
          <t>Region VIII (Eastern Visayas)</t>
        </is>
      </c>
      <c r="F79" s="26" t="inlineStr">
        <is>
          <t>Samar</t>
        </is>
      </c>
      <c r="G79" s="26" t="inlineStr">
        <is>
          <t>Hinabangan</t>
        </is>
      </c>
      <c r="H79" s="26" t="inlineStr">
        <is>
          <t>Dalosdoson</t>
        </is>
      </c>
      <c r="I79" s="27" t="n">
        <v>11.68266</v>
      </c>
      <c r="J79" s="27" t="n">
        <v>125.07233</v>
      </c>
      <c r="K79" s="10" t="inlineStr">
        <is>
          <t>R</t>
        </is>
      </c>
      <c r="L79" s="12" t="n">
        <v>332</v>
      </c>
      <c r="M79" s="14" t="n">
        <v>4.1</v>
      </c>
      <c r="N79" s="12">
        <f>ROUND(L79/M79, 0)</f>
        <v/>
      </c>
      <c r="O79" s="12">
        <f>ROUND(N79*'Methodology &amp; Assumptions'!$B$5, 0)</f>
        <v/>
      </c>
      <c r="P79" s="10" t="inlineStr">
        <is>
          <t>Single Carrier (Band n50, 100MHz TDD)</t>
        </is>
      </c>
      <c r="Q79" s="13">
        <f>ROUNDUP(O79/'Methodology &amp; Assumptions'!$B$6, 0)</f>
        <v/>
      </c>
      <c r="R79" s="13" t="n">
        <v>1</v>
      </c>
      <c r="S79" s="14" t="n">
        <v>49.85</v>
      </c>
      <c r="T79" s="14" t="n">
        <v>52.73</v>
      </c>
      <c r="U79" s="26">
        <f>IF(X79&gt;='Methodology &amp; Assumptions'!$B$7, "Tier 1 Critical GIDA (Score ≥ 50.0)", IF(X79&gt;='Methodology &amp; Assumptions'!$B$8, "Tier 2 High GIDA (Score 40.0–49.9)", "Tier 3 Moderate GIDA (Score &lt; 40.0)"))</f>
        <v/>
      </c>
      <c r="V79" s="26">
        <f>IF(S79&lt;='Methodology &amp; Assumptions'!$B$10, "Direct Optical Drop (&lt;3km)", IF(S79&lt;='Methodology &amp; Assumptions'!$B$9, "Near Optical / Microwave (&lt;5km)", "Starlink Business LEO Satellite Backhaul (&gt;5km)"))</f>
        <v/>
      </c>
      <c r="W79" s="28" t="n">
        <v>0.237</v>
      </c>
      <c r="X79" s="14" t="n">
        <v>50.88</v>
      </c>
      <c r="Y79" s="14">
        <f>ROUND(MIN(100, (X79/69.91)*100), 2)</f>
        <v/>
      </c>
    </row>
    <row r="80">
      <c r="A80" s="10" t="n">
        <v>2</v>
      </c>
      <c r="B80" s="10" t="n">
        <v>76</v>
      </c>
      <c r="C80" s="10" t="n">
        <v>1076</v>
      </c>
      <c r="D80" s="10" t="inlineStr">
        <is>
          <t>PH0001076</t>
        </is>
      </c>
      <c r="E80" s="26" t="inlineStr">
        <is>
          <t>I</t>
        </is>
      </c>
      <c r="F80" s="26" t="inlineStr">
        <is>
          <t>Ilocos Norte</t>
        </is>
      </c>
      <c r="G80" s="26" t="inlineStr">
        <is>
          <t>Laoag City</t>
        </is>
      </c>
      <c r="H80" s="26" t="inlineStr">
        <is>
          <t>Bgy. No. 13, Nstra. Sra. De Visitacion (Pob.)</t>
        </is>
      </c>
      <c r="I80" s="27" t="n">
        <v>18.202278</v>
      </c>
      <c r="J80" s="27" t="n">
        <v>120.569954</v>
      </c>
      <c r="K80" s="10" t="inlineStr">
        <is>
          <t>R</t>
        </is>
      </c>
      <c r="L80" s="12" t="n">
        <v>2233</v>
      </c>
      <c r="M80" s="14" t="n">
        <v>3.7</v>
      </c>
      <c r="N80" s="12">
        <f>ROUND(L80/M80, 0)</f>
        <v/>
      </c>
      <c r="O80" s="12">
        <f>ROUND(N80*'Methodology &amp; Assumptions'!$B$5, 0)</f>
        <v/>
      </c>
      <c r="P80" s="10" t="inlineStr">
        <is>
          <t>Single Carrier (Band n50, 100MHz TDD)</t>
        </is>
      </c>
      <c r="Q80" s="13">
        <f>ROUNDUP(O80/'Methodology &amp; Assumptions'!$B$6, 0)</f>
        <v/>
      </c>
      <c r="R80" s="13" t="n">
        <v>1</v>
      </c>
      <c r="S80" s="14" t="n">
        <v>1.71</v>
      </c>
      <c r="T80" s="14" t="n">
        <v>1.67</v>
      </c>
      <c r="U80" s="26">
        <f>IF(X80&gt;='Methodology &amp; Assumptions'!$B$7, "Tier 1 Critical GIDA (Score ≥ 50.0)", IF(X80&gt;='Methodology &amp; Assumptions'!$B$8, "Tier 2 High GIDA (Score 40.0–49.9)", "Tier 3 Moderate GIDA (Score &lt; 40.0)"))</f>
        <v/>
      </c>
      <c r="V80" s="26">
        <f>IF(S80&lt;='Methodology &amp; Assumptions'!$B$10, "Direct Optical Drop (&lt;3km)", IF(S80&lt;='Methodology &amp; Assumptions'!$B$9, "Near Optical / Microwave (&lt;5km)", "Starlink Business LEO Satellite Backhaul (&gt;5km)"))</f>
        <v/>
      </c>
      <c r="W80" s="28" t="n">
        <v>0.083</v>
      </c>
      <c r="X80" s="14" t="n">
        <v>50.88</v>
      </c>
      <c r="Y80" s="14">
        <f>ROUND(MIN(100, (X80/69.91)*100), 2)</f>
        <v/>
      </c>
    </row>
    <row r="81">
      <c r="A81" s="10" t="n">
        <v>2</v>
      </c>
      <c r="B81" s="10" t="n">
        <v>77</v>
      </c>
      <c r="C81" s="10" t="n">
        <v>1077</v>
      </c>
      <c r="D81" s="10" t="inlineStr">
        <is>
          <t>0403403004</t>
        </is>
      </c>
      <c r="E81" s="26" t="inlineStr">
        <is>
          <t>Region IV-A (CALABARZON)</t>
        </is>
      </c>
      <c r="F81" s="26" t="inlineStr">
        <is>
          <t>Laguna</t>
        </is>
      </c>
      <c r="G81" s="26" t="inlineStr">
        <is>
          <t>City of Biñan</t>
        </is>
      </c>
      <c r="H81" s="26" t="inlineStr">
        <is>
          <t>Canlalay</t>
        </is>
      </c>
      <c r="I81" s="27" t="n">
        <v>14.342534</v>
      </c>
      <c r="J81" s="27" t="n">
        <v>121.072029</v>
      </c>
      <c r="K81" s="10" t="inlineStr">
        <is>
          <t>U</t>
        </is>
      </c>
      <c r="L81" s="12" t="n">
        <v>22311</v>
      </c>
      <c r="M81" s="14" t="n">
        <v>3.3</v>
      </c>
      <c r="N81" s="12">
        <f>ROUND(L81/M81, 0)</f>
        <v/>
      </c>
      <c r="O81" s="12">
        <f>ROUND(N81*'Methodology &amp; Assumptions'!$B$5, 0)</f>
        <v/>
      </c>
      <c r="P81" s="10" t="inlineStr">
        <is>
          <t>Single Carrier (Band n50, 100MHz TDD)</t>
        </is>
      </c>
      <c r="Q81" s="13">
        <f>ROUNDUP(O81/'Methodology &amp; Assumptions'!$B$6, 0)</f>
        <v/>
      </c>
      <c r="R81" s="13" t="n">
        <v>1</v>
      </c>
      <c r="S81" s="14" t="n">
        <v>0.59</v>
      </c>
      <c r="T81" s="14" t="n">
        <v>0.19</v>
      </c>
      <c r="U81" s="26">
        <f>IF(X81&gt;='Methodology &amp; Assumptions'!$B$7, "Tier 1 Critical GIDA (Score ≥ 50.0)", IF(X81&gt;='Methodology &amp; Assumptions'!$B$8, "Tier 2 High GIDA (Score 40.0–49.9)", "Tier 3 Moderate GIDA (Score &lt; 40.0)"))</f>
        <v/>
      </c>
      <c r="V81" s="26">
        <f>IF(S81&lt;='Methodology &amp; Assumptions'!$B$10, "Direct Optical Drop (&lt;3km)", IF(S81&lt;='Methodology &amp; Assumptions'!$B$9, "Near Optical / Microwave (&lt;5km)", "Starlink Business LEO Satellite Backhaul (&gt;5km)"))</f>
        <v/>
      </c>
      <c r="W81" s="28" t="n">
        <v>0.07200000000000001</v>
      </c>
      <c r="X81" s="14" t="n">
        <v>50.88</v>
      </c>
      <c r="Y81" s="14">
        <f>ROUND(MIN(100, (X81/69.91)*100), 2)</f>
        <v/>
      </c>
    </row>
    <row r="82">
      <c r="A82" s="10" t="n">
        <v>2</v>
      </c>
      <c r="B82" s="10" t="n">
        <v>78</v>
      </c>
      <c r="C82" s="10" t="n">
        <v>1078</v>
      </c>
      <c r="D82" s="10" t="inlineStr">
        <is>
          <t>1381100178</t>
        </is>
      </c>
      <c r="E82" s="26" t="inlineStr">
        <is>
          <t>National Capital Region (NCR)</t>
        </is>
      </c>
      <c r="F82" s="26" t="inlineStr">
        <is>
          <t>Fourth District (Not a Province)</t>
        </is>
      </c>
      <c r="G82" s="26" t="inlineStr">
        <is>
          <t>Pasay City</t>
        </is>
      </c>
      <c r="H82" s="26" t="inlineStr">
        <is>
          <t>Barangay 178</t>
        </is>
      </c>
      <c r="I82" s="27" t="n">
        <v>14.549645</v>
      </c>
      <c r="J82" s="27" t="n">
        <v>120.997969</v>
      </c>
      <c r="K82" s="10" t="inlineStr">
        <is>
          <t>U</t>
        </is>
      </c>
      <c r="L82" s="12" t="n">
        <v>4000</v>
      </c>
      <c r="M82" s="14" t="n">
        <v>3.4</v>
      </c>
      <c r="N82" s="12">
        <f>ROUND(L82/M82, 0)</f>
        <v/>
      </c>
      <c r="O82" s="12">
        <f>ROUND(N82*'Methodology &amp; Assumptions'!$B$5, 0)</f>
        <v/>
      </c>
      <c r="P82" s="10" t="inlineStr">
        <is>
          <t>Single Carrier (Band n50, 100MHz TDD)</t>
        </is>
      </c>
      <c r="Q82" s="13">
        <f>ROUNDUP(O82/'Methodology &amp; Assumptions'!$B$6, 0)</f>
        <v/>
      </c>
      <c r="R82" s="13" t="n">
        <v>1</v>
      </c>
      <c r="S82" s="14" t="n">
        <v>0.68</v>
      </c>
      <c r="T82" s="14" t="n">
        <v>0.15</v>
      </c>
      <c r="U82" s="26">
        <f>IF(X82&gt;='Methodology &amp; Assumptions'!$B$7, "Tier 1 Critical GIDA (Score ≥ 50.0)", IF(X82&gt;='Methodology &amp; Assumptions'!$B$8, "Tier 2 High GIDA (Score 40.0–49.9)", "Tier 3 Moderate GIDA (Score &lt; 40.0)"))</f>
        <v/>
      </c>
      <c r="V82" s="26">
        <f>IF(S82&lt;='Methodology &amp; Assumptions'!$B$10, "Direct Optical Drop (&lt;3km)", IF(S82&lt;='Methodology &amp; Assumptions'!$B$9, "Near Optical / Microwave (&lt;5km)", "Starlink Business LEO Satellite Backhaul (&gt;5km)"))</f>
        <v/>
      </c>
      <c r="W82" s="28" t="n">
        <v>0.109</v>
      </c>
      <c r="X82" s="14" t="n">
        <v>50.88</v>
      </c>
      <c r="Y82" s="14">
        <f>ROUND(MIN(100, (X82/69.91)*100), 2)</f>
        <v/>
      </c>
    </row>
    <row r="83">
      <c r="A83" s="10" t="n">
        <v>2</v>
      </c>
      <c r="B83" s="10" t="n">
        <v>79</v>
      </c>
      <c r="C83" s="10" t="n">
        <v>1079</v>
      </c>
      <c r="D83" s="10" t="inlineStr">
        <is>
          <t>1907001011</t>
        </is>
      </c>
      <c r="E83" s="26" t="inlineStr">
        <is>
          <t>Bangsamoro Autonomous Region In Muslim Mindanao (BARMM)</t>
        </is>
      </c>
      <c r="F83" s="26" t="inlineStr">
        <is>
          <t>Tawi-Tawi</t>
        </is>
      </c>
      <c r="G83" s="26" t="inlineStr">
        <is>
          <t>Panglima Sugala</t>
        </is>
      </c>
      <c r="H83" s="26" t="inlineStr">
        <is>
          <t>Belatan Halu</t>
        </is>
      </c>
      <c r="I83" s="27" t="n">
        <v>17.255676</v>
      </c>
      <c r="J83" s="27" t="n">
        <v>122.22972</v>
      </c>
      <c r="K83" s="10" t="inlineStr">
        <is>
          <t>R</t>
        </is>
      </c>
      <c r="L83" s="12" t="n">
        <v>3579</v>
      </c>
      <c r="M83" s="14" t="n">
        <v>5.8</v>
      </c>
      <c r="N83" s="12">
        <f>ROUND(L83/M83, 0)</f>
        <v/>
      </c>
      <c r="O83" s="12">
        <f>ROUND(N83*'Methodology &amp; Assumptions'!$B$5, 0)</f>
        <v/>
      </c>
      <c r="P83" s="10" t="inlineStr">
        <is>
          <t>Single Carrier (Band n50, 100MHz TDD)</t>
        </is>
      </c>
      <c r="Q83" s="13">
        <f>ROUNDUP(O83/'Methodology &amp; Assumptions'!$B$6, 0)</f>
        <v/>
      </c>
      <c r="R83" s="13" t="n">
        <v>1</v>
      </c>
      <c r="S83" s="14" t="n">
        <v>29.54</v>
      </c>
      <c r="T83" s="14" t="n">
        <v>34.41</v>
      </c>
      <c r="U83" s="26">
        <f>IF(X83&gt;='Methodology &amp; Assumptions'!$B$7, "Tier 1 Critical GIDA (Score ≥ 50.0)", IF(X83&gt;='Methodology &amp; Assumptions'!$B$8, "Tier 2 High GIDA (Score 40.0–49.9)", "Tier 3 Moderate GIDA (Score &lt; 40.0)"))</f>
        <v/>
      </c>
      <c r="V83" s="26">
        <f>IF(S83&lt;='Methodology &amp; Assumptions'!$B$10, "Direct Optical Drop (&lt;3km)", IF(S83&lt;='Methodology &amp; Assumptions'!$B$9, "Near Optical / Microwave (&lt;5km)", "Starlink Business LEO Satellite Backhaul (&gt;5km)"))</f>
        <v/>
      </c>
      <c r="W83" s="28" t="n">
        <v>0.11</v>
      </c>
      <c r="X83" s="14" t="n">
        <v>50.87</v>
      </c>
      <c r="Y83" s="14">
        <f>ROUND(MIN(100, (X83/69.91)*100), 2)</f>
        <v/>
      </c>
    </row>
    <row r="84">
      <c r="A84" s="10" t="n">
        <v>2</v>
      </c>
      <c r="B84" s="10" t="n">
        <v>80</v>
      </c>
      <c r="C84" s="10" t="n">
        <v>1080</v>
      </c>
      <c r="D84" s="10" t="inlineStr">
        <is>
          <t>1907001009</t>
        </is>
      </c>
      <c r="E84" s="26" t="inlineStr">
        <is>
          <t>Bangsamoro Autonomous Region In Muslim Mindanao (BARMM)</t>
        </is>
      </c>
      <c r="F84" s="26" t="inlineStr">
        <is>
          <t>Tawi-Tawi</t>
        </is>
      </c>
      <c r="G84" s="26" t="inlineStr">
        <is>
          <t>Panglima Sugala</t>
        </is>
      </c>
      <c r="H84" s="26" t="inlineStr">
        <is>
          <t>Tungbangkaw</t>
        </is>
      </c>
      <c r="I84" s="27" t="n">
        <v>17.25569</v>
      </c>
      <c r="J84" s="27" t="n">
        <v>122.229734</v>
      </c>
      <c r="K84" s="10" t="inlineStr">
        <is>
          <t>R</t>
        </is>
      </c>
      <c r="L84" s="12" t="n">
        <v>3589</v>
      </c>
      <c r="M84" s="14" t="n">
        <v>5.8</v>
      </c>
      <c r="N84" s="12">
        <f>ROUND(L84/M84, 0)</f>
        <v/>
      </c>
      <c r="O84" s="12">
        <f>ROUND(N84*'Methodology &amp; Assumptions'!$B$5, 0)</f>
        <v/>
      </c>
      <c r="P84" s="10" t="inlineStr">
        <is>
          <t>Single Carrier (Band n50, 100MHz TDD)</t>
        </is>
      </c>
      <c r="Q84" s="13">
        <f>ROUNDUP(O84/'Methodology &amp; Assumptions'!$B$6, 0)</f>
        <v/>
      </c>
      <c r="R84" s="13" t="n">
        <v>1</v>
      </c>
      <c r="S84" s="14" t="n">
        <v>29.54</v>
      </c>
      <c r="T84" s="14" t="n">
        <v>34.41</v>
      </c>
      <c r="U84" s="26">
        <f>IF(X84&gt;='Methodology &amp; Assumptions'!$B$7, "Tier 1 Critical GIDA (Score ≥ 50.0)", IF(X84&gt;='Methodology &amp; Assumptions'!$B$8, "Tier 2 High GIDA (Score 40.0–49.9)", "Tier 3 Moderate GIDA (Score &lt; 40.0)"))</f>
        <v/>
      </c>
      <c r="V84" s="26">
        <f>IF(S84&lt;='Methodology &amp; Assumptions'!$B$10, "Direct Optical Drop (&lt;3km)", IF(S84&lt;='Methodology &amp; Assumptions'!$B$9, "Near Optical / Microwave (&lt;5km)", "Starlink Business LEO Satellite Backhaul (&gt;5km)"))</f>
        <v/>
      </c>
      <c r="W84" s="28" t="n">
        <v>0.11</v>
      </c>
      <c r="X84" s="14" t="n">
        <v>50.87</v>
      </c>
      <c r="Y84" s="14">
        <f>ROUND(MIN(100, (X84/69.91)*100), 2)</f>
        <v/>
      </c>
    </row>
    <row r="85">
      <c r="A85" s="10" t="n">
        <v>2</v>
      </c>
      <c r="B85" s="10" t="n">
        <v>81</v>
      </c>
      <c r="C85" s="10" t="n">
        <v>1081</v>
      </c>
      <c r="D85" s="10" t="inlineStr">
        <is>
          <t>1380606017</t>
        </is>
      </c>
      <c r="E85" s="26" t="inlineStr">
        <is>
          <t>National Capital Region (NCR)</t>
        </is>
      </c>
      <c r="F85" s="26" t="inlineStr">
        <is>
          <t>First District (Not a Province)</t>
        </is>
      </c>
      <c r="G85" s="26" t="inlineStr">
        <is>
          <t>City of Manila</t>
        </is>
      </c>
      <c r="H85" s="26" t="inlineStr">
        <is>
          <t>Barangay 411</t>
        </is>
      </c>
      <c r="I85" s="27" t="n">
        <v>12.969061</v>
      </c>
      <c r="J85" s="27" t="n">
        <v>121.577418</v>
      </c>
      <c r="K85" s="10" t="inlineStr">
        <is>
          <t>U</t>
        </is>
      </c>
      <c r="L85" s="12" t="n">
        <v>1961</v>
      </c>
      <c r="M85" s="14" t="n">
        <v>3.9</v>
      </c>
      <c r="N85" s="12">
        <f>ROUND(L85/M85, 0)</f>
        <v/>
      </c>
      <c r="O85" s="12">
        <f>ROUND(N85*'Methodology &amp; Assumptions'!$B$5, 0)</f>
        <v/>
      </c>
      <c r="P85" s="10" t="inlineStr">
        <is>
          <t>Single Carrier (Band n50, 100MHz TDD)</t>
        </is>
      </c>
      <c r="Q85" s="13">
        <f>ROUNDUP(O85/'Methodology &amp; Assumptions'!$B$6, 0)</f>
        <v/>
      </c>
      <c r="R85" s="13" t="n">
        <v>1</v>
      </c>
      <c r="S85" s="14" t="n">
        <v>10.88</v>
      </c>
      <c r="T85" s="14" t="n">
        <v>10.8</v>
      </c>
      <c r="U85" s="26">
        <f>IF(X85&gt;='Methodology &amp; Assumptions'!$B$7, "Tier 1 Critical GIDA (Score ≥ 50.0)", IF(X85&gt;='Methodology &amp; Assumptions'!$B$8, "Tier 2 High GIDA (Score 40.0–49.9)", "Tier 3 Moderate GIDA (Score &lt; 40.0)"))</f>
        <v/>
      </c>
      <c r="V85" s="26">
        <f>IF(S85&lt;='Methodology &amp; Assumptions'!$B$10, "Direct Optical Drop (&lt;3km)", IF(S85&lt;='Methodology &amp; Assumptions'!$B$9, "Near Optical / Microwave (&lt;5km)", "Starlink Business LEO Satellite Backhaul (&gt;5km)"))</f>
        <v/>
      </c>
      <c r="W85" s="28" t="n">
        <v>0.109</v>
      </c>
      <c r="X85" s="14" t="n">
        <v>50.87</v>
      </c>
      <c r="Y85" s="14">
        <f>ROUND(MIN(100, (X85/69.91)*100), 2)</f>
        <v/>
      </c>
    </row>
    <row r="86">
      <c r="A86" s="10" t="n">
        <v>2</v>
      </c>
      <c r="B86" s="10" t="n">
        <v>82</v>
      </c>
      <c r="C86" s="10" t="n">
        <v>1082</v>
      </c>
      <c r="D86" s="10" t="inlineStr">
        <is>
          <t>1380607003</t>
        </is>
      </c>
      <c r="E86" s="26" t="inlineStr">
        <is>
          <t>National Capital Region (NCR)</t>
        </is>
      </c>
      <c r="F86" s="26" t="inlineStr">
        <is>
          <t>First District (Not a Province)</t>
        </is>
      </c>
      <c r="G86" s="26" t="inlineStr">
        <is>
          <t>City of Manila</t>
        </is>
      </c>
      <c r="H86" s="26" t="inlineStr">
        <is>
          <t>Barangay 639</t>
        </is>
      </c>
      <c r="I86" s="27" t="n">
        <v>12.943689</v>
      </c>
      <c r="J86" s="27" t="n">
        <v>121.982186</v>
      </c>
      <c r="K86" s="10" t="inlineStr">
        <is>
          <t>U</t>
        </is>
      </c>
      <c r="L86" s="12" t="n">
        <v>505</v>
      </c>
      <c r="M86" s="14" t="n">
        <v>3.9</v>
      </c>
      <c r="N86" s="12">
        <f>ROUND(L86/M86, 0)</f>
        <v/>
      </c>
      <c r="O86" s="12">
        <f>ROUND(N86*'Methodology &amp; Assumptions'!$B$5, 0)</f>
        <v/>
      </c>
      <c r="P86" s="10" t="inlineStr">
        <is>
          <t>Single Carrier (Band n50, 100MHz TDD)</t>
        </is>
      </c>
      <c r="Q86" s="13">
        <f>ROUNDUP(O86/'Methodology &amp; Assumptions'!$B$6, 0)</f>
        <v/>
      </c>
      <c r="R86" s="13" t="n">
        <v>1</v>
      </c>
      <c r="S86" s="14" t="n">
        <v>53.23</v>
      </c>
      <c r="T86" s="14" t="n">
        <v>54.72</v>
      </c>
      <c r="U86" s="26">
        <f>IF(X86&gt;='Methodology &amp; Assumptions'!$B$7, "Tier 1 Critical GIDA (Score ≥ 50.0)", IF(X86&gt;='Methodology &amp; Assumptions'!$B$8, "Tier 2 High GIDA (Score 40.0–49.9)", "Tier 3 Moderate GIDA (Score &lt; 40.0)"))</f>
        <v/>
      </c>
      <c r="V86" s="26">
        <f>IF(S86&lt;='Methodology &amp; Assumptions'!$B$10, "Direct Optical Drop (&lt;3km)", IF(S86&lt;='Methodology &amp; Assumptions'!$B$9, "Near Optical / Microwave (&lt;5km)", "Starlink Business LEO Satellite Backhaul (&gt;5km)"))</f>
        <v/>
      </c>
      <c r="W86" s="28" t="n">
        <v>0.109</v>
      </c>
      <c r="X86" s="14" t="n">
        <v>50.87</v>
      </c>
      <c r="Y86" s="14">
        <f>ROUND(MIN(100, (X86/69.91)*100), 2)</f>
        <v/>
      </c>
    </row>
    <row r="87">
      <c r="A87" s="10" t="n">
        <v>2</v>
      </c>
      <c r="B87" s="10" t="n">
        <v>83</v>
      </c>
      <c r="C87" s="10" t="n">
        <v>1083</v>
      </c>
      <c r="D87" s="10" t="inlineStr">
        <is>
          <t>1907001014</t>
        </is>
      </c>
      <c r="E87" s="26" t="inlineStr">
        <is>
          <t>Bangsamoro Autonomous Region In Muslim Mindanao (BARMM)</t>
        </is>
      </c>
      <c r="F87" s="26" t="inlineStr">
        <is>
          <t>Tawi-Tawi</t>
        </is>
      </c>
      <c r="G87" s="26" t="inlineStr">
        <is>
          <t>Panglima Sugala</t>
        </is>
      </c>
      <c r="H87" s="26" t="inlineStr">
        <is>
          <t>Liyaburan</t>
        </is>
      </c>
      <c r="I87" s="27" t="n">
        <v>5.254445</v>
      </c>
      <c r="J87" s="27" t="n">
        <v>120.15583</v>
      </c>
      <c r="K87" s="10" t="inlineStr">
        <is>
          <t>R</t>
        </is>
      </c>
      <c r="L87" s="12" t="n">
        <v>2636</v>
      </c>
      <c r="M87" s="14" t="n">
        <v>5.8</v>
      </c>
      <c r="N87" s="12">
        <f>ROUND(L87/M87, 0)</f>
        <v/>
      </c>
      <c r="O87" s="12">
        <f>ROUND(N87*'Methodology &amp; Assumptions'!$B$5, 0)</f>
        <v/>
      </c>
      <c r="P87" s="10" t="inlineStr">
        <is>
          <t>Single Carrier (Band n50, 100MHz TDD)</t>
        </is>
      </c>
      <c r="Q87" s="13">
        <f>ROUNDUP(O87/'Methodology &amp; Assumptions'!$B$6, 0)</f>
        <v/>
      </c>
      <c r="R87" s="13" t="n">
        <v>1</v>
      </c>
      <c r="S87" s="14" t="n">
        <v>999</v>
      </c>
      <c r="T87" s="14" t="n">
        <v>999</v>
      </c>
      <c r="U87" s="26">
        <f>IF(X87&gt;='Methodology &amp; Assumptions'!$B$7, "Tier 1 Critical GIDA (Score ≥ 50.0)", IF(X87&gt;='Methodology &amp; Assumptions'!$B$8, "Tier 2 High GIDA (Score 40.0–49.9)", "Tier 3 Moderate GIDA (Score &lt; 40.0)"))</f>
        <v/>
      </c>
      <c r="V87" s="26">
        <f>IF(S87&lt;='Methodology &amp; Assumptions'!$B$10, "Direct Optical Drop (&lt;3km)", IF(S87&lt;='Methodology &amp; Assumptions'!$B$9, "Near Optical / Microwave (&lt;5km)", "Starlink Business LEO Satellite Backhaul (&gt;5km)"))</f>
        <v/>
      </c>
      <c r="W87" s="28" t="n">
        <v>0.11</v>
      </c>
      <c r="X87" s="14" t="n">
        <v>50.86</v>
      </c>
      <c r="Y87" s="14">
        <f>ROUND(MIN(100, (X87/69.91)*100), 2)</f>
        <v/>
      </c>
    </row>
    <row r="88">
      <c r="A88" s="10" t="n">
        <v>2</v>
      </c>
      <c r="B88" s="10" t="n">
        <v>84</v>
      </c>
      <c r="C88" s="10" t="n">
        <v>1084</v>
      </c>
      <c r="D88" s="10" t="inlineStr">
        <is>
          <t>1907001005</t>
        </is>
      </c>
      <c r="E88" s="26" t="inlineStr">
        <is>
          <t>Bangsamoro Autonomous Region In Muslim Mindanao (BARMM)</t>
        </is>
      </c>
      <c r="F88" s="26" t="inlineStr">
        <is>
          <t>Tawi-Tawi</t>
        </is>
      </c>
      <c r="G88" s="26" t="inlineStr">
        <is>
          <t>Panglima Sugala</t>
        </is>
      </c>
      <c r="H88" s="26" t="inlineStr">
        <is>
          <t>Luuk Buntal</t>
        </is>
      </c>
      <c r="I88" s="27" t="n">
        <v>17.255688</v>
      </c>
      <c r="J88" s="27" t="n">
        <v>122.229732</v>
      </c>
      <c r="K88" s="10" t="inlineStr">
        <is>
          <t>R</t>
        </is>
      </c>
      <c r="L88" s="12" t="n">
        <v>2290</v>
      </c>
      <c r="M88" s="14" t="n">
        <v>5.8</v>
      </c>
      <c r="N88" s="12">
        <f>ROUND(L88/M88, 0)</f>
        <v/>
      </c>
      <c r="O88" s="12">
        <f>ROUND(N88*'Methodology &amp; Assumptions'!$B$5, 0)</f>
        <v/>
      </c>
      <c r="P88" s="10" t="inlineStr">
        <is>
          <t>Single Carrier (Band n50, 100MHz TDD)</t>
        </is>
      </c>
      <c r="Q88" s="13">
        <f>ROUNDUP(O88/'Methodology &amp; Assumptions'!$B$6, 0)</f>
        <v/>
      </c>
      <c r="R88" s="13" t="n">
        <v>1</v>
      </c>
      <c r="S88" s="14" t="n">
        <v>29.54</v>
      </c>
      <c r="T88" s="14" t="n">
        <v>34.41</v>
      </c>
      <c r="U88" s="26">
        <f>IF(X88&gt;='Methodology &amp; Assumptions'!$B$7, "Tier 1 Critical GIDA (Score ≥ 50.0)", IF(X88&gt;='Methodology &amp; Assumptions'!$B$8, "Tier 2 High GIDA (Score 40.0–49.9)", "Tier 3 Moderate GIDA (Score &lt; 40.0)"))</f>
        <v/>
      </c>
      <c r="V88" s="26">
        <f>IF(S88&lt;='Methodology &amp; Assumptions'!$B$10, "Direct Optical Drop (&lt;3km)", IF(S88&lt;='Methodology &amp; Assumptions'!$B$9, "Near Optical / Microwave (&lt;5km)", "Starlink Business LEO Satellite Backhaul (&gt;5km)"))</f>
        <v/>
      </c>
      <c r="W88" s="28" t="n">
        <v>0.11</v>
      </c>
      <c r="X88" s="14" t="n">
        <v>50.86</v>
      </c>
      <c r="Y88" s="14">
        <f>ROUND(MIN(100, (X88/69.91)*100), 2)</f>
        <v/>
      </c>
    </row>
    <row r="89">
      <c r="A89" s="10" t="n">
        <v>2</v>
      </c>
      <c r="B89" s="10" t="n">
        <v>85</v>
      </c>
      <c r="C89" s="10" t="n">
        <v>1085</v>
      </c>
      <c r="D89" s="10" t="inlineStr">
        <is>
          <t>1907001004</t>
        </is>
      </c>
      <c r="E89" s="26" t="inlineStr">
        <is>
          <t>Bangsamoro Autonomous Region In Muslim Mindanao (BARMM)</t>
        </is>
      </c>
      <c r="F89" s="26" t="inlineStr">
        <is>
          <t>Tawi-Tawi</t>
        </is>
      </c>
      <c r="G89" s="26" t="inlineStr">
        <is>
          <t>Panglima Sugala</t>
        </is>
      </c>
      <c r="H89" s="26" t="inlineStr">
        <is>
          <t>Dungon</t>
        </is>
      </c>
      <c r="I89" s="27" t="n">
        <v>17.255681</v>
      </c>
      <c r="J89" s="27" t="n">
        <v>122.229725</v>
      </c>
      <c r="K89" s="10" t="inlineStr">
        <is>
          <t>R</t>
        </is>
      </c>
      <c r="L89" s="12" t="n">
        <v>2240</v>
      </c>
      <c r="M89" s="14" t="n">
        <v>5.8</v>
      </c>
      <c r="N89" s="12">
        <f>ROUND(L89/M89, 0)</f>
        <v/>
      </c>
      <c r="O89" s="12">
        <f>ROUND(N89*'Methodology &amp; Assumptions'!$B$5, 0)</f>
        <v/>
      </c>
      <c r="P89" s="10" t="inlineStr">
        <is>
          <t>Single Carrier (Band n50, 100MHz TDD)</t>
        </is>
      </c>
      <c r="Q89" s="13">
        <f>ROUNDUP(O89/'Methodology &amp; Assumptions'!$B$6, 0)</f>
        <v/>
      </c>
      <c r="R89" s="13" t="n">
        <v>1</v>
      </c>
      <c r="S89" s="14" t="n">
        <v>29.54</v>
      </c>
      <c r="T89" s="14" t="n">
        <v>34.41</v>
      </c>
      <c r="U89" s="26">
        <f>IF(X89&gt;='Methodology &amp; Assumptions'!$B$7, "Tier 1 Critical GIDA (Score ≥ 50.0)", IF(X89&gt;='Methodology &amp; Assumptions'!$B$8, "Tier 2 High GIDA (Score 40.0–49.9)", "Tier 3 Moderate GIDA (Score &lt; 40.0)"))</f>
        <v/>
      </c>
      <c r="V89" s="26">
        <f>IF(S89&lt;='Methodology &amp; Assumptions'!$B$10, "Direct Optical Drop (&lt;3km)", IF(S89&lt;='Methodology &amp; Assumptions'!$B$9, "Near Optical / Microwave (&lt;5km)", "Starlink Business LEO Satellite Backhaul (&gt;5km)"))</f>
        <v/>
      </c>
      <c r="W89" s="28" t="n">
        <v>0.11</v>
      </c>
      <c r="X89" s="14" t="n">
        <v>50.86</v>
      </c>
      <c r="Y89" s="14">
        <f>ROUND(MIN(100, (X89/69.91)*100), 2)</f>
        <v/>
      </c>
    </row>
    <row r="90">
      <c r="A90" s="10" t="n">
        <v>2</v>
      </c>
      <c r="B90" s="10" t="n">
        <v>86</v>
      </c>
      <c r="C90" s="10" t="n">
        <v>1086</v>
      </c>
      <c r="D90" s="10" t="inlineStr">
        <is>
          <t>1381600003</t>
        </is>
      </c>
      <c r="E90" s="26" t="inlineStr">
        <is>
          <t>National Capital Region (NCR)</t>
        </is>
      </c>
      <c r="F90" s="26" t="inlineStr">
        <is>
          <t>Third District (Not a Province)</t>
        </is>
      </c>
      <c r="G90" s="26" t="inlineStr">
        <is>
          <t>City of Valenzuela</t>
        </is>
      </c>
      <c r="H90" s="26" t="inlineStr">
        <is>
          <t>Balangkas</t>
        </is>
      </c>
      <c r="I90" s="27" t="n">
        <v>14.711389</v>
      </c>
      <c r="J90" s="27" t="n">
        <v>120.942222</v>
      </c>
      <c r="K90" s="10" t="inlineStr">
        <is>
          <t>U</t>
        </is>
      </c>
      <c r="L90" s="12" t="n">
        <v>14522</v>
      </c>
      <c r="M90" s="14" t="n">
        <v>3.5</v>
      </c>
      <c r="N90" s="12">
        <f>ROUND(L90/M90, 0)</f>
        <v/>
      </c>
      <c r="O90" s="12">
        <f>ROUND(N90*'Methodology &amp; Assumptions'!$B$5, 0)</f>
        <v/>
      </c>
      <c r="P90" s="10" t="inlineStr">
        <is>
          <t>Single Carrier (Band n50, 100MHz TDD)</t>
        </is>
      </c>
      <c r="Q90" s="13">
        <f>ROUNDUP(O90/'Methodology &amp; Assumptions'!$B$6, 0)</f>
        <v/>
      </c>
      <c r="R90" s="13" t="n">
        <v>1</v>
      </c>
      <c r="S90" s="14" t="n">
        <v>0.64</v>
      </c>
      <c r="T90" s="14" t="n">
        <v>1.74</v>
      </c>
      <c r="U90" s="26">
        <f>IF(X90&gt;='Methodology &amp; Assumptions'!$B$7, "Tier 1 Critical GIDA (Score ≥ 50.0)", IF(X90&gt;='Methodology &amp; Assumptions'!$B$8, "Tier 2 High GIDA (Score 40.0–49.9)", "Tier 3 Moderate GIDA (Score &lt; 40.0)"))</f>
        <v/>
      </c>
      <c r="V90" s="26">
        <f>IF(S90&lt;='Methodology &amp; Assumptions'!$B$10, "Direct Optical Drop (&lt;3km)", IF(S90&lt;='Methodology &amp; Assumptions'!$B$9, "Near Optical / Microwave (&lt;5km)", "Starlink Business LEO Satellite Backhaul (&gt;5km)"))</f>
        <v/>
      </c>
      <c r="W90" s="28" t="n">
        <v>0.109</v>
      </c>
      <c r="X90" s="14" t="n">
        <v>50.86</v>
      </c>
      <c r="Y90" s="14">
        <f>ROUND(MIN(100, (X90/69.91)*100), 2)</f>
        <v/>
      </c>
    </row>
    <row r="91">
      <c r="A91" s="10" t="n">
        <v>2</v>
      </c>
      <c r="B91" s="10" t="n">
        <v>87</v>
      </c>
      <c r="C91" s="10" t="n">
        <v>1087</v>
      </c>
      <c r="D91" s="10" t="inlineStr">
        <is>
          <t>1381100032</t>
        </is>
      </c>
      <c r="E91" s="26" t="inlineStr">
        <is>
          <t>National Capital Region (NCR)</t>
        </is>
      </c>
      <c r="F91" s="26" t="inlineStr">
        <is>
          <t>Fourth District (Not a Province)</t>
        </is>
      </c>
      <c r="G91" s="26" t="inlineStr">
        <is>
          <t>Pasay City</t>
        </is>
      </c>
      <c r="H91" s="26" t="inlineStr">
        <is>
          <t>Barangay 32</t>
        </is>
      </c>
      <c r="I91" s="27" t="n">
        <v>14.537891</v>
      </c>
      <c r="J91" s="27" t="n">
        <v>121.015385</v>
      </c>
      <c r="K91" s="10" t="inlineStr">
        <is>
          <t>U</t>
        </is>
      </c>
      <c r="L91" s="12" t="n">
        <v>1960</v>
      </c>
      <c r="M91" s="14" t="n">
        <v>3.4</v>
      </c>
      <c r="N91" s="12">
        <f>ROUND(L91/M91, 0)</f>
        <v/>
      </c>
      <c r="O91" s="12">
        <f>ROUND(N91*'Methodology &amp; Assumptions'!$B$5, 0)</f>
        <v/>
      </c>
      <c r="P91" s="10" t="inlineStr">
        <is>
          <t>Single Carrier (Band n50, 100MHz TDD)</t>
        </is>
      </c>
      <c r="Q91" s="13">
        <f>ROUNDUP(O91/'Methodology &amp; Assumptions'!$B$6, 0)</f>
        <v/>
      </c>
      <c r="R91" s="13" t="n">
        <v>1</v>
      </c>
      <c r="S91" s="14" t="n">
        <v>1.39</v>
      </c>
      <c r="T91" s="14" t="n">
        <v>0.19</v>
      </c>
      <c r="U91" s="26">
        <f>IF(X91&gt;='Methodology &amp; Assumptions'!$B$7, "Tier 1 Critical GIDA (Score ≥ 50.0)", IF(X91&gt;='Methodology &amp; Assumptions'!$B$8, "Tier 2 High GIDA (Score 40.0–49.9)", "Tier 3 Moderate GIDA (Score &lt; 40.0)"))</f>
        <v/>
      </c>
      <c r="V91" s="26">
        <f>IF(S91&lt;='Methodology &amp; Assumptions'!$B$10, "Direct Optical Drop (&lt;3km)", IF(S91&lt;='Methodology &amp; Assumptions'!$B$9, "Near Optical / Microwave (&lt;5km)", "Starlink Business LEO Satellite Backhaul (&gt;5km)"))</f>
        <v/>
      </c>
      <c r="W91" s="28" t="n">
        <v>0.109</v>
      </c>
      <c r="X91" s="14" t="n">
        <v>50.86</v>
      </c>
      <c r="Y91" s="14">
        <f>ROUND(MIN(100, (X91/69.91)*100), 2)</f>
        <v/>
      </c>
    </row>
    <row r="92">
      <c r="A92" s="10" t="n">
        <v>2</v>
      </c>
      <c r="B92" s="10" t="n">
        <v>88</v>
      </c>
      <c r="C92" s="10" t="n">
        <v>1088</v>
      </c>
      <c r="D92" s="10" t="inlineStr">
        <is>
          <t>1907001012</t>
        </is>
      </c>
      <c r="E92" s="26" t="inlineStr">
        <is>
          <t>Bangsamoro Autonomous Region In Muslim Mindanao (BARMM)</t>
        </is>
      </c>
      <c r="F92" s="26" t="inlineStr">
        <is>
          <t>Tawi-Tawi</t>
        </is>
      </c>
      <c r="G92" s="26" t="inlineStr">
        <is>
          <t>Panglima Sugala</t>
        </is>
      </c>
      <c r="H92" s="26" t="inlineStr">
        <is>
          <t>Karaha</t>
        </is>
      </c>
      <c r="I92" s="27" t="n">
        <v>17.255683</v>
      </c>
      <c r="J92" s="27" t="n">
        <v>122.229727</v>
      </c>
      <c r="K92" s="10" t="inlineStr">
        <is>
          <t>R</t>
        </is>
      </c>
      <c r="L92" s="12" t="n">
        <v>1736</v>
      </c>
      <c r="M92" s="14" t="n">
        <v>5.8</v>
      </c>
      <c r="N92" s="12">
        <f>ROUND(L92/M92, 0)</f>
        <v/>
      </c>
      <c r="O92" s="12">
        <f>ROUND(N92*'Methodology &amp; Assumptions'!$B$5, 0)</f>
        <v/>
      </c>
      <c r="P92" s="10" t="inlineStr">
        <is>
          <t>Single Carrier (Band n50, 100MHz TDD)</t>
        </is>
      </c>
      <c r="Q92" s="13">
        <f>ROUNDUP(O92/'Methodology &amp; Assumptions'!$B$6, 0)</f>
        <v/>
      </c>
      <c r="R92" s="13" t="n">
        <v>1</v>
      </c>
      <c r="S92" s="14" t="n">
        <v>29.54</v>
      </c>
      <c r="T92" s="14" t="n">
        <v>34.41</v>
      </c>
      <c r="U92" s="26">
        <f>IF(X92&gt;='Methodology &amp; Assumptions'!$B$7, "Tier 1 Critical GIDA (Score ≥ 50.0)", IF(X92&gt;='Methodology &amp; Assumptions'!$B$8, "Tier 2 High GIDA (Score 40.0–49.9)", "Tier 3 Moderate GIDA (Score &lt; 40.0)"))</f>
        <v/>
      </c>
      <c r="V92" s="26">
        <f>IF(S92&lt;='Methodology &amp; Assumptions'!$B$10, "Direct Optical Drop (&lt;3km)", IF(S92&lt;='Methodology &amp; Assumptions'!$B$9, "Near Optical / Microwave (&lt;5km)", "Starlink Business LEO Satellite Backhaul (&gt;5km)"))</f>
        <v/>
      </c>
      <c r="W92" s="28" t="n">
        <v>0.11</v>
      </c>
      <c r="X92" s="14" t="n">
        <v>50.86</v>
      </c>
      <c r="Y92" s="14">
        <f>ROUND(MIN(100, (X92/69.91)*100), 2)</f>
        <v/>
      </c>
    </row>
    <row r="93">
      <c r="A93" s="10" t="n">
        <v>2</v>
      </c>
      <c r="B93" s="10" t="n">
        <v>89</v>
      </c>
      <c r="C93" s="10" t="n">
        <v>1089</v>
      </c>
      <c r="D93" s="10" t="inlineStr">
        <is>
          <t>1907001008</t>
        </is>
      </c>
      <c r="E93" s="26" t="inlineStr">
        <is>
          <t>Bangsamoro Autonomous Region In Muslim Mindanao (BARMM)</t>
        </is>
      </c>
      <c r="F93" s="26" t="inlineStr">
        <is>
          <t>Tawi-Tawi</t>
        </is>
      </c>
      <c r="G93" s="26" t="inlineStr">
        <is>
          <t>Panglima Sugala</t>
        </is>
      </c>
      <c r="H93" s="26" t="inlineStr">
        <is>
          <t>Tabunan</t>
        </is>
      </c>
      <c r="I93" s="27" t="n">
        <v>17.255697</v>
      </c>
      <c r="J93" s="27" t="n">
        <v>122.229741</v>
      </c>
      <c r="K93" s="10" t="inlineStr">
        <is>
          <t>R</t>
        </is>
      </c>
      <c r="L93" s="12" t="n">
        <v>1387</v>
      </c>
      <c r="M93" s="14" t="n">
        <v>5.8</v>
      </c>
      <c r="N93" s="12">
        <f>ROUND(L93/M93, 0)</f>
        <v/>
      </c>
      <c r="O93" s="12">
        <f>ROUND(N93*'Methodology &amp; Assumptions'!$B$5, 0)</f>
        <v/>
      </c>
      <c r="P93" s="10" t="inlineStr">
        <is>
          <t>Single Carrier (Band n50, 100MHz TDD)</t>
        </is>
      </c>
      <c r="Q93" s="13">
        <f>ROUNDUP(O93/'Methodology &amp; Assumptions'!$B$6, 0)</f>
        <v/>
      </c>
      <c r="R93" s="13" t="n">
        <v>1</v>
      </c>
      <c r="S93" s="14" t="n">
        <v>29.55</v>
      </c>
      <c r="T93" s="14" t="n">
        <v>34.41</v>
      </c>
      <c r="U93" s="26">
        <f>IF(X93&gt;='Methodology &amp; Assumptions'!$B$7, "Tier 1 Critical GIDA (Score ≥ 50.0)", IF(X93&gt;='Methodology &amp; Assumptions'!$B$8, "Tier 2 High GIDA (Score 40.0–49.9)", "Tier 3 Moderate GIDA (Score &lt; 40.0)"))</f>
        <v/>
      </c>
      <c r="V93" s="26">
        <f>IF(S93&lt;='Methodology &amp; Assumptions'!$B$10, "Direct Optical Drop (&lt;3km)", IF(S93&lt;='Methodology &amp; Assumptions'!$B$9, "Near Optical / Microwave (&lt;5km)", "Starlink Business LEO Satellite Backhaul (&gt;5km)"))</f>
        <v/>
      </c>
      <c r="W93" s="28" t="n">
        <v>0.11</v>
      </c>
      <c r="X93" s="14" t="n">
        <v>50.85</v>
      </c>
      <c r="Y93" s="14">
        <f>ROUND(MIN(100, (X93/69.91)*100), 2)</f>
        <v/>
      </c>
    </row>
    <row r="94">
      <c r="A94" s="10" t="n">
        <v>2</v>
      </c>
      <c r="B94" s="10" t="n">
        <v>90</v>
      </c>
      <c r="C94" s="10" t="n">
        <v>1090</v>
      </c>
      <c r="D94" s="10" t="inlineStr">
        <is>
          <t>0203121003</t>
        </is>
      </c>
      <c r="E94" s="26" t="inlineStr">
        <is>
          <t>Region II (Cagayan Valley)</t>
        </is>
      </c>
      <c r="F94" s="26" t="inlineStr">
        <is>
          <t>Isabela</t>
        </is>
      </c>
      <c r="G94" s="26" t="inlineStr">
        <is>
          <t>Palanan</t>
        </is>
      </c>
      <c r="H94" s="26" t="inlineStr">
        <is>
          <t>Dicadyuan</t>
        </is>
      </c>
      <c r="I94" s="27" t="n">
        <v>17.00981</v>
      </c>
      <c r="J94" s="27" t="n">
        <v>122.42713</v>
      </c>
      <c r="K94" s="10" t="inlineStr">
        <is>
          <t>R</t>
        </is>
      </c>
      <c r="L94" s="12" t="n">
        <v>817</v>
      </c>
      <c r="M94" s="14" t="n">
        <v>3.8</v>
      </c>
      <c r="N94" s="12">
        <f>ROUND(L94/M94, 0)</f>
        <v/>
      </c>
      <c r="O94" s="12">
        <f>ROUND(N94*'Methodology &amp; Assumptions'!$B$5, 0)</f>
        <v/>
      </c>
      <c r="P94" s="10" t="inlineStr">
        <is>
          <t>Single Carrier (Band n50, 100MHz TDD)</t>
        </is>
      </c>
      <c r="Q94" s="13">
        <f>ROUNDUP(O94/'Methodology &amp; Assumptions'!$B$6, 0)</f>
        <v/>
      </c>
      <c r="R94" s="13" t="n">
        <v>1</v>
      </c>
      <c r="S94" s="14" t="n">
        <v>44.12</v>
      </c>
      <c r="T94" s="14" t="n">
        <v>55.67</v>
      </c>
      <c r="U94" s="26">
        <f>IF(X94&gt;='Methodology &amp; Assumptions'!$B$7, "Tier 1 Critical GIDA (Score ≥ 50.0)", IF(X94&gt;='Methodology &amp; Assumptions'!$B$8, "Tier 2 High GIDA (Score 40.0–49.9)", "Tier 3 Moderate GIDA (Score &lt; 40.0)"))</f>
        <v/>
      </c>
      <c r="V94" s="26">
        <f>IF(S94&lt;='Methodology &amp; Assumptions'!$B$10, "Direct Optical Drop (&lt;3km)", IF(S94&lt;='Methodology &amp; Assumptions'!$B$9, "Near Optical / Microwave (&lt;5km)", "Starlink Business LEO Satellite Backhaul (&gt;5km)"))</f>
        <v/>
      </c>
      <c r="W94" s="28" t="n">
        <v>0.083</v>
      </c>
      <c r="X94" s="14" t="n">
        <v>50.85</v>
      </c>
      <c r="Y94" s="14">
        <f>ROUND(MIN(100, (X94/69.91)*100), 2)</f>
        <v/>
      </c>
    </row>
    <row r="95">
      <c r="A95" s="10" t="n">
        <v>2</v>
      </c>
      <c r="B95" s="10" t="n">
        <v>91</v>
      </c>
      <c r="C95" s="10" t="n">
        <v>1091</v>
      </c>
      <c r="D95" s="10" t="inlineStr">
        <is>
          <t>1401107003</t>
        </is>
      </c>
      <c r="E95" s="26" t="inlineStr">
        <is>
          <t>Cordillera Administrative Region (CAR)</t>
        </is>
      </c>
      <c r="F95" s="26" t="inlineStr">
        <is>
          <t>Benguet</t>
        </is>
      </c>
      <c r="G95" s="26" t="inlineStr">
        <is>
          <t>Kabayan</t>
        </is>
      </c>
      <c r="H95" s="26" t="inlineStr">
        <is>
          <t>Ballay</t>
        </is>
      </c>
      <c r="I95" s="27" t="n">
        <v>16.678929</v>
      </c>
      <c r="J95" s="27" t="n">
        <v>120.836581</v>
      </c>
      <c r="K95" s="10" t="inlineStr">
        <is>
          <t>R</t>
        </is>
      </c>
      <c r="L95" s="12" t="n">
        <v>3093</v>
      </c>
      <c r="M95" s="14" t="n">
        <v>3.5</v>
      </c>
      <c r="N95" s="12">
        <f>ROUND(L95/M95, 0)</f>
        <v/>
      </c>
      <c r="O95" s="12">
        <f>ROUND(N95*'Methodology &amp; Assumptions'!$B$5, 0)</f>
        <v/>
      </c>
      <c r="P95" s="10" t="inlineStr">
        <is>
          <t>Single Carrier (Band n50, 100MHz TDD)</t>
        </is>
      </c>
      <c r="Q95" s="13">
        <f>ROUNDUP(O95/'Methodology &amp; Assumptions'!$B$6, 0)</f>
        <v/>
      </c>
      <c r="R95" s="13" t="n">
        <v>1</v>
      </c>
      <c r="S95" s="14" t="n">
        <v>4.63</v>
      </c>
      <c r="T95" s="14" t="n">
        <v>6.46</v>
      </c>
      <c r="U95" s="26">
        <f>IF(X95&gt;='Methodology &amp; Assumptions'!$B$7, "Tier 1 Critical GIDA (Score ≥ 50.0)", IF(X95&gt;='Methodology &amp; Assumptions'!$B$8, "Tier 2 High GIDA (Score 40.0–49.9)", "Tier 3 Moderate GIDA (Score &lt; 40.0)"))</f>
        <v/>
      </c>
      <c r="V95" s="26">
        <f>IF(S95&lt;='Methodology &amp; Assumptions'!$B$10, "Direct Optical Drop (&lt;3km)", IF(S95&lt;='Methodology &amp; Assumptions'!$B$9, "Near Optical / Microwave (&lt;5km)", "Starlink Business LEO Satellite Backhaul (&gt;5km)"))</f>
        <v/>
      </c>
      <c r="W95" s="28" t="n">
        <v>0.109</v>
      </c>
      <c r="X95" s="14" t="n">
        <v>50.84</v>
      </c>
      <c r="Y95" s="14">
        <f>ROUND(MIN(100, (X95/69.91)*100), 2)</f>
        <v/>
      </c>
    </row>
    <row r="96">
      <c r="A96" s="10" t="n">
        <v>2</v>
      </c>
      <c r="B96" s="10" t="n">
        <v>92</v>
      </c>
      <c r="C96" s="10" t="n">
        <v>1092</v>
      </c>
      <c r="D96" s="10" t="inlineStr">
        <is>
          <t>PH0001092</t>
        </is>
      </c>
      <c r="E96" s="26" t="inlineStr">
        <is>
          <t>XI</t>
        </is>
      </c>
      <c r="F96" s="26" t="inlineStr">
        <is>
          <t>Davao Del Sur</t>
        </is>
      </c>
      <c r="G96" s="26" t="inlineStr">
        <is>
          <t>Davao City</t>
        </is>
      </c>
      <c r="H96" s="26" t="inlineStr">
        <is>
          <t>Barangay 21-C (Pob.)</t>
        </is>
      </c>
      <c r="I96" s="27" t="n">
        <v>7.192398</v>
      </c>
      <c r="J96" s="27" t="n">
        <v>125.468597</v>
      </c>
      <c r="K96" s="10" t="inlineStr">
        <is>
          <t>R</t>
        </is>
      </c>
      <c r="L96" s="12" t="n">
        <v>2280</v>
      </c>
      <c r="M96" s="14" t="n">
        <v>3.4</v>
      </c>
      <c r="N96" s="12">
        <f>ROUND(L96/M96, 0)</f>
        <v/>
      </c>
      <c r="O96" s="12">
        <f>ROUND(N96*'Methodology &amp; Assumptions'!$B$5, 0)</f>
        <v/>
      </c>
      <c r="P96" s="10" t="inlineStr">
        <is>
          <t>Single Carrier (Band n50, 100MHz TDD)</t>
        </is>
      </c>
      <c r="Q96" s="13">
        <f>ROUNDUP(O96/'Methodology &amp; Assumptions'!$B$6, 0)</f>
        <v/>
      </c>
      <c r="R96" s="13" t="n">
        <v>1</v>
      </c>
      <c r="S96" s="14" t="n">
        <v>1.67</v>
      </c>
      <c r="T96" s="14" t="n">
        <v>1.22</v>
      </c>
      <c r="U96" s="26">
        <f>IF(X96&gt;='Methodology &amp; Assumptions'!$B$7, "Tier 1 Critical GIDA (Score ≥ 50.0)", IF(X96&gt;='Methodology &amp; Assumptions'!$B$8, "Tier 2 High GIDA (Score 40.0–49.9)", "Tier 3 Moderate GIDA (Score &lt; 40.0)"))</f>
        <v/>
      </c>
      <c r="V96" s="26">
        <f>IF(S96&lt;='Methodology &amp; Assumptions'!$B$10, "Direct Optical Drop (&lt;3km)", IF(S96&lt;='Methodology &amp; Assumptions'!$B$9, "Near Optical / Microwave (&lt;5km)", "Starlink Business LEO Satellite Backhaul (&gt;5km)"))</f>
        <v/>
      </c>
      <c r="W96" s="28" t="n">
        <v>0.119</v>
      </c>
      <c r="X96" s="14" t="n">
        <v>50.83</v>
      </c>
      <c r="Y96" s="14">
        <f>ROUND(MIN(100, (X96/69.91)*100), 2)</f>
        <v/>
      </c>
    </row>
    <row r="97">
      <c r="A97" s="10" t="n">
        <v>2</v>
      </c>
      <c r="B97" s="10" t="n">
        <v>93</v>
      </c>
      <c r="C97" s="10" t="n">
        <v>1093</v>
      </c>
      <c r="D97" s="10" t="inlineStr">
        <is>
          <t>1380601216</t>
        </is>
      </c>
      <c r="E97" s="26" t="inlineStr">
        <is>
          <t>National Capital Region (NCR)</t>
        </is>
      </c>
      <c r="F97" s="26" t="inlineStr">
        <is>
          <t>First District (Not a Province)</t>
        </is>
      </c>
      <c r="G97" s="26" t="inlineStr">
        <is>
          <t>City of Manila</t>
        </is>
      </c>
      <c r="H97" s="26" t="inlineStr">
        <is>
          <t>Barangay 215</t>
        </is>
      </c>
      <c r="I97" s="27" t="n">
        <v>12.694244</v>
      </c>
      <c r="J97" s="27" t="n">
        <v>121.664163</v>
      </c>
      <c r="K97" s="10" t="inlineStr">
        <is>
          <t>U</t>
        </is>
      </c>
      <c r="L97" s="12" t="n">
        <v>3200</v>
      </c>
      <c r="M97" s="14" t="n">
        <v>3.9</v>
      </c>
      <c r="N97" s="12">
        <f>ROUND(L97/M97, 0)</f>
        <v/>
      </c>
      <c r="O97" s="12">
        <f>ROUND(N97*'Methodology &amp; Assumptions'!$B$5, 0)</f>
        <v/>
      </c>
      <c r="P97" s="10" t="inlineStr">
        <is>
          <t>Single Carrier (Band n50, 100MHz TDD)</t>
        </is>
      </c>
      <c r="Q97" s="13">
        <f>ROUNDUP(O97/'Methodology &amp; Assumptions'!$B$6, 0)</f>
        <v/>
      </c>
      <c r="R97" s="13" t="n">
        <v>1</v>
      </c>
      <c r="S97" s="14" t="n">
        <v>15.8</v>
      </c>
      <c r="T97" s="14" t="n">
        <v>15.79</v>
      </c>
      <c r="U97" s="26">
        <f>IF(X97&gt;='Methodology &amp; Assumptions'!$B$7, "Tier 1 Critical GIDA (Score ≥ 50.0)", IF(X97&gt;='Methodology &amp; Assumptions'!$B$8, "Tier 2 High GIDA (Score 40.0–49.9)", "Tier 3 Moderate GIDA (Score &lt; 40.0)"))</f>
        <v/>
      </c>
      <c r="V97" s="26">
        <f>IF(S97&lt;='Methodology &amp; Assumptions'!$B$10, "Direct Optical Drop (&lt;3km)", IF(S97&lt;='Methodology &amp; Assumptions'!$B$9, "Near Optical / Microwave (&lt;5km)", "Starlink Business LEO Satellite Backhaul (&gt;5km)"))</f>
        <v/>
      </c>
      <c r="W97" s="28" t="n">
        <v>0.109</v>
      </c>
      <c r="X97" s="14" t="n">
        <v>50.83</v>
      </c>
      <c r="Y97" s="14">
        <f>ROUND(MIN(100, (X97/69.91)*100), 2)</f>
        <v/>
      </c>
    </row>
    <row r="98">
      <c r="A98" s="10" t="n">
        <v>2</v>
      </c>
      <c r="B98" s="10" t="n">
        <v>94</v>
      </c>
      <c r="C98" s="10" t="n">
        <v>1094</v>
      </c>
      <c r="D98" s="10" t="inlineStr">
        <is>
          <t>1908704002</t>
        </is>
      </c>
      <c r="E98" s="26" t="inlineStr">
        <is>
          <t>Bangsamoro Autonomous Region In Muslim Mindanao (BARMM)</t>
        </is>
      </c>
      <c r="F98" s="26" t="inlineStr">
        <is>
          <t>Maguindanao del Norte</t>
        </is>
      </c>
      <c r="G98" s="26" t="inlineStr">
        <is>
          <t>Datu Blah T. Sinsuat</t>
        </is>
      </c>
      <c r="H98" s="26" t="inlineStr">
        <is>
          <t>Laguitan</t>
        </is>
      </c>
      <c r="I98" s="27" t="n">
        <v>17.254125</v>
      </c>
      <c r="J98" s="27" t="n">
        <v>122.228169</v>
      </c>
      <c r="K98" s="10" t="inlineStr">
        <is>
          <t>R</t>
        </is>
      </c>
      <c r="L98" s="12" t="n">
        <v>3528</v>
      </c>
      <c r="M98" s="14" t="n">
        <v>4.3</v>
      </c>
      <c r="N98" s="12">
        <f>ROUND(L98/M98, 0)</f>
        <v/>
      </c>
      <c r="O98" s="12">
        <f>ROUND(N98*'Methodology &amp; Assumptions'!$B$5, 0)</f>
        <v/>
      </c>
      <c r="P98" s="10" t="inlineStr">
        <is>
          <t>Single Carrier (Band n50, 100MHz TDD)</t>
        </is>
      </c>
      <c r="Q98" s="13">
        <f>ROUNDUP(O98/'Methodology &amp; Assumptions'!$B$6, 0)</f>
        <v/>
      </c>
      <c r="R98" s="13" t="n">
        <v>1</v>
      </c>
      <c r="S98" s="14" t="n">
        <v>29.31</v>
      </c>
      <c r="T98" s="14" t="n">
        <v>34.2</v>
      </c>
      <c r="U98" s="26">
        <f>IF(X98&gt;='Methodology &amp; Assumptions'!$B$7, "Tier 1 Critical GIDA (Score ≥ 50.0)", IF(X98&gt;='Methodology &amp; Assumptions'!$B$8, "Tier 2 High GIDA (Score 40.0–49.9)", "Tier 3 Moderate GIDA (Score &lt; 40.0)"))</f>
        <v/>
      </c>
      <c r="V98" s="26">
        <f>IF(S98&lt;='Methodology &amp; Assumptions'!$B$10, "Direct Optical Drop (&lt;3km)", IF(S98&lt;='Methodology &amp; Assumptions'!$B$9, "Near Optical / Microwave (&lt;5km)", "Starlink Business LEO Satellite Backhaul (&gt;5km)"))</f>
        <v/>
      </c>
      <c r="W98" s="28" t="n">
        <v>0.11</v>
      </c>
      <c r="X98" s="14" t="n">
        <v>50.82</v>
      </c>
      <c r="Y98" s="14">
        <f>ROUND(MIN(100, (X98/69.91)*100), 2)</f>
        <v/>
      </c>
    </row>
    <row r="99">
      <c r="A99" s="10" t="n">
        <v>2</v>
      </c>
      <c r="B99" s="10" t="n">
        <v>95</v>
      </c>
      <c r="C99" s="10" t="n">
        <v>1095</v>
      </c>
      <c r="D99" s="10" t="inlineStr">
        <is>
          <t>PH0001095</t>
        </is>
      </c>
      <c r="E99" s="26" t="inlineStr">
        <is>
          <t>VIII</t>
        </is>
      </c>
      <c r="F99" s="26" t="inlineStr">
        <is>
          <t>Leyte</t>
        </is>
      </c>
      <c r="G99" s="26" t="inlineStr">
        <is>
          <t>Tacloban City</t>
        </is>
      </c>
      <c r="H99" s="26" t="inlineStr">
        <is>
          <t>Barangay 8-A</t>
        </is>
      </c>
      <c r="I99" s="27" t="n">
        <v>11.268685</v>
      </c>
      <c r="J99" s="27" t="n">
        <v>124.941268</v>
      </c>
      <c r="K99" s="10" t="inlineStr">
        <is>
          <t>R</t>
        </is>
      </c>
      <c r="L99" s="12" t="n">
        <v>2258</v>
      </c>
      <c r="M99" s="14" t="n">
        <v>3.8</v>
      </c>
      <c r="N99" s="12">
        <f>ROUND(L99/M99, 0)</f>
        <v/>
      </c>
      <c r="O99" s="12">
        <f>ROUND(N99*'Methodology &amp; Assumptions'!$B$5, 0)</f>
        <v/>
      </c>
      <c r="P99" s="10" t="inlineStr">
        <is>
          <t>Single Carrier (Band n50, 100MHz TDD)</t>
        </is>
      </c>
      <c r="Q99" s="13">
        <f>ROUNDUP(O99/'Methodology &amp; Assumptions'!$B$6, 0)</f>
        <v/>
      </c>
      <c r="R99" s="13" t="n">
        <v>1</v>
      </c>
      <c r="S99" s="14" t="n">
        <v>7.41</v>
      </c>
      <c r="T99" s="14" t="n">
        <v>9.449999999999999</v>
      </c>
      <c r="U99" s="26">
        <f>IF(X99&gt;='Methodology &amp; Assumptions'!$B$7, "Tier 1 Critical GIDA (Score ≥ 50.0)", IF(X99&gt;='Methodology &amp; Assumptions'!$B$8, "Tier 2 High GIDA (Score 40.0–49.9)", "Tier 3 Moderate GIDA (Score &lt; 40.0)"))</f>
        <v/>
      </c>
      <c r="V99" s="26">
        <f>IF(S99&lt;='Methodology &amp; Assumptions'!$B$10, "Direct Optical Drop (&lt;3km)", IF(S99&lt;='Methodology &amp; Assumptions'!$B$9, "Near Optical / Microwave (&lt;5km)", "Starlink Business LEO Satellite Backhaul (&gt;5km)"))</f>
        <v/>
      </c>
      <c r="W99" s="28" t="n">
        <v>0.222</v>
      </c>
      <c r="X99" s="14" t="n">
        <v>50.82</v>
      </c>
      <c r="Y99" s="14">
        <f>ROUND(MIN(100, (X99/69.91)*100), 2)</f>
        <v/>
      </c>
    </row>
    <row r="100">
      <c r="A100" s="10" t="n">
        <v>2</v>
      </c>
      <c r="B100" s="10" t="n">
        <v>96</v>
      </c>
      <c r="C100" s="10" t="n">
        <v>1096</v>
      </c>
      <c r="D100" s="10" t="inlineStr">
        <is>
          <t>0806008017</t>
        </is>
      </c>
      <c r="E100" s="26" t="inlineStr">
        <is>
          <t>Region VIII (Eastern Visayas)</t>
        </is>
      </c>
      <c r="F100" s="26" t="inlineStr">
        <is>
          <t>Samar</t>
        </is>
      </c>
      <c r="G100" s="26" t="inlineStr">
        <is>
          <t>Hinabangan</t>
        </is>
      </c>
      <c r="H100" s="26" t="inlineStr">
        <is>
          <t>Yabon</t>
        </is>
      </c>
      <c r="I100" s="27" t="n">
        <v>11.69059</v>
      </c>
      <c r="J100" s="27" t="n">
        <v>125.10731</v>
      </c>
      <c r="K100" s="10" t="inlineStr">
        <is>
          <t>R</t>
        </is>
      </c>
      <c r="L100" s="12" t="n">
        <v>433</v>
      </c>
      <c r="M100" s="14" t="n">
        <v>4.1</v>
      </c>
      <c r="N100" s="12">
        <f>ROUND(L100/M100, 0)</f>
        <v/>
      </c>
      <c r="O100" s="12">
        <f>ROUND(N100*'Methodology &amp; Assumptions'!$B$5, 0)</f>
        <v/>
      </c>
      <c r="P100" s="10" t="inlineStr">
        <is>
          <t>Single Carrier (Band n50, 100MHz TDD)</t>
        </is>
      </c>
      <c r="Q100" s="13">
        <f>ROUNDUP(O100/'Methodology &amp; Assumptions'!$B$6, 0)</f>
        <v/>
      </c>
      <c r="R100" s="13" t="n">
        <v>1</v>
      </c>
      <c r="S100" s="14" t="n">
        <v>51.43</v>
      </c>
      <c r="T100" s="14" t="n">
        <v>54.23</v>
      </c>
      <c r="U100" s="26">
        <f>IF(X100&gt;='Methodology &amp; Assumptions'!$B$7, "Tier 1 Critical GIDA (Score ≥ 50.0)", IF(X100&gt;='Methodology &amp; Assumptions'!$B$8, "Tier 2 High GIDA (Score 40.0–49.9)", "Tier 3 Moderate GIDA (Score &lt; 40.0)"))</f>
        <v/>
      </c>
      <c r="V100" s="26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W100" s="28" t="n">
        <v>0.237</v>
      </c>
      <c r="X100" s="14" t="n">
        <v>50.82</v>
      </c>
      <c r="Y100" s="14">
        <f>ROUND(MIN(100, (X100/69.91)*100), 2)</f>
        <v/>
      </c>
    </row>
    <row r="101">
      <c r="A101" s="10" t="n">
        <v>2</v>
      </c>
      <c r="B101" s="10" t="n">
        <v>97</v>
      </c>
      <c r="C101" s="10" t="n">
        <v>1097</v>
      </c>
      <c r="D101" s="10" t="inlineStr">
        <is>
          <t>1380606205</t>
        </is>
      </c>
      <c r="E101" s="26" t="inlineStr">
        <is>
          <t>National Capital Region (NCR)</t>
        </is>
      </c>
      <c r="F101" s="26" t="inlineStr">
        <is>
          <t>First District (Not a Province)</t>
        </is>
      </c>
      <c r="G101" s="26" t="inlineStr">
        <is>
          <t>City of Manila</t>
        </is>
      </c>
      <c r="H101" s="26" t="inlineStr">
        <is>
          <t>Barangay 598</t>
        </is>
      </c>
      <c r="I101" s="27" t="n">
        <v>13.090088</v>
      </c>
      <c r="J101" s="27" t="n">
        <v>121.726154</v>
      </c>
      <c r="K101" s="10" t="inlineStr">
        <is>
          <t>U</t>
        </is>
      </c>
      <c r="L101" s="12" t="n">
        <v>12392</v>
      </c>
      <c r="M101" s="14" t="n">
        <v>3.9</v>
      </c>
      <c r="N101" s="12">
        <f>ROUND(L101/M101, 0)</f>
        <v/>
      </c>
      <c r="O101" s="12">
        <f>ROUND(N101*'Methodology &amp; Assumptions'!$B$5, 0)</f>
        <v/>
      </c>
      <c r="P101" s="10" t="inlineStr">
        <is>
          <t>Single Carrier (Band n50, 100MHz TDD)</t>
        </is>
      </c>
      <c r="Q101" s="13">
        <f>ROUNDUP(O101/'Methodology &amp; Assumptions'!$B$6, 0)</f>
        <v/>
      </c>
      <c r="R101" s="13" t="n">
        <v>1</v>
      </c>
      <c r="S101" s="14" t="n">
        <v>23.94</v>
      </c>
      <c r="T101" s="14" t="n">
        <v>27.31</v>
      </c>
      <c r="U101" s="26">
        <f>IF(X101&gt;='Methodology &amp; Assumptions'!$B$7, "Tier 1 Critical GIDA (Score ≥ 50.0)", IF(X101&gt;='Methodology &amp; Assumptions'!$B$8, "Tier 2 High GIDA (Score 40.0–49.9)", "Tier 3 Moderate GIDA (Score &lt; 40.0)"))</f>
        <v/>
      </c>
      <c r="V101" s="26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W101" s="28" t="n">
        <v>0.109</v>
      </c>
      <c r="X101" s="14" t="n">
        <v>50.82</v>
      </c>
      <c r="Y101" s="14">
        <f>ROUND(MIN(100, (X101/69.91)*100), 2)</f>
        <v/>
      </c>
    </row>
    <row r="102">
      <c r="A102" s="10" t="n">
        <v>2</v>
      </c>
      <c r="B102" s="10" t="n">
        <v>98</v>
      </c>
      <c r="C102" s="10" t="n">
        <v>1098</v>
      </c>
      <c r="D102" s="10" t="inlineStr">
        <is>
          <t>0205001006</t>
        </is>
      </c>
      <c r="E102" s="26" t="inlineStr">
        <is>
          <t>Region II (Cagayan Valley)</t>
        </is>
      </c>
      <c r="F102" s="26" t="inlineStr">
        <is>
          <t>Nueva Vizcaya</t>
        </is>
      </c>
      <c r="G102" s="26" t="inlineStr">
        <is>
          <t>Ambaguio</t>
        </is>
      </c>
      <c r="H102" s="26" t="inlineStr">
        <is>
          <t>Napo</t>
        </is>
      </c>
      <c r="I102" s="27" t="n">
        <v>16.558411</v>
      </c>
      <c r="J102" s="27" t="n">
        <v>120.964702</v>
      </c>
      <c r="K102" s="10" t="inlineStr">
        <is>
          <t>R</t>
        </is>
      </c>
      <c r="L102" s="12" t="n">
        <v>1642</v>
      </c>
      <c r="M102" s="14" t="n">
        <v>3.8</v>
      </c>
      <c r="N102" s="12">
        <f>ROUND(L102/M102, 0)</f>
        <v/>
      </c>
      <c r="O102" s="12">
        <f>ROUND(N102*'Methodology &amp; Assumptions'!$B$5, 0)</f>
        <v/>
      </c>
      <c r="P102" s="10" t="inlineStr">
        <is>
          <t>Single Carrier (Band n50, 100MHz TDD)</t>
        </is>
      </c>
      <c r="Q102" s="13">
        <f>ROUNDUP(O102/'Methodology &amp; Assumptions'!$B$6, 0)</f>
        <v/>
      </c>
      <c r="R102" s="13" t="n">
        <v>1</v>
      </c>
      <c r="S102" s="14" t="n">
        <v>15.45</v>
      </c>
      <c r="T102" s="14" t="n">
        <v>17.82</v>
      </c>
      <c r="U102" s="26">
        <f>IF(X102&gt;='Methodology &amp; Assumptions'!$B$7, "Tier 1 Critical GIDA (Score ≥ 50.0)", IF(X102&gt;='Methodology &amp; Assumptions'!$B$8, "Tier 2 High GIDA (Score 40.0–49.9)", "Tier 3 Moderate GIDA (Score &lt; 40.0)"))</f>
        <v/>
      </c>
      <c r="V102" s="26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W102" s="28" t="n">
        <v>0.083</v>
      </c>
      <c r="X102" s="14" t="n">
        <v>50.8</v>
      </c>
      <c r="Y102" s="14">
        <f>ROUND(MIN(100, (X102/69.91)*100), 2)</f>
        <v/>
      </c>
    </row>
    <row r="103">
      <c r="A103" s="10" t="n">
        <v>2</v>
      </c>
      <c r="B103" s="10" t="n">
        <v>99</v>
      </c>
      <c r="C103" s="10" t="n">
        <v>1099</v>
      </c>
      <c r="D103" s="10" t="inlineStr">
        <is>
          <t>0205010003</t>
        </is>
      </c>
      <c r="E103" s="26" t="inlineStr">
        <is>
          <t>Region II (Cagayan Valley)</t>
        </is>
      </c>
      <c r="F103" s="26" t="inlineStr">
        <is>
          <t>Nueva Vizcaya</t>
        </is>
      </c>
      <c r="G103" s="26" t="inlineStr">
        <is>
          <t>Kayapa</t>
        </is>
      </c>
      <c r="H103" s="26" t="inlineStr">
        <is>
          <t>Ansipsip</t>
        </is>
      </c>
      <c r="I103" s="27" t="n">
        <v>16.34189</v>
      </c>
      <c r="J103" s="27" t="n">
        <v>120.8209</v>
      </c>
      <c r="K103" s="10" t="inlineStr">
        <is>
          <t>R</t>
        </is>
      </c>
      <c r="L103" s="12" t="n">
        <v>129</v>
      </c>
      <c r="M103" s="14" t="n">
        <v>3.8</v>
      </c>
      <c r="N103" s="12">
        <f>ROUND(L103/M103, 0)</f>
        <v/>
      </c>
      <c r="O103" s="12">
        <f>ROUND(N103*'Methodology &amp; Assumptions'!$B$5, 0)</f>
        <v/>
      </c>
      <c r="P103" s="10" t="inlineStr">
        <is>
          <t>Single Carrier (Band n50, 100MHz TDD)</t>
        </is>
      </c>
      <c r="Q103" s="13">
        <f>ROUNDUP(O103/'Methodology &amp; Assumptions'!$B$6, 0)</f>
        <v/>
      </c>
      <c r="R103" s="13" t="n">
        <v>1</v>
      </c>
      <c r="S103" s="14" t="n">
        <v>7.62</v>
      </c>
      <c r="T103" s="14" t="n">
        <v>6.44</v>
      </c>
      <c r="U103" s="26">
        <f>IF(X103&gt;='Methodology &amp; Assumptions'!$B$7, "Tier 1 Critical GIDA (Score ≥ 50.0)", IF(X103&gt;='Methodology &amp; Assumptions'!$B$8, "Tier 2 High GIDA (Score 40.0–49.9)", "Tier 3 Moderate GIDA (Score &lt; 40.0)"))</f>
        <v/>
      </c>
      <c r="V103" s="26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W103" s="28" t="n">
        <v>0.083</v>
      </c>
      <c r="X103" s="14" t="n">
        <v>50.79</v>
      </c>
      <c r="Y103" s="14">
        <f>ROUND(MIN(100, (X103/69.91)*100), 2)</f>
        <v/>
      </c>
    </row>
    <row r="104">
      <c r="A104" s="10" t="n">
        <v>2</v>
      </c>
      <c r="B104" s="10" t="n">
        <v>100</v>
      </c>
      <c r="C104" s="10" t="n">
        <v>1100</v>
      </c>
      <c r="D104" s="10" t="inlineStr">
        <is>
          <t>0701243024</t>
        </is>
      </c>
      <c r="E104" s="26" t="inlineStr">
        <is>
          <t>Region VII (Central Visayas)</t>
        </is>
      </c>
      <c r="F104" s="26" t="inlineStr">
        <is>
          <t>Bohol</t>
        </is>
      </c>
      <c r="G104" s="26" t="inlineStr">
        <is>
          <t>Talibon</t>
        </is>
      </c>
      <c r="H104" s="26" t="inlineStr">
        <is>
          <t>Sag</t>
        </is>
      </c>
      <c r="I104" s="27" t="n">
        <v>10.210412</v>
      </c>
      <c r="J104" s="27" t="n">
        <v>124.351971</v>
      </c>
      <c r="K104" s="10" t="inlineStr">
        <is>
          <t>R</t>
        </is>
      </c>
      <c r="L104" s="12" t="n">
        <v>930</v>
      </c>
      <c r="M104" s="14" t="n">
        <v>4</v>
      </c>
      <c r="N104" s="12">
        <f>ROUND(L104/M104, 0)</f>
        <v/>
      </c>
      <c r="O104" s="12">
        <f>ROUND(N104*'Methodology &amp; Assumptions'!$B$5, 0)</f>
        <v/>
      </c>
      <c r="P104" s="10" t="inlineStr">
        <is>
          <t>Single Carrier (Band n50, 100MHz TDD)</t>
        </is>
      </c>
      <c r="Q104" s="13">
        <f>ROUNDUP(O104/'Methodology &amp; Assumptions'!$B$6, 0)</f>
        <v/>
      </c>
      <c r="R104" s="13" t="n">
        <v>1</v>
      </c>
      <c r="S104" s="14" t="n">
        <v>39.75</v>
      </c>
      <c r="T104" s="14" t="n">
        <v>39.14</v>
      </c>
      <c r="U104" s="26">
        <f>IF(X104&gt;='Methodology &amp; Assumptions'!$B$7, "Tier 1 Critical GIDA (Score ≥ 50.0)", IF(X104&gt;='Methodology &amp; Assumptions'!$B$8, "Tier 2 High GIDA (Score 40.0–49.9)", "Tier 3 Moderate GIDA (Score &lt; 40.0)"))</f>
        <v/>
      </c>
      <c r="V104" s="26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W104" s="28" t="n">
        <v>0.237</v>
      </c>
      <c r="X104" s="14" t="n">
        <v>50.79</v>
      </c>
      <c r="Y104" s="14">
        <f>ROUND(MIN(100, (X104/69.91)*100), 2)</f>
        <v/>
      </c>
    </row>
    <row r="105">
      <c r="A105" s="10" t="n">
        <v>2</v>
      </c>
      <c r="B105" s="10" t="n">
        <v>101</v>
      </c>
      <c r="C105" s="10" t="n">
        <v>1101</v>
      </c>
      <c r="D105" s="10" t="inlineStr">
        <is>
          <t>0806008005</t>
        </is>
      </c>
      <c r="E105" s="26" t="inlineStr">
        <is>
          <t>Region VIII (Eastern Visayas)</t>
        </is>
      </c>
      <c r="F105" s="26" t="inlineStr">
        <is>
          <t>Samar</t>
        </is>
      </c>
      <c r="G105" s="26" t="inlineStr">
        <is>
          <t>Hinabangan</t>
        </is>
      </c>
      <c r="H105" s="26" t="inlineStr">
        <is>
          <t>Canano</t>
        </is>
      </c>
      <c r="I105" s="27" t="n">
        <v>11.68449</v>
      </c>
      <c r="J105" s="27" t="n">
        <v>125.08823</v>
      </c>
      <c r="K105" s="10" t="inlineStr">
        <is>
          <t>R</t>
        </is>
      </c>
      <c r="L105" s="12" t="n">
        <v>286</v>
      </c>
      <c r="M105" s="14" t="n">
        <v>4.1</v>
      </c>
      <c r="N105" s="12">
        <f>ROUND(L105/M105, 0)</f>
        <v/>
      </c>
      <c r="O105" s="12">
        <f>ROUND(N105*'Methodology &amp; Assumptions'!$B$5, 0)</f>
        <v/>
      </c>
      <c r="P105" s="10" t="inlineStr">
        <is>
          <t>Single Carrier (Band n50, 100MHz TDD)</t>
        </is>
      </c>
      <c r="Q105" s="13">
        <f>ROUNDUP(O105/'Methodology &amp; Assumptions'!$B$6, 0)</f>
        <v/>
      </c>
      <c r="R105" s="13" t="n">
        <v>1</v>
      </c>
      <c r="S105" s="14" t="n">
        <v>50.34</v>
      </c>
      <c r="T105" s="14" t="n">
        <v>53.19</v>
      </c>
      <c r="U105" s="26">
        <f>IF(X105&gt;='Methodology &amp; Assumptions'!$B$7, "Tier 1 Critical GIDA (Score ≥ 50.0)", IF(X105&gt;='Methodology &amp; Assumptions'!$B$8, "Tier 2 High GIDA (Score 40.0–49.9)", "Tier 3 Moderate GIDA (Score &lt; 40.0)"))</f>
        <v/>
      </c>
      <c r="V105" s="26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W105" s="28" t="n">
        <v>0.237</v>
      </c>
      <c r="X105" s="14" t="n">
        <v>50.79</v>
      </c>
      <c r="Y105" s="14">
        <f>ROUND(MIN(100, (X105/69.91)*100), 2)</f>
        <v/>
      </c>
    </row>
    <row r="106">
      <c r="A106" s="10" t="n">
        <v>2</v>
      </c>
      <c r="B106" s="10" t="n">
        <v>102</v>
      </c>
      <c r="C106" s="10" t="n">
        <v>1102</v>
      </c>
      <c r="D106" s="10" t="inlineStr">
        <is>
          <t>1403206008</t>
        </is>
      </c>
      <c r="E106" s="26" t="inlineStr">
        <is>
          <t>Cordillera Administrative Region (CAR)</t>
        </is>
      </c>
      <c r="F106" s="26" t="inlineStr">
        <is>
          <t>Kalinga</t>
        </is>
      </c>
      <c r="G106" s="26" t="inlineStr">
        <is>
          <t>Lubuagan</t>
        </is>
      </c>
      <c r="H106" s="26" t="inlineStr">
        <is>
          <t>Antonio Canao</t>
        </is>
      </c>
      <c r="I106" s="27" t="n">
        <v>17.350083</v>
      </c>
      <c r="J106" s="27" t="n">
        <v>121.187152</v>
      </c>
      <c r="K106" s="10" t="inlineStr">
        <is>
          <t>R</t>
        </is>
      </c>
      <c r="L106" s="12" t="n">
        <v>827</v>
      </c>
      <c r="M106" s="14" t="n">
        <v>4.3</v>
      </c>
      <c r="N106" s="12">
        <f>ROUND(L106/M106, 0)</f>
        <v/>
      </c>
      <c r="O106" s="12">
        <f>ROUND(N106*'Methodology &amp; Assumptions'!$B$5, 0)</f>
        <v/>
      </c>
      <c r="P106" s="10" t="inlineStr">
        <is>
          <t>Single Carrier (Band n50, 100MHz TDD)</t>
        </is>
      </c>
      <c r="Q106" s="13">
        <f>ROUNDUP(O106/'Methodology &amp; Assumptions'!$B$6, 0)</f>
        <v/>
      </c>
      <c r="R106" s="13" t="n">
        <v>1</v>
      </c>
      <c r="S106" s="14" t="n">
        <v>10.42</v>
      </c>
      <c r="T106" s="14" t="n">
        <v>1.15</v>
      </c>
      <c r="U106" s="26">
        <f>IF(X106&gt;='Methodology &amp; Assumptions'!$B$7, "Tier 1 Critical GIDA (Score ≥ 50.0)", IF(X106&gt;='Methodology &amp; Assumptions'!$B$8, "Tier 2 High GIDA (Score 40.0–49.9)", "Tier 3 Moderate GIDA (Score &lt; 40.0)"))</f>
        <v/>
      </c>
      <c r="V106" s="26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W106" s="28" t="n">
        <v>0.109</v>
      </c>
      <c r="X106" s="14" t="n">
        <v>50.78</v>
      </c>
      <c r="Y106" s="14">
        <f>ROUND(MIN(100, (X106/69.91)*100), 2)</f>
        <v/>
      </c>
    </row>
    <row r="107">
      <c r="A107" s="10" t="n">
        <v>2</v>
      </c>
      <c r="B107" s="10" t="n">
        <v>103</v>
      </c>
      <c r="C107" s="10" t="n">
        <v>1103</v>
      </c>
      <c r="D107" s="10" t="inlineStr">
        <is>
          <t>1380400016</t>
        </is>
      </c>
      <c r="E107" s="26" t="inlineStr">
        <is>
          <t>National Capital Region (NCR)</t>
        </is>
      </c>
      <c r="F107" s="26" t="inlineStr">
        <is>
          <t>Third District (Not a Province)</t>
        </is>
      </c>
      <c r="G107" s="26" t="inlineStr">
        <is>
          <t>City of Malabon</t>
        </is>
      </c>
      <c r="H107" s="26" t="inlineStr">
        <is>
          <t>San Agustin</t>
        </is>
      </c>
      <c r="I107" s="27" t="n">
        <v>14.662222</v>
      </c>
      <c r="J107" s="27" t="n">
        <v>120.9525</v>
      </c>
      <c r="K107" s="10" t="inlineStr">
        <is>
          <t>U</t>
        </is>
      </c>
      <c r="L107" s="12" t="n">
        <v>11071</v>
      </c>
      <c r="M107" s="14" t="n">
        <v>3.7</v>
      </c>
      <c r="N107" s="12">
        <f>ROUND(L107/M107, 0)</f>
        <v/>
      </c>
      <c r="O107" s="12">
        <f>ROUND(N107*'Methodology &amp; Assumptions'!$B$5, 0)</f>
        <v/>
      </c>
      <c r="P107" s="10" t="inlineStr">
        <is>
          <t>Single Carrier (Band n50, 100MHz TDD)</t>
        </is>
      </c>
      <c r="Q107" s="13">
        <f>ROUNDUP(O107/'Methodology &amp; Assumptions'!$B$6, 0)</f>
        <v/>
      </c>
      <c r="R107" s="13" t="n">
        <v>1</v>
      </c>
      <c r="S107" s="14" t="n">
        <v>0.51</v>
      </c>
      <c r="T107" s="14" t="n">
        <v>0.4</v>
      </c>
      <c r="U107" s="26">
        <f>IF(X107&gt;='Methodology &amp; Assumptions'!$B$7, "Tier 1 Critical GIDA (Score ≥ 50.0)", IF(X107&gt;='Methodology &amp; Assumptions'!$B$8, "Tier 2 High GIDA (Score 40.0–49.9)", "Tier 3 Moderate GIDA (Score &lt; 40.0)"))</f>
        <v/>
      </c>
      <c r="V107" s="26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W107" s="28" t="n">
        <v>0.109</v>
      </c>
      <c r="X107" s="14" t="n">
        <v>50.77</v>
      </c>
      <c r="Y107" s="14">
        <f>ROUND(MIN(100, (X107/69.91)*100), 2)</f>
        <v/>
      </c>
    </row>
    <row r="108">
      <c r="A108" s="10" t="n">
        <v>2</v>
      </c>
      <c r="B108" s="10" t="n">
        <v>104</v>
      </c>
      <c r="C108" s="10" t="n">
        <v>1104</v>
      </c>
      <c r="D108" s="10" t="inlineStr">
        <is>
          <t>0806008004</t>
        </is>
      </c>
      <c r="E108" s="26" t="inlineStr">
        <is>
          <t>Region VIII (Eastern Visayas)</t>
        </is>
      </c>
      <c r="F108" s="26" t="inlineStr">
        <is>
          <t>Samar</t>
        </is>
      </c>
      <c r="G108" s="26" t="inlineStr">
        <is>
          <t>Hinabangan</t>
        </is>
      </c>
      <c r="H108" s="26" t="inlineStr">
        <is>
          <t>Cabalagnan</t>
        </is>
      </c>
      <c r="I108" s="27" t="n">
        <v>11.70773</v>
      </c>
      <c r="J108" s="27" t="n">
        <v>125.09895</v>
      </c>
      <c r="K108" s="10" t="inlineStr">
        <is>
          <t>R</t>
        </is>
      </c>
      <c r="L108" s="12" t="n">
        <v>402</v>
      </c>
      <c r="M108" s="14" t="n">
        <v>4.1</v>
      </c>
      <c r="N108" s="12">
        <f>ROUND(L108/M108, 0)</f>
        <v/>
      </c>
      <c r="O108" s="12">
        <f>ROUND(N108*'Methodology &amp; Assumptions'!$B$5, 0)</f>
        <v/>
      </c>
      <c r="P108" s="10" t="inlineStr">
        <is>
          <t>Single Carrier (Band n50, 100MHz TDD)</t>
        </is>
      </c>
      <c r="Q108" s="13">
        <f>ROUNDUP(O108/'Methodology &amp; Assumptions'!$B$6, 0)</f>
        <v/>
      </c>
      <c r="R108" s="13" t="n">
        <v>1</v>
      </c>
      <c r="S108" s="14" t="n">
        <v>53.1</v>
      </c>
      <c r="T108" s="14" t="n">
        <v>55.93</v>
      </c>
      <c r="U108" s="26">
        <f>IF(X108&gt;='Methodology &amp; Assumptions'!$B$7, "Tier 1 Critical GIDA (Score ≥ 50.0)", IF(X108&gt;='Methodology &amp; Assumptions'!$B$8, "Tier 2 High GIDA (Score 40.0–49.9)", "Tier 3 Moderate GIDA (Score &lt; 40.0)"))</f>
        <v/>
      </c>
      <c r="V108" s="26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W108" s="28" t="n">
        <v>0.237</v>
      </c>
      <c r="X108" s="14" t="n">
        <v>50.77</v>
      </c>
      <c r="Y108" s="14">
        <f>ROUND(MIN(100, (X108/69.91)*100), 2)</f>
        <v/>
      </c>
    </row>
    <row r="109">
      <c r="A109" s="10" t="n">
        <v>2</v>
      </c>
      <c r="B109" s="10" t="n">
        <v>105</v>
      </c>
      <c r="C109" s="10" t="n">
        <v>1105</v>
      </c>
      <c r="D109" s="10" t="inlineStr">
        <is>
          <t>0804819030</t>
        </is>
      </c>
      <c r="E109" s="26" t="inlineStr">
        <is>
          <t>Region VIII (Eastern Visayas)</t>
        </is>
      </c>
      <c r="F109" s="26" t="inlineStr">
        <is>
          <t>Northern Samar</t>
        </is>
      </c>
      <c r="G109" s="26" t="inlineStr">
        <is>
          <t>San Jose</t>
        </is>
      </c>
      <c r="H109" s="26" t="inlineStr">
        <is>
          <t>Barangay West</t>
        </is>
      </c>
      <c r="I109" s="27" t="n">
        <v>12.50634</v>
      </c>
      <c r="J109" s="27" t="n">
        <v>124.488098</v>
      </c>
      <c r="K109" s="10" t="inlineStr">
        <is>
          <t>R</t>
        </is>
      </c>
      <c r="L109" s="12" t="n">
        <v>1055</v>
      </c>
      <c r="M109" s="14" t="n">
        <v>4.3</v>
      </c>
      <c r="N109" s="12">
        <f>ROUND(L109/M109, 0)</f>
        <v/>
      </c>
      <c r="O109" s="12">
        <f>ROUND(N109*'Methodology &amp; Assumptions'!$B$5, 0)</f>
        <v/>
      </c>
      <c r="P109" s="10" t="inlineStr">
        <is>
          <t>Single Carrier (Band n50, 100MHz TDD)</t>
        </is>
      </c>
      <c r="Q109" s="13">
        <f>ROUNDUP(O109/'Methodology &amp; Assumptions'!$B$6, 0)</f>
        <v/>
      </c>
      <c r="R109" s="13" t="n">
        <v>1</v>
      </c>
      <c r="S109" s="14" t="n">
        <v>44.29</v>
      </c>
      <c r="T109" s="14" t="n">
        <v>43.69</v>
      </c>
      <c r="U109" s="26">
        <f>IF(X109&gt;='Methodology &amp; Assumptions'!$B$7, "Tier 1 Critical GIDA (Score ≥ 50.0)", IF(X109&gt;='Methodology &amp; Assumptions'!$B$8, "Tier 2 High GIDA (Score 40.0–49.9)", "Tier 3 Moderate GIDA (Score &lt; 40.0)"))</f>
        <v/>
      </c>
      <c r="V109" s="26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W109" s="28" t="n">
        <v>0.237</v>
      </c>
      <c r="X109" s="14" t="n">
        <v>50.77</v>
      </c>
      <c r="Y109" s="14">
        <f>ROUND(MIN(100, (X109/69.91)*100), 2)</f>
        <v/>
      </c>
    </row>
    <row r="110">
      <c r="A110" s="10" t="n">
        <v>2</v>
      </c>
      <c r="B110" s="10" t="n">
        <v>106</v>
      </c>
      <c r="C110" s="10" t="n">
        <v>1106</v>
      </c>
      <c r="D110" s="10" t="inlineStr">
        <is>
          <t>0401005068</t>
        </is>
      </c>
      <c r="E110" s="26" t="inlineStr">
        <is>
          <t>Region IV-A (CALABARZON)</t>
        </is>
      </c>
      <c r="F110" s="26" t="inlineStr">
        <is>
          <t>Batangas</t>
        </is>
      </c>
      <c r="G110" s="26" t="inlineStr">
        <is>
          <t>Batangas City</t>
        </is>
      </c>
      <c r="H110" s="26" t="inlineStr">
        <is>
          <t>Barangay 21</t>
        </is>
      </c>
      <c r="I110" s="27" t="n">
        <v>13.717541</v>
      </c>
      <c r="J110" s="27" t="n">
        <v>121.091388</v>
      </c>
      <c r="K110" s="10" t="inlineStr">
        <is>
          <t>R</t>
        </is>
      </c>
      <c r="L110" s="12" t="n">
        <v>698</v>
      </c>
      <c r="M110" s="14" t="n">
        <v>3.6</v>
      </c>
      <c r="N110" s="12">
        <f>ROUND(L110/M110, 0)</f>
        <v/>
      </c>
      <c r="O110" s="12">
        <f>ROUND(N110*'Methodology &amp; Assumptions'!$B$5, 0)</f>
        <v/>
      </c>
      <c r="P110" s="10" t="inlineStr">
        <is>
          <t>Single Carrier (Band n50, 100MHz TDD)</t>
        </is>
      </c>
      <c r="Q110" s="13">
        <f>ROUNDUP(O110/'Methodology &amp; Assumptions'!$B$6, 0)</f>
        <v/>
      </c>
      <c r="R110" s="13" t="n">
        <v>1</v>
      </c>
      <c r="S110" s="14" t="n">
        <v>4.42</v>
      </c>
      <c r="T110" s="14" t="n">
        <v>5.32</v>
      </c>
      <c r="U110" s="26">
        <f>IF(X110&gt;='Methodology &amp; Assumptions'!$B$7, "Tier 1 Critical GIDA (Score ≥ 50.0)", IF(X110&gt;='Methodology &amp; Assumptions'!$B$8, "Tier 2 High GIDA (Score 40.0–49.9)", "Tier 3 Moderate GIDA (Score &lt; 40.0)"))</f>
        <v/>
      </c>
      <c r="V110" s="26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W110" s="28" t="n">
        <v>0.07200000000000001</v>
      </c>
      <c r="X110" s="14" t="n">
        <v>50.76</v>
      </c>
      <c r="Y110" s="14">
        <f>ROUND(MIN(100, (X110/69.91)*100), 2)</f>
        <v/>
      </c>
    </row>
    <row r="111">
      <c r="A111" s="10" t="n">
        <v>2</v>
      </c>
      <c r="B111" s="10" t="n">
        <v>107</v>
      </c>
      <c r="C111" s="10" t="n">
        <v>1107</v>
      </c>
      <c r="D111" s="10" t="inlineStr">
        <is>
          <t>0102901006</t>
        </is>
      </c>
      <c r="E111" s="26" t="inlineStr">
        <is>
          <t>Region I (Ilocos Region)</t>
        </is>
      </c>
      <c r="F111" s="26" t="inlineStr">
        <is>
          <t>Ilocos Sur</t>
        </is>
      </c>
      <c r="G111" s="26" t="inlineStr">
        <is>
          <t>Alilem</t>
        </is>
      </c>
      <c r="H111" s="26" t="inlineStr">
        <is>
          <t>Batbato</t>
        </is>
      </c>
      <c r="I111" s="27" t="n">
        <v>16.912952</v>
      </c>
      <c r="J111" s="27" t="n">
        <v>120.565044</v>
      </c>
      <c r="K111" s="10" t="inlineStr">
        <is>
          <t>R</t>
        </is>
      </c>
      <c r="L111" s="12" t="n">
        <v>577</v>
      </c>
      <c r="M111" s="14" t="n">
        <v>3.8</v>
      </c>
      <c r="N111" s="12">
        <f>ROUND(L111/M111, 0)</f>
        <v/>
      </c>
      <c r="O111" s="12">
        <f>ROUND(N111*'Methodology &amp; Assumptions'!$B$5, 0)</f>
        <v/>
      </c>
      <c r="P111" s="10" t="inlineStr">
        <is>
          <t>Single Carrier (Band n50, 100MHz TDD)</t>
        </is>
      </c>
      <c r="Q111" s="13">
        <f>ROUNDUP(O111/'Methodology &amp; Assumptions'!$B$6, 0)</f>
        <v/>
      </c>
      <c r="R111" s="13" t="n">
        <v>1</v>
      </c>
      <c r="S111" s="14" t="n">
        <v>8.16</v>
      </c>
      <c r="T111" s="14" t="n">
        <v>10.78</v>
      </c>
      <c r="U111" s="26">
        <f>IF(X111&gt;='Methodology &amp; Assumptions'!$B$7, "Tier 1 Critical GIDA (Score ≥ 50.0)", IF(X111&gt;='Methodology &amp; Assumptions'!$B$8, "Tier 2 High GIDA (Score 40.0–49.9)", "Tier 3 Moderate GIDA (Score &lt; 40.0)"))</f>
        <v/>
      </c>
      <c r="V111" s="26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W111" s="28" t="n">
        <v>0.083</v>
      </c>
      <c r="X111" s="14" t="n">
        <v>50.75</v>
      </c>
      <c r="Y111" s="14">
        <f>ROUND(MIN(100, (X111/69.91)*100), 2)</f>
        <v/>
      </c>
    </row>
    <row r="112">
      <c r="A112" s="10" t="n">
        <v>2</v>
      </c>
      <c r="B112" s="10" t="n">
        <v>108</v>
      </c>
      <c r="C112" s="10" t="n">
        <v>1108</v>
      </c>
      <c r="D112" s="10" t="inlineStr">
        <is>
          <t>1102506013</t>
        </is>
      </c>
      <c r="E112" s="26" t="inlineStr">
        <is>
          <t>Region XI (Davao Region)</t>
        </is>
      </c>
      <c r="F112" s="26" t="inlineStr">
        <is>
          <t>Davao Oriental</t>
        </is>
      </c>
      <c r="G112" s="26" t="inlineStr">
        <is>
          <t>Governor Generoso</t>
        </is>
      </c>
      <c r="H112" s="26" t="inlineStr">
        <is>
          <t>Surop</t>
        </is>
      </c>
      <c r="I112" s="27" t="n">
        <v>6.44442</v>
      </c>
      <c r="J112" s="27" t="n">
        <v>126.13215</v>
      </c>
      <c r="K112" s="10" t="inlineStr">
        <is>
          <t>R</t>
        </is>
      </c>
      <c r="L112" s="12" t="n">
        <v>2719</v>
      </c>
      <c r="M112" s="14" t="n">
        <v>3.6</v>
      </c>
      <c r="N112" s="12">
        <f>ROUND(L112/M112, 0)</f>
        <v/>
      </c>
      <c r="O112" s="12">
        <f>ROUND(N112*'Methodology &amp; Assumptions'!$B$5, 0)</f>
        <v/>
      </c>
      <c r="P112" s="10" t="inlineStr">
        <is>
          <t>Single Carrier (Band n50, 100MHz TDD)</t>
        </is>
      </c>
      <c r="Q112" s="13">
        <f>ROUNDUP(O112/'Methodology &amp; Assumptions'!$B$6, 0)</f>
        <v/>
      </c>
      <c r="R112" s="13" t="n">
        <v>1</v>
      </c>
      <c r="S112" s="14" t="n">
        <v>51.96</v>
      </c>
      <c r="T112" s="14" t="n">
        <v>48.33</v>
      </c>
      <c r="U112" s="26">
        <f>IF(X112&gt;='Methodology &amp; Assumptions'!$B$7, "Tier 1 Critical GIDA (Score ≥ 50.0)", IF(X112&gt;='Methodology &amp; Assumptions'!$B$8, "Tier 2 High GIDA (Score 40.0–49.9)", "Tier 3 Moderate GIDA (Score &lt; 40.0)"))</f>
        <v/>
      </c>
      <c r="V112" s="26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W112" s="28" t="n">
        <v>0.174</v>
      </c>
      <c r="X112" s="14" t="n">
        <v>50.75</v>
      </c>
      <c r="Y112" s="14">
        <f>ROUND(MIN(100, (X112/69.91)*100), 2)</f>
        <v/>
      </c>
    </row>
    <row r="113">
      <c r="A113" s="10" t="n">
        <v>2</v>
      </c>
      <c r="B113" s="10" t="n">
        <v>109</v>
      </c>
      <c r="C113" s="10" t="n">
        <v>1109</v>
      </c>
      <c r="D113" s="10" t="inlineStr">
        <is>
          <t>1408103012</t>
        </is>
      </c>
      <c r="E113" s="26" t="inlineStr">
        <is>
          <t>Cordillera Administrative Region (CAR)</t>
        </is>
      </c>
      <c r="F113" s="26" t="inlineStr">
        <is>
          <t>Apayao</t>
        </is>
      </c>
      <c r="G113" s="26" t="inlineStr">
        <is>
          <t>Flora</t>
        </is>
      </c>
      <c r="H113" s="26" t="inlineStr">
        <is>
          <t>Mallig</t>
        </is>
      </c>
      <c r="I113" s="27" t="n">
        <v>18.119726</v>
      </c>
      <c r="J113" s="27" t="n">
        <v>121.414002</v>
      </c>
      <c r="K113" s="10" t="inlineStr">
        <is>
          <t>R</t>
        </is>
      </c>
      <c r="L113" s="12" t="n">
        <v>720</v>
      </c>
      <c r="M113" s="14" t="n">
        <v>4.2</v>
      </c>
      <c r="N113" s="12">
        <f>ROUND(L113/M113, 0)</f>
        <v/>
      </c>
      <c r="O113" s="12">
        <f>ROUND(N113*'Methodology &amp; Assumptions'!$B$5, 0)</f>
        <v/>
      </c>
      <c r="P113" s="10" t="inlineStr">
        <is>
          <t>Single Carrier (Band n50, 100MHz TDD)</t>
        </is>
      </c>
      <c r="Q113" s="13">
        <f>ROUNDUP(O113/'Methodology &amp; Assumptions'!$B$6, 0)</f>
        <v/>
      </c>
      <c r="R113" s="13" t="n">
        <v>1</v>
      </c>
      <c r="S113" s="14" t="n">
        <v>7.15</v>
      </c>
      <c r="T113" s="14" t="n">
        <v>7.16</v>
      </c>
      <c r="U113" s="26">
        <f>IF(X113&gt;='Methodology &amp; Assumptions'!$B$7, "Tier 1 Critical GIDA (Score ≥ 50.0)", IF(X113&gt;='Methodology &amp; Assumptions'!$B$8, "Tier 2 High GIDA (Score 40.0–49.9)", "Tier 3 Moderate GIDA (Score &lt; 40.0)"))</f>
        <v/>
      </c>
      <c r="V113" s="26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W113" s="28" t="n">
        <v>0.109</v>
      </c>
      <c r="X113" s="14" t="n">
        <v>50.74</v>
      </c>
      <c r="Y113" s="14">
        <f>ROUND(MIN(100, (X113/69.91)*100), 2)</f>
        <v/>
      </c>
    </row>
    <row r="114">
      <c r="A114" s="10" t="n">
        <v>2</v>
      </c>
      <c r="B114" s="10" t="n">
        <v>110</v>
      </c>
      <c r="C114" s="10" t="n">
        <v>1110</v>
      </c>
      <c r="D114" s="10" t="inlineStr">
        <is>
          <t>0907315015</t>
        </is>
      </c>
      <c r="E114" s="26" t="inlineStr">
        <is>
          <t>Region IX (Zamboanga Peninsula)</t>
        </is>
      </c>
      <c r="F114" s="26" t="inlineStr">
        <is>
          <t>Zamboanga del Sur</t>
        </is>
      </c>
      <c r="G114" s="26" t="inlineStr">
        <is>
          <t>Mahayag</t>
        </is>
      </c>
      <c r="H114" s="26" t="inlineStr">
        <is>
          <t>Malubo</t>
        </is>
      </c>
      <c r="I114" s="27" t="n">
        <v>8.18535</v>
      </c>
      <c r="J114" s="27" t="n">
        <v>123.4376</v>
      </c>
      <c r="K114" s="10" t="inlineStr">
        <is>
          <t>R</t>
        </is>
      </c>
      <c r="L114" s="12" t="n">
        <v>877</v>
      </c>
      <c r="M114" s="14" t="n">
        <v>3.9</v>
      </c>
      <c r="N114" s="12">
        <f>ROUND(L114/M114, 0)</f>
        <v/>
      </c>
      <c r="O114" s="12">
        <f>ROUND(N114*'Methodology &amp; Assumptions'!$B$5, 0)</f>
        <v/>
      </c>
      <c r="P114" s="10" t="inlineStr">
        <is>
          <t>Single Carrier (Band n50, 100MHz TDD)</t>
        </is>
      </c>
      <c r="Q114" s="13">
        <f>ROUNDUP(O114/'Methodology &amp; Assumptions'!$B$6, 0)</f>
        <v/>
      </c>
      <c r="R114" s="13" t="n">
        <v>1</v>
      </c>
      <c r="S114" s="14" t="n">
        <v>30.62</v>
      </c>
      <c r="T114" s="14" t="n">
        <v>30.48</v>
      </c>
      <c r="U114" s="26">
        <f>IF(X114&gt;='Methodology &amp; Assumptions'!$B$7, "Tier 1 Critical GIDA (Score ≥ 50.0)", IF(X114&gt;='Methodology &amp; Assumptions'!$B$8, "Tier 2 High GIDA (Score 40.0–49.9)", "Tier 3 Moderate GIDA (Score &lt; 40.0)"))</f>
        <v/>
      </c>
      <c r="V114" s="26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W114" s="28" t="n">
        <v>0.11</v>
      </c>
      <c r="X114" s="14" t="n">
        <v>50.73</v>
      </c>
      <c r="Y114" s="14">
        <f>ROUND(MIN(100, (X114/69.91)*100), 2)</f>
        <v/>
      </c>
    </row>
    <row r="115">
      <c r="A115" s="10" t="n">
        <v>2</v>
      </c>
      <c r="B115" s="10" t="n">
        <v>111</v>
      </c>
      <c r="C115" s="10" t="n">
        <v>1111</v>
      </c>
      <c r="D115" s="10" t="inlineStr">
        <is>
          <t>PH0001111</t>
        </is>
      </c>
      <c r="E115" s="26" t="inlineStr">
        <is>
          <t>IV-B</t>
        </is>
      </c>
      <c r="F115" s="26" t="inlineStr">
        <is>
          <t>Palawan</t>
        </is>
      </c>
      <c r="G115" s="26" t="inlineStr">
        <is>
          <t>Puerto Princesa City</t>
        </is>
      </c>
      <c r="H115" s="26" t="inlineStr">
        <is>
          <t>Kalipay (Pob.)</t>
        </is>
      </c>
      <c r="I115" s="27" t="n">
        <v>9.861238999999999</v>
      </c>
      <c r="J115" s="27" t="n">
        <v>118.779052</v>
      </c>
      <c r="K115" s="10" t="inlineStr">
        <is>
          <t>R</t>
        </is>
      </c>
      <c r="L115" s="12" t="n">
        <v>2597</v>
      </c>
      <c r="M115" s="14" t="n">
        <v>3.9</v>
      </c>
      <c r="N115" s="12">
        <f>ROUND(L115/M115, 0)</f>
        <v/>
      </c>
      <c r="O115" s="12">
        <f>ROUND(N115*'Methodology &amp; Assumptions'!$B$5, 0)</f>
        <v/>
      </c>
      <c r="P115" s="10" t="inlineStr">
        <is>
          <t>Single Carrier (Band n50, 100MHz TDD)</t>
        </is>
      </c>
      <c r="Q115" s="13">
        <f>ROUNDUP(O115/'Methodology &amp; Assumptions'!$B$6, 0)</f>
        <v/>
      </c>
      <c r="R115" s="13" t="n">
        <v>1</v>
      </c>
      <c r="S115" s="14" t="n">
        <v>5.33</v>
      </c>
      <c r="T115" s="14" t="n">
        <v>4.49</v>
      </c>
      <c r="U115" s="26">
        <f>IF(X115&gt;='Methodology &amp; Assumptions'!$B$7, "Tier 1 Critical GIDA (Score ≥ 50.0)", IF(X115&gt;='Methodology &amp; Assumptions'!$B$8, "Tier 2 High GIDA (Score 40.0–49.9)", "Tier 3 Moderate GIDA (Score &lt; 40.0)"))</f>
        <v/>
      </c>
      <c r="V115" s="26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W115" s="28" t="n">
        <v>0.109</v>
      </c>
      <c r="X115" s="14" t="n">
        <v>50.72</v>
      </c>
      <c r="Y115" s="14">
        <f>ROUND(MIN(100, (X115/69.91)*100), 2)</f>
        <v/>
      </c>
    </row>
    <row r="116">
      <c r="A116" s="10" t="n">
        <v>2</v>
      </c>
      <c r="B116" s="10" t="n">
        <v>112</v>
      </c>
      <c r="C116" s="10" t="n">
        <v>1112</v>
      </c>
      <c r="D116" s="10" t="inlineStr">
        <is>
          <t>1381100028</t>
        </is>
      </c>
      <c r="E116" s="26" t="inlineStr">
        <is>
          <t>National Capital Region (NCR)</t>
        </is>
      </c>
      <c r="F116" s="26" t="inlineStr">
        <is>
          <t>Fourth District (Not a Province)</t>
        </is>
      </c>
      <c r="G116" s="26" t="inlineStr">
        <is>
          <t>Pasay City</t>
        </is>
      </c>
      <c r="H116" s="26" t="inlineStr">
        <is>
          <t>Barangay 28</t>
        </is>
      </c>
      <c r="I116" s="27" t="n">
        <v>14.534894</v>
      </c>
      <c r="J116" s="27" t="n">
        <v>120.991757</v>
      </c>
      <c r="K116" s="10" t="inlineStr">
        <is>
          <t>U</t>
        </is>
      </c>
      <c r="L116" s="12" t="n">
        <v>1272</v>
      </c>
      <c r="M116" s="14" t="n">
        <v>3.4</v>
      </c>
      <c r="N116" s="12">
        <f>ROUND(L116/M116, 0)</f>
        <v/>
      </c>
      <c r="O116" s="12">
        <f>ROUND(N116*'Methodology &amp; Assumptions'!$B$5, 0)</f>
        <v/>
      </c>
      <c r="P116" s="10" t="inlineStr">
        <is>
          <t>Single Carrier (Band n50, 100MHz TDD)</t>
        </is>
      </c>
      <c r="Q116" s="13">
        <f>ROUNDUP(O116/'Methodology &amp; Assumptions'!$B$6, 0)</f>
        <v/>
      </c>
      <c r="R116" s="13" t="n">
        <v>1</v>
      </c>
      <c r="S116" s="14" t="n">
        <v>0.97</v>
      </c>
      <c r="T116" s="14" t="n">
        <v>0.52</v>
      </c>
      <c r="U116" s="26">
        <f>IF(X116&gt;='Methodology &amp; Assumptions'!$B$7, "Tier 1 Critical GIDA (Score ≥ 50.0)", IF(X116&gt;='Methodology &amp; Assumptions'!$B$8, "Tier 2 High GIDA (Score 40.0–49.9)", "Tier 3 Moderate GIDA (Score &lt; 40.0)"))</f>
        <v/>
      </c>
      <c r="V116" s="26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W116" s="28" t="n">
        <v>0.109</v>
      </c>
      <c r="X116" s="14" t="n">
        <v>50.72</v>
      </c>
      <c r="Y116" s="14">
        <f>ROUND(MIN(100, (X116/69.91)*100), 2)</f>
        <v/>
      </c>
    </row>
    <row r="117">
      <c r="A117" s="10" t="n">
        <v>2</v>
      </c>
      <c r="B117" s="10" t="n">
        <v>113</v>
      </c>
      <c r="C117" s="10" t="n">
        <v>1113</v>
      </c>
      <c r="D117" s="10" t="inlineStr">
        <is>
          <t>PH0001113</t>
        </is>
      </c>
      <c r="E117" s="26" t="inlineStr">
        <is>
          <t>VI</t>
        </is>
      </c>
      <c r="F117" s="26" t="inlineStr">
        <is>
          <t>Iloilo</t>
        </is>
      </c>
      <c r="G117" s="26" t="inlineStr">
        <is>
          <t>Iloilo City</t>
        </is>
      </c>
      <c r="H117" s="26" t="inlineStr">
        <is>
          <t>Maria Clara</t>
        </is>
      </c>
      <c r="I117" s="27" t="n">
        <v>10.81674</v>
      </c>
      <c r="J117" s="27" t="n">
        <v>122.505318</v>
      </c>
      <c r="K117" s="10" t="inlineStr">
        <is>
          <t>R</t>
        </is>
      </c>
      <c r="L117" s="12" t="n">
        <v>2230</v>
      </c>
      <c r="M117" s="14" t="n">
        <v>3.8</v>
      </c>
      <c r="N117" s="12">
        <f>ROUND(L117/M117, 0)</f>
        <v/>
      </c>
      <c r="O117" s="12">
        <f>ROUND(N117*'Methodology &amp; Assumptions'!$B$5, 0)</f>
        <v/>
      </c>
      <c r="P117" s="10" t="inlineStr">
        <is>
          <t>Single Carrier (Band n50, 100MHz TDD)</t>
        </is>
      </c>
      <c r="Q117" s="13">
        <f>ROUNDUP(O117/'Methodology &amp; Assumptions'!$B$6, 0)</f>
        <v/>
      </c>
      <c r="R117" s="13" t="n">
        <v>1</v>
      </c>
      <c r="S117" s="14" t="n">
        <v>3.41</v>
      </c>
      <c r="T117" s="14" t="n">
        <v>3.09</v>
      </c>
      <c r="U117" s="26">
        <f>IF(X117&gt;='Methodology &amp; Assumptions'!$B$7, "Tier 1 Critical GIDA (Score ≥ 50.0)", IF(X117&gt;='Methodology &amp; Assumptions'!$B$8, "Tier 2 High GIDA (Score 40.0–49.9)", "Tier 3 Moderate GIDA (Score &lt; 40.0)"))</f>
        <v/>
      </c>
      <c r="V117" s="26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W117" s="28" t="n">
        <v>0.156</v>
      </c>
      <c r="X117" s="14" t="n">
        <v>50.72</v>
      </c>
      <c r="Y117" s="14">
        <f>ROUND(MIN(100, (X117/69.91)*100), 2)</f>
        <v/>
      </c>
    </row>
    <row r="118">
      <c r="A118" s="10" t="n">
        <v>2</v>
      </c>
      <c r="B118" s="10" t="n">
        <v>114</v>
      </c>
      <c r="C118" s="10" t="n">
        <v>1114</v>
      </c>
      <c r="D118" s="10" t="inlineStr">
        <is>
          <t>1380601173</t>
        </is>
      </c>
      <c r="E118" s="26" t="inlineStr">
        <is>
          <t>National Capital Region (NCR)</t>
        </is>
      </c>
      <c r="F118" s="26" t="inlineStr">
        <is>
          <t>First District (Not a Province)</t>
        </is>
      </c>
      <c r="G118" s="26" t="inlineStr">
        <is>
          <t>City of Manila</t>
        </is>
      </c>
      <c r="H118" s="26" t="inlineStr">
        <is>
          <t>Barangay 173</t>
        </is>
      </c>
      <c r="I118" s="27" t="n">
        <v>12.755322</v>
      </c>
      <c r="J118" s="27" t="n">
        <v>121.956214</v>
      </c>
      <c r="K118" s="10" t="inlineStr">
        <is>
          <t>U</t>
        </is>
      </c>
      <c r="L118" s="12" t="n">
        <v>1665</v>
      </c>
      <c r="M118" s="14" t="n">
        <v>3.9</v>
      </c>
      <c r="N118" s="12">
        <f>ROUND(L118/M118, 0)</f>
        <v/>
      </c>
      <c r="O118" s="12">
        <f>ROUND(N118*'Methodology &amp; Assumptions'!$B$5, 0)</f>
        <v/>
      </c>
      <c r="P118" s="10" t="inlineStr">
        <is>
          <t>Single Carrier (Band n50, 100MHz TDD)</t>
        </is>
      </c>
      <c r="Q118" s="13">
        <f>ROUNDUP(O118/'Methodology &amp; Assumptions'!$B$6, 0)</f>
        <v/>
      </c>
      <c r="R118" s="13" t="n">
        <v>1</v>
      </c>
      <c r="S118" s="14" t="n">
        <v>47</v>
      </c>
      <c r="T118" s="14" t="n">
        <v>45.29</v>
      </c>
      <c r="U118" s="26">
        <f>IF(X118&gt;='Methodology &amp; Assumptions'!$B$7, "Tier 1 Critical GIDA (Score ≥ 50.0)", IF(X118&gt;='Methodology &amp; Assumptions'!$B$8, "Tier 2 High GIDA (Score 40.0–49.9)", "Tier 3 Moderate GIDA (Score &lt; 40.0)"))</f>
        <v/>
      </c>
      <c r="V118" s="26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W118" s="28" t="n">
        <v>0.109</v>
      </c>
      <c r="X118" s="14" t="n">
        <v>50.71</v>
      </c>
      <c r="Y118" s="14">
        <f>ROUND(MIN(100, (X118/69.91)*100), 2)</f>
        <v/>
      </c>
    </row>
    <row r="119">
      <c r="A119" s="10" t="n">
        <v>2</v>
      </c>
      <c r="B119" s="10" t="n">
        <v>115</v>
      </c>
      <c r="C119" s="10" t="n">
        <v>1115</v>
      </c>
      <c r="D119" s="10" t="inlineStr">
        <is>
          <t>0603001025</t>
        </is>
      </c>
      <c r="E119" s="26" t="inlineStr">
        <is>
          <t>Region VI (Western Visayas)</t>
        </is>
      </c>
      <c r="F119" s="26" t="inlineStr">
        <is>
          <t>Iloilo</t>
        </is>
      </c>
      <c r="G119" s="26" t="inlineStr">
        <is>
          <t>Ajuy</t>
        </is>
      </c>
      <c r="H119" s="26" t="inlineStr">
        <is>
          <t>Punta Buri</t>
        </is>
      </c>
      <c r="I119" s="27" t="n">
        <v>11.137561</v>
      </c>
      <c r="J119" s="27" t="n">
        <v>123.119919</v>
      </c>
      <c r="K119" s="10" t="inlineStr">
        <is>
          <t>R</t>
        </is>
      </c>
      <c r="L119" s="12" t="n">
        <v>1336</v>
      </c>
      <c r="M119" s="14" t="n">
        <v>3.8</v>
      </c>
      <c r="N119" s="12">
        <f>ROUND(L119/M119, 0)</f>
        <v/>
      </c>
      <c r="O119" s="12">
        <f>ROUND(N119*'Methodology &amp; Assumptions'!$B$5, 0)</f>
        <v/>
      </c>
      <c r="P119" s="10" t="inlineStr">
        <is>
          <t>Single Carrier (Band n50, 100MHz TDD)</t>
        </is>
      </c>
      <c r="Q119" s="13">
        <f>ROUNDUP(O119/'Methodology &amp; Assumptions'!$B$6, 0)</f>
        <v/>
      </c>
      <c r="R119" s="13" t="n">
        <v>1</v>
      </c>
      <c r="S119" s="14" t="n">
        <v>17.25</v>
      </c>
      <c r="T119" s="14" t="n">
        <v>11.47</v>
      </c>
      <c r="U119" s="26">
        <f>IF(X119&gt;='Methodology &amp; Assumptions'!$B$7, "Tier 1 Critical GIDA (Score ≥ 50.0)", IF(X119&gt;='Methodology &amp; Assumptions'!$B$8, "Tier 2 High GIDA (Score 40.0–49.9)", "Tier 3 Moderate GIDA (Score &lt; 40.0)"))</f>
        <v/>
      </c>
      <c r="V119" s="26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W119" s="28" t="n">
        <v>0.237</v>
      </c>
      <c r="X119" s="14" t="n">
        <v>50.7</v>
      </c>
      <c r="Y119" s="14">
        <f>ROUND(MIN(100, (X119/69.91)*100), 2)</f>
        <v/>
      </c>
    </row>
    <row r="120">
      <c r="A120" s="10" t="n">
        <v>2</v>
      </c>
      <c r="B120" s="10" t="n">
        <v>116</v>
      </c>
      <c r="C120" s="10" t="n">
        <v>1116</v>
      </c>
      <c r="D120" s="10" t="inlineStr">
        <is>
          <t>1380601001</t>
        </is>
      </c>
      <c r="E120" s="26" t="inlineStr">
        <is>
          <t>National Capital Region (NCR)</t>
        </is>
      </c>
      <c r="F120" s="26" t="inlineStr">
        <is>
          <t>First District (Not a Province)</t>
        </is>
      </c>
      <c r="G120" s="26" t="inlineStr">
        <is>
          <t>City of Manila</t>
        </is>
      </c>
      <c r="H120" s="26" t="inlineStr">
        <is>
          <t>Barangay 1</t>
        </is>
      </c>
      <c r="I120" s="27" t="n">
        <v>12.85122</v>
      </c>
      <c r="J120" s="27" t="n">
        <v>121.552088</v>
      </c>
      <c r="K120" s="10" t="inlineStr">
        <is>
          <t>U</t>
        </is>
      </c>
      <c r="L120" s="12" t="n">
        <v>3086</v>
      </c>
      <c r="M120" s="14" t="n">
        <v>3.9</v>
      </c>
      <c r="N120" s="12">
        <f>ROUND(L120/M120, 0)</f>
        <v/>
      </c>
      <c r="O120" s="12">
        <f>ROUND(N120*'Methodology &amp; Assumptions'!$B$5, 0)</f>
        <v/>
      </c>
      <c r="P120" s="10" t="inlineStr">
        <is>
          <t>Single Carrier (Band n50, 100MHz TDD)</t>
        </is>
      </c>
      <c r="Q120" s="13">
        <f>ROUNDUP(O120/'Methodology &amp; Assumptions'!$B$6, 0)</f>
        <v/>
      </c>
      <c r="R120" s="13" t="n">
        <v>1</v>
      </c>
      <c r="S120" s="14" t="n">
        <v>10.14</v>
      </c>
      <c r="T120" s="14" t="n">
        <v>10.01</v>
      </c>
      <c r="U120" s="26">
        <f>IF(X120&gt;='Methodology &amp; Assumptions'!$B$7, "Tier 1 Critical GIDA (Score ≥ 50.0)", IF(X120&gt;='Methodology &amp; Assumptions'!$B$8, "Tier 2 High GIDA (Score 40.0–49.9)", "Tier 3 Moderate GIDA (Score &lt; 40.0)"))</f>
        <v/>
      </c>
      <c r="V120" s="26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W120" s="28" t="n">
        <v>0.109</v>
      </c>
      <c r="X120" s="14" t="n">
        <v>50.7</v>
      </c>
      <c r="Y120" s="14">
        <f>ROUND(MIN(100, (X120/69.91)*100), 2)</f>
        <v/>
      </c>
    </row>
    <row r="121">
      <c r="A121" s="10" t="n">
        <v>2</v>
      </c>
      <c r="B121" s="10" t="n">
        <v>117</v>
      </c>
      <c r="C121" s="10" t="n">
        <v>1117</v>
      </c>
      <c r="D121" s="10" t="inlineStr">
        <is>
          <t>1380609003</t>
        </is>
      </c>
      <c r="E121" s="26" t="inlineStr">
        <is>
          <t>National Capital Region (NCR)</t>
        </is>
      </c>
      <c r="F121" s="26" t="inlineStr">
        <is>
          <t>First District (Not a Province)</t>
        </is>
      </c>
      <c r="G121" s="26" t="inlineStr">
        <is>
          <t>City of Manila</t>
        </is>
      </c>
      <c r="H121" s="26" t="inlineStr">
        <is>
          <t>Barangay 656</t>
        </is>
      </c>
      <c r="I121" s="27" t="n">
        <v>13.047881</v>
      </c>
      <c r="J121" s="27" t="n">
        <v>121.918763</v>
      </c>
      <c r="K121" s="10" t="inlineStr">
        <is>
          <t>U</t>
        </is>
      </c>
      <c r="L121" s="12" t="n">
        <v>375</v>
      </c>
      <c r="M121" s="14" t="n">
        <v>3.9</v>
      </c>
      <c r="N121" s="12">
        <f>ROUND(L121/M121, 0)</f>
        <v/>
      </c>
      <c r="O121" s="12">
        <f>ROUND(N121*'Methodology &amp; Assumptions'!$B$5, 0)</f>
        <v/>
      </c>
      <c r="P121" s="10" t="inlineStr">
        <is>
          <t>Single Carrier (Band n50, 100MHz TDD)</t>
        </is>
      </c>
      <c r="Q121" s="13">
        <f>ROUNDUP(O121/'Methodology &amp; Assumptions'!$B$6, 0)</f>
        <v/>
      </c>
      <c r="R121" s="13" t="n">
        <v>1</v>
      </c>
      <c r="S121" s="14" t="n">
        <v>44.67</v>
      </c>
      <c r="T121" s="14" t="n">
        <v>47.56</v>
      </c>
      <c r="U121" s="26">
        <f>IF(X121&gt;='Methodology &amp; Assumptions'!$B$7, "Tier 1 Critical GIDA (Score ≥ 50.0)", IF(X121&gt;='Methodology &amp; Assumptions'!$B$8, "Tier 2 High GIDA (Score 40.0–49.9)", "Tier 3 Moderate GIDA (Score &lt; 40.0)"))</f>
        <v/>
      </c>
      <c r="V121" s="26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W121" s="28" t="n">
        <v>0.109</v>
      </c>
      <c r="X121" s="14" t="n">
        <v>50.7</v>
      </c>
      <c r="Y121" s="14">
        <f>ROUND(MIN(100, (X121/69.91)*100), 2)</f>
        <v/>
      </c>
    </row>
    <row r="122">
      <c r="A122" s="10" t="n">
        <v>2</v>
      </c>
      <c r="B122" s="10" t="n">
        <v>118</v>
      </c>
      <c r="C122" s="10" t="n">
        <v>1118</v>
      </c>
      <c r="D122" s="10" t="inlineStr">
        <is>
          <t>0301412020</t>
        </is>
      </c>
      <c r="E122" s="26" t="inlineStr">
        <is>
          <t>Region III (Central Luzon)</t>
        </is>
      </c>
      <c r="F122" s="26" t="inlineStr">
        <is>
          <t>Bulacan</t>
        </is>
      </c>
      <c r="G122" s="26" t="inlineStr">
        <is>
          <t>City of Meycauayan</t>
        </is>
      </c>
      <c r="H122" s="26" t="inlineStr">
        <is>
          <t>Poblacion</t>
        </is>
      </c>
      <c r="I122" s="27" t="n">
        <v>14.742475</v>
      </c>
      <c r="J122" s="27" t="n">
        <v>120.970754</v>
      </c>
      <c r="K122" s="10" t="inlineStr">
        <is>
          <t>R</t>
        </is>
      </c>
      <c r="L122" s="12" t="n">
        <v>318</v>
      </c>
      <c r="M122" s="14" t="n">
        <v>3.5</v>
      </c>
      <c r="N122" s="12">
        <f>ROUND(L122/M122, 0)</f>
        <v/>
      </c>
      <c r="O122" s="12">
        <f>ROUND(N122*'Methodology &amp; Assumptions'!$B$5, 0)</f>
        <v/>
      </c>
      <c r="P122" s="10" t="inlineStr">
        <is>
          <t>Single Carrier (Band n50, 100MHz TDD)</t>
        </is>
      </c>
      <c r="Q122" s="13">
        <f>ROUNDUP(O122/'Methodology &amp; Assumptions'!$B$6, 0)</f>
        <v/>
      </c>
      <c r="R122" s="13" t="n">
        <v>1</v>
      </c>
      <c r="S122" s="14" t="n">
        <v>0.52</v>
      </c>
      <c r="T122" s="14" t="n">
        <v>1.17</v>
      </c>
      <c r="U122" s="26">
        <f>IF(X122&gt;='Methodology &amp; Assumptions'!$B$7, "Tier 1 Critical GIDA (Score ≥ 50.0)", IF(X122&gt;='Methodology &amp; Assumptions'!$B$8, "Tier 2 High GIDA (Score 40.0–49.9)", "Tier 3 Moderate GIDA (Score &lt; 40.0)"))</f>
        <v/>
      </c>
      <c r="V122" s="26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W122" s="28" t="n">
        <v>0.083</v>
      </c>
      <c r="X122" s="14" t="n">
        <v>50.7</v>
      </c>
      <c r="Y122" s="14">
        <f>ROUND(MIN(100, (X122/69.91)*100), 2)</f>
        <v/>
      </c>
    </row>
    <row r="123">
      <c r="A123" s="10" t="n">
        <v>2</v>
      </c>
      <c r="B123" s="10" t="n">
        <v>119</v>
      </c>
      <c r="C123" s="10" t="n">
        <v>1119</v>
      </c>
      <c r="D123" s="10" t="inlineStr">
        <is>
          <t>1380601126</t>
        </is>
      </c>
      <c r="E123" s="26" t="inlineStr">
        <is>
          <t>National Capital Region (NCR)</t>
        </is>
      </c>
      <c r="F123" s="26" t="inlineStr">
        <is>
          <t>First District (Not a Province)</t>
        </is>
      </c>
      <c r="G123" s="26" t="inlineStr">
        <is>
          <t>City of Manila</t>
        </is>
      </c>
      <c r="H123" s="26" t="inlineStr">
        <is>
          <t>Barangay 126</t>
        </is>
      </c>
      <c r="I123" s="27" t="n">
        <v>12.659016</v>
      </c>
      <c r="J123" s="27" t="n">
        <v>121.783884</v>
      </c>
      <c r="K123" s="10" t="inlineStr">
        <is>
          <t>U</t>
        </is>
      </c>
      <c r="L123" s="12" t="n">
        <v>1197</v>
      </c>
      <c r="M123" s="14" t="n">
        <v>3.9</v>
      </c>
      <c r="N123" s="12">
        <f>ROUND(L123/M123, 0)</f>
        <v/>
      </c>
      <c r="O123" s="12">
        <f>ROUND(N123*'Methodology &amp; Assumptions'!$B$5, 0)</f>
        <v/>
      </c>
      <c r="P123" s="10" t="inlineStr">
        <is>
          <t>Single Carrier (Band n50, 100MHz TDD)</t>
        </is>
      </c>
      <c r="Q123" s="13">
        <f>ROUNDUP(O123/'Methodology &amp; Assumptions'!$B$6, 0)</f>
        <v/>
      </c>
      <c r="R123" s="13" t="n">
        <v>1</v>
      </c>
      <c r="S123" s="14" t="n">
        <v>25.93</v>
      </c>
      <c r="T123" s="14" t="n">
        <v>23.76</v>
      </c>
      <c r="U123" s="26">
        <f>IF(X123&gt;='Methodology &amp; Assumptions'!$B$7, "Tier 1 Critical GIDA (Score ≥ 50.0)", IF(X123&gt;='Methodology &amp; Assumptions'!$B$8, "Tier 2 High GIDA (Score 40.0–49.9)", "Tier 3 Moderate GIDA (Score &lt; 40.0)"))</f>
        <v/>
      </c>
      <c r="V123" s="26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W123" s="28" t="n">
        <v>0.109</v>
      </c>
      <c r="X123" s="14" t="n">
        <v>50.69</v>
      </c>
      <c r="Y123" s="14">
        <f>ROUND(MIN(100, (X123/69.91)*100), 2)</f>
        <v/>
      </c>
    </row>
    <row r="124">
      <c r="A124" s="10" t="n">
        <v>2</v>
      </c>
      <c r="B124" s="10" t="n">
        <v>120</v>
      </c>
      <c r="C124" s="10" t="n">
        <v>1120</v>
      </c>
      <c r="D124" s="10" t="inlineStr">
        <is>
          <t>1906612067</t>
        </is>
      </c>
      <c r="E124" s="26" t="inlineStr">
        <is>
          <t>Bangsamoro Autonomous Region In Muslim Mindanao (BARMM)</t>
        </is>
      </c>
      <c r="F124" s="26" t="inlineStr">
        <is>
          <t>Sulu</t>
        </is>
      </c>
      <c r="G124" s="26" t="inlineStr">
        <is>
          <t>Siasi</t>
        </is>
      </c>
      <c r="H124" s="26" t="inlineStr">
        <is>
          <t>Southwestern Bulikullul</t>
        </is>
      </c>
      <c r="I124" s="27" t="n">
        <v>16.368216</v>
      </c>
      <c r="J124" s="27" t="n">
        <v>122.126737</v>
      </c>
      <c r="K124" s="10" t="inlineStr">
        <is>
          <t>R</t>
        </is>
      </c>
      <c r="L124" s="12" t="n">
        <v>897</v>
      </c>
      <c r="M124" s="14" t="n">
        <v>6</v>
      </c>
      <c r="N124" s="12">
        <f>ROUND(L124/M124, 0)</f>
        <v/>
      </c>
      <c r="O124" s="12">
        <f>ROUND(N124*'Methodology &amp; Assumptions'!$B$5, 0)</f>
        <v/>
      </c>
      <c r="P124" s="10" t="inlineStr">
        <is>
          <t>Single Carrier (Band n50, 100MHz TDD)</t>
        </is>
      </c>
      <c r="Q124" s="13">
        <f>ROUNDUP(O124/'Methodology &amp; Assumptions'!$B$6, 0)</f>
        <v/>
      </c>
      <c r="R124" s="13" t="n">
        <v>1</v>
      </c>
      <c r="S124" s="14" t="n">
        <v>8.41</v>
      </c>
      <c r="T124" s="14" t="n">
        <v>1.58</v>
      </c>
      <c r="U124" s="26">
        <f>IF(X124&gt;='Methodology &amp; Assumptions'!$B$7, "Tier 1 Critical GIDA (Score ≥ 50.0)", IF(X124&gt;='Methodology &amp; Assumptions'!$B$8, "Tier 2 High GIDA (Score 40.0–49.9)", "Tier 3 Moderate GIDA (Score &lt; 40.0)"))</f>
        <v/>
      </c>
      <c r="V124" s="26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W124" s="28" t="n">
        <v>0.11</v>
      </c>
      <c r="X124" s="14" t="n">
        <v>50.69</v>
      </c>
      <c r="Y124" s="14">
        <f>ROUND(MIN(100, (X124/69.91)*100), 2)</f>
        <v/>
      </c>
    </row>
    <row r="125">
      <c r="A125" s="10" t="n">
        <v>2</v>
      </c>
      <c r="B125" s="10" t="n">
        <v>121</v>
      </c>
      <c r="C125" s="10" t="n">
        <v>1121</v>
      </c>
      <c r="D125" s="10" t="inlineStr">
        <is>
          <t>1381200026</t>
        </is>
      </c>
      <c r="E125" s="26" t="inlineStr">
        <is>
          <t>National Capital Region (NCR)</t>
        </is>
      </c>
      <c r="F125" s="26" t="inlineStr">
        <is>
          <t>Second District (Not a Province)</t>
        </is>
      </c>
      <c r="G125" s="26" t="inlineStr">
        <is>
          <t>City of Pasig</t>
        </is>
      </c>
      <c r="H125" s="26" t="inlineStr">
        <is>
          <t>Santo Tomas</t>
        </is>
      </c>
      <c r="I125" s="27" t="n">
        <v>14.580334</v>
      </c>
      <c r="J125" s="27" t="n">
        <v>121.092476</v>
      </c>
      <c r="K125" s="10" t="inlineStr">
        <is>
          <t>U</t>
        </is>
      </c>
      <c r="L125" s="12" t="n">
        <v>13706</v>
      </c>
      <c r="M125" s="14" t="n">
        <v>3.4</v>
      </c>
      <c r="N125" s="12">
        <f>ROUND(L125/M125, 0)</f>
        <v/>
      </c>
      <c r="O125" s="12">
        <f>ROUND(N125*'Methodology &amp; Assumptions'!$B$5, 0)</f>
        <v/>
      </c>
      <c r="P125" s="10" t="inlineStr">
        <is>
          <t>Single Carrier (Band n50, 100MHz TDD)</t>
        </is>
      </c>
      <c r="Q125" s="13">
        <f>ROUNDUP(O125/'Methodology &amp; Assumptions'!$B$6, 0)</f>
        <v/>
      </c>
      <c r="R125" s="13" t="n">
        <v>1</v>
      </c>
      <c r="S125" s="14" t="n">
        <v>0.97</v>
      </c>
      <c r="T125" s="14" t="n">
        <v>0.58</v>
      </c>
      <c r="U125" s="26">
        <f>IF(X125&gt;='Methodology &amp; Assumptions'!$B$7, "Tier 1 Critical GIDA (Score ≥ 50.0)", IF(X125&gt;='Methodology &amp; Assumptions'!$B$8, "Tier 2 High GIDA (Score 40.0–49.9)", "Tier 3 Moderate GIDA (Score &lt; 40.0)"))</f>
        <v/>
      </c>
      <c r="V125" s="26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W125" s="28" t="n">
        <v>0.109</v>
      </c>
      <c r="X125" s="14" t="n">
        <v>50.68</v>
      </c>
      <c r="Y125" s="14">
        <f>ROUND(MIN(100, (X125/69.91)*100), 2)</f>
        <v/>
      </c>
    </row>
    <row r="126">
      <c r="A126" s="10" t="n">
        <v>2</v>
      </c>
      <c r="B126" s="10" t="n">
        <v>122</v>
      </c>
      <c r="C126" s="10" t="n">
        <v>1122</v>
      </c>
      <c r="D126" s="10" t="inlineStr">
        <is>
          <t>0504107014</t>
        </is>
      </c>
      <c r="E126" s="26" t="inlineStr">
        <is>
          <t>Region V (Bicol Region)</t>
        </is>
      </c>
      <c r="F126" s="26" t="inlineStr">
        <is>
          <t>Masbate</t>
        </is>
      </c>
      <c r="G126" s="26" t="inlineStr">
        <is>
          <t>Claveria</t>
        </is>
      </c>
      <c r="H126" s="26" t="inlineStr">
        <is>
          <t>Osmeña</t>
        </is>
      </c>
      <c r="I126" s="27" t="n">
        <v>12.824256</v>
      </c>
      <c r="J126" s="27" t="n">
        <v>123.255567</v>
      </c>
      <c r="K126" s="10" t="inlineStr">
        <is>
          <t>R</t>
        </is>
      </c>
      <c r="L126" s="12" t="n">
        <v>3207</v>
      </c>
      <c r="M126" s="14" t="n">
        <v>4.1</v>
      </c>
      <c r="N126" s="12">
        <f>ROUND(L126/M126, 0)</f>
        <v/>
      </c>
      <c r="O126" s="12">
        <f>ROUND(N126*'Methodology &amp; Assumptions'!$B$5, 0)</f>
        <v/>
      </c>
      <c r="P126" s="10" t="inlineStr">
        <is>
          <t>Single Carrier (Band n50, 100MHz TDD)</t>
        </is>
      </c>
      <c r="Q126" s="13">
        <f>ROUNDUP(O126/'Methodology &amp; Assumptions'!$B$6, 0)</f>
        <v/>
      </c>
      <c r="R126" s="13" t="n">
        <v>1</v>
      </c>
      <c r="S126" s="14" t="n">
        <v>24.09</v>
      </c>
      <c r="T126" s="14" t="n">
        <v>39.37</v>
      </c>
      <c r="U126" s="26">
        <f>IF(X126&gt;='Methodology &amp; Assumptions'!$B$7, "Tier 1 Critical GIDA (Score ≥ 50.0)", IF(X126&gt;='Methodology &amp; Assumptions'!$B$8, "Tier 2 High GIDA (Score 40.0–49.9)", "Tier 3 Moderate GIDA (Score &lt; 40.0)"))</f>
        <v/>
      </c>
      <c r="V126" s="26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W126" s="28" t="n">
        <v>0.237</v>
      </c>
      <c r="X126" s="14" t="n">
        <v>50.67</v>
      </c>
      <c r="Y126" s="14">
        <f>ROUND(MIN(100, (X126/69.91)*100), 2)</f>
        <v/>
      </c>
    </row>
    <row r="127">
      <c r="A127" s="10" t="n">
        <v>2</v>
      </c>
      <c r="B127" s="10" t="n">
        <v>123</v>
      </c>
      <c r="C127" s="10" t="n">
        <v>1123</v>
      </c>
      <c r="D127" s="10" t="inlineStr">
        <is>
          <t>PH0001123</t>
        </is>
      </c>
      <c r="E127" s="26" t="inlineStr">
        <is>
          <t>NIR</t>
        </is>
      </c>
      <c r="F127" s="26" t="inlineStr">
        <is>
          <t>Negros Occidental</t>
        </is>
      </c>
      <c r="G127" s="26" t="inlineStr">
        <is>
          <t>Bacolod City</t>
        </is>
      </c>
      <c r="H127" s="26" t="inlineStr">
        <is>
          <t>Barangay 14 (Pob.)</t>
        </is>
      </c>
      <c r="I127" s="27" t="n">
        <v>10.665152</v>
      </c>
      <c r="J127" s="27" t="n">
        <v>122.942267</v>
      </c>
      <c r="K127" s="10" t="inlineStr">
        <is>
          <t>R</t>
        </is>
      </c>
      <c r="L127" s="12" t="n">
        <v>2279</v>
      </c>
      <c r="M127" s="14" t="n">
        <v>3.8</v>
      </c>
      <c r="N127" s="12">
        <f>ROUND(L127/M127, 0)</f>
        <v/>
      </c>
      <c r="O127" s="12">
        <f>ROUND(N127*'Methodology &amp; Assumptions'!$B$5, 0)</f>
        <v/>
      </c>
      <c r="P127" s="10" t="inlineStr">
        <is>
          <t>Single Carrier (Band n50, 100MHz TDD)</t>
        </is>
      </c>
      <c r="Q127" s="13">
        <f>ROUNDUP(O127/'Methodology &amp; Assumptions'!$B$6, 0)</f>
        <v/>
      </c>
      <c r="R127" s="13" t="n">
        <v>1</v>
      </c>
      <c r="S127" s="14" t="n">
        <v>1.11</v>
      </c>
      <c r="T127" s="14" t="n">
        <v>0.28</v>
      </c>
      <c r="U127" s="26">
        <f>IF(X127&gt;='Methodology &amp; Assumptions'!$B$7, "Tier 1 Critical GIDA (Score ≥ 50.0)", IF(X127&gt;='Methodology &amp; Assumptions'!$B$8, "Tier 2 High GIDA (Score 40.0–49.9)", "Tier 3 Moderate GIDA (Score &lt; 40.0)"))</f>
        <v/>
      </c>
      <c r="V127" s="26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W127" s="28" t="n">
        <v>0.109</v>
      </c>
      <c r="X127" s="14" t="n">
        <v>50.67</v>
      </c>
      <c r="Y127" s="14">
        <f>ROUND(MIN(100, (X127/69.91)*100), 2)</f>
        <v/>
      </c>
    </row>
    <row r="128">
      <c r="A128" s="10" t="n">
        <v>2</v>
      </c>
      <c r="B128" s="10" t="n">
        <v>124</v>
      </c>
      <c r="C128" s="10" t="n">
        <v>1124</v>
      </c>
      <c r="D128" s="10" t="inlineStr">
        <is>
          <t>PH0001124</t>
        </is>
      </c>
      <c r="E128" s="26" t="inlineStr">
        <is>
          <t>VIII</t>
        </is>
      </c>
      <c r="F128" s="26" t="inlineStr">
        <is>
          <t>Leyte</t>
        </is>
      </c>
      <c r="G128" s="26" t="inlineStr">
        <is>
          <t>Tacloban City</t>
        </is>
      </c>
      <c r="H128" s="26" t="inlineStr">
        <is>
          <t>Barangay 46</t>
        </is>
      </c>
      <c r="I128" s="27" t="n">
        <v>11.279183</v>
      </c>
      <c r="J128" s="27" t="n">
        <v>125.007533</v>
      </c>
      <c r="K128" s="10" t="inlineStr">
        <is>
          <t>R</t>
        </is>
      </c>
      <c r="L128" s="12" t="n">
        <v>2258</v>
      </c>
      <c r="M128" s="14" t="n">
        <v>3.8</v>
      </c>
      <c r="N128" s="12">
        <f>ROUND(L128/M128, 0)</f>
        <v/>
      </c>
      <c r="O128" s="12">
        <f>ROUND(N128*'Methodology &amp; Assumptions'!$B$5, 0)</f>
        <v/>
      </c>
      <c r="P128" s="10" t="inlineStr">
        <is>
          <t>Single Carrier (Band n50, 100MHz TDD)</t>
        </is>
      </c>
      <c r="Q128" s="13">
        <f>ROUNDUP(O128/'Methodology &amp; Assumptions'!$B$6, 0)</f>
        <v/>
      </c>
      <c r="R128" s="13" t="n">
        <v>1</v>
      </c>
      <c r="S128" s="14" t="n">
        <v>4.44</v>
      </c>
      <c r="T128" s="14" t="n">
        <v>7.42</v>
      </c>
      <c r="U128" s="26">
        <f>IF(X128&gt;='Methodology &amp; Assumptions'!$B$7, "Tier 1 Critical GIDA (Score ≥ 50.0)", IF(X128&gt;='Methodology &amp; Assumptions'!$B$8, "Tier 2 High GIDA (Score 40.0–49.9)", "Tier 3 Moderate GIDA (Score &lt; 40.0)"))</f>
        <v/>
      </c>
      <c r="V128" s="26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W128" s="28" t="n">
        <v>0.222</v>
      </c>
      <c r="X128" s="14" t="n">
        <v>50.67</v>
      </c>
      <c r="Y128" s="14">
        <f>ROUND(MIN(100, (X128/69.91)*100), 2)</f>
        <v/>
      </c>
    </row>
    <row r="129">
      <c r="A129" s="10" t="n">
        <v>2</v>
      </c>
      <c r="B129" s="10" t="n">
        <v>125</v>
      </c>
      <c r="C129" s="10" t="n">
        <v>1125</v>
      </c>
      <c r="D129" s="10" t="inlineStr">
        <is>
          <t>1380605012</t>
        </is>
      </c>
      <c r="E129" s="26" t="inlineStr">
        <is>
          <t>National Capital Region (NCR)</t>
        </is>
      </c>
      <c r="F129" s="26" t="inlineStr">
        <is>
          <t>First District (Not a Province)</t>
        </is>
      </c>
      <c r="G129" s="26" t="inlineStr">
        <is>
          <t>City of Manila</t>
        </is>
      </c>
      <c r="H129" s="26" t="inlineStr">
        <is>
          <t>Barangay 310</t>
        </is>
      </c>
      <c r="I129" s="27" t="n">
        <v>13.03685</v>
      </c>
      <c r="J129" s="27" t="n">
        <v>121.612794</v>
      </c>
      <c r="K129" s="10" t="inlineStr">
        <is>
          <t>U</t>
        </is>
      </c>
      <c r="L129" s="12" t="n">
        <v>14015</v>
      </c>
      <c r="M129" s="14" t="n">
        <v>3.9</v>
      </c>
      <c r="N129" s="12">
        <f>ROUND(L129/M129, 0)</f>
        <v/>
      </c>
      <c r="O129" s="12">
        <f>ROUND(N129*'Methodology &amp; Assumptions'!$B$5, 0)</f>
        <v/>
      </c>
      <c r="P129" s="10" t="inlineStr">
        <is>
          <t>Single Carrier (Band n50, 100MHz TDD)</t>
        </is>
      </c>
      <c r="Q129" s="13">
        <f>ROUNDUP(O129/'Methodology &amp; Assumptions'!$B$6, 0)</f>
        <v/>
      </c>
      <c r="R129" s="13" t="n">
        <v>1</v>
      </c>
      <c r="S129" s="14" t="n">
        <v>11.89</v>
      </c>
      <c r="T129" s="14" t="n">
        <v>14.39</v>
      </c>
      <c r="U129" s="26">
        <f>IF(X129&gt;='Methodology &amp; Assumptions'!$B$7, "Tier 1 Critical GIDA (Score ≥ 50.0)", IF(X129&gt;='Methodology &amp; Assumptions'!$B$8, "Tier 2 High GIDA (Score 40.0–49.9)", "Tier 3 Moderate GIDA (Score &lt; 40.0)"))</f>
        <v/>
      </c>
      <c r="V129" s="26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W129" s="28" t="n">
        <v>0.109</v>
      </c>
      <c r="X129" s="14" t="n">
        <v>50.66</v>
      </c>
      <c r="Y129" s="14">
        <f>ROUND(MIN(100, (X129/69.91)*100), 2)</f>
        <v/>
      </c>
    </row>
    <row r="130">
      <c r="A130" s="10" t="n">
        <v>2</v>
      </c>
      <c r="B130" s="10" t="n">
        <v>126</v>
      </c>
      <c r="C130" s="10" t="n">
        <v>1126</v>
      </c>
      <c r="D130" s="10" t="inlineStr">
        <is>
          <t>PH0001126</t>
        </is>
      </c>
      <c r="E130" s="26" t="inlineStr">
        <is>
          <t>VI</t>
        </is>
      </c>
      <c r="F130" s="26" t="inlineStr">
        <is>
          <t>Iloilo</t>
        </is>
      </c>
      <c r="G130" s="26" t="inlineStr">
        <is>
          <t>Iloilo City</t>
        </is>
      </c>
      <c r="H130" s="26" t="inlineStr">
        <is>
          <t>Nabitasan</t>
        </is>
      </c>
      <c r="I130" s="27" t="n">
        <v>10.704897</v>
      </c>
      <c r="J130" s="27" t="n">
        <v>122.562322</v>
      </c>
      <c r="K130" s="10" t="inlineStr">
        <is>
          <t>R</t>
        </is>
      </c>
      <c r="L130" s="12" t="n">
        <v>2230</v>
      </c>
      <c r="M130" s="14" t="n">
        <v>3.8</v>
      </c>
      <c r="N130" s="12">
        <f>ROUND(L130/M130, 0)</f>
        <v/>
      </c>
      <c r="O130" s="12">
        <f>ROUND(N130*'Methodology &amp; Assumptions'!$B$5, 0)</f>
        <v/>
      </c>
      <c r="P130" s="10" t="inlineStr">
        <is>
          <t>Single Carrier (Band n50, 100MHz TDD)</t>
        </is>
      </c>
      <c r="Q130" s="13">
        <f>ROUNDUP(O130/'Methodology &amp; Assumptions'!$B$6, 0)</f>
        <v/>
      </c>
      <c r="R130" s="13" t="n">
        <v>1</v>
      </c>
      <c r="S130" s="14" t="n">
        <v>1.17</v>
      </c>
      <c r="T130" s="14" t="n">
        <v>0.6</v>
      </c>
      <c r="U130" s="26">
        <f>IF(X130&gt;='Methodology &amp; Assumptions'!$B$7, "Tier 1 Critical GIDA (Score ≥ 50.0)", IF(X130&gt;='Methodology &amp; Assumptions'!$B$8, "Tier 2 High GIDA (Score 40.0–49.9)", "Tier 3 Moderate GIDA (Score &lt; 40.0)"))</f>
        <v/>
      </c>
      <c r="V130" s="26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W130" s="28" t="n">
        <v>0.156</v>
      </c>
      <c r="X130" s="14" t="n">
        <v>50.66</v>
      </c>
      <c r="Y130" s="14">
        <f>ROUND(MIN(100, (X130/69.91)*100), 2)</f>
        <v/>
      </c>
    </row>
    <row r="131">
      <c r="A131" s="10" t="n">
        <v>2</v>
      </c>
      <c r="B131" s="10" t="n">
        <v>127</v>
      </c>
      <c r="C131" s="10" t="n">
        <v>1127</v>
      </c>
      <c r="D131" s="10" t="inlineStr">
        <is>
          <t>PH0001127</t>
        </is>
      </c>
      <c r="E131" s="26" t="inlineStr">
        <is>
          <t>IV-A</t>
        </is>
      </c>
      <c r="F131" s="26" t="inlineStr">
        <is>
          <t>Laguna</t>
        </is>
      </c>
      <c r="G131" s="26" t="inlineStr">
        <is>
          <t>San Pablo City</t>
        </is>
      </c>
      <c r="H131" s="26" t="inlineStr">
        <is>
          <t>Barangay V-D (Pob.)</t>
        </is>
      </c>
      <c r="I131" s="27" t="n">
        <v>14.071917</v>
      </c>
      <c r="J131" s="27" t="n">
        <v>121.326943</v>
      </c>
      <c r="K131" s="10" t="inlineStr">
        <is>
          <t>R</t>
        </is>
      </c>
      <c r="L131" s="12" t="n">
        <v>2412</v>
      </c>
      <c r="M131" s="14" t="n">
        <v>3.3</v>
      </c>
      <c r="N131" s="12">
        <f>ROUND(L131/M131, 0)</f>
        <v/>
      </c>
      <c r="O131" s="12">
        <f>ROUND(N131*'Methodology &amp; Assumptions'!$B$5, 0)</f>
        <v/>
      </c>
      <c r="P131" s="10" t="inlineStr">
        <is>
          <t>Single Carrier (Band n50, 100MHz TDD)</t>
        </is>
      </c>
      <c r="Q131" s="13">
        <f>ROUNDUP(O131/'Methodology &amp; Assumptions'!$B$6, 0)</f>
        <v/>
      </c>
      <c r="R131" s="13" t="n">
        <v>1</v>
      </c>
      <c r="S131" s="14" t="n">
        <v>1.43</v>
      </c>
      <c r="T131" s="14" t="n">
        <v>0.25</v>
      </c>
      <c r="U131" s="26">
        <f>IF(X131&gt;='Methodology &amp; Assumptions'!$B$7, "Tier 1 Critical GIDA (Score ≥ 50.0)", IF(X131&gt;='Methodology &amp; Assumptions'!$B$8, "Tier 2 High GIDA (Score 40.0–49.9)", "Tier 3 Moderate GIDA (Score &lt; 40.0)"))</f>
        <v/>
      </c>
      <c r="V131" s="26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W131" s="28" t="n">
        <v>0.07200000000000001</v>
      </c>
      <c r="X131" s="14" t="n">
        <v>50.66</v>
      </c>
      <c r="Y131" s="14">
        <f>ROUND(MIN(100, (X131/69.91)*100), 2)</f>
        <v/>
      </c>
    </row>
    <row r="132">
      <c r="A132" s="10" t="n">
        <v>2</v>
      </c>
      <c r="B132" s="10" t="n">
        <v>128</v>
      </c>
      <c r="C132" s="10" t="n">
        <v>1128</v>
      </c>
      <c r="D132" s="10" t="inlineStr">
        <is>
          <t>1606808009</t>
        </is>
      </c>
      <c r="E132" s="26" t="inlineStr">
        <is>
          <t>Region XIII (Caraga)</t>
        </is>
      </c>
      <c r="F132" s="26" t="inlineStr">
        <is>
          <t>Surigao del Sur</t>
        </is>
      </c>
      <c r="G132" s="26" t="inlineStr">
        <is>
          <t>Cortes</t>
        </is>
      </c>
      <c r="H132" s="26" t="inlineStr">
        <is>
          <t>Tag-Anongan</t>
        </is>
      </c>
      <c r="I132" s="27" t="n">
        <v>9.231548999999999</v>
      </c>
      <c r="J132" s="27" t="n">
        <v>126.191901</v>
      </c>
      <c r="K132" s="10" t="inlineStr">
        <is>
          <t>R</t>
        </is>
      </c>
      <c r="L132" s="12" t="n">
        <v>916</v>
      </c>
      <c r="M132" s="14" t="n">
        <v>4.1</v>
      </c>
      <c r="N132" s="12">
        <f>ROUND(L132/M132, 0)</f>
        <v/>
      </c>
      <c r="O132" s="12">
        <f>ROUND(N132*'Methodology &amp; Assumptions'!$B$5, 0)</f>
        <v/>
      </c>
      <c r="P132" s="10" t="inlineStr">
        <is>
          <t>Single Carrier (Band n50, 100MHz TDD)</t>
        </is>
      </c>
      <c r="Q132" s="13">
        <f>ROUNDUP(O132/'Methodology &amp; Assumptions'!$B$6, 0)</f>
        <v/>
      </c>
      <c r="R132" s="13" t="n">
        <v>1</v>
      </c>
      <c r="S132" s="14" t="n">
        <v>17.2</v>
      </c>
      <c r="T132" s="14" t="n">
        <v>2.44</v>
      </c>
      <c r="U132" s="26">
        <f>IF(X132&gt;='Methodology &amp; Assumptions'!$B$7, "Tier 1 Critical GIDA (Score ≥ 50.0)", IF(X132&gt;='Methodology &amp; Assumptions'!$B$8, "Tier 2 High GIDA (Score 40.0–49.9)", "Tier 3 Moderate GIDA (Score &lt; 40.0)"))</f>
        <v/>
      </c>
      <c r="V132" s="26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W132" s="28" t="n">
        <v>0.174</v>
      </c>
      <c r="X132" s="14" t="n">
        <v>50.65</v>
      </c>
      <c r="Y132" s="14">
        <f>ROUND(MIN(100, (X132/69.91)*100), 2)</f>
        <v/>
      </c>
    </row>
    <row r="133">
      <c r="A133" s="10" t="n">
        <v>2</v>
      </c>
      <c r="B133" s="10" t="n">
        <v>129</v>
      </c>
      <c r="C133" s="10" t="n">
        <v>1129</v>
      </c>
      <c r="D133" s="10" t="inlineStr">
        <is>
          <t>1380614101</t>
        </is>
      </c>
      <c r="E133" s="26" t="inlineStr">
        <is>
          <t>National Capital Region (NCR)</t>
        </is>
      </c>
      <c r="F133" s="26" t="inlineStr">
        <is>
          <t>First District (Not a Province)</t>
        </is>
      </c>
      <c r="G133" s="26" t="inlineStr">
        <is>
          <t>City of Manila</t>
        </is>
      </c>
      <c r="H133" s="26" t="inlineStr">
        <is>
          <t>Barangay 818-A</t>
        </is>
      </c>
      <c r="I133" s="27" t="n">
        <v>12.869947</v>
      </c>
      <c r="J133" s="27" t="n">
        <v>122.003146</v>
      </c>
      <c r="K133" s="10" t="inlineStr">
        <is>
          <t>U</t>
        </is>
      </c>
      <c r="L133" s="12" t="n">
        <v>1622</v>
      </c>
      <c r="M133" s="14" t="n">
        <v>3.9</v>
      </c>
      <c r="N133" s="12">
        <f>ROUND(L133/M133, 0)</f>
        <v/>
      </c>
      <c r="O133" s="12">
        <f>ROUND(N133*'Methodology &amp; Assumptions'!$B$5, 0)</f>
        <v/>
      </c>
      <c r="P133" s="10" t="inlineStr">
        <is>
          <t>Single Carrier (Band n50, 100MHz TDD)</t>
        </is>
      </c>
      <c r="Q133" s="13">
        <f>ROUNDUP(O133/'Methodology &amp; Assumptions'!$B$6, 0)</f>
        <v/>
      </c>
      <c r="R133" s="13" t="n">
        <v>1</v>
      </c>
      <c r="S133" s="14" t="n">
        <v>57.2</v>
      </c>
      <c r="T133" s="14" t="n">
        <v>56.5</v>
      </c>
      <c r="U133" s="26">
        <f>IF(X133&gt;='Methodology &amp; Assumptions'!$B$7, "Tier 1 Critical GIDA (Score ≥ 50.0)", IF(X133&gt;='Methodology &amp; Assumptions'!$B$8, "Tier 2 High GIDA (Score 40.0–49.9)", "Tier 3 Moderate GIDA (Score &lt; 40.0)"))</f>
        <v/>
      </c>
      <c r="V133" s="26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W133" s="28" t="n">
        <v>0.109</v>
      </c>
      <c r="X133" s="14" t="n">
        <v>50.65</v>
      </c>
      <c r="Y133" s="14">
        <f>ROUND(MIN(100, (X133/69.91)*100), 2)</f>
        <v/>
      </c>
    </row>
    <row r="134">
      <c r="A134" s="10" t="n">
        <v>2</v>
      </c>
      <c r="B134" s="10" t="n">
        <v>130</v>
      </c>
      <c r="C134" s="10" t="n">
        <v>1130</v>
      </c>
      <c r="D134" s="10" t="inlineStr">
        <is>
          <t>0806008020</t>
        </is>
      </c>
      <c r="E134" s="26" t="inlineStr">
        <is>
          <t>Region VIII (Eastern Visayas)</t>
        </is>
      </c>
      <c r="F134" s="26" t="inlineStr">
        <is>
          <t>Samar</t>
        </is>
      </c>
      <c r="G134" s="26" t="inlineStr">
        <is>
          <t>Hinabangan</t>
        </is>
      </c>
      <c r="H134" s="26" t="inlineStr">
        <is>
          <t>San Jose</t>
        </is>
      </c>
      <c r="I134" s="27" t="n">
        <v>11.728209</v>
      </c>
      <c r="J134" s="27" t="n">
        <v>125.12937</v>
      </c>
      <c r="K134" s="10" t="inlineStr">
        <is>
          <t>R</t>
        </is>
      </c>
      <c r="L134" s="12" t="n">
        <v>799</v>
      </c>
      <c r="M134" s="14" t="n">
        <v>4.1</v>
      </c>
      <c r="N134" s="12">
        <f>ROUND(L134/M134, 0)</f>
        <v/>
      </c>
      <c r="O134" s="12">
        <f>ROUND(N134*'Methodology &amp; Assumptions'!$B$5, 0)</f>
        <v/>
      </c>
      <c r="P134" s="10" t="inlineStr">
        <is>
          <t>Single Carrier (Band n50, 100MHz TDD)</t>
        </is>
      </c>
      <c r="Q134" s="13">
        <f>ROUNDUP(O134/'Methodology &amp; Assumptions'!$B$6, 0)</f>
        <v/>
      </c>
      <c r="R134" s="13" t="n">
        <v>1</v>
      </c>
      <c r="S134" s="14" t="n">
        <v>56.06</v>
      </c>
      <c r="T134" s="14" t="n">
        <v>58.82</v>
      </c>
      <c r="U134" s="26">
        <f>IF(X134&gt;='Methodology &amp; Assumptions'!$B$7, "Tier 1 Critical GIDA (Score ≥ 50.0)", IF(X134&gt;='Methodology &amp; Assumptions'!$B$8, "Tier 2 High GIDA (Score 40.0–49.9)", "Tier 3 Moderate GIDA (Score &lt; 40.0)"))</f>
        <v/>
      </c>
      <c r="V134" s="26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W134" s="28" t="n">
        <v>0.237</v>
      </c>
      <c r="X134" s="14" t="n">
        <v>50.65</v>
      </c>
      <c r="Y134" s="14">
        <f>ROUND(MIN(100, (X134/69.91)*100), 2)</f>
        <v/>
      </c>
    </row>
    <row r="135">
      <c r="A135" s="10" t="n">
        <v>2</v>
      </c>
      <c r="B135" s="10" t="n">
        <v>131</v>
      </c>
      <c r="C135" s="10" t="n">
        <v>1131</v>
      </c>
      <c r="D135" s="10" t="inlineStr">
        <is>
          <t>0102934040</t>
        </is>
      </c>
      <c r="E135" s="26" t="inlineStr">
        <is>
          <t>Region I (Ilocos Region)</t>
        </is>
      </c>
      <c r="F135" s="26" t="inlineStr">
        <is>
          <t>Ilocos Sur</t>
        </is>
      </c>
      <c r="G135" s="26" t="inlineStr">
        <is>
          <t>City of Vigan</t>
        </is>
      </c>
      <c r="H135" s="26" t="inlineStr">
        <is>
          <t>Barangay IX</t>
        </is>
      </c>
      <c r="I135" s="27" t="n">
        <v>17.566882</v>
      </c>
      <c r="J135" s="27" t="n">
        <v>120.386771</v>
      </c>
      <c r="K135" s="10" t="inlineStr">
        <is>
          <t>R</t>
        </is>
      </c>
      <c r="L135" s="12" t="n">
        <v>2598</v>
      </c>
      <c r="M135" s="14" t="n">
        <v>3.8</v>
      </c>
      <c r="N135" s="12">
        <f>ROUND(L135/M135, 0)</f>
        <v/>
      </c>
      <c r="O135" s="12">
        <f>ROUND(N135*'Methodology &amp; Assumptions'!$B$5, 0)</f>
        <v/>
      </c>
      <c r="P135" s="10" t="inlineStr">
        <is>
          <t>Single Carrier (Band n50, 100MHz TDD)</t>
        </is>
      </c>
      <c r="Q135" s="13">
        <f>ROUNDUP(O135/'Methodology &amp; Assumptions'!$B$6, 0)</f>
        <v/>
      </c>
      <c r="R135" s="13" t="n">
        <v>1</v>
      </c>
      <c r="S135" s="14" t="n">
        <v>3</v>
      </c>
      <c r="T135" s="14" t="n">
        <v>1.58</v>
      </c>
      <c r="U135" s="26">
        <f>IF(X135&gt;='Methodology &amp; Assumptions'!$B$7, "Tier 1 Critical GIDA (Score ≥ 50.0)", IF(X135&gt;='Methodology &amp; Assumptions'!$B$8, "Tier 2 High GIDA (Score 40.0–49.9)", "Tier 3 Moderate GIDA (Score &lt; 40.0)"))</f>
        <v/>
      </c>
      <c r="V135" s="26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W135" s="28" t="n">
        <v>0.083</v>
      </c>
      <c r="X135" s="14" t="n">
        <v>50.65</v>
      </c>
      <c r="Y135" s="14">
        <f>ROUND(MIN(100, (X135/69.91)*100), 2)</f>
        <v/>
      </c>
    </row>
    <row r="136">
      <c r="A136" s="10" t="n">
        <v>2</v>
      </c>
      <c r="B136" s="10" t="n">
        <v>132</v>
      </c>
      <c r="C136" s="10" t="n">
        <v>1132</v>
      </c>
      <c r="D136" s="10" t="inlineStr">
        <is>
          <t>PH0001132</t>
        </is>
      </c>
      <c r="E136" s="26" t="inlineStr">
        <is>
          <t>VI</t>
        </is>
      </c>
      <c r="F136" s="26" t="inlineStr">
        <is>
          <t>Capiz</t>
        </is>
      </c>
      <c r="G136" s="26" t="inlineStr">
        <is>
          <t>Roxas City</t>
        </is>
      </c>
      <c r="H136" s="26" t="inlineStr">
        <is>
          <t>Poblacion III</t>
        </is>
      </c>
      <c r="I136" s="27" t="n">
        <v>11.562956</v>
      </c>
      <c r="J136" s="27" t="n">
        <v>122.760722</v>
      </c>
      <c r="K136" s="10" t="inlineStr">
        <is>
          <t>R</t>
        </is>
      </c>
      <c r="L136" s="12" t="n">
        <v>2282</v>
      </c>
      <c r="M136" s="14" t="n">
        <v>3.8</v>
      </c>
      <c r="N136" s="12">
        <f>ROUND(L136/M136, 0)</f>
        <v/>
      </c>
      <c r="O136" s="12">
        <f>ROUND(N136*'Methodology &amp; Assumptions'!$B$5, 0)</f>
        <v/>
      </c>
      <c r="P136" s="10" t="inlineStr">
        <is>
          <t>Single Carrier (Band n50, 100MHz TDD)</t>
        </is>
      </c>
      <c r="Q136" s="13">
        <f>ROUNDUP(O136/'Methodology &amp; Assumptions'!$B$6, 0)</f>
        <v/>
      </c>
      <c r="R136" s="13" t="n">
        <v>1</v>
      </c>
      <c r="S136" s="14" t="n">
        <v>3.19</v>
      </c>
      <c r="T136" s="14" t="n">
        <v>0.42</v>
      </c>
      <c r="U136" s="26">
        <f>IF(X136&gt;='Methodology &amp; Assumptions'!$B$7, "Tier 1 Critical GIDA (Score ≥ 50.0)", IF(X136&gt;='Methodology &amp; Assumptions'!$B$8, "Tier 2 High GIDA (Score 40.0–49.9)", "Tier 3 Moderate GIDA (Score &lt; 40.0)"))</f>
        <v/>
      </c>
      <c r="V136" s="26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W136" s="28" t="n">
        <v>0.156</v>
      </c>
      <c r="X136" s="14" t="n">
        <v>50.64</v>
      </c>
      <c r="Y136" s="14">
        <f>ROUND(MIN(100, (X136/69.91)*100), 2)</f>
        <v/>
      </c>
    </row>
    <row r="137">
      <c r="A137" s="10" t="n">
        <v>2</v>
      </c>
      <c r="B137" s="10" t="n">
        <v>133</v>
      </c>
      <c r="C137" s="10" t="n">
        <v>1133</v>
      </c>
      <c r="D137" s="10" t="inlineStr">
        <is>
          <t>1102501007</t>
        </is>
      </c>
      <c r="E137" s="26" t="inlineStr">
        <is>
          <t>Region XI (Davao Region)</t>
        </is>
      </c>
      <c r="F137" s="26" t="inlineStr">
        <is>
          <t>Davao Oriental</t>
        </is>
      </c>
      <c r="G137" s="26" t="inlineStr">
        <is>
          <t>Baganga</t>
        </is>
      </c>
      <c r="H137" s="26" t="inlineStr">
        <is>
          <t>Campawan</t>
        </is>
      </c>
      <c r="I137" s="27" t="n">
        <v>7.574007</v>
      </c>
      <c r="J137" s="27" t="n">
        <v>126.55999</v>
      </c>
      <c r="K137" s="10" t="inlineStr">
        <is>
          <t>R</t>
        </is>
      </c>
      <c r="L137" s="12" t="n">
        <v>2164</v>
      </c>
      <c r="M137" s="14" t="n">
        <v>3.6</v>
      </c>
      <c r="N137" s="12">
        <f>ROUND(L137/M137, 0)</f>
        <v/>
      </c>
      <c r="O137" s="12">
        <f>ROUND(N137*'Methodology &amp; Assumptions'!$B$5, 0)</f>
        <v/>
      </c>
      <c r="P137" s="10" t="inlineStr">
        <is>
          <t>Single Carrier (Band n50, 100MHz TDD)</t>
        </is>
      </c>
      <c r="Q137" s="13">
        <f>ROUNDUP(O137/'Methodology &amp; Assumptions'!$B$6, 0)</f>
        <v/>
      </c>
      <c r="R137" s="13" t="n">
        <v>1</v>
      </c>
      <c r="S137" s="14" t="n">
        <v>62.26</v>
      </c>
      <c r="T137" s="14" t="n">
        <v>62.12</v>
      </c>
      <c r="U137" s="26">
        <f>IF(X137&gt;='Methodology &amp; Assumptions'!$B$7, "Tier 1 Critical GIDA (Score ≥ 50.0)", IF(X137&gt;='Methodology &amp; Assumptions'!$B$8, "Tier 2 High GIDA (Score 40.0–49.9)", "Tier 3 Moderate GIDA (Score &lt; 40.0)"))</f>
        <v/>
      </c>
      <c r="V137" s="26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W137" s="28" t="n">
        <v>0.174</v>
      </c>
      <c r="X137" s="14" t="n">
        <v>50.64</v>
      </c>
      <c r="Y137" s="14">
        <f>ROUND(MIN(100, (X137/69.91)*100), 2)</f>
        <v/>
      </c>
    </row>
    <row r="138">
      <c r="A138" s="10" t="n">
        <v>2</v>
      </c>
      <c r="B138" s="10" t="n">
        <v>134</v>
      </c>
      <c r="C138" s="10" t="n">
        <v>1134</v>
      </c>
      <c r="D138" s="10" t="inlineStr">
        <is>
          <t>0401033014</t>
        </is>
      </c>
      <c r="E138" s="26" t="inlineStr">
        <is>
          <t>Region IV-A (CALABARZON)</t>
        </is>
      </c>
      <c r="F138" s="26" t="inlineStr">
        <is>
          <t>Batangas</t>
        </is>
      </c>
      <c r="G138" s="26" t="inlineStr">
        <is>
          <t>Tingloy</t>
        </is>
      </c>
      <c r="H138" s="26" t="inlineStr">
        <is>
          <t>San Pedro</t>
        </is>
      </c>
      <c r="I138" s="27" t="n">
        <v>13.657085</v>
      </c>
      <c r="J138" s="27" t="n">
        <v>120.914848</v>
      </c>
      <c r="K138" s="10" t="inlineStr">
        <is>
          <t>R</t>
        </is>
      </c>
      <c r="L138" s="12" t="n">
        <v>515</v>
      </c>
      <c r="M138" s="14" t="n">
        <v>3.6</v>
      </c>
      <c r="N138" s="12">
        <f>ROUND(L138/M138, 0)</f>
        <v/>
      </c>
      <c r="O138" s="12">
        <f>ROUND(N138*'Methodology &amp; Assumptions'!$B$5, 0)</f>
        <v/>
      </c>
      <c r="P138" s="10" t="inlineStr">
        <is>
          <t>Single Carrier (Band n50, 100MHz TDD)</t>
        </is>
      </c>
      <c r="Q138" s="13">
        <f>ROUNDUP(O138/'Methodology &amp; Assumptions'!$B$6, 0)</f>
        <v/>
      </c>
      <c r="R138" s="13" t="n">
        <v>1</v>
      </c>
      <c r="S138" s="14" t="n">
        <v>4.19</v>
      </c>
      <c r="T138" s="14" t="n">
        <v>16.75</v>
      </c>
      <c r="U138" s="26">
        <f>IF(X138&gt;='Methodology &amp; Assumptions'!$B$7, "Tier 1 Critical GIDA (Score ≥ 50.0)", IF(X138&gt;='Methodology &amp; Assumptions'!$B$8, "Tier 2 High GIDA (Score 40.0–49.9)", "Tier 3 Moderate GIDA (Score &lt; 40.0)"))</f>
        <v/>
      </c>
      <c r="V138" s="26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W138" s="28" t="n">
        <v>0.07200000000000001</v>
      </c>
      <c r="X138" s="14" t="n">
        <v>50.63</v>
      </c>
      <c r="Y138" s="14">
        <f>ROUND(MIN(100, (X138/69.91)*100), 2)</f>
        <v/>
      </c>
    </row>
    <row r="139">
      <c r="A139" s="10" t="n">
        <v>2</v>
      </c>
      <c r="B139" s="10" t="n">
        <v>135</v>
      </c>
      <c r="C139" s="10" t="n">
        <v>1135</v>
      </c>
      <c r="D139" s="10" t="inlineStr">
        <is>
          <t>0102934003</t>
        </is>
      </c>
      <c r="E139" s="26" t="inlineStr">
        <is>
          <t>Region I (Ilocos Region)</t>
        </is>
      </c>
      <c r="F139" s="26" t="inlineStr">
        <is>
          <t>Ilocos Sur</t>
        </is>
      </c>
      <c r="G139" s="26" t="inlineStr">
        <is>
          <t>City of Vigan</t>
        </is>
      </c>
      <c r="H139" s="26" t="inlineStr">
        <is>
          <t>Barangay I</t>
        </is>
      </c>
      <c r="I139" s="27" t="n">
        <v>17.56164</v>
      </c>
      <c r="J139" s="27" t="n">
        <v>120.38845</v>
      </c>
      <c r="K139" s="10" t="inlineStr">
        <is>
          <t>U</t>
        </is>
      </c>
      <c r="L139" s="12" t="n">
        <v>400</v>
      </c>
      <c r="M139" s="14" t="n">
        <v>3.8</v>
      </c>
      <c r="N139" s="12">
        <f>ROUND(L139/M139, 0)</f>
        <v/>
      </c>
      <c r="O139" s="12">
        <f>ROUND(N139*'Methodology &amp; Assumptions'!$B$5, 0)</f>
        <v/>
      </c>
      <c r="P139" s="10" t="inlineStr">
        <is>
          <t>Single Carrier (Band n50, 100MHz TDD)</t>
        </is>
      </c>
      <c r="Q139" s="13">
        <f>ROUNDUP(O139/'Methodology &amp; Assumptions'!$B$6, 0)</f>
        <v/>
      </c>
      <c r="R139" s="13" t="n">
        <v>1</v>
      </c>
      <c r="S139" s="14" t="n">
        <v>3.56</v>
      </c>
      <c r="T139" s="14" t="n">
        <v>2.11</v>
      </c>
      <c r="U139" s="26">
        <f>IF(X139&gt;='Methodology &amp; Assumptions'!$B$7, "Tier 1 Critical GIDA (Score ≥ 50.0)", IF(X139&gt;='Methodology &amp; Assumptions'!$B$8, "Tier 2 High GIDA (Score 40.0–49.9)", "Tier 3 Moderate GIDA (Score &lt; 40.0)"))</f>
        <v/>
      </c>
      <c r="V139" s="26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W139" s="28" t="n">
        <v>0.083</v>
      </c>
      <c r="X139" s="14" t="n">
        <v>50.63</v>
      </c>
      <c r="Y139" s="14">
        <f>ROUND(MIN(100, (X139/69.91)*100), 2)</f>
        <v/>
      </c>
    </row>
    <row r="140">
      <c r="A140" s="10" t="n">
        <v>2</v>
      </c>
      <c r="B140" s="10" t="n">
        <v>136</v>
      </c>
      <c r="C140" s="10" t="n">
        <v>1136</v>
      </c>
      <c r="D140" s="10" t="inlineStr">
        <is>
          <t>1908804003</t>
        </is>
      </c>
      <c r="E140" s="26" t="inlineStr">
        <is>
          <t>Bangsamoro Autonomous Region In Muslim Mindanao (BARMM)</t>
        </is>
      </c>
      <c r="F140" s="26" t="inlineStr">
        <is>
          <t>Maguindanao del Sur</t>
        </is>
      </c>
      <c r="G140" s="26" t="inlineStr">
        <is>
          <t>Datu Anggal Midtimbang</t>
        </is>
      </c>
      <c r="H140" s="26" t="inlineStr">
        <is>
          <t>Mapayag</t>
        </is>
      </c>
      <c r="I140" s="27" t="n">
        <v>17.255188</v>
      </c>
      <c r="J140" s="27" t="n">
        <v>122.229232</v>
      </c>
      <c r="K140" s="10" t="inlineStr">
        <is>
          <t>R</t>
        </is>
      </c>
      <c r="L140" s="12" t="n">
        <v>4141</v>
      </c>
      <c r="M140" s="14" t="n">
        <v>4.7</v>
      </c>
      <c r="N140" s="12">
        <f>ROUND(L140/M140, 0)</f>
        <v/>
      </c>
      <c r="O140" s="12">
        <f>ROUND(N140*'Methodology &amp; Assumptions'!$B$5, 0)</f>
        <v/>
      </c>
      <c r="P140" s="10" t="inlineStr">
        <is>
          <t>Single Carrier (Band n50, 100MHz TDD)</t>
        </is>
      </c>
      <c r="Q140" s="13">
        <f>ROUNDUP(O140/'Methodology &amp; Assumptions'!$B$6, 0)</f>
        <v/>
      </c>
      <c r="R140" s="13" t="n">
        <v>1</v>
      </c>
      <c r="S140" s="14" t="n">
        <v>29.47</v>
      </c>
      <c r="T140" s="14" t="n">
        <v>34.34</v>
      </c>
      <c r="U140" s="26">
        <f>IF(X140&gt;='Methodology &amp; Assumptions'!$B$7, "Tier 1 Critical GIDA (Score ≥ 50.0)", IF(X140&gt;='Methodology &amp; Assumptions'!$B$8, "Tier 2 High GIDA (Score 40.0–49.9)", "Tier 3 Moderate GIDA (Score &lt; 40.0)"))</f>
        <v/>
      </c>
      <c r="V140" s="26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W140" s="28" t="n">
        <v>0.11</v>
      </c>
      <c r="X140" s="14" t="n">
        <v>50.62</v>
      </c>
      <c r="Y140" s="14">
        <f>ROUND(MIN(100, (X140/69.91)*100), 2)</f>
        <v/>
      </c>
    </row>
    <row r="141">
      <c r="A141" s="10" t="n">
        <v>2</v>
      </c>
      <c r="B141" s="10" t="n">
        <v>137</v>
      </c>
      <c r="C141" s="10" t="n">
        <v>1137</v>
      </c>
      <c r="D141" s="10" t="inlineStr">
        <is>
          <t>1102504018</t>
        </is>
      </c>
      <c r="E141" s="26" t="inlineStr">
        <is>
          <t>Region XI (Davao Region)</t>
        </is>
      </c>
      <c r="F141" s="26" t="inlineStr">
        <is>
          <t>Davao Oriental</t>
        </is>
      </c>
      <c r="G141" s="26" t="inlineStr">
        <is>
          <t>Caraga</t>
        </is>
      </c>
      <c r="H141" s="26" t="inlineStr">
        <is>
          <t>Sobrecarey</t>
        </is>
      </c>
      <c r="I141" s="27" t="n">
        <v>7.355061</v>
      </c>
      <c r="J141" s="27" t="n">
        <v>126.389412</v>
      </c>
      <c r="K141" s="10" t="inlineStr">
        <is>
          <t>U</t>
        </is>
      </c>
      <c r="L141" s="12" t="n">
        <v>5177</v>
      </c>
      <c r="M141" s="14" t="n">
        <v>3.6</v>
      </c>
      <c r="N141" s="12">
        <f>ROUND(L141/M141, 0)</f>
        <v/>
      </c>
      <c r="O141" s="12">
        <f>ROUND(N141*'Methodology &amp; Assumptions'!$B$5, 0)</f>
        <v/>
      </c>
      <c r="P141" s="10" t="inlineStr">
        <is>
          <t>Single Carrier (Band n50, 100MHz TDD)</t>
        </is>
      </c>
      <c r="Q141" s="13">
        <f>ROUNDUP(O141/'Methodology &amp; Assumptions'!$B$6, 0)</f>
        <v/>
      </c>
      <c r="R141" s="13" t="n">
        <v>1</v>
      </c>
      <c r="S141" s="14" t="n">
        <v>48.24</v>
      </c>
      <c r="T141" s="14" t="n">
        <v>48.18</v>
      </c>
      <c r="U141" s="26">
        <f>IF(X141&gt;='Methodology &amp; Assumptions'!$B$7, "Tier 1 Critical GIDA (Score ≥ 50.0)", IF(X141&gt;='Methodology &amp; Assumptions'!$B$8, "Tier 2 High GIDA (Score 40.0–49.9)", "Tier 3 Moderate GIDA (Score &lt; 40.0)"))</f>
        <v/>
      </c>
      <c r="V141" s="26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W141" s="28" t="n">
        <v>0.174</v>
      </c>
      <c r="X141" s="14" t="n">
        <v>50.62</v>
      </c>
      <c r="Y141" s="14">
        <f>ROUND(MIN(100, (X141/69.91)*100), 2)</f>
        <v/>
      </c>
    </row>
    <row r="142">
      <c r="A142" s="10" t="n">
        <v>2</v>
      </c>
      <c r="B142" s="10" t="n">
        <v>138</v>
      </c>
      <c r="C142" s="10" t="n">
        <v>1138</v>
      </c>
      <c r="D142" s="10" t="inlineStr">
        <is>
          <t>PH0001138</t>
        </is>
      </c>
      <c r="E142" s="26" t="inlineStr">
        <is>
          <t>XI</t>
        </is>
      </c>
      <c r="F142" s="26" t="inlineStr">
        <is>
          <t>Davao Del Sur</t>
        </is>
      </c>
      <c r="G142" s="26" t="inlineStr">
        <is>
          <t>Davao City</t>
        </is>
      </c>
      <c r="H142" s="26" t="inlineStr">
        <is>
          <t>Barangay 3-A (Pob.)</t>
        </is>
      </c>
      <c r="I142" s="27" t="n">
        <v>7.196505</v>
      </c>
      <c r="J142" s="27" t="n">
        <v>125.481036</v>
      </c>
      <c r="K142" s="10" t="inlineStr">
        <is>
          <t>R</t>
        </is>
      </c>
      <c r="L142" s="12" t="n">
        <v>2280</v>
      </c>
      <c r="M142" s="14" t="n">
        <v>3.4</v>
      </c>
      <c r="N142" s="12">
        <f>ROUND(L142/M142, 0)</f>
        <v/>
      </c>
      <c r="O142" s="12">
        <f>ROUND(N142*'Methodology &amp; Assumptions'!$B$5, 0)</f>
        <v/>
      </c>
      <c r="P142" s="10" t="inlineStr">
        <is>
          <t>Single Carrier (Band n50, 100MHz TDD)</t>
        </is>
      </c>
      <c r="Q142" s="13">
        <f>ROUNDUP(O142/'Methodology &amp; Assumptions'!$B$6, 0)</f>
        <v/>
      </c>
      <c r="R142" s="13" t="n">
        <v>1</v>
      </c>
      <c r="S142" s="14" t="n">
        <v>3.12</v>
      </c>
      <c r="T142" s="14" t="n">
        <v>2.53</v>
      </c>
      <c r="U142" s="26">
        <f>IF(X142&gt;='Methodology &amp; Assumptions'!$B$7, "Tier 1 Critical GIDA (Score ≥ 50.0)", IF(X142&gt;='Methodology &amp; Assumptions'!$B$8, "Tier 2 High GIDA (Score 40.0–49.9)", "Tier 3 Moderate GIDA (Score &lt; 40.0)"))</f>
        <v/>
      </c>
      <c r="V142" s="26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W142" s="28" t="n">
        <v>0.119</v>
      </c>
      <c r="X142" s="14" t="n">
        <v>50.62</v>
      </c>
      <c r="Y142" s="14">
        <f>ROUND(MIN(100, (X142/69.91)*100), 2)</f>
        <v/>
      </c>
    </row>
    <row r="143">
      <c r="A143" s="10" t="n">
        <v>2</v>
      </c>
      <c r="B143" s="10" t="n">
        <v>139</v>
      </c>
      <c r="C143" s="10" t="n">
        <v>1139</v>
      </c>
      <c r="D143" s="10" t="inlineStr">
        <is>
          <t>PH0001139</t>
        </is>
      </c>
      <c r="E143" s="26" t="inlineStr">
        <is>
          <t>VIII</t>
        </is>
      </c>
      <c r="F143" s="26" t="inlineStr">
        <is>
          <t>Leyte</t>
        </is>
      </c>
      <c r="G143" s="26" t="inlineStr">
        <is>
          <t>Tacloban City</t>
        </is>
      </c>
      <c r="H143" s="26" t="inlineStr">
        <is>
          <t>Barangay 8</t>
        </is>
      </c>
      <c r="I143" s="27" t="n">
        <v>11.225575</v>
      </c>
      <c r="J143" s="27" t="n">
        <v>124.964304</v>
      </c>
      <c r="K143" s="10" t="inlineStr">
        <is>
          <t>R</t>
        </is>
      </c>
      <c r="L143" s="12" t="n">
        <v>2258</v>
      </c>
      <c r="M143" s="14" t="n">
        <v>3.8</v>
      </c>
      <c r="N143" s="12">
        <f>ROUND(L143/M143, 0)</f>
        <v/>
      </c>
      <c r="O143" s="12">
        <f>ROUND(N143*'Methodology &amp; Assumptions'!$B$5, 0)</f>
        <v/>
      </c>
      <c r="P143" s="10" t="inlineStr">
        <is>
          <t>Single Carrier (Band n50, 100MHz TDD)</t>
        </is>
      </c>
      <c r="Q143" s="13">
        <f>ROUNDUP(O143/'Methodology &amp; Assumptions'!$B$6, 0)</f>
        <v/>
      </c>
      <c r="R143" s="13" t="n">
        <v>1</v>
      </c>
      <c r="S143" s="14" t="n">
        <v>4.44</v>
      </c>
      <c r="T143" s="14" t="n">
        <v>5.12</v>
      </c>
      <c r="U143" s="26">
        <f>IF(X143&gt;='Methodology &amp; Assumptions'!$B$7, "Tier 1 Critical GIDA (Score ≥ 50.0)", IF(X143&gt;='Methodology &amp; Assumptions'!$B$8, "Tier 2 High GIDA (Score 40.0–49.9)", "Tier 3 Moderate GIDA (Score &lt; 40.0)"))</f>
        <v/>
      </c>
      <c r="V143" s="26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W143" s="28" t="n">
        <v>0.222</v>
      </c>
      <c r="X143" s="14" t="n">
        <v>50.62</v>
      </c>
      <c r="Y143" s="14">
        <f>ROUND(MIN(100, (X143/69.91)*100), 2)</f>
        <v/>
      </c>
    </row>
    <row r="144">
      <c r="A144" s="10" t="n">
        <v>2</v>
      </c>
      <c r="B144" s="10" t="n">
        <v>140</v>
      </c>
      <c r="C144" s="10" t="n">
        <v>1140</v>
      </c>
      <c r="D144" s="10" t="inlineStr">
        <is>
          <t>1381100119</t>
        </is>
      </c>
      <c r="E144" s="26" t="inlineStr">
        <is>
          <t>National Capital Region (NCR)</t>
        </is>
      </c>
      <c r="F144" s="26" t="inlineStr">
        <is>
          <t>Fourth District (Not a Province)</t>
        </is>
      </c>
      <c r="G144" s="26" t="inlineStr">
        <is>
          <t>Pasay City</t>
        </is>
      </c>
      <c r="H144" s="26" t="inlineStr">
        <is>
          <t>Barangay 119</t>
        </is>
      </c>
      <c r="I144" s="27" t="n">
        <v>14.554446</v>
      </c>
      <c r="J144" s="27" t="n">
        <v>121.0088</v>
      </c>
      <c r="K144" s="10" t="inlineStr">
        <is>
          <t>U</t>
        </is>
      </c>
      <c r="L144" s="12" t="n">
        <v>1668</v>
      </c>
      <c r="M144" s="14" t="n">
        <v>3.4</v>
      </c>
      <c r="N144" s="12">
        <f>ROUND(L144/M144, 0)</f>
        <v/>
      </c>
      <c r="O144" s="12">
        <f>ROUND(N144*'Methodology &amp; Assumptions'!$B$5, 0)</f>
        <v/>
      </c>
      <c r="P144" s="10" t="inlineStr">
        <is>
          <t>Single Carrier (Band n50, 100MHz TDD)</t>
        </is>
      </c>
      <c r="Q144" s="13">
        <f>ROUNDUP(O144/'Methodology &amp; Assumptions'!$B$6, 0)</f>
        <v/>
      </c>
      <c r="R144" s="13" t="n">
        <v>1</v>
      </c>
      <c r="S144" s="14" t="n">
        <v>0.59</v>
      </c>
      <c r="T144" s="14" t="n">
        <v>0.47</v>
      </c>
      <c r="U144" s="26">
        <f>IF(X144&gt;='Methodology &amp; Assumptions'!$B$7, "Tier 1 Critical GIDA (Score ≥ 50.0)", IF(X144&gt;='Methodology &amp; Assumptions'!$B$8, "Tier 2 High GIDA (Score 40.0–49.9)", "Tier 3 Moderate GIDA (Score &lt; 40.0)"))</f>
        <v/>
      </c>
      <c r="V144" s="26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W144" s="28" t="n">
        <v>0.109</v>
      </c>
      <c r="X144" s="14" t="n">
        <v>50.62</v>
      </c>
      <c r="Y144" s="14">
        <f>ROUND(MIN(100, (X144/69.91)*100), 2)</f>
        <v/>
      </c>
    </row>
    <row r="145">
      <c r="A145" s="10" t="n">
        <v>2</v>
      </c>
      <c r="B145" s="10" t="n">
        <v>141</v>
      </c>
      <c r="C145" s="10" t="n">
        <v>1141</v>
      </c>
      <c r="D145" s="10" t="inlineStr">
        <is>
          <t>1908804001</t>
        </is>
      </c>
      <c r="E145" s="26" t="inlineStr">
        <is>
          <t>Bangsamoro Autonomous Region In Muslim Mindanao (BARMM)</t>
        </is>
      </c>
      <c r="F145" s="26" t="inlineStr">
        <is>
          <t>Maguindanao del Sur</t>
        </is>
      </c>
      <c r="G145" s="26" t="inlineStr">
        <is>
          <t>Datu Anggal Midtimbang</t>
        </is>
      </c>
      <c r="H145" s="26" t="inlineStr">
        <is>
          <t>Adaon</t>
        </is>
      </c>
      <c r="I145" s="27" t="n">
        <v>17.255189</v>
      </c>
      <c r="J145" s="27" t="n">
        <v>122.229233</v>
      </c>
      <c r="K145" s="10" t="inlineStr">
        <is>
          <t>R</t>
        </is>
      </c>
      <c r="L145" s="12" t="n">
        <v>4333</v>
      </c>
      <c r="M145" s="14" t="n">
        <v>4.7</v>
      </c>
      <c r="N145" s="12">
        <f>ROUND(L145/M145, 0)</f>
        <v/>
      </c>
      <c r="O145" s="12">
        <f>ROUND(N145*'Methodology &amp; Assumptions'!$B$5, 0)</f>
        <v/>
      </c>
      <c r="P145" s="10" t="inlineStr">
        <is>
          <t>Single Carrier (Band n50, 100MHz TDD)</t>
        </is>
      </c>
      <c r="Q145" s="13">
        <f>ROUNDUP(O145/'Methodology &amp; Assumptions'!$B$6, 0)</f>
        <v/>
      </c>
      <c r="R145" s="13" t="n">
        <v>1</v>
      </c>
      <c r="S145" s="14" t="n">
        <v>29.47</v>
      </c>
      <c r="T145" s="14" t="n">
        <v>34.34</v>
      </c>
      <c r="U145" s="26">
        <f>IF(X145&gt;='Methodology &amp; Assumptions'!$B$7, "Tier 1 Critical GIDA (Score ≥ 50.0)", IF(X145&gt;='Methodology &amp; Assumptions'!$B$8, "Tier 2 High GIDA (Score 40.0–49.9)", "Tier 3 Moderate GIDA (Score &lt; 40.0)"))</f>
        <v/>
      </c>
      <c r="V145" s="26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W145" s="28" t="n">
        <v>0.11</v>
      </c>
      <c r="X145" s="14" t="n">
        <v>50.61</v>
      </c>
      <c r="Y145" s="14">
        <f>ROUND(MIN(100, (X145/69.91)*100), 2)</f>
        <v/>
      </c>
    </row>
    <row r="146">
      <c r="A146" s="10" t="n">
        <v>2</v>
      </c>
      <c r="B146" s="10" t="n">
        <v>142</v>
      </c>
      <c r="C146" s="10" t="n">
        <v>1142</v>
      </c>
      <c r="D146" s="10" t="inlineStr">
        <is>
          <t>1908824012</t>
        </is>
      </c>
      <c r="E146" s="26" t="inlineStr">
        <is>
          <t>Bangsamoro Autonomous Region In Muslim Mindanao (BARMM)</t>
        </is>
      </c>
      <c r="F146" s="26" t="inlineStr">
        <is>
          <t>Maguindanao del Sur</t>
        </is>
      </c>
      <c r="G146" s="26" t="inlineStr">
        <is>
          <t>Talayan</t>
        </is>
      </c>
      <c r="H146" s="26" t="inlineStr">
        <is>
          <t>Talayan</t>
        </is>
      </c>
      <c r="I146" s="27" t="n">
        <v>17.255052</v>
      </c>
      <c r="J146" s="27" t="n">
        <v>122.229096</v>
      </c>
      <c r="K146" s="10" t="inlineStr">
        <is>
          <t>U</t>
        </is>
      </c>
      <c r="L146" s="12" t="n">
        <v>5829</v>
      </c>
      <c r="M146" s="14" t="n">
        <v>4.7</v>
      </c>
      <c r="N146" s="12">
        <f>ROUND(L146/M146, 0)</f>
        <v/>
      </c>
      <c r="O146" s="12">
        <f>ROUND(N146*'Methodology &amp; Assumptions'!$B$5, 0)</f>
        <v/>
      </c>
      <c r="P146" s="10" t="inlineStr">
        <is>
          <t>Single Carrier (Band n50, 100MHz TDD)</t>
        </is>
      </c>
      <c r="Q146" s="13">
        <f>ROUNDUP(O146/'Methodology &amp; Assumptions'!$B$6, 0)</f>
        <v/>
      </c>
      <c r="R146" s="13" t="n">
        <v>1</v>
      </c>
      <c r="S146" s="14" t="n">
        <v>29.45</v>
      </c>
      <c r="T146" s="14" t="n">
        <v>34.33</v>
      </c>
      <c r="U146" s="26">
        <f>IF(X146&gt;='Methodology &amp; Assumptions'!$B$7, "Tier 1 Critical GIDA (Score ≥ 50.0)", IF(X146&gt;='Methodology &amp; Assumptions'!$B$8, "Tier 2 High GIDA (Score 40.0–49.9)", "Tier 3 Moderate GIDA (Score &lt; 40.0)"))</f>
        <v/>
      </c>
      <c r="V146" s="26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W146" s="28" t="n">
        <v>0.11</v>
      </c>
      <c r="X146" s="14" t="n">
        <v>50.61</v>
      </c>
      <c r="Y146" s="14">
        <f>ROUND(MIN(100, (X146/69.91)*100), 2)</f>
        <v/>
      </c>
    </row>
    <row r="147">
      <c r="A147" s="10" t="n">
        <v>2</v>
      </c>
      <c r="B147" s="10" t="n">
        <v>143</v>
      </c>
      <c r="C147" s="10" t="n">
        <v>1143</v>
      </c>
      <c r="D147" s="10" t="inlineStr">
        <is>
          <t>0802617044</t>
        </is>
      </c>
      <c r="E147" s="26" t="inlineStr">
        <is>
          <t>Region VIII (Eastern Visayas)</t>
        </is>
      </c>
      <c r="F147" s="26" t="inlineStr">
        <is>
          <t>Eastern Samar</t>
        </is>
      </c>
      <c r="G147" s="26" t="inlineStr">
        <is>
          <t>Oras</t>
        </is>
      </c>
      <c r="H147" s="26" t="inlineStr">
        <is>
          <t>Trinidad</t>
        </is>
      </c>
      <c r="I147" s="27" t="n">
        <v>12.162238</v>
      </c>
      <c r="J147" s="27" t="n">
        <v>125.367975</v>
      </c>
      <c r="K147" s="10" t="inlineStr">
        <is>
          <t>R</t>
        </is>
      </c>
      <c r="L147" s="12" t="n">
        <v>730</v>
      </c>
      <c r="M147" s="14" t="n">
        <v>3.9</v>
      </c>
      <c r="N147" s="12">
        <f>ROUND(L147/M147, 0)</f>
        <v/>
      </c>
      <c r="O147" s="12">
        <f>ROUND(N147*'Methodology &amp; Assumptions'!$B$5, 0)</f>
        <v/>
      </c>
      <c r="P147" s="10" t="inlineStr">
        <is>
          <t>Single Carrier (Band n50, 100MHz TDD)</t>
        </is>
      </c>
      <c r="Q147" s="13">
        <f>ROUNDUP(O147/'Methodology &amp; Assumptions'!$B$6, 0)</f>
        <v/>
      </c>
      <c r="R147" s="13" t="n">
        <v>1</v>
      </c>
      <c r="S147" s="14" t="n">
        <v>110.04</v>
      </c>
      <c r="T147" s="14" t="n">
        <v>112.6</v>
      </c>
      <c r="U147" s="26">
        <f>IF(X147&gt;='Methodology &amp; Assumptions'!$B$7, "Tier 1 Critical GIDA (Score ≥ 50.0)", IF(X147&gt;='Methodology &amp; Assumptions'!$B$8, "Tier 2 High GIDA (Score 40.0–49.9)", "Tier 3 Moderate GIDA (Score &lt; 40.0)"))</f>
        <v/>
      </c>
      <c r="V147" s="26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W147" s="28" t="n">
        <v>0.237</v>
      </c>
      <c r="X147" s="14" t="n">
        <v>50.6</v>
      </c>
      <c r="Y147" s="14">
        <f>ROUND(MIN(100, (X147/69.91)*100), 2)</f>
        <v/>
      </c>
    </row>
    <row r="148">
      <c r="A148" s="10" t="n">
        <v>2</v>
      </c>
      <c r="B148" s="10" t="n">
        <v>144</v>
      </c>
      <c r="C148" s="10" t="n">
        <v>1144</v>
      </c>
      <c r="D148" s="10" t="inlineStr">
        <is>
          <t>PH0001144</t>
        </is>
      </c>
      <c r="E148" s="26" t="inlineStr">
        <is>
          <t>NCR</t>
        </is>
      </c>
      <c r="F148" s="26" t="inlineStr">
        <is>
          <t>Metro Manila</t>
        </is>
      </c>
      <c r="G148" s="26" t="inlineStr">
        <is>
          <t>Caloocan City</t>
        </is>
      </c>
      <c r="H148" s="26" t="inlineStr">
        <is>
          <t>Barangay 2</t>
        </is>
      </c>
      <c r="I148" s="27" t="n">
        <v>11.571925</v>
      </c>
      <c r="J148" s="27" t="n">
        <v>121.891368</v>
      </c>
      <c r="K148" s="10" t="inlineStr">
        <is>
          <t>R</t>
        </is>
      </c>
      <c r="L148" s="12" t="n">
        <v>2279</v>
      </c>
      <c r="M148" s="14" t="n">
        <v>3.8</v>
      </c>
      <c r="N148" s="12">
        <f>ROUND(L148/M148, 0)</f>
        <v/>
      </c>
      <c r="O148" s="12">
        <f>ROUND(N148*'Methodology &amp; Assumptions'!$B$5, 0)</f>
        <v/>
      </c>
      <c r="P148" s="10" t="inlineStr">
        <is>
          <t>Single Carrier (Band n50, 100MHz TDD)</t>
        </is>
      </c>
      <c r="Q148" s="13">
        <f>ROUNDUP(O148/'Methodology &amp; Assumptions'!$B$6, 0)</f>
        <v/>
      </c>
      <c r="R148" s="13" t="n">
        <v>1</v>
      </c>
      <c r="S148" s="14" t="n">
        <v>42.27</v>
      </c>
      <c r="T148" s="14" t="n">
        <v>34.97</v>
      </c>
      <c r="U148" s="26">
        <f>IF(X148&gt;='Methodology &amp; Assumptions'!$B$7, "Tier 1 Critical GIDA (Score ≥ 50.0)", IF(X148&gt;='Methodology &amp; Assumptions'!$B$8, "Tier 2 High GIDA (Score 40.0–49.9)", "Tier 3 Moderate GIDA (Score &lt; 40.0)"))</f>
        <v/>
      </c>
      <c r="V148" s="26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W148" s="28" t="n">
        <v>0.011</v>
      </c>
      <c r="X148" s="14" t="n">
        <v>50.6</v>
      </c>
      <c r="Y148" s="14">
        <f>ROUND(MIN(100, (X148/69.91)*100), 2)</f>
        <v/>
      </c>
    </row>
    <row r="149">
      <c r="A149" s="10" t="n">
        <v>2</v>
      </c>
      <c r="B149" s="10" t="n">
        <v>145</v>
      </c>
      <c r="C149" s="10" t="n">
        <v>1145</v>
      </c>
      <c r="D149" s="10" t="inlineStr">
        <is>
          <t>1908820009</t>
        </is>
      </c>
      <c r="E149" s="26" t="inlineStr">
        <is>
          <t>Bangsamoro Autonomous Region In Muslim Mindanao (BARMM)</t>
        </is>
      </c>
      <c r="F149" s="26" t="inlineStr">
        <is>
          <t>Maguindanao del Sur</t>
        </is>
      </c>
      <c r="G149" s="26" t="inlineStr">
        <is>
          <t>Shariff Aguak</t>
        </is>
      </c>
      <c r="H149" s="26" t="inlineStr">
        <is>
          <t>Poblacion II</t>
        </is>
      </c>
      <c r="I149" s="27" t="n">
        <v>14.65641</v>
      </c>
      <c r="J149" s="27" t="n">
        <v>122.776271</v>
      </c>
      <c r="K149" s="10" t="inlineStr">
        <is>
          <t>R</t>
        </is>
      </c>
      <c r="L149" s="12" t="n">
        <v>2856</v>
      </c>
      <c r="M149" s="14" t="n">
        <v>4.7</v>
      </c>
      <c r="N149" s="12">
        <f>ROUND(L149/M149, 0)</f>
        <v/>
      </c>
      <c r="O149" s="12">
        <f>ROUND(N149*'Methodology &amp; Assumptions'!$B$5, 0)</f>
        <v/>
      </c>
      <c r="P149" s="10" t="inlineStr">
        <is>
          <t>Single Carrier (Band n50, 100MHz TDD)</t>
        </is>
      </c>
      <c r="Q149" s="13">
        <f>ROUNDUP(O149/'Methodology &amp; Assumptions'!$B$6, 0)</f>
        <v/>
      </c>
      <c r="R149" s="13" t="n">
        <v>1</v>
      </c>
      <c r="S149" s="14" t="n">
        <v>41.94</v>
      </c>
      <c r="T149" s="14" t="n">
        <v>51.21</v>
      </c>
      <c r="U149" s="26">
        <f>IF(X149&gt;='Methodology &amp; Assumptions'!$B$7, "Tier 1 Critical GIDA (Score ≥ 50.0)", IF(X149&gt;='Methodology &amp; Assumptions'!$B$8, "Tier 2 High GIDA (Score 40.0–49.9)", "Tier 3 Moderate GIDA (Score &lt; 40.0)"))</f>
        <v/>
      </c>
      <c r="V149" s="26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W149" s="28" t="n">
        <v>0.11</v>
      </c>
      <c r="X149" s="14" t="n">
        <v>50.6</v>
      </c>
      <c r="Y149" s="14">
        <f>ROUND(MIN(100, (X149/69.91)*100), 2)</f>
        <v/>
      </c>
    </row>
    <row r="150">
      <c r="A150" s="10" t="n">
        <v>2</v>
      </c>
      <c r="B150" s="10" t="n">
        <v>146</v>
      </c>
      <c r="C150" s="10" t="n">
        <v>1146</v>
      </c>
      <c r="D150" s="10" t="inlineStr">
        <is>
          <t>0405607024</t>
        </is>
      </c>
      <c r="E150" s="26" t="inlineStr">
        <is>
          <t>Region IV-A (CALABARZON)</t>
        </is>
      </c>
      <c r="F150" s="26" t="inlineStr">
        <is>
          <t>Quezon</t>
        </is>
      </c>
      <c r="G150" s="26" t="inlineStr">
        <is>
          <t>Calauag</t>
        </is>
      </c>
      <c r="H150" s="26" t="inlineStr">
        <is>
          <t>Dominlog</t>
        </is>
      </c>
      <c r="I150" s="27" t="n">
        <v>13.970773</v>
      </c>
      <c r="J150" s="27" t="n">
        <v>122.231701</v>
      </c>
      <c r="K150" s="10" t="inlineStr">
        <is>
          <t>R</t>
        </is>
      </c>
      <c r="L150" s="12" t="n">
        <v>466</v>
      </c>
      <c r="M150" s="14" t="n">
        <v>3.8</v>
      </c>
      <c r="N150" s="12">
        <f>ROUND(L150/M150, 0)</f>
        <v/>
      </c>
      <c r="O150" s="12">
        <f>ROUND(N150*'Methodology &amp; Assumptions'!$B$5, 0)</f>
        <v/>
      </c>
      <c r="P150" s="10" t="inlineStr">
        <is>
          <t>Single Carrier (Band n50, 100MHz TDD)</t>
        </is>
      </c>
      <c r="Q150" s="13">
        <f>ROUNDUP(O150/'Methodology &amp; Assumptions'!$B$6, 0)</f>
        <v/>
      </c>
      <c r="R150" s="13" t="n">
        <v>1</v>
      </c>
      <c r="S150" s="14" t="n">
        <v>6.16</v>
      </c>
      <c r="T150" s="14" t="n">
        <v>6</v>
      </c>
      <c r="U150" s="26">
        <f>IF(X150&gt;='Methodology &amp; Assumptions'!$B$7, "Tier 1 Critical GIDA (Score ≥ 50.0)", IF(X150&gt;='Methodology &amp; Assumptions'!$B$8, "Tier 2 High GIDA (Score 40.0–49.9)", "Tier 3 Moderate GIDA (Score &lt; 40.0)"))</f>
        <v/>
      </c>
      <c r="V150" s="26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W150" s="28" t="n">
        <v>0.07200000000000001</v>
      </c>
      <c r="X150" s="14" t="n">
        <v>50.6</v>
      </c>
      <c r="Y150" s="14">
        <f>ROUND(MIN(100, (X150/69.91)*100), 2)</f>
        <v/>
      </c>
    </row>
    <row r="151">
      <c r="A151" s="10" t="n">
        <v>2</v>
      </c>
      <c r="B151" s="10" t="n">
        <v>147</v>
      </c>
      <c r="C151" s="10" t="n">
        <v>1147</v>
      </c>
      <c r="D151" s="10" t="inlineStr">
        <is>
          <t>1600305014</t>
        </is>
      </c>
      <c r="E151" s="26" t="inlineStr">
        <is>
          <t>Region XIII (Caraga)</t>
        </is>
      </c>
      <c r="F151" s="26" t="inlineStr">
        <is>
          <t>Agusan del Sur</t>
        </is>
      </c>
      <c r="G151" s="26" t="inlineStr">
        <is>
          <t>Loreto</t>
        </is>
      </c>
      <c r="H151" s="26" t="inlineStr">
        <is>
          <t>Katipunan</t>
        </is>
      </c>
      <c r="I151" s="27" t="n">
        <v>8.185307999999999</v>
      </c>
      <c r="J151" s="27" t="n">
        <v>125.897776</v>
      </c>
      <c r="K151" s="10" t="inlineStr">
        <is>
          <t>R</t>
        </is>
      </c>
      <c r="L151" s="12" t="n">
        <v>634</v>
      </c>
      <c r="M151" s="14" t="n">
        <v>3.9</v>
      </c>
      <c r="N151" s="12">
        <f>ROUND(L151/M151, 0)</f>
        <v/>
      </c>
      <c r="O151" s="12">
        <f>ROUND(N151*'Methodology &amp; Assumptions'!$B$5, 0)</f>
        <v/>
      </c>
      <c r="P151" s="10" t="inlineStr">
        <is>
          <t>Single Carrier (Band n50, 100MHz TDD)</t>
        </is>
      </c>
      <c r="Q151" s="13">
        <f>ROUNDUP(O151/'Methodology &amp; Assumptions'!$B$6, 0)</f>
        <v/>
      </c>
      <c r="R151" s="13" t="n">
        <v>1</v>
      </c>
      <c r="S151" s="14" t="n">
        <v>10.39</v>
      </c>
      <c r="T151" s="14" t="n">
        <v>10.53</v>
      </c>
      <c r="U151" s="26">
        <f>IF(X151&gt;='Methodology &amp; Assumptions'!$B$7, "Tier 1 Critical GIDA (Score ≥ 50.0)", IF(X151&gt;='Methodology &amp; Assumptions'!$B$8, "Tier 2 High GIDA (Score 40.0–49.9)", "Tier 3 Moderate GIDA (Score &lt; 40.0)"))</f>
        <v/>
      </c>
      <c r="V151" s="26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W151" s="28" t="n">
        <v>0.174</v>
      </c>
      <c r="X151" s="14" t="n">
        <v>50.6</v>
      </c>
      <c r="Y151" s="14">
        <f>ROUND(MIN(100, (X151/69.91)*100), 2)</f>
        <v/>
      </c>
    </row>
    <row r="152">
      <c r="A152" s="10" t="n">
        <v>2</v>
      </c>
      <c r="B152" s="10" t="n">
        <v>148</v>
      </c>
      <c r="C152" s="10" t="n">
        <v>1148</v>
      </c>
      <c r="D152" s="10" t="inlineStr">
        <is>
          <t>1381200028</t>
        </is>
      </c>
      <c r="E152" s="26" t="inlineStr">
        <is>
          <t>National Capital Region (NCR)</t>
        </is>
      </c>
      <c r="F152" s="26" t="inlineStr">
        <is>
          <t>Second District (Not a Province)</t>
        </is>
      </c>
      <c r="G152" s="26" t="inlineStr">
        <is>
          <t>City of Pasig</t>
        </is>
      </c>
      <c r="H152" s="26" t="inlineStr">
        <is>
          <t>Sumilang</t>
        </is>
      </c>
      <c r="I152" s="27" t="n">
        <v>14.566817</v>
      </c>
      <c r="J152" s="27" t="n">
        <v>121.084592</v>
      </c>
      <c r="K152" s="10" t="inlineStr">
        <is>
          <t>U</t>
        </is>
      </c>
      <c r="L152" s="12" t="n">
        <v>4603</v>
      </c>
      <c r="M152" s="14" t="n">
        <v>3.4</v>
      </c>
      <c r="N152" s="12">
        <f>ROUND(L152/M152, 0)</f>
        <v/>
      </c>
      <c r="O152" s="12">
        <f>ROUND(N152*'Methodology &amp; Assumptions'!$B$5, 0)</f>
        <v/>
      </c>
      <c r="P152" s="10" t="inlineStr">
        <is>
          <t>Single Carrier (Band n50, 100MHz TDD)</t>
        </is>
      </c>
      <c r="Q152" s="13">
        <f>ROUNDUP(O152/'Methodology &amp; Assumptions'!$B$6, 0)</f>
        <v/>
      </c>
      <c r="R152" s="13" t="n">
        <v>1</v>
      </c>
      <c r="S152" s="14" t="n">
        <v>0.33</v>
      </c>
      <c r="T152" s="14" t="n">
        <v>0.29</v>
      </c>
      <c r="U152" s="26">
        <f>IF(X152&gt;='Methodology &amp; Assumptions'!$B$7, "Tier 1 Critical GIDA (Score ≥ 50.0)", IF(X152&gt;='Methodology &amp; Assumptions'!$B$8, "Tier 2 High GIDA (Score 40.0–49.9)", "Tier 3 Moderate GIDA (Score &lt; 40.0)"))</f>
        <v/>
      </c>
      <c r="V152" s="26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W152" s="28" t="n">
        <v>0.109</v>
      </c>
      <c r="X152" s="14" t="n">
        <v>50.6</v>
      </c>
      <c r="Y152" s="14">
        <f>ROUND(MIN(100, (X152/69.91)*100), 2)</f>
        <v/>
      </c>
    </row>
    <row r="153">
      <c r="A153" s="10" t="n">
        <v>2</v>
      </c>
      <c r="B153" s="10" t="n">
        <v>149</v>
      </c>
      <c r="C153" s="10" t="n">
        <v>1149</v>
      </c>
      <c r="D153" s="10" t="inlineStr">
        <is>
          <t>0203121009</t>
        </is>
      </c>
      <c r="E153" s="26" t="inlineStr">
        <is>
          <t>Region II (Cagayan Valley)</t>
        </is>
      </c>
      <c r="F153" s="26" t="inlineStr">
        <is>
          <t>Isabela</t>
        </is>
      </c>
      <c r="G153" s="26" t="inlineStr">
        <is>
          <t>Palanan</t>
        </is>
      </c>
      <c r="H153" s="26" t="inlineStr">
        <is>
          <t>Marikit</t>
        </is>
      </c>
      <c r="I153" s="27" t="n">
        <v>17.06928</v>
      </c>
      <c r="J153" s="27" t="n">
        <v>122.44512</v>
      </c>
      <c r="K153" s="10" t="inlineStr">
        <is>
          <t>R</t>
        </is>
      </c>
      <c r="L153" s="12" t="n">
        <v>958</v>
      </c>
      <c r="M153" s="14" t="n">
        <v>3.8</v>
      </c>
      <c r="N153" s="12">
        <f>ROUND(L153/M153, 0)</f>
        <v/>
      </c>
      <c r="O153" s="12">
        <f>ROUND(N153*'Methodology &amp; Assumptions'!$B$5, 0)</f>
        <v/>
      </c>
      <c r="P153" s="10" t="inlineStr">
        <is>
          <t>Single Carrier (Band n50, 100MHz TDD)</t>
        </is>
      </c>
      <c r="Q153" s="13">
        <f>ROUNDUP(O153/'Methodology &amp; Assumptions'!$B$6, 0)</f>
        <v/>
      </c>
      <c r="R153" s="13" t="n">
        <v>1</v>
      </c>
      <c r="S153" s="14" t="n">
        <v>45.66</v>
      </c>
      <c r="T153" s="14" t="n">
        <v>56.16</v>
      </c>
      <c r="U153" s="26">
        <f>IF(X153&gt;='Methodology &amp; Assumptions'!$B$7, "Tier 1 Critical GIDA (Score ≥ 50.0)", IF(X153&gt;='Methodology &amp; Assumptions'!$B$8, "Tier 2 High GIDA (Score 40.0–49.9)", "Tier 3 Moderate GIDA (Score &lt; 40.0)"))</f>
        <v/>
      </c>
      <c r="V153" s="26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W153" s="28" t="n">
        <v>0.083</v>
      </c>
      <c r="X153" s="14" t="n">
        <v>50.6</v>
      </c>
      <c r="Y153" s="14">
        <f>ROUND(MIN(100, (X153/69.91)*100), 2)</f>
        <v/>
      </c>
    </row>
    <row r="154">
      <c r="A154" s="10" t="n">
        <v>2</v>
      </c>
      <c r="B154" s="10" t="n">
        <v>150</v>
      </c>
      <c r="C154" s="10" t="n">
        <v>1150</v>
      </c>
      <c r="D154" s="10" t="inlineStr">
        <is>
          <t>1380601062</t>
        </is>
      </c>
      <c r="E154" s="26" t="inlineStr">
        <is>
          <t>National Capital Region (NCR)</t>
        </is>
      </c>
      <c r="F154" s="26" t="inlineStr">
        <is>
          <t>First District (Not a Province)</t>
        </is>
      </c>
      <c r="G154" s="26" t="inlineStr">
        <is>
          <t>City of Manila</t>
        </is>
      </c>
      <c r="H154" s="26" t="inlineStr">
        <is>
          <t>Barangay 62</t>
        </is>
      </c>
      <c r="I154" s="27" t="n">
        <v>12.735109</v>
      </c>
      <c r="J154" s="27" t="n">
        <v>121.597236</v>
      </c>
      <c r="K154" s="10" t="inlineStr">
        <is>
          <t>U</t>
        </is>
      </c>
      <c r="L154" s="12" t="n">
        <v>2027</v>
      </c>
      <c r="M154" s="14" t="n">
        <v>3.9</v>
      </c>
      <c r="N154" s="12">
        <f>ROUND(L154/M154, 0)</f>
        <v/>
      </c>
      <c r="O154" s="12">
        <f>ROUND(N154*'Methodology &amp; Assumptions'!$B$5, 0)</f>
        <v/>
      </c>
      <c r="P154" s="10" t="inlineStr">
        <is>
          <t>Single Carrier (Band n50, 100MHz TDD)</t>
        </is>
      </c>
      <c r="Q154" s="13">
        <f>ROUNDUP(O154/'Methodology &amp; Assumptions'!$B$6, 0)</f>
        <v/>
      </c>
      <c r="R154" s="13" t="n">
        <v>1</v>
      </c>
      <c r="S154" s="14" t="n">
        <v>11.96</v>
      </c>
      <c r="T154" s="14" t="n">
        <v>11.94</v>
      </c>
      <c r="U154" s="26">
        <f>IF(X154&gt;='Methodology &amp; Assumptions'!$B$7, "Tier 1 Critical GIDA (Score ≥ 50.0)", IF(X154&gt;='Methodology &amp; Assumptions'!$B$8, "Tier 2 High GIDA (Score 40.0–49.9)", "Tier 3 Moderate GIDA (Score &lt; 40.0)"))</f>
        <v/>
      </c>
      <c r="V154" s="26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W154" s="28" t="n">
        <v>0.109</v>
      </c>
      <c r="X154" s="14" t="n">
        <v>50.59</v>
      </c>
      <c r="Y154" s="14">
        <f>ROUND(MIN(100, (X154/69.91)*100), 2)</f>
        <v/>
      </c>
    </row>
    <row r="155">
      <c r="A155" s="10" t="n">
        <v>2</v>
      </c>
      <c r="B155" s="10" t="n">
        <v>151</v>
      </c>
      <c r="C155" s="10" t="n">
        <v>1151</v>
      </c>
      <c r="D155" s="10" t="inlineStr">
        <is>
          <t>1208001008</t>
        </is>
      </c>
      <c r="E155" s="26" t="inlineStr">
        <is>
          <t>Region XII (SOCCSKSARGEN)</t>
        </is>
      </c>
      <c r="F155" s="26" t="inlineStr">
        <is>
          <t>Sarangani</t>
        </is>
      </c>
      <c r="G155" s="26" t="inlineStr">
        <is>
          <t>Alabel</t>
        </is>
      </c>
      <c r="H155" s="26" t="inlineStr">
        <is>
          <t>Pag-asa</t>
        </is>
      </c>
      <c r="I155" s="27" t="n">
        <v>6.122861</v>
      </c>
      <c r="J155" s="27" t="n">
        <v>125.40898</v>
      </c>
      <c r="K155" s="10" t="inlineStr">
        <is>
          <t>U</t>
        </is>
      </c>
      <c r="L155" s="12" t="n">
        <v>8455</v>
      </c>
      <c r="M155" s="14" t="n">
        <v>3.9</v>
      </c>
      <c r="N155" s="12">
        <f>ROUND(L155/M155, 0)</f>
        <v/>
      </c>
      <c r="O155" s="12">
        <f>ROUND(N155*'Methodology &amp; Assumptions'!$B$5, 0)</f>
        <v/>
      </c>
      <c r="P155" s="10" t="inlineStr">
        <is>
          <t>Single Carrier (Band n50, 100MHz TDD)</t>
        </is>
      </c>
      <c r="Q155" s="13">
        <f>ROUNDUP(O155/'Methodology &amp; Assumptions'!$B$6, 0)</f>
        <v/>
      </c>
      <c r="R155" s="13" t="n">
        <v>1</v>
      </c>
      <c r="S155" s="14" t="n">
        <v>14.62</v>
      </c>
      <c r="T155" s="14" t="n">
        <v>20.68</v>
      </c>
      <c r="U155" s="26">
        <f>IF(X155&gt;='Methodology &amp; Assumptions'!$B$7, "Tier 1 Critical GIDA (Score ≥ 50.0)", IF(X155&gt;='Methodology &amp; Assumptions'!$B$8, "Tier 2 High GIDA (Score 40.0–49.9)", "Tier 3 Moderate GIDA (Score &lt; 40.0)"))</f>
        <v/>
      </c>
      <c r="V155" s="26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W155" s="28" t="n">
        <v>0.174</v>
      </c>
      <c r="X155" s="14" t="n">
        <v>50.59</v>
      </c>
      <c r="Y155" s="14">
        <f>ROUND(MIN(100, (X155/69.91)*100), 2)</f>
        <v/>
      </c>
    </row>
    <row r="156">
      <c r="A156" s="10" t="n">
        <v>2</v>
      </c>
      <c r="B156" s="10" t="n">
        <v>152</v>
      </c>
      <c r="C156" s="10" t="n">
        <v>1152</v>
      </c>
      <c r="D156" s="10" t="inlineStr">
        <is>
          <t>1102501004</t>
        </is>
      </c>
      <c r="E156" s="26" t="inlineStr">
        <is>
          <t>Region XI (Davao Region)</t>
        </is>
      </c>
      <c r="F156" s="26" t="inlineStr">
        <is>
          <t>Davao Oriental</t>
        </is>
      </c>
      <c r="G156" s="26" t="inlineStr">
        <is>
          <t>Baganga</t>
        </is>
      </c>
      <c r="H156" s="26" t="inlineStr">
        <is>
          <t>Batiano</t>
        </is>
      </c>
      <c r="I156" s="27" t="n">
        <v>7.573991</v>
      </c>
      <c r="J156" s="27" t="n">
        <v>126.559991</v>
      </c>
      <c r="K156" s="10" t="inlineStr">
        <is>
          <t>R</t>
        </is>
      </c>
      <c r="L156" s="12" t="n">
        <v>2886</v>
      </c>
      <c r="M156" s="14" t="n">
        <v>3.6</v>
      </c>
      <c r="N156" s="12">
        <f>ROUND(L156/M156, 0)</f>
        <v/>
      </c>
      <c r="O156" s="12">
        <f>ROUND(N156*'Methodology &amp; Assumptions'!$B$5, 0)</f>
        <v/>
      </c>
      <c r="P156" s="10" t="inlineStr">
        <is>
          <t>Single Carrier (Band n50, 100MHz TDD)</t>
        </is>
      </c>
      <c r="Q156" s="13">
        <f>ROUNDUP(O156/'Methodology &amp; Assumptions'!$B$6, 0)</f>
        <v/>
      </c>
      <c r="R156" s="13" t="n">
        <v>1</v>
      </c>
      <c r="S156" s="14" t="n">
        <v>62.26</v>
      </c>
      <c r="T156" s="14" t="n">
        <v>62.13</v>
      </c>
      <c r="U156" s="26">
        <f>IF(X156&gt;='Methodology &amp; Assumptions'!$B$7, "Tier 1 Critical GIDA (Score ≥ 50.0)", IF(X156&gt;='Methodology &amp; Assumptions'!$B$8, "Tier 2 High GIDA (Score 40.0–49.9)", "Tier 3 Moderate GIDA (Score &lt; 40.0)"))</f>
        <v/>
      </c>
      <c r="V156" s="26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W156" s="28" t="n">
        <v>0.174</v>
      </c>
      <c r="X156" s="14" t="n">
        <v>50.59</v>
      </c>
      <c r="Y156" s="14">
        <f>ROUND(MIN(100, (X156/69.91)*100), 2)</f>
        <v/>
      </c>
    </row>
    <row r="157">
      <c r="A157" s="10" t="n">
        <v>2</v>
      </c>
      <c r="B157" s="10" t="n">
        <v>153</v>
      </c>
      <c r="C157" s="10" t="n">
        <v>1153</v>
      </c>
      <c r="D157" s="10" t="inlineStr">
        <is>
          <t>1380606200</t>
        </is>
      </c>
      <c r="E157" s="26" t="inlineStr">
        <is>
          <t>National Capital Region (NCR)</t>
        </is>
      </c>
      <c r="F157" s="26" t="inlineStr">
        <is>
          <t>First District (Not a Province)</t>
        </is>
      </c>
      <c r="G157" s="26" t="inlineStr">
        <is>
          <t>City of Manila</t>
        </is>
      </c>
      <c r="H157" s="26" t="inlineStr">
        <is>
          <t>Barangay 593</t>
        </is>
      </c>
      <c r="I157" s="27" t="n">
        <v>13.104057</v>
      </c>
      <c r="J157" s="27" t="n">
        <v>121.8043</v>
      </c>
      <c r="K157" s="10" t="inlineStr">
        <is>
          <t>U</t>
        </is>
      </c>
      <c r="L157" s="12" t="n">
        <v>1829</v>
      </c>
      <c r="M157" s="14" t="n">
        <v>3.9</v>
      </c>
      <c r="N157" s="12">
        <f>ROUND(L157/M157, 0)</f>
        <v/>
      </c>
      <c r="O157" s="12">
        <f>ROUND(N157*'Methodology &amp; Assumptions'!$B$5, 0)</f>
        <v/>
      </c>
      <c r="P157" s="10" t="inlineStr">
        <is>
          <t>Single Carrier (Band n50, 100MHz TDD)</t>
        </is>
      </c>
      <c r="Q157" s="13">
        <f>ROUNDUP(O157/'Methodology &amp; Assumptions'!$B$6, 0)</f>
        <v/>
      </c>
      <c r="R157" s="13" t="n">
        <v>1</v>
      </c>
      <c r="S157" s="14" t="n">
        <v>32.54</v>
      </c>
      <c r="T157" s="14" t="n">
        <v>35.91</v>
      </c>
      <c r="U157" s="26">
        <f>IF(X157&gt;='Methodology &amp; Assumptions'!$B$7, "Tier 1 Critical GIDA (Score ≥ 50.0)", IF(X157&gt;='Methodology &amp; Assumptions'!$B$8, "Tier 2 High GIDA (Score 40.0–49.9)", "Tier 3 Moderate GIDA (Score &lt; 40.0)"))</f>
        <v/>
      </c>
      <c r="V157" s="26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W157" s="28" t="n">
        <v>0.109</v>
      </c>
      <c r="X157" s="14" t="n">
        <v>50.59</v>
      </c>
      <c r="Y157" s="14">
        <f>ROUND(MIN(100, (X157/69.91)*100), 2)</f>
        <v/>
      </c>
    </row>
    <row r="158">
      <c r="A158" s="10" t="n">
        <v>2</v>
      </c>
      <c r="B158" s="10" t="n">
        <v>154</v>
      </c>
      <c r="C158" s="10" t="n">
        <v>1154</v>
      </c>
      <c r="D158" s="10" t="inlineStr">
        <is>
          <t>1400125008</t>
        </is>
      </c>
      <c r="E158" s="26" t="inlineStr">
        <is>
          <t>Cordillera Administrative Region (CAR)</t>
        </is>
      </c>
      <c r="F158" s="26" t="inlineStr">
        <is>
          <t>Abra</t>
        </is>
      </c>
      <c r="G158" s="26" t="inlineStr">
        <is>
          <t>Tineg</t>
        </is>
      </c>
      <c r="H158" s="26" t="inlineStr">
        <is>
          <t>Lanec</t>
        </is>
      </c>
      <c r="I158" s="27" t="n">
        <v>17.788814</v>
      </c>
      <c r="J158" s="27" t="n">
        <v>120.915308</v>
      </c>
      <c r="K158" s="10" t="inlineStr">
        <is>
          <t>R</t>
        </is>
      </c>
      <c r="L158" s="12" t="n">
        <v>159</v>
      </c>
      <c r="M158" s="14" t="n">
        <v>3.8</v>
      </c>
      <c r="N158" s="12">
        <f>ROUND(L158/M158, 0)</f>
        <v/>
      </c>
      <c r="O158" s="12">
        <f>ROUND(N158*'Methodology &amp; Assumptions'!$B$5, 0)</f>
        <v/>
      </c>
      <c r="P158" s="10" t="inlineStr">
        <is>
          <t>Single Carrier (Band n50, 100MHz TDD)</t>
        </is>
      </c>
      <c r="Q158" s="13">
        <f>ROUNDUP(O158/'Methodology &amp; Assumptions'!$B$6, 0)</f>
        <v/>
      </c>
      <c r="R158" s="13" t="n">
        <v>1</v>
      </c>
      <c r="S158" s="14" t="n">
        <v>29.9</v>
      </c>
      <c r="T158" s="14" t="n">
        <v>24.56</v>
      </c>
      <c r="U158" s="26">
        <f>IF(X158&gt;='Methodology &amp; Assumptions'!$B$7, "Tier 1 Critical GIDA (Score ≥ 50.0)", IF(X158&gt;='Methodology &amp; Assumptions'!$B$8, "Tier 2 High GIDA (Score 40.0–49.9)", "Tier 3 Moderate GIDA (Score &lt; 40.0)"))</f>
        <v/>
      </c>
      <c r="V158" s="26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W158" s="28" t="n">
        <v>0.109</v>
      </c>
      <c r="X158" s="14" t="n">
        <v>50.58</v>
      </c>
      <c r="Y158" s="14">
        <f>ROUND(MIN(100, (X158/69.91)*100), 2)</f>
        <v/>
      </c>
    </row>
    <row r="159">
      <c r="A159" s="10" t="n">
        <v>2</v>
      </c>
      <c r="B159" s="10" t="n">
        <v>155</v>
      </c>
      <c r="C159" s="10" t="n">
        <v>1155</v>
      </c>
      <c r="D159" s="10" t="inlineStr">
        <is>
          <t>1380601079</t>
        </is>
      </c>
      <c r="E159" s="26" t="inlineStr">
        <is>
          <t>National Capital Region (NCR)</t>
        </is>
      </c>
      <c r="F159" s="26" t="inlineStr">
        <is>
          <t>First District (Not a Province)</t>
        </is>
      </c>
      <c r="G159" s="26" t="inlineStr">
        <is>
          <t>City of Manila</t>
        </is>
      </c>
      <c r="H159" s="26" t="inlineStr">
        <is>
          <t>Barangay 79</t>
        </is>
      </c>
      <c r="I159" s="27" t="n">
        <v>12.693226</v>
      </c>
      <c r="J159" s="27" t="n">
        <v>121.90794</v>
      </c>
      <c r="K159" s="10" t="inlineStr">
        <is>
          <t>U</t>
        </is>
      </c>
      <c r="L159" s="12" t="n">
        <v>1566</v>
      </c>
      <c r="M159" s="14" t="n">
        <v>3.9</v>
      </c>
      <c r="N159" s="12">
        <f>ROUND(L159/M159, 0)</f>
        <v/>
      </c>
      <c r="O159" s="12">
        <f>ROUND(N159*'Methodology &amp; Assumptions'!$B$5, 0)</f>
        <v/>
      </c>
      <c r="P159" s="10" t="inlineStr">
        <is>
          <t>Single Carrier (Band n50, 100MHz TDD)</t>
        </is>
      </c>
      <c r="Q159" s="13">
        <f>ROUNDUP(O159/'Methodology &amp; Assumptions'!$B$6, 0)</f>
        <v/>
      </c>
      <c r="R159" s="13" t="n">
        <v>1</v>
      </c>
      <c r="S159" s="14" t="n">
        <v>39.9</v>
      </c>
      <c r="T159" s="14" t="n">
        <v>36.72</v>
      </c>
      <c r="U159" s="26">
        <f>IF(X159&gt;='Methodology &amp; Assumptions'!$B$7, "Tier 1 Critical GIDA (Score ≥ 50.0)", IF(X159&gt;='Methodology &amp; Assumptions'!$B$8, "Tier 2 High GIDA (Score 40.0–49.9)", "Tier 3 Moderate GIDA (Score &lt; 40.0)"))</f>
        <v/>
      </c>
      <c r="V159" s="26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W159" s="28" t="n">
        <v>0.109</v>
      </c>
      <c r="X159" s="14" t="n">
        <v>50.58</v>
      </c>
      <c r="Y159" s="14">
        <f>ROUND(MIN(100, (X159/69.91)*100), 2)</f>
        <v/>
      </c>
    </row>
    <row r="160">
      <c r="A160" s="10" t="n">
        <v>2</v>
      </c>
      <c r="B160" s="10" t="n">
        <v>156</v>
      </c>
      <c r="C160" s="10" t="n">
        <v>1156</v>
      </c>
      <c r="D160" s="10" t="inlineStr">
        <is>
          <t>PH0001156</t>
        </is>
      </c>
      <c r="E160" s="26" t="inlineStr">
        <is>
          <t>III</t>
        </is>
      </c>
      <c r="F160" s="26" t="inlineStr">
        <is>
          <t>Pampanga</t>
        </is>
      </c>
      <c r="G160" s="26" t="inlineStr">
        <is>
          <t>Angeles City</t>
        </is>
      </c>
      <c r="H160" s="26" t="inlineStr">
        <is>
          <t>Lourdes Sur</t>
        </is>
      </c>
      <c r="I160" s="27" t="n">
        <v>15.148784</v>
      </c>
      <c r="J160" s="27" t="n">
        <v>120.591648</v>
      </c>
      <c r="K160" s="10" t="inlineStr">
        <is>
          <t>R</t>
        </is>
      </c>
      <c r="L160" s="12" t="n">
        <v>2334</v>
      </c>
      <c r="M160" s="14" t="n">
        <v>4</v>
      </c>
      <c r="N160" s="12">
        <f>ROUND(L160/M160, 0)</f>
        <v/>
      </c>
      <c r="O160" s="12">
        <f>ROUND(N160*'Methodology &amp; Assumptions'!$B$5, 0)</f>
        <v/>
      </c>
      <c r="P160" s="10" t="inlineStr">
        <is>
          <t>Single Carrier (Band n50, 100MHz TDD)</t>
        </is>
      </c>
      <c r="Q160" s="13">
        <f>ROUNDUP(O160/'Methodology &amp; Assumptions'!$B$6, 0)</f>
        <v/>
      </c>
      <c r="R160" s="13" t="n">
        <v>1</v>
      </c>
      <c r="S160" s="14" t="n">
        <v>0.31</v>
      </c>
      <c r="T160" s="14" t="n">
        <v>0.15</v>
      </c>
      <c r="U160" s="26">
        <f>IF(X160&gt;='Methodology &amp; Assumptions'!$B$7, "Tier 1 Critical GIDA (Score ≥ 50.0)", IF(X160&gt;='Methodology &amp; Assumptions'!$B$8, "Tier 2 High GIDA (Score 40.0–49.9)", "Tier 3 Moderate GIDA (Score &lt; 40.0)"))</f>
        <v/>
      </c>
      <c r="V160" s="26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W160" s="28" t="n">
        <v>0.083</v>
      </c>
      <c r="X160" s="14" t="n">
        <v>50.57</v>
      </c>
      <c r="Y160" s="14">
        <f>ROUND(MIN(100, (X160/69.91)*100), 2)</f>
        <v/>
      </c>
    </row>
    <row r="161">
      <c r="A161" s="10" t="n">
        <v>2</v>
      </c>
      <c r="B161" s="10" t="n">
        <v>157</v>
      </c>
      <c r="C161" s="10" t="n">
        <v>1157</v>
      </c>
      <c r="D161" s="10" t="inlineStr">
        <is>
          <t>PH0001157</t>
        </is>
      </c>
      <c r="E161" s="26" t="inlineStr">
        <is>
          <t>VIII</t>
        </is>
      </c>
      <c r="F161" s="26" t="inlineStr">
        <is>
          <t>Leyte</t>
        </is>
      </c>
      <c r="G161" s="26" t="inlineStr">
        <is>
          <t>Tacloban City</t>
        </is>
      </c>
      <c r="H161" s="26" t="inlineStr">
        <is>
          <t>Barangay 25</t>
        </is>
      </c>
      <c r="I161" s="27" t="n">
        <v>11.242396</v>
      </c>
      <c r="J161" s="27" t="n">
        <v>125.005871</v>
      </c>
      <c r="K161" s="10" t="inlineStr">
        <is>
          <t>R</t>
        </is>
      </c>
      <c r="L161" s="12" t="n">
        <v>2258</v>
      </c>
      <c r="M161" s="14" t="n">
        <v>3.8</v>
      </c>
      <c r="N161" s="12">
        <f>ROUND(L161/M161, 0)</f>
        <v/>
      </c>
      <c r="O161" s="12">
        <f>ROUND(N161*'Methodology &amp; Assumptions'!$B$5, 0)</f>
        <v/>
      </c>
      <c r="P161" s="10" t="inlineStr">
        <is>
          <t>Single Carrier (Band n50, 100MHz TDD)</t>
        </is>
      </c>
      <c r="Q161" s="13">
        <f>ROUNDUP(O161/'Methodology &amp; Assumptions'!$B$6, 0)</f>
        <v/>
      </c>
      <c r="R161" s="13" t="n">
        <v>1</v>
      </c>
      <c r="S161" s="14" t="n">
        <v>0.49</v>
      </c>
      <c r="T161" s="14" t="n">
        <v>3.35</v>
      </c>
      <c r="U161" s="26">
        <f>IF(X161&gt;='Methodology &amp; Assumptions'!$B$7, "Tier 1 Critical GIDA (Score ≥ 50.0)", IF(X161&gt;='Methodology &amp; Assumptions'!$B$8, "Tier 2 High GIDA (Score 40.0–49.9)", "Tier 3 Moderate GIDA (Score &lt; 40.0)"))</f>
        <v/>
      </c>
      <c r="V161" s="26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W161" s="28" t="n">
        <v>0.222</v>
      </c>
      <c r="X161" s="14" t="n">
        <v>50.57</v>
      </c>
      <c r="Y161" s="14">
        <f>ROUND(MIN(100, (X161/69.91)*100), 2)</f>
        <v/>
      </c>
    </row>
    <row r="162">
      <c r="A162" s="10" t="n">
        <v>2</v>
      </c>
      <c r="B162" s="10" t="n">
        <v>158</v>
      </c>
      <c r="C162" s="10" t="n">
        <v>1158</v>
      </c>
      <c r="D162" s="10" t="inlineStr">
        <is>
          <t>1906615001</t>
        </is>
      </c>
      <c r="E162" s="26" t="inlineStr">
        <is>
          <t>Bangsamoro Autonomous Region In Muslim Mindanao (BARMM)</t>
        </is>
      </c>
      <c r="F162" s="26" t="inlineStr">
        <is>
          <t>Sulu</t>
        </is>
      </c>
      <c r="G162" s="26" t="inlineStr">
        <is>
          <t>Tongkil</t>
        </is>
      </c>
      <c r="H162" s="26" t="inlineStr">
        <is>
          <t>Bakkaan</t>
        </is>
      </c>
      <c r="I162" s="27" t="n">
        <v>17.255656</v>
      </c>
      <c r="J162" s="27" t="n">
        <v>122.2297</v>
      </c>
      <c r="K162" s="10" t="inlineStr">
        <is>
          <t>R</t>
        </is>
      </c>
      <c r="L162" s="12" t="n">
        <v>1845</v>
      </c>
      <c r="M162" s="14" t="n">
        <v>6</v>
      </c>
      <c r="N162" s="12">
        <f>ROUND(L162/M162, 0)</f>
        <v/>
      </c>
      <c r="O162" s="12">
        <f>ROUND(N162*'Methodology &amp; Assumptions'!$B$5, 0)</f>
        <v/>
      </c>
      <c r="P162" s="10" t="inlineStr">
        <is>
          <t>Single Carrier (Band n50, 100MHz TDD)</t>
        </is>
      </c>
      <c r="Q162" s="13">
        <f>ROUNDUP(O162/'Methodology &amp; Assumptions'!$B$6, 0)</f>
        <v/>
      </c>
      <c r="R162" s="13" t="n">
        <v>1</v>
      </c>
      <c r="S162" s="14" t="n">
        <v>29.54</v>
      </c>
      <c r="T162" s="14" t="n">
        <v>34.41</v>
      </c>
      <c r="U162" s="26">
        <f>IF(X162&gt;='Methodology &amp; Assumptions'!$B$7, "Tier 1 Critical GIDA (Score ≥ 50.0)", IF(X162&gt;='Methodology &amp; Assumptions'!$B$8, "Tier 2 High GIDA (Score 40.0–49.9)", "Tier 3 Moderate GIDA (Score &lt; 40.0)"))</f>
        <v/>
      </c>
      <c r="V162" s="26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W162" s="28" t="n">
        <v>0.11</v>
      </c>
      <c r="X162" s="14" t="n">
        <v>50.56</v>
      </c>
      <c r="Y162" s="14">
        <f>ROUND(MIN(100, (X162/69.91)*100), 2)</f>
        <v/>
      </c>
    </row>
    <row r="163">
      <c r="A163" s="10" t="n">
        <v>2</v>
      </c>
      <c r="B163" s="10" t="n">
        <v>159</v>
      </c>
      <c r="C163" s="10" t="n">
        <v>1159</v>
      </c>
      <c r="D163" s="10" t="inlineStr">
        <is>
          <t>1400125005</t>
        </is>
      </c>
      <c r="E163" s="26" t="inlineStr">
        <is>
          <t>Cordillera Administrative Region (CAR)</t>
        </is>
      </c>
      <c r="F163" s="26" t="inlineStr">
        <is>
          <t>Abra</t>
        </is>
      </c>
      <c r="G163" s="26" t="inlineStr">
        <is>
          <t>Tineg</t>
        </is>
      </c>
      <c r="H163" s="26" t="inlineStr">
        <is>
          <t>Belaat</t>
        </is>
      </c>
      <c r="I163" s="27" t="n">
        <v>17.807909</v>
      </c>
      <c r="J163" s="27" t="n">
        <v>120.936998</v>
      </c>
      <c r="K163" s="10" t="inlineStr">
        <is>
          <t>R</t>
        </is>
      </c>
      <c r="L163" s="12" t="n">
        <v>239</v>
      </c>
      <c r="M163" s="14" t="n">
        <v>3.8</v>
      </c>
      <c r="N163" s="12">
        <f>ROUND(L163/M163, 0)</f>
        <v/>
      </c>
      <c r="O163" s="12">
        <f>ROUND(N163*'Methodology &amp; Assumptions'!$B$5, 0)</f>
        <v/>
      </c>
      <c r="P163" s="10" t="inlineStr">
        <is>
          <t>Single Carrier (Band n50, 100MHz TDD)</t>
        </is>
      </c>
      <c r="Q163" s="13">
        <f>ROUNDUP(O163/'Methodology &amp; Assumptions'!$B$6, 0)</f>
        <v/>
      </c>
      <c r="R163" s="13" t="n">
        <v>1</v>
      </c>
      <c r="S163" s="14" t="n">
        <v>31.87</v>
      </c>
      <c r="T163" s="14" t="n">
        <v>26.78</v>
      </c>
      <c r="U163" s="26">
        <f>IF(X163&gt;='Methodology &amp; Assumptions'!$B$7, "Tier 1 Critical GIDA (Score ≥ 50.0)", IF(X163&gt;='Methodology &amp; Assumptions'!$B$8, "Tier 2 High GIDA (Score 40.0–49.9)", "Tier 3 Moderate GIDA (Score &lt; 40.0)"))</f>
        <v/>
      </c>
      <c r="V163" s="26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W163" s="28" t="n">
        <v>0.109</v>
      </c>
      <c r="X163" s="14" t="n">
        <v>50.55</v>
      </c>
      <c r="Y163" s="14">
        <f>ROUND(MIN(100, (X163/69.91)*100), 2)</f>
        <v/>
      </c>
    </row>
    <row r="164">
      <c r="A164" s="10" t="n">
        <v>2</v>
      </c>
      <c r="B164" s="10" t="n">
        <v>160</v>
      </c>
      <c r="C164" s="10" t="n">
        <v>1160</v>
      </c>
      <c r="D164" s="10" t="inlineStr">
        <is>
          <t>1908704011</t>
        </is>
      </c>
      <c r="E164" s="26" t="inlineStr">
        <is>
          <t>Bangsamoro Autonomous Region In Muslim Mindanao (BARMM)</t>
        </is>
      </c>
      <c r="F164" s="26" t="inlineStr">
        <is>
          <t>Maguindanao del Norte</t>
        </is>
      </c>
      <c r="G164" s="26" t="inlineStr">
        <is>
          <t>Datu Blah T. Sinsuat</t>
        </is>
      </c>
      <c r="H164" s="26" t="inlineStr">
        <is>
          <t>Sinipak</t>
        </is>
      </c>
      <c r="I164" s="27" t="n">
        <v>17.254132</v>
      </c>
      <c r="J164" s="27" t="n">
        <v>122.228176</v>
      </c>
      <c r="K164" s="10" t="inlineStr">
        <is>
          <t>R</t>
        </is>
      </c>
      <c r="L164" s="12" t="n">
        <v>3261</v>
      </c>
      <c r="M164" s="14" t="n">
        <v>4.3</v>
      </c>
      <c r="N164" s="12">
        <f>ROUND(L164/M164, 0)</f>
        <v/>
      </c>
      <c r="O164" s="12">
        <f>ROUND(N164*'Methodology &amp; Assumptions'!$B$5, 0)</f>
        <v/>
      </c>
      <c r="P164" s="10" t="inlineStr">
        <is>
          <t>Single Carrier (Band n50, 100MHz TDD)</t>
        </is>
      </c>
      <c r="Q164" s="13">
        <f>ROUNDUP(O164/'Methodology &amp; Assumptions'!$B$6, 0)</f>
        <v/>
      </c>
      <c r="R164" s="13" t="n">
        <v>1</v>
      </c>
      <c r="S164" s="14" t="n">
        <v>29.31</v>
      </c>
      <c r="T164" s="14" t="n">
        <v>34.2</v>
      </c>
      <c r="U164" s="26">
        <f>IF(X164&gt;='Methodology &amp; Assumptions'!$B$7, "Tier 1 Critical GIDA (Score ≥ 50.0)", IF(X164&gt;='Methodology &amp; Assumptions'!$B$8, "Tier 2 High GIDA (Score 40.0–49.9)", "Tier 3 Moderate GIDA (Score &lt; 40.0)"))</f>
        <v/>
      </c>
      <c r="V164" s="26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W164" s="28" t="n">
        <v>0.11</v>
      </c>
      <c r="X164" s="14" t="n">
        <v>50.55</v>
      </c>
      <c r="Y164" s="14">
        <f>ROUND(MIN(100, (X164/69.91)*100), 2)</f>
        <v/>
      </c>
    </row>
    <row r="165">
      <c r="A165" s="10" t="n">
        <v>2</v>
      </c>
      <c r="B165" s="10" t="n">
        <v>161</v>
      </c>
      <c r="C165" s="10" t="n">
        <v>1161</v>
      </c>
      <c r="D165" s="10" t="inlineStr">
        <is>
          <t>1380603007</t>
        </is>
      </c>
      <c r="E165" s="26" t="inlineStr">
        <is>
          <t>National Capital Region (NCR)</t>
        </is>
      </c>
      <c r="F165" s="26" t="inlineStr">
        <is>
          <t>First District (Not a Province)</t>
        </is>
      </c>
      <c r="G165" s="26" t="inlineStr">
        <is>
          <t>City of Manila</t>
        </is>
      </c>
      <c r="H165" s="26" t="inlineStr">
        <is>
          <t>Barangay 387</t>
        </is>
      </c>
      <c r="I165" s="27" t="n">
        <v>12.929263</v>
      </c>
      <c r="J165" s="27" t="n">
        <v>121.544666</v>
      </c>
      <c r="K165" s="10" t="inlineStr">
        <is>
          <t>U</t>
        </is>
      </c>
      <c r="L165" s="12" t="n">
        <v>2735</v>
      </c>
      <c r="M165" s="14" t="n">
        <v>3.9</v>
      </c>
      <c r="N165" s="12">
        <f>ROUND(L165/M165, 0)</f>
        <v/>
      </c>
      <c r="O165" s="12">
        <f>ROUND(N165*'Methodology &amp; Assumptions'!$B$5, 0)</f>
        <v/>
      </c>
      <c r="P165" s="10" t="inlineStr">
        <is>
          <t>Single Carrier (Band n50, 100MHz TDD)</t>
        </is>
      </c>
      <c r="Q165" s="13">
        <f>ROUNDUP(O165/'Methodology &amp; Assumptions'!$B$6, 0)</f>
        <v/>
      </c>
      <c r="R165" s="13" t="n">
        <v>1</v>
      </c>
      <c r="S165" s="14" t="n">
        <v>8.01</v>
      </c>
      <c r="T165" s="14" t="n">
        <v>7.69</v>
      </c>
      <c r="U165" s="26">
        <f>IF(X165&gt;='Methodology &amp; Assumptions'!$B$7, "Tier 1 Critical GIDA (Score ≥ 50.0)", IF(X165&gt;='Methodology &amp; Assumptions'!$B$8, "Tier 2 High GIDA (Score 40.0–49.9)", "Tier 3 Moderate GIDA (Score &lt; 40.0)"))</f>
        <v/>
      </c>
      <c r="V165" s="26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W165" s="28" t="n">
        <v>0.109</v>
      </c>
      <c r="X165" s="14" t="n">
        <v>50.55</v>
      </c>
      <c r="Y165" s="14">
        <f>ROUND(MIN(100, (X165/69.91)*100), 2)</f>
        <v/>
      </c>
    </row>
    <row r="166">
      <c r="A166" s="10" t="n">
        <v>2</v>
      </c>
      <c r="B166" s="10" t="n">
        <v>162</v>
      </c>
      <c r="C166" s="10" t="n">
        <v>1162</v>
      </c>
      <c r="D166" s="10" t="inlineStr">
        <is>
          <t>PH0001162</t>
        </is>
      </c>
      <c r="E166" s="26" t="inlineStr">
        <is>
          <t>IV-B</t>
        </is>
      </c>
      <c r="F166" s="26" t="inlineStr">
        <is>
          <t>Palawan</t>
        </is>
      </c>
      <c r="G166" s="26" t="inlineStr">
        <is>
          <t>Puerto Princesa City</t>
        </is>
      </c>
      <c r="H166" s="26" t="inlineStr">
        <is>
          <t>Princesa (Pob.)</t>
        </is>
      </c>
      <c r="I166" s="27" t="n">
        <v>9.858242000000001</v>
      </c>
      <c r="J166" s="27" t="n">
        <v>118.755838</v>
      </c>
      <c r="K166" s="10" t="inlineStr">
        <is>
          <t>R</t>
        </is>
      </c>
      <c r="L166" s="12" t="n">
        <v>2597</v>
      </c>
      <c r="M166" s="14" t="n">
        <v>3.9</v>
      </c>
      <c r="N166" s="12">
        <f>ROUND(L166/M166, 0)</f>
        <v/>
      </c>
      <c r="O166" s="12">
        <f>ROUND(N166*'Methodology &amp; Assumptions'!$B$5, 0)</f>
        <v/>
      </c>
      <c r="P166" s="10" t="inlineStr">
        <is>
          <t>Single Carrier (Band n50, 100MHz TDD)</t>
        </is>
      </c>
      <c r="Q166" s="13">
        <f>ROUNDUP(O166/'Methodology &amp; Assumptions'!$B$6, 0)</f>
        <v/>
      </c>
      <c r="R166" s="13" t="n">
        <v>1</v>
      </c>
      <c r="S166" s="14" t="n">
        <v>3.04</v>
      </c>
      <c r="T166" s="14" t="n">
        <v>1.93</v>
      </c>
      <c r="U166" s="26">
        <f>IF(X166&gt;='Methodology &amp; Assumptions'!$B$7, "Tier 1 Critical GIDA (Score ≥ 50.0)", IF(X166&gt;='Methodology &amp; Assumptions'!$B$8, "Tier 2 High GIDA (Score 40.0–49.9)", "Tier 3 Moderate GIDA (Score &lt; 40.0)"))</f>
        <v/>
      </c>
      <c r="V166" s="26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W166" s="28" t="n">
        <v>0.109</v>
      </c>
      <c r="X166" s="14" t="n">
        <v>50.55</v>
      </c>
      <c r="Y166" s="14">
        <f>ROUND(MIN(100, (X166/69.91)*100), 2)</f>
        <v/>
      </c>
    </row>
    <row r="167">
      <c r="A167" s="10" t="n">
        <v>2</v>
      </c>
      <c r="B167" s="10" t="n">
        <v>163</v>
      </c>
      <c r="C167" s="10" t="n">
        <v>1163</v>
      </c>
      <c r="D167" s="10" t="inlineStr">
        <is>
          <t>1381100061</t>
        </is>
      </c>
      <c r="E167" s="26" t="inlineStr">
        <is>
          <t>National Capital Region (NCR)</t>
        </is>
      </c>
      <c r="F167" s="26" t="inlineStr">
        <is>
          <t>Fourth District (Not a Province)</t>
        </is>
      </c>
      <c r="G167" s="26" t="inlineStr">
        <is>
          <t>Pasay City</t>
        </is>
      </c>
      <c r="H167" s="26" t="inlineStr">
        <is>
          <t>Barangay 61</t>
        </is>
      </c>
      <c r="I167" s="27" t="n">
        <v>14.526371</v>
      </c>
      <c r="J167" s="27" t="n">
        <v>121.009938</v>
      </c>
      <c r="K167" s="10" t="inlineStr">
        <is>
          <t>U</t>
        </is>
      </c>
      <c r="L167" s="12" t="n">
        <v>2574</v>
      </c>
      <c r="M167" s="14" t="n">
        <v>3.4</v>
      </c>
      <c r="N167" s="12">
        <f>ROUND(L167/M167, 0)</f>
        <v/>
      </c>
      <c r="O167" s="12">
        <f>ROUND(N167*'Methodology &amp; Assumptions'!$B$5, 0)</f>
        <v/>
      </c>
      <c r="P167" s="10" t="inlineStr">
        <is>
          <t>Single Carrier (Band n50, 100MHz TDD)</t>
        </is>
      </c>
      <c r="Q167" s="13">
        <f>ROUNDUP(O167/'Methodology &amp; Assumptions'!$B$6, 0)</f>
        <v/>
      </c>
      <c r="R167" s="13" t="n">
        <v>1</v>
      </c>
      <c r="S167" s="14" t="n">
        <v>0.78</v>
      </c>
      <c r="T167" s="14" t="n">
        <v>0.08</v>
      </c>
      <c r="U167" s="26">
        <f>IF(X167&gt;='Methodology &amp; Assumptions'!$B$7, "Tier 1 Critical GIDA (Score ≥ 50.0)", IF(X167&gt;='Methodology &amp; Assumptions'!$B$8, "Tier 2 High GIDA (Score 40.0–49.9)", "Tier 3 Moderate GIDA (Score &lt; 40.0)"))</f>
        <v/>
      </c>
      <c r="V167" s="26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W167" s="28" t="n">
        <v>0.109</v>
      </c>
      <c r="X167" s="14" t="n">
        <v>50.55</v>
      </c>
      <c r="Y167" s="14">
        <f>ROUND(MIN(100, (X167/69.91)*100), 2)</f>
        <v/>
      </c>
    </row>
    <row r="168">
      <c r="A168" s="10" t="n">
        <v>2</v>
      </c>
      <c r="B168" s="10" t="n">
        <v>164</v>
      </c>
      <c r="C168" s="10" t="n">
        <v>1164</v>
      </c>
      <c r="D168" s="10" t="inlineStr">
        <is>
          <t>1380601232</t>
        </is>
      </c>
      <c r="E168" s="26" t="inlineStr">
        <is>
          <t>National Capital Region (NCR)</t>
        </is>
      </c>
      <c r="F168" s="26" t="inlineStr">
        <is>
          <t>First District (Not a Province)</t>
        </is>
      </c>
      <c r="G168" s="26" t="inlineStr">
        <is>
          <t>City of Manila</t>
        </is>
      </c>
      <c r="H168" s="26" t="inlineStr">
        <is>
          <t>Barangay 231</t>
        </is>
      </c>
      <c r="I168" s="27" t="n">
        <v>12.994871</v>
      </c>
      <c r="J168" s="27" t="n">
        <v>121.978631</v>
      </c>
      <c r="K168" s="10" t="inlineStr">
        <is>
          <t>U</t>
        </is>
      </c>
      <c r="L168" s="12" t="n">
        <v>1945</v>
      </c>
      <c r="M168" s="14" t="n">
        <v>3.9</v>
      </c>
      <c r="N168" s="12">
        <f>ROUND(L168/M168, 0)</f>
        <v/>
      </c>
      <c r="O168" s="12">
        <f>ROUND(N168*'Methodology &amp; Assumptions'!$B$5, 0)</f>
        <v/>
      </c>
      <c r="P168" s="10" t="inlineStr">
        <is>
          <t>Single Carrier (Band n50, 100MHz TDD)</t>
        </is>
      </c>
      <c r="Q168" s="13">
        <f>ROUNDUP(O168/'Methodology &amp; Assumptions'!$B$6, 0)</f>
        <v/>
      </c>
      <c r="R168" s="13" t="n">
        <v>1</v>
      </c>
      <c r="S168" s="14" t="n">
        <v>51.71</v>
      </c>
      <c r="T168" s="14" t="n">
        <v>54.14</v>
      </c>
      <c r="U168" s="26">
        <f>IF(X168&gt;='Methodology &amp; Assumptions'!$B$7, "Tier 1 Critical GIDA (Score ≥ 50.0)", IF(X168&gt;='Methodology &amp; Assumptions'!$B$8, "Tier 2 High GIDA (Score 40.0–49.9)", "Tier 3 Moderate GIDA (Score &lt; 40.0)"))</f>
        <v/>
      </c>
      <c r="V168" s="26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W168" s="28" t="n">
        <v>0.109</v>
      </c>
      <c r="X168" s="14" t="n">
        <v>50.55</v>
      </c>
      <c r="Y168" s="14">
        <f>ROUND(MIN(100, (X168/69.91)*100), 2)</f>
        <v/>
      </c>
    </row>
    <row r="169">
      <c r="A169" s="10" t="n">
        <v>2</v>
      </c>
      <c r="B169" s="10" t="n">
        <v>165</v>
      </c>
      <c r="C169" s="10" t="n">
        <v>1165</v>
      </c>
      <c r="D169" s="10" t="inlineStr">
        <is>
          <t>0804824016</t>
        </is>
      </c>
      <c r="E169" s="26" t="inlineStr">
        <is>
          <t>Region VIII (Eastern Visayas)</t>
        </is>
      </c>
      <c r="F169" s="26" t="inlineStr">
        <is>
          <t>Northern Samar</t>
        </is>
      </c>
      <c r="G169" s="26" t="inlineStr">
        <is>
          <t>Lope De Vega</t>
        </is>
      </c>
      <c r="H169" s="26" t="inlineStr">
        <is>
          <t>Roxas</t>
        </is>
      </c>
      <c r="I169" s="27" t="n">
        <v>12.307499</v>
      </c>
      <c r="J169" s="27" t="n">
        <v>124.703947</v>
      </c>
      <c r="K169" s="10" t="inlineStr">
        <is>
          <t>R</t>
        </is>
      </c>
      <c r="L169" s="12" t="n">
        <v>193</v>
      </c>
      <c r="M169" s="14" t="n">
        <v>4.3</v>
      </c>
      <c r="N169" s="12">
        <f>ROUND(L169/M169, 0)</f>
        <v/>
      </c>
      <c r="O169" s="12">
        <f>ROUND(N169*'Methodology &amp; Assumptions'!$B$5, 0)</f>
        <v/>
      </c>
      <c r="P169" s="10" t="inlineStr">
        <is>
          <t>Single Carrier (Band n50, 100MHz TDD)</t>
        </is>
      </c>
      <c r="Q169" s="13">
        <f>ROUNDUP(O169/'Methodology &amp; Assumptions'!$B$6, 0)</f>
        <v/>
      </c>
      <c r="R169" s="13" t="n">
        <v>1</v>
      </c>
      <c r="S169" s="14" t="n">
        <v>74.34999999999999</v>
      </c>
      <c r="T169" s="14" t="n">
        <v>74.34</v>
      </c>
      <c r="U169" s="26">
        <f>IF(X169&gt;='Methodology &amp; Assumptions'!$B$7, "Tier 1 Critical GIDA (Score ≥ 50.0)", IF(X169&gt;='Methodology &amp; Assumptions'!$B$8, "Tier 2 High GIDA (Score 40.0–49.9)", "Tier 3 Moderate GIDA (Score &lt; 40.0)"))</f>
        <v/>
      </c>
      <c r="V169" s="26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W169" s="28" t="n">
        <v>0.237</v>
      </c>
      <c r="X169" s="14" t="n">
        <v>50.55</v>
      </c>
      <c r="Y169" s="14">
        <f>ROUND(MIN(100, (X169/69.91)*100), 2)</f>
        <v/>
      </c>
    </row>
    <row r="170">
      <c r="A170" s="10" t="n">
        <v>2</v>
      </c>
      <c r="B170" s="10" t="n">
        <v>166</v>
      </c>
      <c r="C170" s="10" t="n">
        <v>1166</v>
      </c>
      <c r="D170" s="10" t="inlineStr">
        <is>
          <t>0802615012</t>
        </is>
      </c>
      <c r="E170" s="26" t="inlineStr">
        <is>
          <t>Region VIII (Eastern Visayas)</t>
        </is>
      </c>
      <c r="F170" s="26" t="inlineStr">
        <is>
          <t>Eastern Samar</t>
        </is>
      </c>
      <c r="G170" s="26" t="inlineStr">
        <is>
          <t>Maydolong</t>
        </is>
      </c>
      <c r="H170" s="26" t="inlineStr">
        <is>
          <t>Patag</t>
        </is>
      </c>
      <c r="I170" s="27" t="n">
        <v>11.48732</v>
      </c>
      <c r="J170" s="27" t="n">
        <v>125.33624</v>
      </c>
      <c r="K170" s="10" t="inlineStr">
        <is>
          <t>R</t>
        </is>
      </c>
      <c r="L170" s="12" t="n">
        <v>373</v>
      </c>
      <c r="M170" s="14" t="n">
        <v>3.9</v>
      </c>
      <c r="N170" s="12">
        <f>ROUND(L170/M170, 0)</f>
        <v/>
      </c>
      <c r="O170" s="12">
        <f>ROUND(N170*'Methodology &amp; Assumptions'!$B$5, 0)</f>
        <v/>
      </c>
      <c r="P170" s="10" t="inlineStr">
        <is>
          <t>Single Carrier (Band n50, 100MHz TDD)</t>
        </is>
      </c>
      <c r="Q170" s="13">
        <f>ROUNDUP(O170/'Methodology &amp; Assumptions'!$B$6, 0)</f>
        <v/>
      </c>
      <c r="R170" s="13" t="n">
        <v>1</v>
      </c>
      <c r="S170" s="14" t="n">
        <v>45.64</v>
      </c>
      <c r="T170" s="14" t="n">
        <v>46.55</v>
      </c>
      <c r="U170" s="26">
        <f>IF(X170&gt;='Methodology &amp; Assumptions'!$B$7, "Tier 1 Critical GIDA (Score ≥ 50.0)", IF(X170&gt;='Methodology &amp; Assumptions'!$B$8, "Tier 2 High GIDA (Score 40.0–49.9)", "Tier 3 Moderate GIDA (Score &lt; 40.0)"))</f>
        <v/>
      </c>
      <c r="V170" s="26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W170" s="28" t="n">
        <v>0.237</v>
      </c>
      <c r="X170" s="14" t="n">
        <v>50.55</v>
      </c>
      <c r="Y170" s="14">
        <f>ROUND(MIN(100, (X170/69.91)*100), 2)</f>
        <v/>
      </c>
    </row>
    <row r="171">
      <c r="A171" s="10" t="n">
        <v>2</v>
      </c>
      <c r="B171" s="10" t="n">
        <v>167</v>
      </c>
      <c r="C171" s="10" t="n">
        <v>1167</v>
      </c>
      <c r="D171" s="10" t="inlineStr">
        <is>
          <t>0205001004</t>
        </is>
      </c>
      <c r="E171" s="26" t="inlineStr">
        <is>
          <t>Region II (Cagayan Valley)</t>
        </is>
      </c>
      <c r="F171" s="26" t="inlineStr">
        <is>
          <t>Nueva Vizcaya</t>
        </is>
      </c>
      <c r="G171" s="26" t="inlineStr">
        <is>
          <t>Ambaguio</t>
        </is>
      </c>
      <c r="H171" s="26" t="inlineStr">
        <is>
          <t>Camandag</t>
        </is>
      </c>
      <c r="I171" s="27" t="n">
        <v>16.59302</v>
      </c>
      <c r="J171" s="27" t="n">
        <v>121.042072</v>
      </c>
      <c r="K171" s="10" t="inlineStr">
        <is>
          <t>R</t>
        </is>
      </c>
      <c r="L171" s="12" t="n">
        <v>1574</v>
      </c>
      <c r="M171" s="14" t="n">
        <v>3.8</v>
      </c>
      <c r="N171" s="12">
        <f>ROUND(L171/M171, 0)</f>
        <v/>
      </c>
      <c r="O171" s="12">
        <f>ROUND(N171*'Methodology &amp; Assumptions'!$B$5, 0)</f>
        <v/>
      </c>
      <c r="P171" s="10" t="inlineStr">
        <is>
          <t>Single Carrier (Band n50, 100MHz TDD)</t>
        </is>
      </c>
      <c r="Q171" s="13">
        <f>ROUNDUP(O171/'Methodology &amp; Assumptions'!$B$6, 0)</f>
        <v/>
      </c>
      <c r="R171" s="13" t="n">
        <v>1</v>
      </c>
      <c r="S171" s="14" t="n">
        <v>15.71</v>
      </c>
      <c r="T171" s="14" t="n">
        <v>15.12</v>
      </c>
      <c r="U171" s="26">
        <f>IF(X171&gt;='Methodology &amp; Assumptions'!$B$7, "Tier 1 Critical GIDA (Score ≥ 50.0)", IF(X171&gt;='Methodology &amp; Assumptions'!$B$8, "Tier 2 High GIDA (Score 40.0–49.9)", "Tier 3 Moderate GIDA (Score &lt; 40.0)"))</f>
        <v/>
      </c>
      <c r="V171" s="26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W171" s="28" t="n">
        <v>0.083</v>
      </c>
      <c r="X171" s="14" t="n">
        <v>50.55</v>
      </c>
      <c r="Y171" s="14">
        <f>ROUND(MIN(100, (X171/69.91)*100), 2)</f>
        <v/>
      </c>
    </row>
    <row r="172">
      <c r="A172" s="10" t="n">
        <v>2</v>
      </c>
      <c r="B172" s="10" t="n">
        <v>168</v>
      </c>
      <c r="C172" s="10" t="n">
        <v>1168</v>
      </c>
      <c r="D172" s="10" t="inlineStr">
        <is>
          <t>PH0001168</t>
        </is>
      </c>
      <c r="E172" s="26" t="inlineStr">
        <is>
          <t>VIII</t>
        </is>
      </c>
      <c r="F172" s="26" t="inlineStr">
        <is>
          <t>Leyte</t>
        </is>
      </c>
      <c r="G172" s="26" t="inlineStr">
        <is>
          <t>Tacloban City</t>
        </is>
      </c>
      <c r="H172" s="26" t="inlineStr">
        <is>
          <t>Barangay 15</t>
        </is>
      </c>
      <c r="I172" s="27" t="n">
        <v>11.296253</v>
      </c>
      <c r="J172" s="27" t="n">
        <v>124.95908</v>
      </c>
      <c r="K172" s="10" t="inlineStr">
        <is>
          <t>R</t>
        </is>
      </c>
      <c r="L172" s="12" t="n">
        <v>2258</v>
      </c>
      <c r="M172" s="14" t="n">
        <v>3.8</v>
      </c>
      <c r="N172" s="12">
        <f>ROUND(L172/M172, 0)</f>
        <v/>
      </c>
      <c r="O172" s="12">
        <f>ROUND(N172*'Methodology &amp; Assumptions'!$B$5, 0)</f>
        <v/>
      </c>
      <c r="P172" s="10" t="inlineStr">
        <is>
          <t>Single Carrier (Band n50, 100MHz TDD)</t>
        </is>
      </c>
      <c r="Q172" s="13">
        <f>ROUNDUP(O172/'Methodology &amp; Assumptions'!$B$6, 0)</f>
        <v/>
      </c>
      <c r="R172" s="13" t="n">
        <v>1</v>
      </c>
      <c r="S172" s="14" t="n">
        <v>7.87</v>
      </c>
      <c r="T172" s="14" t="n">
        <v>10.81</v>
      </c>
      <c r="U172" s="26">
        <f>IF(X172&gt;='Methodology &amp; Assumptions'!$B$7, "Tier 1 Critical GIDA (Score ≥ 50.0)", IF(X172&gt;='Methodology &amp; Assumptions'!$B$8, "Tier 2 High GIDA (Score 40.0–49.9)", "Tier 3 Moderate GIDA (Score &lt; 40.0)"))</f>
        <v/>
      </c>
      <c r="V172" s="26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W172" s="28" t="n">
        <v>0.222</v>
      </c>
      <c r="X172" s="14" t="n">
        <v>50.55</v>
      </c>
      <c r="Y172" s="14">
        <f>ROUND(MIN(100, (X172/69.91)*100), 2)</f>
        <v/>
      </c>
    </row>
    <row r="173">
      <c r="A173" s="10" t="n">
        <v>2</v>
      </c>
      <c r="B173" s="10" t="n">
        <v>169</v>
      </c>
      <c r="C173" s="10" t="n">
        <v>1169</v>
      </c>
      <c r="D173" s="10" t="inlineStr">
        <is>
          <t>1380606025</t>
        </is>
      </c>
      <c r="E173" s="26" t="inlineStr">
        <is>
          <t>National Capital Region (NCR)</t>
        </is>
      </c>
      <c r="F173" s="26" t="inlineStr">
        <is>
          <t>First District (Not a Province)</t>
        </is>
      </c>
      <c r="G173" s="26" t="inlineStr">
        <is>
          <t>City of Manila</t>
        </is>
      </c>
      <c r="H173" s="26" t="inlineStr">
        <is>
          <t>Barangay 419</t>
        </is>
      </c>
      <c r="I173" s="27" t="n">
        <v>12.658732</v>
      </c>
      <c r="J173" s="27" t="n">
        <v>121.702531</v>
      </c>
      <c r="K173" s="10" t="inlineStr">
        <is>
          <t>U</t>
        </is>
      </c>
      <c r="L173" s="12" t="n">
        <v>1748</v>
      </c>
      <c r="M173" s="14" t="n">
        <v>3.9</v>
      </c>
      <c r="N173" s="12">
        <f>ROUND(L173/M173, 0)</f>
        <v/>
      </c>
      <c r="O173" s="12">
        <f>ROUND(N173*'Methodology &amp; Assumptions'!$B$5, 0)</f>
        <v/>
      </c>
      <c r="P173" s="10" t="inlineStr">
        <is>
          <t>Single Carrier (Band n50, 100MHz TDD)</t>
        </is>
      </c>
      <c r="Q173" s="13">
        <f>ROUNDUP(O173/'Methodology &amp; Assumptions'!$B$6, 0)</f>
        <v/>
      </c>
      <c r="R173" s="13" t="n">
        <v>1</v>
      </c>
      <c r="S173" s="14" t="n">
        <v>17.46</v>
      </c>
      <c r="T173" s="14" t="n">
        <v>16.37</v>
      </c>
      <c r="U173" s="26">
        <f>IF(X173&gt;='Methodology &amp; Assumptions'!$B$7, "Tier 1 Critical GIDA (Score ≥ 50.0)", IF(X173&gt;='Methodology &amp; Assumptions'!$B$8, "Tier 2 High GIDA (Score 40.0–49.9)", "Tier 3 Moderate GIDA (Score &lt; 40.0)"))</f>
        <v/>
      </c>
      <c r="V173" s="26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W173" s="28" t="n">
        <v>0.109</v>
      </c>
      <c r="X173" s="14" t="n">
        <v>50.54</v>
      </c>
      <c r="Y173" s="14">
        <f>ROUND(MIN(100, (X173/69.91)*100), 2)</f>
        <v/>
      </c>
    </row>
    <row r="174">
      <c r="A174" s="10" t="n">
        <v>2</v>
      </c>
      <c r="B174" s="10" t="n">
        <v>170</v>
      </c>
      <c r="C174" s="10" t="n">
        <v>1170</v>
      </c>
      <c r="D174" s="10" t="inlineStr">
        <is>
          <t>0802619005</t>
        </is>
      </c>
      <c r="E174" s="26" t="inlineStr">
        <is>
          <t>Region VIII (Eastern Visayas)</t>
        </is>
      </c>
      <c r="F174" s="26" t="inlineStr">
        <is>
          <t>Eastern Samar</t>
        </is>
      </c>
      <c r="G174" s="26" t="inlineStr">
        <is>
          <t>Salcedo</t>
        </is>
      </c>
      <c r="H174" s="26" t="inlineStr">
        <is>
          <t>Balud</t>
        </is>
      </c>
      <c r="I174" s="27" t="n">
        <v>11.113499</v>
      </c>
      <c r="J174" s="27" t="n">
        <v>125.679659</v>
      </c>
      <c r="K174" s="10" t="inlineStr">
        <is>
          <t>R</t>
        </is>
      </c>
      <c r="L174" s="12" t="n">
        <v>336</v>
      </c>
      <c r="M174" s="14" t="n">
        <v>3.9</v>
      </c>
      <c r="N174" s="12">
        <f>ROUND(L174/M174, 0)</f>
        <v/>
      </c>
      <c r="O174" s="12">
        <f>ROUND(N174*'Methodology &amp; Assumptions'!$B$5, 0)</f>
        <v/>
      </c>
      <c r="P174" s="10" t="inlineStr">
        <is>
          <t>Single Carrier (Band n50, 100MHz TDD)</t>
        </is>
      </c>
      <c r="Q174" s="13">
        <f>ROUNDUP(O174/'Methodology &amp; Assumptions'!$B$6, 0)</f>
        <v/>
      </c>
      <c r="R174" s="13" t="n">
        <v>1</v>
      </c>
      <c r="S174" s="14" t="n">
        <v>71.98999999999999</v>
      </c>
      <c r="T174" s="14" t="n">
        <v>70.42</v>
      </c>
      <c r="U174" s="26">
        <f>IF(X174&gt;='Methodology &amp; Assumptions'!$B$7, "Tier 1 Critical GIDA (Score ≥ 50.0)", IF(X174&gt;='Methodology &amp; Assumptions'!$B$8, "Tier 2 High GIDA (Score 40.0–49.9)", "Tier 3 Moderate GIDA (Score &lt; 40.0)"))</f>
        <v/>
      </c>
      <c r="V174" s="26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W174" s="28" t="n">
        <v>0.237</v>
      </c>
      <c r="X174" s="14" t="n">
        <v>50.54</v>
      </c>
      <c r="Y174" s="14">
        <f>ROUND(MIN(100, (X174/69.91)*100), 2)</f>
        <v/>
      </c>
    </row>
    <row r="175">
      <c r="A175" s="10" t="n">
        <v>2</v>
      </c>
      <c r="B175" s="10" t="n">
        <v>171</v>
      </c>
      <c r="C175" s="10" t="n">
        <v>1171</v>
      </c>
      <c r="D175" s="10" t="inlineStr">
        <is>
          <t>0504106032</t>
        </is>
      </c>
      <c r="E175" s="26" t="inlineStr">
        <is>
          <t>Region V (Bicol Region)</t>
        </is>
      </c>
      <c r="F175" s="26" t="inlineStr">
        <is>
          <t>Masbate</t>
        </is>
      </c>
      <c r="G175" s="26" t="inlineStr">
        <is>
          <t>Cawayan</t>
        </is>
      </c>
      <c r="H175" s="26" t="inlineStr">
        <is>
          <t>Lague-lague</t>
        </is>
      </c>
      <c r="I175" s="27" t="n">
        <v>12.082872</v>
      </c>
      <c r="J175" s="27" t="n">
        <v>123.73651</v>
      </c>
      <c r="K175" s="10" t="inlineStr">
        <is>
          <t>R</t>
        </is>
      </c>
      <c r="L175" s="12" t="n">
        <v>1042</v>
      </c>
      <c r="M175" s="14" t="n">
        <v>4.1</v>
      </c>
      <c r="N175" s="12">
        <f>ROUND(L175/M175, 0)</f>
        <v/>
      </c>
      <c r="O175" s="12">
        <f>ROUND(N175*'Methodology &amp; Assumptions'!$B$5, 0)</f>
        <v/>
      </c>
      <c r="P175" s="10" t="inlineStr">
        <is>
          <t>Single Carrier (Band n50, 100MHz TDD)</t>
        </is>
      </c>
      <c r="Q175" s="13">
        <f>ROUNDUP(O175/'Methodology &amp; Assumptions'!$B$6, 0)</f>
        <v/>
      </c>
      <c r="R175" s="13" t="n">
        <v>1</v>
      </c>
      <c r="S175" s="14" t="n">
        <v>17.33</v>
      </c>
      <c r="T175" s="14" t="n">
        <v>28.95</v>
      </c>
      <c r="U175" s="26">
        <f>IF(X175&gt;='Methodology &amp; Assumptions'!$B$7, "Tier 1 Critical GIDA (Score ≥ 50.0)", IF(X175&gt;='Methodology &amp; Assumptions'!$B$8, "Tier 2 High GIDA (Score 40.0–49.9)", "Tier 3 Moderate GIDA (Score &lt; 40.0)"))</f>
        <v/>
      </c>
      <c r="V175" s="26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W175" s="28" t="n">
        <v>0.237</v>
      </c>
      <c r="X175" s="14" t="n">
        <v>50.54</v>
      </c>
      <c r="Y175" s="14">
        <f>ROUND(MIN(100, (X175/69.91)*100), 2)</f>
        <v/>
      </c>
    </row>
    <row r="176">
      <c r="A176" s="10" t="n">
        <v>2</v>
      </c>
      <c r="B176" s="10" t="n">
        <v>172</v>
      </c>
      <c r="C176" s="10" t="n">
        <v>1172</v>
      </c>
      <c r="D176" s="10" t="inlineStr">
        <is>
          <t>1102503002</t>
        </is>
      </c>
      <c r="E176" s="26" t="inlineStr">
        <is>
          <t>Region XI (Davao Region)</t>
        </is>
      </c>
      <c r="F176" s="26" t="inlineStr">
        <is>
          <t>Davao Oriental</t>
        </is>
      </c>
      <c r="G176" s="26" t="inlineStr">
        <is>
          <t>Boston</t>
        </is>
      </c>
      <c r="H176" s="26" t="inlineStr">
        <is>
          <t>Caatihan</t>
        </is>
      </c>
      <c r="I176" s="27" t="n">
        <v>7.894554</v>
      </c>
      <c r="J176" s="27" t="n">
        <v>126.287318</v>
      </c>
      <c r="K176" s="10" t="inlineStr">
        <is>
          <t>R</t>
        </is>
      </c>
      <c r="L176" s="12" t="n">
        <v>1654</v>
      </c>
      <c r="M176" s="14" t="n">
        <v>3.6</v>
      </c>
      <c r="N176" s="12">
        <f>ROUND(L176/M176, 0)</f>
        <v/>
      </c>
      <c r="O176" s="12">
        <f>ROUND(N176*'Methodology &amp; Assumptions'!$B$5, 0)</f>
        <v/>
      </c>
      <c r="P176" s="10" t="inlineStr">
        <is>
          <t>Single Carrier (Band n50, 100MHz TDD)</t>
        </is>
      </c>
      <c r="Q176" s="13">
        <f>ROUNDUP(O176/'Methodology &amp; Assumptions'!$B$6, 0)</f>
        <v/>
      </c>
      <c r="R176" s="13" t="n">
        <v>1</v>
      </c>
      <c r="S176" s="14" t="n">
        <v>26.53</v>
      </c>
      <c r="T176" s="14" t="n">
        <v>22.85</v>
      </c>
      <c r="U176" s="26">
        <f>IF(X176&gt;='Methodology &amp; Assumptions'!$B$7, "Tier 1 Critical GIDA (Score ≥ 50.0)", IF(X176&gt;='Methodology &amp; Assumptions'!$B$8, "Tier 2 High GIDA (Score 40.0–49.9)", "Tier 3 Moderate GIDA (Score &lt; 40.0)"))</f>
        <v/>
      </c>
      <c r="V176" s="26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W176" s="28" t="n">
        <v>0.174</v>
      </c>
      <c r="X176" s="14" t="n">
        <v>50.54</v>
      </c>
      <c r="Y176" s="14">
        <f>ROUND(MIN(100, (X176/69.91)*100), 2)</f>
        <v/>
      </c>
    </row>
    <row r="177">
      <c r="A177" s="10" t="n">
        <v>2</v>
      </c>
      <c r="B177" s="10" t="n">
        <v>173</v>
      </c>
      <c r="C177" s="10" t="n">
        <v>1173</v>
      </c>
      <c r="D177" s="10" t="inlineStr">
        <is>
          <t>1380601071</t>
        </is>
      </c>
      <c r="E177" s="26" t="inlineStr">
        <is>
          <t>National Capital Region (NCR)</t>
        </is>
      </c>
      <c r="F177" s="26" t="inlineStr">
        <is>
          <t>First District (Not a Province)</t>
        </is>
      </c>
      <c r="G177" s="26" t="inlineStr">
        <is>
          <t>City of Manila</t>
        </is>
      </c>
      <c r="H177" s="26" t="inlineStr">
        <is>
          <t>Barangay 71</t>
        </is>
      </c>
      <c r="I177" s="27" t="n">
        <v>13.090907</v>
      </c>
      <c r="J177" s="27" t="n">
        <v>121.672971</v>
      </c>
      <c r="K177" s="10" t="inlineStr">
        <is>
          <t>U</t>
        </is>
      </c>
      <c r="L177" s="12" t="n">
        <v>3521</v>
      </c>
      <c r="M177" s="14" t="n">
        <v>3.9</v>
      </c>
      <c r="N177" s="12">
        <f>ROUND(L177/M177, 0)</f>
        <v/>
      </c>
      <c r="O177" s="12">
        <f>ROUND(N177*'Methodology &amp; Assumptions'!$B$5, 0)</f>
        <v/>
      </c>
      <c r="P177" s="10" t="inlineStr">
        <is>
          <t>Single Carrier (Band n50, 100MHz TDD)</t>
        </is>
      </c>
      <c r="Q177" s="13">
        <f>ROUNDUP(O177/'Methodology &amp; Assumptions'!$B$6, 0)</f>
        <v/>
      </c>
      <c r="R177" s="13" t="n">
        <v>1</v>
      </c>
      <c r="S177" s="14" t="n">
        <v>18.25</v>
      </c>
      <c r="T177" s="14" t="n">
        <v>21.73</v>
      </c>
      <c r="U177" s="26">
        <f>IF(X177&gt;='Methodology &amp; Assumptions'!$B$7, "Tier 1 Critical GIDA (Score ≥ 50.0)", IF(X177&gt;='Methodology &amp; Assumptions'!$B$8, "Tier 2 High GIDA (Score 40.0–49.9)", "Tier 3 Moderate GIDA (Score &lt; 40.0)"))</f>
        <v/>
      </c>
      <c r="V177" s="26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W177" s="28" t="n">
        <v>0.109</v>
      </c>
      <c r="X177" s="14" t="n">
        <v>50.53</v>
      </c>
      <c r="Y177" s="14">
        <f>ROUND(MIN(100, (X177/69.91)*100), 2)</f>
        <v/>
      </c>
    </row>
    <row r="178">
      <c r="A178" s="10" t="n">
        <v>2</v>
      </c>
      <c r="B178" s="10" t="n">
        <v>174</v>
      </c>
      <c r="C178" s="10" t="n">
        <v>1174</v>
      </c>
      <c r="D178" s="10" t="inlineStr">
        <is>
          <t>1380601070</t>
        </is>
      </c>
      <c r="E178" s="26" t="inlineStr">
        <is>
          <t>National Capital Region (NCR)</t>
        </is>
      </c>
      <c r="F178" s="26" t="inlineStr">
        <is>
          <t>First District (Not a Province)</t>
        </is>
      </c>
      <c r="G178" s="26" t="inlineStr">
        <is>
          <t>City of Manila</t>
        </is>
      </c>
      <c r="H178" s="26" t="inlineStr">
        <is>
          <t>Barangay 70</t>
        </is>
      </c>
      <c r="I178" s="27" t="n">
        <v>12.790002</v>
      </c>
      <c r="J178" s="27" t="n">
        <v>121.996138</v>
      </c>
      <c r="K178" s="10" t="inlineStr">
        <is>
          <t>U</t>
        </is>
      </c>
      <c r="L178" s="12" t="n">
        <v>2415</v>
      </c>
      <c r="M178" s="14" t="n">
        <v>3.9</v>
      </c>
      <c r="N178" s="12">
        <f>ROUND(L178/M178, 0)</f>
        <v/>
      </c>
      <c r="O178" s="12">
        <f>ROUND(N178*'Methodology &amp; Assumptions'!$B$5, 0)</f>
        <v/>
      </c>
      <c r="P178" s="10" t="inlineStr">
        <is>
          <t>Single Carrier (Band n50, 100MHz TDD)</t>
        </is>
      </c>
      <c r="Q178" s="13">
        <f>ROUNDUP(O178/'Methodology &amp; Assumptions'!$B$6, 0)</f>
        <v/>
      </c>
      <c r="R178" s="13" t="n">
        <v>1</v>
      </c>
      <c r="S178" s="14" t="n">
        <v>52.46</v>
      </c>
      <c r="T178" s="14" t="n">
        <v>50.95</v>
      </c>
      <c r="U178" s="26">
        <f>IF(X178&gt;='Methodology &amp; Assumptions'!$B$7, "Tier 1 Critical GIDA (Score ≥ 50.0)", IF(X178&gt;='Methodology &amp; Assumptions'!$B$8, "Tier 2 High GIDA (Score 40.0–49.9)", "Tier 3 Moderate GIDA (Score &lt; 40.0)"))</f>
        <v/>
      </c>
      <c r="V178" s="26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W178" s="28" t="n">
        <v>0.109</v>
      </c>
      <c r="X178" s="14" t="n">
        <v>50.53</v>
      </c>
      <c r="Y178" s="14">
        <f>ROUND(MIN(100, (X178/69.91)*100), 2)</f>
        <v/>
      </c>
    </row>
    <row r="179">
      <c r="A179" s="10" t="n">
        <v>2</v>
      </c>
      <c r="B179" s="10" t="n">
        <v>175</v>
      </c>
      <c r="C179" s="10" t="n">
        <v>1175</v>
      </c>
      <c r="D179" s="10" t="inlineStr">
        <is>
          <t>PH0001175</t>
        </is>
      </c>
      <c r="E179" s="26" t="inlineStr">
        <is>
          <t>XI</t>
        </is>
      </c>
      <c r="F179" s="26" t="inlineStr">
        <is>
          <t>Davao Del Sur</t>
        </is>
      </c>
      <c r="G179" s="26" t="inlineStr">
        <is>
          <t>Davao City</t>
        </is>
      </c>
      <c r="H179" s="26" t="inlineStr">
        <is>
          <t>Barangay 24-C (Pob.)</t>
        </is>
      </c>
      <c r="I179" s="27" t="n">
        <v>7.182988</v>
      </c>
      <c r="J179" s="27" t="n">
        <v>125.473346</v>
      </c>
      <c r="K179" s="10" t="inlineStr">
        <is>
          <t>R</t>
        </is>
      </c>
      <c r="L179" s="12" t="n">
        <v>2280</v>
      </c>
      <c r="M179" s="14" t="n">
        <v>3.4</v>
      </c>
      <c r="N179" s="12">
        <f>ROUND(L179/M179, 0)</f>
        <v/>
      </c>
      <c r="O179" s="12">
        <f>ROUND(N179*'Methodology &amp; Assumptions'!$B$5, 0)</f>
        <v/>
      </c>
      <c r="P179" s="10" t="inlineStr">
        <is>
          <t>Single Carrier (Band n50, 100MHz TDD)</t>
        </is>
      </c>
      <c r="Q179" s="13">
        <f>ROUNDUP(O179/'Methodology &amp; Assumptions'!$B$6, 0)</f>
        <v/>
      </c>
      <c r="R179" s="13" t="n">
        <v>1</v>
      </c>
      <c r="S179" s="14" t="n">
        <v>2.07</v>
      </c>
      <c r="T179" s="14" t="n">
        <v>0.95</v>
      </c>
      <c r="U179" s="26">
        <f>IF(X179&gt;='Methodology &amp; Assumptions'!$B$7, "Tier 1 Critical GIDA (Score ≥ 50.0)", IF(X179&gt;='Methodology &amp; Assumptions'!$B$8, "Tier 2 High GIDA (Score 40.0–49.9)", "Tier 3 Moderate GIDA (Score &lt; 40.0)"))</f>
        <v/>
      </c>
      <c r="V179" s="26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W179" s="28" t="n">
        <v>0.119</v>
      </c>
      <c r="X179" s="14" t="n">
        <v>50.53</v>
      </c>
      <c r="Y179" s="14">
        <f>ROUND(MIN(100, (X179/69.91)*100), 2)</f>
        <v/>
      </c>
    </row>
    <row r="180">
      <c r="A180" s="10" t="n">
        <v>2</v>
      </c>
      <c r="B180" s="10" t="n">
        <v>176</v>
      </c>
      <c r="C180" s="10" t="n">
        <v>1176</v>
      </c>
      <c r="D180" s="10" t="inlineStr">
        <is>
          <t>0802610002</t>
        </is>
      </c>
      <c r="E180" s="26" t="inlineStr">
        <is>
          <t>Region VIII (Eastern Visayas)</t>
        </is>
      </c>
      <c r="F180" s="26" t="inlineStr">
        <is>
          <t>Eastern Samar</t>
        </is>
      </c>
      <c r="G180" s="26" t="inlineStr">
        <is>
          <t>Hernani</t>
        </is>
      </c>
      <c r="H180" s="26" t="inlineStr">
        <is>
          <t>Cacatmonan</t>
        </is>
      </c>
      <c r="I180" s="27" t="n">
        <v>11.310135</v>
      </c>
      <c r="J180" s="27" t="n">
        <v>125.574587</v>
      </c>
      <c r="K180" s="10" t="inlineStr">
        <is>
          <t>R</t>
        </is>
      </c>
      <c r="L180" s="12" t="n">
        <v>102</v>
      </c>
      <c r="M180" s="14" t="n">
        <v>3.9</v>
      </c>
      <c r="N180" s="12">
        <f>ROUND(L180/M180, 0)</f>
        <v/>
      </c>
      <c r="O180" s="12">
        <f>ROUND(N180*'Methodology &amp; Assumptions'!$B$5, 0)</f>
        <v/>
      </c>
      <c r="P180" s="10" t="inlineStr">
        <is>
          <t>Single Carrier (Band n50, 100MHz TDD)</t>
        </is>
      </c>
      <c r="Q180" s="13">
        <f>ROUNDUP(O180/'Methodology &amp; Assumptions'!$B$6, 0)</f>
        <v/>
      </c>
      <c r="R180" s="13" t="n">
        <v>1</v>
      </c>
      <c r="S180" s="14" t="n">
        <v>62.58</v>
      </c>
      <c r="T180" s="14" t="n">
        <v>61.58</v>
      </c>
      <c r="U180" s="26">
        <f>IF(X180&gt;='Methodology &amp; Assumptions'!$B$7, "Tier 1 Critical GIDA (Score ≥ 50.0)", IF(X180&gt;='Methodology &amp; Assumptions'!$B$8, "Tier 2 High GIDA (Score 40.0–49.9)", "Tier 3 Moderate GIDA (Score &lt; 40.0)"))</f>
        <v/>
      </c>
      <c r="V180" s="26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W180" s="28" t="n">
        <v>0.237</v>
      </c>
      <c r="X180" s="14" t="n">
        <v>50.53</v>
      </c>
      <c r="Y180" s="14">
        <f>ROUND(MIN(100, (X180/69.91)*100), 2)</f>
        <v/>
      </c>
    </row>
    <row r="181">
      <c r="A181" s="10" t="n">
        <v>2</v>
      </c>
      <c r="B181" s="10" t="n">
        <v>177</v>
      </c>
      <c r="C181" s="10" t="n">
        <v>1177</v>
      </c>
      <c r="D181" s="10" t="inlineStr">
        <is>
          <t>0402104009</t>
        </is>
      </c>
      <c r="E181" s="26" t="inlineStr">
        <is>
          <t>Region IV-A (CALABARZON)</t>
        </is>
      </c>
      <c r="F181" s="26" t="inlineStr">
        <is>
          <t>Cavite</t>
        </is>
      </c>
      <c r="G181" s="26" t="inlineStr">
        <is>
          <t>Carmona</t>
        </is>
      </c>
      <c r="H181" s="26" t="inlineStr">
        <is>
          <t>Mabuhay</t>
        </is>
      </c>
      <c r="I181" s="27" t="n">
        <v>14.310291</v>
      </c>
      <c r="J181" s="27" t="n">
        <v>121.050489</v>
      </c>
      <c r="K181" s="10" t="inlineStr">
        <is>
          <t>U</t>
        </is>
      </c>
      <c r="L181" s="12" t="n">
        <v>13384</v>
      </c>
      <c r="M181" s="14" t="n">
        <v>3.4</v>
      </c>
      <c r="N181" s="12">
        <f>ROUND(L181/M181, 0)</f>
        <v/>
      </c>
      <c r="O181" s="12">
        <f>ROUND(N181*'Methodology &amp; Assumptions'!$B$5, 0)</f>
        <v/>
      </c>
      <c r="P181" s="10" t="inlineStr">
        <is>
          <t>Single Carrier (Band n50, 100MHz TDD)</t>
        </is>
      </c>
      <c r="Q181" s="13">
        <f>ROUNDUP(O181/'Methodology &amp; Assumptions'!$B$6, 0)</f>
        <v/>
      </c>
      <c r="R181" s="13" t="n">
        <v>1</v>
      </c>
      <c r="S181" s="14" t="n">
        <v>0.08</v>
      </c>
      <c r="T181" s="14" t="n">
        <v>0.09</v>
      </c>
      <c r="U181" s="26">
        <f>IF(X181&gt;='Methodology &amp; Assumptions'!$B$7, "Tier 1 Critical GIDA (Score ≥ 50.0)", IF(X181&gt;='Methodology &amp; Assumptions'!$B$8, "Tier 2 High GIDA (Score 40.0–49.9)", "Tier 3 Moderate GIDA (Score &lt; 40.0)"))</f>
        <v/>
      </c>
      <c r="V181" s="26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W181" s="28" t="n">
        <v>0.07200000000000001</v>
      </c>
      <c r="X181" s="14" t="n">
        <v>50.53</v>
      </c>
      <c r="Y181" s="14">
        <f>ROUND(MIN(100, (X181/69.91)*100), 2)</f>
        <v/>
      </c>
    </row>
    <row r="182">
      <c r="A182" s="10" t="n">
        <v>2</v>
      </c>
      <c r="B182" s="10" t="n">
        <v>178</v>
      </c>
      <c r="C182" s="10" t="n">
        <v>1178</v>
      </c>
      <c r="D182" s="10" t="inlineStr">
        <is>
          <t>PH0001178</t>
        </is>
      </c>
      <c r="E182" s="26" t="inlineStr">
        <is>
          <t>IV-A</t>
        </is>
      </c>
      <c r="F182" s="26" t="inlineStr">
        <is>
          <t>Cavite</t>
        </is>
      </c>
      <c r="G182" s="26" t="inlineStr">
        <is>
          <t>Imus City</t>
        </is>
      </c>
      <c r="H182" s="26" t="inlineStr">
        <is>
          <t>Palico IV</t>
        </is>
      </c>
      <c r="I182" s="27" t="n">
        <v>14.290359</v>
      </c>
      <c r="J182" s="27" t="n">
        <v>120.894592</v>
      </c>
      <c r="K182" s="10" t="inlineStr">
        <is>
          <t>R</t>
        </is>
      </c>
      <c r="L182" s="12" t="n">
        <v>2316</v>
      </c>
      <c r="M182" s="14" t="n">
        <v>3.4</v>
      </c>
      <c r="N182" s="12">
        <f>ROUND(L182/M182, 0)</f>
        <v/>
      </c>
      <c r="O182" s="12">
        <f>ROUND(N182*'Methodology &amp; Assumptions'!$B$5, 0)</f>
        <v/>
      </c>
      <c r="P182" s="10" t="inlineStr">
        <is>
          <t>Single Carrier (Band n50, 100MHz TDD)</t>
        </is>
      </c>
      <c r="Q182" s="13">
        <f>ROUNDUP(O182/'Methodology &amp; Assumptions'!$B$6, 0)</f>
        <v/>
      </c>
      <c r="R182" s="13" t="n">
        <v>1</v>
      </c>
      <c r="S182" s="14" t="n">
        <v>1.71</v>
      </c>
      <c r="T182" s="14" t="n">
        <v>0.38</v>
      </c>
      <c r="U182" s="26">
        <f>IF(X182&gt;='Methodology &amp; Assumptions'!$B$7, "Tier 1 Critical GIDA (Score ≥ 50.0)", IF(X182&gt;='Methodology &amp; Assumptions'!$B$8, "Tier 2 High GIDA (Score 40.0–49.9)", "Tier 3 Moderate GIDA (Score &lt; 40.0)"))</f>
        <v/>
      </c>
      <c r="V182" s="26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W182" s="28" t="n">
        <v>0.07200000000000001</v>
      </c>
      <c r="X182" s="14" t="n">
        <v>50.52</v>
      </c>
      <c r="Y182" s="14">
        <f>ROUND(MIN(100, (X182/69.91)*100), 2)</f>
        <v/>
      </c>
    </row>
    <row r="183">
      <c r="A183" s="10" t="n">
        <v>2</v>
      </c>
      <c r="B183" s="10" t="n">
        <v>179</v>
      </c>
      <c r="C183" s="10" t="n">
        <v>1179</v>
      </c>
      <c r="D183" s="10" t="inlineStr">
        <is>
          <t>0506203019</t>
        </is>
      </c>
      <c r="E183" s="26" t="inlineStr">
        <is>
          <t>Region V (Bicol Region)</t>
        </is>
      </c>
      <c r="F183" s="26" t="inlineStr">
        <is>
          <t>Sorsogon</t>
        </is>
      </c>
      <c r="G183" s="26" t="inlineStr">
        <is>
          <t>Bulan</t>
        </is>
      </c>
      <c r="H183" s="26" t="inlineStr">
        <is>
          <t>Daganas</t>
        </is>
      </c>
      <c r="I183" s="27" t="n">
        <v>12.706366</v>
      </c>
      <c r="J183" s="27" t="n">
        <v>123.946781</v>
      </c>
      <c r="K183" s="10" t="inlineStr">
        <is>
          <t>R</t>
        </is>
      </c>
      <c r="L183" s="12" t="n">
        <v>431</v>
      </c>
      <c r="M183" s="14" t="n">
        <v>4</v>
      </c>
      <c r="N183" s="12">
        <f>ROUND(L183/M183, 0)</f>
        <v/>
      </c>
      <c r="O183" s="12">
        <f>ROUND(N183*'Methodology &amp; Assumptions'!$B$5, 0)</f>
        <v/>
      </c>
      <c r="P183" s="10" t="inlineStr">
        <is>
          <t>Single Carrier (Band n50, 100MHz TDD)</t>
        </is>
      </c>
      <c r="Q183" s="13">
        <f>ROUNDUP(O183/'Methodology &amp; Assumptions'!$B$6, 0)</f>
        <v/>
      </c>
      <c r="R183" s="13" t="n">
        <v>1</v>
      </c>
      <c r="S183" s="14" t="n">
        <v>8.99</v>
      </c>
      <c r="T183" s="14" t="n">
        <v>4.54</v>
      </c>
      <c r="U183" s="26">
        <f>IF(X183&gt;='Methodology &amp; Assumptions'!$B$7, "Tier 1 Critical GIDA (Score ≥ 50.0)", IF(X183&gt;='Methodology &amp; Assumptions'!$B$8, "Tier 2 High GIDA (Score 40.0–49.9)", "Tier 3 Moderate GIDA (Score &lt; 40.0)"))</f>
        <v/>
      </c>
      <c r="V183" s="26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W183" s="28" t="n">
        <v>0.237</v>
      </c>
      <c r="X183" s="14" t="n">
        <v>50.52</v>
      </c>
      <c r="Y183" s="14">
        <f>ROUND(MIN(100, (X183/69.91)*100), 2)</f>
        <v/>
      </c>
    </row>
    <row r="184">
      <c r="A184" s="10" t="n">
        <v>2</v>
      </c>
      <c r="B184" s="10" t="n">
        <v>180</v>
      </c>
      <c r="C184" s="10" t="n">
        <v>1180</v>
      </c>
      <c r="D184" s="10" t="inlineStr">
        <is>
          <t>0603002035</t>
        </is>
      </c>
      <c r="E184" s="26" t="inlineStr">
        <is>
          <t>Region VI (Western Visayas)</t>
        </is>
      </c>
      <c r="F184" s="26" t="inlineStr">
        <is>
          <t>Iloilo</t>
        </is>
      </c>
      <c r="G184" s="26" t="inlineStr">
        <is>
          <t>Alimodian</t>
        </is>
      </c>
      <c r="H184" s="26" t="inlineStr">
        <is>
          <t>Manasa</t>
        </is>
      </c>
      <c r="I184" s="27" t="n">
        <v>10.769966</v>
      </c>
      <c r="J184" s="27" t="n">
        <v>122.365691</v>
      </c>
      <c r="K184" s="10" t="inlineStr">
        <is>
          <t>R</t>
        </is>
      </c>
      <c r="L184" s="12" t="n">
        <v>162</v>
      </c>
      <c r="M184" s="14" t="n">
        <v>3.8</v>
      </c>
      <c r="N184" s="12">
        <f>ROUND(L184/M184, 0)</f>
        <v/>
      </c>
      <c r="O184" s="12">
        <f>ROUND(N184*'Methodology &amp; Assumptions'!$B$5, 0)</f>
        <v/>
      </c>
      <c r="P184" s="10" t="inlineStr">
        <is>
          <t>Single Carrier (Band n50, 100MHz TDD)</t>
        </is>
      </c>
      <c r="Q184" s="13">
        <f>ROUNDUP(O184/'Methodology &amp; Assumptions'!$B$6, 0)</f>
        <v/>
      </c>
      <c r="R184" s="13" t="n">
        <v>1</v>
      </c>
      <c r="S184" s="14" t="n">
        <v>10.23</v>
      </c>
      <c r="T184" s="14" t="n">
        <v>4.21</v>
      </c>
      <c r="U184" s="26">
        <f>IF(X184&gt;='Methodology &amp; Assumptions'!$B$7, "Tier 1 Critical GIDA (Score ≥ 50.0)", IF(X184&gt;='Methodology &amp; Assumptions'!$B$8, "Tier 2 High GIDA (Score 40.0–49.9)", "Tier 3 Moderate GIDA (Score &lt; 40.0)"))</f>
        <v/>
      </c>
      <c r="V184" s="26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W184" s="28" t="n">
        <v>0.237</v>
      </c>
      <c r="X184" s="14" t="n">
        <v>50.52</v>
      </c>
      <c r="Y184" s="14">
        <f>ROUND(MIN(100, (X184/69.91)*100), 2)</f>
        <v/>
      </c>
    </row>
    <row r="185">
      <c r="A185" s="10" t="n">
        <v>2</v>
      </c>
      <c r="B185" s="10" t="n">
        <v>181</v>
      </c>
      <c r="C185" s="10" t="n">
        <v>1181</v>
      </c>
      <c r="D185" s="10" t="inlineStr">
        <is>
          <t>1908816007</t>
        </is>
      </c>
      <c r="E185" s="26" t="inlineStr">
        <is>
          <t>Bangsamoro Autonomous Region In Muslim Mindanao (BARMM)</t>
        </is>
      </c>
      <c r="F185" s="26" t="inlineStr">
        <is>
          <t>Maguindanao del Sur</t>
        </is>
      </c>
      <c r="G185" s="26" t="inlineStr">
        <is>
          <t>Pagalungan</t>
        </is>
      </c>
      <c r="H185" s="26" t="inlineStr">
        <is>
          <t>Kalbugan</t>
        </is>
      </c>
      <c r="I185" s="27" t="n">
        <v>17.254984</v>
      </c>
      <c r="J185" s="27" t="n">
        <v>122.229028</v>
      </c>
      <c r="K185" s="10" t="inlineStr">
        <is>
          <t>R</t>
        </is>
      </c>
      <c r="L185" s="12" t="n">
        <v>4943</v>
      </c>
      <c r="M185" s="14" t="n">
        <v>4.7</v>
      </c>
      <c r="N185" s="12">
        <f>ROUND(L185/M185, 0)</f>
        <v/>
      </c>
      <c r="O185" s="12">
        <f>ROUND(N185*'Methodology &amp; Assumptions'!$B$5, 0)</f>
        <v/>
      </c>
      <c r="P185" s="10" t="inlineStr">
        <is>
          <t>Single Carrier (Band n50, 100MHz TDD)</t>
        </is>
      </c>
      <c r="Q185" s="13">
        <f>ROUNDUP(O185/'Methodology &amp; Assumptions'!$B$6, 0)</f>
        <v/>
      </c>
      <c r="R185" s="13" t="n">
        <v>1</v>
      </c>
      <c r="S185" s="14" t="n">
        <v>29.44</v>
      </c>
      <c r="T185" s="14" t="n">
        <v>34.32</v>
      </c>
      <c r="U185" s="26">
        <f>IF(X185&gt;='Methodology &amp; Assumptions'!$B$7, "Tier 1 Critical GIDA (Score ≥ 50.0)", IF(X185&gt;='Methodology &amp; Assumptions'!$B$8, "Tier 2 High GIDA (Score 40.0–49.9)", "Tier 3 Moderate GIDA (Score &lt; 40.0)"))</f>
        <v/>
      </c>
      <c r="V185" s="26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W185" s="28" t="n">
        <v>0.11</v>
      </c>
      <c r="X185" s="14" t="n">
        <v>50.51</v>
      </c>
      <c r="Y185" s="14">
        <f>ROUND(MIN(100, (X185/69.91)*100), 2)</f>
        <v/>
      </c>
    </row>
    <row r="186">
      <c r="A186" s="10" t="n">
        <v>2</v>
      </c>
      <c r="B186" s="10" t="n">
        <v>182</v>
      </c>
      <c r="C186" s="10" t="n">
        <v>1182</v>
      </c>
      <c r="D186" s="10" t="inlineStr">
        <is>
          <t>PH0001182</t>
        </is>
      </c>
      <c r="E186" s="26" t="inlineStr">
        <is>
          <t>XI</t>
        </is>
      </c>
      <c r="F186" s="26" t="inlineStr">
        <is>
          <t>Davao Del Sur</t>
        </is>
      </c>
      <c r="G186" s="26" t="inlineStr">
        <is>
          <t>Davao City</t>
        </is>
      </c>
      <c r="H186" s="26" t="inlineStr">
        <is>
          <t>Barangay 36-D (Pob.)</t>
        </is>
      </c>
      <c r="I186" s="27" t="n">
        <v>7.200576</v>
      </c>
      <c r="J186" s="27" t="n">
        <v>125.469317</v>
      </c>
      <c r="K186" s="10" t="inlineStr">
        <is>
          <t>R</t>
        </is>
      </c>
      <c r="L186" s="12" t="n">
        <v>2280</v>
      </c>
      <c r="M186" s="14" t="n">
        <v>3.4</v>
      </c>
      <c r="N186" s="12">
        <f>ROUND(L186/M186, 0)</f>
        <v/>
      </c>
      <c r="O186" s="12">
        <f>ROUND(N186*'Methodology &amp; Assumptions'!$B$5, 0)</f>
        <v/>
      </c>
      <c r="P186" s="10" t="inlineStr">
        <is>
          <t>Single Carrier (Band n50, 100MHz TDD)</t>
        </is>
      </c>
      <c r="Q186" s="13">
        <f>ROUNDUP(O186/'Methodology &amp; Assumptions'!$B$6, 0)</f>
        <v/>
      </c>
      <c r="R186" s="13" t="n">
        <v>1</v>
      </c>
      <c r="S186" s="14" t="n">
        <v>2.27</v>
      </c>
      <c r="T186" s="14" t="n">
        <v>1.91</v>
      </c>
      <c r="U186" s="26">
        <f>IF(X186&gt;='Methodology &amp; Assumptions'!$B$7, "Tier 1 Critical GIDA (Score ≥ 50.0)", IF(X186&gt;='Methodology &amp; Assumptions'!$B$8, "Tier 2 High GIDA (Score 40.0–49.9)", "Tier 3 Moderate GIDA (Score &lt; 40.0)"))</f>
        <v/>
      </c>
      <c r="V186" s="26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W186" s="28" t="n">
        <v>0.119</v>
      </c>
      <c r="X186" s="14" t="n">
        <v>50.51</v>
      </c>
      <c r="Y186" s="14">
        <f>ROUND(MIN(100, (X186/69.91)*100), 2)</f>
        <v/>
      </c>
    </row>
    <row r="187">
      <c r="A187" s="10" t="n">
        <v>2</v>
      </c>
      <c r="B187" s="10" t="n">
        <v>183</v>
      </c>
      <c r="C187" s="10" t="n">
        <v>1183</v>
      </c>
      <c r="D187" s="10" t="inlineStr">
        <is>
          <t>PH0001183</t>
        </is>
      </c>
      <c r="E187" s="26" t="inlineStr">
        <is>
          <t>XI</t>
        </is>
      </c>
      <c r="F187" s="26" t="inlineStr">
        <is>
          <t>Davao Del Sur</t>
        </is>
      </c>
      <c r="G187" s="26" t="inlineStr">
        <is>
          <t>Davao City</t>
        </is>
      </c>
      <c r="H187" s="26" t="inlineStr">
        <is>
          <t>Barangay 33-D (Pob.)</t>
        </is>
      </c>
      <c r="I187" s="27" t="n">
        <v>7.188821</v>
      </c>
      <c r="J187" s="27" t="n">
        <v>125.486309</v>
      </c>
      <c r="K187" s="10" t="inlineStr">
        <is>
          <t>R</t>
        </is>
      </c>
      <c r="L187" s="12" t="n">
        <v>2280</v>
      </c>
      <c r="M187" s="14" t="n">
        <v>3.4</v>
      </c>
      <c r="N187" s="12">
        <f>ROUND(L187/M187, 0)</f>
        <v/>
      </c>
      <c r="O187" s="12">
        <f>ROUND(N187*'Methodology &amp; Assumptions'!$B$5, 0)</f>
        <v/>
      </c>
      <c r="P187" s="10" t="inlineStr">
        <is>
          <t>Single Carrier (Band n50, 100MHz TDD)</t>
        </is>
      </c>
      <c r="Q187" s="13">
        <f>ROUNDUP(O187/'Methodology &amp; Assumptions'!$B$6, 0)</f>
        <v/>
      </c>
      <c r="R187" s="13" t="n">
        <v>1</v>
      </c>
      <c r="S187" s="14" t="n">
        <v>3.49</v>
      </c>
      <c r="T187" s="14" t="n">
        <v>2.38</v>
      </c>
      <c r="U187" s="26">
        <f>IF(X187&gt;='Methodology &amp; Assumptions'!$B$7, "Tier 1 Critical GIDA (Score ≥ 50.0)", IF(X187&gt;='Methodology &amp; Assumptions'!$B$8, "Tier 2 High GIDA (Score 40.0–49.9)", "Tier 3 Moderate GIDA (Score &lt; 40.0)"))</f>
        <v/>
      </c>
      <c r="V187" s="26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W187" s="28" t="n">
        <v>0.119</v>
      </c>
      <c r="X187" s="14" t="n">
        <v>50.51</v>
      </c>
      <c r="Y187" s="14">
        <f>ROUND(MIN(100, (X187/69.91)*100), 2)</f>
        <v/>
      </c>
    </row>
    <row r="188">
      <c r="A188" s="10" t="n">
        <v>2</v>
      </c>
      <c r="B188" s="10" t="n">
        <v>184</v>
      </c>
      <c r="C188" s="10" t="n">
        <v>1184</v>
      </c>
      <c r="D188" s="10" t="inlineStr">
        <is>
          <t>1380610033</t>
        </is>
      </c>
      <c r="E188" s="26" t="inlineStr">
        <is>
          <t>National Capital Region (NCR)</t>
        </is>
      </c>
      <c r="F188" s="26" t="inlineStr">
        <is>
          <t>First District (Not a Province)</t>
        </is>
      </c>
      <c r="G188" s="26" t="inlineStr">
        <is>
          <t>City of Manila</t>
        </is>
      </c>
      <c r="H188" s="26" t="inlineStr">
        <is>
          <t>Barangay 718</t>
        </is>
      </c>
      <c r="I188" s="27" t="n">
        <v>12.799072</v>
      </c>
      <c r="J188" s="27" t="n">
        <v>121.546759</v>
      </c>
      <c r="K188" s="10" t="inlineStr">
        <is>
          <t>U</t>
        </is>
      </c>
      <c r="L188" s="12" t="n">
        <v>1190</v>
      </c>
      <c r="M188" s="14" t="n">
        <v>3.9</v>
      </c>
      <c r="N188" s="12">
        <f>ROUND(L188/M188, 0)</f>
        <v/>
      </c>
      <c r="O188" s="12">
        <f>ROUND(N188*'Methodology &amp; Assumptions'!$B$5, 0)</f>
        <v/>
      </c>
      <c r="P188" s="10" t="inlineStr">
        <is>
          <t>Single Carrier (Band n50, 100MHz TDD)</t>
        </is>
      </c>
      <c r="Q188" s="13">
        <f>ROUNDUP(O188/'Methodology &amp; Assumptions'!$B$6, 0)</f>
        <v/>
      </c>
      <c r="R188" s="13" t="n">
        <v>1</v>
      </c>
      <c r="S188" s="14" t="n">
        <v>8.890000000000001</v>
      </c>
      <c r="T188" s="14" t="n">
        <v>7.65</v>
      </c>
      <c r="U188" s="26">
        <f>IF(X188&gt;='Methodology &amp; Assumptions'!$B$7, "Tier 1 Critical GIDA (Score ≥ 50.0)", IF(X188&gt;='Methodology &amp; Assumptions'!$B$8, "Tier 2 High GIDA (Score 40.0–49.9)", "Tier 3 Moderate GIDA (Score &lt; 40.0)"))</f>
        <v/>
      </c>
      <c r="V188" s="26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W188" s="28" t="n">
        <v>0.109</v>
      </c>
      <c r="X188" s="14" t="n">
        <v>50.51</v>
      </c>
      <c r="Y188" s="14">
        <f>ROUND(MIN(100, (X188/69.91)*100), 2)</f>
        <v/>
      </c>
    </row>
    <row r="189">
      <c r="A189" s="10" t="n">
        <v>2</v>
      </c>
      <c r="B189" s="10" t="n">
        <v>185</v>
      </c>
      <c r="C189" s="10" t="n">
        <v>1185</v>
      </c>
      <c r="D189" s="10" t="inlineStr">
        <is>
          <t>1001318021</t>
        </is>
      </c>
      <c r="E189" s="26" t="inlineStr">
        <is>
          <t>Region X (Northern Mindanao)</t>
        </is>
      </c>
      <c r="F189" s="26" t="inlineStr">
        <is>
          <t>Bukidnon</t>
        </is>
      </c>
      <c r="G189" s="26" t="inlineStr">
        <is>
          <t>San Fernando</t>
        </is>
      </c>
      <c r="H189" s="26" t="inlineStr">
        <is>
          <t>Palacpacan</t>
        </is>
      </c>
      <c r="I189" s="27" t="n">
        <v>7.78355</v>
      </c>
      <c r="J189" s="27" t="n">
        <v>125.368981</v>
      </c>
      <c r="K189" s="10" t="inlineStr">
        <is>
          <t>R</t>
        </is>
      </c>
      <c r="L189" s="12" t="n">
        <v>1651</v>
      </c>
      <c r="M189" s="14" t="n">
        <v>3.8</v>
      </c>
      <c r="N189" s="12">
        <f>ROUND(L189/M189, 0)</f>
        <v/>
      </c>
      <c r="O189" s="12">
        <f>ROUND(N189*'Methodology &amp; Assumptions'!$B$5, 0)</f>
        <v/>
      </c>
      <c r="P189" s="10" t="inlineStr">
        <is>
          <t>Single Carrier (Band n50, 100MHz TDD)</t>
        </is>
      </c>
      <c r="Q189" s="13">
        <f>ROUNDUP(O189/'Methodology &amp; Assumptions'!$B$6, 0)</f>
        <v/>
      </c>
      <c r="R189" s="13" t="n">
        <v>1</v>
      </c>
      <c r="S189" s="14" t="n">
        <v>26.68</v>
      </c>
      <c r="T189" s="14" t="n">
        <v>2.94</v>
      </c>
      <c r="U189" s="26">
        <f>IF(X189&gt;='Methodology &amp; Assumptions'!$B$7, "Tier 1 Critical GIDA (Score ≥ 50.0)", IF(X189&gt;='Methodology &amp; Assumptions'!$B$8, "Tier 2 High GIDA (Score 40.0–49.9)", "Tier 3 Moderate GIDA (Score &lt; 40.0)"))</f>
        <v/>
      </c>
      <c r="V189" s="26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W189" s="28" t="n">
        <v>0.174</v>
      </c>
      <c r="X189" s="14" t="n">
        <v>50.51</v>
      </c>
      <c r="Y189" s="14">
        <f>ROUND(MIN(100, (X189/69.91)*100), 2)</f>
        <v/>
      </c>
    </row>
    <row r="190">
      <c r="A190" s="10" t="n">
        <v>2</v>
      </c>
      <c r="B190" s="10" t="n">
        <v>186</v>
      </c>
      <c r="C190" s="10" t="n">
        <v>1186</v>
      </c>
      <c r="D190" s="10" t="inlineStr">
        <is>
          <t>0506211024</t>
        </is>
      </c>
      <c r="E190" s="26" t="inlineStr">
        <is>
          <t>Region V (Bicol Region)</t>
        </is>
      </c>
      <c r="F190" s="26" t="inlineStr">
        <is>
          <t>Sorsogon</t>
        </is>
      </c>
      <c r="G190" s="26" t="inlineStr">
        <is>
          <t>Magallanes</t>
        </is>
      </c>
      <c r="H190" s="26" t="inlineStr">
        <is>
          <t>Malbog</t>
        </is>
      </c>
      <c r="I190" s="27" t="n">
        <v>12.807934</v>
      </c>
      <c r="J190" s="27" t="n">
        <v>123.894964</v>
      </c>
      <c r="K190" s="10" t="inlineStr">
        <is>
          <t>R</t>
        </is>
      </c>
      <c r="L190" s="12" t="n">
        <v>366</v>
      </c>
      <c r="M190" s="14" t="n">
        <v>4</v>
      </c>
      <c r="N190" s="12">
        <f>ROUND(L190/M190, 0)</f>
        <v/>
      </c>
      <c r="O190" s="12">
        <f>ROUND(N190*'Methodology &amp; Assumptions'!$B$5, 0)</f>
        <v/>
      </c>
      <c r="P190" s="10" t="inlineStr">
        <is>
          <t>Single Carrier (Band n50, 100MHz TDD)</t>
        </is>
      </c>
      <c r="Q190" s="13">
        <f>ROUNDUP(O190/'Methodology &amp; Assumptions'!$B$6, 0)</f>
        <v/>
      </c>
      <c r="R190" s="13" t="n">
        <v>1</v>
      </c>
      <c r="S190" s="14" t="n">
        <v>6.17</v>
      </c>
      <c r="T190" s="14" t="n">
        <v>2.47</v>
      </c>
      <c r="U190" s="26">
        <f>IF(X190&gt;='Methodology &amp; Assumptions'!$B$7, "Tier 1 Critical GIDA (Score ≥ 50.0)", IF(X190&gt;='Methodology &amp; Assumptions'!$B$8, "Tier 2 High GIDA (Score 40.0–49.9)", "Tier 3 Moderate GIDA (Score &lt; 40.0)"))</f>
        <v/>
      </c>
      <c r="V190" s="26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W190" s="28" t="n">
        <v>0.237</v>
      </c>
      <c r="X190" s="14" t="n">
        <v>50.5</v>
      </c>
      <c r="Y190" s="14">
        <f>ROUND(MIN(100, (X190/69.91)*100), 2)</f>
        <v/>
      </c>
    </row>
    <row r="191">
      <c r="A191" s="10" t="n">
        <v>2</v>
      </c>
      <c r="B191" s="10" t="n">
        <v>187</v>
      </c>
      <c r="C191" s="10" t="n">
        <v>1187</v>
      </c>
      <c r="D191" s="10" t="inlineStr">
        <is>
          <t>1381300127</t>
        </is>
      </c>
      <c r="E191" s="26" t="inlineStr">
        <is>
          <t>National Capital Region (NCR)</t>
        </is>
      </c>
      <c r="F191" s="26" t="inlineStr">
        <is>
          <t>Second District (Not a Province)</t>
        </is>
      </c>
      <c r="G191" s="26" t="inlineStr">
        <is>
          <t>Quezon City</t>
        </is>
      </c>
      <c r="H191" s="26" t="inlineStr">
        <is>
          <t>Unang Sigaw</t>
        </is>
      </c>
      <c r="I191" s="27" t="n">
        <v>14.65829</v>
      </c>
      <c r="J191" s="27" t="n">
        <v>120.999397</v>
      </c>
      <c r="K191" s="10" t="inlineStr">
        <is>
          <t>U</t>
        </is>
      </c>
      <c r="L191" s="12" t="n">
        <v>6781</v>
      </c>
      <c r="M191" s="14" t="n">
        <v>3.8</v>
      </c>
      <c r="N191" s="12">
        <f>ROUND(L191/M191, 0)</f>
        <v/>
      </c>
      <c r="O191" s="12">
        <f>ROUND(N191*'Methodology &amp; Assumptions'!$B$5, 0)</f>
        <v/>
      </c>
      <c r="P191" s="10" t="inlineStr">
        <is>
          <t>Single Carrier (Band n50, 100MHz TDD)</t>
        </is>
      </c>
      <c r="Q191" s="13">
        <f>ROUNDUP(O191/'Methodology &amp; Assumptions'!$B$6, 0)</f>
        <v/>
      </c>
      <c r="R191" s="13" t="n">
        <v>1</v>
      </c>
      <c r="S191" s="14" t="n">
        <v>1.15</v>
      </c>
      <c r="T191" s="14" t="n">
        <v>1.05</v>
      </c>
      <c r="U191" s="26">
        <f>IF(X191&gt;='Methodology &amp; Assumptions'!$B$7, "Tier 1 Critical GIDA (Score ≥ 50.0)", IF(X191&gt;='Methodology &amp; Assumptions'!$B$8, "Tier 2 High GIDA (Score 40.0–49.9)", "Tier 3 Moderate GIDA (Score &lt; 40.0)"))</f>
        <v/>
      </c>
      <c r="V191" s="26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W191" s="28" t="n">
        <v>0.109</v>
      </c>
      <c r="X191" s="14" t="n">
        <v>50.5</v>
      </c>
      <c r="Y191" s="14">
        <f>ROUND(MIN(100, (X191/69.91)*100), 2)</f>
        <v/>
      </c>
    </row>
    <row r="192">
      <c r="A192" s="10" t="n">
        <v>2</v>
      </c>
      <c r="B192" s="10" t="n">
        <v>188</v>
      </c>
      <c r="C192" s="10" t="n">
        <v>1188</v>
      </c>
      <c r="D192" s="10" t="inlineStr">
        <is>
          <t>0501730024</t>
        </is>
      </c>
      <c r="E192" s="26" t="inlineStr">
        <is>
          <t>Region V (Bicol Region)</t>
        </is>
      </c>
      <c r="F192" s="26" t="inlineStr">
        <is>
          <t>Camarines Sur</t>
        </is>
      </c>
      <c r="G192" s="26" t="inlineStr">
        <is>
          <t>Ragay</t>
        </is>
      </c>
      <c r="H192" s="26" t="inlineStr">
        <is>
          <t>Lower Santa Cruz</t>
        </is>
      </c>
      <c r="I192" s="27" t="n">
        <v>13.816603</v>
      </c>
      <c r="J192" s="27" t="n">
        <v>122.797618</v>
      </c>
      <c r="K192" s="10" t="inlineStr">
        <is>
          <t>R</t>
        </is>
      </c>
      <c r="L192" s="12" t="n">
        <v>1448</v>
      </c>
      <c r="M192" s="14" t="n">
        <v>4.2</v>
      </c>
      <c r="N192" s="12">
        <f>ROUND(L192/M192, 0)</f>
        <v/>
      </c>
      <c r="O192" s="12">
        <f>ROUND(N192*'Methodology &amp; Assumptions'!$B$5, 0)</f>
        <v/>
      </c>
      <c r="P192" s="10" t="inlineStr">
        <is>
          <t>Single Carrier (Band n50, 100MHz TDD)</t>
        </is>
      </c>
      <c r="Q192" s="13">
        <f>ROUNDUP(O192/'Methodology &amp; Assumptions'!$B$6, 0)</f>
        <v/>
      </c>
      <c r="R192" s="13" t="n">
        <v>1</v>
      </c>
      <c r="S192" s="14" t="n">
        <v>1</v>
      </c>
      <c r="T192" s="14" t="n">
        <v>0.17</v>
      </c>
      <c r="U192" s="26">
        <f>IF(X192&gt;='Methodology &amp; Assumptions'!$B$7, "Tier 1 Critical GIDA (Score ≥ 50.0)", IF(X192&gt;='Methodology &amp; Assumptions'!$B$8, "Tier 2 High GIDA (Score 40.0–49.9)", "Tier 3 Moderate GIDA (Score &lt; 40.0)"))</f>
        <v/>
      </c>
      <c r="V192" s="26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W192" s="28" t="n">
        <v>0.237</v>
      </c>
      <c r="X192" s="14" t="n">
        <v>50.5</v>
      </c>
      <c r="Y192" s="14">
        <f>ROUND(MIN(100, (X192/69.91)*100), 2)</f>
        <v/>
      </c>
    </row>
    <row r="193">
      <c r="A193" s="10" t="n">
        <v>2</v>
      </c>
      <c r="B193" s="10" t="n">
        <v>189</v>
      </c>
      <c r="C193" s="10" t="n">
        <v>1189</v>
      </c>
      <c r="D193" s="10" t="inlineStr">
        <is>
          <t>0804816012</t>
        </is>
      </c>
      <c r="E193" s="26" t="inlineStr">
        <is>
          <t>Region VIII (Eastern Visayas)</t>
        </is>
      </c>
      <c r="F193" s="26" t="inlineStr">
        <is>
          <t>Northern Samar</t>
        </is>
      </c>
      <c r="G193" s="26" t="inlineStr">
        <is>
          <t>Rosario</t>
        </is>
      </c>
      <c r="H193" s="26" t="inlineStr">
        <is>
          <t>Kailingan</t>
        </is>
      </c>
      <c r="I193" s="27" t="n">
        <v>12.50358</v>
      </c>
      <c r="J193" s="27" t="n">
        <v>124.44849</v>
      </c>
      <c r="K193" s="10" t="inlineStr">
        <is>
          <t>R</t>
        </is>
      </c>
      <c r="L193" s="12" t="n">
        <v>341</v>
      </c>
      <c r="M193" s="14" t="n">
        <v>4.3</v>
      </c>
      <c r="N193" s="12">
        <f>ROUND(L193/M193, 0)</f>
        <v/>
      </c>
      <c r="O193" s="12">
        <f>ROUND(N193*'Methodology &amp; Assumptions'!$B$5, 0)</f>
        <v/>
      </c>
      <c r="P193" s="10" t="inlineStr">
        <is>
          <t>Single Carrier (Band n50, 100MHz TDD)</t>
        </is>
      </c>
      <c r="Q193" s="13">
        <f>ROUNDUP(O193/'Methodology &amp; Assumptions'!$B$6, 0)</f>
        <v/>
      </c>
      <c r="R193" s="13" t="n">
        <v>1</v>
      </c>
      <c r="S193" s="14" t="n">
        <v>40.41</v>
      </c>
      <c r="T193" s="14" t="n">
        <v>39.87</v>
      </c>
      <c r="U193" s="26">
        <f>IF(X193&gt;='Methodology &amp; Assumptions'!$B$7, "Tier 1 Critical GIDA (Score ≥ 50.0)", IF(X193&gt;='Methodology &amp; Assumptions'!$B$8, "Tier 2 High GIDA (Score 40.0–49.9)", "Tier 3 Moderate GIDA (Score &lt; 40.0)"))</f>
        <v/>
      </c>
      <c r="V193" s="26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W193" s="28" t="n">
        <v>0.237</v>
      </c>
      <c r="X193" s="14" t="n">
        <v>50.5</v>
      </c>
      <c r="Y193" s="14">
        <f>ROUND(MIN(100, (X193/69.91)*100), 2)</f>
        <v/>
      </c>
    </row>
    <row r="194">
      <c r="A194" s="10" t="n">
        <v>2</v>
      </c>
      <c r="B194" s="10" t="n">
        <v>190</v>
      </c>
      <c r="C194" s="10" t="n">
        <v>1190</v>
      </c>
      <c r="D194" s="10" t="inlineStr">
        <is>
          <t>PH0001190</t>
        </is>
      </c>
      <c r="E194" s="26" t="inlineStr">
        <is>
          <t>BARMM (LaMa+SGA)</t>
        </is>
      </c>
      <c r="F194" s="26" t="inlineStr">
        <is>
          <t>North Cotabato</t>
        </is>
      </c>
      <c r="G194" s="26" t="inlineStr">
        <is>
          <t>Kabacan</t>
        </is>
      </c>
      <c r="H194" s="26" t="inlineStr">
        <is>
          <t>Simbuhay</t>
        </is>
      </c>
      <c r="I194" s="27" t="n">
        <v>7.215293</v>
      </c>
      <c r="J194" s="27" t="n">
        <v>124.867187</v>
      </c>
      <c r="K194" s="10" t="inlineStr">
        <is>
          <t>R</t>
        </is>
      </c>
      <c r="L194" s="12" t="n">
        <v>4702</v>
      </c>
      <c r="M194" s="14" t="n">
        <v>3.8</v>
      </c>
      <c r="N194" s="12">
        <f>ROUND(L194/M194, 0)</f>
        <v/>
      </c>
      <c r="O194" s="12">
        <f>ROUND(N194*'Methodology &amp; Assumptions'!$B$5, 0)</f>
        <v/>
      </c>
      <c r="P194" s="10" t="inlineStr">
        <is>
          <t>Single Carrier (Band n50, 100MHz TDD)</t>
        </is>
      </c>
      <c r="Q194" s="13">
        <f>ROUNDUP(O194/'Methodology &amp; Assumptions'!$B$6, 0)</f>
        <v/>
      </c>
      <c r="R194" s="13" t="n">
        <v>1</v>
      </c>
      <c r="S194" s="14" t="n">
        <v>7.89</v>
      </c>
      <c r="T194" s="14" t="n">
        <v>7.9</v>
      </c>
      <c r="U194" s="26">
        <f>IF(X194&gt;='Methodology &amp; Assumptions'!$B$7, "Tier 1 Critical GIDA (Score ≥ 50.0)", IF(X194&gt;='Methodology &amp; Assumptions'!$B$8, "Tier 2 High GIDA (Score 40.0–49.9)", "Tier 3 Moderate GIDA (Score &lt; 40.0)"))</f>
        <v/>
      </c>
      <c r="V194" s="26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W194" s="28" t="n">
        <v>0.235</v>
      </c>
      <c r="X194" s="14" t="n">
        <v>50.5</v>
      </c>
      <c r="Y194" s="14">
        <f>ROUND(MIN(100, (X194/69.91)*100), 2)</f>
        <v/>
      </c>
    </row>
    <row r="195">
      <c r="A195" s="10" t="n">
        <v>2</v>
      </c>
      <c r="B195" s="10" t="n">
        <v>191</v>
      </c>
      <c r="C195" s="10" t="n">
        <v>1191</v>
      </c>
      <c r="D195" s="10" t="inlineStr">
        <is>
          <t>1380610043</t>
        </is>
      </c>
      <c r="E195" s="26" t="inlineStr">
        <is>
          <t>National Capital Region (NCR)</t>
        </is>
      </c>
      <c r="F195" s="26" t="inlineStr">
        <is>
          <t>First District (Not a Province)</t>
        </is>
      </c>
      <c r="G195" s="26" t="inlineStr">
        <is>
          <t>City of Manila</t>
        </is>
      </c>
      <c r="H195" s="26" t="inlineStr">
        <is>
          <t>Barangay 728</t>
        </is>
      </c>
      <c r="I195" s="27" t="n">
        <v>13.090002</v>
      </c>
      <c r="J195" s="27" t="n">
        <v>121.886302</v>
      </c>
      <c r="K195" s="10" t="inlineStr">
        <is>
          <t>U</t>
        </is>
      </c>
      <c r="L195" s="12" t="n">
        <v>866</v>
      </c>
      <c r="M195" s="14" t="n">
        <v>3.9</v>
      </c>
      <c r="N195" s="12">
        <f>ROUND(L195/M195, 0)</f>
        <v/>
      </c>
      <c r="O195" s="12">
        <f>ROUND(N195*'Methodology &amp; Assumptions'!$B$5, 0)</f>
        <v/>
      </c>
      <c r="P195" s="10" t="inlineStr">
        <is>
          <t>Single Carrier (Band n50, 100MHz TDD)</t>
        </is>
      </c>
      <c r="Q195" s="13">
        <f>ROUNDUP(O195/'Methodology &amp; Assumptions'!$B$6, 0)</f>
        <v/>
      </c>
      <c r="R195" s="13" t="n">
        <v>1</v>
      </c>
      <c r="S195" s="14" t="n">
        <v>41.22</v>
      </c>
      <c r="T195" s="14" t="n">
        <v>44.42</v>
      </c>
      <c r="U195" s="26">
        <f>IF(X195&gt;='Methodology &amp; Assumptions'!$B$7, "Tier 1 Critical GIDA (Score ≥ 50.0)", IF(X195&gt;='Methodology &amp; Assumptions'!$B$8, "Tier 2 High GIDA (Score 40.0–49.9)", "Tier 3 Moderate GIDA (Score &lt; 40.0)"))</f>
        <v/>
      </c>
      <c r="V195" s="26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W195" s="28" t="n">
        <v>0.109</v>
      </c>
      <c r="X195" s="14" t="n">
        <v>50.49</v>
      </c>
      <c r="Y195" s="14">
        <f>ROUND(MIN(100, (X195/69.91)*100), 2)</f>
        <v/>
      </c>
    </row>
    <row r="196">
      <c r="A196" s="10" t="n">
        <v>2</v>
      </c>
      <c r="B196" s="10" t="n">
        <v>192</v>
      </c>
      <c r="C196" s="10" t="n">
        <v>1192</v>
      </c>
      <c r="D196" s="10" t="inlineStr">
        <is>
          <t>1380601131</t>
        </is>
      </c>
      <c r="E196" s="26" t="inlineStr">
        <is>
          <t>National Capital Region (NCR)</t>
        </is>
      </c>
      <c r="F196" s="26" t="inlineStr">
        <is>
          <t>First District (Not a Province)</t>
        </is>
      </c>
      <c r="G196" s="26" t="inlineStr">
        <is>
          <t>City of Manila</t>
        </is>
      </c>
      <c r="H196" s="26" t="inlineStr">
        <is>
          <t>Barangay 131</t>
        </is>
      </c>
      <c r="I196" s="27" t="n">
        <v>12.649384</v>
      </c>
      <c r="J196" s="27" t="n">
        <v>121.837306</v>
      </c>
      <c r="K196" s="10" t="inlineStr">
        <is>
          <t>U</t>
        </is>
      </c>
      <c r="L196" s="12" t="n">
        <v>1670</v>
      </c>
      <c r="M196" s="14" t="n">
        <v>3.9</v>
      </c>
      <c r="N196" s="12">
        <f>ROUND(L196/M196, 0)</f>
        <v/>
      </c>
      <c r="O196" s="12">
        <f>ROUND(N196*'Methodology &amp; Assumptions'!$B$5, 0)</f>
        <v/>
      </c>
      <c r="P196" s="10" t="inlineStr">
        <is>
          <t>Single Carrier (Band n50, 100MHz TDD)</t>
        </is>
      </c>
      <c r="Q196" s="13">
        <f>ROUNDUP(O196/'Methodology &amp; Assumptions'!$B$6, 0)</f>
        <v/>
      </c>
      <c r="R196" s="13" t="n">
        <v>1</v>
      </c>
      <c r="S196" s="14" t="n">
        <v>31.4</v>
      </c>
      <c r="T196" s="14" t="n">
        <v>28.02</v>
      </c>
      <c r="U196" s="26">
        <f>IF(X196&gt;='Methodology &amp; Assumptions'!$B$7, "Tier 1 Critical GIDA (Score ≥ 50.0)", IF(X196&gt;='Methodology &amp; Assumptions'!$B$8, "Tier 2 High GIDA (Score 40.0–49.9)", "Tier 3 Moderate GIDA (Score &lt; 40.0)"))</f>
        <v/>
      </c>
      <c r="V196" s="26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W196" s="28" t="n">
        <v>0.109</v>
      </c>
      <c r="X196" s="14" t="n">
        <v>50.48</v>
      </c>
      <c r="Y196" s="14">
        <f>ROUND(MIN(100, (X196/69.91)*100), 2)</f>
        <v/>
      </c>
    </row>
    <row r="197">
      <c r="A197" s="10" t="n">
        <v>2</v>
      </c>
      <c r="B197" s="10" t="n">
        <v>193</v>
      </c>
      <c r="C197" s="10" t="n">
        <v>1193</v>
      </c>
      <c r="D197" s="10" t="inlineStr">
        <is>
          <t>1400102006</t>
        </is>
      </c>
      <c r="E197" s="26" t="inlineStr">
        <is>
          <t>Cordillera Administrative Region (CAR)</t>
        </is>
      </c>
      <c r="F197" s="26" t="inlineStr">
        <is>
          <t>Abra</t>
        </is>
      </c>
      <c r="G197" s="26" t="inlineStr">
        <is>
          <t>Boliney</t>
        </is>
      </c>
      <c r="H197" s="26" t="inlineStr">
        <is>
          <t>Kilong-Olao</t>
        </is>
      </c>
      <c r="I197" s="27" t="n">
        <v>17.374191</v>
      </c>
      <c r="J197" s="27" t="n">
        <v>120.865839</v>
      </c>
      <c r="K197" s="10" t="inlineStr">
        <is>
          <t>R</t>
        </is>
      </c>
      <c r="L197" s="12" t="n">
        <v>273</v>
      </c>
      <c r="M197" s="14" t="n">
        <v>3.8</v>
      </c>
      <c r="N197" s="12">
        <f>ROUND(L197/M197, 0)</f>
        <v/>
      </c>
      <c r="O197" s="12">
        <f>ROUND(N197*'Methodology &amp; Assumptions'!$B$5, 0)</f>
        <v/>
      </c>
      <c r="P197" s="10" t="inlineStr">
        <is>
          <t>Single Carrier (Band n50, 100MHz TDD)</t>
        </is>
      </c>
      <c r="Q197" s="13">
        <f>ROUNDUP(O197/'Methodology &amp; Assumptions'!$B$6, 0)</f>
        <v/>
      </c>
      <c r="R197" s="13" t="n">
        <v>1</v>
      </c>
      <c r="S197" s="14" t="n">
        <v>29.84</v>
      </c>
      <c r="T197" s="14" t="n">
        <v>28.88</v>
      </c>
      <c r="U197" s="26">
        <f>IF(X197&gt;='Methodology &amp; Assumptions'!$B$7, "Tier 1 Critical GIDA (Score ≥ 50.0)", IF(X197&gt;='Methodology &amp; Assumptions'!$B$8, "Tier 2 High GIDA (Score 40.0–49.9)", "Tier 3 Moderate GIDA (Score &lt; 40.0)"))</f>
        <v/>
      </c>
      <c r="V197" s="26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W197" s="28" t="n">
        <v>0.109</v>
      </c>
      <c r="X197" s="14" t="n">
        <v>50.48</v>
      </c>
      <c r="Y197" s="14">
        <f>ROUND(MIN(100, (X197/69.91)*100), 2)</f>
        <v/>
      </c>
    </row>
    <row r="198">
      <c r="A198" s="10" t="n">
        <v>2</v>
      </c>
      <c r="B198" s="10" t="n">
        <v>194</v>
      </c>
      <c r="C198" s="10" t="n">
        <v>1194</v>
      </c>
      <c r="D198" s="10" t="inlineStr">
        <is>
          <t>1908704006</t>
        </is>
      </c>
      <c r="E198" s="26" t="inlineStr">
        <is>
          <t>Bangsamoro Autonomous Region In Muslim Mindanao (BARMM)</t>
        </is>
      </c>
      <c r="F198" s="26" t="inlineStr">
        <is>
          <t>Maguindanao del Norte</t>
        </is>
      </c>
      <c r="G198" s="26" t="inlineStr">
        <is>
          <t>Datu Blah T. Sinsuat</t>
        </is>
      </c>
      <c r="H198" s="26" t="inlineStr">
        <is>
          <t>Nalkan</t>
        </is>
      </c>
      <c r="I198" s="27" t="n">
        <v>6.987918</v>
      </c>
      <c r="J198" s="27" t="n">
        <v>123.987152</v>
      </c>
      <c r="K198" s="10" t="inlineStr">
        <is>
          <t>R</t>
        </is>
      </c>
      <c r="L198" s="12" t="n">
        <v>5106</v>
      </c>
      <c r="M198" s="14" t="n">
        <v>4.3</v>
      </c>
      <c r="N198" s="12">
        <f>ROUND(L198/M198, 0)</f>
        <v/>
      </c>
      <c r="O198" s="12">
        <f>ROUND(N198*'Methodology &amp; Assumptions'!$B$5, 0)</f>
        <v/>
      </c>
      <c r="P198" s="10" t="inlineStr">
        <is>
          <t>Single Carrier (Band n50, 100MHz TDD)</t>
        </is>
      </c>
      <c r="Q198" s="13">
        <f>ROUNDUP(O198/'Methodology &amp; Assumptions'!$B$6, 0)</f>
        <v/>
      </c>
      <c r="R198" s="13" t="n">
        <v>1</v>
      </c>
      <c r="S198" s="14" t="n">
        <v>82.72</v>
      </c>
      <c r="T198" s="14" t="n">
        <v>82.66</v>
      </c>
      <c r="U198" s="26">
        <f>IF(X198&gt;='Methodology &amp; Assumptions'!$B$7, "Tier 1 Critical GIDA (Score ≥ 50.0)", IF(X198&gt;='Methodology &amp; Assumptions'!$B$8, "Tier 2 High GIDA (Score 40.0–49.9)", "Tier 3 Moderate GIDA (Score &lt; 40.0)"))</f>
        <v/>
      </c>
      <c r="V198" s="26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W198" s="28" t="n">
        <v>0.11</v>
      </c>
      <c r="X198" s="14" t="n">
        <v>50.47</v>
      </c>
      <c r="Y198" s="14">
        <f>ROUND(MIN(100, (X198/69.91)*100), 2)</f>
        <v/>
      </c>
    </row>
    <row r="199">
      <c r="A199" s="10" t="n">
        <v>2</v>
      </c>
      <c r="B199" s="10" t="n">
        <v>195</v>
      </c>
      <c r="C199" s="10" t="n">
        <v>1195</v>
      </c>
      <c r="D199" s="10" t="inlineStr">
        <is>
          <t>1606818017</t>
        </is>
      </c>
      <c r="E199" s="26" t="inlineStr">
        <is>
          <t>Region XIII (Caraga)</t>
        </is>
      </c>
      <c r="F199" s="26" t="inlineStr">
        <is>
          <t>Surigao del Sur</t>
        </is>
      </c>
      <c r="G199" s="26" t="inlineStr">
        <is>
          <t>Tago</t>
        </is>
      </c>
      <c r="H199" s="26" t="inlineStr">
        <is>
          <t>Mercedes</t>
        </is>
      </c>
      <c r="I199" s="27" t="n">
        <v>9.017557</v>
      </c>
      <c r="J199" s="27" t="n">
        <v>126.22269</v>
      </c>
      <c r="K199" s="10" t="inlineStr">
        <is>
          <t>R</t>
        </is>
      </c>
      <c r="L199" s="12" t="n">
        <v>334</v>
      </c>
      <c r="M199" s="14" t="n">
        <v>4.1</v>
      </c>
      <c r="N199" s="12">
        <f>ROUND(L199/M199, 0)</f>
        <v/>
      </c>
      <c r="O199" s="12">
        <f>ROUND(N199*'Methodology &amp; Assumptions'!$B$5, 0)</f>
        <v/>
      </c>
      <c r="P199" s="10" t="inlineStr">
        <is>
          <t>Single Carrier (Band n50, 100MHz TDD)</t>
        </is>
      </c>
      <c r="Q199" s="13">
        <f>ROUNDUP(O199/'Methodology &amp; Assumptions'!$B$6, 0)</f>
        <v/>
      </c>
      <c r="R199" s="13" t="n">
        <v>1</v>
      </c>
      <c r="S199" s="14" t="n">
        <v>7.16</v>
      </c>
      <c r="T199" s="14" t="n">
        <v>2.46</v>
      </c>
      <c r="U199" s="26">
        <f>IF(X199&gt;='Methodology &amp; Assumptions'!$B$7, "Tier 1 Critical GIDA (Score ≥ 50.0)", IF(X199&gt;='Methodology &amp; Assumptions'!$B$8, "Tier 2 High GIDA (Score 40.0–49.9)", "Tier 3 Moderate GIDA (Score &lt; 40.0)"))</f>
        <v/>
      </c>
      <c r="V199" s="26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W199" s="28" t="n">
        <v>0.174</v>
      </c>
      <c r="X199" s="14" t="n">
        <v>50.46</v>
      </c>
      <c r="Y199" s="14">
        <f>ROUND(MIN(100, (X199/69.91)*100), 2)</f>
        <v/>
      </c>
    </row>
    <row r="200">
      <c r="A200" s="10" t="n">
        <v>2</v>
      </c>
      <c r="B200" s="10" t="n">
        <v>196</v>
      </c>
      <c r="C200" s="10" t="n">
        <v>1196</v>
      </c>
      <c r="D200" s="10" t="inlineStr">
        <is>
          <t>PH0001196</t>
        </is>
      </c>
      <c r="E200" s="26" t="inlineStr">
        <is>
          <t>I</t>
        </is>
      </c>
      <c r="F200" s="26" t="inlineStr">
        <is>
          <t>Ilocos Norte</t>
        </is>
      </c>
      <c r="G200" s="26" t="inlineStr">
        <is>
          <t>Laoag City</t>
        </is>
      </c>
      <c r="H200" s="26" t="inlineStr">
        <is>
          <t>Bgy. No. 10, San Jose (Pob.)</t>
        </is>
      </c>
      <c r="I200" s="27" t="n">
        <v>18.206385</v>
      </c>
      <c r="J200" s="27" t="n">
        <v>120.582946</v>
      </c>
      <c r="K200" s="10" t="inlineStr">
        <is>
          <t>R</t>
        </is>
      </c>
      <c r="L200" s="12" t="n">
        <v>2233</v>
      </c>
      <c r="M200" s="14" t="n">
        <v>3.7</v>
      </c>
      <c r="N200" s="12">
        <f>ROUND(L200/M200, 0)</f>
        <v/>
      </c>
      <c r="O200" s="12">
        <f>ROUND(N200*'Methodology &amp; Assumptions'!$B$5, 0)</f>
        <v/>
      </c>
      <c r="P200" s="10" t="inlineStr">
        <is>
          <t>Single Carrier (Band n50, 100MHz TDD)</t>
        </is>
      </c>
      <c r="Q200" s="13">
        <f>ROUNDUP(O200/'Methodology &amp; Assumptions'!$B$6, 0)</f>
        <v/>
      </c>
      <c r="R200" s="13" t="n">
        <v>1</v>
      </c>
      <c r="S200" s="14" t="n">
        <v>0.27</v>
      </c>
      <c r="T200" s="14" t="n">
        <v>0.26</v>
      </c>
      <c r="U200" s="26">
        <f>IF(X200&gt;='Methodology &amp; Assumptions'!$B$7, "Tier 1 Critical GIDA (Score ≥ 50.0)", IF(X200&gt;='Methodology &amp; Assumptions'!$B$8, "Tier 2 High GIDA (Score 40.0–49.9)", "Tier 3 Moderate GIDA (Score &lt; 40.0)"))</f>
        <v/>
      </c>
      <c r="V200" s="26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W200" s="28" t="n">
        <v>0.083</v>
      </c>
      <c r="X200" s="14" t="n">
        <v>50.46</v>
      </c>
      <c r="Y200" s="14">
        <f>ROUND(MIN(100, (X200/69.91)*100), 2)</f>
        <v/>
      </c>
    </row>
    <row r="201">
      <c r="A201" s="10" t="n">
        <v>2</v>
      </c>
      <c r="B201" s="10" t="n">
        <v>197</v>
      </c>
      <c r="C201" s="10" t="n">
        <v>1197</v>
      </c>
      <c r="D201" s="10" t="inlineStr">
        <is>
          <t>1380606206</t>
        </is>
      </c>
      <c r="E201" s="26" t="inlineStr">
        <is>
          <t>National Capital Region (NCR)</t>
        </is>
      </c>
      <c r="F201" s="26" t="inlineStr">
        <is>
          <t>First District (Not a Province)</t>
        </is>
      </c>
      <c r="G201" s="26" t="inlineStr">
        <is>
          <t>City of Manila</t>
        </is>
      </c>
      <c r="H201" s="26" t="inlineStr">
        <is>
          <t>Barangay 599</t>
        </is>
      </c>
      <c r="I201" s="27" t="n">
        <v>13.008539</v>
      </c>
      <c r="J201" s="27" t="n">
        <v>121.566544</v>
      </c>
      <c r="K201" s="10" t="inlineStr">
        <is>
          <t>U</t>
        </is>
      </c>
      <c r="L201" s="12" t="n">
        <v>4402</v>
      </c>
      <c r="M201" s="14" t="n">
        <v>3.9</v>
      </c>
      <c r="N201" s="12">
        <f>ROUND(L201/M201, 0)</f>
        <v/>
      </c>
      <c r="O201" s="12">
        <f>ROUND(N201*'Methodology &amp; Assumptions'!$B$5, 0)</f>
        <v/>
      </c>
      <c r="P201" s="10" t="inlineStr">
        <is>
          <t>Single Carrier (Band n50, 100MHz TDD)</t>
        </is>
      </c>
      <c r="Q201" s="13">
        <f>ROUNDUP(O201/'Methodology &amp; Assumptions'!$B$6, 0)</f>
        <v/>
      </c>
      <c r="R201" s="13" t="n">
        <v>1</v>
      </c>
      <c r="S201" s="14" t="n">
        <v>8.970000000000001</v>
      </c>
      <c r="T201" s="14" t="n">
        <v>9.470000000000001</v>
      </c>
      <c r="U201" s="26">
        <f>IF(X201&gt;='Methodology &amp; Assumptions'!$B$7, "Tier 1 Critical GIDA (Score ≥ 50.0)", IF(X201&gt;='Methodology &amp; Assumptions'!$B$8, "Tier 2 High GIDA (Score 40.0–49.9)", "Tier 3 Moderate GIDA (Score &lt; 40.0)"))</f>
        <v/>
      </c>
      <c r="V201" s="26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W201" s="28" t="n">
        <v>0.109</v>
      </c>
      <c r="X201" s="14" t="n">
        <v>50.46</v>
      </c>
      <c r="Y201" s="14">
        <f>ROUND(MIN(100, (X201/69.91)*100), 2)</f>
        <v/>
      </c>
    </row>
    <row r="202">
      <c r="A202" s="10" t="n">
        <v>2</v>
      </c>
      <c r="B202" s="10" t="n">
        <v>198</v>
      </c>
      <c r="C202" s="10" t="n">
        <v>1198</v>
      </c>
      <c r="D202" s="10" t="inlineStr">
        <is>
          <t>1381100142</t>
        </is>
      </c>
      <c r="E202" s="26" t="inlineStr">
        <is>
          <t>National Capital Region (NCR)</t>
        </is>
      </c>
      <c r="F202" s="26" t="inlineStr">
        <is>
          <t>Fourth District (Not a Province)</t>
        </is>
      </c>
      <c r="G202" s="26" t="inlineStr">
        <is>
          <t>Pasay City</t>
        </is>
      </c>
      <c r="H202" s="26" t="inlineStr">
        <is>
          <t>Barangay 142</t>
        </is>
      </c>
      <c r="I202" s="27" t="n">
        <v>14.548143</v>
      </c>
      <c r="J202" s="27" t="n">
        <v>120.987706</v>
      </c>
      <c r="K202" s="10" t="inlineStr">
        <is>
          <t>U</t>
        </is>
      </c>
      <c r="L202" s="12" t="n">
        <v>327</v>
      </c>
      <c r="M202" s="14" t="n">
        <v>3.4</v>
      </c>
      <c r="N202" s="12">
        <f>ROUND(L202/M202, 0)</f>
        <v/>
      </c>
      <c r="O202" s="12">
        <f>ROUND(N202*'Methodology &amp; Assumptions'!$B$5, 0)</f>
        <v/>
      </c>
      <c r="P202" s="10" t="inlineStr">
        <is>
          <t>Single Carrier (Band n50, 100MHz TDD)</t>
        </is>
      </c>
      <c r="Q202" s="13">
        <f>ROUNDUP(O202/'Methodology &amp; Assumptions'!$B$6, 0)</f>
        <v/>
      </c>
      <c r="R202" s="13" t="n">
        <v>1</v>
      </c>
      <c r="S202" s="14" t="n">
        <v>0.72</v>
      </c>
      <c r="T202" s="14" t="n">
        <v>0.6</v>
      </c>
      <c r="U202" s="26">
        <f>IF(X202&gt;='Methodology &amp; Assumptions'!$B$7, "Tier 1 Critical GIDA (Score ≥ 50.0)", IF(X202&gt;='Methodology &amp; Assumptions'!$B$8, "Tier 2 High GIDA (Score 40.0–49.9)", "Tier 3 Moderate GIDA (Score &lt; 40.0)"))</f>
        <v/>
      </c>
      <c r="V202" s="26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W202" s="28" t="n">
        <v>0.109</v>
      </c>
      <c r="X202" s="14" t="n">
        <v>50.45</v>
      </c>
      <c r="Y202" s="14">
        <f>ROUND(MIN(100, (X202/69.91)*100), 2)</f>
        <v/>
      </c>
    </row>
    <row r="203">
      <c r="A203" s="10" t="n">
        <v>2</v>
      </c>
      <c r="B203" s="10" t="n">
        <v>199</v>
      </c>
      <c r="C203" s="10" t="n">
        <v>1199</v>
      </c>
      <c r="D203" s="10" t="inlineStr">
        <is>
          <t>PH0001199</t>
        </is>
      </c>
      <c r="E203" s="26" t="inlineStr">
        <is>
          <t>XI</t>
        </is>
      </c>
      <c r="F203" s="26" t="inlineStr">
        <is>
          <t>Davao Del Sur</t>
        </is>
      </c>
      <c r="G203" s="26" t="inlineStr">
        <is>
          <t>Davao City</t>
        </is>
      </c>
      <c r="H203" s="26" t="inlineStr">
        <is>
          <t>Barangay 32-D (Pob.)</t>
        </is>
      </c>
      <c r="I203" s="27" t="n">
        <v>7.185824</v>
      </c>
      <c r="J203" s="27" t="n">
        <v>125.463256</v>
      </c>
      <c r="K203" s="10" t="inlineStr">
        <is>
          <t>R</t>
        </is>
      </c>
      <c r="L203" s="12" t="n">
        <v>2280</v>
      </c>
      <c r="M203" s="14" t="n">
        <v>3.4</v>
      </c>
      <c r="N203" s="12">
        <f>ROUND(L203/M203, 0)</f>
        <v/>
      </c>
      <c r="O203" s="12">
        <f>ROUND(N203*'Methodology &amp; Assumptions'!$B$5, 0)</f>
        <v/>
      </c>
      <c r="P203" s="10" t="inlineStr">
        <is>
          <t>Single Carrier (Band n50, 100MHz TDD)</t>
        </is>
      </c>
      <c r="Q203" s="13">
        <f>ROUNDUP(O203/'Methodology &amp; Assumptions'!$B$6, 0)</f>
        <v/>
      </c>
      <c r="R203" s="13" t="n">
        <v>1</v>
      </c>
      <c r="S203" s="14" t="n">
        <v>0.93</v>
      </c>
      <c r="T203" s="14" t="n">
        <v>0.32</v>
      </c>
      <c r="U203" s="26">
        <f>IF(X203&gt;='Methodology &amp; Assumptions'!$B$7, "Tier 1 Critical GIDA (Score ≥ 50.0)", IF(X203&gt;='Methodology &amp; Assumptions'!$B$8, "Tier 2 High GIDA (Score 40.0–49.9)", "Tier 3 Moderate GIDA (Score &lt; 40.0)"))</f>
        <v/>
      </c>
      <c r="V203" s="26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W203" s="28" t="n">
        <v>0.119</v>
      </c>
      <c r="X203" s="14" t="n">
        <v>50.45</v>
      </c>
      <c r="Y203" s="14">
        <f>ROUND(MIN(100, (X203/69.91)*100), 2)</f>
        <v/>
      </c>
    </row>
    <row r="204">
      <c r="A204" s="10" t="n">
        <v>2</v>
      </c>
      <c r="B204" s="10" t="n">
        <v>200</v>
      </c>
      <c r="C204" s="10" t="n">
        <v>1200</v>
      </c>
      <c r="D204" s="10" t="inlineStr">
        <is>
          <t>1380606208</t>
        </is>
      </c>
      <c r="E204" s="26" t="inlineStr">
        <is>
          <t>National Capital Region (NCR)</t>
        </is>
      </c>
      <c r="F204" s="26" t="inlineStr">
        <is>
          <t>First District (Not a Province)</t>
        </is>
      </c>
      <c r="G204" s="26" t="inlineStr">
        <is>
          <t>City of Manila</t>
        </is>
      </c>
      <c r="H204" s="26" t="inlineStr">
        <is>
          <t>Barangay 601</t>
        </is>
      </c>
      <c r="I204" s="27" t="n">
        <v>12.921573</v>
      </c>
      <c r="J204" s="27" t="n">
        <v>122.017605</v>
      </c>
      <c r="K204" s="10" t="inlineStr">
        <is>
          <t>U</t>
        </is>
      </c>
      <c r="L204" s="12" t="n">
        <v>7995</v>
      </c>
      <c r="M204" s="14" t="n">
        <v>3.9</v>
      </c>
      <c r="N204" s="12">
        <f>ROUND(L204/M204, 0)</f>
        <v/>
      </c>
      <c r="O204" s="12">
        <f>ROUND(N204*'Methodology &amp; Assumptions'!$B$5, 0)</f>
        <v/>
      </c>
      <c r="P204" s="10" t="inlineStr">
        <is>
          <t>Single Carrier (Band n50, 100MHz TDD)</t>
        </is>
      </c>
      <c r="Q204" s="13">
        <f>ROUNDUP(O204/'Methodology &amp; Assumptions'!$B$6, 0)</f>
        <v/>
      </c>
      <c r="R204" s="13" t="n">
        <v>1</v>
      </c>
      <c r="S204" s="14" t="n">
        <v>57.59</v>
      </c>
      <c r="T204" s="14" t="n">
        <v>58.65</v>
      </c>
      <c r="U204" s="26">
        <f>IF(X204&gt;='Methodology &amp; Assumptions'!$B$7, "Tier 1 Critical GIDA (Score ≥ 50.0)", IF(X204&gt;='Methodology &amp; Assumptions'!$B$8, "Tier 2 High GIDA (Score 40.0–49.9)", "Tier 3 Moderate GIDA (Score &lt; 40.0)"))</f>
        <v/>
      </c>
      <c r="V204" s="26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W204" s="28" t="n">
        <v>0.109</v>
      </c>
      <c r="X204" s="14" t="n">
        <v>50.45</v>
      </c>
      <c r="Y204" s="14">
        <f>ROUND(MIN(100, (X204/69.91)*100), 2)</f>
        <v/>
      </c>
    </row>
    <row r="205">
      <c r="A205" s="10" t="n">
        <v>2</v>
      </c>
      <c r="B205" s="10" t="n">
        <v>201</v>
      </c>
      <c r="C205" s="10" t="n">
        <v>1201</v>
      </c>
      <c r="D205" s="10" t="inlineStr">
        <is>
          <t>1908706002</t>
        </is>
      </c>
      <c r="E205" s="26" t="inlineStr">
        <is>
          <t>Bangsamoro Autonomous Region In Muslim Mindanao (BARMM)</t>
        </is>
      </c>
      <c r="F205" s="26" t="inlineStr">
        <is>
          <t>Maguindanao del Norte</t>
        </is>
      </c>
      <c r="G205" s="26" t="inlineStr">
        <is>
          <t>Kabuntalan</t>
        </is>
      </c>
      <c r="H205" s="26" t="inlineStr">
        <is>
          <t>Buterin</t>
        </is>
      </c>
      <c r="I205" s="27" t="n">
        <v>17.254108</v>
      </c>
      <c r="J205" s="27" t="n">
        <v>122.228152</v>
      </c>
      <c r="K205" s="10" t="inlineStr">
        <is>
          <t>R</t>
        </is>
      </c>
      <c r="L205" s="12" t="n">
        <v>3136</v>
      </c>
      <c r="M205" s="14" t="n">
        <v>4.3</v>
      </c>
      <c r="N205" s="12">
        <f>ROUND(L205/M205, 0)</f>
        <v/>
      </c>
      <c r="O205" s="12">
        <f>ROUND(N205*'Methodology &amp; Assumptions'!$B$5, 0)</f>
        <v/>
      </c>
      <c r="P205" s="10" t="inlineStr">
        <is>
          <t>Single Carrier (Band n50, 100MHz TDD)</t>
        </is>
      </c>
      <c r="Q205" s="13">
        <f>ROUNDUP(O205/'Methodology &amp; Assumptions'!$B$6, 0)</f>
        <v/>
      </c>
      <c r="R205" s="13" t="n">
        <v>1</v>
      </c>
      <c r="S205" s="14" t="n">
        <v>29.3</v>
      </c>
      <c r="T205" s="14" t="n">
        <v>34.2</v>
      </c>
      <c r="U205" s="26">
        <f>IF(X205&gt;='Methodology &amp; Assumptions'!$B$7, "Tier 1 Critical GIDA (Score ≥ 50.0)", IF(X205&gt;='Methodology &amp; Assumptions'!$B$8, "Tier 2 High GIDA (Score 40.0–49.9)", "Tier 3 Moderate GIDA (Score &lt; 40.0)"))</f>
        <v/>
      </c>
      <c r="V205" s="26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W205" s="28" t="n">
        <v>0.11</v>
      </c>
      <c r="X205" s="14" t="n">
        <v>50.43</v>
      </c>
      <c r="Y205" s="14">
        <f>ROUND(MIN(100, (X205/69.91)*100), 2)</f>
        <v/>
      </c>
    </row>
    <row r="206">
      <c r="A206" s="10" t="n">
        <v>2</v>
      </c>
      <c r="B206" s="10" t="n">
        <v>202</v>
      </c>
      <c r="C206" s="10" t="n">
        <v>1202</v>
      </c>
      <c r="D206" s="10" t="inlineStr">
        <is>
          <t>1380603014</t>
        </is>
      </c>
      <c r="E206" s="26" t="inlineStr">
        <is>
          <t>National Capital Region (NCR)</t>
        </is>
      </c>
      <c r="F206" s="26" t="inlineStr">
        <is>
          <t>First District (Not a Province)</t>
        </is>
      </c>
      <c r="G206" s="26" t="inlineStr">
        <is>
          <t>City of Manila</t>
        </is>
      </c>
      <c r="H206" s="26" t="inlineStr">
        <is>
          <t>Barangay 394</t>
        </is>
      </c>
      <c r="I206" s="27" t="n">
        <v>12.68732</v>
      </c>
      <c r="J206" s="27" t="n">
        <v>121.622572</v>
      </c>
      <c r="K206" s="10" t="inlineStr">
        <is>
          <t>U</t>
        </is>
      </c>
      <c r="L206" s="12" t="n">
        <v>1477</v>
      </c>
      <c r="M206" s="14" t="n">
        <v>3.9</v>
      </c>
      <c r="N206" s="12">
        <f>ROUND(L206/M206, 0)</f>
        <v/>
      </c>
      <c r="O206" s="12">
        <f>ROUND(N206*'Methodology &amp; Assumptions'!$B$5, 0)</f>
        <v/>
      </c>
      <c r="P206" s="10" t="inlineStr">
        <is>
          <t>Single Carrier (Band n50, 100MHz TDD)</t>
        </is>
      </c>
      <c r="Q206" s="13">
        <f>ROUNDUP(O206/'Methodology &amp; Assumptions'!$B$6, 0)</f>
        <v/>
      </c>
      <c r="R206" s="13" t="n">
        <v>1</v>
      </c>
      <c r="S206" s="14" t="n">
        <v>12.04</v>
      </c>
      <c r="T206" s="14" t="n">
        <v>12</v>
      </c>
      <c r="U206" s="26">
        <f>IF(X206&gt;='Methodology &amp; Assumptions'!$B$7, "Tier 1 Critical GIDA (Score ≥ 50.0)", IF(X206&gt;='Methodology &amp; Assumptions'!$B$8, "Tier 2 High GIDA (Score 40.0–49.9)", "Tier 3 Moderate GIDA (Score &lt; 40.0)"))</f>
        <v/>
      </c>
      <c r="V206" s="26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W206" s="28" t="n">
        <v>0.109</v>
      </c>
      <c r="X206" s="14" t="n">
        <v>50.42</v>
      </c>
      <c r="Y206" s="14">
        <f>ROUND(MIN(100, (X206/69.91)*100), 2)</f>
        <v/>
      </c>
    </row>
    <row r="207">
      <c r="A207" s="10" t="n">
        <v>2</v>
      </c>
      <c r="B207" s="10" t="n">
        <v>203</v>
      </c>
      <c r="C207" s="10" t="n">
        <v>1203</v>
      </c>
      <c r="D207" s="10" t="inlineStr">
        <is>
          <t>0804807010</t>
        </is>
      </c>
      <c r="E207" s="26" t="inlineStr">
        <is>
          <t>Region VIII (Eastern Visayas)</t>
        </is>
      </c>
      <c r="F207" s="26" t="inlineStr">
        <is>
          <t>Northern Samar</t>
        </is>
      </c>
      <c r="G207" s="26" t="inlineStr">
        <is>
          <t>Gamay</t>
        </is>
      </c>
      <c r="H207" s="26" t="inlineStr">
        <is>
          <t>Dao</t>
        </is>
      </c>
      <c r="I207" s="27" t="n">
        <v>12.40247</v>
      </c>
      <c r="J207" s="27" t="n">
        <v>125.32273</v>
      </c>
      <c r="K207" s="10" t="inlineStr">
        <is>
          <t>R</t>
        </is>
      </c>
      <c r="L207" s="12" t="n">
        <v>1026</v>
      </c>
      <c r="M207" s="14" t="n">
        <v>4.3</v>
      </c>
      <c r="N207" s="12">
        <f>ROUND(L207/M207, 0)</f>
        <v/>
      </c>
      <c r="O207" s="12">
        <f>ROUND(N207*'Methodology &amp; Assumptions'!$B$5, 0)</f>
        <v/>
      </c>
      <c r="P207" s="10" t="inlineStr">
        <is>
          <t>Single Carrier (Band n50, 100MHz TDD)</t>
        </is>
      </c>
      <c r="Q207" s="13">
        <f>ROUNDUP(O207/'Methodology &amp; Assumptions'!$B$6, 0)</f>
        <v/>
      </c>
      <c r="R207" s="13" t="n">
        <v>1</v>
      </c>
      <c r="S207" s="14" t="n">
        <v>133.92</v>
      </c>
      <c r="T207" s="14" t="n">
        <v>133.96</v>
      </c>
      <c r="U207" s="26">
        <f>IF(X207&gt;='Methodology &amp; Assumptions'!$B$7, "Tier 1 Critical GIDA (Score ≥ 50.0)", IF(X207&gt;='Methodology &amp; Assumptions'!$B$8, "Tier 2 High GIDA (Score 40.0–49.9)", "Tier 3 Moderate GIDA (Score &lt; 40.0)"))</f>
        <v/>
      </c>
      <c r="V207" s="26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W207" s="28" t="n">
        <v>0.237</v>
      </c>
      <c r="X207" s="14" t="n">
        <v>50.41</v>
      </c>
      <c r="Y207" s="14">
        <f>ROUND(MIN(100, (X207/69.91)*100), 2)</f>
        <v/>
      </c>
    </row>
    <row r="208">
      <c r="A208" s="10" t="n">
        <v>2</v>
      </c>
      <c r="B208" s="10" t="n">
        <v>204</v>
      </c>
      <c r="C208" s="10" t="n">
        <v>1204</v>
      </c>
      <c r="D208" s="10" t="inlineStr">
        <is>
          <t>0504101022</t>
        </is>
      </c>
      <c r="E208" s="26" t="inlineStr">
        <is>
          <t>Region V (Bicol Region)</t>
        </is>
      </c>
      <c r="F208" s="26" t="inlineStr">
        <is>
          <t>Masbate</t>
        </is>
      </c>
      <c r="G208" s="26" t="inlineStr">
        <is>
          <t>Aroroy</t>
        </is>
      </c>
      <c r="H208" s="26" t="inlineStr">
        <is>
          <t>Manamoc</t>
        </is>
      </c>
      <c r="I208" s="27" t="n">
        <v>12.349864</v>
      </c>
      <c r="J208" s="27" t="n">
        <v>123.442116</v>
      </c>
      <c r="K208" s="10" t="inlineStr">
        <is>
          <t>R</t>
        </is>
      </c>
      <c r="L208" s="12" t="n">
        <v>1119</v>
      </c>
      <c r="M208" s="14" t="n">
        <v>4.1</v>
      </c>
      <c r="N208" s="12">
        <f>ROUND(L208/M208, 0)</f>
        <v/>
      </c>
      <c r="O208" s="12">
        <f>ROUND(N208*'Methodology &amp; Assumptions'!$B$5, 0)</f>
        <v/>
      </c>
      <c r="P208" s="10" t="inlineStr">
        <is>
          <t>Single Carrier (Band n50, 100MHz TDD)</t>
        </is>
      </c>
      <c r="Q208" s="13">
        <f>ROUNDUP(O208/'Methodology &amp; Assumptions'!$B$6, 0)</f>
        <v/>
      </c>
      <c r="R208" s="13" t="n">
        <v>1</v>
      </c>
      <c r="S208" s="14" t="n">
        <v>14.84</v>
      </c>
      <c r="T208" s="14" t="n">
        <v>9.35</v>
      </c>
      <c r="U208" s="26">
        <f>IF(X208&gt;='Methodology &amp; Assumptions'!$B$7, "Tier 1 Critical GIDA (Score ≥ 50.0)", IF(X208&gt;='Methodology &amp; Assumptions'!$B$8, "Tier 2 High GIDA (Score 40.0–49.9)", "Tier 3 Moderate GIDA (Score &lt; 40.0)"))</f>
        <v/>
      </c>
      <c r="V208" s="26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W208" s="28" t="n">
        <v>0.237</v>
      </c>
      <c r="X208" s="14" t="n">
        <v>50.41</v>
      </c>
      <c r="Y208" s="14">
        <f>ROUND(MIN(100, (X208/69.91)*100), 2)</f>
        <v/>
      </c>
    </row>
    <row r="209">
      <c r="A209" s="10" t="n">
        <v>2</v>
      </c>
      <c r="B209" s="10" t="n">
        <v>205</v>
      </c>
      <c r="C209" s="10" t="n">
        <v>1205</v>
      </c>
      <c r="D209" s="10" t="inlineStr">
        <is>
          <t>0802615010</t>
        </is>
      </c>
      <c r="E209" s="26" t="inlineStr">
        <is>
          <t>Region VIII (Eastern Visayas)</t>
        </is>
      </c>
      <c r="F209" s="26" t="inlineStr">
        <is>
          <t>Eastern Samar</t>
        </is>
      </c>
      <c r="G209" s="26" t="inlineStr">
        <is>
          <t>Maydolong</t>
        </is>
      </c>
      <c r="H209" s="26" t="inlineStr">
        <is>
          <t>Maytigbao</t>
        </is>
      </c>
      <c r="I209" s="27" t="n">
        <v>11.472932</v>
      </c>
      <c r="J209" s="27" t="n">
        <v>125.469103</v>
      </c>
      <c r="K209" s="10" t="inlineStr">
        <is>
          <t>R</t>
        </is>
      </c>
      <c r="L209" s="12" t="n">
        <v>232</v>
      </c>
      <c r="M209" s="14" t="n">
        <v>3.9</v>
      </c>
      <c r="N209" s="12">
        <f>ROUND(L209/M209, 0)</f>
        <v/>
      </c>
      <c r="O209" s="12">
        <f>ROUND(N209*'Methodology &amp; Assumptions'!$B$5, 0)</f>
        <v/>
      </c>
      <c r="P209" s="10" t="inlineStr">
        <is>
          <t>Single Carrier (Band n50, 100MHz TDD)</t>
        </is>
      </c>
      <c r="Q209" s="13">
        <f>ROUNDUP(O209/'Methodology &amp; Assumptions'!$B$6, 0)</f>
        <v/>
      </c>
      <c r="R209" s="13" t="n">
        <v>1</v>
      </c>
      <c r="S209" s="14" t="n">
        <v>57.11</v>
      </c>
      <c r="T209" s="14" t="n">
        <v>57.26</v>
      </c>
      <c r="U209" s="26">
        <f>IF(X209&gt;='Methodology &amp; Assumptions'!$B$7, "Tier 1 Critical GIDA (Score ≥ 50.0)", IF(X209&gt;='Methodology &amp; Assumptions'!$B$8, "Tier 2 High GIDA (Score 40.0–49.9)", "Tier 3 Moderate GIDA (Score &lt; 40.0)"))</f>
        <v/>
      </c>
      <c r="V209" s="26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W209" s="28" t="n">
        <v>0.237</v>
      </c>
      <c r="X209" s="14" t="n">
        <v>50.41</v>
      </c>
      <c r="Y209" s="14">
        <f>ROUND(MIN(100, (X209/69.91)*100), 2)</f>
        <v/>
      </c>
    </row>
    <row r="210">
      <c r="A210" s="10" t="n">
        <v>2</v>
      </c>
      <c r="B210" s="10" t="n">
        <v>206</v>
      </c>
      <c r="C210" s="10" t="n">
        <v>1206</v>
      </c>
      <c r="D210" s="10" t="inlineStr">
        <is>
          <t>PH0001206</t>
        </is>
      </c>
      <c r="E210" s="26" t="inlineStr">
        <is>
          <t>V</t>
        </is>
      </c>
      <c r="F210" s="26" t="inlineStr">
        <is>
          <t>Camarines Sur</t>
        </is>
      </c>
      <c r="G210" s="26" t="inlineStr">
        <is>
          <t>Naga City</t>
        </is>
      </c>
      <c r="H210" s="26" t="inlineStr">
        <is>
          <t>Dinaga</t>
        </is>
      </c>
      <c r="I210" s="27" t="n">
        <v>13.628831</v>
      </c>
      <c r="J210" s="27" t="n">
        <v>123.224723</v>
      </c>
      <c r="K210" s="10" t="inlineStr">
        <is>
          <t>R</t>
        </is>
      </c>
      <c r="L210" s="12" t="n">
        <v>2195</v>
      </c>
      <c r="M210" s="14" t="n">
        <v>4.2</v>
      </c>
      <c r="N210" s="12">
        <f>ROUND(L210/M210, 0)</f>
        <v/>
      </c>
      <c r="O210" s="12">
        <f>ROUND(N210*'Methodology &amp; Assumptions'!$B$5, 0)</f>
        <v/>
      </c>
      <c r="P210" s="10" t="inlineStr">
        <is>
          <t>Single Carrier (Band n50, 100MHz TDD)</t>
        </is>
      </c>
      <c r="Q210" s="13">
        <f>ROUNDUP(O210/'Methodology &amp; Assumptions'!$B$6, 0)</f>
        <v/>
      </c>
      <c r="R210" s="13" t="n">
        <v>1</v>
      </c>
      <c r="S210" s="14" t="n">
        <v>2.77</v>
      </c>
      <c r="T210" s="14" t="n">
        <v>1.37</v>
      </c>
      <c r="U210" s="26">
        <f>IF(X210&gt;='Methodology &amp; Assumptions'!$B$7, "Tier 1 Critical GIDA (Score ≥ 50.0)", IF(X210&gt;='Methodology &amp; Assumptions'!$B$8, "Tier 2 High GIDA (Score 40.0–49.9)", "Tier 3 Moderate GIDA (Score &lt; 40.0)"))</f>
        <v/>
      </c>
      <c r="V210" s="26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W210" s="28" t="n">
        <v>0.07200000000000001</v>
      </c>
      <c r="X210" s="14" t="n">
        <v>50.41</v>
      </c>
      <c r="Y210" s="14">
        <f>ROUND(MIN(100, (X210/69.91)*100), 2)</f>
        <v/>
      </c>
    </row>
    <row r="211">
      <c r="A211" s="10" t="n">
        <v>2</v>
      </c>
      <c r="B211" s="10" t="n">
        <v>207</v>
      </c>
      <c r="C211" s="10" t="n">
        <v>1207</v>
      </c>
      <c r="D211" s="10" t="inlineStr">
        <is>
          <t>1380601165</t>
        </is>
      </c>
      <c r="E211" s="26" t="inlineStr">
        <is>
          <t>National Capital Region (NCR)</t>
        </is>
      </c>
      <c r="F211" s="26" t="inlineStr">
        <is>
          <t>First District (Not a Province)</t>
        </is>
      </c>
      <c r="G211" s="26" t="inlineStr">
        <is>
          <t>City of Manila</t>
        </is>
      </c>
      <c r="H211" s="26" t="inlineStr">
        <is>
          <t>Barangay 165</t>
        </is>
      </c>
      <c r="I211" s="27" t="n">
        <v>13.122611</v>
      </c>
      <c r="J211" s="27" t="n">
        <v>121.7522</v>
      </c>
      <c r="K211" s="10" t="inlineStr">
        <is>
          <t>U</t>
        </is>
      </c>
      <c r="L211" s="12" t="n">
        <v>1045</v>
      </c>
      <c r="M211" s="14" t="n">
        <v>3.9</v>
      </c>
      <c r="N211" s="12">
        <f>ROUND(L211/M211, 0)</f>
        <v/>
      </c>
      <c r="O211" s="12">
        <f>ROUND(N211*'Methodology &amp; Assumptions'!$B$5, 0)</f>
        <v/>
      </c>
      <c r="P211" s="10" t="inlineStr">
        <is>
          <t>Single Carrier (Band n50, 100MHz TDD)</t>
        </is>
      </c>
      <c r="Q211" s="13">
        <f>ROUNDUP(O211/'Methodology &amp; Assumptions'!$B$6, 0)</f>
        <v/>
      </c>
      <c r="R211" s="13" t="n">
        <v>1</v>
      </c>
      <c r="S211" s="14" t="n">
        <v>27.37</v>
      </c>
      <c r="T211" s="14" t="n">
        <v>30.96</v>
      </c>
      <c r="U211" s="26">
        <f>IF(X211&gt;='Methodology &amp; Assumptions'!$B$7, "Tier 1 Critical GIDA (Score ≥ 50.0)", IF(X211&gt;='Methodology &amp; Assumptions'!$B$8, "Tier 2 High GIDA (Score 40.0–49.9)", "Tier 3 Moderate GIDA (Score &lt; 40.0)"))</f>
        <v/>
      </c>
      <c r="V211" s="26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W211" s="28" t="n">
        <v>0.109</v>
      </c>
      <c r="X211" s="14" t="n">
        <v>50.4</v>
      </c>
      <c r="Y211" s="14">
        <f>ROUND(MIN(100, (X211/69.91)*100), 2)</f>
        <v/>
      </c>
    </row>
    <row r="212">
      <c r="A212" s="10" t="n">
        <v>2</v>
      </c>
      <c r="B212" s="10" t="n">
        <v>208</v>
      </c>
      <c r="C212" s="10" t="n">
        <v>1208</v>
      </c>
      <c r="D212" s="10" t="inlineStr">
        <is>
          <t>0802615008</t>
        </is>
      </c>
      <c r="E212" s="26" t="inlineStr">
        <is>
          <t>Region VIII (Eastern Visayas)</t>
        </is>
      </c>
      <c r="F212" s="26" t="inlineStr">
        <is>
          <t>Eastern Samar</t>
        </is>
      </c>
      <c r="G212" s="26" t="inlineStr">
        <is>
          <t>Maydolong</t>
        </is>
      </c>
      <c r="H212" s="26" t="inlineStr">
        <is>
          <t>Malobago</t>
        </is>
      </c>
      <c r="I212" s="27" t="n">
        <v>11.50244</v>
      </c>
      <c r="J212" s="27" t="n">
        <v>125.41956</v>
      </c>
      <c r="K212" s="10" t="inlineStr">
        <is>
          <t>R</t>
        </is>
      </c>
      <c r="L212" s="12" t="n">
        <v>499</v>
      </c>
      <c r="M212" s="14" t="n">
        <v>3.9</v>
      </c>
      <c r="N212" s="12">
        <f>ROUND(L212/M212, 0)</f>
        <v/>
      </c>
      <c r="O212" s="12">
        <f>ROUND(N212*'Methodology &amp; Assumptions'!$B$5, 0)</f>
        <v/>
      </c>
      <c r="P212" s="10" t="inlineStr">
        <is>
          <t>Single Carrier (Band n50, 100MHz TDD)</t>
        </is>
      </c>
      <c r="Q212" s="13">
        <f>ROUNDUP(O212/'Methodology &amp; Assumptions'!$B$6, 0)</f>
        <v/>
      </c>
      <c r="R212" s="13" t="n">
        <v>1</v>
      </c>
      <c r="S212" s="14" t="n">
        <v>54.05</v>
      </c>
      <c r="T212" s="14" t="n">
        <v>54.63</v>
      </c>
      <c r="U212" s="26">
        <f>IF(X212&gt;='Methodology &amp; Assumptions'!$B$7, "Tier 1 Critical GIDA (Score ≥ 50.0)", IF(X212&gt;='Methodology &amp; Assumptions'!$B$8, "Tier 2 High GIDA (Score 40.0–49.9)", "Tier 3 Moderate GIDA (Score &lt; 40.0)"))</f>
        <v/>
      </c>
      <c r="V212" s="26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W212" s="28" t="n">
        <v>0.237</v>
      </c>
      <c r="X212" s="14" t="n">
        <v>50.4</v>
      </c>
      <c r="Y212" s="14">
        <f>ROUND(MIN(100, (X212/69.91)*100), 2)</f>
        <v/>
      </c>
    </row>
    <row r="213">
      <c r="A213" s="10" t="n">
        <v>2</v>
      </c>
      <c r="B213" s="10" t="n">
        <v>209</v>
      </c>
      <c r="C213" s="10" t="n">
        <v>1209</v>
      </c>
      <c r="D213" s="10" t="inlineStr">
        <is>
          <t>0804805021</t>
        </is>
      </c>
      <c r="E213" s="26" t="inlineStr">
        <is>
          <t>Region VIII (Eastern Visayas)</t>
        </is>
      </c>
      <c r="F213" s="26" t="inlineStr">
        <is>
          <t>Northern Samar</t>
        </is>
      </c>
      <c r="G213" s="26" t="inlineStr">
        <is>
          <t>Catarman</t>
        </is>
      </c>
      <c r="H213" s="26" t="inlineStr">
        <is>
          <t>Gebalagnan</t>
        </is>
      </c>
      <c r="I213" s="27" t="n">
        <v>12.376944</v>
      </c>
      <c r="J213" s="27" t="n">
        <v>124.681356</v>
      </c>
      <c r="K213" s="10" t="inlineStr">
        <is>
          <t>R</t>
        </is>
      </c>
      <c r="L213" s="12" t="n">
        <v>427</v>
      </c>
      <c r="M213" s="14" t="n">
        <v>4.3</v>
      </c>
      <c r="N213" s="12">
        <f>ROUND(L213/M213, 0)</f>
        <v/>
      </c>
      <c r="O213" s="12">
        <f>ROUND(N213*'Methodology &amp; Assumptions'!$B$5, 0)</f>
        <v/>
      </c>
      <c r="P213" s="10" t="inlineStr">
        <is>
          <t>Single Carrier (Band n50, 100MHz TDD)</t>
        </is>
      </c>
      <c r="Q213" s="13">
        <f>ROUNDUP(O213/'Methodology &amp; Assumptions'!$B$6, 0)</f>
        <v/>
      </c>
      <c r="R213" s="13" t="n">
        <v>1</v>
      </c>
      <c r="S213" s="14" t="n">
        <v>69.15000000000001</v>
      </c>
      <c r="T213" s="14" t="n">
        <v>68.77</v>
      </c>
      <c r="U213" s="26">
        <f>IF(X213&gt;='Methodology &amp; Assumptions'!$B$7, "Tier 1 Critical GIDA (Score ≥ 50.0)", IF(X213&gt;='Methodology &amp; Assumptions'!$B$8, "Tier 2 High GIDA (Score 40.0–49.9)", "Tier 3 Moderate GIDA (Score &lt; 40.0)"))</f>
        <v/>
      </c>
      <c r="V213" s="26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W213" s="28" t="n">
        <v>0.237</v>
      </c>
      <c r="X213" s="14" t="n">
        <v>50.4</v>
      </c>
      <c r="Y213" s="14">
        <f>ROUND(MIN(100, (X213/69.91)*100), 2)</f>
        <v/>
      </c>
    </row>
    <row r="214">
      <c r="A214" s="10" t="n">
        <v>2</v>
      </c>
      <c r="B214" s="10" t="n">
        <v>210</v>
      </c>
      <c r="C214" s="10" t="n">
        <v>1210</v>
      </c>
      <c r="D214" s="10" t="inlineStr">
        <is>
          <t>1906619003</t>
        </is>
      </c>
      <c r="E214" s="26" t="inlineStr">
        <is>
          <t>Bangsamoro Autonomous Region In Muslim Mindanao (BARMM)</t>
        </is>
      </c>
      <c r="F214" s="26" t="inlineStr">
        <is>
          <t>Sulu</t>
        </is>
      </c>
      <c r="G214" s="26" t="inlineStr">
        <is>
          <t>Omar</t>
        </is>
      </c>
      <c r="H214" s="26" t="inlineStr">
        <is>
          <t>Capual Island</t>
        </is>
      </c>
      <c r="I214" s="27" t="n">
        <v>17.255513</v>
      </c>
      <c r="J214" s="27" t="n">
        <v>122.229557</v>
      </c>
      <c r="K214" s="10" t="inlineStr">
        <is>
          <t>U</t>
        </is>
      </c>
      <c r="L214" s="12" t="n">
        <v>8706</v>
      </c>
      <c r="M214" s="14" t="n">
        <v>6</v>
      </c>
      <c r="N214" s="12">
        <f>ROUND(L214/M214, 0)</f>
        <v/>
      </c>
      <c r="O214" s="12">
        <f>ROUND(N214*'Methodology &amp; Assumptions'!$B$5, 0)</f>
        <v/>
      </c>
      <c r="P214" s="10" t="inlineStr">
        <is>
          <t>Single Carrier (Band n50, 100MHz TDD)</t>
        </is>
      </c>
      <c r="Q214" s="13">
        <f>ROUNDUP(O214/'Methodology &amp; Assumptions'!$B$6, 0)</f>
        <v/>
      </c>
      <c r="R214" s="13" t="n">
        <v>1</v>
      </c>
      <c r="S214" s="14" t="n">
        <v>29.52</v>
      </c>
      <c r="T214" s="14" t="n">
        <v>34.39</v>
      </c>
      <c r="U214" s="26">
        <f>IF(X214&gt;='Methodology &amp; Assumptions'!$B$7, "Tier 1 Critical GIDA (Score ≥ 50.0)", IF(X214&gt;='Methodology &amp; Assumptions'!$B$8, "Tier 2 High GIDA (Score 40.0–49.9)", "Tier 3 Moderate GIDA (Score &lt; 40.0)"))</f>
        <v/>
      </c>
      <c r="V214" s="26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W214" s="28" t="n">
        <v>0.11</v>
      </c>
      <c r="X214" s="14" t="n">
        <v>50.4</v>
      </c>
      <c r="Y214" s="14">
        <f>ROUND(MIN(100, (X214/69.91)*100), 2)</f>
        <v/>
      </c>
    </row>
    <row r="215">
      <c r="A215" s="10" t="n">
        <v>2</v>
      </c>
      <c r="B215" s="10" t="n">
        <v>211</v>
      </c>
      <c r="C215" s="10" t="n">
        <v>1211</v>
      </c>
      <c r="D215" s="10" t="inlineStr">
        <is>
          <t>0405801009</t>
        </is>
      </c>
      <c r="E215" s="26" t="inlineStr">
        <is>
          <t>Region IV-A (CALABARZON)</t>
        </is>
      </c>
      <c r="F215" s="26" t="inlineStr">
        <is>
          <t>Rizal</t>
        </is>
      </c>
      <c r="G215" s="26" t="inlineStr">
        <is>
          <t>Angono</t>
        </is>
      </c>
      <c r="H215" s="26" t="inlineStr">
        <is>
          <t>San Isidro</t>
        </is>
      </c>
      <c r="I215" s="27" t="n">
        <v>14.529549</v>
      </c>
      <c r="J215" s="27" t="n">
        <v>121.154264</v>
      </c>
      <c r="K215" s="10" t="inlineStr">
        <is>
          <t>U</t>
        </is>
      </c>
      <c r="L215" s="12" t="n">
        <v>32767</v>
      </c>
      <c r="M215" s="14" t="n">
        <v>3.6</v>
      </c>
      <c r="N215" s="12">
        <f>ROUND(L215/M215, 0)</f>
        <v/>
      </c>
      <c r="O215" s="12">
        <f>ROUND(N215*'Methodology &amp; Assumptions'!$B$5, 0)</f>
        <v/>
      </c>
      <c r="P215" s="10" t="inlineStr">
        <is>
          <t>Single Carrier (Band n50, 100MHz TDD)</t>
        </is>
      </c>
      <c r="Q215" s="13">
        <f>ROUNDUP(O215/'Methodology &amp; Assumptions'!$B$6, 0)</f>
        <v/>
      </c>
      <c r="R215" s="13" t="n">
        <v>1</v>
      </c>
      <c r="S215" s="14" t="n">
        <v>0.23</v>
      </c>
      <c r="T215" s="14" t="n">
        <v>0.07000000000000001</v>
      </c>
      <c r="U215" s="26">
        <f>IF(X215&gt;='Methodology &amp; Assumptions'!$B$7, "Tier 1 Critical GIDA (Score ≥ 50.0)", IF(X215&gt;='Methodology &amp; Assumptions'!$B$8, "Tier 2 High GIDA (Score 40.0–49.9)", "Tier 3 Moderate GIDA (Score &lt; 40.0)"))</f>
        <v/>
      </c>
      <c r="V215" s="26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W215" s="28" t="n">
        <v>0.07200000000000001</v>
      </c>
      <c r="X215" s="14" t="n">
        <v>50.39</v>
      </c>
      <c r="Y215" s="14">
        <f>ROUND(MIN(100, (X215/69.91)*100), 2)</f>
        <v/>
      </c>
    </row>
    <row r="216">
      <c r="A216" s="10" t="n">
        <v>2</v>
      </c>
      <c r="B216" s="10" t="n">
        <v>212</v>
      </c>
      <c r="C216" s="10" t="n">
        <v>1212</v>
      </c>
      <c r="D216" s="10" t="inlineStr">
        <is>
          <t>1208001011</t>
        </is>
      </c>
      <c r="E216" s="26" t="inlineStr">
        <is>
          <t>Region XII (SOCCSKSARGEN)</t>
        </is>
      </c>
      <c r="F216" s="26" t="inlineStr">
        <is>
          <t>Sarangani</t>
        </is>
      </c>
      <c r="G216" s="26" t="inlineStr">
        <is>
          <t>Alabel</t>
        </is>
      </c>
      <c r="H216" s="26" t="inlineStr">
        <is>
          <t>Spring</t>
        </is>
      </c>
      <c r="I216" s="27" t="n">
        <v>6.076027</v>
      </c>
      <c r="J216" s="27" t="n">
        <v>125.315374</v>
      </c>
      <c r="K216" s="10" t="inlineStr">
        <is>
          <t>U</t>
        </is>
      </c>
      <c r="L216" s="12" t="n">
        <v>5630</v>
      </c>
      <c r="M216" s="14" t="n">
        <v>3.9</v>
      </c>
      <c r="N216" s="12">
        <f>ROUND(L216/M216, 0)</f>
        <v/>
      </c>
      <c r="O216" s="12">
        <f>ROUND(N216*'Methodology &amp; Assumptions'!$B$5, 0)</f>
        <v/>
      </c>
      <c r="P216" s="10" t="inlineStr">
        <is>
          <t>Single Carrier (Band n50, 100MHz TDD)</t>
        </is>
      </c>
      <c r="Q216" s="13">
        <f>ROUNDUP(O216/'Methodology &amp; Assumptions'!$B$6, 0)</f>
        <v/>
      </c>
      <c r="R216" s="13" t="n">
        <v>1</v>
      </c>
      <c r="S216" s="14" t="n">
        <v>5.24</v>
      </c>
      <c r="T216" s="14" t="n">
        <v>14.03</v>
      </c>
      <c r="U216" s="26">
        <f>IF(X216&gt;='Methodology &amp; Assumptions'!$B$7, "Tier 1 Critical GIDA (Score ≥ 50.0)", IF(X216&gt;='Methodology &amp; Assumptions'!$B$8, "Tier 2 High GIDA (Score 40.0–49.9)", "Tier 3 Moderate GIDA (Score &lt; 40.0)"))</f>
        <v/>
      </c>
      <c r="V216" s="26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W216" s="28" t="n">
        <v>0.174</v>
      </c>
      <c r="X216" s="14" t="n">
        <v>50.38</v>
      </c>
      <c r="Y216" s="14">
        <f>ROUND(MIN(100, (X216/69.91)*100), 2)</f>
        <v/>
      </c>
    </row>
    <row r="217">
      <c r="A217" s="10" t="n">
        <v>2</v>
      </c>
      <c r="B217" s="10" t="n">
        <v>213</v>
      </c>
      <c r="C217" s="10" t="n">
        <v>1213</v>
      </c>
      <c r="D217" s="10" t="inlineStr">
        <is>
          <t>1381100098</t>
        </is>
      </c>
      <c r="E217" s="26" t="inlineStr">
        <is>
          <t>National Capital Region (NCR)</t>
        </is>
      </c>
      <c r="F217" s="26" t="inlineStr">
        <is>
          <t>Fourth District (Not a Province)</t>
        </is>
      </c>
      <c r="G217" s="26" t="inlineStr">
        <is>
          <t>Pasay City</t>
        </is>
      </c>
      <c r="H217" s="26" t="inlineStr">
        <is>
          <t>Barangay 98</t>
        </is>
      </c>
      <c r="I217" s="27" t="n">
        <v>14.546465</v>
      </c>
      <c r="J217" s="27" t="n">
        <v>121.021887</v>
      </c>
      <c r="K217" s="10" t="inlineStr">
        <is>
          <t>U</t>
        </is>
      </c>
      <c r="L217" s="12" t="n">
        <v>1529</v>
      </c>
      <c r="M217" s="14" t="n">
        <v>3.4</v>
      </c>
      <c r="N217" s="12">
        <f>ROUND(L217/M217, 0)</f>
        <v/>
      </c>
      <c r="O217" s="12">
        <f>ROUND(N217*'Methodology &amp; Assumptions'!$B$5, 0)</f>
        <v/>
      </c>
      <c r="P217" s="10" t="inlineStr">
        <is>
          <t>Single Carrier (Band n50, 100MHz TDD)</t>
        </is>
      </c>
      <c r="Q217" s="13">
        <f>ROUNDUP(O217/'Methodology &amp; Assumptions'!$B$6, 0)</f>
        <v/>
      </c>
      <c r="R217" s="13" t="n">
        <v>1</v>
      </c>
      <c r="S217" s="14" t="n">
        <v>0.84</v>
      </c>
      <c r="T217" s="14" t="n">
        <v>0.41</v>
      </c>
      <c r="U217" s="26">
        <f>IF(X217&gt;='Methodology &amp; Assumptions'!$B$7, "Tier 1 Critical GIDA (Score ≥ 50.0)", IF(X217&gt;='Methodology &amp; Assumptions'!$B$8, "Tier 2 High GIDA (Score 40.0–49.9)", "Tier 3 Moderate GIDA (Score &lt; 40.0)"))</f>
        <v/>
      </c>
      <c r="V217" s="26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W217" s="28" t="n">
        <v>0.109</v>
      </c>
      <c r="X217" s="14" t="n">
        <v>50.38</v>
      </c>
      <c r="Y217" s="14">
        <f>ROUND(MIN(100, (X217/69.91)*100), 2)</f>
        <v/>
      </c>
    </row>
    <row r="218">
      <c r="A218" s="10" t="n">
        <v>2</v>
      </c>
      <c r="B218" s="10" t="n">
        <v>214</v>
      </c>
      <c r="C218" s="10" t="n">
        <v>1214</v>
      </c>
      <c r="D218" s="10" t="inlineStr">
        <is>
          <t>1381100036</t>
        </is>
      </c>
      <c r="E218" s="26" t="inlineStr">
        <is>
          <t>National Capital Region (NCR)</t>
        </is>
      </c>
      <c r="F218" s="26" t="inlineStr">
        <is>
          <t>Fourth District (Not a Province)</t>
        </is>
      </c>
      <c r="G218" s="26" t="inlineStr">
        <is>
          <t>Pasay City</t>
        </is>
      </c>
      <c r="H218" s="26" t="inlineStr">
        <is>
          <t>Barangay 36</t>
        </is>
      </c>
      <c r="I218" s="27" t="n">
        <v>14.523775</v>
      </c>
      <c r="J218" s="27" t="n">
        <v>120.993488</v>
      </c>
      <c r="K218" s="10" t="inlineStr">
        <is>
          <t>U</t>
        </is>
      </c>
      <c r="L218" s="12" t="n">
        <v>3907</v>
      </c>
      <c r="M218" s="14" t="n">
        <v>3.4</v>
      </c>
      <c r="N218" s="12">
        <f>ROUND(L218/M218, 0)</f>
        <v/>
      </c>
      <c r="O218" s="12">
        <f>ROUND(N218*'Methodology &amp; Assumptions'!$B$5, 0)</f>
        <v/>
      </c>
      <c r="P218" s="10" t="inlineStr">
        <is>
          <t>Single Carrier (Band n50, 100MHz TDD)</t>
        </is>
      </c>
      <c r="Q218" s="13">
        <f>ROUNDUP(O218/'Methodology &amp; Assumptions'!$B$6, 0)</f>
        <v/>
      </c>
      <c r="R218" s="13" t="n">
        <v>1</v>
      </c>
      <c r="S218" s="14" t="n">
        <v>0.6</v>
      </c>
      <c r="T218" s="14" t="n">
        <v>0.37</v>
      </c>
      <c r="U218" s="26">
        <f>IF(X218&gt;='Methodology &amp; Assumptions'!$B$7, "Tier 1 Critical GIDA (Score ≥ 50.0)", IF(X218&gt;='Methodology &amp; Assumptions'!$B$8, "Tier 2 High GIDA (Score 40.0–49.9)", "Tier 3 Moderate GIDA (Score &lt; 40.0)"))</f>
        <v/>
      </c>
      <c r="V218" s="26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W218" s="28" t="n">
        <v>0.109</v>
      </c>
      <c r="X218" s="14" t="n">
        <v>50.38</v>
      </c>
      <c r="Y218" s="14">
        <f>ROUND(MIN(100, (X218/69.91)*100), 2)</f>
        <v/>
      </c>
    </row>
    <row r="219">
      <c r="A219" s="10" t="n">
        <v>2</v>
      </c>
      <c r="B219" s="10" t="n">
        <v>215</v>
      </c>
      <c r="C219" s="10" t="n">
        <v>1215</v>
      </c>
      <c r="D219" s="10" t="inlineStr">
        <is>
          <t>1380604003</t>
        </is>
      </c>
      <c r="E219" s="26" t="inlineStr">
        <is>
          <t>National Capital Region (NCR)</t>
        </is>
      </c>
      <c r="F219" s="26" t="inlineStr">
        <is>
          <t>First District (Not a Province)</t>
        </is>
      </c>
      <c r="G219" s="26" t="inlineStr">
        <is>
          <t>City of Manila</t>
        </is>
      </c>
      <c r="H219" s="26" t="inlineStr">
        <is>
          <t>Barangay 270</t>
        </is>
      </c>
      <c r="I219" s="27" t="n">
        <v>12.714053</v>
      </c>
      <c r="J219" s="27" t="n">
        <v>121.959437</v>
      </c>
      <c r="K219" s="10" t="inlineStr">
        <is>
          <t>U</t>
        </is>
      </c>
      <c r="L219" s="12" t="n">
        <v>946</v>
      </c>
      <c r="M219" s="14" t="n">
        <v>3.9</v>
      </c>
      <c r="N219" s="12">
        <f>ROUND(L219/M219, 0)</f>
        <v/>
      </c>
      <c r="O219" s="12">
        <f>ROUND(N219*'Methodology &amp; Assumptions'!$B$5, 0)</f>
        <v/>
      </c>
      <c r="P219" s="10" t="inlineStr">
        <is>
          <t>Single Carrier (Band n50, 100MHz TDD)</t>
        </is>
      </c>
      <c r="Q219" s="13">
        <f>ROUNDUP(O219/'Methodology &amp; Assumptions'!$B$6, 0)</f>
        <v/>
      </c>
      <c r="R219" s="13" t="n">
        <v>1</v>
      </c>
      <c r="S219" s="14" t="n">
        <v>45.9</v>
      </c>
      <c r="T219" s="14" t="n">
        <v>42.29</v>
      </c>
      <c r="U219" s="26">
        <f>IF(X219&gt;='Methodology &amp; Assumptions'!$B$7, "Tier 1 Critical GIDA (Score ≥ 50.0)", IF(X219&gt;='Methodology &amp; Assumptions'!$B$8, "Tier 2 High GIDA (Score 40.0–49.9)", "Tier 3 Moderate GIDA (Score &lt; 40.0)"))</f>
        <v/>
      </c>
      <c r="V219" s="26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W219" s="28" t="n">
        <v>0.109</v>
      </c>
      <c r="X219" s="14" t="n">
        <v>50.38</v>
      </c>
      <c r="Y219" s="14">
        <f>ROUND(MIN(100, (X219/69.91)*100), 2)</f>
        <v/>
      </c>
    </row>
    <row r="220">
      <c r="A220" s="10" t="n">
        <v>2</v>
      </c>
      <c r="B220" s="10" t="n">
        <v>216</v>
      </c>
      <c r="C220" s="10" t="n">
        <v>1216</v>
      </c>
      <c r="D220" s="10" t="inlineStr">
        <is>
          <t>1908822009</t>
        </is>
      </c>
      <c r="E220" s="26" t="inlineStr">
        <is>
          <t>Bangsamoro Autonomous Region In Muslim Mindanao (BARMM)</t>
        </is>
      </c>
      <c r="F220" s="26" t="inlineStr">
        <is>
          <t>Maguindanao del Sur</t>
        </is>
      </c>
      <c r="G220" s="26" t="inlineStr">
        <is>
          <t>South Upi</t>
        </is>
      </c>
      <c r="H220" s="26" t="inlineStr">
        <is>
          <t>Pilar</t>
        </is>
      </c>
      <c r="I220" s="27" t="n">
        <v>17.25507</v>
      </c>
      <c r="J220" s="27" t="n">
        <v>122.229114</v>
      </c>
      <c r="K220" s="10" t="inlineStr">
        <is>
          <t>U</t>
        </is>
      </c>
      <c r="L220" s="12" t="n">
        <v>6086</v>
      </c>
      <c r="M220" s="14" t="n">
        <v>4.7</v>
      </c>
      <c r="N220" s="12">
        <f>ROUND(L220/M220, 0)</f>
        <v/>
      </c>
      <c r="O220" s="12">
        <f>ROUND(N220*'Methodology &amp; Assumptions'!$B$5, 0)</f>
        <v/>
      </c>
      <c r="P220" s="10" t="inlineStr">
        <is>
          <t>Single Carrier (Band n50, 100MHz TDD)</t>
        </is>
      </c>
      <c r="Q220" s="13">
        <f>ROUNDUP(O220/'Methodology &amp; Assumptions'!$B$6, 0)</f>
        <v/>
      </c>
      <c r="R220" s="13" t="n">
        <v>1</v>
      </c>
      <c r="S220" s="14" t="n">
        <v>29.45</v>
      </c>
      <c r="T220" s="14" t="n">
        <v>34.33</v>
      </c>
      <c r="U220" s="26">
        <f>IF(X220&gt;='Methodology &amp; Assumptions'!$B$7, "Tier 1 Critical GIDA (Score ≥ 50.0)", IF(X220&gt;='Methodology &amp; Assumptions'!$B$8, "Tier 2 High GIDA (Score 40.0–49.9)", "Tier 3 Moderate GIDA (Score &lt; 40.0)"))</f>
        <v/>
      </c>
      <c r="V220" s="26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W220" s="28" t="n">
        <v>0.11</v>
      </c>
      <c r="X220" s="14" t="n">
        <v>50.38</v>
      </c>
      <c r="Y220" s="14">
        <f>ROUND(MIN(100, (X220/69.91)*100), 2)</f>
        <v/>
      </c>
    </row>
    <row r="221">
      <c r="A221" s="10" t="n">
        <v>2</v>
      </c>
      <c r="B221" s="10" t="n">
        <v>217</v>
      </c>
      <c r="C221" s="10" t="n">
        <v>1217</v>
      </c>
      <c r="D221" s="10" t="inlineStr">
        <is>
          <t>1380601147</t>
        </is>
      </c>
      <c r="E221" s="26" t="inlineStr">
        <is>
          <t>National Capital Region (NCR)</t>
        </is>
      </c>
      <c r="F221" s="26" t="inlineStr">
        <is>
          <t>First District (Not a Province)</t>
        </is>
      </c>
      <c r="G221" s="26" t="inlineStr">
        <is>
          <t>City of Manila</t>
        </is>
      </c>
      <c r="H221" s="26" t="inlineStr">
        <is>
          <t>Barangay 147</t>
        </is>
      </c>
      <c r="I221" s="27" t="n">
        <v>13.047171</v>
      </c>
      <c r="J221" s="27" t="n">
        <v>121.961479</v>
      </c>
      <c r="K221" s="10" t="inlineStr">
        <is>
          <t>U</t>
        </is>
      </c>
      <c r="L221" s="12" t="n">
        <v>2344</v>
      </c>
      <c r="M221" s="14" t="n">
        <v>3.9</v>
      </c>
      <c r="N221" s="12">
        <f>ROUND(L221/M221, 0)</f>
        <v/>
      </c>
      <c r="O221" s="12">
        <f>ROUND(N221*'Methodology &amp; Assumptions'!$B$5, 0)</f>
        <v/>
      </c>
      <c r="P221" s="10" t="inlineStr">
        <is>
          <t>Single Carrier (Band n50, 100MHz TDD)</t>
        </is>
      </c>
      <c r="Q221" s="13">
        <f>ROUNDUP(O221/'Methodology &amp; Assumptions'!$B$6, 0)</f>
        <v/>
      </c>
      <c r="R221" s="13" t="n">
        <v>1</v>
      </c>
      <c r="S221" s="14" t="n">
        <v>49.3</v>
      </c>
      <c r="T221" s="14" t="n">
        <v>52.18</v>
      </c>
      <c r="U221" s="26">
        <f>IF(X221&gt;='Methodology &amp; Assumptions'!$B$7, "Tier 1 Critical GIDA (Score ≥ 50.0)", IF(X221&gt;='Methodology &amp; Assumptions'!$B$8, "Tier 2 High GIDA (Score 40.0–49.9)", "Tier 3 Moderate GIDA (Score &lt; 40.0)"))</f>
        <v/>
      </c>
      <c r="V221" s="26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W221" s="28" t="n">
        <v>0.109</v>
      </c>
      <c r="X221" s="14" t="n">
        <v>50.37</v>
      </c>
      <c r="Y221" s="14">
        <f>ROUND(MIN(100, (X221/69.91)*100), 2)</f>
        <v/>
      </c>
    </row>
    <row r="222">
      <c r="A222" s="10" t="n">
        <v>2</v>
      </c>
      <c r="B222" s="10" t="n">
        <v>218</v>
      </c>
      <c r="C222" s="10" t="n">
        <v>1218</v>
      </c>
      <c r="D222" s="10" t="inlineStr">
        <is>
          <t>PH0001218</t>
        </is>
      </c>
      <c r="E222" s="26" t="inlineStr">
        <is>
          <t>III</t>
        </is>
      </c>
      <c r="F222" s="26" t="inlineStr">
        <is>
          <t>Pampanga</t>
        </is>
      </c>
      <c r="G222" s="26" t="inlineStr">
        <is>
          <t>Angeles City</t>
        </is>
      </c>
      <c r="H222" s="26" t="inlineStr">
        <is>
          <t>Agapito del Rosario</t>
        </is>
      </c>
      <c r="I222" s="27" t="n">
        <v>15.152981</v>
      </c>
      <c r="J222" s="27" t="n">
        <v>120.581684</v>
      </c>
      <c r="K222" s="10" t="inlineStr">
        <is>
          <t>R</t>
        </is>
      </c>
      <c r="L222" s="12" t="n">
        <v>2334</v>
      </c>
      <c r="M222" s="14" t="n">
        <v>4</v>
      </c>
      <c r="N222" s="12">
        <f>ROUND(L222/M222, 0)</f>
        <v/>
      </c>
      <c r="O222" s="12">
        <f>ROUND(N222*'Methodology &amp; Assumptions'!$B$5, 0)</f>
        <v/>
      </c>
      <c r="P222" s="10" t="inlineStr">
        <is>
          <t>Single Carrier (Band n50, 100MHz TDD)</t>
        </is>
      </c>
      <c r="Q222" s="13">
        <f>ROUNDUP(O222/'Methodology &amp; Assumptions'!$B$6, 0)</f>
        <v/>
      </c>
      <c r="R222" s="13" t="n">
        <v>1</v>
      </c>
      <c r="S222" s="14" t="n">
        <v>1.12</v>
      </c>
      <c r="T222" s="14" t="n">
        <v>0.42</v>
      </c>
      <c r="U222" s="26">
        <f>IF(X222&gt;='Methodology &amp; Assumptions'!$B$7, "Tier 1 Critical GIDA (Score ≥ 50.0)", IF(X222&gt;='Methodology &amp; Assumptions'!$B$8, "Tier 2 High GIDA (Score 40.0–49.9)", "Tier 3 Moderate GIDA (Score &lt; 40.0)"))</f>
        <v/>
      </c>
      <c r="V222" s="26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W222" s="28" t="n">
        <v>0.083</v>
      </c>
      <c r="X222" s="14" t="n">
        <v>50.37</v>
      </c>
      <c r="Y222" s="14">
        <f>ROUND(MIN(100, (X222/69.91)*100), 2)</f>
        <v/>
      </c>
    </row>
    <row r="223">
      <c r="A223" s="10" t="n">
        <v>2</v>
      </c>
      <c r="B223" s="10" t="n">
        <v>219</v>
      </c>
      <c r="C223" s="10" t="n">
        <v>1219</v>
      </c>
      <c r="D223" s="10" t="inlineStr">
        <is>
          <t>PH0001219</t>
        </is>
      </c>
      <c r="E223" s="26" t="inlineStr">
        <is>
          <t>VIII</t>
        </is>
      </c>
      <c r="F223" s="26" t="inlineStr">
        <is>
          <t>Leyte</t>
        </is>
      </c>
      <c r="G223" s="26" t="inlineStr">
        <is>
          <t>Tacloban City</t>
        </is>
      </c>
      <c r="H223" s="26" t="inlineStr">
        <is>
          <t>Barangay 33</t>
        </is>
      </c>
      <c r="I223" s="27" t="n">
        <v>11.245865</v>
      </c>
      <c r="J223" s="27" t="n">
        <v>125.013471</v>
      </c>
      <c r="K223" s="10" t="inlineStr">
        <is>
          <t>R</t>
        </is>
      </c>
      <c r="L223" s="12" t="n">
        <v>2258</v>
      </c>
      <c r="M223" s="14" t="n">
        <v>3.8</v>
      </c>
      <c r="N223" s="12">
        <f>ROUND(L223/M223, 0)</f>
        <v/>
      </c>
      <c r="O223" s="12">
        <f>ROUND(N223*'Methodology &amp; Assumptions'!$B$5, 0)</f>
        <v/>
      </c>
      <c r="P223" s="10" t="inlineStr">
        <is>
          <t>Single Carrier (Band n50, 100MHz TDD)</t>
        </is>
      </c>
      <c r="Q223" s="13">
        <f>ROUNDUP(O223/'Methodology &amp; Assumptions'!$B$6, 0)</f>
        <v/>
      </c>
      <c r="R223" s="13" t="n">
        <v>1</v>
      </c>
      <c r="S223" s="14" t="n">
        <v>1.39</v>
      </c>
      <c r="T223" s="14" t="n">
        <v>3.74</v>
      </c>
      <c r="U223" s="26">
        <f>IF(X223&gt;='Methodology &amp; Assumptions'!$B$7, "Tier 1 Critical GIDA (Score ≥ 50.0)", IF(X223&gt;='Methodology &amp; Assumptions'!$B$8, "Tier 2 High GIDA (Score 40.0–49.9)", "Tier 3 Moderate GIDA (Score &lt; 40.0)"))</f>
        <v/>
      </c>
      <c r="V223" s="26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W223" s="28" t="n">
        <v>0.222</v>
      </c>
      <c r="X223" s="14" t="n">
        <v>50.37</v>
      </c>
      <c r="Y223" s="14">
        <f>ROUND(MIN(100, (X223/69.91)*100), 2)</f>
        <v/>
      </c>
    </row>
    <row r="224">
      <c r="A224" s="10" t="n">
        <v>2</v>
      </c>
      <c r="B224" s="10" t="n">
        <v>220</v>
      </c>
      <c r="C224" s="10" t="n">
        <v>1220</v>
      </c>
      <c r="D224" s="10" t="inlineStr">
        <is>
          <t>1380607007</t>
        </is>
      </c>
      <c r="E224" s="26" t="inlineStr">
        <is>
          <t>National Capital Region (NCR)</t>
        </is>
      </c>
      <c r="F224" s="26" t="inlineStr">
        <is>
          <t>First District (Not a Province)</t>
        </is>
      </c>
      <c r="G224" s="26" t="inlineStr">
        <is>
          <t>City of Manila</t>
        </is>
      </c>
      <c r="H224" s="26" t="inlineStr">
        <is>
          <t>Barangay 643</t>
        </is>
      </c>
      <c r="I224" s="27" t="n">
        <v>12.631411</v>
      </c>
      <c r="J224" s="27" t="n">
        <v>121.751717</v>
      </c>
      <c r="K224" s="10" t="inlineStr">
        <is>
          <t>U</t>
        </is>
      </c>
      <c r="L224" s="12" t="n">
        <v>677</v>
      </c>
      <c r="M224" s="14" t="n">
        <v>3.9</v>
      </c>
      <c r="N224" s="12">
        <f>ROUND(L224/M224, 0)</f>
        <v/>
      </c>
      <c r="O224" s="12">
        <f>ROUND(N224*'Methodology &amp; Assumptions'!$B$5, 0)</f>
        <v/>
      </c>
      <c r="P224" s="10" t="inlineStr">
        <is>
          <t>Single Carrier (Band n50, 100MHz TDD)</t>
        </is>
      </c>
      <c r="Q224" s="13">
        <f>ROUNDUP(O224/'Methodology &amp; Assumptions'!$B$6, 0)</f>
        <v/>
      </c>
      <c r="R224" s="13" t="n">
        <v>1</v>
      </c>
      <c r="S224" s="14" t="n">
        <v>21.92</v>
      </c>
      <c r="T224" s="14" t="n">
        <v>19.29</v>
      </c>
      <c r="U224" s="26">
        <f>IF(X224&gt;='Methodology &amp; Assumptions'!$B$7, "Tier 1 Critical GIDA (Score ≥ 50.0)", IF(X224&gt;='Methodology &amp; Assumptions'!$B$8, "Tier 2 High GIDA (Score 40.0–49.9)", "Tier 3 Moderate GIDA (Score &lt; 40.0)"))</f>
        <v/>
      </c>
      <c r="V224" s="26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W224" s="28" t="n">
        <v>0.109</v>
      </c>
      <c r="X224" s="14" t="n">
        <v>50.37</v>
      </c>
      <c r="Y224" s="14">
        <f>ROUND(MIN(100, (X224/69.91)*100), 2)</f>
        <v/>
      </c>
    </row>
    <row r="225">
      <c r="A225" s="10" t="n">
        <v>2</v>
      </c>
      <c r="B225" s="10" t="n">
        <v>221</v>
      </c>
      <c r="C225" s="10" t="n">
        <v>1221</v>
      </c>
      <c r="D225" s="10" t="inlineStr">
        <is>
          <t>0500510007</t>
        </is>
      </c>
      <c r="E225" s="26" t="inlineStr">
        <is>
          <t>Region V (Bicol Region)</t>
        </is>
      </c>
      <c r="F225" s="26" t="inlineStr">
        <is>
          <t>Albay</t>
        </is>
      </c>
      <c r="G225" s="26" t="inlineStr">
        <is>
          <t>Malinao</t>
        </is>
      </c>
      <c r="H225" s="26" t="inlineStr">
        <is>
          <t>Bulang</t>
        </is>
      </c>
      <c r="I225" s="27" t="n">
        <v>13.36103</v>
      </c>
      <c r="J225" s="27" t="n">
        <v>123.62433</v>
      </c>
      <c r="K225" s="10" t="inlineStr">
        <is>
          <t>R</t>
        </is>
      </c>
      <c r="L225" s="12" t="n">
        <v>1018</v>
      </c>
      <c r="M225" s="14" t="n">
        <v>4.1</v>
      </c>
      <c r="N225" s="12">
        <f>ROUND(L225/M225, 0)</f>
        <v/>
      </c>
      <c r="O225" s="12">
        <f>ROUND(N225*'Methodology &amp; Assumptions'!$B$5, 0)</f>
        <v/>
      </c>
      <c r="P225" s="10" t="inlineStr">
        <is>
          <t>Single Carrier (Band n50, 100MHz TDD)</t>
        </is>
      </c>
      <c r="Q225" s="13">
        <f>ROUNDUP(O225/'Methodology &amp; Assumptions'!$B$6, 0)</f>
        <v/>
      </c>
      <c r="R225" s="13" t="n">
        <v>1</v>
      </c>
      <c r="S225" s="14" t="n">
        <v>4.65</v>
      </c>
      <c r="T225" s="14" t="n">
        <v>4.49</v>
      </c>
      <c r="U225" s="26">
        <f>IF(X225&gt;='Methodology &amp; Assumptions'!$B$7, "Tier 1 Critical GIDA (Score ≥ 50.0)", IF(X225&gt;='Methodology &amp; Assumptions'!$B$8, "Tier 2 High GIDA (Score 40.0–49.9)", "Tier 3 Moderate GIDA (Score &lt; 40.0)"))</f>
        <v/>
      </c>
      <c r="V225" s="26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W225" s="28" t="n">
        <v>0.237</v>
      </c>
      <c r="X225" s="14" t="n">
        <v>50.36</v>
      </c>
      <c r="Y225" s="14">
        <f>ROUND(MIN(100, (X225/69.91)*100), 2)</f>
        <v/>
      </c>
    </row>
    <row r="226">
      <c r="A226" s="10" t="n">
        <v>2</v>
      </c>
      <c r="B226" s="10" t="n">
        <v>222</v>
      </c>
      <c r="C226" s="10" t="n">
        <v>1222</v>
      </c>
      <c r="D226" s="10" t="inlineStr">
        <is>
          <t>0802609057</t>
        </is>
      </c>
      <c r="E226" s="26" t="inlineStr">
        <is>
          <t>Region VIII (Eastern Visayas)</t>
        </is>
      </c>
      <c r="F226" s="26" t="inlineStr">
        <is>
          <t>Eastern Samar</t>
        </is>
      </c>
      <c r="G226" s="26" t="inlineStr">
        <is>
          <t>Guiuan</t>
        </is>
      </c>
      <c r="H226" s="26" t="inlineStr">
        <is>
          <t>Victory Island</t>
        </is>
      </c>
      <c r="I226" s="27" t="n">
        <v>11.041257</v>
      </c>
      <c r="J226" s="27" t="n">
        <v>125.694865</v>
      </c>
      <c r="K226" s="10" t="inlineStr">
        <is>
          <t>R</t>
        </is>
      </c>
      <c r="L226" s="12" t="n">
        <v>592</v>
      </c>
      <c r="M226" s="14" t="n">
        <v>3.9</v>
      </c>
      <c r="N226" s="12">
        <f>ROUND(L226/M226, 0)</f>
        <v/>
      </c>
      <c r="O226" s="12">
        <f>ROUND(N226*'Methodology &amp; Assumptions'!$B$5, 0)</f>
        <v/>
      </c>
      <c r="P226" s="10" t="inlineStr">
        <is>
          <t>Single Carrier (Band n50, 100MHz TDD)</t>
        </is>
      </c>
      <c r="Q226" s="13">
        <f>ROUNDUP(O226/'Methodology &amp; Assumptions'!$B$6, 0)</f>
        <v/>
      </c>
      <c r="R226" s="13" t="n">
        <v>1</v>
      </c>
      <c r="S226" s="14" t="n">
        <v>74</v>
      </c>
      <c r="T226" s="14" t="n">
        <v>71.62</v>
      </c>
      <c r="U226" s="26">
        <f>IF(X226&gt;='Methodology &amp; Assumptions'!$B$7, "Tier 1 Critical GIDA (Score ≥ 50.0)", IF(X226&gt;='Methodology &amp; Assumptions'!$B$8, "Tier 2 High GIDA (Score 40.0–49.9)", "Tier 3 Moderate GIDA (Score &lt; 40.0)"))</f>
        <v/>
      </c>
      <c r="V226" s="26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W226" s="28" t="n">
        <v>0.237</v>
      </c>
      <c r="X226" s="14" t="n">
        <v>50.36</v>
      </c>
      <c r="Y226" s="14">
        <f>ROUND(MIN(100, (X226/69.91)*100), 2)</f>
        <v/>
      </c>
    </row>
    <row r="227">
      <c r="A227" s="10" t="n">
        <v>2</v>
      </c>
      <c r="B227" s="10" t="n">
        <v>223</v>
      </c>
      <c r="C227" s="10" t="n">
        <v>1223</v>
      </c>
      <c r="D227" s="10" t="inlineStr">
        <is>
          <t>0504113010</t>
        </is>
      </c>
      <c r="E227" s="26" t="inlineStr">
        <is>
          <t>Region V (Bicol Region)</t>
        </is>
      </c>
      <c r="F227" s="26" t="inlineStr">
        <is>
          <t>Masbate</t>
        </is>
      </c>
      <c r="G227" s="26" t="inlineStr">
        <is>
          <t>Mobo</t>
        </is>
      </c>
      <c r="H227" s="26" t="inlineStr">
        <is>
          <t>Lomocloc</t>
        </is>
      </c>
      <c r="I227" s="27" t="n">
        <v>12.25374</v>
      </c>
      <c r="J227" s="27" t="n">
        <v>123.62287</v>
      </c>
      <c r="K227" s="10" t="inlineStr">
        <is>
          <t>R</t>
        </is>
      </c>
      <c r="L227" s="12" t="n">
        <v>652</v>
      </c>
      <c r="M227" s="14" t="n">
        <v>4.1</v>
      </c>
      <c r="N227" s="12">
        <f>ROUND(L227/M227, 0)</f>
        <v/>
      </c>
      <c r="O227" s="12">
        <f>ROUND(N227*'Methodology &amp; Assumptions'!$B$5, 0)</f>
        <v/>
      </c>
      <c r="P227" s="10" t="inlineStr">
        <is>
          <t>Single Carrier (Band n50, 100MHz TDD)</t>
        </is>
      </c>
      <c r="Q227" s="13">
        <f>ROUNDUP(O227/'Methodology &amp; Assumptions'!$B$6, 0)</f>
        <v/>
      </c>
      <c r="R227" s="13" t="n">
        <v>1</v>
      </c>
      <c r="S227" s="14" t="n">
        <v>10.02</v>
      </c>
      <c r="T227" s="14" t="n">
        <v>8.640000000000001</v>
      </c>
      <c r="U227" s="26">
        <f>IF(X227&gt;='Methodology &amp; Assumptions'!$B$7, "Tier 1 Critical GIDA (Score ≥ 50.0)", IF(X227&gt;='Methodology &amp; Assumptions'!$B$8, "Tier 2 High GIDA (Score 40.0–49.9)", "Tier 3 Moderate GIDA (Score &lt; 40.0)"))</f>
        <v/>
      </c>
      <c r="V227" s="26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W227" s="28" t="n">
        <v>0.237</v>
      </c>
      <c r="X227" s="14" t="n">
        <v>50.36</v>
      </c>
      <c r="Y227" s="14">
        <f>ROUND(MIN(100, (X227/69.91)*100), 2)</f>
        <v/>
      </c>
    </row>
    <row r="228">
      <c r="A228" s="10" t="n">
        <v>2</v>
      </c>
      <c r="B228" s="10" t="n">
        <v>224</v>
      </c>
      <c r="C228" s="10" t="n">
        <v>1224</v>
      </c>
      <c r="D228" s="10" t="inlineStr">
        <is>
          <t>0802605028</t>
        </is>
      </c>
      <c r="E228" s="26" t="inlineStr">
        <is>
          <t>Region VIII (Eastern Visayas)</t>
        </is>
      </c>
      <c r="F228" s="26" t="inlineStr">
        <is>
          <t>Eastern Samar</t>
        </is>
      </c>
      <c r="G228" s="26" t="inlineStr">
        <is>
          <t>Can-Avid</t>
        </is>
      </c>
      <c r="H228" s="26" t="inlineStr">
        <is>
          <t>Salvacion</t>
        </is>
      </c>
      <c r="I228" s="27" t="n">
        <v>11.970638</v>
      </c>
      <c r="J228" s="27" t="n">
        <v>125.31112</v>
      </c>
      <c r="K228" s="10" t="inlineStr">
        <is>
          <t>R</t>
        </is>
      </c>
      <c r="L228" s="12" t="n">
        <v>468</v>
      </c>
      <c r="M228" s="14" t="n">
        <v>3.9</v>
      </c>
      <c r="N228" s="12">
        <f>ROUND(L228/M228, 0)</f>
        <v/>
      </c>
      <c r="O228" s="12">
        <f>ROUND(N228*'Methodology &amp; Assumptions'!$B$5, 0)</f>
        <v/>
      </c>
      <c r="P228" s="10" t="inlineStr">
        <is>
          <t>Single Carrier (Band n50, 100MHz TDD)</t>
        </is>
      </c>
      <c r="Q228" s="13">
        <f>ROUNDUP(O228/'Methodology &amp; Assumptions'!$B$6, 0)</f>
        <v/>
      </c>
      <c r="R228" s="13" t="n">
        <v>1</v>
      </c>
      <c r="S228" s="14" t="n">
        <v>87.97</v>
      </c>
      <c r="T228" s="14" t="n">
        <v>90.48999999999999</v>
      </c>
      <c r="U228" s="26">
        <f>IF(X228&gt;='Methodology &amp; Assumptions'!$B$7, "Tier 1 Critical GIDA (Score ≥ 50.0)", IF(X228&gt;='Methodology &amp; Assumptions'!$B$8, "Tier 2 High GIDA (Score 40.0–49.9)", "Tier 3 Moderate GIDA (Score &lt; 40.0)"))</f>
        <v/>
      </c>
      <c r="V228" s="26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W228" s="28" t="n">
        <v>0.237</v>
      </c>
      <c r="X228" s="14" t="n">
        <v>50.35</v>
      </c>
      <c r="Y228" s="14">
        <f>ROUND(MIN(100, (X228/69.91)*100), 2)</f>
        <v/>
      </c>
    </row>
    <row r="229">
      <c r="A229" s="10" t="n">
        <v>2</v>
      </c>
      <c r="B229" s="10" t="n">
        <v>225</v>
      </c>
      <c r="C229" s="10" t="n">
        <v>1225</v>
      </c>
      <c r="D229" s="10" t="inlineStr">
        <is>
          <t>0603015011</t>
        </is>
      </c>
      <c r="E229" s="26" t="inlineStr">
        <is>
          <t>Region VI (Western Visayas)</t>
        </is>
      </c>
      <c r="F229" s="26" t="inlineStr">
        <is>
          <t>Iloilo</t>
        </is>
      </c>
      <c r="G229" s="26" t="inlineStr">
        <is>
          <t>Concepcion</t>
        </is>
      </c>
      <c r="H229" s="26" t="inlineStr">
        <is>
          <t>Igbon</t>
        </is>
      </c>
      <c r="I229" s="27" t="n">
        <v>11.214958</v>
      </c>
      <c r="J229" s="27" t="n">
        <v>123.188489</v>
      </c>
      <c r="K229" s="10" t="inlineStr">
        <is>
          <t>R</t>
        </is>
      </c>
      <c r="L229" s="12" t="n">
        <v>2503</v>
      </c>
      <c r="M229" s="14" t="n">
        <v>3.8</v>
      </c>
      <c r="N229" s="12">
        <f>ROUND(L229/M229, 0)</f>
        <v/>
      </c>
      <c r="O229" s="12">
        <f>ROUND(N229*'Methodology &amp; Assumptions'!$B$5, 0)</f>
        <v/>
      </c>
      <c r="P229" s="10" t="inlineStr">
        <is>
          <t>Single Carrier (Band n50, 100MHz TDD)</t>
        </is>
      </c>
      <c r="Q229" s="13">
        <f>ROUNDUP(O229/'Methodology &amp; Assumptions'!$B$6, 0)</f>
        <v/>
      </c>
      <c r="R229" s="13" t="n">
        <v>1</v>
      </c>
      <c r="S229" s="14" t="n">
        <v>19.24</v>
      </c>
      <c r="T229" s="14" t="n">
        <v>12.42</v>
      </c>
      <c r="U229" s="26">
        <f>IF(X229&gt;='Methodology &amp; Assumptions'!$B$7, "Tier 1 Critical GIDA (Score ≥ 50.0)", IF(X229&gt;='Methodology &amp; Assumptions'!$B$8, "Tier 2 High GIDA (Score 40.0–49.9)", "Tier 3 Moderate GIDA (Score &lt; 40.0)"))</f>
        <v/>
      </c>
      <c r="V229" s="26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W229" s="28" t="n">
        <v>0.237</v>
      </c>
      <c r="X229" s="14" t="n">
        <v>50.35</v>
      </c>
      <c r="Y229" s="14">
        <f>ROUND(MIN(100, (X229/69.91)*100), 2)</f>
        <v/>
      </c>
    </row>
    <row r="230">
      <c r="A230" s="10" t="n">
        <v>2</v>
      </c>
      <c r="B230" s="10" t="n">
        <v>226</v>
      </c>
      <c r="C230" s="10" t="n">
        <v>1226</v>
      </c>
      <c r="D230" s="10" t="inlineStr">
        <is>
          <t>0802614012</t>
        </is>
      </c>
      <c r="E230" s="26" t="inlineStr">
        <is>
          <t>Region VIII (Eastern Visayas)</t>
        </is>
      </c>
      <c r="F230" s="26" t="inlineStr">
        <is>
          <t>Eastern Samar</t>
        </is>
      </c>
      <c r="G230" s="26" t="inlineStr">
        <is>
          <t>Maslog</t>
        </is>
      </c>
      <c r="H230" s="26" t="inlineStr">
        <is>
          <t>Tangbo</t>
        </is>
      </c>
      <c r="I230" s="27" t="n">
        <v>12.14292</v>
      </c>
      <c r="J230" s="27" t="n">
        <v>125.26588</v>
      </c>
      <c r="K230" s="10" t="inlineStr">
        <is>
          <t>R</t>
        </is>
      </c>
      <c r="L230" s="12" t="n">
        <v>204</v>
      </c>
      <c r="M230" s="14" t="n">
        <v>3.9</v>
      </c>
      <c r="N230" s="12">
        <f>ROUND(L230/M230, 0)</f>
        <v/>
      </c>
      <c r="O230" s="12">
        <f>ROUND(N230*'Methodology &amp; Assumptions'!$B$5, 0)</f>
        <v/>
      </c>
      <c r="P230" s="10" t="inlineStr">
        <is>
          <t>Single Carrier (Band n50, 100MHz TDD)</t>
        </is>
      </c>
      <c r="Q230" s="13">
        <f>ROUNDUP(O230/'Methodology &amp; Assumptions'!$B$6, 0)</f>
        <v/>
      </c>
      <c r="R230" s="13" t="n">
        <v>1</v>
      </c>
      <c r="S230" s="14" t="n">
        <v>104.46</v>
      </c>
      <c r="T230" s="14" t="n">
        <v>107.17</v>
      </c>
      <c r="U230" s="26">
        <f>IF(X230&gt;='Methodology &amp; Assumptions'!$B$7, "Tier 1 Critical GIDA (Score ≥ 50.0)", IF(X230&gt;='Methodology &amp; Assumptions'!$B$8, "Tier 2 High GIDA (Score 40.0–49.9)", "Tier 3 Moderate GIDA (Score &lt; 40.0)"))</f>
        <v/>
      </c>
      <c r="V230" s="26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W230" s="28" t="n">
        <v>0.237</v>
      </c>
      <c r="X230" s="14" t="n">
        <v>50.35</v>
      </c>
      <c r="Y230" s="14">
        <f>ROUND(MIN(100, (X230/69.91)*100), 2)</f>
        <v/>
      </c>
    </row>
    <row r="231">
      <c r="A231" s="10" t="n">
        <v>2</v>
      </c>
      <c r="B231" s="10" t="n">
        <v>227</v>
      </c>
      <c r="C231" s="10" t="n">
        <v>1227</v>
      </c>
      <c r="D231" s="10" t="inlineStr">
        <is>
          <t>1908704005</t>
        </is>
      </c>
      <c r="E231" s="26" t="inlineStr">
        <is>
          <t>Bangsamoro Autonomous Region In Muslim Mindanao (BARMM)</t>
        </is>
      </c>
      <c r="F231" s="26" t="inlineStr">
        <is>
          <t>Maguindanao del Norte</t>
        </is>
      </c>
      <c r="G231" s="26" t="inlineStr">
        <is>
          <t>Datu Blah T. Sinsuat</t>
        </is>
      </c>
      <c r="H231" s="26" t="inlineStr">
        <is>
          <t>Meti</t>
        </is>
      </c>
      <c r="I231" s="27" t="n">
        <v>17.254127</v>
      </c>
      <c r="J231" s="27" t="n">
        <v>122.228171</v>
      </c>
      <c r="K231" s="10" t="inlineStr">
        <is>
          <t>R</t>
        </is>
      </c>
      <c r="L231" s="12" t="n">
        <v>4330</v>
      </c>
      <c r="M231" s="14" t="n">
        <v>4.3</v>
      </c>
      <c r="N231" s="12">
        <f>ROUND(L231/M231, 0)</f>
        <v/>
      </c>
      <c r="O231" s="12">
        <f>ROUND(N231*'Methodology &amp; Assumptions'!$B$5, 0)</f>
        <v/>
      </c>
      <c r="P231" s="10" t="inlineStr">
        <is>
          <t>Single Carrier (Band n50, 100MHz TDD)</t>
        </is>
      </c>
      <c r="Q231" s="13">
        <f>ROUNDUP(O231/'Methodology &amp; Assumptions'!$B$6, 0)</f>
        <v/>
      </c>
      <c r="R231" s="13" t="n">
        <v>1</v>
      </c>
      <c r="S231" s="14" t="n">
        <v>29.31</v>
      </c>
      <c r="T231" s="14" t="n">
        <v>34.2</v>
      </c>
      <c r="U231" s="26">
        <f>IF(X231&gt;='Methodology &amp; Assumptions'!$B$7, "Tier 1 Critical GIDA (Score ≥ 50.0)", IF(X231&gt;='Methodology &amp; Assumptions'!$B$8, "Tier 2 High GIDA (Score 40.0–49.9)", "Tier 3 Moderate GIDA (Score &lt; 40.0)"))</f>
        <v/>
      </c>
      <c r="V231" s="26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W231" s="28" t="n">
        <v>0.11</v>
      </c>
      <c r="X231" s="14" t="n">
        <v>50.35</v>
      </c>
      <c r="Y231" s="14">
        <f>ROUND(MIN(100, (X231/69.91)*100), 2)</f>
        <v/>
      </c>
    </row>
    <row r="232">
      <c r="A232" s="10" t="n">
        <v>2</v>
      </c>
      <c r="B232" s="10" t="n">
        <v>228</v>
      </c>
      <c r="C232" s="10" t="n">
        <v>1228</v>
      </c>
      <c r="D232" s="10" t="inlineStr">
        <is>
          <t>1380606003</t>
        </is>
      </c>
      <c r="E232" s="26" t="inlineStr">
        <is>
          <t>National Capital Region (NCR)</t>
        </is>
      </c>
      <c r="F232" s="26" t="inlineStr">
        <is>
          <t>First District (Not a Province)</t>
        </is>
      </c>
      <c r="G232" s="26" t="inlineStr">
        <is>
          <t>City of Manila</t>
        </is>
      </c>
      <c r="H232" s="26" t="inlineStr">
        <is>
          <t>Barangay 397</t>
        </is>
      </c>
      <c r="I232" s="27" t="n">
        <v>13.078504</v>
      </c>
      <c r="J232" s="27" t="n">
        <v>121.617515</v>
      </c>
      <c r="K232" s="10" t="inlineStr">
        <is>
          <t>U</t>
        </is>
      </c>
      <c r="L232" s="12" t="n">
        <v>4302</v>
      </c>
      <c r="M232" s="14" t="n">
        <v>3.9</v>
      </c>
      <c r="N232" s="12">
        <f>ROUND(L232/M232, 0)</f>
        <v/>
      </c>
      <c r="O232" s="12">
        <f>ROUND(N232*'Methodology &amp; Assumptions'!$B$5, 0)</f>
        <v/>
      </c>
      <c r="P232" s="10" t="inlineStr">
        <is>
          <t>Single Carrier (Band n50, 100MHz TDD)</t>
        </is>
      </c>
      <c r="Q232" s="13">
        <f>ROUNDUP(O232/'Methodology &amp; Assumptions'!$B$6, 0)</f>
        <v/>
      </c>
      <c r="R232" s="13" t="n">
        <v>1</v>
      </c>
      <c r="S232" s="14" t="n">
        <v>12.11</v>
      </c>
      <c r="T232" s="14" t="n">
        <v>15.57</v>
      </c>
      <c r="U232" s="26">
        <f>IF(X232&gt;='Methodology &amp; Assumptions'!$B$7, "Tier 1 Critical GIDA (Score ≥ 50.0)", IF(X232&gt;='Methodology &amp; Assumptions'!$B$8, "Tier 2 High GIDA (Score 40.0–49.9)", "Tier 3 Moderate GIDA (Score &lt; 40.0)"))</f>
        <v/>
      </c>
      <c r="V232" s="26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W232" s="28" t="n">
        <v>0.109</v>
      </c>
      <c r="X232" s="14" t="n">
        <v>50.35</v>
      </c>
      <c r="Y232" s="14">
        <f>ROUND(MIN(100, (X232/69.91)*100), 2)</f>
        <v/>
      </c>
    </row>
    <row r="233">
      <c r="A233" s="10" t="n">
        <v>2</v>
      </c>
      <c r="B233" s="10" t="n">
        <v>229</v>
      </c>
      <c r="C233" s="10" t="n">
        <v>1229</v>
      </c>
      <c r="D233" s="10" t="inlineStr">
        <is>
          <t>PH0001229</t>
        </is>
      </c>
      <c r="E233" s="26" t="inlineStr">
        <is>
          <t>XI</t>
        </is>
      </c>
      <c r="F233" s="26" t="inlineStr">
        <is>
          <t>Davao Del Sur</t>
        </is>
      </c>
      <c r="G233" s="26" t="inlineStr">
        <is>
          <t>Davao City</t>
        </is>
      </c>
      <c r="H233" s="26" t="inlineStr">
        <is>
          <t>Barangay 35-D (Pob.)</t>
        </is>
      </c>
      <c r="I233" s="27" t="n">
        <v>7.205377</v>
      </c>
      <c r="J233" s="27" t="n">
        <v>125.479884</v>
      </c>
      <c r="K233" s="10" t="inlineStr">
        <is>
          <t>R</t>
        </is>
      </c>
      <c r="L233" s="12" t="n">
        <v>2280</v>
      </c>
      <c r="M233" s="14" t="n">
        <v>3.4</v>
      </c>
      <c r="N233" s="12">
        <f>ROUND(L233/M233, 0)</f>
        <v/>
      </c>
      <c r="O233" s="12">
        <f>ROUND(N233*'Methodology &amp; Assumptions'!$B$5, 0)</f>
        <v/>
      </c>
      <c r="P233" s="10" t="inlineStr">
        <is>
          <t>Single Carrier (Band n50, 100MHz TDD)</t>
        </is>
      </c>
      <c r="Q233" s="13">
        <f>ROUNDUP(O233/'Methodology &amp; Assumptions'!$B$6, 0)</f>
        <v/>
      </c>
      <c r="R233" s="13" t="n">
        <v>1</v>
      </c>
      <c r="S233" s="14" t="n">
        <v>3.5</v>
      </c>
      <c r="T233" s="14" t="n">
        <v>3.1</v>
      </c>
      <c r="U233" s="26">
        <f>IF(X233&gt;='Methodology &amp; Assumptions'!$B$7, "Tier 1 Critical GIDA (Score ≥ 50.0)", IF(X233&gt;='Methodology &amp; Assumptions'!$B$8, "Tier 2 High GIDA (Score 40.0–49.9)", "Tier 3 Moderate GIDA (Score &lt; 40.0)"))</f>
        <v/>
      </c>
      <c r="V233" s="26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W233" s="28" t="n">
        <v>0.119</v>
      </c>
      <c r="X233" s="14" t="n">
        <v>50.34</v>
      </c>
      <c r="Y233" s="14">
        <f>ROUND(MIN(100, (X233/69.91)*100), 2)</f>
        <v/>
      </c>
    </row>
    <row r="234">
      <c r="A234" s="10" t="n">
        <v>2</v>
      </c>
      <c r="B234" s="10" t="n">
        <v>230</v>
      </c>
      <c r="C234" s="10" t="n">
        <v>1230</v>
      </c>
      <c r="D234" s="10" t="inlineStr">
        <is>
          <t>0704622003</t>
        </is>
      </c>
      <c r="E234" s="26" t="inlineStr">
        <is>
          <t>Region VII (Central Visayas)</t>
        </is>
      </c>
      <c r="F234" s="26" t="inlineStr">
        <is>
          <t>Negros Oriental</t>
        </is>
      </c>
      <c r="G234" s="26" t="inlineStr">
        <is>
          <t>Tayasan</t>
        </is>
      </c>
      <c r="H234" s="26" t="inlineStr">
        <is>
          <t>Banga</t>
        </is>
      </c>
      <c r="I234" s="27" t="n">
        <v>9.939845999999999</v>
      </c>
      <c r="J234" s="27" t="n">
        <v>123.141252</v>
      </c>
      <c r="K234" s="10" t="inlineStr">
        <is>
          <t>R</t>
        </is>
      </c>
      <c r="L234" s="12" t="n">
        <v>976</v>
      </c>
      <c r="M234" s="14" t="n">
        <v>3.8</v>
      </c>
      <c r="N234" s="12">
        <f>ROUND(L234/M234, 0)</f>
        <v/>
      </c>
      <c r="O234" s="12">
        <f>ROUND(N234*'Methodology &amp; Assumptions'!$B$5, 0)</f>
        <v/>
      </c>
      <c r="P234" s="10" t="inlineStr">
        <is>
          <t>Single Carrier (Band n50, 100MHz TDD)</t>
        </is>
      </c>
      <c r="Q234" s="13">
        <f>ROUNDUP(O234/'Methodology &amp; Assumptions'!$B$6, 0)</f>
        <v/>
      </c>
      <c r="R234" s="13" t="n">
        <v>1</v>
      </c>
      <c r="S234" s="14" t="n">
        <v>24.09</v>
      </c>
      <c r="T234" s="14" t="n">
        <v>3.04</v>
      </c>
      <c r="U234" s="26">
        <f>IF(X234&gt;='Methodology &amp; Assumptions'!$B$7, "Tier 1 Critical GIDA (Score ≥ 50.0)", IF(X234&gt;='Methodology &amp; Assumptions'!$B$8, "Tier 2 High GIDA (Score 40.0–49.9)", "Tier 3 Moderate GIDA (Score &lt; 40.0)"))</f>
        <v/>
      </c>
      <c r="V234" s="26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W234" s="28" t="n">
        <v>0.237</v>
      </c>
      <c r="X234" s="14" t="n">
        <v>50.34</v>
      </c>
      <c r="Y234" s="14">
        <f>ROUND(MIN(100, (X234/69.91)*100), 2)</f>
        <v/>
      </c>
    </row>
    <row r="235">
      <c r="A235" s="10" t="n">
        <v>2</v>
      </c>
      <c r="B235" s="10" t="n">
        <v>231</v>
      </c>
      <c r="C235" s="10" t="n">
        <v>1231</v>
      </c>
      <c r="D235" s="10" t="inlineStr">
        <is>
          <t>1906614014</t>
        </is>
      </c>
      <c r="E235" s="26" t="inlineStr">
        <is>
          <t>Bangsamoro Autonomous Region In Muslim Mindanao (BARMM)</t>
        </is>
      </c>
      <c r="F235" s="26" t="inlineStr">
        <is>
          <t>Sulu</t>
        </is>
      </c>
      <c r="G235" s="26" t="inlineStr">
        <is>
          <t>Tapul</t>
        </is>
      </c>
      <c r="H235" s="26" t="inlineStr">
        <is>
          <t>Kalang</t>
        </is>
      </c>
      <c r="I235" s="27" t="n">
        <v>17.255651</v>
      </c>
      <c r="J235" s="27" t="n">
        <v>122.229695</v>
      </c>
      <c r="K235" s="10" t="inlineStr">
        <is>
          <t>R</t>
        </is>
      </c>
      <c r="L235" s="12" t="n">
        <v>3332</v>
      </c>
      <c r="M235" s="14" t="n">
        <v>6</v>
      </c>
      <c r="N235" s="12">
        <f>ROUND(L235/M235, 0)</f>
        <v/>
      </c>
      <c r="O235" s="12">
        <f>ROUND(N235*'Methodology &amp; Assumptions'!$B$5, 0)</f>
        <v/>
      </c>
      <c r="P235" s="10" t="inlineStr">
        <is>
          <t>Single Carrier (Band n50, 100MHz TDD)</t>
        </is>
      </c>
      <c r="Q235" s="13">
        <f>ROUNDUP(O235/'Methodology &amp; Assumptions'!$B$6, 0)</f>
        <v/>
      </c>
      <c r="R235" s="13" t="n">
        <v>1</v>
      </c>
      <c r="S235" s="14" t="n">
        <v>29.54</v>
      </c>
      <c r="T235" s="14" t="n">
        <v>34.41</v>
      </c>
      <c r="U235" s="26">
        <f>IF(X235&gt;='Methodology &amp; Assumptions'!$B$7, "Tier 1 Critical GIDA (Score ≥ 50.0)", IF(X235&gt;='Methodology &amp; Assumptions'!$B$8, "Tier 2 High GIDA (Score 40.0–49.9)", "Tier 3 Moderate GIDA (Score &lt; 40.0)"))</f>
        <v/>
      </c>
      <c r="V235" s="26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W235" s="28" t="n">
        <v>0.11</v>
      </c>
      <c r="X235" s="14" t="n">
        <v>50.33</v>
      </c>
      <c r="Y235" s="14">
        <f>ROUND(MIN(100, (X235/69.91)*100), 2)</f>
        <v/>
      </c>
    </row>
    <row r="236">
      <c r="A236" s="10" t="n">
        <v>2</v>
      </c>
      <c r="B236" s="10" t="n">
        <v>232</v>
      </c>
      <c r="C236" s="10" t="n">
        <v>1232</v>
      </c>
      <c r="D236" s="10" t="inlineStr">
        <is>
          <t>1705321004</t>
        </is>
      </c>
      <c r="E236" s="26" t="inlineStr">
        <is>
          <t>MIMAROPA Region</t>
        </is>
      </c>
      <c r="F236" s="26" t="inlineStr">
        <is>
          <t>Palawan</t>
        </is>
      </c>
      <c r="G236" s="26" t="inlineStr">
        <is>
          <t>Kalayaan</t>
        </is>
      </c>
      <c r="H236" s="26" t="inlineStr">
        <is>
          <t>Pag-Asa</t>
        </is>
      </c>
      <c r="I236" s="27" t="n">
        <v>9.44819</v>
      </c>
      <c r="J236" s="27" t="n">
        <v>118.38792</v>
      </c>
      <c r="K236" s="10" t="inlineStr">
        <is>
          <t>R</t>
        </is>
      </c>
      <c r="L236" s="12" t="n">
        <v>228</v>
      </c>
      <c r="M236" s="14" t="n">
        <v>3.9</v>
      </c>
      <c r="N236" s="12">
        <f>ROUND(L236/M236, 0)</f>
        <v/>
      </c>
      <c r="O236" s="12">
        <f>ROUND(N236*'Methodology &amp; Assumptions'!$B$5, 0)</f>
        <v/>
      </c>
      <c r="P236" s="10" t="inlineStr">
        <is>
          <t>Single Carrier (Band n50, 100MHz TDD)</t>
        </is>
      </c>
      <c r="Q236" s="13">
        <f>ROUNDUP(O236/'Methodology &amp; Assumptions'!$B$6, 0)</f>
        <v/>
      </c>
      <c r="R236" s="13" t="n">
        <v>1</v>
      </c>
      <c r="S236" s="14" t="n">
        <v>49.94</v>
      </c>
      <c r="T236" s="14" t="n">
        <v>52.22</v>
      </c>
      <c r="U236" s="26">
        <f>IF(X236&gt;='Methodology &amp; Assumptions'!$B$7, "Tier 1 Critical GIDA (Score ≥ 50.0)", IF(X236&gt;='Methodology &amp; Assumptions'!$B$8, "Tier 2 High GIDA (Score 40.0–49.9)", "Tier 3 Moderate GIDA (Score &lt; 40.0)"))</f>
        <v/>
      </c>
      <c r="V236" s="26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W236" s="28" t="n">
        <v>0.15</v>
      </c>
      <c r="X236" s="14" t="n">
        <v>50.33</v>
      </c>
      <c r="Y236" s="14">
        <f>ROUND(MIN(100, (X236/69.91)*100), 2)</f>
        <v/>
      </c>
    </row>
    <row r="237">
      <c r="A237" s="10" t="n">
        <v>2</v>
      </c>
      <c r="B237" s="10" t="n">
        <v>233</v>
      </c>
      <c r="C237" s="10" t="n">
        <v>1233</v>
      </c>
      <c r="D237" s="10" t="inlineStr">
        <is>
          <t>1408104009</t>
        </is>
      </c>
      <c r="E237" s="26" t="inlineStr">
        <is>
          <t>Cordillera Administrative Region (CAR)</t>
        </is>
      </c>
      <c r="F237" s="26" t="inlineStr">
        <is>
          <t>Apayao</t>
        </is>
      </c>
      <c r="G237" s="26" t="inlineStr">
        <is>
          <t>Kabugao</t>
        </is>
      </c>
      <c r="H237" s="26" t="inlineStr">
        <is>
          <t>Kumao</t>
        </is>
      </c>
      <c r="I237" s="27" t="n">
        <v>18.102677</v>
      </c>
      <c r="J237" s="27" t="n">
        <v>121.15684</v>
      </c>
      <c r="K237" s="10" t="inlineStr">
        <is>
          <t>R</t>
        </is>
      </c>
      <c r="L237" s="12" t="n">
        <v>585</v>
      </c>
      <c r="M237" s="14" t="n">
        <v>4.2</v>
      </c>
      <c r="N237" s="12">
        <f>ROUND(L237/M237, 0)</f>
        <v/>
      </c>
      <c r="O237" s="12">
        <f>ROUND(N237*'Methodology &amp; Assumptions'!$B$5, 0)</f>
        <v/>
      </c>
      <c r="P237" s="10" t="inlineStr">
        <is>
          <t>Single Carrier (Band n50, 100MHz TDD)</t>
        </is>
      </c>
      <c r="Q237" s="13">
        <f>ROUNDUP(O237/'Methodology &amp; Assumptions'!$B$6, 0)</f>
        <v/>
      </c>
      <c r="R237" s="13" t="n">
        <v>1</v>
      </c>
      <c r="S237" s="14" t="n">
        <v>9.59</v>
      </c>
      <c r="T237" s="14" t="n">
        <v>16.63</v>
      </c>
      <c r="U237" s="26">
        <f>IF(X237&gt;='Methodology &amp; Assumptions'!$B$7, "Tier 1 Critical GIDA (Score ≥ 50.0)", IF(X237&gt;='Methodology &amp; Assumptions'!$B$8, "Tier 2 High GIDA (Score 40.0–49.9)", "Tier 3 Moderate GIDA (Score &lt; 40.0)"))</f>
        <v/>
      </c>
      <c r="V237" s="26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W237" s="28" t="n">
        <v>0.109</v>
      </c>
      <c r="X237" s="14" t="n">
        <v>50.33</v>
      </c>
      <c r="Y237" s="14">
        <f>ROUND(MIN(100, (X237/69.91)*100), 2)</f>
        <v/>
      </c>
    </row>
    <row r="238">
      <c r="A238" s="10" t="n">
        <v>2</v>
      </c>
      <c r="B238" s="10" t="n">
        <v>234</v>
      </c>
      <c r="C238" s="10" t="n">
        <v>1234</v>
      </c>
      <c r="D238" s="10" t="inlineStr">
        <is>
          <t>1102501015</t>
        </is>
      </c>
      <c r="E238" s="26" t="inlineStr">
        <is>
          <t>Region XI (Davao Region)</t>
        </is>
      </c>
      <c r="F238" s="26" t="inlineStr">
        <is>
          <t>Davao Oriental</t>
        </is>
      </c>
      <c r="G238" s="26" t="inlineStr">
        <is>
          <t>Baganga</t>
        </is>
      </c>
      <c r="H238" s="26" t="inlineStr">
        <is>
          <t>San Isidro</t>
        </is>
      </c>
      <c r="I238" s="27" t="n">
        <v>7.573985</v>
      </c>
      <c r="J238" s="27" t="n">
        <v>126.560143</v>
      </c>
      <c r="K238" s="10" t="inlineStr">
        <is>
          <t>R</t>
        </is>
      </c>
      <c r="L238" s="12" t="n">
        <v>2186</v>
      </c>
      <c r="M238" s="14" t="n">
        <v>3.6</v>
      </c>
      <c r="N238" s="12">
        <f>ROUND(L238/M238, 0)</f>
        <v/>
      </c>
      <c r="O238" s="12">
        <f>ROUND(N238*'Methodology &amp; Assumptions'!$B$5, 0)</f>
        <v/>
      </c>
      <c r="P238" s="10" t="inlineStr">
        <is>
          <t>Single Carrier (Band n50, 100MHz TDD)</t>
        </is>
      </c>
      <c r="Q238" s="13">
        <f>ROUNDUP(O238/'Methodology &amp; Assumptions'!$B$6, 0)</f>
        <v/>
      </c>
      <c r="R238" s="13" t="n">
        <v>1</v>
      </c>
      <c r="S238" s="14" t="n">
        <v>62.27</v>
      </c>
      <c r="T238" s="14" t="n">
        <v>62.14</v>
      </c>
      <c r="U238" s="26">
        <f>IF(X238&gt;='Methodology &amp; Assumptions'!$B$7, "Tier 1 Critical GIDA (Score ≥ 50.0)", IF(X238&gt;='Methodology &amp; Assumptions'!$B$8, "Tier 2 High GIDA (Score 40.0–49.9)", "Tier 3 Moderate GIDA (Score &lt; 40.0)"))</f>
        <v/>
      </c>
      <c r="V238" s="26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W238" s="28" t="n">
        <v>0.174</v>
      </c>
      <c r="X238" s="14" t="n">
        <v>50.33</v>
      </c>
      <c r="Y238" s="14">
        <f>ROUND(MIN(100, (X238/69.91)*100), 2)</f>
        <v/>
      </c>
    </row>
    <row r="239">
      <c r="A239" s="10" t="n">
        <v>2</v>
      </c>
      <c r="B239" s="10" t="n">
        <v>235</v>
      </c>
      <c r="C239" s="10" t="n">
        <v>1235</v>
      </c>
      <c r="D239" s="10" t="inlineStr">
        <is>
          <t>PH0001235</t>
        </is>
      </c>
      <c r="E239" s="26" t="inlineStr">
        <is>
          <t>VIII</t>
        </is>
      </c>
      <c r="F239" s="26" t="inlineStr">
        <is>
          <t>Leyte</t>
        </is>
      </c>
      <c r="G239" s="26" t="inlineStr">
        <is>
          <t>Tacloban City</t>
        </is>
      </c>
      <c r="H239" s="26" t="inlineStr">
        <is>
          <t>Barangay 42</t>
        </is>
      </c>
      <c r="I239" s="27" t="n">
        <v>11.247031</v>
      </c>
      <c r="J239" s="27" t="n">
        <v>124.936095</v>
      </c>
      <c r="K239" s="10" t="inlineStr">
        <is>
          <t>R</t>
        </is>
      </c>
      <c r="L239" s="12" t="n">
        <v>2258</v>
      </c>
      <c r="M239" s="14" t="n">
        <v>3.8</v>
      </c>
      <c r="N239" s="12">
        <f>ROUND(L239/M239, 0)</f>
        <v/>
      </c>
      <c r="O239" s="12">
        <f>ROUND(N239*'Methodology &amp; Assumptions'!$B$5, 0)</f>
        <v/>
      </c>
      <c r="P239" s="10" t="inlineStr">
        <is>
          <t>Single Carrier (Band n50, 100MHz TDD)</t>
        </is>
      </c>
      <c r="Q239" s="13">
        <f>ROUNDUP(O239/'Methodology &amp; Assumptions'!$B$6, 0)</f>
        <v/>
      </c>
      <c r="R239" s="13" t="n">
        <v>1</v>
      </c>
      <c r="S239" s="14" t="n">
        <v>7.28</v>
      </c>
      <c r="T239" s="14" t="n">
        <v>6.98</v>
      </c>
      <c r="U239" s="26">
        <f>IF(X239&gt;='Methodology &amp; Assumptions'!$B$7, "Tier 1 Critical GIDA (Score ≥ 50.0)", IF(X239&gt;='Methodology &amp; Assumptions'!$B$8, "Tier 2 High GIDA (Score 40.0–49.9)", "Tier 3 Moderate GIDA (Score &lt; 40.0)"))</f>
        <v/>
      </c>
      <c r="V239" s="26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W239" s="28" t="n">
        <v>0.222</v>
      </c>
      <c r="X239" s="14" t="n">
        <v>50.32</v>
      </c>
      <c r="Y239" s="14">
        <f>ROUND(MIN(100, (X239/69.91)*100), 2)</f>
        <v/>
      </c>
    </row>
    <row r="240">
      <c r="A240" s="10" t="n">
        <v>2</v>
      </c>
      <c r="B240" s="10" t="n">
        <v>236</v>
      </c>
      <c r="C240" s="10" t="n">
        <v>1236</v>
      </c>
      <c r="D240" s="10" t="inlineStr">
        <is>
          <t>1102401002</t>
        </is>
      </c>
      <c r="E240" s="26" t="inlineStr">
        <is>
          <t>Region XI (Davao Region)</t>
        </is>
      </c>
      <c r="F240" s="26" t="inlineStr">
        <is>
          <t>Davao del Sur</t>
        </is>
      </c>
      <c r="G240" s="26" t="inlineStr">
        <is>
          <t>Bansalan</t>
        </is>
      </c>
      <c r="H240" s="26" t="inlineStr">
        <is>
          <t>Alta Vista</t>
        </is>
      </c>
      <c r="I240" s="27" t="n">
        <v>6.834137</v>
      </c>
      <c r="J240" s="27" t="n">
        <v>125.228577</v>
      </c>
      <c r="K240" s="10" t="inlineStr">
        <is>
          <t>R</t>
        </is>
      </c>
      <c r="L240" s="12" t="n">
        <v>1049</v>
      </c>
      <c r="M240" s="14" t="n">
        <v>3.4</v>
      </c>
      <c r="N240" s="12">
        <f>ROUND(L240/M240, 0)</f>
        <v/>
      </c>
      <c r="O240" s="12">
        <f>ROUND(N240*'Methodology &amp; Assumptions'!$B$5, 0)</f>
        <v/>
      </c>
      <c r="P240" s="10" t="inlineStr">
        <is>
          <t>Single Carrier (Band n50, 100MHz TDD)</t>
        </is>
      </c>
      <c r="Q240" s="13">
        <f>ROUNDUP(O240/'Methodology &amp; Assumptions'!$B$6, 0)</f>
        <v/>
      </c>
      <c r="R240" s="13" t="n">
        <v>1</v>
      </c>
      <c r="S240" s="14" t="n">
        <v>5.54</v>
      </c>
      <c r="T240" s="14" t="n">
        <v>16.52</v>
      </c>
      <c r="U240" s="26">
        <f>IF(X240&gt;='Methodology &amp; Assumptions'!$B$7, "Tier 1 Critical GIDA (Score ≥ 50.0)", IF(X240&gt;='Methodology &amp; Assumptions'!$B$8, "Tier 2 High GIDA (Score 40.0–49.9)", "Tier 3 Moderate GIDA (Score &lt; 40.0)"))</f>
        <v/>
      </c>
      <c r="V240" s="26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W240" s="28" t="n">
        <v>0.174</v>
      </c>
      <c r="X240" s="14" t="n">
        <v>50.32</v>
      </c>
      <c r="Y240" s="14">
        <f>ROUND(MIN(100, (X240/69.91)*100), 2)</f>
        <v/>
      </c>
    </row>
    <row r="241">
      <c r="A241" s="10" t="n">
        <v>2</v>
      </c>
      <c r="B241" s="10" t="n">
        <v>237</v>
      </c>
      <c r="C241" s="10" t="n">
        <v>1237</v>
      </c>
      <c r="D241" s="10" t="inlineStr">
        <is>
          <t>1907010005</t>
        </is>
      </c>
      <c r="E241" s="26" t="inlineStr">
        <is>
          <t>Bangsamoro Autonomous Region In Muslim Mindanao (BARMM)</t>
        </is>
      </c>
      <c r="F241" s="26" t="inlineStr">
        <is>
          <t>Tawi-Tawi</t>
        </is>
      </c>
      <c r="G241" s="26" t="inlineStr">
        <is>
          <t>Sapa-Sapa</t>
        </is>
      </c>
      <c r="H241" s="26" t="inlineStr">
        <is>
          <t>Dalo-dalo</t>
        </is>
      </c>
      <c r="I241" s="27" t="n">
        <v>17.255806</v>
      </c>
      <c r="J241" s="27" t="n">
        <v>122.22985</v>
      </c>
      <c r="K241" s="10" t="inlineStr">
        <is>
          <t>R</t>
        </is>
      </c>
      <c r="L241" s="12" t="n">
        <v>1679</v>
      </c>
      <c r="M241" s="14" t="n">
        <v>5.8</v>
      </c>
      <c r="N241" s="12">
        <f>ROUND(L241/M241, 0)</f>
        <v/>
      </c>
      <c r="O241" s="12">
        <f>ROUND(N241*'Methodology &amp; Assumptions'!$B$5, 0)</f>
        <v/>
      </c>
      <c r="P241" s="10" t="inlineStr">
        <is>
          <t>Single Carrier (Band n50, 100MHz TDD)</t>
        </is>
      </c>
      <c r="Q241" s="13">
        <f>ROUNDUP(O241/'Methodology &amp; Assumptions'!$B$6, 0)</f>
        <v/>
      </c>
      <c r="R241" s="13" t="n">
        <v>1</v>
      </c>
      <c r="S241" s="14" t="n">
        <v>29.56</v>
      </c>
      <c r="T241" s="14" t="n">
        <v>34.43</v>
      </c>
      <c r="U241" s="26">
        <f>IF(X241&gt;='Methodology &amp; Assumptions'!$B$7, "Tier 1 Critical GIDA (Score ≥ 50.0)", IF(X241&gt;='Methodology &amp; Assumptions'!$B$8, "Tier 2 High GIDA (Score 40.0–49.9)", "Tier 3 Moderate GIDA (Score &lt; 40.0)"))</f>
        <v/>
      </c>
      <c r="V241" s="26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W241" s="28" t="n">
        <v>0.11</v>
      </c>
      <c r="X241" s="14" t="n">
        <v>50.32</v>
      </c>
      <c r="Y241" s="14">
        <f>ROUND(MIN(100, (X241/69.91)*100), 2)</f>
        <v/>
      </c>
    </row>
    <row r="242">
      <c r="A242" s="10" t="n">
        <v>2</v>
      </c>
      <c r="B242" s="10" t="n">
        <v>238</v>
      </c>
      <c r="C242" s="10" t="n">
        <v>1238</v>
      </c>
      <c r="D242" s="10" t="inlineStr">
        <is>
          <t>1908709007</t>
        </is>
      </c>
      <c r="E242" s="26" t="inlineStr">
        <is>
          <t>Bangsamoro Autonomous Region In Muslim Mindanao (BARMM)</t>
        </is>
      </c>
      <c r="F242" s="26" t="inlineStr">
        <is>
          <t>Maguindanao del Norte</t>
        </is>
      </c>
      <c r="G242" s="26" t="inlineStr">
        <is>
          <t>Parang</t>
        </is>
      </c>
      <c r="H242" s="26" t="inlineStr">
        <is>
          <t>Guiday T. Biruar</t>
        </is>
      </c>
      <c r="I242" s="27" t="n">
        <v>17.253978</v>
      </c>
      <c r="J242" s="27" t="n">
        <v>122.228022</v>
      </c>
      <c r="K242" s="10" t="inlineStr">
        <is>
          <t>R</t>
        </is>
      </c>
      <c r="L242" s="12" t="n">
        <v>8250</v>
      </c>
      <c r="M242" s="14" t="n">
        <v>4.3</v>
      </c>
      <c r="N242" s="12">
        <f>ROUND(L242/M242, 0)</f>
        <v/>
      </c>
      <c r="O242" s="12">
        <f>ROUND(N242*'Methodology &amp; Assumptions'!$B$5, 0)</f>
        <v/>
      </c>
      <c r="P242" s="10" t="inlineStr">
        <is>
          <t>Single Carrier (Band n50, 100MHz TDD)</t>
        </is>
      </c>
      <c r="Q242" s="13">
        <f>ROUNDUP(O242/'Methodology &amp; Assumptions'!$B$6, 0)</f>
        <v/>
      </c>
      <c r="R242" s="13" t="n">
        <v>1</v>
      </c>
      <c r="S242" s="14" t="n">
        <v>29.28</v>
      </c>
      <c r="T242" s="14" t="n">
        <v>34.18</v>
      </c>
      <c r="U242" s="26">
        <f>IF(X242&gt;='Methodology &amp; Assumptions'!$B$7, "Tier 1 Critical GIDA (Score ≥ 50.0)", IF(X242&gt;='Methodology &amp; Assumptions'!$B$8, "Tier 2 High GIDA (Score 40.0–49.9)", "Tier 3 Moderate GIDA (Score &lt; 40.0)"))</f>
        <v/>
      </c>
      <c r="V242" s="26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W242" s="28" t="n">
        <v>0.11</v>
      </c>
      <c r="X242" s="14" t="n">
        <v>50.32</v>
      </c>
      <c r="Y242" s="14">
        <f>ROUND(MIN(100, (X242/69.91)*100), 2)</f>
        <v/>
      </c>
    </row>
    <row r="243">
      <c r="A243" s="10" t="n">
        <v>2</v>
      </c>
      <c r="B243" s="10" t="n">
        <v>239</v>
      </c>
      <c r="C243" s="10" t="n">
        <v>1239</v>
      </c>
      <c r="D243" s="10" t="inlineStr">
        <is>
          <t>1907010015</t>
        </is>
      </c>
      <c r="E243" s="26" t="inlineStr">
        <is>
          <t>Bangsamoro Autonomous Region In Muslim Mindanao (BARMM)</t>
        </is>
      </c>
      <c r="F243" s="26" t="inlineStr">
        <is>
          <t>Tawi-Tawi</t>
        </is>
      </c>
      <c r="G243" s="26" t="inlineStr">
        <is>
          <t>Sapa-Sapa</t>
        </is>
      </c>
      <c r="H243" s="26" t="inlineStr">
        <is>
          <t>Tapian Bohe North</t>
        </is>
      </c>
      <c r="I243" s="27" t="n">
        <v>17.255809</v>
      </c>
      <c r="J243" s="27" t="n">
        <v>122.229853</v>
      </c>
      <c r="K243" s="10" t="inlineStr">
        <is>
          <t>R</t>
        </is>
      </c>
      <c r="L243" s="12" t="n">
        <v>1108</v>
      </c>
      <c r="M243" s="14" t="n">
        <v>5.8</v>
      </c>
      <c r="N243" s="12">
        <f>ROUND(L243/M243, 0)</f>
        <v/>
      </c>
      <c r="O243" s="12">
        <f>ROUND(N243*'Methodology &amp; Assumptions'!$B$5, 0)</f>
        <v/>
      </c>
      <c r="P243" s="10" t="inlineStr">
        <is>
          <t>Single Carrier (Band n50, 100MHz TDD)</t>
        </is>
      </c>
      <c r="Q243" s="13">
        <f>ROUNDUP(O243/'Methodology &amp; Assumptions'!$B$6, 0)</f>
        <v/>
      </c>
      <c r="R243" s="13" t="n">
        <v>1</v>
      </c>
      <c r="S243" s="14" t="n">
        <v>29.56</v>
      </c>
      <c r="T243" s="14" t="n">
        <v>34.43</v>
      </c>
      <c r="U243" s="26">
        <f>IF(X243&gt;='Methodology &amp; Assumptions'!$B$7, "Tier 1 Critical GIDA (Score ≥ 50.0)", IF(X243&gt;='Methodology &amp; Assumptions'!$B$8, "Tier 2 High GIDA (Score 40.0–49.9)", "Tier 3 Moderate GIDA (Score &lt; 40.0)"))</f>
        <v/>
      </c>
      <c r="V243" s="26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W243" s="28" t="n">
        <v>0.11</v>
      </c>
      <c r="X243" s="14" t="n">
        <v>50.32</v>
      </c>
      <c r="Y243" s="14">
        <f>ROUND(MIN(100, (X243/69.91)*100), 2)</f>
        <v/>
      </c>
    </row>
    <row r="244">
      <c r="A244" s="10" t="n">
        <v>2</v>
      </c>
      <c r="B244" s="10" t="n">
        <v>240</v>
      </c>
      <c r="C244" s="10" t="n">
        <v>1240</v>
      </c>
      <c r="D244" s="10" t="inlineStr">
        <is>
          <t>1380610024</t>
        </is>
      </c>
      <c r="E244" s="26" t="inlineStr">
        <is>
          <t>National Capital Region (NCR)</t>
        </is>
      </c>
      <c r="F244" s="26" t="inlineStr">
        <is>
          <t>First District (Not a Province)</t>
        </is>
      </c>
      <c r="G244" s="26" t="inlineStr">
        <is>
          <t>City of Manila</t>
        </is>
      </c>
      <c r="H244" s="26" t="inlineStr">
        <is>
          <t>Barangay 709</t>
        </is>
      </c>
      <c r="I244" s="27" t="n">
        <v>12.835952</v>
      </c>
      <c r="J244" s="27" t="n">
        <v>122.028513</v>
      </c>
      <c r="K244" s="10" t="inlineStr">
        <is>
          <t>U</t>
        </is>
      </c>
      <c r="L244" s="12" t="n">
        <v>4280</v>
      </c>
      <c r="M244" s="14" t="n">
        <v>3.9</v>
      </c>
      <c r="N244" s="12">
        <f>ROUND(L244/M244, 0)</f>
        <v/>
      </c>
      <c r="O244" s="12">
        <f>ROUND(N244*'Methodology &amp; Assumptions'!$B$5, 0)</f>
        <v/>
      </c>
      <c r="P244" s="10" t="inlineStr">
        <is>
          <t>Single Carrier (Band n50, 100MHz TDD)</t>
        </is>
      </c>
      <c r="Q244" s="13">
        <f>ROUNDUP(O244/'Methodology &amp; Assumptions'!$B$6, 0)</f>
        <v/>
      </c>
      <c r="R244" s="13" t="n">
        <v>1</v>
      </c>
      <c r="S244" s="14" t="n">
        <v>57.79</v>
      </c>
      <c r="T244" s="14" t="n">
        <v>56.59</v>
      </c>
      <c r="U244" s="26">
        <f>IF(X244&gt;='Methodology &amp; Assumptions'!$B$7, "Tier 1 Critical GIDA (Score ≥ 50.0)", IF(X244&gt;='Methodology &amp; Assumptions'!$B$8, "Tier 2 High GIDA (Score 40.0–49.9)", "Tier 3 Moderate GIDA (Score &lt; 40.0)"))</f>
        <v/>
      </c>
      <c r="V244" s="26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W244" s="28" t="n">
        <v>0.109</v>
      </c>
      <c r="X244" s="14" t="n">
        <v>50.32</v>
      </c>
      <c r="Y244" s="14">
        <f>ROUND(MIN(100, (X244/69.91)*100), 2)</f>
        <v/>
      </c>
    </row>
    <row r="245">
      <c r="A245" s="10" t="n">
        <v>2</v>
      </c>
      <c r="B245" s="10" t="n">
        <v>241</v>
      </c>
      <c r="C245" s="10" t="n">
        <v>1241</v>
      </c>
      <c r="D245" s="10" t="inlineStr">
        <is>
          <t>0401005069</t>
        </is>
      </c>
      <c r="E245" s="26" t="inlineStr">
        <is>
          <t>Region IV-A (CALABARZON)</t>
        </is>
      </c>
      <c r="F245" s="26" t="inlineStr">
        <is>
          <t>Batangas</t>
        </is>
      </c>
      <c r="G245" s="26" t="inlineStr">
        <is>
          <t>Batangas City</t>
        </is>
      </c>
      <c r="H245" s="26" t="inlineStr">
        <is>
          <t>Barangay 22</t>
        </is>
      </c>
      <c r="I245" s="27" t="n">
        <v>13.721738</v>
      </c>
      <c r="J245" s="27" t="n">
        <v>121.081488</v>
      </c>
      <c r="K245" s="10" t="inlineStr">
        <is>
          <t>U</t>
        </is>
      </c>
      <c r="L245" s="12" t="n">
        <v>97</v>
      </c>
      <c r="M245" s="14" t="n">
        <v>3.6</v>
      </c>
      <c r="N245" s="12">
        <f>ROUND(L245/M245, 0)</f>
        <v/>
      </c>
      <c r="O245" s="12">
        <f>ROUND(N245*'Methodology &amp; Assumptions'!$B$5, 0)</f>
        <v/>
      </c>
      <c r="P245" s="10" t="inlineStr">
        <is>
          <t>Single Carrier (Band n50, 100MHz TDD)</t>
        </is>
      </c>
      <c r="Q245" s="13">
        <f>ROUNDUP(O245/'Methodology &amp; Assumptions'!$B$6, 0)</f>
        <v/>
      </c>
      <c r="R245" s="13" t="n">
        <v>1</v>
      </c>
      <c r="S245" s="14" t="n">
        <v>4.36</v>
      </c>
      <c r="T245" s="14" t="n">
        <v>4.37</v>
      </c>
      <c r="U245" s="26">
        <f>IF(X245&gt;='Methodology &amp; Assumptions'!$B$7, "Tier 1 Critical GIDA (Score ≥ 50.0)", IF(X245&gt;='Methodology &amp; Assumptions'!$B$8, "Tier 2 High GIDA (Score 40.0–49.9)", "Tier 3 Moderate GIDA (Score &lt; 40.0)"))</f>
        <v/>
      </c>
      <c r="V245" s="26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W245" s="28" t="n">
        <v>0.07200000000000001</v>
      </c>
      <c r="X245" s="14" t="n">
        <v>50.32</v>
      </c>
      <c r="Y245" s="14">
        <f>ROUND(MIN(100, (X245/69.91)*100), 2)</f>
        <v/>
      </c>
    </row>
    <row r="246">
      <c r="A246" s="10" t="n">
        <v>2</v>
      </c>
      <c r="B246" s="10" t="n">
        <v>242</v>
      </c>
      <c r="C246" s="10" t="n">
        <v>1242</v>
      </c>
      <c r="D246" s="10" t="inlineStr">
        <is>
          <t>1906612041</t>
        </is>
      </c>
      <c r="E246" s="26" t="inlineStr">
        <is>
          <t>Bangsamoro Autonomous Region In Muslim Mindanao (BARMM)</t>
        </is>
      </c>
      <c r="F246" s="26" t="inlineStr">
        <is>
          <t>Sulu</t>
        </is>
      </c>
      <c r="G246" s="26" t="inlineStr">
        <is>
          <t>Siasi</t>
        </is>
      </c>
      <c r="H246" s="26" t="inlineStr">
        <is>
          <t>North Silumpak</t>
        </is>
      </c>
      <c r="I246" s="27" t="n">
        <v>16.372414</v>
      </c>
      <c r="J246" s="27" t="n">
        <v>122.116713</v>
      </c>
      <c r="K246" s="10" t="inlineStr">
        <is>
          <t>R</t>
        </is>
      </c>
      <c r="L246" s="12" t="n">
        <v>740</v>
      </c>
      <c r="M246" s="14" t="n">
        <v>6</v>
      </c>
      <c r="N246" s="12">
        <f>ROUND(L246/M246, 0)</f>
        <v/>
      </c>
      <c r="O246" s="12">
        <f>ROUND(N246*'Methodology &amp; Assumptions'!$B$5, 0)</f>
        <v/>
      </c>
      <c r="P246" s="10" t="inlineStr">
        <is>
          <t>Single Carrier (Band n50, 100MHz TDD)</t>
        </is>
      </c>
      <c r="Q246" s="13">
        <f>ROUNDUP(O246/'Methodology &amp; Assumptions'!$B$6, 0)</f>
        <v/>
      </c>
      <c r="R246" s="13" t="n">
        <v>1</v>
      </c>
      <c r="S246" s="14" t="n">
        <v>9.16</v>
      </c>
      <c r="T246" s="14" t="n">
        <v>2.73</v>
      </c>
      <c r="U246" s="26">
        <f>IF(X246&gt;='Methodology &amp; Assumptions'!$B$7, "Tier 1 Critical GIDA (Score ≥ 50.0)", IF(X246&gt;='Methodology &amp; Assumptions'!$B$8, "Tier 2 High GIDA (Score 40.0–49.9)", "Tier 3 Moderate GIDA (Score &lt; 40.0)"))</f>
        <v/>
      </c>
      <c r="V246" s="26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W246" s="28" t="n">
        <v>0.11</v>
      </c>
      <c r="X246" s="14" t="n">
        <v>50.32</v>
      </c>
      <c r="Y246" s="14">
        <f>ROUND(MIN(100, (X246/69.91)*100), 2)</f>
        <v/>
      </c>
    </row>
    <row r="247">
      <c r="A247" s="10" t="n">
        <v>2</v>
      </c>
      <c r="B247" s="10" t="n">
        <v>243</v>
      </c>
      <c r="C247" s="10" t="n">
        <v>1243</v>
      </c>
      <c r="D247" s="10" t="inlineStr">
        <is>
          <t>0500511007</t>
        </is>
      </c>
      <c r="E247" s="26" t="inlineStr">
        <is>
          <t>Region V (Bicol Region)</t>
        </is>
      </c>
      <c r="F247" s="26" t="inlineStr">
        <is>
          <t>Albay</t>
        </is>
      </c>
      <c r="G247" s="26" t="inlineStr">
        <is>
          <t>Manito</t>
        </is>
      </c>
      <c r="H247" s="26" t="inlineStr">
        <is>
          <t>Cawayan</t>
        </is>
      </c>
      <c r="I247" s="27" t="n">
        <v>13.058407</v>
      </c>
      <c r="J247" s="27" t="n">
        <v>123.821398</v>
      </c>
      <c r="K247" s="10" t="inlineStr">
        <is>
          <t>R</t>
        </is>
      </c>
      <c r="L247" s="12" t="n">
        <v>1873</v>
      </c>
      <c r="M247" s="14" t="n">
        <v>4.1</v>
      </c>
      <c r="N247" s="12">
        <f>ROUND(L247/M247, 0)</f>
        <v/>
      </c>
      <c r="O247" s="12">
        <f>ROUND(N247*'Methodology &amp; Assumptions'!$B$5, 0)</f>
        <v/>
      </c>
      <c r="P247" s="10" t="inlineStr">
        <is>
          <t>Single Carrier (Band n50, 100MHz TDD)</t>
        </is>
      </c>
      <c r="Q247" s="13">
        <f>ROUNDUP(O247/'Methodology &amp; Assumptions'!$B$6, 0)</f>
        <v/>
      </c>
      <c r="R247" s="13" t="n">
        <v>1</v>
      </c>
      <c r="S247" s="14" t="n">
        <v>8.93</v>
      </c>
      <c r="T247" s="14" t="n">
        <v>8.029999999999999</v>
      </c>
      <c r="U247" s="26">
        <f>IF(X247&gt;='Methodology &amp; Assumptions'!$B$7, "Tier 1 Critical GIDA (Score ≥ 50.0)", IF(X247&gt;='Methodology &amp; Assumptions'!$B$8, "Tier 2 High GIDA (Score 40.0–49.9)", "Tier 3 Moderate GIDA (Score &lt; 40.0)"))</f>
        <v/>
      </c>
      <c r="V247" s="26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W247" s="28" t="n">
        <v>0.237</v>
      </c>
      <c r="X247" s="14" t="n">
        <v>50.32</v>
      </c>
      <c r="Y247" s="14">
        <f>ROUND(MIN(100, (X247/69.91)*100), 2)</f>
        <v/>
      </c>
    </row>
    <row r="248">
      <c r="A248" s="10" t="n">
        <v>2</v>
      </c>
      <c r="B248" s="10" t="n">
        <v>244</v>
      </c>
      <c r="C248" s="10" t="n">
        <v>1244</v>
      </c>
      <c r="D248" s="10" t="inlineStr">
        <is>
          <t>0806002052</t>
        </is>
      </c>
      <c r="E248" s="26" t="inlineStr">
        <is>
          <t>Region VIII (Eastern Visayas)</t>
        </is>
      </c>
      <c r="F248" s="26" t="inlineStr">
        <is>
          <t>Samar</t>
        </is>
      </c>
      <c r="G248" s="26" t="inlineStr">
        <is>
          <t>Basey</t>
        </is>
      </c>
      <c r="H248" s="26" t="inlineStr">
        <is>
          <t>Bulao</t>
        </is>
      </c>
      <c r="I248" s="27" t="n">
        <v>11.33826</v>
      </c>
      <c r="J248" s="27" t="n">
        <v>125.10281</v>
      </c>
      <c r="K248" s="10" t="inlineStr">
        <is>
          <t>R</t>
        </is>
      </c>
      <c r="L248" s="12" t="n">
        <v>1340</v>
      </c>
      <c r="M248" s="14" t="n">
        <v>4.1</v>
      </c>
      <c r="N248" s="12">
        <f>ROUND(L248/M248, 0)</f>
        <v/>
      </c>
      <c r="O248" s="12">
        <f>ROUND(N248*'Methodology &amp; Assumptions'!$B$5, 0)</f>
        <v/>
      </c>
      <c r="P248" s="10" t="inlineStr">
        <is>
          <t>Single Carrier (Band n50, 100MHz TDD)</t>
        </is>
      </c>
      <c r="Q248" s="13">
        <f>ROUNDUP(O248/'Methodology &amp; Assumptions'!$B$6, 0)</f>
        <v/>
      </c>
      <c r="R248" s="13" t="n">
        <v>1</v>
      </c>
      <c r="S248" s="14" t="n">
        <v>15.5</v>
      </c>
      <c r="T248" s="14" t="n">
        <v>17.2</v>
      </c>
      <c r="U248" s="26">
        <f>IF(X248&gt;='Methodology &amp; Assumptions'!$B$7, "Tier 1 Critical GIDA (Score ≥ 50.0)", IF(X248&gt;='Methodology &amp; Assumptions'!$B$8, "Tier 2 High GIDA (Score 40.0–49.9)", "Tier 3 Moderate GIDA (Score &lt; 40.0)"))</f>
        <v/>
      </c>
      <c r="V248" s="26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W248" s="28" t="n">
        <v>0.237</v>
      </c>
      <c r="X248" s="14" t="n">
        <v>50.32</v>
      </c>
      <c r="Y248" s="14">
        <f>ROUND(MIN(100, (X248/69.91)*100), 2)</f>
        <v/>
      </c>
    </row>
    <row r="249">
      <c r="A249" s="10" t="n">
        <v>2</v>
      </c>
      <c r="B249" s="10" t="n">
        <v>245</v>
      </c>
      <c r="C249" s="10" t="n">
        <v>1245</v>
      </c>
      <c r="D249" s="10" t="inlineStr">
        <is>
          <t>0203121017</t>
        </is>
      </c>
      <c r="E249" s="26" t="inlineStr">
        <is>
          <t>Region II (Cagayan Valley)</t>
        </is>
      </c>
      <c r="F249" s="26" t="inlineStr">
        <is>
          <t>Isabela</t>
        </is>
      </c>
      <c r="G249" s="26" t="inlineStr">
        <is>
          <t>Palanan</t>
        </is>
      </c>
      <c r="H249" s="26" t="inlineStr">
        <is>
          <t>San Isidro</t>
        </is>
      </c>
      <c r="I249" s="27" t="n">
        <v>17.13398</v>
      </c>
      <c r="J249" s="27" t="n">
        <v>122.50814</v>
      </c>
      <c r="K249" s="10" t="inlineStr">
        <is>
          <t>R</t>
        </is>
      </c>
      <c r="L249" s="12" t="n">
        <v>894</v>
      </c>
      <c r="M249" s="14" t="n">
        <v>3.8</v>
      </c>
      <c r="N249" s="12">
        <f>ROUND(L249/M249, 0)</f>
        <v/>
      </c>
      <c r="O249" s="12">
        <f>ROUND(N249*'Methodology &amp; Assumptions'!$B$5, 0)</f>
        <v/>
      </c>
      <c r="P249" s="10" t="inlineStr">
        <is>
          <t>Single Carrier (Band n50, 100MHz TDD)</t>
        </is>
      </c>
      <c r="Q249" s="13">
        <f>ROUNDUP(O249/'Methodology &amp; Assumptions'!$B$6, 0)</f>
        <v/>
      </c>
      <c r="R249" s="13" t="n">
        <v>1</v>
      </c>
      <c r="S249" s="14" t="n">
        <v>52.59</v>
      </c>
      <c r="T249" s="14" t="n">
        <v>62.24</v>
      </c>
      <c r="U249" s="26">
        <f>IF(X249&gt;='Methodology &amp; Assumptions'!$B$7, "Tier 1 Critical GIDA (Score ≥ 50.0)", IF(X249&gt;='Methodology &amp; Assumptions'!$B$8, "Tier 2 High GIDA (Score 40.0–49.9)", "Tier 3 Moderate GIDA (Score &lt; 40.0)"))</f>
        <v/>
      </c>
      <c r="V249" s="26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W249" s="28" t="n">
        <v>0.083</v>
      </c>
      <c r="X249" s="14" t="n">
        <v>50.31</v>
      </c>
      <c r="Y249" s="14">
        <f>ROUND(MIN(100, (X249/69.91)*100), 2)</f>
        <v/>
      </c>
    </row>
    <row r="250">
      <c r="A250" s="10" t="n">
        <v>2</v>
      </c>
      <c r="B250" s="10" t="n">
        <v>246</v>
      </c>
      <c r="C250" s="10" t="n">
        <v>1246</v>
      </c>
      <c r="D250" s="10" t="inlineStr">
        <is>
          <t>1380601010</t>
        </is>
      </c>
      <c r="E250" s="26" t="inlineStr">
        <is>
          <t>National Capital Region (NCR)</t>
        </is>
      </c>
      <c r="F250" s="26" t="inlineStr">
        <is>
          <t>First District (Not a Province)</t>
        </is>
      </c>
      <c r="G250" s="26" t="inlineStr">
        <is>
          <t>City of Manila</t>
        </is>
      </c>
      <c r="H250" s="26" t="inlineStr">
        <is>
          <t>Barangay 10</t>
        </is>
      </c>
      <c r="I250" s="27" t="n">
        <v>12.743609</v>
      </c>
      <c r="J250" s="27" t="n">
        <v>121.554867</v>
      </c>
      <c r="K250" s="10" t="inlineStr">
        <is>
          <t>U</t>
        </is>
      </c>
      <c r="L250" s="12" t="n">
        <v>165</v>
      </c>
      <c r="M250" s="14" t="n">
        <v>3.9</v>
      </c>
      <c r="N250" s="12">
        <f>ROUND(L250/M250, 0)</f>
        <v/>
      </c>
      <c r="O250" s="12">
        <f>ROUND(N250*'Methodology &amp; Assumptions'!$B$5, 0)</f>
        <v/>
      </c>
      <c r="P250" s="10" t="inlineStr">
        <is>
          <t>Single Carrier (Band n50, 100MHz TDD)</t>
        </is>
      </c>
      <c r="Q250" s="13">
        <f>ROUNDUP(O250/'Methodology &amp; Assumptions'!$B$6, 0)</f>
        <v/>
      </c>
      <c r="R250" s="13" t="n">
        <v>1</v>
      </c>
      <c r="S250" s="14" t="n">
        <v>7.32</v>
      </c>
      <c r="T250" s="14" t="n">
        <v>7.3</v>
      </c>
      <c r="U250" s="26">
        <f>IF(X250&gt;='Methodology &amp; Assumptions'!$B$7, "Tier 1 Critical GIDA (Score ≥ 50.0)", IF(X250&gt;='Methodology &amp; Assumptions'!$B$8, "Tier 2 High GIDA (Score 40.0–49.9)", "Tier 3 Moderate GIDA (Score &lt; 40.0)"))</f>
        <v/>
      </c>
      <c r="V250" s="26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W250" s="28" t="n">
        <v>0.109</v>
      </c>
      <c r="X250" s="14" t="n">
        <v>50.31</v>
      </c>
      <c r="Y250" s="14">
        <f>ROUND(MIN(100, (X250/69.91)*100), 2)</f>
        <v/>
      </c>
    </row>
    <row r="251">
      <c r="A251" s="10" t="n">
        <v>2</v>
      </c>
      <c r="B251" s="10" t="n">
        <v>247</v>
      </c>
      <c r="C251" s="10" t="n">
        <v>1247</v>
      </c>
      <c r="D251" s="10" t="inlineStr">
        <is>
          <t>0600614007</t>
        </is>
      </c>
      <c r="E251" s="26" t="inlineStr">
        <is>
          <t>Region VI (Western Visayas)</t>
        </is>
      </c>
      <c r="F251" s="26" t="inlineStr">
        <is>
          <t>Antique</t>
        </is>
      </c>
      <c r="G251" s="26" t="inlineStr">
        <is>
          <t>San Remigio</t>
        </is>
      </c>
      <c r="H251" s="26" t="inlineStr">
        <is>
          <t>Banbanan</t>
        </is>
      </c>
      <c r="I251" s="27" t="n">
        <v>10.965959</v>
      </c>
      <c r="J251" s="27" t="n">
        <v>122.190294</v>
      </c>
      <c r="K251" s="10" t="inlineStr">
        <is>
          <t>R</t>
        </is>
      </c>
      <c r="L251" s="12" t="n">
        <v>282</v>
      </c>
      <c r="M251" s="14" t="n">
        <v>3.9</v>
      </c>
      <c r="N251" s="12">
        <f>ROUND(L251/M251, 0)</f>
        <v/>
      </c>
      <c r="O251" s="12">
        <f>ROUND(N251*'Methodology &amp; Assumptions'!$B$5, 0)</f>
        <v/>
      </c>
      <c r="P251" s="10" t="inlineStr">
        <is>
          <t>Single Carrier (Band n50, 100MHz TDD)</t>
        </is>
      </c>
      <c r="Q251" s="13">
        <f>ROUNDUP(O251/'Methodology &amp; Assumptions'!$B$6, 0)</f>
        <v/>
      </c>
      <c r="R251" s="13" t="n">
        <v>1</v>
      </c>
      <c r="S251" s="14" t="n">
        <v>35.29</v>
      </c>
      <c r="T251" s="14" t="n">
        <v>28.33</v>
      </c>
      <c r="U251" s="26">
        <f>IF(X251&gt;='Methodology &amp; Assumptions'!$B$7, "Tier 1 Critical GIDA (Score ≥ 50.0)", IF(X251&gt;='Methodology &amp; Assumptions'!$B$8, "Tier 2 High GIDA (Score 40.0–49.9)", "Tier 3 Moderate GIDA (Score &lt; 40.0)"))</f>
        <v/>
      </c>
      <c r="V251" s="26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W251" s="28" t="n">
        <v>0.237</v>
      </c>
      <c r="X251" s="14" t="n">
        <v>50.31</v>
      </c>
      <c r="Y251" s="14">
        <f>ROUND(MIN(100, (X251/69.91)*100), 2)</f>
        <v/>
      </c>
    </row>
    <row r="252">
      <c r="A252" s="10" t="n">
        <v>2</v>
      </c>
      <c r="B252" s="10" t="n">
        <v>248</v>
      </c>
      <c r="C252" s="10" t="n">
        <v>1248</v>
      </c>
      <c r="D252" s="10" t="inlineStr">
        <is>
          <t>1380601174</t>
        </is>
      </c>
      <c r="E252" s="26" t="inlineStr">
        <is>
          <t>National Capital Region (NCR)</t>
        </is>
      </c>
      <c r="F252" s="26" t="inlineStr">
        <is>
          <t>First District (Not a Province)</t>
        </is>
      </c>
      <c r="G252" s="26" t="inlineStr">
        <is>
          <t>City of Manila</t>
        </is>
      </c>
      <c r="H252" s="26" t="inlineStr">
        <is>
          <t>Barangay 174</t>
        </is>
      </c>
      <c r="I252" s="27" t="n">
        <v>13.12566</v>
      </c>
      <c r="J252" s="27" t="n">
        <v>121.841606</v>
      </c>
      <c r="K252" s="10" t="inlineStr">
        <is>
          <t>U</t>
        </is>
      </c>
      <c r="L252" s="12" t="n">
        <v>737</v>
      </c>
      <c r="M252" s="14" t="n">
        <v>3.9</v>
      </c>
      <c r="N252" s="12">
        <f>ROUND(L252/M252, 0)</f>
        <v/>
      </c>
      <c r="O252" s="12">
        <f>ROUND(N252*'Methodology &amp; Assumptions'!$B$5, 0)</f>
        <v/>
      </c>
      <c r="P252" s="10" t="inlineStr">
        <is>
          <t>Single Carrier (Band n50, 100MHz TDD)</t>
        </is>
      </c>
      <c r="Q252" s="13">
        <f>ROUNDUP(O252/'Methodology &amp; Assumptions'!$B$6, 0)</f>
        <v/>
      </c>
      <c r="R252" s="13" t="n">
        <v>1</v>
      </c>
      <c r="S252" s="14" t="n">
        <v>36.91</v>
      </c>
      <c r="T252" s="14" t="n">
        <v>40.38</v>
      </c>
      <c r="U252" s="26">
        <f>IF(X252&gt;='Methodology &amp; Assumptions'!$B$7, "Tier 1 Critical GIDA (Score ≥ 50.0)", IF(X252&gt;='Methodology &amp; Assumptions'!$B$8, "Tier 2 High GIDA (Score 40.0–49.9)", "Tier 3 Moderate GIDA (Score &lt; 40.0)"))</f>
        <v/>
      </c>
      <c r="V252" s="26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W252" s="28" t="n">
        <v>0.109</v>
      </c>
      <c r="X252" s="14" t="n">
        <v>50.31</v>
      </c>
      <c r="Y252" s="14">
        <f>ROUND(MIN(100, (X252/69.91)*100), 2)</f>
        <v/>
      </c>
    </row>
    <row r="253">
      <c r="A253" s="10" t="n">
        <v>2</v>
      </c>
      <c r="B253" s="10" t="n">
        <v>249</v>
      </c>
      <c r="C253" s="10" t="n">
        <v>1249</v>
      </c>
      <c r="D253" s="10" t="inlineStr">
        <is>
          <t>PH0001249</t>
        </is>
      </c>
      <c r="E253" s="26" t="inlineStr">
        <is>
          <t>VI</t>
        </is>
      </c>
      <c r="F253" s="26" t="inlineStr">
        <is>
          <t>Iloilo</t>
        </is>
      </c>
      <c r="G253" s="26" t="inlineStr">
        <is>
          <t>Iloilo City</t>
        </is>
      </c>
      <c r="H253" s="26" t="inlineStr">
        <is>
          <t>Concepcion-Montes</t>
        </is>
      </c>
      <c r="I253" s="27" t="n">
        <v>10.66412</v>
      </c>
      <c r="J253" s="27" t="n">
        <v>122.6547</v>
      </c>
      <c r="K253" s="10" t="inlineStr">
        <is>
          <t>R</t>
        </is>
      </c>
      <c r="L253" s="12" t="n">
        <v>2230</v>
      </c>
      <c r="M253" s="14" t="n">
        <v>3.8</v>
      </c>
      <c r="N253" s="12">
        <f>ROUND(L253/M253, 0)</f>
        <v/>
      </c>
      <c r="O253" s="12">
        <f>ROUND(N253*'Methodology &amp; Assumptions'!$B$5, 0)</f>
        <v/>
      </c>
      <c r="P253" s="10" t="inlineStr">
        <is>
          <t>Single Carrier (Band n50, 100MHz TDD)</t>
        </is>
      </c>
      <c r="Q253" s="13">
        <f>ROUNDUP(O253/'Methodology &amp; Assumptions'!$B$6, 0)</f>
        <v/>
      </c>
      <c r="R253" s="13" t="n">
        <v>1</v>
      </c>
      <c r="S253" s="14" t="n">
        <v>10.97</v>
      </c>
      <c r="T253" s="14" t="n">
        <v>10.05</v>
      </c>
      <c r="U253" s="26">
        <f>IF(X253&gt;='Methodology &amp; Assumptions'!$B$7, "Tier 1 Critical GIDA (Score ≥ 50.0)", IF(X253&gt;='Methodology &amp; Assumptions'!$B$8, "Tier 2 High GIDA (Score 40.0–49.9)", "Tier 3 Moderate GIDA (Score &lt; 40.0)"))</f>
        <v/>
      </c>
      <c r="V253" s="26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W253" s="28" t="n">
        <v>0.156</v>
      </c>
      <c r="X253" s="14" t="n">
        <v>50.31</v>
      </c>
      <c r="Y253" s="14">
        <f>ROUND(MIN(100, (X253/69.91)*100), 2)</f>
        <v/>
      </c>
    </row>
    <row r="254">
      <c r="A254" s="10" t="n">
        <v>2</v>
      </c>
      <c r="B254" s="10" t="n">
        <v>250</v>
      </c>
      <c r="C254" s="10" t="n">
        <v>1250</v>
      </c>
      <c r="D254" s="10" t="inlineStr">
        <is>
          <t>1606710006</t>
        </is>
      </c>
      <c r="E254" s="26" t="inlineStr">
        <is>
          <t>Region XIII (Caraga)</t>
        </is>
      </c>
      <c r="F254" s="26" t="inlineStr">
        <is>
          <t>Surigao del Norte</t>
        </is>
      </c>
      <c r="G254" s="26" t="inlineStr">
        <is>
          <t>General Luna</t>
        </is>
      </c>
      <c r="H254" s="26" t="inlineStr">
        <is>
          <t>Daku</t>
        </is>
      </c>
      <c r="I254" s="27" t="n">
        <v>9.74187</v>
      </c>
      <c r="J254" s="27" t="n">
        <v>126.157112</v>
      </c>
      <c r="K254" s="10" t="inlineStr">
        <is>
          <t>R</t>
        </is>
      </c>
      <c r="L254" s="12" t="n">
        <v>536</v>
      </c>
      <c r="M254" s="14" t="n">
        <v>4.1</v>
      </c>
      <c r="N254" s="12">
        <f>ROUND(L254/M254, 0)</f>
        <v/>
      </c>
      <c r="O254" s="12">
        <f>ROUND(N254*'Methodology &amp; Assumptions'!$B$5, 0)</f>
        <v/>
      </c>
      <c r="P254" s="10" t="inlineStr">
        <is>
          <t>Single Carrier (Band n50, 100MHz TDD)</t>
        </is>
      </c>
      <c r="Q254" s="13">
        <f>ROUNDUP(O254/'Methodology &amp; Assumptions'!$B$6, 0)</f>
        <v/>
      </c>
      <c r="R254" s="13" t="n">
        <v>1</v>
      </c>
      <c r="S254" s="14" t="n">
        <v>47.45</v>
      </c>
      <c r="T254" s="14" t="n">
        <v>39.84</v>
      </c>
      <c r="U254" s="26">
        <f>IF(X254&gt;='Methodology &amp; Assumptions'!$B$7, "Tier 1 Critical GIDA (Score ≥ 50.0)", IF(X254&gt;='Methodology &amp; Assumptions'!$B$8, "Tier 2 High GIDA (Score 40.0–49.9)", "Tier 3 Moderate GIDA (Score &lt; 40.0)"))</f>
        <v/>
      </c>
      <c r="V254" s="26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W254" s="28" t="n">
        <v>0.174</v>
      </c>
      <c r="X254" s="14" t="n">
        <v>50.3</v>
      </c>
      <c r="Y254" s="14">
        <f>ROUND(MIN(100, (X254/69.91)*100), 2)</f>
        <v/>
      </c>
    </row>
    <row r="255">
      <c r="A255" s="10" t="n">
        <v>2</v>
      </c>
      <c r="B255" s="10" t="n">
        <v>251</v>
      </c>
      <c r="C255" s="10" t="n">
        <v>1251</v>
      </c>
      <c r="D255" s="10" t="inlineStr">
        <is>
          <t>1380612021</t>
        </is>
      </c>
      <c r="E255" s="26" t="inlineStr">
        <is>
          <t>National Capital Region (NCR)</t>
        </is>
      </c>
      <c r="F255" s="26" t="inlineStr">
        <is>
          <t>First District (Not a Province)</t>
        </is>
      </c>
      <c r="G255" s="26" t="inlineStr">
        <is>
          <t>City of Manila</t>
        </is>
      </c>
      <c r="H255" s="26" t="inlineStr">
        <is>
          <t>Barangay 853</t>
        </is>
      </c>
      <c r="I255" s="27" t="n">
        <v>12.652638</v>
      </c>
      <c r="J255" s="27" t="n">
        <v>121.895252</v>
      </c>
      <c r="K255" s="10" t="inlineStr">
        <is>
          <t>U</t>
        </is>
      </c>
      <c r="L255" s="12" t="n">
        <v>520</v>
      </c>
      <c r="M255" s="14" t="n">
        <v>3.9</v>
      </c>
      <c r="N255" s="12">
        <f>ROUND(L255/M255, 0)</f>
        <v/>
      </c>
      <c r="O255" s="12">
        <f>ROUND(N255*'Methodology &amp; Assumptions'!$B$5, 0)</f>
        <v/>
      </c>
      <c r="P255" s="10" t="inlineStr">
        <is>
          <t>Single Carrier (Band n50, 100MHz TDD)</t>
        </is>
      </c>
      <c r="Q255" s="13">
        <f>ROUNDUP(O255/'Methodology &amp; Assumptions'!$B$6, 0)</f>
        <v/>
      </c>
      <c r="R255" s="13" t="n">
        <v>1</v>
      </c>
      <c r="S255" s="14" t="n">
        <v>37.67</v>
      </c>
      <c r="T255" s="14" t="n">
        <v>32.54</v>
      </c>
      <c r="U255" s="26">
        <f>IF(X255&gt;='Methodology &amp; Assumptions'!$B$7, "Tier 1 Critical GIDA (Score ≥ 50.0)", IF(X255&gt;='Methodology &amp; Assumptions'!$B$8, "Tier 2 High GIDA (Score 40.0–49.9)", "Tier 3 Moderate GIDA (Score &lt; 40.0)"))</f>
        <v/>
      </c>
      <c r="V255" s="26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W255" s="28" t="n">
        <v>0.109</v>
      </c>
      <c r="X255" s="14" t="n">
        <v>50.3</v>
      </c>
      <c r="Y255" s="14">
        <f>ROUND(MIN(100, (X255/69.91)*100), 2)</f>
        <v/>
      </c>
    </row>
    <row r="256">
      <c r="A256" s="10" t="n">
        <v>2</v>
      </c>
      <c r="B256" s="10" t="n">
        <v>252</v>
      </c>
      <c r="C256" s="10" t="n">
        <v>1252</v>
      </c>
      <c r="D256" s="10" t="inlineStr">
        <is>
          <t>0804824012</t>
        </is>
      </c>
      <c r="E256" s="26" t="inlineStr">
        <is>
          <t>Region VIII (Eastern Visayas)</t>
        </is>
      </c>
      <c r="F256" s="26" t="inlineStr">
        <is>
          <t>Northern Samar</t>
        </is>
      </c>
      <c r="G256" s="26" t="inlineStr">
        <is>
          <t>Lope De Vega</t>
        </is>
      </c>
      <c r="H256" s="26" t="inlineStr">
        <is>
          <t>Maghipid</t>
        </is>
      </c>
      <c r="I256" s="27" t="n">
        <v>12.32856</v>
      </c>
      <c r="J256" s="27" t="n">
        <v>124.60735</v>
      </c>
      <c r="K256" s="10" t="inlineStr">
        <is>
          <t>R</t>
        </is>
      </c>
      <c r="L256" s="12" t="n">
        <v>458</v>
      </c>
      <c r="M256" s="14" t="n">
        <v>4.3</v>
      </c>
      <c r="N256" s="12">
        <f>ROUND(L256/M256, 0)</f>
        <v/>
      </c>
      <c r="O256" s="12">
        <f>ROUND(N256*'Methodology &amp; Assumptions'!$B$5, 0)</f>
        <v/>
      </c>
      <c r="P256" s="10" t="inlineStr">
        <is>
          <t>Single Carrier (Band n50, 100MHz TDD)</t>
        </is>
      </c>
      <c r="Q256" s="13">
        <f>ROUNDUP(O256/'Methodology &amp; Assumptions'!$B$6, 0)</f>
        <v/>
      </c>
      <c r="R256" s="13" t="n">
        <v>1</v>
      </c>
      <c r="S256" s="14" t="n">
        <v>63.88</v>
      </c>
      <c r="T256" s="14" t="n">
        <v>63.86</v>
      </c>
      <c r="U256" s="26">
        <f>IF(X256&gt;='Methodology &amp; Assumptions'!$B$7, "Tier 1 Critical GIDA (Score ≥ 50.0)", IF(X256&gt;='Methodology &amp; Assumptions'!$B$8, "Tier 2 High GIDA (Score 40.0–49.9)", "Tier 3 Moderate GIDA (Score &lt; 40.0)"))</f>
        <v/>
      </c>
      <c r="V256" s="26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W256" s="28" t="n">
        <v>0.237</v>
      </c>
      <c r="X256" s="14" t="n">
        <v>50.3</v>
      </c>
      <c r="Y256" s="14">
        <f>ROUND(MIN(100, (X256/69.91)*100), 2)</f>
        <v/>
      </c>
    </row>
    <row r="257">
      <c r="A257" s="10" t="n">
        <v>2</v>
      </c>
      <c r="B257" s="10" t="n">
        <v>253</v>
      </c>
      <c r="C257" s="10" t="n">
        <v>1253</v>
      </c>
      <c r="D257" s="10" t="inlineStr">
        <is>
          <t>0804824021</t>
        </is>
      </c>
      <c r="E257" s="26" t="inlineStr">
        <is>
          <t>Region VIII (Eastern Visayas)</t>
        </is>
      </c>
      <c r="F257" s="26" t="inlineStr">
        <is>
          <t>Northern Samar</t>
        </is>
      </c>
      <c r="G257" s="26" t="inlineStr">
        <is>
          <t>Lope De Vega</t>
        </is>
      </c>
      <c r="H257" s="26" t="inlineStr">
        <is>
          <t>Somoroy</t>
        </is>
      </c>
      <c r="I257" s="27" t="n">
        <v>12.32023</v>
      </c>
      <c r="J257" s="27" t="n">
        <v>124.724956</v>
      </c>
      <c r="K257" s="10" t="inlineStr">
        <is>
          <t>R</t>
        </is>
      </c>
      <c r="L257" s="12" t="n">
        <v>166</v>
      </c>
      <c r="M257" s="14" t="n">
        <v>4.3</v>
      </c>
      <c r="N257" s="12">
        <f>ROUND(L257/M257, 0)</f>
        <v/>
      </c>
      <c r="O257" s="12">
        <f>ROUND(N257*'Methodology &amp; Assumptions'!$B$5, 0)</f>
        <v/>
      </c>
      <c r="P257" s="10" t="inlineStr">
        <is>
          <t>Single Carrier (Band n50, 100MHz TDD)</t>
        </is>
      </c>
      <c r="Q257" s="13">
        <f>ROUNDUP(O257/'Methodology &amp; Assumptions'!$B$6, 0)</f>
        <v/>
      </c>
      <c r="R257" s="13" t="n">
        <v>1</v>
      </c>
      <c r="S257" s="14" t="n">
        <v>75.86</v>
      </c>
      <c r="T257" s="14" t="n">
        <v>75.84999999999999</v>
      </c>
      <c r="U257" s="26">
        <f>IF(X257&gt;='Methodology &amp; Assumptions'!$B$7, "Tier 1 Critical GIDA (Score ≥ 50.0)", IF(X257&gt;='Methodology &amp; Assumptions'!$B$8, "Tier 2 High GIDA (Score 40.0–49.9)", "Tier 3 Moderate GIDA (Score &lt; 40.0)"))</f>
        <v/>
      </c>
      <c r="V257" s="26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W257" s="28" t="n">
        <v>0.237</v>
      </c>
      <c r="X257" s="14" t="n">
        <v>50.3</v>
      </c>
      <c r="Y257" s="14">
        <f>ROUND(MIN(100, (X257/69.91)*100), 2)</f>
        <v/>
      </c>
    </row>
    <row r="258">
      <c r="A258" s="10" t="n">
        <v>2</v>
      </c>
      <c r="B258" s="10" t="n">
        <v>254</v>
      </c>
      <c r="C258" s="10" t="n">
        <v>1254</v>
      </c>
      <c r="D258" s="10" t="inlineStr">
        <is>
          <t>1381100015</t>
        </is>
      </c>
      <c r="E258" s="26" t="inlineStr">
        <is>
          <t>National Capital Region (NCR)</t>
        </is>
      </c>
      <c r="F258" s="26" t="inlineStr">
        <is>
          <t>Fourth District (Not a Province)</t>
        </is>
      </c>
      <c r="G258" s="26" t="inlineStr">
        <is>
          <t>Pasay City</t>
        </is>
      </c>
      <c r="H258" s="26" t="inlineStr">
        <is>
          <t>Barangay 15</t>
        </is>
      </c>
      <c r="I258" s="27" t="n">
        <v>14.561562</v>
      </c>
      <c r="J258" s="27" t="n">
        <v>120.998985</v>
      </c>
      <c r="K258" s="10" t="inlineStr">
        <is>
          <t>U</t>
        </is>
      </c>
      <c r="L258" s="12" t="n">
        <v>2394</v>
      </c>
      <c r="M258" s="14" t="n">
        <v>3.4</v>
      </c>
      <c r="N258" s="12">
        <f>ROUND(L258/M258, 0)</f>
        <v/>
      </c>
      <c r="O258" s="12">
        <f>ROUND(N258*'Methodology &amp; Assumptions'!$B$5, 0)</f>
        <v/>
      </c>
      <c r="P258" s="10" t="inlineStr">
        <is>
          <t>Single Carrier (Band n50, 100MHz TDD)</t>
        </is>
      </c>
      <c r="Q258" s="13">
        <f>ROUNDUP(O258/'Methodology &amp; Assumptions'!$B$6, 0)</f>
        <v/>
      </c>
      <c r="R258" s="13" t="n">
        <v>1</v>
      </c>
      <c r="S258" s="14" t="n">
        <v>1.21</v>
      </c>
      <c r="T258" s="14" t="n">
        <v>0.34</v>
      </c>
      <c r="U258" s="26">
        <f>IF(X258&gt;='Methodology &amp; Assumptions'!$B$7, "Tier 1 Critical GIDA (Score ≥ 50.0)", IF(X258&gt;='Methodology &amp; Assumptions'!$B$8, "Tier 2 High GIDA (Score 40.0–49.9)", "Tier 3 Moderate GIDA (Score &lt; 40.0)"))</f>
        <v/>
      </c>
      <c r="V258" s="26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W258" s="28" t="n">
        <v>0.109</v>
      </c>
      <c r="X258" s="14" t="n">
        <v>50.3</v>
      </c>
      <c r="Y258" s="14">
        <f>ROUND(MIN(100, (X258/69.91)*100), 2)</f>
        <v/>
      </c>
    </row>
    <row r="259">
      <c r="A259" s="10" t="n">
        <v>2</v>
      </c>
      <c r="B259" s="10" t="n">
        <v>255</v>
      </c>
      <c r="C259" s="10" t="n">
        <v>1255</v>
      </c>
      <c r="D259" s="10" t="inlineStr">
        <is>
          <t>0806012011</t>
        </is>
      </c>
      <c r="E259" s="26" t="inlineStr">
        <is>
          <t>Region VIII (Eastern Visayas)</t>
        </is>
      </c>
      <c r="F259" s="26" t="inlineStr">
        <is>
          <t>Samar</t>
        </is>
      </c>
      <c r="G259" s="26" t="inlineStr">
        <is>
          <t>Motiong</t>
        </is>
      </c>
      <c r="H259" s="26" t="inlineStr">
        <is>
          <t>Canvais</t>
        </is>
      </c>
      <c r="I259" s="27" t="n">
        <v>11.9649</v>
      </c>
      <c r="J259" s="27" t="n">
        <v>125.046238</v>
      </c>
      <c r="K259" s="10" t="inlineStr">
        <is>
          <t>R</t>
        </is>
      </c>
      <c r="L259" s="12" t="n">
        <v>303</v>
      </c>
      <c r="M259" s="14" t="n">
        <v>4.1</v>
      </c>
      <c r="N259" s="12">
        <f>ROUND(L259/M259, 0)</f>
        <v/>
      </c>
      <c r="O259" s="12">
        <f>ROUND(N259*'Methodology &amp; Assumptions'!$B$5, 0)</f>
        <v/>
      </c>
      <c r="P259" s="10" t="inlineStr">
        <is>
          <t>Single Carrier (Band n50, 100MHz TDD)</t>
        </is>
      </c>
      <c r="Q259" s="13">
        <f>ROUNDUP(O259/'Methodology &amp; Assumptions'!$B$6, 0)</f>
        <v/>
      </c>
      <c r="R259" s="13" t="n">
        <v>1</v>
      </c>
      <c r="S259" s="14" t="n">
        <v>80.79000000000001</v>
      </c>
      <c r="T259" s="14" t="n">
        <v>83.45</v>
      </c>
      <c r="U259" s="26">
        <f>IF(X259&gt;='Methodology &amp; Assumptions'!$B$7, "Tier 1 Critical GIDA (Score ≥ 50.0)", IF(X259&gt;='Methodology &amp; Assumptions'!$B$8, "Tier 2 High GIDA (Score 40.0–49.9)", "Tier 3 Moderate GIDA (Score &lt; 40.0)"))</f>
        <v/>
      </c>
      <c r="V259" s="26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W259" s="28" t="n">
        <v>0.237</v>
      </c>
      <c r="X259" s="14" t="n">
        <v>50.3</v>
      </c>
      <c r="Y259" s="14">
        <f>ROUND(MIN(100, (X259/69.91)*100), 2)</f>
        <v/>
      </c>
    </row>
    <row r="260">
      <c r="A260" s="10" t="n">
        <v>2</v>
      </c>
      <c r="B260" s="10" t="n">
        <v>256</v>
      </c>
      <c r="C260" s="10" t="n">
        <v>1256</v>
      </c>
      <c r="D260" s="10" t="inlineStr">
        <is>
          <t>0403403005</t>
        </is>
      </c>
      <c r="E260" s="26" t="inlineStr">
        <is>
          <t>Region IV-A (CALABARZON)</t>
        </is>
      </c>
      <c r="F260" s="26" t="inlineStr">
        <is>
          <t>Laguna</t>
        </is>
      </c>
      <c r="G260" s="26" t="inlineStr">
        <is>
          <t>City of Biñan</t>
        </is>
      </c>
      <c r="H260" s="26" t="inlineStr">
        <is>
          <t>Casile</t>
        </is>
      </c>
      <c r="I260" s="27" t="n">
        <v>14.342585</v>
      </c>
      <c r="J260" s="27" t="n">
        <v>121.089536</v>
      </c>
      <c r="K260" s="10" t="inlineStr">
        <is>
          <t>R</t>
        </is>
      </c>
      <c r="L260" s="12" t="n">
        <v>4648</v>
      </c>
      <c r="M260" s="14" t="n">
        <v>3.3</v>
      </c>
      <c r="N260" s="12">
        <f>ROUND(L260/M260, 0)</f>
        <v/>
      </c>
      <c r="O260" s="12">
        <f>ROUND(N260*'Methodology &amp; Assumptions'!$B$5, 0)</f>
        <v/>
      </c>
      <c r="P260" s="10" t="inlineStr">
        <is>
          <t>Single Carrier (Band n50, 100MHz TDD)</t>
        </is>
      </c>
      <c r="Q260" s="13">
        <f>ROUNDUP(O260/'Methodology &amp; Assumptions'!$B$6, 0)</f>
        <v/>
      </c>
      <c r="R260" s="13" t="n">
        <v>1</v>
      </c>
      <c r="S260" s="14" t="n">
        <v>1.55</v>
      </c>
      <c r="T260" s="14" t="n">
        <v>0.57</v>
      </c>
      <c r="U260" s="26">
        <f>IF(X260&gt;='Methodology &amp; Assumptions'!$B$7, "Tier 1 Critical GIDA (Score ≥ 50.0)", IF(X260&gt;='Methodology &amp; Assumptions'!$B$8, "Tier 2 High GIDA (Score 40.0–49.9)", "Tier 3 Moderate GIDA (Score &lt; 40.0)"))</f>
        <v/>
      </c>
      <c r="V260" s="26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W260" s="28" t="n">
        <v>0.07200000000000001</v>
      </c>
      <c r="X260" s="14" t="n">
        <v>50.3</v>
      </c>
      <c r="Y260" s="14">
        <f>ROUND(MIN(100, (X260/69.91)*100), 2)</f>
        <v/>
      </c>
    </row>
    <row r="261">
      <c r="A261" s="10" t="n">
        <v>2</v>
      </c>
      <c r="B261" s="10" t="n">
        <v>257</v>
      </c>
      <c r="C261" s="10" t="n">
        <v>1257</v>
      </c>
      <c r="D261" s="10" t="inlineStr">
        <is>
          <t>0203111011</t>
        </is>
      </c>
      <c r="E261" s="26" t="inlineStr">
        <is>
          <t>Region II (Cagayan Valley)</t>
        </is>
      </c>
      <c r="F261" s="26" t="inlineStr">
        <is>
          <t>Isabela</t>
        </is>
      </c>
      <c r="G261" s="26" t="inlineStr">
        <is>
          <t>Divilacan</t>
        </is>
      </c>
      <c r="H261" s="26" t="inlineStr">
        <is>
          <t>Dipudo</t>
        </is>
      </c>
      <c r="I261" s="27" t="n">
        <v>17.318713</v>
      </c>
      <c r="J261" s="27" t="n">
        <v>122.310013</v>
      </c>
      <c r="K261" s="10" t="inlineStr">
        <is>
          <t>R</t>
        </is>
      </c>
      <c r="L261" s="12" t="n">
        <v>324</v>
      </c>
      <c r="M261" s="14" t="n">
        <v>3.8</v>
      </c>
      <c r="N261" s="12">
        <f>ROUND(L261/M261, 0)</f>
        <v/>
      </c>
      <c r="O261" s="12">
        <f>ROUND(N261*'Methodology &amp; Assumptions'!$B$5, 0)</f>
        <v/>
      </c>
      <c r="P261" s="10" t="inlineStr">
        <is>
          <t>Single Carrier (Band n50, 100MHz TDD)</t>
        </is>
      </c>
      <c r="Q261" s="13">
        <f>ROUNDUP(O261/'Methodology &amp; Assumptions'!$B$6, 0)</f>
        <v/>
      </c>
      <c r="R261" s="13" t="n">
        <v>1</v>
      </c>
      <c r="S261" s="14" t="n">
        <v>40.58</v>
      </c>
      <c r="T261" s="14" t="n">
        <v>44.8</v>
      </c>
      <c r="U261" s="26">
        <f>IF(X261&gt;='Methodology &amp; Assumptions'!$B$7, "Tier 1 Critical GIDA (Score ≥ 50.0)", IF(X261&gt;='Methodology &amp; Assumptions'!$B$8, "Tier 2 High GIDA (Score 40.0–49.9)", "Tier 3 Moderate GIDA (Score &lt; 40.0)"))</f>
        <v/>
      </c>
      <c r="V261" s="26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W261" s="28" t="n">
        <v>0.083</v>
      </c>
      <c r="X261" s="14" t="n">
        <v>50.3</v>
      </c>
      <c r="Y261" s="14">
        <f>ROUND(MIN(100, (X261/69.91)*100), 2)</f>
        <v/>
      </c>
    </row>
    <row r="262">
      <c r="A262" s="10" t="n">
        <v>2</v>
      </c>
      <c r="B262" s="10" t="n">
        <v>258</v>
      </c>
      <c r="C262" s="10" t="n">
        <v>1258</v>
      </c>
      <c r="D262" s="10" t="inlineStr">
        <is>
          <t>1380601189</t>
        </is>
      </c>
      <c r="E262" s="26" t="inlineStr">
        <is>
          <t>National Capital Region (NCR)</t>
        </is>
      </c>
      <c r="F262" s="26" t="inlineStr">
        <is>
          <t>First District (Not a Province)</t>
        </is>
      </c>
      <c r="G262" s="26" t="inlineStr">
        <is>
          <t>City of Manila</t>
        </is>
      </c>
      <c r="H262" s="26" t="inlineStr">
        <is>
          <t>Barangay 189</t>
        </is>
      </c>
      <c r="I262" s="27" t="n">
        <v>12.967714</v>
      </c>
      <c r="J262" s="27" t="n">
        <v>121.525943</v>
      </c>
      <c r="K262" s="10" t="inlineStr">
        <is>
          <t>U</t>
        </is>
      </c>
      <c r="L262" s="12" t="n">
        <v>1526</v>
      </c>
      <c r="M262" s="14" t="n">
        <v>3.9</v>
      </c>
      <c r="N262" s="12">
        <f>ROUND(L262/M262, 0)</f>
        <v/>
      </c>
      <c r="O262" s="12">
        <f>ROUND(N262*'Methodology &amp; Assumptions'!$B$5, 0)</f>
        <v/>
      </c>
      <c r="P262" s="10" t="inlineStr">
        <is>
          <t>Single Carrier (Band n50, 100MHz TDD)</t>
        </is>
      </c>
      <c r="Q262" s="13">
        <f>ROUNDUP(O262/'Methodology &amp; Assumptions'!$B$6, 0)</f>
        <v/>
      </c>
      <c r="R262" s="13" t="n">
        <v>1</v>
      </c>
      <c r="S262" s="14" t="n">
        <v>5.33</v>
      </c>
      <c r="T262" s="14" t="n">
        <v>5.23</v>
      </c>
      <c r="U262" s="26">
        <f>IF(X262&gt;='Methodology &amp; Assumptions'!$B$7, "Tier 1 Critical GIDA (Score ≥ 50.0)", IF(X262&gt;='Methodology &amp; Assumptions'!$B$8, "Tier 2 High GIDA (Score 40.0–49.9)", "Tier 3 Moderate GIDA (Score &lt; 40.0)"))</f>
        <v/>
      </c>
      <c r="V262" s="26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W262" s="28" t="n">
        <v>0.109</v>
      </c>
      <c r="X262" s="14" t="n">
        <v>50.3</v>
      </c>
      <c r="Y262" s="14">
        <f>ROUND(MIN(100, (X262/69.91)*100), 2)</f>
        <v/>
      </c>
    </row>
    <row r="263">
      <c r="A263" s="10" t="n">
        <v>2</v>
      </c>
      <c r="B263" s="10" t="n">
        <v>259</v>
      </c>
      <c r="C263" s="10" t="n">
        <v>1259</v>
      </c>
      <c r="D263" s="10" t="inlineStr">
        <is>
          <t>1400121013</t>
        </is>
      </c>
      <c r="E263" s="26" t="inlineStr">
        <is>
          <t>Cordillera Administrative Region (CAR)</t>
        </is>
      </c>
      <c r="F263" s="26" t="inlineStr">
        <is>
          <t>Abra</t>
        </is>
      </c>
      <c r="G263" s="26" t="inlineStr">
        <is>
          <t>San Isidro</t>
        </is>
      </c>
      <c r="H263" s="26" t="inlineStr">
        <is>
          <t>Tangbao</t>
        </is>
      </c>
      <c r="I263" s="27" t="n">
        <v>17.443182</v>
      </c>
      <c r="J263" s="27" t="n">
        <v>120.594132</v>
      </c>
      <c r="K263" s="10" t="inlineStr">
        <is>
          <t>R</t>
        </is>
      </c>
      <c r="L263" s="12" t="n">
        <v>650</v>
      </c>
      <c r="M263" s="14" t="n">
        <v>3.8</v>
      </c>
      <c r="N263" s="12">
        <f>ROUND(L263/M263, 0)</f>
        <v/>
      </c>
      <c r="O263" s="12">
        <f>ROUND(N263*'Methodology &amp; Assumptions'!$B$5, 0)</f>
        <v/>
      </c>
      <c r="P263" s="10" t="inlineStr">
        <is>
          <t>Single Carrier (Band n50, 100MHz TDD)</t>
        </is>
      </c>
      <c r="Q263" s="13">
        <f>ROUNDUP(O263/'Methodology &amp; Assumptions'!$B$6, 0)</f>
        <v/>
      </c>
      <c r="R263" s="13" t="n">
        <v>1</v>
      </c>
      <c r="S263" s="14" t="n">
        <v>7.26</v>
      </c>
      <c r="T263" s="14" t="n">
        <v>10.57</v>
      </c>
      <c r="U263" s="26">
        <f>IF(X263&gt;='Methodology &amp; Assumptions'!$B$7, "Tier 1 Critical GIDA (Score ≥ 50.0)", IF(X263&gt;='Methodology &amp; Assumptions'!$B$8, "Tier 2 High GIDA (Score 40.0–49.9)", "Tier 3 Moderate GIDA (Score &lt; 40.0)"))</f>
        <v/>
      </c>
      <c r="V263" s="26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W263" s="28" t="n">
        <v>0.109</v>
      </c>
      <c r="X263" s="14" t="n">
        <v>50.29</v>
      </c>
      <c r="Y263" s="14">
        <f>ROUND(MIN(100, (X263/69.91)*100), 2)</f>
        <v/>
      </c>
    </row>
    <row r="264">
      <c r="A264" s="10" t="n">
        <v>2</v>
      </c>
      <c r="B264" s="10" t="n">
        <v>260</v>
      </c>
      <c r="C264" s="10" t="n">
        <v>1260</v>
      </c>
      <c r="D264" s="10" t="inlineStr">
        <is>
          <t>PH0001260</t>
        </is>
      </c>
      <c r="E264" s="26" t="inlineStr">
        <is>
          <t>VIII</t>
        </is>
      </c>
      <c r="F264" s="26" t="inlineStr">
        <is>
          <t>Leyte</t>
        </is>
      </c>
      <c r="G264" s="26" t="inlineStr">
        <is>
          <t>Tacloban City</t>
        </is>
      </c>
      <c r="H264" s="26" t="inlineStr">
        <is>
          <t>Barangay 22</t>
        </is>
      </c>
      <c r="I264" s="27" t="n">
        <v>11.299098</v>
      </c>
      <c r="J264" s="27" t="n">
        <v>124.995875</v>
      </c>
      <c r="K264" s="10" t="inlineStr">
        <is>
          <t>R</t>
        </is>
      </c>
      <c r="L264" s="12" t="n">
        <v>2258</v>
      </c>
      <c r="M264" s="14" t="n">
        <v>3.8</v>
      </c>
      <c r="N264" s="12">
        <f>ROUND(L264/M264, 0)</f>
        <v/>
      </c>
      <c r="O264" s="12">
        <f>ROUND(N264*'Methodology &amp; Assumptions'!$B$5, 0)</f>
        <v/>
      </c>
      <c r="P264" s="10" t="inlineStr">
        <is>
          <t>Single Carrier (Band n50, 100MHz TDD)</t>
        </is>
      </c>
      <c r="Q264" s="13">
        <f>ROUNDUP(O264/'Methodology &amp; Assumptions'!$B$6, 0)</f>
        <v/>
      </c>
      <c r="R264" s="13" t="n">
        <v>1</v>
      </c>
      <c r="S264" s="14" t="n">
        <v>6.65</v>
      </c>
      <c r="T264" s="14" t="n">
        <v>9.75</v>
      </c>
      <c r="U264" s="26">
        <f>IF(X264&gt;='Methodology &amp; Assumptions'!$B$7, "Tier 1 Critical GIDA (Score ≥ 50.0)", IF(X264&gt;='Methodology &amp; Assumptions'!$B$8, "Tier 2 High GIDA (Score 40.0–49.9)", "Tier 3 Moderate GIDA (Score &lt; 40.0)"))</f>
        <v/>
      </c>
      <c r="V264" s="26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W264" s="28" t="n">
        <v>0.222</v>
      </c>
      <c r="X264" s="14" t="n">
        <v>50.29</v>
      </c>
      <c r="Y264" s="14">
        <f>ROUND(MIN(100, (X264/69.91)*100), 2)</f>
        <v/>
      </c>
    </row>
    <row r="265">
      <c r="A265" s="10" t="n">
        <v>2</v>
      </c>
      <c r="B265" s="10" t="n">
        <v>261</v>
      </c>
      <c r="C265" s="10" t="n">
        <v>1261</v>
      </c>
      <c r="D265" s="10" t="inlineStr">
        <is>
          <t>0405603028</t>
        </is>
      </c>
      <c r="E265" s="26" t="inlineStr">
        <is>
          <t>Region IV-A (CALABARZON)</t>
        </is>
      </c>
      <c r="F265" s="26" t="inlineStr">
        <is>
          <t>Quezon</t>
        </is>
      </c>
      <c r="G265" s="26" t="inlineStr">
        <is>
          <t>Atimonan</t>
        </is>
      </c>
      <c r="H265" s="26" t="inlineStr">
        <is>
          <t>Montes Kallagan</t>
        </is>
      </c>
      <c r="I265" s="27" t="n">
        <v>13.977982</v>
      </c>
      <c r="J265" s="27" t="n">
        <v>121.914826</v>
      </c>
      <c r="K265" s="10" t="inlineStr">
        <is>
          <t>R</t>
        </is>
      </c>
      <c r="L265" s="12" t="n">
        <v>221</v>
      </c>
      <c r="M265" s="14" t="n">
        <v>3.8</v>
      </c>
      <c r="N265" s="12">
        <f>ROUND(L265/M265, 0)</f>
        <v/>
      </c>
      <c r="O265" s="12">
        <f>ROUND(N265*'Methodology &amp; Assumptions'!$B$5, 0)</f>
        <v/>
      </c>
      <c r="P265" s="10" t="inlineStr">
        <is>
          <t>Single Carrier (Band n50, 100MHz TDD)</t>
        </is>
      </c>
      <c r="Q265" s="13">
        <f>ROUNDUP(O265/'Methodology &amp; Assumptions'!$B$6, 0)</f>
        <v/>
      </c>
      <c r="R265" s="13" t="n">
        <v>1</v>
      </c>
      <c r="S265" s="14" t="n">
        <v>2.78</v>
      </c>
      <c r="T265" s="14" t="n">
        <v>1.88</v>
      </c>
      <c r="U265" s="26">
        <f>IF(X265&gt;='Methodology &amp; Assumptions'!$B$7, "Tier 1 Critical GIDA (Score ≥ 50.0)", IF(X265&gt;='Methodology &amp; Assumptions'!$B$8, "Tier 2 High GIDA (Score 40.0–49.9)", "Tier 3 Moderate GIDA (Score &lt; 40.0)"))</f>
        <v/>
      </c>
      <c r="V265" s="26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W265" s="28" t="n">
        <v>0.07200000000000001</v>
      </c>
      <c r="X265" s="14" t="n">
        <v>50.29</v>
      </c>
      <c r="Y265" s="14">
        <f>ROUND(MIN(100, (X265/69.91)*100), 2)</f>
        <v/>
      </c>
    </row>
    <row r="266">
      <c r="A266" s="10" t="n">
        <v>2</v>
      </c>
      <c r="B266" s="10" t="n">
        <v>262</v>
      </c>
      <c r="C266" s="10" t="n">
        <v>1262</v>
      </c>
      <c r="D266" s="10" t="inlineStr">
        <is>
          <t>1380610061</t>
        </is>
      </c>
      <c r="E266" s="26" t="inlineStr">
        <is>
          <t>National Capital Region (NCR)</t>
        </is>
      </c>
      <c r="F266" s="26" t="inlineStr">
        <is>
          <t>First District (Not a Province)</t>
        </is>
      </c>
      <c r="G266" s="26" t="inlineStr">
        <is>
          <t>City of Manila</t>
        </is>
      </c>
      <c r="H266" s="26" t="inlineStr">
        <is>
          <t>Barangay 736</t>
        </is>
      </c>
      <c r="I266" s="27" t="n">
        <v>12.978694</v>
      </c>
      <c r="J266" s="27" t="n">
        <v>122.019162</v>
      </c>
      <c r="K266" s="10" t="inlineStr">
        <is>
          <t>U</t>
        </is>
      </c>
      <c r="L266" s="12" t="n">
        <v>3922</v>
      </c>
      <c r="M266" s="14" t="n">
        <v>3.9</v>
      </c>
      <c r="N266" s="12">
        <f>ROUND(L266/M266, 0)</f>
        <v/>
      </c>
      <c r="O266" s="12">
        <f>ROUND(N266*'Methodology &amp; Assumptions'!$B$5, 0)</f>
        <v/>
      </c>
      <c r="P266" s="10" t="inlineStr">
        <is>
          <t>Single Carrier (Band n50, 100MHz TDD)</t>
        </is>
      </c>
      <c r="Q266" s="13">
        <f>ROUNDUP(O266/'Methodology &amp; Assumptions'!$B$6, 0)</f>
        <v/>
      </c>
      <c r="R266" s="13" t="n">
        <v>1</v>
      </c>
      <c r="S266" s="14" t="n">
        <v>56.33</v>
      </c>
      <c r="T266" s="14" t="n">
        <v>58.6</v>
      </c>
      <c r="U266" s="26">
        <f>IF(X266&gt;='Methodology &amp; Assumptions'!$B$7, "Tier 1 Critical GIDA (Score ≥ 50.0)", IF(X266&gt;='Methodology &amp; Assumptions'!$B$8, "Tier 2 High GIDA (Score 40.0–49.9)", "Tier 3 Moderate GIDA (Score &lt; 40.0)"))</f>
        <v/>
      </c>
      <c r="V266" s="26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W266" s="28" t="n">
        <v>0.109</v>
      </c>
      <c r="X266" s="14" t="n">
        <v>50.29</v>
      </c>
      <c r="Y266" s="14">
        <f>ROUND(MIN(100, (X266/69.91)*100), 2)</f>
        <v/>
      </c>
    </row>
    <row r="267">
      <c r="A267" s="10" t="n">
        <v>2</v>
      </c>
      <c r="B267" s="10" t="n">
        <v>263</v>
      </c>
      <c r="C267" s="10" t="n">
        <v>1263</v>
      </c>
      <c r="D267" s="10" t="inlineStr">
        <is>
          <t>1380601171</t>
        </is>
      </c>
      <c r="E267" s="26" t="inlineStr">
        <is>
          <t>National Capital Region (NCR)</t>
        </is>
      </c>
      <c r="F267" s="26" t="inlineStr">
        <is>
          <t>First District (Not a Province)</t>
        </is>
      </c>
      <c r="G267" s="26" t="inlineStr">
        <is>
          <t>City of Manila</t>
        </is>
      </c>
      <c r="H267" s="26" t="inlineStr">
        <is>
          <t>Barangay 171</t>
        </is>
      </c>
      <c r="I267" s="27" t="n">
        <v>12.644028</v>
      </c>
      <c r="J267" s="27" t="n">
        <v>121.661268</v>
      </c>
      <c r="K267" s="10" t="inlineStr">
        <is>
          <t>U</t>
        </is>
      </c>
      <c r="L267" s="12" t="n">
        <v>1158</v>
      </c>
      <c r="M267" s="14" t="n">
        <v>3.9</v>
      </c>
      <c r="N267" s="12">
        <f>ROUND(L267/M267, 0)</f>
        <v/>
      </c>
      <c r="O267" s="12">
        <f>ROUND(N267*'Methodology &amp; Assumptions'!$B$5, 0)</f>
        <v/>
      </c>
      <c r="P267" s="10" t="inlineStr">
        <is>
          <t>Single Carrier (Band n50, 100MHz TDD)</t>
        </is>
      </c>
      <c r="Q267" s="13">
        <f>ROUNDUP(O267/'Methodology &amp; Assumptions'!$B$6, 0)</f>
        <v/>
      </c>
      <c r="R267" s="13" t="n">
        <v>1</v>
      </c>
      <c r="S267" s="14" t="n">
        <v>12.7</v>
      </c>
      <c r="T267" s="14" t="n">
        <v>11.87</v>
      </c>
      <c r="U267" s="26">
        <f>IF(X267&gt;='Methodology &amp; Assumptions'!$B$7, "Tier 1 Critical GIDA (Score ≥ 50.0)", IF(X267&gt;='Methodology &amp; Assumptions'!$B$8, "Tier 2 High GIDA (Score 40.0–49.9)", "Tier 3 Moderate GIDA (Score &lt; 40.0)"))</f>
        <v/>
      </c>
      <c r="V267" s="26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W267" s="28" t="n">
        <v>0.109</v>
      </c>
      <c r="X267" s="14" t="n">
        <v>50.29</v>
      </c>
      <c r="Y267" s="14">
        <f>ROUND(MIN(100, (X267/69.91)*100), 2)</f>
        <v/>
      </c>
    </row>
    <row r="268">
      <c r="A268" s="10" t="n">
        <v>2</v>
      </c>
      <c r="B268" s="10" t="n">
        <v>264</v>
      </c>
      <c r="C268" s="10" t="n">
        <v>1264</v>
      </c>
      <c r="D268" s="10" t="inlineStr">
        <is>
          <t>PH0001264</t>
        </is>
      </c>
      <c r="E268" s="26" t="inlineStr">
        <is>
          <t>VIII</t>
        </is>
      </c>
      <c r="F268" s="26" t="inlineStr">
        <is>
          <t>Leyte</t>
        </is>
      </c>
      <c r="G268" s="26" t="inlineStr">
        <is>
          <t>Tacloban City</t>
        </is>
      </c>
      <c r="H268" s="26" t="inlineStr">
        <is>
          <t>Barangay 5-A</t>
        </is>
      </c>
      <c r="I268" s="27" t="n">
        <v>11.218601</v>
      </c>
      <c r="J268" s="27" t="n">
        <v>124.987388</v>
      </c>
      <c r="K268" s="10" t="inlineStr">
        <is>
          <t>R</t>
        </is>
      </c>
      <c r="L268" s="12" t="n">
        <v>2258</v>
      </c>
      <c r="M268" s="14" t="n">
        <v>3.8</v>
      </c>
      <c r="N268" s="12">
        <f>ROUND(L268/M268, 0)</f>
        <v/>
      </c>
      <c r="O268" s="12">
        <f>ROUND(N268*'Methodology &amp; Assumptions'!$B$5, 0)</f>
        <v/>
      </c>
      <c r="P268" s="10" t="inlineStr">
        <is>
          <t>Single Carrier (Band n50, 100MHz TDD)</t>
        </is>
      </c>
      <c r="Q268" s="13">
        <f>ROUNDUP(O268/'Methodology &amp; Assumptions'!$B$6, 0)</f>
        <v/>
      </c>
      <c r="R268" s="13" t="n">
        <v>1</v>
      </c>
      <c r="S268" s="14" t="n">
        <v>2.5</v>
      </c>
      <c r="T268" s="14" t="n">
        <v>2.49</v>
      </c>
      <c r="U268" s="26">
        <f>IF(X268&gt;='Methodology &amp; Assumptions'!$B$7, "Tier 1 Critical GIDA (Score ≥ 50.0)", IF(X268&gt;='Methodology &amp; Assumptions'!$B$8, "Tier 2 High GIDA (Score 40.0–49.9)", "Tier 3 Moderate GIDA (Score &lt; 40.0)"))</f>
        <v/>
      </c>
      <c r="V268" s="26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W268" s="28" t="n">
        <v>0.222</v>
      </c>
      <c r="X268" s="14" t="n">
        <v>50.28</v>
      </c>
      <c r="Y268" s="14">
        <f>ROUND(MIN(100, (X268/69.91)*100), 2)</f>
        <v/>
      </c>
    </row>
    <row r="269">
      <c r="A269" s="10" t="n">
        <v>2</v>
      </c>
      <c r="B269" s="10" t="n">
        <v>265</v>
      </c>
      <c r="C269" s="10" t="n">
        <v>1265</v>
      </c>
      <c r="D269" s="10" t="inlineStr">
        <is>
          <t>0603015008</t>
        </is>
      </c>
      <c r="E269" s="26" t="inlineStr">
        <is>
          <t>Region VI (Western Visayas)</t>
        </is>
      </c>
      <c r="F269" s="26" t="inlineStr">
        <is>
          <t>Iloilo</t>
        </is>
      </c>
      <c r="G269" s="26" t="inlineStr">
        <is>
          <t>Concepcion</t>
        </is>
      </c>
      <c r="H269" s="26" t="inlineStr">
        <is>
          <t>Botlog</t>
        </is>
      </c>
      <c r="I269" s="27" t="n">
        <v>11.22935</v>
      </c>
      <c r="J269" s="27" t="n">
        <v>123.1554</v>
      </c>
      <c r="K269" s="10" t="inlineStr">
        <is>
          <t>R</t>
        </is>
      </c>
      <c r="L269" s="12" t="n">
        <v>464</v>
      </c>
      <c r="M269" s="14" t="n">
        <v>3.8</v>
      </c>
      <c r="N269" s="12">
        <f>ROUND(L269/M269, 0)</f>
        <v/>
      </c>
      <c r="O269" s="12">
        <f>ROUND(N269*'Methodology &amp; Assumptions'!$B$5, 0)</f>
        <v/>
      </c>
      <c r="P269" s="10" t="inlineStr">
        <is>
          <t>Single Carrier (Band n50, 100MHz TDD)</t>
        </is>
      </c>
      <c r="Q269" s="13">
        <f>ROUNDUP(O269/'Methodology &amp; Assumptions'!$B$6, 0)</f>
        <v/>
      </c>
      <c r="R269" s="13" t="n">
        <v>1</v>
      </c>
      <c r="S269" s="14" t="n">
        <v>15.38</v>
      </c>
      <c r="T269" s="14" t="n">
        <v>8.52</v>
      </c>
      <c r="U269" s="26">
        <f>IF(X269&gt;='Methodology &amp; Assumptions'!$B$7, "Tier 1 Critical GIDA (Score ≥ 50.0)", IF(X269&gt;='Methodology &amp; Assumptions'!$B$8, "Tier 2 High GIDA (Score 40.0–49.9)", "Tier 3 Moderate GIDA (Score &lt; 40.0)"))</f>
        <v/>
      </c>
      <c r="V269" s="26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W269" s="28" t="n">
        <v>0.237</v>
      </c>
      <c r="X269" s="14" t="n">
        <v>50.28</v>
      </c>
      <c r="Y269" s="14">
        <f>ROUND(MIN(100, (X269/69.91)*100), 2)</f>
        <v/>
      </c>
    </row>
    <row r="270">
      <c r="A270" s="10" t="n">
        <v>2</v>
      </c>
      <c r="B270" s="10" t="n">
        <v>266</v>
      </c>
      <c r="C270" s="10" t="n">
        <v>1266</v>
      </c>
      <c r="D270" s="10" t="inlineStr">
        <is>
          <t>0102934005</t>
        </is>
      </c>
      <c r="E270" s="26" t="inlineStr">
        <is>
          <t>Region I (Ilocos Region)</t>
        </is>
      </c>
      <c r="F270" s="26" t="inlineStr">
        <is>
          <t>Ilocos Sur</t>
        </is>
      </c>
      <c r="G270" s="26" t="inlineStr">
        <is>
          <t>City of Vigan</t>
        </is>
      </c>
      <c r="H270" s="26" t="inlineStr">
        <is>
          <t>Barangay III</t>
        </is>
      </c>
      <c r="I270" s="27" t="n">
        <v>17.575235</v>
      </c>
      <c r="J270" s="27" t="n">
        <v>120.38568</v>
      </c>
      <c r="K270" s="10" t="inlineStr">
        <is>
          <t>U</t>
        </is>
      </c>
      <c r="L270" s="12" t="n">
        <v>1150</v>
      </c>
      <c r="M270" s="14" t="n">
        <v>3.8</v>
      </c>
      <c r="N270" s="12">
        <f>ROUND(L270/M270, 0)</f>
        <v/>
      </c>
      <c r="O270" s="12">
        <f>ROUND(N270*'Methodology &amp; Assumptions'!$B$5, 0)</f>
        <v/>
      </c>
      <c r="P270" s="10" t="inlineStr">
        <is>
          <t>Single Carrier (Band n50, 100MHz TDD)</t>
        </is>
      </c>
      <c r="Q270" s="13">
        <f>ROUNDUP(O270/'Methodology &amp; Assumptions'!$B$6, 0)</f>
        <v/>
      </c>
      <c r="R270" s="13" t="n">
        <v>1</v>
      </c>
      <c r="S270" s="14" t="n">
        <v>2.1</v>
      </c>
      <c r="T270" s="14" t="n">
        <v>0.84</v>
      </c>
      <c r="U270" s="26">
        <f>IF(X270&gt;='Methodology &amp; Assumptions'!$B$7, "Tier 1 Critical GIDA (Score ≥ 50.0)", IF(X270&gt;='Methodology &amp; Assumptions'!$B$8, "Tier 2 High GIDA (Score 40.0–49.9)", "Tier 3 Moderate GIDA (Score &lt; 40.0)"))</f>
        <v/>
      </c>
      <c r="V270" s="26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W270" s="28" t="n">
        <v>0.083</v>
      </c>
      <c r="X270" s="14" t="n">
        <v>50.28</v>
      </c>
      <c r="Y270" s="14">
        <f>ROUND(MIN(100, (X270/69.91)*100), 2)</f>
        <v/>
      </c>
    </row>
    <row r="271">
      <c r="A271" s="10" t="n">
        <v>2</v>
      </c>
      <c r="B271" s="10" t="n">
        <v>267</v>
      </c>
      <c r="C271" s="10" t="n">
        <v>1267</v>
      </c>
      <c r="D271" s="10" t="inlineStr">
        <is>
          <t>1381200025</t>
        </is>
      </c>
      <c r="E271" s="26" t="inlineStr">
        <is>
          <t>National Capital Region (NCR)</t>
        </is>
      </c>
      <c r="F271" s="26" t="inlineStr">
        <is>
          <t>Second District (Not a Province)</t>
        </is>
      </c>
      <c r="G271" s="26" t="inlineStr">
        <is>
          <t>City of Pasig</t>
        </is>
      </c>
      <c r="H271" s="26" t="inlineStr">
        <is>
          <t>Santa Rosa</t>
        </is>
      </c>
      <c r="I271" s="27" t="n">
        <v>14.584405</v>
      </c>
      <c r="J271" s="27" t="n">
        <v>121.080462</v>
      </c>
      <c r="K271" s="10" t="inlineStr">
        <is>
          <t>U</t>
        </is>
      </c>
      <c r="L271" s="12" t="n">
        <v>1078</v>
      </c>
      <c r="M271" s="14" t="n">
        <v>3.4</v>
      </c>
      <c r="N271" s="12">
        <f>ROUND(L271/M271, 0)</f>
        <v/>
      </c>
      <c r="O271" s="12">
        <f>ROUND(N271*'Methodology &amp; Assumptions'!$B$5, 0)</f>
        <v/>
      </c>
      <c r="P271" s="10" t="inlineStr">
        <is>
          <t>Single Carrier (Band n50, 100MHz TDD)</t>
        </is>
      </c>
      <c r="Q271" s="13">
        <f>ROUNDUP(O271/'Methodology &amp; Assumptions'!$B$6, 0)</f>
        <v/>
      </c>
      <c r="R271" s="13" t="n">
        <v>1</v>
      </c>
      <c r="S271" s="14" t="n">
        <v>1.03</v>
      </c>
      <c r="T271" s="14" t="n">
        <v>0.23</v>
      </c>
      <c r="U271" s="26">
        <f>IF(X271&gt;='Methodology &amp; Assumptions'!$B$7, "Tier 1 Critical GIDA (Score ≥ 50.0)", IF(X271&gt;='Methodology &amp; Assumptions'!$B$8, "Tier 2 High GIDA (Score 40.0–49.9)", "Tier 3 Moderate GIDA (Score &lt; 40.0)"))</f>
        <v/>
      </c>
      <c r="V271" s="26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W271" s="28" t="n">
        <v>0.109</v>
      </c>
      <c r="X271" s="14" t="n">
        <v>50.27</v>
      </c>
      <c r="Y271" s="14">
        <f>ROUND(MIN(100, (X271/69.91)*100), 2)</f>
        <v/>
      </c>
    </row>
    <row r="272">
      <c r="A272" s="10" t="n">
        <v>2</v>
      </c>
      <c r="B272" s="10" t="n">
        <v>268</v>
      </c>
      <c r="C272" s="10" t="n">
        <v>1268</v>
      </c>
      <c r="D272" s="10" t="inlineStr">
        <is>
          <t>0506212021</t>
        </is>
      </c>
      <c r="E272" s="26" t="inlineStr">
        <is>
          <t>Region V (Bicol Region)</t>
        </is>
      </c>
      <c r="F272" s="26" t="inlineStr">
        <is>
          <t>Sorsogon</t>
        </is>
      </c>
      <c r="G272" s="26" t="inlineStr">
        <is>
          <t>Matnog</t>
        </is>
      </c>
      <c r="H272" s="26" t="inlineStr">
        <is>
          <t>Genablan Oriental</t>
        </is>
      </c>
      <c r="I272" s="27" t="n">
        <v>12.539424</v>
      </c>
      <c r="J272" s="27" t="n">
        <v>124.035429</v>
      </c>
      <c r="K272" s="10" t="inlineStr">
        <is>
          <t>R</t>
        </is>
      </c>
      <c r="L272" s="12" t="n">
        <v>1116</v>
      </c>
      <c r="M272" s="14" t="n">
        <v>4</v>
      </c>
      <c r="N272" s="12">
        <f>ROUND(L272/M272, 0)</f>
        <v/>
      </c>
      <c r="O272" s="12">
        <f>ROUND(N272*'Methodology &amp; Assumptions'!$B$5, 0)</f>
        <v/>
      </c>
      <c r="P272" s="10" t="inlineStr">
        <is>
          <t>Single Carrier (Band n50, 100MHz TDD)</t>
        </is>
      </c>
      <c r="Q272" s="13">
        <f>ROUNDUP(O272/'Methodology &amp; Assumptions'!$B$6, 0)</f>
        <v/>
      </c>
      <c r="R272" s="13" t="n">
        <v>1</v>
      </c>
      <c r="S272" s="14" t="n">
        <v>7.23</v>
      </c>
      <c r="T272" s="14" t="n">
        <v>7.25</v>
      </c>
      <c r="U272" s="26">
        <f>IF(X272&gt;='Methodology &amp; Assumptions'!$B$7, "Tier 1 Critical GIDA (Score ≥ 50.0)", IF(X272&gt;='Methodology &amp; Assumptions'!$B$8, "Tier 2 High GIDA (Score 40.0–49.9)", "Tier 3 Moderate GIDA (Score &lt; 40.0)"))</f>
        <v/>
      </c>
      <c r="V272" s="26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W272" s="28" t="n">
        <v>0.237</v>
      </c>
      <c r="X272" s="14" t="n">
        <v>50.26</v>
      </c>
      <c r="Y272" s="14">
        <f>ROUND(MIN(100, (X272/69.91)*100), 2)</f>
        <v/>
      </c>
    </row>
    <row r="273">
      <c r="A273" s="10" t="n">
        <v>2</v>
      </c>
      <c r="B273" s="10" t="n">
        <v>269</v>
      </c>
      <c r="C273" s="10" t="n">
        <v>1269</v>
      </c>
      <c r="D273" s="10" t="inlineStr">
        <is>
          <t>0600614011</t>
        </is>
      </c>
      <c r="E273" s="26" t="inlineStr">
        <is>
          <t>Region VI (Western Visayas)</t>
        </is>
      </c>
      <c r="F273" s="26" t="inlineStr">
        <is>
          <t>Antique</t>
        </is>
      </c>
      <c r="G273" s="26" t="inlineStr">
        <is>
          <t>San Remigio</t>
        </is>
      </c>
      <c r="H273" s="26" t="inlineStr">
        <is>
          <t>Bulan-bulan</t>
        </is>
      </c>
      <c r="I273" s="27" t="n">
        <v>10.889355</v>
      </c>
      <c r="J273" s="27" t="n">
        <v>122.181035</v>
      </c>
      <c r="K273" s="10" t="inlineStr">
        <is>
          <t>R</t>
        </is>
      </c>
      <c r="L273" s="12" t="n">
        <v>727</v>
      </c>
      <c r="M273" s="14" t="n">
        <v>3.9</v>
      </c>
      <c r="N273" s="12">
        <f>ROUND(L273/M273, 0)</f>
        <v/>
      </c>
      <c r="O273" s="12">
        <f>ROUND(N273*'Methodology &amp; Assumptions'!$B$5, 0)</f>
        <v/>
      </c>
      <c r="P273" s="10" t="inlineStr">
        <is>
          <t>Single Carrier (Band n50, 100MHz TDD)</t>
        </is>
      </c>
      <c r="Q273" s="13">
        <f>ROUNDUP(O273/'Methodology &amp; Assumptions'!$B$6, 0)</f>
        <v/>
      </c>
      <c r="R273" s="13" t="n">
        <v>1</v>
      </c>
      <c r="S273" s="14" t="n">
        <v>30.07</v>
      </c>
      <c r="T273" s="14" t="n">
        <v>22.95</v>
      </c>
      <c r="U273" s="26">
        <f>IF(X273&gt;='Methodology &amp; Assumptions'!$B$7, "Tier 1 Critical GIDA (Score ≥ 50.0)", IF(X273&gt;='Methodology &amp; Assumptions'!$B$8, "Tier 2 High GIDA (Score 40.0–49.9)", "Tier 3 Moderate GIDA (Score &lt; 40.0)"))</f>
        <v/>
      </c>
      <c r="V273" s="26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W273" s="28" t="n">
        <v>0.237</v>
      </c>
      <c r="X273" s="14" t="n">
        <v>50.26</v>
      </c>
      <c r="Y273" s="14">
        <f>ROUND(MIN(100, (X273/69.91)*100), 2)</f>
        <v/>
      </c>
    </row>
    <row r="274">
      <c r="A274" s="10" t="n">
        <v>2</v>
      </c>
      <c r="B274" s="10" t="n">
        <v>270</v>
      </c>
      <c r="C274" s="10" t="n">
        <v>1270</v>
      </c>
      <c r="D274" s="10" t="inlineStr">
        <is>
          <t>0502004018</t>
        </is>
      </c>
      <c r="E274" s="26" t="inlineStr">
        <is>
          <t>Region V (Bicol Region)</t>
        </is>
      </c>
      <c r="F274" s="26" t="inlineStr">
        <is>
          <t>Catanduanes</t>
        </is>
      </c>
      <c r="G274" s="26" t="inlineStr">
        <is>
          <t>Caramoran</t>
        </is>
      </c>
      <c r="H274" s="26" t="inlineStr">
        <is>
          <t>Maysuran</t>
        </is>
      </c>
      <c r="I274" s="27" t="n">
        <v>13.979628</v>
      </c>
      <c r="J274" s="27" t="n">
        <v>124.162991</v>
      </c>
      <c r="K274" s="10" t="inlineStr">
        <is>
          <t>R</t>
        </is>
      </c>
      <c r="L274" s="12" t="n">
        <v>1099</v>
      </c>
      <c r="M274" s="14" t="n">
        <v>4.2</v>
      </c>
      <c r="N274" s="12">
        <f>ROUND(L274/M274, 0)</f>
        <v/>
      </c>
      <c r="O274" s="12">
        <f>ROUND(N274*'Methodology &amp; Assumptions'!$B$5, 0)</f>
        <v/>
      </c>
      <c r="P274" s="10" t="inlineStr">
        <is>
          <t>Single Carrier (Band n50, 100MHz TDD)</t>
        </is>
      </c>
      <c r="Q274" s="13">
        <f>ROUNDUP(O274/'Methodology &amp; Assumptions'!$B$6, 0)</f>
        <v/>
      </c>
      <c r="R274" s="13" t="n">
        <v>1</v>
      </c>
      <c r="S274" s="14" t="n">
        <v>39.59</v>
      </c>
      <c r="T274" s="14" t="n">
        <v>77.76000000000001</v>
      </c>
      <c r="U274" s="26">
        <f>IF(X274&gt;='Methodology &amp; Assumptions'!$B$7, "Tier 1 Critical GIDA (Score ≥ 50.0)", IF(X274&gt;='Methodology &amp; Assumptions'!$B$8, "Tier 2 High GIDA (Score 40.0–49.9)", "Tier 3 Moderate GIDA (Score &lt; 40.0)"))</f>
        <v/>
      </c>
      <c r="V274" s="26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W274" s="28" t="n">
        <v>0.237</v>
      </c>
      <c r="X274" s="14" t="n">
        <v>50.26</v>
      </c>
      <c r="Y274" s="14">
        <f>ROUND(MIN(100, (X274/69.91)*100), 2)</f>
        <v/>
      </c>
    </row>
    <row r="275">
      <c r="A275" s="10" t="n">
        <v>2</v>
      </c>
      <c r="B275" s="10" t="n">
        <v>271</v>
      </c>
      <c r="C275" s="10" t="n">
        <v>1271</v>
      </c>
      <c r="D275" s="10" t="inlineStr">
        <is>
          <t>0405805017</t>
        </is>
      </c>
      <c r="E275" s="26" t="inlineStr">
        <is>
          <t>Region IV-A (CALABARZON)</t>
        </is>
      </c>
      <c r="F275" s="26" t="inlineStr">
        <is>
          <t>Rizal</t>
        </is>
      </c>
      <c r="G275" s="26" t="inlineStr">
        <is>
          <t>Cainta</t>
        </is>
      </c>
      <c r="H275" s="26" t="inlineStr">
        <is>
          <t>San Roque</t>
        </is>
      </c>
      <c r="I275" s="27" t="n">
        <v>14.576316</v>
      </c>
      <c r="J275" s="27" t="n">
        <v>121.117329</v>
      </c>
      <c r="K275" s="10" t="inlineStr">
        <is>
          <t>U</t>
        </is>
      </c>
      <c r="L275" s="12" t="n">
        <v>9850</v>
      </c>
      <c r="M275" s="14" t="n">
        <v>3.6</v>
      </c>
      <c r="N275" s="12">
        <f>ROUND(L275/M275, 0)</f>
        <v/>
      </c>
      <c r="O275" s="12">
        <f>ROUND(N275*'Methodology &amp; Assumptions'!$B$5, 0)</f>
        <v/>
      </c>
      <c r="P275" s="10" t="inlineStr">
        <is>
          <t>Single Carrier (Band n50, 100MHz TDD)</t>
        </is>
      </c>
      <c r="Q275" s="13">
        <f>ROUNDUP(O275/'Methodology &amp; Assumptions'!$B$6, 0)</f>
        <v/>
      </c>
      <c r="R275" s="13" t="n">
        <v>1</v>
      </c>
      <c r="S275" s="14" t="n">
        <v>1.04</v>
      </c>
      <c r="T275" s="14" t="n">
        <v>0.15</v>
      </c>
      <c r="U275" s="26">
        <f>IF(X275&gt;='Methodology &amp; Assumptions'!$B$7, "Tier 1 Critical GIDA (Score ≥ 50.0)", IF(X275&gt;='Methodology &amp; Assumptions'!$B$8, "Tier 2 High GIDA (Score 40.0–49.9)", "Tier 3 Moderate GIDA (Score &lt; 40.0)"))</f>
        <v/>
      </c>
      <c r="V275" s="26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W275" s="28" t="n">
        <v>0.07200000000000001</v>
      </c>
      <c r="X275" s="14" t="n">
        <v>50.26</v>
      </c>
      <c r="Y275" s="14">
        <f>ROUND(MIN(100, (X275/69.91)*100), 2)</f>
        <v/>
      </c>
    </row>
    <row r="276">
      <c r="A276" s="10" t="n">
        <v>2</v>
      </c>
      <c r="B276" s="10" t="n">
        <v>272</v>
      </c>
      <c r="C276" s="10" t="n">
        <v>1272</v>
      </c>
      <c r="D276" s="10" t="inlineStr">
        <is>
          <t>0504113004</t>
        </is>
      </c>
      <c r="E276" s="26" t="inlineStr">
        <is>
          <t>Region V (Bicol Region)</t>
        </is>
      </c>
      <c r="F276" s="26" t="inlineStr">
        <is>
          <t>Masbate</t>
        </is>
      </c>
      <c r="G276" s="26" t="inlineStr">
        <is>
          <t>Mobo</t>
        </is>
      </c>
      <c r="H276" s="26" t="inlineStr">
        <is>
          <t>Barag</t>
        </is>
      </c>
      <c r="I276" s="27" t="n">
        <v>12.215725</v>
      </c>
      <c r="J276" s="27" t="n">
        <v>123.647631</v>
      </c>
      <c r="K276" s="10" t="inlineStr">
        <is>
          <t>R</t>
        </is>
      </c>
      <c r="L276" s="12" t="n">
        <v>526</v>
      </c>
      <c r="M276" s="14" t="n">
        <v>4.1</v>
      </c>
      <c r="N276" s="12">
        <f>ROUND(L276/M276, 0)</f>
        <v/>
      </c>
      <c r="O276" s="12">
        <f>ROUND(N276*'Methodology &amp; Assumptions'!$B$5, 0)</f>
        <v/>
      </c>
      <c r="P276" s="10" t="inlineStr">
        <is>
          <t>Single Carrier (Band n50, 100MHz TDD)</t>
        </is>
      </c>
      <c r="Q276" s="13">
        <f>ROUNDUP(O276/'Methodology &amp; Assumptions'!$B$6, 0)</f>
        <v/>
      </c>
      <c r="R276" s="13" t="n">
        <v>1</v>
      </c>
      <c r="S276" s="14" t="n">
        <v>12.13</v>
      </c>
      <c r="T276" s="14" t="n">
        <v>12.99</v>
      </c>
      <c r="U276" s="26">
        <f>IF(X276&gt;='Methodology &amp; Assumptions'!$B$7, "Tier 1 Critical GIDA (Score ≥ 50.0)", IF(X276&gt;='Methodology &amp; Assumptions'!$B$8, "Tier 2 High GIDA (Score 40.0–49.9)", "Tier 3 Moderate GIDA (Score &lt; 40.0)"))</f>
        <v/>
      </c>
      <c r="V276" s="26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W276" s="28" t="n">
        <v>0.237</v>
      </c>
      <c r="X276" s="14" t="n">
        <v>50.26</v>
      </c>
      <c r="Y276" s="14">
        <f>ROUND(MIN(100, (X276/69.91)*100), 2)</f>
        <v/>
      </c>
    </row>
    <row r="277">
      <c r="A277" s="10" t="n">
        <v>2</v>
      </c>
      <c r="B277" s="10" t="n">
        <v>273</v>
      </c>
      <c r="C277" s="10" t="n">
        <v>1273</v>
      </c>
      <c r="D277" s="10" t="inlineStr">
        <is>
          <t>0802615004</t>
        </is>
      </c>
      <c r="E277" s="26" t="inlineStr">
        <is>
          <t>Region VIII (Eastern Visayas)</t>
        </is>
      </c>
      <c r="F277" s="26" t="inlineStr">
        <is>
          <t>Eastern Samar</t>
        </is>
      </c>
      <c r="G277" s="26" t="inlineStr">
        <is>
          <t>Maydolong</t>
        </is>
      </c>
      <c r="H277" s="26" t="inlineStr">
        <is>
          <t>Canloterio</t>
        </is>
      </c>
      <c r="I277" s="27" t="n">
        <v>11.475901</v>
      </c>
      <c r="J277" s="27" t="n">
        <v>125.403243</v>
      </c>
      <c r="K277" s="10" t="inlineStr">
        <is>
          <t>R</t>
        </is>
      </c>
      <c r="L277" s="12" t="n">
        <v>506</v>
      </c>
      <c r="M277" s="14" t="n">
        <v>3.9</v>
      </c>
      <c r="N277" s="12">
        <f>ROUND(L277/M277, 0)</f>
        <v/>
      </c>
      <c r="O277" s="12">
        <f>ROUND(N277*'Methodology &amp; Assumptions'!$B$5, 0)</f>
        <v/>
      </c>
      <c r="P277" s="10" t="inlineStr">
        <is>
          <t>Single Carrier (Band n50, 100MHz TDD)</t>
        </is>
      </c>
      <c r="Q277" s="13">
        <f>ROUNDUP(O277/'Methodology &amp; Assumptions'!$B$6, 0)</f>
        <v/>
      </c>
      <c r="R277" s="13" t="n">
        <v>1</v>
      </c>
      <c r="S277" s="14" t="n">
        <v>50.99</v>
      </c>
      <c r="T277" s="14" t="n">
        <v>51.44</v>
      </c>
      <c r="U277" s="26">
        <f>IF(X277&gt;='Methodology &amp; Assumptions'!$B$7, "Tier 1 Critical GIDA (Score ≥ 50.0)", IF(X277&gt;='Methodology &amp; Assumptions'!$B$8, "Tier 2 High GIDA (Score 40.0–49.9)", "Tier 3 Moderate GIDA (Score &lt; 40.0)"))</f>
        <v/>
      </c>
      <c r="V277" s="26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W277" s="28" t="n">
        <v>0.237</v>
      </c>
      <c r="X277" s="14" t="n">
        <v>50.26</v>
      </c>
      <c r="Y277" s="14">
        <f>ROUND(MIN(100, (X277/69.91)*100), 2)</f>
        <v/>
      </c>
    </row>
    <row r="278">
      <c r="A278" s="10" t="n">
        <v>2</v>
      </c>
      <c r="B278" s="10" t="n">
        <v>274</v>
      </c>
      <c r="C278" s="10" t="n">
        <v>1274</v>
      </c>
      <c r="D278" s="10" t="inlineStr">
        <is>
          <t>1908704008</t>
        </is>
      </c>
      <c r="E278" s="26" t="inlineStr">
        <is>
          <t>Bangsamoro Autonomous Region In Muslim Mindanao (BARMM)</t>
        </is>
      </c>
      <c r="F278" s="26" t="inlineStr">
        <is>
          <t>Maguindanao del Norte</t>
        </is>
      </c>
      <c r="G278" s="26" t="inlineStr">
        <is>
          <t>Datu Blah T. Sinsuat</t>
        </is>
      </c>
      <c r="H278" s="26" t="inlineStr">
        <is>
          <t>Pura</t>
        </is>
      </c>
      <c r="I278" s="27" t="n">
        <v>17.254135</v>
      </c>
      <c r="J278" s="27" t="n">
        <v>122.228179</v>
      </c>
      <c r="K278" s="10" t="inlineStr">
        <is>
          <t>R</t>
        </is>
      </c>
      <c r="L278" s="12" t="n">
        <v>5430</v>
      </c>
      <c r="M278" s="14" t="n">
        <v>4.3</v>
      </c>
      <c r="N278" s="12">
        <f>ROUND(L278/M278, 0)</f>
        <v/>
      </c>
      <c r="O278" s="12">
        <f>ROUND(N278*'Methodology &amp; Assumptions'!$B$5, 0)</f>
        <v/>
      </c>
      <c r="P278" s="10" t="inlineStr">
        <is>
          <t>Single Carrier (Band n50, 100MHz TDD)</t>
        </is>
      </c>
      <c r="Q278" s="13">
        <f>ROUNDUP(O278/'Methodology &amp; Assumptions'!$B$6, 0)</f>
        <v/>
      </c>
      <c r="R278" s="13" t="n">
        <v>1</v>
      </c>
      <c r="S278" s="14" t="n">
        <v>29.31</v>
      </c>
      <c r="T278" s="14" t="n">
        <v>34.2</v>
      </c>
      <c r="U278" s="26">
        <f>IF(X278&gt;='Methodology &amp; Assumptions'!$B$7, "Tier 1 Critical GIDA (Score ≥ 50.0)", IF(X278&gt;='Methodology &amp; Assumptions'!$B$8, "Tier 2 High GIDA (Score 40.0–49.9)", "Tier 3 Moderate GIDA (Score &lt; 40.0)"))</f>
        <v/>
      </c>
      <c r="V278" s="26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W278" s="28" t="n">
        <v>0.11</v>
      </c>
      <c r="X278" s="14" t="n">
        <v>50.26</v>
      </c>
      <c r="Y278" s="14">
        <f>ROUND(MIN(100, (X278/69.91)*100), 2)</f>
        <v/>
      </c>
    </row>
    <row r="279">
      <c r="A279" s="10" t="n">
        <v>2</v>
      </c>
      <c r="B279" s="10" t="n">
        <v>275</v>
      </c>
      <c r="C279" s="10" t="n">
        <v>1275</v>
      </c>
      <c r="D279" s="10" t="inlineStr">
        <is>
          <t>0506212001</t>
        </is>
      </c>
      <c r="E279" s="26" t="inlineStr">
        <is>
          <t>Region V (Bicol Region)</t>
        </is>
      </c>
      <c r="F279" s="26" t="inlineStr">
        <is>
          <t>Sorsogon</t>
        </is>
      </c>
      <c r="G279" s="26" t="inlineStr">
        <is>
          <t>Matnog</t>
        </is>
      </c>
      <c r="H279" s="26" t="inlineStr">
        <is>
          <t>Balocawe</t>
        </is>
      </c>
      <c r="I279" s="27" t="n">
        <v>12.599786</v>
      </c>
      <c r="J279" s="27" t="n">
        <v>124.066076</v>
      </c>
      <c r="K279" s="10" t="inlineStr">
        <is>
          <t>R</t>
        </is>
      </c>
      <c r="L279" s="12" t="n">
        <v>1026</v>
      </c>
      <c r="M279" s="14" t="n">
        <v>4</v>
      </c>
      <c r="N279" s="12">
        <f>ROUND(L279/M279, 0)</f>
        <v/>
      </c>
      <c r="O279" s="12">
        <f>ROUND(N279*'Methodology &amp; Assumptions'!$B$5, 0)</f>
        <v/>
      </c>
      <c r="P279" s="10" t="inlineStr">
        <is>
          <t>Single Carrier (Band n50, 100MHz TDD)</t>
        </is>
      </c>
      <c r="Q279" s="13">
        <f>ROUNDUP(O279/'Methodology &amp; Assumptions'!$B$6, 0)</f>
        <v/>
      </c>
      <c r="R279" s="13" t="n">
        <v>1</v>
      </c>
      <c r="S279" s="14" t="n">
        <v>2.25</v>
      </c>
      <c r="T279" s="14" t="n">
        <v>0.5</v>
      </c>
      <c r="U279" s="26">
        <f>IF(X279&gt;='Methodology &amp; Assumptions'!$B$7, "Tier 1 Critical GIDA (Score ≥ 50.0)", IF(X279&gt;='Methodology &amp; Assumptions'!$B$8, "Tier 2 High GIDA (Score 40.0–49.9)", "Tier 3 Moderate GIDA (Score &lt; 40.0)"))</f>
        <v/>
      </c>
      <c r="V279" s="26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W279" s="28" t="n">
        <v>0.237</v>
      </c>
      <c r="X279" s="14" t="n">
        <v>50.26</v>
      </c>
      <c r="Y279" s="14">
        <f>ROUND(MIN(100, (X279/69.91)*100), 2)</f>
        <v/>
      </c>
    </row>
    <row r="280">
      <c r="A280" s="10" t="n">
        <v>2</v>
      </c>
      <c r="B280" s="10" t="n">
        <v>276</v>
      </c>
      <c r="C280" s="10" t="n">
        <v>1276</v>
      </c>
      <c r="D280" s="10" t="inlineStr">
        <is>
          <t>0804802004</t>
        </is>
      </c>
      <c r="E280" s="26" t="inlineStr">
        <is>
          <t>Region VIII (Eastern Visayas)</t>
        </is>
      </c>
      <c r="F280" s="26" t="inlineStr">
        <is>
          <t>Northern Samar</t>
        </is>
      </c>
      <c r="G280" s="26" t="inlineStr">
        <is>
          <t>Biri</t>
        </is>
      </c>
      <c r="H280" s="26" t="inlineStr">
        <is>
          <t>Kauswagan</t>
        </is>
      </c>
      <c r="I280" s="27" t="n">
        <v>12.67089</v>
      </c>
      <c r="J280" s="27" t="n">
        <v>124.39137</v>
      </c>
      <c r="K280" s="10" t="inlineStr">
        <is>
          <t>R</t>
        </is>
      </c>
      <c r="L280" s="12" t="n">
        <v>772</v>
      </c>
      <c r="M280" s="14" t="n">
        <v>4.3</v>
      </c>
      <c r="N280" s="12">
        <f>ROUND(L280/M280, 0)</f>
        <v/>
      </c>
      <c r="O280" s="12">
        <f>ROUND(N280*'Methodology &amp; Assumptions'!$B$5, 0)</f>
        <v/>
      </c>
      <c r="P280" s="10" t="inlineStr">
        <is>
          <t>Single Carrier (Band n50, 100MHz TDD)</t>
        </is>
      </c>
      <c r="Q280" s="13">
        <f>ROUNDUP(O280/'Methodology &amp; Assumptions'!$B$6, 0)</f>
        <v/>
      </c>
      <c r="R280" s="13" t="n">
        <v>1</v>
      </c>
      <c r="S280" s="14" t="n">
        <v>29.43</v>
      </c>
      <c r="T280" s="14" t="n">
        <v>28.73</v>
      </c>
      <c r="U280" s="26">
        <f>IF(X280&gt;='Methodology &amp; Assumptions'!$B$7, "Tier 1 Critical GIDA (Score ≥ 50.0)", IF(X280&gt;='Methodology &amp; Assumptions'!$B$8, "Tier 2 High GIDA (Score 40.0–49.9)", "Tier 3 Moderate GIDA (Score &lt; 40.0)"))</f>
        <v/>
      </c>
      <c r="V280" s="26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W280" s="28" t="n">
        <v>0.237</v>
      </c>
      <c r="X280" s="14" t="n">
        <v>50.25</v>
      </c>
      <c r="Y280" s="14">
        <f>ROUND(MIN(100, (X280/69.91)*100), 2)</f>
        <v/>
      </c>
    </row>
    <row r="281">
      <c r="A281" s="10" t="n">
        <v>2</v>
      </c>
      <c r="B281" s="10" t="n">
        <v>277</v>
      </c>
      <c r="C281" s="10" t="n">
        <v>1277</v>
      </c>
      <c r="D281" s="10" t="inlineStr">
        <is>
          <t>0501610010</t>
        </is>
      </c>
      <c r="E281" s="26" t="inlineStr">
        <is>
          <t>Region V (Bicol Region)</t>
        </is>
      </c>
      <c r="F281" s="26" t="inlineStr">
        <is>
          <t>Camarines Norte</t>
        </is>
      </c>
      <c r="G281" s="26" t="inlineStr">
        <is>
          <t>Santa Elena</t>
        </is>
      </c>
      <c r="H281" s="26" t="inlineStr">
        <is>
          <t>Villa San Isidro</t>
        </is>
      </c>
      <c r="I281" s="27" t="n">
        <v>14.168319</v>
      </c>
      <c r="J281" s="27" t="n">
        <v>122.215497</v>
      </c>
      <c r="K281" s="10" t="inlineStr">
        <is>
          <t>R</t>
        </is>
      </c>
      <c r="L281" s="12" t="n">
        <v>268</v>
      </c>
      <c r="M281" s="14" t="n">
        <v>4</v>
      </c>
      <c r="N281" s="12">
        <f>ROUND(L281/M281, 0)</f>
        <v/>
      </c>
      <c r="O281" s="12">
        <f>ROUND(N281*'Methodology &amp; Assumptions'!$B$5, 0)</f>
        <v/>
      </c>
      <c r="P281" s="10" t="inlineStr">
        <is>
          <t>Single Carrier (Band n50, 100MHz TDD)</t>
        </is>
      </c>
      <c r="Q281" s="13">
        <f>ROUNDUP(O281/'Methodology &amp; Assumptions'!$B$6, 0)</f>
        <v/>
      </c>
      <c r="R281" s="13" t="n">
        <v>1</v>
      </c>
      <c r="S281" s="14" t="n">
        <v>6.49</v>
      </c>
      <c r="T281" s="14" t="n">
        <v>17.73</v>
      </c>
      <c r="U281" s="26">
        <f>IF(X281&gt;='Methodology &amp; Assumptions'!$B$7, "Tier 1 Critical GIDA (Score ≥ 50.0)", IF(X281&gt;='Methodology &amp; Assumptions'!$B$8, "Tier 2 High GIDA (Score 40.0–49.9)", "Tier 3 Moderate GIDA (Score &lt; 40.0)"))</f>
        <v/>
      </c>
      <c r="V281" s="26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W281" s="28" t="n">
        <v>0.237</v>
      </c>
      <c r="X281" s="14" t="n">
        <v>50.25</v>
      </c>
      <c r="Y281" s="14">
        <f>ROUND(MIN(100, (X281/69.91)*100), 2)</f>
        <v/>
      </c>
    </row>
    <row r="282">
      <c r="A282" s="10" t="n">
        <v>2</v>
      </c>
      <c r="B282" s="10" t="n">
        <v>278</v>
      </c>
      <c r="C282" s="10" t="n">
        <v>1278</v>
      </c>
      <c r="D282" s="10" t="inlineStr">
        <is>
          <t>1380610063</t>
        </is>
      </c>
      <c r="E282" s="26" t="inlineStr">
        <is>
          <t>National Capital Region (NCR)</t>
        </is>
      </c>
      <c r="F282" s="26" t="inlineStr">
        <is>
          <t>First District (Not a Province)</t>
        </is>
      </c>
      <c r="G282" s="26" t="inlineStr">
        <is>
          <t>City of Manila</t>
        </is>
      </c>
      <c r="H282" s="26" t="inlineStr">
        <is>
          <t>Barangay 734</t>
        </is>
      </c>
      <c r="I282" s="27" t="n">
        <v>13.128987</v>
      </c>
      <c r="J282" s="27" t="n">
        <v>121.693372</v>
      </c>
      <c r="K282" s="10" t="inlineStr">
        <is>
          <t>U</t>
        </is>
      </c>
      <c r="L282" s="12" t="n">
        <v>929</v>
      </c>
      <c r="M282" s="14" t="n">
        <v>3.9</v>
      </c>
      <c r="N282" s="12">
        <f>ROUND(L282/M282, 0)</f>
        <v/>
      </c>
      <c r="O282" s="12">
        <f>ROUND(N282*'Methodology &amp; Assumptions'!$B$5, 0)</f>
        <v/>
      </c>
      <c r="P282" s="10" t="inlineStr">
        <is>
          <t>Single Carrier (Band n50, 100MHz TDD)</t>
        </is>
      </c>
      <c r="Q282" s="13">
        <f>ROUNDUP(O282/'Methodology &amp; Assumptions'!$B$6, 0)</f>
        <v/>
      </c>
      <c r="R282" s="13" t="n">
        <v>1</v>
      </c>
      <c r="S282" s="14" t="n">
        <v>21.46</v>
      </c>
      <c r="T282" s="14" t="n">
        <v>25.22</v>
      </c>
      <c r="U282" s="26">
        <f>IF(X282&gt;='Methodology &amp; Assumptions'!$B$7, "Tier 1 Critical GIDA (Score ≥ 50.0)", IF(X282&gt;='Methodology &amp; Assumptions'!$B$8, "Tier 2 High GIDA (Score 40.0–49.9)", "Tier 3 Moderate GIDA (Score &lt; 40.0)"))</f>
        <v/>
      </c>
      <c r="V282" s="26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W282" s="28" t="n">
        <v>0.109</v>
      </c>
      <c r="X282" s="14" t="n">
        <v>50.25</v>
      </c>
      <c r="Y282" s="14">
        <f>ROUND(MIN(100, (X282/69.91)*100), 2)</f>
        <v/>
      </c>
    </row>
    <row r="283">
      <c r="A283" s="10" t="n">
        <v>2</v>
      </c>
      <c r="B283" s="10" t="n">
        <v>279</v>
      </c>
      <c r="C283" s="10" t="n">
        <v>1279</v>
      </c>
      <c r="D283" s="10" t="inlineStr">
        <is>
          <t>1381100152</t>
        </is>
      </c>
      <c r="E283" s="26" t="inlineStr">
        <is>
          <t>National Capital Region (NCR)</t>
        </is>
      </c>
      <c r="F283" s="26" t="inlineStr">
        <is>
          <t>Fourth District (Not a Province)</t>
        </is>
      </c>
      <c r="G283" s="26" t="inlineStr">
        <is>
          <t>Pasay City</t>
        </is>
      </c>
      <c r="H283" s="26" t="inlineStr">
        <is>
          <t>Barangay 152</t>
        </is>
      </c>
      <c r="I283" s="27" t="n">
        <v>14.528016</v>
      </c>
      <c r="J283" s="27" t="n">
        <v>121.022749</v>
      </c>
      <c r="K283" s="10" t="inlineStr">
        <is>
          <t>U</t>
        </is>
      </c>
      <c r="L283" s="12" t="n">
        <v>1254</v>
      </c>
      <c r="M283" s="14" t="n">
        <v>3.4</v>
      </c>
      <c r="N283" s="12">
        <f>ROUND(L283/M283, 0)</f>
        <v/>
      </c>
      <c r="O283" s="12">
        <f>ROUND(N283*'Methodology &amp; Assumptions'!$B$5, 0)</f>
        <v/>
      </c>
      <c r="P283" s="10" t="inlineStr">
        <is>
          <t>Single Carrier (Band n50, 100MHz TDD)</t>
        </is>
      </c>
      <c r="Q283" s="13">
        <f>ROUNDUP(O283/'Methodology &amp; Assumptions'!$B$6, 0)</f>
        <v/>
      </c>
      <c r="R283" s="13" t="n">
        <v>1</v>
      </c>
      <c r="S283" s="14" t="n">
        <v>0.66</v>
      </c>
      <c r="T283" s="14" t="n">
        <v>0.15</v>
      </c>
      <c r="U283" s="26">
        <f>IF(X283&gt;='Methodology &amp; Assumptions'!$B$7, "Tier 1 Critical GIDA (Score ≥ 50.0)", IF(X283&gt;='Methodology &amp; Assumptions'!$B$8, "Tier 2 High GIDA (Score 40.0–49.9)", "Tier 3 Moderate GIDA (Score &lt; 40.0)"))</f>
        <v/>
      </c>
      <c r="V283" s="26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W283" s="28" t="n">
        <v>0.109</v>
      </c>
      <c r="X283" s="14" t="n">
        <v>50.25</v>
      </c>
      <c r="Y283" s="14">
        <f>ROUND(MIN(100, (X283/69.91)*100), 2)</f>
        <v/>
      </c>
    </row>
    <row r="284">
      <c r="A284" s="10" t="n">
        <v>2</v>
      </c>
      <c r="B284" s="10" t="n">
        <v>280</v>
      </c>
      <c r="C284" s="10" t="n">
        <v>1280</v>
      </c>
      <c r="D284" s="10" t="inlineStr">
        <is>
          <t>PH0001280</t>
        </is>
      </c>
      <c r="E284" s="26" t="inlineStr">
        <is>
          <t>VIII</t>
        </is>
      </c>
      <c r="F284" s="26" t="inlineStr">
        <is>
          <t>Samar (Western Samar)</t>
        </is>
      </c>
      <c r="G284" s="26" t="inlineStr">
        <is>
          <t>Calbayog City</t>
        </is>
      </c>
      <c r="H284" s="26" t="inlineStr">
        <is>
          <t>Manuel Barral, Sr.</t>
        </is>
      </c>
      <c r="I284" s="27" t="n">
        <v>12.2236</v>
      </c>
      <c r="J284" s="27" t="n">
        <v>124.49377</v>
      </c>
      <c r="K284" s="10" t="inlineStr">
        <is>
          <t>R</t>
        </is>
      </c>
      <c r="L284" s="12" t="n">
        <v>2229</v>
      </c>
      <c r="M284" s="14" t="n">
        <v>4.1</v>
      </c>
      <c r="N284" s="12">
        <f>ROUND(L284/M284, 0)</f>
        <v/>
      </c>
      <c r="O284" s="12">
        <f>ROUND(N284*'Methodology &amp; Assumptions'!$B$5, 0)</f>
        <v/>
      </c>
      <c r="P284" s="10" t="inlineStr">
        <is>
          <t>Single Carrier (Band n50, 100MHz TDD)</t>
        </is>
      </c>
      <c r="Q284" s="13">
        <f>ROUNDUP(O284/'Methodology &amp; Assumptions'!$B$6, 0)</f>
        <v/>
      </c>
      <c r="R284" s="13" t="n">
        <v>1</v>
      </c>
      <c r="S284" s="14" t="n">
        <v>60.25</v>
      </c>
      <c r="T284" s="14" t="n">
        <v>60.24</v>
      </c>
      <c r="U284" s="26">
        <f>IF(X284&gt;='Methodology &amp; Assumptions'!$B$7, "Tier 1 Critical GIDA (Score ≥ 50.0)", IF(X284&gt;='Methodology &amp; Assumptions'!$B$8, "Tier 2 High GIDA (Score 40.0–49.9)", "Tier 3 Moderate GIDA (Score &lt; 40.0)"))</f>
        <v/>
      </c>
      <c r="V284" s="26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W284" s="28" t="n">
        <v>0.222</v>
      </c>
      <c r="X284" s="14" t="n">
        <v>50.25</v>
      </c>
      <c r="Y284" s="14">
        <f>ROUND(MIN(100, (X284/69.91)*100), 2)</f>
        <v/>
      </c>
    </row>
    <row r="285">
      <c r="A285" s="10" t="n">
        <v>2</v>
      </c>
      <c r="B285" s="10" t="n">
        <v>281</v>
      </c>
      <c r="C285" s="10" t="n">
        <v>1281</v>
      </c>
      <c r="D285" s="10" t="inlineStr">
        <is>
          <t>PH0001281</t>
        </is>
      </c>
      <c r="E285" s="26" t="inlineStr">
        <is>
          <t>V</t>
        </is>
      </c>
      <c r="F285" s="26" t="inlineStr">
        <is>
          <t>Camarines Sur</t>
        </is>
      </c>
      <c r="G285" s="26" t="inlineStr">
        <is>
          <t>Naga City</t>
        </is>
      </c>
      <c r="H285" s="26" t="inlineStr">
        <is>
          <t>San Francisco (Pob.)</t>
        </is>
      </c>
      <c r="I285" s="27" t="n">
        <v>13.633029</v>
      </c>
      <c r="J285" s="27" t="n">
        <v>123.214826</v>
      </c>
      <c r="K285" s="10" t="inlineStr">
        <is>
          <t>R</t>
        </is>
      </c>
      <c r="L285" s="12" t="n">
        <v>2195</v>
      </c>
      <c r="M285" s="14" t="n">
        <v>4.2</v>
      </c>
      <c r="N285" s="12">
        <f>ROUND(L285/M285, 0)</f>
        <v/>
      </c>
      <c r="O285" s="12">
        <f>ROUND(N285*'Methodology &amp; Assumptions'!$B$5, 0)</f>
        <v/>
      </c>
      <c r="P285" s="10" t="inlineStr">
        <is>
          <t>Single Carrier (Band n50, 100MHz TDD)</t>
        </is>
      </c>
      <c r="Q285" s="13">
        <f>ROUNDUP(O285/'Methodology &amp; Assumptions'!$B$6, 0)</f>
        <v/>
      </c>
      <c r="R285" s="13" t="n">
        <v>1</v>
      </c>
      <c r="S285" s="14" t="n">
        <v>1.77</v>
      </c>
      <c r="T285" s="14" t="n">
        <v>1.69</v>
      </c>
      <c r="U285" s="26">
        <f>IF(X285&gt;='Methodology &amp; Assumptions'!$B$7, "Tier 1 Critical GIDA (Score ≥ 50.0)", IF(X285&gt;='Methodology &amp; Assumptions'!$B$8, "Tier 2 High GIDA (Score 40.0–49.9)", "Tier 3 Moderate GIDA (Score &lt; 40.0)"))</f>
        <v/>
      </c>
      <c r="V285" s="26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W285" s="28" t="n">
        <v>0.07200000000000001</v>
      </c>
      <c r="X285" s="14" t="n">
        <v>50.25</v>
      </c>
      <c r="Y285" s="14">
        <f>ROUND(MIN(100, (X285/69.91)*100), 2)</f>
        <v/>
      </c>
    </row>
    <row r="286">
      <c r="A286" s="10" t="n">
        <v>2</v>
      </c>
      <c r="B286" s="10" t="n">
        <v>282</v>
      </c>
      <c r="C286" s="10" t="n">
        <v>1282</v>
      </c>
      <c r="D286" s="10" t="inlineStr">
        <is>
          <t>1381200018</t>
        </is>
      </c>
      <c r="E286" s="26" t="inlineStr">
        <is>
          <t>National Capital Region (NCR)</t>
        </is>
      </c>
      <c r="F286" s="26" t="inlineStr">
        <is>
          <t>Second District (Not a Province)</t>
        </is>
      </c>
      <c r="G286" s="26" t="inlineStr">
        <is>
          <t>City of Pasig</t>
        </is>
      </c>
      <c r="H286" s="26" t="inlineStr">
        <is>
          <t>Sagad</t>
        </is>
      </c>
      <c r="I286" s="27" t="n">
        <v>14.566124</v>
      </c>
      <c r="J286" s="27" t="n">
        <v>121.07961</v>
      </c>
      <c r="K286" s="10" t="inlineStr">
        <is>
          <t>U</t>
        </is>
      </c>
      <c r="L286" s="12" t="n">
        <v>6411</v>
      </c>
      <c r="M286" s="14" t="n">
        <v>3.4</v>
      </c>
      <c r="N286" s="12">
        <f>ROUND(L286/M286, 0)</f>
        <v/>
      </c>
      <c r="O286" s="12">
        <f>ROUND(N286*'Methodology &amp; Assumptions'!$B$5, 0)</f>
        <v/>
      </c>
      <c r="P286" s="10" t="inlineStr">
        <is>
          <t>Single Carrier (Band n50, 100MHz TDD)</t>
        </is>
      </c>
      <c r="Q286" s="13">
        <f>ROUNDUP(O286/'Methodology &amp; Assumptions'!$B$6, 0)</f>
        <v/>
      </c>
      <c r="R286" s="13" t="n">
        <v>1</v>
      </c>
      <c r="S286" s="14" t="n">
        <v>0.62</v>
      </c>
      <c r="T286" s="14" t="n">
        <v>0.32</v>
      </c>
      <c r="U286" s="26">
        <f>IF(X286&gt;='Methodology &amp; Assumptions'!$B$7, "Tier 1 Critical GIDA (Score ≥ 50.0)", IF(X286&gt;='Methodology &amp; Assumptions'!$B$8, "Tier 2 High GIDA (Score 40.0–49.9)", "Tier 3 Moderate GIDA (Score &lt; 40.0)"))</f>
        <v/>
      </c>
      <c r="V286" s="26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W286" s="28" t="n">
        <v>0.109</v>
      </c>
      <c r="X286" s="14" t="n">
        <v>50.24</v>
      </c>
      <c r="Y286" s="14">
        <f>ROUND(MIN(100, (X286/69.91)*100), 2)</f>
        <v/>
      </c>
    </row>
    <row r="287">
      <c r="A287" s="10" t="n">
        <v>2</v>
      </c>
      <c r="B287" s="10" t="n">
        <v>283</v>
      </c>
      <c r="C287" s="10" t="n">
        <v>1283</v>
      </c>
      <c r="D287" s="10" t="inlineStr">
        <is>
          <t>0501610012</t>
        </is>
      </c>
      <c r="E287" s="26" t="inlineStr">
        <is>
          <t>Region V (Bicol Region)</t>
        </is>
      </c>
      <c r="F287" s="26" t="inlineStr">
        <is>
          <t>Camarines Norte</t>
        </is>
      </c>
      <c r="G287" s="26" t="inlineStr">
        <is>
          <t>Santa Elena</t>
        </is>
      </c>
      <c r="H287" s="26" t="inlineStr">
        <is>
          <t>Guitol</t>
        </is>
      </c>
      <c r="I287" s="27" t="n">
        <v>14.104294</v>
      </c>
      <c r="J287" s="27" t="n">
        <v>122.406717</v>
      </c>
      <c r="K287" s="10" t="inlineStr">
        <is>
          <t>R</t>
        </is>
      </c>
      <c r="L287" s="12" t="n">
        <v>378</v>
      </c>
      <c r="M287" s="14" t="n">
        <v>4</v>
      </c>
      <c r="N287" s="12">
        <f>ROUND(L287/M287, 0)</f>
        <v/>
      </c>
      <c r="O287" s="12">
        <f>ROUND(N287*'Methodology &amp; Assumptions'!$B$5, 0)</f>
        <v/>
      </c>
      <c r="P287" s="10" t="inlineStr">
        <is>
          <t>Single Carrier (Band n50, 100MHz TDD)</t>
        </is>
      </c>
      <c r="Q287" s="13">
        <f>ROUNDUP(O287/'Methodology &amp; Assumptions'!$B$6, 0)</f>
        <v/>
      </c>
      <c r="R287" s="13" t="n">
        <v>1</v>
      </c>
      <c r="S287" s="14" t="n">
        <v>5</v>
      </c>
      <c r="T287" s="14" t="n">
        <v>2.76</v>
      </c>
      <c r="U287" s="26">
        <f>IF(X287&gt;='Methodology &amp; Assumptions'!$B$7, "Tier 1 Critical GIDA (Score ≥ 50.0)", IF(X287&gt;='Methodology &amp; Assumptions'!$B$8, "Tier 2 High GIDA (Score 40.0–49.9)", "Tier 3 Moderate GIDA (Score &lt; 40.0)"))</f>
        <v/>
      </c>
      <c r="V287" s="26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W287" s="28" t="n">
        <v>0.237</v>
      </c>
      <c r="X287" s="14" t="n">
        <v>50.24</v>
      </c>
      <c r="Y287" s="14">
        <f>ROUND(MIN(100, (X287/69.91)*100), 2)</f>
        <v/>
      </c>
    </row>
    <row r="288">
      <c r="A288" s="10" t="n">
        <v>2</v>
      </c>
      <c r="B288" s="10" t="n">
        <v>284</v>
      </c>
      <c r="C288" s="10" t="n">
        <v>1284</v>
      </c>
      <c r="D288" s="10" t="inlineStr">
        <is>
          <t>1108601015</t>
        </is>
      </c>
      <c r="E288" s="26" t="inlineStr">
        <is>
          <t>Region XI (Davao Region)</t>
        </is>
      </c>
      <c r="F288" s="26" t="inlineStr">
        <is>
          <t>Davao Occidental</t>
        </is>
      </c>
      <c r="G288" s="26" t="inlineStr">
        <is>
          <t>Don Marcelino</t>
        </is>
      </c>
      <c r="H288" s="26" t="inlineStr">
        <is>
          <t>West Lamidan</t>
        </is>
      </c>
      <c r="I288" s="27" t="n">
        <v>6.092337</v>
      </c>
      <c r="J288" s="27" t="n">
        <v>125.655081</v>
      </c>
      <c r="K288" s="10" t="inlineStr">
        <is>
          <t>R</t>
        </is>
      </c>
      <c r="L288" s="12" t="n">
        <v>3216</v>
      </c>
      <c r="M288" s="14" t="n">
        <v>3.6</v>
      </c>
      <c r="N288" s="12">
        <f>ROUND(L288/M288, 0)</f>
        <v/>
      </c>
      <c r="O288" s="12">
        <f>ROUND(N288*'Methodology &amp; Assumptions'!$B$5, 0)</f>
        <v/>
      </c>
      <c r="P288" s="10" t="inlineStr">
        <is>
          <t>Single Carrier (Band n50, 100MHz TDD)</t>
        </is>
      </c>
      <c r="Q288" s="13">
        <f>ROUNDUP(O288/'Methodology &amp; Assumptions'!$B$6, 0)</f>
        <v/>
      </c>
      <c r="R288" s="13" t="n">
        <v>1</v>
      </c>
      <c r="S288" s="14" t="n">
        <v>41.72</v>
      </c>
      <c r="T288" s="14" t="n">
        <v>47.04</v>
      </c>
      <c r="U288" s="26">
        <f>IF(X288&gt;='Methodology &amp; Assumptions'!$B$7, "Tier 1 Critical GIDA (Score ≥ 50.0)", IF(X288&gt;='Methodology &amp; Assumptions'!$B$8, "Tier 2 High GIDA (Score 40.0–49.9)", "Tier 3 Moderate GIDA (Score &lt; 40.0)"))</f>
        <v/>
      </c>
      <c r="V288" s="26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W288" s="28" t="n">
        <v>0.174</v>
      </c>
      <c r="X288" s="14" t="n">
        <v>50.24</v>
      </c>
      <c r="Y288" s="14">
        <f>ROUND(MIN(100, (X288/69.91)*100), 2)</f>
        <v/>
      </c>
    </row>
    <row r="289">
      <c r="A289" s="10" t="n">
        <v>2</v>
      </c>
      <c r="B289" s="10" t="n">
        <v>285</v>
      </c>
      <c r="C289" s="10" t="n">
        <v>1285</v>
      </c>
      <c r="D289" s="10" t="inlineStr">
        <is>
          <t>1004206006</t>
        </is>
      </c>
      <c r="E289" s="26" t="inlineStr">
        <is>
          <t>Region X (Northern Mindanao)</t>
        </is>
      </c>
      <c r="F289" s="26" t="inlineStr">
        <is>
          <t>Misamis Occidental</t>
        </is>
      </c>
      <c r="G289" s="26" t="inlineStr">
        <is>
          <t>Concepcion</t>
        </is>
      </c>
      <c r="H289" s="26" t="inlineStr">
        <is>
          <t>Lingatongan</t>
        </is>
      </c>
      <c r="I289" s="27" t="n">
        <v>8.404484</v>
      </c>
      <c r="J289" s="27" t="n">
        <v>123.592331</v>
      </c>
      <c r="K289" s="10" t="inlineStr">
        <is>
          <t>R</t>
        </is>
      </c>
      <c r="L289" s="12" t="n">
        <v>246</v>
      </c>
      <c r="M289" s="14" t="n">
        <v>3.9</v>
      </c>
      <c r="N289" s="12">
        <f>ROUND(L289/M289, 0)</f>
        <v/>
      </c>
      <c r="O289" s="12">
        <f>ROUND(N289*'Methodology &amp; Assumptions'!$B$5, 0)</f>
        <v/>
      </c>
      <c r="P289" s="10" t="inlineStr">
        <is>
          <t>Single Carrier (Band n50, 100MHz TDD)</t>
        </is>
      </c>
      <c r="Q289" s="13">
        <f>ROUNDUP(O289/'Methodology &amp; Assumptions'!$B$6, 0)</f>
        <v/>
      </c>
      <c r="R289" s="13" t="n">
        <v>1</v>
      </c>
      <c r="S289" s="14" t="n">
        <v>46.2</v>
      </c>
      <c r="T289" s="14" t="n">
        <v>43.74</v>
      </c>
      <c r="U289" s="26">
        <f>IF(X289&gt;='Methodology &amp; Assumptions'!$B$7, "Tier 1 Critical GIDA (Score ≥ 50.0)", IF(X289&gt;='Methodology &amp; Assumptions'!$B$8, "Tier 2 High GIDA (Score 40.0–49.9)", "Tier 3 Moderate GIDA (Score &lt; 40.0)"))</f>
        <v/>
      </c>
      <c r="V289" s="26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W289" s="28" t="n">
        <v>0.174</v>
      </c>
      <c r="X289" s="14" t="n">
        <v>50.24</v>
      </c>
      <c r="Y289" s="14">
        <f>ROUND(MIN(100, (X289/69.91)*100), 2)</f>
        <v/>
      </c>
    </row>
    <row r="290">
      <c r="A290" s="10" t="n">
        <v>2</v>
      </c>
      <c r="B290" s="10" t="n">
        <v>286</v>
      </c>
      <c r="C290" s="10" t="n">
        <v>1286</v>
      </c>
      <c r="D290" s="10" t="inlineStr">
        <is>
          <t>1400125009</t>
        </is>
      </c>
      <c r="E290" s="26" t="inlineStr">
        <is>
          <t>Cordillera Administrative Region (CAR)</t>
        </is>
      </c>
      <c r="F290" s="26" t="inlineStr">
        <is>
          <t>Abra</t>
        </is>
      </c>
      <c r="G290" s="26" t="inlineStr">
        <is>
          <t>Tineg</t>
        </is>
      </c>
      <c r="H290" s="26" t="inlineStr">
        <is>
          <t>Lapat-Balantay</t>
        </is>
      </c>
      <c r="I290" s="27" t="n">
        <v>17.76397</v>
      </c>
      <c r="J290" s="27" t="n">
        <v>120.928589</v>
      </c>
      <c r="K290" s="10" t="inlineStr">
        <is>
          <t>R</t>
        </is>
      </c>
      <c r="L290" s="12" t="n">
        <v>389</v>
      </c>
      <c r="M290" s="14" t="n">
        <v>3.8</v>
      </c>
      <c r="N290" s="12">
        <f>ROUND(L290/M290, 0)</f>
        <v/>
      </c>
      <c r="O290" s="12">
        <f>ROUND(N290*'Methodology &amp; Assumptions'!$B$5, 0)</f>
        <v/>
      </c>
      <c r="P290" s="10" t="inlineStr">
        <is>
          <t>Single Carrier (Band n50, 100MHz TDD)</t>
        </is>
      </c>
      <c r="Q290" s="13">
        <f>ROUNDUP(O290/'Methodology &amp; Assumptions'!$B$6, 0)</f>
        <v/>
      </c>
      <c r="R290" s="13" t="n">
        <v>1</v>
      </c>
      <c r="S290" s="14" t="n">
        <v>30</v>
      </c>
      <c r="T290" s="14" t="n">
        <v>26.27</v>
      </c>
      <c r="U290" s="26">
        <f>IF(X290&gt;='Methodology &amp; Assumptions'!$B$7, "Tier 1 Critical GIDA (Score ≥ 50.0)", IF(X290&gt;='Methodology &amp; Assumptions'!$B$8, "Tier 2 High GIDA (Score 40.0–49.9)", "Tier 3 Moderate GIDA (Score &lt; 40.0)"))</f>
        <v/>
      </c>
      <c r="V290" s="26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W290" s="28" t="n">
        <v>0.109</v>
      </c>
      <c r="X290" s="14" t="n">
        <v>50.24</v>
      </c>
      <c r="Y290" s="14">
        <f>ROUND(MIN(100, (X290/69.91)*100), 2)</f>
        <v/>
      </c>
    </row>
    <row r="291">
      <c r="A291" s="10" t="n">
        <v>2</v>
      </c>
      <c r="B291" s="10" t="n">
        <v>287</v>
      </c>
      <c r="C291" s="10" t="n">
        <v>1287</v>
      </c>
      <c r="D291" s="10" t="inlineStr">
        <is>
          <t>1705101010</t>
        </is>
      </c>
      <c r="E291" s="26" t="inlineStr">
        <is>
          <t>MIMAROPA Region</t>
        </is>
      </c>
      <c r="F291" s="26" t="inlineStr">
        <is>
          <t>Occidental Mindoro</t>
        </is>
      </c>
      <c r="G291" s="26" t="inlineStr">
        <is>
          <t>Abra De Ilog</t>
        </is>
      </c>
      <c r="H291" s="26" t="inlineStr">
        <is>
          <t>Santa Maria</t>
        </is>
      </c>
      <c r="I291" s="27" t="n">
        <v>13.422884</v>
      </c>
      <c r="J291" s="27" t="n">
        <v>120.706868</v>
      </c>
      <c r="K291" s="10" t="inlineStr">
        <is>
          <t>R</t>
        </is>
      </c>
      <c r="L291" s="12" t="n">
        <v>2156</v>
      </c>
      <c r="M291" s="14" t="n">
        <v>3.9</v>
      </c>
      <c r="N291" s="12">
        <f>ROUND(L291/M291, 0)</f>
        <v/>
      </c>
      <c r="O291" s="12">
        <f>ROUND(N291*'Methodology &amp; Assumptions'!$B$5, 0)</f>
        <v/>
      </c>
      <c r="P291" s="10" t="inlineStr">
        <is>
          <t>Single Carrier (Band n50, 100MHz TDD)</t>
        </is>
      </c>
      <c r="Q291" s="13">
        <f>ROUNDUP(O291/'Methodology &amp; Assumptions'!$B$6, 0)</f>
        <v/>
      </c>
      <c r="R291" s="13" t="n">
        <v>1</v>
      </c>
      <c r="S291" s="14" t="n">
        <v>23.29</v>
      </c>
      <c r="T291" s="14" t="n">
        <v>21.69</v>
      </c>
      <c r="U291" s="26">
        <f>IF(X291&gt;='Methodology &amp; Assumptions'!$B$7, "Tier 1 Critical GIDA (Score ≥ 50.0)", IF(X291&gt;='Methodology &amp; Assumptions'!$B$8, "Tier 2 High GIDA (Score 40.0–49.9)", "Tier 3 Moderate GIDA (Score &lt; 40.0)"))</f>
        <v/>
      </c>
      <c r="V291" s="26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W291" s="28" t="n">
        <v>0.15</v>
      </c>
      <c r="X291" s="14" t="n">
        <v>50.24</v>
      </c>
      <c r="Y291" s="14">
        <f>ROUND(MIN(100, (X291/69.91)*100), 2)</f>
        <v/>
      </c>
    </row>
    <row r="292">
      <c r="A292" s="10" t="n">
        <v>2</v>
      </c>
      <c r="B292" s="10" t="n">
        <v>288</v>
      </c>
      <c r="C292" s="10" t="n">
        <v>1288</v>
      </c>
      <c r="D292" s="10" t="inlineStr">
        <is>
          <t>PH0001288</t>
        </is>
      </c>
      <c r="E292" s="26" t="inlineStr">
        <is>
          <t>VIII</t>
        </is>
      </c>
      <c r="F292" s="26" t="inlineStr">
        <is>
          <t>Samar (Western Samar)</t>
        </is>
      </c>
      <c r="G292" s="26" t="inlineStr">
        <is>
          <t>Calbayog City</t>
        </is>
      </c>
      <c r="H292" s="26" t="inlineStr">
        <is>
          <t>Longsob</t>
        </is>
      </c>
      <c r="I292" s="27" t="n">
        <v>12.15537</v>
      </c>
      <c r="J292" s="27" t="n">
        <v>124.52632</v>
      </c>
      <c r="K292" s="10" t="inlineStr">
        <is>
          <t>R</t>
        </is>
      </c>
      <c r="L292" s="12" t="n">
        <v>2229</v>
      </c>
      <c r="M292" s="14" t="n">
        <v>4.1</v>
      </c>
      <c r="N292" s="12">
        <f>ROUND(L292/M292, 0)</f>
        <v/>
      </c>
      <c r="O292" s="12">
        <f>ROUND(N292*'Methodology &amp; Assumptions'!$B$5, 0)</f>
        <v/>
      </c>
      <c r="P292" s="10" t="inlineStr">
        <is>
          <t>Single Carrier (Band n50, 100MHz TDD)</t>
        </is>
      </c>
      <c r="Q292" s="13">
        <f>ROUNDUP(O292/'Methodology &amp; Assumptions'!$B$6, 0)</f>
        <v/>
      </c>
      <c r="R292" s="13" t="n">
        <v>1</v>
      </c>
      <c r="S292" s="14" t="n">
        <v>68.04000000000001</v>
      </c>
      <c r="T292" s="14" t="n">
        <v>68.03</v>
      </c>
      <c r="U292" s="26">
        <f>IF(X292&gt;='Methodology &amp; Assumptions'!$B$7, "Tier 1 Critical GIDA (Score ≥ 50.0)", IF(X292&gt;='Methodology &amp; Assumptions'!$B$8, "Tier 2 High GIDA (Score 40.0–49.9)", "Tier 3 Moderate GIDA (Score &lt; 40.0)"))</f>
        <v/>
      </c>
      <c r="V292" s="26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W292" s="28" t="n">
        <v>0.222</v>
      </c>
      <c r="X292" s="14" t="n">
        <v>50.24</v>
      </c>
      <c r="Y292" s="14">
        <f>ROUND(MIN(100, (X292/69.91)*100), 2)</f>
        <v/>
      </c>
    </row>
    <row r="293">
      <c r="A293" s="10" t="n">
        <v>2</v>
      </c>
      <c r="B293" s="10" t="n">
        <v>289</v>
      </c>
      <c r="C293" s="10" t="n">
        <v>1289</v>
      </c>
      <c r="D293" s="10" t="inlineStr">
        <is>
          <t>0504120006</t>
        </is>
      </c>
      <c r="E293" s="26" t="inlineStr">
        <is>
          <t>Region V (Bicol Region)</t>
        </is>
      </c>
      <c r="F293" s="26" t="inlineStr">
        <is>
          <t>Masbate</t>
        </is>
      </c>
      <c r="G293" s="26" t="inlineStr">
        <is>
          <t>San Pascual</t>
        </is>
      </c>
      <c r="H293" s="26" t="inlineStr">
        <is>
          <t>Iniwaran</t>
        </is>
      </c>
      <c r="I293" s="27" t="n">
        <v>13.15336</v>
      </c>
      <c r="J293" s="27" t="n">
        <v>122.873308</v>
      </c>
      <c r="K293" s="10" t="inlineStr">
        <is>
          <t>R</t>
        </is>
      </c>
      <c r="L293" s="12" t="n">
        <v>2365</v>
      </c>
      <c r="M293" s="14" t="n">
        <v>4.1</v>
      </c>
      <c r="N293" s="12">
        <f>ROUND(L293/M293, 0)</f>
        <v/>
      </c>
      <c r="O293" s="12">
        <f>ROUND(N293*'Methodology &amp; Assumptions'!$B$5, 0)</f>
        <v/>
      </c>
      <c r="P293" s="10" t="inlineStr">
        <is>
          <t>Single Carrier (Band n50, 100MHz TDD)</t>
        </is>
      </c>
      <c r="Q293" s="13">
        <f>ROUNDUP(O293/'Methodology &amp; Assumptions'!$B$6, 0)</f>
        <v/>
      </c>
      <c r="R293" s="13" t="n">
        <v>1</v>
      </c>
      <c r="S293" s="14" t="n">
        <v>20.86</v>
      </c>
      <c r="T293" s="14" t="n">
        <v>42.67</v>
      </c>
      <c r="U293" s="26">
        <f>IF(X293&gt;='Methodology &amp; Assumptions'!$B$7, "Tier 1 Critical GIDA (Score ≥ 50.0)", IF(X293&gt;='Methodology &amp; Assumptions'!$B$8, "Tier 2 High GIDA (Score 40.0–49.9)", "Tier 3 Moderate GIDA (Score &lt; 40.0)"))</f>
        <v/>
      </c>
      <c r="V293" s="26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W293" s="28" t="n">
        <v>0.237</v>
      </c>
      <c r="X293" s="14" t="n">
        <v>50.23</v>
      </c>
      <c r="Y293" s="14">
        <f>ROUND(MIN(100, (X293/69.91)*100), 2)</f>
        <v/>
      </c>
    </row>
    <row r="294">
      <c r="A294" s="10" t="n">
        <v>2</v>
      </c>
      <c r="B294" s="10" t="n">
        <v>290</v>
      </c>
      <c r="C294" s="10" t="n">
        <v>1290</v>
      </c>
      <c r="D294" s="10" t="inlineStr">
        <is>
          <t>0102908010</t>
        </is>
      </c>
      <c r="E294" s="26" t="inlineStr">
        <is>
          <t>Region I (Ilocos Region)</t>
        </is>
      </c>
      <c r="F294" s="26" t="inlineStr">
        <is>
          <t>Ilocos Sur</t>
        </is>
      </c>
      <c r="G294" s="26" t="inlineStr">
        <is>
          <t>Cervantes</t>
        </is>
      </c>
      <c r="H294" s="26" t="inlineStr">
        <is>
          <t>Pilipil</t>
        </is>
      </c>
      <c r="I294" s="27" t="n">
        <v>16.939577</v>
      </c>
      <c r="J294" s="27" t="n">
        <v>120.757431</v>
      </c>
      <c r="K294" s="10" t="inlineStr">
        <is>
          <t>R</t>
        </is>
      </c>
      <c r="L294" s="12" t="n">
        <v>502</v>
      </c>
      <c r="M294" s="14" t="n">
        <v>3.8</v>
      </c>
      <c r="N294" s="12">
        <f>ROUND(L294/M294, 0)</f>
        <v/>
      </c>
      <c r="O294" s="12">
        <f>ROUND(N294*'Methodology &amp; Assumptions'!$B$5, 0)</f>
        <v/>
      </c>
      <c r="P294" s="10" t="inlineStr">
        <is>
          <t>Single Carrier (Band n50, 100MHz TDD)</t>
        </is>
      </c>
      <c r="Q294" s="13">
        <f>ROUNDUP(O294/'Methodology &amp; Assumptions'!$B$6, 0)</f>
        <v/>
      </c>
      <c r="R294" s="13" t="n">
        <v>1</v>
      </c>
      <c r="S294" s="14" t="n">
        <v>6.22</v>
      </c>
      <c r="T294" s="14" t="n">
        <v>0.14</v>
      </c>
      <c r="U294" s="26">
        <f>IF(X294&gt;='Methodology &amp; Assumptions'!$B$7, "Tier 1 Critical GIDA (Score ≥ 50.0)", IF(X294&gt;='Methodology &amp; Assumptions'!$B$8, "Tier 2 High GIDA (Score 40.0–49.9)", "Tier 3 Moderate GIDA (Score &lt; 40.0)"))</f>
        <v/>
      </c>
      <c r="V294" s="26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W294" s="28" t="n">
        <v>0.083</v>
      </c>
      <c r="X294" s="14" t="n">
        <v>50.23</v>
      </c>
      <c r="Y294" s="14">
        <f>ROUND(MIN(100, (X294/69.91)*100), 2)</f>
        <v/>
      </c>
    </row>
    <row r="295">
      <c r="A295" s="10" t="n">
        <v>2</v>
      </c>
      <c r="B295" s="10" t="n">
        <v>291</v>
      </c>
      <c r="C295" s="10" t="n">
        <v>1291</v>
      </c>
      <c r="D295" s="10" t="inlineStr">
        <is>
          <t>0102934007</t>
        </is>
      </c>
      <c r="E295" s="26" t="inlineStr">
        <is>
          <t>Region I (Ilocos Region)</t>
        </is>
      </c>
      <c r="F295" s="26" t="inlineStr">
        <is>
          <t>Ilocos Sur</t>
        </is>
      </c>
      <c r="G295" s="26" t="inlineStr">
        <is>
          <t>City of Vigan</t>
        </is>
      </c>
      <c r="H295" s="26" t="inlineStr">
        <is>
          <t>Barangay V</t>
        </is>
      </c>
      <c r="I295" s="27" t="n">
        <v>17.565837</v>
      </c>
      <c r="J295" s="27" t="n">
        <v>120.378362</v>
      </c>
      <c r="K295" s="10" t="inlineStr">
        <is>
          <t>U</t>
        </is>
      </c>
      <c r="L295" s="12" t="n">
        <v>706</v>
      </c>
      <c r="M295" s="14" t="n">
        <v>3.8</v>
      </c>
      <c r="N295" s="12">
        <f>ROUND(L295/M295, 0)</f>
        <v/>
      </c>
      <c r="O295" s="12">
        <f>ROUND(N295*'Methodology &amp; Assumptions'!$B$5, 0)</f>
        <v/>
      </c>
      <c r="P295" s="10" t="inlineStr">
        <is>
          <t>Single Carrier (Band n50, 100MHz TDD)</t>
        </is>
      </c>
      <c r="Q295" s="13">
        <f>ROUNDUP(O295/'Methodology &amp; Assumptions'!$B$6, 0)</f>
        <v/>
      </c>
      <c r="R295" s="13" t="n">
        <v>1</v>
      </c>
      <c r="S295" s="14" t="n">
        <v>3.34</v>
      </c>
      <c r="T295" s="14" t="n">
        <v>2.14</v>
      </c>
      <c r="U295" s="26">
        <f>IF(X295&gt;='Methodology &amp; Assumptions'!$B$7, "Tier 1 Critical GIDA (Score ≥ 50.0)", IF(X295&gt;='Methodology &amp; Assumptions'!$B$8, "Tier 2 High GIDA (Score 40.0–49.9)", "Tier 3 Moderate GIDA (Score &lt; 40.0)"))</f>
        <v/>
      </c>
      <c r="V295" s="26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W295" s="28" t="n">
        <v>0.083</v>
      </c>
      <c r="X295" s="14" t="n">
        <v>50.23</v>
      </c>
      <c r="Y295" s="14">
        <f>ROUND(MIN(100, (X295/69.91)*100), 2)</f>
        <v/>
      </c>
    </row>
    <row r="296">
      <c r="A296" s="10" t="n">
        <v>2</v>
      </c>
      <c r="B296" s="10" t="n">
        <v>292</v>
      </c>
      <c r="C296" s="10" t="n">
        <v>1292</v>
      </c>
      <c r="D296" s="10" t="inlineStr">
        <is>
          <t>1108601013</t>
        </is>
      </c>
      <c r="E296" s="26" t="inlineStr">
        <is>
          <t>Region XI (Davao Region)</t>
        </is>
      </c>
      <c r="F296" s="26" t="inlineStr">
        <is>
          <t>Davao Occidental</t>
        </is>
      </c>
      <c r="G296" s="26" t="inlineStr">
        <is>
          <t>Don Marcelino</t>
        </is>
      </c>
      <c r="H296" s="26" t="inlineStr">
        <is>
          <t>Mabuhay</t>
        </is>
      </c>
      <c r="I296" s="27" t="n">
        <v>6.234776</v>
      </c>
      <c r="J296" s="27" t="n">
        <v>125.691247</v>
      </c>
      <c r="K296" s="10" t="inlineStr">
        <is>
          <t>R</t>
        </is>
      </c>
      <c r="L296" s="12" t="n">
        <v>2305</v>
      </c>
      <c r="M296" s="14" t="n">
        <v>3.6</v>
      </c>
      <c r="N296" s="12">
        <f>ROUND(L296/M296, 0)</f>
        <v/>
      </c>
      <c r="O296" s="12">
        <f>ROUND(N296*'Methodology &amp; Assumptions'!$B$5, 0)</f>
        <v/>
      </c>
      <c r="P296" s="10" t="inlineStr">
        <is>
          <t>Single Carrier (Band n50, 100MHz TDD)</t>
        </is>
      </c>
      <c r="Q296" s="13">
        <f>ROUNDUP(O296/'Methodology &amp; Assumptions'!$B$6, 0)</f>
        <v/>
      </c>
      <c r="R296" s="13" t="n">
        <v>1</v>
      </c>
      <c r="S296" s="14" t="n">
        <v>47.91</v>
      </c>
      <c r="T296" s="14" t="n">
        <v>47.16</v>
      </c>
      <c r="U296" s="26">
        <f>IF(X296&gt;='Methodology &amp; Assumptions'!$B$7, "Tier 1 Critical GIDA (Score ≥ 50.0)", IF(X296&gt;='Methodology &amp; Assumptions'!$B$8, "Tier 2 High GIDA (Score 40.0–49.9)", "Tier 3 Moderate GIDA (Score &lt; 40.0)"))</f>
        <v/>
      </c>
      <c r="V296" s="26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W296" s="28" t="n">
        <v>0.174</v>
      </c>
      <c r="X296" s="14" t="n">
        <v>50.23</v>
      </c>
      <c r="Y296" s="14">
        <f>ROUND(MIN(100, (X296/69.91)*100), 2)</f>
        <v/>
      </c>
    </row>
    <row r="297">
      <c r="A297" s="10" t="n">
        <v>2</v>
      </c>
      <c r="B297" s="10" t="n">
        <v>293</v>
      </c>
      <c r="C297" s="10" t="n">
        <v>1293</v>
      </c>
      <c r="D297" s="10" t="inlineStr">
        <is>
          <t>1380611017</t>
        </is>
      </c>
      <c r="E297" s="26" t="inlineStr">
        <is>
          <t>National Capital Region (NCR)</t>
        </is>
      </c>
      <c r="F297" s="26" t="inlineStr">
        <is>
          <t>First District (Not a Province)</t>
        </is>
      </c>
      <c r="G297" s="26" t="inlineStr">
        <is>
          <t>City of Manila</t>
        </is>
      </c>
      <c r="H297" s="26" t="inlineStr">
        <is>
          <t>Barangay 683</t>
        </is>
      </c>
      <c r="I297" s="27" t="n">
        <v>12.748333</v>
      </c>
      <c r="J297" s="27" t="n">
        <v>122.007407</v>
      </c>
      <c r="K297" s="10" t="inlineStr">
        <is>
          <t>U</t>
        </is>
      </c>
      <c r="L297" s="12" t="n">
        <v>808</v>
      </c>
      <c r="M297" s="14" t="n">
        <v>3.9</v>
      </c>
      <c r="N297" s="12">
        <f>ROUND(L297/M297, 0)</f>
        <v/>
      </c>
      <c r="O297" s="12">
        <f>ROUND(N297*'Methodology &amp; Assumptions'!$B$5, 0)</f>
        <v/>
      </c>
      <c r="P297" s="10" t="inlineStr">
        <is>
          <t>Single Carrier (Band n50, 100MHz TDD)</t>
        </is>
      </c>
      <c r="Q297" s="13">
        <f>ROUNDUP(O297/'Methodology &amp; Assumptions'!$B$6, 0)</f>
        <v/>
      </c>
      <c r="R297" s="13" t="n">
        <v>1</v>
      </c>
      <c r="S297" s="14" t="n">
        <v>51.98</v>
      </c>
      <c r="T297" s="14" t="n">
        <v>48.69</v>
      </c>
      <c r="U297" s="26">
        <f>IF(X297&gt;='Methodology &amp; Assumptions'!$B$7, "Tier 1 Critical GIDA (Score ≥ 50.0)", IF(X297&gt;='Methodology &amp; Assumptions'!$B$8, "Tier 2 High GIDA (Score 40.0–49.9)", "Tier 3 Moderate GIDA (Score &lt; 40.0)"))</f>
        <v/>
      </c>
      <c r="V297" s="26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W297" s="28" t="n">
        <v>0.109</v>
      </c>
      <c r="X297" s="14" t="n">
        <v>50.23</v>
      </c>
      <c r="Y297" s="14">
        <f>ROUND(MIN(100, (X297/69.91)*100), 2)</f>
        <v/>
      </c>
    </row>
    <row r="298">
      <c r="A298" s="10" t="n">
        <v>2</v>
      </c>
      <c r="B298" s="10" t="n">
        <v>294</v>
      </c>
      <c r="C298" s="10" t="n">
        <v>1294</v>
      </c>
      <c r="D298" s="10" t="inlineStr">
        <is>
          <t>0401033016</t>
        </is>
      </c>
      <c r="E298" s="26" t="inlineStr">
        <is>
          <t>Region IV-A (CALABARZON)</t>
        </is>
      </c>
      <c r="F298" s="26" t="inlineStr">
        <is>
          <t>Batangas</t>
        </is>
      </c>
      <c r="G298" s="26" t="inlineStr">
        <is>
          <t>Tingloy</t>
        </is>
      </c>
      <c r="H298" s="26" t="inlineStr">
        <is>
          <t>Talahib</t>
        </is>
      </c>
      <c r="I298" s="27" t="n">
        <v>13.656827</v>
      </c>
      <c r="J298" s="27" t="n">
        <v>120.908492</v>
      </c>
      <c r="K298" s="10" t="inlineStr">
        <is>
          <t>R</t>
        </is>
      </c>
      <c r="L298" s="12" t="n">
        <v>1100</v>
      </c>
      <c r="M298" s="14" t="n">
        <v>3.6</v>
      </c>
      <c r="N298" s="12">
        <f>ROUND(L298/M298, 0)</f>
        <v/>
      </c>
      <c r="O298" s="12">
        <f>ROUND(N298*'Methodology &amp; Assumptions'!$B$5, 0)</f>
        <v/>
      </c>
      <c r="P298" s="10" t="inlineStr">
        <is>
          <t>Single Carrier (Band n50, 100MHz TDD)</t>
        </is>
      </c>
      <c r="Q298" s="13">
        <f>ROUNDUP(O298/'Methodology &amp; Assumptions'!$B$6, 0)</f>
        <v/>
      </c>
      <c r="R298" s="13" t="n">
        <v>1</v>
      </c>
      <c r="S298" s="14" t="n">
        <v>3.9</v>
      </c>
      <c r="T298" s="14" t="n">
        <v>16.72</v>
      </c>
      <c r="U298" s="26">
        <f>IF(X298&gt;='Methodology &amp; Assumptions'!$B$7, "Tier 1 Critical GIDA (Score ≥ 50.0)", IF(X298&gt;='Methodology &amp; Assumptions'!$B$8, "Tier 2 High GIDA (Score 40.0–49.9)", "Tier 3 Moderate GIDA (Score &lt; 40.0)"))</f>
        <v/>
      </c>
      <c r="V298" s="26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W298" s="28" t="n">
        <v>0.07200000000000001</v>
      </c>
      <c r="X298" s="14" t="n">
        <v>50.23</v>
      </c>
      <c r="Y298" s="14">
        <f>ROUND(MIN(100, (X298/69.91)*100), 2)</f>
        <v/>
      </c>
    </row>
    <row r="299">
      <c r="A299" s="10" t="n">
        <v>2</v>
      </c>
      <c r="B299" s="10" t="n">
        <v>295</v>
      </c>
      <c r="C299" s="10" t="n">
        <v>1295</v>
      </c>
      <c r="D299" s="10" t="inlineStr">
        <is>
          <t>0907315018</t>
        </is>
      </c>
      <c r="E299" s="26" t="inlineStr">
        <is>
          <t>Region IX (Zamboanga Peninsula)</t>
        </is>
      </c>
      <c r="F299" s="26" t="inlineStr">
        <is>
          <t>Zamboanga del Sur</t>
        </is>
      </c>
      <c r="G299" s="26" t="inlineStr">
        <is>
          <t>Mahayag</t>
        </is>
      </c>
      <c r="H299" s="26" t="inlineStr">
        <is>
          <t>Paraiso</t>
        </is>
      </c>
      <c r="I299" s="27" t="n">
        <v>8.222488999999999</v>
      </c>
      <c r="J299" s="27" t="n">
        <v>123.413176</v>
      </c>
      <c r="K299" s="10" t="inlineStr">
        <is>
          <t>R</t>
        </is>
      </c>
      <c r="L299" s="12" t="n">
        <v>912</v>
      </c>
      <c r="M299" s="14" t="n">
        <v>3.9</v>
      </c>
      <c r="N299" s="12">
        <f>ROUND(L299/M299, 0)</f>
        <v/>
      </c>
      <c r="O299" s="12">
        <f>ROUND(N299*'Methodology &amp; Assumptions'!$B$5, 0)</f>
        <v/>
      </c>
      <c r="P299" s="10" t="inlineStr">
        <is>
          <t>Single Carrier (Band n50, 100MHz TDD)</t>
        </is>
      </c>
      <c r="Q299" s="13">
        <f>ROUNDUP(O299/'Methodology &amp; Assumptions'!$B$6, 0)</f>
        <v/>
      </c>
      <c r="R299" s="13" t="n">
        <v>1</v>
      </c>
      <c r="S299" s="14" t="n">
        <v>35.55</v>
      </c>
      <c r="T299" s="14" t="n">
        <v>35.41</v>
      </c>
      <c r="U299" s="26">
        <f>IF(X299&gt;='Methodology &amp; Assumptions'!$B$7, "Tier 1 Critical GIDA (Score ≥ 50.0)", IF(X299&gt;='Methodology &amp; Assumptions'!$B$8, "Tier 2 High GIDA (Score 40.0–49.9)", "Tier 3 Moderate GIDA (Score &lt; 40.0)"))</f>
        <v/>
      </c>
      <c r="V299" s="26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W299" s="28" t="n">
        <v>0.11</v>
      </c>
      <c r="X299" s="14" t="n">
        <v>50.22</v>
      </c>
      <c r="Y299" s="14">
        <f>ROUND(MIN(100, (X299/69.91)*100), 2)</f>
        <v/>
      </c>
    </row>
    <row r="300">
      <c r="A300" s="10" t="n">
        <v>2</v>
      </c>
      <c r="B300" s="10" t="n">
        <v>296</v>
      </c>
      <c r="C300" s="10" t="n">
        <v>1296</v>
      </c>
      <c r="D300" s="10" t="inlineStr">
        <is>
          <t>1102506009</t>
        </is>
      </c>
      <c r="E300" s="26" t="inlineStr">
        <is>
          <t>Region XI (Davao Region)</t>
        </is>
      </c>
      <c r="F300" s="26" t="inlineStr">
        <is>
          <t>Davao Oriental</t>
        </is>
      </c>
      <c r="G300" s="26" t="inlineStr">
        <is>
          <t>Governor Generoso</t>
        </is>
      </c>
      <c r="H300" s="26" t="inlineStr">
        <is>
          <t>Oregon</t>
        </is>
      </c>
      <c r="I300" s="27" t="n">
        <v>6.555995</v>
      </c>
      <c r="J300" s="27" t="n">
        <v>126.124583</v>
      </c>
      <c r="K300" s="10" t="inlineStr">
        <is>
          <t>R</t>
        </is>
      </c>
      <c r="L300" s="12" t="n">
        <v>1214</v>
      </c>
      <c r="M300" s="14" t="n">
        <v>3.6</v>
      </c>
      <c r="N300" s="12">
        <f>ROUND(L300/M300, 0)</f>
        <v/>
      </c>
      <c r="O300" s="12">
        <f>ROUND(N300*'Methodology &amp; Assumptions'!$B$5, 0)</f>
        <v/>
      </c>
      <c r="P300" s="10" t="inlineStr">
        <is>
          <t>Single Carrier (Band n50, 100MHz TDD)</t>
        </is>
      </c>
      <c r="Q300" s="13">
        <f>ROUNDUP(O300/'Methodology &amp; Assumptions'!$B$6, 0)</f>
        <v/>
      </c>
      <c r="R300" s="13" t="n">
        <v>1</v>
      </c>
      <c r="S300" s="14" t="n">
        <v>39.82</v>
      </c>
      <c r="T300" s="14" t="n">
        <v>35.9</v>
      </c>
      <c r="U300" s="26">
        <f>IF(X300&gt;='Methodology &amp; Assumptions'!$B$7, "Tier 1 Critical GIDA (Score ≥ 50.0)", IF(X300&gt;='Methodology &amp; Assumptions'!$B$8, "Tier 2 High GIDA (Score 40.0–49.9)", "Tier 3 Moderate GIDA (Score &lt; 40.0)"))</f>
        <v/>
      </c>
      <c r="V300" s="26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W300" s="28" t="n">
        <v>0.174</v>
      </c>
      <c r="X300" s="14" t="n">
        <v>50.22</v>
      </c>
      <c r="Y300" s="14">
        <f>ROUND(MIN(100, (X300/69.91)*100), 2)</f>
        <v/>
      </c>
    </row>
    <row r="301">
      <c r="A301" s="10" t="n">
        <v>2</v>
      </c>
      <c r="B301" s="10" t="n">
        <v>297</v>
      </c>
      <c r="C301" s="10" t="n">
        <v>1297</v>
      </c>
      <c r="D301" s="10" t="inlineStr">
        <is>
          <t>0806017037</t>
        </is>
      </c>
      <c r="E301" s="26" t="inlineStr">
        <is>
          <t>Region VIII (Eastern Visayas)</t>
        </is>
      </c>
      <c r="F301" s="26" t="inlineStr">
        <is>
          <t>Samar</t>
        </is>
      </c>
      <c r="G301" s="26" t="inlineStr">
        <is>
          <t>Santa Rita</t>
        </is>
      </c>
      <c r="H301" s="26" t="inlineStr">
        <is>
          <t>Gumamela Pob.</t>
        </is>
      </c>
      <c r="I301" s="27" t="n">
        <v>11.46325</v>
      </c>
      <c r="J301" s="27" t="n">
        <v>124.97991</v>
      </c>
      <c r="K301" s="10" t="inlineStr">
        <is>
          <t>R</t>
        </is>
      </c>
      <c r="L301" s="12" t="n">
        <v>1311</v>
      </c>
      <c r="M301" s="14" t="n">
        <v>4.1</v>
      </c>
      <c r="N301" s="12">
        <f>ROUND(L301/M301, 0)</f>
        <v/>
      </c>
      <c r="O301" s="12">
        <f>ROUND(N301*'Methodology &amp; Assumptions'!$B$5, 0)</f>
        <v/>
      </c>
      <c r="P301" s="10" t="inlineStr">
        <is>
          <t>Single Carrier (Band n50, 100MHz TDD)</t>
        </is>
      </c>
      <c r="Q301" s="13">
        <f>ROUNDUP(O301/'Methodology &amp; Assumptions'!$B$6, 0)</f>
        <v/>
      </c>
      <c r="R301" s="13" t="n">
        <v>1</v>
      </c>
      <c r="S301" s="14" t="n">
        <v>24.99</v>
      </c>
      <c r="T301" s="14" t="n">
        <v>28.07</v>
      </c>
      <c r="U301" s="26">
        <f>IF(X301&gt;='Methodology &amp; Assumptions'!$B$7, "Tier 1 Critical GIDA (Score ≥ 50.0)", IF(X301&gt;='Methodology &amp; Assumptions'!$B$8, "Tier 2 High GIDA (Score 40.0–49.9)", "Tier 3 Moderate GIDA (Score &lt; 40.0)"))</f>
        <v/>
      </c>
      <c r="V301" s="26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W301" s="28" t="n">
        <v>0.237</v>
      </c>
      <c r="X301" s="14" t="n">
        <v>50.22</v>
      </c>
      <c r="Y301" s="14">
        <f>ROUND(MIN(100, (X301/69.91)*100), 2)</f>
        <v/>
      </c>
    </row>
    <row r="302">
      <c r="A302" s="10" t="n">
        <v>2</v>
      </c>
      <c r="B302" s="10" t="n">
        <v>298</v>
      </c>
      <c r="C302" s="10" t="n">
        <v>1298</v>
      </c>
      <c r="D302" s="10" t="inlineStr">
        <is>
          <t>1004217010</t>
        </is>
      </c>
      <c r="E302" s="26" t="inlineStr">
        <is>
          <t>Region X (Northern Mindanao)</t>
        </is>
      </c>
      <c r="F302" s="26" t="inlineStr">
        <is>
          <t>Misamis Occidental</t>
        </is>
      </c>
      <c r="G302" s="26" t="inlineStr">
        <is>
          <t>Don Victoriano Chiongbian</t>
        </is>
      </c>
      <c r="H302" s="26" t="inlineStr">
        <is>
          <t>Petianan</t>
        </is>
      </c>
      <c r="I302" s="27" t="n">
        <v>8.258046</v>
      </c>
      <c r="J302" s="27" t="n">
        <v>123.587546</v>
      </c>
      <c r="K302" s="10" t="inlineStr">
        <is>
          <t>R</t>
        </is>
      </c>
      <c r="L302" s="12" t="n">
        <v>871</v>
      </c>
      <c r="M302" s="14" t="n">
        <v>3.9</v>
      </c>
      <c r="N302" s="12">
        <f>ROUND(L302/M302, 0)</f>
        <v/>
      </c>
      <c r="O302" s="12">
        <f>ROUND(N302*'Methodology &amp; Assumptions'!$B$5, 0)</f>
        <v/>
      </c>
      <c r="P302" s="10" t="inlineStr">
        <is>
          <t>Single Carrier (Band n50, 100MHz TDD)</t>
        </is>
      </c>
      <c r="Q302" s="13">
        <f>ROUNDUP(O302/'Methodology &amp; Assumptions'!$B$6, 0)</f>
        <v/>
      </c>
      <c r="R302" s="13" t="n">
        <v>1</v>
      </c>
      <c r="S302" s="14" t="n">
        <v>33.38</v>
      </c>
      <c r="T302" s="14" t="n">
        <v>32.06</v>
      </c>
      <c r="U302" s="26">
        <f>IF(X302&gt;='Methodology &amp; Assumptions'!$B$7, "Tier 1 Critical GIDA (Score ≥ 50.0)", IF(X302&gt;='Methodology &amp; Assumptions'!$B$8, "Tier 2 High GIDA (Score 40.0–49.9)", "Tier 3 Moderate GIDA (Score &lt; 40.0)"))</f>
        <v/>
      </c>
      <c r="V302" s="26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W302" s="28" t="n">
        <v>0.174</v>
      </c>
      <c r="X302" s="14" t="n">
        <v>50.22</v>
      </c>
      <c r="Y302" s="14">
        <f>ROUND(MIN(100, (X302/69.91)*100), 2)</f>
        <v/>
      </c>
    </row>
    <row r="303">
      <c r="A303" s="10" t="n">
        <v>2</v>
      </c>
      <c r="B303" s="10" t="n">
        <v>299</v>
      </c>
      <c r="C303" s="10" t="n">
        <v>1299</v>
      </c>
      <c r="D303" s="10" t="inlineStr">
        <is>
          <t>1908706013</t>
        </is>
      </c>
      <c r="E303" s="26" t="inlineStr">
        <is>
          <t>Bangsamoro Autonomous Region In Muslim Mindanao (BARMM)</t>
        </is>
      </c>
      <c r="F303" s="26" t="inlineStr">
        <is>
          <t>Maguindanao del Norte</t>
        </is>
      </c>
      <c r="G303" s="26" t="inlineStr">
        <is>
          <t>Kabuntalan</t>
        </is>
      </c>
      <c r="H303" s="26" t="inlineStr">
        <is>
          <t>Payan</t>
        </is>
      </c>
      <c r="I303" s="27" t="n">
        <v>16.501962</v>
      </c>
      <c r="J303" s="27" t="n">
        <v>122.396576</v>
      </c>
      <c r="K303" s="10" t="inlineStr">
        <is>
          <t>R</t>
        </is>
      </c>
      <c r="L303" s="12" t="n">
        <v>1470</v>
      </c>
      <c r="M303" s="14" t="n">
        <v>4.3</v>
      </c>
      <c r="N303" s="12">
        <f>ROUND(L303/M303, 0)</f>
        <v/>
      </c>
      <c r="O303" s="12">
        <f>ROUND(N303*'Methodology &amp; Assumptions'!$B$5, 0)</f>
        <v/>
      </c>
      <c r="P303" s="10" t="inlineStr">
        <is>
          <t>Single Carrier (Band n50, 100MHz TDD)</t>
        </is>
      </c>
      <c r="Q303" s="13">
        <f>ROUNDUP(O303/'Methodology &amp; Assumptions'!$B$6, 0)</f>
        <v/>
      </c>
      <c r="R303" s="13" t="n">
        <v>1</v>
      </c>
      <c r="S303" s="14" t="n">
        <v>14.38</v>
      </c>
      <c r="T303" s="14" t="n">
        <v>14.75</v>
      </c>
      <c r="U303" s="26">
        <f>IF(X303&gt;='Methodology &amp; Assumptions'!$B$7, "Tier 1 Critical GIDA (Score ≥ 50.0)", IF(X303&gt;='Methodology &amp; Assumptions'!$B$8, "Tier 2 High GIDA (Score 40.0–49.9)", "Tier 3 Moderate GIDA (Score &lt; 40.0)"))</f>
        <v/>
      </c>
      <c r="V303" s="26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W303" s="28" t="n">
        <v>0.11</v>
      </c>
      <c r="X303" s="14" t="n">
        <v>50.22</v>
      </c>
      <c r="Y303" s="14">
        <f>ROUND(MIN(100, (X303/69.91)*100), 2)</f>
        <v/>
      </c>
    </row>
    <row r="304">
      <c r="A304" s="10" t="n">
        <v>2</v>
      </c>
      <c r="B304" s="10" t="n">
        <v>300</v>
      </c>
      <c r="C304" s="10" t="n">
        <v>1300</v>
      </c>
      <c r="D304" s="10" t="inlineStr">
        <is>
          <t>0600618001</t>
        </is>
      </c>
      <c r="E304" s="26" t="inlineStr">
        <is>
          <t>Region VI (Western Visayas)</t>
        </is>
      </c>
      <c r="F304" s="26" t="inlineStr">
        <is>
          <t>Antique</t>
        </is>
      </c>
      <c r="G304" s="26" t="inlineStr">
        <is>
          <t>Valderrama</t>
        </is>
      </c>
      <c r="H304" s="26" t="inlineStr">
        <is>
          <t>Bakiang</t>
        </is>
      </c>
      <c r="I304" s="27" t="n">
        <v>11.090701</v>
      </c>
      <c r="J304" s="27" t="n">
        <v>122.180137</v>
      </c>
      <c r="K304" s="10" t="inlineStr">
        <is>
          <t>R</t>
        </is>
      </c>
      <c r="L304" s="12" t="n">
        <v>580</v>
      </c>
      <c r="M304" s="14" t="n">
        <v>3.9</v>
      </c>
      <c r="N304" s="12">
        <f>ROUND(L304/M304, 0)</f>
        <v/>
      </c>
      <c r="O304" s="12">
        <f>ROUND(N304*'Methodology &amp; Assumptions'!$B$5, 0)</f>
        <v/>
      </c>
      <c r="P304" s="10" t="inlineStr">
        <is>
          <t>Single Carrier (Band n50, 100MHz TDD)</t>
        </is>
      </c>
      <c r="Q304" s="13">
        <f>ROUNDUP(O304/'Methodology &amp; Assumptions'!$B$6, 0)</f>
        <v/>
      </c>
      <c r="R304" s="13" t="n">
        <v>1</v>
      </c>
      <c r="S304" s="14" t="n">
        <v>39.77</v>
      </c>
      <c r="T304" s="14" t="n">
        <v>38</v>
      </c>
      <c r="U304" s="26">
        <f>IF(X304&gt;='Methodology &amp; Assumptions'!$B$7, "Tier 1 Critical GIDA (Score ≥ 50.0)", IF(X304&gt;='Methodology &amp; Assumptions'!$B$8, "Tier 2 High GIDA (Score 40.0–49.9)", "Tier 3 Moderate GIDA (Score &lt; 40.0)"))</f>
        <v/>
      </c>
      <c r="V304" s="26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W304" s="28" t="n">
        <v>0.237</v>
      </c>
      <c r="X304" s="14" t="n">
        <v>50.21</v>
      </c>
      <c r="Y304" s="14">
        <f>ROUND(MIN(100, (X304/69.91)*100), 2)</f>
        <v/>
      </c>
    </row>
    <row r="305">
      <c r="A305" s="10" t="n">
        <v>2</v>
      </c>
      <c r="B305" s="10" t="n">
        <v>301</v>
      </c>
      <c r="C305" s="10" t="n">
        <v>1301</v>
      </c>
      <c r="D305" s="10" t="inlineStr">
        <is>
          <t>1004217001</t>
        </is>
      </c>
      <c r="E305" s="26" t="inlineStr">
        <is>
          <t>Region X (Northern Mindanao)</t>
        </is>
      </c>
      <c r="F305" s="26" t="inlineStr">
        <is>
          <t>Misamis Occidental</t>
        </is>
      </c>
      <c r="G305" s="26" t="inlineStr">
        <is>
          <t>Don Victoriano Chiongbian</t>
        </is>
      </c>
      <c r="H305" s="26" t="inlineStr">
        <is>
          <t>Bagong Clarin</t>
        </is>
      </c>
      <c r="I305" s="27" t="n">
        <v>8.262244000000001</v>
      </c>
      <c r="J305" s="27" t="n">
        <v>123.577828</v>
      </c>
      <c r="K305" s="10" t="inlineStr">
        <is>
          <t>R</t>
        </is>
      </c>
      <c r="L305" s="12" t="n">
        <v>750</v>
      </c>
      <c r="M305" s="14" t="n">
        <v>3.9</v>
      </c>
      <c r="N305" s="12">
        <f>ROUND(L305/M305, 0)</f>
        <v/>
      </c>
      <c r="O305" s="12">
        <f>ROUND(N305*'Methodology &amp; Assumptions'!$B$5, 0)</f>
        <v/>
      </c>
      <c r="P305" s="10" t="inlineStr">
        <is>
          <t>Single Carrier (Band n50, 100MHz TDD)</t>
        </is>
      </c>
      <c r="Q305" s="13">
        <f>ROUNDUP(O305/'Methodology &amp; Assumptions'!$B$6, 0)</f>
        <v/>
      </c>
      <c r="R305" s="13" t="n">
        <v>1</v>
      </c>
      <c r="S305" s="14" t="n">
        <v>34.44</v>
      </c>
      <c r="T305" s="14" t="n">
        <v>33.19</v>
      </c>
      <c r="U305" s="26">
        <f>IF(X305&gt;='Methodology &amp; Assumptions'!$B$7, "Tier 1 Critical GIDA (Score ≥ 50.0)", IF(X305&gt;='Methodology &amp; Assumptions'!$B$8, "Tier 2 High GIDA (Score 40.0–49.9)", "Tier 3 Moderate GIDA (Score &lt; 40.0)"))</f>
        <v/>
      </c>
      <c r="V305" s="26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W305" s="28" t="n">
        <v>0.174</v>
      </c>
      <c r="X305" s="14" t="n">
        <v>50.21</v>
      </c>
      <c r="Y305" s="14">
        <f>ROUND(MIN(100, (X305/69.91)*100), 2)</f>
        <v/>
      </c>
    </row>
    <row r="306">
      <c r="A306" s="10" t="n">
        <v>2</v>
      </c>
      <c r="B306" s="10" t="n">
        <v>302</v>
      </c>
      <c r="C306" s="10" t="n">
        <v>1302</v>
      </c>
      <c r="D306" s="10" t="inlineStr">
        <is>
          <t>0804824005</t>
        </is>
      </c>
      <c r="E306" s="26" t="inlineStr">
        <is>
          <t>Region VIII (Eastern Visayas)</t>
        </is>
      </c>
      <c r="F306" s="26" t="inlineStr">
        <is>
          <t>Northern Samar</t>
        </is>
      </c>
      <c r="G306" s="26" t="inlineStr">
        <is>
          <t>Lope De Vega</t>
        </is>
      </c>
      <c r="H306" s="26" t="inlineStr">
        <is>
          <t>Curry</t>
        </is>
      </c>
      <c r="I306" s="27" t="n">
        <v>12.32841</v>
      </c>
      <c r="J306" s="27" t="n">
        <v>124.67798</v>
      </c>
      <c r="K306" s="10" t="inlineStr">
        <is>
          <t>R</t>
        </is>
      </c>
      <c r="L306" s="12" t="n">
        <v>892</v>
      </c>
      <c r="M306" s="14" t="n">
        <v>4.3</v>
      </c>
      <c r="N306" s="12">
        <f>ROUND(L306/M306, 0)</f>
        <v/>
      </c>
      <c r="O306" s="12">
        <f>ROUND(N306*'Methodology &amp; Assumptions'!$B$5, 0)</f>
        <v/>
      </c>
      <c r="P306" s="10" t="inlineStr">
        <is>
          <t>Single Carrier (Band n50, 100MHz TDD)</t>
        </is>
      </c>
      <c r="Q306" s="13">
        <f>ROUNDUP(O306/'Methodology &amp; Assumptions'!$B$6, 0)</f>
        <v/>
      </c>
      <c r="R306" s="13" t="n">
        <v>1</v>
      </c>
      <c r="S306" s="14" t="n">
        <v>70.81999999999999</v>
      </c>
      <c r="T306" s="14" t="n">
        <v>70.81</v>
      </c>
      <c r="U306" s="26">
        <f>IF(X306&gt;='Methodology &amp; Assumptions'!$B$7, "Tier 1 Critical GIDA (Score ≥ 50.0)", IF(X306&gt;='Methodology &amp; Assumptions'!$B$8, "Tier 2 High GIDA (Score 40.0–49.9)", "Tier 3 Moderate GIDA (Score &lt; 40.0)"))</f>
        <v/>
      </c>
      <c r="V306" s="26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W306" s="28" t="n">
        <v>0.237</v>
      </c>
      <c r="X306" s="14" t="n">
        <v>50.21</v>
      </c>
      <c r="Y306" s="14">
        <f>ROUND(MIN(100, (X306/69.91)*100), 2)</f>
        <v/>
      </c>
    </row>
    <row r="307">
      <c r="A307" s="10" t="n">
        <v>2</v>
      </c>
      <c r="B307" s="10" t="n">
        <v>303</v>
      </c>
      <c r="C307" s="10" t="n">
        <v>1303</v>
      </c>
      <c r="D307" s="10" t="inlineStr">
        <is>
          <t>0907313010</t>
        </is>
      </c>
      <c r="E307" s="26" t="inlineStr">
        <is>
          <t>Region IX (Zamboanga Peninsula)</t>
        </is>
      </c>
      <c r="F307" s="26" t="inlineStr">
        <is>
          <t>Zamboanga del Sur</t>
        </is>
      </c>
      <c r="G307" s="26" t="inlineStr">
        <is>
          <t>Lapuyan</t>
        </is>
      </c>
      <c r="H307" s="26" t="inlineStr">
        <is>
          <t>Linokmadalum</t>
        </is>
      </c>
      <c r="I307" s="27" t="n">
        <v>7.670007</v>
      </c>
      <c r="J307" s="27" t="n">
        <v>123.199158</v>
      </c>
      <c r="K307" s="10" t="inlineStr">
        <is>
          <t>R</t>
        </is>
      </c>
      <c r="L307" s="12" t="n">
        <v>918</v>
      </c>
      <c r="M307" s="14" t="n">
        <v>3.9</v>
      </c>
      <c r="N307" s="12">
        <f>ROUND(L307/M307, 0)</f>
        <v/>
      </c>
      <c r="O307" s="12">
        <f>ROUND(N307*'Methodology &amp; Assumptions'!$B$5, 0)</f>
        <v/>
      </c>
      <c r="P307" s="10" t="inlineStr">
        <is>
          <t>Single Carrier (Band n50, 100MHz TDD)</t>
        </is>
      </c>
      <c r="Q307" s="13">
        <f>ROUNDUP(O307/'Methodology &amp; Assumptions'!$B$6, 0)</f>
        <v/>
      </c>
      <c r="R307" s="13" t="n">
        <v>1</v>
      </c>
      <c r="S307" s="14" t="n">
        <v>17.21</v>
      </c>
      <c r="T307" s="14" t="n">
        <v>11.47</v>
      </c>
      <c r="U307" s="26">
        <f>IF(X307&gt;='Methodology &amp; Assumptions'!$B$7, "Tier 1 Critical GIDA (Score ≥ 50.0)", IF(X307&gt;='Methodology &amp; Assumptions'!$B$8, "Tier 2 High GIDA (Score 40.0–49.9)", "Tier 3 Moderate GIDA (Score &lt; 40.0)"))</f>
        <v/>
      </c>
      <c r="V307" s="26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W307" s="28" t="n">
        <v>0.11</v>
      </c>
      <c r="X307" s="14" t="n">
        <v>50.21</v>
      </c>
      <c r="Y307" s="14">
        <f>ROUND(MIN(100, (X307/69.91)*100), 2)</f>
        <v/>
      </c>
    </row>
    <row r="308">
      <c r="A308" s="10" t="n">
        <v>2</v>
      </c>
      <c r="B308" s="10" t="n">
        <v>304</v>
      </c>
      <c r="C308" s="10" t="n">
        <v>1304</v>
      </c>
      <c r="D308" s="10" t="inlineStr">
        <is>
          <t>0804808020</t>
        </is>
      </c>
      <c r="E308" s="26" t="inlineStr">
        <is>
          <t>Region VIII (Eastern Visayas)</t>
        </is>
      </c>
      <c r="F308" s="26" t="inlineStr">
        <is>
          <t>Northern Samar</t>
        </is>
      </c>
      <c r="G308" s="26" t="inlineStr">
        <is>
          <t>Laoang</t>
        </is>
      </c>
      <c r="H308" s="26" t="inlineStr">
        <is>
          <t>Candawid</t>
        </is>
      </c>
      <c r="I308" s="27" t="n">
        <v>12.64166</v>
      </c>
      <c r="J308" s="27" t="n">
        <v>125.05849</v>
      </c>
      <c r="K308" s="10" t="inlineStr">
        <is>
          <t>R</t>
        </is>
      </c>
      <c r="L308" s="12" t="n">
        <v>776</v>
      </c>
      <c r="M308" s="14" t="n">
        <v>4.3</v>
      </c>
      <c r="N308" s="12">
        <f>ROUND(L308/M308, 0)</f>
        <v/>
      </c>
      <c r="O308" s="12">
        <f>ROUND(N308*'Methodology &amp; Assumptions'!$B$5, 0)</f>
        <v/>
      </c>
      <c r="P308" s="10" t="inlineStr">
        <is>
          <t>Single Carrier (Band n50, 100MHz TDD)</t>
        </is>
      </c>
      <c r="Q308" s="13">
        <f>ROUNDUP(O308/'Methodology &amp; Assumptions'!$B$6, 0)</f>
        <v/>
      </c>
      <c r="R308" s="13" t="n">
        <v>1</v>
      </c>
      <c r="S308" s="14" t="n">
        <v>101.01</v>
      </c>
      <c r="T308" s="14" t="n">
        <v>99.81</v>
      </c>
      <c r="U308" s="26">
        <f>IF(X308&gt;='Methodology &amp; Assumptions'!$B$7, "Tier 1 Critical GIDA (Score ≥ 50.0)", IF(X308&gt;='Methodology &amp; Assumptions'!$B$8, "Tier 2 High GIDA (Score 40.0–49.9)", "Tier 3 Moderate GIDA (Score &lt; 40.0)"))</f>
        <v/>
      </c>
      <c r="V308" s="26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W308" s="28" t="n">
        <v>0.237</v>
      </c>
      <c r="X308" s="14" t="n">
        <v>50.21</v>
      </c>
      <c r="Y308" s="14">
        <f>ROUND(MIN(100, (X308/69.91)*100), 2)</f>
        <v/>
      </c>
    </row>
    <row r="309">
      <c r="A309" s="10" t="n">
        <v>2</v>
      </c>
      <c r="B309" s="10" t="n">
        <v>305</v>
      </c>
      <c r="C309" s="10" t="n">
        <v>1305</v>
      </c>
      <c r="D309" s="10" t="inlineStr">
        <is>
          <t>0201521026</t>
        </is>
      </c>
      <c r="E309" s="26" t="inlineStr">
        <is>
          <t>Region II (Cagayan Valley)</t>
        </is>
      </c>
      <c r="F309" s="26" t="inlineStr">
        <is>
          <t>Cagayan</t>
        </is>
      </c>
      <c r="G309" s="26" t="inlineStr">
        <is>
          <t>Rizal</t>
        </is>
      </c>
      <c r="H309" s="26" t="inlineStr">
        <is>
          <t>Battut</t>
        </is>
      </c>
      <c r="I309" s="27" t="n">
        <v>17.845082</v>
      </c>
      <c r="J309" s="27" t="n">
        <v>121.398311</v>
      </c>
      <c r="K309" s="10" t="inlineStr">
        <is>
          <t>R</t>
        </is>
      </c>
      <c r="L309" s="12" t="n">
        <v>523</v>
      </c>
      <c r="M309" s="14" t="n">
        <v>3.6</v>
      </c>
      <c r="N309" s="12">
        <f>ROUND(L309/M309, 0)</f>
        <v/>
      </c>
      <c r="O309" s="12">
        <f>ROUND(N309*'Methodology &amp; Assumptions'!$B$5, 0)</f>
        <v/>
      </c>
      <c r="P309" s="10" t="inlineStr">
        <is>
          <t>Single Carrier (Band n50, 100MHz TDD)</t>
        </is>
      </c>
      <c r="Q309" s="13">
        <f>ROUNDUP(O309/'Methodology &amp; Assumptions'!$B$6, 0)</f>
        <v/>
      </c>
      <c r="R309" s="13" t="n">
        <v>1</v>
      </c>
      <c r="S309" s="14" t="n">
        <v>0.97</v>
      </c>
      <c r="T309" s="14" t="n">
        <v>8.83</v>
      </c>
      <c r="U309" s="26">
        <f>IF(X309&gt;='Methodology &amp; Assumptions'!$B$7, "Tier 1 Critical GIDA (Score ≥ 50.0)", IF(X309&gt;='Methodology &amp; Assumptions'!$B$8, "Tier 2 High GIDA (Score 40.0–49.9)", "Tier 3 Moderate GIDA (Score &lt; 40.0)"))</f>
        <v/>
      </c>
      <c r="V309" s="26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W309" s="28" t="n">
        <v>0.083</v>
      </c>
      <c r="X309" s="14" t="n">
        <v>50.21</v>
      </c>
      <c r="Y309" s="14">
        <f>ROUND(MIN(100, (X309/69.91)*100), 2)</f>
        <v/>
      </c>
    </row>
    <row r="310">
      <c r="A310" s="10" t="n">
        <v>2</v>
      </c>
      <c r="B310" s="10" t="n">
        <v>306</v>
      </c>
      <c r="C310" s="10" t="n">
        <v>1306</v>
      </c>
      <c r="D310" s="10" t="inlineStr">
        <is>
          <t>0804822013</t>
        </is>
      </c>
      <c r="E310" s="26" t="inlineStr">
        <is>
          <t>Region VIII (Eastern Visayas)</t>
        </is>
      </c>
      <c r="F310" s="26" t="inlineStr">
        <is>
          <t>Northern Samar</t>
        </is>
      </c>
      <c r="G310" s="26" t="inlineStr">
        <is>
          <t>Silvino Lobos</t>
        </is>
      </c>
      <c r="H310" s="26" t="inlineStr">
        <is>
          <t>Giguimitan</t>
        </is>
      </c>
      <c r="I310" s="27" t="n">
        <v>12.30627</v>
      </c>
      <c r="J310" s="27" t="n">
        <v>124.79925</v>
      </c>
      <c r="K310" s="10" t="inlineStr">
        <is>
          <t>R</t>
        </is>
      </c>
      <c r="L310" s="12" t="n">
        <v>423</v>
      </c>
      <c r="M310" s="14" t="n">
        <v>4.3</v>
      </c>
      <c r="N310" s="12">
        <f>ROUND(L310/M310, 0)</f>
        <v/>
      </c>
      <c r="O310" s="12">
        <f>ROUND(N310*'Methodology &amp; Assumptions'!$B$5, 0)</f>
        <v/>
      </c>
      <c r="P310" s="10" t="inlineStr">
        <is>
          <t>Single Carrier (Band n50, 100MHz TDD)</t>
        </is>
      </c>
      <c r="Q310" s="13">
        <f>ROUNDUP(O310/'Methodology &amp; Assumptions'!$B$6, 0)</f>
        <v/>
      </c>
      <c r="R310" s="13" t="n">
        <v>1</v>
      </c>
      <c r="S310" s="14" t="n">
        <v>83.92</v>
      </c>
      <c r="T310" s="14" t="n">
        <v>83.76000000000001</v>
      </c>
      <c r="U310" s="26">
        <f>IF(X310&gt;='Methodology &amp; Assumptions'!$B$7, "Tier 1 Critical GIDA (Score ≥ 50.0)", IF(X310&gt;='Methodology &amp; Assumptions'!$B$8, "Tier 2 High GIDA (Score 40.0–49.9)", "Tier 3 Moderate GIDA (Score &lt; 40.0)"))</f>
        <v/>
      </c>
      <c r="V310" s="26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W310" s="28" t="n">
        <v>0.237</v>
      </c>
      <c r="X310" s="14" t="n">
        <v>50.21</v>
      </c>
      <c r="Y310" s="14">
        <f>ROUND(MIN(100, (X310/69.91)*100), 2)</f>
        <v/>
      </c>
    </row>
    <row r="311">
      <c r="A311" s="10" t="n">
        <v>2</v>
      </c>
      <c r="B311" s="10" t="n">
        <v>307</v>
      </c>
      <c r="C311" s="10" t="n">
        <v>1307</v>
      </c>
      <c r="D311" s="10" t="inlineStr">
        <is>
          <t>0804807016</t>
        </is>
      </c>
      <c r="E311" s="26" t="inlineStr">
        <is>
          <t>Region VIII (Eastern Visayas)</t>
        </is>
      </c>
      <c r="F311" s="26" t="inlineStr">
        <is>
          <t>Northern Samar</t>
        </is>
      </c>
      <c r="G311" s="26" t="inlineStr">
        <is>
          <t>Gamay</t>
        </is>
      </c>
      <c r="H311" s="26" t="inlineStr">
        <is>
          <t>Malidong</t>
        </is>
      </c>
      <c r="I311" s="27" t="n">
        <v>12.37659</v>
      </c>
      <c r="J311" s="27" t="n">
        <v>125.22995</v>
      </c>
      <c r="K311" s="10" t="inlineStr">
        <is>
          <t>R</t>
        </is>
      </c>
      <c r="L311" s="12" t="n">
        <v>532</v>
      </c>
      <c r="M311" s="14" t="n">
        <v>4.3</v>
      </c>
      <c r="N311" s="12">
        <f>ROUND(L311/M311, 0)</f>
        <v/>
      </c>
      <c r="O311" s="12">
        <f>ROUND(N311*'Methodology &amp; Assumptions'!$B$5, 0)</f>
        <v/>
      </c>
      <c r="P311" s="10" t="inlineStr">
        <is>
          <t>Single Carrier (Band n50, 100MHz TDD)</t>
        </is>
      </c>
      <c r="Q311" s="13">
        <f>ROUNDUP(O311/'Methodology &amp; Assumptions'!$B$6, 0)</f>
        <v/>
      </c>
      <c r="R311" s="13" t="n">
        <v>1</v>
      </c>
      <c r="S311" s="14" t="n">
        <v>125.65</v>
      </c>
      <c r="T311" s="14" t="n">
        <v>124.87</v>
      </c>
      <c r="U311" s="26">
        <f>IF(X311&gt;='Methodology &amp; Assumptions'!$B$7, "Tier 1 Critical GIDA (Score ≥ 50.0)", IF(X311&gt;='Methodology &amp; Assumptions'!$B$8, "Tier 2 High GIDA (Score 40.0–49.9)", "Tier 3 Moderate GIDA (Score &lt; 40.0)"))</f>
        <v/>
      </c>
      <c r="V311" s="26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W311" s="28" t="n">
        <v>0.237</v>
      </c>
      <c r="X311" s="14" t="n">
        <v>50.21</v>
      </c>
      <c r="Y311" s="14">
        <f>ROUND(MIN(100, (X311/69.91)*100), 2)</f>
        <v/>
      </c>
    </row>
    <row r="312">
      <c r="A312" s="10" t="n">
        <v>2</v>
      </c>
      <c r="B312" s="10" t="n">
        <v>308</v>
      </c>
      <c r="C312" s="10" t="n">
        <v>1308</v>
      </c>
      <c r="D312" s="10" t="inlineStr">
        <is>
          <t>0501602017</t>
        </is>
      </c>
      <c r="E312" s="26" t="inlineStr">
        <is>
          <t>Region V (Bicol Region)</t>
        </is>
      </c>
      <c r="F312" s="26" t="inlineStr">
        <is>
          <t>Camarines Norte</t>
        </is>
      </c>
      <c r="G312" s="26" t="inlineStr">
        <is>
          <t>Capalonga</t>
        </is>
      </c>
      <c r="H312" s="26" t="inlineStr">
        <is>
          <t>San Isidro</t>
        </is>
      </c>
      <c r="I312" s="27" t="n">
        <v>14.33495</v>
      </c>
      <c r="J312" s="27" t="n">
        <v>122.532725</v>
      </c>
      <c r="K312" s="10" t="inlineStr">
        <is>
          <t>R</t>
        </is>
      </c>
      <c r="L312" s="12" t="n">
        <v>215</v>
      </c>
      <c r="M312" s="14" t="n">
        <v>4</v>
      </c>
      <c r="N312" s="12">
        <f>ROUND(L312/M312, 0)</f>
        <v/>
      </c>
      <c r="O312" s="12">
        <f>ROUND(N312*'Methodology &amp; Assumptions'!$B$5, 0)</f>
        <v/>
      </c>
      <c r="P312" s="10" t="inlineStr">
        <is>
          <t>Single Carrier (Band n50, 100MHz TDD)</t>
        </is>
      </c>
      <c r="Q312" s="13">
        <f>ROUNDUP(O312/'Methodology &amp; Assumptions'!$B$6, 0)</f>
        <v/>
      </c>
      <c r="R312" s="13" t="n">
        <v>1</v>
      </c>
      <c r="S312" s="14" t="n">
        <v>11.99</v>
      </c>
      <c r="T312" s="14" t="n">
        <v>16.45</v>
      </c>
      <c r="U312" s="26">
        <f>IF(X312&gt;='Methodology &amp; Assumptions'!$B$7, "Tier 1 Critical GIDA (Score ≥ 50.0)", IF(X312&gt;='Methodology &amp; Assumptions'!$B$8, "Tier 2 High GIDA (Score 40.0–49.9)", "Tier 3 Moderate GIDA (Score &lt; 40.0)"))</f>
        <v/>
      </c>
      <c r="V312" s="26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W312" s="28" t="n">
        <v>0.237</v>
      </c>
      <c r="X312" s="14" t="n">
        <v>50.2</v>
      </c>
      <c r="Y312" s="14">
        <f>ROUND(MIN(100, (X312/69.91)*100), 2)</f>
        <v/>
      </c>
    </row>
    <row r="313">
      <c r="A313" s="10" t="n">
        <v>2</v>
      </c>
      <c r="B313" s="10" t="n">
        <v>309</v>
      </c>
      <c r="C313" s="10" t="n">
        <v>1309</v>
      </c>
      <c r="D313" s="10" t="inlineStr">
        <is>
          <t>1404406006</t>
        </is>
      </c>
      <c r="E313" s="26" t="inlineStr">
        <is>
          <t>Cordillera Administrative Region (CAR)</t>
        </is>
      </c>
      <c r="F313" s="26" t="inlineStr">
        <is>
          <t>Mountain Province</t>
        </is>
      </c>
      <c r="G313" s="26" t="inlineStr">
        <is>
          <t>Paracelis</t>
        </is>
      </c>
      <c r="H313" s="26" t="inlineStr">
        <is>
          <t>Bunot</t>
        </is>
      </c>
      <c r="I313" s="27" t="n">
        <v>17.195612</v>
      </c>
      <c r="J313" s="27" t="n">
        <v>121.340617</v>
      </c>
      <c r="K313" s="10" t="inlineStr">
        <is>
          <t>R</t>
        </is>
      </c>
      <c r="L313" s="12" t="n">
        <v>1658</v>
      </c>
      <c r="M313" s="14" t="n">
        <v>3.7</v>
      </c>
      <c r="N313" s="12">
        <f>ROUND(L313/M313, 0)</f>
        <v/>
      </c>
      <c r="O313" s="12">
        <f>ROUND(N313*'Methodology &amp; Assumptions'!$B$5, 0)</f>
        <v/>
      </c>
      <c r="P313" s="10" t="inlineStr">
        <is>
          <t>Single Carrier (Band n50, 100MHz TDD)</t>
        </is>
      </c>
      <c r="Q313" s="13">
        <f>ROUNDUP(O313/'Methodology &amp; Assumptions'!$B$6, 0)</f>
        <v/>
      </c>
      <c r="R313" s="13" t="n">
        <v>1</v>
      </c>
      <c r="S313" s="14" t="n">
        <v>7.26</v>
      </c>
      <c r="T313" s="14" t="n">
        <v>21.21</v>
      </c>
      <c r="U313" s="26">
        <f>IF(X313&gt;='Methodology &amp; Assumptions'!$B$7, "Tier 1 Critical GIDA (Score ≥ 50.0)", IF(X313&gt;='Methodology &amp; Assumptions'!$B$8, "Tier 2 High GIDA (Score 40.0–49.9)", "Tier 3 Moderate GIDA (Score &lt; 40.0)"))</f>
        <v/>
      </c>
      <c r="V313" s="26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W313" s="28" t="n">
        <v>0.109</v>
      </c>
      <c r="X313" s="14" t="n">
        <v>50.2</v>
      </c>
      <c r="Y313" s="14">
        <f>ROUND(MIN(100, (X313/69.91)*100), 2)</f>
        <v/>
      </c>
    </row>
    <row r="314">
      <c r="A314" s="10" t="n">
        <v>2</v>
      </c>
      <c r="B314" s="10" t="n">
        <v>310</v>
      </c>
      <c r="C314" s="10" t="n">
        <v>1310</v>
      </c>
      <c r="D314" s="10" t="inlineStr">
        <is>
          <t>0806023027</t>
        </is>
      </c>
      <c r="E314" s="26" t="inlineStr">
        <is>
          <t>Region VIII (Eastern Visayas)</t>
        </is>
      </c>
      <c r="F314" s="26" t="inlineStr">
        <is>
          <t>Samar</t>
        </is>
      </c>
      <c r="G314" s="26" t="inlineStr">
        <is>
          <t>Zumarraga</t>
        </is>
      </c>
      <c r="H314" s="26" t="inlineStr">
        <is>
          <t>Talib</t>
        </is>
      </c>
      <c r="I314" s="27" t="n">
        <v>11.67062</v>
      </c>
      <c r="J314" s="27" t="n">
        <v>124.88907</v>
      </c>
      <c r="K314" s="10" t="inlineStr">
        <is>
          <t>R</t>
        </is>
      </c>
      <c r="L314" s="12" t="n">
        <v>241</v>
      </c>
      <c r="M314" s="14" t="n">
        <v>4.1</v>
      </c>
      <c r="N314" s="12">
        <f>ROUND(L314/M314, 0)</f>
        <v/>
      </c>
      <c r="O314" s="12">
        <f>ROUND(N314*'Methodology &amp; Assumptions'!$B$5, 0)</f>
        <v/>
      </c>
      <c r="P314" s="10" t="inlineStr">
        <is>
          <t>Single Carrier (Band n50, 100MHz TDD)</t>
        </is>
      </c>
      <c r="Q314" s="13">
        <f>ROUNDUP(O314/'Methodology &amp; Assumptions'!$B$6, 0)</f>
        <v/>
      </c>
      <c r="R314" s="13" t="n">
        <v>1</v>
      </c>
      <c r="S314" s="14" t="n">
        <v>46.63</v>
      </c>
      <c r="T314" s="14" t="n">
        <v>46.53</v>
      </c>
      <c r="U314" s="26">
        <f>IF(X314&gt;='Methodology &amp; Assumptions'!$B$7, "Tier 1 Critical GIDA (Score ≥ 50.0)", IF(X314&gt;='Methodology &amp; Assumptions'!$B$8, "Tier 2 High GIDA (Score 40.0–49.9)", "Tier 3 Moderate GIDA (Score &lt; 40.0)"))</f>
        <v/>
      </c>
      <c r="V314" s="26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W314" s="28" t="n">
        <v>0.237</v>
      </c>
      <c r="X314" s="14" t="n">
        <v>50.2</v>
      </c>
      <c r="Y314" s="14">
        <f>ROUND(MIN(100, (X314/69.91)*100), 2)</f>
        <v/>
      </c>
    </row>
    <row r="315">
      <c r="A315" s="10" t="n">
        <v>2</v>
      </c>
      <c r="B315" s="10" t="n">
        <v>311</v>
      </c>
      <c r="C315" s="10" t="n">
        <v>1311</v>
      </c>
      <c r="D315" s="10" t="inlineStr">
        <is>
          <t>1903601019</t>
        </is>
      </c>
      <c r="E315" s="26" t="inlineStr">
        <is>
          <t>Bangsamoro Autonomous Region In Muslim Mindanao (BARMM)</t>
        </is>
      </c>
      <c r="F315" s="26" t="inlineStr">
        <is>
          <t>Lanao del Sur</t>
        </is>
      </c>
      <c r="G315" s="26" t="inlineStr">
        <is>
          <t>Bacolod-Kalawi</t>
        </is>
      </c>
      <c r="H315" s="26" t="inlineStr">
        <is>
          <t>Orong</t>
        </is>
      </c>
      <c r="I315" s="27" t="n">
        <v>17.254719</v>
      </c>
      <c r="J315" s="27" t="n">
        <v>122.228763</v>
      </c>
      <c r="K315" s="10" t="inlineStr">
        <is>
          <t>R</t>
        </is>
      </c>
      <c r="L315" s="12" t="n">
        <v>1032</v>
      </c>
      <c r="M315" s="14" t="n">
        <v>5.7</v>
      </c>
      <c r="N315" s="12">
        <f>ROUND(L315/M315, 0)</f>
        <v/>
      </c>
      <c r="O315" s="12">
        <f>ROUND(N315*'Methodology &amp; Assumptions'!$B$5, 0)</f>
        <v/>
      </c>
      <c r="P315" s="10" t="inlineStr">
        <is>
          <t>Single Carrier (Band n50, 100MHz TDD)</t>
        </is>
      </c>
      <c r="Q315" s="13">
        <f>ROUNDUP(O315/'Methodology &amp; Assumptions'!$B$6, 0)</f>
        <v/>
      </c>
      <c r="R315" s="13" t="n">
        <v>1</v>
      </c>
      <c r="S315" s="14" t="n">
        <v>29.4</v>
      </c>
      <c r="T315" s="14" t="n">
        <v>34.28</v>
      </c>
      <c r="U315" s="26">
        <f>IF(X315&gt;='Methodology &amp; Assumptions'!$B$7, "Tier 1 Critical GIDA (Score ≥ 50.0)", IF(X315&gt;='Methodology &amp; Assumptions'!$B$8, "Tier 2 High GIDA (Score 40.0–49.9)", "Tier 3 Moderate GIDA (Score &lt; 40.0)"))</f>
        <v/>
      </c>
      <c r="V315" s="26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W315" s="28" t="n">
        <v>0.11</v>
      </c>
      <c r="X315" s="14" t="n">
        <v>50.19</v>
      </c>
      <c r="Y315" s="14">
        <f>ROUND(MIN(100, (X315/69.91)*100), 2)</f>
        <v/>
      </c>
    </row>
    <row r="316">
      <c r="A316" s="10" t="n">
        <v>2</v>
      </c>
      <c r="B316" s="10" t="n">
        <v>312</v>
      </c>
      <c r="C316" s="10" t="n">
        <v>1312</v>
      </c>
      <c r="D316" s="10" t="inlineStr">
        <is>
          <t>1903601015</t>
        </is>
      </c>
      <c r="E316" s="26" t="inlineStr">
        <is>
          <t>Bangsamoro Autonomous Region In Muslim Mindanao (BARMM)</t>
        </is>
      </c>
      <c r="F316" s="26" t="inlineStr">
        <is>
          <t>Lanao del Sur</t>
        </is>
      </c>
      <c r="G316" s="26" t="inlineStr">
        <is>
          <t>Bacolod-Kalawi</t>
        </is>
      </c>
      <c r="H316" s="26" t="inlineStr">
        <is>
          <t>Liawao</t>
        </is>
      </c>
      <c r="I316" s="27" t="n">
        <v>17.254708</v>
      </c>
      <c r="J316" s="27" t="n">
        <v>122.228752</v>
      </c>
      <c r="K316" s="10" t="inlineStr">
        <is>
          <t>R</t>
        </is>
      </c>
      <c r="L316" s="12" t="n">
        <v>501</v>
      </c>
      <c r="M316" s="14" t="n">
        <v>5.7</v>
      </c>
      <c r="N316" s="12">
        <f>ROUND(L316/M316, 0)</f>
        <v/>
      </c>
      <c r="O316" s="12">
        <f>ROUND(N316*'Methodology &amp; Assumptions'!$B$5, 0)</f>
        <v/>
      </c>
      <c r="P316" s="10" t="inlineStr">
        <is>
          <t>Single Carrier (Band n50, 100MHz TDD)</t>
        </is>
      </c>
      <c r="Q316" s="13">
        <f>ROUNDUP(O316/'Methodology &amp; Assumptions'!$B$6, 0)</f>
        <v/>
      </c>
      <c r="R316" s="13" t="n">
        <v>1</v>
      </c>
      <c r="S316" s="14" t="n">
        <v>29.39</v>
      </c>
      <c r="T316" s="14" t="n">
        <v>34.28</v>
      </c>
      <c r="U316" s="26">
        <f>IF(X316&gt;='Methodology &amp; Assumptions'!$B$7, "Tier 1 Critical GIDA (Score ≥ 50.0)", IF(X316&gt;='Methodology &amp; Assumptions'!$B$8, "Tier 2 High GIDA (Score 40.0–49.9)", "Tier 3 Moderate GIDA (Score &lt; 40.0)"))</f>
        <v/>
      </c>
      <c r="V316" s="26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W316" s="28" t="n">
        <v>0.11</v>
      </c>
      <c r="X316" s="14" t="n">
        <v>50.19</v>
      </c>
      <c r="Y316" s="14">
        <f>ROUND(MIN(100, (X316/69.91)*100), 2)</f>
        <v/>
      </c>
    </row>
    <row r="317">
      <c r="A317" s="10" t="n">
        <v>2</v>
      </c>
      <c r="B317" s="10" t="n">
        <v>313</v>
      </c>
      <c r="C317" s="10" t="n">
        <v>1313</v>
      </c>
      <c r="D317" s="10" t="inlineStr">
        <is>
          <t>0401005062</t>
        </is>
      </c>
      <c r="E317" s="26" t="inlineStr">
        <is>
          <t>Region IV-A (CALABARZON)</t>
        </is>
      </c>
      <c r="F317" s="26" t="inlineStr">
        <is>
          <t>Batangas</t>
        </is>
      </c>
      <c r="G317" s="26" t="inlineStr">
        <is>
          <t>Batangas City</t>
        </is>
      </c>
      <c r="H317" s="26" t="inlineStr">
        <is>
          <t>Barangay 16</t>
        </is>
      </c>
      <c r="I317" s="27" t="n">
        <v>13.725845</v>
      </c>
      <c r="J317" s="27" t="n">
        <v>121.094193</v>
      </c>
      <c r="K317" s="10" t="inlineStr">
        <is>
          <t>U</t>
        </is>
      </c>
      <c r="L317" s="12" t="n">
        <v>104</v>
      </c>
      <c r="M317" s="14" t="n">
        <v>3.6</v>
      </c>
      <c r="N317" s="12">
        <f>ROUND(L317/M317, 0)</f>
        <v/>
      </c>
      <c r="O317" s="12">
        <f>ROUND(N317*'Methodology &amp; Assumptions'!$B$5, 0)</f>
        <v/>
      </c>
      <c r="P317" s="10" t="inlineStr">
        <is>
          <t>Single Carrier (Band n50, 100MHz TDD)</t>
        </is>
      </c>
      <c r="Q317" s="13">
        <f>ROUNDUP(O317/'Methodology &amp; Assumptions'!$B$6, 0)</f>
        <v/>
      </c>
      <c r="R317" s="13" t="n">
        <v>1</v>
      </c>
      <c r="S317" s="14" t="n">
        <v>3.64</v>
      </c>
      <c r="T317" s="14" t="n">
        <v>4.8</v>
      </c>
      <c r="U317" s="26">
        <f>IF(X317&gt;='Methodology &amp; Assumptions'!$B$7, "Tier 1 Critical GIDA (Score ≥ 50.0)", IF(X317&gt;='Methodology &amp; Assumptions'!$B$8, "Tier 2 High GIDA (Score 40.0–49.9)", "Tier 3 Moderate GIDA (Score &lt; 40.0)"))</f>
        <v/>
      </c>
      <c r="V317" s="26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W317" s="28" t="n">
        <v>0.07200000000000001</v>
      </c>
      <c r="X317" s="14" t="n">
        <v>50.19</v>
      </c>
      <c r="Y317" s="14">
        <f>ROUND(MIN(100, (X317/69.91)*100), 2)</f>
        <v/>
      </c>
    </row>
    <row r="318">
      <c r="A318" s="10" t="n">
        <v>2</v>
      </c>
      <c r="B318" s="10" t="n">
        <v>314</v>
      </c>
      <c r="C318" s="10" t="n">
        <v>1314</v>
      </c>
      <c r="D318" s="10" t="inlineStr">
        <is>
          <t>1705304021</t>
        </is>
      </c>
      <c r="E318" s="26" t="inlineStr">
        <is>
          <t>MIMAROPA Region</t>
        </is>
      </c>
      <c r="F318" s="26" t="inlineStr">
        <is>
          <t>Palawan</t>
        </is>
      </c>
      <c r="G318" s="26" t="inlineStr">
        <is>
          <t>Balabac</t>
        </is>
      </c>
      <c r="H318" s="26" t="inlineStr">
        <is>
          <t>Salang</t>
        </is>
      </c>
      <c r="I318" s="27" t="n">
        <v>8.057</v>
      </c>
      <c r="J318" s="27" t="n">
        <v>117.065884</v>
      </c>
      <c r="K318" s="10" t="inlineStr">
        <is>
          <t>R</t>
        </is>
      </c>
      <c r="L318" s="12" t="n">
        <v>3223</v>
      </c>
      <c r="M318" s="14" t="n">
        <v>3.9</v>
      </c>
      <c r="N318" s="12">
        <f>ROUND(L318/M318, 0)</f>
        <v/>
      </c>
      <c r="O318" s="12">
        <f>ROUND(N318*'Methodology &amp; Assumptions'!$B$5, 0)</f>
        <v/>
      </c>
      <c r="P318" s="10" t="inlineStr">
        <is>
          <t>Single Carrier (Band n50, 100MHz TDD)</t>
        </is>
      </c>
      <c r="Q318" s="13">
        <f>ROUNDUP(O318/'Methodology &amp; Assumptions'!$B$6, 0)</f>
        <v/>
      </c>
      <c r="R318" s="13" t="n">
        <v>1</v>
      </c>
      <c r="S318" s="14" t="n">
        <v>261.93</v>
      </c>
      <c r="T318" s="14" t="n">
        <v>264.23</v>
      </c>
      <c r="U318" s="26">
        <f>IF(X318&gt;='Methodology &amp; Assumptions'!$B$7, "Tier 1 Critical GIDA (Score ≥ 50.0)", IF(X318&gt;='Methodology &amp; Assumptions'!$B$8, "Tier 2 High GIDA (Score 40.0–49.9)", "Tier 3 Moderate GIDA (Score &lt; 40.0)"))</f>
        <v/>
      </c>
      <c r="V318" s="26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W318" s="28" t="n">
        <v>0.15</v>
      </c>
      <c r="X318" s="14" t="n">
        <v>50.19</v>
      </c>
      <c r="Y318" s="14">
        <f>ROUND(MIN(100, (X318/69.91)*100), 2)</f>
        <v/>
      </c>
    </row>
    <row r="319">
      <c r="A319" s="10" t="n">
        <v>2</v>
      </c>
      <c r="B319" s="10" t="n">
        <v>315</v>
      </c>
      <c r="C319" s="10" t="n">
        <v>1315</v>
      </c>
      <c r="D319" s="10" t="inlineStr">
        <is>
          <t>0402106022</t>
        </is>
      </c>
      <c r="E319" s="26" t="inlineStr">
        <is>
          <t>Region IV-A (CALABARZON)</t>
        </is>
      </c>
      <c r="F319" s="26" t="inlineStr">
        <is>
          <t>Cavite</t>
        </is>
      </c>
      <c r="G319" s="26" t="inlineStr">
        <is>
          <t>City of Dasmariñas</t>
        </is>
      </c>
      <c r="H319" s="26" t="inlineStr">
        <is>
          <t>Fatima I</t>
        </is>
      </c>
      <c r="I319" s="27" t="n">
        <v>14.310679</v>
      </c>
      <c r="J319" s="27" t="n">
        <v>120.963936</v>
      </c>
      <c r="K319" s="10" t="inlineStr">
        <is>
          <t>U</t>
        </is>
      </c>
      <c r="L319" s="12" t="n">
        <v>7140</v>
      </c>
      <c r="M319" s="14" t="n">
        <v>3.4</v>
      </c>
      <c r="N319" s="12">
        <f>ROUND(L319/M319, 0)</f>
        <v/>
      </c>
      <c r="O319" s="12">
        <f>ROUND(N319*'Methodology &amp; Assumptions'!$B$5, 0)</f>
        <v/>
      </c>
      <c r="P319" s="10" t="inlineStr">
        <is>
          <t>Single Carrier (Band n50, 100MHz TDD)</t>
        </is>
      </c>
      <c r="Q319" s="13">
        <f>ROUNDUP(O319/'Methodology &amp; Assumptions'!$B$6, 0)</f>
        <v/>
      </c>
      <c r="R319" s="13" t="n">
        <v>1</v>
      </c>
      <c r="S319" s="14" t="n">
        <v>0.27</v>
      </c>
      <c r="T319" s="14" t="n">
        <v>1.39</v>
      </c>
      <c r="U319" s="26">
        <f>IF(X319&gt;='Methodology &amp; Assumptions'!$B$7, "Tier 1 Critical GIDA (Score ≥ 50.0)", IF(X319&gt;='Methodology &amp; Assumptions'!$B$8, "Tier 2 High GIDA (Score 40.0–49.9)", "Tier 3 Moderate GIDA (Score &lt; 40.0)"))</f>
        <v/>
      </c>
      <c r="V319" s="26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W319" s="28" t="n">
        <v>0.07200000000000001</v>
      </c>
      <c r="X319" s="14" t="n">
        <v>50.18</v>
      </c>
      <c r="Y319" s="14">
        <f>ROUND(MIN(100, (X319/69.91)*100), 2)</f>
        <v/>
      </c>
    </row>
    <row r="320">
      <c r="A320" s="10" t="n">
        <v>2</v>
      </c>
      <c r="B320" s="10" t="n">
        <v>316</v>
      </c>
      <c r="C320" s="10" t="n">
        <v>1316</v>
      </c>
      <c r="D320" s="10" t="inlineStr">
        <is>
          <t>1705304020</t>
        </is>
      </c>
      <c r="E320" s="26" t="inlineStr">
        <is>
          <t>MIMAROPA Region</t>
        </is>
      </c>
      <c r="F320" s="26" t="inlineStr">
        <is>
          <t>Palawan</t>
        </is>
      </c>
      <c r="G320" s="26" t="inlineStr">
        <is>
          <t>Balabac</t>
        </is>
      </c>
      <c r="H320" s="26" t="inlineStr">
        <is>
          <t>Ramos</t>
        </is>
      </c>
      <c r="I320" s="27" t="n">
        <v>8.119626</v>
      </c>
      <c r="J320" s="27" t="n">
        <v>117.020839</v>
      </c>
      <c r="K320" s="10" t="inlineStr">
        <is>
          <t>R</t>
        </is>
      </c>
      <c r="L320" s="12" t="n">
        <v>3097</v>
      </c>
      <c r="M320" s="14" t="n">
        <v>3.9</v>
      </c>
      <c r="N320" s="12">
        <f>ROUND(L320/M320, 0)</f>
        <v/>
      </c>
      <c r="O320" s="12">
        <f>ROUND(N320*'Methodology &amp; Assumptions'!$B$5, 0)</f>
        <v/>
      </c>
      <c r="P320" s="10" t="inlineStr">
        <is>
          <t>Single Carrier (Band n50, 100MHz TDD)</t>
        </is>
      </c>
      <c r="Q320" s="13">
        <f>ROUNDUP(O320/'Methodology &amp; Assumptions'!$B$6, 0)</f>
        <v/>
      </c>
      <c r="R320" s="13" t="n">
        <v>1</v>
      </c>
      <c r="S320" s="14" t="n">
        <v>260.54</v>
      </c>
      <c r="T320" s="14" t="n">
        <v>262.84</v>
      </c>
      <c r="U320" s="26">
        <f>IF(X320&gt;='Methodology &amp; Assumptions'!$B$7, "Tier 1 Critical GIDA (Score ≥ 50.0)", IF(X320&gt;='Methodology &amp; Assumptions'!$B$8, "Tier 2 High GIDA (Score 40.0–49.9)", "Tier 3 Moderate GIDA (Score &lt; 40.0)"))</f>
        <v/>
      </c>
      <c r="V320" s="26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W320" s="28" t="n">
        <v>0.15</v>
      </c>
      <c r="X320" s="14" t="n">
        <v>50.18</v>
      </c>
      <c r="Y320" s="14">
        <f>ROUND(MIN(100, (X320/69.91)*100), 2)</f>
        <v/>
      </c>
    </row>
    <row r="321">
      <c r="A321" s="10" t="n">
        <v>2</v>
      </c>
      <c r="B321" s="10" t="n">
        <v>317</v>
      </c>
      <c r="C321" s="10" t="n">
        <v>1317</v>
      </c>
      <c r="D321" s="10" t="inlineStr">
        <is>
          <t>0804805053</t>
        </is>
      </c>
      <c r="E321" s="26" t="inlineStr">
        <is>
          <t>Region VIII (Eastern Visayas)</t>
        </is>
      </c>
      <c r="F321" s="26" t="inlineStr">
        <is>
          <t>Northern Samar</t>
        </is>
      </c>
      <c r="G321" s="26" t="inlineStr">
        <is>
          <t>Catarman</t>
        </is>
      </c>
      <c r="H321" s="26" t="inlineStr">
        <is>
          <t>Tinowaran</t>
        </is>
      </c>
      <c r="I321" s="27" t="n">
        <v>12.43939</v>
      </c>
      <c r="J321" s="27" t="n">
        <v>124.66048</v>
      </c>
      <c r="K321" s="10" t="inlineStr">
        <is>
          <t>R</t>
        </is>
      </c>
      <c r="L321" s="12" t="n">
        <v>566</v>
      </c>
      <c r="M321" s="14" t="n">
        <v>4.3</v>
      </c>
      <c r="N321" s="12">
        <f>ROUND(L321/M321, 0)</f>
        <v/>
      </c>
      <c r="O321" s="12">
        <f>ROUND(N321*'Methodology &amp; Assumptions'!$B$5, 0)</f>
        <v/>
      </c>
      <c r="P321" s="10" t="inlineStr">
        <is>
          <t>Single Carrier (Band n50, 100MHz TDD)</t>
        </is>
      </c>
      <c r="Q321" s="13">
        <f>ROUNDUP(O321/'Methodology &amp; Assumptions'!$B$6, 0)</f>
        <v/>
      </c>
      <c r="R321" s="13" t="n">
        <v>1</v>
      </c>
      <c r="S321" s="14" t="n">
        <v>64.43000000000001</v>
      </c>
      <c r="T321" s="14" t="n">
        <v>63.83</v>
      </c>
      <c r="U321" s="26">
        <f>IF(X321&gt;='Methodology &amp; Assumptions'!$B$7, "Tier 1 Critical GIDA (Score ≥ 50.0)", IF(X321&gt;='Methodology &amp; Assumptions'!$B$8, "Tier 2 High GIDA (Score 40.0–49.9)", "Tier 3 Moderate GIDA (Score &lt; 40.0)"))</f>
        <v/>
      </c>
      <c r="V321" s="26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W321" s="28" t="n">
        <v>0.237</v>
      </c>
      <c r="X321" s="14" t="n">
        <v>50.17</v>
      </c>
      <c r="Y321" s="14">
        <f>ROUND(MIN(100, (X321/69.91)*100), 2)</f>
        <v/>
      </c>
    </row>
    <row r="322">
      <c r="A322" s="10" t="n">
        <v>2</v>
      </c>
      <c r="B322" s="10" t="n">
        <v>318</v>
      </c>
      <c r="C322" s="10" t="n">
        <v>1318</v>
      </c>
      <c r="D322" s="10" t="inlineStr">
        <is>
          <t>1381300070</t>
        </is>
      </c>
      <c r="E322" s="26" t="inlineStr">
        <is>
          <t>National Capital Region (NCR)</t>
        </is>
      </c>
      <c r="F322" s="26" t="inlineStr">
        <is>
          <t>Second District (Not a Province)</t>
        </is>
      </c>
      <c r="G322" s="26" t="inlineStr">
        <is>
          <t>Quezon City</t>
        </is>
      </c>
      <c r="H322" s="26" t="inlineStr">
        <is>
          <t>Novaliches Proper</t>
        </is>
      </c>
      <c r="I322" s="27" t="n">
        <v>14.718647</v>
      </c>
      <c r="J322" s="27" t="n">
        <v>121.034973</v>
      </c>
      <c r="K322" s="10" t="inlineStr">
        <is>
          <t>U</t>
        </is>
      </c>
      <c r="L322" s="12" t="n">
        <v>16117</v>
      </c>
      <c r="M322" s="14" t="n">
        <v>3.8</v>
      </c>
      <c r="N322" s="12">
        <f>ROUND(L322/M322, 0)</f>
        <v/>
      </c>
      <c r="O322" s="12">
        <f>ROUND(N322*'Methodology &amp; Assumptions'!$B$5, 0)</f>
        <v/>
      </c>
      <c r="P322" s="10" t="inlineStr">
        <is>
          <t>Single Carrier (Band n50, 100MHz TDD)</t>
        </is>
      </c>
      <c r="Q322" s="13">
        <f>ROUNDUP(O322/'Methodology &amp; Assumptions'!$B$6, 0)</f>
        <v/>
      </c>
      <c r="R322" s="13" t="n">
        <v>1</v>
      </c>
      <c r="S322" s="14" t="n">
        <v>0.83</v>
      </c>
      <c r="T322" s="14" t="n">
        <v>0.4</v>
      </c>
      <c r="U322" s="26">
        <f>IF(X322&gt;='Methodology &amp; Assumptions'!$B$7, "Tier 1 Critical GIDA (Score ≥ 50.0)", IF(X322&gt;='Methodology &amp; Assumptions'!$B$8, "Tier 2 High GIDA (Score 40.0–49.9)", "Tier 3 Moderate GIDA (Score &lt; 40.0)"))</f>
        <v/>
      </c>
      <c r="V322" s="26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W322" s="28" t="n">
        <v>0.109</v>
      </c>
      <c r="X322" s="14" t="n">
        <v>50.17</v>
      </c>
      <c r="Y322" s="14">
        <f>ROUND(MIN(100, (X322/69.91)*100), 2)</f>
        <v/>
      </c>
    </row>
    <row r="323">
      <c r="A323" s="10" t="n">
        <v>2</v>
      </c>
      <c r="B323" s="10" t="n">
        <v>319</v>
      </c>
      <c r="C323" s="10" t="n">
        <v>1319</v>
      </c>
      <c r="D323" s="10" t="inlineStr">
        <is>
          <t>1381100051</t>
        </is>
      </c>
      <c r="E323" s="26" t="inlineStr">
        <is>
          <t>National Capital Region (NCR)</t>
        </is>
      </c>
      <c r="F323" s="26" t="inlineStr">
        <is>
          <t>Fourth District (Not a Province)</t>
        </is>
      </c>
      <c r="G323" s="26" t="inlineStr">
        <is>
          <t>Pasay City</t>
        </is>
      </c>
      <c r="H323" s="26" t="inlineStr">
        <is>
          <t>Barangay 51</t>
        </is>
      </c>
      <c r="I323" s="27" t="n">
        <v>14.537806</v>
      </c>
      <c r="J323" s="27" t="n">
        <v>120.979291</v>
      </c>
      <c r="K323" s="10" t="inlineStr">
        <is>
          <t>U</t>
        </is>
      </c>
      <c r="L323" s="12" t="n">
        <v>2220</v>
      </c>
      <c r="M323" s="14" t="n">
        <v>3.4</v>
      </c>
      <c r="N323" s="12">
        <f>ROUND(L323/M323, 0)</f>
        <v/>
      </c>
      <c r="O323" s="12">
        <f>ROUND(N323*'Methodology &amp; Assumptions'!$B$5, 0)</f>
        <v/>
      </c>
      <c r="P323" s="10" t="inlineStr">
        <is>
          <t>Single Carrier (Band n50, 100MHz TDD)</t>
        </is>
      </c>
      <c r="Q323" s="13">
        <f>ROUNDUP(O323/'Methodology &amp; Assumptions'!$B$6, 0)</f>
        <v/>
      </c>
      <c r="R323" s="13" t="n">
        <v>1</v>
      </c>
      <c r="S323" s="14" t="n">
        <v>1.79</v>
      </c>
      <c r="T323" s="14" t="n">
        <v>1.77</v>
      </c>
      <c r="U323" s="26">
        <f>IF(X323&gt;='Methodology &amp; Assumptions'!$B$7, "Tier 1 Critical GIDA (Score ≥ 50.0)", IF(X323&gt;='Methodology &amp; Assumptions'!$B$8, "Tier 2 High GIDA (Score 40.0–49.9)", "Tier 3 Moderate GIDA (Score &lt; 40.0)"))</f>
        <v/>
      </c>
      <c r="V323" s="26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W323" s="28" t="n">
        <v>0.109</v>
      </c>
      <c r="X323" s="14" t="n">
        <v>50.17</v>
      </c>
      <c r="Y323" s="14">
        <f>ROUND(MIN(100, (X323/69.91)*100), 2)</f>
        <v/>
      </c>
    </row>
    <row r="324">
      <c r="A324" s="10" t="n">
        <v>2</v>
      </c>
      <c r="B324" s="10" t="n">
        <v>320</v>
      </c>
      <c r="C324" s="10" t="n">
        <v>1320</v>
      </c>
      <c r="D324" s="10" t="inlineStr">
        <is>
          <t>0506215012</t>
        </is>
      </c>
      <c r="E324" s="26" t="inlineStr">
        <is>
          <t>Region V (Bicol Region)</t>
        </is>
      </c>
      <c r="F324" s="26" t="inlineStr">
        <is>
          <t>Sorsogon</t>
        </is>
      </c>
      <c r="G324" s="26" t="inlineStr">
        <is>
          <t>Santa Magdalena</t>
        </is>
      </c>
      <c r="H324" s="26" t="inlineStr">
        <is>
          <t>San Rafael</t>
        </is>
      </c>
      <c r="I324" s="27" t="n">
        <v>12.663602</v>
      </c>
      <c r="J324" s="27" t="n">
        <v>124.128519</v>
      </c>
      <c r="K324" s="10" t="inlineStr">
        <is>
          <t>R</t>
        </is>
      </c>
      <c r="L324" s="12" t="n">
        <v>1362</v>
      </c>
      <c r="M324" s="14" t="n">
        <v>4</v>
      </c>
      <c r="N324" s="12">
        <f>ROUND(L324/M324, 0)</f>
        <v/>
      </c>
      <c r="O324" s="12">
        <f>ROUND(N324*'Methodology &amp; Assumptions'!$B$5, 0)</f>
        <v/>
      </c>
      <c r="P324" s="10" t="inlineStr">
        <is>
          <t>Single Carrier (Band n50, 100MHz TDD)</t>
        </is>
      </c>
      <c r="Q324" s="13">
        <f>ROUNDUP(O324/'Methodology &amp; Assumptions'!$B$6, 0)</f>
        <v/>
      </c>
      <c r="R324" s="13" t="n">
        <v>1</v>
      </c>
      <c r="S324" s="14" t="n">
        <v>3.18</v>
      </c>
      <c r="T324" s="14" t="n">
        <v>1.67</v>
      </c>
      <c r="U324" s="26">
        <f>IF(X324&gt;='Methodology &amp; Assumptions'!$B$7, "Tier 1 Critical GIDA (Score ≥ 50.0)", IF(X324&gt;='Methodology &amp; Assumptions'!$B$8, "Tier 2 High GIDA (Score 40.0–49.9)", "Tier 3 Moderate GIDA (Score &lt; 40.0)"))</f>
        <v/>
      </c>
      <c r="V324" s="26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W324" s="28" t="n">
        <v>0.237</v>
      </c>
      <c r="X324" s="14" t="n">
        <v>50.17</v>
      </c>
      <c r="Y324" s="14">
        <f>ROUND(MIN(100, (X324/69.91)*100), 2)</f>
        <v/>
      </c>
    </row>
    <row r="325">
      <c r="A325" s="10" t="n">
        <v>2</v>
      </c>
      <c r="B325" s="10" t="n">
        <v>321</v>
      </c>
      <c r="C325" s="10" t="n">
        <v>1321</v>
      </c>
      <c r="D325" s="10" t="inlineStr">
        <is>
          <t>1908822008</t>
        </is>
      </c>
      <c r="E325" s="26" t="inlineStr">
        <is>
          <t>Bangsamoro Autonomous Region In Muslim Mindanao (BARMM)</t>
        </is>
      </c>
      <c r="F325" s="26" t="inlineStr">
        <is>
          <t>Maguindanao del Sur</t>
        </is>
      </c>
      <c r="G325" s="26" t="inlineStr">
        <is>
          <t>South Upi</t>
        </is>
      </c>
      <c r="H325" s="26" t="inlineStr">
        <is>
          <t>Pandan</t>
        </is>
      </c>
      <c r="I325" s="27" t="n">
        <v>17.255067</v>
      </c>
      <c r="J325" s="27" t="n">
        <v>122.229111</v>
      </c>
      <c r="K325" s="10" t="inlineStr">
        <is>
          <t>R</t>
        </is>
      </c>
      <c r="L325" s="12" t="n">
        <v>5222</v>
      </c>
      <c r="M325" s="14" t="n">
        <v>4.7</v>
      </c>
      <c r="N325" s="12">
        <f>ROUND(L325/M325, 0)</f>
        <v/>
      </c>
      <c r="O325" s="12">
        <f>ROUND(N325*'Methodology &amp; Assumptions'!$B$5, 0)</f>
        <v/>
      </c>
      <c r="P325" s="10" t="inlineStr">
        <is>
          <t>Single Carrier (Band n50, 100MHz TDD)</t>
        </is>
      </c>
      <c r="Q325" s="13">
        <f>ROUNDUP(O325/'Methodology &amp; Assumptions'!$B$6, 0)</f>
        <v/>
      </c>
      <c r="R325" s="13" t="n">
        <v>1</v>
      </c>
      <c r="S325" s="14" t="n">
        <v>29.45</v>
      </c>
      <c r="T325" s="14" t="n">
        <v>34.33</v>
      </c>
      <c r="U325" s="26">
        <f>IF(X325&gt;='Methodology &amp; Assumptions'!$B$7, "Tier 1 Critical GIDA (Score ≥ 50.0)", IF(X325&gt;='Methodology &amp; Assumptions'!$B$8, "Tier 2 High GIDA (Score 40.0–49.9)", "Tier 3 Moderate GIDA (Score &lt; 40.0)"))</f>
        <v/>
      </c>
      <c r="V325" s="26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W325" s="28" t="n">
        <v>0.11</v>
      </c>
      <c r="X325" s="14" t="n">
        <v>50.17</v>
      </c>
      <c r="Y325" s="14">
        <f>ROUND(MIN(100, (X325/69.91)*100), 2)</f>
        <v/>
      </c>
    </row>
    <row r="326">
      <c r="A326" s="10" t="n">
        <v>2</v>
      </c>
      <c r="B326" s="10" t="n">
        <v>322</v>
      </c>
      <c r="C326" s="10" t="n">
        <v>1322</v>
      </c>
      <c r="D326" s="10" t="inlineStr">
        <is>
          <t>0600614021</t>
        </is>
      </c>
      <c r="E326" s="26" t="inlineStr">
        <is>
          <t>Region VI (Western Visayas)</t>
        </is>
      </c>
      <c r="F326" s="26" t="inlineStr">
        <is>
          <t>Antique</t>
        </is>
      </c>
      <c r="G326" s="26" t="inlineStr">
        <is>
          <t>San Remigio</t>
        </is>
      </c>
      <c r="H326" s="26" t="inlineStr">
        <is>
          <t>General Luna</t>
        </is>
      </c>
      <c r="I326" s="27" t="n">
        <v>10.868533</v>
      </c>
      <c r="J326" s="27" t="n">
        <v>122.083469</v>
      </c>
      <c r="K326" s="10" t="inlineStr">
        <is>
          <t>R</t>
        </is>
      </c>
      <c r="L326" s="12" t="n">
        <v>830</v>
      </c>
      <c r="M326" s="14" t="n">
        <v>3.9</v>
      </c>
      <c r="N326" s="12">
        <f>ROUND(L326/M326, 0)</f>
        <v/>
      </c>
      <c r="O326" s="12">
        <f>ROUND(N326*'Methodology &amp; Assumptions'!$B$5, 0)</f>
        <v/>
      </c>
      <c r="P326" s="10" t="inlineStr">
        <is>
          <t>Single Carrier (Band n50, 100MHz TDD)</t>
        </is>
      </c>
      <c r="Q326" s="13">
        <f>ROUNDUP(O326/'Methodology &amp; Assumptions'!$B$6, 0)</f>
        <v/>
      </c>
      <c r="R326" s="13" t="n">
        <v>1</v>
      </c>
      <c r="S326" s="14" t="n">
        <v>19.8</v>
      </c>
      <c r="T326" s="14" t="n">
        <v>12.49</v>
      </c>
      <c r="U326" s="26">
        <f>IF(X326&gt;='Methodology &amp; Assumptions'!$B$7, "Tier 1 Critical GIDA (Score ≥ 50.0)", IF(X326&gt;='Methodology &amp; Assumptions'!$B$8, "Tier 2 High GIDA (Score 40.0–49.9)", "Tier 3 Moderate GIDA (Score &lt; 40.0)"))</f>
        <v/>
      </c>
      <c r="V326" s="26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W326" s="28" t="n">
        <v>0.237</v>
      </c>
      <c r="X326" s="14" t="n">
        <v>50.16</v>
      </c>
      <c r="Y326" s="14">
        <f>ROUND(MIN(100, (X326/69.91)*100), 2)</f>
        <v/>
      </c>
    </row>
    <row r="327">
      <c r="A327" s="10" t="n">
        <v>2</v>
      </c>
      <c r="B327" s="10" t="n">
        <v>323</v>
      </c>
      <c r="C327" s="10" t="n">
        <v>1323</v>
      </c>
      <c r="D327" s="10" t="inlineStr">
        <is>
          <t>0802617002</t>
        </is>
      </c>
      <c r="E327" s="26" t="inlineStr">
        <is>
          <t>Region VIII (Eastern Visayas)</t>
        </is>
      </c>
      <c r="F327" s="26" t="inlineStr">
        <is>
          <t>Eastern Samar</t>
        </is>
      </c>
      <c r="G327" s="26" t="inlineStr">
        <is>
          <t>Oras</t>
        </is>
      </c>
      <c r="H327" s="26" t="inlineStr">
        <is>
          <t>Bagacay</t>
        </is>
      </c>
      <c r="I327" s="27" t="n">
        <v>12.077429</v>
      </c>
      <c r="J327" s="27" t="n">
        <v>125.433544</v>
      </c>
      <c r="K327" s="10" t="inlineStr">
        <is>
          <t>R</t>
        </is>
      </c>
      <c r="L327" s="12" t="n">
        <v>234</v>
      </c>
      <c r="M327" s="14" t="n">
        <v>3.9</v>
      </c>
      <c r="N327" s="12">
        <f>ROUND(L327/M327, 0)</f>
        <v/>
      </c>
      <c r="O327" s="12">
        <f>ROUND(N327*'Methodology &amp; Assumptions'!$B$5, 0)</f>
        <v/>
      </c>
      <c r="P327" s="10" t="inlineStr">
        <is>
          <t>Single Carrier (Band n50, 100MHz TDD)</t>
        </is>
      </c>
      <c r="Q327" s="13">
        <f>ROUNDUP(O327/'Methodology &amp; Assumptions'!$B$6, 0)</f>
        <v/>
      </c>
      <c r="R327" s="13" t="n">
        <v>1</v>
      </c>
      <c r="S327" s="14" t="n">
        <v>104.32</v>
      </c>
      <c r="T327" s="14" t="n">
        <v>106.7</v>
      </c>
      <c r="U327" s="26">
        <f>IF(X327&gt;='Methodology &amp; Assumptions'!$B$7, "Tier 1 Critical GIDA (Score ≥ 50.0)", IF(X327&gt;='Methodology &amp; Assumptions'!$B$8, "Tier 2 High GIDA (Score 40.0–49.9)", "Tier 3 Moderate GIDA (Score &lt; 40.0)"))</f>
        <v/>
      </c>
      <c r="V327" s="26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W327" s="28" t="n">
        <v>0.237</v>
      </c>
      <c r="X327" s="14" t="n">
        <v>50.16</v>
      </c>
      <c r="Y327" s="14">
        <f>ROUND(MIN(100, (X327/69.91)*100), 2)</f>
        <v/>
      </c>
    </row>
    <row r="328">
      <c r="A328" s="10" t="n">
        <v>2</v>
      </c>
      <c r="B328" s="10" t="n">
        <v>324</v>
      </c>
      <c r="C328" s="10" t="n">
        <v>1324</v>
      </c>
      <c r="D328" s="10" t="inlineStr">
        <is>
          <t>PH0001324</t>
        </is>
      </c>
      <c r="E328" s="26" t="inlineStr">
        <is>
          <t>VIII</t>
        </is>
      </c>
      <c r="F328" s="26" t="inlineStr">
        <is>
          <t>Leyte</t>
        </is>
      </c>
      <c r="G328" s="26" t="inlineStr">
        <is>
          <t>Tacloban City</t>
        </is>
      </c>
      <c r="H328" s="26" t="inlineStr">
        <is>
          <t>Barangay 45</t>
        </is>
      </c>
      <c r="I328" s="27" t="n">
        <v>11.285602</v>
      </c>
      <c r="J328" s="27" t="n">
        <v>124.936678</v>
      </c>
      <c r="K328" s="10" t="inlineStr">
        <is>
          <t>R</t>
        </is>
      </c>
      <c r="L328" s="12" t="n">
        <v>2258</v>
      </c>
      <c r="M328" s="14" t="n">
        <v>3.8</v>
      </c>
      <c r="N328" s="12">
        <f>ROUND(L328/M328, 0)</f>
        <v/>
      </c>
      <c r="O328" s="12">
        <f>ROUND(N328*'Methodology &amp; Assumptions'!$B$5, 0)</f>
        <v/>
      </c>
      <c r="P328" s="10" t="inlineStr">
        <is>
          <t>Single Carrier (Band n50, 100MHz TDD)</t>
        </is>
      </c>
      <c r="Q328" s="13">
        <f>ROUNDUP(O328/'Methodology &amp; Assumptions'!$B$6, 0)</f>
        <v/>
      </c>
      <c r="R328" s="13" t="n">
        <v>1</v>
      </c>
      <c r="S328" s="14" t="n">
        <v>8.81</v>
      </c>
      <c r="T328" s="14" t="n">
        <v>11.2</v>
      </c>
      <c r="U328" s="26">
        <f>IF(X328&gt;='Methodology &amp; Assumptions'!$B$7, "Tier 1 Critical GIDA (Score ≥ 50.0)", IF(X328&gt;='Methodology &amp; Assumptions'!$B$8, "Tier 2 High GIDA (Score 40.0–49.9)", "Tier 3 Moderate GIDA (Score &lt; 40.0)"))</f>
        <v/>
      </c>
      <c r="V328" s="26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W328" s="28" t="n">
        <v>0.222</v>
      </c>
      <c r="X328" s="14" t="n">
        <v>50.16</v>
      </c>
      <c r="Y328" s="14">
        <f>ROUND(MIN(100, (X328/69.91)*100), 2)</f>
        <v/>
      </c>
    </row>
    <row r="329">
      <c r="A329" s="10" t="n">
        <v>2</v>
      </c>
      <c r="B329" s="10" t="n">
        <v>325</v>
      </c>
      <c r="C329" s="10" t="n">
        <v>1325</v>
      </c>
      <c r="D329" s="10" t="inlineStr">
        <is>
          <t>0806017014</t>
        </is>
      </c>
      <c r="E329" s="26" t="inlineStr">
        <is>
          <t>Region VIII (Eastern Visayas)</t>
        </is>
      </c>
      <c r="F329" s="26" t="inlineStr">
        <is>
          <t>Samar</t>
        </is>
      </c>
      <c r="G329" s="26" t="inlineStr">
        <is>
          <t>Santa Rita</t>
        </is>
      </c>
      <c r="H329" s="26" t="inlineStr">
        <is>
          <t>Igang-igang</t>
        </is>
      </c>
      <c r="I329" s="27" t="n">
        <v>11.46552</v>
      </c>
      <c r="J329" s="27" t="n">
        <v>124.86147</v>
      </c>
      <c r="K329" s="10" t="inlineStr">
        <is>
          <t>R</t>
        </is>
      </c>
      <c r="L329" s="12" t="n">
        <v>718</v>
      </c>
      <c r="M329" s="14" t="n">
        <v>4.1</v>
      </c>
      <c r="N329" s="12">
        <f>ROUND(L329/M329, 0)</f>
        <v/>
      </c>
      <c r="O329" s="12">
        <f>ROUND(N329*'Methodology &amp; Assumptions'!$B$5, 0)</f>
        <v/>
      </c>
      <c r="P329" s="10" t="inlineStr">
        <is>
          <t>Single Carrier (Band n50, 100MHz TDD)</t>
        </is>
      </c>
      <c r="Q329" s="13">
        <f>ROUNDUP(O329/'Methodology &amp; Assumptions'!$B$6, 0)</f>
        <v/>
      </c>
      <c r="R329" s="13" t="n">
        <v>1</v>
      </c>
      <c r="S329" s="14" t="n">
        <v>26.3</v>
      </c>
      <c r="T329" s="14" t="n">
        <v>25.25</v>
      </c>
      <c r="U329" s="26">
        <f>IF(X329&gt;='Methodology &amp; Assumptions'!$B$7, "Tier 1 Critical GIDA (Score ≥ 50.0)", IF(X329&gt;='Methodology &amp; Assumptions'!$B$8, "Tier 2 High GIDA (Score 40.0–49.9)", "Tier 3 Moderate GIDA (Score &lt; 40.0)"))</f>
        <v/>
      </c>
      <c r="V329" s="26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W329" s="28" t="n">
        <v>0.237</v>
      </c>
      <c r="X329" s="14" t="n">
        <v>50.16</v>
      </c>
      <c r="Y329" s="14">
        <f>ROUND(MIN(100, (X329/69.91)*100), 2)</f>
        <v/>
      </c>
    </row>
    <row r="330">
      <c r="A330" s="10" t="n">
        <v>2</v>
      </c>
      <c r="B330" s="10" t="n">
        <v>326</v>
      </c>
      <c r="C330" s="10" t="n">
        <v>1326</v>
      </c>
      <c r="D330" s="10" t="inlineStr">
        <is>
          <t>1381100043</t>
        </is>
      </c>
      <c r="E330" s="26" t="inlineStr">
        <is>
          <t>National Capital Region (NCR)</t>
        </is>
      </c>
      <c r="F330" s="26" t="inlineStr">
        <is>
          <t>Fourth District (Not a Province)</t>
        </is>
      </c>
      <c r="G330" s="26" t="inlineStr">
        <is>
          <t>Pasay City</t>
        </is>
      </c>
      <c r="H330" s="26" t="inlineStr">
        <is>
          <t>Barangay 43</t>
        </is>
      </c>
      <c r="I330" s="27" t="n">
        <v>14.560218</v>
      </c>
      <c r="J330" s="27" t="n">
        <v>121.020443</v>
      </c>
      <c r="K330" s="10" t="inlineStr">
        <is>
          <t>U</t>
        </is>
      </c>
      <c r="L330" s="12" t="n">
        <v>2694</v>
      </c>
      <c r="M330" s="14" t="n">
        <v>3.4</v>
      </c>
      <c r="N330" s="12">
        <f>ROUND(L330/M330, 0)</f>
        <v/>
      </c>
      <c r="O330" s="12">
        <f>ROUND(N330*'Methodology &amp; Assumptions'!$B$5, 0)</f>
        <v/>
      </c>
      <c r="P330" s="10" t="inlineStr">
        <is>
          <t>Single Carrier (Band n50, 100MHz TDD)</t>
        </is>
      </c>
      <c r="Q330" s="13">
        <f>ROUNDUP(O330/'Methodology &amp; Assumptions'!$B$6, 0)</f>
        <v/>
      </c>
      <c r="R330" s="13" t="n">
        <v>1</v>
      </c>
      <c r="S330" s="14" t="n">
        <v>0.34</v>
      </c>
      <c r="T330" s="14" t="n">
        <v>0.09</v>
      </c>
      <c r="U330" s="26">
        <f>IF(X330&gt;='Methodology &amp; Assumptions'!$B$7, "Tier 1 Critical GIDA (Score ≥ 50.0)", IF(X330&gt;='Methodology &amp; Assumptions'!$B$8, "Tier 2 High GIDA (Score 40.0–49.9)", "Tier 3 Moderate GIDA (Score &lt; 40.0)"))</f>
        <v/>
      </c>
      <c r="V330" s="26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W330" s="28" t="n">
        <v>0.109</v>
      </c>
      <c r="X330" s="14" t="n">
        <v>50.16</v>
      </c>
      <c r="Y330" s="14">
        <f>ROUND(MIN(100, (X330/69.91)*100), 2)</f>
        <v/>
      </c>
    </row>
    <row r="331">
      <c r="A331" s="10" t="n">
        <v>2</v>
      </c>
      <c r="B331" s="10" t="n">
        <v>327</v>
      </c>
      <c r="C331" s="10" t="n">
        <v>1327</v>
      </c>
      <c r="D331" s="10" t="inlineStr">
        <is>
          <t>1906612007</t>
        </is>
      </c>
      <c r="E331" s="26" t="inlineStr">
        <is>
          <t>Bangsamoro Autonomous Region In Muslim Mindanao (BARMM)</t>
        </is>
      </c>
      <c r="F331" s="26" t="inlineStr">
        <is>
          <t>Sulu</t>
        </is>
      </c>
      <c r="G331" s="26" t="inlineStr">
        <is>
          <t>Siasi</t>
        </is>
      </c>
      <c r="H331" s="26" t="inlineStr">
        <is>
          <t>Bulihkullul</t>
        </is>
      </c>
      <c r="I331" s="27" t="n">
        <v>17.255474</v>
      </c>
      <c r="J331" s="27" t="n">
        <v>122.229518</v>
      </c>
      <c r="K331" s="10" t="inlineStr">
        <is>
          <t>R</t>
        </is>
      </c>
      <c r="L331" s="12" t="n">
        <v>1038</v>
      </c>
      <c r="M331" s="14" t="n">
        <v>6</v>
      </c>
      <c r="N331" s="12">
        <f>ROUND(L331/M331, 0)</f>
        <v/>
      </c>
      <c r="O331" s="12">
        <f>ROUND(N331*'Methodology &amp; Assumptions'!$B$5, 0)</f>
        <v/>
      </c>
      <c r="P331" s="10" t="inlineStr">
        <is>
          <t>Single Carrier (Band n50, 100MHz TDD)</t>
        </is>
      </c>
      <c r="Q331" s="13">
        <f>ROUNDUP(O331/'Methodology &amp; Assumptions'!$B$6, 0)</f>
        <v/>
      </c>
      <c r="R331" s="13" t="n">
        <v>1</v>
      </c>
      <c r="S331" s="14" t="n">
        <v>29.51</v>
      </c>
      <c r="T331" s="14" t="n">
        <v>34.38</v>
      </c>
      <c r="U331" s="26">
        <f>IF(X331&gt;='Methodology &amp; Assumptions'!$B$7, "Tier 1 Critical GIDA (Score ≥ 50.0)", IF(X331&gt;='Methodology &amp; Assumptions'!$B$8, "Tier 2 High GIDA (Score 40.0–49.9)", "Tier 3 Moderate GIDA (Score &lt; 40.0)"))</f>
        <v/>
      </c>
      <c r="V331" s="26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W331" s="28" t="n">
        <v>0.11</v>
      </c>
      <c r="X331" s="14" t="n">
        <v>50.16</v>
      </c>
      <c r="Y331" s="14">
        <f>ROUND(MIN(100, (X331/69.91)*100), 2)</f>
        <v/>
      </c>
    </row>
    <row r="332">
      <c r="A332" s="10" t="n">
        <v>2</v>
      </c>
      <c r="B332" s="10" t="n">
        <v>328</v>
      </c>
      <c r="C332" s="10" t="n">
        <v>1328</v>
      </c>
      <c r="D332" s="10" t="inlineStr">
        <is>
          <t>0804824002</t>
        </is>
      </c>
      <c r="E332" s="26" t="inlineStr">
        <is>
          <t>Region VIII (Eastern Visayas)</t>
        </is>
      </c>
      <c r="F332" s="26" t="inlineStr">
        <is>
          <t>Northern Samar</t>
        </is>
      </c>
      <c r="G332" s="26" t="inlineStr">
        <is>
          <t>Lope De Vega</t>
        </is>
      </c>
      <c r="H332" s="26" t="inlineStr">
        <is>
          <t>Bonifacio</t>
        </is>
      </c>
      <c r="I332" s="27" t="n">
        <v>12.273512</v>
      </c>
      <c r="J332" s="27" t="n">
        <v>124.608327</v>
      </c>
      <c r="K332" s="10" t="inlineStr">
        <is>
          <t>R</t>
        </is>
      </c>
      <c r="L332" s="12" t="n">
        <v>867</v>
      </c>
      <c r="M332" s="14" t="n">
        <v>4.3</v>
      </c>
      <c r="N332" s="12">
        <f>ROUND(L332/M332, 0)</f>
        <v/>
      </c>
      <c r="O332" s="12">
        <f>ROUND(N332*'Methodology &amp; Assumptions'!$B$5, 0)</f>
        <v/>
      </c>
      <c r="P332" s="10" t="inlineStr">
        <is>
          <t>Single Carrier (Band n50, 100MHz TDD)</t>
        </is>
      </c>
      <c r="Q332" s="13">
        <f>ROUNDUP(O332/'Methodology &amp; Assumptions'!$B$6, 0)</f>
        <v/>
      </c>
      <c r="R332" s="13" t="n">
        <v>1</v>
      </c>
      <c r="S332" s="14" t="n">
        <v>66.94</v>
      </c>
      <c r="T332" s="14" t="n">
        <v>66.93000000000001</v>
      </c>
      <c r="U332" s="26">
        <f>IF(X332&gt;='Methodology &amp; Assumptions'!$B$7, "Tier 1 Critical GIDA (Score ≥ 50.0)", IF(X332&gt;='Methodology &amp; Assumptions'!$B$8, "Tier 2 High GIDA (Score 40.0–49.9)", "Tier 3 Moderate GIDA (Score &lt; 40.0)"))</f>
        <v/>
      </c>
      <c r="V332" s="26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W332" s="28" t="n">
        <v>0.237</v>
      </c>
      <c r="X332" s="14" t="n">
        <v>50.16</v>
      </c>
      <c r="Y332" s="14">
        <f>ROUND(MIN(100, (X332/69.91)*100), 2)</f>
        <v/>
      </c>
    </row>
    <row r="333">
      <c r="A333" s="10" t="n">
        <v>2</v>
      </c>
      <c r="B333" s="10" t="n">
        <v>329</v>
      </c>
      <c r="C333" s="10" t="n">
        <v>1329</v>
      </c>
      <c r="D333" s="10" t="inlineStr">
        <is>
          <t>0806012013</t>
        </is>
      </c>
      <c r="E333" s="26" t="inlineStr">
        <is>
          <t>Region VIII (Eastern Visayas)</t>
        </is>
      </c>
      <c r="F333" s="26" t="inlineStr">
        <is>
          <t>Samar</t>
        </is>
      </c>
      <c r="G333" s="26" t="inlineStr">
        <is>
          <t>Motiong</t>
        </is>
      </c>
      <c r="H333" s="26" t="inlineStr">
        <is>
          <t>Candomacol</t>
        </is>
      </c>
      <c r="I333" s="27" t="n">
        <v>11.82656</v>
      </c>
      <c r="J333" s="27" t="n">
        <v>125.022173</v>
      </c>
      <c r="K333" s="10" t="inlineStr">
        <is>
          <t>R</t>
        </is>
      </c>
      <c r="L333" s="12" t="n">
        <v>392</v>
      </c>
      <c r="M333" s="14" t="n">
        <v>4.1</v>
      </c>
      <c r="N333" s="12">
        <f>ROUND(L333/M333, 0)</f>
        <v/>
      </c>
      <c r="O333" s="12">
        <f>ROUND(N333*'Methodology &amp; Assumptions'!$B$5, 0)</f>
        <v/>
      </c>
      <c r="P333" s="10" t="inlineStr">
        <is>
          <t>Single Carrier (Band n50, 100MHz TDD)</t>
        </is>
      </c>
      <c r="Q333" s="13">
        <f>ROUNDUP(O333/'Methodology &amp; Assumptions'!$B$6, 0)</f>
        <v/>
      </c>
      <c r="R333" s="13" t="n">
        <v>1</v>
      </c>
      <c r="S333" s="14" t="n">
        <v>65.3</v>
      </c>
      <c r="T333" s="14" t="n">
        <v>68.3</v>
      </c>
      <c r="U333" s="26">
        <f>IF(X333&gt;='Methodology &amp; Assumptions'!$B$7, "Tier 1 Critical GIDA (Score ≥ 50.0)", IF(X333&gt;='Methodology &amp; Assumptions'!$B$8, "Tier 2 High GIDA (Score 40.0–49.9)", "Tier 3 Moderate GIDA (Score &lt; 40.0)"))</f>
        <v/>
      </c>
      <c r="V333" s="26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W333" s="28" t="n">
        <v>0.237</v>
      </c>
      <c r="X333" s="14" t="n">
        <v>50.16</v>
      </c>
      <c r="Y333" s="14">
        <f>ROUND(MIN(100, (X333/69.91)*100), 2)</f>
        <v/>
      </c>
    </row>
    <row r="334">
      <c r="A334" s="10" t="n">
        <v>2</v>
      </c>
      <c r="B334" s="10" t="n">
        <v>330</v>
      </c>
      <c r="C334" s="10" t="n">
        <v>1330</v>
      </c>
      <c r="D334" s="10" t="inlineStr">
        <is>
          <t>1381300067</t>
        </is>
      </c>
      <c r="E334" s="26" t="inlineStr">
        <is>
          <t>National Capital Region (NCR)</t>
        </is>
      </c>
      <c r="F334" s="26" t="inlineStr">
        <is>
          <t>Second District (Not a Province)</t>
        </is>
      </c>
      <c r="G334" s="26" t="inlineStr">
        <is>
          <t>Quezon City</t>
        </is>
      </c>
      <c r="H334" s="26" t="inlineStr">
        <is>
          <t>Milagrosa</t>
        </is>
      </c>
      <c r="I334" s="27" t="n">
        <v>14.62179</v>
      </c>
      <c r="J334" s="27" t="n">
        <v>121.068245</v>
      </c>
      <c r="K334" s="10" t="inlineStr">
        <is>
          <t>U</t>
        </is>
      </c>
      <c r="L334" s="12" t="n">
        <v>7059</v>
      </c>
      <c r="M334" s="14" t="n">
        <v>3.8</v>
      </c>
      <c r="N334" s="12">
        <f>ROUND(L334/M334, 0)</f>
        <v/>
      </c>
      <c r="O334" s="12">
        <f>ROUND(N334*'Methodology &amp; Assumptions'!$B$5, 0)</f>
        <v/>
      </c>
      <c r="P334" s="10" t="inlineStr">
        <is>
          <t>Single Carrier (Band n50, 100MHz TDD)</t>
        </is>
      </c>
      <c r="Q334" s="13">
        <f>ROUNDUP(O334/'Methodology &amp; Assumptions'!$B$6, 0)</f>
        <v/>
      </c>
      <c r="R334" s="13" t="n">
        <v>1</v>
      </c>
      <c r="S334" s="14" t="n">
        <v>0.53</v>
      </c>
      <c r="T334" s="14" t="n">
        <v>0.52</v>
      </c>
      <c r="U334" s="26">
        <f>IF(X334&gt;='Methodology &amp; Assumptions'!$B$7, "Tier 1 Critical GIDA (Score ≥ 50.0)", IF(X334&gt;='Methodology &amp; Assumptions'!$B$8, "Tier 2 High GIDA (Score 40.0–49.9)", "Tier 3 Moderate GIDA (Score &lt; 40.0)"))</f>
        <v/>
      </c>
      <c r="V334" s="26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W334" s="28" t="n">
        <v>0.109</v>
      </c>
      <c r="X334" s="14" t="n">
        <v>50.16</v>
      </c>
      <c r="Y334" s="14">
        <f>ROUND(MIN(100, (X334/69.91)*100), 2)</f>
        <v/>
      </c>
    </row>
    <row r="335">
      <c r="A335" s="10" t="n">
        <v>2</v>
      </c>
      <c r="B335" s="10" t="n">
        <v>331</v>
      </c>
      <c r="C335" s="10" t="n">
        <v>1331</v>
      </c>
      <c r="D335" s="10" t="inlineStr">
        <is>
          <t>0806023005</t>
        </is>
      </c>
      <c r="E335" s="26" t="inlineStr">
        <is>
          <t>Region VIII (Eastern Visayas)</t>
        </is>
      </c>
      <c r="F335" s="26" t="inlineStr">
        <is>
          <t>Samar</t>
        </is>
      </c>
      <c r="G335" s="26" t="inlineStr">
        <is>
          <t>Zumarraga</t>
        </is>
      </c>
      <c r="H335" s="26" t="inlineStr">
        <is>
          <t>Botaera</t>
        </is>
      </c>
      <c r="I335" s="27" t="n">
        <v>11.66809</v>
      </c>
      <c r="J335" s="27" t="n">
        <v>124.84101</v>
      </c>
      <c r="K335" s="10" t="inlineStr">
        <is>
          <t>R</t>
        </is>
      </c>
      <c r="L335" s="12" t="n">
        <v>660</v>
      </c>
      <c r="M335" s="14" t="n">
        <v>4.1</v>
      </c>
      <c r="N335" s="12">
        <f>ROUND(L335/M335, 0)</f>
        <v/>
      </c>
      <c r="O335" s="12">
        <f>ROUND(N335*'Methodology &amp; Assumptions'!$B$5, 0)</f>
        <v/>
      </c>
      <c r="P335" s="10" t="inlineStr">
        <is>
          <t>Single Carrier (Band n50, 100MHz TDD)</t>
        </is>
      </c>
      <c r="Q335" s="13">
        <f>ROUNDUP(O335/'Methodology &amp; Assumptions'!$B$6, 0)</f>
        <v/>
      </c>
      <c r="R335" s="13" t="n">
        <v>1</v>
      </c>
      <c r="S335" s="14" t="n">
        <v>44.16</v>
      </c>
      <c r="T335" s="14" t="n">
        <v>44.1</v>
      </c>
      <c r="U335" s="26">
        <f>IF(X335&gt;='Methodology &amp; Assumptions'!$B$7, "Tier 1 Critical GIDA (Score ≥ 50.0)", IF(X335&gt;='Methodology &amp; Assumptions'!$B$8, "Tier 2 High GIDA (Score 40.0–49.9)", "Tier 3 Moderate GIDA (Score &lt; 40.0)"))</f>
        <v/>
      </c>
      <c r="V335" s="26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W335" s="28" t="n">
        <v>0.237</v>
      </c>
      <c r="X335" s="14" t="n">
        <v>50.16</v>
      </c>
      <c r="Y335" s="14">
        <f>ROUND(MIN(100, (X335/69.91)*100), 2)</f>
        <v/>
      </c>
    </row>
    <row r="336">
      <c r="A336" s="10" t="n">
        <v>2</v>
      </c>
      <c r="B336" s="10" t="n">
        <v>332</v>
      </c>
      <c r="C336" s="10" t="n">
        <v>1332</v>
      </c>
      <c r="D336" s="10" t="inlineStr">
        <is>
          <t>0201521022</t>
        </is>
      </c>
      <c r="E336" s="26" t="inlineStr">
        <is>
          <t>Region II (Cagayan Valley)</t>
        </is>
      </c>
      <c r="F336" s="26" t="inlineStr">
        <is>
          <t>Cagayan</t>
        </is>
      </c>
      <c r="G336" s="26" t="inlineStr">
        <is>
          <t>Rizal</t>
        </is>
      </c>
      <c r="H336" s="26" t="inlineStr">
        <is>
          <t>Pasingan</t>
        </is>
      </c>
      <c r="I336" s="27" t="n">
        <v>17.84928</v>
      </c>
      <c r="J336" s="27" t="n">
        <v>121.388207</v>
      </c>
      <c r="K336" s="10" t="inlineStr">
        <is>
          <t>R</t>
        </is>
      </c>
      <c r="L336" s="12" t="n">
        <v>206</v>
      </c>
      <c r="M336" s="14" t="n">
        <v>3.6</v>
      </c>
      <c r="N336" s="12">
        <f>ROUND(L336/M336, 0)</f>
        <v/>
      </c>
      <c r="O336" s="12">
        <f>ROUND(N336*'Methodology &amp; Assumptions'!$B$5, 0)</f>
        <v/>
      </c>
      <c r="P336" s="10" t="inlineStr">
        <is>
          <t>Single Carrier (Band n50, 100MHz TDD)</t>
        </is>
      </c>
      <c r="Q336" s="13">
        <f>ROUNDUP(O336/'Methodology &amp; Assumptions'!$B$6, 0)</f>
        <v/>
      </c>
      <c r="R336" s="13" t="n">
        <v>1</v>
      </c>
      <c r="S336" s="14" t="n">
        <v>0.59</v>
      </c>
      <c r="T336" s="14" t="n">
        <v>8.17</v>
      </c>
      <c r="U336" s="26">
        <f>IF(X336&gt;='Methodology &amp; Assumptions'!$B$7, "Tier 1 Critical GIDA (Score ≥ 50.0)", IF(X336&gt;='Methodology &amp; Assumptions'!$B$8, "Tier 2 High GIDA (Score 40.0–49.9)", "Tier 3 Moderate GIDA (Score &lt; 40.0)"))</f>
        <v/>
      </c>
      <c r="V336" s="26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W336" s="28" t="n">
        <v>0.083</v>
      </c>
      <c r="X336" s="14" t="n">
        <v>50.15</v>
      </c>
      <c r="Y336" s="14">
        <f>ROUND(MIN(100, (X336/69.91)*100), 2)</f>
        <v/>
      </c>
    </row>
    <row r="337">
      <c r="A337" s="10" t="n">
        <v>2</v>
      </c>
      <c r="B337" s="10" t="n">
        <v>333</v>
      </c>
      <c r="C337" s="10" t="n">
        <v>1333</v>
      </c>
      <c r="D337" s="10" t="inlineStr">
        <is>
          <t>0806012022</t>
        </is>
      </c>
      <c r="E337" s="26" t="inlineStr">
        <is>
          <t>Region VIII (Eastern Visayas)</t>
        </is>
      </c>
      <c r="F337" s="26" t="inlineStr">
        <is>
          <t>Samar</t>
        </is>
      </c>
      <c r="G337" s="26" t="inlineStr">
        <is>
          <t>Motiong</t>
        </is>
      </c>
      <c r="H337" s="26" t="inlineStr">
        <is>
          <t>Malonoy</t>
        </is>
      </c>
      <c r="I337" s="27" t="n">
        <v>11.94355</v>
      </c>
      <c r="J337" s="27" t="n">
        <v>125.04714</v>
      </c>
      <c r="K337" s="10" t="inlineStr">
        <is>
          <t>R</t>
        </is>
      </c>
      <c r="L337" s="12" t="n">
        <v>158</v>
      </c>
      <c r="M337" s="14" t="n">
        <v>4.1</v>
      </c>
      <c r="N337" s="12">
        <f>ROUND(L337/M337, 0)</f>
        <v/>
      </c>
      <c r="O337" s="12">
        <f>ROUND(N337*'Methodology &amp; Assumptions'!$B$5, 0)</f>
        <v/>
      </c>
      <c r="P337" s="10" t="inlineStr">
        <is>
          <t>Single Carrier (Band n50, 100MHz TDD)</t>
        </is>
      </c>
      <c r="Q337" s="13">
        <f>ROUNDUP(O337/'Methodology &amp; Assumptions'!$B$6, 0)</f>
        <v/>
      </c>
      <c r="R337" s="13" t="n">
        <v>1</v>
      </c>
      <c r="S337" s="14" t="n">
        <v>78.43000000000001</v>
      </c>
      <c r="T337" s="14" t="n">
        <v>81.38</v>
      </c>
      <c r="U337" s="26">
        <f>IF(X337&gt;='Methodology &amp; Assumptions'!$B$7, "Tier 1 Critical GIDA (Score ≥ 50.0)", IF(X337&gt;='Methodology &amp; Assumptions'!$B$8, "Tier 2 High GIDA (Score 40.0–49.9)", "Tier 3 Moderate GIDA (Score &lt; 40.0)"))</f>
        <v/>
      </c>
      <c r="V337" s="26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W337" s="28" t="n">
        <v>0.237</v>
      </c>
      <c r="X337" s="14" t="n">
        <v>50.15</v>
      </c>
      <c r="Y337" s="14">
        <f>ROUND(MIN(100, (X337/69.91)*100), 2)</f>
        <v/>
      </c>
    </row>
    <row r="338">
      <c r="A338" s="10" t="n">
        <v>2</v>
      </c>
      <c r="B338" s="10" t="n">
        <v>334</v>
      </c>
      <c r="C338" s="10" t="n">
        <v>1334</v>
      </c>
      <c r="D338" s="10" t="inlineStr">
        <is>
          <t>0804824017</t>
        </is>
      </c>
      <c r="E338" s="26" t="inlineStr">
        <is>
          <t>Region VIII (Eastern Visayas)</t>
        </is>
      </c>
      <c r="F338" s="26" t="inlineStr">
        <is>
          <t>Northern Samar</t>
        </is>
      </c>
      <c r="G338" s="26" t="inlineStr">
        <is>
          <t>Lope De Vega</t>
        </is>
      </c>
      <c r="H338" s="26" t="inlineStr">
        <is>
          <t>Sampaguita</t>
        </is>
      </c>
      <c r="I338" s="27" t="n">
        <v>12.306698</v>
      </c>
      <c r="J338" s="27" t="n">
        <v>124.638651</v>
      </c>
      <c r="K338" s="10" t="inlineStr">
        <is>
          <t>R</t>
        </is>
      </c>
      <c r="L338" s="12" t="n">
        <v>154</v>
      </c>
      <c r="M338" s="14" t="n">
        <v>4.3</v>
      </c>
      <c r="N338" s="12">
        <f>ROUND(L338/M338, 0)</f>
        <v/>
      </c>
      <c r="O338" s="12">
        <f>ROUND(N338*'Methodology &amp; Assumptions'!$B$5, 0)</f>
        <v/>
      </c>
      <c r="P338" s="10" t="inlineStr">
        <is>
          <t>Single Carrier (Band n50, 100MHz TDD)</t>
        </is>
      </c>
      <c r="Q338" s="13">
        <f>ROUNDUP(O338/'Methodology &amp; Assumptions'!$B$6, 0)</f>
        <v/>
      </c>
      <c r="R338" s="13" t="n">
        <v>1</v>
      </c>
      <c r="S338" s="14" t="n">
        <v>68.01000000000001</v>
      </c>
      <c r="T338" s="14" t="n">
        <v>68</v>
      </c>
      <c r="U338" s="26">
        <f>IF(X338&gt;='Methodology &amp; Assumptions'!$B$7, "Tier 1 Critical GIDA (Score ≥ 50.0)", IF(X338&gt;='Methodology &amp; Assumptions'!$B$8, "Tier 2 High GIDA (Score 40.0–49.9)", "Tier 3 Moderate GIDA (Score &lt; 40.0)"))</f>
        <v/>
      </c>
      <c r="V338" s="26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W338" s="28" t="n">
        <v>0.237</v>
      </c>
      <c r="X338" s="14" t="n">
        <v>50.15</v>
      </c>
      <c r="Y338" s="14">
        <f>ROUND(MIN(100, (X338/69.91)*100), 2)</f>
        <v/>
      </c>
    </row>
    <row r="339">
      <c r="A339" s="10" t="n">
        <v>2</v>
      </c>
      <c r="B339" s="10" t="n">
        <v>335</v>
      </c>
      <c r="C339" s="10" t="n">
        <v>1335</v>
      </c>
      <c r="D339" s="10" t="inlineStr">
        <is>
          <t>1380601093</t>
        </is>
      </c>
      <c r="E339" s="26" t="inlineStr">
        <is>
          <t>National Capital Region (NCR)</t>
        </is>
      </c>
      <c r="F339" s="26" t="inlineStr">
        <is>
          <t>First District (Not a Province)</t>
        </is>
      </c>
      <c r="G339" s="26" t="inlineStr">
        <is>
          <t>City of Manila</t>
        </is>
      </c>
      <c r="H339" s="26" t="inlineStr">
        <is>
          <t>Barangay 93</t>
        </is>
      </c>
      <c r="I339" s="27" t="n">
        <v>12.822542</v>
      </c>
      <c r="J339" s="27" t="n">
        <v>121.509522</v>
      </c>
      <c r="K339" s="10" t="inlineStr">
        <is>
          <t>U</t>
        </is>
      </c>
      <c r="L339" s="12" t="n">
        <v>4080</v>
      </c>
      <c r="M339" s="14" t="n">
        <v>3.9</v>
      </c>
      <c r="N339" s="12">
        <f>ROUND(L339/M339, 0)</f>
        <v/>
      </c>
      <c r="O339" s="12">
        <f>ROUND(N339*'Methodology &amp; Assumptions'!$B$5, 0)</f>
        <v/>
      </c>
      <c r="P339" s="10" t="inlineStr">
        <is>
          <t>Single Carrier (Band n50, 100MHz TDD)</t>
        </is>
      </c>
      <c r="Q339" s="13">
        <f>ROUNDUP(O339/'Methodology &amp; Assumptions'!$B$6, 0)</f>
        <v/>
      </c>
      <c r="R339" s="13" t="n">
        <v>1</v>
      </c>
      <c r="S339" s="14" t="n">
        <v>5.52</v>
      </c>
      <c r="T339" s="14" t="n">
        <v>4.58</v>
      </c>
      <c r="U339" s="26">
        <f>IF(X339&gt;='Methodology &amp; Assumptions'!$B$7, "Tier 1 Critical GIDA (Score ≥ 50.0)", IF(X339&gt;='Methodology &amp; Assumptions'!$B$8, "Tier 2 High GIDA (Score 40.0–49.9)", "Tier 3 Moderate GIDA (Score &lt; 40.0)"))</f>
        <v/>
      </c>
      <c r="V339" s="26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W339" s="28" t="n">
        <v>0.109</v>
      </c>
      <c r="X339" s="14" t="n">
        <v>50.15</v>
      </c>
      <c r="Y339" s="14">
        <f>ROUND(MIN(100, (X339/69.91)*100), 2)</f>
        <v/>
      </c>
    </row>
    <row r="340">
      <c r="A340" s="10" t="n">
        <v>2</v>
      </c>
      <c r="B340" s="10" t="n">
        <v>336</v>
      </c>
      <c r="C340" s="10" t="n">
        <v>1336</v>
      </c>
      <c r="D340" s="10" t="inlineStr">
        <is>
          <t>0804807014</t>
        </is>
      </c>
      <c r="E340" s="26" t="inlineStr">
        <is>
          <t>Region VIII (Eastern Visayas)</t>
        </is>
      </c>
      <c r="F340" s="26" t="inlineStr">
        <is>
          <t>Northern Samar</t>
        </is>
      </c>
      <c r="G340" s="26" t="inlineStr">
        <is>
          <t>Gamay</t>
        </is>
      </c>
      <c r="H340" s="26" t="inlineStr">
        <is>
          <t>Lonoy</t>
        </is>
      </c>
      <c r="I340" s="27" t="n">
        <v>12.357507</v>
      </c>
      <c r="J340" s="27" t="n">
        <v>125.210729</v>
      </c>
      <c r="K340" s="10" t="inlineStr">
        <is>
          <t>R</t>
        </is>
      </c>
      <c r="L340" s="12" t="n">
        <v>145</v>
      </c>
      <c r="M340" s="14" t="n">
        <v>4.3</v>
      </c>
      <c r="N340" s="12">
        <f>ROUND(L340/M340, 0)</f>
        <v/>
      </c>
      <c r="O340" s="12">
        <f>ROUND(N340*'Methodology &amp; Assumptions'!$B$5, 0)</f>
        <v/>
      </c>
      <c r="P340" s="10" t="inlineStr">
        <is>
          <t>Single Carrier (Band n50, 100MHz TDD)</t>
        </is>
      </c>
      <c r="Q340" s="13">
        <f>ROUNDUP(O340/'Methodology &amp; Assumptions'!$B$6, 0)</f>
        <v/>
      </c>
      <c r="R340" s="13" t="n">
        <v>1</v>
      </c>
      <c r="S340" s="14" t="n">
        <v>124.16</v>
      </c>
      <c r="T340" s="14" t="n">
        <v>123.41</v>
      </c>
      <c r="U340" s="26">
        <f>IF(X340&gt;='Methodology &amp; Assumptions'!$B$7, "Tier 1 Critical GIDA (Score ≥ 50.0)", IF(X340&gt;='Methodology &amp; Assumptions'!$B$8, "Tier 2 High GIDA (Score 40.0–49.9)", "Tier 3 Moderate GIDA (Score &lt; 40.0)"))</f>
        <v/>
      </c>
      <c r="V340" s="26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W340" s="28" t="n">
        <v>0.237</v>
      </c>
      <c r="X340" s="14" t="n">
        <v>50.15</v>
      </c>
      <c r="Y340" s="14">
        <f>ROUND(MIN(100, (X340/69.91)*100), 2)</f>
        <v/>
      </c>
    </row>
    <row r="341">
      <c r="A341" s="10" t="n">
        <v>2</v>
      </c>
      <c r="B341" s="10" t="n">
        <v>337</v>
      </c>
      <c r="C341" s="10" t="n">
        <v>1337</v>
      </c>
      <c r="D341" s="10" t="inlineStr">
        <is>
          <t>0401005061</t>
        </is>
      </c>
      <c r="E341" s="26" t="inlineStr">
        <is>
          <t>Region IV-A (CALABARZON)</t>
        </is>
      </c>
      <c r="F341" s="26" t="inlineStr">
        <is>
          <t>Batangas</t>
        </is>
      </c>
      <c r="G341" s="26" t="inlineStr">
        <is>
          <t>Batangas City</t>
        </is>
      </c>
      <c r="H341" s="26" t="inlineStr">
        <is>
          <t>Barangay 15</t>
        </is>
      </c>
      <c r="I341" s="27" t="n">
        <v>13.712328</v>
      </c>
      <c r="J341" s="27" t="n">
        <v>121.086338</v>
      </c>
      <c r="K341" s="10" t="inlineStr">
        <is>
          <t>U</t>
        </is>
      </c>
      <c r="L341" s="12" t="n">
        <v>201</v>
      </c>
      <c r="M341" s="14" t="n">
        <v>3.6</v>
      </c>
      <c r="N341" s="12">
        <f>ROUND(L341/M341, 0)</f>
        <v/>
      </c>
      <c r="O341" s="12">
        <f>ROUND(N341*'Methodology &amp; Assumptions'!$B$5, 0)</f>
        <v/>
      </c>
      <c r="P341" s="10" t="inlineStr">
        <is>
          <t>Single Carrier (Band n50, 100MHz TDD)</t>
        </is>
      </c>
      <c r="Q341" s="13">
        <f>ROUNDUP(O341/'Methodology &amp; Assumptions'!$B$6, 0)</f>
        <v/>
      </c>
      <c r="R341" s="13" t="n">
        <v>1</v>
      </c>
      <c r="S341" s="14" t="n">
        <v>3.77</v>
      </c>
      <c r="T341" s="14" t="n">
        <v>5.54</v>
      </c>
      <c r="U341" s="26">
        <f>IF(X341&gt;='Methodology &amp; Assumptions'!$B$7, "Tier 1 Critical GIDA (Score ≥ 50.0)", IF(X341&gt;='Methodology &amp; Assumptions'!$B$8, "Tier 2 High GIDA (Score 40.0–49.9)", "Tier 3 Moderate GIDA (Score &lt; 40.0)"))</f>
        <v/>
      </c>
      <c r="V341" s="26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W341" s="28" t="n">
        <v>0.07200000000000001</v>
      </c>
      <c r="X341" s="14" t="n">
        <v>50.15</v>
      </c>
      <c r="Y341" s="14">
        <f>ROUND(MIN(100, (X341/69.91)*100), 2)</f>
        <v/>
      </c>
    </row>
    <row r="342">
      <c r="A342" s="10" t="n">
        <v>2</v>
      </c>
      <c r="B342" s="10" t="n">
        <v>338</v>
      </c>
      <c r="C342" s="10" t="n">
        <v>1338</v>
      </c>
      <c r="D342" s="10" t="inlineStr">
        <is>
          <t>0802607027</t>
        </is>
      </c>
      <c r="E342" s="26" t="inlineStr">
        <is>
          <t>Region VIII (Eastern Visayas)</t>
        </is>
      </c>
      <c r="F342" s="26" t="inlineStr">
        <is>
          <t>Eastern Samar</t>
        </is>
      </c>
      <c r="G342" s="26" t="inlineStr">
        <is>
          <t>General Macarthur</t>
        </is>
      </c>
      <c r="H342" s="26" t="inlineStr">
        <is>
          <t>Macapagal</t>
        </is>
      </c>
      <c r="I342" s="27" t="n">
        <v>11.241628</v>
      </c>
      <c r="J342" s="27" t="n">
        <v>125.452721</v>
      </c>
      <c r="K342" s="10" t="inlineStr">
        <is>
          <t>R</t>
        </is>
      </c>
      <c r="L342" s="12" t="n">
        <v>114</v>
      </c>
      <c r="M342" s="14" t="n">
        <v>3.9</v>
      </c>
      <c r="N342" s="12">
        <f>ROUND(L342/M342, 0)</f>
        <v/>
      </c>
      <c r="O342" s="12">
        <f>ROUND(N342*'Methodology &amp; Assumptions'!$B$5, 0)</f>
        <v/>
      </c>
      <c r="P342" s="10" t="inlineStr">
        <is>
          <t>Single Carrier (Band n50, 100MHz TDD)</t>
        </is>
      </c>
      <c r="Q342" s="13">
        <f>ROUNDUP(O342/'Methodology &amp; Assumptions'!$B$6, 0)</f>
        <v/>
      </c>
      <c r="R342" s="13" t="n">
        <v>1</v>
      </c>
      <c r="S342" s="14" t="n">
        <v>48.46</v>
      </c>
      <c r="T342" s="14" t="n">
        <v>47.36</v>
      </c>
      <c r="U342" s="26">
        <f>IF(X342&gt;='Methodology &amp; Assumptions'!$B$7, "Tier 1 Critical GIDA (Score ≥ 50.0)", IF(X342&gt;='Methodology &amp; Assumptions'!$B$8, "Tier 2 High GIDA (Score 40.0–49.9)", "Tier 3 Moderate GIDA (Score &lt; 40.0)"))</f>
        <v/>
      </c>
      <c r="V342" s="26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W342" s="28" t="n">
        <v>0.237</v>
      </c>
      <c r="X342" s="14" t="n">
        <v>50.15</v>
      </c>
      <c r="Y342" s="14">
        <f>ROUND(MIN(100, (X342/69.91)*100), 2)</f>
        <v/>
      </c>
    </row>
    <row r="343">
      <c r="A343" s="10" t="n">
        <v>2</v>
      </c>
      <c r="B343" s="10" t="n">
        <v>339</v>
      </c>
      <c r="C343" s="10" t="n">
        <v>1339</v>
      </c>
      <c r="D343" s="10" t="inlineStr">
        <is>
          <t>1004217007</t>
        </is>
      </c>
      <c r="E343" s="26" t="inlineStr">
        <is>
          <t>Region X (Northern Mindanao)</t>
        </is>
      </c>
      <c r="F343" s="26" t="inlineStr">
        <is>
          <t>Misamis Occidental</t>
        </is>
      </c>
      <c r="G343" s="26" t="inlineStr">
        <is>
          <t>Don Victoriano Chiongbian</t>
        </is>
      </c>
      <c r="H343" s="26" t="inlineStr">
        <is>
          <t>Maramara</t>
        </is>
      </c>
      <c r="I343" s="27" t="n">
        <v>8.154035</v>
      </c>
      <c r="J343" s="27" t="n">
        <v>123.56562</v>
      </c>
      <c r="K343" s="10" t="inlineStr">
        <is>
          <t>R</t>
        </is>
      </c>
      <c r="L343" s="12" t="n">
        <v>522</v>
      </c>
      <c r="M343" s="14" t="n">
        <v>3.9</v>
      </c>
      <c r="N343" s="12">
        <f>ROUND(L343/M343, 0)</f>
        <v/>
      </c>
      <c r="O343" s="12">
        <f>ROUND(N343*'Methodology &amp; Assumptions'!$B$5, 0)</f>
        <v/>
      </c>
      <c r="P343" s="10" t="inlineStr">
        <is>
          <t>Single Carrier (Band n50, 100MHz TDD)</t>
        </is>
      </c>
      <c r="Q343" s="13">
        <f>ROUNDUP(O343/'Methodology &amp; Assumptions'!$B$6, 0)</f>
        <v/>
      </c>
      <c r="R343" s="13" t="n">
        <v>1</v>
      </c>
      <c r="S343" s="14" t="n">
        <v>22.51</v>
      </c>
      <c r="T343" s="14" t="n">
        <v>22.44</v>
      </c>
      <c r="U343" s="26">
        <f>IF(X343&gt;='Methodology &amp; Assumptions'!$B$7, "Tier 1 Critical GIDA (Score ≥ 50.0)", IF(X343&gt;='Methodology &amp; Assumptions'!$B$8, "Tier 2 High GIDA (Score 40.0–49.9)", "Tier 3 Moderate GIDA (Score &lt; 40.0)"))</f>
        <v/>
      </c>
      <c r="V343" s="26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W343" s="28" t="n">
        <v>0.174</v>
      </c>
      <c r="X343" s="14" t="n">
        <v>50.15</v>
      </c>
      <c r="Y343" s="14">
        <f>ROUND(MIN(100, (X343/69.91)*100), 2)</f>
        <v/>
      </c>
    </row>
    <row r="344">
      <c r="A344" s="10" t="n">
        <v>2</v>
      </c>
      <c r="B344" s="10" t="n">
        <v>340</v>
      </c>
      <c r="C344" s="10" t="n">
        <v>1340</v>
      </c>
      <c r="D344" s="10" t="inlineStr">
        <is>
          <t>1381100011</t>
        </is>
      </c>
      <c r="E344" s="26" t="inlineStr">
        <is>
          <t>National Capital Region (NCR)</t>
        </is>
      </c>
      <c r="F344" s="26" t="inlineStr">
        <is>
          <t>Fourth District (Not a Province)</t>
        </is>
      </c>
      <c r="G344" s="26" t="inlineStr">
        <is>
          <t>Pasay City</t>
        </is>
      </c>
      <c r="H344" s="26" t="inlineStr">
        <is>
          <t>Barangay 11</t>
        </is>
      </c>
      <c r="I344" s="27" t="n">
        <v>14.5144</v>
      </c>
      <c r="J344" s="27" t="n">
        <v>121.004909</v>
      </c>
      <c r="K344" s="10" t="inlineStr">
        <is>
          <t>U</t>
        </is>
      </c>
      <c r="L344" s="12" t="n">
        <v>420</v>
      </c>
      <c r="M344" s="14" t="n">
        <v>3.4</v>
      </c>
      <c r="N344" s="12">
        <f>ROUND(L344/M344, 0)</f>
        <v/>
      </c>
      <c r="O344" s="12">
        <f>ROUND(N344*'Methodology &amp; Assumptions'!$B$5, 0)</f>
        <v/>
      </c>
      <c r="P344" s="10" t="inlineStr">
        <is>
          <t>Single Carrier (Band n50, 100MHz TDD)</t>
        </is>
      </c>
      <c r="Q344" s="13">
        <f>ROUNDUP(O344/'Methodology &amp; Assumptions'!$B$6, 0)</f>
        <v/>
      </c>
      <c r="R344" s="13" t="n">
        <v>1</v>
      </c>
      <c r="S344" s="14" t="n">
        <v>0.63</v>
      </c>
      <c r="T344" s="14" t="n">
        <v>0.48</v>
      </c>
      <c r="U344" s="26">
        <f>IF(X344&gt;='Methodology &amp; Assumptions'!$B$7, "Tier 1 Critical GIDA (Score ≥ 50.0)", IF(X344&gt;='Methodology &amp; Assumptions'!$B$8, "Tier 2 High GIDA (Score 40.0–49.9)", "Tier 3 Moderate GIDA (Score &lt; 40.0)"))</f>
        <v/>
      </c>
      <c r="V344" s="26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W344" s="28" t="n">
        <v>0.109</v>
      </c>
      <c r="X344" s="14" t="n">
        <v>50.15</v>
      </c>
      <c r="Y344" s="14">
        <f>ROUND(MIN(100, (X344/69.91)*100), 2)</f>
        <v/>
      </c>
    </row>
    <row r="345">
      <c r="A345" s="10" t="n">
        <v>2</v>
      </c>
      <c r="B345" s="10" t="n">
        <v>341</v>
      </c>
      <c r="C345" s="10" t="n">
        <v>1341</v>
      </c>
      <c r="D345" s="10" t="inlineStr">
        <is>
          <t>1380601068</t>
        </is>
      </c>
      <c r="E345" s="26" t="inlineStr">
        <is>
          <t>National Capital Region (NCR)</t>
        </is>
      </c>
      <c r="F345" s="26" t="inlineStr">
        <is>
          <t>First District (Not a Province)</t>
        </is>
      </c>
      <c r="G345" s="26" t="inlineStr">
        <is>
          <t>City of Manila</t>
        </is>
      </c>
      <c r="H345" s="26" t="inlineStr">
        <is>
          <t>Barangay 68</t>
        </is>
      </c>
      <c r="I345" s="27" t="n">
        <v>13.09713</v>
      </c>
      <c r="J345" s="27" t="n">
        <v>121.930176</v>
      </c>
      <c r="K345" s="10" t="inlineStr">
        <is>
          <t>U</t>
        </is>
      </c>
      <c r="L345" s="12" t="n">
        <v>1149</v>
      </c>
      <c r="M345" s="14" t="n">
        <v>3.9</v>
      </c>
      <c r="N345" s="12">
        <f>ROUND(L345/M345, 0)</f>
        <v/>
      </c>
      <c r="O345" s="12">
        <f>ROUND(N345*'Methodology &amp; Assumptions'!$B$5, 0)</f>
        <v/>
      </c>
      <c r="P345" s="10" t="inlineStr">
        <is>
          <t>Single Carrier (Band n50, 100MHz TDD)</t>
        </is>
      </c>
      <c r="Q345" s="13">
        <f>ROUNDUP(O345/'Methodology &amp; Assumptions'!$B$6, 0)</f>
        <v/>
      </c>
      <c r="R345" s="13" t="n">
        <v>1</v>
      </c>
      <c r="S345" s="14" t="n">
        <v>46.01</v>
      </c>
      <c r="T345" s="14" t="n">
        <v>49.23</v>
      </c>
      <c r="U345" s="26">
        <f>IF(X345&gt;='Methodology &amp; Assumptions'!$B$7, "Tier 1 Critical GIDA (Score ≥ 50.0)", IF(X345&gt;='Methodology &amp; Assumptions'!$B$8, "Tier 2 High GIDA (Score 40.0–49.9)", "Tier 3 Moderate GIDA (Score &lt; 40.0)"))</f>
        <v/>
      </c>
      <c r="V345" s="26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W345" s="28" t="n">
        <v>0.109</v>
      </c>
      <c r="X345" s="14" t="n">
        <v>50.14</v>
      </c>
      <c r="Y345" s="14">
        <f>ROUND(MIN(100, (X345/69.91)*100), 2)</f>
        <v/>
      </c>
    </row>
    <row r="346">
      <c r="A346" s="10" t="n">
        <v>2</v>
      </c>
      <c r="B346" s="10" t="n">
        <v>342</v>
      </c>
      <c r="C346" s="10" t="n">
        <v>1342</v>
      </c>
      <c r="D346" s="10" t="inlineStr">
        <is>
          <t>0103304009</t>
        </is>
      </c>
      <c r="E346" s="26" t="inlineStr">
        <is>
          <t>Region I (Ilocos Region)</t>
        </is>
      </c>
      <c r="F346" s="26" t="inlineStr">
        <is>
          <t>La Union</t>
        </is>
      </c>
      <c r="G346" s="26" t="inlineStr">
        <is>
          <t>Bagulin</t>
        </is>
      </c>
      <c r="H346" s="26" t="inlineStr">
        <is>
          <t>Tio-angan</t>
        </is>
      </c>
      <c r="I346" s="27" t="n">
        <v>16.594271</v>
      </c>
      <c r="J346" s="27" t="n">
        <v>120.513821</v>
      </c>
      <c r="K346" s="10" t="inlineStr">
        <is>
          <t>R</t>
        </is>
      </c>
      <c r="L346" s="12" t="n">
        <v>998</v>
      </c>
      <c r="M346" s="14" t="n">
        <v>3.7</v>
      </c>
      <c r="N346" s="12">
        <f>ROUND(L346/M346, 0)</f>
        <v/>
      </c>
      <c r="O346" s="12">
        <f>ROUND(N346*'Methodology &amp; Assumptions'!$B$5, 0)</f>
        <v/>
      </c>
      <c r="P346" s="10" t="inlineStr">
        <is>
          <t>Single Carrier (Band n50, 100MHz TDD)</t>
        </is>
      </c>
      <c r="Q346" s="13">
        <f>ROUNDUP(O346/'Methodology &amp; Assumptions'!$B$6, 0)</f>
        <v/>
      </c>
      <c r="R346" s="13" t="n">
        <v>1</v>
      </c>
      <c r="S346" s="14" t="n">
        <v>9.949999999999999</v>
      </c>
      <c r="T346" s="14" t="n">
        <v>10.24</v>
      </c>
      <c r="U346" s="26">
        <f>IF(X346&gt;='Methodology &amp; Assumptions'!$B$7, "Tier 1 Critical GIDA (Score ≥ 50.0)", IF(X346&gt;='Methodology &amp; Assumptions'!$B$8, "Tier 2 High GIDA (Score 40.0–49.9)", "Tier 3 Moderate GIDA (Score &lt; 40.0)"))</f>
        <v/>
      </c>
      <c r="V346" s="26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W346" s="28" t="n">
        <v>0.083</v>
      </c>
      <c r="X346" s="14" t="n">
        <v>50.14</v>
      </c>
      <c r="Y346" s="14">
        <f>ROUND(MIN(100, (X346/69.91)*100), 2)</f>
        <v/>
      </c>
    </row>
    <row r="347">
      <c r="A347" s="10" t="n">
        <v>2</v>
      </c>
      <c r="B347" s="10" t="n">
        <v>343</v>
      </c>
      <c r="C347" s="10" t="n">
        <v>1343</v>
      </c>
      <c r="D347" s="10" t="inlineStr">
        <is>
          <t>1380612018</t>
        </is>
      </c>
      <c r="E347" s="26" t="inlineStr">
        <is>
          <t>National Capital Region (NCR)</t>
        </is>
      </c>
      <c r="F347" s="26" t="inlineStr">
        <is>
          <t>First District (Not a Province)</t>
        </is>
      </c>
      <c r="G347" s="26" t="inlineStr">
        <is>
          <t>City of Manila</t>
        </is>
      </c>
      <c r="H347" s="26" t="inlineStr">
        <is>
          <t>Barangay 850</t>
        </is>
      </c>
      <c r="I347" s="27" t="n">
        <v>12.615199</v>
      </c>
      <c r="J347" s="27" t="n">
        <v>121.809721</v>
      </c>
      <c r="K347" s="10" t="inlineStr">
        <is>
          <t>U</t>
        </is>
      </c>
      <c r="L347" s="12" t="n">
        <v>2531</v>
      </c>
      <c r="M347" s="14" t="n">
        <v>3.9</v>
      </c>
      <c r="N347" s="12">
        <f>ROUND(L347/M347, 0)</f>
        <v/>
      </c>
      <c r="O347" s="12">
        <f>ROUND(N347*'Methodology &amp; Assumptions'!$B$5, 0)</f>
        <v/>
      </c>
      <c r="P347" s="10" t="inlineStr">
        <is>
          <t>Single Carrier (Band n50, 100MHz TDD)</t>
        </is>
      </c>
      <c r="Q347" s="13">
        <f>ROUNDUP(O347/'Methodology &amp; Assumptions'!$B$6, 0)</f>
        <v/>
      </c>
      <c r="R347" s="13" t="n">
        <v>1</v>
      </c>
      <c r="S347" s="14" t="n">
        <v>28.03</v>
      </c>
      <c r="T347" s="14" t="n">
        <v>23.18</v>
      </c>
      <c r="U347" s="26">
        <f>IF(X347&gt;='Methodology &amp; Assumptions'!$B$7, "Tier 1 Critical GIDA (Score ≥ 50.0)", IF(X347&gt;='Methodology &amp; Assumptions'!$B$8, "Tier 2 High GIDA (Score 40.0–49.9)", "Tier 3 Moderate GIDA (Score &lt; 40.0)"))</f>
        <v/>
      </c>
      <c r="V347" s="26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W347" s="28" t="n">
        <v>0.109</v>
      </c>
      <c r="X347" s="14" t="n">
        <v>50.14</v>
      </c>
      <c r="Y347" s="14">
        <f>ROUND(MIN(100, (X347/69.91)*100), 2)</f>
        <v/>
      </c>
    </row>
    <row r="348">
      <c r="A348" s="10" t="n">
        <v>2</v>
      </c>
      <c r="B348" s="10" t="n">
        <v>344</v>
      </c>
      <c r="C348" s="10" t="n">
        <v>1344</v>
      </c>
      <c r="D348" s="10" t="inlineStr">
        <is>
          <t>0603040045</t>
        </is>
      </c>
      <c r="E348" s="26" t="inlineStr">
        <is>
          <t>Region VI (Western Visayas)</t>
        </is>
      </c>
      <c r="F348" s="26" t="inlineStr">
        <is>
          <t>Iloilo</t>
        </is>
      </c>
      <c r="G348" s="26" t="inlineStr">
        <is>
          <t>San Joaquin</t>
        </is>
      </c>
      <c r="H348" s="26" t="inlineStr">
        <is>
          <t>Langca</t>
        </is>
      </c>
      <c r="I348" s="27" t="n">
        <v>10.648333</v>
      </c>
      <c r="J348" s="27" t="n">
        <v>122.080016</v>
      </c>
      <c r="K348" s="10" t="inlineStr">
        <is>
          <t>R</t>
        </is>
      </c>
      <c r="L348" s="12" t="n">
        <v>383</v>
      </c>
      <c r="M348" s="14" t="n">
        <v>3.8</v>
      </c>
      <c r="N348" s="12">
        <f>ROUND(L348/M348, 0)</f>
        <v/>
      </c>
      <c r="O348" s="12">
        <f>ROUND(N348*'Methodology &amp; Assumptions'!$B$5, 0)</f>
        <v/>
      </c>
      <c r="P348" s="10" t="inlineStr">
        <is>
          <t>Single Carrier (Band n50, 100MHz TDD)</t>
        </is>
      </c>
      <c r="Q348" s="13">
        <f>ROUNDUP(O348/'Methodology &amp; Assumptions'!$B$6, 0)</f>
        <v/>
      </c>
      <c r="R348" s="13" t="n">
        <v>1</v>
      </c>
      <c r="S348" s="14" t="n">
        <v>20.03</v>
      </c>
      <c r="T348" s="14" t="n">
        <v>7.7</v>
      </c>
      <c r="U348" s="26">
        <f>IF(X348&gt;='Methodology &amp; Assumptions'!$B$7, "Tier 1 Critical GIDA (Score ≥ 50.0)", IF(X348&gt;='Methodology &amp; Assumptions'!$B$8, "Tier 2 High GIDA (Score 40.0–49.9)", "Tier 3 Moderate GIDA (Score &lt; 40.0)"))</f>
        <v/>
      </c>
      <c r="V348" s="26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W348" s="28" t="n">
        <v>0.237</v>
      </c>
      <c r="X348" s="14" t="n">
        <v>50.14</v>
      </c>
      <c r="Y348" s="14">
        <f>ROUND(MIN(100, (X348/69.91)*100), 2)</f>
        <v/>
      </c>
    </row>
    <row r="349">
      <c r="A349" s="10" t="n">
        <v>2</v>
      </c>
      <c r="B349" s="10" t="n">
        <v>345</v>
      </c>
      <c r="C349" s="10" t="n">
        <v>1345</v>
      </c>
      <c r="D349" s="10" t="inlineStr">
        <is>
          <t>0600614037</t>
        </is>
      </c>
      <c r="E349" s="26" t="inlineStr">
        <is>
          <t>Region VI (Western Visayas)</t>
        </is>
      </c>
      <c r="F349" s="26" t="inlineStr">
        <is>
          <t>Antique</t>
        </is>
      </c>
      <c r="G349" s="26" t="inlineStr">
        <is>
          <t>San Remigio</t>
        </is>
      </c>
      <c r="H349" s="26" t="inlineStr">
        <is>
          <t>Panpanan II</t>
        </is>
      </c>
      <c r="I349" s="27" t="n">
        <v>10.902352</v>
      </c>
      <c r="J349" s="27" t="n">
        <v>122.253627</v>
      </c>
      <c r="K349" s="10" t="inlineStr">
        <is>
          <t>R</t>
        </is>
      </c>
      <c r="L349" s="12" t="n">
        <v>575</v>
      </c>
      <c r="M349" s="14" t="n">
        <v>3.9</v>
      </c>
      <c r="N349" s="12">
        <f>ROUND(L349/M349, 0)</f>
        <v/>
      </c>
      <c r="O349" s="12">
        <f>ROUND(N349*'Methodology &amp; Assumptions'!$B$5, 0)</f>
        <v/>
      </c>
      <c r="P349" s="10" t="inlineStr">
        <is>
          <t>Single Carrier (Band n50, 100MHz TDD)</t>
        </is>
      </c>
      <c r="Q349" s="13">
        <f>ROUNDUP(O349/'Methodology &amp; Assumptions'!$B$6, 0)</f>
        <v/>
      </c>
      <c r="R349" s="13" t="n">
        <v>1</v>
      </c>
      <c r="S349" s="14" t="n">
        <v>28.45</v>
      </c>
      <c r="T349" s="14" t="n">
        <v>21.64</v>
      </c>
      <c r="U349" s="26">
        <f>IF(X349&gt;='Methodology &amp; Assumptions'!$B$7, "Tier 1 Critical GIDA (Score ≥ 50.0)", IF(X349&gt;='Methodology &amp; Assumptions'!$B$8, "Tier 2 High GIDA (Score 40.0–49.9)", "Tier 3 Moderate GIDA (Score &lt; 40.0)"))</f>
        <v/>
      </c>
      <c r="V349" s="26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W349" s="28" t="n">
        <v>0.237</v>
      </c>
      <c r="X349" s="14" t="n">
        <v>50.14</v>
      </c>
      <c r="Y349" s="14">
        <f>ROUND(MIN(100, (X349/69.91)*100), 2)</f>
        <v/>
      </c>
    </row>
    <row r="350">
      <c r="A350" s="10" t="n">
        <v>2</v>
      </c>
      <c r="B350" s="10" t="n">
        <v>346</v>
      </c>
      <c r="C350" s="10" t="n">
        <v>1346</v>
      </c>
      <c r="D350" s="10" t="inlineStr">
        <is>
          <t>0806020021</t>
        </is>
      </c>
      <c r="E350" s="26" t="inlineStr">
        <is>
          <t>Region VIII (Eastern Visayas)</t>
        </is>
      </c>
      <c r="F350" s="26" t="inlineStr">
        <is>
          <t>Samar</t>
        </is>
      </c>
      <c r="G350" s="26" t="inlineStr">
        <is>
          <t>Tarangnan</t>
        </is>
      </c>
      <c r="H350" s="26" t="inlineStr">
        <is>
          <t>Catan-agan</t>
        </is>
      </c>
      <c r="I350" s="27" t="n">
        <v>11.896722</v>
      </c>
      <c r="J350" s="27" t="n">
        <v>124.762144</v>
      </c>
      <c r="K350" s="10" t="inlineStr">
        <is>
          <t>R</t>
        </is>
      </c>
      <c r="L350" s="12" t="n">
        <v>67</v>
      </c>
      <c r="M350" s="14" t="n">
        <v>4.1</v>
      </c>
      <c r="N350" s="12">
        <f>ROUND(L350/M350, 0)</f>
        <v/>
      </c>
      <c r="O350" s="12">
        <f>ROUND(N350*'Methodology &amp; Assumptions'!$B$5, 0)</f>
        <v/>
      </c>
      <c r="P350" s="10" t="inlineStr">
        <is>
          <t>Single Carrier (Band n50, 100MHz TDD)</t>
        </is>
      </c>
      <c r="Q350" s="13">
        <f>ROUNDUP(O350/'Methodology &amp; Assumptions'!$B$6, 0)</f>
        <v/>
      </c>
      <c r="R350" s="13" t="n">
        <v>1</v>
      </c>
      <c r="S350" s="14" t="n">
        <v>66.84999999999999</v>
      </c>
      <c r="T350" s="14" t="n">
        <v>66.81999999999999</v>
      </c>
      <c r="U350" s="26">
        <f>IF(X350&gt;='Methodology &amp; Assumptions'!$B$7, "Tier 1 Critical GIDA (Score ≥ 50.0)", IF(X350&gt;='Methodology &amp; Assumptions'!$B$8, "Tier 2 High GIDA (Score 40.0–49.9)", "Tier 3 Moderate GIDA (Score &lt; 40.0)"))</f>
        <v/>
      </c>
      <c r="V350" s="26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W350" s="28" t="n">
        <v>0.237</v>
      </c>
      <c r="X350" s="14" t="n">
        <v>50.13</v>
      </c>
      <c r="Y350" s="14">
        <f>ROUND(MIN(100, (X350/69.91)*100), 2)</f>
        <v/>
      </c>
    </row>
    <row r="351">
      <c r="A351" s="10" t="n">
        <v>2</v>
      </c>
      <c r="B351" s="10" t="n">
        <v>347</v>
      </c>
      <c r="C351" s="10" t="n">
        <v>1347</v>
      </c>
      <c r="D351" s="10" t="inlineStr">
        <is>
          <t>1380610018</t>
        </is>
      </c>
      <c r="E351" s="26" t="inlineStr">
        <is>
          <t>National Capital Region (NCR)</t>
        </is>
      </c>
      <c r="F351" s="26" t="inlineStr">
        <is>
          <t>First District (Not a Province)</t>
        </is>
      </c>
      <c r="G351" s="26" t="inlineStr">
        <is>
          <t>City of Manila</t>
        </is>
      </c>
      <c r="H351" s="26" t="inlineStr">
        <is>
          <t>Barangay 703</t>
        </is>
      </c>
      <c r="I351" s="27" t="n">
        <v>13.052052</v>
      </c>
      <c r="J351" s="27" t="n">
        <v>121.563297</v>
      </c>
      <c r="K351" s="10" t="inlineStr">
        <is>
          <t>U</t>
        </is>
      </c>
      <c r="L351" s="12" t="n">
        <v>117</v>
      </c>
      <c r="M351" s="14" t="n">
        <v>3.9</v>
      </c>
      <c r="N351" s="12">
        <f>ROUND(L351/M351, 0)</f>
        <v/>
      </c>
      <c r="O351" s="12">
        <f>ROUND(N351*'Methodology &amp; Assumptions'!$B$5, 0)</f>
        <v/>
      </c>
      <c r="P351" s="10" t="inlineStr">
        <is>
          <t>Single Carrier (Band n50, 100MHz TDD)</t>
        </is>
      </c>
      <c r="Q351" s="13">
        <f>ROUNDUP(O351/'Methodology &amp; Assumptions'!$B$6, 0)</f>
        <v/>
      </c>
      <c r="R351" s="13" t="n">
        <v>1</v>
      </c>
      <c r="S351" s="14" t="n">
        <v>6.28</v>
      </c>
      <c r="T351" s="14" t="n">
        <v>9.19</v>
      </c>
      <c r="U351" s="26">
        <f>IF(X351&gt;='Methodology &amp; Assumptions'!$B$7, "Tier 1 Critical GIDA (Score ≥ 50.0)", IF(X351&gt;='Methodology &amp; Assumptions'!$B$8, "Tier 2 High GIDA (Score 40.0–49.9)", "Tier 3 Moderate GIDA (Score &lt; 40.0)"))</f>
        <v/>
      </c>
      <c r="V351" s="26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W351" s="28" t="n">
        <v>0.109</v>
      </c>
      <c r="X351" s="14" t="n">
        <v>50.13</v>
      </c>
      <c r="Y351" s="14">
        <f>ROUND(MIN(100, (X351/69.91)*100), 2)</f>
        <v/>
      </c>
    </row>
    <row r="352">
      <c r="A352" s="10" t="n">
        <v>2</v>
      </c>
      <c r="B352" s="10" t="n">
        <v>348</v>
      </c>
      <c r="C352" s="10" t="n">
        <v>1348</v>
      </c>
      <c r="D352" s="10" t="inlineStr">
        <is>
          <t>0506211007</t>
        </is>
      </c>
      <c r="E352" s="26" t="inlineStr">
        <is>
          <t>Region V (Bicol Region)</t>
        </is>
      </c>
      <c r="F352" s="26" t="inlineStr">
        <is>
          <t>Sorsogon</t>
        </is>
      </c>
      <c r="G352" s="26" t="inlineStr">
        <is>
          <t>Magallanes</t>
        </is>
      </c>
      <c r="H352" s="26" t="inlineStr">
        <is>
          <t>Biga</t>
        </is>
      </c>
      <c r="I352" s="27" t="n">
        <v>12.831314</v>
      </c>
      <c r="J352" s="27" t="n">
        <v>123.82155</v>
      </c>
      <c r="K352" s="10" t="inlineStr">
        <is>
          <t>R</t>
        </is>
      </c>
      <c r="L352" s="12" t="n">
        <v>1330</v>
      </c>
      <c r="M352" s="14" t="n">
        <v>4</v>
      </c>
      <c r="N352" s="12">
        <f>ROUND(L352/M352, 0)</f>
        <v/>
      </c>
      <c r="O352" s="12">
        <f>ROUND(N352*'Methodology &amp; Assumptions'!$B$5, 0)</f>
        <v/>
      </c>
      <c r="P352" s="10" t="inlineStr">
        <is>
          <t>Single Carrier (Band n50, 100MHz TDD)</t>
        </is>
      </c>
      <c r="Q352" s="13">
        <f>ROUNDUP(O352/'Methodology &amp; Assumptions'!$B$6, 0)</f>
        <v/>
      </c>
      <c r="R352" s="13" t="n">
        <v>1</v>
      </c>
      <c r="S352" s="14" t="n">
        <v>2.25</v>
      </c>
      <c r="T352" s="14" t="n">
        <v>1.31</v>
      </c>
      <c r="U352" s="26">
        <f>IF(X352&gt;='Methodology &amp; Assumptions'!$B$7, "Tier 1 Critical GIDA (Score ≥ 50.0)", IF(X352&gt;='Methodology &amp; Assumptions'!$B$8, "Tier 2 High GIDA (Score 40.0–49.9)", "Tier 3 Moderate GIDA (Score &lt; 40.0)"))</f>
        <v/>
      </c>
      <c r="V352" s="26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W352" s="28" t="n">
        <v>0.237</v>
      </c>
      <c r="X352" s="14" t="n">
        <v>50.13</v>
      </c>
      <c r="Y352" s="14">
        <f>ROUND(MIN(100, (X352/69.91)*100), 2)</f>
        <v/>
      </c>
    </row>
    <row r="353">
      <c r="A353" s="10" t="n">
        <v>2</v>
      </c>
      <c r="B353" s="10" t="n">
        <v>349</v>
      </c>
      <c r="C353" s="10" t="n">
        <v>1349</v>
      </c>
      <c r="D353" s="10" t="inlineStr">
        <is>
          <t>1003511017</t>
        </is>
      </c>
      <c r="E353" s="26" t="inlineStr">
        <is>
          <t>Region X (Northern Mindanao)</t>
        </is>
      </c>
      <c r="F353" s="26" t="inlineStr">
        <is>
          <t>Lanao del Norte</t>
        </is>
      </c>
      <c r="G353" s="26" t="inlineStr">
        <is>
          <t>Magsaysay</t>
        </is>
      </c>
      <c r="H353" s="26" t="inlineStr">
        <is>
          <t>Rarab</t>
        </is>
      </c>
      <c r="I353" s="27" t="n">
        <v>8.031179</v>
      </c>
      <c r="J353" s="27" t="n">
        <v>123.908934</v>
      </c>
      <c r="K353" s="10" t="inlineStr">
        <is>
          <t>R</t>
        </is>
      </c>
      <c r="L353" s="12" t="n">
        <v>749</v>
      </c>
      <c r="M353" s="14" t="n">
        <v>4.2</v>
      </c>
      <c r="N353" s="12">
        <f>ROUND(L353/M353, 0)</f>
        <v/>
      </c>
      <c r="O353" s="12">
        <f>ROUND(N353*'Methodology &amp; Assumptions'!$B$5, 0)</f>
        <v/>
      </c>
      <c r="P353" s="10" t="inlineStr">
        <is>
          <t>Single Carrier (Band n50, 100MHz TDD)</t>
        </is>
      </c>
      <c r="Q353" s="13">
        <f>ROUNDUP(O353/'Methodology &amp; Assumptions'!$B$6, 0)</f>
        <v/>
      </c>
      <c r="R353" s="13" t="n">
        <v>1</v>
      </c>
      <c r="S353" s="14" t="n">
        <v>12.16</v>
      </c>
      <c r="T353" s="14" t="n">
        <v>8.619999999999999</v>
      </c>
      <c r="U353" s="26">
        <f>IF(X353&gt;='Methodology &amp; Assumptions'!$B$7, "Tier 1 Critical GIDA (Score ≥ 50.0)", IF(X353&gt;='Methodology &amp; Assumptions'!$B$8, "Tier 2 High GIDA (Score 40.0–49.9)", "Tier 3 Moderate GIDA (Score &lt; 40.0)"))</f>
        <v/>
      </c>
      <c r="V353" s="26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W353" s="28" t="n">
        <v>0.174</v>
      </c>
      <c r="X353" s="14" t="n">
        <v>50.13</v>
      </c>
      <c r="Y353" s="14">
        <f>ROUND(MIN(100, (X353/69.91)*100), 2)</f>
        <v/>
      </c>
    </row>
    <row r="354">
      <c r="A354" s="10" t="n">
        <v>2</v>
      </c>
      <c r="B354" s="10" t="n">
        <v>350</v>
      </c>
      <c r="C354" s="10" t="n">
        <v>1350</v>
      </c>
      <c r="D354" s="10" t="inlineStr">
        <is>
          <t>0401005064</t>
        </is>
      </c>
      <c r="E354" s="26" t="inlineStr">
        <is>
          <t>Region IV-A (CALABARZON)</t>
        </is>
      </c>
      <c r="F354" s="26" t="inlineStr">
        <is>
          <t>Batangas</t>
        </is>
      </c>
      <c r="G354" s="26" t="inlineStr">
        <is>
          <t>Batangas City</t>
        </is>
      </c>
      <c r="H354" s="26" t="inlineStr">
        <is>
          <t>Barangay 18</t>
        </is>
      </c>
      <c r="I354" s="27" t="n">
        <v>13.729916</v>
      </c>
      <c r="J354" s="27" t="n">
        <v>121.082224</v>
      </c>
      <c r="K354" s="10" t="inlineStr">
        <is>
          <t>U</t>
        </is>
      </c>
      <c r="L354" s="12" t="n">
        <v>337</v>
      </c>
      <c r="M354" s="14" t="n">
        <v>3.6</v>
      </c>
      <c r="N354" s="12">
        <f>ROUND(L354/M354, 0)</f>
        <v/>
      </c>
      <c r="O354" s="12">
        <f>ROUND(N354*'Methodology &amp; Assumptions'!$B$5, 0)</f>
        <v/>
      </c>
      <c r="P354" s="10" t="inlineStr">
        <is>
          <t>Single Carrier (Band n50, 100MHz TDD)</t>
        </is>
      </c>
      <c r="Q354" s="13">
        <f>ROUNDUP(O354/'Methodology &amp; Assumptions'!$B$6, 0)</f>
        <v/>
      </c>
      <c r="R354" s="13" t="n">
        <v>1</v>
      </c>
      <c r="S354" s="14" t="n">
        <v>4.04</v>
      </c>
      <c r="T354" s="14" t="n">
        <v>3.63</v>
      </c>
      <c r="U354" s="26">
        <f>IF(X354&gt;='Methodology &amp; Assumptions'!$B$7, "Tier 1 Critical GIDA (Score ≥ 50.0)", IF(X354&gt;='Methodology &amp; Assumptions'!$B$8, "Tier 2 High GIDA (Score 40.0–49.9)", "Tier 3 Moderate GIDA (Score &lt; 40.0)"))</f>
        <v/>
      </c>
      <c r="V354" s="26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W354" s="28" t="n">
        <v>0.07200000000000001</v>
      </c>
      <c r="X354" s="14" t="n">
        <v>50.12</v>
      </c>
      <c r="Y354" s="14">
        <f>ROUND(MIN(100, (X354/69.91)*100), 2)</f>
        <v/>
      </c>
    </row>
    <row r="355">
      <c r="A355" s="10" t="n">
        <v>2</v>
      </c>
      <c r="B355" s="10" t="n">
        <v>351</v>
      </c>
      <c r="C355" s="10" t="n">
        <v>1351</v>
      </c>
      <c r="D355" s="10" t="inlineStr">
        <is>
          <t>1705304009</t>
        </is>
      </c>
      <c r="E355" s="26" t="inlineStr">
        <is>
          <t>MIMAROPA Region</t>
        </is>
      </c>
      <c r="F355" s="26" t="inlineStr">
        <is>
          <t>Palawan</t>
        </is>
      </c>
      <c r="G355" s="26" t="inlineStr">
        <is>
          <t>Balabac</t>
        </is>
      </c>
      <c r="H355" s="26" t="inlineStr">
        <is>
          <t>Melville</t>
        </is>
      </c>
      <c r="I355" s="27" t="n">
        <v>7.831967</v>
      </c>
      <c r="J355" s="27" t="n">
        <v>117.001772</v>
      </c>
      <c r="K355" s="10" t="inlineStr">
        <is>
          <t>R</t>
        </is>
      </c>
      <c r="L355" s="12" t="n">
        <v>1969</v>
      </c>
      <c r="M355" s="14" t="n">
        <v>3.9</v>
      </c>
      <c r="N355" s="12">
        <f>ROUND(L355/M355, 0)</f>
        <v/>
      </c>
      <c r="O355" s="12">
        <f>ROUND(N355*'Methodology &amp; Assumptions'!$B$5, 0)</f>
        <v/>
      </c>
      <c r="P355" s="10" t="inlineStr">
        <is>
          <t>Single Carrier (Band n50, 100MHz TDD)</t>
        </is>
      </c>
      <c r="Q355" s="13">
        <f>ROUNDUP(O355/'Methodology &amp; Assumptions'!$B$6, 0)</f>
        <v/>
      </c>
      <c r="R355" s="13" t="n">
        <v>1</v>
      </c>
      <c r="S355" s="14" t="n">
        <v>285.05</v>
      </c>
      <c r="T355" s="14" t="n">
        <v>999</v>
      </c>
      <c r="U355" s="26">
        <f>IF(X355&gt;='Methodology &amp; Assumptions'!$B$7, "Tier 1 Critical GIDA (Score ≥ 50.0)", IF(X355&gt;='Methodology &amp; Assumptions'!$B$8, "Tier 2 High GIDA (Score 40.0–49.9)", "Tier 3 Moderate GIDA (Score &lt; 40.0)"))</f>
        <v/>
      </c>
      <c r="V355" s="26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W355" s="28" t="n">
        <v>0.15</v>
      </c>
      <c r="X355" s="14" t="n">
        <v>50.12</v>
      </c>
      <c r="Y355" s="14">
        <f>ROUND(MIN(100, (X355/69.91)*100), 2)</f>
        <v/>
      </c>
    </row>
    <row r="356">
      <c r="A356" s="10" t="n">
        <v>2</v>
      </c>
      <c r="B356" s="10" t="n">
        <v>352</v>
      </c>
      <c r="C356" s="10" t="n">
        <v>1352</v>
      </c>
      <c r="D356" s="10" t="inlineStr">
        <is>
          <t>0102901005</t>
        </is>
      </c>
      <c r="E356" s="26" t="inlineStr">
        <is>
          <t>Region I (Ilocos Region)</t>
        </is>
      </c>
      <c r="F356" s="26" t="inlineStr">
        <is>
          <t>Ilocos Sur</t>
        </is>
      </c>
      <c r="G356" s="26" t="inlineStr">
        <is>
          <t>Alilem</t>
        </is>
      </c>
      <c r="H356" s="26" t="inlineStr">
        <is>
          <t>Apaya</t>
        </is>
      </c>
      <c r="I356" s="27" t="n">
        <v>16.881414</v>
      </c>
      <c r="J356" s="27" t="n">
        <v>120.582586</v>
      </c>
      <c r="K356" s="10" t="inlineStr">
        <is>
          <t>R</t>
        </is>
      </c>
      <c r="L356" s="12" t="n">
        <v>609</v>
      </c>
      <c r="M356" s="14" t="n">
        <v>3.8</v>
      </c>
      <c r="N356" s="12">
        <f>ROUND(L356/M356, 0)</f>
        <v/>
      </c>
      <c r="O356" s="12">
        <f>ROUND(N356*'Methodology &amp; Assumptions'!$B$5, 0)</f>
        <v/>
      </c>
      <c r="P356" s="10" t="inlineStr">
        <is>
          <t>Single Carrier (Band n50, 100MHz TDD)</t>
        </is>
      </c>
      <c r="Q356" s="13">
        <f>ROUNDUP(O356/'Methodology &amp; Assumptions'!$B$6, 0)</f>
        <v/>
      </c>
      <c r="R356" s="13" t="n">
        <v>1</v>
      </c>
      <c r="S356" s="14" t="n">
        <v>12.13</v>
      </c>
      <c r="T356" s="14" t="n">
        <v>12.99</v>
      </c>
      <c r="U356" s="26">
        <f>IF(X356&gt;='Methodology &amp; Assumptions'!$B$7, "Tier 1 Critical GIDA (Score ≥ 50.0)", IF(X356&gt;='Methodology &amp; Assumptions'!$B$8, "Tier 2 High GIDA (Score 40.0–49.9)", "Tier 3 Moderate GIDA (Score &lt; 40.0)"))</f>
        <v/>
      </c>
      <c r="V356" s="26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W356" s="28" t="n">
        <v>0.083</v>
      </c>
      <c r="X356" s="14" t="n">
        <v>50.12</v>
      </c>
      <c r="Y356" s="14">
        <f>ROUND(MIN(100, (X356/69.91)*100), 2)</f>
        <v/>
      </c>
    </row>
    <row r="357">
      <c r="A357" s="10" t="n">
        <v>2</v>
      </c>
      <c r="B357" s="10" t="n">
        <v>353</v>
      </c>
      <c r="C357" s="10" t="n">
        <v>1353</v>
      </c>
      <c r="D357" s="10" t="inlineStr">
        <is>
          <t>1903638041</t>
        </is>
      </c>
      <c r="E357" s="26" t="inlineStr">
        <is>
          <t>Bangsamoro Autonomous Region In Muslim Mindanao (BARMM)</t>
        </is>
      </c>
      <c r="F357" s="26" t="inlineStr">
        <is>
          <t>Lanao del Sur</t>
        </is>
      </c>
      <c r="G357" s="26" t="inlineStr">
        <is>
          <t>Tagoloan Ii</t>
        </is>
      </c>
      <c r="H357" s="26" t="inlineStr">
        <is>
          <t>Sigayan</t>
        </is>
      </c>
      <c r="I357" s="27" t="n">
        <v>17.25496</v>
      </c>
      <c r="J357" s="27" t="n">
        <v>122.221885</v>
      </c>
      <c r="K357" s="10" t="inlineStr">
        <is>
          <t>R</t>
        </is>
      </c>
      <c r="L357" s="12" t="n">
        <v>656</v>
      </c>
      <c r="M357" s="14" t="n">
        <v>5.7</v>
      </c>
      <c r="N357" s="12">
        <f>ROUND(L357/M357, 0)</f>
        <v/>
      </c>
      <c r="O357" s="12">
        <f>ROUND(N357*'Methodology &amp; Assumptions'!$B$5, 0)</f>
        <v/>
      </c>
      <c r="P357" s="10" t="inlineStr">
        <is>
          <t>Single Carrier (Band n50, 100MHz TDD)</t>
        </is>
      </c>
      <c r="Q357" s="13">
        <f>ROUNDUP(O357/'Methodology &amp; Assumptions'!$B$6, 0)</f>
        <v/>
      </c>
      <c r="R357" s="13" t="n">
        <v>1</v>
      </c>
      <c r="S357" s="14" t="n">
        <v>28.86</v>
      </c>
      <c r="T357" s="14" t="n">
        <v>33.59</v>
      </c>
      <c r="U357" s="26">
        <f>IF(X357&gt;='Methodology &amp; Assumptions'!$B$7, "Tier 1 Critical GIDA (Score ≥ 50.0)", IF(X357&gt;='Methodology &amp; Assumptions'!$B$8, "Tier 2 High GIDA (Score 40.0–49.9)", "Tier 3 Moderate GIDA (Score &lt; 40.0)"))</f>
        <v/>
      </c>
      <c r="V357" s="26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W357" s="28" t="n">
        <v>0.11</v>
      </c>
      <c r="X357" s="14" t="n">
        <v>50.12</v>
      </c>
      <c r="Y357" s="14">
        <f>ROUND(MIN(100, (X357/69.91)*100), 2)</f>
        <v/>
      </c>
    </row>
    <row r="358">
      <c r="A358" s="10" t="n">
        <v>2</v>
      </c>
      <c r="B358" s="10" t="n">
        <v>354</v>
      </c>
      <c r="C358" s="10" t="n">
        <v>1354</v>
      </c>
      <c r="D358" s="10" t="inlineStr">
        <is>
          <t>0704607009</t>
        </is>
      </c>
      <c r="E358" s="26" t="inlineStr">
        <is>
          <t>Region VII (Central Visayas)</t>
        </is>
      </c>
      <c r="F358" s="26" t="inlineStr">
        <is>
          <t>Negros Oriental</t>
        </is>
      </c>
      <c r="G358" s="26" t="inlineStr">
        <is>
          <t>Bindoy</t>
        </is>
      </c>
      <c r="H358" s="26" t="inlineStr">
        <is>
          <t>Danawan</t>
        </is>
      </c>
      <c r="I358" s="27" t="n">
        <v>9.742024000000001</v>
      </c>
      <c r="J358" s="27" t="n">
        <v>123.076563</v>
      </c>
      <c r="K358" s="10" t="inlineStr">
        <is>
          <t>R</t>
        </is>
      </c>
      <c r="L358" s="12" t="n">
        <v>1180</v>
      </c>
      <c r="M358" s="14" t="n">
        <v>3.8</v>
      </c>
      <c r="N358" s="12">
        <f>ROUND(L358/M358, 0)</f>
        <v/>
      </c>
      <c r="O358" s="12">
        <f>ROUND(N358*'Methodology &amp; Assumptions'!$B$5, 0)</f>
        <v/>
      </c>
      <c r="P358" s="10" t="inlineStr">
        <is>
          <t>Single Carrier (Band n50, 100MHz TDD)</t>
        </is>
      </c>
      <c r="Q358" s="13">
        <f>ROUNDUP(O358/'Methodology &amp; Assumptions'!$B$6, 0)</f>
        <v/>
      </c>
      <c r="R358" s="13" t="n">
        <v>1</v>
      </c>
      <c r="S358" s="14" t="n">
        <v>16.3</v>
      </c>
      <c r="T358" s="14" t="n">
        <v>7.2</v>
      </c>
      <c r="U358" s="26">
        <f>IF(X358&gt;='Methodology &amp; Assumptions'!$B$7, "Tier 1 Critical GIDA (Score ≥ 50.0)", IF(X358&gt;='Methodology &amp; Assumptions'!$B$8, "Tier 2 High GIDA (Score 40.0–49.9)", "Tier 3 Moderate GIDA (Score &lt; 40.0)"))</f>
        <v/>
      </c>
      <c r="V358" s="26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W358" s="28" t="n">
        <v>0.237</v>
      </c>
      <c r="X358" s="14" t="n">
        <v>50.12</v>
      </c>
      <c r="Y358" s="14">
        <f>ROUND(MIN(100, (X358/69.91)*100), 2)</f>
        <v/>
      </c>
    </row>
    <row r="359">
      <c r="A359" s="10" t="n">
        <v>2</v>
      </c>
      <c r="B359" s="10" t="n">
        <v>355</v>
      </c>
      <c r="C359" s="10" t="n">
        <v>1355</v>
      </c>
      <c r="D359" s="10" t="inlineStr">
        <is>
          <t>0600409013</t>
        </is>
      </c>
      <c r="E359" s="26" t="inlineStr">
        <is>
          <t>Region VI (Western Visayas)</t>
        </is>
      </c>
      <c r="F359" s="26" t="inlineStr">
        <is>
          <t>Aklan</t>
        </is>
      </c>
      <c r="G359" s="26" t="inlineStr">
        <is>
          <t>Libacao</t>
        </is>
      </c>
      <c r="H359" s="26" t="inlineStr">
        <is>
          <t>Luctoga</t>
        </is>
      </c>
      <c r="I359" s="27" t="n">
        <v>11.398991</v>
      </c>
      <c r="J359" s="27" t="n">
        <v>122.291351</v>
      </c>
      <c r="K359" s="10" t="inlineStr">
        <is>
          <t>R</t>
        </is>
      </c>
      <c r="L359" s="12" t="n">
        <v>1487</v>
      </c>
      <c r="M359" s="14" t="n">
        <v>3.9</v>
      </c>
      <c r="N359" s="12">
        <f>ROUND(L359/M359, 0)</f>
        <v/>
      </c>
      <c r="O359" s="12">
        <f>ROUND(N359*'Methodology &amp; Assumptions'!$B$5, 0)</f>
        <v/>
      </c>
      <c r="P359" s="10" t="inlineStr">
        <is>
          <t>Single Carrier (Band n50, 100MHz TDD)</t>
        </is>
      </c>
      <c r="Q359" s="13">
        <f>ROUNDUP(O359/'Methodology &amp; Assumptions'!$B$6, 0)</f>
        <v/>
      </c>
      <c r="R359" s="13" t="n">
        <v>1</v>
      </c>
      <c r="S359" s="14" t="n">
        <v>19.84</v>
      </c>
      <c r="T359" s="14" t="n">
        <v>19.75</v>
      </c>
      <c r="U359" s="26">
        <f>IF(X359&gt;='Methodology &amp; Assumptions'!$B$7, "Tier 1 Critical GIDA (Score ≥ 50.0)", IF(X359&gt;='Methodology &amp; Assumptions'!$B$8, "Tier 2 High GIDA (Score 40.0–49.9)", "Tier 3 Moderate GIDA (Score &lt; 40.0)"))</f>
        <v/>
      </c>
      <c r="V359" s="26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W359" s="28" t="n">
        <v>0.237</v>
      </c>
      <c r="X359" s="14" t="n">
        <v>50.11</v>
      </c>
      <c r="Y359" s="14">
        <f>ROUND(MIN(100, (X359/69.91)*100), 2)</f>
        <v/>
      </c>
    </row>
    <row r="360">
      <c r="A360" s="10" t="n">
        <v>2</v>
      </c>
      <c r="B360" s="10" t="n">
        <v>356</v>
      </c>
      <c r="C360" s="10" t="n">
        <v>1356</v>
      </c>
      <c r="D360" s="10" t="inlineStr">
        <is>
          <t>1705304002</t>
        </is>
      </c>
      <c r="E360" s="26" t="inlineStr">
        <is>
          <t>MIMAROPA Region</t>
        </is>
      </c>
      <c r="F360" s="26" t="inlineStr">
        <is>
          <t>Palawan</t>
        </is>
      </c>
      <c r="G360" s="26" t="inlineStr">
        <is>
          <t>Balabac</t>
        </is>
      </c>
      <c r="H360" s="26" t="inlineStr">
        <is>
          <t>Bugsuk</t>
        </is>
      </c>
      <c r="I360" s="27" t="n">
        <v>8.347493999999999</v>
      </c>
      <c r="J360" s="27" t="n">
        <v>117.314678</v>
      </c>
      <c r="K360" s="10" t="inlineStr">
        <is>
          <t>U</t>
        </is>
      </c>
      <c r="L360" s="12" t="n">
        <v>1219</v>
      </c>
      <c r="M360" s="14" t="n">
        <v>3.9</v>
      </c>
      <c r="N360" s="12">
        <f>ROUND(L360/M360, 0)</f>
        <v/>
      </c>
      <c r="O360" s="12">
        <f>ROUND(N360*'Methodology &amp; Assumptions'!$B$5, 0)</f>
        <v/>
      </c>
      <c r="P360" s="10" t="inlineStr">
        <is>
          <t>Single Carrier (Band n50, 100MHz TDD)</t>
        </is>
      </c>
      <c r="Q360" s="13">
        <f>ROUNDUP(O360/'Methodology &amp; Assumptions'!$B$6, 0)</f>
        <v/>
      </c>
      <c r="R360" s="13" t="n">
        <v>1</v>
      </c>
      <c r="S360" s="14" t="n">
        <v>219.71</v>
      </c>
      <c r="T360" s="14" t="n">
        <v>222.01</v>
      </c>
      <c r="U360" s="26">
        <f>IF(X360&gt;='Methodology &amp; Assumptions'!$B$7, "Tier 1 Critical GIDA (Score ≥ 50.0)", IF(X360&gt;='Methodology &amp; Assumptions'!$B$8, "Tier 2 High GIDA (Score 40.0–49.9)", "Tier 3 Moderate GIDA (Score &lt; 40.0)"))</f>
        <v/>
      </c>
      <c r="V360" s="26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W360" s="28" t="n">
        <v>0.15</v>
      </c>
      <c r="X360" s="14" t="n">
        <v>50.11</v>
      </c>
      <c r="Y360" s="14">
        <f>ROUND(MIN(100, (X360/69.91)*100), 2)</f>
        <v/>
      </c>
    </row>
    <row r="361">
      <c r="A361" s="10" t="n">
        <v>2</v>
      </c>
      <c r="B361" s="10" t="n">
        <v>357</v>
      </c>
      <c r="C361" s="10" t="n">
        <v>1357</v>
      </c>
      <c r="D361" s="10" t="inlineStr">
        <is>
          <t>1908816002</t>
        </is>
      </c>
      <c r="E361" s="26" t="inlineStr">
        <is>
          <t>Bangsamoro Autonomous Region In Muslim Mindanao (BARMM)</t>
        </is>
      </c>
      <c r="F361" s="26" t="inlineStr">
        <is>
          <t>Maguindanao del Sur</t>
        </is>
      </c>
      <c r="G361" s="26" t="inlineStr">
        <is>
          <t>Pagalungan</t>
        </is>
      </c>
      <c r="H361" s="26" t="inlineStr">
        <is>
          <t>Buliok</t>
        </is>
      </c>
      <c r="I361" s="27" t="n">
        <v>17.254986</v>
      </c>
      <c r="J361" s="27" t="n">
        <v>122.22903</v>
      </c>
      <c r="K361" s="10" t="inlineStr">
        <is>
          <t>R</t>
        </is>
      </c>
      <c r="L361" s="12" t="n">
        <v>5559</v>
      </c>
      <c r="M361" s="14" t="n">
        <v>4.7</v>
      </c>
      <c r="N361" s="12">
        <f>ROUND(L361/M361, 0)</f>
        <v/>
      </c>
      <c r="O361" s="12">
        <f>ROUND(N361*'Methodology &amp; Assumptions'!$B$5, 0)</f>
        <v/>
      </c>
      <c r="P361" s="10" t="inlineStr">
        <is>
          <t>Single Carrier (Band n50, 100MHz TDD)</t>
        </is>
      </c>
      <c r="Q361" s="13">
        <f>ROUNDUP(O361/'Methodology &amp; Assumptions'!$B$6, 0)</f>
        <v/>
      </c>
      <c r="R361" s="13" t="n">
        <v>1</v>
      </c>
      <c r="S361" s="14" t="n">
        <v>29.44</v>
      </c>
      <c r="T361" s="14" t="n">
        <v>34.32</v>
      </c>
      <c r="U361" s="26">
        <f>IF(X361&gt;='Methodology &amp; Assumptions'!$B$7, "Tier 1 Critical GIDA (Score ≥ 50.0)", IF(X361&gt;='Methodology &amp; Assumptions'!$B$8, "Tier 2 High GIDA (Score 40.0–49.9)", "Tier 3 Moderate GIDA (Score &lt; 40.0)"))</f>
        <v/>
      </c>
      <c r="V361" s="26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W361" s="28" t="n">
        <v>0.11</v>
      </c>
      <c r="X361" s="14" t="n">
        <v>50.11</v>
      </c>
      <c r="Y361" s="14">
        <f>ROUND(MIN(100, (X361/69.91)*100), 2)</f>
        <v/>
      </c>
    </row>
    <row r="362">
      <c r="A362" s="10" t="n">
        <v>2</v>
      </c>
      <c r="B362" s="10" t="n">
        <v>358</v>
      </c>
      <c r="C362" s="10" t="n">
        <v>1358</v>
      </c>
      <c r="D362" s="10" t="inlineStr">
        <is>
          <t>0806024007</t>
        </is>
      </c>
      <c r="E362" s="26" t="inlineStr">
        <is>
          <t>Region VIII (Eastern Visayas)</t>
        </is>
      </c>
      <c r="F362" s="26" t="inlineStr">
        <is>
          <t>Samar</t>
        </is>
      </c>
      <c r="G362" s="26" t="inlineStr">
        <is>
          <t>Tagapul-An</t>
        </is>
      </c>
      <c r="H362" s="26" t="inlineStr">
        <is>
          <t>Nipa</t>
        </is>
      </c>
      <c r="I362" s="27" t="n">
        <v>12.0764</v>
      </c>
      <c r="J362" s="27" t="n">
        <v>124.194551</v>
      </c>
      <c r="K362" s="10" t="inlineStr">
        <is>
          <t>R</t>
        </is>
      </c>
      <c r="L362" s="12" t="n">
        <v>1016</v>
      </c>
      <c r="M362" s="14" t="n">
        <v>4.1</v>
      </c>
      <c r="N362" s="12">
        <f>ROUND(L362/M362, 0)</f>
        <v/>
      </c>
      <c r="O362" s="12">
        <f>ROUND(N362*'Methodology &amp; Assumptions'!$B$5, 0)</f>
        <v/>
      </c>
      <c r="P362" s="10" t="inlineStr">
        <is>
          <t>Single Carrier (Band n50, 100MHz TDD)</t>
        </is>
      </c>
      <c r="Q362" s="13">
        <f>ROUNDUP(O362/'Methodology &amp; Assumptions'!$B$6, 0)</f>
        <v/>
      </c>
      <c r="R362" s="13" t="n">
        <v>1</v>
      </c>
      <c r="S362" s="14" t="n">
        <v>38.53</v>
      </c>
      <c r="T362" s="14" t="n">
        <v>58.02</v>
      </c>
      <c r="U362" s="26">
        <f>IF(X362&gt;='Methodology &amp; Assumptions'!$B$7, "Tier 1 Critical GIDA (Score ≥ 50.0)", IF(X362&gt;='Methodology &amp; Assumptions'!$B$8, "Tier 2 High GIDA (Score 40.0–49.9)", "Tier 3 Moderate GIDA (Score &lt; 40.0)"))</f>
        <v/>
      </c>
      <c r="V362" s="26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W362" s="28" t="n">
        <v>0.237</v>
      </c>
      <c r="X362" s="14" t="n">
        <v>50.11</v>
      </c>
      <c r="Y362" s="14">
        <f>ROUND(MIN(100, (X362/69.91)*100), 2)</f>
        <v/>
      </c>
    </row>
    <row r="363">
      <c r="A363" s="10" t="n">
        <v>2</v>
      </c>
      <c r="B363" s="10" t="n">
        <v>359</v>
      </c>
      <c r="C363" s="10" t="n">
        <v>1359</v>
      </c>
      <c r="D363" s="10" t="inlineStr">
        <is>
          <t>0804808001</t>
        </is>
      </c>
      <c r="E363" s="26" t="inlineStr">
        <is>
          <t>Region VIII (Eastern Visayas)</t>
        </is>
      </c>
      <c r="F363" s="26" t="inlineStr">
        <is>
          <t>Northern Samar</t>
        </is>
      </c>
      <c r="G363" s="26" t="inlineStr">
        <is>
          <t>Laoang</t>
        </is>
      </c>
      <c r="H363" s="26" t="inlineStr">
        <is>
          <t>Abaton</t>
        </is>
      </c>
      <c r="I363" s="27" t="n">
        <v>12.48082</v>
      </c>
      <c r="J363" s="27" t="n">
        <v>125.04063</v>
      </c>
      <c r="K363" s="10" t="inlineStr">
        <is>
          <t>R</t>
        </is>
      </c>
      <c r="L363" s="12" t="n">
        <v>518</v>
      </c>
      <c r="M363" s="14" t="n">
        <v>4.3</v>
      </c>
      <c r="N363" s="12">
        <f>ROUND(L363/M363, 0)</f>
        <v/>
      </c>
      <c r="O363" s="12">
        <f>ROUND(N363*'Methodology &amp; Assumptions'!$B$5, 0)</f>
        <v/>
      </c>
      <c r="P363" s="10" t="inlineStr">
        <is>
          <t>Single Carrier (Band n50, 100MHz TDD)</t>
        </is>
      </c>
      <c r="Q363" s="13">
        <f>ROUNDUP(O363/'Methodology &amp; Assumptions'!$B$6, 0)</f>
        <v/>
      </c>
      <c r="R363" s="13" t="n">
        <v>1</v>
      </c>
      <c r="S363" s="14" t="n">
        <v>102.98</v>
      </c>
      <c r="T363" s="14" t="n">
        <v>102.14</v>
      </c>
      <c r="U363" s="26">
        <f>IF(X363&gt;='Methodology &amp; Assumptions'!$B$7, "Tier 1 Critical GIDA (Score ≥ 50.0)", IF(X363&gt;='Methodology &amp; Assumptions'!$B$8, "Tier 2 High GIDA (Score 40.0–49.9)", "Tier 3 Moderate GIDA (Score &lt; 40.0)"))</f>
        <v/>
      </c>
      <c r="V363" s="26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W363" s="28" t="n">
        <v>0.237</v>
      </c>
      <c r="X363" s="14" t="n">
        <v>50.11</v>
      </c>
      <c r="Y363" s="14">
        <f>ROUND(MIN(100, (X363/69.91)*100), 2)</f>
        <v/>
      </c>
    </row>
    <row r="364">
      <c r="A364" s="10" t="n">
        <v>2</v>
      </c>
      <c r="B364" s="10" t="n">
        <v>360</v>
      </c>
      <c r="C364" s="10" t="n">
        <v>1360</v>
      </c>
      <c r="D364" s="10" t="inlineStr">
        <is>
          <t>0804807021</t>
        </is>
      </c>
      <c r="E364" s="26" t="inlineStr">
        <is>
          <t>Region VIII (Eastern Visayas)</t>
        </is>
      </c>
      <c r="F364" s="26" t="inlineStr">
        <is>
          <t>Northern Samar</t>
        </is>
      </c>
      <c r="G364" s="26" t="inlineStr">
        <is>
          <t>Gamay</t>
        </is>
      </c>
      <c r="H364" s="26" t="inlineStr">
        <is>
          <t>Rizal</t>
        </is>
      </c>
      <c r="I364" s="27" t="n">
        <v>12.37126</v>
      </c>
      <c r="J364" s="27" t="n">
        <v>125.208296</v>
      </c>
      <c r="K364" s="10" t="inlineStr">
        <is>
          <t>R</t>
        </is>
      </c>
      <c r="L364" s="12" t="n">
        <v>485</v>
      </c>
      <c r="M364" s="14" t="n">
        <v>4.3</v>
      </c>
      <c r="N364" s="12">
        <f>ROUND(L364/M364, 0)</f>
        <v/>
      </c>
      <c r="O364" s="12">
        <f>ROUND(N364*'Methodology &amp; Assumptions'!$B$5, 0)</f>
        <v/>
      </c>
      <c r="P364" s="10" t="inlineStr">
        <is>
          <t>Single Carrier (Band n50, 100MHz TDD)</t>
        </is>
      </c>
      <c r="Q364" s="13">
        <f>ROUNDUP(O364/'Methodology &amp; Assumptions'!$B$6, 0)</f>
        <v/>
      </c>
      <c r="R364" s="13" t="n">
        <v>1</v>
      </c>
      <c r="S364" s="14" t="n">
        <v>123.51</v>
      </c>
      <c r="T364" s="14" t="n">
        <v>122.75</v>
      </c>
      <c r="U364" s="26">
        <f>IF(X364&gt;='Methodology &amp; Assumptions'!$B$7, "Tier 1 Critical GIDA (Score ≥ 50.0)", IF(X364&gt;='Methodology &amp; Assumptions'!$B$8, "Tier 2 High GIDA (Score 40.0–49.9)", "Tier 3 Moderate GIDA (Score &lt; 40.0)"))</f>
        <v/>
      </c>
      <c r="V364" s="26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W364" s="28" t="n">
        <v>0.237</v>
      </c>
      <c r="X364" s="14" t="n">
        <v>50.11</v>
      </c>
      <c r="Y364" s="14">
        <f>ROUND(MIN(100, (X364/69.91)*100), 2)</f>
        <v/>
      </c>
    </row>
    <row r="365">
      <c r="A365" s="10" t="n">
        <v>2</v>
      </c>
      <c r="B365" s="10" t="n">
        <v>361</v>
      </c>
      <c r="C365" s="10" t="n">
        <v>1361</v>
      </c>
      <c r="D365" s="10" t="inlineStr">
        <is>
          <t>0600614022</t>
        </is>
      </c>
      <c r="E365" s="26" t="inlineStr">
        <is>
          <t>Region VI (Western Visayas)</t>
        </is>
      </c>
      <c r="F365" s="26" t="inlineStr">
        <is>
          <t>Antique</t>
        </is>
      </c>
      <c r="G365" s="26" t="inlineStr">
        <is>
          <t>San Remigio</t>
        </is>
      </c>
      <c r="H365" s="26" t="inlineStr">
        <is>
          <t>Orquia</t>
        </is>
      </c>
      <c r="I365" s="27" t="n">
        <v>10.910965</v>
      </c>
      <c r="J365" s="27" t="n">
        <v>122.158559</v>
      </c>
      <c r="K365" s="10" t="inlineStr">
        <is>
          <t>R</t>
        </is>
      </c>
      <c r="L365" s="12" t="n">
        <v>214</v>
      </c>
      <c r="M365" s="14" t="n">
        <v>3.9</v>
      </c>
      <c r="N365" s="12">
        <f>ROUND(L365/M365, 0)</f>
        <v/>
      </c>
      <c r="O365" s="12">
        <f>ROUND(N365*'Methodology &amp; Assumptions'!$B$5, 0)</f>
        <v/>
      </c>
      <c r="P365" s="10" t="inlineStr">
        <is>
          <t>Single Carrier (Band n50, 100MHz TDD)</t>
        </is>
      </c>
      <c r="Q365" s="13">
        <f>ROUNDUP(O365/'Methodology &amp; Assumptions'!$B$6, 0)</f>
        <v/>
      </c>
      <c r="R365" s="13" t="n">
        <v>1</v>
      </c>
      <c r="S365" s="14" t="n">
        <v>29.21</v>
      </c>
      <c r="T365" s="14" t="n">
        <v>21.93</v>
      </c>
      <c r="U365" s="26">
        <f>IF(X365&gt;='Methodology &amp; Assumptions'!$B$7, "Tier 1 Critical GIDA (Score ≥ 50.0)", IF(X365&gt;='Methodology &amp; Assumptions'!$B$8, "Tier 2 High GIDA (Score 40.0–49.9)", "Tier 3 Moderate GIDA (Score &lt; 40.0)"))</f>
        <v/>
      </c>
      <c r="V365" s="26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W365" s="28" t="n">
        <v>0.237</v>
      </c>
      <c r="X365" s="14" t="n">
        <v>50.11</v>
      </c>
      <c r="Y365" s="14">
        <f>ROUND(MIN(100, (X365/69.91)*100), 2)</f>
        <v/>
      </c>
    </row>
    <row r="366">
      <c r="A366" s="10" t="n">
        <v>2</v>
      </c>
      <c r="B366" s="10" t="n">
        <v>362</v>
      </c>
      <c r="C366" s="10" t="n">
        <v>1362</v>
      </c>
      <c r="D366" s="10" t="inlineStr">
        <is>
          <t>0502004004</t>
        </is>
      </c>
      <c r="E366" s="26" t="inlineStr">
        <is>
          <t>Region V (Bicol Region)</t>
        </is>
      </c>
      <c r="F366" s="26" t="inlineStr">
        <is>
          <t>Catanduanes</t>
        </is>
      </c>
      <c r="G366" s="26" t="inlineStr">
        <is>
          <t>Caramoran</t>
        </is>
      </c>
      <c r="H366" s="26" t="inlineStr">
        <is>
          <t>Buenavista</t>
        </is>
      </c>
      <c r="I366" s="27" t="n">
        <v>13.987745</v>
      </c>
      <c r="J366" s="27" t="n">
        <v>124.182432</v>
      </c>
      <c r="K366" s="10" t="inlineStr">
        <is>
          <t>R</t>
        </is>
      </c>
      <c r="L366" s="12" t="n">
        <v>605</v>
      </c>
      <c r="M366" s="14" t="n">
        <v>4.2</v>
      </c>
      <c r="N366" s="12">
        <f>ROUND(L366/M366, 0)</f>
        <v/>
      </c>
      <c r="O366" s="12">
        <f>ROUND(N366*'Methodology &amp; Assumptions'!$B$5, 0)</f>
        <v/>
      </c>
      <c r="P366" s="10" t="inlineStr">
        <is>
          <t>Single Carrier (Band n50, 100MHz TDD)</t>
        </is>
      </c>
      <c r="Q366" s="13">
        <f>ROUNDUP(O366/'Methodology &amp; Assumptions'!$B$6, 0)</f>
        <v/>
      </c>
      <c r="R366" s="13" t="n">
        <v>1</v>
      </c>
      <c r="S366" s="14" t="n">
        <v>41.83</v>
      </c>
      <c r="T366" s="14" t="n">
        <v>79.83</v>
      </c>
      <c r="U366" s="26">
        <f>IF(X366&gt;='Methodology &amp; Assumptions'!$B$7, "Tier 1 Critical GIDA (Score ≥ 50.0)", IF(X366&gt;='Methodology &amp; Assumptions'!$B$8, "Tier 2 High GIDA (Score 40.0–49.9)", "Tier 3 Moderate GIDA (Score &lt; 40.0)"))</f>
        <v/>
      </c>
      <c r="V366" s="26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W366" s="28" t="n">
        <v>0.237</v>
      </c>
      <c r="X366" s="14" t="n">
        <v>50.11</v>
      </c>
      <c r="Y366" s="14">
        <f>ROUND(MIN(100, (X366/69.91)*100), 2)</f>
        <v/>
      </c>
    </row>
    <row r="367">
      <c r="A367" s="10" t="n">
        <v>2</v>
      </c>
      <c r="B367" s="10" t="n">
        <v>363</v>
      </c>
      <c r="C367" s="10" t="n">
        <v>1363</v>
      </c>
      <c r="D367" s="10" t="inlineStr">
        <is>
          <t>1705304012</t>
        </is>
      </c>
      <c r="E367" s="26" t="inlineStr">
        <is>
          <t>MIMAROPA Region</t>
        </is>
      </c>
      <c r="F367" s="26" t="inlineStr">
        <is>
          <t>Palawan</t>
        </is>
      </c>
      <c r="G367" s="26" t="inlineStr">
        <is>
          <t>Balabac</t>
        </is>
      </c>
      <c r="H367" s="26" t="inlineStr">
        <is>
          <t>Pasig</t>
        </is>
      </c>
      <c r="I367" s="27" t="n">
        <v>7.860361</v>
      </c>
      <c r="J367" s="27" t="n">
        <v>117.001229</v>
      </c>
      <c r="K367" s="10" t="inlineStr">
        <is>
          <t>R</t>
        </is>
      </c>
      <c r="L367" s="12" t="n">
        <v>489</v>
      </c>
      <c r="M367" s="14" t="n">
        <v>3.9</v>
      </c>
      <c r="N367" s="12">
        <f>ROUND(L367/M367, 0)</f>
        <v/>
      </c>
      <c r="O367" s="12">
        <f>ROUND(N367*'Methodology &amp; Assumptions'!$B$5, 0)</f>
        <v/>
      </c>
      <c r="P367" s="10" t="inlineStr">
        <is>
          <t>Single Carrier (Band n50, 100MHz TDD)</t>
        </is>
      </c>
      <c r="Q367" s="13">
        <f>ROUNDUP(O367/'Methodology &amp; Assumptions'!$B$6, 0)</f>
        <v/>
      </c>
      <c r="R367" s="13" t="n">
        <v>1</v>
      </c>
      <c r="S367" s="14" t="n">
        <v>282.75</v>
      </c>
      <c r="T367" s="14" t="n">
        <v>999</v>
      </c>
      <c r="U367" s="26">
        <f>IF(X367&gt;='Methodology &amp; Assumptions'!$B$7, "Tier 1 Critical GIDA (Score ≥ 50.0)", IF(X367&gt;='Methodology &amp; Assumptions'!$B$8, "Tier 2 High GIDA (Score 40.0–49.9)", "Tier 3 Moderate GIDA (Score &lt; 40.0)"))</f>
        <v/>
      </c>
      <c r="V367" s="26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W367" s="28" t="n">
        <v>0.15</v>
      </c>
      <c r="X367" s="14" t="n">
        <v>50.11</v>
      </c>
      <c r="Y367" s="14">
        <f>ROUND(MIN(100, (X367/69.91)*100), 2)</f>
        <v/>
      </c>
    </row>
    <row r="368">
      <c r="A368" s="10" t="n">
        <v>2</v>
      </c>
      <c r="B368" s="10" t="n">
        <v>364</v>
      </c>
      <c r="C368" s="10" t="n">
        <v>1364</v>
      </c>
      <c r="D368" s="10" t="inlineStr">
        <is>
          <t>1381100084</t>
        </is>
      </c>
      <c r="E368" s="26" t="inlineStr">
        <is>
          <t>National Capital Region (NCR)</t>
        </is>
      </c>
      <c r="F368" s="26" t="inlineStr">
        <is>
          <t>Fourth District (Not a Province)</t>
        </is>
      </c>
      <c r="G368" s="26" t="inlineStr">
        <is>
          <t>Pasay City</t>
        </is>
      </c>
      <c r="H368" s="26" t="inlineStr">
        <is>
          <t>Barangay 84</t>
        </is>
      </c>
      <c r="I368" s="27" t="n">
        <v>14.560641</v>
      </c>
      <c r="J368" s="27" t="n">
        <v>120.983337</v>
      </c>
      <c r="K368" s="10" t="inlineStr">
        <is>
          <t>U</t>
        </is>
      </c>
      <c r="L368" s="12" t="n">
        <v>739</v>
      </c>
      <c r="M368" s="14" t="n">
        <v>3.4</v>
      </c>
      <c r="N368" s="12">
        <f>ROUND(L368/M368, 0)</f>
        <v/>
      </c>
      <c r="O368" s="12">
        <f>ROUND(N368*'Methodology &amp; Assumptions'!$B$5, 0)</f>
        <v/>
      </c>
      <c r="P368" s="10" t="inlineStr">
        <is>
          <t>Single Carrier (Band n50, 100MHz TDD)</t>
        </is>
      </c>
      <c r="Q368" s="13">
        <f>ROUNDUP(O368/'Methodology &amp; Assumptions'!$B$6, 0)</f>
        <v/>
      </c>
      <c r="R368" s="13" t="n">
        <v>1</v>
      </c>
      <c r="S368" s="14" t="n">
        <v>1.22</v>
      </c>
      <c r="T368" s="14" t="n">
        <v>1.23</v>
      </c>
      <c r="U368" s="26">
        <f>IF(X368&gt;='Methodology &amp; Assumptions'!$B$7, "Tier 1 Critical GIDA (Score ≥ 50.0)", IF(X368&gt;='Methodology &amp; Assumptions'!$B$8, "Tier 2 High GIDA (Score 40.0–49.9)", "Tier 3 Moderate GIDA (Score &lt; 40.0)"))</f>
        <v/>
      </c>
      <c r="V368" s="26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W368" s="28" t="n">
        <v>0.109</v>
      </c>
      <c r="X368" s="14" t="n">
        <v>50.11</v>
      </c>
      <c r="Y368" s="14">
        <f>ROUND(MIN(100, (X368/69.91)*100), 2)</f>
        <v/>
      </c>
    </row>
    <row r="369">
      <c r="A369" s="10" t="n">
        <v>2</v>
      </c>
      <c r="B369" s="10" t="n">
        <v>365</v>
      </c>
      <c r="C369" s="10" t="n">
        <v>1365</v>
      </c>
      <c r="D369" s="10" t="inlineStr">
        <is>
          <t>0802617029</t>
        </is>
      </c>
      <c r="E369" s="26" t="inlineStr">
        <is>
          <t>Region VIII (Eastern Visayas)</t>
        </is>
      </c>
      <c r="F369" s="26" t="inlineStr">
        <is>
          <t>Eastern Samar</t>
        </is>
      </c>
      <c r="G369" s="26" t="inlineStr">
        <is>
          <t>Oras</t>
        </is>
      </c>
      <c r="H369" s="26" t="inlineStr">
        <is>
          <t>Naga</t>
        </is>
      </c>
      <c r="I369" s="27" t="n">
        <v>12.173811</v>
      </c>
      <c r="J369" s="27" t="n">
        <v>125.368536</v>
      </c>
      <c r="K369" s="10" t="inlineStr">
        <is>
          <t>R</t>
        </is>
      </c>
      <c r="L369" s="12" t="n">
        <v>441</v>
      </c>
      <c r="M369" s="14" t="n">
        <v>3.9</v>
      </c>
      <c r="N369" s="12">
        <f>ROUND(L369/M369, 0)</f>
        <v/>
      </c>
      <c r="O369" s="12">
        <f>ROUND(N369*'Methodology &amp; Assumptions'!$B$5, 0)</f>
        <v/>
      </c>
      <c r="P369" s="10" t="inlineStr">
        <is>
          <t>Single Carrier (Band n50, 100MHz TDD)</t>
        </is>
      </c>
      <c r="Q369" s="13">
        <f>ROUNDUP(O369/'Methodology &amp; Assumptions'!$B$6, 0)</f>
        <v/>
      </c>
      <c r="R369" s="13" t="n">
        <v>1</v>
      </c>
      <c r="S369" s="14" t="n">
        <v>111.26</v>
      </c>
      <c r="T369" s="14" t="n">
        <v>113.83</v>
      </c>
      <c r="U369" s="26">
        <f>IF(X369&gt;='Methodology &amp; Assumptions'!$B$7, "Tier 1 Critical GIDA (Score ≥ 50.0)", IF(X369&gt;='Methodology &amp; Assumptions'!$B$8, "Tier 2 High GIDA (Score 40.0–49.9)", "Tier 3 Moderate GIDA (Score &lt; 40.0)"))</f>
        <v/>
      </c>
      <c r="V369" s="26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W369" s="28" t="n">
        <v>0.237</v>
      </c>
      <c r="X369" s="14" t="n">
        <v>50.11</v>
      </c>
      <c r="Y369" s="14">
        <f>ROUND(MIN(100, (X369/69.91)*100), 2)</f>
        <v/>
      </c>
    </row>
    <row r="370">
      <c r="A370" s="10" t="n">
        <v>2</v>
      </c>
      <c r="B370" s="10" t="n">
        <v>366</v>
      </c>
      <c r="C370" s="10" t="n">
        <v>1366</v>
      </c>
      <c r="D370" s="10" t="inlineStr">
        <is>
          <t>1903638027</t>
        </is>
      </c>
      <c r="E370" s="26" t="inlineStr">
        <is>
          <t>Bangsamoro Autonomous Region In Muslim Mindanao (BARMM)</t>
        </is>
      </c>
      <c r="F370" s="26" t="inlineStr">
        <is>
          <t>Lanao del Sur</t>
        </is>
      </c>
      <c r="G370" s="26" t="inlineStr">
        <is>
          <t>Tagoloan Ii</t>
        </is>
      </c>
      <c r="H370" s="26" t="inlineStr">
        <is>
          <t>Mama-an Pagalongan</t>
        </is>
      </c>
      <c r="I370" s="27" t="n">
        <v>17.259067</v>
      </c>
      <c r="J370" s="27" t="n">
        <v>122.234809</v>
      </c>
      <c r="K370" s="10" t="inlineStr">
        <is>
          <t>R</t>
        </is>
      </c>
      <c r="L370" s="12" t="n">
        <v>600</v>
      </c>
      <c r="M370" s="14" t="n">
        <v>5.7</v>
      </c>
      <c r="N370" s="12">
        <f>ROUND(L370/M370, 0)</f>
        <v/>
      </c>
      <c r="O370" s="12">
        <f>ROUND(N370*'Methodology &amp; Assumptions'!$B$5, 0)</f>
        <v/>
      </c>
      <c r="P370" s="10" t="inlineStr">
        <is>
          <t>Single Carrier (Band n50, 100MHz TDD)</t>
        </is>
      </c>
      <c r="Q370" s="13">
        <f>ROUNDUP(O370/'Methodology &amp; Assumptions'!$B$6, 0)</f>
        <v/>
      </c>
      <c r="R370" s="13" t="n">
        <v>1</v>
      </c>
      <c r="S370" s="14" t="n">
        <v>30.2</v>
      </c>
      <c r="T370" s="14" t="n">
        <v>35.04</v>
      </c>
      <c r="U370" s="26">
        <f>IF(X370&gt;='Methodology &amp; Assumptions'!$B$7, "Tier 1 Critical GIDA (Score ≥ 50.0)", IF(X370&gt;='Methodology &amp; Assumptions'!$B$8, "Tier 2 High GIDA (Score 40.0–49.9)", "Tier 3 Moderate GIDA (Score &lt; 40.0)"))</f>
        <v/>
      </c>
      <c r="V370" s="26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W370" s="28" t="n">
        <v>0.11</v>
      </c>
      <c r="X370" s="14" t="n">
        <v>50.11</v>
      </c>
      <c r="Y370" s="14">
        <f>ROUND(MIN(100, (X370/69.91)*100), 2)</f>
        <v/>
      </c>
    </row>
    <row r="371">
      <c r="A371" s="10" t="n">
        <v>2</v>
      </c>
      <c r="B371" s="10" t="n">
        <v>367</v>
      </c>
      <c r="C371" s="10" t="n">
        <v>1367</v>
      </c>
      <c r="D371" s="10" t="inlineStr">
        <is>
          <t>1380601184</t>
        </is>
      </c>
      <c r="E371" s="26" t="inlineStr">
        <is>
          <t>National Capital Region (NCR)</t>
        </is>
      </c>
      <c r="F371" s="26" t="inlineStr">
        <is>
          <t>First District (Not a Province)</t>
        </is>
      </c>
      <c r="G371" s="26" t="inlineStr">
        <is>
          <t>City of Manila</t>
        </is>
      </c>
      <c r="H371" s="26" t="inlineStr">
        <is>
          <t>Barangay 184</t>
        </is>
      </c>
      <c r="I371" s="27" t="n">
        <v>12.891455</v>
      </c>
      <c r="J371" s="27" t="n">
        <v>122.050174</v>
      </c>
      <c r="K371" s="10" t="inlineStr">
        <is>
          <t>U</t>
        </is>
      </c>
      <c r="L371" s="12" t="n">
        <v>3412</v>
      </c>
      <c r="M371" s="14" t="n">
        <v>3.9</v>
      </c>
      <c r="N371" s="12">
        <f>ROUND(L371/M371, 0)</f>
        <v/>
      </c>
      <c r="O371" s="12">
        <f>ROUND(N371*'Methodology &amp; Assumptions'!$B$5, 0)</f>
        <v/>
      </c>
      <c r="P371" s="10" t="inlineStr">
        <is>
          <t>Single Carrier (Band n50, 100MHz TDD)</t>
        </is>
      </c>
      <c r="Q371" s="13">
        <f>ROUNDUP(O371/'Methodology &amp; Assumptions'!$B$6, 0)</f>
        <v/>
      </c>
      <c r="R371" s="13" t="n">
        <v>1</v>
      </c>
      <c r="S371" s="14" t="n">
        <v>61.95</v>
      </c>
      <c r="T371" s="14" t="n">
        <v>62.02</v>
      </c>
      <c r="U371" s="26">
        <f>IF(X371&gt;='Methodology &amp; Assumptions'!$B$7, "Tier 1 Critical GIDA (Score ≥ 50.0)", IF(X371&gt;='Methodology &amp; Assumptions'!$B$8, "Tier 2 High GIDA (Score 40.0–49.9)", "Tier 3 Moderate GIDA (Score &lt; 40.0)"))</f>
        <v/>
      </c>
      <c r="V371" s="26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W371" s="28" t="n">
        <v>0.109</v>
      </c>
      <c r="X371" s="14" t="n">
        <v>50.11</v>
      </c>
      <c r="Y371" s="14">
        <f>ROUND(MIN(100, (X371/69.91)*100), 2)</f>
        <v/>
      </c>
    </row>
    <row r="372">
      <c r="A372" s="10" t="n">
        <v>2</v>
      </c>
      <c r="B372" s="10" t="n">
        <v>368</v>
      </c>
      <c r="C372" s="10" t="n">
        <v>1368</v>
      </c>
      <c r="D372" s="10" t="inlineStr">
        <is>
          <t>0806023012</t>
        </is>
      </c>
      <c r="E372" s="26" t="inlineStr">
        <is>
          <t>Region VIII (Eastern Visayas)</t>
        </is>
      </c>
      <c r="F372" s="26" t="inlineStr">
        <is>
          <t>Samar</t>
        </is>
      </c>
      <c r="G372" s="26" t="inlineStr">
        <is>
          <t>Zumarraga</t>
        </is>
      </c>
      <c r="H372" s="26" t="inlineStr">
        <is>
          <t>Maga-an</t>
        </is>
      </c>
      <c r="I372" s="27" t="n">
        <v>11.666997</v>
      </c>
      <c r="J372" s="27" t="n">
        <v>124.892647</v>
      </c>
      <c r="K372" s="10" t="inlineStr">
        <is>
          <t>R</t>
        </is>
      </c>
      <c r="L372" s="12" t="n">
        <v>606</v>
      </c>
      <c r="M372" s="14" t="n">
        <v>4.1</v>
      </c>
      <c r="N372" s="12">
        <f>ROUND(L372/M372, 0)</f>
        <v/>
      </c>
      <c r="O372" s="12">
        <f>ROUND(N372*'Methodology &amp; Assumptions'!$B$5, 0)</f>
        <v/>
      </c>
      <c r="P372" s="10" t="inlineStr">
        <is>
          <t>Single Carrier (Band n50, 100MHz TDD)</t>
        </is>
      </c>
      <c r="Q372" s="13">
        <f>ROUNDUP(O372/'Methodology &amp; Assumptions'!$B$6, 0)</f>
        <v/>
      </c>
      <c r="R372" s="13" t="n">
        <v>1</v>
      </c>
      <c r="S372" s="14" t="n">
        <v>46.45</v>
      </c>
      <c r="T372" s="14" t="n">
        <v>46.34</v>
      </c>
      <c r="U372" s="26">
        <f>IF(X372&gt;='Methodology &amp; Assumptions'!$B$7, "Tier 1 Critical GIDA (Score ≥ 50.0)", IF(X372&gt;='Methodology &amp; Assumptions'!$B$8, "Tier 2 High GIDA (Score 40.0–49.9)", "Tier 3 Moderate GIDA (Score &lt; 40.0)"))</f>
        <v/>
      </c>
      <c r="V372" s="26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W372" s="28" t="n">
        <v>0.237</v>
      </c>
      <c r="X372" s="14" t="n">
        <v>50.11</v>
      </c>
      <c r="Y372" s="14">
        <f>ROUND(MIN(100, (X372/69.91)*100), 2)</f>
        <v/>
      </c>
    </row>
    <row r="373">
      <c r="A373" s="10" t="n">
        <v>2</v>
      </c>
      <c r="B373" s="10" t="n">
        <v>369</v>
      </c>
      <c r="C373" s="10" t="n">
        <v>1369</v>
      </c>
      <c r="D373" s="10" t="inlineStr">
        <is>
          <t>0804824003</t>
        </is>
      </c>
      <c r="E373" s="26" t="inlineStr">
        <is>
          <t>Region VIII (Eastern Visayas)</t>
        </is>
      </c>
      <c r="F373" s="26" t="inlineStr">
        <is>
          <t>Northern Samar</t>
        </is>
      </c>
      <c r="G373" s="26" t="inlineStr">
        <is>
          <t>Lope De Vega</t>
        </is>
      </c>
      <c r="H373" s="26" t="inlineStr">
        <is>
          <t>Cagamesarag</t>
        </is>
      </c>
      <c r="I373" s="27" t="n">
        <v>12.32745</v>
      </c>
      <c r="J373" s="27" t="n">
        <v>124.588289</v>
      </c>
      <c r="K373" s="10" t="inlineStr">
        <is>
          <t>R</t>
        </is>
      </c>
      <c r="L373" s="12" t="n">
        <v>161</v>
      </c>
      <c r="M373" s="14" t="n">
        <v>4.3</v>
      </c>
      <c r="N373" s="12">
        <f>ROUND(L373/M373, 0)</f>
        <v/>
      </c>
      <c r="O373" s="12">
        <f>ROUND(N373*'Methodology &amp; Assumptions'!$B$5, 0)</f>
        <v/>
      </c>
      <c r="P373" s="10" t="inlineStr">
        <is>
          <t>Single Carrier (Band n50, 100MHz TDD)</t>
        </is>
      </c>
      <c r="Q373" s="13">
        <f>ROUNDUP(O373/'Methodology &amp; Assumptions'!$B$6, 0)</f>
        <v/>
      </c>
      <c r="R373" s="13" t="n">
        <v>1</v>
      </c>
      <c r="S373" s="14" t="n">
        <v>62.09</v>
      </c>
      <c r="T373" s="14" t="n">
        <v>62.08</v>
      </c>
      <c r="U373" s="26">
        <f>IF(X373&gt;='Methodology &amp; Assumptions'!$B$7, "Tier 1 Critical GIDA (Score ≥ 50.0)", IF(X373&gt;='Methodology &amp; Assumptions'!$B$8, "Tier 2 High GIDA (Score 40.0–49.9)", "Tier 3 Moderate GIDA (Score &lt; 40.0)"))</f>
        <v/>
      </c>
      <c r="V373" s="26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W373" s="28" t="n">
        <v>0.237</v>
      </c>
      <c r="X373" s="14" t="n">
        <v>50.11</v>
      </c>
      <c r="Y373" s="14">
        <f>ROUND(MIN(100, (X373/69.91)*100), 2)</f>
        <v/>
      </c>
    </row>
    <row r="374">
      <c r="A374" s="10" t="n">
        <v>2</v>
      </c>
      <c r="B374" s="10" t="n">
        <v>370</v>
      </c>
      <c r="C374" s="10" t="n">
        <v>1370</v>
      </c>
      <c r="D374" s="10" t="inlineStr">
        <is>
          <t>0806012023</t>
        </is>
      </c>
      <c r="E374" s="26" t="inlineStr">
        <is>
          <t>Region VIII (Eastern Visayas)</t>
        </is>
      </c>
      <c r="F374" s="26" t="inlineStr">
        <is>
          <t>Samar</t>
        </is>
      </c>
      <c r="G374" s="26" t="inlineStr">
        <is>
          <t>Motiong</t>
        </is>
      </c>
      <c r="H374" s="26" t="inlineStr">
        <is>
          <t>Mararangsi</t>
        </is>
      </c>
      <c r="I374" s="27" t="n">
        <v>11.829576</v>
      </c>
      <c r="J374" s="27" t="n">
        <v>125.001766</v>
      </c>
      <c r="K374" s="10" t="inlineStr">
        <is>
          <t>R</t>
        </is>
      </c>
      <c r="L374" s="12" t="n">
        <v>241</v>
      </c>
      <c r="M374" s="14" t="n">
        <v>4.1</v>
      </c>
      <c r="N374" s="12">
        <f>ROUND(L374/M374, 0)</f>
        <v/>
      </c>
      <c r="O374" s="12">
        <f>ROUND(N374*'Methodology &amp; Assumptions'!$B$5, 0)</f>
        <v/>
      </c>
      <c r="P374" s="10" t="inlineStr">
        <is>
          <t>Single Carrier (Band n50, 100MHz TDD)</t>
        </is>
      </c>
      <c r="Q374" s="13">
        <f>ROUNDUP(O374/'Methodology &amp; Assumptions'!$B$6, 0)</f>
        <v/>
      </c>
      <c r="R374" s="13" t="n">
        <v>1</v>
      </c>
      <c r="S374" s="14" t="n">
        <v>65.59999999999999</v>
      </c>
      <c r="T374" s="14" t="n">
        <v>67.87</v>
      </c>
      <c r="U374" s="26">
        <f>IF(X374&gt;='Methodology &amp; Assumptions'!$B$7, "Tier 1 Critical GIDA (Score ≥ 50.0)", IF(X374&gt;='Methodology &amp; Assumptions'!$B$8, "Tier 2 High GIDA (Score 40.0–49.9)", "Tier 3 Moderate GIDA (Score &lt; 40.0)"))</f>
        <v/>
      </c>
      <c r="V374" s="26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W374" s="28" t="n">
        <v>0.237</v>
      </c>
      <c r="X374" s="14" t="n">
        <v>50.11</v>
      </c>
      <c r="Y374" s="14">
        <f>ROUND(MIN(100, (X374/69.91)*100), 2)</f>
        <v/>
      </c>
    </row>
    <row r="375">
      <c r="A375" s="10" t="n">
        <v>2</v>
      </c>
      <c r="B375" s="10" t="n">
        <v>371</v>
      </c>
      <c r="C375" s="10" t="n">
        <v>1371</v>
      </c>
      <c r="D375" s="10" t="inlineStr">
        <is>
          <t>1903638029</t>
        </is>
      </c>
      <c r="E375" s="26" t="inlineStr">
        <is>
          <t>Bangsamoro Autonomous Region In Muslim Mindanao (BARMM)</t>
        </is>
      </c>
      <c r="F375" s="26" t="inlineStr">
        <is>
          <t>Lanao del Sur</t>
        </is>
      </c>
      <c r="G375" s="26" t="inlineStr">
        <is>
          <t>Tagoloan Ii</t>
        </is>
      </c>
      <c r="H375" s="26" t="inlineStr">
        <is>
          <t>Marawi</t>
        </is>
      </c>
      <c r="I375" s="27" t="n">
        <v>17.24555</v>
      </c>
      <c r="J375" s="27" t="n">
        <v>122.226819</v>
      </c>
      <c r="K375" s="10" t="inlineStr">
        <is>
          <t>R</t>
        </is>
      </c>
      <c r="L375" s="12" t="n">
        <v>596</v>
      </c>
      <c r="M375" s="14" t="n">
        <v>5.7</v>
      </c>
      <c r="N375" s="12">
        <f>ROUND(L375/M375, 0)</f>
        <v/>
      </c>
      <c r="O375" s="12">
        <f>ROUND(N375*'Methodology &amp; Assumptions'!$B$5, 0)</f>
        <v/>
      </c>
      <c r="P375" s="10" t="inlineStr">
        <is>
          <t>Single Carrier (Band n50, 100MHz TDD)</t>
        </is>
      </c>
      <c r="Q375" s="13">
        <f>ROUNDUP(O375/'Methodology &amp; Assumptions'!$B$6, 0)</f>
        <v/>
      </c>
      <c r="R375" s="13" t="n">
        <v>1</v>
      </c>
      <c r="S375" s="14" t="n">
        <v>28.59</v>
      </c>
      <c r="T375" s="14" t="n">
        <v>33.8</v>
      </c>
      <c r="U375" s="26">
        <f>IF(X375&gt;='Methodology &amp; Assumptions'!$B$7, "Tier 1 Critical GIDA (Score ≥ 50.0)", IF(X375&gt;='Methodology &amp; Assumptions'!$B$8, "Tier 2 High GIDA (Score 40.0–49.9)", "Tier 3 Moderate GIDA (Score &lt; 40.0)"))</f>
        <v/>
      </c>
      <c r="V375" s="26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W375" s="28" t="n">
        <v>0.11</v>
      </c>
      <c r="X375" s="14" t="n">
        <v>50.11</v>
      </c>
      <c r="Y375" s="14">
        <f>ROUND(MIN(100, (X375/69.91)*100), 2)</f>
        <v/>
      </c>
    </row>
    <row r="376">
      <c r="A376" s="10" t="n">
        <v>2</v>
      </c>
      <c r="B376" s="10" t="n">
        <v>372</v>
      </c>
      <c r="C376" s="10" t="n">
        <v>1372</v>
      </c>
      <c r="D376" s="10" t="inlineStr">
        <is>
          <t>0806012004</t>
        </is>
      </c>
      <c r="E376" s="26" t="inlineStr">
        <is>
          <t>Region VIII (Eastern Visayas)</t>
        </is>
      </c>
      <c r="F376" s="26" t="inlineStr">
        <is>
          <t>Samar</t>
        </is>
      </c>
      <c r="G376" s="26" t="inlineStr">
        <is>
          <t>Motiong</t>
        </is>
      </c>
      <c r="H376" s="26" t="inlineStr">
        <is>
          <t>Barayong</t>
        </is>
      </c>
      <c r="I376" s="27" t="n">
        <v>11.96196</v>
      </c>
      <c r="J376" s="27" t="n">
        <v>124.99166</v>
      </c>
      <c r="K376" s="10" t="inlineStr">
        <is>
          <t>R</t>
        </is>
      </c>
      <c r="L376" s="12" t="n">
        <v>173</v>
      </c>
      <c r="M376" s="14" t="n">
        <v>4.1</v>
      </c>
      <c r="N376" s="12">
        <f>ROUND(L376/M376, 0)</f>
        <v/>
      </c>
      <c r="O376" s="12">
        <f>ROUND(N376*'Methodology &amp; Assumptions'!$B$5, 0)</f>
        <v/>
      </c>
      <c r="P376" s="10" t="inlineStr">
        <is>
          <t>Single Carrier (Band n50, 100MHz TDD)</t>
        </is>
      </c>
      <c r="Q376" s="13">
        <f>ROUNDUP(O376/'Methodology &amp; Assumptions'!$B$6, 0)</f>
        <v/>
      </c>
      <c r="R376" s="13" t="n">
        <v>1</v>
      </c>
      <c r="S376" s="14" t="n">
        <v>80.33</v>
      </c>
      <c r="T376" s="14" t="n">
        <v>80.58</v>
      </c>
      <c r="U376" s="26">
        <f>IF(X376&gt;='Methodology &amp; Assumptions'!$B$7, "Tier 1 Critical GIDA (Score ≥ 50.0)", IF(X376&gt;='Methodology &amp; Assumptions'!$B$8, "Tier 2 High GIDA (Score 40.0–49.9)", "Tier 3 Moderate GIDA (Score &lt; 40.0)"))</f>
        <v/>
      </c>
      <c r="V376" s="26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W376" s="28" t="n">
        <v>0.237</v>
      </c>
      <c r="X376" s="14" t="n">
        <v>50.1</v>
      </c>
      <c r="Y376" s="14">
        <f>ROUND(MIN(100, (X376/69.91)*100), 2)</f>
        <v/>
      </c>
    </row>
    <row r="377">
      <c r="A377" s="10" t="n">
        <v>2</v>
      </c>
      <c r="B377" s="10" t="n">
        <v>373</v>
      </c>
      <c r="C377" s="10" t="n">
        <v>1373</v>
      </c>
      <c r="D377" s="10" t="inlineStr">
        <is>
          <t>0804824018</t>
        </is>
      </c>
      <c r="E377" s="26" t="inlineStr">
        <is>
          <t>Region VIII (Eastern Visayas)</t>
        </is>
      </c>
      <c r="F377" s="26" t="inlineStr">
        <is>
          <t>Northern Samar</t>
        </is>
      </c>
      <c r="G377" s="26" t="inlineStr">
        <is>
          <t>Lope De Vega</t>
        </is>
      </c>
      <c r="H377" s="26" t="inlineStr">
        <is>
          <t>San Francisco</t>
        </is>
      </c>
      <c r="I377" s="27" t="n">
        <v>12.29213</v>
      </c>
      <c r="J377" s="27" t="n">
        <v>125.13741</v>
      </c>
      <c r="K377" s="10" t="inlineStr">
        <is>
          <t>R</t>
        </is>
      </c>
      <c r="L377" s="12" t="n">
        <v>137</v>
      </c>
      <c r="M377" s="14" t="n">
        <v>4.3</v>
      </c>
      <c r="N377" s="12">
        <f>ROUND(L377/M377, 0)</f>
        <v/>
      </c>
      <c r="O377" s="12">
        <f>ROUND(N377*'Methodology &amp; Assumptions'!$B$5, 0)</f>
        <v/>
      </c>
      <c r="P377" s="10" t="inlineStr">
        <is>
          <t>Single Carrier (Band n50, 100MHz TDD)</t>
        </is>
      </c>
      <c r="Q377" s="13">
        <f>ROUNDUP(O377/'Methodology &amp; Assumptions'!$B$6, 0)</f>
        <v/>
      </c>
      <c r="R377" s="13" t="n">
        <v>1</v>
      </c>
      <c r="S377" s="14" t="n">
        <v>117.95</v>
      </c>
      <c r="T377" s="14" t="n">
        <v>118.06</v>
      </c>
      <c r="U377" s="26">
        <f>IF(X377&gt;='Methodology &amp; Assumptions'!$B$7, "Tier 1 Critical GIDA (Score ≥ 50.0)", IF(X377&gt;='Methodology &amp; Assumptions'!$B$8, "Tier 2 High GIDA (Score 40.0–49.9)", "Tier 3 Moderate GIDA (Score &lt; 40.0)"))</f>
        <v/>
      </c>
      <c r="V377" s="26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W377" s="28" t="n">
        <v>0.237</v>
      </c>
      <c r="X377" s="14" t="n">
        <v>50.1</v>
      </c>
      <c r="Y377" s="14">
        <f>ROUND(MIN(100, (X377/69.91)*100), 2)</f>
        <v/>
      </c>
    </row>
    <row r="378">
      <c r="A378" s="10" t="n">
        <v>2</v>
      </c>
      <c r="B378" s="10" t="n">
        <v>374</v>
      </c>
      <c r="C378" s="10" t="n">
        <v>1374</v>
      </c>
      <c r="D378" s="10" t="inlineStr">
        <is>
          <t>0806012020</t>
        </is>
      </c>
      <c r="E378" s="26" t="inlineStr">
        <is>
          <t>Region VIII (Eastern Visayas)</t>
        </is>
      </c>
      <c r="F378" s="26" t="inlineStr">
        <is>
          <t>Samar</t>
        </is>
      </c>
      <c r="G378" s="26" t="inlineStr">
        <is>
          <t>Motiong</t>
        </is>
      </c>
      <c r="H378" s="26" t="inlineStr">
        <is>
          <t>Linonoban</t>
        </is>
      </c>
      <c r="I378" s="27" t="n">
        <v>11.83972</v>
      </c>
      <c r="J378" s="27" t="n">
        <v>125.00299</v>
      </c>
      <c r="K378" s="10" t="inlineStr">
        <is>
          <t>R</t>
        </is>
      </c>
      <c r="L378" s="12" t="n">
        <v>156</v>
      </c>
      <c r="M378" s="14" t="n">
        <v>4.1</v>
      </c>
      <c r="N378" s="12">
        <f>ROUND(L378/M378, 0)</f>
        <v/>
      </c>
      <c r="O378" s="12">
        <f>ROUND(N378*'Methodology &amp; Assumptions'!$B$5, 0)</f>
        <v/>
      </c>
      <c r="P378" s="10" t="inlineStr">
        <is>
          <t>Single Carrier (Band n50, 100MHz TDD)</t>
        </is>
      </c>
      <c r="Q378" s="13">
        <f>ROUNDUP(O378/'Methodology &amp; Assumptions'!$B$6, 0)</f>
        <v/>
      </c>
      <c r="R378" s="13" t="n">
        <v>1</v>
      </c>
      <c r="S378" s="14" t="n">
        <v>66.73</v>
      </c>
      <c r="T378" s="14" t="n">
        <v>68.93000000000001</v>
      </c>
      <c r="U378" s="26">
        <f>IF(X378&gt;='Methodology &amp; Assumptions'!$B$7, "Tier 1 Critical GIDA (Score ≥ 50.0)", IF(X378&gt;='Methodology &amp; Assumptions'!$B$8, "Tier 2 High GIDA (Score 40.0–49.9)", "Tier 3 Moderate GIDA (Score &lt; 40.0)"))</f>
        <v/>
      </c>
      <c r="V378" s="26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W378" s="28" t="n">
        <v>0.237</v>
      </c>
      <c r="X378" s="14" t="n">
        <v>50.1</v>
      </c>
      <c r="Y378" s="14">
        <f>ROUND(MIN(100, (X378/69.91)*100), 2)</f>
        <v/>
      </c>
    </row>
    <row r="379">
      <c r="A379" s="10" t="n">
        <v>2</v>
      </c>
      <c r="B379" s="10" t="n">
        <v>375</v>
      </c>
      <c r="C379" s="10" t="n">
        <v>1375</v>
      </c>
      <c r="D379" s="10" t="inlineStr">
        <is>
          <t>1903613034</t>
        </is>
      </c>
      <c r="E379" s="26" t="inlineStr">
        <is>
          <t>Bangsamoro Autonomous Region In Muslim Mindanao (BARMM)</t>
        </is>
      </c>
      <c r="F379" s="26" t="inlineStr">
        <is>
          <t>Lanao del Sur</t>
        </is>
      </c>
      <c r="G379" s="26" t="inlineStr">
        <is>
          <t>Madalum</t>
        </is>
      </c>
      <c r="H379" s="26" t="inlineStr">
        <is>
          <t>Tamporong</t>
        </is>
      </c>
      <c r="I379" s="27" t="n">
        <v>17.255178</v>
      </c>
      <c r="J379" s="27" t="n">
        <v>122.222103</v>
      </c>
      <c r="K379" s="10" t="inlineStr">
        <is>
          <t>R</t>
        </is>
      </c>
      <c r="L379" s="12" t="n">
        <v>956</v>
      </c>
      <c r="M379" s="14" t="n">
        <v>5.7</v>
      </c>
      <c r="N379" s="12">
        <f>ROUND(L379/M379, 0)</f>
        <v/>
      </c>
      <c r="O379" s="12">
        <f>ROUND(N379*'Methodology &amp; Assumptions'!$B$5, 0)</f>
        <v/>
      </c>
      <c r="P379" s="10" t="inlineStr">
        <is>
          <t>Single Carrier (Band n50, 100MHz TDD)</t>
        </is>
      </c>
      <c r="Q379" s="13">
        <f>ROUNDUP(O379/'Methodology &amp; Assumptions'!$B$6, 0)</f>
        <v/>
      </c>
      <c r="R379" s="13" t="n">
        <v>1</v>
      </c>
      <c r="S379" s="14" t="n">
        <v>28.89</v>
      </c>
      <c r="T379" s="14" t="n">
        <v>33.62</v>
      </c>
      <c r="U379" s="26">
        <f>IF(X379&gt;='Methodology &amp; Assumptions'!$B$7, "Tier 1 Critical GIDA (Score ≥ 50.0)", IF(X379&gt;='Methodology &amp; Assumptions'!$B$8, "Tier 2 High GIDA (Score 40.0–49.9)", "Tier 3 Moderate GIDA (Score &lt; 40.0)"))</f>
        <v/>
      </c>
      <c r="V379" s="26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W379" s="28" t="n">
        <v>0.11</v>
      </c>
      <c r="X379" s="14" t="n">
        <v>50.1</v>
      </c>
      <c r="Y379" s="14">
        <f>ROUND(MIN(100, (X379/69.91)*100), 2)</f>
        <v/>
      </c>
    </row>
    <row r="380">
      <c r="A380" s="10" t="n">
        <v>2</v>
      </c>
      <c r="B380" s="10" t="n">
        <v>376</v>
      </c>
      <c r="C380" s="10" t="n">
        <v>1376</v>
      </c>
      <c r="D380" s="10" t="inlineStr">
        <is>
          <t>1380400002</t>
        </is>
      </c>
      <c r="E380" s="26" t="inlineStr">
        <is>
          <t>National Capital Region (NCR)</t>
        </is>
      </c>
      <c r="F380" s="26" t="inlineStr">
        <is>
          <t>Third District (Not a Province)</t>
        </is>
      </c>
      <c r="G380" s="26" t="inlineStr">
        <is>
          <t>City of Malabon</t>
        </is>
      </c>
      <c r="H380" s="26" t="inlineStr">
        <is>
          <t>Baritan</t>
        </is>
      </c>
      <c r="I380" s="27" t="n">
        <v>14.671696</v>
      </c>
      <c r="J380" s="27" t="n">
        <v>120.949271</v>
      </c>
      <c r="K380" s="10" t="inlineStr">
        <is>
          <t>U</t>
        </is>
      </c>
      <c r="L380" s="12" t="n">
        <v>12448</v>
      </c>
      <c r="M380" s="14" t="n">
        <v>3.7</v>
      </c>
      <c r="N380" s="12">
        <f>ROUND(L380/M380, 0)</f>
        <v/>
      </c>
      <c r="O380" s="12">
        <f>ROUND(N380*'Methodology &amp; Assumptions'!$B$5, 0)</f>
        <v/>
      </c>
      <c r="P380" s="10" t="inlineStr">
        <is>
          <t>Single Carrier (Band n50, 100MHz TDD)</t>
        </is>
      </c>
      <c r="Q380" s="13">
        <f>ROUNDUP(O380/'Methodology &amp; Assumptions'!$B$6, 0)</f>
        <v/>
      </c>
      <c r="R380" s="13" t="n">
        <v>1</v>
      </c>
      <c r="S380" s="14" t="n">
        <v>0.49</v>
      </c>
      <c r="T380" s="14" t="n">
        <v>0.25</v>
      </c>
      <c r="U380" s="26">
        <f>IF(X380&gt;='Methodology &amp; Assumptions'!$B$7, "Tier 1 Critical GIDA (Score ≥ 50.0)", IF(X380&gt;='Methodology &amp; Assumptions'!$B$8, "Tier 2 High GIDA (Score 40.0–49.9)", "Tier 3 Moderate GIDA (Score &lt; 40.0)"))</f>
        <v/>
      </c>
      <c r="V380" s="26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W380" s="28" t="n">
        <v>0.109</v>
      </c>
      <c r="X380" s="14" t="n">
        <v>50.1</v>
      </c>
      <c r="Y380" s="14">
        <f>ROUND(MIN(100, (X380/69.91)*100), 2)</f>
        <v/>
      </c>
    </row>
    <row r="381">
      <c r="A381" s="10" t="n">
        <v>2</v>
      </c>
      <c r="B381" s="10" t="n">
        <v>377</v>
      </c>
      <c r="C381" s="10" t="n">
        <v>1377</v>
      </c>
      <c r="D381" s="10" t="inlineStr">
        <is>
          <t>1380601226</t>
        </is>
      </c>
      <c r="E381" s="26" t="inlineStr">
        <is>
          <t>National Capital Region (NCR)</t>
        </is>
      </c>
      <c r="F381" s="26" t="inlineStr">
        <is>
          <t>First District (Not a Province)</t>
        </is>
      </c>
      <c r="G381" s="26" t="inlineStr">
        <is>
          <t>City of Manila</t>
        </is>
      </c>
      <c r="H381" s="26" t="inlineStr">
        <is>
          <t>Barangay 225</t>
        </is>
      </c>
      <c r="I381" s="27" t="n">
        <v>12.688193</v>
      </c>
      <c r="J381" s="27" t="n">
        <v>121.57755</v>
      </c>
      <c r="K381" s="10" t="inlineStr">
        <is>
          <t>U</t>
        </is>
      </c>
      <c r="L381" s="12" t="n">
        <v>2492</v>
      </c>
      <c r="M381" s="14" t="n">
        <v>3.9</v>
      </c>
      <c r="N381" s="12">
        <f>ROUND(L381/M381, 0)</f>
        <v/>
      </c>
      <c r="O381" s="12">
        <f>ROUND(N381*'Methodology &amp; Assumptions'!$B$5, 0)</f>
        <v/>
      </c>
      <c r="P381" s="10" t="inlineStr">
        <is>
          <t>Single Carrier (Band n50, 100MHz TDD)</t>
        </is>
      </c>
      <c r="Q381" s="13">
        <f>ROUNDUP(O381/'Methodology &amp; Assumptions'!$B$6, 0)</f>
        <v/>
      </c>
      <c r="R381" s="13" t="n">
        <v>1</v>
      </c>
      <c r="S381" s="14" t="n">
        <v>9.779999999999999</v>
      </c>
      <c r="T381" s="14" t="n">
        <v>9.41</v>
      </c>
      <c r="U381" s="26">
        <f>IF(X381&gt;='Methodology &amp; Assumptions'!$B$7, "Tier 1 Critical GIDA (Score ≥ 50.0)", IF(X381&gt;='Methodology &amp; Assumptions'!$B$8, "Tier 2 High GIDA (Score 40.0–49.9)", "Tier 3 Moderate GIDA (Score &lt; 40.0)"))</f>
        <v/>
      </c>
      <c r="V381" s="26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W381" s="28" t="n">
        <v>0.109</v>
      </c>
      <c r="X381" s="14" t="n">
        <v>50.1</v>
      </c>
      <c r="Y381" s="14">
        <f>ROUND(MIN(100, (X381/69.91)*100), 2)</f>
        <v/>
      </c>
    </row>
    <row r="382">
      <c r="A382" s="10" t="n">
        <v>2</v>
      </c>
      <c r="B382" s="10" t="n">
        <v>378</v>
      </c>
      <c r="C382" s="10" t="n">
        <v>1378</v>
      </c>
      <c r="D382" s="10" t="inlineStr">
        <is>
          <t>1380601138</t>
        </is>
      </c>
      <c r="E382" s="26" t="inlineStr">
        <is>
          <t>National Capital Region (NCR)</t>
        </is>
      </c>
      <c r="F382" s="26" t="inlineStr">
        <is>
          <t>First District (Not a Province)</t>
        </is>
      </c>
      <c r="G382" s="26" t="inlineStr">
        <is>
          <t>City of Manila</t>
        </is>
      </c>
      <c r="H382" s="26" t="inlineStr">
        <is>
          <t>Barangay 138</t>
        </is>
      </c>
      <c r="I382" s="27" t="n">
        <v>13.151623</v>
      </c>
      <c r="J382" s="27" t="n">
        <v>121.786179</v>
      </c>
      <c r="K382" s="10" t="inlineStr">
        <is>
          <t>U</t>
        </is>
      </c>
      <c r="L382" s="12" t="n">
        <v>3028</v>
      </c>
      <c r="M382" s="14" t="n">
        <v>3.9</v>
      </c>
      <c r="N382" s="12">
        <f>ROUND(L382/M382, 0)</f>
        <v/>
      </c>
      <c r="O382" s="12">
        <f>ROUND(N382*'Methodology &amp; Assumptions'!$B$5, 0)</f>
        <v/>
      </c>
      <c r="P382" s="10" t="inlineStr">
        <is>
          <t>Single Carrier (Band n50, 100MHz TDD)</t>
        </is>
      </c>
      <c r="Q382" s="13">
        <f>ROUNDUP(O382/'Methodology &amp; Assumptions'!$B$6, 0)</f>
        <v/>
      </c>
      <c r="R382" s="13" t="n">
        <v>1</v>
      </c>
      <c r="S382" s="14" t="n">
        <v>31.79</v>
      </c>
      <c r="T382" s="14" t="n">
        <v>35.49</v>
      </c>
      <c r="U382" s="26">
        <f>IF(X382&gt;='Methodology &amp; Assumptions'!$B$7, "Tier 1 Critical GIDA (Score ≥ 50.0)", IF(X382&gt;='Methodology &amp; Assumptions'!$B$8, "Tier 2 High GIDA (Score 40.0–49.9)", "Tier 3 Moderate GIDA (Score &lt; 40.0)"))</f>
        <v/>
      </c>
      <c r="V382" s="26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W382" s="28" t="n">
        <v>0.109</v>
      </c>
      <c r="X382" s="14" t="n">
        <v>50.1</v>
      </c>
      <c r="Y382" s="14">
        <f>ROUND(MIN(100, (X382/69.91)*100), 2)</f>
        <v/>
      </c>
    </row>
    <row r="383">
      <c r="A383" s="10" t="n">
        <v>2</v>
      </c>
      <c r="B383" s="10" t="n">
        <v>379</v>
      </c>
      <c r="C383" s="10" t="n">
        <v>1379</v>
      </c>
      <c r="D383" s="10" t="inlineStr">
        <is>
          <t>1381100052</t>
        </is>
      </c>
      <c r="E383" s="26" t="inlineStr">
        <is>
          <t>National Capital Region (NCR)</t>
        </is>
      </c>
      <c r="F383" s="26" t="inlineStr">
        <is>
          <t>Fourth District (Not a Province)</t>
        </is>
      </c>
      <c r="G383" s="26" t="inlineStr">
        <is>
          <t>Pasay City</t>
        </is>
      </c>
      <c r="H383" s="26" t="inlineStr">
        <is>
          <t>Barangay 52</t>
        </is>
      </c>
      <c r="I383" s="27" t="n">
        <v>14.539643</v>
      </c>
      <c r="J383" s="27" t="n">
        <v>121.033894</v>
      </c>
      <c r="K383" s="10" t="inlineStr">
        <is>
          <t>U</t>
        </is>
      </c>
      <c r="L383" s="12" t="n">
        <v>2460</v>
      </c>
      <c r="M383" s="14" t="n">
        <v>3.4</v>
      </c>
      <c r="N383" s="12">
        <f>ROUND(L383/M383, 0)</f>
        <v/>
      </c>
      <c r="O383" s="12">
        <f>ROUND(N383*'Methodology &amp; Assumptions'!$B$5, 0)</f>
        <v/>
      </c>
      <c r="P383" s="10" t="inlineStr">
        <is>
          <t>Single Carrier (Band n50, 100MHz TDD)</t>
        </is>
      </c>
      <c r="Q383" s="13">
        <f>ROUNDUP(O383/'Methodology &amp; Assumptions'!$B$6, 0)</f>
        <v/>
      </c>
      <c r="R383" s="13" t="n">
        <v>1</v>
      </c>
      <c r="S383" s="14" t="n">
        <v>1.89</v>
      </c>
      <c r="T383" s="14" t="n">
        <v>1.28</v>
      </c>
      <c r="U383" s="26">
        <f>IF(X383&gt;='Methodology &amp; Assumptions'!$B$7, "Tier 1 Critical GIDA (Score ≥ 50.0)", IF(X383&gt;='Methodology &amp; Assumptions'!$B$8, "Tier 2 High GIDA (Score 40.0–49.9)", "Tier 3 Moderate GIDA (Score &lt; 40.0)"))</f>
        <v/>
      </c>
      <c r="V383" s="26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W383" s="28" t="n">
        <v>0.109</v>
      </c>
      <c r="X383" s="14" t="n">
        <v>50.1</v>
      </c>
      <c r="Y383" s="14">
        <f>ROUND(MIN(100, (X383/69.91)*100), 2)</f>
        <v/>
      </c>
    </row>
    <row r="384">
      <c r="A384" s="10" t="n">
        <v>2</v>
      </c>
      <c r="B384" s="10" t="n">
        <v>380</v>
      </c>
      <c r="C384" s="10" t="n">
        <v>1380</v>
      </c>
      <c r="D384" s="10" t="inlineStr">
        <is>
          <t>1908704004</t>
        </is>
      </c>
      <c r="E384" s="26" t="inlineStr">
        <is>
          <t>Bangsamoro Autonomous Region In Muslim Mindanao (BARMM)</t>
        </is>
      </c>
      <c r="F384" s="26" t="inlineStr">
        <is>
          <t>Maguindanao del Norte</t>
        </is>
      </c>
      <c r="G384" s="26" t="inlineStr">
        <is>
          <t>Datu Blah T. Sinsuat</t>
        </is>
      </c>
      <c r="H384" s="26" t="inlineStr">
        <is>
          <t>Matuber</t>
        </is>
      </c>
      <c r="I384" s="27" t="n">
        <v>17.254122</v>
      </c>
      <c r="J384" s="27" t="n">
        <v>122.228166</v>
      </c>
      <c r="K384" s="10" t="inlineStr">
        <is>
          <t>R</t>
        </is>
      </c>
      <c r="L384" s="12" t="n">
        <v>7440</v>
      </c>
      <c r="M384" s="14" t="n">
        <v>4.3</v>
      </c>
      <c r="N384" s="12">
        <f>ROUND(L384/M384, 0)</f>
        <v/>
      </c>
      <c r="O384" s="12">
        <f>ROUND(N384*'Methodology &amp; Assumptions'!$B$5, 0)</f>
        <v/>
      </c>
      <c r="P384" s="10" t="inlineStr">
        <is>
          <t>Single Carrier (Band n50, 100MHz TDD)</t>
        </is>
      </c>
      <c r="Q384" s="13">
        <f>ROUNDUP(O384/'Methodology &amp; Assumptions'!$B$6, 0)</f>
        <v/>
      </c>
      <c r="R384" s="13" t="n">
        <v>1</v>
      </c>
      <c r="S384" s="14" t="n">
        <v>29.3</v>
      </c>
      <c r="T384" s="14" t="n">
        <v>34.2</v>
      </c>
      <c r="U384" s="26">
        <f>IF(X384&gt;='Methodology &amp; Assumptions'!$B$7, "Tier 1 Critical GIDA (Score ≥ 50.0)", IF(X384&gt;='Methodology &amp; Assumptions'!$B$8, "Tier 2 High GIDA (Score 40.0–49.9)", "Tier 3 Moderate GIDA (Score &lt; 40.0)"))</f>
        <v/>
      </c>
      <c r="V384" s="26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W384" s="28" t="n">
        <v>0.11</v>
      </c>
      <c r="X384" s="14" t="n">
        <v>50.1</v>
      </c>
      <c r="Y384" s="14">
        <f>ROUND(MIN(100, (X384/69.91)*100), 2)</f>
        <v/>
      </c>
    </row>
    <row r="385">
      <c r="A385" s="10" t="n">
        <v>2</v>
      </c>
      <c r="B385" s="10" t="n">
        <v>381</v>
      </c>
      <c r="C385" s="10" t="n">
        <v>1381</v>
      </c>
      <c r="D385" s="10" t="inlineStr">
        <is>
          <t>1004206003</t>
        </is>
      </c>
      <c r="E385" s="26" t="inlineStr">
        <is>
          <t>Region X (Northern Mindanao)</t>
        </is>
      </c>
      <c r="F385" s="26" t="inlineStr">
        <is>
          <t>Misamis Occidental</t>
        </is>
      </c>
      <c r="G385" s="26" t="inlineStr">
        <is>
          <t>Concepcion</t>
        </is>
      </c>
      <c r="H385" s="26" t="inlineStr">
        <is>
          <t>New Casul</t>
        </is>
      </c>
      <c r="I385" s="27" t="n">
        <v>8.408682000000001</v>
      </c>
      <c r="J385" s="27" t="n">
        <v>123.582609</v>
      </c>
      <c r="K385" s="10" t="inlineStr">
        <is>
          <t>R</t>
        </is>
      </c>
      <c r="L385" s="12" t="n">
        <v>455</v>
      </c>
      <c r="M385" s="14" t="n">
        <v>3.9</v>
      </c>
      <c r="N385" s="12">
        <f>ROUND(L385/M385, 0)</f>
        <v/>
      </c>
      <c r="O385" s="12">
        <f>ROUND(N385*'Methodology &amp; Assumptions'!$B$5, 0)</f>
        <v/>
      </c>
      <c r="P385" s="10" t="inlineStr">
        <is>
          <t>Single Carrier (Band n50, 100MHz TDD)</t>
        </is>
      </c>
      <c r="Q385" s="13">
        <f>ROUNDUP(O385/'Methodology &amp; Assumptions'!$B$6, 0)</f>
        <v/>
      </c>
      <c r="R385" s="13" t="n">
        <v>1</v>
      </c>
      <c r="S385" s="14" t="n">
        <v>47.14</v>
      </c>
      <c r="T385" s="14" t="n">
        <v>44.74</v>
      </c>
      <c r="U385" s="26">
        <f>IF(X385&gt;='Methodology &amp; Assumptions'!$B$7, "Tier 1 Critical GIDA (Score ≥ 50.0)", IF(X385&gt;='Methodology &amp; Assumptions'!$B$8, "Tier 2 High GIDA (Score 40.0–49.9)", "Tier 3 Moderate GIDA (Score &lt; 40.0)"))</f>
        <v/>
      </c>
      <c r="V385" s="26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W385" s="28" t="n">
        <v>0.174</v>
      </c>
      <c r="X385" s="14" t="n">
        <v>50.09</v>
      </c>
      <c r="Y385" s="14">
        <f>ROUND(MIN(100, (X385/69.91)*100), 2)</f>
        <v/>
      </c>
    </row>
    <row r="386">
      <c r="A386" s="10" t="n">
        <v>2</v>
      </c>
      <c r="B386" s="10" t="n">
        <v>382</v>
      </c>
      <c r="C386" s="10" t="n">
        <v>1382</v>
      </c>
      <c r="D386" s="10" t="inlineStr">
        <is>
          <t>0301412022</t>
        </is>
      </c>
      <c r="E386" s="26" t="inlineStr">
        <is>
          <t>Region III (Central Luzon)</t>
        </is>
      </c>
      <c r="F386" s="26" t="inlineStr">
        <is>
          <t>Bulacan</t>
        </is>
      </c>
      <c r="G386" s="26" t="inlineStr">
        <is>
          <t>City of Meycauayan</t>
        </is>
      </c>
      <c r="H386" s="26" t="inlineStr">
        <is>
          <t>Saint Francis (Gasak)</t>
        </is>
      </c>
      <c r="I386" s="27" t="n">
        <v>14.733014</v>
      </c>
      <c r="J386" s="27" t="n">
        <v>120.956678</v>
      </c>
      <c r="K386" s="10" t="inlineStr">
        <is>
          <t>R</t>
        </is>
      </c>
      <c r="L386" s="12" t="n">
        <v>1372</v>
      </c>
      <c r="M386" s="14" t="n">
        <v>3.5</v>
      </c>
      <c r="N386" s="12">
        <f>ROUND(L386/M386, 0)</f>
        <v/>
      </c>
      <c r="O386" s="12">
        <f>ROUND(N386*'Methodology &amp; Assumptions'!$B$5, 0)</f>
        <v/>
      </c>
      <c r="P386" s="10" t="inlineStr">
        <is>
          <t>Single Carrier (Band n50, 100MHz TDD)</t>
        </is>
      </c>
      <c r="Q386" s="13">
        <f>ROUNDUP(O386/'Methodology &amp; Assumptions'!$B$6, 0)</f>
        <v/>
      </c>
      <c r="R386" s="13" t="n">
        <v>1</v>
      </c>
      <c r="S386" s="14" t="n">
        <v>1.4</v>
      </c>
      <c r="T386" s="14" t="n">
        <v>0.52</v>
      </c>
      <c r="U386" s="26">
        <f>IF(X386&gt;='Methodology &amp; Assumptions'!$B$7, "Tier 1 Critical GIDA (Score ≥ 50.0)", IF(X386&gt;='Methodology &amp; Assumptions'!$B$8, "Tier 2 High GIDA (Score 40.0–49.9)", "Tier 3 Moderate GIDA (Score &lt; 40.0)"))</f>
        <v/>
      </c>
      <c r="V386" s="26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W386" s="28" t="n">
        <v>0.083</v>
      </c>
      <c r="X386" s="14" t="n">
        <v>50.09</v>
      </c>
      <c r="Y386" s="14">
        <f>ROUND(MIN(100, (X386/69.91)*100), 2)</f>
        <v/>
      </c>
    </row>
    <row r="387">
      <c r="A387" s="10" t="n">
        <v>2</v>
      </c>
      <c r="B387" s="10" t="n">
        <v>383</v>
      </c>
      <c r="C387" s="10" t="n">
        <v>1383</v>
      </c>
      <c r="D387" s="10" t="inlineStr">
        <is>
          <t>0806020026</t>
        </is>
      </c>
      <c r="E387" s="26" t="inlineStr">
        <is>
          <t>Region VIII (Eastern Visayas)</t>
        </is>
      </c>
      <c r="F387" s="26" t="inlineStr">
        <is>
          <t>Samar</t>
        </is>
      </c>
      <c r="G387" s="26" t="inlineStr">
        <is>
          <t>Tarangnan</t>
        </is>
      </c>
      <c r="H387" s="26" t="inlineStr">
        <is>
          <t>Lahong</t>
        </is>
      </c>
      <c r="I387" s="27" t="n">
        <v>11.933293</v>
      </c>
      <c r="J387" s="27" t="n">
        <v>124.763532</v>
      </c>
      <c r="K387" s="10" t="inlineStr">
        <is>
          <t>R</t>
        </is>
      </c>
      <c r="L387" s="12" t="n">
        <v>237</v>
      </c>
      <c r="M387" s="14" t="n">
        <v>4.1</v>
      </c>
      <c r="N387" s="12">
        <f>ROUND(L387/M387, 0)</f>
        <v/>
      </c>
      <c r="O387" s="12">
        <f>ROUND(N387*'Methodology &amp; Assumptions'!$B$5, 0)</f>
        <v/>
      </c>
      <c r="P387" s="10" t="inlineStr">
        <is>
          <t>Single Carrier (Band n50, 100MHz TDD)</t>
        </is>
      </c>
      <c r="Q387" s="13">
        <f>ROUNDUP(O387/'Methodology &amp; Assumptions'!$B$6, 0)</f>
        <v/>
      </c>
      <c r="R387" s="13" t="n">
        <v>1</v>
      </c>
      <c r="S387" s="14" t="n">
        <v>70.91</v>
      </c>
      <c r="T387" s="14" t="n">
        <v>70.88</v>
      </c>
      <c r="U387" s="26">
        <f>IF(X387&gt;='Methodology &amp; Assumptions'!$B$7, "Tier 1 Critical GIDA (Score ≥ 50.0)", IF(X387&gt;='Methodology &amp; Assumptions'!$B$8, "Tier 2 High GIDA (Score 40.0–49.9)", "Tier 3 Moderate GIDA (Score &lt; 40.0)"))</f>
        <v/>
      </c>
      <c r="V387" s="26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W387" s="28" t="n">
        <v>0.237</v>
      </c>
      <c r="X387" s="14" t="n">
        <v>50.09</v>
      </c>
      <c r="Y387" s="14">
        <f>ROUND(MIN(100, (X387/69.91)*100), 2)</f>
        <v/>
      </c>
    </row>
    <row r="388">
      <c r="A388" s="10" t="n">
        <v>2</v>
      </c>
      <c r="B388" s="10" t="n">
        <v>384</v>
      </c>
      <c r="C388" s="10" t="n">
        <v>1384</v>
      </c>
      <c r="D388" s="10" t="inlineStr">
        <is>
          <t>0806020007</t>
        </is>
      </c>
      <c r="E388" s="26" t="inlineStr">
        <is>
          <t>Region VIII (Eastern Visayas)</t>
        </is>
      </c>
      <c r="F388" s="26" t="inlineStr">
        <is>
          <t>Samar</t>
        </is>
      </c>
      <c r="G388" s="26" t="inlineStr">
        <is>
          <t>Tarangnan</t>
        </is>
      </c>
      <c r="H388" s="26" t="inlineStr">
        <is>
          <t>Bangon Gote</t>
        </is>
      </c>
      <c r="I388" s="27" t="n">
        <v>11.95848</v>
      </c>
      <c r="J388" s="27" t="n">
        <v>124.71171</v>
      </c>
      <c r="K388" s="10" t="inlineStr">
        <is>
          <t>R</t>
        </is>
      </c>
      <c r="L388" s="12" t="n">
        <v>145</v>
      </c>
      <c r="M388" s="14" t="n">
        <v>4.1</v>
      </c>
      <c r="N388" s="12">
        <f>ROUND(L388/M388, 0)</f>
        <v/>
      </c>
      <c r="O388" s="12">
        <f>ROUND(N388*'Methodology &amp; Assumptions'!$B$5, 0)</f>
        <v/>
      </c>
      <c r="P388" s="10" t="inlineStr">
        <is>
          <t>Single Carrier (Band n50, 100MHz TDD)</t>
        </is>
      </c>
      <c r="Q388" s="13">
        <f>ROUNDUP(O388/'Methodology &amp; Assumptions'!$B$6, 0)</f>
        <v/>
      </c>
      <c r="R388" s="13" t="n">
        <v>1</v>
      </c>
      <c r="S388" s="14" t="n">
        <v>73.29000000000001</v>
      </c>
      <c r="T388" s="14" t="n">
        <v>73.26000000000001</v>
      </c>
      <c r="U388" s="26">
        <f>IF(X388&gt;='Methodology &amp; Assumptions'!$B$7, "Tier 1 Critical GIDA (Score ≥ 50.0)", IF(X388&gt;='Methodology &amp; Assumptions'!$B$8, "Tier 2 High GIDA (Score 40.0–49.9)", "Tier 3 Moderate GIDA (Score &lt; 40.0)"))</f>
        <v/>
      </c>
      <c r="V388" s="26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W388" s="28" t="n">
        <v>0.237</v>
      </c>
      <c r="X388" s="14" t="n">
        <v>50.09</v>
      </c>
      <c r="Y388" s="14">
        <f>ROUND(MIN(100, (X388/69.91)*100), 2)</f>
        <v/>
      </c>
    </row>
    <row r="389">
      <c r="A389" s="10" t="n">
        <v>2</v>
      </c>
      <c r="B389" s="10" t="n">
        <v>385</v>
      </c>
      <c r="C389" s="10" t="n">
        <v>1385</v>
      </c>
      <c r="D389" s="10" t="inlineStr">
        <is>
          <t>1381100009</t>
        </is>
      </c>
      <c r="E389" s="26" t="inlineStr">
        <is>
          <t>National Capital Region (NCR)</t>
        </is>
      </c>
      <c r="F389" s="26" t="inlineStr">
        <is>
          <t>Fourth District (Not a Province)</t>
        </is>
      </c>
      <c r="G389" s="26" t="inlineStr">
        <is>
          <t>Pasay City</t>
        </is>
      </c>
      <c r="H389" s="26" t="inlineStr">
        <is>
          <t>Barangay 9</t>
        </is>
      </c>
      <c r="I389" s="27" t="n">
        <v>14.521254</v>
      </c>
      <c r="J389" s="27" t="n">
        <v>120.979502</v>
      </c>
      <c r="K389" s="10" t="inlineStr">
        <is>
          <t>U</t>
        </is>
      </c>
      <c r="L389" s="12" t="n">
        <v>264</v>
      </c>
      <c r="M389" s="14" t="n">
        <v>3.4</v>
      </c>
      <c r="N389" s="12">
        <f>ROUND(L389/M389, 0)</f>
        <v/>
      </c>
      <c r="O389" s="12">
        <f>ROUND(N389*'Methodology &amp; Assumptions'!$B$5, 0)</f>
        <v/>
      </c>
      <c r="P389" s="10" t="inlineStr">
        <is>
          <t>Single Carrier (Band n50, 100MHz TDD)</t>
        </is>
      </c>
      <c r="Q389" s="13">
        <f>ROUNDUP(O389/'Methodology &amp; Assumptions'!$B$6, 0)</f>
        <v/>
      </c>
      <c r="R389" s="13" t="n">
        <v>1</v>
      </c>
      <c r="S389" s="14" t="n">
        <v>2.04</v>
      </c>
      <c r="T389" s="14" t="n">
        <v>1.86</v>
      </c>
      <c r="U389" s="26">
        <f>IF(X389&gt;='Methodology &amp; Assumptions'!$B$7, "Tier 1 Critical GIDA (Score ≥ 50.0)", IF(X389&gt;='Methodology &amp; Assumptions'!$B$8, "Tier 2 High GIDA (Score 40.0–49.9)", "Tier 3 Moderate GIDA (Score &lt; 40.0)"))</f>
        <v/>
      </c>
      <c r="V389" s="26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W389" s="28" t="n">
        <v>0.109</v>
      </c>
      <c r="X389" s="14" t="n">
        <v>50.09</v>
      </c>
      <c r="Y389" s="14">
        <f>ROUND(MIN(100, (X389/69.91)*100), 2)</f>
        <v/>
      </c>
    </row>
    <row r="390">
      <c r="A390" s="10" t="n">
        <v>2</v>
      </c>
      <c r="B390" s="10" t="n">
        <v>386</v>
      </c>
      <c r="C390" s="10" t="n">
        <v>1386</v>
      </c>
      <c r="D390" s="10" t="inlineStr">
        <is>
          <t>1380601172</t>
        </is>
      </c>
      <c r="E390" s="26" t="inlineStr">
        <is>
          <t>National Capital Region (NCR)</t>
        </is>
      </c>
      <c r="F390" s="26" t="inlineStr">
        <is>
          <t>First District (Not a Province)</t>
        </is>
      </c>
      <c r="G390" s="26" t="inlineStr">
        <is>
          <t>City of Manila</t>
        </is>
      </c>
      <c r="H390" s="26" t="inlineStr">
        <is>
          <t>Barangay 172</t>
        </is>
      </c>
      <c r="I390" s="27" t="n">
        <v>12.670163</v>
      </c>
      <c r="J390" s="27" t="n">
        <v>121.95436</v>
      </c>
      <c r="K390" s="10" t="inlineStr">
        <is>
          <t>U</t>
        </is>
      </c>
      <c r="L390" s="12" t="n">
        <v>1247</v>
      </c>
      <c r="M390" s="14" t="n">
        <v>3.9</v>
      </c>
      <c r="N390" s="12">
        <f>ROUND(L390/M390, 0)</f>
        <v/>
      </c>
      <c r="O390" s="12">
        <f>ROUND(N390*'Methodology &amp; Assumptions'!$B$5, 0)</f>
        <v/>
      </c>
      <c r="P390" s="10" t="inlineStr">
        <is>
          <t>Single Carrier (Band n50, 100MHz TDD)</t>
        </is>
      </c>
      <c r="Q390" s="13">
        <f>ROUNDUP(O390/'Methodology &amp; Assumptions'!$B$6, 0)</f>
        <v/>
      </c>
      <c r="R390" s="13" t="n">
        <v>1</v>
      </c>
      <c r="S390" s="14" t="n">
        <v>44.3</v>
      </c>
      <c r="T390" s="14" t="n">
        <v>38.62</v>
      </c>
      <c r="U390" s="26">
        <f>IF(X390&gt;='Methodology &amp; Assumptions'!$B$7, "Tier 1 Critical GIDA (Score ≥ 50.0)", IF(X390&gt;='Methodology &amp; Assumptions'!$B$8, "Tier 2 High GIDA (Score 40.0–49.9)", "Tier 3 Moderate GIDA (Score &lt; 40.0)"))</f>
        <v/>
      </c>
      <c r="V390" s="26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W390" s="28" t="n">
        <v>0.109</v>
      </c>
      <c r="X390" s="14" t="n">
        <v>50.08</v>
      </c>
      <c r="Y390" s="14">
        <f>ROUND(MIN(100, (X390/69.91)*100), 2)</f>
        <v/>
      </c>
    </row>
    <row r="391">
      <c r="A391" s="10" t="n">
        <v>2</v>
      </c>
      <c r="B391" s="10" t="n">
        <v>387</v>
      </c>
      <c r="C391" s="10" t="n">
        <v>1387</v>
      </c>
      <c r="D391" s="10" t="inlineStr">
        <is>
          <t>1903610031</t>
        </is>
      </c>
      <c r="E391" s="26" t="inlineStr">
        <is>
          <t>Bangsamoro Autonomous Region In Muslim Mindanao (BARMM)</t>
        </is>
      </c>
      <c r="F391" s="26" t="inlineStr">
        <is>
          <t>Lanao del Sur</t>
        </is>
      </c>
      <c r="G391" s="26" t="inlineStr">
        <is>
          <t>Kapai</t>
        </is>
      </c>
      <c r="H391" s="26" t="inlineStr">
        <is>
          <t>Kibolos</t>
        </is>
      </c>
      <c r="I391" s="27" t="n">
        <v>17.254402</v>
      </c>
      <c r="J391" s="27" t="n">
        <v>122.228446</v>
      </c>
      <c r="K391" s="10" t="inlineStr">
        <is>
          <t>R</t>
        </is>
      </c>
      <c r="L391" s="12" t="n">
        <v>768</v>
      </c>
      <c r="M391" s="14" t="n">
        <v>5.7</v>
      </c>
      <c r="N391" s="12">
        <f>ROUND(L391/M391, 0)</f>
        <v/>
      </c>
      <c r="O391" s="12">
        <f>ROUND(N391*'Methodology &amp; Assumptions'!$B$5, 0)</f>
        <v/>
      </c>
      <c r="P391" s="10" t="inlineStr">
        <is>
          <t>Single Carrier (Band n50, 100MHz TDD)</t>
        </is>
      </c>
      <c r="Q391" s="13">
        <f>ROUNDUP(O391/'Methodology &amp; Assumptions'!$B$6, 0)</f>
        <v/>
      </c>
      <c r="R391" s="13" t="n">
        <v>1</v>
      </c>
      <c r="S391" s="14" t="n">
        <v>29.35</v>
      </c>
      <c r="T391" s="14" t="n">
        <v>34.24</v>
      </c>
      <c r="U391" s="26">
        <f>IF(X391&gt;='Methodology &amp; Assumptions'!$B$7, "Tier 1 Critical GIDA (Score ≥ 50.0)", IF(X391&gt;='Methodology &amp; Assumptions'!$B$8, "Tier 2 High GIDA (Score 40.0–49.9)", "Tier 3 Moderate GIDA (Score &lt; 40.0)"))</f>
        <v/>
      </c>
      <c r="V391" s="26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W391" s="28" t="n">
        <v>0.11</v>
      </c>
      <c r="X391" s="14" t="n">
        <v>50.08</v>
      </c>
      <c r="Y391" s="14">
        <f>ROUND(MIN(100, (X391/69.91)*100), 2)</f>
        <v/>
      </c>
    </row>
    <row r="392">
      <c r="A392" s="10" t="n">
        <v>2</v>
      </c>
      <c r="B392" s="10" t="n">
        <v>388</v>
      </c>
      <c r="C392" s="10" t="n">
        <v>1388</v>
      </c>
      <c r="D392" s="10" t="inlineStr">
        <is>
          <t>1208006012</t>
        </is>
      </c>
      <c r="E392" s="26" t="inlineStr">
        <is>
          <t>Region XII (SOCCSKSARGEN)</t>
        </is>
      </c>
      <c r="F392" s="26" t="inlineStr">
        <is>
          <t>Sarangani</t>
        </is>
      </c>
      <c r="G392" s="26" t="inlineStr">
        <is>
          <t>Malapatan</t>
        </is>
      </c>
      <c r="H392" s="26" t="inlineStr">
        <is>
          <t>Upper Suyan</t>
        </is>
      </c>
      <c r="I392" s="27" t="n">
        <v>6.074346</v>
      </c>
      <c r="J392" s="27" t="n">
        <v>125.450344</v>
      </c>
      <c r="K392" s="10" t="inlineStr">
        <is>
          <t>R</t>
        </is>
      </c>
      <c r="L392" s="12" t="n">
        <v>4980</v>
      </c>
      <c r="M392" s="14" t="n">
        <v>3.9</v>
      </c>
      <c r="N392" s="12">
        <f>ROUND(L392/M392, 0)</f>
        <v/>
      </c>
      <c r="O392" s="12">
        <f>ROUND(N392*'Methodology &amp; Assumptions'!$B$5, 0)</f>
        <v/>
      </c>
      <c r="P392" s="10" t="inlineStr">
        <is>
          <t>Single Carrier (Band n50, 100MHz TDD)</t>
        </is>
      </c>
      <c r="Q392" s="13">
        <f>ROUNDUP(O392/'Methodology &amp; Assumptions'!$B$6, 0)</f>
        <v/>
      </c>
      <c r="R392" s="13" t="n">
        <v>1</v>
      </c>
      <c r="S392" s="14" t="n">
        <v>19.36</v>
      </c>
      <c r="T392" s="14" t="n">
        <v>27.46</v>
      </c>
      <c r="U392" s="26">
        <f>IF(X392&gt;='Methodology &amp; Assumptions'!$B$7, "Tier 1 Critical GIDA (Score ≥ 50.0)", IF(X392&gt;='Methodology &amp; Assumptions'!$B$8, "Tier 2 High GIDA (Score 40.0–49.9)", "Tier 3 Moderate GIDA (Score &lt; 40.0)"))</f>
        <v/>
      </c>
      <c r="V392" s="26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W392" s="28" t="n">
        <v>0.174</v>
      </c>
      <c r="X392" s="14" t="n">
        <v>50.08</v>
      </c>
      <c r="Y392" s="14">
        <f>ROUND(MIN(100, (X392/69.91)*100), 2)</f>
        <v/>
      </c>
    </row>
    <row r="393">
      <c r="A393" s="10" t="n">
        <v>2</v>
      </c>
      <c r="B393" s="10" t="n">
        <v>389</v>
      </c>
      <c r="C393" s="10" t="n">
        <v>1389</v>
      </c>
      <c r="D393" s="10" t="inlineStr">
        <is>
          <t>0803705004</t>
        </is>
      </c>
      <c r="E393" s="26" t="inlineStr">
        <is>
          <t>Region VIII (Eastern Visayas)</t>
        </is>
      </c>
      <c r="F393" s="26" t="inlineStr">
        <is>
          <t>Leyte</t>
        </is>
      </c>
      <c r="G393" s="26" t="inlineStr">
        <is>
          <t>Babatngon</t>
        </is>
      </c>
      <c r="H393" s="26" t="inlineStr">
        <is>
          <t>Malibago</t>
        </is>
      </c>
      <c r="I393" s="27" t="n">
        <v>11.410724</v>
      </c>
      <c r="J393" s="27" t="n">
        <v>124.92413</v>
      </c>
      <c r="K393" s="10" t="inlineStr">
        <is>
          <t>R</t>
        </is>
      </c>
      <c r="L393" s="12" t="n">
        <v>870</v>
      </c>
      <c r="M393" s="14" t="n">
        <v>3.8</v>
      </c>
      <c r="N393" s="12">
        <f>ROUND(L393/M393, 0)</f>
        <v/>
      </c>
      <c r="O393" s="12">
        <f>ROUND(N393*'Methodology &amp; Assumptions'!$B$5, 0)</f>
        <v/>
      </c>
      <c r="P393" s="10" t="inlineStr">
        <is>
          <t>Single Carrier (Band n50, 100MHz TDD)</t>
        </is>
      </c>
      <c r="Q393" s="13">
        <f>ROUNDUP(O393/'Methodology &amp; Assumptions'!$B$6, 0)</f>
        <v/>
      </c>
      <c r="R393" s="13" t="n">
        <v>1</v>
      </c>
      <c r="S393" s="14" t="n">
        <v>20.85</v>
      </c>
      <c r="T393" s="14" t="n">
        <v>23.92</v>
      </c>
      <c r="U393" s="26">
        <f>IF(X393&gt;='Methodology &amp; Assumptions'!$B$7, "Tier 1 Critical GIDA (Score ≥ 50.0)", IF(X393&gt;='Methodology &amp; Assumptions'!$B$8, "Tier 2 High GIDA (Score 40.0–49.9)", "Tier 3 Moderate GIDA (Score &lt; 40.0)"))</f>
        <v/>
      </c>
      <c r="V393" s="26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W393" s="28" t="n">
        <v>0.237</v>
      </c>
      <c r="X393" s="14" t="n">
        <v>50.08</v>
      </c>
      <c r="Y393" s="14">
        <f>ROUND(MIN(100, (X393/69.91)*100), 2)</f>
        <v/>
      </c>
    </row>
    <row r="394">
      <c r="A394" s="10" t="n">
        <v>2</v>
      </c>
      <c r="B394" s="10" t="n">
        <v>390</v>
      </c>
      <c r="C394" s="10" t="n">
        <v>1390</v>
      </c>
      <c r="D394" s="10" t="inlineStr">
        <is>
          <t>1906615015</t>
        </is>
      </c>
      <c r="E394" s="26" t="inlineStr">
        <is>
          <t>Bangsamoro Autonomous Region In Muslim Mindanao (BARMM)</t>
        </is>
      </c>
      <c r="F394" s="26" t="inlineStr">
        <is>
          <t>Sulu</t>
        </is>
      </c>
      <c r="G394" s="26" t="inlineStr">
        <is>
          <t>Tongkil</t>
        </is>
      </c>
      <c r="H394" s="26" t="inlineStr">
        <is>
          <t>Tattalan</t>
        </is>
      </c>
      <c r="I394" s="27" t="n">
        <v>17.255671</v>
      </c>
      <c r="J394" s="27" t="n">
        <v>122.229715</v>
      </c>
      <c r="K394" s="10" t="inlineStr">
        <is>
          <t>R</t>
        </is>
      </c>
      <c r="L394" s="12" t="n">
        <v>2792</v>
      </c>
      <c r="M394" s="14" t="n">
        <v>6</v>
      </c>
      <c r="N394" s="12">
        <f>ROUND(L394/M394, 0)</f>
        <v/>
      </c>
      <c r="O394" s="12">
        <f>ROUND(N394*'Methodology &amp; Assumptions'!$B$5, 0)</f>
        <v/>
      </c>
      <c r="P394" s="10" t="inlineStr">
        <is>
          <t>Single Carrier (Band n50, 100MHz TDD)</t>
        </is>
      </c>
      <c r="Q394" s="13">
        <f>ROUNDUP(O394/'Methodology &amp; Assumptions'!$B$6, 0)</f>
        <v/>
      </c>
      <c r="R394" s="13" t="n">
        <v>1</v>
      </c>
      <c r="S394" s="14" t="n">
        <v>29.54</v>
      </c>
      <c r="T394" s="14" t="n">
        <v>34.41</v>
      </c>
      <c r="U394" s="26">
        <f>IF(X394&gt;='Methodology &amp; Assumptions'!$B$7, "Tier 1 Critical GIDA (Score ≥ 50.0)", IF(X394&gt;='Methodology &amp; Assumptions'!$B$8, "Tier 2 High GIDA (Score 40.0–49.9)", "Tier 3 Moderate GIDA (Score &lt; 40.0)"))</f>
        <v/>
      </c>
      <c r="V394" s="26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W394" s="28" t="n">
        <v>0.11</v>
      </c>
      <c r="X394" s="14" t="n">
        <v>50.08</v>
      </c>
      <c r="Y394" s="14">
        <f>ROUND(MIN(100, (X394/69.91)*100), 2)</f>
        <v/>
      </c>
    </row>
    <row r="395">
      <c r="A395" s="10" t="n">
        <v>2</v>
      </c>
      <c r="B395" s="10" t="n">
        <v>391</v>
      </c>
      <c r="C395" s="10" t="n">
        <v>1391</v>
      </c>
      <c r="D395" s="10" t="inlineStr">
        <is>
          <t>PH0001391</t>
        </is>
      </c>
      <c r="E395" s="26" t="inlineStr">
        <is>
          <t>VII</t>
        </is>
      </c>
      <c r="F395" s="26" t="inlineStr">
        <is>
          <t>Cebu</t>
        </is>
      </c>
      <c r="G395" s="26" t="inlineStr">
        <is>
          <t>Talisay City</t>
        </is>
      </c>
      <c r="H395" s="26" t="inlineStr">
        <is>
          <t>Cansojong</t>
        </is>
      </c>
      <c r="I395" s="27" t="n">
        <v>10.37117</v>
      </c>
      <c r="J395" s="27" t="n">
        <v>123.788333</v>
      </c>
      <c r="K395" s="10" t="inlineStr">
        <is>
          <t>R</t>
        </is>
      </c>
      <c r="L395" s="12" t="n">
        <v>2250</v>
      </c>
      <c r="M395" s="14" t="n">
        <v>3.8</v>
      </c>
      <c r="N395" s="12">
        <f>ROUND(L395/M395, 0)</f>
        <v/>
      </c>
      <c r="O395" s="12">
        <f>ROUND(N395*'Methodology &amp; Assumptions'!$B$5, 0)</f>
        <v/>
      </c>
      <c r="P395" s="10" t="inlineStr">
        <is>
          <t>Single Carrier (Band n50, 100MHz TDD)</t>
        </is>
      </c>
      <c r="Q395" s="13">
        <f>ROUNDUP(O395/'Methodology &amp; Assumptions'!$B$6, 0)</f>
        <v/>
      </c>
      <c r="R395" s="13" t="n">
        <v>1</v>
      </c>
      <c r="S395" s="14" t="n">
        <v>7.35</v>
      </c>
      <c r="T395" s="14" t="n">
        <v>10.7</v>
      </c>
      <c r="U395" s="26">
        <f>IF(X395&gt;='Methodology &amp; Assumptions'!$B$7, "Tier 1 Critical GIDA (Score ≥ 50.0)", IF(X395&gt;='Methodology &amp; Assumptions'!$B$8, "Tier 2 High GIDA (Score 40.0–49.9)", "Tier 3 Moderate GIDA (Score &lt; 40.0)"))</f>
        <v/>
      </c>
      <c r="V395" s="26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W395" s="28" t="n">
        <v>0.21</v>
      </c>
      <c r="X395" s="14" t="n">
        <v>50.08</v>
      </c>
      <c r="Y395" s="14">
        <f>ROUND(MIN(100, (X395/69.91)*100), 2)</f>
        <v/>
      </c>
    </row>
    <row r="396">
      <c r="A396" s="10" t="n">
        <v>2</v>
      </c>
      <c r="B396" s="10" t="n">
        <v>392</v>
      </c>
      <c r="C396" s="10" t="n">
        <v>1392</v>
      </c>
      <c r="D396" s="10" t="inlineStr">
        <is>
          <t>1903610029</t>
        </is>
      </c>
      <c r="E396" s="26" t="inlineStr">
        <is>
          <t>Bangsamoro Autonomous Region In Muslim Mindanao (BARMM)</t>
        </is>
      </c>
      <c r="F396" s="26" t="inlineStr">
        <is>
          <t>Lanao del Sur</t>
        </is>
      </c>
      <c r="G396" s="26" t="inlineStr">
        <is>
          <t>Kapai</t>
        </is>
      </c>
      <c r="H396" s="26" t="inlineStr">
        <is>
          <t>Dilabayan</t>
        </is>
      </c>
      <c r="I396" s="27" t="n">
        <v>17.254414</v>
      </c>
      <c r="J396" s="27" t="n">
        <v>122.228458</v>
      </c>
      <c r="K396" s="10" t="inlineStr">
        <is>
          <t>R</t>
        </is>
      </c>
      <c r="L396" s="12" t="n">
        <v>1279</v>
      </c>
      <c r="M396" s="14" t="n">
        <v>5.7</v>
      </c>
      <c r="N396" s="12">
        <f>ROUND(L396/M396, 0)</f>
        <v/>
      </c>
      <c r="O396" s="12">
        <f>ROUND(N396*'Methodology &amp; Assumptions'!$B$5, 0)</f>
        <v/>
      </c>
      <c r="P396" s="10" t="inlineStr">
        <is>
          <t>Single Carrier (Band n50, 100MHz TDD)</t>
        </is>
      </c>
      <c r="Q396" s="13">
        <f>ROUNDUP(O396/'Methodology &amp; Assumptions'!$B$6, 0)</f>
        <v/>
      </c>
      <c r="R396" s="13" t="n">
        <v>1</v>
      </c>
      <c r="S396" s="14" t="n">
        <v>29.35</v>
      </c>
      <c r="T396" s="14" t="n">
        <v>34.24</v>
      </c>
      <c r="U396" s="26">
        <f>IF(X396&gt;='Methodology &amp; Assumptions'!$B$7, "Tier 1 Critical GIDA (Score ≥ 50.0)", IF(X396&gt;='Methodology &amp; Assumptions'!$B$8, "Tier 2 High GIDA (Score 40.0–49.9)", "Tier 3 Moderate GIDA (Score &lt; 40.0)"))</f>
        <v/>
      </c>
      <c r="V396" s="26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W396" s="28" t="n">
        <v>0.11</v>
      </c>
      <c r="X396" s="14" t="n">
        <v>50.08</v>
      </c>
      <c r="Y396" s="14">
        <f>ROUND(MIN(100, (X396/69.91)*100), 2)</f>
        <v/>
      </c>
    </row>
    <row r="397">
      <c r="A397" s="10" t="n">
        <v>2</v>
      </c>
      <c r="B397" s="10" t="n">
        <v>393</v>
      </c>
      <c r="C397" s="10" t="n">
        <v>1393</v>
      </c>
      <c r="D397" s="10" t="inlineStr">
        <is>
          <t>1003511015</t>
        </is>
      </c>
      <c r="E397" s="26" t="inlineStr">
        <is>
          <t>Region X (Northern Mindanao)</t>
        </is>
      </c>
      <c r="F397" s="26" t="inlineStr">
        <is>
          <t>Lanao del Norte</t>
        </is>
      </c>
      <c r="G397" s="26" t="inlineStr">
        <is>
          <t>Magsaysay</t>
        </is>
      </c>
      <c r="H397" s="26" t="inlineStr">
        <is>
          <t>Lower Caningag</t>
        </is>
      </c>
      <c r="I397" s="27" t="n">
        <v>8.017662</v>
      </c>
      <c r="J397" s="27" t="n">
        <v>123.901228</v>
      </c>
      <c r="K397" s="10" t="inlineStr">
        <is>
          <t>R</t>
        </is>
      </c>
      <c r="L397" s="12" t="n">
        <v>396</v>
      </c>
      <c r="M397" s="14" t="n">
        <v>4.2</v>
      </c>
      <c r="N397" s="12">
        <f>ROUND(L397/M397, 0)</f>
        <v/>
      </c>
      <c r="O397" s="12">
        <f>ROUND(N397*'Methodology &amp; Assumptions'!$B$5, 0)</f>
        <v/>
      </c>
      <c r="P397" s="10" t="inlineStr">
        <is>
          <t>Single Carrier (Band n50, 100MHz TDD)</t>
        </is>
      </c>
      <c r="Q397" s="13">
        <f>ROUNDUP(O397/'Methodology &amp; Assumptions'!$B$6, 0)</f>
        <v/>
      </c>
      <c r="R397" s="13" t="n">
        <v>1</v>
      </c>
      <c r="S397" s="14" t="n">
        <v>11.59</v>
      </c>
      <c r="T397" s="14" t="n">
        <v>9.800000000000001</v>
      </c>
      <c r="U397" s="26">
        <f>IF(X397&gt;='Methodology &amp; Assumptions'!$B$7, "Tier 1 Critical GIDA (Score ≥ 50.0)", IF(X397&gt;='Methodology &amp; Assumptions'!$B$8, "Tier 2 High GIDA (Score 40.0–49.9)", "Tier 3 Moderate GIDA (Score &lt; 40.0)"))</f>
        <v/>
      </c>
      <c r="V397" s="26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W397" s="28" t="n">
        <v>0.174</v>
      </c>
      <c r="X397" s="14" t="n">
        <v>50.08</v>
      </c>
      <c r="Y397" s="14">
        <f>ROUND(MIN(100, (X397/69.91)*100), 2)</f>
        <v/>
      </c>
    </row>
    <row r="398">
      <c r="A398" s="10" t="n">
        <v>2</v>
      </c>
      <c r="B398" s="10" t="n">
        <v>394</v>
      </c>
      <c r="C398" s="10" t="n">
        <v>1394</v>
      </c>
      <c r="D398" s="10" t="inlineStr">
        <is>
          <t>1903610037</t>
        </is>
      </c>
      <c r="E398" s="26" t="inlineStr">
        <is>
          <t>Bangsamoro Autonomous Region In Muslim Mindanao (BARMM)</t>
        </is>
      </c>
      <c r="F398" s="26" t="inlineStr">
        <is>
          <t>Lanao del Sur</t>
        </is>
      </c>
      <c r="G398" s="26" t="inlineStr">
        <is>
          <t>Kapai</t>
        </is>
      </c>
      <c r="H398" s="26" t="inlineStr">
        <is>
          <t>Macadar</t>
        </is>
      </c>
      <c r="I398" s="27" t="n">
        <v>17.254405</v>
      </c>
      <c r="J398" s="27" t="n">
        <v>122.228449</v>
      </c>
      <c r="K398" s="10" t="inlineStr">
        <is>
          <t>R</t>
        </is>
      </c>
      <c r="L398" s="12" t="n">
        <v>715</v>
      </c>
      <c r="M398" s="14" t="n">
        <v>5.7</v>
      </c>
      <c r="N398" s="12">
        <f>ROUND(L398/M398, 0)</f>
        <v/>
      </c>
      <c r="O398" s="12">
        <f>ROUND(N398*'Methodology &amp; Assumptions'!$B$5, 0)</f>
        <v/>
      </c>
      <c r="P398" s="10" t="inlineStr">
        <is>
          <t>Single Carrier (Band n50, 100MHz TDD)</t>
        </is>
      </c>
      <c r="Q398" s="13">
        <f>ROUNDUP(O398/'Methodology &amp; Assumptions'!$B$6, 0)</f>
        <v/>
      </c>
      <c r="R398" s="13" t="n">
        <v>1</v>
      </c>
      <c r="S398" s="14" t="n">
        <v>29.35</v>
      </c>
      <c r="T398" s="14" t="n">
        <v>34.24</v>
      </c>
      <c r="U398" s="26">
        <f>IF(X398&gt;='Methodology &amp; Assumptions'!$B$7, "Tier 1 Critical GIDA (Score ≥ 50.0)", IF(X398&gt;='Methodology &amp; Assumptions'!$B$8, "Tier 2 High GIDA (Score 40.0–49.9)", "Tier 3 Moderate GIDA (Score &lt; 40.0)"))</f>
        <v/>
      </c>
      <c r="V398" s="26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W398" s="28" t="n">
        <v>0.11</v>
      </c>
      <c r="X398" s="14" t="n">
        <v>50.08</v>
      </c>
      <c r="Y398" s="14">
        <f>ROUND(MIN(100, (X398/69.91)*100), 2)</f>
        <v/>
      </c>
    </row>
    <row r="399">
      <c r="A399" s="10" t="n">
        <v>2</v>
      </c>
      <c r="B399" s="10" t="n">
        <v>395</v>
      </c>
      <c r="C399" s="10" t="n">
        <v>1395</v>
      </c>
      <c r="D399" s="10" t="inlineStr">
        <is>
          <t>1903610038</t>
        </is>
      </c>
      <c r="E399" s="26" t="inlineStr">
        <is>
          <t>Bangsamoro Autonomous Region In Muslim Mindanao (BARMM)</t>
        </is>
      </c>
      <c r="F399" s="26" t="inlineStr">
        <is>
          <t>Lanao del Sur</t>
        </is>
      </c>
      <c r="G399" s="26" t="inlineStr">
        <is>
          <t>Kapai</t>
        </is>
      </c>
      <c r="H399" s="26" t="inlineStr">
        <is>
          <t>Pantaon</t>
        </is>
      </c>
      <c r="I399" s="27" t="n">
        <v>17.254396</v>
      </c>
      <c r="J399" s="27" t="n">
        <v>122.22844</v>
      </c>
      <c r="K399" s="10" t="inlineStr">
        <is>
          <t>R</t>
        </is>
      </c>
      <c r="L399" s="12" t="n">
        <v>1585</v>
      </c>
      <c r="M399" s="14" t="n">
        <v>5.7</v>
      </c>
      <c r="N399" s="12">
        <f>ROUND(L399/M399, 0)</f>
        <v/>
      </c>
      <c r="O399" s="12">
        <f>ROUND(N399*'Methodology &amp; Assumptions'!$B$5, 0)</f>
        <v/>
      </c>
      <c r="P399" s="10" t="inlineStr">
        <is>
          <t>Single Carrier (Band n50, 100MHz TDD)</t>
        </is>
      </c>
      <c r="Q399" s="13">
        <f>ROUNDUP(O399/'Methodology &amp; Assumptions'!$B$6, 0)</f>
        <v/>
      </c>
      <c r="R399" s="13" t="n">
        <v>1</v>
      </c>
      <c r="S399" s="14" t="n">
        <v>29.35</v>
      </c>
      <c r="T399" s="14" t="n">
        <v>34.24</v>
      </c>
      <c r="U399" s="26">
        <f>IF(X399&gt;='Methodology &amp; Assumptions'!$B$7, "Tier 1 Critical GIDA (Score ≥ 50.0)", IF(X399&gt;='Methodology &amp; Assumptions'!$B$8, "Tier 2 High GIDA (Score 40.0–49.9)", "Tier 3 Moderate GIDA (Score &lt; 40.0)"))</f>
        <v/>
      </c>
      <c r="V399" s="26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W399" s="28" t="n">
        <v>0.11</v>
      </c>
      <c r="X399" s="14" t="n">
        <v>50.08</v>
      </c>
      <c r="Y399" s="14">
        <f>ROUND(MIN(100, (X399/69.91)*100), 2)</f>
        <v/>
      </c>
    </row>
    <row r="400">
      <c r="A400" s="10" t="n">
        <v>2</v>
      </c>
      <c r="B400" s="10" t="n">
        <v>396</v>
      </c>
      <c r="C400" s="10" t="n">
        <v>1396</v>
      </c>
      <c r="D400" s="10" t="inlineStr">
        <is>
          <t>1903610018</t>
        </is>
      </c>
      <c r="E400" s="26" t="inlineStr">
        <is>
          <t>Bangsamoro Autonomous Region In Muslim Mindanao (BARMM)</t>
        </is>
      </c>
      <c r="F400" s="26" t="inlineStr">
        <is>
          <t>Lanao del Sur</t>
        </is>
      </c>
      <c r="G400" s="26" t="inlineStr">
        <is>
          <t>Kapai</t>
        </is>
      </c>
      <c r="H400" s="26" t="inlineStr">
        <is>
          <t>Pagalongan</t>
        </is>
      </c>
      <c r="I400" s="27" t="n">
        <v>17.254408</v>
      </c>
      <c r="J400" s="27" t="n">
        <v>122.228452</v>
      </c>
      <c r="K400" s="10" t="inlineStr">
        <is>
          <t>R</t>
        </is>
      </c>
      <c r="L400" s="12" t="n">
        <v>887</v>
      </c>
      <c r="M400" s="14" t="n">
        <v>5.7</v>
      </c>
      <c r="N400" s="12">
        <f>ROUND(L400/M400, 0)</f>
        <v/>
      </c>
      <c r="O400" s="12">
        <f>ROUND(N400*'Methodology &amp; Assumptions'!$B$5, 0)</f>
        <v/>
      </c>
      <c r="P400" s="10" t="inlineStr">
        <is>
          <t>Single Carrier (Band n50, 100MHz TDD)</t>
        </is>
      </c>
      <c r="Q400" s="13">
        <f>ROUNDUP(O400/'Methodology &amp; Assumptions'!$B$6, 0)</f>
        <v/>
      </c>
      <c r="R400" s="13" t="n">
        <v>1</v>
      </c>
      <c r="S400" s="14" t="n">
        <v>29.35</v>
      </c>
      <c r="T400" s="14" t="n">
        <v>34.24</v>
      </c>
      <c r="U400" s="26">
        <f>IF(X400&gt;='Methodology &amp; Assumptions'!$B$7, "Tier 1 Critical GIDA (Score ≥ 50.0)", IF(X400&gt;='Methodology &amp; Assumptions'!$B$8, "Tier 2 High GIDA (Score 40.0–49.9)", "Tier 3 Moderate GIDA (Score &lt; 40.0)"))</f>
        <v/>
      </c>
      <c r="V400" s="26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W400" s="28" t="n">
        <v>0.11</v>
      </c>
      <c r="X400" s="14" t="n">
        <v>50.08</v>
      </c>
      <c r="Y400" s="14">
        <f>ROUND(MIN(100, (X400/69.91)*100), 2)</f>
        <v/>
      </c>
    </row>
    <row r="401">
      <c r="A401" s="10" t="n">
        <v>2</v>
      </c>
      <c r="B401" s="10" t="n">
        <v>397</v>
      </c>
      <c r="C401" s="10" t="n">
        <v>1397</v>
      </c>
      <c r="D401" s="10" t="inlineStr">
        <is>
          <t>1108604014</t>
        </is>
      </c>
      <c r="E401" s="26" t="inlineStr">
        <is>
          <t>Region XI (Davao Region)</t>
        </is>
      </c>
      <c r="F401" s="26" t="inlineStr">
        <is>
          <t>Davao Occidental</t>
        </is>
      </c>
      <c r="G401" s="26" t="inlineStr">
        <is>
          <t>Santa Maria</t>
        </is>
      </c>
      <c r="H401" s="26" t="inlineStr">
        <is>
          <t>San Juan</t>
        </is>
      </c>
      <c r="I401" s="27" t="n">
        <v>6.404454</v>
      </c>
      <c r="J401" s="27" t="n">
        <v>125.418299</v>
      </c>
      <c r="K401" s="10" t="inlineStr">
        <is>
          <t>R</t>
        </is>
      </c>
      <c r="L401" s="12" t="n">
        <v>1641</v>
      </c>
      <c r="M401" s="14" t="n">
        <v>3.6</v>
      </c>
      <c r="N401" s="12">
        <f>ROUND(L401/M401, 0)</f>
        <v/>
      </c>
      <c r="O401" s="12">
        <f>ROUND(N401*'Methodology &amp; Assumptions'!$B$5, 0)</f>
        <v/>
      </c>
      <c r="P401" s="10" t="inlineStr">
        <is>
          <t>Single Carrier (Band n50, 100MHz TDD)</t>
        </is>
      </c>
      <c r="Q401" s="13">
        <f>ROUNDUP(O401/'Methodology &amp; Assumptions'!$B$6, 0)</f>
        <v/>
      </c>
      <c r="R401" s="13" t="n">
        <v>1</v>
      </c>
      <c r="S401" s="14" t="n">
        <v>13.3</v>
      </c>
      <c r="T401" s="14" t="n">
        <v>11.98</v>
      </c>
      <c r="U401" s="26">
        <f>IF(X401&gt;='Methodology &amp; Assumptions'!$B$7, "Tier 1 Critical GIDA (Score ≥ 50.0)", IF(X401&gt;='Methodology &amp; Assumptions'!$B$8, "Tier 2 High GIDA (Score 40.0–49.9)", "Tier 3 Moderate GIDA (Score &lt; 40.0)"))</f>
        <v/>
      </c>
      <c r="V401" s="26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W401" s="28" t="n">
        <v>0.174</v>
      </c>
      <c r="X401" s="14" t="n">
        <v>50.08</v>
      </c>
      <c r="Y401" s="14">
        <f>ROUND(MIN(100, (X401/69.91)*100), 2)</f>
        <v/>
      </c>
    </row>
    <row r="402">
      <c r="A402" s="10" t="n">
        <v>2</v>
      </c>
      <c r="B402" s="10" t="n">
        <v>398</v>
      </c>
      <c r="C402" s="10" t="n">
        <v>1398</v>
      </c>
      <c r="D402" s="10" t="inlineStr">
        <is>
          <t>1381100024</t>
        </is>
      </c>
      <c r="E402" s="26" t="inlineStr">
        <is>
          <t>National Capital Region (NCR)</t>
        </is>
      </c>
      <c r="F402" s="26" t="inlineStr">
        <is>
          <t>Fourth District (Not a Province)</t>
        </is>
      </c>
      <c r="G402" s="26" t="inlineStr">
        <is>
          <t>Pasay City</t>
        </is>
      </c>
      <c r="H402" s="26" t="inlineStr">
        <is>
          <t>Barangay 24</t>
        </is>
      </c>
      <c r="I402" s="27" t="n">
        <v>14.572587</v>
      </c>
      <c r="J402" s="27" t="n">
        <v>121.00802</v>
      </c>
      <c r="K402" s="10" t="inlineStr">
        <is>
          <t>U</t>
        </is>
      </c>
      <c r="L402" s="12" t="n">
        <v>724</v>
      </c>
      <c r="M402" s="14" t="n">
        <v>3.4</v>
      </c>
      <c r="N402" s="12">
        <f>ROUND(L402/M402, 0)</f>
        <v/>
      </c>
      <c r="O402" s="12">
        <f>ROUND(N402*'Methodology &amp; Assumptions'!$B$5, 0)</f>
        <v/>
      </c>
      <c r="P402" s="10" t="inlineStr">
        <is>
          <t>Single Carrier (Band n50, 100MHz TDD)</t>
        </is>
      </c>
      <c r="Q402" s="13">
        <f>ROUNDUP(O402/'Methodology &amp; Assumptions'!$B$6, 0)</f>
        <v/>
      </c>
      <c r="R402" s="13" t="n">
        <v>1</v>
      </c>
      <c r="S402" s="14" t="n">
        <v>1.43</v>
      </c>
      <c r="T402" s="14" t="n">
        <v>0.4</v>
      </c>
      <c r="U402" s="26">
        <f>IF(X402&gt;='Methodology &amp; Assumptions'!$B$7, "Tier 1 Critical GIDA (Score ≥ 50.0)", IF(X402&gt;='Methodology &amp; Assumptions'!$B$8, "Tier 2 High GIDA (Score 40.0–49.9)", "Tier 3 Moderate GIDA (Score &lt; 40.0)"))</f>
        <v/>
      </c>
      <c r="V402" s="26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W402" s="28" t="n">
        <v>0.109</v>
      </c>
      <c r="X402" s="14" t="n">
        <v>50.07</v>
      </c>
      <c r="Y402" s="14">
        <f>ROUND(MIN(100, (X402/69.91)*100), 2)</f>
        <v/>
      </c>
    </row>
    <row r="403">
      <c r="A403" s="10" t="n">
        <v>2</v>
      </c>
      <c r="B403" s="10" t="n">
        <v>399</v>
      </c>
      <c r="C403" s="10" t="n">
        <v>1399</v>
      </c>
      <c r="D403" s="10" t="inlineStr">
        <is>
          <t>1108604004</t>
        </is>
      </c>
      <c r="E403" s="26" t="inlineStr">
        <is>
          <t>Region XI (Davao Region)</t>
        </is>
      </c>
      <c r="F403" s="26" t="inlineStr">
        <is>
          <t>Davao Occidental</t>
        </is>
      </c>
      <c r="G403" s="26" t="inlineStr">
        <is>
          <t>Santa Maria</t>
        </is>
      </c>
      <c r="H403" s="26" t="inlineStr">
        <is>
          <t>Kidadan</t>
        </is>
      </c>
      <c r="I403" s="27" t="n">
        <v>6.500508</v>
      </c>
      <c r="J403" s="27" t="n">
        <v>125.440434</v>
      </c>
      <c r="K403" s="10" t="inlineStr">
        <is>
          <t>R</t>
        </is>
      </c>
      <c r="L403" s="12" t="n">
        <v>1168</v>
      </c>
      <c r="M403" s="14" t="n">
        <v>3.6</v>
      </c>
      <c r="N403" s="12">
        <f>ROUND(L403/M403, 0)</f>
        <v/>
      </c>
      <c r="O403" s="12">
        <f>ROUND(N403*'Methodology &amp; Assumptions'!$B$5, 0)</f>
        <v/>
      </c>
      <c r="P403" s="10" t="inlineStr">
        <is>
          <t>Single Carrier (Band n50, 100MHz TDD)</t>
        </is>
      </c>
      <c r="Q403" s="13">
        <f>ROUNDUP(O403/'Methodology &amp; Assumptions'!$B$6, 0)</f>
        <v/>
      </c>
      <c r="R403" s="13" t="n">
        <v>1</v>
      </c>
      <c r="S403" s="14" t="n">
        <v>10.52</v>
      </c>
      <c r="T403" s="14" t="n">
        <v>8.67</v>
      </c>
      <c r="U403" s="26">
        <f>IF(X403&gt;='Methodology &amp; Assumptions'!$B$7, "Tier 1 Critical GIDA (Score ≥ 50.0)", IF(X403&gt;='Methodology &amp; Assumptions'!$B$8, "Tier 2 High GIDA (Score 40.0–49.9)", "Tier 3 Moderate GIDA (Score &lt; 40.0)"))</f>
        <v/>
      </c>
      <c r="V403" s="26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W403" s="28" t="n">
        <v>0.174</v>
      </c>
      <c r="X403" s="14" t="n">
        <v>50.07</v>
      </c>
      <c r="Y403" s="14">
        <f>ROUND(MIN(100, (X403/69.91)*100), 2)</f>
        <v/>
      </c>
    </row>
    <row r="404">
      <c r="A404" s="10" t="n">
        <v>2</v>
      </c>
      <c r="B404" s="10" t="n">
        <v>400</v>
      </c>
      <c r="C404" s="10" t="n">
        <v>1400</v>
      </c>
      <c r="D404" s="10" t="inlineStr">
        <is>
          <t>1903601023</t>
        </is>
      </c>
      <c r="E404" s="26" t="inlineStr">
        <is>
          <t>Bangsamoro Autonomous Region In Muslim Mindanao (BARMM)</t>
        </is>
      </c>
      <c r="F404" s="26" t="inlineStr">
        <is>
          <t>Lanao del Sur</t>
        </is>
      </c>
      <c r="G404" s="26" t="inlineStr">
        <is>
          <t>Bacolod-Kalawi</t>
        </is>
      </c>
      <c r="H404" s="26" t="inlineStr">
        <is>
          <t>Raya</t>
        </is>
      </c>
      <c r="I404" s="27" t="n">
        <v>17.254724</v>
      </c>
      <c r="J404" s="27" t="n">
        <v>122.228768</v>
      </c>
      <c r="K404" s="10" t="inlineStr">
        <is>
          <t>R</t>
        </is>
      </c>
      <c r="L404" s="12" t="n">
        <v>734</v>
      </c>
      <c r="M404" s="14" t="n">
        <v>5.7</v>
      </c>
      <c r="N404" s="12">
        <f>ROUND(L404/M404, 0)</f>
        <v/>
      </c>
      <c r="O404" s="12">
        <f>ROUND(N404*'Methodology &amp; Assumptions'!$B$5, 0)</f>
        <v/>
      </c>
      <c r="P404" s="10" t="inlineStr">
        <is>
          <t>Single Carrier (Band n50, 100MHz TDD)</t>
        </is>
      </c>
      <c r="Q404" s="13">
        <f>ROUNDUP(O404/'Methodology &amp; Assumptions'!$B$6, 0)</f>
        <v/>
      </c>
      <c r="R404" s="13" t="n">
        <v>1</v>
      </c>
      <c r="S404" s="14" t="n">
        <v>29.4</v>
      </c>
      <c r="T404" s="14" t="n">
        <v>34.28</v>
      </c>
      <c r="U404" s="26">
        <f>IF(X404&gt;='Methodology &amp; Assumptions'!$B$7, "Tier 1 Critical GIDA (Score ≥ 50.0)", IF(X404&gt;='Methodology &amp; Assumptions'!$B$8, "Tier 2 High GIDA (Score 40.0–49.9)", "Tier 3 Moderate GIDA (Score &lt; 40.0)"))</f>
        <v/>
      </c>
      <c r="V404" s="26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W404" s="28" t="n">
        <v>0.11</v>
      </c>
      <c r="X404" s="14" t="n">
        <v>50.07</v>
      </c>
      <c r="Y404" s="14">
        <f>ROUND(MIN(100, (X404/69.91)*100), 2)</f>
        <v/>
      </c>
    </row>
    <row r="405">
      <c r="A405" s="10" t="n">
        <v>2</v>
      </c>
      <c r="B405" s="10" t="n">
        <v>401</v>
      </c>
      <c r="C405" s="10" t="n">
        <v>1401</v>
      </c>
      <c r="D405" s="10" t="inlineStr">
        <is>
          <t>1003511001</t>
        </is>
      </c>
      <c r="E405" s="26" t="inlineStr">
        <is>
          <t>Region X (Northern Mindanao)</t>
        </is>
      </c>
      <c r="F405" s="26" t="inlineStr">
        <is>
          <t>Lanao del Norte</t>
        </is>
      </c>
      <c r="G405" s="26" t="inlineStr">
        <is>
          <t>Magsaysay</t>
        </is>
      </c>
      <c r="H405" s="26" t="inlineStr">
        <is>
          <t>Babasalon</t>
        </is>
      </c>
      <c r="I405" s="27" t="n">
        <v>8.03525</v>
      </c>
      <c r="J405" s="27" t="n">
        <v>123.897191</v>
      </c>
      <c r="K405" s="10" t="inlineStr">
        <is>
          <t>R</t>
        </is>
      </c>
      <c r="L405" s="12" t="n">
        <v>810</v>
      </c>
      <c r="M405" s="14" t="n">
        <v>4.2</v>
      </c>
      <c r="N405" s="12">
        <f>ROUND(L405/M405, 0)</f>
        <v/>
      </c>
      <c r="O405" s="12">
        <f>ROUND(N405*'Methodology &amp; Assumptions'!$B$5, 0)</f>
        <v/>
      </c>
      <c r="P405" s="10" t="inlineStr">
        <is>
          <t>Single Carrier (Band n50, 100MHz TDD)</t>
        </is>
      </c>
      <c r="Q405" s="13">
        <f>ROUNDUP(O405/'Methodology &amp; Assumptions'!$B$6, 0)</f>
        <v/>
      </c>
      <c r="R405" s="13" t="n">
        <v>1</v>
      </c>
      <c r="S405" s="14" t="n">
        <v>10.83</v>
      </c>
      <c r="T405" s="14" t="n">
        <v>7.8</v>
      </c>
      <c r="U405" s="26">
        <f>IF(X405&gt;='Methodology &amp; Assumptions'!$B$7, "Tier 1 Critical GIDA (Score ≥ 50.0)", IF(X405&gt;='Methodology &amp; Assumptions'!$B$8, "Tier 2 High GIDA (Score 40.0–49.9)", "Tier 3 Moderate GIDA (Score &lt; 40.0)"))</f>
        <v/>
      </c>
      <c r="V405" s="26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W405" s="28" t="n">
        <v>0.174</v>
      </c>
      <c r="X405" s="14" t="n">
        <v>50.07</v>
      </c>
      <c r="Y405" s="14">
        <f>ROUND(MIN(100, (X405/69.91)*100), 2)</f>
        <v/>
      </c>
    </row>
    <row r="406">
      <c r="A406" s="10" t="n">
        <v>2</v>
      </c>
      <c r="B406" s="10" t="n">
        <v>402</v>
      </c>
      <c r="C406" s="10" t="n">
        <v>1402</v>
      </c>
      <c r="D406" s="10" t="inlineStr">
        <is>
          <t>1003511022</t>
        </is>
      </c>
      <c r="E406" s="26" t="inlineStr">
        <is>
          <t>Region X (Northern Mindanao)</t>
        </is>
      </c>
      <c r="F406" s="26" t="inlineStr">
        <is>
          <t>Lanao del Norte</t>
        </is>
      </c>
      <c r="G406" s="26" t="inlineStr">
        <is>
          <t>Magsaysay</t>
        </is>
      </c>
      <c r="H406" s="26" t="inlineStr">
        <is>
          <t>Tawinian</t>
        </is>
      </c>
      <c r="I406" s="27" t="n">
        <v>8.023496</v>
      </c>
      <c r="J406" s="27" t="n">
        <v>123.914216</v>
      </c>
      <c r="K406" s="10" t="inlineStr">
        <is>
          <t>R</t>
        </is>
      </c>
      <c r="L406" s="12" t="n">
        <v>830</v>
      </c>
      <c r="M406" s="14" t="n">
        <v>4.2</v>
      </c>
      <c r="N406" s="12">
        <f>ROUND(L406/M406, 0)</f>
        <v/>
      </c>
      <c r="O406" s="12">
        <f>ROUND(N406*'Methodology &amp; Assumptions'!$B$5, 0)</f>
        <v/>
      </c>
      <c r="P406" s="10" t="inlineStr">
        <is>
          <t>Single Carrier (Band n50, 100MHz TDD)</t>
        </is>
      </c>
      <c r="Q406" s="13">
        <f>ROUNDUP(O406/'Methodology &amp; Assumptions'!$B$6, 0)</f>
        <v/>
      </c>
      <c r="R406" s="13" t="n">
        <v>1</v>
      </c>
      <c r="S406" s="14" t="n">
        <v>12.85</v>
      </c>
      <c r="T406" s="14" t="n">
        <v>9.630000000000001</v>
      </c>
      <c r="U406" s="26">
        <f>IF(X406&gt;='Methodology &amp; Assumptions'!$B$7, "Tier 1 Critical GIDA (Score ≥ 50.0)", IF(X406&gt;='Methodology &amp; Assumptions'!$B$8, "Tier 2 High GIDA (Score 40.0–49.9)", "Tier 3 Moderate GIDA (Score &lt; 40.0)"))</f>
        <v/>
      </c>
      <c r="V406" s="26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W406" s="28" t="n">
        <v>0.174</v>
      </c>
      <c r="X406" s="14" t="n">
        <v>50.07</v>
      </c>
      <c r="Y406" s="14">
        <f>ROUND(MIN(100, (X406/69.91)*100), 2)</f>
        <v/>
      </c>
    </row>
    <row r="407">
      <c r="A407" s="10" t="n">
        <v>2</v>
      </c>
      <c r="B407" s="10" t="n">
        <v>403</v>
      </c>
      <c r="C407" s="10" t="n">
        <v>1403</v>
      </c>
      <c r="D407" s="10" t="inlineStr">
        <is>
          <t>1381100185</t>
        </is>
      </c>
      <c r="E407" s="26" t="inlineStr">
        <is>
          <t>National Capital Region (NCR)</t>
        </is>
      </c>
      <c r="F407" s="26" t="inlineStr">
        <is>
          <t>Fourth District (Not a Province)</t>
        </is>
      </c>
      <c r="G407" s="26" t="inlineStr">
        <is>
          <t>Pasay City</t>
        </is>
      </c>
      <c r="H407" s="26" t="inlineStr">
        <is>
          <t>Barangay 185</t>
        </is>
      </c>
      <c r="I407" s="27" t="n">
        <v>14.513647</v>
      </c>
      <c r="J407" s="27" t="n">
        <v>121.02344</v>
      </c>
      <c r="K407" s="10" t="inlineStr">
        <is>
          <t>U</t>
        </is>
      </c>
      <c r="L407" s="12" t="n">
        <v>4771</v>
      </c>
      <c r="M407" s="14" t="n">
        <v>3.4</v>
      </c>
      <c r="N407" s="12">
        <f>ROUND(L407/M407, 0)</f>
        <v/>
      </c>
      <c r="O407" s="12">
        <f>ROUND(N407*'Methodology &amp; Assumptions'!$B$5, 0)</f>
        <v/>
      </c>
      <c r="P407" s="10" t="inlineStr">
        <is>
          <t>Single Carrier (Band n50, 100MHz TDD)</t>
        </is>
      </c>
      <c r="Q407" s="13">
        <f>ROUNDUP(O407/'Methodology &amp; Assumptions'!$B$6, 0)</f>
        <v/>
      </c>
      <c r="R407" s="13" t="n">
        <v>1</v>
      </c>
      <c r="S407" s="14" t="n">
        <v>1.16</v>
      </c>
      <c r="T407" s="14" t="n">
        <v>0.59</v>
      </c>
      <c r="U407" s="26">
        <f>IF(X407&gt;='Methodology &amp; Assumptions'!$B$7, "Tier 1 Critical GIDA (Score ≥ 50.0)", IF(X407&gt;='Methodology &amp; Assumptions'!$B$8, "Tier 2 High GIDA (Score 40.0–49.9)", "Tier 3 Moderate GIDA (Score &lt; 40.0)"))</f>
        <v/>
      </c>
      <c r="V407" s="26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W407" s="28" t="n">
        <v>0.109</v>
      </c>
      <c r="X407" s="14" t="n">
        <v>50.07</v>
      </c>
      <c r="Y407" s="14">
        <f>ROUND(MIN(100, (X407/69.91)*100), 2)</f>
        <v/>
      </c>
    </row>
    <row r="408">
      <c r="A408" s="10" t="n">
        <v>2</v>
      </c>
      <c r="B408" s="10" t="n">
        <v>404</v>
      </c>
      <c r="C408" s="10" t="n">
        <v>1404</v>
      </c>
      <c r="D408" s="10" t="inlineStr">
        <is>
          <t>1906612066</t>
        </is>
      </c>
      <c r="E408" s="26" t="inlineStr">
        <is>
          <t>Bangsamoro Autonomous Region In Muslim Mindanao (BARMM)</t>
        </is>
      </c>
      <c r="F408" s="26" t="inlineStr">
        <is>
          <t>Sulu</t>
        </is>
      </c>
      <c r="G408" s="26" t="inlineStr">
        <is>
          <t>Siasi</t>
        </is>
      </c>
      <c r="H408" s="26" t="inlineStr">
        <is>
          <t>South Silumpak</t>
        </is>
      </c>
      <c r="I408" s="27" t="n">
        <v>17.255479</v>
      </c>
      <c r="J408" s="27" t="n">
        <v>122.229523</v>
      </c>
      <c r="K408" s="10" t="inlineStr">
        <is>
          <t>R</t>
        </is>
      </c>
      <c r="L408" s="12" t="n">
        <v>1861</v>
      </c>
      <c r="M408" s="14" t="n">
        <v>6</v>
      </c>
      <c r="N408" s="12">
        <f>ROUND(L408/M408, 0)</f>
        <v/>
      </c>
      <c r="O408" s="12">
        <f>ROUND(N408*'Methodology &amp; Assumptions'!$B$5, 0)</f>
        <v/>
      </c>
      <c r="P408" s="10" t="inlineStr">
        <is>
          <t>Single Carrier (Band n50, 100MHz TDD)</t>
        </is>
      </c>
      <c r="Q408" s="13">
        <f>ROUNDUP(O408/'Methodology &amp; Assumptions'!$B$6, 0)</f>
        <v/>
      </c>
      <c r="R408" s="13" t="n">
        <v>1</v>
      </c>
      <c r="S408" s="14" t="n">
        <v>29.51</v>
      </c>
      <c r="T408" s="14" t="n">
        <v>34.38</v>
      </c>
      <c r="U408" s="26">
        <f>IF(X408&gt;='Methodology &amp; Assumptions'!$B$7, "Tier 1 Critical GIDA (Score ≥ 50.0)", IF(X408&gt;='Methodology &amp; Assumptions'!$B$8, "Tier 2 High GIDA (Score 40.0–49.9)", "Tier 3 Moderate GIDA (Score &lt; 40.0)"))</f>
        <v/>
      </c>
      <c r="V408" s="26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W408" s="28" t="n">
        <v>0.11</v>
      </c>
      <c r="X408" s="14" t="n">
        <v>50.07</v>
      </c>
      <c r="Y408" s="14">
        <f>ROUND(MIN(100, (X408/69.91)*100), 2)</f>
        <v/>
      </c>
    </row>
    <row r="409">
      <c r="A409" s="10" t="n">
        <v>2</v>
      </c>
      <c r="B409" s="10" t="n">
        <v>405</v>
      </c>
      <c r="C409" s="10" t="n">
        <v>1405</v>
      </c>
      <c r="D409" s="10" t="inlineStr">
        <is>
          <t>1903613029</t>
        </is>
      </c>
      <c r="E409" s="26" t="inlineStr">
        <is>
          <t>Bangsamoro Autonomous Region In Muslim Mindanao (BARMM)</t>
        </is>
      </c>
      <c r="F409" s="26" t="inlineStr">
        <is>
          <t>Lanao del Sur</t>
        </is>
      </c>
      <c r="G409" s="26" t="inlineStr">
        <is>
          <t>Madalum</t>
        </is>
      </c>
      <c r="H409" s="26" t="inlineStr">
        <is>
          <t>Raya</t>
        </is>
      </c>
      <c r="I409" s="27" t="n">
        <v>17.254613</v>
      </c>
      <c r="J409" s="27" t="n">
        <v>122.228657</v>
      </c>
      <c r="K409" s="10" t="inlineStr">
        <is>
          <t>R</t>
        </is>
      </c>
      <c r="L409" s="12" t="n">
        <v>895</v>
      </c>
      <c r="M409" s="14" t="n">
        <v>5.7</v>
      </c>
      <c r="N409" s="12">
        <f>ROUND(L409/M409, 0)</f>
        <v/>
      </c>
      <c r="O409" s="12">
        <f>ROUND(N409*'Methodology &amp; Assumptions'!$B$5, 0)</f>
        <v/>
      </c>
      <c r="P409" s="10" t="inlineStr">
        <is>
          <t>Single Carrier (Band n50, 100MHz TDD)</t>
        </is>
      </c>
      <c r="Q409" s="13">
        <f>ROUNDUP(O409/'Methodology &amp; Assumptions'!$B$6, 0)</f>
        <v/>
      </c>
      <c r="R409" s="13" t="n">
        <v>1</v>
      </c>
      <c r="S409" s="14" t="n">
        <v>29.38</v>
      </c>
      <c r="T409" s="14" t="n">
        <v>34.27</v>
      </c>
      <c r="U409" s="26">
        <f>IF(X409&gt;='Methodology &amp; Assumptions'!$B$7, "Tier 1 Critical GIDA (Score ≥ 50.0)", IF(X409&gt;='Methodology &amp; Assumptions'!$B$8, "Tier 2 High GIDA (Score 40.0–49.9)", "Tier 3 Moderate GIDA (Score &lt; 40.0)"))</f>
        <v/>
      </c>
      <c r="V409" s="26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W409" s="28" t="n">
        <v>0.11</v>
      </c>
      <c r="X409" s="14" t="n">
        <v>50.07</v>
      </c>
      <c r="Y409" s="14">
        <f>ROUND(MIN(100, (X409/69.91)*100), 2)</f>
        <v/>
      </c>
    </row>
    <row r="410">
      <c r="A410" s="10" t="n">
        <v>2</v>
      </c>
      <c r="B410" s="10" t="n">
        <v>406</v>
      </c>
      <c r="C410" s="10" t="n">
        <v>1406</v>
      </c>
      <c r="D410" s="10" t="inlineStr">
        <is>
          <t>1102510015</t>
        </is>
      </c>
      <c r="E410" s="26" t="inlineStr">
        <is>
          <t>Region XI (Davao Region)</t>
        </is>
      </c>
      <c r="F410" s="26" t="inlineStr">
        <is>
          <t>Davao Oriental</t>
        </is>
      </c>
      <c r="G410" s="26" t="inlineStr">
        <is>
          <t>San Isidro</t>
        </is>
      </c>
      <c r="H410" s="26" t="inlineStr">
        <is>
          <t>Santo Rosario</t>
        </is>
      </c>
      <c r="I410" s="27" t="n">
        <v>6.81414</v>
      </c>
      <c r="J410" s="27" t="n">
        <v>126.15404</v>
      </c>
      <c r="K410" s="10" t="inlineStr">
        <is>
          <t>R</t>
        </is>
      </c>
      <c r="L410" s="12" t="n">
        <v>930</v>
      </c>
      <c r="M410" s="14" t="n">
        <v>3.6</v>
      </c>
      <c r="N410" s="12">
        <f>ROUND(L410/M410, 0)</f>
        <v/>
      </c>
      <c r="O410" s="12">
        <f>ROUND(N410*'Methodology &amp; Assumptions'!$B$5, 0)</f>
        <v/>
      </c>
      <c r="P410" s="10" t="inlineStr">
        <is>
          <t>Single Carrier (Band n50, 100MHz TDD)</t>
        </is>
      </c>
      <c r="Q410" s="13">
        <f>ROUNDUP(O410/'Methodology &amp; Assumptions'!$B$6, 0)</f>
        <v/>
      </c>
      <c r="R410" s="13" t="n">
        <v>1</v>
      </c>
      <c r="S410" s="14" t="n">
        <v>17.3</v>
      </c>
      <c r="T410" s="14" t="n">
        <v>8.550000000000001</v>
      </c>
      <c r="U410" s="26">
        <f>IF(X410&gt;='Methodology &amp; Assumptions'!$B$7, "Tier 1 Critical GIDA (Score ≥ 50.0)", IF(X410&gt;='Methodology &amp; Assumptions'!$B$8, "Tier 2 High GIDA (Score 40.0–49.9)", "Tier 3 Moderate GIDA (Score &lt; 40.0)"))</f>
        <v/>
      </c>
      <c r="V410" s="26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W410" s="28" t="n">
        <v>0.174</v>
      </c>
      <c r="X410" s="14" t="n">
        <v>50.07</v>
      </c>
      <c r="Y410" s="14">
        <f>ROUND(MIN(100, (X410/69.91)*100), 2)</f>
        <v/>
      </c>
    </row>
    <row r="411">
      <c r="A411" s="10" t="n">
        <v>2</v>
      </c>
      <c r="B411" s="10" t="n">
        <v>407</v>
      </c>
      <c r="C411" s="10" t="n">
        <v>1407</v>
      </c>
      <c r="D411" s="10" t="inlineStr">
        <is>
          <t>1906612042</t>
        </is>
      </c>
      <c r="E411" s="26" t="inlineStr">
        <is>
          <t>Bangsamoro Autonomous Region In Muslim Mindanao (BARMM)</t>
        </is>
      </c>
      <c r="F411" s="26" t="inlineStr">
        <is>
          <t>Sulu</t>
        </is>
      </c>
      <c r="G411" s="26" t="inlineStr">
        <is>
          <t>Siasi</t>
        </is>
      </c>
      <c r="H411" s="26" t="inlineStr">
        <is>
          <t>Punungan</t>
        </is>
      </c>
      <c r="I411" s="27" t="n">
        <v>17.255478</v>
      </c>
      <c r="J411" s="27" t="n">
        <v>122.229522</v>
      </c>
      <c r="K411" s="10" t="inlineStr">
        <is>
          <t>R</t>
        </is>
      </c>
      <c r="L411" s="12" t="n">
        <v>1114</v>
      </c>
      <c r="M411" s="14" t="n">
        <v>6</v>
      </c>
      <c r="N411" s="12">
        <f>ROUND(L411/M411, 0)</f>
        <v/>
      </c>
      <c r="O411" s="12">
        <f>ROUND(N411*'Methodology &amp; Assumptions'!$B$5, 0)</f>
        <v/>
      </c>
      <c r="P411" s="10" t="inlineStr">
        <is>
          <t>Single Carrier (Band n50, 100MHz TDD)</t>
        </is>
      </c>
      <c r="Q411" s="13">
        <f>ROUNDUP(O411/'Methodology &amp; Assumptions'!$B$6, 0)</f>
        <v/>
      </c>
      <c r="R411" s="13" t="n">
        <v>1</v>
      </c>
      <c r="S411" s="14" t="n">
        <v>29.51</v>
      </c>
      <c r="T411" s="14" t="n">
        <v>34.38</v>
      </c>
      <c r="U411" s="26">
        <f>IF(X411&gt;='Methodology &amp; Assumptions'!$B$7, "Tier 1 Critical GIDA (Score ≥ 50.0)", IF(X411&gt;='Methodology &amp; Assumptions'!$B$8, "Tier 2 High GIDA (Score 40.0–49.9)", "Tier 3 Moderate GIDA (Score &lt; 40.0)"))</f>
        <v/>
      </c>
      <c r="V411" s="26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W411" s="28" t="n">
        <v>0.11</v>
      </c>
      <c r="X411" s="14" t="n">
        <v>50.07</v>
      </c>
      <c r="Y411" s="14">
        <f>ROUND(MIN(100, (X411/69.91)*100), 2)</f>
        <v/>
      </c>
    </row>
    <row r="412">
      <c r="A412" s="10" t="n">
        <v>2</v>
      </c>
      <c r="B412" s="10" t="n">
        <v>408</v>
      </c>
      <c r="C412" s="10" t="n">
        <v>1408</v>
      </c>
      <c r="D412" s="10" t="inlineStr">
        <is>
          <t>1903638026</t>
        </is>
      </c>
      <c r="E412" s="26" t="inlineStr">
        <is>
          <t>Bangsamoro Autonomous Region In Muslim Mindanao (BARMM)</t>
        </is>
      </c>
      <c r="F412" s="26" t="inlineStr">
        <is>
          <t>Lanao del Sur</t>
        </is>
      </c>
      <c r="G412" s="26" t="inlineStr">
        <is>
          <t>Tagoloan Ii</t>
        </is>
      </c>
      <c r="H412" s="26" t="inlineStr">
        <is>
          <t>Malingon</t>
        </is>
      </c>
      <c r="I412" s="27" t="n">
        <v>17.263138</v>
      </c>
      <c r="J412" s="27" t="n">
        <v>122.222634</v>
      </c>
      <c r="K412" s="10" t="inlineStr">
        <is>
          <t>R</t>
        </is>
      </c>
      <c r="L412" s="12" t="n">
        <v>1202</v>
      </c>
      <c r="M412" s="14" t="n">
        <v>5.7</v>
      </c>
      <c r="N412" s="12">
        <f>ROUND(L412/M412, 0)</f>
        <v/>
      </c>
      <c r="O412" s="12">
        <f>ROUND(N412*'Methodology &amp; Assumptions'!$B$5, 0)</f>
        <v/>
      </c>
      <c r="P412" s="10" t="inlineStr">
        <is>
          <t>Single Carrier (Band n50, 100MHz TDD)</t>
        </is>
      </c>
      <c r="Q412" s="13">
        <f>ROUNDUP(O412/'Methodology &amp; Assumptions'!$B$6, 0)</f>
        <v/>
      </c>
      <c r="R412" s="13" t="n">
        <v>1</v>
      </c>
      <c r="S412" s="14" t="n">
        <v>29.51</v>
      </c>
      <c r="T412" s="14" t="n">
        <v>33.94</v>
      </c>
      <c r="U412" s="26">
        <f>IF(X412&gt;='Methodology &amp; Assumptions'!$B$7, "Tier 1 Critical GIDA (Score ≥ 50.0)", IF(X412&gt;='Methodology &amp; Assumptions'!$B$8, "Tier 2 High GIDA (Score 40.0–49.9)", "Tier 3 Moderate GIDA (Score &lt; 40.0)"))</f>
        <v/>
      </c>
      <c r="V412" s="26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W412" s="28" t="n">
        <v>0.11</v>
      </c>
      <c r="X412" s="14" t="n">
        <v>50.06</v>
      </c>
      <c r="Y412" s="14">
        <f>ROUND(MIN(100, (X412/69.91)*100), 2)</f>
        <v/>
      </c>
    </row>
    <row r="413">
      <c r="A413" s="10" t="n">
        <v>2</v>
      </c>
      <c r="B413" s="10" t="n">
        <v>409</v>
      </c>
      <c r="C413" s="10" t="n">
        <v>1409</v>
      </c>
      <c r="D413" s="10" t="inlineStr">
        <is>
          <t>1380300018</t>
        </is>
      </c>
      <c r="E413" s="26" t="inlineStr">
        <is>
          <t>National Capital Region (NCR)</t>
        </is>
      </c>
      <c r="F413" s="26" t="inlineStr">
        <is>
          <t>Fourth District (Not a Province)</t>
        </is>
      </c>
      <c r="G413" s="26" t="inlineStr">
        <is>
          <t>City of Makati</t>
        </is>
      </c>
      <c r="H413" s="26" t="inlineStr">
        <is>
          <t>Pio Del Pilar</t>
        </is>
      </c>
      <c r="I413" s="27" t="n">
        <v>14.550355</v>
      </c>
      <c r="J413" s="27" t="n">
        <v>121.008933</v>
      </c>
      <c r="K413" s="10" t="inlineStr">
        <is>
          <t>U</t>
        </is>
      </c>
      <c r="L413" s="12" t="n">
        <v>24955</v>
      </c>
      <c r="M413" s="14" t="n">
        <v>3.5</v>
      </c>
      <c r="N413" s="12">
        <f>ROUND(L413/M413, 0)</f>
        <v/>
      </c>
      <c r="O413" s="12">
        <f>ROUND(N413*'Methodology &amp; Assumptions'!$B$5, 0)</f>
        <v/>
      </c>
      <c r="P413" s="10" t="inlineStr">
        <is>
          <t>Single Carrier (Band n50, 100MHz TDD)</t>
        </is>
      </c>
      <c r="Q413" s="13">
        <f>ROUNDUP(O413/'Methodology &amp; Assumptions'!$B$6, 0)</f>
        <v/>
      </c>
      <c r="R413" s="13" t="n">
        <v>1</v>
      </c>
      <c r="S413" s="14" t="n">
        <v>0.27</v>
      </c>
      <c r="T413" s="14" t="n">
        <v>0.17</v>
      </c>
      <c r="U413" s="26">
        <f>IF(X413&gt;='Methodology &amp; Assumptions'!$B$7, "Tier 1 Critical GIDA (Score ≥ 50.0)", IF(X413&gt;='Methodology &amp; Assumptions'!$B$8, "Tier 2 High GIDA (Score 40.0–49.9)", "Tier 3 Moderate GIDA (Score &lt; 40.0)"))</f>
        <v/>
      </c>
      <c r="V413" s="26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W413" s="28" t="n">
        <v>0.109</v>
      </c>
      <c r="X413" s="14" t="n">
        <v>50.06</v>
      </c>
      <c r="Y413" s="14">
        <f>ROUND(MIN(100, (X413/69.91)*100), 2)</f>
        <v/>
      </c>
    </row>
    <row r="414">
      <c r="A414" s="10" t="n">
        <v>2</v>
      </c>
      <c r="B414" s="10" t="n">
        <v>410</v>
      </c>
      <c r="C414" s="10" t="n">
        <v>1410</v>
      </c>
      <c r="D414" s="10" t="inlineStr">
        <is>
          <t>0600614002</t>
        </is>
      </c>
      <c r="E414" s="26" t="inlineStr">
        <is>
          <t>Region VI (Western Visayas)</t>
        </is>
      </c>
      <c r="F414" s="26" t="inlineStr">
        <is>
          <t>Antique</t>
        </is>
      </c>
      <c r="G414" s="26" t="inlineStr">
        <is>
          <t>San Remigio</t>
        </is>
      </c>
      <c r="H414" s="26" t="inlineStr">
        <is>
          <t>Alegria</t>
        </is>
      </c>
      <c r="I414" s="27" t="n">
        <v>10.871521</v>
      </c>
      <c r="J414" s="27" t="n">
        <v>122.158627</v>
      </c>
      <c r="K414" s="10" t="inlineStr">
        <is>
          <t>R</t>
        </is>
      </c>
      <c r="L414" s="12" t="n">
        <v>583</v>
      </c>
      <c r="M414" s="14" t="n">
        <v>3.9</v>
      </c>
      <c r="N414" s="12">
        <f>ROUND(L414/M414, 0)</f>
        <v/>
      </c>
      <c r="O414" s="12">
        <f>ROUND(N414*'Methodology &amp; Assumptions'!$B$5, 0)</f>
        <v/>
      </c>
      <c r="P414" s="10" t="inlineStr">
        <is>
          <t>Single Carrier (Band n50, 100MHz TDD)</t>
        </is>
      </c>
      <c r="Q414" s="13">
        <f>ROUNDUP(O414/'Methodology &amp; Assumptions'!$B$6, 0)</f>
        <v/>
      </c>
      <c r="R414" s="13" t="n">
        <v>1</v>
      </c>
      <c r="S414" s="14" t="n">
        <v>26.98</v>
      </c>
      <c r="T414" s="14" t="n">
        <v>19.93</v>
      </c>
      <c r="U414" s="26">
        <f>IF(X414&gt;='Methodology &amp; Assumptions'!$B$7, "Tier 1 Critical GIDA (Score ≥ 50.0)", IF(X414&gt;='Methodology &amp; Assumptions'!$B$8, "Tier 2 High GIDA (Score 40.0–49.9)", "Tier 3 Moderate GIDA (Score &lt; 40.0)"))</f>
        <v/>
      </c>
      <c r="V414" s="26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W414" s="28" t="n">
        <v>0.237</v>
      </c>
      <c r="X414" s="14" t="n">
        <v>50.06</v>
      </c>
      <c r="Y414" s="14">
        <f>ROUND(MIN(100, (X414/69.91)*100), 2)</f>
        <v/>
      </c>
    </row>
    <row r="415">
      <c r="A415" s="10" t="n">
        <v>2</v>
      </c>
      <c r="B415" s="10" t="n">
        <v>411</v>
      </c>
      <c r="C415" s="10" t="n">
        <v>1411</v>
      </c>
      <c r="D415" s="10" t="inlineStr">
        <is>
          <t>1903613030</t>
        </is>
      </c>
      <c r="E415" s="26" t="inlineStr">
        <is>
          <t>Bangsamoro Autonomous Region In Muslim Mindanao (BARMM)</t>
        </is>
      </c>
      <c r="F415" s="26" t="inlineStr">
        <is>
          <t>Lanao del Sur</t>
        </is>
      </c>
      <c r="G415" s="26" t="inlineStr">
        <is>
          <t>Madalum</t>
        </is>
      </c>
      <c r="H415" s="26" t="inlineStr">
        <is>
          <t>Riray</t>
        </is>
      </c>
      <c r="I415" s="27" t="n">
        <v>17.259285</v>
      </c>
      <c r="J415" s="27" t="n">
        <v>122.235026</v>
      </c>
      <c r="K415" s="10" t="inlineStr">
        <is>
          <t>R</t>
        </is>
      </c>
      <c r="L415" s="12" t="n">
        <v>682</v>
      </c>
      <c r="M415" s="14" t="n">
        <v>5.7</v>
      </c>
      <c r="N415" s="12">
        <f>ROUND(L415/M415, 0)</f>
        <v/>
      </c>
      <c r="O415" s="12">
        <f>ROUND(N415*'Methodology &amp; Assumptions'!$B$5, 0)</f>
        <v/>
      </c>
      <c r="P415" s="10" t="inlineStr">
        <is>
          <t>Single Carrier (Band n50, 100MHz TDD)</t>
        </is>
      </c>
      <c r="Q415" s="13">
        <f>ROUNDUP(O415/'Methodology &amp; Assumptions'!$B$6, 0)</f>
        <v/>
      </c>
      <c r="R415" s="13" t="n">
        <v>1</v>
      </c>
      <c r="S415" s="14" t="n">
        <v>30.23</v>
      </c>
      <c r="T415" s="14" t="n">
        <v>35.07</v>
      </c>
      <c r="U415" s="26">
        <f>IF(X415&gt;='Methodology &amp; Assumptions'!$B$7, "Tier 1 Critical GIDA (Score ≥ 50.0)", IF(X415&gt;='Methodology &amp; Assumptions'!$B$8, "Tier 2 High GIDA (Score 40.0–49.9)", "Tier 3 Moderate GIDA (Score &lt; 40.0)"))</f>
        <v/>
      </c>
      <c r="V415" s="26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W415" s="28" t="n">
        <v>0.11</v>
      </c>
      <c r="X415" s="14" t="n">
        <v>50.06</v>
      </c>
      <c r="Y415" s="14">
        <f>ROUND(MIN(100, (X415/69.91)*100), 2)</f>
        <v/>
      </c>
    </row>
    <row r="416">
      <c r="A416" s="10" t="n">
        <v>2</v>
      </c>
      <c r="B416" s="10" t="n">
        <v>412</v>
      </c>
      <c r="C416" s="10" t="n">
        <v>1412</v>
      </c>
      <c r="D416" s="10" t="inlineStr">
        <is>
          <t>0804807011</t>
        </is>
      </c>
      <c r="E416" s="26" t="inlineStr">
        <is>
          <t>Region VIII (Eastern Visayas)</t>
        </is>
      </c>
      <c r="F416" s="26" t="inlineStr">
        <is>
          <t>Northern Samar</t>
        </is>
      </c>
      <c r="G416" s="26" t="inlineStr">
        <is>
          <t>Gamay</t>
        </is>
      </c>
      <c r="H416" s="26" t="inlineStr">
        <is>
          <t>G. M. Osias</t>
        </is>
      </c>
      <c r="I416" s="27" t="n">
        <v>12.361832</v>
      </c>
      <c r="J416" s="27" t="n">
        <v>125.223406</v>
      </c>
      <c r="K416" s="10" t="inlineStr">
        <is>
          <t>R</t>
        </is>
      </c>
      <c r="L416" s="12" t="n">
        <v>715</v>
      </c>
      <c r="M416" s="14" t="n">
        <v>4.3</v>
      </c>
      <c r="N416" s="12">
        <f>ROUND(L416/M416, 0)</f>
        <v/>
      </c>
      <c r="O416" s="12">
        <f>ROUND(N416*'Methodology &amp; Assumptions'!$B$5, 0)</f>
        <v/>
      </c>
      <c r="P416" s="10" t="inlineStr">
        <is>
          <t>Single Carrier (Band n50, 100MHz TDD)</t>
        </is>
      </c>
      <c r="Q416" s="13">
        <f>ROUNDUP(O416/'Methodology &amp; Assumptions'!$B$6, 0)</f>
        <v/>
      </c>
      <c r="R416" s="13" t="n">
        <v>1</v>
      </c>
      <c r="S416" s="14" t="n">
        <v>125.37</v>
      </c>
      <c r="T416" s="14" t="n">
        <v>124.61</v>
      </c>
      <c r="U416" s="26">
        <f>IF(X416&gt;='Methodology &amp; Assumptions'!$B$7, "Tier 1 Critical GIDA (Score ≥ 50.0)", IF(X416&gt;='Methodology &amp; Assumptions'!$B$8, "Tier 2 High GIDA (Score 40.0–49.9)", "Tier 3 Moderate GIDA (Score &lt; 40.0)"))</f>
        <v/>
      </c>
      <c r="V416" s="26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W416" s="28" t="n">
        <v>0.237</v>
      </c>
      <c r="X416" s="14" t="n">
        <v>50.06</v>
      </c>
      <c r="Y416" s="14">
        <f>ROUND(MIN(100, (X416/69.91)*100), 2)</f>
        <v/>
      </c>
    </row>
    <row r="417">
      <c r="A417" s="10" t="n">
        <v>2</v>
      </c>
      <c r="B417" s="10" t="n">
        <v>413</v>
      </c>
      <c r="C417" s="10" t="n">
        <v>1413</v>
      </c>
      <c r="D417" s="10" t="inlineStr">
        <is>
          <t>0802606016</t>
        </is>
      </c>
      <c r="E417" s="26" t="inlineStr">
        <is>
          <t>Region VIII (Eastern Visayas)</t>
        </is>
      </c>
      <c r="F417" s="26" t="inlineStr">
        <is>
          <t>Eastern Samar</t>
        </is>
      </c>
      <c r="G417" s="26" t="inlineStr">
        <is>
          <t>Dolores</t>
        </is>
      </c>
      <c r="H417" s="26" t="inlineStr">
        <is>
          <t>Libertad</t>
        </is>
      </c>
      <c r="I417" s="27" t="n">
        <v>12.18497</v>
      </c>
      <c r="J417" s="27" t="n">
        <v>125.249528</v>
      </c>
      <c r="K417" s="10" t="inlineStr">
        <is>
          <t>R</t>
        </is>
      </c>
      <c r="L417" s="12" t="n">
        <v>670</v>
      </c>
      <c r="M417" s="14" t="n">
        <v>3.9</v>
      </c>
      <c r="N417" s="12">
        <f>ROUND(L417/M417, 0)</f>
        <v/>
      </c>
      <c r="O417" s="12">
        <f>ROUND(N417*'Methodology &amp; Assumptions'!$B$5, 0)</f>
        <v/>
      </c>
      <c r="P417" s="10" t="inlineStr">
        <is>
          <t>Single Carrier (Band n50, 100MHz TDD)</t>
        </is>
      </c>
      <c r="Q417" s="13">
        <f>ROUNDUP(O417/'Methodology &amp; Assumptions'!$B$6, 0)</f>
        <v/>
      </c>
      <c r="R417" s="13" t="n">
        <v>1</v>
      </c>
      <c r="S417" s="14" t="n">
        <v>108.51</v>
      </c>
      <c r="T417" s="14" t="n">
        <v>111.26</v>
      </c>
      <c r="U417" s="26">
        <f>IF(X417&gt;='Methodology &amp; Assumptions'!$B$7, "Tier 1 Critical GIDA (Score ≥ 50.0)", IF(X417&gt;='Methodology &amp; Assumptions'!$B$8, "Tier 2 High GIDA (Score 40.0–49.9)", "Tier 3 Moderate GIDA (Score &lt; 40.0)"))</f>
        <v/>
      </c>
      <c r="V417" s="26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W417" s="28" t="n">
        <v>0.237</v>
      </c>
      <c r="X417" s="14" t="n">
        <v>50.06</v>
      </c>
      <c r="Y417" s="14">
        <f>ROUND(MIN(100, (X417/69.91)*100), 2)</f>
        <v/>
      </c>
    </row>
    <row r="418">
      <c r="A418" s="10" t="n">
        <v>2</v>
      </c>
      <c r="B418" s="10" t="n">
        <v>414</v>
      </c>
      <c r="C418" s="10" t="n">
        <v>1414</v>
      </c>
      <c r="D418" s="10" t="inlineStr">
        <is>
          <t>PH0001414</t>
        </is>
      </c>
      <c r="E418" s="26" t="inlineStr">
        <is>
          <t>VII</t>
        </is>
      </c>
      <c r="F418" s="26" t="inlineStr">
        <is>
          <t>Bohol</t>
        </is>
      </c>
      <c r="G418" s="26" t="inlineStr">
        <is>
          <t>Pres. Carlos P. Garcia (Pitogo)</t>
        </is>
      </c>
      <c r="H418" s="26" t="inlineStr">
        <is>
          <t>Butan</t>
        </is>
      </c>
      <c r="I418" s="27" t="n">
        <v>10.164024</v>
      </c>
      <c r="J418" s="27" t="n">
        <v>124.499263</v>
      </c>
      <c r="K418" s="10" t="inlineStr">
        <is>
          <t>R</t>
        </is>
      </c>
      <c r="L418" s="12" t="n">
        <v>2229</v>
      </c>
      <c r="M418" s="14" t="n">
        <v>4</v>
      </c>
      <c r="N418" s="12">
        <f>ROUND(L418/M418, 0)</f>
        <v/>
      </c>
      <c r="O418" s="12">
        <f>ROUND(N418*'Methodology &amp; Assumptions'!$B$5, 0)</f>
        <v/>
      </c>
      <c r="P418" s="10" t="inlineStr">
        <is>
          <t>Single Carrier (Band n50, 100MHz TDD)</t>
        </is>
      </c>
      <c r="Q418" s="13">
        <f>ROUNDUP(O418/'Methodology &amp; Assumptions'!$B$6, 0)</f>
        <v/>
      </c>
      <c r="R418" s="13" t="n">
        <v>1</v>
      </c>
      <c r="S418" s="14" t="n">
        <v>36.28</v>
      </c>
      <c r="T418" s="14" t="n">
        <v>29.57</v>
      </c>
      <c r="U418" s="26">
        <f>IF(X418&gt;='Methodology &amp; Assumptions'!$B$7, "Tier 1 Critical GIDA (Score ≥ 50.0)", IF(X418&gt;='Methodology &amp; Assumptions'!$B$8, "Tier 2 High GIDA (Score 40.0–49.9)", "Tier 3 Moderate GIDA (Score &lt; 40.0)"))</f>
        <v/>
      </c>
      <c r="V418" s="26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W418" s="28" t="n">
        <v>0.21</v>
      </c>
      <c r="X418" s="14" t="n">
        <v>50.06</v>
      </c>
      <c r="Y418" s="14">
        <f>ROUND(MIN(100, (X418/69.91)*100), 2)</f>
        <v/>
      </c>
    </row>
    <row r="419">
      <c r="A419" s="10" t="n">
        <v>2</v>
      </c>
      <c r="B419" s="10" t="n">
        <v>415</v>
      </c>
      <c r="C419" s="10" t="n">
        <v>1415</v>
      </c>
      <c r="D419" s="10" t="inlineStr">
        <is>
          <t>0802606044</t>
        </is>
      </c>
      <c r="E419" s="26" t="inlineStr">
        <is>
          <t>Region VIII (Eastern Visayas)</t>
        </is>
      </c>
      <c r="F419" s="26" t="inlineStr">
        <is>
          <t>Eastern Samar</t>
        </is>
      </c>
      <c r="G419" s="26" t="inlineStr">
        <is>
          <t>Dolores</t>
        </is>
      </c>
      <c r="H419" s="26" t="inlineStr">
        <is>
          <t>Tanauan</t>
        </is>
      </c>
      <c r="I419" s="27" t="n">
        <v>12.045823</v>
      </c>
      <c r="J419" s="27" t="n">
        <v>125.420188</v>
      </c>
      <c r="K419" s="10" t="inlineStr">
        <is>
          <t>R</t>
        </is>
      </c>
      <c r="L419" s="12" t="n">
        <v>642</v>
      </c>
      <c r="M419" s="14" t="n">
        <v>3.9</v>
      </c>
      <c r="N419" s="12">
        <f>ROUND(L419/M419, 0)</f>
        <v/>
      </c>
      <c r="O419" s="12">
        <f>ROUND(N419*'Methodology &amp; Assumptions'!$B$5, 0)</f>
        <v/>
      </c>
      <c r="P419" s="10" t="inlineStr">
        <is>
          <t>Single Carrier (Band n50, 100MHz TDD)</t>
        </is>
      </c>
      <c r="Q419" s="13">
        <f>ROUNDUP(O419/'Methodology &amp; Assumptions'!$B$6, 0)</f>
        <v/>
      </c>
      <c r="R419" s="13" t="n">
        <v>1</v>
      </c>
      <c r="S419" s="14" t="n">
        <v>100.53</v>
      </c>
      <c r="T419" s="14" t="n">
        <v>102.9</v>
      </c>
      <c r="U419" s="26">
        <f>IF(X419&gt;='Methodology &amp; Assumptions'!$B$7, "Tier 1 Critical GIDA (Score ≥ 50.0)", IF(X419&gt;='Methodology &amp; Assumptions'!$B$8, "Tier 2 High GIDA (Score 40.0–49.9)", "Tier 3 Moderate GIDA (Score &lt; 40.0)"))</f>
        <v/>
      </c>
      <c r="V419" s="26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W419" s="28" t="n">
        <v>0.237</v>
      </c>
      <c r="X419" s="14" t="n">
        <v>50.06</v>
      </c>
      <c r="Y419" s="14">
        <f>ROUND(MIN(100, (X419/69.91)*100), 2)</f>
        <v/>
      </c>
    </row>
    <row r="420">
      <c r="A420" s="10" t="n">
        <v>2</v>
      </c>
      <c r="B420" s="10" t="n">
        <v>416</v>
      </c>
      <c r="C420" s="10" t="n">
        <v>1416</v>
      </c>
      <c r="D420" s="10" t="inlineStr">
        <is>
          <t>0600614040</t>
        </is>
      </c>
      <c r="E420" s="26" t="inlineStr">
        <is>
          <t>Region VI (Western Visayas)</t>
        </is>
      </c>
      <c r="F420" s="26" t="inlineStr">
        <is>
          <t>Antique</t>
        </is>
      </c>
      <c r="G420" s="26" t="inlineStr">
        <is>
          <t>San Remigio</t>
        </is>
      </c>
      <c r="H420" s="26" t="inlineStr">
        <is>
          <t>Rizal</t>
        </is>
      </c>
      <c r="I420" s="27" t="n">
        <v>10.92374</v>
      </c>
      <c r="J420" s="27" t="n">
        <v>122.176683</v>
      </c>
      <c r="K420" s="10" t="inlineStr">
        <is>
          <t>R</t>
        </is>
      </c>
      <c r="L420" s="12" t="n">
        <v>357</v>
      </c>
      <c r="M420" s="14" t="n">
        <v>3.9</v>
      </c>
      <c r="N420" s="12">
        <f>ROUND(L420/M420, 0)</f>
        <v/>
      </c>
      <c r="O420" s="12">
        <f>ROUND(N420*'Methodology &amp; Assumptions'!$B$5, 0)</f>
        <v/>
      </c>
      <c r="P420" s="10" t="inlineStr">
        <is>
          <t>Single Carrier (Band n50, 100MHz TDD)</t>
        </is>
      </c>
      <c r="Q420" s="13">
        <f>ROUNDUP(O420/'Methodology &amp; Assumptions'!$B$6, 0)</f>
        <v/>
      </c>
      <c r="R420" s="13" t="n">
        <v>1</v>
      </c>
      <c r="S420" s="14" t="n">
        <v>31.65</v>
      </c>
      <c r="T420" s="14" t="n">
        <v>24.36</v>
      </c>
      <c r="U420" s="26">
        <f>IF(X420&gt;='Methodology &amp; Assumptions'!$B$7, "Tier 1 Critical GIDA (Score ≥ 50.0)", IF(X420&gt;='Methodology &amp; Assumptions'!$B$8, "Tier 2 High GIDA (Score 40.0–49.9)", "Tier 3 Moderate GIDA (Score &lt; 40.0)"))</f>
        <v/>
      </c>
      <c r="V420" s="26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W420" s="28" t="n">
        <v>0.237</v>
      </c>
      <c r="X420" s="14" t="n">
        <v>50.06</v>
      </c>
      <c r="Y420" s="14">
        <f>ROUND(MIN(100, (X420/69.91)*100), 2)</f>
        <v/>
      </c>
    </row>
    <row r="421">
      <c r="A421" s="10" t="n">
        <v>2</v>
      </c>
      <c r="B421" s="10" t="n">
        <v>417</v>
      </c>
      <c r="C421" s="10" t="n">
        <v>1417</v>
      </c>
      <c r="D421" s="10" t="inlineStr">
        <is>
          <t>0504121028</t>
        </is>
      </c>
      <c r="E421" s="26" t="inlineStr">
        <is>
          <t>Region V (Bicol Region)</t>
        </is>
      </c>
      <c r="F421" s="26" t="inlineStr">
        <is>
          <t>Masbate</t>
        </is>
      </c>
      <c r="G421" s="26" t="inlineStr">
        <is>
          <t>Uson</t>
        </is>
      </c>
      <c r="H421" s="26" t="inlineStr">
        <is>
          <t>San Isidro</t>
        </is>
      </c>
      <c r="I421" s="27" t="n">
        <v>12.127026</v>
      </c>
      <c r="J421" s="27" t="n">
        <v>123.753376</v>
      </c>
      <c r="K421" s="10" t="inlineStr">
        <is>
          <t>R</t>
        </is>
      </c>
      <c r="L421" s="12" t="n">
        <v>854</v>
      </c>
      <c r="M421" s="14" t="n">
        <v>4.1</v>
      </c>
      <c r="N421" s="12">
        <f>ROUND(L421/M421, 0)</f>
        <v/>
      </c>
      <c r="O421" s="12">
        <f>ROUND(N421*'Methodology &amp; Assumptions'!$B$5, 0)</f>
        <v/>
      </c>
      <c r="P421" s="10" t="inlineStr">
        <is>
          <t>Single Carrier (Band n50, 100MHz TDD)</t>
        </is>
      </c>
      <c r="Q421" s="13">
        <f>ROUNDUP(O421/'Methodology &amp; Assumptions'!$B$6, 0)</f>
        <v/>
      </c>
      <c r="R421" s="13" t="n">
        <v>1</v>
      </c>
      <c r="S421" s="14" t="n">
        <v>12.28</v>
      </c>
      <c r="T421" s="14" t="n">
        <v>27.94</v>
      </c>
      <c r="U421" s="26">
        <f>IF(X421&gt;='Methodology &amp; Assumptions'!$B$7, "Tier 1 Critical GIDA (Score ≥ 50.0)", IF(X421&gt;='Methodology &amp; Assumptions'!$B$8, "Tier 2 High GIDA (Score 40.0–49.9)", "Tier 3 Moderate GIDA (Score &lt; 40.0)"))</f>
        <v/>
      </c>
      <c r="V421" s="26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W421" s="28" t="n">
        <v>0.237</v>
      </c>
      <c r="X421" s="14" t="n">
        <v>50.06</v>
      </c>
      <c r="Y421" s="14">
        <f>ROUND(MIN(100, (X421/69.91)*100), 2)</f>
        <v/>
      </c>
    </row>
    <row r="422">
      <c r="A422" s="10" t="n">
        <v>2</v>
      </c>
      <c r="B422" s="10" t="n">
        <v>418</v>
      </c>
      <c r="C422" s="10" t="n">
        <v>1418</v>
      </c>
      <c r="D422" s="10" t="inlineStr">
        <is>
          <t>1108601008</t>
        </is>
      </c>
      <c r="E422" s="26" t="inlineStr">
        <is>
          <t>Region XI (Davao Region)</t>
        </is>
      </c>
      <c r="F422" s="26" t="inlineStr">
        <is>
          <t>Davao Occidental</t>
        </is>
      </c>
      <c r="G422" s="26" t="inlineStr">
        <is>
          <t>Don Marcelino</t>
        </is>
      </c>
      <c r="H422" s="26" t="inlineStr">
        <is>
          <t>Dalupan</t>
        </is>
      </c>
      <c r="I422" s="27" t="n">
        <v>6.19267</v>
      </c>
      <c r="J422" s="27" t="n">
        <v>125.636423</v>
      </c>
      <c r="K422" s="10" t="inlineStr">
        <is>
          <t>R</t>
        </is>
      </c>
      <c r="L422" s="12" t="n">
        <v>3750</v>
      </c>
      <c r="M422" s="14" t="n">
        <v>3.6</v>
      </c>
      <c r="N422" s="12">
        <f>ROUND(L422/M422, 0)</f>
        <v/>
      </c>
      <c r="O422" s="12">
        <f>ROUND(N422*'Methodology &amp; Assumptions'!$B$5, 0)</f>
        <v/>
      </c>
      <c r="P422" s="10" t="inlineStr">
        <is>
          <t>Single Carrier (Band n50, 100MHz TDD)</t>
        </is>
      </c>
      <c r="Q422" s="13">
        <f>ROUNDUP(O422/'Methodology &amp; Assumptions'!$B$6, 0)</f>
        <v/>
      </c>
      <c r="R422" s="13" t="n">
        <v>1</v>
      </c>
      <c r="S422" s="14" t="n">
        <v>40.81</v>
      </c>
      <c r="T422" s="14" t="n">
        <v>42.21</v>
      </c>
      <c r="U422" s="26">
        <f>IF(X422&gt;='Methodology &amp; Assumptions'!$B$7, "Tier 1 Critical GIDA (Score ≥ 50.0)", IF(X422&gt;='Methodology &amp; Assumptions'!$B$8, "Tier 2 High GIDA (Score 40.0–49.9)", "Tier 3 Moderate GIDA (Score &lt; 40.0)"))</f>
        <v/>
      </c>
      <c r="V422" s="26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W422" s="28" t="n">
        <v>0.174</v>
      </c>
      <c r="X422" s="14" t="n">
        <v>50.06</v>
      </c>
      <c r="Y422" s="14">
        <f>ROUND(MIN(100, (X422/69.91)*100), 2)</f>
        <v/>
      </c>
    </row>
    <row r="423">
      <c r="A423" s="10" t="n">
        <v>2</v>
      </c>
      <c r="B423" s="10" t="n">
        <v>419</v>
      </c>
      <c r="C423" s="10" t="n">
        <v>1419</v>
      </c>
      <c r="D423" s="10" t="inlineStr">
        <is>
          <t>PH0001419</t>
        </is>
      </c>
      <c r="E423" s="26" t="inlineStr">
        <is>
          <t>NCR</t>
        </is>
      </c>
      <c r="F423" s="26" t="inlineStr">
        <is>
          <t>Metro Manila</t>
        </is>
      </c>
      <c r="G423" s="26" t="inlineStr">
        <is>
          <t>Caloocan City</t>
        </is>
      </c>
      <c r="H423" s="26" t="inlineStr">
        <is>
          <t>Barangay 21</t>
        </is>
      </c>
      <c r="I423" s="27" t="n">
        <v>13.767507</v>
      </c>
      <c r="J423" s="27" t="n">
        <v>120.780123</v>
      </c>
      <c r="K423" s="10" t="inlineStr">
        <is>
          <t>R</t>
        </is>
      </c>
      <c r="L423" s="12" t="n">
        <v>2279</v>
      </c>
      <c r="M423" s="14" t="n">
        <v>3.8</v>
      </c>
      <c r="N423" s="12">
        <f>ROUND(L423/M423, 0)</f>
        <v/>
      </c>
      <c r="O423" s="12">
        <f>ROUND(N423*'Methodology &amp; Assumptions'!$B$5, 0)</f>
        <v/>
      </c>
      <c r="P423" s="10" t="inlineStr">
        <is>
          <t>Single Carrier (Band n50, 100MHz TDD)</t>
        </is>
      </c>
      <c r="Q423" s="13">
        <f>ROUNDUP(O423/'Methodology &amp; Assumptions'!$B$6, 0)</f>
        <v/>
      </c>
      <c r="R423" s="13" t="n">
        <v>1</v>
      </c>
      <c r="S423" s="14" t="n">
        <v>15.12</v>
      </c>
      <c r="T423" s="14" t="n">
        <v>17.5</v>
      </c>
      <c r="U423" s="26">
        <f>IF(X423&gt;='Methodology &amp; Assumptions'!$B$7, "Tier 1 Critical GIDA (Score ≥ 50.0)", IF(X423&gt;='Methodology &amp; Assumptions'!$B$8, "Tier 2 High GIDA (Score 40.0–49.9)", "Tier 3 Moderate GIDA (Score &lt; 40.0)"))</f>
        <v/>
      </c>
      <c r="V423" s="26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W423" s="28" t="n">
        <v>0.011</v>
      </c>
      <c r="X423" s="14" t="n">
        <v>50.06</v>
      </c>
      <c r="Y423" s="14">
        <f>ROUND(MIN(100, (X423/69.91)*100), 2)</f>
        <v/>
      </c>
    </row>
    <row r="424">
      <c r="A424" s="10" t="n">
        <v>2</v>
      </c>
      <c r="B424" s="10" t="n">
        <v>420</v>
      </c>
      <c r="C424" s="10" t="n">
        <v>1420</v>
      </c>
      <c r="D424" s="10" t="inlineStr">
        <is>
          <t>1903638024</t>
        </is>
      </c>
      <c r="E424" s="26" t="inlineStr">
        <is>
          <t>Bangsamoro Autonomous Region In Muslim Mindanao (BARMM)</t>
        </is>
      </c>
      <c r="F424" s="26" t="inlineStr">
        <is>
          <t>Lanao del Sur</t>
        </is>
      </c>
      <c r="G424" s="26" t="inlineStr">
        <is>
          <t>Tagoloan Ii</t>
        </is>
      </c>
      <c r="H424" s="26" t="inlineStr">
        <is>
          <t>Bagoaingud</t>
        </is>
      </c>
      <c r="I424" s="27" t="n">
        <v>17.251384</v>
      </c>
      <c r="J424" s="27" t="n">
        <v>122.240286</v>
      </c>
      <c r="K424" s="10" t="inlineStr">
        <is>
          <t>R</t>
        </is>
      </c>
      <c r="L424" s="12" t="n">
        <v>1002</v>
      </c>
      <c r="M424" s="14" t="n">
        <v>5.7</v>
      </c>
      <c r="N424" s="12">
        <f>ROUND(L424/M424, 0)</f>
        <v/>
      </c>
      <c r="O424" s="12">
        <f>ROUND(N424*'Methodology &amp; Assumptions'!$B$5, 0)</f>
        <v/>
      </c>
      <c r="P424" s="10" t="inlineStr">
        <is>
          <t>Single Carrier (Band n50, 100MHz TDD)</t>
        </is>
      </c>
      <c r="Q424" s="13">
        <f>ROUNDUP(O424/'Methodology &amp; Assumptions'!$B$6, 0)</f>
        <v/>
      </c>
      <c r="R424" s="13" t="n">
        <v>1</v>
      </c>
      <c r="S424" s="14" t="n">
        <v>30.12</v>
      </c>
      <c r="T424" s="14" t="n">
        <v>35.35</v>
      </c>
      <c r="U424" s="26">
        <f>IF(X424&gt;='Methodology &amp; Assumptions'!$B$7, "Tier 1 Critical GIDA (Score ≥ 50.0)", IF(X424&gt;='Methodology &amp; Assumptions'!$B$8, "Tier 2 High GIDA (Score 40.0–49.9)", "Tier 3 Moderate GIDA (Score &lt; 40.0)"))</f>
        <v/>
      </c>
      <c r="V424" s="26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W424" s="28" t="n">
        <v>0.11</v>
      </c>
      <c r="X424" s="14" t="n">
        <v>50.06</v>
      </c>
      <c r="Y424" s="14">
        <f>ROUND(MIN(100, (X424/69.91)*100), 2)</f>
        <v/>
      </c>
    </row>
    <row r="425">
      <c r="A425" s="10" t="n">
        <v>2</v>
      </c>
      <c r="B425" s="10" t="n">
        <v>421</v>
      </c>
      <c r="C425" s="10" t="n">
        <v>1421</v>
      </c>
      <c r="D425" s="10" t="inlineStr">
        <is>
          <t>PH0001421</t>
        </is>
      </c>
      <c r="E425" s="26" t="inlineStr">
        <is>
          <t>VIII</t>
        </is>
      </c>
      <c r="F425" s="26" t="inlineStr">
        <is>
          <t>Leyte</t>
        </is>
      </c>
      <c r="G425" s="26" t="inlineStr">
        <is>
          <t>Tacloban City</t>
        </is>
      </c>
      <c r="H425" s="26" t="inlineStr">
        <is>
          <t>Barangay 35-A</t>
        </is>
      </c>
      <c r="I425" s="27" t="n">
        <v>11.269312</v>
      </c>
      <c r="J425" s="27" t="n">
        <v>125.022734</v>
      </c>
      <c r="K425" s="10" t="inlineStr">
        <is>
          <t>R</t>
        </is>
      </c>
      <c r="L425" s="12" t="n">
        <v>2258</v>
      </c>
      <c r="M425" s="14" t="n">
        <v>3.8</v>
      </c>
      <c r="N425" s="12">
        <f>ROUND(L425/M425, 0)</f>
        <v/>
      </c>
      <c r="O425" s="12">
        <f>ROUND(N425*'Methodology &amp; Assumptions'!$B$5, 0)</f>
        <v/>
      </c>
      <c r="P425" s="10" t="inlineStr">
        <is>
          <t>Single Carrier (Band n50, 100MHz TDD)</t>
        </is>
      </c>
      <c r="Q425" s="13">
        <f>ROUNDUP(O425/'Methodology &amp; Assumptions'!$B$6, 0)</f>
        <v/>
      </c>
      <c r="R425" s="13" t="n">
        <v>1</v>
      </c>
      <c r="S425" s="14" t="n">
        <v>3.98</v>
      </c>
      <c r="T425" s="14" t="n">
        <v>6.49</v>
      </c>
      <c r="U425" s="26">
        <f>IF(X425&gt;='Methodology &amp; Assumptions'!$B$7, "Tier 1 Critical GIDA (Score ≥ 50.0)", IF(X425&gt;='Methodology &amp; Assumptions'!$B$8, "Tier 2 High GIDA (Score 40.0–49.9)", "Tier 3 Moderate GIDA (Score &lt; 40.0)"))</f>
        <v/>
      </c>
      <c r="V425" s="26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W425" s="28" t="n">
        <v>0.222</v>
      </c>
      <c r="X425" s="14" t="n">
        <v>50.06</v>
      </c>
      <c r="Y425" s="14">
        <f>ROUND(MIN(100, (X425/69.91)*100), 2)</f>
        <v/>
      </c>
    </row>
    <row r="426">
      <c r="A426" s="10" t="n">
        <v>2</v>
      </c>
      <c r="B426" s="10" t="n">
        <v>422</v>
      </c>
      <c r="C426" s="10" t="n">
        <v>1422</v>
      </c>
      <c r="D426" s="10" t="inlineStr">
        <is>
          <t>1003511024</t>
        </is>
      </c>
      <c r="E426" s="26" t="inlineStr">
        <is>
          <t>Region X (Northern Mindanao)</t>
        </is>
      </c>
      <c r="F426" s="26" t="inlineStr">
        <is>
          <t>Lanao del Norte</t>
        </is>
      </c>
      <c r="G426" s="26" t="inlineStr">
        <is>
          <t>Magsaysay</t>
        </is>
      </c>
      <c r="H426" s="26" t="inlineStr">
        <is>
          <t>Tombador</t>
        </is>
      </c>
      <c r="I426" s="27" t="n">
        <v>8.020498999999999</v>
      </c>
      <c r="J426" s="27" t="n">
        <v>123.891119</v>
      </c>
      <c r="K426" s="10" t="inlineStr">
        <is>
          <t>R</t>
        </is>
      </c>
      <c r="L426" s="12" t="n">
        <v>544</v>
      </c>
      <c r="M426" s="14" t="n">
        <v>4.2</v>
      </c>
      <c r="N426" s="12">
        <f>ROUND(L426/M426, 0)</f>
        <v/>
      </c>
      <c r="O426" s="12">
        <f>ROUND(N426*'Methodology &amp; Assumptions'!$B$5, 0)</f>
        <v/>
      </c>
      <c r="P426" s="10" t="inlineStr">
        <is>
          <t>Single Carrier (Band n50, 100MHz TDD)</t>
        </is>
      </c>
      <c r="Q426" s="13">
        <f>ROUNDUP(O426/'Methodology &amp; Assumptions'!$B$6, 0)</f>
        <v/>
      </c>
      <c r="R426" s="13" t="n">
        <v>1</v>
      </c>
      <c r="S426" s="14" t="n">
        <v>10.43</v>
      </c>
      <c r="T426" s="14" t="n">
        <v>9.109999999999999</v>
      </c>
      <c r="U426" s="26">
        <f>IF(X426&gt;='Methodology &amp; Assumptions'!$B$7, "Tier 1 Critical GIDA (Score ≥ 50.0)", IF(X426&gt;='Methodology &amp; Assumptions'!$B$8, "Tier 2 High GIDA (Score 40.0–49.9)", "Tier 3 Moderate GIDA (Score &lt; 40.0)"))</f>
        <v/>
      </c>
      <c r="V426" s="26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W426" s="28" t="n">
        <v>0.174</v>
      </c>
      <c r="X426" s="14" t="n">
        <v>50.06</v>
      </c>
      <c r="Y426" s="14">
        <f>ROUND(MIN(100, (X426/69.91)*100), 2)</f>
        <v/>
      </c>
    </row>
    <row r="427">
      <c r="A427" s="10" t="n">
        <v>2</v>
      </c>
      <c r="B427" s="10" t="n">
        <v>423</v>
      </c>
      <c r="C427" s="10" t="n">
        <v>1423</v>
      </c>
      <c r="D427" s="10" t="inlineStr">
        <is>
          <t>0501703025</t>
        </is>
      </c>
      <c r="E427" s="26" t="inlineStr">
        <is>
          <t>Region V (Bicol Region)</t>
        </is>
      </c>
      <c r="F427" s="26" t="inlineStr">
        <is>
          <t>Camarines Sur</t>
        </is>
      </c>
      <c r="G427" s="26" t="inlineStr">
        <is>
          <t>Bato</t>
        </is>
      </c>
      <c r="H427" s="26" t="inlineStr">
        <is>
          <t>San Isidro</t>
        </is>
      </c>
      <c r="I427" s="27" t="n">
        <v>13.346901</v>
      </c>
      <c r="J427" s="27" t="n">
        <v>123.323433</v>
      </c>
      <c r="K427" s="10" t="inlineStr">
        <is>
          <t>R</t>
        </is>
      </c>
      <c r="L427" s="12" t="n">
        <v>211</v>
      </c>
      <c r="M427" s="14" t="n">
        <v>4.2</v>
      </c>
      <c r="N427" s="12">
        <f>ROUND(L427/M427, 0)</f>
        <v/>
      </c>
      <c r="O427" s="12">
        <f>ROUND(N427*'Methodology &amp; Assumptions'!$B$5, 0)</f>
        <v/>
      </c>
      <c r="P427" s="10" t="inlineStr">
        <is>
          <t>Single Carrier (Band n50, 100MHz TDD)</t>
        </is>
      </c>
      <c r="Q427" s="13">
        <f>ROUNDUP(O427/'Methodology &amp; Assumptions'!$B$6, 0)</f>
        <v/>
      </c>
      <c r="R427" s="13" t="n">
        <v>1</v>
      </c>
      <c r="S427" s="14" t="n">
        <v>4.75</v>
      </c>
      <c r="T427" s="14" t="n">
        <v>4.59</v>
      </c>
      <c r="U427" s="26">
        <f>IF(X427&gt;='Methodology &amp; Assumptions'!$B$7, "Tier 1 Critical GIDA (Score ≥ 50.0)", IF(X427&gt;='Methodology &amp; Assumptions'!$B$8, "Tier 2 High GIDA (Score 40.0–49.9)", "Tier 3 Moderate GIDA (Score &lt; 40.0)"))</f>
        <v/>
      </c>
      <c r="V427" s="26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W427" s="28" t="n">
        <v>0.237</v>
      </c>
      <c r="X427" s="14" t="n">
        <v>50.06</v>
      </c>
      <c r="Y427" s="14">
        <f>ROUND(MIN(100, (X427/69.91)*100), 2)</f>
        <v/>
      </c>
    </row>
    <row r="428">
      <c r="A428" s="10" t="n">
        <v>2</v>
      </c>
      <c r="B428" s="10" t="n">
        <v>424</v>
      </c>
      <c r="C428" s="10" t="n">
        <v>1424</v>
      </c>
      <c r="D428" s="10" t="inlineStr">
        <is>
          <t>0806023014</t>
        </is>
      </c>
      <c r="E428" s="26" t="inlineStr">
        <is>
          <t>Region VIII (Eastern Visayas)</t>
        </is>
      </c>
      <c r="F428" s="26" t="inlineStr">
        <is>
          <t>Samar</t>
        </is>
      </c>
      <c r="G428" s="26" t="inlineStr">
        <is>
          <t>Zumarraga</t>
        </is>
      </c>
      <c r="H428" s="26" t="inlineStr">
        <is>
          <t>Monbon</t>
        </is>
      </c>
      <c r="I428" s="27" t="n">
        <v>11.642862</v>
      </c>
      <c r="J428" s="27" t="n">
        <v>124.841254</v>
      </c>
      <c r="K428" s="10" t="inlineStr">
        <is>
          <t>R</t>
        </is>
      </c>
      <c r="L428" s="12" t="n">
        <v>682</v>
      </c>
      <c r="M428" s="14" t="n">
        <v>4.1</v>
      </c>
      <c r="N428" s="12">
        <f>ROUND(L428/M428, 0)</f>
        <v/>
      </c>
      <c r="O428" s="12">
        <f>ROUND(N428*'Methodology &amp; Assumptions'!$B$5, 0)</f>
        <v/>
      </c>
      <c r="P428" s="10" t="inlineStr">
        <is>
          <t>Single Carrier (Band n50, 100MHz TDD)</t>
        </is>
      </c>
      <c r="Q428" s="13">
        <f>ROUNDUP(O428/'Methodology &amp; Assumptions'!$B$6, 0)</f>
        <v/>
      </c>
      <c r="R428" s="13" t="n">
        <v>1</v>
      </c>
      <c r="S428" s="14" t="n">
        <v>41.59</v>
      </c>
      <c r="T428" s="14" t="n">
        <v>41.51</v>
      </c>
      <c r="U428" s="26">
        <f>IF(X428&gt;='Methodology &amp; Assumptions'!$B$7, "Tier 1 Critical GIDA (Score ≥ 50.0)", IF(X428&gt;='Methodology &amp; Assumptions'!$B$8, "Tier 2 High GIDA (Score 40.0–49.9)", "Tier 3 Moderate GIDA (Score &lt; 40.0)"))</f>
        <v/>
      </c>
      <c r="V428" s="26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W428" s="28" t="n">
        <v>0.237</v>
      </c>
      <c r="X428" s="14" t="n">
        <v>50.06</v>
      </c>
      <c r="Y428" s="14">
        <f>ROUND(MIN(100, (X428/69.91)*100), 2)</f>
        <v/>
      </c>
    </row>
    <row r="429">
      <c r="A429" s="10" t="n">
        <v>2</v>
      </c>
      <c r="B429" s="10" t="n">
        <v>425</v>
      </c>
      <c r="C429" s="10" t="n">
        <v>1425</v>
      </c>
      <c r="D429" s="10" t="inlineStr">
        <is>
          <t>1903621015</t>
        </is>
      </c>
      <c r="E429" s="26" t="inlineStr">
        <is>
          <t>Bangsamoro Autonomous Region In Muslim Mindanao (BARMM)</t>
        </is>
      </c>
      <c r="F429" s="26" t="inlineStr">
        <is>
          <t>Lanao del Sur</t>
        </is>
      </c>
      <c r="G429" s="26" t="inlineStr">
        <is>
          <t>Piagapo</t>
        </is>
      </c>
      <c r="H429" s="26" t="inlineStr">
        <is>
          <t>Lininding</t>
        </is>
      </c>
      <c r="I429" s="27" t="n">
        <v>16.868963</v>
      </c>
      <c r="J429" s="27" t="n">
        <v>122.250749</v>
      </c>
      <c r="K429" s="10" t="inlineStr">
        <is>
          <t>R</t>
        </is>
      </c>
      <c r="L429" s="12" t="n">
        <v>1346</v>
      </c>
      <c r="M429" s="14" t="n">
        <v>5.7</v>
      </c>
      <c r="N429" s="12">
        <f>ROUND(L429/M429, 0)</f>
        <v/>
      </c>
      <c r="O429" s="12">
        <f>ROUND(N429*'Methodology &amp; Assumptions'!$B$5, 0)</f>
        <v/>
      </c>
      <c r="P429" s="10" t="inlineStr">
        <is>
          <t>Single Carrier (Band n50, 100MHz TDD)</t>
        </is>
      </c>
      <c r="Q429" s="13">
        <f>ROUNDUP(O429/'Methodology &amp; Assumptions'!$B$6, 0)</f>
        <v/>
      </c>
      <c r="R429" s="13" t="n">
        <v>1</v>
      </c>
      <c r="S429" s="14" t="n">
        <v>28.4</v>
      </c>
      <c r="T429" s="14" t="n">
        <v>38.36</v>
      </c>
      <c r="U429" s="26">
        <f>IF(X429&gt;='Methodology &amp; Assumptions'!$B$7, "Tier 1 Critical GIDA (Score ≥ 50.0)", IF(X429&gt;='Methodology &amp; Assumptions'!$B$8, "Tier 2 High GIDA (Score 40.0–49.9)", "Tier 3 Moderate GIDA (Score &lt; 40.0)"))</f>
        <v/>
      </c>
      <c r="V429" s="26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W429" s="28" t="n">
        <v>0.11</v>
      </c>
      <c r="X429" s="14" t="n">
        <v>50.06</v>
      </c>
      <c r="Y429" s="14">
        <f>ROUND(MIN(100, (X429/69.91)*100), 2)</f>
        <v/>
      </c>
    </row>
    <row r="430">
      <c r="A430" s="10" t="n">
        <v>2</v>
      </c>
      <c r="B430" s="10" t="n">
        <v>426</v>
      </c>
      <c r="C430" s="10" t="n">
        <v>1426</v>
      </c>
      <c r="D430" s="10" t="inlineStr">
        <is>
          <t>1908708011</t>
        </is>
      </c>
      <c r="E430" s="26" t="inlineStr">
        <is>
          <t>Bangsamoro Autonomous Region In Muslim Mindanao (BARMM)</t>
        </is>
      </c>
      <c r="F430" s="26" t="inlineStr">
        <is>
          <t>Maguindanao del Norte</t>
        </is>
      </c>
      <c r="G430" s="26" t="inlineStr">
        <is>
          <t>Northern Kabuntalan</t>
        </is>
      </c>
      <c r="H430" s="26" t="inlineStr">
        <is>
          <t>Tumaguinting</t>
        </is>
      </c>
      <c r="I430" s="27" t="n">
        <v>17.250304</v>
      </c>
      <c r="J430" s="27" t="n">
        <v>122.231498</v>
      </c>
      <c r="K430" s="10" t="inlineStr">
        <is>
          <t>R</t>
        </is>
      </c>
      <c r="L430" s="12" t="n">
        <v>7177</v>
      </c>
      <c r="M430" s="14" t="n">
        <v>4.3</v>
      </c>
      <c r="N430" s="12">
        <f>ROUND(L430/M430, 0)</f>
        <v/>
      </c>
      <c r="O430" s="12">
        <f>ROUND(N430*'Methodology &amp; Assumptions'!$B$5, 0)</f>
        <v/>
      </c>
      <c r="P430" s="10" t="inlineStr">
        <is>
          <t>Single Carrier (Band n50, 100MHz TDD)</t>
        </is>
      </c>
      <c r="Q430" s="13">
        <f>ROUNDUP(O430/'Methodology &amp; Assumptions'!$B$6, 0)</f>
        <v/>
      </c>
      <c r="R430" s="13" t="n">
        <v>1</v>
      </c>
      <c r="S430" s="14" t="n">
        <v>29.31</v>
      </c>
      <c r="T430" s="14" t="n">
        <v>34.42</v>
      </c>
      <c r="U430" s="26">
        <f>IF(X430&gt;='Methodology &amp; Assumptions'!$B$7, "Tier 1 Critical GIDA (Score ≥ 50.0)", IF(X430&gt;='Methodology &amp; Assumptions'!$B$8, "Tier 2 High GIDA (Score 40.0–49.9)", "Tier 3 Moderate GIDA (Score &lt; 40.0)"))</f>
        <v/>
      </c>
      <c r="V430" s="26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W430" s="28" t="n">
        <v>0.11</v>
      </c>
      <c r="X430" s="14" t="n">
        <v>50.06</v>
      </c>
      <c r="Y430" s="14">
        <f>ROUND(MIN(100, (X430/69.91)*100), 2)</f>
        <v/>
      </c>
    </row>
    <row r="431">
      <c r="A431" s="10" t="n">
        <v>2</v>
      </c>
      <c r="B431" s="10" t="n">
        <v>427</v>
      </c>
      <c r="C431" s="10" t="n">
        <v>1427</v>
      </c>
      <c r="D431" s="10" t="inlineStr">
        <is>
          <t>0506207004</t>
        </is>
      </c>
      <c r="E431" s="26" t="inlineStr">
        <is>
          <t>Region V (Bicol Region)</t>
        </is>
      </c>
      <c r="F431" s="26" t="inlineStr">
        <is>
          <t>Sorsogon</t>
        </is>
      </c>
      <c r="G431" s="26" t="inlineStr">
        <is>
          <t>Donsol</t>
        </is>
      </c>
      <c r="H431" s="26" t="inlineStr">
        <is>
          <t>Bandi</t>
        </is>
      </c>
      <c r="I431" s="27" t="n">
        <v>12.98862</v>
      </c>
      <c r="J431" s="27" t="n">
        <v>123.58543</v>
      </c>
      <c r="K431" s="10" t="inlineStr">
        <is>
          <t>R</t>
        </is>
      </c>
      <c r="L431" s="12" t="n">
        <v>372</v>
      </c>
      <c r="M431" s="14" t="n">
        <v>4</v>
      </c>
      <c r="N431" s="12">
        <f>ROUND(L431/M431, 0)</f>
        <v/>
      </c>
      <c r="O431" s="12">
        <f>ROUND(N431*'Methodology &amp; Assumptions'!$B$5, 0)</f>
        <v/>
      </c>
      <c r="P431" s="10" t="inlineStr">
        <is>
          <t>Single Carrier (Band n50, 100MHz TDD)</t>
        </is>
      </c>
      <c r="Q431" s="13">
        <f>ROUNDUP(O431/'Methodology &amp; Assumptions'!$B$6, 0)</f>
        <v/>
      </c>
      <c r="R431" s="13" t="n">
        <v>1</v>
      </c>
      <c r="S431" s="14" t="n">
        <v>9.33</v>
      </c>
      <c r="T431" s="14" t="n">
        <v>14.39</v>
      </c>
      <c r="U431" s="26">
        <f>IF(X431&gt;='Methodology &amp; Assumptions'!$B$7, "Tier 1 Critical GIDA (Score ≥ 50.0)", IF(X431&gt;='Methodology &amp; Assumptions'!$B$8, "Tier 2 High GIDA (Score 40.0–49.9)", "Tier 3 Moderate GIDA (Score &lt; 40.0)"))</f>
        <v/>
      </c>
      <c r="V431" s="26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W431" s="28" t="n">
        <v>0.237</v>
      </c>
      <c r="X431" s="14" t="n">
        <v>50.06</v>
      </c>
      <c r="Y431" s="14">
        <f>ROUND(MIN(100, (X431/69.91)*100), 2)</f>
        <v/>
      </c>
    </row>
    <row r="432">
      <c r="A432" s="10" t="n">
        <v>2</v>
      </c>
      <c r="B432" s="10" t="n">
        <v>428</v>
      </c>
      <c r="C432" s="10" t="n">
        <v>1428</v>
      </c>
      <c r="D432" s="10" t="inlineStr">
        <is>
          <t>1381100016</t>
        </is>
      </c>
      <c r="E432" s="26" t="inlineStr">
        <is>
          <t>National Capital Region (NCR)</t>
        </is>
      </c>
      <c r="F432" s="26" t="inlineStr">
        <is>
          <t>Fourth District (Not a Province)</t>
        </is>
      </c>
      <c r="G432" s="26" t="inlineStr">
        <is>
          <t>Pasay City</t>
        </is>
      </c>
      <c r="H432" s="26" t="inlineStr">
        <is>
          <t>Barangay 16</t>
        </is>
      </c>
      <c r="I432" s="27" t="n">
        <v>14.548416</v>
      </c>
      <c r="J432" s="27" t="n">
        <v>120.968774</v>
      </c>
      <c r="K432" s="10" t="inlineStr">
        <is>
          <t>U</t>
        </is>
      </c>
      <c r="L432" s="12" t="n">
        <v>436</v>
      </c>
      <c r="M432" s="14" t="n">
        <v>3.4</v>
      </c>
      <c r="N432" s="12">
        <f>ROUND(L432/M432, 0)</f>
        <v/>
      </c>
      <c r="O432" s="12">
        <f>ROUND(N432*'Methodology &amp; Assumptions'!$B$5, 0)</f>
        <v/>
      </c>
      <c r="P432" s="10" t="inlineStr">
        <is>
          <t>Single Carrier (Band n50, 100MHz TDD)</t>
        </is>
      </c>
      <c r="Q432" s="13">
        <f>ROUNDUP(O432/'Methodology &amp; Assumptions'!$B$6, 0)</f>
        <v/>
      </c>
      <c r="R432" s="13" t="n">
        <v>1</v>
      </c>
      <c r="S432" s="14" t="n">
        <v>2.53</v>
      </c>
      <c r="T432" s="14" t="n">
        <v>2.54</v>
      </c>
      <c r="U432" s="26">
        <f>IF(X432&gt;='Methodology &amp; Assumptions'!$B$7, "Tier 1 Critical GIDA (Score ≥ 50.0)", IF(X432&gt;='Methodology &amp; Assumptions'!$B$8, "Tier 2 High GIDA (Score 40.0–49.9)", "Tier 3 Moderate GIDA (Score &lt; 40.0)"))</f>
        <v/>
      </c>
      <c r="V432" s="26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W432" s="28" t="n">
        <v>0.109</v>
      </c>
      <c r="X432" s="14" t="n">
        <v>50.06</v>
      </c>
      <c r="Y432" s="14">
        <f>ROUND(MIN(100, (X432/69.91)*100), 2)</f>
        <v/>
      </c>
    </row>
    <row r="433">
      <c r="A433" s="10" t="n">
        <v>2</v>
      </c>
      <c r="B433" s="10" t="n">
        <v>429</v>
      </c>
      <c r="C433" s="10" t="n">
        <v>1429</v>
      </c>
      <c r="D433" s="10" t="inlineStr">
        <is>
          <t>1908816008</t>
        </is>
      </c>
      <c r="E433" s="26" t="inlineStr">
        <is>
          <t>Bangsamoro Autonomous Region In Muslim Mindanao (BARMM)</t>
        </is>
      </c>
      <c r="F433" s="26" t="inlineStr">
        <is>
          <t>Maguindanao del Sur</t>
        </is>
      </c>
      <c r="G433" s="26" t="inlineStr">
        <is>
          <t>Pagalungan</t>
        </is>
      </c>
      <c r="H433" s="26" t="inlineStr">
        <is>
          <t>Kilangan</t>
        </is>
      </c>
      <c r="I433" s="27" t="n">
        <v>17.254985</v>
      </c>
      <c r="J433" s="27" t="n">
        <v>122.229029</v>
      </c>
      <c r="K433" s="10" t="inlineStr">
        <is>
          <t>U</t>
        </is>
      </c>
      <c r="L433" s="12" t="n">
        <v>6210</v>
      </c>
      <c r="M433" s="14" t="n">
        <v>4.7</v>
      </c>
      <c r="N433" s="12">
        <f>ROUND(L433/M433, 0)</f>
        <v/>
      </c>
      <c r="O433" s="12">
        <f>ROUND(N433*'Methodology &amp; Assumptions'!$B$5, 0)</f>
        <v/>
      </c>
      <c r="P433" s="10" t="inlineStr">
        <is>
          <t>Single Carrier (Band n50, 100MHz TDD)</t>
        </is>
      </c>
      <c r="Q433" s="13">
        <f>ROUNDUP(O433/'Methodology &amp; Assumptions'!$B$6, 0)</f>
        <v/>
      </c>
      <c r="R433" s="13" t="n">
        <v>1</v>
      </c>
      <c r="S433" s="14" t="n">
        <v>29.44</v>
      </c>
      <c r="T433" s="14" t="n">
        <v>34.32</v>
      </c>
      <c r="U433" s="26">
        <f>IF(X433&gt;='Methodology &amp; Assumptions'!$B$7, "Tier 1 Critical GIDA (Score ≥ 50.0)", IF(X433&gt;='Methodology &amp; Assumptions'!$B$8, "Tier 2 High GIDA (Score 40.0–49.9)", "Tier 3 Moderate GIDA (Score &lt; 40.0)"))</f>
        <v/>
      </c>
      <c r="V433" s="26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W433" s="28" t="n">
        <v>0.11</v>
      </c>
      <c r="X433" s="14" t="n">
        <v>50.06</v>
      </c>
      <c r="Y433" s="14">
        <f>ROUND(MIN(100, (X433/69.91)*100), 2)</f>
        <v/>
      </c>
    </row>
    <row r="434">
      <c r="A434" s="10" t="n">
        <v>2</v>
      </c>
      <c r="B434" s="10" t="n">
        <v>430</v>
      </c>
      <c r="C434" s="10" t="n">
        <v>1430</v>
      </c>
      <c r="D434" s="10" t="inlineStr">
        <is>
          <t>0802623004</t>
        </is>
      </c>
      <c r="E434" s="26" t="inlineStr">
        <is>
          <t>Region VIII (Eastern Visayas)</t>
        </is>
      </c>
      <c r="F434" s="26" t="inlineStr">
        <is>
          <t>Eastern Samar</t>
        </is>
      </c>
      <c r="G434" s="26" t="inlineStr">
        <is>
          <t>Taft</t>
        </is>
      </c>
      <c r="H434" s="26" t="inlineStr">
        <is>
          <t>Bongdo</t>
        </is>
      </c>
      <c r="I434" s="27" t="n">
        <v>11.938446</v>
      </c>
      <c r="J434" s="27" t="n">
        <v>125.401439</v>
      </c>
      <c r="K434" s="10" t="inlineStr">
        <is>
          <t>R</t>
        </is>
      </c>
      <c r="L434" s="12" t="n">
        <v>266</v>
      </c>
      <c r="M434" s="14" t="n">
        <v>3.9</v>
      </c>
      <c r="N434" s="12">
        <f>ROUND(L434/M434, 0)</f>
        <v/>
      </c>
      <c r="O434" s="12">
        <f>ROUND(N434*'Methodology &amp; Assumptions'!$B$5, 0)</f>
        <v/>
      </c>
      <c r="P434" s="10" t="inlineStr">
        <is>
          <t>Single Carrier (Band n50, 100MHz TDD)</t>
        </is>
      </c>
      <c r="Q434" s="13">
        <f>ROUNDUP(O434/'Methodology &amp; Assumptions'!$B$6, 0)</f>
        <v/>
      </c>
      <c r="R434" s="13" t="n">
        <v>1</v>
      </c>
      <c r="S434" s="14" t="n">
        <v>89.04000000000001</v>
      </c>
      <c r="T434" s="14" t="n">
        <v>91.3</v>
      </c>
      <c r="U434" s="26">
        <f>IF(X434&gt;='Methodology &amp; Assumptions'!$B$7, "Tier 1 Critical GIDA (Score ≥ 50.0)", IF(X434&gt;='Methodology &amp; Assumptions'!$B$8, "Tier 2 High GIDA (Score 40.0–49.9)", "Tier 3 Moderate GIDA (Score &lt; 40.0)"))</f>
        <v/>
      </c>
      <c r="V434" s="26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W434" s="28" t="n">
        <v>0.237</v>
      </c>
      <c r="X434" s="14" t="n">
        <v>50.06</v>
      </c>
      <c r="Y434" s="14">
        <f>ROUND(MIN(100, (X434/69.91)*100), 2)</f>
        <v/>
      </c>
    </row>
    <row r="435">
      <c r="A435" s="10" t="n">
        <v>2</v>
      </c>
      <c r="B435" s="10" t="n">
        <v>431</v>
      </c>
      <c r="C435" s="10" t="n">
        <v>1431</v>
      </c>
      <c r="D435" s="10" t="inlineStr">
        <is>
          <t>0506207029</t>
        </is>
      </c>
      <c r="E435" s="26" t="inlineStr">
        <is>
          <t>Region V (Bicol Region)</t>
        </is>
      </c>
      <c r="F435" s="26" t="inlineStr">
        <is>
          <t>Sorsogon</t>
        </is>
      </c>
      <c r="G435" s="26" t="inlineStr">
        <is>
          <t>Donsol</t>
        </is>
      </c>
      <c r="H435" s="26" t="inlineStr">
        <is>
          <t>Parina</t>
        </is>
      </c>
      <c r="I435" s="27" t="n">
        <v>12.966709</v>
      </c>
      <c r="J435" s="27" t="n">
        <v>123.566731</v>
      </c>
      <c r="K435" s="10" t="inlineStr">
        <is>
          <t>R</t>
        </is>
      </c>
      <c r="L435" s="12" t="n">
        <v>231</v>
      </c>
      <c r="M435" s="14" t="n">
        <v>4</v>
      </c>
      <c r="N435" s="12">
        <f>ROUND(L435/M435, 0)</f>
        <v/>
      </c>
      <c r="O435" s="12">
        <f>ROUND(N435*'Methodology &amp; Assumptions'!$B$5, 0)</f>
        <v/>
      </c>
      <c r="P435" s="10" t="inlineStr">
        <is>
          <t>Single Carrier (Band n50, 100MHz TDD)</t>
        </is>
      </c>
      <c r="Q435" s="13">
        <f>ROUNDUP(O435/'Methodology &amp; Assumptions'!$B$6, 0)</f>
        <v/>
      </c>
      <c r="R435" s="13" t="n">
        <v>1</v>
      </c>
      <c r="S435" s="14" t="n">
        <v>7.45</v>
      </c>
      <c r="T435" s="14" t="n">
        <v>17.01</v>
      </c>
      <c r="U435" s="26">
        <f>IF(X435&gt;='Methodology &amp; Assumptions'!$B$7, "Tier 1 Critical GIDA (Score ≥ 50.0)", IF(X435&gt;='Methodology &amp; Assumptions'!$B$8, "Tier 2 High GIDA (Score 40.0–49.9)", "Tier 3 Moderate GIDA (Score &lt; 40.0)"))</f>
        <v/>
      </c>
      <c r="V435" s="26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W435" s="28" t="n">
        <v>0.237</v>
      </c>
      <c r="X435" s="14" t="n">
        <v>50.05</v>
      </c>
      <c r="Y435" s="14">
        <f>ROUND(MIN(100, (X435/69.91)*100), 2)</f>
        <v/>
      </c>
    </row>
    <row r="436">
      <c r="A436" s="10" t="n">
        <v>2</v>
      </c>
      <c r="B436" s="10" t="n">
        <v>432</v>
      </c>
      <c r="C436" s="10" t="n">
        <v>1432</v>
      </c>
      <c r="D436" s="10" t="inlineStr">
        <is>
          <t>1908822004</t>
        </is>
      </c>
      <c r="E436" s="26" t="inlineStr">
        <is>
          <t>Bangsamoro Autonomous Region In Muslim Mindanao (BARMM)</t>
        </is>
      </c>
      <c r="F436" s="26" t="inlineStr">
        <is>
          <t>Maguindanao del Sur</t>
        </is>
      </c>
      <c r="G436" s="26" t="inlineStr">
        <is>
          <t>South Upi</t>
        </is>
      </c>
      <c r="H436" s="26" t="inlineStr">
        <is>
          <t>Kigan</t>
        </is>
      </c>
      <c r="I436" s="27" t="n">
        <v>17.255075</v>
      </c>
      <c r="J436" s="27" t="n">
        <v>122.229119</v>
      </c>
      <c r="K436" s="10" t="inlineStr">
        <is>
          <t>R</t>
        </is>
      </c>
      <c r="L436" s="12" t="n">
        <v>3234</v>
      </c>
      <c r="M436" s="14" t="n">
        <v>4.7</v>
      </c>
      <c r="N436" s="12">
        <f>ROUND(L436/M436, 0)</f>
        <v/>
      </c>
      <c r="O436" s="12">
        <f>ROUND(N436*'Methodology &amp; Assumptions'!$B$5, 0)</f>
        <v/>
      </c>
      <c r="P436" s="10" t="inlineStr">
        <is>
          <t>Single Carrier (Band n50, 100MHz TDD)</t>
        </is>
      </c>
      <c r="Q436" s="13">
        <f>ROUNDUP(O436/'Methodology &amp; Assumptions'!$B$6, 0)</f>
        <v/>
      </c>
      <c r="R436" s="13" t="n">
        <v>1</v>
      </c>
      <c r="S436" s="14" t="n">
        <v>29.45</v>
      </c>
      <c r="T436" s="14" t="n">
        <v>34.33</v>
      </c>
      <c r="U436" s="26">
        <f>IF(X436&gt;='Methodology &amp; Assumptions'!$B$7, "Tier 1 Critical GIDA (Score ≥ 50.0)", IF(X436&gt;='Methodology &amp; Assumptions'!$B$8, "Tier 2 High GIDA (Score 40.0–49.9)", "Tier 3 Moderate GIDA (Score &lt; 40.0)"))</f>
        <v/>
      </c>
      <c r="V436" s="26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W436" s="28" t="n">
        <v>0.11</v>
      </c>
      <c r="X436" s="14" t="n">
        <v>50.05</v>
      </c>
      <c r="Y436" s="14">
        <f>ROUND(MIN(100, (X436/69.91)*100), 2)</f>
        <v/>
      </c>
    </row>
    <row r="437">
      <c r="A437" s="10" t="n">
        <v>2</v>
      </c>
      <c r="B437" s="10" t="n">
        <v>433</v>
      </c>
      <c r="C437" s="10" t="n">
        <v>1433</v>
      </c>
      <c r="D437" s="10" t="inlineStr">
        <is>
          <t>1380608002</t>
        </is>
      </c>
      <c r="E437" s="26" t="inlineStr">
        <is>
          <t>National Capital Region (NCR)</t>
        </is>
      </c>
      <c r="F437" s="26" t="inlineStr">
        <is>
          <t>First District (Not a Province)</t>
        </is>
      </c>
      <c r="G437" s="26" t="inlineStr">
        <is>
          <t>City of Manila</t>
        </is>
      </c>
      <c r="H437" s="26" t="inlineStr">
        <is>
          <t>Barangay 659-A</t>
        </is>
      </c>
      <c r="I437" s="27" t="n">
        <v>12.915579</v>
      </c>
      <c r="J437" s="27" t="n">
        <v>121.494437</v>
      </c>
      <c r="K437" s="10" t="inlineStr">
        <is>
          <t>U</t>
        </is>
      </c>
      <c r="L437" s="12" t="n">
        <v>2686</v>
      </c>
      <c r="M437" s="14" t="n">
        <v>3.9</v>
      </c>
      <c r="N437" s="12">
        <f>ROUND(L437/M437, 0)</f>
        <v/>
      </c>
      <c r="O437" s="12">
        <f>ROUND(N437*'Methodology &amp; Assumptions'!$B$5, 0)</f>
        <v/>
      </c>
      <c r="P437" s="10" t="inlineStr">
        <is>
          <t>Single Carrier (Band n50, 100MHz TDD)</t>
        </is>
      </c>
      <c r="Q437" s="13">
        <f>ROUNDUP(O437/'Methodology &amp; Assumptions'!$B$6, 0)</f>
        <v/>
      </c>
      <c r="R437" s="13" t="n">
        <v>1</v>
      </c>
      <c r="S437" s="14" t="n">
        <v>5.2</v>
      </c>
      <c r="T437" s="14" t="n">
        <v>3.06</v>
      </c>
      <c r="U437" s="26">
        <f>IF(X437&gt;='Methodology &amp; Assumptions'!$B$7, "Tier 1 Critical GIDA (Score ≥ 50.0)", IF(X437&gt;='Methodology &amp; Assumptions'!$B$8, "Tier 2 High GIDA (Score 40.0–49.9)", "Tier 3 Moderate GIDA (Score &lt; 40.0)"))</f>
        <v/>
      </c>
      <c r="V437" s="26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W437" s="28" t="n">
        <v>0.109</v>
      </c>
      <c r="X437" s="14" t="n">
        <v>50.05</v>
      </c>
      <c r="Y437" s="14">
        <f>ROUND(MIN(100, (X437/69.91)*100), 2)</f>
        <v/>
      </c>
    </row>
    <row r="438">
      <c r="A438" s="10" t="n">
        <v>2</v>
      </c>
      <c r="B438" s="10" t="n">
        <v>434</v>
      </c>
      <c r="C438" s="10" t="n">
        <v>1434</v>
      </c>
      <c r="D438" s="10" t="inlineStr">
        <is>
          <t>0401005060</t>
        </is>
      </c>
      <c r="E438" s="26" t="inlineStr">
        <is>
          <t>Region IV-A (CALABARZON)</t>
        </is>
      </c>
      <c r="F438" s="26" t="inlineStr">
        <is>
          <t>Batangas</t>
        </is>
      </c>
      <c r="G438" s="26" t="inlineStr">
        <is>
          <t>Batangas City</t>
        </is>
      </c>
      <c r="H438" s="26" t="inlineStr">
        <is>
          <t>Barangay 14</t>
        </is>
      </c>
      <c r="I438" s="27" t="n">
        <v>13.718162</v>
      </c>
      <c r="J438" s="27" t="n">
        <v>121.099577</v>
      </c>
      <c r="K438" s="10" t="inlineStr">
        <is>
          <t>U</t>
        </is>
      </c>
      <c r="L438" s="12" t="n">
        <v>239</v>
      </c>
      <c r="M438" s="14" t="n">
        <v>3.6</v>
      </c>
      <c r="N438" s="12">
        <f>ROUND(L438/M438, 0)</f>
        <v/>
      </c>
      <c r="O438" s="12">
        <f>ROUND(N438*'Methodology &amp; Assumptions'!$B$5, 0)</f>
        <v/>
      </c>
      <c r="P438" s="10" t="inlineStr">
        <is>
          <t>Single Carrier (Band n50, 100MHz TDD)</t>
        </is>
      </c>
      <c r="Q438" s="13">
        <f>ROUNDUP(O438/'Methodology &amp; Assumptions'!$B$6, 0)</f>
        <v/>
      </c>
      <c r="R438" s="13" t="n">
        <v>1</v>
      </c>
      <c r="S438" s="14" t="n">
        <v>3.55</v>
      </c>
      <c r="T438" s="14" t="n">
        <v>5.82</v>
      </c>
      <c r="U438" s="26">
        <f>IF(X438&gt;='Methodology &amp; Assumptions'!$B$7, "Tier 1 Critical GIDA (Score ≥ 50.0)", IF(X438&gt;='Methodology &amp; Assumptions'!$B$8, "Tier 2 High GIDA (Score 40.0–49.9)", "Tier 3 Moderate GIDA (Score &lt; 40.0)"))</f>
        <v/>
      </c>
      <c r="V438" s="26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W438" s="28" t="n">
        <v>0.07200000000000001</v>
      </c>
      <c r="X438" s="14" t="n">
        <v>50.05</v>
      </c>
      <c r="Y438" s="14">
        <f>ROUND(MIN(100, (X438/69.91)*100), 2)</f>
        <v/>
      </c>
    </row>
    <row r="439">
      <c r="A439" s="10" t="n">
        <v>2</v>
      </c>
      <c r="B439" s="10" t="n">
        <v>435</v>
      </c>
      <c r="C439" s="10" t="n">
        <v>1435</v>
      </c>
      <c r="D439" s="10" t="inlineStr">
        <is>
          <t>0506207024</t>
        </is>
      </c>
      <c r="E439" s="26" t="inlineStr">
        <is>
          <t>Region V (Bicol Region)</t>
        </is>
      </c>
      <c r="F439" s="26" t="inlineStr">
        <is>
          <t>Sorsogon</t>
        </is>
      </c>
      <c r="G439" s="26" t="inlineStr">
        <is>
          <t>Donsol</t>
        </is>
      </c>
      <c r="H439" s="26" t="inlineStr">
        <is>
          <t>New Maguisa</t>
        </is>
      </c>
      <c r="I439" s="27" t="n">
        <v>12.961852</v>
      </c>
      <c r="J439" s="27" t="n">
        <v>123.587502</v>
      </c>
      <c r="K439" s="10" t="inlineStr">
        <is>
          <t>R</t>
        </is>
      </c>
      <c r="L439" s="12" t="n">
        <v>376</v>
      </c>
      <c r="M439" s="14" t="n">
        <v>4</v>
      </c>
      <c r="N439" s="12">
        <f>ROUND(L439/M439, 0)</f>
        <v/>
      </c>
      <c r="O439" s="12">
        <f>ROUND(N439*'Methodology &amp; Assumptions'!$B$5, 0)</f>
        <v/>
      </c>
      <c r="P439" s="10" t="inlineStr">
        <is>
          <t>Single Carrier (Band n50, 100MHz TDD)</t>
        </is>
      </c>
      <c r="Q439" s="13">
        <f>ROUNDUP(O439/'Methodology &amp; Assumptions'!$B$6, 0)</f>
        <v/>
      </c>
      <c r="R439" s="13" t="n">
        <v>1</v>
      </c>
      <c r="S439" s="14" t="n">
        <v>6.35</v>
      </c>
      <c r="T439" s="14" t="n">
        <v>15.11</v>
      </c>
      <c r="U439" s="26">
        <f>IF(X439&gt;='Methodology &amp; Assumptions'!$B$7, "Tier 1 Critical GIDA (Score ≥ 50.0)", IF(X439&gt;='Methodology &amp; Assumptions'!$B$8, "Tier 2 High GIDA (Score 40.0–49.9)", "Tier 3 Moderate GIDA (Score &lt; 40.0)"))</f>
        <v/>
      </c>
      <c r="V439" s="26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W439" s="28" t="n">
        <v>0.237</v>
      </c>
      <c r="X439" s="14" t="n">
        <v>50.05</v>
      </c>
      <c r="Y439" s="14">
        <f>ROUND(MIN(100, (X439/69.91)*100), 2)</f>
        <v/>
      </c>
    </row>
    <row r="440">
      <c r="A440" s="10" t="n">
        <v>2</v>
      </c>
      <c r="B440" s="10" t="n">
        <v>436</v>
      </c>
      <c r="C440" s="10" t="n">
        <v>1436</v>
      </c>
      <c r="D440" s="10" t="inlineStr">
        <is>
          <t>1380601058</t>
        </is>
      </c>
      <c r="E440" s="26" t="inlineStr">
        <is>
          <t>National Capital Region (NCR)</t>
        </is>
      </c>
      <c r="F440" s="26" t="inlineStr">
        <is>
          <t>First District (Not a Province)</t>
        </is>
      </c>
      <c r="G440" s="26" t="inlineStr">
        <is>
          <t>City of Manila</t>
        </is>
      </c>
      <c r="H440" s="26" t="inlineStr">
        <is>
          <t>Barangay 58</t>
        </is>
      </c>
      <c r="I440" s="27" t="n">
        <v>13.038139</v>
      </c>
      <c r="J440" s="27" t="n">
        <v>122.006115</v>
      </c>
      <c r="K440" s="10" t="inlineStr">
        <is>
          <t>U</t>
        </is>
      </c>
      <c r="L440" s="12" t="n">
        <v>3832</v>
      </c>
      <c r="M440" s="14" t="n">
        <v>3.9</v>
      </c>
      <c r="N440" s="12">
        <f>ROUND(L440/M440, 0)</f>
        <v/>
      </c>
      <c r="O440" s="12">
        <f>ROUND(N440*'Methodology &amp; Assumptions'!$B$5, 0)</f>
        <v/>
      </c>
      <c r="P440" s="10" t="inlineStr">
        <is>
          <t>Single Carrier (Band n50, 100MHz TDD)</t>
        </is>
      </c>
      <c r="Q440" s="13">
        <f>ROUNDUP(O440/'Methodology &amp; Assumptions'!$B$6, 0)</f>
        <v/>
      </c>
      <c r="R440" s="13" t="n">
        <v>1</v>
      </c>
      <c r="S440" s="14" t="n">
        <v>54.18</v>
      </c>
      <c r="T440" s="14" t="n">
        <v>57</v>
      </c>
      <c r="U440" s="26">
        <f>IF(X440&gt;='Methodology &amp; Assumptions'!$B$7, "Tier 1 Critical GIDA (Score ≥ 50.0)", IF(X440&gt;='Methodology &amp; Assumptions'!$B$8, "Tier 2 High GIDA (Score 40.0–49.9)", "Tier 3 Moderate GIDA (Score &lt; 40.0)"))</f>
        <v/>
      </c>
      <c r="V440" s="26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W440" s="28" t="n">
        <v>0.109</v>
      </c>
      <c r="X440" s="14" t="n">
        <v>50.05</v>
      </c>
      <c r="Y440" s="14">
        <f>ROUND(MIN(100, (X440/69.91)*100), 2)</f>
        <v/>
      </c>
    </row>
    <row r="441">
      <c r="A441" s="10" t="n">
        <v>2</v>
      </c>
      <c r="B441" s="10" t="n">
        <v>437</v>
      </c>
      <c r="C441" s="10" t="n">
        <v>1437</v>
      </c>
      <c r="D441" s="10" t="inlineStr">
        <is>
          <t>PH0001437</t>
        </is>
      </c>
      <c r="E441" s="26" t="inlineStr">
        <is>
          <t>VIII</t>
        </is>
      </c>
      <c r="F441" s="26" t="inlineStr">
        <is>
          <t>Samar (Western Samar)</t>
        </is>
      </c>
      <c r="G441" s="26" t="inlineStr">
        <is>
          <t>Catbalogan City</t>
        </is>
      </c>
      <c r="H441" s="26" t="inlineStr">
        <is>
          <t>Buluan</t>
        </is>
      </c>
      <c r="I441" s="27" t="n">
        <v>12.893228</v>
      </c>
      <c r="J441" s="27" t="n">
        <v>121.779051</v>
      </c>
      <c r="K441" s="10" t="inlineStr">
        <is>
          <t>R</t>
        </is>
      </c>
      <c r="L441" s="12" t="n">
        <v>2229</v>
      </c>
      <c r="M441" s="14" t="n">
        <v>4.1</v>
      </c>
      <c r="N441" s="12">
        <f>ROUND(L441/M441, 0)</f>
        <v/>
      </c>
      <c r="O441" s="12">
        <f>ROUND(N441*'Methodology &amp; Assumptions'!$B$5, 0)</f>
        <v/>
      </c>
      <c r="P441" s="10" t="inlineStr">
        <is>
          <t>Single Carrier (Band n50, 100MHz TDD)</t>
        </is>
      </c>
      <c r="Q441" s="13">
        <f>ROUNDUP(O441/'Methodology &amp; Assumptions'!$B$6, 0)</f>
        <v/>
      </c>
      <c r="R441" s="13" t="n">
        <v>1</v>
      </c>
      <c r="S441" s="14" t="n">
        <v>33.49</v>
      </c>
      <c r="T441" s="14" t="n">
        <v>33.33</v>
      </c>
      <c r="U441" s="26">
        <f>IF(X441&gt;='Methodology &amp; Assumptions'!$B$7, "Tier 1 Critical GIDA (Score ≥ 50.0)", IF(X441&gt;='Methodology &amp; Assumptions'!$B$8, "Tier 2 High GIDA (Score 40.0–49.9)", "Tier 3 Moderate GIDA (Score &lt; 40.0)"))</f>
        <v/>
      </c>
      <c r="V441" s="26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W441" s="28" t="n">
        <v>0.222</v>
      </c>
      <c r="X441" s="14" t="n">
        <v>50.05</v>
      </c>
      <c r="Y441" s="14">
        <f>ROUND(MIN(100, (X441/69.91)*100), 2)</f>
        <v/>
      </c>
    </row>
    <row r="442">
      <c r="A442" s="10" t="n">
        <v>2</v>
      </c>
      <c r="B442" s="10" t="n">
        <v>438</v>
      </c>
      <c r="C442" s="10" t="n">
        <v>1438</v>
      </c>
      <c r="D442" s="10" t="inlineStr">
        <is>
          <t>1208002009</t>
        </is>
      </c>
      <c r="E442" s="26" t="inlineStr">
        <is>
          <t>Region XII (SOCCSKSARGEN)</t>
        </is>
      </c>
      <c r="F442" s="26" t="inlineStr">
        <is>
          <t>Sarangani</t>
        </is>
      </c>
      <c r="G442" s="26" t="inlineStr">
        <is>
          <t>Glan</t>
        </is>
      </c>
      <c r="H442" s="26" t="inlineStr">
        <is>
          <t>Congan</t>
        </is>
      </c>
      <c r="I442" s="27" t="n">
        <v>5.811722</v>
      </c>
      <c r="J442" s="27" t="n">
        <v>125.277649</v>
      </c>
      <c r="K442" s="10" t="inlineStr">
        <is>
          <t>R</t>
        </is>
      </c>
      <c r="L442" s="12" t="n">
        <v>2344</v>
      </c>
      <c r="M442" s="14" t="n">
        <v>3.9</v>
      </c>
      <c r="N442" s="12">
        <f>ROUND(L442/M442, 0)</f>
        <v/>
      </c>
      <c r="O442" s="12">
        <f>ROUND(N442*'Methodology &amp; Assumptions'!$B$5, 0)</f>
        <v/>
      </c>
      <c r="P442" s="10" t="inlineStr">
        <is>
          <t>Single Carrier (Band n50, 100MHz TDD)</t>
        </is>
      </c>
      <c r="Q442" s="13">
        <f>ROUNDUP(O442/'Methodology &amp; Assumptions'!$B$6, 0)</f>
        <v/>
      </c>
      <c r="R442" s="13" t="n">
        <v>1</v>
      </c>
      <c r="S442" s="14" t="n">
        <v>32.58</v>
      </c>
      <c r="T442" s="14" t="n">
        <v>35.61</v>
      </c>
      <c r="U442" s="26">
        <f>IF(X442&gt;='Methodology &amp; Assumptions'!$B$7, "Tier 1 Critical GIDA (Score ≥ 50.0)", IF(X442&gt;='Methodology &amp; Assumptions'!$B$8, "Tier 2 High GIDA (Score 40.0–49.9)", "Tier 3 Moderate GIDA (Score &lt; 40.0)"))</f>
        <v/>
      </c>
      <c r="V442" s="26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W442" s="28" t="n">
        <v>0.174</v>
      </c>
      <c r="X442" s="14" t="n">
        <v>50.05</v>
      </c>
      <c r="Y442" s="14">
        <f>ROUND(MIN(100, (X442/69.91)*100), 2)</f>
        <v/>
      </c>
    </row>
    <row r="443">
      <c r="A443" s="10" t="n">
        <v>2</v>
      </c>
      <c r="B443" s="10" t="n">
        <v>439</v>
      </c>
      <c r="C443" s="10" t="n">
        <v>1439</v>
      </c>
      <c r="D443" s="10" t="inlineStr">
        <is>
          <t>1906608012</t>
        </is>
      </c>
      <c r="E443" s="26" t="inlineStr">
        <is>
          <t>Bangsamoro Autonomous Region In Muslim Mindanao (BARMM)</t>
        </is>
      </c>
      <c r="F443" s="26" t="inlineStr">
        <is>
          <t>Sulu</t>
        </is>
      </c>
      <c r="G443" s="26" t="inlineStr">
        <is>
          <t>Pangutaran</t>
        </is>
      </c>
      <c r="H443" s="26" t="inlineStr">
        <is>
          <t>Patutol</t>
        </is>
      </c>
      <c r="I443" s="27" t="n">
        <v>17.255352</v>
      </c>
      <c r="J443" s="27" t="n">
        <v>122.229396</v>
      </c>
      <c r="K443" s="10" t="inlineStr">
        <is>
          <t>R</t>
        </is>
      </c>
      <c r="L443" s="12" t="n">
        <v>1480</v>
      </c>
      <c r="M443" s="14" t="n">
        <v>6</v>
      </c>
      <c r="N443" s="12">
        <f>ROUND(L443/M443, 0)</f>
        <v/>
      </c>
      <c r="O443" s="12">
        <f>ROUND(N443*'Methodology &amp; Assumptions'!$B$5, 0)</f>
        <v/>
      </c>
      <c r="P443" s="10" t="inlineStr">
        <is>
          <t>Single Carrier (Band n50, 100MHz TDD)</t>
        </is>
      </c>
      <c r="Q443" s="13">
        <f>ROUNDUP(O443/'Methodology &amp; Assumptions'!$B$6, 0)</f>
        <v/>
      </c>
      <c r="R443" s="13" t="n">
        <v>1</v>
      </c>
      <c r="S443" s="14" t="n">
        <v>29.49</v>
      </c>
      <c r="T443" s="14" t="n">
        <v>34.37</v>
      </c>
      <c r="U443" s="26">
        <f>IF(X443&gt;='Methodology &amp; Assumptions'!$B$7, "Tier 1 Critical GIDA (Score ≥ 50.0)", IF(X443&gt;='Methodology &amp; Assumptions'!$B$8, "Tier 2 High GIDA (Score 40.0–49.9)", "Tier 3 Moderate GIDA (Score &lt; 40.0)"))</f>
        <v/>
      </c>
      <c r="V443" s="26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W443" s="28" t="n">
        <v>0.11</v>
      </c>
      <c r="X443" s="14" t="n">
        <v>50.05</v>
      </c>
      <c r="Y443" s="14">
        <f>ROUND(MIN(100, (X443/69.91)*100), 2)</f>
        <v/>
      </c>
    </row>
    <row r="444">
      <c r="A444" s="10" t="n">
        <v>2</v>
      </c>
      <c r="B444" s="10" t="n">
        <v>440</v>
      </c>
      <c r="C444" s="10" t="n">
        <v>1440</v>
      </c>
      <c r="D444" s="10" t="inlineStr">
        <is>
          <t>1381100189</t>
        </is>
      </c>
      <c r="E444" s="26" t="inlineStr">
        <is>
          <t>National Capital Region (NCR)</t>
        </is>
      </c>
      <c r="F444" s="26" t="inlineStr">
        <is>
          <t>Fourth District (Not a Province)</t>
        </is>
      </c>
      <c r="G444" s="26" t="inlineStr">
        <is>
          <t>Pasay City</t>
        </is>
      </c>
      <c r="H444" s="26" t="inlineStr">
        <is>
          <t>Barangay 189</t>
        </is>
      </c>
      <c r="I444" s="27" t="n">
        <v>14.558914</v>
      </c>
      <c r="J444" s="27" t="n">
        <v>121.035913</v>
      </c>
      <c r="K444" s="10" t="inlineStr">
        <is>
          <t>U</t>
        </is>
      </c>
      <c r="L444" s="12" t="n">
        <v>2500</v>
      </c>
      <c r="M444" s="14" t="n">
        <v>3.4</v>
      </c>
      <c r="N444" s="12">
        <f>ROUND(L444/M444, 0)</f>
        <v/>
      </c>
      <c r="O444" s="12">
        <f>ROUND(N444*'Methodology &amp; Assumptions'!$B$5, 0)</f>
        <v/>
      </c>
      <c r="P444" s="10" t="inlineStr">
        <is>
          <t>Single Carrier (Band n50, 100MHz TDD)</t>
        </is>
      </c>
      <c r="Q444" s="13">
        <f>ROUNDUP(O444/'Methodology &amp; Assumptions'!$B$6, 0)</f>
        <v/>
      </c>
      <c r="R444" s="13" t="n">
        <v>1</v>
      </c>
      <c r="S444" s="14" t="n">
        <v>0.97</v>
      </c>
      <c r="T444" s="14" t="n">
        <v>0.35</v>
      </c>
      <c r="U444" s="26">
        <f>IF(X444&gt;='Methodology &amp; Assumptions'!$B$7, "Tier 1 Critical GIDA (Score ≥ 50.0)", IF(X444&gt;='Methodology &amp; Assumptions'!$B$8, "Tier 2 High GIDA (Score 40.0–49.9)", "Tier 3 Moderate GIDA (Score &lt; 40.0)"))</f>
        <v/>
      </c>
      <c r="V444" s="26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W444" s="28" t="n">
        <v>0.109</v>
      </c>
      <c r="X444" s="14" t="n">
        <v>50.05</v>
      </c>
      <c r="Y444" s="14">
        <f>ROUND(MIN(100, (X444/69.91)*100), 2)</f>
        <v/>
      </c>
    </row>
    <row r="445">
      <c r="A445" s="10" t="n">
        <v>2</v>
      </c>
      <c r="B445" s="10" t="n">
        <v>441</v>
      </c>
      <c r="C445" s="10" t="n">
        <v>1441</v>
      </c>
      <c r="D445" s="10" t="inlineStr">
        <is>
          <t>1908701014</t>
        </is>
      </c>
      <c r="E445" s="26" t="inlineStr">
        <is>
          <t>Bangsamoro Autonomous Region In Muslim Mindanao (BARMM)</t>
        </is>
      </c>
      <c r="F445" s="26" t="inlineStr">
        <is>
          <t>Maguindanao del Norte</t>
        </is>
      </c>
      <c r="G445" s="26" t="inlineStr">
        <is>
          <t>Barira</t>
        </is>
      </c>
      <c r="H445" s="26" t="inlineStr">
        <is>
          <t>Togaig</t>
        </is>
      </c>
      <c r="I445" s="27" t="n">
        <v>17.254085</v>
      </c>
      <c r="J445" s="27" t="n">
        <v>122.228129</v>
      </c>
      <c r="K445" s="10" t="inlineStr">
        <is>
          <t>R</t>
        </is>
      </c>
      <c r="L445" s="12" t="n">
        <v>7196</v>
      </c>
      <c r="M445" s="14" t="n">
        <v>4.3</v>
      </c>
      <c r="N445" s="12">
        <f>ROUND(L445/M445, 0)</f>
        <v/>
      </c>
      <c r="O445" s="12">
        <f>ROUND(N445*'Methodology &amp; Assumptions'!$B$5, 0)</f>
        <v/>
      </c>
      <c r="P445" s="10" t="inlineStr">
        <is>
          <t>Single Carrier (Band n50, 100MHz TDD)</t>
        </is>
      </c>
      <c r="Q445" s="13">
        <f>ROUNDUP(O445/'Methodology &amp; Assumptions'!$B$6, 0)</f>
        <v/>
      </c>
      <c r="R445" s="13" t="n">
        <v>1</v>
      </c>
      <c r="S445" s="14" t="n">
        <v>29.3</v>
      </c>
      <c r="T445" s="14" t="n">
        <v>34.2</v>
      </c>
      <c r="U445" s="26">
        <f>IF(X445&gt;='Methodology &amp; Assumptions'!$B$7, "Tier 1 Critical GIDA (Score ≥ 50.0)", IF(X445&gt;='Methodology &amp; Assumptions'!$B$8, "Tier 2 High GIDA (Score 40.0–49.9)", "Tier 3 Moderate GIDA (Score &lt; 40.0)"))</f>
        <v/>
      </c>
      <c r="V445" s="26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W445" s="28" t="n">
        <v>0.11</v>
      </c>
      <c r="X445" s="14" t="n">
        <v>50.04</v>
      </c>
      <c r="Y445" s="14">
        <f>ROUND(MIN(100, (X445/69.91)*100), 2)</f>
        <v/>
      </c>
    </row>
    <row r="446">
      <c r="A446" s="10" t="n">
        <v>2</v>
      </c>
      <c r="B446" s="10" t="n">
        <v>442</v>
      </c>
      <c r="C446" s="10" t="n">
        <v>1442</v>
      </c>
      <c r="D446" s="10" t="inlineStr">
        <is>
          <t>1705213002</t>
        </is>
      </c>
      <c r="E446" s="26" t="inlineStr">
        <is>
          <t>MIMAROPA Region</t>
        </is>
      </c>
      <c r="F446" s="26" t="inlineStr">
        <is>
          <t>Oriental Mindoro</t>
        </is>
      </c>
      <c r="G446" s="26" t="inlineStr">
        <is>
          <t>San Teodoro</t>
        </is>
      </c>
      <c r="H446" s="26" t="inlineStr">
        <is>
          <t>Calangatan</t>
        </is>
      </c>
      <c r="I446" s="27" t="n">
        <v>13.370112</v>
      </c>
      <c r="J446" s="27" t="n">
        <v>120.965743</v>
      </c>
      <c r="K446" s="10" t="inlineStr">
        <is>
          <t>R</t>
        </is>
      </c>
      <c r="L446" s="12" t="n">
        <v>2758</v>
      </c>
      <c r="M446" s="14" t="n">
        <v>3.9</v>
      </c>
      <c r="N446" s="12">
        <f>ROUND(L446/M446, 0)</f>
        <v/>
      </c>
      <c r="O446" s="12">
        <f>ROUND(N446*'Methodology &amp; Assumptions'!$B$5, 0)</f>
        <v/>
      </c>
      <c r="P446" s="10" t="inlineStr">
        <is>
          <t>Single Carrier (Band n50, 100MHz TDD)</t>
        </is>
      </c>
      <c r="Q446" s="13">
        <f>ROUNDUP(O446/'Methodology &amp; Assumptions'!$B$6, 0)</f>
        <v/>
      </c>
      <c r="R446" s="13" t="n">
        <v>1</v>
      </c>
      <c r="S446" s="14" t="n">
        <v>9.32</v>
      </c>
      <c r="T446" s="14" t="n">
        <v>8.06</v>
      </c>
      <c r="U446" s="26">
        <f>IF(X446&gt;='Methodology &amp; Assumptions'!$B$7, "Tier 1 Critical GIDA (Score ≥ 50.0)", IF(X446&gt;='Methodology &amp; Assumptions'!$B$8, "Tier 2 High GIDA (Score 40.0–49.9)", "Tier 3 Moderate GIDA (Score &lt; 40.0)"))</f>
        <v/>
      </c>
      <c r="V446" s="26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W446" s="28" t="n">
        <v>0.15</v>
      </c>
      <c r="X446" s="14" t="n">
        <v>50.04</v>
      </c>
      <c r="Y446" s="14">
        <f>ROUND(MIN(100, (X446/69.91)*100), 2)</f>
        <v/>
      </c>
    </row>
    <row r="447">
      <c r="A447" s="10" t="n">
        <v>2</v>
      </c>
      <c r="B447" s="10" t="n">
        <v>443</v>
      </c>
      <c r="C447" s="10" t="n">
        <v>1443</v>
      </c>
      <c r="D447" s="10" t="inlineStr">
        <is>
          <t>1906612025</t>
        </is>
      </c>
      <c r="E447" s="26" t="inlineStr">
        <is>
          <t>Bangsamoro Autonomous Region In Muslim Mindanao (BARMM)</t>
        </is>
      </c>
      <c r="F447" s="26" t="inlineStr">
        <is>
          <t>Sulu</t>
        </is>
      </c>
      <c r="G447" s="26" t="inlineStr">
        <is>
          <t>Siasi</t>
        </is>
      </c>
      <c r="H447" s="26" t="inlineStr">
        <is>
          <t>Latung</t>
        </is>
      </c>
      <c r="I447" s="27" t="n">
        <v>17.255483</v>
      </c>
      <c r="J447" s="27" t="n">
        <v>122.229527</v>
      </c>
      <c r="K447" s="10" t="inlineStr">
        <is>
          <t>R</t>
        </is>
      </c>
      <c r="L447" s="12" t="n">
        <v>3526</v>
      </c>
      <c r="M447" s="14" t="n">
        <v>6</v>
      </c>
      <c r="N447" s="12">
        <f>ROUND(L447/M447, 0)</f>
        <v/>
      </c>
      <c r="O447" s="12">
        <f>ROUND(N447*'Methodology &amp; Assumptions'!$B$5, 0)</f>
        <v/>
      </c>
      <c r="P447" s="10" t="inlineStr">
        <is>
          <t>Single Carrier (Band n50, 100MHz TDD)</t>
        </is>
      </c>
      <c r="Q447" s="13">
        <f>ROUNDUP(O447/'Methodology &amp; Assumptions'!$B$6, 0)</f>
        <v/>
      </c>
      <c r="R447" s="13" t="n">
        <v>1</v>
      </c>
      <c r="S447" s="14" t="n">
        <v>29.51</v>
      </c>
      <c r="T447" s="14" t="n">
        <v>34.38</v>
      </c>
      <c r="U447" s="26">
        <f>IF(X447&gt;='Methodology &amp; Assumptions'!$B$7, "Tier 1 Critical GIDA (Score ≥ 50.0)", IF(X447&gt;='Methodology &amp; Assumptions'!$B$8, "Tier 2 High GIDA (Score 40.0–49.9)", "Tier 3 Moderate GIDA (Score &lt; 40.0)"))</f>
        <v/>
      </c>
      <c r="V447" s="26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W447" s="28" t="n">
        <v>0.11</v>
      </c>
      <c r="X447" s="14" t="n">
        <v>50.04</v>
      </c>
      <c r="Y447" s="14">
        <f>ROUND(MIN(100, (X447/69.91)*100), 2)</f>
        <v/>
      </c>
    </row>
    <row r="448">
      <c r="A448" s="10" t="n">
        <v>2</v>
      </c>
      <c r="B448" s="10" t="n">
        <v>444</v>
      </c>
      <c r="C448" s="10" t="n">
        <v>1444</v>
      </c>
      <c r="D448" s="10" t="inlineStr">
        <is>
          <t>1903619033</t>
        </is>
      </c>
      <c r="E448" s="26" t="inlineStr">
        <is>
          <t>Bangsamoro Autonomous Region In Muslim Mindanao (BARMM)</t>
        </is>
      </c>
      <c r="F448" s="26" t="inlineStr">
        <is>
          <t>Lanao del Sur</t>
        </is>
      </c>
      <c r="G448" s="26" t="inlineStr">
        <is>
          <t>Mulondo</t>
        </is>
      </c>
      <c r="H448" s="26" t="inlineStr">
        <is>
          <t>Lumbaca Ingud</t>
        </is>
      </c>
      <c r="I448" s="27" t="n">
        <v>17.254233</v>
      </c>
      <c r="J448" s="27" t="n">
        <v>122.228277</v>
      </c>
      <c r="K448" s="10" t="inlineStr">
        <is>
          <t>R</t>
        </is>
      </c>
      <c r="L448" s="12" t="n">
        <v>690</v>
      </c>
      <c r="M448" s="14" t="n">
        <v>5.7</v>
      </c>
      <c r="N448" s="12">
        <f>ROUND(L448/M448, 0)</f>
        <v/>
      </c>
      <c r="O448" s="12">
        <f>ROUND(N448*'Methodology &amp; Assumptions'!$B$5, 0)</f>
        <v/>
      </c>
      <c r="P448" s="10" t="inlineStr">
        <is>
          <t>Single Carrier (Band n50, 100MHz TDD)</t>
        </is>
      </c>
      <c r="Q448" s="13">
        <f>ROUNDUP(O448/'Methodology &amp; Assumptions'!$B$6, 0)</f>
        <v/>
      </c>
      <c r="R448" s="13" t="n">
        <v>1</v>
      </c>
      <c r="S448" s="14" t="n">
        <v>29.32</v>
      </c>
      <c r="T448" s="14" t="n">
        <v>34.22</v>
      </c>
      <c r="U448" s="26">
        <f>IF(X448&gt;='Methodology &amp; Assumptions'!$B$7, "Tier 1 Critical GIDA (Score ≥ 50.0)", IF(X448&gt;='Methodology &amp; Assumptions'!$B$8, "Tier 2 High GIDA (Score 40.0–49.9)", "Tier 3 Moderate GIDA (Score &lt; 40.0)"))</f>
        <v/>
      </c>
      <c r="V448" s="26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W448" s="28" t="n">
        <v>0.11</v>
      </c>
      <c r="X448" s="14" t="n">
        <v>50.04</v>
      </c>
      <c r="Y448" s="14">
        <f>ROUND(MIN(100, (X448/69.91)*100), 2)</f>
        <v/>
      </c>
    </row>
    <row r="449">
      <c r="A449" s="10" t="n">
        <v>2</v>
      </c>
      <c r="B449" s="10" t="n">
        <v>445</v>
      </c>
      <c r="C449" s="10" t="n">
        <v>1445</v>
      </c>
      <c r="D449" s="10" t="inlineStr">
        <is>
          <t>1381100146</t>
        </is>
      </c>
      <c r="E449" s="26" t="inlineStr">
        <is>
          <t>National Capital Region (NCR)</t>
        </is>
      </c>
      <c r="F449" s="26" t="inlineStr">
        <is>
          <t>Fourth District (Not a Province)</t>
        </is>
      </c>
      <c r="G449" s="26" t="inlineStr">
        <is>
          <t>Pasay City</t>
        </is>
      </c>
      <c r="H449" s="26" t="inlineStr">
        <is>
          <t>Barangay 146</t>
        </is>
      </c>
      <c r="I449" s="27" t="n">
        <v>14.505306</v>
      </c>
      <c r="J449" s="27" t="n">
        <v>120.992113</v>
      </c>
      <c r="K449" s="10" t="inlineStr">
        <is>
          <t>U</t>
        </is>
      </c>
      <c r="L449" s="12" t="n">
        <v>1065</v>
      </c>
      <c r="M449" s="14" t="n">
        <v>3.4</v>
      </c>
      <c r="N449" s="12">
        <f>ROUND(L449/M449, 0)</f>
        <v/>
      </c>
      <c r="O449" s="12">
        <f>ROUND(N449*'Methodology &amp; Assumptions'!$B$5, 0)</f>
        <v/>
      </c>
      <c r="P449" s="10" t="inlineStr">
        <is>
          <t>Single Carrier (Band n50, 100MHz TDD)</t>
        </is>
      </c>
      <c r="Q449" s="13">
        <f>ROUNDUP(O449/'Methodology &amp; Assumptions'!$B$6, 0)</f>
        <v/>
      </c>
      <c r="R449" s="13" t="n">
        <v>1</v>
      </c>
      <c r="S449" s="14" t="n">
        <v>0.82</v>
      </c>
      <c r="T449" s="14" t="n">
        <v>0.19</v>
      </c>
      <c r="U449" s="26">
        <f>IF(X449&gt;='Methodology &amp; Assumptions'!$B$7, "Tier 1 Critical GIDA (Score ≥ 50.0)", IF(X449&gt;='Methodology &amp; Assumptions'!$B$8, "Tier 2 High GIDA (Score 40.0–49.9)", "Tier 3 Moderate GIDA (Score &lt; 40.0)"))</f>
        <v/>
      </c>
      <c r="V449" s="26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W449" s="28" t="n">
        <v>0.109</v>
      </c>
      <c r="X449" s="14" t="n">
        <v>50.04</v>
      </c>
      <c r="Y449" s="14">
        <f>ROUND(MIN(100, (X449/69.91)*100), 2)</f>
        <v/>
      </c>
    </row>
    <row r="450">
      <c r="A450" s="10" t="n">
        <v>2</v>
      </c>
      <c r="B450" s="10" t="n">
        <v>446</v>
      </c>
      <c r="C450" s="10" t="n">
        <v>1446</v>
      </c>
      <c r="D450" s="10" t="inlineStr">
        <is>
          <t>1900708006</t>
        </is>
      </c>
      <c r="E450" s="26" t="inlineStr">
        <is>
          <t>Bangsamoro Autonomous Region In Muslim Mindanao (BARMM)</t>
        </is>
      </c>
      <c r="F450" s="26" t="inlineStr">
        <is>
          <t>Basilan</t>
        </is>
      </c>
      <c r="G450" s="26" t="inlineStr">
        <is>
          <t>Akbar</t>
        </is>
      </c>
      <c r="H450" s="26" t="inlineStr">
        <is>
          <t>Paguengan</t>
        </is>
      </c>
      <c r="I450" s="27" t="n">
        <v>8.160114999999999</v>
      </c>
      <c r="J450" s="27" t="n">
        <v>122.238181</v>
      </c>
      <c r="K450" s="10" t="inlineStr">
        <is>
          <t>R</t>
        </is>
      </c>
      <c r="L450" s="12" t="n">
        <v>2326</v>
      </c>
      <c r="M450" s="14" t="n">
        <v>5.1</v>
      </c>
      <c r="N450" s="12">
        <f>ROUND(L450/M450, 0)</f>
        <v/>
      </c>
      <c r="O450" s="12">
        <f>ROUND(N450*'Methodology &amp; Assumptions'!$B$5, 0)</f>
        <v/>
      </c>
      <c r="P450" s="10" t="inlineStr">
        <is>
          <t>Single Carrier (Band n50, 100MHz TDD)</t>
        </is>
      </c>
      <c r="Q450" s="13">
        <f>ROUNDUP(O450/'Methodology &amp; Assumptions'!$B$6, 0)</f>
        <v/>
      </c>
      <c r="R450" s="13" t="n">
        <v>1</v>
      </c>
      <c r="S450" s="14" t="n">
        <v>56.83</v>
      </c>
      <c r="T450" s="14" t="n">
        <v>56.83</v>
      </c>
      <c r="U450" s="26">
        <f>IF(X450&gt;='Methodology &amp; Assumptions'!$B$7, "Tier 1 Critical GIDA (Score ≥ 50.0)", IF(X450&gt;='Methodology &amp; Assumptions'!$B$8, "Tier 2 High GIDA (Score 40.0–49.9)", "Tier 3 Moderate GIDA (Score &lt; 40.0)"))</f>
        <v/>
      </c>
      <c r="V450" s="26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W450" s="28" t="n">
        <v>0.11</v>
      </c>
      <c r="X450" s="14" t="n">
        <v>50.04</v>
      </c>
      <c r="Y450" s="14">
        <f>ROUND(MIN(100, (X450/69.91)*100), 2)</f>
        <v/>
      </c>
    </row>
    <row r="451">
      <c r="A451" s="10" t="n">
        <v>2</v>
      </c>
      <c r="B451" s="10" t="n">
        <v>447</v>
      </c>
      <c r="C451" s="10" t="n">
        <v>1447</v>
      </c>
      <c r="D451" s="10" t="inlineStr">
        <is>
          <t>1003516013</t>
        </is>
      </c>
      <c r="E451" s="26" t="inlineStr">
        <is>
          <t>Region X (Northern Mindanao)</t>
        </is>
      </c>
      <c r="F451" s="26" t="inlineStr">
        <is>
          <t>Lanao del Norte</t>
        </is>
      </c>
      <c r="G451" s="26" t="inlineStr">
        <is>
          <t>Pantao Ragat</t>
        </is>
      </c>
      <c r="H451" s="26" t="inlineStr">
        <is>
          <t>Lomidong</t>
        </is>
      </c>
      <c r="I451" s="27" t="n">
        <v>8.053376</v>
      </c>
      <c r="J451" s="27" t="n">
        <v>124.180652</v>
      </c>
      <c r="K451" s="10" t="inlineStr">
        <is>
          <t>R</t>
        </is>
      </c>
      <c r="L451" s="12" t="n">
        <v>1672</v>
      </c>
      <c r="M451" s="14" t="n">
        <v>4.2</v>
      </c>
      <c r="N451" s="12">
        <f>ROUND(L451/M451, 0)</f>
        <v/>
      </c>
      <c r="O451" s="12">
        <f>ROUND(N451*'Methodology &amp; Assumptions'!$B$5, 0)</f>
        <v/>
      </c>
      <c r="P451" s="10" t="inlineStr">
        <is>
          <t>Single Carrier (Band n50, 100MHz TDD)</t>
        </is>
      </c>
      <c r="Q451" s="13">
        <f>ROUNDUP(O451/'Methodology &amp; Assumptions'!$B$6, 0)</f>
        <v/>
      </c>
      <c r="R451" s="13" t="n">
        <v>1</v>
      </c>
      <c r="S451" s="14" t="n">
        <v>11.38</v>
      </c>
      <c r="T451" s="14" t="n">
        <v>7.85</v>
      </c>
      <c r="U451" s="26">
        <f>IF(X451&gt;='Methodology &amp; Assumptions'!$B$7, "Tier 1 Critical GIDA (Score ≥ 50.0)", IF(X451&gt;='Methodology &amp; Assumptions'!$B$8, "Tier 2 High GIDA (Score 40.0–49.9)", "Tier 3 Moderate GIDA (Score &lt; 40.0)"))</f>
        <v/>
      </c>
      <c r="V451" s="26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W451" s="28" t="n">
        <v>0.174</v>
      </c>
      <c r="X451" s="14" t="n">
        <v>50.04</v>
      </c>
      <c r="Y451" s="14">
        <f>ROUND(MIN(100, (X451/69.91)*100), 2)</f>
        <v/>
      </c>
    </row>
    <row r="452">
      <c r="A452" s="10" t="n">
        <v>2</v>
      </c>
      <c r="B452" s="10" t="n">
        <v>448</v>
      </c>
      <c r="C452" s="10" t="n">
        <v>1448</v>
      </c>
      <c r="D452" s="10" t="inlineStr">
        <is>
          <t>PH0001448</t>
        </is>
      </c>
      <c r="E452" s="26" t="inlineStr">
        <is>
          <t>XI</t>
        </is>
      </c>
      <c r="F452" s="26" t="inlineStr">
        <is>
          <t>Davao Del Sur</t>
        </is>
      </c>
      <c r="G452" s="26" t="inlineStr">
        <is>
          <t>Davao City</t>
        </is>
      </c>
      <c r="H452" s="26" t="inlineStr">
        <is>
          <t>Barangay 28-C (Pob.)</t>
        </is>
      </c>
      <c r="I452" s="27" t="n">
        <v>7.072307</v>
      </c>
      <c r="J452" s="27" t="n">
        <v>125.619089</v>
      </c>
      <c r="K452" s="10" t="inlineStr">
        <is>
          <t>R</t>
        </is>
      </c>
      <c r="L452" s="12" t="n">
        <v>2280</v>
      </c>
      <c r="M452" s="14" t="n">
        <v>3.4</v>
      </c>
      <c r="N452" s="12">
        <f>ROUND(L452/M452, 0)</f>
        <v/>
      </c>
      <c r="O452" s="12">
        <f>ROUND(N452*'Methodology &amp; Assumptions'!$B$5, 0)</f>
        <v/>
      </c>
      <c r="P452" s="10" t="inlineStr">
        <is>
          <t>Single Carrier (Band n50, 100MHz TDD)</t>
        </is>
      </c>
      <c r="Q452" s="13">
        <f>ROUNDUP(O452/'Methodology &amp; Assumptions'!$B$6, 0)</f>
        <v/>
      </c>
      <c r="R452" s="13" t="n">
        <v>1</v>
      </c>
      <c r="S452" s="14" t="n">
        <v>0.86</v>
      </c>
      <c r="T452" s="14" t="n">
        <v>0.25</v>
      </c>
      <c r="U452" s="26">
        <f>IF(X452&gt;='Methodology &amp; Assumptions'!$B$7, "Tier 1 Critical GIDA (Score ≥ 50.0)", IF(X452&gt;='Methodology &amp; Assumptions'!$B$8, "Tier 2 High GIDA (Score 40.0–49.9)", "Tier 3 Moderate GIDA (Score &lt; 40.0)"))</f>
        <v/>
      </c>
      <c r="V452" s="26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W452" s="28" t="n">
        <v>0.119</v>
      </c>
      <c r="X452" s="14" t="n">
        <v>50.04</v>
      </c>
      <c r="Y452" s="14">
        <f>ROUND(MIN(100, (X452/69.91)*100), 2)</f>
        <v/>
      </c>
    </row>
    <row r="453">
      <c r="A453" s="10" t="n">
        <v>2</v>
      </c>
      <c r="B453" s="10" t="n">
        <v>449</v>
      </c>
      <c r="C453" s="10" t="n">
        <v>1449</v>
      </c>
      <c r="D453" s="10" t="inlineStr">
        <is>
          <t>1906612074</t>
        </is>
      </c>
      <c r="E453" s="26" t="inlineStr">
        <is>
          <t>Bangsamoro Autonomous Region In Muslim Mindanao (BARMM)</t>
        </is>
      </c>
      <c r="F453" s="26" t="inlineStr">
        <is>
          <t>Sulu</t>
        </is>
      </c>
      <c r="G453" s="26" t="inlineStr">
        <is>
          <t>Siasi</t>
        </is>
      </c>
      <c r="H453" s="26" t="inlineStr">
        <is>
          <t>Tonglabah</t>
        </is>
      </c>
      <c r="I453" s="27" t="n">
        <v>17.255614</v>
      </c>
      <c r="J453" s="27" t="n">
        <v>122.229658</v>
      </c>
      <c r="K453" s="10" t="inlineStr">
        <is>
          <t>R</t>
        </is>
      </c>
      <c r="L453" s="12" t="n">
        <v>1423</v>
      </c>
      <c r="M453" s="14" t="n">
        <v>6</v>
      </c>
      <c r="N453" s="12">
        <f>ROUND(L453/M453, 0)</f>
        <v/>
      </c>
      <c r="O453" s="12">
        <f>ROUND(N453*'Methodology &amp; Assumptions'!$B$5, 0)</f>
        <v/>
      </c>
      <c r="P453" s="10" t="inlineStr">
        <is>
          <t>Single Carrier (Band n50, 100MHz TDD)</t>
        </is>
      </c>
      <c r="Q453" s="13">
        <f>ROUNDUP(O453/'Methodology &amp; Assumptions'!$B$6, 0)</f>
        <v/>
      </c>
      <c r="R453" s="13" t="n">
        <v>1</v>
      </c>
      <c r="S453" s="14" t="n">
        <v>29.53</v>
      </c>
      <c r="T453" s="14" t="n">
        <v>34.4</v>
      </c>
      <c r="U453" s="26">
        <f>IF(X453&gt;='Methodology &amp; Assumptions'!$B$7, "Tier 1 Critical GIDA (Score ≥ 50.0)", IF(X453&gt;='Methodology &amp; Assumptions'!$B$8, "Tier 2 High GIDA (Score 40.0–49.9)", "Tier 3 Moderate GIDA (Score &lt; 40.0)"))</f>
        <v/>
      </c>
      <c r="V453" s="26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W453" s="28" t="n">
        <v>0.11</v>
      </c>
      <c r="X453" s="14" t="n">
        <v>50.04</v>
      </c>
      <c r="Y453" s="14">
        <f>ROUND(MIN(100, (X453/69.91)*100), 2)</f>
        <v/>
      </c>
    </row>
    <row r="454">
      <c r="A454" s="10" t="n">
        <v>2</v>
      </c>
      <c r="B454" s="10" t="n">
        <v>450</v>
      </c>
      <c r="C454" s="10" t="n">
        <v>1450</v>
      </c>
      <c r="D454" s="10" t="inlineStr">
        <is>
          <t>1380605003</t>
        </is>
      </c>
      <c r="E454" s="26" t="inlineStr">
        <is>
          <t>National Capital Region (NCR)</t>
        </is>
      </c>
      <c r="F454" s="26" t="inlineStr">
        <is>
          <t>First District (Not a Province)</t>
        </is>
      </c>
      <c r="G454" s="26" t="inlineStr">
        <is>
          <t>City of Manila</t>
        </is>
      </c>
      <c r="H454" s="26" t="inlineStr">
        <is>
          <t>Barangay 299</t>
        </is>
      </c>
      <c r="I454" s="27" t="n">
        <v>12.608699</v>
      </c>
      <c r="J454" s="27" t="n">
        <v>121.71237</v>
      </c>
      <c r="K454" s="10" t="inlineStr">
        <is>
          <t>U</t>
        </is>
      </c>
      <c r="L454" s="12" t="n">
        <v>1339</v>
      </c>
      <c r="M454" s="14" t="n">
        <v>3.9</v>
      </c>
      <c r="N454" s="12">
        <f>ROUND(L454/M454, 0)</f>
        <v/>
      </c>
      <c r="O454" s="12">
        <f>ROUND(N454*'Methodology &amp; Assumptions'!$B$5, 0)</f>
        <v/>
      </c>
      <c r="P454" s="10" t="inlineStr">
        <is>
          <t>Single Carrier (Band n50, 100MHz TDD)</t>
        </is>
      </c>
      <c r="Q454" s="13">
        <f>ROUNDUP(O454/'Methodology &amp; Assumptions'!$B$6, 0)</f>
        <v/>
      </c>
      <c r="R454" s="13" t="n">
        <v>1</v>
      </c>
      <c r="S454" s="14" t="n">
        <v>17.44</v>
      </c>
      <c r="T454" s="14" t="n">
        <v>14.34</v>
      </c>
      <c r="U454" s="26">
        <f>IF(X454&gt;='Methodology &amp; Assumptions'!$B$7, "Tier 1 Critical GIDA (Score ≥ 50.0)", IF(X454&gt;='Methodology &amp; Assumptions'!$B$8, "Tier 2 High GIDA (Score 40.0–49.9)", "Tier 3 Moderate GIDA (Score &lt; 40.0)"))</f>
        <v/>
      </c>
      <c r="V454" s="26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W454" s="28" t="n">
        <v>0.109</v>
      </c>
      <c r="X454" s="14" t="n">
        <v>50.04</v>
      </c>
      <c r="Y454" s="14">
        <f>ROUND(MIN(100, (X454/69.91)*100), 2)</f>
        <v/>
      </c>
    </row>
    <row r="455">
      <c r="A455" s="10" t="n">
        <v>2</v>
      </c>
      <c r="B455" s="10" t="n">
        <v>451</v>
      </c>
      <c r="C455" s="10" t="n">
        <v>1451</v>
      </c>
      <c r="D455" s="10" t="inlineStr">
        <is>
          <t>1906612020</t>
        </is>
      </c>
      <c r="E455" s="26" t="inlineStr">
        <is>
          <t>Bangsamoro Autonomous Region In Muslim Mindanao (BARMM)</t>
        </is>
      </c>
      <c r="F455" s="26" t="inlineStr">
        <is>
          <t>Sulu</t>
        </is>
      </c>
      <c r="G455" s="26" t="inlineStr">
        <is>
          <t>Siasi</t>
        </is>
      </c>
      <c r="H455" s="26" t="inlineStr">
        <is>
          <t>Kud-kud</t>
        </is>
      </c>
      <c r="I455" s="27" t="n">
        <v>17.255607</v>
      </c>
      <c r="J455" s="27" t="n">
        <v>122.229651</v>
      </c>
      <c r="K455" s="10" t="inlineStr">
        <is>
          <t>R</t>
        </is>
      </c>
      <c r="L455" s="12" t="n">
        <v>1487</v>
      </c>
      <c r="M455" s="14" t="n">
        <v>6</v>
      </c>
      <c r="N455" s="12">
        <f>ROUND(L455/M455, 0)</f>
        <v/>
      </c>
      <c r="O455" s="12">
        <f>ROUND(N455*'Methodology &amp; Assumptions'!$B$5, 0)</f>
        <v/>
      </c>
      <c r="P455" s="10" t="inlineStr">
        <is>
          <t>Single Carrier (Band n50, 100MHz TDD)</t>
        </is>
      </c>
      <c r="Q455" s="13">
        <f>ROUNDUP(O455/'Methodology &amp; Assumptions'!$B$6, 0)</f>
        <v/>
      </c>
      <c r="R455" s="13" t="n">
        <v>1</v>
      </c>
      <c r="S455" s="14" t="n">
        <v>29.53</v>
      </c>
      <c r="T455" s="14" t="n">
        <v>34.4</v>
      </c>
      <c r="U455" s="26">
        <f>IF(X455&gt;='Methodology &amp; Assumptions'!$B$7, "Tier 1 Critical GIDA (Score ≥ 50.0)", IF(X455&gt;='Methodology &amp; Assumptions'!$B$8, "Tier 2 High GIDA (Score 40.0–49.9)", "Tier 3 Moderate GIDA (Score &lt; 40.0)"))</f>
        <v/>
      </c>
      <c r="V455" s="26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W455" s="28" t="n">
        <v>0.11</v>
      </c>
      <c r="X455" s="14" t="n">
        <v>50.04</v>
      </c>
      <c r="Y455" s="14">
        <f>ROUND(MIN(100, (X455/69.91)*100), 2)</f>
        <v/>
      </c>
    </row>
    <row r="456">
      <c r="A456" s="10" t="n">
        <v>2</v>
      </c>
      <c r="B456" s="10" t="n">
        <v>452</v>
      </c>
      <c r="C456" s="10" t="n">
        <v>1452</v>
      </c>
      <c r="D456" s="10" t="inlineStr">
        <is>
          <t>1908708004</t>
        </is>
      </c>
      <c r="E456" s="26" t="inlineStr">
        <is>
          <t>Bangsamoro Autonomous Region In Muslim Mindanao (BARMM)</t>
        </is>
      </c>
      <c r="F456" s="26" t="inlineStr">
        <is>
          <t>Maguindanao del Norte</t>
        </is>
      </c>
      <c r="G456" s="26" t="inlineStr">
        <is>
          <t>Northern Kabuntalan</t>
        </is>
      </c>
      <c r="H456" s="26" t="inlineStr">
        <is>
          <t>Guiawa</t>
        </is>
      </c>
      <c r="I456" s="27" t="n">
        <v>17.254502</v>
      </c>
      <c r="J456" s="27" t="n">
        <v>122.221427</v>
      </c>
      <c r="K456" s="10" t="inlineStr">
        <is>
          <t>R</t>
        </is>
      </c>
      <c r="L456" s="12" t="n">
        <v>3925</v>
      </c>
      <c r="M456" s="14" t="n">
        <v>4.3</v>
      </c>
      <c r="N456" s="12">
        <f>ROUND(L456/M456, 0)</f>
        <v/>
      </c>
      <c r="O456" s="12">
        <f>ROUND(N456*'Methodology &amp; Assumptions'!$B$5, 0)</f>
        <v/>
      </c>
      <c r="P456" s="10" t="inlineStr">
        <is>
          <t>Single Carrier (Band n50, 100MHz TDD)</t>
        </is>
      </c>
      <c r="Q456" s="13">
        <f>ROUNDUP(O456/'Methodology &amp; Assumptions'!$B$6, 0)</f>
        <v/>
      </c>
      <c r="R456" s="13" t="n">
        <v>1</v>
      </c>
      <c r="S456" s="14" t="n">
        <v>28.79</v>
      </c>
      <c r="T456" s="14" t="n">
        <v>33.53</v>
      </c>
      <c r="U456" s="26">
        <f>IF(X456&gt;='Methodology &amp; Assumptions'!$B$7, "Tier 1 Critical GIDA (Score ≥ 50.0)", IF(X456&gt;='Methodology &amp; Assumptions'!$B$8, "Tier 2 High GIDA (Score 40.0–49.9)", "Tier 3 Moderate GIDA (Score &lt; 40.0)"))</f>
        <v/>
      </c>
      <c r="V456" s="26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W456" s="28" t="n">
        <v>0.11</v>
      </c>
      <c r="X456" s="14" t="n">
        <v>50.04</v>
      </c>
      <c r="Y456" s="14">
        <f>ROUND(MIN(100, (X456/69.91)*100), 2)</f>
        <v/>
      </c>
    </row>
    <row r="457">
      <c r="A457" s="10" t="n">
        <v>2</v>
      </c>
      <c r="B457" s="10" t="n">
        <v>453</v>
      </c>
      <c r="C457" s="10" t="n">
        <v>1453</v>
      </c>
      <c r="D457" s="10" t="inlineStr">
        <is>
          <t>1102506012</t>
        </is>
      </c>
      <c r="E457" s="26" t="inlineStr">
        <is>
          <t>Region XI (Davao Region)</t>
        </is>
      </c>
      <c r="F457" s="26" t="inlineStr">
        <is>
          <t>Davao Oriental</t>
        </is>
      </c>
      <c r="G457" s="26" t="inlineStr">
        <is>
          <t>Governor Generoso</t>
        </is>
      </c>
      <c r="H457" s="26" t="inlineStr">
        <is>
          <t>Sergio Osmeña</t>
        </is>
      </c>
      <c r="I457" s="27" t="n">
        <v>6.530687</v>
      </c>
      <c r="J457" s="27" t="n">
        <v>126.120451</v>
      </c>
      <c r="K457" s="10" t="inlineStr">
        <is>
          <t>R</t>
        </is>
      </c>
      <c r="L457" s="12" t="n">
        <v>2020</v>
      </c>
      <c r="M457" s="14" t="n">
        <v>3.6</v>
      </c>
      <c r="N457" s="12">
        <f>ROUND(L457/M457, 0)</f>
        <v/>
      </c>
      <c r="O457" s="12">
        <f>ROUND(N457*'Methodology &amp; Assumptions'!$B$5, 0)</f>
        <v/>
      </c>
      <c r="P457" s="10" t="inlineStr">
        <is>
          <t>Single Carrier (Band n50, 100MHz TDD)</t>
        </is>
      </c>
      <c r="Q457" s="13">
        <f>ROUNDUP(O457/'Methodology &amp; Assumptions'!$B$6, 0)</f>
        <v/>
      </c>
      <c r="R457" s="13" t="n">
        <v>1</v>
      </c>
      <c r="S457" s="14" t="n">
        <v>42.37</v>
      </c>
      <c r="T457" s="14" t="n">
        <v>38.69</v>
      </c>
      <c r="U457" s="26">
        <f>IF(X457&gt;='Methodology &amp; Assumptions'!$B$7, "Tier 1 Critical GIDA (Score ≥ 50.0)", IF(X457&gt;='Methodology &amp; Assumptions'!$B$8, "Tier 2 High GIDA (Score 40.0–49.9)", "Tier 3 Moderate GIDA (Score &lt; 40.0)"))</f>
        <v/>
      </c>
      <c r="V457" s="26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W457" s="28" t="n">
        <v>0.174</v>
      </c>
      <c r="X457" s="14" t="n">
        <v>50.04</v>
      </c>
      <c r="Y457" s="14">
        <f>ROUND(MIN(100, (X457/69.91)*100), 2)</f>
        <v/>
      </c>
    </row>
    <row r="458">
      <c r="A458" s="10" t="n">
        <v>2</v>
      </c>
      <c r="B458" s="10" t="n">
        <v>454</v>
      </c>
      <c r="C458" s="10" t="n">
        <v>1454</v>
      </c>
      <c r="D458" s="10" t="inlineStr">
        <is>
          <t>1908708010</t>
        </is>
      </c>
      <c r="E458" s="26" t="inlineStr">
        <is>
          <t>Bangsamoro Autonomous Region In Muslim Mindanao (BARMM)</t>
        </is>
      </c>
      <c r="F458" s="26" t="inlineStr">
        <is>
          <t>Maguindanao del Norte</t>
        </is>
      </c>
      <c r="G458" s="26" t="inlineStr">
        <is>
          <t>Northern Kabuntalan</t>
        </is>
      </c>
      <c r="H458" s="26" t="inlineStr">
        <is>
          <t>Sabaken</t>
        </is>
      </c>
      <c r="I458" s="27" t="n">
        <v>17.258609</v>
      </c>
      <c r="J458" s="27" t="n">
        <v>122.234351</v>
      </c>
      <c r="K458" s="10" t="inlineStr">
        <is>
          <t>R</t>
        </is>
      </c>
      <c r="L458" s="12" t="n">
        <v>5719</v>
      </c>
      <c r="M458" s="14" t="n">
        <v>4.3</v>
      </c>
      <c r="N458" s="12">
        <f>ROUND(L458/M458, 0)</f>
        <v/>
      </c>
      <c r="O458" s="12">
        <f>ROUND(N458*'Methodology &amp; Assumptions'!$B$5, 0)</f>
        <v/>
      </c>
      <c r="P458" s="10" t="inlineStr">
        <is>
          <t>Single Carrier (Band n50, 100MHz TDD)</t>
        </is>
      </c>
      <c r="Q458" s="13">
        <f>ROUNDUP(O458/'Methodology &amp; Assumptions'!$B$6, 0)</f>
        <v/>
      </c>
      <c r="R458" s="13" t="n">
        <v>1</v>
      </c>
      <c r="S458" s="14" t="n">
        <v>30.13</v>
      </c>
      <c r="T458" s="14" t="n">
        <v>34.97</v>
      </c>
      <c r="U458" s="26">
        <f>IF(X458&gt;='Methodology &amp; Assumptions'!$B$7, "Tier 1 Critical GIDA (Score ≥ 50.0)", IF(X458&gt;='Methodology &amp; Assumptions'!$B$8, "Tier 2 High GIDA (Score 40.0–49.9)", "Tier 3 Moderate GIDA (Score &lt; 40.0)"))</f>
        <v/>
      </c>
      <c r="V458" s="26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W458" s="28" t="n">
        <v>0.11</v>
      </c>
      <c r="X458" s="14" t="n">
        <v>50.04</v>
      </c>
      <c r="Y458" s="14">
        <f>ROUND(MIN(100, (X458/69.91)*100), 2)</f>
        <v/>
      </c>
    </row>
    <row r="459">
      <c r="A459" s="10" t="n">
        <v>2</v>
      </c>
      <c r="B459" s="10" t="n">
        <v>455</v>
      </c>
      <c r="C459" s="10" t="n">
        <v>1455</v>
      </c>
      <c r="D459" s="10" t="inlineStr">
        <is>
          <t>1908706004</t>
        </is>
      </c>
      <c r="E459" s="26" t="inlineStr">
        <is>
          <t>Bangsamoro Autonomous Region In Muslim Mindanao (BARMM)</t>
        </is>
      </c>
      <c r="F459" s="26" t="inlineStr">
        <is>
          <t>Maguindanao del Norte</t>
        </is>
      </c>
      <c r="G459" s="26" t="inlineStr">
        <is>
          <t>Kabuntalan</t>
        </is>
      </c>
      <c r="H459" s="26" t="inlineStr">
        <is>
          <t>Gambar</t>
        </is>
      </c>
      <c r="I459" s="27" t="n">
        <v>17.254099</v>
      </c>
      <c r="J459" s="27" t="n">
        <v>122.228143</v>
      </c>
      <c r="K459" s="10" t="inlineStr">
        <is>
          <t>R</t>
        </is>
      </c>
      <c r="L459" s="12" t="n">
        <v>5001</v>
      </c>
      <c r="M459" s="14" t="n">
        <v>4.3</v>
      </c>
      <c r="N459" s="12">
        <f>ROUND(L459/M459, 0)</f>
        <v/>
      </c>
      <c r="O459" s="12">
        <f>ROUND(N459*'Methodology &amp; Assumptions'!$B$5, 0)</f>
        <v/>
      </c>
      <c r="P459" s="10" t="inlineStr">
        <is>
          <t>Single Carrier (Band n50, 100MHz TDD)</t>
        </is>
      </c>
      <c r="Q459" s="13">
        <f>ROUNDUP(O459/'Methodology &amp; Assumptions'!$B$6, 0)</f>
        <v/>
      </c>
      <c r="R459" s="13" t="n">
        <v>1</v>
      </c>
      <c r="S459" s="14" t="n">
        <v>29.3</v>
      </c>
      <c r="T459" s="14" t="n">
        <v>34.2</v>
      </c>
      <c r="U459" s="26">
        <f>IF(X459&gt;='Methodology &amp; Assumptions'!$B$7, "Tier 1 Critical GIDA (Score ≥ 50.0)", IF(X459&gt;='Methodology &amp; Assumptions'!$B$8, "Tier 2 High GIDA (Score 40.0–49.9)", "Tier 3 Moderate GIDA (Score &lt; 40.0)"))</f>
        <v/>
      </c>
      <c r="V459" s="26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W459" s="28" t="n">
        <v>0.11</v>
      </c>
      <c r="X459" s="14" t="n">
        <v>50.04</v>
      </c>
      <c r="Y459" s="14">
        <f>ROUND(MIN(100, (X459/69.91)*100), 2)</f>
        <v/>
      </c>
    </row>
    <row r="460">
      <c r="A460" s="10" t="n">
        <v>2</v>
      </c>
      <c r="B460" s="10" t="n">
        <v>456</v>
      </c>
      <c r="C460" s="10" t="n">
        <v>1456</v>
      </c>
      <c r="D460" s="10" t="inlineStr">
        <is>
          <t>1108603041</t>
        </is>
      </c>
      <c r="E460" s="26" t="inlineStr">
        <is>
          <t>Region XI (Davao Region)</t>
        </is>
      </c>
      <c r="F460" s="26" t="inlineStr">
        <is>
          <t>Davao Occidental</t>
        </is>
      </c>
      <c r="G460" s="26" t="inlineStr">
        <is>
          <t>Malita</t>
        </is>
      </c>
      <c r="H460" s="26" t="inlineStr">
        <is>
          <t>Pangaleon</t>
        </is>
      </c>
      <c r="I460" s="27" t="n">
        <v>6.33156</v>
      </c>
      <c r="J460" s="27" t="n">
        <v>125.525041</v>
      </c>
      <c r="K460" s="10" t="inlineStr">
        <is>
          <t>R</t>
        </is>
      </c>
      <c r="L460" s="12" t="n">
        <v>2435</v>
      </c>
      <c r="M460" s="14" t="n">
        <v>3.6</v>
      </c>
      <c r="N460" s="12">
        <f>ROUND(L460/M460, 0)</f>
        <v/>
      </c>
      <c r="O460" s="12">
        <f>ROUND(N460*'Methodology &amp; Assumptions'!$B$5, 0)</f>
        <v/>
      </c>
      <c r="P460" s="10" t="inlineStr">
        <is>
          <t>Single Carrier (Band n50, 100MHz TDD)</t>
        </is>
      </c>
      <c r="Q460" s="13">
        <f>ROUNDUP(O460/'Methodology &amp; Assumptions'!$B$6, 0)</f>
        <v/>
      </c>
      <c r="R460" s="13" t="n">
        <v>1</v>
      </c>
      <c r="S460" s="14" t="n">
        <v>27.61</v>
      </c>
      <c r="T460" s="14" t="n">
        <v>26.08</v>
      </c>
      <c r="U460" s="26">
        <f>IF(X460&gt;='Methodology &amp; Assumptions'!$B$7, "Tier 1 Critical GIDA (Score ≥ 50.0)", IF(X460&gt;='Methodology &amp; Assumptions'!$B$8, "Tier 2 High GIDA (Score 40.0–49.9)", "Tier 3 Moderate GIDA (Score &lt; 40.0)"))</f>
        <v/>
      </c>
      <c r="V460" s="26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W460" s="28" t="n">
        <v>0.174</v>
      </c>
      <c r="X460" s="14" t="n">
        <v>50.03</v>
      </c>
      <c r="Y460" s="14">
        <f>ROUND(MIN(100, (X460/69.91)*100), 2)</f>
        <v/>
      </c>
    </row>
    <row r="461">
      <c r="A461" s="10" t="n">
        <v>2</v>
      </c>
      <c r="B461" s="10" t="n">
        <v>457</v>
      </c>
      <c r="C461" s="10" t="n">
        <v>1457</v>
      </c>
      <c r="D461" s="10" t="inlineStr">
        <is>
          <t>1903633017</t>
        </is>
      </c>
      <c r="E461" s="26" t="inlineStr">
        <is>
          <t>Bangsamoro Autonomous Region In Muslim Mindanao (BARMM)</t>
        </is>
      </c>
      <c r="F461" s="26" t="inlineStr">
        <is>
          <t>Lanao del Sur</t>
        </is>
      </c>
      <c r="G461" s="26" t="inlineStr">
        <is>
          <t>Buadiposo-Buntong</t>
        </is>
      </c>
      <c r="H461" s="26" t="inlineStr">
        <is>
          <t>Lumbatan Manacab</t>
        </is>
      </c>
      <c r="I461" s="27" t="n">
        <v>17.250721</v>
      </c>
      <c r="J461" s="27" t="n">
        <v>122.231915</v>
      </c>
      <c r="K461" s="10" t="inlineStr">
        <is>
          <t>R</t>
        </is>
      </c>
      <c r="L461" s="12" t="n">
        <v>455</v>
      </c>
      <c r="M461" s="14" t="n">
        <v>5.7</v>
      </c>
      <c r="N461" s="12">
        <f>ROUND(L461/M461, 0)</f>
        <v/>
      </c>
      <c r="O461" s="12">
        <f>ROUND(N461*'Methodology &amp; Assumptions'!$B$5, 0)</f>
        <v/>
      </c>
      <c r="P461" s="10" t="inlineStr">
        <is>
          <t>Single Carrier (Band n50, 100MHz TDD)</t>
        </is>
      </c>
      <c r="Q461" s="13">
        <f>ROUNDUP(O461/'Methodology &amp; Assumptions'!$B$6, 0)</f>
        <v/>
      </c>
      <c r="R461" s="13" t="n">
        <v>1</v>
      </c>
      <c r="S461" s="14" t="n">
        <v>29.38</v>
      </c>
      <c r="T461" s="14" t="n">
        <v>34.48</v>
      </c>
      <c r="U461" s="26">
        <f>IF(X461&gt;='Methodology &amp; Assumptions'!$B$7, "Tier 1 Critical GIDA (Score ≥ 50.0)", IF(X461&gt;='Methodology &amp; Assumptions'!$B$8, "Tier 2 High GIDA (Score 40.0–49.9)", "Tier 3 Moderate GIDA (Score &lt; 40.0)"))</f>
        <v/>
      </c>
      <c r="V461" s="26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W461" s="28" t="n">
        <v>0.11</v>
      </c>
      <c r="X461" s="14" t="n">
        <v>50.03</v>
      </c>
      <c r="Y461" s="14">
        <f>ROUND(MIN(100, (X461/69.91)*100), 2)</f>
        <v/>
      </c>
    </row>
    <row r="462">
      <c r="A462" s="10" t="n">
        <v>2</v>
      </c>
      <c r="B462" s="10" t="n">
        <v>458</v>
      </c>
      <c r="C462" s="10" t="n">
        <v>1458</v>
      </c>
      <c r="D462" s="10" t="inlineStr">
        <is>
          <t>1906612060</t>
        </is>
      </c>
      <c r="E462" s="26" t="inlineStr">
        <is>
          <t>Bangsamoro Autonomous Region In Muslim Mindanao (BARMM)</t>
        </is>
      </c>
      <c r="F462" s="26" t="inlineStr">
        <is>
          <t>Sulu</t>
        </is>
      </c>
      <c r="G462" s="26" t="inlineStr">
        <is>
          <t>Siasi</t>
        </is>
      </c>
      <c r="H462" s="26" t="inlineStr">
        <is>
          <t>Sipanding</t>
        </is>
      </c>
      <c r="I462" s="27" t="n">
        <v>17.255482</v>
      </c>
      <c r="J462" s="27" t="n">
        <v>122.229526</v>
      </c>
      <c r="K462" s="10" t="inlineStr">
        <is>
          <t>R</t>
        </is>
      </c>
      <c r="L462" s="12" t="n">
        <v>1929</v>
      </c>
      <c r="M462" s="14" t="n">
        <v>6</v>
      </c>
      <c r="N462" s="12">
        <f>ROUND(L462/M462, 0)</f>
        <v/>
      </c>
      <c r="O462" s="12">
        <f>ROUND(N462*'Methodology &amp; Assumptions'!$B$5, 0)</f>
        <v/>
      </c>
      <c r="P462" s="10" t="inlineStr">
        <is>
          <t>Single Carrier (Band n50, 100MHz TDD)</t>
        </is>
      </c>
      <c r="Q462" s="13">
        <f>ROUNDUP(O462/'Methodology &amp; Assumptions'!$B$6, 0)</f>
        <v/>
      </c>
      <c r="R462" s="13" t="n">
        <v>1</v>
      </c>
      <c r="S462" s="14" t="n">
        <v>29.51</v>
      </c>
      <c r="T462" s="14" t="n">
        <v>34.38</v>
      </c>
      <c r="U462" s="26">
        <f>IF(X462&gt;='Methodology &amp; Assumptions'!$B$7, "Tier 1 Critical GIDA (Score ≥ 50.0)", IF(X462&gt;='Methodology &amp; Assumptions'!$B$8, "Tier 2 High GIDA (Score 40.0–49.9)", "Tier 3 Moderate GIDA (Score &lt; 40.0)"))</f>
        <v/>
      </c>
      <c r="V462" s="26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W462" s="28" t="n">
        <v>0.11</v>
      </c>
      <c r="X462" s="14" t="n">
        <v>50.03</v>
      </c>
      <c r="Y462" s="14">
        <f>ROUND(MIN(100, (X462/69.91)*100), 2)</f>
        <v/>
      </c>
    </row>
    <row r="463">
      <c r="A463" s="10" t="n">
        <v>2</v>
      </c>
      <c r="B463" s="10" t="n">
        <v>459</v>
      </c>
      <c r="C463" s="10" t="n">
        <v>1459</v>
      </c>
      <c r="D463" s="10" t="inlineStr">
        <is>
          <t>1908701012</t>
        </is>
      </c>
      <c r="E463" s="26" t="inlineStr">
        <is>
          <t>Bangsamoro Autonomous Region In Muslim Mindanao (BARMM)</t>
        </is>
      </c>
      <c r="F463" s="26" t="inlineStr">
        <is>
          <t>Maguindanao del Norte</t>
        </is>
      </c>
      <c r="G463" s="26" t="inlineStr">
        <is>
          <t>Barira</t>
        </is>
      </c>
      <c r="H463" s="26" t="inlineStr">
        <is>
          <t>Panggao</t>
        </is>
      </c>
      <c r="I463" s="27" t="n">
        <v>16.705105</v>
      </c>
      <c r="J463" s="27" t="n">
        <v>122.346375</v>
      </c>
      <c r="K463" s="10" t="inlineStr">
        <is>
          <t>R</t>
        </is>
      </c>
      <c r="L463" s="12" t="n">
        <v>3009</v>
      </c>
      <c r="M463" s="14" t="n">
        <v>4.3</v>
      </c>
      <c r="N463" s="12">
        <f>ROUND(L463/M463, 0)</f>
        <v/>
      </c>
      <c r="O463" s="12">
        <f>ROUND(N463*'Methodology &amp; Assumptions'!$B$5, 0)</f>
        <v/>
      </c>
      <c r="P463" s="10" t="inlineStr">
        <is>
          <t>Single Carrier (Band n50, 100MHz TDD)</t>
        </is>
      </c>
      <c r="Q463" s="13">
        <f>ROUNDUP(O463/'Methodology &amp; Assumptions'!$B$6, 0)</f>
        <v/>
      </c>
      <c r="R463" s="13" t="n">
        <v>1</v>
      </c>
      <c r="S463" s="14" t="n">
        <v>21.81</v>
      </c>
      <c r="T463" s="14" t="n">
        <v>22.13</v>
      </c>
      <c r="U463" s="26">
        <f>IF(X463&gt;='Methodology &amp; Assumptions'!$B$7, "Tier 1 Critical GIDA (Score ≥ 50.0)", IF(X463&gt;='Methodology &amp; Assumptions'!$B$8, "Tier 2 High GIDA (Score 40.0–49.9)", "Tier 3 Moderate GIDA (Score &lt; 40.0)"))</f>
        <v/>
      </c>
      <c r="V463" s="26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W463" s="28" t="n">
        <v>0.11</v>
      </c>
      <c r="X463" s="14" t="n">
        <v>50.03</v>
      </c>
      <c r="Y463" s="14">
        <f>ROUND(MIN(100, (X463/69.91)*100), 2)</f>
        <v/>
      </c>
    </row>
    <row r="464">
      <c r="A464" s="10" t="n">
        <v>2</v>
      </c>
      <c r="B464" s="10" t="n">
        <v>460</v>
      </c>
      <c r="C464" s="10" t="n">
        <v>1460</v>
      </c>
      <c r="D464" s="10" t="inlineStr">
        <is>
          <t>1903639008</t>
        </is>
      </c>
      <c r="E464" s="26" t="inlineStr">
        <is>
          <t>Bangsamoro Autonomous Region In Muslim Mindanao (BARMM)</t>
        </is>
      </c>
      <c r="F464" s="26" t="inlineStr">
        <is>
          <t>Lanao del Sur</t>
        </is>
      </c>
      <c r="G464" s="26" t="inlineStr">
        <is>
          <t>Kapatagan</t>
        </is>
      </c>
      <c r="H464" s="26" t="inlineStr">
        <is>
          <t>Lusain</t>
        </is>
      </c>
      <c r="I464" s="27" t="n">
        <v>17.254576</v>
      </c>
      <c r="J464" s="27" t="n">
        <v>122.22862</v>
      </c>
      <c r="K464" s="10" t="inlineStr">
        <is>
          <t>R</t>
        </is>
      </c>
      <c r="L464" s="12" t="n">
        <v>1230</v>
      </c>
      <c r="M464" s="14" t="n">
        <v>5.7</v>
      </c>
      <c r="N464" s="12">
        <f>ROUND(L464/M464, 0)</f>
        <v/>
      </c>
      <c r="O464" s="12">
        <f>ROUND(N464*'Methodology &amp; Assumptions'!$B$5, 0)</f>
        <v/>
      </c>
      <c r="P464" s="10" t="inlineStr">
        <is>
          <t>Single Carrier (Band n50, 100MHz TDD)</t>
        </is>
      </c>
      <c r="Q464" s="13">
        <f>ROUNDUP(O464/'Methodology &amp; Assumptions'!$B$6, 0)</f>
        <v/>
      </c>
      <c r="R464" s="13" t="n">
        <v>1</v>
      </c>
      <c r="S464" s="14" t="n">
        <v>29.37</v>
      </c>
      <c r="T464" s="14" t="n">
        <v>34.26</v>
      </c>
      <c r="U464" s="26">
        <f>IF(X464&gt;='Methodology &amp; Assumptions'!$B$7, "Tier 1 Critical GIDA (Score ≥ 50.0)", IF(X464&gt;='Methodology &amp; Assumptions'!$B$8, "Tier 2 High GIDA (Score 40.0–49.9)", "Tier 3 Moderate GIDA (Score &lt; 40.0)"))</f>
        <v/>
      </c>
      <c r="V464" s="26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W464" s="28" t="n">
        <v>0.11</v>
      </c>
      <c r="X464" s="14" t="n">
        <v>50.03</v>
      </c>
      <c r="Y464" s="14">
        <f>ROUND(MIN(100, (X464/69.91)*100), 2)</f>
        <v/>
      </c>
    </row>
    <row r="465">
      <c r="A465" s="10" t="n">
        <v>2</v>
      </c>
      <c r="B465" s="10" t="n">
        <v>461</v>
      </c>
      <c r="C465" s="10" t="n">
        <v>1461</v>
      </c>
      <c r="D465" s="10" t="inlineStr">
        <is>
          <t>0907312008</t>
        </is>
      </c>
      <c r="E465" s="26" t="inlineStr">
        <is>
          <t>Region IX (Zamboanga Peninsula)</t>
        </is>
      </c>
      <c r="F465" s="26" t="inlineStr">
        <is>
          <t>Zamboanga del Sur</t>
        </is>
      </c>
      <c r="G465" s="26" t="inlineStr">
        <is>
          <t>Labangan</t>
        </is>
      </c>
      <c r="H465" s="26" t="inlineStr">
        <is>
          <t>Cogonan</t>
        </is>
      </c>
      <c r="I465" s="27" t="n">
        <v>7.94852</v>
      </c>
      <c r="J465" s="27" t="n">
        <v>123.31462</v>
      </c>
      <c r="K465" s="10" t="inlineStr">
        <is>
          <t>R</t>
        </is>
      </c>
      <c r="L465" s="12" t="n">
        <v>2018</v>
      </c>
      <c r="M465" s="14" t="n">
        <v>3.9</v>
      </c>
      <c r="N465" s="12">
        <f>ROUND(L465/M465, 0)</f>
        <v/>
      </c>
      <c r="O465" s="12">
        <f>ROUND(N465*'Methodology &amp; Assumptions'!$B$5, 0)</f>
        <v/>
      </c>
      <c r="P465" s="10" t="inlineStr">
        <is>
          <t>Single Carrier (Band n50, 100MHz TDD)</t>
        </is>
      </c>
      <c r="Q465" s="13">
        <f>ROUNDUP(O465/'Methodology &amp; Assumptions'!$B$6, 0)</f>
        <v/>
      </c>
      <c r="R465" s="13" t="n">
        <v>1</v>
      </c>
      <c r="S465" s="14" t="n">
        <v>18.97</v>
      </c>
      <c r="T465" s="14" t="n">
        <v>11.83</v>
      </c>
      <c r="U465" s="26">
        <f>IF(X465&gt;='Methodology &amp; Assumptions'!$B$7, "Tier 1 Critical GIDA (Score ≥ 50.0)", IF(X465&gt;='Methodology &amp; Assumptions'!$B$8, "Tier 2 High GIDA (Score 40.0–49.9)", "Tier 3 Moderate GIDA (Score &lt; 40.0)"))</f>
        <v/>
      </c>
      <c r="V465" s="26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W465" s="28" t="n">
        <v>0.11</v>
      </c>
      <c r="X465" s="14" t="n">
        <v>50.03</v>
      </c>
      <c r="Y465" s="14">
        <f>ROUND(MIN(100, (X465/69.91)*100), 2)</f>
        <v/>
      </c>
    </row>
    <row r="466">
      <c r="A466" s="10" t="n">
        <v>2</v>
      </c>
      <c r="B466" s="10" t="n">
        <v>462</v>
      </c>
      <c r="C466" s="10" t="n">
        <v>1462</v>
      </c>
      <c r="D466" s="10" t="inlineStr">
        <is>
          <t>1906606008</t>
        </is>
      </c>
      <c r="E466" s="26" t="inlineStr">
        <is>
          <t>Bangsamoro Autonomous Region In Muslim Mindanao (BARMM)</t>
        </is>
      </c>
      <c r="F466" s="26" t="inlineStr">
        <is>
          <t>Sulu</t>
        </is>
      </c>
      <c r="G466" s="26" t="inlineStr">
        <is>
          <t>Hadji Panglima Tahil</t>
        </is>
      </c>
      <c r="H466" s="26" t="inlineStr">
        <is>
          <t>Pag-asinan</t>
        </is>
      </c>
      <c r="I466" s="27" t="n">
        <v>17.251659</v>
      </c>
      <c r="J466" s="27" t="n">
        <v>122.232852</v>
      </c>
      <c r="K466" s="10" t="inlineStr">
        <is>
          <t>R</t>
        </is>
      </c>
      <c r="L466" s="12" t="n">
        <v>1919</v>
      </c>
      <c r="M466" s="14" t="n">
        <v>6</v>
      </c>
      <c r="N466" s="12">
        <f>ROUND(L466/M466, 0)</f>
        <v/>
      </c>
      <c r="O466" s="12">
        <f>ROUND(N466*'Methodology &amp; Assumptions'!$B$5, 0)</f>
        <v/>
      </c>
      <c r="P466" s="10" t="inlineStr">
        <is>
          <t>Single Carrier (Band n50, 100MHz TDD)</t>
        </is>
      </c>
      <c r="Q466" s="13">
        <f>ROUNDUP(O466/'Methodology &amp; Assumptions'!$B$6, 0)</f>
        <v/>
      </c>
      <c r="R466" s="13" t="n">
        <v>1</v>
      </c>
      <c r="S466" s="14" t="n">
        <v>29.52</v>
      </c>
      <c r="T466" s="14" t="n">
        <v>34.6</v>
      </c>
      <c r="U466" s="26">
        <f>IF(X466&gt;='Methodology &amp; Assumptions'!$B$7, "Tier 1 Critical GIDA (Score ≥ 50.0)", IF(X466&gt;='Methodology &amp; Assumptions'!$B$8, "Tier 2 High GIDA (Score 40.0–49.9)", "Tier 3 Moderate GIDA (Score &lt; 40.0)"))</f>
        <v/>
      </c>
      <c r="V466" s="26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W466" s="28" t="n">
        <v>0.11</v>
      </c>
      <c r="X466" s="14" t="n">
        <v>50.03</v>
      </c>
      <c r="Y466" s="14">
        <f>ROUND(MIN(100, (X466/69.91)*100), 2)</f>
        <v/>
      </c>
    </row>
    <row r="467">
      <c r="A467" s="10" t="n">
        <v>2</v>
      </c>
      <c r="B467" s="10" t="n">
        <v>463</v>
      </c>
      <c r="C467" s="10" t="n">
        <v>1463</v>
      </c>
      <c r="D467" s="10" t="inlineStr">
        <is>
          <t>1906612057</t>
        </is>
      </c>
      <c r="E467" s="26" t="inlineStr">
        <is>
          <t>Bangsamoro Autonomous Region In Muslim Mindanao (BARMM)</t>
        </is>
      </c>
      <c r="F467" s="26" t="inlineStr">
        <is>
          <t>Sulu</t>
        </is>
      </c>
      <c r="G467" s="26" t="inlineStr">
        <is>
          <t>Siasi</t>
        </is>
      </c>
      <c r="H467" s="26" t="inlineStr">
        <is>
          <t>Siolakan</t>
        </is>
      </c>
      <c r="I467" s="27" t="n">
        <v>17.25548</v>
      </c>
      <c r="J467" s="27" t="n">
        <v>122.229524</v>
      </c>
      <c r="K467" s="10" t="inlineStr">
        <is>
          <t>R</t>
        </is>
      </c>
      <c r="L467" s="12" t="n">
        <v>2422</v>
      </c>
      <c r="M467" s="14" t="n">
        <v>6</v>
      </c>
      <c r="N467" s="12">
        <f>ROUND(L467/M467, 0)</f>
        <v/>
      </c>
      <c r="O467" s="12">
        <f>ROUND(N467*'Methodology &amp; Assumptions'!$B$5, 0)</f>
        <v/>
      </c>
      <c r="P467" s="10" t="inlineStr">
        <is>
          <t>Single Carrier (Band n50, 100MHz TDD)</t>
        </is>
      </c>
      <c r="Q467" s="13">
        <f>ROUNDUP(O467/'Methodology &amp; Assumptions'!$B$6, 0)</f>
        <v/>
      </c>
      <c r="R467" s="13" t="n">
        <v>1</v>
      </c>
      <c r="S467" s="14" t="n">
        <v>29.51</v>
      </c>
      <c r="T467" s="14" t="n">
        <v>34.38</v>
      </c>
      <c r="U467" s="26">
        <f>IF(X467&gt;='Methodology &amp; Assumptions'!$B$7, "Tier 1 Critical GIDA (Score ≥ 50.0)", IF(X467&gt;='Methodology &amp; Assumptions'!$B$8, "Tier 2 High GIDA (Score 40.0–49.9)", "Tier 3 Moderate GIDA (Score &lt; 40.0)"))</f>
        <v/>
      </c>
      <c r="V467" s="26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W467" s="28" t="n">
        <v>0.11</v>
      </c>
      <c r="X467" s="14" t="n">
        <v>50.03</v>
      </c>
      <c r="Y467" s="14">
        <f>ROUND(MIN(100, (X467/69.91)*100), 2)</f>
        <v/>
      </c>
    </row>
    <row r="468">
      <c r="A468" s="10" t="n">
        <v>2</v>
      </c>
      <c r="B468" s="10" t="n">
        <v>464</v>
      </c>
      <c r="C468" s="10" t="n">
        <v>1464</v>
      </c>
      <c r="D468" s="10" t="inlineStr">
        <is>
          <t>1906612048</t>
        </is>
      </c>
      <c r="E468" s="26" t="inlineStr">
        <is>
          <t>Bangsamoro Autonomous Region In Muslim Mindanao (BARMM)</t>
        </is>
      </c>
      <c r="F468" s="26" t="inlineStr">
        <is>
          <t>Sulu</t>
        </is>
      </c>
      <c r="G468" s="26" t="inlineStr">
        <is>
          <t>Siasi</t>
        </is>
      </c>
      <c r="H468" s="26" t="inlineStr">
        <is>
          <t>Ratag</t>
        </is>
      </c>
      <c r="I468" s="27" t="n">
        <v>17.255466</v>
      </c>
      <c r="J468" s="27" t="n">
        <v>122.22951</v>
      </c>
      <c r="K468" s="10" t="inlineStr">
        <is>
          <t>R</t>
        </is>
      </c>
      <c r="L468" s="12" t="n">
        <v>2525</v>
      </c>
      <c r="M468" s="14" t="n">
        <v>6</v>
      </c>
      <c r="N468" s="12">
        <f>ROUND(L468/M468, 0)</f>
        <v/>
      </c>
      <c r="O468" s="12">
        <f>ROUND(N468*'Methodology &amp; Assumptions'!$B$5, 0)</f>
        <v/>
      </c>
      <c r="P468" s="10" t="inlineStr">
        <is>
          <t>Single Carrier (Band n50, 100MHz TDD)</t>
        </is>
      </c>
      <c r="Q468" s="13">
        <f>ROUNDUP(O468/'Methodology &amp; Assumptions'!$B$6, 0)</f>
        <v/>
      </c>
      <c r="R468" s="13" t="n">
        <v>1</v>
      </c>
      <c r="S468" s="14" t="n">
        <v>29.51</v>
      </c>
      <c r="T468" s="14" t="n">
        <v>34.38</v>
      </c>
      <c r="U468" s="26">
        <f>IF(X468&gt;='Methodology &amp; Assumptions'!$B$7, "Tier 1 Critical GIDA (Score ≥ 50.0)", IF(X468&gt;='Methodology &amp; Assumptions'!$B$8, "Tier 2 High GIDA (Score 40.0–49.9)", "Tier 3 Moderate GIDA (Score &lt; 40.0)"))</f>
        <v/>
      </c>
      <c r="V468" s="26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W468" s="28" t="n">
        <v>0.11</v>
      </c>
      <c r="X468" s="14" t="n">
        <v>50.03</v>
      </c>
      <c r="Y468" s="14">
        <f>ROUND(MIN(100, (X468/69.91)*100), 2)</f>
        <v/>
      </c>
    </row>
    <row r="469">
      <c r="A469" s="10" t="n">
        <v>2</v>
      </c>
      <c r="B469" s="10" t="n">
        <v>465</v>
      </c>
      <c r="C469" s="10" t="n">
        <v>1465</v>
      </c>
      <c r="D469" s="10" t="inlineStr">
        <is>
          <t>0102901010</t>
        </is>
      </c>
      <c r="E469" s="26" t="inlineStr">
        <is>
          <t>Region I (Ilocos Region)</t>
        </is>
      </c>
      <c r="F469" s="26" t="inlineStr">
        <is>
          <t>Ilocos Sur</t>
        </is>
      </c>
      <c r="G469" s="26" t="inlineStr">
        <is>
          <t>Alilem</t>
        </is>
      </c>
      <c r="H469" s="26" t="inlineStr">
        <is>
          <t>Daddaay</t>
        </is>
      </c>
      <c r="I469" s="27" t="n">
        <v>16.909247</v>
      </c>
      <c r="J469" s="27" t="n">
        <v>120.601318</v>
      </c>
      <c r="K469" s="10" t="inlineStr">
        <is>
          <t>R</t>
        </is>
      </c>
      <c r="L469" s="12" t="n">
        <v>713</v>
      </c>
      <c r="M469" s="14" t="n">
        <v>3.8</v>
      </c>
      <c r="N469" s="12">
        <f>ROUND(L469/M469, 0)</f>
        <v/>
      </c>
      <c r="O469" s="12">
        <f>ROUND(N469*'Methodology &amp; Assumptions'!$B$5, 0)</f>
        <v/>
      </c>
      <c r="P469" s="10" t="inlineStr">
        <is>
          <t>Single Carrier (Band n50, 100MHz TDD)</t>
        </is>
      </c>
      <c r="Q469" s="13">
        <f>ROUNDUP(O469/'Methodology &amp; Assumptions'!$B$6, 0)</f>
        <v/>
      </c>
      <c r="R469" s="13" t="n">
        <v>1</v>
      </c>
      <c r="S469" s="14" t="n">
        <v>10.94</v>
      </c>
      <c r="T469" s="14" t="n">
        <v>14.64</v>
      </c>
      <c r="U469" s="26">
        <f>IF(X469&gt;='Methodology &amp; Assumptions'!$B$7, "Tier 1 Critical GIDA (Score ≥ 50.0)", IF(X469&gt;='Methodology &amp; Assumptions'!$B$8, "Tier 2 High GIDA (Score 40.0–49.9)", "Tier 3 Moderate GIDA (Score &lt; 40.0)"))</f>
        <v/>
      </c>
      <c r="V469" s="26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W469" s="28" t="n">
        <v>0.083</v>
      </c>
      <c r="X469" s="14" t="n">
        <v>50.03</v>
      </c>
      <c r="Y469" s="14">
        <f>ROUND(MIN(100, (X469/69.91)*100), 2)</f>
        <v/>
      </c>
    </row>
    <row r="470">
      <c r="A470" s="10" t="n">
        <v>2</v>
      </c>
      <c r="B470" s="10" t="n">
        <v>466</v>
      </c>
      <c r="C470" s="10" t="n">
        <v>1466</v>
      </c>
      <c r="D470" s="10" t="inlineStr">
        <is>
          <t>1906608010</t>
        </is>
      </c>
      <c r="E470" s="26" t="inlineStr">
        <is>
          <t>Bangsamoro Autonomous Region In Muslim Mindanao (BARMM)</t>
        </is>
      </c>
      <c r="F470" s="26" t="inlineStr">
        <is>
          <t>Sulu</t>
        </is>
      </c>
      <c r="G470" s="26" t="inlineStr">
        <is>
          <t>Pangutaran</t>
        </is>
      </c>
      <c r="H470" s="26" t="inlineStr">
        <is>
          <t>Panducan</t>
        </is>
      </c>
      <c r="I470" s="27" t="n">
        <v>17.255337</v>
      </c>
      <c r="J470" s="27" t="n">
        <v>122.229381</v>
      </c>
      <c r="K470" s="10" t="inlineStr">
        <is>
          <t>R</t>
        </is>
      </c>
      <c r="L470" s="12" t="n">
        <v>3077</v>
      </c>
      <c r="M470" s="14" t="n">
        <v>6</v>
      </c>
      <c r="N470" s="12">
        <f>ROUND(L470/M470, 0)</f>
        <v/>
      </c>
      <c r="O470" s="12">
        <f>ROUND(N470*'Methodology &amp; Assumptions'!$B$5, 0)</f>
        <v/>
      </c>
      <c r="P470" s="10" t="inlineStr">
        <is>
          <t>Single Carrier (Band n50, 100MHz TDD)</t>
        </is>
      </c>
      <c r="Q470" s="13">
        <f>ROUNDUP(O470/'Methodology &amp; Assumptions'!$B$6, 0)</f>
        <v/>
      </c>
      <c r="R470" s="13" t="n">
        <v>1</v>
      </c>
      <c r="S470" s="14" t="n">
        <v>29.49</v>
      </c>
      <c r="T470" s="14" t="n">
        <v>34.36</v>
      </c>
      <c r="U470" s="26">
        <f>IF(X470&gt;='Methodology &amp; Assumptions'!$B$7, "Tier 1 Critical GIDA (Score ≥ 50.0)", IF(X470&gt;='Methodology &amp; Assumptions'!$B$8, "Tier 2 High GIDA (Score 40.0–49.9)", "Tier 3 Moderate GIDA (Score &lt; 40.0)"))</f>
        <v/>
      </c>
      <c r="V470" s="26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W470" s="28" t="n">
        <v>0.11</v>
      </c>
      <c r="X470" s="14" t="n">
        <v>50.03</v>
      </c>
      <c r="Y470" s="14">
        <f>ROUND(MIN(100, (X470/69.91)*100), 2)</f>
        <v/>
      </c>
    </row>
    <row r="471">
      <c r="A471" s="10" t="n">
        <v>2</v>
      </c>
      <c r="B471" s="10" t="n">
        <v>467</v>
      </c>
      <c r="C471" s="10" t="n">
        <v>1467</v>
      </c>
      <c r="D471" s="10" t="inlineStr">
        <is>
          <t>0806025005</t>
        </is>
      </c>
      <c r="E471" s="26" t="inlineStr">
        <is>
          <t>Region VIII (Eastern Visayas)</t>
        </is>
      </c>
      <c r="F471" s="26" t="inlineStr">
        <is>
          <t>Samar</t>
        </is>
      </c>
      <c r="G471" s="26" t="inlineStr">
        <is>
          <t>San Jorge</t>
        </is>
      </c>
      <c r="H471" s="26" t="inlineStr">
        <is>
          <t>Bungliw</t>
        </is>
      </c>
      <c r="I471" s="27" t="n">
        <v>11.90256</v>
      </c>
      <c r="J471" s="27" t="n">
        <v>124.90505</v>
      </c>
      <c r="K471" s="10" t="inlineStr">
        <is>
          <t>R</t>
        </is>
      </c>
      <c r="L471" s="12" t="n">
        <v>253</v>
      </c>
      <c r="M471" s="14" t="n">
        <v>4.1</v>
      </c>
      <c r="N471" s="12">
        <f>ROUND(L471/M471, 0)</f>
        <v/>
      </c>
      <c r="O471" s="12">
        <f>ROUND(N471*'Methodology &amp; Assumptions'!$B$5, 0)</f>
        <v/>
      </c>
      <c r="P471" s="10" t="inlineStr">
        <is>
          <t>Single Carrier (Band n50, 100MHz TDD)</t>
        </is>
      </c>
      <c r="Q471" s="13">
        <f>ROUNDUP(O471/'Methodology &amp; Assumptions'!$B$6, 0)</f>
        <v/>
      </c>
      <c r="R471" s="13" t="n">
        <v>1</v>
      </c>
      <c r="S471" s="14" t="n">
        <v>71.02</v>
      </c>
      <c r="T471" s="14" t="n">
        <v>70.95999999999999</v>
      </c>
      <c r="U471" s="26">
        <f>IF(X471&gt;='Methodology &amp; Assumptions'!$B$7, "Tier 1 Critical GIDA (Score ≥ 50.0)", IF(X471&gt;='Methodology &amp; Assumptions'!$B$8, "Tier 2 High GIDA (Score 40.0–49.9)", "Tier 3 Moderate GIDA (Score &lt; 40.0)"))</f>
        <v/>
      </c>
      <c r="V471" s="26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W471" s="28" t="n">
        <v>0.237</v>
      </c>
      <c r="X471" s="14" t="n">
        <v>50.03</v>
      </c>
      <c r="Y471" s="14">
        <f>ROUND(MIN(100, (X471/69.91)*100), 2)</f>
        <v/>
      </c>
    </row>
    <row r="472">
      <c r="A472" s="10" t="n">
        <v>2</v>
      </c>
      <c r="B472" s="10" t="n">
        <v>468</v>
      </c>
      <c r="C472" s="10" t="n">
        <v>1468</v>
      </c>
      <c r="D472" s="10" t="inlineStr">
        <is>
          <t>1108605002</t>
        </is>
      </c>
      <c r="E472" s="26" t="inlineStr">
        <is>
          <t>Region XI (Davao Region)</t>
        </is>
      </c>
      <c r="F472" s="26" t="inlineStr">
        <is>
          <t>Davao Occidental</t>
        </is>
      </c>
      <c r="G472" s="26" t="inlineStr">
        <is>
          <t>Sarangani</t>
        </is>
      </c>
      <c r="H472" s="26" t="inlineStr">
        <is>
          <t>Konel</t>
        </is>
      </c>
      <c r="I472" s="27" t="n">
        <v>5.431239</v>
      </c>
      <c r="J472" s="27" t="n">
        <v>125.392563</v>
      </c>
      <c r="K472" s="10" t="inlineStr">
        <is>
          <t>R</t>
        </is>
      </c>
      <c r="L472" s="12" t="n">
        <v>2140</v>
      </c>
      <c r="M472" s="14" t="n">
        <v>3.9</v>
      </c>
      <c r="N472" s="12">
        <f>ROUND(L472/M472, 0)</f>
        <v/>
      </c>
      <c r="O472" s="12">
        <f>ROUND(N472*'Methodology &amp; Assumptions'!$B$5, 0)</f>
        <v/>
      </c>
      <c r="P472" s="10" t="inlineStr">
        <is>
          <t>Single Carrier (Band n50, 100MHz TDD)</t>
        </is>
      </c>
      <c r="Q472" s="13">
        <f>ROUNDUP(O472/'Methodology &amp; Assumptions'!$B$6, 0)</f>
        <v/>
      </c>
      <c r="R472" s="13" t="n">
        <v>1</v>
      </c>
      <c r="S472" s="14" t="n">
        <v>75.98</v>
      </c>
      <c r="T472" s="14" t="n">
        <v>79.79000000000001</v>
      </c>
      <c r="U472" s="26">
        <f>IF(X472&gt;='Methodology &amp; Assumptions'!$B$7, "Tier 1 Critical GIDA (Score ≥ 50.0)", IF(X472&gt;='Methodology &amp; Assumptions'!$B$8, "Tier 2 High GIDA (Score 40.0–49.9)", "Tier 3 Moderate GIDA (Score &lt; 40.0)"))</f>
        <v/>
      </c>
      <c r="V472" s="26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W472" s="28" t="n">
        <v>0.174</v>
      </c>
      <c r="X472" s="14" t="n">
        <v>50.03</v>
      </c>
      <c r="Y472" s="14">
        <f>ROUND(MIN(100, (X472/69.91)*100), 2)</f>
        <v/>
      </c>
    </row>
    <row r="473">
      <c r="A473" s="10" t="n">
        <v>2</v>
      </c>
      <c r="B473" s="10" t="n">
        <v>469</v>
      </c>
      <c r="C473" s="10" t="n">
        <v>1469</v>
      </c>
      <c r="D473" s="10" t="inlineStr">
        <is>
          <t>0907333004</t>
        </is>
      </c>
      <c r="E473" s="26" t="inlineStr">
        <is>
          <t>Region IX (Zamboanga Peninsula)</t>
        </is>
      </c>
      <c r="F473" s="26" t="inlineStr">
        <is>
          <t>Zamboanga del Sur</t>
        </is>
      </c>
      <c r="G473" s="26" t="inlineStr">
        <is>
          <t>Lakewood</t>
        </is>
      </c>
      <c r="H473" s="26" t="inlineStr">
        <is>
          <t>Bululawan</t>
        </is>
      </c>
      <c r="I473" s="27" t="n">
        <v>7.867033</v>
      </c>
      <c r="J473" s="27" t="n">
        <v>123.103855</v>
      </c>
      <c r="K473" s="10" t="inlineStr">
        <is>
          <t>R</t>
        </is>
      </c>
      <c r="L473" s="12" t="n">
        <v>1352</v>
      </c>
      <c r="M473" s="14" t="n">
        <v>3.9</v>
      </c>
      <c r="N473" s="12">
        <f>ROUND(L473/M473, 0)</f>
        <v/>
      </c>
      <c r="O473" s="12">
        <f>ROUND(N473*'Methodology &amp; Assumptions'!$B$5, 0)</f>
        <v/>
      </c>
      <c r="P473" s="10" t="inlineStr">
        <is>
          <t>Single Carrier (Band n50, 100MHz TDD)</t>
        </is>
      </c>
      <c r="Q473" s="13">
        <f>ROUNDUP(O473/'Methodology &amp; Assumptions'!$B$6, 0)</f>
        <v/>
      </c>
      <c r="R473" s="13" t="n">
        <v>1</v>
      </c>
      <c r="S473" s="14" t="n">
        <v>16.18</v>
      </c>
      <c r="T473" s="14" t="n">
        <v>9.640000000000001</v>
      </c>
      <c r="U473" s="26">
        <f>IF(X473&gt;='Methodology &amp; Assumptions'!$B$7, "Tier 1 Critical GIDA (Score ≥ 50.0)", IF(X473&gt;='Methodology &amp; Assumptions'!$B$8, "Tier 2 High GIDA (Score 40.0–49.9)", "Tier 3 Moderate GIDA (Score &lt; 40.0)"))</f>
        <v/>
      </c>
      <c r="V473" s="26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W473" s="28" t="n">
        <v>0.11</v>
      </c>
      <c r="X473" s="14" t="n">
        <v>50.03</v>
      </c>
      <c r="Y473" s="14">
        <f>ROUND(MIN(100, (X473/69.91)*100), 2)</f>
        <v/>
      </c>
    </row>
    <row r="474">
      <c r="A474" s="10" t="n">
        <v>2</v>
      </c>
      <c r="B474" s="10" t="n">
        <v>470</v>
      </c>
      <c r="C474" s="10" t="n">
        <v>1470</v>
      </c>
      <c r="D474" s="10" t="inlineStr">
        <is>
          <t>1381200001</t>
        </is>
      </c>
      <c r="E474" s="26" t="inlineStr">
        <is>
          <t>National Capital Region (NCR)</t>
        </is>
      </c>
      <c r="F474" s="26" t="inlineStr">
        <is>
          <t>Second District (Not a Province)</t>
        </is>
      </c>
      <c r="G474" s="26" t="inlineStr">
        <is>
          <t>City of Pasig</t>
        </is>
      </c>
      <c r="H474" s="26" t="inlineStr">
        <is>
          <t>Bagong Ilog</t>
        </is>
      </c>
      <c r="I474" s="27" t="n">
        <v>14.563733</v>
      </c>
      <c r="J474" s="27" t="n">
        <v>121.071258</v>
      </c>
      <c r="K474" s="10" t="inlineStr">
        <is>
          <t>U</t>
        </is>
      </c>
      <c r="L474" s="12" t="n">
        <v>21608</v>
      </c>
      <c r="M474" s="14" t="n">
        <v>3.4</v>
      </c>
      <c r="N474" s="12">
        <f>ROUND(L474/M474, 0)</f>
        <v/>
      </c>
      <c r="O474" s="12">
        <f>ROUND(N474*'Methodology &amp; Assumptions'!$B$5, 0)</f>
        <v/>
      </c>
      <c r="P474" s="10" t="inlineStr">
        <is>
          <t>Single Carrier (Band n50, 100MHz TDD)</t>
        </is>
      </c>
      <c r="Q474" s="13">
        <f>ROUNDUP(O474/'Methodology &amp; Assumptions'!$B$6, 0)</f>
        <v/>
      </c>
      <c r="R474" s="13" t="n">
        <v>1</v>
      </c>
      <c r="S474" s="14" t="n">
        <v>1.11</v>
      </c>
      <c r="T474" s="14" t="n">
        <v>0.16</v>
      </c>
      <c r="U474" s="26">
        <f>IF(X474&gt;='Methodology &amp; Assumptions'!$B$7, "Tier 1 Critical GIDA (Score ≥ 50.0)", IF(X474&gt;='Methodology &amp; Assumptions'!$B$8, "Tier 2 High GIDA (Score 40.0–49.9)", "Tier 3 Moderate GIDA (Score &lt; 40.0)"))</f>
        <v/>
      </c>
      <c r="V474" s="26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W474" s="28" t="n">
        <v>0.109</v>
      </c>
      <c r="X474" s="14" t="n">
        <v>50.03</v>
      </c>
      <c r="Y474" s="14">
        <f>ROUND(MIN(100, (X474/69.91)*100), 2)</f>
        <v/>
      </c>
    </row>
    <row r="475">
      <c r="A475" s="10" t="n">
        <v>2</v>
      </c>
      <c r="B475" s="10" t="n">
        <v>471</v>
      </c>
      <c r="C475" s="10" t="n">
        <v>1471</v>
      </c>
      <c r="D475" s="10" t="inlineStr">
        <is>
          <t>1003511008</t>
        </is>
      </c>
      <c r="E475" s="26" t="inlineStr">
        <is>
          <t>Region X (Northern Mindanao)</t>
        </is>
      </c>
      <c r="F475" s="26" t="inlineStr">
        <is>
          <t>Lanao del Norte</t>
        </is>
      </c>
      <c r="G475" s="26" t="inlineStr">
        <is>
          <t>Magsaysay</t>
        </is>
      </c>
      <c r="H475" s="26" t="inlineStr">
        <is>
          <t>Lubo</t>
        </is>
      </c>
      <c r="I475" s="27" t="n">
        <v>8.040051</v>
      </c>
      <c r="J475" s="27" t="n">
        <v>123.907779</v>
      </c>
      <c r="K475" s="10" t="inlineStr">
        <is>
          <t>R</t>
        </is>
      </c>
      <c r="L475" s="12" t="n">
        <v>1184</v>
      </c>
      <c r="M475" s="14" t="n">
        <v>4.2</v>
      </c>
      <c r="N475" s="12">
        <f>ROUND(L475/M475, 0)</f>
        <v/>
      </c>
      <c r="O475" s="12">
        <f>ROUND(N475*'Methodology &amp; Assumptions'!$B$5, 0)</f>
        <v/>
      </c>
      <c r="P475" s="10" t="inlineStr">
        <is>
          <t>Single Carrier (Band n50, 100MHz TDD)</t>
        </is>
      </c>
      <c r="Q475" s="13">
        <f>ROUNDUP(O475/'Methodology &amp; Assumptions'!$B$6, 0)</f>
        <v/>
      </c>
      <c r="R475" s="13" t="n">
        <v>1</v>
      </c>
      <c r="S475" s="14" t="n">
        <v>11.96</v>
      </c>
      <c r="T475" s="14" t="n">
        <v>7.66</v>
      </c>
      <c r="U475" s="26">
        <f>IF(X475&gt;='Methodology &amp; Assumptions'!$B$7, "Tier 1 Critical GIDA (Score ≥ 50.0)", IF(X475&gt;='Methodology &amp; Assumptions'!$B$8, "Tier 2 High GIDA (Score 40.0–49.9)", "Tier 3 Moderate GIDA (Score &lt; 40.0)"))</f>
        <v/>
      </c>
      <c r="V475" s="26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W475" s="28" t="n">
        <v>0.174</v>
      </c>
      <c r="X475" s="14" t="n">
        <v>50.03</v>
      </c>
      <c r="Y475" s="14">
        <f>ROUND(MIN(100, (X475/69.91)*100), 2)</f>
        <v/>
      </c>
    </row>
    <row r="476">
      <c r="A476" s="10" t="n">
        <v>2</v>
      </c>
      <c r="B476" s="10" t="n">
        <v>472</v>
      </c>
      <c r="C476" s="10" t="n">
        <v>1472</v>
      </c>
      <c r="D476" s="10" t="inlineStr">
        <is>
          <t>1908701010</t>
        </is>
      </c>
      <c r="E476" s="26" t="inlineStr">
        <is>
          <t>Bangsamoro Autonomous Region In Muslim Mindanao (BARMM)</t>
        </is>
      </c>
      <c r="F476" s="26" t="inlineStr">
        <is>
          <t>Maguindanao del Norte</t>
        </is>
      </c>
      <c r="G476" s="26" t="inlineStr">
        <is>
          <t>Barira</t>
        </is>
      </c>
      <c r="H476" s="26" t="inlineStr">
        <is>
          <t>Minabay</t>
        </is>
      </c>
      <c r="I476" s="27" t="n">
        <v>17.254146</v>
      </c>
      <c r="J476" s="27" t="n">
        <v>122.22819</v>
      </c>
      <c r="K476" s="10" t="inlineStr">
        <is>
          <t>R</t>
        </is>
      </c>
      <c r="L476" s="12" t="n">
        <v>4580</v>
      </c>
      <c r="M476" s="14" t="n">
        <v>4.3</v>
      </c>
      <c r="N476" s="12">
        <f>ROUND(L476/M476, 0)</f>
        <v/>
      </c>
      <c r="O476" s="12">
        <f>ROUND(N476*'Methodology &amp; Assumptions'!$B$5, 0)</f>
        <v/>
      </c>
      <c r="P476" s="10" t="inlineStr">
        <is>
          <t>Single Carrier (Band n50, 100MHz TDD)</t>
        </is>
      </c>
      <c r="Q476" s="13">
        <f>ROUNDUP(O476/'Methodology &amp; Assumptions'!$B$6, 0)</f>
        <v/>
      </c>
      <c r="R476" s="13" t="n">
        <v>1</v>
      </c>
      <c r="S476" s="14" t="n">
        <v>29.31</v>
      </c>
      <c r="T476" s="14" t="n">
        <v>34.2</v>
      </c>
      <c r="U476" s="26">
        <f>IF(X476&gt;='Methodology &amp; Assumptions'!$B$7, "Tier 1 Critical GIDA (Score ≥ 50.0)", IF(X476&gt;='Methodology &amp; Assumptions'!$B$8, "Tier 2 High GIDA (Score 40.0–49.9)", "Tier 3 Moderate GIDA (Score &lt; 40.0)"))</f>
        <v/>
      </c>
      <c r="V476" s="26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W476" s="28" t="n">
        <v>0.11</v>
      </c>
      <c r="X476" s="14" t="n">
        <v>50.03</v>
      </c>
      <c r="Y476" s="14">
        <f>ROUND(MIN(100, (X476/69.91)*100), 2)</f>
        <v/>
      </c>
    </row>
    <row r="477">
      <c r="A477" s="10" t="n">
        <v>2</v>
      </c>
      <c r="B477" s="10" t="n">
        <v>473</v>
      </c>
      <c r="C477" s="10" t="n">
        <v>1473</v>
      </c>
      <c r="D477" s="10" t="inlineStr">
        <is>
          <t>1903638018</t>
        </is>
      </c>
      <c r="E477" s="26" t="inlineStr">
        <is>
          <t>Bangsamoro Autonomous Region In Muslim Mindanao (BARMM)</t>
        </is>
      </c>
      <c r="F477" s="26" t="inlineStr">
        <is>
          <t>Lanao del Sur</t>
        </is>
      </c>
      <c r="G477" s="26" t="inlineStr">
        <is>
          <t>Tagoloan Ii</t>
        </is>
      </c>
      <c r="H477" s="26" t="inlineStr">
        <is>
          <t>Kitaon</t>
        </is>
      </c>
      <c r="I477" s="27" t="n">
        <v>17.248387</v>
      </c>
      <c r="J477" s="27" t="n">
        <v>122.216337</v>
      </c>
      <c r="K477" s="10" t="inlineStr">
        <is>
          <t>R</t>
        </is>
      </c>
      <c r="L477" s="12" t="n">
        <v>428</v>
      </c>
      <c r="M477" s="14" t="n">
        <v>5.7</v>
      </c>
      <c r="N477" s="12">
        <f>ROUND(L477/M477, 0)</f>
        <v/>
      </c>
      <c r="O477" s="12">
        <f>ROUND(N477*'Methodology &amp; Assumptions'!$B$5, 0)</f>
        <v/>
      </c>
      <c r="P477" s="10" t="inlineStr">
        <is>
          <t>Single Carrier (Band n50, 100MHz TDD)</t>
        </is>
      </c>
      <c r="Q477" s="13">
        <f>ROUNDUP(O477/'Methodology &amp; Assumptions'!$B$6, 0)</f>
        <v/>
      </c>
      <c r="R477" s="13" t="n">
        <v>1</v>
      </c>
      <c r="S477" s="14" t="n">
        <v>27.93</v>
      </c>
      <c r="T477" s="14" t="n">
        <v>32.82</v>
      </c>
      <c r="U477" s="26">
        <f>IF(X477&gt;='Methodology &amp; Assumptions'!$B$7, "Tier 1 Critical GIDA (Score ≥ 50.0)", IF(X477&gt;='Methodology &amp; Assumptions'!$B$8, "Tier 2 High GIDA (Score 40.0–49.9)", "Tier 3 Moderate GIDA (Score &lt; 40.0)"))</f>
        <v/>
      </c>
      <c r="V477" s="26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W477" s="28" t="n">
        <v>0.11</v>
      </c>
      <c r="X477" s="14" t="n">
        <v>50.03</v>
      </c>
      <c r="Y477" s="14">
        <f>ROUND(MIN(100, (X477/69.91)*100), 2)</f>
        <v/>
      </c>
    </row>
    <row r="478">
      <c r="A478" s="10" t="n">
        <v>2</v>
      </c>
      <c r="B478" s="10" t="n">
        <v>474</v>
      </c>
      <c r="C478" s="10" t="n">
        <v>1474</v>
      </c>
      <c r="D478" s="10" t="inlineStr">
        <is>
          <t>1906613021</t>
        </is>
      </c>
      <c r="E478" s="26" t="inlineStr">
        <is>
          <t>Bangsamoro Autonomous Region In Muslim Mindanao (BARMM)</t>
        </is>
      </c>
      <c r="F478" s="26" t="inlineStr">
        <is>
          <t>Sulu</t>
        </is>
      </c>
      <c r="G478" s="26" t="inlineStr">
        <is>
          <t>Talipao</t>
        </is>
      </c>
      <c r="H478" s="26" t="inlineStr">
        <is>
          <t>Kuhaw</t>
        </is>
      </c>
      <c r="I478" s="27" t="n">
        <v>17.255436</v>
      </c>
      <c r="J478" s="27" t="n">
        <v>122.22948</v>
      </c>
      <c r="K478" s="10" t="inlineStr">
        <is>
          <t>R</t>
        </is>
      </c>
      <c r="L478" s="12" t="n">
        <v>2766</v>
      </c>
      <c r="M478" s="14" t="n">
        <v>6</v>
      </c>
      <c r="N478" s="12">
        <f>ROUND(L478/M478, 0)</f>
        <v/>
      </c>
      <c r="O478" s="12">
        <f>ROUND(N478*'Methodology &amp; Assumptions'!$B$5, 0)</f>
        <v/>
      </c>
      <c r="P478" s="10" t="inlineStr">
        <is>
          <t>Single Carrier (Band n50, 100MHz TDD)</t>
        </is>
      </c>
      <c r="Q478" s="13">
        <f>ROUNDUP(O478/'Methodology &amp; Assumptions'!$B$6, 0)</f>
        <v/>
      </c>
      <c r="R478" s="13" t="n">
        <v>1</v>
      </c>
      <c r="S478" s="14" t="n">
        <v>29.51</v>
      </c>
      <c r="T478" s="14" t="n">
        <v>34.38</v>
      </c>
      <c r="U478" s="26">
        <f>IF(X478&gt;='Methodology &amp; Assumptions'!$B$7, "Tier 1 Critical GIDA (Score ≥ 50.0)", IF(X478&gt;='Methodology &amp; Assumptions'!$B$8, "Tier 2 High GIDA (Score 40.0–49.9)", "Tier 3 Moderate GIDA (Score &lt; 40.0)"))</f>
        <v/>
      </c>
      <c r="V478" s="26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W478" s="28" t="n">
        <v>0.11</v>
      </c>
      <c r="X478" s="14" t="n">
        <v>50.03</v>
      </c>
      <c r="Y478" s="14">
        <f>ROUND(MIN(100, (X478/69.91)*100), 2)</f>
        <v/>
      </c>
    </row>
    <row r="479">
      <c r="A479" s="10" t="n">
        <v>2</v>
      </c>
      <c r="B479" s="10" t="n">
        <v>475</v>
      </c>
      <c r="C479" s="10" t="n">
        <v>1475</v>
      </c>
      <c r="D479" s="10" t="inlineStr">
        <is>
          <t>1908711003</t>
        </is>
      </c>
      <c r="E479" s="26" t="inlineStr">
        <is>
          <t>Bangsamoro Autonomous Region In Muslim Mindanao (BARMM)</t>
        </is>
      </c>
      <c r="F479" s="26" t="inlineStr">
        <is>
          <t>Maguindanao del Norte</t>
        </is>
      </c>
      <c r="G479" s="26" t="inlineStr">
        <is>
          <t>Sultan Mastura</t>
        </is>
      </c>
      <c r="H479" s="26" t="inlineStr">
        <is>
          <t>Bungabong</t>
        </is>
      </c>
      <c r="I479" s="27" t="n">
        <v>17.254072</v>
      </c>
      <c r="J479" s="27" t="n">
        <v>122.228116</v>
      </c>
      <c r="K479" s="10" t="inlineStr">
        <is>
          <t>R</t>
        </is>
      </c>
      <c r="L479" s="12" t="n">
        <v>2814</v>
      </c>
      <c r="M479" s="14" t="n">
        <v>4.3</v>
      </c>
      <c r="N479" s="12">
        <f>ROUND(L479/M479, 0)</f>
        <v/>
      </c>
      <c r="O479" s="12">
        <f>ROUND(N479*'Methodology &amp; Assumptions'!$B$5, 0)</f>
        <v/>
      </c>
      <c r="P479" s="10" t="inlineStr">
        <is>
          <t>Single Carrier (Band n50, 100MHz TDD)</t>
        </is>
      </c>
      <c r="Q479" s="13">
        <f>ROUNDUP(O479/'Methodology &amp; Assumptions'!$B$6, 0)</f>
        <v/>
      </c>
      <c r="R479" s="13" t="n">
        <v>1</v>
      </c>
      <c r="S479" s="14" t="n">
        <v>29.3</v>
      </c>
      <c r="T479" s="14" t="n">
        <v>34.19</v>
      </c>
      <c r="U479" s="26">
        <f>IF(X479&gt;='Methodology &amp; Assumptions'!$B$7, "Tier 1 Critical GIDA (Score ≥ 50.0)", IF(X479&gt;='Methodology &amp; Assumptions'!$B$8, "Tier 2 High GIDA (Score 40.0–49.9)", "Tier 3 Moderate GIDA (Score &lt; 40.0)"))</f>
        <v/>
      </c>
      <c r="V479" s="26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W479" s="28" t="n">
        <v>0.11</v>
      </c>
      <c r="X479" s="14" t="n">
        <v>50.03</v>
      </c>
      <c r="Y479" s="14">
        <f>ROUND(MIN(100, (X479/69.91)*100), 2)</f>
        <v/>
      </c>
    </row>
    <row r="480">
      <c r="A480" s="10" t="n">
        <v>2</v>
      </c>
      <c r="B480" s="10" t="n">
        <v>476</v>
      </c>
      <c r="C480" s="10" t="n">
        <v>1476</v>
      </c>
      <c r="D480" s="10" t="inlineStr">
        <is>
          <t>1108605011</t>
        </is>
      </c>
      <c r="E480" s="26" t="inlineStr">
        <is>
          <t>Region XI (Davao Region)</t>
        </is>
      </c>
      <c r="F480" s="26" t="inlineStr">
        <is>
          <t>Davao Occidental</t>
        </is>
      </c>
      <c r="G480" s="26" t="inlineStr">
        <is>
          <t>Sarangani</t>
        </is>
      </c>
      <c r="H480" s="26" t="inlineStr">
        <is>
          <t>Tagen</t>
        </is>
      </c>
      <c r="I480" s="27" t="n">
        <v>5.379889</v>
      </c>
      <c r="J480" s="27" t="n">
        <v>125.351561</v>
      </c>
      <c r="K480" s="10" t="inlineStr">
        <is>
          <t>R</t>
        </is>
      </c>
      <c r="L480" s="12" t="n">
        <v>1396</v>
      </c>
      <c r="M480" s="14" t="n">
        <v>3.9</v>
      </c>
      <c r="N480" s="12">
        <f>ROUND(L480/M480, 0)</f>
        <v/>
      </c>
      <c r="O480" s="12">
        <f>ROUND(N480*'Methodology &amp; Assumptions'!$B$5, 0)</f>
        <v/>
      </c>
      <c r="P480" s="10" t="inlineStr">
        <is>
          <t>Single Carrier (Band n50, 100MHz TDD)</t>
        </is>
      </c>
      <c r="Q480" s="13">
        <f>ROUNDUP(O480/'Methodology &amp; Assumptions'!$B$6, 0)</f>
        <v/>
      </c>
      <c r="R480" s="13" t="n">
        <v>1</v>
      </c>
      <c r="S480" s="14" t="n">
        <v>80.34</v>
      </c>
      <c r="T480" s="14" t="n">
        <v>84.18000000000001</v>
      </c>
      <c r="U480" s="26">
        <f>IF(X480&gt;='Methodology &amp; Assumptions'!$B$7, "Tier 1 Critical GIDA (Score ≥ 50.0)", IF(X480&gt;='Methodology &amp; Assumptions'!$B$8, "Tier 2 High GIDA (Score 40.0–49.9)", "Tier 3 Moderate GIDA (Score &lt; 40.0)"))</f>
        <v/>
      </c>
      <c r="V480" s="26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W480" s="28" t="n">
        <v>0.174</v>
      </c>
      <c r="X480" s="14" t="n">
        <v>50.03</v>
      </c>
      <c r="Y480" s="14">
        <f>ROUND(MIN(100, (X480/69.91)*100), 2)</f>
        <v/>
      </c>
    </row>
    <row r="481">
      <c r="A481" s="10" t="n">
        <v>2</v>
      </c>
      <c r="B481" s="10" t="n">
        <v>477</v>
      </c>
      <c r="C481" s="10" t="n">
        <v>1477</v>
      </c>
      <c r="D481" s="10" t="inlineStr">
        <is>
          <t>1903639009</t>
        </is>
      </c>
      <c r="E481" s="26" t="inlineStr">
        <is>
          <t>Bangsamoro Autonomous Region In Muslim Mindanao (BARMM)</t>
        </is>
      </c>
      <c r="F481" s="26" t="inlineStr">
        <is>
          <t>Lanao del Sur</t>
        </is>
      </c>
      <c r="G481" s="26" t="inlineStr">
        <is>
          <t>Kapatagan</t>
        </is>
      </c>
      <c r="H481" s="26" t="inlineStr">
        <is>
          <t>Matimos</t>
        </is>
      </c>
      <c r="I481" s="27" t="n">
        <v>17.254574</v>
      </c>
      <c r="J481" s="27" t="n">
        <v>122.228618</v>
      </c>
      <c r="K481" s="10" t="inlineStr">
        <is>
          <t>R</t>
        </is>
      </c>
      <c r="L481" s="12" t="n">
        <v>792</v>
      </c>
      <c r="M481" s="14" t="n">
        <v>5.7</v>
      </c>
      <c r="N481" s="12">
        <f>ROUND(L481/M481, 0)</f>
        <v/>
      </c>
      <c r="O481" s="12">
        <f>ROUND(N481*'Methodology &amp; Assumptions'!$B$5, 0)</f>
        <v/>
      </c>
      <c r="P481" s="10" t="inlineStr">
        <is>
          <t>Single Carrier (Band n50, 100MHz TDD)</t>
        </is>
      </c>
      <c r="Q481" s="13">
        <f>ROUNDUP(O481/'Methodology &amp; Assumptions'!$B$6, 0)</f>
        <v/>
      </c>
      <c r="R481" s="13" t="n">
        <v>1</v>
      </c>
      <c r="S481" s="14" t="n">
        <v>29.37</v>
      </c>
      <c r="T481" s="14" t="n">
        <v>34.26</v>
      </c>
      <c r="U481" s="26">
        <f>IF(X481&gt;='Methodology &amp; Assumptions'!$B$7, "Tier 1 Critical GIDA (Score ≥ 50.0)", IF(X481&gt;='Methodology &amp; Assumptions'!$B$8, "Tier 2 High GIDA (Score 40.0–49.9)", "Tier 3 Moderate GIDA (Score &lt; 40.0)"))</f>
        <v/>
      </c>
      <c r="V481" s="26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W481" s="28" t="n">
        <v>0.11</v>
      </c>
      <c r="X481" s="14" t="n">
        <v>50.03</v>
      </c>
      <c r="Y481" s="14">
        <f>ROUND(MIN(100, (X481/69.91)*100), 2)</f>
        <v/>
      </c>
    </row>
    <row r="482">
      <c r="A482" s="10" t="n">
        <v>2</v>
      </c>
      <c r="B482" s="10" t="n">
        <v>478</v>
      </c>
      <c r="C482" s="10" t="n">
        <v>1478</v>
      </c>
      <c r="D482" s="10" t="inlineStr">
        <is>
          <t>1903609012</t>
        </is>
      </c>
      <c r="E482" s="26" t="inlineStr">
        <is>
          <t>Bangsamoro Autonomous Region In Muslim Mindanao (BARMM)</t>
        </is>
      </c>
      <c r="F482" s="26" t="inlineStr">
        <is>
          <t>Lanao del Sur</t>
        </is>
      </c>
      <c r="G482" s="26" t="inlineStr">
        <is>
          <t>Ganassi</t>
        </is>
      </c>
      <c r="H482" s="26" t="inlineStr">
        <is>
          <t>Macaguiling</t>
        </is>
      </c>
      <c r="I482" s="27" t="n">
        <v>17.254696</v>
      </c>
      <c r="J482" s="27" t="n">
        <v>122.22874</v>
      </c>
      <c r="K482" s="10" t="inlineStr">
        <is>
          <t>R</t>
        </is>
      </c>
      <c r="L482" s="12" t="n">
        <v>1045</v>
      </c>
      <c r="M482" s="14" t="n">
        <v>5.7</v>
      </c>
      <c r="N482" s="12">
        <f>ROUND(L482/M482, 0)</f>
        <v/>
      </c>
      <c r="O482" s="12">
        <f>ROUND(N482*'Methodology &amp; Assumptions'!$B$5, 0)</f>
        <v/>
      </c>
      <c r="P482" s="10" t="inlineStr">
        <is>
          <t>Single Carrier (Band n50, 100MHz TDD)</t>
        </is>
      </c>
      <c r="Q482" s="13">
        <f>ROUNDUP(O482/'Methodology &amp; Assumptions'!$B$6, 0)</f>
        <v/>
      </c>
      <c r="R482" s="13" t="n">
        <v>1</v>
      </c>
      <c r="S482" s="14" t="n">
        <v>29.39</v>
      </c>
      <c r="T482" s="14" t="n">
        <v>34.28</v>
      </c>
      <c r="U482" s="26">
        <f>IF(X482&gt;='Methodology &amp; Assumptions'!$B$7, "Tier 1 Critical GIDA (Score ≥ 50.0)", IF(X482&gt;='Methodology &amp; Assumptions'!$B$8, "Tier 2 High GIDA (Score 40.0–49.9)", "Tier 3 Moderate GIDA (Score &lt; 40.0)"))</f>
        <v/>
      </c>
      <c r="V482" s="26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W482" s="28" t="n">
        <v>0.11</v>
      </c>
      <c r="X482" s="14" t="n">
        <v>50.03</v>
      </c>
      <c r="Y482" s="14">
        <f>ROUND(MIN(100, (X482/69.91)*100), 2)</f>
        <v/>
      </c>
    </row>
    <row r="483">
      <c r="A483" s="10" t="n">
        <v>2</v>
      </c>
      <c r="B483" s="10" t="n">
        <v>479</v>
      </c>
      <c r="C483" s="10" t="n">
        <v>1479</v>
      </c>
      <c r="D483" s="10" t="inlineStr">
        <is>
          <t>1906614016</t>
        </is>
      </c>
      <c r="E483" s="26" t="inlineStr">
        <is>
          <t>Bangsamoro Autonomous Region In Muslim Mindanao (BARMM)</t>
        </is>
      </c>
      <c r="F483" s="26" t="inlineStr">
        <is>
          <t>Sulu</t>
        </is>
      </c>
      <c r="G483" s="26" t="inlineStr">
        <is>
          <t>Tapul</t>
        </is>
      </c>
      <c r="H483" s="26" t="inlineStr">
        <is>
          <t>Kamaunggi</t>
        </is>
      </c>
      <c r="I483" s="27" t="n">
        <v>17.255642</v>
      </c>
      <c r="J483" s="27" t="n">
        <v>122.229686</v>
      </c>
      <c r="K483" s="10" t="inlineStr">
        <is>
          <t>R</t>
        </is>
      </c>
      <c r="L483" s="12" t="n">
        <v>2069</v>
      </c>
      <c r="M483" s="14" t="n">
        <v>6</v>
      </c>
      <c r="N483" s="12">
        <f>ROUND(L483/M483, 0)</f>
        <v/>
      </c>
      <c r="O483" s="12">
        <f>ROUND(N483*'Methodology &amp; Assumptions'!$B$5, 0)</f>
        <v/>
      </c>
      <c r="P483" s="10" t="inlineStr">
        <is>
          <t>Single Carrier (Band n50, 100MHz TDD)</t>
        </is>
      </c>
      <c r="Q483" s="13">
        <f>ROUNDUP(O483/'Methodology &amp; Assumptions'!$B$6, 0)</f>
        <v/>
      </c>
      <c r="R483" s="13" t="n">
        <v>1</v>
      </c>
      <c r="S483" s="14" t="n">
        <v>29.54</v>
      </c>
      <c r="T483" s="14" t="n">
        <v>34.4</v>
      </c>
      <c r="U483" s="26">
        <f>IF(X483&gt;='Methodology &amp; Assumptions'!$B$7, "Tier 1 Critical GIDA (Score ≥ 50.0)", IF(X483&gt;='Methodology &amp; Assumptions'!$B$8, "Tier 2 High GIDA (Score 40.0–49.9)", "Tier 3 Moderate GIDA (Score &lt; 40.0)"))</f>
        <v/>
      </c>
      <c r="V483" s="26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W483" s="28" t="n">
        <v>0.11</v>
      </c>
      <c r="X483" s="14" t="n">
        <v>50.03</v>
      </c>
      <c r="Y483" s="14">
        <f>ROUND(MIN(100, (X483/69.91)*100), 2)</f>
        <v/>
      </c>
    </row>
    <row r="484">
      <c r="A484" s="10" t="n">
        <v>2</v>
      </c>
      <c r="B484" s="10" t="n">
        <v>480</v>
      </c>
      <c r="C484" s="10" t="n">
        <v>1480</v>
      </c>
      <c r="D484" s="10" t="inlineStr">
        <is>
          <t>0907312010</t>
        </is>
      </c>
      <c r="E484" s="26" t="inlineStr">
        <is>
          <t>Region IX (Zamboanga Peninsula)</t>
        </is>
      </c>
      <c r="F484" s="26" t="inlineStr">
        <is>
          <t>Zamboanga del Sur</t>
        </is>
      </c>
      <c r="G484" s="26" t="inlineStr">
        <is>
          <t>Labangan</t>
        </is>
      </c>
      <c r="H484" s="26" t="inlineStr">
        <is>
          <t>Dipaya</t>
        </is>
      </c>
      <c r="I484" s="27" t="n">
        <v>7.923191</v>
      </c>
      <c r="J484" s="27" t="n">
        <v>123.433964</v>
      </c>
      <c r="K484" s="10" t="inlineStr">
        <is>
          <t>R</t>
        </is>
      </c>
      <c r="L484" s="12" t="n">
        <v>1191</v>
      </c>
      <c r="M484" s="14" t="n">
        <v>3.9</v>
      </c>
      <c r="N484" s="12">
        <f>ROUND(L484/M484, 0)</f>
        <v/>
      </c>
      <c r="O484" s="12">
        <f>ROUND(N484*'Methodology &amp; Assumptions'!$B$5, 0)</f>
        <v/>
      </c>
      <c r="P484" s="10" t="inlineStr">
        <is>
          <t>Single Carrier (Band n50, 100MHz TDD)</t>
        </is>
      </c>
      <c r="Q484" s="13">
        <f>ROUNDUP(O484/'Methodology &amp; Assumptions'!$B$6, 0)</f>
        <v/>
      </c>
      <c r="R484" s="13" t="n">
        <v>1</v>
      </c>
      <c r="S484" s="14" t="n">
        <v>10.29</v>
      </c>
      <c r="T484" s="14" t="n">
        <v>8.970000000000001</v>
      </c>
      <c r="U484" s="26">
        <f>IF(X484&gt;='Methodology &amp; Assumptions'!$B$7, "Tier 1 Critical GIDA (Score ≥ 50.0)", IF(X484&gt;='Methodology &amp; Assumptions'!$B$8, "Tier 2 High GIDA (Score 40.0–49.9)", "Tier 3 Moderate GIDA (Score &lt; 40.0)"))</f>
        <v/>
      </c>
      <c r="V484" s="26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W484" s="28" t="n">
        <v>0.11</v>
      </c>
      <c r="X484" s="14" t="n">
        <v>50.03</v>
      </c>
      <c r="Y484" s="14">
        <f>ROUND(MIN(100, (X484/69.91)*100), 2)</f>
        <v/>
      </c>
    </row>
    <row r="485">
      <c r="A485" s="10" t="n">
        <v>2</v>
      </c>
      <c r="B485" s="10" t="n">
        <v>481</v>
      </c>
      <c r="C485" s="10" t="n">
        <v>1481</v>
      </c>
      <c r="D485" s="10" t="inlineStr">
        <is>
          <t>1906615012</t>
        </is>
      </c>
      <c r="E485" s="26" t="inlineStr">
        <is>
          <t>Bangsamoro Autonomous Region In Muslim Mindanao (BARMM)</t>
        </is>
      </c>
      <c r="F485" s="26" t="inlineStr">
        <is>
          <t>Sulu</t>
        </is>
      </c>
      <c r="G485" s="26" t="inlineStr">
        <is>
          <t>Tongkil</t>
        </is>
      </c>
      <c r="H485" s="26" t="inlineStr">
        <is>
          <t>Tainga-Bakkao</t>
        </is>
      </c>
      <c r="I485" s="27" t="n">
        <v>17.255657</v>
      </c>
      <c r="J485" s="27" t="n">
        <v>122.229701</v>
      </c>
      <c r="K485" s="10" t="inlineStr">
        <is>
          <t>R</t>
        </is>
      </c>
      <c r="L485" s="12" t="n">
        <v>2763</v>
      </c>
      <c r="M485" s="14" t="n">
        <v>6</v>
      </c>
      <c r="N485" s="12">
        <f>ROUND(L485/M485, 0)</f>
        <v/>
      </c>
      <c r="O485" s="12">
        <f>ROUND(N485*'Methodology &amp; Assumptions'!$B$5, 0)</f>
        <v/>
      </c>
      <c r="P485" s="10" t="inlineStr">
        <is>
          <t>Single Carrier (Band n50, 100MHz TDD)</t>
        </is>
      </c>
      <c r="Q485" s="13">
        <f>ROUNDUP(O485/'Methodology &amp; Assumptions'!$B$6, 0)</f>
        <v/>
      </c>
      <c r="R485" s="13" t="n">
        <v>1</v>
      </c>
      <c r="S485" s="14" t="n">
        <v>29.54</v>
      </c>
      <c r="T485" s="14" t="n">
        <v>34.41</v>
      </c>
      <c r="U485" s="26">
        <f>IF(X485&gt;='Methodology &amp; Assumptions'!$B$7, "Tier 1 Critical GIDA (Score ≥ 50.0)", IF(X485&gt;='Methodology &amp; Assumptions'!$B$8, "Tier 2 High GIDA (Score 40.0–49.9)", "Tier 3 Moderate GIDA (Score &lt; 40.0)"))</f>
        <v/>
      </c>
      <c r="V485" s="26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W485" s="28" t="n">
        <v>0.11</v>
      </c>
      <c r="X485" s="14" t="n">
        <v>50.03</v>
      </c>
      <c r="Y485" s="14">
        <f>ROUND(MIN(100, (X485/69.91)*100), 2)</f>
        <v/>
      </c>
    </row>
    <row r="486">
      <c r="A486" s="10" t="n">
        <v>2</v>
      </c>
      <c r="B486" s="10" t="n">
        <v>482</v>
      </c>
      <c r="C486" s="10" t="n">
        <v>1482</v>
      </c>
      <c r="D486" s="10" t="inlineStr">
        <is>
          <t>1108605007</t>
        </is>
      </c>
      <c r="E486" s="26" t="inlineStr">
        <is>
          <t>Region XI (Davao Region)</t>
        </is>
      </c>
      <c r="F486" s="26" t="inlineStr">
        <is>
          <t>Davao Occidental</t>
        </is>
      </c>
      <c r="G486" s="26" t="inlineStr">
        <is>
          <t>Sarangani</t>
        </is>
      </c>
      <c r="H486" s="26" t="inlineStr">
        <is>
          <t>Tinina</t>
        </is>
      </c>
      <c r="I486" s="27" t="n">
        <v>5.377811</v>
      </c>
      <c r="J486" s="27" t="n">
        <v>125.396373</v>
      </c>
      <c r="K486" s="10" t="inlineStr">
        <is>
          <t>R</t>
        </is>
      </c>
      <c r="L486" s="12" t="n">
        <v>1438</v>
      </c>
      <c r="M486" s="14" t="n">
        <v>3.9</v>
      </c>
      <c r="N486" s="12">
        <f>ROUND(L486/M486, 0)</f>
        <v/>
      </c>
      <c r="O486" s="12">
        <f>ROUND(N486*'Methodology &amp; Assumptions'!$B$5, 0)</f>
        <v/>
      </c>
      <c r="P486" s="10" t="inlineStr">
        <is>
          <t>Single Carrier (Band n50, 100MHz TDD)</t>
        </is>
      </c>
      <c r="Q486" s="13">
        <f>ROUNDUP(O486/'Methodology &amp; Assumptions'!$B$6, 0)</f>
        <v/>
      </c>
      <c r="R486" s="13" t="n">
        <v>1</v>
      </c>
      <c r="S486" s="14" t="n">
        <v>81.91</v>
      </c>
      <c r="T486" s="14" t="n">
        <v>85.62</v>
      </c>
      <c r="U486" s="26">
        <f>IF(X486&gt;='Methodology &amp; Assumptions'!$B$7, "Tier 1 Critical GIDA (Score ≥ 50.0)", IF(X486&gt;='Methodology &amp; Assumptions'!$B$8, "Tier 2 High GIDA (Score 40.0–49.9)", "Tier 3 Moderate GIDA (Score &lt; 40.0)"))</f>
        <v/>
      </c>
      <c r="V486" s="26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W486" s="28" t="n">
        <v>0.174</v>
      </c>
      <c r="X486" s="14" t="n">
        <v>50.03</v>
      </c>
      <c r="Y486" s="14">
        <f>ROUND(MIN(100, (X486/69.91)*100), 2)</f>
        <v/>
      </c>
    </row>
    <row r="487">
      <c r="A487" s="10" t="n">
        <v>2</v>
      </c>
      <c r="B487" s="10" t="n">
        <v>483</v>
      </c>
      <c r="C487" s="10" t="n">
        <v>1483</v>
      </c>
      <c r="D487" s="10" t="inlineStr">
        <is>
          <t>1903614033</t>
        </is>
      </c>
      <c r="E487" s="26" t="inlineStr">
        <is>
          <t>Bangsamoro Autonomous Region In Muslim Mindanao (BARMM)</t>
        </is>
      </c>
      <c r="F487" s="26" t="inlineStr">
        <is>
          <t>Lanao del Sur</t>
        </is>
      </c>
      <c r="G487" s="26" t="inlineStr">
        <is>
          <t>Madamba</t>
        </is>
      </c>
      <c r="H487" s="26" t="inlineStr">
        <is>
          <t>Pagayonan</t>
        </is>
      </c>
      <c r="I487" s="27" t="n">
        <v>17.254626</v>
      </c>
      <c r="J487" s="27" t="n">
        <v>122.22867</v>
      </c>
      <c r="K487" s="10" t="inlineStr">
        <is>
          <t>R</t>
        </is>
      </c>
      <c r="L487" s="12" t="n">
        <v>1084</v>
      </c>
      <c r="M487" s="14" t="n">
        <v>5.7</v>
      </c>
      <c r="N487" s="12">
        <f>ROUND(L487/M487, 0)</f>
        <v/>
      </c>
      <c r="O487" s="12">
        <f>ROUND(N487*'Methodology &amp; Assumptions'!$B$5, 0)</f>
        <v/>
      </c>
      <c r="P487" s="10" t="inlineStr">
        <is>
          <t>Single Carrier (Band n50, 100MHz TDD)</t>
        </is>
      </c>
      <c r="Q487" s="13">
        <f>ROUNDUP(O487/'Methodology &amp; Assumptions'!$B$6, 0)</f>
        <v/>
      </c>
      <c r="R487" s="13" t="n">
        <v>1</v>
      </c>
      <c r="S487" s="14" t="n">
        <v>29.38</v>
      </c>
      <c r="T487" s="14" t="n">
        <v>34.27</v>
      </c>
      <c r="U487" s="26">
        <f>IF(X487&gt;='Methodology &amp; Assumptions'!$B$7, "Tier 1 Critical GIDA (Score ≥ 50.0)", IF(X487&gt;='Methodology &amp; Assumptions'!$B$8, "Tier 2 High GIDA (Score 40.0–49.9)", "Tier 3 Moderate GIDA (Score &lt; 40.0)"))</f>
        <v/>
      </c>
      <c r="V487" s="26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W487" s="28" t="n">
        <v>0.11</v>
      </c>
      <c r="X487" s="14" t="n">
        <v>50.03</v>
      </c>
      <c r="Y487" s="14">
        <f>ROUND(MIN(100, (X487/69.91)*100), 2)</f>
        <v/>
      </c>
    </row>
    <row r="488">
      <c r="A488" s="10" t="n">
        <v>2</v>
      </c>
      <c r="B488" s="10" t="n">
        <v>484</v>
      </c>
      <c r="C488" s="10" t="n">
        <v>1484</v>
      </c>
      <c r="D488" s="10" t="inlineStr">
        <is>
          <t>1906617016</t>
        </is>
      </c>
      <c r="E488" s="26" t="inlineStr">
        <is>
          <t>Bangsamoro Autonomous Region In Muslim Mindanao (BARMM)</t>
        </is>
      </c>
      <c r="F488" s="26" t="inlineStr">
        <is>
          <t>Sulu</t>
        </is>
      </c>
      <c r="G488" s="26" t="inlineStr">
        <is>
          <t>Lugus</t>
        </is>
      </c>
      <c r="H488" s="26" t="inlineStr">
        <is>
          <t>Sibul</t>
        </is>
      </c>
      <c r="I488" s="27" t="n">
        <v>17.255499</v>
      </c>
      <c r="J488" s="27" t="n">
        <v>122.229543</v>
      </c>
      <c r="K488" s="10" t="inlineStr">
        <is>
          <t>R</t>
        </is>
      </c>
      <c r="L488" s="12" t="n">
        <v>1563</v>
      </c>
      <c r="M488" s="14" t="n">
        <v>6</v>
      </c>
      <c r="N488" s="12">
        <f>ROUND(L488/M488, 0)</f>
        <v/>
      </c>
      <c r="O488" s="12">
        <f>ROUND(N488*'Methodology &amp; Assumptions'!$B$5, 0)</f>
        <v/>
      </c>
      <c r="P488" s="10" t="inlineStr">
        <is>
          <t>Single Carrier (Band n50, 100MHz TDD)</t>
        </is>
      </c>
      <c r="Q488" s="13">
        <f>ROUNDUP(O488/'Methodology &amp; Assumptions'!$B$6, 0)</f>
        <v/>
      </c>
      <c r="R488" s="13" t="n">
        <v>1</v>
      </c>
      <c r="S488" s="14" t="n">
        <v>29.52</v>
      </c>
      <c r="T488" s="14" t="n">
        <v>34.39</v>
      </c>
      <c r="U488" s="26">
        <f>IF(X488&gt;='Methodology &amp; Assumptions'!$B$7, "Tier 1 Critical GIDA (Score ≥ 50.0)", IF(X488&gt;='Methodology &amp; Assumptions'!$B$8, "Tier 2 High GIDA (Score 40.0–49.9)", "Tier 3 Moderate GIDA (Score &lt; 40.0)"))</f>
        <v/>
      </c>
      <c r="V488" s="26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W488" s="28" t="n">
        <v>0.11</v>
      </c>
      <c r="X488" s="14" t="n">
        <v>50.03</v>
      </c>
      <c r="Y488" s="14">
        <f>ROUND(MIN(100, (X488/69.91)*100), 2)</f>
        <v/>
      </c>
    </row>
    <row r="489">
      <c r="A489" s="10" t="n">
        <v>2</v>
      </c>
      <c r="B489" s="10" t="n">
        <v>485</v>
      </c>
      <c r="C489" s="10" t="n">
        <v>1485</v>
      </c>
      <c r="D489" s="10" t="inlineStr">
        <is>
          <t>1208007022</t>
        </is>
      </c>
      <c r="E489" s="26" t="inlineStr">
        <is>
          <t>Region XII (SOCCSKSARGEN)</t>
        </is>
      </c>
      <c r="F489" s="26" t="inlineStr">
        <is>
          <t>Sarangani</t>
        </is>
      </c>
      <c r="G489" s="26" t="inlineStr">
        <is>
          <t>Malungon</t>
        </is>
      </c>
      <c r="H489" s="26" t="inlineStr">
        <is>
          <t>Panamin</t>
        </is>
      </c>
      <c r="I489" s="27" t="n">
        <v>6.374461</v>
      </c>
      <c r="J489" s="27" t="n">
        <v>125.379188</v>
      </c>
      <c r="K489" s="10" t="inlineStr">
        <is>
          <t>R</t>
        </is>
      </c>
      <c r="L489" s="12" t="n">
        <v>1683</v>
      </c>
      <c r="M489" s="14" t="n">
        <v>3.9</v>
      </c>
      <c r="N489" s="12">
        <f>ROUND(L489/M489, 0)</f>
        <v/>
      </c>
      <c r="O489" s="12">
        <f>ROUND(N489*'Methodology &amp; Assumptions'!$B$5, 0)</f>
        <v/>
      </c>
      <c r="P489" s="10" t="inlineStr">
        <is>
          <t>Single Carrier (Band n50, 100MHz TDD)</t>
        </is>
      </c>
      <c r="Q489" s="13">
        <f>ROUNDUP(O489/'Methodology &amp; Assumptions'!$B$6, 0)</f>
        <v/>
      </c>
      <c r="R489" s="13" t="n">
        <v>1</v>
      </c>
      <c r="S489" s="14" t="n">
        <v>12.71</v>
      </c>
      <c r="T489" s="14" t="n">
        <v>9.74</v>
      </c>
      <c r="U489" s="26">
        <f>IF(X489&gt;='Methodology &amp; Assumptions'!$B$7, "Tier 1 Critical GIDA (Score ≥ 50.0)", IF(X489&gt;='Methodology &amp; Assumptions'!$B$8, "Tier 2 High GIDA (Score 40.0–49.9)", "Tier 3 Moderate GIDA (Score &lt; 40.0)"))</f>
        <v/>
      </c>
      <c r="V489" s="26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W489" s="28" t="n">
        <v>0.174</v>
      </c>
      <c r="X489" s="14" t="n">
        <v>50.03</v>
      </c>
      <c r="Y489" s="14">
        <f>ROUND(MIN(100, (X489/69.91)*100), 2)</f>
        <v/>
      </c>
    </row>
    <row r="490">
      <c r="A490" s="10" t="n">
        <v>2</v>
      </c>
      <c r="B490" s="10" t="n">
        <v>486</v>
      </c>
      <c r="C490" s="10" t="n">
        <v>1486</v>
      </c>
      <c r="D490" s="10" t="inlineStr">
        <is>
          <t>1908816006</t>
        </is>
      </c>
      <c r="E490" s="26" t="inlineStr">
        <is>
          <t>Bangsamoro Autonomous Region In Muslim Mindanao (BARMM)</t>
        </is>
      </c>
      <c r="F490" s="26" t="inlineStr">
        <is>
          <t>Maguindanao del Sur</t>
        </is>
      </c>
      <c r="G490" s="26" t="inlineStr">
        <is>
          <t>Pagalungan</t>
        </is>
      </c>
      <c r="H490" s="26" t="inlineStr">
        <is>
          <t>Inug-ug</t>
        </is>
      </c>
      <c r="I490" s="27" t="n">
        <v>17.254995</v>
      </c>
      <c r="J490" s="27" t="n">
        <v>122.229039</v>
      </c>
      <c r="K490" s="10" t="inlineStr">
        <is>
          <t>R</t>
        </is>
      </c>
      <c r="L490" s="12" t="n">
        <v>2498</v>
      </c>
      <c r="M490" s="14" t="n">
        <v>4.7</v>
      </c>
      <c r="N490" s="12">
        <f>ROUND(L490/M490, 0)</f>
        <v/>
      </c>
      <c r="O490" s="12">
        <f>ROUND(N490*'Methodology &amp; Assumptions'!$B$5, 0)</f>
        <v/>
      </c>
      <c r="P490" s="10" t="inlineStr">
        <is>
          <t>Single Carrier (Band n50, 100MHz TDD)</t>
        </is>
      </c>
      <c r="Q490" s="13">
        <f>ROUNDUP(O490/'Methodology &amp; Assumptions'!$B$6, 0)</f>
        <v/>
      </c>
      <c r="R490" s="13" t="n">
        <v>1</v>
      </c>
      <c r="S490" s="14" t="n">
        <v>29.44</v>
      </c>
      <c r="T490" s="14" t="n">
        <v>34.32</v>
      </c>
      <c r="U490" s="26">
        <f>IF(X490&gt;='Methodology &amp; Assumptions'!$B$7, "Tier 1 Critical GIDA (Score ≥ 50.0)", IF(X490&gt;='Methodology &amp; Assumptions'!$B$8, "Tier 2 High GIDA (Score 40.0–49.9)", "Tier 3 Moderate GIDA (Score &lt; 40.0)"))</f>
        <v/>
      </c>
      <c r="V490" s="26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W490" s="28" t="n">
        <v>0.11</v>
      </c>
      <c r="X490" s="14" t="n">
        <v>50.03</v>
      </c>
      <c r="Y490" s="14">
        <f>ROUND(MIN(100, (X490/69.91)*100), 2)</f>
        <v/>
      </c>
    </row>
    <row r="491">
      <c r="A491" s="10" t="n">
        <v>2</v>
      </c>
      <c r="B491" s="10" t="n">
        <v>487</v>
      </c>
      <c r="C491" s="10" t="n">
        <v>1487</v>
      </c>
      <c r="D491" s="10" t="inlineStr">
        <is>
          <t>1906613011</t>
        </is>
      </c>
      <c r="E491" s="26" t="inlineStr">
        <is>
          <t>Bangsamoro Autonomous Region In Muslim Mindanao (BARMM)</t>
        </is>
      </c>
      <c r="F491" s="26" t="inlineStr">
        <is>
          <t>Sulu</t>
        </is>
      </c>
      <c r="G491" s="26" t="inlineStr">
        <is>
          <t>Talipao</t>
        </is>
      </c>
      <c r="H491" s="26" t="inlineStr">
        <is>
          <t>Gata</t>
        </is>
      </c>
      <c r="I491" s="27" t="n">
        <v>17.255429</v>
      </c>
      <c r="J491" s="27" t="n">
        <v>122.229473</v>
      </c>
      <c r="K491" s="10" t="inlineStr">
        <is>
          <t>R</t>
        </is>
      </c>
      <c r="L491" s="12" t="n">
        <v>2104</v>
      </c>
      <c r="M491" s="14" t="n">
        <v>6</v>
      </c>
      <c r="N491" s="12">
        <f>ROUND(L491/M491, 0)</f>
        <v/>
      </c>
      <c r="O491" s="12">
        <f>ROUND(N491*'Methodology &amp; Assumptions'!$B$5, 0)</f>
        <v/>
      </c>
      <c r="P491" s="10" t="inlineStr">
        <is>
          <t>Single Carrier (Band n50, 100MHz TDD)</t>
        </is>
      </c>
      <c r="Q491" s="13">
        <f>ROUNDUP(O491/'Methodology &amp; Assumptions'!$B$6, 0)</f>
        <v/>
      </c>
      <c r="R491" s="13" t="n">
        <v>1</v>
      </c>
      <c r="S491" s="14" t="n">
        <v>29.5</v>
      </c>
      <c r="T491" s="14" t="n">
        <v>34.38</v>
      </c>
      <c r="U491" s="26">
        <f>IF(X491&gt;='Methodology &amp; Assumptions'!$B$7, "Tier 1 Critical GIDA (Score ≥ 50.0)", IF(X491&gt;='Methodology &amp; Assumptions'!$B$8, "Tier 2 High GIDA (Score 40.0–49.9)", "Tier 3 Moderate GIDA (Score &lt; 40.0)"))</f>
        <v/>
      </c>
      <c r="V491" s="26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W491" s="28" t="n">
        <v>0.11</v>
      </c>
      <c r="X491" s="14" t="n">
        <v>50.03</v>
      </c>
      <c r="Y491" s="14">
        <f>ROUND(MIN(100, (X491/69.91)*100), 2)</f>
        <v/>
      </c>
    </row>
    <row r="492">
      <c r="A492" s="10" t="n">
        <v>2</v>
      </c>
      <c r="B492" s="10" t="n">
        <v>488</v>
      </c>
      <c r="C492" s="10" t="n">
        <v>1488</v>
      </c>
      <c r="D492" s="10" t="inlineStr">
        <is>
          <t>1903611054</t>
        </is>
      </c>
      <c r="E492" s="26" t="inlineStr">
        <is>
          <t>Bangsamoro Autonomous Region In Muslim Mindanao (BARMM)</t>
        </is>
      </c>
      <c r="F492" s="26" t="inlineStr">
        <is>
          <t>Lanao del Sur</t>
        </is>
      </c>
      <c r="G492" s="26" t="inlineStr">
        <is>
          <t>Lumba-Bayabao</t>
        </is>
      </c>
      <c r="H492" s="26" t="inlineStr">
        <is>
          <t>Lobo Basara</t>
        </is>
      </c>
      <c r="I492" s="27" t="n">
        <v>17.254169</v>
      </c>
      <c r="J492" s="27" t="n">
        <v>122.228213</v>
      </c>
      <c r="K492" s="10" t="inlineStr">
        <is>
          <t>R</t>
        </is>
      </c>
      <c r="L492" s="12" t="n">
        <v>1279</v>
      </c>
      <c r="M492" s="14" t="n">
        <v>5.7</v>
      </c>
      <c r="N492" s="12">
        <f>ROUND(L492/M492, 0)</f>
        <v/>
      </c>
      <c r="O492" s="12">
        <f>ROUND(N492*'Methodology &amp; Assumptions'!$B$5, 0)</f>
        <v/>
      </c>
      <c r="P492" s="10" t="inlineStr">
        <is>
          <t>Single Carrier (Band n50, 100MHz TDD)</t>
        </is>
      </c>
      <c r="Q492" s="13">
        <f>ROUNDUP(O492/'Methodology &amp; Assumptions'!$B$6, 0)</f>
        <v/>
      </c>
      <c r="R492" s="13" t="n">
        <v>1</v>
      </c>
      <c r="S492" s="14" t="n">
        <v>29.31</v>
      </c>
      <c r="T492" s="14" t="n">
        <v>34.21</v>
      </c>
      <c r="U492" s="26">
        <f>IF(X492&gt;='Methodology &amp; Assumptions'!$B$7, "Tier 1 Critical GIDA (Score ≥ 50.0)", IF(X492&gt;='Methodology &amp; Assumptions'!$B$8, "Tier 2 High GIDA (Score 40.0–49.9)", "Tier 3 Moderate GIDA (Score &lt; 40.0)"))</f>
        <v/>
      </c>
      <c r="V492" s="26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W492" s="28" t="n">
        <v>0.11</v>
      </c>
      <c r="X492" s="14" t="n">
        <v>50.03</v>
      </c>
      <c r="Y492" s="14">
        <f>ROUND(MIN(100, (X492/69.91)*100), 2)</f>
        <v/>
      </c>
    </row>
    <row r="493">
      <c r="A493" s="10" t="n">
        <v>2</v>
      </c>
      <c r="B493" s="10" t="n">
        <v>489</v>
      </c>
      <c r="C493" s="10" t="n">
        <v>1489</v>
      </c>
      <c r="D493" s="10" t="inlineStr">
        <is>
          <t>1003511013</t>
        </is>
      </c>
      <c r="E493" s="26" t="inlineStr">
        <is>
          <t>Region X (Northern Mindanao)</t>
        </is>
      </c>
      <c r="F493" s="26" t="inlineStr">
        <is>
          <t>Lanao del Norte</t>
        </is>
      </c>
      <c r="G493" s="26" t="inlineStr">
        <is>
          <t>Magsaysay</t>
        </is>
      </c>
      <c r="H493" s="26" t="inlineStr">
        <is>
          <t>Pangao</t>
        </is>
      </c>
      <c r="I493" s="27" t="n">
        <v>8.011976000000001</v>
      </c>
      <c r="J493" s="27" t="n">
        <v>123.908892</v>
      </c>
      <c r="K493" s="10" t="inlineStr">
        <is>
          <t>R</t>
        </is>
      </c>
      <c r="L493" s="12" t="n">
        <v>1060</v>
      </c>
      <c r="M493" s="14" t="n">
        <v>4.2</v>
      </c>
      <c r="N493" s="12">
        <f>ROUND(L493/M493, 0)</f>
        <v/>
      </c>
      <c r="O493" s="12">
        <f>ROUND(N493*'Methodology &amp; Assumptions'!$B$5, 0)</f>
        <v/>
      </c>
      <c r="P493" s="10" t="inlineStr">
        <is>
          <t>Single Carrier (Band n50, 100MHz TDD)</t>
        </is>
      </c>
      <c r="Q493" s="13">
        <f>ROUNDUP(O493/'Methodology &amp; Assumptions'!$B$6, 0)</f>
        <v/>
      </c>
      <c r="R493" s="13" t="n">
        <v>1</v>
      </c>
      <c r="S493" s="14" t="n">
        <v>12.56</v>
      </c>
      <c r="T493" s="14" t="n">
        <v>10.64</v>
      </c>
      <c r="U493" s="26">
        <f>IF(X493&gt;='Methodology &amp; Assumptions'!$B$7, "Tier 1 Critical GIDA (Score ≥ 50.0)", IF(X493&gt;='Methodology &amp; Assumptions'!$B$8, "Tier 2 High GIDA (Score 40.0–49.9)", "Tier 3 Moderate GIDA (Score &lt; 40.0)"))</f>
        <v/>
      </c>
      <c r="V493" s="26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W493" s="28" t="n">
        <v>0.174</v>
      </c>
      <c r="X493" s="14" t="n">
        <v>50.03</v>
      </c>
      <c r="Y493" s="14">
        <f>ROUND(MIN(100, (X493/69.91)*100), 2)</f>
        <v/>
      </c>
    </row>
    <row r="494">
      <c r="A494" s="10" t="n">
        <v>2</v>
      </c>
      <c r="B494" s="10" t="n">
        <v>490</v>
      </c>
      <c r="C494" s="10" t="n">
        <v>1490</v>
      </c>
      <c r="D494" s="10" t="inlineStr">
        <is>
          <t>1906613007</t>
        </is>
      </c>
      <c r="E494" s="26" t="inlineStr">
        <is>
          <t>Bangsamoro Autonomous Region In Muslim Mindanao (BARMM)</t>
        </is>
      </c>
      <c r="F494" s="26" t="inlineStr">
        <is>
          <t>Sulu</t>
        </is>
      </c>
      <c r="G494" s="26" t="inlineStr">
        <is>
          <t>Talipao</t>
        </is>
      </c>
      <c r="H494" s="26" t="inlineStr">
        <is>
          <t>Bud Bunga</t>
        </is>
      </c>
      <c r="I494" s="27" t="n">
        <v>17.25546</v>
      </c>
      <c r="J494" s="27" t="n">
        <v>122.229504</v>
      </c>
      <c r="K494" s="10" t="inlineStr">
        <is>
          <t>R</t>
        </is>
      </c>
      <c r="L494" s="12" t="n">
        <v>2238</v>
      </c>
      <c r="M494" s="14" t="n">
        <v>6</v>
      </c>
      <c r="N494" s="12">
        <f>ROUND(L494/M494, 0)</f>
        <v/>
      </c>
      <c r="O494" s="12">
        <f>ROUND(N494*'Methodology &amp; Assumptions'!$B$5, 0)</f>
        <v/>
      </c>
      <c r="P494" s="10" t="inlineStr">
        <is>
          <t>Single Carrier (Band n50, 100MHz TDD)</t>
        </is>
      </c>
      <c r="Q494" s="13">
        <f>ROUNDUP(O494/'Methodology &amp; Assumptions'!$B$6, 0)</f>
        <v/>
      </c>
      <c r="R494" s="13" t="n">
        <v>1</v>
      </c>
      <c r="S494" s="14" t="n">
        <v>29.51</v>
      </c>
      <c r="T494" s="14" t="n">
        <v>34.38</v>
      </c>
      <c r="U494" s="26">
        <f>IF(X494&gt;='Methodology &amp; Assumptions'!$B$7, "Tier 1 Critical GIDA (Score ≥ 50.0)", IF(X494&gt;='Methodology &amp; Assumptions'!$B$8, "Tier 2 High GIDA (Score 40.0–49.9)", "Tier 3 Moderate GIDA (Score &lt; 40.0)"))</f>
        <v/>
      </c>
      <c r="V494" s="26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W494" s="28" t="n">
        <v>0.11</v>
      </c>
      <c r="X494" s="14" t="n">
        <v>50.03</v>
      </c>
      <c r="Y494" s="14">
        <f>ROUND(MIN(100, (X494/69.91)*100), 2)</f>
        <v/>
      </c>
    </row>
    <row r="495">
      <c r="A495" s="10" t="n">
        <v>2</v>
      </c>
      <c r="B495" s="10" t="n">
        <v>491</v>
      </c>
      <c r="C495" s="10" t="n">
        <v>1491</v>
      </c>
      <c r="D495" s="10" t="inlineStr">
        <is>
          <t>1380601170</t>
        </is>
      </c>
      <c r="E495" s="26" t="inlineStr">
        <is>
          <t>National Capital Region (NCR)</t>
        </is>
      </c>
      <c r="F495" s="26" t="inlineStr">
        <is>
          <t>First District (Not a Province)</t>
        </is>
      </c>
      <c r="G495" s="26" t="inlineStr">
        <is>
          <t>City of Manila</t>
        </is>
      </c>
      <c r="H495" s="26" t="inlineStr">
        <is>
          <t>Barangay 170</t>
        </is>
      </c>
      <c r="I495" s="27" t="n">
        <v>13.12126</v>
      </c>
      <c r="J495" s="27" t="n">
        <v>121.630936</v>
      </c>
      <c r="K495" s="10" t="inlineStr">
        <is>
          <t>U</t>
        </is>
      </c>
      <c r="L495" s="12" t="n">
        <v>1420</v>
      </c>
      <c r="M495" s="14" t="n">
        <v>3.9</v>
      </c>
      <c r="N495" s="12">
        <f>ROUND(L495/M495, 0)</f>
        <v/>
      </c>
      <c r="O495" s="12">
        <f>ROUND(N495*'Methodology &amp; Assumptions'!$B$5, 0)</f>
        <v/>
      </c>
      <c r="P495" s="10" t="inlineStr">
        <is>
          <t>Single Carrier (Band n50, 100MHz TDD)</t>
        </is>
      </c>
      <c r="Q495" s="13">
        <f>ROUNDUP(O495/'Methodology &amp; Assumptions'!$B$6, 0)</f>
        <v/>
      </c>
      <c r="R495" s="13" t="n">
        <v>1</v>
      </c>
      <c r="S495" s="14" t="n">
        <v>14.87</v>
      </c>
      <c r="T495" s="14" t="n">
        <v>18.77</v>
      </c>
      <c r="U495" s="26">
        <f>IF(X495&gt;='Methodology &amp; Assumptions'!$B$7, "Tier 1 Critical GIDA (Score ≥ 50.0)", IF(X495&gt;='Methodology &amp; Assumptions'!$B$8, "Tier 2 High GIDA (Score 40.0–49.9)", "Tier 3 Moderate GIDA (Score &lt; 40.0)"))</f>
        <v/>
      </c>
      <c r="V495" s="26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W495" s="28" t="n">
        <v>0.109</v>
      </c>
      <c r="X495" s="14" t="n">
        <v>50.03</v>
      </c>
      <c r="Y495" s="14">
        <f>ROUND(MIN(100, (X495/69.91)*100), 2)</f>
        <v/>
      </c>
    </row>
    <row r="496">
      <c r="A496" s="10" t="n">
        <v>2</v>
      </c>
      <c r="B496" s="10" t="n">
        <v>492</v>
      </c>
      <c r="C496" s="10" t="n">
        <v>1492</v>
      </c>
      <c r="D496" s="10" t="inlineStr">
        <is>
          <t>1908708005</t>
        </is>
      </c>
      <c r="E496" s="26" t="inlineStr">
        <is>
          <t>Bangsamoro Autonomous Region In Muslim Mindanao (BARMM)</t>
        </is>
      </c>
      <c r="F496" s="26" t="inlineStr">
        <is>
          <t>Maguindanao del Norte</t>
        </is>
      </c>
      <c r="G496" s="26" t="inlineStr">
        <is>
          <t>Northern Kabuntalan</t>
        </is>
      </c>
      <c r="H496" s="26" t="inlineStr">
        <is>
          <t>Indatuan</t>
        </is>
      </c>
      <c r="I496" s="27" t="n">
        <v>17.245092</v>
      </c>
      <c r="J496" s="27" t="n">
        <v>122.226361</v>
      </c>
      <c r="K496" s="10" t="inlineStr">
        <is>
          <t>R</t>
        </is>
      </c>
      <c r="L496" s="12" t="n">
        <v>4501</v>
      </c>
      <c r="M496" s="14" t="n">
        <v>4.3</v>
      </c>
      <c r="N496" s="12">
        <f>ROUND(L496/M496, 0)</f>
        <v/>
      </c>
      <c r="O496" s="12">
        <f>ROUND(N496*'Methodology &amp; Assumptions'!$B$5, 0)</f>
        <v/>
      </c>
      <c r="P496" s="10" t="inlineStr">
        <is>
          <t>Single Carrier (Band n50, 100MHz TDD)</t>
        </is>
      </c>
      <c r="Q496" s="13">
        <f>ROUNDUP(O496/'Methodology &amp; Assumptions'!$B$6, 0)</f>
        <v/>
      </c>
      <c r="R496" s="13" t="n">
        <v>1</v>
      </c>
      <c r="S496" s="14" t="n">
        <v>28.52</v>
      </c>
      <c r="T496" s="14" t="n">
        <v>33.74</v>
      </c>
      <c r="U496" s="26">
        <f>IF(X496&gt;='Methodology &amp; Assumptions'!$B$7, "Tier 1 Critical GIDA (Score ≥ 50.0)", IF(X496&gt;='Methodology &amp; Assumptions'!$B$8, "Tier 2 High GIDA (Score 40.0–49.9)", "Tier 3 Moderate GIDA (Score &lt; 40.0)"))</f>
        <v/>
      </c>
      <c r="V496" s="26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W496" s="28" t="n">
        <v>0.11</v>
      </c>
      <c r="X496" s="14" t="n">
        <v>50.03</v>
      </c>
      <c r="Y496" s="14">
        <f>ROUND(MIN(100, (X496/69.91)*100), 2)</f>
        <v/>
      </c>
    </row>
    <row r="497">
      <c r="A497" s="10" t="n">
        <v>2</v>
      </c>
      <c r="B497" s="10" t="n">
        <v>493</v>
      </c>
      <c r="C497" s="10" t="n">
        <v>1493</v>
      </c>
      <c r="D497" s="10" t="inlineStr">
        <is>
          <t>1906610014</t>
        </is>
      </c>
      <c r="E497" s="26" t="inlineStr">
        <is>
          <t>Bangsamoro Autonomous Region In Muslim Mindanao (BARMM)</t>
        </is>
      </c>
      <c r="F497" s="26" t="inlineStr">
        <is>
          <t>Sulu</t>
        </is>
      </c>
      <c r="G497" s="26" t="inlineStr">
        <is>
          <t>Pata</t>
        </is>
      </c>
      <c r="H497" s="26" t="inlineStr">
        <is>
          <t>Sangkap</t>
        </is>
      </c>
      <c r="I497" s="27" t="n">
        <v>17.255552</v>
      </c>
      <c r="J497" s="27" t="n">
        <v>122.229596</v>
      </c>
      <c r="K497" s="10" t="inlineStr">
        <is>
          <t>R</t>
        </is>
      </c>
      <c r="L497" s="12" t="n">
        <v>2444</v>
      </c>
      <c r="M497" s="14" t="n">
        <v>6</v>
      </c>
      <c r="N497" s="12">
        <f>ROUND(L497/M497, 0)</f>
        <v/>
      </c>
      <c r="O497" s="12">
        <f>ROUND(N497*'Methodology &amp; Assumptions'!$B$5, 0)</f>
        <v/>
      </c>
      <c r="P497" s="10" t="inlineStr">
        <is>
          <t>Single Carrier (Band n50, 100MHz TDD)</t>
        </is>
      </c>
      <c r="Q497" s="13">
        <f>ROUNDUP(O497/'Methodology &amp; Assumptions'!$B$6, 0)</f>
        <v/>
      </c>
      <c r="R497" s="13" t="n">
        <v>1</v>
      </c>
      <c r="S497" s="14" t="n">
        <v>29.52</v>
      </c>
      <c r="T497" s="14" t="n">
        <v>34.39</v>
      </c>
      <c r="U497" s="26">
        <f>IF(X497&gt;='Methodology &amp; Assumptions'!$B$7, "Tier 1 Critical GIDA (Score ≥ 50.0)", IF(X497&gt;='Methodology &amp; Assumptions'!$B$8, "Tier 2 High GIDA (Score 40.0–49.9)", "Tier 3 Moderate GIDA (Score &lt; 40.0)"))</f>
        <v/>
      </c>
      <c r="V497" s="26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W497" s="28" t="n">
        <v>0.11</v>
      </c>
      <c r="X497" s="14" t="n">
        <v>50.03</v>
      </c>
      <c r="Y497" s="14">
        <f>ROUND(MIN(100, (X497/69.91)*100), 2)</f>
        <v/>
      </c>
    </row>
    <row r="498">
      <c r="A498" s="10" t="n">
        <v>2</v>
      </c>
      <c r="B498" s="10" t="n">
        <v>494</v>
      </c>
      <c r="C498" s="10" t="n">
        <v>1494</v>
      </c>
      <c r="D498" s="10" t="inlineStr">
        <is>
          <t>1906610015</t>
        </is>
      </c>
      <c r="E498" s="26" t="inlineStr">
        <is>
          <t>Bangsamoro Autonomous Region In Muslim Mindanao (BARMM)</t>
        </is>
      </c>
      <c r="F498" s="26" t="inlineStr">
        <is>
          <t>Sulu</t>
        </is>
      </c>
      <c r="G498" s="26" t="inlineStr">
        <is>
          <t>Pata</t>
        </is>
      </c>
      <c r="H498" s="26" t="inlineStr">
        <is>
          <t>Timuddas</t>
        </is>
      </c>
      <c r="I498" s="27" t="n">
        <v>17.255553</v>
      </c>
      <c r="J498" s="27" t="n">
        <v>122.229597</v>
      </c>
      <c r="K498" s="10" t="inlineStr">
        <is>
          <t>R</t>
        </is>
      </c>
      <c r="L498" s="12" t="n">
        <v>2397</v>
      </c>
      <c r="M498" s="14" t="n">
        <v>6</v>
      </c>
      <c r="N498" s="12">
        <f>ROUND(L498/M498, 0)</f>
        <v/>
      </c>
      <c r="O498" s="12">
        <f>ROUND(N498*'Methodology &amp; Assumptions'!$B$5, 0)</f>
        <v/>
      </c>
      <c r="P498" s="10" t="inlineStr">
        <is>
          <t>Single Carrier (Band n50, 100MHz TDD)</t>
        </is>
      </c>
      <c r="Q498" s="13">
        <f>ROUNDUP(O498/'Methodology &amp; Assumptions'!$B$6, 0)</f>
        <v/>
      </c>
      <c r="R498" s="13" t="n">
        <v>1</v>
      </c>
      <c r="S498" s="14" t="n">
        <v>29.52</v>
      </c>
      <c r="T498" s="14" t="n">
        <v>34.39</v>
      </c>
      <c r="U498" s="26">
        <f>IF(X498&gt;='Methodology &amp; Assumptions'!$B$7, "Tier 1 Critical GIDA (Score ≥ 50.0)", IF(X498&gt;='Methodology &amp; Assumptions'!$B$8, "Tier 2 High GIDA (Score 40.0–49.9)", "Tier 3 Moderate GIDA (Score &lt; 40.0)"))</f>
        <v/>
      </c>
      <c r="V498" s="26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W498" s="28" t="n">
        <v>0.11</v>
      </c>
      <c r="X498" s="14" t="n">
        <v>50.03</v>
      </c>
      <c r="Y498" s="14">
        <f>ROUND(MIN(100, (X498/69.91)*100), 2)</f>
        <v/>
      </c>
    </row>
    <row r="499">
      <c r="A499" s="10" t="n">
        <v>2</v>
      </c>
      <c r="B499" s="10" t="n">
        <v>495</v>
      </c>
      <c r="C499" s="10" t="n">
        <v>1495</v>
      </c>
      <c r="D499" s="10" t="inlineStr">
        <is>
          <t>1906612011</t>
        </is>
      </c>
      <c r="E499" s="26" t="inlineStr">
        <is>
          <t>Bangsamoro Autonomous Region In Muslim Mindanao (BARMM)</t>
        </is>
      </c>
      <c r="F499" s="26" t="inlineStr">
        <is>
          <t>Sulu</t>
        </is>
      </c>
      <c r="G499" s="26" t="inlineStr">
        <is>
          <t>Siasi</t>
        </is>
      </c>
      <c r="H499" s="26" t="inlineStr">
        <is>
          <t>Duhol Tara</t>
        </is>
      </c>
      <c r="I499" s="27" t="n">
        <v>17.255602</v>
      </c>
      <c r="J499" s="27" t="n">
        <v>122.229646</v>
      </c>
      <c r="K499" s="10" t="inlineStr">
        <is>
          <t>R</t>
        </is>
      </c>
      <c r="L499" s="12" t="n">
        <v>1323</v>
      </c>
      <c r="M499" s="14" t="n">
        <v>6</v>
      </c>
      <c r="N499" s="12">
        <f>ROUND(L499/M499, 0)</f>
        <v/>
      </c>
      <c r="O499" s="12">
        <f>ROUND(N499*'Methodology &amp; Assumptions'!$B$5, 0)</f>
        <v/>
      </c>
      <c r="P499" s="10" t="inlineStr">
        <is>
          <t>Single Carrier (Band n50, 100MHz TDD)</t>
        </is>
      </c>
      <c r="Q499" s="13">
        <f>ROUNDUP(O499/'Methodology &amp; Assumptions'!$B$6, 0)</f>
        <v/>
      </c>
      <c r="R499" s="13" t="n">
        <v>1</v>
      </c>
      <c r="S499" s="14" t="n">
        <v>29.53</v>
      </c>
      <c r="T499" s="14" t="n">
        <v>34.4</v>
      </c>
      <c r="U499" s="26">
        <f>IF(X499&gt;='Methodology &amp; Assumptions'!$B$7, "Tier 1 Critical GIDA (Score ≥ 50.0)", IF(X499&gt;='Methodology &amp; Assumptions'!$B$8, "Tier 2 High GIDA (Score 40.0–49.9)", "Tier 3 Moderate GIDA (Score &lt; 40.0)"))</f>
        <v/>
      </c>
      <c r="V499" s="26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W499" s="28" t="n">
        <v>0.11</v>
      </c>
      <c r="X499" s="14" t="n">
        <v>50.03</v>
      </c>
      <c r="Y499" s="14">
        <f>ROUND(MIN(100, (X499/69.91)*100), 2)</f>
        <v/>
      </c>
    </row>
    <row r="500">
      <c r="A500" s="10" t="n">
        <v>2</v>
      </c>
      <c r="B500" s="10" t="n">
        <v>496</v>
      </c>
      <c r="C500" s="10" t="n">
        <v>1496</v>
      </c>
      <c r="D500" s="10" t="inlineStr">
        <is>
          <t>0907344012</t>
        </is>
      </c>
      <c r="E500" s="26" t="inlineStr">
        <is>
          <t>Region IX (Zamboanga Peninsula)</t>
        </is>
      </c>
      <c r="F500" s="26" t="inlineStr">
        <is>
          <t>Zamboanga del Sur</t>
        </is>
      </c>
      <c r="G500" s="26" t="inlineStr">
        <is>
          <t>Tigbao</t>
        </is>
      </c>
      <c r="H500" s="26" t="inlineStr">
        <is>
          <t>Mate</t>
        </is>
      </c>
      <c r="I500" s="27" t="n">
        <v>7.87728</v>
      </c>
      <c r="J500" s="27" t="n">
        <v>123.22889</v>
      </c>
      <c r="K500" s="10" t="inlineStr">
        <is>
          <t>R</t>
        </is>
      </c>
      <c r="L500" s="12" t="n">
        <v>1111</v>
      </c>
      <c r="M500" s="14" t="n">
        <v>3.9</v>
      </c>
      <c r="N500" s="12">
        <f>ROUND(L500/M500, 0)</f>
        <v/>
      </c>
      <c r="O500" s="12">
        <f>ROUND(N500*'Methodology &amp; Assumptions'!$B$5, 0)</f>
        <v/>
      </c>
      <c r="P500" s="10" t="inlineStr">
        <is>
          <t>Single Carrier (Band n50, 100MHz TDD)</t>
        </is>
      </c>
      <c r="Q500" s="13">
        <f>ROUNDUP(O500/'Methodology &amp; Assumptions'!$B$6, 0)</f>
        <v/>
      </c>
      <c r="R500" s="13" t="n">
        <v>1</v>
      </c>
      <c r="S500" s="14" t="n">
        <v>23.75</v>
      </c>
      <c r="T500" s="14" t="n">
        <v>4.23</v>
      </c>
      <c r="U500" s="26">
        <f>IF(X500&gt;='Methodology &amp; Assumptions'!$B$7, "Tier 1 Critical GIDA (Score ≥ 50.0)", IF(X500&gt;='Methodology &amp; Assumptions'!$B$8, "Tier 2 High GIDA (Score 40.0–49.9)", "Tier 3 Moderate GIDA (Score &lt; 40.0)"))</f>
        <v/>
      </c>
      <c r="V500" s="26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W500" s="28" t="n">
        <v>0.11</v>
      </c>
      <c r="X500" s="14" t="n">
        <v>50.03</v>
      </c>
      <c r="Y500" s="14">
        <f>ROUND(MIN(100, (X500/69.91)*100), 2)</f>
        <v/>
      </c>
    </row>
    <row r="501">
      <c r="A501" s="10" t="n">
        <v>2</v>
      </c>
      <c r="B501" s="10" t="n">
        <v>497</v>
      </c>
      <c r="C501" s="10" t="n">
        <v>1497</v>
      </c>
      <c r="D501" s="10" t="inlineStr">
        <is>
          <t>1903638025</t>
        </is>
      </c>
      <c r="E501" s="26" t="inlineStr">
        <is>
          <t>Bangsamoro Autonomous Region In Muslim Mindanao (BARMM)</t>
        </is>
      </c>
      <c r="F501" s="26" t="inlineStr">
        <is>
          <t>Lanao del Sur</t>
        </is>
      </c>
      <c r="G501" s="26" t="inlineStr">
        <is>
          <t>Tagoloan Ii</t>
        </is>
      </c>
      <c r="H501" s="26" t="inlineStr">
        <is>
          <t>Malinao</t>
        </is>
      </c>
      <c r="I501" s="27" t="n">
        <v>17.254415</v>
      </c>
      <c r="J501" s="27" t="n">
        <v>122.228459</v>
      </c>
      <c r="K501" s="10" t="inlineStr">
        <is>
          <t>R</t>
        </is>
      </c>
      <c r="L501" s="12" t="n">
        <v>808</v>
      </c>
      <c r="M501" s="14" t="n">
        <v>5.7</v>
      </c>
      <c r="N501" s="12">
        <f>ROUND(L501/M501, 0)</f>
        <v/>
      </c>
      <c r="O501" s="12">
        <f>ROUND(N501*'Methodology &amp; Assumptions'!$B$5, 0)</f>
        <v/>
      </c>
      <c r="P501" s="10" t="inlineStr">
        <is>
          <t>Single Carrier (Band n50, 100MHz TDD)</t>
        </is>
      </c>
      <c r="Q501" s="13">
        <f>ROUNDUP(O501/'Methodology &amp; Assumptions'!$B$6, 0)</f>
        <v/>
      </c>
      <c r="R501" s="13" t="n">
        <v>1</v>
      </c>
      <c r="S501" s="14" t="n">
        <v>29.35</v>
      </c>
      <c r="T501" s="14" t="n">
        <v>34.24</v>
      </c>
      <c r="U501" s="26">
        <f>IF(X501&gt;='Methodology &amp; Assumptions'!$B$7, "Tier 1 Critical GIDA (Score ≥ 50.0)", IF(X501&gt;='Methodology &amp; Assumptions'!$B$8, "Tier 2 High GIDA (Score 40.0–49.9)", "Tier 3 Moderate GIDA (Score &lt; 40.0)"))</f>
        <v/>
      </c>
      <c r="V501" s="26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W501" s="28" t="n">
        <v>0.11</v>
      </c>
      <c r="X501" s="14" t="n">
        <v>50.03</v>
      </c>
      <c r="Y501" s="14">
        <f>ROUND(MIN(100, (X501/69.91)*100), 2)</f>
        <v/>
      </c>
    </row>
    <row r="502">
      <c r="A502" s="10" t="n">
        <v>2</v>
      </c>
      <c r="B502" s="10" t="n">
        <v>498</v>
      </c>
      <c r="C502" s="10" t="n">
        <v>1498</v>
      </c>
      <c r="D502" s="10" t="inlineStr">
        <is>
          <t>1908708002</t>
        </is>
      </c>
      <c r="E502" s="26" t="inlineStr">
        <is>
          <t>Bangsamoro Autonomous Region In Muslim Mindanao (BARMM)</t>
        </is>
      </c>
      <c r="F502" s="26" t="inlineStr">
        <is>
          <t>Maguindanao del Norte</t>
        </is>
      </c>
      <c r="G502" s="26" t="inlineStr">
        <is>
          <t>Northern Kabuntalan</t>
        </is>
      </c>
      <c r="H502" s="26" t="inlineStr">
        <is>
          <t>Damatog</t>
        </is>
      </c>
      <c r="I502" s="27" t="n">
        <v>17.26268</v>
      </c>
      <c r="J502" s="27" t="n">
        <v>122.222175</v>
      </c>
      <c r="K502" s="10" t="inlineStr">
        <is>
          <t>R</t>
        </is>
      </c>
      <c r="L502" s="12" t="n">
        <v>4229</v>
      </c>
      <c r="M502" s="14" t="n">
        <v>4.3</v>
      </c>
      <c r="N502" s="12">
        <f>ROUND(L502/M502, 0)</f>
        <v/>
      </c>
      <c r="O502" s="12">
        <f>ROUND(N502*'Methodology &amp; Assumptions'!$B$5, 0)</f>
        <v/>
      </c>
      <c r="P502" s="10" t="inlineStr">
        <is>
          <t>Single Carrier (Band n50, 100MHz TDD)</t>
        </is>
      </c>
      <c r="Q502" s="13">
        <f>ROUNDUP(O502/'Methodology &amp; Assumptions'!$B$6, 0)</f>
        <v/>
      </c>
      <c r="R502" s="13" t="n">
        <v>1</v>
      </c>
      <c r="S502" s="14" t="n">
        <v>29.44</v>
      </c>
      <c r="T502" s="14" t="n">
        <v>33.88</v>
      </c>
      <c r="U502" s="26">
        <f>IF(X502&gt;='Methodology &amp; Assumptions'!$B$7, "Tier 1 Critical GIDA (Score ≥ 50.0)", IF(X502&gt;='Methodology &amp; Assumptions'!$B$8, "Tier 2 High GIDA (Score 40.0–49.9)", "Tier 3 Moderate GIDA (Score &lt; 40.0)"))</f>
        <v/>
      </c>
      <c r="V502" s="26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W502" s="28" t="n">
        <v>0.11</v>
      </c>
      <c r="X502" s="14" t="n">
        <v>50.03</v>
      </c>
      <c r="Y502" s="14">
        <f>ROUND(MIN(100, (X502/69.91)*100), 2)</f>
        <v/>
      </c>
    </row>
    <row r="503">
      <c r="A503" s="10" t="n">
        <v>2</v>
      </c>
      <c r="B503" s="10" t="n">
        <v>499</v>
      </c>
      <c r="C503" s="10" t="n">
        <v>1499</v>
      </c>
      <c r="D503" s="10" t="inlineStr">
        <is>
          <t>1900708004</t>
        </is>
      </c>
      <c r="E503" s="26" t="inlineStr">
        <is>
          <t>Bangsamoro Autonomous Region In Muslim Mindanao (BARMM)</t>
        </is>
      </c>
      <c r="F503" s="26" t="inlineStr">
        <is>
          <t>Basilan</t>
        </is>
      </c>
      <c r="G503" s="26" t="inlineStr">
        <is>
          <t>Akbar</t>
        </is>
      </c>
      <c r="H503" s="26" t="inlineStr">
        <is>
          <t>Mangalut</t>
        </is>
      </c>
      <c r="I503" s="27" t="n">
        <v>6.603511</v>
      </c>
      <c r="J503" s="27" t="n">
        <v>122.210724</v>
      </c>
      <c r="K503" s="10" t="inlineStr">
        <is>
          <t>R</t>
        </is>
      </c>
      <c r="L503" s="12" t="n">
        <v>2298</v>
      </c>
      <c r="M503" s="14" t="n">
        <v>5.1</v>
      </c>
      <c r="N503" s="12">
        <f>ROUND(L503/M503, 0)</f>
        <v/>
      </c>
      <c r="O503" s="12">
        <f>ROUND(N503*'Methodology &amp; Assumptions'!$B$5, 0)</f>
        <v/>
      </c>
      <c r="P503" s="10" t="inlineStr">
        <is>
          <t>Single Carrier (Band n50, 100MHz TDD)</t>
        </is>
      </c>
      <c r="Q503" s="13">
        <f>ROUNDUP(O503/'Methodology &amp; Assumptions'!$B$6, 0)</f>
        <v/>
      </c>
      <c r="R503" s="13" t="n">
        <v>1</v>
      </c>
      <c r="S503" s="14" t="n">
        <v>37.32</v>
      </c>
      <c r="T503" s="14" t="n">
        <v>37.31</v>
      </c>
      <c r="U503" s="26">
        <f>IF(X503&gt;='Methodology &amp; Assumptions'!$B$7, "Tier 1 Critical GIDA (Score ≥ 50.0)", IF(X503&gt;='Methodology &amp; Assumptions'!$B$8, "Tier 2 High GIDA (Score 40.0–49.9)", "Tier 3 Moderate GIDA (Score &lt; 40.0)"))</f>
        <v/>
      </c>
      <c r="V503" s="26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W503" s="28" t="n">
        <v>0.11</v>
      </c>
      <c r="X503" s="14" t="n">
        <v>50.03</v>
      </c>
      <c r="Y503" s="14">
        <f>ROUND(MIN(100, (X503/69.91)*100), 2)</f>
        <v/>
      </c>
    </row>
    <row r="504">
      <c r="A504" s="10" t="n">
        <v>2</v>
      </c>
      <c r="B504" s="10" t="n">
        <v>500</v>
      </c>
      <c r="C504" s="10" t="n">
        <v>1500</v>
      </c>
      <c r="D504" s="10" t="inlineStr">
        <is>
          <t>1906610003</t>
        </is>
      </c>
      <c r="E504" s="26" t="inlineStr">
        <is>
          <t>Bangsamoro Autonomous Region In Muslim Mindanao (BARMM)</t>
        </is>
      </c>
      <c r="F504" s="26" t="inlineStr">
        <is>
          <t>Sulu</t>
        </is>
      </c>
      <c r="G504" s="26" t="inlineStr">
        <is>
          <t>Pata</t>
        </is>
      </c>
      <c r="H504" s="26" t="inlineStr">
        <is>
          <t>Daungdong</t>
        </is>
      </c>
      <c r="I504" s="27" t="n">
        <v>17.255546</v>
      </c>
      <c r="J504" s="27" t="n">
        <v>122.22959</v>
      </c>
      <c r="K504" s="10" t="inlineStr">
        <is>
          <t>R</t>
        </is>
      </c>
      <c r="L504" s="12" t="n">
        <v>2408</v>
      </c>
      <c r="M504" s="14" t="n">
        <v>6</v>
      </c>
      <c r="N504" s="12">
        <f>ROUND(L504/M504, 0)</f>
        <v/>
      </c>
      <c r="O504" s="12">
        <f>ROUND(N504*'Methodology &amp; Assumptions'!$B$5, 0)</f>
        <v/>
      </c>
      <c r="P504" s="10" t="inlineStr">
        <is>
          <t>Single Carrier (Band n50, 100MHz TDD)</t>
        </is>
      </c>
      <c r="Q504" s="13">
        <f>ROUNDUP(O504/'Methodology &amp; Assumptions'!$B$6, 0)</f>
        <v/>
      </c>
      <c r="R504" s="13" t="n">
        <v>1</v>
      </c>
      <c r="S504" s="14" t="n">
        <v>29.52</v>
      </c>
      <c r="T504" s="14" t="n">
        <v>34.39</v>
      </c>
      <c r="U504" s="26">
        <f>IF(X504&gt;='Methodology &amp; Assumptions'!$B$7, "Tier 1 Critical GIDA (Score ≥ 50.0)", IF(X504&gt;='Methodology &amp; Assumptions'!$B$8, "Tier 2 High GIDA (Score 40.0–49.9)", "Tier 3 Moderate GIDA (Score &lt; 40.0)"))</f>
        <v/>
      </c>
      <c r="V504" s="26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W504" s="28" t="n">
        <v>0.11</v>
      </c>
      <c r="X504" s="14" t="n">
        <v>50.02</v>
      </c>
      <c r="Y504" s="14">
        <f>ROUND(MIN(100, (X504/69.91)*100), 2)</f>
        <v/>
      </c>
    </row>
    <row r="505">
      <c r="A505" s="10" t="n">
        <v>2</v>
      </c>
      <c r="B505" s="10" t="n">
        <v>501</v>
      </c>
      <c r="C505" s="10" t="n">
        <v>1501</v>
      </c>
      <c r="D505" s="10" t="inlineStr">
        <is>
          <t>1906612059</t>
        </is>
      </c>
      <c r="E505" s="26" t="inlineStr">
        <is>
          <t>Bangsamoro Autonomous Region In Muslim Mindanao (BARMM)</t>
        </is>
      </c>
      <c r="F505" s="26" t="inlineStr">
        <is>
          <t>Sulu</t>
        </is>
      </c>
      <c r="G505" s="26" t="inlineStr">
        <is>
          <t>Siasi</t>
        </is>
      </c>
      <c r="H505" s="26" t="inlineStr">
        <is>
          <t>Siowing</t>
        </is>
      </c>
      <c r="I505" s="27" t="n">
        <v>17.255481</v>
      </c>
      <c r="J505" s="27" t="n">
        <v>122.229525</v>
      </c>
      <c r="K505" s="10" t="inlineStr">
        <is>
          <t>R</t>
        </is>
      </c>
      <c r="L505" s="12" t="n">
        <v>1582</v>
      </c>
      <c r="M505" s="14" t="n">
        <v>6</v>
      </c>
      <c r="N505" s="12">
        <f>ROUND(L505/M505, 0)</f>
        <v/>
      </c>
      <c r="O505" s="12">
        <f>ROUND(N505*'Methodology &amp; Assumptions'!$B$5, 0)</f>
        <v/>
      </c>
      <c r="P505" s="10" t="inlineStr">
        <is>
          <t>Single Carrier (Band n50, 100MHz TDD)</t>
        </is>
      </c>
      <c r="Q505" s="13">
        <f>ROUNDUP(O505/'Methodology &amp; Assumptions'!$B$6, 0)</f>
        <v/>
      </c>
      <c r="R505" s="13" t="n">
        <v>1</v>
      </c>
      <c r="S505" s="14" t="n">
        <v>29.51</v>
      </c>
      <c r="T505" s="14" t="n">
        <v>34.38</v>
      </c>
      <c r="U505" s="26">
        <f>IF(X505&gt;='Methodology &amp; Assumptions'!$B$7, "Tier 1 Critical GIDA (Score ≥ 50.0)", IF(X505&gt;='Methodology &amp; Assumptions'!$B$8, "Tier 2 High GIDA (Score 40.0–49.9)", "Tier 3 Moderate GIDA (Score &lt; 40.0)"))</f>
        <v/>
      </c>
      <c r="V505" s="26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W505" s="28" t="n">
        <v>0.11</v>
      </c>
      <c r="X505" s="14" t="n">
        <v>50.02</v>
      </c>
      <c r="Y505" s="14">
        <f>ROUND(MIN(100, (X505/69.91)*100), 2)</f>
        <v/>
      </c>
    </row>
    <row r="506">
      <c r="A506" s="10" t="n">
        <v>2</v>
      </c>
      <c r="B506" s="10" t="n">
        <v>502</v>
      </c>
      <c r="C506" s="10" t="n">
        <v>1502</v>
      </c>
      <c r="D506" s="10" t="inlineStr">
        <is>
          <t>1903638002</t>
        </is>
      </c>
      <c r="E506" s="26" t="inlineStr">
        <is>
          <t>Bangsamoro Autonomous Region In Muslim Mindanao (BARMM)</t>
        </is>
      </c>
      <c r="F506" s="26" t="inlineStr">
        <is>
          <t>Lanao del Sur</t>
        </is>
      </c>
      <c r="G506" s="26" t="inlineStr">
        <is>
          <t>Tagoloan Ii</t>
        </is>
      </c>
      <c r="H506" s="26" t="inlineStr">
        <is>
          <t>Bantalan</t>
        </is>
      </c>
      <c r="I506" s="27" t="n">
        <v>17.267939</v>
      </c>
      <c r="J506" s="27" t="n">
        <v>122.233611</v>
      </c>
      <c r="K506" s="10" t="inlineStr">
        <is>
          <t>R</t>
        </is>
      </c>
      <c r="L506" s="12" t="n">
        <v>674</v>
      </c>
      <c r="M506" s="14" t="n">
        <v>5.7</v>
      </c>
      <c r="N506" s="12">
        <f>ROUND(L506/M506, 0)</f>
        <v/>
      </c>
      <c r="O506" s="12">
        <f>ROUND(N506*'Methodology &amp; Assumptions'!$B$5, 0)</f>
        <v/>
      </c>
      <c r="P506" s="10" t="inlineStr">
        <is>
          <t>Single Carrier (Band n50, 100MHz TDD)</t>
        </is>
      </c>
      <c r="Q506" s="13">
        <f>ROUNDUP(O506/'Methodology &amp; Assumptions'!$B$6, 0)</f>
        <v/>
      </c>
      <c r="R506" s="13" t="n">
        <v>1</v>
      </c>
      <c r="S506" s="14" t="n">
        <v>30.74</v>
      </c>
      <c r="T506" s="14" t="n">
        <v>35.22</v>
      </c>
      <c r="U506" s="26">
        <f>IF(X506&gt;='Methodology &amp; Assumptions'!$B$7, "Tier 1 Critical GIDA (Score ≥ 50.0)", IF(X506&gt;='Methodology &amp; Assumptions'!$B$8, "Tier 2 High GIDA (Score 40.0–49.9)", "Tier 3 Moderate GIDA (Score &lt; 40.0)"))</f>
        <v/>
      </c>
      <c r="V506" s="26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W506" s="28" t="n">
        <v>0.11</v>
      </c>
      <c r="X506" s="14" t="n">
        <v>50.02</v>
      </c>
      <c r="Y506" s="14">
        <f>ROUND(MIN(100, (X506/69.91)*100), 2)</f>
        <v/>
      </c>
    </row>
    <row r="507">
      <c r="A507" s="10" t="n">
        <v>2</v>
      </c>
      <c r="B507" s="10" t="n">
        <v>503</v>
      </c>
      <c r="C507" s="10" t="n">
        <v>1503</v>
      </c>
      <c r="D507" s="10" t="inlineStr">
        <is>
          <t>1903631017</t>
        </is>
      </c>
      <c r="E507" s="26" t="inlineStr">
        <is>
          <t>Bangsamoro Autonomous Region In Muslim Mindanao (BARMM)</t>
        </is>
      </c>
      <c r="F507" s="26" t="inlineStr">
        <is>
          <t>Lanao del Sur</t>
        </is>
      </c>
      <c r="G507" s="26" t="inlineStr">
        <is>
          <t>Marogong</t>
        </is>
      </c>
      <c r="H507" s="26" t="inlineStr">
        <is>
          <t>Marogong East</t>
        </is>
      </c>
      <c r="I507" s="27" t="n">
        <v>15.654705</v>
      </c>
      <c r="J507" s="27" t="n">
        <v>122.552472</v>
      </c>
      <c r="K507" s="10" t="inlineStr">
        <is>
          <t>R</t>
        </is>
      </c>
      <c r="L507" s="12" t="n">
        <v>2587</v>
      </c>
      <c r="M507" s="14" t="n">
        <v>5.7</v>
      </c>
      <c r="N507" s="12">
        <f>ROUND(L507/M507, 0)</f>
        <v/>
      </c>
      <c r="O507" s="12">
        <f>ROUND(N507*'Methodology &amp; Assumptions'!$B$5, 0)</f>
        <v/>
      </c>
      <c r="P507" s="10" t="inlineStr">
        <is>
          <t>Single Carrier (Band n50, 100MHz TDD)</t>
        </is>
      </c>
      <c r="Q507" s="13">
        <f>ROUNDUP(O507/'Methodology &amp; Assumptions'!$B$6, 0)</f>
        <v/>
      </c>
      <c r="R507" s="13" t="n">
        <v>1</v>
      </c>
      <c r="S507" s="14" t="n">
        <v>82.22</v>
      </c>
      <c r="T507" s="14" t="n">
        <v>81.06</v>
      </c>
      <c r="U507" s="26">
        <f>IF(X507&gt;='Methodology &amp; Assumptions'!$B$7, "Tier 1 Critical GIDA (Score ≥ 50.0)", IF(X507&gt;='Methodology &amp; Assumptions'!$B$8, "Tier 2 High GIDA (Score 40.0–49.9)", "Tier 3 Moderate GIDA (Score &lt; 40.0)"))</f>
        <v/>
      </c>
      <c r="V507" s="26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W507" s="28" t="n">
        <v>0.11</v>
      </c>
      <c r="X507" s="14" t="n">
        <v>50.02</v>
      </c>
      <c r="Y507" s="14">
        <f>ROUND(MIN(100, (X507/69.91)*100), 2)</f>
        <v/>
      </c>
    </row>
    <row r="508">
      <c r="A508" s="10" t="n">
        <v>2</v>
      </c>
      <c r="B508" s="10" t="n">
        <v>504</v>
      </c>
      <c r="C508" s="10" t="n">
        <v>1504</v>
      </c>
      <c r="D508" s="10" t="inlineStr">
        <is>
          <t>1906614035</t>
        </is>
      </c>
      <c r="E508" s="26" t="inlineStr">
        <is>
          <t>Bangsamoro Autonomous Region In Muslim Mindanao (BARMM)</t>
        </is>
      </c>
      <c r="F508" s="26" t="inlineStr">
        <is>
          <t>Sulu</t>
        </is>
      </c>
      <c r="G508" s="26" t="inlineStr">
        <is>
          <t>Tapul</t>
        </is>
      </c>
      <c r="H508" s="26" t="inlineStr">
        <is>
          <t>Tulakan</t>
        </is>
      </c>
      <c r="I508" s="27" t="n">
        <v>17.255653</v>
      </c>
      <c r="J508" s="27" t="n">
        <v>122.229697</v>
      </c>
      <c r="K508" s="10" t="inlineStr">
        <is>
          <t>R</t>
        </is>
      </c>
      <c r="L508" s="12" t="n">
        <v>2038</v>
      </c>
      <c r="M508" s="14" t="n">
        <v>6</v>
      </c>
      <c r="N508" s="12">
        <f>ROUND(L508/M508, 0)</f>
        <v/>
      </c>
      <c r="O508" s="12">
        <f>ROUND(N508*'Methodology &amp; Assumptions'!$B$5, 0)</f>
        <v/>
      </c>
      <c r="P508" s="10" t="inlineStr">
        <is>
          <t>Single Carrier (Band n50, 100MHz TDD)</t>
        </is>
      </c>
      <c r="Q508" s="13">
        <f>ROUNDUP(O508/'Methodology &amp; Assumptions'!$B$6, 0)</f>
        <v/>
      </c>
      <c r="R508" s="13" t="n">
        <v>1</v>
      </c>
      <c r="S508" s="14" t="n">
        <v>29.54</v>
      </c>
      <c r="T508" s="14" t="n">
        <v>34.41</v>
      </c>
      <c r="U508" s="26">
        <f>IF(X508&gt;='Methodology &amp; Assumptions'!$B$7, "Tier 1 Critical GIDA (Score ≥ 50.0)", IF(X508&gt;='Methodology &amp; Assumptions'!$B$8, "Tier 2 High GIDA (Score 40.0–49.9)", "Tier 3 Moderate GIDA (Score &lt; 40.0)"))</f>
        <v/>
      </c>
      <c r="V508" s="26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W508" s="28" t="n">
        <v>0.11</v>
      </c>
      <c r="X508" s="14" t="n">
        <v>50.02</v>
      </c>
      <c r="Y508" s="14">
        <f>ROUND(MIN(100, (X508/69.91)*100), 2)</f>
        <v/>
      </c>
    </row>
    <row r="509">
      <c r="A509" s="10" t="n">
        <v>2</v>
      </c>
      <c r="B509" s="10" t="n">
        <v>505</v>
      </c>
      <c r="C509" s="10" t="n">
        <v>1505</v>
      </c>
      <c r="D509" s="10" t="inlineStr">
        <is>
          <t>1906610005</t>
        </is>
      </c>
      <c r="E509" s="26" t="inlineStr">
        <is>
          <t>Bangsamoro Autonomous Region In Muslim Mindanao (BARMM)</t>
        </is>
      </c>
      <c r="F509" s="26" t="inlineStr">
        <is>
          <t>Sulu</t>
        </is>
      </c>
      <c r="G509" s="26" t="inlineStr">
        <is>
          <t>Pata</t>
        </is>
      </c>
      <c r="H509" s="26" t="inlineStr">
        <is>
          <t>Kanjarang</t>
        </is>
      </c>
      <c r="I509" s="27" t="n">
        <v>17.255554</v>
      </c>
      <c r="J509" s="27" t="n">
        <v>122.229598</v>
      </c>
      <c r="K509" s="10" t="inlineStr">
        <is>
          <t>R</t>
        </is>
      </c>
      <c r="L509" s="12" t="n">
        <v>1808</v>
      </c>
      <c r="M509" s="14" t="n">
        <v>6</v>
      </c>
      <c r="N509" s="12">
        <f>ROUND(L509/M509, 0)</f>
        <v/>
      </c>
      <c r="O509" s="12">
        <f>ROUND(N509*'Methodology &amp; Assumptions'!$B$5, 0)</f>
        <v/>
      </c>
      <c r="P509" s="10" t="inlineStr">
        <is>
          <t>Single Carrier (Band n50, 100MHz TDD)</t>
        </is>
      </c>
      <c r="Q509" s="13">
        <f>ROUNDUP(O509/'Methodology &amp; Assumptions'!$B$6, 0)</f>
        <v/>
      </c>
      <c r="R509" s="13" t="n">
        <v>1</v>
      </c>
      <c r="S509" s="14" t="n">
        <v>29.52</v>
      </c>
      <c r="T509" s="14" t="n">
        <v>34.39</v>
      </c>
      <c r="U509" s="26">
        <f>IF(X509&gt;='Methodology &amp; Assumptions'!$B$7, "Tier 1 Critical GIDA (Score ≥ 50.0)", IF(X509&gt;='Methodology &amp; Assumptions'!$B$8, "Tier 2 High GIDA (Score 40.0–49.9)", "Tier 3 Moderate GIDA (Score &lt; 40.0)"))</f>
        <v/>
      </c>
      <c r="V509" s="26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W509" s="28" t="n">
        <v>0.11</v>
      </c>
      <c r="X509" s="14" t="n">
        <v>50.02</v>
      </c>
      <c r="Y509" s="14">
        <f>ROUND(MIN(100, (X509/69.91)*100), 2)</f>
        <v/>
      </c>
    </row>
    <row r="510">
      <c r="A510" s="10" t="n">
        <v>2</v>
      </c>
      <c r="B510" s="10" t="n">
        <v>506</v>
      </c>
      <c r="C510" s="10" t="n">
        <v>1506</v>
      </c>
      <c r="D510" s="10" t="inlineStr">
        <is>
          <t>1908706015</t>
        </is>
      </c>
      <c r="E510" s="26" t="inlineStr">
        <is>
          <t>Bangsamoro Autonomous Region In Muslim Mindanao (BARMM)</t>
        </is>
      </c>
      <c r="F510" s="26" t="inlineStr">
        <is>
          <t>Maguindanao del Norte</t>
        </is>
      </c>
      <c r="G510" s="26" t="inlineStr">
        <is>
          <t>Kabuntalan</t>
        </is>
      </c>
      <c r="H510" s="26" t="inlineStr">
        <is>
          <t>Pened</t>
        </is>
      </c>
      <c r="I510" s="27" t="n">
        <v>17.254107</v>
      </c>
      <c r="J510" s="27" t="n">
        <v>122.228151</v>
      </c>
      <c r="K510" s="10" t="inlineStr">
        <is>
          <t>R</t>
        </is>
      </c>
      <c r="L510" s="12" t="n">
        <v>1779</v>
      </c>
      <c r="M510" s="14" t="n">
        <v>4.3</v>
      </c>
      <c r="N510" s="12">
        <f>ROUND(L510/M510, 0)</f>
        <v/>
      </c>
      <c r="O510" s="12">
        <f>ROUND(N510*'Methodology &amp; Assumptions'!$B$5, 0)</f>
        <v/>
      </c>
      <c r="P510" s="10" t="inlineStr">
        <is>
          <t>Single Carrier (Band n50, 100MHz TDD)</t>
        </is>
      </c>
      <c r="Q510" s="13">
        <f>ROUNDUP(O510/'Methodology &amp; Assumptions'!$B$6, 0)</f>
        <v/>
      </c>
      <c r="R510" s="13" t="n">
        <v>1</v>
      </c>
      <c r="S510" s="14" t="n">
        <v>29.3</v>
      </c>
      <c r="T510" s="14" t="n">
        <v>34.2</v>
      </c>
      <c r="U510" s="26">
        <f>IF(X510&gt;='Methodology &amp; Assumptions'!$B$7, "Tier 1 Critical GIDA (Score ≥ 50.0)", IF(X510&gt;='Methodology &amp; Assumptions'!$B$8, "Tier 2 High GIDA (Score 40.0–49.9)", "Tier 3 Moderate GIDA (Score &lt; 40.0)"))</f>
        <v/>
      </c>
      <c r="V510" s="26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W510" s="28" t="n">
        <v>0.11</v>
      </c>
      <c r="X510" s="14" t="n">
        <v>50.02</v>
      </c>
      <c r="Y510" s="14">
        <f>ROUND(MIN(100, (X510/69.91)*100), 2)</f>
        <v/>
      </c>
    </row>
    <row r="511">
      <c r="A511" s="10" t="n">
        <v>2</v>
      </c>
      <c r="B511" s="10" t="n">
        <v>507</v>
      </c>
      <c r="C511" s="10" t="n">
        <v>1507</v>
      </c>
      <c r="D511" s="10" t="inlineStr">
        <is>
          <t>1003511010</t>
        </is>
      </c>
      <c r="E511" s="26" t="inlineStr">
        <is>
          <t>Region X (Northern Mindanao)</t>
        </is>
      </c>
      <c r="F511" s="26" t="inlineStr">
        <is>
          <t>Lanao del Norte</t>
        </is>
      </c>
      <c r="G511" s="26" t="inlineStr">
        <is>
          <t>Magsaysay</t>
        </is>
      </c>
      <c r="H511" s="26" t="inlineStr">
        <is>
          <t>Malabaogan</t>
        </is>
      </c>
      <c r="I511" s="27" t="n">
        <v>8.033747999999999</v>
      </c>
      <c r="J511" s="27" t="n">
        <v>123.887159</v>
      </c>
      <c r="K511" s="10" t="inlineStr">
        <is>
          <t>R</t>
        </is>
      </c>
      <c r="L511" s="12" t="n">
        <v>523</v>
      </c>
      <c r="M511" s="14" t="n">
        <v>4.2</v>
      </c>
      <c r="N511" s="12">
        <f>ROUND(L511/M511, 0)</f>
        <v/>
      </c>
      <c r="O511" s="12">
        <f>ROUND(N511*'Methodology &amp; Assumptions'!$B$5, 0)</f>
        <v/>
      </c>
      <c r="P511" s="10" t="inlineStr">
        <is>
          <t>Single Carrier (Band n50, 100MHz TDD)</t>
        </is>
      </c>
      <c r="Q511" s="13">
        <f>ROUNDUP(O511/'Methodology &amp; Assumptions'!$B$6, 0)</f>
        <v/>
      </c>
      <c r="R511" s="13" t="n">
        <v>1</v>
      </c>
      <c r="S511" s="14" t="n">
        <v>9.74</v>
      </c>
      <c r="T511" s="14" t="n">
        <v>7.58</v>
      </c>
      <c r="U511" s="26">
        <f>IF(X511&gt;='Methodology &amp; Assumptions'!$B$7, "Tier 1 Critical GIDA (Score ≥ 50.0)", IF(X511&gt;='Methodology &amp; Assumptions'!$B$8, "Tier 2 High GIDA (Score 40.0–49.9)", "Tier 3 Moderate GIDA (Score &lt; 40.0)"))</f>
        <v/>
      </c>
      <c r="V511" s="26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W511" s="28" t="n">
        <v>0.174</v>
      </c>
      <c r="X511" s="14" t="n">
        <v>50.02</v>
      </c>
      <c r="Y511" s="14">
        <f>ROUND(MIN(100, (X511/69.91)*100), 2)</f>
        <v/>
      </c>
    </row>
    <row r="512">
      <c r="A512" s="10" t="n">
        <v>2</v>
      </c>
      <c r="B512" s="10" t="n">
        <v>508</v>
      </c>
      <c r="C512" s="10" t="n">
        <v>1508</v>
      </c>
      <c r="D512" s="10" t="inlineStr">
        <is>
          <t>1906610007</t>
        </is>
      </c>
      <c r="E512" s="26" t="inlineStr">
        <is>
          <t>Bangsamoro Autonomous Region In Muslim Mindanao (BARMM)</t>
        </is>
      </c>
      <c r="F512" s="26" t="inlineStr">
        <is>
          <t>Sulu</t>
        </is>
      </c>
      <c r="G512" s="26" t="inlineStr">
        <is>
          <t>Pata</t>
        </is>
      </c>
      <c r="H512" s="26" t="inlineStr">
        <is>
          <t>Kiput</t>
        </is>
      </c>
      <c r="I512" s="27" t="n">
        <v>17.255555</v>
      </c>
      <c r="J512" s="27" t="n">
        <v>122.229599</v>
      </c>
      <c r="K512" s="10" t="inlineStr">
        <is>
          <t>R</t>
        </is>
      </c>
      <c r="L512" s="12" t="n">
        <v>1916</v>
      </c>
      <c r="M512" s="14" t="n">
        <v>6</v>
      </c>
      <c r="N512" s="12">
        <f>ROUND(L512/M512, 0)</f>
        <v/>
      </c>
      <c r="O512" s="12">
        <f>ROUND(N512*'Methodology &amp; Assumptions'!$B$5, 0)</f>
        <v/>
      </c>
      <c r="P512" s="10" t="inlineStr">
        <is>
          <t>Single Carrier (Band n50, 100MHz TDD)</t>
        </is>
      </c>
      <c r="Q512" s="13">
        <f>ROUNDUP(O512/'Methodology &amp; Assumptions'!$B$6, 0)</f>
        <v/>
      </c>
      <c r="R512" s="13" t="n">
        <v>1</v>
      </c>
      <c r="S512" s="14" t="n">
        <v>29.52</v>
      </c>
      <c r="T512" s="14" t="n">
        <v>34.39</v>
      </c>
      <c r="U512" s="26">
        <f>IF(X512&gt;='Methodology &amp; Assumptions'!$B$7, "Tier 1 Critical GIDA (Score ≥ 50.0)", IF(X512&gt;='Methodology &amp; Assumptions'!$B$8, "Tier 2 High GIDA (Score 40.0–49.9)", "Tier 3 Moderate GIDA (Score &lt; 40.0)"))</f>
        <v/>
      </c>
      <c r="V512" s="26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W512" s="28" t="n">
        <v>0.11</v>
      </c>
      <c r="X512" s="14" t="n">
        <v>50.02</v>
      </c>
      <c r="Y512" s="14">
        <f>ROUND(MIN(100, (X512/69.91)*100), 2)</f>
        <v/>
      </c>
    </row>
    <row r="513">
      <c r="A513" s="10" t="n">
        <v>2</v>
      </c>
      <c r="B513" s="10" t="n">
        <v>509</v>
      </c>
      <c r="C513" s="10" t="n">
        <v>1509</v>
      </c>
      <c r="D513" s="10" t="inlineStr">
        <is>
          <t>1903638042</t>
        </is>
      </c>
      <c r="E513" s="26" t="inlineStr">
        <is>
          <t>Bangsamoro Autonomous Region In Muslim Mindanao (BARMM)</t>
        </is>
      </c>
      <c r="F513" s="26" t="inlineStr">
        <is>
          <t>Lanao del Sur</t>
        </is>
      </c>
      <c r="G513" s="26" t="inlineStr">
        <is>
          <t>Tagoloan Ii</t>
        </is>
      </c>
      <c r="H513" s="26" t="inlineStr">
        <is>
          <t>Tagoloan Poblacion</t>
        </is>
      </c>
      <c r="I513" s="27" t="n">
        <v>17.239864</v>
      </c>
      <c r="J513" s="27" t="n">
        <v>122.234765</v>
      </c>
      <c r="K513" s="10" t="inlineStr">
        <is>
          <t>R</t>
        </is>
      </c>
      <c r="L513" s="12" t="n">
        <v>928</v>
      </c>
      <c r="M513" s="14" t="n">
        <v>5.7</v>
      </c>
      <c r="N513" s="12">
        <f>ROUND(L513/M513, 0)</f>
        <v/>
      </c>
      <c r="O513" s="12">
        <f>ROUND(N513*'Methodology &amp; Assumptions'!$B$5, 0)</f>
        <v/>
      </c>
      <c r="P513" s="10" t="inlineStr">
        <is>
          <t>Single Carrier (Band n50, 100MHz TDD)</t>
        </is>
      </c>
      <c r="Q513" s="13">
        <f>ROUNDUP(O513/'Methodology &amp; Assumptions'!$B$6, 0)</f>
        <v/>
      </c>
      <c r="R513" s="13" t="n">
        <v>1</v>
      </c>
      <c r="S513" s="14" t="n">
        <v>28.88</v>
      </c>
      <c r="T513" s="14" t="n">
        <v>34.46</v>
      </c>
      <c r="U513" s="26">
        <f>IF(X513&gt;='Methodology &amp; Assumptions'!$B$7, "Tier 1 Critical GIDA (Score ≥ 50.0)", IF(X513&gt;='Methodology &amp; Assumptions'!$B$8, "Tier 2 High GIDA (Score 40.0–49.9)", "Tier 3 Moderate GIDA (Score &lt; 40.0)"))</f>
        <v/>
      </c>
      <c r="V513" s="26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W513" s="28" t="n">
        <v>0.11</v>
      </c>
      <c r="X513" s="14" t="n">
        <v>50.02</v>
      </c>
      <c r="Y513" s="14">
        <f>ROUND(MIN(100, (X513/69.91)*100), 2)</f>
        <v/>
      </c>
    </row>
    <row r="514">
      <c r="A514" s="10" t="n">
        <v>2</v>
      </c>
      <c r="B514" s="10" t="n">
        <v>510</v>
      </c>
      <c r="C514" s="10" t="n">
        <v>1510</v>
      </c>
      <c r="D514" s="10" t="inlineStr">
        <is>
          <t>1906615006</t>
        </is>
      </c>
      <c r="E514" s="26" t="inlineStr">
        <is>
          <t>Bangsamoro Autonomous Region In Muslim Mindanao (BARMM)</t>
        </is>
      </c>
      <c r="F514" s="26" t="inlineStr">
        <is>
          <t>Sulu</t>
        </is>
      </c>
      <c r="G514" s="26" t="inlineStr">
        <is>
          <t>Tongkil</t>
        </is>
      </c>
      <c r="H514" s="26" t="inlineStr">
        <is>
          <t>Luuk</t>
        </is>
      </c>
      <c r="I514" s="27" t="n">
        <v>17.255665</v>
      </c>
      <c r="J514" s="27" t="n">
        <v>122.229709</v>
      </c>
      <c r="K514" s="10" t="inlineStr">
        <is>
          <t>R</t>
        </is>
      </c>
      <c r="L514" s="12" t="n">
        <v>1963</v>
      </c>
      <c r="M514" s="14" t="n">
        <v>6</v>
      </c>
      <c r="N514" s="12">
        <f>ROUND(L514/M514, 0)</f>
        <v/>
      </c>
      <c r="O514" s="12">
        <f>ROUND(N514*'Methodology &amp; Assumptions'!$B$5, 0)</f>
        <v/>
      </c>
      <c r="P514" s="10" t="inlineStr">
        <is>
          <t>Single Carrier (Band n50, 100MHz TDD)</t>
        </is>
      </c>
      <c r="Q514" s="13">
        <f>ROUNDUP(O514/'Methodology &amp; Assumptions'!$B$6, 0)</f>
        <v/>
      </c>
      <c r="R514" s="13" t="n">
        <v>1</v>
      </c>
      <c r="S514" s="14" t="n">
        <v>29.54</v>
      </c>
      <c r="T514" s="14" t="n">
        <v>34.41</v>
      </c>
      <c r="U514" s="26">
        <f>IF(X514&gt;='Methodology &amp; Assumptions'!$B$7, "Tier 1 Critical GIDA (Score ≥ 50.0)", IF(X514&gt;='Methodology &amp; Assumptions'!$B$8, "Tier 2 High GIDA (Score 40.0–49.9)", "Tier 3 Moderate GIDA (Score &lt; 40.0)"))</f>
        <v/>
      </c>
      <c r="V514" s="26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W514" s="28" t="n">
        <v>0.11</v>
      </c>
      <c r="X514" s="14" t="n">
        <v>50.02</v>
      </c>
      <c r="Y514" s="14">
        <f>ROUND(MIN(100, (X514/69.91)*100), 2)</f>
        <v/>
      </c>
    </row>
    <row r="515">
      <c r="A515" s="10" t="n">
        <v>2</v>
      </c>
      <c r="B515" s="10" t="n">
        <v>511</v>
      </c>
      <c r="C515" s="10" t="n">
        <v>1511</v>
      </c>
      <c r="D515" s="10" t="inlineStr">
        <is>
          <t>1906614013</t>
        </is>
      </c>
      <c r="E515" s="26" t="inlineStr">
        <is>
          <t>Bangsamoro Autonomous Region In Muslim Mindanao (BARMM)</t>
        </is>
      </c>
      <c r="F515" s="26" t="inlineStr">
        <is>
          <t>Sulu</t>
        </is>
      </c>
      <c r="G515" s="26" t="inlineStr">
        <is>
          <t>Tapul</t>
        </is>
      </c>
      <c r="H515" s="26" t="inlineStr">
        <is>
          <t>Alu-Kabingaan</t>
        </is>
      </c>
      <c r="I515" s="27" t="n">
        <v>17.251999</v>
      </c>
      <c r="J515" s="27" t="n">
        <v>122.233192</v>
      </c>
      <c r="K515" s="10" t="inlineStr">
        <is>
          <t>R</t>
        </is>
      </c>
      <c r="L515" s="12" t="n">
        <v>2105</v>
      </c>
      <c r="M515" s="14" t="n">
        <v>6</v>
      </c>
      <c r="N515" s="12">
        <f>ROUND(L515/M515, 0)</f>
        <v/>
      </c>
      <c r="O515" s="12">
        <f>ROUND(N515*'Methodology &amp; Assumptions'!$B$5, 0)</f>
        <v/>
      </c>
      <c r="P515" s="10" t="inlineStr">
        <is>
          <t>Single Carrier (Band n50, 100MHz TDD)</t>
        </is>
      </c>
      <c r="Q515" s="13">
        <f>ROUNDUP(O515/'Methodology &amp; Assumptions'!$B$6, 0)</f>
        <v/>
      </c>
      <c r="R515" s="13" t="n">
        <v>1</v>
      </c>
      <c r="S515" s="14" t="n">
        <v>29.57</v>
      </c>
      <c r="T515" s="14" t="n">
        <v>34.65</v>
      </c>
      <c r="U515" s="26">
        <f>IF(X515&gt;='Methodology &amp; Assumptions'!$B$7, "Tier 1 Critical GIDA (Score ≥ 50.0)", IF(X515&gt;='Methodology &amp; Assumptions'!$B$8, "Tier 2 High GIDA (Score 40.0–49.9)", "Tier 3 Moderate GIDA (Score &lt; 40.0)"))</f>
        <v/>
      </c>
      <c r="V515" s="26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W515" s="28" t="n">
        <v>0.11</v>
      </c>
      <c r="X515" s="14" t="n">
        <v>50.02</v>
      </c>
      <c r="Y515" s="14">
        <f>ROUND(MIN(100, (X515/69.91)*100), 2)</f>
        <v/>
      </c>
    </row>
    <row r="516">
      <c r="A516" s="10" t="n">
        <v>2</v>
      </c>
      <c r="B516" s="10" t="n">
        <v>512</v>
      </c>
      <c r="C516" s="10" t="n">
        <v>1512</v>
      </c>
      <c r="D516" s="10" t="inlineStr">
        <is>
          <t>0907333012</t>
        </is>
      </c>
      <c r="E516" s="26" t="inlineStr">
        <is>
          <t>Region IX (Zamboanga Peninsula)</t>
        </is>
      </c>
      <c r="F516" s="26" t="inlineStr">
        <is>
          <t>Zamboanga del Sur</t>
        </is>
      </c>
      <c r="G516" s="26" t="inlineStr">
        <is>
          <t>Lakewood</t>
        </is>
      </c>
      <c r="H516" s="26" t="inlineStr">
        <is>
          <t>Sebuguey</t>
        </is>
      </c>
      <c r="I516" s="27" t="n">
        <v>7.885502</v>
      </c>
      <c r="J516" s="27" t="n">
        <v>123.108376</v>
      </c>
      <c r="K516" s="10" t="inlineStr">
        <is>
          <t>R</t>
        </is>
      </c>
      <c r="L516" s="12" t="n">
        <v>776</v>
      </c>
      <c r="M516" s="14" t="n">
        <v>3.9</v>
      </c>
      <c r="N516" s="12">
        <f>ROUND(L516/M516, 0)</f>
        <v/>
      </c>
      <c r="O516" s="12">
        <f>ROUND(N516*'Methodology &amp; Assumptions'!$B$5, 0)</f>
        <v/>
      </c>
      <c r="P516" s="10" t="inlineStr">
        <is>
          <t>Single Carrier (Band n50, 100MHz TDD)</t>
        </is>
      </c>
      <c r="Q516" s="13">
        <f>ROUNDUP(O516/'Methodology &amp; Assumptions'!$B$6, 0)</f>
        <v/>
      </c>
      <c r="R516" s="13" t="n">
        <v>1</v>
      </c>
      <c r="S516" s="14" t="n">
        <v>18.28</v>
      </c>
      <c r="T516" s="14" t="n">
        <v>11.6</v>
      </c>
      <c r="U516" s="26">
        <f>IF(X516&gt;='Methodology &amp; Assumptions'!$B$7, "Tier 1 Critical GIDA (Score ≥ 50.0)", IF(X516&gt;='Methodology &amp; Assumptions'!$B$8, "Tier 2 High GIDA (Score 40.0–49.9)", "Tier 3 Moderate GIDA (Score &lt; 40.0)"))</f>
        <v/>
      </c>
      <c r="V516" s="26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W516" s="28" t="n">
        <v>0.11</v>
      </c>
      <c r="X516" s="14" t="n">
        <v>50.02</v>
      </c>
      <c r="Y516" s="14">
        <f>ROUND(MIN(100, (X516/69.91)*100), 2)</f>
        <v/>
      </c>
    </row>
    <row r="517">
      <c r="A517" s="10" t="n">
        <v>2</v>
      </c>
      <c r="B517" s="10" t="n">
        <v>513</v>
      </c>
      <c r="C517" s="10" t="n">
        <v>1513</v>
      </c>
      <c r="D517" s="10" t="inlineStr">
        <is>
          <t>1906606003</t>
        </is>
      </c>
      <c r="E517" s="26" t="inlineStr">
        <is>
          <t>Bangsamoro Autonomous Region In Muslim Mindanao (BARMM)</t>
        </is>
      </c>
      <c r="F517" s="26" t="inlineStr">
        <is>
          <t>Sulu</t>
        </is>
      </c>
      <c r="G517" s="26" t="inlineStr">
        <is>
          <t>Hadji Panglima Tahil</t>
        </is>
      </c>
      <c r="H517" s="26" t="inlineStr">
        <is>
          <t>Kabuukan</t>
        </is>
      </c>
      <c r="I517" s="27" t="n">
        <v>17.255309</v>
      </c>
      <c r="J517" s="27" t="n">
        <v>122.229353</v>
      </c>
      <c r="K517" s="10" t="inlineStr">
        <is>
          <t>R</t>
        </is>
      </c>
      <c r="L517" s="12" t="n">
        <v>2973</v>
      </c>
      <c r="M517" s="14" t="n">
        <v>6</v>
      </c>
      <c r="N517" s="12">
        <f>ROUND(L517/M517, 0)</f>
        <v/>
      </c>
      <c r="O517" s="12">
        <f>ROUND(N517*'Methodology &amp; Assumptions'!$B$5, 0)</f>
        <v/>
      </c>
      <c r="P517" s="10" t="inlineStr">
        <is>
          <t>Single Carrier (Band n50, 100MHz TDD)</t>
        </is>
      </c>
      <c r="Q517" s="13">
        <f>ROUNDUP(O517/'Methodology &amp; Assumptions'!$B$6, 0)</f>
        <v/>
      </c>
      <c r="R517" s="13" t="n">
        <v>1</v>
      </c>
      <c r="S517" s="14" t="n">
        <v>29.49</v>
      </c>
      <c r="T517" s="14" t="n">
        <v>34.36</v>
      </c>
      <c r="U517" s="26">
        <f>IF(X517&gt;='Methodology &amp; Assumptions'!$B$7, "Tier 1 Critical GIDA (Score ≥ 50.0)", IF(X517&gt;='Methodology &amp; Assumptions'!$B$8, "Tier 2 High GIDA (Score 40.0–49.9)", "Tier 3 Moderate GIDA (Score &lt; 40.0)"))</f>
        <v/>
      </c>
      <c r="V517" s="26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W517" s="28" t="n">
        <v>0.11</v>
      </c>
      <c r="X517" s="14" t="n">
        <v>50.02</v>
      </c>
      <c r="Y517" s="14">
        <f>ROUND(MIN(100, (X517/69.91)*100), 2)</f>
        <v/>
      </c>
    </row>
    <row r="518">
      <c r="A518" s="10" t="n">
        <v>2</v>
      </c>
      <c r="B518" s="10" t="n">
        <v>514</v>
      </c>
      <c r="C518" s="10" t="n">
        <v>1514</v>
      </c>
      <c r="D518" s="10" t="inlineStr">
        <is>
          <t>1908708006</t>
        </is>
      </c>
      <c r="E518" s="26" t="inlineStr">
        <is>
          <t>Bangsamoro Autonomous Region In Muslim Mindanao (BARMM)</t>
        </is>
      </c>
      <c r="F518" s="26" t="inlineStr">
        <is>
          <t>Maguindanao del Norte</t>
        </is>
      </c>
      <c r="G518" s="26" t="inlineStr">
        <is>
          <t>Northern Kabuntalan</t>
        </is>
      </c>
      <c r="H518" s="26" t="inlineStr">
        <is>
          <t>Kapimpilan</t>
        </is>
      </c>
      <c r="I518" s="27" t="n">
        <v>17.250926</v>
      </c>
      <c r="J518" s="27" t="n">
        <v>122.239828</v>
      </c>
      <c r="K518" s="10" t="inlineStr">
        <is>
          <t>R</t>
        </is>
      </c>
      <c r="L518" s="12" t="n">
        <v>3410</v>
      </c>
      <c r="M518" s="14" t="n">
        <v>4.3</v>
      </c>
      <c r="N518" s="12">
        <f>ROUND(L518/M518, 0)</f>
        <v/>
      </c>
      <c r="O518" s="12">
        <f>ROUND(N518*'Methodology &amp; Assumptions'!$B$5, 0)</f>
        <v/>
      </c>
      <c r="P518" s="10" t="inlineStr">
        <is>
          <t>Single Carrier (Band n50, 100MHz TDD)</t>
        </is>
      </c>
      <c r="Q518" s="13">
        <f>ROUNDUP(O518/'Methodology &amp; Assumptions'!$B$6, 0)</f>
        <v/>
      </c>
      <c r="R518" s="13" t="n">
        <v>1</v>
      </c>
      <c r="S518" s="14" t="n">
        <v>30.05</v>
      </c>
      <c r="T518" s="14" t="n">
        <v>35.29</v>
      </c>
      <c r="U518" s="26">
        <f>IF(X518&gt;='Methodology &amp; Assumptions'!$B$7, "Tier 1 Critical GIDA (Score ≥ 50.0)", IF(X518&gt;='Methodology &amp; Assumptions'!$B$8, "Tier 2 High GIDA (Score 40.0–49.9)", "Tier 3 Moderate GIDA (Score &lt; 40.0)"))</f>
        <v/>
      </c>
      <c r="V518" s="26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W518" s="28" t="n">
        <v>0.11</v>
      </c>
      <c r="X518" s="14" t="n">
        <v>50.02</v>
      </c>
      <c r="Y518" s="14">
        <f>ROUND(MIN(100, (X518/69.91)*100), 2)</f>
        <v/>
      </c>
    </row>
    <row r="519">
      <c r="A519" s="10" t="n">
        <v>2</v>
      </c>
      <c r="B519" s="10" t="n">
        <v>515</v>
      </c>
      <c r="C519" s="10" t="n">
        <v>1515</v>
      </c>
      <c r="D519" s="10" t="inlineStr">
        <is>
          <t>1108604022</t>
        </is>
      </c>
      <c r="E519" s="26" t="inlineStr">
        <is>
          <t>Region XI (Davao Region)</t>
        </is>
      </c>
      <c r="F519" s="26" t="inlineStr">
        <is>
          <t>Davao Occidental</t>
        </is>
      </c>
      <c r="G519" s="26" t="inlineStr">
        <is>
          <t>Santa Maria</t>
        </is>
      </c>
      <c r="H519" s="26" t="inlineStr">
        <is>
          <t>Datu Intan</t>
        </is>
      </c>
      <c r="I519" s="27" t="n">
        <v>6.462154</v>
      </c>
      <c r="J519" s="27" t="n">
        <v>125.400415</v>
      </c>
      <c r="K519" s="10" t="inlineStr">
        <is>
          <t>R</t>
        </is>
      </c>
      <c r="L519" s="12" t="n">
        <v>1659</v>
      </c>
      <c r="M519" s="14" t="n">
        <v>3.6</v>
      </c>
      <c r="N519" s="12">
        <f>ROUND(L519/M519, 0)</f>
        <v/>
      </c>
      <c r="O519" s="12">
        <f>ROUND(N519*'Methodology &amp; Assumptions'!$B$5, 0)</f>
        <v/>
      </c>
      <c r="P519" s="10" t="inlineStr">
        <is>
          <t>Single Carrier (Band n50, 100MHz TDD)</t>
        </is>
      </c>
      <c r="Q519" s="13">
        <f>ROUNDUP(O519/'Methodology &amp; Assumptions'!$B$6, 0)</f>
        <v/>
      </c>
      <c r="R519" s="13" t="n">
        <v>1</v>
      </c>
      <c r="S519" s="14" t="n">
        <v>9.08</v>
      </c>
      <c r="T519" s="14" t="n">
        <v>6.44</v>
      </c>
      <c r="U519" s="26">
        <f>IF(X519&gt;='Methodology &amp; Assumptions'!$B$7, "Tier 1 Critical GIDA (Score ≥ 50.0)", IF(X519&gt;='Methodology &amp; Assumptions'!$B$8, "Tier 2 High GIDA (Score 40.0–49.9)", "Tier 3 Moderate GIDA (Score &lt; 40.0)"))</f>
        <v/>
      </c>
      <c r="V519" s="26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W519" s="28" t="n">
        <v>0.174</v>
      </c>
      <c r="X519" s="14" t="n">
        <v>50.02</v>
      </c>
      <c r="Y519" s="14">
        <f>ROUND(MIN(100, (X519/69.91)*100), 2)</f>
        <v/>
      </c>
    </row>
    <row r="520">
      <c r="A520" s="10" t="n">
        <v>2</v>
      </c>
      <c r="B520" s="10" t="n">
        <v>516</v>
      </c>
      <c r="C520" s="10" t="n">
        <v>1516</v>
      </c>
      <c r="D520" s="10" t="inlineStr">
        <is>
          <t>1906614010</t>
        </is>
      </c>
      <c r="E520" s="26" t="inlineStr">
        <is>
          <t>Bangsamoro Autonomous Region In Muslim Mindanao (BARMM)</t>
        </is>
      </c>
      <c r="F520" s="26" t="inlineStr">
        <is>
          <t>Sulu</t>
        </is>
      </c>
      <c r="G520" s="26" t="inlineStr">
        <is>
          <t>Tapul</t>
        </is>
      </c>
      <c r="H520" s="26" t="inlineStr">
        <is>
          <t>Hawan</t>
        </is>
      </c>
      <c r="I520" s="27" t="n">
        <v>17.255641</v>
      </c>
      <c r="J520" s="27" t="n">
        <v>122.229685</v>
      </c>
      <c r="K520" s="10" t="inlineStr">
        <is>
          <t>R</t>
        </is>
      </c>
      <c r="L520" s="12" t="n">
        <v>1481</v>
      </c>
      <c r="M520" s="14" t="n">
        <v>6</v>
      </c>
      <c r="N520" s="12">
        <f>ROUND(L520/M520, 0)</f>
        <v/>
      </c>
      <c r="O520" s="12">
        <f>ROUND(N520*'Methodology &amp; Assumptions'!$B$5, 0)</f>
        <v/>
      </c>
      <c r="P520" s="10" t="inlineStr">
        <is>
          <t>Single Carrier (Band n50, 100MHz TDD)</t>
        </is>
      </c>
      <c r="Q520" s="13">
        <f>ROUNDUP(O520/'Methodology &amp; Assumptions'!$B$6, 0)</f>
        <v/>
      </c>
      <c r="R520" s="13" t="n">
        <v>1</v>
      </c>
      <c r="S520" s="14" t="n">
        <v>29.54</v>
      </c>
      <c r="T520" s="14" t="n">
        <v>34.4</v>
      </c>
      <c r="U520" s="26">
        <f>IF(X520&gt;='Methodology &amp; Assumptions'!$B$7, "Tier 1 Critical GIDA (Score ≥ 50.0)", IF(X520&gt;='Methodology &amp; Assumptions'!$B$8, "Tier 2 High GIDA (Score 40.0–49.9)", "Tier 3 Moderate GIDA (Score &lt; 40.0)"))</f>
        <v/>
      </c>
      <c r="V520" s="26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W520" s="28" t="n">
        <v>0.11</v>
      </c>
      <c r="X520" s="14" t="n">
        <v>50.02</v>
      </c>
      <c r="Y520" s="14">
        <f>ROUND(MIN(100, (X520/69.91)*100), 2)</f>
        <v/>
      </c>
    </row>
    <row r="521">
      <c r="A521" s="10" t="n">
        <v>2</v>
      </c>
      <c r="B521" s="10" t="n">
        <v>517</v>
      </c>
      <c r="C521" s="10" t="n">
        <v>1517</v>
      </c>
      <c r="D521" s="10" t="inlineStr">
        <is>
          <t>0907313019</t>
        </is>
      </c>
      <c r="E521" s="26" t="inlineStr">
        <is>
          <t>Region IX (Zamboanga Peninsula)</t>
        </is>
      </c>
      <c r="F521" s="26" t="inlineStr">
        <is>
          <t>Zamboanga del Sur</t>
        </is>
      </c>
      <c r="G521" s="26" t="inlineStr">
        <is>
          <t>Lapuyan</t>
        </is>
      </c>
      <c r="H521" s="26" t="inlineStr">
        <is>
          <t>Pantad</t>
        </is>
      </c>
      <c r="I521" s="27" t="n">
        <v>7.660334</v>
      </c>
      <c r="J521" s="27" t="n">
        <v>123.16757</v>
      </c>
      <c r="K521" s="10" t="inlineStr">
        <is>
          <t>R</t>
        </is>
      </c>
      <c r="L521" s="12" t="n">
        <v>428</v>
      </c>
      <c r="M521" s="14" t="n">
        <v>3.9</v>
      </c>
      <c r="N521" s="12">
        <f>ROUND(L521/M521, 0)</f>
        <v/>
      </c>
      <c r="O521" s="12">
        <f>ROUND(N521*'Methodology &amp; Assumptions'!$B$5, 0)</f>
        <v/>
      </c>
      <c r="P521" s="10" t="inlineStr">
        <is>
          <t>Single Carrier (Band n50, 100MHz TDD)</t>
        </is>
      </c>
      <c r="Q521" s="13">
        <f>ROUNDUP(O521/'Methodology &amp; Assumptions'!$B$6, 0)</f>
        <v/>
      </c>
      <c r="R521" s="13" t="n">
        <v>1</v>
      </c>
      <c r="S521" s="14" t="n">
        <v>14.61</v>
      </c>
      <c r="T521" s="14" t="n">
        <v>11.15</v>
      </c>
      <c r="U521" s="26">
        <f>IF(X521&gt;='Methodology &amp; Assumptions'!$B$7, "Tier 1 Critical GIDA (Score ≥ 50.0)", IF(X521&gt;='Methodology &amp; Assumptions'!$B$8, "Tier 2 High GIDA (Score 40.0–49.9)", "Tier 3 Moderate GIDA (Score &lt; 40.0)"))</f>
        <v/>
      </c>
      <c r="V521" s="26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W521" s="28" t="n">
        <v>0.11</v>
      </c>
      <c r="X521" s="14" t="n">
        <v>50.02</v>
      </c>
      <c r="Y521" s="14">
        <f>ROUND(MIN(100, (X521/69.91)*100), 2)</f>
        <v/>
      </c>
    </row>
    <row r="522">
      <c r="A522" s="10" t="n">
        <v>2</v>
      </c>
      <c r="B522" s="10" t="n">
        <v>518</v>
      </c>
      <c r="C522" s="10" t="n">
        <v>1518</v>
      </c>
      <c r="D522" s="10" t="inlineStr">
        <is>
          <t>1906610006</t>
        </is>
      </c>
      <c r="E522" s="26" t="inlineStr">
        <is>
          <t>Bangsamoro Autonomous Region In Muslim Mindanao (BARMM)</t>
        </is>
      </c>
      <c r="F522" s="26" t="inlineStr">
        <is>
          <t>Sulu</t>
        </is>
      </c>
      <c r="G522" s="26" t="inlineStr">
        <is>
          <t>Pata</t>
        </is>
      </c>
      <c r="H522" s="26" t="inlineStr">
        <is>
          <t>Kayawan</t>
        </is>
      </c>
      <c r="I522" s="27" t="n">
        <v>17.255547</v>
      </c>
      <c r="J522" s="27" t="n">
        <v>122.229591</v>
      </c>
      <c r="K522" s="10" t="inlineStr">
        <is>
          <t>R</t>
        </is>
      </c>
      <c r="L522" s="12" t="n">
        <v>2268</v>
      </c>
      <c r="M522" s="14" t="n">
        <v>6</v>
      </c>
      <c r="N522" s="12">
        <f>ROUND(L522/M522, 0)</f>
        <v/>
      </c>
      <c r="O522" s="12">
        <f>ROUND(N522*'Methodology &amp; Assumptions'!$B$5, 0)</f>
        <v/>
      </c>
      <c r="P522" s="10" t="inlineStr">
        <is>
          <t>Single Carrier (Band n50, 100MHz TDD)</t>
        </is>
      </c>
      <c r="Q522" s="13">
        <f>ROUNDUP(O522/'Methodology &amp; Assumptions'!$B$6, 0)</f>
        <v/>
      </c>
      <c r="R522" s="13" t="n">
        <v>1</v>
      </c>
      <c r="S522" s="14" t="n">
        <v>29.52</v>
      </c>
      <c r="T522" s="14" t="n">
        <v>34.39</v>
      </c>
      <c r="U522" s="26">
        <f>IF(X522&gt;='Methodology &amp; Assumptions'!$B$7, "Tier 1 Critical GIDA (Score ≥ 50.0)", IF(X522&gt;='Methodology &amp; Assumptions'!$B$8, "Tier 2 High GIDA (Score 40.0–49.9)", "Tier 3 Moderate GIDA (Score &lt; 40.0)"))</f>
        <v/>
      </c>
      <c r="V522" s="26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W522" s="28" t="n">
        <v>0.11</v>
      </c>
      <c r="X522" s="14" t="n">
        <v>50.02</v>
      </c>
      <c r="Y522" s="14">
        <f>ROUND(MIN(100, (X522/69.91)*100), 2)</f>
        <v/>
      </c>
    </row>
    <row r="523">
      <c r="A523" s="10" t="n">
        <v>2</v>
      </c>
      <c r="B523" s="10" t="n">
        <v>519</v>
      </c>
      <c r="C523" s="10" t="n">
        <v>1519</v>
      </c>
      <c r="D523" s="10" t="inlineStr">
        <is>
          <t>1906614017</t>
        </is>
      </c>
      <c r="E523" s="26" t="inlineStr">
        <is>
          <t>Bangsamoro Autonomous Region In Muslim Mindanao (BARMM)</t>
        </is>
      </c>
      <c r="F523" s="26" t="inlineStr">
        <is>
          <t>Sulu</t>
        </is>
      </c>
      <c r="G523" s="26" t="inlineStr">
        <is>
          <t>Tapul</t>
        </is>
      </c>
      <c r="H523" s="26" t="inlineStr">
        <is>
          <t>Kanmangon</t>
        </is>
      </c>
      <c r="I523" s="27" t="n">
        <v>17.255644</v>
      </c>
      <c r="J523" s="27" t="n">
        <v>122.229688</v>
      </c>
      <c r="K523" s="10" t="inlineStr">
        <is>
          <t>R</t>
        </is>
      </c>
      <c r="L523" s="12" t="n">
        <v>1204</v>
      </c>
      <c r="M523" s="14" t="n">
        <v>6</v>
      </c>
      <c r="N523" s="12">
        <f>ROUND(L523/M523, 0)</f>
        <v/>
      </c>
      <c r="O523" s="12">
        <f>ROUND(N523*'Methodology &amp; Assumptions'!$B$5, 0)</f>
        <v/>
      </c>
      <c r="P523" s="10" t="inlineStr">
        <is>
          <t>Single Carrier (Band n50, 100MHz TDD)</t>
        </is>
      </c>
      <c r="Q523" s="13">
        <f>ROUNDUP(O523/'Methodology &amp; Assumptions'!$B$6, 0)</f>
        <v/>
      </c>
      <c r="R523" s="13" t="n">
        <v>1</v>
      </c>
      <c r="S523" s="14" t="n">
        <v>29.54</v>
      </c>
      <c r="T523" s="14" t="n">
        <v>34.4</v>
      </c>
      <c r="U523" s="26">
        <f>IF(X523&gt;='Methodology &amp; Assumptions'!$B$7, "Tier 1 Critical GIDA (Score ≥ 50.0)", IF(X523&gt;='Methodology &amp; Assumptions'!$B$8, "Tier 2 High GIDA (Score 40.0–49.9)", "Tier 3 Moderate GIDA (Score &lt; 40.0)"))</f>
        <v/>
      </c>
      <c r="V523" s="26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W523" s="28" t="n">
        <v>0.11</v>
      </c>
      <c r="X523" s="14" t="n">
        <v>50.02</v>
      </c>
      <c r="Y523" s="14">
        <f>ROUND(MIN(100, (X523/69.91)*100), 2)</f>
        <v/>
      </c>
    </row>
    <row r="524">
      <c r="A524" s="10" t="n">
        <v>2</v>
      </c>
      <c r="B524" s="10" t="n">
        <v>520</v>
      </c>
      <c r="C524" s="10" t="n">
        <v>1520</v>
      </c>
      <c r="D524" s="10" t="inlineStr">
        <is>
          <t>1003523029</t>
        </is>
      </c>
      <c r="E524" s="26" t="inlineStr">
        <is>
          <t>Region X (Northern Mindanao)</t>
        </is>
      </c>
      <c r="F524" s="26" t="inlineStr">
        <is>
          <t>Lanao del Norte</t>
        </is>
      </c>
      <c r="G524" s="26" t="inlineStr">
        <is>
          <t>Pantar</t>
        </is>
      </c>
      <c r="H524" s="26" t="inlineStr">
        <is>
          <t>Tawanan</t>
        </is>
      </c>
      <c r="I524" s="27" t="n">
        <v>8.073802000000001</v>
      </c>
      <c r="J524" s="27" t="n">
        <v>124.268509</v>
      </c>
      <c r="K524" s="10" t="inlineStr">
        <is>
          <t>R</t>
        </is>
      </c>
      <c r="L524" s="12" t="n">
        <v>959</v>
      </c>
      <c r="M524" s="14" t="n">
        <v>4.2</v>
      </c>
      <c r="N524" s="12">
        <f>ROUND(L524/M524, 0)</f>
        <v/>
      </c>
      <c r="O524" s="12">
        <f>ROUND(N524*'Methodology &amp; Assumptions'!$B$5, 0)</f>
        <v/>
      </c>
      <c r="P524" s="10" t="inlineStr">
        <is>
          <t>Single Carrier (Band n50, 100MHz TDD)</t>
        </is>
      </c>
      <c r="Q524" s="13">
        <f>ROUNDUP(O524/'Methodology &amp; Assumptions'!$B$6, 0)</f>
        <v/>
      </c>
      <c r="R524" s="13" t="n">
        <v>1</v>
      </c>
      <c r="S524" s="14" t="n">
        <v>7.12</v>
      </c>
      <c r="T524" s="14" t="n">
        <v>1.25</v>
      </c>
      <c r="U524" s="26">
        <f>IF(X524&gt;='Methodology &amp; Assumptions'!$B$7, "Tier 1 Critical GIDA (Score ≥ 50.0)", IF(X524&gt;='Methodology &amp; Assumptions'!$B$8, "Tier 2 High GIDA (Score 40.0–49.9)", "Tier 3 Moderate GIDA (Score &lt; 40.0)"))</f>
        <v/>
      </c>
      <c r="V524" s="26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W524" s="28" t="n">
        <v>0.174</v>
      </c>
      <c r="X524" s="14" t="n">
        <v>50.02</v>
      </c>
      <c r="Y524" s="14">
        <f>ROUND(MIN(100, (X524/69.91)*100), 2)</f>
        <v/>
      </c>
    </row>
    <row r="525">
      <c r="A525" s="10" t="n">
        <v>2</v>
      </c>
      <c r="B525" s="10" t="n">
        <v>521</v>
      </c>
      <c r="C525" s="10" t="n">
        <v>1521</v>
      </c>
      <c r="D525" s="10" t="inlineStr">
        <is>
          <t>1906612030</t>
        </is>
      </c>
      <c r="E525" s="26" t="inlineStr">
        <is>
          <t>Bangsamoro Autonomous Region In Muslim Mindanao (BARMM)</t>
        </is>
      </c>
      <c r="F525" s="26" t="inlineStr">
        <is>
          <t>Sulu</t>
        </is>
      </c>
      <c r="G525" s="26" t="inlineStr">
        <is>
          <t>Siasi</t>
        </is>
      </c>
      <c r="H525" s="26" t="inlineStr">
        <is>
          <t>Manta</t>
        </is>
      </c>
      <c r="I525" s="27" t="n">
        <v>17.255472</v>
      </c>
      <c r="J525" s="27" t="n">
        <v>122.229516</v>
      </c>
      <c r="K525" s="10" t="inlineStr">
        <is>
          <t>R</t>
        </is>
      </c>
      <c r="L525" s="12" t="n">
        <v>1621</v>
      </c>
      <c r="M525" s="14" t="n">
        <v>6</v>
      </c>
      <c r="N525" s="12">
        <f>ROUND(L525/M525, 0)</f>
        <v/>
      </c>
      <c r="O525" s="12">
        <f>ROUND(N525*'Methodology &amp; Assumptions'!$B$5, 0)</f>
        <v/>
      </c>
      <c r="P525" s="10" t="inlineStr">
        <is>
          <t>Single Carrier (Band n50, 100MHz TDD)</t>
        </is>
      </c>
      <c r="Q525" s="13">
        <f>ROUNDUP(O525/'Methodology &amp; Assumptions'!$B$6, 0)</f>
        <v/>
      </c>
      <c r="R525" s="13" t="n">
        <v>1</v>
      </c>
      <c r="S525" s="14" t="n">
        <v>29.51</v>
      </c>
      <c r="T525" s="14" t="n">
        <v>34.38</v>
      </c>
      <c r="U525" s="26">
        <f>IF(X525&gt;='Methodology &amp; Assumptions'!$B$7, "Tier 1 Critical GIDA (Score ≥ 50.0)", IF(X525&gt;='Methodology &amp; Assumptions'!$B$8, "Tier 2 High GIDA (Score 40.0–49.9)", "Tier 3 Moderate GIDA (Score &lt; 40.0)"))</f>
        <v/>
      </c>
      <c r="V525" s="26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W525" s="28" t="n">
        <v>0.11</v>
      </c>
      <c r="X525" s="14" t="n">
        <v>50.02</v>
      </c>
      <c r="Y525" s="14">
        <f>ROUND(MIN(100, (X525/69.91)*100), 2)</f>
        <v/>
      </c>
    </row>
    <row r="526">
      <c r="A526" s="10" t="n">
        <v>2</v>
      </c>
      <c r="B526" s="10" t="n">
        <v>522</v>
      </c>
      <c r="C526" s="10" t="n">
        <v>1522</v>
      </c>
      <c r="D526" s="10" t="inlineStr">
        <is>
          <t>1903606023</t>
        </is>
      </c>
      <c r="E526" s="26" t="inlineStr">
        <is>
          <t>Bangsamoro Autonomous Region In Muslim Mindanao (BARMM)</t>
        </is>
      </c>
      <c r="F526" s="26" t="inlineStr">
        <is>
          <t>Lanao del Sur</t>
        </is>
      </c>
      <c r="G526" s="26" t="inlineStr">
        <is>
          <t>Bubong</t>
        </is>
      </c>
      <c r="H526" s="26" t="inlineStr">
        <is>
          <t>Dibarosan</t>
        </is>
      </c>
      <c r="I526" s="27" t="n">
        <v>16.173311</v>
      </c>
      <c r="J526" s="27" t="n">
        <v>122.459529</v>
      </c>
      <c r="K526" s="10" t="inlineStr">
        <is>
          <t>R</t>
        </is>
      </c>
      <c r="L526" s="12" t="n">
        <v>685</v>
      </c>
      <c r="M526" s="14" t="n">
        <v>5.7</v>
      </c>
      <c r="N526" s="12">
        <f>ROUND(L526/M526, 0)</f>
        <v/>
      </c>
      <c r="O526" s="12">
        <f>ROUND(N526*'Methodology &amp; Assumptions'!$B$5, 0)</f>
        <v/>
      </c>
      <c r="P526" s="10" t="inlineStr">
        <is>
          <t>Single Carrier (Band n50, 100MHz TDD)</t>
        </is>
      </c>
      <c r="Q526" s="13">
        <f>ROUNDUP(O526/'Methodology &amp; Assumptions'!$B$6, 0)</f>
        <v/>
      </c>
      <c r="R526" s="13" t="n">
        <v>1</v>
      </c>
      <c r="S526" s="14" t="n">
        <v>37.61</v>
      </c>
      <c r="T526" s="14" t="n">
        <v>36.73</v>
      </c>
      <c r="U526" s="26">
        <f>IF(X526&gt;='Methodology &amp; Assumptions'!$B$7, "Tier 1 Critical GIDA (Score ≥ 50.0)", IF(X526&gt;='Methodology &amp; Assumptions'!$B$8, "Tier 2 High GIDA (Score 40.0–49.9)", "Tier 3 Moderate GIDA (Score &lt; 40.0)"))</f>
        <v/>
      </c>
      <c r="V526" s="26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W526" s="28" t="n">
        <v>0.11</v>
      </c>
      <c r="X526" s="14" t="n">
        <v>50.02</v>
      </c>
      <c r="Y526" s="14">
        <f>ROUND(MIN(100, (X526/69.91)*100), 2)</f>
        <v/>
      </c>
    </row>
    <row r="527">
      <c r="A527" s="10" t="n">
        <v>2</v>
      </c>
      <c r="B527" s="10" t="n">
        <v>523</v>
      </c>
      <c r="C527" s="10" t="n">
        <v>1523</v>
      </c>
      <c r="D527" s="10" t="inlineStr">
        <is>
          <t>0907333005</t>
        </is>
      </c>
      <c r="E527" s="26" t="inlineStr">
        <is>
          <t>Region IX (Zamboanga Peninsula)</t>
        </is>
      </c>
      <c r="F527" s="26" t="inlineStr">
        <is>
          <t>Zamboanga del Sur</t>
        </is>
      </c>
      <c r="G527" s="26" t="inlineStr">
        <is>
          <t>Lakewood</t>
        </is>
      </c>
      <c r="H527" s="26" t="inlineStr">
        <is>
          <t>Dagum</t>
        </is>
      </c>
      <c r="I527" s="27" t="n">
        <v>7.918028</v>
      </c>
      <c r="J527" s="27" t="n">
        <v>123.142191</v>
      </c>
      <c r="K527" s="10" t="inlineStr">
        <is>
          <t>R</t>
        </is>
      </c>
      <c r="L527" s="12" t="n">
        <v>555</v>
      </c>
      <c r="M527" s="14" t="n">
        <v>3.9</v>
      </c>
      <c r="N527" s="12">
        <f>ROUND(L527/M527, 0)</f>
        <v/>
      </c>
      <c r="O527" s="12">
        <f>ROUND(N527*'Methodology &amp; Assumptions'!$B$5, 0)</f>
        <v/>
      </c>
      <c r="P527" s="10" t="inlineStr">
        <is>
          <t>Single Carrier (Band n50, 100MHz TDD)</t>
        </is>
      </c>
      <c r="Q527" s="13">
        <f>ROUNDUP(O527/'Methodology &amp; Assumptions'!$B$6, 0)</f>
        <v/>
      </c>
      <c r="R527" s="13" t="n">
        <v>1</v>
      </c>
      <c r="S527" s="14" t="n">
        <v>23.03</v>
      </c>
      <c r="T527" s="14" t="n">
        <v>13.6</v>
      </c>
      <c r="U527" s="26">
        <f>IF(X527&gt;='Methodology &amp; Assumptions'!$B$7, "Tier 1 Critical GIDA (Score ≥ 50.0)", IF(X527&gt;='Methodology &amp; Assumptions'!$B$8, "Tier 2 High GIDA (Score 40.0–49.9)", "Tier 3 Moderate GIDA (Score &lt; 40.0)"))</f>
        <v/>
      </c>
      <c r="V527" s="26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W527" s="28" t="n">
        <v>0.11</v>
      </c>
      <c r="X527" s="14" t="n">
        <v>50.02</v>
      </c>
      <c r="Y527" s="14">
        <f>ROUND(MIN(100, (X527/69.91)*100), 2)</f>
        <v/>
      </c>
    </row>
    <row r="528">
      <c r="A528" s="10" t="n">
        <v>2</v>
      </c>
      <c r="B528" s="10" t="n">
        <v>524</v>
      </c>
      <c r="C528" s="10" t="n">
        <v>1524</v>
      </c>
      <c r="D528" s="10" t="inlineStr">
        <is>
          <t>0908306027</t>
        </is>
      </c>
      <c r="E528" s="26" t="inlineStr">
        <is>
          <t>Region IX (Zamboanga Peninsula)</t>
        </is>
      </c>
      <c r="F528" s="26" t="inlineStr">
        <is>
          <t>Zamboanga Sibugay</t>
        </is>
      </c>
      <c r="G528" s="26" t="inlineStr">
        <is>
          <t>Kabasalan</t>
        </is>
      </c>
      <c r="H528" s="26" t="inlineStr">
        <is>
          <t>Shiolan</t>
        </is>
      </c>
      <c r="I528" s="27" t="n">
        <v>7.932441</v>
      </c>
      <c r="J528" s="27" t="n">
        <v>122.839432</v>
      </c>
      <c r="K528" s="10" t="inlineStr">
        <is>
          <t>R</t>
        </is>
      </c>
      <c r="L528" s="12" t="n">
        <v>519</v>
      </c>
      <c r="M528" s="14" t="n">
        <v>4.2</v>
      </c>
      <c r="N528" s="12">
        <f>ROUND(L528/M528, 0)</f>
        <v/>
      </c>
      <c r="O528" s="12">
        <f>ROUND(N528*'Methodology &amp; Assumptions'!$B$5, 0)</f>
        <v/>
      </c>
      <c r="P528" s="10" t="inlineStr">
        <is>
          <t>Single Carrier (Band n50, 100MHz TDD)</t>
        </is>
      </c>
      <c r="Q528" s="13">
        <f>ROUNDUP(O528/'Methodology &amp; Assumptions'!$B$6, 0)</f>
        <v/>
      </c>
      <c r="R528" s="13" t="n">
        <v>1</v>
      </c>
      <c r="S528" s="14" t="n">
        <v>32.74</v>
      </c>
      <c r="T528" s="14" t="n">
        <v>16.96</v>
      </c>
      <c r="U528" s="26">
        <f>IF(X528&gt;='Methodology &amp; Assumptions'!$B$7, "Tier 1 Critical GIDA (Score ≥ 50.0)", IF(X528&gt;='Methodology &amp; Assumptions'!$B$8, "Tier 2 High GIDA (Score 40.0–49.9)", "Tier 3 Moderate GIDA (Score &lt; 40.0)"))</f>
        <v/>
      </c>
      <c r="V528" s="26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W528" s="28" t="n">
        <v>0.11</v>
      </c>
      <c r="X528" s="14" t="n">
        <v>50.02</v>
      </c>
      <c r="Y528" s="14">
        <f>ROUND(MIN(100, (X528/69.91)*100), 2)</f>
        <v/>
      </c>
    </row>
    <row r="529">
      <c r="A529" s="10" t="n">
        <v>2</v>
      </c>
      <c r="B529" s="10" t="n">
        <v>525</v>
      </c>
      <c r="C529" s="10" t="n">
        <v>1525</v>
      </c>
      <c r="D529" s="10" t="inlineStr">
        <is>
          <t>1906614025</t>
        </is>
      </c>
      <c r="E529" s="26" t="inlineStr">
        <is>
          <t>Bangsamoro Autonomous Region In Muslim Mindanao (BARMM)</t>
        </is>
      </c>
      <c r="F529" s="26" t="inlineStr">
        <is>
          <t>Sulu</t>
        </is>
      </c>
      <c r="G529" s="26" t="inlineStr">
        <is>
          <t>Tapul</t>
        </is>
      </c>
      <c r="H529" s="26" t="inlineStr">
        <is>
          <t>Pagatpat</t>
        </is>
      </c>
      <c r="I529" s="27" t="n">
        <v>17.255646</v>
      </c>
      <c r="J529" s="27" t="n">
        <v>122.22969</v>
      </c>
      <c r="K529" s="10" t="inlineStr">
        <is>
          <t>R</t>
        </is>
      </c>
      <c r="L529" s="12" t="n">
        <v>1371</v>
      </c>
      <c r="M529" s="14" t="n">
        <v>6</v>
      </c>
      <c r="N529" s="12">
        <f>ROUND(L529/M529, 0)</f>
        <v/>
      </c>
      <c r="O529" s="12">
        <f>ROUND(N529*'Methodology &amp; Assumptions'!$B$5, 0)</f>
        <v/>
      </c>
      <c r="P529" s="10" t="inlineStr">
        <is>
          <t>Single Carrier (Band n50, 100MHz TDD)</t>
        </is>
      </c>
      <c r="Q529" s="13">
        <f>ROUNDUP(O529/'Methodology &amp; Assumptions'!$B$6, 0)</f>
        <v/>
      </c>
      <c r="R529" s="13" t="n">
        <v>1</v>
      </c>
      <c r="S529" s="14" t="n">
        <v>29.54</v>
      </c>
      <c r="T529" s="14" t="n">
        <v>34.41</v>
      </c>
      <c r="U529" s="26">
        <f>IF(X529&gt;='Methodology &amp; Assumptions'!$B$7, "Tier 1 Critical GIDA (Score ≥ 50.0)", IF(X529&gt;='Methodology &amp; Assumptions'!$B$8, "Tier 2 High GIDA (Score 40.0–49.9)", "Tier 3 Moderate GIDA (Score &lt; 40.0)"))</f>
        <v/>
      </c>
      <c r="V529" s="26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W529" s="28" t="n">
        <v>0.11</v>
      </c>
      <c r="X529" s="14" t="n">
        <v>50.02</v>
      </c>
      <c r="Y529" s="14">
        <f>ROUND(MIN(100, (X529/69.91)*100), 2)</f>
        <v/>
      </c>
    </row>
    <row r="530">
      <c r="A530" s="10" t="n">
        <v>2</v>
      </c>
      <c r="B530" s="10" t="n">
        <v>526</v>
      </c>
      <c r="C530" s="10" t="n">
        <v>1526</v>
      </c>
      <c r="D530" s="10" t="inlineStr">
        <is>
          <t>1906608016</t>
        </is>
      </c>
      <c r="E530" s="26" t="inlineStr">
        <is>
          <t>Bangsamoro Autonomous Region In Muslim Mindanao (BARMM)</t>
        </is>
      </c>
      <c r="F530" s="26" t="inlineStr">
        <is>
          <t>Sulu</t>
        </is>
      </c>
      <c r="G530" s="26" t="inlineStr">
        <is>
          <t>Pangutaran</t>
        </is>
      </c>
      <c r="H530" s="26" t="inlineStr">
        <is>
          <t>Suang Bunah</t>
        </is>
      </c>
      <c r="I530" s="27" t="n">
        <v>17.255355</v>
      </c>
      <c r="J530" s="27" t="n">
        <v>122.229399</v>
      </c>
      <c r="K530" s="10" t="inlineStr">
        <is>
          <t>R</t>
        </is>
      </c>
      <c r="L530" s="12" t="n">
        <v>1851</v>
      </c>
      <c r="M530" s="14" t="n">
        <v>6</v>
      </c>
      <c r="N530" s="12">
        <f>ROUND(L530/M530, 0)</f>
        <v/>
      </c>
      <c r="O530" s="12">
        <f>ROUND(N530*'Methodology &amp; Assumptions'!$B$5, 0)</f>
        <v/>
      </c>
      <c r="P530" s="10" t="inlineStr">
        <is>
          <t>Single Carrier (Band n50, 100MHz TDD)</t>
        </is>
      </c>
      <c r="Q530" s="13">
        <f>ROUNDUP(O530/'Methodology &amp; Assumptions'!$B$6, 0)</f>
        <v/>
      </c>
      <c r="R530" s="13" t="n">
        <v>1</v>
      </c>
      <c r="S530" s="14" t="n">
        <v>29.49</v>
      </c>
      <c r="T530" s="14" t="n">
        <v>34.37</v>
      </c>
      <c r="U530" s="26">
        <f>IF(X530&gt;='Methodology &amp; Assumptions'!$B$7, "Tier 1 Critical GIDA (Score ≥ 50.0)", IF(X530&gt;='Methodology &amp; Assumptions'!$B$8, "Tier 2 High GIDA (Score 40.0–49.9)", "Tier 3 Moderate GIDA (Score &lt; 40.0)"))</f>
        <v/>
      </c>
      <c r="V530" s="26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W530" s="28" t="n">
        <v>0.11</v>
      </c>
      <c r="X530" s="14" t="n">
        <v>50.02</v>
      </c>
      <c r="Y530" s="14">
        <f>ROUND(MIN(100, (X530/69.91)*100), 2)</f>
        <v/>
      </c>
    </row>
    <row r="531">
      <c r="A531" s="10" t="n">
        <v>2</v>
      </c>
      <c r="B531" s="10" t="n">
        <v>527</v>
      </c>
      <c r="C531" s="10" t="n">
        <v>1527</v>
      </c>
      <c r="D531" s="10" t="inlineStr">
        <is>
          <t>1903610017</t>
        </is>
      </c>
      <c r="E531" s="26" t="inlineStr">
        <is>
          <t>Bangsamoro Autonomous Region In Muslim Mindanao (BARMM)</t>
        </is>
      </c>
      <c r="F531" s="26" t="inlineStr">
        <is>
          <t>Lanao del Sur</t>
        </is>
      </c>
      <c r="G531" s="26" t="inlineStr">
        <is>
          <t>Kapai</t>
        </is>
      </c>
      <c r="H531" s="26" t="inlineStr">
        <is>
          <t>Malna Proper</t>
        </is>
      </c>
      <c r="I531" s="27" t="n">
        <v>17.254406</v>
      </c>
      <c r="J531" s="27" t="n">
        <v>122.22845</v>
      </c>
      <c r="K531" s="10" t="inlineStr">
        <is>
          <t>R</t>
        </is>
      </c>
      <c r="L531" s="12" t="n">
        <v>1325</v>
      </c>
      <c r="M531" s="14" t="n">
        <v>5.7</v>
      </c>
      <c r="N531" s="12">
        <f>ROUND(L531/M531, 0)</f>
        <v/>
      </c>
      <c r="O531" s="12">
        <f>ROUND(N531*'Methodology &amp; Assumptions'!$B$5, 0)</f>
        <v/>
      </c>
      <c r="P531" s="10" t="inlineStr">
        <is>
          <t>Single Carrier (Band n50, 100MHz TDD)</t>
        </is>
      </c>
      <c r="Q531" s="13">
        <f>ROUNDUP(O531/'Methodology &amp; Assumptions'!$B$6, 0)</f>
        <v/>
      </c>
      <c r="R531" s="13" t="n">
        <v>1</v>
      </c>
      <c r="S531" s="14" t="n">
        <v>29.35</v>
      </c>
      <c r="T531" s="14" t="n">
        <v>34.24</v>
      </c>
      <c r="U531" s="26">
        <f>IF(X531&gt;='Methodology &amp; Assumptions'!$B$7, "Tier 1 Critical GIDA (Score ≥ 50.0)", IF(X531&gt;='Methodology &amp; Assumptions'!$B$8, "Tier 2 High GIDA (Score 40.0–49.9)", "Tier 3 Moderate GIDA (Score &lt; 40.0)"))</f>
        <v/>
      </c>
      <c r="V531" s="26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W531" s="28" t="n">
        <v>0.11</v>
      </c>
      <c r="X531" s="14" t="n">
        <v>50.02</v>
      </c>
      <c r="Y531" s="14">
        <f>ROUND(MIN(100, (X531/69.91)*100), 2)</f>
        <v/>
      </c>
    </row>
    <row r="532">
      <c r="A532" s="10" t="n">
        <v>2</v>
      </c>
      <c r="B532" s="10" t="n">
        <v>528</v>
      </c>
      <c r="C532" s="10" t="n">
        <v>1528</v>
      </c>
      <c r="D532" s="10" t="inlineStr">
        <is>
          <t>1903631032</t>
        </is>
      </c>
      <c r="E532" s="26" t="inlineStr">
        <is>
          <t>Bangsamoro Autonomous Region In Muslim Mindanao (BARMM)</t>
        </is>
      </c>
      <c r="F532" s="26" t="inlineStr">
        <is>
          <t>Lanao del Sur</t>
        </is>
      </c>
      <c r="G532" s="26" t="inlineStr">
        <is>
          <t>Marogong</t>
        </is>
      </c>
      <c r="H532" s="26" t="inlineStr">
        <is>
          <t>Calumbog</t>
        </is>
      </c>
      <c r="I532" s="27" t="n">
        <v>15.658903</v>
      </c>
      <c r="J532" s="27" t="n">
        <v>122.542483</v>
      </c>
      <c r="K532" s="10" t="inlineStr">
        <is>
          <t>R</t>
        </is>
      </c>
      <c r="L532" s="12" t="n">
        <v>1078</v>
      </c>
      <c r="M532" s="14" t="n">
        <v>5.7</v>
      </c>
      <c r="N532" s="12">
        <f>ROUND(L532/M532, 0)</f>
        <v/>
      </c>
      <c r="O532" s="12">
        <f>ROUND(N532*'Methodology &amp; Assumptions'!$B$5, 0)</f>
        <v/>
      </c>
      <c r="P532" s="10" t="inlineStr">
        <is>
          <t>Single Carrier (Band n50, 100MHz TDD)</t>
        </is>
      </c>
      <c r="Q532" s="13">
        <f>ROUNDUP(O532/'Methodology &amp; Assumptions'!$B$6, 0)</f>
        <v/>
      </c>
      <c r="R532" s="13" t="n">
        <v>1</v>
      </c>
      <c r="S532" s="14" t="n">
        <v>81.16</v>
      </c>
      <c r="T532" s="14" t="n">
        <v>79.98999999999999</v>
      </c>
      <c r="U532" s="26">
        <f>IF(X532&gt;='Methodology &amp; Assumptions'!$B$7, "Tier 1 Critical GIDA (Score ≥ 50.0)", IF(X532&gt;='Methodology &amp; Assumptions'!$B$8, "Tier 2 High GIDA (Score 40.0–49.9)", "Tier 3 Moderate GIDA (Score &lt; 40.0)"))</f>
        <v/>
      </c>
      <c r="V532" s="26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W532" s="28" t="n">
        <v>0.11</v>
      </c>
      <c r="X532" s="14" t="n">
        <v>50.02</v>
      </c>
      <c r="Y532" s="14">
        <f>ROUND(MIN(100, (X532/69.91)*100), 2)</f>
        <v/>
      </c>
    </row>
    <row r="533">
      <c r="A533" s="10" t="n">
        <v>2</v>
      </c>
      <c r="B533" s="10" t="n">
        <v>529</v>
      </c>
      <c r="C533" s="10" t="n">
        <v>1529</v>
      </c>
      <c r="D533" s="10" t="inlineStr">
        <is>
          <t>0908301014</t>
        </is>
      </c>
      <c r="E533" s="26" t="inlineStr">
        <is>
          <t>Region IX (Zamboanga Peninsula)</t>
        </is>
      </c>
      <c r="F533" s="26" t="inlineStr">
        <is>
          <t>Zamboanga Sibugay</t>
        </is>
      </c>
      <c r="G533" s="26" t="inlineStr">
        <is>
          <t>Alicia</t>
        </is>
      </c>
      <c r="H533" s="26" t="inlineStr">
        <is>
          <t>Litayon</t>
        </is>
      </c>
      <c r="I533" s="27" t="n">
        <v>7.459885</v>
      </c>
      <c r="J533" s="27" t="n">
        <v>122.967106</v>
      </c>
      <c r="K533" s="10" t="inlineStr">
        <is>
          <t>R</t>
        </is>
      </c>
      <c r="L533" s="12" t="n">
        <v>1161</v>
      </c>
      <c r="M533" s="14" t="n">
        <v>4.2</v>
      </c>
      <c r="N533" s="12">
        <f>ROUND(L533/M533, 0)</f>
        <v/>
      </c>
      <c r="O533" s="12">
        <f>ROUND(N533*'Methodology &amp; Assumptions'!$B$5, 0)</f>
        <v/>
      </c>
      <c r="P533" s="10" t="inlineStr">
        <is>
          <t>Single Carrier (Band n50, 100MHz TDD)</t>
        </is>
      </c>
      <c r="Q533" s="13">
        <f>ROUNDUP(O533/'Methodology &amp; Assumptions'!$B$6, 0)</f>
        <v/>
      </c>
      <c r="R533" s="13" t="n">
        <v>1</v>
      </c>
      <c r="S533" s="14" t="n">
        <v>31.54</v>
      </c>
      <c r="T533" s="14" t="n">
        <v>20.55</v>
      </c>
      <c r="U533" s="26">
        <f>IF(X533&gt;='Methodology &amp; Assumptions'!$B$7, "Tier 1 Critical GIDA (Score ≥ 50.0)", IF(X533&gt;='Methodology &amp; Assumptions'!$B$8, "Tier 2 High GIDA (Score 40.0–49.9)", "Tier 3 Moderate GIDA (Score &lt; 40.0)"))</f>
        <v/>
      </c>
      <c r="V533" s="26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W533" s="28" t="n">
        <v>0.11</v>
      </c>
      <c r="X533" s="14" t="n">
        <v>50.02</v>
      </c>
      <c r="Y533" s="14">
        <f>ROUND(MIN(100, (X533/69.91)*100), 2)</f>
        <v/>
      </c>
    </row>
    <row r="534">
      <c r="A534" s="10" t="n">
        <v>2</v>
      </c>
      <c r="B534" s="10" t="n">
        <v>530</v>
      </c>
      <c r="C534" s="10" t="n">
        <v>1530</v>
      </c>
      <c r="D534" s="10" t="inlineStr">
        <is>
          <t>0907325006</t>
        </is>
      </c>
      <c r="E534" s="26" t="inlineStr">
        <is>
          <t>Region IX (Zamboanga Peninsula)</t>
        </is>
      </c>
      <c r="F534" s="26" t="inlineStr">
        <is>
          <t>Zamboanga del Sur</t>
        </is>
      </c>
      <c r="G534" s="26" t="inlineStr">
        <is>
          <t>San Pablo</t>
        </is>
      </c>
      <c r="H534" s="26" t="inlineStr">
        <is>
          <t>Kalilangan</t>
        </is>
      </c>
      <c r="I534" s="27" t="n">
        <v>7.648344</v>
      </c>
      <c r="J534" s="27" t="n">
        <v>123.421207</v>
      </c>
      <c r="K534" s="10" t="inlineStr">
        <is>
          <t>R</t>
        </is>
      </c>
      <c r="L534" s="12" t="n">
        <v>1042</v>
      </c>
      <c r="M534" s="14" t="n">
        <v>3.9</v>
      </c>
      <c r="N534" s="12">
        <f>ROUND(L534/M534, 0)</f>
        <v/>
      </c>
      <c r="O534" s="12">
        <f>ROUND(N534*'Methodology &amp; Assumptions'!$B$5, 0)</f>
        <v/>
      </c>
      <c r="P534" s="10" t="inlineStr">
        <is>
          <t>Single Carrier (Band n50, 100MHz TDD)</t>
        </is>
      </c>
      <c r="Q534" s="13">
        <f>ROUNDUP(O534/'Methodology &amp; Assumptions'!$B$6, 0)</f>
        <v/>
      </c>
      <c r="R534" s="13" t="n">
        <v>1</v>
      </c>
      <c r="S534" s="14" t="n">
        <v>20.39</v>
      </c>
      <c r="T534" s="14" t="n">
        <v>19.45</v>
      </c>
      <c r="U534" s="26">
        <f>IF(X534&gt;='Methodology &amp; Assumptions'!$B$7, "Tier 1 Critical GIDA (Score ≥ 50.0)", IF(X534&gt;='Methodology &amp; Assumptions'!$B$8, "Tier 2 High GIDA (Score 40.0–49.9)", "Tier 3 Moderate GIDA (Score &lt; 40.0)"))</f>
        <v/>
      </c>
      <c r="V534" s="26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W534" s="28" t="n">
        <v>0.11</v>
      </c>
      <c r="X534" s="14" t="n">
        <v>50.02</v>
      </c>
      <c r="Y534" s="14">
        <f>ROUND(MIN(100, (X534/69.91)*100), 2)</f>
        <v/>
      </c>
    </row>
    <row r="535">
      <c r="A535" s="10" t="n">
        <v>2</v>
      </c>
      <c r="B535" s="10" t="n">
        <v>531</v>
      </c>
      <c r="C535" s="10" t="n">
        <v>1531</v>
      </c>
      <c r="D535" s="10" t="inlineStr">
        <is>
          <t>1906614033</t>
        </is>
      </c>
      <c r="E535" s="26" t="inlineStr">
        <is>
          <t>Bangsamoro Autonomous Region In Muslim Mindanao (BARMM)</t>
        </is>
      </c>
      <c r="F535" s="26" t="inlineStr">
        <is>
          <t>Sulu</t>
        </is>
      </c>
      <c r="G535" s="26" t="inlineStr">
        <is>
          <t>Tapul</t>
        </is>
      </c>
      <c r="H535" s="26" t="inlineStr">
        <is>
          <t>Tangkapaan</t>
        </is>
      </c>
      <c r="I535" s="27" t="n">
        <v>17.25565</v>
      </c>
      <c r="J535" s="27" t="n">
        <v>122.229694</v>
      </c>
      <c r="K535" s="10" t="inlineStr">
        <is>
          <t>R</t>
        </is>
      </c>
      <c r="L535" s="12" t="n">
        <v>1871</v>
      </c>
      <c r="M535" s="14" t="n">
        <v>6</v>
      </c>
      <c r="N535" s="12">
        <f>ROUND(L535/M535, 0)</f>
        <v/>
      </c>
      <c r="O535" s="12">
        <f>ROUND(N535*'Methodology &amp; Assumptions'!$B$5, 0)</f>
        <v/>
      </c>
      <c r="P535" s="10" t="inlineStr">
        <is>
          <t>Single Carrier (Band n50, 100MHz TDD)</t>
        </is>
      </c>
      <c r="Q535" s="13">
        <f>ROUNDUP(O535/'Methodology &amp; Assumptions'!$B$6, 0)</f>
        <v/>
      </c>
      <c r="R535" s="13" t="n">
        <v>1</v>
      </c>
      <c r="S535" s="14" t="n">
        <v>29.54</v>
      </c>
      <c r="T535" s="14" t="n">
        <v>34.41</v>
      </c>
      <c r="U535" s="26">
        <f>IF(X535&gt;='Methodology &amp; Assumptions'!$B$7, "Tier 1 Critical GIDA (Score ≥ 50.0)", IF(X535&gt;='Methodology &amp; Assumptions'!$B$8, "Tier 2 High GIDA (Score 40.0–49.9)", "Tier 3 Moderate GIDA (Score &lt; 40.0)"))</f>
        <v/>
      </c>
      <c r="V535" s="26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W535" s="28" t="n">
        <v>0.11</v>
      </c>
      <c r="X535" s="14" t="n">
        <v>50.02</v>
      </c>
      <c r="Y535" s="14">
        <f>ROUND(MIN(100, (X535/69.91)*100), 2)</f>
        <v/>
      </c>
    </row>
    <row r="536">
      <c r="A536" s="10" t="n">
        <v>2</v>
      </c>
      <c r="B536" s="10" t="n">
        <v>532</v>
      </c>
      <c r="C536" s="10" t="n">
        <v>1532</v>
      </c>
      <c r="D536" s="10" t="inlineStr">
        <is>
          <t>1906612018</t>
        </is>
      </c>
      <c r="E536" s="26" t="inlineStr">
        <is>
          <t>Bangsamoro Autonomous Region In Muslim Mindanao (BARMM)</t>
        </is>
      </c>
      <c r="F536" s="26" t="inlineStr">
        <is>
          <t>Sulu</t>
        </is>
      </c>
      <c r="G536" s="26" t="inlineStr">
        <is>
          <t>Siasi</t>
        </is>
      </c>
      <c r="H536" s="26" t="inlineStr">
        <is>
          <t>Kabubu</t>
        </is>
      </c>
      <c r="I536" s="27" t="n">
        <v>17.255608</v>
      </c>
      <c r="J536" s="27" t="n">
        <v>122.229652</v>
      </c>
      <c r="K536" s="10" t="inlineStr">
        <is>
          <t>R</t>
        </is>
      </c>
      <c r="L536" s="12" t="n">
        <v>1277</v>
      </c>
      <c r="M536" s="14" t="n">
        <v>6</v>
      </c>
      <c r="N536" s="12">
        <f>ROUND(L536/M536, 0)</f>
        <v/>
      </c>
      <c r="O536" s="12">
        <f>ROUND(N536*'Methodology &amp; Assumptions'!$B$5, 0)</f>
        <v/>
      </c>
      <c r="P536" s="10" t="inlineStr">
        <is>
          <t>Single Carrier (Band n50, 100MHz TDD)</t>
        </is>
      </c>
      <c r="Q536" s="13">
        <f>ROUNDUP(O536/'Methodology &amp; Assumptions'!$B$6, 0)</f>
        <v/>
      </c>
      <c r="R536" s="13" t="n">
        <v>1</v>
      </c>
      <c r="S536" s="14" t="n">
        <v>29.53</v>
      </c>
      <c r="T536" s="14" t="n">
        <v>34.4</v>
      </c>
      <c r="U536" s="26">
        <f>IF(X536&gt;='Methodology &amp; Assumptions'!$B$7, "Tier 1 Critical GIDA (Score ≥ 50.0)", IF(X536&gt;='Methodology &amp; Assumptions'!$B$8, "Tier 2 High GIDA (Score 40.0–49.9)", "Tier 3 Moderate GIDA (Score &lt; 40.0)"))</f>
        <v/>
      </c>
      <c r="V536" s="26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W536" s="28" t="n">
        <v>0.11</v>
      </c>
      <c r="X536" s="14" t="n">
        <v>50.02</v>
      </c>
      <c r="Y536" s="14">
        <f>ROUND(MIN(100, (X536/69.91)*100), 2)</f>
        <v/>
      </c>
    </row>
    <row r="537">
      <c r="A537" s="10" t="n">
        <v>2</v>
      </c>
      <c r="B537" s="10" t="n">
        <v>533</v>
      </c>
      <c r="C537" s="10" t="n">
        <v>1533</v>
      </c>
      <c r="D537" s="10" t="inlineStr">
        <is>
          <t>1906612056</t>
        </is>
      </c>
      <c r="E537" s="26" t="inlineStr">
        <is>
          <t>Bangsamoro Autonomous Region In Muslim Mindanao (BARMM)</t>
        </is>
      </c>
      <c r="F537" s="26" t="inlineStr">
        <is>
          <t>Sulu</t>
        </is>
      </c>
      <c r="G537" s="26" t="inlineStr">
        <is>
          <t>Siasi</t>
        </is>
      </c>
      <c r="H537" s="26" t="inlineStr">
        <is>
          <t>Singko</t>
        </is>
      </c>
      <c r="I537" s="27" t="n">
        <v>17.255606</v>
      </c>
      <c r="J537" s="27" t="n">
        <v>122.22965</v>
      </c>
      <c r="K537" s="10" t="inlineStr">
        <is>
          <t>R</t>
        </is>
      </c>
      <c r="L537" s="12" t="n">
        <v>1116</v>
      </c>
      <c r="M537" s="14" t="n">
        <v>6</v>
      </c>
      <c r="N537" s="12">
        <f>ROUND(L537/M537, 0)</f>
        <v/>
      </c>
      <c r="O537" s="12">
        <f>ROUND(N537*'Methodology &amp; Assumptions'!$B$5, 0)</f>
        <v/>
      </c>
      <c r="P537" s="10" t="inlineStr">
        <is>
          <t>Single Carrier (Band n50, 100MHz TDD)</t>
        </is>
      </c>
      <c r="Q537" s="13">
        <f>ROUNDUP(O537/'Methodology &amp; Assumptions'!$B$6, 0)</f>
        <v/>
      </c>
      <c r="R537" s="13" t="n">
        <v>1</v>
      </c>
      <c r="S537" s="14" t="n">
        <v>29.53</v>
      </c>
      <c r="T537" s="14" t="n">
        <v>34.4</v>
      </c>
      <c r="U537" s="26">
        <f>IF(X537&gt;='Methodology &amp; Assumptions'!$B$7, "Tier 1 Critical GIDA (Score ≥ 50.0)", IF(X537&gt;='Methodology &amp; Assumptions'!$B$8, "Tier 2 High GIDA (Score 40.0–49.9)", "Tier 3 Moderate GIDA (Score &lt; 40.0)"))</f>
        <v/>
      </c>
      <c r="V537" s="26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W537" s="28" t="n">
        <v>0.11</v>
      </c>
      <c r="X537" s="14" t="n">
        <v>50.02</v>
      </c>
      <c r="Y537" s="14">
        <f>ROUND(MIN(100, (X537/69.91)*100), 2)</f>
        <v/>
      </c>
    </row>
    <row r="538">
      <c r="A538" s="10" t="n">
        <v>2</v>
      </c>
      <c r="B538" s="10" t="n">
        <v>534</v>
      </c>
      <c r="C538" s="10" t="n">
        <v>1534</v>
      </c>
      <c r="D538" s="10" t="inlineStr">
        <is>
          <t>0907303009</t>
        </is>
      </c>
      <c r="E538" s="26" t="inlineStr">
        <is>
          <t>Region IX (Zamboanga Peninsula)</t>
        </is>
      </c>
      <c r="F538" s="26" t="inlineStr">
        <is>
          <t>Zamboanga del Sur</t>
        </is>
      </c>
      <c r="G538" s="26" t="inlineStr">
        <is>
          <t>Bayog</t>
        </is>
      </c>
      <c r="H538" s="26" t="inlineStr">
        <is>
          <t>Dagum</t>
        </is>
      </c>
      <c r="I538" s="27" t="n">
        <v>7.900566</v>
      </c>
      <c r="J538" s="27" t="n">
        <v>123.100485</v>
      </c>
      <c r="K538" s="10" t="inlineStr">
        <is>
          <t>R</t>
        </is>
      </c>
      <c r="L538" s="12" t="n">
        <v>389</v>
      </c>
      <c r="M538" s="14" t="n">
        <v>3.9</v>
      </c>
      <c r="N538" s="12">
        <f>ROUND(L538/M538, 0)</f>
        <v/>
      </c>
      <c r="O538" s="12">
        <f>ROUND(N538*'Methodology &amp; Assumptions'!$B$5, 0)</f>
        <v/>
      </c>
      <c r="P538" s="10" t="inlineStr">
        <is>
          <t>Single Carrier (Band n50, 100MHz TDD)</t>
        </is>
      </c>
      <c r="Q538" s="13">
        <f>ROUNDUP(O538/'Methodology &amp; Assumptions'!$B$6, 0)</f>
        <v/>
      </c>
      <c r="R538" s="13" t="n">
        <v>1</v>
      </c>
      <c r="S538" s="14" t="n">
        <v>19.64</v>
      </c>
      <c r="T538" s="14" t="n">
        <v>13.38</v>
      </c>
      <c r="U538" s="26">
        <f>IF(X538&gt;='Methodology &amp; Assumptions'!$B$7, "Tier 1 Critical GIDA (Score ≥ 50.0)", IF(X538&gt;='Methodology &amp; Assumptions'!$B$8, "Tier 2 High GIDA (Score 40.0–49.9)", "Tier 3 Moderate GIDA (Score &lt; 40.0)"))</f>
        <v/>
      </c>
      <c r="V538" s="26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W538" s="28" t="n">
        <v>0.11</v>
      </c>
      <c r="X538" s="14" t="n">
        <v>50.02</v>
      </c>
      <c r="Y538" s="14">
        <f>ROUND(MIN(100, (X538/69.91)*100), 2)</f>
        <v/>
      </c>
    </row>
    <row r="539">
      <c r="A539" s="10" t="n">
        <v>2</v>
      </c>
      <c r="B539" s="10" t="n">
        <v>535</v>
      </c>
      <c r="C539" s="10" t="n">
        <v>1535</v>
      </c>
      <c r="D539" s="10" t="inlineStr">
        <is>
          <t>1906614028</t>
        </is>
      </c>
      <c r="E539" s="26" t="inlineStr">
        <is>
          <t>Bangsamoro Autonomous Region In Muslim Mindanao (BARMM)</t>
        </is>
      </c>
      <c r="F539" s="26" t="inlineStr">
        <is>
          <t>Sulu</t>
        </is>
      </c>
      <c r="G539" s="26" t="inlineStr">
        <is>
          <t>Tapul</t>
        </is>
      </c>
      <c r="H539" s="26" t="inlineStr">
        <is>
          <t>Puok</t>
        </is>
      </c>
      <c r="I539" s="27" t="n">
        <v>17.255652</v>
      </c>
      <c r="J539" s="27" t="n">
        <v>122.229696</v>
      </c>
      <c r="K539" s="10" t="inlineStr">
        <is>
          <t>R</t>
        </is>
      </c>
      <c r="L539" s="12" t="n">
        <v>1600</v>
      </c>
      <c r="M539" s="14" t="n">
        <v>6</v>
      </c>
      <c r="N539" s="12">
        <f>ROUND(L539/M539, 0)</f>
        <v/>
      </c>
      <c r="O539" s="12">
        <f>ROUND(N539*'Methodology &amp; Assumptions'!$B$5, 0)</f>
        <v/>
      </c>
      <c r="P539" s="10" t="inlineStr">
        <is>
          <t>Single Carrier (Band n50, 100MHz TDD)</t>
        </is>
      </c>
      <c r="Q539" s="13">
        <f>ROUNDUP(O539/'Methodology &amp; Assumptions'!$B$6, 0)</f>
        <v/>
      </c>
      <c r="R539" s="13" t="n">
        <v>1</v>
      </c>
      <c r="S539" s="14" t="n">
        <v>29.54</v>
      </c>
      <c r="T539" s="14" t="n">
        <v>34.41</v>
      </c>
      <c r="U539" s="26">
        <f>IF(X539&gt;='Methodology &amp; Assumptions'!$B$7, "Tier 1 Critical GIDA (Score ≥ 50.0)", IF(X539&gt;='Methodology &amp; Assumptions'!$B$8, "Tier 2 High GIDA (Score 40.0–49.9)", "Tier 3 Moderate GIDA (Score &lt; 40.0)"))</f>
        <v/>
      </c>
      <c r="V539" s="26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W539" s="28" t="n">
        <v>0.11</v>
      </c>
      <c r="X539" s="14" t="n">
        <v>50.02</v>
      </c>
      <c r="Y539" s="14">
        <f>ROUND(MIN(100, (X539/69.91)*100), 2)</f>
        <v/>
      </c>
    </row>
    <row r="540">
      <c r="A540" s="10" t="n">
        <v>2</v>
      </c>
      <c r="B540" s="10" t="n">
        <v>536</v>
      </c>
      <c r="C540" s="10" t="n">
        <v>1536</v>
      </c>
      <c r="D540" s="10" t="inlineStr">
        <is>
          <t>1906608017</t>
        </is>
      </c>
      <c r="E540" s="26" t="inlineStr">
        <is>
          <t>Bangsamoro Autonomous Region In Muslim Mindanao (BARMM)</t>
        </is>
      </c>
      <c r="F540" s="26" t="inlineStr">
        <is>
          <t>Sulu</t>
        </is>
      </c>
      <c r="G540" s="26" t="inlineStr">
        <is>
          <t>Pangutaran</t>
        </is>
      </c>
      <c r="H540" s="26" t="inlineStr">
        <is>
          <t>Tonggasang</t>
        </is>
      </c>
      <c r="I540" s="27" t="n">
        <v>17.255342</v>
      </c>
      <c r="J540" s="27" t="n">
        <v>122.229386</v>
      </c>
      <c r="K540" s="10" t="inlineStr">
        <is>
          <t>R</t>
        </is>
      </c>
      <c r="L540" s="12" t="n">
        <v>1562</v>
      </c>
      <c r="M540" s="14" t="n">
        <v>6</v>
      </c>
      <c r="N540" s="12">
        <f>ROUND(L540/M540, 0)</f>
        <v/>
      </c>
      <c r="O540" s="12">
        <f>ROUND(N540*'Methodology &amp; Assumptions'!$B$5, 0)</f>
        <v/>
      </c>
      <c r="P540" s="10" t="inlineStr">
        <is>
          <t>Single Carrier (Band n50, 100MHz TDD)</t>
        </is>
      </c>
      <c r="Q540" s="13">
        <f>ROUNDUP(O540/'Methodology &amp; Assumptions'!$B$6, 0)</f>
        <v/>
      </c>
      <c r="R540" s="13" t="n">
        <v>1</v>
      </c>
      <c r="S540" s="14" t="n">
        <v>29.49</v>
      </c>
      <c r="T540" s="14" t="n">
        <v>34.36</v>
      </c>
      <c r="U540" s="26">
        <f>IF(X540&gt;='Methodology &amp; Assumptions'!$B$7, "Tier 1 Critical GIDA (Score ≥ 50.0)", IF(X540&gt;='Methodology &amp; Assumptions'!$B$8, "Tier 2 High GIDA (Score 40.0–49.9)", "Tier 3 Moderate GIDA (Score &lt; 40.0)"))</f>
        <v/>
      </c>
      <c r="V540" s="26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W540" s="28" t="n">
        <v>0.11</v>
      </c>
      <c r="X540" s="14" t="n">
        <v>50.02</v>
      </c>
      <c r="Y540" s="14">
        <f>ROUND(MIN(100, (X540/69.91)*100), 2)</f>
        <v/>
      </c>
    </row>
    <row r="541">
      <c r="A541" s="10" t="n">
        <v>2</v>
      </c>
      <c r="B541" s="10" t="n">
        <v>537</v>
      </c>
      <c r="C541" s="10" t="n">
        <v>1537</v>
      </c>
      <c r="D541" s="10" t="inlineStr">
        <is>
          <t>1906612065</t>
        </is>
      </c>
      <c r="E541" s="26" t="inlineStr">
        <is>
          <t>Bangsamoro Autonomous Region In Muslim Mindanao (BARMM)</t>
        </is>
      </c>
      <c r="F541" s="26" t="inlineStr">
        <is>
          <t>Sulu</t>
        </is>
      </c>
      <c r="G541" s="26" t="inlineStr">
        <is>
          <t>Siasi</t>
        </is>
      </c>
      <c r="H541" s="26" t="inlineStr">
        <is>
          <t>South Musu Laud</t>
        </is>
      </c>
      <c r="I541" s="27" t="n">
        <v>5.542073</v>
      </c>
      <c r="J541" s="27" t="n">
        <v>120.814935</v>
      </c>
      <c r="K541" s="10" t="inlineStr">
        <is>
          <t>R</t>
        </is>
      </c>
      <c r="L541" s="12" t="n">
        <v>881</v>
      </c>
      <c r="M541" s="14" t="n">
        <v>6</v>
      </c>
      <c r="N541" s="12">
        <f>ROUND(L541/M541, 0)</f>
        <v/>
      </c>
      <c r="O541" s="12">
        <f>ROUND(N541*'Methodology &amp; Assumptions'!$B$5, 0)</f>
        <v/>
      </c>
      <c r="P541" s="10" t="inlineStr">
        <is>
          <t>Single Carrier (Band n50, 100MHz TDD)</t>
        </is>
      </c>
      <c r="Q541" s="13">
        <f>ROUNDUP(O541/'Methodology &amp; Assumptions'!$B$6, 0)</f>
        <v/>
      </c>
      <c r="R541" s="13" t="n">
        <v>1</v>
      </c>
      <c r="S541" s="14" t="n">
        <v>206.18</v>
      </c>
      <c r="T541" s="14" t="n">
        <v>206.17</v>
      </c>
      <c r="U541" s="26">
        <f>IF(X541&gt;='Methodology &amp; Assumptions'!$B$7, "Tier 1 Critical GIDA (Score ≥ 50.0)", IF(X541&gt;='Methodology &amp; Assumptions'!$B$8, "Tier 2 High GIDA (Score 40.0–49.9)", "Tier 3 Moderate GIDA (Score &lt; 40.0)"))</f>
        <v/>
      </c>
      <c r="V541" s="26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W541" s="28" t="n">
        <v>0.11</v>
      </c>
      <c r="X541" s="14" t="n">
        <v>50.02</v>
      </c>
      <c r="Y541" s="14">
        <f>ROUND(MIN(100, (X541/69.91)*100), 2)</f>
        <v/>
      </c>
    </row>
    <row r="542">
      <c r="A542" s="10" t="n">
        <v>2</v>
      </c>
      <c r="B542" s="10" t="n">
        <v>538</v>
      </c>
      <c r="C542" s="10" t="n">
        <v>1538</v>
      </c>
      <c r="D542" s="10" t="inlineStr">
        <is>
          <t>1108604023</t>
        </is>
      </c>
      <c r="E542" s="26" t="inlineStr">
        <is>
          <t>Region XI (Davao Region)</t>
        </is>
      </c>
      <c r="F542" s="26" t="inlineStr">
        <is>
          <t>Davao Occidental</t>
        </is>
      </c>
      <c r="G542" s="26" t="inlineStr">
        <is>
          <t>Santa Maria</t>
        </is>
      </c>
      <c r="H542" s="26" t="inlineStr">
        <is>
          <t>Kinilidan</t>
        </is>
      </c>
      <c r="I542" s="27" t="n">
        <v>6.446042</v>
      </c>
      <c r="J542" s="27" t="n">
        <v>125.447573</v>
      </c>
      <c r="K542" s="10" t="inlineStr">
        <is>
          <t>R</t>
        </is>
      </c>
      <c r="L542" s="12" t="n">
        <v>1329</v>
      </c>
      <c r="M542" s="14" t="n">
        <v>3.6</v>
      </c>
      <c r="N542" s="12">
        <f>ROUND(L542/M542, 0)</f>
        <v/>
      </c>
      <c r="O542" s="12">
        <f>ROUND(N542*'Methodology &amp; Assumptions'!$B$5, 0)</f>
        <v/>
      </c>
      <c r="P542" s="10" t="inlineStr">
        <is>
          <t>Single Carrier (Band n50, 100MHz TDD)</t>
        </is>
      </c>
      <c r="Q542" s="13">
        <f>ROUNDUP(O542/'Methodology &amp; Assumptions'!$B$6, 0)</f>
        <v/>
      </c>
      <c r="R542" s="13" t="n">
        <v>1</v>
      </c>
      <c r="S542" s="14" t="n">
        <v>14.51</v>
      </c>
      <c r="T542" s="14" t="n">
        <v>11.94</v>
      </c>
      <c r="U542" s="26">
        <f>IF(X542&gt;='Methodology &amp; Assumptions'!$B$7, "Tier 1 Critical GIDA (Score ≥ 50.0)", IF(X542&gt;='Methodology &amp; Assumptions'!$B$8, "Tier 2 High GIDA (Score 40.0–49.9)", "Tier 3 Moderate GIDA (Score &lt; 40.0)"))</f>
        <v/>
      </c>
      <c r="V542" s="26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W542" s="28" t="n">
        <v>0.174</v>
      </c>
      <c r="X542" s="14" t="n">
        <v>50.02</v>
      </c>
      <c r="Y542" s="14">
        <f>ROUND(MIN(100, (X542/69.91)*100), 2)</f>
        <v/>
      </c>
    </row>
    <row r="543">
      <c r="A543" s="10" t="n">
        <v>2</v>
      </c>
      <c r="B543" s="10" t="n">
        <v>539</v>
      </c>
      <c r="C543" s="10" t="n">
        <v>1539</v>
      </c>
      <c r="D543" s="10" t="inlineStr">
        <is>
          <t>1906612075</t>
        </is>
      </c>
      <c r="E543" s="26" t="inlineStr">
        <is>
          <t>Bangsamoro Autonomous Region In Muslim Mindanao (BARMM)</t>
        </is>
      </c>
      <c r="F543" s="26" t="inlineStr">
        <is>
          <t>Sulu</t>
        </is>
      </c>
      <c r="G543" s="26" t="inlineStr">
        <is>
          <t>Siasi</t>
        </is>
      </c>
      <c r="H543" s="26" t="inlineStr">
        <is>
          <t>Tubig Kutah</t>
        </is>
      </c>
      <c r="I543" s="27" t="n">
        <v>17.255618</v>
      </c>
      <c r="J543" s="27" t="n">
        <v>122.229662</v>
      </c>
      <c r="K543" s="10" t="inlineStr">
        <is>
          <t>R</t>
        </is>
      </c>
      <c r="L543" s="12" t="n">
        <v>1081</v>
      </c>
      <c r="M543" s="14" t="n">
        <v>6</v>
      </c>
      <c r="N543" s="12">
        <f>ROUND(L543/M543, 0)</f>
        <v/>
      </c>
      <c r="O543" s="12">
        <f>ROUND(N543*'Methodology &amp; Assumptions'!$B$5, 0)</f>
        <v/>
      </c>
      <c r="P543" s="10" t="inlineStr">
        <is>
          <t>Single Carrier (Band n50, 100MHz TDD)</t>
        </is>
      </c>
      <c r="Q543" s="13">
        <f>ROUNDUP(O543/'Methodology &amp; Assumptions'!$B$6, 0)</f>
        <v/>
      </c>
      <c r="R543" s="13" t="n">
        <v>1</v>
      </c>
      <c r="S543" s="14" t="n">
        <v>29.53</v>
      </c>
      <c r="T543" s="14" t="n">
        <v>34.4</v>
      </c>
      <c r="U543" s="26">
        <f>IF(X543&gt;='Methodology &amp; Assumptions'!$B$7, "Tier 1 Critical GIDA (Score ≥ 50.0)", IF(X543&gt;='Methodology &amp; Assumptions'!$B$8, "Tier 2 High GIDA (Score 40.0–49.9)", "Tier 3 Moderate GIDA (Score &lt; 40.0)"))</f>
        <v/>
      </c>
      <c r="V543" s="26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W543" s="28" t="n">
        <v>0.11</v>
      </c>
      <c r="X543" s="14" t="n">
        <v>50.02</v>
      </c>
      <c r="Y543" s="14">
        <f>ROUND(MIN(100, (X543/69.91)*100), 2)</f>
        <v/>
      </c>
    </row>
    <row r="544">
      <c r="A544" s="10" t="n">
        <v>2</v>
      </c>
      <c r="B544" s="10" t="n">
        <v>540</v>
      </c>
      <c r="C544" s="10" t="n">
        <v>1540</v>
      </c>
      <c r="D544" s="10" t="inlineStr">
        <is>
          <t>0907313005</t>
        </is>
      </c>
      <c r="E544" s="26" t="inlineStr">
        <is>
          <t>Region IX (Zamboanga Peninsula)</t>
        </is>
      </c>
      <c r="F544" s="26" t="inlineStr">
        <is>
          <t>Zamboanga del Sur</t>
        </is>
      </c>
      <c r="G544" s="26" t="inlineStr">
        <is>
          <t>Lapuyan</t>
        </is>
      </c>
      <c r="H544" s="26" t="inlineStr">
        <is>
          <t>Dansal</t>
        </is>
      </c>
      <c r="I544" s="27" t="n">
        <v>7.649041</v>
      </c>
      <c r="J544" s="27" t="n">
        <v>123.22201</v>
      </c>
      <c r="K544" s="10" t="inlineStr">
        <is>
          <t>R</t>
        </is>
      </c>
      <c r="L544" s="12" t="n">
        <v>879</v>
      </c>
      <c r="M544" s="14" t="n">
        <v>3.9</v>
      </c>
      <c r="N544" s="12">
        <f>ROUND(L544/M544, 0)</f>
        <v/>
      </c>
      <c r="O544" s="12">
        <f>ROUND(N544*'Methodology &amp; Assumptions'!$B$5, 0)</f>
        <v/>
      </c>
      <c r="P544" s="10" t="inlineStr">
        <is>
          <t>Single Carrier (Band n50, 100MHz TDD)</t>
        </is>
      </c>
      <c r="Q544" s="13">
        <f>ROUNDUP(O544/'Methodology &amp; Assumptions'!$B$6, 0)</f>
        <v/>
      </c>
      <c r="R544" s="13" t="n">
        <v>1</v>
      </c>
      <c r="S544" s="14" t="n">
        <v>20.47</v>
      </c>
      <c r="T544" s="14" t="n">
        <v>14.8</v>
      </c>
      <c r="U544" s="26">
        <f>IF(X544&gt;='Methodology &amp; Assumptions'!$B$7, "Tier 1 Critical GIDA (Score ≥ 50.0)", IF(X544&gt;='Methodology &amp; Assumptions'!$B$8, "Tier 2 High GIDA (Score 40.0–49.9)", "Tier 3 Moderate GIDA (Score &lt; 40.0)"))</f>
        <v/>
      </c>
      <c r="V544" s="26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W544" s="28" t="n">
        <v>0.11</v>
      </c>
      <c r="X544" s="14" t="n">
        <v>50.02</v>
      </c>
      <c r="Y544" s="14">
        <f>ROUND(MIN(100, (X544/69.91)*100), 2)</f>
        <v/>
      </c>
    </row>
    <row r="545">
      <c r="A545" s="10" t="n">
        <v>2</v>
      </c>
      <c r="B545" s="10" t="n">
        <v>541</v>
      </c>
      <c r="C545" s="10" t="n">
        <v>1541</v>
      </c>
      <c r="D545" s="10" t="inlineStr">
        <is>
          <t>1003514015</t>
        </is>
      </c>
      <c r="E545" s="26" t="inlineStr">
        <is>
          <t>Region X (Northern Mindanao)</t>
        </is>
      </c>
      <c r="F545" s="26" t="inlineStr">
        <is>
          <t>Lanao del Norte</t>
        </is>
      </c>
      <c r="G545" s="26" t="inlineStr">
        <is>
          <t>Munai</t>
        </is>
      </c>
      <c r="H545" s="26" t="inlineStr">
        <is>
          <t>Madaya</t>
        </is>
      </c>
      <c r="I545" s="27" t="n">
        <v>8.050840000000001</v>
      </c>
      <c r="J545" s="27" t="n">
        <v>124.080805</v>
      </c>
      <c r="K545" s="10" t="inlineStr">
        <is>
          <t>R</t>
        </is>
      </c>
      <c r="L545" s="12" t="n">
        <v>844</v>
      </c>
      <c r="M545" s="14" t="n">
        <v>4.2</v>
      </c>
      <c r="N545" s="12">
        <f>ROUND(L545/M545, 0)</f>
        <v/>
      </c>
      <c r="O545" s="12">
        <f>ROUND(N545*'Methodology &amp; Assumptions'!$B$5, 0)</f>
        <v/>
      </c>
      <c r="P545" s="10" t="inlineStr">
        <is>
          <t>Single Carrier (Band n50, 100MHz TDD)</t>
        </is>
      </c>
      <c r="Q545" s="13">
        <f>ROUNDUP(O545/'Methodology &amp; Assumptions'!$B$6, 0)</f>
        <v/>
      </c>
      <c r="R545" s="13" t="n">
        <v>1</v>
      </c>
      <c r="S545" s="14" t="n">
        <v>21.78</v>
      </c>
      <c r="T545" s="14" t="n">
        <v>15.03</v>
      </c>
      <c r="U545" s="26">
        <f>IF(X545&gt;='Methodology &amp; Assumptions'!$B$7, "Tier 1 Critical GIDA (Score ≥ 50.0)", IF(X545&gt;='Methodology &amp; Assumptions'!$B$8, "Tier 2 High GIDA (Score 40.0–49.9)", "Tier 3 Moderate GIDA (Score &lt; 40.0)"))</f>
        <v/>
      </c>
      <c r="V545" s="26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W545" s="28" t="n">
        <v>0.174</v>
      </c>
      <c r="X545" s="14" t="n">
        <v>50.01</v>
      </c>
      <c r="Y545" s="14">
        <f>ROUND(MIN(100, (X545/69.91)*100), 2)</f>
        <v/>
      </c>
    </row>
    <row r="546">
      <c r="A546" s="10" t="n">
        <v>2</v>
      </c>
      <c r="B546" s="10" t="n">
        <v>542</v>
      </c>
      <c r="C546" s="10" t="n">
        <v>1542</v>
      </c>
      <c r="D546" s="10" t="inlineStr">
        <is>
          <t>1906607023</t>
        </is>
      </c>
      <c r="E546" s="26" t="inlineStr">
        <is>
          <t>Bangsamoro Autonomous Region In Muslim Mindanao (BARMM)</t>
        </is>
      </c>
      <c r="F546" s="26" t="inlineStr">
        <is>
          <t>Sulu</t>
        </is>
      </c>
      <c r="G546" s="26" t="inlineStr">
        <is>
          <t>Old Panamao</t>
        </is>
      </c>
      <c r="H546" s="26" t="inlineStr">
        <is>
          <t>Lunggang</t>
        </is>
      </c>
      <c r="I546" s="27" t="n">
        <v>17.251926</v>
      </c>
      <c r="J546" s="27" t="n">
        <v>122.233119</v>
      </c>
      <c r="K546" s="10" t="inlineStr">
        <is>
          <t>R</t>
        </is>
      </c>
      <c r="L546" s="12" t="n">
        <v>1160</v>
      </c>
      <c r="M546" s="14" t="n">
        <v>6</v>
      </c>
      <c r="N546" s="12">
        <f>ROUND(L546/M546, 0)</f>
        <v/>
      </c>
      <c r="O546" s="12">
        <f>ROUND(N546*'Methodology &amp; Assumptions'!$B$5, 0)</f>
        <v/>
      </c>
      <c r="P546" s="10" t="inlineStr">
        <is>
          <t>Single Carrier (Band n50, 100MHz TDD)</t>
        </is>
      </c>
      <c r="Q546" s="13">
        <f>ROUNDUP(O546/'Methodology &amp; Assumptions'!$B$6, 0)</f>
        <v/>
      </c>
      <c r="R546" s="13" t="n">
        <v>1</v>
      </c>
      <c r="S546" s="14" t="n">
        <v>29.56</v>
      </c>
      <c r="T546" s="14" t="n">
        <v>34.64</v>
      </c>
      <c r="U546" s="26">
        <f>IF(X546&gt;='Methodology &amp; Assumptions'!$B$7, "Tier 1 Critical GIDA (Score ≥ 50.0)", IF(X546&gt;='Methodology &amp; Assumptions'!$B$8, "Tier 2 High GIDA (Score 40.0–49.9)", "Tier 3 Moderate GIDA (Score &lt; 40.0)"))</f>
        <v/>
      </c>
      <c r="V546" s="26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W546" s="28" t="n">
        <v>0.11</v>
      </c>
      <c r="X546" s="14" t="n">
        <v>50.01</v>
      </c>
      <c r="Y546" s="14">
        <f>ROUND(MIN(100, (X546/69.91)*100), 2)</f>
        <v/>
      </c>
    </row>
    <row r="547">
      <c r="A547" s="10" t="n">
        <v>2</v>
      </c>
      <c r="B547" s="10" t="n">
        <v>543</v>
      </c>
      <c r="C547" s="10" t="n">
        <v>1543</v>
      </c>
      <c r="D547" s="10" t="inlineStr">
        <is>
          <t>1906607016</t>
        </is>
      </c>
      <c r="E547" s="26" t="inlineStr">
        <is>
          <t>Bangsamoro Autonomous Region In Muslim Mindanao (BARMM)</t>
        </is>
      </c>
      <c r="F547" s="26" t="inlineStr">
        <is>
          <t>Sulu</t>
        </is>
      </c>
      <c r="G547" s="26" t="inlineStr">
        <is>
          <t>Old Panamao</t>
        </is>
      </c>
      <c r="H547" s="26" t="inlineStr">
        <is>
          <t>Kan-Sipat</t>
        </is>
      </c>
      <c r="I547" s="27" t="n">
        <v>17.255581</v>
      </c>
      <c r="J547" s="27" t="n">
        <v>122.229625</v>
      </c>
      <c r="K547" s="10" t="inlineStr">
        <is>
          <t>R</t>
        </is>
      </c>
      <c r="L547" s="12" t="n">
        <v>1021</v>
      </c>
      <c r="M547" s="14" t="n">
        <v>6</v>
      </c>
      <c r="N547" s="12">
        <f>ROUND(L547/M547, 0)</f>
        <v/>
      </c>
      <c r="O547" s="12">
        <f>ROUND(N547*'Methodology &amp; Assumptions'!$B$5, 0)</f>
        <v/>
      </c>
      <c r="P547" s="10" t="inlineStr">
        <is>
          <t>Single Carrier (Band n50, 100MHz TDD)</t>
        </is>
      </c>
      <c r="Q547" s="13">
        <f>ROUNDUP(O547/'Methodology &amp; Assumptions'!$B$6, 0)</f>
        <v/>
      </c>
      <c r="R547" s="13" t="n">
        <v>1</v>
      </c>
      <c r="S547" s="14" t="n">
        <v>29.53</v>
      </c>
      <c r="T547" s="14" t="n">
        <v>34.4</v>
      </c>
      <c r="U547" s="26">
        <f>IF(X547&gt;='Methodology &amp; Assumptions'!$B$7, "Tier 1 Critical GIDA (Score ≥ 50.0)", IF(X547&gt;='Methodology &amp; Assumptions'!$B$8, "Tier 2 High GIDA (Score 40.0–49.9)", "Tier 3 Moderate GIDA (Score &lt; 40.0)"))</f>
        <v/>
      </c>
      <c r="V547" s="26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W547" s="28" t="n">
        <v>0.11</v>
      </c>
      <c r="X547" s="14" t="n">
        <v>50.01</v>
      </c>
      <c r="Y547" s="14">
        <f>ROUND(MIN(100, (X547/69.91)*100), 2)</f>
        <v/>
      </c>
    </row>
    <row r="548">
      <c r="A548" s="10" t="n">
        <v>2</v>
      </c>
      <c r="B548" s="10" t="n">
        <v>544</v>
      </c>
      <c r="C548" s="10" t="n">
        <v>1544</v>
      </c>
      <c r="D548" s="10" t="inlineStr">
        <is>
          <t>1903631029</t>
        </is>
      </c>
      <c r="E548" s="26" t="inlineStr">
        <is>
          <t>Bangsamoro Autonomous Region In Muslim Mindanao (BARMM)</t>
        </is>
      </c>
      <c r="F548" s="26" t="inlineStr">
        <is>
          <t>Lanao del Sur</t>
        </is>
      </c>
      <c r="G548" s="26" t="inlineStr">
        <is>
          <t>Marogong</t>
        </is>
      </c>
      <c r="H548" s="26" t="inlineStr">
        <is>
          <t>Sarang</t>
        </is>
      </c>
      <c r="I548" s="27" t="n">
        <v>15.66301</v>
      </c>
      <c r="J548" s="27" t="n">
        <v>122.555301</v>
      </c>
      <c r="K548" s="10" t="inlineStr">
        <is>
          <t>R</t>
        </is>
      </c>
      <c r="L548" s="12" t="n">
        <v>966</v>
      </c>
      <c r="M548" s="14" t="n">
        <v>5.7</v>
      </c>
      <c r="N548" s="12">
        <f>ROUND(L548/M548, 0)</f>
        <v/>
      </c>
      <c r="O548" s="12">
        <f>ROUND(N548*'Methodology &amp; Assumptions'!$B$5, 0)</f>
        <v/>
      </c>
      <c r="P548" s="10" t="inlineStr">
        <is>
          <t>Single Carrier (Band n50, 100MHz TDD)</t>
        </is>
      </c>
      <c r="Q548" s="13">
        <f>ROUNDUP(O548/'Methodology &amp; Assumptions'!$B$6, 0)</f>
        <v/>
      </c>
      <c r="R548" s="13" t="n">
        <v>1</v>
      </c>
      <c r="S548" s="14" t="n">
        <v>81.73</v>
      </c>
      <c r="T548" s="14" t="n">
        <v>80.59999999999999</v>
      </c>
      <c r="U548" s="26">
        <f>IF(X548&gt;='Methodology &amp; Assumptions'!$B$7, "Tier 1 Critical GIDA (Score ≥ 50.0)", IF(X548&gt;='Methodology &amp; Assumptions'!$B$8, "Tier 2 High GIDA (Score 40.0–49.9)", "Tier 3 Moderate GIDA (Score &lt; 40.0)"))</f>
        <v/>
      </c>
      <c r="V548" s="26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W548" s="28" t="n">
        <v>0.11</v>
      </c>
      <c r="X548" s="14" t="n">
        <v>50.01</v>
      </c>
      <c r="Y548" s="14">
        <f>ROUND(MIN(100, (X548/69.91)*100), 2)</f>
        <v/>
      </c>
    </row>
    <row r="549">
      <c r="A549" s="10" t="n">
        <v>2</v>
      </c>
      <c r="B549" s="10" t="n">
        <v>545</v>
      </c>
      <c r="C549" s="10" t="n">
        <v>1545</v>
      </c>
      <c r="D549" s="10" t="inlineStr">
        <is>
          <t>1903631023</t>
        </is>
      </c>
      <c r="E549" s="26" t="inlineStr">
        <is>
          <t>Bangsamoro Autonomous Region In Muslim Mindanao (BARMM)</t>
        </is>
      </c>
      <c r="F549" s="26" t="inlineStr">
        <is>
          <t>Lanao del Sur</t>
        </is>
      </c>
      <c r="G549" s="26" t="inlineStr">
        <is>
          <t>Marogong</t>
        </is>
      </c>
      <c r="H549" s="26" t="inlineStr">
        <is>
          <t>Paigoay Coda</t>
        </is>
      </c>
      <c r="I549" s="27" t="n">
        <v>15.649493</v>
      </c>
      <c r="J549" s="27" t="n">
        <v>122.547377</v>
      </c>
      <c r="K549" s="10" t="inlineStr">
        <is>
          <t>R</t>
        </is>
      </c>
      <c r="L549" s="12" t="n">
        <v>930</v>
      </c>
      <c r="M549" s="14" t="n">
        <v>5.7</v>
      </c>
      <c r="N549" s="12">
        <f>ROUND(L549/M549, 0)</f>
        <v/>
      </c>
      <c r="O549" s="12">
        <f>ROUND(N549*'Methodology &amp; Assumptions'!$B$5, 0)</f>
        <v/>
      </c>
      <c r="P549" s="10" t="inlineStr">
        <is>
          <t>Single Carrier (Band n50, 100MHz TDD)</t>
        </is>
      </c>
      <c r="Q549" s="13">
        <f>ROUNDUP(O549/'Methodology &amp; Assumptions'!$B$6, 0)</f>
        <v/>
      </c>
      <c r="R549" s="13" t="n">
        <v>1</v>
      </c>
      <c r="S549" s="14" t="n">
        <v>82.29000000000001</v>
      </c>
      <c r="T549" s="14" t="n">
        <v>81.11</v>
      </c>
      <c r="U549" s="26">
        <f>IF(X549&gt;='Methodology &amp; Assumptions'!$B$7, "Tier 1 Critical GIDA (Score ≥ 50.0)", IF(X549&gt;='Methodology &amp; Assumptions'!$B$8, "Tier 2 High GIDA (Score 40.0–49.9)", "Tier 3 Moderate GIDA (Score &lt; 40.0)"))</f>
        <v/>
      </c>
      <c r="V549" s="26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W549" s="28" t="n">
        <v>0.11</v>
      </c>
      <c r="X549" s="14" t="n">
        <v>50.01</v>
      </c>
      <c r="Y549" s="14">
        <f>ROUND(MIN(100, (X549/69.91)*100), 2)</f>
        <v/>
      </c>
    </row>
    <row r="550">
      <c r="A550" s="10" t="n">
        <v>2</v>
      </c>
      <c r="B550" s="10" t="n">
        <v>546</v>
      </c>
      <c r="C550" s="10" t="n">
        <v>1546</v>
      </c>
      <c r="D550" s="10" t="inlineStr">
        <is>
          <t>1903631027</t>
        </is>
      </c>
      <c r="E550" s="26" t="inlineStr">
        <is>
          <t>Bangsamoro Autonomous Region In Muslim Mindanao (BARMM)</t>
        </is>
      </c>
      <c r="F550" s="26" t="inlineStr">
        <is>
          <t>Lanao del Sur</t>
        </is>
      </c>
      <c r="G550" s="26" t="inlineStr">
        <is>
          <t>Marogong</t>
        </is>
      </c>
      <c r="H550" s="26" t="inlineStr">
        <is>
          <t>Puracan</t>
        </is>
      </c>
      <c r="I550" s="27" t="n">
        <v>15.667081</v>
      </c>
      <c r="J550" s="27" t="n">
        <v>122.543226</v>
      </c>
      <c r="K550" s="10" t="inlineStr">
        <is>
          <t>R</t>
        </is>
      </c>
      <c r="L550" s="12" t="n">
        <v>705</v>
      </c>
      <c r="M550" s="14" t="n">
        <v>5.7</v>
      </c>
      <c r="N550" s="12">
        <f>ROUND(L550/M550, 0)</f>
        <v/>
      </c>
      <c r="O550" s="12">
        <f>ROUND(N550*'Methodology &amp; Assumptions'!$B$5, 0)</f>
        <v/>
      </c>
      <c r="P550" s="10" t="inlineStr">
        <is>
          <t>Single Carrier (Band n50, 100MHz TDD)</t>
        </is>
      </c>
      <c r="Q550" s="13">
        <f>ROUNDUP(O550/'Methodology &amp; Assumptions'!$B$6, 0)</f>
        <v/>
      </c>
      <c r="R550" s="13" t="n">
        <v>1</v>
      </c>
      <c r="S550" s="14" t="n">
        <v>80.53</v>
      </c>
      <c r="T550" s="14" t="n">
        <v>79.38</v>
      </c>
      <c r="U550" s="26">
        <f>IF(X550&gt;='Methodology &amp; Assumptions'!$B$7, "Tier 1 Critical GIDA (Score ≥ 50.0)", IF(X550&gt;='Methodology &amp; Assumptions'!$B$8, "Tier 2 High GIDA (Score 40.0–49.9)", "Tier 3 Moderate GIDA (Score &lt; 40.0)"))</f>
        <v/>
      </c>
      <c r="V550" s="26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W550" s="28" t="n">
        <v>0.11</v>
      </c>
      <c r="X550" s="14" t="n">
        <v>50.01</v>
      </c>
      <c r="Y550" s="14">
        <f>ROUND(MIN(100, (X550/69.91)*100), 2)</f>
        <v/>
      </c>
    </row>
    <row r="551">
      <c r="A551" s="10" t="n">
        <v>2</v>
      </c>
      <c r="B551" s="10" t="n">
        <v>547</v>
      </c>
      <c r="C551" s="10" t="n">
        <v>1547</v>
      </c>
      <c r="D551" s="10" t="inlineStr">
        <is>
          <t>1903613022</t>
        </is>
      </c>
      <c r="E551" s="26" t="inlineStr">
        <is>
          <t>Bangsamoro Autonomous Region In Muslim Mindanao (BARMM)</t>
        </is>
      </c>
      <c r="F551" s="26" t="inlineStr">
        <is>
          <t>Lanao del Sur</t>
        </is>
      </c>
      <c r="G551" s="26" t="inlineStr">
        <is>
          <t>Madalum</t>
        </is>
      </c>
      <c r="H551" s="26" t="inlineStr">
        <is>
          <t>Lilitun</t>
        </is>
      </c>
      <c r="I551" s="27" t="n">
        <v>17.245768</v>
      </c>
      <c r="J551" s="27" t="n">
        <v>122.227037</v>
      </c>
      <c r="K551" s="10" t="inlineStr">
        <is>
          <t>R</t>
        </is>
      </c>
      <c r="L551" s="12" t="n">
        <v>529</v>
      </c>
      <c r="M551" s="14" t="n">
        <v>5.7</v>
      </c>
      <c r="N551" s="12">
        <f>ROUND(L551/M551, 0)</f>
        <v/>
      </c>
      <c r="O551" s="12">
        <f>ROUND(N551*'Methodology &amp; Assumptions'!$B$5, 0)</f>
        <v/>
      </c>
      <c r="P551" s="10" t="inlineStr">
        <is>
          <t>Single Carrier (Band n50, 100MHz TDD)</t>
        </is>
      </c>
      <c r="Q551" s="13">
        <f>ROUNDUP(O551/'Methodology &amp; Assumptions'!$B$6, 0)</f>
        <v/>
      </c>
      <c r="R551" s="13" t="n">
        <v>1</v>
      </c>
      <c r="S551" s="14" t="n">
        <v>28.63</v>
      </c>
      <c r="T551" s="14" t="n">
        <v>33.83</v>
      </c>
      <c r="U551" s="26">
        <f>IF(X551&gt;='Methodology &amp; Assumptions'!$B$7, "Tier 1 Critical GIDA (Score ≥ 50.0)", IF(X551&gt;='Methodology &amp; Assumptions'!$B$8, "Tier 2 High GIDA (Score 40.0–49.9)", "Tier 3 Moderate GIDA (Score &lt; 40.0)"))</f>
        <v/>
      </c>
      <c r="V551" s="26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W551" s="28" t="n">
        <v>0.11</v>
      </c>
      <c r="X551" s="14" t="n">
        <v>50.01</v>
      </c>
      <c r="Y551" s="14">
        <f>ROUND(MIN(100, (X551/69.91)*100), 2)</f>
        <v/>
      </c>
    </row>
    <row r="552">
      <c r="A552" s="10" t="n">
        <v>2</v>
      </c>
      <c r="B552" s="10" t="n">
        <v>548</v>
      </c>
      <c r="C552" s="10" t="n">
        <v>1548</v>
      </c>
      <c r="D552" s="10" t="inlineStr">
        <is>
          <t>1906612015</t>
        </is>
      </c>
      <c r="E552" s="26" t="inlineStr">
        <is>
          <t>Bangsamoro Autonomous Region In Muslim Mindanao (BARMM)</t>
        </is>
      </c>
      <c r="F552" s="26" t="inlineStr">
        <is>
          <t>Sulu</t>
        </is>
      </c>
      <c r="G552" s="26" t="inlineStr">
        <is>
          <t>Siasi</t>
        </is>
      </c>
      <c r="H552" s="26" t="inlineStr">
        <is>
          <t>Ipil</t>
        </is>
      </c>
      <c r="I552" s="27" t="n">
        <v>17.255469</v>
      </c>
      <c r="J552" s="27" t="n">
        <v>122.229513</v>
      </c>
      <c r="K552" s="10" t="inlineStr">
        <is>
          <t>R</t>
        </is>
      </c>
      <c r="L552" s="12" t="n">
        <v>909</v>
      </c>
      <c r="M552" s="14" t="n">
        <v>6</v>
      </c>
      <c r="N552" s="12">
        <f>ROUND(L552/M552, 0)</f>
        <v/>
      </c>
      <c r="O552" s="12">
        <f>ROUND(N552*'Methodology &amp; Assumptions'!$B$5, 0)</f>
        <v/>
      </c>
      <c r="P552" s="10" t="inlineStr">
        <is>
          <t>Single Carrier (Band n50, 100MHz TDD)</t>
        </is>
      </c>
      <c r="Q552" s="13">
        <f>ROUNDUP(O552/'Methodology &amp; Assumptions'!$B$6, 0)</f>
        <v/>
      </c>
      <c r="R552" s="13" t="n">
        <v>1</v>
      </c>
      <c r="S552" s="14" t="n">
        <v>29.51</v>
      </c>
      <c r="T552" s="14" t="n">
        <v>34.38</v>
      </c>
      <c r="U552" s="26">
        <f>IF(X552&gt;='Methodology &amp; Assumptions'!$B$7, "Tier 1 Critical GIDA (Score ≥ 50.0)", IF(X552&gt;='Methodology &amp; Assumptions'!$B$8, "Tier 2 High GIDA (Score 40.0–49.9)", "Tier 3 Moderate GIDA (Score &lt; 40.0)"))</f>
        <v/>
      </c>
      <c r="V552" s="26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W552" s="28" t="n">
        <v>0.11</v>
      </c>
      <c r="X552" s="14" t="n">
        <v>50.01</v>
      </c>
      <c r="Y552" s="14">
        <f>ROUND(MIN(100, (X552/69.91)*100), 2)</f>
        <v/>
      </c>
    </row>
    <row r="553">
      <c r="A553" s="10" t="n">
        <v>2</v>
      </c>
      <c r="B553" s="10" t="n">
        <v>549</v>
      </c>
      <c r="C553" s="10" t="n">
        <v>1549</v>
      </c>
      <c r="D553" s="10" t="inlineStr">
        <is>
          <t>1906606002</t>
        </is>
      </c>
      <c r="E553" s="26" t="inlineStr">
        <is>
          <t>Bangsamoro Autonomous Region In Muslim Mindanao (BARMM)</t>
        </is>
      </c>
      <c r="F553" s="26" t="inlineStr">
        <is>
          <t>Sulu</t>
        </is>
      </c>
      <c r="G553" s="26" t="inlineStr">
        <is>
          <t>Hadji Panglima Tahil</t>
        </is>
      </c>
      <c r="H553" s="26" t="inlineStr">
        <is>
          <t>Bubuan</t>
        </is>
      </c>
      <c r="I553" s="27" t="n">
        <v>17.255305</v>
      </c>
      <c r="J553" s="27" t="n">
        <v>122.229349</v>
      </c>
      <c r="K553" s="10" t="inlineStr">
        <is>
          <t>R</t>
        </is>
      </c>
      <c r="L553" s="12" t="n">
        <v>1133</v>
      </c>
      <c r="M553" s="14" t="n">
        <v>6</v>
      </c>
      <c r="N553" s="12">
        <f>ROUND(L553/M553, 0)</f>
        <v/>
      </c>
      <c r="O553" s="12">
        <f>ROUND(N553*'Methodology &amp; Assumptions'!$B$5, 0)</f>
        <v/>
      </c>
      <c r="P553" s="10" t="inlineStr">
        <is>
          <t>Single Carrier (Band n50, 100MHz TDD)</t>
        </is>
      </c>
      <c r="Q553" s="13">
        <f>ROUNDUP(O553/'Methodology &amp; Assumptions'!$B$6, 0)</f>
        <v/>
      </c>
      <c r="R553" s="13" t="n">
        <v>1</v>
      </c>
      <c r="S553" s="14" t="n">
        <v>29.49</v>
      </c>
      <c r="T553" s="14" t="n">
        <v>34.36</v>
      </c>
      <c r="U553" s="26">
        <f>IF(X553&gt;='Methodology &amp; Assumptions'!$B$7, "Tier 1 Critical GIDA (Score ≥ 50.0)", IF(X553&gt;='Methodology &amp; Assumptions'!$B$8, "Tier 2 High GIDA (Score 40.0–49.9)", "Tier 3 Moderate GIDA (Score &lt; 40.0)"))</f>
        <v/>
      </c>
      <c r="V553" s="26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W553" s="28" t="n">
        <v>0.11</v>
      </c>
      <c r="X553" s="14" t="n">
        <v>50.01</v>
      </c>
      <c r="Y553" s="14">
        <f>ROUND(MIN(100, (X553/69.91)*100), 2)</f>
        <v/>
      </c>
    </row>
    <row r="554">
      <c r="A554" s="10" t="n">
        <v>2</v>
      </c>
      <c r="B554" s="10" t="n">
        <v>550</v>
      </c>
      <c r="C554" s="10" t="n">
        <v>1550</v>
      </c>
      <c r="D554" s="10" t="inlineStr">
        <is>
          <t>1906614030</t>
        </is>
      </c>
      <c r="E554" s="26" t="inlineStr">
        <is>
          <t>Bangsamoro Autonomous Region In Muslim Mindanao (BARMM)</t>
        </is>
      </c>
      <c r="F554" s="26" t="inlineStr">
        <is>
          <t>Sulu</t>
        </is>
      </c>
      <c r="G554" s="26" t="inlineStr">
        <is>
          <t>Tapul</t>
        </is>
      </c>
      <c r="H554" s="26" t="inlineStr">
        <is>
          <t>Sayli</t>
        </is>
      </c>
      <c r="I554" s="27" t="n">
        <v>17.256196</v>
      </c>
      <c r="J554" s="27" t="n">
        <v>122.223121</v>
      </c>
      <c r="K554" s="10" t="inlineStr">
        <is>
          <t>R</t>
        </is>
      </c>
      <c r="L554" s="12" t="n">
        <v>1048</v>
      </c>
      <c r="M554" s="14" t="n">
        <v>6</v>
      </c>
      <c r="N554" s="12">
        <f>ROUND(L554/M554, 0)</f>
        <v/>
      </c>
      <c r="O554" s="12">
        <f>ROUND(N554*'Methodology &amp; Assumptions'!$B$5, 0)</f>
        <v/>
      </c>
      <c r="P554" s="10" t="inlineStr">
        <is>
          <t>Single Carrier (Band n50, 100MHz TDD)</t>
        </is>
      </c>
      <c r="Q554" s="13">
        <f>ROUNDUP(O554/'Methodology &amp; Assumptions'!$B$6, 0)</f>
        <v/>
      </c>
      <c r="R554" s="13" t="n">
        <v>1</v>
      </c>
      <c r="S554" s="14" t="n">
        <v>29.04</v>
      </c>
      <c r="T554" s="14" t="n">
        <v>33.76</v>
      </c>
      <c r="U554" s="26">
        <f>IF(X554&gt;='Methodology &amp; Assumptions'!$B$7, "Tier 1 Critical GIDA (Score ≥ 50.0)", IF(X554&gt;='Methodology &amp; Assumptions'!$B$8, "Tier 2 High GIDA (Score 40.0–49.9)", "Tier 3 Moderate GIDA (Score &lt; 40.0)"))</f>
        <v/>
      </c>
      <c r="V554" s="26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W554" s="28" t="n">
        <v>0.11</v>
      </c>
      <c r="X554" s="14" t="n">
        <v>50.01</v>
      </c>
      <c r="Y554" s="14">
        <f>ROUND(MIN(100, (X554/69.91)*100), 2)</f>
        <v/>
      </c>
    </row>
    <row r="555">
      <c r="A555" s="10" t="n">
        <v>2</v>
      </c>
      <c r="B555" s="10" t="n">
        <v>551</v>
      </c>
      <c r="C555" s="10" t="n">
        <v>1551</v>
      </c>
      <c r="D555" s="10" t="inlineStr">
        <is>
          <t>1906610001</t>
        </is>
      </c>
      <c r="E555" s="26" t="inlineStr">
        <is>
          <t>Bangsamoro Autonomous Region In Muslim Mindanao (BARMM)</t>
        </is>
      </c>
      <c r="F555" s="26" t="inlineStr">
        <is>
          <t>Sulu</t>
        </is>
      </c>
      <c r="G555" s="26" t="inlineStr">
        <is>
          <t>Pata</t>
        </is>
      </c>
      <c r="H555" s="26" t="inlineStr">
        <is>
          <t>Andalan</t>
        </is>
      </c>
      <c r="I555" s="27" t="n">
        <v>17.251904</v>
      </c>
      <c r="J555" s="27" t="n">
        <v>122.233098</v>
      </c>
      <c r="K555" s="10" t="inlineStr">
        <is>
          <t>R</t>
        </is>
      </c>
      <c r="L555" s="12" t="n">
        <v>1020</v>
      </c>
      <c r="M555" s="14" t="n">
        <v>6</v>
      </c>
      <c r="N555" s="12">
        <f>ROUND(L555/M555, 0)</f>
        <v/>
      </c>
      <c r="O555" s="12">
        <f>ROUND(N555*'Methodology &amp; Assumptions'!$B$5, 0)</f>
        <v/>
      </c>
      <c r="P555" s="10" t="inlineStr">
        <is>
          <t>Single Carrier (Band n50, 100MHz TDD)</t>
        </is>
      </c>
      <c r="Q555" s="13">
        <f>ROUNDUP(O555/'Methodology &amp; Assumptions'!$B$6, 0)</f>
        <v/>
      </c>
      <c r="R555" s="13" t="n">
        <v>1</v>
      </c>
      <c r="S555" s="14" t="n">
        <v>29.56</v>
      </c>
      <c r="T555" s="14" t="n">
        <v>34.63</v>
      </c>
      <c r="U555" s="26">
        <f>IF(X555&gt;='Methodology &amp; Assumptions'!$B$7, "Tier 1 Critical GIDA (Score ≥ 50.0)", IF(X555&gt;='Methodology &amp; Assumptions'!$B$8, "Tier 2 High GIDA (Score 40.0–49.9)", "Tier 3 Moderate GIDA (Score &lt; 40.0)"))</f>
        <v/>
      </c>
      <c r="V555" s="26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W555" s="28" t="n">
        <v>0.11</v>
      </c>
      <c r="X555" s="14" t="n">
        <v>50.01</v>
      </c>
      <c r="Y555" s="14">
        <f>ROUND(MIN(100, (X555/69.91)*100), 2)</f>
        <v/>
      </c>
    </row>
    <row r="556">
      <c r="A556" s="10" t="n">
        <v>2</v>
      </c>
      <c r="B556" s="10" t="n">
        <v>552</v>
      </c>
      <c r="C556" s="10" t="n">
        <v>1552</v>
      </c>
      <c r="D556" s="10" t="inlineStr">
        <is>
          <t>1903602022</t>
        </is>
      </c>
      <c r="E556" s="26" t="inlineStr">
        <is>
          <t>Bangsamoro Autonomous Region In Muslim Mindanao (BARMM)</t>
        </is>
      </c>
      <c r="F556" s="26" t="inlineStr">
        <is>
          <t>Lanao del Sur</t>
        </is>
      </c>
      <c r="G556" s="26" t="inlineStr">
        <is>
          <t>Balabagan</t>
        </is>
      </c>
      <c r="H556" s="26" t="inlineStr">
        <is>
          <t>Buenavista</t>
        </is>
      </c>
      <c r="I556" s="27" t="n">
        <v>17.250944</v>
      </c>
      <c r="J556" s="27" t="n">
        <v>122.232137</v>
      </c>
      <c r="K556" s="10" t="inlineStr">
        <is>
          <t>R</t>
        </is>
      </c>
      <c r="L556" s="12" t="n">
        <v>755</v>
      </c>
      <c r="M556" s="14" t="n">
        <v>5.7</v>
      </c>
      <c r="N556" s="12">
        <f>ROUND(L556/M556, 0)</f>
        <v/>
      </c>
      <c r="O556" s="12">
        <f>ROUND(N556*'Methodology &amp; Assumptions'!$B$5, 0)</f>
        <v/>
      </c>
      <c r="P556" s="10" t="inlineStr">
        <is>
          <t>Single Carrier (Band n50, 100MHz TDD)</t>
        </is>
      </c>
      <c r="Q556" s="13">
        <f>ROUNDUP(O556/'Methodology &amp; Assumptions'!$B$6, 0)</f>
        <v/>
      </c>
      <c r="R556" s="13" t="n">
        <v>1</v>
      </c>
      <c r="S556" s="14" t="n">
        <v>29.41</v>
      </c>
      <c r="T556" s="14" t="n">
        <v>34.51</v>
      </c>
      <c r="U556" s="26">
        <f>IF(X556&gt;='Methodology &amp; Assumptions'!$B$7, "Tier 1 Critical GIDA (Score ≥ 50.0)", IF(X556&gt;='Methodology &amp; Assumptions'!$B$8, "Tier 2 High GIDA (Score 40.0–49.9)", "Tier 3 Moderate GIDA (Score &lt; 40.0)"))</f>
        <v/>
      </c>
      <c r="V556" s="26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W556" s="28" t="n">
        <v>0.11</v>
      </c>
      <c r="X556" s="14" t="n">
        <v>50.01</v>
      </c>
      <c r="Y556" s="14">
        <f>ROUND(MIN(100, (X556/69.91)*100), 2)</f>
        <v/>
      </c>
    </row>
    <row r="557">
      <c r="A557" s="10" t="n">
        <v>2</v>
      </c>
      <c r="B557" s="10" t="n">
        <v>553</v>
      </c>
      <c r="C557" s="10" t="n">
        <v>1553</v>
      </c>
      <c r="D557" s="10" t="inlineStr">
        <is>
          <t>1003521006</t>
        </is>
      </c>
      <c r="E557" s="26" t="inlineStr">
        <is>
          <t>Region X (Northern Mindanao)</t>
        </is>
      </c>
      <c r="F557" s="26" t="inlineStr">
        <is>
          <t>Lanao del Norte</t>
        </is>
      </c>
      <c r="G557" s="26" t="inlineStr">
        <is>
          <t>Tangcal</t>
        </is>
      </c>
      <c r="H557" s="26" t="inlineStr">
        <is>
          <t>Big Meladoc</t>
        </is>
      </c>
      <c r="I557" s="27" t="n">
        <v>8.034523999999999</v>
      </c>
      <c r="J557" s="27" t="n">
        <v>123.957909</v>
      </c>
      <c r="K557" s="10" t="inlineStr">
        <is>
          <t>R</t>
        </is>
      </c>
      <c r="L557" s="12" t="n">
        <v>624</v>
      </c>
      <c r="M557" s="14" t="n">
        <v>4.2</v>
      </c>
      <c r="N557" s="12">
        <f>ROUND(L557/M557, 0)</f>
        <v/>
      </c>
      <c r="O557" s="12">
        <f>ROUND(N557*'Methodology &amp; Assumptions'!$B$5, 0)</f>
        <v/>
      </c>
      <c r="P557" s="10" t="inlineStr">
        <is>
          <t>Single Carrier (Band n50, 100MHz TDD)</t>
        </is>
      </c>
      <c r="Q557" s="13">
        <f>ROUNDUP(O557/'Methodology &amp; Assumptions'!$B$6, 0)</f>
        <v/>
      </c>
      <c r="R557" s="13" t="n">
        <v>1</v>
      </c>
      <c r="S557" s="14" t="n">
        <v>17.5</v>
      </c>
      <c r="T557" s="14" t="n">
        <v>10.87</v>
      </c>
      <c r="U557" s="26">
        <f>IF(X557&gt;='Methodology &amp; Assumptions'!$B$7, "Tier 1 Critical GIDA (Score ≥ 50.0)", IF(X557&gt;='Methodology &amp; Assumptions'!$B$8, "Tier 2 High GIDA (Score 40.0–49.9)", "Tier 3 Moderate GIDA (Score &lt; 40.0)"))</f>
        <v/>
      </c>
      <c r="V557" s="26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W557" s="28" t="n">
        <v>0.174</v>
      </c>
      <c r="X557" s="14" t="n">
        <v>50.01</v>
      </c>
      <c r="Y557" s="14">
        <f>ROUND(MIN(100, (X557/69.91)*100), 2)</f>
        <v/>
      </c>
    </row>
    <row r="558">
      <c r="A558" s="10" t="n">
        <v>2</v>
      </c>
      <c r="B558" s="10" t="n">
        <v>554</v>
      </c>
      <c r="C558" s="10" t="n">
        <v>1554</v>
      </c>
      <c r="D558" s="10" t="inlineStr">
        <is>
          <t>1380612032</t>
        </is>
      </c>
      <c r="E558" s="26" t="inlineStr">
        <is>
          <t>National Capital Region (NCR)</t>
        </is>
      </c>
      <c r="F558" s="26" t="inlineStr">
        <is>
          <t>First District (Not a Province)</t>
        </is>
      </c>
      <c r="G558" s="26" t="inlineStr">
        <is>
          <t>City of Manila</t>
        </is>
      </c>
      <c r="H558" s="26" t="inlineStr">
        <is>
          <t>Barangay 864</t>
        </is>
      </c>
      <c r="I558" s="27" t="n">
        <v>12.795418</v>
      </c>
      <c r="J558" s="27" t="n">
        <v>122.048206</v>
      </c>
      <c r="K558" s="10" t="inlineStr">
        <is>
          <t>U</t>
        </is>
      </c>
      <c r="L558" s="12" t="n">
        <v>838</v>
      </c>
      <c r="M558" s="14" t="n">
        <v>3.9</v>
      </c>
      <c r="N558" s="12">
        <f>ROUND(L558/M558, 0)</f>
        <v/>
      </c>
      <c r="O558" s="12">
        <f>ROUND(N558*'Methodology &amp; Assumptions'!$B$5, 0)</f>
        <v/>
      </c>
      <c r="P558" s="10" t="inlineStr">
        <is>
          <t>Single Carrier (Band n50, 100MHz TDD)</t>
        </is>
      </c>
      <c r="Q558" s="13">
        <f>ROUNDUP(O558/'Methodology &amp; Assumptions'!$B$6, 0)</f>
        <v/>
      </c>
      <c r="R558" s="13" t="n">
        <v>1</v>
      </c>
      <c r="S558" s="14" t="n">
        <v>57.91</v>
      </c>
      <c r="T558" s="14" t="n">
        <v>55.5</v>
      </c>
      <c r="U558" s="26">
        <f>IF(X558&gt;='Methodology &amp; Assumptions'!$B$7, "Tier 1 Critical GIDA (Score ≥ 50.0)", IF(X558&gt;='Methodology &amp; Assumptions'!$B$8, "Tier 2 High GIDA (Score 40.0–49.9)", "Tier 3 Moderate GIDA (Score &lt; 40.0)"))</f>
        <v/>
      </c>
      <c r="V558" s="26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W558" s="28" t="n">
        <v>0.109</v>
      </c>
      <c r="X558" s="14" t="n">
        <v>50.01</v>
      </c>
      <c r="Y558" s="14">
        <f>ROUND(MIN(100, (X558/69.91)*100), 2)</f>
        <v/>
      </c>
    </row>
    <row r="559">
      <c r="A559" s="10" t="n">
        <v>2</v>
      </c>
      <c r="B559" s="10" t="n">
        <v>555</v>
      </c>
      <c r="C559" s="10" t="n">
        <v>1555</v>
      </c>
      <c r="D559" s="10" t="inlineStr">
        <is>
          <t>1906618016</t>
        </is>
      </c>
      <c r="E559" s="26" t="inlineStr">
        <is>
          <t>Bangsamoro Autonomous Region In Muslim Mindanao (BARMM)</t>
        </is>
      </c>
      <c r="F559" s="26" t="inlineStr">
        <is>
          <t>Sulu</t>
        </is>
      </c>
      <c r="G559" s="26" t="inlineStr">
        <is>
          <t>Pandami</t>
        </is>
      </c>
      <c r="H559" s="26" t="inlineStr">
        <is>
          <t>Laud Sibaud</t>
        </is>
      </c>
      <c r="I559" s="27" t="n">
        <v>16.230387</v>
      </c>
      <c r="J559" s="27" t="n">
        <v>122.108868</v>
      </c>
      <c r="K559" s="10" t="inlineStr">
        <is>
          <t>R</t>
        </is>
      </c>
      <c r="L559" s="12" t="n">
        <v>990</v>
      </c>
      <c r="M559" s="14" t="n">
        <v>6</v>
      </c>
      <c r="N559" s="12">
        <f>ROUND(L559/M559, 0)</f>
        <v/>
      </c>
      <c r="O559" s="12">
        <f>ROUND(N559*'Methodology &amp; Assumptions'!$B$5, 0)</f>
        <v/>
      </c>
      <c r="P559" s="10" t="inlineStr">
        <is>
          <t>Single Carrier (Band n50, 100MHz TDD)</t>
        </is>
      </c>
      <c r="Q559" s="13">
        <f>ROUNDUP(O559/'Methodology &amp; Assumptions'!$B$6, 0)</f>
        <v/>
      </c>
      <c r="R559" s="13" t="n">
        <v>1</v>
      </c>
      <c r="S559" s="14" t="n">
        <v>5.65</v>
      </c>
      <c r="T559" s="14" t="n">
        <v>3.51</v>
      </c>
      <c r="U559" s="26">
        <f>IF(X559&gt;='Methodology &amp; Assumptions'!$B$7, "Tier 1 Critical GIDA (Score ≥ 50.0)", IF(X559&gt;='Methodology &amp; Assumptions'!$B$8, "Tier 2 High GIDA (Score 40.0–49.9)", "Tier 3 Moderate GIDA (Score &lt; 40.0)"))</f>
        <v/>
      </c>
      <c r="V559" s="26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W559" s="28" t="n">
        <v>0.11</v>
      </c>
      <c r="X559" s="14" t="n">
        <v>50.01</v>
      </c>
      <c r="Y559" s="14">
        <f>ROUND(MIN(100, (X559/69.91)*100), 2)</f>
        <v/>
      </c>
    </row>
    <row r="560">
      <c r="A560" s="10" t="n">
        <v>2</v>
      </c>
      <c r="B560" s="10" t="n">
        <v>556</v>
      </c>
      <c r="C560" s="10" t="n">
        <v>1556</v>
      </c>
      <c r="D560" s="10" t="inlineStr">
        <is>
          <t>1380606239</t>
        </is>
      </c>
      <c r="E560" s="26" t="inlineStr">
        <is>
          <t>National Capital Region (NCR)</t>
        </is>
      </c>
      <c r="F560" s="26" t="inlineStr">
        <is>
          <t>First District (Not a Province)</t>
        </is>
      </c>
      <c r="G560" s="26" t="inlineStr">
        <is>
          <t>City of Manila</t>
        </is>
      </c>
      <c r="H560" s="26" t="inlineStr">
        <is>
          <t>Barangay 632</t>
        </is>
      </c>
      <c r="I560" s="27" t="n">
        <v>12.760678</v>
      </c>
      <c r="J560" s="27" t="n">
        <v>121.51217</v>
      </c>
      <c r="K560" s="10" t="inlineStr">
        <is>
          <t>U</t>
        </is>
      </c>
      <c r="L560" s="12" t="n">
        <v>262</v>
      </c>
      <c r="M560" s="14" t="n">
        <v>3.9</v>
      </c>
      <c r="N560" s="12">
        <f>ROUND(L560/M560, 0)</f>
        <v/>
      </c>
      <c r="O560" s="12">
        <f>ROUND(N560*'Methodology &amp; Assumptions'!$B$5, 0)</f>
        <v/>
      </c>
      <c r="P560" s="10" t="inlineStr">
        <is>
          <t>Single Carrier (Band n50, 100MHz TDD)</t>
        </is>
      </c>
      <c r="Q560" s="13">
        <f>ROUNDUP(O560/'Methodology &amp; Assumptions'!$B$6, 0)</f>
        <v/>
      </c>
      <c r="R560" s="13" t="n">
        <v>1</v>
      </c>
      <c r="S560" s="14" t="n">
        <v>3.27</v>
      </c>
      <c r="T560" s="14" t="n">
        <v>3.16</v>
      </c>
      <c r="U560" s="26">
        <f>IF(X560&gt;='Methodology &amp; Assumptions'!$B$7, "Tier 1 Critical GIDA (Score ≥ 50.0)", IF(X560&gt;='Methodology &amp; Assumptions'!$B$8, "Tier 2 High GIDA (Score 40.0–49.9)", "Tier 3 Moderate GIDA (Score &lt; 40.0)"))</f>
        <v/>
      </c>
      <c r="V560" s="26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W560" s="28" t="n">
        <v>0.109</v>
      </c>
      <c r="X560" s="14" t="n">
        <v>50.01</v>
      </c>
      <c r="Y560" s="14">
        <f>ROUND(MIN(100, (X560/69.91)*100), 2)</f>
        <v/>
      </c>
    </row>
    <row r="561">
      <c r="A561" s="10" t="n">
        <v>2</v>
      </c>
      <c r="B561" s="10" t="n">
        <v>557</v>
      </c>
      <c r="C561" s="10" t="n">
        <v>1557</v>
      </c>
      <c r="D561" s="10" t="inlineStr">
        <is>
          <t>1906614003</t>
        </is>
      </c>
      <c r="E561" s="26" t="inlineStr">
        <is>
          <t>Bangsamoro Autonomous Region In Muslim Mindanao (BARMM)</t>
        </is>
      </c>
      <c r="F561" s="26" t="inlineStr">
        <is>
          <t>Sulu</t>
        </is>
      </c>
      <c r="G561" s="26" t="inlineStr">
        <is>
          <t>Tapul</t>
        </is>
      </c>
      <c r="H561" s="26" t="inlineStr">
        <is>
          <t>Banting</t>
        </is>
      </c>
      <c r="I561" s="27" t="n">
        <v>17.255654</v>
      </c>
      <c r="J561" s="27" t="n">
        <v>122.229698</v>
      </c>
      <c r="K561" s="10" t="inlineStr">
        <is>
          <t>R</t>
        </is>
      </c>
      <c r="L561" s="12" t="n">
        <v>1200</v>
      </c>
      <c r="M561" s="14" t="n">
        <v>6</v>
      </c>
      <c r="N561" s="12">
        <f>ROUND(L561/M561, 0)</f>
        <v/>
      </c>
      <c r="O561" s="12">
        <f>ROUND(N561*'Methodology &amp; Assumptions'!$B$5, 0)</f>
        <v/>
      </c>
      <c r="P561" s="10" t="inlineStr">
        <is>
          <t>Single Carrier (Band n50, 100MHz TDD)</t>
        </is>
      </c>
      <c r="Q561" s="13">
        <f>ROUNDUP(O561/'Methodology &amp; Assumptions'!$B$6, 0)</f>
        <v/>
      </c>
      <c r="R561" s="13" t="n">
        <v>1</v>
      </c>
      <c r="S561" s="14" t="n">
        <v>29.54</v>
      </c>
      <c r="T561" s="14" t="n">
        <v>34.41</v>
      </c>
      <c r="U561" s="26">
        <f>IF(X561&gt;='Methodology &amp; Assumptions'!$B$7, "Tier 1 Critical GIDA (Score ≥ 50.0)", IF(X561&gt;='Methodology &amp; Assumptions'!$B$8, "Tier 2 High GIDA (Score 40.0–49.9)", "Tier 3 Moderate GIDA (Score &lt; 40.0)"))</f>
        <v/>
      </c>
      <c r="V561" s="26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W561" s="28" t="n">
        <v>0.11</v>
      </c>
      <c r="X561" s="14" t="n">
        <v>50.01</v>
      </c>
      <c r="Y561" s="14">
        <f>ROUND(MIN(100, (X561/69.91)*100), 2)</f>
        <v/>
      </c>
    </row>
    <row r="562">
      <c r="A562" s="10" t="n">
        <v>2</v>
      </c>
      <c r="B562" s="10" t="n">
        <v>558</v>
      </c>
      <c r="C562" s="10" t="n">
        <v>1558</v>
      </c>
      <c r="D562" s="10" t="inlineStr">
        <is>
          <t>1906608001</t>
        </is>
      </c>
      <c r="E562" s="26" t="inlineStr">
        <is>
          <t>Bangsamoro Autonomous Region In Muslim Mindanao (BARMM)</t>
        </is>
      </c>
      <c r="F562" s="26" t="inlineStr">
        <is>
          <t>Sulu</t>
        </is>
      </c>
      <c r="G562" s="26" t="inlineStr">
        <is>
          <t>Pangutaran</t>
        </is>
      </c>
      <c r="H562" s="26" t="inlineStr">
        <is>
          <t>Alu Bunah</t>
        </is>
      </c>
      <c r="I562" s="27" t="n">
        <v>17.255364</v>
      </c>
      <c r="J562" s="27" t="n">
        <v>122.229408</v>
      </c>
      <c r="K562" s="10" t="inlineStr">
        <is>
          <t>R</t>
        </is>
      </c>
      <c r="L562" s="12" t="n">
        <v>1002</v>
      </c>
      <c r="M562" s="14" t="n">
        <v>6</v>
      </c>
      <c r="N562" s="12">
        <f>ROUND(L562/M562, 0)</f>
        <v/>
      </c>
      <c r="O562" s="12">
        <f>ROUND(N562*'Methodology &amp; Assumptions'!$B$5, 0)</f>
        <v/>
      </c>
      <c r="P562" s="10" t="inlineStr">
        <is>
          <t>Single Carrier (Band n50, 100MHz TDD)</t>
        </is>
      </c>
      <c r="Q562" s="13">
        <f>ROUNDUP(O562/'Methodology &amp; Assumptions'!$B$6, 0)</f>
        <v/>
      </c>
      <c r="R562" s="13" t="n">
        <v>1</v>
      </c>
      <c r="S562" s="14" t="n">
        <v>29.49</v>
      </c>
      <c r="T562" s="14" t="n">
        <v>34.37</v>
      </c>
      <c r="U562" s="26">
        <f>IF(X562&gt;='Methodology &amp; Assumptions'!$B$7, "Tier 1 Critical GIDA (Score ≥ 50.0)", IF(X562&gt;='Methodology &amp; Assumptions'!$B$8, "Tier 2 High GIDA (Score 40.0–49.9)", "Tier 3 Moderate GIDA (Score &lt; 40.0)"))</f>
        <v/>
      </c>
      <c r="V562" s="26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W562" s="28" t="n">
        <v>0.11</v>
      </c>
      <c r="X562" s="14" t="n">
        <v>50.01</v>
      </c>
      <c r="Y562" s="14">
        <f>ROUND(MIN(100, (X562/69.91)*100), 2)</f>
        <v/>
      </c>
    </row>
    <row r="563">
      <c r="A563" s="10" t="n">
        <v>2</v>
      </c>
      <c r="B563" s="10" t="n">
        <v>559</v>
      </c>
      <c r="C563" s="10" t="n">
        <v>1559</v>
      </c>
      <c r="D563" s="10" t="inlineStr">
        <is>
          <t>1906610011</t>
        </is>
      </c>
      <c r="E563" s="26" t="inlineStr">
        <is>
          <t>Bangsamoro Autonomous Region In Muslim Mindanao (BARMM)</t>
        </is>
      </c>
      <c r="F563" s="26" t="inlineStr">
        <is>
          <t>Sulu</t>
        </is>
      </c>
      <c r="G563" s="26" t="inlineStr">
        <is>
          <t>Pata</t>
        </is>
      </c>
      <c r="H563" s="26" t="inlineStr">
        <is>
          <t>Patian</t>
        </is>
      </c>
      <c r="I563" s="27" t="n">
        <v>17.255557</v>
      </c>
      <c r="J563" s="27" t="n">
        <v>122.229601</v>
      </c>
      <c r="K563" s="10" t="inlineStr">
        <is>
          <t>R</t>
        </is>
      </c>
      <c r="L563" s="12" t="n">
        <v>1108</v>
      </c>
      <c r="M563" s="14" t="n">
        <v>6</v>
      </c>
      <c r="N563" s="12">
        <f>ROUND(L563/M563, 0)</f>
        <v/>
      </c>
      <c r="O563" s="12">
        <f>ROUND(N563*'Methodology &amp; Assumptions'!$B$5, 0)</f>
        <v/>
      </c>
      <c r="P563" s="10" t="inlineStr">
        <is>
          <t>Single Carrier (Band n50, 100MHz TDD)</t>
        </is>
      </c>
      <c r="Q563" s="13">
        <f>ROUNDUP(O563/'Methodology &amp; Assumptions'!$B$6, 0)</f>
        <v/>
      </c>
      <c r="R563" s="13" t="n">
        <v>1</v>
      </c>
      <c r="S563" s="14" t="n">
        <v>29.52</v>
      </c>
      <c r="T563" s="14" t="n">
        <v>34.39</v>
      </c>
      <c r="U563" s="26">
        <f>IF(X563&gt;='Methodology &amp; Assumptions'!$B$7, "Tier 1 Critical GIDA (Score ≥ 50.0)", IF(X563&gt;='Methodology &amp; Assumptions'!$B$8, "Tier 2 High GIDA (Score 40.0–49.9)", "Tier 3 Moderate GIDA (Score &lt; 40.0)"))</f>
        <v/>
      </c>
      <c r="V563" s="26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W563" s="28" t="n">
        <v>0.11</v>
      </c>
      <c r="X563" s="14" t="n">
        <v>50.01</v>
      </c>
      <c r="Y563" s="14">
        <f>ROUND(MIN(100, (X563/69.91)*100), 2)</f>
        <v/>
      </c>
    </row>
    <row r="564">
      <c r="A564" s="10" t="n">
        <v>2</v>
      </c>
      <c r="B564" s="10" t="n">
        <v>560</v>
      </c>
      <c r="C564" s="10" t="n">
        <v>1560</v>
      </c>
      <c r="D564" s="10" t="inlineStr">
        <is>
          <t>1903631004</t>
        </is>
      </c>
      <c r="E564" s="26" t="inlineStr">
        <is>
          <t>Bangsamoro Autonomous Region In Muslim Mindanao (BARMM)</t>
        </is>
      </c>
      <c r="F564" s="26" t="inlineStr">
        <is>
          <t>Lanao del Sur</t>
        </is>
      </c>
      <c r="G564" s="26" t="inlineStr">
        <is>
          <t>Marogong</t>
        </is>
      </c>
      <c r="H564" s="26" t="inlineStr">
        <is>
          <t>Bitayan</t>
        </is>
      </c>
      <c r="I564" s="27" t="n">
        <v>15.655327</v>
      </c>
      <c r="J564" s="27" t="n">
        <v>122.560734</v>
      </c>
      <c r="K564" s="10" t="inlineStr">
        <is>
          <t>R</t>
        </is>
      </c>
      <c r="L564" s="12" t="n">
        <v>1027</v>
      </c>
      <c r="M564" s="14" t="n">
        <v>5.7</v>
      </c>
      <c r="N564" s="12">
        <f>ROUND(L564/M564, 0)</f>
        <v/>
      </c>
      <c r="O564" s="12">
        <f>ROUND(N564*'Methodology &amp; Assumptions'!$B$5, 0)</f>
        <v/>
      </c>
      <c r="P564" s="10" t="inlineStr">
        <is>
          <t>Single Carrier (Band n50, 100MHz TDD)</t>
        </is>
      </c>
      <c r="Q564" s="13">
        <f>ROUNDUP(O564/'Methodology &amp; Assumptions'!$B$6, 0)</f>
        <v/>
      </c>
      <c r="R564" s="13" t="n">
        <v>1</v>
      </c>
      <c r="S564" s="14" t="n">
        <v>82.76000000000001</v>
      </c>
      <c r="T564" s="14" t="n">
        <v>81.62</v>
      </c>
      <c r="U564" s="26">
        <f>IF(X564&gt;='Methodology &amp; Assumptions'!$B$7, "Tier 1 Critical GIDA (Score ≥ 50.0)", IF(X564&gt;='Methodology &amp; Assumptions'!$B$8, "Tier 2 High GIDA (Score 40.0–49.9)", "Tier 3 Moderate GIDA (Score &lt; 40.0)"))</f>
        <v/>
      </c>
      <c r="V564" s="26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W564" s="28" t="n">
        <v>0.11</v>
      </c>
      <c r="X564" s="14" t="n">
        <v>50.01</v>
      </c>
      <c r="Y564" s="14">
        <f>ROUND(MIN(100, (X564/69.91)*100), 2)</f>
        <v/>
      </c>
    </row>
    <row r="565">
      <c r="A565" s="10" t="n">
        <v>2</v>
      </c>
      <c r="B565" s="10" t="n">
        <v>561</v>
      </c>
      <c r="C565" s="10" t="n">
        <v>1561</v>
      </c>
      <c r="D565" s="10" t="inlineStr">
        <is>
          <t>1903631012</t>
        </is>
      </c>
      <c r="E565" s="26" t="inlineStr">
        <is>
          <t>Bangsamoro Autonomous Region In Muslim Mindanao (BARMM)</t>
        </is>
      </c>
      <c r="F565" s="26" t="inlineStr">
        <is>
          <t>Lanao del Sur</t>
        </is>
      </c>
      <c r="G565" s="26" t="inlineStr">
        <is>
          <t>Marogong</t>
        </is>
      </c>
      <c r="H565" s="26" t="inlineStr">
        <is>
          <t>Diragun</t>
        </is>
      </c>
      <c r="I565" s="27" t="n">
        <v>15.65233</v>
      </c>
      <c r="J565" s="27" t="n">
        <v>122.536981</v>
      </c>
      <c r="K565" s="10" t="inlineStr">
        <is>
          <t>R</t>
        </is>
      </c>
      <c r="L565" s="12" t="n">
        <v>1160</v>
      </c>
      <c r="M565" s="14" t="n">
        <v>5.7</v>
      </c>
      <c r="N565" s="12">
        <f>ROUND(L565/M565, 0)</f>
        <v/>
      </c>
      <c r="O565" s="12">
        <f>ROUND(N565*'Methodology &amp; Assumptions'!$B$5, 0)</f>
        <v/>
      </c>
      <c r="P565" s="10" t="inlineStr">
        <is>
          <t>Single Carrier (Band n50, 100MHz TDD)</t>
        </is>
      </c>
      <c r="Q565" s="13">
        <f>ROUNDUP(O565/'Methodology &amp; Assumptions'!$B$6, 0)</f>
        <v/>
      </c>
      <c r="R565" s="13" t="n">
        <v>1</v>
      </c>
      <c r="S565" s="14" t="n">
        <v>81.33</v>
      </c>
      <c r="T565" s="14" t="n">
        <v>80.12</v>
      </c>
      <c r="U565" s="26">
        <f>IF(X565&gt;='Methodology &amp; Assumptions'!$B$7, "Tier 1 Critical GIDA (Score ≥ 50.0)", IF(X565&gt;='Methodology &amp; Assumptions'!$B$8, "Tier 2 High GIDA (Score 40.0–49.9)", "Tier 3 Moderate GIDA (Score &lt; 40.0)"))</f>
        <v/>
      </c>
      <c r="V565" s="26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W565" s="28" t="n">
        <v>0.11</v>
      </c>
      <c r="X565" s="14" t="n">
        <v>50.01</v>
      </c>
      <c r="Y565" s="14">
        <f>ROUND(MIN(100, (X565/69.91)*100), 2)</f>
        <v/>
      </c>
    </row>
    <row r="566">
      <c r="A566" s="10" t="n">
        <v>2</v>
      </c>
      <c r="B566" s="10" t="n">
        <v>562</v>
      </c>
      <c r="C566" s="10" t="n">
        <v>1562</v>
      </c>
      <c r="D566" s="10" t="inlineStr">
        <is>
          <t>1906614018</t>
        </is>
      </c>
      <c r="E566" s="26" t="inlineStr">
        <is>
          <t>Bangsamoro Autonomous Region In Muslim Mindanao (BARMM)</t>
        </is>
      </c>
      <c r="F566" s="26" t="inlineStr">
        <is>
          <t>Sulu</t>
        </is>
      </c>
      <c r="G566" s="26" t="inlineStr">
        <is>
          <t>Tapul</t>
        </is>
      </c>
      <c r="H566" s="26" t="inlineStr">
        <is>
          <t>Kanaway</t>
        </is>
      </c>
      <c r="I566" s="27" t="n">
        <v>17.255643</v>
      </c>
      <c r="J566" s="27" t="n">
        <v>122.229687</v>
      </c>
      <c r="K566" s="10" t="inlineStr">
        <is>
          <t>R</t>
        </is>
      </c>
      <c r="L566" s="12" t="n">
        <v>1503</v>
      </c>
      <c r="M566" s="14" t="n">
        <v>6</v>
      </c>
      <c r="N566" s="12">
        <f>ROUND(L566/M566, 0)</f>
        <v/>
      </c>
      <c r="O566" s="12">
        <f>ROUND(N566*'Methodology &amp; Assumptions'!$B$5, 0)</f>
        <v/>
      </c>
      <c r="P566" s="10" t="inlineStr">
        <is>
          <t>Single Carrier (Band n50, 100MHz TDD)</t>
        </is>
      </c>
      <c r="Q566" s="13">
        <f>ROUNDUP(O566/'Methodology &amp; Assumptions'!$B$6, 0)</f>
        <v/>
      </c>
      <c r="R566" s="13" t="n">
        <v>1</v>
      </c>
      <c r="S566" s="14" t="n">
        <v>29.54</v>
      </c>
      <c r="T566" s="14" t="n">
        <v>34.4</v>
      </c>
      <c r="U566" s="26">
        <f>IF(X566&gt;='Methodology &amp; Assumptions'!$B$7, "Tier 1 Critical GIDA (Score ≥ 50.0)", IF(X566&gt;='Methodology &amp; Assumptions'!$B$8, "Tier 2 High GIDA (Score 40.0–49.9)", "Tier 3 Moderate GIDA (Score &lt; 40.0)"))</f>
        <v/>
      </c>
      <c r="V566" s="26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W566" s="28" t="n">
        <v>0.11</v>
      </c>
      <c r="X566" s="14" t="n">
        <v>50.01</v>
      </c>
      <c r="Y566" s="14">
        <f>ROUND(MIN(100, (X566/69.91)*100), 2)</f>
        <v/>
      </c>
    </row>
    <row r="567">
      <c r="A567" s="10" t="n">
        <v>2</v>
      </c>
      <c r="B567" s="10" t="n">
        <v>563</v>
      </c>
      <c r="C567" s="10" t="n">
        <v>1563</v>
      </c>
      <c r="D567" s="10" t="inlineStr">
        <is>
          <t>1906618008</t>
        </is>
      </c>
      <c r="E567" s="26" t="inlineStr">
        <is>
          <t>Bangsamoro Autonomous Region In Muslim Mindanao (BARMM)</t>
        </is>
      </c>
      <c r="F567" s="26" t="inlineStr">
        <is>
          <t>Sulu</t>
        </is>
      </c>
      <c r="G567" s="26" t="inlineStr">
        <is>
          <t>Pandami</t>
        </is>
      </c>
      <c r="H567" s="26" t="inlineStr">
        <is>
          <t>Mamanok</t>
        </is>
      </c>
      <c r="I567" s="27" t="n">
        <v>16.234585</v>
      </c>
      <c r="J567" s="27" t="n">
        <v>122.098851</v>
      </c>
      <c r="K567" s="10" t="inlineStr">
        <is>
          <t>R</t>
        </is>
      </c>
      <c r="L567" s="12" t="n">
        <v>1052</v>
      </c>
      <c r="M567" s="14" t="n">
        <v>6</v>
      </c>
      <c r="N567" s="12">
        <f>ROUND(L567/M567, 0)</f>
        <v/>
      </c>
      <c r="O567" s="12">
        <f>ROUND(N567*'Methodology &amp; Assumptions'!$B$5, 0)</f>
        <v/>
      </c>
      <c r="P567" s="10" t="inlineStr">
        <is>
          <t>Single Carrier (Band n50, 100MHz TDD)</t>
        </is>
      </c>
      <c r="Q567" s="13">
        <f>ROUNDUP(O567/'Methodology &amp; Assumptions'!$B$6, 0)</f>
        <v/>
      </c>
      <c r="R567" s="13" t="n">
        <v>1</v>
      </c>
      <c r="S567" s="14" t="n">
        <v>5.65</v>
      </c>
      <c r="T567" s="14" t="n">
        <v>2.39</v>
      </c>
      <c r="U567" s="26">
        <f>IF(X567&gt;='Methodology &amp; Assumptions'!$B$7, "Tier 1 Critical GIDA (Score ≥ 50.0)", IF(X567&gt;='Methodology &amp; Assumptions'!$B$8, "Tier 2 High GIDA (Score 40.0–49.9)", "Tier 3 Moderate GIDA (Score &lt; 40.0)"))</f>
        <v/>
      </c>
      <c r="V567" s="26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W567" s="28" t="n">
        <v>0.11</v>
      </c>
      <c r="X567" s="14" t="n">
        <v>50.01</v>
      </c>
      <c r="Y567" s="14">
        <f>ROUND(MIN(100, (X567/69.91)*100), 2)</f>
        <v/>
      </c>
    </row>
    <row r="568">
      <c r="A568" s="10" t="n">
        <v>2</v>
      </c>
      <c r="B568" s="10" t="n">
        <v>564</v>
      </c>
      <c r="C568" s="10" t="n">
        <v>1564</v>
      </c>
      <c r="D568" s="10" t="inlineStr">
        <is>
          <t>1908806007</t>
        </is>
      </c>
      <c r="E568" s="26" t="inlineStr">
        <is>
          <t>Bangsamoro Autonomous Region In Muslim Mindanao (BARMM)</t>
        </is>
      </c>
      <c r="F568" s="26" t="inlineStr">
        <is>
          <t>Maguindanao del Sur</t>
        </is>
      </c>
      <c r="G568" s="26" t="inlineStr">
        <is>
          <t>Datu Paglas</t>
        </is>
      </c>
      <c r="H568" s="26" t="inlineStr">
        <is>
          <t>Elbebe</t>
        </is>
      </c>
      <c r="I568" s="27" t="n">
        <v>17.255245</v>
      </c>
      <c r="J568" s="27" t="n">
        <v>122.229289</v>
      </c>
      <c r="K568" s="10" t="inlineStr">
        <is>
          <t>R</t>
        </is>
      </c>
      <c r="L568" s="12" t="n">
        <v>778</v>
      </c>
      <c r="M568" s="14" t="n">
        <v>4.7</v>
      </c>
      <c r="N568" s="12">
        <f>ROUND(L568/M568, 0)</f>
        <v/>
      </c>
      <c r="O568" s="12">
        <f>ROUND(N568*'Methodology &amp; Assumptions'!$B$5, 0)</f>
        <v/>
      </c>
      <c r="P568" s="10" t="inlineStr">
        <is>
          <t>Single Carrier (Band n50, 100MHz TDD)</t>
        </is>
      </c>
      <c r="Q568" s="13">
        <f>ROUNDUP(O568/'Methodology &amp; Assumptions'!$B$6, 0)</f>
        <v/>
      </c>
      <c r="R568" s="13" t="n">
        <v>1</v>
      </c>
      <c r="S568" s="14" t="n">
        <v>29.48</v>
      </c>
      <c r="T568" s="14" t="n">
        <v>34.35</v>
      </c>
      <c r="U568" s="26">
        <f>IF(X568&gt;='Methodology &amp; Assumptions'!$B$7, "Tier 1 Critical GIDA (Score ≥ 50.0)", IF(X568&gt;='Methodology &amp; Assumptions'!$B$8, "Tier 2 High GIDA (Score 40.0–49.9)", "Tier 3 Moderate GIDA (Score &lt; 40.0)"))</f>
        <v/>
      </c>
      <c r="V568" s="26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W568" s="28" t="n">
        <v>0.11</v>
      </c>
      <c r="X568" s="14" t="n">
        <v>50.01</v>
      </c>
      <c r="Y568" s="14">
        <f>ROUND(MIN(100, (X568/69.91)*100), 2)</f>
        <v/>
      </c>
    </row>
    <row r="569">
      <c r="A569" s="10" t="n">
        <v>2</v>
      </c>
      <c r="B569" s="10" t="n">
        <v>565</v>
      </c>
      <c r="C569" s="10" t="n">
        <v>1565</v>
      </c>
      <c r="D569" s="10" t="inlineStr">
        <is>
          <t>0806017007</t>
        </is>
      </c>
      <c r="E569" s="26" t="inlineStr">
        <is>
          <t>Region VIII (Eastern Visayas)</t>
        </is>
      </c>
      <c r="F569" s="26" t="inlineStr">
        <is>
          <t>Samar</t>
        </is>
      </c>
      <c r="G569" s="26" t="inlineStr">
        <is>
          <t>Santa Rita</t>
        </is>
      </c>
      <c r="H569" s="26" t="inlineStr">
        <is>
          <t>Cabunga-an</t>
        </is>
      </c>
      <c r="I569" s="27" t="n">
        <v>11.469011</v>
      </c>
      <c r="J569" s="27" t="n">
        <v>124.882883</v>
      </c>
      <c r="K569" s="10" t="inlineStr">
        <is>
          <t>R</t>
        </is>
      </c>
      <c r="L569" s="12" t="n">
        <v>516</v>
      </c>
      <c r="M569" s="14" t="n">
        <v>4.1</v>
      </c>
      <c r="N569" s="12">
        <f>ROUND(L569/M569, 0)</f>
        <v/>
      </c>
      <c r="O569" s="12">
        <f>ROUND(N569*'Methodology &amp; Assumptions'!$B$5, 0)</f>
        <v/>
      </c>
      <c r="P569" s="10" t="inlineStr">
        <is>
          <t>Single Carrier (Band n50, 100MHz TDD)</t>
        </is>
      </c>
      <c r="Q569" s="13">
        <f>ROUNDUP(O569/'Methodology &amp; Assumptions'!$B$6, 0)</f>
        <v/>
      </c>
      <c r="R569" s="13" t="n">
        <v>1</v>
      </c>
      <c r="S569" s="14" t="n">
        <v>28.27</v>
      </c>
      <c r="T569" s="14" t="n">
        <v>26.98</v>
      </c>
      <c r="U569" s="26">
        <f>IF(X569&gt;='Methodology &amp; Assumptions'!$B$7, "Tier 1 Critical GIDA (Score ≥ 50.0)", IF(X569&gt;='Methodology &amp; Assumptions'!$B$8, "Tier 2 High GIDA (Score 40.0–49.9)", "Tier 3 Moderate GIDA (Score &lt; 40.0)"))</f>
        <v/>
      </c>
      <c r="V569" s="26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W569" s="28" t="n">
        <v>0.237</v>
      </c>
      <c r="X569" s="14" t="n">
        <v>50.01</v>
      </c>
      <c r="Y569" s="14">
        <f>ROUND(MIN(100, (X569/69.91)*100), 2)</f>
        <v/>
      </c>
    </row>
    <row r="570">
      <c r="A570" s="10" t="n">
        <v>2</v>
      </c>
      <c r="B570" s="10" t="n">
        <v>566</v>
      </c>
      <c r="C570" s="10" t="n">
        <v>1566</v>
      </c>
      <c r="D570" s="10" t="inlineStr">
        <is>
          <t>1906612026</t>
        </is>
      </c>
      <c r="E570" s="26" t="inlineStr">
        <is>
          <t>Bangsamoro Autonomous Region In Muslim Mindanao (BARMM)</t>
        </is>
      </c>
      <c r="F570" s="26" t="inlineStr">
        <is>
          <t>Sulu</t>
        </is>
      </c>
      <c r="G570" s="26" t="inlineStr">
        <is>
          <t>Siasi</t>
        </is>
      </c>
      <c r="H570" s="26" t="inlineStr">
        <is>
          <t>Luuk Tara</t>
        </is>
      </c>
      <c r="I570" s="27" t="n">
        <v>16.37652</v>
      </c>
      <c r="J570" s="27" t="n">
        <v>122.129577</v>
      </c>
      <c r="K570" s="10" t="inlineStr">
        <is>
          <t>R</t>
        </is>
      </c>
      <c r="L570" s="12" t="n">
        <v>914</v>
      </c>
      <c r="M570" s="14" t="n">
        <v>6</v>
      </c>
      <c r="N570" s="12">
        <f>ROUND(L570/M570, 0)</f>
        <v/>
      </c>
      <c r="O570" s="12">
        <f>ROUND(N570*'Methodology &amp; Assumptions'!$B$5, 0)</f>
        <v/>
      </c>
      <c r="P570" s="10" t="inlineStr">
        <is>
          <t>Single Carrier (Band n50, 100MHz TDD)</t>
        </is>
      </c>
      <c r="Q570" s="13">
        <f>ROUNDUP(O570/'Methodology &amp; Assumptions'!$B$6, 0)</f>
        <v/>
      </c>
      <c r="R570" s="13" t="n">
        <v>1</v>
      </c>
      <c r="S570" s="14" t="n">
        <v>7.72</v>
      </c>
      <c r="T570" s="14" t="n">
        <v>1.65</v>
      </c>
      <c r="U570" s="26">
        <f>IF(X570&gt;='Methodology &amp; Assumptions'!$B$7, "Tier 1 Critical GIDA (Score ≥ 50.0)", IF(X570&gt;='Methodology &amp; Assumptions'!$B$8, "Tier 2 High GIDA (Score 40.0–49.9)", "Tier 3 Moderate GIDA (Score &lt; 40.0)"))</f>
        <v/>
      </c>
      <c r="V570" s="26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W570" s="28" t="n">
        <v>0.11</v>
      </c>
      <c r="X570" s="14" t="n">
        <v>50.01</v>
      </c>
      <c r="Y570" s="14">
        <f>ROUND(MIN(100, (X570/69.91)*100), 2)</f>
        <v/>
      </c>
    </row>
    <row r="571">
      <c r="A571" s="10" t="n">
        <v>2</v>
      </c>
      <c r="B571" s="10" t="n">
        <v>567</v>
      </c>
      <c r="C571" s="10" t="n">
        <v>1567</v>
      </c>
      <c r="D571" s="10" t="inlineStr">
        <is>
          <t>1903638007</t>
        </is>
      </c>
      <c r="E571" s="26" t="inlineStr">
        <is>
          <t>Bangsamoro Autonomous Region In Muslim Mindanao (BARMM)</t>
        </is>
      </c>
      <c r="F571" s="26" t="inlineStr">
        <is>
          <t>Lanao del Sur</t>
        </is>
      </c>
      <c r="G571" s="26" t="inlineStr">
        <is>
          <t>Tagoloan Ii</t>
        </is>
      </c>
      <c r="H571" s="26" t="inlineStr">
        <is>
          <t>Dimalama</t>
        </is>
      </c>
      <c r="I571" s="27" t="n">
        <v>17.261636</v>
      </c>
      <c r="J571" s="27" t="n">
        <v>122.212231</v>
      </c>
      <c r="K571" s="10" t="inlineStr">
        <is>
          <t>R</t>
        </is>
      </c>
      <c r="L571" s="12" t="n">
        <v>675</v>
      </c>
      <c r="M571" s="14" t="n">
        <v>5.7</v>
      </c>
      <c r="N571" s="12">
        <f>ROUND(L571/M571, 0)</f>
        <v/>
      </c>
      <c r="O571" s="12">
        <f>ROUND(N571*'Methodology &amp; Assumptions'!$B$5, 0)</f>
        <v/>
      </c>
      <c r="P571" s="10" t="inlineStr">
        <is>
          <t>Single Carrier (Band n50, 100MHz TDD)</t>
        </is>
      </c>
      <c r="Q571" s="13">
        <f>ROUNDUP(O571/'Methodology &amp; Assumptions'!$B$6, 0)</f>
        <v/>
      </c>
      <c r="R571" s="13" t="n">
        <v>1</v>
      </c>
      <c r="S571" s="14" t="n">
        <v>28.59</v>
      </c>
      <c r="T571" s="14" t="n">
        <v>32.84</v>
      </c>
      <c r="U571" s="26">
        <f>IF(X571&gt;='Methodology &amp; Assumptions'!$B$7, "Tier 1 Critical GIDA (Score ≥ 50.0)", IF(X571&gt;='Methodology &amp; Assumptions'!$B$8, "Tier 2 High GIDA (Score 40.0–49.9)", "Tier 3 Moderate GIDA (Score &lt; 40.0)"))</f>
        <v/>
      </c>
      <c r="V571" s="26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W571" s="28" t="n">
        <v>0.11</v>
      </c>
      <c r="X571" s="14" t="n">
        <v>50.01</v>
      </c>
      <c r="Y571" s="14">
        <f>ROUND(MIN(100, (X571/69.91)*100), 2)</f>
        <v/>
      </c>
    </row>
    <row r="572">
      <c r="A572" s="10" t="n">
        <v>2</v>
      </c>
      <c r="B572" s="10" t="n">
        <v>568</v>
      </c>
      <c r="C572" s="10" t="n">
        <v>1568</v>
      </c>
      <c r="D572" s="10" t="inlineStr">
        <is>
          <t>1903634016</t>
        </is>
      </c>
      <c r="E572" s="26" t="inlineStr">
        <is>
          <t>Bangsamoro Autonomous Region In Muslim Mindanao (BARMM)</t>
        </is>
      </c>
      <c r="F572" s="26" t="inlineStr">
        <is>
          <t>Lanao del Sur</t>
        </is>
      </c>
      <c r="G572" s="26" t="inlineStr">
        <is>
          <t>Maguing</t>
        </is>
      </c>
      <c r="H572" s="26" t="inlineStr">
        <is>
          <t>Cambong</t>
        </is>
      </c>
      <c r="I572" s="27" t="n">
        <v>17.250603</v>
      </c>
      <c r="J572" s="27" t="n">
        <v>122.231797</v>
      </c>
      <c r="K572" s="10" t="inlineStr">
        <is>
          <t>R</t>
        </is>
      </c>
      <c r="L572" s="12" t="n">
        <v>691</v>
      </c>
      <c r="M572" s="14" t="n">
        <v>5.7</v>
      </c>
      <c r="N572" s="12">
        <f>ROUND(L572/M572, 0)</f>
        <v/>
      </c>
      <c r="O572" s="12">
        <f>ROUND(N572*'Methodology &amp; Assumptions'!$B$5, 0)</f>
        <v/>
      </c>
      <c r="P572" s="10" t="inlineStr">
        <is>
          <t>Single Carrier (Band n50, 100MHz TDD)</t>
        </is>
      </c>
      <c r="Q572" s="13">
        <f>ROUNDUP(O572/'Methodology &amp; Assumptions'!$B$6, 0)</f>
        <v/>
      </c>
      <c r="R572" s="13" t="n">
        <v>1</v>
      </c>
      <c r="S572" s="14" t="n">
        <v>29.36</v>
      </c>
      <c r="T572" s="14" t="n">
        <v>34.46</v>
      </c>
      <c r="U572" s="26">
        <f>IF(X572&gt;='Methodology &amp; Assumptions'!$B$7, "Tier 1 Critical GIDA (Score ≥ 50.0)", IF(X572&gt;='Methodology &amp; Assumptions'!$B$8, "Tier 2 High GIDA (Score 40.0–49.9)", "Tier 3 Moderate GIDA (Score &lt; 40.0)"))</f>
        <v/>
      </c>
      <c r="V572" s="26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W572" s="28" t="n">
        <v>0.11</v>
      </c>
      <c r="X572" s="14" t="n">
        <v>50.01</v>
      </c>
      <c r="Y572" s="14">
        <f>ROUND(MIN(100, (X572/69.91)*100), 2)</f>
        <v/>
      </c>
    </row>
    <row r="573">
      <c r="A573" s="10" t="n">
        <v>2</v>
      </c>
      <c r="B573" s="10" t="n">
        <v>569</v>
      </c>
      <c r="C573" s="10" t="n">
        <v>1569</v>
      </c>
      <c r="D573" s="10" t="inlineStr">
        <is>
          <t>0907303022</t>
        </is>
      </c>
      <c r="E573" s="26" t="inlineStr">
        <is>
          <t>Region IX (Zamboanga Peninsula)</t>
        </is>
      </c>
      <c r="F573" s="26" t="inlineStr">
        <is>
          <t>Zamboanga del Sur</t>
        </is>
      </c>
      <c r="G573" s="26" t="inlineStr">
        <is>
          <t>Bayog</t>
        </is>
      </c>
      <c r="H573" s="26" t="inlineStr">
        <is>
          <t>Matun-og</t>
        </is>
      </c>
      <c r="I573" s="27" t="n">
        <v>7.87101</v>
      </c>
      <c r="J573" s="27" t="n">
        <v>123.08216</v>
      </c>
      <c r="K573" s="10" t="inlineStr">
        <is>
          <t>R</t>
        </is>
      </c>
      <c r="L573" s="12" t="n">
        <v>492</v>
      </c>
      <c r="M573" s="14" t="n">
        <v>3.9</v>
      </c>
      <c r="N573" s="12">
        <f>ROUND(L573/M573, 0)</f>
        <v/>
      </c>
      <c r="O573" s="12">
        <f>ROUND(N573*'Methodology &amp; Assumptions'!$B$5, 0)</f>
        <v/>
      </c>
      <c r="P573" s="10" t="inlineStr">
        <is>
          <t>Single Carrier (Band n50, 100MHz TDD)</t>
        </is>
      </c>
      <c r="Q573" s="13">
        <f>ROUNDUP(O573/'Methodology &amp; Assumptions'!$B$6, 0)</f>
        <v/>
      </c>
      <c r="R573" s="13" t="n">
        <v>1</v>
      </c>
      <c r="S573" s="14" t="n">
        <v>15.98</v>
      </c>
      <c r="T573" s="14" t="n">
        <v>10.7</v>
      </c>
      <c r="U573" s="26">
        <f>IF(X573&gt;='Methodology &amp; Assumptions'!$B$7, "Tier 1 Critical GIDA (Score ≥ 50.0)", IF(X573&gt;='Methodology &amp; Assumptions'!$B$8, "Tier 2 High GIDA (Score 40.0–49.9)", "Tier 3 Moderate GIDA (Score &lt; 40.0)"))</f>
        <v/>
      </c>
      <c r="V573" s="26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W573" s="28" t="n">
        <v>0.11</v>
      </c>
      <c r="X573" s="14" t="n">
        <v>50.01</v>
      </c>
      <c r="Y573" s="14">
        <f>ROUND(MIN(100, (X573/69.91)*100), 2)</f>
        <v/>
      </c>
    </row>
    <row r="574">
      <c r="A574" s="10" t="n">
        <v>2</v>
      </c>
      <c r="B574" s="10" t="n">
        <v>570</v>
      </c>
      <c r="C574" s="10" t="n">
        <v>1570</v>
      </c>
      <c r="D574" s="10" t="inlineStr">
        <is>
          <t>0501607001</t>
        </is>
      </c>
      <c r="E574" s="26" t="inlineStr">
        <is>
          <t>Region V (Bicol Region)</t>
        </is>
      </c>
      <c r="F574" s="26" t="inlineStr">
        <is>
          <t>Camarines Norte</t>
        </is>
      </c>
      <c r="G574" s="26" t="inlineStr">
        <is>
          <t>Mercedes</t>
        </is>
      </c>
      <c r="H574" s="26" t="inlineStr">
        <is>
          <t>Apuao</t>
        </is>
      </c>
      <c r="I574" s="27" t="n">
        <v>14.080574</v>
      </c>
      <c r="J574" s="27" t="n">
        <v>123.094479</v>
      </c>
      <c r="K574" s="10" t="inlineStr">
        <is>
          <t>R</t>
        </is>
      </c>
      <c r="L574" s="12" t="n">
        <v>610</v>
      </c>
      <c r="M574" s="14" t="n">
        <v>4</v>
      </c>
      <c r="N574" s="12">
        <f>ROUND(L574/M574, 0)</f>
        <v/>
      </c>
      <c r="O574" s="12">
        <f>ROUND(N574*'Methodology &amp; Assumptions'!$B$5, 0)</f>
        <v/>
      </c>
      <c r="P574" s="10" t="inlineStr">
        <is>
          <t>Single Carrier (Band n50, 100MHz TDD)</t>
        </is>
      </c>
      <c r="Q574" s="13">
        <f>ROUNDUP(O574/'Methodology &amp; Assumptions'!$B$6, 0)</f>
        <v/>
      </c>
      <c r="R574" s="13" t="n">
        <v>1</v>
      </c>
      <c r="S574" s="14" t="n">
        <v>9.24</v>
      </c>
      <c r="T574" s="14" t="n">
        <v>14.33</v>
      </c>
      <c r="U574" s="26">
        <f>IF(X574&gt;='Methodology &amp; Assumptions'!$B$7, "Tier 1 Critical GIDA (Score ≥ 50.0)", IF(X574&gt;='Methodology &amp; Assumptions'!$B$8, "Tier 2 High GIDA (Score 40.0–49.9)", "Tier 3 Moderate GIDA (Score &lt; 40.0)"))</f>
        <v/>
      </c>
      <c r="V574" s="26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W574" s="28" t="n">
        <v>0.237</v>
      </c>
      <c r="X574" s="14" t="n">
        <v>50.01</v>
      </c>
      <c r="Y574" s="14">
        <f>ROUND(MIN(100, (X574/69.91)*100), 2)</f>
        <v/>
      </c>
    </row>
    <row r="575">
      <c r="A575" s="10" t="n">
        <v>2</v>
      </c>
      <c r="B575" s="10" t="n">
        <v>571</v>
      </c>
      <c r="C575" s="10" t="n">
        <v>1571</v>
      </c>
      <c r="D575" s="10" t="inlineStr">
        <is>
          <t>0907343014</t>
        </is>
      </c>
      <c r="E575" s="26" t="inlineStr">
        <is>
          <t>Region IX (Zamboanga Peninsula)</t>
        </is>
      </c>
      <c r="F575" s="26" t="inlineStr">
        <is>
          <t>Zamboanga del Sur</t>
        </is>
      </c>
      <c r="G575" s="26" t="inlineStr">
        <is>
          <t>Guipos</t>
        </is>
      </c>
      <c r="H575" s="26" t="inlineStr">
        <is>
          <t>Magting</t>
        </is>
      </c>
      <c r="I575" s="27" t="n">
        <v>7.75808</v>
      </c>
      <c r="J575" s="27" t="n">
        <v>123.300172</v>
      </c>
      <c r="K575" s="10" t="inlineStr">
        <is>
          <t>R</t>
        </is>
      </c>
      <c r="L575" s="12" t="n">
        <v>334</v>
      </c>
      <c r="M575" s="14" t="n">
        <v>3.9</v>
      </c>
      <c r="N575" s="12">
        <f>ROUND(L575/M575, 0)</f>
        <v/>
      </c>
      <c r="O575" s="12">
        <f>ROUND(N575*'Methodology &amp; Assumptions'!$B$5, 0)</f>
        <v/>
      </c>
      <c r="P575" s="10" t="inlineStr">
        <is>
          <t>Single Carrier (Band n50, 100MHz TDD)</t>
        </is>
      </c>
      <c r="Q575" s="13">
        <f>ROUNDUP(O575/'Methodology &amp; Assumptions'!$B$6, 0)</f>
        <v/>
      </c>
      <c r="R575" s="13" t="n">
        <v>1</v>
      </c>
      <c r="S575" s="14" t="n">
        <v>17.33</v>
      </c>
      <c r="T575" s="14" t="n">
        <v>8.27</v>
      </c>
      <c r="U575" s="26">
        <f>IF(X575&gt;='Methodology &amp; Assumptions'!$B$7, "Tier 1 Critical GIDA (Score ≥ 50.0)", IF(X575&gt;='Methodology &amp; Assumptions'!$B$8, "Tier 2 High GIDA (Score 40.0–49.9)", "Tier 3 Moderate GIDA (Score &lt; 40.0)"))</f>
        <v/>
      </c>
      <c r="V575" s="26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W575" s="28" t="n">
        <v>0.11</v>
      </c>
      <c r="X575" s="14" t="n">
        <v>50.01</v>
      </c>
      <c r="Y575" s="14">
        <f>ROUND(MIN(100, (X575/69.91)*100), 2)</f>
        <v/>
      </c>
    </row>
    <row r="576">
      <c r="A576" s="10" t="n">
        <v>2</v>
      </c>
      <c r="B576" s="10" t="n">
        <v>572</v>
      </c>
      <c r="C576" s="10" t="n">
        <v>1572</v>
      </c>
      <c r="D576" s="10" t="inlineStr">
        <is>
          <t>0907303001</t>
        </is>
      </c>
      <c r="E576" s="26" t="inlineStr">
        <is>
          <t>Region IX (Zamboanga Peninsula)</t>
        </is>
      </c>
      <c r="F576" s="26" t="inlineStr">
        <is>
          <t>Zamboanga del Sur</t>
        </is>
      </c>
      <c r="G576" s="26" t="inlineStr">
        <is>
          <t>Bayog</t>
        </is>
      </c>
      <c r="H576" s="26" t="inlineStr">
        <is>
          <t>Baking</t>
        </is>
      </c>
      <c r="I576" s="27" t="n">
        <v>7.87572</v>
      </c>
      <c r="J576" s="27" t="n">
        <v>123.159541</v>
      </c>
      <c r="K576" s="10" t="inlineStr">
        <is>
          <t>R</t>
        </is>
      </c>
      <c r="L576" s="12" t="n">
        <v>372</v>
      </c>
      <c r="M576" s="14" t="n">
        <v>3.9</v>
      </c>
      <c r="N576" s="12">
        <f>ROUND(L576/M576, 0)</f>
        <v/>
      </c>
      <c r="O576" s="12">
        <f>ROUND(N576*'Methodology &amp; Assumptions'!$B$5, 0)</f>
        <v/>
      </c>
      <c r="P576" s="10" t="inlineStr">
        <is>
          <t>Single Carrier (Band n50, 100MHz TDD)</t>
        </is>
      </c>
      <c r="Q576" s="13">
        <f>ROUNDUP(O576/'Methodology &amp; Assumptions'!$B$6, 0)</f>
        <v/>
      </c>
      <c r="R576" s="13" t="n">
        <v>1</v>
      </c>
      <c r="S576" s="14" t="n">
        <v>19.89</v>
      </c>
      <c r="T576" s="14" t="n">
        <v>8.800000000000001</v>
      </c>
      <c r="U576" s="26">
        <f>IF(X576&gt;='Methodology &amp; Assumptions'!$B$7, "Tier 1 Critical GIDA (Score ≥ 50.0)", IF(X576&gt;='Methodology &amp; Assumptions'!$B$8, "Tier 2 High GIDA (Score 40.0–49.9)", "Tier 3 Moderate GIDA (Score &lt; 40.0)"))</f>
        <v/>
      </c>
      <c r="V576" s="26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W576" s="28" t="n">
        <v>0.11</v>
      </c>
      <c r="X576" s="14" t="n">
        <v>50.01</v>
      </c>
      <c r="Y576" s="14">
        <f>ROUND(MIN(100, (X576/69.91)*100), 2)</f>
        <v/>
      </c>
    </row>
    <row r="577">
      <c r="A577" s="10" t="n">
        <v>2</v>
      </c>
      <c r="B577" s="10" t="n">
        <v>573</v>
      </c>
      <c r="C577" s="10" t="n">
        <v>1573</v>
      </c>
      <c r="D577" s="10" t="inlineStr">
        <is>
          <t>0506207015</t>
        </is>
      </c>
      <c r="E577" s="26" t="inlineStr">
        <is>
          <t>Region V (Bicol Region)</t>
        </is>
      </c>
      <c r="F577" s="26" t="inlineStr">
        <is>
          <t>Sorsogon</t>
        </is>
      </c>
      <c r="G577" s="26" t="inlineStr">
        <is>
          <t>Donsol</t>
        </is>
      </c>
      <c r="H577" s="26" t="inlineStr">
        <is>
          <t>Girawan</t>
        </is>
      </c>
      <c r="I577" s="27" t="n">
        <v>12.934817</v>
      </c>
      <c r="J577" s="27" t="n">
        <v>123.587311</v>
      </c>
      <c r="K577" s="10" t="inlineStr">
        <is>
          <t>R</t>
        </is>
      </c>
      <c r="L577" s="12" t="n">
        <v>375</v>
      </c>
      <c r="M577" s="14" t="n">
        <v>4</v>
      </c>
      <c r="N577" s="12">
        <f>ROUND(L577/M577, 0)</f>
        <v/>
      </c>
      <c r="O577" s="12">
        <f>ROUND(N577*'Methodology &amp; Assumptions'!$B$5, 0)</f>
        <v/>
      </c>
      <c r="P577" s="10" t="inlineStr">
        <is>
          <t>Single Carrier (Band n50, 100MHz TDD)</t>
        </is>
      </c>
      <c r="Q577" s="13">
        <f>ROUNDUP(O577/'Methodology &amp; Assumptions'!$B$6, 0)</f>
        <v/>
      </c>
      <c r="R577" s="13" t="n">
        <v>1</v>
      </c>
      <c r="S577" s="14" t="n">
        <v>3.38</v>
      </c>
      <c r="T577" s="14" t="n">
        <v>16.58</v>
      </c>
      <c r="U577" s="26">
        <f>IF(X577&gt;='Methodology &amp; Assumptions'!$B$7, "Tier 1 Critical GIDA (Score ≥ 50.0)", IF(X577&gt;='Methodology &amp; Assumptions'!$B$8, "Tier 2 High GIDA (Score 40.0–49.9)", "Tier 3 Moderate GIDA (Score &lt; 40.0)"))</f>
        <v/>
      </c>
      <c r="V577" s="26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W577" s="28" t="n">
        <v>0.237</v>
      </c>
      <c r="X577" s="14" t="n">
        <v>50.01</v>
      </c>
      <c r="Y577" s="14">
        <f>ROUND(MIN(100, (X577/69.91)*100), 2)</f>
        <v/>
      </c>
    </row>
    <row r="578">
      <c r="A578" s="10" t="n">
        <v>2</v>
      </c>
      <c r="B578" s="10" t="n">
        <v>574</v>
      </c>
      <c r="C578" s="10" t="n">
        <v>1574</v>
      </c>
      <c r="D578" s="10" t="inlineStr">
        <is>
          <t>0802623015</t>
        </is>
      </c>
      <c r="E578" s="26" t="inlineStr">
        <is>
          <t>Region VIII (Eastern Visayas)</t>
        </is>
      </c>
      <c r="F578" s="26" t="inlineStr">
        <is>
          <t>Eastern Samar</t>
        </is>
      </c>
      <c r="G578" s="26" t="inlineStr">
        <is>
          <t>Taft</t>
        </is>
      </c>
      <c r="H578" s="26" t="inlineStr">
        <is>
          <t>Pangabutan</t>
        </is>
      </c>
      <c r="I578" s="27" t="n">
        <v>11.957827</v>
      </c>
      <c r="J578" s="27" t="n">
        <v>125.393105</v>
      </c>
      <c r="K578" s="10" t="inlineStr">
        <is>
          <t>R</t>
        </is>
      </c>
      <c r="L578" s="12" t="n">
        <v>229</v>
      </c>
      <c r="M578" s="14" t="n">
        <v>3.9</v>
      </c>
      <c r="N578" s="12">
        <f>ROUND(L578/M578, 0)</f>
        <v/>
      </c>
      <c r="O578" s="12">
        <f>ROUND(N578*'Methodology &amp; Assumptions'!$B$5, 0)</f>
        <v/>
      </c>
      <c r="P578" s="10" t="inlineStr">
        <is>
          <t>Single Carrier (Band n50, 100MHz TDD)</t>
        </is>
      </c>
      <c r="Q578" s="13">
        <f>ROUNDUP(O578/'Methodology &amp; Assumptions'!$B$6, 0)</f>
        <v/>
      </c>
      <c r="R578" s="13" t="n">
        <v>1</v>
      </c>
      <c r="S578" s="14" t="n">
        <v>90.48999999999999</v>
      </c>
      <c r="T578" s="14" t="n">
        <v>92.81</v>
      </c>
      <c r="U578" s="26">
        <f>IF(X578&gt;='Methodology &amp; Assumptions'!$B$7, "Tier 1 Critical GIDA (Score ≥ 50.0)", IF(X578&gt;='Methodology &amp; Assumptions'!$B$8, "Tier 2 High GIDA (Score 40.0–49.9)", "Tier 3 Moderate GIDA (Score &lt; 40.0)"))</f>
        <v/>
      </c>
      <c r="V578" s="26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W578" s="28" t="n">
        <v>0.237</v>
      </c>
      <c r="X578" s="14" t="n">
        <v>50</v>
      </c>
      <c r="Y578" s="14">
        <f>ROUND(MIN(100, (X578/69.91)*100), 2)</f>
        <v/>
      </c>
    </row>
    <row r="579">
      <c r="A579" s="10" t="n">
        <v>2</v>
      </c>
      <c r="B579" s="10" t="n">
        <v>575</v>
      </c>
      <c r="C579" s="10" t="n">
        <v>1575</v>
      </c>
      <c r="D579" s="10" t="inlineStr">
        <is>
          <t>0506207026</t>
        </is>
      </c>
      <c r="E579" s="26" t="inlineStr">
        <is>
          <t>Region V (Bicol Region)</t>
        </is>
      </c>
      <c r="F579" s="26" t="inlineStr">
        <is>
          <t>Sorsogon</t>
        </is>
      </c>
      <c r="G579" s="26" t="inlineStr">
        <is>
          <t>Donsol</t>
        </is>
      </c>
      <c r="H579" s="26" t="inlineStr">
        <is>
          <t>Old Maguisa</t>
        </is>
      </c>
      <c r="I579" s="27" t="n">
        <v>13.0051</v>
      </c>
      <c r="J579" s="27" t="n">
        <v>123.56857</v>
      </c>
      <c r="K579" s="10" t="inlineStr">
        <is>
          <t>R</t>
        </is>
      </c>
      <c r="L579" s="12" t="n">
        <v>235</v>
      </c>
      <c r="M579" s="14" t="n">
        <v>4</v>
      </c>
      <c r="N579" s="12">
        <f>ROUND(L579/M579, 0)</f>
        <v/>
      </c>
      <c r="O579" s="12">
        <f>ROUND(N579*'Methodology &amp; Assumptions'!$B$5, 0)</f>
        <v/>
      </c>
      <c r="P579" s="10" t="inlineStr">
        <is>
          <t>Single Carrier (Band n50, 100MHz TDD)</t>
        </is>
      </c>
      <c r="Q579" s="13">
        <f>ROUNDUP(O579/'Methodology &amp; Assumptions'!$B$6, 0)</f>
        <v/>
      </c>
      <c r="R579" s="13" t="n">
        <v>1</v>
      </c>
      <c r="S579" s="14" t="n">
        <v>11.45</v>
      </c>
      <c r="T579" s="14" t="n">
        <v>15.91</v>
      </c>
      <c r="U579" s="26">
        <f>IF(X579&gt;='Methodology &amp; Assumptions'!$B$7, "Tier 1 Critical GIDA (Score ≥ 50.0)", IF(X579&gt;='Methodology &amp; Assumptions'!$B$8, "Tier 2 High GIDA (Score 40.0–49.9)", "Tier 3 Moderate GIDA (Score &lt; 40.0)"))</f>
        <v/>
      </c>
      <c r="V579" s="26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W579" s="28" t="n">
        <v>0.237</v>
      </c>
      <c r="X579" s="14" t="n">
        <v>50</v>
      </c>
      <c r="Y579" s="14">
        <f>ROUND(MIN(100, (X579/69.91)*100), 2)</f>
        <v/>
      </c>
    </row>
    <row r="580">
      <c r="A580" s="10" t="n">
        <v>2</v>
      </c>
      <c r="B580" s="10" t="n">
        <v>576</v>
      </c>
      <c r="C580" s="10" t="n">
        <v>1576</v>
      </c>
      <c r="D580" s="10" t="inlineStr">
        <is>
          <t>0907216004</t>
        </is>
      </c>
      <c r="E580" s="26" t="inlineStr">
        <is>
          <t>Region IX (Zamboanga Peninsula)</t>
        </is>
      </c>
      <c r="F580" s="26" t="inlineStr">
        <is>
          <t>Zamboanga del Norte</t>
        </is>
      </c>
      <c r="G580" s="26" t="inlineStr">
        <is>
          <t>Sibuco</t>
        </is>
      </c>
      <c r="H580" s="26" t="inlineStr">
        <is>
          <t>Dinulan</t>
        </is>
      </c>
      <c r="I580" s="27" t="n">
        <v>7.32464</v>
      </c>
      <c r="J580" s="27" t="n">
        <v>122.09435</v>
      </c>
      <c r="K580" s="10" t="inlineStr">
        <is>
          <t>R</t>
        </is>
      </c>
      <c r="L580" s="12" t="n">
        <v>364</v>
      </c>
      <c r="M580" s="14" t="n">
        <v>3.6</v>
      </c>
      <c r="N580" s="12">
        <f>ROUND(L580/M580, 0)</f>
        <v/>
      </c>
      <c r="O580" s="12">
        <f>ROUND(N580*'Methodology &amp; Assumptions'!$B$5, 0)</f>
        <v/>
      </c>
      <c r="P580" s="10" t="inlineStr">
        <is>
          <t>Single Carrier (Band n50, 100MHz TDD)</t>
        </is>
      </c>
      <c r="Q580" s="13">
        <f>ROUNDUP(O580/'Methodology &amp; Assumptions'!$B$6, 0)</f>
        <v/>
      </c>
      <c r="R580" s="13" t="n">
        <v>1</v>
      </c>
      <c r="S580" s="14" t="n">
        <v>20.58</v>
      </c>
      <c r="T580" s="14" t="n">
        <v>18.28</v>
      </c>
      <c r="U580" s="26">
        <f>IF(X580&gt;='Methodology &amp; Assumptions'!$B$7, "Tier 1 Critical GIDA (Score ≥ 50.0)", IF(X580&gt;='Methodology &amp; Assumptions'!$B$8, "Tier 2 High GIDA (Score 40.0–49.9)", "Tier 3 Moderate GIDA (Score &lt; 40.0)"))</f>
        <v/>
      </c>
      <c r="V580" s="26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W580" s="28" t="n">
        <v>0.11</v>
      </c>
      <c r="X580" s="14" t="n">
        <v>50</v>
      </c>
      <c r="Y580" s="14">
        <f>ROUND(MIN(100, (X580/69.91)*100), 2)</f>
        <v/>
      </c>
    </row>
    <row r="581">
      <c r="A581" s="10" t="n">
        <v>2</v>
      </c>
      <c r="B581" s="10" t="n">
        <v>577</v>
      </c>
      <c r="C581" s="10" t="n">
        <v>1577</v>
      </c>
      <c r="D581" s="10" t="inlineStr">
        <is>
          <t>1380606066</t>
        </is>
      </c>
      <c r="E581" s="26" t="inlineStr">
        <is>
          <t>National Capital Region (NCR)</t>
        </is>
      </c>
      <c r="F581" s="26" t="inlineStr">
        <is>
          <t>First District (Not a Province)</t>
        </is>
      </c>
      <c r="G581" s="26" t="inlineStr">
        <is>
          <t>City of Manila</t>
        </is>
      </c>
      <c r="H581" s="26" t="inlineStr">
        <is>
          <t>Barangay 460</t>
        </is>
      </c>
      <c r="I581" s="27" t="n">
        <v>13.141138</v>
      </c>
      <c r="J581" s="27" t="n">
        <v>121.885086</v>
      </c>
      <c r="K581" s="10" t="inlineStr">
        <is>
          <t>U</t>
        </is>
      </c>
      <c r="L581" s="12" t="n">
        <v>813</v>
      </c>
      <c r="M581" s="14" t="n">
        <v>3.9</v>
      </c>
      <c r="N581" s="12">
        <f>ROUND(L581/M581, 0)</f>
        <v/>
      </c>
      <c r="O581" s="12">
        <f>ROUND(N581*'Methodology &amp; Assumptions'!$B$5, 0)</f>
        <v/>
      </c>
      <c r="P581" s="10" t="inlineStr">
        <is>
          <t>Single Carrier (Band n50, 100MHz TDD)</t>
        </is>
      </c>
      <c r="Q581" s="13">
        <f>ROUNDUP(O581/'Methodology &amp; Assumptions'!$B$6, 0)</f>
        <v/>
      </c>
      <c r="R581" s="13" t="n">
        <v>1</v>
      </c>
      <c r="S581" s="14" t="n">
        <v>41.86</v>
      </c>
      <c r="T581" s="14" t="n">
        <v>45.36</v>
      </c>
      <c r="U581" s="26">
        <f>IF(X581&gt;='Methodology &amp; Assumptions'!$B$7, "Tier 1 Critical GIDA (Score ≥ 50.0)", IF(X581&gt;='Methodology &amp; Assumptions'!$B$8, "Tier 2 High GIDA (Score 40.0–49.9)", "Tier 3 Moderate GIDA (Score &lt; 40.0)"))</f>
        <v/>
      </c>
      <c r="V581" s="26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W581" s="28" t="n">
        <v>0.109</v>
      </c>
      <c r="X581" s="14" t="n">
        <v>50</v>
      </c>
      <c r="Y581" s="14">
        <f>ROUND(MIN(100, (X581/69.91)*100), 2)</f>
        <v/>
      </c>
    </row>
    <row r="582">
      <c r="A582" s="10" t="n">
        <v>2</v>
      </c>
      <c r="B582" s="10" t="n">
        <v>578</v>
      </c>
      <c r="C582" s="10" t="n">
        <v>1578</v>
      </c>
      <c r="D582" s="10" t="inlineStr">
        <is>
          <t>PH0001578</t>
        </is>
      </c>
      <c r="E582" s="26" t="inlineStr">
        <is>
          <t>CAR</t>
        </is>
      </c>
      <c r="F582" s="26" t="inlineStr">
        <is>
          <t>Benguet</t>
        </is>
      </c>
      <c r="G582" s="26" t="inlineStr">
        <is>
          <t>Baguio City</t>
        </is>
      </c>
      <c r="H582" s="26" t="inlineStr">
        <is>
          <t>Padre Burgos</t>
        </is>
      </c>
      <c r="I582" s="27" t="n">
        <v>16.403296</v>
      </c>
      <c r="J582" s="27" t="n">
        <v>120.597684</v>
      </c>
      <c r="K582" s="10" t="inlineStr">
        <is>
          <t>R</t>
        </is>
      </c>
      <c r="L582" s="12" t="n">
        <v>2260</v>
      </c>
      <c r="M582" s="14" t="n">
        <v>3.5</v>
      </c>
      <c r="N582" s="12">
        <f>ROUND(L582/M582, 0)</f>
        <v/>
      </c>
      <c r="O582" s="12">
        <f>ROUND(N582*'Methodology &amp; Assumptions'!$B$5, 0)</f>
        <v/>
      </c>
      <c r="P582" s="10" t="inlineStr">
        <is>
          <t>Single Carrier (Band n50, 100MHz TDD)</t>
        </is>
      </c>
      <c r="Q582" s="13">
        <f>ROUNDUP(O582/'Methodology &amp; Assumptions'!$B$6, 0)</f>
        <v/>
      </c>
      <c r="R582" s="13" t="n">
        <v>1</v>
      </c>
      <c r="S582" s="14" t="n">
        <v>0.16</v>
      </c>
      <c r="T582" s="14" t="n">
        <v>0.16</v>
      </c>
      <c r="U582" s="26">
        <f>IF(X582&gt;='Methodology &amp; Assumptions'!$B$7, "Tier 1 Critical GIDA (Score ≥ 50.0)", IF(X582&gt;='Methodology &amp; Assumptions'!$B$8, "Tier 2 High GIDA (Score 40.0–49.9)", "Tier 3 Moderate GIDA (Score &lt; 40.0)"))</f>
        <v/>
      </c>
      <c r="V582" s="26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W582" s="28" t="n">
        <v>0.221</v>
      </c>
      <c r="X582" s="14" t="n">
        <v>50</v>
      </c>
      <c r="Y582" s="14">
        <f>ROUND(MIN(100, (X582/69.91)*100), 2)</f>
        <v/>
      </c>
    </row>
    <row r="583">
      <c r="A583" s="10" t="n">
        <v>2</v>
      </c>
      <c r="B583" s="10" t="n">
        <v>579</v>
      </c>
      <c r="C583" s="10" t="n">
        <v>1579</v>
      </c>
      <c r="D583" s="10" t="inlineStr">
        <is>
          <t>1381300046</t>
        </is>
      </c>
      <c r="E583" s="26" t="inlineStr">
        <is>
          <t>National Capital Region (NCR)</t>
        </is>
      </c>
      <c r="F583" s="26" t="inlineStr">
        <is>
          <t>Second District (Not a Province)</t>
        </is>
      </c>
      <c r="G583" s="26" t="inlineStr">
        <is>
          <t>Quezon City</t>
        </is>
      </c>
      <c r="H583" s="26" t="inlineStr">
        <is>
          <t>Kaligayahan</t>
        </is>
      </c>
      <c r="I583" s="27" t="n">
        <v>14.732656</v>
      </c>
      <c r="J583" s="27" t="n">
        <v>121.053186</v>
      </c>
      <c r="K583" s="10" t="inlineStr">
        <is>
          <t>U</t>
        </is>
      </c>
      <c r="L583" s="12" t="n">
        <v>62999</v>
      </c>
      <c r="M583" s="14" t="n">
        <v>3.8</v>
      </c>
      <c r="N583" s="12">
        <f>ROUND(L583/M583, 0)</f>
        <v/>
      </c>
      <c r="O583" s="12">
        <f>ROUND(N583*'Methodology &amp; Assumptions'!$B$5, 0)</f>
        <v/>
      </c>
      <c r="P583" s="10" t="inlineStr">
        <is>
          <t>Single Carrier (Band n50, 100MHz TDD)</t>
        </is>
      </c>
      <c r="Q583" s="13">
        <f>ROUNDUP(O583/'Methodology &amp; Assumptions'!$B$6, 0)</f>
        <v/>
      </c>
      <c r="R583" s="13" t="n">
        <v>1</v>
      </c>
      <c r="S583" s="14" t="n">
        <v>0.93</v>
      </c>
      <c r="T583" s="14" t="n">
        <v>0.14</v>
      </c>
      <c r="U583" s="26">
        <f>IF(X583&gt;='Methodology &amp; Assumptions'!$B$7, "Tier 1 Critical GIDA (Score ≥ 50.0)", IF(X583&gt;='Methodology &amp; Assumptions'!$B$8, "Tier 2 High GIDA (Score 40.0–49.9)", "Tier 3 Moderate GIDA (Score &lt; 40.0)"))</f>
        <v/>
      </c>
      <c r="V583" s="26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W583" s="28" t="n">
        <v>0.109</v>
      </c>
      <c r="X583" s="14" t="n">
        <v>50</v>
      </c>
      <c r="Y583" s="14">
        <f>ROUND(MIN(100, (X583/69.91)*100), 2)</f>
        <v/>
      </c>
    </row>
    <row r="584">
      <c r="A584" s="10" t="n">
        <v>2</v>
      </c>
      <c r="B584" s="10" t="n">
        <v>580</v>
      </c>
      <c r="C584" s="10" t="n">
        <v>1580</v>
      </c>
      <c r="D584" s="10" t="inlineStr">
        <is>
          <t>1380500007</t>
        </is>
      </c>
      <c r="E584" s="26" t="inlineStr">
        <is>
          <t>National Capital Region (NCR)</t>
        </is>
      </c>
      <c r="F584" s="26" t="inlineStr">
        <is>
          <t>Second District (Not a Province)</t>
        </is>
      </c>
      <c r="G584" s="26" t="inlineStr">
        <is>
          <t>City of Mandaluyong</t>
        </is>
      </c>
      <c r="H584" s="26" t="inlineStr">
        <is>
          <t>Burol</t>
        </is>
      </c>
      <c r="I584" s="27" t="n">
        <v>14.576852</v>
      </c>
      <c r="J584" s="27" t="n">
        <v>121.037985</v>
      </c>
      <c r="K584" s="10" t="inlineStr">
        <is>
          <t>U</t>
        </is>
      </c>
      <c r="L584" s="12" t="n">
        <v>2900</v>
      </c>
      <c r="M584" s="14" t="n">
        <v>3.3</v>
      </c>
      <c r="N584" s="12">
        <f>ROUND(L584/M584, 0)</f>
        <v/>
      </c>
      <c r="O584" s="12">
        <f>ROUND(N584*'Methodology &amp; Assumptions'!$B$5, 0)</f>
        <v/>
      </c>
      <c r="P584" s="10" t="inlineStr">
        <is>
          <t>Single Carrier (Band n50, 100MHz TDD)</t>
        </is>
      </c>
      <c r="Q584" s="13">
        <f>ROUNDUP(O584/'Methodology &amp; Assumptions'!$B$6, 0)</f>
        <v/>
      </c>
      <c r="R584" s="13" t="n">
        <v>1</v>
      </c>
      <c r="S584" s="14" t="n">
        <v>1.31</v>
      </c>
      <c r="T584" s="14" t="n">
        <v>0.13</v>
      </c>
      <c r="U584" s="26">
        <f>IF(X584&gt;='Methodology &amp; Assumptions'!$B$7, "Tier 1 Critical GIDA (Score ≥ 50.0)", IF(X584&gt;='Methodology &amp; Assumptions'!$B$8, "Tier 2 High GIDA (Score 40.0–49.9)", "Tier 3 Moderate GIDA (Score &lt; 40.0)"))</f>
        <v/>
      </c>
      <c r="V584" s="26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W584" s="28" t="n">
        <v>0.109</v>
      </c>
      <c r="X584" s="14" t="n">
        <v>50</v>
      </c>
      <c r="Y584" s="14">
        <f>ROUND(MIN(100, (X584/69.91)*100), 2)</f>
        <v/>
      </c>
    </row>
    <row r="585">
      <c r="A585" s="10" t="n">
        <v>2</v>
      </c>
      <c r="B585" s="10" t="n">
        <v>581</v>
      </c>
      <c r="C585" s="10" t="n">
        <v>1581</v>
      </c>
      <c r="D585" s="10" t="inlineStr">
        <is>
          <t>1380300015</t>
        </is>
      </c>
      <c r="E585" s="26" t="inlineStr">
        <is>
          <t>National Capital Region (NCR)</t>
        </is>
      </c>
      <c r="F585" s="26" t="inlineStr">
        <is>
          <t>Fourth District (Not a Province)</t>
        </is>
      </c>
      <c r="G585" s="26" t="inlineStr">
        <is>
          <t>City of Makati</t>
        </is>
      </c>
      <c r="H585" s="26" t="inlineStr">
        <is>
          <t>Palanan</t>
        </is>
      </c>
      <c r="I585" s="27" t="n">
        <v>14.560573</v>
      </c>
      <c r="J585" s="27" t="n">
        <v>121.001508</v>
      </c>
      <c r="K585" s="10" t="inlineStr">
        <is>
          <t>U</t>
        </is>
      </c>
      <c r="L585" s="12" t="n">
        <v>5718</v>
      </c>
      <c r="M585" s="14" t="n">
        <v>3.5</v>
      </c>
      <c r="N585" s="12">
        <f>ROUND(L585/M585, 0)</f>
        <v/>
      </c>
      <c r="O585" s="12">
        <f>ROUND(N585*'Methodology &amp; Assumptions'!$B$5, 0)</f>
        <v/>
      </c>
      <c r="P585" s="10" t="inlineStr">
        <is>
          <t>Single Carrier (Band n50, 100MHz TDD)</t>
        </is>
      </c>
      <c r="Q585" s="13">
        <f>ROUNDUP(O585/'Methodology &amp; Assumptions'!$B$6, 0)</f>
        <v/>
      </c>
      <c r="R585" s="13" t="n">
        <v>1</v>
      </c>
      <c r="S585" s="14" t="n">
        <v>1.33</v>
      </c>
      <c r="T585" s="14" t="n">
        <v>0.57</v>
      </c>
      <c r="U585" s="26">
        <f>IF(X585&gt;='Methodology &amp; Assumptions'!$B$7, "Tier 1 Critical GIDA (Score ≥ 50.0)", IF(X585&gt;='Methodology &amp; Assumptions'!$B$8, "Tier 2 High GIDA (Score 40.0–49.9)", "Tier 3 Moderate GIDA (Score &lt; 40.0)"))</f>
        <v/>
      </c>
      <c r="V585" s="26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W585" s="28" t="n">
        <v>0.109</v>
      </c>
      <c r="X585" s="14" t="n">
        <v>50</v>
      </c>
      <c r="Y585" s="14">
        <f>ROUND(MIN(100, (X585/69.91)*100), 2)</f>
        <v/>
      </c>
    </row>
    <row r="586">
      <c r="A586" s="10" t="n">
        <v>2</v>
      </c>
      <c r="B586" s="10" t="n">
        <v>582</v>
      </c>
      <c r="C586" s="10" t="n">
        <v>1582</v>
      </c>
      <c r="D586" s="10" t="inlineStr">
        <is>
          <t>1108204020</t>
        </is>
      </c>
      <c r="E586" s="26" t="inlineStr">
        <is>
          <t>Region XI (Davao Region)</t>
        </is>
      </c>
      <c r="F586" s="26" t="inlineStr">
        <is>
          <t>Davao de Oro</t>
        </is>
      </c>
      <c r="G586" s="26" t="inlineStr">
        <is>
          <t>Maco</t>
        </is>
      </c>
      <c r="H586" s="26" t="inlineStr">
        <is>
          <t>Manipongol</t>
        </is>
      </c>
      <c r="I586" s="27" t="n">
        <v>7.356425</v>
      </c>
      <c r="J586" s="27" t="n">
        <v>125.9074</v>
      </c>
      <c r="K586" s="10" t="inlineStr">
        <is>
          <t>R</t>
        </is>
      </c>
      <c r="L586" s="12" t="n">
        <v>590</v>
      </c>
      <c r="M586" s="14" t="n">
        <v>3.7</v>
      </c>
      <c r="N586" s="12">
        <f>ROUND(L586/M586, 0)</f>
        <v/>
      </c>
      <c r="O586" s="12">
        <f>ROUND(N586*'Methodology &amp; Assumptions'!$B$5, 0)</f>
        <v/>
      </c>
      <c r="P586" s="10" t="inlineStr">
        <is>
          <t>Single Carrier (Band n50, 100MHz TDD)</t>
        </is>
      </c>
      <c r="Q586" s="13">
        <f>ROUNDUP(O586/'Methodology &amp; Assumptions'!$B$6, 0)</f>
        <v/>
      </c>
      <c r="R586" s="13" t="n">
        <v>1</v>
      </c>
      <c r="S586" s="14" t="n">
        <v>5.66</v>
      </c>
      <c r="T586" s="14" t="n">
        <v>5.53</v>
      </c>
      <c r="U586" s="26">
        <f>IF(X586&gt;='Methodology &amp; Assumptions'!$B$7, "Tier 1 Critical GIDA (Score ≥ 50.0)", IF(X586&gt;='Methodology &amp; Assumptions'!$B$8, "Tier 2 High GIDA (Score 40.0–49.9)", "Tier 3 Moderate GIDA (Score &lt; 40.0)"))</f>
        <v/>
      </c>
      <c r="V586" s="26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W586" s="28" t="n">
        <v>0.174</v>
      </c>
      <c r="X586" s="14" t="n">
        <v>49.99</v>
      </c>
      <c r="Y586" s="14">
        <f>ROUND(MIN(100, (X586/69.91)*100), 2)</f>
        <v/>
      </c>
    </row>
    <row r="587">
      <c r="A587" s="10" t="n">
        <v>2</v>
      </c>
      <c r="B587" s="10" t="n">
        <v>583</v>
      </c>
      <c r="C587" s="10" t="n">
        <v>1583</v>
      </c>
      <c r="D587" s="10" t="inlineStr">
        <is>
          <t>1380601064</t>
        </is>
      </c>
      <c r="E587" s="26" t="inlineStr">
        <is>
          <t>National Capital Region (NCR)</t>
        </is>
      </c>
      <c r="F587" s="26" t="inlineStr">
        <is>
          <t>First District (Not a Province)</t>
        </is>
      </c>
      <c r="G587" s="26" t="inlineStr">
        <is>
          <t>City of Manila</t>
        </is>
      </c>
      <c r="H587" s="26" t="inlineStr">
        <is>
          <t>Barangay 64</t>
        </is>
      </c>
      <c r="I587" s="27" t="n">
        <v>12.612518</v>
      </c>
      <c r="J587" s="27" t="n">
        <v>121.873756</v>
      </c>
      <c r="K587" s="10" t="inlineStr">
        <is>
          <t>U</t>
        </is>
      </c>
      <c r="L587" s="12" t="n">
        <v>510</v>
      </c>
      <c r="M587" s="14" t="n">
        <v>3.9</v>
      </c>
      <c r="N587" s="12">
        <f>ROUND(L587/M587, 0)</f>
        <v/>
      </c>
      <c r="O587" s="12">
        <f>ROUND(N587*'Methodology &amp; Assumptions'!$B$5, 0)</f>
        <v/>
      </c>
      <c r="P587" s="10" t="inlineStr">
        <is>
          <t>Single Carrier (Band n50, 100MHz TDD)</t>
        </is>
      </c>
      <c r="Q587" s="13">
        <f>ROUNDUP(O587/'Methodology &amp; Assumptions'!$B$6, 0)</f>
        <v/>
      </c>
      <c r="R587" s="13" t="n">
        <v>1</v>
      </c>
      <c r="S587" s="14" t="n">
        <v>34.96</v>
      </c>
      <c r="T587" s="14" t="n">
        <v>27.82</v>
      </c>
      <c r="U587" s="26">
        <f>IF(X587&gt;='Methodology &amp; Assumptions'!$B$7, "Tier 1 Critical GIDA (Score ≥ 50.0)", IF(X587&gt;='Methodology &amp; Assumptions'!$B$8, "Tier 2 High GIDA (Score 40.0–49.9)", "Tier 3 Moderate GIDA (Score &lt; 40.0)"))</f>
        <v/>
      </c>
      <c r="V587" s="26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W587" s="28" t="n">
        <v>0.109</v>
      </c>
      <c r="X587" s="14" t="n">
        <v>49.99</v>
      </c>
      <c r="Y587" s="14">
        <f>ROUND(MIN(100, (X587/69.91)*100), 2)</f>
        <v/>
      </c>
    </row>
    <row r="588">
      <c r="A588" s="10" t="n">
        <v>2</v>
      </c>
      <c r="B588" s="10" t="n">
        <v>584</v>
      </c>
      <c r="C588" s="10" t="n">
        <v>1584</v>
      </c>
      <c r="D588" s="10" t="inlineStr">
        <is>
          <t>0806016010</t>
        </is>
      </c>
      <c r="E588" s="26" t="inlineStr">
        <is>
          <t>Region VIII (Eastern Visayas)</t>
        </is>
      </c>
      <c r="F588" s="26" t="inlineStr">
        <is>
          <t>Samar</t>
        </is>
      </c>
      <c r="G588" s="26" t="inlineStr">
        <is>
          <t>Santa Margarita</t>
        </is>
      </c>
      <c r="H588" s="26" t="inlineStr">
        <is>
          <t>Camperito</t>
        </is>
      </c>
      <c r="I588" s="27" t="n">
        <v>12.123948</v>
      </c>
      <c r="J588" s="27" t="n">
        <v>124.744034</v>
      </c>
      <c r="K588" s="10" t="inlineStr">
        <is>
          <t>R</t>
        </is>
      </c>
      <c r="L588" s="12" t="n">
        <v>244</v>
      </c>
      <c r="M588" s="14" t="n">
        <v>4.1</v>
      </c>
      <c r="N588" s="12">
        <f>ROUND(L588/M588, 0)</f>
        <v/>
      </c>
      <c r="O588" s="12">
        <f>ROUND(N588*'Methodology &amp; Assumptions'!$B$5, 0)</f>
        <v/>
      </c>
      <c r="P588" s="10" t="inlineStr">
        <is>
          <t>Single Carrier (Band n50, 100MHz TDD)</t>
        </is>
      </c>
      <c r="Q588" s="13">
        <f>ROUNDUP(O588/'Methodology &amp; Assumptions'!$B$6, 0)</f>
        <v/>
      </c>
      <c r="R588" s="13" t="n">
        <v>1</v>
      </c>
      <c r="S588" s="14" t="n">
        <v>88.44</v>
      </c>
      <c r="T588" s="14" t="n">
        <v>88.43000000000001</v>
      </c>
      <c r="U588" s="26">
        <f>IF(X588&gt;='Methodology &amp; Assumptions'!$B$7, "Tier 1 Critical GIDA (Score ≥ 50.0)", IF(X588&gt;='Methodology &amp; Assumptions'!$B$8, "Tier 2 High GIDA (Score 40.0–49.9)", "Tier 3 Moderate GIDA (Score &lt; 40.0)"))</f>
        <v/>
      </c>
      <c r="V588" s="26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W588" s="28" t="n">
        <v>0.237</v>
      </c>
      <c r="X588" s="14" t="n">
        <v>49.99</v>
      </c>
      <c r="Y588" s="14">
        <f>ROUND(MIN(100, (X588/69.91)*100), 2)</f>
        <v/>
      </c>
    </row>
    <row r="589">
      <c r="A589" s="10" t="n">
        <v>2</v>
      </c>
      <c r="B589" s="10" t="n">
        <v>585</v>
      </c>
      <c r="C589" s="10" t="n">
        <v>1585</v>
      </c>
      <c r="D589" s="10" t="inlineStr">
        <is>
          <t>PH0001585</t>
        </is>
      </c>
      <c r="E589" s="26" t="inlineStr">
        <is>
          <t>VIII</t>
        </is>
      </c>
      <c r="F589" s="26" t="inlineStr">
        <is>
          <t>Samar (Western Samar)</t>
        </is>
      </c>
      <c r="G589" s="26" t="inlineStr">
        <is>
          <t>Calbayog City</t>
        </is>
      </c>
      <c r="H589" s="26" t="inlineStr">
        <is>
          <t>Mantaong</t>
        </is>
      </c>
      <c r="I589" s="27" t="n">
        <v>12.186249</v>
      </c>
      <c r="J589" s="27" t="n">
        <v>124.515085</v>
      </c>
      <c r="K589" s="10" t="inlineStr">
        <is>
          <t>R</t>
        </is>
      </c>
      <c r="L589" s="12" t="n">
        <v>2229</v>
      </c>
      <c r="M589" s="14" t="n">
        <v>4.1</v>
      </c>
      <c r="N589" s="12">
        <f>ROUND(L589/M589, 0)</f>
        <v/>
      </c>
      <c r="O589" s="12">
        <f>ROUND(N589*'Methodology &amp; Assumptions'!$B$5, 0)</f>
        <v/>
      </c>
      <c r="P589" s="10" t="inlineStr">
        <is>
          <t>Single Carrier (Band n50, 100MHz TDD)</t>
        </is>
      </c>
      <c r="Q589" s="13">
        <f>ROUNDUP(O589/'Methodology &amp; Assumptions'!$B$6, 0)</f>
        <v/>
      </c>
      <c r="R589" s="13" t="n">
        <v>1</v>
      </c>
      <c r="S589" s="14" t="n">
        <v>64.77</v>
      </c>
      <c r="T589" s="14" t="n">
        <v>64.77</v>
      </c>
      <c r="U589" s="26">
        <f>IF(X589&gt;='Methodology &amp; Assumptions'!$B$7, "Tier 1 Critical GIDA (Score ≥ 50.0)", IF(X589&gt;='Methodology &amp; Assumptions'!$B$8, "Tier 2 High GIDA (Score 40.0–49.9)", "Tier 3 Moderate GIDA (Score &lt; 40.0)"))</f>
        <v/>
      </c>
      <c r="V589" s="26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W589" s="28" t="n">
        <v>0.222</v>
      </c>
      <c r="X589" s="14" t="n">
        <v>49.98</v>
      </c>
      <c r="Y589" s="14">
        <f>ROUND(MIN(100, (X589/69.91)*100), 2)</f>
        <v/>
      </c>
    </row>
    <row r="590">
      <c r="A590" s="10" t="n">
        <v>2</v>
      </c>
      <c r="B590" s="10" t="n">
        <v>586</v>
      </c>
      <c r="C590" s="10" t="n">
        <v>1586</v>
      </c>
      <c r="D590" s="10" t="inlineStr">
        <is>
          <t>0401001010</t>
        </is>
      </c>
      <c r="E590" s="26" t="inlineStr">
        <is>
          <t>Region IV-A (CALABARZON)</t>
        </is>
      </c>
      <c r="F590" s="26" t="inlineStr">
        <is>
          <t>Batangas</t>
        </is>
      </c>
      <c r="G590" s="26" t="inlineStr">
        <is>
          <t>Agoncillo</t>
        </is>
      </c>
      <c r="H590" s="26" t="inlineStr">
        <is>
          <t>Mabini</t>
        </is>
      </c>
      <c r="I590" s="27" t="n">
        <v>13.950431</v>
      </c>
      <c r="J590" s="27" t="n">
        <v>120.933824</v>
      </c>
      <c r="K590" s="10" t="inlineStr">
        <is>
          <t>R</t>
        </is>
      </c>
      <c r="L590" s="12" t="n">
        <v>1343</v>
      </c>
      <c r="M590" s="14" t="n">
        <v>3.6</v>
      </c>
      <c r="N590" s="12">
        <f>ROUND(L590/M590, 0)</f>
        <v/>
      </c>
      <c r="O590" s="12">
        <f>ROUND(N590*'Methodology &amp; Assumptions'!$B$5, 0)</f>
        <v/>
      </c>
      <c r="P590" s="10" t="inlineStr">
        <is>
          <t>Single Carrier (Band n50, 100MHz TDD)</t>
        </is>
      </c>
      <c r="Q590" s="13">
        <f>ROUNDUP(O590/'Methodology &amp; Assumptions'!$B$6, 0)</f>
        <v/>
      </c>
      <c r="R590" s="13" t="n">
        <v>1</v>
      </c>
      <c r="S590" s="14" t="n">
        <v>1.54</v>
      </c>
      <c r="T590" s="14" t="n">
        <v>6</v>
      </c>
      <c r="U590" s="26">
        <f>IF(X590&gt;='Methodology &amp; Assumptions'!$B$7, "Tier 1 Critical GIDA (Score ≥ 50.0)", IF(X590&gt;='Methodology &amp; Assumptions'!$B$8, "Tier 2 High GIDA (Score 40.0–49.9)", "Tier 3 Moderate GIDA (Score &lt; 40.0)"))</f>
        <v/>
      </c>
      <c r="V590" s="26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W590" s="28" t="n">
        <v>0.07200000000000001</v>
      </c>
      <c r="X590" s="14" t="n">
        <v>49.98</v>
      </c>
      <c r="Y590" s="14">
        <f>ROUND(MIN(100, (X590/69.91)*100), 2)</f>
        <v/>
      </c>
    </row>
    <row r="591">
      <c r="A591" s="10" t="n">
        <v>2</v>
      </c>
      <c r="B591" s="10" t="n">
        <v>587</v>
      </c>
      <c r="C591" s="10" t="n">
        <v>1587</v>
      </c>
      <c r="D591" s="10" t="inlineStr">
        <is>
          <t>0806025019</t>
        </is>
      </c>
      <c r="E591" s="26" t="inlineStr">
        <is>
          <t>Region VIII (Eastern Visayas)</t>
        </is>
      </c>
      <c r="F591" s="26" t="inlineStr">
        <is>
          <t>Samar</t>
        </is>
      </c>
      <c r="G591" s="26" t="inlineStr">
        <is>
          <t>San Jorge</t>
        </is>
      </c>
      <c r="H591" s="26" t="inlineStr">
        <is>
          <t>Mobo-ob</t>
        </is>
      </c>
      <c r="I591" s="27" t="n">
        <v>11.97309</v>
      </c>
      <c r="J591" s="27" t="n">
        <v>124.91913</v>
      </c>
      <c r="K591" s="10" t="inlineStr">
        <is>
          <t>R</t>
        </is>
      </c>
      <c r="L591" s="12" t="n">
        <v>184</v>
      </c>
      <c r="M591" s="14" t="n">
        <v>4.1</v>
      </c>
      <c r="N591" s="12">
        <f>ROUND(L591/M591, 0)</f>
        <v/>
      </c>
      <c r="O591" s="12">
        <f>ROUND(N591*'Methodology &amp; Assumptions'!$B$5, 0)</f>
        <v/>
      </c>
      <c r="P591" s="10" t="inlineStr">
        <is>
          <t>Single Carrier (Band n50, 100MHz TDD)</t>
        </is>
      </c>
      <c r="Q591" s="13">
        <f>ROUNDUP(O591/'Methodology &amp; Assumptions'!$B$6, 0)</f>
        <v/>
      </c>
      <c r="R591" s="13" t="n">
        <v>1</v>
      </c>
      <c r="S591" s="14" t="n">
        <v>78.94</v>
      </c>
      <c r="T591" s="14" t="n">
        <v>78.88</v>
      </c>
      <c r="U591" s="26">
        <f>IF(X591&gt;='Methodology &amp; Assumptions'!$B$7, "Tier 1 Critical GIDA (Score ≥ 50.0)", IF(X591&gt;='Methodology &amp; Assumptions'!$B$8, "Tier 2 High GIDA (Score 40.0–49.9)", "Tier 3 Moderate GIDA (Score &lt; 40.0)"))</f>
        <v/>
      </c>
      <c r="V591" s="26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W591" s="28" t="n">
        <v>0.237</v>
      </c>
      <c r="X591" s="14" t="n">
        <v>49.98</v>
      </c>
      <c r="Y591" s="14">
        <f>ROUND(MIN(100, (X591/69.91)*100), 2)</f>
        <v/>
      </c>
    </row>
    <row r="592">
      <c r="A592" s="10" t="n">
        <v>2</v>
      </c>
      <c r="B592" s="10" t="n">
        <v>588</v>
      </c>
      <c r="C592" s="10" t="n">
        <v>1588</v>
      </c>
      <c r="D592" s="10" t="inlineStr">
        <is>
          <t>0806002010</t>
        </is>
      </c>
      <c r="E592" s="26" t="inlineStr">
        <is>
          <t>Region VIII (Eastern Visayas)</t>
        </is>
      </c>
      <c r="F592" s="26" t="inlineStr">
        <is>
          <t>Samar</t>
        </is>
      </c>
      <c r="G592" s="26" t="inlineStr">
        <is>
          <t>Basey</t>
        </is>
      </c>
      <c r="H592" s="26" t="inlineStr">
        <is>
          <t>Cancaiyas</t>
        </is>
      </c>
      <c r="I592" s="27" t="n">
        <v>11.34998</v>
      </c>
      <c r="J592" s="27" t="n">
        <v>125.08361</v>
      </c>
      <c r="K592" s="10" t="inlineStr">
        <is>
          <t>R</t>
        </is>
      </c>
      <c r="L592" s="12" t="n">
        <v>615</v>
      </c>
      <c r="M592" s="14" t="n">
        <v>4.1</v>
      </c>
      <c r="N592" s="12">
        <f>ROUND(L592/M592, 0)</f>
        <v/>
      </c>
      <c r="O592" s="12">
        <f>ROUND(N592*'Methodology &amp; Assumptions'!$B$5, 0)</f>
        <v/>
      </c>
      <c r="P592" s="10" t="inlineStr">
        <is>
          <t>Single Carrier (Band n50, 100MHz TDD)</t>
        </is>
      </c>
      <c r="Q592" s="13">
        <f>ROUNDUP(O592/'Methodology &amp; Assumptions'!$B$6, 0)</f>
        <v/>
      </c>
      <c r="R592" s="13" t="n">
        <v>1</v>
      </c>
      <c r="S592" s="14" t="n">
        <v>15.13</v>
      </c>
      <c r="T592" s="14" t="n">
        <v>17.29</v>
      </c>
      <c r="U592" s="26">
        <f>IF(X592&gt;='Methodology &amp; Assumptions'!$B$7, "Tier 1 Critical GIDA (Score ≥ 50.0)", IF(X592&gt;='Methodology &amp; Assumptions'!$B$8, "Tier 2 High GIDA (Score 40.0–49.9)", "Tier 3 Moderate GIDA (Score &lt; 40.0)"))</f>
        <v/>
      </c>
      <c r="V592" s="26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W592" s="28" t="n">
        <v>0.237</v>
      </c>
      <c r="X592" s="14" t="n">
        <v>49.96</v>
      </c>
      <c r="Y592" s="14">
        <f>ROUND(MIN(100, (X592/69.91)*100), 2)</f>
        <v/>
      </c>
    </row>
    <row r="593">
      <c r="A593" s="10" t="n">
        <v>2</v>
      </c>
      <c r="B593" s="10" t="n">
        <v>589</v>
      </c>
      <c r="C593" s="10" t="n">
        <v>1589</v>
      </c>
      <c r="D593" s="10" t="inlineStr">
        <is>
          <t>1380601157</t>
        </is>
      </c>
      <c r="E593" s="26" t="inlineStr">
        <is>
          <t>National Capital Region (NCR)</t>
        </is>
      </c>
      <c r="F593" s="26" t="inlineStr">
        <is>
          <t>First District (Not a Province)</t>
        </is>
      </c>
      <c r="G593" s="26" t="inlineStr">
        <is>
          <t>City of Manila</t>
        </is>
      </c>
      <c r="H593" s="26" t="inlineStr">
        <is>
          <t>Barangay 157</t>
        </is>
      </c>
      <c r="I593" s="27" t="n">
        <v>13.011612</v>
      </c>
      <c r="J593" s="27" t="n">
        <v>121.51406</v>
      </c>
      <c r="K593" s="10" t="inlineStr">
        <is>
          <t>U</t>
        </is>
      </c>
      <c r="L593" s="12" t="n">
        <v>1551</v>
      </c>
      <c r="M593" s="14" t="n">
        <v>3.9</v>
      </c>
      <c r="N593" s="12">
        <f>ROUND(L593/M593, 0)</f>
        <v/>
      </c>
      <c r="O593" s="12">
        <f>ROUND(N593*'Methodology &amp; Assumptions'!$B$5, 0)</f>
        <v/>
      </c>
      <c r="P593" s="10" t="inlineStr">
        <is>
          <t>Single Carrier (Band n50, 100MHz TDD)</t>
        </is>
      </c>
      <c r="Q593" s="13">
        <f>ROUNDUP(O593/'Methodology &amp; Assumptions'!$B$6, 0)</f>
        <v/>
      </c>
      <c r="R593" s="13" t="n">
        <v>1</v>
      </c>
      <c r="S593" s="14" t="n">
        <v>5.19</v>
      </c>
      <c r="T593" s="14" t="n">
        <v>3.78</v>
      </c>
      <c r="U593" s="26">
        <f>IF(X593&gt;='Methodology &amp; Assumptions'!$B$7, "Tier 1 Critical GIDA (Score ≥ 50.0)", IF(X593&gt;='Methodology &amp; Assumptions'!$B$8, "Tier 2 High GIDA (Score 40.0–49.9)", "Tier 3 Moderate GIDA (Score &lt; 40.0)"))</f>
        <v/>
      </c>
      <c r="V593" s="26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W593" s="28" t="n">
        <v>0.109</v>
      </c>
      <c r="X593" s="14" t="n">
        <v>49.96</v>
      </c>
      <c r="Y593" s="14">
        <f>ROUND(MIN(100, (X593/69.91)*100), 2)</f>
        <v/>
      </c>
    </row>
    <row r="594">
      <c r="A594" s="10" t="n">
        <v>2</v>
      </c>
      <c r="B594" s="10" t="n">
        <v>590</v>
      </c>
      <c r="C594" s="10" t="n">
        <v>1590</v>
      </c>
      <c r="D594" s="10" t="inlineStr">
        <is>
          <t>1380606241</t>
        </is>
      </c>
      <c r="E594" s="26" t="inlineStr">
        <is>
          <t>National Capital Region (NCR)</t>
        </is>
      </c>
      <c r="F594" s="26" t="inlineStr">
        <is>
          <t>First District (Not a Province)</t>
        </is>
      </c>
      <c r="G594" s="26" t="inlineStr">
        <is>
          <t>City of Manila</t>
        </is>
      </c>
      <c r="H594" s="26" t="inlineStr">
        <is>
          <t>Barangay 634</t>
        </is>
      </c>
      <c r="I594" s="27" t="n">
        <v>12.953988</v>
      </c>
      <c r="J594" s="27" t="n">
        <v>122.058403</v>
      </c>
      <c r="K594" s="10" t="inlineStr">
        <is>
          <t>U</t>
        </is>
      </c>
      <c r="L594" s="12" t="n">
        <v>1359</v>
      </c>
      <c r="M594" s="14" t="n">
        <v>3.9</v>
      </c>
      <c r="N594" s="12">
        <f>ROUND(L594/M594, 0)</f>
        <v/>
      </c>
      <c r="O594" s="12">
        <f>ROUND(N594*'Methodology &amp; Assumptions'!$B$5, 0)</f>
        <v/>
      </c>
      <c r="P594" s="10" t="inlineStr">
        <is>
          <t>Single Carrier (Band n50, 100MHz TDD)</t>
        </is>
      </c>
      <c r="Q594" s="13">
        <f>ROUNDUP(O594/'Methodology &amp; Assumptions'!$B$6, 0)</f>
        <v/>
      </c>
      <c r="R594" s="13" t="n">
        <v>1</v>
      </c>
      <c r="S594" s="14" t="n">
        <v>61.02</v>
      </c>
      <c r="T594" s="14" t="n">
        <v>62.95</v>
      </c>
      <c r="U594" s="26">
        <f>IF(X594&gt;='Methodology &amp; Assumptions'!$B$7, "Tier 1 Critical GIDA (Score ≥ 50.0)", IF(X594&gt;='Methodology &amp; Assumptions'!$B$8, "Tier 2 High GIDA (Score 40.0–49.9)", "Tier 3 Moderate GIDA (Score &lt; 40.0)"))</f>
        <v/>
      </c>
      <c r="V594" s="26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W594" s="28" t="n">
        <v>0.109</v>
      </c>
      <c r="X594" s="14" t="n">
        <v>49.96</v>
      </c>
      <c r="Y594" s="14">
        <f>ROUND(MIN(100, (X594/69.91)*100), 2)</f>
        <v/>
      </c>
    </row>
    <row r="595">
      <c r="A595" s="10" t="n">
        <v>2</v>
      </c>
      <c r="B595" s="10" t="n">
        <v>591</v>
      </c>
      <c r="C595" s="10" t="n">
        <v>1591</v>
      </c>
      <c r="D595" s="10" t="inlineStr">
        <is>
          <t>1380300024</t>
        </is>
      </c>
      <c r="E595" s="26" t="inlineStr">
        <is>
          <t>National Capital Region (NCR)</t>
        </is>
      </c>
      <c r="F595" s="26" t="inlineStr">
        <is>
          <t>Fourth District (Not a Province)</t>
        </is>
      </c>
      <c r="G595" s="26" t="inlineStr">
        <is>
          <t>City of Makati</t>
        </is>
      </c>
      <c r="H595" s="26" t="inlineStr">
        <is>
          <t>San Isidro</t>
        </is>
      </c>
      <c r="I595" s="27" t="n">
        <v>14.55535</v>
      </c>
      <c r="J595" s="27" t="n">
        <v>121.00708</v>
      </c>
      <c r="K595" s="10" t="inlineStr">
        <is>
          <t>U</t>
        </is>
      </c>
      <c r="L595" s="12" t="n">
        <v>3000</v>
      </c>
      <c r="M595" s="14" t="n">
        <v>3.5</v>
      </c>
      <c r="N595" s="12">
        <f>ROUND(L595/M595, 0)</f>
        <v/>
      </c>
      <c r="O595" s="12">
        <f>ROUND(N595*'Methodology &amp; Assumptions'!$B$5, 0)</f>
        <v/>
      </c>
      <c r="P595" s="10" t="inlineStr">
        <is>
          <t>Single Carrier (Band n50, 100MHz TDD)</t>
        </is>
      </c>
      <c r="Q595" s="13">
        <f>ROUNDUP(O595/'Methodology &amp; Assumptions'!$B$6, 0)</f>
        <v/>
      </c>
      <c r="R595" s="13" t="n">
        <v>1</v>
      </c>
      <c r="S595" s="14" t="n">
        <v>0.78</v>
      </c>
      <c r="T595" s="14" t="n">
        <v>0.32</v>
      </c>
      <c r="U595" s="26">
        <f>IF(X595&gt;='Methodology &amp; Assumptions'!$B$7, "Tier 1 Critical GIDA (Score ≥ 50.0)", IF(X595&gt;='Methodology &amp; Assumptions'!$B$8, "Tier 2 High GIDA (Score 40.0–49.9)", "Tier 3 Moderate GIDA (Score &lt; 40.0)"))</f>
        <v/>
      </c>
      <c r="V595" s="26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W595" s="28" t="n">
        <v>0.109</v>
      </c>
      <c r="X595" s="14" t="n">
        <v>49.96</v>
      </c>
      <c r="Y595" s="14">
        <f>ROUND(MIN(100, (X595/69.91)*100), 2)</f>
        <v/>
      </c>
    </row>
    <row r="596">
      <c r="A596" s="10" t="n">
        <v>2</v>
      </c>
      <c r="B596" s="10" t="n">
        <v>592</v>
      </c>
      <c r="C596" s="10" t="n">
        <v>1592</v>
      </c>
      <c r="D596" s="10" t="inlineStr">
        <is>
          <t>1380300001</t>
        </is>
      </c>
      <c r="E596" s="26" t="inlineStr">
        <is>
          <t>National Capital Region (NCR)</t>
        </is>
      </c>
      <c r="F596" s="26" t="inlineStr">
        <is>
          <t>Fourth District (Not a Province)</t>
        </is>
      </c>
      <c r="G596" s="26" t="inlineStr">
        <is>
          <t>City of Makati</t>
        </is>
      </c>
      <c r="H596" s="26" t="inlineStr">
        <is>
          <t>Bangkal</t>
        </is>
      </c>
      <c r="I596" s="27" t="n">
        <v>14.542811</v>
      </c>
      <c r="J596" s="27" t="n">
        <v>121.008278</v>
      </c>
      <c r="K596" s="10" t="inlineStr">
        <is>
          <t>U</t>
        </is>
      </c>
      <c r="L596" s="12" t="n">
        <v>8647</v>
      </c>
      <c r="M596" s="14" t="n">
        <v>3.5</v>
      </c>
      <c r="N596" s="12">
        <f>ROUND(L596/M596, 0)</f>
        <v/>
      </c>
      <c r="O596" s="12">
        <f>ROUND(N596*'Methodology &amp; Assumptions'!$B$5, 0)</f>
        <v/>
      </c>
      <c r="P596" s="10" t="inlineStr">
        <is>
          <t>Single Carrier (Band n50, 100MHz TDD)</t>
        </is>
      </c>
      <c r="Q596" s="13">
        <f>ROUNDUP(O596/'Methodology &amp; Assumptions'!$B$6, 0)</f>
        <v/>
      </c>
      <c r="R596" s="13" t="n">
        <v>1</v>
      </c>
      <c r="S596" s="14" t="n">
        <v>0.84</v>
      </c>
      <c r="T596" s="14" t="n">
        <v>0.59</v>
      </c>
      <c r="U596" s="26">
        <f>IF(X596&gt;='Methodology &amp; Assumptions'!$B$7, "Tier 1 Critical GIDA (Score ≥ 50.0)", IF(X596&gt;='Methodology &amp; Assumptions'!$B$8, "Tier 2 High GIDA (Score 40.0–49.9)", "Tier 3 Moderate GIDA (Score &lt; 40.0)"))</f>
        <v/>
      </c>
      <c r="V596" s="26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W596" s="28" t="n">
        <v>0.109</v>
      </c>
      <c r="X596" s="14" t="n">
        <v>49.96</v>
      </c>
      <c r="Y596" s="14">
        <f>ROUND(MIN(100, (X596/69.91)*100), 2)</f>
        <v/>
      </c>
    </row>
    <row r="597">
      <c r="A597" s="10" t="n">
        <v>2</v>
      </c>
      <c r="B597" s="10" t="n">
        <v>593</v>
      </c>
      <c r="C597" s="10" t="n">
        <v>1593</v>
      </c>
      <c r="D597" s="10" t="inlineStr">
        <is>
          <t>PH0001593</t>
        </is>
      </c>
      <c r="E597" s="26" t="inlineStr">
        <is>
          <t>NCR</t>
        </is>
      </c>
      <c r="F597" s="26" t="inlineStr">
        <is>
          <t>Metro Manila</t>
        </is>
      </c>
      <c r="G597" s="26" t="inlineStr">
        <is>
          <t>Taguig City</t>
        </is>
      </c>
      <c r="H597" s="26" t="inlineStr">
        <is>
          <t>Comembo</t>
        </is>
      </c>
      <c r="I597" s="27" t="n">
        <v>14.508589</v>
      </c>
      <c r="J597" s="27" t="n">
        <v>121.063011</v>
      </c>
      <c r="K597" s="10" t="inlineStr">
        <is>
          <t>R</t>
        </is>
      </c>
      <c r="L597" s="12" t="n">
        <v>2279</v>
      </c>
      <c r="M597" s="14" t="n">
        <v>3.8</v>
      </c>
      <c r="N597" s="12">
        <f>ROUND(L597/M597, 0)</f>
        <v/>
      </c>
      <c r="O597" s="12">
        <f>ROUND(N597*'Methodology &amp; Assumptions'!$B$5, 0)</f>
        <v/>
      </c>
      <c r="P597" s="10" t="inlineStr">
        <is>
          <t>Single Carrier (Band n50, 100MHz TDD)</t>
        </is>
      </c>
      <c r="Q597" s="13">
        <f>ROUNDUP(O597/'Methodology &amp; Assumptions'!$B$6, 0)</f>
        <v/>
      </c>
      <c r="R597" s="13" t="n">
        <v>1</v>
      </c>
      <c r="S597" s="14" t="n">
        <v>0.26</v>
      </c>
      <c r="T597" s="14" t="n">
        <v>0.21</v>
      </c>
      <c r="U597" s="26">
        <f>IF(X597&gt;='Methodology &amp; Assumptions'!$B$7, "Tier 1 Critical GIDA (Score ≥ 50.0)", IF(X597&gt;='Methodology &amp; Assumptions'!$B$8, "Tier 2 High GIDA (Score 40.0–49.9)", "Tier 3 Moderate GIDA (Score &lt; 40.0)"))</f>
        <v/>
      </c>
      <c r="V597" s="26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W597" s="28" t="n">
        <v>0.011</v>
      </c>
      <c r="X597" s="14" t="n">
        <v>49.96</v>
      </c>
      <c r="Y597" s="14">
        <f>ROUND(MIN(100, (X597/69.91)*100), 2)</f>
        <v/>
      </c>
    </row>
    <row r="598">
      <c r="A598" s="10" t="n">
        <v>2</v>
      </c>
      <c r="B598" s="10" t="n">
        <v>594</v>
      </c>
      <c r="C598" s="10" t="n">
        <v>1594</v>
      </c>
      <c r="D598" s="10" t="inlineStr">
        <is>
          <t>1381100166</t>
        </is>
      </c>
      <c r="E598" s="26" t="inlineStr">
        <is>
          <t>National Capital Region (NCR)</t>
        </is>
      </c>
      <c r="F598" s="26" t="inlineStr">
        <is>
          <t>Fourth District (Not a Province)</t>
        </is>
      </c>
      <c r="G598" s="26" t="inlineStr">
        <is>
          <t>Pasay City</t>
        </is>
      </c>
      <c r="H598" s="26" t="inlineStr">
        <is>
          <t>Barangay 166</t>
        </is>
      </c>
      <c r="I598" s="27" t="n">
        <v>14.575983</v>
      </c>
      <c r="J598" s="27" t="n">
        <v>120.986821</v>
      </c>
      <c r="K598" s="10" t="inlineStr">
        <is>
          <t>U</t>
        </is>
      </c>
      <c r="L598" s="12" t="n">
        <v>1224</v>
      </c>
      <c r="M598" s="14" t="n">
        <v>3.4</v>
      </c>
      <c r="N598" s="12">
        <f>ROUND(L598/M598, 0)</f>
        <v/>
      </c>
      <c r="O598" s="12">
        <f>ROUND(N598*'Methodology &amp; Assumptions'!$B$5, 0)</f>
        <v/>
      </c>
      <c r="P598" s="10" t="inlineStr">
        <is>
          <t>Single Carrier (Band n50, 100MHz TDD)</t>
        </is>
      </c>
      <c r="Q598" s="13">
        <f>ROUNDUP(O598/'Methodology &amp; Assumptions'!$B$6, 0)</f>
        <v/>
      </c>
      <c r="R598" s="13" t="n">
        <v>1</v>
      </c>
      <c r="S598" s="14" t="n">
        <v>0.91</v>
      </c>
      <c r="T598" s="14" t="n">
        <v>0.26</v>
      </c>
      <c r="U598" s="26">
        <f>IF(X598&gt;='Methodology &amp; Assumptions'!$B$7, "Tier 1 Critical GIDA (Score ≥ 50.0)", IF(X598&gt;='Methodology &amp; Assumptions'!$B$8, "Tier 2 High GIDA (Score 40.0–49.9)", "Tier 3 Moderate GIDA (Score &lt; 40.0)"))</f>
        <v/>
      </c>
      <c r="V598" s="26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W598" s="28" t="n">
        <v>0.109</v>
      </c>
      <c r="X598" s="14" t="n">
        <v>49.96</v>
      </c>
      <c r="Y598" s="14">
        <f>ROUND(MIN(100, (X598/69.91)*100), 2)</f>
        <v/>
      </c>
    </row>
    <row r="599">
      <c r="A599" s="10" t="n">
        <v>2</v>
      </c>
      <c r="B599" s="10" t="n">
        <v>595</v>
      </c>
      <c r="C599" s="10" t="n">
        <v>1595</v>
      </c>
      <c r="D599" s="10" t="inlineStr">
        <is>
          <t>PH0001595</t>
        </is>
      </c>
      <c r="E599" s="26" t="inlineStr">
        <is>
          <t>NCR</t>
        </is>
      </c>
      <c r="F599" s="26" t="inlineStr">
        <is>
          <t>Metro Manila</t>
        </is>
      </c>
      <c r="G599" s="26" t="inlineStr">
        <is>
          <t>Caloocan City</t>
        </is>
      </c>
      <c r="H599" s="26" t="inlineStr">
        <is>
          <t>Barangay 23</t>
        </is>
      </c>
      <c r="I599" s="27" t="n">
        <v>11.99007</v>
      </c>
      <c r="J599" s="27" t="n">
        <v>120.778082</v>
      </c>
      <c r="K599" s="10" t="inlineStr">
        <is>
          <t>R</t>
        </is>
      </c>
      <c r="L599" s="12" t="n">
        <v>2279</v>
      </c>
      <c r="M599" s="14" t="n">
        <v>3.8</v>
      </c>
      <c r="N599" s="12">
        <f>ROUND(L599/M599, 0)</f>
        <v/>
      </c>
      <c r="O599" s="12">
        <f>ROUND(N599*'Methodology &amp; Assumptions'!$B$5, 0)</f>
        <v/>
      </c>
      <c r="P599" s="10" t="inlineStr">
        <is>
          <t>Single Carrier (Band n50, 100MHz TDD)</t>
        </is>
      </c>
      <c r="Q599" s="13">
        <f>ROUNDUP(O599/'Methodology &amp; Assumptions'!$B$6, 0)</f>
        <v/>
      </c>
      <c r="R599" s="13" t="n">
        <v>1</v>
      </c>
      <c r="S599" s="14" t="n">
        <v>50.78</v>
      </c>
      <c r="T599" s="14" t="n">
        <v>50.79</v>
      </c>
      <c r="U599" s="26">
        <f>IF(X599&gt;='Methodology &amp; Assumptions'!$B$7, "Tier 1 Critical GIDA (Score ≥ 50.0)", IF(X599&gt;='Methodology &amp; Assumptions'!$B$8, "Tier 2 High GIDA (Score 40.0–49.9)", "Tier 3 Moderate GIDA (Score &lt; 40.0)"))</f>
        <v/>
      </c>
      <c r="V599" s="26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W599" s="28" t="n">
        <v>0.011</v>
      </c>
      <c r="X599" s="14" t="n">
        <v>49.95</v>
      </c>
      <c r="Y599" s="14">
        <f>ROUND(MIN(100, (X599/69.91)*100), 2)</f>
        <v/>
      </c>
    </row>
    <row r="600">
      <c r="A600" s="10" t="n">
        <v>2</v>
      </c>
      <c r="B600" s="10" t="n">
        <v>596</v>
      </c>
      <c r="C600" s="10" t="n">
        <v>1596</v>
      </c>
      <c r="D600" s="10" t="inlineStr">
        <is>
          <t>1380614073</t>
        </is>
      </c>
      <c r="E600" s="26" t="inlineStr">
        <is>
          <t>National Capital Region (NCR)</t>
        </is>
      </c>
      <c r="F600" s="26" t="inlineStr">
        <is>
          <t>First District (Not a Province)</t>
        </is>
      </c>
      <c r="G600" s="26" t="inlineStr">
        <is>
          <t>City of Manila</t>
        </is>
      </c>
      <c r="H600" s="26" t="inlineStr">
        <is>
          <t>Barangay 880</t>
        </is>
      </c>
      <c r="I600" s="27" t="n">
        <v>12.636485</v>
      </c>
      <c r="J600" s="27" t="n">
        <v>121.615056</v>
      </c>
      <c r="K600" s="10" t="inlineStr">
        <is>
          <t>U</t>
        </is>
      </c>
      <c r="L600" s="12" t="n">
        <v>3521</v>
      </c>
      <c r="M600" s="14" t="n">
        <v>3.9</v>
      </c>
      <c r="N600" s="12">
        <f>ROUND(L600/M600, 0)</f>
        <v/>
      </c>
      <c r="O600" s="12">
        <f>ROUND(N600*'Methodology &amp; Assumptions'!$B$5, 0)</f>
        <v/>
      </c>
      <c r="P600" s="10" t="inlineStr">
        <is>
          <t>Single Carrier (Band n50, 100MHz TDD)</t>
        </is>
      </c>
      <c r="Q600" s="13">
        <f>ROUNDUP(O600/'Methodology &amp; Assumptions'!$B$6, 0)</f>
        <v/>
      </c>
      <c r="R600" s="13" t="n">
        <v>1</v>
      </c>
      <c r="S600" s="14" t="n">
        <v>7.77</v>
      </c>
      <c r="T600" s="14" t="n">
        <v>7.78</v>
      </c>
      <c r="U600" s="26">
        <f>IF(X600&gt;='Methodology &amp; Assumptions'!$B$7, "Tier 1 Critical GIDA (Score ≥ 50.0)", IF(X600&gt;='Methodology &amp; Assumptions'!$B$8, "Tier 2 High GIDA (Score 40.0–49.9)", "Tier 3 Moderate GIDA (Score &lt; 40.0)"))</f>
        <v/>
      </c>
      <c r="V600" s="26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W600" s="28" t="n">
        <v>0.109</v>
      </c>
      <c r="X600" s="14" t="n">
        <v>49.95</v>
      </c>
      <c r="Y600" s="14">
        <f>ROUND(MIN(100, (X600/69.91)*100), 2)</f>
        <v/>
      </c>
    </row>
    <row r="601">
      <c r="A601" s="10" t="n">
        <v>2</v>
      </c>
      <c r="B601" s="10" t="n">
        <v>597</v>
      </c>
      <c r="C601" s="10" t="n">
        <v>1597</v>
      </c>
      <c r="D601" s="10" t="inlineStr">
        <is>
          <t>PH0001597</t>
        </is>
      </c>
      <c r="E601" s="26" t="inlineStr">
        <is>
          <t>NCR</t>
        </is>
      </c>
      <c r="F601" s="26" t="inlineStr">
        <is>
          <t>Metro Manila</t>
        </is>
      </c>
      <c r="G601" s="26" t="inlineStr">
        <is>
          <t>City of San Juan</t>
        </is>
      </c>
      <c r="H601" s="26" t="inlineStr">
        <is>
          <t>Saint Joseph (Halo-halo)</t>
        </is>
      </c>
      <c r="I601" s="27" t="n">
        <v>14.601301</v>
      </c>
      <c r="J601" s="27" t="n">
        <v>121.041407</v>
      </c>
      <c r="K601" s="10" t="inlineStr">
        <is>
          <t>R</t>
        </is>
      </c>
      <c r="L601" s="12" t="n">
        <v>6395</v>
      </c>
      <c r="M601" s="14" t="n">
        <v>3.6</v>
      </c>
      <c r="N601" s="12">
        <f>ROUND(L601/M601, 0)</f>
        <v/>
      </c>
      <c r="O601" s="12">
        <f>ROUND(N601*'Methodology &amp; Assumptions'!$B$5, 0)</f>
        <v/>
      </c>
      <c r="P601" s="10" t="inlineStr">
        <is>
          <t>Single Carrier (Band n50, 100MHz TDD)</t>
        </is>
      </c>
      <c r="Q601" s="13">
        <f>ROUNDUP(O601/'Methodology &amp; Assumptions'!$B$6, 0)</f>
        <v/>
      </c>
      <c r="R601" s="13" t="n">
        <v>1</v>
      </c>
      <c r="S601" s="14" t="n">
        <v>1.41</v>
      </c>
      <c r="T601" s="14" t="n">
        <v>0.13</v>
      </c>
      <c r="U601" s="26">
        <f>IF(X601&gt;='Methodology &amp; Assumptions'!$B$7, "Tier 1 Critical GIDA (Score ≥ 50.0)", IF(X601&gt;='Methodology &amp; Assumptions'!$B$8, "Tier 2 High GIDA (Score 40.0–49.9)", "Tier 3 Moderate GIDA (Score &lt; 40.0)"))</f>
        <v/>
      </c>
      <c r="V601" s="26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W601" s="28" t="n">
        <v>0.011</v>
      </c>
      <c r="X601" s="14" t="n">
        <v>49.95</v>
      </c>
      <c r="Y601" s="14">
        <f>ROUND(MIN(100, (X601/69.91)*100), 2)</f>
        <v/>
      </c>
    </row>
    <row r="602">
      <c r="A602" s="10" t="n">
        <v>2</v>
      </c>
      <c r="B602" s="10" t="n">
        <v>598</v>
      </c>
      <c r="C602" s="10" t="n">
        <v>1598</v>
      </c>
      <c r="D602" s="10" t="inlineStr">
        <is>
          <t>1380700006</t>
        </is>
      </c>
      <c r="E602" s="26" t="inlineStr">
        <is>
          <t>National Capital Region (NCR)</t>
        </is>
      </c>
      <c r="F602" s="26" t="inlineStr">
        <is>
          <t>Second District (Not a Province)</t>
        </is>
      </c>
      <c r="G602" s="26" t="inlineStr">
        <is>
          <t>City of Marikina</t>
        </is>
      </c>
      <c r="H602" s="26" t="inlineStr">
        <is>
          <t>Nangka</t>
        </is>
      </c>
      <c r="I602" s="27" t="n">
        <v>14.673237</v>
      </c>
      <c r="J602" s="27" t="n">
        <v>121.108396</v>
      </c>
      <c r="K602" s="10" t="inlineStr">
        <is>
          <t>U</t>
        </is>
      </c>
      <c r="L602" s="12" t="n">
        <v>44819</v>
      </c>
      <c r="M602" s="14" t="n">
        <v>4</v>
      </c>
      <c r="N602" s="12">
        <f>ROUND(L602/M602, 0)</f>
        <v/>
      </c>
      <c r="O602" s="12">
        <f>ROUND(N602*'Methodology &amp; Assumptions'!$B$5, 0)</f>
        <v/>
      </c>
      <c r="P602" s="10" t="inlineStr">
        <is>
          <t>Single Carrier (Band n50, 100MHz TDD)</t>
        </is>
      </c>
      <c r="Q602" s="13">
        <f>ROUNDUP(O602/'Methodology &amp; Assumptions'!$B$6, 0)</f>
        <v/>
      </c>
      <c r="R602" s="13" t="n">
        <v>1</v>
      </c>
      <c r="S602" s="14" t="n">
        <v>1.44</v>
      </c>
      <c r="T602" s="14" t="n">
        <v>0.28</v>
      </c>
      <c r="U602" s="26">
        <f>IF(X602&gt;='Methodology &amp; Assumptions'!$B$7, "Tier 1 Critical GIDA (Score ≥ 50.0)", IF(X602&gt;='Methodology &amp; Assumptions'!$B$8, "Tier 2 High GIDA (Score 40.0–49.9)", "Tier 3 Moderate GIDA (Score &lt; 40.0)"))</f>
        <v/>
      </c>
      <c r="V602" s="26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W602" s="28" t="n">
        <v>0.109</v>
      </c>
      <c r="X602" s="14" t="n">
        <v>49.94</v>
      </c>
      <c r="Y602" s="14">
        <f>ROUND(MIN(100, (X602/69.91)*100), 2)</f>
        <v/>
      </c>
    </row>
    <row r="603">
      <c r="A603" s="10" t="n">
        <v>2</v>
      </c>
      <c r="B603" s="10" t="n">
        <v>599</v>
      </c>
      <c r="C603" s="10" t="n">
        <v>1599</v>
      </c>
      <c r="D603" s="10" t="inlineStr">
        <is>
          <t>0405811001</t>
        </is>
      </c>
      <c r="E603" s="26" t="inlineStr">
        <is>
          <t>Region IV-A (CALABARZON)</t>
        </is>
      </c>
      <c r="F603" s="26" t="inlineStr">
        <is>
          <t>Rizal</t>
        </is>
      </c>
      <c r="G603" s="26" t="inlineStr">
        <is>
          <t>San Mateo</t>
        </is>
      </c>
      <c r="H603" s="26" t="inlineStr">
        <is>
          <t>Ampid I</t>
        </is>
      </c>
      <c r="I603" s="27" t="n">
        <v>14.677812</v>
      </c>
      <c r="J603" s="27" t="n">
        <v>121.116756</v>
      </c>
      <c r="K603" s="10" t="inlineStr">
        <is>
          <t>U</t>
        </is>
      </c>
      <c r="L603" s="12" t="n">
        <v>26178</v>
      </c>
      <c r="M603" s="14" t="n">
        <v>3.6</v>
      </c>
      <c r="N603" s="12">
        <f>ROUND(L603/M603, 0)</f>
        <v/>
      </c>
      <c r="O603" s="12">
        <f>ROUND(N603*'Methodology &amp; Assumptions'!$B$5, 0)</f>
        <v/>
      </c>
      <c r="P603" s="10" t="inlineStr">
        <is>
          <t>Single Carrier (Band n50, 100MHz TDD)</t>
        </is>
      </c>
      <c r="Q603" s="13">
        <f>ROUNDUP(O603/'Methodology &amp; Assumptions'!$B$6, 0)</f>
        <v/>
      </c>
      <c r="R603" s="13" t="n">
        <v>1</v>
      </c>
      <c r="S603" s="14" t="n">
        <v>1.01</v>
      </c>
      <c r="T603" s="14" t="n">
        <v>0.41</v>
      </c>
      <c r="U603" s="26">
        <f>IF(X603&gt;='Methodology &amp; Assumptions'!$B$7, "Tier 1 Critical GIDA (Score ≥ 50.0)", IF(X603&gt;='Methodology &amp; Assumptions'!$B$8, "Tier 2 High GIDA (Score 40.0–49.9)", "Tier 3 Moderate GIDA (Score &lt; 40.0)"))</f>
        <v/>
      </c>
      <c r="V603" s="26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W603" s="28" t="n">
        <v>0.07200000000000001</v>
      </c>
      <c r="X603" s="14" t="n">
        <v>49.94</v>
      </c>
      <c r="Y603" s="14">
        <f>ROUND(MIN(100, (X603/69.91)*100), 2)</f>
        <v/>
      </c>
    </row>
    <row r="604">
      <c r="A604" s="10" t="n">
        <v>2</v>
      </c>
      <c r="B604" s="10" t="n">
        <v>600</v>
      </c>
      <c r="C604" s="10" t="n">
        <v>1600</v>
      </c>
      <c r="D604" s="10" t="inlineStr">
        <is>
          <t>0405805014</t>
        </is>
      </c>
      <c r="E604" s="26" t="inlineStr">
        <is>
          <t>Region IV-A (CALABARZON)</t>
        </is>
      </c>
      <c r="F604" s="26" t="inlineStr">
        <is>
          <t>Rizal</t>
        </is>
      </c>
      <c r="G604" s="26" t="inlineStr">
        <is>
          <t>Cainta</t>
        </is>
      </c>
      <c r="H604" s="26" t="inlineStr">
        <is>
          <t>San Andres</t>
        </is>
      </c>
      <c r="I604" s="27" t="n">
        <v>14.574142</v>
      </c>
      <c r="J604" s="27" t="n">
        <v>121.110612</v>
      </c>
      <c r="K604" s="10" t="inlineStr">
        <is>
          <t>U</t>
        </is>
      </c>
      <c r="L604" s="12" t="n">
        <v>115400</v>
      </c>
      <c r="M604" s="14" t="n">
        <v>3.6</v>
      </c>
      <c r="N604" s="12">
        <f>ROUND(L604/M604, 0)</f>
        <v/>
      </c>
      <c r="O604" s="12">
        <f>ROUND(N604*'Methodology &amp; Assumptions'!$B$5, 0)</f>
        <v/>
      </c>
      <c r="P604" s="10" t="inlineStr">
        <is>
          <t>Single Carrier (Band n50, 100MHz TDD)</t>
        </is>
      </c>
      <c r="Q604" s="13">
        <f>ROUNDUP(O604/'Methodology &amp; Assumptions'!$B$6, 0)</f>
        <v/>
      </c>
      <c r="R604" s="13" t="n">
        <v>1</v>
      </c>
      <c r="S604" s="14" t="n">
        <v>0.66</v>
      </c>
      <c r="T604" s="14" t="n">
        <v>0.61</v>
      </c>
      <c r="U604" s="26">
        <f>IF(X604&gt;='Methodology &amp; Assumptions'!$B$7, "Tier 1 Critical GIDA (Score ≥ 50.0)", IF(X604&gt;='Methodology &amp; Assumptions'!$B$8, "Tier 2 High GIDA (Score 40.0–49.9)", "Tier 3 Moderate GIDA (Score &lt; 40.0)"))</f>
        <v/>
      </c>
      <c r="V604" s="26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W604" s="28" t="n">
        <v>0.07200000000000001</v>
      </c>
      <c r="X604" s="14" t="n">
        <v>49.94</v>
      </c>
      <c r="Y604" s="14">
        <f>ROUND(MIN(100, (X604/69.91)*100), 2)</f>
        <v/>
      </c>
    </row>
    <row r="605">
      <c r="A605" s="10" t="n">
        <v>2</v>
      </c>
      <c r="B605" s="10" t="n">
        <v>601</v>
      </c>
      <c r="C605" s="10" t="n">
        <v>1601</v>
      </c>
      <c r="D605" s="10" t="inlineStr">
        <is>
          <t>0405811012</t>
        </is>
      </c>
      <c r="E605" s="26" t="inlineStr">
        <is>
          <t>Region IV-A (CALABARZON)</t>
        </is>
      </c>
      <c r="F605" s="26" t="inlineStr">
        <is>
          <t>Rizal</t>
        </is>
      </c>
      <c r="G605" s="26" t="inlineStr">
        <is>
          <t>San Mateo</t>
        </is>
      </c>
      <c r="H605" s="26" t="inlineStr">
        <is>
          <t>Banaba</t>
        </is>
      </c>
      <c r="I605" s="27" t="n">
        <v>14.672623</v>
      </c>
      <c r="J605" s="27" t="n">
        <v>121.112808</v>
      </c>
      <c r="K605" s="10" t="inlineStr">
        <is>
          <t>U</t>
        </is>
      </c>
      <c r="L605" s="12" t="n">
        <v>26718</v>
      </c>
      <c r="M605" s="14" t="n">
        <v>3.6</v>
      </c>
      <c r="N605" s="12">
        <f>ROUND(L605/M605, 0)</f>
        <v/>
      </c>
      <c r="O605" s="12">
        <f>ROUND(N605*'Methodology &amp; Assumptions'!$B$5, 0)</f>
        <v/>
      </c>
      <c r="P605" s="10" t="inlineStr">
        <is>
          <t>Single Carrier (Band n50, 100MHz TDD)</t>
        </is>
      </c>
      <c r="Q605" s="13">
        <f>ROUNDUP(O605/'Methodology &amp; Assumptions'!$B$6, 0)</f>
        <v/>
      </c>
      <c r="R605" s="13" t="n">
        <v>1</v>
      </c>
      <c r="S605" s="14" t="n">
        <v>1.62</v>
      </c>
      <c r="T605" s="14" t="n">
        <v>0.43</v>
      </c>
      <c r="U605" s="26">
        <f>IF(X605&gt;='Methodology &amp; Assumptions'!$B$7, "Tier 1 Critical GIDA (Score ≥ 50.0)", IF(X605&gt;='Methodology &amp; Assumptions'!$B$8, "Tier 2 High GIDA (Score 40.0–49.9)", "Tier 3 Moderate GIDA (Score &lt; 40.0)"))</f>
        <v/>
      </c>
      <c r="V605" s="26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W605" s="28" t="n">
        <v>0.07200000000000001</v>
      </c>
      <c r="X605" s="14" t="n">
        <v>49.94</v>
      </c>
      <c r="Y605" s="14">
        <f>ROUND(MIN(100, (X605/69.91)*100), 2)</f>
        <v/>
      </c>
    </row>
    <row r="606">
      <c r="A606" s="10" t="n">
        <v>2</v>
      </c>
      <c r="B606" s="10" t="n">
        <v>602</v>
      </c>
      <c r="C606" s="10" t="n">
        <v>1602</v>
      </c>
      <c r="D606" s="10" t="inlineStr">
        <is>
          <t>1380300013</t>
        </is>
      </c>
      <c r="E606" s="26" t="inlineStr">
        <is>
          <t>National Capital Region (NCR)</t>
        </is>
      </c>
      <c r="F606" s="26" t="inlineStr">
        <is>
          <t>Fourth District (Not a Province)</t>
        </is>
      </c>
      <c r="G606" s="26" t="inlineStr">
        <is>
          <t>City of Makati</t>
        </is>
      </c>
      <c r="H606" s="26" t="inlineStr">
        <is>
          <t>Magallanes</t>
        </is>
      </c>
      <c r="I606" s="27" t="n">
        <v>14.555939</v>
      </c>
      <c r="J606" s="27" t="n">
        <v>121.037263</v>
      </c>
      <c r="K606" s="10" t="inlineStr">
        <is>
          <t>U</t>
        </is>
      </c>
      <c r="L606" s="12" t="n">
        <v>2591</v>
      </c>
      <c r="M606" s="14" t="n">
        <v>3.5</v>
      </c>
      <c r="N606" s="12">
        <f>ROUND(L606/M606, 0)</f>
        <v/>
      </c>
      <c r="O606" s="12">
        <f>ROUND(N606*'Methodology &amp; Assumptions'!$B$5, 0)</f>
        <v/>
      </c>
      <c r="P606" s="10" t="inlineStr">
        <is>
          <t>Single Carrier (Band n50, 100MHz TDD)</t>
        </is>
      </c>
      <c r="Q606" s="13">
        <f>ROUNDUP(O606/'Methodology &amp; Assumptions'!$B$6, 0)</f>
        <v/>
      </c>
      <c r="R606" s="13" t="n">
        <v>1</v>
      </c>
      <c r="S606" s="14" t="n">
        <v>1.22</v>
      </c>
      <c r="T606" s="14" t="n">
        <v>0.28</v>
      </c>
      <c r="U606" s="26">
        <f>IF(X606&gt;='Methodology &amp; Assumptions'!$B$7, "Tier 1 Critical GIDA (Score ≥ 50.0)", IF(X606&gt;='Methodology &amp; Assumptions'!$B$8, "Tier 2 High GIDA (Score 40.0–49.9)", "Tier 3 Moderate GIDA (Score &lt; 40.0)"))</f>
        <v/>
      </c>
      <c r="V606" s="26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W606" s="28" t="n">
        <v>0.109</v>
      </c>
      <c r="X606" s="14" t="n">
        <v>49.94</v>
      </c>
      <c r="Y606" s="14">
        <f>ROUND(MIN(100, (X606/69.91)*100), 2)</f>
        <v/>
      </c>
    </row>
    <row r="607">
      <c r="A607" s="10" t="n">
        <v>2</v>
      </c>
      <c r="B607" s="10" t="n">
        <v>603</v>
      </c>
      <c r="C607" s="10" t="n">
        <v>1603</v>
      </c>
      <c r="D607" s="10" t="inlineStr">
        <is>
          <t>0806016011</t>
        </is>
      </c>
      <c r="E607" s="26" t="inlineStr">
        <is>
          <t>Region VIII (Eastern Visayas)</t>
        </is>
      </c>
      <c r="F607" s="26" t="inlineStr">
        <is>
          <t>Samar</t>
        </is>
      </c>
      <c r="G607" s="26" t="inlineStr">
        <is>
          <t>Santa Margarita</t>
        </is>
      </c>
      <c r="H607" s="26" t="inlineStr">
        <is>
          <t>Campeig</t>
        </is>
      </c>
      <c r="I607" s="27" t="n">
        <v>12.054657</v>
      </c>
      <c r="J607" s="27" t="n">
        <v>124.696552</v>
      </c>
      <c r="K607" s="10" t="inlineStr">
        <is>
          <t>R</t>
        </is>
      </c>
      <c r="L607" s="12" t="n">
        <v>84</v>
      </c>
      <c r="M607" s="14" t="n">
        <v>4.1</v>
      </c>
      <c r="N607" s="12">
        <f>ROUND(L607/M607, 0)</f>
        <v/>
      </c>
      <c r="O607" s="12">
        <f>ROUND(N607*'Methodology &amp; Assumptions'!$B$5, 0)</f>
        <v/>
      </c>
      <c r="P607" s="10" t="inlineStr">
        <is>
          <t>Single Carrier (Band n50, 100MHz TDD)</t>
        </is>
      </c>
      <c r="Q607" s="13">
        <f>ROUNDUP(O607/'Methodology &amp; Assumptions'!$B$6, 0)</f>
        <v/>
      </c>
      <c r="R607" s="13" t="n">
        <v>1</v>
      </c>
      <c r="S607" s="14" t="n">
        <v>83.94</v>
      </c>
      <c r="T607" s="14" t="n">
        <v>83.77</v>
      </c>
      <c r="U607" s="26">
        <f>IF(X607&gt;='Methodology &amp; Assumptions'!$B$7, "Tier 1 Critical GIDA (Score ≥ 50.0)", IF(X607&gt;='Methodology &amp; Assumptions'!$B$8, "Tier 2 High GIDA (Score 40.0–49.9)", "Tier 3 Moderate GIDA (Score &lt; 40.0)"))</f>
        <v/>
      </c>
      <c r="V607" s="26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W607" s="28" t="n">
        <v>0.237</v>
      </c>
      <c r="X607" s="14" t="n">
        <v>49.94</v>
      </c>
      <c r="Y607" s="14">
        <f>ROUND(MIN(100, (X607/69.91)*100), 2)</f>
        <v/>
      </c>
    </row>
    <row r="608">
      <c r="A608" s="10" t="n">
        <v>2</v>
      </c>
      <c r="B608" s="10" t="n">
        <v>604</v>
      </c>
      <c r="C608" s="10" t="n">
        <v>1604</v>
      </c>
      <c r="D608" s="10" t="inlineStr">
        <is>
          <t>0300807008</t>
        </is>
      </c>
      <c r="E608" s="26" t="inlineStr">
        <is>
          <t>Region III (Central Luzon)</t>
        </is>
      </c>
      <c r="F608" s="26" t="inlineStr">
        <is>
          <t>Bataan</t>
        </is>
      </c>
      <c r="G608" s="26" t="inlineStr">
        <is>
          <t>Mariveles</t>
        </is>
      </c>
      <c r="H608" s="26" t="inlineStr">
        <is>
          <t>Poblacion</t>
        </is>
      </c>
      <c r="I608" s="27" t="n">
        <v>14.436121</v>
      </c>
      <c r="J608" s="27" t="n">
        <v>120.484121</v>
      </c>
      <c r="K608" s="10" t="inlineStr">
        <is>
          <t>U</t>
        </is>
      </c>
      <c r="L608" s="12" t="n">
        <v>8835</v>
      </c>
      <c r="M608" s="14" t="n">
        <v>3.6</v>
      </c>
      <c r="N608" s="12">
        <f>ROUND(L608/M608, 0)</f>
        <v/>
      </c>
      <c r="O608" s="12">
        <f>ROUND(N608*'Methodology &amp; Assumptions'!$B$5, 0)</f>
        <v/>
      </c>
      <c r="P608" s="10" t="inlineStr">
        <is>
          <t>Single Carrier (Band n50, 100MHz TDD)</t>
        </is>
      </c>
      <c r="Q608" s="13">
        <f>ROUNDUP(O608/'Methodology &amp; Assumptions'!$B$6, 0)</f>
        <v/>
      </c>
      <c r="R608" s="13" t="n">
        <v>1</v>
      </c>
      <c r="S608" s="14" t="n">
        <v>1.56</v>
      </c>
      <c r="T608" s="14" t="n">
        <v>0.31</v>
      </c>
      <c r="U608" s="26">
        <f>IF(X608&gt;='Methodology &amp; Assumptions'!$B$7, "Tier 1 Critical GIDA (Score ≥ 50.0)", IF(X608&gt;='Methodology &amp; Assumptions'!$B$8, "Tier 2 High GIDA (Score 40.0–49.9)", "Tier 3 Moderate GIDA (Score &lt; 40.0)"))</f>
        <v/>
      </c>
      <c r="V608" s="26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W608" s="28" t="n">
        <v>0.083</v>
      </c>
      <c r="X608" s="14" t="n">
        <v>49.93</v>
      </c>
      <c r="Y608" s="14">
        <f>ROUND(MIN(100, (X608/69.91)*100), 2)</f>
        <v/>
      </c>
    </row>
    <row r="609">
      <c r="A609" s="10" t="n">
        <v>2</v>
      </c>
      <c r="B609" s="10" t="n">
        <v>605</v>
      </c>
      <c r="C609" s="10" t="n">
        <v>1605</v>
      </c>
      <c r="D609" s="10" t="inlineStr">
        <is>
          <t>0300811021</t>
        </is>
      </c>
      <c r="E609" s="26" t="inlineStr">
        <is>
          <t>Region III (Central Luzon)</t>
        </is>
      </c>
      <c r="F609" s="26" t="inlineStr">
        <is>
          <t>Bataan</t>
        </is>
      </c>
      <c r="G609" s="26" t="inlineStr">
        <is>
          <t>Pilar</t>
        </is>
      </c>
      <c r="H609" s="26" t="inlineStr">
        <is>
          <t>Poblacion</t>
        </is>
      </c>
      <c r="I609" s="27" t="n">
        <v>14.667357</v>
      </c>
      <c r="J609" s="27" t="n">
        <v>120.558385</v>
      </c>
      <c r="K609" s="10" t="inlineStr">
        <is>
          <t>R</t>
        </is>
      </c>
      <c r="L609" s="12" t="n">
        <v>1369</v>
      </c>
      <c r="M609" s="14" t="n">
        <v>3.6</v>
      </c>
      <c r="N609" s="12">
        <f>ROUND(L609/M609, 0)</f>
        <v/>
      </c>
      <c r="O609" s="12">
        <f>ROUND(N609*'Methodology &amp; Assumptions'!$B$5, 0)</f>
        <v/>
      </c>
      <c r="P609" s="10" t="inlineStr">
        <is>
          <t>Single Carrier (Band n50, 100MHz TDD)</t>
        </is>
      </c>
      <c r="Q609" s="13">
        <f>ROUNDUP(O609/'Methodology &amp; Assumptions'!$B$6, 0)</f>
        <v/>
      </c>
      <c r="R609" s="13" t="n">
        <v>1</v>
      </c>
      <c r="S609" s="14" t="n">
        <v>2.3</v>
      </c>
      <c r="T609" s="14" t="n">
        <v>0.24</v>
      </c>
      <c r="U609" s="26">
        <f>IF(X609&gt;='Methodology &amp; Assumptions'!$B$7, "Tier 1 Critical GIDA (Score ≥ 50.0)", IF(X609&gt;='Methodology &amp; Assumptions'!$B$8, "Tier 2 High GIDA (Score 40.0–49.9)", "Tier 3 Moderate GIDA (Score &lt; 40.0)"))</f>
        <v/>
      </c>
      <c r="V609" s="26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W609" s="28" t="n">
        <v>0.083</v>
      </c>
      <c r="X609" s="14" t="n">
        <v>49.93</v>
      </c>
      <c r="Y609" s="14">
        <f>ROUND(MIN(100, (X609/69.91)*100), 2)</f>
        <v/>
      </c>
    </row>
    <row r="610">
      <c r="A610" s="10" t="n">
        <v>2</v>
      </c>
      <c r="B610" s="10" t="n">
        <v>606</v>
      </c>
      <c r="C610" s="10" t="n">
        <v>1606</v>
      </c>
      <c r="D610" s="10" t="inlineStr">
        <is>
          <t>PH0001606</t>
        </is>
      </c>
      <c r="E610" s="26" t="inlineStr">
        <is>
          <t>NCR</t>
        </is>
      </c>
      <c r="F610" s="26" t="inlineStr">
        <is>
          <t>Metro Manila</t>
        </is>
      </c>
      <c r="G610" s="26" t="inlineStr">
        <is>
          <t>Caloocan City</t>
        </is>
      </c>
      <c r="H610" s="26" t="inlineStr">
        <is>
          <t>Barangay 3</t>
        </is>
      </c>
      <c r="I610" s="27" t="n">
        <v>14.192853</v>
      </c>
      <c r="J610" s="27" t="n">
        <v>121.891851</v>
      </c>
      <c r="K610" s="10" t="inlineStr">
        <is>
          <t>R</t>
        </is>
      </c>
      <c r="L610" s="12" t="n">
        <v>2279</v>
      </c>
      <c r="M610" s="14" t="n">
        <v>3.8</v>
      </c>
      <c r="N610" s="12">
        <f>ROUND(L610/M610, 0)</f>
        <v/>
      </c>
      <c r="O610" s="12">
        <f>ROUND(N610*'Methodology &amp; Assumptions'!$B$5, 0)</f>
        <v/>
      </c>
      <c r="P610" s="10" t="inlineStr">
        <is>
          <t>Single Carrier (Band n50, 100MHz TDD)</t>
        </is>
      </c>
      <c r="Q610" s="13">
        <f>ROUNDUP(O610/'Methodology &amp; Assumptions'!$B$6, 0)</f>
        <v/>
      </c>
      <c r="R610" s="13" t="n">
        <v>1</v>
      </c>
      <c r="S610" s="14" t="n">
        <v>18.67</v>
      </c>
      <c r="T610" s="14" t="n">
        <v>21.44</v>
      </c>
      <c r="U610" s="26">
        <f>IF(X610&gt;='Methodology &amp; Assumptions'!$B$7, "Tier 1 Critical GIDA (Score ≥ 50.0)", IF(X610&gt;='Methodology &amp; Assumptions'!$B$8, "Tier 2 High GIDA (Score 40.0–49.9)", "Tier 3 Moderate GIDA (Score &lt; 40.0)"))</f>
        <v/>
      </c>
      <c r="V610" s="26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W610" s="28" t="n">
        <v>0.011</v>
      </c>
      <c r="X610" s="14" t="n">
        <v>49.93</v>
      </c>
      <c r="Y610" s="14">
        <f>ROUND(MIN(100, (X610/69.91)*100), 2)</f>
        <v/>
      </c>
    </row>
    <row r="611">
      <c r="A611" s="10" t="n">
        <v>2</v>
      </c>
      <c r="B611" s="10" t="n">
        <v>607</v>
      </c>
      <c r="C611" s="10" t="n">
        <v>1607</v>
      </c>
      <c r="D611" s="10" t="inlineStr">
        <is>
          <t>1381100115</t>
        </is>
      </c>
      <c r="E611" s="26" t="inlineStr">
        <is>
          <t>National Capital Region (NCR)</t>
        </is>
      </c>
      <c r="F611" s="26" t="inlineStr">
        <is>
          <t>Fourth District (Not a Province)</t>
        </is>
      </c>
      <c r="G611" s="26" t="inlineStr">
        <is>
          <t>Pasay City</t>
        </is>
      </c>
      <c r="H611" s="26" t="inlineStr">
        <is>
          <t>Barangay 115</t>
        </is>
      </c>
      <c r="I611" s="27" t="n">
        <v>14.525595</v>
      </c>
      <c r="J611" s="27" t="n">
        <v>121.041929</v>
      </c>
      <c r="K611" s="10" t="inlineStr">
        <is>
          <t>U</t>
        </is>
      </c>
      <c r="L611" s="12" t="n">
        <v>1275</v>
      </c>
      <c r="M611" s="14" t="n">
        <v>3.4</v>
      </c>
      <c r="N611" s="12">
        <f>ROUND(L611/M611, 0)</f>
        <v/>
      </c>
      <c r="O611" s="12">
        <f>ROUND(N611*'Methodology &amp; Assumptions'!$B$5, 0)</f>
        <v/>
      </c>
      <c r="P611" s="10" t="inlineStr">
        <is>
          <t>Single Carrier (Band n50, 100MHz TDD)</t>
        </is>
      </c>
      <c r="Q611" s="13">
        <f>ROUNDUP(O611/'Methodology &amp; Assumptions'!$B$6, 0)</f>
        <v/>
      </c>
      <c r="R611" s="13" t="n">
        <v>1</v>
      </c>
      <c r="S611" s="14" t="n">
        <v>1.25</v>
      </c>
      <c r="T611" s="14" t="n">
        <v>1.07</v>
      </c>
      <c r="U611" s="26">
        <f>IF(X611&gt;='Methodology &amp; Assumptions'!$B$7, "Tier 1 Critical GIDA (Score ≥ 50.0)", IF(X611&gt;='Methodology &amp; Assumptions'!$B$8, "Tier 2 High GIDA (Score 40.0–49.9)", "Tier 3 Moderate GIDA (Score &lt; 40.0)"))</f>
        <v/>
      </c>
      <c r="V611" s="26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W611" s="28" t="n">
        <v>0.109</v>
      </c>
      <c r="X611" s="14" t="n">
        <v>49.93</v>
      </c>
      <c r="Y611" s="14">
        <f>ROUND(MIN(100, (X611/69.91)*100), 2)</f>
        <v/>
      </c>
    </row>
    <row r="612">
      <c r="A612" s="10" t="n">
        <v>2</v>
      </c>
      <c r="B612" s="10" t="n">
        <v>608</v>
      </c>
      <c r="C612" s="10" t="n">
        <v>1608</v>
      </c>
      <c r="D612" s="10" t="inlineStr">
        <is>
          <t>1381100147</t>
        </is>
      </c>
      <c r="E612" s="26" t="inlineStr">
        <is>
          <t>National Capital Region (NCR)</t>
        </is>
      </c>
      <c r="F612" s="26" t="inlineStr">
        <is>
          <t>Fourth District (Not a Province)</t>
        </is>
      </c>
      <c r="G612" s="26" t="inlineStr">
        <is>
          <t>Pasay City</t>
        </is>
      </c>
      <c r="H612" s="26" t="inlineStr">
        <is>
          <t>Barangay 147</t>
        </is>
      </c>
      <c r="I612" s="27" t="n">
        <v>14.526762</v>
      </c>
      <c r="J612" s="27" t="n">
        <v>120.963532</v>
      </c>
      <c r="K612" s="10" t="inlineStr">
        <is>
          <t>U</t>
        </is>
      </c>
      <c r="L612" s="12" t="n">
        <v>1500</v>
      </c>
      <c r="M612" s="14" t="n">
        <v>3.4</v>
      </c>
      <c r="N612" s="12">
        <f>ROUND(L612/M612, 0)</f>
        <v/>
      </c>
      <c r="O612" s="12">
        <f>ROUND(N612*'Methodology &amp; Assumptions'!$B$5, 0)</f>
        <v/>
      </c>
      <c r="P612" s="10" t="inlineStr">
        <is>
          <t>Single Carrier (Band n50, 100MHz TDD)</t>
        </is>
      </c>
      <c r="Q612" s="13">
        <f>ROUNDUP(O612/'Methodology &amp; Assumptions'!$B$6, 0)</f>
        <v/>
      </c>
      <c r="R612" s="13" t="n">
        <v>1</v>
      </c>
      <c r="S612" s="14" t="n">
        <v>3.62</v>
      </c>
      <c r="T612" s="14" t="n">
        <v>3.61</v>
      </c>
      <c r="U612" s="26">
        <f>IF(X612&gt;='Methodology &amp; Assumptions'!$B$7, "Tier 1 Critical GIDA (Score ≥ 50.0)", IF(X612&gt;='Methodology &amp; Assumptions'!$B$8, "Tier 2 High GIDA (Score 40.0–49.9)", "Tier 3 Moderate GIDA (Score &lt; 40.0)"))</f>
        <v/>
      </c>
      <c r="V612" s="26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W612" s="28" t="n">
        <v>0.109</v>
      </c>
      <c r="X612" s="14" t="n">
        <v>49.92</v>
      </c>
      <c r="Y612" s="14">
        <f>ROUND(MIN(100, (X612/69.91)*100), 2)</f>
        <v/>
      </c>
    </row>
    <row r="613">
      <c r="A613" s="10" t="n">
        <v>2</v>
      </c>
      <c r="B613" s="10" t="n">
        <v>609</v>
      </c>
      <c r="C613" s="10" t="n">
        <v>1609</v>
      </c>
      <c r="D613" s="10" t="inlineStr">
        <is>
          <t>0405801013</t>
        </is>
      </c>
      <c r="E613" s="26" t="inlineStr">
        <is>
          <t>Region IV-A (CALABARZON)</t>
        </is>
      </c>
      <c r="F613" s="26" t="inlineStr">
        <is>
          <t>Rizal</t>
        </is>
      </c>
      <c r="G613" s="26" t="inlineStr">
        <is>
          <t>Angono</t>
        </is>
      </c>
      <c r="H613" s="26" t="inlineStr">
        <is>
          <t>Santo Niño</t>
        </is>
      </c>
      <c r="I613" s="27" t="n">
        <v>14.532207</v>
      </c>
      <c r="J613" s="27" t="n">
        <v>121.164425</v>
      </c>
      <c r="K613" s="10" t="inlineStr">
        <is>
          <t>R</t>
        </is>
      </c>
      <c r="L613" s="12" t="n">
        <v>2316</v>
      </c>
      <c r="M613" s="14" t="n">
        <v>3.6</v>
      </c>
      <c r="N613" s="12">
        <f>ROUND(L613/M613, 0)</f>
        <v/>
      </c>
      <c r="O613" s="12">
        <f>ROUND(N613*'Methodology &amp; Assumptions'!$B$5, 0)</f>
        <v/>
      </c>
      <c r="P613" s="10" t="inlineStr">
        <is>
          <t>Single Carrier (Band n50, 100MHz TDD)</t>
        </is>
      </c>
      <c r="Q613" s="13">
        <f>ROUNDUP(O613/'Methodology &amp; Assumptions'!$B$6, 0)</f>
        <v/>
      </c>
      <c r="R613" s="13" t="n">
        <v>1</v>
      </c>
      <c r="S613" s="14" t="n">
        <v>1.17</v>
      </c>
      <c r="T613" s="14" t="n">
        <v>1.16</v>
      </c>
      <c r="U613" s="26">
        <f>IF(X613&gt;='Methodology &amp; Assumptions'!$B$7, "Tier 1 Critical GIDA (Score ≥ 50.0)", IF(X613&gt;='Methodology &amp; Assumptions'!$B$8, "Tier 2 High GIDA (Score 40.0–49.9)", "Tier 3 Moderate GIDA (Score &lt; 40.0)"))</f>
        <v/>
      </c>
      <c r="V613" s="26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W613" s="28" t="n">
        <v>0.07200000000000001</v>
      </c>
      <c r="X613" s="14" t="n">
        <v>49.92</v>
      </c>
      <c r="Y613" s="14">
        <f>ROUND(MIN(100, (X613/69.91)*100), 2)</f>
        <v/>
      </c>
    </row>
    <row r="614">
      <c r="A614" s="10" t="n">
        <v>2</v>
      </c>
      <c r="B614" s="10" t="n">
        <v>610</v>
      </c>
      <c r="C614" s="10" t="n">
        <v>1610</v>
      </c>
      <c r="D614" s="10" t="inlineStr">
        <is>
          <t>0600409008</t>
        </is>
      </c>
      <c r="E614" s="26" t="inlineStr">
        <is>
          <t>Region VI (Western Visayas)</t>
        </is>
      </c>
      <c r="F614" s="26" t="inlineStr">
        <is>
          <t>Aklan</t>
        </is>
      </c>
      <c r="G614" s="26" t="inlineStr">
        <is>
          <t>Libacao</t>
        </is>
      </c>
      <c r="H614" s="26" t="inlineStr">
        <is>
          <t>Casit-an</t>
        </is>
      </c>
      <c r="I614" s="27" t="n">
        <v>11.47195</v>
      </c>
      <c r="J614" s="27" t="n">
        <v>122.308044</v>
      </c>
      <c r="K614" s="10" t="inlineStr">
        <is>
          <t>R</t>
        </is>
      </c>
      <c r="L614" s="12" t="n">
        <v>360</v>
      </c>
      <c r="M614" s="14" t="n">
        <v>3.9</v>
      </c>
      <c r="N614" s="12">
        <f>ROUND(L614/M614, 0)</f>
        <v/>
      </c>
      <c r="O614" s="12">
        <f>ROUND(N614*'Methodology &amp; Assumptions'!$B$5, 0)</f>
        <v/>
      </c>
      <c r="P614" s="10" t="inlineStr">
        <is>
          <t>Single Carrier (Band n50, 100MHz TDD)</t>
        </is>
      </c>
      <c r="Q614" s="13">
        <f>ROUNDUP(O614/'Methodology &amp; Assumptions'!$B$6, 0)</f>
        <v/>
      </c>
      <c r="R614" s="13" t="n">
        <v>1</v>
      </c>
      <c r="S614" s="14" t="n">
        <v>12</v>
      </c>
      <c r="T614" s="14" t="n">
        <v>11.94</v>
      </c>
      <c r="U614" s="26">
        <f>IF(X614&gt;='Methodology &amp; Assumptions'!$B$7, "Tier 1 Critical GIDA (Score ≥ 50.0)", IF(X614&gt;='Methodology &amp; Assumptions'!$B$8, "Tier 2 High GIDA (Score 40.0–49.9)", "Tier 3 Moderate GIDA (Score &lt; 40.0)"))</f>
        <v/>
      </c>
      <c r="V614" s="26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W614" s="28" t="n">
        <v>0.237</v>
      </c>
      <c r="X614" s="14" t="n">
        <v>49.92</v>
      </c>
      <c r="Y614" s="14">
        <f>ROUND(MIN(100, (X614/69.91)*100), 2)</f>
        <v/>
      </c>
    </row>
    <row r="615">
      <c r="A615" s="10" t="n">
        <v>2</v>
      </c>
      <c r="B615" s="10" t="n">
        <v>611</v>
      </c>
      <c r="C615" s="10" t="n">
        <v>1611</v>
      </c>
      <c r="D615" s="10" t="inlineStr">
        <is>
          <t>1380610044</t>
        </is>
      </c>
      <c r="E615" s="26" t="inlineStr">
        <is>
          <t>National Capital Region (NCR)</t>
        </is>
      </c>
      <c r="F615" s="26" t="inlineStr">
        <is>
          <t>First District (Not a Province)</t>
        </is>
      </c>
      <c r="G615" s="26" t="inlineStr">
        <is>
          <t>City of Manila</t>
        </is>
      </c>
      <c r="H615" s="26" t="inlineStr">
        <is>
          <t>Barangay 729</t>
        </is>
      </c>
      <c r="I615" s="27" t="n">
        <v>13.165026</v>
      </c>
      <c r="J615" s="27" t="n">
        <v>121.722391</v>
      </c>
      <c r="K615" s="10" t="inlineStr">
        <is>
          <t>U</t>
        </is>
      </c>
      <c r="L615" s="12" t="n">
        <v>897</v>
      </c>
      <c r="M615" s="14" t="n">
        <v>3.9</v>
      </c>
      <c r="N615" s="12">
        <f>ROUND(L615/M615, 0)</f>
        <v/>
      </c>
      <c r="O615" s="12">
        <f>ROUND(N615*'Methodology &amp; Assumptions'!$B$5, 0)</f>
        <v/>
      </c>
      <c r="P615" s="10" t="inlineStr">
        <is>
          <t>Single Carrier (Band n50, 100MHz TDD)</t>
        </is>
      </c>
      <c r="Q615" s="13">
        <f>ROUNDUP(O615/'Methodology &amp; Assumptions'!$B$6, 0)</f>
        <v/>
      </c>
      <c r="R615" s="13" t="n">
        <v>1</v>
      </c>
      <c r="S615" s="14" t="n">
        <v>25.91</v>
      </c>
      <c r="T615" s="14" t="n">
        <v>29.79</v>
      </c>
      <c r="U615" s="26">
        <f>IF(X615&gt;='Methodology &amp; Assumptions'!$B$7, "Tier 1 Critical GIDA (Score ≥ 50.0)", IF(X615&gt;='Methodology &amp; Assumptions'!$B$8, "Tier 2 High GIDA (Score 40.0–49.9)", "Tier 3 Moderate GIDA (Score &lt; 40.0)"))</f>
        <v/>
      </c>
      <c r="V615" s="26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W615" s="28" t="n">
        <v>0.109</v>
      </c>
      <c r="X615" s="14" t="n">
        <v>49.92</v>
      </c>
      <c r="Y615" s="14">
        <f>ROUND(MIN(100, (X615/69.91)*100), 2)</f>
        <v/>
      </c>
    </row>
    <row r="616">
      <c r="A616" s="10" t="n">
        <v>2</v>
      </c>
      <c r="B616" s="10" t="n">
        <v>612</v>
      </c>
      <c r="C616" s="10" t="n">
        <v>1612</v>
      </c>
      <c r="D616" s="10" t="inlineStr">
        <is>
          <t>0806014015</t>
        </is>
      </c>
      <c r="E616" s="26" t="inlineStr">
        <is>
          <t>Region VIII (Eastern Visayas)</t>
        </is>
      </c>
      <c r="F616" s="26" t="inlineStr">
        <is>
          <t>Samar</t>
        </is>
      </c>
      <c r="G616" s="26" t="inlineStr">
        <is>
          <t>San Jose De Buan</t>
        </is>
      </c>
      <c r="H616" s="26" t="inlineStr">
        <is>
          <t>Hibaca-an</t>
        </is>
      </c>
      <c r="I616" s="27" t="n">
        <v>12.01606</v>
      </c>
      <c r="J616" s="27" t="n">
        <v>124.9935</v>
      </c>
      <c r="K616" s="10" t="inlineStr">
        <is>
          <t>R</t>
        </is>
      </c>
      <c r="L616" s="12" t="n">
        <v>449</v>
      </c>
      <c r="M616" s="14" t="n">
        <v>4.1</v>
      </c>
      <c r="N616" s="12">
        <f>ROUND(L616/M616, 0)</f>
        <v/>
      </c>
      <c r="O616" s="12">
        <f>ROUND(N616*'Methodology &amp; Assumptions'!$B$5, 0)</f>
        <v/>
      </c>
      <c r="P616" s="10" t="inlineStr">
        <is>
          <t>Single Carrier (Band n50, 100MHz TDD)</t>
        </is>
      </c>
      <c r="Q616" s="13">
        <f>ROUNDUP(O616/'Methodology &amp; Assumptions'!$B$6, 0)</f>
        <v/>
      </c>
      <c r="R616" s="13" t="n">
        <v>1</v>
      </c>
      <c r="S616" s="14" t="n">
        <v>86.26000000000001</v>
      </c>
      <c r="T616" s="14" t="n">
        <v>86.19</v>
      </c>
      <c r="U616" s="26">
        <f>IF(X616&gt;='Methodology &amp; Assumptions'!$B$7, "Tier 1 Critical GIDA (Score ≥ 50.0)", IF(X616&gt;='Methodology &amp; Assumptions'!$B$8, "Tier 2 High GIDA (Score 40.0–49.9)", "Tier 3 Moderate GIDA (Score &lt; 40.0)"))</f>
        <v/>
      </c>
      <c r="V616" s="26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W616" s="28" t="n">
        <v>0.237</v>
      </c>
      <c r="X616" s="14" t="n">
        <v>49.92</v>
      </c>
      <c r="Y616" s="14">
        <f>ROUND(MIN(100, (X616/69.91)*100), 2)</f>
        <v/>
      </c>
    </row>
    <row r="617">
      <c r="A617" s="10" t="n">
        <v>2</v>
      </c>
      <c r="B617" s="10" t="n">
        <v>613</v>
      </c>
      <c r="C617" s="10" t="n">
        <v>1613</v>
      </c>
      <c r="D617" s="10" t="inlineStr">
        <is>
          <t>PH0001613</t>
        </is>
      </c>
      <c r="E617" s="26" t="inlineStr">
        <is>
          <t>XI</t>
        </is>
      </c>
      <c r="F617" s="26" t="inlineStr">
        <is>
          <t>Davao Del Sur</t>
        </is>
      </c>
      <c r="G617" s="26" t="inlineStr">
        <is>
          <t>Davao City</t>
        </is>
      </c>
      <c r="H617" s="26" t="inlineStr">
        <is>
          <t>Barangay 38-D (Pob.)</t>
        </is>
      </c>
      <c r="I617" s="27" t="n">
        <v>7.177301</v>
      </c>
      <c r="J617" s="27" t="n">
        <v>125.480994</v>
      </c>
      <c r="K617" s="10" t="inlineStr">
        <is>
          <t>R</t>
        </is>
      </c>
      <c r="L617" s="12" t="n">
        <v>2280</v>
      </c>
      <c r="M617" s="14" t="n">
        <v>3.4</v>
      </c>
      <c r="N617" s="12">
        <f>ROUND(L617/M617, 0)</f>
        <v/>
      </c>
      <c r="O617" s="12">
        <f>ROUND(N617*'Methodology &amp; Assumptions'!$B$5, 0)</f>
        <v/>
      </c>
      <c r="P617" s="10" t="inlineStr">
        <is>
          <t>Single Carrier (Band n50, 100MHz TDD)</t>
        </is>
      </c>
      <c r="Q617" s="13">
        <f>ROUNDUP(O617/'Methodology &amp; Assumptions'!$B$6, 0)</f>
        <v/>
      </c>
      <c r="R617" s="13" t="n">
        <v>1</v>
      </c>
      <c r="S617" s="14" t="n">
        <v>3.04</v>
      </c>
      <c r="T617" s="14" t="n">
        <v>1.17</v>
      </c>
      <c r="U617" s="26">
        <f>IF(X617&gt;='Methodology &amp; Assumptions'!$B$7, "Tier 1 Critical GIDA (Score ≥ 50.0)", IF(X617&gt;='Methodology &amp; Assumptions'!$B$8, "Tier 2 High GIDA (Score 40.0–49.9)", "Tier 3 Moderate GIDA (Score &lt; 40.0)"))</f>
        <v/>
      </c>
      <c r="V617" s="26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W617" s="28" t="n">
        <v>0.119</v>
      </c>
      <c r="X617" s="14" t="n">
        <v>49.92</v>
      </c>
      <c r="Y617" s="14">
        <f>ROUND(MIN(100, (X617/69.91)*100), 2)</f>
        <v/>
      </c>
    </row>
    <row r="618">
      <c r="A618" s="10" t="n">
        <v>2</v>
      </c>
      <c r="B618" s="10" t="n">
        <v>614</v>
      </c>
      <c r="C618" s="10" t="n">
        <v>1614</v>
      </c>
      <c r="D618" s="10" t="inlineStr">
        <is>
          <t>0102934038</t>
        </is>
      </c>
      <c r="E618" s="26" t="inlineStr">
        <is>
          <t>Region I (Ilocos Region)</t>
        </is>
      </c>
      <c r="F618" s="26" t="inlineStr">
        <is>
          <t>Ilocos Sur</t>
        </is>
      </c>
      <c r="G618" s="26" t="inlineStr">
        <is>
          <t>City of Vigan</t>
        </is>
      </c>
      <c r="H618" s="26" t="inlineStr">
        <is>
          <t>Barangay VII</t>
        </is>
      </c>
      <c r="I618" s="27" t="n">
        <v>17.573125</v>
      </c>
      <c r="J618" s="27" t="n">
        <v>120.382558</v>
      </c>
      <c r="K618" s="10" t="inlineStr">
        <is>
          <t>R</t>
        </is>
      </c>
      <c r="L618" s="12" t="n">
        <v>1628</v>
      </c>
      <c r="M618" s="14" t="n">
        <v>3.8</v>
      </c>
      <c r="N618" s="12">
        <f>ROUND(L618/M618, 0)</f>
        <v/>
      </c>
      <c r="O618" s="12">
        <f>ROUND(N618*'Methodology &amp; Assumptions'!$B$5, 0)</f>
        <v/>
      </c>
      <c r="P618" s="10" t="inlineStr">
        <is>
          <t>Single Carrier (Band n50, 100MHz TDD)</t>
        </is>
      </c>
      <c r="Q618" s="13">
        <f>ROUNDUP(O618/'Methodology &amp; Assumptions'!$B$6, 0)</f>
        <v/>
      </c>
      <c r="R618" s="13" t="n">
        <v>1</v>
      </c>
      <c r="S618" s="14" t="n">
        <v>2.42</v>
      </c>
      <c r="T618" s="14" t="n">
        <v>1.25</v>
      </c>
      <c r="U618" s="26">
        <f>IF(X618&gt;='Methodology &amp; Assumptions'!$B$7, "Tier 1 Critical GIDA (Score ≥ 50.0)", IF(X618&gt;='Methodology &amp; Assumptions'!$B$8, "Tier 2 High GIDA (Score 40.0–49.9)", "Tier 3 Moderate GIDA (Score &lt; 40.0)"))</f>
        <v/>
      </c>
      <c r="V618" s="26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W618" s="28" t="n">
        <v>0.083</v>
      </c>
      <c r="X618" s="14" t="n">
        <v>49.91</v>
      </c>
      <c r="Y618" s="14">
        <f>ROUND(MIN(100, (X618/69.91)*100), 2)</f>
        <v/>
      </c>
    </row>
    <row r="619">
      <c r="A619" s="10" t="n">
        <v>2</v>
      </c>
      <c r="B619" s="10" t="n">
        <v>615</v>
      </c>
      <c r="C619" s="10" t="n">
        <v>1615</v>
      </c>
      <c r="D619" s="10" t="inlineStr">
        <is>
          <t>PH0001615</t>
        </is>
      </c>
      <c r="E619" s="26" t="inlineStr">
        <is>
          <t>VI</t>
        </is>
      </c>
      <c r="F619" s="26" t="inlineStr">
        <is>
          <t>Iloilo</t>
        </is>
      </c>
      <c r="G619" s="26" t="inlineStr">
        <is>
          <t>Iloilo City</t>
        </is>
      </c>
      <c r="H619" s="26" t="inlineStr">
        <is>
          <t>Jereos</t>
        </is>
      </c>
      <c r="I619" s="27" t="n">
        <v>10.677646</v>
      </c>
      <c r="J619" s="27" t="n">
        <v>122.437072</v>
      </c>
      <c r="K619" s="10" t="inlineStr">
        <is>
          <t>R</t>
        </is>
      </c>
      <c r="L619" s="12" t="n">
        <v>2230</v>
      </c>
      <c r="M619" s="14" t="n">
        <v>3.8</v>
      </c>
      <c r="N619" s="12">
        <f>ROUND(L619/M619, 0)</f>
        <v/>
      </c>
      <c r="O619" s="12">
        <f>ROUND(N619*'Methodology &amp; Assumptions'!$B$5, 0)</f>
        <v/>
      </c>
      <c r="P619" s="10" t="inlineStr">
        <is>
          <t>Single Carrier (Band n50, 100MHz TDD)</t>
        </is>
      </c>
      <c r="Q619" s="13">
        <f>ROUNDUP(O619/'Methodology &amp; Assumptions'!$B$6, 0)</f>
        <v/>
      </c>
      <c r="R619" s="13" t="n">
        <v>1</v>
      </c>
      <c r="S619" s="14" t="n">
        <v>5.01</v>
      </c>
      <c r="T619" s="14" t="n">
        <v>0.77</v>
      </c>
      <c r="U619" s="26">
        <f>IF(X619&gt;='Methodology &amp; Assumptions'!$B$7, "Tier 1 Critical GIDA (Score ≥ 50.0)", IF(X619&gt;='Methodology &amp; Assumptions'!$B$8, "Tier 2 High GIDA (Score 40.0–49.9)", "Tier 3 Moderate GIDA (Score &lt; 40.0)"))</f>
        <v/>
      </c>
      <c r="V619" s="26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W619" s="28" t="n">
        <v>0.156</v>
      </c>
      <c r="X619" s="14" t="n">
        <v>49.91</v>
      </c>
      <c r="Y619" s="14">
        <f>ROUND(MIN(100, (X619/69.91)*100), 2)</f>
        <v/>
      </c>
    </row>
    <row r="620">
      <c r="A620" s="10" t="n">
        <v>2</v>
      </c>
      <c r="B620" s="10" t="n">
        <v>616</v>
      </c>
      <c r="C620" s="10" t="n">
        <v>1616</v>
      </c>
      <c r="D620" s="10" t="inlineStr">
        <is>
          <t>0102934039</t>
        </is>
      </c>
      <c r="E620" s="26" t="inlineStr">
        <is>
          <t>Region I (Ilocos Region)</t>
        </is>
      </c>
      <c r="F620" s="26" t="inlineStr">
        <is>
          <t>Ilocos Sur</t>
        </is>
      </c>
      <c r="G620" s="26" t="inlineStr">
        <is>
          <t>City of Vigan</t>
        </is>
      </c>
      <c r="H620" s="26" t="inlineStr">
        <is>
          <t>Barangay VIII</t>
        </is>
      </c>
      <c r="I620" s="27" t="n">
        <v>17.569944</v>
      </c>
      <c r="J620" s="27" t="n">
        <v>120.391307</v>
      </c>
      <c r="K620" s="10" t="inlineStr">
        <is>
          <t>U</t>
        </is>
      </c>
      <c r="L620" s="12" t="n">
        <v>1234</v>
      </c>
      <c r="M620" s="14" t="n">
        <v>3.8</v>
      </c>
      <c r="N620" s="12">
        <f>ROUND(L620/M620, 0)</f>
        <v/>
      </c>
      <c r="O620" s="12">
        <f>ROUND(N620*'Methodology &amp; Assumptions'!$B$5, 0)</f>
        <v/>
      </c>
      <c r="P620" s="10" t="inlineStr">
        <is>
          <t>Single Carrier (Band n50, 100MHz TDD)</t>
        </is>
      </c>
      <c r="Q620" s="13">
        <f>ROUNDUP(O620/'Methodology &amp; Assumptions'!$B$6, 0)</f>
        <v/>
      </c>
      <c r="R620" s="13" t="n">
        <v>1</v>
      </c>
      <c r="S620" s="14" t="n">
        <v>2.63</v>
      </c>
      <c r="T620" s="14" t="n">
        <v>1.16</v>
      </c>
      <c r="U620" s="26">
        <f>IF(X620&gt;='Methodology &amp; Assumptions'!$B$7, "Tier 1 Critical GIDA (Score ≥ 50.0)", IF(X620&gt;='Methodology &amp; Assumptions'!$B$8, "Tier 2 High GIDA (Score 40.0–49.9)", "Tier 3 Moderate GIDA (Score &lt; 40.0)"))</f>
        <v/>
      </c>
      <c r="V620" s="26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W620" s="28" t="n">
        <v>0.083</v>
      </c>
      <c r="X620" s="14" t="n">
        <v>49.91</v>
      </c>
      <c r="Y620" s="14">
        <f>ROUND(MIN(100, (X620/69.91)*100), 2)</f>
        <v/>
      </c>
    </row>
    <row r="621">
      <c r="A621" s="10" t="n">
        <v>2</v>
      </c>
      <c r="B621" s="10" t="n">
        <v>617</v>
      </c>
      <c r="C621" s="10" t="n">
        <v>1617</v>
      </c>
      <c r="D621" s="10" t="inlineStr">
        <is>
          <t>0200903001</t>
        </is>
      </c>
      <c r="E621" s="26" t="inlineStr">
        <is>
          <t>Region II (Cagayan Valley)</t>
        </is>
      </c>
      <c r="F621" s="26" t="inlineStr">
        <is>
          <t>Batanes</t>
        </is>
      </c>
      <c r="G621" s="26" t="inlineStr">
        <is>
          <t>Ivana</t>
        </is>
      </c>
      <c r="H621" s="26" t="inlineStr">
        <is>
          <t>Radiwan</t>
        </is>
      </c>
      <c r="I621" s="27" t="n">
        <v>20.367929</v>
      </c>
      <c r="J621" s="27" t="n">
        <v>121.914394</v>
      </c>
      <c r="K621" s="10" t="inlineStr">
        <is>
          <t>R</t>
        </is>
      </c>
      <c r="L621" s="12" t="n">
        <v>391</v>
      </c>
      <c r="M621" s="14" t="n">
        <v>3</v>
      </c>
      <c r="N621" s="12">
        <f>ROUND(L621/M621, 0)</f>
        <v/>
      </c>
      <c r="O621" s="12">
        <f>ROUND(N621*'Methodology &amp; Assumptions'!$B$5, 0)</f>
        <v/>
      </c>
      <c r="P621" s="10" t="inlineStr">
        <is>
          <t>Single Carrier (Band n50, 100MHz TDD)</t>
        </is>
      </c>
      <c r="Q621" s="13">
        <f>ROUNDUP(O621/'Methodology &amp; Assumptions'!$B$6, 0)</f>
        <v/>
      </c>
      <c r="R621" s="13" t="n">
        <v>1</v>
      </c>
      <c r="S621" s="14" t="n">
        <v>213.4</v>
      </c>
      <c r="T621" s="14" t="n">
        <v>208.97</v>
      </c>
      <c r="U621" s="26">
        <f>IF(X621&gt;='Methodology &amp; Assumptions'!$B$7, "Tier 1 Critical GIDA (Score ≥ 50.0)", IF(X621&gt;='Methodology &amp; Assumptions'!$B$8, "Tier 2 High GIDA (Score 40.0–49.9)", "Tier 3 Moderate GIDA (Score &lt; 40.0)"))</f>
        <v/>
      </c>
      <c r="V621" s="26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W621" s="28" t="n">
        <v>0.083</v>
      </c>
      <c r="X621" s="14" t="n">
        <v>49.91</v>
      </c>
      <c r="Y621" s="14">
        <f>ROUND(MIN(100, (X621/69.91)*100), 2)</f>
        <v/>
      </c>
    </row>
    <row r="622">
      <c r="A622" s="10" t="n">
        <v>2</v>
      </c>
      <c r="B622" s="10" t="n">
        <v>618</v>
      </c>
      <c r="C622" s="10" t="n">
        <v>1618</v>
      </c>
      <c r="D622" s="10" t="inlineStr">
        <is>
          <t>1380300029</t>
        </is>
      </c>
      <c r="E622" s="26" t="inlineStr">
        <is>
          <t>National Capital Region (NCR)</t>
        </is>
      </c>
      <c r="F622" s="26" t="inlineStr">
        <is>
          <t>Fourth District (Not a Province)</t>
        </is>
      </c>
      <c r="G622" s="26" t="inlineStr">
        <is>
          <t>City of Makati</t>
        </is>
      </c>
      <c r="H622" s="26" t="inlineStr">
        <is>
          <t>Tejeros</t>
        </is>
      </c>
      <c r="I622" s="27" t="n">
        <v>14.560137</v>
      </c>
      <c r="J622" s="27" t="n">
        <v>121.027326</v>
      </c>
      <c r="K622" s="10" t="inlineStr">
        <is>
          <t>U</t>
        </is>
      </c>
      <c r="L622" s="12" t="n">
        <v>7440</v>
      </c>
      <c r="M622" s="14" t="n">
        <v>3.5</v>
      </c>
      <c r="N622" s="12">
        <f>ROUND(L622/M622, 0)</f>
        <v/>
      </c>
      <c r="O622" s="12">
        <f>ROUND(N622*'Methodology &amp; Assumptions'!$B$5, 0)</f>
        <v/>
      </c>
      <c r="P622" s="10" t="inlineStr">
        <is>
          <t>Single Carrier (Band n50, 100MHz TDD)</t>
        </is>
      </c>
      <c r="Q622" s="13">
        <f>ROUNDUP(O622/'Methodology &amp; Assumptions'!$B$6, 0)</f>
        <v/>
      </c>
      <c r="R622" s="13" t="n">
        <v>1</v>
      </c>
      <c r="S622" s="14" t="n">
        <v>0.09</v>
      </c>
      <c r="T622" s="14" t="n">
        <v>0.03</v>
      </c>
      <c r="U622" s="26">
        <f>IF(X622&gt;='Methodology &amp; Assumptions'!$B$7, "Tier 1 Critical GIDA (Score ≥ 50.0)", IF(X622&gt;='Methodology &amp; Assumptions'!$B$8, "Tier 2 High GIDA (Score 40.0–49.9)", "Tier 3 Moderate GIDA (Score &lt; 40.0)"))</f>
        <v/>
      </c>
      <c r="V622" s="26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W622" s="28" t="n">
        <v>0.109</v>
      </c>
      <c r="X622" s="14" t="n">
        <v>49.9</v>
      </c>
      <c r="Y622" s="14">
        <f>ROUND(MIN(100, (X622/69.91)*100), 2)</f>
        <v/>
      </c>
    </row>
    <row r="623">
      <c r="A623" s="10" t="n">
        <v>2</v>
      </c>
      <c r="B623" s="10" t="n">
        <v>619</v>
      </c>
      <c r="C623" s="10" t="n">
        <v>1619</v>
      </c>
      <c r="D623" s="10" t="inlineStr">
        <is>
          <t>1380500021</t>
        </is>
      </c>
      <c r="E623" s="26" t="inlineStr">
        <is>
          <t>National Capital Region (NCR)</t>
        </is>
      </c>
      <c r="F623" s="26" t="inlineStr">
        <is>
          <t>Second District (Not a Province)</t>
        </is>
      </c>
      <c r="G623" s="26" t="inlineStr">
        <is>
          <t>City of Mandaluyong</t>
        </is>
      </c>
      <c r="H623" s="26" t="inlineStr">
        <is>
          <t>Pag-asa</t>
        </is>
      </c>
      <c r="I623" s="27" t="n">
        <v>14.58105</v>
      </c>
      <c r="J623" s="27" t="n">
        <v>121.028047</v>
      </c>
      <c r="K623" s="10" t="inlineStr">
        <is>
          <t>U</t>
        </is>
      </c>
      <c r="L623" s="12" t="n">
        <v>4591</v>
      </c>
      <c r="M623" s="14" t="n">
        <v>3.3</v>
      </c>
      <c r="N623" s="12">
        <f>ROUND(L623/M623, 0)</f>
        <v/>
      </c>
      <c r="O623" s="12">
        <f>ROUND(N623*'Methodology &amp; Assumptions'!$B$5, 0)</f>
        <v/>
      </c>
      <c r="P623" s="10" t="inlineStr">
        <is>
          <t>Single Carrier (Band n50, 100MHz TDD)</t>
        </is>
      </c>
      <c r="Q623" s="13">
        <f>ROUNDUP(O623/'Methodology &amp; Assumptions'!$B$6, 0)</f>
        <v/>
      </c>
      <c r="R623" s="13" t="n">
        <v>1</v>
      </c>
      <c r="S623" s="14" t="n">
        <v>0.29</v>
      </c>
      <c r="T623" s="14" t="n">
        <v>0.29</v>
      </c>
      <c r="U623" s="26">
        <f>IF(X623&gt;='Methodology &amp; Assumptions'!$B$7, "Tier 1 Critical GIDA (Score ≥ 50.0)", IF(X623&gt;='Methodology &amp; Assumptions'!$B$8, "Tier 2 High GIDA (Score 40.0–49.9)", "Tier 3 Moderate GIDA (Score &lt; 40.0)"))</f>
        <v/>
      </c>
      <c r="V623" s="26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W623" s="28" t="n">
        <v>0.109</v>
      </c>
      <c r="X623" s="14" t="n">
        <v>49.89</v>
      </c>
      <c r="Y623" s="14">
        <f>ROUND(MIN(100, (X623/69.91)*100), 2)</f>
        <v/>
      </c>
    </row>
    <row r="624">
      <c r="A624" s="10" t="n">
        <v>2</v>
      </c>
      <c r="B624" s="10" t="n">
        <v>620</v>
      </c>
      <c r="C624" s="10" t="n">
        <v>1620</v>
      </c>
      <c r="D624" s="10" t="inlineStr">
        <is>
          <t>0806016036</t>
        </is>
      </c>
      <c r="E624" s="26" t="inlineStr">
        <is>
          <t>Region VIII (Eastern Visayas)</t>
        </is>
      </c>
      <c r="F624" s="26" t="inlineStr">
        <is>
          <t>Samar</t>
        </is>
      </c>
      <c r="G624" s="26" t="inlineStr">
        <is>
          <t>Santa Margarita</t>
        </is>
      </c>
      <c r="H624" s="26" t="inlineStr">
        <is>
          <t>Matayonas</t>
        </is>
      </c>
      <c r="I624" s="27" t="n">
        <v>12.12394</v>
      </c>
      <c r="J624" s="27" t="n">
        <v>124.74399</v>
      </c>
      <c r="K624" s="10" t="inlineStr">
        <is>
          <t>R</t>
        </is>
      </c>
      <c r="L624" s="12" t="n">
        <v>122</v>
      </c>
      <c r="M624" s="14" t="n">
        <v>4.1</v>
      </c>
      <c r="N624" s="12">
        <f>ROUND(L624/M624, 0)</f>
        <v/>
      </c>
      <c r="O624" s="12">
        <f>ROUND(N624*'Methodology &amp; Assumptions'!$B$5, 0)</f>
        <v/>
      </c>
      <c r="P624" s="10" t="inlineStr">
        <is>
          <t>Single Carrier (Band n50, 100MHz TDD)</t>
        </is>
      </c>
      <c r="Q624" s="13">
        <f>ROUNDUP(O624/'Methodology &amp; Assumptions'!$B$6, 0)</f>
        <v/>
      </c>
      <c r="R624" s="13" t="n">
        <v>1</v>
      </c>
      <c r="S624" s="14" t="n">
        <v>88.43000000000001</v>
      </c>
      <c r="T624" s="14" t="n">
        <v>88.42</v>
      </c>
      <c r="U624" s="26">
        <f>IF(X624&gt;='Methodology &amp; Assumptions'!$B$7, "Tier 1 Critical GIDA (Score ≥ 50.0)", IF(X624&gt;='Methodology &amp; Assumptions'!$B$8, "Tier 2 High GIDA (Score 40.0–49.9)", "Tier 3 Moderate GIDA (Score &lt; 40.0)"))</f>
        <v/>
      </c>
      <c r="V624" s="26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W624" s="28" t="n">
        <v>0.237</v>
      </c>
      <c r="X624" s="14" t="n">
        <v>49.89</v>
      </c>
      <c r="Y624" s="14">
        <f>ROUND(MIN(100, (X624/69.91)*100), 2)</f>
        <v/>
      </c>
    </row>
    <row r="625">
      <c r="A625" s="10" t="n">
        <v>2</v>
      </c>
      <c r="B625" s="10" t="n">
        <v>621</v>
      </c>
      <c r="C625" s="10" t="n">
        <v>1621</v>
      </c>
      <c r="D625" s="10" t="inlineStr">
        <is>
          <t>1380612019</t>
        </is>
      </c>
      <c r="E625" s="26" t="inlineStr">
        <is>
          <t>National Capital Region (NCR)</t>
        </is>
      </c>
      <c r="F625" s="26" t="inlineStr">
        <is>
          <t>First District (Not a Province)</t>
        </is>
      </c>
      <c r="G625" s="26" t="inlineStr">
        <is>
          <t>City of Manila</t>
        </is>
      </c>
      <c r="H625" s="26" t="inlineStr">
        <is>
          <t>Barangay 851</t>
        </is>
      </c>
      <c r="I625" s="27" t="n">
        <v>12.702504</v>
      </c>
      <c r="J625" s="27" t="n">
        <v>122.010887</v>
      </c>
      <c r="K625" s="10" t="inlineStr">
        <is>
          <t>U</t>
        </is>
      </c>
      <c r="L625" s="12" t="n">
        <v>1084</v>
      </c>
      <c r="M625" s="14" t="n">
        <v>3.9</v>
      </c>
      <c r="N625" s="12">
        <f>ROUND(L625/M625, 0)</f>
        <v/>
      </c>
      <c r="O625" s="12">
        <f>ROUND(N625*'Methodology &amp; Assumptions'!$B$5, 0)</f>
        <v/>
      </c>
      <c r="P625" s="10" t="inlineStr">
        <is>
          <t>Single Carrier (Band n50, 100MHz TDD)</t>
        </is>
      </c>
      <c r="Q625" s="13">
        <f>ROUNDUP(O625/'Methodology &amp; Assumptions'!$B$6, 0)</f>
        <v/>
      </c>
      <c r="R625" s="13" t="n">
        <v>1</v>
      </c>
      <c r="S625" s="14" t="n">
        <v>51.01</v>
      </c>
      <c r="T625" s="14" t="n">
        <v>45.63</v>
      </c>
      <c r="U625" s="26">
        <f>IF(X625&gt;='Methodology &amp; Assumptions'!$B$7, "Tier 1 Critical GIDA (Score ≥ 50.0)", IF(X625&gt;='Methodology &amp; Assumptions'!$B$8, "Tier 2 High GIDA (Score 40.0–49.9)", "Tier 3 Moderate GIDA (Score &lt; 40.0)"))</f>
        <v/>
      </c>
      <c r="V625" s="26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W625" s="28" t="n">
        <v>0.109</v>
      </c>
      <c r="X625" s="14" t="n">
        <v>49.89</v>
      </c>
      <c r="Y625" s="14">
        <f>ROUND(MIN(100, (X625/69.91)*100), 2)</f>
        <v/>
      </c>
    </row>
    <row r="626">
      <c r="A626" s="10" t="n">
        <v>2</v>
      </c>
      <c r="B626" s="10" t="n">
        <v>622</v>
      </c>
      <c r="C626" s="10" t="n">
        <v>1622</v>
      </c>
      <c r="D626" s="10" t="inlineStr">
        <is>
          <t>0806025018</t>
        </is>
      </c>
      <c r="E626" s="26" t="inlineStr">
        <is>
          <t>Region VIII (Eastern Visayas)</t>
        </is>
      </c>
      <c r="F626" s="26" t="inlineStr">
        <is>
          <t>Samar</t>
        </is>
      </c>
      <c r="G626" s="26" t="inlineStr">
        <is>
          <t>San Jorge</t>
        </is>
      </c>
      <c r="H626" s="26" t="inlineStr">
        <is>
          <t>Matalud</t>
        </is>
      </c>
      <c r="I626" s="27" t="n">
        <v>11.99953</v>
      </c>
      <c r="J626" s="27" t="n">
        <v>124.90162</v>
      </c>
      <c r="K626" s="10" t="inlineStr">
        <is>
          <t>R</t>
        </is>
      </c>
      <c r="L626" s="12" t="n">
        <v>536</v>
      </c>
      <c r="M626" s="14" t="n">
        <v>4.1</v>
      </c>
      <c r="N626" s="12">
        <f>ROUND(L626/M626, 0)</f>
        <v/>
      </c>
      <c r="O626" s="12">
        <f>ROUND(N626*'Methodology &amp; Assumptions'!$B$5, 0)</f>
        <v/>
      </c>
      <c r="P626" s="10" t="inlineStr">
        <is>
          <t>Single Carrier (Band n50, 100MHz TDD)</t>
        </is>
      </c>
      <c r="Q626" s="13">
        <f>ROUNDUP(O626/'Methodology &amp; Assumptions'!$B$6, 0)</f>
        <v/>
      </c>
      <c r="R626" s="13" t="n">
        <v>1</v>
      </c>
      <c r="S626" s="14" t="n">
        <v>81.17</v>
      </c>
      <c r="T626" s="14" t="n">
        <v>81.12</v>
      </c>
      <c r="U626" s="26">
        <f>IF(X626&gt;='Methodology &amp; Assumptions'!$B$7, "Tier 1 Critical GIDA (Score ≥ 50.0)", IF(X626&gt;='Methodology &amp; Assumptions'!$B$8, "Tier 2 High GIDA (Score 40.0–49.9)", "Tier 3 Moderate GIDA (Score &lt; 40.0)"))</f>
        <v/>
      </c>
      <c r="V626" s="26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W626" s="28" t="n">
        <v>0.237</v>
      </c>
      <c r="X626" s="14" t="n">
        <v>49.89</v>
      </c>
      <c r="Y626" s="14">
        <f>ROUND(MIN(100, (X626/69.91)*100), 2)</f>
        <v/>
      </c>
    </row>
    <row r="627">
      <c r="A627" s="10" t="n">
        <v>2</v>
      </c>
      <c r="B627" s="10" t="n">
        <v>623</v>
      </c>
      <c r="C627" s="10" t="n">
        <v>1623</v>
      </c>
      <c r="D627" s="10" t="inlineStr">
        <is>
          <t>1380606057</t>
        </is>
      </c>
      <c r="E627" s="26" t="inlineStr">
        <is>
          <t>National Capital Region (NCR)</t>
        </is>
      </c>
      <c r="F627" s="26" t="inlineStr">
        <is>
          <t>First District (Not a Province)</t>
        </is>
      </c>
      <c r="G627" s="26" t="inlineStr">
        <is>
          <t>City of Manila</t>
        </is>
      </c>
      <c r="H627" s="26" t="inlineStr">
        <is>
          <t>Barangay 451</t>
        </is>
      </c>
      <c r="I627" s="27" t="n">
        <v>12.854213</v>
      </c>
      <c r="J627" s="27" t="n">
        <v>121.475168</v>
      </c>
      <c r="K627" s="10" t="inlineStr">
        <is>
          <t>U</t>
        </is>
      </c>
      <c r="L627" s="12" t="n">
        <v>1058</v>
      </c>
      <c r="M627" s="14" t="n">
        <v>3.9</v>
      </c>
      <c r="N627" s="12">
        <f>ROUND(L627/M627, 0)</f>
        <v/>
      </c>
      <c r="O627" s="12">
        <f>ROUND(N627*'Methodology &amp; Assumptions'!$B$5, 0)</f>
        <v/>
      </c>
      <c r="P627" s="10" t="inlineStr">
        <is>
          <t>Single Carrier (Band n50, 100MHz TDD)</t>
        </is>
      </c>
      <c r="Q627" s="13">
        <f>ROUNDUP(O627/'Methodology &amp; Assumptions'!$B$6, 0)</f>
        <v/>
      </c>
      <c r="R627" s="13" t="n">
        <v>1</v>
      </c>
      <c r="S627" s="14" t="n">
        <v>2.72</v>
      </c>
      <c r="T627" s="14" t="n">
        <v>1.74</v>
      </c>
      <c r="U627" s="26">
        <f>IF(X627&gt;='Methodology &amp; Assumptions'!$B$7, "Tier 1 Critical GIDA (Score ≥ 50.0)", IF(X627&gt;='Methodology &amp; Assumptions'!$B$8, "Tier 2 High GIDA (Score 40.0–49.9)", "Tier 3 Moderate GIDA (Score &lt; 40.0)"))</f>
        <v/>
      </c>
      <c r="V627" s="26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W627" s="28" t="n">
        <v>0.109</v>
      </c>
      <c r="X627" s="14" t="n">
        <v>49.88</v>
      </c>
      <c r="Y627" s="14">
        <f>ROUND(MIN(100, (X627/69.91)*100), 2)</f>
        <v/>
      </c>
    </row>
    <row r="628">
      <c r="A628" s="10" t="n">
        <v>2</v>
      </c>
      <c r="B628" s="10" t="n">
        <v>624</v>
      </c>
      <c r="C628" s="10" t="n">
        <v>1624</v>
      </c>
      <c r="D628" s="10" t="inlineStr">
        <is>
          <t>1381100184</t>
        </is>
      </c>
      <c r="E628" s="26" t="inlineStr">
        <is>
          <t>National Capital Region (NCR)</t>
        </is>
      </c>
      <c r="F628" s="26" t="inlineStr">
        <is>
          <t>Fourth District (Not a Province)</t>
        </is>
      </c>
      <c r="G628" s="26" t="inlineStr">
        <is>
          <t>Pasay City</t>
        </is>
      </c>
      <c r="H628" s="26" t="inlineStr">
        <is>
          <t>Barangay 184</t>
        </is>
      </c>
      <c r="I628" s="27" t="n">
        <v>14.578828</v>
      </c>
      <c r="J628" s="27" t="n">
        <v>121.024101</v>
      </c>
      <c r="K628" s="10" t="inlineStr">
        <is>
          <t>U</t>
        </is>
      </c>
      <c r="L628" s="12" t="n">
        <v>14613</v>
      </c>
      <c r="M628" s="14" t="n">
        <v>3.4</v>
      </c>
      <c r="N628" s="12">
        <f>ROUND(L628/M628, 0)</f>
        <v/>
      </c>
      <c r="O628" s="12">
        <f>ROUND(N628*'Methodology &amp; Assumptions'!$B$5, 0)</f>
        <v/>
      </c>
      <c r="P628" s="10" t="inlineStr">
        <is>
          <t>Single Carrier (Band n50, 100MHz TDD)</t>
        </is>
      </c>
      <c r="Q628" s="13">
        <f>ROUNDUP(O628/'Methodology &amp; Assumptions'!$B$6, 0)</f>
        <v/>
      </c>
      <c r="R628" s="13" t="n">
        <v>1</v>
      </c>
      <c r="S628" s="14" t="n">
        <v>0.68</v>
      </c>
      <c r="T628" s="14" t="n">
        <v>0.61</v>
      </c>
      <c r="U628" s="26">
        <f>IF(X628&gt;='Methodology &amp; Assumptions'!$B$7, "Tier 1 Critical GIDA (Score ≥ 50.0)", IF(X628&gt;='Methodology &amp; Assumptions'!$B$8, "Tier 2 High GIDA (Score 40.0–49.9)", "Tier 3 Moderate GIDA (Score &lt; 40.0)"))</f>
        <v/>
      </c>
      <c r="V628" s="26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W628" s="28" t="n">
        <v>0.109</v>
      </c>
      <c r="X628" s="14" t="n">
        <v>49.88</v>
      </c>
      <c r="Y628" s="14">
        <f>ROUND(MIN(100, (X628/69.91)*100), 2)</f>
        <v/>
      </c>
    </row>
    <row r="629">
      <c r="A629" s="10" t="n">
        <v>2</v>
      </c>
      <c r="B629" s="10" t="n">
        <v>625</v>
      </c>
      <c r="C629" s="10" t="n">
        <v>1625</v>
      </c>
      <c r="D629" s="10" t="inlineStr">
        <is>
          <t>0402106042</t>
        </is>
      </c>
      <c r="E629" s="26" t="inlineStr">
        <is>
          <t>Region IV-A (CALABARZON)</t>
        </is>
      </c>
      <c r="F629" s="26" t="inlineStr">
        <is>
          <t>Cavite</t>
        </is>
      </c>
      <c r="G629" s="26" t="inlineStr">
        <is>
          <t>City of Dasmariñas</t>
        </is>
      </c>
      <c r="H629" s="26" t="inlineStr">
        <is>
          <t>Santa Fe</t>
        </is>
      </c>
      <c r="I629" s="27" t="n">
        <v>14.314876</v>
      </c>
      <c r="J629" s="27" t="n">
        <v>120.95401</v>
      </c>
      <c r="K629" s="10" t="inlineStr">
        <is>
          <t>U</t>
        </is>
      </c>
      <c r="L629" s="12" t="n">
        <v>6647</v>
      </c>
      <c r="M629" s="14" t="n">
        <v>3.4</v>
      </c>
      <c r="N629" s="12">
        <f>ROUND(L629/M629, 0)</f>
        <v/>
      </c>
      <c r="O629" s="12">
        <f>ROUND(N629*'Methodology &amp; Assumptions'!$B$5, 0)</f>
        <v/>
      </c>
      <c r="P629" s="10" t="inlineStr">
        <is>
          <t>Single Carrier (Band n50, 100MHz TDD)</t>
        </is>
      </c>
      <c r="Q629" s="13">
        <f>ROUNDUP(O629/'Methodology &amp; Assumptions'!$B$6, 0)</f>
        <v/>
      </c>
      <c r="R629" s="13" t="n">
        <v>1</v>
      </c>
      <c r="S629" s="14" t="n">
        <v>1.29</v>
      </c>
      <c r="T629" s="14" t="n">
        <v>1.46</v>
      </c>
      <c r="U629" s="26">
        <f>IF(X629&gt;='Methodology &amp; Assumptions'!$B$7, "Tier 1 Critical GIDA (Score ≥ 50.0)", IF(X629&gt;='Methodology &amp; Assumptions'!$B$8, "Tier 2 High GIDA (Score 40.0–49.9)", "Tier 3 Moderate GIDA (Score &lt; 40.0)"))</f>
        <v/>
      </c>
      <c r="V629" s="26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W629" s="28" t="n">
        <v>0.07200000000000001</v>
      </c>
      <c r="X629" s="14" t="n">
        <v>49.88</v>
      </c>
      <c r="Y629" s="14">
        <f>ROUND(MIN(100, (X629/69.91)*100), 2)</f>
        <v/>
      </c>
    </row>
    <row r="630">
      <c r="A630" s="10" t="n">
        <v>2</v>
      </c>
      <c r="B630" s="10" t="n">
        <v>626</v>
      </c>
      <c r="C630" s="10" t="n">
        <v>1626</v>
      </c>
      <c r="D630" s="10" t="inlineStr">
        <is>
          <t>1380601168</t>
        </is>
      </c>
      <c r="E630" s="26" t="inlineStr">
        <is>
          <t>National Capital Region (NCR)</t>
        </is>
      </c>
      <c r="F630" s="26" t="inlineStr">
        <is>
          <t>First District (Not a Province)</t>
        </is>
      </c>
      <c r="G630" s="26" t="inlineStr">
        <is>
          <t>City of Manila</t>
        </is>
      </c>
      <c r="H630" s="26" t="inlineStr">
        <is>
          <t>Barangay 168</t>
        </is>
      </c>
      <c r="I630" s="27" t="n">
        <v>13.096295</v>
      </c>
      <c r="J630" s="27" t="n">
        <v>121.977595</v>
      </c>
      <c r="K630" s="10" t="inlineStr">
        <is>
          <t>U</t>
        </is>
      </c>
      <c r="L630" s="12" t="n">
        <v>1429</v>
      </c>
      <c r="M630" s="14" t="n">
        <v>3.9</v>
      </c>
      <c r="N630" s="12">
        <f>ROUND(L630/M630, 0)</f>
        <v/>
      </c>
      <c r="O630" s="12">
        <f>ROUND(N630*'Methodology &amp; Assumptions'!$B$5, 0)</f>
        <v/>
      </c>
      <c r="P630" s="10" t="inlineStr">
        <is>
          <t>Single Carrier (Band n50, 100MHz TDD)</t>
        </is>
      </c>
      <c r="Q630" s="13">
        <f>ROUNDUP(O630/'Methodology &amp; Assumptions'!$B$6, 0)</f>
        <v/>
      </c>
      <c r="R630" s="13" t="n">
        <v>1</v>
      </c>
      <c r="S630" s="14" t="n">
        <v>51.13</v>
      </c>
      <c r="T630" s="14" t="n">
        <v>54.32</v>
      </c>
      <c r="U630" s="26">
        <f>IF(X630&gt;='Methodology &amp; Assumptions'!$B$7, "Tier 1 Critical GIDA (Score ≥ 50.0)", IF(X630&gt;='Methodology &amp; Assumptions'!$B$8, "Tier 2 High GIDA (Score 40.0–49.9)", "Tier 3 Moderate GIDA (Score &lt; 40.0)"))</f>
        <v/>
      </c>
      <c r="V630" s="26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W630" s="28" t="n">
        <v>0.109</v>
      </c>
      <c r="X630" s="14" t="n">
        <v>49.88</v>
      </c>
      <c r="Y630" s="14">
        <f>ROUND(MIN(100, (X630/69.91)*100), 2)</f>
        <v/>
      </c>
    </row>
    <row r="631">
      <c r="A631" s="10" t="n">
        <v>2</v>
      </c>
      <c r="B631" s="10" t="n">
        <v>627</v>
      </c>
      <c r="C631" s="10" t="n">
        <v>1627</v>
      </c>
      <c r="D631" s="10" t="inlineStr">
        <is>
          <t>1906603018</t>
        </is>
      </c>
      <c r="E631" s="26" t="inlineStr">
        <is>
          <t>Bangsamoro Autonomous Region In Muslim Mindanao (BARMM)</t>
        </is>
      </c>
      <c r="F631" s="26" t="inlineStr">
        <is>
          <t>Sulu</t>
        </is>
      </c>
      <c r="G631" s="26" t="inlineStr">
        <is>
          <t>Kalingalan Caluang</t>
        </is>
      </c>
      <c r="H631" s="26" t="inlineStr">
        <is>
          <t>Masjid Punjungan</t>
        </is>
      </c>
      <c r="I631" s="27" t="n">
        <v>17.25552</v>
      </c>
      <c r="J631" s="27" t="n">
        <v>122.229564</v>
      </c>
      <c r="K631" s="10" t="inlineStr">
        <is>
          <t>R</t>
        </is>
      </c>
      <c r="L631" s="12" t="n">
        <v>3769</v>
      </c>
      <c r="M631" s="14" t="n">
        <v>4.3</v>
      </c>
      <c r="N631" s="12">
        <f>ROUND(L631/M631, 0)</f>
        <v/>
      </c>
      <c r="O631" s="12">
        <f>ROUND(N631*'Methodology &amp; Assumptions'!$B$5, 0)</f>
        <v/>
      </c>
      <c r="P631" s="10" t="inlineStr">
        <is>
          <t>Single Carrier (Band n50, 100MHz TDD)</t>
        </is>
      </c>
      <c r="Q631" s="13">
        <f>ROUNDUP(O631/'Methodology &amp; Assumptions'!$B$6, 0)</f>
        <v/>
      </c>
      <c r="R631" s="13" t="n">
        <v>1</v>
      </c>
      <c r="S631" s="14" t="n">
        <v>29.52</v>
      </c>
      <c r="T631" s="14" t="n">
        <v>34.39</v>
      </c>
      <c r="U631" s="26">
        <f>IF(X631&gt;='Methodology &amp; Assumptions'!$B$7, "Tier 1 Critical GIDA (Score ≥ 50.0)", IF(X631&gt;='Methodology &amp; Assumptions'!$B$8, "Tier 2 High GIDA (Score 40.0–49.9)", "Tier 3 Moderate GIDA (Score &lt; 40.0)"))</f>
        <v/>
      </c>
      <c r="V631" s="26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W631" s="28" t="n">
        <v>0.11</v>
      </c>
      <c r="X631" s="14" t="n">
        <v>49.87</v>
      </c>
      <c r="Y631" s="14">
        <f>ROUND(MIN(100, (X631/69.91)*100), 2)</f>
        <v/>
      </c>
    </row>
    <row r="632">
      <c r="A632" s="10" t="n">
        <v>2</v>
      </c>
      <c r="B632" s="10" t="n">
        <v>628</v>
      </c>
      <c r="C632" s="10" t="n">
        <v>1628</v>
      </c>
      <c r="D632" s="10" t="inlineStr">
        <is>
          <t>0600409007</t>
        </is>
      </c>
      <c r="E632" s="26" t="inlineStr">
        <is>
          <t>Region VI (Western Visayas)</t>
        </is>
      </c>
      <c r="F632" s="26" t="inlineStr">
        <is>
          <t>Aklan</t>
        </is>
      </c>
      <c r="G632" s="26" t="inlineStr">
        <is>
          <t>Libacao</t>
        </is>
      </c>
      <c r="H632" s="26" t="inlineStr">
        <is>
          <t>Can-Awan</t>
        </is>
      </c>
      <c r="I632" s="27" t="n">
        <v>11.434746</v>
      </c>
      <c r="J632" s="27" t="n">
        <v>122.323284</v>
      </c>
      <c r="K632" s="10" t="inlineStr">
        <is>
          <t>R</t>
        </is>
      </c>
      <c r="L632" s="12" t="n">
        <v>437</v>
      </c>
      <c r="M632" s="14" t="n">
        <v>3.9</v>
      </c>
      <c r="N632" s="12">
        <f>ROUND(L632/M632, 0)</f>
        <v/>
      </c>
      <c r="O632" s="12">
        <f>ROUND(N632*'Methodology &amp; Assumptions'!$B$5, 0)</f>
        <v/>
      </c>
      <c r="P632" s="10" t="inlineStr">
        <is>
          <t>Single Carrier (Band n50, 100MHz TDD)</t>
        </is>
      </c>
      <c r="Q632" s="13">
        <f>ROUNDUP(O632/'Methodology &amp; Assumptions'!$B$6, 0)</f>
        <v/>
      </c>
      <c r="R632" s="13" t="n">
        <v>1</v>
      </c>
      <c r="S632" s="14" t="n">
        <v>14.76</v>
      </c>
      <c r="T632" s="14" t="n">
        <v>14.65</v>
      </c>
      <c r="U632" s="26">
        <f>IF(X632&gt;='Methodology &amp; Assumptions'!$B$7, "Tier 1 Critical GIDA (Score ≥ 50.0)", IF(X632&gt;='Methodology &amp; Assumptions'!$B$8, "Tier 2 High GIDA (Score 40.0–49.9)", "Tier 3 Moderate GIDA (Score &lt; 40.0)"))</f>
        <v/>
      </c>
      <c r="V632" s="26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W632" s="28" t="n">
        <v>0.237</v>
      </c>
      <c r="X632" s="14" t="n">
        <v>49.87</v>
      </c>
      <c r="Y632" s="14">
        <f>ROUND(MIN(100, (X632/69.91)*100), 2)</f>
        <v/>
      </c>
    </row>
    <row r="633">
      <c r="A633" s="10" t="n">
        <v>2</v>
      </c>
      <c r="B633" s="10" t="n">
        <v>629</v>
      </c>
      <c r="C633" s="10" t="n">
        <v>1629</v>
      </c>
      <c r="D633" s="10" t="inlineStr">
        <is>
          <t>PH0001629</t>
        </is>
      </c>
      <c r="E633" s="26" t="inlineStr">
        <is>
          <t>CAR</t>
        </is>
      </c>
      <c r="F633" s="26" t="inlineStr">
        <is>
          <t>Benguet</t>
        </is>
      </c>
      <c r="G633" s="26" t="inlineStr">
        <is>
          <t>Baguio City</t>
        </is>
      </c>
      <c r="H633" s="26" t="inlineStr">
        <is>
          <t>Magsaysay Private Road</t>
        </is>
      </c>
      <c r="I633" s="27" t="n">
        <v>16.407494</v>
      </c>
      <c r="J633" s="27" t="n">
        <v>120.587658</v>
      </c>
      <c r="K633" s="10" t="inlineStr">
        <is>
          <t>R</t>
        </is>
      </c>
      <c r="L633" s="12" t="n">
        <v>2260</v>
      </c>
      <c r="M633" s="14" t="n">
        <v>3.5</v>
      </c>
      <c r="N633" s="12">
        <f>ROUND(L633/M633, 0)</f>
        <v/>
      </c>
      <c r="O633" s="12">
        <f>ROUND(N633*'Methodology &amp; Assumptions'!$B$5, 0)</f>
        <v/>
      </c>
      <c r="P633" s="10" t="inlineStr">
        <is>
          <t>Single Carrier (Band n50, 100MHz TDD)</t>
        </is>
      </c>
      <c r="Q633" s="13">
        <f>ROUNDUP(O633/'Methodology &amp; Assumptions'!$B$6, 0)</f>
        <v/>
      </c>
      <c r="R633" s="13" t="n">
        <v>1</v>
      </c>
      <c r="S633" s="14" t="n">
        <v>0.8100000000000001</v>
      </c>
      <c r="T633" s="14" t="n">
        <v>0.12</v>
      </c>
      <c r="U633" s="26">
        <f>IF(X633&gt;='Methodology &amp; Assumptions'!$B$7, "Tier 1 Critical GIDA (Score ≥ 50.0)", IF(X633&gt;='Methodology &amp; Assumptions'!$B$8, "Tier 2 High GIDA (Score 40.0–49.9)", "Tier 3 Moderate GIDA (Score &lt; 40.0)"))</f>
        <v/>
      </c>
      <c r="V633" s="26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W633" s="28" t="n">
        <v>0.221</v>
      </c>
      <c r="X633" s="14" t="n">
        <v>49.87</v>
      </c>
      <c r="Y633" s="14">
        <f>ROUND(MIN(100, (X633/69.91)*100), 2)</f>
        <v/>
      </c>
    </row>
    <row r="634">
      <c r="A634" s="10" t="n">
        <v>2</v>
      </c>
      <c r="B634" s="10" t="n">
        <v>630</v>
      </c>
      <c r="C634" s="10" t="n">
        <v>1630</v>
      </c>
      <c r="D634" s="10" t="inlineStr">
        <is>
          <t>0402123002</t>
        </is>
      </c>
      <c r="E634" s="26" t="inlineStr">
        <is>
          <t>Region IV-A (CALABARZON)</t>
        </is>
      </c>
      <c r="F634" s="26" t="inlineStr">
        <is>
          <t>Cavite</t>
        </is>
      </c>
      <c r="G634" s="26" t="inlineStr">
        <is>
          <t>Gen. Mariano Alvarez</t>
        </is>
      </c>
      <c r="H634" s="26" t="inlineStr">
        <is>
          <t>Barangay 1 Poblacion</t>
        </is>
      </c>
      <c r="I634" s="27" t="n">
        <v>14.297448</v>
      </c>
      <c r="J634" s="27" t="n">
        <v>121.007792</v>
      </c>
      <c r="K634" s="10" t="inlineStr">
        <is>
          <t>U</t>
        </is>
      </c>
      <c r="L634" s="12" t="n">
        <v>6913</v>
      </c>
      <c r="M634" s="14" t="n">
        <v>3.4</v>
      </c>
      <c r="N634" s="12">
        <f>ROUND(L634/M634, 0)</f>
        <v/>
      </c>
      <c r="O634" s="12">
        <f>ROUND(N634*'Methodology &amp; Assumptions'!$B$5, 0)</f>
        <v/>
      </c>
      <c r="P634" s="10" t="inlineStr">
        <is>
          <t>Single Carrier (Band n50, 100MHz TDD)</t>
        </is>
      </c>
      <c r="Q634" s="13">
        <f>ROUNDUP(O634/'Methodology &amp; Assumptions'!$B$6, 0)</f>
        <v/>
      </c>
      <c r="R634" s="13" t="n">
        <v>1</v>
      </c>
      <c r="S634" s="14" t="n">
        <v>1.78</v>
      </c>
      <c r="T634" s="14" t="n">
        <v>4.79</v>
      </c>
      <c r="U634" s="26">
        <f>IF(X634&gt;='Methodology &amp; Assumptions'!$B$7, "Tier 1 Critical GIDA (Score ≥ 50.0)", IF(X634&gt;='Methodology &amp; Assumptions'!$B$8, "Tier 2 High GIDA (Score 40.0–49.9)", "Tier 3 Moderate GIDA (Score &lt; 40.0)"))</f>
        <v/>
      </c>
      <c r="V634" s="26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W634" s="28" t="n">
        <v>0.07200000000000001</v>
      </c>
      <c r="X634" s="14" t="n">
        <v>49.87</v>
      </c>
      <c r="Y634" s="14">
        <f>ROUND(MIN(100, (X634/69.91)*100), 2)</f>
        <v/>
      </c>
    </row>
    <row r="635">
      <c r="A635" s="10" t="n">
        <v>2</v>
      </c>
      <c r="B635" s="10" t="n">
        <v>631</v>
      </c>
      <c r="C635" s="10" t="n">
        <v>1631</v>
      </c>
      <c r="D635" s="10" t="inlineStr">
        <is>
          <t>1380610037</t>
        </is>
      </c>
      <c r="E635" s="26" t="inlineStr">
        <is>
          <t>National Capital Region (NCR)</t>
        </is>
      </c>
      <c r="F635" s="26" t="inlineStr">
        <is>
          <t>First District (Not a Province)</t>
        </is>
      </c>
      <c r="G635" s="26" t="inlineStr">
        <is>
          <t>City of Manila</t>
        </is>
      </c>
      <c r="H635" s="26" t="inlineStr">
        <is>
          <t>Barangay 722</t>
        </is>
      </c>
      <c r="I635" s="27" t="n">
        <v>12.584574</v>
      </c>
      <c r="J635" s="27" t="n">
        <v>121.774</v>
      </c>
      <c r="K635" s="10" t="inlineStr">
        <is>
          <t>U</t>
        </is>
      </c>
      <c r="L635" s="12" t="n">
        <v>660</v>
      </c>
      <c r="M635" s="14" t="n">
        <v>3.9</v>
      </c>
      <c r="N635" s="12">
        <f>ROUND(L635/M635, 0)</f>
        <v/>
      </c>
      <c r="O635" s="12">
        <f>ROUND(N635*'Methodology &amp; Assumptions'!$B$5, 0)</f>
        <v/>
      </c>
      <c r="P635" s="10" t="inlineStr">
        <is>
          <t>Single Carrier (Band n50, 100MHz TDD)</t>
        </is>
      </c>
      <c r="Q635" s="13">
        <f>ROUNDUP(O635/'Methodology &amp; Assumptions'!$B$6, 0)</f>
        <v/>
      </c>
      <c r="R635" s="13" t="n">
        <v>1</v>
      </c>
      <c r="S635" s="14" t="n">
        <v>24.22</v>
      </c>
      <c r="T635" s="14" t="n">
        <v>18.14</v>
      </c>
      <c r="U635" s="26">
        <f>IF(X635&gt;='Methodology &amp; Assumptions'!$B$7, "Tier 1 Critical GIDA (Score ≥ 50.0)", IF(X635&gt;='Methodology &amp; Assumptions'!$B$8, "Tier 2 High GIDA (Score 40.0–49.9)", "Tier 3 Moderate GIDA (Score &lt; 40.0)"))</f>
        <v/>
      </c>
      <c r="V635" s="26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W635" s="28" t="n">
        <v>0.109</v>
      </c>
      <c r="X635" s="14" t="n">
        <v>49.87</v>
      </c>
      <c r="Y635" s="14">
        <f>ROUND(MIN(100, (X635/69.91)*100), 2)</f>
        <v/>
      </c>
    </row>
    <row r="636">
      <c r="A636" s="10" t="n">
        <v>2</v>
      </c>
      <c r="B636" s="10" t="n">
        <v>632</v>
      </c>
      <c r="C636" s="10" t="n">
        <v>1632</v>
      </c>
      <c r="D636" s="10" t="inlineStr">
        <is>
          <t>1381100143</t>
        </is>
      </c>
      <c r="E636" s="26" t="inlineStr">
        <is>
          <t>National Capital Region (NCR)</t>
        </is>
      </c>
      <c r="F636" s="26" t="inlineStr">
        <is>
          <t>Fourth District (Not a Province)</t>
        </is>
      </c>
      <c r="G636" s="26" t="inlineStr">
        <is>
          <t>Pasay City</t>
        </is>
      </c>
      <c r="H636" s="26" t="inlineStr">
        <is>
          <t>Barangay 143</t>
        </is>
      </c>
      <c r="I636" s="27" t="n">
        <v>14.498331</v>
      </c>
      <c r="J636" s="27" t="n">
        <v>121.015502</v>
      </c>
      <c r="K636" s="10" t="inlineStr">
        <is>
          <t>U</t>
        </is>
      </c>
      <c r="L636" s="12" t="n">
        <v>1430</v>
      </c>
      <c r="M636" s="14" t="n">
        <v>3.4</v>
      </c>
      <c r="N636" s="12">
        <f>ROUND(L636/M636, 0)</f>
        <v/>
      </c>
      <c r="O636" s="12">
        <f>ROUND(N636*'Methodology &amp; Assumptions'!$B$5, 0)</f>
        <v/>
      </c>
      <c r="P636" s="10" t="inlineStr">
        <is>
          <t>Single Carrier (Band n50, 100MHz TDD)</t>
        </is>
      </c>
      <c r="Q636" s="13">
        <f>ROUNDUP(O636/'Methodology &amp; Assumptions'!$B$6, 0)</f>
        <v/>
      </c>
      <c r="R636" s="13" t="n">
        <v>1</v>
      </c>
      <c r="S636" s="14" t="n">
        <v>2.11</v>
      </c>
      <c r="T636" s="14" t="n">
        <v>0.27</v>
      </c>
      <c r="U636" s="26">
        <f>IF(X636&gt;='Methodology &amp; Assumptions'!$B$7, "Tier 1 Critical GIDA (Score ≥ 50.0)", IF(X636&gt;='Methodology &amp; Assumptions'!$B$8, "Tier 2 High GIDA (Score 40.0–49.9)", "Tier 3 Moderate GIDA (Score &lt; 40.0)"))</f>
        <v/>
      </c>
      <c r="V636" s="26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W636" s="28" t="n">
        <v>0.109</v>
      </c>
      <c r="X636" s="14" t="n">
        <v>49.87</v>
      </c>
      <c r="Y636" s="14">
        <f>ROUND(MIN(100, (X636/69.91)*100), 2)</f>
        <v/>
      </c>
    </row>
    <row r="637">
      <c r="A637" s="10" t="n">
        <v>2</v>
      </c>
      <c r="B637" s="10" t="n">
        <v>633</v>
      </c>
      <c r="C637" s="10" t="n">
        <v>1633</v>
      </c>
      <c r="D637" s="10" t="inlineStr">
        <is>
          <t>1381100081</t>
        </is>
      </c>
      <c r="E637" s="26" t="inlineStr">
        <is>
          <t>National Capital Region (NCR)</t>
        </is>
      </c>
      <c r="F637" s="26" t="inlineStr">
        <is>
          <t>Fourth District (Not a Province)</t>
        </is>
      </c>
      <c r="G637" s="26" t="inlineStr">
        <is>
          <t>Pasay City</t>
        </is>
      </c>
      <c r="H637" s="26" t="inlineStr">
        <is>
          <t>Barangay 81</t>
        </is>
      </c>
      <c r="I637" s="27" t="n">
        <v>14.565332</v>
      </c>
      <c r="J637" s="27" t="n">
        <v>120.964122</v>
      </c>
      <c r="K637" s="10" t="inlineStr">
        <is>
          <t>U</t>
        </is>
      </c>
      <c r="L637" s="12" t="n">
        <v>2190</v>
      </c>
      <c r="M637" s="14" t="n">
        <v>3.4</v>
      </c>
      <c r="N637" s="12">
        <f>ROUND(L637/M637, 0)</f>
        <v/>
      </c>
      <c r="O637" s="12">
        <f>ROUND(N637*'Methodology &amp; Assumptions'!$B$5, 0)</f>
        <v/>
      </c>
      <c r="P637" s="10" t="inlineStr">
        <is>
          <t>Single Carrier (Band n50, 100MHz TDD)</t>
        </is>
      </c>
      <c r="Q637" s="13">
        <f>ROUNDUP(O637/'Methodology &amp; Assumptions'!$B$6, 0)</f>
        <v/>
      </c>
      <c r="R637" s="13" t="n">
        <v>1</v>
      </c>
      <c r="S637" s="14" t="n">
        <v>3.19</v>
      </c>
      <c r="T637" s="14" t="n">
        <v>2.86</v>
      </c>
      <c r="U637" s="26">
        <f>IF(X637&gt;='Methodology &amp; Assumptions'!$B$7, "Tier 1 Critical GIDA (Score ≥ 50.0)", IF(X637&gt;='Methodology &amp; Assumptions'!$B$8, "Tier 2 High GIDA (Score 40.0–49.9)", "Tier 3 Moderate GIDA (Score &lt; 40.0)"))</f>
        <v/>
      </c>
      <c r="V637" s="26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W637" s="28" t="n">
        <v>0.109</v>
      </c>
      <c r="X637" s="14" t="n">
        <v>49.87</v>
      </c>
      <c r="Y637" s="14">
        <f>ROUND(MIN(100, (X637/69.91)*100), 2)</f>
        <v/>
      </c>
    </row>
    <row r="638">
      <c r="A638" s="10" t="n">
        <v>2</v>
      </c>
      <c r="B638" s="10" t="n">
        <v>634</v>
      </c>
      <c r="C638" s="10" t="n">
        <v>1634</v>
      </c>
      <c r="D638" s="10" t="inlineStr">
        <is>
          <t>0405622087</t>
        </is>
      </c>
      <c r="E638" s="26" t="inlineStr">
        <is>
          <t>Region IV-A (CALABARZON)</t>
        </is>
      </c>
      <c r="F638" s="26" t="inlineStr">
        <is>
          <t>Quezon</t>
        </is>
      </c>
      <c r="G638" s="26" t="inlineStr">
        <is>
          <t>Lopez</t>
        </is>
      </c>
      <c r="H638" s="26" t="inlineStr">
        <is>
          <t>Vergaña</t>
        </is>
      </c>
      <c r="I638" s="27" t="n">
        <v>13.85678</v>
      </c>
      <c r="J638" s="27" t="n">
        <v>122.297266</v>
      </c>
      <c r="K638" s="10" t="inlineStr">
        <is>
          <t>R</t>
        </is>
      </c>
      <c r="L638" s="12" t="n">
        <v>874</v>
      </c>
      <c r="M638" s="14" t="n">
        <v>3.8</v>
      </c>
      <c r="N638" s="12">
        <f>ROUND(L638/M638, 0)</f>
        <v/>
      </c>
      <c r="O638" s="12">
        <f>ROUND(N638*'Methodology &amp; Assumptions'!$B$5, 0)</f>
        <v/>
      </c>
      <c r="P638" s="10" t="inlineStr">
        <is>
          <t>Single Carrier (Band n50, 100MHz TDD)</t>
        </is>
      </c>
      <c r="Q638" s="13">
        <f>ROUNDUP(O638/'Methodology &amp; Assumptions'!$B$6, 0)</f>
        <v/>
      </c>
      <c r="R638" s="13" t="n">
        <v>1</v>
      </c>
      <c r="S638" s="14" t="n">
        <v>5.08</v>
      </c>
      <c r="T638" s="14" t="n">
        <v>2.67</v>
      </c>
      <c r="U638" s="26">
        <f>IF(X638&gt;='Methodology &amp; Assumptions'!$B$7, "Tier 1 Critical GIDA (Score ≥ 50.0)", IF(X638&gt;='Methodology &amp; Assumptions'!$B$8, "Tier 2 High GIDA (Score 40.0–49.9)", "Tier 3 Moderate GIDA (Score &lt; 40.0)"))</f>
        <v/>
      </c>
      <c r="V638" s="26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W638" s="28" t="n">
        <v>0.07200000000000001</v>
      </c>
      <c r="X638" s="14" t="n">
        <v>49.86</v>
      </c>
      <c r="Y638" s="14">
        <f>ROUND(MIN(100, (X638/69.91)*100), 2)</f>
        <v/>
      </c>
    </row>
    <row r="639">
      <c r="A639" s="10" t="n">
        <v>2</v>
      </c>
      <c r="B639" s="10" t="n">
        <v>635</v>
      </c>
      <c r="C639" s="10" t="n">
        <v>1635</v>
      </c>
      <c r="D639" s="10" t="inlineStr">
        <is>
          <t>PH0001635</t>
        </is>
      </c>
      <c r="E639" s="26" t="inlineStr">
        <is>
          <t>XI</t>
        </is>
      </c>
      <c r="F639" s="26" t="inlineStr">
        <is>
          <t>Davao Del Sur</t>
        </is>
      </c>
      <c r="G639" s="26" t="inlineStr">
        <is>
          <t>Davao City</t>
        </is>
      </c>
      <c r="H639" s="26" t="inlineStr">
        <is>
          <t>Barangay 29-C (Pob.)</t>
        </is>
      </c>
      <c r="I639" s="27" t="n">
        <v>7.199074</v>
      </c>
      <c r="J639" s="27" t="n">
        <v>125.459304</v>
      </c>
      <c r="K639" s="10" t="inlineStr">
        <is>
          <t>R</t>
        </is>
      </c>
      <c r="L639" s="12" t="n">
        <v>2280</v>
      </c>
      <c r="M639" s="14" t="n">
        <v>3.4</v>
      </c>
      <c r="N639" s="12">
        <f>ROUND(L639/M639, 0)</f>
        <v/>
      </c>
      <c r="O639" s="12">
        <f>ROUND(N639*'Methodology &amp; Assumptions'!$B$5, 0)</f>
        <v/>
      </c>
      <c r="P639" s="10" t="inlineStr">
        <is>
          <t>Single Carrier (Band n50, 100MHz TDD)</t>
        </is>
      </c>
      <c r="Q639" s="13">
        <f>ROUNDUP(O639/'Methodology &amp; Assumptions'!$B$6, 0)</f>
        <v/>
      </c>
      <c r="R639" s="13" t="n">
        <v>1</v>
      </c>
      <c r="S639" s="14" t="n">
        <v>1.53</v>
      </c>
      <c r="T639" s="14" t="n">
        <v>0.95</v>
      </c>
      <c r="U639" s="26">
        <f>IF(X639&gt;='Methodology &amp; Assumptions'!$B$7, "Tier 1 Critical GIDA (Score ≥ 50.0)", IF(X639&gt;='Methodology &amp; Assumptions'!$B$8, "Tier 2 High GIDA (Score 40.0–49.9)", "Tier 3 Moderate GIDA (Score &lt; 40.0)"))</f>
        <v/>
      </c>
      <c r="V639" s="26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W639" s="28" t="n">
        <v>0.119</v>
      </c>
      <c r="X639" s="14" t="n">
        <v>49.86</v>
      </c>
      <c r="Y639" s="14">
        <f>ROUND(MIN(100, (X639/69.91)*100), 2)</f>
        <v/>
      </c>
    </row>
    <row r="640">
      <c r="A640" s="10" t="n">
        <v>2</v>
      </c>
      <c r="B640" s="10" t="n">
        <v>636</v>
      </c>
      <c r="C640" s="10" t="n">
        <v>1636</v>
      </c>
      <c r="D640" s="10" t="inlineStr">
        <is>
          <t>1380606197</t>
        </is>
      </c>
      <c r="E640" s="26" t="inlineStr">
        <is>
          <t>National Capital Region (NCR)</t>
        </is>
      </c>
      <c r="F640" s="26" t="inlineStr">
        <is>
          <t>First District (Not a Province)</t>
        </is>
      </c>
      <c r="G640" s="26" t="inlineStr">
        <is>
          <t>City of Manila</t>
        </is>
      </c>
      <c r="H640" s="26" t="inlineStr">
        <is>
          <t>Barangay 590</t>
        </is>
      </c>
      <c r="I640" s="27" t="n">
        <v>13.098285</v>
      </c>
      <c r="J640" s="27" t="n">
        <v>121.568535</v>
      </c>
      <c r="K640" s="10" t="inlineStr">
        <is>
          <t>U</t>
        </is>
      </c>
      <c r="L640" s="12" t="n">
        <v>3306</v>
      </c>
      <c r="M640" s="14" t="n">
        <v>3.9</v>
      </c>
      <c r="N640" s="12">
        <f>ROUND(L640/M640, 0)</f>
        <v/>
      </c>
      <c r="O640" s="12">
        <f>ROUND(N640*'Methodology &amp; Assumptions'!$B$5, 0)</f>
        <v/>
      </c>
      <c r="P640" s="10" t="inlineStr">
        <is>
          <t>Single Carrier (Band n50, 100MHz TDD)</t>
        </is>
      </c>
      <c r="Q640" s="13">
        <f>ROUNDUP(O640/'Methodology &amp; Assumptions'!$B$6, 0)</f>
        <v/>
      </c>
      <c r="R640" s="13" t="n">
        <v>1</v>
      </c>
      <c r="S640" s="14" t="n">
        <v>7.69</v>
      </c>
      <c r="T640" s="14" t="n">
        <v>11.67</v>
      </c>
      <c r="U640" s="26">
        <f>IF(X640&gt;='Methodology &amp; Assumptions'!$B$7, "Tier 1 Critical GIDA (Score ≥ 50.0)", IF(X640&gt;='Methodology &amp; Assumptions'!$B$8, "Tier 2 High GIDA (Score 40.0–49.9)", "Tier 3 Moderate GIDA (Score &lt; 40.0)"))</f>
        <v/>
      </c>
      <c r="V640" s="26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W640" s="28" t="n">
        <v>0.109</v>
      </c>
      <c r="X640" s="14" t="n">
        <v>49.86</v>
      </c>
      <c r="Y640" s="14">
        <f>ROUND(MIN(100, (X640/69.91)*100), 2)</f>
        <v/>
      </c>
    </row>
    <row r="641">
      <c r="A641" s="10" t="n">
        <v>2</v>
      </c>
      <c r="B641" s="10" t="n">
        <v>637</v>
      </c>
      <c r="C641" s="10" t="n">
        <v>1637</v>
      </c>
      <c r="D641" s="10" t="inlineStr">
        <is>
          <t>PH0001637</t>
        </is>
      </c>
      <c r="E641" s="26" t="inlineStr">
        <is>
          <t>VIII</t>
        </is>
      </c>
      <c r="F641" s="26" t="inlineStr">
        <is>
          <t>Samar (Western Samar)</t>
        </is>
      </c>
      <c r="G641" s="26" t="inlineStr">
        <is>
          <t>Calbayog City</t>
        </is>
      </c>
      <c r="H641" s="26" t="inlineStr">
        <is>
          <t>Ba-ay</t>
        </is>
      </c>
      <c r="I641" s="27" t="n">
        <v>12.15158</v>
      </c>
      <c r="J641" s="27" t="n">
        <v>124.45164</v>
      </c>
      <c r="K641" s="10" t="inlineStr">
        <is>
          <t>R</t>
        </is>
      </c>
      <c r="L641" s="12" t="n">
        <v>2229</v>
      </c>
      <c r="M641" s="14" t="n">
        <v>4.1</v>
      </c>
      <c r="N641" s="12">
        <f>ROUND(L641/M641, 0)</f>
        <v/>
      </c>
      <c r="O641" s="12">
        <f>ROUND(N641*'Methodology &amp; Assumptions'!$B$5, 0)</f>
        <v/>
      </c>
      <c r="P641" s="10" t="inlineStr">
        <is>
          <t>Single Carrier (Band n50, 100MHz TDD)</t>
        </is>
      </c>
      <c r="Q641" s="13">
        <f>ROUNDUP(O641/'Methodology &amp; Assumptions'!$B$6, 0)</f>
        <v/>
      </c>
      <c r="R641" s="13" t="n">
        <v>1</v>
      </c>
      <c r="S641" s="14" t="n">
        <v>62.87</v>
      </c>
      <c r="T641" s="14" t="n">
        <v>62.86</v>
      </c>
      <c r="U641" s="26">
        <f>IF(X641&gt;='Methodology &amp; Assumptions'!$B$7, "Tier 1 Critical GIDA (Score ≥ 50.0)", IF(X641&gt;='Methodology &amp; Assumptions'!$B$8, "Tier 2 High GIDA (Score 40.0–49.9)", "Tier 3 Moderate GIDA (Score &lt; 40.0)"))</f>
        <v/>
      </c>
      <c r="V641" s="26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W641" s="28" t="n">
        <v>0.222</v>
      </c>
      <c r="X641" s="14" t="n">
        <v>49.86</v>
      </c>
      <c r="Y641" s="14">
        <f>ROUND(MIN(100, (X641/69.91)*100), 2)</f>
        <v/>
      </c>
    </row>
    <row r="642">
      <c r="A642" s="10" t="n">
        <v>2</v>
      </c>
      <c r="B642" s="10" t="n">
        <v>638</v>
      </c>
      <c r="C642" s="10" t="n">
        <v>1638</v>
      </c>
      <c r="D642" s="10" t="inlineStr">
        <is>
          <t>1380603010</t>
        </is>
      </c>
      <c r="E642" s="26" t="inlineStr">
        <is>
          <t>National Capital Region (NCR)</t>
        </is>
      </c>
      <c r="F642" s="26" t="inlineStr">
        <is>
          <t>First District (Not a Province)</t>
        </is>
      </c>
      <c r="G642" s="26" t="inlineStr">
        <is>
          <t>City of Manila</t>
        </is>
      </c>
      <c r="H642" s="26" t="inlineStr">
        <is>
          <t>Barangay 390</t>
        </is>
      </c>
      <c r="I642" s="27" t="n">
        <v>12.853743</v>
      </c>
      <c r="J642" s="27" t="n">
        <v>122.078349</v>
      </c>
      <c r="K642" s="10" t="inlineStr">
        <is>
          <t>U</t>
        </is>
      </c>
      <c r="L642" s="12" t="n">
        <v>816</v>
      </c>
      <c r="M642" s="14" t="n">
        <v>3.9</v>
      </c>
      <c r="N642" s="12">
        <f>ROUND(L642/M642, 0)</f>
        <v/>
      </c>
      <c r="O642" s="12">
        <f>ROUND(N642*'Methodology &amp; Assumptions'!$B$5, 0)</f>
        <v/>
      </c>
      <c r="P642" s="10" t="inlineStr">
        <is>
          <t>Single Carrier (Band n50, 100MHz TDD)</t>
        </is>
      </c>
      <c r="Q642" s="13">
        <f>ROUNDUP(O642/'Methodology &amp; Assumptions'!$B$6, 0)</f>
        <v/>
      </c>
      <c r="R642" s="13" t="n">
        <v>1</v>
      </c>
      <c r="S642" s="14" t="n">
        <v>63.52</v>
      </c>
      <c r="T642" s="14" t="n">
        <v>62.23</v>
      </c>
      <c r="U642" s="26">
        <f>IF(X642&gt;='Methodology &amp; Assumptions'!$B$7, "Tier 1 Critical GIDA (Score ≥ 50.0)", IF(X642&gt;='Methodology &amp; Assumptions'!$B$8, "Tier 2 High GIDA (Score 40.0–49.9)", "Tier 3 Moderate GIDA (Score &lt; 40.0)"))</f>
        <v/>
      </c>
      <c r="V642" s="26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W642" s="28" t="n">
        <v>0.109</v>
      </c>
      <c r="X642" s="14" t="n">
        <v>49.85</v>
      </c>
      <c r="Y642" s="14">
        <f>ROUND(MIN(100, (X642/69.91)*100), 2)</f>
        <v/>
      </c>
    </row>
    <row r="643">
      <c r="A643" s="10" t="n">
        <v>2</v>
      </c>
      <c r="B643" s="10" t="n">
        <v>639</v>
      </c>
      <c r="C643" s="10" t="n">
        <v>1639</v>
      </c>
      <c r="D643" s="10" t="inlineStr">
        <is>
          <t>1380614087</t>
        </is>
      </c>
      <c r="E643" s="26" t="inlineStr">
        <is>
          <t>National Capital Region (NCR)</t>
        </is>
      </c>
      <c r="F643" s="26" t="inlineStr">
        <is>
          <t>First District (Not a Province)</t>
        </is>
      </c>
      <c r="G643" s="26" t="inlineStr">
        <is>
          <t>City of Manila</t>
        </is>
      </c>
      <c r="H643" s="26" t="inlineStr">
        <is>
          <t>Barangay 894</t>
        </is>
      </c>
      <c r="I643" s="27" t="n">
        <v>12.697574</v>
      </c>
      <c r="J643" s="27" t="n">
        <v>121.530523</v>
      </c>
      <c r="K643" s="10" t="inlineStr">
        <is>
          <t>U</t>
        </is>
      </c>
      <c r="L643" s="12" t="n">
        <v>1942</v>
      </c>
      <c r="M643" s="14" t="n">
        <v>3.9</v>
      </c>
      <c r="N643" s="12">
        <f>ROUND(L643/M643, 0)</f>
        <v/>
      </c>
      <c r="O643" s="12">
        <f>ROUND(N643*'Methodology &amp; Assumptions'!$B$5, 0)</f>
        <v/>
      </c>
      <c r="P643" s="10" t="inlineStr">
        <is>
          <t>Single Carrier (Band n50, 100MHz TDD)</t>
        </is>
      </c>
      <c r="Q643" s="13">
        <f>ROUNDUP(O643/'Methodology &amp; Assumptions'!$B$6, 0)</f>
        <v/>
      </c>
      <c r="R643" s="13" t="n">
        <v>1</v>
      </c>
      <c r="S643" s="14" t="n">
        <v>6.97</v>
      </c>
      <c r="T643" s="14" t="n">
        <v>4.32</v>
      </c>
      <c r="U643" s="26">
        <f>IF(X643&gt;='Methodology &amp; Assumptions'!$B$7, "Tier 1 Critical GIDA (Score ≥ 50.0)", IF(X643&gt;='Methodology &amp; Assumptions'!$B$8, "Tier 2 High GIDA (Score 40.0–49.9)", "Tier 3 Moderate GIDA (Score &lt; 40.0)"))</f>
        <v/>
      </c>
      <c r="V643" s="26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W643" s="28" t="n">
        <v>0.109</v>
      </c>
      <c r="X643" s="14" t="n">
        <v>49.85</v>
      </c>
      <c r="Y643" s="14">
        <f>ROUND(MIN(100, (X643/69.91)*100), 2)</f>
        <v/>
      </c>
    </row>
    <row r="644">
      <c r="A644" s="10" t="n">
        <v>2</v>
      </c>
      <c r="B644" s="10" t="n">
        <v>640</v>
      </c>
      <c r="C644" s="10" t="n">
        <v>1640</v>
      </c>
      <c r="D644" s="10" t="inlineStr">
        <is>
          <t>1380607004</t>
        </is>
      </c>
      <c r="E644" s="26" t="inlineStr">
        <is>
          <t>National Capital Region (NCR)</t>
        </is>
      </c>
      <c r="F644" s="26" t="inlineStr">
        <is>
          <t>First District (Not a Province)</t>
        </is>
      </c>
      <c r="G644" s="26" t="inlineStr">
        <is>
          <t>City of Manila</t>
        </is>
      </c>
      <c r="H644" s="26" t="inlineStr">
        <is>
          <t>Barangay 640</t>
        </is>
      </c>
      <c r="I644" s="27" t="n">
        <v>13.175659</v>
      </c>
      <c r="J644" s="27" t="n">
        <v>121.827532</v>
      </c>
      <c r="K644" s="10" t="inlineStr">
        <is>
          <t>U</t>
        </is>
      </c>
      <c r="L644" s="12" t="n">
        <v>2210</v>
      </c>
      <c r="M644" s="14" t="n">
        <v>3.9</v>
      </c>
      <c r="N644" s="12">
        <f>ROUND(L644/M644, 0)</f>
        <v/>
      </c>
      <c r="O644" s="12">
        <f>ROUND(N644*'Methodology &amp; Assumptions'!$B$5, 0)</f>
        <v/>
      </c>
      <c r="P644" s="10" t="inlineStr">
        <is>
          <t>Single Carrier (Band n50, 100MHz TDD)</t>
        </is>
      </c>
      <c r="Q644" s="13">
        <f>ROUNDUP(O644/'Methodology &amp; Assumptions'!$B$6, 0)</f>
        <v/>
      </c>
      <c r="R644" s="13" t="n">
        <v>1</v>
      </c>
      <c r="S644" s="14" t="n">
        <v>36.89</v>
      </c>
      <c r="T644" s="14" t="n">
        <v>40.63</v>
      </c>
      <c r="U644" s="26">
        <f>IF(X644&gt;='Methodology &amp; Assumptions'!$B$7, "Tier 1 Critical GIDA (Score ≥ 50.0)", IF(X644&gt;='Methodology &amp; Assumptions'!$B$8, "Tier 2 High GIDA (Score 40.0–49.9)", "Tier 3 Moderate GIDA (Score &lt; 40.0)"))</f>
        <v/>
      </c>
      <c r="V644" s="26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W644" s="28" t="n">
        <v>0.109</v>
      </c>
      <c r="X644" s="14" t="n">
        <v>49.85</v>
      </c>
      <c r="Y644" s="14">
        <f>ROUND(MIN(100, (X644/69.91)*100), 2)</f>
        <v/>
      </c>
    </row>
    <row r="645">
      <c r="A645" s="10" t="n">
        <v>2</v>
      </c>
      <c r="B645" s="10" t="n">
        <v>641</v>
      </c>
      <c r="C645" s="10" t="n">
        <v>1641</v>
      </c>
      <c r="D645" s="10" t="inlineStr">
        <is>
          <t>0401005067</t>
        </is>
      </c>
      <c r="E645" s="26" t="inlineStr">
        <is>
          <t>Region IV-A (CALABARZON)</t>
        </is>
      </c>
      <c r="F645" s="26" t="inlineStr">
        <is>
          <t>Batangas</t>
        </is>
      </c>
      <c r="G645" s="26" t="inlineStr">
        <is>
          <t>Batangas City</t>
        </is>
      </c>
      <c r="H645" s="26" t="inlineStr">
        <is>
          <t>Barangay 20</t>
        </is>
      </c>
      <c r="I645" s="27" t="n">
        <v>13.755184</v>
      </c>
      <c r="J645" s="27" t="n">
        <v>121.054488</v>
      </c>
      <c r="K645" s="10" t="inlineStr">
        <is>
          <t>U</t>
        </is>
      </c>
      <c r="L645" s="12" t="n">
        <v>393</v>
      </c>
      <c r="M645" s="14" t="n">
        <v>3.6</v>
      </c>
      <c r="N645" s="12">
        <f>ROUND(L645/M645, 0)</f>
        <v/>
      </c>
      <c r="O645" s="12">
        <f>ROUND(N645*'Methodology &amp; Assumptions'!$B$5, 0)</f>
        <v/>
      </c>
      <c r="P645" s="10" t="inlineStr">
        <is>
          <t>Single Carrier (Band n50, 100MHz TDD)</t>
        </is>
      </c>
      <c r="Q645" s="13">
        <f>ROUNDUP(O645/'Methodology &amp; Assumptions'!$B$6, 0)</f>
        <v/>
      </c>
      <c r="R645" s="13" t="n">
        <v>1</v>
      </c>
      <c r="S645" s="14" t="n">
        <v>0.84</v>
      </c>
      <c r="T645" s="14" t="n">
        <v>0.43</v>
      </c>
      <c r="U645" s="26">
        <f>IF(X645&gt;='Methodology &amp; Assumptions'!$B$7, "Tier 1 Critical GIDA (Score ≥ 50.0)", IF(X645&gt;='Methodology &amp; Assumptions'!$B$8, "Tier 2 High GIDA (Score 40.0–49.9)", "Tier 3 Moderate GIDA (Score &lt; 40.0)"))</f>
        <v/>
      </c>
      <c r="V645" s="26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W645" s="28" t="n">
        <v>0.07200000000000001</v>
      </c>
      <c r="X645" s="14" t="n">
        <v>49.85</v>
      </c>
      <c r="Y645" s="14">
        <f>ROUND(MIN(100, (X645/69.91)*100), 2)</f>
        <v/>
      </c>
    </row>
    <row r="646">
      <c r="A646" s="10" t="n">
        <v>2</v>
      </c>
      <c r="B646" s="10" t="n">
        <v>642</v>
      </c>
      <c r="C646" s="10" t="n">
        <v>1642</v>
      </c>
      <c r="D646" s="10" t="inlineStr">
        <is>
          <t>1381300068</t>
        </is>
      </c>
      <c r="E646" s="26" t="inlineStr">
        <is>
          <t>National Capital Region (NCR)</t>
        </is>
      </c>
      <c r="F646" s="26" t="inlineStr">
        <is>
          <t>Second District (Not a Province)</t>
        </is>
      </c>
      <c r="G646" s="26" t="inlineStr">
        <is>
          <t>Quezon City</t>
        </is>
      </c>
      <c r="H646" s="26" t="inlineStr">
        <is>
          <t>Nagkaisang Nayon</t>
        </is>
      </c>
      <c r="I646" s="27" t="n">
        <v>14.723631</v>
      </c>
      <c r="J646" s="27" t="n">
        <v>121.025</v>
      </c>
      <c r="K646" s="10" t="inlineStr">
        <is>
          <t>U</t>
        </is>
      </c>
      <c r="L646" s="12" t="n">
        <v>56038</v>
      </c>
      <c r="M646" s="14" t="n">
        <v>3.8</v>
      </c>
      <c r="N646" s="12">
        <f>ROUND(L646/M646, 0)</f>
        <v/>
      </c>
      <c r="O646" s="12">
        <f>ROUND(N646*'Methodology &amp; Assumptions'!$B$5, 0)</f>
        <v/>
      </c>
      <c r="P646" s="10" t="inlineStr">
        <is>
          <t>Single Carrier (Band n50, 100MHz TDD)</t>
        </is>
      </c>
      <c r="Q646" s="13">
        <f>ROUNDUP(O646/'Methodology &amp; Assumptions'!$B$6, 0)</f>
        <v/>
      </c>
      <c r="R646" s="13" t="n">
        <v>1</v>
      </c>
      <c r="S646" s="14" t="n">
        <v>1.85</v>
      </c>
      <c r="T646" s="14" t="n">
        <v>0.31</v>
      </c>
      <c r="U646" s="26">
        <f>IF(X646&gt;='Methodology &amp; Assumptions'!$B$7, "Tier 1 Critical GIDA (Score ≥ 50.0)", IF(X646&gt;='Methodology &amp; Assumptions'!$B$8, "Tier 2 High GIDA (Score 40.0–49.9)", "Tier 3 Moderate GIDA (Score &lt; 40.0)"))</f>
        <v/>
      </c>
      <c r="V646" s="26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W646" s="28" t="n">
        <v>0.109</v>
      </c>
      <c r="X646" s="14" t="n">
        <v>49.85</v>
      </c>
      <c r="Y646" s="14">
        <f>ROUND(MIN(100, (X646/69.91)*100), 2)</f>
        <v/>
      </c>
    </row>
    <row r="647">
      <c r="A647" s="10" t="n">
        <v>2</v>
      </c>
      <c r="B647" s="10" t="n">
        <v>643</v>
      </c>
      <c r="C647" s="10" t="n">
        <v>1643</v>
      </c>
      <c r="D647" s="10" t="inlineStr">
        <is>
          <t>0806009018</t>
        </is>
      </c>
      <c r="E647" s="26" t="inlineStr">
        <is>
          <t>Region VIII (Eastern Visayas)</t>
        </is>
      </c>
      <c r="F647" s="26" t="inlineStr">
        <is>
          <t>Samar</t>
        </is>
      </c>
      <c r="G647" s="26" t="inlineStr">
        <is>
          <t>Jiabong</t>
        </is>
      </c>
      <c r="H647" s="26" t="inlineStr">
        <is>
          <t>Malino</t>
        </is>
      </c>
      <c r="I647" s="27" t="n">
        <v>11.844952</v>
      </c>
      <c r="J647" s="27" t="n">
        <v>124.982175</v>
      </c>
      <c r="K647" s="10" t="inlineStr">
        <is>
          <t>R</t>
        </is>
      </c>
      <c r="L647" s="12" t="n">
        <v>867</v>
      </c>
      <c r="M647" s="14" t="n">
        <v>4.1</v>
      </c>
      <c r="N647" s="12">
        <f>ROUND(L647/M647, 0)</f>
        <v/>
      </c>
      <c r="O647" s="12">
        <f>ROUND(N647*'Methodology &amp; Assumptions'!$B$5, 0)</f>
        <v/>
      </c>
      <c r="P647" s="10" t="inlineStr">
        <is>
          <t>Single Carrier (Band n50, 100MHz TDD)</t>
        </is>
      </c>
      <c r="Q647" s="13">
        <f>ROUNDUP(O647/'Methodology &amp; Assumptions'!$B$6, 0)</f>
        <v/>
      </c>
      <c r="R647" s="13" t="n">
        <v>1</v>
      </c>
      <c r="S647" s="14" t="n">
        <v>67.34999999999999</v>
      </c>
      <c r="T647" s="14" t="n">
        <v>68.40000000000001</v>
      </c>
      <c r="U647" s="26">
        <f>IF(X647&gt;='Methodology &amp; Assumptions'!$B$7, "Tier 1 Critical GIDA (Score ≥ 50.0)", IF(X647&gt;='Methodology &amp; Assumptions'!$B$8, "Tier 2 High GIDA (Score 40.0–49.9)", "Tier 3 Moderate GIDA (Score &lt; 40.0)"))</f>
        <v/>
      </c>
      <c r="V647" s="26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W647" s="28" t="n">
        <v>0.237</v>
      </c>
      <c r="X647" s="14" t="n">
        <v>49.85</v>
      </c>
      <c r="Y647" s="14">
        <f>ROUND(MIN(100, (X647/69.91)*100), 2)</f>
        <v/>
      </c>
    </row>
    <row r="648">
      <c r="A648" s="10" t="n">
        <v>2</v>
      </c>
      <c r="B648" s="10" t="n">
        <v>644</v>
      </c>
      <c r="C648" s="10" t="n">
        <v>1644</v>
      </c>
      <c r="D648" s="10" t="inlineStr">
        <is>
          <t>1381100149</t>
        </is>
      </c>
      <c r="E648" s="26" t="inlineStr">
        <is>
          <t>National Capital Region (NCR)</t>
        </is>
      </c>
      <c r="F648" s="26" t="inlineStr">
        <is>
          <t>Fourth District (Not a Province)</t>
        </is>
      </c>
      <c r="G648" s="26" t="inlineStr">
        <is>
          <t>Pasay City</t>
        </is>
      </c>
      <c r="H648" s="26" t="inlineStr">
        <is>
          <t>Barangay 149</t>
        </is>
      </c>
      <c r="I648" s="27" t="n">
        <v>14.549043</v>
      </c>
      <c r="J648" s="27" t="n">
        <v>121.051315</v>
      </c>
      <c r="K648" s="10" t="inlineStr">
        <is>
          <t>U</t>
        </is>
      </c>
      <c r="L648" s="12" t="n">
        <v>790</v>
      </c>
      <c r="M648" s="14" t="n">
        <v>3.4</v>
      </c>
      <c r="N648" s="12">
        <f>ROUND(L648/M648, 0)</f>
        <v/>
      </c>
      <c r="O648" s="12">
        <f>ROUND(N648*'Methodology &amp; Assumptions'!$B$5, 0)</f>
        <v/>
      </c>
      <c r="P648" s="10" t="inlineStr">
        <is>
          <t>Single Carrier (Band n50, 100MHz TDD)</t>
        </is>
      </c>
      <c r="Q648" s="13">
        <f>ROUNDUP(O648/'Methodology &amp; Assumptions'!$B$6, 0)</f>
        <v/>
      </c>
      <c r="R648" s="13" t="n">
        <v>1</v>
      </c>
      <c r="S648" s="14" t="n">
        <v>1.74</v>
      </c>
      <c r="T648" s="14" t="n">
        <v>0.53</v>
      </c>
      <c r="U648" s="26">
        <f>IF(X648&gt;='Methodology &amp; Assumptions'!$B$7, "Tier 1 Critical GIDA (Score ≥ 50.0)", IF(X648&gt;='Methodology &amp; Assumptions'!$B$8, "Tier 2 High GIDA (Score 40.0–49.9)", "Tier 3 Moderate GIDA (Score &lt; 40.0)"))</f>
        <v/>
      </c>
      <c r="V648" s="26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W648" s="28" t="n">
        <v>0.109</v>
      </c>
      <c r="X648" s="14" t="n">
        <v>49.85</v>
      </c>
      <c r="Y648" s="14">
        <f>ROUND(MIN(100, (X648/69.91)*100), 2)</f>
        <v/>
      </c>
    </row>
    <row r="649">
      <c r="A649" s="10" t="n">
        <v>2</v>
      </c>
      <c r="B649" s="10" t="n">
        <v>645</v>
      </c>
      <c r="C649" s="10" t="n">
        <v>1645</v>
      </c>
      <c r="D649" s="10" t="inlineStr">
        <is>
          <t>1381300079</t>
        </is>
      </c>
      <c r="E649" s="26" t="inlineStr">
        <is>
          <t>National Capital Region (NCR)</t>
        </is>
      </c>
      <c r="F649" s="26" t="inlineStr">
        <is>
          <t>Second District (Not a Province)</t>
        </is>
      </c>
      <c r="G649" s="26" t="inlineStr">
        <is>
          <t>Quezon City</t>
        </is>
      </c>
      <c r="H649" s="26" t="inlineStr">
        <is>
          <t>Pasong Putik Proper</t>
        </is>
      </c>
      <c r="I649" s="27" t="n">
        <v>14.741814</v>
      </c>
      <c r="J649" s="27" t="n">
        <v>121.065467</v>
      </c>
      <c r="K649" s="10" t="inlineStr">
        <is>
          <t>U</t>
        </is>
      </c>
      <c r="L649" s="12" t="n">
        <v>41570</v>
      </c>
      <c r="M649" s="14" t="n">
        <v>3.8</v>
      </c>
      <c r="N649" s="12">
        <f>ROUND(L649/M649, 0)</f>
        <v/>
      </c>
      <c r="O649" s="12">
        <f>ROUND(N649*'Methodology &amp; Assumptions'!$B$5, 0)</f>
        <v/>
      </c>
      <c r="P649" s="10" t="inlineStr">
        <is>
          <t>Single Carrier (Band n50, 100MHz TDD)</t>
        </is>
      </c>
      <c r="Q649" s="13">
        <f>ROUNDUP(O649/'Methodology &amp; Assumptions'!$B$6, 0)</f>
        <v/>
      </c>
      <c r="R649" s="13" t="n">
        <v>1</v>
      </c>
      <c r="S649" s="14" t="n">
        <v>1.3</v>
      </c>
      <c r="T649" s="14" t="n">
        <v>0.7</v>
      </c>
      <c r="U649" s="26">
        <f>IF(X649&gt;='Methodology &amp; Assumptions'!$B$7, "Tier 1 Critical GIDA (Score ≥ 50.0)", IF(X649&gt;='Methodology &amp; Assumptions'!$B$8, "Tier 2 High GIDA (Score 40.0–49.9)", "Tier 3 Moderate GIDA (Score &lt; 40.0)"))</f>
        <v/>
      </c>
      <c r="V649" s="26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W649" s="28" t="n">
        <v>0.109</v>
      </c>
      <c r="X649" s="14" t="n">
        <v>49.85</v>
      </c>
      <c r="Y649" s="14">
        <f>ROUND(MIN(100, (X649/69.91)*100), 2)</f>
        <v/>
      </c>
    </row>
    <row r="650">
      <c r="A650" s="10" t="n">
        <v>2</v>
      </c>
      <c r="B650" s="10" t="n">
        <v>646</v>
      </c>
      <c r="C650" s="10" t="n">
        <v>1646</v>
      </c>
      <c r="D650" s="10" t="inlineStr">
        <is>
          <t>1381100046</t>
        </is>
      </c>
      <c r="E650" s="26" t="inlineStr">
        <is>
          <t>National Capital Region (NCR)</t>
        </is>
      </c>
      <c r="F650" s="26" t="inlineStr">
        <is>
          <t>Fourth District (Not a Province)</t>
        </is>
      </c>
      <c r="G650" s="26" t="inlineStr">
        <is>
          <t>Pasay City</t>
        </is>
      </c>
      <c r="H650" s="26" t="inlineStr">
        <is>
          <t>Barangay 46</t>
        </is>
      </c>
      <c r="I650" s="27" t="n">
        <v>14.502728</v>
      </c>
      <c r="J650" s="27" t="n">
        <v>120.973439</v>
      </c>
      <c r="K650" s="10" t="inlineStr">
        <is>
          <t>U</t>
        </is>
      </c>
      <c r="L650" s="12" t="n">
        <v>5947</v>
      </c>
      <c r="M650" s="14" t="n">
        <v>3.4</v>
      </c>
      <c r="N650" s="12">
        <f>ROUND(L650/M650, 0)</f>
        <v/>
      </c>
      <c r="O650" s="12">
        <f>ROUND(N650*'Methodology &amp; Assumptions'!$B$5, 0)</f>
        <v/>
      </c>
      <c r="P650" s="10" t="inlineStr">
        <is>
          <t>Single Carrier (Band n50, 100MHz TDD)</t>
        </is>
      </c>
      <c r="Q650" s="13">
        <f>ROUNDUP(O650/'Methodology &amp; Assumptions'!$B$6, 0)</f>
        <v/>
      </c>
      <c r="R650" s="13" t="n">
        <v>1</v>
      </c>
      <c r="S650" s="14" t="n">
        <v>1.89</v>
      </c>
      <c r="T650" s="14" t="n">
        <v>1.87</v>
      </c>
      <c r="U650" s="26">
        <f>IF(X650&gt;='Methodology &amp; Assumptions'!$B$7, "Tier 1 Critical GIDA (Score ≥ 50.0)", IF(X650&gt;='Methodology &amp; Assumptions'!$B$8, "Tier 2 High GIDA (Score 40.0–49.9)", "Tier 3 Moderate GIDA (Score &lt; 40.0)"))</f>
        <v/>
      </c>
      <c r="V650" s="26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W650" s="28" t="n">
        <v>0.109</v>
      </c>
      <c r="X650" s="14" t="n">
        <v>49.84</v>
      </c>
      <c r="Y650" s="14">
        <f>ROUND(MIN(100, (X650/69.91)*100), 2)</f>
        <v/>
      </c>
    </row>
    <row r="651">
      <c r="A651" s="10" t="n">
        <v>2</v>
      </c>
      <c r="B651" s="10" t="n">
        <v>647</v>
      </c>
      <c r="C651" s="10" t="n">
        <v>1647</v>
      </c>
      <c r="D651" s="10" t="inlineStr">
        <is>
          <t>0205007022</t>
        </is>
      </c>
      <c r="E651" s="26" t="inlineStr">
        <is>
          <t>Region II (Cagayan Valley)</t>
        </is>
      </c>
      <c r="F651" s="26" t="inlineStr">
        <is>
          <t>Nueva Vizcaya</t>
        </is>
      </c>
      <c r="G651" s="26" t="inlineStr">
        <is>
          <t>Dupax del Norte</t>
        </is>
      </c>
      <c r="H651" s="26" t="inlineStr">
        <is>
          <t>Macabenga</t>
        </is>
      </c>
      <c r="I651" s="27" t="n">
        <v>16.210836</v>
      </c>
      <c r="J651" s="27" t="n">
        <v>121.232803</v>
      </c>
      <c r="K651" s="10" t="inlineStr">
        <is>
          <t>R</t>
        </is>
      </c>
      <c r="L651" s="12" t="n">
        <v>1807</v>
      </c>
      <c r="M651" s="14" t="n">
        <v>3.8</v>
      </c>
      <c r="N651" s="12">
        <f>ROUND(L651/M651, 0)</f>
        <v/>
      </c>
      <c r="O651" s="12">
        <f>ROUND(N651*'Methodology &amp; Assumptions'!$B$5, 0)</f>
        <v/>
      </c>
      <c r="P651" s="10" t="inlineStr">
        <is>
          <t>Single Carrier (Band n50, 100MHz TDD)</t>
        </is>
      </c>
      <c r="Q651" s="13">
        <f>ROUNDUP(O651/'Methodology &amp; Assumptions'!$B$6, 0)</f>
        <v/>
      </c>
      <c r="R651" s="13" t="n">
        <v>1</v>
      </c>
      <c r="S651" s="14" t="n">
        <v>0.41</v>
      </c>
      <c r="T651" s="14" t="n">
        <v>21.28</v>
      </c>
      <c r="U651" s="26">
        <f>IF(X651&gt;='Methodology &amp; Assumptions'!$B$7, "Tier 1 Critical GIDA (Score ≥ 50.0)", IF(X651&gt;='Methodology &amp; Assumptions'!$B$8, "Tier 2 High GIDA (Score 40.0–49.9)", "Tier 3 Moderate GIDA (Score &lt; 40.0)"))</f>
        <v/>
      </c>
      <c r="V651" s="26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W651" s="28" t="n">
        <v>0.083</v>
      </c>
      <c r="X651" s="14" t="n">
        <v>49.84</v>
      </c>
      <c r="Y651" s="14">
        <f>ROUND(MIN(100, (X651/69.91)*100), 2)</f>
        <v/>
      </c>
    </row>
    <row r="652">
      <c r="A652" s="10" t="n">
        <v>2</v>
      </c>
      <c r="B652" s="10" t="n">
        <v>648</v>
      </c>
      <c r="C652" s="10" t="n">
        <v>1648</v>
      </c>
      <c r="D652" s="10" t="inlineStr">
        <is>
          <t>0806016013</t>
        </is>
      </c>
      <c r="E652" s="26" t="inlineStr">
        <is>
          <t>Region VIII (Eastern Visayas)</t>
        </is>
      </c>
      <c r="F652" s="26" t="inlineStr">
        <is>
          <t>Samar</t>
        </is>
      </c>
      <c r="G652" s="26" t="inlineStr">
        <is>
          <t>Santa Margarita</t>
        </is>
      </c>
      <c r="H652" s="26" t="inlineStr">
        <is>
          <t>Canmoros</t>
        </is>
      </c>
      <c r="I652" s="27" t="n">
        <v>12.05619</v>
      </c>
      <c r="J652" s="27" t="n">
        <v>124.73072</v>
      </c>
      <c r="K652" s="10" t="inlineStr">
        <is>
          <t>R</t>
        </is>
      </c>
      <c r="L652" s="12" t="n">
        <v>217</v>
      </c>
      <c r="M652" s="14" t="n">
        <v>4.1</v>
      </c>
      <c r="N652" s="12">
        <f>ROUND(L652/M652, 0)</f>
        <v/>
      </c>
      <c r="O652" s="12">
        <f>ROUND(N652*'Methodology &amp; Assumptions'!$B$5, 0)</f>
        <v/>
      </c>
      <c r="P652" s="10" t="inlineStr">
        <is>
          <t>Single Carrier (Band n50, 100MHz TDD)</t>
        </is>
      </c>
      <c r="Q652" s="13">
        <f>ROUNDUP(O652/'Methodology &amp; Assumptions'!$B$6, 0)</f>
        <v/>
      </c>
      <c r="R652" s="13" t="n">
        <v>1</v>
      </c>
      <c r="S652" s="14" t="n">
        <v>84.23</v>
      </c>
      <c r="T652" s="14" t="n">
        <v>84.20999999999999</v>
      </c>
      <c r="U652" s="26">
        <f>IF(X652&gt;='Methodology &amp; Assumptions'!$B$7, "Tier 1 Critical GIDA (Score ≥ 50.0)", IF(X652&gt;='Methodology &amp; Assumptions'!$B$8, "Tier 2 High GIDA (Score 40.0–49.9)", "Tier 3 Moderate GIDA (Score &lt; 40.0)"))</f>
        <v/>
      </c>
      <c r="V652" s="26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W652" s="28" t="n">
        <v>0.237</v>
      </c>
      <c r="X652" s="14" t="n">
        <v>49.84</v>
      </c>
      <c r="Y652" s="14">
        <f>ROUND(MIN(100, (X652/69.91)*100), 2)</f>
        <v/>
      </c>
    </row>
    <row r="653">
      <c r="A653" s="10" t="n">
        <v>2</v>
      </c>
      <c r="B653" s="10" t="n">
        <v>649</v>
      </c>
      <c r="C653" s="10" t="n">
        <v>1649</v>
      </c>
      <c r="D653" s="10" t="inlineStr">
        <is>
          <t>1381100151</t>
        </is>
      </c>
      <c r="E653" s="26" t="inlineStr">
        <is>
          <t>National Capital Region (NCR)</t>
        </is>
      </c>
      <c r="F653" s="26" t="inlineStr">
        <is>
          <t>Fourth District (Not a Province)</t>
        </is>
      </c>
      <c r="G653" s="26" t="inlineStr">
        <is>
          <t>Pasay City</t>
        </is>
      </c>
      <c r="H653" s="26" t="inlineStr">
        <is>
          <t>Barangay 151</t>
        </is>
      </c>
      <c r="I653" s="27" t="n">
        <v>14.590217</v>
      </c>
      <c r="J653" s="27" t="n">
        <v>120.999257</v>
      </c>
      <c r="K653" s="10" t="inlineStr">
        <is>
          <t>U</t>
        </is>
      </c>
      <c r="L653" s="12" t="n">
        <v>1208</v>
      </c>
      <c r="M653" s="14" t="n">
        <v>3.4</v>
      </c>
      <c r="N653" s="12">
        <f>ROUND(L653/M653, 0)</f>
        <v/>
      </c>
      <c r="O653" s="12">
        <f>ROUND(N653*'Methodology &amp; Assumptions'!$B$5, 0)</f>
        <v/>
      </c>
      <c r="P653" s="10" t="inlineStr">
        <is>
          <t>Single Carrier (Band n50, 100MHz TDD)</t>
        </is>
      </c>
      <c r="Q653" s="13">
        <f>ROUNDUP(O653/'Methodology &amp; Assumptions'!$B$6, 0)</f>
        <v/>
      </c>
      <c r="R653" s="13" t="n">
        <v>1</v>
      </c>
      <c r="S653" s="14" t="n">
        <v>0.75</v>
      </c>
      <c r="T653" s="14" t="n">
        <v>0.44</v>
      </c>
      <c r="U653" s="26">
        <f>IF(X653&gt;='Methodology &amp; Assumptions'!$B$7, "Tier 1 Critical GIDA (Score ≥ 50.0)", IF(X653&gt;='Methodology &amp; Assumptions'!$B$8, "Tier 2 High GIDA (Score 40.0–49.9)", "Tier 3 Moderate GIDA (Score &lt; 40.0)"))</f>
        <v/>
      </c>
      <c r="V653" s="26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W653" s="28" t="n">
        <v>0.109</v>
      </c>
      <c r="X653" s="14" t="n">
        <v>49.84</v>
      </c>
      <c r="Y653" s="14">
        <f>ROUND(MIN(100, (X653/69.91)*100), 2)</f>
        <v/>
      </c>
    </row>
    <row r="654">
      <c r="A654" s="10" t="n">
        <v>2</v>
      </c>
      <c r="B654" s="10" t="n">
        <v>650</v>
      </c>
      <c r="C654" s="10" t="n">
        <v>1650</v>
      </c>
      <c r="D654" s="10" t="inlineStr">
        <is>
          <t>0806009013</t>
        </is>
      </c>
      <c r="E654" s="26" t="inlineStr">
        <is>
          <t>Region VIII (Eastern Visayas)</t>
        </is>
      </c>
      <c r="F654" s="26" t="inlineStr">
        <is>
          <t>Samar</t>
        </is>
      </c>
      <c r="G654" s="26" t="inlineStr">
        <is>
          <t>Jiabong</t>
        </is>
      </c>
      <c r="H654" s="26" t="inlineStr">
        <is>
          <t>Hinaga</t>
        </is>
      </c>
      <c r="I654" s="27" t="n">
        <v>11.76236</v>
      </c>
      <c r="J654" s="27" t="n">
        <v>124.950228</v>
      </c>
      <c r="K654" s="10" t="inlineStr">
        <is>
          <t>R</t>
        </is>
      </c>
      <c r="L654" s="12" t="n">
        <v>289</v>
      </c>
      <c r="M654" s="14" t="n">
        <v>4.1</v>
      </c>
      <c r="N654" s="12">
        <f>ROUND(L654/M654, 0)</f>
        <v/>
      </c>
      <c r="O654" s="12">
        <f>ROUND(N654*'Methodology &amp; Assumptions'!$B$5, 0)</f>
        <v/>
      </c>
      <c r="P654" s="10" t="inlineStr">
        <is>
          <t>Single Carrier (Band n50, 100MHz TDD)</t>
        </is>
      </c>
      <c r="Q654" s="13">
        <f>ROUNDUP(O654/'Methodology &amp; Assumptions'!$B$6, 0)</f>
        <v/>
      </c>
      <c r="R654" s="13" t="n">
        <v>1</v>
      </c>
      <c r="S654" s="14" t="n">
        <v>58.4</v>
      </c>
      <c r="T654" s="14" t="n">
        <v>58.64</v>
      </c>
      <c r="U654" s="26">
        <f>IF(X654&gt;='Methodology &amp; Assumptions'!$B$7, "Tier 1 Critical GIDA (Score ≥ 50.0)", IF(X654&gt;='Methodology &amp; Assumptions'!$B$8, "Tier 2 High GIDA (Score 40.0–49.9)", "Tier 3 Moderate GIDA (Score &lt; 40.0)"))</f>
        <v/>
      </c>
      <c r="V654" s="26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W654" s="28" t="n">
        <v>0.237</v>
      </c>
      <c r="X654" s="14" t="n">
        <v>49.84</v>
      </c>
      <c r="Y654" s="14">
        <f>ROUND(MIN(100, (X654/69.91)*100), 2)</f>
        <v/>
      </c>
    </row>
    <row r="655">
      <c r="A655" s="10" t="n">
        <v>2</v>
      </c>
      <c r="B655" s="10" t="n">
        <v>651</v>
      </c>
      <c r="C655" s="10" t="n">
        <v>1651</v>
      </c>
      <c r="D655" s="10" t="inlineStr">
        <is>
          <t>1380900004</t>
        </is>
      </c>
      <c r="E655" s="26" t="inlineStr">
        <is>
          <t>National Capital Region (NCR)</t>
        </is>
      </c>
      <c r="F655" s="26" t="inlineStr">
        <is>
          <t>Third District (Not a Province)</t>
        </is>
      </c>
      <c r="G655" s="26" t="inlineStr">
        <is>
          <t>City of Navotas</t>
        </is>
      </c>
      <c r="H655" s="26" t="inlineStr">
        <is>
          <t>Bangculasi</t>
        </is>
      </c>
      <c r="I655" s="27" t="n">
        <v>14.651178</v>
      </c>
      <c r="J655" s="27" t="n">
        <v>120.952663</v>
      </c>
      <c r="K655" s="10" t="inlineStr">
        <is>
          <t>U</t>
        </is>
      </c>
      <c r="L655" s="12" t="n">
        <v>8524</v>
      </c>
      <c r="M655" s="14" t="n">
        <v>3.4</v>
      </c>
      <c r="N655" s="12">
        <f>ROUND(L655/M655, 0)</f>
        <v/>
      </c>
      <c r="O655" s="12">
        <f>ROUND(N655*'Methodology &amp; Assumptions'!$B$5, 0)</f>
        <v/>
      </c>
      <c r="P655" s="10" t="inlineStr">
        <is>
          <t>Single Carrier (Band n50, 100MHz TDD)</t>
        </is>
      </c>
      <c r="Q655" s="13">
        <f>ROUNDUP(O655/'Methodology &amp; Assumptions'!$B$6, 0)</f>
        <v/>
      </c>
      <c r="R655" s="13" t="n">
        <v>1</v>
      </c>
      <c r="S655" s="14" t="n">
        <v>0.85</v>
      </c>
      <c r="T655" s="14" t="n">
        <v>0.66</v>
      </c>
      <c r="U655" s="26">
        <f>IF(X655&gt;='Methodology &amp; Assumptions'!$B$7, "Tier 1 Critical GIDA (Score ≥ 50.0)", IF(X655&gt;='Methodology &amp; Assumptions'!$B$8, "Tier 2 High GIDA (Score 40.0–49.9)", "Tier 3 Moderate GIDA (Score &lt; 40.0)"))</f>
        <v/>
      </c>
      <c r="V655" s="26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W655" s="28" t="n">
        <v>0.109</v>
      </c>
      <c r="X655" s="14" t="n">
        <v>49.84</v>
      </c>
      <c r="Y655" s="14">
        <f>ROUND(MIN(100, (X655/69.91)*100), 2)</f>
        <v/>
      </c>
    </row>
    <row r="656">
      <c r="A656" s="10" t="n">
        <v>2</v>
      </c>
      <c r="B656" s="10" t="n">
        <v>652</v>
      </c>
      <c r="C656" s="10" t="n">
        <v>1652</v>
      </c>
      <c r="D656" s="10" t="inlineStr">
        <is>
          <t>1380606060</t>
        </is>
      </c>
      <c r="E656" s="26" t="inlineStr">
        <is>
          <t>National Capital Region (NCR)</t>
        </is>
      </c>
      <c r="F656" s="26" t="inlineStr">
        <is>
          <t>First District (Not a Province)</t>
        </is>
      </c>
      <c r="G656" s="26" t="inlineStr">
        <is>
          <t>City of Manila</t>
        </is>
      </c>
      <c r="H656" s="26" t="inlineStr">
        <is>
          <t>Barangay 454</t>
        </is>
      </c>
      <c r="I656" s="27" t="n">
        <v>12.625102</v>
      </c>
      <c r="J656" s="27" t="n">
        <v>121.940383</v>
      </c>
      <c r="K656" s="10" t="inlineStr">
        <is>
          <t>U</t>
        </is>
      </c>
      <c r="L656" s="12" t="n">
        <v>1188</v>
      </c>
      <c r="M656" s="14" t="n">
        <v>3.9</v>
      </c>
      <c r="N656" s="12">
        <f>ROUND(L656/M656, 0)</f>
        <v/>
      </c>
      <c r="O656" s="12">
        <f>ROUND(N656*'Methodology &amp; Assumptions'!$B$5, 0)</f>
        <v/>
      </c>
      <c r="P656" s="10" t="inlineStr">
        <is>
          <t>Single Carrier (Band n50, 100MHz TDD)</t>
        </is>
      </c>
      <c r="Q656" s="13">
        <f>ROUNDUP(O656/'Methodology &amp; Assumptions'!$B$6, 0)</f>
        <v/>
      </c>
      <c r="R656" s="13" t="n">
        <v>1</v>
      </c>
      <c r="S656" s="14" t="n">
        <v>42.24</v>
      </c>
      <c r="T656" s="14" t="n">
        <v>34.32</v>
      </c>
      <c r="U656" s="26">
        <f>IF(X656&gt;='Methodology &amp; Assumptions'!$B$7, "Tier 1 Critical GIDA (Score ≥ 50.0)", IF(X656&gt;='Methodology &amp; Assumptions'!$B$8, "Tier 2 High GIDA (Score 40.0–49.9)", "Tier 3 Moderate GIDA (Score &lt; 40.0)"))</f>
        <v/>
      </c>
      <c r="V656" s="26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W656" s="28" t="n">
        <v>0.109</v>
      </c>
      <c r="X656" s="14" t="n">
        <v>49.83</v>
      </c>
      <c r="Y656" s="14">
        <f>ROUND(MIN(100, (X656/69.91)*100), 2)</f>
        <v/>
      </c>
    </row>
    <row r="657">
      <c r="A657" s="10" t="n">
        <v>2</v>
      </c>
      <c r="B657" s="10" t="n">
        <v>653</v>
      </c>
      <c r="C657" s="10" t="n">
        <v>1653</v>
      </c>
      <c r="D657" s="10" t="inlineStr">
        <is>
          <t>1380612025</t>
        </is>
      </c>
      <c r="E657" s="26" t="inlineStr">
        <is>
          <t>National Capital Region (NCR)</t>
        </is>
      </c>
      <c r="F657" s="26" t="inlineStr">
        <is>
          <t>First District (Not a Province)</t>
        </is>
      </c>
      <c r="G657" s="26" t="inlineStr">
        <is>
          <t>City of Manila</t>
        </is>
      </c>
      <c r="H657" s="26" t="inlineStr">
        <is>
          <t>Barangay 857</t>
        </is>
      </c>
      <c r="I657" s="27" t="n">
        <v>12.95818</v>
      </c>
      <c r="J657" s="27" t="n">
        <v>121.473549</v>
      </c>
      <c r="K657" s="10" t="inlineStr">
        <is>
          <t>U</t>
        </is>
      </c>
      <c r="L657" s="12" t="n">
        <v>1952</v>
      </c>
      <c r="M657" s="14" t="n">
        <v>3.9</v>
      </c>
      <c r="N657" s="12">
        <f>ROUND(L657/M657, 0)</f>
        <v/>
      </c>
      <c r="O657" s="12">
        <f>ROUND(N657*'Methodology &amp; Assumptions'!$B$5, 0)</f>
        <v/>
      </c>
      <c r="P657" s="10" t="inlineStr">
        <is>
          <t>Single Carrier (Band n50, 100MHz TDD)</t>
        </is>
      </c>
      <c r="Q657" s="13">
        <f>ROUNDUP(O657/'Methodology &amp; Assumptions'!$B$6, 0)</f>
        <v/>
      </c>
      <c r="R657" s="13" t="n">
        <v>1</v>
      </c>
      <c r="S657" s="14" t="n">
        <v>0.45</v>
      </c>
      <c r="T657" s="14" t="n">
        <v>0.42</v>
      </c>
      <c r="U657" s="26">
        <f>IF(X657&gt;='Methodology &amp; Assumptions'!$B$7, "Tier 1 Critical GIDA (Score ≥ 50.0)", IF(X657&gt;='Methodology &amp; Assumptions'!$B$8, "Tier 2 High GIDA (Score 40.0–49.9)", "Tier 3 Moderate GIDA (Score &lt; 40.0)"))</f>
        <v/>
      </c>
      <c r="V657" s="26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W657" s="28" t="n">
        <v>0.109</v>
      </c>
      <c r="X657" s="14" t="n">
        <v>49.83</v>
      </c>
      <c r="Y657" s="14">
        <f>ROUND(MIN(100, (X657/69.91)*100), 2)</f>
        <v/>
      </c>
    </row>
    <row r="658">
      <c r="A658" s="10" t="n">
        <v>2</v>
      </c>
      <c r="B658" s="10" t="n">
        <v>654</v>
      </c>
      <c r="C658" s="10" t="n">
        <v>1654</v>
      </c>
      <c r="D658" s="10" t="inlineStr">
        <is>
          <t>0806009011</t>
        </is>
      </c>
      <c r="E658" s="26" t="inlineStr">
        <is>
          <t>Region VIII (Eastern Visayas)</t>
        </is>
      </c>
      <c r="F658" s="26" t="inlineStr">
        <is>
          <t>Samar</t>
        </is>
      </c>
      <c r="G658" s="26" t="inlineStr">
        <is>
          <t>Jiabong</t>
        </is>
      </c>
      <c r="H658" s="26" t="inlineStr">
        <is>
          <t>Dogongan</t>
        </is>
      </c>
      <c r="I658" s="27" t="n">
        <v>11.91068</v>
      </c>
      <c r="J658" s="27" t="n">
        <v>124.99386</v>
      </c>
      <c r="K658" s="10" t="inlineStr">
        <is>
          <t>R</t>
        </is>
      </c>
      <c r="L658" s="12" t="n">
        <v>496</v>
      </c>
      <c r="M658" s="14" t="n">
        <v>4.1</v>
      </c>
      <c r="N658" s="12">
        <f>ROUND(L658/M658, 0)</f>
        <v/>
      </c>
      <c r="O658" s="12">
        <f>ROUND(N658*'Methodology &amp; Assumptions'!$B$5, 0)</f>
        <v/>
      </c>
      <c r="P658" s="10" t="inlineStr">
        <is>
          <t>Single Carrier (Band n50, 100MHz TDD)</t>
        </is>
      </c>
      <c r="Q658" s="13">
        <f>ROUNDUP(O658/'Methodology &amp; Assumptions'!$B$6, 0)</f>
        <v/>
      </c>
      <c r="R658" s="13" t="n">
        <v>1</v>
      </c>
      <c r="S658" s="14" t="n">
        <v>74.63</v>
      </c>
      <c r="T658" s="14" t="n">
        <v>75.51000000000001</v>
      </c>
      <c r="U658" s="26">
        <f>IF(X658&gt;='Methodology &amp; Assumptions'!$B$7, "Tier 1 Critical GIDA (Score ≥ 50.0)", IF(X658&gt;='Methodology &amp; Assumptions'!$B$8, "Tier 2 High GIDA (Score 40.0–49.9)", "Tier 3 Moderate GIDA (Score &lt; 40.0)"))</f>
        <v/>
      </c>
      <c r="V658" s="26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W658" s="28" t="n">
        <v>0.237</v>
      </c>
      <c r="X658" s="14" t="n">
        <v>49.83</v>
      </c>
      <c r="Y658" s="14">
        <f>ROUND(MIN(100, (X658/69.91)*100), 2)</f>
        <v/>
      </c>
    </row>
    <row r="659">
      <c r="A659" s="10" t="n">
        <v>2</v>
      </c>
      <c r="B659" s="10" t="n">
        <v>655</v>
      </c>
      <c r="C659" s="10" t="n">
        <v>1655</v>
      </c>
      <c r="D659" s="10" t="inlineStr">
        <is>
          <t>1381100037</t>
        </is>
      </c>
      <c r="E659" s="26" t="inlineStr">
        <is>
          <t>National Capital Region (NCR)</t>
        </is>
      </c>
      <c r="F659" s="26" t="inlineStr">
        <is>
          <t>Fourth District (Not a Province)</t>
        </is>
      </c>
      <c r="G659" s="26" t="inlineStr">
        <is>
          <t>Pasay City</t>
        </is>
      </c>
      <c r="H659" s="26" t="inlineStr">
        <is>
          <t>Barangay 37</t>
        </is>
      </c>
      <c r="I659" s="27" t="n">
        <v>14.506573</v>
      </c>
      <c r="J659" s="27" t="n">
        <v>121.042434</v>
      </c>
      <c r="K659" s="10" t="inlineStr">
        <is>
          <t>U</t>
        </is>
      </c>
      <c r="L659" s="12" t="n">
        <v>1572</v>
      </c>
      <c r="M659" s="14" t="n">
        <v>3.4</v>
      </c>
      <c r="N659" s="12">
        <f>ROUND(L659/M659, 0)</f>
        <v/>
      </c>
      <c r="O659" s="12">
        <f>ROUND(N659*'Methodology &amp; Assumptions'!$B$5, 0)</f>
        <v/>
      </c>
      <c r="P659" s="10" t="inlineStr">
        <is>
          <t>Single Carrier (Band n50, 100MHz TDD)</t>
        </is>
      </c>
      <c r="Q659" s="13">
        <f>ROUNDUP(O659/'Methodology &amp; Assumptions'!$B$6, 0)</f>
        <v/>
      </c>
      <c r="R659" s="13" t="n">
        <v>1</v>
      </c>
      <c r="S659" s="14" t="n">
        <v>1.5</v>
      </c>
      <c r="T659" s="14" t="n">
        <v>0.37</v>
      </c>
      <c r="U659" s="26">
        <f>IF(X659&gt;='Methodology &amp; Assumptions'!$B$7, "Tier 1 Critical GIDA (Score ≥ 50.0)", IF(X659&gt;='Methodology &amp; Assumptions'!$B$8, "Tier 2 High GIDA (Score 40.0–49.9)", "Tier 3 Moderate GIDA (Score &lt; 40.0)"))</f>
        <v/>
      </c>
      <c r="V659" s="26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W659" s="28" t="n">
        <v>0.109</v>
      </c>
      <c r="X659" s="14" t="n">
        <v>49.83</v>
      </c>
      <c r="Y659" s="14">
        <f>ROUND(MIN(100, (X659/69.91)*100), 2)</f>
        <v/>
      </c>
    </row>
    <row r="660">
      <c r="A660" s="10" t="n">
        <v>2</v>
      </c>
      <c r="B660" s="10" t="n">
        <v>656</v>
      </c>
      <c r="C660" s="10" t="n">
        <v>1656</v>
      </c>
      <c r="D660" s="10" t="inlineStr">
        <is>
          <t>0402106069</t>
        </is>
      </c>
      <c r="E660" s="26" t="inlineStr">
        <is>
          <t>Region IV-A (CALABARZON)</t>
        </is>
      </c>
      <c r="F660" s="26" t="inlineStr">
        <is>
          <t>Cavite</t>
        </is>
      </c>
      <c r="G660" s="26" t="inlineStr">
        <is>
          <t>City of Dasmariñas</t>
        </is>
      </c>
      <c r="H660" s="26" t="inlineStr">
        <is>
          <t>San Francisco II</t>
        </is>
      </c>
      <c r="I660" s="27" t="n">
        <v>14.318983</v>
      </c>
      <c r="J660" s="27" t="n">
        <v>120.966748</v>
      </c>
      <c r="K660" s="10" t="inlineStr">
        <is>
          <t>R</t>
        </is>
      </c>
      <c r="L660" s="12" t="n">
        <v>3540</v>
      </c>
      <c r="M660" s="14" t="n">
        <v>3.4</v>
      </c>
      <c r="N660" s="12">
        <f>ROUND(L660/M660, 0)</f>
        <v/>
      </c>
      <c r="O660" s="12">
        <f>ROUND(N660*'Methodology &amp; Assumptions'!$B$5, 0)</f>
        <v/>
      </c>
      <c r="P660" s="10" t="inlineStr">
        <is>
          <t>Single Carrier (Band n50, 100MHz TDD)</t>
        </is>
      </c>
      <c r="Q660" s="13">
        <f>ROUNDUP(O660/'Methodology &amp; Assumptions'!$B$6, 0)</f>
        <v/>
      </c>
      <c r="R660" s="13" t="n">
        <v>1</v>
      </c>
      <c r="S660" s="14" t="n">
        <v>0.74</v>
      </c>
      <c r="T660" s="14" t="n">
        <v>2.35</v>
      </c>
      <c r="U660" s="26">
        <f>IF(X660&gt;='Methodology &amp; Assumptions'!$B$7, "Tier 1 Critical GIDA (Score ≥ 50.0)", IF(X660&gt;='Methodology &amp; Assumptions'!$B$8, "Tier 2 High GIDA (Score 40.0–49.9)", "Tier 3 Moderate GIDA (Score &lt; 40.0)"))</f>
        <v/>
      </c>
      <c r="V660" s="26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W660" s="28" t="n">
        <v>0.07200000000000001</v>
      </c>
      <c r="X660" s="14" t="n">
        <v>49.82</v>
      </c>
      <c r="Y660" s="14">
        <f>ROUND(MIN(100, (X660/69.91)*100), 2)</f>
        <v/>
      </c>
    </row>
    <row r="661">
      <c r="A661" s="10" t="n">
        <v>2</v>
      </c>
      <c r="B661" s="10" t="n">
        <v>657</v>
      </c>
      <c r="C661" s="10" t="n">
        <v>1657</v>
      </c>
      <c r="D661" s="10" t="inlineStr">
        <is>
          <t>0401005076</t>
        </is>
      </c>
      <c r="E661" s="26" t="inlineStr">
        <is>
          <t>Region IV-A (CALABARZON)</t>
        </is>
      </c>
      <c r="F661" s="26" t="inlineStr">
        <is>
          <t>Batangas</t>
        </is>
      </c>
      <c r="G661" s="26" t="inlineStr">
        <is>
          <t>Batangas City</t>
        </is>
      </c>
      <c r="H661" s="26" t="inlineStr">
        <is>
          <t>Barangay 7</t>
        </is>
      </c>
      <c r="I661" s="27" t="n">
        <v>13.760902</v>
      </c>
      <c r="J661" s="27" t="n">
        <v>121.061294</v>
      </c>
      <c r="K661" s="10" t="inlineStr">
        <is>
          <t>U</t>
        </is>
      </c>
      <c r="L661" s="12" t="n">
        <v>463</v>
      </c>
      <c r="M661" s="14" t="n">
        <v>3.6</v>
      </c>
      <c r="N661" s="12">
        <f>ROUND(L661/M661, 0)</f>
        <v/>
      </c>
      <c r="O661" s="12">
        <f>ROUND(N661*'Methodology &amp; Assumptions'!$B$5, 0)</f>
        <v/>
      </c>
      <c r="P661" s="10" t="inlineStr">
        <is>
          <t>Single Carrier (Band n50, 100MHz TDD)</t>
        </is>
      </c>
      <c r="Q661" s="13">
        <f>ROUNDUP(O661/'Methodology &amp; Assumptions'!$B$6, 0)</f>
        <v/>
      </c>
      <c r="R661" s="13" t="n">
        <v>1</v>
      </c>
      <c r="S661" s="14" t="n">
        <v>0.51</v>
      </c>
      <c r="T661" s="14" t="n">
        <v>0.25</v>
      </c>
      <c r="U661" s="26">
        <f>IF(X661&gt;='Methodology &amp; Assumptions'!$B$7, "Tier 1 Critical GIDA (Score ≥ 50.0)", IF(X661&gt;='Methodology &amp; Assumptions'!$B$8, "Tier 2 High GIDA (Score 40.0–49.9)", "Tier 3 Moderate GIDA (Score &lt; 40.0)"))</f>
        <v/>
      </c>
      <c r="V661" s="26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W661" s="28" t="n">
        <v>0.07200000000000001</v>
      </c>
      <c r="X661" s="14" t="n">
        <v>49.82</v>
      </c>
      <c r="Y661" s="14">
        <f>ROUND(MIN(100, (X661/69.91)*100), 2)</f>
        <v/>
      </c>
    </row>
    <row r="662">
      <c r="A662" s="10" t="n">
        <v>2</v>
      </c>
      <c r="B662" s="10" t="n">
        <v>658</v>
      </c>
      <c r="C662" s="10" t="n">
        <v>1658</v>
      </c>
      <c r="D662" s="10" t="inlineStr">
        <is>
          <t>1380601148</t>
        </is>
      </c>
      <c r="E662" s="26" t="inlineStr">
        <is>
          <t>National Capital Region (NCR)</t>
        </is>
      </c>
      <c r="F662" s="26" t="inlineStr">
        <is>
          <t>First District (Not a Province)</t>
        </is>
      </c>
      <c r="G662" s="26" t="inlineStr">
        <is>
          <t>City of Manila</t>
        </is>
      </c>
      <c r="H662" s="26" t="inlineStr">
        <is>
          <t>Barangay 148</t>
        </is>
      </c>
      <c r="I662" s="27" t="n">
        <v>13.020336</v>
      </c>
      <c r="J662" s="27" t="n">
        <v>122.051133</v>
      </c>
      <c r="K662" s="10" t="inlineStr">
        <is>
          <t>U</t>
        </is>
      </c>
      <c r="L662" s="12" t="n">
        <v>2404</v>
      </c>
      <c r="M662" s="14" t="n">
        <v>3.9</v>
      </c>
      <c r="N662" s="12">
        <f>ROUND(L662/M662, 0)</f>
        <v/>
      </c>
      <c r="O662" s="12">
        <f>ROUND(N662*'Methodology &amp; Assumptions'!$B$5, 0)</f>
        <v/>
      </c>
      <c r="P662" s="10" t="inlineStr">
        <is>
          <t>Single Carrier (Band n50, 100MHz TDD)</t>
        </is>
      </c>
      <c r="Q662" s="13">
        <f>ROUNDUP(O662/'Methodology &amp; Assumptions'!$B$6, 0)</f>
        <v/>
      </c>
      <c r="R662" s="13" t="n">
        <v>1</v>
      </c>
      <c r="S662" s="14" t="n">
        <v>59.18</v>
      </c>
      <c r="T662" s="14" t="n">
        <v>61.89</v>
      </c>
      <c r="U662" s="26">
        <f>IF(X662&gt;='Methodology &amp; Assumptions'!$B$7, "Tier 1 Critical GIDA (Score ≥ 50.0)", IF(X662&gt;='Methodology &amp; Assumptions'!$B$8, "Tier 2 High GIDA (Score 40.0–49.9)", "Tier 3 Moderate GIDA (Score &lt; 40.0)"))</f>
        <v/>
      </c>
      <c r="V662" s="26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W662" s="28" t="n">
        <v>0.109</v>
      </c>
      <c r="X662" s="14" t="n">
        <v>49.82</v>
      </c>
      <c r="Y662" s="14">
        <f>ROUND(MIN(100, (X662/69.91)*100), 2)</f>
        <v/>
      </c>
    </row>
    <row r="663">
      <c r="A663" s="10" t="n">
        <v>2</v>
      </c>
      <c r="B663" s="10" t="n">
        <v>659</v>
      </c>
      <c r="C663" s="10" t="n">
        <v>1659</v>
      </c>
      <c r="D663" s="10" t="inlineStr">
        <is>
          <t>1380200008</t>
        </is>
      </c>
      <c r="E663" s="26" t="inlineStr">
        <is>
          <t>National Capital Region (NCR)</t>
        </is>
      </c>
      <c r="F663" s="26" t="inlineStr">
        <is>
          <t>Fourth District (Not a Province)</t>
        </is>
      </c>
      <c r="G663" s="26" t="inlineStr">
        <is>
          <t>City of Las Piñas</t>
        </is>
      </c>
      <c r="H663" s="26" t="inlineStr">
        <is>
          <t>Talon Uno</t>
        </is>
      </c>
      <c r="I663" s="27" t="n">
        <v>14.43851</v>
      </c>
      <c r="J663" s="27" t="n">
        <v>121.00241</v>
      </c>
      <c r="K663" s="10" t="inlineStr">
        <is>
          <t>U</t>
        </is>
      </c>
      <c r="L663" s="12" t="n">
        <v>43154</v>
      </c>
      <c r="M663" s="14" t="n">
        <v>3.8</v>
      </c>
      <c r="N663" s="12">
        <f>ROUND(L663/M663, 0)</f>
        <v/>
      </c>
      <c r="O663" s="12">
        <f>ROUND(N663*'Methodology &amp; Assumptions'!$B$5, 0)</f>
        <v/>
      </c>
      <c r="P663" s="10" t="inlineStr">
        <is>
          <t>Single Carrier (Band n50, 100MHz TDD)</t>
        </is>
      </c>
      <c r="Q663" s="13">
        <f>ROUNDUP(O663/'Methodology &amp; Assumptions'!$B$6, 0)</f>
        <v/>
      </c>
      <c r="R663" s="13" t="n">
        <v>1</v>
      </c>
      <c r="S663" s="14" t="n">
        <v>0.36</v>
      </c>
      <c r="T663" s="14" t="n">
        <v>0.24</v>
      </c>
      <c r="U663" s="26">
        <f>IF(X663&gt;='Methodology &amp; Assumptions'!$B$7, "Tier 1 Critical GIDA (Score ≥ 50.0)", IF(X663&gt;='Methodology &amp; Assumptions'!$B$8, "Tier 2 High GIDA (Score 40.0–49.9)", "Tier 3 Moderate GIDA (Score &lt; 40.0)"))</f>
        <v/>
      </c>
      <c r="V663" s="26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W663" s="28" t="n">
        <v>0.109</v>
      </c>
      <c r="X663" s="14" t="n">
        <v>49.82</v>
      </c>
      <c r="Y663" s="14">
        <f>ROUND(MIN(100, (X663/69.91)*100), 2)</f>
        <v/>
      </c>
    </row>
    <row r="664">
      <c r="A664" s="10" t="n">
        <v>2</v>
      </c>
      <c r="B664" s="10" t="n">
        <v>660</v>
      </c>
      <c r="C664" s="10" t="n">
        <v>1660</v>
      </c>
      <c r="D664" s="10" t="inlineStr">
        <is>
          <t>0401005078</t>
        </is>
      </c>
      <c r="E664" s="26" t="inlineStr">
        <is>
          <t>Region IV-A (CALABARZON)</t>
        </is>
      </c>
      <c r="F664" s="26" t="inlineStr">
        <is>
          <t>Batangas</t>
        </is>
      </c>
      <c r="G664" s="26" t="inlineStr">
        <is>
          <t>Batangas City</t>
        </is>
      </c>
      <c r="H664" s="26" t="inlineStr">
        <is>
          <t>Barangay 9</t>
        </is>
      </c>
      <c r="I664" s="27" t="n">
        <v>13.715165</v>
      </c>
      <c r="J664" s="27" t="n">
        <v>121.076034</v>
      </c>
      <c r="K664" s="10" t="inlineStr">
        <is>
          <t>U</t>
        </is>
      </c>
      <c r="L664" s="12" t="n">
        <v>264</v>
      </c>
      <c r="M664" s="14" t="n">
        <v>3.6</v>
      </c>
      <c r="N664" s="12">
        <f>ROUND(L664/M664, 0)</f>
        <v/>
      </c>
      <c r="O664" s="12">
        <f>ROUND(N664*'Methodology &amp; Assumptions'!$B$5, 0)</f>
        <v/>
      </c>
      <c r="P664" s="10" t="inlineStr">
        <is>
          <t>Single Carrier (Band n50, 100MHz TDD)</t>
        </is>
      </c>
      <c r="Q664" s="13">
        <f>ROUNDUP(O664/'Methodology &amp; Assumptions'!$B$6, 0)</f>
        <v/>
      </c>
      <c r="R664" s="13" t="n">
        <v>1</v>
      </c>
      <c r="S664" s="14" t="n">
        <v>3.45</v>
      </c>
      <c r="T664" s="14" t="n">
        <v>4.83</v>
      </c>
      <c r="U664" s="26">
        <f>IF(X664&gt;='Methodology &amp; Assumptions'!$B$7, "Tier 1 Critical GIDA (Score ≥ 50.0)", IF(X664&gt;='Methodology &amp; Assumptions'!$B$8, "Tier 2 High GIDA (Score 40.0–49.9)", "Tier 3 Moderate GIDA (Score &lt; 40.0)"))</f>
        <v/>
      </c>
      <c r="V664" s="26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W664" s="28" t="n">
        <v>0.07200000000000001</v>
      </c>
      <c r="X664" s="14" t="n">
        <v>49.81</v>
      </c>
      <c r="Y664" s="14">
        <f>ROUND(MIN(100, (X664/69.91)*100), 2)</f>
        <v/>
      </c>
    </row>
    <row r="665">
      <c r="A665" s="10" t="n">
        <v>2</v>
      </c>
      <c r="B665" s="10" t="n">
        <v>661</v>
      </c>
      <c r="C665" s="10" t="n">
        <v>1661</v>
      </c>
      <c r="D665" s="10" t="inlineStr">
        <is>
          <t>PH0001661</t>
        </is>
      </c>
      <c r="E665" s="26" t="inlineStr">
        <is>
          <t>NCR</t>
        </is>
      </c>
      <c r="F665" s="26" t="inlineStr">
        <is>
          <t>Metro Manila</t>
        </is>
      </c>
      <c r="G665" s="26" t="inlineStr">
        <is>
          <t>Caloocan City</t>
        </is>
      </c>
      <c r="H665" s="26" t="inlineStr">
        <is>
          <t>Barangay 76</t>
        </is>
      </c>
      <c r="I665" s="27" t="n">
        <v>11.832855</v>
      </c>
      <c r="J665" s="27" t="n">
        <v>122.598004</v>
      </c>
      <c r="K665" s="10" t="inlineStr">
        <is>
          <t>R</t>
        </is>
      </c>
      <c r="L665" s="12" t="n">
        <v>2279</v>
      </c>
      <c r="M665" s="14" t="n">
        <v>3.8</v>
      </c>
      <c r="N665" s="12">
        <f>ROUND(L665/M665, 0)</f>
        <v/>
      </c>
      <c r="O665" s="12">
        <f>ROUND(N665*'Methodology &amp; Assumptions'!$B$5, 0)</f>
        <v/>
      </c>
      <c r="P665" s="10" t="inlineStr">
        <is>
          <t>Single Carrier (Band n50, 100MHz TDD)</t>
        </is>
      </c>
      <c r="Q665" s="13">
        <f>ROUNDUP(O665/'Methodology &amp; Assumptions'!$B$6, 0)</f>
        <v/>
      </c>
      <c r="R665" s="13" t="n">
        <v>1</v>
      </c>
      <c r="S665" s="14" t="n">
        <v>27.19</v>
      </c>
      <c r="T665" s="14" t="n">
        <v>0.85</v>
      </c>
      <c r="U665" s="26">
        <f>IF(X665&gt;='Methodology &amp; Assumptions'!$B$7, "Tier 1 Critical GIDA (Score ≥ 50.0)", IF(X665&gt;='Methodology &amp; Assumptions'!$B$8, "Tier 2 High GIDA (Score 40.0–49.9)", "Tier 3 Moderate GIDA (Score &lt; 40.0)"))</f>
        <v/>
      </c>
      <c r="V665" s="26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W665" s="28" t="n">
        <v>0.011</v>
      </c>
      <c r="X665" s="14" t="n">
        <v>49.81</v>
      </c>
      <c r="Y665" s="14">
        <f>ROUND(MIN(100, (X665/69.91)*100), 2)</f>
        <v/>
      </c>
    </row>
    <row r="666">
      <c r="A666" s="10" t="n">
        <v>2</v>
      </c>
      <c r="B666" s="10" t="n">
        <v>662</v>
      </c>
      <c r="C666" s="10" t="n">
        <v>1662</v>
      </c>
      <c r="D666" s="10" t="inlineStr">
        <is>
          <t>1381200021</t>
        </is>
      </c>
      <c r="E666" s="26" t="inlineStr">
        <is>
          <t>National Capital Region (NCR)</t>
        </is>
      </c>
      <c r="F666" s="26" t="inlineStr">
        <is>
          <t>Second District (Not a Province)</t>
        </is>
      </c>
      <c r="G666" s="26" t="inlineStr">
        <is>
          <t>City of Pasig</t>
        </is>
      </c>
      <c r="H666" s="26" t="inlineStr">
        <is>
          <t>San Jose</t>
        </is>
      </c>
      <c r="I666" s="27" t="n">
        <v>14.57265</v>
      </c>
      <c r="J666" s="27" t="n">
        <v>121.09788</v>
      </c>
      <c r="K666" s="10" t="inlineStr">
        <is>
          <t>U</t>
        </is>
      </c>
      <c r="L666" s="12" t="n">
        <v>1927</v>
      </c>
      <c r="M666" s="14" t="n">
        <v>3.4</v>
      </c>
      <c r="N666" s="12">
        <f>ROUND(L666/M666, 0)</f>
        <v/>
      </c>
      <c r="O666" s="12">
        <f>ROUND(N666*'Methodology &amp; Assumptions'!$B$5, 0)</f>
        <v/>
      </c>
      <c r="P666" s="10" t="inlineStr">
        <is>
          <t>Single Carrier (Band n50, 100MHz TDD)</t>
        </is>
      </c>
      <c r="Q666" s="13">
        <f>ROUNDUP(O666/'Methodology &amp; Assumptions'!$B$6, 0)</f>
        <v/>
      </c>
      <c r="R666" s="13" t="n">
        <v>1</v>
      </c>
      <c r="S666" s="14" t="n">
        <v>0.89</v>
      </c>
      <c r="T666" s="14" t="n">
        <v>0.53</v>
      </c>
      <c r="U666" s="26">
        <f>IF(X666&gt;='Methodology &amp; Assumptions'!$B$7, "Tier 1 Critical GIDA (Score ≥ 50.0)", IF(X666&gt;='Methodology &amp; Assumptions'!$B$8, "Tier 2 High GIDA (Score 40.0–49.9)", "Tier 3 Moderate GIDA (Score &lt; 40.0)"))</f>
        <v/>
      </c>
      <c r="V666" s="26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W666" s="28" t="n">
        <v>0.109</v>
      </c>
      <c r="X666" s="14" t="n">
        <v>49.81</v>
      </c>
      <c r="Y666" s="14">
        <f>ROUND(MIN(100, (X666/69.91)*100), 2)</f>
        <v/>
      </c>
    </row>
    <row r="667">
      <c r="A667" s="10" t="n">
        <v>2</v>
      </c>
      <c r="B667" s="10" t="n">
        <v>663</v>
      </c>
      <c r="C667" s="10" t="n">
        <v>1663</v>
      </c>
      <c r="D667" s="10" t="inlineStr">
        <is>
          <t>1380606132</t>
        </is>
      </c>
      <c r="E667" s="26" t="inlineStr">
        <is>
          <t>National Capital Region (NCR)</t>
        </is>
      </c>
      <c r="F667" s="26" t="inlineStr">
        <is>
          <t>First District (Not a Province)</t>
        </is>
      </c>
      <c r="G667" s="26" t="inlineStr">
        <is>
          <t>City of Manila</t>
        </is>
      </c>
      <c r="H667" s="26" t="inlineStr">
        <is>
          <t>Barangay 526</t>
        </is>
      </c>
      <c r="I667" s="27" t="n">
        <v>12.592226</v>
      </c>
      <c r="J667" s="27" t="n">
        <v>121.666668</v>
      </c>
      <c r="K667" s="10" t="inlineStr">
        <is>
          <t>U</t>
        </is>
      </c>
      <c r="L667" s="12" t="n">
        <v>814</v>
      </c>
      <c r="M667" s="14" t="n">
        <v>3.9</v>
      </c>
      <c r="N667" s="12">
        <f>ROUND(L667/M667, 0)</f>
        <v/>
      </c>
      <c r="O667" s="12">
        <f>ROUND(N667*'Methodology &amp; Assumptions'!$B$5, 0)</f>
        <v/>
      </c>
      <c r="P667" s="10" t="inlineStr">
        <is>
          <t>Single Carrier (Band n50, 100MHz TDD)</t>
        </is>
      </c>
      <c r="Q667" s="13">
        <f>ROUNDUP(O667/'Methodology &amp; Assumptions'!$B$6, 0)</f>
        <v/>
      </c>
      <c r="R667" s="13" t="n">
        <v>1</v>
      </c>
      <c r="S667" s="14" t="n">
        <v>12.54</v>
      </c>
      <c r="T667" s="14" t="n">
        <v>9.1</v>
      </c>
      <c r="U667" s="26">
        <f>IF(X667&gt;='Methodology &amp; Assumptions'!$B$7, "Tier 1 Critical GIDA (Score ≥ 50.0)", IF(X667&gt;='Methodology &amp; Assumptions'!$B$8, "Tier 2 High GIDA (Score 40.0–49.9)", "Tier 3 Moderate GIDA (Score &lt; 40.0)"))</f>
        <v/>
      </c>
      <c r="V667" s="26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W667" s="28" t="n">
        <v>0.109</v>
      </c>
      <c r="X667" s="14" t="n">
        <v>49.81</v>
      </c>
      <c r="Y667" s="14">
        <f>ROUND(MIN(100, (X667/69.91)*100), 2)</f>
        <v/>
      </c>
    </row>
    <row r="668">
      <c r="A668" s="10" t="n">
        <v>2</v>
      </c>
      <c r="B668" s="10" t="n">
        <v>664</v>
      </c>
      <c r="C668" s="10" t="n">
        <v>1664</v>
      </c>
      <c r="D668" s="10" t="inlineStr">
        <is>
          <t>1408104016</t>
        </is>
      </c>
      <c r="E668" s="26" t="inlineStr">
        <is>
          <t>Cordillera Administrative Region (CAR)</t>
        </is>
      </c>
      <c r="F668" s="26" t="inlineStr">
        <is>
          <t>Apayao</t>
        </is>
      </c>
      <c r="G668" s="26" t="inlineStr">
        <is>
          <t>Kabugao</t>
        </is>
      </c>
      <c r="H668" s="26" t="inlineStr">
        <is>
          <t>Magabta</t>
        </is>
      </c>
      <c r="I668" s="27" t="n">
        <v>18.028008</v>
      </c>
      <c r="J668" s="27" t="n">
        <v>121.199866</v>
      </c>
      <c r="K668" s="10" t="inlineStr">
        <is>
          <t>R</t>
        </is>
      </c>
      <c r="L668" s="12" t="n">
        <v>194</v>
      </c>
      <c r="M668" s="14" t="n">
        <v>4.2</v>
      </c>
      <c r="N668" s="12">
        <f>ROUND(L668/M668, 0)</f>
        <v/>
      </c>
      <c r="O668" s="12">
        <f>ROUND(N668*'Methodology &amp; Assumptions'!$B$5, 0)</f>
        <v/>
      </c>
      <c r="P668" s="10" t="inlineStr">
        <is>
          <t>Single Carrier (Band n50, 100MHz TDD)</t>
        </is>
      </c>
      <c r="Q668" s="13">
        <f>ROUNDUP(O668/'Methodology &amp; Assumptions'!$B$6, 0)</f>
        <v/>
      </c>
      <c r="R668" s="13" t="n">
        <v>1</v>
      </c>
      <c r="S668" s="14" t="n">
        <v>2.2</v>
      </c>
      <c r="T668" s="14" t="n">
        <v>9.039999999999999</v>
      </c>
      <c r="U668" s="26">
        <f>IF(X668&gt;='Methodology &amp; Assumptions'!$B$7, "Tier 1 Critical GIDA (Score ≥ 50.0)", IF(X668&gt;='Methodology &amp; Assumptions'!$B$8, "Tier 2 High GIDA (Score 40.0–49.9)", "Tier 3 Moderate GIDA (Score &lt; 40.0)"))</f>
        <v/>
      </c>
      <c r="V668" s="26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W668" s="28" t="n">
        <v>0.109</v>
      </c>
      <c r="X668" s="14" t="n">
        <v>49.8</v>
      </c>
      <c r="Y668" s="14">
        <f>ROUND(MIN(100, (X668/69.91)*100), 2)</f>
        <v/>
      </c>
    </row>
    <row r="669">
      <c r="A669" s="10" t="n">
        <v>2</v>
      </c>
      <c r="B669" s="10" t="n">
        <v>665</v>
      </c>
      <c r="C669" s="10" t="n">
        <v>1665</v>
      </c>
      <c r="D669" s="10" t="inlineStr">
        <is>
          <t>1381100002</t>
        </is>
      </c>
      <c r="E669" s="26" t="inlineStr">
        <is>
          <t>National Capital Region (NCR)</t>
        </is>
      </c>
      <c r="F669" s="26" t="inlineStr">
        <is>
          <t>Fourth District (Not a Province)</t>
        </is>
      </c>
      <c r="G669" s="26" t="inlineStr">
        <is>
          <t>Pasay City</t>
        </is>
      </c>
      <c r="H669" s="26" t="inlineStr">
        <is>
          <t>Barangay 2</t>
        </is>
      </c>
      <c r="I669" s="27" t="n">
        <v>14.540918</v>
      </c>
      <c r="J669" s="27" t="n">
        <v>120.949799</v>
      </c>
      <c r="K669" s="10" t="inlineStr">
        <is>
          <t>U</t>
        </is>
      </c>
      <c r="L669" s="12" t="n">
        <v>1365</v>
      </c>
      <c r="M669" s="14" t="n">
        <v>3.4</v>
      </c>
      <c r="N669" s="12">
        <f>ROUND(L669/M669, 0)</f>
        <v/>
      </c>
      <c r="O669" s="12">
        <f>ROUND(N669*'Methodology &amp; Assumptions'!$B$5, 0)</f>
        <v/>
      </c>
      <c r="P669" s="10" t="inlineStr">
        <is>
          <t>Single Carrier (Band n50, 100MHz TDD)</t>
        </is>
      </c>
      <c r="Q669" s="13">
        <f>ROUNDUP(O669/'Methodology &amp; Assumptions'!$B$6, 0)</f>
        <v/>
      </c>
      <c r="R669" s="13" t="n">
        <v>1</v>
      </c>
      <c r="S669" s="14" t="n">
        <v>4.72</v>
      </c>
      <c r="T669" s="14" t="n">
        <v>4.73</v>
      </c>
      <c r="U669" s="26">
        <f>IF(X669&gt;='Methodology &amp; Assumptions'!$B$7, "Tier 1 Critical GIDA (Score ≥ 50.0)", IF(X669&gt;='Methodology &amp; Assumptions'!$B$8, "Tier 2 High GIDA (Score 40.0–49.9)", "Tier 3 Moderate GIDA (Score &lt; 40.0)"))</f>
        <v/>
      </c>
      <c r="V669" s="26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W669" s="28" t="n">
        <v>0.109</v>
      </c>
      <c r="X669" s="14" t="n">
        <v>49.8</v>
      </c>
      <c r="Y669" s="14">
        <f>ROUND(MIN(100, (X669/69.91)*100), 2)</f>
        <v/>
      </c>
    </row>
    <row r="670">
      <c r="A670" s="10" t="n">
        <v>2</v>
      </c>
      <c r="B670" s="10" t="n">
        <v>666</v>
      </c>
      <c r="C670" s="10" t="n">
        <v>1666</v>
      </c>
      <c r="D670" s="10" t="inlineStr">
        <is>
          <t>1381100087</t>
        </is>
      </c>
      <c r="E670" s="26" t="inlineStr">
        <is>
          <t>National Capital Region (NCR)</t>
        </is>
      </c>
      <c r="F670" s="26" t="inlineStr">
        <is>
          <t>Fourth District (Not a Province)</t>
        </is>
      </c>
      <c r="G670" s="26" t="inlineStr">
        <is>
          <t>Pasay City</t>
        </is>
      </c>
      <c r="H670" s="26" t="inlineStr">
        <is>
          <t>Barangay 87</t>
        </is>
      </c>
      <c r="I670" s="27" t="n">
        <v>14.577087</v>
      </c>
      <c r="J670" s="27" t="n">
        <v>121.04449</v>
      </c>
      <c r="K670" s="10" t="inlineStr">
        <is>
          <t>U</t>
        </is>
      </c>
      <c r="L670" s="12" t="n">
        <v>651</v>
      </c>
      <c r="M670" s="14" t="n">
        <v>3.4</v>
      </c>
      <c r="N670" s="12">
        <f>ROUND(L670/M670, 0)</f>
        <v/>
      </c>
      <c r="O670" s="12">
        <f>ROUND(N670*'Methodology &amp; Assumptions'!$B$5, 0)</f>
        <v/>
      </c>
      <c r="P670" s="10" t="inlineStr">
        <is>
          <t>Single Carrier (Band n50, 100MHz TDD)</t>
        </is>
      </c>
      <c r="Q670" s="13">
        <f>ROUNDUP(O670/'Methodology &amp; Assumptions'!$B$6, 0)</f>
        <v/>
      </c>
      <c r="R670" s="13" t="n">
        <v>1</v>
      </c>
      <c r="S670" s="14" t="n">
        <v>0.9399999999999999</v>
      </c>
      <c r="T670" s="14" t="n">
        <v>0.21</v>
      </c>
      <c r="U670" s="26">
        <f>IF(X670&gt;='Methodology &amp; Assumptions'!$B$7, "Tier 1 Critical GIDA (Score ≥ 50.0)", IF(X670&gt;='Methodology &amp; Assumptions'!$B$8, "Tier 2 High GIDA (Score 40.0–49.9)", "Tier 3 Moderate GIDA (Score &lt; 40.0)"))</f>
        <v/>
      </c>
      <c r="V670" s="26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W670" s="28" t="n">
        <v>0.109</v>
      </c>
      <c r="X670" s="14" t="n">
        <v>49.8</v>
      </c>
      <c r="Y670" s="14">
        <f>ROUND(MIN(100, (X670/69.91)*100), 2)</f>
        <v/>
      </c>
    </row>
    <row r="671">
      <c r="A671" s="10" t="n">
        <v>2</v>
      </c>
      <c r="B671" s="10" t="n">
        <v>667</v>
      </c>
      <c r="C671" s="10" t="n">
        <v>1667</v>
      </c>
      <c r="D671" s="10" t="inlineStr">
        <is>
          <t>1381100131</t>
        </is>
      </c>
      <c r="E671" s="26" t="inlineStr">
        <is>
          <t>National Capital Region (NCR)</t>
        </is>
      </c>
      <c r="F671" s="26" t="inlineStr">
        <is>
          <t>Fourth District (Not a Province)</t>
        </is>
      </c>
      <c r="G671" s="26" t="inlineStr">
        <is>
          <t>Pasay City</t>
        </is>
      </c>
      <c r="H671" s="26" t="inlineStr">
        <is>
          <t>Barangay 131</t>
        </is>
      </c>
      <c r="I671" s="27" t="n">
        <v>14.486241</v>
      </c>
      <c r="J671" s="27" t="n">
        <v>120.998771</v>
      </c>
      <c r="K671" s="10" t="inlineStr">
        <is>
          <t>U</t>
        </is>
      </c>
      <c r="L671" s="12" t="n">
        <v>1468</v>
      </c>
      <c r="M671" s="14" t="n">
        <v>3.4</v>
      </c>
      <c r="N671" s="12">
        <f>ROUND(L671/M671, 0)</f>
        <v/>
      </c>
      <c r="O671" s="12">
        <f>ROUND(N671*'Methodology &amp; Assumptions'!$B$5, 0)</f>
        <v/>
      </c>
      <c r="P671" s="10" t="inlineStr">
        <is>
          <t>Single Carrier (Band n50, 100MHz TDD)</t>
        </is>
      </c>
      <c r="Q671" s="13">
        <f>ROUNDUP(O671/'Methodology &amp; Assumptions'!$B$6, 0)</f>
        <v/>
      </c>
      <c r="R671" s="13" t="n">
        <v>1</v>
      </c>
      <c r="S671" s="14" t="n">
        <v>1.6</v>
      </c>
      <c r="T671" s="14" t="n">
        <v>0.11</v>
      </c>
      <c r="U671" s="26">
        <f>IF(X671&gt;='Methodology &amp; Assumptions'!$B$7, "Tier 1 Critical GIDA (Score ≥ 50.0)", IF(X671&gt;='Methodology &amp; Assumptions'!$B$8, "Tier 2 High GIDA (Score 40.0–49.9)", "Tier 3 Moderate GIDA (Score &lt; 40.0)"))</f>
        <v/>
      </c>
      <c r="V671" s="26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W671" s="28" t="n">
        <v>0.109</v>
      </c>
      <c r="X671" s="14" t="n">
        <v>49.8</v>
      </c>
      <c r="Y671" s="14">
        <f>ROUND(MIN(100, (X671/69.91)*100), 2)</f>
        <v/>
      </c>
    </row>
    <row r="672">
      <c r="A672" s="10" t="n">
        <v>2</v>
      </c>
      <c r="B672" s="10" t="n">
        <v>668</v>
      </c>
      <c r="C672" s="10" t="n">
        <v>1668</v>
      </c>
      <c r="D672" s="10" t="inlineStr">
        <is>
          <t>0401005059</t>
        </is>
      </c>
      <c r="E672" s="26" t="inlineStr">
        <is>
          <t>Region IV-A (CALABARZON)</t>
        </is>
      </c>
      <c r="F672" s="26" t="inlineStr">
        <is>
          <t>Batangas</t>
        </is>
      </c>
      <c r="G672" s="26" t="inlineStr">
        <is>
          <t>Batangas City</t>
        </is>
      </c>
      <c r="H672" s="26" t="inlineStr">
        <is>
          <t>Barangay 13</t>
        </is>
      </c>
      <c r="I672" s="27" t="n">
        <v>13.734717</v>
      </c>
      <c r="J672" s="27" t="n">
        <v>121.093015</v>
      </c>
      <c r="K672" s="10" t="inlineStr">
        <is>
          <t>U</t>
        </is>
      </c>
      <c r="L672" s="12" t="n">
        <v>357</v>
      </c>
      <c r="M672" s="14" t="n">
        <v>3.6</v>
      </c>
      <c r="N672" s="12">
        <f>ROUND(L672/M672, 0)</f>
        <v/>
      </c>
      <c r="O672" s="12">
        <f>ROUND(N672*'Methodology &amp; Assumptions'!$B$5, 0)</f>
        <v/>
      </c>
      <c r="P672" s="10" t="inlineStr">
        <is>
          <t>Single Carrier (Band n50, 100MHz TDD)</t>
        </is>
      </c>
      <c r="Q672" s="13">
        <f>ROUNDUP(O672/'Methodology &amp; Assumptions'!$B$6, 0)</f>
        <v/>
      </c>
      <c r="R672" s="13" t="n">
        <v>1</v>
      </c>
      <c r="S672" s="14" t="n">
        <v>2.86</v>
      </c>
      <c r="T672" s="14" t="n">
        <v>4.05</v>
      </c>
      <c r="U672" s="26">
        <f>IF(X672&gt;='Methodology &amp; Assumptions'!$B$7, "Tier 1 Critical GIDA (Score ≥ 50.0)", IF(X672&gt;='Methodology &amp; Assumptions'!$B$8, "Tier 2 High GIDA (Score 40.0–49.9)", "Tier 3 Moderate GIDA (Score &lt; 40.0)"))</f>
        <v/>
      </c>
      <c r="V672" s="26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W672" s="28" t="n">
        <v>0.07200000000000001</v>
      </c>
      <c r="X672" s="14" t="n">
        <v>49.8</v>
      </c>
      <c r="Y672" s="14">
        <f>ROUND(MIN(100, (X672/69.91)*100), 2)</f>
        <v/>
      </c>
    </row>
    <row r="673">
      <c r="A673" s="10" t="n">
        <v>2</v>
      </c>
      <c r="B673" s="10" t="n">
        <v>669</v>
      </c>
      <c r="C673" s="10" t="n">
        <v>1669</v>
      </c>
      <c r="D673" s="10" t="inlineStr">
        <is>
          <t>1381100089</t>
        </is>
      </c>
      <c r="E673" s="26" t="inlineStr">
        <is>
          <t>National Capital Region (NCR)</t>
        </is>
      </c>
      <c r="F673" s="26" t="inlineStr">
        <is>
          <t>Fourth District (Not a Province)</t>
        </is>
      </c>
      <c r="G673" s="26" t="inlineStr">
        <is>
          <t>Pasay City</t>
        </is>
      </c>
      <c r="H673" s="26" t="inlineStr">
        <is>
          <t>Barangay 89</t>
        </is>
      </c>
      <c r="I673" s="27" t="n">
        <v>14.585533</v>
      </c>
      <c r="J673" s="27" t="n">
        <v>120.968346</v>
      </c>
      <c r="K673" s="10" t="inlineStr">
        <is>
          <t>U</t>
        </is>
      </c>
      <c r="L673" s="12" t="n">
        <v>1032</v>
      </c>
      <c r="M673" s="14" t="n">
        <v>3.4</v>
      </c>
      <c r="N673" s="12">
        <f>ROUND(L673/M673, 0)</f>
        <v/>
      </c>
      <c r="O673" s="12">
        <f>ROUND(N673*'Methodology &amp; Assumptions'!$B$5, 0)</f>
        <v/>
      </c>
      <c r="P673" s="10" t="inlineStr">
        <is>
          <t>Single Carrier (Band n50, 100MHz TDD)</t>
        </is>
      </c>
      <c r="Q673" s="13">
        <f>ROUNDUP(O673/'Methodology &amp; Assumptions'!$B$6, 0)</f>
        <v/>
      </c>
      <c r="R673" s="13" t="n">
        <v>1</v>
      </c>
      <c r="S673" s="14" t="n">
        <v>1.19</v>
      </c>
      <c r="T673" s="14" t="n">
        <v>1.57</v>
      </c>
      <c r="U673" s="26">
        <f>IF(X673&gt;='Methodology &amp; Assumptions'!$B$7, "Tier 1 Critical GIDA (Score ≥ 50.0)", IF(X673&gt;='Methodology &amp; Assumptions'!$B$8, "Tier 2 High GIDA (Score 40.0–49.9)", "Tier 3 Moderate GIDA (Score &lt; 40.0)"))</f>
        <v/>
      </c>
      <c r="V673" s="26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W673" s="28" t="n">
        <v>0.109</v>
      </c>
      <c r="X673" s="14" t="n">
        <v>49.8</v>
      </c>
      <c r="Y673" s="14">
        <f>ROUND(MIN(100, (X673/69.91)*100), 2)</f>
        <v/>
      </c>
    </row>
    <row r="674">
      <c r="A674" s="10" t="n">
        <v>2</v>
      </c>
      <c r="B674" s="10" t="n">
        <v>670</v>
      </c>
      <c r="C674" s="10" t="n">
        <v>1670</v>
      </c>
      <c r="D674" s="10" t="inlineStr">
        <is>
          <t>1102504006</t>
        </is>
      </c>
      <c r="E674" s="26" t="inlineStr">
        <is>
          <t>Region XI (Davao Region)</t>
        </is>
      </c>
      <c r="F674" s="26" t="inlineStr">
        <is>
          <t>Davao Oriental</t>
        </is>
      </c>
      <c r="G674" s="26" t="inlineStr">
        <is>
          <t>Caraga</t>
        </is>
      </c>
      <c r="H674" s="26" t="inlineStr">
        <is>
          <t>Manorigao</t>
        </is>
      </c>
      <c r="I674" s="27" t="n">
        <v>7.401933</v>
      </c>
      <c r="J674" s="27" t="n">
        <v>126.549217</v>
      </c>
      <c r="K674" s="10" t="inlineStr">
        <is>
          <t>R</t>
        </is>
      </c>
      <c r="L674" s="12" t="n">
        <v>1700</v>
      </c>
      <c r="M674" s="14" t="n">
        <v>3.6</v>
      </c>
      <c r="N674" s="12">
        <f>ROUND(L674/M674, 0)</f>
        <v/>
      </c>
      <c r="O674" s="12">
        <f>ROUND(N674*'Methodology &amp; Assumptions'!$B$5, 0)</f>
        <v/>
      </c>
      <c r="P674" s="10" t="inlineStr">
        <is>
          <t>Single Carrier (Band n50, 100MHz TDD)</t>
        </is>
      </c>
      <c r="Q674" s="13">
        <f>ROUNDUP(O674/'Methodology &amp; Assumptions'!$B$6, 0)</f>
        <v/>
      </c>
      <c r="R674" s="13" t="n">
        <v>1</v>
      </c>
      <c r="S674" s="14" t="n">
        <v>61.83</v>
      </c>
      <c r="T674" s="14" t="n">
        <v>60.75</v>
      </c>
      <c r="U674" s="26">
        <f>IF(X674&gt;='Methodology &amp; Assumptions'!$B$7, "Tier 1 Critical GIDA (Score ≥ 50.0)", IF(X674&gt;='Methodology &amp; Assumptions'!$B$8, "Tier 2 High GIDA (Score 40.0–49.9)", "Tier 3 Moderate GIDA (Score &lt; 40.0)"))</f>
        <v/>
      </c>
      <c r="V674" s="26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W674" s="28" t="n">
        <v>0.174</v>
      </c>
      <c r="X674" s="14" t="n">
        <v>49.79</v>
      </c>
      <c r="Y674" s="14">
        <f>ROUND(MIN(100, (X674/69.91)*100), 2)</f>
        <v/>
      </c>
    </row>
    <row r="675">
      <c r="A675" s="10" t="n">
        <v>2</v>
      </c>
      <c r="B675" s="10" t="n">
        <v>671</v>
      </c>
      <c r="C675" s="10" t="n">
        <v>1671</v>
      </c>
      <c r="D675" s="10" t="inlineStr">
        <is>
          <t>0402118052</t>
        </is>
      </c>
      <c r="E675" s="26" t="inlineStr">
        <is>
          <t>Region IV-A (CALABARZON)</t>
        </is>
      </c>
      <c r="F675" s="26" t="inlineStr">
        <is>
          <t>Cavite</t>
        </is>
      </c>
      <c r="G675" s="26" t="inlineStr">
        <is>
          <t>Silang</t>
        </is>
      </c>
      <c r="H675" s="26" t="inlineStr">
        <is>
          <t>Narra I</t>
        </is>
      </c>
      <c r="I675" s="27" t="n">
        <v>14.212579</v>
      </c>
      <c r="J675" s="27" t="n">
        <v>120.976621</v>
      </c>
      <c r="K675" s="10" t="inlineStr">
        <is>
          <t>R</t>
        </is>
      </c>
      <c r="L675" s="12" t="n">
        <v>3334</v>
      </c>
      <c r="M675" s="14" t="n">
        <v>3.4</v>
      </c>
      <c r="N675" s="12">
        <f>ROUND(L675/M675, 0)</f>
        <v/>
      </c>
      <c r="O675" s="12">
        <f>ROUND(N675*'Methodology &amp; Assumptions'!$B$5, 0)</f>
        <v/>
      </c>
      <c r="P675" s="10" t="inlineStr">
        <is>
          <t>Single Carrier (Band n50, 100MHz TDD)</t>
        </is>
      </c>
      <c r="Q675" s="13">
        <f>ROUNDUP(O675/'Methodology &amp; Assumptions'!$B$6, 0)</f>
        <v/>
      </c>
      <c r="R675" s="13" t="n">
        <v>1</v>
      </c>
      <c r="S675" s="14" t="n">
        <v>4.68</v>
      </c>
      <c r="T675" s="14" t="n">
        <v>0.76</v>
      </c>
      <c r="U675" s="26">
        <f>IF(X675&gt;='Methodology &amp; Assumptions'!$B$7, "Tier 1 Critical GIDA (Score ≥ 50.0)", IF(X675&gt;='Methodology &amp; Assumptions'!$B$8, "Tier 2 High GIDA (Score 40.0–49.9)", "Tier 3 Moderate GIDA (Score &lt; 40.0)"))</f>
        <v/>
      </c>
      <c r="V675" s="26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W675" s="28" t="n">
        <v>0.07200000000000001</v>
      </c>
      <c r="X675" s="14" t="n">
        <v>49.79</v>
      </c>
      <c r="Y675" s="14">
        <f>ROUND(MIN(100, (X675/69.91)*100), 2)</f>
        <v/>
      </c>
    </row>
    <row r="676">
      <c r="A676" s="10" t="n">
        <v>2</v>
      </c>
      <c r="B676" s="10" t="n">
        <v>672</v>
      </c>
      <c r="C676" s="10" t="n">
        <v>1672</v>
      </c>
      <c r="D676" s="10" t="inlineStr">
        <is>
          <t>1380610019</t>
        </is>
      </c>
      <c r="E676" s="26" t="inlineStr">
        <is>
          <t>National Capital Region (NCR)</t>
        </is>
      </c>
      <c r="F676" s="26" t="inlineStr">
        <is>
          <t>First District (Not a Province)</t>
        </is>
      </c>
      <c r="G676" s="26" t="inlineStr">
        <is>
          <t>City of Manila</t>
        </is>
      </c>
      <c r="H676" s="26" t="inlineStr">
        <is>
          <t>Barangay 704</t>
        </is>
      </c>
      <c r="I676" s="27" t="n">
        <v>13.163583</v>
      </c>
      <c r="J676" s="27" t="n">
        <v>121.653377</v>
      </c>
      <c r="K676" s="10" t="inlineStr">
        <is>
          <t>U</t>
        </is>
      </c>
      <c r="L676" s="12" t="n">
        <v>5460</v>
      </c>
      <c r="M676" s="14" t="n">
        <v>3.9</v>
      </c>
      <c r="N676" s="12">
        <f>ROUND(L676/M676, 0)</f>
        <v/>
      </c>
      <c r="O676" s="12">
        <f>ROUND(N676*'Methodology &amp; Assumptions'!$B$5, 0)</f>
        <v/>
      </c>
      <c r="P676" s="10" t="inlineStr">
        <is>
          <t>Single Carrier (Band n50, 100MHz TDD)</t>
        </is>
      </c>
      <c r="Q676" s="13">
        <f>ROUNDUP(O676/'Methodology &amp; Assumptions'!$B$6, 0)</f>
        <v/>
      </c>
      <c r="R676" s="13" t="n">
        <v>1</v>
      </c>
      <c r="S676" s="14" t="n">
        <v>19.34</v>
      </c>
      <c r="T676" s="14" t="n">
        <v>23.36</v>
      </c>
      <c r="U676" s="26">
        <f>IF(X676&gt;='Methodology &amp; Assumptions'!$B$7, "Tier 1 Critical GIDA (Score ≥ 50.0)", IF(X676&gt;='Methodology &amp; Assumptions'!$B$8, "Tier 2 High GIDA (Score 40.0–49.9)", "Tier 3 Moderate GIDA (Score &lt; 40.0)"))</f>
        <v/>
      </c>
      <c r="V676" s="26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W676" s="28" t="n">
        <v>0.109</v>
      </c>
      <c r="X676" s="14" t="n">
        <v>49.79</v>
      </c>
      <c r="Y676" s="14">
        <f>ROUND(MIN(100, (X676/69.91)*100), 2)</f>
        <v/>
      </c>
    </row>
    <row r="677">
      <c r="A677" s="10" t="n">
        <v>2</v>
      </c>
      <c r="B677" s="10" t="n">
        <v>673</v>
      </c>
      <c r="C677" s="10" t="n">
        <v>1673</v>
      </c>
      <c r="D677" s="10" t="inlineStr">
        <is>
          <t>1380606193</t>
        </is>
      </c>
      <c r="E677" s="26" t="inlineStr">
        <is>
          <t>National Capital Region (NCR)</t>
        </is>
      </c>
      <c r="F677" s="26" t="inlineStr">
        <is>
          <t>First District (Not a Province)</t>
        </is>
      </c>
      <c r="G677" s="26" t="inlineStr">
        <is>
          <t>City of Manila</t>
        </is>
      </c>
      <c r="H677" s="26" t="inlineStr">
        <is>
          <t>Barangay 587</t>
        </is>
      </c>
      <c r="I677" s="27" t="n">
        <v>12.74927</v>
      </c>
      <c r="J677" s="27" t="n">
        <v>122.060926</v>
      </c>
      <c r="K677" s="10" t="inlineStr">
        <is>
          <t>U</t>
        </is>
      </c>
      <c r="L677" s="12" t="n">
        <v>3009</v>
      </c>
      <c r="M677" s="14" t="n">
        <v>3.9</v>
      </c>
      <c r="N677" s="12">
        <f>ROUND(L677/M677, 0)</f>
        <v/>
      </c>
      <c r="O677" s="12">
        <f>ROUND(N677*'Methodology &amp; Assumptions'!$B$5, 0)</f>
        <v/>
      </c>
      <c r="P677" s="10" t="inlineStr">
        <is>
          <t>Single Carrier (Band n50, 100MHz TDD)</t>
        </is>
      </c>
      <c r="Q677" s="13">
        <f>ROUNDUP(O677/'Methodology &amp; Assumptions'!$B$6, 0)</f>
        <v/>
      </c>
      <c r="R677" s="13" t="n">
        <v>1</v>
      </c>
      <c r="S677" s="14" t="n">
        <v>57.56</v>
      </c>
      <c r="T677" s="14" t="n">
        <v>53.13</v>
      </c>
      <c r="U677" s="26">
        <f>IF(X677&gt;='Methodology &amp; Assumptions'!$B$7, "Tier 1 Critical GIDA (Score ≥ 50.0)", IF(X677&gt;='Methodology &amp; Assumptions'!$B$8, "Tier 2 High GIDA (Score 40.0–49.9)", "Tier 3 Moderate GIDA (Score &lt; 40.0)"))</f>
        <v/>
      </c>
      <c r="V677" s="26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W677" s="28" t="n">
        <v>0.109</v>
      </c>
      <c r="X677" s="14" t="n">
        <v>49.79</v>
      </c>
      <c r="Y677" s="14">
        <f>ROUND(MIN(100, (X677/69.91)*100), 2)</f>
        <v/>
      </c>
    </row>
    <row r="678">
      <c r="A678" s="10" t="n">
        <v>2</v>
      </c>
      <c r="B678" s="10" t="n">
        <v>674</v>
      </c>
      <c r="C678" s="10" t="n">
        <v>1674</v>
      </c>
      <c r="D678" s="10" t="inlineStr">
        <is>
          <t>1381100186</t>
        </is>
      </c>
      <c r="E678" s="26" t="inlineStr">
        <is>
          <t>National Capital Region (NCR)</t>
        </is>
      </c>
      <c r="F678" s="26" t="inlineStr">
        <is>
          <t>Fourth District (Not a Province)</t>
        </is>
      </c>
      <c r="G678" s="26" t="inlineStr">
        <is>
          <t>Pasay City</t>
        </is>
      </c>
      <c r="H678" s="26" t="inlineStr">
        <is>
          <t>Barangay 186</t>
        </is>
      </c>
      <c r="I678" s="27" t="n">
        <v>14.530918</v>
      </c>
      <c r="J678" s="27" t="n">
        <v>121.0623</v>
      </c>
      <c r="K678" s="10" t="inlineStr">
        <is>
          <t>U</t>
        </is>
      </c>
      <c r="L678" s="12" t="n">
        <v>3548</v>
      </c>
      <c r="M678" s="14" t="n">
        <v>3.4</v>
      </c>
      <c r="N678" s="12">
        <f>ROUND(L678/M678, 0)</f>
        <v/>
      </c>
      <c r="O678" s="12">
        <f>ROUND(N678*'Methodology &amp; Assumptions'!$B$5, 0)</f>
        <v/>
      </c>
      <c r="P678" s="10" t="inlineStr">
        <is>
          <t>Single Carrier (Band n50, 100MHz TDD)</t>
        </is>
      </c>
      <c r="Q678" s="13">
        <f>ROUNDUP(O678/'Methodology &amp; Assumptions'!$B$6, 0)</f>
        <v/>
      </c>
      <c r="R678" s="13" t="n">
        <v>1</v>
      </c>
      <c r="S678" s="14" t="n">
        <v>1.33</v>
      </c>
      <c r="T678" s="14" t="n">
        <v>0.25</v>
      </c>
      <c r="U678" s="26">
        <f>IF(X678&gt;='Methodology &amp; Assumptions'!$B$7, "Tier 1 Critical GIDA (Score ≥ 50.0)", IF(X678&gt;='Methodology &amp; Assumptions'!$B$8, "Tier 2 High GIDA (Score 40.0–49.9)", "Tier 3 Moderate GIDA (Score &lt; 40.0)"))</f>
        <v/>
      </c>
      <c r="V678" s="26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W678" s="28" t="n">
        <v>0.109</v>
      </c>
      <c r="X678" s="14" t="n">
        <v>49.79</v>
      </c>
      <c r="Y678" s="14">
        <f>ROUND(MIN(100, (X678/69.91)*100), 2)</f>
        <v/>
      </c>
    </row>
    <row r="679">
      <c r="A679" s="10" t="n">
        <v>2</v>
      </c>
      <c r="B679" s="10" t="n">
        <v>675</v>
      </c>
      <c r="C679" s="10" t="n">
        <v>1675</v>
      </c>
      <c r="D679" s="10" t="inlineStr">
        <is>
          <t>1380603018</t>
        </is>
      </c>
      <c r="E679" s="26" t="inlineStr">
        <is>
          <t>National Capital Region (NCR)</t>
        </is>
      </c>
      <c r="F679" s="26" t="inlineStr">
        <is>
          <t>First District (Not a Province)</t>
        </is>
      </c>
      <c r="G679" s="26" t="inlineStr">
        <is>
          <t>City of Manila</t>
        </is>
      </c>
      <c r="H679" s="26" t="inlineStr">
        <is>
          <t>Barangay 309</t>
        </is>
      </c>
      <c r="I679" s="27" t="n">
        <v>12.78649</v>
      </c>
      <c r="J679" s="27" t="n">
        <v>121.470744</v>
      </c>
      <c r="K679" s="10" t="inlineStr">
        <is>
          <t>U</t>
        </is>
      </c>
      <c r="L679" s="12" t="n">
        <v>1186</v>
      </c>
      <c r="M679" s="14" t="n">
        <v>3.9</v>
      </c>
      <c r="N679" s="12">
        <f>ROUND(L679/M679, 0)</f>
        <v/>
      </c>
      <c r="O679" s="12">
        <f>ROUND(N679*'Methodology &amp; Assumptions'!$B$5, 0)</f>
        <v/>
      </c>
      <c r="P679" s="10" t="inlineStr">
        <is>
          <t>Single Carrier (Band n50, 100MHz TDD)</t>
        </is>
      </c>
      <c r="Q679" s="13">
        <f>ROUNDUP(O679/'Methodology &amp; Assumptions'!$B$6, 0)</f>
        <v/>
      </c>
      <c r="R679" s="13" t="n">
        <v>1</v>
      </c>
      <c r="S679" s="14" t="n">
        <v>5.06</v>
      </c>
      <c r="T679" s="14" t="n">
        <v>0.3</v>
      </c>
      <c r="U679" s="26">
        <f>IF(X679&gt;='Methodology &amp; Assumptions'!$B$7, "Tier 1 Critical GIDA (Score ≥ 50.0)", IF(X679&gt;='Methodology &amp; Assumptions'!$B$8, "Tier 2 High GIDA (Score 40.0–49.9)", "Tier 3 Moderate GIDA (Score &lt; 40.0)"))</f>
        <v/>
      </c>
      <c r="V679" s="26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W679" s="28" t="n">
        <v>0.109</v>
      </c>
      <c r="X679" s="14" t="n">
        <v>49.78</v>
      </c>
      <c r="Y679" s="14">
        <f>ROUND(MIN(100, (X679/69.91)*100), 2)</f>
        <v/>
      </c>
    </row>
    <row r="680">
      <c r="A680" s="10" t="n">
        <v>2</v>
      </c>
      <c r="B680" s="10" t="n">
        <v>676</v>
      </c>
      <c r="C680" s="10" t="n">
        <v>1676</v>
      </c>
      <c r="D680" s="10" t="inlineStr">
        <is>
          <t>1381100055</t>
        </is>
      </c>
      <c r="E680" s="26" t="inlineStr">
        <is>
          <t>National Capital Region (NCR)</t>
        </is>
      </c>
      <c r="F680" s="26" t="inlineStr">
        <is>
          <t>Fourth District (Not a Province)</t>
        </is>
      </c>
      <c r="G680" s="26" t="inlineStr">
        <is>
          <t>Pasay City</t>
        </is>
      </c>
      <c r="H680" s="26" t="inlineStr">
        <is>
          <t>Barangay 55</t>
        </is>
      </c>
      <c r="I680" s="27" t="n">
        <v>14.509252</v>
      </c>
      <c r="J680" s="27" t="n">
        <v>120.952363</v>
      </c>
      <c r="K680" s="10" t="inlineStr">
        <is>
          <t>U</t>
        </is>
      </c>
      <c r="L680" s="12" t="n">
        <v>856</v>
      </c>
      <c r="M680" s="14" t="n">
        <v>3.4</v>
      </c>
      <c r="N680" s="12">
        <f>ROUND(L680/M680, 0)</f>
        <v/>
      </c>
      <c r="O680" s="12">
        <f>ROUND(N680*'Methodology &amp; Assumptions'!$B$5, 0)</f>
        <v/>
      </c>
      <c r="P680" s="10" t="inlineStr">
        <is>
          <t>Single Carrier (Band n50, 100MHz TDD)</t>
        </is>
      </c>
      <c r="Q680" s="13">
        <f>ROUNDUP(O680/'Methodology &amp; Assumptions'!$B$6, 0)</f>
        <v/>
      </c>
      <c r="R680" s="13" t="n">
        <v>1</v>
      </c>
      <c r="S680" s="14" t="n">
        <v>4.28</v>
      </c>
      <c r="T680" s="14" t="n">
        <v>4.25</v>
      </c>
      <c r="U680" s="26">
        <f>IF(X680&gt;='Methodology &amp; Assumptions'!$B$7, "Tier 1 Critical GIDA (Score ≥ 50.0)", IF(X680&gt;='Methodology &amp; Assumptions'!$B$8, "Tier 2 High GIDA (Score 40.0–49.9)", "Tier 3 Moderate GIDA (Score &lt; 40.0)"))</f>
        <v/>
      </c>
      <c r="V680" s="26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W680" s="28" t="n">
        <v>0.109</v>
      </c>
      <c r="X680" s="14" t="n">
        <v>49.78</v>
      </c>
      <c r="Y680" s="14">
        <f>ROUND(MIN(100, (X680/69.91)*100), 2)</f>
        <v/>
      </c>
    </row>
    <row r="681">
      <c r="A681" s="10" t="n">
        <v>2</v>
      </c>
      <c r="B681" s="10" t="n">
        <v>677</v>
      </c>
      <c r="C681" s="10" t="n">
        <v>1677</v>
      </c>
      <c r="D681" s="10" t="inlineStr">
        <is>
          <t>1380611036</t>
        </is>
      </c>
      <c r="E681" s="26" t="inlineStr">
        <is>
          <t>National Capital Region (NCR)</t>
        </is>
      </c>
      <c r="F681" s="26" t="inlineStr">
        <is>
          <t>First District (Not a Province)</t>
        </is>
      </c>
      <c r="G681" s="26" t="inlineStr">
        <is>
          <t>City of Manila</t>
        </is>
      </c>
      <c r="H681" s="26" t="inlineStr">
        <is>
          <t>Barangay 821</t>
        </is>
      </c>
      <c r="I681" s="27" t="n">
        <v>13.149313</v>
      </c>
      <c r="J681" s="27" t="n">
        <v>121.933678</v>
      </c>
      <c r="K681" s="10" t="inlineStr">
        <is>
          <t>U</t>
        </is>
      </c>
      <c r="L681" s="12" t="n">
        <v>2056</v>
      </c>
      <c r="M681" s="14" t="n">
        <v>3.9</v>
      </c>
      <c r="N681" s="12">
        <f>ROUND(L681/M681, 0)</f>
        <v/>
      </c>
      <c r="O681" s="12">
        <f>ROUND(N681*'Methodology &amp; Assumptions'!$B$5, 0)</f>
        <v/>
      </c>
      <c r="P681" s="10" t="inlineStr">
        <is>
          <t>Single Carrier (Band n50, 100MHz TDD)</t>
        </is>
      </c>
      <c r="Q681" s="13">
        <f>ROUNDUP(O681/'Methodology &amp; Assumptions'!$B$6, 0)</f>
        <v/>
      </c>
      <c r="R681" s="13" t="n">
        <v>1</v>
      </c>
      <c r="S681" s="14" t="n">
        <v>47.2</v>
      </c>
      <c r="T681" s="14" t="n">
        <v>50.69</v>
      </c>
      <c r="U681" s="26">
        <f>IF(X681&gt;='Methodology &amp; Assumptions'!$B$7, "Tier 1 Critical GIDA (Score ≥ 50.0)", IF(X681&gt;='Methodology &amp; Assumptions'!$B$8, "Tier 2 High GIDA (Score 40.0–49.9)", "Tier 3 Moderate GIDA (Score &lt; 40.0)"))</f>
        <v/>
      </c>
      <c r="V681" s="26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W681" s="28" t="n">
        <v>0.109</v>
      </c>
      <c r="X681" s="14" t="n">
        <v>49.78</v>
      </c>
      <c r="Y681" s="14">
        <f>ROUND(MIN(100, (X681/69.91)*100), 2)</f>
        <v/>
      </c>
    </row>
    <row r="682">
      <c r="A682" s="10" t="n">
        <v>2</v>
      </c>
      <c r="B682" s="10" t="n">
        <v>678</v>
      </c>
      <c r="C682" s="10" t="n">
        <v>1678</v>
      </c>
      <c r="D682" s="10" t="inlineStr">
        <is>
          <t>1380610025</t>
        </is>
      </c>
      <c r="E682" s="26" t="inlineStr">
        <is>
          <t>National Capital Region (NCR)</t>
        </is>
      </c>
      <c r="F682" s="26" t="inlineStr">
        <is>
          <t>First District (Not a Province)</t>
        </is>
      </c>
      <c r="G682" s="26" t="inlineStr">
        <is>
          <t>City of Manila</t>
        </is>
      </c>
      <c r="H682" s="26" t="inlineStr">
        <is>
          <t>Barangay 710</t>
        </is>
      </c>
      <c r="I682" s="27" t="n">
        <v>12.57444</v>
      </c>
      <c r="J682" s="27" t="n">
        <v>121.843421</v>
      </c>
      <c r="K682" s="10" t="inlineStr">
        <is>
          <t>U</t>
        </is>
      </c>
      <c r="L682" s="12" t="n">
        <v>576</v>
      </c>
      <c r="M682" s="14" t="n">
        <v>3.9</v>
      </c>
      <c r="N682" s="12">
        <f>ROUND(L682/M682, 0)</f>
        <v/>
      </c>
      <c r="O682" s="12">
        <f>ROUND(N682*'Methodology &amp; Assumptions'!$B$5, 0)</f>
        <v/>
      </c>
      <c r="P682" s="10" t="inlineStr">
        <is>
          <t>Single Carrier (Band n50, 100MHz TDD)</t>
        </is>
      </c>
      <c r="Q682" s="13">
        <f>ROUNDUP(O682/'Methodology &amp; Assumptions'!$B$6, 0)</f>
        <v/>
      </c>
      <c r="R682" s="13" t="n">
        <v>1</v>
      </c>
      <c r="S682" s="14" t="n">
        <v>31.83</v>
      </c>
      <c r="T682" s="14" t="n">
        <v>22.55</v>
      </c>
      <c r="U682" s="26">
        <f>IF(X682&gt;='Methodology &amp; Assumptions'!$B$7, "Tier 1 Critical GIDA (Score ≥ 50.0)", IF(X682&gt;='Methodology &amp; Assumptions'!$B$8, "Tier 2 High GIDA (Score 40.0–49.9)", "Tier 3 Moderate GIDA (Score &lt; 40.0)"))</f>
        <v/>
      </c>
      <c r="V682" s="26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W682" s="28" t="n">
        <v>0.109</v>
      </c>
      <c r="X682" s="14" t="n">
        <v>49.78</v>
      </c>
      <c r="Y682" s="14">
        <f>ROUND(MIN(100, (X682/69.91)*100), 2)</f>
        <v/>
      </c>
    </row>
    <row r="683">
      <c r="A683" s="10" t="n">
        <v>2</v>
      </c>
      <c r="B683" s="10" t="n">
        <v>679</v>
      </c>
      <c r="C683" s="10" t="n">
        <v>1679</v>
      </c>
      <c r="D683" s="10" t="inlineStr">
        <is>
          <t>1381100039</t>
        </is>
      </c>
      <c r="E683" s="26" t="inlineStr">
        <is>
          <t>National Capital Region (NCR)</t>
        </is>
      </c>
      <c r="F683" s="26" t="inlineStr">
        <is>
          <t>Fourth District (Not a Province)</t>
        </is>
      </c>
      <c r="G683" s="26" t="inlineStr">
        <is>
          <t>Pasay City</t>
        </is>
      </c>
      <c r="H683" s="26" t="inlineStr">
        <is>
          <t>Barangay 39</t>
        </is>
      </c>
      <c r="I683" s="27" t="n">
        <v>14.599149</v>
      </c>
      <c r="J683" s="27" t="n">
        <v>121.019832</v>
      </c>
      <c r="K683" s="10" t="inlineStr">
        <is>
          <t>U</t>
        </is>
      </c>
      <c r="L683" s="12" t="n">
        <v>1327</v>
      </c>
      <c r="M683" s="14" t="n">
        <v>3.4</v>
      </c>
      <c r="N683" s="12">
        <f>ROUND(L683/M683, 0)</f>
        <v/>
      </c>
      <c r="O683" s="12">
        <f>ROUND(N683*'Methodology &amp; Assumptions'!$B$5, 0)</f>
        <v/>
      </c>
      <c r="P683" s="10" t="inlineStr">
        <is>
          <t>Single Carrier (Band n50, 100MHz TDD)</t>
        </is>
      </c>
      <c r="Q683" s="13">
        <f>ROUNDUP(O683/'Methodology &amp; Assumptions'!$B$6, 0)</f>
        <v/>
      </c>
      <c r="R683" s="13" t="n">
        <v>1</v>
      </c>
      <c r="S683" s="14" t="n">
        <v>1.68</v>
      </c>
      <c r="T683" s="14" t="n">
        <v>0.34</v>
      </c>
      <c r="U683" s="26">
        <f>IF(X683&gt;='Methodology &amp; Assumptions'!$B$7, "Tier 1 Critical GIDA (Score ≥ 50.0)", IF(X683&gt;='Methodology &amp; Assumptions'!$B$8, "Tier 2 High GIDA (Score 40.0–49.9)", "Tier 3 Moderate GIDA (Score &lt; 40.0)"))</f>
        <v/>
      </c>
      <c r="V683" s="26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W683" s="28" t="n">
        <v>0.109</v>
      </c>
      <c r="X683" s="14" t="n">
        <v>49.78</v>
      </c>
      <c r="Y683" s="14">
        <f>ROUND(MIN(100, (X683/69.91)*100), 2)</f>
        <v/>
      </c>
    </row>
    <row r="684">
      <c r="A684" s="10" t="n">
        <v>2</v>
      </c>
      <c r="B684" s="10" t="n">
        <v>680</v>
      </c>
      <c r="C684" s="10" t="n">
        <v>1680</v>
      </c>
      <c r="D684" s="10" t="inlineStr">
        <is>
          <t>1381100017</t>
        </is>
      </c>
      <c r="E684" s="26" t="inlineStr">
        <is>
          <t>National Capital Region (NCR)</t>
        </is>
      </c>
      <c r="F684" s="26" t="inlineStr">
        <is>
          <t>Fourth District (Not a Province)</t>
        </is>
      </c>
      <c r="G684" s="26" t="inlineStr">
        <is>
          <t>Pasay City</t>
        </is>
      </c>
      <c r="H684" s="26" t="inlineStr">
        <is>
          <t>Barangay 17</t>
        </is>
      </c>
      <c r="I684" s="27" t="n">
        <v>14.486248</v>
      </c>
      <c r="J684" s="27" t="n">
        <v>121.033114</v>
      </c>
      <c r="K684" s="10" t="inlineStr">
        <is>
          <t>U</t>
        </is>
      </c>
      <c r="L684" s="12" t="n">
        <v>1013</v>
      </c>
      <c r="M684" s="14" t="n">
        <v>3.4</v>
      </c>
      <c r="N684" s="12">
        <f>ROUND(L684/M684, 0)</f>
        <v/>
      </c>
      <c r="O684" s="12">
        <f>ROUND(N684*'Methodology &amp; Assumptions'!$B$5, 0)</f>
        <v/>
      </c>
      <c r="P684" s="10" t="inlineStr">
        <is>
          <t>Single Carrier (Band n50, 100MHz TDD)</t>
        </is>
      </c>
      <c r="Q684" s="13">
        <f>ROUNDUP(O684/'Methodology &amp; Assumptions'!$B$6, 0)</f>
        <v/>
      </c>
      <c r="R684" s="13" t="n">
        <v>1</v>
      </c>
      <c r="S684" s="14" t="n">
        <v>0.4</v>
      </c>
      <c r="T684" s="14" t="n">
        <v>0.27</v>
      </c>
      <c r="U684" s="26">
        <f>IF(X684&gt;='Methodology &amp; Assumptions'!$B$7, "Tier 1 Critical GIDA (Score ≥ 50.0)", IF(X684&gt;='Methodology &amp; Assumptions'!$B$8, "Tier 2 High GIDA (Score 40.0–49.9)", "Tier 3 Moderate GIDA (Score &lt; 40.0)"))</f>
        <v/>
      </c>
      <c r="V684" s="26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W684" s="28" t="n">
        <v>0.109</v>
      </c>
      <c r="X684" s="14" t="n">
        <v>49.78</v>
      </c>
      <c r="Y684" s="14">
        <f>ROUND(MIN(100, (X684/69.91)*100), 2)</f>
        <v/>
      </c>
    </row>
    <row r="685">
      <c r="A685" s="10" t="n">
        <v>2</v>
      </c>
      <c r="B685" s="10" t="n">
        <v>681</v>
      </c>
      <c r="C685" s="10" t="n">
        <v>1681</v>
      </c>
      <c r="D685" s="10" t="inlineStr">
        <is>
          <t>1380606079</t>
        </is>
      </c>
      <c r="E685" s="26" t="inlineStr">
        <is>
          <t>National Capital Region (NCR)</t>
        </is>
      </c>
      <c r="F685" s="26" t="inlineStr">
        <is>
          <t>First District (Not a Province)</t>
        </is>
      </c>
      <c r="G685" s="26" t="inlineStr">
        <is>
          <t>City of Manila</t>
        </is>
      </c>
      <c r="H685" s="26" t="inlineStr">
        <is>
          <t>Barangay 473</t>
        </is>
      </c>
      <c r="I685" s="27" t="n">
        <v>13.059815</v>
      </c>
      <c r="J685" s="27" t="n">
        <v>121.51013</v>
      </c>
      <c r="K685" s="10" t="inlineStr">
        <is>
          <t>U</t>
        </is>
      </c>
      <c r="L685" s="12" t="n">
        <v>1425</v>
      </c>
      <c r="M685" s="14" t="n">
        <v>3.9</v>
      </c>
      <c r="N685" s="12">
        <f>ROUND(L685/M685, 0)</f>
        <v/>
      </c>
      <c r="O685" s="12">
        <f>ROUND(N685*'Methodology &amp; Assumptions'!$B$5, 0)</f>
        <v/>
      </c>
      <c r="P685" s="10" t="inlineStr">
        <is>
          <t>Single Carrier (Band n50, 100MHz TDD)</t>
        </is>
      </c>
      <c r="Q685" s="13">
        <f>ROUNDUP(O685/'Methodology &amp; Assumptions'!$B$6, 0)</f>
        <v/>
      </c>
      <c r="R685" s="13" t="n">
        <v>1</v>
      </c>
      <c r="S685" s="14" t="n">
        <v>0.62</v>
      </c>
      <c r="T685" s="14" t="n">
        <v>4.03</v>
      </c>
      <c r="U685" s="26">
        <f>IF(X685&gt;='Methodology &amp; Assumptions'!$B$7, "Tier 1 Critical GIDA (Score ≥ 50.0)", IF(X685&gt;='Methodology &amp; Assumptions'!$B$8, "Tier 2 High GIDA (Score 40.0–49.9)", "Tier 3 Moderate GIDA (Score &lt; 40.0)"))</f>
        <v/>
      </c>
      <c r="V685" s="26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W685" s="28" t="n">
        <v>0.109</v>
      </c>
      <c r="X685" s="14" t="n">
        <v>49.77</v>
      </c>
      <c r="Y685" s="14">
        <f>ROUND(MIN(100, (X685/69.91)*100), 2)</f>
        <v/>
      </c>
    </row>
    <row r="686">
      <c r="A686" s="10" t="n">
        <v>2</v>
      </c>
      <c r="B686" s="10" t="n">
        <v>682</v>
      </c>
      <c r="C686" s="10" t="n">
        <v>1682</v>
      </c>
      <c r="D686" s="10" t="inlineStr">
        <is>
          <t>0806014008</t>
        </is>
      </c>
      <c r="E686" s="26" t="inlineStr">
        <is>
          <t>Region VIII (Eastern Visayas)</t>
        </is>
      </c>
      <c r="F686" s="26" t="inlineStr">
        <is>
          <t>Samar</t>
        </is>
      </c>
      <c r="G686" s="26" t="inlineStr">
        <is>
          <t>San Jose De Buan</t>
        </is>
      </c>
      <c r="H686" s="26" t="inlineStr">
        <is>
          <t>Hiduroma</t>
        </is>
      </c>
      <c r="I686" s="27" t="n">
        <v>12.0011</v>
      </c>
      <c r="J686" s="27" t="n">
        <v>125.03374</v>
      </c>
      <c r="K686" s="10" t="inlineStr">
        <is>
          <t>R</t>
        </is>
      </c>
      <c r="L686" s="12" t="n">
        <v>280</v>
      </c>
      <c r="M686" s="14" t="n">
        <v>4.1</v>
      </c>
      <c r="N686" s="12">
        <f>ROUND(L686/M686, 0)</f>
        <v/>
      </c>
      <c r="O686" s="12">
        <f>ROUND(N686*'Methodology &amp; Assumptions'!$B$5, 0)</f>
        <v/>
      </c>
      <c r="P686" s="10" t="inlineStr">
        <is>
          <t>Single Carrier (Band n50, 100MHz TDD)</t>
        </is>
      </c>
      <c r="Q686" s="13">
        <f>ROUNDUP(O686/'Methodology &amp; Assumptions'!$B$6, 0)</f>
        <v/>
      </c>
      <c r="R686" s="13" t="n">
        <v>1</v>
      </c>
      <c r="S686" s="14" t="n">
        <v>84.73999999999999</v>
      </c>
      <c r="T686" s="14" t="n">
        <v>86.45999999999999</v>
      </c>
      <c r="U686" s="26">
        <f>IF(X686&gt;='Methodology &amp; Assumptions'!$B$7, "Tier 1 Critical GIDA (Score ≥ 50.0)", IF(X686&gt;='Methodology &amp; Assumptions'!$B$8, "Tier 2 High GIDA (Score 40.0–49.9)", "Tier 3 Moderate GIDA (Score &lt; 40.0)"))</f>
        <v/>
      </c>
      <c r="V686" s="26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W686" s="28" t="n">
        <v>0.237</v>
      </c>
      <c r="X686" s="14" t="n">
        <v>49.77</v>
      </c>
      <c r="Y686" s="14">
        <f>ROUND(MIN(100, (X686/69.91)*100), 2)</f>
        <v/>
      </c>
    </row>
    <row r="687">
      <c r="A687" s="10" t="n">
        <v>2</v>
      </c>
      <c r="B687" s="10" t="n">
        <v>683</v>
      </c>
      <c r="C687" s="10" t="n">
        <v>1683</v>
      </c>
      <c r="D687" s="10" t="inlineStr">
        <is>
          <t>1380610062</t>
        </is>
      </c>
      <c r="E687" s="26" t="inlineStr">
        <is>
          <t>National Capital Region (NCR)</t>
        </is>
      </c>
      <c r="F687" s="26" t="inlineStr">
        <is>
          <t>First District (Not a Province)</t>
        </is>
      </c>
      <c r="G687" s="26" t="inlineStr">
        <is>
          <t>City of Manila</t>
        </is>
      </c>
      <c r="H687" s="26" t="inlineStr">
        <is>
          <t>Barangay 737</t>
        </is>
      </c>
      <c r="I687" s="27" t="n">
        <v>12.920864</v>
      </c>
      <c r="J687" s="27" t="n">
        <v>122.094743</v>
      </c>
      <c r="K687" s="10" t="inlineStr">
        <is>
          <t>U</t>
        </is>
      </c>
      <c r="L687" s="12" t="n">
        <v>2276</v>
      </c>
      <c r="M687" s="14" t="n">
        <v>3.9</v>
      </c>
      <c r="N687" s="12">
        <f>ROUND(L687/M687, 0)</f>
        <v/>
      </c>
      <c r="O687" s="12">
        <f>ROUND(N687*'Methodology &amp; Assumptions'!$B$5, 0)</f>
        <v/>
      </c>
      <c r="P687" s="10" t="inlineStr">
        <is>
          <t>Single Carrier (Band n50, 100MHz TDD)</t>
        </is>
      </c>
      <c r="Q687" s="13">
        <f>ROUNDUP(O687/'Methodology &amp; Assumptions'!$B$6, 0)</f>
        <v/>
      </c>
      <c r="R687" s="13" t="n">
        <v>1</v>
      </c>
      <c r="S687" s="14" t="n">
        <v>65.68000000000001</v>
      </c>
      <c r="T687" s="14" t="n">
        <v>67</v>
      </c>
      <c r="U687" s="26">
        <f>IF(X687&gt;='Methodology &amp; Assumptions'!$B$7, "Tier 1 Critical GIDA (Score ≥ 50.0)", IF(X687&gt;='Methodology &amp; Assumptions'!$B$8, "Tier 2 High GIDA (Score 40.0–49.9)", "Tier 3 Moderate GIDA (Score &lt; 40.0)"))</f>
        <v/>
      </c>
      <c r="V687" s="26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W687" s="28" t="n">
        <v>0.109</v>
      </c>
      <c r="X687" s="14" t="n">
        <v>49.77</v>
      </c>
      <c r="Y687" s="14">
        <f>ROUND(MIN(100, (X687/69.91)*100), 2)</f>
        <v/>
      </c>
    </row>
    <row r="688">
      <c r="A688" s="10" t="n">
        <v>2</v>
      </c>
      <c r="B688" s="10" t="n">
        <v>684</v>
      </c>
      <c r="C688" s="10" t="n">
        <v>1684</v>
      </c>
      <c r="D688" s="10" t="inlineStr">
        <is>
          <t>1381300062</t>
        </is>
      </c>
      <c r="E688" s="26" t="inlineStr">
        <is>
          <t>National Capital Region (NCR)</t>
        </is>
      </c>
      <c r="F688" s="26" t="inlineStr">
        <is>
          <t>Second District (Not a Province)</t>
        </is>
      </c>
      <c r="G688" s="26" t="inlineStr">
        <is>
          <t>Quezon City</t>
        </is>
      </c>
      <c r="H688" s="26" t="inlineStr">
        <is>
          <t>Marilag</t>
        </is>
      </c>
      <c r="I688" s="27" t="n">
        <v>14.625456</v>
      </c>
      <c r="J688" s="27" t="n">
        <v>121.069617</v>
      </c>
      <c r="K688" s="10" t="inlineStr">
        <is>
          <t>U</t>
        </is>
      </c>
      <c r="L688" s="12" t="n">
        <v>13082</v>
      </c>
      <c r="M688" s="14" t="n">
        <v>3.8</v>
      </c>
      <c r="N688" s="12">
        <f>ROUND(L688/M688, 0)</f>
        <v/>
      </c>
      <c r="O688" s="12">
        <f>ROUND(N688*'Methodology &amp; Assumptions'!$B$5, 0)</f>
        <v/>
      </c>
      <c r="P688" s="10" t="inlineStr">
        <is>
          <t>Single Carrier (Band n50, 100MHz TDD)</t>
        </is>
      </c>
      <c r="Q688" s="13">
        <f>ROUNDUP(O688/'Methodology &amp; Assumptions'!$B$6, 0)</f>
        <v/>
      </c>
      <c r="R688" s="13" t="n">
        <v>1</v>
      </c>
      <c r="S688" s="14" t="n">
        <v>0.13</v>
      </c>
      <c r="T688" s="14" t="n">
        <v>0.12</v>
      </c>
      <c r="U688" s="26">
        <f>IF(X688&gt;='Methodology &amp; Assumptions'!$B$7, "Tier 1 Critical GIDA (Score ≥ 50.0)", IF(X688&gt;='Methodology &amp; Assumptions'!$B$8, "Tier 2 High GIDA (Score 40.0–49.9)", "Tier 3 Moderate GIDA (Score &lt; 40.0)"))</f>
        <v/>
      </c>
      <c r="V688" s="26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W688" s="28" t="n">
        <v>0.109</v>
      </c>
      <c r="X688" s="14" t="n">
        <v>49.77</v>
      </c>
      <c r="Y688" s="14">
        <f>ROUND(MIN(100, (X688/69.91)*100), 2)</f>
        <v/>
      </c>
    </row>
    <row r="689">
      <c r="A689" s="10" t="n">
        <v>2</v>
      </c>
      <c r="B689" s="10" t="n">
        <v>685</v>
      </c>
      <c r="C689" s="10" t="n">
        <v>1685</v>
      </c>
      <c r="D689" s="10" t="inlineStr">
        <is>
          <t>1380606109</t>
        </is>
      </c>
      <c r="E689" s="26" t="inlineStr">
        <is>
          <t>National Capital Region (NCR)</t>
        </is>
      </c>
      <c r="F689" s="26" t="inlineStr">
        <is>
          <t>First District (Not a Province)</t>
        </is>
      </c>
      <c r="G689" s="26" t="inlineStr">
        <is>
          <t>City of Manila</t>
        </is>
      </c>
      <c r="H689" s="26" t="inlineStr">
        <is>
          <t>Barangay 503</t>
        </is>
      </c>
      <c r="I689" s="27" t="n">
        <v>12.637078</v>
      </c>
      <c r="J689" s="27" t="n">
        <v>121.565162</v>
      </c>
      <c r="K689" s="10" t="inlineStr">
        <is>
          <t>U</t>
        </is>
      </c>
      <c r="L689" s="12" t="n">
        <v>1219</v>
      </c>
      <c r="M689" s="14" t="n">
        <v>3.9</v>
      </c>
      <c r="N689" s="12">
        <f>ROUND(L689/M689, 0)</f>
        <v/>
      </c>
      <c r="O689" s="12">
        <f>ROUND(N689*'Methodology &amp; Assumptions'!$B$5, 0)</f>
        <v/>
      </c>
      <c r="P689" s="10" t="inlineStr">
        <is>
          <t>Single Carrier (Band n50, 100MHz TDD)</t>
        </is>
      </c>
      <c r="Q689" s="13">
        <f>ROUNDUP(O689/'Methodology &amp; Assumptions'!$B$6, 0)</f>
        <v/>
      </c>
      <c r="R689" s="13" t="n">
        <v>1</v>
      </c>
      <c r="S689" s="14" t="n">
        <v>3.96</v>
      </c>
      <c r="T689" s="14" t="n">
        <v>3.87</v>
      </c>
      <c r="U689" s="26">
        <f>IF(X689&gt;='Methodology &amp; Assumptions'!$B$7, "Tier 1 Critical GIDA (Score ≥ 50.0)", IF(X689&gt;='Methodology &amp; Assumptions'!$B$8, "Tier 2 High GIDA (Score 40.0–49.9)", "Tier 3 Moderate GIDA (Score &lt; 40.0)"))</f>
        <v/>
      </c>
      <c r="V689" s="26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W689" s="28" t="n">
        <v>0.109</v>
      </c>
      <c r="X689" s="14" t="n">
        <v>49.76</v>
      </c>
      <c r="Y689" s="14">
        <f>ROUND(MIN(100, (X689/69.91)*100), 2)</f>
        <v/>
      </c>
    </row>
    <row r="690">
      <c r="A690" s="10" t="n">
        <v>2</v>
      </c>
      <c r="B690" s="10" t="n">
        <v>686</v>
      </c>
      <c r="C690" s="10" t="n">
        <v>1686</v>
      </c>
      <c r="D690" s="10" t="inlineStr">
        <is>
          <t>1380611042</t>
        </is>
      </c>
      <c r="E690" s="26" t="inlineStr">
        <is>
          <t>National Capital Region (NCR)</t>
        </is>
      </c>
      <c r="F690" s="26" t="inlineStr">
        <is>
          <t>First District (Not a Province)</t>
        </is>
      </c>
      <c r="G690" s="26" t="inlineStr">
        <is>
          <t>City of Manila</t>
        </is>
      </c>
      <c r="H690" s="26" t="inlineStr">
        <is>
          <t>Barangay 827</t>
        </is>
      </c>
      <c r="I690" s="27" t="n">
        <v>13.197467</v>
      </c>
      <c r="J690" s="27" t="n">
        <v>121.759768</v>
      </c>
      <c r="K690" s="10" t="inlineStr">
        <is>
          <t>U</t>
        </is>
      </c>
      <c r="L690" s="12" t="n">
        <v>2742</v>
      </c>
      <c r="M690" s="14" t="n">
        <v>3.9</v>
      </c>
      <c r="N690" s="12">
        <f>ROUND(L690/M690, 0)</f>
        <v/>
      </c>
      <c r="O690" s="12">
        <f>ROUND(N690*'Methodology &amp; Assumptions'!$B$5, 0)</f>
        <v/>
      </c>
      <c r="P690" s="10" t="inlineStr">
        <is>
          <t>Single Carrier (Band n50, 100MHz TDD)</t>
        </is>
      </c>
      <c r="Q690" s="13">
        <f>ROUNDUP(O690/'Methodology &amp; Assumptions'!$B$6, 0)</f>
        <v/>
      </c>
      <c r="R690" s="13" t="n">
        <v>1</v>
      </c>
      <c r="S690" s="14" t="n">
        <v>31.15</v>
      </c>
      <c r="T690" s="14" t="n">
        <v>35.08</v>
      </c>
      <c r="U690" s="26">
        <f>IF(X690&gt;='Methodology &amp; Assumptions'!$B$7, "Tier 1 Critical GIDA (Score ≥ 50.0)", IF(X690&gt;='Methodology &amp; Assumptions'!$B$8, "Tier 2 High GIDA (Score 40.0–49.9)", "Tier 3 Moderate GIDA (Score &lt; 40.0)"))</f>
        <v/>
      </c>
      <c r="V690" s="26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W690" s="28" t="n">
        <v>0.109</v>
      </c>
      <c r="X690" s="14" t="n">
        <v>49.76</v>
      </c>
      <c r="Y690" s="14">
        <f>ROUND(MIN(100, (X690/69.91)*100), 2)</f>
        <v/>
      </c>
    </row>
    <row r="691">
      <c r="A691" s="10" t="n">
        <v>2</v>
      </c>
      <c r="B691" s="10" t="n">
        <v>687</v>
      </c>
      <c r="C691" s="10" t="n">
        <v>1687</v>
      </c>
      <c r="D691" s="10" t="inlineStr">
        <is>
          <t>1381100091</t>
        </is>
      </c>
      <c r="E691" s="26" t="inlineStr">
        <is>
          <t>National Capital Region (NCR)</t>
        </is>
      </c>
      <c r="F691" s="26" t="inlineStr">
        <is>
          <t>Fourth District (Not a Province)</t>
        </is>
      </c>
      <c r="G691" s="26" t="inlineStr">
        <is>
          <t>Pasay City</t>
        </is>
      </c>
      <c r="H691" s="26" t="inlineStr">
        <is>
          <t>Barangay 91</t>
        </is>
      </c>
      <c r="I691" s="27" t="n">
        <v>14.56246</v>
      </c>
      <c r="J691" s="27" t="n">
        <v>120.942569</v>
      </c>
      <c r="K691" s="10" t="inlineStr">
        <is>
          <t>U</t>
        </is>
      </c>
      <c r="L691" s="12" t="n">
        <v>1934</v>
      </c>
      <c r="M691" s="14" t="n">
        <v>3.4</v>
      </c>
      <c r="N691" s="12">
        <f>ROUND(L691/M691, 0)</f>
        <v/>
      </c>
      <c r="O691" s="12">
        <f>ROUND(N691*'Methodology &amp; Assumptions'!$B$5, 0)</f>
        <v/>
      </c>
      <c r="P691" s="10" t="inlineStr">
        <is>
          <t>Single Carrier (Band n50, 100MHz TDD)</t>
        </is>
      </c>
      <c r="Q691" s="13">
        <f>ROUNDUP(O691/'Methodology &amp; Assumptions'!$B$6, 0)</f>
        <v/>
      </c>
      <c r="R691" s="13" t="n">
        <v>1</v>
      </c>
      <c r="S691" s="14" t="n">
        <v>4.04</v>
      </c>
      <c r="T691" s="14" t="n">
        <v>5.1</v>
      </c>
      <c r="U691" s="26">
        <f>IF(X691&gt;='Methodology &amp; Assumptions'!$B$7, "Tier 1 Critical GIDA (Score ≥ 50.0)", IF(X691&gt;='Methodology &amp; Assumptions'!$B$8, "Tier 2 High GIDA (Score 40.0–49.9)", "Tier 3 Moderate GIDA (Score &lt; 40.0)"))</f>
        <v/>
      </c>
      <c r="V691" s="26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W691" s="28" t="n">
        <v>0.109</v>
      </c>
      <c r="X691" s="14" t="n">
        <v>49.76</v>
      </c>
      <c r="Y691" s="14">
        <f>ROUND(MIN(100, (X691/69.91)*100), 2)</f>
        <v/>
      </c>
    </row>
    <row r="692">
      <c r="A692" s="10" t="n">
        <v>2</v>
      </c>
      <c r="B692" s="10" t="n">
        <v>688</v>
      </c>
      <c r="C692" s="10" t="n">
        <v>1688</v>
      </c>
      <c r="D692" s="10" t="inlineStr">
        <is>
          <t>0401005070</t>
        </is>
      </c>
      <c r="E692" s="26" t="inlineStr">
        <is>
          <t>Region IV-A (CALABARZON)</t>
        </is>
      </c>
      <c r="F692" s="26" t="inlineStr">
        <is>
          <t>Batangas</t>
        </is>
      </c>
      <c r="G692" s="26" t="inlineStr">
        <is>
          <t>Batangas City</t>
        </is>
      </c>
      <c r="H692" s="26" t="inlineStr">
        <is>
          <t>Barangay 23</t>
        </is>
      </c>
      <c r="I692" s="27" t="n">
        <v>13.706642</v>
      </c>
      <c r="J692" s="27" t="n">
        <v>121.094149</v>
      </c>
      <c r="K692" s="10" t="inlineStr">
        <is>
          <t>U</t>
        </is>
      </c>
      <c r="L692" s="12" t="n">
        <v>717</v>
      </c>
      <c r="M692" s="14" t="n">
        <v>3.6</v>
      </c>
      <c r="N692" s="12">
        <f>ROUND(L692/M692, 0)</f>
        <v/>
      </c>
      <c r="O692" s="12">
        <f>ROUND(N692*'Methodology &amp; Assumptions'!$B$5, 0)</f>
        <v/>
      </c>
      <c r="P692" s="10" t="inlineStr">
        <is>
          <t>Single Carrier (Band n50, 100MHz TDD)</t>
        </is>
      </c>
      <c r="Q692" s="13">
        <f>ROUNDUP(O692/'Methodology &amp; Assumptions'!$B$6, 0)</f>
        <v/>
      </c>
      <c r="R692" s="13" t="n">
        <v>1</v>
      </c>
      <c r="S692" s="14" t="n">
        <v>3.98</v>
      </c>
      <c r="T692" s="14" t="n">
        <v>6.5</v>
      </c>
      <c r="U692" s="26">
        <f>IF(X692&gt;='Methodology &amp; Assumptions'!$B$7, "Tier 1 Critical GIDA (Score ≥ 50.0)", IF(X692&gt;='Methodology &amp; Assumptions'!$B$8, "Tier 2 High GIDA (Score 40.0–49.9)", "Tier 3 Moderate GIDA (Score &lt; 40.0)"))</f>
        <v/>
      </c>
      <c r="V692" s="26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W692" s="28" t="n">
        <v>0.07200000000000001</v>
      </c>
      <c r="X692" s="14" t="n">
        <v>49.76</v>
      </c>
      <c r="Y692" s="14">
        <f>ROUND(MIN(100, (X692/69.91)*100), 2)</f>
        <v/>
      </c>
    </row>
    <row r="693">
      <c r="A693" s="10" t="n">
        <v>2</v>
      </c>
      <c r="B693" s="10" t="n">
        <v>689</v>
      </c>
      <c r="C693" s="10" t="n">
        <v>1689</v>
      </c>
      <c r="D693" s="10" t="inlineStr">
        <is>
          <t>1381100083</t>
        </is>
      </c>
      <c r="E693" s="26" t="inlineStr">
        <is>
          <t>National Capital Region (NCR)</t>
        </is>
      </c>
      <c r="F693" s="26" t="inlineStr">
        <is>
          <t>Fourth District (Not a Province)</t>
        </is>
      </c>
      <c r="G693" s="26" t="inlineStr">
        <is>
          <t>Pasay City</t>
        </is>
      </c>
      <c r="H693" s="26" t="inlineStr">
        <is>
          <t>Barangay 83</t>
        </is>
      </c>
      <c r="I693" s="27" t="n">
        <v>14.565538</v>
      </c>
      <c r="J693" s="27" t="n">
        <v>121.065116</v>
      </c>
      <c r="K693" s="10" t="inlineStr">
        <is>
          <t>U</t>
        </is>
      </c>
      <c r="L693" s="12" t="n">
        <v>817</v>
      </c>
      <c r="M693" s="14" t="n">
        <v>3.4</v>
      </c>
      <c r="N693" s="12">
        <f>ROUND(L693/M693, 0)</f>
        <v/>
      </c>
      <c r="O693" s="12">
        <f>ROUND(N693*'Methodology &amp; Assumptions'!$B$5, 0)</f>
        <v/>
      </c>
      <c r="P693" s="10" t="inlineStr">
        <is>
          <t>Single Carrier (Band n50, 100MHz TDD)</t>
        </is>
      </c>
      <c r="Q693" s="13">
        <f>ROUNDUP(O693/'Methodology &amp; Assumptions'!$B$6, 0)</f>
        <v/>
      </c>
      <c r="R693" s="13" t="n">
        <v>1</v>
      </c>
      <c r="S693" s="14" t="n">
        <v>1.65</v>
      </c>
      <c r="T693" s="14" t="n">
        <v>0.51</v>
      </c>
      <c r="U693" s="26">
        <f>IF(X693&gt;='Methodology &amp; Assumptions'!$B$7, "Tier 1 Critical GIDA (Score ≥ 50.0)", IF(X693&gt;='Methodology &amp; Assumptions'!$B$8, "Tier 2 High GIDA (Score 40.0–49.9)", "Tier 3 Moderate GIDA (Score &lt; 40.0)"))</f>
        <v/>
      </c>
      <c r="V693" s="26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W693" s="28" t="n">
        <v>0.109</v>
      </c>
      <c r="X693" s="14" t="n">
        <v>49.76</v>
      </c>
      <c r="Y693" s="14">
        <f>ROUND(MIN(100, (X693/69.91)*100), 2)</f>
        <v/>
      </c>
    </row>
    <row r="694">
      <c r="A694" s="10" t="n">
        <v>2</v>
      </c>
      <c r="B694" s="10" t="n">
        <v>690</v>
      </c>
      <c r="C694" s="10" t="n">
        <v>1690</v>
      </c>
      <c r="D694" s="10" t="inlineStr">
        <is>
          <t>PH0001690</t>
        </is>
      </c>
      <c r="E694" s="26" t="inlineStr">
        <is>
          <t>XI</t>
        </is>
      </c>
      <c r="F694" s="26" t="inlineStr">
        <is>
          <t>Davao de Oro</t>
        </is>
      </c>
      <c r="G694" s="26" t="inlineStr">
        <is>
          <t>Mabini Compostela Valley</t>
        </is>
      </c>
      <c r="H694" s="26" t="inlineStr">
        <is>
          <t>Cabuyuan</t>
        </is>
      </c>
      <c r="I694" s="27" t="n">
        <v>14.354271</v>
      </c>
      <c r="J694" s="27" t="n">
        <v>122.324552</v>
      </c>
      <c r="K694" s="10" t="inlineStr">
        <is>
          <t>R</t>
        </is>
      </c>
      <c r="L694" s="12" t="n">
        <v>2247</v>
      </c>
      <c r="M694" s="14" t="n">
        <v>3.7</v>
      </c>
      <c r="N694" s="12">
        <f>ROUND(L694/M694, 0)</f>
        <v/>
      </c>
      <c r="O694" s="12">
        <f>ROUND(N694*'Methodology &amp; Assumptions'!$B$5, 0)</f>
        <v/>
      </c>
      <c r="P694" s="10" t="inlineStr">
        <is>
          <t>Single Carrier (Band n50, 100MHz TDD)</t>
        </is>
      </c>
      <c r="Q694" s="13">
        <f>ROUNDUP(O694/'Methodology &amp; Assumptions'!$B$6, 0)</f>
        <v/>
      </c>
      <c r="R694" s="13" t="n">
        <v>1</v>
      </c>
      <c r="S694" s="14" t="n">
        <v>20.7</v>
      </c>
      <c r="T694" s="14" t="n">
        <v>19.19</v>
      </c>
      <c r="U694" s="26">
        <f>IF(X694&gt;='Methodology &amp; Assumptions'!$B$7, "Tier 1 Critical GIDA (Score ≥ 50.0)", IF(X694&gt;='Methodology &amp; Assumptions'!$B$8, "Tier 2 High GIDA (Score 40.0–49.9)", "Tier 3 Moderate GIDA (Score &lt; 40.0)"))</f>
        <v/>
      </c>
      <c r="V694" s="26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W694" s="28" t="n">
        <v>0.119</v>
      </c>
      <c r="X694" s="14" t="n">
        <v>49.76</v>
      </c>
      <c r="Y694" s="14">
        <f>ROUND(MIN(100, (X694/69.91)*100), 2)</f>
        <v/>
      </c>
    </row>
    <row r="695">
      <c r="A695" s="10" t="n">
        <v>2</v>
      </c>
      <c r="B695" s="10" t="n">
        <v>691</v>
      </c>
      <c r="C695" s="10" t="n">
        <v>1691</v>
      </c>
      <c r="D695" s="10" t="inlineStr">
        <is>
          <t>1380601135</t>
        </is>
      </c>
      <c r="E695" s="26" t="inlineStr">
        <is>
          <t>National Capital Region (NCR)</t>
        </is>
      </c>
      <c r="F695" s="26" t="inlineStr">
        <is>
          <t>First District (Not a Province)</t>
        </is>
      </c>
      <c r="G695" s="26" t="inlineStr">
        <is>
          <t>City of Manila</t>
        </is>
      </c>
      <c r="H695" s="26" t="inlineStr">
        <is>
          <t>Barangay 135</t>
        </is>
      </c>
      <c r="I695" s="27" t="n">
        <v>12.653836</v>
      </c>
      <c r="J695" s="27" t="n">
        <v>122.005693</v>
      </c>
      <c r="K695" s="10" t="inlineStr">
        <is>
          <t>U</t>
        </is>
      </c>
      <c r="L695" s="12" t="n">
        <v>1994</v>
      </c>
      <c r="M695" s="14" t="n">
        <v>3.9</v>
      </c>
      <c r="N695" s="12">
        <f>ROUND(L695/M695, 0)</f>
        <v/>
      </c>
      <c r="O695" s="12">
        <f>ROUND(N695*'Methodology &amp; Assumptions'!$B$5, 0)</f>
        <v/>
      </c>
      <c r="P695" s="10" t="inlineStr">
        <is>
          <t>Single Carrier (Band n50, 100MHz TDD)</t>
        </is>
      </c>
      <c r="Q695" s="13">
        <f>ROUNDUP(O695/'Methodology &amp; Assumptions'!$B$6, 0)</f>
        <v/>
      </c>
      <c r="R695" s="13" t="n">
        <v>1</v>
      </c>
      <c r="S695" s="14" t="n">
        <v>49.57</v>
      </c>
      <c r="T695" s="14" t="n">
        <v>41.96</v>
      </c>
      <c r="U695" s="26">
        <f>IF(X695&gt;='Methodology &amp; Assumptions'!$B$7, "Tier 1 Critical GIDA (Score ≥ 50.0)", IF(X695&gt;='Methodology &amp; Assumptions'!$B$8, "Tier 2 High GIDA (Score 40.0–49.9)", "Tier 3 Moderate GIDA (Score &lt; 40.0)"))</f>
        <v/>
      </c>
      <c r="V695" s="26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W695" s="28" t="n">
        <v>0.109</v>
      </c>
      <c r="X695" s="14" t="n">
        <v>49.75</v>
      </c>
      <c r="Y695" s="14">
        <f>ROUND(MIN(100, (X695/69.91)*100), 2)</f>
        <v/>
      </c>
    </row>
    <row r="696">
      <c r="A696" s="10" t="n">
        <v>2</v>
      </c>
      <c r="B696" s="10" t="n">
        <v>692</v>
      </c>
      <c r="C696" s="10" t="n">
        <v>1692</v>
      </c>
      <c r="D696" s="10" t="inlineStr">
        <is>
          <t>1380611048</t>
        </is>
      </c>
      <c r="E696" s="26" t="inlineStr">
        <is>
          <t>National Capital Region (NCR)</t>
        </is>
      </c>
      <c r="F696" s="26" t="inlineStr">
        <is>
          <t>First District (Not a Province)</t>
        </is>
      </c>
      <c r="G696" s="26" t="inlineStr">
        <is>
          <t>City of Manila</t>
        </is>
      </c>
      <c r="H696" s="26" t="inlineStr">
        <is>
          <t>Barangay 686</t>
        </is>
      </c>
      <c r="I696" s="27" t="n">
        <v>12.893692</v>
      </c>
      <c r="J696" s="27" t="n">
        <v>121.445265</v>
      </c>
      <c r="K696" s="10" t="inlineStr">
        <is>
          <t>U</t>
        </is>
      </c>
      <c r="L696" s="12" t="n">
        <v>3349</v>
      </c>
      <c r="M696" s="14" t="n">
        <v>3.9</v>
      </c>
      <c r="N696" s="12">
        <f>ROUND(L696/M696, 0)</f>
        <v/>
      </c>
      <c r="O696" s="12">
        <f>ROUND(N696*'Methodology &amp; Assumptions'!$B$5, 0)</f>
        <v/>
      </c>
      <c r="P696" s="10" t="inlineStr">
        <is>
          <t>Single Carrier (Band n50, 100MHz TDD)</t>
        </is>
      </c>
      <c r="Q696" s="13">
        <f>ROUNDUP(O696/'Methodology &amp; Assumptions'!$B$6, 0)</f>
        <v/>
      </c>
      <c r="R696" s="13" t="n">
        <v>1</v>
      </c>
      <c r="S696" s="14" t="n">
        <v>6.77</v>
      </c>
      <c r="T696" s="14" t="n">
        <v>0.84</v>
      </c>
      <c r="U696" s="26">
        <f>IF(X696&gt;='Methodology &amp; Assumptions'!$B$7, "Tier 1 Critical GIDA (Score ≥ 50.0)", IF(X696&gt;='Methodology &amp; Assumptions'!$B$8, "Tier 2 High GIDA (Score 40.0–49.9)", "Tier 3 Moderate GIDA (Score &lt; 40.0)"))</f>
        <v/>
      </c>
      <c r="V696" s="26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W696" s="28" t="n">
        <v>0.109</v>
      </c>
      <c r="X696" s="14" t="n">
        <v>49.75</v>
      </c>
      <c r="Y696" s="14">
        <f>ROUND(MIN(100, (X696/69.91)*100), 2)</f>
        <v/>
      </c>
    </row>
    <row r="697">
      <c r="A697" s="10" t="n">
        <v>2</v>
      </c>
      <c r="B697" s="10" t="n">
        <v>693</v>
      </c>
      <c r="C697" s="10" t="n">
        <v>1693</v>
      </c>
      <c r="D697" s="10" t="inlineStr">
        <is>
          <t>1380606058</t>
        </is>
      </c>
      <c r="E697" s="26" t="inlineStr">
        <is>
          <t>National Capital Region (NCR)</t>
        </is>
      </c>
      <c r="F697" s="26" t="inlineStr">
        <is>
          <t>First District (Not a Province)</t>
        </is>
      </c>
      <c r="G697" s="26" t="inlineStr">
        <is>
          <t>City of Manila</t>
        </is>
      </c>
      <c r="H697" s="26" t="inlineStr">
        <is>
          <t>Barangay 452</t>
        </is>
      </c>
      <c r="I697" s="27" t="n">
        <v>13.086754</v>
      </c>
      <c r="J697" s="27" t="n">
        <v>122.027126</v>
      </c>
      <c r="K697" s="10" t="inlineStr">
        <is>
          <t>U</t>
        </is>
      </c>
      <c r="L697" s="12" t="n">
        <v>1071</v>
      </c>
      <c r="M697" s="14" t="n">
        <v>3.9</v>
      </c>
      <c r="N697" s="12">
        <f>ROUND(L697/M697, 0)</f>
        <v/>
      </c>
      <c r="O697" s="12">
        <f>ROUND(N697*'Methodology &amp; Assumptions'!$B$5, 0)</f>
        <v/>
      </c>
      <c r="P697" s="10" t="inlineStr">
        <is>
          <t>Single Carrier (Band n50, 100MHz TDD)</t>
        </is>
      </c>
      <c r="Q697" s="13">
        <f>ROUNDUP(O697/'Methodology &amp; Assumptions'!$B$6, 0)</f>
        <v/>
      </c>
      <c r="R697" s="13" t="n">
        <v>1</v>
      </c>
      <c r="S697" s="14" t="n">
        <v>56.42</v>
      </c>
      <c r="T697" s="14" t="n">
        <v>59.55</v>
      </c>
      <c r="U697" s="26">
        <f>IF(X697&gt;='Methodology &amp; Assumptions'!$B$7, "Tier 1 Critical GIDA (Score ≥ 50.0)", IF(X697&gt;='Methodology &amp; Assumptions'!$B$8, "Tier 2 High GIDA (Score 40.0–49.9)", "Tier 3 Moderate GIDA (Score &lt; 40.0)"))</f>
        <v/>
      </c>
      <c r="V697" s="26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W697" s="28" t="n">
        <v>0.109</v>
      </c>
      <c r="X697" s="14" t="n">
        <v>49.75</v>
      </c>
      <c r="Y697" s="14">
        <f>ROUND(MIN(100, (X697/69.91)*100), 2)</f>
        <v/>
      </c>
    </row>
    <row r="698">
      <c r="A698" s="10" t="n">
        <v>2</v>
      </c>
      <c r="B698" s="10" t="n">
        <v>694</v>
      </c>
      <c r="C698" s="10" t="n">
        <v>1694</v>
      </c>
      <c r="D698" s="10" t="inlineStr">
        <is>
          <t>1381100158</t>
        </is>
      </c>
      <c r="E698" s="26" t="inlineStr">
        <is>
          <t>National Capital Region (NCR)</t>
        </is>
      </c>
      <c r="F698" s="26" t="inlineStr">
        <is>
          <t>Fourth District (Not a Province)</t>
        </is>
      </c>
      <c r="G698" s="26" t="inlineStr">
        <is>
          <t>Pasay City</t>
        </is>
      </c>
      <c r="H698" s="26" t="inlineStr">
        <is>
          <t>Barangay 158</t>
        </is>
      </c>
      <c r="I698" s="27" t="n">
        <v>14.481389</v>
      </c>
      <c r="J698" s="27" t="n">
        <v>120.975035</v>
      </c>
      <c r="K698" s="10" t="inlineStr">
        <is>
          <t>U</t>
        </is>
      </c>
      <c r="L698" s="12" t="n">
        <v>988</v>
      </c>
      <c r="M698" s="14" t="n">
        <v>3.4</v>
      </c>
      <c r="N698" s="12">
        <f>ROUND(L698/M698, 0)</f>
        <v/>
      </c>
      <c r="O698" s="12">
        <f>ROUND(N698*'Methodology &amp; Assumptions'!$B$5, 0)</f>
        <v/>
      </c>
      <c r="P698" s="10" t="inlineStr">
        <is>
          <t>Single Carrier (Band n50, 100MHz TDD)</t>
        </is>
      </c>
      <c r="Q698" s="13">
        <f>ROUNDUP(O698/'Methodology &amp; Assumptions'!$B$6, 0)</f>
        <v/>
      </c>
      <c r="R698" s="13" t="n">
        <v>1</v>
      </c>
      <c r="S698" s="14" t="n">
        <v>2.13</v>
      </c>
      <c r="T698" s="14" t="n">
        <v>0.7</v>
      </c>
      <c r="U698" s="26">
        <f>IF(X698&gt;='Methodology &amp; Assumptions'!$B$7, "Tier 1 Critical GIDA (Score ≥ 50.0)", IF(X698&gt;='Methodology &amp; Assumptions'!$B$8, "Tier 2 High GIDA (Score 40.0–49.9)", "Tier 3 Moderate GIDA (Score &lt; 40.0)"))</f>
        <v/>
      </c>
      <c r="V698" s="26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W698" s="28" t="n">
        <v>0.109</v>
      </c>
      <c r="X698" s="14" t="n">
        <v>49.74</v>
      </c>
      <c r="Y698" s="14">
        <f>ROUND(MIN(100, (X698/69.91)*100), 2)</f>
        <v/>
      </c>
    </row>
    <row r="699">
      <c r="A699" s="10" t="n">
        <v>2</v>
      </c>
      <c r="B699" s="10" t="n">
        <v>695</v>
      </c>
      <c r="C699" s="10" t="n">
        <v>1695</v>
      </c>
      <c r="D699" s="10" t="inlineStr">
        <is>
          <t>1907011016</t>
        </is>
      </c>
      <c r="E699" s="26" t="inlineStr">
        <is>
          <t>Bangsamoro Autonomous Region In Muslim Mindanao (BARMM)</t>
        </is>
      </c>
      <c r="F699" s="26" t="inlineStr">
        <is>
          <t>Tawi-Tawi</t>
        </is>
      </c>
      <c r="G699" s="26" t="inlineStr">
        <is>
          <t>Sibutu</t>
        </is>
      </c>
      <c r="H699" s="26" t="inlineStr">
        <is>
          <t>Ungus-ungus</t>
        </is>
      </c>
      <c r="I699" s="27" t="n">
        <v>13.494512</v>
      </c>
      <c r="J699" s="27" t="n">
        <v>121.402957</v>
      </c>
      <c r="K699" s="10" t="inlineStr">
        <is>
          <t>R</t>
        </is>
      </c>
      <c r="L699" s="12" t="n">
        <v>2621</v>
      </c>
      <c r="M699" s="14" t="n">
        <v>5.8</v>
      </c>
      <c r="N699" s="12">
        <f>ROUND(L699/M699, 0)</f>
        <v/>
      </c>
      <c r="O699" s="12">
        <f>ROUND(N699*'Methodology &amp; Assumptions'!$B$5, 0)</f>
        <v/>
      </c>
      <c r="P699" s="10" t="inlineStr">
        <is>
          <t>Single Carrier (Band n50, 100MHz TDD)</t>
        </is>
      </c>
      <c r="Q699" s="13">
        <f>ROUNDUP(O699/'Methodology &amp; Assumptions'!$B$6, 0)</f>
        <v/>
      </c>
      <c r="R699" s="13" t="n">
        <v>1</v>
      </c>
      <c r="S699" s="14" t="n">
        <v>22.12</v>
      </c>
      <c r="T699" s="14" t="n">
        <v>28.9</v>
      </c>
      <c r="U699" s="26">
        <f>IF(X699&gt;='Methodology &amp; Assumptions'!$B$7, "Tier 1 Critical GIDA (Score ≥ 50.0)", IF(X699&gt;='Methodology &amp; Assumptions'!$B$8, "Tier 2 High GIDA (Score 40.0–49.9)", "Tier 3 Moderate GIDA (Score &lt; 40.0)"))</f>
        <v/>
      </c>
      <c r="V699" s="26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W699" s="28" t="n">
        <v>0.11</v>
      </c>
      <c r="X699" s="14" t="n">
        <v>49.74</v>
      </c>
      <c r="Y699" s="14">
        <f>ROUND(MIN(100, (X699/69.91)*100), 2)</f>
        <v/>
      </c>
    </row>
    <row r="700">
      <c r="A700" s="10" t="n">
        <v>2</v>
      </c>
      <c r="B700" s="10" t="n">
        <v>696</v>
      </c>
      <c r="C700" s="10" t="n">
        <v>1696</v>
      </c>
      <c r="D700" s="10" t="inlineStr">
        <is>
          <t>1380606134</t>
        </is>
      </c>
      <c r="E700" s="26" t="inlineStr">
        <is>
          <t>National Capital Region (NCR)</t>
        </is>
      </c>
      <c r="F700" s="26" t="inlineStr">
        <is>
          <t>First District (Not a Province)</t>
        </is>
      </c>
      <c r="G700" s="26" t="inlineStr">
        <is>
          <t>City of Manila</t>
        </is>
      </c>
      <c r="H700" s="26" t="inlineStr">
        <is>
          <t>Barangay 528</t>
        </is>
      </c>
      <c r="I700" s="27" t="n">
        <v>12.558999</v>
      </c>
      <c r="J700" s="27" t="n">
        <v>121.730689</v>
      </c>
      <c r="K700" s="10" t="inlineStr">
        <is>
          <t>U</t>
        </is>
      </c>
      <c r="L700" s="12" t="n">
        <v>1477</v>
      </c>
      <c r="M700" s="14" t="n">
        <v>3.9</v>
      </c>
      <c r="N700" s="12">
        <f>ROUND(L700/M700, 0)</f>
        <v/>
      </c>
      <c r="O700" s="12">
        <f>ROUND(N700*'Methodology &amp; Assumptions'!$B$5, 0)</f>
        <v/>
      </c>
      <c r="P700" s="10" t="inlineStr">
        <is>
          <t>Single Carrier (Band n50, 100MHz TDD)</t>
        </is>
      </c>
      <c r="Q700" s="13">
        <f>ROUNDUP(O700/'Methodology &amp; Assumptions'!$B$6, 0)</f>
        <v/>
      </c>
      <c r="R700" s="13" t="n">
        <v>1</v>
      </c>
      <c r="S700" s="14" t="n">
        <v>20.06</v>
      </c>
      <c r="T700" s="14" t="n">
        <v>13.28</v>
      </c>
      <c r="U700" s="26">
        <f>IF(X700&gt;='Methodology &amp; Assumptions'!$B$7, "Tier 1 Critical GIDA (Score ≥ 50.0)", IF(X700&gt;='Methodology &amp; Assumptions'!$B$8, "Tier 2 High GIDA (Score 40.0–49.9)", "Tier 3 Moderate GIDA (Score &lt; 40.0)"))</f>
        <v/>
      </c>
      <c r="V700" s="26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W700" s="28" t="n">
        <v>0.109</v>
      </c>
      <c r="X700" s="14" t="n">
        <v>49.74</v>
      </c>
      <c r="Y700" s="14">
        <f>ROUND(MIN(100, (X700/69.91)*100), 2)</f>
        <v/>
      </c>
    </row>
    <row r="701">
      <c r="A701" s="10" t="n">
        <v>2</v>
      </c>
      <c r="B701" s="10" t="n">
        <v>697</v>
      </c>
      <c r="C701" s="10" t="n">
        <v>1697</v>
      </c>
      <c r="D701" s="10" t="inlineStr">
        <is>
          <t>1380611030</t>
        </is>
      </c>
      <c r="E701" s="26" t="inlineStr">
        <is>
          <t>National Capital Region (NCR)</t>
        </is>
      </c>
      <c r="F701" s="26" t="inlineStr">
        <is>
          <t>First District (Not a Province)</t>
        </is>
      </c>
      <c r="G701" s="26" t="inlineStr">
        <is>
          <t>City of Manila</t>
        </is>
      </c>
      <c r="H701" s="26" t="inlineStr">
        <is>
          <t>Barangay 816</t>
        </is>
      </c>
      <c r="I701" s="27" t="n">
        <v>13.145776</v>
      </c>
      <c r="J701" s="27" t="n">
        <v>121.582883</v>
      </c>
      <c r="K701" s="10" t="inlineStr">
        <is>
          <t>U</t>
        </is>
      </c>
      <c r="L701" s="12" t="n">
        <v>805</v>
      </c>
      <c r="M701" s="14" t="n">
        <v>3.9</v>
      </c>
      <c r="N701" s="12">
        <f>ROUND(L701/M701, 0)</f>
        <v/>
      </c>
      <c r="O701" s="12">
        <f>ROUND(N701*'Methodology &amp; Assumptions'!$B$5, 0)</f>
        <v/>
      </c>
      <c r="P701" s="10" t="inlineStr">
        <is>
          <t>Single Carrier (Band n50, 100MHz TDD)</t>
        </is>
      </c>
      <c r="Q701" s="13">
        <f>ROUNDUP(O701/'Methodology &amp; Assumptions'!$B$6, 0)</f>
        <v/>
      </c>
      <c r="R701" s="13" t="n">
        <v>1</v>
      </c>
      <c r="S701" s="14" t="n">
        <v>12.25</v>
      </c>
      <c r="T701" s="14" t="n">
        <v>16.3</v>
      </c>
      <c r="U701" s="26">
        <f>IF(X701&gt;='Methodology &amp; Assumptions'!$B$7, "Tier 1 Critical GIDA (Score ≥ 50.0)", IF(X701&gt;='Methodology &amp; Assumptions'!$B$8, "Tier 2 High GIDA (Score 40.0–49.9)", "Tier 3 Moderate GIDA (Score &lt; 40.0)"))</f>
        <v/>
      </c>
      <c r="V701" s="26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W701" s="28" t="n">
        <v>0.109</v>
      </c>
      <c r="X701" s="14" t="n">
        <v>49.74</v>
      </c>
      <c r="Y701" s="14">
        <f>ROUND(MIN(100, (X701/69.91)*100), 2)</f>
        <v/>
      </c>
    </row>
    <row r="702">
      <c r="A702" s="10" t="n">
        <v>2</v>
      </c>
      <c r="B702" s="10" t="n">
        <v>698</v>
      </c>
      <c r="C702" s="10" t="n">
        <v>1698</v>
      </c>
      <c r="D702" s="10" t="inlineStr">
        <is>
          <t>1704001055</t>
        </is>
      </c>
      <c r="E702" s="26" t="inlineStr">
        <is>
          <t>MIMAROPA Region</t>
        </is>
      </c>
      <c r="F702" s="26" t="inlineStr">
        <is>
          <t>Marinduque</t>
        </is>
      </c>
      <c r="G702" s="26" t="inlineStr">
        <is>
          <t>Boac</t>
        </is>
      </c>
      <c r="H702" s="26" t="inlineStr">
        <is>
          <t>Tambunan</t>
        </is>
      </c>
      <c r="I702" s="27" t="n">
        <v>13.307423</v>
      </c>
      <c r="J702" s="27" t="n">
        <v>121.985545</v>
      </c>
      <c r="K702" s="10" t="inlineStr">
        <is>
          <t>R</t>
        </is>
      </c>
      <c r="L702" s="12" t="n">
        <v>544</v>
      </c>
      <c r="M702" s="14" t="n">
        <v>3.8</v>
      </c>
      <c r="N702" s="12">
        <f>ROUND(L702/M702, 0)</f>
        <v/>
      </c>
      <c r="O702" s="12">
        <f>ROUND(N702*'Methodology &amp; Assumptions'!$B$5, 0)</f>
        <v/>
      </c>
      <c r="P702" s="10" t="inlineStr">
        <is>
          <t>Single Carrier (Band n50, 100MHz TDD)</t>
        </is>
      </c>
      <c r="Q702" s="13">
        <f>ROUNDUP(O702/'Methodology &amp; Assumptions'!$B$6, 0)</f>
        <v/>
      </c>
      <c r="R702" s="13" t="n">
        <v>1</v>
      </c>
      <c r="S702" s="14" t="n">
        <v>45.93</v>
      </c>
      <c r="T702" s="14" t="n">
        <v>44.96</v>
      </c>
      <c r="U702" s="26">
        <f>IF(X702&gt;='Methodology &amp; Assumptions'!$B$7, "Tier 1 Critical GIDA (Score ≥ 50.0)", IF(X702&gt;='Methodology &amp; Assumptions'!$B$8, "Tier 2 High GIDA (Score 40.0–49.9)", "Tier 3 Moderate GIDA (Score &lt; 40.0)"))</f>
        <v/>
      </c>
      <c r="V702" s="26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W702" s="28" t="n">
        <v>0.15</v>
      </c>
      <c r="X702" s="14" t="n">
        <v>49.74</v>
      </c>
      <c r="Y702" s="14">
        <f>ROUND(MIN(100, (X702/69.91)*100), 2)</f>
        <v/>
      </c>
    </row>
    <row r="703">
      <c r="A703" s="10" t="n">
        <v>2</v>
      </c>
      <c r="B703" s="10" t="n">
        <v>699</v>
      </c>
      <c r="C703" s="10" t="n">
        <v>1699</v>
      </c>
      <c r="D703" s="10" t="inlineStr">
        <is>
          <t>1381300043</t>
        </is>
      </c>
      <c r="E703" s="26" t="inlineStr">
        <is>
          <t>National Capital Region (NCR)</t>
        </is>
      </c>
      <c r="F703" s="26" t="inlineStr">
        <is>
          <t>Second District (Not a Province)</t>
        </is>
      </c>
      <c r="G703" s="26" t="inlineStr">
        <is>
          <t>Quezon City</t>
        </is>
      </c>
      <c r="H703" s="26" t="inlineStr">
        <is>
          <t>Gulod</t>
        </is>
      </c>
      <c r="I703" s="27" t="n">
        <v>14.717857</v>
      </c>
      <c r="J703" s="27" t="n">
        <v>121.039505</v>
      </c>
      <c r="K703" s="10" t="inlineStr">
        <is>
          <t>U</t>
        </is>
      </c>
      <c r="L703" s="12" t="n">
        <v>65167</v>
      </c>
      <c r="M703" s="14" t="n">
        <v>3.8</v>
      </c>
      <c r="N703" s="12">
        <f>ROUND(L703/M703, 0)</f>
        <v/>
      </c>
      <c r="O703" s="12">
        <f>ROUND(N703*'Methodology &amp; Assumptions'!$B$5, 0)</f>
        <v/>
      </c>
      <c r="P703" s="10" t="inlineStr">
        <is>
          <t>Single Carrier (Band n50, 100MHz TDD)</t>
        </is>
      </c>
      <c r="Q703" s="13">
        <f>ROUNDUP(O703/'Methodology &amp; Assumptions'!$B$6, 0)</f>
        <v/>
      </c>
      <c r="R703" s="13" t="n">
        <v>1</v>
      </c>
      <c r="S703" s="14" t="n">
        <v>0.5</v>
      </c>
      <c r="T703" s="14" t="n">
        <v>0.08</v>
      </c>
      <c r="U703" s="26">
        <f>IF(X703&gt;='Methodology &amp; Assumptions'!$B$7, "Tier 1 Critical GIDA (Score ≥ 50.0)", IF(X703&gt;='Methodology &amp; Assumptions'!$B$8, "Tier 2 High GIDA (Score 40.0–49.9)", "Tier 3 Moderate GIDA (Score &lt; 40.0)"))</f>
        <v/>
      </c>
      <c r="V703" s="26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W703" s="28" t="n">
        <v>0.109</v>
      </c>
      <c r="X703" s="14" t="n">
        <v>49.74</v>
      </c>
      <c r="Y703" s="14">
        <f>ROUND(MIN(100, (X703/69.91)*100), 2)</f>
        <v/>
      </c>
    </row>
    <row r="704">
      <c r="A704" s="10" t="n">
        <v>2</v>
      </c>
      <c r="B704" s="10" t="n">
        <v>700</v>
      </c>
      <c r="C704" s="10" t="n">
        <v>1700</v>
      </c>
      <c r="D704" s="10" t="inlineStr">
        <is>
          <t>0102929002</t>
        </is>
      </c>
      <c r="E704" s="26" t="inlineStr">
        <is>
          <t>Region I (Ilocos Region)</t>
        </is>
      </c>
      <c r="F704" s="26" t="inlineStr">
        <is>
          <t>Ilocos Sur</t>
        </is>
      </c>
      <c r="G704" s="26" t="inlineStr">
        <is>
          <t>Sigay</t>
        </is>
      </c>
      <c r="H704" s="26" t="inlineStr">
        <is>
          <t>Mabileg</t>
        </is>
      </c>
      <c r="I704" s="27" t="n">
        <v>17.033562</v>
      </c>
      <c r="J704" s="27" t="n">
        <v>120.582848</v>
      </c>
      <c r="K704" s="10" t="inlineStr">
        <is>
          <t>R</t>
        </is>
      </c>
      <c r="L704" s="12" t="n">
        <v>321</v>
      </c>
      <c r="M704" s="14" t="n">
        <v>3.8</v>
      </c>
      <c r="N704" s="12">
        <f>ROUND(L704/M704, 0)</f>
        <v/>
      </c>
      <c r="O704" s="12">
        <f>ROUND(N704*'Methodology &amp; Assumptions'!$B$5, 0)</f>
        <v/>
      </c>
      <c r="P704" s="10" t="inlineStr">
        <is>
          <t>Single Carrier (Band n50, 100MHz TDD)</t>
        </is>
      </c>
      <c r="Q704" s="13">
        <f>ROUNDUP(O704/'Methodology &amp; Assumptions'!$B$6, 0)</f>
        <v/>
      </c>
      <c r="R704" s="13" t="n">
        <v>1</v>
      </c>
      <c r="S704" s="14" t="n">
        <v>5.92</v>
      </c>
      <c r="T704" s="14" t="n">
        <v>12.19</v>
      </c>
      <c r="U704" s="26">
        <f>IF(X704&gt;='Methodology &amp; Assumptions'!$B$7, "Tier 1 Critical GIDA (Score ≥ 50.0)", IF(X704&gt;='Methodology &amp; Assumptions'!$B$8, "Tier 2 High GIDA (Score 40.0–49.9)", "Tier 3 Moderate GIDA (Score &lt; 40.0)"))</f>
        <v/>
      </c>
      <c r="V704" s="26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W704" s="28" t="n">
        <v>0.083</v>
      </c>
      <c r="X704" s="14" t="n">
        <v>49.73</v>
      </c>
      <c r="Y704" s="14">
        <f>ROUND(MIN(100, (X704/69.91)*100), 2)</f>
        <v/>
      </c>
    </row>
    <row r="705">
      <c r="A705" s="10" t="n">
        <v>2</v>
      </c>
      <c r="B705" s="10" t="n">
        <v>701</v>
      </c>
      <c r="C705" s="10" t="n">
        <v>1701</v>
      </c>
      <c r="D705" s="10" t="inlineStr">
        <is>
          <t>0103305019</t>
        </is>
      </c>
      <c r="E705" s="26" t="inlineStr">
        <is>
          <t>Region I (Ilocos Region)</t>
        </is>
      </c>
      <c r="F705" s="26" t="inlineStr">
        <is>
          <t>La Union</t>
        </is>
      </c>
      <c r="G705" s="26" t="inlineStr">
        <is>
          <t>Balaoan</t>
        </is>
      </c>
      <c r="H705" s="26" t="inlineStr">
        <is>
          <t>Nagsabaran Sur</t>
        </is>
      </c>
      <c r="I705" s="27" t="n">
        <v>16.778543</v>
      </c>
      <c r="J705" s="27" t="n">
        <v>120.384226</v>
      </c>
      <c r="K705" s="10" t="inlineStr">
        <is>
          <t>R</t>
        </is>
      </c>
      <c r="L705" s="12" t="n">
        <v>1223</v>
      </c>
      <c r="M705" s="14" t="n">
        <v>3.7</v>
      </c>
      <c r="N705" s="12">
        <f>ROUND(L705/M705, 0)</f>
        <v/>
      </c>
      <c r="O705" s="12">
        <f>ROUND(N705*'Methodology &amp; Assumptions'!$B$5, 0)</f>
        <v/>
      </c>
      <c r="P705" s="10" t="inlineStr">
        <is>
          <t>Single Carrier (Band n50, 100MHz TDD)</t>
        </is>
      </c>
      <c r="Q705" s="13">
        <f>ROUNDUP(O705/'Methodology &amp; Assumptions'!$B$6, 0)</f>
        <v/>
      </c>
      <c r="R705" s="13" t="n">
        <v>1</v>
      </c>
      <c r="S705" s="14" t="n">
        <v>4.42</v>
      </c>
      <c r="T705" s="14" t="n">
        <v>2.23</v>
      </c>
      <c r="U705" s="26">
        <f>IF(X705&gt;='Methodology &amp; Assumptions'!$B$7, "Tier 1 Critical GIDA (Score ≥ 50.0)", IF(X705&gt;='Methodology &amp; Assumptions'!$B$8, "Tier 2 High GIDA (Score 40.0–49.9)", "Tier 3 Moderate GIDA (Score &lt; 40.0)"))</f>
        <v/>
      </c>
      <c r="V705" s="26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W705" s="28" t="n">
        <v>0.083</v>
      </c>
      <c r="X705" s="14" t="n">
        <v>49.73</v>
      </c>
      <c r="Y705" s="14">
        <f>ROUND(MIN(100, (X705/69.91)*100), 2)</f>
        <v/>
      </c>
    </row>
    <row r="706">
      <c r="A706" s="10" t="n">
        <v>2</v>
      </c>
      <c r="B706" s="10" t="n">
        <v>702</v>
      </c>
      <c r="C706" s="10" t="n">
        <v>1702</v>
      </c>
      <c r="D706" s="10" t="inlineStr">
        <is>
          <t>1381100138</t>
        </is>
      </c>
      <c r="E706" s="26" t="inlineStr">
        <is>
          <t>National Capital Region (NCR)</t>
        </is>
      </c>
      <c r="F706" s="26" t="inlineStr">
        <is>
          <t>Fourth District (Not a Province)</t>
        </is>
      </c>
      <c r="G706" s="26" t="inlineStr">
        <is>
          <t>Pasay City</t>
        </is>
      </c>
      <c r="H706" s="26" t="inlineStr">
        <is>
          <t>Barangay 138</t>
        </is>
      </c>
      <c r="I706" s="27" t="n">
        <v>14.604849</v>
      </c>
      <c r="J706" s="27" t="n">
        <v>120.982889</v>
      </c>
      <c r="K706" s="10" t="inlineStr">
        <is>
          <t>U</t>
        </is>
      </c>
      <c r="L706" s="12" t="n">
        <v>1060</v>
      </c>
      <c r="M706" s="14" t="n">
        <v>3.4</v>
      </c>
      <c r="N706" s="12">
        <f>ROUND(L706/M706, 0)</f>
        <v/>
      </c>
      <c r="O706" s="12">
        <f>ROUND(N706*'Methodology &amp; Assumptions'!$B$5, 0)</f>
        <v/>
      </c>
      <c r="P706" s="10" t="inlineStr">
        <is>
          <t>Single Carrier (Band n50, 100MHz TDD)</t>
        </is>
      </c>
      <c r="Q706" s="13">
        <f>ROUNDUP(O706/'Methodology &amp; Assumptions'!$B$6, 0)</f>
        <v/>
      </c>
      <c r="R706" s="13" t="n">
        <v>1</v>
      </c>
      <c r="S706" s="14" t="n">
        <v>0.91</v>
      </c>
      <c r="T706" s="14" t="n">
        <v>0.12</v>
      </c>
      <c r="U706" s="26">
        <f>IF(X706&gt;='Methodology &amp; Assumptions'!$B$7, "Tier 1 Critical GIDA (Score ≥ 50.0)", IF(X706&gt;='Methodology &amp; Assumptions'!$B$8, "Tier 2 High GIDA (Score 40.0–49.9)", "Tier 3 Moderate GIDA (Score &lt; 40.0)"))</f>
        <v/>
      </c>
      <c r="V706" s="26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W706" s="28" t="n">
        <v>0.109</v>
      </c>
      <c r="X706" s="14" t="n">
        <v>49.73</v>
      </c>
      <c r="Y706" s="14">
        <f>ROUND(MIN(100, (X706/69.91)*100), 2)</f>
        <v/>
      </c>
    </row>
    <row r="707">
      <c r="A707" s="10" t="n">
        <v>2</v>
      </c>
      <c r="B707" s="10" t="n">
        <v>703</v>
      </c>
      <c r="C707" s="10" t="n">
        <v>1703</v>
      </c>
      <c r="D707" s="10" t="inlineStr">
        <is>
          <t>1380614064</t>
        </is>
      </c>
      <c r="E707" s="26" t="inlineStr">
        <is>
          <t>National Capital Region (NCR)</t>
        </is>
      </c>
      <c r="F707" s="26" t="inlineStr">
        <is>
          <t>First District (Not a Province)</t>
        </is>
      </c>
      <c r="G707" s="26" t="inlineStr">
        <is>
          <t>City of Manila</t>
        </is>
      </c>
      <c r="H707" s="26" t="inlineStr">
        <is>
          <t>Barangay 866</t>
        </is>
      </c>
      <c r="I707" s="27" t="n">
        <v>12.809104</v>
      </c>
      <c r="J707" s="27" t="n">
        <v>122.100655</v>
      </c>
      <c r="K707" s="10" t="inlineStr">
        <is>
          <t>U</t>
        </is>
      </c>
      <c r="L707" s="12" t="n">
        <v>3951</v>
      </c>
      <c r="M707" s="14" t="n">
        <v>3.9</v>
      </c>
      <c r="N707" s="12">
        <f>ROUND(L707/M707, 0)</f>
        <v/>
      </c>
      <c r="O707" s="12">
        <f>ROUND(N707*'Methodology &amp; Assumptions'!$B$5, 0)</f>
        <v/>
      </c>
      <c r="P707" s="10" t="inlineStr">
        <is>
          <t>Single Carrier (Band n50, 100MHz TDD)</t>
        </is>
      </c>
      <c r="Q707" s="13">
        <f>ROUNDUP(O707/'Methodology &amp; Assumptions'!$B$6, 0)</f>
        <v/>
      </c>
      <c r="R707" s="13" t="n">
        <v>1</v>
      </c>
      <c r="S707" s="14" t="n">
        <v>63.77</v>
      </c>
      <c r="T707" s="14" t="n">
        <v>60.74</v>
      </c>
      <c r="U707" s="26">
        <f>IF(X707&gt;='Methodology &amp; Assumptions'!$B$7, "Tier 1 Critical GIDA (Score ≥ 50.0)", IF(X707&gt;='Methodology &amp; Assumptions'!$B$8, "Tier 2 High GIDA (Score 40.0–49.9)", "Tier 3 Moderate GIDA (Score &lt; 40.0)"))</f>
        <v/>
      </c>
      <c r="V707" s="26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W707" s="28" t="n">
        <v>0.109</v>
      </c>
      <c r="X707" s="14" t="n">
        <v>49.72</v>
      </c>
      <c r="Y707" s="14">
        <f>ROUND(MIN(100, (X707/69.91)*100), 2)</f>
        <v/>
      </c>
    </row>
    <row r="708">
      <c r="A708" s="10" t="n">
        <v>2</v>
      </c>
      <c r="B708" s="10" t="n">
        <v>704</v>
      </c>
      <c r="C708" s="10" t="n">
        <v>1704</v>
      </c>
      <c r="D708" s="10" t="inlineStr">
        <is>
          <t>1381400011</t>
        </is>
      </c>
      <c r="E708" s="26" t="inlineStr">
        <is>
          <t>National Capital Region (NCR)</t>
        </is>
      </c>
      <c r="F708" s="26" t="inlineStr">
        <is>
          <t>Second District (Not a Province)</t>
        </is>
      </c>
      <c r="G708" s="26" t="inlineStr">
        <is>
          <t>City of San Juan</t>
        </is>
      </c>
      <c r="H708" s="26" t="inlineStr">
        <is>
          <t>Onse</t>
        </is>
      </c>
      <c r="I708" s="27" t="n">
        <v>14.601771</v>
      </c>
      <c r="J708" s="27" t="n">
        <v>121.030151</v>
      </c>
      <c r="K708" s="10" t="inlineStr">
        <is>
          <t>U</t>
        </is>
      </c>
      <c r="L708" s="12" t="n">
        <v>3972</v>
      </c>
      <c r="M708" s="14" t="n">
        <v>3.6</v>
      </c>
      <c r="N708" s="12">
        <f>ROUND(L708/M708, 0)</f>
        <v/>
      </c>
      <c r="O708" s="12">
        <f>ROUND(N708*'Methodology &amp; Assumptions'!$B$5, 0)</f>
        <v/>
      </c>
      <c r="P708" s="10" t="inlineStr">
        <is>
          <t>Single Carrier (Band n50, 100MHz TDD)</t>
        </is>
      </c>
      <c r="Q708" s="13">
        <f>ROUNDUP(O708/'Methodology &amp; Assumptions'!$B$6, 0)</f>
        <v/>
      </c>
      <c r="R708" s="13" t="n">
        <v>1</v>
      </c>
      <c r="S708" s="14" t="n">
        <v>1.6</v>
      </c>
      <c r="T708" s="14" t="n">
        <v>0.23</v>
      </c>
      <c r="U708" s="26">
        <f>IF(X708&gt;='Methodology &amp; Assumptions'!$B$7, "Tier 1 Critical GIDA (Score ≥ 50.0)", IF(X708&gt;='Methodology &amp; Assumptions'!$B$8, "Tier 2 High GIDA (Score 40.0–49.9)", "Tier 3 Moderate GIDA (Score &lt; 40.0)"))</f>
        <v/>
      </c>
      <c r="V708" s="26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W708" s="28" t="n">
        <v>0.109</v>
      </c>
      <c r="X708" s="14" t="n">
        <v>49.72</v>
      </c>
      <c r="Y708" s="14">
        <f>ROUND(MIN(100, (X708/69.91)*100), 2)</f>
        <v/>
      </c>
    </row>
    <row r="709">
      <c r="A709" s="10" t="n">
        <v>2</v>
      </c>
      <c r="B709" s="10" t="n">
        <v>705</v>
      </c>
      <c r="C709" s="10" t="n">
        <v>1705</v>
      </c>
      <c r="D709" s="10" t="inlineStr">
        <is>
          <t>1380606203</t>
        </is>
      </c>
      <c r="E709" s="26" t="inlineStr">
        <is>
          <t>National Capital Region (NCR)</t>
        </is>
      </c>
      <c r="F709" s="26" t="inlineStr">
        <is>
          <t>First District (Not a Province)</t>
        </is>
      </c>
      <c r="G709" s="26" t="inlineStr">
        <is>
          <t>City of Manila</t>
        </is>
      </c>
      <c r="H709" s="26" t="inlineStr">
        <is>
          <t>Barangay 596</t>
        </is>
      </c>
      <c r="I709" s="27" t="n">
        <v>12.715941</v>
      </c>
      <c r="J709" s="27" t="n">
        <v>121.483041</v>
      </c>
      <c r="K709" s="10" t="inlineStr">
        <is>
          <t>U</t>
        </is>
      </c>
      <c r="L709" s="12" t="n">
        <v>2447</v>
      </c>
      <c r="M709" s="14" t="n">
        <v>3.9</v>
      </c>
      <c r="N709" s="12">
        <f>ROUND(L709/M709, 0)</f>
        <v/>
      </c>
      <c r="O709" s="12">
        <f>ROUND(N709*'Methodology &amp; Assumptions'!$B$5, 0)</f>
        <v/>
      </c>
      <c r="P709" s="10" t="inlineStr">
        <is>
          <t>Single Carrier (Band n50, 100MHz TDD)</t>
        </is>
      </c>
      <c r="Q709" s="13">
        <f>ROUNDUP(O709/'Methodology &amp; Assumptions'!$B$6, 0)</f>
        <v/>
      </c>
      <c r="R709" s="13" t="n">
        <v>1</v>
      </c>
      <c r="S709" s="14" t="n">
        <v>3.15</v>
      </c>
      <c r="T709" s="14" t="n">
        <v>0.14</v>
      </c>
      <c r="U709" s="26">
        <f>IF(X709&gt;='Methodology &amp; Assumptions'!$B$7, "Tier 1 Critical GIDA (Score ≥ 50.0)", IF(X709&gt;='Methodology &amp; Assumptions'!$B$8, "Tier 2 High GIDA (Score 40.0–49.9)", "Tier 3 Moderate GIDA (Score &lt; 40.0)"))</f>
        <v/>
      </c>
      <c r="V709" s="26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W709" s="28" t="n">
        <v>0.109</v>
      </c>
      <c r="X709" s="14" t="n">
        <v>49.72</v>
      </c>
      <c r="Y709" s="14">
        <f>ROUND(MIN(100, (X709/69.91)*100), 2)</f>
        <v/>
      </c>
    </row>
    <row r="710">
      <c r="A710" s="10" t="n">
        <v>2</v>
      </c>
      <c r="B710" s="10" t="n">
        <v>706</v>
      </c>
      <c r="C710" s="10" t="n">
        <v>1706</v>
      </c>
      <c r="D710" s="10" t="inlineStr">
        <is>
          <t>1381100117</t>
        </is>
      </c>
      <c r="E710" s="26" t="inlineStr">
        <is>
          <t>National Capital Region (NCR)</t>
        </is>
      </c>
      <c r="F710" s="26" t="inlineStr">
        <is>
          <t>Fourth District (Not a Province)</t>
        </is>
      </c>
      <c r="G710" s="26" t="inlineStr">
        <is>
          <t>Pasay City</t>
        </is>
      </c>
      <c r="H710" s="26" t="inlineStr">
        <is>
          <t>Barangay 117</t>
        </is>
      </c>
      <c r="I710" s="27" t="n">
        <v>14.506727</v>
      </c>
      <c r="J710" s="27" t="n">
        <v>121.064894</v>
      </c>
      <c r="K710" s="10" t="inlineStr">
        <is>
          <t>U</t>
        </is>
      </c>
      <c r="L710" s="12" t="n">
        <v>962</v>
      </c>
      <c r="M710" s="14" t="n">
        <v>3.4</v>
      </c>
      <c r="N710" s="12">
        <f>ROUND(L710/M710, 0)</f>
        <v/>
      </c>
      <c r="O710" s="12">
        <f>ROUND(N710*'Methodology &amp; Assumptions'!$B$5, 0)</f>
        <v/>
      </c>
      <c r="P710" s="10" t="inlineStr">
        <is>
          <t>Single Carrier (Band n50, 100MHz TDD)</t>
        </is>
      </c>
      <c r="Q710" s="13">
        <f>ROUNDUP(O710/'Methodology &amp; Assumptions'!$B$6, 0)</f>
        <v/>
      </c>
      <c r="R710" s="13" t="n">
        <v>1</v>
      </c>
      <c r="S710" s="14" t="n">
        <v>0.23</v>
      </c>
      <c r="T710" s="14" t="n">
        <v>0.12</v>
      </c>
      <c r="U710" s="26">
        <f>IF(X710&gt;='Methodology &amp; Assumptions'!$B$7, "Tier 1 Critical GIDA (Score ≥ 50.0)", IF(X710&gt;='Methodology &amp; Assumptions'!$B$8, "Tier 2 High GIDA (Score 40.0–49.9)", "Tier 3 Moderate GIDA (Score &lt; 40.0)"))</f>
        <v/>
      </c>
      <c r="V710" s="26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W710" s="28" t="n">
        <v>0.109</v>
      </c>
      <c r="X710" s="14" t="n">
        <v>49.72</v>
      </c>
      <c r="Y710" s="14">
        <f>ROUND(MIN(100, (X710/69.91)*100), 2)</f>
        <v/>
      </c>
    </row>
    <row r="711">
      <c r="A711" s="10" t="n">
        <v>2</v>
      </c>
      <c r="B711" s="10" t="n">
        <v>707</v>
      </c>
      <c r="C711" s="10" t="n">
        <v>1707</v>
      </c>
      <c r="D711" s="10" t="inlineStr">
        <is>
          <t>1381100012</t>
        </is>
      </c>
      <c r="E711" s="26" t="inlineStr">
        <is>
          <t>National Capital Region (NCR)</t>
        </is>
      </c>
      <c r="F711" s="26" t="inlineStr">
        <is>
          <t>Fourth District (Not a Province)</t>
        </is>
      </c>
      <c r="G711" s="26" t="inlineStr">
        <is>
          <t>Pasay City</t>
        </is>
      </c>
      <c r="H711" s="26" t="inlineStr">
        <is>
          <t>Barangay 12</t>
        </is>
      </c>
      <c r="I711" s="27" t="n">
        <v>14.525825</v>
      </c>
      <c r="J711" s="27" t="n">
        <v>120.93338</v>
      </c>
      <c r="K711" s="10" t="inlineStr">
        <is>
          <t>U</t>
        </is>
      </c>
      <c r="L711" s="12" t="n">
        <v>555</v>
      </c>
      <c r="M711" s="14" t="n">
        <v>3.4</v>
      </c>
      <c r="N711" s="12">
        <f>ROUND(L711/M711, 0)</f>
        <v/>
      </c>
      <c r="O711" s="12">
        <f>ROUND(N711*'Methodology &amp; Assumptions'!$B$5, 0)</f>
        <v/>
      </c>
      <c r="P711" s="10" t="inlineStr">
        <is>
          <t>Single Carrier (Band n50, 100MHz TDD)</t>
        </is>
      </c>
      <c r="Q711" s="13">
        <f>ROUNDUP(O711/'Methodology &amp; Assumptions'!$B$6, 0)</f>
        <v/>
      </c>
      <c r="R711" s="13" t="n">
        <v>1</v>
      </c>
      <c r="S711" s="14" t="n">
        <v>6.87</v>
      </c>
      <c r="T711" s="14" t="n">
        <v>6.84</v>
      </c>
      <c r="U711" s="26">
        <f>IF(X711&gt;='Methodology &amp; Assumptions'!$B$7, "Tier 1 Critical GIDA (Score ≥ 50.0)", IF(X711&gt;='Methodology &amp; Assumptions'!$B$8, "Tier 2 High GIDA (Score 40.0–49.9)", "Tier 3 Moderate GIDA (Score &lt; 40.0)"))</f>
        <v/>
      </c>
      <c r="V711" s="26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W711" s="28" t="n">
        <v>0.109</v>
      </c>
      <c r="X711" s="14" t="n">
        <v>49.72</v>
      </c>
      <c r="Y711" s="14">
        <f>ROUND(MIN(100, (X711/69.91)*100), 2)</f>
        <v/>
      </c>
    </row>
    <row r="712">
      <c r="A712" s="10" t="n">
        <v>2</v>
      </c>
      <c r="B712" s="10" t="n">
        <v>708</v>
      </c>
      <c r="C712" s="10" t="n">
        <v>1708</v>
      </c>
      <c r="D712" s="10" t="inlineStr">
        <is>
          <t>PH0001708</t>
        </is>
      </c>
      <c r="E712" s="26" t="inlineStr">
        <is>
          <t>III</t>
        </is>
      </c>
      <c r="F712" s="26" t="inlineStr">
        <is>
          <t>Nueva Ecija</t>
        </is>
      </c>
      <c r="G712" s="26" t="inlineStr">
        <is>
          <t>Cabanatuan City</t>
        </is>
      </c>
      <c r="H712" s="26" t="inlineStr">
        <is>
          <t>City Supermarket (Pob.)</t>
        </is>
      </c>
      <c r="I712" s="27" t="n">
        <v>15.482097</v>
      </c>
      <c r="J712" s="27" t="n">
        <v>120.984821</v>
      </c>
      <c r="K712" s="10" t="inlineStr">
        <is>
          <t>R</t>
        </is>
      </c>
      <c r="L712" s="12" t="n">
        <v>2398</v>
      </c>
      <c r="M712" s="14" t="n">
        <v>3.5</v>
      </c>
      <c r="N712" s="12">
        <f>ROUND(L712/M712, 0)</f>
        <v/>
      </c>
      <c r="O712" s="12">
        <f>ROUND(N712*'Methodology &amp; Assumptions'!$B$5, 0)</f>
        <v/>
      </c>
      <c r="P712" s="10" t="inlineStr">
        <is>
          <t>Single Carrier (Band n50, 100MHz TDD)</t>
        </is>
      </c>
      <c r="Q712" s="13">
        <f>ROUNDUP(O712/'Methodology &amp; Assumptions'!$B$6, 0)</f>
        <v/>
      </c>
      <c r="R712" s="13" t="n">
        <v>1</v>
      </c>
      <c r="S712" s="14" t="n">
        <v>2.54</v>
      </c>
      <c r="T712" s="14" t="n">
        <v>1.29</v>
      </c>
      <c r="U712" s="26">
        <f>IF(X712&gt;='Methodology &amp; Assumptions'!$B$7, "Tier 1 Critical GIDA (Score ≥ 50.0)", IF(X712&gt;='Methodology &amp; Assumptions'!$B$8, "Tier 2 High GIDA (Score 40.0–49.9)", "Tier 3 Moderate GIDA (Score &lt; 40.0)"))</f>
        <v/>
      </c>
      <c r="V712" s="26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W712" s="28" t="n">
        <v>0.083</v>
      </c>
      <c r="X712" s="14" t="n">
        <v>49.72</v>
      </c>
      <c r="Y712" s="14">
        <f>ROUND(MIN(100, (X712/69.91)*100), 2)</f>
        <v/>
      </c>
    </row>
    <row r="713">
      <c r="A713" s="10" t="n">
        <v>2</v>
      </c>
      <c r="B713" s="10" t="n">
        <v>709</v>
      </c>
      <c r="C713" s="10" t="n">
        <v>1709</v>
      </c>
      <c r="D713" s="10" t="inlineStr">
        <is>
          <t>1380601141</t>
        </is>
      </c>
      <c r="E713" s="26" t="inlineStr">
        <is>
          <t>National Capital Region (NCR)</t>
        </is>
      </c>
      <c r="F713" s="26" t="inlineStr">
        <is>
          <t>First District (Not a Province)</t>
        </is>
      </c>
      <c r="G713" s="26" t="inlineStr">
        <is>
          <t>City of Manila</t>
        </is>
      </c>
      <c r="H713" s="26" t="inlineStr">
        <is>
          <t>Barangay 141</t>
        </is>
      </c>
      <c r="I713" s="27" t="n">
        <v>13.193346</v>
      </c>
      <c r="J713" s="27" t="n">
        <v>121.875445</v>
      </c>
      <c r="K713" s="10" t="inlineStr">
        <is>
          <t>U</t>
        </is>
      </c>
      <c r="L713" s="12" t="n">
        <v>545</v>
      </c>
      <c r="M713" s="14" t="n">
        <v>3.9</v>
      </c>
      <c r="N713" s="12">
        <f>ROUND(L713/M713, 0)</f>
        <v/>
      </c>
      <c r="O713" s="12">
        <f>ROUND(N713*'Methodology &amp; Assumptions'!$B$5, 0)</f>
        <v/>
      </c>
      <c r="P713" s="10" t="inlineStr">
        <is>
          <t>Single Carrier (Band n50, 100MHz TDD)</t>
        </is>
      </c>
      <c r="Q713" s="13">
        <f>ROUNDUP(O713/'Methodology &amp; Assumptions'!$B$6, 0)</f>
        <v/>
      </c>
      <c r="R713" s="13" t="n">
        <v>1</v>
      </c>
      <c r="S713" s="14" t="n">
        <v>42.43</v>
      </c>
      <c r="T713" s="14" t="n">
        <v>46.17</v>
      </c>
      <c r="U713" s="26">
        <f>IF(X713&gt;='Methodology &amp; Assumptions'!$B$7, "Tier 1 Critical GIDA (Score ≥ 50.0)", IF(X713&gt;='Methodology &amp; Assumptions'!$B$8, "Tier 2 High GIDA (Score 40.0–49.9)", "Tier 3 Moderate GIDA (Score &lt; 40.0)"))</f>
        <v/>
      </c>
      <c r="V713" s="26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W713" s="28" t="n">
        <v>0.109</v>
      </c>
      <c r="X713" s="14" t="n">
        <v>49.72</v>
      </c>
      <c r="Y713" s="14">
        <f>ROUND(MIN(100, (X713/69.91)*100), 2)</f>
        <v/>
      </c>
    </row>
    <row r="714">
      <c r="A714" s="10" t="n">
        <v>2</v>
      </c>
      <c r="B714" s="10" t="n">
        <v>710</v>
      </c>
      <c r="C714" s="10" t="n">
        <v>1710</v>
      </c>
      <c r="D714" s="10" t="inlineStr">
        <is>
          <t>1380601255</t>
        </is>
      </c>
      <c r="E714" s="26" t="inlineStr">
        <is>
          <t>National Capital Region (NCR)</t>
        </is>
      </c>
      <c r="F714" s="26" t="inlineStr">
        <is>
          <t>First District (Not a Province)</t>
        </is>
      </c>
      <c r="G714" s="26" t="inlineStr">
        <is>
          <t>City of Manila</t>
        </is>
      </c>
      <c r="H714" s="26" t="inlineStr">
        <is>
          <t>Barangay 254</t>
        </is>
      </c>
      <c r="I714" s="27" t="n">
        <v>12.580422</v>
      </c>
      <c r="J714" s="27" t="n">
        <v>121.917158</v>
      </c>
      <c r="K714" s="10" t="inlineStr">
        <is>
          <t>U</t>
        </is>
      </c>
      <c r="L714" s="12" t="n">
        <v>3826</v>
      </c>
      <c r="M714" s="14" t="n">
        <v>3.9</v>
      </c>
      <c r="N714" s="12">
        <f>ROUND(L714/M714, 0)</f>
        <v/>
      </c>
      <c r="O714" s="12">
        <f>ROUND(N714*'Methodology &amp; Assumptions'!$B$5, 0)</f>
        <v/>
      </c>
      <c r="P714" s="10" t="inlineStr">
        <is>
          <t>Single Carrier (Band n50, 100MHz TDD)</t>
        </is>
      </c>
      <c r="Q714" s="13">
        <f>ROUNDUP(O714/'Methodology &amp; Assumptions'!$B$6, 0)</f>
        <v/>
      </c>
      <c r="R714" s="13" t="n">
        <v>1</v>
      </c>
      <c r="S714" s="14" t="n">
        <v>39.75</v>
      </c>
      <c r="T714" s="14" t="n">
        <v>29.47</v>
      </c>
      <c r="U714" s="26">
        <f>IF(X714&gt;='Methodology &amp; Assumptions'!$B$7, "Tier 1 Critical GIDA (Score ≥ 50.0)", IF(X714&gt;='Methodology &amp; Assumptions'!$B$8, "Tier 2 High GIDA (Score 40.0–49.9)", "Tier 3 Moderate GIDA (Score &lt; 40.0)"))</f>
        <v/>
      </c>
      <c r="V714" s="26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W714" s="28" t="n">
        <v>0.109</v>
      </c>
      <c r="X714" s="14" t="n">
        <v>49.72</v>
      </c>
      <c r="Y714" s="14">
        <f>ROUND(MIN(100, (X714/69.91)*100), 2)</f>
        <v/>
      </c>
    </row>
    <row r="715">
      <c r="A715" s="10" t="n">
        <v>2</v>
      </c>
      <c r="B715" s="10" t="n">
        <v>711</v>
      </c>
      <c r="C715" s="10" t="n">
        <v>1711</v>
      </c>
      <c r="D715" s="10" t="inlineStr">
        <is>
          <t>1381100042</t>
        </is>
      </c>
      <c r="E715" s="26" t="inlineStr">
        <is>
          <t>National Capital Region (NCR)</t>
        </is>
      </c>
      <c r="F715" s="26" t="inlineStr">
        <is>
          <t>Fourth District (Not a Province)</t>
        </is>
      </c>
      <c r="G715" s="26" t="inlineStr">
        <is>
          <t>Pasay City</t>
        </is>
      </c>
      <c r="H715" s="26" t="inlineStr">
        <is>
          <t>Barangay 42</t>
        </is>
      </c>
      <c r="I715" s="27" t="n">
        <v>14.599145</v>
      </c>
      <c r="J715" s="27" t="n">
        <v>121.045833</v>
      </c>
      <c r="K715" s="10" t="inlineStr">
        <is>
          <t>U</t>
        </is>
      </c>
      <c r="L715" s="12" t="n">
        <v>1878</v>
      </c>
      <c r="M715" s="14" t="n">
        <v>3.4</v>
      </c>
      <c r="N715" s="12">
        <f>ROUND(L715/M715, 0)</f>
        <v/>
      </c>
      <c r="O715" s="12">
        <f>ROUND(N715*'Methodology &amp; Assumptions'!$B$5, 0)</f>
        <v/>
      </c>
      <c r="P715" s="10" t="inlineStr">
        <is>
          <t>Single Carrier (Band n50, 100MHz TDD)</t>
        </is>
      </c>
      <c r="Q715" s="13">
        <f>ROUNDUP(O715/'Methodology &amp; Assumptions'!$B$6, 0)</f>
        <v/>
      </c>
      <c r="R715" s="13" t="n">
        <v>1</v>
      </c>
      <c r="S715" s="14" t="n">
        <v>1.43</v>
      </c>
      <c r="T715" s="14" t="n">
        <v>0.07000000000000001</v>
      </c>
      <c r="U715" s="26">
        <f>IF(X715&gt;='Methodology &amp; Assumptions'!$B$7, "Tier 1 Critical GIDA (Score ≥ 50.0)", IF(X715&gt;='Methodology &amp; Assumptions'!$B$8, "Tier 2 High GIDA (Score 40.0–49.9)", "Tier 3 Moderate GIDA (Score &lt; 40.0)"))</f>
        <v/>
      </c>
      <c r="V715" s="26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W715" s="28" t="n">
        <v>0.109</v>
      </c>
      <c r="X715" s="14" t="n">
        <v>49.71</v>
      </c>
      <c r="Y715" s="14">
        <f>ROUND(MIN(100, (X715/69.91)*100), 2)</f>
        <v/>
      </c>
    </row>
    <row r="716">
      <c r="A716" s="10" t="n">
        <v>2</v>
      </c>
      <c r="B716" s="10" t="n">
        <v>712</v>
      </c>
      <c r="C716" s="10" t="n">
        <v>1712</v>
      </c>
      <c r="D716" s="10" t="inlineStr">
        <is>
          <t>PH0001712</t>
        </is>
      </c>
      <c r="E716" s="26" t="inlineStr">
        <is>
          <t>CAR</t>
        </is>
      </c>
      <c r="F716" s="26" t="inlineStr">
        <is>
          <t>Benguet</t>
        </is>
      </c>
      <c r="G716" s="26" t="inlineStr">
        <is>
          <t>Baguio City</t>
        </is>
      </c>
      <c r="H716" s="26" t="inlineStr">
        <is>
          <t>Teodora Alonzo</t>
        </is>
      </c>
      <c r="I716" s="27" t="n">
        <v>16.411601</v>
      </c>
      <c r="J716" s="27" t="n">
        <v>120.600524</v>
      </c>
      <c r="K716" s="10" t="inlineStr">
        <is>
          <t>R</t>
        </is>
      </c>
      <c r="L716" s="12" t="n">
        <v>2260</v>
      </c>
      <c r="M716" s="14" t="n">
        <v>3.5</v>
      </c>
      <c r="N716" s="12">
        <f>ROUND(L716/M716, 0)</f>
        <v/>
      </c>
      <c r="O716" s="12">
        <f>ROUND(N716*'Methodology &amp; Assumptions'!$B$5, 0)</f>
        <v/>
      </c>
      <c r="P716" s="10" t="inlineStr">
        <is>
          <t>Single Carrier (Band n50, 100MHz TDD)</t>
        </is>
      </c>
      <c r="Q716" s="13">
        <f>ROUNDUP(O716/'Methodology &amp; Assumptions'!$B$6, 0)</f>
        <v/>
      </c>
      <c r="R716" s="13" t="n">
        <v>1</v>
      </c>
      <c r="S716" s="14" t="n">
        <v>0.08</v>
      </c>
      <c r="T716" s="14" t="n">
        <v>0.14</v>
      </c>
      <c r="U716" s="26">
        <f>IF(X716&gt;='Methodology &amp; Assumptions'!$B$7, "Tier 1 Critical GIDA (Score ≥ 50.0)", IF(X716&gt;='Methodology &amp; Assumptions'!$B$8, "Tier 2 High GIDA (Score 40.0–49.9)", "Tier 3 Moderate GIDA (Score &lt; 40.0)"))</f>
        <v/>
      </c>
      <c r="V716" s="26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W716" s="28" t="n">
        <v>0.221</v>
      </c>
      <c r="X716" s="14" t="n">
        <v>49.71</v>
      </c>
      <c r="Y716" s="14">
        <f>ROUND(MIN(100, (X716/69.91)*100), 2)</f>
        <v/>
      </c>
    </row>
    <row r="717">
      <c r="A717" s="10" t="n">
        <v>2</v>
      </c>
      <c r="B717" s="10" t="n">
        <v>713</v>
      </c>
      <c r="C717" s="10" t="n">
        <v>1713</v>
      </c>
      <c r="D717" s="10" t="inlineStr">
        <is>
          <t>PH0001713</t>
        </is>
      </c>
      <c r="E717" s="26" t="inlineStr">
        <is>
          <t>XI</t>
        </is>
      </c>
      <c r="F717" s="26" t="inlineStr">
        <is>
          <t>Davao Del Sur</t>
        </is>
      </c>
      <c r="G717" s="26" t="inlineStr">
        <is>
          <t>Davao City</t>
        </is>
      </c>
      <c r="H717" s="26" t="inlineStr">
        <is>
          <t>Barangay 23-C (Pob.)</t>
        </is>
      </c>
      <c r="I717" s="27" t="n">
        <v>7.071576</v>
      </c>
      <c r="J717" s="27" t="n">
        <v>125.625694</v>
      </c>
      <c r="K717" s="10" t="inlineStr">
        <is>
          <t>R</t>
        </is>
      </c>
      <c r="L717" s="12" t="n">
        <v>2280</v>
      </c>
      <c r="M717" s="14" t="n">
        <v>3.4</v>
      </c>
      <c r="N717" s="12">
        <f>ROUND(L717/M717, 0)</f>
        <v/>
      </c>
      <c r="O717" s="12">
        <f>ROUND(N717*'Methodology &amp; Assumptions'!$B$5, 0)</f>
        <v/>
      </c>
      <c r="P717" s="10" t="inlineStr">
        <is>
          <t>Single Carrier (Band n50, 100MHz TDD)</t>
        </is>
      </c>
      <c r="Q717" s="13">
        <f>ROUNDUP(O717/'Methodology &amp; Assumptions'!$B$6, 0)</f>
        <v/>
      </c>
      <c r="R717" s="13" t="n">
        <v>1</v>
      </c>
      <c r="S717" s="14" t="n">
        <v>1.5</v>
      </c>
      <c r="T717" s="14" t="n">
        <v>0.42</v>
      </c>
      <c r="U717" s="26">
        <f>IF(X717&gt;='Methodology &amp; Assumptions'!$B$7, "Tier 1 Critical GIDA (Score ≥ 50.0)", IF(X717&gt;='Methodology &amp; Assumptions'!$B$8, "Tier 2 High GIDA (Score 40.0–49.9)", "Tier 3 Moderate GIDA (Score &lt; 40.0)"))</f>
        <v/>
      </c>
      <c r="V717" s="26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W717" s="28" t="n">
        <v>0.119</v>
      </c>
      <c r="X717" s="14" t="n">
        <v>49.71</v>
      </c>
      <c r="Y717" s="14">
        <f>ROUND(MIN(100, (X717/69.91)*100), 2)</f>
        <v/>
      </c>
    </row>
    <row r="718">
      <c r="A718" s="10" t="n">
        <v>2</v>
      </c>
      <c r="B718" s="10" t="n">
        <v>714</v>
      </c>
      <c r="C718" s="10" t="n">
        <v>1714</v>
      </c>
      <c r="D718" s="10" t="inlineStr">
        <is>
          <t>PH0001714</t>
        </is>
      </c>
      <c r="E718" s="26" t="inlineStr">
        <is>
          <t>IV-B</t>
        </is>
      </c>
      <c r="F718" s="26" t="inlineStr">
        <is>
          <t>Palawan</t>
        </is>
      </c>
      <c r="G718" s="26" t="inlineStr">
        <is>
          <t>Puerto Princesa City</t>
        </is>
      </c>
      <c r="H718" s="26" t="inlineStr">
        <is>
          <t>Maligaya (Pob.)</t>
        </is>
      </c>
      <c r="I718" s="27" t="n">
        <v>9.877795000000001</v>
      </c>
      <c r="J718" s="27" t="n">
        <v>118.772582</v>
      </c>
      <c r="K718" s="10" t="inlineStr">
        <is>
          <t>R</t>
        </is>
      </c>
      <c r="L718" s="12" t="n">
        <v>2597</v>
      </c>
      <c r="M718" s="14" t="n">
        <v>3.9</v>
      </c>
      <c r="N718" s="12">
        <f>ROUND(L718/M718, 0)</f>
        <v/>
      </c>
      <c r="O718" s="12">
        <f>ROUND(N718*'Methodology &amp; Assumptions'!$B$5, 0)</f>
        <v/>
      </c>
      <c r="P718" s="10" t="inlineStr">
        <is>
          <t>Single Carrier (Band n50, 100MHz TDD)</t>
        </is>
      </c>
      <c r="Q718" s="13">
        <f>ROUNDUP(O718/'Methodology &amp; Assumptions'!$B$6, 0)</f>
        <v/>
      </c>
      <c r="R718" s="13" t="n">
        <v>1</v>
      </c>
      <c r="S718" s="14" t="n">
        <v>5.87</v>
      </c>
      <c r="T718" s="14" t="n">
        <v>4.35</v>
      </c>
      <c r="U718" s="26">
        <f>IF(X718&gt;='Methodology &amp; Assumptions'!$B$7, "Tier 1 Critical GIDA (Score ≥ 50.0)", IF(X718&gt;='Methodology &amp; Assumptions'!$B$8, "Tier 2 High GIDA (Score 40.0–49.9)", "Tier 3 Moderate GIDA (Score &lt; 40.0)"))</f>
        <v/>
      </c>
      <c r="V718" s="26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W718" s="28" t="n">
        <v>0.109</v>
      </c>
      <c r="X718" s="14" t="n">
        <v>49.71</v>
      </c>
      <c r="Y718" s="14">
        <f>ROUND(MIN(100, (X718/69.91)*100), 2)</f>
        <v/>
      </c>
    </row>
    <row r="719">
      <c r="A719" s="10" t="n">
        <v>2</v>
      </c>
      <c r="B719" s="10" t="n">
        <v>715</v>
      </c>
      <c r="C719" s="10" t="n">
        <v>1715</v>
      </c>
      <c r="D719" s="10" t="inlineStr">
        <is>
          <t>1381100059</t>
        </is>
      </c>
      <c r="E719" s="26" t="inlineStr">
        <is>
          <t>National Capital Region (NCR)</t>
        </is>
      </c>
      <c r="F719" s="26" t="inlineStr">
        <is>
          <t>Fourth District (Not a Province)</t>
        </is>
      </c>
      <c r="G719" s="26" t="inlineStr">
        <is>
          <t>Pasay City</t>
        </is>
      </c>
      <c r="H719" s="26" t="inlineStr">
        <is>
          <t>Barangay 59</t>
        </is>
      </c>
      <c r="I719" s="27" t="n">
        <v>14.469106</v>
      </c>
      <c r="J719" s="27" t="n">
        <v>121.01348</v>
      </c>
      <c r="K719" s="10" t="inlineStr">
        <is>
          <t>U</t>
        </is>
      </c>
      <c r="L719" s="12" t="n">
        <v>1704</v>
      </c>
      <c r="M719" s="14" t="n">
        <v>3.4</v>
      </c>
      <c r="N719" s="12">
        <f>ROUND(L719/M719, 0)</f>
        <v/>
      </c>
      <c r="O719" s="12">
        <f>ROUND(N719*'Methodology &amp; Assumptions'!$B$5, 0)</f>
        <v/>
      </c>
      <c r="P719" s="10" t="inlineStr">
        <is>
          <t>Single Carrier (Band n50, 100MHz TDD)</t>
        </is>
      </c>
      <c r="Q719" s="13">
        <f>ROUNDUP(O719/'Methodology &amp; Assumptions'!$B$6, 0)</f>
        <v/>
      </c>
      <c r="R719" s="13" t="n">
        <v>1</v>
      </c>
      <c r="S719" s="14" t="n">
        <v>2.44</v>
      </c>
      <c r="T719" s="14" t="n">
        <v>0.12</v>
      </c>
      <c r="U719" s="26">
        <f>IF(X719&gt;='Methodology &amp; Assumptions'!$B$7, "Tier 1 Critical GIDA (Score ≥ 50.0)", IF(X719&gt;='Methodology &amp; Assumptions'!$B$8, "Tier 2 High GIDA (Score 40.0–49.9)", "Tier 3 Moderate GIDA (Score &lt; 40.0)"))</f>
        <v/>
      </c>
      <c r="V719" s="26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W719" s="28" t="n">
        <v>0.109</v>
      </c>
      <c r="X719" s="14" t="n">
        <v>49.71</v>
      </c>
      <c r="Y719" s="14">
        <f>ROUND(MIN(100, (X719/69.91)*100), 2)</f>
        <v/>
      </c>
    </row>
    <row r="720">
      <c r="A720" s="10" t="n">
        <v>2</v>
      </c>
      <c r="B720" s="10" t="n">
        <v>716</v>
      </c>
      <c r="C720" s="10" t="n">
        <v>1716</v>
      </c>
      <c r="D720" s="10" t="inlineStr">
        <is>
          <t>1381100134</t>
        </is>
      </c>
      <c r="E720" s="26" t="inlineStr">
        <is>
          <t>National Capital Region (NCR)</t>
        </is>
      </c>
      <c r="F720" s="26" t="inlineStr">
        <is>
          <t>Fourth District (Not a Province)</t>
        </is>
      </c>
      <c r="G720" s="26" t="inlineStr">
        <is>
          <t>Pasay City</t>
        </is>
      </c>
      <c r="H720" s="26" t="inlineStr">
        <is>
          <t>Barangay 134</t>
        </is>
      </c>
      <c r="I720" s="27" t="n">
        <v>14.588344</v>
      </c>
      <c r="J720" s="27" t="n">
        <v>120.945323</v>
      </c>
      <c r="K720" s="10" t="inlineStr">
        <is>
          <t>U</t>
        </is>
      </c>
      <c r="L720" s="12" t="n">
        <v>1734</v>
      </c>
      <c r="M720" s="14" t="n">
        <v>3.4</v>
      </c>
      <c r="N720" s="12">
        <f>ROUND(L720/M720, 0)</f>
        <v/>
      </c>
      <c r="O720" s="12">
        <f>ROUND(N720*'Methodology &amp; Assumptions'!$B$5, 0)</f>
        <v/>
      </c>
      <c r="P720" s="10" t="inlineStr">
        <is>
          <t>Single Carrier (Band n50, 100MHz TDD)</t>
        </is>
      </c>
      <c r="Q720" s="13">
        <f>ROUNDUP(O720/'Methodology &amp; Assumptions'!$B$6, 0)</f>
        <v/>
      </c>
      <c r="R720" s="13" t="n">
        <v>1</v>
      </c>
      <c r="S720" s="14" t="n">
        <v>1.83</v>
      </c>
      <c r="T720" s="14" t="n">
        <v>3.33</v>
      </c>
      <c r="U720" s="26">
        <f>IF(X720&gt;='Methodology &amp; Assumptions'!$B$7, "Tier 1 Critical GIDA (Score ≥ 50.0)", IF(X720&gt;='Methodology &amp; Assumptions'!$B$8, "Tier 2 High GIDA (Score 40.0–49.9)", "Tier 3 Moderate GIDA (Score &lt; 40.0)"))</f>
        <v/>
      </c>
      <c r="V720" s="26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W720" s="28" t="n">
        <v>0.109</v>
      </c>
      <c r="X720" s="14" t="n">
        <v>49.7</v>
      </c>
      <c r="Y720" s="14">
        <f>ROUND(MIN(100, (X720/69.91)*100), 2)</f>
        <v/>
      </c>
    </row>
    <row r="721">
      <c r="A721" s="10" t="n">
        <v>2</v>
      </c>
      <c r="B721" s="10" t="n">
        <v>717</v>
      </c>
      <c r="C721" s="10" t="n">
        <v>1717</v>
      </c>
      <c r="D721" s="10" t="inlineStr">
        <is>
          <t>PH0001717</t>
        </is>
      </c>
      <c r="E721" s="26" t="inlineStr">
        <is>
          <t>XI</t>
        </is>
      </c>
      <c r="F721" s="26" t="inlineStr">
        <is>
          <t>Davao Del Sur</t>
        </is>
      </c>
      <c r="G721" s="26" t="inlineStr">
        <is>
          <t>Davao City</t>
        </is>
      </c>
      <c r="H721" s="26" t="inlineStr">
        <is>
          <t>Barangay 34-D (Pob.)</t>
        </is>
      </c>
      <c r="I721" s="27" t="n">
        <v>7.197395</v>
      </c>
      <c r="J721" s="27" t="n">
        <v>125.492652</v>
      </c>
      <c r="K721" s="10" t="inlineStr">
        <is>
          <t>R</t>
        </is>
      </c>
      <c r="L721" s="12" t="n">
        <v>2280</v>
      </c>
      <c r="M721" s="14" t="n">
        <v>3.4</v>
      </c>
      <c r="N721" s="12">
        <f>ROUND(L721/M721, 0)</f>
        <v/>
      </c>
      <c r="O721" s="12">
        <f>ROUND(N721*'Methodology &amp; Assumptions'!$B$5, 0)</f>
        <v/>
      </c>
      <c r="P721" s="10" t="inlineStr">
        <is>
          <t>Single Carrier (Band n50, 100MHz TDD)</t>
        </is>
      </c>
      <c r="Q721" s="13">
        <f>ROUNDUP(O721/'Methodology &amp; Assumptions'!$B$6, 0)</f>
        <v/>
      </c>
      <c r="R721" s="13" t="n">
        <v>1</v>
      </c>
      <c r="S721" s="14" t="n">
        <v>4.36</v>
      </c>
      <c r="T721" s="14" t="n">
        <v>3.54</v>
      </c>
      <c r="U721" s="26">
        <f>IF(X721&gt;='Methodology &amp; Assumptions'!$B$7, "Tier 1 Critical GIDA (Score ≥ 50.0)", IF(X721&gt;='Methodology &amp; Assumptions'!$B$8, "Tier 2 High GIDA (Score 40.0–49.9)", "Tier 3 Moderate GIDA (Score &lt; 40.0)"))</f>
        <v/>
      </c>
      <c r="V721" s="26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W721" s="28" t="n">
        <v>0.119</v>
      </c>
      <c r="X721" s="14" t="n">
        <v>49.7</v>
      </c>
      <c r="Y721" s="14">
        <f>ROUND(MIN(100, (X721/69.91)*100), 2)</f>
        <v/>
      </c>
    </row>
    <row r="722">
      <c r="A722" s="10" t="n">
        <v>2</v>
      </c>
      <c r="B722" s="10" t="n">
        <v>718</v>
      </c>
      <c r="C722" s="10" t="n">
        <v>1718</v>
      </c>
      <c r="D722" s="10" t="inlineStr">
        <is>
          <t>1381100156</t>
        </is>
      </c>
      <c r="E722" s="26" t="inlineStr">
        <is>
          <t>National Capital Region (NCR)</t>
        </is>
      </c>
      <c r="F722" s="26" t="inlineStr">
        <is>
          <t>Fourth District (Not a Province)</t>
        </is>
      </c>
      <c r="G722" s="26" t="inlineStr">
        <is>
          <t>Pasay City</t>
        </is>
      </c>
      <c r="H722" s="26" t="inlineStr">
        <is>
          <t>Barangay 156</t>
        </is>
      </c>
      <c r="I722" s="27" t="n">
        <v>14.544195</v>
      </c>
      <c r="J722" s="27" t="n">
        <v>121.081256</v>
      </c>
      <c r="K722" s="10" t="inlineStr">
        <is>
          <t>U</t>
        </is>
      </c>
      <c r="L722" s="12" t="n">
        <v>3641</v>
      </c>
      <c r="M722" s="14" t="n">
        <v>3.4</v>
      </c>
      <c r="N722" s="12">
        <f>ROUND(L722/M722, 0)</f>
        <v/>
      </c>
      <c r="O722" s="12">
        <f>ROUND(N722*'Methodology &amp; Assumptions'!$B$5, 0)</f>
        <v/>
      </c>
      <c r="P722" s="10" t="inlineStr">
        <is>
          <t>Single Carrier (Band n50, 100MHz TDD)</t>
        </is>
      </c>
      <c r="Q722" s="13">
        <f>ROUNDUP(O722/'Methodology &amp; Assumptions'!$B$6, 0)</f>
        <v/>
      </c>
      <c r="R722" s="13" t="n">
        <v>1</v>
      </c>
      <c r="S722" s="14" t="n">
        <v>1.02</v>
      </c>
      <c r="T722" s="14" t="n">
        <v>0.26</v>
      </c>
      <c r="U722" s="26">
        <f>IF(X722&gt;='Methodology &amp; Assumptions'!$B$7, "Tier 1 Critical GIDA (Score ≥ 50.0)", IF(X722&gt;='Methodology &amp; Assumptions'!$B$8, "Tier 2 High GIDA (Score 40.0–49.9)", "Tier 3 Moderate GIDA (Score &lt; 40.0)"))</f>
        <v/>
      </c>
      <c r="V722" s="26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W722" s="28" t="n">
        <v>0.109</v>
      </c>
      <c r="X722" s="14" t="n">
        <v>49.7</v>
      </c>
      <c r="Y722" s="14">
        <f>ROUND(MIN(100, (X722/69.91)*100), 2)</f>
        <v/>
      </c>
    </row>
    <row r="723">
      <c r="A723" s="10" t="n">
        <v>2</v>
      </c>
      <c r="B723" s="10" t="n">
        <v>719</v>
      </c>
      <c r="C723" s="10" t="n">
        <v>1719</v>
      </c>
      <c r="D723" s="10" t="inlineStr">
        <is>
          <t>1380601063</t>
        </is>
      </c>
      <c r="E723" s="26" t="inlineStr">
        <is>
          <t>National Capital Region (NCR)</t>
        </is>
      </c>
      <c r="F723" s="26" t="inlineStr">
        <is>
          <t>First District (Not a Province)</t>
        </is>
      </c>
      <c r="G723" s="26" t="inlineStr">
        <is>
          <t>City of Manila</t>
        </is>
      </c>
      <c r="H723" s="26" t="inlineStr">
        <is>
          <t>Barangay 63</t>
        </is>
      </c>
      <c r="I723" s="27" t="n">
        <v>13.006585</v>
      </c>
      <c r="J723" s="27" t="n">
        <v>121.459766</v>
      </c>
      <c r="K723" s="10" t="inlineStr">
        <is>
          <t>U</t>
        </is>
      </c>
      <c r="L723" s="12" t="n">
        <v>1492</v>
      </c>
      <c r="M723" s="14" t="n">
        <v>3.9</v>
      </c>
      <c r="N723" s="12">
        <f>ROUND(L723/M723, 0)</f>
        <v/>
      </c>
      <c r="O723" s="12">
        <f>ROUND(N723*'Methodology &amp; Assumptions'!$B$5, 0)</f>
        <v/>
      </c>
      <c r="P723" s="10" t="inlineStr">
        <is>
          <t>Single Carrier (Band n50, 100MHz TDD)</t>
        </is>
      </c>
      <c r="Q723" s="13">
        <f>ROUNDUP(O723/'Methodology &amp; Assumptions'!$B$6, 0)</f>
        <v/>
      </c>
      <c r="R723" s="13" t="n">
        <v>1</v>
      </c>
      <c r="S723" s="14" t="n">
        <v>4.18</v>
      </c>
      <c r="T723" s="14" t="n">
        <v>2.08</v>
      </c>
      <c r="U723" s="26">
        <f>IF(X723&gt;='Methodology &amp; Assumptions'!$B$7, "Tier 1 Critical GIDA (Score ≥ 50.0)", IF(X723&gt;='Methodology &amp; Assumptions'!$B$8, "Tier 2 High GIDA (Score 40.0–49.9)", "Tier 3 Moderate GIDA (Score &lt; 40.0)"))</f>
        <v/>
      </c>
      <c r="V723" s="26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W723" s="28" t="n">
        <v>0.109</v>
      </c>
      <c r="X723" s="14" t="n">
        <v>49.7</v>
      </c>
      <c r="Y723" s="14">
        <f>ROUND(MIN(100, (X723/69.91)*100), 2)</f>
        <v/>
      </c>
    </row>
    <row r="724">
      <c r="A724" s="10" t="n">
        <v>2</v>
      </c>
      <c r="B724" s="10" t="n">
        <v>720</v>
      </c>
      <c r="C724" s="10" t="n">
        <v>1720</v>
      </c>
      <c r="D724" s="10" t="inlineStr">
        <is>
          <t>1380606076</t>
        </is>
      </c>
      <c r="E724" s="26" t="inlineStr">
        <is>
          <t>National Capital Region (NCR)</t>
        </is>
      </c>
      <c r="F724" s="26" t="inlineStr">
        <is>
          <t>First District (Not a Province)</t>
        </is>
      </c>
      <c r="G724" s="26" t="inlineStr">
        <is>
          <t>City of Manila</t>
        </is>
      </c>
      <c r="H724" s="26" t="inlineStr">
        <is>
          <t>Barangay 470</t>
        </is>
      </c>
      <c r="I724" s="27" t="n">
        <v>12.993564</v>
      </c>
      <c r="J724" s="27" t="n">
        <v>122.094913</v>
      </c>
      <c r="K724" s="10" t="inlineStr">
        <is>
          <t>U</t>
        </is>
      </c>
      <c r="L724" s="12" t="n">
        <v>2329</v>
      </c>
      <c r="M724" s="14" t="n">
        <v>3.9</v>
      </c>
      <c r="N724" s="12">
        <f>ROUND(L724/M724, 0)</f>
        <v/>
      </c>
      <c r="O724" s="12">
        <f>ROUND(N724*'Methodology &amp; Assumptions'!$B$5, 0)</f>
        <v/>
      </c>
      <c r="P724" s="10" t="inlineStr">
        <is>
          <t>Single Carrier (Band n50, 100MHz TDD)</t>
        </is>
      </c>
      <c r="Q724" s="13">
        <f>ROUNDUP(O724/'Methodology &amp; Assumptions'!$B$6, 0)</f>
        <v/>
      </c>
      <c r="R724" s="13" t="n">
        <v>1</v>
      </c>
      <c r="S724" s="14" t="n">
        <v>60.36</v>
      </c>
      <c r="T724" s="14" t="n">
        <v>66.73999999999999</v>
      </c>
      <c r="U724" s="26">
        <f>IF(X724&gt;='Methodology &amp; Assumptions'!$B$7, "Tier 1 Critical GIDA (Score ≥ 50.0)", IF(X724&gt;='Methodology &amp; Assumptions'!$B$8, "Tier 2 High GIDA (Score 40.0–49.9)", "Tier 3 Moderate GIDA (Score &lt; 40.0)"))</f>
        <v/>
      </c>
      <c r="V724" s="26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W724" s="28" t="n">
        <v>0.109</v>
      </c>
      <c r="X724" s="14" t="n">
        <v>49.7</v>
      </c>
      <c r="Y724" s="14">
        <f>ROUND(MIN(100, (X724/69.91)*100), 2)</f>
        <v/>
      </c>
    </row>
    <row r="725">
      <c r="A725" s="10" t="n">
        <v>2</v>
      </c>
      <c r="B725" s="10" t="n">
        <v>721</v>
      </c>
      <c r="C725" s="10" t="n">
        <v>1721</v>
      </c>
      <c r="D725" s="10" t="inlineStr">
        <is>
          <t>PH0001721</t>
        </is>
      </c>
      <c r="E725" s="26" t="inlineStr">
        <is>
          <t>VIII</t>
        </is>
      </c>
      <c r="F725" s="26" t="inlineStr">
        <is>
          <t>Samar (Western Samar)</t>
        </is>
      </c>
      <c r="G725" s="26" t="inlineStr">
        <is>
          <t>Calbayog City</t>
        </is>
      </c>
      <c r="H725" s="26" t="inlineStr">
        <is>
          <t>Bugtong</t>
        </is>
      </c>
      <c r="I725" s="27" t="n">
        <v>12.256865</v>
      </c>
      <c r="J725" s="27" t="n">
        <v>124.369056</v>
      </c>
      <c r="K725" s="10" t="inlineStr">
        <is>
          <t>R</t>
        </is>
      </c>
      <c r="L725" s="12" t="n">
        <v>2229</v>
      </c>
      <c r="M725" s="14" t="n">
        <v>4.1</v>
      </c>
      <c r="N725" s="12">
        <f>ROUND(L725/M725, 0)</f>
        <v/>
      </c>
      <c r="O725" s="12">
        <f>ROUND(N725*'Methodology &amp; Assumptions'!$B$5, 0)</f>
        <v/>
      </c>
      <c r="P725" s="10" t="inlineStr">
        <is>
          <t>Single Carrier (Band n50, 100MHz TDD)</t>
        </is>
      </c>
      <c r="Q725" s="13">
        <f>ROUNDUP(O725/'Methodology &amp; Assumptions'!$B$6, 0)</f>
        <v/>
      </c>
      <c r="R725" s="13" t="n">
        <v>1</v>
      </c>
      <c r="S725" s="14" t="n">
        <v>48.13</v>
      </c>
      <c r="T725" s="14" t="n">
        <v>48.12</v>
      </c>
      <c r="U725" s="26">
        <f>IF(X725&gt;='Methodology &amp; Assumptions'!$B$7, "Tier 1 Critical GIDA (Score ≥ 50.0)", IF(X725&gt;='Methodology &amp; Assumptions'!$B$8, "Tier 2 High GIDA (Score 40.0–49.9)", "Tier 3 Moderate GIDA (Score &lt; 40.0)"))</f>
        <v/>
      </c>
      <c r="V725" s="26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W725" s="28" t="n">
        <v>0.222</v>
      </c>
      <c r="X725" s="14" t="n">
        <v>49.69</v>
      </c>
      <c r="Y725" s="14">
        <f>ROUND(MIN(100, (X725/69.91)*100), 2)</f>
        <v/>
      </c>
    </row>
    <row r="726">
      <c r="A726" s="10" t="n">
        <v>2</v>
      </c>
      <c r="B726" s="10" t="n">
        <v>722</v>
      </c>
      <c r="C726" s="10" t="n">
        <v>1722</v>
      </c>
      <c r="D726" s="10" t="inlineStr">
        <is>
          <t>1381100090</t>
        </is>
      </c>
      <c r="E726" s="26" t="inlineStr">
        <is>
          <t>National Capital Region (NCR)</t>
        </is>
      </c>
      <c r="F726" s="26" t="inlineStr">
        <is>
          <t>Fourth District (Not a Province)</t>
        </is>
      </c>
      <c r="G726" s="26" t="inlineStr">
        <is>
          <t>Pasay City</t>
        </is>
      </c>
      <c r="H726" s="26" t="inlineStr">
        <is>
          <t>Barangay 90</t>
        </is>
      </c>
      <c r="I726" s="27" t="n">
        <v>14.486838</v>
      </c>
      <c r="J726" s="27" t="n">
        <v>120.947843</v>
      </c>
      <c r="K726" s="10" t="inlineStr">
        <is>
          <t>U</t>
        </is>
      </c>
      <c r="L726" s="12" t="n">
        <v>1661</v>
      </c>
      <c r="M726" s="14" t="n">
        <v>3.4</v>
      </c>
      <c r="N726" s="12">
        <f>ROUND(L726/M726, 0)</f>
        <v/>
      </c>
      <c r="O726" s="12">
        <f>ROUND(N726*'Methodology &amp; Assumptions'!$B$5, 0)</f>
        <v/>
      </c>
      <c r="P726" s="10" t="inlineStr">
        <is>
          <t>Single Carrier (Band n50, 100MHz TDD)</t>
        </is>
      </c>
      <c r="Q726" s="13">
        <f>ROUNDUP(O726/'Methodology &amp; Assumptions'!$B$6, 0)</f>
        <v/>
      </c>
      <c r="R726" s="13" t="n">
        <v>1</v>
      </c>
      <c r="S726" s="14" t="n">
        <v>3.5</v>
      </c>
      <c r="T726" s="14" t="n">
        <v>3.2</v>
      </c>
      <c r="U726" s="26">
        <f>IF(X726&gt;='Methodology &amp; Assumptions'!$B$7, "Tier 1 Critical GIDA (Score ≥ 50.0)", IF(X726&gt;='Methodology &amp; Assumptions'!$B$8, "Tier 2 High GIDA (Score 40.0–49.9)", "Tier 3 Moderate GIDA (Score &lt; 40.0)"))</f>
        <v/>
      </c>
      <c r="V726" s="26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W726" s="28" t="n">
        <v>0.109</v>
      </c>
      <c r="X726" s="14" t="n">
        <v>49.69</v>
      </c>
      <c r="Y726" s="14">
        <f>ROUND(MIN(100, (X726/69.91)*100), 2)</f>
        <v/>
      </c>
    </row>
    <row r="727">
      <c r="A727" s="10" t="n">
        <v>2</v>
      </c>
      <c r="B727" s="10" t="n">
        <v>723</v>
      </c>
      <c r="C727" s="10" t="n">
        <v>1723</v>
      </c>
      <c r="D727" s="10" t="inlineStr">
        <is>
          <t>1380606240</t>
        </is>
      </c>
      <c r="E727" s="26" t="inlineStr">
        <is>
          <t>National Capital Region (NCR)</t>
        </is>
      </c>
      <c r="F727" s="26" t="inlineStr">
        <is>
          <t>First District (Not a Province)</t>
        </is>
      </c>
      <c r="G727" s="26" t="inlineStr">
        <is>
          <t>City of Manila</t>
        </is>
      </c>
      <c r="H727" s="26" t="inlineStr">
        <is>
          <t>Barangay 633</t>
        </is>
      </c>
      <c r="I727" s="27" t="n">
        <v>12.583202</v>
      </c>
      <c r="J727" s="27" t="n">
        <v>121.61567</v>
      </c>
      <c r="K727" s="10" t="inlineStr">
        <is>
          <t>U</t>
        </is>
      </c>
      <c r="L727" s="12" t="n">
        <v>461</v>
      </c>
      <c r="M727" s="14" t="n">
        <v>3.9</v>
      </c>
      <c r="N727" s="12">
        <f>ROUND(L727/M727, 0)</f>
        <v/>
      </c>
      <c r="O727" s="12">
        <f>ROUND(N727*'Methodology &amp; Assumptions'!$B$5, 0)</f>
        <v/>
      </c>
      <c r="P727" s="10" t="inlineStr">
        <is>
          <t>Single Carrier (Band n50, 100MHz TDD)</t>
        </is>
      </c>
      <c r="Q727" s="13">
        <f>ROUNDUP(O727/'Methodology &amp; Assumptions'!$B$6, 0)</f>
        <v/>
      </c>
      <c r="R727" s="13" t="n">
        <v>1</v>
      </c>
      <c r="S727" s="14" t="n">
        <v>7.32</v>
      </c>
      <c r="T727" s="14" t="n">
        <v>3.75</v>
      </c>
      <c r="U727" s="26">
        <f>IF(X727&gt;='Methodology &amp; Assumptions'!$B$7, "Tier 1 Critical GIDA (Score ≥ 50.0)", IF(X727&gt;='Methodology &amp; Assumptions'!$B$8, "Tier 2 High GIDA (Score 40.0–49.9)", "Tier 3 Moderate GIDA (Score &lt; 40.0)"))</f>
        <v/>
      </c>
      <c r="V727" s="26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W727" s="28" t="n">
        <v>0.109</v>
      </c>
      <c r="X727" s="14" t="n">
        <v>49.69</v>
      </c>
      <c r="Y727" s="14">
        <f>ROUND(MIN(100, (X727/69.91)*100), 2)</f>
        <v/>
      </c>
    </row>
    <row r="728">
      <c r="A728" s="10" t="n">
        <v>2</v>
      </c>
      <c r="B728" s="10" t="n">
        <v>724</v>
      </c>
      <c r="C728" s="10" t="n">
        <v>1724</v>
      </c>
      <c r="D728" s="10" t="inlineStr">
        <is>
          <t>1380700003</t>
        </is>
      </c>
      <c r="E728" s="26" t="inlineStr">
        <is>
          <t>National Capital Region (NCR)</t>
        </is>
      </c>
      <c r="F728" s="26" t="inlineStr">
        <is>
          <t>Second District (Not a Province)</t>
        </is>
      </c>
      <c r="G728" s="26" t="inlineStr">
        <is>
          <t>City of Marikina</t>
        </is>
      </c>
      <c r="H728" s="26" t="inlineStr">
        <is>
          <t>Concepcion Uno</t>
        </is>
      </c>
      <c r="I728" s="27" t="n">
        <v>14.647825</v>
      </c>
      <c r="J728" s="27" t="n">
        <v>121.103497</v>
      </c>
      <c r="K728" s="10" t="inlineStr">
        <is>
          <t>U</t>
        </is>
      </c>
      <c r="L728" s="12" t="n">
        <v>46179</v>
      </c>
      <c r="M728" s="14" t="n">
        <v>4</v>
      </c>
      <c r="N728" s="12">
        <f>ROUND(L728/M728, 0)</f>
        <v/>
      </c>
      <c r="O728" s="12">
        <f>ROUND(N728*'Methodology &amp; Assumptions'!$B$5, 0)</f>
        <v/>
      </c>
      <c r="P728" s="10" t="inlineStr">
        <is>
          <t>Single Carrier (Band n50, 100MHz TDD)</t>
        </is>
      </c>
      <c r="Q728" s="13">
        <f>ROUNDUP(O728/'Methodology &amp; Assumptions'!$B$6, 0)</f>
        <v/>
      </c>
      <c r="R728" s="13" t="n">
        <v>1</v>
      </c>
      <c r="S728" s="14" t="n">
        <v>0.9</v>
      </c>
      <c r="T728" s="14" t="n">
        <v>0.26</v>
      </c>
      <c r="U728" s="26">
        <f>IF(X728&gt;='Methodology &amp; Assumptions'!$B$7, "Tier 1 Critical GIDA (Score ≥ 50.0)", IF(X728&gt;='Methodology &amp; Assumptions'!$B$8, "Tier 2 High GIDA (Score 40.0–49.9)", "Tier 3 Moderate GIDA (Score &lt; 40.0)"))</f>
        <v/>
      </c>
      <c r="V728" s="26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W728" s="28" t="n">
        <v>0.109</v>
      </c>
      <c r="X728" s="14" t="n">
        <v>49.69</v>
      </c>
      <c r="Y728" s="14">
        <f>ROUND(MIN(100, (X728/69.91)*100), 2)</f>
        <v/>
      </c>
    </row>
    <row r="729">
      <c r="A729" s="10" t="n">
        <v>2</v>
      </c>
      <c r="B729" s="10" t="n">
        <v>725</v>
      </c>
      <c r="C729" s="10" t="n">
        <v>1725</v>
      </c>
      <c r="D729" s="10" t="inlineStr">
        <is>
          <t>1380606237</t>
        </is>
      </c>
      <c r="E729" s="26" t="inlineStr">
        <is>
          <t>National Capital Region (NCR)</t>
        </is>
      </c>
      <c r="F729" s="26" t="inlineStr">
        <is>
          <t>First District (Not a Province)</t>
        </is>
      </c>
      <c r="G729" s="26" t="inlineStr">
        <is>
          <t>City of Manila</t>
        </is>
      </c>
      <c r="H729" s="26" t="inlineStr">
        <is>
          <t>Barangay 630</t>
        </is>
      </c>
      <c r="I729" s="27" t="n">
        <v>13.20388</v>
      </c>
      <c r="J729" s="27" t="n">
        <v>121.684894</v>
      </c>
      <c r="K729" s="10" t="inlineStr">
        <is>
          <t>U</t>
        </is>
      </c>
      <c r="L729" s="12" t="n">
        <v>4802</v>
      </c>
      <c r="M729" s="14" t="n">
        <v>3.9</v>
      </c>
      <c r="N729" s="12">
        <f>ROUND(L729/M729, 0)</f>
        <v/>
      </c>
      <c r="O729" s="12">
        <f>ROUND(N729*'Methodology &amp; Assumptions'!$B$5, 0)</f>
        <v/>
      </c>
      <c r="P729" s="10" t="inlineStr">
        <is>
          <t>Single Carrier (Band n50, 100MHz TDD)</t>
        </is>
      </c>
      <c r="Q729" s="13">
        <f>ROUNDUP(O729/'Methodology &amp; Assumptions'!$B$6, 0)</f>
        <v/>
      </c>
      <c r="R729" s="13" t="n">
        <v>1</v>
      </c>
      <c r="S729" s="14" t="n">
        <v>24.76</v>
      </c>
      <c r="T729" s="14" t="n">
        <v>28.81</v>
      </c>
      <c r="U729" s="26">
        <f>IF(X729&gt;='Methodology &amp; Assumptions'!$B$7, "Tier 1 Critical GIDA (Score ≥ 50.0)", IF(X729&gt;='Methodology &amp; Assumptions'!$B$8, "Tier 2 High GIDA (Score 40.0–49.9)", "Tier 3 Moderate GIDA (Score &lt; 40.0)"))</f>
        <v/>
      </c>
      <c r="V729" s="26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W729" s="28" t="n">
        <v>0.109</v>
      </c>
      <c r="X729" s="14" t="n">
        <v>49.69</v>
      </c>
      <c r="Y729" s="14">
        <f>ROUND(MIN(100, (X729/69.91)*100), 2)</f>
        <v/>
      </c>
    </row>
    <row r="730">
      <c r="A730" s="10" t="n">
        <v>2</v>
      </c>
      <c r="B730" s="10" t="n">
        <v>726</v>
      </c>
      <c r="C730" s="10" t="n">
        <v>1726</v>
      </c>
      <c r="D730" s="10" t="inlineStr">
        <is>
          <t>0603014004</t>
        </is>
      </c>
      <c r="E730" s="26" t="inlineStr">
        <is>
          <t>Region VI (Western Visayas)</t>
        </is>
      </c>
      <c r="F730" s="26" t="inlineStr">
        <is>
          <t>Iloilo</t>
        </is>
      </c>
      <c r="G730" s="26" t="inlineStr">
        <is>
          <t>Carles</t>
        </is>
      </c>
      <c r="H730" s="26" t="inlineStr">
        <is>
          <t>Bancal</t>
        </is>
      </c>
      <c r="I730" s="27" t="n">
        <v>11.55863</v>
      </c>
      <c r="J730" s="27" t="n">
        <v>123.15316</v>
      </c>
      <c r="K730" s="10" t="inlineStr">
        <is>
          <t>U</t>
        </is>
      </c>
      <c r="L730" s="12" t="n">
        <v>5937</v>
      </c>
      <c r="M730" s="14" t="n">
        <v>3.8</v>
      </c>
      <c r="N730" s="12">
        <f>ROUND(L730/M730, 0)</f>
        <v/>
      </c>
      <c r="O730" s="12">
        <f>ROUND(N730*'Methodology &amp; Assumptions'!$B$5, 0)</f>
        <v/>
      </c>
      <c r="P730" s="10" t="inlineStr">
        <is>
          <t>Single Carrier (Band n50, 100MHz TDD)</t>
        </is>
      </c>
      <c r="Q730" s="13">
        <f>ROUNDUP(O730/'Methodology &amp; Assumptions'!$B$6, 0)</f>
        <v/>
      </c>
      <c r="R730" s="13" t="n">
        <v>1</v>
      </c>
      <c r="S730" s="14" t="n">
        <v>11.55</v>
      </c>
      <c r="T730" s="14" t="n">
        <v>11.48</v>
      </c>
      <c r="U730" s="26">
        <f>IF(X730&gt;='Methodology &amp; Assumptions'!$B$7, "Tier 1 Critical GIDA (Score ≥ 50.0)", IF(X730&gt;='Methodology &amp; Assumptions'!$B$8, "Tier 2 High GIDA (Score 40.0–49.9)", "Tier 3 Moderate GIDA (Score &lt; 40.0)"))</f>
        <v/>
      </c>
      <c r="V730" s="26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W730" s="28" t="n">
        <v>0.237</v>
      </c>
      <c r="X730" s="14" t="n">
        <v>49.69</v>
      </c>
      <c r="Y730" s="14">
        <f>ROUND(MIN(100, (X730/69.91)*100), 2)</f>
        <v/>
      </c>
    </row>
    <row r="731">
      <c r="A731" s="10" t="n">
        <v>2</v>
      </c>
      <c r="B731" s="10" t="n">
        <v>727</v>
      </c>
      <c r="C731" s="10" t="n">
        <v>1727</v>
      </c>
      <c r="D731" s="10" t="inlineStr">
        <is>
          <t>1381100049</t>
        </is>
      </c>
      <c r="E731" s="26" t="inlineStr">
        <is>
          <t>National Capital Region (NCR)</t>
        </is>
      </c>
      <c r="F731" s="26" t="inlineStr">
        <is>
          <t>Fourth District (Not a Province)</t>
        </is>
      </c>
      <c r="G731" s="26" t="inlineStr">
        <is>
          <t>Pasay City</t>
        </is>
      </c>
      <c r="H731" s="26" t="inlineStr">
        <is>
          <t>Barangay 49</t>
        </is>
      </c>
      <c r="I731" s="27" t="n">
        <v>14.618674</v>
      </c>
      <c r="J731" s="27" t="n">
        <v>121.00722</v>
      </c>
      <c r="K731" s="10" t="inlineStr">
        <is>
          <t>U</t>
        </is>
      </c>
      <c r="L731" s="12" t="n">
        <v>298</v>
      </c>
      <c r="M731" s="14" t="n">
        <v>3.4</v>
      </c>
      <c r="N731" s="12">
        <f>ROUND(L731/M731, 0)</f>
        <v/>
      </c>
      <c r="O731" s="12">
        <f>ROUND(N731*'Methodology &amp; Assumptions'!$B$5, 0)</f>
        <v/>
      </c>
      <c r="P731" s="10" t="inlineStr">
        <is>
          <t>Single Carrier (Band n50, 100MHz TDD)</t>
        </is>
      </c>
      <c r="Q731" s="13">
        <f>ROUNDUP(O731/'Methodology &amp; Assumptions'!$B$6, 0)</f>
        <v/>
      </c>
      <c r="R731" s="13" t="n">
        <v>1</v>
      </c>
      <c r="S731" s="14" t="n">
        <v>0.93</v>
      </c>
      <c r="T731" s="14" t="n">
        <v>0.21</v>
      </c>
      <c r="U731" s="26">
        <f>IF(X731&gt;='Methodology &amp; Assumptions'!$B$7, "Tier 1 Critical GIDA (Score ≥ 50.0)", IF(X731&gt;='Methodology &amp; Assumptions'!$B$8, "Tier 2 High GIDA (Score 40.0–49.9)", "Tier 3 Moderate GIDA (Score &lt; 40.0)"))</f>
        <v/>
      </c>
      <c r="V731" s="26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W731" s="28" t="n">
        <v>0.109</v>
      </c>
      <c r="X731" s="14" t="n">
        <v>49.69</v>
      </c>
      <c r="Y731" s="14">
        <f>ROUND(MIN(100, (X731/69.91)*100), 2)</f>
        <v/>
      </c>
    </row>
    <row r="732">
      <c r="A732" s="10" t="n">
        <v>2</v>
      </c>
      <c r="B732" s="10" t="n">
        <v>728</v>
      </c>
      <c r="C732" s="10" t="n">
        <v>1728</v>
      </c>
      <c r="D732" s="10" t="inlineStr">
        <is>
          <t>1380611034</t>
        </is>
      </c>
      <c r="E732" s="26" t="inlineStr">
        <is>
          <t>National Capital Region (NCR)</t>
        </is>
      </c>
      <c r="F732" s="26" t="inlineStr">
        <is>
          <t>First District (Not a Province)</t>
        </is>
      </c>
      <c r="G732" s="26" t="inlineStr">
        <is>
          <t>City of Manila</t>
        </is>
      </c>
      <c r="H732" s="26" t="inlineStr">
        <is>
          <t>Barangay 819</t>
        </is>
      </c>
      <c r="I732" s="27" t="n">
        <v>12.698649</v>
      </c>
      <c r="J732" s="27" t="n">
        <v>122.065529</v>
      </c>
      <c r="K732" s="10" t="inlineStr">
        <is>
          <t>U</t>
        </is>
      </c>
      <c r="L732" s="12" t="n">
        <v>2068</v>
      </c>
      <c r="M732" s="14" t="n">
        <v>3.9</v>
      </c>
      <c r="N732" s="12">
        <f>ROUND(L732/M732, 0)</f>
        <v/>
      </c>
      <c r="O732" s="12">
        <f>ROUND(N732*'Methodology &amp; Assumptions'!$B$5, 0)</f>
        <v/>
      </c>
      <c r="P732" s="10" t="inlineStr">
        <is>
          <t>Single Carrier (Band n50, 100MHz TDD)</t>
        </is>
      </c>
      <c r="Q732" s="13">
        <f>ROUNDUP(O732/'Methodology &amp; Assumptions'!$B$6, 0)</f>
        <v/>
      </c>
      <c r="R732" s="13" t="n">
        <v>1</v>
      </c>
      <c r="S732" s="14" t="n">
        <v>56.73</v>
      </c>
      <c r="T732" s="14" t="n">
        <v>50.13</v>
      </c>
      <c r="U732" s="26">
        <f>IF(X732&gt;='Methodology &amp; Assumptions'!$B$7, "Tier 1 Critical GIDA (Score ≥ 50.0)", IF(X732&gt;='Methodology &amp; Assumptions'!$B$8, "Tier 2 High GIDA (Score 40.0–49.9)", "Tier 3 Moderate GIDA (Score &lt; 40.0)"))</f>
        <v/>
      </c>
      <c r="V732" s="26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W732" s="28" t="n">
        <v>0.109</v>
      </c>
      <c r="X732" s="14" t="n">
        <v>49.68</v>
      </c>
      <c r="Y732" s="14">
        <f>ROUND(MIN(100, (X732/69.91)*100), 2)</f>
        <v/>
      </c>
    </row>
    <row r="733">
      <c r="A733" s="10" t="n">
        <v>2</v>
      </c>
      <c r="B733" s="10" t="n">
        <v>729</v>
      </c>
      <c r="C733" s="10" t="n">
        <v>1729</v>
      </c>
      <c r="D733" s="10" t="inlineStr">
        <is>
          <t>1380601127</t>
        </is>
      </c>
      <c r="E733" s="26" t="inlineStr">
        <is>
          <t>National Capital Region (NCR)</t>
        </is>
      </c>
      <c r="F733" s="26" t="inlineStr">
        <is>
          <t>First District (Not a Province)</t>
        </is>
      </c>
      <c r="G733" s="26" t="inlineStr">
        <is>
          <t>City of Manila</t>
        </is>
      </c>
      <c r="H733" s="26" t="inlineStr">
        <is>
          <t>Barangay 127</t>
        </is>
      </c>
      <c r="I733" s="27" t="n">
        <v>12.820952</v>
      </c>
      <c r="J733" s="27" t="n">
        <v>121.432226</v>
      </c>
      <c r="K733" s="10" t="inlineStr">
        <is>
          <t>U</t>
        </is>
      </c>
      <c r="L733" s="12" t="n">
        <v>582</v>
      </c>
      <c r="M733" s="14" t="n">
        <v>3.9</v>
      </c>
      <c r="N733" s="12">
        <f>ROUND(L733/M733, 0)</f>
        <v/>
      </c>
      <c r="O733" s="12">
        <f>ROUND(N733*'Methodology &amp; Assumptions'!$B$5, 0)</f>
        <v/>
      </c>
      <c r="P733" s="10" t="inlineStr">
        <is>
          <t>Single Carrier (Band n50, 100MHz TDD)</t>
        </is>
      </c>
      <c r="Q733" s="13">
        <f>ROUNDUP(O733/'Methodology &amp; Assumptions'!$B$6, 0)</f>
        <v/>
      </c>
      <c r="R733" s="13" t="n">
        <v>1</v>
      </c>
      <c r="S733" s="14" t="n">
        <v>3.39</v>
      </c>
      <c r="T733" s="14" t="n">
        <v>3.28</v>
      </c>
      <c r="U733" s="26">
        <f>IF(X733&gt;='Methodology &amp; Assumptions'!$B$7, "Tier 1 Critical GIDA (Score ≥ 50.0)", IF(X733&gt;='Methodology &amp; Assumptions'!$B$8, "Tier 2 High GIDA (Score 40.0–49.9)", "Tier 3 Moderate GIDA (Score &lt; 40.0)"))</f>
        <v/>
      </c>
      <c r="V733" s="26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W733" s="28" t="n">
        <v>0.109</v>
      </c>
      <c r="X733" s="14" t="n">
        <v>49.68</v>
      </c>
      <c r="Y733" s="14">
        <f>ROUND(MIN(100, (X733/69.91)*100), 2)</f>
        <v/>
      </c>
    </row>
    <row r="734">
      <c r="A734" s="10" t="n">
        <v>2</v>
      </c>
      <c r="B734" s="10" t="n">
        <v>730</v>
      </c>
      <c r="C734" s="10" t="n">
        <v>1730</v>
      </c>
      <c r="D734" s="10" t="inlineStr">
        <is>
          <t>1380601002</t>
        </is>
      </c>
      <c r="E734" s="26" t="inlineStr">
        <is>
          <t>National Capital Region (NCR)</t>
        </is>
      </c>
      <c r="F734" s="26" t="inlineStr">
        <is>
          <t>First District (Not a Province)</t>
        </is>
      </c>
      <c r="G734" s="26" t="inlineStr">
        <is>
          <t>City of Manila</t>
        </is>
      </c>
      <c r="H734" s="26" t="inlineStr">
        <is>
          <t>Barangay 2</t>
        </is>
      </c>
      <c r="I734" s="27" t="n">
        <v>13.149174</v>
      </c>
      <c r="J734" s="27" t="n">
        <v>121.986111</v>
      </c>
      <c r="K734" s="10" t="inlineStr">
        <is>
          <t>U</t>
        </is>
      </c>
      <c r="L734" s="12" t="n">
        <v>1944</v>
      </c>
      <c r="M734" s="14" t="n">
        <v>3.9</v>
      </c>
      <c r="N734" s="12">
        <f>ROUND(L734/M734, 0)</f>
        <v/>
      </c>
      <c r="O734" s="12">
        <f>ROUND(N734*'Methodology &amp; Assumptions'!$B$5, 0)</f>
        <v/>
      </c>
      <c r="P734" s="10" t="inlineStr">
        <is>
          <t>Single Carrier (Band n50, 100MHz TDD)</t>
        </is>
      </c>
      <c r="Q734" s="13">
        <f>ROUNDUP(O734/'Methodology &amp; Assumptions'!$B$6, 0)</f>
        <v/>
      </c>
      <c r="R734" s="13" t="n">
        <v>1</v>
      </c>
      <c r="S734" s="14" t="n">
        <v>52.77</v>
      </c>
      <c r="T734" s="14" t="n">
        <v>56.21</v>
      </c>
      <c r="U734" s="26">
        <f>IF(X734&gt;='Methodology &amp; Assumptions'!$B$7, "Tier 1 Critical GIDA (Score ≥ 50.0)", IF(X734&gt;='Methodology &amp; Assumptions'!$B$8, "Tier 2 High GIDA (Score 40.0–49.9)", "Tier 3 Moderate GIDA (Score &lt; 40.0)"))</f>
        <v/>
      </c>
      <c r="V734" s="26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W734" s="28" t="n">
        <v>0.109</v>
      </c>
      <c r="X734" s="14" t="n">
        <v>49.68</v>
      </c>
      <c r="Y734" s="14">
        <f>ROUND(MIN(100, (X734/69.91)*100), 2)</f>
        <v/>
      </c>
    </row>
    <row r="735">
      <c r="A735" s="10" t="n">
        <v>2</v>
      </c>
      <c r="B735" s="10" t="n">
        <v>731</v>
      </c>
      <c r="C735" s="10" t="n">
        <v>1731</v>
      </c>
      <c r="D735" s="10" t="inlineStr">
        <is>
          <t>1380605041</t>
        </is>
      </c>
      <c r="E735" s="26" t="inlineStr">
        <is>
          <t>National Capital Region (NCR)</t>
        </is>
      </c>
      <c r="F735" s="26" t="inlineStr">
        <is>
          <t>First District (Not a Province)</t>
        </is>
      </c>
      <c r="G735" s="26" t="inlineStr">
        <is>
          <t>City of Manila</t>
        </is>
      </c>
      <c r="H735" s="26" t="inlineStr">
        <is>
          <t>Barangay 339</t>
        </is>
      </c>
      <c r="I735" s="27" t="n">
        <v>12.539983</v>
      </c>
      <c r="J735" s="27" t="n">
        <v>121.804488</v>
      </c>
      <c r="K735" s="10" t="inlineStr">
        <is>
          <t>U</t>
        </is>
      </c>
      <c r="L735" s="12" t="n">
        <v>1303</v>
      </c>
      <c r="M735" s="14" t="n">
        <v>3.9</v>
      </c>
      <c r="N735" s="12">
        <f>ROUND(L735/M735, 0)</f>
        <v/>
      </c>
      <c r="O735" s="12">
        <f>ROUND(N735*'Methodology &amp; Assumptions'!$B$5, 0)</f>
        <v/>
      </c>
      <c r="P735" s="10" t="inlineStr">
        <is>
          <t>Single Carrier (Band n50, 100MHz TDD)</t>
        </is>
      </c>
      <c r="Q735" s="13">
        <f>ROUNDUP(O735/'Methodology &amp; Assumptions'!$B$6, 0)</f>
        <v/>
      </c>
      <c r="R735" s="13" t="n">
        <v>1</v>
      </c>
      <c r="S735" s="14" t="n">
        <v>28.34</v>
      </c>
      <c r="T735" s="14" t="n">
        <v>16.86</v>
      </c>
      <c r="U735" s="26">
        <f>IF(X735&gt;='Methodology &amp; Assumptions'!$B$7, "Tier 1 Critical GIDA (Score ≥ 50.0)", IF(X735&gt;='Methodology &amp; Assumptions'!$B$8, "Tier 2 High GIDA (Score 40.0–49.9)", "Tier 3 Moderate GIDA (Score &lt; 40.0)"))</f>
        <v/>
      </c>
      <c r="V735" s="26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W735" s="28" t="n">
        <v>0.109</v>
      </c>
      <c r="X735" s="14" t="n">
        <v>49.68</v>
      </c>
      <c r="Y735" s="14">
        <f>ROUND(MIN(100, (X735/69.91)*100), 2)</f>
        <v/>
      </c>
    </row>
    <row r="736">
      <c r="A736" s="10" t="n">
        <v>2</v>
      </c>
      <c r="B736" s="10" t="n">
        <v>732</v>
      </c>
      <c r="C736" s="10" t="n">
        <v>1732</v>
      </c>
      <c r="D736" s="10" t="inlineStr">
        <is>
          <t>1908701006</t>
        </is>
      </c>
      <c r="E736" s="26" t="inlineStr">
        <is>
          <t>Bangsamoro Autonomous Region In Muslim Mindanao (BARMM)</t>
        </is>
      </c>
      <c r="F736" s="26" t="inlineStr">
        <is>
          <t>Maguindanao del Norte</t>
        </is>
      </c>
      <c r="G736" s="26" t="inlineStr">
        <is>
          <t>Barira</t>
        </is>
      </c>
      <c r="H736" s="26" t="inlineStr">
        <is>
          <t>Liong</t>
        </is>
      </c>
      <c r="I736" s="27" t="n">
        <v>17.253876</v>
      </c>
      <c r="J736" s="27" t="n">
        <v>122.22792</v>
      </c>
      <c r="K736" s="10" t="inlineStr">
        <is>
          <t>R</t>
        </is>
      </c>
      <c r="L736" s="12" t="n">
        <v>5838</v>
      </c>
      <c r="M736" s="14" t="n">
        <v>4.3</v>
      </c>
      <c r="N736" s="12">
        <f>ROUND(L736/M736, 0)</f>
        <v/>
      </c>
      <c r="O736" s="12">
        <f>ROUND(N736*'Methodology &amp; Assumptions'!$B$5, 0)</f>
        <v/>
      </c>
      <c r="P736" s="10" t="inlineStr">
        <is>
          <t>Single Carrier (Band n50, 100MHz TDD)</t>
        </is>
      </c>
      <c r="Q736" s="13">
        <f>ROUNDUP(O736/'Methodology &amp; Assumptions'!$B$6, 0)</f>
        <v/>
      </c>
      <c r="R736" s="13" t="n">
        <v>1</v>
      </c>
      <c r="S736" s="14" t="n">
        <v>29.27</v>
      </c>
      <c r="T736" s="14" t="n">
        <v>34.17</v>
      </c>
      <c r="U736" s="26">
        <f>IF(X736&gt;='Methodology &amp; Assumptions'!$B$7, "Tier 1 Critical GIDA (Score ≥ 50.0)", IF(X736&gt;='Methodology &amp; Assumptions'!$B$8, "Tier 2 High GIDA (Score 40.0–49.9)", "Tier 3 Moderate GIDA (Score &lt; 40.0)"))</f>
        <v/>
      </c>
      <c r="V736" s="26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W736" s="28" t="n">
        <v>0.11</v>
      </c>
      <c r="X736" s="14" t="n">
        <v>49.67</v>
      </c>
      <c r="Y736" s="14">
        <f>ROUND(MIN(100, (X736/69.91)*100), 2)</f>
        <v/>
      </c>
    </row>
    <row r="737">
      <c r="A737" s="10" t="n">
        <v>2</v>
      </c>
      <c r="B737" s="10" t="n">
        <v>733</v>
      </c>
      <c r="C737" s="10" t="n">
        <v>1733</v>
      </c>
      <c r="D737" s="10" t="inlineStr">
        <is>
          <t>1380700007</t>
        </is>
      </c>
      <c r="E737" s="26" t="inlineStr">
        <is>
          <t>National Capital Region (NCR)</t>
        </is>
      </c>
      <c r="F737" s="26" t="inlineStr">
        <is>
          <t>Second District (Not a Province)</t>
        </is>
      </c>
      <c r="G737" s="26" t="inlineStr">
        <is>
          <t>City of Marikina</t>
        </is>
      </c>
      <c r="H737" s="26" t="inlineStr">
        <is>
          <t>Parang</t>
        </is>
      </c>
      <c r="I737" s="27" t="n">
        <v>14.665956</v>
      </c>
      <c r="J737" s="27" t="n">
        <v>121.117943</v>
      </c>
      <c r="K737" s="10" t="inlineStr">
        <is>
          <t>U</t>
        </is>
      </c>
      <c r="L737" s="12" t="n">
        <v>41587</v>
      </c>
      <c r="M737" s="14" t="n">
        <v>4</v>
      </c>
      <c r="N737" s="12">
        <f>ROUND(L737/M737, 0)</f>
        <v/>
      </c>
      <c r="O737" s="12">
        <f>ROUND(N737*'Methodology &amp; Assumptions'!$B$5, 0)</f>
        <v/>
      </c>
      <c r="P737" s="10" t="inlineStr">
        <is>
          <t>Single Carrier (Band n50, 100MHz TDD)</t>
        </is>
      </c>
      <c r="Q737" s="13">
        <f>ROUNDUP(O737/'Methodology &amp; Assumptions'!$B$6, 0)</f>
        <v/>
      </c>
      <c r="R737" s="13" t="n">
        <v>1</v>
      </c>
      <c r="S737" s="14" t="n">
        <v>1.61</v>
      </c>
      <c r="T737" s="14" t="n">
        <v>0.68</v>
      </c>
      <c r="U737" s="26">
        <f>IF(X737&gt;='Methodology &amp; Assumptions'!$B$7, "Tier 1 Critical GIDA (Score ≥ 50.0)", IF(X737&gt;='Methodology &amp; Assumptions'!$B$8, "Tier 2 High GIDA (Score 40.0–49.9)", "Tier 3 Moderate GIDA (Score &lt; 40.0)"))</f>
        <v/>
      </c>
      <c r="V737" s="26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W737" s="28" t="n">
        <v>0.109</v>
      </c>
      <c r="X737" s="14" t="n">
        <v>49.67</v>
      </c>
      <c r="Y737" s="14">
        <f>ROUND(MIN(100, (X737/69.91)*100), 2)</f>
        <v/>
      </c>
    </row>
    <row r="738">
      <c r="A738" s="10" t="n">
        <v>2</v>
      </c>
      <c r="B738" s="10" t="n">
        <v>734</v>
      </c>
      <c r="C738" s="10" t="n">
        <v>1734</v>
      </c>
      <c r="D738" s="10" t="inlineStr">
        <is>
          <t>1380610020</t>
        </is>
      </c>
      <c r="E738" s="26" t="inlineStr">
        <is>
          <t>National Capital Region (NCR)</t>
        </is>
      </c>
      <c r="F738" s="26" t="inlineStr">
        <is>
          <t>First District (Not a Province)</t>
        </is>
      </c>
      <c r="G738" s="26" t="inlineStr">
        <is>
          <t>City of Manila</t>
        </is>
      </c>
      <c r="H738" s="26" t="inlineStr">
        <is>
          <t>Barangay 705</t>
        </is>
      </c>
      <c r="I738" s="27" t="n">
        <v>13.110998</v>
      </c>
      <c r="J738" s="27" t="n">
        <v>121.515068</v>
      </c>
      <c r="K738" s="10" t="inlineStr">
        <is>
          <t>U</t>
        </is>
      </c>
      <c r="L738" s="12" t="n">
        <v>2764</v>
      </c>
      <c r="M738" s="14" t="n">
        <v>3.9</v>
      </c>
      <c r="N738" s="12">
        <f>ROUND(L738/M738, 0)</f>
        <v/>
      </c>
      <c r="O738" s="12">
        <f>ROUND(N738*'Methodology &amp; Assumptions'!$B$5, 0)</f>
        <v/>
      </c>
      <c r="P738" s="10" t="inlineStr">
        <is>
          <t>Single Carrier (Band n50, 100MHz TDD)</t>
        </is>
      </c>
      <c r="Q738" s="13">
        <f>ROUNDUP(O738/'Methodology &amp; Assumptions'!$B$6, 0)</f>
        <v/>
      </c>
      <c r="R738" s="13" t="n">
        <v>1</v>
      </c>
      <c r="S738" s="14" t="n">
        <v>5.27</v>
      </c>
      <c r="T738" s="14" t="n">
        <v>8.869999999999999</v>
      </c>
      <c r="U738" s="26">
        <f>IF(X738&gt;='Methodology &amp; Assumptions'!$B$7, "Tier 1 Critical GIDA (Score ≥ 50.0)", IF(X738&gt;='Methodology &amp; Assumptions'!$B$8, "Tier 2 High GIDA (Score 40.0–49.9)", "Tier 3 Moderate GIDA (Score &lt; 40.0)"))</f>
        <v/>
      </c>
      <c r="V738" s="26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W738" s="28" t="n">
        <v>0.109</v>
      </c>
      <c r="X738" s="14" t="n">
        <v>49.67</v>
      </c>
      <c r="Y738" s="14">
        <f>ROUND(MIN(100, (X738/69.91)*100), 2)</f>
        <v/>
      </c>
    </row>
    <row r="739">
      <c r="A739" s="10" t="n">
        <v>2</v>
      </c>
      <c r="B739" s="10" t="n">
        <v>735</v>
      </c>
      <c r="C739" s="10" t="n">
        <v>1735</v>
      </c>
      <c r="D739" s="10" t="inlineStr">
        <is>
          <t>1400120001</t>
        </is>
      </c>
      <c r="E739" s="26" t="inlineStr">
        <is>
          <t>Cordillera Administrative Region (CAR)</t>
        </is>
      </c>
      <c r="F739" s="26" t="inlineStr">
        <is>
          <t>Abra</t>
        </is>
      </c>
      <c r="G739" s="26" t="inlineStr">
        <is>
          <t>Sallapadan</t>
        </is>
      </c>
      <c r="H739" s="26" t="inlineStr">
        <is>
          <t>Bazar</t>
        </is>
      </c>
      <c r="I739" s="27" t="n">
        <v>17.465605</v>
      </c>
      <c r="J739" s="27" t="n">
        <v>120.812733</v>
      </c>
      <c r="K739" s="10" t="inlineStr">
        <is>
          <t>R</t>
        </is>
      </c>
      <c r="L739" s="12" t="n">
        <v>506</v>
      </c>
      <c r="M739" s="14" t="n">
        <v>3.8</v>
      </c>
      <c r="N739" s="12">
        <f>ROUND(L739/M739, 0)</f>
        <v/>
      </c>
      <c r="O739" s="12">
        <f>ROUND(N739*'Methodology &amp; Assumptions'!$B$5, 0)</f>
        <v/>
      </c>
      <c r="P739" s="10" t="inlineStr">
        <is>
          <t>Single Carrier (Band n50, 100MHz TDD)</t>
        </is>
      </c>
      <c r="Q739" s="13">
        <f>ROUNDUP(O739/'Methodology &amp; Assumptions'!$B$6, 0)</f>
        <v/>
      </c>
      <c r="R739" s="13" t="n">
        <v>1</v>
      </c>
      <c r="S739" s="14" t="n">
        <v>24.92</v>
      </c>
      <c r="T739" s="14" t="n">
        <v>23.81</v>
      </c>
      <c r="U739" s="26">
        <f>IF(X739&gt;='Methodology &amp; Assumptions'!$B$7, "Tier 1 Critical GIDA (Score ≥ 50.0)", IF(X739&gt;='Methodology &amp; Assumptions'!$B$8, "Tier 2 High GIDA (Score 40.0–49.9)", "Tier 3 Moderate GIDA (Score &lt; 40.0)"))</f>
        <v/>
      </c>
      <c r="V739" s="26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W739" s="28" t="n">
        <v>0.109</v>
      </c>
      <c r="X739" s="14" t="n">
        <v>49.67</v>
      </c>
      <c r="Y739" s="14">
        <f>ROUND(MIN(100, (X739/69.91)*100), 2)</f>
        <v/>
      </c>
    </row>
    <row r="740">
      <c r="A740" s="10" t="n">
        <v>2</v>
      </c>
      <c r="B740" s="10" t="n">
        <v>736</v>
      </c>
      <c r="C740" s="10" t="n">
        <v>1736</v>
      </c>
      <c r="D740" s="10" t="inlineStr">
        <is>
          <t>1381600016</t>
        </is>
      </c>
      <c r="E740" s="26" t="inlineStr">
        <is>
          <t>National Capital Region (NCR)</t>
        </is>
      </c>
      <c r="F740" s="26" t="inlineStr">
        <is>
          <t>Third District (Not a Province)</t>
        </is>
      </c>
      <c r="G740" s="26" t="inlineStr">
        <is>
          <t>City of Valenzuela</t>
        </is>
      </c>
      <c r="H740" s="26" t="inlineStr">
        <is>
          <t>Malanday</t>
        </is>
      </c>
      <c r="I740" s="27" t="n">
        <v>14.717029</v>
      </c>
      <c r="J740" s="27" t="n">
        <v>120.955567</v>
      </c>
      <c r="K740" s="10" t="inlineStr">
        <is>
          <t>U</t>
        </is>
      </c>
      <c r="L740" s="12" t="n">
        <v>19332</v>
      </c>
      <c r="M740" s="14" t="n">
        <v>3.5</v>
      </c>
      <c r="N740" s="12">
        <f>ROUND(L740/M740, 0)</f>
        <v/>
      </c>
      <c r="O740" s="12">
        <f>ROUND(N740*'Methodology &amp; Assumptions'!$B$5, 0)</f>
        <v/>
      </c>
      <c r="P740" s="10" t="inlineStr">
        <is>
          <t>Single Carrier (Band n50, 100MHz TDD)</t>
        </is>
      </c>
      <c r="Q740" s="13">
        <f>ROUNDUP(O740/'Methodology &amp; Assumptions'!$B$6, 0)</f>
        <v/>
      </c>
      <c r="R740" s="13" t="n">
        <v>1</v>
      </c>
      <c r="S740" s="14" t="n">
        <v>1.03</v>
      </c>
      <c r="T740" s="14" t="n">
        <v>0.18</v>
      </c>
      <c r="U740" s="26">
        <f>IF(X740&gt;='Methodology &amp; Assumptions'!$B$7, "Tier 1 Critical GIDA (Score ≥ 50.0)", IF(X740&gt;='Methodology &amp; Assumptions'!$B$8, "Tier 2 High GIDA (Score 40.0–49.9)", "Tier 3 Moderate GIDA (Score &lt; 40.0)"))</f>
        <v/>
      </c>
      <c r="V740" s="26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W740" s="28" t="n">
        <v>0.109</v>
      </c>
      <c r="X740" s="14" t="n">
        <v>49.67</v>
      </c>
      <c r="Y740" s="14">
        <f>ROUND(MIN(100, (X740/69.91)*100), 2)</f>
        <v/>
      </c>
    </row>
    <row r="741">
      <c r="A741" s="10" t="n">
        <v>2</v>
      </c>
      <c r="B741" s="10" t="n">
        <v>737</v>
      </c>
      <c r="C741" s="10" t="n">
        <v>1737</v>
      </c>
      <c r="D741" s="10" t="inlineStr">
        <is>
          <t>1381701009</t>
        </is>
      </c>
      <c r="E741" s="26" t="inlineStr">
        <is>
          <t>National Capital Region (NCR)</t>
        </is>
      </c>
      <c r="F741" s="26" t="inlineStr">
        <is>
          <t>Fourth District (Not a Province)</t>
        </is>
      </c>
      <c r="G741" s="26" t="inlineStr">
        <is>
          <t>Pateros</t>
        </is>
      </c>
      <c r="H741" s="26" t="inlineStr">
        <is>
          <t>Santo Rosario-Silangan</t>
        </is>
      </c>
      <c r="I741" s="27" t="n">
        <v>14.546491</v>
      </c>
      <c r="J741" s="27" t="n">
        <v>121.061554</v>
      </c>
      <c r="K741" s="10" t="inlineStr">
        <is>
          <t>U</t>
        </is>
      </c>
      <c r="L741" s="12" t="n">
        <v>4844</v>
      </c>
      <c r="M741" s="14" t="n">
        <v>3.8</v>
      </c>
      <c r="N741" s="12">
        <f>ROUND(L741/M741, 0)</f>
        <v/>
      </c>
      <c r="O741" s="12">
        <f>ROUND(N741*'Methodology &amp; Assumptions'!$B$5, 0)</f>
        <v/>
      </c>
      <c r="P741" s="10" t="inlineStr">
        <is>
          <t>Single Carrier (Band n50, 100MHz TDD)</t>
        </is>
      </c>
      <c r="Q741" s="13">
        <f>ROUNDUP(O741/'Methodology &amp; Assumptions'!$B$6, 0)</f>
        <v/>
      </c>
      <c r="R741" s="13" t="n">
        <v>1</v>
      </c>
      <c r="S741" s="14" t="n">
        <v>0.76</v>
      </c>
      <c r="T741" s="14" t="n">
        <v>0.23</v>
      </c>
      <c r="U741" s="26">
        <f>IF(X741&gt;='Methodology &amp; Assumptions'!$B$7, "Tier 1 Critical GIDA (Score ≥ 50.0)", IF(X741&gt;='Methodology &amp; Assumptions'!$B$8, "Tier 2 High GIDA (Score 40.0–49.9)", "Tier 3 Moderate GIDA (Score &lt; 40.0)"))</f>
        <v/>
      </c>
      <c r="V741" s="26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W741" s="28" t="n">
        <v>0.109</v>
      </c>
      <c r="X741" s="14" t="n">
        <v>49.66</v>
      </c>
      <c r="Y741" s="14">
        <f>ROUND(MIN(100, (X741/69.91)*100), 2)</f>
        <v/>
      </c>
    </row>
    <row r="742">
      <c r="A742" s="10" t="n">
        <v>2</v>
      </c>
      <c r="B742" s="10" t="n">
        <v>738</v>
      </c>
      <c r="C742" s="10" t="n">
        <v>1738</v>
      </c>
      <c r="D742" s="10" t="inlineStr">
        <is>
          <t>1381100080</t>
        </is>
      </c>
      <c r="E742" s="26" t="inlineStr">
        <is>
          <t>National Capital Region (NCR)</t>
        </is>
      </c>
      <c r="F742" s="26" t="inlineStr">
        <is>
          <t>Fourth District (Not a Province)</t>
        </is>
      </c>
      <c r="G742" s="26" t="inlineStr">
        <is>
          <t>Pasay City</t>
        </is>
      </c>
      <c r="H742" s="26" t="inlineStr">
        <is>
          <t>Barangay 80</t>
        </is>
      </c>
      <c r="I742" s="27" t="n">
        <v>14.480263</v>
      </c>
      <c r="J742" s="27" t="n">
        <v>121.056293</v>
      </c>
      <c r="K742" s="10" t="inlineStr">
        <is>
          <t>U</t>
        </is>
      </c>
      <c r="L742" s="12" t="n">
        <v>1242</v>
      </c>
      <c r="M742" s="14" t="n">
        <v>3.4</v>
      </c>
      <c r="N742" s="12">
        <f>ROUND(L742/M742, 0)</f>
        <v/>
      </c>
      <c r="O742" s="12">
        <f>ROUND(N742*'Methodology &amp; Assumptions'!$B$5, 0)</f>
        <v/>
      </c>
      <c r="P742" s="10" t="inlineStr">
        <is>
          <t>Single Carrier (Band n50, 100MHz TDD)</t>
        </is>
      </c>
      <c r="Q742" s="13">
        <f>ROUNDUP(O742/'Methodology &amp; Assumptions'!$B$6, 0)</f>
        <v/>
      </c>
      <c r="R742" s="13" t="n">
        <v>1</v>
      </c>
      <c r="S742" s="14" t="n">
        <v>0.85</v>
      </c>
      <c r="T742" s="14" t="n">
        <v>0.17</v>
      </c>
      <c r="U742" s="26">
        <f>IF(X742&gt;='Methodology &amp; Assumptions'!$B$7, "Tier 1 Critical GIDA (Score ≥ 50.0)", IF(X742&gt;='Methodology &amp; Assumptions'!$B$8, "Tier 2 High GIDA (Score 40.0–49.9)", "Tier 3 Moderate GIDA (Score &lt; 40.0)"))</f>
        <v/>
      </c>
      <c r="V742" s="26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W742" s="28" t="n">
        <v>0.109</v>
      </c>
      <c r="X742" s="14" t="n">
        <v>49.66</v>
      </c>
      <c r="Y742" s="14">
        <f>ROUND(MIN(100, (X742/69.91)*100), 2)</f>
        <v/>
      </c>
    </row>
    <row r="743">
      <c r="A743" s="10" t="n">
        <v>2</v>
      </c>
      <c r="B743" s="10" t="n">
        <v>739</v>
      </c>
      <c r="C743" s="10" t="n">
        <v>1739</v>
      </c>
      <c r="D743" s="10" t="inlineStr">
        <is>
          <t>1381100050</t>
        </is>
      </c>
      <c r="E743" s="26" t="inlineStr">
        <is>
          <t>National Capital Region (NCR)</t>
        </is>
      </c>
      <c r="F743" s="26" t="inlineStr">
        <is>
          <t>Fourth District (Not a Province)</t>
        </is>
      </c>
      <c r="G743" s="26" t="inlineStr">
        <is>
          <t>Pasay City</t>
        </is>
      </c>
      <c r="H743" s="26" t="inlineStr">
        <is>
          <t>Barangay 50</t>
        </is>
      </c>
      <c r="I743" s="27" t="n">
        <v>14.551429</v>
      </c>
      <c r="J743" s="27" t="n">
        <v>120.92123</v>
      </c>
      <c r="K743" s="10" t="inlineStr">
        <is>
          <t>U</t>
        </is>
      </c>
      <c r="L743" s="12" t="n">
        <v>492</v>
      </c>
      <c r="M743" s="14" t="n">
        <v>3.4</v>
      </c>
      <c r="N743" s="12">
        <f>ROUND(L743/M743, 0)</f>
        <v/>
      </c>
      <c r="O743" s="12">
        <f>ROUND(N743*'Methodology &amp; Assumptions'!$B$5, 0)</f>
        <v/>
      </c>
      <c r="P743" s="10" t="inlineStr">
        <is>
          <t>Single Carrier (Band n50, 100MHz TDD)</t>
        </is>
      </c>
      <c r="Q743" s="13">
        <f>ROUNDUP(O743/'Methodology &amp; Assumptions'!$B$6, 0)</f>
        <v/>
      </c>
      <c r="R743" s="13" t="n">
        <v>1</v>
      </c>
      <c r="S743" s="14" t="n">
        <v>6.4</v>
      </c>
      <c r="T743" s="14" t="n">
        <v>7.61</v>
      </c>
      <c r="U743" s="26">
        <f>IF(X743&gt;='Methodology &amp; Assumptions'!$B$7, "Tier 1 Critical GIDA (Score ≥ 50.0)", IF(X743&gt;='Methodology &amp; Assumptions'!$B$8, "Tier 2 High GIDA (Score 40.0–49.9)", "Tier 3 Moderate GIDA (Score &lt; 40.0)"))</f>
        <v/>
      </c>
      <c r="V743" s="26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W743" s="28" t="n">
        <v>0.109</v>
      </c>
      <c r="X743" s="14" t="n">
        <v>49.66</v>
      </c>
      <c r="Y743" s="14">
        <f>ROUND(MIN(100, (X743/69.91)*100), 2)</f>
        <v/>
      </c>
    </row>
    <row r="744">
      <c r="A744" s="10" t="n">
        <v>2</v>
      </c>
      <c r="B744" s="10" t="n">
        <v>740</v>
      </c>
      <c r="C744" s="10" t="n">
        <v>1740</v>
      </c>
      <c r="D744" s="10" t="inlineStr">
        <is>
          <t>1705304006</t>
        </is>
      </c>
      <c r="E744" s="26" t="inlineStr">
        <is>
          <t>MIMAROPA Region</t>
        </is>
      </c>
      <c r="F744" s="26" t="inlineStr">
        <is>
          <t>Palawan</t>
        </is>
      </c>
      <c r="G744" s="26" t="inlineStr">
        <is>
          <t>Balabac</t>
        </is>
      </c>
      <c r="H744" s="26" t="inlineStr">
        <is>
          <t>Catagupan</t>
        </is>
      </c>
      <c r="I744" s="27" t="n">
        <v>7.980702</v>
      </c>
      <c r="J744" s="27" t="n">
        <v>116.971872</v>
      </c>
      <c r="K744" s="10" t="inlineStr">
        <is>
          <t>R</t>
        </is>
      </c>
      <c r="L744" s="12" t="n">
        <v>3097</v>
      </c>
      <c r="M744" s="14" t="n">
        <v>3.9</v>
      </c>
      <c r="N744" s="12">
        <f>ROUND(L744/M744, 0)</f>
        <v/>
      </c>
      <c r="O744" s="12">
        <f>ROUND(N744*'Methodology &amp; Assumptions'!$B$5, 0)</f>
        <v/>
      </c>
      <c r="P744" s="10" t="inlineStr">
        <is>
          <t>Single Carrier (Band n50, 100MHz TDD)</t>
        </is>
      </c>
      <c r="Q744" s="13">
        <f>ROUNDUP(O744/'Methodology &amp; Assumptions'!$B$6, 0)</f>
        <v/>
      </c>
      <c r="R744" s="13" t="n">
        <v>1</v>
      </c>
      <c r="S744" s="14" t="n">
        <v>275.24</v>
      </c>
      <c r="T744" s="14" t="n">
        <v>999</v>
      </c>
      <c r="U744" s="26">
        <f>IF(X744&gt;='Methodology &amp; Assumptions'!$B$7, "Tier 1 Critical GIDA (Score ≥ 50.0)", IF(X744&gt;='Methodology &amp; Assumptions'!$B$8, "Tier 2 High GIDA (Score 40.0–49.9)", "Tier 3 Moderate GIDA (Score &lt; 40.0)"))</f>
        <v/>
      </c>
      <c r="V744" s="26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W744" s="28" t="n">
        <v>0.15</v>
      </c>
      <c r="X744" s="14" t="n">
        <v>49.66</v>
      </c>
      <c r="Y744" s="14">
        <f>ROUND(MIN(100, (X744/69.91)*100), 2)</f>
        <v/>
      </c>
    </row>
    <row r="745">
      <c r="A745" s="10" t="n">
        <v>2</v>
      </c>
      <c r="B745" s="10" t="n">
        <v>741</v>
      </c>
      <c r="C745" s="10" t="n">
        <v>1741</v>
      </c>
      <c r="D745" s="10" t="inlineStr">
        <is>
          <t>1908806022</t>
        </is>
      </c>
      <c r="E745" s="26" t="inlineStr">
        <is>
          <t>Bangsamoro Autonomous Region In Muslim Mindanao (BARMM)</t>
        </is>
      </c>
      <c r="F745" s="26" t="inlineStr">
        <is>
          <t>Maguindanao del Sur</t>
        </is>
      </c>
      <c r="G745" s="26" t="inlineStr">
        <is>
          <t>Datu Paglas</t>
        </is>
      </c>
      <c r="H745" s="26" t="inlineStr">
        <is>
          <t>Salendab</t>
        </is>
      </c>
      <c r="I745" s="27" t="n">
        <v>17.255237</v>
      </c>
      <c r="J745" s="27" t="n">
        <v>122.229281</v>
      </c>
      <c r="K745" s="10" t="inlineStr">
        <is>
          <t>R</t>
        </is>
      </c>
      <c r="L745" s="12" t="n">
        <v>1199</v>
      </c>
      <c r="M745" s="14" t="n">
        <v>4.7</v>
      </c>
      <c r="N745" s="12">
        <f>ROUND(L745/M745, 0)</f>
        <v/>
      </c>
      <c r="O745" s="12">
        <f>ROUND(N745*'Methodology &amp; Assumptions'!$B$5, 0)</f>
        <v/>
      </c>
      <c r="P745" s="10" t="inlineStr">
        <is>
          <t>Single Carrier (Band n50, 100MHz TDD)</t>
        </is>
      </c>
      <c r="Q745" s="13">
        <f>ROUNDUP(O745/'Methodology &amp; Assumptions'!$B$6, 0)</f>
        <v/>
      </c>
      <c r="R745" s="13" t="n">
        <v>1</v>
      </c>
      <c r="S745" s="14" t="n">
        <v>29.48</v>
      </c>
      <c r="T745" s="14" t="n">
        <v>34.35</v>
      </c>
      <c r="U745" s="26">
        <f>IF(X745&gt;='Methodology &amp; Assumptions'!$B$7, "Tier 1 Critical GIDA (Score ≥ 50.0)", IF(X745&gt;='Methodology &amp; Assumptions'!$B$8, "Tier 2 High GIDA (Score 40.0–49.9)", "Tier 3 Moderate GIDA (Score &lt; 40.0)"))</f>
        <v/>
      </c>
      <c r="V745" s="26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W745" s="28" t="n">
        <v>0.11</v>
      </c>
      <c r="X745" s="14" t="n">
        <v>49.66</v>
      </c>
      <c r="Y745" s="14">
        <f>ROUND(MIN(100, (X745/69.91)*100), 2)</f>
        <v/>
      </c>
    </row>
    <row r="746">
      <c r="A746" s="10" t="n">
        <v>2</v>
      </c>
      <c r="B746" s="10" t="n">
        <v>742</v>
      </c>
      <c r="C746" s="10" t="n">
        <v>1742</v>
      </c>
      <c r="D746" s="10" t="inlineStr">
        <is>
          <t>1380500012</t>
        </is>
      </c>
      <c r="E746" s="26" t="inlineStr">
        <is>
          <t>National Capital Region (NCR)</t>
        </is>
      </c>
      <c r="F746" s="26" t="inlineStr">
        <is>
          <t>Second District (Not a Province)</t>
        </is>
      </c>
      <c r="G746" s="26" t="inlineStr">
        <is>
          <t>City of Mandaluyong</t>
        </is>
      </c>
      <c r="H746" s="26" t="inlineStr">
        <is>
          <t>Harapin Ang Bukas</t>
        </is>
      </c>
      <c r="I746" s="27" t="n">
        <v>14.585157</v>
      </c>
      <c r="J746" s="27" t="n">
        <v>121.0408</v>
      </c>
      <c r="K746" s="10" t="inlineStr">
        <is>
          <t>U</t>
        </is>
      </c>
      <c r="L746" s="12" t="n">
        <v>4644</v>
      </c>
      <c r="M746" s="14" t="n">
        <v>3.3</v>
      </c>
      <c r="N746" s="12">
        <f>ROUND(L746/M746, 0)</f>
        <v/>
      </c>
      <c r="O746" s="12">
        <f>ROUND(N746*'Methodology &amp; Assumptions'!$B$5, 0)</f>
        <v/>
      </c>
      <c r="P746" s="10" t="inlineStr">
        <is>
          <t>Single Carrier (Band n50, 100MHz TDD)</t>
        </is>
      </c>
      <c r="Q746" s="13">
        <f>ROUNDUP(O746/'Methodology &amp; Assumptions'!$B$6, 0)</f>
        <v/>
      </c>
      <c r="R746" s="13" t="n">
        <v>1</v>
      </c>
      <c r="S746" s="14" t="n">
        <v>0.58</v>
      </c>
      <c r="T746" s="14" t="n">
        <v>0.28</v>
      </c>
      <c r="U746" s="26">
        <f>IF(X746&gt;='Methodology &amp; Assumptions'!$B$7, "Tier 1 Critical GIDA (Score ≥ 50.0)", IF(X746&gt;='Methodology &amp; Assumptions'!$B$8, "Tier 2 High GIDA (Score 40.0–49.9)", "Tier 3 Moderate GIDA (Score &lt; 40.0)"))</f>
        <v/>
      </c>
      <c r="V746" s="26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W746" s="28" t="n">
        <v>0.109</v>
      </c>
      <c r="X746" s="14" t="n">
        <v>49.65</v>
      </c>
      <c r="Y746" s="14">
        <f>ROUND(MIN(100, (X746/69.91)*100), 2)</f>
        <v/>
      </c>
    </row>
    <row r="747">
      <c r="A747" s="10" t="n">
        <v>2</v>
      </c>
      <c r="B747" s="10" t="n">
        <v>743</v>
      </c>
      <c r="C747" s="10" t="n">
        <v>1743</v>
      </c>
      <c r="D747" s="10" t="inlineStr">
        <is>
          <t>0102806007</t>
        </is>
      </c>
      <c r="E747" s="26" t="inlineStr">
        <is>
          <t>Region I (Ilocos Region)</t>
        </is>
      </c>
      <c r="F747" s="26" t="inlineStr">
        <is>
          <t>Ilocos Norte</t>
        </is>
      </c>
      <c r="G747" s="26" t="inlineStr">
        <is>
          <t>Burgos</t>
        </is>
      </c>
      <c r="H747" s="26" t="inlineStr">
        <is>
          <t>Buduan</t>
        </is>
      </c>
      <c r="I747" s="27" t="n">
        <v>18.501391</v>
      </c>
      <c r="J747" s="27" t="n">
        <v>120.630915</v>
      </c>
      <c r="K747" s="10" t="inlineStr">
        <is>
          <t>R</t>
        </is>
      </c>
      <c r="L747" s="12" t="n">
        <v>954</v>
      </c>
      <c r="M747" s="14" t="n">
        <v>3.7</v>
      </c>
      <c r="N747" s="12">
        <f>ROUND(L747/M747, 0)</f>
        <v/>
      </c>
      <c r="O747" s="12">
        <f>ROUND(N747*'Methodology &amp; Assumptions'!$B$5, 0)</f>
        <v/>
      </c>
      <c r="P747" s="10" t="inlineStr">
        <is>
          <t>Single Carrier (Band n50, 100MHz TDD)</t>
        </is>
      </c>
      <c r="Q747" s="13">
        <f>ROUNDUP(O747/'Methodology &amp; Assumptions'!$B$6, 0)</f>
        <v/>
      </c>
      <c r="R747" s="13" t="n">
        <v>1</v>
      </c>
      <c r="S747" s="14" t="n">
        <v>2.15</v>
      </c>
      <c r="T747" s="14" t="n">
        <v>1.12</v>
      </c>
      <c r="U747" s="26">
        <f>IF(X747&gt;='Methodology &amp; Assumptions'!$B$7, "Tier 1 Critical GIDA (Score ≥ 50.0)", IF(X747&gt;='Methodology &amp; Assumptions'!$B$8, "Tier 2 High GIDA (Score 40.0–49.9)", "Tier 3 Moderate GIDA (Score &lt; 40.0)"))</f>
        <v/>
      </c>
      <c r="V747" s="26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W747" s="28" t="n">
        <v>0.083</v>
      </c>
      <c r="X747" s="14" t="n">
        <v>49.65</v>
      </c>
      <c r="Y747" s="14">
        <f>ROUND(MIN(100, (X747/69.91)*100), 2)</f>
        <v/>
      </c>
    </row>
    <row r="748">
      <c r="A748" s="10" t="n">
        <v>2</v>
      </c>
      <c r="B748" s="10" t="n">
        <v>744</v>
      </c>
      <c r="C748" s="10" t="n">
        <v>1744</v>
      </c>
      <c r="D748" s="10" t="inlineStr">
        <is>
          <t>0806022014</t>
        </is>
      </c>
      <c r="E748" s="26" t="inlineStr">
        <is>
          <t>Region VIII (Eastern Visayas)</t>
        </is>
      </c>
      <c r="F748" s="26" t="inlineStr">
        <is>
          <t>Samar</t>
        </is>
      </c>
      <c r="G748" s="26" t="inlineStr">
        <is>
          <t>Paranas</t>
        </is>
      </c>
      <c r="H748" s="26" t="inlineStr">
        <is>
          <t>Cawayan</t>
        </is>
      </c>
      <c r="I748" s="27" t="n">
        <v>11.79212</v>
      </c>
      <c r="J748" s="27" t="n">
        <v>125.03221</v>
      </c>
      <c r="K748" s="10" t="inlineStr">
        <is>
          <t>R</t>
        </is>
      </c>
      <c r="L748" s="12" t="n">
        <v>351</v>
      </c>
      <c r="M748" s="14" t="n">
        <v>4.1</v>
      </c>
      <c r="N748" s="12">
        <f>ROUND(L748/M748, 0)</f>
        <v/>
      </c>
      <c r="O748" s="12">
        <f>ROUND(N748*'Methodology &amp; Assumptions'!$B$5, 0)</f>
        <v/>
      </c>
      <c r="P748" s="10" t="inlineStr">
        <is>
          <t>Single Carrier (Band n50, 100MHz TDD)</t>
        </is>
      </c>
      <c r="Q748" s="13">
        <f>ROUNDUP(O748/'Methodology &amp; Assumptions'!$B$6, 0)</f>
        <v/>
      </c>
      <c r="R748" s="13" t="n">
        <v>1</v>
      </c>
      <c r="S748" s="14" t="n">
        <v>61.52</v>
      </c>
      <c r="T748" s="14" t="n">
        <v>64.5</v>
      </c>
      <c r="U748" s="26">
        <f>IF(X748&gt;='Methodology &amp; Assumptions'!$B$7, "Tier 1 Critical GIDA (Score ≥ 50.0)", IF(X748&gt;='Methodology &amp; Assumptions'!$B$8, "Tier 2 High GIDA (Score 40.0–49.9)", "Tier 3 Moderate GIDA (Score &lt; 40.0)"))</f>
        <v/>
      </c>
      <c r="V748" s="26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W748" s="28" t="n">
        <v>0.237</v>
      </c>
      <c r="X748" s="14" t="n">
        <v>49.65</v>
      </c>
      <c r="Y748" s="14">
        <f>ROUND(MIN(100, (X748/69.91)*100), 2)</f>
        <v/>
      </c>
    </row>
    <row r="749">
      <c r="A749" s="10" t="n">
        <v>2</v>
      </c>
      <c r="B749" s="10" t="n">
        <v>745</v>
      </c>
      <c r="C749" s="10" t="n">
        <v>1745</v>
      </c>
      <c r="D749" s="10" t="inlineStr">
        <is>
          <t>PH0001745</t>
        </is>
      </c>
      <c r="E749" s="26" t="inlineStr">
        <is>
          <t>CAR</t>
        </is>
      </c>
      <c r="F749" s="26" t="inlineStr">
        <is>
          <t>Benguet</t>
        </is>
      </c>
      <c r="G749" s="26" t="inlineStr">
        <is>
          <t>Baguio City</t>
        </is>
      </c>
      <c r="H749" s="26" t="inlineStr">
        <is>
          <t>Camdas Subdivision</t>
        </is>
      </c>
      <c r="I749" s="27" t="n">
        <v>16.398084</v>
      </c>
      <c r="J749" s="27" t="n">
        <v>120.59257</v>
      </c>
      <c r="K749" s="10" t="inlineStr">
        <is>
          <t>R</t>
        </is>
      </c>
      <c r="L749" s="12" t="n">
        <v>2260</v>
      </c>
      <c r="M749" s="14" t="n">
        <v>3.5</v>
      </c>
      <c r="N749" s="12">
        <f>ROUND(L749/M749, 0)</f>
        <v/>
      </c>
      <c r="O749" s="12">
        <f>ROUND(N749*'Methodology &amp; Assumptions'!$B$5, 0)</f>
        <v/>
      </c>
      <c r="P749" s="10" t="inlineStr">
        <is>
          <t>Single Carrier (Band n50, 100MHz TDD)</t>
        </is>
      </c>
      <c r="Q749" s="13">
        <f>ROUNDUP(O749/'Methodology &amp; Assumptions'!$B$6, 0)</f>
        <v/>
      </c>
      <c r="R749" s="13" t="n">
        <v>1</v>
      </c>
      <c r="S749" s="14" t="n">
        <v>0.65</v>
      </c>
      <c r="T749" s="14" t="n">
        <v>0.39</v>
      </c>
      <c r="U749" s="26">
        <f>IF(X749&gt;='Methodology &amp; Assumptions'!$B$7, "Tier 1 Critical GIDA (Score ≥ 50.0)", IF(X749&gt;='Methodology &amp; Assumptions'!$B$8, "Tier 2 High GIDA (Score 40.0–49.9)", "Tier 3 Moderate GIDA (Score &lt; 40.0)"))</f>
        <v/>
      </c>
      <c r="V749" s="26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W749" s="28" t="n">
        <v>0.221</v>
      </c>
      <c r="X749" s="14" t="n">
        <v>49.65</v>
      </c>
      <c r="Y749" s="14">
        <f>ROUND(MIN(100, (X749/69.91)*100), 2)</f>
        <v/>
      </c>
    </row>
    <row r="750">
      <c r="A750" s="10" t="n">
        <v>2</v>
      </c>
      <c r="B750" s="10" t="n">
        <v>746</v>
      </c>
      <c r="C750" s="10" t="n">
        <v>1746</v>
      </c>
      <c r="D750" s="10" t="inlineStr">
        <is>
          <t>PH0001746</t>
        </is>
      </c>
      <c r="E750" s="26" t="inlineStr">
        <is>
          <t>CAR</t>
        </is>
      </c>
      <c r="F750" s="26" t="inlineStr">
        <is>
          <t>Benguet</t>
        </is>
      </c>
      <c r="G750" s="26" t="inlineStr">
        <is>
          <t>Baguio City</t>
        </is>
      </c>
      <c r="H750" s="26" t="inlineStr">
        <is>
          <t>Magsaysay, Lower</t>
        </is>
      </c>
      <c r="I750" s="27" t="n">
        <v>16.415672</v>
      </c>
      <c r="J750" s="27" t="n">
        <v>120.588403</v>
      </c>
      <c r="K750" s="10" t="inlineStr">
        <is>
          <t>R</t>
        </is>
      </c>
      <c r="L750" s="12" t="n">
        <v>2260</v>
      </c>
      <c r="M750" s="14" t="n">
        <v>3.5</v>
      </c>
      <c r="N750" s="12">
        <f>ROUND(L750/M750, 0)</f>
        <v/>
      </c>
      <c r="O750" s="12">
        <f>ROUND(N750*'Methodology &amp; Assumptions'!$B$5, 0)</f>
        <v/>
      </c>
      <c r="P750" s="10" t="inlineStr">
        <is>
          <t>Single Carrier (Band n50, 100MHz TDD)</t>
        </is>
      </c>
      <c r="Q750" s="13">
        <f>ROUNDUP(O750/'Methodology &amp; Assumptions'!$B$6, 0)</f>
        <v/>
      </c>
      <c r="R750" s="13" t="n">
        <v>1</v>
      </c>
      <c r="S750" s="14" t="n">
        <v>0.1</v>
      </c>
      <c r="T750" s="14" t="n">
        <v>0.27</v>
      </c>
      <c r="U750" s="26">
        <f>IF(X750&gt;='Methodology &amp; Assumptions'!$B$7, "Tier 1 Critical GIDA (Score ≥ 50.0)", IF(X750&gt;='Methodology &amp; Assumptions'!$B$8, "Tier 2 High GIDA (Score 40.0–49.9)", "Tier 3 Moderate GIDA (Score &lt; 40.0)"))</f>
        <v/>
      </c>
      <c r="V750" s="26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W750" s="28" t="n">
        <v>0.221</v>
      </c>
      <c r="X750" s="14" t="n">
        <v>49.65</v>
      </c>
      <c r="Y750" s="14">
        <f>ROUND(MIN(100, (X750/69.91)*100), 2)</f>
        <v/>
      </c>
    </row>
    <row r="751">
      <c r="A751" s="10" t="n">
        <v>2</v>
      </c>
      <c r="B751" s="10" t="n">
        <v>747</v>
      </c>
      <c r="C751" s="10" t="n">
        <v>1747</v>
      </c>
      <c r="D751" s="10" t="inlineStr">
        <is>
          <t>1381000001</t>
        </is>
      </c>
      <c r="E751" s="26" t="inlineStr">
        <is>
          <t>National Capital Region (NCR)</t>
        </is>
      </c>
      <c r="F751" s="26" t="inlineStr">
        <is>
          <t>Fourth District (Not a Province)</t>
        </is>
      </c>
      <c r="G751" s="26" t="inlineStr">
        <is>
          <t>City of Parañaque</t>
        </is>
      </c>
      <c r="H751" s="26" t="inlineStr">
        <is>
          <t>Baclaran</t>
        </is>
      </c>
      <c r="I751" s="27" t="n">
        <v>14.529751</v>
      </c>
      <c r="J751" s="27" t="n">
        <v>120.99888</v>
      </c>
      <c r="K751" s="10" t="inlineStr">
        <is>
          <t>U</t>
        </is>
      </c>
      <c r="L751" s="12" t="n">
        <v>34500</v>
      </c>
      <c r="M751" s="14" t="n">
        <v>3.2</v>
      </c>
      <c r="N751" s="12">
        <f>ROUND(L751/M751, 0)</f>
        <v/>
      </c>
      <c r="O751" s="12">
        <f>ROUND(N751*'Methodology &amp; Assumptions'!$B$5, 0)</f>
        <v/>
      </c>
      <c r="P751" s="10" t="inlineStr">
        <is>
          <t>Single Carrier (Band n50, 100MHz TDD)</t>
        </is>
      </c>
      <c r="Q751" s="13">
        <f>ROUNDUP(O751/'Methodology &amp; Assumptions'!$B$6, 0)</f>
        <v/>
      </c>
      <c r="R751" s="13" t="n">
        <v>1</v>
      </c>
      <c r="S751" s="14" t="n">
        <v>0.28</v>
      </c>
      <c r="T751" s="14" t="n">
        <v>0.23</v>
      </c>
      <c r="U751" s="26">
        <f>IF(X751&gt;='Methodology &amp; Assumptions'!$B$7, "Tier 1 Critical GIDA (Score ≥ 50.0)", IF(X751&gt;='Methodology &amp; Assumptions'!$B$8, "Tier 2 High GIDA (Score 40.0–49.9)", "Tier 3 Moderate GIDA (Score &lt; 40.0)"))</f>
        <v/>
      </c>
      <c r="V751" s="26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W751" s="28" t="n">
        <v>0.109</v>
      </c>
      <c r="X751" s="14" t="n">
        <v>49.65</v>
      </c>
      <c r="Y751" s="14">
        <f>ROUND(MIN(100, (X751/69.91)*100), 2)</f>
        <v/>
      </c>
    </row>
    <row r="752">
      <c r="A752" s="10" t="n">
        <v>2</v>
      </c>
      <c r="B752" s="10" t="n">
        <v>748</v>
      </c>
      <c r="C752" s="10" t="n">
        <v>1748</v>
      </c>
      <c r="D752" s="10" t="inlineStr">
        <is>
          <t>1381300088</t>
        </is>
      </c>
      <c r="E752" s="26" t="inlineStr">
        <is>
          <t>National Capital Region (NCR)</t>
        </is>
      </c>
      <c r="F752" s="26" t="inlineStr">
        <is>
          <t>Second District (Not a Province)</t>
        </is>
      </c>
      <c r="G752" s="26" t="inlineStr">
        <is>
          <t>Quezon City</t>
        </is>
      </c>
      <c r="H752" s="26" t="inlineStr">
        <is>
          <t>Quirino 3-A</t>
        </is>
      </c>
      <c r="I752" s="27" t="n">
        <v>14.659991</v>
      </c>
      <c r="J752" s="27" t="n">
        <v>121.049134</v>
      </c>
      <c r="K752" s="10" t="inlineStr">
        <is>
          <t>U</t>
        </is>
      </c>
      <c r="L752" s="12" t="n">
        <v>1115</v>
      </c>
      <c r="M752" s="14" t="n">
        <v>3.8</v>
      </c>
      <c r="N752" s="12">
        <f>ROUND(L752/M752, 0)</f>
        <v/>
      </c>
      <c r="O752" s="12">
        <f>ROUND(N752*'Methodology &amp; Assumptions'!$B$5, 0)</f>
        <v/>
      </c>
      <c r="P752" s="10" t="inlineStr">
        <is>
          <t>Single Carrier (Band n50, 100MHz TDD)</t>
        </is>
      </c>
      <c r="Q752" s="13">
        <f>ROUNDUP(O752/'Methodology &amp; Assumptions'!$B$6, 0)</f>
        <v/>
      </c>
      <c r="R752" s="13" t="n">
        <v>1</v>
      </c>
      <c r="S752" s="14" t="n">
        <v>0.5600000000000001</v>
      </c>
      <c r="T752" s="14" t="n">
        <v>0.24</v>
      </c>
      <c r="U752" s="26">
        <f>IF(X752&gt;='Methodology &amp; Assumptions'!$B$7, "Tier 1 Critical GIDA (Score ≥ 50.0)", IF(X752&gt;='Methodology &amp; Assumptions'!$B$8, "Tier 2 High GIDA (Score 40.0–49.9)", "Tier 3 Moderate GIDA (Score &lt; 40.0)"))</f>
        <v/>
      </c>
      <c r="V752" s="26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W752" s="28" t="n">
        <v>0.109</v>
      </c>
      <c r="X752" s="14" t="n">
        <v>49.65</v>
      </c>
      <c r="Y752" s="14">
        <f>ROUND(MIN(100, (X752/69.91)*100), 2)</f>
        <v/>
      </c>
    </row>
    <row r="753">
      <c r="A753" s="10" t="n">
        <v>2</v>
      </c>
      <c r="B753" s="10" t="n">
        <v>749</v>
      </c>
      <c r="C753" s="10" t="n">
        <v>1749</v>
      </c>
      <c r="D753" s="10" t="inlineStr">
        <is>
          <t>1380610034</t>
        </is>
      </c>
      <c r="E753" s="26" t="inlineStr">
        <is>
          <t>National Capital Region (NCR)</t>
        </is>
      </c>
      <c r="F753" s="26" t="inlineStr">
        <is>
          <t>First District (Not a Province)</t>
        </is>
      </c>
      <c r="G753" s="26" t="inlineStr">
        <is>
          <t>City of Manila</t>
        </is>
      </c>
      <c r="H753" s="26" t="inlineStr">
        <is>
          <t>Barangay 719</t>
        </is>
      </c>
      <c r="I753" s="27" t="n">
        <v>12.646579</v>
      </c>
      <c r="J753" s="27" t="n">
        <v>121.513027</v>
      </c>
      <c r="K753" s="10" t="inlineStr">
        <is>
          <t>U</t>
        </is>
      </c>
      <c r="L753" s="12" t="n">
        <v>6893</v>
      </c>
      <c r="M753" s="14" t="n">
        <v>3.9</v>
      </c>
      <c r="N753" s="12">
        <f>ROUND(L753/M753, 0)</f>
        <v/>
      </c>
      <c r="O753" s="12">
        <f>ROUND(N753*'Methodology &amp; Assumptions'!$B$5, 0)</f>
        <v/>
      </c>
      <c r="P753" s="10" t="inlineStr">
        <is>
          <t>Single Carrier (Band n50, 100MHz TDD)</t>
        </is>
      </c>
      <c r="Q753" s="13">
        <f>ROUNDUP(O753/'Methodology &amp; Assumptions'!$B$6, 0)</f>
        <v/>
      </c>
      <c r="R753" s="13" t="n">
        <v>1</v>
      </c>
      <c r="S753" s="14" t="n">
        <v>6.33</v>
      </c>
      <c r="T753" s="14" t="n">
        <v>2.18</v>
      </c>
      <c r="U753" s="26">
        <f>IF(X753&gt;='Methodology &amp; Assumptions'!$B$7, "Tier 1 Critical GIDA (Score ≥ 50.0)", IF(X753&gt;='Methodology &amp; Assumptions'!$B$8, "Tier 2 High GIDA (Score 40.0–49.9)", "Tier 3 Moderate GIDA (Score &lt; 40.0)"))</f>
        <v/>
      </c>
      <c r="V753" s="26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W753" s="28" t="n">
        <v>0.109</v>
      </c>
      <c r="X753" s="14" t="n">
        <v>49.64</v>
      </c>
      <c r="Y753" s="14">
        <f>ROUND(MIN(100, (X753/69.91)*100), 2)</f>
        <v/>
      </c>
    </row>
    <row r="754">
      <c r="A754" s="10" t="n">
        <v>2</v>
      </c>
      <c r="B754" s="10" t="n">
        <v>750</v>
      </c>
      <c r="C754" s="10" t="n">
        <v>1750</v>
      </c>
      <c r="D754" s="10" t="inlineStr">
        <is>
          <t>1381100044</t>
        </is>
      </c>
      <c r="E754" s="26" t="inlineStr">
        <is>
          <t>National Capital Region (NCR)</t>
        </is>
      </c>
      <c r="F754" s="26" t="inlineStr">
        <is>
          <t>Fourth District (Not a Province)</t>
        </is>
      </c>
      <c r="G754" s="26" t="inlineStr">
        <is>
          <t>Pasay City</t>
        </is>
      </c>
      <c r="H754" s="26" t="inlineStr">
        <is>
          <t>Barangay 44</t>
        </is>
      </c>
      <c r="I754" s="27" t="n">
        <v>14.556742</v>
      </c>
      <c r="J754" s="27" t="n">
        <v>120.997061</v>
      </c>
      <c r="K754" s="10" t="inlineStr">
        <is>
          <t>U</t>
        </is>
      </c>
      <c r="L754" s="12" t="n">
        <v>1457</v>
      </c>
      <c r="M754" s="14" t="n">
        <v>3.4</v>
      </c>
      <c r="N754" s="12">
        <f>ROUND(L754/M754, 0)</f>
        <v/>
      </c>
      <c r="O754" s="12">
        <f>ROUND(N754*'Methodology &amp; Assumptions'!$B$5, 0)</f>
        <v/>
      </c>
      <c r="P754" s="10" t="inlineStr">
        <is>
          <t>Single Carrier (Band n50, 100MHz TDD)</t>
        </is>
      </c>
      <c r="Q754" s="13">
        <f>ROUNDUP(O754/'Methodology &amp; Assumptions'!$B$6, 0)</f>
        <v/>
      </c>
      <c r="R754" s="13" t="n">
        <v>1</v>
      </c>
      <c r="S754" s="14" t="n">
        <v>0.6899999999999999</v>
      </c>
      <c r="T754" s="14" t="n">
        <v>0.06</v>
      </c>
      <c r="U754" s="26">
        <f>IF(X754&gt;='Methodology &amp; Assumptions'!$B$7, "Tier 1 Critical GIDA (Score ≥ 50.0)", IF(X754&gt;='Methodology &amp; Assumptions'!$B$8, "Tier 2 High GIDA (Score 40.0–49.9)", "Tier 3 Moderate GIDA (Score &lt; 40.0)"))</f>
        <v/>
      </c>
      <c r="V754" s="26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W754" s="28" t="n">
        <v>0.109</v>
      </c>
      <c r="X754" s="14" t="n">
        <v>49.64</v>
      </c>
      <c r="Y754" s="14">
        <f>ROUND(MIN(100, (X754/69.91)*100), 2)</f>
        <v/>
      </c>
    </row>
    <row r="755">
      <c r="A755" s="10" t="n">
        <v>2</v>
      </c>
      <c r="B755" s="10" t="n">
        <v>751</v>
      </c>
      <c r="C755" s="10" t="n">
        <v>1751</v>
      </c>
      <c r="D755" s="10" t="inlineStr">
        <is>
          <t>1380601142</t>
        </is>
      </c>
      <c r="E755" s="26" t="inlineStr">
        <is>
          <t>National Capital Region (NCR)</t>
        </is>
      </c>
      <c r="F755" s="26" t="inlineStr">
        <is>
          <t>First District (Not a Province)</t>
        </is>
      </c>
      <c r="G755" s="26" t="inlineStr">
        <is>
          <t>City of Manila</t>
        </is>
      </c>
      <c r="H755" s="26" t="inlineStr">
        <is>
          <t>Barangay 142</t>
        </is>
      </c>
      <c r="I755" s="27" t="n">
        <v>13.224795</v>
      </c>
      <c r="J755" s="27" t="n">
        <v>121.804971</v>
      </c>
      <c r="K755" s="10" t="inlineStr">
        <is>
          <t>U</t>
        </is>
      </c>
      <c r="L755" s="12" t="n">
        <v>1762</v>
      </c>
      <c r="M755" s="14" t="n">
        <v>3.9</v>
      </c>
      <c r="N755" s="12">
        <f>ROUND(L755/M755, 0)</f>
        <v/>
      </c>
      <c r="O755" s="12">
        <f>ROUND(N755*'Methodology &amp; Assumptions'!$B$5, 0)</f>
        <v/>
      </c>
      <c r="P755" s="10" t="inlineStr">
        <is>
          <t>Single Carrier (Band n50, 100MHz TDD)</t>
        </is>
      </c>
      <c r="Q755" s="13">
        <f>ROUNDUP(O755/'Methodology &amp; Assumptions'!$B$6, 0)</f>
        <v/>
      </c>
      <c r="R755" s="13" t="n">
        <v>1</v>
      </c>
      <c r="S755" s="14" t="n">
        <v>36.9</v>
      </c>
      <c r="T755" s="14" t="n">
        <v>40.84</v>
      </c>
      <c r="U755" s="26">
        <f>IF(X755&gt;='Methodology &amp; Assumptions'!$B$7, "Tier 1 Critical GIDA (Score ≥ 50.0)", IF(X755&gt;='Methodology &amp; Assumptions'!$B$8, "Tier 2 High GIDA (Score 40.0–49.9)", "Tier 3 Moderate GIDA (Score &lt; 40.0)"))</f>
        <v/>
      </c>
      <c r="V755" s="26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W755" s="28" t="n">
        <v>0.109</v>
      </c>
      <c r="X755" s="14" t="n">
        <v>49.64</v>
      </c>
      <c r="Y755" s="14">
        <f>ROUND(MIN(100, (X755/69.91)*100), 2)</f>
        <v/>
      </c>
    </row>
    <row r="756">
      <c r="A756" s="10" t="n">
        <v>2</v>
      </c>
      <c r="B756" s="10" t="n">
        <v>752</v>
      </c>
      <c r="C756" s="10" t="n">
        <v>1752</v>
      </c>
      <c r="D756" s="10" t="inlineStr">
        <is>
          <t>1380601224</t>
        </is>
      </c>
      <c r="E756" s="26" t="inlineStr">
        <is>
          <t>National Capital Region (NCR)</t>
        </is>
      </c>
      <c r="F756" s="26" t="inlineStr">
        <is>
          <t>First District (Not a Province)</t>
        </is>
      </c>
      <c r="G756" s="26" t="inlineStr">
        <is>
          <t>City of Manila</t>
        </is>
      </c>
      <c r="H756" s="26" t="inlineStr">
        <is>
          <t>Barangay 223</t>
        </is>
      </c>
      <c r="I756" s="27" t="n">
        <v>12.603801</v>
      </c>
      <c r="J756" s="27" t="n">
        <v>121.991168</v>
      </c>
      <c r="K756" s="10" t="inlineStr">
        <is>
          <t>U</t>
        </is>
      </c>
      <c r="L756" s="12" t="n">
        <v>1678</v>
      </c>
      <c r="M756" s="14" t="n">
        <v>3.9</v>
      </c>
      <c r="N756" s="12">
        <f>ROUND(L756/M756, 0)</f>
        <v/>
      </c>
      <c r="O756" s="12">
        <f>ROUND(N756*'Methodology &amp; Assumptions'!$B$5, 0)</f>
        <v/>
      </c>
      <c r="P756" s="10" t="inlineStr">
        <is>
          <t>Single Carrier (Band n50, 100MHz TDD)</t>
        </is>
      </c>
      <c r="Q756" s="13">
        <f>ROUNDUP(O756/'Methodology &amp; Assumptions'!$B$6, 0)</f>
        <v/>
      </c>
      <c r="R756" s="13" t="n">
        <v>1</v>
      </c>
      <c r="S756" s="14" t="n">
        <v>47.69</v>
      </c>
      <c r="T756" s="14" t="n">
        <v>37.74</v>
      </c>
      <c r="U756" s="26">
        <f>IF(X756&gt;='Methodology &amp; Assumptions'!$B$7, "Tier 1 Critical GIDA (Score ≥ 50.0)", IF(X756&gt;='Methodology &amp; Assumptions'!$B$8, "Tier 2 High GIDA (Score 40.0–49.9)", "Tier 3 Moderate GIDA (Score &lt; 40.0)"))</f>
        <v/>
      </c>
      <c r="V756" s="26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W756" s="28" t="n">
        <v>0.109</v>
      </c>
      <c r="X756" s="14" t="n">
        <v>49.64</v>
      </c>
      <c r="Y756" s="14">
        <f>ROUND(MIN(100, (X756/69.91)*100), 2)</f>
        <v/>
      </c>
    </row>
    <row r="757">
      <c r="A757" s="10" t="n">
        <v>2</v>
      </c>
      <c r="B757" s="10" t="n">
        <v>753</v>
      </c>
      <c r="C757" s="10" t="n">
        <v>1753</v>
      </c>
      <c r="D757" s="10" t="inlineStr">
        <is>
          <t>1380601083</t>
        </is>
      </c>
      <c r="E757" s="26" t="inlineStr">
        <is>
          <t>National Capital Region (NCR)</t>
        </is>
      </c>
      <c r="F757" s="26" t="inlineStr">
        <is>
          <t>First District (Not a Province)</t>
        </is>
      </c>
      <c r="G757" s="26" t="inlineStr">
        <is>
          <t>City of Manila</t>
        </is>
      </c>
      <c r="H757" s="26" t="inlineStr">
        <is>
          <t>Barangay 83</t>
        </is>
      </c>
      <c r="I757" s="27" t="n">
        <v>12.940323</v>
      </c>
      <c r="J757" s="27" t="n">
        <v>121.421318</v>
      </c>
      <c r="K757" s="10" t="inlineStr">
        <is>
          <t>U</t>
        </is>
      </c>
      <c r="L757" s="12" t="n">
        <v>1518</v>
      </c>
      <c r="M757" s="14" t="n">
        <v>3.9</v>
      </c>
      <c r="N757" s="12">
        <f>ROUND(L757/M757, 0)</f>
        <v/>
      </c>
      <c r="O757" s="12">
        <f>ROUND(N757*'Methodology &amp; Assumptions'!$B$5, 0)</f>
        <v/>
      </c>
      <c r="P757" s="10" t="inlineStr">
        <is>
          <t>Single Carrier (Band n50, 100MHz TDD)</t>
        </is>
      </c>
      <c r="Q757" s="13">
        <f>ROUNDUP(O757/'Methodology &amp; Assumptions'!$B$6, 0)</f>
        <v/>
      </c>
      <c r="R757" s="13" t="n">
        <v>1</v>
      </c>
      <c r="S757" s="14" t="n">
        <v>6.45</v>
      </c>
      <c r="T757" s="14" t="n">
        <v>5.34</v>
      </c>
      <c r="U757" s="26">
        <f>IF(X757&gt;='Methodology &amp; Assumptions'!$B$7, "Tier 1 Critical GIDA (Score ≥ 50.0)", IF(X757&gt;='Methodology &amp; Assumptions'!$B$8, "Tier 2 High GIDA (Score 40.0–49.9)", "Tier 3 Moderate GIDA (Score &lt; 40.0)"))</f>
        <v/>
      </c>
      <c r="V757" s="26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W757" s="28" t="n">
        <v>0.109</v>
      </c>
      <c r="X757" s="14" t="n">
        <v>49.64</v>
      </c>
      <c r="Y757" s="14">
        <f>ROUND(MIN(100, (X757/69.91)*100), 2)</f>
        <v/>
      </c>
    </row>
    <row r="758">
      <c r="A758" s="10" t="n">
        <v>2</v>
      </c>
      <c r="B758" s="10" t="n">
        <v>754</v>
      </c>
      <c r="C758" s="10" t="n">
        <v>1754</v>
      </c>
      <c r="D758" s="10" t="inlineStr">
        <is>
          <t>1381100014</t>
        </is>
      </c>
      <c r="E758" s="26" t="inlineStr">
        <is>
          <t>National Capital Region (NCR)</t>
        </is>
      </c>
      <c r="F758" s="26" t="inlineStr">
        <is>
          <t>Fourth District (Not a Province)</t>
        </is>
      </c>
      <c r="G758" s="26" t="inlineStr">
        <is>
          <t>Pasay City</t>
        </is>
      </c>
      <c r="H758" s="26" t="inlineStr">
        <is>
          <t>Barangay 14</t>
        </is>
      </c>
      <c r="I758" s="27" t="n">
        <v>14.587882</v>
      </c>
      <c r="J758" s="27" t="n">
        <v>121.073004</v>
      </c>
      <c r="K758" s="10" t="inlineStr">
        <is>
          <t>U</t>
        </is>
      </c>
      <c r="L758" s="12" t="n">
        <v>4905</v>
      </c>
      <c r="M758" s="14" t="n">
        <v>3.4</v>
      </c>
      <c r="N758" s="12">
        <f>ROUND(L758/M758, 0)</f>
        <v/>
      </c>
      <c r="O758" s="12">
        <f>ROUND(N758*'Methodology &amp; Assumptions'!$B$5, 0)</f>
        <v/>
      </c>
      <c r="P758" s="10" t="inlineStr">
        <is>
          <t>Single Carrier (Band n50, 100MHz TDD)</t>
        </is>
      </c>
      <c r="Q758" s="13">
        <f>ROUNDUP(O758/'Methodology &amp; Assumptions'!$B$6, 0)</f>
        <v/>
      </c>
      <c r="R758" s="13" t="n">
        <v>1</v>
      </c>
      <c r="S758" s="14" t="n">
        <v>1.15</v>
      </c>
      <c r="T758" s="14" t="n">
        <v>0.17</v>
      </c>
      <c r="U758" s="26">
        <f>IF(X758&gt;='Methodology &amp; Assumptions'!$B$7, "Tier 1 Critical GIDA (Score ≥ 50.0)", IF(X758&gt;='Methodology &amp; Assumptions'!$B$8, "Tier 2 High GIDA (Score 40.0–49.9)", "Tier 3 Moderate GIDA (Score &lt; 40.0)"))</f>
        <v/>
      </c>
      <c r="V758" s="26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W758" s="28" t="n">
        <v>0.109</v>
      </c>
      <c r="X758" s="14" t="n">
        <v>49.64</v>
      </c>
      <c r="Y758" s="14">
        <f>ROUND(MIN(100, (X758/69.91)*100), 2)</f>
        <v/>
      </c>
    </row>
    <row r="759">
      <c r="A759" s="10" t="n">
        <v>2</v>
      </c>
      <c r="B759" s="10" t="n">
        <v>755</v>
      </c>
      <c r="C759" s="10" t="n">
        <v>1755</v>
      </c>
      <c r="D759" s="10" t="inlineStr">
        <is>
          <t>1380601218</t>
        </is>
      </c>
      <c r="E759" s="26" t="inlineStr">
        <is>
          <t>National Capital Region (NCR)</t>
        </is>
      </c>
      <c r="F759" s="26" t="inlineStr">
        <is>
          <t>First District (Not a Province)</t>
        </is>
      </c>
      <c r="G759" s="26" t="inlineStr">
        <is>
          <t>City of Manila</t>
        </is>
      </c>
      <c r="H759" s="26" t="inlineStr">
        <is>
          <t>Barangay 217</t>
        </is>
      </c>
      <c r="I759" s="27" t="n">
        <v>13.068003</v>
      </c>
      <c r="J759" s="27" t="n">
        <v>122.077205</v>
      </c>
      <c r="K759" s="10" t="inlineStr">
        <is>
          <t>U</t>
        </is>
      </c>
      <c r="L759" s="12" t="n">
        <v>1301</v>
      </c>
      <c r="M759" s="14" t="n">
        <v>3.9</v>
      </c>
      <c r="N759" s="12">
        <f>ROUND(L759/M759, 0)</f>
        <v/>
      </c>
      <c r="O759" s="12">
        <f>ROUND(N759*'Methodology &amp; Assumptions'!$B$5, 0)</f>
        <v/>
      </c>
      <c r="P759" s="10" t="inlineStr">
        <is>
          <t>Single Carrier (Band n50, 100MHz TDD)</t>
        </is>
      </c>
      <c r="Q759" s="13">
        <f>ROUNDUP(O759/'Methodology &amp; Assumptions'!$B$6, 0)</f>
        <v/>
      </c>
      <c r="R759" s="13" t="n">
        <v>1</v>
      </c>
      <c r="S759" s="14" t="n">
        <v>56.94</v>
      </c>
      <c r="T759" s="14" t="n">
        <v>61.54</v>
      </c>
      <c r="U759" s="26">
        <f>IF(X759&gt;='Methodology &amp; Assumptions'!$B$7, "Tier 1 Critical GIDA (Score ≥ 50.0)", IF(X759&gt;='Methodology &amp; Assumptions'!$B$8, "Tier 2 High GIDA (Score 40.0–49.9)", "Tier 3 Moderate GIDA (Score &lt; 40.0)"))</f>
        <v/>
      </c>
      <c r="V759" s="26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W759" s="28" t="n">
        <v>0.109</v>
      </c>
      <c r="X759" s="14" t="n">
        <v>49.64</v>
      </c>
      <c r="Y759" s="14">
        <f>ROUND(MIN(100, (X759/69.91)*100), 2)</f>
        <v/>
      </c>
    </row>
    <row r="760">
      <c r="A760" s="10" t="n">
        <v>2</v>
      </c>
      <c r="B760" s="10" t="n">
        <v>756</v>
      </c>
      <c r="C760" s="10" t="n">
        <v>1756</v>
      </c>
      <c r="D760" s="10" t="inlineStr">
        <is>
          <t>1380400009</t>
        </is>
      </c>
      <c r="E760" s="26" t="inlineStr">
        <is>
          <t>National Capital Region (NCR)</t>
        </is>
      </c>
      <c r="F760" s="26" t="inlineStr">
        <is>
          <t>Third District (Not a Province)</t>
        </is>
      </c>
      <c r="G760" s="26" t="inlineStr">
        <is>
          <t>City of Malabon</t>
        </is>
      </c>
      <c r="H760" s="26" t="inlineStr">
        <is>
          <t>Ibaba</t>
        </is>
      </c>
      <c r="I760" s="27" t="n">
        <v>14.665422</v>
      </c>
      <c r="J760" s="27" t="n">
        <v>120.950582</v>
      </c>
      <c r="K760" s="10" t="inlineStr">
        <is>
          <t>U</t>
        </is>
      </c>
      <c r="L760" s="12" t="n">
        <v>8240</v>
      </c>
      <c r="M760" s="14" t="n">
        <v>3.7</v>
      </c>
      <c r="N760" s="12">
        <f>ROUND(L760/M760, 0)</f>
        <v/>
      </c>
      <c r="O760" s="12">
        <f>ROUND(N760*'Methodology &amp; Assumptions'!$B$5, 0)</f>
        <v/>
      </c>
      <c r="P760" s="10" t="inlineStr">
        <is>
          <t>Single Carrier (Band n50, 100MHz TDD)</t>
        </is>
      </c>
      <c r="Q760" s="13">
        <f>ROUNDUP(O760/'Methodology &amp; Assumptions'!$B$6, 0)</f>
        <v/>
      </c>
      <c r="R760" s="13" t="n">
        <v>1</v>
      </c>
      <c r="S760" s="14" t="n">
        <v>0.9</v>
      </c>
      <c r="T760" s="14" t="n">
        <v>0.15</v>
      </c>
      <c r="U760" s="26">
        <f>IF(X760&gt;='Methodology &amp; Assumptions'!$B$7, "Tier 1 Critical GIDA (Score ≥ 50.0)", IF(X760&gt;='Methodology &amp; Assumptions'!$B$8, "Tier 2 High GIDA (Score 40.0–49.9)", "Tier 3 Moderate GIDA (Score &lt; 40.0)"))</f>
        <v/>
      </c>
      <c r="V760" s="26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W760" s="28" t="n">
        <v>0.109</v>
      </c>
      <c r="X760" s="14" t="n">
        <v>49.63</v>
      </c>
      <c r="Y760" s="14">
        <f>ROUND(MIN(100, (X760/69.91)*100), 2)</f>
        <v/>
      </c>
    </row>
    <row r="761">
      <c r="A761" s="10" t="n">
        <v>2</v>
      </c>
      <c r="B761" s="10" t="n">
        <v>757</v>
      </c>
      <c r="C761" s="10" t="n">
        <v>1757</v>
      </c>
      <c r="D761" s="10" t="inlineStr">
        <is>
          <t>1380611043</t>
        </is>
      </c>
      <c r="E761" s="26" t="inlineStr">
        <is>
          <t>National Capital Region (NCR)</t>
        </is>
      </c>
      <c r="F761" s="26" t="inlineStr">
        <is>
          <t>First District (Not a Province)</t>
        </is>
      </c>
      <c r="G761" s="26" t="inlineStr">
        <is>
          <t>City of Manila</t>
        </is>
      </c>
      <c r="H761" s="26" t="inlineStr">
        <is>
          <t>Barangay 828</t>
        </is>
      </c>
      <c r="I761" s="27" t="n">
        <v>12.539876</v>
      </c>
      <c r="J761" s="27" t="n">
        <v>121.680594</v>
      </c>
      <c r="K761" s="10" t="inlineStr">
        <is>
          <t>U</t>
        </is>
      </c>
      <c r="L761" s="12" t="n">
        <v>2739</v>
      </c>
      <c r="M761" s="14" t="n">
        <v>3.9</v>
      </c>
      <c r="N761" s="12">
        <f>ROUND(L761/M761, 0)</f>
        <v/>
      </c>
      <c r="O761" s="12">
        <f>ROUND(N761*'Methodology &amp; Assumptions'!$B$5, 0)</f>
        <v/>
      </c>
      <c r="P761" s="10" t="inlineStr">
        <is>
          <t>Single Carrier (Band n50, 100MHz TDD)</t>
        </is>
      </c>
      <c r="Q761" s="13">
        <f>ROUNDUP(O761/'Methodology &amp; Assumptions'!$B$6, 0)</f>
        <v/>
      </c>
      <c r="R761" s="13" t="n">
        <v>1</v>
      </c>
      <c r="S761" s="14" t="n">
        <v>15.7</v>
      </c>
      <c r="T761" s="14" t="n">
        <v>7.73</v>
      </c>
      <c r="U761" s="26">
        <f>IF(X761&gt;='Methodology &amp; Assumptions'!$B$7, "Tier 1 Critical GIDA (Score ≥ 50.0)", IF(X761&gt;='Methodology &amp; Assumptions'!$B$8, "Tier 2 High GIDA (Score 40.0–49.9)", "Tier 3 Moderate GIDA (Score &lt; 40.0)"))</f>
        <v/>
      </c>
      <c r="V761" s="26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W761" s="28" t="n">
        <v>0.109</v>
      </c>
      <c r="X761" s="14" t="n">
        <v>49.63</v>
      </c>
      <c r="Y761" s="14">
        <f>ROUND(MIN(100, (X761/69.91)*100), 2)</f>
        <v/>
      </c>
    </row>
    <row r="762">
      <c r="A762" s="10" t="n">
        <v>2</v>
      </c>
      <c r="B762" s="10" t="n">
        <v>758</v>
      </c>
      <c r="C762" s="10" t="n">
        <v>1758</v>
      </c>
      <c r="D762" s="10" t="inlineStr">
        <is>
          <t>1381100190</t>
        </is>
      </c>
      <c r="E762" s="26" t="inlineStr">
        <is>
          <t>National Capital Region (NCR)</t>
        </is>
      </c>
      <c r="F762" s="26" t="inlineStr">
        <is>
          <t>Fourth District (Not a Province)</t>
        </is>
      </c>
      <c r="G762" s="26" t="inlineStr">
        <is>
          <t>Pasay City</t>
        </is>
      </c>
      <c r="H762" s="26" t="inlineStr">
        <is>
          <t>Barangay 190</t>
        </is>
      </c>
      <c r="I762" s="27" t="n">
        <v>14.459662</v>
      </c>
      <c r="J762" s="27" t="n">
        <v>120.985103</v>
      </c>
      <c r="K762" s="10" t="inlineStr">
        <is>
          <t>U</t>
        </is>
      </c>
      <c r="L762" s="12" t="n">
        <v>4459</v>
      </c>
      <c r="M762" s="14" t="n">
        <v>3.4</v>
      </c>
      <c r="N762" s="12">
        <f>ROUND(L762/M762, 0)</f>
        <v/>
      </c>
      <c r="O762" s="12">
        <f>ROUND(N762*'Methodology &amp; Assumptions'!$B$5, 0)</f>
        <v/>
      </c>
      <c r="P762" s="10" t="inlineStr">
        <is>
          <t>Single Carrier (Band n50, 100MHz TDD)</t>
        </is>
      </c>
      <c r="Q762" s="13">
        <f>ROUNDUP(O762/'Methodology &amp; Assumptions'!$B$6, 0)</f>
        <v/>
      </c>
      <c r="R762" s="13" t="n">
        <v>1</v>
      </c>
      <c r="S762" s="14" t="n">
        <v>0.57</v>
      </c>
      <c r="T762" s="14" t="n">
        <v>0.57</v>
      </c>
      <c r="U762" s="26">
        <f>IF(X762&gt;='Methodology &amp; Assumptions'!$B$7, "Tier 1 Critical GIDA (Score ≥ 50.0)", IF(X762&gt;='Methodology &amp; Assumptions'!$B$8, "Tier 2 High GIDA (Score 40.0–49.9)", "Tier 3 Moderate GIDA (Score &lt; 40.0)"))</f>
        <v/>
      </c>
      <c r="V762" s="26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W762" s="28" t="n">
        <v>0.109</v>
      </c>
      <c r="X762" s="14" t="n">
        <v>49.63</v>
      </c>
      <c r="Y762" s="14">
        <f>ROUND(MIN(100, (X762/69.91)*100), 2)</f>
        <v/>
      </c>
    </row>
    <row r="763">
      <c r="A763" s="10" t="n">
        <v>2</v>
      </c>
      <c r="B763" s="10" t="n">
        <v>759</v>
      </c>
      <c r="C763" s="10" t="n">
        <v>1759</v>
      </c>
      <c r="D763" s="10" t="inlineStr">
        <is>
          <t>0806002019</t>
        </is>
      </c>
      <c r="E763" s="26" t="inlineStr">
        <is>
          <t>Region VIII (Eastern Visayas)</t>
        </is>
      </c>
      <c r="F763" s="26" t="inlineStr">
        <is>
          <t>Samar</t>
        </is>
      </c>
      <c r="G763" s="26" t="inlineStr">
        <is>
          <t>Basey</t>
        </is>
      </c>
      <c r="H763" s="26" t="inlineStr">
        <is>
          <t>Inuntan</t>
        </is>
      </c>
      <c r="I763" s="27" t="n">
        <v>11.35531</v>
      </c>
      <c r="J763" s="27" t="n">
        <v>125.14504</v>
      </c>
      <c r="K763" s="10" t="inlineStr">
        <is>
          <t>R</t>
        </is>
      </c>
      <c r="L763" s="12" t="n">
        <v>649</v>
      </c>
      <c r="M763" s="14" t="n">
        <v>4.1</v>
      </c>
      <c r="N763" s="12">
        <f>ROUND(L763/M763, 0)</f>
        <v/>
      </c>
      <c r="O763" s="12">
        <f>ROUND(N763*'Methodology &amp; Assumptions'!$B$5, 0)</f>
        <v/>
      </c>
      <c r="P763" s="10" t="inlineStr">
        <is>
          <t>Single Carrier (Band n50, 100MHz TDD)</t>
        </is>
      </c>
      <c r="Q763" s="13">
        <f>ROUNDUP(O763/'Methodology &amp; Assumptions'!$B$6, 0)</f>
        <v/>
      </c>
      <c r="R763" s="13" t="n">
        <v>1</v>
      </c>
      <c r="S763" s="14" t="n">
        <v>20.18</v>
      </c>
      <c r="T763" s="14" t="n">
        <v>21.48</v>
      </c>
      <c r="U763" s="26">
        <f>IF(X763&gt;='Methodology &amp; Assumptions'!$B$7, "Tier 1 Critical GIDA (Score ≥ 50.0)", IF(X763&gt;='Methodology &amp; Assumptions'!$B$8, "Tier 2 High GIDA (Score 40.0–49.9)", "Tier 3 Moderate GIDA (Score &lt; 40.0)"))</f>
        <v/>
      </c>
      <c r="V763" s="26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W763" s="28" t="n">
        <v>0.237</v>
      </c>
      <c r="X763" s="14" t="n">
        <v>49.62</v>
      </c>
      <c r="Y763" s="14">
        <f>ROUND(MIN(100, (X763/69.91)*100), 2)</f>
        <v/>
      </c>
    </row>
    <row r="764">
      <c r="A764" s="10" t="n">
        <v>2</v>
      </c>
      <c r="B764" s="10" t="n">
        <v>760</v>
      </c>
      <c r="C764" s="10" t="n">
        <v>1760</v>
      </c>
      <c r="D764" s="10" t="inlineStr">
        <is>
          <t>1380612013</t>
        </is>
      </c>
      <c r="E764" s="26" t="inlineStr">
        <is>
          <t>National Capital Region (NCR)</t>
        </is>
      </c>
      <c r="F764" s="26" t="inlineStr">
        <is>
          <t>First District (Not a Province)</t>
        </is>
      </c>
      <c r="G764" s="26" t="inlineStr">
        <is>
          <t>City of Manila</t>
        </is>
      </c>
      <c r="H764" s="26" t="inlineStr">
        <is>
          <t>Barangay 845</t>
        </is>
      </c>
      <c r="I764" s="27" t="n">
        <v>13.192958</v>
      </c>
      <c r="J764" s="27" t="n">
        <v>121.606719</v>
      </c>
      <c r="K764" s="10" t="inlineStr">
        <is>
          <t>U</t>
        </is>
      </c>
      <c r="L764" s="12" t="n">
        <v>1349</v>
      </c>
      <c r="M764" s="14" t="n">
        <v>3.9</v>
      </c>
      <c r="N764" s="12">
        <f>ROUND(L764/M764, 0)</f>
        <v/>
      </c>
      <c r="O764" s="12">
        <f>ROUND(N764*'Methodology &amp; Assumptions'!$B$5, 0)</f>
        <v/>
      </c>
      <c r="P764" s="10" t="inlineStr">
        <is>
          <t>Single Carrier (Band n50, 100MHz TDD)</t>
        </is>
      </c>
      <c r="Q764" s="13">
        <f>ROUNDUP(O764/'Methodology &amp; Assumptions'!$B$6, 0)</f>
        <v/>
      </c>
      <c r="R764" s="13" t="n">
        <v>1</v>
      </c>
      <c r="S764" s="14" t="n">
        <v>17.94</v>
      </c>
      <c r="T764" s="14" t="n">
        <v>21.96</v>
      </c>
      <c r="U764" s="26">
        <f>IF(X764&gt;='Methodology &amp; Assumptions'!$B$7, "Tier 1 Critical GIDA (Score ≥ 50.0)", IF(X764&gt;='Methodology &amp; Assumptions'!$B$8, "Tier 2 High GIDA (Score 40.0–49.9)", "Tier 3 Moderate GIDA (Score &lt; 40.0)"))</f>
        <v/>
      </c>
      <c r="V764" s="26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W764" s="28" t="n">
        <v>0.109</v>
      </c>
      <c r="X764" s="14" t="n">
        <v>49.62</v>
      </c>
      <c r="Y764" s="14">
        <f>ROUND(MIN(100, (X764/69.91)*100), 2)</f>
        <v/>
      </c>
    </row>
    <row r="765">
      <c r="A765" s="10" t="n">
        <v>2</v>
      </c>
      <c r="B765" s="10" t="n">
        <v>761</v>
      </c>
      <c r="C765" s="10" t="n">
        <v>1761</v>
      </c>
      <c r="D765" s="10" t="inlineStr">
        <is>
          <t>1380601247</t>
        </is>
      </c>
      <c r="E765" s="26" t="inlineStr">
        <is>
          <t>National Capital Region (NCR)</t>
        </is>
      </c>
      <c r="F765" s="26" t="inlineStr">
        <is>
          <t>First District (Not a Province)</t>
        </is>
      </c>
      <c r="G765" s="26" t="inlineStr">
        <is>
          <t>City of Manila</t>
        </is>
      </c>
      <c r="H765" s="26" t="inlineStr">
        <is>
          <t>Barangay 246</t>
        </is>
      </c>
      <c r="I765" s="27" t="n">
        <v>12.75845</v>
      </c>
      <c r="J765" s="27" t="n">
        <v>122.115729</v>
      </c>
      <c r="K765" s="10" t="inlineStr">
        <is>
          <t>U</t>
        </is>
      </c>
      <c r="L765" s="12" t="n">
        <v>1292</v>
      </c>
      <c r="M765" s="14" t="n">
        <v>3.9</v>
      </c>
      <c r="N765" s="12">
        <f>ROUND(L765/M765, 0)</f>
        <v/>
      </c>
      <c r="O765" s="12">
        <f>ROUND(N765*'Methodology &amp; Assumptions'!$B$5, 0)</f>
        <v/>
      </c>
      <c r="P765" s="10" t="inlineStr">
        <is>
          <t>Single Carrier (Band n50, 100MHz TDD)</t>
        </is>
      </c>
      <c r="Q765" s="13">
        <f>ROUNDUP(O765/'Methodology &amp; Assumptions'!$B$6, 0)</f>
        <v/>
      </c>
      <c r="R765" s="13" t="n">
        <v>1</v>
      </c>
      <c r="S765" s="14" t="n">
        <v>63.55</v>
      </c>
      <c r="T765" s="14" t="n">
        <v>58.43</v>
      </c>
      <c r="U765" s="26">
        <f>IF(X765&gt;='Methodology &amp; Assumptions'!$B$7, "Tier 1 Critical GIDA (Score ≥ 50.0)", IF(X765&gt;='Methodology &amp; Assumptions'!$B$8, "Tier 2 High GIDA (Score 40.0–49.9)", "Tier 3 Moderate GIDA (Score &lt; 40.0)"))</f>
        <v/>
      </c>
      <c r="V765" s="26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W765" s="28" t="n">
        <v>0.109</v>
      </c>
      <c r="X765" s="14" t="n">
        <v>49.62</v>
      </c>
      <c r="Y765" s="14">
        <f>ROUND(MIN(100, (X765/69.91)*100), 2)</f>
        <v/>
      </c>
    </row>
    <row r="766">
      <c r="A766" s="10" t="n">
        <v>2</v>
      </c>
      <c r="B766" s="10" t="n">
        <v>762</v>
      </c>
      <c r="C766" s="10" t="n">
        <v>1762</v>
      </c>
      <c r="D766" s="10" t="inlineStr">
        <is>
          <t>PH0001762</t>
        </is>
      </c>
      <c r="E766" s="26" t="inlineStr">
        <is>
          <t>XI</t>
        </is>
      </c>
      <c r="F766" s="26" t="inlineStr">
        <is>
          <t>Davao Del Sur</t>
        </is>
      </c>
      <c r="G766" s="26" t="inlineStr">
        <is>
          <t>Davao City</t>
        </is>
      </c>
      <c r="H766" s="26" t="inlineStr">
        <is>
          <t>Barangay 25-C (Pob.)</t>
        </is>
      </c>
      <c r="I766" s="27" t="n">
        <v>7.174706</v>
      </c>
      <c r="J766" s="27" t="n">
        <v>125.464945</v>
      </c>
      <c r="K766" s="10" t="inlineStr">
        <is>
          <t>R</t>
        </is>
      </c>
      <c r="L766" s="12" t="n">
        <v>2280</v>
      </c>
      <c r="M766" s="14" t="n">
        <v>3.4</v>
      </c>
      <c r="N766" s="12">
        <f>ROUND(L766/M766, 0)</f>
        <v/>
      </c>
      <c r="O766" s="12">
        <f>ROUND(N766*'Methodology &amp; Assumptions'!$B$5, 0)</f>
        <v/>
      </c>
      <c r="P766" s="10" t="inlineStr">
        <is>
          <t>Single Carrier (Band n50, 100MHz TDD)</t>
        </is>
      </c>
      <c r="Q766" s="13">
        <f>ROUNDUP(O766/'Methodology &amp; Assumptions'!$B$6, 0)</f>
        <v/>
      </c>
      <c r="R766" s="13" t="n">
        <v>1</v>
      </c>
      <c r="S766" s="14" t="n">
        <v>1.68</v>
      </c>
      <c r="T766" s="14" t="n">
        <v>0.53</v>
      </c>
      <c r="U766" s="26">
        <f>IF(X766&gt;='Methodology &amp; Assumptions'!$B$7, "Tier 1 Critical GIDA (Score ≥ 50.0)", IF(X766&gt;='Methodology &amp; Assumptions'!$B$8, "Tier 2 High GIDA (Score 40.0–49.9)", "Tier 3 Moderate GIDA (Score &lt; 40.0)"))</f>
        <v/>
      </c>
      <c r="V766" s="26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W766" s="28" t="n">
        <v>0.119</v>
      </c>
      <c r="X766" s="14" t="n">
        <v>49.62</v>
      </c>
      <c r="Y766" s="14">
        <f>ROUND(MIN(100, (X766/69.91)*100), 2)</f>
        <v/>
      </c>
    </row>
    <row r="767">
      <c r="A767" s="10" t="n">
        <v>2</v>
      </c>
      <c r="B767" s="10" t="n">
        <v>763</v>
      </c>
      <c r="C767" s="10" t="n">
        <v>1763</v>
      </c>
      <c r="D767" s="10" t="inlineStr">
        <is>
          <t>0506210013</t>
        </is>
      </c>
      <c r="E767" s="26" t="inlineStr">
        <is>
          <t>Region V (Bicol Region)</t>
        </is>
      </c>
      <c r="F767" s="26" t="inlineStr">
        <is>
          <t>Sorsogon</t>
        </is>
      </c>
      <c r="G767" s="26" t="inlineStr">
        <is>
          <t>Juban</t>
        </is>
      </c>
      <c r="H767" s="26" t="inlineStr">
        <is>
          <t>Embarcadero</t>
        </is>
      </c>
      <c r="I767" s="27" t="n">
        <v>12.854949</v>
      </c>
      <c r="J767" s="27" t="n">
        <v>123.988447</v>
      </c>
      <c r="K767" s="10" t="inlineStr">
        <is>
          <t>R</t>
        </is>
      </c>
      <c r="L767" s="12" t="n">
        <v>1368</v>
      </c>
      <c r="M767" s="14" t="n">
        <v>4</v>
      </c>
      <c r="N767" s="12">
        <f>ROUND(L767/M767, 0)</f>
        <v/>
      </c>
      <c r="O767" s="12">
        <f>ROUND(N767*'Methodology &amp; Assumptions'!$B$5, 0)</f>
        <v/>
      </c>
      <c r="P767" s="10" t="inlineStr">
        <is>
          <t>Single Carrier (Band n50, 100MHz TDD)</t>
        </is>
      </c>
      <c r="Q767" s="13">
        <f>ROUNDUP(O767/'Methodology &amp; Assumptions'!$B$6, 0)</f>
        <v/>
      </c>
      <c r="R767" s="13" t="n">
        <v>1</v>
      </c>
      <c r="S767" s="14" t="n">
        <v>3.38</v>
      </c>
      <c r="T767" s="14" t="n">
        <v>0.71</v>
      </c>
      <c r="U767" s="26">
        <f>IF(X767&gt;='Methodology &amp; Assumptions'!$B$7, "Tier 1 Critical GIDA (Score ≥ 50.0)", IF(X767&gt;='Methodology &amp; Assumptions'!$B$8, "Tier 2 High GIDA (Score 40.0–49.9)", "Tier 3 Moderate GIDA (Score &lt; 40.0)"))</f>
        <v/>
      </c>
      <c r="V767" s="26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W767" s="28" t="n">
        <v>0.237</v>
      </c>
      <c r="X767" s="14" t="n">
        <v>49.62</v>
      </c>
      <c r="Y767" s="14">
        <f>ROUND(MIN(100, (X767/69.91)*100), 2)</f>
        <v/>
      </c>
    </row>
    <row r="768">
      <c r="A768" s="10" t="n">
        <v>2</v>
      </c>
      <c r="B768" s="10" t="n">
        <v>764</v>
      </c>
      <c r="C768" s="10" t="n">
        <v>1764</v>
      </c>
      <c r="D768" s="10" t="inlineStr">
        <is>
          <t>1380612011</t>
        </is>
      </c>
      <c r="E768" s="26" t="inlineStr">
        <is>
          <t>National Capital Region (NCR)</t>
        </is>
      </c>
      <c r="F768" s="26" t="inlineStr">
        <is>
          <t>First District (Not a Province)</t>
        </is>
      </c>
      <c r="G768" s="26" t="inlineStr">
        <is>
          <t>City of Manila</t>
        </is>
      </c>
      <c r="H768" s="26" t="inlineStr">
        <is>
          <t>Barangay 843</t>
        </is>
      </c>
      <c r="I768" s="27" t="n">
        <v>12.743518</v>
      </c>
      <c r="J768" s="27" t="n">
        <v>121.436742</v>
      </c>
      <c r="K768" s="10" t="inlineStr">
        <is>
          <t>U</t>
        </is>
      </c>
      <c r="L768" s="12" t="n">
        <v>9010</v>
      </c>
      <c r="M768" s="14" t="n">
        <v>3.9</v>
      </c>
      <c r="N768" s="12">
        <f>ROUND(L768/M768, 0)</f>
        <v/>
      </c>
      <c r="O768" s="12">
        <f>ROUND(N768*'Methodology &amp; Assumptions'!$B$5, 0)</f>
        <v/>
      </c>
      <c r="P768" s="10" t="inlineStr">
        <is>
          <t>Single Carrier (Band n50, 100MHz TDD)</t>
        </is>
      </c>
      <c r="Q768" s="13">
        <f>ROUNDUP(O768/'Methodology &amp; Assumptions'!$B$6, 0)</f>
        <v/>
      </c>
      <c r="R768" s="13" t="n">
        <v>1</v>
      </c>
      <c r="S768" s="14" t="n">
        <v>5.49</v>
      </c>
      <c r="T768" s="14" t="n">
        <v>3.83</v>
      </c>
      <c r="U768" s="26">
        <f>IF(X768&gt;='Methodology &amp; Assumptions'!$B$7, "Tier 1 Critical GIDA (Score ≥ 50.0)", IF(X768&gt;='Methodology &amp; Assumptions'!$B$8, "Tier 2 High GIDA (Score 40.0–49.9)", "Tier 3 Moderate GIDA (Score &lt; 40.0)"))</f>
        <v/>
      </c>
      <c r="V768" s="26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W768" s="28" t="n">
        <v>0.109</v>
      </c>
      <c r="X768" s="14" t="n">
        <v>49.62</v>
      </c>
      <c r="Y768" s="14">
        <f>ROUND(MIN(100, (X768/69.91)*100), 2)</f>
        <v/>
      </c>
    </row>
    <row r="769">
      <c r="A769" s="10" t="n">
        <v>2</v>
      </c>
      <c r="B769" s="10" t="n">
        <v>765</v>
      </c>
      <c r="C769" s="10" t="n">
        <v>1765</v>
      </c>
      <c r="D769" s="10" t="inlineStr">
        <is>
          <t>1381100040</t>
        </is>
      </c>
      <c r="E769" s="26" t="inlineStr">
        <is>
          <t>National Capital Region (NCR)</t>
        </is>
      </c>
      <c r="F769" s="26" t="inlineStr">
        <is>
          <t>Fourth District (Not a Province)</t>
        </is>
      </c>
      <c r="G769" s="26" t="inlineStr">
        <is>
          <t>Pasay City</t>
        </is>
      </c>
      <c r="H769" s="26" t="inlineStr">
        <is>
          <t>Barangay 40</t>
        </is>
      </c>
      <c r="I769" s="27" t="n">
        <v>14.614165</v>
      </c>
      <c r="J769" s="27" t="n">
        <v>120.960024</v>
      </c>
      <c r="K769" s="10" t="inlineStr">
        <is>
          <t>U</t>
        </is>
      </c>
      <c r="L769" s="12" t="n">
        <v>2377</v>
      </c>
      <c r="M769" s="14" t="n">
        <v>3.4</v>
      </c>
      <c r="N769" s="12">
        <f>ROUND(L769/M769, 0)</f>
        <v/>
      </c>
      <c r="O769" s="12">
        <f>ROUND(N769*'Methodology &amp; Assumptions'!$B$5, 0)</f>
        <v/>
      </c>
      <c r="P769" s="10" t="inlineStr">
        <is>
          <t>Single Carrier (Band n50, 100MHz TDD)</t>
        </is>
      </c>
      <c r="Q769" s="13">
        <f>ROUNDUP(O769/'Methodology &amp; Assumptions'!$B$6, 0)</f>
        <v/>
      </c>
      <c r="R769" s="13" t="n">
        <v>1</v>
      </c>
      <c r="S769" s="14" t="n">
        <v>0.51</v>
      </c>
      <c r="T769" s="14" t="n">
        <v>0.73</v>
      </c>
      <c r="U769" s="26">
        <f>IF(X769&gt;='Methodology &amp; Assumptions'!$B$7, "Tier 1 Critical GIDA (Score ≥ 50.0)", IF(X769&gt;='Methodology &amp; Assumptions'!$B$8, "Tier 2 High GIDA (Score 40.0–49.9)", "Tier 3 Moderate GIDA (Score &lt; 40.0)"))</f>
        <v/>
      </c>
      <c r="V769" s="26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W769" s="28" t="n">
        <v>0.109</v>
      </c>
      <c r="X769" s="14" t="n">
        <v>49.62</v>
      </c>
      <c r="Y769" s="14">
        <f>ROUND(MIN(100, (X769/69.91)*100), 2)</f>
        <v/>
      </c>
    </row>
    <row r="770">
      <c r="A770" s="10" t="n">
        <v>2</v>
      </c>
      <c r="B770" s="10" t="n">
        <v>766</v>
      </c>
      <c r="C770" s="10" t="n">
        <v>1766</v>
      </c>
      <c r="D770" s="10" t="inlineStr">
        <is>
          <t>1381100076</t>
        </is>
      </c>
      <c r="E770" s="26" t="inlineStr">
        <is>
          <t>National Capital Region (NCR)</t>
        </is>
      </c>
      <c r="F770" s="26" t="inlineStr">
        <is>
          <t>Fourth District (Not a Province)</t>
        </is>
      </c>
      <c r="G770" s="26" t="inlineStr">
        <is>
          <t>Pasay City</t>
        </is>
      </c>
      <c r="H770" s="26" t="inlineStr">
        <is>
          <t>Barangay 76</t>
        </is>
      </c>
      <c r="I770" s="27" t="n">
        <v>14.515079</v>
      </c>
      <c r="J770" s="27" t="n">
        <v>121.088376</v>
      </c>
      <c r="K770" s="10" t="inlineStr">
        <is>
          <t>U</t>
        </is>
      </c>
      <c r="L770" s="12" t="n">
        <v>20161</v>
      </c>
      <c r="M770" s="14" t="n">
        <v>3.4</v>
      </c>
      <c r="N770" s="12">
        <f>ROUND(L770/M770, 0)</f>
        <v/>
      </c>
      <c r="O770" s="12">
        <f>ROUND(N770*'Methodology &amp; Assumptions'!$B$5, 0)</f>
        <v/>
      </c>
      <c r="P770" s="10" t="inlineStr">
        <is>
          <t>Single Carrier (Band n50, 100MHz TDD)</t>
        </is>
      </c>
      <c r="Q770" s="13">
        <f>ROUNDUP(O770/'Methodology &amp; Assumptions'!$B$6, 0)</f>
        <v/>
      </c>
      <c r="R770" s="13" t="n">
        <v>1</v>
      </c>
      <c r="S770" s="14" t="n">
        <v>1.71</v>
      </c>
      <c r="T770" s="14" t="n">
        <v>1.64</v>
      </c>
      <c r="U770" s="26">
        <f>IF(X770&gt;='Methodology &amp; Assumptions'!$B$7, "Tier 1 Critical GIDA (Score ≥ 50.0)", IF(X770&gt;='Methodology &amp; Assumptions'!$B$8, "Tier 2 High GIDA (Score 40.0–49.9)", "Tier 3 Moderate GIDA (Score &lt; 40.0)"))</f>
        <v/>
      </c>
      <c r="V770" s="26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W770" s="28" t="n">
        <v>0.109</v>
      </c>
      <c r="X770" s="14" t="n">
        <v>49.62</v>
      </c>
      <c r="Y770" s="14">
        <f>ROUND(MIN(100, (X770/69.91)*100), 2)</f>
        <v/>
      </c>
    </row>
    <row r="771">
      <c r="A771" s="10" t="n">
        <v>2</v>
      </c>
      <c r="B771" s="10" t="n">
        <v>767</v>
      </c>
      <c r="C771" s="10" t="n">
        <v>1767</v>
      </c>
      <c r="D771" s="10" t="inlineStr">
        <is>
          <t>0203102053</t>
        </is>
      </c>
      <c r="E771" s="26" t="inlineStr">
        <is>
          <t>Region II (Cagayan Valley)</t>
        </is>
      </c>
      <c r="F771" s="26" t="inlineStr">
        <is>
          <t>Isabela</t>
        </is>
      </c>
      <c r="G771" s="26" t="inlineStr">
        <is>
          <t>Angadanan</t>
        </is>
      </c>
      <c r="H771" s="26" t="inlineStr">
        <is>
          <t>San Vicente</t>
        </is>
      </c>
      <c r="I771" s="27" t="n">
        <v>16.713037</v>
      </c>
      <c r="J771" s="27" t="n">
        <v>121.782109</v>
      </c>
      <c r="K771" s="10" t="inlineStr">
        <is>
          <t>R</t>
        </is>
      </c>
      <c r="L771" s="12" t="n">
        <v>513</v>
      </c>
      <c r="M771" s="14" t="n">
        <v>3.8</v>
      </c>
      <c r="N771" s="12">
        <f>ROUND(L771/M771, 0)</f>
        <v/>
      </c>
      <c r="O771" s="12">
        <f>ROUND(N771*'Methodology &amp; Assumptions'!$B$5, 0)</f>
        <v/>
      </c>
      <c r="P771" s="10" t="inlineStr">
        <is>
          <t>Single Carrier (Band n50, 100MHz TDD)</t>
        </is>
      </c>
      <c r="Q771" s="13">
        <f>ROUNDUP(O771/'Methodology &amp; Assumptions'!$B$6, 0)</f>
        <v/>
      </c>
      <c r="R771" s="13" t="n">
        <v>1</v>
      </c>
      <c r="S771" s="14" t="n">
        <v>5.11</v>
      </c>
      <c r="T771" s="14" t="n">
        <v>9.960000000000001</v>
      </c>
      <c r="U771" s="26">
        <f>IF(X771&gt;='Methodology &amp; Assumptions'!$B$7, "Tier 1 Critical GIDA (Score ≥ 50.0)", IF(X771&gt;='Methodology &amp; Assumptions'!$B$8, "Tier 2 High GIDA (Score 40.0–49.9)", "Tier 3 Moderate GIDA (Score &lt; 40.0)"))</f>
        <v/>
      </c>
      <c r="V771" s="26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W771" s="28" t="n">
        <v>0.083</v>
      </c>
      <c r="X771" s="14" t="n">
        <v>49.61</v>
      </c>
      <c r="Y771" s="14">
        <f>ROUND(MIN(100, (X771/69.91)*100), 2)</f>
        <v/>
      </c>
    </row>
    <row r="772">
      <c r="A772" s="10" t="n">
        <v>2</v>
      </c>
      <c r="B772" s="10" t="n">
        <v>768</v>
      </c>
      <c r="C772" s="10" t="n">
        <v>1768</v>
      </c>
      <c r="D772" s="10" t="inlineStr">
        <is>
          <t>1900707021</t>
        </is>
      </c>
      <c r="E772" s="26" t="inlineStr">
        <is>
          <t>Bangsamoro Autonomous Region In Muslim Mindanao (BARMM)</t>
        </is>
      </c>
      <c r="F772" s="26" t="inlineStr">
        <is>
          <t>Basilan</t>
        </is>
      </c>
      <c r="G772" s="26" t="inlineStr">
        <is>
          <t>Tuburan</t>
        </is>
      </c>
      <c r="H772" s="26" t="inlineStr">
        <is>
          <t>Duga-a</t>
        </is>
      </c>
      <c r="I772" s="27" t="n">
        <v>6.605419</v>
      </c>
      <c r="J772" s="27" t="n">
        <v>122.202209</v>
      </c>
      <c r="K772" s="10" t="inlineStr">
        <is>
          <t>R</t>
        </is>
      </c>
      <c r="L772" s="12" t="n">
        <v>4167</v>
      </c>
      <c r="M772" s="14" t="n">
        <v>5.1</v>
      </c>
      <c r="N772" s="12">
        <f>ROUND(L772/M772, 0)</f>
        <v/>
      </c>
      <c r="O772" s="12">
        <f>ROUND(N772*'Methodology &amp; Assumptions'!$B$5, 0)</f>
        <v/>
      </c>
      <c r="P772" s="10" t="inlineStr">
        <is>
          <t>Single Carrier (Band n50, 100MHz TDD)</t>
        </is>
      </c>
      <c r="Q772" s="13">
        <f>ROUNDUP(O772/'Methodology &amp; Assumptions'!$B$6, 0)</f>
        <v/>
      </c>
      <c r="R772" s="13" t="n">
        <v>1</v>
      </c>
      <c r="S772" s="14" t="n">
        <v>36.75</v>
      </c>
      <c r="T772" s="14" t="n">
        <v>36.75</v>
      </c>
      <c r="U772" s="26">
        <f>IF(X772&gt;='Methodology &amp; Assumptions'!$B$7, "Tier 1 Critical GIDA (Score ≥ 50.0)", IF(X772&gt;='Methodology &amp; Assumptions'!$B$8, "Tier 2 High GIDA (Score 40.0–49.9)", "Tier 3 Moderate GIDA (Score &lt; 40.0)"))</f>
        <v/>
      </c>
      <c r="V772" s="26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W772" s="28" t="n">
        <v>0.11</v>
      </c>
      <c r="X772" s="14" t="n">
        <v>49.61</v>
      </c>
      <c r="Y772" s="14">
        <f>ROUND(MIN(100, (X772/69.91)*100), 2)</f>
        <v/>
      </c>
    </row>
    <row r="773">
      <c r="A773" s="10" t="n">
        <v>2</v>
      </c>
      <c r="B773" s="10" t="n">
        <v>769</v>
      </c>
      <c r="C773" s="10" t="n">
        <v>1769</v>
      </c>
      <c r="D773" s="10" t="inlineStr">
        <is>
          <t>PH0001769</t>
        </is>
      </c>
      <c r="E773" s="26" t="inlineStr">
        <is>
          <t>XI</t>
        </is>
      </c>
      <c r="F773" s="26" t="inlineStr">
        <is>
          <t>Davao Del Sur</t>
        </is>
      </c>
      <c r="G773" s="26" t="inlineStr">
        <is>
          <t>Davao City</t>
        </is>
      </c>
      <c r="H773" s="26" t="inlineStr">
        <is>
          <t>Barangay 30-C (Pob.)</t>
        </is>
      </c>
      <c r="I773" s="27" t="n">
        <v>7.212492</v>
      </c>
      <c r="J773" s="27" t="n">
        <v>125.470308</v>
      </c>
      <c r="K773" s="10" t="inlineStr">
        <is>
          <t>R</t>
        </is>
      </c>
      <c r="L773" s="12" t="n">
        <v>2280</v>
      </c>
      <c r="M773" s="14" t="n">
        <v>3.4</v>
      </c>
      <c r="N773" s="12">
        <f>ROUND(L773/M773, 0)</f>
        <v/>
      </c>
      <c r="O773" s="12">
        <f>ROUND(N773*'Methodology &amp; Assumptions'!$B$5, 0)</f>
        <v/>
      </c>
      <c r="P773" s="10" t="inlineStr">
        <is>
          <t>Single Carrier (Band n50, 100MHz TDD)</t>
        </is>
      </c>
      <c r="Q773" s="13">
        <f>ROUNDUP(O773/'Methodology &amp; Assumptions'!$B$6, 0)</f>
        <v/>
      </c>
      <c r="R773" s="13" t="n">
        <v>1</v>
      </c>
      <c r="S773" s="14" t="n">
        <v>3.4</v>
      </c>
      <c r="T773" s="14" t="n">
        <v>2.87</v>
      </c>
      <c r="U773" s="26">
        <f>IF(X773&gt;='Methodology &amp; Assumptions'!$B$7, "Tier 1 Critical GIDA (Score ≥ 50.0)", IF(X773&gt;='Methodology &amp; Assumptions'!$B$8, "Tier 2 High GIDA (Score 40.0–49.9)", "Tier 3 Moderate GIDA (Score &lt; 40.0)"))</f>
        <v/>
      </c>
      <c r="V773" s="26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W773" s="28" t="n">
        <v>0.119</v>
      </c>
      <c r="X773" s="14" t="n">
        <v>49.61</v>
      </c>
      <c r="Y773" s="14">
        <f>ROUND(MIN(100, (X773/69.91)*100), 2)</f>
        <v/>
      </c>
    </row>
    <row r="774">
      <c r="A774" s="10" t="n">
        <v>2</v>
      </c>
      <c r="B774" s="10" t="n">
        <v>770</v>
      </c>
      <c r="C774" s="10" t="n">
        <v>1770</v>
      </c>
      <c r="D774" s="10" t="inlineStr">
        <is>
          <t>1380614014</t>
        </is>
      </c>
      <c r="E774" s="26" t="inlineStr">
        <is>
          <t>National Capital Region (NCR)</t>
        </is>
      </c>
      <c r="F774" s="26" t="inlineStr">
        <is>
          <t>First District (Not a Province)</t>
        </is>
      </c>
      <c r="G774" s="26" t="inlineStr">
        <is>
          <t>City of Manila</t>
        </is>
      </c>
      <c r="H774" s="26" t="inlineStr">
        <is>
          <t>Barangay 758</t>
        </is>
      </c>
      <c r="I774" s="27" t="n">
        <v>13.203443</v>
      </c>
      <c r="J774" s="27" t="n">
        <v>121.92886</v>
      </c>
      <c r="K774" s="10" t="inlineStr">
        <is>
          <t>U</t>
        </is>
      </c>
      <c r="L774" s="12" t="n">
        <v>411</v>
      </c>
      <c r="M774" s="14" t="n">
        <v>3.9</v>
      </c>
      <c r="N774" s="12">
        <f>ROUND(L774/M774, 0)</f>
        <v/>
      </c>
      <c r="O774" s="12">
        <f>ROUND(N774*'Methodology &amp; Assumptions'!$B$5, 0)</f>
        <v/>
      </c>
      <c r="P774" s="10" t="inlineStr">
        <is>
          <t>Single Carrier (Band n50, 100MHz TDD)</t>
        </is>
      </c>
      <c r="Q774" s="13">
        <f>ROUNDUP(O774/'Methodology &amp; Assumptions'!$B$6, 0)</f>
        <v/>
      </c>
      <c r="R774" s="13" t="n">
        <v>1</v>
      </c>
      <c r="S774" s="14" t="n">
        <v>48.26</v>
      </c>
      <c r="T774" s="14" t="n">
        <v>51.97</v>
      </c>
      <c r="U774" s="26">
        <f>IF(X774&gt;='Methodology &amp; Assumptions'!$B$7, "Tier 1 Critical GIDA (Score ≥ 50.0)", IF(X774&gt;='Methodology &amp; Assumptions'!$B$8, "Tier 2 High GIDA (Score 40.0–49.9)", "Tier 3 Moderate GIDA (Score &lt; 40.0)"))</f>
        <v/>
      </c>
      <c r="V774" s="26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W774" s="28" t="n">
        <v>0.109</v>
      </c>
      <c r="X774" s="14" t="n">
        <v>49.61</v>
      </c>
      <c r="Y774" s="14">
        <f>ROUND(MIN(100, (X774/69.91)*100), 2)</f>
        <v/>
      </c>
    </row>
    <row r="775">
      <c r="A775" s="10" t="n">
        <v>2</v>
      </c>
      <c r="B775" s="10" t="n">
        <v>771</v>
      </c>
      <c r="C775" s="10" t="n">
        <v>1771</v>
      </c>
      <c r="D775" s="10" t="inlineStr">
        <is>
          <t>1381100145</t>
        </is>
      </c>
      <c r="E775" s="26" t="inlineStr">
        <is>
          <t>National Capital Region (NCR)</t>
        </is>
      </c>
      <c r="F775" s="26" t="inlineStr">
        <is>
          <t>Fourth District (Not a Province)</t>
        </is>
      </c>
      <c r="G775" s="26" t="inlineStr">
        <is>
          <t>Pasay City</t>
        </is>
      </c>
      <c r="H775" s="26" t="inlineStr">
        <is>
          <t>Barangay 145</t>
        </is>
      </c>
      <c r="I775" s="27" t="n">
        <v>14.504033</v>
      </c>
      <c r="J775" s="27" t="n">
        <v>120.921994</v>
      </c>
      <c r="K775" s="10" t="inlineStr">
        <is>
          <t>U</t>
        </is>
      </c>
      <c r="L775" s="12" t="n">
        <v>9007</v>
      </c>
      <c r="M775" s="14" t="n">
        <v>3.4</v>
      </c>
      <c r="N775" s="12">
        <f>ROUND(L775/M775, 0)</f>
        <v/>
      </c>
      <c r="O775" s="12">
        <f>ROUND(N775*'Methodology &amp; Assumptions'!$B$5, 0)</f>
        <v/>
      </c>
      <c r="P775" s="10" t="inlineStr">
        <is>
          <t>Single Carrier (Band n50, 100MHz TDD)</t>
        </is>
      </c>
      <c r="Q775" s="13">
        <f>ROUNDUP(O775/'Methodology &amp; Assumptions'!$B$6, 0)</f>
        <v/>
      </c>
      <c r="R775" s="13" t="n">
        <v>1</v>
      </c>
      <c r="S775" s="14" t="n">
        <v>4.93</v>
      </c>
      <c r="T775" s="14" t="n">
        <v>5.96</v>
      </c>
      <c r="U775" s="26">
        <f>IF(X775&gt;='Methodology &amp; Assumptions'!$B$7, "Tier 1 Critical GIDA (Score ≥ 50.0)", IF(X775&gt;='Methodology &amp; Assumptions'!$B$8, "Tier 2 High GIDA (Score 40.0–49.9)", "Tier 3 Moderate GIDA (Score &lt; 40.0)"))</f>
        <v/>
      </c>
      <c r="V775" s="26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W775" s="28" t="n">
        <v>0.109</v>
      </c>
      <c r="X775" s="14" t="n">
        <v>49.6</v>
      </c>
      <c r="Y775" s="14">
        <f>ROUND(MIN(100, (X775/69.91)*100), 2)</f>
        <v/>
      </c>
    </row>
    <row r="776">
      <c r="A776" s="10" t="n">
        <v>2</v>
      </c>
      <c r="B776" s="10" t="n">
        <v>772</v>
      </c>
      <c r="C776" s="10" t="n">
        <v>1772</v>
      </c>
      <c r="D776" s="10" t="inlineStr">
        <is>
          <t>1380605071</t>
        </is>
      </c>
      <c r="E776" s="26" t="inlineStr">
        <is>
          <t>National Capital Region (NCR)</t>
        </is>
      </c>
      <c r="F776" s="26" t="inlineStr">
        <is>
          <t>First District (Not a Province)</t>
        </is>
      </c>
      <c r="G776" s="26" t="inlineStr">
        <is>
          <t>City of Manila</t>
        </is>
      </c>
      <c r="H776" s="26" t="inlineStr">
        <is>
          <t>Barangay 368</t>
        </is>
      </c>
      <c r="I776" s="27" t="n">
        <v>12.537735</v>
      </c>
      <c r="J776" s="27" t="n">
        <v>121.884604</v>
      </c>
      <c r="K776" s="10" t="inlineStr">
        <is>
          <t>U</t>
        </is>
      </c>
      <c r="L776" s="12" t="n">
        <v>1378</v>
      </c>
      <c r="M776" s="14" t="n">
        <v>3.9</v>
      </c>
      <c r="N776" s="12">
        <f>ROUND(L776/M776, 0)</f>
        <v/>
      </c>
      <c r="O776" s="12">
        <f>ROUND(N776*'Methodology &amp; Assumptions'!$B$5, 0)</f>
        <v/>
      </c>
      <c r="P776" s="10" t="inlineStr">
        <is>
          <t>Single Carrier (Band n50, 100MHz TDD)</t>
        </is>
      </c>
      <c r="Q776" s="13">
        <f>ROUNDUP(O776/'Methodology &amp; Assumptions'!$B$6, 0)</f>
        <v/>
      </c>
      <c r="R776" s="13" t="n">
        <v>1</v>
      </c>
      <c r="S776" s="14" t="n">
        <v>36.87</v>
      </c>
      <c r="T776" s="14" t="n">
        <v>24.1</v>
      </c>
      <c r="U776" s="26">
        <f>IF(X776&gt;='Methodology &amp; Assumptions'!$B$7, "Tier 1 Critical GIDA (Score ≥ 50.0)", IF(X776&gt;='Methodology &amp; Assumptions'!$B$8, "Tier 2 High GIDA (Score 40.0–49.9)", "Tier 3 Moderate GIDA (Score &lt; 40.0)"))</f>
        <v/>
      </c>
      <c r="V776" s="26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W776" s="28" t="n">
        <v>0.109</v>
      </c>
      <c r="X776" s="14" t="n">
        <v>49.6</v>
      </c>
      <c r="Y776" s="14">
        <f>ROUND(MIN(100, (X776/69.91)*100), 2)</f>
        <v/>
      </c>
    </row>
    <row r="777">
      <c r="A777" s="10" t="n">
        <v>2</v>
      </c>
      <c r="B777" s="10" t="n">
        <v>773</v>
      </c>
      <c r="C777" s="10" t="n">
        <v>1773</v>
      </c>
      <c r="D777" s="10" t="inlineStr">
        <is>
          <t>0401005056</t>
        </is>
      </c>
      <c r="E777" s="26" t="inlineStr">
        <is>
          <t>Region IV-A (CALABARZON)</t>
        </is>
      </c>
      <c r="F777" s="26" t="inlineStr">
        <is>
          <t>Batangas</t>
        </is>
      </c>
      <c r="G777" s="26" t="inlineStr">
        <is>
          <t>Batangas City</t>
        </is>
      </c>
      <c r="H777" s="26" t="inlineStr">
        <is>
          <t>Barangay 10</t>
        </is>
      </c>
      <c r="I777" s="27" t="n">
        <v>13.728414</v>
      </c>
      <c r="J777" s="27" t="n">
        <v>121.071998</v>
      </c>
      <c r="K777" s="10" t="inlineStr">
        <is>
          <t>U</t>
        </is>
      </c>
      <c r="L777" s="12" t="n">
        <v>270</v>
      </c>
      <c r="M777" s="14" t="n">
        <v>3.6</v>
      </c>
      <c r="N777" s="12">
        <f>ROUND(L777/M777, 0)</f>
        <v/>
      </c>
      <c r="O777" s="12">
        <f>ROUND(N777*'Methodology &amp; Assumptions'!$B$5, 0)</f>
        <v/>
      </c>
      <c r="P777" s="10" t="inlineStr">
        <is>
          <t>Single Carrier (Band n50, 100MHz TDD)</t>
        </is>
      </c>
      <c r="Q777" s="13">
        <f>ROUNDUP(O777/'Methodology &amp; Assumptions'!$B$6, 0)</f>
        <v/>
      </c>
      <c r="R777" s="13" t="n">
        <v>1</v>
      </c>
      <c r="S777" s="14" t="n">
        <v>4.11</v>
      </c>
      <c r="T777" s="14" t="n">
        <v>3.3</v>
      </c>
      <c r="U777" s="26">
        <f>IF(X777&gt;='Methodology &amp; Assumptions'!$B$7, "Tier 1 Critical GIDA (Score ≥ 50.0)", IF(X777&gt;='Methodology &amp; Assumptions'!$B$8, "Tier 2 High GIDA (Score 40.0–49.9)", "Tier 3 Moderate GIDA (Score &lt; 40.0)"))</f>
        <v/>
      </c>
      <c r="V777" s="26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W777" s="28" t="n">
        <v>0.07200000000000001</v>
      </c>
      <c r="X777" s="14" t="n">
        <v>49.6</v>
      </c>
      <c r="Y777" s="14">
        <f>ROUND(MIN(100, (X777/69.91)*100), 2)</f>
        <v/>
      </c>
    </row>
    <row r="778">
      <c r="A778" s="10" t="n">
        <v>2</v>
      </c>
      <c r="B778" s="10" t="n">
        <v>774</v>
      </c>
      <c r="C778" s="10" t="n">
        <v>1774</v>
      </c>
      <c r="D778" s="10" t="inlineStr">
        <is>
          <t>1380606118</t>
        </is>
      </c>
      <c r="E778" s="26" t="inlineStr">
        <is>
          <t>National Capital Region (NCR)</t>
        </is>
      </c>
      <c r="F778" s="26" t="inlineStr">
        <is>
          <t>First District (Not a Province)</t>
        </is>
      </c>
      <c r="G778" s="26" t="inlineStr">
        <is>
          <t>City of Manila</t>
        </is>
      </c>
      <c r="H778" s="26" t="inlineStr">
        <is>
          <t>Barangay 512</t>
        </is>
      </c>
      <c r="I778" s="27" t="n">
        <v>13.059655</v>
      </c>
      <c r="J778" s="27" t="n">
        <v>121.454265</v>
      </c>
      <c r="K778" s="10" t="inlineStr">
        <is>
          <t>U</t>
        </is>
      </c>
      <c r="L778" s="12" t="n">
        <v>2548</v>
      </c>
      <c r="M778" s="14" t="n">
        <v>3.9</v>
      </c>
      <c r="N778" s="12">
        <f>ROUND(L778/M778, 0)</f>
        <v/>
      </c>
      <c r="O778" s="12">
        <f>ROUND(N778*'Methodology &amp; Assumptions'!$B$5, 0)</f>
        <v/>
      </c>
      <c r="P778" s="10" t="inlineStr">
        <is>
          <t>Single Carrier (Band n50, 100MHz TDD)</t>
        </is>
      </c>
      <c r="Q778" s="13">
        <f>ROUNDUP(O778/'Methodology &amp; Assumptions'!$B$6, 0)</f>
        <v/>
      </c>
      <c r="R778" s="13" t="n">
        <v>1</v>
      </c>
      <c r="S778" s="14" t="n">
        <v>3.21</v>
      </c>
      <c r="T778" s="14" t="n">
        <v>1.12</v>
      </c>
      <c r="U778" s="26">
        <f>IF(X778&gt;='Methodology &amp; Assumptions'!$B$7, "Tier 1 Critical GIDA (Score ≥ 50.0)", IF(X778&gt;='Methodology &amp; Assumptions'!$B$8, "Tier 2 High GIDA (Score 40.0–49.9)", "Tier 3 Moderate GIDA (Score &lt; 40.0)"))</f>
        <v/>
      </c>
      <c r="V778" s="26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W778" s="28" t="n">
        <v>0.109</v>
      </c>
      <c r="X778" s="14" t="n">
        <v>49.6</v>
      </c>
      <c r="Y778" s="14">
        <f>ROUND(MIN(100, (X778/69.91)*100), 2)</f>
        <v/>
      </c>
    </row>
    <row r="779">
      <c r="A779" s="10" t="n">
        <v>2</v>
      </c>
      <c r="B779" s="10" t="n">
        <v>775</v>
      </c>
      <c r="C779" s="10" t="n">
        <v>1775</v>
      </c>
      <c r="D779" s="10" t="inlineStr">
        <is>
          <t>1380614059</t>
        </is>
      </c>
      <c r="E779" s="26" t="inlineStr">
        <is>
          <t>National Capital Region (NCR)</t>
        </is>
      </c>
      <c r="F779" s="26" t="inlineStr">
        <is>
          <t>First District (Not a Province)</t>
        </is>
      </c>
      <c r="G779" s="26" t="inlineStr">
        <is>
          <t>City of Manila</t>
        </is>
      </c>
      <c r="H779" s="26" t="inlineStr">
        <is>
          <t>Barangay 803</t>
        </is>
      </c>
      <c r="I779" s="27" t="n">
        <v>12.957891</v>
      </c>
      <c r="J779" s="27" t="n">
        <v>122.135799</v>
      </c>
      <c r="K779" s="10" t="inlineStr">
        <is>
          <t>U</t>
        </is>
      </c>
      <c r="L779" s="12" t="n">
        <v>1757</v>
      </c>
      <c r="M779" s="14" t="n">
        <v>3.9</v>
      </c>
      <c r="N779" s="12">
        <f>ROUND(L779/M779, 0)</f>
        <v/>
      </c>
      <c r="O779" s="12">
        <f>ROUND(N779*'Methodology &amp; Assumptions'!$B$5, 0)</f>
        <v/>
      </c>
      <c r="P779" s="10" t="inlineStr">
        <is>
          <t>Single Carrier (Band n50, 100MHz TDD)</t>
        </is>
      </c>
      <c r="Q779" s="13">
        <f>ROUNDUP(O779/'Methodology &amp; Assumptions'!$B$6, 0)</f>
        <v/>
      </c>
      <c r="R779" s="13" t="n">
        <v>1</v>
      </c>
      <c r="S779" s="14" t="n">
        <v>59.86</v>
      </c>
      <c r="T779" s="14" t="n">
        <v>69.23</v>
      </c>
      <c r="U779" s="26">
        <f>IF(X779&gt;='Methodology &amp; Assumptions'!$B$7, "Tier 1 Critical GIDA (Score ≥ 50.0)", IF(X779&gt;='Methodology &amp; Assumptions'!$B$8, "Tier 2 High GIDA (Score 40.0–49.9)", "Tier 3 Moderate GIDA (Score &lt; 40.0)"))</f>
        <v/>
      </c>
      <c r="V779" s="26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W779" s="28" t="n">
        <v>0.109</v>
      </c>
      <c r="X779" s="14" t="n">
        <v>49.6</v>
      </c>
      <c r="Y779" s="14">
        <f>ROUND(MIN(100, (X779/69.91)*100), 2)</f>
        <v/>
      </c>
    </row>
    <row r="780">
      <c r="A780" s="10" t="n">
        <v>2</v>
      </c>
      <c r="B780" s="10" t="n">
        <v>776</v>
      </c>
      <c r="C780" s="10" t="n">
        <v>1776</v>
      </c>
      <c r="D780" s="10" t="inlineStr">
        <is>
          <t>1380603006</t>
        </is>
      </c>
      <c r="E780" s="26" t="inlineStr">
        <is>
          <t>National Capital Region (NCR)</t>
        </is>
      </c>
      <c r="F780" s="26" t="inlineStr">
        <is>
          <t>First District (Not a Province)</t>
        </is>
      </c>
      <c r="G780" s="26" t="inlineStr">
        <is>
          <t>City of Manila</t>
        </is>
      </c>
      <c r="H780" s="26" t="inlineStr">
        <is>
          <t>Barangay 386</t>
        </is>
      </c>
      <c r="I780" s="27" t="n">
        <v>12.582668</v>
      </c>
      <c r="J780" s="27" t="n">
        <v>121.560648</v>
      </c>
      <c r="K780" s="10" t="inlineStr">
        <is>
          <t>U</t>
        </is>
      </c>
      <c r="L780" s="12" t="n">
        <v>1250</v>
      </c>
      <c r="M780" s="14" t="n">
        <v>3.9</v>
      </c>
      <c r="N780" s="12">
        <f>ROUND(L780/M780, 0)</f>
        <v/>
      </c>
      <c r="O780" s="12">
        <f>ROUND(N780*'Methodology &amp; Assumptions'!$B$5, 0)</f>
        <v/>
      </c>
      <c r="P780" s="10" t="inlineStr">
        <is>
          <t>Single Carrier (Band n50, 100MHz TDD)</t>
        </is>
      </c>
      <c r="Q780" s="13">
        <f>ROUNDUP(O780/'Methodology &amp; Assumptions'!$B$6, 0)</f>
        <v/>
      </c>
      <c r="R780" s="13" t="n">
        <v>1</v>
      </c>
      <c r="S780" s="14" t="n">
        <v>2.56</v>
      </c>
      <c r="T780" s="14" t="n">
        <v>0.53</v>
      </c>
      <c r="U780" s="26">
        <f>IF(X780&gt;='Methodology &amp; Assumptions'!$B$7, "Tier 1 Critical GIDA (Score ≥ 50.0)", IF(X780&gt;='Methodology &amp; Assumptions'!$B$8, "Tier 2 High GIDA (Score 40.0–49.9)", "Tier 3 Moderate GIDA (Score &lt; 40.0)"))</f>
        <v/>
      </c>
      <c r="V780" s="26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W780" s="28" t="n">
        <v>0.109</v>
      </c>
      <c r="X780" s="14" t="n">
        <v>49.6</v>
      </c>
      <c r="Y780" s="14">
        <f>ROUND(MIN(100, (X780/69.91)*100), 2)</f>
        <v/>
      </c>
    </row>
    <row r="781">
      <c r="A781" s="10" t="n">
        <v>2</v>
      </c>
      <c r="B781" s="10" t="n">
        <v>777</v>
      </c>
      <c r="C781" s="10" t="n">
        <v>1777</v>
      </c>
      <c r="D781" s="10" t="inlineStr">
        <is>
          <t>1380601149</t>
        </is>
      </c>
      <c r="E781" s="26" t="inlineStr">
        <is>
          <t>National Capital Region (NCR)</t>
        </is>
      </c>
      <c r="F781" s="26" t="inlineStr">
        <is>
          <t>First District (Not a Province)</t>
        </is>
      </c>
      <c r="G781" s="26" t="inlineStr">
        <is>
          <t>City of Manila</t>
        </is>
      </c>
      <c r="H781" s="26" t="inlineStr">
        <is>
          <t>Barangay 149</t>
        </is>
      </c>
      <c r="I781" s="27" t="n">
        <v>13.240545</v>
      </c>
      <c r="J781" s="27" t="n">
        <v>121.725268</v>
      </c>
      <c r="K781" s="10" t="inlineStr">
        <is>
          <t>U</t>
        </is>
      </c>
      <c r="L781" s="12" t="n">
        <v>1601</v>
      </c>
      <c r="M781" s="14" t="n">
        <v>3.9</v>
      </c>
      <c r="N781" s="12">
        <f>ROUND(L781/M781, 0)</f>
        <v/>
      </c>
      <c r="O781" s="12">
        <f>ROUND(N781*'Methodology &amp; Assumptions'!$B$5, 0)</f>
        <v/>
      </c>
      <c r="P781" s="10" t="inlineStr">
        <is>
          <t>Single Carrier (Band n50, 100MHz TDD)</t>
        </is>
      </c>
      <c r="Q781" s="13">
        <f>ROUNDUP(O781/'Methodology &amp; Assumptions'!$B$6, 0)</f>
        <v/>
      </c>
      <c r="R781" s="13" t="n">
        <v>1</v>
      </c>
      <c r="S781" s="14" t="n">
        <v>30.73</v>
      </c>
      <c r="T781" s="14" t="n">
        <v>34.78</v>
      </c>
      <c r="U781" s="26">
        <f>IF(X781&gt;='Methodology &amp; Assumptions'!$B$7, "Tier 1 Critical GIDA (Score ≥ 50.0)", IF(X781&gt;='Methodology &amp; Assumptions'!$B$8, "Tier 2 High GIDA (Score 40.0–49.9)", "Tier 3 Moderate GIDA (Score &lt; 40.0)"))</f>
        <v/>
      </c>
      <c r="V781" s="26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W781" s="28" t="n">
        <v>0.109</v>
      </c>
      <c r="X781" s="14" t="n">
        <v>49.6</v>
      </c>
      <c r="Y781" s="14">
        <f>ROUND(MIN(100, (X781/69.91)*100), 2)</f>
        <v/>
      </c>
    </row>
    <row r="782">
      <c r="A782" s="10" t="n">
        <v>2</v>
      </c>
      <c r="B782" s="10" t="n">
        <v>778</v>
      </c>
      <c r="C782" s="10" t="n">
        <v>1778</v>
      </c>
      <c r="D782" s="10" t="inlineStr">
        <is>
          <t>0405622014</t>
        </is>
      </c>
      <c r="E782" s="26" t="inlineStr">
        <is>
          <t>Region IV-A (CALABARZON)</t>
        </is>
      </c>
      <c r="F782" s="26" t="inlineStr">
        <is>
          <t>Quezon</t>
        </is>
      </c>
      <c r="G782" s="26" t="inlineStr">
        <is>
          <t>Lopez</t>
        </is>
      </c>
      <c r="H782" s="26" t="inlineStr">
        <is>
          <t>Binahian C</t>
        </is>
      </c>
      <c r="I782" s="27" t="n">
        <v>13.843263</v>
      </c>
      <c r="J782" s="27" t="n">
        <v>122.289407</v>
      </c>
      <c r="K782" s="10" t="inlineStr">
        <is>
          <t>R</t>
        </is>
      </c>
      <c r="L782" s="12" t="n">
        <v>166</v>
      </c>
      <c r="M782" s="14" t="n">
        <v>3.8</v>
      </c>
      <c r="N782" s="12">
        <f>ROUND(L782/M782, 0)</f>
        <v/>
      </c>
      <c r="O782" s="12">
        <f>ROUND(N782*'Methodology &amp; Assumptions'!$B$5, 0)</f>
        <v/>
      </c>
      <c r="P782" s="10" t="inlineStr">
        <is>
          <t>Single Carrier (Band n50, 100MHz TDD)</t>
        </is>
      </c>
      <c r="Q782" s="13">
        <f>ROUNDUP(O782/'Methodology &amp; Assumptions'!$B$6, 0)</f>
        <v/>
      </c>
      <c r="R782" s="13" t="n">
        <v>1</v>
      </c>
      <c r="S782" s="14" t="n">
        <v>5.7</v>
      </c>
      <c r="T782" s="14" t="n">
        <v>4.34</v>
      </c>
      <c r="U782" s="26">
        <f>IF(X782&gt;='Methodology &amp; Assumptions'!$B$7, "Tier 1 Critical GIDA (Score ≥ 50.0)", IF(X782&gt;='Methodology &amp; Assumptions'!$B$8, "Tier 2 High GIDA (Score 40.0–49.9)", "Tier 3 Moderate GIDA (Score &lt; 40.0)"))</f>
        <v/>
      </c>
      <c r="V782" s="26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W782" s="28" t="n">
        <v>0.07200000000000001</v>
      </c>
      <c r="X782" s="14" t="n">
        <v>49.6</v>
      </c>
      <c r="Y782" s="14">
        <f>ROUND(MIN(100, (X782/69.91)*100), 2)</f>
        <v/>
      </c>
    </row>
    <row r="783">
      <c r="A783" s="10" t="n">
        <v>2</v>
      </c>
      <c r="B783" s="10" t="n">
        <v>779</v>
      </c>
      <c r="C783" s="10" t="n">
        <v>1779</v>
      </c>
      <c r="D783" s="10" t="inlineStr">
        <is>
          <t>0401005057</t>
        </is>
      </c>
      <c r="E783" s="26" t="inlineStr">
        <is>
          <t>Region IV-A (CALABARZON)</t>
        </is>
      </c>
      <c r="F783" s="26" t="inlineStr">
        <is>
          <t>Batangas</t>
        </is>
      </c>
      <c r="G783" s="26" t="inlineStr">
        <is>
          <t>Batangas City</t>
        </is>
      </c>
      <c r="H783" s="26" t="inlineStr">
        <is>
          <t>Barangay 11</t>
        </is>
      </c>
      <c r="I783" s="27" t="n">
        <v>13.760931</v>
      </c>
      <c r="J783" s="27" t="n">
        <v>121.060466</v>
      </c>
      <c r="K783" s="10" t="inlineStr">
        <is>
          <t>R</t>
        </is>
      </c>
      <c r="L783" s="12" t="n">
        <v>357</v>
      </c>
      <c r="M783" s="14" t="n">
        <v>3.6</v>
      </c>
      <c r="N783" s="12">
        <f>ROUND(L783/M783, 0)</f>
        <v/>
      </c>
      <c r="O783" s="12">
        <f>ROUND(N783*'Methodology &amp; Assumptions'!$B$5, 0)</f>
        <v/>
      </c>
      <c r="P783" s="10" t="inlineStr">
        <is>
          <t>Single Carrier (Band n50, 100MHz TDD)</t>
        </is>
      </c>
      <c r="Q783" s="13">
        <f>ROUNDUP(O783/'Methodology &amp; Assumptions'!$B$6, 0)</f>
        <v/>
      </c>
      <c r="R783" s="13" t="n">
        <v>1</v>
      </c>
      <c r="S783" s="14" t="n">
        <v>0.42</v>
      </c>
      <c r="T783" s="14" t="n">
        <v>0.33</v>
      </c>
      <c r="U783" s="26">
        <f>IF(X783&gt;='Methodology &amp; Assumptions'!$B$7, "Tier 1 Critical GIDA (Score ≥ 50.0)", IF(X783&gt;='Methodology &amp; Assumptions'!$B$8, "Tier 2 High GIDA (Score 40.0–49.9)", "Tier 3 Moderate GIDA (Score &lt; 40.0)"))</f>
        <v/>
      </c>
      <c r="V783" s="26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W783" s="28" t="n">
        <v>0.07200000000000001</v>
      </c>
      <c r="X783" s="14" t="n">
        <v>49.6</v>
      </c>
      <c r="Y783" s="14">
        <f>ROUND(MIN(100, (X783/69.91)*100), 2)</f>
        <v/>
      </c>
    </row>
    <row r="784">
      <c r="A784" s="10" t="n">
        <v>2</v>
      </c>
      <c r="B784" s="10" t="n">
        <v>780</v>
      </c>
      <c r="C784" s="10" t="n">
        <v>1780</v>
      </c>
      <c r="D784" s="10" t="inlineStr">
        <is>
          <t>1381100140</t>
        </is>
      </c>
      <c r="E784" s="26" t="inlineStr">
        <is>
          <t>National Capital Region (NCR)</t>
        </is>
      </c>
      <c r="F784" s="26" t="inlineStr">
        <is>
          <t>Fourth District (Not a Province)</t>
        </is>
      </c>
      <c r="G784" s="26" t="inlineStr">
        <is>
          <t>Pasay City</t>
        </is>
      </c>
      <c r="H784" s="26" t="inlineStr">
        <is>
          <t>Barangay 140</t>
        </is>
      </c>
      <c r="I784" s="27" t="n">
        <v>14.622799</v>
      </c>
      <c r="J784" s="27" t="n">
        <v>121.038752</v>
      </c>
      <c r="K784" s="10" t="inlineStr">
        <is>
          <t>U</t>
        </is>
      </c>
      <c r="L784" s="12" t="n">
        <v>607</v>
      </c>
      <c r="M784" s="14" t="n">
        <v>3.4</v>
      </c>
      <c r="N784" s="12">
        <f>ROUND(L784/M784, 0)</f>
        <v/>
      </c>
      <c r="O784" s="12">
        <f>ROUND(N784*'Methodology &amp; Assumptions'!$B$5, 0)</f>
        <v/>
      </c>
      <c r="P784" s="10" t="inlineStr">
        <is>
          <t>Single Carrier (Band n50, 100MHz TDD)</t>
        </is>
      </c>
      <c r="Q784" s="13">
        <f>ROUNDUP(O784/'Methodology &amp; Assumptions'!$B$6, 0)</f>
        <v/>
      </c>
      <c r="R784" s="13" t="n">
        <v>1</v>
      </c>
      <c r="S784" s="14" t="n">
        <v>1.91</v>
      </c>
      <c r="T784" s="14" t="n">
        <v>0.06</v>
      </c>
      <c r="U784" s="26">
        <f>IF(X784&gt;='Methodology &amp; Assumptions'!$B$7, "Tier 1 Critical GIDA (Score ≥ 50.0)", IF(X784&gt;='Methodology &amp; Assumptions'!$B$8, "Tier 2 High GIDA (Score 40.0–49.9)", "Tier 3 Moderate GIDA (Score &lt; 40.0)"))</f>
        <v/>
      </c>
      <c r="V784" s="26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W784" s="28" t="n">
        <v>0.109</v>
      </c>
      <c r="X784" s="14" t="n">
        <v>49.6</v>
      </c>
      <c r="Y784" s="14">
        <f>ROUND(MIN(100, (X784/69.91)*100), 2)</f>
        <v/>
      </c>
    </row>
    <row r="785">
      <c r="A785" s="10" t="n">
        <v>2</v>
      </c>
      <c r="B785" s="10" t="n">
        <v>781</v>
      </c>
      <c r="C785" s="10" t="n">
        <v>1781</v>
      </c>
      <c r="D785" s="10" t="inlineStr">
        <is>
          <t>PH0001781</t>
        </is>
      </c>
      <c r="E785" s="26" t="inlineStr">
        <is>
          <t>I</t>
        </is>
      </c>
      <c r="F785" s="26" t="inlineStr">
        <is>
          <t>Pangasinan</t>
        </is>
      </c>
      <c r="G785" s="26" t="inlineStr">
        <is>
          <t>Dagupan City</t>
        </is>
      </c>
      <c r="H785" s="26" t="inlineStr">
        <is>
          <t>Barangay IV</t>
        </is>
      </c>
      <c r="I785" s="27" t="n">
        <v>16.045464</v>
      </c>
      <c r="J785" s="27" t="n">
        <v>120.345168</v>
      </c>
      <c r="K785" s="10" t="inlineStr">
        <is>
          <t>R</t>
        </is>
      </c>
      <c r="L785" s="12" t="n">
        <v>2218</v>
      </c>
      <c r="M785" s="14" t="n">
        <v>3.6</v>
      </c>
      <c r="N785" s="12">
        <f>ROUND(L785/M785, 0)</f>
        <v/>
      </c>
      <c r="O785" s="12">
        <f>ROUND(N785*'Methodology &amp; Assumptions'!$B$5, 0)</f>
        <v/>
      </c>
      <c r="P785" s="10" t="inlineStr">
        <is>
          <t>Single Carrier (Band n50, 100MHz TDD)</t>
        </is>
      </c>
      <c r="Q785" s="13">
        <f>ROUNDUP(O785/'Methodology &amp; Assumptions'!$B$6, 0)</f>
        <v/>
      </c>
      <c r="R785" s="13" t="n">
        <v>1</v>
      </c>
      <c r="S785" s="14" t="n">
        <v>3.16</v>
      </c>
      <c r="T785" s="14" t="n">
        <v>0.09</v>
      </c>
      <c r="U785" s="26">
        <f>IF(X785&gt;='Methodology &amp; Assumptions'!$B$7, "Tier 1 Critical GIDA (Score ≥ 50.0)", IF(X785&gt;='Methodology &amp; Assumptions'!$B$8, "Tier 2 High GIDA (Score 40.0–49.9)", "Tier 3 Moderate GIDA (Score &lt; 40.0)"))</f>
        <v/>
      </c>
      <c r="V785" s="26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W785" s="28" t="n">
        <v>0.083</v>
      </c>
      <c r="X785" s="14" t="n">
        <v>49.59</v>
      </c>
      <c r="Y785" s="14">
        <f>ROUND(MIN(100, (X785/69.91)*100), 2)</f>
        <v/>
      </c>
    </row>
    <row r="786">
      <c r="A786" s="10" t="n">
        <v>2</v>
      </c>
      <c r="B786" s="10" t="n">
        <v>782</v>
      </c>
      <c r="C786" s="10" t="n">
        <v>1782</v>
      </c>
      <c r="D786" s="10" t="inlineStr">
        <is>
          <t>PH0001782</t>
        </is>
      </c>
      <c r="E786" s="26" t="inlineStr">
        <is>
          <t>CAR</t>
        </is>
      </c>
      <c r="F786" s="26" t="inlineStr">
        <is>
          <t>Benguet</t>
        </is>
      </c>
      <c r="G786" s="26" t="inlineStr">
        <is>
          <t>Baguio City</t>
        </is>
      </c>
      <c r="H786" s="26" t="inlineStr">
        <is>
          <t>Happy Homes</t>
        </is>
      </c>
      <c r="I786" s="27" t="n">
        <v>16.403918</v>
      </c>
      <c r="J786" s="27" t="n">
        <v>120.605977</v>
      </c>
      <c r="K786" s="10" t="inlineStr">
        <is>
          <t>R</t>
        </is>
      </c>
      <c r="L786" s="12" t="n">
        <v>2260</v>
      </c>
      <c r="M786" s="14" t="n">
        <v>3.5</v>
      </c>
      <c r="N786" s="12">
        <f>ROUND(L786/M786, 0)</f>
        <v/>
      </c>
      <c r="O786" s="12">
        <f>ROUND(N786*'Methodology &amp; Assumptions'!$B$5, 0)</f>
        <v/>
      </c>
      <c r="P786" s="10" t="inlineStr">
        <is>
          <t>Single Carrier (Band n50, 100MHz TDD)</t>
        </is>
      </c>
      <c r="Q786" s="13">
        <f>ROUNDUP(O786/'Methodology &amp; Assumptions'!$B$6, 0)</f>
        <v/>
      </c>
      <c r="R786" s="13" t="n">
        <v>1</v>
      </c>
      <c r="S786" s="14" t="n">
        <v>0.98</v>
      </c>
      <c r="T786" s="14" t="n">
        <v>0.09</v>
      </c>
      <c r="U786" s="26">
        <f>IF(X786&gt;='Methodology &amp; Assumptions'!$B$7, "Tier 1 Critical GIDA (Score ≥ 50.0)", IF(X786&gt;='Methodology &amp; Assumptions'!$B$8, "Tier 2 High GIDA (Score 40.0–49.9)", "Tier 3 Moderate GIDA (Score &lt; 40.0)"))</f>
        <v/>
      </c>
      <c r="V786" s="26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W786" s="28" t="n">
        <v>0.221</v>
      </c>
      <c r="X786" s="14" t="n">
        <v>49.59</v>
      </c>
      <c r="Y786" s="14">
        <f>ROUND(MIN(100, (X786/69.91)*100), 2)</f>
        <v/>
      </c>
    </row>
    <row r="787">
      <c r="A787" s="10" t="n">
        <v>2</v>
      </c>
      <c r="B787" s="10" t="n">
        <v>783</v>
      </c>
      <c r="C787" s="10" t="n">
        <v>1783</v>
      </c>
      <c r="D787" s="10" t="inlineStr">
        <is>
          <t>1380606084</t>
        </is>
      </c>
      <c r="E787" s="26" t="inlineStr">
        <is>
          <t>National Capital Region (NCR)</t>
        </is>
      </c>
      <c r="F787" s="26" t="inlineStr">
        <is>
          <t>First District (Not a Province)</t>
        </is>
      </c>
      <c r="G787" s="26" t="inlineStr">
        <is>
          <t>City of Manila</t>
        </is>
      </c>
      <c r="H787" s="26" t="inlineStr">
        <is>
          <t>Barangay 478</t>
        </is>
      </c>
      <c r="I787" s="27" t="n">
        <v>12.644884</v>
      </c>
      <c r="J787" s="27" t="n">
        <v>122.061065</v>
      </c>
      <c r="K787" s="10" t="inlineStr">
        <is>
          <t>U</t>
        </is>
      </c>
      <c r="L787" s="12" t="n">
        <v>1163</v>
      </c>
      <c r="M787" s="14" t="n">
        <v>3.9</v>
      </c>
      <c r="N787" s="12">
        <f>ROUND(L787/M787, 0)</f>
        <v/>
      </c>
      <c r="O787" s="12">
        <f>ROUND(N787*'Methodology &amp; Assumptions'!$B$5, 0)</f>
        <v/>
      </c>
      <c r="P787" s="10" t="inlineStr">
        <is>
          <t>Single Carrier (Band n50, 100MHz TDD)</t>
        </is>
      </c>
      <c r="Q787" s="13">
        <f>ROUNDUP(O787/'Methodology &amp; Assumptions'!$B$6, 0)</f>
        <v/>
      </c>
      <c r="R787" s="13" t="n">
        <v>1</v>
      </c>
      <c r="S787" s="14" t="n">
        <v>55.46</v>
      </c>
      <c r="T787" s="14" t="n">
        <v>46.59</v>
      </c>
      <c r="U787" s="26">
        <f>IF(X787&gt;='Methodology &amp; Assumptions'!$B$7, "Tier 1 Critical GIDA (Score ≥ 50.0)", IF(X787&gt;='Methodology &amp; Assumptions'!$B$8, "Tier 2 High GIDA (Score 40.0–49.9)", "Tier 3 Moderate GIDA (Score &lt; 40.0)"))</f>
        <v/>
      </c>
      <c r="V787" s="26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W787" s="28" t="n">
        <v>0.109</v>
      </c>
      <c r="X787" s="14" t="n">
        <v>49.58</v>
      </c>
      <c r="Y787" s="14">
        <f>ROUND(MIN(100, (X787/69.91)*100), 2)</f>
        <v/>
      </c>
    </row>
    <row r="788">
      <c r="A788" s="10" t="n">
        <v>2</v>
      </c>
      <c r="B788" s="10" t="n">
        <v>784</v>
      </c>
      <c r="C788" s="10" t="n">
        <v>1784</v>
      </c>
      <c r="D788" s="10" t="inlineStr">
        <is>
          <t>0102811022</t>
        </is>
      </c>
      <c r="E788" s="26" t="inlineStr">
        <is>
          <t>Region I (Ilocos Region)</t>
        </is>
      </c>
      <c r="F788" s="26" t="inlineStr">
        <is>
          <t>Ilocos Norte</t>
        </is>
      </c>
      <c r="G788" s="26" t="inlineStr">
        <is>
          <t>Banna</t>
        </is>
      </c>
      <c r="H788" s="26" t="inlineStr">
        <is>
          <t>Binacag</t>
        </is>
      </c>
      <c r="I788" s="27" t="n">
        <v>17.922745</v>
      </c>
      <c r="J788" s="27" t="n">
        <v>120.636034</v>
      </c>
      <c r="K788" s="10" t="inlineStr">
        <is>
          <t>R</t>
        </is>
      </c>
      <c r="L788" s="12" t="n">
        <v>967</v>
      </c>
      <c r="M788" s="14" t="n">
        <v>3.7</v>
      </c>
      <c r="N788" s="12">
        <f>ROUND(L788/M788, 0)</f>
        <v/>
      </c>
      <c r="O788" s="12">
        <f>ROUND(N788*'Methodology &amp; Assumptions'!$B$5, 0)</f>
        <v/>
      </c>
      <c r="P788" s="10" t="inlineStr">
        <is>
          <t>Single Carrier (Band n50, 100MHz TDD)</t>
        </is>
      </c>
      <c r="Q788" s="13">
        <f>ROUNDUP(O788/'Methodology &amp; Assumptions'!$B$6, 0)</f>
        <v/>
      </c>
      <c r="R788" s="13" t="n">
        <v>1</v>
      </c>
      <c r="S788" s="14" t="n">
        <v>2.5</v>
      </c>
      <c r="T788" s="14" t="n">
        <v>2.31</v>
      </c>
      <c r="U788" s="26">
        <f>IF(X788&gt;='Methodology &amp; Assumptions'!$B$7, "Tier 1 Critical GIDA (Score ≥ 50.0)", IF(X788&gt;='Methodology &amp; Assumptions'!$B$8, "Tier 2 High GIDA (Score 40.0–49.9)", "Tier 3 Moderate GIDA (Score &lt; 40.0)"))</f>
        <v/>
      </c>
      <c r="V788" s="26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W788" s="28" t="n">
        <v>0.083</v>
      </c>
      <c r="X788" s="14" t="n">
        <v>49.58</v>
      </c>
      <c r="Y788" s="14">
        <f>ROUND(MIN(100, (X788/69.91)*100), 2)</f>
        <v/>
      </c>
    </row>
    <row r="789">
      <c r="A789" s="10" t="n">
        <v>2</v>
      </c>
      <c r="B789" s="10" t="n">
        <v>785</v>
      </c>
      <c r="C789" s="10" t="n">
        <v>1785</v>
      </c>
      <c r="D789" s="10" t="inlineStr">
        <is>
          <t>1400109002</t>
        </is>
      </c>
      <c r="E789" s="26" t="inlineStr">
        <is>
          <t>Cordillera Administrative Region (CAR)</t>
        </is>
      </c>
      <c r="F789" s="26" t="inlineStr">
        <is>
          <t>Abra</t>
        </is>
      </c>
      <c r="G789" s="26" t="inlineStr">
        <is>
          <t>Lacub</t>
        </is>
      </c>
      <c r="H789" s="26" t="inlineStr">
        <is>
          <t>Buneg</t>
        </is>
      </c>
      <c r="I789" s="27" t="n">
        <v>17.667265</v>
      </c>
      <c r="J789" s="27" t="n">
        <v>120.971173</v>
      </c>
      <c r="K789" s="10" t="inlineStr">
        <is>
          <t>R</t>
        </is>
      </c>
      <c r="L789" s="12" t="n">
        <v>851</v>
      </c>
      <c r="M789" s="14" t="n">
        <v>3.8</v>
      </c>
      <c r="N789" s="12">
        <f>ROUND(L789/M789, 0)</f>
        <v/>
      </c>
      <c r="O789" s="12">
        <f>ROUND(N789*'Methodology &amp; Assumptions'!$B$5, 0)</f>
        <v/>
      </c>
      <c r="P789" s="10" t="inlineStr">
        <is>
          <t>Single Carrier (Band n50, 100MHz TDD)</t>
        </is>
      </c>
      <c r="Q789" s="13">
        <f>ROUNDUP(O789/'Methodology &amp; Assumptions'!$B$6, 0)</f>
        <v/>
      </c>
      <c r="R789" s="13" t="n">
        <v>1</v>
      </c>
      <c r="S789" s="14" t="n">
        <v>32.29</v>
      </c>
      <c r="T789" s="14" t="n">
        <v>32.26</v>
      </c>
      <c r="U789" s="26">
        <f>IF(X789&gt;='Methodology &amp; Assumptions'!$B$7, "Tier 1 Critical GIDA (Score ≥ 50.0)", IF(X789&gt;='Methodology &amp; Assumptions'!$B$8, "Tier 2 High GIDA (Score 40.0–49.9)", "Tier 3 Moderate GIDA (Score &lt; 40.0)"))</f>
        <v/>
      </c>
      <c r="V789" s="26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W789" s="28" t="n">
        <v>0.109</v>
      </c>
      <c r="X789" s="14" t="n">
        <v>49.58</v>
      </c>
      <c r="Y789" s="14">
        <f>ROUND(MIN(100, (X789/69.91)*100), 2)</f>
        <v/>
      </c>
    </row>
    <row r="790">
      <c r="A790" s="10" t="n">
        <v>2</v>
      </c>
      <c r="B790" s="10" t="n">
        <v>786</v>
      </c>
      <c r="C790" s="10" t="n">
        <v>1786</v>
      </c>
      <c r="D790" s="10" t="inlineStr">
        <is>
          <t>1381100048</t>
        </is>
      </c>
      <c r="E790" s="26" t="inlineStr">
        <is>
          <t>National Capital Region (NCR)</t>
        </is>
      </c>
      <c r="F790" s="26" t="inlineStr">
        <is>
          <t>Fourth District (Not a Province)</t>
        </is>
      </c>
      <c r="G790" s="26" t="inlineStr">
        <is>
          <t>Pasay City</t>
        </is>
      </c>
      <c r="H790" s="26" t="inlineStr">
        <is>
          <t>Barangay 48</t>
        </is>
      </c>
      <c r="I790" s="27" t="n">
        <v>14.456367</v>
      </c>
      <c r="J790" s="27" t="n">
        <v>121.035505</v>
      </c>
      <c r="K790" s="10" t="inlineStr">
        <is>
          <t>U</t>
        </is>
      </c>
      <c r="L790" s="12" t="n">
        <v>523</v>
      </c>
      <c r="M790" s="14" t="n">
        <v>3.4</v>
      </c>
      <c r="N790" s="12">
        <f>ROUND(L790/M790, 0)</f>
        <v/>
      </c>
      <c r="O790" s="12">
        <f>ROUND(N790*'Methodology &amp; Assumptions'!$B$5, 0)</f>
        <v/>
      </c>
      <c r="P790" s="10" t="inlineStr">
        <is>
          <t>Single Carrier (Band n50, 100MHz TDD)</t>
        </is>
      </c>
      <c r="Q790" s="13">
        <f>ROUNDUP(O790/'Methodology &amp; Assumptions'!$B$6, 0)</f>
        <v/>
      </c>
      <c r="R790" s="13" t="n">
        <v>1</v>
      </c>
      <c r="S790" s="14" t="n">
        <v>0.13</v>
      </c>
      <c r="T790" s="14" t="n">
        <v>0.09</v>
      </c>
      <c r="U790" s="26">
        <f>IF(X790&gt;='Methodology &amp; Assumptions'!$B$7, "Tier 1 Critical GIDA (Score ≥ 50.0)", IF(X790&gt;='Methodology &amp; Assumptions'!$B$8, "Tier 2 High GIDA (Score 40.0–49.9)", "Tier 3 Moderate GIDA (Score &lt; 40.0)"))</f>
        <v/>
      </c>
      <c r="V790" s="26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W790" s="28" t="n">
        <v>0.109</v>
      </c>
      <c r="X790" s="14" t="n">
        <v>49.58</v>
      </c>
      <c r="Y790" s="14">
        <f>ROUND(MIN(100, (X790/69.91)*100), 2)</f>
        <v/>
      </c>
    </row>
    <row r="791">
      <c r="A791" s="10" t="n">
        <v>2</v>
      </c>
      <c r="B791" s="10" t="n">
        <v>787</v>
      </c>
      <c r="C791" s="10" t="n">
        <v>1787</v>
      </c>
      <c r="D791" s="10" t="inlineStr">
        <is>
          <t>1380612035</t>
        </is>
      </c>
      <c r="E791" s="26" t="inlineStr">
        <is>
          <t>National Capital Region (NCR)</t>
        </is>
      </c>
      <c r="F791" s="26" t="inlineStr">
        <is>
          <t>First District (Not a Province)</t>
        </is>
      </c>
      <c r="G791" s="26" t="inlineStr">
        <is>
          <t>City of Manila</t>
        </is>
      </c>
      <c r="H791" s="26" t="inlineStr">
        <is>
          <t>Barangay 868</t>
        </is>
      </c>
      <c r="I791" s="27" t="n">
        <v>12.863707</v>
      </c>
      <c r="J791" s="27" t="n">
        <v>121.398237</v>
      </c>
      <c r="K791" s="10" t="inlineStr">
        <is>
          <t>U</t>
        </is>
      </c>
      <c r="L791" s="12" t="n">
        <v>2937</v>
      </c>
      <c r="M791" s="14" t="n">
        <v>3.9</v>
      </c>
      <c r="N791" s="12">
        <f>ROUND(L791/M791, 0)</f>
        <v/>
      </c>
      <c r="O791" s="12">
        <f>ROUND(N791*'Methodology &amp; Assumptions'!$B$5, 0)</f>
        <v/>
      </c>
      <c r="P791" s="10" t="inlineStr">
        <is>
          <t>Single Carrier (Band n50, 100MHz TDD)</t>
        </is>
      </c>
      <c r="Q791" s="13">
        <f>ROUNDUP(O791/'Methodology &amp; Assumptions'!$B$6, 0)</f>
        <v/>
      </c>
      <c r="R791" s="13" t="n">
        <v>1</v>
      </c>
      <c r="S791" s="14" t="n">
        <v>7.45</v>
      </c>
      <c r="T791" s="14" t="n">
        <v>5.75</v>
      </c>
      <c r="U791" s="26">
        <f>IF(X791&gt;='Methodology &amp; Assumptions'!$B$7, "Tier 1 Critical GIDA (Score ≥ 50.0)", IF(X791&gt;='Methodology &amp; Assumptions'!$B$8, "Tier 2 High GIDA (Score 40.0–49.9)", "Tier 3 Moderate GIDA (Score &lt; 40.0)"))</f>
        <v/>
      </c>
      <c r="V791" s="26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W791" s="28" t="n">
        <v>0.109</v>
      </c>
      <c r="X791" s="14" t="n">
        <v>49.58</v>
      </c>
      <c r="Y791" s="14">
        <f>ROUND(MIN(100, (X791/69.91)*100), 2)</f>
        <v/>
      </c>
    </row>
    <row r="792">
      <c r="A792" s="10" t="n">
        <v>2</v>
      </c>
      <c r="B792" s="10" t="n">
        <v>788</v>
      </c>
      <c r="C792" s="10" t="n">
        <v>1788</v>
      </c>
      <c r="D792" s="10" t="inlineStr">
        <is>
          <t>0401005058</t>
        </is>
      </c>
      <c r="E792" s="26" t="inlineStr">
        <is>
          <t>Region IV-A (CALABARZON)</t>
        </is>
      </c>
      <c r="F792" s="26" t="inlineStr">
        <is>
          <t>Batangas</t>
        </is>
      </c>
      <c r="G792" s="26" t="inlineStr">
        <is>
          <t>Batangas City</t>
        </is>
      </c>
      <c r="H792" s="26" t="inlineStr">
        <is>
          <t>Barangay 12</t>
        </is>
      </c>
      <c r="I792" s="27" t="n">
        <v>13.726736</v>
      </c>
      <c r="J792" s="27" t="n">
        <v>121.106055</v>
      </c>
      <c r="K792" s="10" t="inlineStr">
        <is>
          <t>U</t>
        </is>
      </c>
      <c r="L792" s="12" t="n">
        <v>1431</v>
      </c>
      <c r="M792" s="14" t="n">
        <v>3.6</v>
      </c>
      <c r="N792" s="12">
        <f>ROUND(L792/M792, 0)</f>
        <v/>
      </c>
      <c r="O792" s="12">
        <f>ROUND(N792*'Methodology &amp; Assumptions'!$B$5, 0)</f>
        <v/>
      </c>
      <c r="P792" s="10" t="inlineStr">
        <is>
          <t>Single Carrier (Band n50, 100MHz TDD)</t>
        </is>
      </c>
      <c r="Q792" s="13">
        <f>ROUNDUP(O792/'Methodology &amp; Assumptions'!$B$6, 0)</f>
        <v/>
      </c>
      <c r="R792" s="13" t="n">
        <v>1</v>
      </c>
      <c r="S792" s="14" t="n">
        <v>2.67</v>
      </c>
      <c r="T792" s="14" t="n">
        <v>5.71</v>
      </c>
      <c r="U792" s="26">
        <f>IF(X792&gt;='Methodology &amp; Assumptions'!$B$7, "Tier 1 Critical GIDA (Score ≥ 50.0)", IF(X792&gt;='Methodology &amp; Assumptions'!$B$8, "Tier 2 High GIDA (Score 40.0–49.9)", "Tier 3 Moderate GIDA (Score &lt; 40.0)"))</f>
        <v/>
      </c>
      <c r="V792" s="26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W792" s="28" t="n">
        <v>0.07200000000000001</v>
      </c>
      <c r="X792" s="14" t="n">
        <v>49.57</v>
      </c>
      <c r="Y792" s="14">
        <f>ROUND(MIN(100, (X792/69.91)*100), 2)</f>
        <v/>
      </c>
    </row>
    <row r="793">
      <c r="A793" s="10" t="n">
        <v>2</v>
      </c>
      <c r="B793" s="10" t="n">
        <v>789</v>
      </c>
      <c r="C793" s="10" t="n">
        <v>1789</v>
      </c>
      <c r="D793" s="10" t="inlineStr">
        <is>
          <t>1381100086</t>
        </is>
      </c>
      <c r="E793" s="26" t="inlineStr">
        <is>
          <t>National Capital Region (NCR)</t>
        </is>
      </c>
      <c r="F793" s="26" t="inlineStr">
        <is>
          <t>Fourth District (Not a Province)</t>
        </is>
      </c>
      <c r="G793" s="26" t="inlineStr">
        <is>
          <t>Pasay City</t>
        </is>
      </c>
      <c r="H793" s="26" t="inlineStr">
        <is>
          <t>Barangay 86</t>
        </is>
      </c>
      <c r="I793" s="27" t="n">
        <v>14.583088</v>
      </c>
      <c r="J793" s="27" t="n">
        <v>120.920024</v>
      </c>
      <c r="K793" s="10" t="inlineStr">
        <is>
          <t>U</t>
        </is>
      </c>
      <c r="L793" s="12" t="n">
        <v>1428</v>
      </c>
      <c r="M793" s="14" t="n">
        <v>3.4</v>
      </c>
      <c r="N793" s="12">
        <f>ROUND(L793/M793, 0)</f>
        <v/>
      </c>
      <c r="O793" s="12">
        <f>ROUND(N793*'Methodology &amp; Assumptions'!$B$5, 0)</f>
        <v/>
      </c>
      <c r="P793" s="10" t="inlineStr">
        <is>
          <t>Single Carrier (Band n50, 100MHz TDD)</t>
        </is>
      </c>
      <c r="Q793" s="13">
        <f>ROUNDUP(O793/'Methodology &amp; Assumptions'!$B$6, 0)</f>
        <v/>
      </c>
      <c r="R793" s="13" t="n">
        <v>1</v>
      </c>
      <c r="S793" s="14" t="n">
        <v>4.61</v>
      </c>
      <c r="T793" s="14" t="n">
        <v>5.96</v>
      </c>
      <c r="U793" s="26">
        <f>IF(X793&gt;='Methodology &amp; Assumptions'!$B$7, "Tier 1 Critical GIDA (Score ≥ 50.0)", IF(X793&gt;='Methodology &amp; Assumptions'!$B$8, "Tier 2 High GIDA (Score 40.0–49.9)", "Tier 3 Moderate GIDA (Score &lt; 40.0)"))</f>
        <v/>
      </c>
      <c r="V793" s="26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W793" s="28" t="n">
        <v>0.109</v>
      </c>
      <c r="X793" s="14" t="n">
        <v>49.57</v>
      </c>
      <c r="Y793" s="14">
        <f>ROUND(MIN(100, (X793/69.91)*100), 2)</f>
        <v/>
      </c>
    </row>
    <row r="794">
      <c r="A794" s="10" t="n">
        <v>2</v>
      </c>
      <c r="B794" s="10" t="n">
        <v>790</v>
      </c>
      <c r="C794" s="10" t="n">
        <v>1790</v>
      </c>
      <c r="D794" s="10" t="inlineStr">
        <is>
          <t>1381100067</t>
        </is>
      </c>
      <c r="E794" s="26" t="inlineStr">
        <is>
          <t>National Capital Region (NCR)</t>
        </is>
      </c>
      <c r="F794" s="26" t="inlineStr">
        <is>
          <t>Fourth District (Not a Province)</t>
        </is>
      </c>
      <c r="G794" s="26" t="inlineStr">
        <is>
          <t>Pasay City</t>
        </is>
      </c>
      <c r="H794" s="26" t="inlineStr">
        <is>
          <t>Barangay 67</t>
        </is>
      </c>
      <c r="I794" s="27" t="n">
        <v>14.564905</v>
      </c>
      <c r="J794" s="27" t="n">
        <v>121.096194</v>
      </c>
      <c r="K794" s="10" t="inlineStr">
        <is>
          <t>U</t>
        </is>
      </c>
      <c r="L794" s="12" t="n">
        <v>1135</v>
      </c>
      <c r="M794" s="14" t="n">
        <v>3.4</v>
      </c>
      <c r="N794" s="12">
        <f>ROUND(L794/M794, 0)</f>
        <v/>
      </c>
      <c r="O794" s="12">
        <f>ROUND(N794*'Methodology &amp; Assumptions'!$B$5, 0)</f>
        <v/>
      </c>
      <c r="P794" s="10" t="inlineStr">
        <is>
          <t>Single Carrier (Band n50, 100MHz TDD)</t>
        </is>
      </c>
      <c r="Q794" s="13">
        <f>ROUNDUP(O794/'Methodology &amp; Assumptions'!$B$6, 0)</f>
        <v/>
      </c>
      <c r="R794" s="13" t="n">
        <v>1</v>
      </c>
      <c r="S794" s="14" t="n">
        <v>1.2</v>
      </c>
      <c r="T794" s="14" t="n">
        <v>0.74</v>
      </c>
      <c r="U794" s="26">
        <f>IF(X794&gt;='Methodology &amp; Assumptions'!$B$7, "Tier 1 Critical GIDA (Score ≥ 50.0)", IF(X794&gt;='Methodology &amp; Assumptions'!$B$8, "Tier 2 High GIDA (Score 40.0–49.9)", "Tier 3 Moderate GIDA (Score &lt; 40.0)"))</f>
        <v/>
      </c>
      <c r="V794" s="26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W794" s="28" t="n">
        <v>0.109</v>
      </c>
      <c r="X794" s="14" t="n">
        <v>49.57</v>
      </c>
      <c r="Y794" s="14">
        <f>ROUND(MIN(100, (X794/69.91)*100), 2)</f>
        <v/>
      </c>
    </row>
    <row r="795">
      <c r="A795" s="10" t="n">
        <v>2</v>
      </c>
      <c r="B795" s="10" t="n">
        <v>791</v>
      </c>
      <c r="C795" s="10" t="n">
        <v>1791</v>
      </c>
      <c r="D795" s="10" t="inlineStr">
        <is>
          <t>1380605007</t>
        </is>
      </c>
      <c r="E795" s="26" t="inlineStr">
        <is>
          <t>National Capital Region (NCR)</t>
        </is>
      </c>
      <c r="F795" s="26" t="inlineStr">
        <is>
          <t>First District (Not a Province)</t>
        </is>
      </c>
      <c r="G795" s="26" t="inlineStr">
        <is>
          <t>City of Manila</t>
        </is>
      </c>
      <c r="H795" s="26" t="inlineStr">
        <is>
          <t>Barangay 303</t>
        </is>
      </c>
      <c r="I795" s="27" t="n">
        <v>13.139921</v>
      </c>
      <c r="J795" s="27" t="n">
        <v>122.040937</v>
      </c>
      <c r="K795" s="10" t="inlineStr">
        <is>
          <t>U</t>
        </is>
      </c>
      <c r="L795" s="12" t="n">
        <v>660</v>
      </c>
      <c r="M795" s="14" t="n">
        <v>3.9</v>
      </c>
      <c r="N795" s="12">
        <f>ROUND(L795/M795, 0)</f>
        <v/>
      </c>
      <c r="O795" s="12">
        <f>ROUND(N795*'Methodology &amp; Assumptions'!$B$5, 0)</f>
        <v/>
      </c>
      <c r="P795" s="10" t="inlineStr">
        <is>
          <t>Single Carrier (Band n50, 100MHz TDD)</t>
        </is>
      </c>
      <c r="Q795" s="13">
        <f>ROUNDUP(O795/'Methodology &amp; Assumptions'!$B$6, 0)</f>
        <v/>
      </c>
      <c r="R795" s="13" t="n">
        <v>1</v>
      </c>
      <c r="S795" s="14" t="n">
        <v>56.59</v>
      </c>
      <c r="T795" s="14" t="n">
        <v>57.09</v>
      </c>
      <c r="U795" s="26">
        <f>IF(X795&gt;='Methodology &amp; Assumptions'!$B$7, "Tier 1 Critical GIDA (Score ≥ 50.0)", IF(X795&gt;='Methodology &amp; Assumptions'!$B$8, "Tier 2 High GIDA (Score 40.0–49.9)", "Tier 3 Moderate GIDA (Score &lt; 40.0)"))</f>
        <v/>
      </c>
      <c r="V795" s="26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W795" s="28" t="n">
        <v>0.109</v>
      </c>
      <c r="X795" s="14" t="n">
        <v>49.57</v>
      </c>
      <c r="Y795" s="14">
        <f>ROUND(MIN(100, (X795/69.91)*100), 2)</f>
        <v/>
      </c>
    </row>
    <row r="796">
      <c r="A796" s="10" t="n">
        <v>2</v>
      </c>
      <c r="B796" s="10" t="n">
        <v>792</v>
      </c>
      <c r="C796" s="10" t="n">
        <v>1792</v>
      </c>
      <c r="D796" s="10" t="inlineStr">
        <is>
          <t>1380606198</t>
        </is>
      </c>
      <c r="E796" s="26" t="inlineStr">
        <is>
          <t>National Capital Region (NCR)</t>
        </is>
      </c>
      <c r="F796" s="26" t="inlineStr">
        <is>
          <t>First District (Not a Province)</t>
        </is>
      </c>
      <c r="G796" s="26" t="inlineStr">
        <is>
          <t>City of Manila</t>
        </is>
      </c>
      <c r="H796" s="26" t="inlineStr">
        <is>
          <t>Barangay 591</t>
        </is>
      </c>
      <c r="I796" s="27" t="n">
        <v>12.510694</v>
      </c>
      <c r="J796" s="27" t="n">
        <v>121.757473</v>
      </c>
      <c r="K796" s="10" t="inlineStr">
        <is>
          <t>U</t>
        </is>
      </c>
      <c r="L796" s="12" t="n">
        <v>2574</v>
      </c>
      <c r="M796" s="14" t="n">
        <v>3.9</v>
      </c>
      <c r="N796" s="12">
        <f>ROUND(L796/M796, 0)</f>
        <v/>
      </c>
      <c r="O796" s="12">
        <f>ROUND(N796*'Methodology &amp; Assumptions'!$B$5, 0)</f>
        <v/>
      </c>
      <c r="P796" s="10" t="inlineStr">
        <is>
          <t>Single Carrier (Band n50, 100MHz TDD)</t>
        </is>
      </c>
      <c r="Q796" s="13">
        <f>ROUNDUP(O796/'Methodology &amp; Assumptions'!$B$6, 0)</f>
        <v/>
      </c>
      <c r="R796" s="13" t="n">
        <v>1</v>
      </c>
      <c r="S796" s="14" t="n">
        <v>24.62</v>
      </c>
      <c r="T796" s="14" t="n">
        <v>10.87</v>
      </c>
      <c r="U796" s="26">
        <f>IF(X796&gt;='Methodology &amp; Assumptions'!$B$7, "Tier 1 Critical GIDA (Score ≥ 50.0)", IF(X796&gt;='Methodology &amp; Assumptions'!$B$8, "Tier 2 High GIDA (Score 40.0–49.9)", "Tier 3 Moderate GIDA (Score &lt; 40.0)"))</f>
        <v/>
      </c>
      <c r="V796" s="26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W796" s="28" t="n">
        <v>0.109</v>
      </c>
      <c r="X796" s="14" t="n">
        <v>49.57</v>
      </c>
      <c r="Y796" s="14">
        <f>ROUND(MIN(100, (X796/69.91)*100), 2)</f>
        <v/>
      </c>
    </row>
    <row r="797">
      <c r="A797" s="10" t="n">
        <v>2</v>
      </c>
      <c r="B797" s="10" t="n">
        <v>793</v>
      </c>
      <c r="C797" s="10" t="n">
        <v>1793</v>
      </c>
      <c r="D797" s="10" t="inlineStr">
        <is>
          <t>1381300107</t>
        </is>
      </c>
      <c r="E797" s="26" t="inlineStr">
        <is>
          <t>National Capital Region (NCR)</t>
        </is>
      </c>
      <c r="F797" s="26" t="inlineStr">
        <is>
          <t>Second District (Not a Province)</t>
        </is>
      </c>
      <c r="G797" s="26" t="inlineStr">
        <is>
          <t>Quezon City</t>
        </is>
      </c>
      <c r="H797" s="26" t="inlineStr">
        <is>
          <t>Santa Teresita</t>
        </is>
      </c>
      <c r="I797" s="27" t="n">
        <v>14.664189</v>
      </c>
      <c r="J797" s="27" t="n">
        <v>121.039192</v>
      </c>
      <c r="K797" s="10" t="inlineStr">
        <is>
          <t>U</t>
        </is>
      </c>
      <c r="L797" s="12" t="n">
        <v>12270</v>
      </c>
      <c r="M797" s="14" t="n">
        <v>3.8</v>
      </c>
      <c r="N797" s="12">
        <f>ROUND(L797/M797, 0)</f>
        <v/>
      </c>
      <c r="O797" s="12">
        <f>ROUND(N797*'Methodology &amp; Assumptions'!$B$5, 0)</f>
        <v/>
      </c>
      <c r="P797" s="10" t="inlineStr">
        <is>
          <t>Single Carrier (Band n50, 100MHz TDD)</t>
        </is>
      </c>
      <c r="Q797" s="13">
        <f>ROUNDUP(O797/'Methodology &amp; Assumptions'!$B$6, 0)</f>
        <v/>
      </c>
      <c r="R797" s="13" t="n">
        <v>1</v>
      </c>
      <c r="S797" s="14" t="n">
        <v>0.62</v>
      </c>
      <c r="T797" s="14" t="n">
        <v>0.6</v>
      </c>
      <c r="U797" s="26">
        <f>IF(X797&gt;='Methodology &amp; Assumptions'!$B$7, "Tier 1 Critical GIDA (Score ≥ 50.0)", IF(X797&gt;='Methodology &amp; Assumptions'!$B$8, "Tier 2 High GIDA (Score 40.0–49.9)", "Tier 3 Moderate GIDA (Score &lt; 40.0)"))</f>
        <v/>
      </c>
      <c r="V797" s="26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W797" s="28" t="n">
        <v>0.109</v>
      </c>
      <c r="X797" s="14" t="n">
        <v>49.57</v>
      </c>
      <c r="Y797" s="14">
        <f>ROUND(MIN(100, (X797/69.91)*100), 2)</f>
        <v/>
      </c>
    </row>
    <row r="798">
      <c r="A798" s="10" t="n">
        <v>2</v>
      </c>
      <c r="B798" s="10" t="n">
        <v>794</v>
      </c>
      <c r="C798" s="10" t="n">
        <v>1794</v>
      </c>
      <c r="D798" s="10" t="inlineStr">
        <is>
          <t>1380612017</t>
        </is>
      </c>
      <c r="E798" s="26" t="inlineStr">
        <is>
          <t>National Capital Region (NCR)</t>
        </is>
      </c>
      <c r="F798" s="26" t="inlineStr">
        <is>
          <t>First District (Not a Province)</t>
        </is>
      </c>
      <c r="G798" s="26" t="inlineStr">
        <is>
          <t>City of Manila</t>
        </is>
      </c>
      <c r="H798" s="26" t="inlineStr">
        <is>
          <t>Barangay 849</t>
        </is>
      </c>
      <c r="I798" s="27" t="n">
        <v>13.163678</v>
      </c>
      <c r="J798" s="27" t="n">
        <v>121.529564</v>
      </c>
      <c r="K798" s="10" t="inlineStr">
        <is>
          <t>U</t>
        </is>
      </c>
      <c r="L798" s="12" t="n">
        <v>1905</v>
      </c>
      <c r="M798" s="14" t="n">
        <v>3.9</v>
      </c>
      <c r="N798" s="12">
        <f>ROUND(L798/M798, 0)</f>
        <v/>
      </c>
      <c r="O798" s="12">
        <f>ROUND(N798*'Methodology &amp; Assumptions'!$B$5, 0)</f>
        <v/>
      </c>
      <c r="P798" s="10" t="inlineStr">
        <is>
          <t>Single Carrier (Band n50, 100MHz TDD)</t>
        </is>
      </c>
      <c r="Q798" s="13">
        <f>ROUNDUP(O798/'Methodology &amp; Assumptions'!$B$6, 0)</f>
        <v/>
      </c>
      <c r="R798" s="13" t="n">
        <v>1</v>
      </c>
      <c r="S798" s="14" t="n">
        <v>11.32</v>
      </c>
      <c r="T798" s="14" t="n">
        <v>14.84</v>
      </c>
      <c r="U798" s="26">
        <f>IF(X798&gt;='Methodology &amp; Assumptions'!$B$7, "Tier 1 Critical GIDA (Score ≥ 50.0)", IF(X798&gt;='Methodology &amp; Assumptions'!$B$8, "Tier 2 High GIDA (Score 40.0–49.9)", "Tier 3 Moderate GIDA (Score &lt; 40.0)"))</f>
        <v/>
      </c>
      <c r="V798" s="26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W798" s="28" t="n">
        <v>0.109</v>
      </c>
      <c r="X798" s="14" t="n">
        <v>49.57</v>
      </c>
      <c r="Y798" s="14">
        <f>ROUND(MIN(100, (X798/69.91)*100), 2)</f>
        <v/>
      </c>
    </row>
    <row r="799">
      <c r="A799" s="10" t="n">
        <v>2</v>
      </c>
      <c r="B799" s="10" t="n">
        <v>795</v>
      </c>
      <c r="C799" s="10" t="n">
        <v>1795</v>
      </c>
      <c r="D799" s="10" t="inlineStr">
        <is>
          <t>1380601098</t>
        </is>
      </c>
      <c r="E799" s="26" t="inlineStr">
        <is>
          <t>National Capital Region (NCR)</t>
        </is>
      </c>
      <c r="F799" s="26" t="inlineStr">
        <is>
          <t>First District (Not a Province)</t>
        </is>
      </c>
      <c r="G799" s="26" t="inlineStr">
        <is>
          <t>City of Manila</t>
        </is>
      </c>
      <c r="H799" s="26" t="inlineStr">
        <is>
          <t>Barangay 98</t>
        </is>
      </c>
      <c r="I799" s="27" t="n">
        <v>12.831137</v>
      </c>
      <c r="J799" s="27" t="n">
        <v>122.152394</v>
      </c>
      <c r="K799" s="10" t="inlineStr">
        <is>
          <t>U</t>
        </is>
      </c>
      <c r="L799" s="12" t="n">
        <v>1957</v>
      </c>
      <c r="M799" s="14" t="n">
        <v>3.9</v>
      </c>
      <c r="N799" s="12">
        <f>ROUND(L799/M799, 0)</f>
        <v/>
      </c>
      <c r="O799" s="12">
        <f>ROUND(N799*'Methodology &amp; Assumptions'!$B$5, 0)</f>
        <v/>
      </c>
      <c r="P799" s="10" t="inlineStr">
        <is>
          <t>Single Carrier (Band n50, 100MHz TDD)</t>
        </is>
      </c>
      <c r="Q799" s="13">
        <f>ROUNDUP(O799/'Methodology &amp; Assumptions'!$B$6, 0)</f>
        <v/>
      </c>
      <c r="R799" s="13" t="n">
        <v>1</v>
      </c>
      <c r="S799" s="14" t="n">
        <v>69.67</v>
      </c>
      <c r="T799" s="14" t="n">
        <v>66.58</v>
      </c>
      <c r="U799" s="26">
        <f>IF(X799&gt;='Methodology &amp; Assumptions'!$B$7, "Tier 1 Critical GIDA (Score ≥ 50.0)", IF(X799&gt;='Methodology &amp; Assumptions'!$B$8, "Tier 2 High GIDA (Score 40.0–49.9)", "Tier 3 Moderate GIDA (Score &lt; 40.0)"))</f>
        <v/>
      </c>
      <c r="V799" s="26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W799" s="28" t="n">
        <v>0.109</v>
      </c>
      <c r="X799" s="14" t="n">
        <v>49.57</v>
      </c>
      <c r="Y799" s="14">
        <f>ROUND(MIN(100, (X799/69.91)*100), 2)</f>
        <v/>
      </c>
    </row>
    <row r="800">
      <c r="A800" s="10" t="n">
        <v>2</v>
      </c>
      <c r="B800" s="10" t="n">
        <v>796</v>
      </c>
      <c r="C800" s="10" t="n">
        <v>1796</v>
      </c>
      <c r="D800" s="10" t="inlineStr">
        <is>
          <t>1380605039</t>
        </is>
      </c>
      <c r="E800" s="26" t="inlineStr">
        <is>
          <t>National Capital Region (NCR)</t>
        </is>
      </c>
      <c r="F800" s="26" t="inlineStr">
        <is>
          <t>First District (Not a Province)</t>
        </is>
      </c>
      <c r="G800" s="26" t="inlineStr">
        <is>
          <t>City of Manila</t>
        </is>
      </c>
      <c r="H800" s="26" t="inlineStr">
        <is>
          <t>Barangay 337</t>
        </is>
      </c>
      <c r="I800" s="27" t="n">
        <v>12.665523</v>
      </c>
      <c r="J800" s="27" t="n">
        <v>121.460229</v>
      </c>
      <c r="K800" s="10" t="inlineStr">
        <is>
          <t>U</t>
        </is>
      </c>
      <c r="L800" s="12" t="n">
        <v>1428</v>
      </c>
      <c r="M800" s="14" t="n">
        <v>3.9</v>
      </c>
      <c r="N800" s="12">
        <f>ROUND(L800/M800, 0)</f>
        <v/>
      </c>
      <c r="O800" s="12">
        <f>ROUND(N800*'Methodology &amp; Assumptions'!$B$5, 0)</f>
        <v/>
      </c>
      <c r="P800" s="10" t="inlineStr">
        <is>
          <t>Single Carrier (Band n50, 100MHz TDD)</t>
        </is>
      </c>
      <c r="Q800" s="13">
        <f>ROUNDUP(O800/'Methodology &amp; Assumptions'!$B$6, 0)</f>
        <v/>
      </c>
      <c r="R800" s="13" t="n">
        <v>1</v>
      </c>
      <c r="S800" s="14" t="n">
        <v>9.199999999999999</v>
      </c>
      <c r="T800" s="14" t="n">
        <v>2.6</v>
      </c>
      <c r="U800" s="26">
        <f>IF(X800&gt;='Methodology &amp; Assumptions'!$B$7, "Tier 1 Critical GIDA (Score ≥ 50.0)", IF(X800&gt;='Methodology &amp; Assumptions'!$B$8, "Tier 2 High GIDA (Score 40.0–49.9)", "Tier 3 Moderate GIDA (Score &lt; 40.0)"))</f>
        <v/>
      </c>
      <c r="V800" s="26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W800" s="28" t="n">
        <v>0.109</v>
      </c>
      <c r="X800" s="14" t="n">
        <v>49.57</v>
      </c>
      <c r="Y800" s="14">
        <f>ROUND(MIN(100, (X800/69.91)*100), 2)</f>
        <v/>
      </c>
    </row>
    <row r="801">
      <c r="A801" s="10" t="n">
        <v>2</v>
      </c>
      <c r="B801" s="10" t="n">
        <v>797</v>
      </c>
      <c r="C801" s="10" t="n">
        <v>1797</v>
      </c>
      <c r="D801" s="10" t="inlineStr">
        <is>
          <t>1380612010</t>
        </is>
      </c>
      <c r="E801" s="26" t="inlineStr">
        <is>
          <t>National Capital Region (NCR)</t>
        </is>
      </c>
      <c r="F801" s="26" t="inlineStr">
        <is>
          <t>First District (Not a Province)</t>
        </is>
      </c>
      <c r="G801" s="26" t="inlineStr">
        <is>
          <t>City of Manila</t>
        </is>
      </c>
      <c r="H801" s="26" t="inlineStr">
        <is>
          <t>Barangay 842</t>
        </is>
      </c>
      <c r="I801" s="27" t="n">
        <v>13.245573</v>
      </c>
      <c r="J801" s="27" t="n">
        <v>121.857205</v>
      </c>
      <c r="K801" s="10" t="inlineStr">
        <is>
          <t>U</t>
        </is>
      </c>
      <c r="L801" s="12" t="n">
        <v>2897</v>
      </c>
      <c r="M801" s="14" t="n">
        <v>3.9</v>
      </c>
      <c r="N801" s="12">
        <f>ROUND(L801/M801, 0)</f>
        <v/>
      </c>
      <c r="O801" s="12">
        <f>ROUND(N801*'Methodology &amp; Assumptions'!$B$5, 0)</f>
        <v/>
      </c>
      <c r="P801" s="10" t="inlineStr">
        <is>
          <t>Single Carrier (Band n50, 100MHz TDD)</t>
        </is>
      </c>
      <c r="Q801" s="13">
        <f>ROUNDUP(O801/'Methodology &amp; Assumptions'!$B$6, 0)</f>
        <v/>
      </c>
      <c r="R801" s="13" t="n">
        <v>1</v>
      </c>
      <c r="S801" s="14" t="n">
        <v>42.97</v>
      </c>
      <c r="T801" s="14" t="n">
        <v>46.9</v>
      </c>
      <c r="U801" s="26">
        <f>IF(X801&gt;='Methodology &amp; Assumptions'!$B$7, "Tier 1 Critical GIDA (Score ≥ 50.0)", IF(X801&gt;='Methodology &amp; Assumptions'!$B$8, "Tier 2 High GIDA (Score 40.0–49.9)", "Tier 3 Moderate GIDA (Score &lt; 40.0)"))</f>
        <v/>
      </c>
      <c r="V801" s="26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W801" s="28" t="n">
        <v>0.109</v>
      </c>
      <c r="X801" s="14" t="n">
        <v>49.56</v>
      </c>
      <c r="Y801" s="14">
        <f>ROUND(MIN(100, (X801/69.91)*100), 2)</f>
        <v/>
      </c>
    </row>
    <row r="802">
      <c r="A802" s="10" t="n">
        <v>2</v>
      </c>
      <c r="B802" s="10" t="n">
        <v>798</v>
      </c>
      <c r="C802" s="10" t="n">
        <v>1798</v>
      </c>
      <c r="D802" s="10" t="inlineStr">
        <is>
          <t>1102502004</t>
        </is>
      </c>
      <c r="E802" s="26" t="inlineStr">
        <is>
          <t>Region XI (Davao Region)</t>
        </is>
      </c>
      <c r="F802" s="26" t="inlineStr">
        <is>
          <t>Davao Oriental</t>
        </is>
      </c>
      <c r="G802" s="26" t="inlineStr">
        <is>
          <t>Banaybanay</t>
        </is>
      </c>
      <c r="H802" s="26" t="inlineStr">
        <is>
          <t>Causwagan</t>
        </is>
      </c>
      <c r="I802" s="27" t="n">
        <v>7.009882</v>
      </c>
      <c r="J802" s="27" t="n">
        <v>126.015015</v>
      </c>
      <c r="K802" s="10" t="inlineStr">
        <is>
          <t>R</t>
        </is>
      </c>
      <c r="L802" s="12" t="n">
        <v>831</v>
      </c>
      <c r="M802" s="14" t="n">
        <v>3.6</v>
      </c>
      <c r="N802" s="12">
        <f>ROUND(L802/M802, 0)</f>
        <v/>
      </c>
      <c r="O802" s="12">
        <f>ROUND(N802*'Methodology &amp; Assumptions'!$B$5, 0)</f>
        <v/>
      </c>
      <c r="P802" s="10" t="inlineStr">
        <is>
          <t>Single Carrier (Band n50, 100MHz TDD)</t>
        </is>
      </c>
      <c r="Q802" s="13">
        <f>ROUNDUP(O802/'Methodology &amp; Assumptions'!$B$6, 0)</f>
        <v/>
      </c>
      <c r="R802" s="13" t="n">
        <v>1</v>
      </c>
      <c r="S802" s="14" t="n">
        <v>5.18</v>
      </c>
      <c r="T802" s="14" t="n">
        <v>2.03</v>
      </c>
      <c r="U802" s="26">
        <f>IF(X802&gt;='Methodology &amp; Assumptions'!$B$7, "Tier 1 Critical GIDA (Score ≥ 50.0)", IF(X802&gt;='Methodology &amp; Assumptions'!$B$8, "Tier 2 High GIDA (Score 40.0–49.9)", "Tier 3 Moderate GIDA (Score &lt; 40.0)"))</f>
        <v/>
      </c>
      <c r="V802" s="26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W802" s="28" t="n">
        <v>0.174</v>
      </c>
      <c r="X802" s="14" t="n">
        <v>49.56</v>
      </c>
      <c r="Y802" s="14">
        <f>ROUND(MIN(100, (X802/69.91)*100), 2)</f>
        <v/>
      </c>
    </row>
    <row r="803">
      <c r="A803" s="10" t="n">
        <v>2</v>
      </c>
      <c r="B803" s="10" t="n">
        <v>799</v>
      </c>
      <c r="C803" s="10" t="n">
        <v>1799</v>
      </c>
      <c r="D803" s="10" t="inlineStr">
        <is>
          <t>PH0001799</t>
        </is>
      </c>
      <c r="E803" s="26" t="inlineStr">
        <is>
          <t>CAR</t>
        </is>
      </c>
      <c r="F803" s="26" t="inlineStr">
        <is>
          <t>Benguet</t>
        </is>
      </c>
      <c r="G803" s="26" t="inlineStr">
        <is>
          <t>Baguio City</t>
        </is>
      </c>
      <c r="H803" s="26" t="inlineStr">
        <is>
          <t>Slaughter House Area</t>
        </is>
      </c>
      <c r="I803" s="27" t="n">
        <v>16.400921</v>
      </c>
      <c r="J803" s="27" t="n">
        <v>120.582135</v>
      </c>
      <c r="K803" s="10" t="inlineStr">
        <is>
          <t>R</t>
        </is>
      </c>
      <c r="L803" s="12" t="n">
        <v>2260</v>
      </c>
      <c r="M803" s="14" t="n">
        <v>3.5</v>
      </c>
      <c r="N803" s="12">
        <f>ROUND(L803/M803, 0)</f>
        <v/>
      </c>
      <c r="O803" s="12">
        <f>ROUND(N803*'Methodology &amp; Assumptions'!$B$5, 0)</f>
        <v/>
      </c>
      <c r="P803" s="10" t="inlineStr">
        <is>
          <t>Single Carrier (Band n50, 100MHz TDD)</t>
        </is>
      </c>
      <c r="Q803" s="13">
        <f>ROUNDUP(O803/'Methodology &amp; Assumptions'!$B$6, 0)</f>
        <v/>
      </c>
      <c r="R803" s="13" t="n">
        <v>1</v>
      </c>
      <c r="S803" s="14" t="n">
        <v>1.45</v>
      </c>
      <c r="T803" s="14" t="n">
        <v>0.3</v>
      </c>
      <c r="U803" s="26">
        <f>IF(X803&gt;='Methodology &amp; Assumptions'!$B$7, "Tier 1 Critical GIDA (Score ≥ 50.0)", IF(X803&gt;='Methodology &amp; Assumptions'!$B$8, "Tier 2 High GIDA (Score 40.0–49.9)", "Tier 3 Moderate GIDA (Score &lt; 40.0)"))</f>
        <v/>
      </c>
      <c r="V803" s="26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W803" s="28" t="n">
        <v>0.221</v>
      </c>
      <c r="X803" s="14" t="n">
        <v>49.56</v>
      </c>
      <c r="Y803" s="14">
        <f>ROUND(MIN(100, (X803/69.91)*100), 2)</f>
        <v/>
      </c>
    </row>
    <row r="804">
      <c r="A804" s="10" t="n">
        <v>2</v>
      </c>
      <c r="B804" s="10" t="n">
        <v>800</v>
      </c>
      <c r="C804" s="10" t="n">
        <v>1800</v>
      </c>
      <c r="D804" s="10" t="inlineStr">
        <is>
          <t>0402106051</t>
        </is>
      </c>
      <c r="E804" s="26" t="inlineStr">
        <is>
          <t>Region IV-A (CALABARZON)</t>
        </is>
      </c>
      <c r="F804" s="26" t="inlineStr">
        <is>
          <t>Cavite</t>
        </is>
      </c>
      <c r="G804" s="26" t="inlineStr">
        <is>
          <t>City of Dasmariñas</t>
        </is>
      </c>
      <c r="H804" s="26" t="inlineStr">
        <is>
          <t>Fatima II</t>
        </is>
      </c>
      <c r="I804" s="27" t="n">
        <v>14.305466</v>
      </c>
      <c r="J804" s="27" t="n">
        <v>120.958873</v>
      </c>
      <c r="K804" s="10" t="inlineStr">
        <is>
          <t>U</t>
        </is>
      </c>
      <c r="L804" s="12" t="n">
        <v>4532</v>
      </c>
      <c r="M804" s="14" t="n">
        <v>3.4</v>
      </c>
      <c r="N804" s="12">
        <f>ROUND(L804/M804, 0)</f>
        <v/>
      </c>
      <c r="O804" s="12">
        <f>ROUND(N804*'Methodology &amp; Assumptions'!$B$5, 0)</f>
        <v/>
      </c>
      <c r="P804" s="10" t="inlineStr">
        <is>
          <t>Single Carrier (Band n50, 100MHz TDD)</t>
        </is>
      </c>
      <c r="Q804" s="13">
        <f>ROUNDUP(O804/'Methodology &amp; Assumptions'!$B$6, 0)</f>
        <v/>
      </c>
      <c r="R804" s="13" t="n">
        <v>1</v>
      </c>
      <c r="S804" s="14" t="n">
        <v>0.6</v>
      </c>
      <c r="T804" s="14" t="n">
        <v>0.64</v>
      </c>
      <c r="U804" s="26">
        <f>IF(X804&gt;='Methodology &amp; Assumptions'!$B$7, "Tier 1 Critical GIDA (Score ≥ 50.0)", IF(X804&gt;='Methodology &amp; Assumptions'!$B$8, "Tier 2 High GIDA (Score 40.0–49.9)", "Tier 3 Moderate GIDA (Score &lt; 40.0)"))</f>
        <v/>
      </c>
      <c r="V804" s="26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W804" s="28" t="n">
        <v>0.07200000000000001</v>
      </c>
      <c r="X804" s="14" t="n">
        <v>49.56</v>
      </c>
      <c r="Y804" s="14">
        <f>ROUND(MIN(100, (X804/69.91)*100), 2)</f>
        <v/>
      </c>
    </row>
    <row r="805">
      <c r="A805" s="10" t="n">
        <v>2</v>
      </c>
      <c r="B805" s="10" t="n">
        <v>801</v>
      </c>
      <c r="C805" s="10" t="n">
        <v>1801</v>
      </c>
      <c r="D805" s="10" t="inlineStr">
        <is>
          <t>1381100150</t>
        </is>
      </c>
      <c r="E805" s="26" t="inlineStr">
        <is>
          <t>National Capital Region (NCR)</t>
        </is>
      </c>
      <c r="F805" s="26" t="inlineStr">
        <is>
          <t>Fourth District (Not a Province)</t>
        </is>
      </c>
      <c r="G805" s="26" t="inlineStr">
        <is>
          <t>Pasay City</t>
        </is>
      </c>
      <c r="H805" s="26" t="inlineStr">
        <is>
          <t>Barangay 150</t>
        </is>
      </c>
      <c r="I805" s="27" t="n">
        <v>14.461617</v>
      </c>
      <c r="J805" s="27" t="n">
        <v>120.951521</v>
      </c>
      <c r="K805" s="10" t="inlineStr">
        <is>
          <t>U</t>
        </is>
      </c>
      <c r="L805" s="12" t="n">
        <v>681</v>
      </c>
      <c r="M805" s="14" t="n">
        <v>3.4</v>
      </c>
      <c r="N805" s="12">
        <f>ROUND(L805/M805, 0)</f>
        <v/>
      </c>
      <c r="O805" s="12">
        <f>ROUND(N805*'Methodology &amp; Assumptions'!$B$5, 0)</f>
        <v/>
      </c>
      <c r="P805" s="10" t="inlineStr">
        <is>
          <t>Single Carrier (Band n50, 100MHz TDD)</t>
        </is>
      </c>
      <c r="Q805" s="13">
        <f>ROUNDUP(O805/'Methodology &amp; Assumptions'!$B$6, 0)</f>
        <v/>
      </c>
      <c r="R805" s="13" t="n">
        <v>1</v>
      </c>
      <c r="S805" s="14" t="n">
        <v>0.91</v>
      </c>
      <c r="T805" s="14" t="n">
        <v>0.89</v>
      </c>
      <c r="U805" s="26">
        <f>IF(X805&gt;='Methodology &amp; Assumptions'!$B$7, "Tier 1 Critical GIDA (Score ≥ 50.0)", IF(X805&gt;='Methodology &amp; Assumptions'!$B$8, "Tier 2 High GIDA (Score 40.0–49.9)", "Tier 3 Moderate GIDA (Score &lt; 40.0)"))</f>
        <v/>
      </c>
      <c r="V805" s="26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W805" s="28" t="n">
        <v>0.109</v>
      </c>
      <c r="X805" s="14" t="n">
        <v>49.56</v>
      </c>
      <c r="Y805" s="14">
        <f>ROUND(MIN(100, (X805/69.91)*100), 2)</f>
        <v/>
      </c>
    </row>
    <row r="806">
      <c r="A806" s="10" t="n">
        <v>2</v>
      </c>
      <c r="B806" s="10" t="n">
        <v>802</v>
      </c>
      <c r="C806" s="10" t="n">
        <v>1802</v>
      </c>
      <c r="D806" s="10" t="inlineStr">
        <is>
          <t>1381100078</t>
        </is>
      </c>
      <c r="E806" s="26" t="inlineStr">
        <is>
          <t>National Capital Region (NCR)</t>
        </is>
      </c>
      <c r="F806" s="26" t="inlineStr">
        <is>
          <t>Fourth District (Not a Province)</t>
        </is>
      </c>
      <c r="G806" s="26" t="inlineStr">
        <is>
          <t>Pasay City</t>
        </is>
      </c>
      <c r="H806" s="26" t="inlineStr">
        <is>
          <t>Barangay 78</t>
        </is>
      </c>
      <c r="I806" s="27" t="n">
        <v>14.634845</v>
      </c>
      <c r="J806" s="27" t="n">
        <v>120.986603</v>
      </c>
      <c r="K806" s="10" t="inlineStr">
        <is>
          <t>U</t>
        </is>
      </c>
      <c r="L806" s="12" t="n">
        <v>508</v>
      </c>
      <c r="M806" s="14" t="n">
        <v>3.4</v>
      </c>
      <c r="N806" s="12">
        <f>ROUND(L806/M806, 0)</f>
        <v/>
      </c>
      <c r="O806" s="12">
        <f>ROUND(N806*'Methodology &amp; Assumptions'!$B$5, 0)</f>
        <v/>
      </c>
      <c r="P806" s="10" t="inlineStr">
        <is>
          <t>Single Carrier (Band n50, 100MHz TDD)</t>
        </is>
      </c>
      <c r="Q806" s="13">
        <f>ROUNDUP(O806/'Methodology &amp; Assumptions'!$B$6, 0)</f>
        <v/>
      </c>
      <c r="R806" s="13" t="n">
        <v>1</v>
      </c>
      <c r="S806" s="14" t="n">
        <v>1.55</v>
      </c>
      <c r="T806" s="14" t="n">
        <v>0.46</v>
      </c>
      <c r="U806" s="26">
        <f>IF(X806&gt;='Methodology &amp; Assumptions'!$B$7, "Tier 1 Critical GIDA (Score ≥ 50.0)", IF(X806&gt;='Methodology &amp; Assumptions'!$B$8, "Tier 2 High GIDA (Score 40.0–49.9)", "Tier 3 Moderate GIDA (Score &lt; 40.0)"))</f>
        <v/>
      </c>
      <c r="V806" s="26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W806" s="28" t="n">
        <v>0.109</v>
      </c>
      <c r="X806" s="14" t="n">
        <v>49.56</v>
      </c>
      <c r="Y806" s="14">
        <f>ROUND(MIN(100, (X806/69.91)*100), 2)</f>
        <v/>
      </c>
    </row>
    <row r="807">
      <c r="A807" s="10" t="n">
        <v>2</v>
      </c>
      <c r="B807" s="10" t="n">
        <v>803</v>
      </c>
      <c r="C807" s="10" t="n">
        <v>1803</v>
      </c>
      <c r="D807" s="10" t="inlineStr">
        <is>
          <t>1380611047</t>
        </is>
      </c>
      <c r="E807" s="26" t="inlineStr">
        <is>
          <t>National Capital Region (NCR)</t>
        </is>
      </c>
      <c r="F807" s="26" t="inlineStr">
        <is>
          <t>First District (Not a Province)</t>
        </is>
      </c>
      <c r="G807" s="26" t="inlineStr">
        <is>
          <t>City of Manila</t>
        </is>
      </c>
      <c r="H807" s="26" t="inlineStr">
        <is>
          <t>Barangay 832</t>
        </is>
      </c>
      <c r="I807" s="27" t="n">
        <v>12.553983</v>
      </c>
      <c r="J807" s="27" t="n">
        <v>121.966906</v>
      </c>
      <c r="K807" s="10" t="inlineStr">
        <is>
          <t>U</t>
        </is>
      </c>
      <c r="L807" s="12" t="n">
        <v>2976</v>
      </c>
      <c r="M807" s="14" t="n">
        <v>3.9</v>
      </c>
      <c r="N807" s="12">
        <f>ROUND(L807/M807, 0)</f>
        <v/>
      </c>
      <c r="O807" s="12">
        <f>ROUND(N807*'Methodology &amp; Assumptions'!$B$5, 0)</f>
        <v/>
      </c>
      <c r="P807" s="10" t="inlineStr">
        <is>
          <t>Single Carrier (Band n50, 100MHz TDD)</t>
        </is>
      </c>
      <c r="Q807" s="13">
        <f>ROUNDUP(O807/'Methodology &amp; Assumptions'!$B$6, 0)</f>
        <v/>
      </c>
      <c r="R807" s="13" t="n">
        <v>1</v>
      </c>
      <c r="S807" s="14" t="n">
        <v>45.4</v>
      </c>
      <c r="T807" s="14" t="n">
        <v>33</v>
      </c>
      <c r="U807" s="26">
        <f>IF(X807&gt;='Methodology &amp; Assumptions'!$B$7, "Tier 1 Critical GIDA (Score ≥ 50.0)", IF(X807&gt;='Methodology &amp; Assumptions'!$B$8, "Tier 2 High GIDA (Score 40.0–49.9)", "Tier 3 Moderate GIDA (Score &lt; 40.0)"))</f>
        <v/>
      </c>
      <c r="V807" s="26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W807" s="28" t="n">
        <v>0.109</v>
      </c>
      <c r="X807" s="14" t="n">
        <v>49.56</v>
      </c>
      <c r="Y807" s="14">
        <f>ROUND(MIN(100, (X807/69.91)*100), 2)</f>
        <v/>
      </c>
    </row>
    <row r="808">
      <c r="A808" s="10" t="n">
        <v>2</v>
      </c>
      <c r="B808" s="10" t="n">
        <v>804</v>
      </c>
      <c r="C808" s="10" t="n">
        <v>1804</v>
      </c>
      <c r="D808" s="10" t="inlineStr">
        <is>
          <t>1381100058</t>
        </is>
      </c>
      <c r="E808" s="26" t="inlineStr">
        <is>
          <t>National Capital Region (NCR)</t>
        </is>
      </c>
      <c r="F808" s="26" t="inlineStr">
        <is>
          <t>Fourth District (Not a Province)</t>
        </is>
      </c>
      <c r="G808" s="26" t="inlineStr">
        <is>
          <t>Pasay City</t>
        </is>
      </c>
      <c r="H808" s="26" t="inlineStr">
        <is>
          <t>Barangay 58</t>
        </is>
      </c>
      <c r="I808" s="27" t="n">
        <v>14.482035</v>
      </c>
      <c r="J808" s="27" t="n">
        <v>121.08299</v>
      </c>
      <c r="K808" s="10" t="inlineStr">
        <is>
          <t>U</t>
        </is>
      </c>
      <c r="L808" s="12" t="n">
        <v>1421</v>
      </c>
      <c r="M808" s="14" t="n">
        <v>3.4</v>
      </c>
      <c r="N808" s="12">
        <f>ROUND(L808/M808, 0)</f>
        <v/>
      </c>
      <c r="O808" s="12">
        <f>ROUND(N808*'Methodology &amp; Assumptions'!$B$5, 0)</f>
        <v/>
      </c>
      <c r="P808" s="10" t="inlineStr">
        <is>
          <t>Single Carrier (Band n50, 100MHz TDD)</t>
        </is>
      </c>
      <c r="Q808" s="13">
        <f>ROUNDUP(O808/'Methodology &amp; Assumptions'!$B$6, 0)</f>
        <v/>
      </c>
      <c r="R808" s="13" t="n">
        <v>1</v>
      </c>
      <c r="S808" s="14" t="n">
        <v>2.45</v>
      </c>
      <c r="T808" s="14" t="n">
        <v>2.38</v>
      </c>
      <c r="U808" s="26">
        <f>IF(X808&gt;='Methodology &amp; Assumptions'!$B$7, "Tier 1 Critical GIDA (Score ≥ 50.0)", IF(X808&gt;='Methodology &amp; Assumptions'!$B$8, "Tier 2 High GIDA (Score 40.0–49.9)", "Tier 3 Moderate GIDA (Score &lt; 40.0)"))</f>
        <v/>
      </c>
      <c r="V808" s="26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W808" s="28" t="n">
        <v>0.109</v>
      </c>
      <c r="X808" s="14" t="n">
        <v>49.56</v>
      </c>
      <c r="Y808" s="14">
        <f>ROUND(MIN(100, (X808/69.91)*100), 2)</f>
        <v/>
      </c>
    </row>
    <row r="809">
      <c r="A809" s="10" t="n">
        <v>2</v>
      </c>
      <c r="B809" s="10" t="n">
        <v>805</v>
      </c>
      <c r="C809" s="10" t="n">
        <v>1805</v>
      </c>
      <c r="D809" s="10" t="inlineStr">
        <is>
          <t>1381100075</t>
        </is>
      </c>
      <c r="E809" s="26" t="inlineStr">
        <is>
          <t>National Capital Region (NCR)</t>
        </is>
      </c>
      <c r="F809" s="26" t="inlineStr">
        <is>
          <t>Fourth District (Not a Province)</t>
        </is>
      </c>
      <c r="G809" s="26" t="inlineStr">
        <is>
          <t>Pasay City</t>
        </is>
      </c>
      <c r="H809" s="26" t="inlineStr">
        <is>
          <t>Barangay 75</t>
        </is>
      </c>
      <c r="I809" s="27" t="n">
        <v>14.53237</v>
      </c>
      <c r="J809" s="27" t="n">
        <v>120.902778</v>
      </c>
      <c r="K809" s="10" t="inlineStr">
        <is>
          <t>U</t>
        </is>
      </c>
      <c r="L809" s="12" t="n">
        <v>1364</v>
      </c>
      <c r="M809" s="14" t="n">
        <v>3.4</v>
      </c>
      <c r="N809" s="12">
        <f>ROUND(L809/M809, 0)</f>
        <v/>
      </c>
      <c r="O809" s="12">
        <f>ROUND(N809*'Methodology &amp; Assumptions'!$B$5, 0)</f>
        <v/>
      </c>
      <c r="P809" s="10" t="inlineStr">
        <is>
          <t>Single Carrier (Band n50, 100MHz TDD)</t>
        </is>
      </c>
      <c r="Q809" s="13">
        <f>ROUNDUP(O809/'Methodology &amp; Assumptions'!$B$6, 0)</f>
        <v/>
      </c>
      <c r="R809" s="13" t="n">
        <v>1</v>
      </c>
      <c r="S809" s="14" t="n">
        <v>6.61</v>
      </c>
      <c r="T809" s="14" t="n">
        <v>9.449999999999999</v>
      </c>
      <c r="U809" s="26">
        <f>IF(X809&gt;='Methodology &amp; Assumptions'!$B$7, "Tier 1 Critical GIDA (Score ≥ 50.0)", IF(X809&gt;='Methodology &amp; Assumptions'!$B$8, "Tier 2 High GIDA (Score 40.0–49.9)", "Tier 3 Moderate GIDA (Score &lt; 40.0)"))</f>
        <v/>
      </c>
      <c r="V809" s="26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W809" s="28" t="n">
        <v>0.109</v>
      </c>
      <c r="X809" s="14" t="n">
        <v>49.56</v>
      </c>
      <c r="Y809" s="14">
        <f>ROUND(MIN(100, (X809/69.91)*100), 2)</f>
        <v/>
      </c>
    </row>
    <row r="810">
      <c r="A810" s="10" t="n">
        <v>2</v>
      </c>
      <c r="B810" s="10" t="n">
        <v>806</v>
      </c>
      <c r="C810" s="10" t="n">
        <v>1806</v>
      </c>
      <c r="D810" s="10" t="inlineStr">
        <is>
          <t>1380601061</t>
        </is>
      </c>
      <c r="E810" s="26" t="inlineStr">
        <is>
          <t>National Capital Region (NCR)</t>
        </is>
      </c>
      <c r="F810" s="26" t="inlineStr">
        <is>
          <t>First District (Not a Province)</t>
        </is>
      </c>
      <c r="G810" s="26" t="inlineStr">
        <is>
          <t>City of Manila</t>
        </is>
      </c>
      <c r="H810" s="26" t="inlineStr">
        <is>
          <t>Barangay 61</t>
        </is>
      </c>
      <c r="I810" s="27" t="n">
        <v>12.993203</v>
      </c>
      <c r="J810" s="27" t="n">
        <v>121.404724</v>
      </c>
      <c r="K810" s="10" t="inlineStr">
        <is>
          <t>U</t>
        </is>
      </c>
      <c r="L810" s="12" t="n">
        <v>1053</v>
      </c>
      <c r="M810" s="14" t="n">
        <v>3.9</v>
      </c>
      <c r="N810" s="12">
        <f>ROUND(L810/M810, 0)</f>
        <v/>
      </c>
      <c r="O810" s="12">
        <f>ROUND(N810*'Methodology &amp; Assumptions'!$B$5, 0)</f>
        <v/>
      </c>
      <c r="P810" s="10" t="inlineStr">
        <is>
          <t>Single Carrier (Band n50, 100MHz TDD)</t>
        </is>
      </c>
      <c r="Q810" s="13">
        <f>ROUNDUP(O810/'Methodology &amp; Assumptions'!$B$6, 0)</f>
        <v/>
      </c>
      <c r="R810" s="13" t="n">
        <v>1</v>
      </c>
      <c r="S810" s="14" t="n">
        <v>6.7</v>
      </c>
      <c r="T810" s="14" t="n">
        <v>6.61</v>
      </c>
      <c r="U810" s="26">
        <f>IF(X810&gt;='Methodology &amp; Assumptions'!$B$7, "Tier 1 Critical GIDA (Score ≥ 50.0)", IF(X810&gt;='Methodology &amp; Assumptions'!$B$8, "Tier 2 High GIDA (Score 40.0–49.9)", "Tier 3 Moderate GIDA (Score &lt; 40.0)"))</f>
        <v/>
      </c>
      <c r="V810" s="26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W810" s="28" t="n">
        <v>0.109</v>
      </c>
      <c r="X810" s="14" t="n">
        <v>49.55</v>
      </c>
      <c r="Y810" s="14">
        <f>ROUND(MIN(100, (X810/69.91)*100), 2)</f>
        <v/>
      </c>
    </row>
    <row r="811">
      <c r="A811" s="10" t="n">
        <v>2</v>
      </c>
      <c r="B811" s="10" t="n">
        <v>807</v>
      </c>
      <c r="C811" s="10" t="n">
        <v>1807</v>
      </c>
      <c r="D811" s="10" t="inlineStr">
        <is>
          <t>1381300033</t>
        </is>
      </c>
      <c r="E811" s="26" t="inlineStr">
        <is>
          <t>National Capital Region (NCR)</t>
        </is>
      </c>
      <c r="F811" s="26" t="inlineStr">
        <is>
          <t>Second District (Not a Province)</t>
        </is>
      </c>
      <c r="G811" s="26" t="inlineStr">
        <is>
          <t>Quezon City</t>
        </is>
      </c>
      <c r="H811" s="26" t="inlineStr">
        <is>
          <t>Don Manuel</t>
        </is>
      </c>
      <c r="I811" s="27" t="n">
        <v>14.668296</v>
      </c>
      <c r="J811" s="27" t="n">
        <v>121.05195</v>
      </c>
      <c r="K811" s="10" t="inlineStr">
        <is>
          <t>U</t>
        </is>
      </c>
      <c r="L811" s="12" t="n">
        <v>1801</v>
      </c>
      <c r="M811" s="14" t="n">
        <v>3.8</v>
      </c>
      <c r="N811" s="12">
        <f>ROUND(L811/M811, 0)</f>
        <v/>
      </c>
      <c r="O811" s="12">
        <f>ROUND(N811*'Methodology &amp; Assumptions'!$B$5, 0)</f>
        <v/>
      </c>
      <c r="P811" s="10" t="inlineStr">
        <is>
          <t>Single Carrier (Band n50, 100MHz TDD)</t>
        </is>
      </c>
      <c r="Q811" s="13">
        <f>ROUNDUP(O811/'Methodology &amp; Assumptions'!$B$6, 0)</f>
        <v/>
      </c>
      <c r="R811" s="13" t="n">
        <v>1</v>
      </c>
      <c r="S811" s="14" t="n">
        <v>0.58</v>
      </c>
      <c r="T811" s="14" t="n">
        <v>0.22</v>
      </c>
      <c r="U811" s="26">
        <f>IF(X811&gt;='Methodology &amp; Assumptions'!$B$7, "Tier 1 Critical GIDA (Score ≥ 50.0)", IF(X811&gt;='Methodology &amp; Assumptions'!$B$8, "Tier 2 High GIDA (Score 40.0–49.9)", "Tier 3 Moderate GIDA (Score &lt; 40.0)"))</f>
        <v/>
      </c>
      <c r="V811" s="26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W811" s="28" t="n">
        <v>0.109</v>
      </c>
      <c r="X811" s="14" t="n">
        <v>49.55</v>
      </c>
      <c r="Y811" s="14">
        <f>ROUND(MIN(100, (X811/69.91)*100), 2)</f>
        <v/>
      </c>
    </row>
    <row r="812">
      <c r="A812" s="10" t="n">
        <v>2</v>
      </c>
      <c r="B812" s="10" t="n">
        <v>808</v>
      </c>
      <c r="C812" s="10" t="n">
        <v>1808</v>
      </c>
      <c r="D812" s="10" t="inlineStr">
        <is>
          <t>1380612024</t>
        </is>
      </c>
      <c r="E812" s="26" t="inlineStr">
        <is>
          <t>National Capital Region (NCR)</t>
        </is>
      </c>
      <c r="F812" s="26" t="inlineStr">
        <is>
          <t>First District (Not a Province)</t>
        </is>
      </c>
      <c r="G812" s="26" t="inlineStr">
        <is>
          <t>City of Manila</t>
        </is>
      </c>
      <c r="H812" s="26" t="inlineStr">
        <is>
          <t>Barangay 856</t>
        </is>
      </c>
      <c r="I812" s="27" t="n">
        <v>13.03979</v>
      </c>
      <c r="J812" s="27" t="n">
        <v>122.126174</v>
      </c>
      <c r="K812" s="10" t="inlineStr">
        <is>
          <t>U</t>
        </is>
      </c>
      <c r="L812" s="12" t="n">
        <v>1660</v>
      </c>
      <c r="M812" s="14" t="n">
        <v>3.9</v>
      </c>
      <c r="N812" s="12">
        <f>ROUND(L812/M812, 0)</f>
        <v/>
      </c>
      <c r="O812" s="12">
        <f>ROUND(N812*'Methodology &amp; Assumptions'!$B$5, 0)</f>
        <v/>
      </c>
      <c r="P812" s="10" t="inlineStr">
        <is>
          <t>Single Carrier (Band n50, 100MHz TDD)</t>
        </is>
      </c>
      <c r="Q812" s="13">
        <f>ROUNDUP(O812/'Methodology &amp; Assumptions'!$B$6, 0)</f>
        <v/>
      </c>
      <c r="R812" s="13" t="n">
        <v>1</v>
      </c>
      <c r="S812" s="14" t="n">
        <v>54.47</v>
      </c>
      <c r="T812" s="14" t="n">
        <v>61.51</v>
      </c>
      <c r="U812" s="26">
        <f>IF(X812&gt;='Methodology &amp; Assumptions'!$B$7, "Tier 1 Critical GIDA (Score ≥ 50.0)", IF(X812&gt;='Methodology &amp; Assumptions'!$B$8, "Tier 2 High GIDA (Score 40.0–49.9)", "Tier 3 Moderate GIDA (Score &lt; 40.0)"))</f>
        <v/>
      </c>
      <c r="V812" s="26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W812" s="28" t="n">
        <v>0.109</v>
      </c>
      <c r="X812" s="14" t="n">
        <v>49.55</v>
      </c>
      <c r="Y812" s="14">
        <f>ROUND(MIN(100, (X812/69.91)*100), 2)</f>
        <v/>
      </c>
    </row>
    <row r="813">
      <c r="A813" s="10" t="n">
        <v>2</v>
      </c>
      <c r="B813" s="10" t="n">
        <v>809</v>
      </c>
      <c r="C813" s="10" t="n">
        <v>1809</v>
      </c>
      <c r="D813" s="10" t="inlineStr">
        <is>
          <t>1380606065</t>
        </is>
      </c>
      <c r="E813" s="26" t="inlineStr">
        <is>
          <t>National Capital Region (NCR)</t>
        </is>
      </c>
      <c r="F813" s="26" t="inlineStr">
        <is>
          <t>First District (Not a Province)</t>
        </is>
      </c>
      <c r="G813" s="26" t="inlineStr">
        <is>
          <t>City of Manila</t>
        </is>
      </c>
      <c r="H813" s="26" t="inlineStr">
        <is>
          <t>Barangay 459</t>
        </is>
      </c>
      <c r="I813" s="27" t="n">
        <v>12.528483</v>
      </c>
      <c r="J813" s="27" t="n">
        <v>121.624766</v>
      </c>
      <c r="K813" s="10" t="inlineStr">
        <is>
          <t>U</t>
        </is>
      </c>
      <c r="L813" s="12" t="n">
        <v>775</v>
      </c>
      <c r="M813" s="14" t="n">
        <v>3.9</v>
      </c>
      <c r="N813" s="12">
        <f>ROUND(L813/M813, 0)</f>
        <v/>
      </c>
      <c r="O813" s="12">
        <f>ROUND(N813*'Methodology &amp; Assumptions'!$B$5, 0)</f>
        <v/>
      </c>
      <c r="P813" s="10" t="inlineStr">
        <is>
          <t>Single Carrier (Band n50, 100MHz TDD)</t>
        </is>
      </c>
      <c r="Q813" s="13">
        <f>ROUNDUP(O813/'Methodology &amp; Assumptions'!$B$6, 0)</f>
        <v/>
      </c>
      <c r="R813" s="13" t="n">
        <v>1</v>
      </c>
      <c r="S813" s="14" t="n">
        <v>11.55</v>
      </c>
      <c r="T813" s="14" t="n">
        <v>2.35</v>
      </c>
      <c r="U813" s="26">
        <f>IF(X813&gt;='Methodology &amp; Assumptions'!$B$7, "Tier 1 Critical GIDA (Score ≥ 50.0)", IF(X813&gt;='Methodology &amp; Assumptions'!$B$8, "Tier 2 High GIDA (Score 40.0–49.9)", "Tier 3 Moderate GIDA (Score &lt; 40.0)"))</f>
        <v/>
      </c>
      <c r="V813" s="26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W813" s="28" t="n">
        <v>0.109</v>
      </c>
      <c r="X813" s="14" t="n">
        <v>49.55</v>
      </c>
      <c r="Y813" s="14">
        <f>ROUND(MIN(100, (X813/69.91)*100), 2)</f>
        <v/>
      </c>
    </row>
    <row r="814">
      <c r="A814" s="10" t="n">
        <v>2</v>
      </c>
      <c r="B814" s="10" t="n">
        <v>810</v>
      </c>
      <c r="C814" s="10" t="n">
        <v>1810</v>
      </c>
      <c r="D814" s="10" t="inlineStr">
        <is>
          <t>0401005071</t>
        </is>
      </c>
      <c r="E814" s="26" t="inlineStr">
        <is>
          <t>Region IV-A (CALABARZON)</t>
        </is>
      </c>
      <c r="F814" s="26" t="inlineStr">
        <is>
          <t>Batangas</t>
        </is>
      </c>
      <c r="G814" s="26" t="inlineStr">
        <is>
          <t>Batangas City</t>
        </is>
      </c>
      <c r="H814" s="26" t="inlineStr">
        <is>
          <t>Barangay 24</t>
        </is>
      </c>
      <c r="I814" s="27" t="n">
        <v>13.704046</v>
      </c>
      <c r="J814" s="27" t="n">
        <v>121.077758</v>
      </c>
      <c r="K814" s="10" t="inlineStr">
        <is>
          <t>R</t>
        </is>
      </c>
      <c r="L814" s="12" t="n">
        <v>1449</v>
      </c>
      <c r="M814" s="14" t="n">
        <v>3.6</v>
      </c>
      <c r="N814" s="12">
        <f>ROUND(L814/M814, 0)</f>
        <v/>
      </c>
      <c r="O814" s="12">
        <f>ROUND(N814*'Methodology &amp; Assumptions'!$B$5, 0)</f>
        <v/>
      </c>
      <c r="P814" s="10" t="inlineStr">
        <is>
          <t>Single Carrier (Band n50, 100MHz TDD)</t>
        </is>
      </c>
      <c r="Q814" s="13">
        <f>ROUNDUP(O814/'Methodology &amp; Assumptions'!$B$6, 0)</f>
        <v/>
      </c>
      <c r="R814" s="13" t="n">
        <v>1</v>
      </c>
      <c r="S814" s="14" t="n">
        <v>2.47</v>
      </c>
      <c r="T814" s="14" t="n">
        <v>6.07</v>
      </c>
      <c r="U814" s="26">
        <f>IF(X814&gt;='Methodology &amp; Assumptions'!$B$7, "Tier 1 Critical GIDA (Score ≥ 50.0)", IF(X814&gt;='Methodology &amp; Assumptions'!$B$8, "Tier 2 High GIDA (Score 40.0–49.9)", "Tier 3 Moderate GIDA (Score &lt; 40.0)"))</f>
        <v/>
      </c>
      <c r="V814" s="26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W814" s="28" t="n">
        <v>0.07200000000000001</v>
      </c>
      <c r="X814" s="14" t="n">
        <v>49.55</v>
      </c>
      <c r="Y814" s="14">
        <f>ROUND(MIN(100, (X814/69.91)*100), 2)</f>
        <v/>
      </c>
    </row>
    <row r="815">
      <c r="A815" s="10" t="n">
        <v>2</v>
      </c>
      <c r="B815" s="10" t="n">
        <v>811</v>
      </c>
      <c r="C815" s="10" t="n">
        <v>1811</v>
      </c>
      <c r="D815" s="10" t="inlineStr">
        <is>
          <t>1380606242</t>
        </is>
      </c>
      <c r="E815" s="26" t="inlineStr">
        <is>
          <t>National Capital Region (NCR)</t>
        </is>
      </c>
      <c r="F815" s="26" t="inlineStr">
        <is>
          <t>First District (Not a Province)</t>
        </is>
      </c>
      <c r="G815" s="26" t="inlineStr">
        <is>
          <t>City of Manila</t>
        </is>
      </c>
      <c r="H815" s="26" t="inlineStr">
        <is>
          <t>Barangay 635</t>
        </is>
      </c>
      <c r="I815" s="27" t="n">
        <v>13.238197</v>
      </c>
      <c r="J815" s="27" t="n">
        <v>121.64015</v>
      </c>
      <c r="K815" s="10" t="inlineStr">
        <is>
          <t>U</t>
        </is>
      </c>
      <c r="L815" s="12" t="n">
        <v>680</v>
      </c>
      <c r="M815" s="14" t="n">
        <v>3.9</v>
      </c>
      <c r="N815" s="12">
        <f>ROUND(L815/M815, 0)</f>
        <v/>
      </c>
      <c r="O815" s="12">
        <f>ROUND(N815*'Methodology &amp; Assumptions'!$B$5, 0)</f>
        <v/>
      </c>
      <c r="P815" s="10" t="inlineStr">
        <is>
          <t>Single Carrier (Band n50, 100MHz TDD)</t>
        </is>
      </c>
      <c r="Q815" s="13">
        <f>ROUNDUP(O815/'Methodology &amp; Assumptions'!$B$6, 0)</f>
        <v/>
      </c>
      <c r="R815" s="13" t="n">
        <v>1</v>
      </c>
      <c r="S815" s="14" t="n">
        <v>24.14</v>
      </c>
      <c r="T815" s="14" t="n">
        <v>28.15</v>
      </c>
      <c r="U815" s="26">
        <f>IF(X815&gt;='Methodology &amp; Assumptions'!$B$7, "Tier 1 Critical GIDA (Score ≥ 50.0)", IF(X815&gt;='Methodology &amp; Assumptions'!$B$8, "Tier 2 High GIDA (Score 40.0–49.9)", "Tier 3 Moderate GIDA (Score &lt; 40.0)"))</f>
        <v/>
      </c>
      <c r="V815" s="26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W815" s="28" t="n">
        <v>0.109</v>
      </c>
      <c r="X815" s="14" t="n">
        <v>49.55</v>
      </c>
      <c r="Y815" s="14">
        <f>ROUND(MIN(100, (X815/69.91)*100), 2)</f>
        <v/>
      </c>
    </row>
    <row r="816">
      <c r="A816" s="10" t="n">
        <v>2</v>
      </c>
      <c r="B816" s="10" t="n">
        <v>812</v>
      </c>
      <c r="C816" s="10" t="n">
        <v>1812</v>
      </c>
      <c r="D816" s="10" t="inlineStr">
        <is>
          <t>PH0001812</t>
        </is>
      </c>
      <c r="E816" s="26" t="inlineStr">
        <is>
          <t>V</t>
        </is>
      </c>
      <c r="F816" s="26" t="inlineStr">
        <is>
          <t>Camarines Sur</t>
        </is>
      </c>
      <c r="G816" s="26" t="inlineStr">
        <is>
          <t>Naga City</t>
        </is>
      </c>
      <c r="H816" s="26" t="inlineStr">
        <is>
          <t>Lerma</t>
        </is>
      </c>
      <c r="I816" s="27" t="n">
        <v>13.637136</v>
      </c>
      <c r="J816" s="27" t="n">
        <v>123.227526</v>
      </c>
      <c r="K816" s="10" t="inlineStr">
        <is>
          <t>R</t>
        </is>
      </c>
      <c r="L816" s="12" t="n">
        <v>2195</v>
      </c>
      <c r="M816" s="14" t="n">
        <v>4.2</v>
      </c>
      <c r="N816" s="12">
        <f>ROUND(L816/M816, 0)</f>
        <v/>
      </c>
      <c r="O816" s="12">
        <f>ROUND(N816*'Methodology &amp; Assumptions'!$B$5, 0)</f>
        <v/>
      </c>
      <c r="P816" s="10" t="inlineStr">
        <is>
          <t>Single Carrier (Band n50, 100MHz TDD)</t>
        </is>
      </c>
      <c r="Q816" s="13">
        <f>ROUNDUP(O816/'Methodology &amp; Assumptions'!$B$6, 0)</f>
        <v/>
      </c>
      <c r="R816" s="13" t="n">
        <v>1</v>
      </c>
      <c r="S816" s="14" t="n">
        <v>3.21</v>
      </c>
      <c r="T816" s="14" t="n">
        <v>2.25</v>
      </c>
      <c r="U816" s="26">
        <f>IF(X816&gt;='Methodology &amp; Assumptions'!$B$7, "Tier 1 Critical GIDA (Score ≥ 50.0)", IF(X816&gt;='Methodology &amp; Assumptions'!$B$8, "Tier 2 High GIDA (Score 40.0–49.9)", "Tier 3 Moderate GIDA (Score &lt; 40.0)"))</f>
        <v/>
      </c>
      <c r="V816" s="26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W816" s="28" t="n">
        <v>0.07200000000000001</v>
      </c>
      <c r="X816" s="14" t="n">
        <v>49.55</v>
      </c>
      <c r="Y816" s="14">
        <f>ROUND(MIN(100, (X816/69.91)*100), 2)</f>
        <v/>
      </c>
    </row>
    <row r="817">
      <c r="A817" s="10" t="n">
        <v>2</v>
      </c>
      <c r="B817" s="10" t="n">
        <v>813</v>
      </c>
      <c r="C817" s="10" t="n">
        <v>1813</v>
      </c>
      <c r="D817" s="10" t="inlineStr">
        <is>
          <t>1381100172</t>
        </is>
      </c>
      <c r="E817" s="26" t="inlineStr">
        <is>
          <t>National Capital Region (NCR)</t>
        </is>
      </c>
      <c r="F817" s="26" t="inlineStr">
        <is>
          <t>Fourth District (Not a Province)</t>
        </is>
      </c>
      <c r="G817" s="26" t="inlineStr">
        <is>
          <t>Pasay City</t>
        </is>
      </c>
      <c r="H817" s="26" t="inlineStr">
        <is>
          <t>Barangay 172</t>
        </is>
      </c>
      <c r="I817" s="27" t="n">
        <v>14.614222</v>
      </c>
      <c r="J817" s="27" t="n">
        <v>121.073106</v>
      </c>
      <c r="K817" s="10" t="inlineStr">
        <is>
          <t>U</t>
        </is>
      </c>
      <c r="L817" s="12" t="n">
        <v>5059</v>
      </c>
      <c r="M817" s="14" t="n">
        <v>3.4</v>
      </c>
      <c r="N817" s="12">
        <f>ROUND(L817/M817, 0)</f>
        <v/>
      </c>
      <c r="O817" s="12">
        <f>ROUND(N817*'Methodology &amp; Assumptions'!$B$5, 0)</f>
        <v/>
      </c>
      <c r="P817" s="10" t="inlineStr">
        <is>
          <t>Single Carrier (Band n50, 100MHz TDD)</t>
        </is>
      </c>
      <c r="Q817" s="13">
        <f>ROUNDUP(O817/'Methodology &amp; Assumptions'!$B$6, 0)</f>
        <v/>
      </c>
      <c r="R817" s="13" t="n">
        <v>1</v>
      </c>
      <c r="S817" s="14" t="n">
        <v>1.12</v>
      </c>
      <c r="T817" s="14" t="n">
        <v>0.27</v>
      </c>
      <c r="U817" s="26">
        <f>IF(X817&gt;='Methodology &amp; Assumptions'!$B$7, "Tier 1 Critical GIDA (Score ≥ 50.0)", IF(X817&gt;='Methodology &amp; Assumptions'!$B$8, "Tier 2 High GIDA (Score 40.0–49.9)", "Tier 3 Moderate GIDA (Score &lt; 40.0)"))</f>
        <v/>
      </c>
      <c r="V817" s="26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W817" s="28" t="n">
        <v>0.109</v>
      </c>
      <c r="X817" s="14" t="n">
        <v>49.54</v>
      </c>
      <c r="Y817" s="14">
        <f>ROUND(MIN(100, (X817/69.91)*100), 2)</f>
        <v/>
      </c>
    </row>
    <row r="818">
      <c r="A818" s="10" t="n">
        <v>2</v>
      </c>
      <c r="B818" s="10" t="n">
        <v>814</v>
      </c>
      <c r="C818" s="10" t="n">
        <v>1814</v>
      </c>
      <c r="D818" s="10" t="inlineStr">
        <is>
          <t>PH0001814</t>
        </is>
      </c>
      <c r="E818" s="26" t="inlineStr">
        <is>
          <t>VII</t>
        </is>
      </c>
      <c r="F818" s="26" t="inlineStr">
        <is>
          <t>Cebu</t>
        </is>
      </c>
      <c r="G818" s="26" t="inlineStr">
        <is>
          <t>Talisay City</t>
        </is>
      </c>
      <c r="H818" s="26" t="inlineStr">
        <is>
          <t>Tabunoc</t>
        </is>
      </c>
      <c r="I818" s="27" t="n">
        <v>10.375367</v>
      </c>
      <c r="J818" s="27" t="n">
        <v>123.778556</v>
      </c>
      <c r="K818" s="10" t="inlineStr">
        <is>
          <t>R</t>
        </is>
      </c>
      <c r="L818" s="12" t="n">
        <v>2250</v>
      </c>
      <c r="M818" s="14" t="n">
        <v>3.8</v>
      </c>
      <c r="N818" s="12">
        <f>ROUND(L818/M818, 0)</f>
        <v/>
      </c>
      <c r="O818" s="12">
        <f>ROUND(N818*'Methodology &amp; Assumptions'!$B$5, 0)</f>
        <v/>
      </c>
      <c r="P818" s="10" t="inlineStr">
        <is>
          <t>Single Carrier (Band n50, 100MHz TDD)</t>
        </is>
      </c>
      <c r="Q818" s="13">
        <f>ROUNDUP(O818/'Methodology &amp; Assumptions'!$B$6, 0)</f>
        <v/>
      </c>
      <c r="R818" s="13" t="n">
        <v>1</v>
      </c>
      <c r="S818" s="14" t="n">
        <v>8.380000000000001</v>
      </c>
      <c r="T818" s="14" t="n">
        <v>10.33</v>
      </c>
      <c r="U818" s="26">
        <f>IF(X818&gt;='Methodology &amp; Assumptions'!$B$7, "Tier 1 Critical GIDA (Score ≥ 50.0)", IF(X818&gt;='Methodology &amp; Assumptions'!$B$8, "Tier 2 High GIDA (Score 40.0–49.9)", "Tier 3 Moderate GIDA (Score &lt; 40.0)"))</f>
        <v/>
      </c>
      <c r="V818" s="26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W818" s="28" t="n">
        <v>0.21</v>
      </c>
      <c r="X818" s="14" t="n">
        <v>49.54</v>
      </c>
      <c r="Y818" s="14">
        <f>ROUND(MIN(100, (X818/69.91)*100), 2)</f>
        <v/>
      </c>
    </row>
    <row r="819">
      <c r="A819" s="10" t="n">
        <v>2</v>
      </c>
      <c r="B819" s="10" t="n">
        <v>815</v>
      </c>
      <c r="C819" s="10" t="n">
        <v>1815</v>
      </c>
      <c r="D819" s="10" t="inlineStr">
        <is>
          <t>1381100079</t>
        </is>
      </c>
      <c r="E819" s="26" t="inlineStr">
        <is>
          <t>National Capital Region (NCR)</t>
        </is>
      </c>
      <c r="F819" s="26" t="inlineStr">
        <is>
          <t>Fourth District (Not a Province)</t>
        </is>
      </c>
      <c r="G819" s="26" t="inlineStr">
        <is>
          <t>Pasay City</t>
        </is>
      </c>
      <c r="H819" s="26" t="inlineStr">
        <is>
          <t>Barangay 79</t>
        </is>
      </c>
      <c r="I819" s="27" t="n">
        <v>14.440143</v>
      </c>
      <c r="J819" s="27" t="n">
        <v>121.003713</v>
      </c>
      <c r="K819" s="10" t="inlineStr">
        <is>
          <t>U</t>
        </is>
      </c>
      <c r="L819" s="12" t="n">
        <v>696</v>
      </c>
      <c r="M819" s="14" t="n">
        <v>3.4</v>
      </c>
      <c r="N819" s="12">
        <f>ROUND(L819/M819, 0)</f>
        <v/>
      </c>
      <c r="O819" s="12">
        <f>ROUND(N819*'Methodology &amp; Assumptions'!$B$5, 0)</f>
        <v/>
      </c>
      <c r="P819" s="10" t="inlineStr">
        <is>
          <t>Single Carrier (Band n50, 100MHz TDD)</t>
        </is>
      </c>
      <c r="Q819" s="13">
        <f>ROUNDUP(O819/'Methodology &amp; Assumptions'!$B$6, 0)</f>
        <v/>
      </c>
      <c r="R819" s="13" t="n">
        <v>1</v>
      </c>
      <c r="S819" s="14" t="n">
        <v>0.34</v>
      </c>
      <c r="T819" s="14" t="n">
        <v>0.25</v>
      </c>
      <c r="U819" s="26">
        <f>IF(X819&gt;='Methodology &amp; Assumptions'!$B$7, "Tier 1 Critical GIDA (Score ≥ 50.0)", IF(X819&gt;='Methodology &amp; Assumptions'!$B$8, "Tier 2 High GIDA (Score 40.0–49.9)", "Tier 3 Moderate GIDA (Score &lt; 40.0)"))</f>
        <v/>
      </c>
      <c r="V819" s="26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W819" s="28" t="n">
        <v>0.109</v>
      </c>
      <c r="X819" s="14" t="n">
        <v>49.54</v>
      </c>
      <c r="Y819" s="14">
        <f>ROUND(MIN(100, (X819/69.91)*100), 2)</f>
        <v/>
      </c>
    </row>
    <row r="820">
      <c r="A820" s="10" t="n">
        <v>2</v>
      </c>
      <c r="B820" s="10" t="n">
        <v>816</v>
      </c>
      <c r="C820" s="10" t="n">
        <v>1816</v>
      </c>
      <c r="D820" s="10" t="inlineStr">
        <is>
          <t>1380606018</t>
        </is>
      </c>
      <c r="E820" s="26" t="inlineStr">
        <is>
          <t>National Capital Region (NCR)</t>
        </is>
      </c>
      <c r="F820" s="26" t="inlineStr">
        <is>
          <t>First District (Not a Province)</t>
        </is>
      </c>
      <c r="G820" s="26" t="inlineStr">
        <is>
          <t>City of Manila</t>
        </is>
      </c>
      <c r="H820" s="26" t="inlineStr">
        <is>
          <t>Barangay 412</t>
        </is>
      </c>
      <c r="I820" s="27" t="n">
        <v>12.702918</v>
      </c>
      <c r="J820" s="27" t="n">
        <v>122.12236</v>
      </c>
      <c r="K820" s="10" t="inlineStr">
        <is>
          <t>U</t>
        </is>
      </c>
      <c r="L820" s="12" t="n">
        <v>1947</v>
      </c>
      <c r="M820" s="14" t="n">
        <v>3.9</v>
      </c>
      <c r="N820" s="12">
        <f>ROUND(L820/M820, 0)</f>
        <v/>
      </c>
      <c r="O820" s="12">
        <f>ROUND(N820*'Methodology &amp; Assumptions'!$B$5, 0)</f>
        <v/>
      </c>
      <c r="P820" s="10" t="inlineStr">
        <is>
          <t>Single Carrier (Band n50, 100MHz TDD)</t>
        </is>
      </c>
      <c r="Q820" s="13">
        <f>ROUNDUP(O820/'Methodology &amp; Assumptions'!$B$6, 0)</f>
        <v/>
      </c>
      <c r="R820" s="13" t="n">
        <v>1</v>
      </c>
      <c r="S820" s="14" t="n">
        <v>62.88</v>
      </c>
      <c r="T820" s="14" t="n">
        <v>55.57</v>
      </c>
      <c r="U820" s="26">
        <f>IF(X820&gt;='Methodology &amp; Assumptions'!$B$7, "Tier 1 Critical GIDA (Score ≥ 50.0)", IF(X820&gt;='Methodology &amp; Assumptions'!$B$8, "Tier 2 High GIDA (Score 40.0–49.9)", "Tier 3 Moderate GIDA (Score &lt; 40.0)"))</f>
        <v/>
      </c>
      <c r="V820" s="26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W820" s="28" t="n">
        <v>0.109</v>
      </c>
      <c r="X820" s="14" t="n">
        <v>49.54</v>
      </c>
      <c r="Y820" s="14">
        <f>ROUND(MIN(100, (X820/69.91)*100), 2)</f>
        <v/>
      </c>
    </row>
    <row r="821">
      <c r="A821" s="10" t="n">
        <v>2</v>
      </c>
      <c r="B821" s="10" t="n">
        <v>817</v>
      </c>
      <c r="C821" s="10" t="n">
        <v>1817</v>
      </c>
      <c r="D821" s="10" t="inlineStr">
        <is>
          <t>1381100038</t>
        </is>
      </c>
      <c r="E821" s="26" t="inlineStr">
        <is>
          <t>National Capital Region (NCR)</t>
        </is>
      </c>
      <c r="F821" s="26" t="inlineStr">
        <is>
          <t>Fourth District (Not a Province)</t>
        </is>
      </c>
      <c r="G821" s="26" t="inlineStr">
        <is>
          <t>Pasay City</t>
        </is>
      </c>
      <c r="H821" s="26" t="inlineStr">
        <is>
          <t>Barangay 38</t>
        </is>
      </c>
      <c r="I821" s="27" t="n">
        <v>14.616212</v>
      </c>
      <c r="J821" s="27" t="n">
        <v>120.932436</v>
      </c>
      <c r="K821" s="10" t="inlineStr">
        <is>
          <t>U</t>
        </is>
      </c>
      <c r="L821" s="12" t="n">
        <v>2023</v>
      </c>
      <c r="M821" s="14" t="n">
        <v>3.4</v>
      </c>
      <c r="N821" s="12">
        <f>ROUND(L821/M821, 0)</f>
        <v/>
      </c>
      <c r="O821" s="12">
        <f>ROUND(N821*'Methodology &amp; Assumptions'!$B$5, 0)</f>
        <v/>
      </c>
      <c r="P821" s="10" t="inlineStr">
        <is>
          <t>Single Carrier (Band n50, 100MHz TDD)</t>
        </is>
      </c>
      <c r="Q821" s="13">
        <f>ROUNDUP(O821/'Methodology &amp; Assumptions'!$B$6, 0)</f>
        <v/>
      </c>
      <c r="R821" s="13" t="n">
        <v>1</v>
      </c>
      <c r="S821" s="14" t="n">
        <v>3.26</v>
      </c>
      <c r="T821" s="14" t="n">
        <v>3.37</v>
      </c>
      <c r="U821" s="26">
        <f>IF(X821&gt;='Methodology &amp; Assumptions'!$B$7, "Tier 1 Critical GIDA (Score ≥ 50.0)", IF(X821&gt;='Methodology &amp; Assumptions'!$B$8, "Tier 2 High GIDA (Score 40.0–49.9)", "Tier 3 Moderate GIDA (Score &lt; 40.0)"))</f>
        <v/>
      </c>
      <c r="V821" s="26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W821" s="28" t="n">
        <v>0.109</v>
      </c>
      <c r="X821" s="14" t="n">
        <v>49.54</v>
      </c>
      <c r="Y821" s="14">
        <f>ROUND(MIN(100, (X821/69.91)*100), 2)</f>
        <v/>
      </c>
    </row>
    <row r="822">
      <c r="A822" s="10" t="n">
        <v>2</v>
      </c>
      <c r="B822" s="10" t="n">
        <v>818</v>
      </c>
      <c r="C822" s="10" t="n">
        <v>1818</v>
      </c>
      <c r="D822" s="10" t="inlineStr">
        <is>
          <t>1381100013</t>
        </is>
      </c>
      <c r="E822" s="26" t="inlineStr">
        <is>
          <t>National Capital Region (NCR)</t>
        </is>
      </c>
      <c r="F822" s="26" t="inlineStr">
        <is>
          <t>Fourth District (Not a Province)</t>
        </is>
      </c>
      <c r="G822" s="26" t="inlineStr">
        <is>
          <t>Pasay City</t>
        </is>
      </c>
      <c r="H822" s="26" t="inlineStr">
        <is>
          <t>Barangay 13</t>
        </is>
      </c>
      <c r="I822" s="27" t="n">
        <v>14.5319</v>
      </c>
      <c r="J822" s="27" t="n">
        <v>121.110204</v>
      </c>
      <c r="K822" s="10" t="inlineStr">
        <is>
          <t>U</t>
        </is>
      </c>
      <c r="L822" s="12" t="n">
        <v>2721</v>
      </c>
      <c r="M822" s="14" t="n">
        <v>3.4</v>
      </c>
      <c r="N822" s="12">
        <f>ROUND(L822/M822, 0)</f>
        <v/>
      </c>
      <c r="O822" s="12">
        <f>ROUND(N822*'Methodology &amp; Assumptions'!$B$5, 0)</f>
        <v/>
      </c>
      <c r="P822" s="10" t="inlineStr">
        <is>
          <t>Single Carrier (Band n50, 100MHz TDD)</t>
        </is>
      </c>
      <c r="Q822" s="13">
        <f>ROUNDUP(O822/'Methodology &amp; Assumptions'!$B$6, 0)</f>
        <v/>
      </c>
      <c r="R822" s="13" t="n">
        <v>1</v>
      </c>
      <c r="S822" s="14" t="n">
        <v>1.24</v>
      </c>
      <c r="T822" s="14" t="n">
        <v>1.14</v>
      </c>
      <c r="U822" s="26">
        <f>IF(X822&gt;='Methodology &amp; Assumptions'!$B$7, "Tier 1 Critical GIDA (Score ≥ 50.0)", IF(X822&gt;='Methodology &amp; Assumptions'!$B$8, "Tier 2 High GIDA (Score 40.0–49.9)", "Tier 3 Moderate GIDA (Score &lt; 40.0)"))</f>
        <v/>
      </c>
      <c r="V822" s="26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W822" s="28" t="n">
        <v>0.109</v>
      </c>
      <c r="X822" s="14" t="n">
        <v>49.54</v>
      </c>
      <c r="Y822" s="14">
        <f>ROUND(MIN(100, (X822/69.91)*100), 2)</f>
        <v/>
      </c>
    </row>
    <row r="823">
      <c r="A823" s="10" t="n">
        <v>2</v>
      </c>
      <c r="B823" s="10" t="n">
        <v>819</v>
      </c>
      <c r="C823" s="10" t="n">
        <v>1819</v>
      </c>
      <c r="D823" s="10" t="inlineStr">
        <is>
          <t>0603013037</t>
        </is>
      </c>
      <c r="E823" s="26" t="inlineStr">
        <is>
          <t>Region VI (Western Visayas)</t>
        </is>
      </c>
      <c r="F823" s="26" t="inlineStr">
        <is>
          <t>Iloilo</t>
        </is>
      </c>
      <c r="G823" s="26" t="inlineStr">
        <is>
          <t>Calinog</t>
        </is>
      </c>
      <c r="H823" s="26" t="inlineStr">
        <is>
          <t>Hilwan</t>
        </is>
      </c>
      <c r="I823" s="27" t="n">
        <v>11.291548</v>
      </c>
      <c r="J823" s="27" t="n">
        <v>122.330017</v>
      </c>
      <c r="K823" s="10" t="inlineStr">
        <is>
          <t>R</t>
        </is>
      </c>
      <c r="L823" s="12" t="n">
        <v>543</v>
      </c>
      <c r="M823" s="14" t="n">
        <v>3.8</v>
      </c>
      <c r="N823" s="12">
        <f>ROUND(L823/M823, 0)</f>
        <v/>
      </c>
      <c r="O823" s="12">
        <f>ROUND(N823*'Methodology &amp; Assumptions'!$B$5, 0)</f>
        <v/>
      </c>
      <c r="P823" s="10" t="inlineStr">
        <is>
          <t>Single Carrier (Band n50, 100MHz TDD)</t>
        </is>
      </c>
      <c r="Q823" s="13">
        <f>ROUNDUP(O823/'Methodology &amp; Assumptions'!$B$6, 0)</f>
        <v/>
      </c>
      <c r="R823" s="13" t="n">
        <v>1</v>
      </c>
      <c r="S823" s="14" t="n">
        <v>29.95</v>
      </c>
      <c r="T823" s="14" t="n">
        <v>25.42</v>
      </c>
      <c r="U823" s="26">
        <f>IF(X823&gt;='Methodology &amp; Assumptions'!$B$7, "Tier 1 Critical GIDA (Score ≥ 50.0)", IF(X823&gt;='Methodology &amp; Assumptions'!$B$8, "Tier 2 High GIDA (Score 40.0–49.9)", "Tier 3 Moderate GIDA (Score &lt; 40.0)"))</f>
        <v/>
      </c>
      <c r="V823" s="26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W823" s="28" t="n">
        <v>0.237</v>
      </c>
      <c r="X823" s="14" t="n">
        <v>49.54</v>
      </c>
      <c r="Y823" s="14">
        <f>ROUND(MIN(100, (X823/69.91)*100), 2)</f>
        <v/>
      </c>
    </row>
    <row r="824">
      <c r="A824" s="10" t="n">
        <v>2</v>
      </c>
      <c r="B824" s="10" t="n">
        <v>820</v>
      </c>
      <c r="C824" s="10" t="n">
        <v>1820</v>
      </c>
      <c r="D824" s="10" t="inlineStr">
        <is>
          <t>PH0001820</t>
        </is>
      </c>
      <c r="E824" s="26" t="inlineStr">
        <is>
          <t>VI</t>
        </is>
      </c>
      <c r="F824" s="26" t="inlineStr">
        <is>
          <t>Iloilo</t>
        </is>
      </c>
      <c r="G824" s="26" t="inlineStr">
        <is>
          <t>Iloilo City</t>
        </is>
      </c>
      <c r="H824" s="26" t="inlineStr">
        <is>
          <t>Maria Cristina</t>
        </is>
      </c>
      <c r="I824" s="27" t="n">
        <v>10.813713</v>
      </c>
      <c r="J824" s="27" t="n">
        <v>122.608821</v>
      </c>
      <c r="K824" s="10" t="inlineStr">
        <is>
          <t>R</t>
        </is>
      </c>
      <c r="L824" s="12" t="n">
        <v>2230</v>
      </c>
      <c r="M824" s="14" t="n">
        <v>3.8</v>
      </c>
      <c r="N824" s="12">
        <f>ROUND(L824/M824, 0)</f>
        <v/>
      </c>
      <c r="O824" s="12">
        <f>ROUND(N824*'Methodology &amp; Assumptions'!$B$5, 0)</f>
        <v/>
      </c>
      <c r="P824" s="10" t="inlineStr">
        <is>
          <t>Single Carrier (Band n50, 100MHz TDD)</t>
        </is>
      </c>
      <c r="Q824" s="13">
        <f>ROUNDUP(O824/'Methodology &amp; Assumptions'!$B$6, 0)</f>
        <v/>
      </c>
      <c r="R824" s="13" t="n">
        <v>1</v>
      </c>
      <c r="S824" s="14" t="n">
        <v>1.77</v>
      </c>
      <c r="T824" s="14" t="n">
        <v>0.38</v>
      </c>
      <c r="U824" s="26">
        <f>IF(X824&gt;='Methodology &amp; Assumptions'!$B$7, "Tier 1 Critical GIDA (Score ≥ 50.0)", IF(X824&gt;='Methodology &amp; Assumptions'!$B$8, "Tier 2 High GIDA (Score 40.0–49.9)", "Tier 3 Moderate GIDA (Score &lt; 40.0)"))</f>
        <v/>
      </c>
      <c r="V824" s="26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W824" s="28" t="n">
        <v>0.156</v>
      </c>
      <c r="X824" s="14" t="n">
        <v>49.54</v>
      </c>
      <c r="Y824" s="14">
        <f>ROUND(MIN(100, (X824/69.91)*100), 2)</f>
        <v/>
      </c>
    </row>
    <row r="825">
      <c r="A825" s="10" t="n">
        <v>2</v>
      </c>
      <c r="B825" s="10" t="n">
        <v>821</v>
      </c>
      <c r="C825" s="10" t="n">
        <v>1821</v>
      </c>
      <c r="D825" s="10" t="inlineStr">
        <is>
          <t>1381100047</t>
        </is>
      </c>
      <c r="E825" s="26" t="inlineStr">
        <is>
          <t>National Capital Region (NCR)</t>
        </is>
      </c>
      <c r="F825" s="26" t="inlineStr">
        <is>
          <t>Fourth District (Not a Province)</t>
        </is>
      </c>
      <c r="G825" s="26" t="inlineStr">
        <is>
          <t>Pasay City</t>
        </is>
      </c>
      <c r="H825" s="26" t="inlineStr">
        <is>
          <t>Barangay 47</t>
        </is>
      </c>
      <c r="I825" s="27" t="n">
        <v>14.477105</v>
      </c>
      <c r="J825" s="27" t="n">
        <v>120.917799</v>
      </c>
      <c r="K825" s="10" t="inlineStr">
        <is>
          <t>U</t>
        </is>
      </c>
      <c r="L825" s="12" t="n">
        <v>1241</v>
      </c>
      <c r="M825" s="14" t="n">
        <v>3.4</v>
      </c>
      <c r="N825" s="12">
        <f>ROUND(L825/M825, 0)</f>
        <v/>
      </c>
      <c r="O825" s="12">
        <f>ROUND(N825*'Methodology &amp; Assumptions'!$B$5, 0)</f>
        <v/>
      </c>
      <c r="P825" s="10" t="inlineStr">
        <is>
          <t>Single Carrier (Band n50, 100MHz TDD)</t>
        </is>
      </c>
      <c r="Q825" s="13">
        <f>ROUNDUP(O825/'Methodology &amp; Assumptions'!$B$6, 0)</f>
        <v/>
      </c>
      <c r="R825" s="13" t="n">
        <v>1</v>
      </c>
      <c r="S825" s="14" t="n">
        <v>3.26</v>
      </c>
      <c r="T825" s="14" t="n">
        <v>3.1</v>
      </c>
      <c r="U825" s="26">
        <f>IF(X825&gt;='Methodology &amp; Assumptions'!$B$7, "Tier 1 Critical GIDA (Score ≥ 50.0)", IF(X825&gt;='Methodology &amp; Assumptions'!$B$8, "Tier 2 High GIDA (Score 40.0–49.9)", "Tier 3 Moderate GIDA (Score &lt; 40.0)"))</f>
        <v/>
      </c>
      <c r="V825" s="26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W825" s="28" t="n">
        <v>0.109</v>
      </c>
      <c r="X825" s="14" t="n">
        <v>49.54</v>
      </c>
      <c r="Y825" s="14">
        <f>ROUND(MIN(100, (X825/69.91)*100), 2)</f>
        <v/>
      </c>
    </row>
    <row r="826">
      <c r="A826" s="10" t="n">
        <v>2</v>
      </c>
      <c r="B826" s="10" t="n">
        <v>822</v>
      </c>
      <c r="C826" s="10" t="n">
        <v>1822</v>
      </c>
      <c r="D826" s="10" t="inlineStr">
        <is>
          <t>1381100092</t>
        </is>
      </c>
      <c r="E826" s="26" t="inlineStr">
        <is>
          <t>National Capital Region (NCR)</t>
        </is>
      </c>
      <c r="F826" s="26" t="inlineStr">
        <is>
          <t>Fourth District (Not a Province)</t>
        </is>
      </c>
      <c r="G826" s="26" t="inlineStr">
        <is>
          <t>Pasay City</t>
        </is>
      </c>
      <c r="H826" s="26" t="inlineStr">
        <is>
          <t>Barangay 92</t>
        </is>
      </c>
      <c r="I826" s="27" t="n">
        <v>14.645478</v>
      </c>
      <c r="J826" s="27" t="n">
        <v>121.02276</v>
      </c>
      <c r="K826" s="10" t="inlineStr">
        <is>
          <t>U</t>
        </is>
      </c>
      <c r="L826" s="12" t="n">
        <v>482</v>
      </c>
      <c r="M826" s="14" t="n">
        <v>3.4</v>
      </c>
      <c r="N826" s="12">
        <f>ROUND(L826/M826, 0)</f>
        <v/>
      </c>
      <c r="O826" s="12">
        <f>ROUND(N826*'Methodology &amp; Assumptions'!$B$5, 0)</f>
        <v/>
      </c>
      <c r="P826" s="10" t="inlineStr">
        <is>
          <t>Single Carrier (Band n50, 100MHz TDD)</t>
        </is>
      </c>
      <c r="Q826" s="13">
        <f>ROUNDUP(O826/'Methodology &amp; Assumptions'!$B$6, 0)</f>
        <v/>
      </c>
      <c r="R826" s="13" t="n">
        <v>1</v>
      </c>
      <c r="S826" s="14" t="n">
        <v>0.78</v>
      </c>
      <c r="T826" s="14" t="n">
        <v>0.5</v>
      </c>
      <c r="U826" s="26">
        <f>IF(X826&gt;='Methodology &amp; Assumptions'!$B$7, "Tier 1 Critical GIDA (Score ≥ 50.0)", IF(X826&gt;='Methodology &amp; Assumptions'!$B$8, "Tier 2 High GIDA (Score 40.0–49.9)", "Tier 3 Moderate GIDA (Score &lt; 40.0)"))</f>
        <v/>
      </c>
      <c r="V826" s="26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W826" s="28" t="n">
        <v>0.109</v>
      </c>
      <c r="X826" s="14" t="n">
        <v>49.54</v>
      </c>
      <c r="Y826" s="14">
        <f>ROUND(MIN(100, (X826/69.91)*100), 2)</f>
        <v/>
      </c>
    </row>
    <row r="827">
      <c r="A827" s="10" t="n">
        <v>2</v>
      </c>
      <c r="B827" s="10" t="n">
        <v>823</v>
      </c>
      <c r="C827" s="10" t="n">
        <v>1823</v>
      </c>
      <c r="D827" s="10" t="inlineStr">
        <is>
          <t>1381100159</t>
        </is>
      </c>
      <c r="E827" s="26" t="inlineStr">
        <is>
          <t>National Capital Region (NCR)</t>
        </is>
      </c>
      <c r="F827" s="26" t="inlineStr">
        <is>
          <t>Fourth District (Not a Province)</t>
        </is>
      </c>
      <c r="G827" s="26" t="inlineStr">
        <is>
          <t>Pasay City</t>
        </is>
      </c>
      <c r="H827" s="26" t="inlineStr">
        <is>
          <t>Barangay 159</t>
        </is>
      </c>
      <c r="I827" s="27" t="n">
        <v>14.450234</v>
      </c>
      <c r="J827" s="27" t="n">
        <v>121.063397</v>
      </c>
      <c r="K827" s="10" t="inlineStr">
        <is>
          <t>U</t>
        </is>
      </c>
      <c r="L827" s="12" t="n">
        <v>1338</v>
      </c>
      <c r="M827" s="14" t="n">
        <v>3.4</v>
      </c>
      <c r="N827" s="12">
        <f>ROUND(L827/M827, 0)</f>
        <v/>
      </c>
      <c r="O827" s="12">
        <f>ROUND(N827*'Methodology &amp; Assumptions'!$B$5, 0)</f>
        <v/>
      </c>
      <c r="P827" s="10" t="inlineStr">
        <is>
          <t>Single Carrier (Band n50, 100MHz TDD)</t>
        </is>
      </c>
      <c r="Q827" s="13">
        <f>ROUNDUP(O827/'Methodology &amp; Assumptions'!$B$6, 0)</f>
        <v/>
      </c>
      <c r="R827" s="13" t="n">
        <v>1</v>
      </c>
      <c r="S827" s="14" t="n">
        <v>2.41</v>
      </c>
      <c r="T827" s="14" t="n">
        <v>1.3</v>
      </c>
      <c r="U827" s="26">
        <f>IF(X827&gt;='Methodology &amp; Assumptions'!$B$7, "Tier 1 Critical GIDA (Score ≥ 50.0)", IF(X827&gt;='Methodology &amp; Assumptions'!$B$8, "Tier 2 High GIDA (Score 40.0–49.9)", "Tier 3 Moderate GIDA (Score &lt; 40.0)"))</f>
        <v/>
      </c>
      <c r="V827" s="26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W827" s="28" t="n">
        <v>0.109</v>
      </c>
      <c r="X827" s="14" t="n">
        <v>49.54</v>
      </c>
      <c r="Y827" s="14">
        <f>ROUND(MIN(100, (X827/69.91)*100), 2)</f>
        <v/>
      </c>
    </row>
    <row r="828">
      <c r="A828" s="10" t="n">
        <v>2</v>
      </c>
      <c r="B828" s="10" t="n">
        <v>824</v>
      </c>
      <c r="C828" s="10" t="n">
        <v>1824</v>
      </c>
      <c r="D828" s="10" t="inlineStr">
        <is>
          <t>1381300032</t>
        </is>
      </c>
      <c r="E828" s="26" t="inlineStr">
        <is>
          <t>National Capital Region (NCR)</t>
        </is>
      </c>
      <c r="F828" s="26" t="inlineStr">
        <is>
          <t>Second District (Not a Province)</t>
        </is>
      </c>
      <c r="G828" s="26" t="inlineStr">
        <is>
          <t>Quezon City</t>
        </is>
      </c>
      <c r="H828" s="26" t="inlineStr">
        <is>
          <t>Doña Josefa</t>
        </is>
      </c>
      <c r="I828" s="27" t="n">
        <v>14.654779</v>
      </c>
      <c r="J828" s="27" t="n">
        <v>121.044063</v>
      </c>
      <c r="K828" s="10" t="inlineStr">
        <is>
          <t>U</t>
        </is>
      </c>
      <c r="L828" s="12" t="n">
        <v>1935</v>
      </c>
      <c r="M828" s="14" t="n">
        <v>3.8</v>
      </c>
      <c r="N828" s="12">
        <f>ROUND(L828/M828, 0)</f>
        <v/>
      </c>
      <c r="O828" s="12">
        <f>ROUND(N828*'Methodology &amp; Assumptions'!$B$5, 0)</f>
        <v/>
      </c>
      <c r="P828" s="10" t="inlineStr">
        <is>
          <t>Single Carrier (Band n50, 100MHz TDD)</t>
        </is>
      </c>
      <c r="Q828" s="13">
        <f>ROUNDUP(O828/'Methodology &amp; Assumptions'!$B$6, 0)</f>
        <v/>
      </c>
      <c r="R828" s="13" t="n">
        <v>1</v>
      </c>
      <c r="S828" s="14" t="n">
        <v>0.88</v>
      </c>
      <c r="T828" s="14" t="n">
        <v>0.28</v>
      </c>
      <c r="U828" s="26">
        <f>IF(X828&gt;='Methodology &amp; Assumptions'!$B$7, "Tier 1 Critical GIDA (Score ≥ 50.0)", IF(X828&gt;='Methodology &amp; Assumptions'!$B$8, "Tier 2 High GIDA (Score 40.0–49.9)", "Tier 3 Moderate GIDA (Score &lt; 40.0)"))</f>
        <v/>
      </c>
      <c r="V828" s="26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W828" s="28" t="n">
        <v>0.109</v>
      </c>
      <c r="X828" s="14" t="n">
        <v>49.54</v>
      </c>
      <c r="Y828" s="14">
        <f>ROUND(MIN(100, (X828/69.91)*100), 2)</f>
        <v/>
      </c>
    </row>
    <row r="829">
      <c r="A829" s="10" t="n">
        <v>2</v>
      </c>
      <c r="B829" s="10" t="n">
        <v>825</v>
      </c>
      <c r="C829" s="10" t="n">
        <v>1825</v>
      </c>
      <c r="D829" s="10" t="inlineStr">
        <is>
          <t>0601912018</t>
        </is>
      </c>
      <c r="E829" s="26" t="inlineStr">
        <is>
          <t>Region VI (Western Visayas)</t>
        </is>
      </c>
      <c r="F829" s="26" t="inlineStr">
        <is>
          <t>Capiz</t>
        </is>
      </c>
      <c r="G829" s="26" t="inlineStr">
        <is>
          <t>Pontevedra</t>
        </is>
      </c>
      <c r="H829" s="26" t="inlineStr">
        <is>
          <t>Manapao</t>
        </is>
      </c>
      <c r="I829" s="27" t="n">
        <v>11.459444</v>
      </c>
      <c r="J829" s="27" t="n">
        <v>122.897778</v>
      </c>
      <c r="K829" s="10" t="inlineStr">
        <is>
          <t>R</t>
        </is>
      </c>
      <c r="L829" s="12" t="n">
        <v>675</v>
      </c>
      <c r="M829" s="14" t="n">
        <v>3.8</v>
      </c>
      <c r="N829" s="12">
        <f>ROUND(L829/M829, 0)</f>
        <v/>
      </c>
      <c r="O829" s="12">
        <f>ROUND(N829*'Methodology &amp; Assumptions'!$B$5, 0)</f>
        <v/>
      </c>
      <c r="P829" s="10" t="inlineStr">
        <is>
          <t>Single Carrier (Band n50, 100MHz TDD)</t>
        </is>
      </c>
      <c r="Q829" s="13">
        <f>ROUNDUP(O829/'Methodology &amp; Assumptions'!$B$6, 0)</f>
        <v/>
      </c>
      <c r="R829" s="13" t="n">
        <v>1</v>
      </c>
      <c r="S829" s="14" t="n">
        <v>7.25</v>
      </c>
      <c r="T829" s="14" t="n">
        <v>4.15</v>
      </c>
      <c r="U829" s="26">
        <f>IF(X829&gt;='Methodology &amp; Assumptions'!$B$7, "Tier 1 Critical GIDA (Score ≥ 50.0)", IF(X829&gt;='Methodology &amp; Assumptions'!$B$8, "Tier 2 High GIDA (Score 40.0–49.9)", "Tier 3 Moderate GIDA (Score &lt; 40.0)"))</f>
        <v/>
      </c>
      <c r="V829" s="26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W829" s="28" t="n">
        <v>0.237</v>
      </c>
      <c r="X829" s="14" t="n">
        <v>49.53</v>
      </c>
      <c r="Y829" s="14">
        <f>ROUND(MIN(100, (X829/69.91)*100), 2)</f>
        <v/>
      </c>
    </row>
    <row r="830">
      <c r="A830" s="10" t="n">
        <v>2</v>
      </c>
      <c r="B830" s="10" t="n">
        <v>826</v>
      </c>
      <c r="C830" s="10" t="n">
        <v>1826</v>
      </c>
      <c r="D830" s="10" t="inlineStr">
        <is>
          <t>1381100144</t>
        </is>
      </c>
      <c r="E830" s="26" t="inlineStr">
        <is>
          <t>National Capital Region (NCR)</t>
        </is>
      </c>
      <c r="F830" s="26" t="inlineStr">
        <is>
          <t>Fourth District (Not a Province)</t>
        </is>
      </c>
      <c r="G830" s="26" t="inlineStr">
        <is>
          <t>Pasay City</t>
        </is>
      </c>
      <c r="H830" s="26" t="inlineStr">
        <is>
          <t>Barangay 144</t>
        </is>
      </c>
      <c r="I830" s="27" t="n">
        <v>14.569096</v>
      </c>
      <c r="J830" s="27" t="n">
        <v>120.89507</v>
      </c>
      <c r="K830" s="10" t="inlineStr">
        <is>
          <t>U</t>
        </is>
      </c>
      <c r="L830" s="12" t="n">
        <v>2275</v>
      </c>
      <c r="M830" s="14" t="n">
        <v>3.4</v>
      </c>
      <c r="N830" s="12">
        <f>ROUND(L830/M830, 0)</f>
        <v/>
      </c>
      <c r="O830" s="12">
        <f>ROUND(N830*'Methodology &amp; Assumptions'!$B$5, 0)</f>
        <v/>
      </c>
      <c r="P830" s="10" t="inlineStr">
        <is>
          <t>Single Carrier (Band n50, 100MHz TDD)</t>
        </is>
      </c>
      <c r="Q830" s="13">
        <f>ROUNDUP(O830/'Methodology &amp; Assumptions'!$B$6, 0)</f>
        <v/>
      </c>
      <c r="R830" s="13" t="n">
        <v>1</v>
      </c>
      <c r="S830" s="14" t="n">
        <v>7.65</v>
      </c>
      <c r="T830" s="14" t="n">
        <v>9.06</v>
      </c>
      <c r="U830" s="26">
        <f>IF(X830&gt;='Methodology &amp; Assumptions'!$B$7, "Tier 1 Critical GIDA (Score ≥ 50.0)", IF(X830&gt;='Methodology &amp; Assumptions'!$B$8, "Tier 2 High GIDA (Score 40.0–49.9)", "Tier 3 Moderate GIDA (Score &lt; 40.0)"))</f>
        <v/>
      </c>
      <c r="V830" s="26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W830" s="28" t="n">
        <v>0.109</v>
      </c>
      <c r="X830" s="14" t="n">
        <v>49.53</v>
      </c>
      <c r="Y830" s="14">
        <f>ROUND(MIN(100, (X830/69.91)*100), 2)</f>
        <v/>
      </c>
    </row>
    <row r="831">
      <c r="A831" s="10" t="n">
        <v>2</v>
      </c>
      <c r="B831" s="10" t="n">
        <v>827</v>
      </c>
      <c r="C831" s="10" t="n">
        <v>1827</v>
      </c>
      <c r="D831" s="10" t="inlineStr">
        <is>
          <t>1380700013</t>
        </is>
      </c>
      <c r="E831" s="26" t="inlineStr">
        <is>
          <t>National Capital Region (NCR)</t>
        </is>
      </c>
      <c r="F831" s="26" t="inlineStr">
        <is>
          <t>Second District (Not a Province)</t>
        </is>
      </c>
      <c r="G831" s="26" t="inlineStr">
        <is>
          <t>City of Marikina</t>
        </is>
      </c>
      <c r="H831" s="26" t="inlineStr">
        <is>
          <t>Marikina Heights</t>
        </is>
      </c>
      <c r="I831" s="27" t="n">
        <v>14.648933</v>
      </c>
      <c r="J831" s="27" t="n">
        <v>121.118584</v>
      </c>
      <c r="K831" s="10" t="inlineStr">
        <is>
          <t>U</t>
        </is>
      </c>
      <c r="L831" s="12" t="n">
        <v>44192</v>
      </c>
      <c r="M831" s="14" t="n">
        <v>4</v>
      </c>
      <c r="N831" s="12">
        <f>ROUND(L831/M831, 0)</f>
        <v/>
      </c>
      <c r="O831" s="12">
        <f>ROUND(N831*'Methodology &amp; Assumptions'!$B$5, 0)</f>
        <v/>
      </c>
      <c r="P831" s="10" t="inlineStr">
        <is>
          <t>Single Carrier (Band n50, 100MHz TDD)</t>
        </is>
      </c>
      <c r="Q831" s="13">
        <f>ROUNDUP(O831/'Methodology &amp; Assumptions'!$B$6, 0)</f>
        <v/>
      </c>
      <c r="R831" s="13" t="n">
        <v>1</v>
      </c>
      <c r="S831" s="14" t="n">
        <v>0.46</v>
      </c>
      <c r="T831" s="14" t="n">
        <v>0.21</v>
      </c>
      <c r="U831" s="26">
        <f>IF(X831&gt;='Methodology &amp; Assumptions'!$B$7, "Tier 1 Critical GIDA (Score ≥ 50.0)", IF(X831&gt;='Methodology &amp; Assumptions'!$B$8, "Tier 2 High GIDA (Score 40.0–49.9)", "Tier 3 Moderate GIDA (Score &lt; 40.0)"))</f>
        <v/>
      </c>
      <c r="V831" s="26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W831" s="28" t="n">
        <v>0.109</v>
      </c>
      <c r="X831" s="14" t="n">
        <v>49.53</v>
      </c>
      <c r="Y831" s="14">
        <f>ROUND(MIN(100, (X831/69.91)*100), 2)</f>
        <v/>
      </c>
    </row>
    <row r="832">
      <c r="A832" s="10" t="n">
        <v>2</v>
      </c>
      <c r="B832" s="10" t="n">
        <v>828</v>
      </c>
      <c r="C832" s="10" t="n">
        <v>1828</v>
      </c>
      <c r="D832" s="10" t="inlineStr">
        <is>
          <t>1381100010</t>
        </is>
      </c>
      <c r="E832" s="26" t="inlineStr">
        <is>
          <t>National Capital Region (NCR)</t>
        </is>
      </c>
      <c r="F832" s="26" t="inlineStr">
        <is>
          <t>Fourth District (Not a Province)</t>
        </is>
      </c>
      <c r="G832" s="26" t="inlineStr">
        <is>
          <t>Pasay City</t>
        </is>
      </c>
      <c r="H832" s="26" t="inlineStr">
        <is>
          <t>Barangay 10</t>
        </is>
      </c>
      <c r="I832" s="27" t="n">
        <v>14.591813</v>
      </c>
      <c r="J832" s="27" t="n">
        <v>121.104717</v>
      </c>
      <c r="K832" s="10" t="inlineStr">
        <is>
          <t>U</t>
        </is>
      </c>
      <c r="L832" s="12" t="n">
        <v>1445</v>
      </c>
      <c r="M832" s="14" t="n">
        <v>3.4</v>
      </c>
      <c r="N832" s="12">
        <f>ROUND(L832/M832, 0)</f>
        <v/>
      </c>
      <c r="O832" s="12">
        <f>ROUND(N832*'Methodology &amp; Assumptions'!$B$5, 0)</f>
        <v/>
      </c>
      <c r="P832" s="10" t="inlineStr">
        <is>
          <t>Single Carrier (Band n50, 100MHz TDD)</t>
        </is>
      </c>
      <c r="Q832" s="13">
        <f>ROUNDUP(O832/'Methodology &amp; Assumptions'!$B$6, 0)</f>
        <v/>
      </c>
      <c r="R832" s="13" t="n">
        <v>1</v>
      </c>
      <c r="S832" s="14" t="n">
        <v>1.67</v>
      </c>
      <c r="T832" s="14" t="n">
        <v>0.35</v>
      </c>
      <c r="U832" s="26">
        <f>IF(X832&gt;='Methodology &amp; Assumptions'!$B$7, "Tier 1 Critical GIDA (Score ≥ 50.0)", IF(X832&gt;='Methodology &amp; Assumptions'!$B$8, "Tier 2 High GIDA (Score 40.0–49.9)", "Tier 3 Moderate GIDA (Score &lt; 40.0)"))</f>
        <v/>
      </c>
      <c r="V832" s="26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W832" s="28" t="n">
        <v>0.109</v>
      </c>
      <c r="X832" s="14" t="n">
        <v>49.53</v>
      </c>
      <c r="Y832" s="14">
        <f>ROUND(MIN(100, (X832/69.91)*100), 2)</f>
        <v/>
      </c>
    </row>
    <row r="833">
      <c r="A833" s="10" t="n">
        <v>2</v>
      </c>
      <c r="B833" s="10" t="n">
        <v>829</v>
      </c>
      <c r="C833" s="10" t="n">
        <v>1829</v>
      </c>
      <c r="D833" s="10" t="inlineStr">
        <is>
          <t>1381100169</t>
        </is>
      </c>
      <c r="E833" s="26" t="inlineStr">
        <is>
          <t>National Capital Region (NCR)</t>
        </is>
      </c>
      <c r="F833" s="26" t="inlineStr">
        <is>
          <t>Fourth District (Not a Province)</t>
        </is>
      </c>
      <c r="G833" s="26" t="inlineStr">
        <is>
          <t>Pasay City</t>
        </is>
      </c>
      <c r="H833" s="26" t="inlineStr">
        <is>
          <t>Barangay 169</t>
        </is>
      </c>
      <c r="I833" s="27" t="n">
        <v>14.436075</v>
      </c>
      <c r="J833" s="27" t="n">
        <v>120.96429</v>
      </c>
      <c r="K833" s="10" t="inlineStr">
        <is>
          <t>U</t>
        </is>
      </c>
      <c r="L833" s="12" t="n">
        <v>2905</v>
      </c>
      <c r="M833" s="14" t="n">
        <v>3.4</v>
      </c>
      <c r="N833" s="12">
        <f>ROUND(L833/M833, 0)</f>
        <v/>
      </c>
      <c r="O833" s="12">
        <f>ROUND(N833*'Methodology &amp; Assumptions'!$B$5, 0)</f>
        <v/>
      </c>
      <c r="P833" s="10" t="inlineStr">
        <is>
          <t>Single Carrier (Band n50, 100MHz TDD)</t>
        </is>
      </c>
      <c r="Q833" s="13">
        <f>ROUNDUP(O833/'Methodology &amp; Assumptions'!$B$6, 0)</f>
        <v/>
      </c>
      <c r="R833" s="13" t="n">
        <v>1</v>
      </c>
      <c r="S833" s="14" t="n">
        <v>1.29</v>
      </c>
      <c r="T833" s="14" t="n">
        <v>1.6</v>
      </c>
      <c r="U833" s="26">
        <f>IF(X833&gt;='Methodology &amp; Assumptions'!$B$7, "Tier 1 Critical GIDA (Score ≥ 50.0)", IF(X833&gt;='Methodology &amp; Assumptions'!$B$8, "Tier 2 High GIDA (Score 40.0–49.9)", "Tier 3 Moderate GIDA (Score &lt; 40.0)"))</f>
        <v/>
      </c>
      <c r="V833" s="26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W833" s="28" t="n">
        <v>0.109</v>
      </c>
      <c r="X833" s="14" t="n">
        <v>49.53</v>
      </c>
      <c r="Y833" s="14">
        <f>ROUND(MIN(100, (X833/69.91)*100), 2)</f>
        <v/>
      </c>
    </row>
    <row r="834">
      <c r="A834" s="10" t="n">
        <v>2</v>
      </c>
      <c r="B834" s="10" t="n">
        <v>830</v>
      </c>
      <c r="C834" s="10" t="n">
        <v>1830</v>
      </c>
      <c r="D834" s="10" t="inlineStr">
        <is>
          <t>1380601214</t>
        </is>
      </c>
      <c r="E834" s="26" t="inlineStr">
        <is>
          <t>National Capital Region (NCR)</t>
        </is>
      </c>
      <c r="F834" s="26" t="inlineStr">
        <is>
          <t>First District (Not a Province)</t>
        </is>
      </c>
      <c r="G834" s="26" t="inlineStr">
        <is>
          <t>City of Manila</t>
        </is>
      </c>
      <c r="H834" s="26" t="inlineStr">
        <is>
          <t>Barangay 213</t>
        </is>
      </c>
      <c r="I834" s="27" t="n">
        <v>12.780261</v>
      </c>
      <c r="J834" s="27" t="n">
        <v>121.39331</v>
      </c>
      <c r="K834" s="10" t="inlineStr">
        <is>
          <t>U</t>
        </is>
      </c>
      <c r="L834" s="12" t="n">
        <v>3329</v>
      </c>
      <c r="M834" s="14" t="n">
        <v>3.9</v>
      </c>
      <c r="N834" s="12">
        <f>ROUND(L834/M834, 0)</f>
        <v/>
      </c>
      <c r="O834" s="12">
        <f>ROUND(N834*'Methodology &amp; Assumptions'!$B$5, 0)</f>
        <v/>
      </c>
      <c r="P834" s="10" t="inlineStr">
        <is>
          <t>Single Carrier (Band n50, 100MHz TDD)</t>
        </is>
      </c>
      <c r="Q834" s="13">
        <f>ROUNDUP(O834/'Methodology &amp; Assumptions'!$B$6, 0)</f>
        <v/>
      </c>
      <c r="R834" s="13" t="n">
        <v>1</v>
      </c>
      <c r="S834" s="14" t="n">
        <v>9.43</v>
      </c>
      <c r="T834" s="14" t="n">
        <v>7.99</v>
      </c>
      <c r="U834" s="26">
        <f>IF(X834&gt;='Methodology &amp; Assumptions'!$B$7, "Tier 1 Critical GIDA (Score ≥ 50.0)", IF(X834&gt;='Methodology &amp; Assumptions'!$B$8, "Tier 2 High GIDA (Score 40.0–49.9)", "Tier 3 Moderate GIDA (Score &lt; 40.0)"))</f>
        <v/>
      </c>
      <c r="V834" s="26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W834" s="28" t="n">
        <v>0.109</v>
      </c>
      <c r="X834" s="14" t="n">
        <v>49.53</v>
      </c>
      <c r="Y834" s="14">
        <f>ROUND(MIN(100, (X834/69.91)*100), 2)</f>
        <v/>
      </c>
    </row>
    <row r="835">
      <c r="A835" s="10" t="n">
        <v>2</v>
      </c>
      <c r="B835" s="10" t="n">
        <v>831</v>
      </c>
      <c r="C835" s="10" t="n">
        <v>1831</v>
      </c>
      <c r="D835" s="10" t="inlineStr">
        <is>
          <t>1380601139</t>
        </is>
      </c>
      <c r="E835" s="26" t="inlineStr">
        <is>
          <t>National Capital Region (NCR)</t>
        </is>
      </c>
      <c r="F835" s="26" t="inlineStr">
        <is>
          <t>First District (Not a Province)</t>
        </is>
      </c>
      <c r="G835" s="26" t="inlineStr">
        <is>
          <t>City of Manila</t>
        </is>
      </c>
      <c r="H835" s="26" t="inlineStr">
        <is>
          <t>Barangay 139</t>
        </is>
      </c>
      <c r="I835" s="27" t="n">
        <v>13.204872</v>
      </c>
      <c r="J835" s="27" t="n">
        <v>121.986504</v>
      </c>
      <c r="K835" s="10" t="inlineStr">
        <is>
          <t>U</t>
        </is>
      </c>
      <c r="L835" s="12" t="n">
        <v>382</v>
      </c>
      <c r="M835" s="14" t="n">
        <v>3.9</v>
      </c>
      <c r="N835" s="12">
        <f>ROUND(L835/M835, 0)</f>
        <v/>
      </c>
      <c r="O835" s="12">
        <f>ROUND(N835*'Methodology &amp; Assumptions'!$B$5, 0)</f>
        <v/>
      </c>
      <c r="P835" s="10" t="inlineStr">
        <is>
          <t>Single Carrier (Band n50, 100MHz TDD)</t>
        </is>
      </c>
      <c r="Q835" s="13">
        <f>ROUNDUP(O835/'Methodology &amp; Assumptions'!$B$6, 0)</f>
        <v/>
      </c>
      <c r="R835" s="13" t="n">
        <v>1</v>
      </c>
      <c r="S835" s="14" t="n">
        <v>54.26</v>
      </c>
      <c r="T835" s="14" t="n">
        <v>54.5</v>
      </c>
      <c r="U835" s="26">
        <f>IF(X835&gt;='Methodology &amp; Assumptions'!$B$7, "Tier 1 Critical GIDA (Score ≥ 50.0)", IF(X835&gt;='Methodology &amp; Assumptions'!$B$8, "Tier 2 High GIDA (Score 40.0–49.9)", "Tier 3 Moderate GIDA (Score &lt; 40.0)"))</f>
        <v/>
      </c>
      <c r="V835" s="26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W835" s="28" t="n">
        <v>0.109</v>
      </c>
      <c r="X835" s="14" t="n">
        <v>49.53</v>
      </c>
      <c r="Y835" s="14">
        <f>ROUND(MIN(100, (X835/69.91)*100), 2)</f>
        <v/>
      </c>
    </row>
    <row r="836">
      <c r="A836" s="10" t="n">
        <v>2</v>
      </c>
      <c r="B836" s="10" t="n">
        <v>832</v>
      </c>
      <c r="C836" s="10" t="n">
        <v>1832</v>
      </c>
      <c r="D836" s="10" t="inlineStr">
        <is>
          <t>0401005066</t>
        </is>
      </c>
      <c r="E836" s="26" t="inlineStr">
        <is>
          <t>Region IV-A (CALABARZON)</t>
        </is>
      </c>
      <c r="F836" s="26" t="inlineStr">
        <is>
          <t>Batangas</t>
        </is>
      </c>
      <c r="G836" s="26" t="inlineStr">
        <is>
          <t>Batangas City</t>
        </is>
      </c>
      <c r="H836" s="26" t="inlineStr">
        <is>
          <t>Barangay 2</t>
        </is>
      </c>
      <c r="I836" s="27" t="n">
        <v>13.741833</v>
      </c>
      <c r="J836" s="27" t="n">
        <v>121.083236</v>
      </c>
      <c r="K836" s="10" t="inlineStr">
        <is>
          <t>U</t>
        </is>
      </c>
      <c r="L836" s="12" t="n">
        <v>515</v>
      </c>
      <c r="M836" s="14" t="n">
        <v>3.6</v>
      </c>
      <c r="N836" s="12">
        <f>ROUND(L836/M836, 0)</f>
        <v/>
      </c>
      <c r="O836" s="12">
        <f>ROUND(N836*'Methodology &amp; Assumptions'!$B$5, 0)</f>
        <v/>
      </c>
      <c r="P836" s="10" t="inlineStr">
        <is>
          <t>Single Carrier (Band n50, 100MHz TDD)</t>
        </is>
      </c>
      <c r="Q836" s="13">
        <f>ROUNDUP(O836/'Methodology &amp; Assumptions'!$B$6, 0)</f>
        <v/>
      </c>
      <c r="R836" s="13" t="n">
        <v>1</v>
      </c>
      <c r="S836" s="14" t="n">
        <v>3.16</v>
      </c>
      <c r="T836" s="14" t="n">
        <v>2.73</v>
      </c>
      <c r="U836" s="26">
        <f>IF(X836&gt;='Methodology &amp; Assumptions'!$B$7, "Tier 1 Critical GIDA (Score ≥ 50.0)", IF(X836&gt;='Methodology &amp; Assumptions'!$B$8, "Tier 2 High GIDA (Score 40.0–49.9)", "Tier 3 Moderate GIDA (Score &lt; 40.0)"))</f>
        <v/>
      </c>
      <c r="V836" s="26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W836" s="28" t="n">
        <v>0.07200000000000001</v>
      </c>
      <c r="X836" s="14" t="n">
        <v>49.52</v>
      </c>
      <c r="Y836" s="14">
        <f>ROUND(MIN(100, (X836/69.91)*100), 2)</f>
        <v/>
      </c>
    </row>
    <row r="837">
      <c r="A837" s="10" t="n">
        <v>2</v>
      </c>
      <c r="B837" s="10" t="n">
        <v>833</v>
      </c>
      <c r="C837" s="10" t="n">
        <v>1833</v>
      </c>
      <c r="D837" s="10" t="inlineStr">
        <is>
          <t>1381100106</t>
        </is>
      </c>
      <c r="E837" s="26" t="inlineStr">
        <is>
          <t>National Capital Region (NCR)</t>
        </is>
      </c>
      <c r="F837" s="26" t="inlineStr">
        <is>
          <t>Fourth District (Not a Province)</t>
        </is>
      </c>
      <c r="G837" s="26" t="inlineStr">
        <is>
          <t>Pasay City</t>
        </is>
      </c>
      <c r="H837" s="26" t="inlineStr">
        <is>
          <t>Barangay 106</t>
        </is>
      </c>
      <c r="I837" s="27" t="n">
        <v>14.645244</v>
      </c>
      <c r="J837" s="27" t="n">
        <v>120.95907</v>
      </c>
      <c r="K837" s="10" t="inlineStr">
        <is>
          <t>U</t>
        </is>
      </c>
      <c r="L837" s="12" t="n">
        <v>1191</v>
      </c>
      <c r="M837" s="14" t="n">
        <v>3.4</v>
      </c>
      <c r="N837" s="12">
        <f>ROUND(L837/M837, 0)</f>
        <v/>
      </c>
      <c r="O837" s="12">
        <f>ROUND(N837*'Methodology &amp; Assumptions'!$B$5, 0)</f>
        <v/>
      </c>
      <c r="P837" s="10" t="inlineStr">
        <is>
          <t>Single Carrier (Band n50, 100MHz TDD)</t>
        </is>
      </c>
      <c r="Q837" s="13">
        <f>ROUNDUP(O837/'Methodology &amp; Assumptions'!$B$6, 0)</f>
        <v/>
      </c>
      <c r="R837" s="13" t="n">
        <v>1</v>
      </c>
      <c r="S837" s="14" t="n">
        <v>1.55</v>
      </c>
      <c r="T837" s="14" t="n">
        <v>0.51</v>
      </c>
      <c r="U837" s="26">
        <f>IF(X837&gt;='Methodology &amp; Assumptions'!$B$7, "Tier 1 Critical GIDA (Score ≥ 50.0)", IF(X837&gt;='Methodology &amp; Assumptions'!$B$8, "Tier 2 High GIDA (Score 40.0–49.9)", "Tier 3 Moderate GIDA (Score &lt; 40.0)"))</f>
        <v/>
      </c>
      <c r="V837" s="26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W837" s="28" t="n">
        <v>0.109</v>
      </c>
      <c r="X837" s="14" t="n">
        <v>49.52</v>
      </c>
      <c r="Y837" s="14">
        <f>ROUND(MIN(100, (X837/69.91)*100), 2)</f>
        <v/>
      </c>
    </row>
    <row r="838">
      <c r="A838" s="10" t="n">
        <v>2</v>
      </c>
      <c r="B838" s="10" t="n">
        <v>834</v>
      </c>
      <c r="C838" s="10" t="n">
        <v>1834</v>
      </c>
      <c r="D838" s="10" t="inlineStr">
        <is>
          <t>1380612004</t>
        </is>
      </c>
      <c r="E838" s="26" t="inlineStr">
        <is>
          <t>National Capital Region (NCR)</t>
        </is>
      </c>
      <c r="F838" s="26" t="inlineStr">
        <is>
          <t>First District (Not a Province)</t>
        </is>
      </c>
      <c r="G838" s="26" t="inlineStr">
        <is>
          <t>City of Manila</t>
        </is>
      </c>
      <c r="H838" s="26" t="inlineStr">
        <is>
          <t>Barangay 836</t>
        </is>
      </c>
      <c r="I838" s="27" t="n">
        <v>12.498675</v>
      </c>
      <c r="J838" s="27" t="n">
        <v>121.842919</v>
      </c>
      <c r="K838" s="10" t="inlineStr">
        <is>
          <t>U</t>
        </is>
      </c>
      <c r="L838" s="12" t="n">
        <v>5478</v>
      </c>
      <c r="M838" s="14" t="n">
        <v>3.9</v>
      </c>
      <c r="N838" s="12">
        <f>ROUND(L838/M838, 0)</f>
        <v/>
      </c>
      <c r="O838" s="12">
        <f>ROUND(N838*'Methodology &amp; Assumptions'!$B$5, 0)</f>
        <v/>
      </c>
      <c r="P838" s="10" t="inlineStr">
        <is>
          <t>Single Carrier (Band n50, 100MHz TDD)</t>
        </is>
      </c>
      <c r="Q838" s="13">
        <f>ROUNDUP(O838/'Methodology &amp; Assumptions'!$B$6, 0)</f>
        <v/>
      </c>
      <c r="R838" s="13" t="n">
        <v>1</v>
      </c>
      <c r="S838" s="14" t="n">
        <v>33.71</v>
      </c>
      <c r="T838" s="14" t="n">
        <v>18.2</v>
      </c>
      <c r="U838" s="26">
        <f>IF(X838&gt;='Methodology &amp; Assumptions'!$B$7, "Tier 1 Critical GIDA (Score ≥ 50.0)", IF(X838&gt;='Methodology &amp; Assumptions'!$B$8, "Tier 2 High GIDA (Score 40.0–49.9)", "Tier 3 Moderate GIDA (Score &lt; 40.0)"))</f>
        <v/>
      </c>
      <c r="V838" s="26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W838" s="28" t="n">
        <v>0.109</v>
      </c>
      <c r="X838" s="14" t="n">
        <v>49.52</v>
      </c>
      <c r="Y838" s="14">
        <f>ROUND(MIN(100, (X838/69.91)*100), 2)</f>
        <v/>
      </c>
    </row>
    <row r="839">
      <c r="A839" s="10" t="n">
        <v>2</v>
      </c>
      <c r="B839" s="10" t="n">
        <v>835</v>
      </c>
      <c r="C839" s="10" t="n">
        <v>1835</v>
      </c>
      <c r="D839" s="10" t="inlineStr">
        <is>
          <t>1381701002</t>
        </is>
      </c>
      <c r="E839" s="26" t="inlineStr">
        <is>
          <t>National Capital Region (NCR)</t>
        </is>
      </c>
      <c r="F839" s="26" t="inlineStr">
        <is>
          <t>Fourth District (Not a Province)</t>
        </is>
      </c>
      <c r="G839" s="26" t="inlineStr">
        <is>
          <t>Pateros</t>
        </is>
      </c>
      <c r="H839" s="26" t="inlineStr">
        <is>
          <t>Magtanggol</t>
        </is>
      </c>
      <c r="I839" s="27" t="n">
        <v>14.550598</v>
      </c>
      <c r="J839" s="27" t="n">
        <v>121.074305</v>
      </c>
      <c r="K839" s="10" t="inlineStr">
        <is>
          <t>U</t>
        </is>
      </c>
      <c r="L839" s="12" t="n">
        <v>1433</v>
      </c>
      <c r="M839" s="14" t="n">
        <v>3.8</v>
      </c>
      <c r="N839" s="12">
        <f>ROUND(L839/M839, 0)</f>
        <v/>
      </c>
      <c r="O839" s="12">
        <f>ROUND(N839*'Methodology &amp; Assumptions'!$B$5, 0)</f>
        <v/>
      </c>
      <c r="P839" s="10" t="inlineStr">
        <is>
          <t>Single Carrier (Band n50, 100MHz TDD)</t>
        </is>
      </c>
      <c r="Q839" s="13">
        <f>ROUNDUP(O839/'Methodology &amp; Assumptions'!$B$6, 0)</f>
        <v/>
      </c>
      <c r="R839" s="13" t="n">
        <v>1</v>
      </c>
      <c r="S839" s="14" t="n">
        <v>0.92</v>
      </c>
      <c r="T839" s="14" t="n">
        <v>0.08</v>
      </c>
      <c r="U839" s="26">
        <f>IF(X839&gt;='Methodology &amp; Assumptions'!$B$7, "Tier 1 Critical GIDA (Score ≥ 50.0)", IF(X839&gt;='Methodology &amp; Assumptions'!$B$8, "Tier 2 High GIDA (Score 40.0–49.9)", "Tier 3 Moderate GIDA (Score &lt; 40.0)"))</f>
        <v/>
      </c>
      <c r="V839" s="26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W839" s="28" t="n">
        <v>0.109</v>
      </c>
      <c r="X839" s="14" t="n">
        <v>49.52</v>
      </c>
      <c r="Y839" s="14">
        <f>ROUND(MIN(100, (X839/69.91)*100), 2)</f>
        <v/>
      </c>
    </row>
    <row r="840">
      <c r="A840" s="10" t="n">
        <v>2</v>
      </c>
      <c r="B840" s="10" t="n">
        <v>836</v>
      </c>
      <c r="C840" s="10" t="n">
        <v>1836</v>
      </c>
      <c r="D840" s="10" t="inlineStr">
        <is>
          <t>1003514029</t>
        </is>
      </c>
      <c r="E840" s="26" t="inlineStr">
        <is>
          <t>Region X (Northern Mindanao)</t>
        </is>
      </c>
      <c r="F840" s="26" t="inlineStr">
        <is>
          <t>Lanao del Norte</t>
        </is>
      </c>
      <c r="G840" s="26" t="inlineStr">
        <is>
          <t>Munai</t>
        </is>
      </c>
      <c r="H840" s="26" t="inlineStr">
        <is>
          <t>Sandigamunai</t>
        </is>
      </c>
      <c r="I840" s="27" t="n">
        <v>8.022764</v>
      </c>
      <c r="J840" s="27" t="n">
        <v>124.081918</v>
      </c>
      <c r="K840" s="10" t="inlineStr">
        <is>
          <t>R</t>
        </is>
      </c>
      <c r="L840" s="12" t="n">
        <v>1067</v>
      </c>
      <c r="M840" s="14" t="n">
        <v>4.2</v>
      </c>
      <c r="N840" s="12">
        <f>ROUND(L840/M840, 0)</f>
        <v/>
      </c>
      <c r="O840" s="12">
        <f>ROUND(N840*'Methodology &amp; Assumptions'!$B$5, 0)</f>
        <v/>
      </c>
      <c r="P840" s="10" t="inlineStr">
        <is>
          <t>Single Carrier (Band n50, 100MHz TDD)</t>
        </is>
      </c>
      <c r="Q840" s="13">
        <f>ROUNDUP(O840/'Methodology &amp; Assumptions'!$B$6, 0)</f>
        <v/>
      </c>
      <c r="R840" s="13" t="n">
        <v>1</v>
      </c>
      <c r="S840" s="14" t="n">
        <v>21.23</v>
      </c>
      <c r="T840" s="14" t="n">
        <v>18.14</v>
      </c>
      <c r="U840" s="26">
        <f>IF(X840&gt;='Methodology &amp; Assumptions'!$B$7, "Tier 1 Critical GIDA (Score ≥ 50.0)", IF(X840&gt;='Methodology &amp; Assumptions'!$B$8, "Tier 2 High GIDA (Score 40.0–49.9)", "Tier 3 Moderate GIDA (Score &lt; 40.0)"))</f>
        <v/>
      </c>
      <c r="V840" s="26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W840" s="28" t="n">
        <v>0.174</v>
      </c>
      <c r="X840" s="14" t="n">
        <v>49.52</v>
      </c>
      <c r="Y840" s="14">
        <f>ROUND(MIN(100, (X840/69.91)*100), 2)</f>
        <v/>
      </c>
    </row>
    <row r="841">
      <c r="A841" s="10" t="n">
        <v>2</v>
      </c>
      <c r="B841" s="10" t="n">
        <v>837</v>
      </c>
      <c r="C841" s="10" t="n">
        <v>1837</v>
      </c>
      <c r="D841" s="10" t="inlineStr">
        <is>
          <t>1381100033</t>
        </is>
      </c>
      <c r="E841" s="26" t="inlineStr">
        <is>
          <t>National Capital Region (NCR)</t>
        </is>
      </c>
      <c r="F841" s="26" t="inlineStr">
        <is>
          <t>Fourth District (Not a Province)</t>
        </is>
      </c>
      <c r="G841" s="26" t="inlineStr">
        <is>
          <t>Pasay City</t>
        </is>
      </c>
      <c r="H841" s="26" t="inlineStr">
        <is>
          <t>Barangay 33</t>
        </is>
      </c>
      <c r="I841" s="27" t="n">
        <v>14.492625</v>
      </c>
      <c r="J841" s="27" t="n">
        <v>121.110705</v>
      </c>
      <c r="K841" s="10" t="inlineStr">
        <is>
          <t>U</t>
        </is>
      </c>
      <c r="L841" s="12" t="n">
        <v>1011</v>
      </c>
      <c r="M841" s="14" t="n">
        <v>3.4</v>
      </c>
      <c r="N841" s="12">
        <f>ROUND(L841/M841, 0)</f>
        <v/>
      </c>
      <c r="O841" s="12">
        <f>ROUND(N841*'Methodology &amp; Assumptions'!$B$5, 0)</f>
        <v/>
      </c>
      <c r="P841" s="10" t="inlineStr">
        <is>
          <t>Single Carrier (Band n50, 100MHz TDD)</t>
        </is>
      </c>
      <c r="Q841" s="13">
        <f>ROUNDUP(O841/'Methodology &amp; Assumptions'!$B$6, 0)</f>
        <v/>
      </c>
      <c r="R841" s="13" t="n">
        <v>1</v>
      </c>
      <c r="S841" s="14" t="n">
        <v>5.08</v>
      </c>
      <c r="T841" s="14" t="n">
        <v>4.9</v>
      </c>
      <c r="U841" s="26">
        <f>IF(X841&gt;='Methodology &amp; Assumptions'!$B$7, "Tier 1 Critical GIDA (Score ≥ 50.0)", IF(X841&gt;='Methodology &amp; Assumptions'!$B$8, "Tier 2 High GIDA (Score 40.0–49.9)", "Tier 3 Moderate GIDA (Score &lt; 40.0)"))</f>
        <v/>
      </c>
      <c r="V841" s="26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W841" s="28" t="n">
        <v>0.109</v>
      </c>
      <c r="X841" s="14" t="n">
        <v>49.52</v>
      </c>
      <c r="Y841" s="14">
        <f>ROUND(MIN(100, (X841/69.91)*100), 2)</f>
        <v/>
      </c>
    </row>
    <row r="842">
      <c r="A842" s="10" t="n">
        <v>2</v>
      </c>
      <c r="B842" s="10" t="n">
        <v>838</v>
      </c>
      <c r="C842" s="10" t="n">
        <v>1838</v>
      </c>
      <c r="D842" s="10" t="inlineStr">
        <is>
          <t>1380606238</t>
        </is>
      </c>
      <c r="E842" s="26" t="inlineStr">
        <is>
          <t>National Capital Region (NCR)</t>
        </is>
      </c>
      <c r="F842" s="26" t="inlineStr">
        <is>
          <t>First District (Not a Province)</t>
        </is>
      </c>
      <c r="G842" s="26" t="inlineStr">
        <is>
          <t>City of Manila</t>
        </is>
      </c>
      <c r="H842" s="26" t="inlineStr">
        <is>
          <t>Barangay 631</t>
        </is>
      </c>
      <c r="I842" s="27" t="n">
        <v>13.116053</v>
      </c>
      <c r="J842" s="27" t="n">
        <v>121.458029</v>
      </c>
      <c r="K842" s="10" t="inlineStr">
        <is>
          <t>U</t>
        </is>
      </c>
      <c r="L842" s="12" t="n">
        <v>1292</v>
      </c>
      <c r="M842" s="14" t="n">
        <v>3.9</v>
      </c>
      <c r="N842" s="12">
        <f>ROUND(L842/M842, 0)</f>
        <v/>
      </c>
      <c r="O842" s="12">
        <f>ROUND(N842*'Methodology &amp; Assumptions'!$B$5, 0)</f>
        <v/>
      </c>
      <c r="P842" s="10" t="inlineStr">
        <is>
          <t>Single Carrier (Band n50, 100MHz TDD)</t>
        </is>
      </c>
      <c r="Q842" s="13">
        <f>ROUNDUP(O842/'Methodology &amp; Assumptions'!$B$6, 0)</f>
        <v/>
      </c>
      <c r="R842" s="13" t="n">
        <v>1</v>
      </c>
      <c r="S842" s="14" t="n">
        <v>3.53</v>
      </c>
      <c r="T842" s="14" t="n">
        <v>7.26</v>
      </c>
      <c r="U842" s="26">
        <f>IF(X842&gt;='Methodology &amp; Assumptions'!$B$7, "Tier 1 Critical GIDA (Score ≥ 50.0)", IF(X842&gt;='Methodology &amp; Assumptions'!$B$8, "Tier 2 High GIDA (Score 40.0–49.9)", "Tier 3 Moderate GIDA (Score &lt; 40.0)"))</f>
        <v/>
      </c>
      <c r="V842" s="26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W842" s="28" t="n">
        <v>0.109</v>
      </c>
      <c r="X842" s="14" t="n">
        <v>49.52</v>
      </c>
      <c r="Y842" s="14">
        <f>ROUND(MIN(100, (X842/69.91)*100), 2)</f>
        <v/>
      </c>
    </row>
    <row r="843">
      <c r="A843" s="10" t="n">
        <v>2</v>
      </c>
      <c r="B843" s="10" t="n">
        <v>839</v>
      </c>
      <c r="C843" s="10" t="n">
        <v>1839</v>
      </c>
      <c r="D843" s="10" t="inlineStr">
        <is>
          <t>PH0001839</t>
        </is>
      </c>
      <c r="E843" s="26" t="inlineStr">
        <is>
          <t>IV-A</t>
        </is>
      </c>
      <c r="F843" s="26" t="inlineStr">
        <is>
          <t>Laguna</t>
        </is>
      </c>
      <c r="G843" s="26" t="inlineStr">
        <is>
          <t>San Pablo City</t>
        </is>
      </c>
      <c r="H843" s="26" t="inlineStr">
        <is>
          <t>Barangay III-B (Pob.)</t>
        </is>
      </c>
      <c r="I843" s="27" t="n">
        <v>14.043841</v>
      </c>
      <c r="J843" s="27" t="n">
        <v>121.328079</v>
      </c>
      <c r="K843" s="10" t="inlineStr">
        <is>
          <t>R</t>
        </is>
      </c>
      <c r="L843" s="12" t="n">
        <v>2412</v>
      </c>
      <c r="M843" s="14" t="n">
        <v>3.3</v>
      </c>
      <c r="N843" s="12">
        <f>ROUND(L843/M843, 0)</f>
        <v/>
      </c>
      <c r="O843" s="12">
        <f>ROUND(N843*'Methodology &amp; Assumptions'!$B$5, 0)</f>
        <v/>
      </c>
      <c r="P843" s="10" t="inlineStr">
        <is>
          <t>Single Carrier (Band n50, 100MHz TDD)</t>
        </is>
      </c>
      <c r="Q843" s="13">
        <f>ROUNDUP(O843/'Methodology &amp; Assumptions'!$B$6, 0)</f>
        <v/>
      </c>
      <c r="R843" s="13" t="n">
        <v>1</v>
      </c>
      <c r="S843" s="14" t="n">
        <v>1.72</v>
      </c>
      <c r="T843" s="14" t="n">
        <v>1.39</v>
      </c>
      <c r="U843" s="26">
        <f>IF(X843&gt;='Methodology &amp; Assumptions'!$B$7, "Tier 1 Critical GIDA (Score ≥ 50.0)", IF(X843&gt;='Methodology &amp; Assumptions'!$B$8, "Tier 2 High GIDA (Score 40.0–49.9)", "Tier 3 Moderate GIDA (Score &lt; 40.0)"))</f>
        <v/>
      </c>
      <c r="V843" s="26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W843" s="28" t="n">
        <v>0.07200000000000001</v>
      </c>
      <c r="X843" s="14" t="n">
        <v>49.52</v>
      </c>
      <c r="Y843" s="14">
        <f>ROUND(MIN(100, (X843/69.91)*100), 2)</f>
        <v/>
      </c>
    </row>
    <row r="844">
      <c r="A844" s="10" t="n">
        <v>2</v>
      </c>
      <c r="B844" s="10" t="n">
        <v>840</v>
      </c>
      <c r="C844" s="10" t="n">
        <v>1840</v>
      </c>
      <c r="D844" s="10" t="inlineStr">
        <is>
          <t>PH0001840</t>
        </is>
      </c>
      <c r="E844" s="26" t="inlineStr">
        <is>
          <t>VIII</t>
        </is>
      </c>
      <c r="F844" s="26" t="inlineStr">
        <is>
          <t>Leyte</t>
        </is>
      </c>
      <c r="G844" s="26" t="inlineStr">
        <is>
          <t>Tacloban City</t>
        </is>
      </c>
      <c r="H844" s="26" t="inlineStr">
        <is>
          <t>Barangay 50</t>
        </is>
      </c>
      <c r="I844" s="27" t="n">
        <v>11.222997</v>
      </c>
      <c r="J844" s="27" t="n">
        <v>124.945873</v>
      </c>
      <c r="K844" s="10" t="inlineStr">
        <is>
          <t>R</t>
        </is>
      </c>
      <c r="L844" s="12" t="n">
        <v>2258</v>
      </c>
      <c r="M844" s="14" t="n">
        <v>3.8</v>
      </c>
      <c r="N844" s="12">
        <f>ROUND(L844/M844, 0)</f>
        <v/>
      </c>
      <c r="O844" s="12">
        <f>ROUND(N844*'Methodology &amp; Assumptions'!$B$5, 0)</f>
        <v/>
      </c>
      <c r="P844" s="10" t="inlineStr">
        <is>
          <t>Single Carrier (Band n50, 100MHz TDD)</t>
        </is>
      </c>
      <c r="Q844" s="13">
        <f>ROUNDUP(O844/'Methodology &amp; Assumptions'!$B$6, 0)</f>
        <v/>
      </c>
      <c r="R844" s="13" t="n">
        <v>1</v>
      </c>
      <c r="S844" s="14" t="n">
        <v>6.44</v>
      </c>
      <c r="T844" s="14" t="n">
        <v>4.82</v>
      </c>
      <c r="U844" s="26">
        <f>IF(X844&gt;='Methodology &amp; Assumptions'!$B$7, "Tier 1 Critical GIDA (Score ≥ 50.0)", IF(X844&gt;='Methodology &amp; Assumptions'!$B$8, "Tier 2 High GIDA (Score 40.0–49.9)", "Tier 3 Moderate GIDA (Score &lt; 40.0)"))</f>
        <v/>
      </c>
      <c r="V844" s="26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W844" s="28" t="n">
        <v>0.222</v>
      </c>
      <c r="X844" s="14" t="n">
        <v>49.51</v>
      </c>
      <c r="Y844" s="14">
        <f>ROUND(MIN(100, (X844/69.91)*100), 2)</f>
        <v/>
      </c>
    </row>
    <row r="845">
      <c r="A845" s="10" t="n">
        <v>2</v>
      </c>
      <c r="B845" s="10" t="n">
        <v>841</v>
      </c>
      <c r="C845" s="10" t="n">
        <v>1841</v>
      </c>
      <c r="D845" s="10" t="inlineStr">
        <is>
          <t>1381300007</t>
        </is>
      </c>
      <c r="E845" s="26" t="inlineStr">
        <is>
          <t>National Capital Region (NCR)</t>
        </is>
      </c>
      <c r="F845" s="26" t="inlineStr">
        <is>
          <t>Second District (Not a Province)</t>
        </is>
      </c>
      <c r="G845" s="26" t="inlineStr">
        <is>
          <t>Quezon City</t>
        </is>
      </c>
      <c r="H845" s="26" t="inlineStr">
        <is>
          <t>Bagumbuhay</t>
        </is>
      </c>
      <c r="I845" s="27" t="n">
        <v>14.625296</v>
      </c>
      <c r="J845" s="27" t="n">
        <v>121.064163</v>
      </c>
      <c r="K845" s="10" t="inlineStr">
        <is>
          <t>U</t>
        </is>
      </c>
      <c r="L845" s="12" t="n">
        <v>6961</v>
      </c>
      <c r="M845" s="14" t="n">
        <v>3.8</v>
      </c>
      <c r="N845" s="12">
        <f>ROUND(L845/M845, 0)</f>
        <v/>
      </c>
      <c r="O845" s="12">
        <f>ROUND(N845*'Methodology &amp; Assumptions'!$B$5, 0)</f>
        <v/>
      </c>
      <c r="P845" s="10" t="inlineStr">
        <is>
          <t>Single Carrier (Band n50, 100MHz TDD)</t>
        </is>
      </c>
      <c r="Q845" s="13">
        <f>ROUNDUP(O845/'Methodology &amp; Assumptions'!$B$6, 0)</f>
        <v/>
      </c>
      <c r="R845" s="13" t="n">
        <v>1</v>
      </c>
      <c r="S845" s="14" t="n">
        <v>0.55</v>
      </c>
      <c r="T845" s="14" t="n">
        <v>0.29</v>
      </c>
      <c r="U845" s="26">
        <f>IF(X845&gt;='Methodology &amp; Assumptions'!$B$7, "Tier 1 Critical GIDA (Score ≥ 50.0)", IF(X845&gt;='Methodology &amp; Assumptions'!$B$8, "Tier 2 High GIDA (Score 40.0–49.9)", "Tier 3 Moderate GIDA (Score &lt; 40.0)"))</f>
        <v/>
      </c>
      <c r="V845" s="26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W845" s="28" t="n">
        <v>0.109</v>
      </c>
      <c r="X845" s="14" t="n">
        <v>49.51</v>
      </c>
      <c r="Y845" s="14">
        <f>ROUND(MIN(100, (X845/69.91)*100), 2)</f>
        <v/>
      </c>
    </row>
    <row r="846">
      <c r="A846" s="10" t="n">
        <v>2</v>
      </c>
      <c r="B846" s="10" t="n">
        <v>842</v>
      </c>
      <c r="C846" s="10" t="n">
        <v>1842</v>
      </c>
      <c r="D846" s="10" t="inlineStr">
        <is>
          <t>1380604018</t>
        </is>
      </c>
      <c r="E846" s="26" t="inlineStr">
        <is>
          <t>National Capital Region (NCR)</t>
        </is>
      </c>
      <c r="F846" s="26" t="inlineStr">
        <is>
          <t>First District (Not a Province)</t>
        </is>
      </c>
      <c r="G846" s="26" t="inlineStr">
        <is>
          <t>City of Manila</t>
        </is>
      </c>
      <c r="H846" s="26" t="inlineStr">
        <is>
          <t>Barangay 285</t>
        </is>
      </c>
      <c r="I846" s="27" t="n">
        <v>12.913656</v>
      </c>
      <c r="J846" s="27" t="n">
        <v>122.172137</v>
      </c>
      <c r="K846" s="10" t="inlineStr">
        <is>
          <t>U</t>
        </is>
      </c>
      <c r="L846" s="12" t="n">
        <v>2129</v>
      </c>
      <c r="M846" s="14" t="n">
        <v>3.9</v>
      </c>
      <c r="N846" s="12">
        <f>ROUND(L846/M846, 0)</f>
        <v/>
      </c>
      <c r="O846" s="12">
        <f>ROUND(N846*'Methodology &amp; Assumptions'!$B$5, 0)</f>
        <v/>
      </c>
      <c r="P846" s="10" t="inlineStr">
        <is>
          <t>Single Carrier (Band n50, 100MHz TDD)</t>
        </is>
      </c>
      <c r="Q846" s="13">
        <f>ROUNDUP(O846/'Methodology &amp; Assumptions'!$B$6, 0)</f>
        <v/>
      </c>
      <c r="R846" s="13" t="n">
        <v>1</v>
      </c>
      <c r="S846" s="14" t="n">
        <v>61</v>
      </c>
      <c r="T846" s="14" t="n">
        <v>72.34999999999999</v>
      </c>
      <c r="U846" s="26">
        <f>IF(X846&gt;='Methodology &amp; Assumptions'!$B$7, "Tier 1 Critical GIDA (Score ≥ 50.0)", IF(X846&gt;='Methodology &amp; Assumptions'!$B$8, "Tier 2 High GIDA (Score 40.0–49.9)", "Tier 3 Moderate GIDA (Score &lt; 40.0)"))</f>
        <v/>
      </c>
      <c r="V846" s="26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W846" s="28" t="n">
        <v>0.109</v>
      </c>
      <c r="X846" s="14" t="n">
        <v>49.51</v>
      </c>
      <c r="Y846" s="14">
        <f>ROUND(MIN(100, (X846/69.91)*100), 2)</f>
        <v/>
      </c>
    </row>
    <row r="847">
      <c r="A847" s="10" t="n">
        <v>2</v>
      </c>
      <c r="B847" s="10" t="n">
        <v>843</v>
      </c>
      <c r="C847" s="10" t="n">
        <v>1843</v>
      </c>
      <c r="D847" s="10" t="inlineStr">
        <is>
          <t>1380606195</t>
        </is>
      </c>
      <c r="E847" s="26" t="inlineStr">
        <is>
          <t>National Capital Region (NCR)</t>
        </is>
      </c>
      <c r="F847" s="26" t="inlineStr">
        <is>
          <t>First District (Not a Province)</t>
        </is>
      </c>
      <c r="G847" s="26" t="inlineStr">
        <is>
          <t>City of Manila</t>
        </is>
      </c>
      <c r="H847" s="26" t="inlineStr">
        <is>
          <t>Barangay 588</t>
        </is>
      </c>
      <c r="I847" s="27" t="n">
        <v>12.59146</v>
      </c>
      <c r="J847" s="27" t="n">
        <v>121.50306</v>
      </c>
      <c r="K847" s="10" t="inlineStr">
        <is>
          <t>U</t>
        </is>
      </c>
      <c r="L847" s="12" t="n">
        <v>1019</v>
      </c>
      <c r="M847" s="14" t="n">
        <v>3.9</v>
      </c>
      <c r="N847" s="12">
        <f>ROUND(L847/M847, 0)</f>
        <v/>
      </c>
      <c r="O847" s="12">
        <f>ROUND(N847*'Methodology &amp; Assumptions'!$B$5, 0)</f>
        <v/>
      </c>
      <c r="P847" s="10" t="inlineStr">
        <is>
          <t>Single Carrier (Band n50, 100MHz TDD)</t>
        </is>
      </c>
      <c r="Q847" s="13">
        <f>ROUNDUP(O847/'Methodology &amp; Assumptions'!$B$6, 0)</f>
        <v/>
      </c>
      <c r="R847" s="13" t="n">
        <v>1</v>
      </c>
      <c r="S847" s="14" t="n">
        <v>5.46</v>
      </c>
      <c r="T847" s="14" t="n">
        <v>0.33</v>
      </c>
      <c r="U847" s="26">
        <f>IF(X847&gt;='Methodology &amp; Assumptions'!$B$7, "Tier 1 Critical GIDA (Score ≥ 50.0)", IF(X847&gt;='Methodology &amp; Assumptions'!$B$8, "Tier 2 High GIDA (Score 40.0–49.9)", "Tier 3 Moderate GIDA (Score &lt; 40.0)"))</f>
        <v/>
      </c>
      <c r="V847" s="26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W847" s="28" t="n">
        <v>0.109</v>
      </c>
      <c r="X847" s="14" t="n">
        <v>49.51</v>
      </c>
      <c r="Y847" s="14">
        <f>ROUND(MIN(100, (X847/69.91)*100), 2)</f>
        <v/>
      </c>
    </row>
    <row r="848">
      <c r="A848" s="10" t="n">
        <v>2</v>
      </c>
      <c r="B848" s="10" t="n">
        <v>844</v>
      </c>
      <c r="C848" s="10" t="n">
        <v>1844</v>
      </c>
      <c r="D848" s="10" t="inlineStr">
        <is>
          <t>1380601213</t>
        </is>
      </c>
      <c r="E848" s="26" t="inlineStr">
        <is>
          <t>National Capital Region (NCR)</t>
        </is>
      </c>
      <c r="F848" s="26" t="inlineStr">
        <is>
          <t>First District (Not a Province)</t>
        </is>
      </c>
      <c r="G848" s="26" t="inlineStr">
        <is>
          <t>City of Manila</t>
        </is>
      </c>
      <c r="H848" s="26" t="inlineStr">
        <is>
          <t>Barangay 212</t>
        </is>
      </c>
      <c r="I848" s="27" t="n">
        <v>13.272002</v>
      </c>
      <c r="J848" s="27" t="n">
        <v>121.774</v>
      </c>
      <c r="K848" s="10" t="inlineStr">
        <is>
          <t>U</t>
        </is>
      </c>
      <c r="L848" s="12" t="n">
        <v>2756</v>
      </c>
      <c r="M848" s="14" t="n">
        <v>3.9</v>
      </c>
      <c r="N848" s="12">
        <f>ROUND(L848/M848, 0)</f>
        <v/>
      </c>
      <c r="O848" s="12">
        <f>ROUND(N848*'Methodology &amp; Assumptions'!$B$5, 0)</f>
        <v/>
      </c>
      <c r="P848" s="10" t="inlineStr">
        <is>
          <t>Single Carrier (Band n50, 100MHz TDD)</t>
        </is>
      </c>
      <c r="Q848" s="13">
        <f>ROUNDUP(O848/'Methodology &amp; Assumptions'!$B$6, 0)</f>
        <v/>
      </c>
      <c r="R848" s="13" t="n">
        <v>1</v>
      </c>
      <c r="S848" s="14" t="n">
        <v>37.03</v>
      </c>
      <c r="T848" s="14" t="n">
        <v>41.07</v>
      </c>
      <c r="U848" s="26">
        <f>IF(X848&gt;='Methodology &amp; Assumptions'!$B$7, "Tier 1 Critical GIDA (Score ≥ 50.0)", IF(X848&gt;='Methodology &amp; Assumptions'!$B$8, "Tier 2 High GIDA (Score 40.0–49.9)", "Tier 3 Moderate GIDA (Score &lt; 40.0)"))</f>
        <v/>
      </c>
      <c r="V848" s="26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W848" s="28" t="n">
        <v>0.109</v>
      </c>
      <c r="X848" s="14" t="n">
        <v>49.51</v>
      </c>
      <c r="Y848" s="14">
        <f>ROUND(MIN(100, (X848/69.91)*100), 2)</f>
        <v/>
      </c>
    </row>
    <row r="849">
      <c r="A849" s="10" t="n">
        <v>2</v>
      </c>
      <c r="B849" s="10" t="n">
        <v>845</v>
      </c>
      <c r="C849" s="10" t="n">
        <v>1845</v>
      </c>
      <c r="D849" s="10" t="inlineStr">
        <is>
          <t>1380610004</t>
        </is>
      </c>
      <c r="E849" s="26" t="inlineStr">
        <is>
          <t>National Capital Region (NCR)</t>
        </is>
      </c>
      <c r="F849" s="26" t="inlineStr">
        <is>
          <t>First District (Not a Province)</t>
        </is>
      </c>
      <c r="G849" s="26" t="inlineStr">
        <is>
          <t>City of Manila</t>
        </is>
      </c>
      <c r="H849" s="26" t="inlineStr">
        <is>
          <t>Barangay 689</t>
        </is>
      </c>
      <c r="I849" s="27" t="n">
        <v>12.58947</v>
      </c>
      <c r="J849" s="27" t="n">
        <v>122.046811</v>
      </c>
      <c r="K849" s="10" t="inlineStr">
        <is>
          <t>U</t>
        </is>
      </c>
      <c r="L849" s="12" t="n">
        <v>755</v>
      </c>
      <c r="M849" s="14" t="n">
        <v>3.9</v>
      </c>
      <c r="N849" s="12">
        <f>ROUND(L849/M849, 0)</f>
        <v/>
      </c>
      <c r="O849" s="12">
        <f>ROUND(N849*'Methodology &amp; Assumptions'!$B$5, 0)</f>
        <v/>
      </c>
      <c r="P849" s="10" t="inlineStr">
        <is>
          <t>Single Carrier (Band n50, 100MHz TDD)</t>
        </is>
      </c>
      <c r="Q849" s="13">
        <f>ROUNDUP(O849/'Methodology &amp; Assumptions'!$B$6, 0)</f>
        <v/>
      </c>
      <c r="R849" s="13" t="n">
        <v>1</v>
      </c>
      <c r="S849" s="14" t="n">
        <v>53.75</v>
      </c>
      <c r="T849" s="14" t="n">
        <v>42.53</v>
      </c>
      <c r="U849" s="26">
        <f>IF(X849&gt;='Methodology &amp; Assumptions'!$B$7, "Tier 1 Critical GIDA (Score ≥ 50.0)", IF(X849&gt;='Methodology &amp; Assumptions'!$B$8, "Tier 2 High GIDA (Score 40.0–49.9)", "Tier 3 Moderate GIDA (Score &lt; 40.0)"))</f>
        <v/>
      </c>
      <c r="V849" s="26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W849" s="28" t="n">
        <v>0.109</v>
      </c>
      <c r="X849" s="14" t="n">
        <v>49.51</v>
      </c>
      <c r="Y849" s="14">
        <f>ROUND(MIN(100, (X849/69.91)*100), 2)</f>
        <v/>
      </c>
    </row>
    <row r="850">
      <c r="A850" s="10" t="n">
        <v>2</v>
      </c>
      <c r="B850" s="10" t="n">
        <v>846</v>
      </c>
      <c r="C850" s="10" t="n">
        <v>1846</v>
      </c>
      <c r="D850" s="10" t="inlineStr">
        <is>
          <t>PH0001846</t>
        </is>
      </c>
      <c r="E850" s="26" t="inlineStr">
        <is>
          <t>NCR</t>
        </is>
      </c>
      <c r="F850" s="26" t="inlineStr">
        <is>
          <t>Metro Manila</t>
        </is>
      </c>
      <c r="G850" s="26" t="inlineStr">
        <is>
          <t>Caloocan City</t>
        </is>
      </c>
      <c r="H850" s="26" t="inlineStr">
        <is>
          <t>Barangay 40</t>
        </is>
      </c>
      <c r="I850" s="27" t="n">
        <v>13.109066</v>
      </c>
      <c r="J850" s="27" t="n">
        <v>120.439626</v>
      </c>
      <c r="K850" s="10" t="inlineStr">
        <is>
          <t>R</t>
        </is>
      </c>
      <c r="L850" s="12" t="n">
        <v>2279</v>
      </c>
      <c r="M850" s="14" t="n">
        <v>3.8</v>
      </c>
      <c r="N850" s="12">
        <f>ROUND(L850/M850, 0)</f>
        <v/>
      </c>
      <c r="O850" s="12">
        <f>ROUND(N850*'Methodology &amp; Assumptions'!$B$5, 0)</f>
        <v/>
      </c>
      <c r="P850" s="10" t="inlineStr">
        <is>
          <t>Single Carrier (Band n50, 100MHz TDD)</t>
        </is>
      </c>
      <c r="Q850" s="13">
        <f>ROUNDUP(O850/'Methodology &amp; Assumptions'!$B$6, 0)</f>
        <v/>
      </c>
      <c r="R850" s="13" t="n">
        <v>1</v>
      </c>
      <c r="S850" s="14" t="n">
        <v>66.8</v>
      </c>
      <c r="T850" s="14" t="n">
        <v>65.31999999999999</v>
      </c>
      <c r="U850" s="26">
        <f>IF(X850&gt;='Methodology &amp; Assumptions'!$B$7, "Tier 1 Critical GIDA (Score ≥ 50.0)", IF(X850&gt;='Methodology &amp; Assumptions'!$B$8, "Tier 2 High GIDA (Score 40.0–49.9)", "Tier 3 Moderate GIDA (Score &lt; 40.0)"))</f>
        <v/>
      </c>
      <c r="V850" s="26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W850" s="28" t="n">
        <v>0.011</v>
      </c>
      <c r="X850" s="14" t="n">
        <v>49.51</v>
      </c>
      <c r="Y850" s="14">
        <f>ROUND(MIN(100, (X850/69.91)*100), 2)</f>
        <v/>
      </c>
    </row>
    <row r="851">
      <c r="A851" s="10" t="n">
        <v>2</v>
      </c>
      <c r="B851" s="10" t="n">
        <v>847</v>
      </c>
      <c r="C851" s="10" t="n">
        <v>1847</v>
      </c>
      <c r="D851" s="10" t="inlineStr">
        <is>
          <t>1380601055</t>
        </is>
      </c>
      <c r="E851" s="26" t="inlineStr">
        <is>
          <t>National Capital Region (NCR)</t>
        </is>
      </c>
      <c r="F851" s="26" t="inlineStr">
        <is>
          <t>First District (Not a Province)</t>
        </is>
      </c>
      <c r="G851" s="26" t="inlineStr">
        <is>
          <t>City of Manila</t>
        </is>
      </c>
      <c r="H851" s="26" t="inlineStr">
        <is>
          <t>Barangay 55</t>
        </is>
      </c>
      <c r="I851" s="27" t="n">
        <v>12.914127</v>
      </c>
      <c r="J851" s="27" t="n">
        <v>121.370346</v>
      </c>
      <c r="K851" s="10" t="inlineStr">
        <is>
          <t>U</t>
        </is>
      </c>
      <c r="L851" s="12" t="n">
        <v>2568</v>
      </c>
      <c r="M851" s="14" t="n">
        <v>3.9</v>
      </c>
      <c r="N851" s="12">
        <f>ROUND(L851/M851, 0)</f>
        <v/>
      </c>
      <c r="O851" s="12">
        <f>ROUND(N851*'Methodology &amp; Assumptions'!$B$5, 0)</f>
        <v/>
      </c>
      <c r="P851" s="10" t="inlineStr">
        <is>
          <t>Single Carrier (Band n50, 100MHz TDD)</t>
        </is>
      </c>
      <c r="Q851" s="13">
        <f>ROUNDUP(O851/'Methodology &amp; Assumptions'!$B$6, 0)</f>
        <v/>
      </c>
      <c r="R851" s="13" t="n">
        <v>1</v>
      </c>
      <c r="S851" s="14" t="n">
        <v>12.66</v>
      </c>
      <c r="T851" s="14" t="n">
        <v>8.98</v>
      </c>
      <c r="U851" s="26">
        <f>IF(X851&gt;='Methodology &amp; Assumptions'!$B$7, "Tier 1 Critical GIDA (Score ≥ 50.0)", IF(X851&gt;='Methodology &amp; Assumptions'!$B$8, "Tier 2 High GIDA (Score 40.0–49.9)", "Tier 3 Moderate GIDA (Score &lt; 40.0)"))</f>
        <v/>
      </c>
      <c r="V851" s="26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W851" s="28" t="n">
        <v>0.109</v>
      </c>
      <c r="X851" s="14" t="n">
        <v>49.51</v>
      </c>
      <c r="Y851" s="14">
        <f>ROUND(MIN(100, (X851/69.91)*100), 2)</f>
        <v/>
      </c>
    </row>
    <row r="852">
      <c r="A852" s="10" t="n">
        <v>2</v>
      </c>
      <c r="B852" s="10" t="n">
        <v>848</v>
      </c>
      <c r="C852" s="10" t="n">
        <v>1848</v>
      </c>
      <c r="D852" s="10" t="inlineStr">
        <is>
          <t>0201519004</t>
        </is>
      </c>
      <c r="E852" s="26" t="inlineStr">
        <is>
          <t>Region II (Cagayan Valley)</t>
        </is>
      </c>
      <c r="F852" s="26" t="inlineStr">
        <is>
          <t>Cagayan</t>
        </is>
      </c>
      <c r="G852" s="26" t="inlineStr">
        <is>
          <t>Peñablanca</t>
        </is>
      </c>
      <c r="H852" s="26" t="inlineStr">
        <is>
          <t>Bical</t>
        </is>
      </c>
      <c r="I852" s="27" t="n">
        <v>17.56308</v>
      </c>
      <c r="J852" s="27" t="n">
        <v>121.82484</v>
      </c>
      <c r="K852" s="10" t="inlineStr">
        <is>
          <t>R</t>
        </is>
      </c>
      <c r="L852" s="12" t="n">
        <v>1936</v>
      </c>
      <c r="M852" s="14" t="n">
        <v>3.9</v>
      </c>
      <c r="N852" s="12">
        <f>ROUND(L852/M852, 0)</f>
        <v/>
      </c>
      <c r="O852" s="12">
        <f>ROUND(N852*'Methodology &amp; Assumptions'!$B$5, 0)</f>
        <v/>
      </c>
      <c r="P852" s="10" t="inlineStr">
        <is>
          <t>Single Carrier (Band n50, 100MHz TDD)</t>
        </is>
      </c>
      <c r="Q852" s="13">
        <f>ROUNDUP(O852/'Methodology &amp; Assumptions'!$B$6, 0)</f>
        <v/>
      </c>
      <c r="R852" s="13" t="n">
        <v>1</v>
      </c>
      <c r="S852" s="14" t="n">
        <v>12.26</v>
      </c>
      <c r="T852" s="14" t="n">
        <v>4.61</v>
      </c>
      <c r="U852" s="26">
        <f>IF(X852&gt;='Methodology &amp; Assumptions'!$B$7, "Tier 1 Critical GIDA (Score ≥ 50.0)", IF(X852&gt;='Methodology &amp; Assumptions'!$B$8, "Tier 2 High GIDA (Score 40.0–49.9)", "Tier 3 Moderate GIDA (Score &lt; 40.0)"))</f>
        <v/>
      </c>
      <c r="V852" s="26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W852" s="28" t="n">
        <v>0.083</v>
      </c>
      <c r="X852" s="14" t="n">
        <v>49.51</v>
      </c>
      <c r="Y852" s="14">
        <f>ROUND(MIN(100, (X852/69.91)*100), 2)</f>
        <v/>
      </c>
    </row>
    <row r="853">
      <c r="A853" s="10" t="n">
        <v>2</v>
      </c>
      <c r="B853" s="10" t="n">
        <v>849</v>
      </c>
      <c r="C853" s="10" t="n">
        <v>1849</v>
      </c>
      <c r="D853" s="10" t="inlineStr">
        <is>
          <t>1381100023</t>
        </is>
      </c>
      <c r="E853" s="26" t="inlineStr">
        <is>
          <t>National Capital Region (NCR)</t>
        </is>
      </c>
      <c r="F853" s="26" t="inlineStr">
        <is>
          <t>Fourth District (Not a Province)</t>
        </is>
      </c>
      <c r="G853" s="26" t="inlineStr">
        <is>
          <t>Pasay City</t>
        </is>
      </c>
      <c r="H853" s="26" t="inlineStr">
        <is>
          <t>Barangay 23</t>
        </is>
      </c>
      <c r="I853" s="27" t="n">
        <v>14.617148</v>
      </c>
      <c r="J853" s="27" t="n">
        <v>120.981315</v>
      </c>
      <c r="K853" s="10" t="inlineStr">
        <is>
          <t>U</t>
        </is>
      </c>
      <c r="L853" s="12" t="n">
        <v>1459</v>
      </c>
      <c r="M853" s="14" t="n">
        <v>3.4</v>
      </c>
      <c r="N853" s="12">
        <f>ROUND(L853/M853, 0)</f>
        <v/>
      </c>
      <c r="O853" s="12">
        <f>ROUND(N853*'Methodology &amp; Assumptions'!$B$5, 0)</f>
        <v/>
      </c>
      <c r="P853" s="10" t="inlineStr">
        <is>
          <t>Single Carrier (Band n50, 100MHz TDD)</t>
        </is>
      </c>
      <c r="Q853" s="13">
        <f>ROUNDUP(O853/'Methodology &amp; Assumptions'!$B$6, 0)</f>
        <v/>
      </c>
      <c r="R853" s="13" t="n">
        <v>1</v>
      </c>
      <c r="S853" s="14" t="n">
        <v>0.18</v>
      </c>
      <c r="T853" s="14" t="n">
        <v>0.17</v>
      </c>
      <c r="U853" s="26">
        <f>IF(X853&gt;='Methodology &amp; Assumptions'!$B$7, "Tier 1 Critical GIDA (Score ≥ 50.0)", IF(X853&gt;='Methodology &amp; Assumptions'!$B$8, "Tier 2 High GIDA (Score 40.0–49.9)", "Tier 3 Moderate GIDA (Score &lt; 40.0)"))</f>
        <v/>
      </c>
      <c r="V853" s="26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W853" s="28" t="n">
        <v>0.109</v>
      </c>
      <c r="X853" s="14" t="n">
        <v>49.51</v>
      </c>
      <c r="Y853" s="14">
        <f>ROUND(MIN(100, (X853/69.91)*100), 2)</f>
        <v/>
      </c>
    </row>
    <row r="854">
      <c r="A854" s="10" t="n">
        <v>2</v>
      </c>
      <c r="B854" s="10" t="n">
        <v>850</v>
      </c>
      <c r="C854" s="10" t="n">
        <v>1850</v>
      </c>
      <c r="D854" s="10" t="inlineStr">
        <is>
          <t>1381100180</t>
        </is>
      </c>
      <c r="E854" s="26" t="inlineStr">
        <is>
          <t>National Capital Region (NCR)</t>
        </is>
      </c>
      <c r="F854" s="26" t="inlineStr">
        <is>
          <t>Fourth District (Not a Province)</t>
        </is>
      </c>
      <c r="G854" s="26" t="inlineStr">
        <is>
          <t>Pasay City</t>
        </is>
      </c>
      <c r="H854" s="26" t="inlineStr">
        <is>
          <t>Barangay 180</t>
        </is>
      </c>
      <c r="I854" s="27" t="n">
        <v>14.50615</v>
      </c>
      <c r="J854" s="27" t="n">
        <v>120.889794</v>
      </c>
      <c r="K854" s="10" t="inlineStr">
        <is>
          <t>U</t>
        </is>
      </c>
      <c r="L854" s="12" t="n">
        <v>2118</v>
      </c>
      <c r="M854" s="14" t="n">
        <v>3.4</v>
      </c>
      <c r="N854" s="12">
        <f>ROUND(L854/M854, 0)</f>
        <v/>
      </c>
      <c r="O854" s="12">
        <f>ROUND(N854*'Methodology &amp; Assumptions'!$B$5, 0)</f>
        <v/>
      </c>
      <c r="P854" s="10" t="inlineStr">
        <is>
          <t>Single Carrier (Band n50, 100MHz TDD)</t>
        </is>
      </c>
      <c r="Q854" s="13">
        <f>ROUNDUP(O854/'Methodology &amp; Assumptions'!$B$6, 0)</f>
        <v/>
      </c>
      <c r="R854" s="13" t="n">
        <v>1</v>
      </c>
      <c r="S854" s="14" t="n">
        <v>3.5</v>
      </c>
      <c r="T854" s="14" t="n">
        <v>7.12</v>
      </c>
      <c r="U854" s="26">
        <f>IF(X854&gt;='Methodology &amp; Assumptions'!$B$7, "Tier 1 Critical GIDA (Score ≥ 50.0)", IF(X854&gt;='Methodology &amp; Assumptions'!$B$8, "Tier 2 High GIDA (Score 40.0–49.9)", "Tier 3 Moderate GIDA (Score &lt; 40.0)"))</f>
        <v/>
      </c>
      <c r="V854" s="26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W854" s="28" t="n">
        <v>0.109</v>
      </c>
      <c r="X854" s="14" t="n">
        <v>49.51</v>
      </c>
      <c r="Y854" s="14">
        <f>ROUND(MIN(100, (X854/69.91)*100), 2)</f>
        <v/>
      </c>
    </row>
    <row r="855">
      <c r="A855" s="10" t="n">
        <v>2</v>
      </c>
      <c r="B855" s="10" t="n">
        <v>851</v>
      </c>
      <c r="C855" s="10" t="n">
        <v>1851</v>
      </c>
      <c r="D855" s="10" t="inlineStr">
        <is>
          <t>1380601176</t>
        </is>
      </c>
      <c r="E855" s="26" t="inlineStr">
        <is>
          <t>National Capital Region (NCR)</t>
        </is>
      </c>
      <c r="F855" s="26" t="inlineStr">
        <is>
          <t>First District (Not a Province)</t>
        </is>
      </c>
      <c r="G855" s="26" t="inlineStr">
        <is>
          <t>City of Manila</t>
        </is>
      </c>
      <c r="H855" s="26" t="inlineStr">
        <is>
          <t>Barangay 176</t>
        </is>
      </c>
      <c r="I855" s="27" t="n">
        <v>13.120983</v>
      </c>
      <c r="J855" s="27" t="n">
        <v>122.096562</v>
      </c>
      <c r="K855" s="10" t="inlineStr">
        <is>
          <t>U</t>
        </is>
      </c>
      <c r="L855" s="12" t="n">
        <v>1317</v>
      </c>
      <c r="M855" s="14" t="n">
        <v>3.9</v>
      </c>
      <c r="N855" s="12">
        <f>ROUND(L855/M855, 0)</f>
        <v/>
      </c>
      <c r="O855" s="12">
        <f>ROUND(N855*'Methodology &amp; Assumptions'!$B$5, 0)</f>
        <v/>
      </c>
      <c r="P855" s="10" t="inlineStr">
        <is>
          <t>Single Carrier (Band n50, 100MHz TDD)</t>
        </is>
      </c>
      <c r="Q855" s="13">
        <f>ROUNDUP(O855/'Methodology &amp; Assumptions'!$B$6, 0)</f>
        <v/>
      </c>
      <c r="R855" s="13" t="n">
        <v>1</v>
      </c>
      <c r="S855" s="14" t="n">
        <v>52.12</v>
      </c>
      <c r="T855" s="14" t="n">
        <v>55.46</v>
      </c>
      <c r="U855" s="26">
        <f>IF(X855&gt;='Methodology &amp; Assumptions'!$B$7, "Tier 1 Critical GIDA (Score ≥ 50.0)", IF(X855&gt;='Methodology &amp; Assumptions'!$B$8, "Tier 2 High GIDA (Score 40.0–49.9)", "Tier 3 Moderate GIDA (Score &lt; 40.0)"))</f>
        <v/>
      </c>
      <c r="V855" s="26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W855" s="28" t="n">
        <v>0.109</v>
      </c>
      <c r="X855" s="14" t="n">
        <v>49.5</v>
      </c>
      <c r="Y855" s="14">
        <f>ROUND(MIN(100, (X855/69.91)*100), 2)</f>
        <v/>
      </c>
    </row>
    <row r="856">
      <c r="A856" s="10" t="n">
        <v>2</v>
      </c>
      <c r="B856" s="10" t="n">
        <v>852</v>
      </c>
      <c r="C856" s="10" t="n">
        <v>1852</v>
      </c>
      <c r="D856" s="10" t="inlineStr">
        <is>
          <t>1380606204</t>
        </is>
      </c>
      <c r="E856" s="26" t="inlineStr">
        <is>
          <t>National Capital Region (NCR)</t>
        </is>
      </c>
      <c r="F856" s="26" t="inlineStr">
        <is>
          <t>First District (Not a Province)</t>
        </is>
      </c>
      <c r="G856" s="26" t="inlineStr">
        <is>
          <t>City of Manila</t>
        </is>
      </c>
      <c r="H856" s="26" t="inlineStr">
        <is>
          <t>Barangay 597</t>
        </is>
      </c>
      <c r="I856" s="27" t="n">
        <v>12.488042</v>
      </c>
      <c r="J856" s="27" t="n">
        <v>121.703158</v>
      </c>
      <c r="K856" s="10" t="inlineStr">
        <is>
          <t>U</t>
        </is>
      </c>
      <c r="L856" s="12" t="n">
        <v>1723</v>
      </c>
      <c r="M856" s="14" t="n">
        <v>3.9</v>
      </c>
      <c r="N856" s="12">
        <f>ROUND(L856/M856, 0)</f>
        <v/>
      </c>
      <c r="O856" s="12">
        <f>ROUND(N856*'Methodology &amp; Assumptions'!$B$5, 0)</f>
        <v/>
      </c>
      <c r="P856" s="10" t="inlineStr">
        <is>
          <t>Single Carrier (Band n50, 100MHz TDD)</t>
        </is>
      </c>
      <c r="Q856" s="13">
        <f>ROUNDUP(O856/'Methodology &amp; Assumptions'!$B$6, 0)</f>
        <v/>
      </c>
      <c r="R856" s="13" t="n">
        <v>1</v>
      </c>
      <c r="S856" s="14" t="n">
        <v>20.89</v>
      </c>
      <c r="T856" s="14" t="n">
        <v>4.93</v>
      </c>
      <c r="U856" s="26">
        <f>IF(X856&gt;='Methodology &amp; Assumptions'!$B$7, "Tier 1 Critical GIDA (Score ≥ 50.0)", IF(X856&gt;='Methodology &amp; Assumptions'!$B$8, "Tier 2 High GIDA (Score 40.0–49.9)", "Tier 3 Moderate GIDA (Score &lt; 40.0)"))</f>
        <v/>
      </c>
      <c r="V856" s="26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W856" s="28" t="n">
        <v>0.109</v>
      </c>
      <c r="X856" s="14" t="n">
        <v>49.5</v>
      </c>
      <c r="Y856" s="14">
        <f>ROUND(MIN(100, (X856/69.91)*100), 2)</f>
        <v/>
      </c>
    </row>
    <row r="857">
      <c r="A857" s="10" t="n">
        <v>2</v>
      </c>
      <c r="B857" s="10" t="n">
        <v>853</v>
      </c>
      <c r="C857" s="10" t="n">
        <v>1853</v>
      </c>
      <c r="D857" s="10" t="inlineStr">
        <is>
          <t>1400127002</t>
        </is>
      </c>
      <c r="E857" s="26" t="inlineStr">
        <is>
          <t>Cordillera Administrative Region (CAR)</t>
        </is>
      </c>
      <c r="F857" s="26" t="inlineStr">
        <is>
          <t>Abra</t>
        </is>
      </c>
      <c r="G857" s="26" t="inlineStr">
        <is>
          <t>Villaviciosa</t>
        </is>
      </c>
      <c r="H857" s="26" t="inlineStr">
        <is>
          <t>Bol-lilising</t>
        </is>
      </c>
      <c r="I857" s="27" t="n">
        <v>17.353233</v>
      </c>
      <c r="J857" s="27" t="n">
        <v>120.598511</v>
      </c>
      <c r="K857" s="10" t="inlineStr">
        <is>
          <t>R</t>
        </is>
      </c>
      <c r="L857" s="12" t="n">
        <v>278</v>
      </c>
      <c r="M857" s="14" t="n">
        <v>3.8</v>
      </c>
      <c r="N857" s="12">
        <f>ROUND(L857/M857, 0)</f>
        <v/>
      </c>
      <c r="O857" s="12">
        <f>ROUND(N857*'Methodology &amp; Assumptions'!$B$5, 0)</f>
        <v/>
      </c>
      <c r="P857" s="10" t="inlineStr">
        <is>
          <t>Single Carrier (Band n50, 100MHz TDD)</t>
        </is>
      </c>
      <c r="Q857" s="13">
        <f>ROUNDUP(O857/'Methodology &amp; Assumptions'!$B$6, 0)</f>
        <v/>
      </c>
      <c r="R857" s="13" t="n">
        <v>1</v>
      </c>
      <c r="S857" s="14" t="n">
        <v>12.66</v>
      </c>
      <c r="T857" s="14" t="n">
        <v>12.59</v>
      </c>
      <c r="U857" s="26">
        <f>IF(X857&gt;='Methodology &amp; Assumptions'!$B$7, "Tier 1 Critical GIDA (Score ≥ 50.0)", IF(X857&gt;='Methodology &amp; Assumptions'!$B$8, "Tier 2 High GIDA (Score 40.0–49.9)", "Tier 3 Moderate GIDA (Score &lt; 40.0)"))</f>
        <v/>
      </c>
      <c r="V857" s="26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W857" s="28" t="n">
        <v>0.109</v>
      </c>
      <c r="X857" s="14" t="n">
        <v>49.5</v>
      </c>
      <c r="Y857" s="14">
        <f>ROUND(MIN(100, (X857/69.91)*100), 2)</f>
        <v/>
      </c>
    </row>
    <row r="858">
      <c r="A858" s="10" t="n">
        <v>2</v>
      </c>
      <c r="B858" s="10" t="n">
        <v>854</v>
      </c>
      <c r="C858" s="10" t="n">
        <v>1854</v>
      </c>
      <c r="D858" s="10" t="inlineStr">
        <is>
          <t>1380610028</t>
        </is>
      </c>
      <c r="E858" s="26" t="inlineStr">
        <is>
          <t>National Capital Region (NCR)</t>
        </is>
      </c>
      <c r="F858" s="26" t="inlineStr">
        <is>
          <t>First District (Not a Province)</t>
        </is>
      </c>
      <c r="G858" s="26" t="inlineStr">
        <is>
          <t>City of Manila</t>
        </is>
      </c>
      <c r="H858" s="26" t="inlineStr">
        <is>
          <t>Barangay 713</t>
        </is>
      </c>
      <c r="I858" s="27" t="n">
        <v>13.216255</v>
      </c>
      <c r="J858" s="27" t="n">
        <v>121.554057</v>
      </c>
      <c r="K858" s="10" t="inlineStr">
        <is>
          <t>U</t>
        </is>
      </c>
      <c r="L858" s="12" t="n">
        <v>2024</v>
      </c>
      <c r="M858" s="14" t="n">
        <v>3.9</v>
      </c>
      <c r="N858" s="12">
        <f>ROUND(L858/M858, 0)</f>
        <v/>
      </c>
      <c r="O858" s="12">
        <f>ROUND(N858*'Methodology &amp; Assumptions'!$B$5, 0)</f>
        <v/>
      </c>
      <c r="P858" s="10" t="inlineStr">
        <is>
          <t>Single Carrier (Band n50, 100MHz TDD)</t>
        </is>
      </c>
      <c r="Q858" s="13">
        <f>ROUNDUP(O858/'Methodology &amp; Assumptions'!$B$6, 0)</f>
        <v/>
      </c>
      <c r="R858" s="13" t="n">
        <v>1</v>
      </c>
      <c r="S858" s="14" t="n">
        <v>17.66</v>
      </c>
      <c r="T858" s="14" t="n">
        <v>21.25</v>
      </c>
      <c r="U858" s="26">
        <f>IF(X858&gt;='Methodology &amp; Assumptions'!$B$7, "Tier 1 Critical GIDA (Score ≥ 50.0)", IF(X858&gt;='Methodology &amp; Assumptions'!$B$8, "Tier 2 High GIDA (Score 40.0–49.9)", "Tier 3 Moderate GIDA (Score &lt; 40.0)"))</f>
        <v/>
      </c>
      <c r="V858" s="26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W858" s="28" t="n">
        <v>0.109</v>
      </c>
      <c r="X858" s="14" t="n">
        <v>49.5</v>
      </c>
      <c r="Y858" s="14">
        <f>ROUND(MIN(100, (X858/69.91)*100), 2)</f>
        <v/>
      </c>
    </row>
    <row r="859">
      <c r="A859" s="10" t="n">
        <v>2</v>
      </c>
      <c r="B859" s="10" t="n">
        <v>855</v>
      </c>
      <c r="C859" s="10" t="n">
        <v>1855</v>
      </c>
      <c r="D859" s="10" t="inlineStr">
        <is>
          <t>1380606233</t>
        </is>
      </c>
      <c r="E859" s="26" t="inlineStr">
        <is>
          <t>National Capital Region (NCR)</t>
        </is>
      </c>
      <c r="F859" s="26" t="inlineStr">
        <is>
          <t>First District (Not a Province)</t>
        </is>
      </c>
      <c r="G859" s="26" t="inlineStr">
        <is>
          <t>City of Manila</t>
        </is>
      </c>
      <c r="H859" s="26" t="inlineStr">
        <is>
          <t>Barangay 626</t>
        </is>
      </c>
      <c r="I859" s="27" t="n">
        <v>12.776069</v>
      </c>
      <c r="J859" s="27" t="n">
        <v>122.170738</v>
      </c>
      <c r="K859" s="10" t="inlineStr">
        <is>
          <t>U</t>
        </is>
      </c>
      <c r="L859" s="12" t="n">
        <v>1324</v>
      </c>
      <c r="M859" s="14" t="n">
        <v>3.9</v>
      </c>
      <c r="N859" s="12">
        <f>ROUND(L859/M859, 0)</f>
        <v/>
      </c>
      <c r="O859" s="12">
        <f>ROUND(N859*'Methodology &amp; Assumptions'!$B$5, 0)</f>
        <v/>
      </c>
      <c r="P859" s="10" t="inlineStr">
        <is>
          <t>Single Carrier (Band n50, 100MHz TDD)</t>
        </is>
      </c>
      <c r="Q859" s="13">
        <f>ROUNDUP(O859/'Methodology &amp; Assumptions'!$B$6, 0)</f>
        <v/>
      </c>
      <c r="R859" s="13" t="n">
        <v>1</v>
      </c>
      <c r="S859" s="14" t="n">
        <v>69.83</v>
      </c>
      <c r="T859" s="14" t="n">
        <v>64.41</v>
      </c>
      <c r="U859" s="26">
        <f>IF(X859&gt;='Methodology &amp; Assumptions'!$B$7, "Tier 1 Critical GIDA (Score ≥ 50.0)", IF(X859&gt;='Methodology &amp; Assumptions'!$B$8, "Tier 2 High GIDA (Score 40.0–49.9)", "Tier 3 Moderate GIDA (Score &lt; 40.0)"))</f>
        <v/>
      </c>
      <c r="V859" s="26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W859" s="28" t="n">
        <v>0.109</v>
      </c>
      <c r="X859" s="14" t="n">
        <v>49.5</v>
      </c>
      <c r="Y859" s="14">
        <f>ROUND(MIN(100, (X859/69.91)*100), 2)</f>
        <v/>
      </c>
    </row>
    <row r="860">
      <c r="A860" s="10" t="n">
        <v>2</v>
      </c>
      <c r="B860" s="10" t="n">
        <v>856</v>
      </c>
      <c r="C860" s="10" t="n">
        <v>1856</v>
      </c>
      <c r="D860" s="10" t="inlineStr">
        <is>
          <t>1380612037</t>
        </is>
      </c>
      <c r="E860" s="26" t="inlineStr">
        <is>
          <t>National Capital Region (NCR)</t>
        </is>
      </c>
      <c r="F860" s="26" t="inlineStr">
        <is>
          <t>First District (Not a Province)</t>
        </is>
      </c>
      <c r="G860" s="26" t="inlineStr">
        <is>
          <t>City of Manila</t>
        </is>
      </c>
      <c r="H860" s="26" t="inlineStr">
        <is>
          <t>Barangay 871</t>
        </is>
      </c>
      <c r="I860" s="27" t="n">
        <v>12.694193</v>
      </c>
      <c r="J860" s="27" t="n">
        <v>121.408447</v>
      </c>
      <c r="K860" s="10" t="inlineStr">
        <is>
          <t>U</t>
        </is>
      </c>
      <c r="L860" s="12" t="n">
        <v>2480</v>
      </c>
      <c r="M860" s="14" t="n">
        <v>3.9</v>
      </c>
      <c r="N860" s="12">
        <f>ROUND(L860/M860, 0)</f>
        <v/>
      </c>
      <c r="O860" s="12">
        <f>ROUND(N860*'Methodology &amp; Assumptions'!$B$5, 0)</f>
        <v/>
      </c>
      <c r="P860" s="10" t="inlineStr">
        <is>
          <t>Single Carrier (Band n50, 100MHz TDD)</t>
        </is>
      </c>
      <c r="Q860" s="13">
        <f>ROUNDUP(O860/'Methodology &amp; Assumptions'!$B$6, 0)</f>
        <v/>
      </c>
      <c r="R860" s="13" t="n">
        <v>1</v>
      </c>
      <c r="S860" s="14" t="n">
        <v>10.19</v>
      </c>
      <c r="T860" s="14" t="n">
        <v>8.220000000000001</v>
      </c>
      <c r="U860" s="26">
        <f>IF(X860&gt;='Methodology &amp; Assumptions'!$B$7, "Tier 1 Critical GIDA (Score ≥ 50.0)", IF(X860&gt;='Methodology &amp; Assumptions'!$B$8, "Tier 2 High GIDA (Score 40.0–49.9)", "Tier 3 Moderate GIDA (Score &lt; 40.0)"))</f>
        <v/>
      </c>
      <c r="V860" s="26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W860" s="28" t="n">
        <v>0.109</v>
      </c>
      <c r="X860" s="14" t="n">
        <v>49.5</v>
      </c>
      <c r="Y860" s="14">
        <f>ROUND(MIN(100, (X860/69.91)*100), 2)</f>
        <v/>
      </c>
    </row>
    <row r="861">
      <c r="A861" s="10" t="n">
        <v>2</v>
      </c>
      <c r="B861" s="10" t="n">
        <v>857</v>
      </c>
      <c r="C861" s="10" t="n">
        <v>1857</v>
      </c>
      <c r="D861" s="10" t="inlineStr">
        <is>
          <t>1381100139</t>
        </is>
      </c>
      <c r="E861" s="26" t="inlineStr">
        <is>
          <t>National Capital Region (NCR)</t>
        </is>
      </c>
      <c r="F861" s="26" t="inlineStr">
        <is>
          <t>Fourth District (Not a Province)</t>
        </is>
      </c>
      <c r="G861" s="26" t="inlineStr">
        <is>
          <t>Pasay City</t>
        </is>
      </c>
      <c r="H861" s="26" t="inlineStr">
        <is>
          <t>Barangay 139</t>
        </is>
      </c>
      <c r="I861" s="27" t="n">
        <v>14.642218</v>
      </c>
      <c r="J861" s="27" t="n">
        <v>121.064134</v>
      </c>
      <c r="K861" s="10" t="inlineStr">
        <is>
          <t>U</t>
        </is>
      </c>
      <c r="L861" s="12" t="n">
        <v>1095</v>
      </c>
      <c r="M861" s="14" t="n">
        <v>3.4</v>
      </c>
      <c r="N861" s="12">
        <f>ROUND(L861/M861, 0)</f>
        <v/>
      </c>
      <c r="O861" s="12">
        <f>ROUND(N861*'Methodology &amp; Assumptions'!$B$5, 0)</f>
        <v/>
      </c>
      <c r="P861" s="10" t="inlineStr">
        <is>
          <t>Single Carrier (Band n50, 100MHz TDD)</t>
        </is>
      </c>
      <c r="Q861" s="13">
        <f>ROUNDUP(O861/'Methodology &amp; Assumptions'!$B$6, 0)</f>
        <v/>
      </c>
      <c r="R861" s="13" t="n">
        <v>1</v>
      </c>
      <c r="S861" s="14" t="n">
        <v>1.22</v>
      </c>
      <c r="T861" s="14" t="n">
        <v>0.75</v>
      </c>
      <c r="U861" s="26">
        <f>IF(X861&gt;='Methodology &amp; Assumptions'!$B$7, "Tier 1 Critical GIDA (Score ≥ 50.0)", IF(X861&gt;='Methodology &amp; Assumptions'!$B$8, "Tier 2 High GIDA (Score 40.0–49.9)", "Tier 3 Moderate GIDA (Score &lt; 40.0)"))</f>
        <v/>
      </c>
      <c r="V861" s="26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W861" s="28" t="n">
        <v>0.109</v>
      </c>
      <c r="X861" s="14" t="n">
        <v>49.5</v>
      </c>
      <c r="Y861" s="14">
        <f>ROUND(MIN(100, (X861/69.91)*100), 2)</f>
        <v/>
      </c>
    </row>
    <row r="862">
      <c r="A862" s="10" t="n">
        <v>2</v>
      </c>
      <c r="B862" s="10" t="n">
        <v>858</v>
      </c>
      <c r="C862" s="10" t="n">
        <v>1858</v>
      </c>
      <c r="D862" s="10" t="inlineStr">
        <is>
          <t>1907006032</t>
        </is>
      </c>
      <c r="E862" s="26" t="inlineStr">
        <is>
          <t>Bangsamoro Autonomous Region In Muslim Mindanao (BARMM)</t>
        </is>
      </c>
      <c r="F862" s="26" t="inlineStr">
        <is>
          <t>Tawi-Tawi</t>
        </is>
      </c>
      <c r="G862" s="26" t="inlineStr">
        <is>
          <t>South Ubian</t>
        </is>
      </c>
      <c r="H862" s="26" t="inlineStr">
        <is>
          <t>Tong Tampakan</t>
        </is>
      </c>
      <c r="I862" s="27" t="n">
        <v>17.255856</v>
      </c>
      <c r="J862" s="27" t="n">
        <v>122.2299</v>
      </c>
      <c r="K862" s="10" t="inlineStr">
        <is>
          <t>R</t>
        </is>
      </c>
      <c r="L862" s="12" t="n">
        <v>1265</v>
      </c>
      <c r="M862" s="14" t="n">
        <v>5.8</v>
      </c>
      <c r="N862" s="12">
        <f>ROUND(L862/M862, 0)</f>
        <v/>
      </c>
      <c r="O862" s="12">
        <f>ROUND(N862*'Methodology &amp; Assumptions'!$B$5, 0)</f>
        <v/>
      </c>
      <c r="P862" s="10" t="inlineStr">
        <is>
          <t>Single Carrier (Band n50, 100MHz TDD)</t>
        </is>
      </c>
      <c r="Q862" s="13">
        <f>ROUNDUP(O862/'Methodology &amp; Assumptions'!$B$6, 0)</f>
        <v/>
      </c>
      <c r="R862" s="13" t="n">
        <v>1</v>
      </c>
      <c r="S862" s="14" t="n">
        <v>29.57</v>
      </c>
      <c r="T862" s="14" t="n">
        <v>34.43</v>
      </c>
      <c r="U862" s="26">
        <f>IF(X862&gt;='Methodology &amp; Assumptions'!$B$7, "Tier 1 Critical GIDA (Score ≥ 50.0)", IF(X862&gt;='Methodology &amp; Assumptions'!$B$8, "Tier 2 High GIDA (Score 40.0–49.9)", "Tier 3 Moderate GIDA (Score &lt; 40.0)"))</f>
        <v/>
      </c>
      <c r="V862" s="26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W862" s="28" t="n">
        <v>0.11</v>
      </c>
      <c r="X862" s="14" t="n">
        <v>49.5</v>
      </c>
      <c r="Y862" s="14">
        <f>ROUND(MIN(100, (X862/69.91)*100), 2)</f>
        <v/>
      </c>
    </row>
    <row r="863">
      <c r="A863" s="10" t="n">
        <v>2</v>
      </c>
      <c r="B863" s="10" t="n">
        <v>859</v>
      </c>
      <c r="C863" s="10" t="n">
        <v>1859</v>
      </c>
      <c r="D863" s="10" t="inlineStr">
        <is>
          <t>1380601204</t>
        </is>
      </c>
      <c r="E863" s="26" t="inlineStr">
        <is>
          <t>National Capital Region (NCR)</t>
        </is>
      </c>
      <c r="F863" s="26" t="inlineStr">
        <is>
          <t>First District (Not a Province)</t>
        </is>
      </c>
      <c r="G863" s="26" t="inlineStr">
        <is>
          <t>City of Manila</t>
        </is>
      </c>
      <c r="H863" s="26" t="inlineStr">
        <is>
          <t>Barangay 203</t>
        </is>
      </c>
      <c r="I863" s="27" t="n">
        <v>13.258489</v>
      </c>
      <c r="J863" s="27" t="n">
        <v>121.915426</v>
      </c>
      <c r="K863" s="10" t="inlineStr">
        <is>
          <t>U</t>
        </is>
      </c>
      <c r="L863" s="12" t="n">
        <v>2537</v>
      </c>
      <c r="M863" s="14" t="n">
        <v>3.9</v>
      </c>
      <c r="N863" s="12">
        <f>ROUND(L863/M863, 0)</f>
        <v/>
      </c>
      <c r="O863" s="12">
        <f>ROUND(N863*'Methodology &amp; Assumptions'!$B$5, 0)</f>
        <v/>
      </c>
      <c r="P863" s="10" t="inlineStr">
        <is>
          <t>Single Carrier (Band n50, 100MHz TDD)</t>
        </is>
      </c>
      <c r="Q863" s="13">
        <f>ROUNDUP(O863/'Methodology &amp; Assumptions'!$B$6, 0)</f>
        <v/>
      </c>
      <c r="R863" s="13" t="n">
        <v>1</v>
      </c>
      <c r="S863" s="14" t="n">
        <v>49.24</v>
      </c>
      <c r="T863" s="14" t="n">
        <v>53.13</v>
      </c>
      <c r="U863" s="26">
        <f>IF(X863&gt;='Methodology &amp; Assumptions'!$B$7, "Tier 1 Critical GIDA (Score ≥ 50.0)", IF(X863&gt;='Methodology &amp; Assumptions'!$B$8, "Tier 2 High GIDA (Score 40.0–49.9)", "Tier 3 Moderate GIDA (Score &lt; 40.0)"))</f>
        <v/>
      </c>
      <c r="V863" s="26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W863" s="28" t="n">
        <v>0.109</v>
      </c>
      <c r="X863" s="14" t="n">
        <v>49.49</v>
      </c>
      <c r="Y863" s="14">
        <f>ROUND(MIN(100, (X863/69.91)*100), 2)</f>
        <v/>
      </c>
    </row>
    <row r="864">
      <c r="A864" s="10" t="n">
        <v>2</v>
      </c>
      <c r="B864" s="10" t="n">
        <v>860</v>
      </c>
      <c r="C864" s="10" t="n">
        <v>1860</v>
      </c>
      <c r="D864" s="10" t="inlineStr">
        <is>
          <t>1380601211</t>
        </is>
      </c>
      <c r="E864" s="26" t="inlineStr">
        <is>
          <t>National Capital Region (NCR)</t>
        </is>
      </c>
      <c r="F864" s="26" t="inlineStr">
        <is>
          <t>First District (Not a Province)</t>
        </is>
      </c>
      <c r="G864" s="26" t="inlineStr">
        <is>
          <t>City of Manila</t>
        </is>
      </c>
      <c r="H864" s="26" t="inlineStr">
        <is>
          <t>Barangay 210</t>
        </is>
      </c>
      <c r="I864" s="27" t="n">
        <v>12.506038</v>
      </c>
      <c r="J864" s="27" t="n">
        <v>121.93277</v>
      </c>
      <c r="K864" s="10" t="inlineStr">
        <is>
          <t>U</t>
        </is>
      </c>
      <c r="L864" s="12" t="n">
        <v>3310</v>
      </c>
      <c r="M864" s="14" t="n">
        <v>3.9</v>
      </c>
      <c r="N864" s="12">
        <f>ROUND(L864/M864, 0)</f>
        <v/>
      </c>
      <c r="O864" s="12">
        <f>ROUND(N864*'Methodology &amp; Assumptions'!$B$5, 0)</f>
        <v/>
      </c>
      <c r="P864" s="10" t="inlineStr">
        <is>
          <t>Single Carrier (Band n50, 100MHz TDD)</t>
        </is>
      </c>
      <c r="Q864" s="13">
        <f>ROUNDUP(O864/'Methodology &amp; Assumptions'!$B$6, 0)</f>
        <v/>
      </c>
      <c r="R864" s="13" t="n">
        <v>1</v>
      </c>
      <c r="S864" s="14" t="n">
        <v>42.77</v>
      </c>
      <c r="T864" s="14" t="n">
        <v>27.66</v>
      </c>
      <c r="U864" s="26">
        <f>IF(X864&gt;='Methodology &amp; Assumptions'!$B$7, "Tier 1 Critical GIDA (Score ≥ 50.0)", IF(X864&gt;='Methodology &amp; Assumptions'!$B$8, "Tier 2 High GIDA (Score 40.0–49.9)", "Tier 3 Moderate GIDA (Score &lt; 40.0)"))</f>
        <v/>
      </c>
      <c r="V864" s="26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W864" s="28" t="n">
        <v>0.109</v>
      </c>
      <c r="X864" s="14" t="n">
        <v>49.49</v>
      </c>
      <c r="Y864" s="14">
        <f>ROUND(MIN(100, (X864/69.91)*100), 2)</f>
        <v/>
      </c>
    </row>
    <row r="865">
      <c r="A865" s="10" t="n">
        <v>2</v>
      </c>
      <c r="B865" s="10" t="n">
        <v>861</v>
      </c>
      <c r="C865" s="10" t="n">
        <v>1861</v>
      </c>
      <c r="D865" s="10" t="inlineStr">
        <is>
          <t>1380500002</t>
        </is>
      </c>
      <c r="E865" s="26" t="inlineStr">
        <is>
          <t>National Capital Region (NCR)</t>
        </is>
      </c>
      <c r="F865" s="26" t="inlineStr">
        <is>
          <t>Second District (Not a Province)</t>
        </is>
      </c>
      <c r="G865" s="26" t="inlineStr">
        <is>
          <t>City of Mandaluyong</t>
        </is>
      </c>
      <c r="H865" s="26" t="inlineStr">
        <is>
          <t>Bagong Silang</t>
        </is>
      </c>
      <c r="I865" s="27" t="n">
        <v>14.57164</v>
      </c>
      <c r="J865" s="27" t="n">
        <v>121.032916</v>
      </c>
      <c r="K865" s="10" t="inlineStr">
        <is>
          <t>U</t>
        </is>
      </c>
      <c r="L865" s="12" t="n">
        <v>5405</v>
      </c>
      <c r="M865" s="14" t="n">
        <v>3.3</v>
      </c>
      <c r="N865" s="12">
        <f>ROUND(L865/M865, 0)</f>
        <v/>
      </c>
      <c r="O865" s="12">
        <f>ROUND(N865*'Methodology &amp; Assumptions'!$B$5, 0)</f>
        <v/>
      </c>
      <c r="P865" s="10" t="inlineStr">
        <is>
          <t>Single Carrier (Band n50, 100MHz TDD)</t>
        </is>
      </c>
      <c r="Q865" s="13">
        <f>ROUNDUP(O865/'Methodology &amp; Assumptions'!$B$6, 0)</f>
        <v/>
      </c>
      <c r="R865" s="13" t="n">
        <v>1</v>
      </c>
      <c r="S865" s="14" t="n">
        <v>0.74</v>
      </c>
      <c r="T865" s="14" t="n">
        <v>0.21</v>
      </c>
      <c r="U865" s="26">
        <f>IF(X865&gt;='Methodology &amp; Assumptions'!$B$7, "Tier 1 Critical GIDA (Score ≥ 50.0)", IF(X865&gt;='Methodology &amp; Assumptions'!$B$8, "Tier 2 High GIDA (Score 40.0–49.9)", "Tier 3 Moderate GIDA (Score &lt; 40.0)"))</f>
        <v/>
      </c>
      <c r="V865" s="26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W865" s="28" t="n">
        <v>0.109</v>
      </c>
      <c r="X865" s="14" t="n">
        <v>49.49</v>
      </c>
      <c r="Y865" s="14">
        <f>ROUND(MIN(100, (X865/69.91)*100), 2)</f>
        <v/>
      </c>
    </row>
    <row r="866">
      <c r="A866" s="10" t="n">
        <v>2</v>
      </c>
      <c r="B866" s="10" t="n">
        <v>862</v>
      </c>
      <c r="C866" s="10" t="n">
        <v>1862</v>
      </c>
      <c r="D866" s="10" t="inlineStr">
        <is>
          <t>1380606056</t>
        </is>
      </c>
      <c r="E866" s="26" t="inlineStr">
        <is>
          <t>National Capital Region (NCR)</t>
        </is>
      </c>
      <c r="F866" s="26" t="inlineStr">
        <is>
          <t>First District (Not a Province)</t>
        </is>
      </c>
      <c r="G866" s="26" t="inlineStr">
        <is>
          <t>City of Manila</t>
        </is>
      </c>
      <c r="H866" s="26" t="inlineStr">
        <is>
          <t>Barangay 450</t>
        </is>
      </c>
      <c r="I866" s="27" t="n">
        <v>13.051198</v>
      </c>
      <c r="J866" s="27" t="n">
        <v>121.39673</v>
      </c>
      <c r="K866" s="10" t="inlineStr">
        <is>
          <t>U</t>
        </is>
      </c>
      <c r="L866" s="12" t="n">
        <v>1891</v>
      </c>
      <c r="M866" s="14" t="n">
        <v>3.9</v>
      </c>
      <c r="N866" s="12">
        <f>ROUND(L866/M866, 0)</f>
        <v/>
      </c>
      <c r="O866" s="12">
        <f>ROUND(N866*'Methodology &amp; Assumptions'!$B$5, 0)</f>
        <v/>
      </c>
      <c r="P866" s="10" t="inlineStr">
        <is>
          <t>Single Carrier (Band n50, 100MHz TDD)</t>
        </is>
      </c>
      <c r="Q866" s="13">
        <f>ROUNDUP(O866/'Methodology &amp; Assumptions'!$B$6, 0)</f>
        <v/>
      </c>
      <c r="R866" s="13" t="n">
        <v>1</v>
      </c>
      <c r="S866" s="14" t="n">
        <v>0.97</v>
      </c>
      <c r="T866" s="14" t="n">
        <v>1.12</v>
      </c>
      <c r="U866" s="26">
        <f>IF(X866&gt;='Methodology &amp; Assumptions'!$B$7, "Tier 1 Critical GIDA (Score ≥ 50.0)", IF(X866&gt;='Methodology &amp; Assumptions'!$B$8, "Tier 2 High GIDA (Score 40.0–49.9)", "Tier 3 Moderate GIDA (Score &lt; 40.0)"))</f>
        <v/>
      </c>
      <c r="V866" s="26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W866" s="28" t="n">
        <v>0.109</v>
      </c>
      <c r="X866" s="14" t="n">
        <v>49.49</v>
      </c>
      <c r="Y866" s="14">
        <f>ROUND(MIN(100, (X866/69.91)*100), 2)</f>
        <v/>
      </c>
    </row>
    <row r="867">
      <c r="A867" s="10" t="n">
        <v>2</v>
      </c>
      <c r="B867" s="10" t="n">
        <v>863</v>
      </c>
      <c r="C867" s="10" t="n">
        <v>1863</v>
      </c>
      <c r="D867" s="10" t="inlineStr">
        <is>
          <t>1380603015</t>
        </is>
      </c>
      <c r="E867" s="26" t="inlineStr">
        <is>
          <t>National Capital Region (NCR)</t>
        </is>
      </c>
      <c r="F867" s="26" t="inlineStr">
        <is>
          <t>First District (Not a Province)</t>
        </is>
      </c>
      <c r="G867" s="26" t="inlineStr">
        <is>
          <t>City of Manila</t>
        </is>
      </c>
      <c r="H867" s="26" t="inlineStr">
        <is>
          <t>Barangay 306</t>
        </is>
      </c>
      <c r="I867" s="27" t="n">
        <v>13.002132</v>
      </c>
      <c r="J867" s="27" t="n">
        <v>122.172326</v>
      </c>
      <c r="K867" s="10" t="inlineStr">
        <is>
          <t>U</t>
        </is>
      </c>
      <c r="L867" s="12" t="n">
        <v>1286</v>
      </c>
      <c r="M867" s="14" t="n">
        <v>3.9</v>
      </c>
      <c r="N867" s="12">
        <f>ROUND(L867/M867, 0)</f>
        <v/>
      </c>
      <c r="O867" s="12">
        <f>ROUND(N867*'Methodology &amp; Assumptions'!$B$5, 0)</f>
        <v/>
      </c>
      <c r="P867" s="10" t="inlineStr">
        <is>
          <t>Single Carrier (Band n50, 100MHz TDD)</t>
        </is>
      </c>
      <c r="Q867" s="13">
        <f>ROUNDUP(O867/'Methodology &amp; Assumptions'!$B$6, 0)</f>
        <v/>
      </c>
      <c r="R867" s="13" t="n">
        <v>1</v>
      </c>
      <c r="S867" s="14" t="n">
        <v>53.58</v>
      </c>
      <c r="T867" s="14" t="n">
        <v>63.15</v>
      </c>
      <c r="U867" s="26">
        <f>IF(X867&gt;='Methodology &amp; Assumptions'!$B$7, "Tier 1 Critical GIDA (Score ≥ 50.0)", IF(X867&gt;='Methodology &amp; Assumptions'!$B$8, "Tier 2 High GIDA (Score 40.0–49.9)", "Tier 3 Moderate GIDA (Score &lt; 40.0)"))</f>
        <v/>
      </c>
      <c r="V867" s="26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W867" s="28" t="n">
        <v>0.109</v>
      </c>
      <c r="X867" s="14" t="n">
        <v>49.49</v>
      </c>
      <c r="Y867" s="14">
        <f>ROUND(MIN(100, (X867/69.91)*100), 2)</f>
        <v/>
      </c>
    </row>
    <row r="868">
      <c r="A868" s="10" t="n">
        <v>2</v>
      </c>
      <c r="B868" s="10" t="n">
        <v>864</v>
      </c>
      <c r="C868" s="10" t="n">
        <v>1864</v>
      </c>
      <c r="D868" s="10" t="inlineStr">
        <is>
          <t>1380611016</t>
        </is>
      </c>
      <c r="E868" s="26" t="inlineStr">
        <is>
          <t>National Capital Region (NCR)</t>
        </is>
      </c>
      <c r="F868" s="26" t="inlineStr">
        <is>
          <t>First District (Not a Province)</t>
        </is>
      </c>
      <c r="G868" s="26" t="inlineStr">
        <is>
          <t>City of Manila</t>
        </is>
      </c>
      <c r="H868" s="26" t="inlineStr">
        <is>
          <t>Barangay 682</t>
        </is>
      </c>
      <c r="I868" s="27" t="n">
        <v>12.525931</v>
      </c>
      <c r="J868" s="27" t="n">
        <v>121.56448</v>
      </c>
      <c r="K868" s="10" t="inlineStr">
        <is>
          <t>U</t>
        </is>
      </c>
      <c r="L868" s="12" t="n">
        <v>847</v>
      </c>
      <c r="M868" s="14" t="n">
        <v>3.9</v>
      </c>
      <c r="N868" s="12">
        <f>ROUND(L868/M868, 0)</f>
        <v/>
      </c>
      <c r="O868" s="12">
        <f>ROUND(N868*'Methodology &amp; Assumptions'!$B$5, 0)</f>
        <v/>
      </c>
      <c r="P868" s="10" t="inlineStr">
        <is>
          <t>Single Carrier (Band n50, 100MHz TDD)</t>
        </is>
      </c>
      <c r="Q868" s="13">
        <f>ROUNDUP(O868/'Methodology &amp; Assumptions'!$B$6, 0)</f>
        <v/>
      </c>
      <c r="R868" s="13" t="n">
        <v>1</v>
      </c>
      <c r="S868" s="14" t="n">
        <v>8.789999999999999</v>
      </c>
      <c r="T868" s="14" t="n">
        <v>4.2</v>
      </c>
      <c r="U868" s="26">
        <f>IF(X868&gt;='Methodology &amp; Assumptions'!$B$7, "Tier 1 Critical GIDA (Score ≥ 50.0)", IF(X868&gt;='Methodology &amp; Assumptions'!$B$8, "Tier 2 High GIDA (Score 40.0–49.9)", "Tier 3 Moderate GIDA (Score &lt; 40.0)"))</f>
        <v/>
      </c>
      <c r="V868" s="26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W868" s="28" t="n">
        <v>0.109</v>
      </c>
      <c r="X868" s="14" t="n">
        <v>49.49</v>
      </c>
      <c r="Y868" s="14">
        <f>ROUND(MIN(100, (X868/69.91)*100), 2)</f>
        <v/>
      </c>
    </row>
    <row r="869">
      <c r="A869" s="10" t="n">
        <v>2</v>
      </c>
      <c r="B869" s="10" t="n">
        <v>865</v>
      </c>
      <c r="C869" s="10" t="n">
        <v>1865</v>
      </c>
      <c r="D869" s="10" t="inlineStr">
        <is>
          <t>1380603008</t>
        </is>
      </c>
      <c r="E869" s="26" t="inlineStr">
        <is>
          <t>National Capital Region (NCR)</t>
        </is>
      </c>
      <c r="F869" s="26" t="inlineStr">
        <is>
          <t>First District (Not a Province)</t>
        </is>
      </c>
      <c r="G869" s="26" t="inlineStr">
        <is>
          <t>City of Manila</t>
        </is>
      </c>
      <c r="H869" s="26" t="inlineStr">
        <is>
          <t>Barangay 388</t>
        </is>
      </c>
      <c r="I869" s="27" t="n">
        <v>13.279832</v>
      </c>
      <c r="J869" s="27" t="n">
        <v>121.683003</v>
      </c>
      <c r="K869" s="10" t="inlineStr">
        <is>
          <t>U</t>
        </is>
      </c>
      <c r="L869" s="12" t="n">
        <v>1298</v>
      </c>
      <c r="M869" s="14" t="n">
        <v>3.9</v>
      </c>
      <c r="N869" s="12">
        <f>ROUND(L869/M869, 0)</f>
        <v/>
      </c>
      <c r="O869" s="12">
        <f>ROUND(N869*'Methodology &amp; Assumptions'!$B$5, 0)</f>
        <v/>
      </c>
      <c r="P869" s="10" t="inlineStr">
        <is>
          <t>Single Carrier (Band n50, 100MHz TDD)</t>
        </is>
      </c>
      <c r="Q869" s="13">
        <f>ROUNDUP(O869/'Methodology &amp; Assumptions'!$B$6, 0)</f>
        <v/>
      </c>
      <c r="R869" s="13" t="n">
        <v>1</v>
      </c>
      <c r="S869" s="14" t="n">
        <v>30.64</v>
      </c>
      <c r="T869" s="14" t="n">
        <v>34.66</v>
      </c>
      <c r="U869" s="26">
        <f>IF(X869&gt;='Methodology &amp; Assumptions'!$B$7, "Tier 1 Critical GIDA (Score ≥ 50.0)", IF(X869&gt;='Methodology &amp; Assumptions'!$B$8, "Tier 2 High GIDA (Score 40.0–49.9)", "Tier 3 Moderate GIDA (Score &lt; 40.0)"))</f>
        <v/>
      </c>
      <c r="V869" s="26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W869" s="28" t="n">
        <v>0.109</v>
      </c>
      <c r="X869" s="14" t="n">
        <v>49.49</v>
      </c>
      <c r="Y869" s="14">
        <f>ROUND(MIN(100, (X869/69.91)*100), 2)</f>
        <v/>
      </c>
    </row>
    <row r="870">
      <c r="A870" s="10" t="n">
        <v>2</v>
      </c>
      <c r="B870" s="10" t="n">
        <v>866</v>
      </c>
      <c r="C870" s="10" t="n">
        <v>1866</v>
      </c>
      <c r="D870" s="10" t="inlineStr">
        <is>
          <t>1381100167</t>
        </is>
      </c>
      <c r="E870" s="26" t="inlineStr">
        <is>
          <t>National Capital Region (NCR)</t>
        </is>
      </c>
      <c r="F870" s="26" t="inlineStr">
        <is>
          <t>Fourth District (Not a Province)</t>
        </is>
      </c>
      <c r="G870" s="26" t="inlineStr">
        <is>
          <t>Pasay City</t>
        </is>
      </c>
      <c r="H870" s="26" t="inlineStr">
        <is>
          <t>Barangay 167</t>
        </is>
      </c>
      <c r="I870" s="27" t="n">
        <v>14.425402</v>
      </c>
      <c r="J870" s="27" t="n">
        <v>121.03017</v>
      </c>
      <c r="K870" s="10" t="inlineStr">
        <is>
          <t>U</t>
        </is>
      </c>
      <c r="L870" s="12" t="n">
        <v>776</v>
      </c>
      <c r="M870" s="14" t="n">
        <v>3.4</v>
      </c>
      <c r="N870" s="12">
        <f>ROUND(L870/M870, 0)</f>
        <v/>
      </c>
      <c r="O870" s="12">
        <f>ROUND(N870*'Methodology &amp; Assumptions'!$B$5, 0)</f>
        <v/>
      </c>
      <c r="P870" s="10" t="inlineStr">
        <is>
          <t>Single Carrier (Band n50, 100MHz TDD)</t>
        </is>
      </c>
      <c r="Q870" s="13">
        <f>ROUNDUP(O870/'Methodology &amp; Assumptions'!$B$6, 0)</f>
        <v/>
      </c>
      <c r="R870" s="13" t="n">
        <v>1</v>
      </c>
      <c r="S870" s="14" t="n">
        <v>0.39</v>
      </c>
      <c r="T870" s="14" t="n">
        <v>0.04</v>
      </c>
      <c r="U870" s="26">
        <f>IF(X870&gt;='Methodology &amp; Assumptions'!$B$7, "Tier 1 Critical GIDA (Score ≥ 50.0)", IF(X870&gt;='Methodology &amp; Assumptions'!$B$8, "Tier 2 High GIDA (Score 40.0–49.9)", "Tier 3 Moderate GIDA (Score &lt; 40.0)"))</f>
        <v/>
      </c>
      <c r="V870" s="26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W870" s="28" t="n">
        <v>0.109</v>
      </c>
      <c r="X870" s="14" t="n">
        <v>49.49</v>
      </c>
      <c r="Y870" s="14">
        <f>ROUND(MIN(100, (X870/69.91)*100), 2)</f>
        <v/>
      </c>
    </row>
    <row r="871">
      <c r="A871" s="10" t="n">
        <v>2</v>
      </c>
      <c r="B871" s="10" t="n">
        <v>867</v>
      </c>
      <c r="C871" s="10" t="n">
        <v>1867</v>
      </c>
      <c r="D871" s="10" t="inlineStr">
        <is>
          <t>1380606127</t>
        </is>
      </c>
      <c r="E871" s="26" t="inlineStr">
        <is>
          <t>National Capital Region (NCR)</t>
        </is>
      </c>
      <c r="F871" s="26" t="inlineStr">
        <is>
          <t>First District (Not a Province)</t>
        </is>
      </c>
      <c r="G871" s="26" t="inlineStr">
        <is>
          <t>City of Manila</t>
        </is>
      </c>
      <c r="H871" s="26" t="inlineStr">
        <is>
          <t>Barangay 521</t>
        </is>
      </c>
      <c r="I871" s="27" t="n">
        <v>12.643847</v>
      </c>
      <c r="J871" s="27" t="n">
        <v>122.119526</v>
      </c>
      <c r="K871" s="10" t="inlineStr">
        <is>
          <t>U</t>
        </is>
      </c>
      <c r="L871" s="12" t="n">
        <v>2312</v>
      </c>
      <c r="M871" s="14" t="n">
        <v>3.9</v>
      </c>
      <c r="N871" s="12">
        <f>ROUND(L871/M871, 0)</f>
        <v/>
      </c>
      <c r="O871" s="12">
        <f>ROUND(N871*'Methodology &amp; Assumptions'!$B$5, 0)</f>
        <v/>
      </c>
      <c r="P871" s="10" t="inlineStr">
        <is>
          <t>Single Carrier (Band n50, 100MHz TDD)</t>
        </is>
      </c>
      <c r="Q871" s="13">
        <f>ROUNDUP(O871/'Methodology &amp; Assumptions'!$B$6, 0)</f>
        <v/>
      </c>
      <c r="R871" s="13" t="n">
        <v>1</v>
      </c>
      <c r="S871" s="14" t="n">
        <v>61.77</v>
      </c>
      <c r="T871" s="14" t="n">
        <v>52.19</v>
      </c>
      <c r="U871" s="26">
        <f>IF(X871&gt;='Methodology &amp; Assumptions'!$B$7, "Tier 1 Critical GIDA (Score ≥ 50.0)", IF(X871&gt;='Methodology &amp; Assumptions'!$B$8, "Tier 2 High GIDA (Score 40.0–49.9)", "Tier 3 Moderate GIDA (Score &lt; 40.0)"))</f>
        <v/>
      </c>
      <c r="V871" s="26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W871" s="28" t="n">
        <v>0.109</v>
      </c>
      <c r="X871" s="14" t="n">
        <v>49.49</v>
      </c>
      <c r="Y871" s="14">
        <f>ROUND(MIN(100, (X871/69.91)*100), 2)</f>
        <v/>
      </c>
    </row>
    <row r="872">
      <c r="A872" s="10" t="n">
        <v>2</v>
      </c>
      <c r="B872" s="10" t="n">
        <v>868</v>
      </c>
      <c r="C872" s="10" t="n">
        <v>1868</v>
      </c>
      <c r="D872" s="10" t="inlineStr">
        <is>
          <t>1380614039</t>
        </is>
      </c>
      <c r="E872" s="26" t="inlineStr">
        <is>
          <t>National Capital Region (NCR)</t>
        </is>
      </c>
      <c r="F872" s="26" t="inlineStr">
        <is>
          <t>First District (Not a Province)</t>
        </is>
      </c>
      <c r="G872" s="26" t="inlineStr">
        <is>
          <t>City of Manila</t>
        </is>
      </c>
      <c r="H872" s="26" t="inlineStr">
        <is>
          <t>Barangay 783</t>
        </is>
      </c>
      <c r="I872" s="27" t="n">
        <v>12.825852</v>
      </c>
      <c r="J872" s="27" t="n">
        <v>121.354427</v>
      </c>
      <c r="K872" s="10" t="inlineStr">
        <is>
          <t>U</t>
        </is>
      </c>
      <c r="L872" s="12" t="n">
        <v>2210</v>
      </c>
      <c r="M872" s="14" t="n">
        <v>3.9</v>
      </c>
      <c r="N872" s="12">
        <f>ROUND(L872/M872, 0)</f>
        <v/>
      </c>
      <c r="O872" s="12">
        <f>ROUND(N872*'Methodology &amp; Assumptions'!$B$5, 0)</f>
        <v/>
      </c>
      <c r="P872" s="10" t="inlineStr">
        <is>
          <t>Single Carrier (Band n50, 100MHz TDD)</t>
        </is>
      </c>
      <c r="Q872" s="13">
        <f>ROUNDUP(O872/'Methodology &amp; Assumptions'!$B$6, 0)</f>
        <v/>
      </c>
      <c r="R872" s="13" t="n">
        <v>1</v>
      </c>
      <c r="S872" s="14" t="n">
        <v>11.5</v>
      </c>
      <c r="T872" s="14" t="n">
        <v>11.46</v>
      </c>
      <c r="U872" s="26">
        <f>IF(X872&gt;='Methodology &amp; Assumptions'!$B$7, "Tier 1 Critical GIDA (Score ≥ 50.0)", IF(X872&gt;='Methodology &amp; Assumptions'!$B$8, "Tier 2 High GIDA (Score 40.0–49.9)", "Tier 3 Moderate GIDA (Score &lt; 40.0)"))</f>
        <v/>
      </c>
      <c r="V872" s="26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W872" s="28" t="n">
        <v>0.109</v>
      </c>
      <c r="X872" s="14" t="n">
        <v>49.49</v>
      </c>
      <c r="Y872" s="14">
        <f>ROUND(MIN(100, (X872/69.91)*100), 2)</f>
        <v/>
      </c>
    </row>
    <row r="873">
      <c r="A873" s="10" t="n">
        <v>2</v>
      </c>
      <c r="B873" s="10" t="n">
        <v>869</v>
      </c>
      <c r="C873" s="10" t="n">
        <v>1869</v>
      </c>
      <c r="D873" s="10" t="inlineStr">
        <is>
          <t>1381100041</t>
        </is>
      </c>
      <c r="E873" s="26" t="inlineStr">
        <is>
          <t>National Capital Region (NCR)</t>
        </is>
      </c>
      <c r="F873" s="26" t="inlineStr">
        <is>
          <t>Fourth District (Not a Province)</t>
        </is>
      </c>
      <c r="G873" s="26" t="inlineStr">
        <is>
          <t>Pasay City</t>
        </is>
      </c>
      <c r="H873" s="26" t="inlineStr">
        <is>
          <t>Barangay 41</t>
        </is>
      </c>
      <c r="I873" s="27" t="n">
        <v>14.561581</v>
      </c>
      <c r="J873" s="27" t="n">
        <v>120.995857</v>
      </c>
      <c r="K873" s="10" t="inlineStr">
        <is>
          <t>U</t>
        </is>
      </c>
      <c r="L873" s="12" t="n">
        <v>1636</v>
      </c>
      <c r="M873" s="14" t="n">
        <v>3.4</v>
      </c>
      <c r="N873" s="12">
        <f>ROUND(L873/M873, 0)</f>
        <v/>
      </c>
      <c r="O873" s="12">
        <f>ROUND(N873*'Methodology &amp; Assumptions'!$B$5, 0)</f>
        <v/>
      </c>
      <c r="P873" s="10" t="inlineStr">
        <is>
          <t>Single Carrier (Band n50, 100MHz TDD)</t>
        </is>
      </c>
      <c r="Q873" s="13">
        <f>ROUNDUP(O873/'Methodology &amp; Assumptions'!$B$6, 0)</f>
        <v/>
      </c>
      <c r="R873" s="13" t="n">
        <v>1</v>
      </c>
      <c r="S873" s="14" t="n">
        <v>1.02</v>
      </c>
      <c r="T873" s="14" t="n">
        <v>0.13</v>
      </c>
      <c r="U873" s="26">
        <f>IF(X873&gt;='Methodology &amp; Assumptions'!$B$7, "Tier 1 Critical GIDA (Score ≥ 50.0)", IF(X873&gt;='Methodology &amp; Assumptions'!$B$8, "Tier 2 High GIDA (Score 40.0–49.9)", "Tier 3 Moderate GIDA (Score &lt; 40.0)"))</f>
        <v/>
      </c>
      <c r="V873" s="26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W873" s="28" t="n">
        <v>0.109</v>
      </c>
      <c r="X873" s="14" t="n">
        <v>49.48</v>
      </c>
      <c r="Y873" s="14">
        <f>ROUND(MIN(100, (X873/69.91)*100), 2)</f>
        <v/>
      </c>
    </row>
    <row r="874">
      <c r="A874" s="10" t="n">
        <v>2</v>
      </c>
      <c r="B874" s="10" t="n">
        <v>870</v>
      </c>
      <c r="C874" s="10" t="n">
        <v>1870</v>
      </c>
      <c r="D874" s="10" t="inlineStr">
        <is>
          <t>0806012029</t>
        </is>
      </c>
      <c r="E874" s="26" t="inlineStr">
        <is>
          <t>Region VIII (Eastern Visayas)</t>
        </is>
      </c>
      <c r="F874" s="26" t="inlineStr">
        <is>
          <t>Samar</t>
        </is>
      </c>
      <c r="G874" s="26" t="inlineStr">
        <is>
          <t>Motiong</t>
        </is>
      </c>
      <c r="H874" s="26" t="inlineStr">
        <is>
          <t>Santo Niño</t>
        </is>
      </c>
      <c r="I874" s="27" t="n">
        <v>11.96427</v>
      </c>
      <c r="J874" s="27" t="n">
        <v>125.06738</v>
      </c>
      <c r="K874" s="10" t="inlineStr">
        <is>
          <t>R</t>
        </is>
      </c>
      <c r="L874" s="12" t="n">
        <v>90</v>
      </c>
      <c r="M874" s="14" t="n">
        <v>4.1</v>
      </c>
      <c r="N874" s="12">
        <f>ROUND(L874/M874, 0)</f>
        <v/>
      </c>
      <c r="O874" s="12">
        <f>ROUND(N874*'Methodology &amp; Assumptions'!$B$5, 0)</f>
        <v/>
      </c>
      <c r="P874" s="10" t="inlineStr">
        <is>
          <t>Single Carrier (Band n50, 100MHz TDD)</t>
        </is>
      </c>
      <c r="Q874" s="13">
        <f>ROUNDUP(O874/'Methodology &amp; Assumptions'!$B$6, 0)</f>
        <v/>
      </c>
      <c r="R874" s="13" t="n">
        <v>1</v>
      </c>
      <c r="S874" s="14" t="n">
        <v>80.89</v>
      </c>
      <c r="T874" s="14" t="n">
        <v>83.84</v>
      </c>
      <c r="U874" s="26">
        <f>IF(X874&gt;='Methodology &amp; Assumptions'!$B$7, "Tier 1 Critical GIDA (Score ≥ 50.0)", IF(X874&gt;='Methodology &amp; Assumptions'!$B$8, "Tier 2 High GIDA (Score 40.0–49.9)", "Tier 3 Moderate GIDA (Score &lt; 40.0)"))</f>
        <v/>
      </c>
      <c r="V874" s="26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W874" s="28" t="n">
        <v>0.237</v>
      </c>
      <c r="X874" s="14" t="n">
        <v>49.48</v>
      </c>
      <c r="Y874" s="14">
        <f>ROUND(MIN(100, (X874/69.91)*100), 2)</f>
        <v/>
      </c>
    </row>
    <row r="875">
      <c r="A875" s="10" t="n">
        <v>2</v>
      </c>
      <c r="B875" s="10" t="n">
        <v>871</v>
      </c>
      <c r="C875" s="10" t="n">
        <v>1871</v>
      </c>
      <c r="D875" s="10" t="inlineStr">
        <is>
          <t>PH0001871</t>
        </is>
      </c>
      <c r="E875" s="26" t="inlineStr">
        <is>
          <t>X</t>
        </is>
      </c>
      <c r="F875" s="26" t="inlineStr">
        <is>
          <t>Misamis Oriental</t>
        </is>
      </c>
      <c r="G875" s="26" t="inlineStr">
        <is>
          <t>Cagayan De Oro City</t>
        </is>
      </c>
      <c r="H875" s="26" t="inlineStr">
        <is>
          <t>Barangay 22 (Pob.)</t>
        </is>
      </c>
      <c r="I875" s="27" t="n">
        <v>8.490498000000001</v>
      </c>
      <c r="J875" s="27" t="n">
        <v>124.653797</v>
      </c>
      <c r="K875" s="10" t="inlineStr">
        <is>
          <t>R</t>
        </is>
      </c>
      <c r="L875" s="12" t="n">
        <v>2272</v>
      </c>
      <c r="M875" s="14" t="n">
        <v>3.9</v>
      </c>
      <c r="N875" s="12">
        <f>ROUND(L875/M875, 0)</f>
        <v/>
      </c>
      <c r="O875" s="12">
        <f>ROUND(N875*'Methodology &amp; Assumptions'!$B$5, 0)</f>
        <v/>
      </c>
      <c r="P875" s="10" t="inlineStr">
        <is>
          <t>Single Carrier (Band n50, 100MHz TDD)</t>
        </is>
      </c>
      <c r="Q875" s="13">
        <f>ROUNDUP(O875/'Methodology &amp; Assumptions'!$B$6, 0)</f>
        <v/>
      </c>
      <c r="R875" s="13" t="n">
        <v>1</v>
      </c>
      <c r="S875" s="14" t="n">
        <v>0.45</v>
      </c>
      <c r="T875" s="14" t="n">
        <v>0.5600000000000001</v>
      </c>
      <c r="U875" s="26">
        <f>IF(X875&gt;='Methodology &amp; Assumptions'!$B$7, "Tier 1 Critical GIDA (Score ≥ 50.0)", IF(X875&gt;='Methodology &amp; Assumptions'!$B$8, "Tier 2 High GIDA (Score 40.0–49.9)", "Tier 3 Moderate GIDA (Score &lt; 40.0)"))</f>
        <v/>
      </c>
      <c r="V875" s="26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W875" s="28" t="n">
        <v>0.234</v>
      </c>
      <c r="X875" s="14" t="n">
        <v>49.48</v>
      </c>
      <c r="Y875" s="14">
        <f>ROUND(MIN(100, (X875/69.91)*100), 2)</f>
        <v/>
      </c>
    </row>
    <row r="876">
      <c r="A876" s="10" t="n">
        <v>2</v>
      </c>
      <c r="B876" s="10" t="n">
        <v>872</v>
      </c>
      <c r="C876" s="10" t="n">
        <v>1872</v>
      </c>
      <c r="D876" s="10" t="inlineStr">
        <is>
          <t>0405605040</t>
        </is>
      </c>
      <c r="E876" s="26" t="inlineStr">
        <is>
          <t>Region IV-A (CALABARZON)</t>
        </is>
      </c>
      <c r="F876" s="26" t="inlineStr">
        <is>
          <t>Quezon</t>
        </is>
      </c>
      <c r="G876" s="26" t="inlineStr">
        <is>
          <t>Buenavista</t>
        </is>
      </c>
      <c r="H876" s="26" t="inlineStr">
        <is>
          <t>Villa Magsaysay</t>
        </is>
      </c>
      <c r="I876" s="27" t="n">
        <v>13.738924</v>
      </c>
      <c r="J876" s="27" t="n">
        <v>122.389862</v>
      </c>
      <c r="K876" s="10" t="inlineStr">
        <is>
          <t>R</t>
        </is>
      </c>
      <c r="L876" s="12" t="n">
        <v>576</v>
      </c>
      <c r="M876" s="14" t="n">
        <v>3.8</v>
      </c>
      <c r="N876" s="12">
        <f>ROUND(L876/M876, 0)</f>
        <v/>
      </c>
      <c r="O876" s="12">
        <f>ROUND(N876*'Methodology &amp; Assumptions'!$B$5, 0)</f>
        <v/>
      </c>
      <c r="P876" s="10" t="inlineStr">
        <is>
          <t>Single Carrier (Band n50, 100MHz TDD)</t>
        </is>
      </c>
      <c r="Q876" s="13">
        <f>ROUNDUP(O876/'Methodology &amp; Assumptions'!$B$6, 0)</f>
        <v/>
      </c>
      <c r="R876" s="13" t="n">
        <v>1</v>
      </c>
      <c r="S876" s="14" t="n">
        <v>7.43</v>
      </c>
      <c r="T876" s="14" t="n">
        <v>6.01</v>
      </c>
      <c r="U876" s="26">
        <f>IF(X876&gt;='Methodology &amp; Assumptions'!$B$7, "Tier 1 Critical GIDA (Score ≥ 50.0)", IF(X876&gt;='Methodology &amp; Assumptions'!$B$8, "Tier 2 High GIDA (Score 40.0–49.9)", "Tier 3 Moderate GIDA (Score &lt; 40.0)"))</f>
        <v/>
      </c>
      <c r="V876" s="26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W876" s="28" t="n">
        <v>0.07200000000000001</v>
      </c>
      <c r="X876" s="14" t="n">
        <v>49.48</v>
      </c>
      <c r="Y876" s="14">
        <f>ROUND(MIN(100, (X876/69.91)*100), 2)</f>
        <v/>
      </c>
    </row>
    <row r="877">
      <c r="A877" s="10" t="n">
        <v>2</v>
      </c>
      <c r="B877" s="10" t="n">
        <v>873</v>
      </c>
      <c r="C877" s="10" t="n">
        <v>1873</v>
      </c>
      <c r="D877" s="10" t="inlineStr">
        <is>
          <t>1380601181</t>
        </is>
      </c>
      <c r="E877" s="26" t="inlineStr">
        <is>
          <t>National Capital Region (NCR)</t>
        </is>
      </c>
      <c r="F877" s="26" t="inlineStr">
        <is>
          <t>First District (Not a Province)</t>
        </is>
      </c>
      <c r="G877" s="26" t="inlineStr">
        <is>
          <t>City of Manila</t>
        </is>
      </c>
      <c r="H877" s="26" t="inlineStr">
        <is>
          <t>Barangay 181</t>
        </is>
      </c>
      <c r="I877" s="27" t="n">
        <v>13.196763</v>
      </c>
      <c r="J877" s="27" t="n">
        <v>122.046914</v>
      </c>
      <c r="K877" s="10" t="inlineStr">
        <is>
          <t>U</t>
        </is>
      </c>
      <c r="L877" s="12" t="n">
        <v>2857</v>
      </c>
      <c r="M877" s="14" t="n">
        <v>3.9</v>
      </c>
      <c r="N877" s="12">
        <f>ROUND(L877/M877, 0)</f>
        <v/>
      </c>
      <c r="O877" s="12">
        <f>ROUND(N877*'Methodology &amp; Assumptions'!$B$5, 0)</f>
        <v/>
      </c>
      <c r="P877" s="10" t="inlineStr">
        <is>
          <t>Single Carrier (Band n50, 100MHz TDD)</t>
        </is>
      </c>
      <c r="Q877" s="13">
        <f>ROUNDUP(O877/'Methodology &amp; Assumptions'!$B$6, 0)</f>
        <v/>
      </c>
      <c r="R877" s="13" t="n">
        <v>1</v>
      </c>
      <c r="S877" s="14" t="n">
        <v>52.62</v>
      </c>
      <c r="T877" s="14" t="n">
        <v>51.74</v>
      </c>
      <c r="U877" s="26">
        <f>IF(X877&gt;='Methodology &amp; Assumptions'!$B$7, "Tier 1 Critical GIDA (Score ≥ 50.0)", IF(X877&gt;='Methodology &amp; Assumptions'!$B$8, "Tier 2 High GIDA (Score 40.0–49.9)", "Tier 3 Moderate GIDA (Score &lt; 40.0)"))</f>
        <v/>
      </c>
      <c r="V877" s="26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W877" s="28" t="n">
        <v>0.109</v>
      </c>
      <c r="X877" s="14" t="n">
        <v>49.47</v>
      </c>
      <c r="Y877" s="14">
        <f>ROUND(MIN(100, (X877/69.91)*100), 2)</f>
        <v/>
      </c>
    </row>
    <row r="878">
      <c r="A878" s="10" t="n">
        <v>2</v>
      </c>
      <c r="B878" s="10" t="n">
        <v>874</v>
      </c>
      <c r="C878" s="10" t="n">
        <v>1874</v>
      </c>
      <c r="D878" s="10" t="inlineStr">
        <is>
          <t>0907311019</t>
        </is>
      </c>
      <c r="E878" s="26" t="inlineStr">
        <is>
          <t>Region IX (Zamboanga Peninsula)</t>
        </is>
      </c>
      <c r="F878" s="26" t="inlineStr">
        <is>
          <t>Zamboanga del Sur</t>
        </is>
      </c>
      <c r="G878" s="26" t="inlineStr">
        <is>
          <t>Kumalarang</t>
        </is>
      </c>
      <c r="H878" s="26" t="inlineStr">
        <is>
          <t>Mahayahay</t>
        </is>
      </c>
      <c r="I878" s="27" t="n">
        <v>7.748074</v>
      </c>
      <c r="J878" s="27" t="n">
        <v>123.144187</v>
      </c>
      <c r="K878" s="10" t="inlineStr">
        <is>
          <t>R</t>
        </is>
      </c>
      <c r="L878" s="12" t="n">
        <v>822</v>
      </c>
      <c r="M878" s="14" t="n">
        <v>3.9</v>
      </c>
      <c r="N878" s="12">
        <f>ROUND(L878/M878, 0)</f>
        <v/>
      </c>
      <c r="O878" s="12">
        <f>ROUND(N878*'Methodology &amp; Assumptions'!$B$5, 0)</f>
        <v/>
      </c>
      <c r="P878" s="10" t="inlineStr">
        <is>
          <t>Single Carrier (Band n50, 100MHz TDD)</t>
        </is>
      </c>
      <c r="Q878" s="13">
        <f>ROUNDUP(O878/'Methodology &amp; Assumptions'!$B$6, 0)</f>
        <v/>
      </c>
      <c r="R878" s="13" t="n">
        <v>1</v>
      </c>
      <c r="S878" s="14" t="n">
        <v>10.03</v>
      </c>
      <c r="T878" s="14" t="n">
        <v>1.11</v>
      </c>
      <c r="U878" s="26">
        <f>IF(X878&gt;='Methodology &amp; Assumptions'!$B$7, "Tier 1 Critical GIDA (Score ≥ 50.0)", IF(X878&gt;='Methodology &amp; Assumptions'!$B$8, "Tier 2 High GIDA (Score 40.0–49.9)", "Tier 3 Moderate GIDA (Score &lt; 40.0)"))</f>
        <v/>
      </c>
      <c r="V878" s="26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W878" s="28" t="n">
        <v>0.11</v>
      </c>
      <c r="X878" s="14" t="n">
        <v>49.47</v>
      </c>
      <c r="Y878" s="14">
        <f>ROUND(MIN(100, (X878/69.91)*100), 2)</f>
        <v/>
      </c>
    </row>
    <row r="879">
      <c r="A879" s="10" t="n">
        <v>2</v>
      </c>
      <c r="B879" s="10" t="n">
        <v>875</v>
      </c>
      <c r="C879" s="10" t="n">
        <v>1875</v>
      </c>
      <c r="D879" s="10" t="inlineStr">
        <is>
          <t>0403405040</t>
        </is>
      </c>
      <c r="E879" s="26" t="inlineStr">
        <is>
          <t>Region IV-A (CALABARZON)</t>
        </is>
      </c>
      <c r="F879" s="26" t="inlineStr">
        <is>
          <t>Laguna</t>
        </is>
      </c>
      <c r="G879" s="26" t="inlineStr">
        <is>
          <t>City of Calamba</t>
        </is>
      </c>
      <c r="H879" s="26" t="inlineStr">
        <is>
          <t>Barangay 3</t>
        </is>
      </c>
      <c r="I879" s="27" t="n">
        <v>14.207436</v>
      </c>
      <c r="J879" s="27" t="n">
        <v>121.162224</v>
      </c>
      <c r="K879" s="10" t="inlineStr">
        <is>
          <t>U</t>
        </is>
      </c>
      <c r="L879" s="12" t="n">
        <v>4973</v>
      </c>
      <c r="M879" s="14" t="n">
        <v>3.3</v>
      </c>
      <c r="N879" s="12">
        <f>ROUND(L879/M879, 0)</f>
        <v/>
      </c>
      <c r="O879" s="12">
        <f>ROUND(N879*'Methodology &amp; Assumptions'!$B$5, 0)</f>
        <v/>
      </c>
      <c r="P879" s="10" t="inlineStr">
        <is>
          <t>Single Carrier (Band n50, 100MHz TDD)</t>
        </is>
      </c>
      <c r="Q879" s="13">
        <f>ROUNDUP(O879/'Methodology &amp; Assumptions'!$B$6, 0)</f>
        <v/>
      </c>
      <c r="R879" s="13" t="n">
        <v>1</v>
      </c>
      <c r="S879" s="14" t="n">
        <v>2.07</v>
      </c>
      <c r="T879" s="14" t="n">
        <v>0.2</v>
      </c>
      <c r="U879" s="26">
        <f>IF(X879&gt;='Methodology &amp; Assumptions'!$B$7, "Tier 1 Critical GIDA (Score ≥ 50.0)", IF(X879&gt;='Methodology &amp; Assumptions'!$B$8, "Tier 2 High GIDA (Score 40.0–49.9)", "Tier 3 Moderate GIDA (Score &lt; 40.0)"))</f>
        <v/>
      </c>
      <c r="V879" s="26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W879" s="28" t="n">
        <v>0.07200000000000001</v>
      </c>
      <c r="X879" s="14" t="n">
        <v>49.47</v>
      </c>
      <c r="Y879" s="14">
        <f>ROUND(MIN(100, (X879/69.91)*100), 2)</f>
        <v/>
      </c>
    </row>
    <row r="880">
      <c r="A880" s="10" t="n">
        <v>2</v>
      </c>
      <c r="B880" s="10" t="n">
        <v>876</v>
      </c>
      <c r="C880" s="10" t="n">
        <v>1876</v>
      </c>
      <c r="D880" s="10" t="inlineStr">
        <is>
          <t>PH0001876</t>
        </is>
      </c>
      <c r="E880" s="26" t="inlineStr">
        <is>
          <t>BARMM (LaMa+SGA)</t>
        </is>
      </c>
      <c r="F880" s="26" t="inlineStr">
        <is>
          <t>Lanao Del Sur</t>
        </is>
      </c>
      <c r="G880" s="26" t="inlineStr">
        <is>
          <t>Bumbaran</t>
        </is>
      </c>
      <c r="H880" s="26" t="inlineStr">
        <is>
          <t>Piagma</t>
        </is>
      </c>
      <c r="I880" s="27" t="n">
        <v>15.892202</v>
      </c>
      <c r="J880" s="27" t="n">
        <v>122.579684</v>
      </c>
      <c r="K880" s="10" t="inlineStr">
        <is>
          <t>R</t>
        </is>
      </c>
      <c r="L880" s="12" t="n">
        <v>2518</v>
      </c>
      <c r="M880" s="14" t="n">
        <v>5.7</v>
      </c>
      <c r="N880" s="12">
        <f>ROUND(L880/M880, 0)</f>
        <v/>
      </c>
      <c r="O880" s="12">
        <f>ROUND(N880*'Methodology &amp; Assumptions'!$B$5, 0)</f>
        <v/>
      </c>
      <c r="P880" s="10" t="inlineStr">
        <is>
          <t>Single Carrier (Band n50, 100MHz TDD)</t>
        </is>
      </c>
      <c r="Q880" s="13">
        <f>ROUNDUP(O880/'Methodology &amp; Assumptions'!$B$6, 0)</f>
        <v/>
      </c>
      <c r="R880" s="13" t="n">
        <v>1</v>
      </c>
      <c r="S880" s="14" t="n">
        <v>64.88</v>
      </c>
      <c r="T880" s="14" t="n">
        <v>64.89</v>
      </c>
      <c r="U880" s="26">
        <f>IF(X880&gt;='Methodology &amp; Assumptions'!$B$7, "Tier 1 Critical GIDA (Score ≥ 50.0)", IF(X880&gt;='Methodology &amp; Assumptions'!$B$8, "Tier 2 High GIDA (Score 40.0–49.9)", "Tier 3 Moderate GIDA (Score &lt; 40.0)"))</f>
        <v/>
      </c>
      <c r="V880" s="26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W880" s="28" t="n">
        <v>0.235</v>
      </c>
      <c r="X880" s="14" t="n">
        <v>49.47</v>
      </c>
      <c r="Y880" s="14">
        <f>ROUND(MIN(100, (X880/69.91)*100), 2)</f>
        <v/>
      </c>
    </row>
    <row r="881">
      <c r="A881" s="10" t="n">
        <v>2</v>
      </c>
      <c r="B881" s="10" t="n">
        <v>877</v>
      </c>
      <c r="C881" s="10" t="n">
        <v>1877</v>
      </c>
      <c r="D881" s="10" t="inlineStr">
        <is>
          <t>1380606070</t>
        </is>
      </c>
      <c r="E881" s="26" t="inlineStr">
        <is>
          <t>National Capital Region (NCR)</t>
        </is>
      </c>
      <c r="F881" s="26" t="inlineStr">
        <is>
          <t>First District (Not a Province)</t>
        </is>
      </c>
      <c r="G881" s="26" t="inlineStr">
        <is>
          <t>City of Manila</t>
        </is>
      </c>
      <c r="H881" s="26" t="inlineStr">
        <is>
          <t>Barangay 464</t>
        </is>
      </c>
      <c r="I881" s="27" t="n">
        <v>12.464849</v>
      </c>
      <c r="J881" s="27" t="n">
        <v>121.79258</v>
      </c>
      <c r="K881" s="10" t="inlineStr">
        <is>
          <t>U</t>
        </is>
      </c>
      <c r="L881" s="12" t="n">
        <v>3044</v>
      </c>
      <c r="M881" s="14" t="n">
        <v>3.9</v>
      </c>
      <c r="N881" s="12">
        <f>ROUND(L881/M881, 0)</f>
        <v/>
      </c>
      <c r="O881" s="12">
        <f>ROUND(N881*'Methodology &amp; Assumptions'!$B$5, 0)</f>
        <v/>
      </c>
      <c r="P881" s="10" t="inlineStr">
        <is>
          <t>Single Carrier (Band n50, 100MHz TDD)</t>
        </is>
      </c>
      <c r="Q881" s="13">
        <f>ROUNDUP(O881/'Methodology &amp; Assumptions'!$B$6, 0)</f>
        <v/>
      </c>
      <c r="R881" s="13" t="n">
        <v>1</v>
      </c>
      <c r="S881" s="14" t="n">
        <v>30.38</v>
      </c>
      <c r="T881" s="14" t="n">
        <v>11.77</v>
      </c>
      <c r="U881" s="26">
        <f>IF(X881&gt;='Methodology &amp; Assumptions'!$B$7, "Tier 1 Critical GIDA (Score ≥ 50.0)", IF(X881&gt;='Methodology &amp; Assumptions'!$B$8, "Tier 2 High GIDA (Score 40.0–49.9)", "Tier 3 Moderate GIDA (Score &lt; 40.0)"))</f>
        <v/>
      </c>
      <c r="V881" s="26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W881" s="28" t="n">
        <v>0.109</v>
      </c>
      <c r="X881" s="14" t="n">
        <v>49.47</v>
      </c>
      <c r="Y881" s="14">
        <f>ROUND(MIN(100, (X881/69.91)*100), 2)</f>
        <v/>
      </c>
    </row>
    <row r="882">
      <c r="A882" s="10" t="n">
        <v>2</v>
      </c>
      <c r="B882" s="10" t="n">
        <v>878</v>
      </c>
      <c r="C882" s="10" t="n">
        <v>1878</v>
      </c>
      <c r="D882" s="10" t="inlineStr">
        <is>
          <t>PH0001878</t>
        </is>
      </c>
      <c r="E882" s="26" t="inlineStr">
        <is>
          <t>VIII</t>
        </is>
      </c>
      <c r="F882" s="26" t="inlineStr">
        <is>
          <t>Leyte</t>
        </is>
      </c>
      <c r="G882" s="26" t="inlineStr">
        <is>
          <t>Tacloban City</t>
        </is>
      </c>
      <c r="H882" s="26" t="inlineStr">
        <is>
          <t>Barangay 44-A</t>
        </is>
      </c>
      <c r="I882" s="27" t="n">
        <v>11.310487</v>
      </c>
      <c r="J882" s="27" t="n">
        <v>124.971355</v>
      </c>
      <c r="K882" s="10" t="inlineStr">
        <is>
          <t>R</t>
        </is>
      </c>
      <c r="L882" s="12" t="n">
        <v>2258</v>
      </c>
      <c r="M882" s="14" t="n">
        <v>3.8</v>
      </c>
      <c r="N882" s="12">
        <f>ROUND(L882/M882, 0)</f>
        <v/>
      </c>
      <c r="O882" s="12">
        <f>ROUND(N882*'Methodology &amp; Assumptions'!$B$5, 0)</f>
        <v/>
      </c>
      <c r="P882" s="10" t="inlineStr">
        <is>
          <t>Single Carrier (Band n50, 100MHz TDD)</t>
        </is>
      </c>
      <c r="Q882" s="13">
        <f>ROUNDUP(O882/'Methodology &amp; Assumptions'!$B$6, 0)</f>
        <v/>
      </c>
      <c r="R882" s="13" t="n">
        <v>1</v>
      </c>
      <c r="S882" s="14" t="n">
        <v>8.58</v>
      </c>
      <c r="T882" s="14" t="n">
        <v>11.66</v>
      </c>
      <c r="U882" s="26">
        <f>IF(X882&gt;='Methodology &amp; Assumptions'!$B$7, "Tier 1 Critical GIDA (Score ≥ 50.0)", IF(X882&gt;='Methodology &amp; Assumptions'!$B$8, "Tier 2 High GIDA (Score 40.0–49.9)", "Tier 3 Moderate GIDA (Score &lt; 40.0)"))</f>
        <v/>
      </c>
      <c r="V882" s="26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W882" s="28" t="n">
        <v>0.222</v>
      </c>
      <c r="X882" s="14" t="n">
        <v>49.47</v>
      </c>
      <c r="Y882" s="14">
        <f>ROUND(MIN(100, (X882/69.91)*100), 2)</f>
        <v/>
      </c>
    </row>
    <row r="883">
      <c r="A883" s="10" t="n">
        <v>2</v>
      </c>
      <c r="B883" s="10" t="n">
        <v>879</v>
      </c>
      <c r="C883" s="10" t="n">
        <v>1879</v>
      </c>
      <c r="D883" s="10" t="inlineStr">
        <is>
          <t>1380601217</t>
        </is>
      </c>
      <c r="E883" s="26" t="inlineStr">
        <is>
          <t>National Capital Region (NCR)</t>
        </is>
      </c>
      <c r="F883" s="26" t="inlineStr">
        <is>
          <t>First District (Not a Province)</t>
        </is>
      </c>
      <c r="G883" s="26" t="inlineStr">
        <is>
          <t>City of Manila</t>
        </is>
      </c>
      <c r="H883" s="26" t="inlineStr">
        <is>
          <t>Barangay 216</t>
        </is>
      </c>
      <c r="I883" s="27" t="n">
        <v>13.174277</v>
      </c>
      <c r="J883" s="27" t="n">
        <v>121.47182</v>
      </c>
      <c r="K883" s="10" t="inlineStr">
        <is>
          <t>U</t>
        </is>
      </c>
      <c r="L883" s="12" t="n">
        <v>2505</v>
      </c>
      <c r="M883" s="14" t="n">
        <v>3.9</v>
      </c>
      <c r="N883" s="12">
        <f>ROUND(L883/M883, 0)</f>
        <v/>
      </c>
      <c r="O883" s="12">
        <f>ROUND(N883*'Methodology &amp; Assumptions'!$B$5, 0)</f>
        <v/>
      </c>
      <c r="P883" s="10" t="inlineStr">
        <is>
          <t>Single Carrier (Band n50, 100MHz TDD)</t>
        </is>
      </c>
      <c r="Q883" s="13">
        <f>ROUNDUP(O883/'Methodology &amp; Assumptions'!$B$6, 0)</f>
        <v/>
      </c>
      <c r="R883" s="13" t="n">
        <v>1</v>
      </c>
      <c r="S883" s="14" t="n">
        <v>8.02</v>
      </c>
      <c r="T883" s="14" t="n">
        <v>13.89</v>
      </c>
      <c r="U883" s="26">
        <f>IF(X883&gt;='Methodology &amp; Assumptions'!$B$7, "Tier 1 Critical GIDA (Score ≥ 50.0)", IF(X883&gt;='Methodology &amp; Assumptions'!$B$8, "Tier 2 High GIDA (Score 40.0–49.9)", "Tier 3 Moderate GIDA (Score &lt; 40.0)"))</f>
        <v/>
      </c>
      <c r="V883" s="26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W883" s="28" t="n">
        <v>0.109</v>
      </c>
      <c r="X883" s="14" t="n">
        <v>49.47</v>
      </c>
      <c r="Y883" s="14">
        <f>ROUND(MIN(100, (X883/69.91)*100), 2)</f>
        <v/>
      </c>
    </row>
    <row r="884">
      <c r="A884" s="10" t="n">
        <v>2</v>
      </c>
      <c r="B884" s="10" t="n">
        <v>880</v>
      </c>
      <c r="C884" s="10" t="n">
        <v>1880</v>
      </c>
      <c r="D884" s="10" t="inlineStr">
        <is>
          <t>PH0001880</t>
        </is>
      </c>
      <c r="E884" s="26" t="inlineStr">
        <is>
          <t>NCR</t>
        </is>
      </c>
      <c r="F884" s="26" t="inlineStr">
        <is>
          <t>Metro Manila</t>
        </is>
      </c>
      <c r="G884" s="26" t="inlineStr">
        <is>
          <t>Caloocan City</t>
        </is>
      </c>
      <c r="H884" s="26" t="inlineStr">
        <is>
          <t>Barangay 135</t>
        </is>
      </c>
      <c r="I884" s="27" t="n">
        <v>13.590127</v>
      </c>
      <c r="J884" s="27" t="n">
        <v>122.917928</v>
      </c>
      <c r="K884" s="10" t="inlineStr">
        <is>
          <t>R</t>
        </is>
      </c>
      <c r="L884" s="12" t="n">
        <v>2279</v>
      </c>
      <c r="M884" s="14" t="n">
        <v>3.8</v>
      </c>
      <c r="N884" s="12">
        <f>ROUND(L884/M884, 0)</f>
        <v/>
      </c>
      <c r="O884" s="12">
        <f>ROUND(N884*'Methodology &amp; Assumptions'!$B$5, 0)</f>
        <v/>
      </c>
      <c r="P884" s="10" t="inlineStr">
        <is>
          <t>Single Carrier (Band n50, 100MHz TDD)</t>
        </is>
      </c>
      <c r="Q884" s="13">
        <f>ROUNDUP(O884/'Methodology &amp; Assumptions'!$B$6, 0)</f>
        <v/>
      </c>
      <c r="R884" s="13" t="n">
        <v>1</v>
      </c>
      <c r="S884" s="14" t="n">
        <v>13.3</v>
      </c>
      <c r="T884" s="14" t="n">
        <v>13.91</v>
      </c>
      <c r="U884" s="26">
        <f>IF(X884&gt;='Methodology &amp; Assumptions'!$B$7, "Tier 1 Critical GIDA (Score ≥ 50.0)", IF(X884&gt;='Methodology &amp; Assumptions'!$B$8, "Tier 2 High GIDA (Score 40.0–49.9)", "Tier 3 Moderate GIDA (Score &lt; 40.0)"))</f>
        <v/>
      </c>
      <c r="V884" s="26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W884" s="28" t="n">
        <v>0.011</v>
      </c>
      <c r="X884" s="14" t="n">
        <v>49.47</v>
      </c>
      <c r="Y884" s="14">
        <f>ROUND(MIN(100, (X884/69.91)*100), 2)</f>
        <v/>
      </c>
    </row>
    <row r="885">
      <c r="A885" s="10" t="n">
        <v>2</v>
      </c>
      <c r="B885" s="10" t="n">
        <v>881</v>
      </c>
      <c r="C885" s="10" t="n">
        <v>1881</v>
      </c>
      <c r="D885" s="10" t="inlineStr">
        <is>
          <t>PH0001881</t>
        </is>
      </c>
      <c r="E885" s="26" t="inlineStr">
        <is>
          <t>BARMM (LaMa+SGA)</t>
        </is>
      </c>
      <c r="F885" s="26" t="inlineStr">
        <is>
          <t>Lanao Del Sur</t>
        </is>
      </c>
      <c r="G885" s="26" t="inlineStr">
        <is>
          <t>Bumbaran</t>
        </is>
      </c>
      <c r="H885" s="26" t="inlineStr">
        <is>
          <t>Lico</t>
        </is>
      </c>
      <c r="I885" s="27" t="n">
        <v>15.8964</v>
      </c>
      <c r="J885" s="27" t="n">
        <v>122.569684</v>
      </c>
      <c r="K885" s="10" t="inlineStr">
        <is>
          <t>R</t>
        </is>
      </c>
      <c r="L885" s="12" t="n">
        <v>2518</v>
      </c>
      <c r="M885" s="14" t="n">
        <v>5.7</v>
      </c>
      <c r="N885" s="12">
        <f>ROUND(L885/M885, 0)</f>
        <v/>
      </c>
      <c r="O885" s="12">
        <f>ROUND(N885*'Methodology &amp; Assumptions'!$B$5, 0)</f>
        <v/>
      </c>
      <c r="P885" s="10" t="inlineStr">
        <is>
          <t>Single Carrier (Band n50, 100MHz TDD)</t>
        </is>
      </c>
      <c r="Q885" s="13">
        <f>ROUNDUP(O885/'Methodology &amp; Assumptions'!$B$6, 0)</f>
        <v/>
      </c>
      <c r="R885" s="13" t="n">
        <v>1</v>
      </c>
      <c r="S885" s="14" t="n">
        <v>63.77</v>
      </c>
      <c r="T885" s="14" t="n">
        <v>63.78</v>
      </c>
      <c r="U885" s="26">
        <f>IF(X885&gt;='Methodology &amp; Assumptions'!$B$7, "Tier 1 Critical GIDA (Score ≥ 50.0)", IF(X885&gt;='Methodology &amp; Assumptions'!$B$8, "Tier 2 High GIDA (Score 40.0–49.9)", "Tier 3 Moderate GIDA (Score &lt; 40.0)"))</f>
        <v/>
      </c>
      <c r="V885" s="26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W885" s="28" t="n">
        <v>0.235</v>
      </c>
      <c r="X885" s="14" t="n">
        <v>49.47</v>
      </c>
      <c r="Y885" s="14">
        <f>ROUND(MIN(100, (X885/69.91)*100), 2)</f>
        <v/>
      </c>
    </row>
    <row r="886">
      <c r="A886" s="10" t="n">
        <v>2</v>
      </c>
      <c r="B886" s="10" t="n">
        <v>882</v>
      </c>
      <c r="C886" s="10" t="n">
        <v>1882</v>
      </c>
      <c r="D886" s="10" t="inlineStr">
        <is>
          <t>1380612027</t>
        </is>
      </c>
      <c r="E886" s="26" t="inlineStr">
        <is>
          <t>National Capital Region (NCR)</t>
        </is>
      </c>
      <c r="F886" s="26" t="inlineStr">
        <is>
          <t>First District (Not a Province)</t>
        </is>
      </c>
      <c r="G886" s="26" t="inlineStr">
        <is>
          <t>City of Manila</t>
        </is>
      </c>
      <c r="H886" s="26" t="inlineStr">
        <is>
          <t>Barangay 859</t>
        </is>
      </c>
      <c r="I886" s="27" t="n">
        <v>12.861469</v>
      </c>
      <c r="J886" s="27" t="n">
        <v>122.202324</v>
      </c>
      <c r="K886" s="10" t="inlineStr">
        <is>
          <t>U</t>
        </is>
      </c>
      <c r="L886" s="12" t="n">
        <v>1396</v>
      </c>
      <c r="M886" s="14" t="n">
        <v>3.9</v>
      </c>
      <c r="N886" s="12">
        <f>ROUND(L886/M886, 0)</f>
        <v/>
      </c>
      <c r="O886" s="12">
        <f>ROUND(N886*'Methodology &amp; Assumptions'!$B$5, 0)</f>
        <v/>
      </c>
      <c r="P886" s="10" t="inlineStr">
        <is>
          <t>Single Carrier (Band n50, 100MHz TDD)</t>
        </is>
      </c>
      <c r="Q886" s="13">
        <f>ROUNDUP(O886/'Methodology &amp; Assumptions'!$B$6, 0)</f>
        <v/>
      </c>
      <c r="R886" s="13" t="n">
        <v>1</v>
      </c>
      <c r="S886" s="14" t="n">
        <v>63.86</v>
      </c>
      <c r="T886" s="14" t="n">
        <v>72.89</v>
      </c>
      <c r="U886" s="26">
        <f>IF(X886&gt;='Methodology &amp; Assumptions'!$B$7, "Tier 1 Critical GIDA (Score ≥ 50.0)", IF(X886&gt;='Methodology &amp; Assumptions'!$B$8, "Tier 2 High GIDA (Score 40.0–49.9)", "Tier 3 Moderate GIDA (Score &lt; 40.0)"))</f>
        <v/>
      </c>
      <c r="V886" s="26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W886" s="28" t="n">
        <v>0.109</v>
      </c>
      <c r="X886" s="14" t="n">
        <v>49.47</v>
      </c>
      <c r="Y886" s="14">
        <f>ROUND(MIN(100, (X886/69.91)*100), 2)</f>
        <v/>
      </c>
    </row>
    <row r="887">
      <c r="A887" s="10" t="n">
        <v>2</v>
      </c>
      <c r="B887" s="10" t="n">
        <v>883</v>
      </c>
      <c r="C887" s="10" t="n">
        <v>1883</v>
      </c>
      <c r="D887" s="10" t="inlineStr">
        <is>
          <t>1704001048</t>
        </is>
      </c>
      <c r="E887" s="26" t="inlineStr">
        <is>
          <t>MIMAROPA Region</t>
        </is>
      </c>
      <c r="F887" s="26" t="inlineStr">
        <is>
          <t>Marinduque</t>
        </is>
      </c>
      <c r="G887" s="26" t="inlineStr">
        <is>
          <t>Boac</t>
        </is>
      </c>
      <c r="H887" s="26" t="inlineStr">
        <is>
          <t>Sabong</t>
        </is>
      </c>
      <c r="I887" s="27" t="n">
        <v>13.419815</v>
      </c>
      <c r="J887" s="27" t="n">
        <v>121.875807</v>
      </c>
      <c r="K887" s="10" t="inlineStr">
        <is>
          <t>R</t>
        </is>
      </c>
      <c r="L887" s="12" t="n">
        <v>130</v>
      </c>
      <c r="M887" s="14" t="n">
        <v>3.8</v>
      </c>
      <c r="N887" s="12">
        <f>ROUND(L887/M887, 0)</f>
        <v/>
      </c>
      <c r="O887" s="12">
        <f>ROUND(N887*'Methodology &amp; Assumptions'!$B$5, 0)</f>
        <v/>
      </c>
      <c r="P887" s="10" t="inlineStr">
        <is>
          <t>Single Carrier (Band n50, 100MHz TDD)</t>
        </is>
      </c>
      <c r="Q887" s="13">
        <f>ROUNDUP(O887/'Methodology &amp; Assumptions'!$B$6, 0)</f>
        <v/>
      </c>
      <c r="R887" s="13" t="n">
        <v>1</v>
      </c>
      <c r="S887" s="14" t="n">
        <v>44.25</v>
      </c>
      <c r="T887" s="14" t="n">
        <v>44.25</v>
      </c>
      <c r="U887" s="26">
        <f>IF(X887&gt;='Methodology &amp; Assumptions'!$B$7, "Tier 1 Critical GIDA (Score ≥ 50.0)", IF(X887&gt;='Methodology &amp; Assumptions'!$B$8, "Tier 2 High GIDA (Score 40.0–49.9)", "Tier 3 Moderate GIDA (Score &lt; 40.0)"))</f>
        <v/>
      </c>
      <c r="V887" s="26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W887" s="28" t="n">
        <v>0.15</v>
      </c>
      <c r="X887" s="14" t="n">
        <v>49.46</v>
      </c>
      <c r="Y887" s="14">
        <f>ROUND(MIN(100, (X887/69.91)*100), 2)</f>
        <v/>
      </c>
    </row>
    <row r="888">
      <c r="A888" s="10" t="n">
        <v>2</v>
      </c>
      <c r="B888" s="10" t="n">
        <v>884</v>
      </c>
      <c r="C888" s="10" t="n">
        <v>1884</v>
      </c>
      <c r="D888" s="10" t="inlineStr">
        <is>
          <t>1908702001</t>
        </is>
      </c>
      <c r="E888" s="26" t="inlineStr">
        <is>
          <t>Bangsamoro Autonomous Region In Muslim Mindanao (BARMM)</t>
        </is>
      </c>
      <c r="F888" s="26" t="inlineStr">
        <is>
          <t>Maguindanao del Norte</t>
        </is>
      </c>
      <c r="G888" s="26" t="inlineStr">
        <is>
          <t>Buldon</t>
        </is>
      </c>
      <c r="H888" s="26" t="inlineStr">
        <is>
          <t>Ampuan</t>
        </is>
      </c>
      <c r="I888" s="27" t="n">
        <v>17.25406</v>
      </c>
      <c r="J888" s="27" t="n">
        <v>122.228104</v>
      </c>
      <c r="K888" s="10" t="inlineStr">
        <is>
          <t>R</t>
        </is>
      </c>
      <c r="L888" s="12" t="n">
        <v>2691</v>
      </c>
      <c r="M888" s="14" t="n">
        <v>4.3</v>
      </c>
      <c r="N888" s="12">
        <f>ROUND(L888/M888, 0)</f>
        <v/>
      </c>
      <c r="O888" s="12">
        <f>ROUND(N888*'Methodology &amp; Assumptions'!$B$5, 0)</f>
        <v/>
      </c>
      <c r="P888" s="10" t="inlineStr">
        <is>
          <t>Single Carrier (Band n50, 100MHz TDD)</t>
        </is>
      </c>
      <c r="Q888" s="13">
        <f>ROUNDUP(O888/'Methodology &amp; Assumptions'!$B$6, 0)</f>
        <v/>
      </c>
      <c r="R888" s="13" t="n">
        <v>1</v>
      </c>
      <c r="S888" s="14" t="n">
        <v>29.3</v>
      </c>
      <c r="T888" s="14" t="n">
        <v>34.19</v>
      </c>
      <c r="U888" s="26">
        <f>IF(X888&gt;='Methodology &amp; Assumptions'!$B$7, "Tier 1 Critical GIDA (Score ≥ 50.0)", IF(X888&gt;='Methodology &amp; Assumptions'!$B$8, "Tier 2 High GIDA (Score 40.0–49.9)", "Tier 3 Moderate GIDA (Score &lt; 40.0)"))</f>
        <v/>
      </c>
      <c r="V888" s="26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W888" s="28" t="n">
        <v>0.11</v>
      </c>
      <c r="X888" s="14" t="n">
        <v>49.46</v>
      </c>
      <c r="Y888" s="14">
        <f>ROUND(MIN(100, (X888/69.91)*100), 2)</f>
        <v/>
      </c>
    </row>
    <row r="889">
      <c r="A889" s="10" t="n">
        <v>2</v>
      </c>
      <c r="B889" s="10" t="n">
        <v>885</v>
      </c>
      <c r="C889" s="10" t="n">
        <v>1885</v>
      </c>
      <c r="D889" s="10" t="inlineStr">
        <is>
          <t>1908702002</t>
        </is>
      </c>
      <c r="E889" s="26" t="inlineStr">
        <is>
          <t>Bangsamoro Autonomous Region In Muslim Mindanao (BARMM)</t>
        </is>
      </c>
      <c r="F889" s="26" t="inlineStr">
        <is>
          <t>Maguindanao del Norte</t>
        </is>
      </c>
      <c r="G889" s="26" t="inlineStr">
        <is>
          <t>Buldon</t>
        </is>
      </c>
      <c r="H889" s="26" t="inlineStr">
        <is>
          <t>Aratuc</t>
        </is>
      </c>
      <c r="I889" s="27" t="n">
        <v>17.253883</v>
      </c>
      <c r="J889" s="27" t="n">
        <v>122.227927</v>
      </c>
      <c r="K889" s="10" t="inlineStr">
        <is>
          <t>R</t>
        </is>
      </c>
      <c r="L889" s="12" t="n">
        <v>2757</v>
      </c>
      <c r="M889" s="14" t="n">
        <v>4.3</v>
      </c>
      <c r="N889" s="12">
        <f>ROUND(L889/M889, 0)</f>
        <v/>
      </c>
      <c r="O889" s="12">
        <f>ROUND(N889*'Methodology &amp; Assumptions'!$B$5, 0)</f>
        <v/>
      </c>
      <c r="P889" s="10" t="inlineStr">
        <is>
          <t>Single Carrier (Band n50, 100MHz TDD)</t>
        </is>
      </c>
      <c r="Q889" s="13">
        <f>ROUNDUP(O889/'Methodology &amp; Assumptions'!$B$6, 0)</f>
        <v/>
      </c>
      <c r="R889" s="13" t="n">
        <v>1</v>
      </c>
      <c r="S889" s="14" t="n">
        <v>29.27</v>
      </c>
      <c r="T889" s="14" t="n">
        <v>34.17</v>
      </c>
      <c r="U889" s="26">
        <f>IF(X889&gt;='Methodology &amp; Assumptions'!$B$7, "Tier 1 Critical GIDA (Score ≥ 50.0)", IF(X889&gt;='Methodology &amp; Assumptions'!$B$8, "Tier 2 High GIDA (Score 40.0–49.9)", "Tier 3 Moderate GIDA (Score &lt; 40.0)"))</f>
        <v/>
      </c>
      <c r="V889" s="26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W889" s="28" t="n">
        <v>0.11</v>
      </c>
      <c r="X889" s="14" t="n">
        <v>49.46</v>
      </c>
      <c r="Y889" s="14">
        <f>ROUND(MIN(100, (X889/69.91)*100), 2)</f>
        <v/>
      </c>
    </row>
    <row r="890">
      <c r="A890" s="10" t="n">
        <v>2</v>
      </c>
      <c r="B890" s="10" t="n">
        <v>886</v>
      </c>
      <c r="C890" s="10" t="n">
        <v>1886</v>
      </c>
      <c r="D890" s="10" t="inlineStr">
        <is>
          <t>0402106021</t>
        </is>
      </c>
      <c r="E890" s="26" t="inlineStr">
        <is>
          <t>Region IV-A (CALABARZON)</t>
        </is>
      </c>
      <c r="F890" s="26" t="inlineStr">
        <is>
          <t>Cavite</t>
        </is>
      </c>
      <c r="G890" s="26" t="inlineStr">
        <is>
          <t>City of Dasmariñas</t>
        </is>
      </c>
      <c r="H890" s="26" t="inlineStr">
        <is>
          <t>Emmanuel Bergado I</t>
        </is>
      </c>
      <c r="I890" s="27" t="n">
        <v>14.323054</v>
      </c>
      <c r="J890" s="27" t="n">
        <v>120.954748</v>
      </c>
      <c r="K890" s="10" t="inlineStr">
        <is>
          <t>U</t>
        </is>
      </c>
      <c r="L890" s="12" t="n">
        <v>8424</v>
      </c>
      <c r="M890" s="14" t="n">
        <v>3.4</v>
      </c>
      <c r="N890" s="12">
        <f>ROUND(L890/M890, 0)</f>
        <v/>
      </c>
      <c r="O890" s="12">
        <f>ROUND(N890*'Methodology &amp; Assumptions'!$B$5, 0)</f>
        <v/>
      </c>
      <c r="P890" s="10" t="inlineStr">
        <is>
          <t>Single Carrier (Band n50, 100MHz TDD)</t>
        </is>
      </c>
      <c r="Q890" s="13">
        <f>ROUNDUP(O890/'Methodology &amp; Assumptions'!$B$6, 0)</f>
        <v/>
      </c>
      <c r="R890" s="13" t="n">
        <v>1</v>
      </c>
      <c r="S890" s="14" t="n">
        <v>1.67</v>
      </c>
      <c r="T890" s="14" t="n">
        <v>2.38</v>
      </c>
      <c r="U890" s="26">
        <f>IF(X890&gt;='Methodology &amp; Assumptions'!$B$7, "Tier 1 Critical GIDA (Score ≥ 50.0)", IF(X890&gt;='Methodology &amp; Assumptions'!$B$8, "Tier 2 High GIDA (Score 40.0–49.9)", "Tier 3 Moderate GIDA (Score &lt; 40.0)"))</f>
        <v/>
      </c>
      <c r="V890" s="26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W890" s="28" t="n">
        <v>0.07200000000000001</v>
      </c>
      <c r="X890" s="14" t="n">
        <v>49.46</v>
      </c>
      <c r="Y890" s="14">
        <f>ROUND(MIN(100, (X890/69.91)*100), 2)</f>
        <v/>
      </c>
    </row>
    <row r="891">
      <c r="A891" s="10" t="n">
        <v>2</v>
      </c>
      <c r="B891" s="10" t="n">
        <v>887</v>
      </c>
      <c r="C891" s="10" t="n">
        <v>1887</v>
      </c>
      <c r="D891" s="10" t="inlineStr">
        <is>
          <t>1380606119</t>
        </is>
      </c>
      <c r="E891" s="26" t="inlineStr">
        <is>
          <t>National Capital Region (NCR)</t>
        </is>
      </c>
      <c r="F891" s="26" t="inlineStr">
        <is>
          <t>First District (Not a Province)</t>
        </is>
      </c>
      <c r="G891" s="26" t="inlineStr">
        <is>
          <t>City of Manila</t>
        </is>
      </c>
      <c r="H891" s="26" t="inlineStr">
        <is>
          <t>Barangay 513</t>
        </is>
      </c>
      <c r="I891" s="27" t="n">
        <v>12.610183</v>
      </c>
      <c r="J891" s="27" t="n">
        <v>121.444512</v>
      </c>
      <c r="K891" s="10" t="inlineStr">
        <is>
          <t>U</t>
        </is>
      </c>
      <c r="L891" s="12" t="n">
        <v>2095</v>
      </c>
      <c r="M891" s="14" t="n">
        <v>3.9</v>
      </c>
      <c r="N891" s="12">
        <f>ROUND(L891/M891, 0)</f>
        <v/>
      </c>
      <c r="O891" s="12">
        <f>ROUND(N891*'Methodology &amp; Assumptions'!$B$5, 0)</f>
        <v/>
      </c>
      <c r="P891" s="10" t="inlineStr">
        <is>
          <t>Single Carrier (Band n50, 100MHz TDD)</t>
        </is>
      </c>
      <c r="Q891" s="13">
        <f>ROUNDUP(O891/'Methodology &amp; Assumptions'!$B$6, 0)</f>
        <v/>
      </c>
      <c r="R891" s="13" t="n">
        <v>1</v>
      </c>
      <c r="S891" s="14" t="n">
        <v>9.970000000000001</v>
      </c>
      <c r="T891" s="14" t="n">
        <v>4.4</v>
      </c>
      <c r="U891" s="26">
        <f>IF(X891&gt;='Methodology &amp; Assumptions'!$B$7, "Tier 1 Critical GIDA (Score ≥ 50.0)", IF(X891&gt;='Methodology &amp; Assumptions'!$B$8, "Tier 2 High GIDA (Score 40.0–49.9)", "Tier 3 Moderate GIDA (Score &lt; 40.0)"))</f>
        <v/>
      </c>
      <c r="V891" s="26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W891" s="28" t="n">
        <v>0.109</v>
      </c>
      <c r="X891" s="14" t="n">
        <v>49.46</v>
      </c>
      <c r="Y891" s="14">
        <f>ROUND(MIN(100, (X891/69.91)*100), 2)</f>
        <v/>
      </c>
    </row>
    <row r="892">
      <c r="A892" s="10" t="n">
        <v>2</v>
      </c>
      <c r="B892" s="10" t="n">
        <v>888</v>
      </c>
      <c r="C892" s="10" t="n">
        <v>1888</v>
      </c>
      <c r="D892" s="10" t="inlineStr">
        <is>
          <t>PH0001888</t>
        </is>
      </c>
      <c r="E892" s="26" t="inlineStr">
        <is>
          <t>BARMM (LaMa+SGA)</t>
        </is>
      </c>
      <c r="F892" s="26" t="inlineStr">
        <is>
          <t>Lanao Del Sur</t>
        </is>
      </c>
      <c r="G892" s="26" t="inlineStr">
        <is>
          <t>Bumbaran</t>
        </is>
      </c>
      <c r="H892" s="26" t="inlineStr">
        <is>
          <t>Sagua-an</t>
        </is>
      </c>
      <c r="I892" s="27" t="n">
        <v>15.900507</v>
      </c>
      <c r="J892" s="27" t="n">
        <v>122.582517</v>
      </c>
      <c r="K892" s="10" t="inlineStr">
        <is>
          <t>R</t>
        </is>
      </c>
      <c r="L892" s="12" t="n">
        <v>2518</v>
      </c>
      <c r="M892" s="14" t="n">
        <v>5.7</v>
      </c>
      <c r="N892" s="12">
        <f>ROUND(L892/M892, 0)</f>
        <v/>
      </c>
      <c r="O892" s="12">
        <f>ROUND(N892*'Methodology &amp; Assumptions'!$B$5, 0)</f>
        <v/>
      </c>
      <c r="P892" s="10" t="inlineStr">
        <is>
          <t>Single Carrier (Band n50, 100MHz TDD)</t>
        </is>
      </c>
      <c r="Q892" s="13">
        <f>ROUNDUP(O892/'Methodology &amp; Assumptions'!$B$6, 0)</f>
        <v/>
      </c>
      <c r="R892" s="13" t="n">
        <v>1</v>
      </c>
      <c r="S892" s="14" t="n">
        <v>64.5</v>
      </c>
      <c r="T892" s="14" t="n">
        <v>64.5</v>
      </c>
      <c r="U892" s="26">
        <f>IF(X892&gt;='Methodology &amp; Assumptions'!$B$7, "Tier 1 Critical GIDA (Score ≥ 50.0)", IF(X892&gt;='Methodology &amp; Assumptions'!$B$8, "Tier 2 High GIDA (Score 40.0–49.9)", "Tier 3 Moderate GIDA (Score &lt; 40.0)"))</f>
        <v/>
      </c>
      <c r="V892" s="26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W892" s="28" t="n">
        <v>0.235</v>
      </c>
      <c r="X892" s="14" t="n">
        <v>49.46</v>
      </c>
      <c r="Y892" s="14">
        <f>ROUND(MIN(100, (X892/69.91)*100), 2)</f>
        <v/>
      </c>
    </row>
    <row r="893">
      <c r="A893" s="10" t="n">
        <v>2</v>
      </c>
      <c r="B893" s="10" t="n">
        <v>889</v>
      </c>
      <c r="C893" s="10" t="n">
        <v>1889</v>
      </c>
      <c r="D893" s="10" t="inlineStr">
        <is>
          <t>1380614083</t>
        </is>
      </c>
      <c r="E893" s="26" t="inlineStr">
        <is>
          <t>National Capital Region (NCR)</t>
        </is>
      </c>
      <c r="F893" s="26" t="inlineStr">
        <is>
          <t>First District (Not a Province)</t>
        </is>
      </c>
      <c r="G893" s="26" t="inlineStr">
        <is>
          <t>City of Manila</t>
        </is>
      </c>
      <c r="H893" s="26" t="inlineStr">
        <is>
          <t>Barangay 890</t>
        </is>
      </c>
      <c r="I893" s="27" t="n">
        <v>13.296746</v>
      </c>
      <c r="J893" s="27" t="n">
        <v>121.830322</v>
      </c>
      <c r="K893" s="10" t="inlineStr">
        <is>
          <t>U</t>
        </is>
      </c>
      <c r="L893" s="12" t="n">
        <v>1081</v>
      </c>
      <c r="M893" s="14" t="n">
        <v>3.9</v>
      </c>
      <c r="N893" s="12">
        <f>ROUND(L893/M893, 0)</f>
        <v/>
      </c>
      <c r="O893" s="12">
        <f>ROUND(N893*'Methodology &amp; Assumptions'!$B$5, 0)</f>
        <v/>
      </c>
      <c r="P893" s="10" t="inlineStr">
        <is>
          <t>Single Carrier (Band n50, 100MHz TDD)</t>
        </is>
      </c>
      <c r="Q893" s="13">
        <f>ROUNDUP(O893/'Methodology &amp; Assumptions'!$B$6, 0)</f>
        <v/>
      </c>
      <c r="R893" s="13" t="n">
        <v>1</v>
      </c>
      <c r="S893" s="14" t="n">
        <v>43.54</v>
      </c>
      <c r="T893" s="14" t="n">
        <v>47.57</v>
      </c>
      <c r="U893" s="26">
        <f>IF(X893&gt;='Methodology &amp; Assumptions'!$B$7, "Tier 1 Critical GIDA (Score ≥ 50.0)", IF(X893&gt;='Methodology &amp; Assumptions'!$B$8, "Tier 2 High GIDA (Score 40.0–49.9)", "Tier 3 Moderate GIDA (Score &lt; 40.0)"))</f>
        <v/>
      </c>
      <c r="V893" s="26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W893" s="28" t="n">
        <v>0.109</v>
      </c>
      <c r="X893" s="14" t="n">
        <v>49.46</v>
      </c>
      <c r="Y893" s="14">
        <f>ROUND(MIN(100, (X893/69.91)*100), 2)</f>
        <v/>
      </c>
    </row>
    <row r="894">
      <c r="A894" s="10" t="n">
        <v>2</v>
      </c>
      <c r="B894" s="10" t="n">
        <v>890</v>
      </c>
      <c r="C894" s="10" t="n">
        <v>1890</v>
      </c>
      <c r="D894" s="10" t="inlineStr">
        <is>
          <t>1380612007</t>
        </is>
      </c>
      <c r="E894" s="26" t="inlineStr">
        <is>
          <t>National Capital Region (NCR)</t>
        </is>
      </c>
      <c r="F894" s="26" t="inlineStr">
        <is>
          <t>First District (Not a Province)</t>
        </is>
      </c>
      <c r="G894" s="26" t="inlineStr">
        <is>
          <t>City of Manila</t>
        </is>
      </c>
      <c r="H894" s="26" t="inlineStr">
        <is>
          <t>Barangay 839</t>
        </is>
      </c>
      <c r="I894" s="27" t="n">
        <v>12.534023</v>
      </c>
      <c r="J894" s="27" t="n">
        <v>122.022293</v>
      </c>
      <c r="K894" s="10" t="inlineStr">
        <is>
          <t>U</t>
        </is>
      </c>
      <c r="L894" s="12" t="n">
        <v>2068</v>
      </c>
      <c r="M894" s="14" t="n">
        <v>3.9</v>
      </c>
      <c r="N894" s="12">
        <f>ROUND(L894/M894, 0)</f>
        <v/>
      </c>
      <c r="O894" s="12">
        <f>ROUND(N894*'Methodology &amp; Assumptions'!$B$5, 0)</f>
        <v/>
      </c>
      <c r="P894" s="10" t="inlineStr">
        <is>
          <t>Single Carrier (Band n50, 100MHz TDD)</t>
        </is>
      </c>
      <c r="Q894" s="13">
        <f>ROUNDUP(O894/'Methodology &amp; Assumptions'!$B$6, 0)</f>
        <v/>
      </c>
      <c r="R894" s="13" t="n">
        <v>1</v>
      </c>
      <c r="S894" s="14" t="n">
        <v>51.66</v>
      </c>
      <c r="T894" s="14" t="n">
        <v>37.86</v>
      </c>
      <c r="U894" s="26">
        <f>IF(X894&gt;='Methodology &amp; Assumptions'!$B$7, "Tier 1 Critical GIDA (Score ≥ 50.0)", IF(X894&gt;='Methodology &amp; Assumptions'!$B$8, "Tier 2 High GIDA (Score 40.0–49.9)", "Tier 3 Moderate GIDA (Score &lt; 40.0)"))</f>
        <v/>
      </c>
      <c r="V894" s="26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W894" s="28" t="n">
        <v>0.109</v>
      </c>
      <c r="X894" s="14" t="n">
        <v>49.45</v>
      </c>
      <c r="Y894" s="14">
        <f>ROUND(MIN(100, (X894/69.91)*100), 2)</f>
        <v/>
      </c>
    </row>
    <row r="895">
      <c r="A895" s="10" t="n">
        <v>2</v>
      </c>
      <c r="B895" s="10" t="n">
        <v>891</v>
      </c>
      <c r="C895" s="10" t="n">
        <v>1891</v>
      </c>
      <c r="D895" s="10" t="inlineStr">
        <is>
          <t>1380606235</t>
        </is>
      </c>
      <c r="E895" s="26" t="inlineStr">
        <is>
          <t>National Capital Region (NCR)</t>
        </is>
      </c>
      <c r="F895" s="26" t="inlineStr">
        <is>
          <t>First District (Not a Province)</t>
        </is>
      </c>
      <c r="G895" s="26" t="inlineStr">
        <is>
          <t>City of Manila</t>
        </is>
      </c>
      <c r="H895" s="26" t="inlineStr">
        <is>
          <t>Barangay 628</t>
        </is>
      </c>
      <c r="I895" s="27" t="n">
        <v>12.971328</v>
      </c>
      <c r="J895" s="27" t="n">
        <v>121.350024</v>
      </c>
      <c r="K895" s="10" t="inlineStr">
        <is>
          <t>U</t>
        </is>
      </c>
      <c r="L895" s="12" t="n">
        <v>15664</v>
      </c>
      <c r="M895" s="14" t="n">
        <v>3.9</v>
      </c>
      <c r="N895" s="12">
        <f>ROUND(L895/M895, 0)</f>
        <v/>
      </c>
      <c r="O895" s="12">
        <f>ROUND(N895*'Methodology &amp; Assumptions'!$B$5, 0)</f>
        <v/>
      </c>
      <c r="P895" s="10" t="inlineStr">
        <is>
          <t>Single Carrier (Band n50, 100MHz TDD)</t>
        </is>
      </c>
      <c r="Q895" s="13">
        <f>ROUNDUP(O895/'Methodology &amp; Assumptions'!$B$6, 0)</f>
        <v/>
      </c>
      <c r="R895" s="13" t="n">
        <v>1</v>
      </c>
      <c r="S895" s="14" t="n">
        <v>10.93</v>
      </c>
      <c r="T895" s="14" t="n">
        <v>11.17</v>
      </c>
      <c r="U895" s="26">
        <f>IF(X895&gt;='Methodology &amp; Assumptions'!$B$7, "Tier 1 Critical GIDA (Score ≥ 50.0)", IF(X895&gt;='Methodology &amp; Assumptions'!$B$8, "Tier 2 High GIDA (Score 40.0–49.9)", "Tier 3 Moderate GIDA (Score &lt; 40.0)"))</f>
        <v/>
      </c>
      <c r="V895" s="26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W895" s="28" t="n">
        <v>0.109</v>
      </c>
      <c r="X895" s="14" t="n">
        <v>49.45</v>
      </c>
      <c r="Y895" s="14">
        <f>ROUND(MIN(100, (X895/69.91)*100), 2)</f>
        <v/>
      </c>
    </row>
    <row r="896">
      <c r="A896" s="10" t="n">
        <v>2</v>
      </c>
      <c r="B896" s="10" t="n">
        <v>892</v>
      </c>
      <c r="C896" s="10" t="n">
        <v>1892</v>
      </c>
      <c r="D896" s="10" t="inlineStr">
        <is>
          <t>PH0001892</t>
        </is>
      </c>
      <c r="E896" s="26" t="inlineStr">
        <is>
          <t>IV-A</t>
        </is>
      </c>
      <c r="F896" s="26" t="inlineStr">
        <is>
          <t>Cavite</t>
        </is>
      </c>
      <c r="G896" s="26" t="inlineStr">
        <is>
          <t>Imus City</t>
        </is>
      </c>
      <c r="H896" s="26" t="inlineStr">
        <is>
          <t>Palico III</t>
        </is>
      </c>
      <c r="I896" s="27" t="n">
        <v>14.294466</v>
      </c>
      <c r="J896" s="27" t="n">
        <v>120.907328</v>
      </c>
      <c r="K896" s="10" t="inlineStr">
        <is>
          <t>R</t>
        </is>
      </c>
      <c r="L896" s="12" t="n">
        <v>2316</v>
      </c>
      <c r="M896" s="14" t="n">
        <v>3.4</v>
      </c>
      <c r="N896" s="12">
        <f>ROUND(L896/M896, 0)</f>
        <v/>
      </c>
      <c r="O896" s="12">
        <f>ROUND(N896*'Methodology &amp; Assumptions'!$B$5, 0)</f>
        <v/>
      </c>
      <c r="P896" s="10" t="inlineStr">
        <is>
          <t>Single Carrier (Band n50, 100MHz TDD)</t>
        </is>
      </c>
      <c r="Q896" s="13">
        <f>ROUNDUP(O896/'Methodology &amp; Assumptions'!$B$6, 0)</f>
        <v/>
      </c>
      <c r="R896" s="13" t="n">
        <v>1</v>
      </c>
      <c r="S896" s="14" t="n">
        <v>0.28</v>
      </c>
      <c r="T896" s="14" t="n">
        <v>0.25</v>
      </c>
      <c r="U896" s="26">
        <f>IF(X896&gt;='Methodology &amp; Assumptions'!$B$7, "Tier 1 Critical GIDA (Score ≥ 50.0)", IF(X896&gt;='Methodology &amp; Assumptions'!$B$8, "Tier 2 High GIDA (Score 40.0–49.9)", "Tier 3 Moderate GIDA (Score &lt; 40.0)"))</f>
        <v/>
      </c>
      <c r="V896" s="26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W896" s="28" t="n">
        <v>0.07200000000000001</v>
      </c>
      <c r="X896" s="14" t="n">
        <v>49.44</v>
      </c>
      <c r="Y896" s="14">
        <f>ROUND(MIN(100, (X896/69.91)*100), 2)</f>
        <v/>
      </c>
    </row>
    <row r="897">
      <c r="A897" s="10" t="n">
        <v>2</v>
      </c>
      <c r="B897" s="10" t="n">
        <v>893</v>
      </c>
      <c r="C897" s="10" t="n">
        <v>1893</v>
      </c>
      <c r="D897" s="10" t="inlineStr">
        <is>
          <t>0603013074</t>
        </is>
      </c>
      <c r="E897" s="26" t="inlineStr">
        <is>
          <t>Region VI (Western Visayas)</t>
        </is>
      </c>
      <c r="F897" s="26" t="inlineStr">
        <is>
          <t>Iloilo</t>
        </is>
      </c>
      <c r="G897" s="26" t="inlineStr">
        <is>
          <t>Calinog</t>
        </is>
      </c>
      <c r="H897" s="26" t="inlineStr">
        <is>
          <t>Supanga</t>
        </is>
      </c>
      <c r="I897" s="27" t="n">
        <v>11.191874</v>
      </c>
      <c r="J897" s="27" t="n">
        <v>122.398682</v>
      </c>
      <c r="K897" s="10" t="inlineStr">
        <is>
          <t>R</t>
        </is>
      </c>
      <c r="L897" s="12" t="n">
        <v>912</v>
      </c>
      <c r="M897" s="14" t="n">
        <v>3.8</v>
      </c>
      <c r="N897" s="12">
        <f>ROUND(L897/M897, 0)</f>
        <v/>
      </c>
      <c r="O897" s="12">
        <f>ROUND(N897*'Methodology &amp; Assumptions'!$B$5, 0)</f>
        <v/>
      </c>
      <c r="P897" s="10" t="inlineStr">
        <is>
          <t>Single Carrier (Band n50, 100MHz TDD)</t>
        </is>
      </c>
      <c r="Q897" s="13">
        <f>ROUNDUP(O897/'Methodology &amp; Assumptions'!$B$6, 0)</f>
        <v/>
      </c>
      <c r="R897" s="13" t="n">
        <v>1</v>
      </c>
      <c r="S897" s="14" t="n">
        <v>27.85</v>
      </c>
      <c r="T897" s="14" t="n">
        <v>18.3</v>
      </c>
      <c r="U897" s="26">
        <f>IF(X897&gt;='Methodology &amp; Assumptions'!$B$7, "Tier 1 Critical GIDA (Score ≥ 50.0)", IF(X897&gt;='Methodology &amp; Assumptions'!$B$8, "Tier 2 High GIDA (Score 40.0–49.9)", "Tier 3 Moderate GIDA (Score &lt; 40.0)"))</f>
        <v/>
      </c>
      <c r="V897" s="26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W897" s="28" t="n">
        <v>0.237</v>
      </c>
      <c r="X897" s="14" t="n">
        <v>49.44</v>
      </c>
      <c r="Y897" s="14">
        <f>ROUND(MIN(100, (X897/69.91)*100), 2)</f>
        <v/>
      </c>
    </row>
    <row r="898">
      <c r="A898" s="10" t="n">
        <v>2</v>
      </c>
      <c r="B898" s="10" t="n">
        <v>894</v>
      </c>
      <c r="C898" s="10" t="n">
        <v>1894</v>
      </c>
      <c r="D898" s="10" t="inlineStr">
        <is>
          <t>PH0001894</t>
        </is>
      </c>
      <c r="E898" s="26" t="inlineStr">
        <is>
          <t>III</t>
        </is>
      </c>
      <c r="F898" s="26" t="inlineStr">
        <is>
          <t>Nueva Ecija</t>
        </is>
      </c>
      <c r="G898" s="26" t="inlineStr">
        <is>
          <t>Cabanatuan City</t>
        </is>
      </c>
      <c r="H898" s="26" t="inlineStr">
        <is>
          <t>Zulueta District (Pob.)</t>
        </is>
      </c>
      <c r="I898" s="27" t="n">
        <v>15.487056</v>
      </c>
      <c r="J898" s="27" t="n">
        <v>120.95862</v>
      </c>
      <c r="K898" s="10" t="inlineStr">
        <is>
          <t>R</t>
        </is>
      </c>
      <c r="L898" s="12" t="n">
        <v>2398</v>
      </c>
      <c r="M898" s="14" t="n">
        <v>3.5</v>
      </c>
      <c r="N898" s="12">
        <f>ROUND(L898/M898, 0)</f>
        <v/>
      </c>
      <c r="O898" s="12">
        <f>ROUND(N898*'Methodology &amp; Assumptions'!$B$5, 0)</f>
        <v/>
      </c>
      <c r="P898" s="10" t="inlineStr">
        <is>
          <t>Single Carrier (Band n50, 100MHz TDD)</t>
        </is>
      </c>
      <c r="Q898" s="13">
        <f>ROUNDUP(O898/'Methodology &amp; Assumptions'!$B$6, 0)</f>
        <v/>
      </c>
      <c r="R898" s="13" t="n">
        <v>1</v>
      </c>
      <c r="S898" s="14" t="n">
        <v>0.65</v>
      </c>
      <c r="T898" s="14" t="n">
        <v>0.65</v>
      </c>
      <c r="U898" s="26">
        <f>IF(X898&gt;='Methodology &amp; Assumptions'!$B$7, "Tier 1 Critical GIDA (Score ≥ 50.0)", IF(X898&gt;='Methodology &amp; Assumptions'!$B$8, "Tier 2 High GIDA (Score 40.0–49.9)", "Tier 3 Moderate GIDA (Score &lt; 40.0)"))</f>
        <v/>
      </c>
      <c r="V898" s="26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W898" s="28" t="n">
        <v>0.083</v>
      </c>
      <c r="X898" s="14" t="n">
        <v>49.44</v>
      </c>
      <c r="Y898" s="14">
        <f>ROUND(MIN(100, (X898/69.91)*100), 2)</f>
        <v/>
      </c>
    </row>
    <row r="899">
      <c r="A899" s="10" t="n">
        <v>2</v>
      </c>
      <c r="B899" s="10" t="n">
        <v>895</v>
      </c>
      <c r="C899" s="10" t="n">
        <v>1895</v>
      </c>
      <c r="D899" s="10" t="inlineStr">
        <is>
          <t>1380601169</t>
        </is>
      </c>
      <c r="E899" s="26" t="inlineStr">
        <is>
          <t>National Capital Region (NCR)</t>
        </is>
      </c>
      <c r="F899" s="26" t="inlineStr">
        <is>
          <t>First District (Not a Province)</t>
        </is>
      </c>
      <c r="G899" s="26" t="inlineStr">
        <is>
          <t>City of Manila</t>
        </is>
      </c>
      <c r="H899" s="26" t="inlineStr">
        <is>
          <t>Barangay 169</t>
        </is>
      </c>
      <c r="I899" s="27" t="n">
        <v>13.092047</v>
      </c>
      <c r="J899" s="27" t="n">
        <v>122.151288</v>
      </c>
      <c r="K899" s="10" t="inlineStr">
        <is>
          <t>U</t>
        </is>
      </c>
      <c r="L899" s="12" t="n">
        <v>942</v>
      </c>
      <c r="M899" s="14" t="n">
        <v>3.9</v>
      </c>
      <c r="N899" s="12">
        <f>ROUND(L899/M899, 0)</f>
        <v/>
      </c>
      <c r="O899" s="12">
        <f>ROUND(N899*'Methodology &amp; Assumptions'!$B$5, 0)</f>
        <v/>
      </c>
      <c r="P899" s="10" t="inlineStr">
        <is>
          <t>Single Carrier (Band n50, 100MHz TDD)</t>
        </is>
      </c>
      <c r="Q899" s="13">
        <f>ROUNDUP(O899/'Methodology &amp; Assumptions'!$B$6, 0)</f>
        <v/>
      </c>
      <c r="R899" s="13" t="n">
        <v>1</v>
      </c>
      <c r="S899" s="14" t="n">
        <v>48.8</v>
      </c>
      <c r="T899" s="14" t="n">
        <v>55.1</v>
      </c>
      <c r="U899" s="26">
        <f>IF(X899&gt;='Methodology &amp; Assumptions'!$B$7, "Tier 1 Critical GIDA (Score ≥ 50.0)", IF(X899&gt;='Methodology &amp; Assumptions'!$B$8, "Tier 2 High GIDA (Score 40.0–49.9)", "Tier 3 Moderate GIDA (Score &lt; 40.0)"))</f>
        <v/>
      </c>
      <c r="V899" s="26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W899" s="28" t="n">
        <v>0.109</v>
      </c>
      <c r="X899" s="14" t="n">
        <v>49.44</v>
      </c>
      <c r="Y899" s="14">
        <f>ROUND(MIN(100, (X899/69.91)*100), 2)</f>
        <v/>
      </c>
    </row>
    <row r="900">
      <c r="A900" s="10" t="n">
        <v>2</v>
      </c>
      <c r="B900" s="10" t="n">
        <v>896</v>
      </c>
      <c r="C900" s="10" t="n">
        <v>1896</v>
      </c>
      <c r="D900" s="10" t="inlineStr">
        <is>
          <t>1380608005</t>
        </is>
      </c>
      <c r="E900" s="26" t="inlineStr">
        <is>
          <t>National Capital Region (NCR)</t>
        </is>
      </c>
      <c r="F900" s="26" t="inlineStr">
        <is>
          <t>First District (Not a Province)</t>
        </is>
      </c>
      <c r="G900" s="26" t="inlineStr">
        <is>
          <t>City of Manila</t>
        </is>
      </c>
      <c r="H900" s="26" t="inlineStr">
        <is>
          <t>Barangay 661</t>
        </is>
      </c>
      <c r="I900" s="27" t="n">
        <v>12.473376</v>
      </c>
      <c r="J900" s="27" t="n">
        <v>121.64258</v>
      </c>
      <c r="K900" s="10" t="inlineStr">
        <is>
          <t>U</t>
        </is>
      </c>
      <c r="L900" s="12" t="n">
        <v>454</v>
      </c>
      <c r="M900" s="14" t="n">
        <v>3.9</v>
      </c>
      <c r="N900" s="12">
        <f>ROUND(L900/M900, 0)</f>
        <v/>
      </c>
      <c r="O900" s="12">
        <f>ROUND(N900*'Methodology &amp; Assumptions'!$B$5, 0)</f>
        <v/>
      </c>
      <c r="P900" s="10" t="inlineStr">
        <is>
          <t>Single Carrier (Band n50, 100MHz TDD)</t>
        </is>
      </c>
      <c r="Q900" s="13">
        <f>ROUNDUP(O900/'Methodology &amp; Assumptions'!$B$6, 0)</f>
        <v/>
      </c>
      <c r="R900" s="13" t="n">
        <v>1</v>
      </c>
      <c r="S900" s="14" t="n">
        <v>17.55</v>
      </c>
      <c r="T900" s="14" t="n">
        <v>0.76</v>
      </c>
      <c r="U900" s="26">
        <f>IF(X900&gt;='Methodology &amp; Assumptions'!$B$7, "Tier 1 Critical GIDA (Score ≥ 50.0)", IF(X900&gt;='Methodology &amp; Assumptions'!$B$8, "Tier 2 High GIDA (Score 40.0–49.9)", "Tier 3 Moderate GIDA (Score &lt; 40.0)"))</f>
        <v/>
      </c>
      <c r="V900" s="26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W900" s="28" t="n">
        <v>0.109</v>
      </c>
      <c r="X900" s="14" t="n">
        <v>49.44</v>
      </c>
      <c r="Y900" s="14">
        <f>ROUND(MIN(100, (X900/69.91)*100), 2)</f>
        <v/>
      </c>
    </row>
    <row r="901">
      <c r="A901" s="10" t="n">
        <v>2</v>
      </c>
      <c r="B901" s="10" t="n">
        <v>897</v>
      </c>
      <c r="C901" s="10" t="n">
        <v>1897</v>
      </c>
      <c r="D901" s="10" t="inlineStr">
        <is>
          <t>1380606015</t>
        </is>
      </c>
      <c r="E901" s="26" t="inlineStr">
        <is>
          <t>National Capital Region (NCR)</t>
        </is>
      </c>
      <c r="F901" s="26" t="inlineStr">
        <is>
          <t>First District (Not a Province)</t>
        </is>
      </c>
      <c r="G901" s="26" t="inlineStr">
        <is>
          <t>City of Manila</t>
        </is>
      </c>
      <c r="H901" s="26" t="inlineStr">
        <is>
          <t>Barangay 409</t>
        </is>
      </c>
      <c r="I901" s="27" t="n">
        <v>13.267049</v>
      </c>
      <c r="J901" s="27" t="n">
        <v>121.588714</v>
      </c>
      <c r="K901" s="10" t="inlineStr">
        <is>
          <t>U</t>
        </is>
      </c>
      <c r="L901" s="12" t="n">
        <v>1979</v>
      </c>
      <c r="M901" s="14" t="n">
        <v>3.9</v>
      </c>
      <c r="N901" s="12">
        <f>ROUND(L901/M901, 0)</f>
        <v/>
      </c>
      <c r="O901" s="12">
        <f>ROUND(N901*'Methodology &amp; Assumptions'!$B$5, 0)</f>
        <v/>
      </c>
      <c r="P901" s="10" t="inlineStr">
        <is>
          <t>Single Carrier (Band n50, 100MHz TDD)</t>
        </is>
      </c>
      <c r="Q901" s="13">
        <f>ROUNDUP(O901/'Methodology &amp; Assumptions'!$B$6, 0)</f>
        <v/>
      </c>
      <c r="R901" s="13" t="n">
        <v>1</v>
      </c>
      <c r="S901" s="14" t="n">
        <v>24.23</v>
      </c>
      <c r="T901" s="14" t="n">
        <v>27.95</v>
      </c>
      <c r="U901" s="26">
        <f>IF(X901&gt;='Methodology &amp; Assumptions'!$B$7, "Tier 1 Critical GIDA (Score ≥ 50.0)", IF(X901&gt;='Methodology &amp; Assumptions'!$B$8, "Tier 2 High GIDA (Score 40.0–49.9)", "Tier 3 Moderate GIDA (Score &lt; 40.0)"))</f>
        <v/>
      </c>
      <c r="V901" s="26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W901" s="28" t="n">
        <v>0.109</v>
      </c>
      <c r="X901" s="14" t="n">
        <v>49.44</v>
      </c>
      <c r="Y901" s="14">
        <f>ROUND(MIN(100, (X901/69.91)*100), 2)</f>
        <v/>
      </c>
    </row>
    <row r="902">
      <c r="A902" s="10" t="n">
        <v>2</v>
      </c>
      <c r="B902" s="10" t="n">
        <v>898</v>
      </c>
      <c r="C902" s="10" t="n">
        <v>1898</v>
      </c>
      <c r="D902" s="10" t="inlineStr">
        <is>
          <t>0601903009</t>
        </is>
      </c>
      <c r="E902" s="26" t="inlineStr">
        <is>
          <t>Region VI (Western Visayas)</t>
        </is>
      </c>
      <c r="F902" s="26" t="inlineStr">
        <is>
          <t>Capiz</t>
        </is>
      </c>
      <c r="G902" s="26" t="inlineStr">
        <is>
          <t>Dumalag</t>
        </is>
      </c>
      <c r="H902" s="26" t="inlineStr">
        <is>
          <t>San Martin</t>
        </is>
      </c>
      <c r="I902" s="27" t="n">
        <v>11.3203</v>
      </c>
      <c r="J902" s="27" t="n">
        <v>122.5804</v>
      </c>
      <c r="K902" s="10" t="inlineStr">
        <is>
          <t>R</t>
        </is>
      </c>
      <c r="L902" s="12" t="n">
        <v>449</v>
      </c>
      <c r="M902" s="14" t="n">
        <v>3.8</v>
      </c>
      <c r="N902" s="12">
        <f>ROUND(L902/M902, 0)</f>
        <v/>
      </c>
      <c r="O902" s="12">
        <f>ROUND(N902*'Methodology &amp; Assumptions'!$B$5, 0)</f>
        <v/>
      </c>
      <c r="P902" s="10" t="inlineStr">
        <is>
          <t>Single Carrier (Band n50, 100MHz TDD)</t>
        </is>
      </c>
      <c r="Q902" s="13">
        <f>ROUNDUP(O902/'Methodology &amp; Assumptions'!$B$6, 0)</f>
        <v/>
      </c>
      <c r="R902" s="13" t="n">
        <v>1</v>
      </c>
      <c r="S902" s="14" t="n">
        <v>12.66</v>
      </c>
      <c r="T902" s="14" t="n">
        <v>4.77</v>
      </c>
      <c r="U902" s="26">
        <f>IF(X902&gt;='Methodology &amp; Assumptions'!$B$7, "Tier 1 Critical GIDA (Score ≥ 50.0)", IF(X902&gt;='Methodology &amp; Assumptions'!$B$8, "Tier 2 High GIDA (Score 40.0–49.9)", "Tier 3 Moderate GIDA (Score &lt; 40.0)"))</f>
        <v/>
      </c>
      <c r="V902" s="26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W902" s="28" t="n">
        <v>0.237</v>
      </c>
      <c r="X902" s="14" t="n">
        <v>49.44</v>
      </c>
      <c r="Y902" s="14">
        <f>ROUND(MIN(100, (X902/69.91)*100), 2)</f>
        <v/>
      </c>
    </row>
    <row r="903">
      <c r="A903" s="10" t="n">
        <v>2</v>
      </c>
      <c r="B903" s="10" t="n">
        <v>899</v>
      </c>
      <c r="C903" s="10" t="n">
        <v>1899</v>
      </c>
      <c r="D903" s="10" t="inlineStr">
        <is>
          <t>1381300073</t>
        </is>
      </c>
      <c r="E903" s="26" t="inlineStr">
        <is>
          <t>National Capital Region (NCR)</t>
        </is>
      </c>
      <c r="F903" s="26" t="inlineStr">
        <is>
          <t>Second District (Not a Province)</t>
        </is>
      </c>
      <c r="G903" s="26" t="inlineStr">
        <is>
          <t>Quezon City</t>
        </is>
      </c>
      <c r="H903" s="26" t="inlineStr">
        <is>
          <t>Paang Bundok</t>
        </is>
      </c>
      <c r="I903" s="27" t="n">
        <v>14.672367</v>
      </c>
      <c r="J903" s="27" t="n">
        <v>121.039931</v>
      </c>
      <c r="K903" s="10" t="inlineStr">
        <is>
          <t>U</t>
        </is>
      </c>
      <c r="L903" s="12" t="n">
        <v>5008</v>
      </c>
      <c r="M903" s="14" t="n">
        <v>3.8</v>
      </c>
      <c r="N903" s="12">
        <f>ROUND(L903/M903, 0)</f>
        <v/>
      </c>
      <c r="O903" s="12">
        <f>ROUND(N903*'Methodology &amp; Assumptions'!$B$5, 0)</f>
        <v/>
      </c>
      <c r="P903" s="10" t="inlineStr">
        <is>
          <t>Single Carrier (Band n50, 100MHz TDD)</t>
        </is>
      </c>
      <c r="Q903" s="13">
        <f>ROUNDUP(O903/'Methodology &amp; Assumptions'!$B$6, 0)</f>
        <v/>
      </c>
      <c r="R903" s="13" t="n">
        <v>1</v>
      </c>
      <c r="S903" s="14" t="n">
        <v>1.19</v>
      </c>
      <c r="T903" s="14" t="n">
        <v>0.22</v>
      </c>
      <c r="U903" s="26">
        <f>IF(X903&gt;='Methodology &amp; Assumptions'!$B$7, "Tier 1 Critical GIDA (Score ≥ 50.0)", IF(X903&gt;='Methodology &amp; Assumptions'!$B$8, "Tier 2 High GIDA (Score 40.0–49.9)", "Tier 3 Moderate GIDA (Score &lt; 40.0)"))</f>
        <v/>
      </c>
      <c r="V903" s="26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W903" s="28" t="n">
        <v>0.109</v>
      </c>
      <c r="X903" s="14" t="n">
        <v>49.44</v>
      </c>
      <c r="Y903" s="14">
        <f>ROUND(MIN(100, (X903/69.91)*100), 2)</f>
        <v/>
      </c>
    </row>
    <row r="904">
      <c r="A904" s="10" t="n">
        <v>2</v>
      </c>
      <c r="B904" s="10" t="n">
        <v>900</v>
      </c>
      <c r="C904" s="10" t="n">
        <v>1900</v>
      </c>
      <c r="D904" s="10" t="inlineStr">
        <is>
          <t>1380601162</t>
        </is>
      </c>
      <c r="E904" s="26" t="inlineStr">
        <is>
          <t>National Capital Region (NCR)</t>
        </is>
      </c>
      <c r="F904" s="26" t="inlineStr">
        <is>
          <t>First District (Not a Province)</t>
        </is>
      </c>
      <c r="G904" s="26" t="inlineStr">
        <is>
          <t>City of Manila</t>
        </is>
      </c>
      <c r="H904" s="26" t="inlineStr">
        <is>
          <t>Barangay 162</t>
        </is>
      </c>
      <c r="I904" s="27" t="n">
        <v>12.715627</v>
      </c>
      <c r="J904" s="27" t="n">
        <v>122.180329</v>
      </c>
      <c r="K904" s="10" t="inlineStr">
        <is>
          <t>U</t>
        </is>
      </c>
      <c r="L904" s="12" t="n">
        <v>573</v>
      </c>
      <c r="M904" s="14" t="n">
        <v>3.9</v>
      </c>
      <c r="N904" s="12">
        <f>ROUND(L904/M904, 0)</f>
        <v/>
      </c>
      <c r="O904" s="12">
        <f>ROUND(N904*'Methodology &amp; Assumptions'!$B$5, 0)</f>
        <v/>
      </c>
      <c r="P904" s="10" t="inlineStr">
        <is>
          <t>Single Carrier (Band n50, 100MHz TDD)</t>
        </is>
      </c>
      <c r="Q904" s="13">
        <f>ROUNDUP(O904/'Methodology &amp; Assumptions'!$B$6, 0)</f>
        <v/>
      </c>
      <c r="R904" s="13" t="n">
        <v>1</v>
      </c>
      <c r="S904" s="14" t="n">
        <v>69.31999999999999</v>
      </c>
      <c r="T904" s="14" t="n">
        <v>61.72</v>
      </c>
      <c r="U904" s="26">
        <f>IF(X904&gt;='Methodology &amp; Assumptions'!$B$7, "Tier 1 Critical GIDA (Score ≥ 50.0)", IF(X904&gt;='Methodology &amp; Assumptions'!$B$8, "Tier 2 High GIDA (Score 40.0–49.9)", "Tier 3 Moderate GIDA (Score &lt; 40.0)"))</f>
        <v/>
      </c>
      <c r="V904" s="26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W904" s="28" t="n">
        <v>0.109</v>
      </c>
      <c r="X904" s="14" t="n">
        <v>49.44</v>
      </c>
      <c r="Y904" s="14">
        <f>ROUND(MIN(100, (X904/69.91)*100), 2)</f>
        <v/>
      </c>
    </row>
    <row r="905">
      <c r="A905" s="10" t="n">
        <v>2</v>
      </c>
      <c r="B905" s="10" t="n">
        <v>901</v>
      </c>
      <c r="C905" s="10" t="n">
        <v>1901</v>
      </c>
      <c r="D905" s="10" t="inlineStr">
        <is>
          <t>1380604017</t>
        </is>
      </c>
      <c r="E905" s="26" t="inlineStr">
        <is>
          <t>National Capital Region (NCR)</t>
        </is>
      </c>
      <c r="F905" s="26" t="inlineStr">
        <is>
          <t>First District (Not a Province)</t>
        </is>
      </c>
      <c r="G905" s="26" t="inlineStr">
        <is>
          <t>City of Manila</t>
        </is>
      </c>
      <c r="H905" s="26" t="inlineStr">
        <is>
          <t>Barangay 284</t>
        </is>
      </c>
      <c r="I905" s="27" t="n">
        <v>12.7326</v>
      </c>
      <c r="J905" s="27" t="n">
        <v>121.359415</v>
      </c>
      <c r="K905" s="10" t="inlineStr">
        <is>
          <t>U</t>
        </is>
      </c>
      <c r="L905" s="12" t="n">
        <v>990</v>
      </c>
      <c r="M905" s="14" t="n">
        <v>3.9</v>
      </c>
      <c r="N905" s="12">
        <f>ROUND(L905/M905, 0)</f>
        <v/>
      </c>
      <c r="O905" s="12">
        <f>ROUND(N905*'Methodology &amp; Assumptions'!$B$5, 0)</f>
        <v/>
      </c>
      <c r="P905" s="10" t="inlineStr">
        <is>
          <t>Single Carrier (Band n50, 100MHz TDD)</t>
        </is>
      </c>
      <c r="Q905" s="13">
        <f>ROUNDUP(O905/'Methodology &amp; Assumptions'!$B$6, 0)</f>
        <v/>
      </c>
      <c r="R905" s="13" t="n">
        <v>1</v>
      </c>
      <c r="S905" s="14" t="n">
        <v>13.93</v>
      </c>
      <c r="T905" s="14" t="n">
        <v>12.12</v>
      </c>
      <c r="U905" s="26">
        <f>IF(X905&gt;='Methodology &amp; Assumptions'!$B$7, "Tier 1 Critical GIDA (Score ≥ 50.0)", IF(X905&gt;='Methodology &amp; Assumptions'!$B$8, "Tier 2 High GIDA (Score 40.0–49.9)", "Tier 3 Moderate GIDA (Score &lt; 40.0)"))</f>
        <v/>
      </c>
      <c r="V905" s="26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W905" s="28" t="n">
        <v>0.109</v>
      </c>
      <c r="X905" s="14" t="n">
        <v>49.44</v>
      </c>
      <c r="Y905" s="14">
        <f>ROUND(MIN(100, (X905/69.91)*100), 2)</f>
        <v/>
      </c>
    </row>
    <row r="906">
      <c r="A906" s="10" t="n">
        <v>2</v>
      </c>
      <c r="B906" s="10" t="n">
        <v>902</v>
      </c>
      <c r="C906" s="10" t="n">
        <v>1902</v>
      </c>
      <c r="D906" s="10" t="inlineStr">
        <is>
          <t>1380606082</t>
        </is>
      </c>
      <c r="E906" s="26" t="inlineStr">
        <is>
          <t>National Capital Region (NCR)</t>
        </is>
      </c>
      <c r="F906" s="26" t="inlineStr">
        <is>
          <t>First District (Not a Province)</t>
        </is>
      </c>
      <c r="G906" s="26" t="inlineStr">
        <is>
          <t>City of Manila</t>
        </is>
      </c>
      <c r="H906" s="26" t="inlineStr">
        <is>
          <t>Barangay 476</t>
        </is>
      </c>
      <c r="I906" s="27" t="n">
        <v>13.262393</v>
      </c>
      <c r="J906" s="27" t="n">
        <v>121.978359</v>
      </c>
      <c r="K906" s="10" t="inlineStr">
        <is>
          <t>U</t>
        </is>
      </c>
      <c r="L906" s="12" t="n">
        <v>1307</v>
      </c>
      <c r="M906" s="14" t="n">
        <v>3.9</v>
      </c>
      <c r="N906" s="12">
        <f>ROUND(L906/M906, 0)</f>
        <v/>
      </c>
      <c r="O906" s="12">
        <f>ROUND(N906*'Methodology &amp; Assumptions'!$B$5, 0)</f>
        <v/>
      </c>
      <c r="P906" s="10" t="inlineStr">
        <is>
          <t>Single Carrier (Band n50, 100MHz TDD)</t>
        </is>
      </c>
      <c r="Q906" s="13">
        <f>ROUNDUP(O906/'Methodology &amp; Assumptions'!$B$6, 0)</f>
        <v/>
      </c>
      <c r="R906" s="13" t="n">
        <v>1</v>
      </c>
      <c r="S906" s="14" t="n">
        <v>50.38</v>
      </c>
      <c r="T906" s="14" t="n">
        <v>49.5</v>
      </c>
      <c r="U906" s="26">
        <f>IF(X906&gt;='Methodology &amp; Assumptions'!$B$7, "Tier 1 Critical GIDA (Score ≥ 50.0)", IF(X906&gt;='Methodology &amp; Assumptions'!$B$8, "Tier 2 High GIDA (Score 40.0–49.9)", "Tier 3 Moderate GIDA (Score &lt; 40.0)"))</f>
        <v/>
      </c>
      <c r="V906" s="26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W906" s="28" t="n">
        <v>0.109</v>
      </c>
      <c r="X906" s="14" t="n">
        <v>49.44</v>
      </c>
      <c r="Y906" s="14">
        <f>ROUND(MIN(100, (X906/69.91)*100), 2)</f>
        <v/>
      </c>
    </row>
    <row r="907">
      <c r="A907" s="10" t="n">
        <v>2</v>
      </c>
      <c r="B907" s="10" t="n">
        <v>903</v>
      </c>
      <c r="C907" s="10" t="n">
        <v>1903</v>
      </c>
      <c r="D907" s="10" t="inlineStr">
        <is>
          <t>PH0001903</t>
        </is>
      </c>
      <c r="E907" s="26" t="inlineStr">
        <is>
          <t>CAR</t>
        </is>
      </c>
      <c r="F907" s="26" t="inlineStr">
        <is>
          <t>Benguet</t>
        </is>
      </c>
      <c r="G907" s="26" t="inlineStr">
        <is>
          <t>Baguio City</t>
        </is>
      </c>
      <c r="H907" s="26" t="inlineStr">
        <is>
          <t>A. Bonifacio-Caguioa-Rimando</t>
        </is>
      </c>
      <c r="I907" s="27" t="n">
        <v>16.420473</v>
      </c>
      <c r="J907" s="27" t="n">
        <v>120.599332</v>
      </c>
      <c r="K907" s="10" t="inlineStr">
        <is>
          <t>R</t>
        </is>
      </c>
      <c r="L907" s="12" t="n">
        <v>2260</v>
      </c>
      <c r="M907" s="14" t="n">
        <v>3.5</v>
      </c>
      <c r="N907" s="12">
        <f>ROUND(L907/M907, 0)</f>
        <v/>
      </c>
      <c r="O907" s="12">
        <f>ROUND(N907*'Methodology &amp; Assumptions'!$B$5, 0)</f>
        <v/>
      </c>
      <c r="P907" s="10" t="inlineStr">
        <is>
          <t>Single Carrier (Band n50, 100MHz TDD)</t>
        </is>
      </c>
      <c r="Q907" s="13">
        <f>ROUNDUP(O907/'Methodology &amp; Assumptions'!$B$6, 0)</f>
        <v/>
      </c>
      <c r="R907" s="13" t="n">
        <v>1</v>
      </c>
      <c r="S907" s="14" t="n">
        <v>0.82</v>
      </c>
      <c r="T907" s="14" t="n">
        <v>0.89</v>
      </c>
      <c r="U907" s="26">
        <f>IF(X907&gt;='Methodology &amp; Assumptions'!$B$7, "Tier 1 Critical GIDA (Score ≥ 50.0)", IF(X907&gt;='Methodology &amp; Assumptions'!$B$8, "Tier 2 High GIDA (Score 40.0–49.9)", "Tier 3 Moderate GIDA (Score &lt; 40.0)"))</f>
        <v/>
      </c>
      <c r="V907" s="26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W907" s="28" t="n">
        <v>0.221</v>
      </c>
      <c r="X907" s="14" t="n">
        <v>49.44</v>
      </c>
      <c r="Y907" s="14">
        <f>ROUND(MIN(100, (X907/69.91)*100), 2)</f>
        <v/>
      </c>
    </row>
    <row r="908">
      <c r="A908" s="10" t="n">
        <v>2</v>
      </c>
      <c r="B908" s="10" t="n">
        <v>904</v>
      </c>
      <c r="C908" s="10" t="n">
        <v>1904</v>
      </c>
      <c r="D908" s="10" t="inlineStr">
        <is>
          <t>1381300110</t>
        </is>
      </c>
      <c r="E908" s="26" t="inlineStr">
        <is>
          <t>National Capital Region (NCR)</t>
        </is>
      </c>
      <c r="F908" s="26" t="inlineStr">
        <is>
          <t>Second District (Not a Province)</t>
        </is>
      </c>
      <c r="G908" s="26" t="inlineStr">
        <is>
          <t>Quezon City</t>
        </is>
      </c>
      <c r="H908" s="26" t="inlineStr">
        <is>
          <t>Santol</t>
        </is>
      </c>
      <c r="I908" s="27" t="n">
        <v>14.612583</v>
      </c>
      <c r="J908" s="27" t="n">
        <v>121.015412</v>
      </c>
      <c r="K908" s="10" t="inlineStr">
        <is>
          <t>U</t>
        </is>
      </c>
      <c r="L908" s="12" t="n">
        <v>6679</v>
      </c>
      <c r="M908" s="14" t="n">
        <v>3.8</v>
      </c>
      <c r="N908" s="12">
        <f>ROUND(L908/M908, 0)</f>
        <v/>
      </c>
      <c r="O908" s="12">
        <f>ROUND(N908*'Methodology &amp; Assumptions'!$B$5, 0)</f>
        <v/>
      </c>
      <c r="P908" s="10" t="inlineStr">
        <is>
          <t>Single Carrier (Band n50, 100MHz TDD)</t>
        </is>
      </c>
      <c r="Q908" s="13">
        <f>ROUNDUP(O908/'Methodology &amp; Assumptions'!$B$6, 0)</f>
        <v/>
      </c>
      <c r="R908" s="13" t="n">
        <v>1</v>
      </c>
      <c r="S908" s="14" t="n">
        <v>0.53</v>
      </c>
      <c r="T908" s="14" t="n">
        <v>0.26</v>
      </c>
      <c r="U908" s="26">
        <f>IF(X908&gt;='Methodology &amp; Assumptions'!$B$7, "Tier 1 Critical GIDA (Score ≥ 50.0)", IF(X908&gt;='Methodology &amp; Assumptions'!$B$8, "Tier 2 High GIDA (Score 40.0–49.9)", "Tier 3 Moderate GIDA (Score &lt; 40.0)"))</f>
        <v/>
      </c>
      <c r="V908" s="26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W908" s="28" t="n">
        <v>0.109</v>
      </c>
      <c r="X908" s="14" t="n">
        <v>49.43</v>
      </c>
      <c r="Y908" s="14">
        <f>ROUND(MIN(100, (X908/69.91)*100), 2)</f>
        <v/>
      </c>
    </row>
    <row r="909">
      <c r="A909" s="10" t="n">
        <v>2</v>
      </c>
      <c r="B909" s="10" t="n">
        <v>905</v>
      </c>
      <c r="C909" s="10" t="n">
        <v>1905</v>
      </c>
      <c r="D909" s="10" t="inlineStr">
        <is>
          <t>0300803016</t>
        </is>
      </c>
      <c r="E909" s="26" t="inlineStr">
        <is>
          <t>Region III (Central Luzon)</t>
        </is>
      </c>
      <c r="F909" s="26" t="inlineStr">
        <is>
          <t>Bataan</t>
        </is>
      </c>
      <c r="G909" s="26" t="inlineStr">
        <is>
          <t>City of Balanga</t>
        </is>
      </c>
      <c r="H909" s="26" t="inlineStr">
        <is>
          <t>San Jose</t>
        </is>
      </c>
      <c r="I909" s="27" t="n">
        <v>14.675246</v>
      </c>
      <c r="J909" s="27" t="n">
        <v>120.538478</v>
      </c>
      <c r="K909" s="10" t="inlineStr">
        <is>
          <t>U</t>
        </is>
      </c>
      <c r="L909" s="12" t="n">
        <v>7018</v>
      </c>
      <c r="M909" s="14" t="n">
        <v>3.6</v>
      </c>
      <c r="N909" s="12">
        <f>ROUND(L909/M909, 0)</f>
        <v/>
      </c>
      <c r="O909" s="12">
        <f>ROUND(N909*'Methodology &amp; Assumptions'!$B$5, 0)</f>
        <v/>
      </c>
      <c r="P909" s="10" t="inlineStr">
        <is>
          <t>Single Carrier (Band n50, 100MHz TDD)</t>
        </is>
      </c>
      <c r="Q909" s="13">
        <f>ROUNDUP(O909/'Methodology &amp; Assumptions'!$B$6, 0)</f>
        <v/>
      </c>
      <c r="R909" s="13" t="n">
        <v>1</v>
      </c>
      <c r="S909" s="14" t="n">
        <v>1.07</v>
      </c>
      <c r="T909" s="14" t="n">
        <v>0.63</v>
      </c>
      <c r="U909" s="26">
        <f>IF(X909&gt;='Methodology &amp; Assumptions'!$B$7, "Tier 1 Critical GIDA (Score ≥ 50.0)", IF(X909&gt;='Methodology &amp; Assumptions'!$B$8, "Tier 2 High GIDA (Score 40.0–49.9)", "Tier 3 Moderate GIDA (Score &lt; 40.0)"))</f>
        <v/>
      </c>
      <c r="V909" s="26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W909" s="28" t="n">
        <v>0.083</v>
      </c>
      <c r="X909" s="14" t="n">
        <v>49.43</v>
      </c>
      <c r="Y909" s="14">
        <f>ROUND(MIN(100, (X909/69.91)*100), 2)</f>
        <v/>
      </c>
    </row>
    <row r="910">
      <c r="A910" s="10" t="n">
        <v>2</v>
      </c>
      <c r="B910" s="10" t="n">
        <v>906</v>
      </c>
      <c r="C910" s="10" t="n">
        <v>1906</v>
      </c>
      <c r="D910" s="10" t="inlineStr">
        <is>
          <t>1380614025</t>
        </is>
      </c>
      <c r="E910" s="26" t="inlineStr">
        <is>
          <t>National Capital Region (NCR)</t>
        </is>
      </c>
      <c r="F910" s="26" t="inlineStr">
        <is>
          <t>First District (Not a Province)</t>
        </is>
      </c>
      <c r="G910" s="26" t="inlineStr">
        <is>
          <t>City of Manila</t>
        </is>
      </c>
      <c r="H910" s="26" t="inlineStr">
        <is>
          <t>Barangay 769</t>
        </is>
      </c>
      <c r="I910" s="27" t="n">
        <v>12.461656</v>
      </c>
      <c r="J910" s="27" t="n">
        <v>121.888906</v>
      </c>
      <c r="K910" s="10" t="inlineStr">
        <is>
          <t>U</t>
        </is>
      </c>
      <c r="L910" s="12" t="n">
        <v>2058</v>
      </c>
      <c r="M910" s="14" t="n">
        <v>3.9</v>
      </c>
      <c r="N910" s="12">
        <f>ROUND(L910/M910, 0)</f>
        <v/>
      </c>
      <c r="O910" s="12">
        <f>ROUND(N910*'Methodology &amp; Assumptions'!$B$5, 0)</f>
        <v/>
      </c>
      <c r="P910" s="10" t="inlineStr">
        <is>
          <t>Single Carrier (Band n50, 100MHz TDD)</t>
        </is>
      </c>
      <c r="Q910" s="13">
        <f>ROUNDUP(O910/'Methodology &amp; Assumptions'!$B$6, 0)</f>
        <v/>
      </c>
      <c r="R910" s="13" t="n">
        <v>1</v>
      </c>
      <c r="S910" s="14" t="n">
        <v>39.88</v>
      </c>
      <c r="T910" s="14" t="n">
        <v>21.93</v>
      </c>
      <c r="U910" s="26">
        <f>IF(X910&gt;='Methodology &amp; Assumptions'!$B$7, "Tier 1 Critical GIDA (Score ≥ 50.0)", IF(X910&gt;='Methodology &amp; Assumptions'!$B$8, "Tier 2 High GIDA (Score 40.0–49.9)", "Tier 3 Moderate GIDA (Score &lt; 40.0)"))</f>
        <v/>
      </c>
      <c r="V910" s="26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W910" s="28" t="n">
        <v>0.109</v>
      </c>
      <c r="X910" s="14" t="n">
        <v>49.43</v>
      </c>
      <c r="Y910" s="14">
        <f>ROUND(MIN(100, (X910/69.91)*100), 2)</f>
        <v/>
      </c>
    </row>
    <row r="911">
      <c r="A911" s="10" t="n">
        <v>2</v>
      </c>
      <c r="B911" s="10" t="n">
        <v>907</v>
      </c>
      <c r="C911" s="10" t="n">
        <v>1907</v>
      </c>
      <c r="D911" s="10" t="inlineStr">
        <is>
          <t>1403215006</t>
        </is>
      </c>
      <c r="E911" s="26" t="inlineStr">
        <is>
          <t>Cordillera Administrative Region (CAR)</t>
        </is>
      </c>
      <c r="F911" s="26" t="inlineStr">
        <is>
          <t>Kalinga</t>
        </is>
      </c>
      <c r="G911" s="26" t="inlineStr">
        <is>
          <t>Tinglayan</t>
        </is>
      </c>
      <c r="H911" s="26" t="inlineStr">
        <is>
          <t>Belong Manubal</t>
        </is>
      </c>
      <c r="I911" s="27" t="n">
        <v>17.29768</v>
      </c>
      <c r="J911" s="27" t="n">
        <v>121.13407</v>
      </c>
      <c r="K911" s="10" t="inlineStr">
        <is>
          <t>R</t>
        </is>
      </c>
      <c r="L911" s="12" t="n">
        <v>495</v>
      </c>
      <c r="M911" s="14" t="n">
        <v>4.3</v>
      </c>
      <c r="N911" s="12">
        <f>ROUND(L911/M911, 0)</f>
        <v/>
      </c>
      <c r="O911" s="12">
        <f>ROUND(N911*'Methodology &amp; Assumptions'!$B$5, 0)</f>
        <v/>
      </c>
      <c r="P911" s="10" t="inlineStr">
        <is>
          <t>Single Carrier (Band n50, 100MHz TDD)</t>
        </is>
      </c>
      <c r="Q911" s="13">
        <f>ROUNDUP(O911/'Methodology &amp; Assumptions'!$B$6, 0)</f>
        <v/>
      </c>
      <c r="R911" s="13" t="n">
        <v>1</v>
      </c>
      <c r="S911" s="14" t="n">
        <v>4.08</v>
      </c>
      <c r="T911" s="14" t="n">
        <v>2.44</v>
      </c>
      <c r="U911" s="26">
        <f>IF(X911&gt;='Methodology &amp; Assumptions'!$B$7, "Tier 1 Critical GIDA (Score ≥ 50.0)", IF(X911&gt;='Methodology &amp; Assumptions'!$B$8, "Tier 2 High GIDA (Score 40.0–49.9)", "Tier 3 Moderate GIDA (Score &lt; 40.0)"))</f>
        <v/>
      </c>
      <c r="V911" s="26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W911" s="28" t="n">
        <v>0.109</v>
      </c>
      <c r="X911" s="14" t="n">
        <v>49.43</v>
      </c>
      <c r="Y911" s="14">
        <f>ROUND(MIN(100, (X911/69.91)*100), 2)</f>
        <v/>
      </c>
    </row>
    <row r="912">
      <c r="A912" s="10" t="n">
        <v>2</v>
      </c>
      <c r="B912" s="10" t="n">
        <v>908</v>
      </c>
      <c r="C912" s="10" t="n">
        <v>1908</v>
      </c>
      <c r="D912" s="10" t="inlineStr">
        <is>
          <t>1380614007</t>
        </is>
      </c>
      <c r="E912" s="26" t="inlineStr">
        <is>
          <t>National Capital Region (NCR)</t>
        </is>
      </c>
      <c r="F912" s="26" t="inlineStr">
        <is>
          <t>First District (Not a Province)</t>
        </is>
      </c>
      <c r="G912" s="26" t="inlineStr">
        <is>
          <t>City of Manila</t>
        </is>
      </c>
      <c r="H912" s="26" t="inlineStr">
        <is>
          <t>Barangay 750</t>
        </is>
      </c>
      <c r="I912" s="27" t="n">
        <v>13.112964</v>
      </c>
      <c r="J912" s="27" t="n">
        <v>121.398399</v>
      </c>
      <c r="K912" s="10" t="inlineStr">
        <is>
          <t>U</t>
        </is>
      </c>
      <c r="L912" s="12" t="n">
        <v>1141</v>
      </c>
      <c r="M912" s="14" t="n">
        <v>3.9</v>
      </c>
      <c r="N912" s="12">
        <f>ROUND(L912/M912, 0)</f>
        <v/>
      </c>
      <c r="O912" s="12">
        <f>ROUND(N912*'Methodology &amp; Assumptions'!$B$5, 0)</f>
        <v/>
      </c>
      <c r="P912" s="10" t="inlineStr">
        <is>
          <t>Single Carrier (Band n50, 100MHz TDD)</t>
        </is>
      </c>
      <c r="Q912" s="13">
        <f>ROUNDUP(O912/'Methodology &amp; Assumptions'!$B$6, 0)</f>
        <v/>
      </c>
      <c r="R912" s="13" t="n">
        <v>1</v>
      </c>
      <c r="S912" s="14" t="n">
        <v>2.99</v>
      </c>
      <c r="T912" s="14" t="n">
        <v>4.78</v>
      </c>
      <c r="U912" s="26">
        <f>IF(X912&gt;='Methodology &amp; Assumptions'!$B$7, "Tier 1 Critical GIDA (Score ≥ 50.0)", IF(X912&gt;='Methodology &amp; Assumptions'!$B$8, "Tier 2 High GIDA (Score 40.0–49.9)", "Tier 3 Moderate GIDA (Score &lt; 40.0)"))</f>
        <v/>
      </c>
      <c r="V912" s="26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W912" s="28" t="n">
        <v>0.109</v>
      </c>
      <c r="X912" s="14" t="n">
        <v>49.43</v>
      </c>
      <c r="Y912" s="14">
        <f>ROUND(MIN(100, (X912/69.91)*100), 2)</f>
        <v/>
      </c>
    </row>
    <row r="913">
      <c r="A913" s="10" t="n">
        <v>2</v>
      </c>
      <c r="B913" s="10" t="n">
        <v>909</v>
      </c>
      <c r="C913" s="10" t="n">
        <v>1909</v>
      </c>
      <c r="D913" s="10" t="inlineStr">
        <is>
          <t>1380614082</t>
        </is>
      </c>
      <c r="E913" s="26" t="inlineStr">
        <is>
          <t>National Capital Region (NCR)</t>
        </is>
      </c>
      <c r="F913" s="26" t="inlineStr">
        <is>
          <t>First District (Not a Province)</t>
        </is>
      </c>
      <c r="G913" s="26" t="inlineStr">
        <is>
          <t>City of Manila</t>
        </is>
      </c>
      <c r="H913" s="26" t="inlineStr">
        <is>
          <t>Barangay 889</t>
        </is>
      </c>
      <c r="I913" s="27" t="n">
        <v>12.955322</v>
      </c>
      <c r="J913" s="27" t="n">
        <v>122.213943</v>
      </c>
      <c r="K913" s="10" t="inlineStr">
        <is>
          <t>U</t>
        </is>
      </c>
      <c r="L913" s="12" t="n">
        <v>890</v>
      </c>
      <c r="M913" s="14" t="n">
        <v>3.9</v>
      </c>
      <c r="N913" s="12">
        <f>ROUND(L913/M913, 0)</f>
        <v/>
      </c>
      <c r="O913" s="12">
        <f>ROUND(N913*'Methodology &amp; Assumptions'!$B$5, 0)</f>
        <v/>
      </c>
      <c r="P913" s="10" t="inlineStr">
        <is>
          <t>Single Carrier (Band n50, 100MHz TDD)</t>
        </is>
      </c>
      <c r="Q913" s="13">
        <f>ROUNDUP(O913/'Methodology &amp; Assumptions'!$B$6, 0)</f>
        <v/>
      </c>
      <c r="R913" s="13" t="n">
        <v>1</v>
      </c>
      <c r="S913" s="14" t="n">
        <v>54.57</v>
      </c>
      <c r="T913" s="14" t="n">
        <v>66.53</v>
      </c>
      <c r="U913" s="26">
        <f>IF(X913&gt;='Methodology &amp; Assumptions'!$B$7, "Tier 1 Critical GIDA (Score ≥ 50.0)", IF(X913&gt;='Methodology &amp; Assumptions'!$B$8, "Tier 2 High GIDA (Score 40.0–49.9)", "Tier 3 Moderate GIDA (Score &lt; 40.0)"))</f>
        <v/>
      </c>
      <c r="V913" s="26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W913" s="28" t="n">
        <v>0.109</v>
      </c>
      <c r="X913" s="14" t="n">
        <v>49.43</v>
      </c>
      <c r="Y913" s="14">
        <f>ROUND(MIN(100, (X913/69.91)*100), 2)</f>
        <v/>
      </c>
    </row>
    <row r="914">
      <c r="A914" s="10" t="n">
        <v>2</v>
      </c>
      <c r="B914" s="10" t="n">
        <v>910</v>
      </c>
      <c r="C914" s="10" t="n">
        <v>1910</v>
      </c>
      <c r="D914" s="10" t="inlineStr">
        <is>
          <t>1380601156</t>
        </is>
      </c>
      <c r="E914" s="26" t="inlineStr">
        <is>
          <t>National Capital Region (NCR)</t>
        </is>
      </c>
      <c r="F914" s="26" t="inlineStr">
        <is>
          <t>First District (Not a Province)</t>
        </is>
      </c>
      <c r="G914" s="26" t="inlineStr">
        <is>
          <t>City of Manila</t>
        </is>
      </c>
      <c r="H914" s="26" t="inlineStr">
        <is>
          <t>Barangay 156</t>
        </is>
      </c>
      <c r="I914" s="27" t="n">
        <v>12.533131</v>
      </c>
      <c r="J914" s="27" t="n">
        <v>121.501205</v>
      </c>
      <c r="K914" s="10" t="inlineStr">
        <is>
          <t>U</t>
        </is>
      </c>
      <c r="L914" s="12" t="n">
        <v>1664</v>
      </c>
      <c r="M914" s="14" t="n">
        <v>3.9</v>
      </c>
      <c r="N914" s="12">
        <f>ROUND(L914/M914, 0)</f>
        <v/>
      </c>
      <c r="O914" s="12">
        <f>ROUND(N914*'Methodology &amp; Assumptions'!$B$5, 0)</f>
        <v/>
      </c>
      <c r="P914" s="10" t="inlineStr">
        <is>
          <t>Single Carrier (Band n50, 100MHz TDD)</t>
        </is>
      </c>
      <c r="Q914" s="13">
        <f>ROUNDUP(O914/'Methodology &amp; Assumptions'!$B$6, 0)</f>
        <v/>
      </c>
      <c r="R914" s="13" t="n">
        <v>1</v>
      </c>
      <c r="S914" s="14" t="n">
        <v>6.88</v>
      </c>
      <c r="T914" s="14" t="n">
        <v>1.95</v>
      </c>
      <c r="U914" s="26">
        <f>IF(X914&gt;='Methodology &amp; Assumptions'!$B$7, "Tier 1 Critical GIDA (Score ≥ 50.0)", IF(X914&gt;='Methodology &amp; Assumptions'!$B$8, "Tier 2 High GIDA (Score 40.0–49.9)", "Tier 3 Moderate GIDA (Score &lt; 40.0)"))</f>
        <v/>
      </c>
      <c r="V914" s="26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W914" s="28" t="n">
        <v>0.109</v>
      </c>
      <c r="X914" s="14" t="n">
        <v>49.43</v>
      </c>
      <c r="Y914" s="14">
        <f>ROUND(MIN(100, (X914/69.91)*100), 2)</f>
        <v/>
      </c>
    </row>
    <row r="915">
      <c r="A915" s="10" t="n">
        <v>2</v>
      </c>
      <c r="B915" s="10" t="n">
        <v>911</v>
      </c>
      <c r="C915" s="10" t="n">
        <v>1911</v>
      </c>
      <c r="D915" s="10" t="inlineStr">
        <is>
          <t>1381100031</t>
        </is>
      </c>
      <c r="E915" s="26" t="inlineStr">
        <is>
          <t>National Capital Region (NCR)</t>
        </is>
      </c>
      <c r="F915" s="26" t="inlineStr">
        <is>
          <t>Fourth District (Not a Province)</t>
        </is>
      </c>
      <c r="G915" s="26" t="inlineStr">
        <is>
          <t>Pasay City</t>
        </is>
      </c>
      <c r="H915" s="26" t="inlineStr">
        <is>
          <t>Barangay 31</t>
        </is>
      </c>
      <c r="I915" s="27" t="n">
        <v>14.609558</v>
      </c>
      <c r="J915" s="27" t="n">
        <v>120.902441</v>
      </c>
      <c r="K915" s="10" t="inlineStr">
        <is>
          <t>U</t>
        </is>
      </c>
      <c r="L915" s="12" t="n">
        <v>3645</v>
      </c>
      <c r="M915" s="14" t="n">
        <v>3.4</v>
      </c>
      <c r="N915" s="12">
        <f>ROUND(L915/M915, 0)</f>
        <v/>
      </c>
      <c r="O915" s="12">
        <f>ROUND(N915*'Methodology &amp; Assumptions'!$B$5, 0)</f>
        <v/>
      </c>
      <c r="P915" s="10" t="inlineStr">
        <is>
          <t>Single Carrier (Band n50, 100MHz TDD)</t>
        </is>
      </c>
      <c r="Q915" s="13">
        <f>ROUNDUP(O915/'Methodology &amp; Assumptions'!$B$6, 0)</f>
        <v/>
      </c>
      <c r="R915" s="13" t="n">
        <v>1</v>
      </c>
      <c r="S915" s="14" t="n">
        <v>6.55</v>
      </c>
      <c r="T915" s="14" t="n">
        <v>6.67</v>
      </c>
      <c r="U915" s="26">
        <f>IF(X915&gt;='Methodology &amp; Assumptions'!$B$7, "Tier 1 Critical GIDA (Score ≥ 50.0)", IF(X915&gt;='Methodology &amp; Assumptions'!$B$8, "Tier 2 High GIDA (Score 40.0–49.9)", "Tier 3 Moderate GIDA (Score &lt; 40.0)"))</f>
        <v/>
      </c>
      <c r="V915" s="26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W915" s="28" t="n">
        <v>0.109</v>
      </c>
      <c r="X915" s="14" t="n">
        <v>49.42</v>
      </c>
      <c r="Y915" s="14">
        <f>ROUND(MIN(100, (X915/69.91)*100), 2)</f>
        <v/>
      </c>
    </row>
    <row r="916">
      <c r="A916" s="10" t="n">
        <v>2</v>
      </c>
      <c r="B916" s="10" t="n">
        <v>912</v>
      </c>
      <c r="C916" s="10" t="n">
        <v>1912</v>
      </c>
      <c r="D916" s="10" t="inlineStr">
        <is>
          <t>0402106068</t>
        </is>
      </c>
      <c r="E916" s="26" t="inlineStr">
        <is>
          <t>Region IV-A (CALABARZON)</t>
        </is>
      </c>
      <c r="F916" s="26" t="inlineStr">
        <is>
          <t>Cavite</t>
        </is>
      </c>
      <c r="G916" s="26" t="inlineStr">
        <is>
          <t>City of Dasmariñas</t>
        </is>
      </c>
      <c r="H916" s="26" t="inlineStr">
        <is>
          <t>San Antonio De Padua II</t>
        </is>
      </c>
      <c r="I916" s="27" t="n">
        <v>14.3113</v>
      </c>
      <c r="J916" s="27" t="n">
        <v>120.972146</v>
      </c>
      <c r="K916" s="10" t="inlineStr">
        <is>
          <t>R</t>
        </is>
      </c>
      <c r="L916" s="12" t="n">
        <v>3223</v>
      </c>
      <c r="M916" s="14" t="n">
        <v>3.4</v>
      </c>
      <c r="N916" s="12">
        <f>ROUND(L916/M916, 0)</f>
        <v/>
      </c>
      <c r="O916" s="12">
        <f>ROUND(N916*'Methodology &amp; Assumptions'!$B$5, 0)</f>
        <v/>
      </c>
      <c r="P916" s="10" t="inlineStr">
        <is>
          <t>Single Carrier (Band n50, 100MHz TDD)</t>
        </is>
      </c>
      <c r="Q916" s="13">
        <f>ROUNDUP(O916/'Methodology &amp; Assumptions'!$B$6, 0)</f>
        <v/>
      </c>
      <c r="R916" s="13" t="n">
        <v>1</v>
      </c>
      <c r="S916" s="14" t="n">
        <v>0.71</v>
      </c>
      <c r="T916" s="14" t="n">
        <v>2.02</v>
      </c>
      <c r="U916" s="26">
        <f>IF(X916&gt;='Methodology &amp; Assumptions'!$B$7, "Tier 1 Critical GIDA (Score ≥ 50.0)", IF(X916&gt;='Methodology &amp; Assumptions'!$B$8, "Tier 2 High GIDA (Score 40.0–49.9)", "Tier 3 Moderate GIDA (Score &lt; 40.0)"))</f>
        <v/>
      </c>
      <c r="V916" s="26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W916" s="28" t="n">
        <v>0.07200000000000001</v>
      </c>
      <c r="X916" s="14" t="n">
        <v>49.42</v>
      </c>
      <c r="Y916" s="14">
        <f>ROUND(MIN(100, (X916/69.91)*100), 2)</f>
        <v/>
      </c>
    </row>
    <row r="917">
      <c r="A917" s="10" t="n">
        <v>2</v>
      </c>
      <c r="B917" s="10" t="n">
        <v>913</v>
      </c>
      <c r="C917" s="10" t="n">
        <v>1913</v>
      </c>
      <c r="D917" s="10" t="inlineStr">
        <is>
          <t>1380612015</t>
        </is>
      </c>
      <c r="E917" s="26" t="inlineStr">
        <is>
          <t>National Capital Region (NCR)</t>
        </is>
      </c>
      <c r="F917" s="26" t="inlineStr">
        <is>
          <t>First District (Not a Province)</t>
        </is>
      </c>
      <c r="G917" s="26" t="inlineStr">
        <is>
          <t>City of Manila</t>
        </is>
      </c>
      <c r="H917" s="26" t="inlineStr">
        <is>
          <t>Barangay 847</t>
        </is>
      </c>
      <c r="I917" s="27" t="n">
        <v>13.316223</v>
      </c>
      <c r="J917" s="27" t="n">
        <v>121.734824</v>
      </c>
      <c r="K917" s="10" t="inlineStr">
        <is>
          <t>U</t>
        </is>
      </c>
      <c r="L917" s="12" t="n">
        <v>2971</v>
      </c>
      <c r="M917" s="14" t="n">
        <v>3.9</v>
      </c>
      <c r="N917" s="12">
        <f>ROUND(L917/M917, 0)</f>
        <v/>
      </c>
      <c r="O917" s="12">
        <f>ROUND(N917*'Methodology &amp; Assumptions'!$B$5, 0)</f>
        <v/>
      </c>
      <c r="P917" s="10" t="inlineStr">
        <is>
          <t>Single Carrier (Band n50, 100MHz TDD)</t>
        </is>
      </c>
      <c r="Q917" s="13">
        <f>ROUNDUP(O917/'Methodology &amp; Assumptions'!$B$6, 0)</f>
        <v/>
      </c>
      <c r="R917" s="13" t="n">
        <v>1</v>
      </c>
      <c r="S917" s="14" t="n">
        <v>37.35</v>
      </c>
      <c r="T917" s="14" t="n">
        <v>41.39</v>
      </c>
      <c r="U917" s="26">
        <f>IF(X917&gt;='Methodology &amp; Assumptions'!$B$7, "Tier 1 Critical GIDA (Score ≥ 50.0)", IF(X917&gt;='Methodology &amp; Assumptions'!$B$8, "Tier 2 High GIDA (Score 40.0–49.9)", "Tier 3 Moderate GIDA (Score &lt; 40.0)"))</f>
        <v/>
      </c>
      <c r="V917" s="26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W917" s="28" t="n">
        <v>0.109</v>
      </c>
      <c r="X917" s="14" t="n">
        <v>49.42</v>
      </c>
      <c r="Y917" s="14">
        <f>ROUND(MIN(100, (X917/69.91)*100), 2)</f>
        <v/>
      </c>
    </row>
    <row r="918">
      <c r="A918" s="10" t="n">
        <v>2</v>
      </c>
      <c r="B918" s="10" t="n">
        <v>914</v>
      </c>
      <c r="C918" s="10" t="n">
        <v>1914</v>
      </c>
      <c r="D918" s="10" t="inlineStr">
        <is>
          <t>1380603009</t>
        </is>
      </c>
      <c r="E918" s="26" t="inlineStr">
        <is>
          <t>National Capital Region (NCR)</t>
        </is>
      </c>
      <c r="F918" s="26" t="inlineStr">
        <is>
          <t>First District (Not a Province)</t>
        </is>
      </c>
      <c r="G918" s="26" t="inlineStr">
        <is>
          <t>City of Manila</t>
        </is>
      </c>
      <c r="H918" s="26" t="inlineStr">
        <is>
          <t>Barangay 389</t>
        </is>
      </c>
      <c r="I918" s="27" t="n">
        <v>12.582751</v>
      </c>
      <c r="J918" s="27" t="n">
        <v>122.106426</v>
      </c>
      <c r="K918" s="10" t="inlineStr">
        <is>
          <t>U</t>
        </is>
      </c>
      <c r="L918" s="12" t="n">
        <v>1210</v>
      </c>
      <c r="M918" s="14" t="n">
        <v>3.9</v>
      </c>
      <c r="N918" s="12">
        <f>ROUND(L918/M918, 0)</f>
        <v/>
      </c>
      <c r="O918" s="12">
        <f>ROUND(N918*'Methodology &amp; Assumptions'!$B$5, 0)</f>
        <v/>
      </c>
      <c r="P918" s="10" t="inlineStr">
        <is>
          <t>Single Carrier (Band n50, 100MHz TDD)</t>
        </is>
      </c>
      <c r="Q918" s="13">
        <f>ROUNDUP(O918/'Methodology &amp; Assumptions'!$B$6, 0)</f>
        <v/>
      </c>
      <c r="R918" s="13" t="n">
        <v>1</v>
      </c>
      <c r="S918" s="14" t="n">
        <v>60.24</v>
      </c>
      <c r="T918" s="14" t="n">
        <v>48.25</v>
      </c>
      <c r="U918" s="26">
        <f>IF(X918&gt;='Methodology &amp; Assumptions'!$B$7, "Tier 1 Critical GIDA (Score ≥ 50.0)", IF(X918&gt;='Methodology &amp; Assumptions'!$B$8, "Tier 2 High GIDA (Score 40.0–49.9)", "Tier 3 Moderate GIDA (Score &lt; 40.0)"))</f>
        <v/>
      </c>
      <c r="V918" s="26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W918" s="28" t="n">
        <v>0.109</v>
      </c>
      <c r="X918" s="14" t="n">
        <v>49.42</v>
      </c>
      <c r="Y918" s="14">
        <f>ROUND(MIN(100, (X918/69.91)*100), 2)</f>
        <v/>
      </c>
    </row>
    <row r="919">
      <c r="A919" s="10" t="n">
        <v>2</v>
      </c>
      <c r="B919" s="10" t="n">
        <v>915</v>
      </c>
      <c r="C919" s="10" t="n">
        <v>1915</v>
      </c>
      <c r="D919" s="10" t="inlineStr">
        <is>
          <t>1380606008</t>
        </is>
      </c>
      <c r="E919" s="26" t="inlineStr">
        <is>
          <t>National Capital Region (NCR)</t>
        </is>
      </c>
      <c r="F919" s="26" t="inlineStr">
        <is>
          <t>First District (Not a Province)</t>
        </is>
      </c>
      <c r="G919" s="26" t="inlineStr">
        <is>
          <t>City of Manila</t>
        </is>
      </c>
      <c r="H919" s="26" t="inlineStr">
        <is>
          <t>Barangay 402</t>
        </is>
      </c>
      <c r="I919" s="27" t="n">
        <v>13.178472</v>
      </c>
      <c r="J919" s="27" t="n">
        <v>122.108468</v>
      </c>
      <c r="K919" s="10" t="inlineStr">
        <is>
          <t>U</t>
        </is>
      </c>
      <c r="L919" s="12" t="n">
        <v>2842</v>
      </c>
      <c r="M919" s="14" t="n">
        <v>3.9</v>
      </c>
      <c r="N919" s="12">
        <f>ROUND(L919/M919, 0)</f>
        <v/>
      </c>
      <c r="O919" s="12">
        <f>ROUND(N919*'Methodology &amp; Assumptions'!$B$5, 0)</f>
        <v/>
      </c>
      <c r="P919" s="10" t="inlineStr">
        <is>
          <t>Single Carrier (Band n50, 100MHz TDD)</t>
        </is>
      </c>
      <c r="Q919" s="13">
        <f>ROUNDUP(O919/'Methodology &amp; Assumptions'!$B$6, 0)</f>
        <v/>
      </c>
      <c r="R919" s="13" t="n">
        <v>1</v>
      </c>
      <c r="S919" s="14" t="n">
        <v>48.17</v>
      </c>
      <c r="T919" s="14" t="n">
        <v>49.41</v>
      </c>
      <c r="U919" s="26">
        <f>IF(X919&gt;='Methodology &amp; Assumptions'!$B$7, "Tier 1 Critical GIDA (Score ≥ 50.0)", IF(X919&gt;='Methodology &amp; Assumptions'!$B$8, "Tier 2 High GIDA (Score 40.0–49.9)", "Tier 3 Moderate GIDA (Score &lt; 40.0)"))</f>
        <v/>
      </c>
      <c r="V919" s="26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W919" s="28" t="n">
        <v>0.109</v>
      </c>
      <c r="X919" s="14" t="n">
        <v>49.42</v>
      </c>
      <c r="Y919" s="14">
        <f>ROUND(MIN(100, (X919/69.91)*100), 2)</f>
        <v/>
      </c>
    </row>
    <row r="920">
      <c r="A920" s="10" t="n">
        <v>2</v>
      </c>
      <c r="B920" s="10" t="n">
        <v>916</v>
      </c>
      <c r="C920" s="10" t="n">
        <v>1916</v>
      </c>
      <c r="D920" s="10" t="inlineStr">
        <is>
          <t>1380606108</t>
        </is>
      </c>
      <c r="E920" s="26" t="inlineStr">
        <is>
          <t>National Capital Region (NCR)</t>
        </is>
      </c>
      <c r="F920" s="26" t="inlineStr">
        <is>
          <t>First District (Not a Province)</t>
        </is>
      </c>
      <c r="G920" s="26" t="inlineStr">
        <is>
          <t>City of Manila</t>
        </is>
      </c>
      <c r="H920" s="26" t="inlineStr">
        <is>
          <t>Barangay 502</t>
        </is>
      </c>
      <c r="I920" s="27" t="n">
        <v>12.437799</v>
      </c>
      <c r="J920" s="27" t="n">
        <v>121.734341</v>
      </c>
      <c r="K920" s="10" t="inlineStr">
        <is>
          <t>U</t>
        </is>
      </c>
      <c r="L920" s="12" t="n">
        <v>840</v>
      </c>
      <c r="M920" s="14" t="n">
        <v>3.9</v>
      </c>
      <c r="N920" s="12">
        <f>ROUND(L920/M920, 0)</f>
        <v/>
      </c>
      <c r="O920" s="12">
        <f>ROUND(N920*'Methodology &amp; Assumptions'!$B$5, 0)</f>
        <v/>
      </c>
      <c r="P920" s="10" t="inlineStr">
        <is>
          <t>Single Carrier (Band n50, 100MHz TDD)</t>
        </is>
      </c>
      <c r="Q920" s="13">
        <f>ROUNDUP(O920/'Methodology &amp; Assumptions'!$B$6, 0)</f>
        <v/>
      </c>
      <c r="R920" s="13" t="n">
        <v>1</v>
      </c>
      <c r="S920" s="14" t="n">
        <v>27.1</v>
      </c>
      <c r="T920" s="14" t="n">
        <v>4.95</v>
      </c>
      <c r="U920" s="26">
        <f>IF(X920&gt;='Methodology &amp; Assumptions'!$B$7, "Tier 1 Critical GIDA (Score ≥ 50.0)", IF(X920&gt;='Methodology &amp; Assumptions'!$B$8, "Tier 2 High GIDA (Score 40.0–49.9)", "Tier 3 Moderate GIDA (Score &lt; 40.0)"))</f>
        <v/>
      </c>
      <c r="V920" s="26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W920" s="28" t="n">
        <v>0.109</v>
      </c>
      <c r="X920" s="14" t="n">
        <v>49.41</v>
      </c>
      <c r="Y920" s="14">
        <f>ROUND(MIN(100, (X920/69.91)*100), 2)</f>
        <v/>
      </c>
    </row>
    <row r="921">
      <c r="A921" s="10" t="n">
        <v>2</v>
      </c>
      <c r="B921" s="10" t="n">
        <v>917</v>
      </c>
      <c r="C921" s="10" t="n">
        <v>1917</v>
      </c>
      <c r="D921" s="10" t="inlineStr">
        <is>
          <t>1380611045</t>
        </is>
      </c>
      <c r="E921" s="26" t="inlineStr">
        <is>
          <t>National Capital Region (NCR)</t>
        </is>
      </c>
      <c r="F921" s="26" t="inlineStr">
        <is>
          <t>First District (Not a Province)</t>
        </is>
      </c>
      <c r="G921" s="26" t="inlineStr">
        <is>
          <t>City of Manila</t>
        </is>
      </c>
      <c r="H921" s="26" t="inlineStr">
        <is>
          <t>Barangay 830</t>
        </is>
      </c>
      <c r="I921" s="27" t="n">
        <v>13.232693</v>
      </c>
      <c r="J921" s="27" t="n">
        <v>121.496148</v>
      </c>
      <c r="K921" s="10" t="inlineStr">
        <is>
          <t>U</t>
        </is>
      </c>
      <c r="L921" s="12" t="n">
        <v>5349</v>
      </c>
      <c r="M921" s="14" t="n">
        <v>3.9</v>
      </c>
      <c r="N921" s="12">
        <f>ROUND(L921/M921, 0)</f>
        <v/>
      </c>
      <c r="O921" s="12">
        <f>ROUND(N921*'Methodology &amp; Assumptions'!$B$5, 0)</f>
        <v/>
      </c>
      <c r="P921" s="10" t="inlineStr">
        <is>
          <t>Single Carrier (Band n50, 100MHz TDD)</t>
        </is>
      </c>
      <c r="Q921" s="13">
        <f>ROUNDUP(O921/'Methodology &amp; Assumptions'!$B$6, 0)</f>
        <v/>
      </c>
      <c r="R921" s="13" t="n">
        <v>1</v>
      </c>
      <c r="S921" s="14" t="n">
        <v>14.87</v>
      </c>
      <c r="T921" s="14" t="n">
        <v>20.82</v>
      </c>
      <c r="U921" s="26">
        <f>IF(X921&gt;='Methodology &amp; Assumptions'!$B$7, "Tier 1 Critical GIDA (Score ≥ 50.0)", IF(X921&gt;='Methodology &amp; Assumptions'!$B$8, "Tier 2 High GIDA (Score 40.0–49.9)", "Tier 3 Moderate GIDA (Score &lt; 40.0)"))</f>
        <v/>
      </c>
      <c r="V921" s="26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W921" s="28" t="n">
        <v>0.109</v>
      </c>
      <c r="X921" s="14" t="n">
        <v>49.41</v>
      </c>
      <c r="Y921" s="14">
        <f>ROUND(MIN(100, (X921/69.91)*100), 2)</f>
        <v/>
      </c>
    </row>
    <row r="922">
      <c r="A922" s="10" t="n">
        <v>2</v>
      </c>
      <c r="B922" s="10" t="n">
        <v>918</v>
      </c>
      <c r="C922" s="10" t="n">
        <v>1918</v>
      </c>
      <c r="D922" s="10" t="inlineStr">
        <is>
          <t>1380606194</t>
        </is>
      </c>
      <c r="E922" s="26" t="inlineStr">
        <is>
          <t>National Capital Region (NCR)</t>
        </is>
      </c>
      <c r="F922" s="26" t="inlineStr">
        <is>
          <t>First District (Not a Province)</t>
        </is>
      </c>
      <c r="G922" s="26" t="inlineStr">
        <is>
          <t>City of Manila</t>
        </is>
      </c>
      <c r="H922" s="26" t="inlineStr">
        <is>
          <t>Barangay 587-A</t>
        </is>
      </c>
      <c r="I922" s="27" t="n">
        <v>12.802203</v>
      </c>
      <c r="J922" s="27" t="n">
        <v>122.224851</v>
      </c>
      <c r="K922" s="10" t="inlineStr">
        <is>
          <t>U</t>
        </is>
      </c>
      <c r="L922" s="12" t="n">
        <v>1316</v>
      </c>
      <c r="M922" s="14" t="n">
        <v>3.9</v>
      </c>
      <c r="N922" s="12">
        <f>ROUND(L922/M922, 0)</f>
        <v/>
      </c>
      <c r="O922" s="12">
        <f>ROUND(N922*'Methodology &amp; Assumptions'!$B$5, 0)</f>
        <v/>
      </c>
      <c r="P922" s="10" t="inlineStr">
        <is>
          <t>Single Carrier (Band n50, 100MHz TDD)</t>
        </is>
      </c>
      <c r="Q922" s="13">
        <f>ROUNDUP(O922/'Methodology &amp; Assumptions'!$B$6, 0)</f>
        <v/>
      </c>
      <c r="R922" s="13" t="n">
        <v>1</v>
      </c>
      <c r="S922" s="14" t="n">
        <v>68.34</v>
      </c>
      <c r="T922" s="14" t="n">
        <v>70.89</v>
      </c>
      <c r="U922" s="26">
        <f>IF(X922&gt;='Methodology &amp; Assumptions'!$B$7, "Tier 1 Critical GIDA (Score ≥ 50.0)", IF(X922&gt;='Methodology &amp; Assumptions'!$B$8, "Tier 2 High GIDA (Score 40.0–49.9)", "Tier 3 Moderate GIDA (Score &lt; 40.0)"))</f>
        <v/>
      </c>
      <c r="V922" s="26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W922" s="28" t="n">
        <v>0.109</v>
      </c>
      <c r="X922" s="14" t="n">
        <v>49.41</v>
      </c>
      <c r="Y922" s="14">
        <f>ROUND(MIN(100, (X922/69.91)*100), 2)</f>
        <v/>
      </c>
    </row>
    <row r="923">
      <c r="A923" s="10" t="n">
        <v>2</v>
      </c>
      <c r="B923" s="10" t="n">
        <v>919</v>
      </c>
      <c r="C923" s="10" t="n">
        <v>1919</v>
      </c>
      <c r="D923" s="10" t="inlineStr">
        <is>
          <t>1400109004</t>
        </is>
      </c>
      <c r="E923" s="26" t="inlineStr">
        <is>
          <t>Cordillera Administrative Region (CAR)</t>
        </is>
      </c>
      <c r="F923" s="26" t="inlineStr">
        <is>
          <t>Abra</t>
        </is>
      </c>
      <c r="G923" s="26" t="inlineStr">
        <is>
          <t>Lacub</t>
        </is>
      </c>
      <c r="H923" s="26" t="inlineStr">
        <is>
          <t>Lan-ag</t>
        </is>
      </c>
      <c r="I923" s="27" t="n">
        <v>17.736832</v>
      </c>
      <c r="J923" s="27" t="n">
        <v>120.893819</v>
      </c>
      <c r="K923" s="10" t="inlineStr">
        <is>
          <t>R</t>
        </is>
      </c>
      <c r="L923" s="12" t="n">
        <v>433</v>
      </c>
      <c r="M923" s="14" t="n">
        <v>3.8</v>
      </c>
      <c r="N923" s="12">
        <f>ROUND(L923/M923, 0)</f>
        <v/>
      </c>
      <c r="O923" s="12">
        <f>ROUND(N923*'Methodology &amp; Assumptions'!$B$5, 0)</f>
        <v/>
      </c>
      <c r="P923" s="10" t="inlineStr">
        <is>
          <t>Single Carrier (Band n50, 100MHz TDD)</t>
        </is>
      </c>
      <c r="Q923" s="13">
        <f>ROUNDUP(O923/'Methodology &amp; Assumptions'!$B$6, 0)</f>
        <v/>
      </c>
      <c r="R923" s="13" t="n">
        <v>1</v>
      </c>
      <c r="S923" s="14" t="n">
        <v>25.49</v>
      </c>
      <c r="T923" s="14" t="n">
        <v>23.17</v>
      </c>
      <c r="U923" s="26">
        <f>IF(X923&gt;='Methodology &amp; Assumptions'!$B$7, "Tier 1 Critical GIDA (Score ≥ 50.0)", IF(X923&gt;='Methodology &amp; Assumptions'!$B$8, "Tier 2 High GIDA (Score 40.0–49.9)", "Tier 3 Moderate GIDA (Score &lt; 40.0)"))</f>
        <v/>
      </c>
      <c r="V923" s="26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W923" s="28" t="n">
        <v>0.109</v>
      </c>
      <c r="X923" s="14" t="n">
        <v>49.4</v>
      </c>
      <c r="Y923" s="14">
        <f>ROUND(MIN(100, (X923/69.91)*100), 2)</f>
        <v/>
      </c>
    </row>
    <row r="924">
      <c r="A924" s="10" t="n">
        <v>2</v>
      </c>
      <c r="B924" s="10" t="n">
        <v>920</v>
      </c>
      <c r="C924" s="10" t="n">
        <v>1920</v>
      </c>
      <c r="D924" s="10" t="inlineStr">
        <is>
          <t>0402103045</t>
        </is>
      </c>
      <c r="E924" s="26" t="inlineStr">
        <is>
          <t>Region IV-A (CALABARZON)</t>
        </is>
      </c>
      <c r="F924" s="26" t="inlineStr">
        <is>
          <t>Cavite</t>
        </is>
      </c>
      <c r="G924" s="26" t="inlineStr">
        <is>
          <t>City of Bacoor</t>
        </is>
      </c>
      <c r="H924" s="26" t="inlineStr">
        <is>
          <t>Molino II</t>
        </is>
      </c>
      <c r="I924" s="27" t="n">
        <v>14.34232</v>
      </c>
      <c r="J924" s="27" t="n">
        <v>120.770248</v>
      </c>
      <c r="K924" s="10" t="inlineStr">
        <is>
          <t>U</t>
        </is>
      </c>
      <c r="L924" s="12" t="n">
        <v>44630</v>
      </c>
      <c r="M924" s="14" t="n">
        <v>3.4</v>
      </c>
      <c r="N924" s="12">
        <f>ROUND(L924/M924, 0)</f>
        <v/>
      </c>
      <c r="O924" s="12">
        <f>ROUND(N924*'Methodology &amp; Assumptions'!$B$5, 0)</f>
        <v/>
      </c>
      <c r="P924" s="10" t="inlineStr">
        <is>
          <t>Single Carrier (Band n50, 100MHz TDD)</t>
        </is>
      </c>
      <c r="Q924" s="13">
        <f>ROUNDUP(O924/'Methodology &amp; Assumptions'!$B$6, 0)</f>
        <v/>
      </c>
      <c r="R924" s="13" t="n">
        <v>1</v>
      </c>
      <c r="S924" s="14" t="n">
        <v>2.3</v>
      </c>
      <c r="T924" s="14" t="n">
        <v>1.72</v>
      </c>
      <c r="U924" s="26">
        <f>IF(X924&gt;='Methodology &amp; Assumptions'!$B$7, "Tier 1 Critical GIDA (Score ≥ 50.0)", IF(X924&gt;='Methodology &amp; Assumptions'!$B$8, "Tier 2 High GIDA (Score 40.0–49.9)", "Tier 3 Moderate GIDA (Score &lt; 40.0)"))</f>
        <v/>
      </c>
      <c r="V924" s="26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W924" s="28" t="n">
        <v>0.07200000000000001</v>
      </c>
      <c r="X924" s="14" t="n">
        <v>49.4</v>
      </c>
      <c r="Y924" s="14">
        <f>ROUND(MIN(100, (X924/69.91)*100), 2)</f>
        <v/>
      </c>
    </row>
    <row r="925">
      <c r="A925" s="10" t="n">
        <v>2</v>
      </c>
      <c r="B925" s="10" t="n">
        <v>921</v>
      </c>
      <c r="C925" s="10" t="n">
        <v>1921</v>
      </c>
      <c r="D925" s="10" t="inlineStr">
        <is>
          <t>0402106035</t>
        </is>
      </c>
      <c r="E925" s="26" t="inlineStr">
        <is>
          <t>Region IV-A (CALABARZON)</t>
        </is>
      </c>
      <c r="F925" s="26" t="inlineStr">
        <is>
          <t>Cavite</t>
        </is>
      </c>
      <c r="G925" s="26" t="inlineStr">
        <is>
          <t>City of Dasmariñas</t>
        </is>
      </c>
      <c r="H925" s="26" t="inlineStr">
        <is>
          <t>San Mateo</t>
        </is>
      </c>
      <c r="I925" s="27" t="n">
        <v>14.308303</v>
      </c>
      <c r="J925" s="27" t="n">
        <v>120.948543</v>
      </c>
      <c r="K925" s="10" t="inlineStr">
        <is>
          <t>R</t>
        </is>
      </c>
      <c r="L925" s="12" t="n">
        <v>5211</v>
      </c>
      <c r="M925" s="14" t="n">
        <v>3.4</v>
      </c>
      <c r="N925" s="12">
        <f>ROUND(L925/M925, 0)</f>
        <v/>
      </c>
      <c r="O925" s="12">
        <f>ROUND(N925*'Methodology &amp; Assumptions'!$B$5, 0)</f>
        <v/>
      </c>
      <c r="P925" s="10" t="inlineStr">
        <is>
          <t>Single Carrier (Band n50, 100MHz TDD)</t>
        </is>
      </c>
      <c r="Q925" s="13">
        <f>ROUNDUP(O925/'Methodology &amp; Assumptions'!$B$6, 0)</f>
        <v/>
      </c>
      <c r="R925" s="13" t="n">
        <v>1</v>
      </c>
      <c r="S925" s="14" t="n">
        <v>1.43</v>
      </c>
      <c r="T925" s="14" t="n">
        <v>0.91</v>
      </c>
      <c r="U925" s="26">
        <f>IF(X925&gt;='Methodology &amp; Assumptions'!$B$7, "Tier 1 Critical GIDA (Score ≥ 50.0)", IF(X925&gt;='Methodology &amp; Assumptions'!$B$8, "Tier 2 High GIDA (Score 40.0–49.9)", "Tier 3 Moderate GIDA (Score &lt; 40.0)"))</f>
        <v/>
      </c>
      <c r="V925" s="26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W925" s="28" t="n">
        <v>0.07200000000000001</v>
      </c>
      <c r="X925" s="14" t="n">
        <v>49.4</v>
      </c>
      <c r="Y925" s="14">
        <f>ROUND(MIN(100, (X925/69.91)*100), 2)</f>
        <v/>
      </c>
    </row>
    <row r="926">
      <c r="A926" s="10" t="n">
        <v>2</v>
      </c>
      <c r="B926" s="10" t="n">
        <v>922</v>
      </c>
      <c r="C926" s="10" t="n">
        <v>1922</v>
      </c>
      <c r="D926" s="10" t="inlineStr">
        <is>
          <t>1380601263</t>
        </is>
      </c>
      <c r="E926" s="26" t="inlineStr">
        <is>
          <t>National Capital Region (NCR)</t>
        </is>
      </c>
      <c r="F926" s="26" t="inlineStr">
        <is>
          <t>First District (Not a Province)</t>
        </is>
      </c>
      <c r="G926" s="26" t="inlineStr">
        <is>
          <t>City of Manila</t>
        </is>
      </c>
      <c r="H926" s="26" t="inlineStr">
        <is>
          <t>Barangay 262</t>
        </is>
      </c>
      <c r="I926" s="27" t="n">
        <v>12.639184</v>
      </c>
      <c r="J926" s="27" t="n">
        <v>121.386722</v>
      </c>
      <c r="K926" s="10" t="inlineStr">
        <is>
          <t>U</t>
        </is>
      </c>
      <c r="L926" s="12" t="n">
        <v>1789</v>
      </c>
      <c r="M926" s="14" t="n">
        <v>3.9</v>
      </c>
      <c r="N926" s="12">
        <f>ROUND(L926/M926, 0)</f>
        <v/>
      </c>
      <c r="O926" s="12">
        <f>ROUND(N926*'Methodology &amp; Assumptions'!$B$5, 0)</f>
        <v/>
      </c>
      <c r="P926" s="10" t="inlineStr">
        <is>
          <t>Single Carrier (Band n50, 100MHz TDD)</t>
        </is>
      </c>
      <c r="Q926" s="13">
        <f>ROUNDUP(O926/'Methodology &amp; Assumptions'!$B$6, 0)</f>
        <v/>
      </c>
      <c r="R926" s="13" t="n">
        <v>1</v>
      </c>
      <c r="S926" s="14" t="n">
        <v>14.35</v>
      </c>
      <c r="T926" s="14" t="n">
        <v>10.63</v>
      </c>
      <c r="U926" s="26">
        <f>IF(X926&gt;='Methodology &amp; Assumptions'!$B$7, "Tier 1 Critical GIDA (Score ≥ 50.0)", IF(X926&gt;='Methodology &amp; Assumptions'!$B$8, "Tier 2 High GIDA (Score 40.0–49.9)", "Tier 3 Moderate GIDA (Score &lt; 40.0)"))</f>
        <v/>
      </c>
      <c r="V926" s="26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W926" s="28" t="n">
        <v>0.109</v>
      </c>
      <c r="X926" s="14" t="n">
        <v>49.4</v>
      </c>
      <c r="Y926" s="14">
        <f>ROUND(MIN(100, (X926/69.91)*100), 2)</f>
        <v/>
      </c>
    </row>
    <row r="927">
      <c r="A927" s="10" t="n">
        <v>2</v>
      </c>
      <c r="B927" s="10" t="n">
        <v>923</v>
      </c>
      <c r="C927" s="10" t="n">
        <v>1923</v>
      </c>
      <c r="D927" s="10" t="inlineStr">
        <is>
          <t>1380612012</t>
        </is>
      </c>
      <c r="E927" s="26" t="inlineStr">
        <is>
          <t>National Capital Region (NCR)</t>
        </is>
      </c>
      <c r="F927" s="26" t="inlineStr">
        <is>
          <t>First District (Not a Province)</t>
        </is>
      </c>
      <c r="G927" s="26" t="inlineStr">
        <is>
          <t>City of Manila</t>
        </is>
      </c>
      <c r="H927" s="26" t="inlineStr">
        <is>
          <t>Barangay 844</t>
        </is>
      </c>
      <c r="I927" s="27" t="n">
        <v>13.313388</v>
      </c>
      <c r="J927" s="27" t="n">
        <v>121.893206</v>
      </c>
      <c r="K927" s="10" t="inlineStr">
        <is>
          <t>U</t>
        </is>
      </c>
      <c r="L927" s="12" t="n">
        <v>3606</v>
      </c>
      <c r="M927" s="14" t="n">
        <v>3.9</v>
      </c>
      <c r="N927" s="12">
        <f>ROUND(L927/M927, 0)</f>
        <v/>
      </c>
      <c r="O927" s="12">
        <f>ROUND(N927*'Methodology &amp; Assumptions'!$B$5, 0)</f>
        <v/>
      </c>
      <c r="P927" s="10" t="inlineStr">
        <is>
          <t>Single Carrier (Band n50, 100MHz TDD)</t>
        </is>
      </c>
      <c r="Q927" s="13">
        <f>ROUNDUP(O927/'Methodology &amp; Assumptions'!$B$6, 0)</f>
        <v/>
      </c>
      <c r="R927" s="13" t="n">
        <v>1</v>
      </c>
      <c r="S927" s="14" t="n">
        <v>50.18</v>
      </c>
      <c r="T927" s="14" t="n">
        <v>50.87</v>
      </c>
      <c r="U927" s="26">
        <f>IF(X927&gt;='Methodology &amp; Assumptions'!$B$7, "Tier 1 Critical GIDA (Score ≥ 50.0)", IF(X927&gt;='Methodology &amp; Assumptions'!$B$8, "Tier 2 High GIDA (Score 40.0–49.9)", "Tier 3 Moderate GIDA (Score &lt; 40.0)"))</f>
        <v/>
      </c>
      <c r="V927" s="26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W927" s="28" t="n">
        <v>0.109</v>
      </c>
      <c r="X927" s="14" t="n">
        <v>49.4</v>
      </c>
      <c r="Y927" s="14">
        <f>ROUND(MIN(100, (X927/69.91)*100), 2)</f>
        <v/>
      </c>
    </row>
    <row r="928">
      <c r="A928" s="10" t="n">
        <v>2</v>
      </c>
      <c r="B928" s="10" t="n">
        <v>924</v>
      </c>
      <c r="C928" s="10" t="n">
        <v>1924</v>
      </c>
      <c r="D928" s="10" t="inlineStr">
        <is>
          <t>1380606041</t>
        </is>
      </c>
      <c r="E928" s="26" t="inlineStr">
        <is>
          <t>National Capital Region (NCR)</t>
        </is>
      </c>
      <c r="F928" s="26" t="inlineStr">
        <is>
          <t>First District (Not a Province)</t>
        </is>
      </c>
      <c r="G928" s="26" t="inlineStr">
        <is>
          <t>City of Manila</t>
        </is>
      </c>
      <c r="H928" s="26" t="inlineStr">
        <is>
          <t>Barangay 435</t>
        </is>
      </c>
      <c r="I928" s="27" t="n">
        <v>12.480246</v>
      </c>
      <c r="J928" s="27" t="n">
        <v>121.987309</v>
      </c>
      <c r="K928" s="10" t="inlineStr">
        <is>
          <t>U</t>
        </is>
      </c>
      <c r="L928" s="12" t="n">
        <v>610</v>
      </c>
      <c r="M928" s="14" t="n">
        <v>3.9</v>
      </c>
      <c r="N928" s="12">
        <f>ROUND(L928/M928, 0)</f>
        <v/>
      </c>
      <c r="O928" s="12">
        <f>ROUND(N928*'Methodology &amp; Assumptions'!$B$5, 0)</f>
        <v/>
      </c>
      <c r="P928" s="10" t="inlineStr">
        <is>
          <t>Single Carrier (Band n50, 100MHz TDD)</t>
        </is>
      </c>
      <c r="Q928" s="13">
        <f>ROUNDUP(O928/'Methodology &amp; Assumptions'!$B$6, 0)</f>
        <v/>
      </c>
      <c r="R928" s="13" t="n">
        <v>1</v>
      </c>
      <c r="S928" s="14" t="n">
        <v>49.24</v>
      </c>
      <c r="T928" s="14" t="n">
        <v>32.8</v>
      </c>
      <c r="U928" s="26">
        <f>IF(X928&gt;='Methodology &amp; Assumptions'!$B$7, "Tier 1 Critical GIDA (Score ≥ 50.0)", IF(X928&gt;='Methodology &amp; Assumptions'!$B$8, "Tier 2 High GIDA (Score 40.0–49.9)", "Tier 3 Moderate GIDA (Score &lt; 40.0)"))</f>
        <v/>
      </c>
      <c r="V928" s="26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W928" s="28" t="n">
        <v>0.109</v>
      </c>
      <c r="X928" s="14" t="n">
        <v>49.4</v>
      </c>
      <c r="Y928" s="14">
        <f>ROUND(MIN(100, (X928/69.91)*100), 2)</f>
        <v/>
      </c>
    </row>
    <row r="929">
      <c r="A929" s="10" t="n">
        <v>2</v>
      </c>
      <c r="B929" s="10" t="n">
        <v>925</v>
      </c>
      <c r="C929" s="10" t="n">
        <v>1925</v>
      </c>
      <c r="D929" s="10" t="inlineStr">
        <is>
          <t>1380606123</t>
        </is>
      </c>
      <c r="E929" s="26" t="inlineStr">
        <is>
          <t>National Capital Region (NCR)</t>
        </is>
      </c>
      <c r="F929" s="26" t="inlineStr">
        <is>
          <t>First District (Not a Province)</t>
        </is>
      </c>
      <c r="G929" s="26" t="inlineStr">
        <is>
          <t>City of Manila</t>
        </is>
      </c>
      <c r="H929" s="26" t="inlineStr">
        <is>
          <t>Barangay 517</t>
        </is>
      </c>
      <c r="I929" s="27" t="n">
        <v>13.034186</v>
      </c>
      <c r="J929" s="27" t="n">
        <v>121.338599</v>
      </c>
      <c r="K929" s="10" t="inlineStr">
        <is>
          <t>U</t>
        </is>
      </c>
      <c r="L929" s="12" t="n">
        <v>1060</v>
      </c>
      <c r="M929" s="14" t="n">
        <v>3.9</v>
      </c>
      <c r="N929" s="12">
        <f>ROUND(L929/M929, 0)</f>
        <v/>
      </c>
      <c r="O929" s="12">
        <f>ROUND(N929*'Methodology &amp; Assumptions'!$B$5, 0)</f>
        <v/>
      </c>
      <c r="P929" s="10" t="inlineStr">
        <is>
          <t>Single Carrier (Band n50, 100MHz TDD)</t>
        </is>
      </c>
      <c r="Q929" s="13">
        <f>ROUNDUP(O929/'Methodology &amp; Assumptions'!$B$6, 0)</f>
        <v/>
      </c>
      <c r="R929" s="13" t="n">
        <v>1</v>
      </c>
      <c r="S929" s="14" t="n">
        <v>7.54</v>
      </c>
      <c r="T929" s="14" t="n">
        <v>5.29</v>
      </c>
      <c r="U929" s="26">
        <f>IF(X929&gt;='Methodology &amp; Assumptions'!$B$7, "Tier 1 Critical GIDA (Score ≥ 50.0)", IF(X929&gt;='Methodology &amp; Assumptions'!$B$8, "Tier 2 High GIDA (Score 40.0–49.9)", "Tier 3 Moderate GIDA (Score &lt; 40.0)"))</f>
        <v/>
      </c>
      <c r="V929" s="26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W929" s="28" t="n">
        <v>0.109</v>
      </c>
      <c r="X929" s="14" t="n">
        <v>49.4</v>
      </c>
      <c r="Y929" s="14">
        <f>ROUND(MIN(100, (X929/69.91)*100), 2)</f>
        <v/>
      </c>
    </row>
    <row r="930">
      <c r="A930" s="10" t="n">
        <v>2</v>
      </c>
      <c r="B930" s="10" t="n">
        <v>926</v>
      </c>
      <c r="C930" s="10" t="n">
        <v>1926</v>
      </c>
      <c r="D930" s="10" t="inlineStr">
        <is>
          <t>1380611019</t>
        </is>
      </c>
      <c r="E930" s="26" t="inlineStr">
        <is>
          <t>National Capital Region (NCR)</t>
        </is>
      </c>
      <c r="F930" s="26" t="inlineStr">
        <is>
          <t>First District (Not a Province)</t>
        </is>
      </c>
      <c r="G930" s="26" t="inlineStr">
        <is>
          <t>City of Manila</t>
        </is>
      </c>
      <c r="H930" s="26" t="inlineStr">
        <is>
          <t>Barangay 685</t>
        </is>
      </c>
      <c r="I930" s="27" t="n">
        <v>13.053069</v>
      </c>
      <c r="J930" s="27" t="n">
        <v>122.203353</v>
      </c>
      <c r="K930" s="10" t="inlineStr">
        <is>
          <t>U</t>
        </is>
      </c>
      <c r="L930" s="12" t="n">
        <v>1076</v>
      </c>
      <c r="M930" s="14" t="n">
        <v>3.9</v>
      </c>
      <c r="N930" s="12">
        <f>ROUND(L930/M930, 0)</f>
        <v/>
      </c>
      <c r="O930" s="12">
        <f>ROUND(N930*'Methodology &amp; Assumptions'!$B$5, 0)</f>
        <v/>
      </c>
      <c r="P930" s="10" t="inlineStr">
        <is>
          <t>Single Carrier (Band n50, 100MHz TDD)</t>
        </is>
      </c>
      <c r="Q930" s="13">
        <f>ROUNDUP(O930/'Methodology &amp; Assumptions'!$B$6, 0)</f>
        <v/>
      </c>
      <c r="R930" s="13" t="n">
        <v>1</v>
      </c>
      <c r="S930" s="14" t="n">
        <v>47.2</v>
      </c>
      <c r="T930" s="14" t="n">
        <v>56.64</v>
      </c>
      <c r="U930" s="26">
        <f>IF(X930&gt;='Methodology &amp; Assumptions'!$B$7, "Tier 1 Critical GIDA (Score ≥ 50.0)", IF(X930&gt;='Methodology &amp; Assumptions'!$B$8, "Tier 2 High GIDA (Score 40.0–49.9)", "Tier 3 Moderate GIDA (Score &lt; 40.0)"))</f>
        <v/>
      </c>
      <c r="V930" s="26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W930" s="28" t="n">
        <v>0.109</v>
      </c>
      <c r="X930" s="14" t="n">
        <v>49.4</v>
      </c>
      <c r="Y930" s="14">
        <f>ROUND(MIN(100, (X930/69.91)*100), 2)</f>
        <v/>
      </c>
    </row>
    <row r="931">
      <c r="A931" s="10" t="n">
        <v>2</v>
      </c>
      <c r="B931" s="10" t="n">
        <v>927</v>
      </c>
      <c r="C931" s="10" t="n">
        <v>1927</v>
      </c>
      <c r="D931" s="10" t="inlineStr">
        <is>
          <t>1380602006</t>
        </is>
      </c>
      <c r="E931" s="26" t="inlineStr">
        <is>
          <t>National Capital Region (NCR)</t>
        </is>
      </c>
      <c r="F931" s="26" t="inlineStr">
        <is>
          <t>First District (Not a Province)</t>
        </is>
      </c>
      <c r="G931" s="26" t="inlineStr">
        <is>
          <t>City of Manila</t>
        </is>
      </c>
      <c r="H931" s="26" t="inlineStr">
        <is>
          <t>Barangay 292</t>
        </is>
      </c>
      <c r="I931" s="27" t="n">
        <v>12.467886</v>
      </c>
      <c r="J931" s="27" t="n">
        <v>121.577012</v>
      </c>
      <c r="K931" s="10" t="inlineStr">
        <is>
          <t>U</t>
        </is>
      </c>
      <c r="L931" s="12" t="n">
        <v>2932</v>
      </c>
      <c r="M931" s="14" t="n">
        <v>3.9</v>
      </c>
      <c r="N931" s="12">
        <f>ROUND(L931/M931, 0)</f>
        <v/>
      </c>
      <c r="O931" s="12">
        <f>ROUND(N931*'Methodology &amp; Assumptions'!$B$5, 0)</f>
        <v/>
      </c>
      <c r="P931" s="10" t="inlineStr">
        <is>
          <t>Single Carrier (Band n50, 100MHz TDD)</t>
        </is>
      </c>
      <c r="Q931" s="13">
        <f>ROUNDUP(O931/'Methodology &amp; Assumptions'!$B$6, 0)</f>
        <v/>
      </c>
      <c r="R931" s="13" t="n">
        <v>1</v>
      </c>
      <c r="S931" s="14" t="n">
        <v>15.38</v>
      </c>
      <c r="T931" s="14" t="n">
        <v>5.98</v>
      </c>
      <c r="U931" s="26">
        <f>IF(X931&gt;='Methodology &amp; Assumptions'!$B$7, "Tier 1 Critical GIDA (Score ≥ 50.0)", IF(X931&gt;='Methodology &amp; Assumptions'!$B$8, "Tier 2 High GIDA (Score 40.0–49.9)", "Tier 3 Moderate GIDA (Score &lt; 40.0)"))</f>
        <v/>
      </c>
      <c r="V931" s="26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W931" s="28" t="n">
        <v>0.109</v>
      </c>
      <c r="X931" s="14" t="n">
        <v>49.4</v>
      </c>
      <c r="Y931" s="14">
        <f>ROUND(MIN(100, (X931/69.91)*100), 2)</f>
        <v/>
      </c>
    </row>
    <row r="932">
      <c r="A932" s="10" t="n">
        <v>2</v>
      </c>
      <c r="B932" s="10" t="n">
        <v>928</v>
      </c>
      <c r="C932" s="10" t="n">
        <v>1928</v>
      </c>
      <c r="D932" s="10" t="inlineStr">
        <is>
          <t>1380606026</t>
        </is>
      </c>
      <c r="E932" s="26" t="inlineStr">
        <is>
          <t>National Capital Region (NCR)</t>
        </is>
      </c>
      <c r="F932" s="26" t="inlineStr">
        <is>
          <t>First District (Not a Province)</t>
        </is>
      </c>
      <c r="G932" s="26" t="inlineStr">
        <is>
          <t>City of Manila</t>
        </is>
      </c>
      <c r="H932" s="26" t="inlineStr">
        <is>
          <t>Barangay 420</t>
        </is>
      </c>
      <c r="I932" s="27" t="n">
        <v>13.314343</v>
      </c>
      <c r="J932" s="27" t="n">
        <v>121.633421</v>
      </c>
      <c r="K932" s="10" t="inlineStr">
        <is>
          <t>U</t>
        </is>
      </c>
      <c r="L932" s="12" t="n">
        <v>3229</v>
      </c>
      <c r="M932" s="14" t="n">
        <v>3.9</v>
      </c>
      <c r="N932" s="12">
        <f>ROUND(L932/M932, 0)</f>
        <v/>
      </c>
      <c r="O932" s="12">
        <f>ROUND(N932*'Methodology &amp; Assumptions'!$B$5, 0)</f>
        <v/>
      </c>
      <c r="P932" s="10" t="inlineStr">
        <is>
          <t>Single Carrier (Band n50, 100MHz TDD)</t>
        </is>
      </c>
      <c r="Q932" s="13">
        <f>ROUNDUP(O932/'Methodology &amp; Assumptions'!$B$6, 0)</f>
        <v/>
      </c>
      <c r="R932" s="13" t="n">
        <v>1</v>
      </c>
      <c r="S932" s="14" t="n">
        <v>31</v>
      </c>
      <c r="T932" s="14" t="n">
        <v>34.84</v>
      </c>
      <c r="U932" s="26">
        <f>IF(X932&gt;='Methodology &amp; Assumptions'!$B$7, "Tier 1 Critical GIDA (Score ≥ 50.0)", IF(X932&gt;='Methodology &amp; Assumptions'!$B$8, "Tier 2 High GIDA (Score 40.0–49.9)", "Tier 3 Moderate GIDA (Score &lt; 40.0)"))</f>
        <v/>
      </c>
      <c r="V932" s="26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W932" s="28" t="n">
        <v>0.109</v>
      </c>
      <c r="X932" s="14" t="n">
        <v>49.4</v>
      </c>
      <c r="Y932" s="14">
        <f>ROUND(MIN(100, (X932/69.91)*100), 2)</f>
        <v/>
      </c>
    </row>
    <row r="933">
      <c r="A933" s="10" t="n">
        <v>2</v>
      </c>
      <c r="B933" s="10" t="n">
        <v>929</v>
      </c>
      <c r="C933" s="10" t="n">
        <v>1929</v>
      </c>
      <c r="D933" s="10" t="inlineStr">
        <is>
          <t>1380612020</t>
        </is>
      </c>
      <c r="E933" s="26" t="inlineStr">
        <is>
          <t>National Capital Region (NCR)</t>
        </is>
      </c>
      <c r="F933" s="26" t="inlineStr">
        <is>
          <t>First District (Not a Province)</t>
        </is>
      </c>
      <c r="G933" s="26" t="inlineStr">
        <is>
          <t>City of Manila</t>
        </is>
      </c>
      <c r="H933" s="26" t="inlineStr">
        <is>
          <t>Barangay 852</t>
        </is>
      </c>
      <c r="I933" s="27" t="n">
        <v>12.651157</v>
      </c>
      <c r="J933" s="27" t="n">
        <v>122.180064</v>
      </c>
      <c r="K933" s="10" t="inlineStr">
        <is>
          <t>U</t>
        </is>
      </c>
      <c r="L933" s="12" t="n">
        <v>1152</v>
      </c>
      <c r="M933" s="14" t="n">
        <v>3.9</v>
      </c>
      <c r="N933" s="12">
        <f>ROUND(L933/M933, 0)</f>
        <v/>
      </c>
      <c r="O933" s="12">
        <f>ROUND(N933*'Methodology &amp; Assumptions'!$B$5, 0)</f>
        <v/>
      </c>
      <c r="P933" s="10" t="inlineStr">
        <is>
          <t>Single Carrier (Band n50, 100MHz TDD)</t>
        </is>
      </c>
      <c r="Q933" s="13">
        <f>ROUNDUP(O933/'Methodology &amp; Assumptions'!$B$6, 0)</f>
        <v/>
      </c>
      <c r="R933" s="13" t="n">
        <v>1</v>
      </c>
      <c r="S933" s="14" t="n">
        <v>68.38</v>
      </c>
      <c r="T933" s="14" t="n">
        <v>58.52</v>
      </c>
      <c r="U933" s="26">
        <f>IF(X933&gt;='Methodology &amp; Assumptions'!$B$7, "Tier 1 Critical GIDA (Score ≥ 50.0)", IF(X933&gt;='Methodology &amp; Assumptions'!$B$8, "Tier 2 High GIDA (Score 40.0–49.9)", "Tier 3 Moderate GIDA (Score &lt; 40.0)"))</f>
        <v/>
      </c>
      <c r="V933" s="26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W933" s="28" t="n">
        <v>0.109</v>
      </c>
      <c r="X933" s="14" t="n">
        <v>49.4</v>
      </c>
      <c r="Y933" s="14">
        <f>ROUND(MIN(100, (X933/69.91)*100), 2)</f>
        <v/>
      </c>
    </row>
    <row r="934">
      <c r="A934" s="10" t="n">
        <v>2</v>
      </c>
      <c r="B934" s="10" t="n">
        <v>930</v>
      </c>
      <c r="C934" s="10" t="n">
        <v>1930</v>
      </c>
      <c r="D934" s="10" t="inlineStr">
        <is>
          <t>1380610040</t>
        </is>
      </c>
      <c r="E934" s="26" t="inlineStr">
        <is>
          <t>National Capital Region (NCR)</t>
        </is>
      </c>
      <c r="F934" s="26" t="inlineStr">
        <is>
          <t>First District (Not a Province)</t>
        </is>
      </c>
      <c r="G934" s="26" t="inlineStr">
        <is>
          <t>City of Manila</t>
        </is>
      </c>
      <c r="H934" s="26" t="inlineStr">
        <is>
          <t>Barangay 725</t>
        </is>
      </c>
      <c r="I934" s="27" t="n">
        <v>12.780477</v>
      </c>
      <c r="J934" s="27" t="n">
        <v>121.31488</v>
      </c>
      <c r="K934" s="10" t="inlineStr">
        <is>
          <t>U</t>
        </is>
      </c>
      <c r="L934" s="12" t="n">
        <v>1452</v>
      </c>
      <c r="M934" s="14" t="n">
        <v>3.9</v>
      </c>
      <c r="N934" s="12">
        <f>ROUND(L934/M934, 0)</f>
        <v/>
      </c>
      <c r="O934" s="12">
        <f>ROUND(N934*'Methodology &amp; Assumptions'!$B$5, 0)</f>
        <v/>
      </c>
      <c r="P934" s="10" t="inlineStr">
        <is>
          <t>Single Carrier (Band n50, 100MHz TDD)</t>
        </is>
      </c>
      <c r="Q934" s="13">
        <f>ROUNDUP(O934/'Methodology &amp; Assumptions'!$B$6, 0)</f>
        <v/>
      </c>
      <c r="R934" s="13" t="n">
        <v>1</v>
      </c>
      <c r="S934" s="14" t="n">
        <v>16.86</v>
      </c>
      <c r="T934" s="14" t="n">
        <v>16.45</v>
      </c>
      <c r="U934" s="26">
        <f>IF(X934&gt;='Methodology &amp; Assumptions'!$B$7, "Tier 1 Critical GIDA (Score ≥ 50.0)", IF(X934&gt;='Methodology &amp; Assumptions'!$B$8, "Tier 2 High GIDA (Score 40.0–49.9)", "Tier 3 Moderate GIDA (Score &lt; 40.0)"))</f>
        <v/>
      </c>
      <c r="V934" s="26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W934" s="28" t="n">
        <v>0.109</v>
      </c>
      <c r="X934" s="14" t="n">
        <v>49.4</v>
      </c>
      <c r="Y934" s="14">
        <f>ROUND(MIN(100, (X934/69.91)*100), 2)</f>
        <v/>
      </c>
    </row>
    <row r="935">
      <c r="A935" s="10" t="n">
        <v>2</v>
      </c>
      <c r="B935" s="10" t="n">
        <v>931</v>
      </c>
      <c r="C935" s="10" t="n">
        <v>1931</v>
      </c>
      <c r="D935" s="10" t="inlineStr">
        <is>
          <t>1380606068</t>
        </is>
      </c>
      <c r="E935" s="26" t="inlineStr">
        <is>
          <t>National Capital Region (NCR)</t>
        </is>
      </c>
      <c r="F935" s="26" t="inlineStr">
        <is>
          <t>First District (Not a Province)</t>
        </is>
      </c>
      <c r="G935" s="26" t="inlineStr">
        <is>
          <t>City of Manila</t>
        </is>
      </c>
      <c r="H935" s="26" t="inlineStr">
        <is>
          <t>Barangay 462</t>
        </is>
      </c>
      <c r="I935" s="27" t="n">
        <v>13.256333</v>
      </c>
      <c r="J935" s="27" t="n">
        <v>122.044528</v>
      </c>
      <c r="K935" s="10" t="inlineStr">
        <is>
          <t>U</t>
        </is>
      </c>
      <c r="L935" s="12" t="n">
        <v>1574</v>
      </c>
      <c r="M935" s="14" t="n">
        <v>3.9</v>
      </c>
      <c r="N935" s="12">
        <f>ROUND(L935/M935, 0)</f>
        <v/>
      </c>
      <c r="O935" s="12">
        <f>ROUND(N935*'Methodology &amp; Assumptions'!$B$5, 0)</f>
        <v/>
      </c>
      <c r="P935" s="10" t="inlineStr">
        <is>
          <t>Single Carrier (Band n50, 100MHz TDD)</t>
        </is>
      </c>
      <c r="Q935" s="13">
        <f>ROUNDUP(O935/'Methodology &amp; Assumptions'!$B$6, 0)</f>
        <v/>
      </c>
      <c r="R935" s="13" t="n">
        <v>1</v>
      </c>
      <c r="S935" s="14" t="n">
        <v>47.12</v>
      </c>
      <c r="T935" s="14" t="n">
        <v>46.52</v>
      </c>
      <c r="U935" s="26">
        <f>IF(X935&gt;='Methodology &amp; Assumptions'!$B$7, "Tier 1 Critical GIDA (Score ≥ 50.0)", IF(X935&gt;='Methodology &amp; Assumptions'!$B$8, "Tier 2 High GIDA (Score 40.0–49.9)", "Tier 3 Moderate GIDA (Score &lt; 40.0)"))</f>
        <v/>
      </c>
      <c r="V935" s="26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W935" s="28" t="n">
        <v>0.109</v>
      </c>
      <c r="X935" s="14" t="n">
        <v>49.4</v>
      </c>
      <c r="Y935" s="14">
        <f>ROUND(MIN(100, (X935/69.91)*100), 2)</f>
        <v/>
      </c>
    </row>
    <row r="936">
      <c r="A936" s="10" t="n">
        <v>2</v>
      </c>
      <c r="B936" s="10" t="n">
        <v>932</v>
      </c>
      <c r="C936" s="10" t="n">
        <v>1932</v>
      </c>
      <c r="D936" s="10" t="inlineStr">
        <is>
          <t>PH0001932</t>
        </is>
      </c>
      <c r="E936" s="26" t="inlineStr">
        <is>
          <t>XI</t>
        </is>
      </c>
      <c r="F936" s="26" t="inlineStr">
        <is>
          <t>Davao Del Sur</t>
        </is>
      </c>
      <c r="G936" s="26" t="inlineStr">
        <is>
          <t>Davao City</t>
        </is>
      </c>
      <c r="H936" s="26" t="inlineStr">
        <is>
          <t>Barangay 37-D (Pob.)</t>
        </is>
      </c>
      <c r="I936" s="27" t="n">
        <v>7.063338</v>
      </c>
      <c r="J936" s="27" t="n">
        <v>125.614106</v>
      </c>
      <c r="K936" s="10" t="inlineStr">
        <is>
          <t>R</t>
        </is>
      </c>
      <c r="L936" s="12" t="n">
        <v>2280</v>
      </c>
      <c r="M936" s="14" t="n">
        <v>3.4</v>
      </c>
      <c r="N936" s="12">
        <f>ROUND(L936/M936, 0)</f>
        <v/>
      </c>
      <c r="O936" s="12">
        <f>ROUND(N936*'Methodology &amp; Assumptions'!$B$5, 0)</f>
        <v/>
      </c>
      <c r="P936" s="10" t="inlineStr">
        <is>
          <t>Single Carrier (Band n50, 100MHz TDD)</t>
        </is>
      </c>
      <c r="Q936" s="13">
        <f>ROUNDUP(O936/'Methodology &amp; Assumptions'!$B$6, 0)</f>
        <v/>
      </c>
      <c r="R936" s="13" t="n">
        <v>1</v>
      </c>
      <c r="S936" s="14" t="n">
        <v>0.55</v>
      </c>
      <c r="T936" s="14" t="n">
        <v>0.3</v>
      </c>
      <c r="U936" s="26">
        <f>IF(X936&gt;='Methodology &amp; Assumptions'!$B$7, "Tier 1 Critical GIDA (Score ≥ 50.0)", IF(X936&gt;='Methodology &amp; Assumptions'!$B$8, "Tier 2 High GIDA (Score 40.0–49.9)", "Tier 3 Moderate GIDA (Score &lt; 40.0)"))</f>
        <v/>
      </c>
      <c r="V936" s="26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W936" s="28" t="n">
        <v>0.119</v>
      </c>
      <c r="X936" s="14" t="n">
        <v>49.39</v>
      </c>
      <c r="Y936" s="14">
        <f>ROUND(MIN(100, (X936/69.91)*100), 2)</f>
        <v/>
      </c>
    </row>
    <row r="937">
      <c r="A937" s="10" t="n">
        <v>2</v>
      </c>
      <c r="B937" s="10" t="n">
        <v>933</v>
      </c>
      <c r="C937" s="10" t="n">
        <v>1933</v>
      </c>
      <c r="D937" s="10" t="inlineStr">
        <is>
          <t>PH0001933</t>
        </is>
      </c>
      <c r="E937" s="26" t="inlineStr">
        <is>
          <t>VIII</t>
        </is>
      </c>
      <c r="F937" s="26" t="inlineStr">
        <is>
          <t>Leyte</t>
        </is>
      </c>
      <c r="G937" s="26" t="inlineStr">
        <is>
          <t>Tacloban City</t>
        </is>
      </c>
      <c r="H937" s="26" t="inlineStr">
        <is>
          <t>Barangay 40</t>
        </is>
      </c>
      <c r="I937" s="27" t="n">
        <v>11.226842</v>
      </c>
      <c r="J937" s="27" t="n">
        <v>125.013969</v>
      </c>
      <c r="K937" s="10" t="inlineStr">
        <is>
          <t>R</t>
        </is>
      </c>
      <c r="L937" s="12" t="n">
        <v>2258</v>
      </c>
      <c r="M937" s="14" t="n">
        <v>3.8</v>
      </c>
      <c r="N937" s="12">
        <f>ROUND(L937/M937, 0)</f>
        <v/>
      </c>
      <c r="O937" s="12">
        <f>ROUND(N937*'Methodology &amp; Assumptions'!$B$5, 0)</f>
        <v/>
      </c>
      <c r="P937" s="10" t="inlineStr">
        <is>
          <t>Single Carrier (Band n50, 100MHz TDD)</t>
        </is>
      </c>
      <c r="Q937" s="13">
        <f>ROUNDUP(O937/'Methodology &amp; Assumptions'!$B$6, 0)</f>
        <v/>
      </c>
      <c r="R937" s="13" t="n">
        <v>1</v>
      </c>
      <c r="S937" s="14" t="n">
        <v>1.67</v>
      </c>
      <c r="T937" s="14" t="n">
        <v>1.68</v>
      </c>
      <c r="U937" s="26">
        <f>IF(X937&gt;='Methodology &amp; Assumptions'!$B$7, "Tier 1 Critical GIDA (Score ≥ 50.0)", IF(X937&gt;='Methodology &amp; Assumptions'!$B$8, "Tier 2 High GIDA (Score 40.0–49.9)", "Tier 3 Moderate GIDA (Score &lt; 40.0)"))</f>
        <v/>
      </c>
      <c r="V937" s="26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W937" s="28" t="n">
        <v>0.222</v>
      </c>
      <c r="X937" s="14" t="n">
        <v>49.39</v>
      </c>
      <c r="Y937" s="14">
        <f>ROUND(MIN(100, (X937/69.91)*100), 2)</f>
        <v/>
      </c>
    </row>
    <row r="938">
      <c r="A938" s="10" t="n">
        <v>2</v>
      </c>
      <c r="B938" s="10" t="n">
        <v>934</v>
      </c>
      <c r="C938" s="10" t="n">
        <v>1934</v>
      </c>
      <c r="D938" s="10" t="inlineStr">
        <is>
          <t>1380601146</t>
        </is>
      </c>
      <c r="E938" s="26" t="inlineStr">
        <is>
          <t>National Capital Region (NCR)</t>
        </is>
      </c>
      <c r="F938" s="26" t="inlineStr">
        <is>
          <t>First District (Not a Province)</t>
        </is>
      </c>
      <c r="G938" s="26" t="inlineStr">
        <is>
          <t>City of Manila</t>
        </is>
      </c>
      <c r="H938" s="26" t="inlineStr">
        <is>
          <t>Barangay 146</t>
        </is>
      </c>
      <c r="I938" s="27" t="n">
        <v>12.422511</v>
      </c>
      <c r="J938" s="27" t="n">
        <v>121.835744</v>
      </c>
      <c r="K938" s="10" t="inlineStr">
        <is>
          <t>U</t>
        </is>
      </c>
      <c r="L938" s="12" t="n">
        <v>2983</v>
      </c>
      <c r="M938" s="14" t="n">
        <v>3.9</v>
      </c>
      <c r="N938" s="12">
        <f>ROUND(L938/M938, 0)</f>
        <v/>
      </c>
      <c r="O938" s="12">
        <f>ROUND(N938*'Methodology &amp; Assumptions'!$B$5, 0)</f>
        <v/>
      </c>
      <c r="P938" s="10" t="inlineStr">
        <is>
          <t>Single Carrier (Band n50, 100MHz TDD)</t>
        </is>
      </c>
      <c r="Q938" s="13">
        <f>ROUNDUP(O938/'Methodology &amp; Assumptions'!$B$6, 0)</f>
        <v/>
      </c>
      <c r="R938" s="13" t="n">
        <v>1</v>
      </c>
      <c r="S938" s="14" t="n">
        <v>36.85</v>
      </c>
      <c r="T938" s="14" t="n">
        <v>15.7</v>
      </c>
      <c r="U938" s="26">
        <f>IF(X938&gt;='Methodology &amp; Assumptions'!$B$7, "Tier 1 Critical GIDA (Score ≥ 50.0)", IF(X938&gt;='Methodology &amp; Assumptions'!$B$8, "Tier 2 High GIDA (Score 40.0–49.9)", "Tier 3 Moderate GIDA (Score &lt; 40.0)"))</f>
        <v/>
      </c>
      <c r="V938" s="26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W938" s="28" t="n">
        <v>0.109</v>
      </c>
      <c r="X938" s="14" t="n">
        <v>49.39</v>
      </c>
      <c r="Y938" s="14">
        <f>ROUND(MIN(100, (X938/69.91)*100), 2)</f>
        <v/>
      </c>
    </row>
    <row r="939">
      <c r="A939" s="10" t="n">
        <v>2</v>
      </c>
      <c r="B939" s="10" t="n">
        <v>935</v>
      </c>
      <c r="C939" s="10" t="n">
        <v>1935</v>
      </c>
      <c r="D939" s="10" t="inlineStr">
        <is>
          <t>1380608013</t>
        </is>
      </c>
      <c r="E939" s="26" t="inlineStr">
        <is>
          <t>National Capital Region (NCR)</t>
        </is>
      </c>
      <c r="F939" s="26" t="inlineStr">
        <is>
          <t>First District (Not a Province)</t>
        </is>
      </c>
      <c r="G939" s="26" t="inlineStr">
        <is>
          <t>City of Manila</t>
        </is>
      </c>
      <c r="H939" s="26" t="inlineStr">
        <is>
          <t>Barangay 663</t>
        </is>
      </c>
      <c r="I939" s="27" t="n">
        <v>13.176979</v>
      </c>
      <c r="J939" s="27" t="n">
        <v>121.410573</v>
      </c>
      <c r="K939" s="10" t="inlineStr">
        <is>
          <t>U</t>
        </is>
      </c>
      <c r="L939" s="12" t="n">
        <v>622</v>
      </c>
      <c r="M939" s="14" t="n">
        <v>3.9</v>
      </c>
      <c r="N939" s="12">
        <f>ROUND(L939/M939, 0)</f>
        <v/>
      </c>
      <c r="O939" s="12">
        <f>ROUND(N939*'Methodology &amp; Assumptions'!$B$5, 0)</f>
        <v/>
      </c>
      <c r="P939" s="10" t="inlineStr">
        <is>
          <t>Single Carrier (Band n50, 100MHz TDD)</t>
        </is>
      </c>
      <c r="Q939" s="13">
        <f>ROUNDUP(O939/'Methodology &amp; Assumptions'!$B$6, 0)</f>
        <v/>
      </c>
      <c r="R939" s="13" t="n">
        <v>1</v>
      </c>
      <c r="S939" s="14" t="n">
        <v>6.76</v>
      </c>
      <c r="T939" s="14" t="n">
        <v>11.34</v>
      </c>
      <c r="U939" s="26">
        <f>IF(X939&gt;='Methodology &amp; Assumptions'!$B$7, "Tier 1 Critical GIDA (Score ≥ 50.0)", IF(X939&gt;='Methodology &amp; Assumptions'!$B$8, "Tier 2 High GIDA (Score 40.0–49.9)", "Tier 3 Moderate GIDA (Score &lt; 40.0)"))</f>
        <v/>
      </c>
      <c r="V939" s="26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W939" s="28" t="n">
        <v>0.109</v>
      </c>
      <c r="X939" s="14" t="n">
        <v>49.39</v>
      </c>
      <c r="Y939" s="14">
        <f>ROUND(MIN(100, (X939/69.91)*100), 2)</f>
        <v/>
      </c>
    </row>
    <row r="940">
      <c r="A940" s="10" t="n">
        <v>2</v>
      </c>
      <c r="B940" s="10" t="n">
        <v>936</v>
      </c>
      <c r="C940" s="10" t="n">
        <v>1936</v>
      </c>
      <c r="D940" s="10" t="inlineStr">
        <is>
          <t>1380610029</t>
        </is>
      </c>
      <c r="E940" s="26" t="inlineStr">
        <is>
          <t>National Capital Region (NCR)</t>
        </is>
      </c>
      <c r="F940" s="26" t="inlineStr">
        <is>
          <t>First District (Not a Province)</t>
        </is>
      </c>
      <c r="G940" s="26" t="inlineStr">
        <is>
          <t>City of Manila</t>
        </is>
      </c>
      <c r="H940" s="26" t="inlineStr">
        <is>
          <t>Barangay 714</t>
        </is>
      </c>
      <c r="I940" s="27" t="n">
        <v>12.899932</v>
      </c>
      <c r="J940" s="27" t="n">
        <v>122.249352</v>
      </c>
      <c r="K940" s="10" t="inlineStr">
        <is>
          <t>U</t>
        </is>
      </c>
      <c r="L940" s="12" t="n">
        <v>1413</v>
      </c>
      <c r="M940" s="14" t="n">
        <v>3.9</v>
      </c>
      <c r="N940" s="12">
        <f>ROUND(L940/M940, 0)</f>
        <v/>
      </c>
      <c r="O940" s="12">
        <f>ROUND(N940*'Methodology &amp; Assumptions'!$B$5, 0)</f>
        <v/>
      </c>
      <c r="P940" s="10" t="inlineStr">
        <is>
          <t>Single Carrier (Band n50, 100MHz TDD)</t>
        </is>
      </c>
      <c r="Q940" s="13">
        <f>ROUNDUP(O940/'Methodology &amp; Assumptions'!$B$6, 0)</f>
        <v/>
      </c>
      <c r="R940" s="13" t="n">
        <v>1</v>
      </c>
      <c r="S940" s="14" t="n">
        <v>57.55</v>
      </c>
      <c r="T940" s="14" t="n">
        <v>71.48999999999999</v>
      </c>
      <c r="U940" s="26">
        <f>IF(X940&gt;='Methodology &amp; Assumptions'!$B$7, "Tier 1 Critical GIDA (Score ≥ 50.0)", IF(X940&gt;='Methodology &amp; Assumptions'!$B$8, "Tier 2 High GIDA (Score 40.0–49.9)", "Tier 3 Moderate GIDA (Score &lt; 40.0)"))</f>
        <v/>
      </c>
      <c r="V940" s="26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W940" s="28" t="n">
        <v>0.109</v>
      </c>
      <c r="X940" s="14" t="n">
        <v>49.39</v>
      </c>
      <c r="Y940" s="14">
        <f>ROUND(MIN(100, (X940/69.91)*100), 2)</f>
        <v/>
      </c>
    </row>
    <row r="941">
      <c r="A941" s="10" t="n">
        <v>2</v>
      </c>
      <c r="B941" s="10" t="n">
        <v>937</v>
      </c>
      <c r="C941" s="10" t="n">
        <v>1937</v>
      </c>
      <c r="D941" s="10" t="inlineStr">
        <is>
          <t>PH0001937</t>
        </is>
      </c>
      <c r="E941" s="26" t="inlineStr">
        <is>
          <t>VIII</t>
        </is>
      </c>
      <c r="F941" s="26" t="inlineStr">
        <is>
          <t>Leyte</t>
        </is>
      </c>
      <c r="G941" s="26" t="inlineStr">
        <is>
          <t>Tacloban City</t>
        </is>
      </c>
      <c r="H941" s="26" t="inlineStr">
        <is>
          <t>Barangay 44</t>
        </is>
      </c>
      <c r="I941" s="27" t="n">
        <v>11.261187</v>
      </c>
      <c r="J941" s="27" t="n">
        <v>124.922541</v>
      </c>
      <c r="K941" s="10" t="inlineStr">
        <is>
          <t>R</t>
        </is>
      </c>
      <c r="L941" s="12" t="n">
        <v>2258</v>
      </c>
      <c r="M941" s="14" t="n">
        <v>3.8</v>
      </c>
      <c r="N941" s="12">
        <f>ROUND(L941/M941, 0)</f>
        <v/>
      </c>
      <c r="O941" s="12">
        <f>ROUND(N941*'Methodology &amp; Assumptions'!$B$5, 0)</f>
        <v/>
      </c>
      <c r="P941" s="10" t="inlineStr">
        <is>
          <t>Single Carrier (Band n50, 100MHz TDD)</t>
        </is>
      </c>
      <c r="Q941" s="13">
        <f>ROUNDUP(O941/'Methodology &amp; Assumptions'!$B$6, 0)</f>
        <v/>
      </c>
      <c r="R941" s="13" t="n">
        <v>1</v>
      </c>
      <c r="S941" s="14" t="n">
        <v>9.039999999999999</v>
      </c>
      <c r="T941" s="14" t="n">
        <v>8.18</v>
      </c>
      <c r="U941" s="26">
        <f>IF(X941&gt;='Methodology &amp; Assumptions'!$B$7, "Tier 1 Critical GIDA (Score ≥ 50.0)", IF(X941&gt;='Methodology &amp; Assumptions'!$B$8, "Tier 2 High GIDA (Score 40.0–49.9)", "Tier 3 Moderate GIDA (Score &lt; 40.0)"))</f>
        <v/>
      </c>
      <c r="V941" s="26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W941" s="28" t="n">
        <v>0.222</v>
      </c>
      <c r="X941" s="14" t="n">
        <v>49.39</v>
      </c>
      <c r="Y941" s="14">
        <f>ROUND(MIN(100, (X941/69.91)*100), 2)</f>
        <v/>
      </c>
    </row>
    <row r="942">
      <c r="A942" s="10" t="n">
        <v>2</v>
      </c>
      <c r="B942" s="10" t="n">
        <v>938</v>
      </c>
      <c r="C942" s="10" t="n">
        <v>1938</v>
      </c>
      <c r="D942" s="10" t="inlineStr">
        <is>
          <t>PH0001938</t>
        </is>
      </c>
      <c r="E942" s="26" t="inlineStr">
        <is>
          <t>IV-B</t>
        </is>
      </c>
      <c r="F942" s="26" t="inlineStr">
        <is>
          <t>Palawan</t>
        </is>
      </c>
      <c r="G942" s="26" t="inlineStr">
        <is>
          <t>Puerto Princesa City</t>
        </is>
      </c>
      <c r="H942" s="26" t="inlineStr">
        <is>
          <t>Bagong Silang (Pob.)</t>
        </is>
      </c>
      <c r="I942" s="27" t="n">
        <v>9.730404999999999</v>
      </c>
      <c r="J942" s="27" t="n">
        <v>118.742366</v>
      </c>
      <c r="K942" s="10" t="inlineStr">
        <is>
          <t>R</t>
        </is>
      </c>
      <c r="L942" s="12" t="n">
        <v>2597</v>
      </c>
      <c r="M942" s="14" t="n">
        <v>3.9</v>
      </c>
      <c r="N942" s="12">
        <f>ROUND(L942/M942, 0)</f>
        <v/>
      </c>
      <c r="O942" s="12">
        <f>ROUND(N942*'Methodology &amp; Assumptions'!$B$5, 0)</f>
        <v/>
      </c>
      <c r="P942" s="10" t="inlineStr">
        <is>
          <t>Single Carrier (Band n50, 100MHz TDD)</t>
        </is>
      </c>
      <c r="Q942" s="13">
        <f>ROUNDUP(O942/'Methodology &amp; Assumptions'!$B$6, 0)</f>
        <v/>
      </c>
      <c r="R942" s="13" t="n">
        <v>1</v>
      </c>
      <c r="S942" s="14" t="n">
        <v>1.49</v>
      </c>
      <c r="T942" s="14" t="n">
        <v>2.92</v>
      </c>
      <c r="U942" s="26">
        <f>IF(X942&gt;='Methodology &amp; Assumptions'!$B$7, "Tier 1 Critical GIDA (Score ≥ 50.0)", IF(X942&gt;='Methodology &amp; Assumptions'!$B$8, "Tier 2 High GIDA (Score 40.0–49.9)", "Tier 3 Moderate GIDA (Score &lt; 40.0)"))</f>
        <v/>
      </c>
      <c r="V942" s="26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W942" s="28" t="n">
        <v>0.109</v>
      </c>
      <c r="X942" s="14" t="n">
        <v>49.38</v>
      </c>
      <c r="Y942" s="14">
        <f>ROUND(MIN(100, (X942/69.91)*100), 2)</f>
        <v/>
      </c>
    </row>
    <row r="943">
      <c r="A943" s="10" t="n">
        <v>2</v>
      </c>
      <c r="B943" s="10" t="n">
        <v>939</v>
      </c>
      <c r="C943" s="10" t="n">
        <v>1939</v>
      </c>
      <c r="D943" s="10" t="inlineStr">
        <is>
          <t>PH0001939</t>
        </is>
      </c>
      <c r="E943" s="26" t="inlineStr">
        <is>
          <t>NCR</t>
        </is>
      </c>
      <c r="F943" s="26" t="inlineStr">
        <is>
          <t>Metro Manila</t>
        </is>
      </c>
      <c r="G943" s="26" t="inlineStr">
        <is>
          <t>Caloocan City</t>
        </is>
      </c>
      <c r="H943" s="26" t="inlineStr">
        <is>
          <t>Barangay 49</t>
        </is>
      </c>
      <c r="I943" s="27" t="n">
        <v>11.601232</v>
      </c>
      <c r="J943" s="27" t="n">
        <v>121.422594</v>
      </c>
      <c r="K943" s="10" t="inlineStr">
        <is>
          <t>R</t>
        </is>
      </c>
      <c r="L943" s="12" t="n">
        <v>2279</v>
      </c>
      <c r="M943" s="14" t="n">
        <v>3.8</v>
      </c>
      <c r="N943" s="12">
        <f>ROUND(L943/M943, 0)</f>
        <v/>
      </c>
      <c r="O943" s="12">
        <f>ROUND(N943*'Methodology &amp; Assumptions'!$B$5, 0)</f>
        <v/>
      </c>
      <c r="P943" s="10" t="inlineStr">
        <is>
          <t>Single Carrier (Band n50, 100MHz TDD)</t>
        </is>
      </c>
      <c r="Q943" s="13">
        <f>ROUNDUP(O943/'Methodology &amp; Assumptions'!$B$6, 0)</f>
        <v/>
      </c>
      <c r="R943" s="13" t="n">
        <v>1</v>
      </c>
      <c r="S943" s="14" t="n">
        <v>68.8</v>
      </c>
      <c r="T943" s="14" t="n">
        <v>67.59</v>
      </c>
      <c r="U943" s="26">
        <f>IF(X943&gt;='Methodology &amp; Assumptions'!$B$7, "Tier 1 Critical GIDA (Score ≥ 50.0)", IF(X943&gt;='Methodology &amp; Assumptions'!$B$8, "Tier 2 High GIDA (Score 40.0–49.9)", "Tier 3 Moderate GIDA (Score &lt; 40.0)"))</f>
        <v/>
      </c>
      <c r="V943" s="26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W943" s="28" t="n">
        <v>0.011</v>
      </c>
      <c r="X943" s="14" t="n">
        <v>49.38</v>
      </c>
      <c r="Y943" s="14">
        <f>ROUND(MIN(100, (X943/69.91)*100), 2)</f>
        <v/>
      </c>
    </row>
    <row r="944">
      <c r="A944" s="10" t="n">
        <v>2</v>
      </c>
      <c r="B944" s="10" t="n">
        <v>940</v>
      </c>
      <c r="C944" s="10" t="n">
        <v>1940</v>
      </c>
      <c r="D944" s="10" t="inlineStr">
        <is>
          <t>1380606016</t>
        </is>
      </c>
      <c r="E944" s="26" t="inlineStr">
        <is>
          <t>National Capital Region (NCR)</t>
        </is>
      </c>
      <c r="F944" s="26" t="inlineStr">
        <is>
          <t>First District (Not a Province)</t>
        </is>
      </c>
      <c r="G944" s="26" t="inlineStr">
        <is>
          <t>City of Manila</t>
        </is>
      </c>
      <c r="H944" s="26" t="inlineStr">
        <is>
          <t>Barangay 410</t>
        </is>
      </c>
      <c r="I944" s="27" t="n">
        <v>12.550766</v>
      </c>
      <c r="J944" s="27" t="n">
        <v>121.436576</v>
      </c>
      <c r="K944" s="10" t="inlineStr">
        <is>
          <t>U</t>
        </is>
      </c>
      <c r="L944" s="12" t="n">
        <v>2498</v>
      </c>
      <c r="M944" s="14" t="n">
        <v>3.9</v>
      </c>
      <c r="N944" s="12">
        <f>ROUND(L944/M944, 0)</f>
        <v/>
      </c>
      <c r="O944" s="12">
        <f>ROUND(N944*'Methodology &amp; Assumptions'!$B$5, 0)</f>
        <v/>
      </c>
      <c r="P944" s="10" t="inlineStr">
        <is>
          <t>Single Carrier (Band n50, 100MHz TDD)</t>
        </is>
      </c>
      <c r="Q944" s="13">
        <f>ROUNDUP(O944/'Methodology &amp; Assumptions'!$B$6, 0)</f>
        <v/>
      </c>
      <c r="R944" s="13" t="n">
        <v>1</v>
      </c>
      <c r="S944" s="14" t="n">
        <v>3.35</v>
      </c>
      <c r="T944" s="14" t="n">
        <v>3.05</v>
      </c>
      <c r="U944" s="26">
        <f>IF(X944&gt;='Methodology &amp; Assumptions'!$B$7, "Tier 1 Critical GIDA (Score ≥ 50.0)", IF(X944&gt;='Methodology &amp; Assumptions'!$B$8, "Tier 2 High GIDA (Score 40.0–49.9)", "Tier 3 Moderate GIDA (Score &lt; 40.0)"))</f>
        <v/>
      </c>
      <c r="V944" s="26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W944" s="28" t="n">
        <v>0.109</v>
      </c>
      <c r="X944" s="14" t="n">
        <v>49.38</v>
      </c>
      <c r="Y944" s="14">
        <f>ROUND(MIN(100, (X944/69.91)*100), 2)</f>
        <v/>
      </c>
    </row>
    <row r="945">
      <c r="A945" s="10" t="n">
        <v>2</v>
      </c>
      <c r="B945" s="10" t="n">
        <v>941</v>
      </c>
      <c r="C945" s="10" t="n">
        <v>1941</v>
      </c>
      <c r="D945" s="10" t="inlineStr">
        <is>
          <t>1380603013</t>
        </is>
      </c>
      <c r="E945" s="26" t="inlineStr">
        <is>
          <t>National Capital Region (NCR)</t>
        </is>
      </c>
      <c r="F945" s="26" t="inlineStr">
        <is>
          <t>First District (Not a Province)</t>
        </is>
      </c>
      <c r="G945" s="26" t="inlineStr">
        <is>
          <t>City of Manila</t>
        </is>
      </c>
      <c r="H945" s="26" t="inlineStr">
        <is>
          <t>Barangay 393</t>
        </is>
      </c>
      <c r="I945" s="27" t="n">
        <v>13.345789</v>
      </c>
      <c r="J945" s="27" t="n">
        <v>121.794875</v>
      </c>
      <c r="K945" s="10" t="inlineStr">
        <is>
          <t>U</t>
        </is>
      </c>
      <c r="L945" s="12" t="n">
        <v>4197</v>
      </c>
      <c r="M945" s="14" t="n">
        <v>3.9</v>
      </c>
      <c r="N945" s="12">
        <f>ROUND(L945/M945, 0)</f>
        <v/>
      </c>
      <c r="O945" s="12">
        <f>ROUND(N945*'Methodology &amp; Assumptions'!$B$5, 0)</f>
        <v/>
      </c>
      <c r="P945" s="10" t="inlineStr">
        <is>
          <t>Single Carrier (Band n50, 100MHz TDD)</t>
        </is>
      </c>
      <c r="Q945" s="13">
        <f>ROUNDUP(O945/'Methodology &amp; Assumptions'!$B$6, 0)</f>
        <v/>
      </c>
      <c r="R945" s="13" t="n">
        <v>1</v>
      </c>
      <c r="S945" s="14" t="n">
        <v>44.19</v>
      </c>
      <c r="T945" s="14" t="n">
        <v>48.25</v>
      </c>
      <c r="U945" s="26">
        <f>IF(X945&gt;='Methodology &amp; Assumptions'!$B$7, "Tier 1 Critical GIDA (Score ≥ 50.0)", IF(X945&gt;='Methodology &amp; Assumptions'!$B$8, "Tier 2 High GIDA (Score 40.0–49.9)", "Tier 3 Moderate GIDA (Score &lt; 40.0)"))</f>
        <v/>
      </c>
      <c r="V945" s="26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W945" s="28" t="n">
        <v>0.109</v>
      </c>
      <c r="X945" s="14" t="n">
        <v>49.38</v>
      </c>
      <c r="Y945" s="14">
        <f>ROUND(MIN(100, (X945/69.91)*100), 2)</f>
        <v/>
      </c>
    </row>
    <row r="946">
      <c r="A946" s="10" t="n">
        <v>2</v>
      </c>
      <c r="B946" s="10" t="n">
        <v>942</v>
      </c>
      <c r="C946" s="10" t="n">
        <v>1942</v>
      </c>
      <c r="D946" s="10" t="inlineStr">
        <is>
          <t>1380614086</t>
        </is>
      </c>
      <c r="E946" s="26" t="inlineStr">
        <is>
          <t>National Capital Region (NCR)</t>
        </is>
      </c>
      <c r="F946" s="26" t="inlineStr">
        <is>
          <t>First District (Not a Province)</t>
        </is>
      </c>
      <c r="G946" s="26" t="inlineStr">
        <is>
          <t>City of Manila</t>
        </is>
      </c>
      <c r="H946" s="26" t="inlineStr">
        <is>
          <t>Barangay 893</t>
        </is>
      </c>
      <c r="I946" s="27" t="n">
        <v>12.521281</v>
      </c>
      <c r="J946" s="27" t="n">
        <v>122.082511</v>
      </c>
      <c r="K946" s="10" t="inlineStr">
        <is>
          <t>U</t>
        </is>
      </c>
      <c r="L946" s="12" t="n">
        <v>682</v>
      </c>
      <c r="M946" s="14" t="n">
        <v>3.9</v>
      </c>
      <c r="N946" s="12">
        <f>ROUND(L946/M946, 0)</f>
        <v/>
      </c>
      <c r="O946" s="12">
        <f>ROUND(N946*'Methodology &amp; Assumptions'!$B$5, 0)</f>
        <v/>
      </c>
      <c r="P946" s="10" t="inlineStr">
        <is>
          <t>Single Carrier (Band n50, 100MHz TDD)</t>
        </is>
      </c>
      <c r="Q946" s="13">
        <f>ROUNDUP(O946/'Methodology &amp; Assumptions'!$B$6, 0)</f>
        <v/>
      </c>
      <c r="R946" s="13" t="n">
        <v>1</v>
      </c>
      <c r="S946" s="14" t="n">
        <v>58.34</v>
      </c>
      <c r="T946" s="14" t="n">
        <v>43.82</v>
      </c>
      <c r="U946" s="26">
        <f>IF(X946&gt;='Methodology &amp; Assumptions'!$B$7, "Tier 1 Critical GIDA (Score ≥ 50.0)", IF(X946&gt;='Methodology &amp; Assumptions'!$B$8, "Tier 2 High GIDA (Score 40.0–49.9)", "Tier 3 Moderate GIDA (Score &lt; 40.0)"))</f>
        <v/>
      </c>
      <c r="V946" s="26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W946" s="28" t="n">
        <v>0.109</v>
      </c>
      <c r="X946" s="14" t="n">
        <v>49.38</v>
      </c>
      <c r="Y946" s="14">
        <f>ROUND(MIN(100, (X946/69.91)*100), 2)</f>
        <v/>
      </c>
    </row>
    <row r="947">
      <c r="A947" s="10" t="n">
        <v>2</v>
      </c>
      <c r="B947" s="10" t="n">
        <v>943</v>
      </c>
      <c r="C947" s="10" t="n">
        <v>1943</v>
      </c>
      <c r="D947" s="10" t="inlineStr">
        <is>
          <t>PH0001943</t>
        </is>
      </c>
      <c r="E947" s="26" t="inlineStr">
        <is>
          <t>NCR</t>
        </is>
      </c>
      <c r="F947" s="26" t="inlineStr">
        <is>
          <t>Metro Manila</t>
        </is>
      </c>
      <c r="G947" s="26" t="inlineStr">
        <is>
          <t>Caloocan City</t>
        </is>
      </c>
      <c r="H947" s="26" t="inlineStr">
        <is>
          <t>Barangay 33</t>
        </is>
      </c>
      <c r="I947" s="27" t="n">
        <v>14.054916</v>
      </c>
      <c r="J947" s="27" t="n">
        <v>121.146432</v>
      </c>
      <c r="K947" s="10" t="inlineStr">
        <is>
          <t>R</t>
        </is>
      </c>
      <c r="L947" s="12" t="n">
        <v>2279</v>
      </c>
      <c r="M947" s="14" t="n">
        <v>3.8</v>
      </c>
      <c r="N947" s="12">
        <f>ROUND(L947/M947, 0)</f>
        <v/>
      </c>
      <c r="O947" s="12">
        <f>ROUND(N947*'Methodology &amp; Assumptions'!$B$5, 0)</f>
        <v/>
      </c>
      <c r="P947" s="10" t="inlineStr">
        <is>
          <t>Single Carrier (Band n50, 100MHz TDD)</t>
        </is>
      </c>
      <c r="Q947" s="13">
        <f>ROUNDUP(O947/'Methodology &amp; Assumptions'!$B$6, 0)</f>
        <v/>
      </c>
      <c r="R947" s="13" t="n">
        <v>1</v>
      </c>
      <c r="S947" s="14" t="n">
        <v>3.12</v>
      </c>
      <c r="T947" s="14" t="n">
        <v>0.91</v>
      </c>
      <c r="U947" s="26">
        <f>IF(X947&gt;='Methodology &amp; Assumptions'!$B$7, "Tier 1 Critical GIDA (Score ≥ 50.0)", IF(X947&gt;='Methodology &amp; Assumptions'!$B$8, "Tier 2 High GIDA (Score 40.0–49.9)", "Tier 3 Moderate GIDA (Score &lt; 40.0)"))</f>
        <v/>
      </c>
      <c r="V947" s="26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W947" s="28" t="n">
        <v>0.011</v>
      </c>
      <c r="X947" s="14" t="n">
        <v>49.38</v>
      </c>
      <c r="Y947" s="14">
        <f>ROUND(MIN(100, (X947/69.91)*100), 2)</f>
        <v/>
      </c>
    </row>
    <row r="948">
      <c r="A948" s="10" t="n">
        <v>2</v>
      </c>
      <c r="B948" s="10" t="n">
        <v>944</v>
      </c>
      <c r="C948" s="10" t="n">
        <v>1944</v>
      </c>
      <c r="D948" s="10" t="inlineStr">
        <is>
          <t>1380610038</t>
        </is>
      </c>
      <c r="E948" s="26" t="inlineStr">
        <is>
          <t>National Capital Region (NCR)</t>
        </is>
      </c>
      <c r="F948" s="26" t="inlineStr">
        <is>
          <t>First District (Not a Province)</t>
        </is>
      </c>
      <c r="G948" s="26" t="inlineStr">
        <is>
          <t>City of Manila</t>
        </is>
      </c>
      <c r="H948" s="26" t="inlineStr">
        <is>
          <t>Barangay 723</t>
        </is>
      </c>
      <c r="I948" s="27" t="n">
        <v>12.940947</v>
      </c>
      <c r="J948" s="27" t="n">
        <v>121.296775</v>
      </c>
      <c r="K948" s="10" t="inlineStr">
        <is>
          <t>U</t>
        </is>
      </c>
      <c r="L948" s="12" t="n">
        <v>556</v>
      </c>
      <c r="M948" s="14" t="n">
        <v>3.9</v>
      </c>
      <c r="N948" s="12">
        <f>ROUND(L948/M948, 0)</f>
        <v/>
      </c>
      <c r="O948" s="12">
        <f>ROUND(N948*'Methodology &amp; Assumptions'!$B$5, 0)</f>
        <v/>
      </c>
      <c r="P948" s="10" t="inlineStr">
        <is>
          <t>Single Carrier (Band n50, 100MHz TDD)</t>
        </is>
      </c>
      <c r="Q948" s="13">
        <f>ROUNDUP(O948/'Methodology &amp; Assumptions'!$B$6, 0)</f>
        <v/>
      </c>
      <c r="R948" s="13" t="n">
        <v>1</v>
      </c>
      <c r="S948" s="14" t="n">
        <v>17.18</v>
      </c>
      <c r="T948" s="14" t="n">
        <v>16.49</v>
      </c>
      <c r="U948" s="26">
        <f>IF(X948&gt;='Methodology &amp; Assumptions'!$B$7, "Tier 1 Critical GIDA (Score ≥ 50.0)", IF(X948&gt;='Methodology &amp; Assumptions'!$B$8, "Tier 2 High GIDA (Score 40.0–49.9)", "Tier 3 Moderate GIDA (Score &lt; 40.0)"))</f>
        <v/>
      </c>
      <c r="V948" s="26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W948" s="28" t="n">
        <v>0.109</v>
      </c>
      <c r="X948" s="14" t="n">
        <v>49.38</v>
      </c>
      <c r="Y948" s="14">
        <f>ROUND(MIN(100, (X948/69.91)*100), 2)</f>
        <v/>
      </c>
    </row>
    <row r="949">
      <c r="A949" s="10" t="n">
        <v>2</v>
      </c>
      <c r="B949" s="10" t="n">
        <v>945</v>
      </c>
      <c r="C949" s="10" t="n">
        <v>1945</v>
      </c>
      <c r="D949" s="10" t="inlineStr">
        <is>
          <t>PH0001945</t>
        </is>
      </c>
      <c r="E949" s="26" t="inlineStr">
        <is>
          <t>VIII</t>
        </is>
      </c>
      <c r="F949" s="26" t="inlineStr">
        <is>
          <t>Leyte</t>
        </is>
      </c>
      <c r="G949" s="26" t="inlineStr">
        <is>
          <t>Tacloban City</t>
        </is>
      </c>
      <c r="H949" s="26" t="inlineStr">
        <is>
          <t>Barangay 43</t>
        </is>
      </c>
      <c r="I949" s="27" t="n">
        <v>11.297356</v>
      </c>
      <c r="J949" s="27" t="n">
        <v>125.015999</v>
      </c>
      <c r="K949" s="10" t="inlineStr">
        <is>
          <t>R</t>
        </is>
      </c>
      <c r="L949" s="12" t="n">
        <v>2258</v>
      </c>
      <c r="M949" s="14" t="n">
        <v>3.8</v>
      </c>
      <c r="N949" s="12">
        <f>ROUND(L949/M949, 0)</f>
        <v/>
      </c>
      <c r="O949" s="12">
        <f>ROUND(N949*'Methodology &amp; Assumptions'!$B$5, 0)</f>
        <v/>
      </c>
      <c r="P949" s="10" t="inlineStr">
        <is>
          <t>Single Carrier (Band n50, 100MHz TDD)</t>
        </is>
      </c>
      <c r="Q949" s="13">
        <f>ROUNDUP(O949/'Methodology &amp; Assumptions'!$B$6, 0)</f>
        <v/>
      </c>
      <c r="R949" s="13" t="n">
        <v>1</v>
      </c>
      <c r="S949" s="14" t="n">
        <v>6.59</v>
      </c>
      <c r="T949" s="14" t="n">
        <v>9.470000000000001</v>
      </c>
      <c r="U949" s="26">
        <f>IF(X949&gt;='Methodology &amp; Assumptions'!$B$7, "Tier 1 Critical GIDA (Score ≥ 50.0)", IF(X949&gt;='Methodology &amp; Assumptions'!$B$8, "Tier 2 High GIDA (Score 40.0–49.9)", "Tier 3 Moderate GIDA (Score &lt; 40.0)"))</f>
        <v/>
      </c>
      <c r="V949" s="26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W949" s="28" t="n">
        <v>0.222</v>
      </c>
      <c r="X949" s="14" t="n">
        <v>49.38</v>
      </c>
      <c r="Y949" s="14">
        <f>ROUND(MIN(100, (X949/69.91)*100), 2)</f>
        <v/>
      </c>
    </row>
    <row r="950">
      <c r="A950" s="10" t="n">
        <v>2</v>
      </c>
      <c r="B950" s="10" t="n">
        <v>946</v>
      </c>
      <c r="C950" s="10" t="n">
        <v>1946</v>
      </c>
      <c r="D950" s="10" t="inlineStr">
        <is>
          <t>1380610021</t>
        </is>
      </c>
      <c r="E950" s="26" t="inlineStr">
        <is>
          <t>National Capital Region (NCR)</t>
        </is>
      </c>
      <c r="F950" s="26" t="inlineStr">
        <is>
          <t>First District (Not a Province)</t>
        </is>
      </c>
      <c r="G950" s="26" t="inlineStr">
        <is>
          <t>City of Manila</t>
        </is>
      </c>
      <c r="H950" s="26" t="inlineStr">
        <is>
          <t>Barangay 706</t>
        </is>
      </c>
      <c r="I950" s="27" t="n">
        <v>13.149615</v>
      </c>
      <c r="J950" s="27" t="n">
        <v>122.169427</v>
      </c>
      <c r="K950" s="10" t="inlineStr">
        <is>
          <t>U</t>
        </is>
      </c>
      <c r="L950" s="12" t="n">
        <v>305</v>
      </c>
      <c r="M950" s="14" t="n">
        <v>3.9</v>
      </c>
      <c r="N950" s="12">
        <f>ROUND(L950/M950, 0)</f>
        <v/>
      </c>
      <c r="O950" s="12">
        <f>ROUND(N950*'Methodology &amp; Assumptions'!$B$5, 0)</f>
        <v/>
      </c>
      <c r="P950" s="10" t="inlineStr">
        <is>
          <t>Single Carrier (Band n50, 100MHz TDD)</t>
        </is>
      </c>
      <c r="Q950" s="13">
        <f>ROUNDUP(O950/'Methodology &amp; Assumptions'!$B$6, 0)</f>
        <v/>
      </c>
      <c r="R950" s="13" t="n">
        <v>1</v>
      </c>
      <c r="S950" s="14" t="n">
        <v>43.68</v>
      </c>
      <c r="T950" s="14" t="n">
        <v>48.56</v>
      </c>
      <c r="U950" s="26">
        <f>IF(X950&gt;='Methodology &amp; Assumptions'!$B$7, "Tier 1 Critical GIDA (Score ≥ 50.0)", IF(X950&gt;='Methodology &amp; Assumptions'!$B$8, "Tier 2 High GIDA (Score 40.0–49.9)", "Tier 3 Moderate GIDA (Score &lt; 40.0)"))</f>
        <v/>
      </c>
      <c r="V950" s="26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W950" s="28" t="n">
        <v>0.109</v>
      </c>
      <c r="X950" s="14" t="n">
        <v>49.38</v>
      </c>
      <c r="Y950" s="14">
        <f>ROUND(MIN(100, (X950/69.91)*100), 2)</f>
        <v/>
      </c>
    </row>
    <row r="951">
      <c r="A951" s="10" t="n">
        <v>2</v>
      </c>
      <c r="B951" s="10" t="n">
        <v>947</v>
      </c>
      <c r="C951" s="10" t="n">
        <v>1947</v>
      </c>
      <c r="D951" s="10" t="inlineStr">
        <is>
          <t>1381100005</t>
        </is>
      </c>
      <c r="E951" s="26" t="inlineStr">
        <is>
          <t>National Capital Region (NCR)</t>
        </is>
      </c>
      <c r="F951" s="26" t="inlineStr">
        <is>
          <t>Fourth District (Not a Province)</t>
        </is>
      </c>
      <c r="G951" s="26" t="inlineStr">
        <is>
          <t>Pasay City</t>
        </is>
      </c>
      <c r="H951" s="26" t="inlineStr">
        <is>
          <t>Barangay 5</t>
        </is>
      </c>
      <c r="I951" s="27" t="n">
        <v>14.556714</v>
      </c>
      <c r="J951" s="27" t="n">
        <v>121.127668</v>
      </c>
      <c r="K951" s="10" t="inlineStr">
        <is>
          <t>U</t>
        </is>
      </c>
      <c r="L951" s="12" t="n">
        <v>6254</v>
      </c>
      <c r="M951" s="14" t="n">
        <v>3.4</v>
      </c>
      <c r="N951" s="12">
        <f>ROUND(L951/M951, 0)</f>
        <v/>
      </c>
      <c r="O951" s="12">
        <f>ROUND(N951*'Methodology &amp; Assumptions'!$B$5, 0)</f>
        <v/>
      </c>
      <c r="P951" s="10" t="inlineStr">
        <is>
          <t>Single Carrier (Band n50, 100MHz TDD)</t>
        </is>
      </c>
      <c r="Q951" s="13">
        <f>ROUNDUP(O951/'Methodology &amp; Assumptions'!$B$6, 0)</f>
        <v/>
      </c>
      <c r="R951" s="13" t="n">
        <v>1</v>
      </c>
      <c r="S951" s="14" t="n">
        <v>0.98</v>
      </c>
      <c r="T951" s="14" t="n">
        <v>0.87</v>
      </c>
      <c r="U951" s="26">
        <f>IF(X951&gt;='Methodology &amp; Assumptions'!$B$7, "Tier 1 Critical GIDA (Score ≥ 50.0)", IF(X951&gt;='Methodology &amp; Assumptions'!$B$8, "Tier 2 High GIDA (Score 40.0–49.9)", "Tier 3 Moderate GIDA (Score &lt; 40.0)"))</f>
        <v/>
      </c>
      <c r="V951" s="26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W951" s="28" t="n">
        <v>0.109</v>
      </c>
      <c r="X951" s="14" t="n">
        <v>49.38</v>
      </c>
      <c r="Y951" s="14">
        <f>ROUND(MIN(100, (X951/69.91)*100), 2)</f>
        <v/>
      </c>
    </row>
    <row r="952">
      <c r="A952" s="10" t="n">
        <v>2</v>
      </c>
      <c r="B952" s="10" t="n">
        <v>948</v>
      </c>
      <c r="C952" s="10" t="n">
        <v>1948</v>
      </c>
      <c r="D952" s="10" t="inlineStr">
        <is>
          <t>1380606081</t>
        </is>
      </c>
      <c r="E952" s="26" t="inlineStr">
        <is>
          <t>National Capital Region (NCR)</t>
        </is>
      </c>
      <c r="F952" s="26" t="inlineStr">
        <is>
          <t>First District (Not a Province)</t>
        </is>
      </c>
      <c r="G952" s="26" t="inlineStr">
        <is>
          <t>City of Manila</t>
        </is>
      </c>
      <c r="H952" s="26" t="inlineStr">
        <is>
          <t>Barangay 475</t>
        </is>
      </c>
      <c r="I952" s="27" t="n">
        <v>12.418955</v>
      </c>
      <c r="J952" s="27" t="n">
        <v>121.669219</v>
      </c>
      <c r="K952" s="10" t="inlineStr">
        <is>
          <t>U</t>
        </is>
      </c>
      <c r="L952" s="12" t="n">
        <v>1715</v>
      </c>
      <c r="M952" s="14" t="n">
        <v>3.9</v>
      </c>
      <c r="N952" s="12">
        <f>ROUND(L952/M952, 0)</f>
        <v/>
      </c>
      <c r="O952" s="12">
        <f>ROUND(N952*'Methodology &amp; Assumptions'!$B$5, 0)</f>
        <v/>
      </c>
      <c r="P952" s="10" t="inlineStr">
        <is>
          <t>Single Carrier (Band n50, 100MHz TDD)</t>
        </is>
      </c>
      <c r="Q952" s="13">
        <f>ROUNDUP(O952/'Methodology &amp; Assumptions'!$B$6, 0)</f>
        <v/>
      </c>
      <c r="R952" s="13" t="n">
        <v>1</v>
      </c>
      <c r="S952" s="14" t="n">
        <v>24.21</v>
      </c>
      <c r="T952" s="14" t="n">
        <v>2.51</v>
      </c>
      <c r="U952" s="26">
        <f>IF(X952&gt;='Methodology &amp; Assumptions'!$B$7, "Tier 1 Critical GIDA (Score ≥ 50.0)", IF(X952&gt;='Methodology &amp; Assumptions'!$B$8, "Tier 2 High GIDA (Score 40.0–49.9)", "Tier 3 Moderate GIDA (Score &lt; 40.0)"))</f>
        <v/>
      </c>
      <c r="V952" s="26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W952" s="28" t="n">
        <v>0.109</v>
      </c>
      <c r="X952" s="14" t="n">
        <v>49.38</v>
      </c>
      <c r="Y952" s="14">
        <f>ROUND(MIN(100, (X952/69.91)*100), 2)</f>
        <v/>
      </c>
    </row>
    <row r="953">
      <c r="A953" s="10" t="n">
        <v>2</v>
      </c>
      <c r="B953" s="10" t="n">
        <v>949</v>
      </c>
      <c r="C953" s="10" t="n">
        <v>1949</v>
      </c>
      <c r="D953" s="10" t="inlineStr">
        <is>
          <t>PH0001949</t>
        </is>
      </c>
      <c r="E953" s="26" t="inlineStr">
        <is>
          <t>NCR</t>
        </is>
      </c>
      <c r="F953" s="26" t="inlineStr">
        <is>
          <t>Metro Manila</t>
        </is>
      </c>
      <c r="G953" s="26" t="inlineStr">
        <is>
          <t>Caloocan City</t>
        </is>
      </c>
      <c r="H953" s="26" t="inlineStr">
        <is>
          <t>Barangay 30</t>
        </is>
      </c>
      <c r="I953" s="27" t="n">
        <v>12.42609</v>
      </c>
      <c r="J953" s="27" t="n">
        <v>123.052449</v>
      </c>
      <c r="K953" s="10" t="inlineStr">
        <is>
          <t>R</t>
        </is>
      </c>
      <c r="L953" s="12" t="n">
        <v>2279</v>
      </c>
      <c r="M953" s="14" t="n">
        <v>3.8</v>
      </c>
      <c r="N953" s="12">
        <f>ROUND(L953/M953, 0)</f>
        <v/>
      </c>
      <c r="O953" s="12">
        <f>ROUND(N953*'Methodology &amp; Assumptions'!$B$5, 0)</f>
        <v/>
      </c>
      <c r="P953" s="10" t="inlineStr">
        <is>
          <t>Single Carrier (Band n50, 100MHz TDD)</t>
        </is>
      </c>
      <c r="Q953" s="13">
        <f>ROUNDUP(O953/'Methodology &amp; Assumptions'!$B$6, 0)</f>
        <v/>
      </c>
      <c r="R953" s="13" t="n">
        <v>1</v>
      </c>
      <c r="S953" s="14" t="n">
        <v>33.03</v>
      </c>
      <c r="T953" s="14" t="n">
        <v>42.78</v>
      </c>
      <c r="U953" s="26">
        <f>IF(X953&gt;='Methodology &amp; Assumptions'!$B$7, "Tier 1 Critical GIDA (Score ≥ 50.0)", IF(X953&gt;='Methodology &amp; Assumptions'!$B$8, "Tier 2 High GIDA (Score 40.0–49.9)", "Tier 3 Moderate GIDA (Score &lt; 40.0)"))</f>
        <v/>
      </c>
      <c r="V953" s="26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W953" s="28" t="n">
        <v>0.011</v>
      </c>
      <c r="X953" s="14" t="n">
        <v>49.37</v>
      </c>
      <c r="Y953" s="14">
        <f>ROUND(MIN(100, (X953/69.91)*100), 2)</f>
        <v/>
      </c>
    </row>
    <row r="954">
      <c r="A954" s="10" t="n">
        <v>2</v>
      </c>
      <c r="B954" s="10" t="n">
        <v>950</v>
      </c>
      <c r="C954" s="10" t="n">
        <v>1950</v>
      </c>
      <c r="D954" s="10" t="inlineStr">
        <is>
          <t>1380606207</t>
        </is>
      </c>
      <c r="E954" s="26" t="inlineStr">
        <is>
          <t>National Capital Region (NCR)</t>
        </is>
      </c>
      <c r="F954" s="26" t="inlineStr">
        <is>
          <t>First District (Not a Province)</t>
        </is>
      </c>
      <c r="G954" s="26" t="inlineStr">
        <is>
          <t>City of Manila</t>
        </is>
      </c>
      <c r="H954" s="26" t="inlineStr">
        <is>
          <t>Barangay 600</t>
        </is>
      </c>
      <c r="I954" s="27" t="n">
        <v>13.289574</v>
      </c>
      <c r="J954" s="27" t="n">
        <v>121.531252</v>
      </c>
      <c r="K954" s="10" t="inlineStr">
        <is>
          <t>U</t>
        </is>
      </c>
      <c r="L954" s="12" t="n">
        <v>6071</v>
      </c>
      <c r="M954" s="14" t="n">
        <v>3.9</v>
      </c>
      <c r="N954" s="12">
        <f>ROUND(L954/M954, 0)</f>
        <v/>
      </c>
      <c r="O954" s="12">
        <f>ROUND(N954*'Methodology &amp; Assumptions'!$B$5, 0)</f>
        <v/>
      </c>
      <c r="P954" s="10" t="inlineStr">
        <is>
          <t>Single Carrier (Band n50, 100MHz TDD)</t>
        </is>
      </c>
      <c r="Q954" s="13">
        <f>ROUNDUP(O954/'Methodology &amp; Assumptions'!$B$6, 0)</f>
        <v/>
      </c>
      <c r="R954" s="13" t="n">
        <v>1</v>
      </c>
      <c r="S954" s="14" t="n">
        <v>22.25</v>
      </c>
      <c r="T954" s="14" t="n">
        <v>27.98</v>
      </c>
      <c r="U954" s="26">
        <f>IF(X954&gt;='Methodology &amp; Assumptions'!$B$7, "Tier 1 Critical GIDA (Score ≥ 50.0)", IF(X954&gt;='Methodology &amp; Assumptions'!$B$8, "Tier 2 High GIDA (Score 40.0–49.9)", "Tier 3 Moderate GIDA (Score &lt; 40.0)"))</f>
        <v/>
      </c>
      <c r="V954" s="26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W954" s="28" t="n">
        <v>0.109</v>
      </c>
      <c r="X954" s="14" t="n">
        <v>49.37</v>
      </c>
      <c r="Y954" s="14">
        <f>ROUND(MIN(100, (X954/69.91)*100), 2)</f>
        <v/>
      </c>
    </row>
    <row r="955">
      <c r="A955" s="10" t="n">
        <v>2</v>
      </c>
      <c r="B955" s="10" t="n">
        <v>951</v>
      </c>
      <c r="C955" s="10" t="n">
        <v>1951</v>
      </c>
      <c r="D955" s="10" t="inlineStr">
        <is>
          <t>PH0001951</t>
        </is>
      </c>
      <c r="E955" s="26" t="inlineStr">
        <is>
          <t>NCR</t>
        </is>
      </c>
      <c r="F955" s="26" t="inlineStr">
        <is>
          <t>Metro Manila</t>
        </is>
      </c>
      <c r="G955" s="26" t="inlineStr">
        <is>
          <t>Caloocan City</t>
        </is>
      </c>
      <c r="H955" s="26" t="inlineStr">
        <is>
          <t>Barangay 28</t>
        </is>
      </c>
      <c r="I955" s="27" t="n">
        <v>12.371643</v>
      </c>
      <c r="J955" s="27" t="n">
        <v>120.515786</v>
      </c>
      <c r="K955" s="10" t="inlineStr">
        <is>
          <t>R</t>
        </is>
      </c>
      <c r="L955" s="12" t="n">
        <v>2279</v>
      </c>
      <c r="M955" s="14" t="n">
        <v>3.8</v>
      </c>
      <c r="N955" s="12">
        <f>ROUND(L955/M955, 0)</f>
        <v/>
      </c>
      <c r="O955" s="12">
        <f>ROUND(N955*'Methodology &amp; Assumptions'!$B$5, 0)</f>
        <v/>
      </c>
      <c r="P955" s="10" t="inlineStr">
        <is>
          <t>Single Carrier (Band n50, 100MHz TDD)</t>
        </is>
      </c>
      <c r="Q955" s="13">
        <f>ROUNDUP(O955/'Methodology &amp; Assumptions'!$B$6, 0)</f>
        <v/>
      </c>
      <c r="R955" s="13" t="n">
        <v>1</v>
      </c>
      <c r="S955" s="14" t="n">
        <v>50.19</v>
      </c>
      <c r="T955" s="14" t="n">
        <v>58.94</v>
      </c>
      <c r="U955" s="26">
        <f>IF(X955&gt;='Methodology &amp; Assumptions'!$B$7, "Tier 1 Critical GIDA (Score ≥ 50.0)", IF(X955&gt;='Methodology &amp; Assumptions'!$B$8, "Tier 2 High GIDA (Score 40.0–49.9)", "Tier 3 Moderate GIDA (Score &lt; 40.0)"))</f>
        <v/>
      </c>
      <c r="V955" s="26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W955" s="28" t="n">
        <v>0.011</v>
      </c>
      <c r="X955" s="14" t="n">
        <v>49.37</v>
      </c>
      <c r="Y955" s="14">
        <f>ROUND(MIN(100, (X955/69.91)*100), 2)</f>
        <v/>
      </c>
    </row>
    <row r="956">
      <c r="A956" s="10" t="n">
        <v>2</v>
      </c>
      <c r="B956" s="10" t="n">
        <v>952</v>
      </c>
      <c r="C956" s="10" t="n">
        <v>1952</v>
      </c>
      <c r="D956" s="10" t="inlineStr">
        <is>
          <t>1380605036</t>
        </is>
      </c>
      <c r="E956" s="26" t="inlineStr">
        <is>
          <t>National Capital Region (NCR)</t>
        </is>
      </c>
      <c r="F956" s="26" t="inlineStr">
        <is>
          <t>First District (Not a Province)</t>
        </is>
      </c>
      <c r="G956" s="26" t="inlineStr">
        <is>
          <t>City of Manila</t>
        </is>
      </c>
      <c r="H956" s="26" t="inlineStr">
        <is>
          <t>Barangay 334</t>
        </is>
      </c>
      <c r="I956" s="27" t="n">
        <v>12.736976</v>
      </c>
      <c r="J956" s="27" t="n">
        <v>122.238346</v>
      </c>
      <c r="K956" s="10" t="inlineStr">
        <is>
          <t>U</t>
        </is>
      </c>
      <c r="L956" s="12" t="n">
        <v>1505</v>
      </c>
      <c r="M956" s="14" t="n">
        <v>3.9</v>
      </c>
      <c r="N956" s="12">
        <f>ROUND(L956/M956, 0)</f>
        <v/>
      </c>
      <c r="O956" s="12">
        <f>ROUND(N956*'Methodology &amp; Assumptions'!$B$5, 0)</f>
        <v/>
      </c>
      <c r="P956" s="10" t="inlineStr">
        <is>
          <t>Single Carrier (Band n50, 100MHz TDD)</t>
        </is>
      </c>
      <c r="Q956" s="13">
        <f>ROUNDUP(O956/'Methodology &amp; Assumptions'!$B$6, 0)</f>
        <v/>
      </c>
      <c r="R956" s="13" t="n">
        <v>1</v>
      </c>
      <c r="S956" s="14" t="n">
        <v>72.81</v>
      </c>
      <c r="T956" s="14" t="n">
        <v>68.37</v>
      </c>
      <c r="U956" s="26">
        <f>IF(X956&gt;='Methodology &amp; Assumptions'!$B$7, "Tier 1 Critical GIDA (Score ≥ 50.0)", IF(X956&gt;='Methodology &amp; Assumptions'!$B$8, "Tier 2 High GIDA (Score 40.0–49.9)", "Tier 3 Moderate GIDA (Score &lt; 40.0)"))</f>
        <v/>
      </c>
      <c r="V956" s="26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W956" s="28" t="n">
        <v>0.109</v>
      </c>
      <c r="X956" s="14" t="n">
        <v>49.37</v>
      </c>
      <c r="Y956" s="14">
        <f>ROUND(MIN(100, (X956/69.91)*100), 2)</f>
        <v/>
      </c>
    </row>
    <row r="957">
      <c r="A957" s="10" t="n">
        <v>2</v>
      </c>
      <c r="B957" s="10" t="n">
        <v>953</v>
      </c>
      <c r="C957" s="10" t="n">
        <v>1953</v>
      </c>
      <c r="D957" s="10" t="inlineStr">
        <is>
          <t>1380601231</t>
        </is>
      </c>
      <c r="E957" s="26" t="inlineStr">
        <is>
          <t>National Capital Region (NCR)</t>
        </is>
      </c>
      <c r="F957" s="26" t="inlineStr">
        <is>
          <t>First District (Not a Province)</t>
        </is>
      </c>
      <c r="G957" s="26" t="inlineStr">
        <is>
          <t>City of Manila</t>
        </is>
      </c>
      <c r="H957" s="26" t="inlineStr">
        <is>
          <t>Barangay 230</t>
        </is>
      </c>
      <c r="I957" s="27" t="n">
        <v>12.678542</v>
      </c>
      <c r="J957" s="27" t="n">
        <v>121.331481</v>
      </c>
      <c r="K957" s="10" t="inlineStr">
        <is>
          <t>U</t>
        </is>
      </c>
      <c r="L957" s="12" t="n">
        <v>2436</v>
      </c>
      <c r="M957" s="14" t="n">
        <v>3.9</v>
      </c>
      <c r="N957" s="12">
        <f>ROUND(L957/M957, 0)</f>
        <v/>
      </c>
      <c r="O957" s="12">
        <f>ROUND(N957*'Methodology &amp; Assumptions'!$B$5, 0)</f>
        <v/>
      </c>
      <c r="P957" s="10" t="inlineStr">
        <is>
          <t>Single Carrier (Band n50, 100MHz TDD)</t>
        </is>
      </c>
      <c r="Q957" s="13">
        <f>ROUNDUP(O957/'Methodology &amp; Assumptions'!$B$6, 0)</f>
        <v/>
      </c>
      <c r="R957" s="13" t="n">
        <v>1</v>
      </c>
      <c r="S957" s="14" t="n">
        <v>18.4</v>
      </c>
      <c r="T957" s="14" t="n">
        <v>16.37</v>
      </c>
      <c r="U957" s="26">
        <f>IF(X957&gt;='Methodology &amp; Assumptions'!$B$7, "Tier 1 Critical GIDA (Score ≥ 50.0)", IF(X957&gt;='Methodology &amp; Assumptions'!$B$8, "Tier 2 High GIDA (Score 40.0–49.9)", "Tier 3 Moderate GIDA (Score &lt; 40.0)"))</f>
        <v/>
      </c>
      <c r="V957" s="26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W957" s="28" t="n">
        <v>0.109</v>
      </c>
      <c r="X957" s="14" t="n">
        <v>49.37</v>
      </c>
      <c r="Y957" s="14">
        <f>ROUND(MIN(100, (X957/69.91)*100), 2)</f>
        <v/>
      </c>
    </row>
    <row r="958">
      <c r="A958" s="10" t="n">
        <v>2</v>
      </c>
      <c r="B958" s="10" t="n">
        <v>954</v>
      </c>
      <c r="C958" s="10" t="n">
        <v>1954</v>
      </c>
      <c r="D958" s="10" t="inlineStr">
        <is>
          <t>1380610006</t>
        </is>
      </c>
      <c r="E958" s="26" t="inlineStr">
        <is>
          <t>National Capital Region (NCR)</t>
        </is>
      </c>
      <c r="F958" s="26" t="inlineStr">
        <is>
          <t>First District (Not a Province)</t>
        </is>
      </c>
      <c r="G958" s="26" t="inlineStr">
        <is>
          <t>City of Manila</t>
        </is>
      </c>
      <c r="H958" s="26" t="inlineStr">
        <is>
          <t>Barangay 691</t>
        </is>
      </c>
      <c r="I958" s="27" t="n">
        <v>13.320696</v>
      </c>
      <c r="J958" s="27" t="n">
        <v>121.961381</v>
      </c>
      <c r="K958" s="10" t="inlineStr">
        <is>
          <t>U</t>
        </is>
      </c>
      <c r="L958" s="12" t="n">
        <v>421</v>
      </c>
      <c r="M958" s="14" t="n">
        <v>3.9</v>
      </c>
      <c r="N958" s="12">
        <f>ROUND(L958/M958, 0)</f>
        <v/>
      </c>
      <c r="O958" s="12">
        <f>ROUND(N958*'Methodology &amp; Assumptions'!$B$5, 0)</f>
        <v/>
      </c>
      <c r="P958" s="10" t="inlineStr">
        <is>
          <t>Single Carrier (Band n50, 100MHz TDD)</t>
        </is>
      </c>
      <c r="Q958" s="13">
        <f>ROUNDUP(O958/'Methodology &amp; Assumptions'!$B$6, 0)</f>
        <v/>
      </c>
      <c r="R958" s="13" t="n">
        <v>1</v>
      </c>
      <c r="S958" s="14" t="n">
        <v>46.52</v>
      </c>
      <c r="T958" s="14" t="n">
        <v>45.35</v>
      </c>
      <c r="U958" s="26">
        <f>IF(X958&gt;='Methodology &amp; Assumptions'!$B$7, "Tier 1 Critical GIDA (Score ≥ 50.0)", IF(X958&gt;='Methodology &amp; Assumptions'!$B$8, "Tier 2 High GIDA (Score 40.0–49.9)", "Tier 3 Moderate GIDA (Score &lt; 40.0)"))</f>
        <v/>
      </c>
      <c r="V958" s="26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W958" s="28" t="n">
        <v>0.109</v>
      </c>
      <c r="X958" s="14" t="n">
        <v>49.37</v>
      </c>
      <c r="Y958" s="14">
        <f>ROUND(MIN(100, (X958/69.91)*100), 2)</f>
        <v/>
      </c>
    </row>
    <row r="959">
      <c r="A959" s="10" t="n">
        <v>2</v>
      </c>
      <c r="B959" s="10" t="n">
        <v>955</v>
      </c>
      <c r="C959" s="10" t="n">
        <v>1955</v>
      </c>
      <c r="D959" s="10" t="inlineStr">
        <is>
          <t>1380611008</t>
        </is>
      </c>
      <c r="E959" s="26" t="inlineStr">
        <is>
          <t>National Capital Region (NCR)</t>
        </is>
      </c>
      <c r="F959" s="26" t="inlineStr">
        <is>
          <t>First District (Not a Province)</t>
        </is>
      </c>
      <c r="G959" s="26" t="inlineStr">
        <is>
          <t>City of Manila</t>
        </is>
      </c>
      <c r="H959" s="26" t="inlineStr">
        <is>
          <t>Barangay 674</t>
        </is>
      </c>
      <c r="I959" s="27" t="n">
        <v>12.429888</v>
      </c>
      <c r="J959" s="27" t="n">
        <v>121.941944</v>
      </c>
      <c r="K959" s="10" t="inlineStr">
        <is>
          <t>U</t>
        </is>
      </c>
      <c r="L959" s="12" t="n">
        <v>1440</v>
      </c>
      <c r="M959" s="14" t="n">
        <v>3.9</v>
      </c>
      <c r="N959" s="12">
        <f>ROUND(L959/M959, 0)</f>
        <v/>
      </c>
      <c r="O959" s="12">
        <f>ROUND(N959*'Methodology &amp; Assumptions'!$B$5, 0)</f>
        <v/>
      </c>
      <c r="P959" s="10" t="inlineStr">
        <is>
          <t>Single Carrier (Band n50, 100MHz TDD)</t>
        </is>
      </c>
      <c r="Q959" s="13">
        <f>ROUNDUP(O959/'Methodology &amp; Assumptions'!$B$6, 0)</f>
        <v/>
      </c>
      <c r="R959" s="13" t="n">
        <v>1</v>
      </c>
      <c r="S959" s="14" t="n">
        <v>46.57</v>
      </c>
      <c r="T959" s="14" t="n">
        <v>27.26</v>
      </c>
      <c r="U959" s="26">
        <f>IF(X959&gt;='Methodology &amp; Assumptions'!$B$7, "Tier 1 Critical GIDA (Score ≥ 50.0)", IF(X959&gt;='Methodology &amp; Assumptions'!$B$8, "Tier 2 High GIDA (Score 40.0–49.9)", "Tier 3 Moderate GIDA (Score &lt; 40.0)"))</f>
        <v/>
      </c>
      <c r="V959" s="26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W959" s="28" t="n">
        <v>0.109</v>
      </c>
      <c r="X959" s="14" t="n">
        <v>49.37</v>
      </c>
      <c r="Y959" s="14">
        <f>ROUND(MIN(100, (X959/69.91)*100), 2)</f>
        <v/>
      </c>
    </row>
    <row r="960">
      <c r="A960" s="10" t="n">
        <v>2</v>
      </c>
      <c r="B960" s="10" t="n">
        <v>956</v>
      </c>
      <c r="C960" s="10" t="n">
        <v>1956</v>
      </c>
      <c r="D960" s="10" t="inlineStr">
        <is>
          <t>1380605002</t>
        </is>
      </c>
      <c r="E960" s="26" t="inlineStr">
        <is>
          <t>National Capital Region (NCR)</t>
        </is>
      </c>
      <c r="F960" s="26" t="inlineStr">
        <is>
          <t>First District (Not a Province)</t>
        </is>
      </c>
      <c r="G960" s="26" t="inlineStr">
        <is>
          <t>City of Manila</t>
        </is>
      </c>
      <c r="H960" s="26" t="inlineStr">
        <is>
          <t>Barangay 298</t>
        </is>
      </c>
      <c r="I960" s="27" t="n">
        <v>13.101353</v>
      </c>
      <c r="J960" s="27" t="n">
        <v>121.337219</v>
      </c>
      <c r="K960" s="10" t="inlineStr">
        <is>
          <t>U</t>
        </is>
      </c>
      <c r="L960" s="12" t="n">
        <v>1051</v>
      </c>
      <c r="M960" s="14" t="n">
        <v>3.9</v>
      </c>
      <c r="N960" s="12">
        <f>ROUND(L960/M960, 0)</f>
        <v/>
      </c>
      <c r="O960" s="12">
        <f>ROUND(N960*'Methodology &amp; Assumptions'!$B$5, 0)</f>
        <v/>
      </c>
      <c r="P960" s="10" t="inlineStr">
        <is>
          <t>Single Carrier (Band n50, 100MHz TDD)</t>
        </is>
      </c>
      <c r="Q960" s="13">
        <f>ROUNDUP(O960/'Methodology &amp; Assumptions'!$B$6, 0)</f>
        <v/>
      </c>
      <c r="R960" s="13" t="n">
        <v>1</v>
      </c>
      <c r="S960" s="14" t="n">
        <v>9.1</v>
      </c>
      <c r="T960" s="14" t="n">
        <v>0.57</v>
      </c>
      <c r="U960" s="26">
        <f>IF(X960&gt;='Methodology &amp; Assumptions'!$B$7, "Tier 1 Critical GIDA (Score ≥ 50.0)", IF(X960&gt;='Methodology &amp; Assumptions'!$B$8, "Tier 2 High GIDA (Score 40.0–49.9)", "Tier 3 Moderate GIDA (Score &lt; 40.0)"))</f>
        <v/>
      </c>
      <c r="V960" s="26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W960" s="28" t="n">
        <v>0.109</v>
      </c>
      <c r="X960" s="14" t="n">
        <v>49.37</v>
      </c>
      <c r="Y960" s="14">
        <f>ROUND(MIN(100, (X960/69.91)*100), 2)</f>
        <v/>
      </c>
    </row>
    <row r="961">
      <c r="A961" s="10" t="n">
        <v>2</v>
      </c>
      <c r="B961" s="10" t="n">
        <v>957</v>
      </c>
      <c r="C961" s="10" t="n">
        <v>1957</v>
      </c>
      <c r="D961" s="10" t="inlineStr">
        <is>
          <t>1380606085</t>
        </is>
      </c>
      <c r="E961" s="26" t="inlineStr">
        <is>
          <t>National Capital Region (NCR)</t>
        </is>
      </c>
      <c r="F961" s="26" t="inlineStr">
        <is>
          <t>First District (Not a Province)</t>
        </is>
      </c>
      <c r="G961" s="26" t="inlineStr">
        <is>
          <t>City of Manila</t>
        </is>
      </c>
      <c r="H961" s="26" t="inlineStr">
        <is>
          <t>Barangay 479</t>
        </is>
      </c>
      <c r="I961" s="27" t="n">
        <v>13.00429</v>
      </c>
      <c r="J961" s="27" t="n">
        <v>122.250977</v>
      </c>
      <c r="K961" s="10" t="inlineStr">
        <is>
          <t>U</t>
        </is>
      </c>
      <c r="L961" s="12" t="n">
        <v>2377</v>
      </c>
      <c r="M961" s="14" t="n">
        <v>3.9</v>
      </c>
      <c r="N961" s="12">
        <f>ROUND(L961/M961, 0)</f>
        <v/>
      </c>
      <c r="O961" s="12">
        <f>ROUND(N961*'Methodology &amp; Assumptions'!$B$5, 0)</f>
        <v/>
      </c>
      <c r="P961" s="10" t="inlineStr">
        <is>
          <t>Single Carrier (Band n50, 100MHz TDD)</t>
        </is>
      </c>
      <c r="Q961" s="13">
        <f>ROUNDUP(O961/'Methodology &amp; Assumptions'!$B$6, 0)</f>
        <v/>
      </c>
      <c r="R961" s="13" t="n">
        <v>1</v>
      </c>
      <c r="S961" s="14" t="n">
        <v>47.81</v>
      </c>
      <c r="T961" s="14" t="n">
        <v>60.19</v>
      </c>
      <c r="U961" s="26">
        <f>IF(X961&gt;='Methodology &amp; Assumptions'!$B$7, "Tier 1 Critical GIDA (Score ≥ 50.0)", IF(X961&gt;='Methodology &amp; Assumptions'!$B$8, "Tier 2 High GIDA (Score 40.0–49.9)", "Tier 3 Moderate GIDA (Score &lt; 40.0)"))</f>
        <v/>
      </c>
      <c r="V961" s="26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W961" s="28" t="n">
        <v>0.109</v>
      </c>
      <c r="X961" s="14" t="n">
        <v>49.36</v>
      </c>
      <c r="Y961" s="14">
        <f>ROUND(MIN(100, (X961/69.91)*100), 2)</f>
        <v/>
      </c>
    </row>
    <row r="962">
      <c r="A962" s="10" t="n">
        <v>2</v>
      </c>
      <c r="B962" s="10" t="n">
        <v>958</v>
      </c>
      <c r="C962" s="10" t="n">
        <v>1958</v>
      </c>
      <c r="D962" s="10" t="inlineStr">
        <is>
          <t>1380606042</t>
        </is>
      </c>
      <c r="E962" s="26" t="inlineStr">
        <is>
          <t>National Capital Region (NCR)</t>
        </is>
      </c>
      <c r="F962" s="26" t="inlineStr">
        <is>
          <t>First District (Not a Province)</t>
        </is>
      </c>
      <c r="G962" s="26" t="inlineStr">
        <is>
          <t>City of Manila</t>
        </is>
      </c>
      <c r="H962" s="26" t="inlineStr">
        <is>
          <t>Barangay 436</t>
        </is>
      </c>
      <c r="I962" s="27" t="n">
        <v>12.472571</v>
      </c>
      <c r="J962" s="27" t="n">
        <v>121.507936</v>
      </c>
      <c r="K962" s="10" t="inlineStr">
        <is>
          <t>U</t>
        </is>
      </c>
      <c r="L962" s="12" t="n">
        <v>993</v>
      </c>
      <c r="M962" s="14" t="n">
        <v>3.9</v>
      </c>
      <c r="N962" s="12">
        <f>ROUND(L962/M962, 0)</f>
        <v/>
      </c>
      <c r="O962" s="12">
        <f>ROUND(N962*'Methodology &amp; Assumptions'!$B$5, 0)</f>
        <v/>
      </c>
      <c r="P962" s="10" t="inlineStr">
        <is>
          <t>Single Carrier (Band n50, 100MHz TDD)</t>
        </is>
      </c>
      <c r="Q962" s="13">
        <f>ROUNDUP(O962/'Methodology &amp; Assumptions'!$B$6, 0)</f>
        <v/>
      </c>
      <c r="R962" s="13" t="n">
        <v>1</v>
      </c>
      <c r="S962" s="14" t="n">
        <v>9.19</v>
      </c>
      <c r="T962" s="14" t="n">
        <v>7.49</v>
      </c>
      <c r="U962" s="26">
        <f>IF(X962&gt;='Methodology &amp; Assumptions'!$B$7, "Tier 1 Critical GIDA (Score ≥ 50.0)", IF(X962&gt;='Methodology &amp; Assumptions'!$B$8, "Tier 2 High GIDA (Score 40.0–49.9)", "Tier 3 Moderate GIDA (Score &lt; 40.0)"))</f>
        <v/>
      </c>
      <c r="V962" s="26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W962" s="28" t="n">
        <v>0.109</v>
      </c>
      <c r="X962" s="14" t="n">
        <v>49.36</v>
      </c>
      <c r="Y962" s="14">
        <f>ROUND(MIN(100, (X962/69.91)*100), 2)</f>
        <v/>
      </c>
    </row>
    <row r="963">
      <c r="A963" s="10" t="n">
        <v>2</v>
      </c>
      <c r="B963" s="10" t="n">
        <v>959</v>
      </c>
      <c r="C963" s="10" t="n">
        <v>1959</v>
      </c>
      <c r="D963" s="10" t="inlineStr">
        <is>
          <t>1380606030</t>
        </is>
      </c>
      <c r="E963" s="26" t="inlineStr">
        <is>
          <t>National Capital Region (NCR)</t>
        </is>
      </c>
      <c r="F963" s="26" t="inlineStr">
        <is>
          <t>First District (Not a Province)</t>
        </is>
      </c>
      <c r="G963" s="26" t="inlineStr">
        <is>
          <t>City of Manila</t>
        </is>
      </c>
      <c r="H963" s="26" t="inlineStr">
        <is>
          <t>Barangay 424</t>
        </is>
      </c>
      <c r="I963" s="27" t="n">
        <v>13.356424</v>
      </c>
      <c r="J963" s="27" t="n">
        <v>121.687771</v>
      </c>
      <c r="K963" s="10" t="inlineStr">
        <is>
          <t>U</t>
        </is>
      </c>
      <c r="L963" s="12" t="n">
        <v>1958</v>
      </c>
      <c r="M963" s="14" t="n">
        <v>3.9</v>
      </c>
      <c r="N963" s="12">
        <f>ROUND(L963/M963, 0)</f>
        <v/>
      </c>
      <c r="O963" s="12">
        <f>ROUND(N963*'Methodology &amp; Assumptions'!$B$5, 0)</f>
        <v/>
      </c>
      <c r="P963" s="10" t="inlineStr">
        <is>
          <t>Single Carrier (Band n50, 100MHz TDD)</t>
        </is>
      </c>
      <c r="Q963" s="13">
        <f>ROUNDUP(O963/'Methodology &amp; Assumptions'!$B$6, 0)</f>
        <v/>
      </c>
      <c r="R963" s="13" t="n">
        <v>1</v>
      </c>
      <c r="S963" s="14" t="n">
        <v>37.94</v>
      </c>
      <c r="T963" s="14" t="n">
        <v>41.87</v>
      </c>
      <c r="U963" s="26">
        <f>IF(X963&gt;='Methodology &amp; Assumptions'!$B$7, "Tier 1 Critical GIDA (Score ≥ 50.0)", IF(X963&gt;='Methodology &amp; Assumptions'!$B$8, "Tier 2 High GIDA (Score 40.0–49.9)", "Tier 3 Moderate GIDA (Score &lt; 40.0)"))</f>
        <v/>
      </c>
      <c r="V963" s="26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W963" s="28" t="n">
        <v>0.109</v>
      </c>
      <c r="X963" s="14" t="n">
        <v>49.36</v>
      </c>
      <c r="Y963" s="14">
        <f>ROUND(MIN(100, (X963/69.91)*100), 2)</f>
        <v/>
      </c>
    </row>
    <row r="964">
      <c r="A964" s="10" t="n">
        <v>2</v>
      </c>
      <c r="B964" s="10" t="n">
        <v>960</v>
      </c>
      <c r="C964" s="10" t="n">
        <v>1960</v>
      </c>
      <c r="D964" s="10" t="inlineStr">
        <is>
          <t>1380611035</t>
        </is>
      </c>
      <c r="E964" s="26" t="inlineStr">
        <is>
          <t>National Capital Region (NCR)</t>
        </is>
      </c>
      <c r="F964" s="26" t="inlineStr">
        <is>
          <t>First District (Not a Province)</t>
        </is>
      </c>
      <c r="G964" s="26" t="inlineStr">
        <is>
          <t>City of Manila</t>
        </is>
      </c>
      <c r="H964" s="26" t="inlineStr">
        <is>
          <t>Barangay 820</t>
        </is>
      </c>
      <c r="I964" s="27" t="n">
        <v>12.58419</v>
      </c>
      <c r="J964" s="27" t="n">
        <v>122.169056</v>
      </c>
      <c r="K964" s="10" t="inlineStr">
        <is>
          <t>U</t>
        </is>
      </c>
      <c r="L964" s="12" t="n">
        <v>1460</v>
      </c>
      <c r="M964" s="14" t="n">
        <v>3.9</v>
      </c>
      <c r="N964" s="12">
        <f>ROUND(L964/M964, 0)</f>
        <v/>
      </c>
      <c r="O964" s="12">
        <f>ROUND(N964*'Methodology &amp; Assumptions'!$B$5, 0)</f>
        <v/>
      </c>
      <c r="P964" s="10" t="inlineStr">
        <is>
          <t>Single Carrier (Band n50, 100MHz TDD)</t>
        </is>
      </c>
      <c r="Q964" s="13">
        <f>ROUNDUP(O964/'Methodology &amp; Assumptions'!$B$6, 0)</f>
        <v/>
      </c>
      <c r="R964" s="13" t="n">
        <v>1</v>
      </c>
      <c r="S964" s="14" t="n">
        <v>67.03</v>
      </c>
      <c r="T964" s="14" t="n">
        <v>54.66</v>
      </c>
      <c r="U964" s="26">
        <f>IF(X964&gt;='Methodology &amp; Assumptions'!$B$7, "Tier 1 Critical GIDA (Score ≥ 50.0)", IF(X964&gt;='Methodology &amp; Assumptions'!$B$8, "Tier 2 High GIDA (Score 40.0–49.9)", "Tier 3 Moderate GIDA (Score &lt; 40.0)"))</f>
        <v/>
      </c>
      <c r="V964" s="26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W964" s="28" t="n">
        <v>0.109</v>
      </c>
      <c r="X964" s="14" t="n">
        <v>49.36</v>
      </c>
      <c r="Y964" s="14">
        <f>ROUND(MIN(100, (X964/69.91)*100), 2)</f>
        <v/>
      </c>
    </row>
    <row r="965">
      <c r="A965" s="10" t="n">
        <v>2</v>
      </c>
      <c r="B965" s="10" t="n">
        <v>961</v>
      </c>
      <c r="C965" s="10" t="n">
        <v>1961</v>
      </c>
      <c r="D965" s="10" t="inlineStr">
        <is>
          <t>1380601254</t>
        </is>
      </c>
      <c r="E965" s="26" t="inlineStr">
        <is>
          <t>National Capital Region (NCR)</t>
        </is>
      </c>
      <c r="F965" s="26" t="inlineStr">
        <is>
          <t>First District (Not a Province)</t>
        </is>
      </c>
      <c r="G965" s="26" t="inlineStr">
        <is>
          <t>City of Manila</t>
        </is>
      </c>
      <c r="H965" s="26" t="inlineStr">
        <is>
          <t>Barangay 253</t>
        </is>
      </c>
      <c r="I965" s="27" t="n">
        <v>12.837275</v>
      </c>
      <c r="J965" s="27" t="n">
        <v>121.276559</v>
      </c>
      <c r="K965" s="10" t="inlineStr">
        <is>
          <t>U</t>
        </is>
      </c>
      <c r="L965" s="12" t="n">
        <v>1369</v>
      </c>
      <c r="M965" s="14" t="n">
        <v>3.9</v>
      </c>
      <c r="N965" s="12">
        <f>ROUND(L965/M965, 0)</f>
        <v/>
      </c>
      <c r="O965" s="12">
        <f>ROUND(N965*'Methodology &amp; Assumptions'!$B$5, 0)</f>
        <v/>
      </c>
      <c r="P965" s="10" t="inlineStr">
        <is>
          <t>Single Carrier (Band n50, 100MHz TDD)</t>
        </is>
      </c>
      <c r="Q965" s="13">
        <f>ROUNDUP(O965/'Methodology &amp; Assumptions'!$B$6, 0)</f>
        <v/>
      </c>
      <c r="R965" s="13" t="n">
        <v>1</v>
      </c>
      <c r="S965" s="14" t="n">
        <v>19.91</v>
      </c>
      <c r="T965" s="14" t="n">
        <v>19.21</v>
      </c>
      <c r="U965" s="26">
        <f>IF(X965&gt;='Methodology &amp; Assumptions'!$B$7, "Tier 1 Critical GIDA (Score ≥ 50.0)", IF(X965&gt;='Methodology &amp; Assumptions'!$B$8, "Tier 2 High GIDA (Score 40.0–49.9)", "Tier 3 Moderate GIDA (Score &lt; 40.0)"))</f>
        <v/>
      </c>
      <c r="V965" s="26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W965" s="28" t="n">
        <v>0.109</v>
      </c>
      <c r="X965" s="14" t="n">
        <v>49.35</v>
      </c>
      <c r="Y965" s="14">
        <f>ROUND(MIN(100, (X965/69.91)*100), 2)</f>
        <v/>
      </c>
    </row>
    <row r="966">
      <c r="A966" s="10" t="n">
        <v>2</v>
      </c>
      <c r="B966" s="10" t="n">
        <v>962</v>
      </c>
      <c r="C966" s="10" t="n">
        <v>1962</v>
      </c>
      <c r="D966" s="10" t="inlineStr">
        <is>
          <t>1380601227</t>
        </is>
      </c>
      <c r="E966" s="26" t="inlineStr">
        <is>
          <t>National Capital Region (NCR)</t>
        </is>
      </c>
      <c r="F966" s="26" t="inlineStr">
        <is>
          <t>First District (Not a Province)</t>
        </is>
      </c>
      <c r="G966" s="26" t="inlineStr">
        <is>
          <t>City of Manila</t>
        </is>
      </c>
      <c r="H966" s="26" t="inlineStr">
        <is>
          <t>Barangay 226</t>
        </is>
      </c>
      <c r="I966" s="27" t="n">
        <v>13.239585</v>
      </c>
      <c r="J966" s="27" t="n">
        <v>122.112285</v>
      </c>
      <c r="K966" s="10" t="inlineStr">
        <is>
          <t>U</t>
        </is>
      </c>
      <c r="L966" s="12" t="n">
        <v>1609</v>
      </c>
      <c r="M966" s="14" t="n">
        <v>3.9</v>
      </c>
      <c r="N966" s="12">
        <f>ROUND(L966/M966, 0)</f>
        <v/>
      </c>
      <c r="O966" s="12">
        <f>ROUND(N966*'Methodology &amp; Assumptions'!$B$5, 0)</f>
        <v/>
      </c>
      <c r="P966" s="10" t="inlineStr">
        <is>
          <t>Single Carrier (Band n50, 100MHz TDD)</t>
        </is>
      </c>
      <c r="Q966" s="13">
        <f>ROUNDUP(O966/'Methodology &amp; Assumptions'!$B$6, 0)</f>
        <v/>
      </c>
      <c r="R966" s="13" t="n">
        <v>1</v>
      </c>
      <c r="S966" s="14" t="n">
        <v>44.26</v>
      </c>
      <c r="T966" s="14" t="n">
        <v>43.59</v>
      </c>
      <c r="U966" s="26">
        <f>IF(X966&gt;='Methodology &amp; Assumptions'!$B$7, "Tier 1 Critical GIDA (Score ≥ 50.0)", IF(X966&gt;='Methodology &amp; Assumptions'!$B$8, "Tier 2 High GIDA (Score 40.0–49.9)", "Tier 3 Moderate GIDA (Score &lt; 40.0)"))</f>
        <v/>
      </c>
      <c r="V966" s="26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W966" s="28" t="n">
        <v>0.109</v>
      </c>
      <c r="X966" s="14" t="n">
        <v>49.35</v>
      </c>
      <c r="Y966" s="14">
        <f>ROUND(MIN(100, (X966/69.91)*100), 2)</f>
        <v/>
      </c>
    </row>
    <row r="967">
      <c r="A967" s="10" t="n">
        <v>2</v>
      </c>
      <c r="B967" s="10" t="n">
        <v>963</v>
      </c>
      <c r="C967" s="10" t="n">
        <v>1963</v>
      </c>
      <c r="D967" s="10" t="inlineStr">
        <is>
          <t>PH0001963</t>
        </is>
      </c>
      <c r="E967" s="26" t="inlineStr">
        <is>
          <t>NCR</t>
        </is>
      </c>
      <c r="F967" s="26" t="inlineStr">
        <is>
          <t>Metro Manila</t>
        </is>
      </c>
      <c r="G967" s="26" t="inlineStr">
        <is>
          <t>Caloocan City</t>
        </is>
      </c>
      <c r="H967" s="26" t="inlineStr">
        <is>
          <t>Barangay 31</t>
        </is>
      </c>
      <c r="I967" s="27" t="n">
        <v>14.084153</v>
      </c>
      <c r="J967" s="27" t="n">
        <v>122.350141</v>
      </c>
      <c r="K967" s="10" t="inlineStr">
        <is>
          <t>R</t>
        </is>
      </c>
      <c r="L967" s="12" t="n">
        <v>2279</v>
      </c>
      <c r="M967" s="14" t="n">
        <v>3.8</v>
      </c>
      <c r="N967" s="12">
        <f>ROUND(L967/M967, 0)</f>
        <v/>
      </c>
      <c r="O967" s="12">
        <f>ROUND(N967*'Methodology &amp; Assumptions'!$B$5, 0)</f>
        <v/>
      </c>
      <c r="P967" s="10" t="inlineStr">
        <is>
          <t>Single Carrier (Band n50, 100MHz TDD)</t>
        </is>
      </c>
      <c r="Q967" s="13">
        <f>ROUNDUP(O967/'Methodology &amp; Assumptions'!$B$6, 0)</f>
        <v/>
      </c>
      <c r="R967" s="13" t="n">
        <v>1</v>
      </c>
      <c r="S967" s="14" t="n">
        <v>2.68</v>
      </c>
      <c r="T967" s="14" t="n">
        <v>2.36</v>
      </c>
      <c r="U967" s="26">
        <f>IF(X967&gt;='Methodology &amp; Assumptions'!$B$7, "Tier 1 Critical GIDA (Score ≥ 50.0)", IF(X967&gt;='Methodology &amp; Assumptions'!$B$8, "Tier 2 High GIDA (Score 40.0–49.9)", "Tier 3 Moderate GIDA (Score &lt; 40.0)"))</f>
        <v/>
      </c>
      <c r="V967" s="26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W967" s="28" t="n">
        <v>0.011</v>
      </c>
      <c r="X967" s="14" t="n">
        <v>49.35</v>
      </c>
      <c r="Y967" s="14">
        <f>ROUND(MIN(100, (X967/69.91)*100), 2)</f>
        <v/>
      </c>
    </row>
    <row r="968">
      <c r="A968" s="10" t="n">
        <v>2</v>
      </c>
      <c r="B968" s="10" t="n">
        <v>964</v>
      </c>
      <c r="C968" s="10" t="n">
        <v>1964</v>
      </c>
      <c r="D968" s="10" t="inlineStr">
        <is>
          <t>0403425016</t>
        </is>
      </c>
      <c r="E968" s="26" t="inlineStr">
        <is>
          <t>Region IV-A (CALABARZON)</t>
        </is>
      </c>
      <c r="F968" s="26" t="inlineStr">
        <is>
          <t>Laguna</t>
        </is>
      </c>
      <c r="G968" s="26" t="inlineStr">
        <is>
          <t>City of San Pedro</t>
        </is>
      </c>
      <c r="H968" s="26" t="inlineStr">
        <is>
          <t>San Vicente</t>
        </is>
      </c>
      <c r="I968" s="27" t="n">
        <v>14.22744</v>
      </c>
      <c r="J968" s="27" t="n">
        <v>121.29914</v>
      </c>
      <c r="K968" s="10" t="inlineStr">
        <is>
          <t>U</t>
        </is>
      </c>
      <c r="L968" s="12" t="n">
        <v>30211</v>
      </c>
      <c r="M968" s="14" t="n">
        <v>3.3</v>
      </c>
      <c r="N968" s="12">
        <f>ROUND(L968/M968, 0)</f>
        <v/>
      </c>
      <c r="O968" s="12">
        <f>ROUND(N968*'Methodology &amp; Assumptions'!$B$5, 0)</f>
        <v/>
      </c>
      <c r="P968" s="10" t="inlineStr">
        <is>
          <t>Single Carrier (Band n50, 100MHz TDD)</t>
        </is>
      </c>
      <c r="Q968" s="13">
        <f>ROUNDUP(O968/'Methodology &amp; Assumptions'!$B$6, 0)</f>
        <v/>
      </c>
      <c r="R968" s="13" t="n">
        <v>1</v>
      </c>
      <c r="S968" s="14" t="n">
        <v>5.55</v>
      </c>
      <c r="T968" s="14" t="n">
        <v>5.48</v>
      </c>
      <c r="U968" s="26">
        <f>IF(X968&gt;='Methodology &amp; Assumptions'!$B$7, "Tier 1 Critical GIDA (Score ≥ 50.0)", IF(X968&gt;='Methodology &amp; Assumptions'!$B$8, "Tier 2 High GIDA (Score 40.0–49.9)", "Tier 3 Moderate GIDA (Score &lt; 40.0)"))</f>
        <v/>
      </c>
      <c r="V968" s="26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W968" s="28" t="n">
        <v>0.07200000000000001</v>
      </c>
      <c r="X968" s="14" t="n">
        <v>49.35</v>
      </c>
      <c r="Y968" s="14">
        <f>ROUND(MIN(100, (X968/69.91)*100), 2)</f>
        <v/>
      </c>
    </row>
    <row r="969">
      <c r="A969" s="10" t="n">
        <v>2</v>
      </c>
      <c r="B969" s="10" t="n">
        <v>965</v>
      </c>
      <c r="C969" s="10" t="n">
        <v>1965</v>
      </c>
      <c r="D969" s="10" t="inlineStr">
        <is>
          <t>1380611025</t>
        </is>
      </c>
      <c r="E969" s="26" t="inlineStr">
        <is>
          <t>National Capital Region (NCR)</t>
        </is>
      </c>
      <c r="F969" s="26" t="inlineStr">
        <is>
          <t>First District (Not a Province)</t>
        </is>
      </c>
      <c r="G969" s="26" t="inlineStr">
        <is>
          <t>City of Manila</t>
        </is>
      </c>
      <c r="H969" s="26" t="inlineStr">
        <is>
          <t>Barangay 811</t>
        </is>
      </c>
      <c r="I969" s="27" t="n">
        <v>12.390223</v>
      </c>
      <c r="J969" s="27" t="n">
        <v>121.774</v>
      </c>
      <c r="K969" s="10" t="inlineStr">
        <is>
          <t>U</t>
        </is>
      </c>
      <c r="L969" s="12" t="n">
        <v>2403</v>
      </c>
      <c r="M969" s="14" t="n">
        <v>3.9</v>
      </c>
      <c r="N969" s="12">
        <f>ROUND(L969/M969, 0)</f>
        <v/>
      </c>
      <c r="O969" s="12">
        <f>ROUND(N969*'Methodology &amp; Assumptions'!$B$5, 0)</f>
        <v/>
      </c>
      <c r="P969" s="10" t="inlineStr">
        <is>
          <t>Single Carrier (Band n50, 100MHz TDD)</t>
        </is>
      </c>
      <c r="Q969" s="13">
        <f>ROUNDUP(O969/'Methodology &amp; Assumptions'!$B$6, 0)</f>
        <v/>
      </c>
      <c r="R969" s="13" t="n">
        <v>1</v>
      </c>
      <c r="S969" s="14" t="n">
        <v>33.87</v>
      </c>
      <c r="T969" s="14" t="n">
        <v>9.31</v>
      </c>
      <c r="U969" s="26">
        <f>IF(X969&gt;='Methodology &amp; Assumptions'!$B$7, "Tier 1 Critical GIDA (Score ≥ 50.0)", IF(X969&gt;='Methodology &amp; Assumptions'!$B$8, "Tier 2 High GIDA (Score 40.0–49.9)", "Tier 3 Moderate GIDA (Score &lt; 40.0)"))</f>
        <v/>
      </c>
      <c r="V969" s="26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W969" s="28" t="n">
        <v>0.109</v>
      </c>
      <c r="X969" s="14" t="n">
        <v>49.35</v>
      </c>
      <c r="Y969" s="14">
        <f>ROUND(MIN(100, (X969/69.91)*100), 2)</f>
        <v/>
      </c>
    </row>
    <row r="970">
      <c r="A970" s="10" t="n">
        <v>2</v>
      </c>
      <c r="B970" s="10" t="n">
        <v>966</v>
      </c>
      <c r="C970" s="10" t="n">
        <v>1966</v>
      </c>
      <c r="D970" s="10" t="inlineStr">
        <is>
          <t>1381300135</t>
        </is>
      </c>
      <c r="E970" s="26" t="inlineStr">
        <is>
          <t>National Capital Region (NCR)</t>
        </is>
      </c>
      <c r="F970" s="26" t="inlineStr">
        <is>
          <t>Second District (Not a Province)</t>
        </is>
      </c>
      <c r="G970" s="26" t="inlineStr">
        <is>
          <t>Quezon City</t>
        </is>
      </c>
      <c r="H970" s="26" t="inlineStr">
        <is>
          <t>Balong Bato</t>
        </is>
      </c>
      <c r="I970" s="27" t="n">
        <v>14.66358</v>
      </c>
      <c r="J970" s="27" t="n">
        <v>121.003128</v>
      </c>
      <c r="K970" s="10" t="inlineStr">
        <is>
          <t>U</t>
        </is>
      </c>
      <c r="L970" s="12" t="n">
        <v>7284</v>
      </c>
      <c r="M970" s="14" t="n">
        <v>3.8</v>
      </c>
      <c r="N970" s="12">
        <f>ROUND(L970/M970, 0)</f>
        <v/>
      </c>
      <c r="O970" s="12">
        <f>ROUND(N970*'Methodology &amp; Assumptions'!$B$5, 0)</f>
        <v/>
      </c>
      <c r="P970" s="10" t="inlineStr">
        <is>
          <t>Single Carrier (Band n50, 100MHz TDD)</t>
        </is>
      </c>
      <c r="Q970" s="13">
        <f>ROUNDUP(O970/'Methodology &amp; Assumptions'!$B$6, 0)</f>
        <v/>
      </c>
      <c r="R970" s="13" t="n">
        <v>1</v>
      </c>
      <c r="S970" s="14" t="n">
        <v>1.23</v>
      </c>
      <c r="T970" s="14" t="n">
        <v>0.35</v>
      </c>
      <c r="U970" s="26">
        <f>IF(X970&gt;='Methodology &amp; Assumptions'!$B$7, "Tier 1 Critical GIDA (Score ≥ 50.0)", IF(X970&gt;='Methodology &amp; Assumptions'!$B$8, "Tier 2 High GIDA (Score 40.0–49.9)", "Tier 3 Moderate GIDA (Score &lt; 40.0)"))</f>
        <v/>
      </c>
      <c r="V970" s="26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W970" s="28" t="n">
        <v>0.109</v>
      </c>
      <c r="X970" s="14" t="n">
        <v>49.35</v>
      </c>
      <c r="Y970" s="14">
        <f>ROUND(MIN(100, (X970/69.91)*100), 2)</f>
        <v/>
      </c>
    </row>
    <row r="971">
      <c r="A971" s="10" t="n">
        <v>2</v>
      </c>
      <c r="B971" s="10" t="n">
        <v>967</v>
      </c>
      <c r="C971" s="10" t="n">
        <v>1967</v>
      </c>
      <c r="D971" s="10" t="inlineStr">
        <is>
          <t>PH0001967</t>
        </is>
      </c>
      <c r="E971" s="26" t="inlineStr">
        <is>
          <t>NCR</t>
        </is>
      </c>
      <c r="F971" s="26" t="inlineStr">
        <is>
          <t>Metro Manila</t>
        </is>
      </c>
      <c r="G971" s="26" t="inlineStr">
        <is>
          <t>Caloocan City</t>
        </is>
      </c>
      <c r="H971" s="26" t="inlineStr">
        <is>
          <t>Barangay 1</t>
        </is>
      </c>
      <c r="I971" s="27" t="n">
        <v>11.610955</v>
      </c>
      <c r="J971" s="27" t="n">
        <v>122.184358</v>
      </c>
      <c r="K971" s="10" t="inlineStr">
        <is>
          <t>R</t>
        </is>
      </c>
      <c r="L971" s="12" t="n">
        <v>2279</v>
      </c>
      <c r="M971" s="14" t="n">
        <v>3.8</v>
      </c>
      <c r="N971" s="12">
        <f>ROUND(L971/M971, 0)</f>
        <v/>
      </c>
      <c r="O971" s="12">
        <f>ROUND(N971*'Methodology &amp; Assumptions'!$B$5, 0)</f>
        <v/>
      </c>
      <c r="P971" s="10" t="inlineStr">
        <is>
          <t>Single Carrier (Band n50, 100MHz TDD)</t>
        </is>
      </c>
      <c r="Q971" s="13">
        <f>ROUNDUP(O971/'Methodology &amp; Assumptions'!$B$6, 0)</f>
        <v/>
      </c>
      <c r="R971" s="13" t="n">
        <v>1</v>
      </c>
      <c r="S971" s="14" t="n">
        <v>12.32</v>
      </c>
      <c r="T971" s="14" t="n">
        <v>15.84</v>
      </c>
      <c r="U971" s="26">
        <f>IF(X971&gt;='Methodology &amp; Assumptions'!$B$7, "Tier 1 Critical GIDA (Score ≥ 50.0)", IF(X971&gt;='Methodology &amp; Assumptions'!$B$8, "Tier 2 High GIDA (Score 40.0–49.9)", "Tier 3 Moderate GIDA (Score &lt; 40.0)"))</f>
        <v/>
      </c>
      <c r="V971" s="26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W971" s="28" t="n">
        <v>0.011</v>
      </c>
      <c r="X971" s="14" t="n">
        <v>49.35</v>
      </c>
      <c r="Y971" s="14">
        <f>ROUND(MIN(100, (X971/69.91)*100), 2)</f>
        <v/>
      </c>
    </row>
    <row r="972">
      <c r="A972" s="10" t="n">
        <v>2</v>
      </c>
      <c r="B972" s="10" t="n">
        <v>968</v>
      </c>
      <c r="C972" s="10" t="n">
        <v>1968</v>
      </c>
      <c r="D972" s="10" t="inlineStr">
        <is>
          <t>1381100022</t>
        </is>
      </c>
      <c r="E972" s="26" t="inlineStr">
        <is>
          <t>National Capital Region (NCR)</t>
        </is>
      </c>
      <c r="F972" s="26" t="inlineStr">
        <is>
          <t>Fourth District (Not a Province)</t>
        </is>
      </c>
      <c r="G972" s="26" t="inlineStr">
        <is>
          <t>Pasay City</t>
        </is>
      </c>
      <c r="H972" s="26" t="inlineStr">
        <is>
          <t>Barangay 22</t>
        </is>
      </c>
      <c r="I972" s="27" t="n">
        <v>14.447178</v>
      </c>
      <c r="J972" s="27" t="n">
        <v>120.922453</v>
      </c>
      <c r="K972" s="10" t="inlineStr">
        <is>
          <t>U</t>
        </is>
      </c>
      <c r="L972" s="12" t="n">
        <v>734</v>
      </c>
      <c r="M972" s="14" t="n">
        <v>3.4</v>
      </c>
      <c r="N972" s="12">
        <f>ROUND(L972/M972, 0)</f>
        <v/>
      </c>
      <c r="O972" s="12">
        <f>ROUND(N972*'Methodology &amp; Assumptions'!$B$5, 0)</f>
        <v/>
      </c>
      <c r="P972" s="10" t="inlineStr">
        <is>
          <t>Single Carrier (Band n50, 100MHz TDD)</t>
        </is>
      </c>
      <c r="Q972" s="13">
        <f>ROUNDUP(O972/'Methodology &amp; Assumptions'!$B$6, 0)</f>
        <v/>
      </c>
      <c r="R972" s="13" t="n">
        <v>1</v>
      </c>
      <c r="S972" s="14" t="n">
        <v>2.81</v>
      </c>
      <c r="T972" s="14" t="n">
        <v>0.27</v>
      </c>
      <c r="U972" s="26">
        <f>IF(X972&gt;='Methodology &amp; Assumptions'!$B$7, "Tier 1 Critical GIDA (Score ≥ 50.0)", IF(X972&gt;='Methodology &amp; Assumptions'!$B$8, "Tier 2 High GIDA (Score 40.0–49.9)", "Tier 3 Moderate GIDA (Score &lt; 40.0)"))</f>
        <v/>
      </c>
      <c r="V972" s="26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W972" s="28" t="n">
        <v>0.109</v>
      </c>
      <c r="X972" s="14" t="n">
        <v>49.35</v>
      </c>
      <c r="Y972" s="14">
        <f>ROUND(MIN(100, (X972/69.91)*100), 2)</f>
        <v/>
      </c>
    </row>
    <row r="973">
      <c r="A973" s="10" t="n">
        <v>2</v>
      </c>
      <c r="B973" s="10" t="n">
        <v>969</v>
      </c>
      <c r="C973" s="10" t="n">
        <v>1969</v>
      </c>
      <c r="D973" s="10" t="inlineStr">
        <is>
          <t>1380605055</t>
        </is>
      </c>
      <c r="E973" s="26" t="inlineStr">
        <is>
          <t>National Capital Region (NCR)</t>
        </is>
      </c>
      <c r="F973" s="26" t="inlineStr">
        <is>
          <t>First District (Not a Province)</t>
        </is>
      </c>
      <c r="G973" s="26" t="inlineStr">
        <is>
          <t>City of Manila</t>
        </is>
      </c>
      <c r="H973" s="26" t="inlineStr">
        <is>
          <t>Barangay 353</t>
        </is>
      </c>
      <c r="I973" s="27" t="n">
        <v>13.241575</v>
      </c>
      <c r="J973" s="27" t="n">
        <v>121.433844</v>
      </c>
      <c r="K973" s="10" t="inlineStr">
        <is>
          <t>U</t>
        </is>
      </c>
      <c r="L973" s="12" t="n">
        <v>2300</v>
      </c>
      <c r="M973" s="14" t="n">
        <v>3.9</v>
      </c>
      <c r="N973" s="12">
        <f>ROUND(L973/M973, 0)</f>
        <v/>
      </c>
      <c r="O973" s="12">
        <f>ROUND(N973*'Methodology &amp; Assumptions'!$B$5, 0)</f>
        <v/>
      </c>
      <c r="P973" s="10" t="inlineStr">
        <is>
          <t>Single Carrier (Band n50, 100MHz TDD)</t>
        </is>
      </c>
      <c r="Q973" s="13">
        <f>ROUNDUP(O973/'Methodology &amp; Assumptions'!$B$6, 0)</f>
        <v/>
      </c>
      <c r="R973" s="13" t="n">
        <v>1</v>
      </c>
      <c r="S973" s="14" t="n">
        <v>13.77</v>
      </c>
      <c r="T973" s="14" t="n">
        <v>17.7</v>
      </c>
      <c r="U973" s="26">
        <f>IF(X973&gt;='Methodology &amp; Assumptions'!$B$7, "Tier 1 Critical GIDA (Score ≥ 50.0)", IF(X973&gt;='Methodology &amp; Assumptions'!$B$8, "Tier 2 High GIDA (Score 40.0–49.9)", "Tier 3 Moderate GIDA (Score &lt; 40.0)"))</f>
        <v/>
      </c>
      <c r="V973" s="26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W973" s="28" t="n">
        <v>0.109</v>
      </c>
      <c r="X973" s="14" t="n">
        <v>49.35</v>
      </c>
      <c r="Y973" s="14">
        <f>ROUND(MIN(100, (X973/69.91)*100), 2)</f>
        <v/>
      </c>
    </row>
    <row r="974">
      <c r="A974" s="10" t="n">
        <v>2</v>
      </c>
      <c r="B974" s="10" t="n">
        <v>970</v>
      </c>
      <c r="C974" s="10" t="n">
        <v>1970</v>
      </c>
      <c r="D974" s="10" t="inlineStr">
        <is>
          <t>1380606001</t>
        </is>
      </c>
      <c r="E974" s="26" t="inlineStr">
        <is>
          <t>National Capital Region (NCR)</t>
        </is>
      </c>
      <c r="F974" s="26" t="inlineStr">
        <is>
          <t>First District (Not a Province)</t>
        </is>
      </c>
      <c r="G974" s="26" t="inlineStr">
        <is>
          <t>City of Manila</t>
        </is>
      </c>
      <c r="H974" s="26" t="inlineStr">
        <is>
          <t>Barangay 395</t>
        </is>
      </c>
      <c r="I974" s="27" t="n">
        <v>12.836804</v>
      </c>
      <c r="J974" s="27" t="n">
        <v>122.276958</v>
      </c>
      <c r="K974" s="10" t="inlineStr">
        <is>
          <t>U</t>
        </is>
      </c>
      <c r="L974" s="12" t="n">
        <v>1259</v>
      </c>
      <c r="M974" s="14" t="n">
        <v>3.9</v>
      </c>
      <c r="N974" s="12">
        <f>ROUND(L974/M974, 0)</f>
        <v/>
      </c>
      <c r="O974" s="12">
        <f>ROUND(N974*'Methodology &amp; Assumptions'!$B$5, 0)</f>
        <v/>
      </c>
      <c r="P974" s="10" t="inlineStr">
        <is>
          <t>Single Carrier (Band n50, 100MHz TDD)</t>
        </is>
      </c>
      <c r="Q974" s="13">
        <f>ROUNDUP(O974/'Methodology &amp; Assumptions'!$B$6, 0)</f>
        <v/>
      </c>
      <c r="R974" s="13" t="n">
        <v>1</v>
      </c>
      <c r="S974" s="14" t="n">
        <v>61.96</v>
      </c>
      <c r="T974" s="14" t="n">
        <v>77.73</v>
      </c>
      <c r="U974" s="26">
        <f>IF(X974&gt;='Methodology &amp; Assumptions'!$B$7, "Tier 1 Critical GIDA (Score ≥ 50.0)", IF(X974&gt;='Methodology &amp; Assumptions'!$B$8, "Tier 2 High GIDA (Score 40.0–49.9)", "Tier 3 Moderate GIDA (Score &lt; 40.0)"))</f>
        <v/>
      </c>
      <c r="V974" s="26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W974" s="28" t="n">
        <v>0.109</v>
      </c>
      <c r="X974" s="14" t="n">
        <v>49.35</v>
      </c>
      <c r="Y974" s="14">
        <f>ROUND(MIN(100, (X974/69.91)*100), 2)</f>
        <v/>
      </c>
    </row>
    <row r="975">
      <c r="A975" s="10" t="n">
        <v>2</v>
      </c>
      <c r="B975" s="10" t="n">
        <v>971</v>
      </c>
      <c r="C975" s="10" t="n">
        <v>1971</v>
      </c>
      <c r="D975" s="10" t="inlineStr">
        <is>
          <t>1381300037</t>
        </is>
      </c>
      <c r="E975" s="26" t="inlineStr">
        <is>
          <t>National Capital Region (NCR)</t>
        </is>
      </c>
      <c r="F975" s="26" t="inlineStr">
        <is>
          <t>Second District (Not a Province)</t>
        </is>
      </c>
      <c r="G975" s="26" t="inlineStr">
        <is>
          <t>Quezon City</t>
        </is>
      </c>
      <c r="H975" s="26" t="inlineStr">
        <is>
          <t>Escopa I</t>
        </is>
      </c>
      <c r="I975" s="27" t="n">
        <v>14.660613</v>
      </c>
      <c r="J975" s="27" t="n">
        <v>121.057357</v>
      </c>
      <c r="K975" s="10" t="inlineStr">
        <is>
          <t>U</t>
        </is>
      </c>
      <c r="L975" s="12" t="n">
        <v>2199</v>
      </c>
      <c r="M975" s="14" t="n">
        <v>3.8</v>
      </c>
      <c r="N975" s="12">
        <f>ROUND(L975/M975, 0)</f>
        <v/>
      </c>
      <c r="O975" s="12">
        <f>ROUND(N975*'Methodology &amp; Assumptions'!$B$5, 0)</f>
        <v/>
      </c>
      <c r="P975" s="10" t="inlineStr">
        <is>
          <t>Single Carrier (Band n50, 100MHz TDD)</t>
        </is>
      </c>
      <c r="Q975" s="13">
        <f>ROUNDUP(O975/'Methodology &amp; Assumptions'!$B$6, 0)</f>
        <v/>
      </c>
      <c r="R975" s="13" t="n">
        <v>1</v>
      </c>
      <c r="S975" s="14" t="n">
        <v>1.38</v>
      </c>
      <c r="T975" s="14" t="n">
        <v>0.31</v>
      </c>
      <c r="U975" s="26">
        <f>IF(X975&gt;='Methodology &amp; Assumptions'!$B$7, "Tier 1 Critical GIDA (Score ≥ 50.0)", IF(X975&gt;='Methodology &amp; Assumptions'!$B$8, "Tier 2 High GIDA (Score 40.0–49.9)", "Tier 3 Moderate GIDA (Score &lt; 40.0)"))</f>
        <v/>
      </c>
      <c r="V975" s="26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W975" s="28" t="n">
        <v>0.109</v>
      </c>
      <c r="X975" s="14" t="n">
        <v>49.35</v>
      </c>
      <c r="Y975" s="14">
        <f>ROUND(MIN(100, (X975/69.91)*100), 2)</f>
        <v/>
      </c>
    </row>
    <row r="976">
      <c r="A976" s="10" t="n">
        <v>2</v>
      </c>
      <c r="B976" s="10" t="n">
        <v>972</v>
      </c>
      <c r="C976" s="10" t="n">
        <v>1972</v>
      </c>
      <c r="D976" s="10" t="inlineStr">
        <is>
          <t>1380606074</t>
        </is>
      </c>
      <c r="E976" s="26" t="inlineStr">
        <is>
          <t>National Capital Region (NCR)</t>
        </is>
      </c>
      <c r="F976" s="26" t="inlineStr">
        <is>
          <t>First District (Not a Province)</t>
        </is>
      </c>
      <c r="G976" s="26" t="inlineStr">
        <is>
          <t>City of Manila</t>
        </is>
      </c>
      <c r="H976" s="26" t="inlineStr">
        <is>
          <t>Barangay 468</t>
        </is>
      </c>
      <c r="I976" s="27" t="n">
        <v>12.57926</v>
      </c>
      <c r="J976" s="27" t="n">
        <v>121.372354</v>
      </c>
      <c r="K976" s="10" t="inlineStr">
        <is>
          <t>U</t>
        </is>
      </c>
      <c r="L976" s="12" t="n">
        <v>1339</v>
      </c>
      <c r="M976" s="14" t="n">
        <v>3.9</v>
      </c>
      <c r="N976" s="12">
        <f>ROUND(L976/M976, 0)</f>
        <v/>
      </c>
      <c r="O976" s="12">
        <f>ROUND(N976*'Methodology &amp; Assumptions'!$B$5, 0)</f>
        <v/>
      </c>
      <c r="P976" s="10" t="inlineStr">
        <is>
          <t>Single Carrier (Band n50, 100MHz TDD)</t>
        </is>
      </c>
      <c r="Q976" s="13">
        <f>ROUNDUP(O976/'Methodology &amp; Assumptions'!$B$6, 0)</f>
        <v/>
      </c>
      <c r="R976" s="13" t="n">
        <v>1</v>
      </c>
      <c r="S976" s="14" t="n">
        <v>9.74</v>
      </c>
      <c r="T976" s="14" t="n">
        <v>8.720000000000001</v>
      </c>
      <c r="U976" s="26">
        <f>IF(X976&gt;='Methodology &amp; Assumptions'!$B$7, "Tier 1 Critical GIDA (Score ≥ 50.0)", IF(X976&gt;='Methodology &amp; Assumptions'!$B$8, "Tier 2 High GIDA (Score 40.0–49.9)", "Tier 3 Moderate GIDA (Score &lt; 40.0)"))</f>
        <v/>
      </c>
      <c r="V976" s="26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W976" s="28" t="n">
        <v>0.109</v>
      </c>
      <c r="X976" s="14" t="n">
        <v>49.35</v>
      </c>
      <c r="Y976" s="14">
        <f>ROUND(MIN(100, (X976/69.91)*100), 2)</f>
        <v/>
      </c>
    </row>
    <row r="977">
      <c r="A977" s="10" t="n">
        <v>2</v>
      </c>
      <c r="B977" s="10" t="n">
        <v>973</v>
      </c>
      <c r="C977" s="10" t="n">
        <v>1973</v>
      </c>
      <c r="D977" s="10" t="inlineStr">
        <is>
          <t>0603013050</t>
        </is>
      </c>
      <c r="E977" s="26" t="inlineStr">
        <is>
          <t>Region VI (Western Visayas)</t>
        </is>
      </c>
      <c r="F977" s="26" t="inlineStr">
        <is>
          <t>Iloilo</t>
        </is>
      </c>
      <c r="G977" s="26" t="inlineStr">
        <is>
          <t>Calinog</t>
        </is>
      </c>
      <c r="H977" s="26" t="inlineStr">
        <is>
          <t>Manaripay</t>
        </is>
      </c>
      <c r="I977" s="27" t="n">
        <v>11.237338</v>
      </c>
      <c r="J977" s="27" t="n">
        <v>122.388382</v>
      </c>
      <c r="K977" s="10" t="inlineStr">
        <is>
          <t>R</t>
        </is>
      </c>
      <c r="L977" s="12" t="n">
        <v>501</v>
      </c>
      <c r="M977" s="14" t="n">
        <v>3.8</v>
      </c>
      <c r="N977" s="12">
        <f>ROUND(L977/M977, 0)</f>
        <v/>
      </c>
      <c r="O977" s="12">
        <f>ROUND(N977*'Methodology &amp; Assumptions'!$B$5, 0)</f>
        <v/>
      </c>
      <c r="P977" s="10" t="inlineStr">
        <is>
          <t>Single Carrier (Band n50, 100MHz TDD)</t>
        </is>
      </c>
      <c r="Q977" s="13">
        <f>ROUNDUP(O977/'Methodology &amp; Assumptions'!$B$6, 0)</f>
        <v/>
      </c>
      <c r="R977" s="13" t="n">
        <v>1</v>
      </c>
      <c r="S977" s="14" t="n">
        <v>31.52</v>
      </c>
      <c r="T977" s="14" t="n">
        <v>18.54</v>
      </c>
      <c r="U977" s="26">
        <f>IF(X977&gt;='Methodology &amp; Assumptions'!$B$7, "Tier 1 Critical GIDA (Score ≥ 50.0)", IF(X977&gt;='Methodology &amp; Assumptions'!$B$8, "Tier 2 High GIDA (Score 40.0–49.9)", "Tier 3 Moderate GIDA (Score &lt; 40.0)"))</f>
        <v/>
      </c>
      <c r="V977" s="26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W977" s="28" t="n">
        <v>0.237</v>
      </c>
      <c r="X977" s="14" t="n">
        <v>49.34</v>
      </c>
      <c r="Y977" s="14">
        <f>ROUND(MIN(100, (X977/69.91)*100), 2)</f>
        <v/>
      </c>
    </row>
    <row r="978">
      <c r="A978" s="10" t="n">
        <v>2</v>
      </c>
      <c r="B978" s="10" t="n">
        <v>974</v>
      </c>
      <c r="C978" s="10" t="n">
        <v>1974</v>
      </c>
      <c r="D978" s="10" t="inlineStr">
        <is>
          <t>1380606035</t>
        </is>
      </c>
      <c r="E978" s="26" t="inlineStr">
        <is>
          <t>National Capital Region (NCR)</t>
        </is>
      </c>
      <c r="F978" s="26" t="inlineStr">
        <is>
          <t>First District (Not a Province)</t>
        </is>
      </c>
      <c r="G978" s="26" t="inlineStr">
        <is>
          <t>City of Manila</t>
        </is>
      </c>
      <c r="H978" s="26" t="inlineStr">
        <is>
          <t>Barangay 429</t>
        </is>
      </c>
      <c r="I978" s="27" t="n">
        <v>13.367058</v>
      </c>
      <c r="J978" s="27" t="n">
        <v>121.862152</v>
      </c>
      <c r="K978" s="10" t="inlineStr">
        <is>
          <t>U</t>
        </is>
      </c>
      <c r="L978" s="12" t="n">
        <v>2899</v>
      </c>
      <c r="M978" s="14" t="n">
        <v>3.9</v>
      </c>
      <c r="N978" s="12">
        <f>ROUND(L978/M978, 0)</f>
        <v/>
      </c>
      <c r="O978" s="12">
        <f>ROUND(N978*'Methodology &amp; Assumptions'!$B$5, 0)</f>
        <v/>
      </c>
      <c r="P978" s="10" t="inlineStr">
        <is>
          <t>Single Carrier (Band n50, 100MHz TDD)</t>
        </is>
      </c>
      <c r="Q978" s="13">
        <f>ROUNDUP(O978/'Methodology &amp; Assumptions'!$B$6, 0)</f>
        <v/>
      </c>
      <c r="R978" s="13" t="n">
        <v>1</v>
      </c>
      <c r="S978" s="14" t="n">
        <v>49.45</v>
      </c>
      <c r="T978" s="14" t="n">
        <v>49.43</v>
      </c>
      <c r="U978" s="26">
        <f>IF(X978&gt;='Methodology &amp; Assumptions'!$B$7, "Tier 1 Critical GIDA (Score ≥ 50.0)", IF(X978&gt;='Methodology &amp; Assumptions'!$B$8, "Tier 2 High GIDA (Score 40.0–49.9)", "Tier 3 Moderate GIDA (Score &lt; 40.0)"))</f>
        <v/>
      </c>
      <c r="V978" s="26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W978" s="28" t="n">
        <v>0.109</v>
      </c>
      <c r="X978" s="14" t="n">
        <v>49.34</v>
      </c>
      <c r="Y978" s="14">
        <f>ROUND(MIN(100, (X978/69.91)*100), 2)</f>
        <v/>
      </c>
    </row>
    <row r="979">
      <c r="A979" s="10" t="n">
        <v>2</v>
      </c>
      <c r="B979" s="10" t="n">
        <v>975</v>
      </c>
      <c r="C979" s="10" t="n">
        <v>1975</v>
      </c>
      <c r="D979" s="10" t="inlineStr">
        <is>
          <t>1380611009</t>
        </is>
      </c>
      <c r="E979" s="26" t="inlineStr">
        <is>
          <t>National Capital Region (NCR)</t>
        </is>
      </c>
      <c r="F979" s="26" t="inlineStr">
        <is>
          <t>First District (Not a Province)</t>
        </is>
      </c>
      <c r="G979" s="26" t="inlineStr">
        <is>
          <t>City of Manila</t>
        </is>
      </c>
      <c r="H979" s="26" t="inlineStr">
        <is>
          <t>Barangay 675</t>
        </is>
      </c>
      <c r="I979" s="27" t="n">
        <v>12.461188</v>
      </c>
      <c r="J979" s="27" t="n">
        <v>122.047503</v>
      </c>
      <c r="K979" s="10" t="inlineStr">
        <is>
          <t>U</t>
        </is>
      </c>
      <c r="L979" s="12" t="n">
        <v>2048</v>
      </c>
      <c r="M979" s="14" t="n">
        <v>3.9</v>
      </c>
      <c r="N979" s="12">
        <f>ROUND(L979/M979, 0)</f>
        <v/>
      </c>
      <c r="O979" s="12">
        <f>ROUND(N979*'Methodology &amp; Assumptions'!$B$5, 0)</f>
        <v/>
      </c>
      <c r="P979" s="10" t="inlineStr">
        <is>
          <t>Single Carrier (Band n50, 100MHz TDD)</t>
        </is>
      </c>
      <c r="Q979" s="13">
        <f>ROUNDUP(O979/'Methodology &amp; Assumptions'!$B$6, 0)</f>
        <v/>
      </c>
      <c r="R979" s="13" t="n">
        <v>1</v>
      </c>
      <c r="S979" s="14" t="n">
        <v>56.11</v>
      </c>
      <c r="T979" s="14" t="n">
        <v>36.75</v>
      </c>
      <c r="U979" s="26">
        <f>IF(X979&gt;='Methodology &amp; Assumptions'!$B$7, "Tier 1 Critical GIDA (Score ≥ 50.0)", IF(X979&gt;='Methodology &amp; Assumptions'!$B$8, "Tier 2 High GIDA (Score 40.0–49.9)", "Tier 3 Moderate GIDA (Score &lt; 40.0)"))</f>
        <v/>
      </c>
      <c r="V979" s="26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W979" s="28" t="n">
        <v>0.109</v>
      </c>
      <c r="X979" s="14" t="n">
        <v>49.34</v>
      </c>
      <c r="Y979" s="14">
        <f>ROUND(MIN(100, (X979/69.91)*100), 2)</f>
        <v/>
      </c>
    </row>
    <row r="980">
      <c r="A980" s="10" t="n">
        <v>2</v>
      </c>
      <c r="B980" s="10" t="n">
        <v>976</v>
      </c>
      <c r="C980" s="10" t="n">
        <v>1976</v>
      </c>
      <c r="D980" s="10" t="inlineStr">
        <is>
          <t>1380601151</t>
        </is>
      </c>
      <c r="E980" s="26" t="inlineStr">
        <is>
          <t>National Capital Region (NCR)</t>
        </is>
      </c>
      <c r="F980" s="26" t="inlineStr">
        <is>
          <t>First District (Not a Province)</t>
        </is>
      </c>
      <c r="G980" s="26" t="inlineStr">
        <is>
          <t>City of Manila</t>
        </is>
      </c>
      <c r="H980" s="26" t="inlineStr">
        <is>
          <t>Barangay 151</t>
        </is>
      </c>
      <c r="I980" s="27" t="n">
        <v>13.008482</v>
      </c>
      <c r="J980" s="27" t="n">
        <v>121.280975</v>
      </c>
      <c r="K980" s="10" t="inlineStr">
        <is>
          <t>U</t>
        </is>
      </c>
      <c r="L980" s="12" t="n">
        <v>1689</v>
      </c>
      <c r="M980" s="14" t="n">
        <v>3.9</v>
      </c>
      <c r="N980" s="12">
        <f>ROUND(L980/M980, 0)</f>
        <v/>
      </c>
      <c r="O980" s="12">
        <f>ROUND(N980*'Methodology &amp; Assumptions'!$B$5, 0)</f>
        <v/>
      </c>
      <c r="P980" s="10" t="inlineStr">
        <is>
          <t>Single Carrier (Band n50, 100MHz TDD)</t>
        </is>
      </c>
      <c r="Q980" s="13">
        <f>ROUNDUP(O980/'Methodology &amp; Assumptions'!$B$6, 0)</f>
        <v/>
      </c>
      <c r="R980" s="13" t="n">
        <v>1</v>
      </c>
      <c r="S980" s="14" t="n">
        <v>14.37</v>
      </c>
      <c r="T980" s="14" t="n">
        <v>10.54</v>
      </c>
      <c r="U980" s="26">
        <f>IF(X980&gt;='Methodology &amp; Assumptions'!$B$7, "Tier 1 Critical GIDA (Score ≥ 50.0)", IF(X980&gt;='Methodology &amp; Assumptions'!$B$8, "Tier 2 High GIDA (Score 40.0–49.9)", "Tier 3 Moderate GIDA (Score &lt; 40.0)"))</f>
        <v/>
      </c>
      <c r="V980" s="26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W980" s="28" t="n">
        <v>0.109</v>
      </c>
      <c r="X980" s="14" t="n">
        <v>49.34</v>
      </c>
      <c r="Y980" s="14">
        <f>ROUND(MIN(100, (X980/69.91)*100), 2)</f>
        <v/>
      </c>
    </row>
    <row r="981">
      <c r="A981" s="10" t="n">
        <v>2</v>
      </c>
      <c r="B981" s="10" t="n">
        <v>977</v>
      </c>
      <c r="C981" s="10" t="n">
        <v>1977</v>
      </c>
      <c r="D981" s="10" t="inlineStr">
        <is>
          <t>1381300059</t>
        </is>
      </c>
      <c r="E981" s="26" t="inlineStr">
        <is>
          <t>National Capital Region (NCR)</t>
        </is>
      </c>
      <c r="F981" s="26" t="inlineStr">
        <is>
          <t>Second District (Not a Province)</t>
        </is>
      </c>
      <c r="G981" s="26" t="inlineStr">
        <is>
          <t>Quezon City</t>
        </is>
      </c>
      <c r="H981" s="26" t="inlineStr">
        <is>
          <t>Mangga</t>
        </is>
      </c>
      <c r="I981" s="27" t="n">
        <v>14.657616</v>
      </c>
      <c r="J981" s="27" t="n">
        <v>121.033715</v>
      </c>
      <c r="K981" s="10" t="inlineStr">
        <is>
          <t>U</t>
        </is>
      </c>
      <c r="L981" s="12" t="n">
        <v>951</v>
      </c>
      <c r="M981" s="14" t="n">
        <v>3.8</v>
      </c>
      <c r="N981" s="12">
        <f>ROUND(L981/M981, 0)</f>
        <v/>
      </c>
      <c r="O981" s="12">
        <f>ROUND(N981*'Methodology &amp; Assumptions'!$B$5, 0)</f>
        <v/>
      </c>
      <c r="P981" s="10" t="inlineStr">
        <is>
          <t>Single Carrier (Band n50, 100MHz TDD)</t>
        </is>
      </c>
      <c r="Q981" s="13">
        <f>ROUNDUP(O981/'Methodology &amp; Assumptions'!$B$6, 0)</f>
        <v/>
      </c>
      <c r="R981" s="13" t="n">
        <v>1</v>
      </c>
      <c r="S981" s="14" t="n">
        <v>0.45</v>
      </c>
      <c r="T981" s="14" t="n">
        <v>0.14</v>
      </c>
      <c r="U981" s="26">
        <f>IF(X981&gt;='Methodology &amp; Assumptions'!$B$7, "Tier 1 Critical GIDA (Score ≥ 50.0)", IF(X981&gt;='Methodology &amp; Assumptions'!$B$8, "Tier 2 High GIDA (Score 40.0–49.9)", "Tier 3 Moderate GIDA (Score &lt; 40.0)"))</f>
        <v/>
      </c>
      <c r="V981" s="26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W981" s="28" t="n">
        <v>0.109</v>
      </c>
      <c r="X981" s="14" t="n">
        <v>49.34</v>
      </c>
      <c r="Y981" s="14">
        <f>ROUND(MIN(100, (X981/69.91)*100), 2)</f>
        <v/>
      </c>
    </row>
    <row r="982">
      <c r="A982" s="10" t="n">
        <v>2</v>
      </c>
      <c r="B982" s="10" t="n">
        <v>978</v>
      </c>
      <c r="C982" s="10" t="n">
        <v>1978</v>
      </c>
      <c r="D982" s="10" t="inlineStr">
        <is>
          <t>1380606209</t>
        </is>
      </c>
      <c r="E982" s="26" t="inlineStr">
        <is>
          <t>National Capital Region (NCR)</t>
        </is>
      </c>
      <c r="F982" s="26" t="inlineStr">
        <is>
          <t>First District (Not a Province)</t>
        </is>
      </c>
      <c r="G982" s="26" t="inlineStr">
        <is>
          <t>City of Manila</t>
        </is>
      </c>
      <c r="H982" s="26" t="inlineStr">
        <is>
          <t>Barangay 602</t>
        </is>
      </c>
      <c r="I982" s="27" t="n">
        <v>13.110078</v>
      </c>
      <c r="J982" s="27" t="n">
        <v>122.227974</v>
      </c>
      <c r="K982" s="10" t="inlineStr">
        <is>
          <t>U</t>
        </is>
      </c>
      <c r="L982" s="12" t="n">
        <v>2061</v>
      </c>
      <c r="M982" s="14" t="n">
        <v>3.9</v>
      </c>
      <c r="N982" s="12">
        <f>ROUND(L982/M982, 0)</f>
        <v/>
      </c>
      <c r="O982" s="12">
        <f>ROUND(N982*'Methodology &amp; Assumptions'!$B$5, 0)</f>
        <v/>
      </c>
      <c r="P982" s="10" t="inlineStr">
        <is>
          <t>Single Carrier (Band n50, 100MHz TDD)</t>
        </is>
      </c>
      <c r="Q982" s="13">
        <f>ROUNDUP(O982/'Methodology &amp; Assumptions'!$B$6, 0)</f>
        <v/>
      </c>
      <c r="R982" s="13" t="n">
        <v>1</v>
      </c>
      <c r="S982" s="14" t="n">
        <v>40.99</v>
      </c>
      <c r="T982" s="14" t="n">
        <v>49.77</v>
      </c>
      <c r="U982" s="26">
        <f>IF(X982&gt;='Methodology &amp; Assumptions'!$B$7, "Tier 1 Critical GIDA (Score ≥ 50.0)", IF(X982&gt;='Methodology &amp; Assumptions'!$B$8, "Tier 2 High GIDA (Score 40.0–49.9)", "Tier 3 Moderate GIDA (Score &lt; 40.0)"))</f>
        <v/>
      </c>
      <c r="V982" s="26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W982" s="28" t="n">
        <v>0.109</v>
      </c>
      <c r="X982" s="14" t="n">
        <v>49.34</v>
      </c>
      <c r="Y982" s="14">
        <f>ROUND(MIN(100, (X982/69.91)*100), 2)</f>
        <v/>
      </c>
    </row>
    <row r="983">
      <c r="A983" s="10" t="n">
        <v>2</v>
      </c>
      <c r="B983" s="10" t="n">
        <v>979</v>
      </c>
      <c r="C983" s="10" t="n">
        <v>1979</v>
      </c>
      <c r="D983" s="10" t="inlineStr">
        <is>
          <t>1380606130</t>
        </is>
      </c>
      <c r="E983" s="26" t="inlineStr">
        <is>
          <t>National Capital Region (NCR)</t>
        </is>
      </c>
      <c r="F983" s="26" t="inlineStr">
        <is>
          <t>First District (Not a Province)</t>
        </is>
      </c>
      <c r="G983" s="26" t="inlineStr">
        <is>
          <t>City of Manila</t>
        </is>
      </c>
      <c r="H983" s="26" t="inlineStr">
        <is>
          <t>Barangay 524</t>
        </is>
      </c>
      <c r="I983" s="27" t="n">
        <v>12.409596</v>
      </c>
      <c r="J983" s="27" t="n">
        <v>121.59848</v>
      </c>
      <c r="K983" s="10" t="inlineStr">
        <is>
          <t>U</t>
        </is>
      </c>
      <c r="L983" s="12" t="n">
        <v>891</v>
      </c>
      <c r="M983" s="14" t="n">
        <v>3.9</v>
      </c>
      <c r="N983" s="12">
        <f>ROUND(L983/M983, 0)</f>
        <v/>
      </c>
      <c r="O983" s="12">
        <f>ROUND(N983*'Methodology &amp; Assumptions'!$B$5, 0)</f>
        <v/>
      </c>
      <c r="P983" s="10" t="inlineStr">
        <is>
          <t>Single Carrier (Band n50, 100MHz TDD)</t>
        </is>
      </c>
      <c r="Q983" s="13">
        <f>ROUNDUP(O983/'Methodology &amp; Assumptions'!$B$6, 0)</f>
        <v/>
      </c>
      <c r="R983" s="13" t="n">
        <v>1</v>
      </c>
      <c r="S983" s="14" t="n">
        <v>21.26</v>
      </c>
      <c r="T983" s="14" t="n">
        <v>7.9</v>
      </c>
      <c r="U983" s="26">
        <f>IF(X983&gt;='Methodology &amp; Assumptions'!$B$7, "Tier 1 Critical GIDA (Score ≥ 50.0)", IF(X983&gt;='Methodology &amp; Assumptions'!$B$8, "Tier 2 High GIDA (Score 40.0–49.9)", "Tier 3 Moderate GIDA (Score &lt; 40.0)"))</f>
        <v/>
      </c>
      <c r="V983" s="26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W983" s="28" t="n">
        <v>0.109</v>
      </c>
      <c r="X983" s="14" t="n">
        <v>49.34</v>
      </c>
      <c r="Y983" s="14">
        <f>ROUND(MIN(100, (X983/69.91)*100), 2)</f>
        <v/>
      </c>
    </row>
    <row r="984">
      <c r="A984" s="10" t="n">
        <v>2</v>
      </c>
      <c r="B984" s="10" t="n">
        <v>980</v>
      </c>
      <c r="C984" s="10" t="n">
        <v>1980</v>
      </c>
      <c r="D984" s="10" t="inlineStr">
        <is>
          <t>1380601220</t>
        </is>
      </c>
      <c r="E984" s="26" t="inlineStr">
        <is>
          <t>National Capital Region (NCR)</t>
        </is>
      </c>
      <c r="F984" s="26" t="inlineStr">
        <is>
          <t>First District (Not a Province)</t>
        </is>
      </c>
      <c r="G984" s="26" t="inlineStr">
        <is>
          <t>City of Manila</t>
        </is>
      </c>
      <c r="H984" s="26" t="inlineStr">
        <is>
          <t>Barangay 219</t>
        </is>
      </c>
      <c r="I984" s="27" t="n">
        <v>13.34314</v>
      </c>
      <c r="J984" s="27" t="n">
        <v>121.577082</v>
      </c>
      <c r="K984" s="10" t="inlineStr">
        <is>
          <t>U</t>
        </is>
      </c>
      <c r="L984" s="12" t="n">
        <v>1113</v>
      </c>
      <c r="M984" s="14" t="n">
        <v>3.9</v>
      </c>
      <c r="N984" s="12">
        <f>ROUND(L984/M984, 0)</f>
        <v/>
      </c>
      <c r="O984" s="12">
        <f>ROUND(N984*'Methodology &amp; Assumptions'!$B$5, 0)</f>
        <v/>
      </c>
      <c r="P984" s="10" t="inlineStr">
        <is>
          <t>Single Carrier (Band n50, 100MHz TDD)</t>
        </is>
      </c>
      <c r="Q984" s="13">
        <f>ROUNDUP(O984/'Methodology &amp; Assumptions'!$B$6, 0)</f>
        <v/>
      </c>
      <c r="R984" s="13" t="n">
        <v>1</v>
      </c>
      <c r="S984" s="14" t="n">
        <v>29.86</v>
      </c>
      <c r="T984" s="14" t="n">
        <v>34.86</v>
      </c>
      <c r="U984" s="26">
        <f>IF(X984&gt;='Methodology &amp; Assumptions'!$B$7, "Tier 1 Critical GIDA (Score ≥ 50.0)", IF(X984&gt;='Methodology &amp; Assumptions'!$B$8, "Tier 2 High GIDA (Score 40.0–49.9)", "Tier 3 Moderate GIDA (Score &lt; 40.0)"))</f>
        <v/>
      </c>
      <c r="V984" s="26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W984" s="28" t="n">
        <v>0.109</v>
      </c>
      <c r="X984" s="14" t="n">
        <v>49.34</v>
      </c>
      <c r="Y984" s="14">
        <f>ROUND(MIN(100, (X984/69.91)*100), 2)</f>
        <v/>
      </c>
    </row>
    <row r="985">
      <c r="A985" s="10" t="n">
        <v>2</v>
      </c>
      <c r="B985" s="10" t="n">
        <v>981</v>
      </c>
      <c r="C985" s="10" t="n">
        <v>1981</v>
      </c>
      <c r="D985" s="10" t="inlineStr">
        <is>
          <t>1380614006</t>
        </is>
      </c>
      <c r="E985" s="26" t="inlineStr">
        <is>
          <t>National Capital Region (NCR)</t>
        </is>
      </c>
      <c r="F985" s="26" t="inlineStr">
        <is>
          <t>First District (Not a Province)</t>
        </is>
      </c>
      <c r="G985" s="26" t="inlineStr">
        <is>
          <t>City of Manila</t>
        </is>
      </c>
      <c r="H985" s="26" t="inlineStr">
        <is>
          <t>Barangay 749</t>
        </is>
      </c>
      <c r="I985" s="27" t="n">
        <v>12.667134</v>
      </c>
      <c r="J985" s="27" t="n">
        <v>122.241614</v>
      </c>
      <c r="K985" s="10" t="inlineStr">
        <is>
          <t>U</t>
        </is>
      </c>
      <c r="L985" s="12" t="n">
        <v>635</v>
      </c>
      <c r="M985" s="14" t="n">
        <v>3.9</v>
      </c>
      <c r="N985" s="12">
        <f>ROUND(L985/M985, 0)</f>
        <v/>
      </c>
      <c r="O985" s="12">
        <f>ROUND(N985*'Methodology &amp; Assumptions'!$B$5, 0)</f>
        <v/>
      </c>
      <c r="P985" s="10" t="inlineStr">
        <is>
          <t>Single Carrier (Band n50, 100MHz TDD)</t>
        </is>
      </c>
      <c r="Q985" s="13">
        <f>ROUNDUP(O985/'Methodology &amp; Assumptions'!$B$6, 0)</f>
        <v/>
      </c>
      <c r="R985" s="13" t="n">
        <v>1</v>
      </c>
      <c r="S985" s="14" t="n">
        <v>75.19</v>
      </c>
      <c r="T985" s="14" t="n">
        <v>65.34999999999999</v>
      </c>
      <c r="U985" s="26">
        <f>IF(X985&gt;='Methodology &amp; Assumptions'!$B$7, "Tier 1 Critical GIDA (Score ≥ 50.0)", IF(X985&gt;='Methodology &amp; Assumptions'!$B$8, "Tier 2 High GIDA (Score 40.0–49.9)", "Tier 3 Moderate GIDA (Score &lt; 40.0)"))</f>
        <v/>
      </c>
      <c r="V985" s="26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W985" s="28" t="n">
        <v>0.109</v>
      </c>
      <c r="X985" s="14" t="n">
        <v>49.34</v>
      </c>
      <c r="Y985" s="14">
        <f>ROUND(MIN(100, (X985/69.91)*100), 2)</f>
        <v/>
      </c>
    </row>
    <row r="986">
      <c r="A986" s="10" t="n">
        <v>2</v>
      </c>
      <c r="B986" s="10" t="n">
        <v>982</v>
      </c>
      <c r="C986" s="10" t="n">
        <v>1982</v>
      </c>
      <c r="D986" s="10" t="inlineStr">
        <is>
          <t>1380610031</t>
        </is>
      </c>
      <c r="E986" s="26" t="inlineStr">
        <is>
          <t>National Capital Region (NCR)</t>
        </is>
      </c>
      <c r="F986" s="26" t="inlineStr">
        <is>
          <t>First District (Not a Province)</t>
        </is>
      </c>
      <c r="G986" s="26" t="inlineStr">
        <is>
          <t>City of Manila</t>
        </is>
      </c>
      <c r="H986" s="26" t="inlineStr">
        <is>
          <t>Barangay 716</t>
        </is>
      </c>
      <c r="I986" s="27" t="n">
        <v>12.728047</v>
      </c>
      <c r="J986" s="27" t="n">
        <v>121.280604</v>
      </c>
      <c r="K986" s="10" t="inlineStr">
        <is>
          <t>U</t>
        </is>
      </c>
      <c r="L986" s="12" t="n">
        <v>948</v>
      </c>
      <c r="M986" s="14" t="n">
        <v>3.9</v>
      </c>
      <c r="N986" s="12">
        <f>ROUND(L986/M986, 0)</f>
        <v/>
      </c>
      <c r="O986" s="12">
        <f>ROUND(N986*'Methodology &amp; Assumptions'!$B$5, 0)</f>
        <v/>
      </c>
      <c r="P986" s="10" t="inlineStr">
        <is>
          <t>Single Carrier (Band n50, 100MHz TDD)</t>
        </is>
      </c>
      <c r="Q986" s="13">
        <f>ROUNDUP(O986/'Methodology &amp; Assumptions'!$B$6, 0)</f>
        <v/>
      </c>
      <c r="R986" s="13" t="n">
        <v>1</v>
      </c>
      <c r="S986" s="14" t="n">
        <v>22.49</v>
      </c>
      <c r="T986" s="14" t="n">
        <v>20.57</v>
      </c>
      <c r="U986" s="26">
        <f>IF(X986&gt;='Methodology &amp; Assumptions'!$B$7, "Tier 1 Critical GIDA (Score ≥ 50.0)", IF(X986&gt;='Methodology &amp; Assumptions'!$B$8, "Tier 2 High GIDA (Score 40.0–49.9)", "Tier 3 Moderate GIDA (Score &lt; 40.0)"))</f>
        <v/>
      </c>
      <c r="V986" s="26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W986" s="28" t="n">
        <v>0.109</v>
      </c>
      <c r="X986" s="14" t="n">
        <v>49.34</v>
      </c>
      <c r="Y986" s="14">
        <f>ROUND(MIN(100, (X986/69.91)*100), 2)</f>
        <v/>
      </c>
    </row>
    <row r="987">
      <c r="A987" s="10" t="n">
        <v>2</v>
      </c>
      <c r="B987" s="10" t="n">
        <v>983</v>
      </c>
      <c r="C987" s="10" t="n">
        <v>1983</v>
      </c>
      <c r="D987" s="10" t="inlineStr">
        <is>
          <t>0405811011</t>
        </is>
      </c>
      <c r="E987" s="26" t="inlineStr">
        <is>
          <t>Region IV-A (CALABARZON)</t>
        </is>
      </c>
      <c r="F987" s="26" t="inlineStr">
        <is>
          <t>Rizal</t>
        </is>
      </c>
      <c r="G987" s="26" t="inlineStr">
        <is>
          <t>San Mateo</t>
        </is>
      </c>
      <c r="H987" s="26" t="inlineStr">
        <is>
          <t>Ampid II</t>
        </is>
      </c>
      <c r="I987" s="27" t="n">
        <v>14.687108</v>
      </c>
      <c r="J987" s="27" t="n">
        <v>121.114674</v>
      </c>
      <c r="K987" s="10" t="inlineStr">
        <is>
          <t>U</t>
        </is>
      </c>
      <c r="L987" s="12" t="n">
        <v>4458</v>
      </c>
      <c r="M987" s="14" t="n">
        <v>3.6</v>
      </c>
      <c r="N987" s="12">
        <f>ROUND(L987/M987, 0)</f>
        <v/>
      </c>
      <c r="O987" s="12">
        <f>ROUND(N987*'Methodology &amp; Assumptions'!$B$5, 0)</f>
        <v/>
      </c>
      <c r="P987" s="10" t="inlineStr">
        <is>
          <t>Single Carrier (Band n50, 100MHz TDD)</t>
        </is>
      </c>
      <c r="Q987" s="13">
        <f>ROUNDUP(O987/'Methodology &amp; Assumptions'!$B$6, 0)</f>
        <v/>
      </c>
      <c r="R987" s="13" t="n">
        <v>1</v>
      </c>
      <c r="S987" s="14" t="n">
        <v>0.16</v>
      </c>
      <c r="T987" s="14" t="n">
        <v>0.17</v>
      </c>
      <c r="U987" s="26">
        <f>IF(X987&gt;='Methodology &amp; Assumptions'!$B$7, "Tier 1 Critical GIDA (Score ≥ 50.0)", IF(X987&gt;='Methodology &amp; Assumptions'!$B$8, "Tier 2 High GIDA (Score 40.0–49.9)", "Tier 3 Moderate GIDA (Score &lt; 40.0)"))</f>
        <v/>
      </c>
      <c r="V987" s="26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W987" s="28" t="n">
        <v>0.07200000000000001</v>
      </c>
      <c r="X987" s="14" t="n">
        <v>49.33</v>
      </c>
      <c r="Y987" s="14">
        <f>ROUND(MIN(100, (X987/69.91)*100), 2)</f>
        <v/>
      </c>
    </row>
    <row r="988">
      <c r="A988" s="10" t="n">
        <v>2</v>
      </c>
      <c r="B988" s="10" t="n">
        <v>984</v>
      </c>
      <c r="C988" s="10" t="n">
        <v>1984</v>
      </c>
      <c r="D988" s="10" t="inlineStr">
        <is>
          <t>1705306012</t>
        </is>
      </c>
      <c r="E988" s="26" t="inlineStr">
        <is>
          <t>MIMAROPA Region</t>
        </is>
      </c>
      <c r="F988" s="26" t="inlineStr">
        <is>
          <t>Palawan</t>
        </is>
      </c>
      <c r="G988" s="26" t="inlineStr">
        <is>
          <t>Brooke'S Point</t>
        </is>
      </c>
      <c r="H988" s="26" t="inlineStr">
        <is>
          <t>Malis</t>
        </is>
      </c>
      <c r="I988" s="27" t="n">
        <v>8.71847</v>
      </c>
      <c r="J988" s="27" t="n">
        <v>117.70169</v>
      </c>
      <c r="K988" s="10" t="inlineStr">
        <is>
          <t>R</t>
        </is>
      </c>
      <c r="L988" s="12" t="n">
        <v>4279</v>
      </c>
      <c r="M988" s="14" t="n">
        <v>3.9</v>
      </c>
      <c r="N988" s="12">
        <f>ROUND(L988/M988, 0)</f>
        <v/>
      </c>
      <c r="O988" s="12">
        <f>ROUND(N988*'Methodology &amp; Assumptions'!$B$5, 0)</f>
        <v/>
      </c>
      <c r="P988" s="10" t="inlineStr">
        <is>
          <t>Single Carrier (Band n50, 100MHz TDD)</t>
        </is>
      </c>
      <c r="Q988" s="13">
        <f>ROUNDUP(O988/'Methodology &amp; Assumptions'!$B$6, 0)</f>
        <v/>
      </c>
      <c r="R988" s="13" t="n">
        <v>1</v>
      </c>
      <c r="S988" s="14" t="n">
        <v>160.45</v>
      </c>
      <c r="T988" s="14" t="n">
        <v>162.75</v>
      </c>
      <c r="U988" s="26">
        <f>IF(X988&gt;='Methodology &amp; Assumptions'!$B$7, "Tier 1 Critical GIDA (Score ≥ 50.0)", IF(X988&gt;='Methodology &amp; Assumptions'!$B$8, "Tier 2 High GIDA (Score 40.0–49.9)", "Tier 3 Moderate GIDA (Score &lt; 40.0)"))</f>
        <v/>
      </c>
      <c r="V988" s="26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W988" s="28" t="n">
        <v>0.15</v>
      </c>
      <c r="X988" s="14" t="n">
        <v>49.33</v>
      </c>
      <c r="Y988" s="14">
        <f>ROUND(MIN(100, (X988/69.91)*100), 2)</f>
        <v/>
      </c>
    </row>
    <row r="989">
      <c r="A989" s="10" t="n">
        <v>2</v>
      </c>
      <c r="B989" s="10" t="n">
        <v>985</v>
      </c>
      <c r="C989" s="10" t="n">
        <v>1985</v>
      </c>
      <c r="D989" s="10" t="inlineStr">
        <is>
          <t>1380611037</t>
        </is>
      </c>
      <c r="E989" s="26" t="inlineStr">
        <is>
          <t>National Capital Region (NCR)</t>
        </is>
      </c>
      <c r="F989" s="26" t="inlineStr">
        <is>
          <t>First District (Not a Province)</t>
        </is>
      </c>
      <c r="G989" s="26" t="inlineStr">
        <is>
          <t>City of Manila</t>
        </is>
      </c>
      <c r="H989" s="26" t="inlineStr">
        <is>
          <t>Barangay 822</t>
        </is>
      </c>
      <c r="I989" s="27" t="n">
        <v>13.317626</v>
      </c>
      <c r="J989" s="27" t="n">
        <v>122.033362</v>
      </c>
      <c r="K989" s="10" t="inlineStr">
        <is>
          <t>U</t>
        </is>
      </c>
      <c r="L989" s="12" t="n">
        <v>924</v>
      </c>
      <c r="M989" s="14" t="n">
        <v>3.9</v>
      </c>
      <c r="N989" s="12">
        <f>ROUND(L989/M989, 0)</f>
        <v/>
      </c>
      <c r="O989" s="12">
        <f>ROUND(N989*'Methodology &amp; Assumptions'!$B$5, 0)</f>
        <v/>
      </c>
      <c r="P989" s="10" t="inlineStr">
        <is>
          <t>Single Carrier (Band n50, 100MHz TDD)</t>
        </is>
      </c>
      <c r="Q989" s="13">
        <f>ROUNDUP(O989/'Methodology &amp; Assumptions'!$B$6, 0)</f>
        <v/>
      </c>
      <c r="R989" s="13" t="n">
        <v>1</v>
      </c>
      <c r="S989" s="14" t="n">
        <v>41.93</v>
      </c>
      <c r="T989" s="14" t="n">
        <v>41.12</v>
      </c>
      <c r="U989" s="26">
        <f>IF(X989&gt;='Methodology &amp; Assumptions'!$B$7, "Tier 1 Critical GIDA (Score ≥ 50.0)", IF(X989&gt;='Methodology &amp; Assumptions'!$B$8, "Tier 2 High GIDA (Score 40.0–49.9)", "Tier 3 Moderate GIDA (Score &lt; 40.0)"))</f>
        <v/>
      </c>
      <c r="V989" s="26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W989" s="28" t="n">
        <v>0.109</v>
      </c>
      <c r="X989" s="14" t="n">
        <v>49.33</v>
      </c>
      <c r="Y989" s="14">
        <f>ROUND(MIN(100, (X989/69.91)*100), 2)</f>
        <v/>
      </c>
    </row>
    <row r="990">
      <c r="A990" s="10" t="n">
        <v>2</v>
      </c>
      <c r="B990" s="10" t="n">
        <v>986</v>
      </c>
      <c r="C990" s="10" t="n">
        <v>1986</v>
      </c>
      <c r="D990" s="10" t="inlineStr">
        <is>
          <t>1380601059</t>
        </is>
      </c>
      <c r="E990" s="26" t="inlineStr">
        <is>
          <t>National Capital Region (NCR)</t>
        </is>
      </c>
      <c r="F990" s="26" t="inlineStr">
        <is>
          <t>First District (Not a Province)</t>
        </is>
      </c>
      <c r="G990" s="26" t="inlineStr">
        <is>
          <t>City of Manila</t>
        </is>
      </c>
      <c r="H990" s="26" t="inlineStr">
        <is>
          <t>Barangay 59</t>
        </is>
      </c>
      <c r="I990" s="27" t="n">
        <v>12.384696</v>
      </c>
      <c r="J990" s="27" t="n">
        <v>121.886572</v>
      </c>
      <c r="K990" s="10" t="inlineStr">
        <is>
          <t>U</t>
        </is>
      </c>
      <c r="L990" s="12" t="n">
        <v>1146</v>
      </c>
      <c r="M990" s="14" t="n">
        <v>3.9</v>
      </c>
      <c r="N990" s="12">
        <f>ROUND(L990/M990, 0)</f>
        <v/>
      </c>
      <c r="O990" s="12">
        <f>ROUND(N990*'Methodology &amp; Assumptions'!$B$5, 0)</f>
        <v/>
      </c>
      <c r="P990" s="10" t="inlineStr">
        <is>
          <t>Single Carrier (Band n50, 100MHz TDD)</t>
        </is>
      </c>
      <c r="Q990" s="13">
        <f>ROUNDUP(O990/'Methodology &amp; Assumptions'!$B$6, 0)</f>
        <v/>
      </c>
      <c r="R990" s="13" t="n">
        <v>1</v>
      </c>
      <c r="S990" s="14" t="n">
        <v>43.77</v>
      </c>
      <c r="T990" s="14" t="n">
        <v>21.39</v>
      </c>
      <c r="U990" s="26">
        <f>IF(X990&gt;='Methodology &amp; Assumptions'!$B$7, "Tier 1 Critical GIDA (Score ≥ 50.0)", IF(X990&gt;='Methodology &amp; Assumptions'!$B$8, "Tier 2 High GIDA (Score 40.0–49.9)", "Tier 3 Moderate GIDA (Score &lt; 40.0)"))</f>
        <v/>
      </c>
      <c r="V990" s="26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W990" s="28" t="n">
        <v>0.109</v>
      </c>
      <c r="X990" s="14" t="n">
        <v>49.33</v>
      </c>
      <c r="Y990" s="14">
        <f>ROUND(MIN(100, (X990/69.91)*100), 2)</f>
        <v/>
      </c>
    </row>
    <row r="991">
      <c r="A991" s="10" t="n">
        <v>2</v>
      </c>
      <c r="B991" s="10" t="n">
        <v>987</v>
      </c>
      <c r="C991" s="10" t="n">
        <v>1987</v>
      </c>
      <c r="D991" s="10" t="inlineStr">
        <is>
          <t>PH0001987</t>
        </is>
      </c>
      <c r="E991" s="26" t="inlineStr">
        <is>
          <t>NCR</t>
        </is>
      </c>
      <c r="F991" s="26" t="inlineStr">
        <is>
          <t>Metro Manila</t>
        </is>
      </c>
      <c r="G991" s="26" t="inlineStr">
        <is>
          <t>Caloocan City</t>
        </is>
      </c>
      <c r="H991" s="26" t="inlineStr">
        <is>
          <t>Barangay 80</t>
        </is>
      </c>
      <c r="I991" s="27" t="n">
        <v>13.545533</v>
      </c>
      <c r="J991" s="27" t="n">
        <v>120.590979</v>
      </c>
      <c r="K991" s="10" t="inlineStr">
        <is>
          <t>R</t>
        </is>
      </c>
      <c r="L991" s="12" t="n">
        <v>2279</v>
      </c>
      <c r="M991" s="14" t="n">
        <v>3.8</v>
      </c>
      <c r="N991" s="12">
        <f>ROUND(L991/M991, 0)</f>
        <v/>
      </c>
      <c r="O991" s="12">
        <f>ROUND(N991*'Methodology &amp; Assumptions'!$B$5, 0)</f>
        <v/>
      </c>
      <c r="P991" s="10" t="inlineStr">
        <is>
          <t>Single Carrier (Band n50, 100MHz TDD)</t>
        </is>
      </c>
      <c r="Q991" s="13">
        <f>ROUNDUP(O991/'Methodology &amp; Assumptions'!$B$6, 0)</f>
        <v/>
      </c>
      <c r="R991" s="13" t="n">
        <v>1</v>
      </c>
      <c r="S991" s="14" t="n">
        <v>31.66</v>
      </c>
      <c r="T991" s="14" t="n">
        <v>31.76</v>
      </c>
      <c r="U991" s="26">
        <f>IF(X991&gt;='Methodology &amp; Assumptions'!$B$7, "Tier 1 Critical GIDA (Score ≥ 50.0)", IF(X991&gt;='Methodology &amp; Assumptions'!$B$8, "Tier 2 High GIDA (Score 40.0–49.9)", "Tier 3 Moderate GIDA (Score &lt; 40.0)"))</f>
        <v/>
      </c>
      <c r="V991" s="26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W991" s="28" t="n">
        <v>0.011</v>
      </c>
      <c r="X991" s="14" t="n">
        <v>49.33</v>
      </c>
      <c r="Y991" s="14">
        <f>ROUND(MIN(100, (X991/69.91)*100), 2)</f>
        <v/>
      </c>
    </row>
    <row r="992">
      <c r="A992" s="10" t="n">
        <v>2</v>
      </c>
      <c r="B992" s="10" t="n">
        <v>988</v>
      </c>
      <c r="C992" s="10" t="n">
        <v>1988</v>
      </c>
      <c r="D992" s="10" t="inlineStr">
        <is>
          <t>1381100148</t>
        </is>
      </c>
      <c r="E992" s="26" t="inlineStr">
        <is>
          <t>National Capital Region (NCR)</t>
        </is>
      </c>
      <c r="F992" s="26" t="inlineStr">
        <is>
          <t>Fourth District (Not a Province)</t>
        </is>
      </c>
      <c r="G992" s="26" t="inlineStr">
        <is>
          <t>Pasay City</t>
        </is>
      </c>
      <c r="H992" s="26" t="inlineStr">
        <is>
          <t>Barangay 148</t>
        </is>
      </c>
      <c r="I992" s="27" t="n">
        <v>14.664519</v>
      </c>
      <c r="J992" s="27" t="n">
        <v>120.998138</v>
      </c>
      <c r="K992" s="10" t="inlineStr">
        <is>
          <t>U</t>
        </is>
      </c>
      <c r="L992" s="12" t="n">
        <v>3254</v>
      </c>
      <c r="M992" s="14" t="n">
        <v>3.4</v>
      </c>
      <c r="N992" s="12">
        <f>ROUND(L992/M992, 0)</f>
        <v/>
      </c>
      <c r="O992" s="12">
        <f>ROUND(N992*'Methodology &amp; Assumptions'!$B$5, 0)</f>
        <v/>
      </c>
      <c r="P992" s="10" t="inlineStr">
        <is>
          <t>Single Carrier (Band n50, 100MHz TDD)</t>
        </is>
      </c>
      <c r="Q992" s="13">
        <f>ROUNDUP(O992/'Methodology &amp; Assumptions'!$B$6, 0)</f>
        <v/>
      </c>
      <c r="R992" s="13" t="n">
        <v>1</v>
      </c>
      <c r="S992" s="14" t="n">
        <v>1.03</v>
      </c>
      <c r="T992" s="14" t="n">
        <v>0.82</v>
      </c>
      <c r="U992" s="26">
        <f>IF(X992&gt;='Methodology &amp; Assumptions'!$B$7, "Tier 1 Critical GIDA (Score ≥ 50.0)", IF(X992&gt;='Methodology &amp; Assumptions'!$B$8, "Tier 2 High GIDA (Score 40.0–49.9)", "Tier 3 Moderate GIDA (Score &lt; 40.0)"))</f>
        <v/>
      </c>
      <c r="V992" s="26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W992" s="28" t="n">
        <v>0.109</v>
      </c>
      <c r="X992" s="14" t="n">
        <v>49.33</v>
      </c>
      <c r="Y992" s="14">
        <f>ROUND(MIN(100, (X992/69.91)*100), 2)</f>
        <v/>
      </c>
    </row>
    <row r="993">
      <c r="A993" s="10" t="n">
        <v>2</v>
      </c>
      <c r="B993" s="10" t="n">
        <v>989</v>
      </c>
      <c r="C993" s="10" t="n">
        <v>1989</v>
      </c>
      <c r="D993" s="10" t="inlineStr">
        <is>
          <t>1380612023</t>
        </is>
      </c>
      <c r="E993" s="26" t="inlineStr">
        <is>
          <t>National Capital Region (NCR)</t>
        </is>
      </c>
      <c r="F993" s="26" t="inlineStr">
        <is>
          <t>First District (Not a Province)</t>
        </is>
      </c>
      <c r="G993" s="26" t="inlineStr">
        <is>
          <t>City of Manila</t>
        </is>
      </c>
      <c r="H993" s="26" t="inlineStr">
        <is>
          <t>Barangay 855</t>
        </is>
      </c>
      <c r="I993" s="27" t="n">
        <v>13.17129</v>
      </c>
      <c r="J993" s="27" t="n">
        <v>121.346818</v>
      </c>
      <c r="K993" s="10" t="inlineStr">
        <is>
          <t>U</t>
        </is>
      </c>
      <c r="L993" s="12" t="n">
        <v>2207</v>
      </c>
      <c r="M993" s="14" t="n">
        <v>3.9</v>
      </c>
      <c r="N993" s="12">
        <f>ROUND(L993/M993, 0)</f>
        <v/>
      </c>
      <c r="O993" s="12">
        <f>ROUND(N993*'Methodology &amp; Assumptions'!$B$5, 0)</f>
        <v/>
      </c>
      <c r="P993" s="10" t="inlineStr">
        <is>
          <t>Single Carrier (Band n50, 100MHz TDD)</t>
        </is>
      </c>
      <c r="Q993" s="13">
        <f>ROUNDUP(O993/'Methodology &amp; Assumptions'!$B$6, 0)</f>
        <v/>
      </c>
      <c r="R993" s="13" t="n">
        <v>1</v>
      </c>
      <c r="S993" s="14" t="n">
        <v>7.25</v>
      </c>
      <c r="T993" s="14" t="n">
        <v>7.17</v>
      </c>
      <c r="U993" s="26">
        <f>IF(X993&gt;='Methodology &amp; Assumptions'!$B$7, "Tier 1 Critical GIDA (Score ≥ 50.0)", IF(X993&gt;='Methodology &amp; Assumptions'!$B$8, "Tier 2 High GIDA (Score 40.0–49.9)", "Tier 3 Moderate GIDA (Score &lt; 40.0)"))</f>
        <v/>
      </c>
      <c r="V993" s="26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W993" s="28" t="n">
        <v>0.109</v>
      </c>
      <c r="X993" s="14" t="n">
        <v>49.33</v>
      </c>
      <c r="Y993" s="14">
        <f>ROUND(MIN(100, (X993/69.91)*100), 2)</f>
        <v/>
      </c>
    </row>
    <row r="994">
      <c r="A994" s="10" t="n">
        <v>2</v>
      </c>
      <c r="B994" s="10" t="n">
        <v>990</v>
      </c>
      <c r="C994" s="10" t="n">
        <v>1990</v>
      </c>
      <c r="D994" s="10" t="inlineStr">
        <is>
          <t>1380603004</t>
        </is>
      </c>
      <c r="E994" s="26" t="inlineStr">
        <is>
          <t>National Capital Region (NCR)</t>
        </is>
      </c>
      <c r="F994" s="26" t="inlineStr">
        <is>
          <t>First District (Not a Province)</t>
        </is>
      </c>
      <c r="G994" s="26" t="inlineStr">
        <is>
          <t>City of Manila</t>
        </is>
      </c>
      <c r="H994" s="26" t="inlineStr">
        <is>
          <t>Barangay 384</t>
        </is>
      </c>
      <c r="I994" s="27" t="n">
        <v>12.946232</v>
      </c>
      <c r="J994" s="27" t="n">
        <v>122.292404</v>
      </c>
      <c r="K994" s="10" t="inlineStr">
        <is>
          <t>U</t>
        </is>
      </c>
      <c r="L994" s="12" t="n">
        <v>3618</v>
      </c>
      <c r="M994" s="14" t="n">
        <v>3.9</v>
      </c>
      <c r="N994" s="12">
        <f>ROUND(L994/M994, 0)</f>
        <v/>
      </c>
      <c r="O994" s="12">
        <f>ROUND(N994*'Methodology &amp; Assumptions'!$B$5, 0)</f>
        <v/>
      </c>
      <c r="P994" s="10" t="inlineStr">
        <is>
          <t>Single Carrier (Band n50, 100MHz TDD)</t>
        </is>
      </c>
      <c r="Q994" s="13">
        <f>ROUNDUP(O994/'Methodology &amp; Assumptions'!$B$6, 0)</f>
        <v/>
      </c>
      <c r="R994" s="13" t="n">
        <v>1</v>
      </c>
      <c r="S994" s="14" t="n">
        <v>50.77</v>
      </c>
      <c r="T994" s="14" t="n">
        <v>65.52</v>
      </c>
      <c r="U994" s="26">
        <f>IF(X994&gt;='Methodology &amp; Assumptions'!$B$7, "Tier 1 Critical GIDA (Score ≥ 50.0)", IF(X994&gt;='Methodology &amp; Assumptions'!$B$8, "Tier 2 High GIDA (Score 40.0–49.9)", "Tier 3 Moderate GIDA (Score &lt; 40.0)"))</f>
        <v/>
      </c>
      <c r="V994" s="26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W994" s="28" t="n">
        <v>0.109</v>
      </c>
      <c r="X994" s="14" t="n">
        <v>49.32</v>
      </c>
      <c r="Y994" s="14">
        <f>ROUND(MIN(100, (X994/69.91)*100), 2)</f>
        <v/>
      </c>
    </row>
    <row r="995">
      <c r="A995" s="10" t="n">
        <v>2</v>
      </c>
      <c r="B995" s="10" t="n">
        <v>991</v>
      </c>
      <c r="C995" s="10" t="n">
        <v>1991</v>
      </c>
      <c r="D995" s="10" t="inlineStr">
        <is>
          <t>0401005072</t>
        </is>
      </c>
      <c r="E995" s="26" t="inlineStr">
        <is>
          <t>Region IV-A (CALABARZON)</t>
        </is>
      </c>
      <c r="F995" s="26" t="inlineStr">
        <is>
          <t>Batangas</t>
        </is>
      </c>
      <c r="G995" s="26" t="inlineStr">
        <is>
          <t>Batangas City</t>
        </is>
      </c>
      <c r="H995" s="26" t="inlineStr">
        <is>
          <t>Barangay 3</t>
        </is>
      </c>
      <c r="I995" s="27" t="n">
        <v>13.708287</v>
      </c>
      <c r="J995" s="27" t="n">
        <v>121.106914</v>
      </c>
      <c r="K995" s="10" t="inlineStr">
        <is>
          <t>U</t>
        </is>
      </c>
      <c r="L995" s="12" t="n">
        <v>268</v>
      </c>
      <c r="M995" s="14" t="n">
        <v>3.6</v>
      </c>
      <c r="N995" s="12">
        <f>ROUND(L995/M995, 0)</f>
        <v/>
      </c>
      <c r="O995" s="12">
        <f>ROUND(N995*'Methodology &amp; Assumptions'!$B$5, 0)</f>
        <v/>
      </c>
      <c r="P995" s="10" t="inlineStr">
        <is>
          <t>Single Carrier (Band n50, 100MHz TDD)</t>
        </is>
      </c>
      <c r="Q995" s="13">
        <f>ROUNDUP(O995/'Methodology &amp; Assumptions'!$B$6, 0)</f>
        <v/>
      </c>
      <c r="R995" s="13" t="n">
        <v>1</v>
      </c>
      <c r="S995" s="14" t="n">
        <v>3.4</v>
      </c>
      <c r="T995" s="14" t="n">
        <v>7.17</v>
      </c>
      <c r="U995" s="26">
        <f>IF(X995&gt;='Methodology &amp; Assumptions'!$B$7, "Tier 1 Critical GIDA (Score ≥ 50.0)", IF(X995&gt;='Methodology &amp; Assumptions'!$B$8, "Tier 2 High GIDA (Score 40.0–49.9)", "Tier 3 Moderate GIDA (Score &lt; 40.0)"))</f>
        <v/>
      </c>
      <c r="V995" s="26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W995" s="28" t="n">
        <v>0.07200000000000001</v>
      </c>
      <c r="X995" s="14" t="n">
        <v>49.32</v>
      </c>
      <c r="Y995" s="14">
        <f>ROUND(MIN(100, (X995/69.91)*100), 2)</f>
        <v/>
      </c>
    </row>
    <row r="996">
      <c r="A996" s="10" t="n">
        <v>2</v>
      </c>
      <c r="B996" s="10" t="n">
        <v>992</v>
      </c>
      <c r="C996" s="10" t="n">
        <v>1992</v>
      </c>
      <c r="D996" s="10" t="inlineStr">
        <is>
          <t>1380614071</t>
        </is>
      </c>
      <c r="E996" s="26" t="inlineStr">
        <is>
          <t>National Capital Region (NCR)</t>
        </is>
      </c>
      <c r="F996" s="26" t="inlineStr">
        <is>
          <t>First District (Not a Province)</t>
        </is>
      </c>
      <c r="G996" s="26" t="inlineStr">
        <is>
          <t>City of Manila</t>
        </is>
      </c>
      <c r="H996" s="26" t="inlineStr">
        <is>
          <t>Barangay 878</t>
        </is>
      </c>
      <c r="I996" s="27" t="n">
        <v>12.488196</v>
      </c>
      <c r="J996" s="27" t="n">
        <v>121.437011</v>
      </c>
      <c r="K996" s="10" t="inlineStr">
        <is>
          <t>U</t>
        </is>
      </c>
      <c r="L996" s="12" t="n">
        <v>989</v>
      </c>
      <c r="M996" s="14" t="n">
        <v>3.9</v>
      </c>
      <c r="N996" s="12">
        <f>ROUND(L996/M996, 0)</f>
        <v/>
      </c>
      <c r="O996" s="12">
        <f>ROUND(N996*'Methodology &amp; Assumptions'!$B$5, 0)</f>
        <v/>
      </c>
      <c r="P996" s="10" t="inlineStr">
        <is>
          <t>Single Carrier (Band n50, 100MHz TDD)</t>
        </is>
      </c>
      <c r="Q996" s="13">
        <f>ROUNDUP(O996/'Methodology &amp; Assumptions'!$B$6, 0)</f>
        <v/>
      </c>
      <c r="R996" s="13" t="n">
        <v>1</v>
      </c>
      <c r="S996" s="14" t="n">
        <v>3.62</v>
      </c>
      <c r="T996" s="14" t="n">
        <v>1.4</v>
      </c>
      <c r="U996" s="26">
        <f>IF(X996&gt;='Methodology &amp; Assumptions'!$B$7, "Tier 1 Critical GIDA (Score ≥ 50.0)", IF(X996&gt;='Methodology &amp; Assumptions'!$B$8, "Tier 2 High GIDA (Score 40.0–49.9)", "Tier 3 Moderate GIDA (Score &lt; 40.0)"))</f>
        <v/>
      </c>
      <c r="V996" s="26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W996" s="28" t="n">
        <v>0.109</v>
      </c>
      <c r="X996" s="14" t="n">
        <v>49.32</v>
      </c>
      <c r="Y996" s="14">
        <f>ROUND(MIN(100, (X996/69.91)*100), 2)</f>
        <v/>
      </c>
    </row>
    <row r="997">
      <c r="A997" s="10" t="n">
        <v>2</v>
      </c>
      <c r="B997" s="10" t="n">
        <v>993</v>
      </c>
      <c r="C997" s="10" t="n">
        <v>1993</v>
      </c>
      <c r="D997" s="10" t="inlineStr">
        <is>
          <t>1380606090</t>
        </is>
      </c>
      <c r="E997" s="26" t="inlineStr">
        <is>
          <t>National Capital Region (NCR)</t>
        </is>
      </c>
      <c r="F997" s="26" t="inlineStr">
        <is>
          <t>First District (Not a Province)</t>
        </is>
      </c>
      <c r="G997" s="26" t="inlineStr">
        <is>
          <t>City of Manila</t>
        </is>
      </c>
      <c r="H997" s="26" t="inlineStr">
        <is>
          <t>Barangay 484</t>
        </is>
      </c>
      <c r="I997" s="27" t="n">
        <v>13.391634</v>
      </c>
      <c r="J997" s="27" t="n">
        <v>121.751072</v>
      </c>
      <c r="K997" s="10" t="inlineStr">
        <is>
          <t>U</t>
        </is>
      </c>
      <c r="L997" s="12" t="n">
        <v>1831</v>
      </c>
      <c r="M997" s="14" t="n">
        <v>3.9</v>
      </c>
      <c r="N997" s="12">
        <f>ROUND(L997/M997, 0)</f>
        <v/>
      </c>
      <c r="O997" s="12">
        <f>ROUND(N997*'Methodology &amp; Assumptions'!$B$5, 0)</f>
        <v/>
      </c>
      <c r="P997" s="10" t="inlineStr">
        <is>
          <t>Single Carrier (Band n50, 100MHz TDD)</t>
        </is>
      </c>
      <c r="Q997" s="13">
        <f>ROUNDUP(O997/'Methodology &amp; Assumptions'!$B$6, 0)</f>
        <v/>
      </c>
      <c r="R997" s="13" t="n">
        <v>1</v>
      </c>
      <c r="S997" s="14" t="n">
        <v>45</v>
      </c>
      <c r="T997" s="14" t="n">
        <v>48.99</v>
      </c>
      <c r="U997" s="26">
        <f>IF(X997&gt;='Methodology &amp; Assumptions'!$B$7, "Tier 1 Critical GIDA (Score ≥ 50.0)", IF(X997&gt;='Methodology &amp; Assumptions'!$B$8, "Tier 2 High GIDA (Score 40.0–49.9)", "Tier 3 Moderate GIDA (Score &lt; 40.0)"))</f>
        <v/>
      </c>
      <c r="V997" s="26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W997" s="28" t="n">
        <v>0.109</v>
      </c>
      <c r="X997" s="14" t="n">
        <v>49.32</v>
      </c>
      <c r="Y997" s="14">
        <f>ROUND(MIN(100, (X997/69.91)*100), 2)</f>
        <v/>
      </c>
    </row>
    <row r="998">
      <c r="A998" s="10" t="n">
        <v>2</v>
      </c>
      <c r="B998" s="10" t="n">
        <v>994</v>
      </c>
      <c r="C998" s="10" t="n">
        <v>1994</v>
      </c>
      <c r="D998" s="10" t="inlineStr">
        <is>
          <t>PH0001994</t>
        </is>
      </c>
      <c r="E998" s="26" t="inlineStr">
        <is>
          <t>IV-A</t>
        </is>
      </c>
      <c r="F998" s="26" t="inlineStr">
        <is>
          <t>Cavite</t>
        </is>
      </c>
      <c r="G998" s="26" t="inlineStr">
        <is>
          <t>Imus City</t>
        </is>
      </c>
      <c r="H998" s="26" t="inlineStr">
        <is>
          <t>Palico I</t>
        </is>
      </c>
      <c r="I998" s="27" t="n">
        <v>14.280949</v>
      </c>
      <c r="J998" s="27" t="n">
        <v>120.899454</v>
      </c>
      <c r="K998" s="10" t="inlineStr">
        <is>
          <t>R</t>
        </is>
      </c>
      <c r="L998" s="12" t="n">
        <v>2316</v>
      </c>
      <c r="M998" s="14" t="n">
        <v>3.4</v>
      </c>
      <c r="N998" s="12">
        <f>ROUND(L998/M998, 0)</f>
        <v/>
      </c>
      <c r="O998" s="12">
        <f>ROUND(N998*'Methodology &amp; Assumptions'!$B$5, 0)</f>
        <v/>
      </c>
      <c r="P998" s="10" t="inlineStr">
        <is>
          <t>Single Carrier (Band n50, 100MHz TDD)</t>
        </is>
      </c>
      <c r="Q998" s="13">
        <f>ROUNDUP(O998/'Methodology &amp; Assumptions'!$B$6, 0)</f>
        <v/>
      </c>
      <c r="R998" s="13" t="n">
        <v>1</v>
      </c>
      <c r="S998" s="14" t="n">
        <v>1.85</v>
      </c>
      <c r="T998" s="14" t="n">
        <v>0.77</v>
      </c>
      <c r="U998" s="26">
        <f>IF(X998&gt;='Methodology &amp; Assumptions'!$B$7, "Tier 1 Critical GIDA (Score ≥ 50.0)", IF(X998&gt;='Methodology &amp; Assumptions'!$B$8, "Tier 2 High GIDA (Score 40.0–49.9)", "Tier 3 Moderate GIDA (Score &lt; 40.0)"))</f>
        <v/>
      </c>
      <c r="V998" s="26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W998" s="28" t="n">
        <v>0.07200000000000001</v>
      </c>
      <c r="X998" s="14" t="n">
        <v>49.31</v>
      </c>
      <c r="Y998" s="14">
        <f>ROUND(MIN(100, (X998/69.91)*100), 2)</f>
        <v/>
      </c>
    </row>
    <row r="999">
      <c r="A999" s="10" t="n">
        <v>2</v>
      </c>
      <c r="B999" s="10" t="n">
        <v>995</v>
      </c>
      <c r="C999" s="10" t="n">
        <v>1995</v>
      </c>
      <c r="D999" s="10" t="inlineStr">
        <is>
          <t>1380610036</t>
        </is>
      </c>
      <c r="E999" s="26" t="inlineStr">
        <is>
          <t>National Capital Region (NCR)</t>
        </is>
      </c>
      <c r="F999" s="26" t="inlineStr">
        <is>
          <t>First District (Not a Province)</t>
        </is>
      </c>
      <c r="G999" s="26" t="inlineStr">
        <is>
          <t>City of Manila</t>
        </is>
      </c>
      <c r="H999" s="26" t="inlineStr">
        <is>
          <t>Barangay 721</t>
        </is>
      </c>
      <c r="I999" s="27" t="n">
        <v>12.516409</v>
      </c>
      <c r="J999" s="27" t="n">
        <v>122.146667</v>
      </c>
      <c r="K999" s="10" t="inlineStr">
        <is>
          <t>U</t>
        </is>
      </c>
      <c r="L999" s="12" t="n">
        <v>595</v>
      </c>
      <c r="M999" s="14" t="n">
        <v>3.9</v>
      </c>
      <c r="N999" s="12">
        <f>ROUND(L999/M999, 0)</f>
        <v/>
      </c>
      <c r="O999" s="12">
        <f>ROUND(N999*'Methodology &amp; Assumptions'!$B$5, 0)</f>
        <v/>
      </c>
      <c r="P999" s="10" t="inlineStr">
        <is>
          <t>Single Carrier (Band n50, 100MHz TDD)</t>
        </is>
      </c>
      <c r="Q999" s="13">
        <f>ROUNDUP(O999/'Methodology &amp; Assumptions'!$B$6, 0)</f>
        <v/>
      </c>
      <c r="R999" s="13" t="n">
        <v>1</v>
      </c>
      <c r="S999" s="14" t="n">
        <v>65.3</v>
      </c>
      <c r="T999" s="14" t="n">
        <v>46.89</v>
      </c>
      <c r="U999" s="26">
        <f>IF(X999&gt;='Methodology &amp; Assumptions'!$B$7, "Tier 1 Critical GIDA (Score ≥ 50.0)", IF(X999&gt;='Methodology &amp; Assumptions'!$B$8, "Tier 2 High GIDA (Score 40.0–49.9)", "Tier 3 Moderate GIDA (Score &lt; 40.0)"))</f>
        <v/>
      </c>
      <c r="V999" s="26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W999" s="28" t="n">
        <v>0.109</v>
      </c>
      <c r="X999" s="14" t="n">
        <v>49.31</v>
      </c>
      <c r="Y999" s="14">
        <f>ROUND(MIN(100, (X999/69.91)*100), 2)</f>
        <v/>
      </c>
    </row>
    <row r="1000">
      <c r="A1000" s="10" t="n">
        <v>2</v>
      </c>
      <c r="B1000" s="10" t="n">
        <v>996</v>
      </c>
      <c r="C1000" s="10" t="n">
        <v>1996</v>
      </c>
      <c r="D1000" s="10" t="inlineStr">
        <is>
          <t>1380611049</t>
        </is>
      </c>
      <c r="E1000" s="26" t="inlineStr">
        <is>
          <t>National Capital Region (NCR)</t>
        </is>
      </c>
      <c r="F1000" s="26" t="inlineStr">
        <is>
          <t>First District (Not a Province)</t>
        </is>
      </c>
      <c r="G1000" s="26" t="inlineStr">
        <is>
          <t>City of Manila</t>
        </is>
      </c>
      <c r="H1000" s="26" t="inlineStr">
        <is>
          <t>Barangay 687</t>
        </is>
      </c>
      <c r="I1000" s="27" t="n">
        <v>12.902169</v>
      </c>
      <c r="J1000" s="27" t="n">
        <v>121.246087</v>
      </c>
      <c r="K1000" s="10" t="inlineStr">
        <is>
          <t>U</t>
        </is>
      </c>
      <c r="L1000" s="12" t="n">
        <v>1478</v>
      </c>
      <c r="M1000" s="14" t="n">
        <v>3.9</v>
      </c>
      <c r="N1000" s="12">
        <f>ROUND(L1000/M1000, 0)</f>
        <v/>
      </c>
      <c r="O1000" s="12">
        <f>ROUND(N1000*'Methodology &amp; Assumptions'!$B$5, 0)</f>
        <v/>
      </c>
      <c r="P1000" s="10" t="inlineStr">
        <is>
          <t>Single Carrier (Band n50, 100MHz TDD)</t>
        </is>
      </c>
      <c r="Q1000" s="13">
        <f>ROUNDUP(O1000/'Methodology &amp; Assumptions'!$B$6, 0)</f>
        <v/>
      </c>
      <c r="R1000" s="13" t="n">
        <v>1</v>
      </c>
      <c r="S1000" s="14" t="n">
        <v>24.1</v>
      </c>
      <c r="T1000" s="14" t="n">
        <v>21.89</v>
      </c>
      <c r="U1000" s="26">
        <f>IF(X1000&gt;='Methodology &amp; Assumptions'!$B$7, "Tier 1 Critical GIDA (Score ≥ 50.0)", IF(X1000&gt;='Methodology &amp; Assumptions'!$B$8, "Tier 2 High GIDA (Score 40.0–49.9)", "Tier 3 Moderate GIDA (Score &lt; 40.0)"))</f>
        <v/>
      </c>
      <c r="V1000" s="26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W1000" s="28" t="n">
        <v>0.109</v>
      </c>
      <c r="X1000" s="14" t="n">
        <v>49.31</v>
      </c>
      <c r="Y1000" s="14">
        <f>ROUND(MIN(100, (X1000/69.91)*100), 2)</f>
        <v/>
      </c>
    </row>
    <row r="1001">
      <c r="A1001" s="10" t="n">
        <v>2</v>
      </c>
      <c r="B1001" s="10" t="n">
        <v>997</v>
      </c>
      <c r="C1001" s="10" t="n">
        <v>1997</v>
      </c>
      <c r="D1001" s="10" t="inlineStr">
        <is>
          <t>1380614038</t>
        </is>
      </c>
      <c r="E1001" s="26" t="inlineStr">
        <is>
          <t>National Capital Region (NCR)</t>
        </is>
      </c>
      <c r="F1001" s="26" t="inlineStr">
        <is>
          <t>First District (Not a Province)</t>
        </is>
      </c>
      <c r="G1001" s="26" t="inlineStr">
        <is>
          <t>City of Manila</t>
        </is>
      </c>
      <c r="H1001" s="26" t="inlineStr">
        <is>
          <t>Barangay 782</t>
        </is>
      </c>
      <c r="I1001" s="27" t="n">
        <v>13.211681</v>
      </c>
      <c r="J1001" s="27" t="n">
        <v>122.17985</v>
      </c>
      <c r="K1001" s="10" t="inlineStr">
        <is>
          <t>U</t>
        </is>
      </c>
      <c r="L1001" s="12" t="n">
        <v>1528</v>
      </c>
      <c r="M1001" s="14" t="n">
        <v>3.9</v>
      </c>
      <c r="N1001" s="12">
        <f>ROUND(L1001/M1001, 0)</f>
        <v/>
      </c>
      <c r="O1001" s="12">
        <f>ROUND(N1001*'Methodology &amp; Assumptions'!$B$5, 0)</f>
        <v/>
      </c>
      <c r="P1001" s="10" t="inlineStr">
        <is>
          <t>Single Carrier (Band n50, 100MHz TDD)</t>
        </is>
      </c>
      <c r="Q1001" s="13">
        <f>ROUNDUP(O1001/'Methodology &amp; Assumptions'!$B$6, 0)</f>
        <v/>
      </c>
      <c r="R1001" s="13" t="n">
        <v>1</v>
      </c>
      <c r="S1001" s="14" t="n">
        <v>39.62</v>
      </c>
      <c r="T1001" s="14" t="n">
        <v>42.1</v>
      </c>
      <c r="U1001" s="26">
        <f>IF(X1001&gt;='Methodology &amp; Assumptions'!$B$7, "Tier 1 Critical GIDA (Score ≥ 50.0)", IF(X1001&gt;='Methodology &amp; Assumptions'!$B$8, "Tier 2 High GIDA (Score 40.0–49.9)", "Tier 3 Moderate GIDA (Score &lt; 40.0)"))</f>
        <v/>
      </c>
      <c r="V1001" s="26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W1001" s="28" t="n">
        <v>0.109</v>
      </c>
      <c r="X1001" s="14" t="n">
        <v>49.31</v>
      </c>
      <c r="Y1001" s="14">
        <f>ROUND(MIN(100, (X1001/69.91)*100), 2)</f>
        <v/>
      </c>
    </row>
    <row r="1002">
      <c r="A1002" s="10" t="n">
        <v>2</v>
      </c>
      <c r="B1002" s="10" t="n">
        <v>998</v>
      </c>
      <c r="C1002" s="10" t="n">
        <v>1998</v>
      </c>
      <c r="D1002" s="10" t="inlineStr">
        <is>
          <t>1380606075</t>
        </is>
      </c>
      <c r="E1002" s="26" t="inlineStr">
        <is>
          <t>National Capital Region (NCR)</t>
        </is>
      </c>
      <c r="F1002" s="26" t="inlineStr">
        <is>
          <t>First District (Not a Province)</t>
        </is>
      </c>
      <c r="G1002" s="26" t="inlineStr">
        <is>
          <t>City of Manila</t>
        </is>
      </c>
      <c r="H1002" s="26" t="inlineStr">
        <is>
          <t>Barangay 469</t>
        </is>
      </c>
      <c r="I1002" s="27" t="n">
        <v>12.36631</v>
      </c>
      <c r="J1002" s="27" t="n">
        <v>121.704667</v>
      </c>
      <c r="K1002" s="10" t="inlineStr">
        <is>
          <t>U</t>
        </is>
      </c>
      <c r="L1002" s="12" t="n">
        <v>2015</v>
      </c>
      <c r="M1002" s="14" t="n">
        <v>3.9</v>
      </c>
      <c r="N1002" s="12">
        <f>ROUND(L1002/M1002, 0)</f>
        <v/>
      </c>
      <c r="O1002" s="12">
        <f>ROUND(N1002*'Methodology &amp; Assumptions'!$B$5, 0)</f>
        <v/>
      </c>
      <c r="P1002" s="10" t="inlineStr">
        <is>
          <t>Single Carrier (Band n50, 100MHz TDD)</t>
        </is>
      </c>
      <c r="Q1002" s="13">
        <f>ROUNDUP(O1002/'Methodology &amp; Assumptions'!$B$6, 0)</f>
        <v/>
      </c>
      <c r="R1002" s="13" t="n">
        <v>1</v>
      </c>
      <c r="S1002" s="14" t="n">
        <v>31.21</v>
      </c>
      <c r="T1002" s="14" t="n">
        <v>5.39</v>
      </c>
      <c r="U1002" s="26">
        <f>IF(X1002&gt;='Methodology &amp; Assumptions'!$B$7, "Tier 1 Critical GIDA (Score ≥ 50.0)", IF(X1002&gt;='Methodology &amp; Assumptions'!$B$8, "Tier 2 High GIDA (Score 40.0–49.9)", "Tier 3 Moderate GIDA (Score &lt; 40.0)"))</f>
        <v/>
      </c>
      <c r="V1002" s="26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W1002" s="28" t="n">
        <v>0.109</v>
      </c>
      <c r="X1002" s="14" t="n">
        <v>49.31</v>
      </c>
      <c r="Y1002" s="14">
        <f>ROUND(MIN(100, (X1002/69.91)*100), 2)</f>
        <v/>
      </c>
    </row>
    <row r="1003">
      <c r="A1003" s="10" t="n">
        <v>2</v>
      </c>
      <c r="B1003" s="10" t="n">
        <v>999</v>
      </c>
      <c r="C1003" s="10" t="n">
        <v>1999</v>
      </c>
      <c r="D1003" s="10" t="inlineStr">
        <is>
          <t>1380610007</t>
        </is>
      </c>
      <c r="E1003" s="26" t="inlineStr">
        <is>
          <t>National Capital Region (NCR)</t>
        </is>
      </c>
      <c r="F1003" s="26" t="inlineStr">
        <is>
          <t>First District (Not a Province)</t>
        </is>
      </c>
      <c r="G1003" s="26" t="inlineStr">
        <is>
          <t>City of Manila</t>
        </is>
      </c>
      <c r="H1003" s="26" t="inlineStr">
        <is>
          <t>Barangay 692</t>
        </is>
      </c>
      <c r="I1003" s="27" t="n">
        <v>13.304979</v>
      </c>
      <c r="J1003" s="27" t="n">
        <v>121.468531</v>
      </c>
      <c r="K1003" s="10" t="inlineStr">
        <is>
          <t>U</t>
        </is>
      </c>
      <c r="L1003" s="12" t="n">
        <v>1369</v>
      </c>
      <c r="M1003" s="14" t="n">
        <v>3.9</v>
      </c>
      <c r="N1003" s="12">
        <f>ROUND(L1003/M1003, 0)</f>
        <v/>
      </c>
      <c r="O1003" s="12">
        <f>ROUND(N1003*'Methodology &amp; Assumptions'!$B$5, 0)</f>
        <v/>
      </c>
      <c r="P1003" s="10" t="inlineStr">
        <is>
          <t>Single Carrier (Band n50, 100MHz TDD)</t>
        </is>
      </c>
      <c r="Q1003" s="13">
        <f>ROUNDUP(O1003/'Methodology &amp; Assumptions'!$B$6, 0)</f>
        <v/>
      </c>
      <c r="R1003" s="13" t="n">
        <v>1</v>
      </c>
      <c r="S1003" s="14" t="n">
        <v>17.82</v>
      </c>
      <c r="T1003" s="14" t="n">
        <v>22.38</v>
      </c>
      <c r="U1003" s="26">
        <f>IF(X1003&gt;='Methodology &amp; Assumptions'!$B$7, "Tier 1 Critical GIDA (Score ≥ 50.0)", IF(X1003&gt;='Methodology &amp; Assumptions'!$B$8, "Tier 2 High GIDA (Score 40.0–49.9)", "Tier 3 Moderate GIDA (Score &lt; 40.0)"))</f>
        <v/>
      </c>
      <c r="V1003" s="26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W1003" s="28" t="n">
        <v>0.109</v>
      </c>
      <c r="X1003" s="14" t="n">
        <v>49.31</v>
      </c>
      <c r="Y1003" s="14">
        <f>ROUND(MIN(100, (X1003/69.91)*100), 2)</f>
        <v/>
      </c>
    </row>
    <row r="1004">
      <c r="A1004" s="10" t="n">
        <v>2</v>
      </c>
      <c r="B1004" s="10" t="n">
        <v>1000</v>
      </c>
      <c r="C1004" s="10" t="n">
        <v>2000</v>
      </c>
      <c r="D1004" s="10" t="inlineStr">
        <is>
          <t>1380606009</t>
        </is>
      </c>
      <c r="E1004" s="26" t="inlineStr">
        <is>
          <t>National Capital Region (NCR)</t>
        </is>
      </c>
      <c r="F1004" s="26" t="inlineStr">
        <is>
          <t>First District (Not a Province)</t>
        </is>
      </c>
      <c r="G1004" s="26" t="inlineStr">
        <is>
          <t>City of Manila</t>
        </is>
      </c>
      <c r="H1004" s="26" t="inlineStr">
        <is>
          <t>Barangay 403</t>
        </is>
      </c>
      <c r="I1004" s="27" t="n">
        <v>12.767039</v>
      </c>
      <c r="J1004" s="27" t="n">
        <v>122.295297</v>
      </c>
      <c r="K1004" s="10" t="inlineStr">
        <is>
          <t>U</t>
        </is>
      </c>
      <c r="L1004" s="12" t="n">
        <v>649</v>
      </c>
      <c r="M1004" s="14" t="n">
        <v>3.9</v>
      </c>
      <c r="N1004" s="12">
        <f>ROUND(L1004/M1004, 0)</f>
        <v/>
      </c>
      <c r="O1004" s="12">
        <f>ROUND(N1004*'Methodology &amp; Assumptions'!$B$5, 0)</f>
        <v/>
      </c>
      <c r="P1004" s="10" t="inlineStr">
        <is>
          <t>Single Carrier (Band n50, 100MHz TDD)</t>
        </is>
      </c>
      <c r="Q1004" s="13">
        <f>ROUNDUP(O1004/'Methodology &amp; Assumptions'!$B$6, 0)</f>
        <v/>
      </c>
      <c r="R1004" s="13" t="n">
        <v>1</v>
      </c>
      <c r="S1004" s="14" t="n">
        <v>66.22</v>
      </c>
      <c r="T1004" s="14" t="n">
        <v>75.40000000000001</v>
      </c>
      <c r="U1004" s="26">
        <f>IF(X1004&gt;='Methodology &amp; Assumptions'!$B$7, "Tier 1 Critical GIDA (Score ≥ 50.0)", IF(X1004&gt;='Methodology &amp; Assumptions'!$B$8, "Tier 2 High GIDA (Score 40.0–49.9)", "Tier 3 Moderate GIDA (Score &lt; 40.0)"))</f>
        <v/>
      </c>
      <c r="V1004" s="26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W1004" s="28" t="n">
        <v>0.109</v>
      </c>
      <c r="X1004" s="14" t="n">
        <v>49.31</v>
      </c>
      <c r="Y1004" s="14">
        <f>ROUND(MIN(100, (X1004/69.91)*100), 2)</f>
        <v/>
      </c>
    </row>
    <row r="1005">
      <c r="A1005" s="29" t="inlineStr">
        <is>
          <t>BATCH TOTAL / AVERAGE</t>
        </is>
      </c>
      <c r="B1005" s="29" t="n"/>
      <c r="C1005" s="29" t="n"/>
      <c r="D1005" s="29" t="n"/>
      <c r="E1005" s="29" t="n"/>
      <c r="F1005" s="29" t="n"/>
      <c r="G1005" s="29" t="n"/>
      <c r="H1005" s="29" t="n"/>
      <c r="I1005" s="29" t="n"/>
      <c r="J1005" s="29" t="n"/>
      <c r="K1005" s="29" t="n"/>
      <c r="L1005" s="17">
        <f>SUM(L5:L1004)</f>
        <v/>
      </c>
      <c r="M1005" s="29" t="n"/>
      <c r="N1005" s="17">
        <f>SUM(N5:N1004)</f>
        <v/>
      </c>
      <c r="O1005" s="17">
        <f>SUM(O5:O1004)</f>
        <v/>
      </c>
      <c r="P1005" s="29" t="n"/>
      <c r="Q1005" s="17">
        <f>SUM(Q5:Q1004)</f>
        <v/>
      </c>
      <c r="R1005" s="17">
        <f>SUM(R5:R1004)</f>
        <v/>
      </c>
      <c r="S1005" s="18">
        <f>AVERAGE(S5:S1004)</f>
        <v/>
      </c>
      <c r="T1005" s="29" t="n"/>
      <c r="U1005" s="29" t="n"/>
      <c r="V1005" s="29" t="n"/>
      <c r="W1005" s="29" t="n"/>
      <c r="X1005" s="18">
        <f>AVERAGE(X5:X1004)</f>
        <v/>
      </c>
      <c r="Y1005" s="18">
        <f>AVERAGE(Y5:Y1004)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4" customWidth="1" min="4" max="4"/>
    <col width="20" customWidth="1" min="5" max="5"/>
    <col width="20" customWidth="1" min="6" max="6"/>
    <col width="22" customWidth="1" min="7" max="7"/>
    <col width="24" customWidth="1" min="8" max="8"/>
    <col width="12" customWidth="1" min="9" max="9"/>
    <col width="12" customWidth="1" min="10" max="10"/>
    <col width="6" customWidth="1" min="11" max="11"/>
    <col width="14" customWidth="1" min="12" max="12"/>
    <col width="14" customWidth="1" min="13" max="13"/>
    <col width="14" customWidth="1" min="14" max="14"/>
    <col width="15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32" customWidth="1" min="22" max="22"/>
    <col width="14" customWidth="1" min="23" max="23"/>
    <col width="14" customWidth="1" min="24" max="24"/>
    <col width="16" customWidth="1" min="25" max="25"/>
  </cols>
  <sheetData>
    <row r="1">
      <c r="A1" s="1" t="inlineStr">
        <is>
          <t>5G FWA GIDA Siting Rollout Schedule - Batch 3 (2,001 - 3,000)</t>
        </is>
      </c>
    </row>
    <row r="2">
      <c r="A2" s="2" t="inlineStr">
        <is>
          <t>Dynamic GIDA deployment rollout schedule (1,000 sites), linked to live parameters in 'Methodology &amp; Assumptions'.</t>
        </is>
      </c>
    </row>
    <row r="3"/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GIDA Priority Tier</t>
        </is>
      </c>
      <c r="V4" s="9" t="inlineStr">
        <is>
          <t>Backhaul Architecture</t>
        </is>
      </c>
      <c r="W4" s="9" t="inlineStr">
        <is>
          <t>Regional Poverty %</t>
        </is>
      </c>
      <c r="X4" s="9" t="inlineStr">
        <is>
          <t>Official GIDA Score</t>
        </is>
      </c>
      <c r="Y4" s="9" t="inlineStr">
        <is>
          <t>Normalized GIDA Score</t>
        </is>
      </c>
    </row>
    <row r="5">
      <c r="A5" s="10" t="n">
        <v>3</v>
      </c>
      <c r="B5" s="10" t="n">
        <v>1</v>
      </c>
      <c r="C5" s="10" t="n">
        <v>2001</v>
      </c>
      <c r="D5" s="10" t="inlineStr">
        <is>
          <t>1380607011</t>
        </is>
      </c>
      <c r="E5" s="26" t="inlineStr">
        <is>
          <t>National Capital Region (NCR)</t>
        </is>
      </c>
      <c r="F5" s="26" t="inlineStr">
        <is>
          <t>First District (Not a Province)</t>
        </is>
      </c>
      <c r="G5" s="26" t="inlineStr">
        <is>
          <t>City of Manila</t>
        </is>
      </c>
      <c r="H5" s="26" t="inlineStr">
        <is>
          <t>Barangay 647</t>
        </is>
      </c>
      <c r="I5" s="27" t="n">
        <v>12.618765</v>
      </c>
      <c r="J5" s="27" t="n">
        <v>121.310384</v>
      </c>
      <c r="K5" s="10" t="inlineStr">
        <is>
          <t>U</t>
        </is>
      </c>
      <c r="L5" s="12" t="n">
        <v>2514</v>
      </c>
      <c r="M5" s="14" t="n">
        <v>3.9</v>
      </c>
      <c r="N5" s="12">
        <f>ROUND(L5/M5, 0)</f>
        <v/>
      </c>
      <c r="O5" s="12">
        <f>ROUND(N5*'Methodology &amp; Assumptions'!$B$5, 0)</f>
        <v/>
      </c>
      <c r="P5" s="10" t="inlineStr">
        <is>
          <t>Single Carrier (Band n50, 100MHz TDD)</t>
        </is>
      </c>
      <c r="Q5" s="13">
        <f>ROUNDUP(O5/'Methodology &amp; Assumptions'!$B$6, 0)</f>
        <v/>
      </c>
      <c r="R5" s="13" t="n">
        <v>1</v>
      </c>
      <c r="S5" s="14" t="n">
        <v>17.72</v>
      </c>
      <c r="T5" s="14" t="n">
        <v>16.61</v>
      </c>
      <c r="U5" s="26">
        <f>IF(X5&gt;='Methodology &amp; Assumptions'!$B$7, "Tier 1 Critical GIDA (Score ≥ 50.0)", IF(X5&gt;='Methodology &amp; Assumptions'!$B$8, "Tier 2 High GIDA (Score 40.0–49.9)", "Tier 3 Moderate GIDA (Score &lt; 40.0)"))</f>
        <v/>
      </c>
      <c r="V5" s="26">
        <f>IF(S5&lt;='Methodology &amp; Assumptions'!$B$10, "Direct Optical Drop (&lt;3km)", IF(S5&lt;='Methodology &amp; Assumptions'!$B$9, "Near Optical / Microwave (&lt;5km)", "Starlink Business LEO Satellite Backhaul (&gt;5km)"))</f>
        <v/>
      </c>
      <c r="W5" s="28" t="n">
        <v>0.109</v>
      </c>
      <c r="X5" s="14" t="n">
        <v>49.31</v>
      </c>
      <c r="Y5" s="14">
        <f>ROUND(MIN(100, (X5/69.91)*100), 2)</f>
        <v/>
      </c>
    </row>
    <row r="6">
      <c r="A6" s="10" t="n">
        <v>3</v>
      </c>
      <c r="B6" s="10" t="n">
        <v>2</v>
      </c>
      <c r="C6" s="10" t="n">
        <v>2002</v>
      </c>
      <c r="D6" s="10" t="inlineStr">
        <is>
          <t>1380601081</t>
        </is>
      </c>
      <c r="E6" s="26" t="inlineStr">
        <is>
          <t>National Capital Region (NCR)</t>
        </is>
      </c>
      <c r="F6" s="26" t="inlineStr">
        <is>
          <t>First District (Not a Province)</t>
        </is>
      </c>
      <c r="G6" s="26" t="inlineStr">
        <is>
          <t>City of Manila</t>
        </is>
      </c>
      <c r="H6" s="26" t="inlineStr">
        <is>
          <t>Barangay 81</t>
        </is>
      </c>
      <c r="I6" s="27" t="n">
        <v>13.378703</v>
      </c>
      <c r="J6" s="27" t="n">
        <v>121.935396</v>
      </c>
      <c r="K6" s="10" t="inlineStr">
        <is>
          <t>U</t>
        </is>
      </c>
      <c r="L6" s="12" t="n">
        <v>1870</v>
      </c>
      <c r="M6" s="14" t="n">
        <v>3.9</v>
      </c>
      <c r="N6" s="12">
        <f>ROUND(L6/M6, 0)</f>
        <v/>
      </c>
      <c r="O6" s="12">
        <f>ROUND(N6*'Methodology &amp; Assumptions'!$B$5, 0)</f>
        <v/>
      </c>
      <c r="P6" s="10" t="inlineStr">
        <is>
          <t>Single Carrier (Band n50, 100MHz TDD)</t>
        </is>
      </c>
      <c r="Q6" s="13">
        <f>ROUNDUP(O6/'Methodology &amp; Assumptions'!$B$6, 0)</f>
        <v/>
      </c>
      <c r="R6" s="13" t="n">
        <v>1</v>
      </c>
      <c r="S6" s="14" t="n">
        <v>43.38</v>
      </c>
      <c r="T6" s="14" t="n">
        <v>42.54</v>
      </c>
      <c r="U6" s="26">
        <f>IF(X6&gt;='Methodology &amp; Assumptions'!$B$7, "Tier 1 Critical GIDA (Score ≥ 50.0)", IF(X6&gt;='Methodology &amp; Assumptions'!$B$8, "Tier 2 High GIDA (Score 40.0–49.9)", "Tier 3 Moderate GIDA (Score &lt; 40.0)"))</f>
        <v/>
      </c>
      <c r="V6" s="26">
        <f>IF(S6&lt;='Methodology &amp; Assumptions'!$B$10, "Direct Optical Drop (&lt;3km)", IF(S6&lt;='Methodology &amp; Assumptions'!$B$9, "Near Optical / Microwave (&lt;5km)", "Starlink Business LEO Satellite Backhaul (&gt;5km)"))</f>
        <v/>
      </c>
      <c r="W6" s="28" t="n">
        <v>0.109</v>
      </c>
      <c r="X6" s="14" t="n">
        <v>49.31</v>
      </c>
      <c r="Y6" s="14">
        <f>ROUND(MIN(100, (X6/69.91)*100), 2)</f>
        <v/>
      </c>
    </row>
    <row r="7">
      <c r="A7" s="10" t="n">
        <v>3</v>
      </c>
      <c r="B7" s="10" t="n">
        <v>3</v>
      </c>
      <c r="C7" s="10" t="n">
        <v>2003</v>
      </c>
      <c r="D7" s="10" t="inlineStr">
        <is>
          <t>0500507009</t>
        </is>
      </c>
      <c r="E7" s="26" t="inlineStr">
        <is>
          <t>Region V (Bicol Region)</t>
        </is>
      </c>
      <c r="F7" s="26" t="inlineStr">
        <is>
          <t>Albay</t>
        </is>
      </c>
      <c r="G7" s="26" t="inlineStr">
        <is>
          <t>Libon</t>
        </is>
      </c>
      <c r="H7" s="26" t="inlineStr">
        <is>
          <t>Zone VI</t>
        </is>
      </c>
      <c r="I7" s="27" t="n">
        <v>13.248028</v>
      </c>
      <c r="J7" s="27" t="n">
        <v>123.39181</v>
      </c>
      <c r="K7" s="10" t="inlineStr">
        <is>
          <t>R</t>
        </is>
      </c>
      <c r="L7" s="12" t="n">
        <v>561</v>
      </c>
      <c r="M7" s="14" t="n">
        <v>4.1</v>
      </c>
      <c r="N7" s="12">
        <f>ROUND(L7/M7, 0)</f>
        <v/>
      </c>
      <c r="O7" s="12">
        <f>ROUND(N7*'Methodology &amp; Assumptions'!$B$5, 0)</f>
        <v/>
      </c>
      <c r="P7" s="10" t="inlineStr">
        <is>
          <t>Single Carrier (Band n50, 100MHz TDD)</t>
        </is>
      </c>
      <c r="Q7" s="13">
        <f>ROUNDUP(O7/'Methodology &amp; Assumptions'!$B$6, 0)</f>
        <v/>
      </c>
      <c r="R7" s="13" t="n">
        <v>1</v>
      </c>
      <c r="S7" s="14" t="n">
        <v>7.16</v>
      </c>
      <c r="T7" s="14" t="n">
        <v>9.279999999999999</v>
      </c>
      <c r="U7" s="26">
        <f>IF(X7&gt;='Methodology &amp; Assumptions'!$B$7, "Tier 1 Critical GIDA (Score ≥ 50.0)", IF(X7&gt;='Methodology &amp; Assumptions'!$B$8, "Tier 2 High GIDA (Score 40.0–49.9)", "Tier 3 Moderate GIDA (Score &lt; 40.0)"))</f>
        <v/>
      </c>
      <c r="V7" s="26">
        <f>IF(S7&lt;='Methodology &amp; Assumptions'!$B$10, "Direct Optical Drop (&lt;3km)", IF(S7&lt;='Methodology &amp; Assumptions'!$B$9, "Near Optical / Microwave (&lt;5km)", "Starlink Business LEO Satellite Backhaul (&gt;5km)"))</f>
        <v/>
      </c>
      <c r="W7" s="28" t="n">
        <v>0.237</v>
      </c>
      <c r="X7" s="14" t="n">
        <v>49.3</v>
      </c>
      <c r="Y7" s="14">
        <f>ROUND(MIN(100, (X7/69.91)*100), 2)</f>
        <v/>
      </c>
    </row>
    <row r="8">
      <c r="A8" s="10" t="n">
        <v>3</v>
      </c>
      <c r="B8" s="10" t="n">
        <v>4</v>
      </c>
      <c r="C8" s="10" t="n">
        <v>2004</v>
      </c>
      <c r="D8" s="10" t="inlineStr">
        <is>
          <t>1380612014</t>
        </is>
      </c>
      <c r="E8" s="26" t="inlineStr">
        <is>
          <t>National Capital Region (NCR)</t>
        </is>
      </c>
      <c r="F8" s="26" t="inlineStr">
        <is>
          <t>First District (Not a Province)</t>
        </is>
      </c>
      <c r="G8" s="26" t="inlineStr">
        <is>
          <t>City of Manila</t>
        </is>
      </c>
      <c r="H8" s="26" t="inlineStr">
        <is>
          <t>Barangay 846</t>
        </is>
      </c>
      <c r="I8" s="27" t="n">
        <v>12.40428</v>
      </c>
      <c r="J8" s="27" t="n">
        <v>122.001414</v>
      </c>
      <c r="K8" s="10" t="inlineStr">
        <is>
          <t>U</t>
        </is>
      </c>
      <c r="L8" s="12" t="n">
        <v>1904</v>
      </c>
      <c r="M8" s="14" t="n">
        <v>3.9</v>
      </c>
      <c r="N8" s="12">
        <f>ROUND(L8/M8, 0)</f>
        <v/>
      </c>
      <c r="O8" s="12">
        <f>ROUND(N8*'Methodology &amp; Assumptions'!$B$5, 0)</f>
        <v/>
      </c>
      <c r="P8" s="10" t="inlineStr">
        <is>
          <t>Single Carrier (Band n50, 100MHz TDD)</t>
        </is>
      </c>
      <c r="Q8" s="13">
        <f>ROUNDUP(O8/'Methodology &amp; Assumptions'!$B$6, 0)</f>
        <v/>
      </c>
      <c r="R8" s="13" t="n">
        <v>1</v>
      </c>
      <c r="S8" s="14" t="n">
        <v>51.06</v>
      </c>
      <c r="T8" s="14" t="n">
        <v>29.15</v>
      </c>
      <c r="U8" s="26">
        <f>IF(X8&gt;='Methodology &amp; Assumptions'!$B$7, "Tier 1 Critical GIDA (Score ≥ 50.0)", IF(X8&gt;='Methodology &amp; Assumptions'!$B$8, "Tier 2 High GIDA (Score 40.0–49.9)", "Tier 3 Moderate GIDA (Score &lt; 40.0)"))</f>
        <v/>
      </c>
      <c r="V8" s="26">
        <f>IF(S8&lt;='Methodology &amp; Assumptions'!$B$10, "Direct Optical Drop (&lt;3km)", IF(S8&lt;='Methodology &amp; Assumptions'!$B$9, "Near Optical / Microwave (&lt;5km)", "Starlink Business LEO Satellite Backhaul (&gt;5km)"))</f>
        <v/>
      </c>
      <c r="W8" s="28" t="n">
        <v>0.109</v>
      </c>
      <c r="X8" s="14" t="n">
        <v>49.3</v>
      </c>
      <c r="Y8" s="14">
        <f>ROUND(MIN(100, (X8/69.91)*100), 2)</f>
        <v/>
      </c>
    </row>
    <row r="9">
      <c r="A9" s="10" t="n">
        <v>3</v>
      </c>
      <c r="B9" s="10" t="n">
        <v>5</v>
      </c>
      <c r="C9" s="10" t="n">
        <v>2005</v>
      </c>
      <c r="D9" s="10" t="inlineStr">
        <is>
          <t>1380602003</t>
        </is>
      </c>
      <c r="E9" s="26" t="inlineStr">
        <is>
          <t>National Capital Region (NCR)</t>
        </is>
      </c>
      <c r="F9" s="26" t="inlineStr">
        <is>
          <t>First District (Not a Province)</t>
        </is>
      </c>
      <c r="G9" s="26" t="inlineStr">
        <is>
          <t>City of Manila</t>
        </is>
      </c>
      <c r="H9" s="26" t="inlineStr">
        <is>
          <t>Barangay 289</t>
        </is>
      </c>
      <c r="I9" s="27" t="n">
        <v>13.08096</v>
      </c>
      <c r="J9" s="27" t="n">
        <v>121.275575</v>
      </c>
      <c r="K9" s="10" t="inlineStr">
        <is>
          <t>U</t>
        </is>
      </c>
      <c r="L9" s="12" t="n">
        <v>1048</v>
      </c>
      <c r="M9" s="14" t="n">
        <v>3.9</v>
      </c>
      <c r="N9" s="12">
        <f>ROUND(L9/M9, 0)</f>
        <v/>
      </c>
      <c r="O9" s="12">
        <f>ROUND(N9*'Methodology &amp; Assumptions'!$B$5, 0)</f>
        <v/>
      </c>
      <c r="P9" s="10" t="inlineStr">
        <is>
          <t>Single Carrier (Band n50, 100MHz TDD)</t>
        </is>
      </c>
      <c r="Q9" s="13">
        <f>ROUNDUP(O9/'Methodology &amp; Assumptions'!$B$6, 0)</f>
        <v/>
      </c>
      <c r="R9" s="13" t="n">
        <v>1</v>
      </c>
      <c r="S9" s="14" t="n">
        <v>9.630000000000001</v>
      </c>
      <c r="T9" s="14" t="n">
        <v>4.37</v>
      </c>
      <c r="U9" s="26">
        <f>IF(X9&gt;='Methodology &amp; Assumptions'!$B$7, "Tier 1 Critical GIDA (Score ≥ 50.0)", IF(X9&gt;='Methodology &amp; Assumptions'!$B$8, "Tier 2 High GIDA (Score 40.0–49.9)", "Tier 3 Moderate GIDA (Score &lt; 40.0)"))</f>
        <v/>
      </c>
      <c r="V9" s="26">
        <f>IF(S9&lt;='Methodology &amp; Assumptions'!$B$10, "Direct Optical Drop (&lt;3km)", IF(S9&lt;='Methodology &amp; Assumptions'!$B$9, "Near Optical / Microwave (&lt;5km)", "Starlink Business LEO Satellite Backhaul (&gt;5km)"))</f>
        <v/>
      </c>
      <c r="W9" s="28" t="n">
        <v>0.109</v>
      </c>
      <c r="X9" s="14" t="n">
        <v>49.3</v>
      </c>
      <c r="Y9" s="14">
        <f>ROUND(MIN(100, (X9/69.91)*100), 2)</f>
        <v/>
      </c>
    </row>
    <row r="10">
      <c r="A10" s="10" t="n">
        <v>3</v>
      </c>
      <c r="B10" s="10" t="n">
        <v>6</v>
      </c>
      <c r="C10" s="10" t="n">
        <v>2006</v>
      </c>
      <c r="D10" s="10" t="inlineStr">
        <is>
          <t>1380611031</t>
        </is>
      </c>
      <c r="E10" s="26" t="inlineStr">
        <is>
          <t>National Capital Region (NCR)</t>
        </is>
      </c>
      <c r="F10" s="26" t="inlineStr">
        <is>
          <t>First District (Not a Province)</t>
        </is>
      </c>
      <c r="G10" s="26" t="inlineStr">
        <is>
          <t>City of Manila</t>
        </is>
      </c>
      <c r="H10" s="26" t="inlineStr">
        <is>
          <t>Barangay 817</t>
        </is>
      </c>
      <c r="I10" s="27" t="n">
        <v>13.060036</v>
      </c>
      <c r="J10" s="27" t="n">
        <v>122.282257</v>
      </c>
      <c r="K10" s="10" t="inlineStr">
        <is>
          <t>U</t>
        </is>
      </c>
      <c r="L10" s="12" t="n">
        <v>1768</v>
      </c>
      <c r="M10" s="14" t="n">
        <v>3.9</v>
      </c>
      <c r="N10" s="12">
        <f>ROUND(L10/M10, 0)</f>
        <v/>
      </c>
      <c r="O10" s="12">
        <f>ROUND(N10*'Methodology &amp; Assumptions'!$B$5, 0)</f>
        <v/>
      </c>
      <c r="P10" s="10" t="inlineStr">
        <is>
          <t>Single Carrier (Band n50, 100MHz TDD)</t>
        </is>
      </c>
      <c r="Q10" s="13">
        <f>ROUNDUP(O10/'Methodology &amp; Assumptions'!$B$6, 0)</f>
        <v/>
      </c>
      <c r="R10" s="13" t="n">
        <v>1</v>
      </c>
      <c r="S10" s="14" t="n">
        <v>40.84</v>
      </c>
      <c r="T10" s="14" t="n">
        <v>53.35</v>
      </c>
      <c r="U10" s="26">
        <f>IF(X10&gt;='Methodology &amp; Assumptions'!$B$7, "Tier 1 Critical GIDA (Score ≥ 50.0)", IF(X10&gt;='Methodology &amp; Assumptions'!$B$8, "Tier 2 High GIDA (Score 40.0–49.9)", "Tier 3 Moderate GIDA (Score &lt; 40.0)"))</f>
        <v/>
      </c>
      <c r="V10" s="26">
        <f>IF(S10&lt;='Methodology &amp; Assumptions'!$B$10, "Direct Optical Drop (&lt;3km)", IF(S10&lt;='Methodology &amp; Assumptions'!$B$9, "Near Optical / Microwave (&lt;5km)", "Starlink Business LEO Satellite Backhaul (&gt;5km)"))</f>
        <v/>
      </c>
      <c r="W10" s="28" t="n">
        <v>0.109</v>
      </c>
      <c r="X10" s="14" t="n">
        <v>49.3</v>
      </c>
      <c r="Y10" s="14">
        <f>ROUND(MIN(100, (X10/69.91)*100), 2)</f>
        <v/>
      </c>
    </row>
    <row r="11">
      <c r="A11" s="10" t="n">
        <v>3</v>
      </c>
      <c r="B11" s="10" t="n">
        <v>7</v>
      </c>
      <c r="C11" s="10" t="n">
        <v>2007</v>
      </c>
      <c r="D11" s="10" t="inlineStr">
        <is>
          <t>PH0002007</t>
        </is>
      </c>
      <c r="E11" s="26" t="inlineStr">
        <is>
          <t>IV-A</t>
        </is>
      </c>
      <c r="F11" s="26" t="inlineStr">
        <is>
          <t>Cavite</t>
        </is>
      </c>
      <c r="G11" s="26" t="inlineStr">
        <is>
          <t>Imus City</t>
        </is>
      </c>
      <c r="H11" s="26" t="inlineStr">
        <is>
          <t>Poblacion II-A (Pob.)</t>
        </is>
      </c>
      <c r="I11" s="27" t="n">
        <v>14.298537</v>
      </c>
      <c r="J11" s="27" t="n">
        <v>120.895329</v>
      </c>
      <c r="K11" s="10" t="inlineStr">
        <is>
          <t>R</t>
        </is>
      </c>
      <c r="L11" s="12" t="n">
        <v>2316</v>
      </c>
      <c r="M11" s="14" t="n">
        <v>3.4</v>
      </c>
      <c r="N11" s="12">
        <f>ROUND(L11/M11, 0)</f>
        <v/>
      </c>
      <c r="O11" s="12">
        <f>ROUND(N11*'Methodology &amp; Assumptions'!$B$5, 0)</f>
        <v/>
      </c>
      <c r="P11" s="10" t="inlineStr">
        <is>
          <t>Single Carrier (Band n50, 100MHz TDD)</t>
        </is>
      </c>
      <c r="Q11" s="13">
        <f>ROUNDUP(O11/'Methodology &amp; Assumptions'!$B$6, 0)</f>
        <v/>
      </c>
      <c r="R11" s="13" t="n">
        <v>1</v>
      </c>
      <c r="S11" s="14" t="n">
        <v>1.65</v>
      </c>
      <c r="T11" s="14" t="n">
        <v>1.17</v>
      </c>
      <c r="U11" s="26">
        <f>IF(X11&gt;='Methodology &amp; Assumptions'!$B$7, "Tier 1 Critical GIDA (Score ≥ 50.0)", IF(X11&gt;='Methodology &amp; Assumptions'!$B$8, "Tier 2 High GIDA (Score 40.0–49.9)", "Tier 3 Moderate GIDA (Score &lt; 40.0)"))</f>
        <v/>
      </c>
      <c r="V11" s="26">
        <f>IF(S11&lt;='Methodology &amp; Assumptions'!$B$10, "Direct Optical Drop (&lt;3km)", IF(S11&lt;='Methodology &amp; Assumptions'!$B$9, "Near Optical / Microwave (&lt;5km)", "Starlink Business LEO Satellite Backhaul (&gt;5km)"))</f>
        <v/>
      </c>
      <c r="W11" s="28" t="n">
        <v>0.07200000000000001</v>
      </c>
      <c r="X11" s="14" t="n">
        <v>49.3</v>
      </c>
      <c r="Y11" s="14">
        <f>ROUND(MIN(100, (X11/69.91)*100), 2)</f>
        <v/>
      </c>
    </row>
    <row r="12">
      <c r="A12" s="10" t="n">
        <v>3</v>
      </c>
      <c r="B12" s="10" t="n">
        <v>8</v>
      </c>
      <c r="C12" s="10" t="n">
        <v>2008</v>
      </c>
      <c r="D12" s="10" t="inlineStr">
        <is>
          <t>1380606067</t>
        </is>
      </c>
      <c r="E12" s="26" t="inlineStr">
        <is>
          <t>National Capital Region (NCR)</t>
        </is>
      </c>
      <c r="F12" s="26" t="inlineStr">
        <is>
          <t>First District (Not a Province)</t>
        </is>
      </c>
      <c r="G12" s="26" t="inlineStr">
        <is>
          <t>City of Manila</t>
        </is>
      </c>
      <c r="H12" s="26" t="inlineStr">
        <is>
          <t>Barangay 461</t>
        </is>
      </c>
      <c r="I12" s="27" t="n">
        <v>12.410811</v>
      </c>
      <c r="J12" s="27" t="n">
        <v>121.523612</v>
      </c>
      <c r="K12" s="10" t="inlineStr">
        <is>
          <t>U</t>
        </is>
      </c>
      <c r="L12" s="12" t="n">
        <v>889</v>
      </c>
      <c r="M12" s="14" t="n">
        <v>3.9</v>
      </c>
      <c r="N12" s="12">
        <f>ROUND(L12/M12, 0)</f>
        <v/>
      </c>
      <c r="O12" s="12">
        <f>ROUND(N12*'Methodology &amp; Assumptions'!$B$5, 0)</f>
        <v/>
      </c>
      <c r="P12" s="10" t="inlineStr">
        <is>
          <t>Single Carrier (Band n50, 100MHz TDD)</t>
        </is>
      </c>
      <c r="Q12" s="13">
        <f>ROUNDUP(O12/'Methodology &amp; Assumptions'!$B$6, 0)</f>
        <v/>
      </c>
      <c r="R12" s="13" t="n">
        <v>1</v>
      </c>
      <c r="S12" s="14" t="n">
        <v>15.28</v>
      </c>
      <c r="T12" s="14" t="n">
        <v>12.23</v>
      </c>
      <c r="U12" s="26">
        <f>IF(X12&gt;='Methodology &amp; Assumptions'!$B$7, "Tier 1 Critical GIDA (Score ≥ 50.0)", IF(X12&gt;='Methodology &amp; Assumptions'!$B$8, "Tier 2 High GIDA (Score 40.0–49.9)", "Tier 3 Moderate GIDA (Score &lt; 40.0)"))</f>
        <v/>
      </c>
      <c r="V12" s="26">
        <f>IF(S12&lt;='Methodology &amp; Assumptions'!$B$10, "Direct Optical Drop (&lt;3km)", IF(S12&lt;='Methodology &amp; Assumptions'!$B$9, "Near Optical / Microwave (&lt;5km)", "Starlink Business LEO Satellite Backhaul (&gt;5km)"))</f>
        <v/>
      </c>
      <c r="W12" s="28" t="n">
        <v>0.109</v>
      </c>
      <c r="X12" s="14" t="n">
        <v>49.3</v>
      </c>
      <c r="Y12" s="14">
        <f>ROUND(MIN(100, (X12/69.91)*100), 2)</f>
        <v/>
      </c>
    </row>
    <row r="13">
      <c r="A13" s="10" t="n">
        <v>3</v>
      </c>
      <c r="B13" s="10" t="n">
        <v>9</v>
      </c>
      <c r="C13" s="10" t="n">
        <v>2009</v>
      </c>
      <c r="D13" s="10" t="inlineStr">
        <is>
          <t>PH0002009</t>
        </is>
      </c>
      <c r="E13" s="26" t="inlineStr">
        <is>
          <t>NCR</t>
        </is>
      </c>
      <c r="F13" s="26" t="inlineStr">
        <is>
          <t>Metro Manila</t>
        </is>
      </c>
      <c r="G13" s="26" t="inlineStr">
        <is>
          <t>Caloocan City</t>
        </is>
      </c>
      <c r="H13" s="26" t="inlineStr">
        <is>
          <t>Barangay 84</t>
        </is>
      </c>
      <c r="I13" s="27" t="n">
        <v>13.168217</v>
      </c>
      <c r="J13" s="27" t="n">
        <v>123.109006</v>
      </c>
      <c r="K13" s="10" t="inlineStr">
        <is>
          <t>R</t>
        </is>
      </c>
      <c r="L13" s="12" t="n">
        <v>2279</v>
      </c>
      <c r="M13" s="14" t="n">
        <v>3.8</v>
      </c>
      <c r="N13" s="12">
        <f>ROUND(L13/M13, 0)</f>
        <v/>
      </c>
      <c r="O13" s="12">
        <f>ROUND(N13*'Methodology &amp; Assumptions'!$B$5, 0)</f>
        <v/>
      </c>
      <c r="P13" s="10" t="inlineStr">
        <is>
          <t>Single Carrier (Band n50, 100MHz TDD)</t>
        </is>
      </c>
      <c r="Q13" s="13">
        <f>ROUNDUP(O13/'Methodology &amp; Assumptions'!$B$6, 0)</f>
        <v/>
      </c>
      <c r="R13" s="13" t="n">
        <v>1</v>
      </c>
      <c r="S13" s="14" t="n">
        <v>20.75</v>
      </c>
      <c r="T13" s="14" t="n">
        <v>34.57</v>
      </c>
      <c r="U13" s="26">
        <f>IF(X13&gt;='Methodology &amp; Assumptions'!$B$7, "Tier 1 Critical GIDA (Score ≥ 50.0)", IF(X13&gt;='Methodology &amp; Assumptions'!$B$8, "Tier 2 High GIDA (Score 40.0–49.9)", "Tier 3 Moderate GIDA (Score &lt; 40.0)"))</f>
        <v/>
      </c>
      <c r="V13" s="26">
        <f>IF(S13&lt;='Methodology &amp; Assumptions'!$B$10, "Direct Optical Drop (&lt;3km)", IF(S13&lt;='Methodology &amp; Assumptions'!$B$9, "Near Optical / Microwave (&lt;5km)", "Starlink Business LEO Satellite Backhaul (&gt;5km)"))</f>
        <v/>
      </c>
      <c r="W13" s="28" t="n">
        <v>0.011</v>
      </c>
      <c r="X13" s="14" t="n">
        <v>49.29</v>
      </c>
      <c r="Y13" s="14">
        <f>ROUND(MIN(100, (X13/69.91)*100), 2)</f>
        <v/>
      </c>
    </row>
    <row r="14">
      <c r="A14" s="10" t="n">
        <v>3</v>
      </c>
      <c r="B14" s="10" t="n">
        <v>10</v>
      </c>
      <c r="C14" s="10" t="n">
        <v>2010</v>
      </c>
      <c r="D14" s="10" t="inlineStr">
        <is>
          <t>1380606038</t>
        </is>
      </c>
      <c r="E14" s="26" t="inlineStr">
        <is>
          <t>National Capital Region (NCR)</t>
        </is>
      </c>
      <c r="F14" s="26" t="inlineStr">
        <is>
          <t>First District (Not a Province)</t>
        </is>
      </c>
      <c r="G14" s="26" t="inlineStr">
        <is>
          <t>City of Manila</t>
        </is>
      </c>
      <c r="H14" s="26" t="inlineStr">
        <is>
          <t>Barangay 432</t>
        </is>
      </c>
      <c r="I14" s="27" t="n">
        <v>13.391609</v>
      </c>
      <c r="J14" s="27" t="n">
        <v>121.633294</v>
      </c>
      <c r="K14" s="10" t="inlineStr">
        <is>
          <t>U</t>
        </is>
      </c>
      <c r="L14" s="12" t="n">
        <v>3540</v>
      </c>
      <c r="M14" s="14" t="n">
        <v>3.9</v>
      </c>
      <c r="N14" s="12">
        <f>ROUND(L14/M14, 0)</f>
        <v/>
      </c>
      <c r="O14" s="12">
        <f>ROUND(N14*'Methodology &amp; Assumptions'!$B$5, 0)</f>
        <v/>
      </c>
      <c r="P14" s="10" t="inlineStr">
        <is>
          <t>Single Carrier (Band n50, 100MHz TDD)</t>
        </is>
      </c>
      <c r="Q14" s="13">
        <f>ROUNDUP(O14/'Methodology &amp; Assumptions'!$B$6, 0)</f>
        <v/>
      </c>
      <c r="R14" s="13" t="n">
        <v>1</v>
      </c>
      <c r="S14" s="14" t="n">
        <v>36.68</v>
      </c>
      <c r="T14" s="14" t="n">
        <v>42.33</v>
      </c>
      <c r="U14" s="26">
        <f>IF(X14&gt;='Methodology &amp; Assumptions'!$B$7, "Tier 1 Critical GIDA (Score ≥ 50.0)", IF(X14&gt;='Methodology &amp; Assumptions'!$B$8, "Tier 2 High GIDA (Score 40.0–49.9)", "Tier 3 Moderate GIDA (Score &lt; 40.0)"))</f>
        <v/>
      </c>
      <c r="V14" s="26">
        <f>IF(S14&lt;='Methodology &amp; Assumptions'!$B$10, "Direct Optical Drop (&lt;3km)", IF(S14&lt;='Methodology &amp; Assumptions'!$B$9, "Near Optical / Microwave (&lt;5km)", "Starlink Business LEO Satellite Backhaul (&gt;5km)"))</f>
        <v/>
      </c>
      <c r="W14" s="28" t="n">
        <v>0.109</v>
      </c>
      <c r="X14" s="14" t="n">
        <v>49.29</v>
      </c>
      <c r="Y14" s="14">
        <f>ROUND(MIN(100, (X14/69.91)*100), 2)</f>
        <v/>
      </c>
    </row>
    <row r="15">
      <c r="A15" s="10" t="n">
        <v>3</v>
      </c>
      <c r="B15" s="10" t="n">
        <v>11</v>
      </c>
      <c r="C15" s="10" t="n">
        <v>2011</v>
      </c>
      <c r="D15" s="10" t="inlineStr">
        <is>
          <t>0501602018</t>
        </is>
      </c>
      <c r="E15" s="26" t="inlineStr">
        <is>
          <t>Region V (Bicol Region)</t>
        </is>
      </c>
      <c r="F15" s="26" t="inlineStr">
        <is>
          <t>Camarines Norte</t>
        </is>
      </c>
      <c r="G15" s="26" t="inlineStr">
        <is>
          <t>Capalonga</t>
        </is>
      </c>
      <c r="H15" s="26" t="inlineStr">
        <is>
          <t>San Roque</t>
        </is>
      </c>
      <c r="I15" s="27" t="n">
        <v>14.329171</v>
      </c>
      <c r="J15" s="27" t="n">
        <v>122.552103</v>
      </c>
      <c r="K15" s="10" t="inlineStr">
        <is>
          <t>R</t>
        </is>
      </c>
      <c r="L15" s="12" t="n">
        <v>1011</v>
      </c>
      <c r="M15" s="14" t="n">
        <v>4</v>
      </c>
      <c r="N15" s="12">
        <f>ROUND(L15/M15, 0)</f>
        <v/>
      </c>
      <c r="O15" s="12">
        <f>ROUND(N15*'Methodology &amp; Assumptions'!$B$5, 0)</f>
        <v/>
      </c>
      <c r="P15" s="10" t="inlineStr">
        <is>
          <t>Single Carrier (Band n50, 100MHz TDD)</t>
        </is>
      </c>
      <c r="Q15" s="13">
        <f>ROUNDUP(O15/'Methodology &amp; Assumptions'!$B$6, 0)</f>
        <v/>
      </c>
      <c r="R15" s="13" t="n">
        <v>1</v>
      </c>
      <c r="S15" s="14" t="n">
        <v>11.19</v>
      </c>
      <c r="T15" s="14" t="n">
        <v>16.18</v>
      </c>
      <c r="U15" s="26">
        <f>IF(X15&gt;='Methodology &amp; Assumptions'!$B$7, "Tier 1 Critical GIDA (Score ≥ 50.0)", IF(X15&gt;='Methodology &amp; Assumptions'!$B$8, "Tier 2 High GIDA (Score 40.0–49.9)", "Tier 3 Moderate GIDA (Score &lt; 40.0)"))</f>
        <v/>
      </c>
      <c r="V15" s="26">
        <f>IF(S15&lt;='Methodology &amp; Assumptions'!$B$10, "Direct Optical Drop (&lt;3km)", IF(S15&lt;='Methodology &amp; Assumptions'!$B$9, "Near Optical / Microwave (&lt;5km)", "Starlink Business LEO Satellite Backhaul (&gt;5km)"))</f>
        <v/>
      </c>
      <c r="W15" s="28" t="n">
        <v>0.237</v>
      </c>
      <c r="X15" s="14" t="n">
        <v>49.29</v>
      </c>
      <c r="Y15" s="14">
        <f>ROUND(MIN(100, (X15/69.91)*100), 2)</f>
        <v/>
      </c>
    </row>
    <row r="16">
      <c r="A16" s="10" t="n">
        <v>3</v>
      </c>
      <c r="B16" s="10" t="n">
        <v>12</v>
      </c>
      <c r="C16" s="10" t="n">
        <v>2012</v>
      </c>
      <c r="D16" s="10" t="inlineStr">
        <is>
          <t>1380601166</t>
        </is>
      </c>
      <c r="E16" s="26" t="inlineStr">
        <is>
          <t>National Capital Region (NCR)</t>
        </is>
      </c>
      <c r="F16" s="26" t="inlineStr">
        <is>
          <t>First District (Not a Province)</t>
        </is>
      </c>
      <c r="G16" s="26" t="inlineStr">
        <is>
          <t>City of Manila</t>
        </is>
      </c>
      <c r="H16" s="26" t="inlineStr">
        <is>
          <t>Barangay 166</t>
        </is>
      </c>
      <c r="I16" s="27" t="n">
        <v>12.594224</v>
      </c>
      <c r="J16" s="27" t="n">
        <v>122.233673</v>
      </c>
      <c r="K16" s="10" t="inlineStr">
        <is>
          <t>U</t>
        </is>
      </c>
      <c r="L16" s="12" t="n">
        <v>909</v>
      </c>
      <c r="M16" s="14" t="n">
        <v>3.9</v>
      </c>
      <c r="N16" s="12">
        <f>ROUND(L16/M16, 0)</f>
        <v/>
      </c>
      <c r="O16" s="12">
        <f>ROUND(N16*'Methodology &amp; Assumptions'!$B$5, 0)</f>
        <v/>
      </c>
      <c r="P16" s="10" t="inlineStr">
        <is>
          <t>Single Carrier (Band n50, 100MHz TDD)</t>
        </is>
      </c>
      <c r="Q16" s="13">
        <f>ROUNDUP(O16/'Methodology &amp; Assumptions'!$B$6, 0)</f>
        <v/>
      </c>
      <c r="R16" s="13" t="n">
        <v>1</v>
      </c>
      <c r="S16" s="14" t="n">
        <v>74.01000000000001</v>
      </c>
      <c r="T16" s="14" t="n">
        <v>59.03</v>
      </c>
      <c r="U16" s="26">
        <f>IF(X16&gt;='Methodology &amp; Assumptions'!$B$7, "Tier 1 Critical GIDA (Score ≥ 50.0)", IF(X16&gt;='Methodology &amp; Assumptions'!$B$8, "Tier 2 High GIDA (Score 40.0–49.9)", "Tier 3 Moderate GIDA (Score &lt; 40.0)"))</f>
        <v/>
      </c>
      <c r="V16" s="26">
        <f>IF(S16&lt;='Methodology &amp; Assumptions'!$B$10, "Direct Optical Drop (&lt;3km)", IF(S16&lt;='Methodology &amp; Assumptions'!$B$9, "Near Optical / Microwave (&lt;5km)", "Starlink Business LEO Satellite Backhaul (&gt;5km)"))</f>
        <v/>
      </c>
      <c r="W16" s="28" t="n">
        <v>0.109</v>
      </c>
      <c r="X16" s="14" t="n">
        <v>49.29</v>
      </c>
      <c r="Y16" s="14">
        <f>ROUND(MIN(100, (X16/69.91)*100), 2)</f>
        <v/>
      </c>
    </row>
    <row r="17">
      <c r="A17" s="10" t="n">
        <v>3</v>
      </c>
      <c r="B17" s="10" t="n">
        <v>13</v>
      </c>
      <c r="C17" s="10" t="n">
        <v>2013</v>
      </c>
      <c r="D17" s="10" t="inlineStr">
        <is>
          <t>1380606077</t>
        </is>
      </c>
      <c r="E17" s="26" t="inlineStr">
        <is>
          <t>National Capital Region (NCR)</t>
        </is>
      </c>
      <c r="F17" s="26" t="inlineStr">
        <is>
          <t>First District (Not a Province)</t>
        </is>
      </c>
      <c r="G17" s="26" t="inlineStr">
        <is>
          <t>City of Manila</t>
        </is>
      </c>
      <c r="H17" s="26" t="inlineStr">
        <is>
          <t>Barangay 471</t>
        </is>
      </c>
      <c r="I17" s="27" t="n">
        <v>12.787203</v>
      </c>
      <c r="J17" s="27" t="n">
        <v>121.235887</v>
      </c>
      <c r="K17" s="10" t="inlineStr">
        <is>
          <t>U</t>
        </is>
      </c>
      <c r="L17" s="12" t="n">
        <v>1458</v>
      </c>
      <c r="M17" s="14" t="n">
        <v>3.9</v>
      </c>
      <c r="N17" s="12">
        <f>ROUND(L17/M17, 0)</f>
        <v/>
      </c>
      <c r="O17" s="12">
        <f>ROUND(N17*'Methodology &amp; Assumptions'!$B$5, 0)</f>
        <v/>
      </c>
      <c r="P17" s="10" t="inlineStr">
        <is>
          <t>Single Carrier (Band n50, 100MHz TDD)</t>
        </is>
      </c>
      <c r="Q17" s="13">
        <f>ROUNDUP(O17/'Methodology &amp; Assumptions'!$B$6, 0)</f>
        <v/>
      </c>
      <c r="R17" s="13" t="n">
        <v>1</v>
      </c>
      <c r="S17" s="14" t="n">
        <v>24.88</v>
      </c>
      <c r="T17" s="14" t="n">
        <v>24.82</v>
      </c>
      <c r="U17" s="26">
        <f>IF(X17&gt;='Methodology &amp; Assumptions'!$B$7, "Tier 1 Critical GIDA (Score ≥ 50.0)", IF(X17&gt;='Methodology &amp; Assumptions'!$B$8, "Tier 2 High GIDA (Score 40.0–49.9)", "Tier 3 Moderate GIDA (Score &lt; 40.0)"))</f>
        <v/>
      </c>
      <c r="V17" s="26">
        <f>IF(S17&lt;='Methodology &amp; Assumptions'!$B$10, "Direct Optical Drop (&lt;3km)", IF(S17&lt;='Methodology &amp; Assumptions'!$B$9, "Near Optical / Microwave (&lt;5km)", "Starlink Business LEO Satellite Backhaul (&gt;5km)"))</f>
        <v/>
      </c>
      <c r="W17" s="28" t="n">
        <v>0.109</v>
      </c>
      <c r="X17" s="14" t="n">
        <v>49.29</v>
      </c>
      <c r="Y17" s="14">
        <f>ROUND(MIN(100, (X17/69.91)*100), 2)</f>
        <v/>
      </c>
    </row>
    <row r="18">
      <c r="A18" s="10" t="n">
        <v>3</v>
      </c>
      <c r="B18" s="10" t="n">
        <v>14</v>
      </c>
      <c r="C18" s="10" t="n">
        <v>2014</v>
      </c>
      <c r="D18" s="10" t="inlineStr">
        <is>
          <t>1380601006</t>
        </is>
      </c>
      <c r="E18" s="26" t="inlineStr">
        <is>
          <t>National Capital Region (NCR)</t>
        </is>
      </c>
      <c r="F18" s="26" t="inlineStr">
        <is>
          <t>First District (Not a Province)</t>
        </is>
      </c>
      <c r="G18" s="26" t="inlineStr">
        <is>
          <t>City of Manila</t>
        </is>
      </c>
      <c r="H18" s="26" t="inlineStr">
        <is>
          <t>Barangay 6</t>
        </is>
      </c>
      <c r="I18" s="27" t="n">
        <v>13.303363</v>
      </c>
      <c r="J18" s="27" t="n">
        <v>122.107479</v>
      </c>
      <c r="K18" s="10" t="inlineStr">
        <is>
          <t>U</t>
        </is>
      </c>
      <c r="L18" s="12" t="n">
        <v>794</v>
      </c>
      <c r="M18" s="14" t="n">
        <v>3.9</v>
      </c>
      <c r="N18" s="12">
        <f>ROUND(L18/M18, 0)</f>
        <v/>
      </c>
      <c r="O18" s="12">
        <f>ROUND(N18*'Methodology &amp; Assumptions'!$B$5, 0)</f>
        <v/>
      </c>
      <c r="P18" s="10" t="inlineStr">
        <is>
          <t>Single Carrier (Band n50, 100MHz TDD)</t>
        </is>
      </c>
      <c r="Q18" s="13">
        <f>ROUNDUP(O18/'Methodology &amp; Assumptions'!$B$6, 0)</f>
        <v/>
      </c>
      <c r="R18" s="13" t="n">
        <v>1</v>
      </c>
      <c r="S18" s="14" t="n">
        <v>39.43</v>
      </c>
      <c r="T18" s="14" t="n">
        <v>38.54</v>
      </c>
      <c r="U18" s="26">
        <f>IF(X18&gt;='Methodology &amp; Assumptions'!$B$7, "Tier 1 Critical GIDA (Score ≥ 50.0)", IF(X18&gt;='Methodology &amp; Assumptions'!$B$8, "Tier 2 High GIDA (Score 40.0–49.9)", "Tier 3 Moderate GIDA (Score &lt; 40.0)"))</f>
        <v/>
      </c>
      <c r="V18" s="26">
        <f>IF(S18&lt;='Methodology &amp; Assumptions'!$B$10, "Direct Optical Drop (&lt;3km)", IF(S18&lt;='Methodology &amp; Assumptions'!$B$9, "Near Optical / Microwave (&lt;5km)", "Starlink Business LEO Satellite Backhaul (&gt;5km)"))</f>
        <v/>
      </c>
      <c r="W18" s="28" t="n">
        <v>0.109</v>
      </c>
      <c r="X18" s="14" t="n">
        <v>49.29</v>
      </c>
      <c r="Y18" s="14">
        <f>ROUND(MIN(100, (X18/69.91)*100), 2)</f>
        <v/>
      </c>
    </row>
    <row r="19">
      <c r="A19" s="10" t="n">
        <v>3</v>
      </c>
      <c r="B19" s="10" t="n">
        <v>15</v>
      </c>
      <c r="C19" s="10" t="n">
        <v>2015</v>
      </c>
      <c r="D19" s="10" t="inlineStr">
        <is>
          <t>1380605043</t>
        </is>
      </c>
      <c r="E19" s="26" t="inlineStr">
        <is>
          <t>National Capital Region (NCR)</t>
        </is>
      </c>
      <c r="F19" s="26" t="inlineStr">
        <is>
          <t>First District (Not a Province)</t>
        </is>
      </c>
      <c r="G19" s="26" t="inlineStr">
        <is>
          <t>City of Manila</t>
        </is>
      </c>
      <c r="H19" s="26" t="inlineStr">
        <is>
          <t>Barangay 341</t>
        </is>
      </c>
      <c r="I19" s="27" t="n">
        <v>12.346372</v>
      </c>
      <c r="J19" s="27" t="n">
        <v>121.821864</v>
      </c>
      <c r="K19" s="10" t="inlineStr">
        <is>
          <t>U</t>
        </is>
      </c>
      <c r="L19" s="12" t="n">
        <v>1507</v>
      </c>
      <c r="M19" s="14" t="n">
        <v>3.9</v>
      </c>
      <c r="N19" s="12">
        <f>ROUND(L19/M19, 0)</f>
        <v/>
      </c>
      <c r="O19" s="12">
        <f>ROUND(N19*'Methodology &amp; Assumptions'!$B$5, 0)</f>
        <v/>
      </c>
      <c r="P19" s="10" t="inlineStr">
        <is>
          <t>Single Carrier (Band n50, 100MHz TDD)</t>
        </is>
      </c>
      <c r="Q19" s="13">
        <f>ROUNDUP(O19/'Methodology &amp; Assumptions'!$B$6, 0)</f>
        <v/>
      </c>
      <c r="R19" s="13" t="n">
        <v>1</v>
      </c>
      <c r="S19" s="14" t="n">
        <v>41</v>
      </c>
      <c r="T19" s="14" t="n">
        <v>13.26</v>
      </c>
      <c r="U19" s="26">
        <f>IF(X19&gt;='Methodology &amp; Assumptions'!$B$7, "Tier 1 Critical GIDA (Score ≥ 50.0)", IF(X19&gt;='Methodology &amp; Assumptions'!$B$8, "Tier 2 High GIDA (Score 40.0–49.9)", "Tier 3 Moderate GIDA (Score &lt; 40.0)"))</f>
        <v/>
      </c>
      <c r="V19" s="26">
        <f>IF(S19&lt;='Methodology &amp; Assumptions'!$B$10, "Direct Optical Drop (&lt;3km)", IF(S19&lt;='Methodology &amp; Assumptions'!$B$9, "Near Optical / Microwave (&lt;5km)", "Starlink Business LEO Satellite Backhaul (&gt;5km)"))</f>
        <v/>
      </c>
      <c r="W19" s="28" t="n">
        <v>0.109</v>
      </c>
      <c r="X19" s="14" t="n">
        <v>49.29</v>
      </c>
      <c r="Y19" s="14">
        <f>ROUND(MIN(100, (X19/69.91)*100), 2)</f>
        <v/>
      </c>
    </row>
    <row r="20">
      <c r="A20" s="10" t="n">
        <v>3</v>
      </c>
      <c r="B20" s="10" t="n">
        <v>16</v>
      </c>
      <c r="C20" s="10" t="n">
        <v>2016</v>
      </c>
      <c r="D20" s="10" t="inlineStr">
        <is>
          <t>PH0002016</t>
        </is>
      </c>
      <c r="E20" s="26" t="inlineStr">
        <is>
          <t>NCR</t>
        </is>
      </c>
      <c r="F20" s="26" t="inlineStr">
        <is>
          <t>Metro Manila</t>
        </is>
      </c>
      <c r="G20" s="26" t="inlineStr">
        <is>
          <t>Caloocan City</t>
        </is>
      </c>
      <c r="H20" s="26" t="inlineStr">
        <is>
          <t>Barangay 34</t>
        </is>
      </c>
      <c r="I20" s="27" t="n">
        <v>11.786652</v>
      </c>
      <c r="J20" s="27" t="n">
        <v>120.988886</v>
      </c>
      <c r="K20" s="10" t="inlineStr">
        <is>
          <t>R</t>
        </is>
      </c>
      <c r="L20" s="12" t="n">
        <v>2279</v>
      </c>
      <c r="M20" s="14" t="n">
        <v>3.8</v>
      </c>
      <c r="N20" s="12">
        <f>ROUND(L20/M20, 0)</f>
        <v/>
      </c>
      <c r="O20" s="12">
        <f>ROUND(N20*'Methodology &amp; Assumptions'!$B$5, 0)</f>
        <v/>
      </c>
      <c r="P20" s="10" t="inlineStr">
        <is>
          <t>Single Carrier (Band n50, 100MHz TDD)</t>
        </is>
      </c>
      <c r="Q20" s="13">
        <f>ROUNDUP(O20/'Methodology &amp; Assumptions'!$B$6, 0)</f>
        <v/>
      </c>
      <c r="R20" s="13" t="n">
        <v>1</v>
      </c>
      <c r="S20" s="14" t="n">
        <v>60.65</v>
      </c>
      <c r="T20" s="14" t="n">
        <v>59.67</v>
      </c>
      <c r="U20" s="26">
        <f>IF(X20&gt;='Methodology &amp; Assumptions'!$B$7, "Tier 1 Critical GIDA (Score ≥ 50.0)", IF(X20&gt;='Methodology &amp; Assumptions'!$B$8, "Tier 2 High GIDA (Score 40.0–49.9)", "Tier 3 Moderate GIDA (Score &lt; 40.0)"))</f>
        <v/>
      </c>
      <c r="V20" s="26">
        <f>IF(S20&lt;='Methodology &amp; Assumptions'!$B$10, "Direct Optical Drop (&lt;3km)", IF(S20&lt;='Methodology &amp; Assumptions'!$B$9, "Near Optical / Microwave (&lt;5km)", "Starlink Business LEO Satellite Backhaul (&gt;5km)"))</f>
        <v/>
      </c>
      <c r="W20" s="28" t="n">
        <v>0.011</v>
      </c>
      <c r="X20" s="14" t="n">
        <v>49.29</v>
      </c>
      <c r="Y20" s="14">
        <f>ROUND(MIN(100, (X20/69.91)*100), 2)</f>
        <v/>
      </c>
    </row>
    <row r="21">
      <c r="A21" s="10" t="n">
        <v>3</v>
      </c>
      <c r="B21" s="10" t="n">
        <v>17</v>
      </c>
      <c r="C21" s="10" t="n">
        <v>2017</v>
      </c>
      <c r="D21" s="10" t="inlineStr">
        <is>
          <t>1380605077</t>
        </is>
      </c>
      <c r="E21" s="26" t="inlineStr">
        <is>
          <t>National Capital Region (NCR)</t>
        </is>
      </c>
      <c r="F21" s="26" t="inlineStr">
        <is>
          <t>First District (Not a Province)</t>
        </is>
      </c>
      <c r="G21" s="26" t="inlineStr">
        <is>
          <t>City of Manila</t>
        </is>
      </c>
      <c r="H21" s="26" t="inlineStr">
        <is>
          <t>Barangay 374</t>
        </is>
      </c>
      <c r="I21" s="27" t="n">
        <v>13.2423</v>
      </c>
      <c r="J21" s="27" t="n">
        <v>121.368079</v>
      </c>
      <c r="K21" s="10" t="inlineStr">
        <is>
          <t>U</t>
        </is>
      </c>
      <c r="L21" s="12" t="n">
        <v>3377</v>
      </c>
      <c r="M21" s="14" t="n">
        <v>3.9</v>
      </c>
      <c r="N21" s="12">
        <f>ROUND(L21/M21, 0)</f>
        <v/>
      </c>
      <c r="O21" s="12">
        <f>ROUND(N21*'Methodology &amp; Assumptions'!$B$5, 0)</f>
        <v/>
      </c>
      <c r="P21" s="10" t="inlineStr">
        <is>
          <t>Single Carrier (Band n50, 100MHz TDD)</t>
        </is>
      </c>
      <c r="Q21" s="13">
        <f>ROUNDUP(O21/'Methodology &amp; Assumptions'!$B$6, 0)</f>
        <v/>
      </c>
      <c r="R21" s="13" t="n">
        <v>1</v>
      </c>
      <c r="S21" s="14" t="n">
        <v>7.77</v>
      </c>
      <c r="T21" s="14" t="n">
        <v>10.59</v>
      </c>
      <c r="U21" s="26">
        <f>IF(X21&gt;='Methodology &amp; Assumptions'!$B$7, "Tier 1 Critical GIDA (Score ≥ 50.0)", IF(X21&gt;='Methodology &amp; Assumptions'!$B$8, "Tier 2 High GIDA (Score 40.0–49.9)", "Tier 3 Moderate GIDA (Score &lt; 40.0)"))</f>
        <v/>
      </c>
      <c r="V21" s="26">
        <f>IF(S21&lt;='Methodology &amp; Assumptions'!$B$10, "Direct Optical Drop (&lt;3km)", IF(S21&lt;='Methodology &amp; Assumptions'!$B$9, "Near Optical / Microwave (&lt;5km)", "Starlink Business LEO Satellite Backhaul (&gt;5km)"))</f>
        <v/>
      </c>
      <c r="W21" s="28" t="n">
        <v>0.109</v>
      </c>
      <c r="X21" s="14" t="n">
        <v>49.29</v>
      </c>
      <c r="Y21" s="14">
        <f>ROUND(MIN(100, (X21/69.91)*100), 2)</f>
        <v/>
      </c>
    </row>
    <row r="22">
      <c r="A22" s="10" t="n">
        <v>3</v>
      </c>
      <c r="B22" s="10" t="n">
        <v>18</v>
      </c>
      <c r="C22" s="10" t="n">
        <v>2018</v>
      </c>
      <c r="D22" s="10" t="inlineStr">
        <is>
          <t>PH0002018</t>
        </is>
      </c>
      <c r="E22" s="26" t="inlineStr">
        <is>
          <t>NCR</t>
        </is>
      </c>
      <c r="F22" s="26" t="inlineStr">
        <is>
          <t>Metro Manila</t>
        </is>
      </c>
      <c r="G22" s="26" t="inlineStr">
        <is>
          <t>Caloocan City</t>
        </is>
      </c>
      <c r="H22" s="26" t="inlineStr">
        <is>
          <t>Barangay 115</t>
        </is>
      </c>
      <c r="I22" s="27" t="n">
        <v>14.203988</v>
      </c>
      <c r="J22" s="27" t="n">
        <v>121.595155</v>
      </c>
      <c r="K22" s="10" t="inlineStr">
        <is>
          <t>R</t>
        </is>
      </c>
      <c r="L22" s="12" t="n">
        <v>2279</v>
      </c>
      <c r="M22" s="14" t="n">
        <v>3.8</v>
      </c>
      <c r="N22" s="12">
        <f>ROUND(L22/M22, 0)</f>
        <v/>
      </c>
      <c r="O22" s="12">
        <f>ROUND(N22*'Methodology &amp; Assumptions'!$B$5, 0)</f>
        <v/>
      </c>
      <c r="P22" s="10" t="inlineStr">
        <is>
          <t>Single Carrier (Band n50, 100MHz TDD)</t>
        </is>
      </c>
      <c r="Q22" s="13">
        <f>ROUNDUP(O22/'Methodology &amp; Assumptions'!$B$6, 0)</f>
        <v/>
      </c>
      <c r="R22" s="13" t="n">
        <v>1</v>
      </c>
      <c r="S22" s="14" t="n">
        <v>6.51</v>
      </c>
      <c r="T22" s="14" t="n">
        <v>10.78</v>
      </c>
      <c r="U22" s="26">
        <f>IF(X22&gt;='Methodology &amp; Assumptions'!$B$7, "Tier 1 Critical GIDA (Score ≥ 50.0)", IF(X22&gt;='Methodology &amp; Assumptions'!$B$8, "Tier 2 High GIDA (Score 40.0–49.9)", "Tier 3 Moderate GIDA (Score &lt; 40.0)"))</f>
        <v/>
      </c>
      <c r="V22" s="26">
        <f>IF(S22&lt;='Methodology &amp; Assumptions'!$B$10, "Direct Optical Drop (&lt;3km)", IF(S22&lt;='Methodology &amp; Assumptions'!$B$9, "Near Optical / Microwave (&lt;5km)", "Starlink Business LEO Satellite Backhaul (&gt;5km)"))</f>
        <v/>
      </c>
      <c r="W22" s="28" t="n">
        <v>0.011</v>
      </c>
      <c r="X22" s="14" t="n">
        <v>49.28</v>
      </c>
      <c r="Y22" s="14">
        <f>ROUND(MIN(100, (X22/69.91)*100), 2)</f>
        <v/>
      </c>
    </row>
    <row r="23">
      <c r="A23" s="10" t="n">
        <v>3</v>
      </c>
      <c r="B23" s="10" t="n">
        <v>19</v>
      </c>
      <c r="C23" s="10" t="n">
        <v>2019</v>
      </c>
      <c r="D23" s="10" t="inlineStr">
        <is>
          <t>PH0002019</t>
        </is>
      </c>
      <c r="E23" s="26" t="inlineStr">
        <is>
          <t>NCR</t>
        </is>
      </c>
      <c r="F23" s="26" t="inlineStr">
        <is>
          <t>Metro Manila</t>
        </is>
      </c>
      <c r="G23" s="26" t="inlineStr">
        <is>
          <t>Caloocan City</t>
        </is>
      </c>
      <c r="H23" s="26" t="inlineStr">
        <is>
          <t>Barangay 114</t>
        </is>
      </c>
      <c r="I23" s="27" t="n">
        <v>12.020252</v>
      </c>
      <c r="J23" s="27" t="n">
        <v>122.824686</v>
      </c>
      <c r="K23" s="10" t="inlineStr">
        <is>
          <t>R</t>
        </is>
      </c>
      <c r="L23" s="12" t="n">
        <v>2279</v>
      </c>
      <c r="M23" s="14" t="n">
        <v>3.8</v>
      </c>
      <c r="N23" s="12">
        <f>ROUND(L23/M23, 0)</f>
        <v/>
      </c>
      <c r="O23" s="12">
        <f>ROUND(N23*'Methodology &amp; Assumptions'!$B$5, 0)</f>
        <v/>
      </c>
      <c r="P23" s="10" t="inlineStr">
        <is>
          <t>Single Carrier (Band n50, 100MHz TDD)</t>
        </is>
      </c>
      <c r="Q23" s="13">
        <f>ROUNDUP(O23/'Methodology &amp; Assumptions'!$B$6, 0)</f>
        <v/>
      </c>
      <c r="R23" s="13" t="n">
        <v>1</v>
      </c>
      <c r="S23" s="14" t="n">
        <v>45.48</v>
      </c>
      <c r="T23" s="14" t="n">
        <v>27.85</v>
      </c>
      <c r="U23" s="26">
        <f>IF(X23&gt;='Methodology &amp; Assumptions'!$B$7, "Tier 1 Critical GIDA (Score ≥ 50.0)", IF(X23&gt;='Methodology &amp; Assumptions'!$B$8, "Tier 2 High GIDA (Score 40.0–49.9)", "Tier 3 Moderate GIDA (Score &lt; 40.0)"))</f>
        <v/>
      </c>
      <c r="V23" s="26">
        <f>IF(S23&lt;='Methodology &amp; Assumptions'!$B$10, "Direct Optical Drop (&lt;3km)", IF(S23&lt;='Methodology &amp; Assumptions'!$B$9, "Near Optical / Microwave (&lt;5km)", "Starlink Business LEO Satellite Backhaul (&gt;5km)"))</f>
        <v/>
      </c>
      <c r="W23" s="28" t="n">
        <v>0.011</v>
      </c>
      <c r="X23" s="14" t="n">
        <v>49.28</v>
      </c>
      <c r="Y23" s="14">
        <f>ROUND(MIN(100, (X23/69.91)*100), 2)</f>
        <v/>
      </c>
    </row>
    <row r="24">
      <c r="A24" s="10" t="n">
        <v>3</v>
      </c>
      <c r="B24" s="10" t="n">
        <v>20</v>
      </c>
      <c r="C24" s="10" t="n">
        <v>2020</v>
      </c>
      <c r="D24" s="10" t="inlineStr">
        <is>
          <t>PH0002020</t>
        </is>
      </c>
      <c r="E24" s="26" t="inlineStr">
        <is>
          <t>NCR</t>
        </is>
      </c>
      <c r="F24" s="26" t="inlineStr">
        <is>
          <t>Metro Manila</t>
        </is>
      </c>
      <c r="G24" s="26" t="inlineStr">
        <is>
          <t>Caloocan City</t>
        </is>
      </c>
      <c r="H24" s="26" t="inlineStr">
        <is>
          <t>Barangay 83</t>
        </is>
      </c>
      <c r="I24" s="27" t="n">
        <v>12.821319</v>
      </c>
      <c r="J24" s="27" t="n">
        <v>120.402349</v>
      </c>
      <c r="K24" s="10" t="inlineStr">
        <is>
          <t>R</t>
        </is>
      </c>
      <c r="L24" s="12" t="n">
        <v>2279</v>
      </c>
      <c r="M24" s="14" t="n">
        <v>3.8</v>
      </c>
      <c r="N24" s="12">
        <f>ROUND(L24/M24, 0)</f>
        <v/>
      </c>
      <c r="O24" s="12">
        <f>ROUND(N24*'Methodology &amp; Assumptions'!$B$5, 0)</f>
        <v/>
      </c>
      <c r="P24" s="10" t="inlineStr">
        <is>
          <t>Single Carrier (Band n50, 100MHz TDD)</t>
        </is>
      </c>
      <c r="Q24" s="13">
        <f>ROUNDUP(O24/'Methodology &amp; Assumptions'!$B$6, 0)</f>
        <v/>
      </c>
      <c r="R24" s="13" t="n">
        <v>1</v>
      </c>
      <c r="S24" s="14" t="n">
        <v>88.90000000000001</v>
      </c>
      <c r="T24" s="14" t="n">
        <v>86.97</v>
      </c>
      <c r="U24" s="26">
        <f>IF(X24&gt;='Methodology &amp; Assumptions'!$B$7, "Tier 1 Critical GIDA (Score ≥ 50.0)", IF(X24&gt;='Methodology &amp; Assumptions'!$B$8, "Tier 2 High GIDA (Score 40.0–49.9)", "Tier 3 Moderate GIDA (Score &lt; 40.0)"))</f>
        <v/>
      </c>
      <c r="V24" s="26">
        <f>IF(S24&lt;='Methodology &amp; Assumptions'!$B$10, "Direct Optical Drop (&lt;3km)", IF(S24&lt;='Methodology &amp; Assumptions'!$B$9, "Near Optical / Microwave (&lt;5km)", "Starlink Business LEO Satellite Backhaul (&gt;5km)"))</f>
        <v/>
      </c>
      <c r="W24" s="28" t="n">
        <v>0.011</v>
      </c>
      <c r="X24" s="14" t="n">
        <v>49.28</v>
      </c>
      <c r="Y24" s="14">
        <f>ROUND(MIN(100, (X24/69.91)*100), 2)</f>
        <v/>
      </c>
    </row>
    <row r="25">
      <c r="A25" s="10" t="n">
        <v>3</v>
      </c>
      <c r="B25" s="10" t="n">
        <v>21</v>
      </c>
      <c r="C25" s="10" t="n">
        <v>2021</v>
      </c>
      <c r="D25" s="10" t="inlineStr">
        <is>
          <t>0405618045</t>
        </is>
      </c>
      <c r="E25" s="26" t="inlineStr">
        <is>
          <t>Region IV-A (CALABARZON)</t>
        </is>
      </c>
      <c r="F25" s="26" t="inlineStr">
        <is>
          <t>Quezon</t>
        </is>
      </c>
      <c r="G25" s="26" t="inlineStr">
        <is>
          <t>Guinayangan</t>
        </is>
      </c>
      <c r="H25" s="26" t="inlineStr">
        <is>
          <t>San Pedro II</t>
        </is>
      </c>
      <c r="I25" s="27" t="n">
        <v>13.895285</v>
      </c>
      <c r="J25" s="27" t="n">
        <v>122.43881</v>
      </c>
      <c r="K25" s="10" t="inlineStr">
        <is>
          <t>R</t>
        </is>
      </c>
      <c r="L25" s="12" t="n">
        <v>266</v>
      </c>
      <c r="M25" s="14" t="n">
        <v>3.8</v>
      </c>
      <c r="N25" s="12">
        <f>ROUND(L25/M25, 0)</f>
        <v/>
      </c>
      <c r="O25" s="12">
        <f>ROUND(N25*'Methodology &amp; Assumptions'!$B$5, 0)</f>
        <v/>
      </c>
      <c r="P25" s="10" t="inlineStr">
        <is>
          <t>Single Carrier (Band n50, 100MHz TDD)</t>
        </is>
      </c>
      <c r="Q25" s="13">
        <f>ROUNDUP(O25/'Methodology &amp; Assumptions'!$B$6, 0)</f>
        <v/>
      </c>
      <c r="R25" s="13" t="n">
        <v>1</v>
      </c>
      <c r="S25" s="14" t="n">
        <v>1.46</v>
      </c>
      <c r="T25" s="14" t="n">
        <v>10.64</v>
      </c>
      <c r="U25" s="26">
        <f>IF(X25&gt;='Methodology &amp; Assumptions'!$B$7, "Tier 1 Critical GIDA (Score ≥ 50.0)", IF(X25&gt;='Methodology &amp; Assumptions'!$B$8, "Tier 2 High GIDA (Score 40.0–49.9)", "Tier 3 Moderate GIDA (Score &lt; 40.0)"))</f>
        <v/>
      </c>
      <c r="V25" s="26">
        <f>IF(S25&lt;='Methodology &amp; Assumptions'!$B$10, "Direct Optical Drop (&lt;3km)", IF(S25&lt;='Methodology &amp; Assumptions'!$B$9, "Near Optical / Microwave (&lt;5km)", "Starlink Business LEO Satellite Backhaul (&gt;5km)"))</f>
        <v/>
      </c>
      <c r="W25" s="28" t="n">
        <v>0.07200000000000001</v>
      </c>
      <c r="X25" s="14" t="n">
        <v>49.28</v>
      </c>
      <c r="Y25" s="14">
        <f>ROUND(MIN(100, (X25/69.91)*100), 2)</f>
        <v/>
      </c>
    </row>
    <row r="26">
      <c r="A26" s="10" t="n">
        <v>3</v>
      </c>
      <c r="B26" s="10" t="n">
        <v>22</v>
      </c>
      <c r="C26" s="10" t="n">
        <v>2022</v>
      </c>
      <c r="D26" s="10" t="inlineStr">
        <is>
          <t>1380605044</t>
        </is>
      </c>
      <c r="E26" s="26" t="inlineStr">
        <is>
          <t>National Capital Region (NCR)</t>
        </is>
      </c>
      <c r="F26" s="26" t="inlineStr">
        <is>
          <t>First District (Not a Province)</t>
        </is>
      </c>
      <c r="G26" s="26" t="inlineStr">
        <is>
          <t>City of Manila</t>
        </is>
      </c>
      <c r="H26" s="26" t="inlineStr">
        <is>
          <t>Barangay 342</t>
        </is>
      </c>
      <c r="I26" s="27" t="n">
        <v>12.515277</v>
      </c>
      <c r="J26" s="27" t="n">
        <v>121.366038</v>
      </c>
      <c r="K26" s="10" t="inlineStr">
        <is>
          <t>U</t>
        </is>
      </c>
      <c r="L26" s="12" t="n">
        <v>1684</v>
      </c>
      <c r="M26" s="14" t="n">
        <v>3.9</v>
      </c>
      <c r="N26" s="12">
        <f>ROUND(L26/M26, 0)</f>
        <v/>
      </c>
      <c r="O26" s="12">
        <f>ROUND(N26*'Methodology &amp; Assumptions'!$B$5, 0)</f>
        <v/>
      </c>
      <c r="P26" s="10" t="inlineStr">
        <is>
          <t>Single Carrier (Band n50, 100MHz TDD)</t>
        </is>
      </c>
      <c r="Q26" s="13">
        <f>ROUNDUP(O26/'Methodology &amp; Assumptions'!$B$6, 0)</f>
        <v/>
      </c>
      <c r="R26" s="13" t="n">
        <v>1</v>
      </c>
      <c r="S26" s="14" t="n">
        <v>7.95</v>
      </c>
      <c r="T26" s="14" t="n">
        <v>6.34</v>
      </c>
      <c r="U26" s="26">
        <f>IF(X26&gt;='Methodology &amp; Assumptions'!$B$7, "Tier 1 Critical GIDA (Score ≥ 50.0)", IF(X26&gt;='Methodology &amp; Assumptions'!$B$8, "Tier 2 High GIDA (Score 40.0–49.9)", "Tier 3 Moderate GIDA (Score &lt; 40.0)"))</f>
        <v/>
      </c>
      <c r="V26" s="26">
        <f>IF(S26&lt;='Methodology &amp; Assumptions'!$B$10, "Direct Optical Drop (&lt;3km)", IF(S26&lt;='Methodology &amp; Assumptions'!$B$9, "Near Optical / Microwave (&lt;5km)", "Starlink Business LEO Satellite Backhaul (&gt;5km)"))</f>
        <v/>
      </c>
      <c r="W26" s="28" t="n">
        <v>0.109</v>
      </c>
      <c r="X26" s="14" t="n">
        <v>49.28</v>
      </c>
      <c r="Y26" s="14">
        <f>ROUND(MIN(100, (X26/69.91)*100), 2)</f>
        <v/>
      </c>
    </row>
    <row r="27">
      <c r="A27" s="10" t="n">
        <v>3</v>
      </c>
      <c r="B27" s="10" t="n">
        <v>23</v>
      </c>
      <c r="C27" s="10" t="n">
        <v>2023</v>
      </c>
      <c r="D27" s="10" t="inlineStr">
        <is>
          <t>1380614015</t>
        </is>
      </c>
      <c r="E27" s="26" t="inlineStr">
        <is>
          <t>National Capital Region (NCR)</t>
        </is>
      </c>
      <c r="F27" s="26" t="inlineStr">
        <is>
          <t>First District (Not a Province)</t>
        </is>
      </c>
      <c r="G27" s="26" t="inlineStr">
        <is>
          <t>City of Manila</t>
        </is>
      </c>
      <c r="H27" s="26" t="inlineStr">
        <is>
          <t>Barangay 759</t>
        </is>
      </c>
      <c r="I27" s="27" t="n">
        <v>13.418406</v>
      </c>
      <c r="J27" s="27" t="n">
        <v>121.822347</v>
      </c>
      <c r="K27" s="10" t="inlineStr">
        <is>
          <t>U</t>
        </is>
      </c>
      <c r="L27" s="12" t="n">
        <v>811</v>
      </c>
      <c r="M27" s="14" t="n">
        <v>3.9</v>
      </c>
      <c r="N27" s="12">
        <f>ROUND(L27/M27, 0)</f>
        <v/>
      </c>
      <c r="O27" s="12">
        <f>ROUND(N27*'Methodology &amp; Assumptions'!$B$5, 0)</f>
        <v/>
      </c>
      <c r="P27" s="10" t="inlineStr">
        <is>
          <t>Single Carrier (Band n50, 100MHz TDD)</t>
        </is>
      </c>
      <c r="Q27" s="13">
        <f>ROUNDUP(O27/'Methodology &amp; Assumptions'!$B$6, 0)</f>
        <v/>
      </c>
      <c r="R27" s="13" t="n">
        <v>1</v>
      </c>
      <c r="S27" s="14" t="n">
        <v>48.72</v>
      </c>
      <c r="T27" s="14" t="n">
        <v>48.72</v>
      </c>
      <c r="U27" s="26">
        <f>IF(X27&gt;='Methodology &amp; Assumptions'!$B$7, "Tier 1 Critical GIDA (Score ≥ 50.0)", IF(X27&gt;='Methodology &amp; Assumptions'!$B$8, "Tier 2 High GIDA (Score 40.0–49.9)", "Tier 3 Moderate GIDA (Score &lt; 40.0)"))</f>
        <v/>
      </c>
      <c r="V27" s="26">
        <f>IF(S27&lt;='Methodology &amp; Assumptions'!$B$10, "Direct Optical Drop (&lt;3km)", IF(S27&lt;='Methodology &amp; Assumptions'!$B$9, "Near Optical / Microwave (&lt;5km)", "Starlink Business LEO Satellite Backhaul (&gt;5km)"))</f>
        <v/>
      </c>
      <c r="W27" s="28" t="n">
        <v>0.109</v>
      </c>
      <c r="X27" s="14" t="n">
        <v>49.28</v>
      </c>
      <c r="Y27" s="14">
        <f>ROUND(MIN(100, (X27/69.91)*100), 2)</f>
        <v/>
      </c>
    </row>
    <row r="28">
      <c r="A28" s="10" t="n">
        <v>3</v>
      </c>
      <c r="B28" s="10" t="n">
        <v>24</v>
      </c>
      <c r="C28" s="10" t="n">
        <v>2024</v>
      </c>
      <c r="D28" s="10" t="inlineStr">
        <is>
          <t>1380606243</t>
        </is>
      </c>
      <c r="E28" s="26" t="inlineStr">
        <is>
          <t>National Capital Region (NCR)</t>
        </is>
      </c>
      <c r="F28" s="26" t="inlineStr">
        <is>
          <t>First District (Not a Province)</t>
        </is>
      </c>
      <c r="G28" s="26" t="inlineStr">
        <is>
          <t>City of Manila</t>
        </is>
      </c>
      <c r="H28" s="26" t="inlineStr">
        <is>
          <t>Barangay 636</t>
        </is>
      </c>
      <c r="I28" s="27" t="n">
        <v>12.449612</v>
      </c>
      <c r="J28" s="27" t="n">
        <v>122.112536</v>
      </c>
      <c r="K28" s="10" t="inlineStr">
        <is>
          <t>U</t>
        </is>
      </c>
      <c r="L28" s="12" t="n">
        <v>2200</v>
      </c>
      <c r="M28" s="14" t="n">
        <v>3.9</v>
      </c>
      <c r="N28" s="12">
        <f>ROUND(L28/M28, 0)</f>
        <v/>
      </c>
      <c r="O28" s="12">
        <f>ROUND(N28*'Methodology &amp; Assumptions'!$B$5, 0)</f>
        <v/>
      </c>
      <c r="P28" s="10" t="inlineStr">
        <is>
          <t>Single Carrier (Band n50, 100MHz TDD)</t>
        </is>
      </c>
      <c r="Q28" s="13">
        <f>ROUNDUP(O28/'Methodology &amp; Assumptions'!$B$6, 0)</f>
        <v/>
      </c>
      <c r="R28" s="13" t="n">
        <v>1</v>
      </c>
      <c r="S28" s="14" t="n">
        <v>58.61</v>
      </c>
      <c r="T28" s="14" t="n">
        <v>38.61</v>
      </c>
      <c r="U28" s="26">
        <f>IF(X28&gt;='Methodology &amp; Assumptions'!$B$7, "Tier 1 Critical GIDA (Score ≥ 50.0)", IF(X28&gt;='Methodology &amp; Assumptions'!$B$8, "Tier 2 High GIDA (Score 40.0–49.9)", "Tier 3 Moderate GIDA (Score &lt; 40.0)"))</f>
        <v/>
      </c>
      <c r="V28" s="26">
        <f>IF(S28&lt;='Methodology &amp; Assumptions'!$B$10, "Direct Optical Drop (&lt;3km)", IF(S28&lt;='Methodology &amp; Assumptions'!$B$9, "Near Optical / Microwave (&lt;5km)", "Starlink Business LEO Satellite Backhaul (&gt;5km)"))</f>
        <v/>
      </c>
      <c r="W28" s="28" t="n">
        <v>0.109</v>
      </c>
      <c r="X28" s="14" t="n">
        <v>49.28</v>
      </c>
      <c r="Y28" s="14">
        <f>ROUND(MIN(100, (X28/69.91)*100), 2)</f>
        <v/>
      </c>
    </row>
    <row r="29">
      <c r="A29" s="10" t="n">
        <v>3</v>
      </c>
      <c r="B29" s="10" t="n">
        <v>25</v>
      </c>
      <c r="C29" s="10" t="n">
        <v>2025</v>
      </c>
      <c r="D29" s="10" t="inlineStr">
        <is>
          <t>PH0002025</t>
        </is>
      </c>
      <c r="E29" s="26" t="inlineStr">
        <is>
          <t>III</t>
        </is>
      </c>
      <c r="F29" s="26" t="inlineStr">
        <is>
          <t>Nueva Ecija</t>
        </is>
      </c>
      <c r="G29" s="26" t="inlineStr">
        <is>
          <t>Cabanatuan City</t>
        </is>
      </c>
      <c r="H29" s="26" t="inlineStr">
        <is>
          <t>Padre Burgos (Pob.)</t>
        </is>
      </c>
      <c r="I29" s="27" t="n">
        <v>15.503869</v>
      </c>
      <c r="J29" s="27" t="n">
        <v>120.962489</v>
      </c>
      <c r="K29" s="10" t="inlineStr">
        <is>
          <t>R</t>
        </is>
      </c>
      <c r="L29" s="12" t="n">
        <v>2398</v>
      </c>
      <c r="M29" s="14" t="n">
        <v>3.5</v>
      </c>
      <c r="N29" s="12">
        <f>ROUND(L29/M29, 0)</f>
        <v/>
      </c>
      <c r="O29" s="12">
        <f>ROUND(N29*'Methodology &amp; Assumptions'!$B$5, 0)</f>
        <v/>
      </c>
      <c r="P29" s="10" t="inlineStr">
        <is>
          <t>Single Carrier (Band n50, 100MHz TDD)</t>
        </is>
      </c>
      <c r="Q29" s="13">
        <f>ROUNDUP(O29/'Methodology &amp; Assumptions'!$B$6, 0)</f>
        <v/>
      </c>
      <c r="R29" s="13" t="n">
        <v>1</v>
      </c>
      <c r="S29" s="14" t="n">
        <v>2.47</v>
      </c>
      <c r="T29" s="14" t="n">
        <v>0.46</v>
      </c>
      <c r="U29" s="26">
        <f>IF(X29&gt;='Methodology &amp; Assumptions'!$B$7, "Tier 1 Critical GIDA (Score ≥ 50.0)", IF(X29&gt;='Methodology &amp; Assumptions'!$B$8, "Tier 2 High GIDA (Score 40.0–49.9)", "Tier 3 Moderate GIDA (Score &lt; 40.0)"))</f>
        <v/>
      </c>
      <c r="V29" s="26">
        <f>IF(S29&lt;='Methodology &amp; Assumptions'!$B$10, "Direct Optical Drop (&lt;3km)", IF(S29&lt;='Methodology &amp; Assumptions'!$B$9, "Near Optical / Microwave (&lt;5km)", "Starlink Business LEO Satellite Backhaul (&gt;5km)"))</f>
        <v/>
      </c>
      <c r="W29" s="28" t="n">
        <v>0.083</v>
      </c>
      <c r="X29" s="14" t="n">
        <v>49.28</v>
      </c>
      <c r="Y29" s="14">
        <f>ROUND(MIN(100, (X29/69.91)*100), 2)</f>
        <v/>
      </c>
    </row>
    <row r="30">
      <c r="A30" s="10" t="n">
        <v>3</v>
      </c>
      <c r="B30" s="10" t="n">
        <v>26</v>
      </c>
      <c r="C30" s="10" t="n">
        <v>2026</v>
      </c>
      <c r="D30" s="10" t="inlineStr">
        <is>
          <t>0402106029</t>
        </is>
      </c>
      <c r="E30" s="26" t="inlineStr">
        <is>
          <t>Region IV-A (CALABARZON)</t>
        </is>
      </c>
      <c r="F30" s="26" t="inlineStr">
        <is>
          <t>Cavite</t>
        </is>
      </c>
      <c r="G30" s="26" t="inlineStr">
        <is>
          <t>City of Dasmariñas</t>
        </is>
      </c>
      <c r="H30" s="26" t="inlineStr">
        <is>
          <t>San Francisco I</t>
        </is>
      </c>
      <c r="I30" s="27" t="n">
        <v>14.327856</v>
      </c>
      <c r="J30" s="27" t="n">
        <v>120.965568</v>
      </c>
      <c r="K30" s="10" t="inlineStr">
        <is>
          <t>R</t>
        </is>
      </c>
      <c r="L30" s="12" t="n">
        <v>3262</v>
      </c>
      <c r="M30" s="14" t="n">
        <v>3.4</v>
      </c>
      <c r="N30" s="12">
        <f>ROUND(L30/M30, 0)</f>
        <v/>
      </c>
      <c r="O30" s="12">
        <f>ROUND(N30*'Methodology &amp; Assumptions'!$B$5, 0)</f>
        <v/>
      </c>
      <c r="P30" s="10" t="inlineStr">
        <is>
          <t>Single Carrier (Band n50, 100MHz TDD)</t>
        </is>
      </c>
      <c r="Q30" s="13">
        <f>ROUNDUP(O30/'Methodology &amp; Assumptions'!$B$6, 0)</f>
        <v/>
      </c>
      <c r="R30" s="13" t="n">
        <v>1</v>
      </c>
      <c r="S30" s="14" t="n">
        <v>1.71</v>
      </c>
      <c r="T30" s="14" t="n">
        <v>3.18</v>
      </c>
      <c r="U30" s="26">
        <f>IF(X30&gt;='Methodology &amp; Assumptions'!$B$7, "Tier 1 Critical GIDA (Score ≥ 50.0)", IF(X30&gt;='Methodology &amp; Assumptions'!$B$8, "Tier 2 High GIDA (Score 40.0–49.9)", "Tier 3 Moderate GIDA (Score &lt; 40.0)"))</f>
        <v/>
      </c>
      <c r="V30" s="26">
        <f>IF(S30&lt;='Methodology &amp; Assumptions'!$B$10, "Direct Optical Drop (&lt;3km)", IF(S30&lt;='Methodology &amp; Assumptions'!$B$9, "Near Optical / Microwave (&lt;5km)", "Starlink Business LEO Satellite Backhaul (&gt;5km)"))</f>
        <v/>
      </c>
      <c r="W30" s="28" t="n">
        <v>0.07200000000000001</v>
      </c>
      <c r="X30" s="14" t="n">
        <v>49.28</v>
      </c>
      <c r="Y30" s="14">
        <f>ROUND(MIN(100, (X30/69.91)*100), 2)</f>
        <v/>
      </c>
    </row>
    <row r="31">
      <c r="A31" s="10" t="n">
        <v>3</v>
      </c>
      <c r="B31" s="10" t="n">
        <v>27</v>
      </c>
      <c r="C31" s="10" t="n">
        <v>2027</v>
      </c>
      <c r="D31" s="10" t="inlineStr">
        <is>
          <t>1380601137</t>
        </is>
      </c>
      <c r="E31" s="26" t="inlineStr">
        <is>
          <t>National Capital Region (NCR)</t>
        </is>
      </c>
      <c r="F31" s="26" t="inlineStr">
        <is>
          <t>First District (Not a Province)</t>
        </is>
      </c>
      <c r="G31" s="26" t="inlineStr">
        <is>
          <t>City of Manila</t>
        </is>
      </c>
      <c r="H31" s="26" t="inlineStr">
        <is>
          <t>Barangay 137</t>
        </is>
      </c>
      <c r="I31" s="27" t="n">
        <v>12.974071</v>
      </c>
      <c r="J31" s="27" t="n">
        <v>121.22498</v>
      </c>
      <c r="K31" s="10" t="inlineStr">
        <is>
          <t>U</t>
        </is>
      </c>
      <c r="L31" s="12" t="n">
        <v>939</v>
      </c>
      <c r="M31" s="14" t="n">
        <v>3.9</v>
      </c>
      <c r="N31" s="12">
        <f>ROUND(L31/M31, 0)</f>
        <v/>
      </c>
      <c r="O31" s="12">
        <f>ROUND(N31*'Methodology &amp; Assumptions'!$B$5, 0)</f>
        <v/>
      </c>
      <c r="P31" s="10" t="inlineStr">
        <is>
          <t>Single Carrier (Band n50, 100MHz TDD)</t>
        </is>
      </c>
      <c r="Q31" s="13">
        <f>ROUNDUP(O31/'Methodology &amp; Assumptions'!$B$6, 0)</f>
        <v/>
      </c>
      <c r="R31" s="13" t="n">
        <v>1</v>
      </c>
      <c r="S31" s="14" t="n">
        <v>21.44</v>
      </c>
      <c r="T31" s="14" t="n">
        <v>17.12</v>
      </c>
      <c r="U31" s="26">
        <f>IF(X31&gt;='Methodology &amp; Assumptions'!$B$7, "Tier 1 Critical GIDA (Score ≥ 50.0)", IF(X31&gt;='Methodology &amp; Assumptions'!$B$8, "Tier 2 High GIDA (Score 40.0–49.9)", "Tier 3 Moderate GIDA (Score &lt; 40.0)"))</f>
        <v/>
      </c>
      <c r="V31" s="26">
        <f>IF(S31&lt;='Methodology &amp; Assumptions'!$B$10, "Direct Optical Drop (&lt;3km)", IF(S31&lt;='Methodology &amp; Assumptions'!$B$9, "Near Optical / Microwave (&lt;5km)", "Starlink Business LEO Satellite Backhaul (&gt;5km)"))</f>
        <v/>
      </c>
      <c r="W31" s="28" t="n">
        <v>0.109</v>
      </c>
      <c r="X31" s="14" t="n">
        <v>49.28</v>
      </c>
      <c r="Y31" s="14">
        <f>ROUND(MIN(100, (X31/69.91)*100), 2)</f>
        <v/>
      </c>
    </row>
    <row r="32">
      <c r="A32" s="10" t="n">
        <v>3</v>
      </c>
      <c r="B32" s="10" t="n">
        <v>28</v>
      </c>
      <c r="C32" s="10" t="n">
        <v>2028</v>
      </c>
      <c r="D32" s="10" t="inlineStr">
        <is>
          <t>1380601082</t>
        </is>
      </c>
      <c r="E32" s="26" t="inlineStr">
        <is>
          <t>National Capital Region (NCR)</t>
        </is>
      </c>
      <c r="F32" s="26" t="inlineStr">
        <is>
          <t>First District (Not a Province)</t>
        </is>
      </c>
      <c r="G32" s="26" t="inlineStr">
        <is>
          <t>City of Manila</t>
        </is>
      </c>
      <c r="H32" s="26" t="inlineStr">
        <is>
          <t>Barangay 82</t>
        </is>
      </c>
      <c r="I32" s="27" t="n">
        <v>13.172428</v>
      </c>
      <c r="J32" s="27" t="n">
        <v>122.24535</v>
      </c>
      <c r="K32" s="10" t="inlineStr">
        <is>
          <t>U</t>
        </is>
      </c>
      <c r="L32" s="12" t="n">
        <v>2722</v>
      </c>
      <c r="M32" s="14" t="n">
        <v>3.9</v>
      </c>
      <c r="N32" s="12">
        <f>ROUND(L32/M32, 0)</f>
        <v/>
      </c>
      <c r="O32" s="12">
        <f>ROUND(N32*'Methodology &amp; Assumptions'!$B$5, 0)</f>
        <v/>
      </c>
      <c r="P32" s="10" t="inlineStr">
        <is>
          <t>Single Carrier (Band n50, 100MHz TDD)</t>
        </is>
      </c>
      <c r="Q32" s="13">
        <f>ROUNDUP(O32/'Methodology &amp; Assumptions'!$B$6, 0)</f>
        <v/>
      </c>
      <c r="R32" s="13" t="n">
        <v>1</v>
      </c>
      <c r="S32" s="14" t="n">
        <v>35.35</v>
      </c>
      <c r="T32" s="14" t="n">
        <v>42.63</v>
      </c>
      <c r="U32" s="26">
        <f>IF(X32&gt;='Methodology &amp; Assumptions'!$B$7, "Tier 1 Critical GIDA (Score ≥ 50.0)", IF(X32&gt;='Methodology &amp; Assumptions'!$B$8, "Tier 2 High GIDA (Score 40.0–49.9)", "Tier 3 Moderate GIDA (Score &lt; 40.0)"))</f>
        <v/>
      </c>
      <c r="V32" s="26">
        <f>IF(S32&lt;='Methodology &amp; Assumptions'!$B$10, "Direct Optical Drop (&lt;3km)", IF(S32&lt;='Methodology &amp; Assumptions'!$B$9, "Near Optical / Microwave (&lt;5km)", "Starlink Business LEO Satellite Backhaul (&gt;5km)"))</f>
        <v/>
      </c>
      <c r="W32" s="28" t="n">
        <v>0.109</v>
      </c>
      <c r="X32" s="14" t="n">
        <v>49.27</v>
      </c>
      <c r="Y32" s="14">
        <f>ROUND(MIN(100, (X32/69.91)*100), 2)</f>
        <v/>
      </c>
    </row>
    <row r="33">
      <c r="A33" s="10" t="n">
        <v>3</v>
      </c>
      <c r="B33" s="10" t="n">
        <v>29</v>
      </c>
      <c r="C33" s="10" t="n">
        <v>2029</v>
      </c>
      <c r="D33" s="10" t="inlineStr">
        <is>
          <t>1381100056</t>
        </is>
      </c>
      <c r="E33" s="26" t="inlineStr">
        <is>
          <t>National Capital Region (NCR)</t>
        </is>
      </c>
      <c r="F33" s="26" t="inlineStr">
        <is>
          <t>Fourth District (Not a Province)</t>
        </is>
      </c>
      <c r="G33" s="26" t="inlineStr">
        <is>
          <t>Pasay City</t>
        </is>
      </c>
      <c r="H33" s="26" t="inlineStr">
        <is>
          <t>Barangay 56</t>
        </is>
      </c>
      <c r="I33" s="27" t="n">
        <v>14.452481</v>
      </c>
      <c r="J33" s="27" t="n">
        <v>121.095076</v>
      </c>
      <c r="K33" s="10" t="inlineStr">
        <is>
          <t>U</t>
        </is>
      </c>
      <c r="L33" s="12" t="n">
        <v>879</v>
      </c>
      <c r="M33" s="14" t="n">
        <v>3.4</v>
      </c>
      <c r="N33" s="12">
        <f>ROUND(L33/M33, 0)</f>
        <v/>
      </c>
      <c r="O33" s="12">
        <f>ROUND(N33*'Methodology &amp; Assumptions'!$B$5, 0)</f>
        <v/>
      </c>
      <c r="P33" s="10" t="inlineStr">
        <is>
          <t>Single Carrier (Band n50, 100MHz TDD)</t>
        </is>
      </c>
      <c r="Q33" s="13">
        <f>ROUNDUP(O33/'Methodology &amp; Assumptions'!$B$6, 0)</f>
        <v/>
      </c>
      <c r="R33" s="13" t="n">
        <v>1</v>
      </c>
      <c r="S33" s="14" t="n">
        <v>5.3</v>
      </c>
      <c r="T33" s="14" t="n">
        <v>4.49</v>
      </c>
      <c r="U33" s="26">
        <f>IF(X33&gt;='Methodology &amp; Assumptions'!$B$7, "Tier 1 Critical GIDA (Score ≥ 50.0)", IF(X33&gt;='Methodology &amp; Assumptions'!$B$8, "Tier 2 High GIDA (Score 40.0–49.9)", "Tier 3 Moderate GIDA (Score &lt; 40.0)"))</f>
        <v/>
      </c>
      <c r="V33" s="26">
        <f>IF(S33&lt;='Methodology &amp; Assumptions'!$B$10, "Direct Optical Drop (&lt;3km)", IF(S33&lt;='Methodology &amp; Assumptions'!$B$9, "Near Optical / Microwave (&lt;5km)", "Starlink Business LEO Satellite Backhaul (&gt;5km)"))</f>
        <v/>
      </c>
      <c r="W33" s="28" t="n">
        <v>0.109</v>
      </c>
      <c r="X33" s="14" t="n">
        <v>49.27</v>
      </c>
      <c r="Y33" s="14">
        <f>ROUND(MIN(100, (X33/69.91)*100), 2)</f>
        <v/>
      </c>
    </row>
    <row r="34">
      <c r="A34" s="10" t="n">
        <v>3</v>
      </c>
      <c r="B34" s="10" t="n">
        <v>30</v>
      </c>
      <c r="C34" s="10" t="n">
        <v>2030</v>
      </c>
      <c r="D34" s="10" t="inlineStr">
        <is>
          <t>1380601086</t>
        </is>
      </c>
      <c r="E34" s="26" t="inlineStr">
        <is>
          <t>National Capital Region (NCR)</t>
        </is>
      </c>
      <c r="F34" s="26" t="inlineStr">
        <is>
          <t>First District (Not a Province)</t>
        </is>
      </c>
      <c r="G34" s="26" t="inlineStr">
        <is>
          <t>City of Manila</t>
        </is>
      </c>
      <c r="H34" s="26" t="inlineStr">
        <is>
          <t>Barangay 86</t>
        </is>
      </c>
      <c r="I34" s="27" t="n">
        <v>12.352147</v>
      </c>
      <c r="J34" s="27" t="n">
        <v>121.628994</v>
      </c>
      <c r="K34" s="10" t="inlineStr">
        <is>
          <t>U</t>
        </is>
      </c>
      <c r="L34" s="12" t="n">
        <v>1458</v>
      </c>
      <c r="M34" s="14" t="n">
        <v>3.9</v>
      </c>
      <c r="N34" s="12">
        <f>ROUND(L34/M34, 0)</f>
        <v/>
      </c>
      <c r="O34" s="12">
        <f>ROUND(N34*'Methodology &amp; Assumptions'!$B$5, 0)</f>
        <v/>
      </c>
      <c r="P34" s="10" t="inlineStr">
        <is>
          <t>Single Carrier (Band n50, 100MHz TDD)</t>
        </is>
      </c>
      <c r="Q34" s="13">
        <f>ROUNDUP(O34/'Methodology &amp; Assumptions'!$B$6, 0)</f>
        <v/>
      </c>
      <c r="R34" s="13" t="n">
        <v>1</v>
      </c>
      <c r="S34" s="14" t="n">
        <v>27.87</v>
      </c>
      <c r="T34" s="14" t="n">
        <v>9.23</v>
      </c>
      <c r="U34" s="26">
        <f>IF(X34&gt;='Methodology &amp; Assumptions'!$B$7, "Tier 1 Critical GIDA (Score ≥ 50.0)", IF(X34&gt;='Methodology &amp; Assumptions'!$B$8, "Tier 2 High GIDA (Score 40.0–49.9)", "Tier 3 Moderate GIDA (Score &lt; 40.0)"))</f>
        <v/>
      </c>
      <c r="V34" s="26">
        <f>IF(S34&lt;='Methodology &amp; Assumptions'!$B$10, "Direct Optical Drop (&lt;3km)", IF(S34&lt;='Methodology &amp; Assumptions'!$B$9, "Near Optical / Microwave (&lt;5km)", "Starlink Business LEO Satellite Backhaul (&gt;5km)"))</f>
        <v/>
      </c>
      <c r="W34" s="28" t="n">
        <v>0.109</v>
      </c>
      <c r="X34" s="14" t="n">
        <v>49.27</v>
      </c>
      <c r="Y34" s="14">
        <f>ROUND(MIN(100, (X34/69.91)*100), 2)</f>
        <v/>
      </c>
    </row>
    <row r="35">
      <c r="A35" s="10" t="n">
        <v>3</v>
      </c>
      <c r="B35" s="10" t="n">
        <v>31</v>
      </c>
      <c r="C35" s="10" t="n">
        <v>2031</v>
      </c>
      <c r="D35" s="10" t="inlineStr">
        <is>
          <t>PH0002031</t>
        </is>
      </c>
      <c r="E35" s="26" t="inlineStr">
        <is>
          <t>NCR</t>
        </is>
      </c>
      <c r="F35" s="26" t="inlineStr">
        <is>
          <t>Metro Manila</t>
        </is>
      </c>
      <c r="G35" s="26" t="inlineStr">
        <is>
          <t>Caloocan City</t>
        </is>
      </c>
      <c r="H35" s="26" t="inlineStr">
        <is>
          <t>Barangay 50</t>
        </is>
      </c>
      <c r="I35" s="27" t="n">
        <v>13.827056</v>
      </c>
      <c r="J35" s="27" t="n">
        <v>122.745806</v>
      </c>
      <c r="K35" s="10" t="inlineStr">
        <is>
          <t>R</t>
        </is>
      </c>
      <c r="L35" s="12" t="n">
        <v>2279</v>
      </c>
      <c r="M35" s="14" t="n">
        <v>3.8</v>
      </c>
      <c r="N35" s="12">
        <f>ROUND(L35/M35, 0)</f>
        <v/>
      </c>
      <c r="O35" s="12">
        <f>ROUND(N35*'Methodology &amp; Assumptions'!$B$5, 0)</f>
        <v/>
      </c>
      <c r="P35" s="10" t="inlineStr">
        <is>
          <t>Single Carrier (Band n50, 100MHz TDD)</t>
        </is>
      </c>
      <c r="Q35" s="13">
        <f>ROUNDUP(O35/'Methodology &amp; Assumptions'!$B$6, 0)</f>
        <v/>
      </c>
      <c r="R35" s="13" t="n">
        <v>1</v>
      </c>
      <c r="S35" s="14" t="n">
        <v>4.71</v>
      </c>
      <c r="T35" s="14" t="n">
        <v>0.29</v>
      </c>
      <c r="U35" s="26">
        <f>IF(X35&gt;='Methodology &amp; Assumptions'!$B$7, "Tier 1 Critical GIDA (Score ≥ 50.0)", IF(X35&gt;='Methodology &amp; Assumptions'!$B$8, "Tier 2 High GIDA (Score 40.0–49.9)", "Tier 3 Moderate GIDA (Score &lt; 40.0)"))</f>
        <v/>
      </c>
      <c r="V35" s="26">
        <f>IF(S35&lt;='Methodology &amp; Assumptions'!$B$10, "Direct Optical Drop (&lt;3km)", IF(S35&lt;='Methodology &amp; Assumptions'!$B$9, "Near Optical / Microwave (&lt;5km)", "Starlink Business LEO Satellite Backhaul (&gt;5km)"))</f>
        <v/>
      </c>
      <c r="W35" s="28" t="n">
        <v>0.011</v>
      </c>
      <c r="X35" s="14" t="n">
        <v>49.27</v>
      </c>
      <c r="Y35" s="14">
        <f>ROUND(MIN(100, (X35/69.91)*100), 2)</f>
        <v/>
      </c>
    </row>
    <row r="36">
      <c r="A36" s="10" t="n">
        <v>3</v>
      </c>
      <c r="B36" s="10" t="n">
        <v>32</v>
      </c>
      <c r="C36" s="10" t="n">
        <v>2032</v>
      </c>
      <c r="D36" s="10" t="inlineStr">
        <is>
          <t>PH0002032</t>
        </is>
      </c>
      <c r="E36" s="26" t="inlineStr">
        <is>
          <t>NCR</t>
        </is>
      </c>
      <c r="F36" s="26" t="inlineStr">
        <is>
          <t>Metro Manila</t>
        </is>
      </c>
      <c r="G36" s="26" t="inlineStr">
        <is>
          <t>Caloocan City</t>
        </is>
      </c>
      <c r="H36" s="26" t="inlineStr">
        <is>
          <t>Barangay 95</t>
        </is>
      </c>
      <c r="I36" s="27" t="n">
        <v>11.539863</v>
      </c>
      <c r="J36" s="27" t="n">
        <v>121.713992</v>
      </c>
      <c r="K36" s="10" t="inlineStr">
        <is>
          <t>R</t>
        </is>
      </c>
      <c r="L36" s="12" t="n">
        <v>2279</v>
      </c>
      <c r="M36" s="14" t="n">
        <v>3.8</v>
      </c>
      <c r="N36" s="12">
        <f>ROUND(L36/M36, 0)</f>
        <v/>
      </c>
      <c r="O36" s="12">
        <f>ROUND(N36*'Methodology &amp; Assumptions'!$B$5, 0)</f>
        <v/>
      </c>
      <c r="P36" s="10" t="inlineStr">
        <is>
          <t>Single Carrier (Band n50, 100MHz TDD)</t>
        </is>
      </c>
      <c r="Q36" s="13">
        <f>ROUNDUP(O36/'Methodology &amp; Assumptions'!$B$6, 0)</f>
        <v/>
      </c>
      <c r="R36" s="13" t="n">
        <v>1</v>
      </c>
      <c r="S36" s="14" t="n">
        <v>51.96</v>
      </c>
      <c r="T36" s="14" t="n">
        <v>49.69</v>
      </c>
      <c r="U36" s="26">
        <f>IF(X36&gt;='Methodology &amp; Assumptions'!$B$7, "Tier 1 Critical GIDA (Score ≥ 50.0)", IF(X36&gt;='Methodology &amp; Assumptions'!$B$8, "Tier 2 High GIDA (Score 40.0–49.9)", "Tier 3 Moderate GIDA (Score &lt; 40.0)"))</f>
        <v/>
      </c>
      <c r="V36" s="26">
        <f>IF(S36&lt;='Methodology &amp; Assumptions'!$B$10, "Direct Optical Drop (&lt;3km)", IF(S36&lt;='Methodology &amp; Assumptions'!$B$9, "Near Optical / Microwave (&lt;5km)", "Starlink Business LEO Satellite Backhaul (&gt;5km)"))</f>
        <v/>
      </c>
      <c r="W36" s="28" t="n">
        <v>0.011</v>
      </c>
      <c r="X36" s="14" t="n">
        <v>49.27</v>
      </c>
      <c r="Y36" s="14">
        <f>ROUND(MIN(100, (X36/69.91)*100), 2)</f>
        <v/>
      </c>
    </row>
    <row r="37">
      <c r="A37" s="10" t="n">
        <v>3</v>
      </c>
      <c r="B37" s="10" t="n">
        <v>33</v>
      </c>
      <c r="C37" s="10" t="n">
        <v>2033</v>
      </c>
      <c r="D37" s="10" t="inlineStr">
        <is>
          <t>1380601230</t>
        </is>
      </c>
      <c r="E37" s="26" t="inlineStr">
        <is>
          <t>National Capital Region (NCR)</t>
        </is>
      </c>
      <c r="F37" s="26" t="inlineStr">
        <is>
          <t>First District (Not a Province)</t>
        </is>
      </c>
      <c r="G37" s="26" t="inlineStr">
        <is>
          <t>City of Manila</t>
        </is>
      </c>
      <c r="H37" s="26" t="inlineStr">
        <is>
          <t>Barangay 229</t>
        </is>
      </c>
      <c r="I37" s="27" t="n">
        <v>13.36535</v>
      </c>
      <c r="J37" s="27" t="n">
        <v>121.514662</v>
      </c>
      <c r="K37" s="10" t="inlineStr">
        <is>
          <t>U</t>
        </is>
      </c>
      <c r="L37" s="12" t="n">
        <v>1592</v>
      </c>
      <c r="M37" s="14" t="n">
        <v>3.9</v>
      </c>
      <c r="N37" s="12">
        <f>ROUND(L37/M37, 0)</f>
        <v/>
      </c>
      <c r="O37" s="12">
        <f>ROUND(N37*'Methodology &amp; Assumptions'!$B$5, 0)</f>
        <v/>
      </c>
      <c r="P37" s="10" t="inlineStr">
        <is>
          <t>Single Carrier (Band n50, 100MHz TDD)</t>
        </is>
      </c>
      <c r="Q37" s="13">
        <f>ROUNDUP(O37/'Methodology &amp; Assumptions'!$B$6, 0)</f>
        <v/>
      </c>
      <c r="R37" s="13" t="n">
        <v>1</v>
      </c>
      <c r="S37" s="14" t="n">
        <v>23.52</v>
      </c>
      <c r="T37" s="14" t="n">
        <v>29.31</v>
      </c>
      <c r="U37" s="26">
        <f>IF(X37&gt;='Methodology &amp; Assumptions'!$B$7, "Tier 1 Critical GIDA (Score ≥ 50.0)", IF(X37&gt;='Methodology &amp; Assumptions'!$B$8, "Tier 2 High GIDA (Score 40.0–49.9)", "Tier 3 Moderate GIDA (Score &lt; 40.0)"))</f>
        <v/>
      </c>
      <c r="V37" s="26">
        <f>IF(S37&lt;='Methodology &amp; Assumptions'!$B$10, "Direct Optical Drop (&lt;3km)", IF(S37&lt;='Methodology &amp; Assumptions'!$B$9, "Near Optical / Microwave (&lt;5km)", "Starlink Business LEO Satellite Backhaul (&gt;5km)"))</f>
        <v/>
      </c>
      <c r="W37" s="28" t="n">
        <v>0.109</v>
      </c>
      <c r="X37" s="14" t="n">
        <v>49.27</v>
      </c>
      <c r="Y37" s="14">
        <f>ROUND(MIN(100, (X37/69.91)*100), 2)</f>
        <v/>
      </c>
    </row>
    <row r="38">
      <c r="A38" s="10" t="n">
        <v>3</v>
      </c>
      <c r="B38" s="10" t="n">
        <v>34</v>
      </c>
      <c r="C38" s="10" t="n">
        <v>2034</v>
      </c>
      <c r="D38" s="10" t="inlineStr">
        <is>
          <t>1380607010</t>
        </is>
      </c>
      <c r="E38" s="26" t="inlineStr">
        <is>
          <t>National Capital Region (NCR)</t>
        </is>
      </c>
      <c r="F38" s="26" t="inlineStr">
        <is>
          <t>First District (Not a Province)</t>
        </is>
      </c>
      <c r="G38" s="26" t="inlineStr">
        <is>
          <t>City of Manila</t>
        </is>
      </c>
      <c r="H38" s="26" t="inlineStr">
        <is>
          <t>Barangay 646</t>
        </is>
      </c>
      <c r="I38" s="27" t="n">
        <v>12.691978</v>
      </c>
      <c r="J38" s="27" t="n">
        <v>122.303073</v>
      </c>
      <c r="K38" s="10" t="inlineStr">
        <is>
          <t>U</t>
        </is>
      </c>
      <c r="L38" s="12" t="n">
        <v>946</v>
      </c>
      <c r="M38" s="14" t="n">
        <v>3.9</v>
      </c>
      <c r="N38" s="12">
        <f>ROUND(L38/M38, 0)</f>
        <v/>
      </c>
      <c r="O38" s="12">
        <f>ROUND(N38*'Methodology &amp; Assumptions'!$B$5, 0)</f>
        <v/>
      </c>
      <c r="P38" s="10" t="inlineStr">
        <is>
          <t>Single Carrier (Band n50, 100MHz TDD)</t>
        </is>
      </c>
      <c r="Q38" s="13">
        <f>ROUNDUP(O38/'Methodology &amp; Assumptions'!$B$6, 0)</f>
        <v/>
      </c>
      <c r="R38" s="13" t="n">
        <v>1</v>
      </c>
      <c r="S38" s="14" t="n">
        <v>72.26000000000001</v>
      </c>
      <c r="T38" s="14" t="n">
        <v>72.20999999999999</v>
      </c>
      <c r="U38" s="26">
        <f>IF(X38&gt;='Methodology &amp; Assumptions'!$B$7, "Tier 1 Critical GIDA (Score ≥ 50.0)", IF(X38&gt;='Methodology &amp; Assumptions'!$B$8, "Tier 2 High GIDA (Score 40.0–49.9)", "Tier 3 Moderate GIDA (Score &lt; 40.0)"))</f>
        <v/>
      </c>
      <c r="V38" s="26">
        <f>IF(S38&lt;='Methodology &amp; Assumptions'!$B$10, "Direct Optical Drop (&lt;3km)", IF(S38&lt;='Methodology &amp; Assumptions'!$B$9, "Near Optical / Microwave (&lt;5km)", "Starlink Business LEO Satellite Backhaul (&gt;5km)"))</f>
        <v/>
      </c>
      <c r="W38" s="28" t="n">
        <v>0.109</v>
      </c>
      <c r="X38" s="14" t="n">
        <v>49.27</v>
      </c>
      <c r="Y38" s="14">
        <f>ROUND(MIN(100, (X38/69.91)*100), 2)</f>
        <v/>
      </c>
    </row>
    <row r="39">
      <c r="A39" s="10" t="n">
        <v>3</v>
      </c>
      <c r="B39" s="10" t="n">
        <v>35</v>
      </c>
      <c r="C39" s="10" t="n">
        <v>2035</v>
      </c>
      <c r="D39" s="10" t="inlineStr">
        <is>
          <t>1108210002</t>
        </is>
      </c>
      <c r="E39" s="26" t="inlineStr">
        <is>
          <t>Region XI (Davao Region)</t>
        </is>
      </c>
      <c r="F39" s="26" t="inlineStr">
        <is>
          <t>Davao de Oro</t>
        </is>
      </c>
      <c r="G39" s="26" t="inlineStr">
        <is>
          <t>New Bataan</t>
        </is>
      </c>
      <c r="H39" s="26" t="inlineStr">
        <is>
          <t>Batinao</t>
        </is>
      </c>
      <c r="I39" s="27" t="n">
        <v>7.571421</v>
      </c>
      <c r="J39" s="27" t="n">
        <v>126.061696</v>
      </c>
      <c r="K39" s="10" t="inlineStr">
        <is>
          <t>R</t>
        </is>
      </c>
      <c r="L39" s="12" t="n">
        <v>1378</v>
      </c>
      <c r="M39" s="14" t="n">
        <v>3.7</v>
      </c>
      <c r="N39" s="12">
        <f>ROUND(L39/M39, 0)</f>
        <v/>
      </c>
      <c r="O39" s="12">
        <f>ROUND(N39*'Methodology &amp; Assumptions'!$B$5, 0)</f>
        <v/>
      </c>
      <c r="P39" s="10" t="inlineStr">
        <is>
          <t>Single Carrier (Band n50, 100MHz TDD)</t>
        </is>
      </c>
      <c r="Q39" s="13">
        <f>ROUNDUP(O39/'Methodology &amp; Assumptions'!$B$6, 0)</f>
        <v/>
      </c>
      <c r="R39" s="13" t="n">
        <v>1</v>
      </c>
      <c r="S39" s="14" t="n">
        <v>28.47</v>
      </c>
      <c r="T39" s="14" t="n">
        <v>11.29</v>
      </c>
      <c r="U39" s="26">
        <f>IF(X39&gt;='Methodology &amp; Assumptions'!$B$7, "Tier 1 Critical GIDA (Score ≥ 50.0)", IF(X39&gt;='Methodology &amp; Assumptions'!$B$8, "Tier 2 High GIDA (Score 40.0–49.9)", "Tier 3 Moderate GIDA (Score &lt; 40.0)"))</f>
        <v/>
      </c>
      <c r="V39" s="26">
        <f>IF(S39&lt;='Methodology &amp; Assumptions'!$B$10, "Direct Optical Drop (&lt;3km)", IF(S39&lt;='Methodology &amp; Assumptions'!$B$9, "Near Optical / Microwave (&lt;5km)", "Starlink Business LEO Satellite Backhaul (&gt;5km)"))</f>
        <v/>
      </c>
      <c r="W39" s="28" t="n">
        <v>0.174</v>
      </c>
      <c r="X39" s="14" t="n">
        <v>49.27</v>
      </c>
      <c r="Y39" s="14">
        <f>ROUND(MIN(100, (X39/69.91)*100), 2)</f>
        <v/>
      </c>
    </row>
    <row r="40">
      <c r="A40" s="10" t="n">
        <v>3</v>
      </c>
      <c r="B40" s="10" t="n">
        <v>36</v>
      </c>
      <c r="C40" s="10" t="n">
        <v>2036</v>
      </c>
      <c r="D40" s="10" t="inlineStr">
        <is>
          <t>1380606040</t>
        </is>
      </c>
      <c r="E40" s="26" t="inlineStr">
        <is>
          <t>National Capital Region (NCR)</t>
        </is>
      </c>
      <c r="F40" s="26" t="inlineStr">
        <is>
          <t>First District (Not a Province)</t>
        </is>
      </c>
      <c r="G40" s="26" t="inlineStr">
        <is>
          <t>City of Manila</t>
        </is>
      </c>
      <c r="H40" s="26" t="inlineStr">
        <is>
          <t>Barangay 434</t>
        </is>
      </c>
      <c r="I40" s="27" t="n">
        <v>12.669143</v>
      </c>
      <c r="J40" s="27" t="n">
        <v>121.252551</v>
      </c>
      <c r="K40" s="10" t="inlineStr">
        <is>
          <t>U</t>
        </is>
      </c>
      <c r="L40" s="12" t="n">
        <v>1209</v>
      </c>
      <c r="M40" s="14" t="n">
        <v>3.9</v>
      </c>
      <c r="N40" s="12">
        <f>ROUND(L40/M40, 0)</f>
        <v/>
      </c>
      <c r="O40" s="12">
        <f>ROUND(N40*'Methodology &amp; Assumptions'!$B$5, 0)</f>
        <v/>
      </c>
      <c r="P40" s="10" t="inlineStr">
        <is>
          <t>Single Carrier (Band n50, 100MHz TDD)</t>
        </is>
      </c>
      <c r="Q40" s="13">
        <f>ROUNDUP(O40/'Methodology &amp; Assumptions'!$B$6, 0)</f>
        <v/>
      </c>
      <c r="R40" s="13" t="n">
        <v>1</v>
      </c>
      <c r="S40" s="14" t="n">
        <v>26.12</v>
      </c>
      <c r="T40" s="14" t="n">
        <v>24.95</v>
      </c>
      <c r="U40" s="26">
        <f>IF(X40&gt;='Methodology &amp; Assumptions'!$B$7, "Tier 1 Critical GIDA (Score ≥ 50.0)", IF(X40&gt;='Methodology &amp; Assumptions'!$B$8, "Tier 2 High GIDA (Score 40.0–49.9)", "Tier 3 Moderate GIDA (Score &lt; 40.0)"))</f>
        <v/>
      </c>
      <c r="V40" s="26">
        <f>IF(S40&lt;='Methodology &amp; Assumptions'!$B$10, "Direct Optical Drop (&lt;3km)", IF(S40&lt;='Methodology &amp; Assumptions'!$B$9, "Near Optical / Microwave (&lt;5km)", "Starlink Business LEO Satellite Backhaul (&gt;5km)"))</f>
        <v/>
      </c>
      <c r="W40" s="28" t="n">
        <v>0.109</v>
      </c>
      <c r="X40" s="14" t="n">
        <v>49.27</v>
      </c>
      <c r="Y40" s="14">
        <f>ROUND(MIN(100, (X40/69.91)*100), 2)</f>
        <v/>
      </c>
    </row>
    <row r="41">
      <c r="A41" s="10" t="n">
        <v>3</v>
      </c>
      <c r="B41" s="10" t="n">
        <v>37</v>
      </c>
      <c r="C41" s="10" t="n">
        <v>2037</v>
      </c>
      <c r="D41" s="10" t="inlineStr">
        <is>
          <t>1380610011</t>
        </is>
      </c>
      <c r="E41" s="26" t="inlineStr">
        <is>
          <t>National Capital Region (NCR)</t>
        </is>
      </c>
      <c r="F41" s="26" t="inlineStr">
        <is>
          <t>First District (Not a Province)</t>
        </is>
      </c>
      <c r="G41" s="26" t="inlineStr">
        <is>
          <t>City of Manila</t>
        </is>
      </c>
      <c r="H41" s="26" t="inlineStr">
        <is>
          <t>Barangay 696</t>
        </is>
      </c>
      <c r="I41" s="27" t="n">
        <v>13.379585</v>
      </c>
      <c r="J41" s="27" t="n">
        <v>122.013116</v>
      </c>
      <c r="K41" s="10" t="inlineStr">
        <is>
          <t>U</t>
        </is>
      </c>
      <c r="L41" s="12" t="n">
        <v>2493</v>
      </c>
      <c r="M41" s="14" t="n">
        <v>3.9</v>
      </c>
      <c r="N41" s="12">
        <f>ROUND(L41/M41, 0)</f>
        <v/>
      </c>
      <c r="O41" s="12">
        <f>ROUND(N41*'Methodology &amp; Assumptions'!$B$5, 0)</f>
        <v/>
      </c>
      <c r="P41" s="10" t="inlineStr">
        <is>
          <t>Single Carrier (Band n50, 100MHz TDD)</t>
        </is>
      </c>
      <c r="Q41" s="13">
        <f>ROUNDUP(O41/'Methodology &amp; Assumptions'!$B$6, 0)</f>
        <v/>
      </c>
      <c r="R41" s="13" t="n">
        <v>1</v>
      </c>
      <c r="S41" s="14" t="n">
        <v>37.91</v>
      </c>
      <c r="T41" s="14" t="n">
        <v>36.74</v>
      </c>
      <c r="U41" s="26">
        <f>IF(X41&gt;='Methodology &amp; Assumptions'!$B$7, "Tier 1 Critical GIDA (Score ≥ 50.0)", IF(X41&gt;='Methodology &amp; Assumptions'!$B$8, "Tier 2 High GIDA (Score 40.0–49.9)", "Tier 3 Moderate GIDA (Score &lt; 40.0)"))</f>
        <v/>
      </c>
      <c r="V41" s="26">
        <f>IF(S41&lt;='Methodology &amp; Assumptions'!$B$10, "Direct Optical Drop (&lt;3km)", IF(S41&lt;='Methodology &amp; Assumptions'!$B$9, "Near Optical / Microwave (&lt;5km)", "Starlink Business LEO Satellite Backhaul (&gt;5km)"))</f>
        <v/>
      </c>
      <c r="W41" s="28" t="n">
        <v>0.109</v>
      </c>
      <c r="X41" s="14" t="n">
        <v>49.27</v>
      </c>
      <c r="Y41" s="14">
        <f>ROUND(MIN(100, (X41/69.91)*100), 2)</f>
        <v/>
      </c>
    </row>
    <row r="42">
      <c r="A42" s="10" t="n">
        <v>3</v>
      </c>
      <c r="B42" s="10" t="n">
        <v>38</v>
      </c>
      <c r="C42" s="10" t="n">
        <v>2038</v>
      </c>
      <c r="D42" s="10" t="inlineStr">
        <is>
          <t>1380610009</t>
        </is>
      </c>
      <c r="E42" s="26" t="inlineStr">
        <is>
          <t>National Capital Region (NCR)</t>
        </is>
      </c>
      <c r="F42" s="26" t="inlineStr">
        <is>
          <t>First District (Not a Province)</t>
        </is>
      </c>
      <c r="G42" s="26" t="inlineStr">
        <is>
          <t>City of Manila</t>
        </is>
      </c>
      <c r="H42" s="26" t="inlineStr">
        <is>
          <t>Barangay 694</t>
        </is>
      </c>
      <c r="I42" s="27" t="n">
        <v>12.352379</v>
      </c>
      <c r="J42" s="27" t="n">
        <v>121.944555</v>
      </c>
      <c r="K42" s="10" t="inlineStr">
        <is>
          <t>U</t>
        </is>
      </c>
      <c r="L42" s="12" t="n">
        <v>1320</v>
      </c>
      <c r="M42" s="14" t="n">
        <v>3.9</v>
      </c>
      <c r="N42" s="12">
        <f>ROUND(L42/M42, 0)</f>
        <v/>
      </c>
      <c r="O42" s="12">
        <f>ROUND(N42*'Methodology &amp; Assumptions'!$B$5, 0)</f>
        <v/>
      </c>
      <c r="P42" s="10" t="inlineStr">
        <is>
          <t>Single Carrier (Band n50, 100MHz TDD)</t>
        </is>
      </c>
      <c r="Q42" s="13">
        <f>ROUNDUP(O42/'Methodology &amp; Assumptions'!$B$6, 0)</f>
        <v/>
      </c>
      <c r="R42" s="13" t="n">
        <v>1</v>
      </c>
      <c r="S42" s="14" t="n">
        <v>44.93</v>
      </c>
      <c r="T42" s="14" t="n">
        <v>22.25</v>
      </c>
      <c r="U42" s="26">
        <f>IF(X42&gt;='Methodology &amp; Assumptions'!$B$7, "Tier 1 Critical GIDA (Score ≥ 50.0)", IF(X42&gt;='Methodology &amp; Assumptions'!$B$8, "Tier 2 High GIDA (Score 40.0–49.9)", "Tier 3 Moderate GIDA (Score &lt; 40.0)"))</f>
        <v/>
      </c>
      <c r="V42" s="26">
        <f>IF(S42&lt;='Methodology &amp; Assumptions'!$B$10, "Direct Optical Drop (&lt;3km)", IF(S42&lt;='Methodology &amp; Assumptions'!$B$9, "Near Optical / Microwave (&lt;5km)", "Starlink Business LEO Satellite Backhaul (&gt;5km)"))</f>
        <v/>
      </c>
      <c r="W42" s="28" t="n">
        <v>0.109</v>
      </c>
      <c r="X42" s="14" t="n">
        <v>49.27</v>
      </c>
      <c r="Y42" s="14">
        <f>ROUND(MIN(100, (X42/69.91)*100), 2)</f>
        <v/>
      </c>
    </row>
    <row r="43">
      <c r="A43" s="10" t="n">
        <v>3</v>
      </c>
      <c r="B43" s="10" t="n">
        <v>39</v>
      </c>
      <c r="C43" s="10" t="n">
        <v>2039</v>
      </c>
      <c r="D43" s="10" t="inlineStr">
        <is>
          <t>1380603005</t>
        </is>
      </c>
      <c r="E43" s="26" t="inlineStr">
        <is>
          <t>National Capital Region (NCR)</t>
        </is>
      </c>
      <c r="F43" s="26" t="inlineStr">
        <is>
          <t>First District (Not a Province)</t>
        </is>
      </c>
      <c r="G43" s="26" t="inlineStr">
        <is>
          <t>City of Manila</t>
        </is>
      </c>
      <c r="H43" s="26" t="inlineStr">
        <is>
          <t>Barangay 385</t>
        </is>
      </c>
      <c r="I43" s="27" t="n">
        <v>13.15683</v>
      </c>
      <c r="J43" s="27" t="n">
        <v>121.281608</v>
      </c>
      <c r="K43" s="10" t="inlineStr">
        <is>
          <t>U</t>
        </is>
      </c>
      <c r="L43" s="12" t="n">
        <v>3509</v>
      </c>
      <c r="M43" s="14" t="n">
        <v>3.9</v>
      </c>
      <c r="N43" s="12">
        <f>ROUND(L43/M43, 0)</f>
        <v/>
      </c>
      <c r="O43" s="12">
        <f>ROUND(N43*'Methodology &amp; Assumptions'!$B$5, 0)</f>
        <v/>
      </c>
      <c r="P43" s="10" t="inlineStr">
        <is>
          <t>Single Carrier (Band n50, 100MHz TDD)</t>
        </is>
      </c>
      <c r="Q43" s="13">
        <f>ROUNDUP(O43/'Methodology &amp; Assumptions'!$B$6, 0)</f>
        <v/>
      </c>
      <c r="R43" s="13" t="n">
        <v>1</v>
      </c>
      <c r="S43" s="14" t="n">
        <v>1.2</v>
      </c>
      <c r="T43" s="14" t="n">
        <v>0.39</v>
      </c>
      <c r="U43" s="26">
        <f>IF(X43&gt;='Methodology &amp; Assumptions'!$B$7, "Tier 1 Critical GIDA (Score ≥ 50.0)", IF(X43&gt;='Methodology &amp; Assumptions'!$B$8, "Tier 2 High GIDA (Score 40.0–49.9)", "Tier 3 Moderate GIDA (Score &lt; 40.0)"))</f>
        <v/>
      </c>
      <c r="V43" s="26">
        <f>IF(S43&lt;='Methodology &amp; Assumptions'!$B$10, "Direct Optical Drop (&lt;3km)", IF(S43&lt;='Methodology &amp; Assumptions'!$B$9, "Near Optical / Microwave (&lt;5km)", "Starlink Business LEO Satellite Backhaul (&gt;5km)"))</f>
        <v/>
      </c>
      <c r="W43" s="28" t="n">
        <v>0.109</v>
      </c>
      <c r="X43" s="14" t="n">
        <v>49.27</v>
      </c>
      <c r="Y43" s="14">
        <f>ROUND(MIN(100, (X43/69.91)*100), 2)</f>
        <v/>
      </c>
    </row>
    <row r="44">
      <c r="A44" s="10" t="n">
        <v>3</v>
      </c>
      <c r="B44" s="10" t="n">
        <v>40</v>
      </c>
      <c r="C44" s="10" t="n">
        <v>2040</v>
      </c>
      <c r="D44" s="10" t="inlineStr">
        <is>
          <t>1380606196</t>
        </is>
      </c>
      <c r="E44" s="26" t="inlineStr">
        <is>
          <t>National Capital Region (NCR)</t>
        </is>
      </c>
      <c r="F44" s="26" t="inlineStr">
        <is>
          <t>First District (Not a Province)</t>
        </is>
      </c>
      <c r="G44" s="26" t="inlineStr">
        <is>
          <t>City of Manila</t>
        </is>
      </c>
      <c r="H44" s="26" t="inlineStr">
        <is>
          <t>Barangay 589</t>
        </is>
      </c>
      <c r="I44" s="27" t="n">
        <v>12.999956</v>
      </c>
      <c r="J44" s="27" t="n">
        <v>122.33044</v>
      </c>
      <c r="K44" s="10" t="inlineStr">
        <is>
          <t>U</t>
        </is>
      </c>
      <c r="L44" s="12" t="n">
        <v>680</v>
      </c>
      <c r="M44" s="14" t="n">
        <v>3.9</v>
      </c>
      <c r="N44" s="12">
        <f>ROUND(L44/M44, 0)</f>
        <v/>
      </c>
      <c r="O44" s="12">
        <f>ROUND(N44*'Methodology &amp; Assumptions'!$B$5, 0)</f>
        <v/>
      </c>
      <c r="P44" s="10" t="inlineStr">
        <is>
          <t>Single Carrier (Band n50, 100MHz TDD)</t>
        </is>
      </c>
      <c r="Q44" s="13">
        <f>ROUNDUP(O44/'Methodology &amp; Assumptions'!$B$6, 0)</f>
        <v/>
      </c>
      <c r="R44" s="13" t="n">
        <v>1</v>
      </c>
      <c r="S44" s="14" t="n">
        <v>43.56</v>
      </c>
      <c r="T44" s="14" t="n">
        <v>58.99</v>
      </c>
      <c r="U44" s="26">
        <f>IF(X44&gt;='Methodology &amp; Assumptions'!$B$7, "Tier 1 Critical GIDA (Score ≥ 50.0)", IF(X44&gt;='Methodology &amp; Assumptions'!$B$8, "Tier 2 High GIDA (Score 40.0–49.9)", "Tier 3 Moderate GIDA (Score &lt; 40.0)"))</f>
        <v/>
      </c>
      <c r="V44" s="26">
        <f>IF(S44&lt;='Methodology &amp; Assumptions'!$B$10, "Direct Optical Drop (&lt;3km)", IF(S44&lt;='Methodology &amp; Assumptions'!$B$9, "Near Optical / Microwave (&lt;5km)", "Starlink Business LEO Satellite Backhaul (&gt;5km)"))</f>
        <v/>
      </c>
      <c r="W44" s="28" t="n">
        <v>0.109</v>
      </c>
      <c r="X44" s="14" t="n">
        <v>49.27</v>
      </c>
      <c r="Y44" s="14">
        <f>ROUND(MIN(100, (X44/69.91)*100), 2)</f>
        <v/>
      </c>
    </row>
    <row r="45">
      <c r="A45" s="10" t="n">
        <v>3</v>
      </c>
      <c r="B45" s="10" t="n">
        <v>41</v>
      </c>
      <c r="C45" s="10" t="n">
        <v>2041</v>
      </c>
      <c r="D45" s="10" t="inlineStr">
        <is>
          <t>1380601163</t>
        </is>
      </c>
      <c r="E45" s="26" t="inlineStr">
        <is>
          <t>National Capital Region (NCR)</t>
        </is>
      </c>
      <c r="F45" s="26" t="inlineStr">
        <is>
          <t>First District (Not a Province)</t>
        </is>
      </c>
      <c r="G45" s="26" t="inlineStr">
        <is>
          <t>City of Manila</t>
        </is>
      </c>
      <c r="H45" s="26" t="inlineStr">
        <is>
          <t>Barangay 163</t>
        </is>
      </c>
      <c r="I45" s="27" t="n">
        <v>12.423465</v>
      </c>
      <c r="J45" s="27" t="n">
        <v>121.446296</v>
      </c>
      <c r="K45" s="10" t="inlineStr">
        <is>
          <t>U</t>
        </is>
      </c>
      <c r="L45" s="12" t="n">
        <v>3957</v>
      </c>
      <c r="M45" s="14" t="n">
        <v>3.9</v>
      </c>
      <c r="N45" s="12">
        <f>ROUND(L45/M45, 0)</f>
        <v/>
      </c>
      <c r="O45" s="12">
        <f>ROUND(N45*'Methodology &amp; Assumptions'!$B$5, 0)</f>
        <v/>
      </c>
      <c r="P45" s="10" t="inlineStr">
        <is>
          <t>Single Carrier (Band n50, 100MHz TDD)</t>
        </is>
      </c>
      <c r="Q45" s="13">
        <f>ROUNDUP(O45/'Methodology &amp; Assumptions'!$B$6, 0)</f>
        <v/>
      </c>
      <c r="R45" s="13" t="n">
        <v>1</v>
      </c>
      <c r="S45" s="14" t="n">
        <v>10.84</v>
      </c>
      <c r="T45" s="14" t="n">
        <v>3.76</v>
      </c>
      <c r="U45" s="26">
        <f>IF(X45&gt;='Methodology &amp; Assumptions'!$B$7, "Tier 1 Critical GIDA (Score ≥ 50.0)", IF(X45&gt;='Methodology &amp; Assumptions'!$B$8, "Tier 2 High GIDA (Score 40.0–49.9)", "Tier 3 Moderate GIDA (Score &lt; 40.0)"))</f>
        <v/>
      </c>
      <c r="V45" s="26">
        <f>IF(S45&lt;='Methodology &amp; Assumptions'!$B$10, "Direct Optical Drop (&lt;3km)", IF(S45&lt;='Methodology &amp; Assumptions'!$B$9, "Near Optical / Microwave (&lt;5km)", "Starlink Business LEO Satellite Backhaul (&gt;5km)"))</f>
        <v/>
      </c>
      <c r="W45" s="28" t="n">
        <v>0.109</v>
      </c>
      <c r="X45" s="14" t="n">
        <v>49.26</v>
      </c>
      <c r="Y45" s="14">
        <f>ROUND(MIN(100, (X45/69.91)*100), 2)</f>
        <v/>
      </c>
    </row>
    <row r="46">
      <c r="A46" s="10" t="n">
        <v>3</v>
      </c>
      <c r="B46" s="10" t="n">
        <v>42</v>
      </c>
      <c r="C46" s="10" t="n">
        <v>2042</v>
      </c>
      <c r="D46" s="10" t="inlineStr">
        <is>
          <t>1381100181</t>
        </is>
      </c>
      <c r="E46" s="26" t="inlineStr">
        <is>
          <t>National Capital Region (NCR)</t>
        </is>
      </c>
      <c r="F46" s="26" t="inlineStr">
        <is>
          <t>Fourth District (Not a Province)</t>
        </is>
      </c>
      <c r="G46" s="26" t="inlineStr">
        <is>
          <t>Pasay City</t>
        </is>
      </c>
      <c r="H46" s="26" t="inlineStr">
        <is>
          <t>Barangay 181</t>
        </is>
      </c>
      <c r="I46" s="27" t="n">
        <v>14.546432</v>
      </c>
      <c r="J46" s="27" t="n">
        <v>120.873236</v>
      </c>
      <c r="K46" s="10" t="inlineStr">
        <is>
          <t>U</t>
        </is>
      </c>
      <c r="L46" s="12" t="n">
        <v>1937</v>
      </c>
      <c r="M46" s="14" t="n">
        <v>3.4</v>
      </c>
      <c r="N46" s="12">
        <f>ROUND(L46/M46, 0)</f>
        <v/>
      </c>
      <c r="O46" s="12">
        <f>ROUND(N46*'Methodology &amp; Assumptions'!$B$5, 0)</f>
        <v/>
      </c>
      <c r="P46" s="10" t="inlineStr">
        <is>
          <t>Single Carrier (Band n50, 100MHz TDD)</t>
        </is>
      </c>
      <c r="Q46" s="13">
        <f>ROUNDUP(O46/'Methodology &amp; Assumptions'!$B$6, 0)</f>
        <v/>
      </c>
      <c r="R46" s="13" t="n">
        <v>1</v>
      </c>
      <c r="S46" s="14" t="n">
        <v>8.109999999999999</v>
      </c>
      <c r="T46" s="14" t="n">
        <v>11.94</v>
      </c>
      <c r="U46" s="26">
        <f>IF(X46&gt;='Methodology &amp; Assumptions'!$B$7, "Tier 1 Critical GIDA (Score ≥ 50.0)", IF(X46&gt;='Methodology &amp; Assumptions'!$B$8, "Tier 2 High GIDA (Score 40.0–49.9)", "Tier 3 Moderate GIDA (Score &lt; 40.0)"))</f>
        <v/>
      </c>
      <c r="V46" s="26">
        <f>IF(S46&lt;='Methodology &amp; Assumptions'!$B$10, "Direct Optical Drop (&lt;3km)", IF(S46&lt;='Methodology &amp; Assumptions'!$B$9, "Near Optical / Microwave (&lt;5km)", "Starlink Business LEO Satellite Backhaul (&gt;5km)"))</f>
        <v/>
      </c>
      <c r="W46" s="28" t="n">
        <v>0.109</v>
      </c>
      <c r="X46" s="14" t="n">
        <v>49.26</v>
      </c>
      <c r="Y46" s="14">
        <f>ROUND(MIN(100, (X46/69.91)*100), 2)</f>
        <v/>
      </c>
    </row>
    <row r="47">
      <c r="A47" s="10" t="n">
        <v>3</v>
      </c>
      <c r="B47" s="10" t="n">
        <v>43</v>
      </c>
      <c r="C47" s="10" t="n">
        <v>2043</v>
      </c>
      <c r="D47" s="10" t="inlineStr">
        <is>
          <t>1380601206</t>
        </is>
      </c>
      <c r="E47" s="26" t="inlineStr">
        <is>
          <t>National Capital Region (NCR)</t>
        </is>
      </c>
      <c r="F47" s="26" t="inlineStr">
        <is>
          <t>First District (Not a Province)</t>
        </is>
      </c>
      <c r="G47" s="26" t="inlineStr">
        <is>
          <t>City of Manila</t>
        </is>
      </c>
      <c r="H47" s="26" t="inlineStr">
        <is>
          <t>Barangay 205</t>
        </is>
      </c>
      <c r="I47" s="27" t="n">
        <v>13.433233</v>
      </c>
      <c r="J47" s="27" t="n">
        <v>121.699245</v>
      </c>
      <c r="K47" s="10" t="inlineStr">
        <is>
          <t>U</t>
        </is>
      </c>
      <c r="L47" s="12" t="n">
        <v>1813</v>
      </c>
      <c r="M47" s="14" t="n">
        <v>3.9</v>
      </c>
      <c r="N47" s="12">
        <f>ROUND(L47/M47, 0)</f>
        <v/>
      </c>
      <c r="O47" s="12">
        <f>ROUND(N47*'Methodology &amp; Assumptions'!$B$5, 0)</f>
        <v/>
      </c>
      <c r="P47" s="10" t="inlineStr">
        <is>
          <t>Single Carrier (Band n50, 100MHz TDD)</t>
        </is>
      </c>
      <c r="Q47" s="13">
        <f>ROUNDUP(O47/'Methodology &amp; Assumptions'!$B$6, 0)</f>
        <v/>
      </c>
      <c r="R47" s="13" t="n">
        <v>1</v>
      </c>
      <c r="S47" s="14" t="n">
        <v>41.02</v>
      </c>
      <c r="T47" s="14" t="n">
        <v>48.7</v>
      </c>
      <c r="U47" s="26">
        <f>IF(X47&gt;='Methodology &amp; Assumptions'!$B$7, "Tier 1 Critical GIDA (Score ≥ 50.0)", IF(X47&gt;='Methodology &amp; Assumptions'!$B$8, "Tier 2 High GIDA (Score 40.0–49.9)", "Tier 3 Moderate GIDA (Score &lt; 40.0)"))</f>
        <v/>
      </c>
      <c r="V47" s="26">
        <f>IF(S47&lt;='Methodology &amp; Assumptions'!$B$10, "Direct Optical Drop (&lt;3km)", IF(S47&lt;='Methodology &amp; Assumptions'!$B$9, "Near Optical / Microwave (&lt;5km)", "Starlink Business LEO Satellite Backhaul (&gt;5km)"))</f>
        <v/>
      </c>
      <c r="W47" s="28" t="n">
        <v>0.109</v>
      </c>
      <c r="X47" s="14" t="n">
        <v>49.26</v>
      </c>
      <c r="Y47" s="14">
        <f>ROUND(MIN(100, (X47/69.91)*100), 2)</f>
        <v/>
      </c>
    </row>
    <row r="48">
      <c r="A48" s="10" t="n">
        <v>3</v>
      </c>
      <c r="B48" s="10" t="n">
        <v>44</v>
      </c>
      <c r="C48" s="10" t="n">
        <v>2044</v>
      </c>
      <c r="D48" s="10" t="inlineStr">
        <is>
          <t>1380602001</t>
        </is>
      </c>
      <c r="E48" s="26" t="inlineStr">
        <is>
          <t>National Capital Region (NCR)</t>
        </is>
      </c>
      <c r="F48" s="26" t="inlineStr">
        <is>
          <t>First District (Not a Province)</t>
        </is>
      </c>
      <c r="G48" s="26" t="inlineStr">
        <is>
          <t>City of Manila</t>
        </is>
      </c>
      <c r="H48" s="26" t="inlineStr">
        <is>
          <t>Barangay 287</t>
        </is>
      </c>
      <c r="I48" s="27" t="n">
        <v>12.519958</v>
      </c>
      <c r="J48" s="27" t="n">
        <v>122.213789</v>
      </c>
      <c r="K48" s="10" t="inlineStr">
        <is>
          <t>U</t>
        </is>
      </c>
      <c r="L48" s="12" t="n">
        <v>2623</v>
      </c>
      <c r="M48" s="14" t="n">
        <v>3.9</v>
      </c>
      <c r="N48" s="12">
        <f>ROUND(L48/M48, 0)</f>
        <v/>
      </c>
      <c r="O48" s="12">
        <f>ROUND(N48*'Methodology &amp; Assumptions'!$B$5, 0)</f>
        <v/>
      </c>
      <c r="P48" s="10" t="inlineStr">
        <is>
          <t>Single Carrier (Band n50, 100MHz TDD)</t>
        </is>
      </c>
      <c r="Q48" s="13">
        <f>ROUNDUP(O48/'Methodology &amp; Assumptions'!$B$6, 0)</f>
        <v/>
      </c>
      <c r="R48" s="13" t="n">
        <v>1</v>
      </c>
      <c r="S48" s="14" t="n">
        <v>69.91</v>
      </c>
      <c r="T48" s="14" t="n">
        <v>50.84</v>
      </c>
      <c r="U48" s="26">
        <f>IF(X48&gt;='Methodology &amp; Assumptions'!$B$7, "Tier 1 Critical GIDA (Score ≥ 50.0)", IF(X48&gt;='Methodology &amp; Assumptions'!$B$8, "Tier 2 High GIDA (Score 40.0–49.9)", "Tier 3 Moderate GIDA (Score &lt; 40.0)"))</f>
        <v/>
      </c>
      <c r="V48" s="26">
        <f>IF(S48&lt;='Methodology &amp; Assumptions'!$B$10, "Direct Optical Drop (&lt;3km)", IF(S48&lt;='Methodology &amp; Assumptions'!$B$9, "Near Optical / Microwave (&lt;5km)", "Starlink Business LEO Satellite Backhaul (&gt;5km)"))</f>
        <v/>
      </c>
      <c r="W48" s="28" t="n">
        <v>0.109</v>
      </c>
      <c r="X48" s="14" t="n">
        <v>49.26</v>
      </c>
      <c r="Y48" s="14">
        <f>ROUND(MIN(100, (X48/69.91)*100), 2)</f>
        <v/>
      </c>
    </row>
    <row r="49">
      <c r="A49" s="10" t="n">
        <v>3</v>
      </c>
      <c r="B49" s="10" t="n">
        <v>45</v>
      </c>
      <c r="C49" s="10" t="n">
        <v>2045</v>
      </c>
      <c r="D49" s="10" t="inlineStr">
        <is>
          <t>1380601250</t>
        </is>
      </c>
      <c r="E49" s="26" t="inlineStr">
        <is>
          <t>National Capital Region (NCR)</t>
        </is>
      </c>
      <c r="F49" s="26" t="inlineStr">
        <is>
          <t>First District (Not a Province)</t>
        </is>
      </c>
      <c r="G49" s="26" t="inlineStr">
        <is>
          <t>City of Manila</t>
        </is>
      </c>
      <c r="H49" s="26" t="inlineStr">
        <is>
          <t>Barangay 249</t>
        </is>
      </c>
      <c r="I49" s="27" t="n">
        <v>12.855229</v>
      </c>
      <c r="J49" s="27" t="n">
        <v>121.199059</v>
      </c>
      <c r="K49" s="10" t="inlineStr">
        <is>
          <t>U</t>
        </is>
      </c>
      <c r="L49" s="12" t="n">
        <v>1659</v>
      </c>
      <c r="M49" s="14" t="n">
        <v>3.9</v>
      </c>
      <c r="N49" s="12">
        <f>ROUND(L49/M49, 0)</f>
        <v/>
      </c>
      <c r="O49" s="12">
        <f>ROUND(N49*'Methodology &amp; Assumptions'!$B$5, 0)</f>
        <v/>
      </c>
      <c r="P49" s="10" t="inlineStr">
        <is>
          <t>Single Carrier (Band n50, 100MHz TDD)</t>
        </is>
      </c>
      <c r="Q49" s="13">
        <f>ROUNDUP(O49/'Methodology &amp; Assumptions'!$B$6, 0)</f>
        <v/>
      </c>
      <c r="R49" s="13" t="n">
        <v>1</v>
      </c>
      <c r="S49" s="14" t="n">
        <v>28.4</v>
      </c>
      <c r="T49" s="14" t="n">
        <v>27.09</v>
      </c>
      <c r="U49" s="26">
        <f>IF(X49&gt;='Methodology &amp; Assumptions'!$B$7, "Tier 1 Critical GIDA (Score ≥ 50.0)", IF(X49&gt;='Methodology &amp; Assumptions'!$B$8, "Tier 2 High GIDA (Score 40.0–49.9)", "Tier 3 Moderate GIDA (Score &lt; 40.0)"))</f>
        <v/>
      </c>
      <c r="V49" s="26">
        <f>IF(S49&lt;='Methodology &amp; Assumptions'!$B$10, "Direct Optical Drop (&lt;3km)", IF(S49&lt;='Methodology &amp; Assumptions'!$B$9, "Near Optical / Microwave (&lt;5km)", "Starlink Business LEO Satellite Backhaul (&gt;5km)"))</f>
        <v/>
      </c>
      <c r="W49" s="28" t="n">
        <v>0.109</v>
      </c>
      <c r="X49" s="14" t="n">
        <v>49.26</v>
      </c>
      <c r="Y49" s="14">
        <f>ROUND(MIN(100, (X49/69.91)*100), 2)</f>
        <v/>
      </c>
    </row>
    <row r="50">
      <c r="A50" s="10" t="n">
        <v>3</v>
      </c>
      <c r="B50" s="10" t="n">
        <v>46</v>
      </c>
      <c r="C50" s="10" t="n">
        <v>2046</v>
      </c>
      <c r="D50" s="10" t="inlineStr">
        <is>
          <t>1380611010</t>
        </is>
      </c>
      <c r="E50" s="26" t="inlineStr">
        <is>
          <t>National Capital Region (NCR)</t>
        </is>
      </c>
      <c r="F50" s="26" t="inlineStr">
        <is>
          <t>First District (Not a Province)</t>
        </is>
      </c>
      <c r="G50" s="26" t="inlineStr">
        <is>
          <t>City of Manila</t>
        </is>
      </c>
      <c r="H50" s="26" t="inlineStr">
        <is>
          <t>Barangay 676</t>
        </is>
      </c>
      <c r="I50" s="27" t="n">
        <v>13.277348</v>
      </c>
      <c r="J50" s="27" t="n">
        <v>122.181911</v>
      </c>
      <c r="K50" s="10" t="inlineStr">
        <is>
          <t>U</t>
        </is>
      </c>
      <c r="L50" s="12" t="n">
        <v>1474</v>
      </c>
      <c r="M50" s="14" t="n">
        <v>3.9</v>
      </c>
      <c r="N50" s="12">
        <f>ROUND(L50/M50, 0)</f>
        <v/>
      </c>
      <c r="O50" s="12">
        <f>ROUND(N50*'Methodology &amp; Assumptions'!$B$5, 0)</f>
        <v/>
      </c>
      <c r="P50" s="10" t="inlineStr">
        <is>
          <t>Single Carrier (Band n50, 100MHz TDD)</t>
        </is>
      </c>
      <c r="Q50" s="13">
        <f>ROUNDUP(O50/'Methodology &amp; Assumptions'!$B$6, 0)</f>
        <v/>
      </c>
      <c r="R50" s="13" t="n">
        <v>1</v>
      </c>
      <c r="S50" s="14" t="n">
        <v>36.11</v>
      </c>
      <c r="T50" s="14" t="n">
        <v>35.87</v>
      </c>
      <c r="U50" s="26">
        <f>IF(X50&gt;='Methodology &amp; Assumptions'!$B$7, "Tier 1 Critical GIDA (Score ≥ 50.0)", IF(X50&gt;='Methodology &amp; Assumptions'!$B$8, "Tier 2 High GIDA (Score 40.0–49.9)", "Tier 3 Moderate GIDA (Score &lt; 40.0)"))</f>
        <v/>
      </c>
      <c r="V50" s="26">
        <f>IF(S50&lt;='Methodology &amp; Assumptions'!$B$10, "Direct Optical Drop (&lt;3km)", IF(S50&lt;='Methodology &amp; Assumptions'!$B$9, "Near Optical / Microwave (&lt;5km)", "Starlink Business LEO Satellite Backhaul (&gt;5km)"))</f>
        <v/>
      </c>
      <c r="W50" s="28" t="n">
        <v>0.109</v>
      </c>
      <c r="X50" s="14" t="n">
        <v>49.26</v>
      </c>
      <c r="Y50" s="14">
        <f>ROUND(MIN(100, (X50/69.91)*100), 2)</f>
        <v/>
      </c>
    </row>
    <row r="51">
      <c r="A51" s="10" t="n">
        <v>3</v>
      </c>
      <c r="B51" s="10" t="n">
        <v>47</v>
      </c>
      <c r="C51" s="10" t="n">
        <v>2047</v>
      </c>
      <c r="D51" s="10" t="inlineStr">
        <is>
          <t>PH0002047</t>
        </is>
      </c>
      <c r="E51" s="26" t="inlineStr">
        <is>
          <t>NCR</t>
        </is>
      </c>
      <c r="F51" s="26" t="inlineStr">
        <is>
          <t>Metro Manila</t>
        </is>
      </c>
      <c r="G51" s="26" t="inlineStr">
        <is>
          <t>Caloocan City</t>
        </is>
      </c>
      <c r="H51" s="26" t="inlineStr">
        <is>
          <t>Barangay 136</t>
        </is>
      </c>
      <c r="I51" s="27" t="n">
        <v>13.908086</v>
      </c>
      <c r="J51" s="27" t="n">
        <v>120.88881</v>
      </c>
      <c r="K51" s="10" t="inlineStr">
        <is>
          <t>R</t>
        </is>
      </c>
      <c r="L51" s="12" t="n">
        <v>2279</v>
      </c>
      <c r="M51" s="14" t="n">
        <v>3.8</v>
      </c>
      <c r="N51" s="12">
        <f>ROUND(L51/M51, 0)</f>
        <v/>
      </c>
      <c r="O51" s="12">
        <f>ROUND(N51*'Methodology &amp; Assumptions'!$B$5, 0)</f>
        <v/>
      </c>
      <c r="P51" s="10" t="inlineStr">
        <is>
          <t>Single Carrier (Band n50, 100MHz TDD)</t>
        </is>
      </c>
      <c r="Q51" s="13">
        <f>ROUNDUP(O51/'Methodology &amp; Assumptions'!$B$6, 0)</f>
        <v/>
      </c>
      <c r="R51" s="13" t="n">
        <v>1</v>
      </c>
      <c r="S51" s="14" t="n">
        <v>4.01</v>
      </c>
      <c r="T51" s="14" t="n">
        <v>0.15</v>
      </c>
      <c r="U51" s="26">
        <f>IF(X51&gt;='Methodology &amp; Assumptions'!$B$7, "Tier 1 Critical GIDA (Score ≥ 50.0)", IF(X51&gt;='Methodology &amp; Assumptions'!$B$8, "Tier 2 High GIDA (Score 40.0–49.9)", "Tier 3 Moderate GIDA (Score &lt; 40.0)"))</f>
        <v/>
      </c>
      <c r="V51" s="26">
        <f>IF(S51&lt;='Methodology &amp; Assumptions'!$B$10, "Direct Optical Drop (&lt;3km)", IF(S51&lt;='Methodology &amp; Assumptions'!$B$9, "Near Optical / Microwave (&lt;5km)", "Starlink Business LEO Satellite Backhaul (&gt;5km)"))</f>
        <v/>
      </c>
      <c r="W51" s="28" t="n">
        <v>0.011</v>
      </c>
      <c r="X51" s="14" t="n">
        <v>49.26</v>
      </c>
      <c r="Y51" s="14">
        <f>ROUND(MIN(100, (X51/69.91)*100), 2)</f>
        <v/>
      </c>
    </row>
    <row r="52">
      <c r="A52" s="10" t="n">
        <v>3</v>
      </c>
      <c r="B52" s="10" t="n">
        <v>48</v>
      </c>
      <c r="C52" s="10" t="n">
        <v>2048</v>
      </c>
      <c r="D52" s="10" t="inlineStr">
        <is>
          <t>1380606236</t>
        </is>
      </c>
      <c r="E52" s="26" t="inlineStr">
        <is>
          <t>National Capital Region (NCR)</t>
        </is>
      </c>
      <c r="F52" s="26" t="inlineStr">
        <is>
          <t>First District (Not a Province)</t>
        </is>
      </c>
      <c r="G52" s="26" t="inlineStr">
        <is>
          <t>City of Manila</t>
        </is>
      </c>
      <c r="H52" s="26" t="inlineStr">
        <is>
          <t>Barangay 629</t>
        </is>
      </c>
      <c r="I52" s="27" t="n">
        <v>12.316528</v>
      </c>
      <c r="J52" s="27" t="n">
        <v>121.748777</v>
      </c>
      <c r="K52" s="10" t="inlineStr">
        <is>
          <t>U</t>
        </is>
      </c>
      <c r="L52" s="12" t="n">
        <v>1683</v>
      </c>
      <c r="M52" s="14" t="n">
        <v>3.9</v>
      </c>
      <c r="N52" s="12">
        <f>ROUND(L52/M52, 0)</f>
        <v/>
      </c>
      <c r="O52" s="12">
        <f>ROUND(N52*'Methodology &amp; Assumptions'!$B$5, 0)</f>
        <v/>
      </c>
      <c r="P52" s="10" t="inlineStr">
        <is>
          <t>Single Carrier (Band n50, 100MHz TDD)</t>
        </is>
      </c>
      <c r="Q52" s="13">
        <f>ROUNDUP(O52/'Methodology &amp; Assumptions'!$B$6, 0)</f>
        <v/>
      </c>
      <c r="R52" s="13" t="n">
        <v>1</v>
      </c>
      <c r="S52" s="14" t="n">
        <v>38.46</v>
      </c>
      <c r="T52" s="14" t="n">
        <v>4.66</v>
      </c>
      <c r="U52" s="26">
        <f>IF(X52&gt;='Methodology &amp; Assumptions'!$B$7, "Tier 1 Critical GIDA (Score ≥ 50.0)", IF(X52&gt;='Methodology &amp; Assumptions'!$B$8, "Tier 2 High GIDA (Score 40.0–49.9)", "Tier 3 Moderate GIDA (Score &lt; 40.0)"))</f>
        <v/>
      </c>
      <c r="V52" s="26">
        <f>IF(S52&lt;='Methodology &amp; Assumptions'!$B$10, "Direct Optical Drop (&lt;3km)", IF(S52&lt;='Methodology &amp; Assumptions'!$B$9, "Near Optical / Microwave (&lt;5km)", "Starlink Business LEO Satellite Backhaul (&gt;5km)"))</f>
        <v/>
      </c>
      <c r="W52" s="28" t="n">
        <v>0.109</v>
      </c>
      <c r="X52" s="14" t="n">
        <v>49.26</v>
      </c>
      <c r="Y52" s="14">
        <f>ROUND(MIN(100, (X52/69.91)*100), 2)</f>
        <v/>
      </c>
    </row>
    <row r="53">
      <c r="A53" s="10" t="n">
        <v>3</v>
      </c>
      <c r="B53" s="10" t="n">
        <v>49</v>
      </c>
      <c r="C53" s="10" t="n">
        <v>2049</v>
      </c>
      <c r="D53" s="10" t="inlineStr">
        <is>
          <t>1380601140</t>
        </is>
      </c>
      <c r="E53" s="26" t="inlineStr">
        <is>
          <t>National Capital Region (NCR)</t>
        </is>
      </c>
      <c r="F53" s="26" t="inlineStr">
        <is>
          <t>First District (Not a Province)</t>
        </is>
      </c>
      <c r="G53" s="26" t="inlineStr">
        <is>
          <t>City of Manila</t>
        </is>
      </c>
      <c r="H53" s="26" t="inlineStr">
        <is>
          <t>Barangay 140</t>
        </is>
      </c>
      <c r="I53" s="27" t="n">
        <v>13.31256</v>
      </c>
      <c r="J53" s="27" t="n">
        <v>121.401413</v>
      </c>
      <c r="K53" s="10" t="inlineStr">
        <is>
          <t>U</t>
        </is>
      </c>
      <c r="L53" s="12" t="n">
        <v>559</v>
      </c>
      <c r="M53" s="14" t="n">
        <v>3.9</v>
      </c>
      <c r="N53" s="12">
        <f>ROUND(L53/M53, 0)</f>
        <v/>
      </c>
      <c r="O53" s="12">
        <f>ROUND(N53*'Methodology &amp; Assumptions'!$B$5, 0)</f>
        <v/>
      </c>
      <c r="P53" s="10" t="inlineStr">
        <is>
          <t>Single Carrier (Band n50, 100MHz TDD)</t>
        </is>
      </c>
      <c r="Q53" s="13">
        <f>ROUNDUP(O53/'Methodology &amp; Assumptions'!$B$6, 0)</f>
        <v/>
      </c>
      <c r="R53" s="13" t="n">
        <v>1</v>
      </c>
      <c r="S53" s="14" t="n">
        <v>10.81</v>
      </c>
      <c r="T53" s="14" t="n">
        <v>15.75</v>
      </c>
      <c r="U53" s="26">
        <f>IF(X53&gt;='Methodology &amp; Assumptions'!$B$7, "Tier 1 Critical GIDA (Score ≥ 50.0)", IF(X53&gt;='Methodology &amp; Assumptions'!$B$8, "Tier 2 High GIDA (Score 40.0–49.9)", "Tier 3 Moderate GIDA (Score &lt; 40.0)"))</f>
        <v/>
      </c>
      <c r="V53" s="26">
        <f>IF(S53&lt;='Methodology &amp; Assumptions'!$B$10, "Direct Optical Drop (&lt;3km)", IF(S53&lt;='Methodology &amp; Assumptions'!$B$9, "Near Optical / Microwave (&lt;5km)", "Starlink Business LEO Satellite Backhaul (&gt;5km)"))</f>
        <v/>
      </c>
      <c r="W53" s="28" t="n">
        <v>0.109</v>
      </c>
      <c r="X53" s="14" t="n">
        <v>49.26</v>
      </c>
      <c r="Y53" s="14">
        <f>ROUND(MIN(100, (X53/69.91)*100), 2)</f>
        <v/>
      </c>
    </row>
    <row r="54">
      <c r="A54" s="10" t="n">
        <v>3</v>
      </c>
      <c r="B54" s="10" t="n">
        <v>50</v>
      </c>
      <c r="C54" s="10" t="n">
        <v>2050</v>
      </c>
      <c r="D54" s="10" t="inlineStr">
        <is>
          <t>1380601182</t>
        </is>
      </c>
      <c r="E54" s="26" t="inlineStr">
        <is>
          <t>National Capital Region (NCR)</t>
        </is>
      </c>
      <c r="F54" s="26" t="inlineStr">
        <is>
          <t>First District (Not a Province)</t>
        </is>
      </c>
      <c r="G54" s="26" t="inlineStr">
        <is>
          <t>City of Manila</t>
        </is>
      </c>
      <c r="H54" s="26" t="inlineStr">
        <is>
          <t>Barangay 182</t>
        </is>
      </c>
      <c r="I54" s="27" t="n">
        <v>12.805769</v>
      </c>
      <c r="J54" s="27" t="n">
        <v>122.350056</v>
      </c>
      <c r="K54" s="10" t="inlineStr">
        <is>
          <t>U</t>
        </is>
      </c>
      <c r="L54" s="12" t="n">
        <v>4056</v>
      </c>
      <c r="M54" s="14" t="n">
        <v>3.9</v>
      </c>
      <c r="N54" s="12">
        <f>ROUND(L54/M54, 0)</f>
        <v/>
      </c>
      <c r="O54" s="12">
        <f>ROUND(N54*'Methodology &amp; Assumptions'!$B$5, 0)</f>
        <v/>
      </c>
      <c r="P54" s="10" t="inlineStr">
        <is>
          <t>Single Carrier (Band n50, 100MHz TDD)</t>
        </is>
      </c>
      <c r="Q54" s="13">
        <f>ROUNDUP(O54/'Methodology &amp; Assumptions'!$B$6, 0)</f>
        <v/>
      </c>
      <c r="R54" s="13" t="n">
        <v>1</v>
      </c>
      <c r="S54" s="14" t="n">
        <v>59.11</v>
      </c>
      <c r="T54" s="14" t="n">
        <v>80.28</v>
      </c>
      <c r="U54" s="26">
        <f>IF(X54&gt;='Methodology &amp; Assumptions'!$B$7, "Tier 1 Critical GIDA (Score ≥ 50.0)", IF(X54&gt;='Methodology &amp; Assumptions'!$B$8, "Tier 2 High GIDA (Score 40.0–49.9)", "Tier 3 Moderate GIDA (Score &lt; 40.0)"))</f>
        <v/>
      </c>
      <c r="V54" s="26">
        <f>IF(S54&lt;='Methodology &amp; Assumptions'!$B$10, "Direct Optical Drop (&lt;3km)", IF(S54&lt;='Methodology &amp; Assumptions'!$B$9, "Near Optical / Microwave (&lt;5km)", "Starlink Business LEO Satellite Backhaul (&gt;5km)"))</f>
        <v/>
      </c>
      <c r="W54" s="28" t="n">
        <v>0.109</v>
      </c>
      <c r="X54" s="14" t="n">
        <v>49.26</v>
      </c>
      <c r="Y54" s="14">
        <f>ROUND(MIN(100, (X54/69.91)*100), 2)</f>
        <v/>
      </c>
    </row>
    <row r="55">
      <c r="A55" s="10" t="n">
        <v>3</v>
      </c>
      <c r="B55" s="10" t="n">
        <v>51</v>
      </c>
      <c r="C55" s="10" t="n">
        <v>2051</v>
      </c>
      <c r="D55" s="10" t="inlineStr">
        <is>
          <t>1380601236</t>
        </is>
      </c>
      <c r="E55" s="26" t="inlineStr">
        <is>
          <t>National Capital Region (NCR)</t>
        </is>
      </c>
      <c r="F55" s="26" t="inlineStr">
        <is>
          <t>First District (Not a Province)</t>
        </is>
      </c>
      <c r="G55" s="26" t="inlineStr">
        <is>
          <t>City of Manila</t>
        </is>
      </c>
      <c r="H55" s="26" t="inlineStr">
        <is>
          <t>Barangay 235</t>
        </is>
      </c>
      <c r="I55" s="27" t="n">
        <v>12.554048</v>
      </c>
      <c r="J55" s="27" t="n">
        <v>121.296917</v>
      </c>
      <c r="K55" s="10" t="inlineStr">
        <is>
          <t>U</t>
        </is>
      </c>
      <c r="L55" s="12" t="n">
        <v>1604</v>
      </c>
      <c r="M55" s="14" t="n">
        <v>3.9</v>
      </c>
      <c r="N55" s="12">
        <f>ROUND(L55/M55, 0)</f>
        <v/>
      </c>
      <c r="O55" s="12">
        <f>ROUND(N55*'Methodology &amp; Assumptions'!$B$5, 0)</f>
        <v/>
      </c>
      <c r="P55" s="10" t="inlineStr">
        <is>
          <t>Single Carrier (Band n50, 100MHz TDD)</t>
        </is>
      </c>
      <c r="Q55" s="13">
        <f>ROUNDUP(O55/'Methodology &amp; Assumptions'!$B$6, 0)</f>
        <v/>
      </c>
      <c r="R55" s="13" t="n">
        <v>1</v>
      </c>
      <c r="S55" s="14" t="n">
        <v>15.87</v>
      </c>
      <c r="T55" s="14" t="n">
        <v>14.41</v>
      </c>
      <c r="U55" s="26">
        <f>IF(X55&gt;='Methodology &amp; Assumptions'!$B$7, "Tier 1 Critical GIDA (Score ≥ 50.0)", IF(X55&gt;='Methodology &amp; Assumptions'!$B$8, "Tier 2 High GIDA (Score 40.0–49.9)", "Tier 3 Moderate GIDA (Score &lt; 40.0)"))</f>
        <v/>
      </c>
      <c r="V55" s="26">
        <f>IF(S55&lt;='Methodology &amp; Assumptions'!$B$10, "Direct Optical Drop (&lt;3km)", IF(S55&lt;='Methodology &amp; Assumptions'!$B$9, "Near Optical / Microwave (&lt;5km)", "Starlink Business LEO Satellite Backhaul (&gt;5km)"))</f>
        <v/>
      </c>
      <c r="W55" s="28" t="n">
        <v>0.109</v>
      </c>
      <c r="X55" s="14" t="n">
        <v>49.26</v>
      </c>
      <c r="Y55" s="14">
        <f>ROUND(MIN(100, (X55/69.91)*100), 2)</f>
        <v/>
      </c>
    </row>
    <row r="56">
      <c r="A56" s="10" t="n">
        <v>3</v>
      </c>
      <c r="B56" s="10" t="n">
        <v>52</v>
      </c>
      <c r="C56" s="10" t="n">
        <v>2052</v>
      </c>
      <c r="D56" s="10" t="inlineStr">
        <is>
          <t>1380606063</t>
        </is>
      </c>
      <c r="E56" s="26" t="inlineStr">
        <is>
          <t>National Capital Region (NCR)</t>
        </is>
      </c>
      <c r="F56" s="26" t="inlineStr">
        <is>
          <t>First District (Not a Province)</t>
        </is>
      </c>
      <c r="G56" s="26" t="inlineStr">
        <is>
          <t>City of Manila</t>
        </is>
      </c>
      <c r="H56" s="26" t="inlineStr">
        <is>
          <t>Barangay 457</t>
        </is>
      </c>
      <c r="I56" s="27" t="n">
        <v>13.435317</v>
      </c>
      <c r="J56" s="27" t="n">
        <v>121.900356</v>
      </c>
      <c r="K56" s="10" t="inlineStr">
        <is>
          <t>U</t>
        </is>
      </c>
      <c r="L56" s="12" t="n">
        <v>2519</v>
      </c>
      <c r="M56" s="14" t="n">
        <v>3.9</v>
      </c>
      <c r="N56" s="12">
        <f>ROUND(L56/M56, 0)</f>
        <v/>
      </c>
      <c r="O56" s="12">
        <f>ROUND(N56*'Methodology &amp; Assumptions'!$B$5, 0)</f>
        <v/>
      </c>
      <c r="P56" s="10" t="inlineStr">
        <is>
          <t>Single Carrier (Band n50, 100MHz TDD)</t>
        </is>
      </c>
      <c r="Q56" s="13">
        <f>ROUNDUP(O56/'Methodology &amp; Assumptions'!$B$6, 0)</f>
        <v/>
      </c>
      <c r="R56" s="13" t="n">
        <v>1</v>
      </c>
      <c r="S56" s="14" t="n">
        <v>41.14</v>
      </c>
      <c r="T56" s="14" t="n">
        <v>41.14</v>
      </c>
      <c r="U56" s="26">
        <f>IF(X56&gt;='Methodology &amp; Assumptions'!$B$7, "Tier 1 Critical GIDA (Score ≥ 50.0)", IF(X56&gt;='Methodology &amp; Assumptions'!$B$8, "Tier 2 High GIDA (Score 40.0–49.9)", "Tier 3 Moderate GIDA (Score &lt; 40.0)"))</f>
        <v/>
      </c>
      <c r="V56" s="26">
        <f>IF(S56&lt;='Methodology &amp; Assumptions'!$B$10, "Direct Optical Drop (&lt;3km)", IF(S56&lt;='Methodology &amp; Assumptions'!$B$9, "Near Optical / Microwave (&lt;5km)", "Starlink Business LEO Satellite Backhaul (&gt;5km)"))</f>
        <v/>
      </c>
      <c r="W56" s="28" t="n">
        <v>0.109</v>
      </c>
      <c r="X56" s="14" t="n">
        <v>49.26</v>
      </c>
      <c r="Y56" s="14">
        <f>ROUND(MIN(100, (X56/69.91)*100), 2)</f>
        <v/>
      </c>
    </row>
    <row r="57">
      <c r="A57" s="10" t="n">
        <v>3</v>
      </c>
      <c r="B57" s="10" t="n">
        <v>53</v>
      </c>
      <c r="C57" s="10" t="n">
        <v>2053</v>
      </c>
      <c r="D57" s="10" t="inlineStr">
        <is>
          <t>1380610016</t>
        </is>
      </c>
      <c r="E57" s="26" t="inlineStr">
        <is>
          <t>National Capital Region (NCR)</t>
        </is>
      </c>
      <c r="F57" s="26" t="inlineStr">
        <is>
          <t>First District (Not a Province)</t>
        </is>
      </c>
      <c r="G57" s="26" t="inlineStr">
        <is>
          <t>City of Manila</t>
        </is>
      </c>
      <c r="H57" s="26" t="inlineStr">
        <is>
          <t>Barangay 701</t>
        </is>
      </c>
      <c r="I57" s="27" t="n">
        <v>12.38567</v>
      </c>
      <c r="J57" s="27" t="n">
        <v>122.06659</v>
      </c>
      <c r="K57" s="10" t="inlineStr">
        <is>
          <t>U</t>
        </is>
      </c>
      <c r="L57" s="12" t="n">
        <v>2777</v>
      </c>
      <c r="M57" s="14" t="n">
        <v>3.9</v>
      </c>
      <c r="N57" s="12">
        <f>ROUND(L57/M57, 0)</f>
        <v/>
      </c>
      <c r="O57" s="12">
        <f>ROUND(N57*'Methodology &amp; Assumptions'!$B$5, 0)</f>
        <v/>
      </c>
      <c r="P57" s="10" t="inlineStr">
        <is>
          <t>Single Carrier (Band n50, 100MHz TDD)</t>
        </is>
      </c>
      <c r="Q57" s="13">
        <f>ROUNDUP(O57/'Methodology &amp; Assumptions'!$B$6, 0)</f>
        <v/>
      </c>
      <c r="R57" s="13" t="n">
        <v>1</v>
      </c>
      <c r="S57" s="14" t="n">
        <v>50.37</v>
      </c>
      <c r="T57" s="14" t="n">
        <v>29.96</v>
      </c>
      <c r="U57" s="26">
        <f>IF(X57&gt;='Methodology &amp; Assumptions'!$B$7, "Tier 1 Critical GIDA (Score ≥ 50.0)", IF(X57&gt;='Methodology &amp; Assumptions'!$B$8, "Tier 2 High GIDA (Score 40.0–49.9)", "Tier 3 Moderate GIDA (Score &lt; 40.0)"))</f>
        <v/>
      </c>
      <c r="V57" s="26">
        <f>IF(S57&lt;='Methodology &amp; Assumptions'!$B$10, "Direct Optical Drop (&lt;3km)", IF(S57&lt;='Methodology &amp; Assumptions'!$B$9, "Near Optical / Microwave (&lt;5km)", "Starlink Business LEO Satellite Backhaul (&gt;5km)"))</f>
        <v/>
      </c>
      <c r="W57" s="28" t="n">
        <v>0.109</v>
      </c>
      <c r="X57" s="14" t="n">
        <v>49.26</v>
      </c>
      <c r="Y57" s="14">
        <f>ROUND(MIN(100, (X57/69.91)*100), 2)</f>
        <v/>
      </c>
    </row>
    <row r="58">
      <c r="A58" s="10" t="n">
        <v>3</v>
      </c>
      <c r="B58" s="10" t="n">
        <v>54</v>
      </c>
      <c r="C58" s="10" t="n">
        <v>2054</v>
      </c>
      <c r="D58" s="10" t="inlineStr">
        <is>
          <t>1380606228</t>
        </is>
      </c>
      <c r="E58" s="26" t="inlineStr">
        <is>
          <t>National Capital Region (NCR)</t>
        </is>
      </c>
      <c r="F58" s="26" t="inlineStr">
        <is>
          <t>First District (Not a Province)</t>
        </is>
      </c>
      <c r="G58" s="26" t="inlineStr">
        <is>
          <t>City of Manila</t>
        </is>
      </c>
      <c r="H58" s="26" t="inlineStr">
        <is>
          <t>Barangay 621</t>
        </is>
      </c>
      <c r="I58" s="27" t="n">
        <v>13.051646</v>
      </c>
      <c r="J58" s="27" t="n">
        <v>121.214584</v>
      </c>
      <c r="K58" s="10" t="inlineStr">
        <is>
          <t>U</t>
        </is>
      </c>
      <c r="L58" s="12" t="n">
        <v>1841</v>
      </c>
      <c r="M58" s="14" t="n">
        <v>3.9</v>
      </c>
      <c r="N58" s="12">
        <f>ROUND(L58/M58, 0)</f>
        <v/>
      </c>
      <c r="O58" s="12">
        <f>ROUND(N58*'Methodology &amp; Assumptions'!$B$5, 0)</f>
        <v/>
      </c>
      <c r="P58" s="10" t="inlineStr">
        <is>
          <t>Single Carrier (Band n50, 100MHz TDD)</t>
        </is>
      </c>
      <c r="Q58" s="13">
        <f>ROUNDUP(O58/'Methodology &amp; Assumptions'!$B$6, 0)</f>
        <v/>
      </c>
      <c r="R58" s="13" t="n">
        <v>1</v>
      </c>
      <c r="S58" s="14" t="n">
        <v>14.7</v>
      </c>
      <c r="T58" s="14" t="n">
        <v>11.45</v>
      </c>
      <c r="U58" s="26">
        <f>IF(X58&gt;='Methodology &amp; Assumptions'!$B$7, "Tier 1 Critical GIDA (Score ≥ 50.0)", IF(X58&gt;='Methodology &amp; Assumptions'!$B$8, "Tier 2 High GIDA (Score 40.0–49.9)", "Tier 3 Moderate GIDA (Score &lt; 40.0)"))</f>
        <v/>
      </c>
      <c r="V58" s="26">
        <f>IF(S58&lt;='Methodology &amp; Assumptions'!$B$10, "Direct Optical Drop (&lt;3km)", IF(S58&lt;='Methodology &amp; Assumptions'!$B$9, "Near Optical / Microwave (&lt;5km)", "Starlink Business LEO Satellite Backhaul (&gt;5km)"))</f>
        <v/>
      </c>
      <c r="W58" s="28" t="n">
        <v>0.109</v>
      </c>
      <c r="X58" s="14" t="n">
        <v>49.25</v>
      </c>
      <c r="Y58" s="14">
        <f>ROUND(MIN(100, (X58/69.91)*100), 2)</f>
        <v/>
      </c>
    </row>
    <row r="59">
      <c r="A59" s="10" t="n">
        <v>3</v>
      </c>
      <c r="B59" s="10" t="n">
        <v>55</v>
      </c>
      <c r="C59" s="10" t="n">
        <v>2055</v>
      </c>
      <c r="D59" s="10" t="inlineStr">
        <is>
          <t>1380605048</t>
        </is>
      </c>
      <c r="E59" s="26" t="inlineStr">
        <is>
          <t>National Capital Region (NCR)</t>
        </is>
      </c>
      <c r="F59" s="26" t="inlineStr">
        <is>
          <t>First District (Not a Province)</t>
        </is>
      </c>
      <c r="G59" s="26" t="inlineStr">
        <is>
          <t>City of Manila</t>
        </is>
      </c>
      <c r="H59" s="26" t="inlineStr">
        <is>
          <t>Barangay 346</t>
        </is>
      </c>
      <c r="I59" s="27" t="n">
        <v>13.121926</v>
      </c>
      <c r="J59" s="27" t="n">
        <v>122.306863</v>
      </c>
      <c r="K59" s="10" t="inlineStr">
        <is>
          <t>U</t>
        </is>
      </c>
      <c r="L59" s="12" t="n">
        <v>1557</v>
      </c>
      <c r="M59" s="14" t="n">
        <v>3.9</v>
      </c>
      <c r="N59" s="12">
        <f>ROUND(L59/M59, 0)</f>
        <v/>
      </c>
      <c r="O59" s="12">
        <f>ROUND(N59*'Methodology &amp; Assumptions'!$B$5, 0)</f>
        <v/>
      </c>
      <c r="P59" s="10" t="inlineStr">
        <is>
          <t>Single Carrier (Band n50, 100MHz TDD)</t>
        </is>
      </c>
      <c r="Q59" s="13">
        <f>ROUNDUP(O59/'Methodology &amp; Assumptions'!$B$6, 0)</f>
        <v/>
      </c>
      <c r="R59" s="13" t="n">
        <v>1</v>
      </c>
      <c r="S59" s="14" t="n">
        <v>33.88</v>
      </c>
      <c r="T59" s="14" t="n">
        <v>46.04</v>
      </c>
      <c r="U59" s="26">
        <f>IF(X59&gt;='Methodology &amp; Assumptions'!$B$7, "Tier 1 Critical GIDA (Score ≥ 50.0)", IF(X59&gt;='Methodology &amp; Assumptions'!$B$8, "Tier 2 High GIDA (Score 40.0–49.9)", "Tier 3 Moderate GIDA (Score &lt; 40.0)"))</f>
        <v/>
      </c>
      <c r="V59" s="26">
        <f>IF(S59&lt;='Methodology &amp; Assumptions'!$B$10, "Direct Optical Drop (&lt;3km)", IF(S59&lt;='Methodology &amp; Assumptions'!$B$9, "Near Optical / Microwave (&lt;5km)", "Starlink Business LEO Satellite Backhaul (&gt;5km)"))</f>
        <v/>
      </c>
      <c r="W59" s="28" t="n">
        <v>0.109</v>
      </c>
      <c r="X59" s="14" t="n">
        <v>49.25</v>
      </c>
      <c r="Y59" s="14">
        <f>ROUND(MIN(100, (X59/69.91)*100), 2)</f>
        <v/>
      </c>
    </row>
    <row r="60">
      <c r="A60" s="10" t="n">
        <v>3</v>
      </c>
      <c r="B60" s="10" t="n">
        <v>56</v>
      </c>
      <c r="C60" s="10" t="n">
        <v>2056</v>
      </c>
      <c r="D60" s="10" t="inlineStr">
        <is>
          <t>1380601187</t>
        </is>
      </c>
      <c r="E60" s="26" t="inlineStr">
        <is>
          <t>National Capital Region (NCR)</t>
        </is>
      </c>
      <c r="F60" s="26" t="inlineStr">
        <is>
          <t>First District (Not a Province)</t>
        </is>
      </c>
      <c r="G60" s="26" t="inlineStr">
        <is>
          <t>City of Manila</t>
        </is>
      </c>
      <c r="H60" s="26" t="inlineStr">
        <is>
          <t>Barangay 187</t>
        </is>
      </c>
      <c r="I60" s="27" t="n">
        <v>12.348926</v>
      </c>
      <c r="J60" s="27" t="n">
        <v>121.548472</v>
      </c>
      <c r="K60" s="10" t="inlineStr">
        <is>
          <t>U</t>
        </is>
      </c>
      <c r="L60" s="12" t="n">
        <v>913</v>
      </c>
      <c r="M60" s="14" t="n">
        <v>3.9</v>
      </c>
      <c r="N60" s="12">
        <f>ROUND(L60/M60, 0)</f>
        <v/>
      </c>
      <c r="O60" s="12">
        <f>ROUND(N60*'Methodology &amp; Assumptions'!$B$5, 0)</f>
        <v/>
      </c>
      <c r="P60" s="10" t="inlineStr">
        <is>
          <t>Single Carrier (Band n50, 100MHz TDD)</t>
        </is>
      </c>
      <c r="Q60" s="13">
        <f>ROUNDUP(O60/'Methodology &amp; Assumptions'!$B$6, 0)</f>
        <v/>
      </c>
      <c r="R60" s="13" t="n">
        <v>1</v>
      </c>
      <c r="S60" s="14" t="n">
        <v>22.44</v>
      </c>
      <c r="T60" s="14" t="n">
        <v>16.56</v>
      </c>
      <c r="U60" s="26">
        <f>IF(X60&gt;='Methodology &amp; Assumptions'!$B$7, "Tier 1 Critical GIDA (Score ≥ 50.0)", IF(X60&gt;='Methodology &amp; Assumptions'!$B$8, "Tier 2 High GIDA (Score 40.0–49.9)", "Tier 3 Moderate GIDA (Score &lt; 40.0)"))</f>
        <v/>
      </c>
      <c r="V60" s="26">
        <f>IF(S60&lt;='Methodology &amp; Assumptions'!$B$10, "Direct Optical Drop (&lt;3km)", IF(S60&lt;='Methodology &amp; Assumptions'!$B$9, "Near Optical / Microwave (&lt;5km)", "Starlink Business LEO Satellite Backhaul (&gt;5km)"))</f>
        <v/>
      </c>
      <c r="W60" s="28" t="n">
        <v>0.109</v>
      </c>
      <c r="X60" s="14" t="n">
        <v>49.25</v>
      </c>
      <c r="Y60" s="14">
        <f>ROUND(MIN(100, (X60/69.91)*100), 2)</f>
        <v/>
      </c>
    </row>
    <row r="61">
      <c r="A61" s="10" t="n">
        <v>3</v>
      </c>
      <c r="B61" s="10" t="n">
        <v>57</v>
      </c>
      <c r="C61" s="10" t="n">
        <v>2057</v>
      </c>
      <c r="D61" s="10" t="inlineStr">
        <is>
          <t>PH0002057</t>
        </is>
      </c>
      <c r="E61" s="26" t="inlineStr">
        <is>
          <t>CAR</t>
        </is>
      </c>
      <c r="F61" s="26" t="inlineStr">
        <is>
          <t>Benguet</t>
        </is>
      </c>
      <c r="G61" s="26" t="inlineStr">
        <is>
          <t>Baguio City</t>
        </is>
      </c>
      <c r="H61" s="26" t="inlineStr">
        <is>
          <t>Legarda-Burnham-Kisad</t>
        </is>
      </c>
      <c r="I61" s="27" t="n">
        <v>16.407344</v>
      </c>
      <c r="J61" s="27" t="n">
        <v>120.597264</v>
      </c>
      <c r="K61" s="10" t="inlineStr">
        <is>
          <t>R</t>
        </is>
      </c>
      <c r="L61" s="12" t="n">
        <v>2260</v>
      </c>
      <c r="M61" s="14" t="n">
        <v>3.5</v>
      </c>
      <c r="N61" s="12">
        <f>ROUND(L61/M61, 0)</f>
        <v/>
      </c>
      <c r="O61" s="12">
        <f>ROUND(N61*'Methodology &amp; Assumptions'!$B$5, 0)</f>
        <v/>
      </c>
      <c r="P61" s="10" t="inlineStr">
        <is>
          <t>Single Carrier (Band n50, 100MHz TDD)</t>
        </is>
      </c>
      <c r="Q61" s="13">
        <f>ROUNDUP(O61/'Methodology &amp; Assumptions'!$B$6, 0)</f>
        <v/>
      </c>
      <c r="R61" s="13" t="n">
        <v>1</v>
      </c>
      <c r="S61" s="14" t="n">
        <v>0.59</v>
      </c>
      <c r="T61" s="14" t="n">
        <v>0.32</v>
      </c>
      <c r="U61" s="26">
        <f>IF(X61&gt;='Methodology &amp; Assumptions'!$B$7, "Tier 1 Critical GIDA (Score ≥ 50.0)", IF(X61&gt;='Methodology &amp; Assumptions'!$B$8, "Tier 2 High GIDA (Score 40.0–49.9)", "Tier 3 Moderate GIDA (Score &lt; 40.0)"))</f>
        <v/>
      </c>
      <c r="V61" s="26">
        <f>IF(S61&lt;='Methodology &amp; Assumptions'!$B$10, "Direct Optical Drop (&lt;3km)", IF(S61&lt;='Methodology &amp; Assumptions'!$B$9, "Near Optical / Microwave (&lt;5km)", "Starlink Business LEO Satellite Backhaul (&gt;5km)"))</f>
        <v/>
      </c>
      <c r="W61" s="28" t="n">
        <v>0.221</v>
      </c>
      <c r="X61" s="14" t="n">
        <v>49.25</v>
      </c>
      <c r="Y61" s="14">
        <f>ROUND(MIN(100, (X61/69.91)*100), 2)</f>
        <v/>
      </c>
    </row>
    <row r="62">
      <c r="A62" s="10" t="n">
        <v>3</v>
      </c>
      <c r="B62" s="10" t="n">
        <v>58</v>
      </c>
      <c r="C62" s="10" t="n">
        <v>2058</v>
      </c>
      <c r="D62" s="10" t="inlineStr">
        <is>
          <t>PH0002058</t>
        </is>
      </c>
      <c r="E62" s="26" t="inlineStr">
        <is>
          <t>NCR</t>
        </is>
      </c>
      <c r="F62" s="26" t="inlineStr">
        <is>
          <t>Metro Manila</t>
        </is>
      </c>
      <c r="G62" s="26" t="inlineStr">
        <is>
          <t>Caloocan City</t>
        </is>
      </c>
      <c r="H62" s="26" t="inlineStr">
        <is>
          <t>Barangay 16</t>
        </is>
      </c>
      <c r="I62" s="27" t="n">
        <v>12.704297</v>
      </c>
      <c r="J62" s="27" t="n">
        <v>123.140702</v>
      </c>
      <c r="K62" s="10" t="inlineStr">
        <is>
          <t>R</t>
        </is>
      </c>
      <c r="L62" s="12" t="n">
        <v>2279</v>
      </c>
      <c r="M62" s="14" t="n">
        <v>3.8</v>
      </c>
      <c r="N62" s="12">
        <f>ROUND(L62/M62, 0)</f>
        <v/>
      </c>
      <c r="O62" s="12">
        <f>ROUND(N62*'Methodology &amp; Assumptions'!$B$5, 0)</f>
        <v/>
      </c>
      <c r="P62" s="10" t="inlineStr">
        <is>
          <t>Single Carrier (Band n50, 100MHz TDD)</t>
        </is>
      </c>
      <c r="Q62" s="13">
        <f>ROUNDUP(O62/'Methodology &amp; Assumptions'!$B$6, 0)</f>
        <v/>
      </c>
      <c r="R62" s="13" t="n">
        <v>1</v>
      </c>
      <c r="S62" s="14" t="n">
        <v>35.35</v>
      </c>
      <c r="T62" s="14" t="n">
        <v>38.18</v>
      </c>
      <c r="U62" s="26">
        <f>IF(X62&gt;='Methodology &amp; Assumptions'!$B$7, "Tier 1 Critical GIDA (Score ≥ 50.0)", IF(X62&gt;='Methodology &amp; Assumptions'!$B$8, "Tier 2 High GIDA (Score 40.0–49.9)", "Tier 3 Moderate GIDA (Score &lt; 40.0)"))</f>
        <v/>
      </c>
      <c r="V62" s="26">
        <f>IF(S62&lt;='Methodology &amp; Assumptions'!$B$10, "Direct Optical Drop (&lt;3km)", IF(S62&lt;='Methodology &amp; Assumptions'!$B$9, "Near Optical / Microwave (&lt;5km)", "Starlink Business LEO Satellite Backhaul (&gt;5km)"))</f>
        <v/>
      </c>
      <c r="W62" s="28" t="n">
        <v>0.011</v>
      </c>
      <c r="X62" s="14" t="n">
        <v>49.25</v>
      </c>
      <c r="Y62" s="14">
        <f>ROUND(MIN(100, (X62/69.91)*100), 2)</f>
        <v/>
      </c>
    </row>
    <row r="63">
      <c r="A63" s="10" t="n">
        <v>3</v>
      </c>
      <c r="B63" s="10" t="n">
        <v>59</v>
      </c>
      <c r="C63" s="10" t="n">
        <v>2059</v>
      </c>
      <c r="D63" s="10" t="inlineStr">
        <is>
          <t>1380606022</t>
        </is>
      </c>
      <c r="E63" s="26" t="inlineStr">
        <is>
          <t>National Capital Region (NCR)</t>
        </is>
      </c>
      <c r="F63" s="26" t="inlineStr">
        <is>
          <t>First District (Not a Province)</t>
        </is>
      </c>
      <c r="G63" s="26" t="inlineStr">
        <is>
          <t>City of Manila</t>
        </is>
      </c>
      <c r="H63" s="26" t="inlineStr">
        <is>
          <t>Barangay 416</t>
        </is>
      </c>
      <c r="I63" s="27" t="n">
        <v>13.420827</v>
      </c>
      <c r="J63" s="27" t="n">
        <v>121.571963</v>
      </c>
      <c r="K63" s="10" t="inlineStr">
        <is>
          <t>U</t>
        </is>
      </c>
      <c r="L63" s="12" t="n">
        <v>846</v>
      </c>
      <c r="M63" s="14" t="n">
        <v>3.9</v>
      </c>
      <c r="N63" s="12">
        <f>ROUND(L63/M63, 0)</f>
        <v/>
      </c>
      <c r="O63" s="12">
        <f>ROUND(N63*'Methodology &amp; Assumptions'!$B$5, 0)</f>
        <v/>
      </c>
      <c r="P63" s="10" t="inlineStr">
        <is>
          <t>Single Carrier (Band n50, 100MHz TDD)</t>
        </is>
      </c>
      <c r="Q63" s="13">
        <f>ROUNDUP(O63/'Methodology &amp; Assumptions'!$B$6, 0)</f>
        <v/>
      </c>
      <c r="R63" s="13" t="n">
        <v>1</v>
      </c>
      <c r="S63" s="14" t="n">
        <v>31.22</v>
      </c>
      <c r="T63" s="14" t="n">
        <v>37.49</v>
      </c>
      <c r="U63" s="26">
        <f>IF(X63&gt;='Methodology &amp; Assumptions'!$B$7, "Tier 1 Critical GIDA (Score ≥ 50.0)", IF(X63&gt;='Methodology &amp; Assumptions'!$B$8, "Tier 2 High GIDA (Score 40.0–49.9)", "Tier 3 Moderate GIDA (Score &lt; 40.0)"))</f>
        <v/>
      </c>
      <c r="V63" s="26">
        <f>IF(S63&lt;='Methodology &amp; Assumptions'!$B$10, "Direct Optical Drop (&lt;3km)", IF(S63&lt;='Methodology &amp; Assumptions'!$B$9, "Near Optical / Microwave (&lt;5km)", "Starlink Business LEO Satellite Backhaul (&gt;5km)"))</f>
        <v/>
      </c>
      <c r="W63" s="28" t="n">
        <v>0.109</v>
      </c>
      <c r="X63" s="14" t="n">
        <v>49.25</v>
      </c>
      <c r="Y63" s="14">
        <f>ROUND(MIN(100, (X63/69.91)*100), 2)</f>
        <v/>
      </c>
    </row>
    <row r="64">
      <c r="A64" s="10" t="n">
        <v>3</v>
      </c>
      <c r="B64" s="10" t="n">
        <v>60</v>
      </c>
      <c r="C64" s="10" t="n">
        <v>2060</v>
      </c>
      <c r="D64" s="10" t="inlineStr">
        <is>
          <t>1381100163</t>
        </is>
      </c>
      <c r="E64" s="26" t="inlineStr">
        <is>
          <t>National Capital Region (NCR)</t>
        </is>
      </c>
      <c r="F64" s="26" t="inlineStr">
        <is>
          <t>Fourth District (Not a Province)</t>
        </is>
      </c>
      <c r="G64" s="26" t="inlineStr">
        <is>
          <t>Pasay City</t>
        </is>
      </c>
      <c r="H64" s="26" t="inlineStr">
        <is>
          <t>Barangay 163</t>
        </is>
      </c>
      <c r="I64" s="27" t="n">
        <v>14.623046</v>
      </c>
      <c r="J64" s="27" t="n">
        <v>121.104828</v>
      </c>
      <c r="K64" s="10" t="inlineStr">
        <is>
          <t>U</t>
        </is>
      </c>
      <c r="L64" s="12" t="n">
        <v>1509</v>
      </c>
      <c r="M64" s="14" t="n">
        <v>3.4</v>
      </c>
      <c r="N64" s="12">
        <f>ROUND(L64/M64, 0)</f>
        <v/>
      </c>
      <c r="O64" s="12">
        <f>ROUND(N64*'Methodology &amp; Assumptions'!$B$5, 0)</f>
        <v/>
      </c>
      <c r="P64" s="10" t="inlineStr">
        <is>
          <t>Single Carrier (Band n50, 100MHz TDD)</t>
        </is>
      </c>
      <c r="Q64" s="13">
        <f>ROUNDUP(O64/'Methodology &amp; Assumptions'!$B$6, 0)</f>
        <v/>
      </c>
      <c r="R64" s="13" t="n">
        <v>1</v>
      </c>
      <c r="S64" s="14" t="n">
        <v>1.94</v>
      </c>
      <c r="T64" s="14" t="n">
        <v>0.32</v>
      </c>
      <c r="U64" s="26">
        <f>IF(X64&gt;='Methodology &amp; Assumptions'!$B$7, "Tier 1 Critical GIDA (Score ≥ 50.0)", IF(X64&gt;='Methodology &amp; Assumptions'!$B$8, "Tier 2 High GIDA (Score 40.0–49.9)", "Tier 3 Moderate GIDA (Score &lt; 40.0)"))</f>
        <v/>
      </c>
      <c r="V64" s="26">
        <f>IF(S64&lt;='Methodology &amp; Assumptions'!$B$10, "Direct Optical Drop (&lt;3km)", IF(S64&lt;='Methodology &amp; Assumptions'!$B$9, "Near Optical / Microwave (&lt;5km)", "Starlink Business LEO Satellite Backhaul (&gt;5km)"))</f>
        <v/>
      </c>
      <c r="W64" s="28" t="n">
        <v>0.109</v>
      </c>
      <c r="X64" s="14" t="n">
        <v>49.25</v>
      </c>
      <c r="Y64" s="14">
        <f>ROUND(MIN(100, (X64/69.91)*100), 2)</f>
        <v/>
      </c>
    </row>
    <row r="65">
      <c r="A65" s="10" t="n">
        <v>3</v>
      </c>
      <c r="B65" s="10" t="n">
        <v>61</v>
      </c>
      <c r="C65" s="10" t="n">
        <v>2061</v>
      </c>
      <c r="D65" s="10" t="inlineStr">
        <is>
          <t>1380614063</t>
        </is>
      </c>
      <c r="E65" s="26" t="inlineStr">
        <is>
          <t>National Capital Region (NCR)</t>
        </is>
      </c>
      <c r="F65" s="26" t="inlineStr">
        <is>
          <t>First District (Not a Province)</t>
        </is>
      </c>
      <c r="G65" s="26" t="inlineStr">
        <is>
          <t>City of Manila</t>
        </is>
      </c>
      <c r="H65" s="26" t="inlineStr">
        <is>
          <t>Barangay 807</t>
        </is>
      </c>
      <c r="I65" s="27" t="n">
        <v>12.613176</v>
      </c>
      <c r="J65" s="27" t="n">
        <v>122.299201</v>
      </c>
      <c r="K65" s="10" t="inlineStr">
        <is>
          <t>U</t>
        </is>
      </c>
      <c r="L65" s="12" t="n">
        <v>2071</v>
      </c>
      <c r="M65" s="14" t="n">
        <v>3.9</v>
      </c>
      <c r="N65" s="12">
        <f>ROUND(L65/M65, 0)</f>
        <v/>
      </c>
      <c r="O65" s="12">
        <f>ROUND(N65*'Methodology &amp; Assumptions'!$B$5, 0)</f>
        <v/>
      </c>
      <c r="P65" s="10" t="inlineStr">
        <is>
          <t>Single Carrier (Band n50, 100MHz TDD)</t>
        </is>
      </c>
      <c r="Q65" s="13">
        <f>ROUNDUP(O65/'Methodology &amp; Assumptions'!$B$6, 0)</f>
        <v/>
      </c>
      <c r="R65" s="13" t="n">
        <v>1</v>
      </c>
      <c r="S65" s="14" t="n">
        <v>79.77</v>
      </c>
      <c r="T65" s="14" t="n">
        <v>64.59999999999999</v>
      </c>
      <c r="U65" s="26">
        <f>IF(X65&gt;='Methodology &amp; Assumptions'!$B$7, "Tier 1 Critical GIDA (Score ≥ 50.0)", IF(X65&gt;='Methodology &amp; Assumptions'!$B$8, "Tier 2 High GIDA (Score 40.0–49.9)", "Tier 3 Moderate GIDA (Score &lt; 40.0)"))</f>
        <v/>
      </c>
      <c r="V65" s="26">
        <f>IF(S65&lt;='Methodology &amp; Assumptions'!$B$10, "Direct Optical Drop (&lt;3km)", IF(S65&lt;='Methodology &amp; Assumptions'!$B$9, "Near Optical / Microwave (&lt;5km)", "Starlink Business LEO Satellite Backhaul (&gt;5km)"))</f>
        <v/>
      </c>
      <c r="W65" s="28" t="n">
        <v>0.109</v>
      </c>
      <c r="X65" s="14" t="n">
        <v>49.25</v>
      </c>
      <c r="Y65" s="14">
        <f>ROUND(MIN(100, (X65/69.91)*100), 2)</f>
        <v/>
      </c>
    </row>
    <row r="66">
      <c r="A66" s="10" t="n">
        <v>3</v>
      </c>
      <c r="B66" s="10" t="n">
        <v>62</v>
      </c>
      <c r="C66" s="10" t="n">
        <v>2062</v>
      </c>
      <c r="D66" s="10" t="inlineStr">
        <is>
          <t>1380500009</t>
        </is>
      </c>
      <c r="E66" s="26" t="inlineStr">
        <is>
          <t>National Capital Region (NCR)</t>
        </is>
      </c>
      <c r="F66" s="26" t="inlineStr">
        <is>
          <t>Second District (Not a Province)</t>
        </is>
      </c>
      <c r="G66" s="26" t="inlineStr">
        <is>
          <t>City of Mandaluyong</t>
        </is>
      </c>
      <c r="H66" s="26" t="inlineStr">
        <is>
          <t>Daang Bakal</t>
        </is>
      </c>
      <c r="I66" s="27" t="n">
        <v>14.589228</v>
      </c>
      <c r="J66" s="27" t="n">
        <v>121.028786</v>
      </c>
      <c r="K66" s="10" t="inlineStr">
        <is>
          <t>U</t>
        </is>
      </c>
      <c r="L66" s="12" t="n">
        <v>4956</v>
      </c>
      <c r="M66" s="14" t="n">
        <v>3.3</v>
      </c>
      <c r="N66" s="12">
        <f>ROUND(L66/M66, 0)</f>
        <v/>
      </c>
      <c r="O66" s="12">
        <f>ROUND(N66*'Methodology &amp; Assumptions'!$B$5, 0)</f>
        <v/>
      </c>
      <c r="P66" s="10" t="inlineStr">
        <is>
          <t>Single Carrier (Band n50, 100MHz TDD)</t>
        </is>
      </c>
      <c r="Q66" s="13">
        <f>ROUNDUP(O66/'Methodology &amp; Assumptions'!$B$6, 0)</f>
        <v/>
      </c>
      <c r="R66" s="13" t="n">
        <v>1</v>
      </c>
      <c r="S66" s="14" t="n">
        <v>0.63</v>
      </c>
      <c r="T66" s="14" t="n">
        <v>0.43</v>
      </c>
      <c r="U66" s="26">
        <f>IF(X66&gt;='Methodology &amp; Assumptions'!$B$7, "Tier 1 Critical GIDA (Score ≥ 50.0)", IF(X66&gt;='Methodology &amp; Assumptions'!$B$8, "Tier 2 High GIDA (Score 40.0–49.9)", "Tier 3 Moderate GIDA (Score &lt; 40.0)"))</f>
        <v/>
      </c>
      <c r="V66" s="26">
        <f>IF(S66&lt;='Methodology &amp; Assumptions'!$B$10, "Direct Optical Drop (&lt;3km)", IF(S66&lt;='Methodology &amp; Assumptions'!$B$9, "Near Optical / Microwave (&lt;5km)", "Starlink Business LEO Satellite Backhaul (&gt;5km)"))</f>
        <v/>
      </c>
      <c r="W66" s="28" t="n">
        <v>0.109</v>
      </c>
      <c r="X66" s="14" t="n">
        <v>49.25</v>
      </c>
      <c r="Y66" s="14">
        <f>ROUND(MIN(100, (X66/69.91)*100), 2)</f>
        <v/>
      </c>
    </row>
    <row r="67">
      <c r="A67" s="10" t="n">
        <v>3</v>
      </c>
      <c r="B67" s="10" t="n">
        <v>63</v>
      </c>
      <c r="C67" s="10" t="n">
        <v>2063</v>
      </c>
      <c r="D67" s="10" t="inlineStr">
        <is>
          <t>1380601041</t>
        </is>
      </c>
      <c r="E67" s="26" t="inlineStr">
        <is>
          <t>National Capital Region (NCR)</t>
        </is>
      </c>
      <c r="F67" s="26" t="inlineStr">
        <is>
          <t>First District (Not a Province)</t>
        </is>
      </c>
      <c r="G67" s="26" t="inlineStr">
        <is>
          <t>City of Manila</t>
        </is>
      </c>
      <c r="H67" s="26" t="inlineStr">
        <is>
          <t>Barangay 41</t>
        </is>
      </c>
      <c r="I67" s="27" t="n">
        <v>12.729959</v>
      </c>
      <c r="J67" s="27" t="n">
        <v>121.200736</v>
      </c>
      <c r="K67" s="10" t="inlineStr">
        <is>
          <t>U</t>
        </is>
      </c>
      <c r="L67" s="12" t="n">
        <v>3941</v>
      </c>
      <c r="M67" s="14" t="n">
        <v>3.9</v>
      </c>
      <c r="N67" s="12">
        <f>ROUND(L67/M67, 0)</f>
        <v/>
      </c>
      <c r="O67" s="12">
        <f>ROUND(N67*'Methodology &amp; Assumptions'!$B$5, 0)</f>
        <v/>
      </c>
      <c r="P67" s="10" t="inlineStr">
        <is>
          <t>Single Carrier (Band n50, 100MHz TDD)</t>
        </is>
      </c>
      <c r="Q67" s="13">
        <f>ROUNDUP(O67/'Methodology &amp; Assumptions'!$B$6, 0)</f>
        <v/>
      </c>
      <c r="R67" s="13" t="n">
        <v>1</v>
      </c>
      <c r="S67" s="14" t="n">
        <v>30.44</v>
      </c>
      <c r="T67" s="14" t="n">
        <v>29.1</v>
      </c>
      <c r="U67" s="26">
        <f>IF(X67&gt;='Methodology &amp; Assumptions'!$B$7, "Tier 1 Critical GIDA (Score ≥ 50.0)", IF(X67&gt;='Methodology &amp; Assumptions'!$B$8, "Tier 2 High GIDA (Score 40.0–49.9)", "Tier 3 Moderate GIDA (Score &lt; 40.0)"))</f>
        <v/>
      </c>
      <c r="V67" s="26">
        <f>IF(S67&lt;='Methodology &amp; Assumptions'!$B$10, "Direct Optical Drop (&lt;3km)", IF(S67&lt;='Methodology &amp; Assumptions'!$B$9, "Near Optical / Microwave (&lt;5km)", "Starlink Business LEO Satellite Backhaul (&gt;5km)"))</f>
        <v/>
      </c>
      <c r="W67" s="28" t="n">
        <v>0.109</v>
      </c>
      <c r="X67" s="14" t="n">
        <v>49.25</v>
      </c>
      <c r="Y67" s="14">
        <f>ROUND(MIN(100, (X67/69.91)*100), 2)</f>
        <v/>
      </c>
    </row>
    <row r="68">
      <c r="A68" s="10" t="n">
        <v>3</v>
      </c>
      <c r="B68" s="10" t="n">
        <v>64</v>
      </c>
      <c r="C68" s="10" t="n">
        <v>2064</v>
      </c>
      <c r="D68" s="10" t="inlineStr">
        <is>
          <t>1380614070</t>
        </is>
      </c>
      <c r="E68" s="26" t="inlineStr">
        <is>
          <t>National Capital Region (NCR)</t>
        </is>
      </c>
      <c r="F68" s="26" t="inlineStr">
        <is>
          <t>First District (Not a Province)</t>
        </is>
      </c>
      <c r="G68" s="26" t="inlineStr">
        <is>
          <t>City of Manila</t>
        </is>
      </c>
      <c r="H68" s="26" t="inlineStr">
        <is>
          <t>Barangay 877</t>
        </is>
      </c>
      <c r="I68" s="27" t="n">
        <v>13.368786</v>
      </c>
      <c r="J68" s="27" t="n">
        <v>122.093624</v>
      </c>
      <c r="K68" s="10" t="inlineStr">
        <is>
          <t>U</t>
        </is>
      </c>
      <c r="L68" s="12" t="n">
        <v>1868</v>
      </c>
      <c r="M68" s="14" t="n">
        <v>3.9</v>
      </c>
      <c r="N68" s="12">
        <f>ROUND(L68/M68, 0)</f>
        <v/>
      </c>
      <c r="O68" s="12">
        <f>ROUND(N68*'Methodology &amp; Assumptions'!$B$5, 0)</f>
        <v/>
      </c>
      <c r="P68" s="10" t="inlineStr">
        <is>
          <t>Single Carrier (Band n50, 100MHz TDD)</t>
        </is>
      </c>
      <c r="Q68" s="13">
        <f>ROUNDUP(O68/'Methodology &amp; Assumptions'!$B$6, 0)</f>
        <v/>
      </c>
      <c r="R68" s="13" t="n">
        <v>1</v>
      </c>
      <c r="S68" s="14" t="n">
        <v>33.62</v>
      </c>
      <c r="T68" s="14" t="n">
        <v>32.96</v>
      </c>
      <c r="U68" s="26">
        <f>IF(X68&gt;='Methodology &amp; Assumptions'!$B$7, "Tier 1 Critical GIDA (Score ≥ 50.0)", IF(X68&gt;='Methodology &amp; Assumptions'!$B$8, "Tier 2 High GIDA (Score 40.0–49.9)", "Tier 3 Moderate GIDA (Score &lt; 40.0)"))</f>
        <v/>
      </c>
      <c r="V68" s="26">
        <f>IF(S68&lt;='Methodology &amp; Assumptions'!$B$10, "Direct Optical Drop (&lt;3km)", IF(S68&lt;='Methodology &amp; Assumptions'!$B$9, "Near Optical / Microwave (&lt;5km)", "Starlink Business LEO Satellite Backhaul (&gt;5km)"))</f>
        <v/>
      </c>
      <c r="W68" s="28" t="n">
        <v>0.109</v>
      </c>
      <c r="X68" s="14" t="n">
        <v>49.25</v>
      </c>
      <c r="Y68" s="14">
        <f>ROUND(MIN(100, (X68/69.91)*100), 2)</f>
        <v/>
      </c>
    </row>
    <row r="69">
      <c r="A69" s="10" t="n">
        <v>3</v>
      </c>
      <c r="B69" s="10" t="n">
        <v>65</v>
      </c>
      <c r="C69" s="10" t="n">
        <v>2065</v>
      </c>
      <c r="D69" s="10" t="inlineStr">
        <is>
          <t>1380601185</t>
        </is>
      </c>
      <c r="E69" s="26" t="inlineStr">
        <is>
          <t>National Capital Region (NCR)</t>
        </is>
      </c>
      <c r="F69" s="26" t="inlineStr">
        <is>
          <t>First District (Not a Province)</t>
        </is>
      </c>
      <c r="G69" s="26" t="inlineStr">
        <is>
          <t>City of Manila</t>
        </is>
      </c>
      <c r="H69" s="26" t="inlineStr">
        <is>
          <t>Barangay 185</t>
        </is>
      </c>
      <c r="I69" s="27" t="n">
        <v>12.307276</v>
      </c>
      <c r="J69" s="27" t="n">
        <v>121.877539</v>
      </c>
      <c r="K69" s="10" t="inlineStr">
        <is>
          <t>U</t>
        </is>
      </c>
      <c r="L69" s="12" t="n">
        <v>3639</v>
      </c>
      <c r="M69" s="14" t="n">
        <v>3.9</v>
      </c>
      <c r="N69" s="12">
        <f>ROUND(L69/M69, 0)</f>
        <v/>
      </c>
      <c r="O69" s="12">
        <f>ROUND(N69*'Methodology &amp; Assumptions'!$B$5, 0)</f>
        <v/>
      </c>
      <c r="P69" s="10" t="inlineStr">
        <is>
          <t>Single Carrier (Band n50, 100MHz TDD)</t>
        </is>
      </c>
      <c r="Q69" s="13">
        <f>ROUNDUP(O69/'Methodology &amp; Assumptions'!$B$6, 0)</f>
        <v/>
      </c>
      <c r="R69" s="13" t="n">
        <v>1</v>
      </c>
      <c r="S69" s="14" t="n">
        <v>40.6</v>
      </c>
      <c r="T69" s="14" t="n">
        <v>15.22</v>
      </c>
      <c r="U69" s="26">
        <f>IF(X69&gt;='Methodology &amp; Assumptions'!$B$7, "Tier 1 Critical GIDA (Score ≥ 50.0)", IF(X69&gt;='Methodology &amp; Assumptions'!$B$8, "Tier 2 High GIDA (Score 40.0–49.9)", "Tier 3 Moderate GIDA (Score &lt; 40.0)"))</f>
        <v/>
      </c>
      <c r="V69" s="26">
        <f>IF(S69&lt;='Methodology &amp; Assumptions'!$B$10, "Direct Optical Drop (&lt;3km)", IF(S69&lt;='Methodology &amp; Assumptions'!$B$9, "Near Optical / Microwave (&lt;5km)", "Starlink Business LEO Satellite Backhaul (&gt;5km)"))</f>
        <v/>
      </c>
      <c r="W69" s="28" t="n">
        <v>0.109</v>
      </c>
      <c r="X69" s="14" t="n">
        <v>49.24</v>
      </c>
      <c r="Y69" s="14">
        <f>ROUND(MIN(100, (X69/69.91)*100), 2)</f>
        <v/>
      </c>
    </row>
    <row r="70">
      <c r="A70" s="10" t="n">
        <v>3</v>
      </c>
      <c r="B70" s="10" t="n">
        <v>66</v>
      </c>
      <c r="C70" s="10" t="n">
        <v>2066</v>
      </c>
      <c r="D70" s="10" t="inlineStr">
        <is>
          <t>1380606136</t>
        </is>
      </c>
      <c r="E70" s="26" t="inlineStr">
        <is>
          <t>National Capital Region (NCR)</t>
        </is>
      </c>
      <c r="F70" s="26" t="inlineStr">
        <is>
          <t>First District (Not a Province)</t>
        </is>
      </c>
      <c r="G70" s="26" t="inlineStr">
        <is>
          <t>City of Manila</t>
        </is>
      </c>
      <c r="H70" s="26" t="inlineStr">
        <is>
          <t>Barangay 530</t>
        </is>
      </c>
      <c r="I70" s="27" t="n">
        <v>13.234367</v>
      </c>
      <c r="J70" s="27" t="n">
        <v>121.29986</v>
      </c>
      <c r="K70" s="10" t="inlineStr">
        <is>
          <t>U</t>
        </is>
      </c>
      <c r="L70" s="12" t="n">
        <v>498</v>
      </c>
      <c r="M70" s="14" t="n">
        <v>3.9</v>
      </c>
      <c r="N70" s="12">
        <f>ROUND(L70/M70, 0)</f>
        <v/>
      </c>
      <c r="O70" s="12">
        <f>ROUND(N70*'Methodology &amp; Assumptions'!$B$5, 0)</f>
        <v/>
      </c>
      <c r="P70" s="10" t="inlineStr">
        <is>
          <t>Single Carrier (Band n50, 100MHz TDD)</t>
        </is>
      </c>
      <c r="Q70" s="13">
        <f>ROUNDUP(O70/'Methodology &amp; Assumptions'!$B$6, 0)</f>
        <v/>
      </c>
      <c r="R70" s="13" t="n">
        <v>1</v>
      </c>
      <c r="S70" s="14" t="n">
        <v>4.88</v>
      </c>
      <c r="T70" s="14" t="n">
        <v>3.31</v>
      </c>
      <c r="U70" s="26">
        <f>IF(X70&gt;='Methodology &amp; Assumptions'!$B$7, "Tier 1 Critical GIDA (Score ≥ 50.0)", IF(X70&gt;='Methodology &amp; Assumptions'!$B$8, "Tier 2 High GIDA (Score 40.0–49.9)", "Tier 3 Moderate GIDA (Score &lt; 40.0)"))</f>
        <v/>
      </c>
      <c r="V70" s="26">
        <f>IF(S70&lt;='Methodology &amp; Assumptions'!$B$10, "Direct Optical Drop (&lt;3km)", IF(S70&lt;='Methodology &amp; Assumptions'!$B$9, "Near Optical / Microwave (&lt;5km)", "Starlink Business LEO Satellite Backhaul (&gt;5km)"))</f>
        <v/>
      </c>
      <c r="W70" s="28" t="n">
        <v>0.109</v>
      </c>
      <c r="X70" s="14" t="n">
        <v>49.24</v>
      </c>
      <c r="Y70" s="14">
        <f>ROUND(MIN(100, (X70/69.91)*100), 2)</f>
        <v/>
      </c>
    </row>
    <row r="71">
      <c r="A71" s="10" t="n">
        <v>3</v>
      </c>
      <c r="B71" s="10" t="n">
        <v>67</v>
      </c>
      <c r="C71" s="10" t="n">
        <v>2067</v>
      </c>
      <c r="D71" s="10" t="inlineStr">
        <is>
          <t>1380605014</t>
        </is>
      </c>
      <c r="E71" s="26" t="inlineStr">
        <is>
          <t>National Capital Region (NCR)</t>
        </is>
      </c>
      <c r="F71" s="26" t="inlineStr">
        <is>
          <t>First District (Not a Province)</t>
        </is>
      </c>
      <c r="G71" s="26" t="inlineStr">
        <is>
          <t>City of Manila</t>
        </is>
      </c>
      <c r="H71" s="26" t="inlineStr">
        <is>
          <t>Barangay 312</t>
        </is>
      </c>
      <c r="I71" s="27" t="n">
        <v>12.448169</v>
      </c>
      <c r="J71" s="27" t="n">
        <v>121.368369</v>
      </c>
      <c r="K71" s="10" t="inlineStr">
        <is>
          <t>U</t>
        </is>
      </c>
      <c r="L71" s="12" t="n">
        <v>3429</v>
      </c>
      <c r="M71" s="14" t="n">
        <v>3.9</v>
      </c>
      <c r="N71" s="12">
        <f>ROUND(L71/M71, 0)</f>
        <v/>
      </c>
      <c r="O71" s="12">
        <f>ROUND(N71*'Methodology &amp; Assumptions'!$B$5, 0)</f>
        <v/>
      </c>
      <c r="P71" s="10" t="inlineStr">
        <is>
          <t>Single Carrier (Band n50, 100MHz TDD)</t>
        </is>
      </c>
      <c r="Q71" s="13">
        <f>ROUNDUP(O71/'Methodology &amp; Assumptions'!$B$6, 0)</f>
        <v/>
      </c>
      <c r="R71" s="13" t="n">
        <v>1</v>
      </c>
      <c r="S71" s="14" t="n">
        <v>11.13</v>
      </c>
      <c r="T71" s="14" t="n">
        <v>4.14</v>
      </c>
      <c r="U71" s="26">
        <f>IF(X71&gt;='Methodology &amp; Assumptions'!$B$7, "Tier 1 Critical GIDA (Score ≥ 50.0)", IF(X71&gt;='Methodology &amp; Assumptions'!$B$8, "Tier 2 High GIDA (Score 40.0–49.9)", "Tier 3 Moderate GIDA (Score &lt; 40.0)"))</f>
        <v/>
      </c>
      <c r="V71" s="26">
        <f>IF(S71&lt;='Methodology &amp; Assumptions'!$B$10, "Direct Optical Drop (&lt;3km)", IF(S71&lt;='Methodology &amp; Assumptions'!$B$9, "Near Optical / Microwave (&lt;5km)", "Starlink Business LEO Satellite Backhaul (&gt;5km)"))</f>
        <v/>
      </c>
      <c r="W71" s="28" t="n">
        <v>0.109</v>
      </c>
      <c r="X71" s="14" t="n">
        <v>49.24</v>
      </c>
      <c r="Y71" s="14">
        <f>ROUND(MIN(100, (X71/69.91)*100), 2)</f>
        <v/>
      </c>
    </row>
    <row r="72">
      <c r="A72" s="10" t="n">
        <v>3</v>
      </c>
      <c r="B72" s="10" t="n">
        <v>68</v>
      </c>
      <c r="C72" s="10" t="n">
        <v>2068</v>
      </c>
      <c r="D72" s="10" t="inlineStr">
        <is>
          <t>1380606087</t>
        </is>
      </c>
      <c r="E72" s="26" t="inlineStr">
        <is>
          <t>National Capital Region (NCR)</t>
        </is>
      </c>
      <c r="F72" s="26" t="inlineStr">
        <is>
          <t>First District (Not a Province)</t>
        </is>
      </c>
      <c r="G72" s="26" t="inlineStr">
        <is>
          <t>City of Manila</t>
        </is>
      </c>
      <c r="H72" s="26" t="inlineStr">
        <is>
          <t>Barangay 481</t>
        </is>
      </c>
      <c r="I72" s="27" t="n">
        <v>13.466353</v>
      </c>
      <c r="J72" s="27" t="n">
        <v>121.774</v>
      </c>
      <c r="K72" s="10" t="inlineStr">
        <is>
          <t>U</t>
        </is>
      </c>
      <c r="L72" s="12" t="n">
        <v>1034</v>
      </c>
      <c r="M72" s="14" t="n">
        <v>3.9</v>
      </c>
      <c r="N72" s="12">
        <f>ROUND(L72/M72, 0)</f>
        <v/>
      </c>
      <c r="O72" s="12">
        <f>ROUND(N72*'Methodology &amp; Assumptions'!$B$5, 0)</f>
        <v/>
      </c>
      <c r="P72" s="10" t="inlineStr">
        <is>
          <t>Single Carrier (Band n50, 100MHz TDD)</t>
        </is>
      </c>
      <c r="Q72" s="13">
        <f>ROUNDUP(O72/'Methodology &amp; Assumptions'!$B$6, 0)</f>
        <v/>
      </c>
      <c r="R72" s="13" t="n">
        <v>1</v>
      </c>
      <c r="S72" s="14" t="n">
        <v>44.84</v>
      </c>
      <c r="T72" s="14" t="n">
        <v>46.53</v>
      </c>
      <c r="U72" s="26">
        <f>IF(X72&gt;='Methodology &amp; Assumptions'!$B$7, "Tier 1 Critical GIDA (Score ≥ 50.0)", IF(X72&gt;='Methodology &amp; Assumptions'!$B$8, "Tier 2 High GIDA (Score 40.0–49.9)", "Tier 3 Moderate GIDA (Score &lt; 40.0)"))</f>
        <v/>
      </c>
      <c r="V72" s="26">
        <f>IF(S72&lt;='Methodology &amp; Assumptions'!$B$10, "Direct Optical Drop (&lt;3km)", IF(S72&lt;='Methodology &amp; Assumptions'!$B$9, "Near Optical / Microwave (&lt;5km)", "Starlink Business LEO Satellite Backhaul (&gt;5km)"))</f>
        <v/>
      </c>
      <c r="W72" s="28" t="n">
        <v>0.109</v>
      </c>
      <c r="X72" s="14" t="n">
        <v>49.24</v>
      </c>
      <c r="Y72" s="14">
        <f>ROUND(MIN(100, (X72/69.91)*100), 2)</f>
        <v/>
      </c>
    </row>
    <row r="73">
      <c r="A73" s="10" t="n">
        <v>3</v>
      </c>
      <c r="B73" s="10" t="n">
        <v>69</v>
      </c>
      <c r="C73" s="10" t="n">
        <v>2069</v>
      </c>
      <c r="D73" s="10" t="inlineStr">
        <is>
          <t>PH0002069</t>
        </is>
      </c>
      <c r="E73" s="26" t="inlineStr">
        <is>
          <t>NCR</t>
        </is>
      </c>
      <c r="F73" s="26" t="inlineStr">
        <is>
          <t>Metro Manila</t>
        </is>
      </c>
      <c r="G73" s="26" t="inlineStr">
        <is>
          <t>Caloocan City</t>
        </is>
      </c>
      <c r="H73" s="26" t="inlineStr">
        <is>
          <t>Barangay 78</t>
        </is>
      </c>
      <c r="I73" s="27" t="n">
        <v>12.108147</v>
      </c>
      <c r="J73" s="27" t="n">
        <v>120.643669</v>
      </c>
      <c r="K73" s="10" t="inlineStr">
        <is>
          <t>R</t>
        </is>
      </c>
      <c r="L73" s="12" t="n">
        <v>2279</v>
      </c>
      <c r="M73" s="14" t="n">
        <v>3.8</v>
      </c>
      <c r="N73" s="12">
        <f>ROUND(L73/M73, 0)</f>
        <v/>
      </c>
      <c r="O73" s="12">
        <f>ROUND(N73*'Methodology &amp; Assumptions'!$B$5, 0)</f>
        <v/>
      </c>
      <c r="P73" s="10" t="inlineStr">
        <is>
          <t>Single Carrier (Band n50, 100MHz TDD)</t>
        </is>
      </c>
      <c r="Q73" s="13">
        <f>ROUNDUP(O73/'Methodology &amp; Assumptions'!$B$6, 0)</f>
        <v/>
      </c>
      <c r="R73" s="13" t="n">
        <v>1</v>
      </c>
      <c r="S73" s="14" t="n">
        <v>44.55</v>
      </c>
      <c r="T73" s="14" t="n">
        <v>52.99</v>
      </c>
      <c r="U73" s="26">
        <f>IF(X73&gt;='Methodology &amp; Assumptions'!$B$7, "Tier 1 Critical GIDA (Score ≥ 50.0)", IF(X73&gt;='Methodology &amp; Assumptions'!$B$8, "Tier 2 High GIDA (Score 40.0–49.9)", "Tier 3 Moderate GIDA (Score &lt; 40.0)"))</f>
        <v/>
      </c>
      <c r="V73" s="26">
        <f>IF(S73&lt;='Methodology &amp; Assumptions'!$B$10, "Direct Optical Drop (&lt;3km)", IF(S73&lt;='Methodology &amp; Assumptions'!$B$9, "Near Optical / Microwave (&lt;5km)", "Starlink Business LEO Satellite Backhaul (&gt;5km)"))</f>
        <v/>
      </c>
      <c r="W73" s="28" t="n">
        <v>0.011</v>
      </c>
      <c r="X73" s="14" t="n">
        <v>49.24</v>
      </c>
      <c r="Y73" s="14">
        <f>ROUND(MIN(100, (X73/69.91)*100), 2)</f>
        <v/>
      </c>
    </row>
    <row r="74">
      <c r="A74" s="10" t="n">
        <v>3</v>
      </c>
      <c r="B74" s="10" t="n">
        <v>70</v>
      </c>
      <c r="C74" s="10" t="n">
        <v>2070</v>
      </c>
      <c r="D74" s="10" t="inlineStr">
        <is>
          <t>1380601009</t>
        </is>
      </c>
      <c r="E74" s="26" t="inlineStr">
        <is>
          <t>National Capital Region (NCR)</t>
        </is>
      </c>
      <c r="F74" s="26" t="inlineStr">
        <is>
          <t>First District (Not a Province)</t>
        </is>
      </c>
      <c r="G74" s="26" t="inlineStr">
        <is>
          <t>City of Manila</t>
        </is>
      </c>
      <c r="H74" s="26" t="inlineStr">
        <is>
          <t>Barangay 9</t>
        </is>
      </c>
      <c r="I74" s="27" t="n">
        <v>12.446179</v>
      </c>
      <c r="J74" s="27" t="n">
        <v>122.181501</v>
      </c>
      <c r="K74" s="10" t="inlineStr">
        <is>
          <t>U</t>
        </is>
      </c>
      <c r="L74" s="12" t="n">
        <v>461</v>
      </c>
      <c r="M74" s="14" t="n">
        <v>3.9</v>
      </c>
      <c r="N74" s="12">
        <f>ROUND(L74/M74, 0)</f>
        <v/>
      </c>
      <c r="O74" s="12">
        <f>ROUND(N74*'Methodology &amp; Assumptions'!$B$5, 0)</f>
        <v/>
      </c>
      <c r="P74" s="10" t="inlineStr">
        <is>
          <t>Single Carrier (Band n50, 100MHz TDD)</t>
        </is>
      </c>
      <c r="Q74" s="13">
        <f>ROUNDUP(O74/'Methodology &amp; Assumptions'!$B$6, 0)</f>
        <v/>
      </c>
      <c r="R74" s="13" t="n">
        <v>1</v>
      </c>
      <c r="S74" s="14" t="n">
        <v>61</v>
      </c>
      <c r="T74" s="14" t="n">
        <v>42.06</v>
      </c>
      <c r="U74" s="26">
        <f>IF(X74&gt;='Methodology &amp; Assumptions'!$B$7, "Tier 1 Critical GIDA (Score ≥ 50.0)", IF(X74&gt;='Methodology &amp; Assumptions'!$B$8, "Tier 2 High GIDA (Score 40.0–49.9)", "Tier 3 Moderate GIDA (Score &lt; 40.0)"))</f>
        <v/>
      </c>
      <c r="V74" s="26">
        <f>IF(S74&lt;='Methodology &amp; Assumptions'!$B$10, "Direct Optical Drop (&lt;3km)", IF(S74&lt;='Methodology &amp; Assumptions'!$B$9, "Near Optical / Microwave (&lt;5km)", "Starlink Business LEO Satellite Backhaul (&gt;5km)"))</f>
        <v/>
      </c>
      <c r="W74" s="28" t="n">
        <v>0.109</v>
      </c>
      <c r="X74" s="14" t="n">
        <v>49.24</v>
      </c>
      <c r="Y74" s="14">
        <f>ROUND(MIN(100, (X74/69.91)*100), 2)</f>
        <v/>
      </c>
    </row>
    <row r="75">
      <c r="A75" s="10" t="n">
        <v>3</v>
      </c>
      <c r="B75" s="10" t="n">
        <v>71</v>
      </c>
      <c r="C75" s="10" t="n">
        <v>2071</v>
      </c>
      <c r="D75" s="10" t="inlineStr">
        <is>
          <t>1380606062</t>
        </is>
      </c>
      <c r="E75" s="26" t="inlineStr">
        <is>
          <t>National Capital Region (NCR)</t>
        </is>
      </c>
      <c r="F75" s="26" t="inlineStr">
        <is>
          <t>First District (Not a Province)</t>
        </is>
      </c>
      <c r="G75" s="26" t="inlineStr">
        <is>
          <t>City of Manila</t>
        </is>
      </c>
      <c r="H75" s="26" t="inlineStr">
        <is>
          <t>Barangay 456</t>
        </is>
      </c>
      <c r="I75" s="27" t="n">
        <v>12.931065</v>
      </c>
      <c r="J75" s="27" t="n">
        <v>121.171738</v>
      </c>
      <c r="K75" s="10" t="inlineStr">
        <is>
          <t>U</t>
        </is>
      </c>
      <c r="L75" s="12" t="n">
        <v>1576</v>
      </c>
      <c r="M75" s="14" t="n">
        <v>3.9</v>
      </c>
      <c r="N75" s="12">
        <f>ROUND(L75/M75, 0)</f>
        <v/>
      </c>
      <c r="O75" s="12">
        <f>ROUND(N75*'Methodology &amp; Assumptions'!$B$5, 0)</f>
        <v/>
      </c>
      <c r="P75" s="10" t="inlineStr">
        <is>
          <t>Single Carrier (Band n50, 100MHz TDD)</t>
        </is>
      </c>
      <c r="Q75" s="13">
        <f>ROUNDUP(O75/'Methodology &amp; Assumptions'!$B$6, 0)</f>
        <v/>
      </c>
      <c r="R75" s="13" t="n">
        <v>1</v>
      </c>
      <c r="S75" s="14" t="n">
        <v>28.74</v>
      </c>
      <c r="T75" s="14" t="n">
        <v>24.45</v>
      </c>
      <c r="U75" s="26">
        <f>IF(X75&gt;='Methodology &amp; Assumptions'!$B$7, "Tier 1 Critical GIDA (Score ≥ 50.0)", IF(X75&gt;='Methodology &amp; Assumptions'!$B$8, "Tier 2 High GIDA (Score 40.0–49.9)", "Tier 3 Moderate GIDA (Score &lt; 40.0)"))</f>
        <v/>
      </c>
      <c r="V75" s="26">
        <f>IF(S75&lt;='Methodology &amp; Assumptions'!$B$10, "Direct Optical Drop (&lt;3km)", IF(S75&lt;='Methodology &amp; Assumptions'!$B$9, "Near Optical / Microwave (&lt;5km)", "Starlink Business LEO Satellite Backhaul (&gt;5km)"))</f>
        <v/>
      </c>
      <c r="W75" s="28" t="n">
        <v>0.109</v>
      </c>
      <c r="X75" s="14" t="n">
        <v>49.24</v>
      </c>
      <c r="Y75" s="14">
        <f>ROUND(MIN(100, (X75/69.91)*100), 2)</f>
        <v/>
      </c>
    </row>
    <row r="76">
      <c r="A76" s="10" t="n">
        <v>3</v>
      </c>
      <c r="B76" s="10" t="n">
        <v>72</v>
      </c>
      <c r="C76" s="10" t="n">
        <v>2072</v>
      </c>
      <c r="D76" s="10" t="inlineStr">
        <is>
          <t>PH0002072</t>
        </is>
      </c>
      <c r="E76" s="26" t="inlineStr">
        <is>
          <t>NCR</t>
        </is>
      </c>
      <c r="F76" s="26" t="inlineStr">
        <is>
          <t>Metro Manila</t>
        </is>
      </c>
      <c r="G76" s="26" t="inlineStr">
        <is>
          <t>Caloocan City</t>
        </is>
      </c>
      <c r="H76" s="26" t="inlineStr">
        <is>
          <t>Barangay 81</t>
        </is>
      </c>
      <c r="I76" s="27" t="n">
        <v>14.194294</v>
      </c>
      <c r="J76" s="27" t="n">
        <v>122.07296</v>
      </c>
      <c r="K76" s="10" t="inlineStr">
        <is>
          <t>R</t>
        </is>
      </c>
      <c r="L76" s="12" t="n">
        <v>2279</v>
      </c>
      <c r="M76" s="14" t="n">
        <v>3.8</v>
      </c>
      <c r="N76" s="12">
        <f>ROUND(L76/M76, 0)</f>
        <v/>
      </c>
      <c r="O76" s="12">
        <f>ROUND(N76*'Methodology &amp; Assumptions'!$B$5, 0)</f>
        <v/>
      </c>
      <c r="P76" s="10" t="inlineStr">
        <is>
          <t>Single Carrier (Band n50, 100MHz TDD)</t>
        </is>
      </c>
      <c r="Q76" s="13">
        <f>ROUNDUP(O76/'Methodology &amp; Assumptions'!$B$6, 0)</f>
        <v/>
      </c>
      <c r="R76" s="13" t="n">
        <v>1</v>
      </c>
      <c r="S76" s="14" t="n">
        <v>19.12</v>
      </c>
      <c r="T76" s="14" t="n">
        <v>25.81</v>
      </c>
      <c r="U76" s="26">
        <f>IF(X76&gt;='Methodology &amp; Assumptions'!$B$7, "Tier 1 Critical GIDA (Score ≥ 50.0)", IF(X76&gt;='Methodology &amp; Assumptions'!$B$8, "Tier 2 High GIDA (Score 40.0–49.9)", "Tier 3 Moderate GIDA (Score &lt; 40.0)"))</f>
        <v/>
      </c>
      <c r="V76" s="26">
        <f>IF(S76&lt;='Methodology &amp; Assumptions'!$B$10, "Direct Optical Drop (&lt;3km)", IF(S76&lt;='Methodology &amp; Assumptions'!$B$9, "Near Optical / Microwave (&lt;5km)", "Starlink Business LEO Satellite Backhaul (&gt;5km)"))</f>
        <v/>
      </c>
      <c r="W76" s="28" t="n">
        <v>0.011</v>
      </c>
      <c r="X76" s="14" t="n">
        <v>49.24</v>
      </c>
      <c r="Y76" s="14">
        <f>ROUND(MIN(100, (X76/69.91)*100), 2)</f>
        <v/>
      </c>
    </row>
    <row r="77">
      <c r="A77" s="10" t="n">
        <v>3</v>
      </c>
      <c r="B77" s="10" t="n">
        <v>73</v>
      </c>
      <c r="C77" s="10" t="n">
        <v>2073</v>
      </c>
      <c r="D77" s="10" t="inlineStr">
        <is>
          <t>1380601197</t>
        </is>
      </c>
      <c r="E77" s="26" t="inlineStr">
        <is>
          <t>National Capital Region (NCR)</t>
        </is>
      </c>
      <c r="F77" s="26" t="inlineStr">
        <is>
          <t>First District (Not a Province)</t>
        </is>
      </c>
      <c r="G77" s="26" t="inlineStr">
        <is>
          <t>City of Manila</t>
        </is>
      </c>
      <c r="H77" s="26" t="inlineStr">
        <is>
          <t>Barangay 197</t>
        </is>
      </c>
      <c r="I77" s="27" t="n">
        <v>13.239296</v>
      </c>
      <c r="J77" s="27" t="n">
        <v>122.25473</v>
      </c>
      <c r="K77" s="10" t="inlineStr">
        <is>
          <t>U</t>
        </is>
      </c>
      <c r="L77" s="12" t="n">
        <v>539</v>
      </c>
      <c r="M77" s="14" t="n">
        <v>3.9</v>
      </c>
      <c r="N77" s="12">
        <f>ROUND(L77/M77, 0)</f>
        <v/>
      </c>
      <c r="O77" s="12">
        <f>ROUND(N77*'Methodology &amp; Assumptions'!$B$5, 0)</f>
        <v/>
      </c>
      <c r="P77" s="10" t="inlineStr">
        <is>
          <t>Single Carrier (Band n50, 100MHz TDD)</t>
        </is>
      </c>
      <c r="Q77" s="13">
        <f>ROUNDUP(O77/'Methodology &amp; Assumptions'!$B$6, 0)</f>
        <v/>
      </c>
      <c r="R77" s="13" t="n">
        <v>1</v>
      </c>
      <c r="S77" s="14" t="n">
        <v>30.96</v>
      </c>
      <c r="T77" s="14" t="n">
        <v>35.42</v>
      </c>
      <c r="U77" s="26">
        <f>IF(X77&gt;='Methodology &amp; Assumptions'!$B$7, "Tier 1 Critical GIDA (Score ≥ 50.0)", IF(X77&gt;='Methodology &amp; Assumptions'!$B$8, "Tier 2 High GIDA (Score 40.0–49.9)", "Tier 3 Moderate GIDA (Score &lt; 40.0)"))</f>
        <v/>
      </c>
      <c r="V77" s="26">
        <f>IF(S77&lt;='Methodology &amp; Assumptions'!$B$10, "Direct Optical Drop (&lt;3km)", IF(S77&lt;='Methodology &amp; Assumptions'!$B$9, "Near Optical / Microwave (&lt;5km)", "Starlink Business LEO Satellite Backhaul (&gt;5km)"))</f>
        <v/>
      </c>
      <c r="W77" s="28" t="n">
        <v>0.109</v>
      </c>
      <c r="X77" s="14" t="n">
        <v>49.24</v>
      </c>
      <c r="Y77" s="14">
        <f>ROUND(MIN(100, (X77/69.91)*100), 2)</f>
        <v/>
      </c>
    </row>
    <row r="78">
      <c r="A78" s="10" t="n">
        <v>3</v>
      </c>
      <c r="B78" s="10" t="n">
        <v>74</v>
      </c>
      <c r="C78" s="10" t="n">
        <v>2074</v>
      </c>
      <c r="D78" s="10" t="inlineStr">
        <is>
          <t>1380610042</t>
        </is>
      </c>
      <c r="E78" s="26" t="inlineStr">
        <is>
          <t>National Capital Region (NCR)</t>
        </is>
      </c>
      <c r="F78" s="26" t="inlineStr">
        <is>
          <t>First District (Not a Province)</t>
        </is>
      </c>
      <c r="G78" s="26" t="inlineStr">
        <is>
          <t>City of Manila</t>
        </is>
      </c>
      <c r="H78" s="26" t="inlineStr">
        <is>
          <t>Barangay 727</t>
        </is>
      </c>
      <c r="I78" s="27" t="n">
        <v>12.296643</v>
      </c>
      <c r="J78" s="27" t="n">
        <v>121.668538</v>
      </c>
      <c r="K78" s="10" t="inlineStr">
        <is>
          <t>U</t>
        </is>
      </c>
      <c r="L78" s="12" t="n">
        <v>1844</v>
      </c>
      <c r="M78" s="14" t="n">
        <v>3.9</v>
      </c>
      <c r="N78" s="12">
        <f>ROUND(L78/M78, 0)</f>
        <v/>
      </c>
      <c r="O78" s="12">
        <f>ROUND(N78*'Methodology &amp; Assumptions'!$B$5, 0)</f>
        <v/>
      </c>
      <c r="P78" s="10" t="inlineStr">
        <is>
          <t>Single Carrier (Band n50, 100MHz TDD)</t>
        </is>
      </c>
      <c r="Q78" s="13">
        <f>ROUNDUP(O78/'Methodology &amp; Assumptions'!$B$6, 0)</f>
        <v/>
      </c>
      <c r="R78" s="13" t="n">
        <v>1</v>
      </c>
      <c r="S78" s="14" t="n">
        <v>35.24</v>
      </c>
      <c r="T78" s="14" t="n">
        <v>4.25</v>
      </c>
      <c r="U78" s="26">
        <f>IF(X78&gt;='Methodology &amp; Assumptions'!$B$7, "Tier 1 Critical GIDA (Score ≥ 50.0)", IF(X78&gt;='Methodology &amp; Assumptions'!$B$8, "Tier 2 High GIDA (Score 40.0–49.9)", "Tier 3 Moderate GIDA (Score &lt; 40.0)"))</f>
        <v/>
      </c>
      <c r="V78" s="26">
        <f>IF(S78&lt;='Methodology &amp; Assumptions'!$B$10, "Direct Optical Drop (&lt;3km)", IF(S78&lt;='Methodology &amp; Assumptions'!$B$9, "Near Optical / Microwave (&lt;5km)", "Starlink Business LEO Satellite Backhaul (&gt;5km)"))</f>
        <v/>
      </c>
      <c r="W78" s="28" t="n">
        <v>0.109</v>
      </c>
      <c r="X78" s="14" t="n">
        <v>49.24</v>
      </c>
      <c r="Y78" s="14">
        <f>ROUND(MIN(100, (X78/69.91)*100), 2)</f>
        <v/>
      </c>
    </row>
    <row r="79">
      <c r="A79" s="10" t="n">
        <v>3</v>
      </c>
      <c r="B79" s="10" t="n">
        <v>75</v>
      </c>
      <c r="C79" s="10" t="n">
        <v>2075</v>
      </c>
      <c r="D79" s="10" t="inlineStr">
        <is>
          <t>1380606234</t>
        </is>
      </c>
      <c r="E79" s="26" t="inlineStr">
        <is>
          <t>National Capital Region (NCR)</t>
        </is>
      </c>
      <c r="F79" s="26" t="inlineStr">
        <is>
          <t>First District (Not a Province)</t>
        </is>
      </c>
      <c r="G79" s="26" t="inlineStr">
        <is>
          <t>City of Manila</t>
        </is>
      </c>
      <c r="H79" s="26" t="inlineStr">
        <is>
          <t>Barangay 627</t>
        </is>
      </c>
      <c r="I79" s="27" t="n">
        <v>13.380169</v>
      </c>
      <c r="J79" s="27" t="n">
        <v>121.446937</v>
      </c>
      <c r="K79" s="10" t="inlineStr">
        <is>
          <t>U</t>
        </is>
      </c>
      <c r="L79" s="12" t="n">
        <v>1654</v>
      </c>
      <c r="M79" s="14" t="n">
        <v>3.9</v>
      </c>
      <c r="N79" s="12">
        <f>ROUND(L79/M79, 0)</f>
        <v/>
      </c>
      <c r="O79" s="12">
        <f>ROUND(N79*'Methodology &amp; Assumptions'!$B$5, 0)</f>
        <v/>
      </c>
      <c r="P79" s="10" t="inlineStr">
        <is>
          <t>Single Carrier (Band n50, 100MHz TDD)</t>
        </is>
      </c>
      <c r="Q79" s="13">
        <f>ROUNDUP(O79/'Methodology &amp; Assumptions'!$B$6, 0)</f>
        <v/>
      </c>
      <c r="R79" s="13" t="n">
        <v>1</v>
      </c>
      <c r="S79" s="14" t="n">
        <v>16.98</v>
      </c>
      <c r="T79" s="14" t="n">
        <v>23.42</v>
      </c>
      <c r="U79" s="26">
        <f>IF(X79&gt;='Methodology &amp; Assumptions'!$B$7, "Tier 1 Critical GIDA (Score ≥ 50.0)", IF(X79&gt;='Methodology &amp; Assumptions'!$B$8, "Tier 2 High GIDA (Score 40.0–49.9)", "Tier 3 Moderate GIDA (Score &lt; 40.0)"))</f>
        <v/>
      </c>
      <c r="V79" s="26">
        <f>IF(S79&lt;='Methodology &amp; Assumptions'!$B$10, "Direct Optical Drop (&lt;3km)", IF(S79&lt;='Methodology &amp; Assumptions'!$B$9, "Near Optical / Microwave (&lt;5km)", "Starlink Business LEO Satellite Backhaul (&gt;5km)"))</f>
        <v/>
      </c>
      <c r="W79" s="28" t="n">
        <v>0.109</v>
      </c>
      <c r="X79" s="14" t="n">
        <v>49.24</v>
      </c>
      <c r="Y79" s="14">
        <f>ROUND(MIN(100, (X79/69.91)*100), 2)</f>
        <v/>
      </c>
    </row>
    <row r="80">
      <c r="A80" s="10" t="n">
        <v>3</v>
      </c>
      <c r="B80" s="10" t="n">
        <v>76</v>
      </c>
      <c r="C80" s="10" t="n">
        <v>2076</v>
      </c>
      <c r="D80" s="10" t="inlineStr">
        <is>
          <t>0403416039</t>
        </is>
      </c>
      <c r="E80" s="26" t="inlineStr">
        <is>
          <t>Region IV-A (CALABARZON)</t>
        </is>
      </c>
      <c r="F80" s="26" t="inlineStr">
        <is>
          <t>Laguna</t>
        </is>
      </c>
      <c r="G80" s="26" t="inlineStr">
        <is>
          <t>Majayjay</t>
        </is>
      </c>
      <c r="H80" s="26" t="inlineStr">
        <is>
          <t>Tanawan</t>
        </is>
      </c>
      <c r="I80" s="27" t="n">
        <v>14.152822</v>
      </c>
      <c r="J80" s="27" t="n">
        <v>121.483456</v>
      </c>
      <c r="K80" s="10" t="inlineStr">
        <is>
          <t>R</t>
        </is>
      </c>
      <c r="L80" s="12" t="n">
        <v>93</v>
      </c>
      <c r="M80" s="14" t="n">
        <v>3.3</v>
      </c>
      <c r="N80" s="12">
        <f>ROUND(L80/M80, 0)</f>
        <v/>
      </c>
      <c r="O80" s="12">
        <f>ROUND(N80*'Methodology &amp; Assumptions'!$B$5, 0)</f>
        <v/>
      </c>
      <c r="P80" s="10" t="inlineStr">
        <is>
          <t>Single Carrier (Band n50, 100MHz TDD)</t>
        </is>
      </c>
      <c r="Q80" s="13">
        <f>ROUNDUP(O80/'Methodology &amp; Assumptions'!$B$6, 0)</f>
        <v/>
      </c>
      <c r="R80" s="13" t="n">
        <v>1</v>
      </c>
      <c r="S80" s="14" t="n">
        <v>1.8</v>
      </c>
      <c r="T80" s="14" t="n">
        <v>0.49</v>
      </c>
      <c r="U80" s="26">
        <f>IF(X80&gt;='Methodology &amp; Assumptions'!$B$7, "Tier 1 Critical GIDA (Score ≥ 50.0)", IF(X80&gt;='Methodology &amp; Assumptions'!$B$8, "Tier 2 High GIDA (Score 40.0–49.9)", "Tier 3 Moderate GIDA (Score &lt; 40.0)"))</f>
        <v/>
      </c>
      <c r="V80" s="26">
        <f>IF(S80&lt;='Methodology &amp; Assumptions'!$B$10, "Direct Optical Drop (&lt;3km)", IF(S80&lt;='Methodology &amp; Assumptions'!$B$9, "Near Optical / Microwave (&lt;5km)", "Starlink Business LEO Satellite Backhaul (&gt;5km)"))</f>
        <v/>
      </c>
      <c r="W80" s="28" t="n">
        <v>0.07200000000000001</v>
      </c>
      <c r="X80" s="14" t="n">
        <v>49.24</v>
      </c>
      <c r="Y80" s="14">
        <f>ROUND(MIN(100, (X80/69.91)*100), 2)</f>
        <v/>
      </c>
    </row>
    <row r="81">
      <c r="A81" s="10" t="n">
        <v>3</v>
      </c>
      <c r="B81" s="10" t="n">
        <v>77</v>
      </c>
      <c r="C81" s="10" t="n">
        <v>2077</v>
      </c>
      <c r="D81" s="10" t="inlineStr">
        <is>
          <t>1380601177</t>
        </is>
      </c>
      <c r="E81" s="26" t="inlineStr">
        <is>
          <t>National Capital Region (NCR)</t>
        </is>
      </c>
      <c r="F81" s="26" t="inlineStr">
        <is>
          <t>First District (Not a Province)</t>
        </is>
      </c>
      <c r="G81" s="26" t="inlineStr">
        <is>
          <t>City of Manila</t>
        </is>
      </c>
      <c r="H81" s="26" t="inlineStr">
        <is>
          <t>Barangay 177</t>
        </is>
      </c>
      <c r="I81" s="27" t="n">
        <v>12.725767</v>
      </c>
      <c r="J81" s="27" t="n">
        <v>122.363312</v>
      </c>
      <c r="K81" s="10" t="inlineStr">
        <is>
          <t>U</t>
        </is>
      </c>
      <c r="L81" s="12" t="n">
        <v>3408</v>
      </c>
      <c r="M81" s="14" t="n">
        <v>3.9</v>
      </c>
      <c r="N81" s="12">
        <f>ROUND(L81/M81, 0)</f>
        <v/>
      </c>
      <c r="O81" s="12">
        <f>ROUND(N81*'Methodology &amp; Assumptions'!$B$5, 0)</f>
        <v/>
      </c>
      <c r="P81" s="10" t="inlineStr">
        <is>
          <t>Single Carrier (Band n50, 100MHz TDD)</t>
        </is>
      </c>
      <c r="Q81" s="13">
        <f>ROUNDUP(O81/'Methodology &amp; Assumptions'!$B$6, 0)</f>
        <v/>
      </c>
      <c r="R81" s="13" t="n">
        <v>1</v>
      </c>
      <c r="S81" s="14" t="n">
        <v>65.47</v>
      </c>
      <c r="T81" s="14" t="n">
        <v>78.87</v>
      </c>
      <c r="U81" s="26">
        <f>IF(X81&gt;='Methodology &amp; Assumptions'!$B$7, "Tier 1 Critical GIDA (Score ≥ 50.0)", IF(X81&gt;='Methodology &amp; Assumptions'!$B$8, "Tier 2 High GIDA (Score 40.0–49.9)", "Tier 3 Moderate GIDA (Score &lt; 40.0)"))</f>
        <v/>
      </c>
      <c r="V81" s="26">
        <f>IF(S81&lt;='Methodology &amp; Assumptions'!$B$10, "Direct Optical Drop (&lt;3km)", IF(S81&lt;='Methodology &amp; Assumptions'!$B$9, "Near Optical / Microwave (&lt;5km)", "Starlink Business LEO Satellite Backhaul (&gt;5km)"))</f>
        <v/>
      </c>
      <c r="W81" s="28" t="n">
        <v>0.109</v>
      </c>
      <c r="X81" s="14" t="n">
        <v>49.24</v>
      </c>
      <c r="Y81" s="14">
        <f>ROUND(MIN(100, (X81/69.91)*100), 2)</f>
        <v/>
      </c>
    </row>
    <row r="82">
      <c r="A82" s="10" t="n">
        <v>3</v>
      </c>
      <c r="B82" s="10" t="n">
        <v>78</v>
      </c>
      <c r="C82" s="10" t="n">
        <v>2078</v>
      </c>
      <c r="D82" s="10" t="inlineStr">
        <is>
          <t>1380601167</t>
        </is>
      </c>
      <c r="E82" s="26" t="inlineStr">
        <is>
          <t>National Capital Region (NCR)</t>
        </is>
      </c>
      <c r="F82" s="26" t="inlineStr">
        <is>
          <t>First District (Not a Province)</t>
        </is>
      </c>
      <c r="G82" s="26" t="inlineStr">
        <is>
          <t>City of Manila</t>
        </is>
      </c>
      <c r="H82" s="26" t="inlineStr">
        <is>
          <t>Barangay 167</t>
        </is>
      </c>
      <c r="I82" s="27" t="n">
        <v>12.604451</v>
      </c>
      <c r="J82" s="27" t="n">
        <v>121.231606</v>
      </c>
      <c r="K82" s="10" t="inlineStr">
        <is>
          <t>U</t>
        </is>
      </c>
      <c r="L82" s="12" t="n">
        <v>954</v>
      </c>
      <c r="M82" s="14" t="n">
        <v>3.9</v>
      </c>
      <c r="N82" s="12">
        <f>ROUND(L82/M82, 0)</f>
        <v/>
      </c>
      <c r="O82" s="12">
        <f>ROUND(N82*'Methodology &amp; Assumptions'!$B$5, 0)</f>
        <v/>
      </c>
      <c r="P82" s="10" t="inlineStr">
        <is>
          <t>Single Carrier (Band n50, 100MHz TDD)</t>
        </is>
      </c>
      <c r="Q82" s="13">
        <f>ROUNDUP(O82/'Methodology &amp; Assumptions'!$B$6, 0)</f>
        <v/>
      </c>
      <c r="R82" s="13" t="n">
        <v>1</v>
      </c>
      <c r="S82" s="14" t="n">
        <v>24.37</v>
      </c>
      <c r="T82" s="14" t="n">
        <v>23.03</v>
      </c>
      <c r="U82" s="26">
        <f>IF(X82&gt;='Methodology &amp; Assumptions'!$B$7, "Tier 1 Critical GIDA (Score ≥ 50.0)", IF(X82&gt;='Methodology &amp; Assumptions'!$B$8, "Tier 2 High GIDA (Score 40.0–49.9)", "Tier 3 Moderate GIDA (Score &lt; 40.0)"))</f>
        <v/>
      </c>
      <c r="V82" s="26">
        <f>IF(S82&lt;='Methodology &amp; Assumptions'!$B$10, "Direct Optical Drop (&lt;3km)", IF(S82&lt;='Methodology &amp; Assumptions'!$B$9, "Near Optical / Microwave (&lt;5km)", "Starlink Business LEO Satellite Backhaul (&gt;5km)"))</f>
        <v/>
      </c>
      <c r="W82" s="28" t="n">
        <v>0.109</v>
      </c>
      <c r="X82" s="14" t="n">
        <v>49.24</v>
      </c>
      <c r="Y82" s="14">
        <f>ROUND(MIN(100, (X82/69.91)*100), 2)</f>
        <v/>
      </c>
    </row>
    <row r="83">
      <c r="A83" s="10" t="n">
        <v>3</v>
      </c>
      <c r="B83" s="10" t="n">
        <v>79</v>
      </c>
      <c r="C83" s="10" t="n">
        <v>2079</v>
      </c>
      <c r="D83" s="10" t="inlineStr">
        <is>
          <t>1380601150</t>
        </is>
      </c>
      <c r="E83" s="26" t="inlineStr">
        <is>
          <t>National Capital Region (NCR)</t>
        </is>
      </c>
      <c r="F83" s="26" t="inlineStr">
        <is>
          <t>First District (Not a Province)</t>
        </is>
      </c>
      <c r="G83" s="26" t="inlineStr">
        <is>
          <t>City of Manila</t>
        </is>
      </c>
      <c r="H83" s="26" t="inlineStr">
        <is>
          <t>Barangay 150</t>
        </is>
      </c>
      <c r="I83" s="27" t="n">
        <v>13.441119</v>
      </c>
      <c r="J83" s="27" t="n">
        <v>121.983614</v>
      </c>
      <c r="K83" s="10" t="inlineStr">
        <is>
          <t>U</t>
        </is>
      </c>
      <c r="L83" s="12" t="n">
        <v>2346</v>
      </c>
      <c r="M83" s="14" t="n">
        <v>3.9</v>
      </c>
      <c r="N83" s="12">
        <f>ROUND(L83/M83, 0)</f>
        <v/>
      </c>
      <c r="O83" s="12">
        <f>ROUND(N83*'Methodology &amp; Assumptions'!$B$5, 0)</f>
        <v/>
      </c>
      <c r="P83" s="10" t="inlineStr">
        <is>
          <t>Single Carrier (Band n50, 100MHz TDD)</t>
        </is>
      </c>
      <c r="Q83" s="13">
        <f>ROUNDUP(O83/'Methodology &amp; Assumptions'!$B$6, 0)</f>
        <v/>
      </c>
      <c r="R83" s="13" t="n">
        <v>1</v>
      </c>
      <c r="S83" s="14" t="n">
        <v>34.7</v>
      </c>
      <c r="T83" s="14" t="n">
        <v>34.03</v>
      </c>
      <c r="U83" s="26">
        <f>IF(X83&gt;='Methodology &amp; Assumptions'!$B$7, "Tier 1 Critical GIDA (Score ≥ 50.0)", IF(X83&gt;='Methodology &amp; Assumptions'!$B$8, "Tier 2 High GIDA (Score 40.0–49.9)", "Tier 3 Moderate GIDA (Score &lt; 40.0)"))</f>
        <v/>
      </c>
      <c r="V83" s="26">
        <f>IF(S83&lt;='Methodology &amp; Assumptions'!$B$10, "Direct Optical Drop (&lt;3km)", IF(S83&lt;='Methodology &amp; Assumptions'!$B$9, "Near Optical / Microwave (&lt;5km)", "Starlink Business LEO Satellite Backhaul (&gt;5km)"))</f>
        <v/>
      </c>
      <c r="W83" s="28" t="n">
        <v>0.109</v>
      </c>
      <c r="X83" s="14" t="n">
        <v>49.24</v>
      </c>
      <c r="Y83" s="14">
        <f>ROUND(MIN(100, (X83/69.91)*100), 2)</f>
        <v/>
      </c>
    </row>
    <row r="84">
      <c r="A84" s="10" t="n">
        <v>3</v>
      </c>
      <c r="B84" s="10" t="n">
        <v>80</v>
      </c>
      <c r="C84" s="10" t="n">
        <v>2080</v>
      </c>
      <c r="D84" s="10" t="inlineStr">
        <is>
          <t>1380604002</t>
        </is>
      </c>
      <c r="E84" s="26" t="inlineStr">
        <is>
          <t>National Capital Region (NCR)</t>
        </is>
      </c>
      <c r="F84" s="26" t="inlineStr">
        <is>
          <t>First District (Not a Province)</t>
        </is>
      </c>
      <c r="G84" s="26" t="inlineStr">
        <is>
          <t>City of Manila</t>
        </is>
      </c>
      <c r="H84" s="26" t="inlineStr">
        <is>
          <t>Barangay 269</t>
        </is>
      </c>
      <c r="I84" s="27" t="n">
        <v>12.326481</v>
      </c>
      <c r="J84" s="27" t="n">
        <v>122.009065</v>
      </c>
      <c r="K84" s="10" t="inlineStr">
        <is>
          <t>U</t>
        </is>
      </c>
      <c r="L84" s="12" t="n">
        <v>931</v>
      </c>
      <c r="M84" s="14" t="n">
        <v>3.9</v>
      </c>
      <c r="N84" s="12">
        <f>ROUND(L84/M84, 0)</f>
        <v/>
      </c>
      <c r="O84" s="12">
        <f>ROUND(N84*'Methodology &amp; Assumptions'!$B$5, 0)</f>
        <v/>
      </c>
      <c r="P84" s="10" t="inlineStr">
        <is>
          <t>Single Carrier (Band n50, 100MHz TDD)</t>
        </is>
      </c>
      <c r="Q84" s="13">
        <f>ROUNDUP(O84/'Methodology &amp; Assumptions'!$B$6, 0)</f>
        <v/>
      </c>
      <c r="R84" s="13" t="n">
        <v>1</v>
      </c>
      <c r="S84" s="14" t="n">
        <v>42.61</v>
      </c>
      <c r="T84" s="14" t="n">
        <v>21.28</v>
      </c>
      <c r="U84" s="26">
        <f>IF(X84&gt;='Methodology &amp; Assumptions'!$B$7, "Tier 1 Critical GIDA (Score ≥ 50.0)", IF(X84&gt;='Methodology &amp; Assumptions'!$B$8, "Tier 2 High GIDA (Score 40.0–49.9)", "Tier 3 Moderate GIDA (Score &lt; 40.0)"))</f>
        <v/>
      </c>
      <c r="V84" s="26">
        <f>IF(S84&lt;='Methodology &amp; Assumptions'!$B$10, "Direct Optical Drop (&lt;3km)", IF(S84&lt;='Methodology &amp; Assumptions'!$B$9, "Near Optical / Microwave (&lt;5km)", "Starlink Business LEO Satellite Backhaul (&gt;5km)"))</f>
        <v/>
      </c>
      <c r="W84" s="28" t="n">
        <v>0.109</v>
      </c>
      <c r="X84" s="14" t="n">
        <v>49.24</v>
      </c>
      <c r="Y84" s="14">
        <f>ROUND(MIN(100, (X84/69.91)*100), 2)</f>
        <v/>
      </c>
    </row>
    <row r="85">
      <c r="A85" s="10" t="n">
        <v>3</v>
      </c>
      <c r="B85" s="10" t="n">
        <v>81</v>
      </c>
      <c r="C85" s="10" t="n">
        <v>2081</v>
      </c>
      <c r="D85" s="10" t="inlineStr">
        <is>
          <t>1380614084</t>
        </is>
      </c>
      <c r="E85" s="26" t="inlineStr">
        <is>
          <t>National Capital Region (NCR)</t>
        </is>
      </c>
      <c r="F85" s="26" t="inlineStr">
        <is>
          <t>First District (Not a Province)</t>
        </is>
      </c>
      <c r="G85" s="26" t="inlineStr">
        <is>
          <t>City of Manila</t>
        </is>
      </c>
      <c r="H85" s="26" t="inlineStr">
        <is>
          <t>Barangay 891</t>
        </is>
      </c>
      <c r="I85" s="27" t="n">
        <v>13.133334</v>
      </c>
      <c r="J85" s="27" t="n">
        <v>121.216042</v>
      </c>
      <c r="K85" s="10" t="inlineStr">
        <is>
          <t>U</t>
        </is>
      </c>
      <c r="L85" s="12" t="n">
        <v>783</v>
      </c>
      <c r="M85" s="14" t="n">
        <v>3.9</v>
      </c>
      <c r="N85" s="12">
        <f>ROUND(L85/M85, 0)</f>
        <v/>
      </c>
      <c r="O85" s="12">
        <f>ROUND(N85*'Methodology &amp; Assumptions'!$B$5, 0)</f>
        <v/>
      </c>
      <c r="P85" s="10" t="inlineStr">
        <is>
          <t>Single Carrier (Band n50, 100MHz TDD)</t>
        </is>
      </c>
      <c r="Q85" s="13">
        <f>ROUNDUP(O85/'Methodology &amp; Assumptions'!$B$6, 0)</f>
        <v/>
      </c>
      <c r="R85" s="13" t="n">
        <v>1</v>
      </c>
      <c r="S85" s="14" t="n">
        <v>7.89</v>
      </c>
      <c r="T85" s="14" t="n">
        <v>7</v>
      </c>
      <c r="U85" s="26">
        <f>IF(X85&gt;='Methodology &amp; Assumptions'!$B$7, "Tier 1 Critical GIDA (Score ≥ 50.0)", IF(X85&gt;='Methodology &amp; Assumptions'!$B$8, "Tier 2 High GIDA (Score 40.0–49.9)", "Tier 3 Moderate GIDA (Score &lt; 40.0)"))</f>
        <v/>
      </c>
      <c r="V85" s="26">
        <f>IF(S85&lt;='Methodology &amp; Assumptions'!$B$10, "Direct Optical Drop (&lt;3km)", IF(S85&lt;='Methodology &amp; Assumptions'!$B$9, "Near Optical / Microwave (&lt;5km)", "Starlink Business LEO Satellite Backhaul (&gt;5km)"))</f>
        <v/>
      </c>
      <c r="W85" s="28" t="n">
        <v>0.109</v>
      </c>
      <c r="X85" s="14" t="n">
        <v>49.24</v>
      </c>
      <c r="Y85" s="14">
        <f>ROUND(MIN(100, (X85/69.91)*100), 2)</f>
        <v/>
      </c>
    </row>
    <row r="86">
      <c r="A86" s="10" t="n">
        <v>3</v>
      </c>
      <c r="B86" s="10" t="n">
        <v>82</v>
      </c>
      <c r="C86" s="10" t="n">
        <v>2082</v>
      </c>
      <c r="D86" s="10" t="inlineStr">
        <is>
          <t>1380614072</t>
        </is>
      </c>
      <c r="E86" s="26" t="inlineStr">
        <is>
          <t>National Capital Region (NCR)</t>
        </is>
      </c>
      <c r="F86" s="26" t="inlineStr">
        <is>
          <t>First District (Not a Province)</t>
        </is>
      </c>
      <c r="G86" s="26" t="inlineStr">
        <is>
          <t>City of Manila</t>
        </is>
      </c>
      <c r="H86" s="26" t="inlineStr">
        <is>
          <t>Barangay 879</t>
        </is>
      </c>
      <c r="I86" s="27" t="n">
        <v>13.060574</v>
      </c>
      <c r="J86" s="27" t="n">
        <v>122.362465</v>
      </c>
      <c r="K86" s="10" t="inlineStr">
        <is>
          <t>U</t>
        </is>
      </c>
      <c r="L86" s="12" t="n">
        <v>554</v>
      </c>
      <c r="M86" s="14" t="n">
        <v>3.9</v>
      </c>
      <c r="N86" s="12">
        <f>ROUND(L86/M86, 0)</f>
        <v/>
      </c>
      <c r="O86" s="12">
        <f>ROUND(N86*'Methodology &amp; Assumptions'!$B$5, 0)</f>
        <v/>
      </c>
      <c r="P86" s="10" t="inlineStr">
        <is>
          <t>Single Carrier (Band n50, 100MHz TDD)</t>
        </is>
      </c>
      <c r="Q86" s="13">
        <f>ROUNDUP(O86/'Methodology &amp; Assumptions'!$B$6, 0)</f>
        <v/>
      </c>
      <c r="R86" s="13" t="n">
        <v>1</v>
      </c>
      <c r="S86" s="14" t="n">
        <v>35.98</v>
      </c>
      <c r="T86" s="14" t="n">
        <v>51.92</v>
      </c>
      <c r="U86" s="26">
        <f>IF(X86&gt;='Methodology &amp; Assumptions'!$B$7, "Tier 1 Critical GIDA (Score ≥ 50.0)", IF(X86&gt;='Methodology &amp; Assumptions'!$B$8, "Tier 2 High GIDA (Score 40.0–49.9)", "Tier 3 Moderate GIDA (Score &lt; 40.0)"))</f>
        <v/>
      </c>
      <c r="V86" s="26">
        <f>IF(S86&lt;='Methodology &amp; Assumptions'!$B$10, "Direct Optical Drop (&lt;3km)", IF(S86&lt;='Methodology &amp; Assumptions'!$B$9, "Near Optical / Microwave (&lt;5km)", "Starlink Business LEO Satellite Backhaul (&gt;5km)"))</f>
        <v/>
      </c>
      <c r="W86" s="28" t="n">
        <v>0.109</v>
      </c>
      <c r="X86" s="14" t="n">
        <v>49.23</v>
      </c>
      <c r="Y86" s="14">
        <f>ROUND(MIN(100, (X86/69.91)*100), 2)</f>
        <v/>
      </c>
    </row>
    <row r="87">
      <c r="A87" s="10" t="n">
        <v>3</v>
      </c>
      <c r="B87" s="10" t="n">
        <v>83</v>
      </c>
      <c r="C87" s="10" t="n">
        <v>2083</v>
      </c>
      <c r="D87" s="10" t="inlineStr">
        <is>
          <t>PH0002083</t>
        </is>
      </c>
      <c r="E87" s="26" t="inlineStr">
        <is>
          <t>VI</t>
        </is>
      </c>
      <c r="F87" s="26" t="inlineStr">
        <is>
          <t>Iloilo</t>
        </is>
      </c>
      <c r="G87" s="26" t="inlineStr">
        <is>
          <t>Iloilo City</t>
        </is>
      </c>
      <c r="H87" s="26" t="inlineStr">
        <is>
          <t>Mansaya-Lapuz</t>
        </is>
      </c>
      <c r="I87" s="27" t="n">
        <v>10.596898</v>
      </c>
      <c r="J87" s="27" t="n">
        <v>122.575361</v>
      </c>
      <c r="K87" s="10" t="inlineStr">
        <is>
          <t>R</t>
        </is>
      </c>
      <c r="L87" s="12" t="n">
        <v>2230</v>
      </c>
      <c r="M87" s="14" t="n">
        <v>3.8</v>
      </c>
      <c r="N87" s="12">
        <f>ROUND(L87/M87, 0)</f>
        <v/>
      </c>
      <c r="O87" s="12">
        <f>ROUND(N87*'Methodology &amp; Assumptions'!$B$5, 0)</f>
        <v/>
      </c>
      <c r="P87" s="10" t="inlineStr">
        <is>
          <t>Single Carrier (Band n50, 100MHz TDD)</t>
        </is>
      </c>
      <c r="Q87" s="13">
        <f>ROUNDUP(O87/'Methodology &amp; Assumptions'!$B$6, 0)</f>
        <v/>
      </c>
      <c r="R87" s="13" t="n">
        <v>1</v>
      </c>
      <c r="S87" s="14" t="n">
        <v>11.02</v>
      </c>
      <c r="T87" s="14" t="n">
        <v>11.67</v>
      </c>
      <c r="U87" s="26">
        <f>IF(X87&gt;='Methodology &amp; Assumptions'!$B$7, "Tier 1 Critical GIDA (Score ≥ 50.0)", IF(X87&gt;='Methodology &amp; Assumptions'!$B$8, "Tier 2 High GIDA (Score 40.0–49.9)", "Tier 3 Moderate GIDA (Score &lt; 40.0)"))</f>
        <v/>
      </c>
      <c r="V87" s="26">
        <f>IF(S87&lt;='Methodology &amp; Assumptions'!$B$10, "Direct Optical Drop (&lt;3km)", IF(S87&lt;='Methodology &amp; Assumptions'!$B$9, "Near Optical / Microwave (&lt;5km)", "Starlink Business LEO Satellite Backhaul (&gt;5km)"))</f>
        <v/>
      </c>
      <c r="W87" s="28" t="n">
        <v>0.156</v>
      </c>
      <c r="X87" s="14" t="n">
        <v>49.23</v>
      </c>
      <c r="Y87" s="14">
        <f>ROUND(MIN(100, (X87/69.91)*100), 2)</f>
        <v/>
      </c>
    </row>
    <row r="88">
      <c r="A88" s="10" t="n">
        <v>3</v>
      </c>
      <c r="B88" s="10" t="n">
        <v>84</v>
      </c>
      <c r="C88" s="10" t="n">
        <v>2084</v>
      </c>
      <c r="D88" s="10" t="inlineStr">
        <is>
          <t>1380605042</t>
        </is>
      </c>
      <c r="E88" s="26" t="inlineStr">
        <is>
          <t>National Capital Region (NCR)</t>
        </is>
      </c>
      <c r="F88" s="26" t="inlineStr">
        <is>
          <t>First District (Not a Province)</t>
        </is>
      </c>
      <c r="G88" s="26" t="inlineStr">
        <is>
          <t>City of Manila</t>
        </is>
      </c>
      <c r="H88" s="26" t="inlineStr">
        <is>
          <t>Barangay 340</t>
        </is>
      </c>
      <c r="I88" s="27" t="n">
        <v>12.357618</v>
      </c>
      <c r="J88" s="27" t="n">
        <v>121.464796</v>
      </c>
      <c r="K88" s="10" t="inlineStr">
        <is>
          <t>U</t>
        </is>
      </c>
      <c r="L88" s="12" t="n">
        <v>2070</v>
      </c>
      <c r="M88" s="14" t="n">
        <v>3.9</v>
      </c>
      <c r="N88" s="12">
        <f>ROUND(L88/M88, 0)</f>
        <v/>
      </c>
      <c r="O88" s="12">
        <f>ROUND(N88*'Methodology &amp; Assumptions'!$B$5, 0)</f>
        <v/>
      </c>
      <c r="P88" s="10" t="inlineStr">
        <is>
          <t>Single Carrier (Band n50, 100MHz TDD)</t>
        </is>
      </c>
      <c r="Q88" s="13">
        <f>ROUNDUP(O88/'Methodology &amp; Assumptions'!$B$6, 0)</f>
        <v/>
      </c>
      <c r="R88" s="13" t="n">
        <v>1</v>
      </c>
      <c r="S88" s="14" t="n">
        <v>13.59</v>
      </c>
      <c r="T88" s="14" t="n">
        <v>7.94</v>
      </c>
      <c r="U88" s="26">
        <f>IF(X88&gt;='Methodology &amp; Assumptions'!$B$7, "Tier 1 Critical GIDA (Score ≥ 50.0)", IF(X88&gt;='Methodology &amp; Assumptions'!$B$8, "Tier 2 High GIDA (Score 40.0–49.9)", "Tier 3 Moderate GIDA (Score &lt; 40.0)"))</f>
        <v/>
      </c>
      <c r="V88" s="26">
        <f>IF(S88&lt;='Methodology &amp; Assumptions'!$B$10, "Direct Optical Drop (&lt;3km)", IF(S88&lt;='Methodology &amp; Assumptions'!$B$9, "Near Optical / Microwave (&lt;5km)", "Starlink Business LEO Satellite Backhaul (&gt;5km)"))</f>
        <v/>
      </c>
      <c r="W88" s="28" t="n">
        <v>0.109</v>
      </c>
      <c r="X88" s="14" t="n">
        <v>49.23</v>
      </c>
      <c r="Y88" s="14">
        <f>ROUND(MIN(100, (X88/69.91)*100), 2)</f>
        <v/>
      </c>
    </row>
    <row r="89">
      <c r="A89" s="10" t="n">
        <v>3</v>
      </c>
      <c r="B89" s="10" t="n">
        <v>85</v>
      </c>
      <c r="C89" s="10" t="n">
        <v>2085</v>
      </c>
      <c r="D89" s="10" t="inlineStr">
        <is>
          <t>1380603012</t>
        </is>
      </c>
      <c r="E89" s="26" t="inlineStr">
        <is>
          <t>National Capital Region (NCR)</t>
        </is>
      </c>
      <c r="F89" s="26" t="inlineStr">
        <is>
          <t>First District (Not a Province)</t>
        </is>
      </c>
      <c r="G89" s="26" t="inlineStr">
        <is>
          <t>City of Manila</t>
        </is>
      </c>
      <c r="H89" s="26" t="inlineStr">
        <is>
          <t>Barangay 392</t>
        </is>
      </c>
      <c r="I89" s="27" t="n">
        <v>13.469576</v>
      </c>
      <c r="J89" s="27" t="n">
        <v>121.639852</v>
      </c>
      <c r="K89" s="10" t="inlineStr">
        <is>
          <t>U</t>
        </is>
      </c>
      <c r="L89" s="12" t="n">
        <v>716</v>
      </c>
      <c r="M89" s="14" t="n">
        <v>3.9</v>
      </c>
      <c r="N89" s="12">
        <f>ROUND(L89/M89, 0)</f>
        <v/>
      </c>
      <c r="O89" s="12">
        <f>ROUND(N89*'Methodology &amp; Assumptions'!$B$5, 0)</f>
        <v/>
      </c>
      <c r="P89" s="10" t="inlineStr">
        <is>
          <t>Single Carrier (Band n50, 100MHz TDD)</t>
        </is>
      </c>
      <c r="Q89" s="13">
        <f>ROUNDUP(O89/'Methodology &amp; Assumptions'!$B$6, 0)</f>
        <v/>
      </c>
      <c r="R89" s="13" t="n">
        <v>1</v>
      </c>
      <c r="S89" s="14" t="n">
        <v>33.68</v>
      </c>
      <c r="T89" s="14" t="n">
        <v>41.76</v>
      </c>
      <c r="U89" s="26">
        <f>IF(X89&gt;='Methodology &amp; Assumptions'!$B$7, "Tier 1 Critical GIDA (Score ≥ 50.0)", IF(X89&gt;='Methodology &amp; Assumptions'!$B$8, "Tier 2 High GIDA (Score 40.0–49.9)", "Tier 3 Moderate GIDA (Score &lt; 40.0)"))</f>
        <v/>
      </c>
      <c r="V89" s="26">
        <f>IF(S89&lt;='Methodology &amp; Assumptions'!$B$10, "Direct Optical Drop (&lt;3km)", IF(S89&lt;='Methodology &amp; Assumptions'!$B$9, "Near Optical / Microwave (&lt;5km)", "Starlink Business LEO Satellite Backhaul (&gt;5km)"))</f>
        <v/>
      </c>
      <c r="W89" s="28" t="n">
        <v>0.109</v>
      </c>
      <c r="X89" s="14" t="n">
        <v>49.23</v>
      </c>
      <c r="Y89" s="14">
        <f>ROUND(MIN(100, (X89/69.91)*100), 2)</f>
        <v/>
      </c>
    </row>
    <row r="90">
      <c r="A90" s="10" t="n">
        <v>3</v>
      </c>
      <c r="B90" s="10" t="n">
        <v>86</v>
      </c>
      <c r="C90" s="10" t="n">
        <v>2086</v>
      </c>
      <c r="D90" s="10" t="inlineStr">
        <is>
          <t>PH0002086</t>
        </is>
      </c>
      <c r="E90" s="26" t="inlineStr">
        <is>
          <t>NCR</t>
        </is>
      </c>
      <c r="F90" s="26" t="inlineStr">
        <is>
          <t>Metro Manila</t>
        </is>
      </c>
      <c r="G90" s="26" t="inlineStr">
        <is>
          <t>Caloocan City</t>
        </is>
      </c>
      <c r="H90" s="26" t="inlineStr">
        <is>
          <t>Barangay 77</t>
        </is>
      </c>
      <c r="I90" s="27" t="n">
        <v>11.712418</v>
      </c>
      <c r="J90" s="27" t="n">
        <v>122.465324</v>
      </c>
      <c r="K90" s="10" t="inlineStr">
        <is>
          <t>R</t>
        </is>
      </c>
      <c r="L90" s="12" t="n">
        <v>2279</v>
      </c>
      <c r="M90" s="14" t="n">
        <v>3.8</v>
      </c>
      <c r="N90" s="12">
        <f>ROUND(L90/M90, 0)</f>
        <v/>
      </c>
      <c r="O90" s="12">
        <f>ROUND(N90*'Methodology &amp; Assumptions'!$B$5, 0)</f>
        <v/>
      </c>
      <c r="P90" s="10" t="inlineStr">
        <is>
          <t>Single Carrier (Band n50, 100MHz TDD)</t>
        </is>
      </c>
      <c r="Q90" s="13">
        <f>ROUNDUP(O90/'Methodology &amp; Assumptions'!$B$6, 0)</f>
        <v/>
      </c>
      <c r="R90" s="13" t="n">
        <v>1</v>
      </c>
      <c r="S90" s="14" t="n">
        <v>7.91</v>
      </c>
      <c r="T90" s="14" t="n">
        <v>10.69</v>
      </c>
      <c r="U90" s="26">
        <f>IF(X90&gt;='Methodology &amp; Assumptions'!$B$7, "Tier 1 Critical GIDA (Score ≥ 50.0)", IF(X90&gt;='Methodology &amp; Assumptions'!$B$8, "Tier 2 High GIDA (Score 40.0–49.9)", "Tier 3 Moderate GIDA (Score &lt; 40.0)"))</f>
        <v/>
      </c>
      <c r="V90" s="26">
        <f>IF(S90&lt;='Methodology &amp; Assumptions'!$B$10, "Direct Optical Drop (&lt;3km)", IF(S90&lt;='Methodology &amp; Assumptions'!$B$9, "Near Optical / Microwave (&lt;5km)", "Starlink Business LEO Satellite Backhaul (&gt;5km)"))</f>
        <v/>
      </c>
      <c r="W90" s="28" t="n">
        <v>0.011</v>
      </c>
      <c r="X90" s="14" t="n">
        <v>49.22</v>
      </c>
      <c r="Y90" s="14">
        <f>ROUND(MIN(100, (X90/69.91)*100), 2)</f>
        <v/>
      </c>
    </row>
    <row r="91">
      <c r="A91" s="10" t="n">
        <v>3</v>
      </c>
      <c r="B91" s="10" t="n">
        <v>87</v>
      </c>
      <c r="C91" s="10" t="n">
        <v>2087</v>
      </c>
      <c r="D91" s="10" t="inlineStr">
        <is>
          <t>1380603016</t>
        </is>
      </c>
      <c r="E91" s="26" t="inlineStr">
        <is>
          <t>National Capital Region (NCR)</t>
        </is>
      </c>
      <c r="F91" s="26" t="inlineStr">
        <is>
          <t>First District (Not a Province)</t>
        </is>
      </c>
      <c r="G91" s="26" t="inlineStr">
        <is>
          <t>City of Manila</t>
        </is>
      </c>
      <c r="H91" s="26" t="inlineStr">
        <is>
          <t>Barangay 307</t>
        </is>
      </c>
      <c r="I91" s="27" t="n">
        <v>12.532372</v>
      </c>
      <c r="J91" s="27" t="n">
        <v>122.282838</v>
      </c>
      <c r="K91" s="10" t="inlineStr">
        <is>
          <t>U</t>
        </is>
      </c>
      <c r="L91" s="12" t="n">
        <v>1420</v>
      </c>
      <c r="M91" s="14" t="n">
        <v>3.9</v>
      </c>
      <c r="N91" s="12">
        <f>ROUND(L91/M91, 0)</f>
        <v/>
      </c>
      <c r="O91" s="12">
        <f>ROUND(N91*'Methodology &amp; Assumptions'!$B$5, 0)</f>
        <v/>
      </c>
      <c r="P91" s="10" t="inlineStr">
        <is>
          <t>Single Carrier (Band n50, 100MHz TDD)</t>
        </is>
      </c>
      <c r="Q91" s="13">
        <f>ROUNDUP(O91/'Methodology &amp; Assumptions'!$B$6, 0)</f>
        <v/>
      </c>
      <c r="R91" s="13" t="n">
        <v>1</v>
      </c>
      <c r="S91" s="14" t="n">
        <v>74.56</v>
      </c>
      <c r="T91" s="14" t="n">
        <v>56.29</v>
      </c>
      <c r="U91" s="26">
        <f>IF(X91&gt;='Methodology &amp; Assumptions'!$B$7, "Tier 1 Critical GIDA (Score ≥ 50.0)", IF(X91&gt;='Methodology &amp; Assumptions'!$B$8, "Tier 2 High GIDA (Score 40.0–49.9)", "Tier 3 Moderate GIDA (Score &lt; 40.0)"))</f>
        <v/>
      </c>
      <c r="V91" s="26">
        <f>IF(S91&lt;='Methodology &amp; Assumptions'!$B$10, "Direct Optical Drop (&lt;3km)", IF(S91&lt;='Methodology &amp; Assumptions'!$B$9, "Near Optical / Microwave (&lt;5km)", "Starlink Business LEO Satellite Backhaul (&gt;5km)"))</f>
        <v/>
      </c>
      <c r="W91" s="28" t="n">
        <v>0.109</v>
      </c>
      <c r="X91" s="14" t="n">
        <v>49.22</v>
      </c>
      <c r="Y91" s="14">
        <f>ROUND(MIN(100, (X91/69.91)*100), 2)</f>
        <v/>
      </c>
    </row>
    <row r="92">
      <c r="A92" s="10" t="n">
        <v>3</v>
      </c>
      <c r="B92" s="10" t="n">
        <v>88</v>
      </c>
      <c r="C92" s="10" t="n">
        <v>2088</v>
      </c>
      <c r="D92" s="10" t="inlineStr">
        <is>
          <t>1380605027</t>
        </is>
      </c>
      <c r="E92" s="26" t="inlineStr">
        <is>
          <t>National Capital Region (NCR)</t>
        </is>
      </c>
      <c r="F92" s="26" t="inlineStr">
        <is>
          <t>First District (Not a Province)</t>
        </is>
      </c>
      <c r="G92" s="26" t="inlineStr">
        <is>
          <t>City of Manila</t>
        </is>
      </c>
      <c r="H92" s="26" t="inlineStr">
        <is>
          <t>Barangay 325</t>
        </is>
      </c>
      <c r="I92" s="27" t="n">
        <v>12.800484</v>
      </c>
      <c r="J92" s="27" t="n">
        <v>121.156765</v>
      </c>
      <c r="K92" s="10" t="inlineStr">
        <is>
          <t>U</t>
        </is>
      </c>
      <c r="L92" s="12" t="n">
        <v>538</v>
      </c>
      <c r="M92" s="14" t="n">
        <v>3.9</v>
      </c>
      <c r="N92" s="12">
        <f>ROUND(L92/M92, 0)</f>
        <v/>
      </c>
      <c r="O92" s="12">
        <f>ROUND(N92*'Methodology &amp; Assumptions'!$B$5, 0)</f>
        <v/>
      </c>
      <c r="P92" s="10" t="inlineStr">
        <is>
          <t>Single Carrier (Band n50, 100MHz TDD)</t>
        </is>
      </c>
      <c r="Q92" s="13">
        <f>ROUNDUP(O92/'Methodology &amp; Assumptions'!$B$6, 0)</f>
        <v/>
      </c>
      <c r="R92" s="13" t="n">
        <v>1</v>
      </c>
      <c r="S92" s="14" t="n">
        <v>33.11</v>
      </c>
      <c r="T92" s="14" t="n">
        <v>32.83</v>
      </c>
      <c r="U92" s="26">
        <f>IF(X92&gt;='Methodology &amp; Assumptions'!$B$7, "Tier 1 Critical GIDA (Score ≥ 50.0)", IF(X92&gt;='Methodology &amp; Assumptions'!$B$8, "Tier 2 High GIDA (Score 40.0–49.9)", "Tier 3 Moderate GIDA (Score &lt; 40.0)"))</f>
        <v/>
      </c>
      <c r="V92" s="26">
        <f>IF(S92&lt;='Methodology &amp; Assumptions'!$B$10, "Direct Optical Drop (&lt;3km)", IF(S92&lt;='Methodology &amp; Assumptions'!$B$9, "Near Optical / Microwave (&lt;5km)", "Starlink Business LEO Satellite Backhaul (&gt;5km)"))</f>
        <v/>
      </c>
      <c r="W92" s="28" t="n">
        <v>0.109</v>
      </c>
      <c r="X92" s="14" t="n">
        <v>49.22</v>
      </c>
      <c r="Y92" s="14">
        <f>ROUND(MIN(100, (X92/69.91)*100), 2)</f>
        <v/>
      </c>
    </row>
    <row r="93">
      <c r="A93" s="10" t="n">
        <v>3</v>
      </c>
      <c r="B93" s="10" t="n">
        <v>89</v>
      </c>
      <c r="C93" s="10" t="n">
        <v>2089</v>
      </c>
      <c r="D93" s="10" t="inlineStr">
        <is>
          <t>PH0002089</t>
        </is>
      </c>
      <c r="E93" s="26" t="inlineStr">
        <is>
          <t>IV-A</t>
        </is>
      </c>
      <c r="F93" s="26" t="inlineStr">
        <is>
          <t>Cavite</t>
        </is>
      </c>
      <c r="G93" s="26" t="inlineStr">
        <is>
          <t>Imus City</t>
        </is>
      </c>
      <c r="H93" s="26" t="inlineStr">
        <is>
          <t>Tanzang Luma I</t>
        </is>
      </c>
      <c r="I93" s="27" t="n">
        <v>14.286783</v>
      </c>
      <c r="J93" s="27" t="n">
        <v>120.912726</v>
      </c>
      <c r="K93" s="10" t="inlineStr">
        <is>
          <t>R</t>
        </is>
      </c>
      <c r="L93" s="12" t="n">
        <v>2316</v>
      </c>
      <c r="M93" s="14" t="n">
        <v>3.4</v>
      </c>
      <c r="N93" s="12">
        <f>ROUND(L93/M93, 0)</f>
        <v/>
      </c>
      <c r="O93" s="12">
        <f>ROUND(N93*'Methodology &amp; Assumptions'!$B$5, 0)</f>
        <v/>
      </c>
      <c r="P93" s="10" t="inlineStr">
        <is>
          <t>Single Carrier (Band n50, 100MHz TDD)</t>
        </is>
      </c>
      <c r="Q93" s="13">
        <f>ROUNDUP(O93/'Methodology &amp; Assumptions'!$B$6, 0)</f>
        <v/>
      </c>
      <c r="R93" s="13" t="n">
        <v>1</v>
      </c>
      <c r="S93" s="14" t="n">
        <v>0.87</v>
      </c>
      <c r="T93" s="14" t="n">
        <v>0.6</v>
      </c>
      <c r="U93" s="26">
        <f>IF(X93&gt;='Methodology &amp; Assumptions'!$B$7, "Tier 1 Critical GIDA (Score ≥ 50.0)", IF(X93&gt;='Methodology &amp; Assumptions'!$B$8, "Tier 2 High GIDA (Score 40.0–49.9)", "Tier 3 Moderate GIDA (Score &lt; 40.0)"))</f>
        <v/>
      </c>
      <c r="V93" s="26">
        <f>IF(S93&lt;='Methodology &amp; Assumptions'!$B$10, "Direct Optical Drop (&lt;3km)", IF(S93&lt;='Methodology &amp; Assumptions'!$B$9, "Near Optical / Microwave (&lt;5km)", "Starlink Business LEO Satellite Backhaul (&gt;5km)"))</f>
        <v/>
      </c>
      <c r="W93" s="28" t="n">
        <v>0.07200000000000001</v>
      </c>
      <c r="X93" s="14" t="n">
        <v>49.22</v>
      </c>
      <c r="Y93" s="14">
        <f>ROUND(MIN(100, (X93/69.91)*100), 2)</f>
        <v/>
      </c>
    </row>
    <row r="94">
      <c r="A94" s="10" t="n">
        <v>3</v>
      </c>
      <c r="B94" s="10" t="n">
        <v>90</v>
      </c>
      <c r="C94" s="10" t="n">
        <v>2090</v>
      </c>
      <c r="D94" s="10" t="inlineStr">
        <is>
          <t>1380606002</t>
        </is>
      </c>
      <c r="E94" s="26" t="inlineStr">
        <is>
          <t>National Capital Region (NCR)</t>
        </is>
      </c>
      <c r="F94" s="26" t="inlineStr">
        <is>
          <t>First District (Not a Province)</t>
        </is>
      </c>
      <c r="G94" s="26" t="inlineStr">
        <is>
          <t>City of Manila</t>
        </is>
      </c>
      <c r="H94" s="26" t="inlineStr">
        <is>
          <t>Barangay 396</t>
        </is>
      </c>
      <c r="I94" s="27" t="n">
        <v>13.345644</v>
      </c>
      <c r="J94" s="27" t="n">
        <v>122.175065</v>
      </c>
      <c r="K94" s="10" t="inlineStr">
        <is>
          <t>U</t>
        </is>
      </c>
      <c r="L94" s="12" t="n">
        <v>1717</v>
      </c>
      <c r="M94" s="14" t="n">
        <v>3.9</v>
      </c>
      <c r="N94" s="12">
        <f>ROUND(L94/M94, 0)</f>
        <v/>
      </c>
      <c r="O94" s="12">
        <f>ROUND(N94*'Methodology &amp; Assumptions'!$B$5, 0)</f>
        <v/>
      </c>
      <c r="P94" s="10" t="inlineStr">
        <is>
          <t>Single Carrier (Band n50, 100MHz TDD)</t>
        </is>
      </c>
      <c r="Q94" s="13">
        <f>ROUNDUP(O94/'Methodology &amp; Assumptions'!$B$6, 0)</f>
        <v/>
      </c>
      <c r="R94" s="13" t="n">
        <v>1</v>
      </c>
      <c r="S94" s="14" t="n">
        <v>31.2</v>
      </c>
      <c r="T94" s="14" t="n">
        <v>30.14</v>
      </c>
      <c r="U94" s="26">
        <f>IF(X94&gt;='Methodology &amp; Assumptions'!$B$7, "Tier 1 Critical GIDA (Score ≥ 50.0)", IF(X94&gt;='Methodology &amp; Assumptions'!$B$8, "Tier 2 High GIDA (Score 40.0–49.9)", "Tier 3 Moderate GIDA (Score &lt; 40.0)"))</f>
        <v/>
      </c>
      <c r="V94" s="26">
        <f>IF(S94&lt;='Methodology &amp; Assumptions'!$B$10, "Direct Optical Drop (&lt;3km)", IF(S94&lt;='Methodology &amp; Assumptions'!$B$9, "Near Optical / Microwave (&lt;5km)", "Starlink Business LEO Satellite Backhaul (&gt;5km)"))</f>
        <v/>
      </c>
      <c r="W94" s="28" t="n">
        <v>0.109</v>
      </c>
      <c r="X94" s="14" t="n">
        <v>49.22</v>
      </c>
      <c r="Y94" s="14">
        <f>ROUND(MIN(100, (X94/69.91)*100), 2)</f>
        <v/>
      </c>
    </row>
    <row r="95">
      <c r="A95" s="10" t="n">
        <v>3</v>
      </c>
      <c r="B95" s="10" t="n">
        <v>91</v>
      </c>
      <c r="C95" s="10" t="n">
        <v>2091</v>
      </c>
      <c r="D95" s="10" t="inlineStr">
        <is>
          <t>1380614094</t>
        </is>
      </c>
      <c r="E95" s="26" t="inlineStr">
        <is>
          <t>National Capital Region (NCR)</t>
        </is>
      </c>
      <c r="F95" s="26" t="inlineStr">
        <is>
          <t>First District (Not a Province)</t>
        </is>
      </c>
      <c r="G95" s="26" t="inlineStr">
        <is>
          <t>City of Manila</t>
        </is>
      </c>
      <c r="H95" s="26" t="inlineStr">
        <is>
          <t>Barangay 901</t>
        </is>
      </c>
      <c r="I95" s="27" t="n">
        <v>12.270683</v>
      </c>
      <c r="J95" s="27" t="n">
        <v>121.801277</v>
      </c>
      <c r="K95" s="10" t="inlineStr">
        <is>
          <t>U</t>
        </is>
      </c>
      <c r="L95" s="12" t="n">
        <v>1659</v>
      </c>
      <c r="M95" s="14" t="n">
        <v>3.9</v>
      </c>
      <c r="N95" s="12">
        <f>ROUND(L95/M95, 0)</f>
        <v/>
      </c>
      <c r="O95" s="12">
        <f>ROUND(N95*'Methodology &amp; Assumptions'!$B$5, 0)</f>
        <v/>
      </c>
      <c r="P95" s="10" t="inlineStr">
        <is>
          <t>Single Carrier (Band n50, 100MHz TDD)</t>
        </is>
      </c>
      <c r="Q95" s="13">
        <f>ROUNDUP(O95/'Methodology &amp; Assumptions'!$B$6, 0)</f>
        <v/>
      </c>
      <c r="R95" s="13" t="n">
        <v>1</v>
      </c>
      <c r="S95" s="14" t="n">
        <v>39.14</v>
      </c>
      <c r="T95" s="14" t="n">
        <v>6.03</v>
      </c>
      <c r="U95" s="26">
        <f>IF(X95&gt;='Methodology &amp; Assumptions'!$B$7, "Tier 1 Critical GIDA (Score ≥ 50.0)", IF(X95&gt;='Methodology &amp; Assumptions'!$B$8, "Tier 2 High GIDA (Score 40.0–49.9)", "Tier 3 Moderate GIDA (Score &lt; 40.0)"))</f>
        <v/>
      </c>
      <c r="V95" s="26">
        <f>IF(S95&lt;='Methodology &amp; Assumptions'!$B$10, "Direct Optical Drop (&lt;3km)", IF(S95&lt;='Methodology &amp; Assumptions'!$B$9, "Near Optical / Microwave (&lt;5km)", "Starlink Business LEO Satellite Backhaul (&gt;5km)"))</f>
        <v/>
      </c>
      <c r="W95" s="28" t="n">
        <v>0.109</v>
      </c>
      <c r="X95" s="14" t="n">
        <v>49.22</v>
      </c>
      <c r="Y95" s="14">
        <f>ROUND(MIN(100, (X95/69.91)*100), 2)</f>
        <v/>
      </c>
    </row>
    <row r="96">
      <c r="A96" s="10" t="n">
        <v>3</v>
      </c>
      <c r="B96" s="10" t="n">
        <v>92</v>
      </c>
      <c r="C96" s="10" t="n">
        <v>2092</v>
      </c>
      <c r="D96" s="10" t="inlineStr">
        <is>
          <t>0200903004</t>
        </is>
      </c>
      <c r="E96" s="26" t="inlineStr">
        <is>
          <t>Region II (Cagayan Valley)</t>
        </is>
      </c>
      <c r="F96" s="26" t="inlineStr">
        <is>
          <t>Batanes</t>
        </is>
      </c>
      <c r="G96" s="26" t="inlineStr">
        <is>
          <t>Ivana</t>
        </is>
      </c>
      <c r="H96" s="26" t="inlineStr">
        <is>
          <t>Tuhel</t>
        </is>
      </c>
      <c r="I96" s="27" t="n">
        <v>20.368461</v>
      </c>
      <c r="J96" s="27" t="n">
        <v>121.920456</v>
      </c>
      <c r="K96" s="10" t="inlineStr">
        <is>
          <t>R</t>
        </is>
      </c>
      <c r="L96" s="12" t="n">
        <v>385</v>
      </c>
      <c r="M96" s="14" t="n">
        <v>3</v>
      </c>
      <c r="N96" s="12">
        <f>ROUND(L96/M96, 0)</f>
        <v/>
      </c>
      <c r="O96" s="12">
        <f>ROUND(N96*'Methodology &amp; Assumptions'!$B$5, 0)</f>
        <v/>
      </c>
      <c r="P96" s="10" t="inlineStr">
        <is>
          <t>Single Carrier (Band n50, 100MHz TDD)</t>
        </is>
      </c>
      <c r="Q96" s="13">
        <f>ROUNDUP(O96/'Methodology &amp; Assumptions'!$B$6, 0)</f>
        <v/>
      </c>
      <c r="R96" s="13" t="n">
        <v>1</v>
      </c>
      <c r="S96" s="14" t="n">
        <v>213.67</v>
      </c>
      <c r="T96" s="14" t="n">
        <v>208.95</v>
      </c>
      <c r="U96" s="26">
        <f>IF(X96&gt;='Methodology &amp; Assumptions'!$B$7, "Tier 1 Critical GIDA (Score ≥ 50.0)", IF(X96&gt;='Methodology &amp; Assumptions'!$B$8, "Tier 2 High GIDA (Score 40.0–49.9)", "Tier 3 Moderate GIDA (Score &lt; 40.0)"))</f>
        <v/>
      </c>
      <c r="V96" s="26">
        <f>IF(S96&lt;='Methodology &amp; Assumptions'!$B$10, "Direct Optical Drop (&lt;3km)", IF(S96&lt;='Methodology &amp; Assumptions'!$B$9, "Near Optical / Microwave (&lt;5km)", "Starlink Business LEO Satellite Backhaul (&gt;5km)"))</f>
        <v/>
      </c>
      <c r="W96" s="28" t="n">
        <v>0.083</v>
      </c>
      <c r="X96" s="14" t="n">
        <v>49.22</v>
      </c>
      <c r="Y96" s="14">
        <f>ROUND(MIN(100, (X96/69.91)*100), 2)</f>
        <v/>
      </c>
    </row>
    <row r="97">
      <c r="A97" s="10" t="n">
        <v>3</v>
      </c>
      <c r="B97" s="10" t="n">
        <v>93</v>
      </c>
      <c r="C97" s="10" t="n">
        <v>2093</v>
      </c>
      <c r="D97" s="10" t="inlineStr">
        <is>
          <t>1380602007</t>
        </is>
      </c>
      <c r="E97" s="26" t="inlineStr">
        <is>
          <t>National Capital Region (NCR)</t>
        </is>
      </c>
      <c r="F97" s="26" t="inlineStr">
        <is>
          <t>First District (Not a Province)</t>
        </is>
      </c>
      <c r="G97" s="26" t="inlineStr">
        <is>
          <t>City of Manila</t>
        </is>
      </c>
      <c r="H97" s="26" t="inlineStr">
        <is>
          <t>Barangay 293</t>
        </is>
      </c>
      <c r="I97" s="27" t="n">
        <v>13.311705</v>
      </c>
      <c r="J97" s="27" t="n">
        <v>121.330846</v>
      </c>
      <c r="K97" s="10" t="inlineStr">
        <is>
          <t>U</t>
        </is>
      </c>
      <c r="L97" s="12" t="n">
        <v>3673</v>
      </c>
      <c r="M97" s="14" t="n">
        <v>3.9</v>
      </c>
      <c r="N97" s="12">
        <f>ROUND(L97/M97, 0)</f>
        <v/>
      </c>
      <c r="O97" s="12">
        <f>ROUND(N97*'Methodology &amp; Assumptions'!$B$5, 0)</f>
        <v/>
      </c>
      <c r="P97" s="10" t="inlineStr">
        <is>
          <t>Single Carrier (Band n50, 100MHz TDD)</t>
        </is>
      </c>
      <c r="Q97" s="13">
        <f>ROUNDUP(O97/'Methodology &amp; Assumptions'!$B$6, 0)</f>
        <v/>
      </c>
      <c r="R97" s="13" t="n">
        <v>1</v>
      </c>
      <c r="S97" s="14" t="n">
        <v>3.31</v>
      </c>
      <c r="T97" s="14" t="n">
        <v>8.75</v>
      </c>
      <c r="U97" s="26">
        <f>IF(X97&gt;='Methodology &amp; Assumptions'!$B$7, "Tier 1 Critical GIDA (Score ≥ 50.0)", IF(X97&gt;='Methodology &amp; Assumptions'!$B$8, "Tier 2 High GIDA (Score 40.0–49.9)", "Tier 3 Moderate GIDA (Score &lt; 40.0)"))</f>
        <v/>
      </c>
      <c r="V97" s="26">
        <f>IF(S97&lt;='Methodology &amp; Assumptions'!$B$10, "Direct Optical Drop (&lt;3km)", IF(S97&lt;='Methodology &amp; Assumptions'!$B$9, "Near Optical / Microwave (&lt;5km)", "Starlink Business LEO Satellite Backhaul (&gt;5km)"))</f>
        <v/>
      </c>
      <c r="W97" s="28" t="n">
        <v>0.109</v>
      </c>
      <c r="X97" s="14" t="n">
        <v>49.22</v>
      </c>
      <c r="Y97" s="14">
        <f>ROUND(MIN(100, (X97/69.91)*100), 2)</f>
        <v/>
      </c>
    </row>
    <row r="98">
      <c r="A98" s="10" t="n">
        <v>3</v>
      </c>
      <c r="B98" s="10" t="n">
        <v>94</v>
      </c>
      <c r="C98" s="10" t="n">
        <v>2094</v>
      </c>
      <c r="D98" s="10" t="inlineStr">
        <is>
          <t>PH0002094</t>
        </is>
      </c>
      <c r="E98" s="26" t="inlineStr">
        <is>
          <t>NCR</t>
        </is>
      </c>
      <c r="F98" s="26" t="inlineStr">
        <is>
          <t>Metro Manila</t>
        </is>
      </c>
      <c r="G98" s="26" t="inlineStr">
        <is>
          <t>Caloocan City</t>
        </is>
      </c>
      <c r="H98" s="26" t="inlineStr">
        <is>
          <t>Barangay 18</t>
        </is>
      </c>
      <c r="I98" s="27" t="n">
        <v>13.285416</v>
      </c>
      <c r="J98" s="27" t="n">
        <v>120.454024</v>
      </c>
      <c r="K98" s="10" t="inlineStr">
        <is>
          <t>R</t>
        </is>
      </c>
      <c r="L98" s="12" t="n">
        <v>2279</v>
      </c>
      <c r="M98" s="14" t="n">
        <v>3.8</v>
      </c>
      <c r="N98" s="12">
        <f>ROUND(L98/M98, 0)</f>
        <v/>
      </c>
      <c r="O98" s="12">
        <f>ROUND(N98*'Methodology &amp; Assumptions'!$B$5, 0)</f>
        <v/>
      </c>
      <c r="P98" s="10" t="inlineStr">
        <is>
          <t>Single Carrier (Band n50, 100MHz TDD)</t>
        </is>
      </c>
      <c r="Q98" s="13">
        <f>ROUNDUP(O98/'Methodology &amp; Assumptions'!$B$6, 0)</f>
        <v/>
      </c>
      <c r="R98" s="13" t="n">
        <v>1</v>
      </c>
      <c r="S98" s="14" t="n">
        <v>54.53</v>
      </c>
      <c r="T98" s="14" t="n">
        <v>52.95</v>
      </c>
      <c r="U98" s="26">
        <f>IF(X98&gt;='Methodology &amp; Assumptions'!$B$7, "Tier 1 Critical GIDA (Score ≥ 50.0)", IF(X98&gt;='Methodology &amp; Assumptions'!$B$8, "Tier 2 High GIDA (Score 40.0–49.9)", "Tier 3 Moderate GIDA (Score &lt; 40.0)"))</f>
        <v/>
      </c>
      <c r="V98" s="26">
        <f>IF(S98&lt;='Methodology &amp; Assumptions'!$B$10, "Direct Optical Drop (&lt;3km)", IF(S98&lt;='Methodology &amp; Assumptions'!$B$9, "Near Optical / Microwave (&lt;5km)", "Starlink Business LEO Satellite Backhaul (&gt;5km)"))</f>
        <v/>
      </c>
      <c r="W98" s="28" t="n">
        <v>0.011</v>
      </c>
      <c r="X98" s="14" t="n">
        <v>49.22</v>
      </c>
      <c r="Y98" s="14">
        <f>ROUND(MIN(100, (X98/69.91)*100), 2)</f>
        <v/>
      </c>
    </row>
    <row r="99">
      <c r="A99" s="10" t="n">
        <v>3</v>
      </c>
      <c r="B99" s="10" t="n">
        <v>95</v>
      </c>
      <c r="C99" s="10" t="n">
        <v>2095</v>
      </c>
      <c r="D99" s="10" t="inlineStr">
        <is>
          <t>1380610008</t>
        </is>
      </c>
      <c r="E99" s="26" t="inlineStr">
        <is>
          <t>National Capital Region (NCR)</t>
        </is>
      </c>
      <c r="F99" s="26" t="inlineStr">
        <is>
          <t>First District (Not a Province)</t>
        </is>
      </c>
      <c r="G99" s="26" t="inlineStr">
        <is>
          <t>City of Manila</t>
        </is>
      </c>
      <c r="H99" s="26" t="inlineStr">
        <is>
          <t>Barangay 693</t>
        </is>
      </c>
      <c r="I99" s="27" t="n">
        <v>12.852992</v>
      </c>
      <c r="J99" s="27" t="n">
        <v>122.401501</v>
      </c>
      <c r="K99" s="10" t="inlineStr">
        <is>
          <t>U</t>
        </is>
      </c>
      <c r="L99" s="12" t="n">
        <v>527</v>
      </c>
      <c r="M99" s="14" t="n">
        <v>3.9</v>
      </c>
      <c r="N99" s="12">
        <f>ROUND(L99/M99, 0)</f>
        <v/>
      </c>
      <c r="O99" s="12">
        <f>ROUND(N99*'Methodology &amp; Assumptions'!$B$5, 0)</f>
        <v/>
      </c>
      <c r="P99" s="10" t="inlineStr">
        <is>
          <t>Single Carrier (Band n50, 100MHz TDD)</t>
        </is>
      </c>
      <c r="Q99" s="13">
        <f>ROUNDUP(O99/'Methodology &amp; Assumptions'!$B$6, 0)</f>
        <v/>
      </c>
      <c r="R99" s="13" t="n">
        <v>1</v>
      </c>
      <c r="S99" s="14" t="n">
        <v>51.53</v>
      </c>
      <c r="T99" s="14" t="n">
        <v>74.84999999999999</v>
      </c>
      <c r="U99" s="26">
        <f>IF(X99&gt;='Methodology &amp; Assumptions'!$B$7, "Tier 1 Critical GIDA (Score ≥ 50.0)", IF(X99&gt;='Methodology &amp; Assumptions'!$B$8, "Tier 2 High GIDA (Score 40.0–49.9)", "Tier 3 Moderate GIDA (Score &lt; 40.0)"))</f>
        <v/>
      </c>
      <c r="V99" s="26">
        <f>IF(S99&lt;='Methodology &amp; Assumptions'!$B$10, "Direct Optical Drop (&lt;3km)", IF(S99&lt;='Methodology &amp; Assumptions'!$B$9, "Near Optical / Microwave (&lt;5km)", "Starlink Business LEO Satellite Backhaul (&gt;5km)"))</f>
        <v/>
      </c>
      <c r="W99" s="28" t="n">
        <v>0.109</v>
      </c>
      <c r="X99" s="14" t="n">
        <v>49.22</v>
      </c>
      <c r="Y99" s="14">
        <f>ROUND(MIN(100, (X99/69.91)*100), 2)</f>
        <v/>
      </c>
    </row>
    <row r="100">
      <c r="A100" s="10" t="n">
        <v>3</v>
      </c>
      <c r="B100" s="10" t="n">
        <v>96</v>
      </c>
      <c r="C100" s="10" t="n">
        <v>2096</v>
      </c>
      <c r="D100" s="10" t="inlineStr">
        <is>
          <t>1380601179</t>
        </is>
      </c>
      <c r="E100" s="26" t="inlineStr">
        <is>
          <t>National Capital Region (NCR)</t>
        </is>
      </c>
      <c r="F100" s="26" t="inlineStr">
        <is>
          <t>First District (Not a Province)</t>
        </is>
      </c>
      <c r="G100" s="26" t="inlineStr">
        <is>
          <t>City of Manila</t>
        </is>
      </c>
      <c r="H100" s="26" t="inlineStr">
        <is>
          <t>Barangay 179</t>
        </is>
      </c>
      <c r="I100" s="27" t="n">
        <v>12.485256</v>
      </c>
      <c r="J100" s="27" t="n">
        <v>121.291788</v>
      </c>
      <c r="K100" s="10" t="inlineStr">
        <is>
          <t>U</t>
        </is>
      </c>
      <c r="L100" s="12" t="n">
        <v>1052</v>
      </c>
      <c r="M100" s="14" t="n">
        <v>3.9</v>
      </c>
      <c r="N100" s="12">
        <f>ROUND(L100/M100, 0)</f>
        <v/>
      </c>
      <c r="O100" s="12">
        <f>ROUND(N100*'Methodology &amp; Assumptions'!$B$5, 0)</f>
        <v/>
      </c>
      <c r="P100" s="10" t="inlineStr">
        <is>
          <t>Single Carrier (Band n50, 100MHz TDD)</t>
        </is>
      </c>
      <c r="Q100" s="13">
        <f>ROUNDUP(O100/'Methodology &amp; Assumptions'!$B$6, 0)</f>
        <v/>
      </c>
      <c r="R100" s="13" t="n">
        <v>1</v>
      </c>
      <c r="S100" s="14" t="n">
        <v>16.47</v>
      </c>
      <c r="T100" s="14" t="n">
        <v>12.98</v>
      </c>
      <c r="U100" s="26">
        <f>IF(X100&gt;='Methodology &amp; Assumptions'!$B$7, "Tier 1 Critical GIDA (Score ≥ 50.0)", IF(X100&gt;='Methodology &amp; Assumptions'!$B$8, "Tier 2 High GIDA (Score 40.0–49.9)", "Tier 3 Moderate GIDA (Score &lt; 40.0)"))</f>
        <v/>
      </c>
      <c r="V100" s="26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W100" s="28" t="n">
        <v>0.109</v>
      </c>
      <c r="X100" s="14" t="n">
        <v>49.22</v>
      </c>
      <c r="Y100" s="14">
        <f>ROUND(MIN(100, (X100/69.91)*100), 2)</f>
        <v/>
      </c>
    </row>
    <row r="101">
      <c r="A101" s="10" t="n">
        <v>3</v>
      </c>
      <c r="B101" s="10" t="n">
        <v>97</v>
      </c>
      <c r="C101" s="10" t="n">
        <v>2097</v>
      </c>
      <c r="D101" s="10" t="inlineStr">
        <is>
          <t>1380601065</t>
        </is>
      </c>
      <c r="E101" s="26" t="inlineStr">
        <is>
          <t>National Capital Region (NCR)</t>
        </is>
      </c>
      <c r="F101" s="26" t="inlineStr">
        <is>
          <t>First District (Not a Province)</t>
        </is>
      </c>
      <c r="G101" s="26" t="inlineStr">
        <is>
          <t>City of Manila</t>
        </is>
      </c>
      <c r="H101" s="26" t="inlineStr">
        <is>
          <t>Barangay 65</t>
        </is>
      </c>
      <c r="I101" s="27" t="n">
        <v>13.489434</v>
      </c>
      <c r="J101" s="27" t="n">
        <v>121.856345</v>
      </c>
      <c r="K101" s="10" t="inlineStr">
        <is>
          <t>U</t>
        </is>
      </c>
      <c r="L101" s="12" t="n">
        <v>1681</v>
      </c>
      <c r="M101" s="14" t="n">
        <v>3.9</v>
      </c>
      <c r="N101" s="12">
        <f>ROUND(L101/M101, 0)</f>
        <v/>
      </c>
      <c r="O101" s="12">
        <f>ROUND(N101*'Methodology &amp; Assumptions'!$B$5, 0)</f>
        <v/>
      </c>
      <c r="P101" s="10" t="inlineStr">
        <is>
          <t>Single Carrier (Band n50, 100MHz TDD)</t>
        </is>
      </c>
      <c r="Q101" s="13">
        <f>ROUNDUP(O101/'Methodology &amp; Assumptions'!$B$6, 0)</f>
        <v/>
      </c>
      <c r="R101" s="13" t="n">
        <v>1</v>
      </c>
      <c r="S101" s="14" t="n">
        <v>41.07</v>
      </c>
      <c r="T101" s="14" t="n">
        <v>40.57</v>
      </c>
      <c r="U101" s="26">
        <f>IF(X101&gt;='Methodology &amp; Assumptions'!$B$7, "Tier 1 Critical GIDA (Score ≥ 50.0)", IF(X101&gt;='Methodology &amp; Assumptions'!$B$8, "Tier 2 High GIDA (Score 40.0–49.9)", "Tier 3 Moderate GIDA (Score &lt; 40.0)"))</f>
        <v/>
      </c>
      <c r="V101" s="26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W101" s="28" t="n">
        <v>0.109</v>
      </c>
      <c r="X101" s="14" t="n">
        <v>49.22</v>
      </c>
      <c r="Y101" s="14">
        <f>ROUND(MIN(100, (X101/69.91)*100), 2)</f>
        <v/>
      </c>
    </row>
    <row r="102">
      <c r="A102" s="10" t="n">
        <v>3</v>
      </c>
      <c r="B102" s="10" t="n">
        <v>98</v>
      </c>
      <c r="C102" s="10" t="n">
        <v>2098</v>
      </c>
      <c r="D102" s="10" t="inlineStr">
        <is>
          <t>1380603011</t>
        </is>
      </c>
      <c r="E102" s="26" t="inlineStr">
        <is>
          <t>National Capital Region (NCR)</t>
        </is>
      </c>
      <c r="F102" s="26" t="inlineStr">
        <is>
          <t>First District (Not a Province)</t>
        </is>
      </c>
      <c r="G102" s="26" t="inlineStr">
        <is>
          <t>City of Manila</t>
        </is>
      </c>
      <c r="H102" s="26" t="inlineStr">
        <is>
          <t>Barangay 391</t>
        </is>
      </c>
      <c r="I102" s="27" t="n">
        <v>12.374819</v>
      </c>
      <c r="J102" s="27" t="n">
        <v>122.136645</v>
      </c>
      <c r="K102" s="10" t="inlineStr">
        <is>
          <t>U</t>
        </is>
      </c>
      <c r="L102" s="12" t="n">
        <v>2636</v>
      </c>
      <c r="M102" s="14" t="n">
        <v>3.9</v>
      </c>
      <c r="N102" s="12">
        <f>ROUND(L102/M102, 0)</f>
        <v/>
      </c>
      <c r="O102" s="12">
        <f>ROUND(N102*'Methodology &amp; Assumptions'!$B$5, 0)</f>
        <v/>
      </c>
      <c r="P102" s="10" t="inlineStr">
        <is>
          <t>Single Carrier (Band n50, 100MHz TDD)</t>
        </is>
      </c>
      <c r="Q102" s="13">
        <f>ROUNDUP(O102/'Methodology &amp; Assumptions'!$B$6, 0)</f>
        <v/>
      </c>
      <c r="R102" s="13" t="n">
        <v>1</v>
      </c>
      <c r="S102" s="14" t="n">
        <v>51.76</v>
      </c>
      <c r="T102" s="14" t="n">
        <v>32.76</v>
      </c>
      <c r="U102" s="26">
        <f>IF(X102&gt;='Methodology &amp; Assumptions'!$B$7, "Tier 1 Critical GIDA (Score ≥ 50.0)", IF(X102&gt;='Methodology &amp; Assumptions'!$B$8, "Tier 2 High GIDA (Score 40.0–49.9)", "Tier 3 Moderate GIDA (Score &lt; 40.0)"))</f>
        <v/>
      </c>
      <c r="V102" s="26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W102" s="28" t="n">
        <v>0.109</v>
      </c>
      <c r="X102" s="14" t="n">
        <v>49.22</v>
      </c>
      <c r="Y102" s="14">
        <f>ROUND(MIN(100, (X102/69.91)*100), 2)</f>
        <v/>
      </c>
    </row>
    <row r="103">
      <c r="A103" s="10" t="n">
        <v>3</v>
      </c>
      <c r="B103" s="10" t="n">
        <v>99</v>
      </c>
      <c r="C103" s="10" t="n">
        <v>2099</v>
      </c>
      <c r="D103" s="10" t="inlineStr">
        <is>
          <t>1380610059</t>
        </is>
      </c>
      <c r="E103" s="26" t="inlineStr">
        <is>
          <t>National Capital Region (NCR)</t>
        </is>
      </c>
      <c r="F103" s="26" t="inlineStr">
        <is>
          <t>First District (Not a Province)</t>
        </is>
      </c>
      <c r="G103" s="26" t="inlineStr">
        <is>
          <t>City of Manila</t>
        </is>
      </c>
      <c r="H103" s="26" t="inlineStr">
        <is>
          <t>Barangay 688</t>
        </is>
      </c>
      <c r="I103" s="27" t="n">
        <v>13.013394</v>
      </c>
      <c r="J103" s="27" t="n">
        <v>121.155383</v>
      </c>
      <c r="K103" s="10" t="inlineStr">
        <is>
          <t>U</t>
        </is>
      </c>
      <c r="L103" s="12" t="n">
        <v>1249</v>
      </c>
      <c r="M103" s="14" t="n">
        <v>3.9</v>
      </c>
      <c r="N103" s="12">
        <f>ROUND(L103/M103, 0)</f>
        <v/>
      </c>
      <c r="O103" s="12">
        <f>ROUND(N103*'Methodology &amp; Assumptions'!$B$5, 0)</f>
        <v/>
      </c>
      <c r="P103" s="10" t="inlineStr">
        <is>
          <t>Single Carrier (Band n50, 100MHz TDD)</t>
        </is>
      </c>
      <c r="Q103" s="13">
        <f>ROUNDUP(O103/'Methodology &amp; Assumptions'!$B$6, 0)</f>
        <v/>
      </c>
      <c r="R103" s="13" t="n">
        <v>1</v>
      </c>
      <c r="S103" s="14" t="n">
        <v>21.81</v>
      </c>
      <c r="T103" s="14" t="n">
        <v>19.11</v>
      </c>
      <c r="U103" s="26">
        <f>IF(X103&gt;='Methodology &amp; Assumptions'!$B$7, "Tier 1 Critical GIDA (Score ≥ 50.0)", IF(X103&gt;='Methodology &amp; Assumptions'!$B$8, "Tier 2 High GIDA (Score 40.0–49.9)", "Tier 3 Moderate GIDA (Score &lt; 40.0)"))</f>
        <v/>
      </c>
      <c r="V103" s="26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W103" s="28" t="n">
        <v>0.109</v>
      </c>
      <c r="X103" s="14" t="n">
        <v>49.22</v>
      </c>
      <c r="Y103" s="14">
        <f>ROUND(MIN(100, (X103/69.91)*100), 2)</f>
        <v/>
      </c>
    </row>
    <row r="104">
      <c r="A104" s="10" t="n">
        <v>3</v>
      </c>
      <c r="B104" s="10" t="n">
        <v>100</v>
      </c>
      <c r="C104" s="10" t="n">
        <v>2100</v>
      </c>
      <c r="D104" s="10" t="inlineStr">
        <is>
          <t>0103304006</t>
        </is>
      </c>
      <c r="E104" s="26" t="inlineStr">
        <is>
          <t>Region I (Ilocos Region)</t>
        </is>
      </c>
      <c r="F104" s="26" t="inlineStr">
        <is>
          <t>La Union</t>
        </is>
      </c>
      <c r="G104" s="26" t="inlineStr">
        <is>
          <t>Bagulin</t>
        </is>
      </c>
      <c r="H104" s="26" t="inlineStr">
        <is>
          <t>Libbo</t>
        </is>
      </c>
      <c r="I104" s="27" t="n">
        <v>16.570025</v>
      </c>
      <c r="J104" s="27" t="n">
        <v>120.524387</v>
      </c>
      <c r="K104" s="10" t="inlineStr">
        <is>
          <t>R</t>
        </is>
      </c>
      <c r="L104" s="12" t="n">
        <v>961</v>
      </c>
      <c r="M104" s="14" t="n">
        <v>3.7</v>
      </c>
      <c r="N104" s="12">
        <f>ROUND(L104/M104, 0)</f>
        <v/>
      </c>
      <c r="O104" s="12">
        <f>ROUND(N104*'Methodology &amp; Assumptions'!$B$5, 0)</f>
        <v/>
      </c>
      <c r="P104" s="10" t="inlineStr">
        <is>
          <t>Single Carrier (Band n50, 100MHz TDD)</t>
        </is>
      </c>
      <c r="Q104" s="13">
        <f>ROUNDUP(O104/'Methodology &amp; Assumptions'!$B$6, 0)</f>
        <v/>
      </c>
      <c r="R104" s="13" t="n">
        <v>1</v>
      </c>
      <c r="S104" s="14" t="n">
        <v>8.640000000000001</v>
      </c>
      <c r="T104" s="14" t="n">
        <v>8.33</v>
      </c>
      <c r="U104" s="26">
        <f>IF(X104&gt;='Methodology &amp; Assumptions'!$B$7, "Tier 1 Critical GIDA (Score ≥ 50.0)", IF(X104&gt;='Methodology &amp; Assumptions'!$B$8, "Tier 2 High GIDA (Score 40.0–49.9)", "Tier 3 Moderate GIDA (Score &lt; 40.0)"))</f>
        <v/>
      </c>
      <c r="V104" s="26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W104" s="28" t="n">
        <v>0.083</v>
      </c>
      <c r="X104" s="14" t="n">
        <v>49.22</v>
      </c>
      <c r="Y104" s="14">
        <f>ROUND(MIN(100, (X104/69.91)*100), 2)</f>
        <v/>
      </c>
    </row>
    <row r="105">
      <c r="A105" s="10" t="n">
        <v>3</v>
      </c>
      <c r="B105" s="10" t="n">
        <v>101</v>
      </c>
      <c r="C105" s="10" t="n">
        <v>2101</v>
      </c>
      <c r="D105" s="10" t="inlineStr">
        <is>
          <t>1380601091</t>
        </is>
      </c>
      <c r="E105" s="26" t="inlineStr">
        <is>
          <t>National Capital Region (NCR)</t>
        </is>
      </c>
      <c r="F105" s="26" t="inlineStr">
        <is>
          <t>First District (Not a Province)</t>
        </is>
      </c>
      <c r="G105" s="26" t="inlineStr">
        <is>
          <t>City of Manila</t>
        </is>
      </c>
      <c r="H105" s="26" t="inlineStr">
        <is>
          <t>Barangay 91</t>
        </is>
      </c>
      <c r="I105" s="27" t="n">
        <v>13.189222</v>
      </c>
      <c r="J105" s="27" t="n">
        <v>122.323945</v>
      </c>
      <c r="K105" s="10" t="inlineStr">
        <is>
          <t>U</t>
        </is>
      </c>
      <c r="L105" s="12" t="n">
        <v>4690</v>
      </c>
      <c r="M105" s="14" t="n">
        <v>3.9</v>
      </c>
      <c r="N105" s="12">
        <f>ROUND(L105/M105, 0)</f>
        <v/>
      </c>
      <c r="O105" s="12">
        <f>ROUND(N105*'Methodology &amp; Assumptions'!$B$5, 0)</f>
        <v/>
      </c>
      <c r="P105" s="10" t="inlineStr">
        <is>
          <t>Single Carrier (Band n50, 100MHz TDD)</t>
        </is>
      </c>
      <c r="Q105" s="13">
        <f>ROUNDUP(O105/'Methodology &amp; Assumptions'!$B$6, 0)</f>
        <v/>
      </c>
      <c r="R105" s="13" t="n">
        <v>1</v>
      </c>
      <c r="S105" s="14" t="n">
        <v>27.37</v>
      </c>
      <c r="T105" s="14" t="n">
        <v>38.34</v>
      </c>
      <c r="U105" s="26">
        <f>IF(X105&gt;='Methodology &amp; Assumptions'!$B$7, "Tier 1 Critical GIDA (Score ≥ 50.0)", IF(X105&gt;='Methodology &amp; Assumptions'!$B$8, "Tier 2 High GIDA (Score 40.0–49.9)", "Tier 3 Moderate GIDA (Score &lt; 40.0)"))</f>
        <v/>
      </c>
      <c r="V105" s="26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W105" s="28" t="n">
        <v>0.109</v>
      </c>
      <c r="X105" s="14" t="n">
        <v>49.22</v>
      </c>
      <c r="Y105" s="14">
        <f>ROUND(MIN(100, (X105/69.91)*100), 2)</f>
        <v/>
      </c>
    </row>
    <row r="106">
      <c r="A106" s="10" t="n">
        <v>3</v>
      </c>
      <c r="B106" s="10" t="n">
        <v>102</v>
      </c>
      <c r="C106" s="10" t="n">
        <v>2102</v>
      </c>
      <c r="D106" s="10" t="inlineStr">
        <is>
          <t>PH0002102</t>
        </is>
      </c>
      <c r="E106" s="26" t="inlineStr">
        <is>
          <t>NCR</t>
        </is>
      </c>
      <c r="F106" s="26" t="inlineStr">
        <is>
          <t>Metro Manila</t>
        </is>
      </c>
      <c r="G106" s="26" t="inlineStr">
        <is>
          <t>Caloocan City</t>
        </is>
      </c>
      <c r="H106" s="26" t="inlineStr">
        <is>
          <t>Barangay 35</t>
        </is>
      </c>
      <c r="I106" s="27" t="n">
        <v>13.450472</v>
      </c>
      <c r="J106" s="27" t="n">
        <v>123.029615</v>
      </c>
      <c r="K106" s="10" t="inlineStr">
        <is>
          <t>R</t>
        </is>
      </c>
      <c r="L106" s="12" t="n">
        <v>2279</v>
      </c>
      <c r="M106" s="14" t="n">
        <v>3.8</v>
      </c>
      <c r="N106" s="12">
        <f>ROUND(L106/M106, 0)</f>
        <v/>
      </c>
      <c r="O106" s="12">
        <f>ROUND(N106*'Methodology &amp; Assumptions'!$B$5, 0)</f>
        <v/>
      </c>
      <c r="P106" s="10" t="inlineStr">
        <is>
          <t>Single Carrier (Band n50, 100MHz TDD)</t>
        </is>
      </c>
      <c r="Q106" s="13">
        <f>ROUNDUP(O106/'Methodology &amp; Assumptions'!$B$6, 0)</f>
        <v/>
      </c>
      <c r="R106" s="13" t="n">
        <v>1</v>
      </c>
      <c r="S106" s="14" t="n">
        <v>5.83</v>
      </c>
      <c r="T106" s="14" t="n">
        <v>5.88</v>
      </c>
      <c r="U106" s="26">
        <f>IF(X106&gt;='Methodology &amp; Assumptions'!$B$7, "Tier 1 Critical GIDA (Score ≥ 50.0)", IF(X106&gt;='Methodology &amp; Assumptions'!$B$8, "Tier 2 High GIDA (Score 40.0–49.9)", "Tier 3 Moderate GIDA (Score &lt; 40.0)"))</f>
        <v/>
      </c>
      <c r="V106" s="26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W106" s="28" t="n">
        <v>0.011</v>
      </c>
      <c r="X106" s="14" t="n">
        <v>49.22</v>
      </c>
      <c r="Y106" s="14">
        <f>ROUND(MIN(100, (X106/69.91)*100), 2)</f>
        <v/>
      </c>
    </row>
    <row r="107">
      <c r="A107" s="10" t="n">
        <v>3</v>
      </c>
      <c r="B107" s="10" t="n">
        <v>103</v>
      </c>
      <c r="C107" s="10" t="n">
        <v>2103</v>
      </c>
      <c r="D107" s="10" t="inlineStr">
        <is>
          <t>PH0002103</t>
        </is>
      </c>
      <c r="E107" s="26" t="inlineStr">
        <is>
          <t>NCR</t>
        </is>
      </c>
      <c r="F107" s="26" t="inlineStr">
        <is>
          <t>Metro Manila</t>
        </is>
      </c>
      <c r="G107" s="26" t="inlineStr">
        <is>
          <t>Caloocan City</t>
        </is>
      </c>
      <c r="H107" s="26" t="inlineStr">
        <is>
          <t>Barangay 4</t>
        </is>
      </c>
      <c r="I107" s="27" t="n">
        <v>11.630697</v>
      </c>
      <c r="J107" s="27" t="n">
        <v>121.243294</v>
      </c>
      <c r="K107" s="10" t="inlineStr">
        <is>
          <t>R</t>
        </is>
      </c>
      <c r="L107" s="12" t="n">
        <v>2279</v>
      </c>
      <c r="M107" s="14" t="n">
        <v>3.8</v>
      </c>
      <c r="N107" s="12">
        <f>ROUND(L107/M107, 0)</f>
        <v/>
      </c>
      <c r="O107" s="12">
        <f>ROUND(N107*'Methodology &amp; Assumptions'!$B$5, 0)</f>
        <v/>
      </c>
      <c r="P107" s="10" t="inlineStr">
        <is>
          <t>Single Carrier (Band n50, 100MHz TDD)</t>
        </is>
      </c>
      <c r="Q107" s="13">
        <f>ROUNDUP(O107/'Methodology &amp; Assumptions'!$B$6, 0)</f>
        <v/>
      </c>
      <c r="R107" s="13" t="n">
        <v>1</v>
      </c>
      <c r="S107" s="14" t="n">
        <v>76.09999999999999</v>
      </c>
      <c r="T107" s="14" t="n">
        <v>72.3</v>
      </c>
      <c r="U107" s="26">
        <f>IF(X107&gt;='Methodology &amp; Assumptions'!$B$7, "Tier 1 Critical GIDA (Score ≥ 50.0)", IF(X107&gt;='Methodology &amp; Assumptions'!$B$8, "Tier 2 High GIDA (Score 40.0–49.9)", "Tier 3 Moderate GIDA (Score &lt; 40.0)"))</f>
        <v/>
      </c>
      <c r="V107" s="26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W107" s="28" t="n">
        <v>0.011</v>
      </c>
      <c r="X107" s="14" t="n">
        <v>49.21</v>
      </c>
      <c r="Y107" s="14">
        <f>ROUND(MIN(100, (X107/69.91)*100), 2)</f>
        <v/>
      </c>
    </row>
    <row r="108">
      <c r="A108" s="10" t="n">
        <v>3</v>
      </c>
      <c r="B108" s="10" t="n">
        <v>104</v>
      </c>
      <c r="C108" s="10" t="n">
        <v>2104</v>
      </c>
      <c r="D108" s="10" t="inlineStr">
        <is>
          <t>1380601088</t>
        </is>
      </c>
      <c r="E108" s="26" t="inlineStr">
        <is>
          <t>National Capital Region (NCR)</t>
        </is>
      </c>
      <c r="F108" s="26" t="inlineStr">
        <is>
          <t>First District (Not a Province)</t>
        </is>
      </c>
      <c r="G108" s="26" t="inlineStr">
        <is>
          <t>City of Manila</t>
        </is>
      </c>
      <c r="H108" s="26" t="inlineStr">
        <is>
          <t>Barangay 88</t>
        </is>
      </c>
      <c r="I108" s="27" t="n">
        <v>12.288019</v>
      </c>
      <c r="J108" s="27" t="n">
        <v>121.582629</v>
      </c>
      <c r="K108" s="10" t="inlineStr">
        <is>
          <t>U</t>
        </is>
      </c>
      <c r="L108" s="12" t="n">
        <v>1129</v>
      </c>
      <c r="M108" s="14" t="n">
        <v>3.9</v>
      </c>
      <c r="N108" s="12">
        <f>ROUND(L108/M108, 0)</f>
        <v/>
      </c>
      <c r="O108" s="12">
        <f>ROUND(N108*'Methodology &amp; Assumptions'!$B$5, 0)</f>
        <v/>
      </c>
      <c r="P108" s="10" t="inlineStr">
        <is>
          <t>Single Carrier (Band n50, 100MHz TDD)</t>
        </is>
      </c>
      <c r="Q108" s="13">
        <f>ROUNDUP(O108/'Methodology &amp; Assumptions'!$B$6, 0)</f>
        <v/>
      </c>
      <c r="R108" s="13" t="n">
        <v>1</v>
      </c>
      <c r="S108" s="14" t="n">
        <v>26.5</v>
      </c>
      <c r="T108" s="14" t="n">
        <v>13.46</v>
      </c>
      <c r="U108" s="26">
        <f>IF(X108&gt;='Methodology &amp; Assumptions'!$B$7, "Tier 1 Critical GIDA (Score ≥ 50.0)", IF(X108&gt;='Methodology &amp; Assumptions'!$B$8, "Tier 2 High GIDA (Score 40.0–49.9)", "Tier 3 Moderate GIDA (Score &lt; 40.0)"))</f>
        <v/>
      </c>
      <c r="V108" s="26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W108" s="28" t="n">
        <v>0.109</v>
      </c>
      <c r="X108" s="14" t="n">
        <v>49.21</v>
      </c>
      <c r="Y108" s="14">
        <f>ROUND(MIN(100, (X108/69.91)*100), 2)</f>
        <v/>
      </c>
    </row>
    <row r="109">
      <c r="A109" s="10" t="n">
        <v>3</v>
      </c>
      <c r="B109" s="10" t="n">
        <v>105</v>
      </c>
      <c r="C109" s="10" t="n">
        <v>2105</v>
      </c>
      <c r="D109" s="10" t="inlineStr">
        <is>
          <t>0200903003</t>
        </is>
      </c>
      <c r="E109" s="26" t="inlineStr">
        <is>
          <t>Region II (Cagayan Valley)</t>
        </is>
      </c>
      <c r="F109" s="26" t="inlineStr">
        <is>
          <t>Batanes</t>
        </is>
      </c>
      <c r="G109" s="26" t="inlineStr">
        <is>
          <t>Ivana</t>
        </is>
      </c>
      <c r="H109" s="26" t="inlineStr">
        <is>
          <t>San Vicente</t>
        </is>
      </c>
      <c r="I109" s="27" t="n">
        <v>20.380731</v>
      </c>
      <c r="J109" s="27" t="n">
        <v>121.921336</v>
      </c>
      <c r="K109" s="10" t="inlineStr">
        <is>
          <t>R</t>
        </is>
      </c>
      <c r="L109" s="12" t="n">
        <v>269</v>
      </c>
      <c r="M109" s="14" t="n">
        <v>3</v>
      </c>
      <c r="N109" s="12">
        <f>ROUND(L109/M109, 0)</f>
        <v/>
      </c>
      <c r="O109" s="12">
        <f>ROUND(N109*'Methodology &amp; Assumptions'!$B$5, 0)</f>
        <v/>
      </c>
      <c r="P109" s="10" t="inlineStr">
        <is>
          <t>Single Carrier (Band n50, 100MHz TDD)</t>
        </is>
      </c>
      <c r="Q109" s="13">
        <f>ROUNDUP(O109/'Methodology &amp; Assumptions'!$B$6, 0)</f>
        <v/>
      </c>
      <c r="R109" s="13" t="n">
        <v>1</v>
      </c>
      <c r="S109" s="14" t="n">
        <v>214.99</v>
      </c>
      <c r="T109" s="14" t="n">
        <v>210.29</v>
      </c>
      <c r="U109" s="26">
        <f>IF(X109&gt;='Methodology &amp; Assumptions'!$B$7, "Tier 1 Critical GIDA (Score ≥ 50.0)", IF(X109&gt;='Methodology &amp; Assumptions'!$B$8, "Tier 2 High GIDA (Score 40.0–49.9)", "Tier 3 Moderate GIDA (Score &lt; 40.0)"))</f>
        <v/>
      </c>
      <c r="V109" s="26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W109" s="28" t="n">
        <v>0.083</v>
      </c>
      <c r="X109" s="14" t="n">
        <v>49.21</v>
      </c>
      <c r="Y109" s="14">
        <f>ROUND(MIN(100, (X109/69.91)*100), 2)</f>
        <v/>
      </c>
    </row>
    <row r="110">
      <c r="A110" s="10" t="n">
        <v>3</v>
      </c>
      <c r="B110" s="10" t="n">
        <v>106</v>
      </c>
      <c r="C110" s="10" t="n">
        <v>2106</v>
      </c>
      <c r="D110" s="10" t="inlineStr">
        <is>
          <t>1380601145</t>
        </is>
      </c>
      <c r="E110" s="26" t="inlineStr">
        <is>
          <t>National Capital Region (NCR)</t>
        </is>
      </c>
      <c r="F110" s="26" t="inlineStr">
        <is>
          <t>First District (Not a Province)</t>
        </is>
      </c>
      <c r="G110" s="26" t="inlineStr">
        <is>
          <t>City of Manila</t>
        </is>
      </c>
      <c r="H110" s="26" t="inlineStr">
        <is>
          <t>Barangay 145</t>
        </is>
      </c>
      <c r="I110" s="27" t="n">
        <v>13.443191</v>
      </c>
      <c r="J110" s="27" t="n">
        <v>121.504458</v>
      </c>
      <c r="K110" s="10" t="inlineStr">
        <is>
          <t>U</t>
        </is>
      </c>
      <c r="L110" s="12" t="n">
        <v>1060</v>
      </c>
      <c r="M110" s="14" t="n">
        <v>3.9</v>
      </c>
      <c r="N110" s="12">
        <f>ROUND(L110/M110, 0)</f>
        <v/>
      </c>
      <c r="O110" s="12">
        <f>ROUND(N110*'Methodology &amp; Assumptions'!$B$5, 0)</f>
        <v/>
      </c>
      <c r="P110" s="10" t="inlineStr">
        <is>
          <t>Single Carrier (Band n50, 100MHz TDD)</t>
        </is>
      </c>
      <c r="Q110" s="13">
        <f>ROUNDUP(O110/'Methodology &amp; Assumptions'!$B$6, 0)</f>
        <v/>
      </c>
      <c r="R110" s="13" t="n">
        <v>1</v>
      </c>
      <c r="S110" s="14" t="n">
        <v>25.74</v>
      </c>
      <c r="T110" s="14" t="n">
        <v>32.45</v>
      </c>
      <c r="U110" s="26">
        <f>IF(X110&gt;='Methodology &amp; Assumptions'!$B$7, "Tier 1 Critical GIDA (Score ≥ 50.0)", IF(X110&gt;='Methodology &amp; Assumptions'!$B$8, "Tier 2 High GIDA (Score 40.0–49.9)", "Tier 3 Moderate GIDA (Score &lt; 40.0)"))</f>
        <v/>
      </c>
      <c r="V110" s="26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W110" s="28" t="n">
        <v>0.109</v>
      </c>
      <c r="X110" s="14" t="n">
        <v>49.21</v>
      </c>
      <c r="Y110" s="14">
        <f>ROUND(MIN(100, (X110/69.91)*100), 2)</f>
        <v/>
      </c>
    </row>
    <row r="111">
      <c r="A111" s="10" t="n">
        <v>3</v>
      </c>
      <c r="B111" s="10" t="n">
        <v>107</v>
      </c>
      <c r="C111" s="10" t="n">
        <v>2107</v>
      </c>
      <c r="D111" s="10" t="inlineStr">
        <is>
          <t>1380613002</t>
        </is>
      </c>
      <c r="E111" s="26" t="inlineStr">
        <is>
          <t>National Capital Region (NCR)</t>
        </is>
      </c>
      <c r="F111" s="26" t="inlineStr">
        <is>
          <t>First District (Not a Province)</t>
        </is>
      </c>
      <c r="G111" s="26" t="inlineStr">
        <is>
          <t>City of Manila</t>
        </is>
      </c>
      <c r="H111" s="26" t="inlineStr">
        <is>
          <t>Barangay 650</t>
        </is>
      </c>
      <c r="I111" s="27" t="n">
        <v>12.641252</v>
      </c>
      <c r="J111" s="27" t="n">
        <v>122.364521</v>
      </c>
      <c r="K111" s="10" t="inlineStr">
        <is>
          <t>U</t>
        </is>
      </c>
      <c r="L111" s="12" t="n">
        <v>5360</v>
      </c>
      <c r="M111" s="14" t="n">
        <v>3.9</v>
      </c>
      <c r="N111" s="12">
        <f>ROUND(L111/M111, 0)</f>
        <v/>
      </c>
      <c r="O111" s="12">
        <f>ROUND(N111*'Methodology &amp; Assumptions'!$B$5, 0)</f>
        <v/>
      </c>
      <c r="P111" s="10" t="inlineStr">
        <is>
          <t>Single Carrier (Band n50, 100MHz TDD)</t>
        </is>
      </c>
      <c r="Q111" s="13">
        <f>ROUNDUP(O111/'Methodology &amp; Assumptions'!$B$6, 0)</f>
        <v/>
      </c>
      <c r="R111" s="13" t="n">
        <v>1</v>
      </c>
      <c r="S111" s="14" t="n">
        <v>73.47</v>
      </c>
      <c r="T111" s="14" t="n">
        <v>71.29000000000001</v>
      </c>
      <c r="U111" s="26">
        <f>IF(X111&gt;='Methodology &amp; Assumptions'!$B$7, "Tier 1 Critical GIDA (Score ≥ 50.0)", IF(X111&gt;='Methodology &amp; Assumptions'!$B$8, "Tier 2 High GIDA (Score 40.0–49.9)", "Tier 3 Moderate GIDA (Score &lt; 40.0)"))</f>
        <v/>
      </c>
      <c r="V111" s="26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W111" s="28" t="n">
        <v>0.109</v>
      </c>
      <c r="X111" s="14" t="n">
        <v>49.21</v>
      </c>
      <c r="Y111" s="14">
        <f>ROUND(MIN(100, (X111/69.91)*100), 2)</f>
        <v/>
      </c>
    </row>
    <row r="112">
      <c r="A112" s="10" t="n">
        <v>3</v>
      </c>
      <c r="B112" s="10" t="n">
        <v>108</v>
      </c>
      <c r="C112" s="10" t="n">
        <v>2108</v>
      </c>
      <c r="D112" s="10" t="inlineStr">
        <is>
          <t>1380602005</t>
        </is>
      </c>
      <c r="E112" s="26" t="inlineStr">
        <is>
          <t>National Capital Region (NCR)</t>
        </is>
      </c>
      <c r="F112" s="26" t="inlineStr">
        <is>
          <t>First District (Not a Province)</t>
        </is>
      </c>
      <c r="G112" s="26" t="inlineStr">
        <is>
          <t>City of Manila</t>
        </is>
      </c>
      <c r="H112" s="26" t="inlineStr">
        <is>
          <t>Barangay 291</t>
        </is>
      </c>
      <c r="I112" s="27" t="n">
        <v>12.666128</v>
      </c>
      <c r="J112" s="27" t="n">
        <v>121.172071</v>
      </c>
      <c r="K112" s="10" t="inlineStr">
        <is>
          <t>U</t>
        </is>
      </c>
      <c r="L112" s="12" t="n">
        <v>2348</v>
      </c>
      <c r="M112" s="14" t="n">
        <v>3.9</v>
      </c>
      <c r="N112" s="12">
        <f>ROUND(L112/M112, 0)</f>
        <v/>
      </c>
      <c r="O112" s="12">
        <f>ROUND(N112*'Methodology &amp; Assumptions'!$B$5, 0)</f>
        <v/>
      </c>
      <c r="P112" s="10" t="inlineStr">
        <is>
          <t>Single Carrier (Band n50, 100MHz TDD)</t>
        </is>
      </c>
      <c r="Q112" s="13">
        <f>ROUNDUP(O112/'Methodology &amp; Assumptions'!$B$6, 0)</f>
        <v/>
      </c>
      <c r="R112" s="13" t="n">
        <v>1</v>
      </c>
      <c r="S112" s="14" t="n">
        <v>33.18</v>
      </c>
      <c r="T112" s="14" t="n">
        <v>31.94</v>
      </c>
      <c r="U112" s="26">
        <f>IF(X112&gt;='Methodology &amp; Assumptions'!$B$7, "Tier 1 Critical GIDA (Score ≥ 50.0)", IF(X112&gt;='Methodology &amp; Assumptions'!$B$8, "Tier 2 High GIDA (Score 40.0–49.9)", "Tier 3 Moderate GIDA (Score &lt; 40.0)"))</f>
        <v/>
      </c>
      <c r="V112" s="26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W112" s="28" t="n">
        <v>0.109</v>
      </c>
      <c r="X112" s="14" t="n">
        <v>49.21</v>
      </c>
      <c r="Y112" s="14">
        <f>ROUND(MIN(100, (X112/69.91)*100), 2)</f>
        <v/>
      </c>
    </row>
    <row r="113">
      <c r="A113" s="10" t="n">
        <v>3</v>
      </c>
      <c r="B113" s="10" t="n">
        <v>109</v>
      </c>
      <c r="C113" s="10" t="n">
        <v>2109</v>
      </c>
      <c r="D113" s="10" t="inlineStr">
        <is>
          <t>PH0002109</t>
        </is>
      </c>
      <c r="E113" s="26" t="inlineStr">
        <is>
          <t>NCR</t>
        </is>
      </c>
      <c r="F113" s="26" t="inlineStr">
        <is>
          <t>Metro Manila</t>
        </is>
      </c>
      <c r="G113" s="26" t="inlineStr">
        <is>
          <t>Caloocan City</t>
        </is>
      </c>
      <c r="H113" s="26" t="inlineStr">
        <is>
          <t>Barangay 20</t>
        </is>
      </c>
      <c r="I113" s="27" t="n">
        <v>14.151349</v>
      </c>
      <c r="J113" s="27" t="n">
        <v>121.299212</v>
      </c>
      <c r="K113" s="10" t="inlineStr">
        <is>
          <t>R</t>
        </is>
      </c>
      <c r="L113" s="12" t="n">
        <v>2279</v>
      </c>
      <c r="M113" s="14" t="n">
        <v>3.8</v>
      </c>
      <c r="N113" s="12">
        <f>ROUND(L113/M113, 0)</f>
        <v/>
      </c>
      <c r="O113" s="12">
        <f>ROUND(N113*'Methodology &amp; Assumptions'!$B$5, 0)</f>
        <v/>
      </c>
      <c r="P113" s="10" t="inlineStr">
        <is>
          <t>Single Carrier (Band n50, 100MHz TDD)</t>
        </is>
      </c>
      <c r="Q113" s="13">
        <f>ROUNDUP(O113/'Methodology &amp; Assumptions'!$B$6, 0)</f>
        <v/>
      </c>
      <c r="R113" s="13" t="n">
        <v>1</v>
      </c>
      <c r="S113" s="14" t="n">
        <v>1.69</v>
      </c>
      <c r="T113" s="14" t="n">
        <v>1.27</v>
      </c>
      <c r="U113" s="26">
        <f>IF(X113&gt;='Methodology &amp; Assumptions'!$B$7, "Tier 1 Critical GIDA (Score ≥ 50.0)", IF(X113&gt;='Methodology &amp; Assumptions'!$B$8, "Tier 2 High GIDA (Score 40.0–49.9)", "Tier 3 Moderate GIDA (Score &lt; 40.0)"))</f>
        <v/>
      </c>
      <c r="V113" s="26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W113" s="28" t="n">
        <v>0.011</v>
      </c>
      <c r="X113" s="14" t="n">
        <v>49.21</v>
      </c>
      <c r="Y113" s="14">
        <f>ROUND(MIN(100, (X113/69.91)*100), 2)</f>
        <v/>
      </c>
    </row>
    <row r="114">
      <c r="A114" s="10" t="n">
        <v>3</v>
      </c>
      <c r="B114" s="10" t="n">
        <v>110</v>
      </c>
      <c r="C114" s="10" t="n">
        <v>2110</v>
      </c>
      <c r="D114" s="10" t="inlineStr">
        <is>
          <t>1380614004</t>
        </is>
      </c>
      <c r="E114" s="26" t="inlineStr">
        <is>
          <t>National Capital Region (NCR)</t>
        </is>
      </c>
      <c r="F114" s="26" t="inlineStr">
        <is>
          <t>First District (Not a Province)</t>
        </is>
      </c>
      <c r="G114" s="26" t="inlineStr">
        <is>
          <t>City of Manila</t>
        </is>
      </c>
      <c r="H114" s="26" t="inlineStr">
        <is>
          <t>Barangay 747</t>
        </is>
      </c>
      <c r="I114" s="27" t="n">
        <v>13.434785</v>
      </c>
      <c r="J114" s="27" t="n">
        <v>122.070417</v>
      </c>
      <c r="K114" s="10" t="inlineStr">
        <is>
          <t>U</t>
        </is>
      </c>
      <c r="L114" s="12" t="n">
        <v>380</v>
      </c>
      <c r="M114" s="14" t="n">
        <v>3.9</v>
      </c>
      <c r="N114" s="12">
        <f>ROUND(L114/M114, 0)</f>
        <v/>
      </c>
      <c r="O114" s="12">
        <f>ROUND(N114*'Methodology &amp; Assumptions'!$B$5, 0)</f>
        <v/>
      </c>
      <c r="P114" s="10" t="inlineStr">
        <is>
          <t>Single Carrier (Band n50, 100MHz TDD)</t>
        </is>
      </c>
      <c r="Q114" s="13">
        <f>ROUNDUP(O114/'Methodology &amp; Assumptions'!$B$6, 0)</f>
        <v/>
      </c>
      <c r="R114" s="13" t="n">
        <v>1</v>
      </c>
      <c r="S114" s="14" t="n">
        <v>29.19</v>
      </c>
      <c r="T114" s="14" t="n">
        <v>28.1</v>
      </c>
      <c r="U114" s="26">
        <f>IF(X114&gt;='Methodology &amp; Assumptions'!$B$7, "Tier 1 Critical GIDA (Score ≥ 50.0)", IF(X114&gt;='Methodology &amp; Assumptions'!$B$8, "Tier 2 High GIDA (Score 40.0–49.9)", "Tier 3 Moderate GIDA (Score &lt; 40.0)"))</f>
        <v/>
      </c>
      <c r="V114" s="26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W114" s="28" t="n">
        <v>0.109</v>
      </c>
      <c r="X114" s="14" t="n">
        <v>49.21</v>
      </c>
      <c r="Y114" s="14">
        <f>ROUND(MIN(100, (X114/69.91)*100), 2)</f>
        <v/>
      </c>
    </row>
    <row r="115">
      <c r="A115" s="10" t="n">
        <v>3</v>
      </c>
      <c r="B115" s="10" t="n">
        <v>111</v>
      </c>
      <c r="C115" s="10" t="n">
        <v>2111</v>
      </c>
      <c r="D115" s="10" t="inlineStr">
        <is>
          <t>1380606037</t>
        </is>
      </c>
      <c r="E115" s="26" t="inlineStr">
        <is>
          <t>National Capital Region (NCR)</t>
        </is>
      </c>
      <c r="F115" s="26" t="inlineStr">
        <is>
          <t>First District (Not a Province)</t>
        </is>
      </c>
      <c r="G115" s="26" t="inlineStr">
        <is>
          <t>City of Manila</t>
        </is>
      </c>
      <c r="H115" s="26" t="inlineStr">
        <is>
          <t>Barangay 431</t>
        </is>
      </c>
      <c r="I115" s="27" t="n">
        <v>12.273927</v>
      </c>
      <c r="J115" s="27" t="n">
        <v>121.940506</v>
      </c>
      <c r="K115" s="10" t="inlineStr">
        <is>
          <t>U</t>
        </is>
      </c>
      <c r="L115" s="12" t="n">
        <v>721</v>
      </c>
      <c r="M115" s="14" t="n">
        <v>3.9</v>
      </c>
      <c r="N115" s="12">
        <f>ROUND(L115/M115, 0)</f>
        <v/>
      </c>
      <c r="O115" s="12">
        <f>ROUND(N115*'Methodology &amp; Assumptions'!$B$5, 0)</f>
        <v/>
      </c>
      <c r="P115" s="10" t="inlineStr">
        <is>
          <t>Single Carrier (Band n50, 100MHz TDD)</t>
        </is>
      </c>
      <c r="Q115" s="13">
        <f>ROUNDUP(O115/'Methodology &amp; Assumptions'!$B$6, 0)</f>
        <v/>
      </c>
      <c r="R115" s="13" t="n">
        <v>1</v>
      </c>
      <c r="S115" s="14" t="n">
        <v>36.21</v>
      </c>
      <c r="T115" s="14" t="n">
        <v>13.54</v>
      </c>
      <c r="U115" s="26">
        <f>IF(X115&gt;='Methodology &amp; Assumptions'!$B$7, "Tier 1 Critical GIDA (Score ≥ 50.0)", IF(X115&gt;='Methodology &amp; Assumptions'!$B$8, "Tier 2 High GIDA (Score 40.0–49.9)", "Tier 3 Moderate GIDA (Score &lt; 40.0)"))</f>
        <v/>
      </c>
      <c r="V115" s="26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W115" s="28" t="n">
        <v>0.109</v>
      </c>
      <c r="X115" s="14" t="n">
        <v>49.21</v>
      </c>
      <c r="Y115" s="14">
        <f>ROUND(MIN(100, (X115/69.91)*100), 2)</f>
        <v/>
      </c>
    </row>
    <row r="116">
      <c r="A116" s="10" t="n">
        <v>3</v>
      </c>
      <c r="B116" s="10" t="n">
        <v>112</v>
      </c>
      <c r="C116" s="10" t="n">
        <v>2112</v>
      </c>
      <c r="D116" s="10" t="inlineStr">
        <is>
          <t>1380603003</t>
        </is>
      </c>
      <c r="E116" s="26" t="inlineStr">
        <is>
          <t>National Capital Region (NCR)</t>
        </is>
      </c>
      <c r="F116" s="26" t="inlineStr">
        <is>
          <t>First District (Not a Province)</t>
        </is>
      </c>
      <c r="G116" s="26" t="inlineStr">
        <is>
          <t>City of Manila</t>
        </is>
      </c>
      <c r="H116" s="26" t="inlineStr">
        <is>
          <t>Barangay 383</t>
        </is>
      </c>
      <c r="I116" s="27" t="n">
        <v>13.217389</v>
      </c>
      <c r="J116" s="27" t="n">
        <v>121.230255</v>
      </c>
      <c r="K116" s="10" t="inlineStr">
        <is>
          <t>U</t>
        </is>
      </c>
      <c r="L116" s="12" t="n">
        <v>2336</v>
      </c>
      <c r="M116" s="14" t="n">
        <v>3.9</v>
      </c>
      <c r="N116" s="12">
        <f>ROUND(L116/M116, 0)</f>
        <v/>
      </c>
      <c r="O116" s="12">
        <f>ROUND(N116*'Methodology &amp; Assumptions'!$B$5, 0)</f>
        <v/>
      </c>
      <c r="P116" s="10" t="inlineStr">
        <is>
          <t>Single Carrier (Band n50, 100MHz TDD)</t>
        </is>
      </c>
      <c r="Q116" s="13">
        <f>ROUNDUP(O116/'Methodology &amp; Assumptions'!$B$6, 0)</f>
        <v/>
      </c>
      <c r="R116" s="13" t="n">
        <v>1</v>
      </c>
      <c r="S116" s="14" t="n">
        <v>6.5</v>
      </c>
      <c r="T116" s="14" t="n">
        <v>4.38</v>
      </c>
      <c r="U116" s="26">
        <f>IF(X116&gt;='Methodology &amp; Assumptions'!$B$7, "Tier 1 Critical GIDA (Score ≥ 50.0)", IF(X116&gt;='Methodology &amp; Assumptions'!$B$8, "Tier 2 High GIDA (Score 40.0–49.9)", "Tier 3 Moderate GIDA (Score &lt; 40.0)"))</f>
        <v/>
      </c>
      <c r="V116" s="26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W116" s="28" t="n">
        <v>0.109</v>
      </c>
      <c r="X116" s="14" t="n">
        <v>49.21</v>
      </c>
      <c r="Y116" s="14">
        <f>ROUND(MIN(100, (X116/69.91)*100), 2)</f>
        <v/>
      </c>
    </row>
    <row r="117">
      <c r="A117" s="10" t="n">
        <v>3</v>
      </c>
      <c r="B117" s="10" t="n">
        <v>113</v>
      </c>
      <c r="C117" s="10" t="n">
        <v>2113</v>
      </c>
      <c r="D117" s="10" t="inlineStr">
        <is>
          <t>PH0002113</t>
        </is>
      </c>
      <c r="E117" s="26" t="inlineStr">
        <is>
          <t>IV-A</t>
        </is>
      </c>
      <c r="F117" s="26" t="inlineStr">
        <is>
          <t>Laguna</t>
        </is>
      </c>
      <c r="G117" s="26" t="inlineStr">
        <is>
          <t>San Pablo City</t>
        </is>
      </c>
      <c r="H117" s="26" t="inlineStr">
        <is>
          <t>Barangay II-A (Pob.)</t>
        </is>
      </c>
      <c r="I117" s="27" t="n">
        <v>14.062328</v>
      </c>
      <c r="J117" s="27" t="n">
        <v>121.320056</v>
      </c>
      <c r="K117" s="10" t="inlineStr">
        <is>
          <t>R</t>
        </is>
      </c>
      <c r="L117" s="12" t="n">
        <v>2412</v>
      </c>
      <c r="M117" s="14" t="n">
        <v>3.3</v>
      </c>
      <c r="N117" s="12">
        <f>ROUND(L117/M117, 0)</f>
        <v/>
      </c>
      <c r="O117" s="12">
        <f>ROUND(N117*'Methodology &amp; Assumptions'!$B$5, 0)</f>
        <v/>
      </c>
      <c r="P117" s="10" t="inlineStr">
        <is>
          <t>Single Carrier (Band n50, 100MHz TDD)</t>
        </is>
      </c>
      <c r="Q117" s="13">
        <f>ROUNDUP(O117/'Methodology &amp; Assumptions'!$B$6, 0)</f>
        <v/>
      </c>
      <c r="R117" s="13" t="n">
        <v>1</v>
      </c>
      <c r="S117" s="14" t="n">
        <v>1.08</v>
      </c>
      <c r="T117" s="14" t="n">
        <v>0.41</v>
      </c>
      <c r="U117" s="26">
        <f>IF(X117&gt;='Methodology &amp; Assumptions'!$B$7, "Tier 1 Critical GIDA (Score ≥ 50.0)", IF(X117&gt;='Methodology &amp; Assumptions'!$B$8, "Tier 2 High GIDA (Score 40.0–49.9)", "Tier 3 Moderate GIDA (Score &lt; 40.0)"))</f>
        <v/>
      </c>
      <c r="V117" s="26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W117" s="28" t="n">
        <v>0.07200000000000001</v>
      </c>
      <c r="X117" s="14" t="n">
        <v>49.21</v>
      </c>
      <c r="Y117" s="14">
        <f>ROUND(MIN(100, (X117/69.91)*100), 2)</f>
        <v/>
      </c>
    </row>
    <row r="118">
      <c r="A118" s="10" t="n">
        <v>3</v>
      </c>
      <c r="B118" s="10" t="n">
        <v>114</v>
      </c>
      <c r="C118" s="10" t="n">
        <v>2114</v>
      </c>
      <c r="D118" s="10" t="inlineStr">
        <is>
          <t>1380601233</t>
        </is>
      </c>
      <c r="E118" s="26" t="inlineStr">
        <is>
          <t>National Capital Region (NCR)</t>
        </is>
      </c>
      <c r="F118" s="26" t="inlineStr">
        <is>
          <t>First District (Not a Province)</t>
        </is>
      </c>
      <c r="G118" s="26" t="inlineStr">
        <is>
          <t>City of Manila</t>
        </is>
      </c>
      <c r="H118" s="26" t="inlineStr">
        <is>
          <t>Barangay 232</t>
        </is>
      </c>
      <c r="I118" s="27" t="n">
        <v>12.989071</v>
      </c>
      <c r="J118" s="27" t="n">
        <v>122.410282</v>
      </c>
      <c r="K118" s="10" t="inlineStr">
        <is>
          <t>U</t>
        </is>
      </c>
      <c r="L118" s="12" t="n">
        <v>1832</v>
      </c>
      <c r="M118" s="14" t="n">
        <v>3.9</v>
      </c>
      <c r="N118" s="12">
        <f>ROUND(L118/M118, 0)</f>
        <v/>
      </c>
      <c r="O118" s="12">
        <f>ROUND(N118*'Methodology &amp; Assumptions'!$B$5, 0)</f>
        <v/>
      </c>
      <c r="P118" s="10" t="inlineStr">
        <is>
          <t>Single Carrier (Band n50, 100MHz TDD)</t>
        </is>
      </c>
      <c r="Q118" s="13">
        <f>ROUNDUP(O118/'Methodology &amp; Assumptions'!$B$6, 0)</f>
        <v/>
      </c>
      <c r="R118" s="13" t="n">
        <v>1</v>
      </c>
      <c r="S118" s="14" t="n">
        <v>39.9</v>
      </c>
      <c r="T118" s="14" t="n">
        <v>59.73</v>
      </c>
      <c r="U118" s="26">
        <f>IF(X118&gt;='Methodology &amp; Assumptions'!$B$7, "Tier 1 Critical GIDA (Score ≥ 50.0)", IF(X118&gt;='Methodology &amp; Assumptions'!$B$8, "Tier 2 High GIDA (Score 40.0–49.9)", "Tier 3 Moderate GIDA (Score &lt; 40.0)"))</f>
        <v/>
      </c>
      <c r="V118" s="26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W118" s="28" t="n">
        <v>0.109</v>
      </c>
      <c r="X118" s="14" t="n">
        <v>49.21</v>
      </c>
      <c r="Y118" s="14">
        <f>ROUND(MIN(100, (X118/69.91)*100), 2)</f>
        <v/>
      </c>
    </row>
    <row r="119">
      <c r="A119" s="10" t="n">
        <v>3</v>
      </c>
      <c r="B119" s="10" t="n">
        <v>115</v>
      </c>
      <c r="C119" s="10" t="n">
        <v>2115</v>
      </c>
      <c r="D119" s="10" t="inlineStr">
        <is>
          <t>1380601178</t>
        </is>
      </c>
      <c r="E119" s="26" t="inlineStr">
        <is>
          <t>National Capital Region (NCR)</t>
        </is>
      </c>
      <c r="F119" s="26" t="inlineStr">
        <is>
          <t>First District (Not a Province)</t>
        </is>
      </c>
      <c r="G119" s="26" t="inlineStr">
        <is>
          <t>City of Manila</t>
        </is>
      </c>
      <c r="H119" s="26" t="inlineStr">
        <is>
          <t>Barangay 178</t>
        </is>
      </c>
      <c r="I119" s="27" t="n">
        <v>12.378942</v>
      </c>
      <c r="J119" s="27" t="n">
        <v>121.379838</v>
      </c>
      <c r="K119" s="10" t="inlineStr">
        <is>
          <t>U</t>
        </is>
      </c>
      <c r="L119" s="12" t="n">
        <v>1565</v>
      </c>
      <c r="M119" s="14" t="n">
        <v>3.9</v>
      </c>
      <c r="N119" s="12">
        <f>ROUND(L119/M119, 0)</f>
        <v/>
      </c>
      <c r="O119" s="12">
        <f>ROUND(N119*'Methodology &amp; Assumptions'!$B$5, 0)</f>
        <v/>
      </c>
      <c r="P119" s="10" t="inlineStr">
        <is>
          <t>Single Carrier (Band n50, 100MHz TDD)</t>
        </is>
      </c>
      <c r="Q119" s="13">
        <f>ROUNDUP(O119/'Methodology &amp; Assumptions'!$B$6, 0)</f>
        <v/>
      </c>
      <c r="R119" s="13" t="n">
        <v>1</v>
      </c>
      <c r="S119" s="14" t="n">
        <v>6.69</v>
      </c>
      <c r="T119" s="14" t="n">
        <v>1.2</v>
      </c>
      <c r="U119" s="26">
        <f>IF(X119&gt;='Methodology &amp; Assumptions'!$B$7, "Tier 1 Critical GIDA (Score ≥ 50.0)", IF(X119&gt;='Methodology &amp; Assumptions'!$B$8, "Tier 2 High GIDA (Score 40.0–49.9)", "Tier 3 Moderate GIDA (Score &lt; 40.0)"))</f>
        <v/>
      </c>
      <c r="V119" s="26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W119" s="28" t="n">
        <v>0.109</v>
      </c>
      <c r="X119" s="14" t="n">
        <v>49.21</v>
      </c>
      <c r="Y119" s="14">
        <f>ROUND(MIN(100, (X119/69.91)*100), 2)</f>
        <v/>
      </c>
    </row>
    <row r="120">
      <c r="A120" s="10" t="n">
        <v>3</v>
      </c>
      <c r="B120" s="10" t="n">
        <v>116</v>
      </c>
      <c r="C120" s="10" t="n">
        <v>2116</v>
      </c>
      <c r="D120" s="10" t="inlineStr">
        <is>
          <t>1380605074</t>
        </is>
      </c>
      <c r="E120" s="26" t="inlineStr">
        <is>
          <t>National Capital Region (NCR)</t>
        </is>
      </c>
      <c r="F120" s="26" t="inlineStr">
        <is>
          <t>First District (Not a Province)</t>
        </is>
      </c>
      <c r="G120" s="26" t="inlineStr">
        <is>
          <t>City of Manila</t>
        </is>
      </c>
      <c r="H120" s="26" t="inlineStr">
        <is>
          <t>Barangay 371</t>
        </is>
      </c>
      <c r="I120" s="27" t="n">
        <v>13.509834</v>
      </c>
      <c r="J120" s="27" t="n">
        <v>121.717448</v>
      </c>
      <c r="K120" s="10" t="inlineStr">
        <is>
          <t>U</t>
        </is>
      </c>
      <c r="L120" s="12" t="n">
        <v>868</v>
      </c>
      <c r="M120" s="14" t="n">
        <v>3.9</v>
      </c>
      <c r="N120" s="12">
        <f>ROUND(L120/M120, 0)</f>
        <v/>
      </c>
      <c r="O120" s="12">
        <f>ROUND(N120*'Methodology &amp; Assumptions'!$B$5, 0)</f>
        <v/>
      </c>
      <c r="P120" s="10" t="inlineStr">
        <is>
          <t>Single Carrier (Band n50, 100MHz TDD)</t>
        </is>
      </c>
      <c r="Q120" s="13">
        <f>ROUNDUP(O120/'Methodology &amp; Assumptions'!$B$6, 0)</f>
        <v/>
      </c>
      <c r="R120" s="13" t="n">
        <v>1</v>
      </c>
      <c r="S120" s="14" t="n">
        <v>37.06</v>
      </c>
      <c r="T120" s="14" t="n">
        <v>43.43</v>
      </c>
      <c r="U120" s="26">
        <f>IF(X120&gt;='Methodology &amp; Assumptions'!$B$7, "Tier 1 Critical GIDA (Score ≥ 50.0)", IF(X120&gt;='Methodology &amp; Assumptions'!$B$8, "Tier 2 High GIDA (Score 40.0–49.9)", "Tier 3 Moderate GIDA (Score &lt; 40.0)"))</f>
        <v/>
      </c>
      <c r="V120" s="26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W120" s="28" t="n">
        <v>0.109</v>
      </c>
      <c r="X120" s="14" t="n">
        <v>49.21</v>
      </c>
      <c r="Y120" s="14">
        <f>ROUND(MIN(100, (X120/69.91)*100), 2)</f>
        <v/>
      </c>
    </row>
    <row r="121">
      <c r="A121" s="10" t="n">
        <v>3</v>
      </c>
      <c r="B121" s="10" t="n">
        <v>117</v>
      </c>
      <c r="C121" s="10" t="n">
        <v>2117</v>
      </c>
      <c r="D121" s="10" t="inlineStr">
        <is>
          <t>PH0002117</t>
        </is>
      </c>
      <c r="E121" s="26" t="inlineStr">
        <is>
          <t>NCR</t>
        </is>
      </c>
      <c r="F121" s="26" t="inlineStr">
        <is>
          <t>Metro Manila</t>
        </is>
      </c>
      <c r="G121" s="26" t="inlineStr">
        <is>
          <t>Caloocan City</t>
        </is>
      </c>
      <c r="H121" s="26" t="inlineStr">
        <is>
          <t>Barangay 134</t>
        </is>
      </c>
      <c r="I121" s="27" t="n">
        <v>12.254211</v>
      </c>
      <c r="J121" s="27" t="n">
        <v>123.006565</v>
      </c>
      <c r="K121" s="10" t="inlineStr">
        <is>
          <t>R</t>
        </is>
      </c>
      <c r="L121" s="12" t="n">
        <v>2279</v>
      </c>
      <c r="M121" s="14" t="n">
        <v>3.8</v>
      </c>
      <c r="N121" s="12">
        <f>ROUND(L121/M121, 0)</f>
        <v/>
      </c>
      <c r="O121" s="12">
        <f>ROUND(N121*'Methodology &amp; Assumptions'!$B$5, 0)</f>
        <v/>
      </c>
      <c r="P121" s="10" t="inlineStr">
        <is>
          <t>Single Carrier (Band n50, 100MHz TDD)</t>
        </is>
      </c>
      <c r="Q121" s="13">
        <f>ROUNDUP(O121/'Methodology &amp; Assumptions'!$B$6, 0)</f>
        <v/>
      </c>
      <c r="R121" s="13" t="n">
        <v>1</v>
      </c>
      <c r="S121" s="14" t="n">
        <v>32.6</v>
      </c>
      <c r="T121" s="14" t="n">
        <v>46.76</v>
      </c>
      <c r="U121" s="26">
        <f>IF(X121&gt;='Methodology &amp; Assumptions'!$B$7, "Tier 1 Critical GIDA (Score ≥ 50.0)", IF(X121&gt;='Methodology &amp; Assumptions'!$B$8, "Tier 2 High GIDA (Score 40.0–49.9)", "Tier 3 Moderate GIDA (Score &lt; 40.0)"))</f>
        <v/>
      </c>
      <c r="V121" s="26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W121" s="28" t="n">
        <v>0.011</v>
      </c>
      <c r="X121" s="14" t="n">
        <v>49.21</v>
      </c>
      <c r="Y121" s="14">
        <f>ROUND(MIN(100, (X121/69.91)*100), 2)</f>
        <v/>
      </c>
    </row>
    <row r="122">
      <c r="A122" s="10" t="n">
        <v>3</v>
      </c>
      <c r="B122" s="10" t="n">
        <v>118</v>
      </c>
      <c r="C122" s="10" t="n">
        <v>2118</v>
      </c>
      <c r="D122" s="10" t="inlineStr">
        <is>
          <t>1380610056</t>
        </is>
      </c>
      <c r="E122" s="26" t="inlineStr">
        <is>
          <t>National Capital Region (NCR)</t>
        </is>
      </c>
      <c r="F122" s="26" t="inlineStr">
        <is>
          <t>First District (Not a Province)</t>
        </is>
      </c>
      <c r="G122" s="26" t="inlineStr">
        <is>
          <t>City of Manila</t>
        </is>
      </c>
      <c r="H122" s="26" t="inlineStr">
        <is>
          <t>Barangay 742</t>
        </is>
      </c>
      <c r="I122" s="27" t="n">
        <v>12.45145</v>
      </c>
      <c r="J122" s="27" t="n">
        <v>122.253415</v>
      </c>
      <c r="K122" s="10" t="inlineStr">
        <is>
          <t>U</t>
        </is>
      </c>
      <c r="L122" s="12" t="n">
        <v>832</v>
      </c>
      <c r="M122" s="14" t="n">
        <v>3.9</v>
      </c>
      <c r="N122" s="12">
        <f>ROUND(L122/M122, 0)</f>
        <v/>
      </c>
      <c r="O122" s="12">
        <f>ROUND(N122*'Methodology &amp; Assumptions'!$B$5, 0)</f>
        <v/>
      </c>
      <c r="P122" s="10" t="inlineStr">
        <is>
          <t>Single Carrier (Band n50, 100MHz TDD)</t>
        </is>
      </c>
      <c r="Q122" s="13">
        <f>ROUNDUP(O122/'Methodology &amp; Assumptions'!$B$6, 0)</f>
        <v/>
      </c>
      <c r="R122" s="13" t="n">
        <v>1</v>
      </c>
      <c r="S122" s="14" t="n">
        <v>65.17</v>
      </c>
      <c r="T122" s="14" t="n">
        <v>47.33</v>
      </c>
      <c r="U122" s="26">
        <f>IF(X122&gt;='Methodology &amp; Assumptions'!$B$7, "Tier 1 Critical GIDA (Score ≥ 50.0)", IF(X122&gt;='Methodology &amp; Assumptions'!$B$8, "Tier 2 High GIDA (Score 40.0–49.9)", "Tier 3 Moderate GIDA (Score &lt; 40.0)"))</f>
        <v/>
      </c>
      <c r="V122" s="26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W122" s="28" t="n">
        <v>0.109</v>
      </c>
      <c r="X122" s="14" t="n">
        <v>49.21</v>
      </c>
      <c r="Y122" s="14">
        <f>ROUND(MIN(100, (X122/69.91)*100), 2)</f>
        <v/>
      </c>
    </row>
    <row r="123">
      <c r="A123" s="10" t="n">
        <v>3</v>
      </c>
      <c r="B123" s="10" t="n">
        <v>119</v>
      </c>
      <c r="C123" s="10" t="n">
        <v>2119</v>
      </c>
      <c r="D123" s="10" t="inlineStr">
        <is>
          <t>0205009018</t>
        </is>
      </c>
      <c r="E123" s="26" t="inlineStr">
        <is>
          <t>Region II (Cagayan Valley)</t>
        </is>
      </c>
      <c r="F123" s="26" t="inlineStr">
        <is>
          <t>Nueva Vizcaya</t>
        </is>
      </c>
      <c r="G123" s="26" t="inlineStr">
        <is>
          <t>Kasibu</t>
        </is>
      </c>
      <c r="H123" s="26" t="inlineStr">
        <is>
          <t>Pao</t>
        </is>
      </c>
      <c r="I123" s="27" t="n">
        <v>16.23133</v>
      </c>
      <c r="J123" s="27" t="n">
        <v>121.34953</v>
      </c>
      <c r="K123" s="10" t="inlineStr">
        <is>
          <t>R</t>
        </is>
      </c>
      <c r="L123" s="12" t="n">
        <v>1508</v>
      </c>
      <c r="M123" s="14" t="n">
        <v>3.8</v>
      </c>
      <c r="N123" s="12">
        <f>ROUND(L123/M123, 0)</f>
        <v/>
      </c>
      <c r="O123" s="12">
        <f>ROUND(N123*'Methodology &amp; Assumptions'!$B$5, 0)</f>
        <v/>
      </c>
      <c r="P123" s="10" t="inlineStr">
        <is>
          <t>Single Carrier (Band n50, 100MHz TDD)</t>
        </is>
      </c>
      <c r="Q123" s="13">
        <f>ROUNDUP(O123/'Methodology &amp; Assumptions'!$B$6, 0)</f>
        <v/>
      </c>
      <c r="R123" s="13" t="n">
        <v>1</v>
      </c>
      <c r="S123" s="14" t="n">
        <v>11.16</v>
      </c>
      <c r="T123" s="14" t="n">
        <v>30.59</v>
      </c>
      <c r="U123" s="26">
        <f>IF(X123&gt;='Methodology &amp; Assumptions'!$B$7, "Tier 1 Critical GIDA (Score ≥ 50.0)", IF(X123&gt;='Methodology &amp; Assumptions'!$B$8, "Tier 2 High GIDA (Score 40.0–49.9)", "Tier 3 Moderate GIDA (Score &lt; 40.0)"))</f>
        <v/>
      </c>
      <c r="V123" s="26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W123" s="28" t="n">
        <v>0.083</v>
      </c>
      <c r="X123" s="14" t="n">
        <v>49.21</v>
      </c>
      <c r="Y123" s="14">
        <f>ROUND(MIN(100, (X123/69.91)*100), 2)</f>
        <v/>
      </c>
    </row>
    <row r="124">
      <c r="A124" s="10" t="n">
        <v>3</v>
      </c>
      <c r="B124" s="10" t="n">
        <v>120</v>
      </c>
      <c r="C124" s="10" t="n">
        <v>2120</v>
      </c>
      <c r="D124" s="10" t="inlineStr">
        <is>
          <t>1380612033</t>
        </is>
      </c>
      <c r="E124" s="26" t="inlineStr">
        <is>
          <t>National Capital Region (NCR)</t>
        </is>
      </c>
      <c r="F124" s="26" t="inlineStr">
        <is>
          <t>First District (Not a Province)</t>
        </is>
      </c>
      <c r="G124" s="26" t="inlineStr">
        <is>
          <t>City of Manila</t>
        </is>
      </c>
      <c r="H124" s="26" t="inlineStr">
        <is>
          <t>Barangay 865</t>
        </is>
      </c>
      <c r="I124" s="27" t="n">
        <v>13.309774</v>
      </c>
      <c r="J124" s="27" t="n">
        <v>122.255457</v>
      </c>
      <c r="K124" s="10" t="inlineStr">
        <is>
          <t>U</t>
        </is>
      </c>
      <c r="L124" s="12" t="n">
        <v>81</v>
      </c>
      <c r="M124" s="14" t="n">
        <v>3.9</v>
      </c>
      <c r="N124" s="12">
        <f>ROUND(L124/M124, 0)</f>
        <v/>
      </c>
      <c r="O124" s="12">
        <f>ROUND(N124*'Methodology &amp; Assumptions'!$B$5, 0)</f>
        <v/>
      </c>
      <c r="P124" s="10" t="inlineStr">
        <is>
          <t>Single Carrier (Band n50, 100MHz TDD)</t>
        </is>
      </c>
      <c r="Q124" s="13">
        <f>ROUNDUP(O124/'Methodology &amp; Assumptions'!$B$6, 0)</f>
        <v/>
      </c>
      <c r="R124" s="13" t="n">
        <v>1</v>
      </c>
      <c r="S124" s="14" t="n">
        <v>28.51</v>
      </c>
      <c r="T124" s="14" t="n">
        <v>28.5</v>
      </c>
      <c r="U124" s="26">
        <f>IF(X124&gt;='Methodology &amp; Assumptions'!$B$7, "Tier 1 Critical GIDA (Score ≥ 50.0)", IF(X124&gt;='Methodology &amp; Assumptions'!$B$8, "Tier 2 High GIDA (Score 40.0–49.9)", "Tier 3 Moderate GIDA (Score &lt; 40.0)"))</f>
        <v/>
      </c>
      <c r="V124" s="26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W124" s="28" t="n">
        <v>0.109</v>
      </c>
      <c r="X124" s="14" t="n">
        <v>49.21</v>
      </c>
      <c r="Y124" s="14">
        <f>ROUND(MIN(100, (X124/69.91)*100), 2)</f>
        <v/>
      </c>
    </row>
    <row r="125">
      <c r="A125" s="10" t="n">
        <v>3</v>
      </c>
      <c r="B125" s="10" t="n">
        <v>121</v>
      </c>
      <c r="C125" s="10" t="n">
        <v>2121</v>
      </c>
      <c r="D125" s="10" t="inlineStr">
        <is>
          <t>1903614012</t>
        </is>
      </c>
      <c r="E125" s="26" t="inlineStr">
        <is>
          <t>Bangsamoro Autonomous Region In Muslim Mindanao (BARMM)</t>
        </is>
      </c>
      <c r="F125" s="26" t="inlineStr">
        <is>
          <t>Lanao del Sur</t>
        </is>
      </c>
      <c r="G125" s="26" t="inlineStr">
        <is>
          <t>Madamba</t>
        </is>
      </c>
      <c r="H125" s="26" t="inlineStr">
        <is>
          <t>Liangan</t>
        </is>
      </c>
      <c r="I125" s="27" t="n">
        <v>17.254617</v>
      </c>
      <c r="J125" s="27" t="n">
        <v>122.228661</v>
      </c>
      <c r="K125" s="10" t="inlineStr">
        <is>
          <t>R</t>
        </is>
      </c>
      <c r="L125" s="12" t="n">
        <v>1120</v>
      </c>
      <c r="M125" s="14" t="n">
        <v>5.7</v>
      </c>
      <c r="N125" s="12">
        <f>ROUND(L125/M125, 0)</f>
        <v/>
      </c>
      <c r="O125" s="12">
        <f>ROUND(N125*'Methodology &amp; Assumptions'!$B$5, 0)</f>
        <v/>
      </c>
      <c r="P125" s="10" t="inlineStr">
        <is>
          <t>Single Carrier (Band n50, 100MHz TDD)</t>
        </is>
      </c>
      <c r="Q125" s="13">
        <f>ROUNDUP(O125/'Methodology &amp; Assumptions'!$B$6, 0)</f>
        <v/>
      </c>
      <c r="R125" s="13" t="n">
        <v>1</v>
      </c>
      <c r="S125" s="14" t="n">
        <v>29.38</v>
      </c>
      <c r="T125" s="14" t="n">
        <v>34.27</v>
      </c>
      <c r="U125" s="26">
        <f>IF(X125&gt;='Methodology &amp; Assumptions'!$B$7, "Tier 1 Critical GIDA (Score ≥ 50.0)", IF(X125&gt;='Methodology &amp; Assumptions'!$B$8, "Tier 2 High GIDA (Score 40.0–49.9)", "Tier 3 Moderate GIDA (Score &lt; 40.0)"))</f>
        <v/>
      </c>
      <c r="V125" s="26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W125" s="28" t="n">
        <v>0.11</v>
      </c>
      <c r="X125" s="14" t="n">
        <v>49.2</v>
      </c>
      <c r="Y125" s="14">
        <f>ROUND(MIN(100, (X125/69.91)*100), 2)</f>
        <v/>
      </c>
    </row>
    <row r="126">
      <c r="A126" s="10" t="n">
        <v>3</v>
      </c>
      <c r="B126" s="10" t="n">
        <v>122</v>
      </c>
      <c r="C126" s="10" t="n">
        <v>2122</v>
      </c>
      <c r="D126" s="10" t="inlineStr">
        <is>
          <t>0405603031</t>
        </is>
      </c>
      <c r="E126" s="26" t="inlineStr">
        <is>
          <t>Region IV-A (CALABARZON)</t>
        </is>
      </c>
      <c r="F126" s="26" t="inlineStr">
        <is>
          <t>Quezon</t>
        </is>
      </c>
      <c r="G126" s="26" t="inlineStr">
        <is>
          <t>Atimonan</t>
        </is>
      </c>
      <c r="H126" s="26" t="inlineStr">
        <is>
          <t>San Andres Bundok</t>
        </is>
      </c>
      <c r="I126" s="27" t="n">
        <v>13.952677</v>
      </c>
      <c r="J126" s="27" t="n">
        <v>121.865704</v>
      </c>
      <c r="K126" s="10" t="inlineStr">
        <is>
          <t>R</t>
        </is>
      </c>
      <c r="L126" s="12" t="n">
        <v>283</v>
      </c>
      <c r="M126" s="14" t="n">
        <v>3.8</v>
      </c>
      <c r="N126" s="12">
        <f>ROUND(L126/M126, 0)</f>
        <v/>
      </c>
      <c r="O126" s="12">
        <f>ROUND(N126*'Methodology &amp; Assumptions'!$B$5, 0)</f>
        <v/>
      </c>
      <c r="P126" s="10" t="inlineStr">
        <is>
          <t>Single Carrier (Band n50, 100MHz TDD)</t>
        </is>
      </c>
      <c r="Q126" s="13">
        <f>ROUNDUP(O126/'Methodology &amp; Assumptions'!$B$6, 0)</f>
        <v/>
      </c>
      <c r="R126" s="13" t="n">
        <v>1</v>
      </c>
      <c r="S126" s="14" t="n">
        <v>6.76</v>
      </c>
      <c r="T126" s="14" t="n">
        <v>4.13</v>
      </c>
      <c r="U126" s="26">
        <f>IF(X126&gt;='Methodology &amp; Assumptions'!$B$7, "Tier 1 Critical GIDA (Score ≥ 50.0)", IF(X126&gt;='Methodology &amp; Assumptions'!$B$8, "Tier 2 High GIDA (Score 40.0–49.9)", "Tier 3 Moderate GIDA (Score &lt; 40.0)"))</f>
        <v/>
      </c>
      <c r="V126" s="26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W126" s="28" t="n">
        <v>0.07200000000000001</v>
      </c>
      <c r="X126" s="14" t="n">
        <v>49.2</v>
      </c>
      <c r="Y126" s="14">
        <f>ROUND(MIN(100, (X126/69.91)*100), 2)</f>
        <v/>
      </c>
    </row>
    <row r="127">
      <c r="A127" s="10" t="n">
        <v>3</v>
      </c>
      <c r="B127" s="10" t="n">
        <v>123</v>
      </c>
      <c r="C127" s="10" t="n">
        <v>2123</v>
      </c>
      <c r="D127" s="10" t="inlineStr">
        <is>
          <t>PH0002123</t>
        </is>
      </c>
      <c r="E127" s="26" t="inlineStr">
        <is>
          <t>XI</t>
        </is>
      </c>
      <c r="F127" s="26" t="inlineStr">
        <is>
          <t>Davao Del Sur</t>
        </is>
      </c>
      <c r="G127" s="26" t="inlineStr">
        <is>
          <t>Davao City</t>
        </is>
      </c>
      <c r="H127" s="26" t="inlineStr">
        <is>
          <t>Barangay 27-C (Pob.)</t>
        </is>
      </c>
      <c r="I127" s="27" t="n">
        <v>7.178947</v>
      </c>
      <c r="J127" s="27" t="n">
        <v>125.493493</v>
      </c>
      <c r="K127" s="10" t="inlineStr">
        <is>
          <t>R</t>
        </is>
      </c>
      <c r="L127" s="12" t="n">
        <v>2280</v>
      </c>
      <c r="M127" s="14" t="n">
        <v>3.4</v>
      </c>
      <c r="N127" s="12">
        <f>ROUND(L127/M127, 0)</f>
        <v/>
      </c>
      <c r="O127" s="12">
        <f>ROUND(N127*'Methodology &amp; Assumptions'!$B$5, 0)</f>
        <v/>
      </c>
      <c r="P127" s="10" t="inlineStr">
        <is>
          <t>Single Carrier (Band n50, 100MHz TDD)</t>
        </is>
      </c>
      <c r="Q127" s="13">
        <f>ROUNDUP(O127/'Methodology &amp; Assumptions'!$B$6, 0)</f>
        <v/>
      </c>
      <c r="R127" s="13" t="n">
        <v>1</v>
      </c>
      <c r="S127" s="14" t="n">
        <v>4.34</v>
      </c>
      <c r="T127" s="14" t="n">
        <v>2.5</v>
      </c>
      <c r="U127" s="26">
        <f>IF(X127&gt;='Methodology &amp; Assumptions'!$B$7, "Tier 1 Critical GIDA (Score ≥ 50.0)", IF(X127&gt;='Methodology &amp; Assumptions'!$B$8, "Tier 2 High GIDA (Score 40.0–49.9)", "Tier 3 Moderate GIDA (Score &lt; 40.0)"))</f>
        <v/>
      </c>
      <c r="V127" s="26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W127" s="28" t="n">
        <v>0.119</v>
      </c>
      <c r="X127" s="14" t="n">
        <v>49.2</v>
      </c>
      <c r="Y127" s="14">
        <f>ROUND(MIN(100, (X127/69.91)*100), 2)</f>
        <v/>
      </c>
    </row>
    <row r="128">
      <c r="A128" s="10" t="n">
        <v>3</v>
      </c>
      <c r="B128" s="10" t="n">
        <v>124</v>
      </c>
      <c r="C128" s="10" t="n">
        <v>2124</v>
      </c>
      <c r="D128" s="10" t="inlineStr">
        <is>
          <t>1381300100</t>
        </is>
      </c>
      <c r="E128" s="26" t="inlineStr">
        <is>
          <t>National Capital Region (NCR)</t>
        </is>
      </c>
      <c r="F128" s="26" t="inlineStr">
        <is>
          <t>Second District (Not a Province)</t>
        </is>
      </c>
      <c r="G128" s="26" t="inlineStr">
        <is>
          <t>Quezon City</t>
        </is>
      </c>
      <c r="H128" s="26" t="inlineStr">
        <is>
          <t>San Jose</t>
        </is>
      </c>
      <c r="I128" s="27" t="n">
        <v>14.56373</v>
      </c>
      <c r="J128" s="27" t="n">
        <v>121.04732</v>
      </c>
      <c r="K128" s="10" t="inlineStr">
        <is>
          <t>U</t>
        </is>
      </c>
      <c r="L128" s="12" t="n">
        <v>6089</v>
      </c>
      <c r="M128" s="14" t="n">
        <v>3.8</v>
      </c>
      <c r="N128" s="12">
        <f>ROUND(L128/M128, 0)</f>
        <v/>
      </c>
      <c r="O128" s="12">
        <f>ROUND(N128*'Methodology &amp; Assumptions'!$B$5, 0)</f>
        <v/>
      </c>
      <c r="P128" s="10" t="inlineStr">
        <is>
          <t>Single Carrier (Band n50, 100MHz TDD)</t>
        </is>
      </c>
      <c r="Q128" s="13">
        <f>ROUNDUP(O128/'Methodology &amp; Assumptions'!$B$6, 0)</f>
        <v/>
      </c>
      <c r="R128" s="13" t="n">
        <v>1</v>
      </c>
      <c r="S128" s="14" t="n">
        <v>2.03</v>
      </c>
      <c r="T128" s="14" t="n">
        <v>0.33</v>
      </c>
      <c r="U128" s="26">
        <f>IF(X128&gt;='Methodology &amp; Assumptions'!$B$7, "Tier 1 Critical GIDA (Score ≥ 50.0)", IF(X128&gt;='Methodology &amp; Assumptions'!$B$8, "Tier 2 High GIDA (Score 40.0–49.9)", "Tier 3 Moderate GIDA (Score &lt; 40.0)"))</f>
        <v/>
      </c>
      <c r="V128" s="26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W128" s="28" t="n">
        <v>0.109</v>
      </c>
      <c r="X128" s="14" t="n">
        <v>49.2</v>
      </c>
      <c r="Y128" s="14">
        <f>ROUND(MIN(100, (X128/69.91)*100), 2)</f>
        <v/>
      </c>
    </row>
    <row r="129">
      <c r="A129" s="10" t="n">
        <v>3</v>
      </c>
      <c r="B129" s="10" t="n">
        <v>125</v>
      </c>
      <c r="C129" s="10" t="n">
        <v>2125</v>
      </c>
      <c r="D129" s="10" t="inlineStr">
        <is>
          <t>1380601234</t>
        </is>
      </c>
      <c r="E129" s="26" t="inlineStr">
        <is>
          <t>National Capital Region (NCR)</t>
        </is>
      </c>
      <c r="F129" s="26" t="inlineStr">
        <is>
          <t>First District (Not a Province)</t>
        </is>
      </c>
      <c r="G129" s="26" t="inlineStr">
        <is>
          <t>City of Manila</t>
        </is>
      </c>
      <c r="H129" s="26" t="inlineStr">
        <is>
          <t>Barangay 233</t>
        </is>
      </c>
      <c r="I129" s="27" t="n">
        <v>12.244188</v>
      </c>
      <c r="J129" s="27" t="n">
        <v>121.716965</v>
      </c>
      <c r="K129" s="10" t="inlineStr">
        <is>
          <t>U</t>
        </is>
      </c>
      <c r="L129" s="12" t="n">
        <v>757</v>
      </c>
      <c r="M129" s="14" t="n">
        <v>3.9</v>
      </c>
      <c r="N129" s="12">
        <f>ROUND(L129/M129, 0)</f>
        <v/>
      </c>
      <c r="O129" s="12">
        <f>ROUND(N129*'Methodology &amp; Assumptions'!$B$5, 0)</f>
        <v/>
      </c>
      <c r="P129" s="10" t="inlineStr">
        <is>
          <t>Single Carrier (Band n50, 100MHz TDD)</t>
        </is>
      </c>
      <c r="Q129" s="13">
        <f>ROUNDUP(O129/'Methodology &amp; Assumptions'!$B$6, 0)</f>
        <v/>
      </c>
      <c r="R129" s="13" t="n">
        <v>1</v>
      </c>
      <c r="S129" s="14" t="n">
        <v>41.25</v>
      </c>
      <c r="T129" s="14" t="n">
        <v>4.26</v>
      </c>
      <c r="U129" s="26">
        <f>IF(X129&gt;='Methodology &amp; Assumptions'!$B$7, "Tier 1 Critical GIDA (Score ≥ 50.0)", IF(X129&gt;='Methodology &amp; Assumptions'!$B$8, "Tier 2 High GIDA (Score 40.0–49.9)", "Tier 3 Moderate GIDA (Score &lt; 40.0)"))</f>
        <v/>
      </c>
      <c r="V129" s="26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W129" s="28" t="n">
        <v>0.109</v>
      </c>
      <c r="X129" s="14" t="n">
        <v>49.2</v>
      </c>
      <c r="Y129" s="14">
        <f>ROUND(MIN(100, (X129/69.91)*100), 2)</f>
        <v/>
      </c>
    </row>
    <row r="130">
      <c r="A130" s="10" t="n">
        <v>3</v>
      </c>
      <c r="B130" s="10" t="n">
        <v>126</v>
      </c>
      <c r="C130" s="10" t="n">
        <v>2126</v>
      </c>
      <c r="D130" s="10" t="inlineStr">
        <is>
          <t>PH0002126</t>
        </is>
      </c>
      <c r="E130" s="26" t="inlineStr">
        <is>
          <t>NCR</t>
        </is>
      </c>
      <c r="F130" s="26" t="inlineStr">
        <is>
          <t>Metro Manila</t>
        </is>
      </c>
      <c r="G130" s="26" t="inlineStr">
        <is>
          <t>Caloocan City</t>
        </is>
      </c>
      <c r="H130" s="26" t="inlineStr">
        <is>
          <t>Barangay 138</t>
        </is>
      </c>
      <c r="I130" s="27" t="n">
        <v>12.528752</v>
      </c>
      <c r="J130" s="27" t="n">
        <v>120.43044</v>
      </c>
      <c r="K130" s="10" t="inlineStr">
        <is>
          <t>R</t>
        </is>
      </c>
      <c r="L130" s="12" t="n">
        <v>2279</v>
      </c>
      <c r="M130" s="14" t="n">
        <v>3.8</v>
      </c>
      <c r="N130" s="12">
        <f>ROUND(L130/M130, 0)</f>
        <v/>
      </c>
      <c r="O130" s="12">
        <f>ROUND(N130*'Methodology &amp; Assumptions'!$B$5, 0)</f>
        <v/>
      </c>
      <c r="P130" s="10" t="inlineStr">
        <is>
          <t>Single Carrier (Band n50, 100MHz TDD)</t>
        </is>
      </c>
      <c r="Q130" s="13">
        <f>ROUNDUP(O130/'Methodology &amp; Assumptions'!$B$6, 0)</f>
        <v/>
      </c>
      <c r="R130" s="13" t="n">
        <v>1</v>
      </c>
      <c r="S130" s="14" t="n">
        <v>61.64</v>
      </c>
      <c r="T130" s="14" t="n">
        <v>70.44</v>
      </c>
      <c r="U130" s="26">
        <f>IF(X130&gt;='Methodology &amp; Assumptions'!$B$7, "Tier 1 Critical GIDA (Score ≥ 50.0)", IF(X130&gt;='Methodology &amp; Assumptions'!$B$8, "Tier 2 High GIDA (Score 40.0–49.9)", "Tier 3 Moderate GIDA (Score &lt; 40.0)"))</f>
        <v/>
      </c>
      <c r="V130" s="26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W130" s="28" t="n">
        <v>0.011</v>
      </c>
      <c r="X130" s="14" t="n">
        <v>49.2</v>
      </c>
      <c r="Y130" s="14">
        <f>ROUND(MIN(100, (X130/69.91)*100), 2)</f>
        <v/>
      </c>
    </row>
    <row r="131">
      <c r="A131" s="10" t="n">
        <v>3</v>
      </c>
      <c r="B131" s="10" t="n">
        <v>127</v>
      </c>
      <c r="C131" s="10" t="n">
        <v>2127</v>
      </c>
      <c r="D131" s="10" t="inlineStr">
        <is>
          <t>1380612001</t>
        </is>
      </c>
      <c r="E131" s="26" t="inlineStr">
        <is>
          <t>National Capital Region (NCR)</t>
        </is>
      </c>
      <c r="F131" s="26" t="inlineStr">
        <is>
          <t>First District (Not a Province)</t>
        </is>
      </c>
      <c r="G131" s="26" t="inlineStr">
        <is>
          <t>City of Manila</t>
        </is>
      </c>
      <c r="H131" s="26" t="inlineStr">
        <is>
          <t>Barangay 833</t>
        </is>
      </c>
      <c r="I131" s="27" t="n">
        <v>13.386882</v>
      </c>
      <c r="J131" s="27" t="n">
        <v>121.374781</v>
      </c>
      <c r="K131" s="10" t="inlineStr">
        <is>
          <t>U</t>
        </is>
      </c>
      <c r="L131" s="12" t="n">
        <v>1550</v>
      </c>
      <c r="M131" s="14" t="n">
        <v>3.9</v>
      </c>
      <c r="N131" s="12">
        <f>ROUND(L131/M131, 0)</f>
        <v/>
      </c>
      <c r="O131" s="12">
        <f>ROUND(N131*'Methodology &amp; Assumptions'!$B$5, 0)</f>
        <v/>
      </c>
      <c r="P131" s="10" t="inlineStr">
        <is>
          <t>Single Carrier (Band n50, 100MHz TDD)</t>
        </is>
      </c>
      <c r="Q131" s="13">
        <f>ROUNDUP(O131/'Methodology &amp; Assumptions'!$B$6, 0)</f>
        <v/>
      </c>
      <c r="R131" s="13" t="n">
        <v>1</v>
      </c>
      <c r="S131" s="14" t="n">
        <v>10.71</v>
      </c>
      <c r="T131" s="14" t="n">
        <v>17.62</v>
      </c>
      <c r="U131" s="26">
        <f>IF(X131&gt;='Methodology &amp; Assumptions'!$B$7, "Tier 1 Critical GIDA (Score ≥ 50.0)", IF(X131&gt;='Methodology &amp; Assumptions'!$B$8, "Tier 2 High GIDA (Score 40.0–49.9)", "Tier 3 Moderate GIDA (Score &lt; 40.0)"))</f>
        <v/>
      </c>
      <c r="V131" s="26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W131" s="28" t="n">
        <v>0.109</v>
      </c>
      <c r="X131" s="14" t="n">
        <v>49.2</v>
      </c>
      <c r="Y131" s="14">
        <f>ROUND(MIN(100, (X131/69.91)*100), 2)</f>
        <v/>
      </c>
    </row>
    <row r="132">
      <c r="A132" s="10" t="n">
        <v>3</v>
      </c>
      <c r="B132" s="10" t="n">
        <v>128</v>
      </c>
      <c r="C132" s="10" t="n">
        <v>2128</v>
      </c>
      <c r="D132" s="10" t="inlineStr">
        <is>
          <t>1380601160</t>
        </is>
      </c>
      <c r="E132" s="26" t="inlineStr">
        <is>
          <t>National Capital Region (NCR)</t>
        </is>
      </c>
      <c r="F132" s="26" t="inlineStr">
        <is>
          <t>First District (Not a Province)</t>
        </is>
      </c>
      <c r="G132" s="26" t="inlineStr">
        <is>
          <t>City of Manila</t>
        </is>
      </c>
      <c r="H132" s="26" t="inlineStr">
        <is>
          <t>Barangay 160</t>
        </is>
      </c>
      <c r="I132" s="27" t="n">
        <v>12.768454</v>
      </c>
      <c r="J132" s="27" t="n">
        <v>122.42119</v>
      </c>
      <c r="K132" s="10" t="inlineStr">
        <is>
          <t>U</t>
        </is>
      </c>
      <c r="L132" s="12" t="n">
        <v>1294</v>
      </c>
      <c r="M132" s="14" t="n">
        <v>3.9</v>
      </c>
      <c r="N132" s="12">
        <f>ROUND(L132/M132, 0)</f>
        <v/>
      </c>
      <c r="O132" s="12">
        <f>ROUND(N132*'Methodology &amp; Assumptions'!$B$5, 0)</f>
        <v/>
      </c>
      <c r="P132" s="10" t="inlineStr">
        <is>
          <t>Single Carrier (Band n50, 100MHz TDD)</t>
        </is>
      </c>
      <c r="Q132" s="13">
        <f>ROUNDUP(O132/'Methodology &amp; Assumptions'!$B$6, 0)</f>
        <v/>
      </c>
      <c r="R132" s="13" t="n">
        <v>1</v>
      </c>
      <c r="S132" s="14" t="n">
        <v>58.13</v>
      </c>
      <c r="T132" s="14" t="n">
        <v>84.28</v>
      </c>
      <c r="U132" s="26">
        <f>IF(X132&gt;='Methodology &amp; Assumptions'!$B$7, "Tier 1 Critical GIDA (Score ≥ 50.0)", IF(X132&gt;='Methodology &amp; Assumptions'!$B$8, "Tier 2 High GIDA (Score 40.0–49.9)", "Tier 3 Moderate GIDA (Score &lt; 40.0)"))</f>
        <v/>
      </c>
      <c r="V132" s="26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W132" s="28" t="n">
        <v>0.109</v>
      </c>
      <c r="X132" s="14" t="n">
        <v>49.2</v>
      </c>
      <c r="Y132" s="14">
        <f>ROUND(MIN(100, (X132/69.91)*100), 2)</f>
        <v/>
      </c>
    </row>
    <row r="133">
      <c r="A133" s="10" t="n">
        <v>3</v>
      </c>
      <c r="B133" s="10" t="n">
        <v>129</v>
      </c>
      <c r="C133" s="10" t="n">
        <v>2129</v>
      </c>
      <c r="D133" s="10" t="inlineStr">
        <is>
          <t>PH0002129</t>
        </is>
      </c>
      <c r="E133" s="26" t="inlineStr">
        <is>
          <t>NCR</t>
        </is>
      </c>
      <c r="F133" s="26" t="inlineStr">
        <is>
          <t>Metro Manila</t>
        </is>
      </c>
      <c r="G133" s="26" t="inlineStr">
        <is>
          <t>Caloocan City</t>
        </is>
      </c>
      <c r="H133" s="26" t="inlineStr">
        <is>
          <t>Barangay 39</t>
        </is>
      </c>
      <c r="I133" s="27" t="n">
        <v>14.024443</v>
      </c>
      <c r="J133" s="27" t="n">
        <v>122.522104</v>
      </c>
      <c r="K133" s="10" t="inlineStr">
        <is>
          <t>R</t>
        </is>
      </c>
      <c r="L133" s="12" t="n">
        <v>2279</v>
      </c>
      <c r="M133" s="14" t="n">
        <v>3.8</v>
      </c>
      <c r="N133" s="12">
        <f>ROUND(L133/M133, 0)</f>
        <v/>
      </c>
      <c r="O133" s="12">
        <f>ROUND(N133*'Methodology &amp; Assumptions'!$B$5, 0)</f>
        <v/>
      </c>
      <c r="P133" s="10" t="inlineStr">
        <is>
          <t>Single Carrier (Band n50, 100MHz TDD)</t>
        </is>
      </c>
      <c r="Q133" s="13">
        <f>ROUNDUP(O133/'Methodology &amp; Assumptions'!$B$6, 0)</f>
        <v/>
      </c>
      <c r="R133" s="13" t="n">
        <v>1</v>
      </c>
      <c r="S133" s="14" t="n">
        <v>5.94</v>
      </c>
      <c r="T133" s="14" t="n">
        <v>1.03</v>
      </c>
      <c r="U133" s="26">
        <f>IF(X133&gt;='Methodology &amp; Assumptions'!$B$7, "Tier 1 Critical GIDA (Score ≥ 50.0)", IF(X133&gt;='Methodology &amp; Assumptions'!$B$8, "Tier 2 High GIDA (Score 40.0–49.9)", "Tier 3 Moderate GIDA (Score &lt; 40.0)"))</f>
        <v/>
      </c>
      <c r="V133" s="26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W133" s="28" t="n">
        <v>0.011</v>
      </c>
      <c r="X133" s="14" t="n">
        <v>49.2</v>
      </c>
      <c r="Y133" s="14">
        <f>ROUND(MIN(100, (X133/69.91)*100), 2)</f>
        <v/>
      </c>
    </row>
    <row r="134">
      <c r="A134" s="10" t="n">
        <v>3</v>
      </c>
      <c r="B134" s="10" t="n">
        <v>130</v>
      </c>
      <c r="C134" s="10" t="n">
        <v>2130</v>
      </c>
      <c r="D134" s="10" t="inlineStr">
        <is>
          <t>1380601007</t>
        </is>
      </c>
      <c r="E134" s="26" t="inlineStr">
        <is>
          <t>National Capital Region (NCR)</t>
        </is>
      </c>
      <c r="F134" s="26" t="inlineStr">
        <is>
          <t>First District (Not a Province)</t>
        </is>
      </c>
      <c r="G134" s="26" t="inlineStr">
        <is>
          <t>City of Manila</t>
        </is>
      </c>
      <c r="H134" s="26" t="inlineStr">
        <is>
          <t>Barangay 7</t>
        </is>
      </c>
      <c r="I134" s="27" t="n">
        <v>12.53476</v>
      </c>
      <c r="J134" s="27" t="n">
        <v>121.218578</v>
      </c>
      <c r="K134" s="10" t="inlineStr">
        <is>
          <t>U</t>
        </is>
      </c>
      <c r="L134" s="12" t="n">
        <v>1607</v>
      </c>
      <c r="M134" s="14" t="n">
        <v>3.9</v>
      </c>
      <c r="N134" s="12">
        <f>ROUND(L134/M134, 0)</f>
        <v/>
      </c>
      <c r="O134" s="12">
        <f>ROUND(N134*'Methodology &amp; Assumptions'!$B$5, 0)</f>
        <v/>
      </c>
      <c r="P134" s="10" t="inlineStr">
        <is>
          <t>Single Carrier (Band n50, 100MHz TDD)</t>
        </is>
      </c>
      <c r="Q134" s="13">
        <f>ROUNDUP(O134/'Methodology &amp; Assumptions'!$B$6, 0)</f>
        <v/>
      </c>
      <c r="R134" s="13" t="n">
        <v>1</v>
      </c>
      <c r="S134" s="14" t="n">
        <v>23.99</v>
      </c>
      <c r="T134" s="14" t="n">
        <v>22.11</v>
      </c>
      <c r="U134" s="26">
        <f>IF(X134&gt;='Methodology &amp; Assumptions'!$B$7, "Tier 1 Critical GIDA (Score ≥ 50.0)", IF(X134&gt;='Methodology &amp; Assumptions'!$B$8, "Tier 2 High GIDA (Score 40.0–49.9)", "Tier 3 Moderate GIDA (Score &lt; 40.0)"))</f>
        <v/>
      </c>
      <c r="V134" s="26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W134" s="28" t="n">
        <v>0.109</v>
      </c>
      <c r="X134" s="14" t="n">
        <v>49.2</v>
      </c>
      <c r="Y134" s="14">
        <f>ROUND(MIN(100, (X134/69.91)*100), 2)</f>
        <v/>
      </c>
    </row>
    <row r="135">
      <c r="A135" s="10" t="n">
        <v>3</v>
      </c>
      <c r="B135" s="10" t="n">
        <v>131</v>
      </c>
      <c r="C135" s="10" t="n">
        <v>2131</v>
      </c>
      <c r="D135" s="10" t="inlineStr">
        <is>
          <t>1380614020</t>
        </is>
      </c>
      <c r="E135" s="26" t="inlineStr">
        <is>
          <t>National Capital Region (NCR)</t>
        </is>
      </c>
      <c r="F135" s="26" t="inlineStr">
        <is>
          <t>First District (Not a Province)</t>
        </is>
      </c>
      <c r="G135" s="26" t="inlineStr">
        <is>
          <t>City of Manila</t>
        </is>
      </c>
      <c r="H135" s="26" t="inlineStr">
        <is>
          <t>Barangay 764</t>
        </is>
      </c>
      <c r="I135" s="27" t="n">
        <v>13.501117</v>
      </c>
      <c r="J135" s="27" t="n">
        <v>121.944806</v>
      </c>
      <c r="K135" s="10" t="inlineStr">
        <is>
          <t>U</t>
        </is>
      </c>
      <c r="L135" s="12" t="n">
        <v>2083</v>
      </c>
      <c r="M135" s="14" t="n">
        <v>3.9</v>
      </c>
      <c r="N135" s="12">
        <f>ROUND(L135/M135, 0)</f>
        <v/>
      </c>
      <c r="O135" s="12">
        <f>ROUND(N135*'Methodology &amp; Assumptions'!$B$5, 0)</f>
        <v/>
      </c>
      <c r="P135" s="10" t="inlineStr">
        <is>
          <t>Single Carrier (Band n50, 100MHz TDD)</t>
        </is>
      </c>
      <c r="Q135" s="13">
        <f>ROUNDUP(O135/'Methodology &amp; Assumptions'!$B$6, 0)</f>
        <v/>
      </c>
      <c r="R135" s="13" t="n">
        <v>1</v>
      </c>
      <c r="S135" s="14" t="n">
        <v>32.65</v>
      </c>
      <c r="T135" s="14" t="n">
        <v>32.66</v>
      </c>
      <c r="U135" s="26">
        <f>IF(X135&gt;='Methodology &amp; Assumptions'!$B$7, "Tier 1 Critical GIDA (Score ≥ 50.0)", IF(X135&gt;='Methodology &amp; Assumptions'!$B$8, "Tier 2 High GIDA (Score 40.0–49.9)", "Tier 3 Moderate GIDA (Score &lt; 40.0)"))</f>
        <v/>
      </c>
      <c r="V135" s="26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W135" s="28" t="n">
        <v>0.109</v>
      </c>
      <c r="X135" s="14" t="n">
        <v>49.19</v>
      </c>
      <c r="Y135" s="14">
        <f>ROUND(MIN(100, (X135/69.91)*100), 2)</f>
        <v/>
      </c>
    </row>
    <row r="136">
      <c r="A136" s="10" t="n">
        <v>3</v>
      </c>
      <c r="B136" s="10" t="n">
        <v>132</v>
      </c>
      <c r="C136" s="10" t="n">
        <v>2132</v>
      </c>
      <c r="D136" s="10" t="inlineStr">
        <is>
          <t>1380605019</t>
        </is>
      </c>
      <c r="E136" s="26" t="inlineStr">
        <is>
          <t>National Capital Region (NCR)</t>
        </is>
      </c>
      <c r="F136" s="26" t="inlineStr">
        <is>
          <t>First District (Not a Province)</t>
        </is>
      </c>
      <c r="G136" s="26" t="inlineStr">
        <is>
          <t>City of Manila</t>
        </is>
      </c>
      <c r="H136" s="26" t="inlineStr">
        <is>
          <t>Barangay 317</t>
        </is>
      </c>
      <c r="I136" s="27" t="n">
        <v>12.307855</v>
      </c>
      <c r="J136" s="27" t="n">
        <v>122.079367</v>
      </c>
      <c r="K136" s="10" t="inlineStr">
        <is>
          <t>U</t>
        </is>
      </c>
      <c r="L136" s="12" t="n">
        <v>1589</v>
      </c>
      <c r="M136" s="14" t="n">
        <v>3.9</v>
      </c>
      <c r="N136" s="12">
        <f>ROUND(L136/M136, 0)</f>
        <v/>
      </c>
      <c r="O136" s="12">
        <f>ROUND(N136*'Methodology &amp; Assumptions'!$B$5, 0)</f>
        <v/>
      </c>
      <c r="P136" s="10" t="inlineStr">
        <is>
          <t>Single Carrier (Band n50, 100MHz TDD)</t>
        </is>
      </c>
      <c r="Q136" s="13">
        <f>ROUNDUP(O136/'Methodology &amp; Assumptions'!$B$6, 0)</f>
        <v/>
      </c>
      <c r="R136" s="13" t="n">
        <v>1</v>
      </c>
      <c r="S136" s="14" t="n">
        <v>42.53</v>
      </c>
      <c r="T136" s="14" t="n">
        <v>23.11</v>
      </c>
      <c r="U136" s="26">
        <f>IF(X136&gt;='Methodology &amp; Assumptions'!$B$7, "Tier 1 Critical GIDA (Score ≥ 50.0)", IF(X136&gt;='Methodology &amp; Assumptions'!$B$8, "Tier 2 High GIDA (Score 40.0–49.9)", "Tier 3 Moderate GIDA (Score &lt; 40.0)"))</f>
        <v/>
      </c>
      <c r="V136" s="26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W136" s="28" t="n">
        <v>0.109</v>
      </c>
      <c r="X136" s="14" t="n">
        <v>49.19</v>
      </c>
      <c r="Y136" s="14">
        <f>ROUND(MIN(100, (X136/69.91)*100), 2)</f>
        <v/>
      </c>
    </row>
    <row r="137">
      <c r="A137" s="10" t="n">
        <v>3</v>
      </c>
      <c r="B137" s="10" t="n">
        <v>133</v>
      </c>
      <c r="C137" s="10" t="n">
        <v>2133</v>
      </c>
      <c r="D137" s="10" t="inlineStr">
        <is>
          <t>1380601210</t>
        </is>
      </c>
      <c r="E137" s="26" t="inlineStr">
        <is>
          <t>National Capital Region (NCR)</t>
        </is>
      </c>
      <c r="F137" s="26" t="inlineStr">
        <is>
          <t>First District (Not a Province)</t>
        </is>
      </c>
      <c r="G137" s="26" t="inlineStr">
        <is>
          <t>City of Manila</t>
        </is>
      </c>
      <c r="H137" s="26" t="inlineStr">
        <is>
          <t>Barangay 209</t>
        </is>
      </c>
      <c r="I137" s="27" t="n">
        <v>13.100658</v>
      </c>
      <c r="J137" s="27" t="n">
        <v>121.151255</v>
      </c>
      <c r="K137" s="10" t="inlineStr">
        <is>
          <t>U</t>
        </is>
      </c>
      <c r="L137" s="12" t="n">
        <v>5229</v>
      </c>
      <c r="M137" s="14" t="n">
        <v>3.9</v>
      </c>
      <c r="N137" s="12">
        <f>ROUND(L137/M137, 0)</f>
        <v/>
      </c>
      <c r="O137" s="12">
        <f>ROUND(N137*'Methodology &amp; Assumptions'!$B$5, 0)</f>
        <v/>
      </c>
      <c r="P137" s="10" t="inlineStr">
        <is>
          <t>Single Carrier (Band n50, 100MHz TDD)</t>
        </is>
      </c>
      <c r="Q137" s="13">
        <f>ROUNDUP(O137/'Methodology &amp; Assumptions'!$B$6, 0)</f>
        <v/>
      </c>
      <c r="R137" s="13" t="n">
        <v>1</v>
      </c>
      <c r="S137" s="14" t="n">
        <v>15.79</v>
      </c>
      <c r="T137" s="14" t="n">
        <v>14.8</v>
      </c>
      <c r="U137" s="26">
        <f>IF(X137&gt;='Methodology &amp; Assumptions'!$B$7, "Tier 1 Critical GIDA (Score ≥ 50.0)", IF(X137&gt;='Methodology &amp; Assumptions'!$B$8, "Tier 2 High GIDA (Score 40.0–49.9)", "Tier 3 Moderate GIDA (Score &lt; 40.0)"))</f>
        <v/>
      </c>
      <c r="V137" s="26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W137" s="28" t="n">
        <v>0.109</v>
      </c>
      <c r="X137" s="14" t="n">
        <v>49.19</v>
      </c>
      <c r="Y137" s="14">
        <f>ROUND(MIN(100, (X137/69.91)*100), 2)</f>
        <v/>
      </c>
    </row>
    <row r="138">
      <c r="A138" s="10" t="n">
        <v>3</v>
      </c>
      <c r="B138" s="10" t="n">
        <v>134</v>
      </c>
      <c r="C138" s="10" t="n">
        <v>2134</v>
      </c>
      <c r="D138" s="10" t="inlineStr">
        <is>
          <t>1380614033</t>
        </is>
      </c>
      <c r="E138" s="26" t="inlineStr">
        <is>
          <t>National Capital Region (NCR)</t>
        </is>
      </c>
      <c r="F138" s="26" t="inlineStr">
        <is>
          <t>First District (Not a Province)</t>
        </is>
      </c>
      <c r="G138" s="26" t="inlineStr">
        <is>
          <t>City of Manila</t>
        </is>
      </c>
      <c r="H138" s="26" t="inlineStr">
        <is>
          <t>Barangay 777</t>
        </is>
      </c>
      <c r="I138" s="27" t="n">
        <v>13.127444</v>
      </c>
      <c r="J138" s="27" t="n">
        <v>122.387545</v>
      </c>
      <c r="K138" s="10" t="inlineStr">
        <is>
          <t>U</t>
        </is>
      </c>
      <c r="L138" s="12" t="n">
        <v>3102</v>
      </c>
      <c r="M138" s="14" t="n">
        <v>3.9</v>
      </c>
      <c r="N138" s="12">
        <f>ROUND(L138/M138, 0)</f>
        <v/>
      </c>
      <c r="O138" s="12">
        <f>ROUND(N138*'Methodology &amp; Assumptions'!$B$5, 0)</f>
        <v/>
      </c>
      <c r="P138" s="10" t="inlineStr">
        <is>
          <t>Single Carrier (Band n50, 100MHz TDD)</t>
        </is>
      </c>
      <c r="Q138" s="13">
        <f>ROUNDUP(O138/'Methodology &amp; Assumptions'!$B$6, 0)</f>
        <v/>
      </c>
      <c r="R138" s="13" t="n">
        <v>1</v>
      </c>
      <c r="S138" s="14" t="n">
        <v>28.16</v>
      </c>
      <c r="T138" s="14" t="n">
        <v>44.35</v>
      </c>
      <c r="U138" s="26">
        <f>IF(X138&gt;='Methodology &amp; Assumptions'!$B$7, "Tier 1 Critical GIDA (Score ≥ 50.0)", IF(X138&gt;='Methodology &amp; Assumptions'!$B$8, "Tier 2 High GIDA (Score 40.0–49.9)", "Tier 3 Moderate GIDA (Score &lt; 40.0)"))</f>
        <v/>
      </c>
      <c r="V138" s="26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W138" s="28" t="n">
        <v>0.109</v>
      </c>
      <c r="X138" s="14" t="n">
        <v>49.19</v>
      </c>
      <c r="Y138" s="14">
        <f>ROUND(MIN(100, (X138/69.91)*100), 2)</f>
        <v/>
      </c>
    </row>
    <row r="139">
      <c r="A139" s="10" t="n">
        <v>3</v>
      </c>
      <c r="B139" s="10" t="n">
        <v>135</v>
      </c>
      <c r="C139" s="10" t="n">
        <v>2135</v>
      </c>
      <c r="D139" s="10" t="inlineStr">
        <is>
          <t>PH0002135</t>
        </is>
      </c>
      <c r="E139" s="26" t="inlineStr">
        <is>
          <t>NCR</t>
        </is>
      </c>
      <c r="F139" s="26" t="inlineStr">
        <is>
          <t>Metro Manila</t>
        </is>
      </c>
      <c r="G139" s="26" t="inlineStr">
        <is>
          <t>Caloocan City</t>
        </is>
      </c>
      <c r="H139" s="26" t="inlineStr">
        <is>
          <t>Barangay 139</t>
        </is>
      </c>
      <c r="I139" s="27" t="n">
        <v>11.541682</v>
      </c>
      <c r="J139" s="27" t="n">
        <v>122.016018</v>
      </c>
      <c r="K139" s="10" t="inlineStr">
        <is>
          <t>R</t>
        </is>
      </c>
      <c r="L139" s="12" t="n">
        <v>2279</v>
      </c>
      <c r="M139" s="14" t="n">
        <v>3.8</v>
      </c>
      <c r="N139" s="12">
        <f>ROUND(L139/M139, 0)</f>
        <v/>
      </c>
      <c r="O139" s="12">
        <f>ROUND(N139*'Methodology &amp; Assumptions'!$B$5, 0)</f>
        <v/>
      </c>
      <c r="P139" s="10" t="inlineStr">
        <is>
          <t>Single Carrier (Band n50, 100MHz TDD)</t>
        </is>
      </c>
      <c r="Q139" s="13">
        <f>ROUNDUP(O139/'Methodology &amp; Assumptions'!$B$6, 0)</f>
        <v/>
      </c>
      <c r="R139" s="13" t="n">
        <v>1</v>
      </c>
      <c r="S139" s="14" t="n">
        <v>31.89</v>
      </c>
      <c r="T139" s="14" t="n">
        <v>31.61</v>
      </c>
      <c r="U139" s="26">
        <f>IF(X139&gt;='Methodology &amp; Assumptions'!$B$7, "Tier 1 Critical GIDA (Score ≥ 50.0)", IF(X139&gt;='Methodology &amp; Assumptions'!$B$8, "Tier 2 High GIDA (Score 40.0–49.9)", "Tier 3 Moderate GIDA (Score &lt; 40.0)"))</f>
        <v/>
      </c>
      <c r="V139" s="26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W139" s="28" t="n">
        <v>0.011</v>
      </c>
      <c r="X139" s="14" t="n">
        <v>49.19</v>
      </c>
      <c r="Y139" s="14">
        <f>ROUND(MIN(100, (X139/69.91)*100), 2)</f>
        <v/>
      </c>
    </row>
    <row r="140">
      <c r="A140" s="10" t="n">
        <v>3</v>
      </c>
      <c r="B140" s="10" t="n">
        <v>136</v>
      </c>
      <c r="C140" s="10" t="n">
        <v>2136</v>
      </c>
      <c r="D140" s="10" t="inlineStr">
        <is>
          <t>1380605067</t>
        </is>
      </c>
      <c r="E140" s="26" t="inlineStr">
        <is>
          <t>National Capital Region (NCR)</t>
        </is>
      </c>
      <c r="F140" s="26" t="inlineStr">
        <is>
          <t>First District (Not a Province)</t>
        </is>
      </c>
      <c r="G140" s="26" t="inlineStr">
        <is>
          <t>City of Manila</t>
        </is>
      </c>
      <c r="H140" s="26" t="inlineStr">
        <is>
          <t>Barangay 365</t>
        </is>
      </c>
      <c r="I140" s="27" t="n">
        <v>12.291744</v>
      </c>
      <c r="J140" s="27" t="n">
        <v>121.492756</v>
      </c>
      <c r="K140" s="10" t="inlineStr">
        <is>
          <t>U</t>
        </is>
      </c>
      <c r="L140" s="12" t="n">
        <v>1317</v>
      </c>
      <c r="M140" s="14" t="n">
        <v>3.9</v>
      </c>
      <c r="N140" s="12">
        <f>ROUND(L140/M140, 0)</f>
        <v/>
      </c>
      <c r="O140" s="12">
        <f>ROUND(N140*'Methodology &amp; Assumptions'!$B$5, 0)</f>
        <v/>
      </c>
      <c r="P140" s="10" t="inlineStr">
        <is>
          <t>Single Carrier (Band n50, 100MHz TDD)</t>
        </is>
      </c>
      <c r="Q140" s="13">
        <f>ROUNDUP(O140/'Methodology &amp; Assumptions'!$B$6, 0)</f>
        <v/>
      </c>
      <c r="R140" s="13" t="n">
        <v>1</v>
      </c>
      <c r="S140" s="14" t="n">
        <v>16.87</v>
      </c>
      <c r="T140" s="14" t="n">
        <v>14.91</v>
      </c>
      <c r="U140" s="26">
        <f>IF(X140&gt;='Methodology &amp; Assumptions'!$B$7, "Tier 1 Critical GIDA (Score ≥ 50.0)", IF(X140&gt;='Methodology &amp; Assumptions'!$B$8, "Tier 2 High GIDA (Score 40.0–49.9)", "Tier 3 Moderate GIDA (Score &lt; 40.0)"))</f>
        <v/>
      </c>
      <c r="V140" s="26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W140" s="28" t="n">
        <v>0.109</v>
      </c>
      <c r="X140" s="14" t="n">
        <v>49.19</v>
      </c>
      <c r="Y140" s="14">
        <f>ROUND(MIN(100, (X140/69.91)*100), 2)</f>
        <v/>
      </c>
    </row>
    <row r="141">
      <c r="A141" s="10" t="n">
        <v>3</v>
      </c>
      <c r="B141" s="10" t="n">
        <v>137</v>
      </c>
      <c r="C141" s="10" t="n">
        <v>2137</v>
      </c>
      <c r="D141" s="10" t="inlineStr">
        <is>
          <t>1380605013</t>
        </is>
      </c>
      <c r="E141" s="26" t="inlineStr">
        <is>
          <t>National Capital Region (NCR)</t>
        </is>
      </c>
      <c r="F141" s="26" t="inlineStr">
        <is>
          <t>First District (Not a Province)</t>
        </is>
      </c>
      <c r="G141" s="26" t="inlineStr">
        <is>
          <t>City of Manila</t>
        </is>
      </c>
      <c r="H141" s="26" t="inlineStr">
        <is>
          <t>Barangay 311</t>
        </is>
      </c>
      <c r="I141" s="27" t="n">
        <v>13.499699</v>
      </c>
      <c r="J141" s="27" t="n">
        <v>121.57347</v>
      </c>
      <c r="K141" s="10" t="inlineStr">
        <is>
          <t>U</t>
        </is>
      </c>
      <c r="L141" s="12" t="n">
        <v>2474</v>
      </c>
      <c r="M141" s="14" t="n">
        <v>3.9</v>
      </c>
      <c r="N141" s="12">
        <f>ROUND(L141/M141, 0)</f>
        <v/>
      </c>
      <c r="O141" s="12">
        <f>ROUND(N141*'Methodology &amp; Assumptions'!$B$5, 0)</f>
        <v/>
      </c>
      <c r="P141" s="10" t="inlineStr">
        <is>
          <t>Single Carrier (Band n50, 100MHz TDD)</t>
        </is>
      </c>
      <c r="Q141" s="13">
        <f>ROUNDUP(O141/'Methodology &amp; Assumptions'!$B$6, 0)</f>
        <v/>
      </c>
      <c r="R141" s="13" t="n">
        <v>1</v>
      </c>
      <c r="S141" s="14" t="n">
        <v>26.6</v>
      </c>
      <c r="T141" s="14" t="n">
        <v>35.4</v>
      </c>
      <c r="U141" s="26">
        <f>IF(X141&gt;='Methodology &amp; Assumptions'!$B$7, "Tier 1 Critical GIDA (Score ≥ 50.0)", IF(X141&gt;='Methodology &amp; Assumptions'!$B$8, "Tier 2 High GIDA (Score 40.0–49.9)", "Tier 3 Moderate GIDA (Score &lt; 40.0)"))</f>
        <v/>
      </c>
      <c r="V141" s="26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W141" s="28" t="n">
        <v>0.109</v>
      </c>
      <c r="X141" s="14" t="n">
        <v>49.18</v>
      </c>
      <c r="Y141" s="14">
        <f>ROUND(MIN(100, (X141/69.91)*100), 2)</f>
        <v/>
      </c>
    </row>
    <row r="142">
      <c r="A142" s="10" t="n">
        <v>3</v>
      </c>
      <c r="B142" s="10" t="n">
        <v>138</v>
      </c>
      <c r="C142" s="10" t="n">
        <v>2138</v>
      </c>
      <c r="D142" s="10" t="inlineStr">
        <is>
          <t>1380605053</t>
        </is>
      </c>
      <c r="E142" s="26" t="inlineStr">
        <is>
          <t>National Capital Region (NCR)</t>
        </is>
      </c>
      <c r="F142" s="26" t="inlineStr">
        <is>
          <t>First District (Not a Province)</t>
        </is>
      </c>
      <c r="G142" s="26" t="inlineStr">
        <is>
          <t>City of Manila</t>
        </is>
      </c>
      <c r="H142" s="26" t="inlineStr">
        <is>
          <t>Barangay 351</t>
        </is>
      </c>
      <c r="I142" s="27" t="n">
        <v>12.553982</v>
      </c>
      <c r="J142" s="27" t="n">
        <v>122.352721</v>
      </c>
      <c r="K142" s="10" t="inlineStr">
        <is>
          <t>U</t>
        </is>
      </c>
      <c r="L142" s="12" t="n">
        <v>3504</v>
      </c>
      <c r="M142" s="14" t="n">
        <v>3.9</v>
      </c>
      <c r="N142" s="12">
        <f>ROUND(L142/M142, 0)</f>
        <v/>
      </c>
      <c r="O142" s="12">
        <f>ROUND(N142*'Methodology &amp; Assumptions'!$B$5, 0)</f>
        <v/>
      </c>
      <c r="P142" s="10" t="inlineStr">
        <is>
          <t>Single Carrier (Band n50, 100MHz TDD)</t>
        </is>
      </c>
      <c r="Q142" s="13">
        <f>ROUNDUP(O142/'Methodology &amp; Assumptions'!$B$6, 0)</f>
        <v/>
      </c>
      <c r="R142" s="13" t="n">
        <v>1</v>
      </c>
      <c r="S142" s="14" t="n">
        <v>80.56</v>
      </c>
      <c r="T142" s="14" t="n">
        <v>63.02</v>
      </c>
      <c r="U142" s="26">
        <f>IF(X142&gt;='Methodology &amp; Assumptions'!$B$7, "Tier 1 Critical GIDA (Score ≥ 50.0)", IF(X142&gt;='Methodology &amp; Assumptions'!$B$8, "Tier 2 High GIDA (Score 40.0–49.9)", "Tier 3 Moderate GIDA (Score &lt; 40.0)"))</f>
        <v/>
      </c>
      <c r="V142" s="26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W142" s="28" t="n">
        <v>0.109</v>
      </c>
      <c r="X142" s="14" t="n">
        <v>49.18</v>
      </c>
      <c r="Y142" s="14">
        <f>ROUND(MIN(100, (X142/69.91)*100), 2)</f>
        <v/>
      </c>
    </row>
    <row r="143">
      <c r="A143" s="10" t="n">
        <v>3</v>
      </c>
      <c r="B143" s="10" t="n">
        <v>139</v>
      </c>
      <c r="C143" s="10" t="n">
        <v>2139</v>
      </c>
      <c r="D143" s="10" t="inlineStr">
        <is>
          <t>1402706019</t>
        </is>
      </c>
      <c r="E143" s="26" t="inlineStr">
        <is>
          <t>Cordillera Administrative Region (CAR)</t>
        </is>
      </c>
      <c r="F143" s="26" t="inlineStr">
        <is>
          <t>Ifugao</t>
        </is>
      </c>
      <c r="G143" s="26" t="inlineStr">
        <is>
          <t>Mayoyao</t>
        </is>
      </c>
      <c r="H143" s="26" t="inlineStr">
        <is>
          <t>Liwo</t>
        </is>
      </c>
      <c r="I143" s="27" t="n">
        <v>16.98135</v>
      </c>
      <c r="J143" s="27" t="n">
        <v>121.262228</v>
      </c>
      <c r="K143" s="10" t="inlineStr">
        <is>
          <t>R</t>
        </is>
      </c>
      <c r="L143" s="12" t="n">
        <v>196</v>
      </c>
      <c r="M143" s="14" t="n">
        <v>3.9</v>
      </c>
      <c r="N143" s="12">
        <f>ROUND(L143/M143, 0)</f>
        <v/>
      </c>
      <c r="O143" s="12">
        <f>ROUND(N143*'Methodology &amp; Assumptions'!$B$5, 0)</f>
        <v/>
      </c>
      <c r="P143" s="10" t="inlineStr">
        <is>
          <t>Single Carrier (Band n50, 100MHz TDD)</t>
        </is>
      </c>
      <c r="Q143" s="13">
        <f>ROUNDUP(O143/'Methodology &amp; Assumptions'!$B$6, 0)</f>
        <v/>
      </c>
      <c r="R143" s="13" t="n">
        <v>1</v>
      </c>
      <c r="S143" s="14" t="n">
        <v>4.42</v>
      </c>
      <c r="T143" s="14" t="n">
        <v>22.25</v>
      </c>
      <c r="U143" s="26">
        <f>IF(X143&gt;='Methodology &amp; Assumptions'!$B$7, "Tier 1 Critical GIDA (Score ≥ 50.0)", IF(X143&gt;='Methodology &amp; Assumptions'!$B$8, "Tier 2 High GIDA (Score 40.0–49.9)", "Tier 3 Moderate GIDA (Score &lt; 40.0)"))</f>
        <v/>
      </c>
      <c r="V143" s="26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W143" s="28" t="n">
        <v>0.109</v>
      </c>
      <c r="X143" s="14" t="n">
        <v>49.18</v>
      </c>
      <c r="Y143" s="14">
        <f>ROUND(MIN(100, (X143/69.91)*100), 2)</f>
        <v/>
      </c>
    </row>
    <row r="144">
      <c r="A144" s="10" t="n">
        <v>3</v>
      </c>
      <c r="B144" s="10" t="n">
        <v>140</v>
      </c>
      <c r="C144" s="10" t="n">
        <v>2140</v>
      </c>
      <c r="D144" s="10" t="inlineStr">
        <is>
          <t>1380606185</t>
        </is>
      </c>
      <c r="E144" s="26" t="inlineStr">
        <is>
          <t>National Capital Region (NCR)</t>
        </is>
      </c>
      <c r="F144" s="26" t="inlineStr">
        <is>
          <t>First District (Not a Province)</t>
        </is>
      </c>
      <c r="G144" s="26" t="inlineStr">
        <is>
          <t>City of Manila</t>
        </is>
      </c>
      <c r="H144" s="26" t="inlineStr">
        <is>
          <t>Barangay 579</t>
        </is>
      </c>
      <c r="I144" s="27" t="n">
        <v>12.738411</v>
      </c>
      <c r="J144" s="27" t="n">
        <v>121.120239</v>
      </c>
      <c r="K144" s="10" t="inlineStr">
        <is>
          <t>U</t>
        </is>
      </c>
      <c r="L144" s="12" t="n">
        <v>1755</v>
      </c>
      <c r="M144" s="14" t="n">
        <v>3.9</v>
      </c>
      <c r="N144" s="12">
        <f>ROUND(L144/M144, 0)</f>
        <v/>
      </c>
      <c r="O144" s="12">
        <f>ROUND(N144*'Methodology &amp; Assumptions'!$B$5, 0)</f>
        <v/>
      </c>
      <c r="P144" s="10" t="inlineStr">
        <is>
          <t>Single Carrier (Band n50, 100MHz TDD)</t>
        </is>
      </c>
      <c r="Q144" s="13">
        <f>ROUNDUP(O144/'Methodology &amp; Assumptions'!$B$6, 0)</f>
        <v/>
      </c>
      <c r="R144" s="13" t="n">
        <v>1</v>
      </c>
      <c r="S144" s="14" t="n">
        <v>38.38</v>
      </c>
      <c r="T144" s="14" t="n">
        <v>37.66</v>
      </c>
      <c r="U144" s="26">
        <f>IF(X144&gt;='Methodology &amp; Assumptions'!$B$7, "Tier 1 Critical GIDA (Score ≥ 50.0)", IF(X144&gt;='Methodology &amp; Assumptions'!$B$8, "Tier 2 High GIDA (Score 40.0–49.9)", "Tier 3 Moderate GIDA (Score &lt; 40.0)"))</f>
        <v/>
      </c>
      <c r="V144" s="26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W144" s="28" t="n">
        <v>0.109</v>
      </c>
      <c r="X144" s="14" t="n">
        <v>49.18</v>
      </c>
      <c r="Y144" s="14">
        <f>ROUND(MIN(100, (X144/69.91)*100), 2)</f>
        <v/>
      </c>
    </row>
    <row r="145">
      <c r="A145" s="10" t="n">
        <v>3</v>
      </c>
      <c r="B145" s="10" t="n">
        <v>141</v>
      </c>
      <c r="C145" s="10" t="n">
        <v>2141</v>
      </c>
      <c r="D145" s="10" t="inlineStr">
        <is>
          <t>1380606088</t>
        </is>
      </c>
      <c r="E145" s="26" t="inlineStr">
        <is>
          <t>National Capital Region (NCR)</t>
        </is>
      </c>
      <c r="F145" s="26" t="inlineStr">
        <is>
          <t>First District (Not a Province)</t>
        </is>
      </c>
      <c r="G145" s="26" t="inlineStr">
        <is>
          <t>City of Manila</t>
        </is>
      </c>
      <c r="H145" s="26" t="inlineStr">
        <is>
          <t>Barangay 482</t>
        </is>
      </c>
      <c r="I145" s="27" t="n">
        <v>13.415537</v>
      </c>
      <c r="J145" s="27" t="n">
        <v>122.15888</v>
      </c>
      <c r="K145" s="10" t="inlineStr">
        <is>
          <t>U</t>
        </is>
      </c>
      <c r="L145" s="12" t="n">
        <v>722</v>
      </c>
      <c r="M145" s="14" t="n">
        <v>3.9</v>
      </c>
      <c r="N145" s="12">
        <f>ROUND(L145/M145, 0)</f>
        <v/>
      </c>
      <c r="O145" s="12">
        <f>ROUND(N145*'Methodology &amp; Assumptions'!$B$5, 0)</f>
        <v/>
      </c>
      <c r="P145" s="10" t="inlineStr">
        <is>
          <t>Single Carrier (Band n50, 100MHz TDD)</t>
        </is>
      </c>
      <c r="Q145" s="13">
        <f>ROUNDUP(O145/'Methodology &amp; Assumptions'!$B$6, 0)</f>
        <v/>
      </c>
      <c r="R145" s="13" t="n">
        <v>1</v>
      </c>
      <c r="S145" s="14" t="n">
        <v>25.77</v>
      </c>
      <c r="T145" s="14" t="n">
        <v>25.06</v>
      </c>
      <c r="U145" s="26">
        <f>IF(X145&gt;='Methodology &amp; Assumptions'!$B$7, "Tier 1 Critical GIDA (Score ≥ 50.0)", IF(X145&gt;='Methodology &amp; Assumptions'!$B$8, "Tier 2 High GIDA (Score 40.0–49.9)", "Tier 3 Moderate GIDA (Score &lt; 40.0)"))</f>
        <v/>
      </c>
      <c r="V145" s="26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W145" s="28" t="n">
        <v>0.109</v>
      </c>
      <c r="X145" s="14" t="n">
        <v>49.18</v>
      </c>
      <c r="Y145" s="14">
        <f>ROUND(MIN(100, (X145/69.91)*100), 2)</f>
        <v/>
      </c>
    </row>
    <row r="146">
      <c r="A146" s="10" t="n">
        <v>3</v>
      </c>
      <c r="B146" s="10" t="n">
        <v>142</v>
      </c>
      <c r="C146" s="10" t="n">
        <v>2142</v>
      </c>
      <c r="D146" s="10" t="inlineStr">
        <is>
          <t>1380612039</t>
        </is>
      </c>
      <c r="E146" s="26" t="inlineStr">
        <is>
          <t>National Capital Region (NCR)</t>
        </is>
      </c>
      <c r="F146" s="26" t="inlineStr">
        <is>
          <t>First District (Not a Province)</t>
        </is>
      </c>
      <c r="G146" s="26" t="inlineStr">
        <is>
          <t>City of Manila</t>
        </is>
      </c>
      <c r="H146" s="26" t="inlineStr">
        <is>
          <t>Barangay 869</t>
        </is>
      </c>
      <c r="I146" s="27" t="n">
        <v>12.229822</v>
      </c>
      <c r="J146" s="27" t="n">
        <v>121.861766</v>
      </c>
      <c r="K146" s="10" t="inlineStr">
        <is>
          <t>U</t>
        </is>
      </c>
      <c r="L146" s="12" t="n">
        <v>2071</v>
      </c>
      <c r="M146" s="14" t="n">
        <v>3.9</v>
      </c>
      <c r="N146" s="12">
        <f>ROUND(L146/M146, 0)</f>
        <v/>
      </c>
      <c r="O146" s="12">
        <f>ROUND(N146*'Methodology &amp; Assumptions'!$B$5, 0)</f>
        <v/>
      </c>
      <c r="P146" s="10" t="inlineStr">
        <is>
          <t>Single Carrier (Band n50, 100MHz TDD)</t>
        </is>
      </c>
      <c r="Q146" s="13">
        <f>ROUNDUP(O146/'Methodology &amp; Assumptions'!$B$6, 0)</f>
        <v/>
      </c>
      <c r="R146" s="13" t="n">
        <v>1</v>
      </c>
      <c r="S146" s="14" t="n">
        <v>32.61</v>
      </c>
      <c r="T146" s="14" t="n">
        <v>8.9</v>
      </c>
      <c r="U146" s="26">
        <f>IF(X146&gt;='Methodology &amp; Assumptions'!$B$7, "Tier 1 Critical GIDA (Score ≥ 50.0)", IF(X146&gt;='Methodology &amp; Assumptions'!$B$8, "Tier 2 High GIDA (Score 40.0–49.9)", "Tier 3 Moderate GIDA (Score &lt; 40.0)"))</f>
        <v/>
      </c>
      <c r="V146" s="26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W146" s="28" t="n">
        <v>0.109</v>
      </c>
      <c r="X146" s="14" t="n">
        <v>49.18</v>
      </c>
      <c r="Y146" s="14">
        <f>ROUND(MIN(100, (X146/69.91)*100), 2)</f>
        <v/>
      </c>
    </row>
    <row r="147">
      <c r="A147" s="10" t="n">
        <v>3</v>
      </c>
      <c r="B147" s="10" t="n">
        <v>143</v>
      </c>
      <c r="C147" s="10" t="n">
        <v>2143</v>
      </c>
      <c r="D147" s="10" t="inlineStr">
        <is>
          <t>1381100008</t>
        </is>
      </c>
      <c r="E147" s="26" t="inlineStr">
        <is>
          <t>National Capital Region (NCR)</t>
        </is>
      </c>
      <c r="F147" s="26" t="inlineStr">
        <is>
          <t>Fourth District (Not a Province)</t>
        </is>
      </c>
      <c r="G147" s="26" t="inlineStr">
        <is>
          <t>Pasay City</t>
        </is>
      </c>
      <c r="H147" s="26" t="inlineStr">
        <is>
          <t>Barangay 8</t>
        </is>
      </c>
      <c r="I147" s="27" t="n">
        <v>14.412905</v>
      </c>
      <c r="J147" s="27" t="n">
        <v>120.986302</v>
      </c>
      <c r="K147" s="10" t="inlineStr">
        <is>
          <t>U</t>
        </is>
      </c>
      <c r="L147" s="12" t="n">
        <v>1193</v>
      </c>
      <c r="M147" s="14" t="n">
        <v>3.4</v>
      </c>
      <c r="N147" s="12">
        <f>ROUND(L147/M147, 0)</f>
        <v/>
      </c>
      <c r="O147" s="12">
        <f>ROUND(N147*'Methodology &amp; Assumptions'!$B$5, 0)</f>
        <v/>
      </c>
      <c r="P147" s="10" t="inlineStr">
        <is>
          <t>Single Carrier (Band n50, 100MHz TDD)</t>
        </is>
      </c>
      <c r="Q147" s="13">
        <f>ROUNDUP(O147/'Methodology &amp; Assumptions'!$B$6, 0)</f>
        <v/>
      </c>
      <c r="R147" s="13" t="n">
        <v>1</v>
      </c>
      <c r="S147" s="14" t="n">
        <v>2.17</v>
      </c>
      <c r="T147" s="14" t="n">
        <v>3.31</v>
      </c>
      <c r="U147" s="26">
        <f>IF(X147&gt;='Methodology &amp; Assumptions'!$B$7, "Tier 1 Critical GIDA (Score ≥ 50.0)", IF(X147&gt;='Methodology &amp; Assumptions'!$B$8, "Tier 2 High GIDA (Score 40.0–49.9)", "Tier 3 Moderate GIDA (Score &lt; 40.0)"))</f>
        <v/>
      </c>
      <c r="V147" s="26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W147" s="28" t="n">
        <v>0.109</v>
      </c>
      <c r="X147" s="14" t="n">
        <v>49.17</v>
      </c>
      <c r="Y147" s="14">
        <f>ROUND(MIN(100, (X147/69.91)*100), 2)</f>
        <v/>
      </c>
    </row>
    <row r="148">
      <c r="A148" s="10" t="n">
        <v>3</v>
      </c>
      <c r="B148" s="10" t="n">
        <v>144</v>
      </c>
      <c r="C148" s="10" t="n">
        <v>2144</v>
      </c>
      <c r="D148" s="10" t="inlineStr">
        <is>
          <t>1381100054</t>
        </is>
      </c>
      <c r="E148" s="26" t="inlineStr">
        <is>
          <t>National Capital Region (NCR)</t>
        </is>
      </c>
      <c r="F148" s="26" t="inlineStr">
        <is>
          <t>Fourth District (Not a Province)</t>
        </is>
      </c>
      <c r="G148" s="26" t="inlineStr">
        <is>
          <t>Pasay City</t>
        </is>
      </c>
      <c r="H148" s="26" t="inlineStr">
        <is>
          <t>Barangay 54</t>
        </is>
      </c>
      <c r="I148" s="27" t="n">
        <v>14.552141</v>
      </c>
      <c r="J148" s="27" t="n">
        <v>121.001079</v>
      </c>
      <c r="K148" s="10" t="inlineStr">
        <is>
          <t>U</t>
        </is>
      </c>
      <c r="L148" s="12" t="n">
        <v>1521</v>
      </c>
      <c r="M148" s="14" t="n">
        <v>3.4</v>
      </c>
      <c r="N148" s="12">
        <f>ROUND(L148/M148, 0)</f>
        <v/>
      </c>
      <c r="O148" s="12">
        <f>ROUND(N148*'Methodology &amp; Assumptions'!$B$5, 0)</f>
        <v/>
      </c>
      <c r="P148" s="10" t="inlineStr">
        <is>
          <t>Single Carrier (Band n50, 100MHz TDD)</t>
        </is>
      </c>
      <c r="Q148" s="13">
        <f>ROUNDUP(O148/'Methodology &amp; Assumptions'!$B$6, 0)</f>
        <v/>
      </c>
      <c r="R148" s="13" t="n">
        <v>1</v>
      </c>
      <c r="S148" s="14" t="n">
        <v>1.02</v>
      </c>
      <c r="T148" s="14" t="n">
        <v>0.27</v>
      </c>
      <c r="U148" s="26">
        <f>IF(X148&gt;='Methodology &amp; Assumptions'!$B$7, "Tier 1 Critical GIDA (Score ≥ 50.0)", IF(X148&gt;='Methodology &amp; Assumptions'!$B$8, "Tier 2 High GIDA (Score 40.0–49.9)", "Tier 3 Moderate GIDA (Score &lt; 40.0)"))</f>
        <v/>
      </c>
      <c r="V148" s="26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W148" s="28" t="n">
        <v>0.109</v>
      </c>
      <c r="X148" s="14" t="n">
        <v>49.17</v>
      </c>
      <c r="Y148" s="14">
        <f>ROUND(MIN(100, (X148/69.91)*100), 2)</f>
        <v/>
      </c>
    </row>
    <row r="149">
      <c r="A149" s="10" t="n">
        <v>3</v>
      </c>
      <c r="B149" s="10" t="n">
        <v>145</v>
      </c>
      <c r="C149" s="10" t="n">
        <v>2145</v>
      </c>
      <c r="D149" s="10" t="inlineStr">
        <is>
          <t>1380601228</t>
        </is>
      </c>
      <c r="E149" s="26" t="inlineStr">
        <is>
          <t>National Capital Region (NCR)</t>
        </is>
      </c>
      <c r="F149" s="26" t="inlineStr">
        <is>
          <t>First District (Not a Province)</t>
        </is>
      </c>
      <c r="G149" s="26" t="inlineStr">
        <is>
          <t>City of Manila</t>
        </is>
      </c>
      <c r="H149" s="26" t="inlineStr">
        <is>
          <t>Barangay 227</t>
        </is>
      </c>
      <c r="I149" s="27" t="n">
        <v>13.301905</v>
      </c>
      <c r="J149" s="27" t="n">
        <v>121.257849</v>
      </c>
      <c r="K149" s="10" t="inlineStr">
        <is>
          <t>U</t>
        </is>
      </c>
      <c r="L149" s="12" t="n">
        <v>1892</v>
      </c>
      <c r="M149" s="14" t="n">
        <v>3.9</v>
      </c>
      <c r="N149" s="12">
        <f>ROUND(L149/M149, 0)</f>
        <v/>
      </c>
      <c r="O149" s="12">
        <f>ROUND(N149*'Methodology &amp; Assumptions'!$B$5, 0)</f>
        <v/>
      </c>
      <c r="P149" s="10" t="inlineStr">
        <is>
          <t>Single Carrier (Band n50, 100MHz TDD)</t>
        </is>
      </c>
      <c r="Q149" s="13">
        <f>ROUNDUP(O149/'Methodology &amp; Assumptions'!$B$6, 0)</f>
        <v/>
      </c>
      <c r="R149" s="13" t="n">
        <v>1</v>
      </c>
      <c r="S149" s="14" t="n">
        <v>4.23</v>
      </c>
      <c r="T149" s="14" t="n">
        <v>2.95</v>
      </c>
      <c r="U149" s="26">
        <f>IF(X149&gt;='Methodology &amp; Assumptions'!$B$7, "Tier 1 Critical GIDA (Score ≥ 50.0)", IF(X149&gt;='Methodology &amp; Assumptions'!$B$8, "Tier 2 High GIDA (Score 40.0–49.9)", "Tier 3 Moderate GIDA (Score &lt; 40.0)"))</f>
        <v/>
      </c>
      <c r="V149" s="26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W149" s="28" t="n">
        <v>0.109</v>
      </c>
      <c r="X149" s="14" t="n">
        <v>49.17</v>
      </c>
      <c r="Y149" s="14">
        <f>ROUND(MIN(100, (X149/69.91)*100), 2)</f>
        <v/>
      </c>
    </row>
    <row r="150">
      <c r="A150" s="10" t="n">
        <v>3</v>
      </c>
      <c r="B150" s="10" t="n">
        <v>146</v>
      </c>
      <c r="C150" s="10" t="n">
        <v>2146</v>
      </c>
      <c r="D150" s="10" t="inlineStr">
        <is>
          <t>0402106073</t>
        </is>
      </c>
      <c r="E150" s="26" t="inlineStr">
        <is>
          <t>Region IV-A (CALABARZON)</t>
        </is>
      </c>
      <c r="F150" s="26" t="inlineStr">
        <is>
          <t>Cavite</t>
        </is>
      </c>
      <c r="G150" s="26" t="inlineStr">
        <is>
          <t>City of Dasmariñas</t>
        </is>
      </c>
      <c r="H150" s="26" t="inlineStr">
        <is>
          <t>San Manuel II</t>
        </is>
      </c>
      <c r="I150" s="27" t="n">
        <v>14.29978</v>
      </c>
      <c r="J150" s="27" t="n">
        <v>120.966705</v>
      </c>
      <c r="K150" s="10" t="inlineStr">
        <is>
          <t>R</t>
        </is>
      </c>
      <c r="L150" s="12" t="n">
        <v>2717</v>
      </c>
      <c r="M150" s="14" t="n">
        <v>3.4</v>
      </c>
      <c r="N150" s="12">
        <f>ROUND(L150/M150, 0)</f>
        <v/>
      </c>
      <c r="O150" s="12">
        <f>ROUND(N150*'Methodology &amp; Assumptions'!$B$5, 0)</f>
        <v/>
      </c>
      <c r="P150" s="10" t="inlineStr">
        <is>
          <t>Single Carrier (Band n50, 100MHz TDD)</t>
        </is>
      </c>
      <c r="Q150" s="13">
        <f>ROUNDUP(O150/'Methodology &amp; Assumptions'!$B$6, 0)</f>
        <v/>
      </c>
      <c r="R150" s="13" t="n">
        <v>1</v>
      </c>
      <c r="S150" s="14" t="n">
        <v>0.86</v>
      </c>
      <c r="T150" s="14" t="n">
        <v>0.98</v>
      </c>
      <c r="U150" s="26">
        <f>IF(X150&gt;='Methodology &amp; Assumptions'!$B$7, "Tier 1 Critical GIDA (Score ≥ 50.0)", IF(X150&gt;='Methodology &amp; Assumptions'!$B$8, "Tier 2 High GIDA (Score 40.0–49.9)", "Tier 3 Moderate GIDA (Score &lt; 40.0)"))</f>
        <v/>
      </c>
      <c r="V150" s="26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W150" s="28" t="n">
        <v>0.07200000000000001</v>
      </c>
      <c r="X150" s="14" t="n">
        <v>49.17</v>
      </c>
      <c r="Y150" s="14">
        <f>ROUND(MIN(100, (X150/69.91)*100), 2)</f>
        <v/>
      </c>
    </row>
    <row r="151">
      <c r="A151" s="10" t="n">
        <v>3</v>
      </c>
      <c r="B151" s="10" t="n">
        <v>147</v>
      </c>
      <c r="C151" s="10" t="n">
        <v>2147</v>
      </c>
      <c r="D151" s="10" t="inlineStr">
        <is>
          <t>PH0002147</t>
        </is>
      </c>
      <c r="E151" s="26" t="inlineStr">
        <is>
          <t>XI</t>
        </is>
      </c>
      <c r="F151" s="26" t="inlineStr">
        <is>
          <t>Davao de Oro</t>
        </is>
      </c>
      <c r="G151" s="26" t="inlineStr">
        <is>
          <t>Mabini Compostela Valley</t>
        </is>
      </c>
      <c r="H151" s="26" t="inlineStr">
        <is>
          <t>Libodon</t>
        </is>
      </c>
      <c r="I151" s="27" t="n">
        <v>11.428696</v>
      </c>
      <c r="J151" s="27" t="n">
        <v>122.390538</v>
      </c>
      <c r="K151" s="10" t="inlineStr">
        <is>
          <t>R</t>
        </is>
      </c>
      <c r="L151" s="12" t="n">
        <v>2247</v>
      </c>
      <c r="M151" s="14" t="n">
        <v>3.7</v>
      </c>
      <c r="N151" s="12">
        <f>ROUND(L151/M151, 0)</f>
        <v/>
      </c>
      <c r="O151" s="12">
        <f>ROUND(N151*'Methodology &amp; Assumptions'!$B$5, 0)</f>
        <v/>
      </c>
      <c r="P151" s="10" t="inlineStr">
        <is>
          <t>Single Carrier (Band n50, 100MHz TDD)</t>
        </is>
      </c>
      <c r="Q151" s="13">
        <f>ROUNDUP(O151/'Methodology &amp; Assumptions'!$B$6, 0)</f>
        <v/>
      </c>
      <c r="R151" s="13" t="n">
        <v>1</v>
      </c>
      <c r="S151" s="14" t="n">
        <v>14.39</v>
      </c>
      <c r="T151" s="14" t="n">
        <v>13.38</v>
      </c>
      <c r="U151" s="26">
        <f>IF(X151&gt;='Methodology &amp; Assumptions'!$B$7, "Tier 1 Critical GIDA (Score ≥ 50.0)", IF(X151&gt;='Methodology &amp; Assumptions'!$B$8, "Tier 2 High GIDA (Score 40.0–49.9)", "Tier 3 Moderate GIDA (Score &lt; 40.0)"))</f>
        <v/>
      </c>
      <c r="V151" s="26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W151" s="28" t="n">
        <v>0.119</v>
      </c>
      <c r="X151" s="14" t="n">
        <v>49.17</v>
      </c>
      <c r="Y151" s="14">
        <f>ROUND(MIN(100, (X151/69.91)*100), 2)</f>
        <v/>
      </c>
    </row>
    <row r="152">
      <c r="A152" s="10" t="n">
        <v>3</v>
      </c>
      <c r="B152" s="10" t="n">
        <v>148</v>
      </c>
      <c r="C152" s="10" t="n">
        <v>2148</v>
      </c>
      <c r="D152" s="10" t="inlineStr">
        <is>
          <t>1903631024</t>
        </is>
      </c>
      <c r="E152" s="26" t="inlineStr">
        <is>
          <t>Bangsamoro Autonomous Region In Muslim Mindanao (BARMM)</t>
        </is>
      </c>
      <c r="F152" s="26" t="inlineStr">
        <is>
          <t>Lanao del Sur</t>
        </is>
      </c>
      <c r="G152" s="26" t="inlineStr">
        <is>
          <t>Marogong</t>
        </is>
      </c>
      <c r="H152" s="26" t="inlineStr">
        <is>
          <t>Pasayanan</t>
        </is>
      </c>
      <c r="I152" s="27" t="n">
        <v>17.254826</v>
      </c>
      <c r="J152" s="27" t="n">
        <v>122.22887</v>
      </c>
      <c r="K152" s="10" t="inlineStr">
        <is>
          <t>R</t>
        </is>
      </c>
      <c r="L152" s="12" t="n">
        <v>853</v>
      </c>
      <c r="M152" s="14" t="n">
        <v>5.7</v>
      </c>
      <c r="N152" s="12">
        <f>ROUND(L152/M152, 0)</f>
        <v/>
      </c>
      <c r="O152" s="12">
        <f>ROUND(N152*'Methodology &amp; Assumptions'!$B$5, 0)</f>
        <v/>
      </c>
      <c r="P152" s="10" t="inlineStr">
        <is>
          <t>Single Carrier (Band n50, 100MHz TDD)</t>
        </is>
      </c>
      <c r="Q152" s="13">
        <f>ROUNDUP(O152/'Methodology &amp; Assumptions'!$B$6, 0)</f>
        <v/>
      </c>
      <c r="R152" s="13" t="n">
        <v>1</v>
      </c>
      <c r="S152" s="14" t="n">
        <v>29.41</v>
      </c>
      <c r="T152" s="14" t="n">
        <v>34.3</v>
      </c>
      <c r="U152" s="26">
        <f>IF(X152&gt;='Methodology &amp; Assumptions'!$B$7, "Tier 1 Critical GIDA (Score ≥ 50.0)", IF(X152&gt;='Methodology &amp; Assumptions'!$B$8, "Tier 2 High GIDA (Score 40.0–49.9)", "Tier 3 Moderate GIDA (Score &lt; 40.0)"))</f>
        <v/>
      </c>
      <c r="V152" s="26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W152" s="28" t="n">
        <v>0.11</v>
      </c>
      <c r="X152" s="14" t="n">
        <v>49.17</v>
      </c>
      <c r="Y152" s="14">
        <f>ROUND(MIN(100, (X152/69.91)*100), 2)</f>
        <v/>
      </c>
    </row>
    <row r="153">
      <c r="A153" s="10" t="n">
        <v>3</v>
      </c>
      <c r="B153" s="10" t="n">
        <v>149</v>
      </c>
      <c r="C153" s="10" t="n">
        <v>2149</v>
      </c>
      <c r="D153" s="10" t="inlineStr">
        <is>
          <t>1380602008</t>
        </is>
      </c>
      <c r="E153" s="26" t="inlineStr">
        <is>
          <t>National Capital Region (NCR)</t>
        </is>
      </c>
      <c r="F153" s="26" t="inlineStr">
        <is>
          <t>First District (Not a Province)</t>
        </is>
      </c>
      <c r="G153" s="26" t="inlineStr">
        <is>
          <t>City of Manila</t>
        </is>
      </c>
      <c r="H153" s="26" t="inlineStr">
        <is>
          <t>Barangay 294</t>
        </is>
      </c>
      <c r="I153" s="27" t="n">
        <v>12.90841</v>
      </c>
      <c r="J153" s="27" t="n">
        <v>122.448529</v>
      </c>
      <c r="K153" s="10" t="inlineStr">
        <is>
          <t>U</t>
        </is>
      </c>
      <c r="L153" s="12" t="n">
        <v>1938</v>
      </c>
      <c r="M153" s="14" t="n">
        <v>3.9</v>
      </c>
      <c r="N153" s="12">
        <f>ROUND(L153/M153, 0)</f>
        <v/>
      </c>
      <c r="O153" s="12">
        <f>ROUND(N153*'Methodology &amp; Assumptions'!$B$5, 0)</f>
        <v/>
      </c>
      <c r="P153" s="10" t="inlineStr">
        <is>
          <t>Single Carrier (Band n50, 100MHz TDD)</t>
        </is>
      </c>
      <c r="Q153" s="13">
        <f>ROUNDUP(O153/'Methodology &amp; Assumptions'!$B$6, 0)</f>
        <v/>
      </c>
      <c r="R153" s="13" t="n">
        <v>1</v>
      </c>
      <c r="S153" s="14" t="n">
        <v>43.54</v>
      </c>
      <c r="T153" s="14" t="n">
        <v>68.88</v>
      </c>
      <c r="U153" s="26">
        <f>IF(X153&gt;='Methodology &amp; Assumptions'!$B$7, "Tier 1 Critical GIDA (Score ≥ 50.0)", IF(X153&gt;='Methodology &amp; Assumptions'!$B$8, "Tier 2 High GIDA (Score 40.0–49.9)", "Tier 3 Moderate GIDA (Score &lt; 40.0)"))</f>
        <v/>
      </c>
      <c r="V153" s="26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W153" s="28" t="n">
        <v>0.109</v>
      </c>
      <c r="X153" s="14" t="n">
        <v>49.17</v>
      </c>
      <c r="Y153" s="14">
        <f>ROUND(MIN(100, (X153/69.91)*100), 2)</f>
        <v/>
      </c>
    </row>
    <row r="154">
      <c r="A154" s="10" t="n">
        <v>3</v>
      </c>
      <c r="B154" s="10" t="n">
        <v>150</v>
      </c>
      <c r="C154" s="10" t="n">
        <v>2150</v>
      </c>
      <c r="D154" s="10" t="inlineStr">
        <is>
          <t>1380601239</t>
        </is>
      </c>
      <c r="E154" s="26" t="inlineStr">
        <is>
          <t>National Capital Region (NCR)</t>
        </is>
      </c>
      <c r="F154" s="26" t="inlineStr">
        <is>
          <t>First District (Not a Province)</t>
        </is>
      </c>
      <c r="G154" s="26" t="inlineStr">
        <is>
          <t>City of Manila</t>
        </is>
      </c>
      <c r="H154" s="26" t="inlineStr">
        <is>
          <t>Barangay 238</t>
        </is>
      </c>
      <c r="I154" s="27" t="n">
        <v>12.413339</v>
      </c>
      <c r="J154" s="27" t="n">
        <v>121.295602</v>
      </c>
      <c r="K154" s="10" t="inlineStr">
        <is>
          <t>U</t>
        </is>
      </c>
      <c r="L154" s="12" t="n">
        <v>375</v>
      </c>
      <c r="M154" s="14" t="n">
        <v>3.9</v>
      </c>
      <c r="N154" s="12">
        <f>ROUND(L154/M154, 0)</f>
        <v/>
      </c>
      <c r="O154" s="12">
        <f>ROUND(N154*'Methodology &amp; Assumptions'!$B$5, 0)</f>
        <v/>
      </c>
      <c r="P154" s="10" t="inlineStr">
        <is>
          <t>Single Carrier (Band n50, 100MHz TDD)</t>
        </is>
      </c>
      <c r="Q154" s="13">
        <f>ROUNDUP(O154/'Methodology &amp; Assumptions'!$B$6, 0)</f>
        <v/>
      </c>
      <c r="R154" s="13" t="n">
        <v>1</v>
      </c>
      <c r="S154" s="14" t="n">
        <v>10.5</v>
      </c>
      <c r="T154" s="14" t="n">
        <v>6.85</v>
      </c>
      <c r="U154" s="26">
        <f>IF(X154&gt;='Methodology &amp; Assumptions'!$B$7, "Tier 1 Critical GIDA (Score ≥ 50.0)", IF(X154&gt;='Methodology &amp; Assumptions'!$B$8, "Tier 2 High GIDA (Score 40.0–49.9)", "Tier 3 Moderate GIDA (Score &lt; 40.0)"))</f>
        <v/>
      </c>
      <c r="V154" s="26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W154" s="28" t="n">
        <v>0.109</v>
      </c>
      <c r="X154" s="14" t="n">
        <v>49.17</v>
      </c>
      <c r="Y154" s="14">
        <f>ROUND(MIN(100, (X154/69.91)*100), 2)</f>
        <v/>
      </c>
    </row>
    <row r="155">
      <c r="A155" s="10" t="n">
        <v>3</v>
      </c>
      <c r="B155" s="10" t="n">
        <v>151</v>
      </c>
      <c r="C155" s="10" t="n">
        <v>2151</v>
      </c>
      <c r="D155" s="10" t="inlineStr">
        <is>
          <t>1380605057</t>
        </is>
      </c>
      <c r="E155" s="26" t="inlineStr">
        <is>
          <t>National Capital Region (NCR)</t>
        </is>
      </c>
      <c r="F155" s="26" t="inlineStr">
        <is>
          <t>First District (Not a Province)</t>
        </is>
      </c>
      <c r="G155" s="26" t="inlineStr">
        <is>
          <t>City of Manila</t>
        </is>
      </c>
      <c r="H155" s="26" t="inlineStr">
        <is>
          <t>Barangay 355</t>
        </is>
      </c>
      <c r="I155" s="27" t="n">
        <v>13.539955</v>
      </c>
      <c r="J155" s="27" t="n">
        <v>121.803571</v>
      </c>
      <c r="K155" s="10" t="inlineStr">
        <is>
          <t>U</t>
        </is>
      </c>
      <c r="L155" s="12" t="n">
        <v>999</v>
      </c>
      <c r="M155" s="14" t="n">
        <v>3.9</v>
      </c>
      <c r="N155" s="12">
        <f>ROUND(L155/M155, 0)</f>
        <v/>
      </c>
      <c r="O155" s="12">
        <f>ROUND(N155*'Methodology &amp; Assumptions'!$B$5, 0)</f>
        <v/>
      </c>
      <c r="P155" s="10" t="inlineStr">
        <is>
          <t>Single Carrier (Band n50, 100MHz TDD)</t>
        </is>
      </c>
      <c r="Q155" s="13">
        <f>ROUNDUP(O155/'Methodology &amp; Assumptions'!$B$6, 0)</f>
        <v/>
      </c>
      <c r="R155" s="13" t="n">
        <v>1</v>
      </c>
      <c r="S155" s="14" t="n">
        <v>38.28</v>
      </c>
      <c r="T155" s="14" t="n">
        <v>37.83</v>
      </c>
      <c r="U155" s="26">
        <f>IF(X155&gt;='Methodology &amp; Assumptions'!$B$7, "Tier 1 Critical GIDA (Score ≥ 50.0)", IF(X155&gt;='Methodology &amp; Assumptions'!$B$8, "Tier 2 High GIDA (Score 40.0–49.9)", "Tier 3 Moderate GIDA (Score &lt; 40.0)"))</f>
        <v/>
      </c>
      <c r="V155" s="26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W155" s="28" t="n">
        <v>0.109</v>
      </c>
      <c r="X155" s="14" t="n">
        <v>49.17</v>
      </c>
      <c r="Y155" s="14">
        <f>ROUND(MIN(100, (X155/69.91)*100), 2)</f>
        <v/>
      </c>
    </row>
    <row r="156">
      <c r="A156" s="10" t="n">
        <v>3</v>
      </c>
      <c r="B156" s="10" t="n">
        <v>152</v>
      </c>
      <c r="C156" s="10" t="n">
        <v>2152</v>
      </c>
      <c r="D156" s="10" t="inlineStr">
        <is>
          <t>1381100108</t>
        </is>
      </c>
      <c r="E156" s="26" t="inlineStr">
        <is>
          <t>National Capital Region (NCR)</t>
        </is>
      </c>
      <c r="F156" s="26" t="inlineStr">
        <is>
          <t>Fourth District (Not a Province)</t>
        </is>
      </c>
      <c r="G156" s="26" t="inlineStr">
        <is>
          <t>Pasay City</t>
        </is>
      </c>
      <c r="H156" s="26" t="inlineStr">
        <is>
          <t>Barangay 108</t>
        </is>
      </c>
      <c r="I156" s="27" t="n">
        <v>14.647791</v>
      </c>
      <c r="J156" s="27" t="n">
        <v>120.926404</v>
      </c>
      <c r="K156" s="10" t="inlineStr">
        <is>
          <t>U</t>
        </is>
      </c>
      <c r="L156" s="12" t="n">
        <v>2129</v>
      </c>
      <c r="M156" s="14" t="n">
        <v>3.4</v>
      </c>
      <c r="N156" s="12">
        <f>ROUND(L156/M156, 0)</f>
        <v/>
      </c>
      <c r="O156" s="12">
        <f>ROUND(N156*'Methodology &amp; Assumptions'!$B$5, 0)</f>
        <v/>
      </c>
      <c r="P156" s="10" t="inlineStr">
        <is>
          <t>Single Carrier (Band n50, 100MHz TDD)</t>
        </is>
      </c>
      <c r="Q156" s="13">
        <f>ROUNDUP(O156/'Methodology &amp; Assumptions'!$B$6, 0)</f>
        <v/>
      </c>
      <c r="R156" s="13" t="n">
        <v>1</v>
      </c>
      <c r="S156" s="14" t="n">
        <v>2.35</v>
      </c>
      <c r="T156" s="14" t="n">
        <v>3.06</v>
      </c>
      <c r="U156" s="26">
        <f>IF(X156&gt;='Methodology &amp; Assumptions'!$B$7, "Tier 1 Critical GIDA (Score ≥ 50.0)", IF(X156&gt;='Methodology &amp; Assumptions'!$B$8, "Tier 2 High GIDA (Score 40.0–49.9)", "Tier 3 Moderate GIDA (Score &lt; 40.0)"))</f>
        <v/>
      </c>
      <c r="V156" s="26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W156" s="28" t="n">
        <v>0.109</v>
      </c>
      <c r="X156" s="14" t="n">
        <v>49.17</v>
      </c>
      <c r="Y156" s="14">
        <f>ROUND(MIN(100, (X156/69.91)*100), 2)</f>
        <v/>
      </c>
    </row>
    <row r="157">
      <c r="A157" s="10" t="n">
        <v>3</v>
      </c>
      <c r="B157" s="10" t="n">
        <v>153</v>
      </c>
      <c r="C157" s="10" t="n">
        <v>2153</v>
      </c>
      <c r="D157" s="10" t="inlineStr">
        <is>
          <t>1380601136</t>
        </is>
      </c>
      <c r="E157" s="26" t="inlineStr">
        <is>
          <t>National Capital Region (NCR)</t>
        </is>
      </c>
      <c r="F157" s="26" t="inlineStr">
        <is>
          <t>First District (Not a Province)</t>
        </is>
      </c>
      <c r="G157" s="26" t="inlineStr">
        <is>
          <t>City of Manila</t>
        </is>
      </c>
      <c r="H157" s="26" t="inlineStr">
        <is>
          <t>Barangay 136</t>
        </is>
      </c>
      <c r="I157" s="27" t="n">
        <v>12.372399</v>
      </c>
      <c r="J157" s="27" t="n">
        <v>122.210662</v>
      </c>
      <c r="K157" s="10" t="inlineStr">
        <is>
          <t>U</t>
        </is>
      </c>
      <c r="L157" s="12" t="n">
        <v>1233</v>
      </c>
      <c r="M157" s="14" t="n">
        <v>3.9</v>
      </c>
      <c r="N157" s="12">
        <f>ROUND(L157/M157, 0)</f>
        <v/>
      </c>
      <c r="O157" s="12">
        <f>ROUND(N157*'Methodology &amp; Assumptions'!$B$5, 0)</f>
        <v/>
      </c>
      <c r="P157" s="10" t="inlineStr">
        <is>
          <t>Single Carrier (Band n50, 100MHz TDD)</t>
        </is>
      </c>
      <c r="Q157" s="13">
        <f>ROUNDUP(O157/'Methodology &amp; Assumptions'!$B$6, 0)</f>
        <v/>
      </c>
      <c r="R157" s="13" t="n">
        <v>1</v>
      </c>
      <c r="S157" s="14" t="n">
        <v>55.25</v>
      </c>
      <c r="T157" s="14" t="n">
        <v>37.76</v>
      </c>
      <c r="U157" s="26">
        <f>IF(X157&gt;='Methodology &amp; Assumptions'!$B$7, "Tier 1 Critical GIDA (Score ≥ 50.0)", IF(X157&gt;='Methodology &amp; Assumptions'!$B$8, "Tier 2 High GIDA (Score 40.0–49.9)", "Tier 3 Moderate GIDA (Score &lt; 40.0)"))</f>
        <v/>
      </c>
      <c r="V157" s="26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W157" s="28" t="n">
        <v>0.109</v>
      </c>
      <c r="X157" s="14" t="n">
        <v>49.16</v>
      </c>
      <c r="Y157" s="14">
        <f>ROUND(MIN(100, (X157/69.91)*100), 2)</f>
        <v/>
      </c>
    </row>
    <row r="158">
      <c r="A158" s="10" t="n">
        <v>3</v>
      </c>
      <c r="B158" s="10" t="n">
        <v>154</v>
      </c>
      <c r="C158" s="10" t="n">
        <v>2154</v>
      </c>
      <c r="D158" s="10" t="inlineStr">
        <is>
          <t>1380605056</t>
        </is>
      </c>
      <c r="E158" s="26" t="inlineStr">
        <is>
          <t>National Capital Region (NCR)</t>
        </is>
      </c>
      <c r="F158" s="26" t="inlineStr">
        <is>
          <t>First District (Not a Province)</t>
        </is>
      </c>
      <c r="G158" s="26" t="inlineStr">
        <is>
          <t>City of Manila</t>
        </is>
      </c>
      <c r="H158" s="26" t="inlineStr">
        <is>
          <t>Barangay 354</t>
        </is>
      </c>
      <c r="I158" s="27" t="n">
        <v>12.966315</v>
      </c>
      <c r="J158" s="27" t="n">
        <v>121.099114</v>
      </c>
      <c r="K158" s="10" t="inlineStr">
        <is>
          <t>U</t>
        </is>
      </c>
      <c r="L158" s="12" t="n">
        <v>1865</v>
      </c>
      <c r="M158" s="14" t="n">
        <v>3.9</v>
      </c>
      <c r="N158" s="12">
        <f>ROUND(L158/M158, 0)</f>
        <v/>
      </c>
      <c r="O158" s="12">
        <f>ROUND(N158*'Methodology &amp; Assumptions'!$B$5, 0)</f>
        <v/>
      </c>
      <c r="P158" s="10" t="inlineStr">
        <is>
          <t>Single Carrier (Band n50, 100MHz TDD)</t>
        </is>
      </c>
      <c r="Q158" s="13">
        <f>ROUNDUP(O158/'Methodology &amp; Assumptions'!$B$6, 0)</f>
        <v/>
      </c>
      <c r="R158" s="13" t="n">
        <v>1</v>
      </c>
      <c r="S158" s="14" t="n">
        <v>29.73</v>
      </c>
      <c r="T158" s="14" t="n">
        <v>27.14</v>
      </c>
      <c r="U158" s="26">
        <f>IF(X158&gt;='Methodology &amp; Assumptions'!$B$7, "Tier 1 Critical GIDA (Score ≥ 50.0)", IF(X158&gt;='Methodology &amp; Assumptions'!$B$8, "Tier 2 High GIDA (Score 40.0–49.9)", "Tier 3 Moderate GIDA (Score &lt; 40.0)"))</f>
        <v/>
      </c>
      <c r="V158" s="26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W158" s="28" t="n">
        <v>0.109</v>
      </c>
      <c r="X158" s="14" t="n">
        <v>49.16</v>
      </c>
      <c r="Y158" s="14">
        <f>ROUND(MIN(100, (X158/69.91)*100), 2)</f>
        <v/>
      </c>
    </row>
    <row r="159">
      <c r="A159" s="10" t="n">
        <v>3</v>
      </c>
      <c r="B159" s="10" t="n">
        <v>155</v>
      </c>
      <c r="C159" s="10" t="n">
        <v>2155</v>
      </c>
      <c r="D159" s="10" t="inlineStr">
        <is>
          <t>1380605046</t>
        </is>
      </c>
      <c r="E159" s="26" t="inlineStr">
        <is>
          <t>National Capital Region (NCR)</t>
        </is>
      </c>
      <c r="F159" s="26" t="inlineStr">
        <is>
          <t>First District (Not a Province)</t>
        </is>
      </c>
      <c r="G159" s="26" t="inlineStr">
        <is>
          <t>City of Manila</t>
        </is>
      </c>
      <c r="H159" s="26" t="inlineStr">
        <is>
          <t>Barangay 344</t>
        </is>
      </c>
      <c r="I159" s="27" t="n">
        <v>13.26109</v>
      </c>
      <c r="J159" s="27" t="n">
        <v>122.332739</v>
      </c>
      <c r="K159" s="10" t="inlineStr">
        <is>
          <t>U</t>
        </is>
      </c>
      <c r="L159" s="12" t="n">
        <v>552</v>
      </c>
      <c r="M159" s="14" t="n">
        <v>3.9</v>
      </c>
      <c r="N159" s="12">
        <f>ROUND(L159/M159, 0)</f>
        <v/>
      </c>
      <c r="O159" s="12">
        <f>ROUND(N159*'Methodology &amp; Assumptions'!$B$5, 0)</f>
        <v/>
      </c>
      <c r="P159" s="10" t="inlineStr">
        <is>
          <t>Single Carrier (Band n50, 100MHz TDD)</t>
        </is>
      </c>
      <c r="Q159" s="13">
        <f>ROUNDUP(O159/'Methodology &amp; Assumptions'!$B$6, 0)</f>
        <v/>
      </c>
      <c r="R159" s="13" t="n">
        <v>1</v>
      </c>
      <c r="S159" s="14" t="n">
        <v>22.25</v>
      </c>
      <c r="T159" s="14" t="n">
        <v>30.33</v>
      </c>
      <c r="U159" s="26">
        <f>IF(X159&gt;='Methodology &amp; Assumptions'!$B$7, "Tier 1 Critical GIDA (Score ≥ 50.0)", IF(X159&gt;='Methodology &amp; Assumptions'!$B$8, "Tier 2 High GIDA (Score 40.0–49.9)", "Tier 3 Moderate GIDA (Score &lt; 40.0)"))</f>
        <v/>
      </c>
      <c r="V159" s="26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W159" s="28" t="n">
        <v>0.109</v>
      </c>
      <c r="X159" s="14" t="n">
        <v>49.16</v>
      </c>
      <c r="Y159" s="14">
        <f>ROUND(MIN(100, (X159/69.91)*100), 2)</f>
        <v/>
      </c>
    </row>
    <row r="160">
      <c r="A160" s="10" t="n">
        <v>3</v>
      </c>
      <c r="B160" s="10" t="n">
        <v>156</v>
      </c>
      <c r="C160" s="10" t="n">
        <v>2156</v>
      </c>
      <c r="D160" s="10" t="inlineStr">
        <is>
          <t>PH0002156</t>
        </is>
      </c>
      <c r="E160" s="26" t="inlineStr">
        <is>
          <t>CAR</t>
        </is>
      </c>
      <c r="F160" s="26" t="inlineStr">
        <is>
          <t>Benguet</t>
        </is>
      </c>
      <c r="G160" s="26" t="inlineStr">
        <is>
          <t>Baguio City</t>
        </is>
      </c>
      <c r="H160" s="26" t="inlineStr">
        <is>
          <t>Cresencia Village</t>
        </is>
      </c>
      <c r="I160" s="27" t="n">
        <v>16.419648</v>
      </c>
      <c r="J160" s="27" t="n">
        <v>120.587953</v>
      </c>
      <c r="K160" s="10" t="inlineStr">
        <is>
          <t>R</t>
        </is>
      </c>
      <c r="L160" s="12" t="n">
        <v>2260</v>
      </c>
      <c r="M160" s="14" t="n">
        <v>3.5</v>
      </c>
      <c r="N160" s="12">
        <f>ROUND(L160/M160, 0)</f>
        <v/>
      </c>
      <c r="O160" s="12">
        <f>ROUND(N160*'Methodology &amp; Assumptions'!$B$5, 0)</f>
        <v/>
      </c>
      <c r="P160" s="10" t="inlineStr">
        <is>
          <t>Single Carrier (Band n50, 100MHz TDD)</t>
        </is>
      </c>
      <c r="Q160" s="13">
        <f>ROUNDUP(O160/'Methodology &amp; Assumptions'!$B$6, 0)</f>
        <v/>
      </c>
      <c r="R160" s="13" t="n">
        <v>1</v>
      </c>
      <c r="S160" s="14" t="n">
        <v>0.5</v>
      </c>
      <c r="T160" s="14" t="n">
        <v>0.61</v>
      </c>
      <c r="U160" s="26">
        <f>IF(X160&gt;='Methodology &amp; Assumptions'!$B$7, "Tier 1 Critical GIDA (Score ≥ 50.0)", IF(X160&gt;='Methodology &amp; Assumptions'!$B$8, "Tier 2 High GIDA (Score 40.0–49.9)", "Tier 3 Moderate GIDA (Score &lt; 40.0)"))</f>
        <v/>
      </c>
      <c r="V160" s="26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W160" s="28" t="n">
        <v>0.221</v>
      </c>
      <c r="X160" s="14" t="n">
        <v>49.16</v>
      </c>
      <c r="Y160" s="14">
        <f>ROUND(MIN(100, (X160/69.91)*100), 2)</f>
        <v/>
      </c>
    </row>
    <row r="161">
      <c r="A161" s="10" t="n">
        <v>3</v>
      </c>
      <c r="B161" s="10" t="n">
        <v>157</v>
      </c>
      <c r="C161" s="10" t="n">
        <v>2157</v>
      </c>
      <c r="D161" s="10" t="inlineStr">
        <is>
          <t>1380601196</t>
        </is>
      </c>
      <c r="E161" s="26" t="inlineStr">
        <is>
          <t>National Capital Region (NCR)</t>
        </is>
      </c>
      <c r="F161" s="26" t="inlineStr">
        <is>
          <t>First District (Not a Province)</t>
        </is>
      </c>
      <c r="G161" s="26" t="inlineStr">
        <is>
          <t>City of Manila</t>
        </is>
      </c>
      <c r="H161" s="26" t="inlineStr">
        <is>
          <t>Barangay 196</t>
        </is>
      </c>
      <c r="I161" s="27" t="n">
        <v>12.229211</v>
      </c>
      <c r="J161" s="27" t="n">
        <v>121.626068</v>
      </c>
      <c r="K161" s="10" t="inlineStr">
        <is>
          <t>U</t>
        </is>
      </c>
      <c r="L161" s="12" t="n">
        <v>1681</v>
      </c>
      <c r="M161" s="14" t="n">
        <v>3.9</v>
      </c>
      <c r="N161" s="12">
        <f>ROUND(L161/M161, 0)</f>
        <v/>
      </c>
      <c r="O161" s="12">
        <f>ROUND(N161*'Methodology &amp; Assumptions'!$B$5, 0)</f>
        <v/>
      </c>
      <c r="P161" s="10" t="inlineStr">
        <is>
          <t>Single Carrier (Band n50, 100MHz TDD)</t>
        </is>
      </c>
      <c r="Q161" s="13">
        <f>ROUNDUP(O161/'Methodology &amp; Assumptions'!$B$6, 0)</f>
        <v/>
      </c>
      <c r="R161" s="13" t="n">
        <v>1</v>
      </c>
      <c r="S161" s="14" t="n">
        <v>32.8</v>
      </c>
      <c r="T161" s="14" t="n">
        <v>11.91</v>
      </c>
      <c r="U161" s="26">
        <f>IF(X161&gt;='Methodology &amp; Assumptions'!$B$7, "Tier 1 Critical GIDA (Score ≥ 50.0)", IF(X161&gt;='Methodology &amp; Assumptions'!$B$8, "Tier 2 High GIDA (Score 40.0–49.9)", "Tier 3 Moderate GIDA (Score &lt; 40.0)"))</f>
        <v/>
      </c>
      <c r="V161" s="26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W161" s="28" t="n">
        <v>0.109</v>
      </c>
      <c r="X161" s="14" t="n">
        <v>49.16</v>
      </c>
      <c r="Y161" s="14">
        <f>ROUND(MIN(100, (X161/69.91)*100), 2)</f>
        <v/>
      </c>
    </row>
    <row r="162">
      <c r="A162" s="10" t="n">
        <v>3</v>
      </c>
      <c r="B162" s="10" t="n">
        <v>158</v>
      </c>
      <c r="C162" s="10" t="n">
        <v>2158</v>
      </c>
      <c r="D162" s="10" t="inlineStr">
        <is>
          <t>0405634040</t>
        </is>
      </c>
      <c r="E162" s="26" t="inlineStr">
        <is>
          <t>Region IV-A (CALABARZON)</t>
        </is>
      </c>
      <c r="F162" s="26" t="inlineStr">
        <is>
          <t>Quezon</t>
        </is>
      </c>
      <c r="G162" s="26" t="inlineStr">
        <is>
          <t>Pitogo</t>
        </is>
      </c>
      <c r="H162" s="26" t="inlineStr">
        <is>
          <t>Sumag Weste</t>
        </is>
      </c>
      <c r="I162" s="27" t="n">
        <v>13.801054</v>
      </c>
      <c r="J162" s="27" t="n">
        <v>122.091341</v>
      </c>
      <c r="K162" s="10" t="inlineStr">
        <is>
          <t>R</t>
        </is>
      </c>
      <c r="L162" s="12" t="n">
        <v>258</v>
      </c>
      <c r="M162" s="14" t="n">
        <v>3.8</v>
      </c>
      <c r="N162" s="12">
        <f>ROUND(L162/M162, 0)</f>
        <v/>
      </c>
      <c r="O162" s="12">
        <f>ROUND(N162*'Methodology &amp; Assumptions'!$B$5, 0)</f>
        <v/>
      </c>
      <c r="P162" s="10" t="inlineStr">
        <is>
          <t>Single Carrier (Band n50, 100MHz TDD)</t>
        </is>
      </c>
      <c r="Q162" s="13">
        <f>ROUNDUP(O162/'Methodology &amp; Assumptions'!$B$6, 0)</f>
        <v/>
      </c>
      <c r="R162" s="13" t="n">
        <v>1</v>
      </c>
      <c r="S162" s="14" t="n">
        <v>1.59</v>
      </c>
      <c r="T162" s="14" t="n">
        <v>1.57</v>
      </c>
      <c r="U162" s="26">
        <f>IF(X162&gt;='Methodology &amp; Assumptions'!$B$7, "Tier 1 Critical GIDA (Score ≥ 50.0)", IF(X162&gt;='Methodology &amp; Assumptions'!$B$8, "Tier 2 High GIDA (Score 40.0–49.9)", "Tier 3 Moderate GIDA (Score &lt; 40.0)"))</f>
        <v/>
      </c>
      <c r="V162" s="26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W162" s="28" t="n">
        <v>0.07200000000000001</v>
      </c>
      <c r="X162" s="14" t="n">
        <v>49.16</v>
      </c>
      <c r="Y162" s="14">
        <f>ROUND(MIN(100, (X162/69.91)*100), 2)</f>
        <v/>
      </c>
    </row>
    <row r="163">
      <c r="A163" s="10" t="n">
        <v>3</v>
      </c>
      <c r="B163" s="10" t="n">
        <v>159</v>
      </c>
      <c r="C163" s="10" t="n">
        <v>2159</v>
      </c>
      <c r="D163" s="10" t="inlineStr">
        <is>
          <t>PH0002159</t>
        </is>
      </c>
      <c r="E163" s="26" t="inlineStr">
        <is>
          <t>XI</t>
        </is>
      </c>
      <c r="F163" s="26" t="inlineStr">
        <is>
          <t>Davao de Oro</t>
        </is>
      </c>
      <c r="G163" s="26" t="inlineStr">
        <is>
          <t>Mabini Compostela Valley</t>
        </is>
      </c>
      <c r="H163" s="26" t="inlineStr">
        <is>
          <t>Cadunan</t>
        </is>
      </c>
      <c r="I163" s="27" t="n">
        <v>13.544016</v>
      </c>
      <c r="J163" s="27" t="n">
        <v>120.312601</v>
      </c>
      <c r="K163" s="10" t="inlineStr">
        <is>
          <t>R</t>
        </is>
      </c>
      <c r="L163" s="12" t="n">
        <v>2247</v>
      </c>
      <c r="M163" s="14" t="n">
        <v>3.7</v>
      </c>
      <c r="N163" s="12">
        <f>ROUND(L163/M163, 0)</f>
        <v/>
      </c>
      <c r="O163" s="12">
        <f>ROUND(N163*'Methodology &amp; Assumptions'!$B$5, 0)</f>
        <v/>
      </c>
      <c r="P163" s="10" t="inlineStr">
        <is>
          <t>Single Carrier (Band n50, 100MHz TDD)</t>
        </is>
      </c>
      <c r="Q163" s="13">
        <f>ROUNDUP(O163/'Methodology &amp; Assumptions'!$B$6, 0)</f>
        <v/>
      </c>
      <c r="R163" s="13" t="n">
        <v>1</v>
      </c>
      <c r="S163" s="14" t="n">
        <v>46.67</v>
      </c>
      <c r="T163" s="14" t="n">
        <v>46.71</v>
      </c>
      <c r="U163" s="26">
        <f>IF(X163&gt;='Methodology &amp; Assumptions'!$B$7, "Tier 1 Critical GIDA (Score ≥ 50.0)", IF(X163&gt;='Methodology &amp; Assumptions'!$B$8, "Tier 2 High GIDA (Score 40.0–49.9)", "Tier 3 Moderate GIDA (Score &lt; 40.0)"))</f>
        <v/>
      </c>
      <c r="V163" s="26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W163" s="28" t="n">
        <v>0.119</v>
      </c>
      <c r="X163" s="14" t="n">
        <v>49.16</v>
      </c>
      <c r="Y163" s="14">
        <f>ROUND(MIN(100, (X163/69.91)*100), 2)</f>
        <v/>
      </c>
    </row>
    <row r="164">
      <c r="A164" s="10" t="n">
        <v>3</v>
      </c>
      <c r="B164" s="10" t="n">
        <v>160</v>
      </c>
      <c r="C164" s="10" t="n">
        <v>2160</v>
      </c>
      <c r="D164" s="10" t="inlineStr">
        <is>
          <t>1400109001</t>
        </is>
      </c>
      <c r="E164" s="26" t="inlineStr">
        <is>
          <t>Cordillera Administrative Region (CAR)</t>
        </is>
      </c>
      <c r="F164" s="26" t="inlineStr">
        <is>
          <t>Abra</t>
        </is>
      </c>
      <c r="G164" s="26" t="inlineStr">
        <is>
          <t>Lacub</t>
        </is>
      </c>
      <c r="H164" s="26" t="inlineStr">
        <is>
          <t>Bacag</t>
        </is>
      </c>
      <c r="I164" s="27" t="n">
        <v>17.695455</v>
      </c>
      <c r="J164" s="27" t="n">
        <v>120.911701</v>
      </c>
      <c r="K164" s="10" t="inlineStr">
        <is>
          <t>R</t>
        </is>
      </c>
      <c r="L164" s="12" t="n">
        <v>273</v>
      </c>
      <c r="M164" s="14" t="n">
        <v>3.8</v>
      </c>
      <c r="N164" s="12">
        <f>ROUND(L164/M164, 0)</f>
        <v/>
      </c>
      <c r="O164" s="12">
        <f>ROUND(N164*'Methodology &amp; Assumptions'!$B$5, 0)</f>
        <v/>
      </c>
      <c r="P164" s="10" t="inlineStr">
        <is>
          <t>Single Carrier (Band n50, 100MHz TDD)</t>
        </is>
      </c>
      <c r="Q164" s="13">
        <f>ROUNDUP(O164/'Methodology &amp; Assumptions'!$B$6, 0)</f>
        <v/>
      </c>
      <c r="R164" s="13" t="n">
        <v>1</v>
      </c>
      <c r="S164" s="14" t="n">
        <v>26.25</v>
      </c>
      <c r="T164" s="14" t="n">
        <v>26.08</v>
      </c>
      <c r="U164" s="26">
        <f>IF(X164&gt;='Methodology &amp; Assumptions'!$B$7, "Tier 1 Critical GIDA (Score ≥ 50.0)", IF(X164&gt;='Methodology &amp; Assumptions'!$B$8, "Tier 2 High GIDA (Score 40.0–49.9)", "Tier 3 Moderate GIDA (Score &lt; 40.0)"))</f>
        <v/>
      </c>
      <c r="V164" s="26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W164" s="28" t="n">
        <v>0.109</v>
      </c>
      <c r="X164" s="14" t="n">
        <v>49.16</v>
      </c>
      <c r="Y164" s="14">
        <f>ROUND(MIN(100, (X164/69.91)*100), 2)</f>
        <v/>
      </c>
    </row>
    <row r="165">
      <c r="A165" s="10" t="n">
        <v>3</v>
      </c>
      <c r="B165" s="10" t="n">
        <v>161</v>
      </c>
      <c r="C165" s="10" t="n">
        <v>2161</v>
      </c>
      <c r="D165" s="10" t="inlineStr">
        <is>
          <t>1380610055</t>
        </is>
      </c>
      <c r="E165" s="26" t="inlineStr">
        <is>
          <t>National Capital Region (NCR)</t>
        </is>
      </c>
      <c r="F165" s="26" t="inlineStr">
        <is>
          <t>First District (Not a Province)</t>
        </is>
      </c>
      <c r="G165" s="26" t="inlineStr">
        <is>
          <t>City of Manila</t>
        </is>
      </c>
      <c r="H165" s="26" t="inlineStr">
        <is>
          <t>Barangay 741</t>
        </is>
      </c>
      <c r="I165" s="27" t="n">
        <v>13.457887</v>
      </c>
      <c r="J165" s="27" t="n">
        <v>121.431568</v>
      </c>
      <c r="K165" s="10" t="inlineStr">
        <is>
          <t>U</t>
        </is>
      </c>
      <c r="L165" s="12" t="n">
        <v>1244</v>
      </c>
      <c r="M165" s="14" t="n">
        <v>3.9</v>
      </c>
      <c r="N165" s="12">
        <f>ROUND(L165/M165, 0)</f>
        <v/>
      </c>
      <c r="O165" s="12">
        <f>ROUND(N165*'Methodology &amp; Assumptions'!$B$5, 0)</f>
        <v/>
      </c>
      <c r="P165" s="10" t="inlineStr">
        <is>
          <t>Single Carrier (Band n50, 100MHz TDD)</t>
        </is>
      </c>
      <c r="Q165" s="13">
        <f>ROUNDUP(O165/'Methodology &amp; Assumptions'!$B$6, 0)</f>
        <v/>
      </c>
      <c r="R165" s="13" t="n">
        <v>1</v>
      </c>
      <c r="S165" s="14" t="n">
        <v>20.65</v>
      </c>
      <c r="T165" s="14" t="n">
        <v>27.57</v>
      </c>
      <c r="U165" s="26">
        <f>IF(X165&gt;='Methodology &amp; Assumptions'!$B$7, "Tier 1 Critical GIDA (Score ≥ 50.0)", IF(X165&gt;='Methodology &amp; Assumptions'!$B$8, "Tier 2 High GIDA (Score 40.0–49.9)", "Tier 3 Moderate GIDA (Score &lt; 40.0)"))</f>
        <v/>
      </c>
      <c r="V165" s="26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W165" s="28" t="n">
        <v>0.109</v>
      </c>
      <c r="X165" s="14" t="n">
        <v>49.16</v>
      </c>
      <c r="Y165" s="14">
        <f>ROUND(MIN(100, (X165/69.91)*100), 2)</f>
        <v/>
      </c>
    </row>
    <row r="166">
      <c r="A166" s="10" t="n">
        <v>3</v>
      </c>
      <c r="B166" s="10" t="n">
        <v>162</v>
      </c>
      <c r="C166" s="10" t="n">
        <v>2162</v>
      </c>
      <c r="D166" s="10" t="inlineStr">
        <is>
          <t>1380601003</t>
        </is>
      </c>
      <c r="E166" s="26" t="inlineStr">
        <is>
          <t>National Capital Region (NCR)</t>
        </is>
      </c>
      <c r="F166" s="26" t="inlineStr">
        <is>
          <t>First District (Not a Province)</t>
        </is>
      </c>
      <c r="G166" s="26" t="inlineStr">
        <is>
          <t>City of Manila</t>
        </is>
      </c>
      <c r="H166" s="26" t="inlineStr">
        <is>
          <t>Barangay 3</t>
        </is>
      </c>
      <c r="I166" s="27" t="n">
        <v>12.678533</v>
      </c>
      <c r="J166" s="27" t="n">
        <v>122.428486</v>
      </c>
      <c r="K166" s="10" t="inlineStr">
        <is>
          <t>U</t>
        </is>
      </c>
      <c r="L166" s="12" t="n">
        <v>1382</v>
      </c>
      <c r="M166" s="14" t="n">
        <v>3.9</v>
      </c>
      <c r="N166" s="12">
        <f>ROUND(L166/M166, 0)</f>
        <v/>
      </c>
      <c r="O166" s="12">
        <f>ROUND(N166*'Methodology &amp; Assumptions'!$B$5, 0)</f>
        <v/>
      </c>
      <c r="P166" s="10" t="inlineStr">
        <is>
          <t>Single Carrier (Band n50, 100MHz TDD)</t>
        </is>
      </c>
      <c r="Q166" s="13">
        <f>ROUNDUP(O166/'Methodology &amp; Assumptions'!$B$6, 0)</f>
        <v/>
      </c>
      <c r="R166" s="13" t="n">
        <v>1</v>
      </c>
      <c r="S166" s="14" t="n">
        <v>66.61</v>
      </c>
      <c r="T166" s="14" t="n">
        <v>78.87</v>
      </c>
      <c r="U166" s="26">
        <f>IF(X166&gt;='Methodology &amp; Assumptions'!$B$7, "Tier 1 Critical GIDA (Score ≥ 50.0)", IF(X166&gt;='Methodology &amp; Assumptions'!$B$8, "Tier 2 High GIDA (Score 40.0–49.9)", "Tier 3 Moderate GIDA (Score &lt; 40.0)"))</f>
        <v/>
      </c>
      <c r="V166" s="26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W166" s="28" t="n">
        <v>0.109</v>
      </c>
      <c r="X166" s="14" t="n">
        <v>49.15</v>
      </c>
      <c r="Y166" s="14">
        <f>ROUND(MIN(100, (X166/69.91)*100), 2)</f>
        <v/>
      </c>
    </row>
    <row r="167">
      <c r="A167" s="10" t="n">
        <v>3</v>
      </c>
      <c r="B167" s="10" t="n">
        <v>163</v>
      </c>
      <c r="C167" s="10" t="n">
        <v>2163</v>
      </c>
      <c r="D167" s="10" t="inlineStr">
        <is>
          <t>1380601078</t>
        </is>
      </c>
      <c r="E167" s="26" t="inlineStr">
        <is>
          <t>National Capital Region (NCR)</t>
        </is>
      </c>
      <c r="F167" s="26" t="inlineStr">
        <is>
          <t>First District (Not a Province)</t>
        </is>
      </c>
      <c r="G167" s="26" t="inlineStr">
        <is>
          <t>City of Manila</t>
        </is>
      </c>
      <c r="H167" s="26" t="inlineStr">
        <is>
          <t>Barangay 78</t>
        </is>
      </c>
      <c r="I167" s="27" t="n">
        <v>12.596406</v>
      </c>
      <c r="J167" s="27" t="n">
        <v>121.150793</v>
      </c>
      <c r="K167" s="10" t="inlineStr">
        <is>
          <t>U</t>
        </is>
      </c>
      <c r="L167" s="12" t="n">
        <v>1258</v>
      </c>
      <c r="M167" s="14" t="n">
        <v>3.9</v>
      </c>
      <c r="N167" s="12">
        <f>ROUND(L167/M167, 0)</f>
        <v/>
      </c>
      <c r="O167" s="12">
        <f>ROUND(N167*'Methodology &amp; Assumptions'!$B$5, 0)</f>
        <v/>
      </c>
      <c r="P167" s="10" t="inlineStr">
        <is>
          <t>Single Carrier (Band n50, 100MHz TDD)</t>
        </is>
      </c>
      <c r="Q167" s="13">
        <f>ROUNDUP(O167/'Methodology &amp; Assumptions'!$B$6, 0)</f>
        <v/>
      </c>
      <c r="R167" s="13" t="n">
        <v>1</v>
      </c>
      <c r="S167" s="14" t="n">
        <v>28.87</v>
      </c>
      <c r="T167" s="14" t="n">
        <v>25.9</v>
      </c>
      <c r="U167" s="26">
        <f>IF(X167&gt;='Methodology &amp; Assumptions'!$B$7, "Tier 1 Critical GIDA (Score ≥ 50.0)", IF(X167&gt;='Methodology &amp; Assumptions'!$B$8, "Tier 2 High GIDA (Score 40.0–49.9)", "Tier 3 Moderate GIDA (Score &lt; 40.0)"))</f>
        <v/>
      </c>
      <c r="V167" s="26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W167" s="28" t="n">
        <v>0.109</v>
      </c>
      <c r="X167" s="14" t="n">
        <v>49.15</v>
      </c>
      <c r="Y167" s="14">
        <f>ROUND(MIN(100, (X167/69.91)*100), 2)</f>
        <v/>
      </c>
    </row>
    <row r="168">
      <c r="A168" s="10" t="n">
        <v>3</v>
      </c>
      <c r="B168" s="10" t="n">
        <v>164</v>
      </c>
      <c r="C168" s="10" t="n">
        <v>2164</v>
      </c>
      <c r="D168" s="10" t="inlineStr">
        <is>
          <t>1380601120</t>
        </is>
      </c>
      <c r="E168" s="26" t="inlineStr">
        <is>
          <t>National Capital Region (NCR)</t>
        </is>
      </c>
      <c r="F168" s="26" t="inlineStr">
        <is>
          <t>First District (Not a Province)</t>
        </is>
      </c>
      <c r="G168" s="26" t="inlineStr">
        <is>
          <t>City of Manila</t>
        </is>
      </c>
      <c r="H168" s="26" t="inlineStr">
        <is>
          <t>Barangay 120</t>
        </is>
      </c>
      <c r="I168" s="27" t="n">
        <v>13.500253</v>
      </c>
      <c r="J168" s="27" t="n">
        <v>122.037675</v>
      </c>
      <c r="K168" s="10" t="inlineStr">
        <is>
          <t>U</t>
        </is>
      </c>
      <c r="L168" s="12" t="n">
        <v>3991</v>
      </c>
      <c r="M168" s="14" t="n">
        <v>3.9</v>
      </c>
      <c r="N168" s="12">
        <f>ROUND(L168/M168, 0)</f>
        <v/>
      </c>
      <c r="O168" s="12">
        <f>ROUND(N168*'Methodology &amp; Assumptions'!$B$5, 0)</f>
        <v/>
      </c>
      <c r="P168" s="10" t="inlineStr">
        <is>
          <t>Single Carrier (Band n50, 100MHz TDD)</t>
        </is>
      </c>
      <c r="Q168" s="13">
        <f>ROUNDUP(O168/'Methodology &amp; Assumptions'!$B$6, 0)</f>
        <v/>
      </c>
      <c r="R168" s="13" t="n">
        <v>1</v>
      </c>
      <c r="S168" s="14" t="n">
        <v>25.95</v>
      </c>
      <c r="T168" s="14" t="n">
        <v>25.36</v>
      </c>
      <c r="U168" s="26">
        <f>IF(X168&gt;='Methodology &amp; Assumptions'!$B$7, "Tier 1 Critical GIDA (Score ≥ 50.0)", IF(X168&gt;='Methodology &amp; Assumptions'!$B$8, "Tier 2 High GIDA (Score 40.0–49.9)", "Tier 3 Moderate GIDA (Score &lt; 40.0)"))</f>
        <v/>
      </c>
      <c r="V168" s="26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W168" s="28" t="n">
        <v>0.109</v>
      </c>
      <c r="X168" s="14" t="n">
        <v>49.15</v>
      </c>
      <c r="Y168" s="14">
        <f>ROUND(MIN(100, (X168/69.91)*100), 2)</f>
        <v/>
      </c>
    </row>
    <row r="169">
      <c r="A169" s="10" t="n">
        <v>3</v>
      </c>
      <c r="B169" s="10" t="n">
        <v>165</v>
      </c>
      <c r="C169" s="10" t="n">
        <v>2165</v>
      </c>
      <c r="D169" s="10" t="inlineStr">
        <is>
          <t>PH0002165</t>
        </is>
      </c>
      <c r="E169" s="26" t="inlineStr">
        <is>
          <t>NCR</t>
        </is>
      </c>
      <c r="F169" s="26" t="inlineStr">
        <is>
          <t>Metro Manila</t>
        </is>
      </c>
      <c r="G169" s="26" t="inlineStr">
        <is>
          <t>Caloocan City</t>
        </is>
      </c>
      <c r="H169" s="26" t="inlineStr">
        <is>
          <t>Barangay 41</t>
        </is>
      </c>
      <c r="I169" s="27" t="n">
        <v>13.707621</v>
      </c>
      <c r="J169" s="27" t="n">
        <v>120.667185</v>
      </c>
      <c r="K169" s="10" t="inlineStr">
        <is>
          <t>R</t>
        </is>
      </c>
      <c r="L169" s="12" t="n">
        <v>2279</v>
      </c>
      <c r="M169" s="14" t="n">
        <v>3.8</v>
      </c>
      <c r="N169" s="12">
        <f>ROUND(L169/M169, 0)</f>
        <v/>
      </c>
      <c r="O169" s="12">
        <f>ROUND(N169*'Methodology &amp; Assumptions'!$B$5, 0)</f>
        <v/>
      </c>
      <c r="P169" s="10" t="inlineStr">
        <is>
          <t>Single Carrier (Band n50, 100MHz TDD)</t>
        </is>
      </c>
      <c r="Q169" s="13">
        <f>ROUNDUP(O169/'Methodology &amp; Assumptions'!$B$6, 0)</f>
        <v/>
      </c>
      <c r="R169" s="13" t="n">
        <v>1</v>
      </c>
      <c r="S169" s="14" t="n">
        <v>13.9</v>
      </c>
      <c r="T169" s="14" t="n">
        <v>14.01</v>
      </c>
      <c r="U169" s="26">
        <f>IF(X169&gt;='Methodology &amp; Assumptions'!$B$7, "Tier 1 Critical GIDA (Score ≥ 50.0)", IF(X169&gt;='Methodology &amp; Assumptions'!$B$8, "Tier 2 High GIDA (Score 40.0–49.9)", "Tier 3 Moderate GIDA (Score &lt; 40.0)"))</f>
        <v/>
      </c>
      <c r="V169" s="26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W169" s="28" t="n">
        <v>0.011</v>
      </c>
      <c r="X169" s="14" t="n">
        <v>49.15</v>
      </c>
      <c r="Y169" s="14">
        <f>ROUND(MIN(100, (X169/69.91)*100), 2)</f>
        <v/>
      </c>
    </row>
    <row r="170">
      <c r="A170" s="10" t="n">
        <v>3</v>
      </c>
      <c r="B170" s="10" t="n">
        <v>166</v>
      </c>
      <c r="C170" s="10" t="n">
        <v>2166</v>
      </c>
      <c r="D170" s="10" t="inlineStr">
        <is>
          <t>1380610060</t>
        </is>
      </c>
      <c r="E170" s="26" t="inlineStr">
        <is>
          <t>National Capital Region (NCR)</t>
        </is>
      </c>
      <c r="F170" s="26" t="inlineStr">
        <is>
          <t>First District (Not a Province)</t>
        </is>
      </c>
      <c r="G170" s="26" t="inlineStr">
        <is>
          <t>City of Manila</t>
        </is>
      </c>
      <c r="H170" s="26" t="inlineStr">
        <is>
          <t>Barangay 735</t>
        </is>
      </c>
      <c r="I170" s="27" t="n">
        <v>12.247258</v>
      </c>
      <c r="J170" s="27" t="n">
        <v>122.010131</v>
      </c>
      <c r="K170" s="10" t="inlineStr">
        <is>
          <t>U</t>
        </is>
      </c>
      <c r="L170" s="12" t="n">
        <v>2126</v>
      </c>
      <c r="M170" s="14" t="n">
        <v>3.9</v>
      </c>
      <c r="N170" s="12">
        <f>ROUND(L170/M170, 0)</f>
        <v/>
      </c>
      <c r="O170" s="12">
        <f>ROUND(N170*'Methodology &amp; Assumptions'!$B$5, 0)</f>
        <v/>
      </c>
      <c r="P170" s="10" t="inlineStr">
        <is>
          <t>Single Carrier (Band n50, 100MHz TDD)</t>
        </is>
      </c>
      <c r="Q170" s="13">
        <f>ROUNDUP(O170/'Methodology &amp; Assumptions'!$B$6, 0)</f>
        <v/>
      </c>
      <c r="R170" s="13" t="n">
        <v>1</v>
      </c>
      <c r="S170" s="14" t="n">
        <v>33.97</v>
      </c>
      <c r="T170" s="14" t="n">
        <v>13.57</v>
      </c>
      <c r="U170" s="26">
        <f>IF(X170&gt;='Methodology &amp; Assumptions'!$B$7, "Tier 1 Critical GIDA (Score ≥ 50.0)", IF(X170&gt;='Methodology &amp; Assumptions'!$B$8, "Tier 2 High GIDA (Score 40.0–49.9)", "Tier 3 Moderate GIDA (Score &lt; 40.0)"))</f>
        <v/>
      </c>
      <c r="V170" s="26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W170" s="28" t="n">
        <v>0.109</v>
      </c>
      <c r="X170" s="14" t="n">
        <v>49.15</v>
      </c>
      <c r="Y170" s="14">
        <f>ROUND(MIN(100, (X170/69.91)*100), 2)</f>
        <v/>
      </c>
    </row>
    <row r="171">
      <c r="A171" s="10" t="n">
        <v>3</v>
      </c>
      <c r="B171" s="10" t="n">
        <v>167</v>
      </c>
      <c r="C171" s="10" t="n">
        <v>2167</v>
      </c>
      <c r="D171" s="10" t="inlineStr">
        <is>
          <t>PH0002167</t>
        </is>
      </c>
      <c r="E171" s="26" t="inlineStr">
        <is>
          <t>VII</t>
        </is>
      </c>
      <c r="F171" s="26" t="inlineStr">
        <is>
          <t>Cebu</t>
        </is>
      </c>
      <c r="G171" s="26" t="inlineStr">
        <is>
          <t>Talisay City</t>
        </is>
      </c>
      <c r="H171" s="26" t="inlineStr">
        <is>
          <t>San Roque</t>
        </is>
      </c>
      <c r="I171" s="27" t="n">
        <v>10.379474</v>
      </c>
      <c r="J171" s="27" t="n">
        <v>123.791103</v>
      </c>
      <c r="K171" s="10" t="inlineStr">
        <is>
          <t>R</t>
        </is>
      </c>
      <c r="L171" s="12" t="n">
        <v>2250</v>
      </c>
      <c r="M171" s="14" t="n">
        <v>3.8</v>
      </c>
      <c r="N171" s="12">
        <f>ROUND(L171/M171, 0)</f>
        <v/>
      </c>
      <c r="O171" s="12">
        <f>ROUND(N171*'Methodology &amp; Assumptions'!$B$5, 0)</f>
        <v/>
      </c>
      <c r="P171" s="10" t="inlineStr">
        <is>
          <t>Single Carrier (Band n50, 100MHz TDD)</t>
        </is>
      </c>
      <c r="Q171" s="13">
        <f>ROUNDUP(O171/'Methodology &amp; Assumptions'!$B$6, 0)</f>
        <v/>
      </c>
      <c r="R171" s="13" t="n">
        <v>1</v>
      </c>
      <c r="S171" s="14" t="n">
        <v>6.99</v>
      </c>
      <c r="T171" s="14" t="n">
        <v>11.58</v>
      </c>
      <c r="U171" s="26">
        <f>IF(X171&gt;='Methodology &amp; Assumptions'!$B$7, "Tier 1 Critical GIDA (Score ≥ 50.0)", IF(X171&gt;='Methodology &amp; Assumptions'!$B$8, "Tier 2 High GIDA (Score 40.0–49.9)", "Tier 3 Moderate GIDA (Score &lt; 40.0)"))</f>
        <v/>
      </c>
      <c r="V171" s="26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W171" s="28" t="n">
        <v>0.21</v>
      </c>
      <c r="X171" s="14" t="n">
        <v>49.15</v>
      </c>
      <c r="Y171" s="14">
        <f>ROUND(MIN(100, (X171/69.91)*100), 2)</f>
        <v/>
      </c>
    </row>
    <row r="172">
      <c r="A172" s="10" t="n">
        <v>3</v>
      </c>
      <c r="B172" s="10" t="n">
        <v>168</v>
      </c>
      <c r="C172" s="10" t="n">
        <v>2168</v>
      </c>
      <c r="D172" s="10" t="inlineStr">
        <is>
          <t>1380601056</t>
        </is>
      </c>
      <c r="E172" s="26" t="inlineStr">
        <is>
          <t>National Capital Region (NCR)</t>
        </is>
      </c>
      <c r="F172" s="26" t="inlineStr">
        <is>
          <t>First District (Not a Province)</t>
        </is>
      </c>
      <c r="G172" s="26" t="inlineStr">
        <is>
          <t>City of Manila</t>
        </is>
      </c>
      <c r="H172" s="26" t="inlineStr">
        <is>
          <t>Barangay 56</t>
        </is>
      </c>
      <c r="I172" s="27" t="n">
        <v>13.191094</v>
      </c>
      <c r="J172" s="27" t="n">
        <v>121.160378</v>
      </c>
      <c r="K172" s="10" t="inlineStr">
        <is>
          <t>U</t>
        </is>
      </c>
      <c r="L172" s="12" t="n">
        <v>3562</v>
      </c>
      <c r="M172" s="14" t="n">
        <v>3.9</v>
      </c>
      <c r="N172" s="12">
        <f>ROUND(L172/M172, 0)</f>
        <v/>
      </c>
      <c r="O172" s="12">
        <f>ROUND(N172*'Methodology &amp; Assumptions'!$B$5, 0)</f>
        <v/>
      </c>
      <c r="P172" s="10" t="inlineStr">
        <is>
          <t>Single Carrier (Band n50, 100MHz TDD)</t>
        </is>
      </c>
      <c r="Q172" s="13">
        <f>ROUNDUP(O172/'Methodology &amp; Assumptions'!$B$6, 0)</f>
        <v/>
      </c>
      <c r="R172" s="13" t="n">
        <v>1</v>
      </c>
      <c r="S172" s="14" t="n">
        <v>13.21</v>
      </c>
      <c r="T172" s="14" t="n">
        <v>11.7</v>
      </c>
      <c r="U172" s="26">
        <f>IF(X172&gt;='Methodology &amp; Assumptions'!$B$7, "Tier 1 Critical GIDA (Score ≥ 50.0)", IF(X172&gt;='Methodology &amp; Assumptions'!$B$8, "Tier 2 High GIDA (Score 40.0–49.9)", "Tier 3 Moderate GIDA (Score &lt; 40.0)"))</f>
        <v/>
      </c>
      <c r="V172" s="26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W172" s="28" t="n">
        <v>0.109</v>
      </c>
      <c r="X172" s="14" t="n">
        <v>49.15</v>
      </c>
      <c r="Y172" s="14">
        <f>ROUND(MIN(100, (X172/69.91)*100), 2)</f>
        <v/>
      </c>
    </row>
    <row r="173">
      <c r="A173" s="10" t="n">
        <v>3</v>
      </c>
      <c r="B173" s="10" t="n">
        <v>169</v>
      </c>
      <c r="C173" s="10" t="n">
        <v>2169</v>
      </c>
      <c r="D173" s="10" t="inlineStr">
        <is>
          <t>PH0002169</t>
        </is>
      </c>
      <c r="E173" s="26" t="inlineStr">
        <is>
          <t>XI</t>
        </is>
      </c>
      <c r="F173" s="26" t="inlineStr">
        <is>
          <t>Davao Del Sur</t>
        </is>
      </c>
      <c r="G173" s="26" t="inlineStr">
        <is>
          <t>Davao City</t>
        </is>
      </c>
      <c r="H173" s="26" t="inlineStr">
        <is>
          <t>Barangay 26-C (Pob.)</t>
        </is>
      </c>
      <c r="I173" s="27" t="n">
        <v>7.188736</v>
      </c>
      <c r="J173" s="27" t="n">
        <v>125.451093</v>
      </c>
      <c r="K173" s="10" t="inlineStr">
        <is>
          <t>R</t>
        </is>
      </c>
      <c r="L173" s="12" t="n">
        <v>2280</v>
      </c>
      <c r="M173" s="14" t="n">
        <v>3.4</v>
      </c>
      <c r="N173" s="12">
        <f>ROUND(L173/M173, 0)</f>
        <v/>
      </c>
      <c r="O173" s="12">
        <f>ROUND(N173*'Methodology &amp; Assumptions'!$B$5, 0)</f>
        <v/>
      </c>
      <c r="P173" s="10" t="inlineStr">
        <is>
          <t>Single Carrier (Band n50, 100MHz TDD)</t>
        </is>
      </c>
      <c r="Q173" s="13">
        <f>ROUNDUP(O173/'Methodology &amp; Assumptions'!$B$6, 0)</f>
        <v/>
      </c>
      <c r="R173" s="13" t="n">
        <v>1</v>
      </c>
      <c r="S173" s="14" t="n">
        <v>0.51</v>
      </c>
      <c r="T173" s="14" t="n">
        <v>0.5</v>
      </c>
      <c r="U173" s="26">
        <f>IF(X173&gt;='Methodology &amp; Assumptions'!$B$7, "Tier 1 Critical GIDA (Score ≥ 50.0)", IF(X173&gt;='Methodology &amp; Assumptions'!$B$8, "Tier 2 High GIDA (Score 40.0–49.9)", "Tier 3 Moderate GIDA (Score &lt; 40.0)"))</f>
        <v/>
      </c>
      <c r="V173" s="26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W173" s="28" t="n">
        <v>0.119</v>
      </c>
      <c r="X173" s="14" t="n">
        <v>49.14</v>
      </c>
      <c r="Y173" s="14">
        <f>ROUND(MIN(100, (X173/69.91)*100), 2)</f>
        <v/>
      </c>
    </row>
    <row r="174">
      <c r="A174" s="10" t="n">
        <v>3</v>
      </c>
      <c r="B174" s="10" t="n">
        <v>170</v>
      </c>
      <c r="C174" s="10" t="n">
        <v>2170</v>
      </c>
      <c r="D174" s="10" t="inlineStr">
        <is>
          <t>1380606214</t>
        </is>
      </c>
      <c r="E174" s="26" t="inlineStr">
        <is>
          <t>National Capital Region (NCR)</t>
        </is>
      </c>
      <c r="F174" s="26" t="inlineStr">
        <is>
          <t>First District (Not a Province)</t>
        </is>
      </c>
      <c r="G174" s="26" t="inlineStr">
        <is>
          <t>City of Manila</t>
        </is>
      </c>
      <c r="H174" s="26" t="inlineStr">
        <is>
          <t>Barangay 607</t>
        </is>
      </c>
      <c r="I174" s="27" t="n">
        <v>13.054592</v>
      </c>
      <c r="J174" s="27" t="n">
        <v>122.443551</v>
      </c>
      <c r="K174" s="10" t="inlineStr">
        <is>
          <t>U</t>
        </is>
      </c>
      <c r="L174" s="12" t="n">
        <v>1836</v>
      </c>
      <c r="M174" s="14" t="n">
        <v>3.9</v>
      </c>
      <c r="N174" s="12">
        <f>ROUND(L174/M174, 0)</f>
        <v/>
      </c>
      <c r="O174" s="12">
        <f>ROUND(N174*'Methodology &amp; Assumptions'!$B$5, 0)</f>
        <v/>
      </c>
      <c r="P174" s="10" t="inlineStr">
        <is>
          <t>Single Carrier (Band n50, 100MHz TDD)</t>
        </is>
      </c>
      <c r="Q174" s="13">
        <f>ROUNDUP(O174/'Methodology &amp; Assumptions'!$B$6, 0)</f>
        <v/>
      </c>
      <c r="R174" s="13" t="n">
        <v>1</v>
      </c>
      <c r="S174" s="14" t="n">
        <v>32.62</v>
      </c>
      <c r="T174" s="14" t="n">
        <v>52.64</v>
      </c>
      <c r="U174" s="26">
        <f>IF(X174&gt;='Methodology &amp; Assumptions'!$B$7, "Tier 1 Critical GIDA (Score ≥ 50.0)", IF(X174&gt;='Methodology &amp; Assumptions'!$B$8, "Tier 2 High GIDA (Score 40.0–49.9)", "Tier 3 Moderate GIDA (Score &lt; 40.0)"))</f>
        <v/>
      </c>
      <c r="V174" s="26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W174" s="28" t="n">
        <v>0.109</v>
      </c>
      <c r="X174" s="14" t="n">
        <v>49.14</v>
      </c>
      <c r="Y174" s="14">
        <f>ROUND(MIN(100, (X174/69.91)*100), 2)</f>
        <v/>
      </c>
    </row>
    <row r="175">
      <c r="A175" s="10" t="n">
        <v>3</v>
      </c>
      <c r="B175" s="10" t="n">
        <v>171</v>
      </c>
      <c r="C175" s="10" t="n">
        <v>2171</v>
      </c>
      <c r="D175" s="10" t="inlineStr">
        <is>
          <t>1380605047</t>
        </is>
      </c>
      <c r="E175" s="26" t="inlineStr">
        <is>
          <t>National Capital Region (NCR)</t>
        </is>
      </c>
      <c r="F175" s="26" t="inlineStr">
        <is>
          <t>First District (Not a Province)</t>
        </is>
      </c>
      <c r="G175" s="26" t="inlineStr">
        <is>
          <t>City of Manila</t>
        </is>
      </c>
      <c r="H175" s="26" t="inlineStr">
        <is>
          <t>Barangay 345</t>
        </is>
      </c>
      <c r="I175" s="27" t="n">
        <v>12.308656</v>
      </c>
      <c r="J175" s="27" t="n">
        <v>121.400816</v>
      </c>
      <c r="K175" s="10" t="inlineStr">
        <is>
          <t>U</t>
        </is>
      </c>
      <c r="L175" s="12" t="n">
        <v>1184</v>
      </c>
      <c r="M175" s="14" t="n">
        <v>3.9</v>
      </c>
      <c r="N175" s="12">
        <f>ROUND(L175/M175, 0)</f>
        <v/>
      </c>
      <c r="O175" s="12">
        <f>ROUND(N175*'Methodology &amp; Assumptions'!$B$5, 0)</f>
        <v/>
      </c>
      <c r="P175" s="10" t="inlineStr">
        <is>
          <t>Single Carrier (Band n50, 100MHz TDD)</t>
        </is>
      </c>
      <c r="Q175" s="13">
        <f>ROUNDUP(O175/'Methodology &amp; Assumptions'!$B$6, 0)</f>
        <v/>
      </c>
      <c r="R175" s="13" t="n">
        <v>1</v>
      </c>
      <c r="S175" s="14" t="n">
        <v>6.78</v>
      </c>
      <c r="T175" s="14" t="n">
        <v>6.63</v>
      </c>
      <c r="U175" s="26">
        <f>IF(X175&gt;='Methodology &amp; Assumptions'!$B$7, "Tier 1 Critical GIDA (Score ≥ 50.0)", IF(X175&gt;='Methodology &amp; Assumptions'!$B$8, "Tier 2 High GIDA (Score 40.0–49.9)", "Tier 3 Moderate GIDA (Score &lt; 40.0)"))</f>
        <v/>
      </c>
      <c r="V175" s="26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W175" s="28" t="n">
        <v>0.109</v>
      </c>
      <c r="X175" s="14" t="n">
        <v>49.14</v>
      </c>
      <c r="Y175" s="14">
        <f>ROUND(MIN(100, (X175/69.91)*100), 2)</f>
        <v/>
      </c>
    </row>
    <row r="176">
      <c r="A176" s="10" t="n">
        <v>3</v>
      </c>
      <c r="B176" s="10" t="n">
        <v>172</v>
      </c>
      <c r="C176" s="10" t="n">
        <v>2172</v>
      </c>
      <c r="D176" s="10" t="inlineStr">
        <is>
          <t>PH0002172</t>
        </is>
      </c>
      <c r="E176" s="26" t="inlineStr">
        <is>
          <t>CAR</t>
        </is>
      </c>
      <c r="F176" s="26" t="inlineStr">
        <is>
          <t>Benguet</t>
        </is>
      </c>
      <c r="G176" s="26" t="inlineStr">
        <is>
          <t>Baguio City</t>
        </is>
      </c>
      <c r="H176" s="26" t="inlineStr">
        <is>
          <t>Padre Zamora</t>
        </is>
      </c>
      <c r="I176" s="27" t="n">
        <v>16.392398</v>
      </c>
      <c r="J176" s="27" t="n">
        <v>120.600481</v>
      </c>
      <c r="K176" s="10" t="inlineStr">
        <is>
          <t>R</t>
        </is>
      </c>
      <c r="L176" s="12" t="n">
        <v>2260</v>
      </c>
      <c r="M176" s="14" t="n">
        <v>3.5</v>
      </c>
      <c r="N176" s="12">
        <f>ROUND(L176/M176, 0)</f>
        <v/>
      </c>
      <c r="O176" s="12">
        <f>ROUND(N176*'Methodology &amp; Assumptions'!$B$5, 0)</f>
        <v/>
      </c>
      <c r="P176" s="10" t="inlineStr">
        <is>
          <t>Single Carrier (Band n50, 100MHz TDD)</t>
        </is>
      </c>
      <c r="Q176" s="13">
        <f>ROUNDUP(O176/'Methodology &amp; Assumptions'!$B$6, 0)</f>
        <v/>
      </c>
      <c r="R176" s="13" t="n">
        <v>1</v>
      </c>
      <c r="S176" s="14" t="n">
        <v>1.14</v>
      </c>
      <c r="T176" s="14" t="n">
        <v>1.08</v>
      </c>
      <c r="U176" s="26">
        <f>IF(X176&gt;='Methodology &amp; Assumptions'!$B$7, "Tier 1 Critical GIDA (Score ≥ 50.0)", IF(X176&gt;='Methodology &amp; Assumptions'!$B$8, "Tier 2 High GIDA (Score 40.0–49.9)", "Tier 3 Moderate GIDA (Score &lt; 40.0)"))</f>
        <v/>
      </c>
      <c r="V176" s="26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W176" s="28" t="n">
        <v>0.221</v>
      </c>
      <c r="X176" s="14" t="n">
        <v>49.14</v>
      </c>
      <c r="Y176" s="14">
        <f>ROUND(MIN(100, (X176/69.91)*100), 2)</f>
        <v/>
      </c>
    </row>
    <row r="177">
      <c r="A177" s="10" t="n">
        <v>3</v>
      </c>
      <c r="B177" s="10" t="n">
        <v>173</v>
      </c>
      <c r="C177" s="10" t="n">
        <v>2173</v>
      </c>
      <c r="D177" s="10" t="inlineStr">
        <is>
          <t>0102908006</t>
        </is>
      </c>
      <c r="E177" s="26" t="inlineStr">
        <is>
          <t>Region I (Ilocos Region)</t>
        </is>
      </c>
      <c r="F177" s="26" t="inlineStr">
        <is>
          <t>Ilocos Sur</t>
        </is>
      </c>
      <c r="G177" s="26" t="inlineStr">
        <is>
          <t>Cervantes</t>
        </is>
      </c>
      <c r="H177" s="26" t="inlineStr">
        <is>
          <t>Dinwede West</t>
        </is>
      </c>
      <c r="I177" s="27" t="n">
        <v>16.905495</v>
      </c>
      <c r="J177" s="27" t="n">
        <v>120.604218</v>
      </c>
      <c r="K177" s="10" t="inlineStr">
        <is>
          <t>R</t>
        </is>
      </c>
      <c r="L177" s="12" t="n">
        <v>843</v>
      </c>
      <c r="M177" s="14" t="n">
        <v>3.8</v>
      </c>
      <c r="N177" s="12">
        <f>ROUND(L177/M177, 0)</f>
        <v/>
      </c>
      <c r="O177" s="12">
        <f>ROUND(N177*'Methodology &amp; Assumptions'!$B$5, 0)</f>
        <v/>
      </c>
      <c r="P177" s="10" t="inlineStr">
        <is>
          <t>Single Carrier (Band n50, 100MHz TDD)</t>
        </is>
      </c>
      <c r="Q177" s="13">
        <f>ROUNDUP(O177/'Methodology &amp; Assumptions'!$B$6, 0)</f>
        <v/>
      </c>
      <c r="R177" s="13" t="n">
        <v>1</v>
      </c>
      <c r="S177" s="14" t="n">
        <v>11.45</v>
      </c>
      <c r="T177" s="14" t="n">
        <v>14.95</v>
      </c>
      <c r="U177" s="26">
        <f>IF(X177&gt;='Methodology &amp; Assumptions'!$B$7, "Tier 1 Critical GIDA (Score ≥ 50.0)", IF(X177&gt;='Methodology &amp; Assumptions'!$B$8, "Tier 2 High GIDA (Score 40.0–49.9)", "Tier 3 Moderate GIDA (Score &lt; 40.0)"))</f>
        <v/>
      </c>
      <c r="V177" s="26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W177" s="28" t="n">
        <v>0.083</v>
      </c>
      <c r="X177" s="14" t="n">
        <v>49.14</v>
      </c>
      <c r="Y177" s="14">
        <f>ROUND(MIN(100, (X177/69.91)*100), 2)</f>
        <v/>
      </c>
    </row>
    <row r="178">
      <c r="A178" s="10" t="n">
        <v>3</v>
      </c>
      <c r="B178" s="10" t="n">
        <v>174</v>
      </c>
      <c r="C178" s="10" t="n">
        <v>2174</v>
      </c>
      <c r="D178" s="10" t="inlineStr">
        <is>
          <t>1380601240</t>
        </is>
      </c>
      <c r="E178" s="26" t="inlineStr">
        <is>
          <t>National Capital Region (NCR)</t>
        </is>
      </c>
      <c r="F178" s="26" t="inlineStr">
        <is>
          <t>First District (Not a Province)</t>
        </is>
      </c>
      <c r="G178" s="26" t="inlineStr">
        <is>
          <t>City of Manila</t>
        </is>
      </c>
      <c r="H178" s="26" t="inlineStr">
        <is>
          <t>Barangay 239</t>
        </is>
      </c>
      <c r="I178" s="27" t="n">
        <v>13.547823</v>
      </c>
      <c r="J178" s="27" t="n">
        <v>121.653151</v>
      </c>
      <c r="K178" s="10" t="inlineStr">
        <is>
          <t>U</t>
        </is>
      </c>
      <c r="L178" s="12" t="n">
        <v>1839</v>
      </c>
      <c r="M178" s="14" t="n">
        <v>3.9</v>
      </c>
      <c r="N178" s="12">
        <f>ROUND(L178/M178, 0)</f>
        <v/>
      </c>
      <c r="O178" s="12">
        <f>ROUND(N178*'Methodology &amp; Assumptions'!$B$5, 0)</f>
        <v/>
      </c>
      <c r="P178" s="10" t="inlineStr">
        <is>
          <t>Single Carrier (Band n50, 100MHz TDD)</t>
        </is>
      </c>
      <c r="Q178" s="13">
        <f>ROUNDUP(O178/'Methodology &amp; Assumptions'!$B$6, 0)</f>
        <v/>
      </c>
      <c r="R178" s="13" t="n">
        <v>1</v>
      </c>
      <c r="S178" s="14" t="n">
        <v>28.94</v>
      </c>
      <c r="T178" s="14" t="n">
        <v>35.6</v>
      </c>
      <c r="U178" s="26">
        <f>IF(X178&gt;='Methodology &amp; Assumptions'!$B$7, "Tier 1 Critical GIDA (Score ≥ 50.0)", IF(X178&gt;='Methodology &amp; Assumptions'!$B$8, "Tier 2 High GIDA (Score 40.0–49.9)", "Tier 3 Moderate GIDA (Score &lt; 40.0)"))</f>
        <v/>
      </c>
      <c r="V178" s="26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W178" s="28" t="n">
        <v>0.109</v>
      </c>
      <c r="X178" s="14" t="n">
        <v>49.14</v>
      </c>
      <c r="Y178" s="14">
        <f>ROUND(MIN(100, (X178/69.91)*100), 2)</f>
        <v/>
      </c>
    </row>
    <row r="179">
      <c r="A179" s="10" t="n">
        <v>3</v>
      </c>
      <c r="B179" s="10" t="n">
        <v>175</v>
      </c>
      <c r="C179" s="10" t="n">
        <v>2175</v>
      </c>
      <c r="D179" s="10" t="inlineStr">
        <is>
          <t>1380610052</t>
        </is>
      </c>
      <c r="E179" s="26" t="inlineStr">
        <is>
          <t>National Capital Region (NCR)</t>
        </is>
      </c>
      <c r="F179" s="26" t="inlineStr">
        <is>
          <t>First District (Not a Province)</t>
        </is>
      </c>
      <c r="G179" s="26" t="inlineStr">
        <is>
          <t>City of Manila</t>
        </is>
      </c>
      <c r="H179" s="26" t="inlineStr">
        <is>
          <t>Barangay 738</t>
        </is>
      </c>
      <c r="I179" s="27" t="n">
        <v>12.465877</v>
      </c>
      <c r="J179" s="27" t="n">
        <v>122.327224</v>
      </c>
      <c r="K179" s="10" t="inlineStr">
        <is>
          <t>U</t>
        </is>
      </c>
      <c r="L179" s="12" t="n">
        <v>3140</v>
      </c>
      <c r="M179" s="14" t="n">
        <v>3.9</v>
      </c>
      <c r="N179" s="12">
        <f>ROUND(L179/M179, 0)</f>
        <v/>
      </c>
      <c r="O179" s="12">
        <f>ROUND(N179*'Methodology &amp; Assumptions'!$B$5, 0)</f>
        <v/>
      </c>
      <c r="P179" s="10" t="inlineStr">
        <is>
          <t>Single Carrier (Band n50, 100MHz TDD)</t>
        </is>
      </c>
      <c r="Q179" s="13">
        <f>ROUNDUP(O179/'Methodology &amp; Assumptions'!$B$6, 0)</f>
        <v/>
      </c>
      <c r="R179" s="13" t="n">
        <v>1</v>
      </c>
      <c r="S179" s="14" t="n">
        <v>70.92</v>
      </c>
      <c r="T179" s="14" t="n">
        <v>53.63</v>
      </c>
      <c r="U179" s="26">
        <f>IF(X179&gt;='Methodology &amp; Assumptions'!$B$7, "Tier 1 Critical GIDA (Score ≥ 50.0)", IF(X179&gt;='Methodology &amp; Assumptions'!$B$8, "Tier 2 High GIDA (Score 40.0–49.9)", "Tier 3 Moderate GIDA (Score &lt; 40.0)"))</f>
        <v/>
      </c>
      <c r="V179" s="26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W179" s="28" t="n">
        <v>0.109</v>
      </c>
      <c r="X179" s="14" t="n">
        <v>49.14</v>
      </c>
      <c r="Y179" s="14">
        <f>ROUND(MIN(100, (X179/69.91)*100), 2)</f>
        <v/>
      </c>
    </row>
    <row r="180">
      <c r="A180" s="10" t="n">
        <v>3</v>
      </c>
      <c r="B180" s="10" t="n">
        <v>176</v>
      </c>
      <c r="C180" s="10" t="n">
        <v>2176</v>
      </c>
      <c r="D180" s="10" t="inlineStr">
        <is>
          <t>PH0002176</t>
        </is>
      </c>
      <c r="E180" s="26" t="inlineStr">
        <is>
          <t>NCR</t>
        </is>
      </c>
      <c r="F180" s="26" t="inlineStr">
        <is>
          <t>Metro Manila</t>
        </is>
      </c>
      <c r="G180" s="26" t="inlineStr">
        <is>
          <t>Caloocan City</t>
        </is>
      </c>
      <c r="H180" s="26" t="inlineStr">
        <is>
          <t>Barangay 85</t>
        </is>
      </c>
      <c r="I180" s="27" t="n">
        <v>12.99835</v>
      </c>
      <c r="J180" s="27" t="n">
        <v>123.16518</v>
      </c>
      <c r="K180" s="10" t="inlineStr">
        <is>
          <t>R</t>
        </is>
      </c>
      <c r="L180" s="12" t="n">
        <v>2279</v>
      </c>
      <c r="M180" s="14" t="n">
        <v>3.8</v>
      </c>
      <c r="N180" s="12">
        <f>ROUND(L180/M180, 0)</f>
        <v/>
      </c>
      <c r="O180" s="12">
        <f>ROUND(N180*'Methodology &amp; Assumptions'!$B$5, 0)</f>
        <v/>
      </c>
      <c r="P180" s="10" t="inlineStr">
        <is>
          <t>Single Carrier (Band n50, 100MHz TDD)</t>
        </is>
      </c>
      <c r="Q180" s="13">
        <f>ROUNDUP(O180/'Methodology &amp; Assumptions'!$B$6, 0)</f>
        <v/>
      </c>
      <c r="R180" s="13" t="n">
        <v>1</v>
      </c>
      <c r="S180" s="14" t="n">
        <v>19.14</v>
      </c>
      <c r="T180" s="14" t="n">
        <v>45.07</v>
      </c>
      <c r="U180" s="26">
        <f>IF(X180&gt;='Methodology &amp; Assumptions'!$B$7, "Tier 1 Critical GIDA (Score ≥ 50.0)", IF(X180&gt;='Methodology &amp; Assumptions'!$B$8, "Tier 2 High GIDA (Score 40.0–49.9)", "Tier 3 Moderate GIDA (Score &lt; 40.0)"))</f>
        <v/>
      </c>
      <c r="V180" s="26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W180" s="28" t="n">
        <v>0.011</v>
      </c>
      <c r="X180" s="14" t="n">
        <v>49.14</v>
      </c>
      <c r="Y180" s="14">
        <f>ROUND(MIN(100, (X180/69.91)*100), 2)</f>
        <v/>
      </c>
    </row>
    <row r="181">
      <c r="A181" s="10" t="n">
        <v>3</v>
      </c>
      <c r="B181" s="10" t="n">
        <v>177</v>
      </c>
      <c r="C181" s="10" t="n">
        <v>2177</v>
      </c>
      <c r="D181" s="10" t="inlineStr">
        <is>
          <t>1380601005</t>
        </is>
      </c>
      <c r="E181" s="26" t="inlineStr">
        <is>
          <t>National Capital Region (NCR)</t>
        </is>
      </c>
      <c r="F181" s="26" t="inlineStr">
        <is>
          <t>First District (Not a Province)</t>
        </is>
      </c>
      <c r="G181" s="26" t="inlineStr">
        <is>
          <t>City of Manila</t>
        </is>
      </c>
      <c r="H181" s="26" t="inlineStr">
        <is>
          <t>Barangay 5</t>
        </is>
      </c>
      <c r="I181" s="27" t="n">
        <v>12.820336</v>
      </c>
      <c r="J181" s="27" t="n">
        <v>121.07795</v>
      </c>
      <c r="K181" s="10" t="inlineStr">
        <is>
          <t>U</t>
        </is>
      </c>
      <c r="L181" s="12" t="n">
        <v>1327</v>
      </c>
      <c r="M181" s="14" t="n">
        <v>3.9</v>
      </c>
      <c r="N181" s="12">
        <f>ROUND(L181/M181, 0)</f>
        <v/>
      </c>
      <c r="O181" s="12">
        <f>ROUND(N181*'Methodology &amp; Assumptions'!$B$5, 0)</f>
        <v/>
      </c>
      <c r="P181" s="10" t="inlineStr">
        <is>
          <t>Single Carrier (Band n50, 100MHz TDD)</t>
        </is>
      </c>
      <c r="Q181" s="13">
        <f>ROUNDUP(O181/'Methodology &amp; Assumptions'!$B$6, 0)</f>
        <v/>
      </c>
      <c r="R181" s="13" t="n">
        <v>1</v>
      </c>
      <c r="S181" s="14" t="n">
        <v>41.47</v>
      </c>
      <c r="T181" s="14" t="n">
        <v>40.39</v>
      </c>
      <c r="U181" s="26">
        <f>IF(X181&gt;='Methodology &amp; Assumptions'!$B$7, "Tier 1 Critical GIDA (Score ≥ 50.0)", IF(X181&gt;='Methodology &amp; Assumptions'!$B$8, "Tier 2 High GIDA (Score 40.0–49.9)", "Tier 3 Moderate GIDA (Score &lt; 40.0)"))</f>
        <v/>
      </c>
      <c r="V181" s="26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W181" s="28" t="n">
        <v>0.109</v>
      </c>
      <c r="X181" s="14" t="n">
        <v>49.14</v>
      </c>
      <c r="Y181" s="14">
        <f>ROUND(MIN(100, (X181/69.91)*100), 2)</f>
        <v/>
      </c>
    </row>
    <row r="182">
      <c r="A182" s="10" t="n">
        <v>3</v>
      </c>
      <c r="B182" s="10" t="n">
        <v>178</v>
      </c>
      <c r="C182" s="10" t="n">
        <v>2178</v>
      </c>
      <c r="D182" s="10" t="inlineStr">
        <is>
          <t>1381100129</t>
        </is>
      </c>
      <c r="E182" s="26" t="inlineStr">
        <is>
          <t>National Capital Region (NCR)</t>
        </is>
      </c>
      <c r="F182" s="26" t="inlineStr">
        <is>
          <t>Fourth District (Not a Province)</t>
        </is>
      </c>
      <c r="G182" s="26" t="inlineStr">
        <is>
          <t>Pasay City</t>
        </is>
      </c>
      <c r="H182" s="26" t="inlineStr">
        <is>
          <t>Barangay 129</t>
        </is>
      </c>
      <c r="I182" s="27" t="n">
        <v>14.512388</v>
      </c>
      <c r="J182" s="27" t="n">
        <v>121.136664</v>
      </c>
      <c r="K182" s="10" t="inlineStr">
        <is>
          <t>U</t>
        </is>
      </c>
      <c r="L182" s="12" t="n">
        <v>1243</v>
      </c>
      <c r="M182" s="14" t="n">
        <v>3.4</v>
      </c>
      <c r="N182" s="12">
        <f>ROUND(L182/M182, 0)</f>
        <v/>
      </c>
      <c r="O182" s="12">
        <f>ROUND(N182*'Methodology &amp; Assumptions'!$B$5, 0)</f>
        <v/>
      </c>
      <c r="P182" s="10" t="inlineStr">
        <is>
          <t>Single Carrier (Band n50, 100MHz TDD)</t>
        </is>
      </c>
      <c r="Q182" s="13">
        <f>ROUNDUP(O182/'Methodology &amp; Assumptions'!$B$6, 0)</f>
        <v/>
      </c>
      <c r="R182" s="13" t="n">
        <v>1</v>
      </c>
      <c r="S182" s="14" t="n">
        <v>2.57</v>
      </c>
      <c r="T182" s="14" t="n">
        <v>2.18</v>
      </c>
      <c r="U182" s="26">
        <f>IF(X182&gt;='Methodology &amp; Assumptions'!$B$7, "Tier 1 Critical GIDA (Score ≥ 50.0)", IF(X182&gt;='Methodology &amp; Assumptions'!$B$8, "Tier 2 High GIDA (Score 40.0–49.9)", "Tier 3 Moderate GIDA (Score &lt; 40.0)"))</f>
        <v/>
      </c>
      <c r="V182" s="26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W182" s="28" t="n">
        <v>0.109</v>
      </c>
      <c r="X182" s="14" t="n">
        <v>49.14</v>
      </c>
      <c r="Y182" s="14">
        <f>ROUND(MIN(100, (X182/69.91)*100), 2)</f>
        <v/>
      </c>
    </row>
    <row r="183">
      <c r="A183" s="10" t="n">
        <v>3</v>
      </c>
      <c r="B183" s="10" t="n">
        <v>179</v>
      </c>
      <c r="C183" s="10" t="n">
        <v>2179</v>
      </c>
      <c r="D183" s="10" t="inlineStr">
        <is>
          <t>PH0002179</t>
        </is>
      </c>
      <c r="E183" s="26" t="inlineStr">
        <is>
          <t>NCR</t>
        </is>
      </c>
      <c r="F183" s="26" t="inlineStr">
        <is>
          <t>Metro Manila</t>
        </is>
      </c>
      <c r="G183" s="26" t="inlineStr">
        <is>
          <t>Caloocan City</t>
        </is>
      </c>
      <c r="H183" s="26" t="inlineStr">
        <is>
          <t>Barangay 5</t>
        </is>
      </c>
      <c r="I183" s="27" t="n">
        <v>11.875006</v>
      </c>
      <c r="J183" s="27" t="n">
        <v>120.829607</v>
      </c>
      <c r="K183" s="10" t="inlineStr">
        <is>
          <t>R</t>
        </is>
      </c>
      <c r="L183" s="12" t="n">
        <v>2279</v>
      </c>
      <c r="M183" s="14" t="n">
        <v>3.8</v>
      </c>
      <c r="N183" s="12">
        <f>ROUND(L183/M183, 0)</f>
        <v/>
      </c>
      <c r="O183" s="12">
        <f>ROUND(N183*'Methodology &amp; Assumptions'!$B$5, 0)</f>
        <v/>
      </c>
      <c r="P183" s="10" t="inlineStr">
        <is>
          <t>Single Carrier (Band n50, 100MHz TDD)</t>
        </is>
      </c>
      <c r="Q183" s="13">
        <f>ROUNDUP(O183/'Methodology &amp; Assumptions'!$B$6, 0)</f>
        <v/>
      </c>
      <c r="R183" s="13" t="n">
        <v>1</v>
      </c>
      <c r="S183" s="14" t="n">
        <v>58.75</v>
      </c>
      <c r="T183" s="14" t="n">
        <v>58.75</v>
      </c>
      <c r="U183" s="26">
        <f>IF(X183&gt;='Methodology &amp; Assumptions'!$B$7, "Tier 1 Critical GIDA (Score ≥ 50.0)", IF(X183&gt;='Methodology &amp; Assumptions'!$B$8, "Tier 2 High GIDA (Score 40.0–49.9)", "Tier 3 Moderate GIDA (Score &lt; 40.0)"))</f>
        <v/>
      </c>
      <c r="V183" s="26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W183" s="28" t="n">
        <v>0.011</v>
      </c>
      <c r="X183" s="14" t="n">
        <v>49.14</v>
      </c>
      <c r="Y183" s="14">
        <f>ROUND(MIN(100, (X183/69.91)*100), 2)</f>
        <v/>
      </c>
    </row>
    <row r="184">
      <c r="A184" s="10" t="n">
        <v>3</v>
      </c>
      <c r="B184" s="10" t="n">
        <v>180</v>
      </c>
      <c r="C184" s="10" t="n">
        <v>2180</v>
      </c>
      <c r="D184" s="10" t="inlineStr">
        <is>
          <t>PH0002180</t>
        </is>
      </c>
      <c r="E184" s="26" t="inlineStr">
        <is>
          <t>NCR</t>
        </is>
      </c>
      <c r="F184" s="26" t="inlineStr">
        <is>
          <t>Metro Manila</t>
        </is>
      </c>
      <c r="G184" s="26" t="inlineStr">
        <is>
          <t>Caloocan City</t>
        </is>
      </c>
      <c r="H184" s="26" t="inlineStr">
        <is>
          <t>Barangay 53</t>
        </is>
      </c>
      <c r="I184" s="27" t="n">
        <v>14.243758</v>
      </c>
      <c r="J184" s="27" t="n">
        <v>121.774</v>
      </c>
      <c r="K184" s="10" t="inlineStr">
        <is>
          <t>R</t>
        </is>
      </c>
      <c r="L184" s="12" t="n">
        <v>2279</v>
      </c>
      <c r="M184" s="14" t="n">
        <v>3.8</v>
      </c>
      <c r="N184" s="12">
        <f>ROUND(L184/M184, 0)</f>
        <v/>
      </c>
      <c r="O184" s="12">
        <f>ROUND(N184*'Methodology &amp; Assumptions'!$B$5, 0)</f>
        <v/>
      </c>
      <c r="P184" s="10" t="inlineStr">
        <is>
          <t>Single Carrier (Band n50, 100MHz TDD)</t>
        </is>
      </c>
      <c r="Q184" s="13">
        <f>ROUNDUP(O184/'Methodology &amp; Assumptions'!$B$6, 0)</f>
        <v/>
      </c>
      <c r="R184" s="13" t="n">
        <v>1</v>
      </c>
      <c r="S184" s="14" t="n">
        <v>9.369999999999999</v>
      </c>
      <c r="T184" s="14" t="n">
        <v>25.89</v>
      </c>
      <c r="U184" s="26">
        <f>IF(X184&gt;='Methodology &amp; Assumptions'!$B$7, "Tier 1 Critical GIDA (Score ≥ 50.0)", IF(X184&gt;='Methodology &amp; Assumptions'!$B$8, "Tier 2 High GIDA (Score 40.0–49.9)", "Tier 3 Moderate GIDA (Score &lt; 40.0)"))</f>
        <v/>
      </c>
      <c r="V184" s="26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W184" s="28" t="n">
        <v>0.011</v>
      </c>
      <c r="X184" s="14" t="n">
        <v>49.13</v>
      </c>
      <c r="Y184" s="14">
        <f>ROUND(MIN(100, (X184/69.91)*100), 2)</f>
        <v/>
      </c>
    </row>
    <row r="185">
      <c r="A185" s="10" t="n">
        <v>3</v>
      </c>
      <c r="B185" s="10" t="n">
        <v>181</v>
      </c>
      <c r="C185" s="10" t="n">
        <v>2181</v>
      </c>
      <c r="D185" s="10" t="inlineStr">
        <is>
          <t>PH0002181</t>
        </is>
      </c>
      <c r="E185" s="26" t="inlineStr">
        <is>
          <t>NCR</t>
        </is>
      </c>
      <c r="F185" s="26" t="inlineStr">
        <is>
          <t>Metro Manila</t>
        </is>
      </c>
      <c r="G185" s="26" t="inlineStr">
        <is>
          <t>Caloocan City</t>
        </is>
      </c>
      <c r="H185" s="26" t="inlineStr">
        <is>
          <t>Barangay 125</t>
        </is>
      </c>
      <c r="I185" s="27" t="n">
        <v>11.873016</v>
      </c>
      <c r="J185" s="27" t="n">
        <v>122.720264</v>
      </c>
      <c r="K185" s="10" t="inlineStr">
        <is>
          <t>R</t>
        </is>
      </c>
      <c r="L185" s="12" t="n">
        <v>2279</v>
      </c>
      <c r="M185" s="14" t="n">
        <v>3.8</v>
      </c>
      <c r="N185" s="12">
        <f>ROUND(L185/M185, 0)</f>
        <v/>
      </c>
      <c r="O185" s="12">
        <f>ROUND(N185*'Methodology &amp; Assumptions'!$B$5, 0)</f>
        <v/>
      </c>
      <c r="P185" s="10" t="inlineStr">
        <is>
          <t>Single Carrier (Band n50, 100MHz TDD)</t>
        </is>
      </c>
      <c r="Q185" s="13">
        <f>ROUNDUP(O185/'Methodology &amp; Assumptions'!$B$6, 0)</f>
        <v/>
      </c>
      <c r="R185" s="13" t="n">
        <v>1</v>
      </c>
      <c r="S185" s="14" t="n">
        <v>29.45</v>
      </c>
      <c r="T185" s="14" t="n">
        <v>14.39</v>
      </c>
      <c r="U185" s="26">
        <f>IF(X185&gt;='Methodology &amp; Assumptions'!$B$7, "Tier 1 Critical GIDA (Score ≥ 50.0)", IF(X185&gt;='Methodology &amp; Assumptions'!$B$8, "Tier 2 High GIDA (Score 40.0–49.9)", "Tier 3 Moderate GIDA (Score &lt; 40.0)"))</f>
        <v/>
      </c>
      <c r="V185" s="26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W185" s="28" t="n">
        <v>0.011</v>
      </c>
      <c r="X185" s="14" t="n">
        <v>49.13</v>
      </c>
      <c r="Y185" s="14">
        <f>ROUND(MIN(100, (X185/69.91)*100), 2)</f>
        <v/>
      </c>
    </row>
    <row r="186">
      <c r="A186" s="10" t="n">
        <v>3</v>
      </c>
      <c r="B186" s="10" t="n">
        <v>182</v>
      </c>
      <c r="C186" s="10" t="n">
        <v>2182</v>
      </c>
      <c r="D186" s="10" t="inlineStr">
        <is>
          <t>1102315017</t>
        </is>
      </c>
      <c r="E186" s="26" t="inlineStr">
        <is>
          <t>Region XI (Davao Region)</t>
        </is>
      </c>
      <c r="F186" s="26" t="inlineStr">
        <is>
          <t>Davao del Norte</t>
        </is>
      </c>
      <c r="G186" s="26" t="inlineStr">
        <is>
          <t>City of Panabo</t>
        </is>
      </c>
      <c r="H186" s="26" t="inlineStr">
        <is>
          <t>Lower Panaga</t>
        </is>
      </c>
      <c r="I186" s="27" t="n">
        <v>7.446667</v>
      </c>
      <c r="J186" s="27" t="n">
        <v>125.562091</v>
      </c>
      <c r="K186" s="10" t="inlineStr">
        <is>
          <t>R</t>
        </is>
      </c>
      <c r="L186" s="12" t="n">
        <v>1625</v>
      </c>
      <c r="M186" s="14" t="n">
        <v>3.7</v>
      </c>
      <c r="N186" s="12">
        <f>ROUND(L186/M186, 0)</f>
        <v/>
      </c>
      <c r="O186" s="12">
        <f>ROUND(N186*'Methodology &amp; Assumptions'!$B$5, 0)</f>
        <v/>
      </c>
      <c r="P186" s="10" t="inlineStr">
        <is>
          <t>Single Carrier (Band n50, 100MHz TDD)</t>
        </is>
      </c>
      <c r="Q186" s="13">
        <f>ROUNDUP(O186/'Methodology &amp; Assumptions'!$B$6, 0)</f>
        <v/>
      </c>
      <c r="R186" s="13" t="n">
        <v>1</v>
      </c>
      <c r="S186" s="14" t="n">
        <v>19.01</v>
      </c>
      <c r="T186" s="14" t="n">
        <v>18.56</v>
      </c>
      <c r="U186" s="26">
        <f>IF(X186&gt;='Methodology &amp; Assumptions'!$B$7, "Tier 1 Critical GIDA (Score ≥ 50.0)", IF(X186&gt;='Methodology &amp; Assumptions'!$B$8, "Tier 2 High GIDA (Score 40.0–49.9)", "Tier 3 Moderate GIDA (Score &lt; 40.0)"))</f>
        <v/>
      </c>
      <c r="V186" s="26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W186" s="28" t="n">
        <v>0.174</v>
      </c>
      <c r="X186" s="14" t="n">
        <v>49.13</v>
      </c>
      <c r="Y186" s="14">
        <f>ROUND(MIN(100, (X186/69.91)*100), 2)</f>
        <v/>
      </c>
    </row>
    <row r="187">
      <c r="A187" s="10" t="n">
        <v>3</v>
      </c>
      <c r="B187" s="10" t="n">
        <v>183</v>
      </c>
      <c r="C187" s="10" t="n">
        <v>2183</v>
      </c>
      <c r="D187" s="10" t="inlineStr">
        <is>
          <t>0102934004</t>
        </is>
      </c>
      <c r="E187" s="26" t="inlineStr">
        <is>
          <t>Region I (Ilocos Region)</t>
        </is>
      </c>
      <c r="F187" s="26" t="inlineStr">
        <is>
          <t>Ilocos Sur</t>
        </is>
      </c>
      <c r="G187" s="26" t="inlineStr">
        <is>
          <t>City of Vigan</t>
        </is>
      </c>
      <c r="H187" s="26" t="inlineStr">
        <is>
          <t>Barangay II</t>
        </is>
      </c>
      <c r="I187" s="27" t="n">
        <v>17.556427</v>
      </c>
      <c r="J187" s="27" t="n">
        <v>120.383304</v>
      </c>
      <c r="K187" s="10" t="inlineStr">
        <is>
          <t>U</t>
        </is>
      </c>
      <c r="L187" s="12" t="n">
        <v>482</v>
      </c>
      <c r="M187" s="14" t="n">
        <v>3.8</v>
      </c>
      <c r="N187" s="12">
        <f>ROUND(L187/M187, 0)</f>
        <v/>
      </c>
      <c r="O187" s="12">
        <f>ROUND(N187*'Methodology &amp; Assumptions'!$B$5, 0)</f>
        <v/>
      </c>
      <c r="P187" s="10" t="inlineStr">
        <is>
          <t>Single Carrier (Band n50, 100MHz TDD)</t>
        </is>
      </c>
      <c r="Q187" s="13">
        <f>ROUNDUP(O187/'Methodology &amp; Assumptions'!$B$6, 0)</f>
        <v/>
      </c>
      <c r="R187" s="13" t="n">
        <v>1</v>
      </c>
      <c r="S187" s="14" t="n">
        <v>4.2</v>
      </c>
      <c r="T187" s="14" t="n">
        <v>2.8</v>
      </c>
      <c r="U187" s="26">
        <f>IF(X187&gt;='Methodology &amp; Assumptions'!$B$7, "Tier 1 Critical GIDA (Score ≥ 50.0)", IF(X187&gt;='Methodology &amp; Assumptions'!$B$8, "Tier 2 High GIDA (Score 40.0–49.9)", "Tier 3 Moderate GIDA (Score &lt; 40.0)"))</f>
        <v/>
      </c>
      <c r="V187" s="26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W187" s="28" t="n">
        <v>0.083</v>
      </c>
      <c r="X187" s="14" t="n">
        <v>49.13</v>
      </c>
      <c r="Y187" s="14">
        <f>ROUND(MIN(100, (X187/69.91)*100), 2)</f>
        <v/>
      </c>
    </row>
    <row r="188">
      <c r="A188" s="10" t="n">
        <v>3</v>
      </c>
      <c r="B188" s="10" t="n">
        <v>184</v>
      </c>
      <c r="C188" s="10" t="n">
        <v>2184</v>
      </c>
      <c r="D188" s="10" t="inlineStr">
        <is>
          <t>1908801008</t>
        </is>
      </c>
      <c r="E188" s="26" t="inlineStr">
        <is>
          <t>Bangsamoro Autonomous Region In Muslim Mindanao (BARMM)</t>
        </is>
      </c>
      <c r="F188" s="26" t="inlineStr">
        <is>
          <t>Maguindanao del Sur</t>
        </is>
      </c>
      <c r="G188" s="26" t="inlineStr">
        <is>
          <t>Ampatuan</t>
        </is>
      </c>
      <c r="H188" s="26" t="inlineStr">
        <is>
          <t>Saniag</t>
        </is>
      </c>
      <c r="I188" s="27" t="n">
        <v>6.831862</v>
      </c>
      <c r="J188" s="27" t="n">
        <v>124.456947</v>
      </c>
      <c r="K188" s="10" t="inlineStr">
        <is>
          <t>R</t>
        </is>
      </c>
      <c r="L188" s="12" t="n">
        <v>1470</v>
      </c>
      <c r="M188" s="14" t="n">
        <v>4.7</v>
      </c>
      <c r="N188" s="12">
        <f>ROUND(L188/M188, 0)</f>
        <v/>
      </c>
      <c r="O188" s="12">
        <f>ROUND(N188*'Methodology &amp; Assumptions'!$B$5, 0)</f>
        <v/>
      </c>
      <c r="P188" s="10" t="inlineStr">
        <is>
          <t>Single Carrier (Band n50, 100MHz TDD)</t>
        </is>
      </c>
      <c r="Q188" s="13">
        <f>ROUNDUP(O188/'Methodology &amp; Assumptions'!$B$6, 0)</f>
        <v/>
      </c>
      <c r="R188" s="13" t="n">
        <v>1</v>
      </c>
      <c r="S188" s="14" t="n">
        <v>28.67</v>
      </c>
      <c r="T188" s="14" t="n">
        <v>28.61</v>
      </c>
      <c r="U188" s="26">
        <f>IF(X188&gt;='Methodology &amp; Assumptions'!$B$7, "Tier 1 Critical GIDA (Score ≥ 50.0)", IF(X188&gt;='Methodology &amp; Assumptions'!$B$8, "Tier 2 High GIDA (Score 40.0–49.9)", "Tier 3 Moderate GIDA (Score &lt; 40.0)"))</f>
        <v/>
      </c>
      <c r="V188" s="26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W188" s="28" t="n">
        <v>0.11</v>
      </c>
      <c r="X188" s="14" t="n">
        <v>49.13</v>
      </c>
      <c r="Y188" s="14">
        <f>ROUND(MIN(100, (X188/69.91)*100), 2)</f>
        <v/>
      </c>
    </row>
    <row r="189">
      <c r="A189" s="10" t="n">
        <v>3</v>
      </c>
      <c r="B189" s="10" t="n">
        <v>185</v>
      </c>
      <c r="C189" s="10" t="n">
        <v>2185</v>
      </c>
      <c r="D189" s="10" t="inlineStr">
        <is>
          <t>1380606032</t>
        </is>
      </c>
      <c r="E189" s="26" t="inlineStr">
        <is>
          <t>National Capital Region (NCR)</t>
        </is>
      </c>
      <c r="F189" s="26" t="inlineStr">
        <is>
          <t>First District (Not a Province)</t>
        </is>
      </c>
      <c r="G189" s="26" t="inlineStr">
        <is>
          <t>City of Manila</t>
        </is>
      </c>
      <c r="H189" s="26" t="inlineStr">
        <is>
          <t>Barangay 426</t>
        </is>
      </c>
      <c r="I189" s="27" t="n">
        <v>13.382876</v>
      </c>
      <c r="J189" s="27" t="n">
        <v>122.246976</v>
      </c>
      <c r="K189" s="10" t="inlineStr">
        <is>
          <t>U</t>
        </is>
      </c>
      <c r="L189" s="12" t="n">
        <v>1840</v>
      </c>
      <c r="M189" s="14" t="n">
        <v>3.9</v>
      </c>
      <c r="N189" s="12">
        <f>ROUND(L189/M189, 0)</f>
        <v/>
      </c>
      <c r="O189" s="12">
        <f>ROUND(N189*'Methodology &amp; Assumptions'!$B$5, 0)</f>
        <v/>
      </c>
      <c r="P189" s="10" t="inlineStr">
        <is>
          <t>Single Carrier (Band n50, 100MHz TDD)</t>
        </is>
      </c>
      <c r="Q189" s="13">
        <f>ROUNDUP(O189/'Methodology &amp; Assumptions'!$B$6, 0)</f>
        <v/>
      </c>
      <c r="R189" s="13" t="n">
        <v>1</v>
      </c>
      <c r="S189" s="14" t="n">
        <v>22.67</v>
      </c>
      <c r="T189" s="14" t="n">
        <v>22.18</v>
      </c>
      <c r="U189" s="26">
        <f>IF(X189&gt;='Methodology &amp; Assumptions'!$B$7, "Tier 1 Critical GIDA (Score ≥ 50.0)", IF(X189&gt;='Methodology &amp; Assumptions'!$B$8, "Tier 2 High GIDA (Score 40.0–49.9)", "Tier 3 Moderate GIDA (Score &lt; 40.0)"))</f>
        <v/>
      </c>
      <c r="V189" s="26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W189" s="28" t="n">
        <v>0.109</v>
      </c>
      <c r="X189" s="14" t="n">
        <v>49.13</v>
      </c>
      <c r="Y189" s="14">
        <f>ROUND(MIN(100, (X189/69.91)*100), 2)</f>
        <v/>
      </c>
    </row>
    <row r="190">
      <c r="A190" s="10" t="n">
        <v>3</v>
      </c>
      <c r="B190" s="10" t="n">
        <v>186</v>
      </c>
      <c r="C190" s="10" t="n">
        <v>2186</v>
      </c>
      <c r="D190" s="10" t="inlineStr">
        <is>
          <t>1380601209</t>
        </is>
      </c>
      <c r="E190" s="26" t="inlineStr">
        <is>
          <t>National Capital Region (NCR)</t>
        </is>
      </c>
      <c r="F190" s="26" t="inlineStr">
        <is>
          <t>First District (Not a Province)</t>
        </is>
      </c>
      <c r="G190" s="26" t="inlineStr">
        <is>
          <t>City of Manila</t>
        </is>
      </c>
      <c r="H190" s="26" t="inlineStr">
        <is>
          <t>Barangay 208</t>
        </is>
      </c>
      <c r="I190" s="27" t="n">
        <v>12.195872</v>
      </c>
      <c r="J190" s="27" t="n">
        <v>121.774</v>
      </c>
      <c r="K190" s="10" t="inlineStr">
        <is>
          <t>U</t>
        </is>
      </c>
      <c r="L190" s="12" t="n">
        <v>654</v>
      </c>
      <c r="M190" s="14" t="n">
        <v>3.9</v>
      </c>
      <c r="N190" s="12">
        <f>ROUND(L190/M190, 0)</f>
        <v/>
      </c>
      <c r="O190" s="12">
        <f>ROUND(N190*'Methodology &amp; Assumptions'!$B$5, 0)</f>
        <v/>
      </c>
      <c r="P190" s="10" t="inlineStr">
        <is>
          <t>Single Carrier (Band n50, 100MHz TDD)</t>
        </is>
      </c>
      <c r="Q190" s="13">
        <f>ROUNDUP(O190/'Methodology &amp; Assumptions'!$B$6, 0)</f>
        <v/>
      </c>
      <c r="R190" s="13" t="n">
        <v>1</v>
      </c>
      <c r="S190" s="14" t="n">
        <v>33.27</v>
      </c>
      <c r="T190" s="14" t="n">
        <v>1.39</v>
      </c>
      <c r="U190" s="26">
        <f>IF(X190&gt;='Methodology &amp; Assumptions'!$B$7, "Tier 1 Critical GIDA (Score ≥ 50.0)", IF(X190&gt;='Methodology &amp; Assumptions'!$B$8, "Tier 2 High GIDA (Score 40.0–49.9)", "Tier 3 Moderate GIDA (Score &lt; 40.0)"))</f>
        <v/>
      </c>
      <c r="V190" s="26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W190" s="28" t="n">
        <v>0.109</v>
      </c>
      <c r="X190" s="14" t="n">
        <v>49.13</v>
      </c>
      <c r="Y190" s="14">
        <f>ROUND(MIN(100, (X190/69.91)*100), 2)</f>
        <v/>
      </c>
    </row>
    <row r="191">
      <c r="A191" s="10" t="n">
        <v>3</v>
      </c>
      <c r="B191" s="10" t="n">
        <v>187</v>
      </c>
      <c r="C191" s="10" t="n">
        <v>2187</v>
      </c>
      <c r="D191" s="10" t="inlineStr">
        <is>
          <t>1380606099</t>
        </is>
      </c>
      <c r="E191" s="26" t="inlineStr">
        <is>
          <t>National Capital Region (NCR)</t>
        </is>
      </c>
      <c r="F191" s="26" t="inlineStr">
        <is>
          <t>First District (Not a Province)</t>
        </is>
      </c>
      <c r="G191" s="26" t="inlineStr">
        <is>
          <t>City of Manila</t>
        </is>
      </c>
      <c r="H191" s="26" t="inlineStr">
        <is>
          <t>Barangay 493</t>
        </is>
      </c>
      <c r="I191" s="27" t="n">
        <v>13.384866</v>
      </c>
      <c r="J191" s="27" t="n">
        <v>121.299153</v>
      </c>
      <c r="K191" s="10" t="inlineStr">
        <is>
          <t>U</t>
        </is>
      </c>
      <c r="L191" s="12" t="n">
        <v>1206</v>
      </c>
      <c r="M191" s="14" t="n">
        <v>3.9</v>
      </c>
      <c r="N191" s="12">
        <f>ROUND(L191/M191, 0)</f>
        <v/>
      </c>
      <c r="O191" s="12">
        <f>ROUND(N191*'Methodology &amp; Assumptions'!$B$5, 0)</f>
        <v/>
      </c>
      <c r="P191" s="10" t="inlineStr">
        <is>
          <t>Single Carrier (Band n50, 100MHz TDD)</t>
        </is>
      </c>
      <c r="Q191" s="13">
        <f>ROUNDUP(O191/'Methodology &amp; Assumptions'!$B$6, 0)</f>
        <v/>
      </c>
      <c r="R191" s="13" t="n">
        <v>1</v>
      </c>
      <c r="S191" s="14" t="n">
        <v>7.04</v>
      </c>
      <c r="T191" s="14" t="n">
        <v>12.94</v>
      </c>
      <c r="U191" s="26">
        <f>IF(X191&gt;='Methodology &amp; Assumptions'!$B$7, "Tier 1 Critical GIDA (Score ≥ 50.0)", IF(X191&gt;='Methodology &amp; Assumptions'!$B$8, "Tier 2 High GIDA (Score 40.0–49.9)", "Tier 3 Moderate GIDA (Score &lt; 40.0)"))</f>
        <v/>
      </c>
      <c r="V191" s="26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W191" s="28" t="n">
        <v>0.109</v>
      </c>
      <c r="X191" s="14" t="n">
        <v>49.13</v>
      </c>
      <c r="Y191" s="14">
        <f>ROUND(MIN(100, (X191/69.91)*100), 2)</f>
        <v/>
      </c>
    </row>
    <row r="192">
      <c r="A192" s="10" t="n">
        <v>3</v>
      </c>
      <c r="B192" s="10" t="n">
        <v>188</v>
      </c>
      <c r="C192" s="10" t="n">
        <v>2188</v>
      </c>
      <c r="D192" s="10" t="inlineStr">
        <is>
          <t>1380605016</t>
        </is>
      </c>
      <c r="E192" s="26" t="inlineStr">
        <is>
          <t>National Capital Region (NCR)</t>
        </is>
      </c>
      <c r="F192" s="26" t="inlineStr">
        <is>
          <t>First District (Not a Province)</t>
        </is>
      </c>
      <c r="G192" s="26" t="inlineStr">
        <is>
          <t>City of Manila</t>
        </is>
      </c>
      <c r="H192" s="26" t="inlineStr">
        <is>
          <t>Barangay 314</t>
        </is>
      </c>
      <c r="I192" s="27" t="n">
        <v>12.819865</v>
      </c>
      <c r="J192" s="27" t="n">
        <v>122.475566</v>
      </c>
      <c r="K192" s="10" t="inlineStr">
        <is>
          <t>U</t>
        </is>
      </c>
      <c r="L192" s="12" t="n">
        <v>2127</v>
      </c>
      <c r="M192" s="14" t="n">
        <v>3.9</v>
      </c>
      <c r="N192" s="12">
        <f>ROUND(L192/M192, 0)</f>
        <v/>
      </c>
      <c r="O192" s="12">
        <f>ROUND(N192*'Methodology &amp; Assumptions'!$B$5, 0)</f>
        <v/>
      </c>
      <c r="P192" s="10" t="inlineStr">
        <is>
          <t>Single Carrier (Band n50, 100MHz TDD)</t>
        </is>
      </c>
      <c r="Q192" s="13">
        <f>ROUNDUP(O192/'Methodology &amp; Assumptions'!$B$6, 0)</f>
        <v/>
      </c>
      <c r="R192" s="13" t="n">
        <v>1</v>
      </c>
      <c r="S192" s="14" t="n">
        <v>50.27</v>
      </c>
      <c r="T192" s="14" t="n">
        <v>78.95</v>
      </c>
      <c r="U192" s="26">
        <f>IF(X192&gt;='Methodology &amp; Assumptions'!$B$7, "Tier 1 Critical GIDA (Score ≥ 50.0)", IF(X192&gt;='Methodology &amp; Assumptions'!$B$8, "Tier 2 High GIDA (Score 40.0–49.9)", "Tier 3 Moderate GIDA (Score &lt; 40.0)"))</f>
        <v/>
      </c>
      <c r="V192" s="26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W192" s="28" t="n">
        <v>0.109</v>
      </c>
      <c r="X192" s="14" t="n">
        <v>49.13</v>
      </c>
      <c r="Y192" s="14">
        <f>ROUND(MIN(100, (X192/69.91)*100), 2)</f>
        <v/>
      </c>
    </row>
    <row r="193">
      <c r="A193" s="10" t="n">
        <v>3</v>
      </c>
      <c r="B193" s="10" t="n">
        <v>189</v>
      </c>
      <c r="C193" s="10" t="n">
        <v>2189</v>
      </c>
      <c r="D193" s="10" t="inlineStr">
        <is>
          <t>1380601267</t>
        </is>
      </c>
      <c r="E193" s="26" t="inlineStr">
        <is>
          <t>National Capital Region (NCR)</t>
        </is>
      </c>
      <c r="F193" s="26" t="inlineStr">
        <is>
          <t>First District (Not a Province)</t>
        </is>
      </c>
      <c r="G193" s="26" t="inlineStr">
        <is>
          <t>City of Manila</t>
        </is>
      </c>
      <c r="H193" s="26" t="inlineStr">
        <is>
          <t>Barangay 266</t>
        </is>
      </c>
      <c r="I193" s="27" t="n">
        <v>12.460947</v>
      </c>
      <c r="J193" s="27" t="n">
        <v>121.214185</v>
      </c>
      <c r="K193" s="10" t="inlineStr">
        <is>
          <t>U</t>
        </is>
      </c>
      <c r="L193" s="12" t="n">
        <v>1716</v>
      </c>
      <c r="M193" s="14" t="n">
        <v>3.9</v>
      </c>
      <c r="N193" s="12">
        <f>ROUND(L193/M193, 0)</f>
        <v/>
      </c>
      <c r="O193" s="12">
        <f>ROUND(N193*'Methodology &amp; Assumptions'!$B$5, 0)</f>
        <v/>
      </c>
      <c r="P193" s="10" t="inlineStr">
        <is>
          <t>Single Carrier (Band n50, 100MHz TDD)</t>
        </is>
      </c>
      <c r="Q193" s="13">
        <f>ROUNDUP(O193/'Methodology &amp; Assumptions'!$B$6, 0)</f>
        <v/>
      </c>
      <c r="R193" s="13" t="n">
        <v>1</v>
      </c>
      <c r="S193" s="14" t="n">
        <v>18.3</v>
      </c>
      <c r="T193" s="14" t="n">
        <v>15.16</v>
      </c>
      <c r="U193" s="26">
        <f>IF(X193&gt;='Methodology &amp; Assumptions'!$B$7, "Tier 1 Critical GIDA (Score ≥ 50.0)", IF(X193&gt;='Methodology &amp; Assumptions'!$B$8, "Tier 2 High GIDA (Score 40.0–49.9)", "Tier 3 Moderate GIDA (Score &lt; 40.0)"))</f>
        <v/>
      </c>
      <c r="V193" s="26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W193" s="28" t="n">
        <v>0.109</v>
      </c>
      <c r="X193" s="14" t="n">
        <v>49.13</v>
      </c>
      <c r="Y193" s="14">
        <f>ROUND(MIN(100, (X193/69.91)*100), 2)</f>
        <v/>
      </c>
    </row>
    <row r="194">
      <c r="A194" s="10" t="n">
        <v>3</v>
      </c>
      <c r="B194" s="10" t="n">
        <v>190</v>
      </c>
      <c r="C194" s="10" t="n">
        <v>2190</v>
      </c>
      <c r="D194" s="10" t="inlineStr">
        <is>
          <t>0402123024</t>
        </is>
      </c>
      <c r="E194" s="26" t="inlineStr">
        <is>
          <t>Region IV-A (CALABARZON)</t>
        </is>
      </c>
      <c r="F194" s="26" t="inlineStr">
        <is>
          <t>Cavite</t>
        </is>
      </c>
      <c r="G194" s="26" t="inlineStr">
        <is>
          <t>Gen. Mariano Alvarez</t>
        </is>
      </c>
      <c r="H194" s="26" t="inlineStr">
        <is>
          <t>San Gabriel</t>
        </is>
      </c>
      <c r="I194" s="27" t="n">
        <v>14.282647</v>
      </c>
      <c r="J194" s="27" t="n">
        <v>121.001062</v>
      </c>
      <c r="K194" s="10" t="inlineStr">
        <is>
          <t>U</t>
        </is>
      </c>
      <c r="L194" s="12" t="n">
        <v>9168</v>
      </c>
      <c r="M194" s="14" t="n">
        <v>3.4</v>
      </c>
      <c r="N194" s="12">
        <f>ROUND(L194/M194, 0)</f>
        <v/>
      </c>
      <c r="O194" s="12">
        <f>ROUND(N194*'Methodology &amp; Assumptions'!$B$5, 0)</f>
        <v/>
      </c>
      <c r="P194" s="10" t="inlineStr">
        <is>
          <t>Single Carrier (Band n50, 100MHz TDD)</t>
        </is>
      </c>
      <c r="Q194" s="13">
        <f>ROUNDUP(O194/'Methodology &amp; Assumptions'!$B$6, 0)</f>
        <v/>
      </c>
      <c r="R194" s="13" t="n">
        <v>1</v>
      </c>
      <c r="S194" s="14" t="n">
        <v>0.11</v>
      </c>
      <c r="T194" s="14" t="n">
        <v>3.89</v>
      </c>
      <c r="U194" s="26">
        <f>IF(X194&gt;='Methodology &amp; Assumptions'!$B$7, "Tier 1 Critical GIDA (Score ≥ 50.0)", IF(X194&gt;='Methodology &amp; Assumptions'!$B$8, "Tier 2 High GIDA (Score 40.0–49.9)", "Tier 3 Moderate GIDA (Score &lt; 40.0)"))</f>
        <v/>
      </c>
      <c r="V194" s="26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W194" s="28" t="n">
        <v>0.07200000000000001</v>
      </c>
      <c r="X194" s="14" t="n">
        <v>49.12</v>
      </c>
      <c r="Y194" s="14">
        <f>ROUND(MIN(100, (X194/69.91)*100), 2)</f>
        <v/>
      </c>
    </row>
    <row r="195">
      <c r="A195" s="10" t="n">
        <v>3</v>
      </c>
      <c r="B195" s="10" t="n">
        <v>191</v>
      </c>
      <c r="C195" s="10" t="n">
        <v>2191</v>
      </c>
      <c r="D195" s="10" t="inlineStr">
        <is>
          <t>1003506019</t>
        </is>
      </c>
      <c r="E195" s="26" t="inlineStr">
        <is>
          <t>Region X (Northern Mindanao)</t>
        </is>
      </c>
      <c r="F195" s="26" t="inlineStr">
        <is>
          <t>Lanao del Norte</t>
        </is>
      </c>
      <c r="G195" s="26" t="inlineStr">
        <is>
          <t>Sultan Naga Dimaporo</t>
        </is>
      </c>
      <c r="H195" s="26" t="inlineStr">
        <is>
          <t>Mabuhay</t>
        </is>
      </c>
      <c r="I195" s="27" t="n">
        <v>7.787623</v>
      </c>
      <c r="J195" s="27" t="n">
        <v>123.73559</v>
      </c>
      <c r="K195" s="10" t="inlineStr">
        <is>
          <t>R</t>
        </is>
      </c>
      <c r="L195" s="12" t="n">
        <v>508</v>
      </c>
      <c r="M195" s="14" t="n">
        <v>4.2</v>
      </c>
      <c r="N195" s="12">
        <f>ROUND(L195/M195, 0)</f>
        <v/>
      </c>
      <c r="O195" s="12">
        <f>ROUND(N195*'Methodology &amp; Assumptions'!$B$5, 0)</f>
        <v/>
      </c>
      <c r="P195" s="10" t="inlineStr">
        <is>
          <t>Single Carrier (Band n50, 100MHz TDD)</t>
        </is>
      </c>
      <c r="Q195" s="13">
        <f>ROUNDUP(O195/'Methodology &amp; Assumptions'!$B$6, 0)</f>
        <v/>
      </c>
      <c r="R195" s="13" t="n">
        <v>1</v>
      </c>
      <c r="S195" s="14" t="n">
        <v>24.63</v>
      </c>
      <c r="T195" s="14" t="n">
        <v>11</v>
      </c>
      <c r="U195" s="26">
        <f>IF(X195&gt;='Methodology &amp; Assumptions'!$B$7, "Tier 1 Critical GIDA (Score ≥ 50.0)", IF(X195&gt;='Methodology &amp; Assumptions'!$B$8, "Tier 2 High GIDA (Score 40.0–49.9)", "Tier 3 Moderate GIDA (Score &lt; 40.0)"))</f>
        <v/>
      </c>
      <c r="V195" s="26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W195" s="28" t="n">
        <v>0.174</v>
      </c>
      <c r="X195" s="14" t="n">
        <v>49.12</v>
      </c>
      <c r="Y195" s="14">
        <f>ROUND(MIN(100, (X195/69.91)*100), 2)</f>
        <v/>
      </c>
    </row>
    <row r="196">
      <c r="A196" s="10" t="n">
        <v>3</v>
      </c>
      <c r="B196" s="10" t="n">
        <v>192</v>
      </c>
      <c r="C196" s="10" t="n">
        <v>2192</v>
      </c>
      <c r="D196" s="10" t="inlineStr">
        <is>
          <t>1380614069</t>
        </is>
      </c>
      <c r="E196" s="26" t="inlineStr">
        <is>
          <t>National Capital Region (NCR)</t>
        </is>
      </c>
      <c r="F196" s="26" t="inlineStr">
        <is>
          <t>First District (Not a Province)</t>
        </is>
      </c>
      <c r="G196" s="26" t="inlineStr">
        <is>
          <t>City of Manila</t>
        </is>
      </c>
      <c r="H196" s="26" t="inlineStr">
        <is>
          <t>Barangay 876</t>
        </is>
      </c>
      <c r="I196" s="27" t="n">
        <v>13.558456</v>
      </c>
      <c r="J196" s="27" t="n">
        <v>121.896772</v>
      </c>
      <c r="K196" s="10" t="inlineStr">
        <is>
          <t>U</t>
        </is>
      </c>
      <c r="L196" s="12" t="n">
        <v>591</v>
      </c>
      <c r="M196" s="14" t="n">
        <v>3.9</v>
      </c>
      <c r="N196" s="12">
        <f>ROUND(L196/M196, 0)</f>
        <v/>
      </c>
      <c r="O196" s="12">
        <f>ROUND(N196*'Methodology &amp; Assumptions'!$B$5, 0)</f>
        <v/>
      </c>
      <c r="P196" s="10" t="inlineStr">
        <is>
          <t>Single Carrier (Band n50, 100MHz TDD)</t>
        </is>
      </c>
      <c r="Q196" s="13">
        <f>ROUNDUP(O196/'Methodology &amp; Assumptions'!$B$6, 0)</f>
        <v/>
      </c>
      <c r="R196" s="13" t="n">
        <v>1</v>
      </c>
      <c r="S196" s="14" t="n">
        <v>32.44</v>
      </c>
      <c r="T196" s="14" t="n">
        <v>31.93</v>
      </c>
      <c r="U196" s="26">
        <f>IF(X196&gt;='Methodology &amp; Assumptions'!$B$7, "Tier 1 Critical GIDA (Score ≥ 50.0)", IF(X196&gt;='Methodology &amp; Assumptions'!$B$8, "Tier 2 High GIDA (Score 40.0–49.9)", "Tier 3 Moderate GIDA (Score &lt; 40.0)"))</f>
        <v/>
      </c>
      <c r="V196" s="26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W196" s="28" t="n">
        <v>0.109</v>
      </c>
      <c r="X196" s="14" t="n">
        <v>49.12</v>
      </c>
      <c r="Y196" s="14">
        <f>ROUND(MIN(100, (X196/69.91)*100), 2)</f>
        <v/>
      </c>
    </row>
    <row r="197">
      <c r="A197" s="10" t="n">
        <v>3</v>
      </c>
      <c r="B197" s="10" t="n">
        <v>193</v>
      </c>
      <c r="C197" s="10" t="n">
        <v>2193</v>
      </c>
      <c r="D197" s="10" t="inlineStr">
        <is>
          <t>1380605038</t>
        </is>
      </c>
      <c r="E197" s="26" t="inlineStr">
        <is>
          <t>National Capital Region (NCR)</t>
        </is>
      </c>
      <c r="F197" s="26" t="inlineStr">
        <is>
          <t>First District (Not a Province)</t>
        </is>
      </c>
      <c r="G197" s="26" t="inlineStr">
        <is>
          <t>City of Manila</t>
        </is>
      </c>
      <c r="H197" s="26" t="inlineStr">
        <is>
          <t>Barangay 336</t>
        </is>
      </c>
      <c r="I197" s="27" t="n">
        <v>12.297274</v>
      </c>
      <c r="J197" s="27" t="n">
        <v>122.154623</v>
      </c>
      <c r="K197" s="10" t="inlineStr">
        <is>
          <t>U</t>
        </is>
      </c>
      <c r="L197" s="12" t="n">
        <v>2199</v>
      </c>
      <c r="M197" s="14" t="n">
        <v>3.9</v>
      </c>
      <c r="N197" s="12">
        <f>ROUND(L197/M197, 0)</f>
        <v/>
      </c>
      <c r="O197" s="12">
        <f>ROUND(N197*'Methodology &amp; Assumptions'!$B$5, 0)</f>
        <v/>
      </c>
      <c r="P197" s="10" t="inlineStr">
        <is>
          <t>Single Carrier (Band n50, 100MHz TDD)</t>
        </is>
      </c>
      <c r="Q197" s="13">
        <f>ROUNDUP(O197/'Methodology &amp; Assumptions'!$B$6, 0)</f>
        <v/>
      </c>
      <c r="R197" s="13" t="n">
        <v>1</v>
      </c>
      <c r="S197" s="14" t="n">
        <v>44.95</v>
      </c>
      <c r="T197" s="14" t="n">
        <v>27.6</v>
      </c>
      <c r="U197" s="26">
        <f>IF(X197&gt;='Methodology &amp; Assumptions'!$B$7, "Tier 1 Critical GIDA (Score ≥ 50.0)", IF(X197&gt;='Methodology &amp; Assumptions'!$B$8, "Tier 2 High GIDA (Score 40.0–49.9)", "Tier 3 Moderate GIDA (Score &lt; 40.0)"))</f>
        <v/>
      </c>
      <c r="V197" s="26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W197" s="28" t="n">
        <v>0.109</v>
      </c>
      <c r="X197" s="14" t="n">
        <v>49.12</v>
      </c>
      <c r="Y197" s="14">
        <f>ROUND(MIN(100, (X197/69.91)*100), 2)</f>
        <v/>
      </c>
    </row>
    <row r="198">
      <c r="A198" s="10" t="n">
        <v>3</v>
      </c>
      <c r="B198" s="10" t="n">
        <v>194</v>
      </c>
      <c r="C198" s="10" t="n">
        <v>2194</v>
      </c>
      <c r="D198" s="10" t="inlineStr">
        <is>
          <t>1380605021</t>
        </is>
      </c>
      <c r="E198" s="26" t="inlineStr">
        <is>
          <t>National Capital Region (NCR)</t>
        </is>
      </c>
      <c r="F198" s="26" t="inlineStr">
        <is>
          <t>First District (Not a Province)</t>
        </is>
      </c>
      <c r="G198" s="26" t="inlineStr">
        <is>
          <t>City of Manila</t>
        </is>
      </c>
      <c r="H198" s="26" t="inlineStr">
        <is>
          <t>Barangay 319</t>
        </is>
      </c>
      <c r="I198" s="27" t="n">
        <v>13.058784</v>
      </c>
      <c r="J198" s="27" t="n">
        <v>121.088401</v>
      </c>
      <c r="K198" s="10" t="inlineStr">
        <is>
          <t>U</t>
        </is>
      </c>
      <c r="L198" s="12" t="n">
        <v>1246</v>
      </c>
      <c r="M198" s="14" t="n">
        <v>3.9</v>
      </c>
      <c r="N198" s="12">
        <f>ROUND(L198/M198, 0)</f>
        <v/>
      </c>
      <c r="O198" s="12">
        <f>ROUND(N198*'Methodology &amp; Assumptions'!$B$5, 0)</f>
        <v/>
      </c>
      <c r="P198" s="10" t="inlineStr">
        <is>
          <t>Single Carrier (Band n50, 100MHz TDD)</t>
        </is>
      </c>
      <c r="Q198" s="13">
        <f>ROUNDUP(O198/'Methodology &amp; Assumptions'!$B$6, 0)</f>
        <v/>
      </c>
      <c r="R198" s="13" t="n">
        <v>1</v>
      </c>
      <c r="S198" s="14" t="n">
        <v>24.01</v>
      </c>
      <c r="T198" s="14" t="n">
        <v>22.89</v>
      </c>
      <c r="U198" s="26">
        <f>IF(X198&gt;='Methodology &amp; Assumptions'!$B$7, "Tier 1 Critical GIDA (Score ≥ 50.0)", IF(X198&gt;='Methodology &amp; Assumptions'!$B$8, "Tier 2 High GIDA (Score 40.0–49.9)", "Tier 3 Moderate GIDA (Score &lt; 40.0)"))</f>
        <v/>
      </c>
      <c r="V198" s="26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W198" s="28" t="n">
        <v>0.109</v>
      </c>
      <c r="X198" s="14" t="n">
        <v>49.12</v>
      </c>
      <c r="Y198" s="14">
        <f>ROUND(MIN(100, (X198/69.91)*100), 2)</f>
        <v/>
      </c>
    </row>
    <row r="199">
      <c r="A199" s="10" t="n">
        <v>3</v>
      </c>
      <c r="B199" s="10" t="n">
        <v>195</v>
      </c>
      <c r="C199" s="10" t="n">
        <v>2195</v>
      </c>
      <c r="D199" s="10" t="inlineStr">
        <is>
          <t>1380605009</t>
        </is>
      </c>
      <c r="E199" s="26" t="inlineStr">
        <is>
          <t>National Capital Region (NCR)</t>
        </is>
      </c>
      <c r="F199" s="26" t="inlineStr">
        <is>
          <t>First District (Not a Province)</t>
        </is>
      </c>
      <c r="G199" s="26" t="inlineStr">
        <is>
          <t>City of Manila</t>
        </is>
      </c>
      <c r="H199" s="26" t="inlineStr">
        <is>
          <t>Barangay 305</t>
        </is>
      </c>
      <c r="I199" s="27" t="n">
        <v>13.199819</v>
      </c>
      <c r="J199" s="27" t="n">
        <v>122.404814</v>
      </c>
      <c r="K199" s="10" t="inlineStr">
        <is>
          <t>U</t>
        </is>
      </c>
      <c r="L199" s="12" t="n">
        <v>665</v>
      </c>
      <c r="M199" s="14" t="n">
        <v>3.9</v>
      </c>
      <c r="N199" s="12">
        <f>ROUND(L199/M199, 0)</f>
        <v/>
      </c>
      <c r="O199" s="12">
        <f>ROUND(N199*'Methodology &amp; Assumptions'!$B$5, 0)</f>
        <v/>
      </c>
      <c r="P199" s="10" t="inlineStr">
        <is>
          <t>Single Carrier (Band n50, 100MHz TDD)</t>
        </is>
      </c>
      <c r="Q199" s="13">
        <f>ROUNDUP(O199/'Methodology &amp; Assumptions'!$B$6, 0)</f>
        <v/>
      </c>
      <c r="R199" s="13" t="n">
        <v>1</v>
      </c>
      <c r="S199" s="14" t="n">
        <v>20.42</v>
      </c>
      <c r="T199" s="14" t="n">
        <v>36.28</v>
      </c>
      <c r="U199" s="26">
        <f>IF(X199&gt;='Methodology &amp; Assumptions'!$B$7, "Tier 1 Critical GIDA (Score ≥ 50.0)", IF(X199&gt;='Methodology &amp; Assumptions'!$B$8, "Tier 2 High GIDA (Score 40.0–49.9)", "Tier 3 Moderate GIDA (Score &lt; 40.0)"))</f>
        <v/>
      </c>
      <c r="V199" s="26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W199" s="28" t="n">
        <v>0.109</v>
      </c>
      <c r="X199" s="14" t="n">
        <v>49.12</v>
      </c>
      <c r="Y199" s="14">
        <f>ROUND(MIN(100, (X199/69.91)*100), 2)</f>
        <v/>
      </c>
    </row>
    <row r="200">
      <c r="A200" s="10" t="n">
        <v>3</v>
      </c>
      <c r="B200" s="10" t="n">
        <v>196</v>
      </c>
      <c r="C200" s="10" t="n">
        <v>2196</v>
      </c>
      <c r="D200" s="10" t="inlineStr">
        <is>
          <t>PH0002196</t>
        </is>
      </c>
      <c r="E200" s="26" t="inlineStr">
        <is>
          <t>NCR</t>
        </is>
      </c>
      <c r="F200" s="26" t="inlineStr">
        <is>
          <t>Metro Manila</t>
        </is>
      </c>
      <c r="G200" s="26" t="inlineStr">
        <is>
          <t>Caloocan City</t>
        </is>
      </c>
      <c r="H200" s="26" t="inlineStr">
        <is>
          <t>Barangay 22</t>
        </is>
      </c>
      <c r="I200" s="27" t="n">
        <v>12.998821</v>
      </c>
      <c r="J200" s="27" t="n">
        <v>120.377303</v>
      </c>
      <c r="K200" s="10" t="inlineStr">
        <is>
          <t>R</t>
        </is>
      </c>
      <c r="L200" s="12" t="n">
        <v>2279</v>
      </c>
      <c r="M200" s="14" t="n">
        <v>3.8</v>
      </c>
      <c r="N200" s="12">
        <f>ROUND(L200/M200, 0)</f>
        <v/>
      </c>
      <c r="O200" s="12">
        <f>ROUND(N200*'Methodology &amp; Assumptions'!$B$5, 0)</f>
        <v/>
      </c>
      <c r="P200" s="10" t="inlineStr">
        <is>
          <t>Single Carrier (Band n50, 100MHz TDD)</t>
        </is>
      </c>
      <c r="Q200" s="13">
        <f>ROUNDUP(O200/'Methodology &amp; Assumptions'!$B$6, 0)</f>
        <v/>
      </c>
      <c r="R200" s="13" t="n">
        <v>1</v>
      </c>
      <c r="S200" s="14" t="n">
        <v>80.09</v>
      </c>
      <c r="T200" s="14" t="n">
        <v>78.64</v>
      </c>
      <c r="U200" s="26">
        <f>IF(X200&gt;='Methodology &amp; Assumptions'!$B$7, "Tier 1 Critical GIDA (Score ≥ 50.0)", IF(X200&gt;='Methodology &amp; Assumptions'!$B$8, "Tier 2 High GIDA (Score 40.0–49.9)", "Tier 3 Moderate GIDA (Score &lt; 40.0)"))</f>
        <v/>
      </c>
      <c r="V200" s="26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W200" s="28" t="n">
        <v>0.011</v>
      </c>
      <c r="X200" s="14" t="n">
        <v>49.12</v>
      </c>
      <c r="Y200" s="14">
        <f>ROUND(MIN(100, (X200/69.91)*100), 2)</f>
        <v/>
      </c>
    </row>
    <row r="201">
      <c r="A201" s="10" t="n">
        <v>3</v>
      </c>
      <c r="B201" s="10" t="n">
        <v>197</v>
      </c>
      <c r="C201" s="10" t="n">
        <v>2197</v>
      </c>
      <c r="D201" s="10" t="inlineStr">
        <is>
          <t>1380614099</t>
        </is>
      </c>
      <c r="E201" s="26" t="inlineStr">
        <is>
          <t>National Capital Region (NCR)</t>
        </is>
      </c>
      <c r="F201" s="26" t="inlineStr">
        <is>
          <t>First District (Not a Province)</t>
        </is>
      </c>
      <c r="G201" s="26" t="inlineStr">
        <is>
          <t>City of Manila</t>
        </is>
      </c>
      <c r="H201" s="26" t="inlineStr">
        <is>
          <t>Barangay 754</t>
        </is>
      </c>
      <c r="I201" s="27" t="n">
        <v>12.226965</v>
      </c>
      <c r="J201" s="27" t="n">
        <v>121.530292</v>
      </c>
      <c r="K201" s="10" t="inlineStr">
        <is>
          <t>U</t>
        </is>
      </c>
      <c r="L201" s="12" t="n">
        <v>2662</v>
      </c>
      <c r="M201" s="14" t="n">
        <v>3.9</v>
      </c>
      <c r="N201" s="12">
        <f>ROUND(L201/M201, 0)</f>
        <v/>
      </c>
      <c r="O201" s="12">
        <f>ROUND(N201*'Methodology &amp; Assumptions'!$B$5, 0)</f>
        <v/>
      </c>
      <c r="P201" s="10" t="inlineStr">
        <is>
          <t>Single Carrier (Band n50, 100MHz TDD)</t>
        </is>
      </c>
      <c r="Q201" s="13">
        <f>ROUNDUP(O201/'Methodology &amp; Assumptions'!$B$6, 0)</f>
        <v/>
      </c>
      <c r="R201" s="13" t="n">
        <v>1</v>
      </c>
      <c r="S201" s="14" t="n">
        <v>23.43</v>
      </c>
      <c r="T201" s="14" t="n">
        <v>21.1</v>
      </c>
      <c r="U201" s="26">
        <f>IF(X201&gt;='Methodology &amp; Assumptions'!$B$7, "Tier 1 Critical GIDA (Score ≥ 50.0)", IF(X201&gt;='Methodology &amp; Assumptions'!$B$8, "Tier 2 High GIDA (Score 40.0–49.9)", "Tier 3 Moderate GIDA (Score &lt; 40.0)"))</f>
        <v/>
      </c>
      <c r="V201" s="26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W201" s="28" t="n">
        <v>0.109</v>
      </c>
      <c r="X201" s="14" t="n">
        <v>49.12</v>
      </c>
      <c r="Y201" s="14">
        <f>ROUND(MIN(100, (X201/69.91)*100), 2)</f>
        <v/>
      </c>
    </row>
    <row r="202">
      <c r="A202" s="10" t="n">
        <v>3</v>
      </c>
      <c r="B202" s="10" t="n">
        <v>198</v>
      </c>
      <c r="C202" s="10" t="n">
        <v>2198</v>
      </c>
      <c r="D202" s="10" t="inlineStr">
        <is>
          <t>1380605037</t>
        </is>
      </c>
      <c r="E202" s="26" t="inlineStr">
        <is>
          <t>National Capital Region (NCR)</t>
        </is>
      </c>
      <c r="F202" s="26" t="inlineStr">
        <is>
          <t>First District (Not a Province)</t>
        </is>
      </c>
      <c r="G202" s="26" t="inlineStr">
        <is>
          <t>City of Manila</t>
        </is>
      </c>
      <c r="H202" s="26" t="inlineStr">
        <is>
          <t>Barangay 335</t>
        </is>
      </c>
      <c r="I202" s="27" t="n">
        <v>13.522697</v>
      </c>
      <c r="J202" s="27" t="n">
        <v>121.500788</v>
      </c>
      <c r="K202" s="10" t="inlineStr">
        <is>
          <t>U</t>
        </is>
      </c>
      <c r="L202" s="12" t="n">
        <v>1391</v>
      </c>
      <c r="M202" s="14" t="n">
        <v>3.9</v>
      </c>
      <c r="N202" s="12">
        <f>ROUND(L202/M202, 0)</f>
        <v/>
      </c>
      <c r="O202" s="12">
        <f>ROUND(N202*'Methodology &amp; Assumptions'!$B$5, 0)</f>
        <v/>
      </c>
      <c r="P202" s="10" t="inlineStr">
        <is>
          <t>Single Carrier (Band n50, 100MHz TDD)</t>
        </is>
      </c>
      <c r="Q202" s="13">
        <f>ROUNDUP(O202/'Methodology &amp; Assumptions'!$B$6, 0)</f>
        <v/>
      </c>
      <c r="R202" s="13" t="n">
        <v>1</v>
      </c>
      <c r="S202" s="14" t="n">
        <v>20.64</v>
      </c>
      <c r="T202" s="14" t="n">
        <v>30.39</v>
      </c>
      <c r="U202" s="26">
        <f>IF(X202&gt;='Methodology &amp; Assumptions'!$B$7, "Tier 1 Critical GIDA (Score ≥ 50.0)", IF(X202&gt;='Methodology &amp; Assumptions'!$B$8, "Tier 2 High GIDA (Score 40.0–49.9)", "Tier 3 Moderate GIDA (Score &lt; 40.0)"))</f>
        <v/>
      </c>
      <c r="V202" s="26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W202" s="28" t="n">
        <v>0.109</v>
      </c>
      <c r="X202" s="14" t="n">
        <v>49.12</v>
      </c>
      <c r="Y202" s="14">
        <f>ROUND(MIN(100, (X202/69.91)*100), 2)</f>
        <v/>
      </c>
    </row>
    <row r="203">
      <c r="A203" s="10" t="n">
        <v>3</v>
      </c>
      <c r="B203" s="10" t="n">
        <v>199</v>
      </c>
      <c r="C203" s="10" t="n">
        <v>2199</v>
      </c>
      <c r="D203" s="10" t="inlineStr">
        <is>
          <t>1381100174</t>
        </is>
      </c>
      <c r="E203" s="26" t="inlineStr">
        <is>
          <t>National Capital Region (NCR)</t>
        </is>
      </c>
      <c r="F203" s="26" t="inlineStr">
        <is>
          <t>Fourth District (Not a Province)</t>
        </is>
      </c>
      <c r="G203" s="26" t="inlineStr">
        <is>
          <t>Pasay City</t>
        </is>
      </c>
      <c r="H203" s="26" t="inlineStr">
        <is>
          <t>Barangay 174</t>
        </is>
      </c>
      <c r="I203" s="27" t="n">
        <v>14.533531</v>
      </c>
      <c r="J203" s="27" t="n">
        <v>121.012931</v>
      </c>
      <c r="K203" s="10" t="inlineStr">
        <is>
          <t>U</t>
        </is>
      </c>
      <c r="L203" s="12" t="n">
        <v>1878</v>
      </c>
      <c r="M203" s="14" t="n">
        <v>3.4</v>
      </c>
      <c r="N203" s="12">
        <f>ROUND(L203/M203, 0)</f>
        <v/>
      </c>
      <c r="O203" s="12">
        <f>ROUND(N203*'Methodology &amp; Assumptions'!$B$5, 0)</f>
        <v/>
      </c>
      <c r="P203" s="10" t="inlineStr">
        <is>
          <t>Single Carrier (Band n50, 100MHz TDD)</t>
        </is>
      </c>
      <c r="Q203" s="13">
        <f>ROUNDUP(O203/'Methodology &amp; Assumptions'!$B$6, 0)</f>
        <v/>
      </c>
      <c r="R203" s="13" t="n">
        <v>1</v>
      </c>
      <c r="S203" s="14" t="n">
        <v>1.32</v>
      </c>
      <c r="T203" s="14" t="n">
        <v>0.6</v>
      </c>
      <c r="U203" s="26">
        <f>IF(X203&gt;='Methodology &amp; Assumptions'!$B$7, "Tier 1 Critical GIDA (Score ≥ 50.0)", IF(X203&gt;='Methodology &amp; Assumptions'!$B$8, "Tier 2 High GIDA (Score 40.0–49.9)", "Tier 3 Moderate GIDA (Score &lt; 40.0)"))</f>
        <v/>
      </c>
      <c r="V203" s="26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W203" s="28" t="n">
        <v>0.109</v>
      </c>
      <c r="X203" s="14" t="n">
        <v>49.12</v>
      </c>
      <c r="Y203" s="14">
        <f>ROUND(MIN(100, (X203/69.91)*100), 2)</f>
        <v/>
      </c>
    </row>
    <row r="204">
      <c r="A204" s="10" t="n">
        <v>3</v>
      </c>
      <c r="B204" s="10" t="n">
        <v>200</v>
      </c>
      <c r="C204" s="10" t="n">
        <v>2200</v>
      </c>
      <c r="D204" s="10" t="inlineStr">
        <is>
          <t>1380601180</t>
        </is>
      </c>
      <c r="E204" s="26" t="inlineStr">
        <is>
          <t>National Capital Region (NCR)</t>
        </is>
      </c>
      <c r="F204" s="26" t="inlineStr">
        <is>
          <t>First District (Not a Province)</t>
        </is>
      </c>
      <c r="G204" s="26" t="inlineStr">
        <is>
          <t>City of Manila</t>
        </is>
      </c>
      <c r="H204" s="26" t="inlineStr">
        <is>
          <t>Barangay 180</t>
        </is>
      </c>
      <c r="I204" s="27" t="n">
        <v>12.584998</v>
      </c>
      <c r="J204" s="27" t="n">
        <v>122.422302</v>
      </c>
      <c r="K204" s="10" t="inlineStr">
        <is>
          <t>U</t>
        </is>
      </c>
      <c r="L204" s="12" t="n">
        <v>2210</v>
      </c>
      <c r="M204" s="14" t="n">
        <v>3.9</v>
      </c>
      <c r="N204" s="12">
        <f>ROUND(L204/M204, 0)</f>
        <v/>
      </c>
      <c r="O204" s="12">
        <f>ROUND(N204*'Methodology &amp; Assumptions'!$B$5, 0)</f>
        <v/>
      </c>
      <c r="P204" s="10" t="inlineStr">
        <is>
          <t>Single Carrier (Band n50, 100MHz TDD)</t>
        </is>
      </c>
      <c r="Q204" s="13">
        <f>ROUNDUP(O204/'Methodology &amp; Assumptions'!$B$6, 0)</f>
        <v/>
      </c>
      <c r="R204" s="13" t="n">
        <v>1</v>
      </c>
      <c r="S204" s="14" t="n">
        <v>76.38</v>
      </c>
      <c r="T204" s="14" t="n">
        <v>68.51000000000001</v>
      </c>
      <c r="U204" s="26">
        <f>IF(X204&gt;='Methodology &amp; Assumptions'!$B$7, "Tier 1 Critical GIDA (Score ≥ 50.0)", IF(X204&gt;='Methodology &amp; Assumptions'!$B$8, "Tier 2 High GIDA (Score 40.0–49.9)", "Tier 3 Moderate GIDA (Score &lt; 40.0)"))</f>
        <v/>
      </c>
      <c r="V204" s="26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W204" s="28" t="n">
        <v>0.109</v>
      </c>
      <c r="X204" s="14" t="n">
        <v>49.12</v>
      </c>
      <c r="Y204" s="14">
        <f>ROUND(MIN(100, (X204/69.91)*100), 2)</f>
        <v/>
      </c>
    </row>
    <row r="205">
      <c r="A205" s="10" t="n">
        <v>3</v>
      </c>
      <c r="B205" s="10" t="n">
        <v>201</v>
      </c>
      <c r="C205" s="10" t="n">
        <v>2201</v>
      </c>
      <c r="D205" s="10" t="inlineStr">
        <is>
          <t>1380601048</t>
        </is>
      </c>
      <c r="E205" s="26" t="inlineStr">
        <is>
          <t>National Capital Region (NCR)</t>
        </is>
      </c>
      <c r="F205" s="26" t="inlineStr">
        <is>
          <t>First District (Not a Province)</t>
        </is>
      </c>
      <c r="G205" s="26" t="inlineStr">
        <is>
          <t>City of Manila</t>
        </is>
      </c>
      <c r="H205" s="26" t="inlineStr">
        <is>
          <t>Barangay 48</t>
        </is>
      </c>
      <c r="I205" s="27" t="n">
        <v>12.669604</v>
      </c>
      <c r="J205" s="27" t="n">
        <v>121.090465</v>
      </c>
      <c r="K205" s="10" t="inlineStr">
        <is>
          <t>U</t>
        </is>
      </c>
      <c r="L205" s="12" t="n">
        <v>4194</v>
      </c>
      <c r="M205" s="14" t="n">
        <v>3.9</v>
      </c>
      <c r="N205" s="12">
        <f>ROUND(L205/M205, 0)</f>
        <v/>
      </c>
      <c r="O205" s="12">
        <f>ROUND(N205*'Methodology &amp; Assumptions'!$B$5, 0)</f>
        <v/>
      </c>
      <c r="P205" s="10" t="inlineStr">
        <is>
          <t>Single Carrier (Band n50, 100MHz TDD)</t>
        </is>
      </c>
      <c r="Q205" s="13">
        <f>ROUNDUP(O205/'Methodology &amp; Assumptions'!$B$6, 0)</f>
        <v/>
      </c>
      <c r="R205" s="13" t="n">
        <v>1</v>
      </c>
      <c r="S205" s="14" t="n">
        <v>35.56</v>
      </c>
      <c r="T205" s="14" t="n">
        <v>33.08</v>
      </c>
      <c r="U205" s="26">
        <f>IF(X205&gt;='Methodology &amp; Assumptions'!$B$7, "Tier 1 Critical GIDA (Score ≥ 50.0)", IF(X205&gt;='Methodology &amp; Assumptions'!$B$8, "Tier 2 High GIDA (Score 40.0–49.9)", "Tier 3 Moderate GIDA (Score &lt; 40.0)"))</f>
        <v/>
      </c>
      <c r="V205" s="26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W205" s="28" t="n">
        <v>0.109</v>
      </c>
      <c r="X205" s="14" t="n">
        <v>49.12</v>
      </c>
      <c r="Y205" s="14">
        <f>ROUND(MIN(100, (X205/69.91)*100), 2)</f>
        <v/>
      </c>
    </row>
    <row r="206">
      <c r="A206" s="10" t="n">
        <v>3</v>
      </c>
      <c r="B206" s="10" t="n">
        <v>202</v>
      </c>
      <c r="C206" s="10" t="n">
        <v>2202</v>
      </c>
      <c r="D206" s="10" t="inlineStr">
        <is>
          <t>PH0002202</t>
        </is>
      </c>
      <c r="E206" s="26" t="inlineStr">
        <is>
          <t>NCR</t>
        </is>
      </c>
      <c r="F206" s="26" t="inlineStr">
        <is>
          <t>Metro Manila</t>
        </is>
      </c>
      <c r="G206" s="26" t="inlineStr">
        <is>
          <t>Caloocan City</t>
        </is>
      </c>
      <c r="H206" s="26" t="inlineStr">
        <is>
          <t>Barangay 27</t>
        </is>
      </c>
      <c r="I206" s="27" t="n">
        <v>13.712551</v>
      </c>
      <c r="J206" s="27" t="n">
        <v>122.887405</v>
      </c>
      <c r="K206" s="10" t="inlineStr">
        <is>
          <t>R</t>
        </is>
      </c>
      <c r="L206" s="12" t="n">
        <v>2279</v>
      </c>
      <c r="M206" s="14" t="n">
        <v>3.8</v>
      </c>
      <c r="N206" s="12">
        <f>ROUND(L206/M206, 0)</f>
        <v/>
      </c>
      <c r="O206" s="12">
        <f>ROUND(N206*'Methodology &amp; Assumptions'!$B$5, 0)</f>
        <v/>
      </c>
      <c r="P206" s="10" t="inlineStr">
        <is>
          <t>Single Carrier (Band n50, 100MHz TDD)</t>
        </is>
      </c>
      <c r="Q206" s="13">
        <f>ROUNDUP(O206/'Methodology &amp; Assumptions'!$B$6, 0)</f>
        <v/>
      </c>
      <c r="R206" s="13" t="n">
        <v>1</v>
      </c>
      <c r="S206" s="14" t="n">
        <v>7.34</v>
      </c>
      <c r="T206" s="14" t="n">
        <v>7.34</v>
      </c>
      <c r="U206" s="26">
        <f>IF(X206&gt;='Methodology &amp; Assumptions'!$B$7, "Tier 1 Critical GIDA (Score ≥ 50.0)", IF(X206&gt;='Methodology &amp; Assumptions'!$B$8, "Tier 2 High GIDA (Score 40.0–49.9)", "Tier 3 Moderate GIDA (Score &lt; 40.0)"))</f>
        <v/>
      </c>
      <c r="V206" s="26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W206" s="28" t="n">
        <v>0.011</v>
      </c>
      <c r="X206" s="14" t="n">
        <v>49.11</v>
      </c>
      <c r="Y206" s="14">
        <f>ROUND(MIN(100, (X206/69.91)*100), 2)</f>
        <v/>
      </c>
    </row>
    <row r="207">
      <c r="A207" s="10" t="n">
        <v>3</v>
      </c>
      <c r="B207" s="10" t="n">
        <v>203</v>
      </c>
      <c r="C207" s="10" t="n">
        <v>2203</v>
      </c>
      <c r="D207" s="10" t="inlineStr">
        <is>
          <t>1380611028</t>
        </is>
      </c>
      <c r="E207" s="26" t="inlineStr">
        <is>
          <t>National Capital Region (NCR)</t>
        </is>
      </c>
      <c r="F207" s="26" t="inlineStr">
        <is>
          <t>First District (Not a Province)</t>
        </is>
      </c>
      <c r="G207" s="26" t="inlineStr">
        <is>
          <t>City of Manila</t>
        </is>
      </c>
      <c r="H207" s="26" t="inlineStr">
        <is>
          <t>Barangay 814</t>
        </is>
      </c>
      <c r="I207" s="27" t="n">
        <v>13.485939</v>
      </c>
      <c r="J207" s="27" t="n">
        <v>122.133046</v>
      </c>
      <c r="K207" s="10" t="inlineStr">
        <is>
          <t>U</t>
        </is>
      </c>
      <c r="L207" s="12" t="n">
        <v>2263</v>
      </c>
      <c r="M207" s="14" t="n">
        <v>3.9</v>
      </c>
      <c r="N207" s="12">
        <f>ROUND(L207/M207, 0)</f>
        <v/>
      </c>
      <c r="O207" s="12">
        <f>ROUND(N207*'Methodology &amp; Assumptions'!$B$5, 0)</f>
        <v/>
      </c>
      <c r="P207" s="10" t="inlineStr">
        <is>
          <t>Single Carrier (Band n50, 100MHz TDD)</t>
        </is>
      </c>
      <c r="Q207" s="13">
        <f>ROUNDUP(O207/'Methodology &amp; Assumptions'!$B$6, 0)</f>
        <v/>
      </c>
      <c r="R207" s="13" t="n">
        <v>1</v>
      </c>
      <c r="S207" s="14" t="n">
        <v>20.46</v>
      </c>
      <c r="T207" s="14" t="n">
        <v>19.54</v>
      </c>
      <c r="U207" s="26">
        <f>IF(X207&gt;='Methodology &amp; Assumptions'!$B$7, "Tier 1 Critical GIDA (Score ≥ 50.0)", IF(X207&gt;='Methodology &amp; Assumptions'!$B$8, "Tier 2 High GIDA (Score 40.0–49.9)", "Tier 3 Moderate GIDA (Score &lt; 40.0)"))</f>
        <v/>
      </c>
      <c r="V207" s="26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W207" s="28" t="n">
        <v>0.109</v>
      </c>
      <c r="X207" s="14" t="n">
        <v>49.11</v>
      </c>
      <c r="Y207" s="14">
        <f>ROUND(MIN(100, (X207/69.91)*100), 2)</f>
        <v/>
      </c>
    </row>
    <row r="208">
      <c r="A208" s="10" t="n">
        <v>3</v>
      </c>
      <c r="B208" s="10" t="n">
        <v>204</v>
      </c>
      <c r="C208" s="10" t="n">
        <v>2204</v>
      </c>
      <c r="D208" s="10" t="inlineStr">
        <is>
          <t>1381100019</t>
        </is>
      </c>
      <c r="E208" s="26" t="inlineStr">
        <is>
          <t>National Capital Region (NCR)</t>
        </is>
      </c>
      <c r="F208" s="26" t="inlineStr">
        <is>
          <t>Fourth District (Not a Province)</t>
        </is>
      </c>
      <c r="G208" s="26" t="inlineStr">
        <is>
          <t>Pasay City</t>
        </is>
      </c>
      <c r="H208" s="26" t="inlineStr">
        <is>
          <t>Barangay 19</t>
        </is>
      </c>
      <c r="I208" s="27" t="n">
        <v>14.474335</v>
      </c>
      <c r="J208" s="27" t="n">
        <v>120.884571</v>
      </c>
      <c r="K208" s="10" t="inlineStr">
        <is>
          <t>U</t>
        </is>
      </c>
      <c r="L208" s="12" t="n">
        <v>835</v>
      </c>
      <c r="M208" s="14" t="n">
        <v>3.4</v>
      </c>
      <c r="N208" s="12">
        <f>ROUND(L208/M208, 0)</f>
        <v/>
      </c>
      <c r="O208" s="12">
        <f>ROUND(N208*'Methodology &amp; Assumptions'!$B$5, 0)</f>
        <v/>
      </c>
      <c r="P208" s="10" t="inlineStr">
        <is>
          <t>Single Carrier (Band n50, 100MHz TDD)</t>
        </is>
      </c>
      <c r="Q208" s="13">
        <f>ROUNDUP(O208/'Methodology &amp; Assumptions'!$B$6, 0)</f>
        <v/>
      </c>
      <c r="R208" s="13" t="n">
        <v>1</v>
      </c>
      <c r="S208" s="14" t="n">
        <v>0.33</v>
      </c>
      <c r="T208" s="14" t="n">
        <v>4.5</v>
      </c>
      <c r="U208" s="26">
        <f>IF(X208&gt;='Methodology &amp; Assumptions'!$B$7, "Tier 1 Critical GIDA (Score ≥ 50.0)", IF(X208&gt;='Methodology &amp; Assumptions'!$B$8, "Tier 2 High GIDA (Score 40.0–49.9)", "Tier 3 Moderate GIDA (Score &lt; 40.0)"))</f>
        <v/>
      </c>
      <c r="V208" s="26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W208" s="28" t="n">
        <v>0.109</v>
      </c>
      <c r="X208" s="14" t="n">
        <v>49.11</v>
      </c>
      <c r="Y208" s="14">
        <f>ROUND(MIN(100, (X208/69.91)*100), 2)</f>
        <v/>
      </c>
    </row>
    <row r="209">
      <c r="A209" s="10" t="n">
        <v>3</v>
      </c>
      <c r="B209" s="10" t="n">
        <v>205</v>
      </c>
      <c r="C209" s="10" t="n">
        <v>2205</v>
      </c>
      <c r="D209" s="10" t="inlineStr">
        <is>
          <t>1380614055</t>
        </is>
      </c>
      <c r="E209" s="26" t="inlineStr">
        <is>
          <t>National Capital Region (NCR)</t>
        </is>
      </c>
      <c r="F209" s="26" t="inlineStr">
        <is>
          <t>First District (Not a Province)</t>
        </is>
      </c>
      <c r="G209" s="26" t="inlineStr">
        <is>
          <t>City of Manila</t>
        </is>
      </c>
      <c r="H209" s="26" t="inlineStr">
        <is>
          <t>Barangay 799</t>
        </is>
      </c>
      <c r="I209" s="27" t="n">
        <v>12.194951</v>
      </c>
      <c r="J209" s="27" t="n">
        <v>121.929723</v>
      </c>
      <c r="K209" s="10" t="inlineStr">
        <is>
          <t>U</t>
        </is>
      </c>
      <c r="L209" s="12" t="n">
        <v>561</v>
      </c>
      <c r="M209" s="14" t="n">
        <v>3.9</v>
      </c>
      <c r="N209" s="12">
        <f>ROUND(L209/M209, 0)</f>
        <v/>
      </c>
      <c r="O209" s="12">
        <f>ROUND(N209*'Methodology &amp; Assumptions'!$B$5, 0)</f>
        <v/>
      </c>
      <c r="P209" s="10" t="inlineStr">
        <is>
          <t>Single Carrier (Band n50, 100MHz TDD)</t>
        </is>
      </c>
      <c r="Q209" s="13">
        <f>ROUNDUP(O209/'Methodology &amp; Assumptions'!$B$6, 0)</f>
        <v/>
      </c>
      <c r="R209" s="13" t="n">
        <v>1</v>
      </c>
      <c r="S209" s="14" t="n">
        <v>27.48</v>
      </c>
      <c r="T209" s="14" t="n">
        <v>4.68</v>
      </c>
      <c r="U209" s="26">
        <f>IF(X209&gt;='Methodology &amp; Assumptions'!$B$7, "Tier 1 Critical GIDA (Score ≥ 50.0)", IF(X209&gt;='Methodology &amp; Assumptions'!$B$8, "Tier 2 High GIDA (Score 40.0–49.9)", "Tier 3 Moderate GIDA (Score &lt; 40.0)"))</f>
        <v/>
      </c>
      <c r="V209" s="26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W209" s="28" t="n">
        <v>0.109</v>
      </c>
      <c r="X209" s="14" t="n">
        <v>49.11</v>
      </c>
      <c r="Y209" s="14">
        <f>ROUND(MIN(100, (X209/69.91)*100), 2)</f>
        <v/>
      </c>
    </row>
    <row r="210">
      <c r="A210" s="10" t="n">
        <v>3</v>
      </c>
      <c r="B210" s="10" t="n">
        <v>206</v>
      </c>
      <c r="C210" s="10" t="n">
        <v>2206</v>
      </c>
      <c r="D210" s="10" t="inlineStr">
        <is>
          <t>1380605035</t>
        </is>
      </c>
      <c r="E210" s="26" t="inlineStr">
        <is>
          <t>National Capital Region (NCR)</t>
        </is>
      </c>
      <c r="F210" s="26" t="inlineStr">
        <is>
          <t>First District (Not a Province)</t>
        </is>
      </c>
      <c r="G210" s="26" t="inlineStr">
        <is>
          <t>City of Manila</t>
        </is>
      </c>
      <c r="H210" s="26" t="inlineStr">
        <is>
          <t>Barangay 333</t>
        </is>
      </c>
      <c r="I210" s="27" t="n">
        <v>13.282766</v>
      </c>
      <c r="J210" s="27" t="n">
        <v>121.183506</v>
      </c>
      <c r="K210" s="10" t="inlineStr">
        <is>
          <t>U</t>
        </is>
      </c>
      <c r="L210" s="12" t="n">
        <v>904</v>
      </c>
      <c r="M210" s="14" t="n">
        <v>3.9</v>
      </c>
      <c r="N210" s="12">
        <f>ROUND(L210/M210, 0)</f>
        <v/>
      </c>
      <c r="O210" s="12">
        <f>ROUND(N210*'Methodology &amp; Assumptions'!$B$5, 0)</f>
        <v/>
      </c>
      <c r="P210" s="10" t="inlineStr">
        <is>
          <t>Single Carrier (Band n50, 100MHz TDD)</t>
        </is>
      </c>
      <c r="Q210" s="13">
        <f>ROUNDUP(O210/'Methodology &amp; Assumptions'!$B$6, 0)</f>
        <v/>
      </c>
      <c r="R210" s="13" t="n">
        <v>1</v>
      </c>
      <c r="S210" s="14" t="n">
        <v>3.67</v>
      </c>
      <c r="T210" s="14" t="n">
        <v>2.54</v>
      </c>
      <c r="U210" s="26">
        <f>IF(X210&gt;='Methodology &amp; Assumptions'!$B$7, "Tier 1 Critical GIDA (Score ≥ 50.0)", IF(X210&gt;='Methodology &amp; Assumptions'!$B$8, "Tier 2 High GIDA (Score 40.0–49.9)", "Tier 3 Moderate GIDA (Score &lt; 40.0)"))</f>
        <v/>
      </c>
      <c r="V210" s="26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W210" s="28" t="n">
        <v>0.109</v>
      </c>
      <c r="X210" s="14" t="n">
        <v>49.11</v>
      </c>
      <c r="Y210" s="14">
        <f>ROUND(MIN(100, (X210/69.91)*100), 2)</f>
        <v/>
      </c>
    </row>
    <row r="211">
      <c r="A211" s="10" t="n">
        <v>3</v>
      </c>
      <c r="B211" s="10" t="n">
        <v>207</v>
      </c>
      <c r="C211" s="10" t="n">
        <v>2207</v>
      </c>
      <c r="D211" s="10" t="inlineStr">
        <is>
          <t>1380602002</t>
        </is>
      </c>
      <c r="E211" s="26" t="inlineStr">
        <is>
          <t>National Capital Region (NCR)</t>
        </is>
      </c>
      <c r="F211" s="26" t="inlineStr">
        <is>
          <t>First District (Not a Province)</t>
        </is>
      </c>
      <c r="G211" s="26" t="inlineStr">
        <is>
          <t>City of Manila</t>
        </is>
      </c>
      <c r="H211" s="26" t="inlineStr">
        <is>
          <t>Barangay 288</t>
        </is>
      </c>
      <c r="I211" s="27" t="n">
        <v>12.9716</v>
      </c>
      <c r="J211" s="27" t="n">
        <v>122.490066</v>
      </c>
      <c r="K211" s="10" t="inlineStr">
        <is>
          <t>U</t>
        </is>
      </c>
      <c r="L211" s="12" t="n">
        <v>2615</v>
      </c>
      <c r="M211" s="14" t="n">
        <v>3.9</v>
      </c>
      <c r="N211" s="12">
        <f>ROUND(L211/M211, 0)</f>
        <v/>
      </c>
      <c r="O211" s="12">
        <f>ROUND(N211*'Methodology &amp; Assumptions'!$B$5, 0)</f>
        <v/>
      </c>
      <c r="P211" s="10" t="inlineStr">
        <is>
          <t>Single Carrier (Band n50, 100MHz TDD)</t>
        </is>
      </c>
      <c r="Q211" s="13">
        <f>ROUNDUP(O211/'Methodology &amp; Assumptions'!$B$6, 0)</f>
        <v/>
      </c>
      <c r="R211" s="13" t="n">
        <v>1</v>
      </c>
      <c r="S211" s="14" t="n">
        <v>35.23</v>
      </c>
      <c r="T211" s="14" t="n">
        <v>62.42</v>
      </c>
      <c r="U211" s="26">
        <f>IF(X211&gt;='Methodology &amp; Assumptions'!$B$7, "Tier 1 Critical GIDA (Score ≥ 50.0)", IF(X211&gt;='Methodology &amp; Assumptions'!$B$8, "Tier 2 High GIDA (Score 40.0–49.9)", "Tier 3 Moderate GIDA (Score &lt; 40.0)"))</f>
        <v/>
      </c>
      <c r="V211" s="26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W211" s="28" t="n">
        <v>0.109</v>
      </c>
      <c r="X211" s="14" t="n">
        <v>49.11</v>
      </c>
      <c r="Y211" s="14">
        <f>ROUND(MIN(100, (X211/69.91)*100), 2)</f>
        <v/>
      </c>
    </row>
    <row r="212">
      <c r="A212" s="10" t="n">
        <v>3</v>
      </c>
      <c r="B212" s="10" t="n">
        <v>208</v>
      </c>
      <c r="C212" s="10" t="n">
        <v>2208</v>
      </c>
      <c r="D212" s="10" t="inlineStr">
        <is>
          <t>1381100176</t>
        </is>
      </c>
      <c r="E212" s="26" t="inlineStr">
        <is>
          <t>National Capital Region (NCR)</t>
        </is>
      </c>
      <c r="F212" s="26" t="inlineStr">
        <is>
          <t>Fourth District (Not a Province)</t>
        </is>
      </c>
      <c r="G212" s="26" t="inlineStr">
        <is>
          <t>Pasay City</t>
        </is>
      </c>
      <c r="H212" s="26" t="inlineStr">
        <is>
          <t>Barangay 176</t>
        </is>
      </c>
      <c r="I212" s="27" t="n">
        <v>14.669208</v>
      </c>
      <c r="J212" s="27" t="n">
        <v>121.045501</v>
      </c>
      <c r="K212" s="10" t="inlineStr">
        <is>
          <t>U</t>
        </is>
      </c>
      <c r="L212" s="12" t="n">
        <v>1663</v>
      </c>
      <c r="M212" s="14" t="n">
        <v>3.4</v>
      </c>
      <c r="N212" s="12">
        <f>ROUND(L212/M212, 0)</f>
        <v/>
      </c>
      <c r="O212" s="12">
        <f>ROUND(N212*'Methodology &amp; Assumptions'!$B$5, 0)</f>
        <v/>
      </c>
      <c r="P212" s="10" t="inlineStr">
        <is>
          <t>Single Carrier (Band n50, 100MHz TDD)</t>
        </is>
      </c>
      <c r="Q212" s="13">
        <f>ROUNDUP(O212/'Methodology &amp; Assumptions'!$B$6, 0)</f>
        <v/>
      </c>
      <c r="R212" s="13" t="n">
        <v>1</v>
      </c>
      <c r="S212" s="14" t="n">
        <v>0.73</v>
      </c>
      <c r="T212" s="14" t="n">
        <v>0.22</v>
      </c>
      <c r="U212" s="26">
        <f>IF(X212&gt;='Methodology &amp; Assumptions'!$B$7, "Tier 1 Critical GIDA (Score ≥ 50.0)", IF(X212&gt;='Methodology &amp; Assumptions'!$B$8, "Tier 2 High GIDA (Score 40.0–49.9)", "Tier 3 Moderate GIDA (Score &lt; 40.0)"))</f>
        <v/>
      </c>
      <c r="V212" s="26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W212" s="28" t="n">
        <v>0.109</v>
      </c>
      <c r="X212" s="14" t="n">
        <v>49.11</v>
      </c>
      <c r="Y212" s="14">
        <f>ROUND(MIN(100, (X212/69.91)*100), 2)</f>
        <v/>
      </c>
    </row>
    <row r="213">
      <c r="A213" s="10" t="n">
        <v>3</v>
      </c>
      <c r="B213" s="10" t="n">
        <v>209</v>
      </c>
      <c r="C213" s="10" t="n">
        <v>2209</v>
      </c>
      <c r="D213" s="10" t="inlineStr">
        <is>
          <t>1380605022</t>
        </is>
      </c>
      <c r="E213" s="26" t="inlineStr">
        <is>
          <t>National Capital Region (NCR)</t>
        </is>
      </c>
      <c r="F213" s="26" t="inlineStr">
        <is>
          <t>First District (Not a Province)</t>
        </is>
      </c>
      <c r="G213" s="26" t="inlineStr">
        <is>
          <t>City of Manila</t>
        </is>
      </c>
      <c r="H213" s="26" t="inlineStr">
        <is>
          <t>Barangay 320</t>
        </is>
      </c>
      <c r="I213" s="27" t="n">
        <v>12.339315</v>
      </c>
      <c r="J213" s="27" t="n">
        <v>121.30886</v>
      </c>
      <c r="K213" s="10" t="inlineStr">
        <is>
          <t>U</t>
        </is>
      </c>
      <c r="L213" s="12" t="n">
        <v>1339</v>
      </c>
      <c r="M213" s="14" t="n">
        <v>3.9</v>
      </c>
      <c r="N213" s="12">
        <f>ROUND(L213/M213, 0)</f>
        <v/>
      </c>
      <c r="O213" s="12">
        <f>ROUND(N213*'Methodology &amp; Assumptions'!$B$5, 0)</f>
        <v/>
      </c>
      <c r="P213" s="10" t="inlineStr">
        <is>
          <t>Single Carrier (Band n50, 100MHz TDD)</t>
        </is>
      </c>
      <c r="Q213" s="13">
        <f>ROUNDUP(O213/'Methodology &amp; Assumptions'!$B$6, 0)</f>
        <v/>
      </c>
      <c r="R213" s="13" t="n">
        <v>1</v>
      </c>
      <c r="S213" s="14" t="n">
        <v>3.8</v>
      </c>
      <c r="T213" s="14" t="n">
        <v>2.84</v>
      </c>
      <c r="U213" s="26">
        <f>IF(X213&gt;='Methodology &amp; Assumptions'!$B$7, "Tier 1 Critical GIDA (Score ≥ 50.0)", IF(X213&gt;='Methodology &amp; Assumptions'!$B$8, "Tier 2 High GIDA (Score 40.0–49.9)", "Tier 3 Moderate GIDA (Score &lt; 40.0)"))</f>
        <v/>
      </c>
      <c r="V213" s="26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W213" s="28" t="n">
        <v>0.109</v>
      </c>
      <c r="X213" s="14" t="n">
        <v>49.1</v>
      </c>
      <c r="Y213" s="14">
        <f>ROUND(MIN(100, (X213/69.91)*100), 2)</f>
        <v/>
      </c>
    </row>
    <row r="214">
      <c r="A214" s="10" t="n">
        <v>3</v>
      </c>
      <c r="B214" s="10" t="n">
        <v>210</v>
      </c>
      <c r="C214" s="10" t="n">
        <v>2210</v>
      </c>
      <c r="D214" s="10" t="inlineStr">
        <is>
          <t>1381100004</t>
        </is>
      </c>
      <c r="E214" s="26" t="inlineStr">
        <is>
          <t>National Capital Region (NCR)</t>
        </is>
      </c>
      <c r="F214" s="26" t="inlineStr">
        <is>
          <t>Fourth District (Not a Province)</t>
        </is>
      </c>
      <c r="G214" s="26" t="inlineStr">
        <is>
          <t>Pasay City</t>
        </is>
      </c>
      <c r="H214" s="26" t="inlineStr">
        <is>
          <t>Barangay 4</t>
        </is>
      </c>
      <c r="I214" s="27" t="n">
        <v>14.417782</v>
      </c>
      <c r="J214" s="27" t="n">
        <v>121.063032</v>
      </c>
      <c r="K214" s="10" t="inlineStr">
        <is>
          <t>U</t>
        </is>
      </c>
      <c r="L214" s="12" t="n">
        <v>2145</v>
      </c>
      <c r="M214" s="14" t="n">
        <v>3.4</v>
      </c>
      <c r="N214" s="12">
        <f>ROUND(L214/M214, 0)</f>
        <v/>
      </c>
      <c r="O214" s="12">
        <f>ROUND(N214*'Methodology &amp; Assumptions'!$B$5, 0)</f>
        <v/>
      </c>
      <c r="P214" s="10" t="inlineStr">
        <is>
          <t>Single Carrier (Band n50, 100MHz TDD)</t>
        </is>
      </c>
      <c r="Q214" s="13">
        <f>ROUNDUP(O214/'Methodology &amp; Assumptions'!$B$6, 0)</f>
        <v/>
      </c>
      <c r="R214" s="13" t="n">
        <v>1</v>
      </c>
      <c r="S214" s="14" t="n">
        <v>1.76</v>
      </c>
      <c r="T214" s="14" t="n">
        <v>1.39</v>
      </c>
      <c r="U214" s="26">
        <f>IF(X214&gt;='Methodology &amp; Assumptions'!$B$7, "Tier 1 Critical GIDA (Score ≥ 50.0)", IF(X214&gt;='Methodology &amp; Assumptions'!$B$8, "Tier 2 High GIDA (Score 40.0–49.9)", "Tier 3 Moderate GIDA (Score &lt; 40.0)"))</f>
        <v/>
      </c>
      <c r="V214" s="26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W214" s="28" t="n">
        <v>0.109</v>
      </c>
      <c r="X214" s="14" t="n">
        <v>49.1</v>
      </c>
      <c r="Y214" s="14">
        <f>ROUND(MIN(100, (X214/69.91)*100), 2)</f>
        <v/>
      </c>
    </row>
    <row r="215">
      <c r="A215" s="10" t="n">
        <v>3</v>
      </c>
      <c r="B215" s="10" t="n">
        <v>211</v>
      </c>
      <c r="C215" s="10" t="n">
        <v>2211</v>
      </c>
      <c r="D215" s="10" t="inlineStr">
        <is>
          <t>0402106043</t>
        </is>
      </c>
      <c r="E215" s="26" t="inlineStr">
        <is>
          <t>Region IV-A (CALABARZON)</t>
        </is>
      </c>
      <c r="F215" s="26" t="inlineStr">
        <is>
          <t>Cavite</t>
        </is>
      </c>
      <c r="G215" s="26" t="inlineStr">
        <is>
          <t>City of Dasmariñas</t>
        </is>
      </c>
      <c r="H215" s="26" t="inlineStr">
        <is>
          <t>Santa Lucia</t>
        </is>
      </c>
      <c r="I215" s="27" t="n">
        <v>14.321552</v>
      </c>
      <c r="J215" s="27" t="n">
        <v>120.944495</v>
      </c>
      <c r="K215" s="10" t="inlineStr">
        <is>
          <t>U</t>
        </is>
      </c>
      <c r="L215" s="12" t="n">
        <v>5826</v>
      </c>
      <c r="M215" s="14" t="n">
        <v>3.4</v>
      </c>
      <c r="N215" s="12">
        <f>ROUND(L215/M215, 0)</f>
        <v/>
      </c>
      <c r="O215" s="12">
        <f>ROUND(N215*'Methodology &amp; Assumptions'!$B$5, 0)</f>
        <v/>
      </c>
      <c r="P215" s="10" t="inlineStr">
        <is>
          <t>Single Carrier (Band n50, 100MHz TDD)</t>
        </is>
      </c>
      <c r="Q215" s="13">
        <f>ROUNDUP(O215/'Methodology &amp; Assumptions'!$B$6, 0)</f>
        <v/>
      </c>
      <c r="R215" s="13" t="n">
        <v>1</v>
      </c>
      <c r="S215" s="14" t="n">
        <v>2.5</v>
      </c>
      <c r="T215" s="14" t="n">
        <v>2.41</v>
      </c>
      <c r="U215" s="26">
        <f>IF(X215&gt;='Methodology &amp; Assumptions'!$B$7, "Tier 1 Critical GIDA (Score ≥ 50.0)", IF(X215&gt;='Methodology &amp; Assumptions'!$B$8, "Tier 2 High GIDA (Score 40.0–49.9)", "Tier 3 Moderate GIDA (Score &lt; 40.0)"))</f>
        <v/>
      </c>
      <c r="V215" s="26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W215" s="28" t="n">
        <v>0.07200000000000001</v>
      </c>
      <c r="X215" s="14" t="n">
        <v>49.1</v>
      </c>
      <c r="Y215" s="14">
        <f>ROUND(MIN(100, (X215/69.91)*100), 2)</f>
        <v/>
      </c>
    </row>
    <row r="216">
      <c r="A216" s="10" t="n">
        <v>3</v>
      </c>
      <c r="B216" s="10" t="n">
        <v>212</v>
      </c>
      <c r="C216" s="10" t="n">
        <v>2212</v>
      </c>
      <c r="D216" s="10" t="inlineStr">
        <is>
          <t>1903612039</t>
        </is>
      </c>
      <c r="E216" s="26" t="inlineStr">
        <is>
          <t>Bangsamoro Autonomous Region In Muslim Mindanao (BARMM)</t>
        </is>
      </c>
      <c r="F216" s="26" t="inlineStr">
        <is>
          <t>Lanao del Sur</t>
        </is>
      </c>
      <c r="G216" s="26" t="inlineStr">
        <is>
          <t>Lumbatan</t>
        </is>
      </c>
      <c r="H216" s="26" t="inlineStr">
        <is>
          <t>Picotaan</t>
        </is>
      </c>
      <c r="I216" s="27" t="n">
        <v>17.254802</v>
      </c>
      <c r="J216" s="27" t="n">
        <v>122.228846</v>
      </c>
      <c r="K216" s="10" t="inlineStr">
        <is>
          <t>R</t>
        </is>
      </c>
      <c r="L216" s="12" t="n">
        <v>2403</v>
      </c>
      <c r="M216" s="14" t="n">
        <v>5.7</v>
      </c>
      <c r="N216" s="12">
        <f>ROUND(L216/M216, 0)</f>
        <v/>
      </c>
      <c r="O216" s="12">
        <f>ROUND(N216*'Methodology &amp; Assumptions'!$B$5, 0)</f>
        <v/>
      </c>
      <c r="P216" s="10" t="inlineStr">
        <is>
          <t>Single Carrier (Band n50, 100MHz TDD)</t>
        </is>
      </c>
      <c r="Q216" s="13">
        <f>ROUNDUP(O216/'Methodology &amp; Assumptions'!$B$6, 0)</f>
        <v/>
      </c>
      <c r="R216" s="13" t="n">
        <v>1</v>
      </c>
      <c r="S216" s="14" t="n">
        <v>29.41</v>
      </c>
      <c r="T216" s="14" t="n">
        <v>34.29</v>
      </c>
      <c r="U216" s="26">
        <f>IF(X216&gt;='Methodology &amp; Assumptions'!$B$7, "Tier 1 Critical GIDA (Score ≥ 50.0)", IF(X216&gt;='Methodology &amp; Assumptions'!$B$8, "Tier 2 High GIDA (Score 40.0–49.9)", "Tier 3 Moderate GIDA (Score &lt; 40.0)"))</f>
        <v/>
      </c>
      <c r="V216" s="26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W216" s="28" t="n">
        <v>0.11</v>
      </c>
      <c r="X216" s="14" t="n">
        <v>49.1</v>
      </c>
      <c r="Y216" s="14">
        <f>ROUND(MIN(100, (X216/69.91)*100), 2)</f>
        <v/>
      </c>
    </row>
    <row r="217">
      <c r="A217" s="10" t="n">
        <v>3</v>
      </c>
      <c r="B217" s="10" t="n">
        <v>213</v>
      </c>
      <c r="C217" s="10" t="n">
        <v>2213</v>
      </c>
      <c r="D217" s="10" t="inlineStr">
        <is>
          <t>1381100006</t>
        </is>
      </c>
      <c r="E217" s="26" t="inlineStr">
        <is>
          <t>National Capital Region (NCR)</t>
        </is>
      </c>
      <c r="F217" s="26" t="inlineStr">
        <is>
          <t>Fourth District (Not a Province)</t>
        </is>
      </c>
      <c r="G217" s="26" t="inlineStr">
        <is>
          <t>Pasay City</t>
        </is>
      </c>
      <c r="H217" s="26" t="inlineStr">
        <is>
          <t>Barangay 6</t>
        </is>
      </c>
      <c r="I217" s="27" t="n">
        <v>14.593428</v>
      </c>
      <c r="J217" s="27" t="n">
        <v>120.872747</v>
      </c>
      <c r="K217" s="10" t="inlineStr">
        <is>
          <t>U</t>
        </is>
      </c>
      <c r="L217" s="12" t="n">
        <v>476</v>
      </c>
      <c r="M217" s="14" t="n">
        <v>3.4</v>
      </c>
      <c r="N217" s="12">
        <f>ROUND(L217/M217, 0)</f>
        <v/>
      </c>
      <c r="O217" s="12">
        <f>ROUND(N217*'Methodology &amp; Assumptions'!$B$5, 0)</f>
        <v/>
      </c>
      <c r="P217" s="10" t="inlineStr">
        <is>
          <t>Single Carrier (Band n50, 100MHz TDD)</t>
        </is>
      </c>
      <c r="Q217" s="13">
        <f>ROUNDUP(O217/'Methodology &amp; Assumptions'!$B$6, 0)</f>
        <v/>
      </c>
      <c r="R217" s="13" t="n">
        <v>1</v>
      </c>
      <c r="S217" s="14" t="n">
        <v>9.539999999999999</v>
      </c>
      <c r="T217" s="14" t="n">
        <v>10.2</v>
      </c>
      <c r="U217" s="26">
        <f>IF(X217&gt;='Methodology &amp; Assumptions'!$B$7, "Tier 1 Critical GIDA (Score ≥ 50.0)", IF(X217&gt;='Methodology &amp; Assumptions'!$B$8, "Tier 2 High GIDA (Score 40.0–49.9)", "Tier 3 Moderate GIDA (Score &lt; 40.0)"))</f>
        <v/>
      </c>
      <c r="V217" s="26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W217" s="28" t="n">
        <v>0.109</v>
      </c>
      <c r="X217" s="14" t="n">
        <v>49.1</v>
      </c>
      <c r="Y217" s="14">
        <f>ROUND(MIN(100, (X217/69.91)*100), 2)</f>
        <v/>
      </c>
    </row>
    <row r="218">
      <c r="A218" s="10" t="n">
        <v>3</v>
      </c>
      <c r="B218" s="10" t="n">
        <v>214</v>
      </c>
      <c r="C218" s="10" t="n">
        <v>2214</v>
      </c>
      <c r="D218" s="10" t="inlineStr">
        <is>
          <t>1381100182</t>
        </is>
      </c>
      <c r="E218" s="26" t="inlineStr">
        <is>
          <t>National Capital Region (NCR)</t>
        </is>
      </c>
      <c r="F218" s="26" t="inlineStr">
        <is>
          <t>Fourth District (Not a Province)</t>
        </is>
      </c>
      <c r="G218" s="26" t="inlineStr">
        <is>
          <t>Pasay City</t>
        </is>
      </c>
      <c r="H218" s="26" t="inlineStr">
        <is>
          <t>Barangay 182</t>
        </is>
      </c>
      <c r="I218" s="27" t="n">
        <v>14.58831</v>
      </c>
      <c r="J218" s="27" t="n">
        <v>121.13823</v>
      </c>
      <c r="K218" s="10" t="inlineStr">
        <is>
          <t>U</t>
        </is>
      </c>
      <c r="L218" s="12" t="n">
        <v>2989</v>
      </c>
      <c r="M218" s="14" t="n">
        <v>3.4</v>
      </c>
      <c r="N218" s="12">
        <f>ROUND(L218/M218, 0)</f>
        <v/>
      </c>
      <c r="O218" s="12">
        <f>ROUND(N218*'Methodology &amp; Assumptions'!$B$5, 0)</f>
        <v/>
      </c>
      <c r="P218" s="10" t="inlineStr">
        <is>
          <t>Single Carrier (Band n50, 100MHz TDD)</t>
        </is>
      </c>
      <c r="Q218" s="13">
        <f>ROUNDUP(O218/'Methodology &amp; Assumptions'!$B$6, 0)</f>
        <v/>
      </c>
      <c r="R218" s="13" t="n">
        <v>1</v>
      </c>
      <c r="S218" s="14" t="n">
        <v>1.5</v>
      </c>
      <c r="T218" s="14" t="n">
        <v>0.97</v>
      </c>
      <c r="U218" s="26">
        <f>IF(X218&gt;='Methodology &amp; Assumptions'!$B$7, "Tier 1 Critical GIDA (Score ≥ 50.0)", IF(X218&gt;='Methodology &amp; Assumptions'!$B$8, "Tier 2 High GIDA (Score 40.0–49.9)", "Tier 3 Moderate GIDA (Score &lt; 40.0)"))</f>
        <v/>
      </c>
      <c r="V218" s="26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W218" s="28" t="n">
        <v>0.109</v>
      </c>
      <c r="X218" s="14" t="n">
        <v>49.1</v>
      </c>
      <c r="Y218" s="14">
        <f>ROUND(MIN(100, (X218/69.91)*100), 2)</f>
        <v/>
      </c>
    </row>
    <row r="219">
      <c r="A219" s="10" t="n">
        <v>3</v>
      </c>
      <c r="B219" s="10" t="n">
        <v>215</v>
      </c>
      <c r="C219" s="10" t="n">
        <v>2215</v>
      </c>
      <c r="D219" s="10" t="inlineStr">
        <is>
          <t>0402106050</t>
        </is>
      </c>
      <c r="E219" s="26" t="inlineStr">
        <is>
          <t>Region IV-A (CALABARZON)</t>
        </is>
      </c>
      <c r="F219" s="26" t="inlineStr">
        <is>
          <t>Cavite</t>
        </is>
      </c>
      <c r="G219" s="26" t="inlineStr">
        <is>
          <t>City of Dasmariñas</t>
        </is>
      </c>
      <c r="H219" s="26" t="inlineStr">
        <is>
          <t>Emmanuel Bergado II</t>
        </is>
      </c>
      <c r="I219" s="27" t="n">
        <v>14.319874</v>
      </c>
      <c r="J219" s="27" t="n">
        <v>120.978641</v>
      </c>
      <c r="K219" s="10" t="inlineStr">
        <is>
          <t>R</t>
        </is>
      </c>
      <c r="L219" s="12" t="n">
        <v>2943</v>
      </c>
      <c r="M219" s="14" t="n">
        <v>3.4</v>
      </c>
      <c r="N219" s="12">
        <f>ROUND(L219/M219, 0)</f>
        <v/>
      </c>
      <c r="O219" s="12">
        <f>ROUND(N219*'Methodology &amp; Assumptions'!$B$5, 0)</f>
        <v/>
      </c>
      <c r="P219" s="10" t="inlineStr">
        <is>
          <t>Single Carrier (Band n50, 100MHz TDD)</t>
        </is>
      </c>
      <c r="Q219" s="13">
        <f>ROUNDUP(O219/'Methodology &amp; Assumptions'!$B$6, 0)</f>
        <v/>
      </c>
      <c r="R219" s="13" t="n">
        <v>1</v>
      </c>
      <c r="S219" s="14" t="n">
        <v>0.51</v>
      </c>
      <c r="T219" s="14" t="n">
        <v>3.18</v>
      </c>
      <c r="U219" s="26">
        <f>IF(X219&gt;='Methodology &amp; Assumptions'!$B$7, "Tier 1 Critical GIDA (Score ≥ 50.0)", IF(X219&gt;='Methodology &amp; Assumptions'!$B$8, "Tier 2 High GIDA (Score 40.0–49.9)", "Tier 3 Moderate GIDA (Score &lt; 40.0)"))</f>
        <v/>
      </c>
      <c r="V219" s="26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W219" s="28" t="n">
        <v>0.07200000000000001</v>
      </c>
      <c r="X219" s="14" t="n">
        <v>49.1</v>
      </c>
      <c r="Y219" s="14">
        <f>ROUND(MIN(100, (X219/69.91)*100), 2)</f>
        <v/>
      </c>
    </row>
    <row r="220">
      <c r="A220" s="10" t="n">
        <v>3</v>
      </c>
      <c r="B220" s="10" t="n">
        <v>216</v>
      </c>
      <c r="C220" s="10" t="n">
        <v>2216</v>
      </c>
      <c r="D220" s="10" t="inlineStr">
        <is>
          <t>1380601155</t>
        </is>
      </c>
      <c r="E220" s="26" t="inlineStr">
        <is>
          <t>National Capital Region (NCR)</t>
        </is>
      </c>
      <c r="F220" s="26" t="inlineStr">
        <is>
          <t>First District (Not a Province)</t>
        </is>
      </c>
      <c r="G220" s="26" t="inlineStr">
        <is>
          <t>City of Manila</t>
        </is>
      </c>
      <c r="H220" s="26" t="inlineStr">
        <is>
          <t>Barangay 155</t>
        </is>
      </c>
      <c r="I220" s="27" t="n">
        <v>13.5858</v>
      </c>
      <c r="J220" s="27" t="n">
        <v>121.742375</v>
      </c>
      <c r="K220" s="10" t="inlineStr">
        <is>
          <t>U</t>
        </is>
      </c>
      <c r="L220" s="12" t="n">
        <v>3356</v>
      </c>
      <c r="M220" s="14" t="n">
        <v>3.9</v>
      </c>
      <c r="N220" s="12">
        <f>ROUND(L220/M220, 0)</f>
        <v/>
      </c>
      <c r="O220" s="12">
        <f>ROUND(N220*'Methodology &amp; Assumptions'!$B$5, 0)</f>
        <v/>
      </c>
      <c r="P220" s="10" t="inlineStr">
        <is>
          <t>Single Carrier (Band n50, 100MHz TDD)</t>
        </is>
      </c>
      <c r="Q220" s="13">
        <f>ROUNDUP(O220/'Methodology &amp; Assumptions'!$B$6, 0)</f>
        <v/>
      </c>
      <c r="R220" s="13" t="n">
        <v>1</v>
      </c>
      <c r="S220" s="14" t="n">
        <v>35.6</v>
      </c>
      <c r="T220" s="14" t="n">
        <v>36.49</v>
      </c>
      <c r="U220" s="26">
        <f>IF(X220&gt;='Methodology &amp; Assumptions'!$B$7, "Tier 1 Critical GIDA (Score ≥ 50.0)", IF(X220&gt;='Methodology &amp; Assumptions'!$B$8, "Tier 2 High GIDA (Score 40.0–49.9)", "Tier 3 Moderate GIDA (Score &lt; 40.0)"))</f>
        <v/>
      </c>
      <c r="V220" s="26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W220" s="28" t="n">
        <v>0.109</v>
      </c>
      <c r="X220" s="14" t="n">
        <v>49.1</v>
      </c>
      <c r="Y220" s="14">
        <f>ROUND(MIN(100, (X220/69.91)*100), 2)</f>
        <v/>
      </c>
    </row>
    <row r="221">
      <c r="A221" s="10" t="n">
        <v>3</v>
      </c>
      <c r="B221" s="10" t="n">
        <v>217</v>
      </c>
      <c r="C221" s="10" t="n">
        <v>2217</v>
      </c>
      <c r="D221" s="10" t="inlineStr">
        <is>
          <t>1380601225</t>
        </is>
      </c>
      <c r="E221" s="26" t="inlineStr">
        <is>
          <t>National Capital Region (NCR)</t>
        </is>
      </c>
      <c r="F221" s="26" t="inlineStr">
        <is>
          <t>First District (Not a Province)</t>
        </is>
      </c>
      <c r="G221" s="26" t="inlineStr">
        <is>
          <t>City of Manila</t>
        </is>
      </c>
      <c r="H221" s="26" t="inlineStr">
        <is>
          <t>Barangay 224</t>
        </is>
      </c>
      <c r="I221" s="27" t="n">
        <v>12.378982</v>
      </c>
      <c r="J221" s="27" t="n">
        <v>122.287641</v>
      </c>
      <c r="K221" s="10" t="inlineStr">
        <is>
          <t>U</t>
        </is>
      </c>
      <c r="L221" s="12" t="n">
        <v>1101</v>
      </c>
      <c r="M221" s="14" t="n">
        <v>3.9</v>
      </c>
      <c r="N221" s="12">
        <f>ROUND(L221/M221, 0)</f>
        <v/>
      </c>
      <c r="O221" s="12">
        <f>ROUND(N221*'Methodology &amp; Assumptions'!$B$5, 0)</f>
        <v/>
      </c>
      <c r="P221" s="10" t="inlineStr">
        <is>
          <t>Single Carrier (Band n50, 100MHz TDD)</t>
        </is>
      </c>
      <c r="Q221" s="13">
        <f>ROUNDUP(O221/'Methodology &amp; Assumptions'!$B$6, 0)</f>
        <v/>
      </c>
      <c r="R221" s="13" t="n">
        <v>1</v>
      </c>
      <c r="S221" s="14" t="n">
        <v>60.61</v>
      </c>
      <c r="T221" s="14" t="n">
        <v>43.36</v>
      </c>
      <c r="U221" s="26">
        <f>IF(X221&gt;='Methodology &amp; Assumptions'!$B$7, "Tier 1 Critical GIDA (Score ≥ 50.0)", IF(X221&gt;='Methodology &amp; Assumptions'!$B$8, "Tier 2 High GIDA (Score 40.0–49.9)", "Tier 3 Moderate GIDA (Score &lt; 40.0)"))</f>
        <v/>
      </c>
      <c r="V221" s="26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W221" s="28" t="n">
        <v>0.109</v>
      </c>
      <c r="X221" s="14" t="n">
        <v>49.1</v>
      </c>
      <c r="Y221" s="14">
        <f>ROUND(MIN(100, (X221/69.91)*100), 2)</f>
        <v/>
      </c>
    </row>
    <row r="222">
      <c r="A222" s="10" t="n">
        <v>3</v>
      </c>
      <c r="B222" s="10" t="n">
        <v>218</v>
      </c>
      <c r="C222" s="10" t="n">
        <v>2218</v>
      </c>
      <c r="D222" s="10" t="inlineStr">
        <is>
          <t>1380605075</t>
        </is>
      </c>
      <c r="E222" s="26" t="inlineStr">
        <is>
          <t>National Capital Region (NCR)</t>
        </is>
      </c>
      <c r="F222" s="26" t="inlineStr">
        <is>
          <t>First District (Not a Province)</t>
        </is>
      </c>
      <c r="G222" s="26" t="inlineStr">
        <is>
          <t>City of Manila</t>
        </is>
      </c>
      <c r="H222" s="26" t="inlineStr">
        <is>
          <t>Barangay 372</t>
        </is>
      </c>
      <c r="I222" s="27" t="n">
        <v>12.910647</v>
      </c>
      <c r="J222" s="27" t="n">
        <v>121.04691</v>
      </c>
      <c r="K222" s="10" t="inlineStr">
        <is>
          <t>U</t>
        </is>
      </c>
      <c r="L222" s="12" t="n">
        <v>4262</v>
      </c>
      <c r="M222" s="14" t="n">
        <v>3.9</v>
      </c>
      <c r="N222" s="12">
        <f>ROUND(L222/M222, 0)</f>
        <v/>
      </c>
      <c r="O222" s="12">
        <f>ROUND(N222*'Methodology &amp; Assumptions'!$B$5, 0)</f>
        <v/>
      </c>
      <c r="P222" s="10" t="inlineStr">
        <is>
          <t>Single Carrier (Band n50, 100MHz TDD)</t>
        </is>
      </c>
      <c r="Q222" s="13">
        <f>ROUNDUP(O222/'Methodology &amp; Assumptions'!$B$6, 0)</f>
        <v/>
      </c>
      <c r="R222" s="13" t="n">
        <v>1</v>
      </c>
      <c r="S222" s="14" t="n">
        <v>38.11</v>
      </c>
      <c r="T222" s="14" t="n">
        <v>35.44</v>
      </c>
      <c r="U222" s="26">
        <f>IF(X222&gt;='Methodology &amp; Assumptions'!$B$7, "Tier 1 Critical GIDA (Score ≥ 50.0)", IF(X222&gt;='Methodology &amp; Assumptions'!$B$8, "Tier 2 High GIDA (Score 40.0–49.9)", "Tier 3 Moderate GIDA (Score &lt; 40.0)"))</f>
        <v/>
      </c>
      <c r="V222" s="26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W222" s="28" t="n">
        <v>0.109</v>
      </c>
      <c r="X222" s="14" t="n">
        <v>49.09</v>
      </c>
      <c r="Y222" s="14">
        <f>ROUND(MIN(100, (X222/69.91)*100), 2)</f>
        <v/>
      </c>
    </row>
    <row r="223">
      <c r="A223" s="10" t="n">
        <v>3</v>
      </c>
      <c r="B223" s="10" t="n">
        <v>219</v>
      </c>
      <c r="C223" s="10" t="n">
        <v>2219</v>
      </c>
      <c r="D223" s="10" t="inlineStr">
        <is>
          <t>PH0002219</t>
        </is>
      </c>
      <c r="E223" s="26" t="inlineStr">
        <is>
          <t>NCR</t>
        </is>
      </c>
      <c r="F223" s="26" t="inlineStr">
        <is>
          <t>Metro Manila</t>
        </is>
      </c>
      <c r="G223" s="26" t="inlineStr">
        <is>
          <t>Caloocan City</t>
        </is>
      </c>
      <c r="H223" s="26" t="inlineStr">
        <is>
          <t>Barangay 12</t>
        </is>
      </c>
      <c r="I223" s="27" t="n">
        <v>11.531049</v>
      </c>
      <c r="J223" s="27" t="n">
        <v>121.530059</v>
      </c>
      <c r="K223" s="10" t="inlineStr">
        <is>
          <t>R</t>
        </is>
      </c>
      <c r="L223" s="12" t="n">
        <v>2279</v>
      </c>
      <c r="M223" s="14" t="n">
        <v>3.8</v>
      </c>
      <c r="N223" s="12">
        <f>ROUND(L223/M223, 0)</f>
        <v/>
      </c>
      <c r="O223" s="12">
        <f>ROUND(N223*'Methodology &amp; Assumptions'!$B$5, 0)</f>
        <v/>
      </c>
      <c r="P223" s="10" t="inlineStr">
        <is>
          <t>Single Carrier (Band n50, 100MHz TDD)</t>
        </is>
      </c>
      <c r="Q223" s="13">
        <f>ROUNDUP(O223/'Methodology &amp; Assumptions'!$B$6, 0)</f>
        <v/>
      </c>
      <c r="R223" s="13" t="n">
        <v>1</v>
      </c>
      <c r="S223" s="14" t="n">
        <v>64.81999999999999</v>
      </c>
      <c r="T223" s="14" t="n">
        <v>63.1</v>
      </c>
      <c r="U223" s="26">
        <f>IF(X223&gt;='Methodology &amp; Assumptions'!$B$7, "Tier 1 Critical GIDA (Score ≥ 50.0)", IF(X223&gt;='Methodology &amp; Assumptions'!$B$8, "Tier 2 High GIDA (Score 40.0–49.9)", "Tier 3 Moderate GIDA (Score &lt; 40.0)"))</f>
        <v/>
      </c>
      <c r="V223" s="26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W223" s="28" t="n">
        <v>0.011</v>
      </c>
      <c r="X223" s="14" t="n">
        <v>49.09</v>
      </c>
      <c r="Y223" s="14">
        <f>ROUND(MIN(100, (X223/69.91)*100), 2)</f>
        <v/>
      </c>
    </row>
    <row r="224">
      <c r="A224" s="10" t="n">
        <v>3</v>
      </c>
      <c r="B224" s="10" t="n">
        <v>220</v>
      </c>
      <c r="C224" s="10" t="n">
        <v>2220</v>
      </c>
      <c r="D224" s="10" t="inlineStr">
        <is>
          <t>1380614067</t>
        </is>
      </c>
      <c r="E224" s="26" t="inlineStr">
        <is>
          <t>National Capital Region (NCR)</t>
        </is>
      </c>
      <c r="F224" s="26" t="inlineStr">
        <is>
          <t>First District (Not a Province)</t>
        </is>
      </c>
      <c r="G224" s="26" t="inlineStr">
        <is>
          <t>City of Manila</t>
        </is>
      </c>
      <c r="H224" s="26" t="inlineStr">
        <is>
          <t>Barangay 874</t>
        </is>
      </c>
      <c r="I224" s="27" t="n">
        <v>13.336607</v>
      </c>
      <c r="J224" s="27" t="n">
        <v>122.332575</v>
      </c>
      <c r="K224" s="10" t="inlineStr">
        <is>
          <t>U</t>
        </is>
      </c>
      <c r="L224" s="12" t="n">
        <v>2077</v>
      </c>
      <c r="M224" s="14" t="n">
        <v>3.9</v>
      </c>
      <c r="N224" s="12">
        <f>ROUND(L224/M224, 0)</f>
        <v/>
      </c>
      <c r="O224" s="12">
        <f>ROUND(N224*'Methodology &amp; Assumptions'!$B$5, 0)</f>
        <v/>
      </c>
      <c r="P224" s="10" t="inlineStr">
        <is>
          <t>Single Carrier (Band n50, 100MHz TDD)</t>
        </is>
      </c>
      <c r="Q224" s="13">
        <f>ROUNDUP(O224/'Methodology &amp; Assumptions'!$B$6, 0)</f>
        <v/>
      </c>
      <c r="R224" s="13" t="n">
        <v>1</v>
      </c>
      <c r="S224" s="14" t="n">
        <v>20.19</v>
      </c>
      <c r="T224" s="14" t="n">
        <v>22.23</v>
      </c>
      <c r="U224" s="26">
        <f>IF(X224&gt;='Methodology &amp; Assumptions'!$B$7, "Tier 1 Critical GIDA (Score ≥ 50.0)", IF(X224&gt;='Methodology &amp; Assumptions'!$B$8, "Tier 2 High GIDA (Score 40.0–49.9)", "Tier 3 Moderate GIDA (Score &lt; 40.0)"))</f>
        <v/>
      </c>
      <c r="V224" s="26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W224" s="28" t="n">
        <v>0.109</v>
      </c>
      <c r="X224" s="14" t="n">
        <v>49.09</v>
      </c>
      <c r="Y224" s="14">
        <f>ROUND(MIN(100, (X224/69.91)*100), 2)</f>
        <v/>
      </c>
    </row>
    <row r="225">
      <c r="A225" s="10" t="n">
        <v>3</v>
      </c>
      <c r="B225" s="10" t="n">
        <v>221</v>
      </c>
      <c r="C225" s="10" t="n">
        <v>2221</v>
      </c>
      <c r="D225" s="10" t="inlineStr">
        <is>
          <t>0502006027</t>
        </is>
      </c>
      <c r="E225" s="26" t="inlineStr">
        <is>
          <t>Region V (Bicol Region)</t>
        </is>
      </c>
      <c r="F225" s="26" t="inlineStr">
        <is>
          <t>Catanduanes</t>
        </is>
      </c>
      <c r="G225" s="26" t="inlineStr">
        <is>
          <t>Pandan</t>
        </is>
      </c>
      <c r="H225" s="26" t="inlineStr">
        <is>
          <t>Wagdas</t>
        </is>
      </c>
      <c r="I225" s="27" t="n">
        <v>14.036443</v>
      </c>
      <c r="J225" s="27" t="n">
        <v>124.186702</v>
      </c>
      <c r="K225" s="10" t="inlineStr">
        <is>
          <t>R</t>
        </is>
      </c>
      <c r="L225" s="12" t="n">
        <v>638</v>
      </c>
      <c r="M225" s="14" t="n">
        <v>4.2</v>
      </c>
      <c r="N225" s="12">
        <f>ROUND(L225/M225, 0)</f>
        <v/>
      </c>
      <c r="O225" s="12">
        <f>ROUND(N225*'Methodology &amp; Assumptions'!$B$5, 0)</f>
        <v/>
      </c>
      <c r="P225" s="10" t="inlineStr">
        <is>
          <t>Single Carrier (Band n50, 100MHz TDD)</t>
        </is>
      </c>
      <c r="Q225" s="13">
        <f>ROUNDUP(O225/'Methodology &amp; Assumptions'!$B$6, 0)</f>
        <v/>
      </c>
      <c r="R225" s="13" t="n">
        <v>1</v>
      </c>
      <c r="S225" s="14" t="n">
        <v>45.47</v>
      </c>
      <c r="T225" s="14" t="n">
        <v>84.2</v>
      </c>
      <c r="U225" s="26">
        <f>IF(X225&gt;='Methodology &amp; Assumptions'!$B$7, "Tier 1 Critical GIDA (Score ≥ 50.0)", IF(X225&gt;='Methodology &amp; Assumptions'!$B$8, "Tier 2 High GIDA (Score 40.0–49.9)", "Tier 3 Moderate GIDA (Score &lt; 40.0)"))</f>
        <v/>
      </c>
      <c r="V225" s="26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W225" s="28" t="n">
        <v>0.237</v>
      </c>
      <c r="X225" s="14" t="n">
        <v>49.09</v>
      </c>
      <c r="Y225" s="14">
        <f>ROUND(MIN(100, (X225/69.91)*100), 2)</f>
        <v/>
      </c>
    </row>
    <row r="226">
      <c r="A226" s="10" t="n">
        <v>3</v>
      </c>
      <c r="B226" s="10" t="n">
        <v>222</v>
      </c>
      <c r="C226" s="10" t="n">
        <v>2222</v>
      </c>
      <c r="D226" s="10" t="inlineStr">
        <is>
          <t>1380601222</t>
        </is>
      </c>
      <c r="E226" s="26" t="inlineStr">
        <is>
          <t>National Capital Region (NCR)</t>
        </is>
      </c>
      <c r="F226" s="26" t="inlineStr">
        <is>
          <t>First District (Not a Province)</t>
        </is>
      </c>
      <c r="G226" s="26" t="inlineStr">
        <is>
          <t>City of Manila</t>
        </is>
      </c>
      <c r="H226" s="26" t="inlineStr">
        <is>
          <t>Barangay 221</t>
        </is>
      </c>
      <c r="I226" s="27" t="n">
        <v>12.173621</v>
      </c>
      <c r="J226" s="27" t="n">
        <v>121.678644</v>
      </c>
      <c r="K226" s="10" t="inlineStr">
        <is>
          <t>U</t>
        </is>
      </c>
      <c r="L226" s="12" t="n">
        <v>3455</v>
      </c>
      <c r="M226" s="14" t="n">
        <v>3.9</v>
      </c>
      <c r="N226" s="12">
        <f>ROUND(L226/M226, 0)</f>
        <v/>
      </c>
      <c r="O226" s="12">
        <f>ROUND(N226*'Methodology &amp; Assumptions'!$B$5, 0)</f>
        <v/>
      </c>
      <c r="P226" s="10" t="inlineStr">
        <is>
          <t>Single Carrier (Band n50, 100MHz TDD)</t>
        </is>
      </c>
      <c r="Q226" s="13">
        <f>ROUNDUP(O226/'Methodology &amp; Assumptions'!$B$6, 0)</f>
        <v/>
      </c>
      <c r="R226" s="13" t="n">
        <v>1</v>
      </c>
      <c r="S226" s="14" t="n">
        <v>38.36</v>
      </c>
      <c r="T226" s="14" t="n">
        <v>11.14</v>
      </c>
      <c r="U226" s="26">
        <f>IF(X226&gt;='Methodology &amp; Assumptions'!$B$7, "Tier 1 Critical GIDA (Score ≥ 50.0)", IF(X226&gt;='Methodology &amp; Assumptions'!$B$8, "Tier 2 High GIDA (Score 40.0–49.9)", "Tier 3 Moderate GIDA (Score &lt; 40.0)"))</f>
        <v/>
      </c>
      <c r="V226" s="26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W226" s="28" t="n">
        <v>0.109</v>
      </c>
      <c r="X226" s="14" t="n">
        <v>49.09</v>
      </c>
      <c r="Y226" s="14">
        <f>ROUND(MIN(100, (X226/69.91)*100), 2)</f>
        <v/>
      </c>
    </row>
    <row r="227">
      <c r="A227" s="10" t="n">
        <v>3</v>
      </c>
      <c r="B227" s="10" t="n">
        <v>223</v>
      </c>
      <c r="C227" s="10" t="n">
        <v>2223</v>
      </c>
      <c r="D227" s="10" t="inlineStr">
        <is>
          <t>1380610057</t>
        </is>
      </c>
      <c r="E227" s="26" t="inlineStr">
        <is>
          <t>National Capital Region (NCR)</t>
        </is>
      </c>
      <c r="F227" s="26" t="inlineStr">
        <is>
          <t>First District (Not a Province)</t>
        </is>
      </c>
      <c r="G227" s="26" t="inlineStr">
        <is>
          <t>City of Manila</t>
        </is>
      </c>
      <c r="H227" s="26" t="inlineStr">
        <is>
          <t>Barangay 743</t>
        </is>
      </c>
      <c r="I227" s="27" t="n">
        <v>13.464182</v>
      </c>
      <c r="J227" s="27" t="n">
        <v>121.354179</v>
      </c>
      <c r="K227" s="10" t="inlineStr">
        <is>
          <t>U</t>
        </is>
      </c>
      <c r="L227" s="12" t="n">
        <v>1656</v>
      </c>
      <c r="M227" s="14" t="n">
        <v>3.9</v>
      </c>
      <c r="N227" s="12">
        <f>ROUND(L227/M227, 0)</f>
        <v/>
      </c>
      <c r="O227" s="12">
        <f>ROUND(N227*'Methodology &amp; Assumptions'!$B$5, 0)</f>
        <v/>
      </c>
      <c r="P227" s="10" t="inlineStr">
        <is>
          <t>Single Carrier (Band n50, 100MHz TDD)</t>
        </is>
      </c>
      <c r="Q227" s="13">
        <f>ROUNDUP(O227/'Methodology &amp; Assumptions'!$B$6, 0)</f>
        <v/>
      </c>
      <c r="R227" s="13" t="n">
        <v>1</v>
      </c>
      <c r="S227" s="14" t="n">
        <v>16.83</v>
      </c>
      <c r="T227" s="14" t="n">
        <v>22.68</v>
      </c>
      <c r="U227" s="26">
        <f>IF(X227&gt;='Methodology &amp; Assumptions'!$B$7, "Tier 1 Critical GIDA (Score ≥ 50.0)", IF(X227&gt;='Methodology &amp; Assumptions'!$B$8, "Tier 2 High GIDA (Score 40.0–49.9)", "Tier 3 Moderate GIDA (Score &lt; 40.0)"))</f>
        <v/>
      </c>
      <c r="V227" s="26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W227" s="28" t="n">
        <v>0.109</v>
      </c>
      <c r="X227" s="14" t="n">
        <v>49.09</v>
      </c>
      <c r="Y227" s="14">
        <f>ROUND(MIN(100, (X227/69.91)*100), 2)</f>
        <v/>
      </c>
    </row>
    <row r="228">
      <c r="A228" s="10" t="n">
        <v>3</v>
      </c>
      <c r="B228" s="10" t="n">
        <v>224</v>
      </c>
      <c r="C228" s="10" t="n">
        <v>2224</v>
      </c>
      <c r="D228" s="10" t="inlineStr">
        <is>
          <t>1403213038</t>
        </is>
      </c>
      <c r="E228" s="26" t="inlineStr">
        <is>
          <t>Cordillera Administrative Region (CAR)</t>
        </is>
      </c>
      <c r="F228" s="26" t="inlineStr">
        <is>
          <t>Kalinga</t>
        </is>
      </c>
      <c r="G228" s="26" t="inlineStr">
        <is>
          <t>City of Tabuk</t>
        </is>
      </c>
      <c r="H228" s="26" t="inlineStr">
        <is>
          <t>Lacnog</t>
        </is>
      </c>
      <c r="I228" s="27" t="n">
        <v>17.398047</v>
      </c>
      <c r="J228" s="27" t="n">
        <v>121.513124</v>
      </c>
      <c r="K228" s="10" t="inlineStr">
        <is>
          <t>R</t>
        </is>
      </c>
      <c r="L228" s="12" t="n">
        <v>3315</v>
      </c>
      <c r="M228" s="14" t="n">
        <v>4.3</v>
      </c>
      <c r="N228" s="12">
        <f>ROUND(L228/M228, 0)</f>
        <v/>
      </c>
      <c r="O228" s="12">
        <f>ROUND(N228*'Methodology &amp; Assumptions'!$B$5, 0)</f>
        <v/>
      </c>
      <c r="P228" s="10" t="inlineStr">
        <is>
          <t>Single Carrier (Band n50, 100MHz TDD)</t>
        </is>
      </c>
      <c r="Q228" s="13">
        <f>ROUNDUP(O228/'Methodology &amp; Assumptions'!$B$6, 0)</f>
        <v/>
      </c>
      <c r="R228" s="13" t="n">
        <v>1</v>
      </c>
      <c r="S228" s="14" t="n">
        <v>2.49</v>
      </c>
      <c r="T228" s="14" t="n">
        <v>4.47</v>
      </c>
      <c r="U228" s="26">
        <f>IF(X228&gt;='Methodology &amp; Assumptions'!$B$7, "Tier 1 Critical GIDA (Score ≥ 50.0)", IF(X228&gt;='Methodology &amp; Assumptions'!$B$8, "Tier 2 High GIDA (Score 40.0–49.9)", "Tier 3 Moderate GIDA (Score &lt; 40.0)"))</f>
        <v/>
      </c>
      <c r="V228" s="26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W228" s="28" t="n">
        <v>0.109</v>
      </c>
      <c r="X228" s="14" t="n">
        <v>49.09</v>
      </c>
      <c r="Y228" s="14">
        <f>ROUND(MIN(100, (X228/69.91)*100), 2)</f>
        <v/>
      </c>
    </row>
    <row r="229">
      <c r="A229" s="10" t="n">
        <v>3</v>
      </c>
      <c r="B229" s="10" t="n">
        <v>225</v>
      </c>
      <c r="C229" s="10" t="n">
        <v>2225</v>
      </c>
      <c r="D229" s="10" t="inlineStr">
        <is>
          <t>1380605025</t>
        </is>
      </c>
      <c r="E229" s="26" t="inlineStr">
        <is>
          <t>National Capital Region (NCR)</t>
        </is>
      </c>
      <c r="F229" s="26" t="inlineStr">
        <is>
          <t>First District (Not a Province)</t>
        </is>
      </c>
      <c r="G229" s="26" t="inlineStr">
        <is>
          <t>City of Manila</t>
        </is>
      </c>
      <c r="H229" s="26" t="inlineStr">
        <is>
          <t>Barangay 323</t>
        </is>
      </c>
      <c r="I229" s="27" t="n">
        <v>12.724974</v>
      </c>
      <c r="J229" s="27" t="n">
        <v>122.489938</v>
      </c>
      <c r="K229" s="10" t="inlineStr">
        <is>
          <t>U</t>
        </is>
      </c>
      <c r="L229" s="12" t="n">
        <v>1092</v>
      </c>
      <c r="M229" s="14" t="n">
        <v>3.9</v>
      </c>
      <c r="N229" s="12">
        <f>ROUND(L229/M229, 0)</f>
        <v/>
      </c>
      <c r="O229" s="12">
        <f>ROUND(N229*'Methodology &amp; Assumptions'!$B$5, 0)</f>
        <v/>
      </c>
      <c r="P229" s="10" t="inlineStr">
        <is>
          <t>Single Carrier (Band n50, 100MHz TDD)</t>
        </is>
      </c>
      <c r="Q229" s="13">
        <f>ROUNDUP(O229/'Methodology &amp; Assumptions'!$B$6, 0)</f>
        <v/>
      </c>
      <c r="R229" s="13" t="n">
        <v>1</v>
      </c>
      <c r="S229" s="14" t="n">
        <v>59.2</v>
      </c>
      <c r="T229" s="14" t="n">
        <v>85.31999999999999</v>
      </c>
      <c r="U229" s="26">
        <f>IF(X229&gt;='Methodology &amp; Assumptions'!$B$7, "Tier 1 Critical GIDA (Score ≥ 50.0)", IF(X229&gt;='Methodology &amp; Assumptions'!$B$8, "Tier 2 High GIDA (Score 40.0–49.9)", "Tier 3 Moderate GIDA (Score &lt; 40.0)"))</f>
        <v/>
      </c>
      <c r="V229" s="26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W229" s="28" t="n">
        <v>0.109</v>
      </c>
      <c r="X229" s="14" t="n">
        <v>49.09</v>
      </c>
      <c r="Y229" s="14">
        <f>ROUND(MIN(100, (X229/69.91)*100), 2)</f>
        <v/>
      </c>
    </row>
    <row r="230">
      <c r="A230" s="10" t="n">
        <v>3</v>
      </c>
      <c r="B230" s="10" t="n">
        <v>226</v>
      </c>
      <c r="C230" s="10" t="n">
        <v>2226</v>
      </c>
      <c r="D230" s="10" t="inlineStr">
        <is>
          <t>0200903002</t>
        </is>
      </c>
      <c r="E230" s="26" t="inlineStr">
        <is>
          <t>Region II (Cagayan Valley)</t>
        </is>
      </c>
      <c r="F230" s="26" t="inlineStr">
        <is>
          <t>Batanes</t>
        </is>
      </c>
      <c r="G230" s="26" t="inlineStr">
        <is>
          <t>Ivana</t>
        </is>
      </c>
      <c r="H230" s="26" t="inlineStr">
        <is>
          <t>Salagao</t>
        </is>
      </c>
      <c r="I230" s="27" t="n">
        <v>20.372659</v>
      </c>
      <c r="J230" s="27" t="n">
        <v>121.910197</v>
      </c>
      <c r="K230" s="10" t="inlineStr">
        <is>
          <t>R</t>
        </is>
      </c>
      <c r="L230" s="12" t="n">
        <v>370</v>
      </c>
      <c r="M230" s="14" t="n">
        <v>3</v>
      </c>
      <c r="N230" s="12">
        <f>ROUND(L230/M230, 0)</f>
        <v/>
      </c>
      <c r="O230" s="12">
        <f>ROUND(N230*'Methodology &amp; Assumptions'!$B$5, 0)</f>
        <v/>
      </c>
      <c r="P230" s="10" t="inlineStr">
        <is>
          <t>Single Carrier (Band n50, 100MHz TDD)</t>
        </is>
      </c>
      <c r="Q230" s="13">
        <f>ROUNDUP(O230/'Methodology &amp; Assumptions'!$B$6, 0)</f>
        <v/>
      </c>
      <c r="R230" s="13" t="n">
        <v>1</v>
      </c>
      <c r="S230" s="14" t="n">
        <v>213.75</v>
      </c>
      <c r="T230" s="14" t="n">
        <v>209.54</v>
      </c>
      <c r="U230" s="26">
        <f>IF(X230&gt;='Methodology &amp; Assumptions'!$B$7, "Tier 1 Critical GIDA (Score ≥ 50.0)", IF(X230&gt;='Methodology &amp; Assumptions'!$B$8, "Tier 2 High GIDA (Score 40.0–49.9)", "Tier 3 Moderate GIDA (Score &lt; 40.0)"))</f>
        <v/>
      </c>
      <c r="V230" s="26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W230" s="28" t="n">
        <v>0.083</v>
      </c>
      <c r="X230" s="14" t="n">
        <v>49.09</v>
      </c>
      <c r="Y230" s="14">
        <f>ROUND(MIN(100, (X230/69.91)*100), 2)</f>
        <v/>
      </c>
    </row>
    <row r="231">
      <c r="A231" s="10" t="n">
        <v>3</v>
      </c>
      <c r="B231" s="10" t="n">
        <v>227</v>
      </c>
      <c r="C231" s="10" t="n">
        <v>2227</v>
      </c>
      <c r="D231" s="10" t="inlineStr">
        <is>
          <t>1380614054</t>
        </is>
      </c>
      <c r="E231" s="26" t="inlineStr">
        <is>
          <t>National Capital Region (NCR)</t>
        </is>
      </c>
      <c r="F231" s="26" t="inlineStr">
        <is>
          <t>First District (Not a Province)</t>
        </is>
      </c>
      <c r="G231" s="26" t="inlineStr">
        <is>
          <t>City of Manila</t>
        </is>
      </c>
      <c r="H231" s="26" t="inlineStr">
        <is>
          <t>Barangay 798</t>
        </is>
      </c>
      <c r="I231" s="27" t="n">
        <v>12.52159</v>
      </c>
      <c r="J231" s="27" t="n">
        <v>121.137727</v>
      </c>
      <c r="K231" s="10" t="inlineStr">
        <is>
          <t>U</t>
        </is>
      </c>
      <c r="L231" s="12" t="n">
        <v>1609</v>
      </c>
      <c r="M231" s="14" t="n">
        <v>3.9</v>
      </c>
      <c r="N231" s="12">
        <f>ROUND(L231/M231, 0)</f>
        <v/>
      </c>
      <c r="O231" s="12">
        <f>ROUND(N231*'Methodology &amp; Assumptions'!$B$5, 0)</f>
        <v/>
      </c>
      <c r="P231" s="10" t="inlineStr">
        <is>
          <t>Single Carrier (Band n50, 100MHz TDD)</t>
        </is>
      </c>
      <c r="Q231" s="13">
        <f>ROUNDUP(O231/'Methodology &amp; Assumptions'!$B$6, 0)</f>
        <v/>
      </c>
      <c r="R231" s="13" t="n">
        <v>1</v>
      </c>
      <c r="S231" s="14" t="n">
        <v>20.58</v>
      </c>
      <c r="T231" s="14" t="n">
        <v>17.51</v>
      </c>
      <c r="U231" s="26">
        <f>IF(X231&gt;='Methodology &amp; Assumptions'!$B$7, "Tier 1 Critical GIDA (Score ≥ 50.0)", IF(X231&gt;='Methodology &amp; Assumptions'!$B$8, "Tier 2 High GIDA (Score 40.0–49.9)", "Tier 3 Moderate GIDA (Score &lt; 40.0)"))</f>
        <v/>
      </c>
      <c r="V231" s="26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W231" s="28" t="n">
        <v>0.109</v>
      </c>
      <c r="X231" s="14" t="n">
        <v>49.09</v>
      </c>
      <c r="Y231" s="14">
        <f>ROUND(MIN(100, (X231/69.91)*100), 2)</f>
        <v/>
      </c>
    </row>
    <row r="232">
      <c r="A232" s="10" t="n">
        <v>3</v>
      </c>
      <c r="B232" s="10" t="n">
        <v>228</v>
      </c>
      <c r="C232" s="10" t="n">
        <v>2228</v>
      </c>
      <c r="D232" s="10" t="inlineStr">
        <is>
          <t>1380200018</t>
        </is>
      </c>
      <c r="E232" s="26" t="inlineStr">
        <is>
          <t>National Capital Region (NCR)</t>
        </is>
      </c>
      <c r="F232" s="26" t="inlineStr">
        <is>
          <t>Fourth District (Not a Province)</t>
        </is>
      </c>
      <c r="G232" s="26" t="inlineStr">
        <is>
          <t>City of Las Piñas</t>
        </is>
      </c>
      <c r="H232" s="26" t="inlineStr">
        <is>
          <t>Talon Tres</t>
        </is>
      </c>
      <c r="I232" s="27" t="n">
        <v>14.440683</v>
      </c>
      <c r="J232" s="27" t="n">
        <v>121.004008</v>
      </c>
      <c r="K232" s="10" t="inlineStr">
        <is>
          <t>U</t>
        </is>
      </c>
      <c r="L232" s="12" t="n">
        <v>33466</v>
      </c>
      <c r="M232" s="14" t="n">
        <v>3.8</v>
      </c>
      <c r="N232" s="12">
        <f>ROUND(L232/M232, 0)</f>
        <v/>
      </c>
      <c r="O232" s="12">
        <f>ROUND(N232*'Methodology &amp; Assumptions'!$B$5, 0)</f>
        <v/>
      </c>
      <c r="P232" s="10" t="inlineStr">
        <is>
          <t>Single Carrier (Band n50, 100MHz TDD)</t>
        </is>
      </c>
      <c r="Q232" s="13">
        <f>ROUNDUP(O232/'Methodology &amp; Assumptions'!$B$6, 0)</f>
        <v/>
      </c>
      <c r="R232" s="13" t="n">
        <v>1</v>
      </c>
      <c r="S232" s="14" t="n">
        <v>0.37</v>
      </c>
      <c r="T232" s="14" t="n">
        <v>0.3</v>
      </c>
      <c r="U232" s="26">
        <f>IF(X232&gt;='Methodology &amp; Assumptions'!$B$7, "Tier 1 Critical GIDA (Score ≥ 50.0)", IF(X232&gt;='Methodology &amp; Assumptions'!$B$8, "Tier 2 High GIDA (Score 40.0–49.9)", "Tier 3 Moderate GIDA (Score &lt; 40.0)"))</f>
        <v/>
      </c>
      <c r="V232" s="26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W232" s="28" t="n">
        <v>0.109</v>
      </c>
      <c r="X232" s="14" t="n">
        <v>49.09</v>
      </c>
      <c r="Y232" s="14">
        <f>ROUND(MIN(100, (X232/69.91)*100), 2)</f>
        <v/>
      </c>
    </row>
    <row r="233">
      <c r="A233" s="10" t="n">
        <v>3</v>
      </c>
      <c r="B233" s="10" t="n">
        <v>229</v>
      </c>
      <c r="C233" s="10" t="n">
        <v>2229</v>
      </c>
      <c r="D233" s="10" t="inlineStr">
        <is>
          <t>1380614079</t>
        </is>
      </c>
      <c r="E233" s="26" t="inlineStr">
        <is>
          <t>National Capital Region (NCR)</t>
        </is>
      </c>
      <c r="F233" s="26" t="inlineStr">
        <is>
          <t>First District (Not a Province)</t>
        </is>
      </c>
      <c r="G233" s="26" t="inlineStr">
        <is>
          <t>City of Manila</t>
        </is>
      </c>
      <c r="H233" s="26" t="inlineStr">
        <is>
          <t>Barangay 886</t>
        </is>
      </c>
      <c r="I233" s="27" t="n">
        <v>13.564059</v>
      </c>
      <c r="J233" s="27" t="n">
        <v>121.995346</v>
      </c>
      <c r="K233" s="10" t="inlineStr">
        <is>
          <t>U</t>
        </is>
      </c>
      <c r="L233" s="12" t="n">
        <v>396</v>
      </c>
      <c r="M233" s="14" t="n">
        <v>3.9</v>
      </c>
      <c r="N233" s="12">
        <f>ROUND(L233/M233, 0)</f>
        <v/>
      </c>
      <c r="O233" s="12">
        <f>ROUND(N233*'Methodology &amp; Assumptions'!$B$5, 0)</f>
        <v/>
      </c>
      <c r="P233" s="10" t="inlineStr">
        <is>
          <t>Single Carrier (Band n50, 100MHz TDD)</t>
        </is>
      </c>
      <c r="Q233" s="13">
        <f>ROUNDUP(O233/'Methodology &amp; Assumptions'!$B$6, 0)</f>
        <v/>
      </c>
      <c r="R233" s="13" t="n">
        <v>1</v>
      </c>
      <c r="S233" s="14" t="n">
        <v>24.01</v>
      </c>
      <c r="T233" s="14" t="n">
        <v>24.02</v>
      </c>
      <c r="U233" s="26">
        <f>IF(X233&gt;='Methodology &amp; Assumptions'!$B$7, "Tier 1 Critical GIDA (Score ≥ 50.0)", IF(X233&gt;='Methodology &amp; Assumptions'!$B$8, "Tier 2 High GIDA (Score 40.0–49.9)", "Tier 3 Moderate GIDA (Score &lt; 40.0)"))</f>
        <v/>
      </c>
      <c r="V233" s="26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W233" s="28" t="n">
        <v>0.109</v>
      </c>
      <c r="X233" s="14" t="n">
        <v>49.09</v>
      </c>
      <c r="Y233" s="14">
        <f>ROUND(MIN(100, (X233/69.91)*100), 2)</f>
        <v/>
      </c>
    </row>
    <row r="234">
      <c r="A234" s="10" t="n">
        <v>3</v>
      </c>
      <c r="B234" s="10" t="n">
        <v>230</v>
      </c>
      <c r="C234" s="10" t="n">
        <v>2230</v>
      </c>
      <c r="D234" s="10" t="inlineStr">
        <is>
          <t>0405632004</t>
        </is>
      </c>
      <c r="E234" s="26" t="inlineStr">
        <is>
          <t>Region IV-A (CALABARZON)</t>
        </is>
      </c>
      <c r="F234" s="26" t="inlineStr">
        <is>
          <t>Quezon</t>
        </is>
      </c>
      <c r="G234" s="26" t="inlineStr">
        <is>
          <t>Patnanungan</t>
        </is>
      </c>
      <c r="H234" s="26" t="inlineStr">
        <is>
          <t>Luod</t>
        </is>
      </c>
      <c r="I234" s="27" t="n">
        <v>14.828509</v>
      </c>
      <c r="J234" s="27" t="n">
        <v>122.101853</v>
      </c>
      <c r="K234" s="10" t="inlineStr">
        <is>
          <t>R</t>
        </is>
      </c>
      <c r="L234" s="12" t="n">
        <v>1004</v>
      </c>
      <c r="M234" s="14" t="n">
        <v>3.8</v>
      </c>
      <c r="N234" s="12">
        <f>ROUND(L234/M234, 0)</f>
        <v/>
      </c>
      <c r="O234" s="12">
        <f>ROUND(N234*'Methodology &amp; Assumptions'!$B$5, 0)</f>
        <v/>
      </c>
      <c r="P234" s="10" t="inlineStr">
        <is>
          <t>Single Carrier (Band n50, 100MHz TDD)</t>
        </is>
      </c>
      <c r="Q234" s="13">
        <f>ROUNDUP(O234/'Methodology &amp; Assumptions'!$B$6, 0)</f>
        <v/>
      </c>
      <c r="R234" s="13" t="n">
        <v>1</v>
      </c>
      <c r="S234" s="14" t="n">
        <v>47.61</v>
      </c>
      <c r="T234" s="14" t="n">
        <v>77.12</v>
      </c>
      <c r="U234" s="26">
        <f>IF(X234&gt;='Methodology &amp; Assumptions'!$B$7, "Tier 1 Critical GIDA (Score ≥ 50.0)", IF(X234&gt;='Methodology &amp; Assumptions'!$B$8, "Tier 2 High GIDA (Score 40.0–49.9)", "Tier 3 Moderate GIDA (Score &lt; 40.0)"))</f>
        <v/>
      </c>
      <c r="V234" s="26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W234" s="28" t="n">
        <v>0.07200000000000001</v>
      </c>
      <c r="X234" s="14" t="n">
        <v>49.08</v>
      </c>
      <c r="Y234" s="14">
        <f>ROUND(MIN(100, (X234/69.91)*100), 2)</f>
        <v/>
      </c>
    </row>
    <row r="235">
      <c r="A235" s="10" t="n">
        <v>3</v>
      </c>
      <c r="B235" s="10" t="n">
        <v>231</v>
      </c>
      <c r="C235" s="10" t="n">
        <v>2231</v>
      </c>
      <c r="D235" s="10" t="inlineStr">
        <is>
          <t>1380605049</t>
        </is>
      </c>
      <c r="E235" s="26" t="inlineStr">
        <is>
          <t>National Capital Region (NCR)</t>
        </is>
      </c>
      <c r="F235" s="26" t="inlineStr">
        <is>
          <t>First District (Not a Province)</t>
        </is>
      </c>
      <c r="G235" s="26" t="inlineStr">
        <is>
          <t>City of Manila</t>
        </is>
      </c>
      <c r="H235" s="26" t="inlineStr">
        <is>
          <t>Barangay 347</t>
        </is>
      </c>
      <c r="I235" s="27" t="n">
        <v>12.228138</v>
      </c>
      <c r="J235" s="27" t="n">
        <v>122.08567</v>
      </c>
      <c r="K235" s="10" t="inlineStr">
        <is>
          <t>U</t>
        </is>
      </c>
      <c r="L235" s="12" t="n">
        <v>1304</v>
      </c>
      <c r="M235" s="14" t="n">
        <v>3.9</v>
      </c>
      <c r="N235" s="12">
        <f>ROUND(L235/M235, 0)</f>
        <v/>
      </c>
      <c r="O235" s="12">
        <f>ROUND(N235*'Methodology &amp; Assumptions'!$B$5, 0)</f>
        <v/>
      </c>
      <c r="P235" s="10" t="inlineStr">
        <is>
          <t>Single Carrier (Band n50, 100MHz TDD)</t>
        </is>
      </c>
      <c r="Q235" s="13">
        <f>ROUNDUP(O235/'Methodology &amp; Assumptions'!$B$6, 0)</f>
        <v/>
      </c>
      <c r="R235" s="13" t="n">
        <v>1</v>
      </c>
      <c r="S235" s="14" t="n">
        <v>34.63</v>
      </c>
      <c r="T235" s="14" t="n">
        <v>16.91</v>
      </c>
      <c r="U235" s="26">
        <f>IF(X235&gt;='Methodology &amp; Assumptions'!$B$7, "Tier 1 Critical GIDA (Score ≥ 50.0)", IF(X235&gt;='Methodology &amp; Assumptions'!$B$8, "Tier 2 High GIDA (Score 40.0–49.9)", "Tier 3 Moderate GIDA (Score &lt; 40.0)"))</f>
        <v/>
      </c>
      <c r="V235" s="26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W235" s="28" t="n">
        <v>0.109</v>
      </c>
      <c r="X235" s="14" t="n">
        <v>49.08</v>
      </c>
      <c r="Y235" s="14">
        <f>ROUND(MIN(100, (X235/69.91)*100), 2)</f>
        <v/>
      </c>
    </row>
    <row r="236">
      <c r="A236" s="10" t="n">
        <v>3</v>
      </c>
      <c r="B236" s="10" t="n">
        <v>232</v>
      </c>
      <c r="C236" s="10" t="n">
        <v>2232</v>
      </c>
      <c r="D236" s="10" t="inlineStr">
        <is>
          <t>1380601251</t>
        </is>
      </c>
      <c r="E236" s="26" t="inlineStr">
        <is>
          <t>National Capital Region (NCR)</t>
        </is>
      </c>
      <c r="F236" s="26" t="inlineStr">
        <is>
          <t>First District (Not a Province)</t>
        </is>
      </c>
      <c r="G236" s="26" t="inlineStr">
        <is>
          <t>City of Manila</t>
        </is>
      </c>
      <c r="H236" s="26" t="inlineStr">
        <is>
          <t>Barangay 250</t>
        </is>
      </c>
      <c r="I236" s="27" t="n">
        <v>13.155335</v>
      </c>
      <c r="J236" s="27" t="n">
        <v>121.091384</v>
      </c>
      <c r="K236" s="10" t="inlineStr">
        <is>
          <t>U</t>
        </is>
      </c>
      <c r="L236" s="12" t="n">
        <v>1218</v>
      </c>
      <c r="M236" s="14" t="n">
        <v>3.9</v>
      </c>
      <c r="N236" s="12">
        <f>ROUND(L236/M236, 0)</f>
        <v/>
      </c>
      <c r="O236" s="12">
        <f>ROUND(N236*'Methodology &amp; Assumptions'!$B$5, 0)</f>
        <v/>
      </c>
      <c r="P236" s="10" t="inlineStr">
        <is>
          <t>Single Carrier (Band n50, 100MHz TDD)</t>
        </is>
      </c>
      <c r="Q236" s="13">
        <f>ROUNDUP(O236/'Methodology &amp; Assumptions'!$B$6, 0)</f>
        <v/>
      </c>
      <c r="R236" s="13" t="n">
        <v>1</v>
      </c>
      <c r="S236" s="14" t="n">
        <v>20.46</v>
      </c>
      <c r="T236" s="14" t="n">
        <v>19.7</v>
      </c>
      <c r="U236" s="26">
        <f>IF(X236&gt;='Methodology &amp; Assumptions'!$B$7, "Tier 1 Critical GIDA (Score ≥ 50.0)", IF(X236&gt;='Methodology &amp; Assumptions'!$B$8, "Tier 2 High GIDA (Score 40.0–49.9)", "Tier 3 Moderate GIDA (Score &lt; 40.0)"))</f>
        <v/>
      </c>
      <c r="V236" s="26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W236" s="28" t="n">
        <v>0.109</v>
      </c>
      <c r="X236" s="14" t="n">
        <v>49.08</v>
      </c>
      <c r="Y236" s="14">
        <f>ROUND(MIN(100, (X236/69.91)*100), 2)</f>
        <v/>
      </c>
    </row>
    <row r="237">
      <c r="A237" s="10" t="n">
        <v>3</v>
      </c>
      <c r="B237" s="10" t="n">
        <v>233</v>
      </c>
      <c r="C237" s="10" t="n">
        <v>2233</v>
      </c>
      <c r="D237" s="10" t="inlineStr">
        <is>
          <t>PH0002233</t>
        </is>
      </c>
      <c r="E237" s="26" t="inlineStr">
        <is>
          <t>NCR</t>
        </is>
      </c>
      <c r="F237" s="26" t="inlineStr">
        <is>
          <t>Metro Manila</t>
        </is>
      </c>
      <c r="G237" s="26" t="inlineStr">
        <is>
          <t>Caloocan City</t>
        </is>
      </c>
      <c r="H237" s="26" t="inlineStr">
        <is>
          <t>Barangay 131</t>
        </is>
      </c>
      <c r="I237" s="27" t="n">
        <v>14.035826</v>
      </c>
      <c r="J237" s="27" t="n">
        <v>121.018457</v>
      </c>
      <c r="K237" s="10" t="inlineStr">
        <is>
          <t>R</t>
        </is>
      </c>
      <c r="L237" s="12" t="n">
        <v>2279</v>
      </c>
      <c r="M237" s="14" t="n">
        <v>3.8</v>
      </c>
      <c r="N237" s="12">
        <f>ROUND(L237/M237, 0)</f>
        <v/>
      </c>
      <c r="O237" s="12">
        <f>ROUND(N237*'Methodology &amp; Assumptions'!$B$5, 0)</f>
        <v/>
      </c>
      <c r="P237" s="10" t="inlineStr">
        <is>
          <t>Single Carrier (Band n50, 100MHz TDD)</t>
        </is>
      </c>
      <c r="Q237" s="13">
        <f>ROUNDUP(O237/'Methodology &amp; Assumptions'!$B$6, 0)</f>
        <v/>
      </c>
      <c r="R237" s="13" t="n">
        <v>1</v>
      </c>
      <c r="S237" s="14" t="n">
        <v>6.33</v>
      </c>
      <c r="T237" s="14" t="n">
        <v>10.39</v>
      </c>
      <c r="U237" s="26">
        <f>IF(X237&gt;='Methodology &amp; Assumptions'!$B$7, "Tier 1 Critical GIDA (Score ≥ 50.0)", IF(X237&gt;='Methodology &amp; Assumptions'!$B$8, "Tier 2 High GIDA (Score 40.0–49.9)", "Tier 3 Moderate GIDA (Score &lt; 40.0)"))</f>
        <v/>
      </c>
      <c r="V237" s="26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W237" s="28" t="n">
        <v>0.011</v>
      </c>
      <c r="X237" s="14" t="n">
        <v>49.08</v>
      </c>
      <c r="Y237" s="14">
        <f>ROUND(MIN(100, (X237/69.91)*100), 2)</f>
        <v/>
      </c>
    </row>
    <row r="238">
      <c r="A238" s="10" t="n">
        <v>3</v>
      </c>
      <c r="B238" s="10" t="n">
        <v>234</v>
      </c>
      <c r="C238" s="10" t="n">
        <v>2234</v>
      </c>
      <c r="D238" s="10" t="inlineStr">
        <is>
          <t>1380601144</t>
        </is>
      </c>
      <c r="E238" s="26" t="inlineStr">
        <is>
          <t>National Capital Region (NCR)</t>
        </is>
      </c>
      <c r="F238" s="26" t="inlineStr">
        <is>
          <t>First District (Not a Province)</t>
        </is>
      </c>
      <c r="G238" s="26" t="inlineStr">
        <is>
          <t>City of Manila</t>
        </is>
      </c>
      <c r="H238" s="26" t="inlineStr">
        <is>
          <t>Barangay 144</t>
        </is>
      </c>
      <c r="I238" s="27" t="n">
        <v>13.126508</v>
      </c>
      <c r="J238" s="27" t="n">
        <v>122.469601</v>
      </c>
      <c r="K238" s="10" t="inlineStr">
        <is>
          <t>U</t>
        </is>
      </c>
      <c r="L238" s="12" t="n">
        <v>907</v>
      </c>
      <c r="M238" s="14" t="n">
        <v>3.9</v>
      </c>
      <c r="N238" s="12">
        <f>ROUND(L238/M238, 0)</f>
        <v/>
      </c>
      <c r="O238" s="12">
        <f>ROUND(N238*'Methodology &amp; Assumptions'!$B$5, 0)</f>
        <v/>
      </c>
      <c r="P238" s="10" t="inlineStr">
        <is>
          <t>Single Carrier (Band n50, 100MHz TDD)</t>
        </is>
      </c>
      <c r="Q238" s="13">
        <f>ROUNDUP(O238/'Methodology &amp; Assumptions'!$B$6, 0)</f>
        <v/>
      </c>
      <c r="R238" s="13" t="n">
        <v>1</v>
      </c>
      <c r="S238" s="14" t="n">
        <v>24.98</v>
      </c>
      <c r="T238" s="14" t="n">
        <v>45.07</v>
      </c>
      <c r="U238" s="26">
        <f>IF(X238&gt;='Methodology &amp; Assumptions'!$B$7, "Tier 1 Critical GIDA (Score ≥ 50.0)", IF(X238&gt;='Methodology &amp; Assumptions'!$B$8, "Tier 2 High GIDA (Score 40.0–49.9)", "Tier 3 Moderate GIDA (Score &lt; 40.0)"))</f>
        <v/>
      </c>
      <c r="V238" s="26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W238" s="28" t="n">
        <v>0.109</v>
      </c>
      <c r="X238" s="14" t="n">
        <v>49.08</v>
      </c>
      <c r="Y238" s="14">
        <f>ROUND(MIN(100, (X238/69.91)*100), 2)</f>
        <v/>
      </c>
    </row>
    <row r="239">
      <c r="A239" s="10" t="n">
        <v>3</v>
      </c>
      <c r="B239" s="10" t="n">
        <v>235</v>
      </c>
      <c r="C239" s="10" t="n">
        <v>2235</v>
      </c>
      <c r="D239" s="10" t="inlineStr">
        <is>
          <t>1380607008</t>
        </is>
      </c>
      <c r="E239" s="26" t="inlineStr">
        <is>
          <t>National Capital Region (NCR)</t>
        </is>
      </c>
      <c r="F239" s="26" t="inlineStr">
        <is>
          <t>First District (Not a Province)</t>
        </is>
      </c>
      <c r="G239" s="26" t="inlineStr">
        <is>
          <t>City of Manila</t>
        </is>
      </c>
      <c r="H239" s="26" t="inlineStr">
        <is>
          <t>Barangay 644</t>
        </is>
      </c>
      <c r="I239" s="27" t="n">
        <v>12.238419</v>
      </c>
      <c r="J239" s="27" t="n">
        <v>121.431554</v>
      </c>
      <c r="K239" s="10" t="inlineStr">
        <is>
          <t>U</t>
        </is>
      </c>
      <c r="L239" s="12" t="n">
        <v>751</v>
      </c>
      <c r="M239" s="14" t="n">
        <v>3.9</v>
      </c>
      <c r="N239" s="12">
        <f>ROUND(L239/M239, 0)</f>
        <v/>
      </c>
      <c r="O239" s="12">
        <f>ROUND(N239*'Methodology &amp; Assumptions'!$B$5, 0)</f>
        <v/>
      </c>
      <c r="P239" s="10" t="inlineStr">
        <is>
          <t>Single Carrier (Band n50, 100MHz TDD)</t>
        </is>
      </c>
      <c r="Q239" s="13">
        <f>ROUNDUP(O239/'Methodology &amp; Assumptions'!$B$6, 0)</f>
        <v/>
      </c>
      <c r="R239" s="13" t="n">
        <v>1</v>
      </c>
      <c r="S239" s="14" t="n">
        <v>14.1</v>
      </c>
      <c r="T239" s="14" t="n">
        <v>12.5</v>
      </c>
      <c r="U239" s="26">
        <f>IF(X239&gt;='Methodology &amp; Assumptions'!$B$7, "Tier 1 Critical GIDA (Score ≥ 50.0)", IF(X239&gt;='Methodology &amp; Assumptions'!$B$8, "Tier 2 High GIDA (Score 40.0–49.9)", "Tier 3 Moderate GIDA (Score &lt; 40.0)"))</f>
        <v/>
      </c>
      <c r="V239" s="26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W239" s="28" t="n">
        <v>0.109</v>
      </c>
      <c r="X239" s="14" t="n">
        <v>49.08</v>
      </c>
      <c r="Y239" s="14">
        <f>ROUND(MIN(100, (X239/69.91)*100), 2)</f>
        <v/>
      </c>
    </row>
    <row r="240">
      <c r="A240" s="10" t="n">
        <v>3</v>
      </c>
      <c r="B240" s="10" t="n">
        <v>236</v>
      </c>
      <c r="C240" s="10" t="n">
        <v>2236</v>
      </c>
      <c r="D240" s="10" t="inlineStr">
        <is>
          <t>1380605050</t>
        </is>
      </c>
      <c r="E240" s="26" t="inlineStr">
        <is>
          <t>National Capital Region (NCR)</t>
        </is>
      </c>
      <c r="F240" s="26" t="inlineStr">
        <is>
          <t>First District (Not a Province)</t>
        </is>
      </c>
      <c r="G240" s="26" t="inlineStr">
        <is>
          <t>City of Manila</t>
        </is>
      </c>
      <c r="H240" s="26" t="inlineStr">
        <is>
          <t>Barangay 348</t>
        </is>
      </c>
      <c r="I240" s="27" t="n">
        <v>13.579338</v>
      </c>
      <c r="J240" s="27" t="n">
        <v>121.581694</v>
      </c>
      <c r="K240" s="10" t="inlineStr">
        <is>
          <t>U</t>
        </is>
      </c>
      <c r="L240" s="12" t="n">
        <v>1287</v>
      </c>
      <c r="M240" s="14" t="n">
        <v>3.9</v>
      </c>
      <c r="N240" s="12">
        <f>ROUND(L240/M240, 0)</f>
        <v/>
      </c>
      <c r="O240" s="12">
        <f>ROUND(N240*'Methodology &amp; Assumptions'!$B$5, 0)</f>
        <v/>
      </c>
      <c r="P240" s="10" t="inlineStr">
        <is>
          <t>Single Carrier (Band n50, 100MHz TDD)</t>
        </is>
      </c>
      <c r="Q240" s="13">
        <f>ROUNDUP(O240/'Methodology &amp; Assumptions'!$B$6, 0)</f>
        <v/>
      </c>
      <c r="R240" s="13" t="n">
        <v>1</v>
      </c>
      <c r="S240" s="14" t="n">
        <v>20.66</v>
      </c>
      <c r="T240" s="14" t="n">
        <v>28.1</v>
      </c>
      <c r="U240" s="26">
        <f>IF(X240&gt;='Methodology &amp; Assumptions'!$B$7, "Tier 1 Critical GIDA (Score ≥ 50.0)", IF(X240&gt;='Methodology &amp; Assumptions'!$B$8, "Tier 2 High GIDA (Score 40.0–49.9)", "Tier 3 Moderate GIDA (Score &lt; 40.0)"))</f>
        <v/>
      </c>
      <c r="V240" s="26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W240" s="28" t="n">
        <v>0.109</v>
      </c>
      <c r="X240" s="14" t="n">
        <v>49.07</v>
      </c>
      <c r="Y240" s="14">
        <f>ROUND(MIN(100, (X240/69.91)*100), 2)</f>
        <v/>
      </c>
    </row>
    <row r="241">
      <c r="A241" s="10" t="n">
        <v>3</v>
      </c>
      <c r="B241" s="10" t="n">
        <v>237</v>
      </c>
      <c r="C241" s="10" t="n">
        <v>2237</v>
      </c>
      <c r="D241" s="10" t="inlineStr">
        <is>
          <t>1380606222</t>
        </is>
      </c>
      <c r="E241" s="26" t="inlineStr">
        <is>
          <t>National Capital Region (NCR)</t>
        </is>
      </c>
      <c r="F241" s="26" t="inlineStr">
        <is>
          <t>First District (Not a Province)</t>
        </is>
      </c>
      <c r="G241" s="26" t="inlineStr">
        <is>
          <t>City of Manila</t>
        </is>
      </c>
      <c r="H241" s="26" t="inlineStr">
        <is>
          <t>Barangay 615</t>
        </is>
      </c>
      <c r="I241" s="27" t="n">
        <v>12.489799</v>
      </c>
      <c r="J241" s="27" t="n">
        <v>122.401818</v>
      </c>
      <c r="K241" s="10" t="inlineStr">
        <is>
          <t>U</t>
        </is>
      </c>
      <c r="L241" s="12" t="n">
        <v>1884</v>
      </c>
      <c r="M241" s="14" t="n">
        <v>3.9</v>
      </c>
      <c r="N241" s="12">
        <f>ROUND(L241/M241, 0)</f>
        <v/>
      </c>
      <c r="O241" s="12">
        <f>ROUND(N241*'Methodology &amp; Assumptions'!$B$5, 0)</f>
        <v/>
      </c>
      <c r="P241" s="10" t="inlineStr">
        <is>
          <t>Single Carrier (Band n50, 100MHz TDD)</t>
        </is>
      </c>
      <c r="Q241" s="13">
        <f>ROUNDUP(O241/'Methodology &amp; Assumptions'!$B$6, 0)</f>
        <v/>
      </c>
      <c r="R241" s="13" t="n">
        <v>1</v>
      </c>
      <c r="S241" s="14" t="n">
        <v>77.98</v>
      </c>
      <c r="T241" s="14" t="n">
        <v>57.69</v>
      </c>
      <c r="U241" s="26">
        <f>IF(X241&gt;='Methodology &amp; Assumptions'!$B$7, "Tier 1 Critical GIDA (Score ≥ 50.0)", IF(X241&gt;='Methodology &amp; Assumptions'!$B$8, "Tier 2 High GIDA (Score 40.0–49.9)", "Tier 3 Moderate GIDA (Score &lt; 40.0)"))</f>
        <v/>
      </c>
      <c r="V241" s="26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W241" s="28" t="n">
        <v>0.109</v>
      </c>
      <c r="X241" s="14" t="n">
        <v>49.07</v>
      </c>
      <c r="Y241" s="14">
        <f>ROUND(MIN(100, (X241/69.91)*100), 2)</f>
        <v/>
      </c>
    </row>
    <row r="242">
      <c r="A242" s="10" t="n">
        <v>3</v>
      </c>
      <c r="B242" s="10" t="n">
        <v>238</v>
      </c>
      <c r="C242" s="10" t="n">
        <v>2238</v>
      </c>
      <c r="D242" s="10" t="inlineStr">
        <is>
          <t>1380601260</t>
        </is>
      </c>
      <c r="E242" s="26" t="inlineStr">
        <is>
          <t>National Capital Region (NCR)</t>
        </is>
      </c>
      <c r="F242" s="26" t="inlineStr">
        <is>
          <t>First District (Not a Province)</t>
        </is>
      </c>
      <c r="G242" s="26" t="inlineStr">
        <is>
          <t>City of Manila</t>
        </is>
      </c>
      <c r="H242" s="26" t="inlineStr">
        <is>
          <t>Barangay 259</t>
        </is>
      </c>
      <c r="I242" s="27" t="n">
        <v>12.753455</v>
      </c>
      <c r="J242" s="27" t="n">
        <v>121.039549</v>
      </c>
      <c r="K242" s="10" t="inlineStr">
        <is>
          <t>U</t>
        </is>
      </c>
      <c r="L242" s="12" t="n">
        <v>2153</v>
      </c>
      <c r="M242" s="14" t="n">
        <v>3.9</v>
      </c>
      <c r="N242" s="12">
        <f>ROUND(L242/M242, 0)</f>
        <v/>
      </c>
      <c r="O242" s="12">
        <f>ROUND(N242*'Methodology &amp; Assumptions'!$B$5, 0)</f>
        <v/>
      </c>
      <c r="P242" s="10" t="inlineStr">
        <is>
          <t>Single Carrier (Band n50, 100MHz TDD)</t>
        </is>
      </c>
      <c r="Q242" s="13">
        <f>ROUNDUP(O242/'Methodology &amp; Assumptions'!$B$6, 0)</f>
        <v/>
      </c>
      <c r="R242" s="13" t="n">
        <v>1</v>
      </c>
      <c r="S242" s="14" t="n">
        <v>44.86</v>
      </c>
      <c r="T242" s="14" t="n">
        <v>42.33</v>
      </c>
      <c r="U242" s="26">
        <f>IF(X242&gt;='Methodology &amp; Assumptions'!$B$7, "Tier 1 Critical GIDA (Score ≥ 50.0)", IF(X242&gt;='Methodology &amp; Assumptions'!$B$8, "Tier 2 High GIDA (Score 40.0–49.9)", "Tier 3 Moderate GIDA (Score &lt; 40.0)"))</f>
        <v/>
      </c>
      <c r="V242" s="26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W242" s="28" t="n">
        <v>0.109</v>
      </c>
      <c r="X242" s="14" t="n">
        <v>49.06</v>
      </c>
      <c r="Y242" s="14">
        <f>ROUND(MIN(100, (X242/69.91)*100), 2)</f>
        <v/>
      </c>
    </row>
    <row r="243">
      <c r="A243" s="10" t="n">
        <v>3</v>
      </c>
      <c r="B243" s="10" t="n">
        <v>239</v>
      </c>
      <c r="C243" s="10" t="n">
        <v>2239</v>
      </c>
      <c r="D243" s="10" t="inlineStr">
        <is>
          <t>1908713021</t>
        </is>
      </c>
      <c r="E243" s="26" t="inlineStr">
        <is>
          <t>Bangsamoro Autonomous Region In Muslim Mindanao (BARMM)</t>
        </is>
      </c>
      <c r="F243" s="26" t="inlineStr">
        <is>
          <t>Maguindanao del Norte</t>
        </is>
      </c>
      <c r="G243" s="26" t="inlineStr">
        <is>
          <t>Upi</t>
        </is>
      </c>
      <c r="H243" s="26" t="inlineStr">
        <is>
          <t>Rifao</t>
        </is>
      </c>
      <c r="I243" s="27" t="n">
        <v>17.254015</v>
      </c>
      <c r="J243" s="27" t="n">
        <v>122.228059</v>
      </c>
      <c r="K243" s="10" t="inlineStr">
        <is>
          <t>U</t>
        </is>
      </c>
      <c r="L243" s="12" t="n">
        <v>2647</v>
      </c>
      <c r="M243" s="14" t="n">
        <v>4.3</v>
      </c>
      <c r="N243" s="12">
        <f>ROUND(L243/M243, 0)</f>
        <v/>
      </c>
      <c r="O243" s="12">
        <f>ROUND(N243*'Methodology &amp; Assumptions'!$B$5, 0)</f>
        <v/>
      </c>
      <c r="P243" s="10" t="inlineStr">
        <is>
          <t>Single Carrier (Band n50, 100MHz TDD)</t>
        </is>
      </c>
      <c r="Q243" s="13">
        <f>ROUNDUP(O243/'Methodology &amp; Assumptions'!$B$6, 0)</f>
        <v/>
      </c>
      <c r="R243" s="13" t="n">
        <v>1</v>
      </c>
      <c r="S243" s="14" t="n">
        <v>29.29</v>
      </c>
      <c r="T243" s="14" t="n">
        <v>34.19</v>
      </c>
      <c r="U243" s="26">
        <f>IF(X243&gt;='Methodology &amp; Assumptions'!$B$7, "Tier 1 Critical GIDA (Score ≥ 50.0)", IF(X243&gt;='Methodology &amp; Assumptions'!$B$8, "Tier 2 High GIDA (Score 40.0–49.9)", "Tier 3 Moderate GIDA (Score &lt; 40.0)"))</f>
        <v/>
      </c>
      <c r="V243" s="26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W243" s="28" t="n">
        <v>0.11</v>
      </c>
      <c r="X243" s="14" t="n">
        <v>49.06</v>
      </c>
      <c r="Y243" s="14">
        <f>ROUND(MIN(100, (X243/69.91)*100), 2)</f>
        <v/>
      </c>
    </row>
    <row r="244">
      <c r="A244" s="10" t="n">
        <v>3</v>
      </c>
      <c r="B244" s="10" t="n">
        <v>240</v>
      </c>
      <c r="C244" s="10" t="n">
        <v>2240</v>
      </c>
      <c r="D244" s="10" t="inlineStr">
        <is>
          <t>1380601122</t>
        </is>
      </c>
      <c r="E244" s="26" t="inlineStr">
        <is>
          <t>National Capital Region (NCR)</t>
        </is>
      </c>
      <c r="F244" s="26" t="inlineStr">
        <is>
          <t>First District (Not a Province)</t>
        </is>
      </c>
      <c r="G244" s="26" t="inlineStr">
        <is>
          <t>City of Manila</t>
        </is>
      </c>
      <c r="H244" s="26" t="inlineStr">
        <is>
          <t>Barangay 122</t>
        </is>
      </c>
      <c r="I244" s="27" t="n">
        <v>13.457553</v>
      </c>
      <c r="J244" s="27" t="n">
        <v>122.228846</v>
      </c>
      <c r="K244" s="10" t="inlineStr">
        <is>
          <t>U</t>
        </is>
      </c>
      <c r="L244" s="12" t="n">
        <v>3940</v>
      </c>
      <c r="M244" s="14" t="n">
        <v>3.9</v>
      </c>
      <c r="N244" s="12">
        <f>ROUND(L244/M244, 0)</f>
        <v/>
      </c>
      <c r="O244" s="12">
        <f>ROUND(N244*'Methodology &amp; Assumptions'!$B$5, 0)</f>
        <v/>
      </c>
      <c r="P244" s="10" t="inlineStr">
        <is>
          <t>Single Carrier (Band n50, 100MHz TDD)</t>
        </is>
      </c>
      <c r="Q244" s="13">
        <f>ROUNDUP(O244/'Methodology &amp; Assumptions'!$B$6, 0)</f>
        <v/>
      </c>
      <c r="R244" s="13" t="n">
        <v>1</v>
      </c>
      <c r="S244" s="14" t="n">
        <v>18.21</v>
      </c>
      <c r="T244" s="14" t="n">
        <v>17.26</v>
      </c>
      <c r="U244" s="26">
        <f>IF(X244&gt;='Methodology &amp; Assumptions'!$B$7, "Tier 1 Critical GIDA (Score ≥ 50.0)", IF(X244&gt;='Methodology &amp; Assumptions'!$B$8, "Tier 2 High GIDA (Score 40.0–49.9)", "Tier 3 Moderate GIDA (Score &lt; 40.0)"))</f>
        <v/>
      </c>
      <c r="V244" s="26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W244" s="28" t="n">
        <v>0.109</v>
      </c>
      <c r="X244" s="14" t="n">
        <v>49.06</v>
      </c>
      <c r="Y244" s="14">
        <f>ROUND(MIN(100, (X244/69.91)*100), 2)</f>
        <v/>
      </c>
    </row>
    <row r="245">
      <c r="A245" s="10" t="n">
        <v>3</v>
      </c>
      <c r="B245" s="10" t="n">
        <v>241</v>
      </c>
      <c r="C245" s="10" t="n">
        <v>2241</v>
      </c>
      <c r="D245" s="10" t="inlineStr">
        <is>
          <t>1380601087</t>
        </is>
      </c>
      <c r="E245" s="26" t="inlineStr">
        <is>
          <t>National Capital Region (NCR)</t>
        </is>
      </c>
      <c r="F245" s="26" t="inlineStr">
        <is>
          <t>First District (Not a Province)</t>
        </is>
      </c>
      <c r="G245" s="26" t="inlineStr">
        <is>
          <t>City of Manila</t>
        </is>
      </c>
      <c r="H245" s="26" t="inlineStr">
        <is>
          <t>Barangay 87</t>
        </is>
      </c>
      <c r="I245" s="27" t="n">
        <v>12.15276</v>
      </c>
      <c r="J245" s="27" t="n">
        <v>121.83924</v>
      </c>
      <c r="K245" s="10" t="inlineStr">
        <is>
          <t>U</t>
        </is>
      </c>
      <c r="L245" s="12" t="n">
        <v>1683</v>
      </c>
      <c r="M245" s="14" t="n">
        <v>3.9</v>
      </c>
      <c r="N245" s="12">
        <f>ROUND(L245/M245, 0)</f>
        <v/>
      </c>
      <c r="O245" s="12">
        <f>ROUND(N245*'Methodology &amp; Assumptions'!$B$5, 0)</f>
        <v/>
      </c>
      <c r="P245" s="10" t="inlineStr">
        <is>
          <t>Single Carrier (Band n50, 100MHz TDD)</t>
        </is>
      </c>
      <c r="Q245" s="13">
        <f>ROUNDUP(O245/'Methodology &amp; Assumptions'!$B$6, 0)</f>
        <v/>
      </c>
      <c r="R245" s="13" t="n">
        <v>1</v>
      </c>
      <c r="S245" s="14" t="n">
        <v>25.52</v>
      </c>
      <c r="T245" s="14" t="n">
        <v>0.79</v>
      </c>
      <c r="U245" s="26">
        <f>IF(X245&gt;='Methodology &amp; Assumptions'!$B$7, "Tier 1 Critical GIDA (Score ≥ 50.0)", IF(X245&gt;='Methodology &amp; Assumptions'!$B$8, "Tier 2 High GIDA (Score 40.0–49.9)", "Tier 3 Moderate GIDA (Score &lt; 40.0)"))</f>
        <v/>
      </c>
      <c r="V245" s="26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W245" s="28" t="n">
        <v>0.109</v>
      </c>
      <c r="X245" s="14" t="n">
        <v>49.06</v>
      </c>
      <c r="Y245" s="14">
        <f>ROUND(MIN(100, (X245/69.91)*100), 2)</f>
        <v/>
      </c>
    </row>
    <row r="246">
      <c r="A246" s="10" t="n">
        <v>3</v>
      </c>
      <c r="B246" s="10" t="n">
        <v>242</v>
      </c>
      <c r="C246" s="10" t="n">
        <v>2242</v>
      </c>
      <c r="D246" s="10" t="inlineStr">
        <is>
          <t>PH0002242</t>
        </is>
      </c>
      <c r="E246" s="26" t="inlineStr">
        <is>
          <t>NCR</t>
        </is>
      </c>
      <c r="F246" s="26" t="inlineStr">
        <is>
          <t>Metro Manila</t>
        </is>
      </c>
      <c r="G246" s="26" t="inlineStr">
        <is>
          <t>Caloocan City</t>
        </is>
      </c>
      <c r="H246" s="26" t="inlineStr">
        <is>
          <t>Barangay 19</t>
        </is>
      </c>
      <c r="I246" s="27" t="n">
        <v>12.52456</v>
      </c>
      <c r="J246" s="27" t="n">
        <v>123.133608</v>
      </c>
      <c r="K246" s="10" t="inlineStr">
        <is>
          <t>R</t>
        </is>
      </c>
      <c r="L246" s="12" t="n">
        <v>2279</v>
      </c>
      <c r="M246" s="14" t="n">
        <v>3.8</v>
      </c>
      <c r="N246" s="12">
        <f>ROUND(L246/M246, 0)</f>
        <v/>
      </c>
      <c r="O246" s="12">
        <f>ROUND(N246*'Methodology &amp; Assumptions'!$B$5, 0)</f>
        <v/>
      </c>
      <c r="P246" s="10" t="inlineStr">
        <is>
          <t>Single Carrier (Band n50, 100MHz TDD)</t>
        </is>
      </c>
      <c r="Q246" s="13">
        <f>ROUNDUP(O246/'Methodology &amp; Assumptions'!$B$6, 0)</f>
        <v/>
      </c>
      <c r="R246" s="13" t="n">
        <v>1</v>
      </c>
      <c r="S246" s="14" t="n">
        <v>28.83</v>
      </c>
      <c r="T246" s="14" t="n">
        <v>32.77</v>
      </c>
      <c r="U246" s="26">
        <f>IF(X246&gt;='Methodology &amp; Assumptions'!$B$7, "Tier 1 Critical GIDA (Score ≥ 50.0)", IF(X246&gt;='Methodology &amp; Assumptions'!$B$8, "Tier 2 High GIDA (Score 40.0–49.9)", "Tier 3 Moderate GIDA (Score &lt; 40.0)"))</f>
        <v/>
      </c>
      <c r="V246" s="26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W246" s="28" t="n">
        <v>0.011</v>
      </c>
      <c r="X246" s="14" t="n">
        <v>49.06</v>
      </c>
      <c r="Y246" s="14">
        <f>ROUND(MIN(100, (X246/69.91)*100), 2)</f>
        <v/>
      </c>
    </row>
    <row r="247">
      <c r="A247" s="10" t="n">
        <v>3</v>
      </c>
      <c r="B247" s="10" t="n">
        <v>243</v>
      </c>
      <c r="C247" s="10" t="n">
        <v>2243</v>
      </c>
      <c r="D247" s="10" t="inlineStr">
        <is>
          <t>1380601208</t>
        </is>
      </c>
      <c r="E247" s="26" t="inlineStr">
        <is>
          <t>National Capital Region (NCR)</t>
        </is>
      </c>
      <c r="F247" s="26" t="inlineStr">
        <is>
          <t>First District (Not a Province)</t>
        </is>
      </c>
      <c r="G247" s="26" t="inlineStr">
        <is>
          <t>City of Manila</t>
        </is>
      </c>
      <c r="H247" s="26" t="inlineStr">
        <is>
          <t>Barangay 207</t>
        </is>
      </c>
      <c r="I247" s="27" t="n">
        <v>13.373601</v>
      </c>
      <c r="J247" s="27" t="n">
        <v>121.22109</v>
      </c>
      <c r="K247" s="10" t="inlineStr">
        <is>
          <t>U</t>
        </is>
      </c>
      <c r="L247" s="12" t="n">
        <v>1588</v>
      </c>
      <c r="M247" s="14" t="n">
        <v>3.9</v>
      </c>
      <c r="N247" s="12">
        <f>ROUND(L247/M247, 0)</f>
        <v/>
      </c>
      <c r="O247" s="12">
        <f>ROUND(N247*'Methodology &amp; Assumptions'!$B$5, 0)</f>
        <v/>
      </c>
      <c r="P247" s="10" t="inlineStr">
        <is>
          <t>Single Carrier (Band n50, 100MHz TDD)</t>
        </is>
      </c>
      <c r="Q247" s="13">
        <f>ROUNDUP(O247/'Methodology &amp; Assumptions'!$B$6, 0)</f>
        <v/>
      </c>
      <c r="R247" s="13" t="n">
        <v>1</v>
      </c>
      <c r="S247" s="14" t="n">
        <v>6.22</v>
      </c>
      <c r="T247" s="14" t="n">
        <v>5.7</v>
      </c>
      <c r="U247" s="26">
        <f>IF(X247&gt;='Methodology &amp; Assumptions'!$B$7, "Tier 1 Critical GIDA (Score ≥ 50.0)", IF(X247&gt;='Methodology &amp; Assumptions'!$B$8, "Tier 2 High GIDA (Score 40.0–49.9)", "Tier 3 Moderate GIDA (Score &lt; 40.0)"))</f>
        <v/>
      </c>
      <c r="V247" s="26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W247" s="28" t="n">
        <v>0.109</v>
      </c>
      <c r="X247" s="14" t="n">
        <v>49.06</v>
      </c>
      <c r="Y247" s="14">
        <f>ROUND(MIN(100, (X247/69.91)*100), 2)</f>
        <v/>
      </c>
    </row>
    <row r="248">
      <c r="A248" s="10" t="n">
        <v>3</v>
      </c>
      <c r="B248" s="10" t="n">
        <v>244</v>
      </c>
      <c r="C248" s="10" t="n">
        <v>2244</v>
      </c>
      <c r="D248" s="10" t="inlineStr">
        <is>
          <t>1380614091</t>
        </is>
      </c>
      <c r="E248" s="26" t="inlineStr">
        <is>
          <t>National Capital Region (NCR)</t>
        </is>
      </c>
      <c r="F248" s="26" t="inlineStr">
        <is>
          <t>First District (Not a Province)</t>
        </is>
      </c>
      <c r="G248" s="26" t="inlineStr">
        <is>
          <t>City of Manila</t>
        </is>
      </c>
      <c r="H248" s="26" t="inlineStr">
        <is>
          <t>Barangay 898</t>
        </is>
      </c>
      <c r="I248" s="27" t="n">
        <v>12.383975</v>
      </c>
      <c r="J248" s="27" t="n">
        <v>121.219049</v>
      </c>
      <c r="K248" s="10" t="inlineStr">
        <is>
          <t>U</t>
        </is>
      </c>
      <c r="L248" s="12" t="n">
        <v>7827</v>
      </c>
      <c r="M248" s="14" t="n">
        <v>3.9</v>
      </c>
      <c r="N248" s="12">
        <f>ROUND(L248/M248, 0)</f>
        <v/>
      </c>
      <c r="O248" s="12">
        <f>ROUND(N248*'Methodology &amp; Assumptions'!$B$5, 0)</f>
        <v/>
      </c>
      <c r="P248" s="10" t="inlineStr">
        <is>
          <t>Single Carrier (Band n50, 100MHz TDD)</t>
        </is>
      </c>
      <c r="Q248" s="13">
        <f>ROUNDUP(O248/'Methodology &amp; Assumptions'!$B$6, 0)</f>
        <v/>
      </c>
      <c r="R248" s="13" t="n">
        <v>1</v>
      </c>
      <c r="S248" s="14" t="n">
        <v>11.25</v>
      </c>
      <c r="T248" s="14" t="n">
        <v>7.4</v>
      </c>
      <c r="U248" s="26">
        <f>IF(X248&gt;='Methodology &amp; Assumptions'!$B$7, "Tier 1 Critical GIDA (Score ≥ 50.0)", IF(X248&gt;='Methodology &amp; Assumptions'!$B$8, "Tier 2 High GIDA (Score 40.0–49.9)", "Tier 3 Moderate GIDA (Score &lt; 40.0)"))</f>
        <v/>
      </c>
      <c r="V248" s="26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W248" s="28" t="n">
        <v>0.109</v>
      </c>
      <c r="X248" s="14" t="n">
        <v>49.06</v>
      </c>
      <c r="Y248" s="14">
        <f>ROUND(MIN(100, (X248/69.91)*100), 2)</f>
        <v/>
      </c>
    </row>
    <row r="249">
      <c r="A249" s="10" t="n">
        <v>3</v>
      </c>
      <c r="B249" s="10" t="n">
        <v>245</v>
      </c>
      <c r="C249" s="10" t="n">
        <v>2245</v>
      </c>
      <c r="D249" s="10" t="inlineStr">
        <is>
          <t>1380612006</t>
        </is>
      </c>
      <c r="E249" s="26" t="inlineStr">
        <is>
          <t>National Capital Region (NCR)</t>
        </is>
      </c>
      <c r="F249" s="26" t="inlineStr">
        <is>
          <t>First District (Not a Province)</t>
        </is>
      </c>
      <c r="G249" s="26" t="inlineStr">
        <is>
          <t>City of Manila</t>
        </is>
      </c>
      <c r="H249" s="26" t="inlineStr">
        <is>
          <t>Barangay 838</t>
        </is>
      </c>
      <c r="I249" s="27" t="n">
        <v>13.612018</v>
      </c>
      <c r="J249" s="27" t="n">
        <v>121.839723</v>
      </c>
      <c r="K249" s="10" t="inlineStr">
        <is>
          <t>U</t>
        </is>
      </c>
      <c r="L249" s="12" t="n">
        <v>3059</v>
      </c>
      <c r="M249" s="14" t="n">
        <v>3.9</v>
      </c>
      <c r="N249" s="12">
        <f>ROUND(L249/M249, 0)</f>
        <v/>
      </c>
      <c r="O249" s="12">
        <f>ROUND(N249*'Methodology &amp; Assumptions'!$B$5, 0)</f>
        <v/>
      </c>
      <c r="P249" s="10" t="inlineStr">
        <is>
          <t>Single Carrier (Band n50, 100MHz TDD)</t>
        </is>
      </c>
      <c r="Q249" s="13">
        <f>ROUNDUP(O249/'Methodology &amp; Assumptions'!$B$6, 0)</f>
        <v/>
      </c>
      <c r="R249" s="13" t="n">
        <v>1</v>
      </c>
      <c r="S249" s="14" t="n">
        <v>29.39</v>
      </c>
      <c r="T249" s="14" t="n">
        <v>28.94</v>
      </c>
      <c r="U249" s="26">
        <f>IF(X249&gt;='Methodology &amp; Assumptions'!$B$7, "Tier 1 Critical GIDA (Score ≥ 50.0)", IF(X249&gt;='Methodology &amp; Assumptions'!$B$8, "Tier 2 High GIDA (Score 40.0–49.9)", "Tier 3 Moderate GIDA (Score &lt; 40.0)"))</f>
        <v/>
      </c>
      <c r="V249" s="26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W249" s="28" t="n">
        <v>0.109</v>
      </c>
      <c r="X249" s="14" t="n">
        <v>49.06</v>
      </c>
      <c r="Y249" s="14">
        <f>ROUND(MIN(100, (X249/69.91)*100), 2)</f>
        <v/>
      </c>
    </row>
    <row r="250">
      <c r="A250" s="10" t="n">
        <v>3</v>
      </c>
      <c r="B250" s="10" t="n">
        <v>246</v>
      </c>
      <c r="C250" s="10" t="n">
        <v>2246</v>
      </c>
      <c r="D250" s="10" t="inlineStr">
        <is>
          <t>1108208006</t>
        </is>
      </c>
      <c r="E250" s="26" t="inlineStr">
        <is>
          <t>Region XI (Davao Region)</t>
        </is>
      </c>
      <c r="F250" s="26" t="inlineStr">
        <is>
          <t>Davao de Oro</t>
        </is>
      </c>
      <c r="G250" s="26" t="inlineStr">
        <is>
          <t>Montevista</t>
        </is>
      </c>
      <c r="H250" s="26" t="inlineStr">
        <is>
          <t>Camantangan</t>
        </is>
      </c>
      <c r="I250" s="27" t="n">
        <v>7.729932</v>
      </c>
      <c r="J250" s="27" t="n">
        <v>125.96906</v>
      </c>
      <c r="K250" s="10" t="inlineStr">
        <is>
          <t>R</t>
        </is>
      </c>
      <c r="L250" s="12" t="n">
        <v>994</v>
      </c>
      <c r="M250" s="14" t="n">
        <v>3.7</v>
      </c>
      <c r="N250" s="12">
        <f>ROUND(L250/M250, 0)</f>
        <v/>
      </c>
      <c r="O250" s="12">
        <f>ROUND(N250*'Methodology &amp; Assumptions'!$B$5, 0)</f>
        <v/>
      </c>
      <c r="P250" s="10" t="inlineStr">
        <is>
          <t>Single Carrier (Band n50, 100MHz TDD)</t>
        </is>
      </c>
      <c r="Q250" s="13">
        <f>ROUNDUP(O250/'Methodology &amp; Assumptions'!$B$6, 0)</f>
        <v/>
      </c>
      <c r="R250" s="13" t="n">
        <v>1</v>
      </c>
      <c r="S250" s="14" t="n">
        <v>14.47</v>
      </c>
      <c r="T250" s="14" t="n">
        <v>2.53</v>
      </c>
      <c r="U250" s="26">
        <f>IF(X250&gt;='Methodology &amp; Assumptions'!$B$7, "Tier 1 Critical GIDA (Score ≥ 50.0)", IF(X250&gt;='Methodology &amp; Assumptions'!$B$8, "Tier 2 High GIDA (Score 40.0–49.9)", "Tier 3 Moderate GIDA (Score &lt; 40.0)"))</f>
        <v/>
      </c>
      <c r="V250" s="26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W250" s="28" t="n">
        <v>0.174</v>
      </c>
      <c r="X250" s="14" t="n">
        <v>49.05</v>
      </c>
      <c r="Y250" s="14">
        <f>ROUND(MIN(100, (X250/69.91)*100), 2)</f>
        <v/>
      </c>
    </row>
    <row r="251">
      <c r="A251" s="10" t="n">
        <v>3</v>
      </c>
      <c r="B251" s="10" t="n">
        <v>247</v>
      </c>
      <c r="C251" s="10" t="n">
        <v>2247</v>
      </c>
      <c r="D251" s="10" t="inlineStr">
        <is>
          <t>1381100074</t>
        </is>
      </c>
      <c r="E251" s="26" t="inlineStr">
        <is>
          <t>National Capital Region (NCR)</t>
        </is>
      </c>
      <c r="F251" s="26" t="inlineStr">
        <is>
          <t>Fourth District (Not a Province)</t>
        </is>
      </c>
      <c r="G251" s="26" t="inlineStr">
        <is>
          <t>Pasay City</t>
        </is>
      </c>
      <c r="H251" s="26" t="inlineStr">
        <is>
          <t>Barangay 74</t>
        </is>
      </c>
      <c r="I251" s="27" t="n">
        <v>14.416812</v>
      </c>
      <c r="J251" s="27" t="n">
        <v>120.936969</v>
      </c>
      <c r="K251" s="10" t="inlineStr">
        <is>
          <t>U</t>
        </is>
      </c>
      <c r="L251" s="12" t="n">
        <v>473</v>
      </c>
      <c r="M251" s="14" t="n">
        <v>3.4</v>
      </c>
      <c r="N251" s="12">
        <f>ROUND(L251/M251, 0)</f>
        <v/>
      </c>
      <c r="O251" s="12">
        <f>ROUND(N251*'Methodology &amp; Assumptions'!$B$5, 0)</f>
        <v/>
      </c>
      <c r="P251" s="10" t="inlineStr">
        <is>
          <t>Single Carrier (Band n50, 100MHz TDD)</t>
        </is>
      </c>
      <c r="Q251" s="13">
        <f>ROUNDUP(O251/'Methodology &amp; Assumptions'!$B$6, 0)</f>
        <v/>
      </c>
      <c r="R251" s="13" t="n">
        <v>1</v>
      </c>
      <c r="S251" s="14" t="n">
        <v>1.16</v>
      </c>
      <c r="T251" s="14" t="n">
        <v>3.47</v>
      </c>
      <c r="U251" s="26">
        <f>IF(X251&gt;='Methodology &amp; Assumptions'!$B$7, "Tier 1 Critical GIDA (Score ≥ 50.0)", IF(X251&gt;='Methodology &amp; Assumptions'!$B$8, "Tier 2 High GIDA (Score 40.0–49.9)", "Tier 3 Moderate GIDA (Score &lt; 40.0)"))</f>
        <v/>
      </c>
      <c r="V251" s="26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W251" s="28" t="n">
        <v>0.109</v>
      </c>
      <c r="X251" s="14" t="n">
        <v>49.05</v>
      </c>
      <c r="Y251" s="14">
        <f>ROUND(MIN(100, (X251/69.91)*100), 2)</f>
        <v/>
      </c>
    </row>
    <row r="252">
      <c r="A252" s="10" t="n">
        <v>3</v>
      </c>
      <c r="B252" s="10" t="n">
        <v>248</v>
      </c>
      <c r="C252" s="10" t="n">
        <v>2248</v>
      </c>
      <c r="D252" s="10" t="inlineStr">
        <is>
          <t>1380601143</t>
        </is>
      </c>
      <c r="E252" s="26" t="inlineStr">
        <is>
          <t>National Capital Region (NCR)</t>
        </is>
      </c>
      <c r="F252" s="26" t="inlineStr">
        <is>
          <t>First District (Not a Province)</t>
        </is>
      </c>
      <c r="G252" s="26" t="inlineStr">
        <is>
          <t>City of Manila</t>
        </is>
      </c>
      <c r="H252" s="26" t="inlineStr">
        <is>
          <t>Barangay 143</t>
        </is>
      </c>
      <c r="I252" s="27" t="n">
        <v>12.295423</v>
      </c>
      <c r="J252" s="27" t="n">
        <v>122.233903</v>
      </c>
      <c r="K252" s="10" t="inlineStr">
        <is>
          <t>U</t>
        </is>
      </c>
      <c r="L252" s="12" t="n">
        <v>1444</v>
      </c>
      <c r="M252" s="14" t="n">
        <v>3.9</v>
      </c>
      <c r="N252" s="12">
        <f>ROUND(L252/M252, 0)</f>
        <v/>
      </c>
      <c r="O252" s="12">
        <f>ROUND(N252*'Methodology &amp; Assumptions'!$B$5, 0)</f>
        <v/>
      </c>
      <c r="P252" s="10" t="inlineStr">
        <is>
          <t>Single Carrier (Band n50, 100MHz TDD)</t>
        </is>
      </c>
      <c r="Q252" s="13">
        <f>ROUNDUP(O252/'Methodology &amp; Assumptions'!$B$6, 0)</f>
        <v/>
      </c>
      <c r="R252" s="13" t="n">
        <v>1</v>
      </c>
      <c r="S252" s="14" t="n">
        <v>49.7</v>
      </c>
      <c r="T252" s="14" t="n">
        <v>33.59</v>
      </c>
      <c r="U252" s="26">
        <f>IF(X252&gt;='Methodology &amp; Assumptions'!$B$7, "Tier 1 Critical GIDA (Score ≥ 50.0)", IF(X252&gt;='Methodology &amp; Assumptions'!$B$8, "Tier 2 High GIDA (Score 40.0–49.9)", "Tier 3 Moderate GIDA (Score &lt; 40.0)"))</f>
        <v/>
      </c>
      <c r="V252" s="26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W252" s="28" t="n">
        <v>0.109</v>
      </c>
      <c r="X252" s="14" t="n">
        <v>49.05</v>
      </c>
      <c r="Y252" s="14">
        <f>ROUND(MIN(100, (X252/69.91)*100), 2)</f>
        <v/>
      </c>
    </row>
    <row r="253">
      <c r="A253" s="10" t="n">
        <v>3</v>
      </c>
      <c r="B253" s="10" t="n">
        <v>249</v>
      </c>
      <c r="C253" s="10" t="n">
        <v>2249</v>
      </c>
      <c r="D253" s="10" t="inlineStr">
        <is>
          <t>1380601153</t>
        </is>
      </c>
      <c r="E253" s="26" t="inlineStr">
        <is>
          <t>National Capital Region (NCR)</t>
        </is>
      </c>
      <c r="F253" s="26" t="inlineStr">
        <is>
          <t>First District (Not a Province)</t>
        </is>
      </c>
      <c r="G253" s="26" t="inlineStr">
        <is>
          <t>City of Manila</t>
        </is>
      </c>
      <c r="H253" s="26" t="inlineStr">
        <is>
          <t>Barangay 153</t>
        </is>
      </c>
      <c r="I253" s="27" t="n">
        <v>13.00782</v>
      </c>
      <c r="J253" s="27" t="n">
        <v>121.028641</v>
      </c>
      <c r="K253" s="10" t="inlineStr">
        <is>
          <t>U</t>
        </is>
      </c>
      <c r="L253" s="12" t="n">
        <v>2113</v>
      </c>
      <c r="M253" s="14" t="n">
        <v>3.9</v>
      </c>
      <c r="N253" s="12">
        <f>ROUND(L253/M253, 0)</f>
        <v/>
      </c>
      <c r="O253" s="12">
        <f>ROUND(N253*'Methodology &amp; Assumptions'!$B$5, 0)</f>
        <v/>
      </c>
      <c r="P253" s="10" t="inlineStr">
        <is>
          <t>Single Carrier (Band n50, 100MHz TDD)</t>
        </is>
      </c>
      <c r="Q253" s="13">
        <f>ROUNDUP(O253/'Methodology &amp; Assumptions'!$B$6, 0)</f>
        <v/>
      </c>
      <c r="R253" s="13" t="n">
        <v>1</v>
      </c>
      <c r="S253" s="14" t="n">
        <v>32.49</v>
      </c>
      <c r="T253" s="14" t="n">
        <v>31.22</v>
      </c>
      <c r="U253" s="26">
        <f>IF(X253&gt;='Methodology &amp; Assumptions'!$B$7, "Tier 1 Critical GIDA (Score ≥ 50.0)", IF(X253&gt;='Methodology &amp; Assumptions'!$B$8, "Tier 2 High GIDA (Score 40.0–49.9)", "Tier 3 Moderate GIDA (Score &lt; 40.0)"))</f>
        <v/>
      </c>
      <c r="V253" s="26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W253" s="28" t="n">
        <v>0.109</v>
      </c>
      <c r="X253" s="14" t="n">
        <v>49.05</v>
      </c>
      <c r="Y253" s="14">
        <f>ROUND(MIN(100, (X253/69.91)*100), 2)</f>
        <v/>
      </c>
    </row>
    <row r="254">
      <c r="A254" s="10" t="n">
        <v>3</v>
      </c>
      <c r="B254" s="10" t="n">
        <v>250</v>
      </c>
      <c r="C254" s="10" t="n">
        <v>2250</v>
      </c>
      <c r="D254" s="10" t="inlineStr">
        <is>
          <t>1380601186</t>
        </is>
      </c>
      <c r="E254" s="26" t="inlineStr">
        <is>
          <t>National Capital Region (NCR)</t>
        </is>
      </c>
      <c r="F254" s="26" t="inlineStr">
        <is>
          <t>First District (Not a Province)</t>
        </is>
      </c>
      <c r="G254" s="26" t="inlineStr">
        <is>
          <t>City of Manila</t>
        </is>
      </c>
      <c r="H254" s="26" t="inlineStr">
        <is>
          <t>Barangay 186</t>
        </is>
      </c>
      <c r="I254" s="27" t="n">
        <v>13.276853</v>
      </c>
      <c r="J254" s="27" t="n">
        <v>122.413495</v>
      </c>
      <c r="K254" s="10" t="inlineStr">
        <is>
          <t>U</t>
        </is>
      </c>
      <c r="L254" s="12" t="n">
        <v>1729</v>
      </c>
      <c r="M254" s="14" t="n">
        <v>3.9</v>
      </c>
      <c r="N254" s="12">
        <f>ROUND(L254/M254, 0)</f>
        <v/>
      </c>
      <c r="O254" s="12">
        <f>ROUND(N254*'Methodology &amp; Assumptions'!$B$5, 0)</f>
        <v/>
      </c>
      <c r="P254" s="10" t="inlineStr">
        <is>
          <t>Single Carrier (Band n50, 100MHz TDD)</t>
        </is>
      </c>
      <c r="Q254" s="13">
        <f>ROUNDUP(O254/'Methodology &amp; Assumptions'!$B$6, 0)</f>
        <v/>
      </c>
      <c r="R254" s="13" t="n">
        <v>1</v>
      </c>
      <c r="S254" s="14" t="n">
        <v>13.76</v>
      </c>
      <c r="T254" s="14" t="n">
        <v>27.75</v>
      </c>
      <c r="U254" s="26">
        <f>IF(X254&gt;='Methodology &amp; Assumptions'!$B$7, "Tier 1 Critical GIDA (Score ≥ 50.0)", IF(X254&gt;='Methodology &amp; Assumptions'!$B$8, "Tier 2 High GIDA (Score 40.0–49.9)", "Tier 3 Moderate GIDA (Score &lt; 40.0)"))</f>
        <v/>
      </c>
      <c r="V254" s="26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W254" s="28" t="n">
        <v>0.109</v>
      </c>
      <c r="X254" s="14" t="n">
        <v>49.05</v>
      </c>
      <c r="Y254" s="14">
        <f>ROUND(MIN(100, (X254/69.91)*100), 2)</f>
        <v/>
      </c>
    </row>
    <row r="255">
      <c r="A255" s="10" t="n">
        <v>3</v>
      </c>
      <c r="B255" s="10" t="n">
        <v>251</v>
      </c>
      <c r="C255" s="10" t="n">
        <v>2251</v>
      </c>
      <c r="D255" s="10" t="inlineStr">
        <is>
          <t>1381100157</t>
        </is>
      </c>
      <c r="E255" s="26" t="inlineStr">
        <is>
          <t>National Capital Region (NCR)</t>
        </is>
      </c>
      <c r="F255" s="26" t="inlineStr">
        <is>
          <t>Fourth District (Not a Province)</t>
        </is>
      </c>
      <c r="G255" s="26" t="inlineStr">
        <is>
          <t>Pasay City</t>
        </is>
      </c>
      <c r="H255" s="26" t="inlineStr">
        <is>
          <t>Barangay 157</t>
        </is>
      </c>
      <c r="I255" s="27" t="n">
        <v>14.677369</v>
      </c>
      <c r="J255" s="27" t="n">
        <v>120.965941</v>
      </c>
      <c r="K255" s="10" t="inlineStr">
        <is>
          <t>U</t>
        </is>
      </c>
      <c r="L255" s="12" t="n">
        <v>2306</v>
      </c>
      <c r="M255" s="14" t="n">
        <v>3.4</v>
      </c>
      <c r="N255" s="12">
        <f>ROUND(L255/M255, 0)</f>
        <v/>
      </c>
      <c r="O255" s="12">
        <f>ROUND(N255*'Methodology &amp; Assumptions'!$B$5, 0)</f>
        <v/>
      </c>
      <c r="P255" s="10" t="inlineStr">
        <is>
          <t>Single Carrier (Band n50, 100MHz TDD)</t>
        </is>
      </c>
      <c r="Q255" s="13">
        <f>ROUNDUP(O255/'Methodology &amp; Assumptions'!$B$6, 0)</f>
        <v/>
      </c>
      <c r="R255" s="13" t="n">
        <v>1</v>
      </c>
      <c r="S255" s="14" t="n">
        <v>0.82</v>
      </c>
      <c r="T255" s="14" t="n">
        <v>0.35</v>
      </c>
      <c r="U255" s="26">
        <f>IF(X255&gt;='Methodology &amp; Assumptions'!$B$7, "Tier 1 Critical GIDA (Score ≥ 50.0)", IF(X255&gt;='Methodology &amp; Assumptions'!$B$8, "Tier 2 High GIDA (Score 40.0–49.9)", "Tier 3 Moderate GIDA (Score &lt; 40.0)"))</f>
        <v/>
      </c>
      <c r="V255" s="26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W255" s="28" t="n">
        <v>0.109</v>
      </c>
      <c r="X255" s="14" t="n">
        <v>49.05</v>
      </c>
      <c r="Y255" s="14">
        <f>ROUND(MIN(100, (X255/69.91)*100), 2)</f>
        <v/>
      </c>
    </row>
    <row r="256">
      <c r="A256" s="10" t="n">
        <v>3</v>
      </c>
      <c r="B256" s="10" t="n">
        <v>252</v>
      </c>
      <c r="C256" s="10" t="n">
        <v>2252</v>
      </c>
      <c r="D256" s="10" t="inlineStr">
        <is>
          <t>PH0002252</t>
        </is>
      </c>
      <c r="E256" s="26" t="inlineStr">
        <is>
          <t>NCR</t>
        </is>
      </c>
      <c r="F256" s="26" t="inlineStr">
        <is>
          <t>Metro Manila</t>
        </is>
      </c>
      <c r="G256" s="26" t="inlineStr">
        <is>
          <t>Caloocan City</t>
        </is>
      </c>
      <c r="H256" s="26" t="inlineStr">
        <is>
          <t>Barangay 86</t>
        </is>
      </c>
      <c r="I256" s="27" t="n">
        <v>12.245486</v>
      </c>
      <c r="J256" s="27" t="n">
        <v>120.524242</v>
      </c>
      <c r="K256" s="10" t="inlineStr">
        <is>
          <t>R</t>
        </is>
      </c>
      <c r="L256" s="12" t="n">
        <v>2279</v>
      </c>
      <c r="M256" s="14" t="n">
        <v>3.8</v>
      </c>
      <c r="N256" s="12">
        <f>ROUND(L256/M256, 0)</f>
        <v/>
      </c>
      <c r="O256" s="12">
        <f>ROUND(N256*'Methodology &amp; Assumptions'!$B$5, 0)</f>
        <v/>
      </c>
      <c r="P256" s="10" t="inlineStr">
        <is>
          <t>Single Carrier (Band n50, 100MHz TDD)</t>
        </is>
      </c>
      <c r="Q256" s="13">
        <f>ROUNDUP(O256/'Methodology &amp; Assumptions'!$B$6, 0)</f>
        <v/>
      </c>
      <c r="R256" s="13" t="n">
        <v>1</v>
      </c>
      <c r="S256" s="14" t="n">
        <v>40.29</v>
      </c>
      <c r="T256" s="14" t="n">
        <v>59.42</v>
      </c>
      <c r="U256" s="26">
        <f>IF(X256&gt;='Methodology &amp; Assumptions'!$B$7, "Tier 1 Critical GIDA (Score ≥ 50.0)", IF(X256&gt;='Methodology &amp; Assumptions'!$B$8, "Tier 2 High GIDA (Score 40.0–49.9)", "Tier 3 Moderate GIDA (Score &lt; 40.0)"))</f>
        <v/>
      </c>
      <c r="V256" s="26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W256" s="28" t="n">
        <v>0.011</v>
      </c>
      <c r="X256" s="14" t="n">
        <v>49.05</v>
      </c>
      <c r="Y256" s="14">
        <f>ROUND(MIN(100, (X256/69.91)*100), 2)</f>
        <v/>
      </c>
    </row>
    <row r="257">
      <c r="A257" s="10" t="n">
        <v>3</v>
      </c>
      <c r="B257" s="10" t="n">
        <v>253</v>
      </c>
      <c r="C257" s="10" t="n">
        <v>2253</v>
      </c>
      <c r="D257" s="10" t="inlineStr">
        <is>
          <t>1380605040</t>
        </is>
      </c>
      <c r="E257" s="26" t="inlineStr">
        <is>
          <t>National Capital Region (NCR)</t>
        </is>
      </c>
      <c r="F257" s="26" t="inlineStr">
        <is>
          <t>First District (Not a Province)</t>
        </is>
      </c>
      <c r="G257" s="26" t="inlineStr">
        <is>
          <t>City of Manila</t>
        </is>
      </c>
      <c r="H257" s="26" t="inlineStr">
        <is>
          <t>Barangay 338</t>
        </is>
      </c>
      <c r="I257" s="27" t="n">
        <v>12.164418</v>
      </c>
      <c r="J257" s="27" t="n">
        <v>121.577394</v>
      </c>
      <c r="K257" s="10" t="inlineStr">
        <is>
          <t>U</t>
        </is>
      </c>
      <c r="L257" s="12" t="n">
        <v>1420</v>
      </c>
      <c r="M257" s="14" t="n">
        <v>3.9</v>
      </c>
      <c r="N257" s="12">
        <f>ROUND(L257/M257, 0)</f>
        <v/>
      </c>
      <c r="O257" s="12">
        <f>ROUND(N257*'Methodology &amp; Assumptions'!$B$5, 0)</f>
        <v/>
      </c>
      <c r="P257" s="10" t="inlineStr">
        <is>
          <t>Single Carrier (Band n50, 100MHz TDD)</t>
        </is>
      </c>
      <c r="Q257" s="13">
        <f>ROUNDUP(O257/'Methodology &amp; Assumptions'!$B$6, 0)</f>
        <v/>
      </c>
      <c r="R257" s="13" t="n">
        <v>1</v>
      </c>
      <c r="S257" s="14" t="n">
        <v>31.51</v>
      </c>
      <c r="T257" s="14" t="n">
        <v>20.69</v>
      </c>
      <c r="U257" s="26">
        <f>IF(X257&gt;='Methodology &amp; Assumptions'!$B$7, "Tier 1 Critical GIDA (Score ≥ 50.0)", IF(X257&gt;='Methodology &amp; Assumptions'!$B$8, "Tier 2 High GIDA (Score 40.0–49.9)", "Tier 3 Moderate GIDA (Score &lt; 40.0)"))</f>
        <v/>
      </c>
      <c r="V257" s="26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W257" s="28" t="n">
        <v>0.109</v>
      </c>
      <c r="X257" s="14" t="n">
        <v>49.05</v>
      </c>
      <c r="Y257" s="14">
        <f>ROUND(MIN(100, (X257/69.91)*100), 2)</f>
        <v/>
      </c>
    </row>
    <row r="258">
      <c r="A258" s="10" t="n">
        <v>3</v>
      </c>
      <c r="B258" s="10" t="n">
        <v>254</v>
      </c>
      <c r="C258" s="10" t="n">
        <v>2254</v>
      </c>
      <c r="D258" s="10" t="inlineStr">
        <is>
          <t>PH0002254</t>
        </is>
      </c>
      <c r="E258" s="26" t="inlineStr">
        <is>
          <t>NCR</t>
        </is>
      </c>
      <c r="F258" s="26" t="inlineStr">
        <is>
          <t>Metro Manila</t>
        </is>
      </c>
      <c r="G258" s="26" t="inlineStr">
        <is>
          <t>Caloocan City</t>
        </is>
      </c>
      <c r="H258" s="26" t="inlineStr">
        <is>
          <t>Barangay 109</t>
        </is>
      </c>
      <c r="I258" s="27" t="n">
        <v>14.171641</v>
      </c>
      <c r="J258" s="27" t="n">
        <v>122.256364</v>
      </c>
      <c r="K258" s="10" t="inlineStr">
        <is>
          <t>R</t>
        </is>
      </c>
      <c r="L258" s="12" t="n">
        <v>2279</v>
      </c>
      <c r="M258" s="14" t="n">
        <v>3.8</v>
      </c>
      <c r="N258" s="12">
        <f>ROUND(L258/M258, 0)</f>
        <v/>
      </c>
      <c r="O258" s="12">
        <f>ROUND(N258*'Methodology &amp; Assumptions'!$B$5, 0)</f>
        <v/>
      </c>
      <c r="P258" s="10" t="inlineStr">
        <is>
          <t>Single Carrier (Band n50, 100MHz TDD)</t>
        </is>
      </c>
      <c r="Q258" s="13">
        <f>ROUNDUP(O258/'Methodology &amp; Assumptions'!$B$6, 0)</f>
        <v/>
      </c>
      <c r="R258" s="13" t="n">
        <v>1</v>
      </c>
      <c r="S258" s="14" t="n">
        <v>5.38</v>
      </c>
      <c r="T258" s="14" t="n">
        <v>13.33</v>
      </c>
      <c r="U258" s="26">
        <f>IF(X258&gt;='Methodology &amp; Assumptions'!$B$7, "Tier 1 Critical GIDA (Score ≥ 50.0)", IF(X258&gt;='Methodology &amp; Assumptions'!$B$8, "Tier 2 High GIDA (Score 40.0–49.9)", "Tier 3 Moderate GIDA (Score &lt; 40.0)"))</f>
        <v/>
      </c>
      <c r="V258" s="26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W258" s="28" t="n">
        <v>0.011</v>
      </c>
      <c r="X258" s="14" t="n">
        <v>49.04</v>
      </c>
      <c r="Y258" s="14">
        <f>ROUND(MIN(100, (X258/69.91)*100), 2)</f>
        <v/>
      </c>
    </row>
    <row r="259">
      <c r="A259" s="10" t="n">
        <v>3</v>
      </c>
      <c r="B259" s="10" t="n">
        <v>255</v>
      </c>
      <c r="C259" s="10" t="n">
        <v>2255</v>
      </c>
      <c r="D259" s="10" t="inlineStr">
        <is>
          <t>1380605045</t>
        </is>
      </c>
      <c r="E259" s="26" t="inlineStr">
        <is>
          <t>National Capital Region (NCR)</t>
        </is>
      </c>
      <c r="F259" s="26" t="inlineStr">
        <is>
          <t>First District (Not a Province)</t>
        </is>
      </c>
      <c r="G259" s="26" t="inlineStr">
        <is>
          <t>City of Manila</t>
        </is>
      </c>
      <c r="H259" s="26" t="inlineStr">
        <is>
          <t>Barangay 343</t>
        </is>
      </c>
      <c r="I259" s="27" t="n">
        <v>13.537741</v>
      </c>
      <c r="J259" s="27" t="n">
        <v>121.422604</v>
      </c>
      <c r="K259" s="10" t="inlineStr">
        <is>
          <t>U</t>
        </is>
      </c>
      <c r="L259" s="12" t="n">
        <v>2276</v>
      </c>
      <c r="M259" s="14" t="n">
        <v>3.9</v>
      </c>
      <c r="N259" s="12">
        <f>ROUND(L259/M259, 0)</f>
        <v/>
      </c>
      <c r="O259" s="12">
        <f>ROUND(N259*'Methodology &amp; Assumptions'!$B$5, 0)</f>
        <v/>
      </c>
      <c r="P259" s="10" t="inlineStr">
        <is>
          <t>Single Carrier (Band n50, 100MHz TDD)</t>
        </is>
      </c>
      <c r="Q259" s="13">
        <f>ROUNDUP(O259/'Methodology &amp; Assumptions'!$B$6, 0)</f>
        <v/>
      </c>
      <c r="R259" s="13" t="n">
        <v>1</v>
      </c>
      <c r="S259" s="14" t="n">
        <v>17.67</v>
      </c>
      <c r="T259" s="14" t="n">
        <v>27.93</v>
      </c>
      <c r="U259" s="26">
        <f>IF(X259&gt;='Methodology &amp; Assumptions'!$B$7, "Tier 1 Critical GIDA (Score ≥ 50.0)", IF(X259&gt;='Methodology &amp; Assumptions'!$B$8, "Tier 2 High GIDA (Score 40.0–49.9)", "Tier 3 Moderate GIDA (Score &lt; 40.0)"))</f>
        <v/>
      </c>
      <c r="V259" s="26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W259" s="28" t="n">
        <v>0.109</v>
      </c>
      <c r="X259" s="14" t="n">
        <v>49.04</v>
      </c>
      <c r="Y259" s="14">
        <f>ROUND(MIN(100, (X259/69.91)*100), 2)</f>
        <v/>
      </c>
    </row>
    <row r="260">
      <c r="A260" s="10" t="n">
        <v>3</v>
      </c>
      <c r="B260" s="10" t="n">
        <v>256</v>
      </c>
      <c r="C260" s="10" t="n">
        <v>2256</v>
      </c>
      <c r="D260" s="10" t="inlineStr">
        <is>
          <t>PH0002256</t>
        </is>
      </c>
      <c r="E260" s="26" t="inlineStr">
        <is>
          <t>NCR</t>
        </is>
      </c>
      <c r="F260" s="26" t="inlineStr">
        <is>
          <t>Metro Manila</t>
        </is>
      </c>
      <c r="G260" s="26" t="inlineStr">
        <is>
          <t>Caloocan City</t>
        </is>
      </c>
      <c r="H260" s="26" t="inlineStr">
        <is>
          <t>Barangay 25</t>
        </is>
      </c>
      <c r="I260" s="27" t="n">
        <v>11.608253</v>
      </c>
      <c r="J260" s="27" t="n">
        <v>122.314243</v>
      </c>
      <c r="K260" s="10" t="inlineStr">
        <is>
          <t>R</t>
        </is>
      </c>
      <c r="L260" s="12" t="n">
        <v>2279</v>
      </c>
      <c r="M260" s="14" t="n">
        <v>3.8</v>
      </c>
      <c r="N260" s="12">
        <f>ROUND(L260/M260, 0)</f>
        <v/>
      </c>
      <c r="O260" s="12">
        <f>ROUND(N260*'Methodology &amp; Assumptions'!$B$5, 0)</f>
        <v/>
      </c>
      <c r="P260" s="10" t="inlineStr">
        <is>
          <t>Single Carrier (Band n50, 100MHz TDD)</t>
        </is>
      </c>
      <c r="Q260" s="13">
        <f>ROUNDUP(O260/'Methodology &amp; Assumptions'!$B$6, 0)</f>
        <v/>
      </c>
      <c r="R260" s="13" t="n">
        <v>1</v>
      </c>
      <c r="S260" s="14" t="n">
        <v>2.49</v>
      </c>
      <c r="T260" s="14" t="n">
        <v>3.84</v>
      </c>
      <c r="U260" s="26">
        <f>IF(X260&gt;='Methodology &amp; Assumptions'!$B$7, "Tier 1 Critical GIDA (Score ≥ 50.0)", IF(X260&gt;='Methodology &amp; Assumptions'!$B$8, "Tier 2 High GIDA (Score 40.0–49.9)", "Tier 3 Moderate GIDA (Score &lt; 40.0)"))</f>
        <v/>
      </c>
      <c r="V260" s="26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W260" s="28" t="n">
        <v>0.011</v>
      </c>
      <c r="X260" s="14" t="n">
        <v>49.04</v>
      </c>
      <c r="Y260" s="14">
        <f>ROUND(MIN(100, (X260/69.91)*100), 2)</f>
        <v/>
      </c>
    </row>
    <row r="261">
      <c r="A261" s="10" t="n">
        <v>3</v>
      </c>
      <c r="B261" s="10" t="n">
        <v>257</v>
      </c>
      <c r="C261" s="10" t="n">
        <v>2257</v>
      </c>
      <c r="D261" s="10" t="inlineStr">
        <is>
          <t>PH0002257</t>
        </is>
      </c>
      <c r="E261" s="26" t="inlineStr">
        <is>
          <t>NCR</t>
        </is>
      </c>
      <c r="F261" s="26" t="inlineStr">
        <is>
          <t>Metro Manila</t>
        </is>
      </c>
      <c r="G261" s="26" t="inlineStr">
        <is>
          <t>Caloocan City</t>
        </is>
      </c>
      <c r="H261" s="26" t="inlineStr">
        <is>
          <t>Barangay 120</t>
        </is>
      </c>
      <c r="I261" s="27" t="n">
        <v>13.46188</v>
      </c>
      <c r="J261" s="27" t="n">
        <v>120.493289</v>
      </c>
      <c r="K261" s="10" t="inlineStr">
        <is>
          <t>R</t>
        </is>
      </c>
      <c r="L261" s="12" t="n">
        <v>2279</v>
      </c>
      <c r="M261" s="14" t="n">
        <v>3.8</v>
      </c>
      <c r="N261" s="12">
        <f>ROUND(L261/M261, 0)</f>
        <v/>
      </c>
      <c r="O261" s="12">
        <f>ROUND(N261*'Methodology &amp; Assumptions'!$B$5, 0)</f>
        <v/>
      </c>
      <c r="P261" s="10" t="inlineStr">
        <is>
          <t>Single Carrier (Band n50, 100MHz TDD)</t>
        </is>
      </c>
      <c r="Q261" s="13">
        <f>ROUNDUP(O261/'Methodology &amp; Assumptions'!$B$6, 0)</f>
        <v/>
      </c>
      <c r="R261" s="13" t="n">
        <v>1</v>
      </c>
      <c r="S261" s="14" t="n">
        <v>43.3</v>
      </c>
      <c r="T261" s="14" t="n">
        <v>43.3</v>
      </c>
      <c r="U261" s="26">
        <f>IF(X261&gt;='Methodology &amp; Assumptions'!$B$7, "Tier 1 Critical GIDA (Score ≥ 50.0)", IF(X261&gt;='Methodology &amp; Assumptions'!$B$8, "Tier 2 High GIDA (Score 40.0–49.9)", "Tier 3 Moderate GIDA (Score &lt; 40.0)"))</f>
        <v/>
      </c>
      <c r="V261" s="26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W261" s="28" t="n">
        <v>0.011</v>
      </c>
      <c r="X261" s="14" t="n">
        <v>49.04</v>
      </c>
      <c r="Y261" s="14">
        <f>ROUND(MIN(100, (X261/69.91)*100), 2)</f>
        <v/>
      </c>
    </row>
    <row r="262">
      <c r="A262" s="10" t="n">
        <v>3</v>
      </c>
      <c r="B262" s="10" t="n">
        <v>258</v>
      </c>
      <c r="C262" s="10" t="n">
        <v>2258</v>
      </c>
      <c r="D262" s="10" t="inlineStr">
        <is>
          <t>1381100132</t>
        </is>
      </c>
      <c r="E262" s="26" t="inlineStr">
        <is>
          <t>National Capital Region (NCR)</t>
        </is>
      </c>
      <c r="F262" s="26" t="inlineStr">
        <is>
          <t>Fourth District (Not a Province)</t>
        </is>
      </c>
      <c r="G262" s="26" t="inlineStr">
        <is>
          <t>Pasay City</t>
        </is>
      </c>
      <c r="H262" s="26" t="inlineStr">
        <is>
          <t>Barangay 132</t>
        </is>
      </c>
      <c r="I262" s="27" t="n">
        <v>14.547959</v>
      </c>
      <c r="J262" s="27" t="n">
        <v>121.006332</v>
      </c>
      <c r="K262" s="10" t="inlineStr">
        <is>
          <t>U</t>
        </is>
      </c>
      <c r="L262" s="12" t="n">
        <v>5233</v>
      </c>
      <c r="M262" s="14" t="n">
        <v>3.4</v>
      </c>
      <c r="N262" s="12">
        <f>ROUND(L262/M262, 0)</f>
        <v/>
      </c>
      <c r="O262" s="12">
        <f>ROUND(N262*'Methodology &amp; Assumptions'!$B$5, 0)</f>
        <v/>
      </c>
      <c r="P262" s="10" t="inlineStr">
        <is>
          <t>Single Carrier (Band n50, 100MHz TDD)</t>
        </is>
      </c>
      <c r="Q262" s="13">
        <f>ROUNDUP(O262/'Methodology &amp; Assumptions'!$B$6, 0)</f>
        <v/>
      </c>
      <c r="R262" s="13" t="n">
        <v>1</v>
      </c>
      <c r="S262" s="14" t="n">
        <v>0.58</v>
      </c>
      <c r="T262" s="14" t="n">
        <v>0.29</v>
      </c>
      <c r="U262" s="26">
        <f>IF(X262&gt;='Methodology &amp; Assumptions'!$B$7, "Tier 1 Critical GIDA (Score ≥ 50.0)", IF(X262&gt;='Methodology &amp; Assumptions'!$B$8, "Tier 2 High GIDA (Score 40.0–49.9)", "Tier 3 Moderate GIDA (Score &lt; 40.0)"))</f>
        <v/>
      </c>
      <c r="V262" s="26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W262" s="28" t="n">
        <v>0.109</v>
      </c>
      <c r="X262" s="14" t="n">
        <v>49.04</v>
      </c>
      <c r="Y262" s="14">
        <f>ROUND(MIN(100, (X262/69.91)*100), 2)</f>
        <v/>
      </c>
    </row>
    <row r="263">
      <c r="A263" s="10" t="n">
        <v>3</v>
      </c>
      <c r="B263" s="10" t="n">
        <v>259</v>
      </c>
      <c r="C263" s="10" t="n">
        <v>2259</v>
      </c>
      <c r="D263" s="10" t="inlineStr">
        <is>
          <t>0403415022</t>
        </is>
      </c>
      <c r="E263" s="26" t="inlineStr">
        <is>
          <t>Region IV-A (CALABARZON)</t>
        </is>
      </c>
      <c r="F263" s="26" t="inlineStr">
        <is>
          <t>Laguna</t>
        </is>
      </c>
      <c r="G263" s="26" t="inlineStr">
        <is>
          <t>Magdalena</t>
        </is>
      </c>
      <c r="H263" s="26" t="inlineStr">
        <is>
          <t>Tanawan</t>
        </is>
      </c>
      <c r="I263" s="27" t="n">
        <v>14.202712</v>
      </c>
      <c r="J263" s="27" t="n">
        <v>121.434175</v>
      </c>
      <c r="K263" s="10" t="inlineStr">
        <is>
          <t>R</t>
        </is>
      </c>
      <c r="L263" s="12" t="n">
        <v>322</v>
      </c>
      <c r="M263" s="14" t="n">
        <v>3.3</v>
      </c>
      <c r="N263" s="12">
        <f>ROUND(L263/M263, 0)</f>
        <v/>
      </c>
      <c r="O263" s="12">
        <f>ROUND(N263*'Methodology &amp; Assumptions'!$B$5, 0)</f>
        <v/>
      </c>
      <c r="P263" s="10" t="inlineStr">
        <is>
          <t>Single Carrier (Band n50, 100MHz TDD)</t>
        </is>
      </c>
      <c r="Q263" s="13">
        <f>ROUNDUP(O263/'Methodology &amp; Assumptions'!$B$6, 0)</f>
        <v/>
      </c>
      <c r="R263" s="13" t="n">
        <v>1</v>
      </c>
      <c r="S263" s="14" t="n">
        <v>0.58</v>
      </c>
      <c r="T263" s="14" t="n">
        <v>0.47</v>
      </c>
      <c r="U263" s="26">
        <f>IF(X263&gt;='Methodology &amp; Assumptions'!$B$7, "Tier 1 Critical GIDA (Score ≥ 50.0)", IF(X263&gt;='Methodology &amp; Assumptions'!$B$8, "Tier 2 High GIDA (Score 40.0–49.9)", "Tier 3 Moderate GIDA (Score &lt; 40.0)"))</f>
        <v/>
      </c>
      <c r="V263" s="26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W263" s="28" t="n">
        <v>0.07200000000000001</v>
      </c>
      <c r="X263" s="14" t="n">
        <v>49.04</v>
      </c>
      <c r="Y263" s="14">
        <f>ROUND(MIN(100, (X263/69.91)*100), 2)</f>
        <v/>
      </c>
    </row>
    <row r="264">
      <c r="A264" s="10" t="n">
        <v>3</v>
      </c>
      <c r="B264" s="10" t="n">
        <v>260</v>
      </c>
      <c r="C264" s="10" t="n">
        <v>2260</v>
      </c>
      <c r="D264" s="10" t="inlineStr">
        <is>
          <t>1380614097</t>
        </is>
      </c>
      <c r="E264" s="26" t="inlineStr">
        <is>
          <t>National Capital Region (NCR)</t>
        </is>
      </c>
      <c r="F264" s="26" t="inlineStr">
        <is>
          <t>First District (Not a Province)</t>
        </is>
      </c>
      <c r="G264" s="26" t="inlineStr">
        <is>
          <t>City of Manila</t>
        </is>
      </c>
      <c r="H264" s="26" t="inlineStr">
        <is>
          <t>Barangay 904</t>
        </is>
      </c>
      <c r="I264" s="27" t="n">
        <v>12.625506</v>
      </c>
      <c r="J264" s="27" t="n">
        <v>122.490417</v>
      </c>
      <c r="K264" s="10" t="inlineStr">
        <is>
          <t>U</t>
        </is>
      </c>
      <c r="L264" s="12" t="n">
        <v>1852</v>
      </c>
      <c r="M264" s="14" t="n">
        <v>3.9</v>
      </c>
      <c r="N264" s="12">
        <f>ROUND(L264/M264, 0)</f>
        <v/>
      </c>
      <c r="O264" s="12">
        <f>ROUND(N264*'Methodology &amp; Assumptions'!$B$5, 0)</f>
        <v/>
      </c>
      <c r="P264" s="10" t="inlineStr">
        <is>
          <t>Single Carrier (Band n50, 100MHz TDD)</t>
        </is>
      </c>
      <c r="Q264" s="13">
        <f>ROUNDUP(O264/'Methodology &amp; Assumptions'!$B$6, 0)</f>
        <v/>
      </c>
      <c r="R264" s="13" t="n">
        <v>1</v>
      </c>
      <c r="S264" s="14" t="n">
        <v>69.56999999999999</v>
      </c>
      <c r="T264" s="14" t="n">
        <v>74.67</v>
      </c>
      <c r="U264" s="26">
        <f>IF(X264&gt;='Methodology &amp; Assumptions'!$B$7, "Tier 1 Critical GIDA (Score ≥ 50.0)", IF(X264&gt;='Methodology &amp; Assumptions'!$B$8, "Tier 2 High GIDA (Score 40.0–49.9)", "Tier 3 Moderate GIDA (Score &lt; 40.0)"))</f>
        <v/>
      </c>
      <c r="V264" s="26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W264" s="28" t="n">
        <v>0.109</v>
      </c>
      <c r="X264" s="14" t="n">
        <v>49.04</v>
      </c>
      <c r="Y264" s="14">
        <f>ROUND(MIN(100, (X264/69.91)*100), 2)</f>
        <v/>
      </c>
    </row>
    <row r="265">
      <c r="A265" s="10" t="n">
        <v>3</v>
      </c>
      <c r="B265" s="10" t="n">
        <v>261</v>
      </c>
      <c r="C265" s="10" t="n">
        <v>2261</v>
      </c>
      <c r="D265" s="10" t="inlineStr">
        <is>
          <t>1380614088</t>
        </is>
      </c>
      <c r="E265" s="26" t="inlineStr">
        <is>
          <t>National Capital Region (NCR)</t>
        </is>
      </c>
      <c r="F265" s="26" t="inlineStr">
        <is>
          <t>First District (Not a Province)</t>
        </is>
      </c>
      <c r="G265" s="26" t="inlineStr">
        <is>
          <t>City of Manila</t>
        </is>
      </c>
      <c r="H265" s="26" t="inlineStr">
        <is>
          <t>Barangay 895</t>
        </is>
      </c>
      <c r="I265" s="27" t="n">
        <v>12.594768</v>
      </c>
      <c r="J265" s="27" t="n">
        <v>121.06836</v>
      </c>
      <c r="K265" s="10" t="inlineStr">
        <is>
          <t>U</t>
        </is>
      </c>
      <c r="L265" s="12" t="n">
        <v>573</v>
      </c>
      <c r="M265" s="14" t="n">
        <v>3.9</v>
      </c>
      <c r="N265" s="12">
        <f>ROUND(L265/M265, 0)</f>
        <v/>
      </c>
      <c r="O265" s="12">
        <f>ROUND(N265*'Methodology &amp; Assumptions'!$B$5, 0)</f>
        <v/>
      </c>
      <c r="P265" s="10" t="inlineStr">
        <is>
          <t>Single Carrier (Band n50, 100MHz TDD)</t>
        </is>
      </c>
      <c r="Q265" s="13">
        <f>ROUNDUP(O265/'Methodology &amp; Assumptions'!$B$6, 0)</f>
        <v/>
      </c>
      <c r="R265" s="13" t="n">
        <v>1</v>
      </c>
      <c r="S265" s="14" t="n">
        <v>27.13</v>
      </c>
      <c r="T265" s="14" t="n">
        <v>24.65</v>
      </c>
      <c r="U265" s="26">
        <f>IF(X265&gt;='Methodology &amp; Assumptions'!$B$7, "Tier 1 Critical GIDA (Score ≥ 50.0)", IF(X265&gt;='Methodology &amp; Assumptions'!$B$8, "Tier 2 High GIDA (Score 40.0–49.9)", "Tier 3 Moderate GIDA (Score &lt; 40.0)"))</f>
        <v/>
      </c>
      <c r="V265" s="26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W265" s="28" t="n">
        <v>0.109</v>
      </c>
      <c r="X265" s="14" t="n">
        <v>49.04</v>
      </c>
      <c r="Y265" s="14">
        <f>ROUND(MIN(100, (X265/69.91)*100), 2)</f>
        <v/>
      </c>
    </row>
    <row r="266">
      <c r="A266" s="10" t="n">
        <v>3</v>
      </c>
      <c r="B266" s="10" t="n">
        <v>262</v>
      </c>
      <c r="C266" s="10" t="n">
        <v>2262</v>
      </c>
      <c r="D266" s="10" t="inlineStr">
        <is>
          <t>1400109005</t>
        </is>
      </c>
      <c r="E266" s="26" t="inlineStr">
        <is>
          <t>Cordillera Administrative Region (CAR)</t>
        </is>
      </c>
      <c r="F266" s="26" t="inlineStr">
        <is>
          <t>Abra</t>
        </is>
      </c>
      <c r="G266" s="26" t="inlineStr">
        <is>
          <t>Lacub</t>
        </is>
      </c>
      <c r="H266" s="26" t="inlineStr">
        <is>
          <t>Pacoc</t>
        </is>
      </c>
      <c r="I266" s="27" t="n">
        <v>17.666823</v>
      </c>
      <c r="J266" s="27" t="n">
        <v>120.955587</v>
      </c>
      <c r="K266" s="10" t="inlineStr">
        <is>
          <t>R</t>
        </is>
      </c>
      <c r="L266" s="12" t="n">
        <v>689</v>
      </c>
      <c r="M266" s="14" t="n">
        <v>3.8</v>
      </c>
      <c r="N266" s="12">
        <f>ROUND(L266/M266, 0)</f>
        <v/>
      </c>
      <c r="O266" s="12">
        <f>ROUND(N266*'Methodology &amp; Assumptions'!$B$5, 0)</f>
        <v/>
      </c>
      <c r="P266" s="10" t="inlineStr">
        <is>
          <t>Single Carrier (Band n50, 100MHz TDD)</t>
        </is>
      </c>
      <c r="Q266" s="13">
        <f>ROUNDUP(O266/'Methodology &amp; Assumptions'!$B$6, 0)</f>
        <v/>
      </c>
      <c r="R266" s="13" t="n">
        <v>1</v>
      </c>
      <c r="S266" s="14" t="n">
        <v>30.63</v>
      </c>
      <c r="T266" s="14" t="n">
        <v>30.61</v>
      </c>
      <c r="U266" s="26">
        <f>IF(X266&gt;='Methodology &amp; Assumptions'!$B$7, "Tier 1 Critical GIDA (Score ≥ 50.0)", IF(X266&gt;='Methodology &amp; Assumptions'!$B$8, "Tier 2 High GIDA (Score 40.0–49.9)", "Tier 3 Moderate GIDA (Score &lt; 40.0)"))</f>
        <v/>
      </c>
      <c r="V266" s="26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W266" s="28" t="n">
        <v>0.109</v>
      </c>
      <c r="X266" s="14" t="n">
        <v>49.04</v>
      </c>
      <c r="Y266" s="14">
        <f>ROUND(MIN(100, (X266/69.91)*100), 2)</f>
        <v/>
      </c>
    </row>
    <row r="267">
      <c r="A267" s="10" t="n">
        <v>3</v>
      </c>
      <c r="B267" s="10" t="n">
        <v>263</v>
      </c>
      <c r="C267" s="10" t="n">
        <v>2263</v>
      </c>
      <c r="D267" s="10" t="inlineStr">
        <is>
          <t>PH0002263</t>
        </is>
      </c>
      <c r="E267" s="26" t="inlineStr">
        <is>
          <t>NCR</t>
        </is>
      </c>
      <c r="F267" s="26" t="inlineStr">
        <is>
          <t>Metro Manila</t>
        </is>
      </c>
      <c r="G267" s="26" t="inlineStr">
        <is>
          <t>Caloocan City</t>
        </is>
      </c>
      <c r="H267" s="26" t="inlineStr">
        <is>
          <t>Barangay 94</t>
        </is>
      </c>
      <c r="I267" s="27" t="n">
        <v>13.294344</v>
      </c>
      <c r="J267" s="27" t="n">
        <v>123.123025</v>
      </c>
      <c r="K267" s="10" t="inlineStr">
        <is>
          <t>R</t>
        </is>
      </c>
      <c r="L267" s="12" t="n">
        <v>2279</v>
      </c>
      <c r="M267" s="14" t="n">
        <v>3.8</v>
      </c>
      <c r="N267" s="12">
        <f>ROUND(L267/M267, 0)</f>
        <v/>
      </c>
      <c r="O267" s="12">
        <f>ROUND(N267*'Methodology &amp; Assumptions'!$B$5, 0)</f>
        <v/>
      </c>
      <c r="P267" s="10" t="inlineStr">
        <is>
          <t>Single Carrier (Band n50, 100MHz TDD)</t>
        </is>
      </c>
      <c r="Q267" s="13">
        <f>ROUNDUP(O267/'Methodology &amp; Assumptions'!$B$6, 0)</f>
        <v/>
      </c>
      <c r="R267" s="13" t="n">
        <v>1</v>
      </c>
      <c r="S267" s="14" t="n">
        <v>12.44</v>
      </c>
      <c r="T267" s="14" t="n">
        <v>24.97</v>
      </c>
      <c r="U267" s="26">
        <f>IF(X267&gt;='Methodology &amp; Assumptions'!$B$7, "Tier 1 Critical GIDA (Score ≥ 50.0)", IF(X267&gt;='Methodology &amp; Assumptions'!$B$8, "Tier 2 High GIDA (Score 40.0–49.9)", "Tier 3 Moderate GIDA (Score &lt; 40.0)"))</f>
        <v/>
      </c>
      <c r="V267" s="26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W267" s="28" t="n">
        <v>0.011</v>
      </c>
      <c r="X267" s="14" t="n">
        <v>49.04</v>
      </c>
      <c r="Y267" s="14">
        <f>ROUND(MIN(100, (X267/69.91)*100), 2)</f>
        <v/>
      </c>
    </row>
    <row r="268">
      <c r="A268" s="10" t="n">
        <v>3</v>
      </c>
      <c r="B268" s="10" t="n">
        <v>264</v>
      </c>
      <c r="C268" s="10" t="n">
        <v>2264</v>
      </c>
      <c r="D268" s="10" t="inlineStr">
        <is>
          <t>PH0002264</t>
        </is>
      </c>
      <c r="E268" s="26" t="inlineStr">
        <is>
          <t>NCR</t>
        </is>
      </c>
      <c r="F268" s="26" t="inlineStr">
        <is>
          <t>Metro Manila</t>
        </is>
      </c>
      <c r="G268" s="26" t="inlineStr">
        <is>
          <t>Caloocan City</t>
        </is>
      </c>
      <c r="H268" s="26" t="inlineStr">
        <is>
          <t>Barangay 116</t>
        </is>
      </c>
      <c r="I268" s="27" t="n">
        <v>11.684365</v>
      </c>
      <c r="J268" s="27" t="n">
        <v>121.066062</v>
      </c>
      <c r="K268" s="10" t="inlineStr">
        <is>
          <t>R</t>
        </is>
      </c>
      <c r="L268" s="12" t="n">
        <v>2279</v>
      </c>
      <c r="M268" s="14" t="n">
        <v>3.8</v>
      </c>
      <c r="N268" s="12">
        <f>ROUND(L268/M268, 0)</f>
        <v/>
      </c>
      <c r="O268" s="12">
        <f>ROUND(N268*'Methodology &amp; Assumptions'!$B$5, 0)</f>
        <v/>
      </c>
      <c r="P268" s="10" t="inlineStr">
        <is>
          <t>Single Carrier (Band n50, 100MHz TDD)</t>
        </is>
      </c>
      <c r="Q268" s="13">
        <f>ROUNDUP(O268/'Methodology &amp; Assumptions'!$B$6, 0)</f>
        <v/>
      </c>
      <c r="R268" s="13" t="n">
        <v>1</v>
      </c>
      <c r="S268" s="14" t="n">
        <v>70.04000000000001</v>
      </c>
      <c r="T268" s="14" t="n">
        <v>68.41</v>
      </c>
      <c r="U268" s="26">
        <f>IF(X268&gt;='Methodology &amp; Assumptions'!$B$7, "Tier 1 Critical GIDA (Score ≥ 50.0)", IF(X268&gt;='Methodology &amp; Assumptions'!$B$8, "Tier 2 High GIDA (Score 40.0–49.9)", "Tier 3 Moderate GIDA (Score &lt; 40.0)"))</f>
        <v/>
      </c>
      <c r="V268" s="26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W268" s="28" t="n">
        <v>0.011</v>
      </c>
      <c r="X268" s="14" t="n">
        <v>49.04</v>
      </c>
      <c r="Y268" s="14">
        <f>ROUND(MIN(100, (X268/69.91)*100), 2)</f>
        <v/>
      </c>
    </row>
    <row r="269">
      <c r="A269" s="10" t="n">
        <v>3</v>
      </c>
      <c r="B269" s="10" t="n">
        <v>265</v>
      </c>
      <c r="C269" s="10" t="n">
        <v>2265</v>
      </c>
      <c r="D269" s="10" t="inlineStr">
        <is>
          <t>0806014001</t>
        </is>
      </c>
      <c r="E269" s="26" t="inlineStr">
        <is>
          <t>Region VIII (Eastern Visayas)</t>
        </is>
      </c>
      <c r="F269" s="26" t="inlineStr">
        <is>
          <t>Samar</t>
        </is>
      </c>
      <c r="G269" s="26" t="inlineStr">
        <is>
          <t>San Jose De Buan</t>
        </is>
      </c>
      <c r="H269" s="26" t="inlineStr">
        <is>
          <t>Aguingayan</t>
        </is>
      </c>
      <c r="I269" s="27" t="n">
        <v>12.11603</v>
      </c>
      <c r="J269" s="27" t="n">
        <v>125.0397</v>
      </c>
      <c r="K269" s="10" t="inlineStr">
        <is>
          <t>R</t>
        </is>
      </c>
      <c r="L269" s="12" t="n">
        <v>390</v>
      </c>
      <c r="M269" s="14" t="n">
        <v>4.1</v>
      </c>
      <c r="N269" s="12">
        <f>ROUND(L269/M269, 0)</f>
        <v/>
      </c>
      <c r="O269" s="12">
        <f>ROUND(N269*'Methodology &amp; Assumptions'!$B$5, 0)</f>
        <v/>
      </c>
      <c r="P269" s="10" t="inlineStr">
        <is>
          <t>Single Carrier (Band n50, 100MHz TDD)</t>
        </is>
      </c>
      <c r="Q269" s="13">
        <f>ROUNDUP(O269/'Methodology &amp; Assumptions'!$B$6, 0)</f>
        <v/>
      </c>
      <c r="R269" s="13" t="n">
        <v>1</v>
      </c>
      <c r="S269" s="14" t="n">
        <v>97.54000000000001</v>
      </c>
      <c r="T269" s="14" t="n">
        <v>98.38</v>
      </c>
      <c r="U269" s="26">
        <f>IF(X269&gt;='Methodology &amp; Assumptions'!$B$7, "Tier 1 Critical GIDA (Score ≥ 50.0)", IF(X269&gt;='Methodology &amp; Assumptions'!$B$8, "Tier 2 High GIDA (Score 40.0–49.9)", "Tier 3 Moderate GIDA (Score &lt; 40.0)"))</f>
        <v/>
      </c>
      <c r="V269" s="26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W269" s="28" t="n">
        <v>0.237</v>
      </c>
      <c r="X269" s="14" t="n">
        <v>49.04</v>
      </c>
      <c r="Y269" s="14">
        <f>ROUND(MIN(100, (X269/69.91)*100), 2)</f>
        <v/>
      </c>
    </row>
    <row r="270">
      <c r="A270" s="10" t="n">
        <v>3</v>
      </c>
      <c r="B270" s="10" t="n">
        <v>266</v>
      </c>
      <c r="C270" s="10" t="n">
        <v>2266</v>
      </c>
      <c r="D270" s="10" t="inlineStr">
        <is>
          <t>1380612016</t>
        </is>
      </c>
      <c r="E270" s="26" t="inlineStr">
        <is>
          <t>National Capital Region (NCR)</t>
        </is>
      </c>
      <c r="F270" s="26" t="inlineStr">
        <is>
          <t>First District (Not a Province)</t>
        </is>
      </c>
      <c r="G270" s="26" t="inlineStr">
        <is>
          <t>City of Manila</t>
        </is>
      </c>
      <c r="H270" s="26" t="inlineStr">
        <is>
          <t>Barangay 848</t>
        </is>
      </c>
      <c r="I270" s="27" t="n">
        <v>13.555727</v>
      </c>
      <c r="J270" s="27" t="n">
        <v>122.097372</v>
      </c>
      <c r="K270" s="10" t="inlineStr">
        <is>
          <t>U</t>
        </is>
      </c>
      <c r="L270" s="12" t="n">
        <v>1634</v>
      </c>
      <c r="M270" s="14" t="n">
        <v>3.9</v>
      </c>
      <c r="N270" s="12">
        <f>ROUND(L270/M270, 0)</f>
        <v/>
      </c>
      <c r="O270" s="12">
        <f>ROUND(N270*'Methodology &amp; Assumptions'!$B$5, 0)</f>
        <v/>
      </c>
      <c r="P270" s="10" t="inlineStr">
        <is>
          <t>Single Carrier (Band n50, 100MHz TDD)</t>
        </is>
      </c>
      <c r="Q270" s="13">
        <f>ROUNDUP(O270/'Methodology &amp; Assumptions'!$B$6, 0)</f>
        <v/>
      </c>
      <c r="R270" s="13" t="n">
        <v>1</v>
      </c>
      <c r="S270" s="14" t="n">
        <v>17.3</v>
      </c>
      <c r="T270" s="14" t="n">
        <v>16.51</v>
      </c>
      <c r="U270" s="26">
        <f>IF(X270&gt;='Methodology &amp; Assumptions'!$B$7, "Tier 1 Critical GIDA (Score ≥ 50.0)", IF(X270&gt;='Methodology &amp; Assumptions'!$B$8, "Tier 2 High GIDA (Score 40.0–49.9)", "Tier 3 Moderate GIDA (Score &lt; 40.0)"))</f>
        <v/>
      </c>
      <c r="V270" s="26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W270" s="28" t="n">
        <v>0.109</v>
      </c>
      <c r="X270" s="14" t="n">
        <v>49.03</v>
      </c>
      <c r="Y270" s="14">
        <f>ROUND(MIN(100, (X270/69.91)*100), 2)</f>
        <v/>
      </c>
    </row>
    <row r="271">
      <c r="A271" s="10" t="n">
        <v>3</v>
      </c>
      <c r="B271" s="10" t="n">
        <v>267</v>
      </c>
      <c r="C271" s="10" t="n">
        <v>2267</v>
      </c>
      <c r="D271" s="10" t="inlineStr">
        <is>
          <t>1381100188</t>
        </is>
      </c>
      <c r="E271" s="26" t="inlineStr">
        <is>
          <t>National Capital Region (NCR)</t>
        </is>
      </c>
      <c r="F271" s="26" t="inlineStr">
        <is>
          <t>Fourth District (Not a Province)</t>
        </is>
      </c>
      <c r="G271" s="26" t="inlineStr">
        <is>
          <t>Pasay City</t>
        </is>
      </c>
      <c r="H271" s="26" t="inlineStr">
        <is>
          <t>Barangay 188</t>
        </is>
      </c>
      <c r="I271" s="27" t="n">
        <v>14.464292</v>
      </c>
      <c r="J271" s="27" t="n">
        <v>121.127973</v>
      </c>
      <c r="K271" s="10" t="inlineStr">
        <is>
          <t>U</t>
        </is>
      </c>
      <c r="L271" s="12" t="n">
        <v>2154</v>
      </c>
      <c r="M271" s="14" t="n">
        <v>3.4</v>
      </c>
      <c r="N271" s="12">
        <f>ROUND(L271/M271, 0)</f>
        <v/>
      </c>
      <c r="O271" s="12">
        <f>ROUND(N271*'Methodology &amp; Assumptions'!$B$5, 0)</f>
        <v/>
      </c>
      <c r="P271" s="10" t="inlineStr">
        <is>
          <t>Single Carrier (Band n50, 100MHz TDD)</t>
        </is>
      </c>
      <c r="Q271" s="13">
        <f>ROUNDUP(O271/'Methodology &amp; Assumptions'!$B$6, 0)</f>
        <v/>
      </c>
      <c r="R271" s="13" t="n">
        <v>1</v>
      </c>
      <c r="S271" s="14" t="n">
        <v>6.44</v>
      </c>
      <c r="T271" s="14" t="n">
        <v>6.25</v>
      </c>
      <c r="U271" s="26">
        <f>IF(X271&gt;='Methodology &amp; Assumptions'!$B$7, "Tier 1 Critical GIDA (Score ≥ 50.0)", IF(X271&gt;='Methodology &amp; Assumptions'!$B$8, "Tier 2 High GIDA (Score 40.0–49.9)", "Tier 3 Moderate GIDA (Score &lt; 40.0)"))</f>
        <v/>
      </c>
      <c r="V271" s="26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W271" s="28" t="n">
        <v>0.109</v>
      </c>
      <c r="X271" s="14" t="n">
        <v>49.03</v>
      </c>
      <c r="Y271" s="14">
        <f>ROUND(MIN(100, (X271/69.91)*100), 2)</f>
        <v/>
      </c>
    </row>
    <row r="272">
      <c r="A272" s="10" t="n">
        <v>3</v>
      </c>
      <c r="B272" s="10" t="n">
        <v>268</v>
      </c>
      <c r="C272" s="10" t="n">
        <v>2268</v>
      </c>
      <c r="D272" s="10" t="inlineStr">
        <is>
          <t>1380614095</t>
        </is>
      </c>
      <c r="E272" s="26" t="inlineStr">
        <is>
          <t>National Capital Region (NCR)</t>
        </is>
      </c>
      <c r="F272" s="26" t="inlineStr">
        <is>
          <t>First District (Not a Province)</t>
        </is>
      </c>
      <c r="G272" s="26" t="inlineStr">
        <is>
          <t>City of Manila</t>
        </is>
      </c>
      <c r="H272" s="26" t="inlineStr">
        <is>
          <t>Barangay 902</t>
        </is>
      </c>
      <c r="I272" s="27" t="n">
        <v>12.167023</v>
      </c>
      <c r="J272" s="27" t="n">
        <v>122.004506</v>
      </c>
      <c r="K272" s="10" t="inlineStr">
        <is>
          <t>U</t>
        </is>
      </c>
      <c r="L272" s="12" t="n">
        <v>1368</v>
      </c>
      <c r="M272" s="14" t="n">
        <v>3.9</v>
      </c>
      <c r="N272" s="12">
        <f>ROUND(L272/M272, 0)</f>
        <v/>
      </c>
      <c r="O272" s="12">
        <f>ROUND(N272*'Methodology &amp; Assumptions'!$B$5, 0)</f>
        <v/>
      </c>
      <c r="P272" s="10" t="inlineStr">
        <is>
          <t>Single Carrier (Band n50, 100MHz TDD)</t>
        </is>
      </c>
      <c r="Q272" s="13">
        <f>ROUNDUP(O272/'Methodology &amp; Assumptions'!$B$6, 0)</f>
        <v/>
      </c>
      <c r="R272" s="13" t="n">
        <v>1</v>
      </c>
      <c r="S272" s="14" t="n">
        <v>25.14</v>
      </c>
      <c r="T272" s="14" t="n">
        <v>5.79</v>
      </c>
      <c r="U272" s="26">
        <f>IF(X272&gt;='Methodology &amp; Assumptions'!$B$7, "Tier 1 Critical GIDA (Score ≥ 50.0)", IF(X272&gt;='Methodology &amp; Assumptions'!$B$8, "Tier 2 High GIDA (Score 40.0–49.9)", "Tier 3 Moderate GIDA (Score &lt; 40.0)"))</f>
        <v/>
      </c>
      <c r="V272" s="26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W272" s="28" t="n">
        <v>0.109</v>
      </c>
      <c r="X272" s="14" t="n">
        <v>49.03</v>
      </c>
      <c r="Y272" s="14">
        <f>ROUND(MIN(100, (X272/69.91)*100), 2)</f>
        <v/>
      </c>
    </row>
    <row r="273">
      <c r="A273" s="10" t="n">
        <v>3</v>
      </c>
      <c r="B273" s="10" t="n">
        <v>269</v>
      </c>
      <c r="C273" s="10" t="n">
        <v>2269</v>
      </c>
      <c r="D273" s="10" t="inlineStr">
        <is>
          <t>0102903035</t>
        </is>
      </c>
      <c r="E273" s="26" t="inlineStr">
        <is>
          <t>Region I (Ilocos Region)</t>
        </is>
      </c>
      <c r="F273" s="26" t="inlineStr">
        <is>
          <t>Ilocos Sur</t>
        </is>
      </c>
      <c r="G273" s="26" t="inlineStr">
        <is>
          <t>Bantay</t>
        </is>
      </c>
      <c r="H273" s="26" t="inlineStr">
        <is>
          <t>Barangay 6</t>
        </is>
      </c>
      <c r="I273" s="27" t="n">
        <v>17.568935</v>
      </c>
      <c r="J273" s="27" t="n">
        <v>120.433611</v>
      </c>
      <c r="K273" s="10" t="inlineStr">
        <is>
          <t>R</t>
        </is>
      </c>
      <c r="L273" s="12" t="n">
        <v>500</v>
      </c>
      <c r="M273" s="14" t="n">
        <v>3.8</v>
      </c>
      <c r="N273" s="12">
        <f>ROUND(L273/M273, 0)</f>
        <v/>
      </c>
      <c r="O273" s="12">
        <f>ROUND(N273*'Methodology &amp; Assumptions'!$B$5, 0)</f>
        <v/>
      </c>
      <c r="P273" s="10" t="inlineStr">
        <is>
          <t>Single Carrier (Band n50, 100MHz TDD)</t>
        </is>
      </c>
      <c r="Q273" s="13">
        <f>ROUNDUP(O273/'Methodology &amp; Assumptions'!$B$6, 0)</f>
        <v/>
      </c>
      <c r="R273" s="13" t="n">
        <v>1</v>
      </c>
      <c r="S273" s="14" t="n">
        <v>5.34</v>
      </c>
      <c r="T273" s="14" t="n">
        <v>2.2</v>
      </c>
      <c r="U273" s="26">
        <f>IF(X273&gt;='Methodology &amp; Assumptions'!$B$7, "Tier 1 Critical GIDA (Score ≥ 50.0)", IF(X273&gt;='Methodology &amp; Assumptions'!$B$8, "Tier 2 High GIDA (Score 40.0–49.9)", "Tier 3 Moderate GIDA (Score &lt; 40.0)"))</f>
        <v/>
      </c>
      <c r="V273" s="26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W273" s="28" t="n">
        <v>0.083</v>
      </c>
      <c r="X273" s="14" t="n">
        <v>49.03</v>
      </c>
      <c r="Y273" s="14">
        <f>ROUND(MIN(100, (X273/69.91)*100), 2)</f>
        <v/>
      </c>
    </row>
    <row r="274">
      <c r="A274" s="10" t="n">
        <v>3</v>
      </c>
      <c r="B274" s="10" t="n">
        <v>270</v>
      </c>
      <c r="C274" s="10" t="n">
        <v>2270</v>
      </c>
      <c r="D274" s="10" t="inlineStr">
        <is>
          <t>1380611041</t>
        </is>
      </c>
      <c r="E274" s="26" t="inlineStr">
        <is>
          <t>National Capital Region (NCR)</t>
        </is>
      </c>
      <c r="F274" s="26" t="inlineStr">
        <is>
          <t>First District (Not a Province)</t>
        </is>
      </c>
      <c r="G274" s="26" t="inlineStr">
        <is>
          <t>City of Manila</t>
        </is>
      </c>
      <c r="H274" s="26" t="inlineStr">
        <is>
          <t>Barangay 826</t>
        </is>
      </c>
      <c r="I274" s="27" t="n">
        <v>13.254006</v>
      </c>
      <c r="J274" s="27" t="n">
        <v>121.10895</v>
      </c>
      <c r="K274" s="10" t="inlineStr">
        <is>
          <t>U</t>
        </is>
      </c>
      <c r="L274" s="12" t="n">
        <v>1813</v>
      </c>
      <c r="M274" s="14" t="n">
        <v>3.9</v>
      </c>
      <c r="N274" s="12">
        <f>ROUND(L274/M274, 0)</f>
        <v/>
      </c>
      <c r="O274" s="12">
        <f>ROUND(N274*'Methodology &amp; Assumptions'!$B$5, 0)</f>
        <v/>
      </c>
      <c r="P274" s="10" t="inlineStr">
        <is>
          <t>Single Carrier (Band n50, 100MHz TDD)</t>
        </is>
      </c>
      <c r="Q274" s="13">
        <f>ROUNDUP(O274/'Methodology &amp; Assumptions'!$B$6, 0)</f>
        <v/>
      </c>
      <c r="R274" s="13" t="n">
        <v>1</v>
      </c>
      <c r="S274" s="14" t="n">
        <v>10.63</v>
      </c>
      <c r="T274" s="14" t="n">
        <v>10.55</v>
      </c>
      <c r="U274" s="26">
        <f>IF(X274&gt;='Methodology &amp; Assumptions'!$B$7, "Tier 1 Critical GIDA (Score ≥ 50.0)", IF(X274&gt;='Methodology &amp; Assumptions'!$B$8, "Tier 2 High GIDA (Score 40.0–49.9)", "Tier 3 Moderate GIDA (Score &lt; 40.0)"))</f>
        <v/>
      </c>
      <c r="V274" s="26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W274" s="28" t="n">
        <v>0.109</v>
      </c>
      <c r="X274" s="14" t="n">
        <v>49.03</v>
      </c>
      <c r="Y274" s="14">
        <f>ROUND(MIN(100, (X274/69.91)*100), 2)</f>
        <v/>
      </c>
    </row>
    <row r="275">
      <c r="A275" s="10" t="n">
        <v>3</v>
      </c>
      <c r="B275" s="10" t="n">
        <v>271</v>
      </c>
      <c r="C275" s="10" t="n">
        <v>2271</v>
      </c>
      <c r="D275" s="10" t="inlineStr">
        <is>
          <t>1380605054</t>
        </is>
      </c>
      <c r="E275" s="26" t="inlineStr">
        <is>
          <t>National Capital Region (NCR)</t>
        </is>
      </c>
      <c r="F275" s="26" t="inlineStr">
        <is>
          <t>First District (Not a Province)</t>
        </is>
      </c>
      <c r="G275" s="26" t="inlineStr">
        <is>
          <t>City of Manila</t>
        </is>
      </c>
      <c r="H275" s="26" t="inlineStr">
        <is>
          <t>Barangay 352</t>
        </is>
      </c>
      <c r="I275" s="27" t="n">
        <v>13.042021</v>
      </c>
      <c r="J275" s="27" t="n">
        <v>122.525082</v>
      </c>
      <c r="K275" s="10" t="inlineStr">
        <is>
          <t>U</t>
        </is>
      </c>
      <c r="L275" s="12" t="n">
        <v>1383</v>
      </c>
      <c r="M275" s="14" t="n">
        <v>3.9</v>
      </c>
      <c r="N275" s="12">
        <f>ROUND(L275/M275, 0)</f>
        <v/>
      </c>
      <c r="O275" s="12">
        <f>ROUND(N275*'Methodology &amp; Assumptions'!$B$5, 0)</f>
        <v/>
      </c>
      <c r="P275" s="10" t="inlineStr">
        <is>
          <t>Single Carrier (Band n50, 100MHz TDD)</t>
        </is>
      </c>
      <c r="Q275" s="13">
        <f>ROUNDUP(O275/'Methodology &amp; Assumptions'!$B$6, 0)</f>
        <v/>
      </c>
      <c r="R275" s="13" t="n">
        <v>1</v>
      </c>
      <c r="S275" s="14" t="n">
        <v>26.81</v>
      </c>
      <c r="T275" s="14" t="n">
        <v>55.5</v>
      </c>
      <c r="U275" s="26">
        <f>IF(X275&gt;='Methodology &amp; Assumptions'!$B$7, "Tier 1 Critical GIDA (Score ≥ 50.0)", IF(X275&gt;='Methodology &amp; Assumptions'!$B$8, "Tier 2 High GIDA (Score 40.0–49.9)", "Tier 3 Moderate GIDA (Score &lt; 40.0)"))</f>
        <v/>
      </c>
      <c r="V275" s="26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W275" s="28" t="n">
        <v>0.109</v>
      </c>
      <c r="X275" s="14" t="n">
        <v>49.03</v>
      </c>
      <c r="Y275" s="14">
        <f>ROUND(MIN(100, (X275/69.91)*100), 2)</f>
        <v/>
      </c>
    </row>
    <row r="276">
      <c r="A276" s="10" t="n">
        <v>3</v>
      </c>
      <c r="B276" s="10" t="n">
        <v>272</v>
      </c>
      <c r="C276" s="10" t="n">
        <v>2272</v>
      </c>
      <c r="D276" s="10" t="inlineStr">
        <is>
          <t>PH0002272</t>
        </is>
      </c>
      <c r="E276" s="26" t="inlineStr">
        <is>
          <t>NCR</t>
        </is>
      </c>
      <c r="F276" s="26" t="inlineStr">
        <is>
          <t>Metro Manila</t>
        </is>
      </c>
      <c r="G276" s="26" t="inlineStr">
        <is>
          <t>Caloocan City</t>
        </is>
      </c>
      <c r="H276" s="26" t="inlineStr">
        <is>
          <t>Barangay 55</t>
        </is>
      </c>
      <c r="I276" s="27" t="n">
        <v>14.228554</v>
      </c>
      <c r="J276" s="27" t="n">
        <v>121.467249</v>
      </c>
      <c r="K276" s="10" t="inlineStr">
        <is>
          <t>R</t>
        </is>
      </c>
      <c r="L276" s="12" t="n">
        <v>2279</v>
      </c>
      <c r="M276" s="14" t="n">
        <v>3.8</v>
      </c>
      <c r="N276" s="12">
        <f>ROUND(L276/M276, 0)</f>
        <v/>
      </c>
      <c r="O276" s="12">
        <f>ROUND(N276*'Methodology &amp; Assumptions'!$B$5, 0)</f>
        <v/>
      </c>
      <c r="P276" s="10" t="inlineStr">
        <is>
          <t>Single Carrier (Band n50, 100MHz TDD)</t>
        </is>
      </c>
      <c r="Q276" s="13">
        <f>ROUNDUP(O276/'Methodology &amp; Assumptions'!$B$6, 0)</f>
        <v/>
      </c>
      <c r="R276" s="13" t="n">
        <v>1</v>
      </c>
      <c r="S276" s="14" t="n">
        <v>4.14</v>
      </c>
      <c r="T276" s="14" t="n">
        <v>3.76</v>
      </c>
      <c r="U276" s="26">
        <f>IF(X276&gt;='Methodology &amp; Assumptions'!$B$7, "Tier 1 Critical GIDA (Score ≥ 50.0)", IF(X276&gt;='Methodology &amp; Assumptions'!$B$8, "Tier 2 High GIDA (Score 40.0–49.9)", "Tier 3 Moderate GIDA (Score &lt; 40.0)"))</f>
        <v/>
      </c>
      <c r="V276" s="26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W276" s="28" t="n">
        <v>0.011</v>
      </c>
      <c r="X276" s="14" t="n">
        <v>49.03</v>
      </c>
      <c r="Y276" s="14">
        <f>ROUND(MIN(100, (X276/69.91)*100), 2)</f>
        <v/>
      </c>
    </row>
    <row r="277">
      <c r="A277" s="10" t="n">
        <v>3</v>
      </c>
      <c r="B277" s="10" t="n">
        <v>273</v>
      </c>
      <c r="C277" s="10" t="n">
        <v>2273</v>
      </c>
      <c r="D277" s="10" t="inlineStr">
        <is>
          <t>1380601158</t>
        </is>
      </c>
      <c r="E277" s="26" t="inlineStr">
        <is>
          <t>National Capital Region (NCR)</t>
        </is>
      </c>
      <c r="F277" s="26" t="inlineStr">
        <is>
          <t>First District (Not a Province)</t>
        </is>
      </c>
      <c r="G277" s="26" t="inlineStr">
        <is>
          <t>City of Manila</t>
        </is>
      </c>
      <c r="H277" s="26" t="inlineStr">
        <is>
          <t>Barangay 158</t>
        </is>
      </c>
      <c r="I277" s="27" t="n">
        <v>12.264262</v>
      </c>
      <c r="J277" s="27" t="n">
        <v>121.331943</v>
      </c>
      <c r="K277" s="10" t="inlineStr">
        <is>
          <t>U</t>
        </is>
      </c>
      <c r="L277" s="12" t="n">
        <v>1993</v>
      </c>
      <c r="M277" s="14" t="n">
        <v>3.9</v>
      </c>
      <c r="N277" s="12">
        <f>ROUND(L277/M277, 0)</f>
        <v/>
      </c>
      <c r="O277" s="12">
        <f>ROUND(N277*'Methodology &amp; Assumptions'!$B$5, 0)</f>
        <v/>
      </c>
      <c r="P277" s="10" t="inlineStr">
        <is>
          <t>Single Carrier (Band n50, 100MHz TDD)</t>
        </is>
      </c>
      <c r="Q277" s="13">
        <f>ROUNDUP(O277/'Methodology &amp; Assumptions'!$B$6, 0)</f>
        <v/>
      </c>
      <c r="R277" s="13" t="n">
        <v>1</v>
      </c>
      <c r="S277" s="14" t="n">
        <v>7.5</v>
      </c>
      <c r="T277" s="14" t="n">
        <v>3.32</v>
      </c>
      <c r="U277" s="26">
        <f>IF(X277&gt;='Methodology &amp; Assumptions'!$B$7, "Tier 1 Critical GIDA (Score ≥ 50.0)", IF(X277&gt;='Methodology &amp; Assumptions'!$B$8, "Tier 2 High GIDA (Score 40.0–49.9)", "Tier 3 Moderate GIDA (Score &lt; 40.0)"))</f>
        <v/>
      </c>
      <c r="V277" s="26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W277" s="28" t="n">
        <v>0.109</v>
      </c>
      <c r="X277" s="14" t="n">
        <v>49.03</v>
      </c>
      <c r="Y277" s="14">
        <f>ROUND(MIN(100, (X277/69.91)*100), 2)</f>
        <v/>
      </c>
    </row>
    <row r="278">
      <c r="A278" s="10" t="n">
        <v>3</v>
      </c>
      <c r="B278" s="10" t="n">
        <v>274</v>
      </c>
      <c r="C278" s="10" t="n">
        <v>2274</v>
      </c>
      <c r="D278" s="10" t="inlineStr">
        <is>
          <t>1381100105</t>
        </is>
      </c>
      <c r="E278" s="26" t="inlineStr">
        <is>
          <t>National Capital Region (NCR)</t>
        </is>
      </c>
      <c r="F278" s="26" t="inlineStr">
        <is>
          <t>Fourth District (Not a Province)</t>
        </is>
      </c>
      <c r="G278" s="26" t="inlineStr">
        <is>
          <t>Pasay City</t>
        </is>
      </c>
      <c r="H278" s="26" t="inlineStr">
        <is>
          <t>Barangay 105</t>
        </is>
      </c>
      <c r="I278" s="27" t="n">
        <v>14.515919</v>
      </c>
      <c r="J278" s="27" t="n">
        <v>120.857245</v>
      </c>
      <c r="K278" s="10" t="inlineStr">
        <is>
          <t>U</t>
        </is>
      </c>
      <c r="L278" s="12" t="n">
        <v>583</v>
      </c>
      <c r="M278" s="14" t="n">
        <v>3.4</v>
      </c>
      <c r="N278" s="12">
        <f>ROUND(L278/M278, 0)</f>
        <v/>
      </c>
      <c r="O278" s="12">
        <f>ROUND(N278*'Methodology &amp; Assumptions'!$B$5, 0)</f>
        <v/>
      </c>
      <c r="P278" s="10" t="inlineStr">
        <is>
          <t>Single Carrier (Band n50, 100MHz TDD)</t>
        </is>
      </c>
      <c r="Q278" s="13">
        <f>ROUNDUP(O278/'Methodology &amp; Assumptions'!$B$6, 0)</f>
        <v/>
      </c>
      <c r="R278" s="13" t="n">
        <v>1</v>
      </c>
      <c r="S278" s="14" t="n">
        <v>5.62</v>
      </c>
      <c r="T278" s="14" t="n">
        <v>9.85</v>
      </c>
      <c r="U278" s="26">
        <f>IF(X278&gt;='Methodology &amp; Assumptions'!$B$7, "Tier 1 Critical GIDA (Score ≥ 50.0)", IF(X278&gt;='Methodology &amp; Assumptions'!$B$8, "Tier 2 High GIDA (Score 40.0–49.9)", "Tier 3 Moderate GIDA (Score &lt; 40.0)"))</f>
        <v/>
      </c>
      <c r="V278" s="26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W278" s="28" t="n">
        <v>0.109</v>
      </c>
      <c r="X278" s="14" t="n">
        <v>49.03</v>
      </c>
      <c r="Y278" s="14">
        <f>ROUND(MIN(100, (X278/69.91)*100), 2)</f>
        <v/>
      </c>
    </row>
    <row r="279">
      <c r="A279" s="10" t="n">
        <v>3</v>
      </c>
      <c r="B279" s="10" t="n">
        <v>275</v>
      </c>
      <c r="C279" s="10" t="n">
        <v>2275</v>
      </c>
      <c r="D279" s="10" t="inlineStr">
        <is>
          <t>1380605023</t>
        </is>
      </c>
      <c r="E279" s="26" t="inlineStr">
        <is>
          <t>National Capital Region (NCR)</t>
        </is>
      </c>
      <c r="F279" s="26" t="inlineStr">
        <is>
          <t>First District (Not a Province)</t>
        </is>
      </c>
      <c r="G279" s="26" t="inlineStr">
        <is>
          <t>City of Manila</t>
        </is>
      </c>
      <c r="H279" s="26" t="inlineStr">
        <is>
          <t>Barangay 321</t>
        </is>
      </c>
      <c r="I279" s="27" t="n">
        <v>13.625922</v>
      </c>
      <c r="J279" s="27" t="n">
        <v>121.673222</v>
      </c>
      <c r="K279" s="10" t="inlineStr">
        <is>
          <t>U</t>
        </is>
      </c>
      <c r="L279" s="12" t="n">
        <v>247</v>
      </c>
      <c r="M279" s="14" t="n">
        <v>3.9</v>
      </c>
      <c r="N279" s="12">
        <f>ROUND(L279/M279, 0)</f>
        <v/>
      </c>
      <c r="O279" s="12">
        <f>ROUND(N279*'Methodology &amp; Assumptions'!$B$5, 0)</f>
        <v/>
      </c>
      <c r="P279" s="10" t="inlineStr">
        <is>
          <t>Single Carrier (Band n50, 100MHz TDD)</t>
        </is>
      </c>
      <c r="Q279" s="13">
        <f>ROUNDUP(O279/'Methodology &amp; Assumptions'!$B$6, 0)</f>
        <v/>
      </c>
      <c r="R279" s="13" t="n">
        <v>1</v>
      </c>
      <c r="S279" s="14" t="n">
        <v>27.09</v>
      </c>
      <c r="T279" s="14" t="n">
        <v>31.08</v>
      </c>
      <c r="U279" s="26">
        <f>IF(X279&gt;='Methodology &amp; Assumptions'!$B$7, "Tier 1 Critical GIDA (Score ≥ 50.0)", IF(X279&gt;='Methodology &amp; Assumptions'!$B$8, "Tier 2 High GIDA (Score 40.0–49.9)", "Tier 3 Moderate GIDA (Score &lt; 40.0)"))</f>
        <v/>
      </c>
      <c r="V279" s="26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W279" s="28" t="n">
        <v>0.109</v>
      </c>
      <c r="X279" s="14" t="n">
        <v>49.02</v>
      </c>
      <c r="Y279" s="14">
        <f>ROUND(MIN(100, (X279/69.91)*100), 2)</f>
        <v/>
      </c>
    </row>
    <row r="280">
      <c r="A280" s="10" t="n">
        <v>3</v>
      </c>
      <c r="B280" s="10" t="n">
        <v>276</v>
      </c>
      <c r="C280" s="10" t="n">
        <v>2276</v>
      </c>
      <c r="D280" s="10" t="inlineStr">
        <is>
          <t>1380614078</t>
        </is>
      </c>
      <c r="E280" s="26" t="inlineStr">
        <is>
          <t>National Capital Region (NCR)</t>
        </is>
      </c>
      <c r="F280" s="26" t="inlineStr">
        <is>
          <t>First District (Not a Province)</t>
        </is>
      </c>
      <c r="G280" s="26" t="inlineStr">
        <is>
          <t>City of Manila</t>
        </is>
      </c>
      <c r="H280" s="26" t="inlineStr">
        <is>
          <t>Barangay 885</t>
        </is>
      </c>
      <c r="I280" s="27" t="n">
        <v>12.395031</v>
      </c>
      <c r="J280" s="27" t="n">
        <v>122.366513</v>
      </c>
      <c r="K280" s="10" t="inlineStr">
        <is>
          <t>U</t>
        </is>
      </c>
      <c r="L280" s="12" t="n">
        <v>642</v>
      </c>
      <c r="M280" s="14" t="n">
        <v>3.9</v>
      </c>
      <c r="N280" s="12">
        <f>ROUND(L280/M280, 0)</f>
        <v/>
      </c>
      <c r="O280" s="12">
        <f>ROUND(N280*'Methodology &amp; Assumptions'!$B$5, 0)</f>
        <v/>
      </c>
      <c r="P280" s="10" t="inlineStr">
        <is>
          <t>Single Carrier (Band n50, 100MHz TDD)</t>
        </is>
      </c>
      <c r="Q280" s="13">
        <f>ROUNDUP(O280/'Methodology &amp; Assumptions'!$B$6, 0)</f>
        <v/>
      </c>
      <c r="R280" s="13" t="n">
        <v>1</v>
      </c>
      <c r="S280" s="14" t="n">
        <v>67.51000000000001</v>
      </c>
      <c r="T280" s="14" t="n">
        <v>46.63</v>
      </c>
      <c r="U280" s="26">
        <f>IF(X280&gt;='Methodology &amp; Assumptions'!$B$7, "Tier 1 Critical GIDA (Score ≥ 50.0)", IF(X280&gt;='Methodology &amp; Assumptions'!$B$8, "Tier 2 High GIDA (Score 40.0–49.9)", "Tier 3 Moderate GIDA (Score &lt; 40.0)"))</f>
        <v/>
      </c>
      <c r="V280" s="26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W280" s="28" t="n">
        <v>0.109</v>
      </c>
      <c r="X280" s="14" t="n">
        <v>49.02</v>
      </c>
      <c r="Y280" s="14">
        <f>ROUND(MIN(100, (X280/69.91)*100), 2)</f>
        <v/>
      </c>
    </row>
    <row r="281">
      <c r="A281" s="10" t="n">
        <v>3</v>
      </c>
      <c r="B281" s="10" t="n">
        <v>277</v>
      </c>
      <c r="C281" s="10" t="n">
        <v>2277</v>
      </c>
      <c r="D281" s="10" t="inlineStr">
        <is>
          <t>1380300027</t>
        </is>
      </c>
      <c r="E281" s="26" t="inlineStr">
        <is>
          <t>National Capital Region (NCR)</t>
        </is>
      </c>
      <c r="F281" s="26" t="inlineStr">
        <is>
          <t>Fourth District (Not a Province)</t>
        </is>
      </c>
      <c r="G281" s="26" t="inlineStr">
        <is>
          <t>City of Makati</t>
        </is>
      </c>
      <c r="H281" s="26" t="inlineStr">
        <is>
          <t>Singkamas</t>
        </is>
      </c>
      <c r="I281" s="27" t="n">
        <v>14.572951</v>
      </c>
      <c r="J281" s="27" t="n">
        <v>121.010284</v>
      </c>
      <c r="K281" s="10" t="inlineStr">
        <is>
          <t>U</t>
        </is>
      </c>
      <c r="L281" s="12" t="n">
        <v>3551</v>
      </c>
      <c r="M281" s="14" t="n">
        <v>3.5</v>
      </c>
      <c r="N281" s="12">
        <f>ROUND(L281/M281, 0)</f>
        <v/>
      </c>
      <c r="O281" s="12">
        <f>ROUND(N281*'Methodology &amp; Assumptions'!$B$5, 0)</f>
        <v/>
      </c>
      <c r="P281" s="10" t="inlineStr">
        <is>
          <t>Single Carrier (Band n50, 100MHz TDD)</t>
        </is>
      </c>
      <c r="Q281" s="13">
        <f>ROUNDUP(O281/'Methodology &amp; Assumptions'!$B$6, 0)</f>
        <v/>
      </c>
      <c r="R281" s="13" t="n">
        <v>1</v>
      </c>
      <c r="S281" s="14" t="n">
        <v>1.51</v>
      </c>
      <c r="T281" s="14" t="n">
        <v>0.31</v>
      </c>
      <c r="U281" s="26">
        <f>IF(X281&gt;='Methodology &amp; Assumptions'!$B$7, "Tier 1 Critical GIDA (Score ≥ 50.0)", IF(X281&gt;='Methodology &amp; Assumptions'!$B$8, "Tier 2 High GIDA (Score 40.0–49.9)", "Tier 3 Moderate GIDA (Score &lt; 40.0)"))</f>
        <v/>
      </c>
      <c r="V281" s="26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W281" s="28" t="n">
        <v>0.109</v>
      </c>
      <c r="X281" s="14" t="n">
        <v>49.02</v>
      </c>
      <c r="Y281" s="14">
        <f>ROUND(MIN(100, (X281/69.91)*100), 2)</f>
        <v/>
      </c>
    </row>
    <row r="282">
      <c r="A282" s="10" t="n">
        <v>3</v>
      </c>
      <c r="B282" s="10" t="n">
        <v>278</v>
      </c>
      <c r="C282" s="10" t="n">
        <v>2278</v>
      </c>
      <c r="D282" s="10" t="inlineStr">
        <is>
          <t>1380605084</t>
        </is>
      </c>
      <c r="E282" s="26" t="inlineStr">
        <is>
          <t>National Capital Region (NCR)</t>
        </is>
      </c>
      <c r="F282" s="26" t="inlineStr">
        <is>
          <t>First District (Not a Province)</t>
        </is>
      </c>
      <c r="G282" s="26" t="inlineStr">
        <is>
          <t>City of Manila</t>
        </is>
      </c>
      <c r="H282" s="26" t="inlineStr">
        <is>
          <t>Barangay 381</t>
        </is>
      </c>
      <c r="I282" s="27" t="n">
        <v>12.846752</v>
      </c>
      <c r="J282" s="27" t="n">
        <v>120.999882</v>
      </c>
      <c r="K282" s="10" t="inlineStr">
        <is>
          <t>U</t>
        </is>
      </c>
      <c r="L282" s="12" t="n">
        <v>1639</v>
      </c>
      <c r="M282" s="14" t="n">
        <v>3.9</v>
      </c>
      <c r="N282" s="12">
        <f>ROUND(L282/M282, 0)</f>
        <v/>
      </c>
      <c r="O282" s="12">
        <f>ROUND(N282*'Methodology &amp; Assumptions'!$B$5, 0)</f>
        <v/>
      </c>
      <c r="P282" s="10" t="inlineStr">
        <is>
          <t>Single Carrier (Band n50, 100MHz TDD)</t>
        </is>
      </c>
      <c r="Q282" s="13">
        <f>ROUNDUP(O282/'Methodology &amp; Assumptions'!$B$6, 0)</f>
        <v/>
      </c>
      <c r="R282" s="13" t="n">
        <v>1</v>
      </c>
      <c r="S282" s="14" t="n">
        <v>46.82</v>
      </c>
      <c r="T282" s="14" t="n">
        <v>43.96</v>
      </c>
      <c r="U282" s="26">
        <f>IF(X282&gt;='Methodology &amp; Assumptions'!$B$7, "Tier 1 Critical GIDA (Score ≥ 50.0)", IF(X282&gt;='Methodology &amp; Assumptions'!$B$8, "Tier 2 High GIDA (Score 40.0–49.9)", "Tier 3 Moderate GIDA (Score &lt; 40.0)"))</f>
        <v/>
      </c>
      <c r="V282" s="26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W282" s="28" t="n">
        <v>0.109</v>
      </c>
      <c r="X282" s="14" t="n">
        <v>49.02</v>
      </c>
      <c r="Y282" s="14">
        <f>ROUND(MIN(100, (X282/69.91)*100), 2)</f>
        <v/>
      </c>
    </row>
    <row r="283">
      <c r="A283" s="10" t="n">
        <v>3</v>
      </c>
      <c r="B283" s="10" t="n">
        <v>279</v>
      </c>
      <c r="C283" s="10" t="n">
        <v>2279</v>
      </c>
      <c r="D283" s="10" t="inlineStr">
        <is>
          <t>1380614002</t>
        </is>
      </c>
      <c r="E283" s="26" t="inlineStr">
        <is>
          <t>National Capital Region (NCR)</t>
        </is>
      </c>
      <c r="F283" s="26" t="inlineStr">
        <is>
          <t>First District (Not a Province)</t>
        </is>
      </c>
      <c r="G283" s="26" t="inlineStr">
        <is>
          <t>City of Manila</t>
        </is>
      </c>
      <c r="H283" s="26" t="inlineStr">
        <is>
          <t>Barangay 745</t>
        </is>
      </c>
      <c r="I283" s="27" t="n">
        <v>13.414775</v>
      </c>
      <c r="J283" s="27" t="n">
        <v>122.322885</v>
      </c>
      <c r="K283" s="10" t="inlineStr">
        <is>
          <t>U</t>
        </is>
      </c>
      <c r="L283" s="12" t="n">
        <v>2076</v>
      </c>
      <c r="M283" s="14" t="n">
        <v>3.9</v>
      </c>
      <c r="N283" s="12">
        <f>ROUND(L283/M283, 0)</f>
        <v/>
      </c>
      <c r="O283" s="12">
        <f>ROUND(N283*'Methodology &amp; Assumptions'!$B$5, 0)</f>
        <v/>
      </c>
      <c r="P283" s="10" t="inlineStr">
        <is>
          <t>Single Carrier (Band n50, 100MHz TDD)</t>
        </is>
      </c>
      <c r="Q283" s="13">
        <f>ROUNDUP(O283/'Methodology &amp; Assumptions'!$B$6, 0)</f>
        <v/>
      </c>
      <c r="R283" s="13" t="n">
        <v>1</v>
      </c>
      <c r="S283" s="14" t="n">
        <v>14.74</v>
      </c>
      <c r="T283" s="14" t="n">
        <v>14.73</v>
      </c>
      <c r="U283" s="26">
        <f>IF(X283&gt;='Methodology &amp; Assumptions'!$B$7, "Tier 1 Critical GIDA (Score ≥ 50.0)", IF(X283&gt;='Methodology &amp; Assumptions'!$B$8, "Tier 2 High GIDA (Score 40.0–49.9)", "Tier 3 Moderate GIDA (Score &lt; 40.0)"))</f>
        <v/>
      </c>
      <c r="V283" s="26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W283" s="28" t="n">
        <v>0.109</v>
      </c>
      <c r="X283" s="14" t="n">
        <v>49.02</v>
      </c>
      <c r="Y283" s="14">
        <f>ROUND(MIN(100, (X283/69.91)*100), 2)</f>
        <v/>
      </c>
    </row>
    <row r="284">
      <c r="A284" s="10" t="n">
        <v>3</v>
      </c>
      <c r="B284" s="10" t="n">
        <v>280</v>
      </c>
      <c r="C284" s="10" t="n">
        <v>2280</v>
      </c>
      <c r="D284" s="10" t="inlineStr">
        <is>
          <t>1380614031</t>
        </is>
      </c>
      <c r="E284" s="26" t="inlineStr">
        <is>
          <t>National Capital Region (NCR)</t>
        </is>
      </c>
      <c r="F284" s="26" t="inlineStr">
        <is>
          <t>First District (Not a Province)</t>
        </is>
      </c>
      <c r="G284" s="26" t="inlineStr">
        <is>
          <t>City of Manila</t>
        </is>
      </c>
      <c r="H284" s="26" t="inlineStr">
        <is>
          <t>Barangay 775</t>
        </is>
      </c>
      <c r="I284" s="27" t="n">
        <v>12.122362</v>
      </c>
      <c r="J284" s="27" t="n">
        <v>121.74008</v>
      </c>
      <c r="K284" s="10" t="inlineStr">
        <is>
          <t>U</t>
        </is>
      </c>
      <c r="L284" s="12" t="n">
        <v>12451</v>
      </c>
      <c r="M284" s="14" t="n">
        <v>3.9</v>
      </c>
      <c r="N284" s="12">
        <f>ROUND(L284/M284, 0)</f>
        <v/>
      </c>
      <c r="O284" s="12">
        <f>ROUND(N284*'Methodology &amp; Assumptions'!$B$5, 0)</f>
        <v/>
      </c>
      <c r="P284" s="10" t="inlineStr">
        <is>
          <t>Single Carrier (Band n50, 100MHz TDD)</t>
        </is>
      </c>
      <c r="Q284" s="13">
        <f>ROUNDUP(O284/'Methodology &amp; Assumptions'!$B$6, 0)</f>
        <v/>
      </c>
      <c r="R284" s="13" t="n">
        <v>1</v>
      </c>
      <c r="S284" s="14" t="n">
        <v>29.58</v>
      </c>
      <c r="T284" s="14" t="n">
        <v>9.42</v>
      </c>
      <c r="U284" s="26">
        <f>IF(X284&gt;='Methodology &amp; Assumptions'!$B$7, "Tier 1 Critical GIDA (Score ≥ 50.0)", IF(X284&gt;='Methodology &amp; Assumptions'!$B$8, "Tier 2 High GIDA (Score 40.0–49.9)", "Tier 3 Moderate GIDA (Score &lt; 40.0)"))</f>
        <v/>
      </c>
      <c r="V284" s="26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W284" s="28" t="n">
        <v>0.109</v>
      </c>
      <c r="X284" s="14" t="n">
        <v>49.02</v>
      </c>
      <c r="Y284" s="14">
        <f>ROUND(MIN(100, (X284/69.91)*100), 2)</f>
        <v/>
      </c>
    </row>
    <row r="285">
      <c r="A285" s="10" t="n">
        <v>3</v>
      </c>
      <c r="B285" s="10" t="n">
        <v>281</v>
      </c>
      <c r="C285" s="10" t="n">
        <v>2281</v>
      </c>
      <c r="D285" s="10" t="inlineStr">
        <is>
          <t>1380605033</t>
        </is>
      </c>
      <c r="E285" s="26" t="inlineStr">
        <is>
          <t>National Capital Region (NCR)</t>
        </is>
      </c>
      <c r="F285" s="26" t="inlineStr">
        <is>
          <t>First District (Not a Province)</t>
        </is>
      </c>
      <c r="G285" s="26" t="inlineStr">
        <is>
          <t>City of Manila</t>
        </is>
      </c>
      <c r="H285" s="26" t="inlineStr">
        <is>
          <t>Barangay 331</t>
        </is>
      </c>
      <c r="I285" s="27" t="n">
        <v>13.461441</v>
      </c>
      <c r="J285" s="27" t="n">
        <v>121.273263</v>
      </c>
      <c r="K285" s="10" t="inlineStr">
        <is>
          <t>U</t>
        </is>
      </c>
      <c r="L285" s="12" t="n">
        <v>952</v>
      </c>
      <c r="M285" s="14" t="n">
        <v>3.9</v>
      </c>
      <c r="N285" s="12">
        <f>ROUND(L285/M285, 0)</f>
        <v/>
      </c>
      <c r="O285" s="12">
        <f>ROUND(N285*'Methodology &amp; Assumptions'!$B$5, 0)</f>
        <v/>
      </c>
      <c r="P285" s="10" t="inlineStr">
        <is>
          <t>Single Carrier (Band n50, 100MHz TDD)</t>
        </is>
      </c>
      <c r="Q285" s="13">
        <f>ROUNDUP(O285/'Methodology &amp; Assumptions'!$B$6, 0)</f>
        <v/>
      </c>
      <c r="R285" s="13" t="n">
        <v>1</v>
      </c>
      <c r="S285" s="14" t="n">
        <v>9.460000000000001</v>
      </c>
      <c r="T285" s="14" t="n">
        <v>15.05</v>
      </c>
      <c r="U285" s="26">
        <f>IF(X285&gt;='Methodology &amp; Assumptions'!$B$7, "Tier 1 Critical GIDA (Score ≥ 50.0)", IF(X285&gt;='Methodology &amp; Assumptions'!$B$8, "Tier 2 High GIDA (Score 40.0–49.9)", "Tier 3 Moderate GIDA (Score &lt; 40.0)"))</f>
        <v/>
      </c>
      <c r="V285" s="26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W285" s="28" t="n">
        <v>0.109</v>
      </c>
      <c r="X285" s="14" t="n">
        <v>49.02</v>
      </c>
      <c r="Y285" s="14">
        <f>ROUND(MIN(100, (X285/69.91)*100), 2)</f>
        <v/>
      </c>
    </row>
    <row r="286">
      <c r="A286" s="10" t="n">
        <v>3</v>
      </c>
      <c r="B286" s="10" t="n">
        <v>282</v>
      </c>
      <c r="C286" s="10" t="n">
        <v>2282</v>
      </c>
      <c r="D286" s="10" t="inlineStr">
        <is>
          <t>PH0002282</t>
        </is>
      </c>
      <c r="E286" s="26" t="inlineStr">
        <is>
          <t>NCR</t>
        </is>
      </c>
      <c r="F286" s="26" t="inlineStr">
        <is>
          <t>Metro Manila</t>
        </is>
      </c>
      <c r="G286" s="26" t="inlineStr">
        <is>
          <t>Caloocan City</t>
        </is>
      </c>
      <c r="H286" s="26" t="inlineStr">
        <is>
          <t>Barangay 9</t>
        </is>
      </c>
      <c r="I286" s="27" t="n">
        <v>12.086471</v>
      </c>
      <c r="J286" s="27" t="n">
        <v>122.936087</v>
      </c>
      <c r="K286" s="10" t="inlineStr">
        <is>
          <t>R</t>
        </is>
      </c>
      <c r="L286" s="12" t="n">
        <v>2279</v>
      </c>
      <c r="M286" s="14" t="n">
        <v>3.8</v>
      </c>
      <c r="N286" s="12">
        <f>ROUND(L286/M286, 0)</f>
        <v/>
      </c>
      <c r="O286" s="12">
        <f>ROUND(N286*'Methodology &amp; Assumptions'!$B$5, 0)</f>
        <v/>
      </c>
      <c r="P286" s="10" t="inlineStr">
        <is>
          <t>Single Carrier (Band n50, 100MHz TDD)</t>
        </is>
      </c>
      <c r="Q286" s="13">
        <f>ROUNDUP(O286/'Methodology &amp; Assumptions'!$B$6, 0)</f>
        <v/>
      </c>
      <c r="R286" s="13" t="n">
        <v>1</v>
      </c>
      <c r="S286" s="14" t="n">
        <v>33.08</v>
      </c>
      <c r="T286" s="14" t="n">
        <v>32.42</v>
      </c>
      <c r="U286" s="26">
        <f>IF(X286&gt;='Methodology &amp; Assumptions'!$B$7, "Tier 1 Critical GIDA (Score ≥ 50.0)", IF(X286&gt;='Methodology &amp; Assumptions'!$B$8, "Tier 2 High GIDA (Score 40.0–49.9)", "Tier 3 Moderate GIDA (Score &lt; 40.0)"))</f>
        <v/>
      </c>
      <c r="V286" s="26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W286" s="28" t="n">
        <v>0.011</v>
      </c>
      <c r="X286" s="14" t="n">
        <v>49.01</v>
      </c>
      <c r="Y286" s="14">
        <f>ROUND(MIN(100, (X286/69.91)*100), 2)</f>
        <v/>
      </c>
    </row>
    <row r="287">
      <c r="A287" s="10" t="n">
        <v>3</v>
      </c>
      <c r="B287" s="10" t="n">
        <v>283</v>
      </c>
      <c r="C287" s="10" t="n">
        <v>2283</v>
      </c>
      <c r="D287" s="10" t="inlineStr">
        <is>
          <t>1380601066</t>
        </is>
      </c>
      <c r="E287" s="26" t="inlineStr">
        <is>
          <t>National Capital Region (NCR)</t>
        </is>
      </c>
      <c r="F287" s="26" t="inlineStr">
        <is>
          <t>First District (Not a Province)</t>
        </is>
      </c>
      <c r="G287" s="26" t="inlineStr">
        <is>
          <t>City of Manila</t>
        </is>
      </c>
      <c r="H287" s="26" t="inlineStr">
        <is>
          <t>Barangay 66</t>
        </is>
      </c>
      <c r="I287" s="27" t="n">
        <v>12.780401</v>
      </c>
      <c r="J287" s="27" t="n">
        <v>122.547717</v>
      </c>
      <c r="K287" s="10" t="inlineStr">
        <is>
          <t>U</t>
        </is>
      </c>
      <c r="L287" s="12" t="n">
        <v>3046</v>
      </c>
      <c r="M287" s="14" t="n">
        <v>3.9</v>
      </c>
      <c r="N287" s="12">
        <f>ROUND(L287/M287, 0)</f>
        <v/>
      </c>
      <c r="O287" s="12">
        <f>ROUND(N287*'Methodology &amp; Assumptions'!$B$5, 0)</f>
        <v/>
      </c>
      <c r="P287" s="10" t="inlineStr">
        <is>
          <t>Single Carrier (Band n50, 100MHz TDD)</t>
        </is>
      </c>
      <c r="Q287" s="13">
        <f>ROUNDUP(O287/'Methodology &amp; Assumptions'!$B$6, 0)</f>
        <v/>
      </c>
      <c r="R287" s="13" t="n">
        <v>1</v>
      </c>
      <c r="S287" s="14" t="n">
        <v>51.27</v>
      </c>
      <c r="T287" s="14" t="n">
        <v>84.45</v>
      </c>
      <c r="U287" s="26">
        <f>IF(X287&gt;='Methodology &amp; Assumptions'!$B$7, "Tier 1 Critical GIDA (Score ≥ 50.0)", IF(X287&gt;='Methodology &amp; Assumptions'!$B$8, "Tier 2 High GIDA (Score 40.0–49.9)", "Tier 3 Moderate GIDA (Score &lt; 40.0)"))</f>
        <v/>
      </c>
      <c r="V287" s="26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W287" s="28" t="n">
        <v>0.109</v>
      </c>
      <c r="X287" s="14" t="n">
        <v>49.01</v>
      </c>
      <c r="Y287" s="14">
        <f>ROUND(MIN(100, (X287/69.91)*100), 2)</f>
        <v/>
      </c>
    </row>
    <row r="288">
      <c r="A288" s="10" t="n">
        <v>3</v>
      </c>
      <c r="B288" s="10" t="n">
        <v>284</v>
      </c>
      <c r="C288" s="10" t="n">
        <v>2284</v>
      </c>
      <c r="D288" s="10" t="inlineStr">
        <is>
          <t>1380601008</t>
        </is>
      </c>
      <c r="E288" s="26" t="inlineStr">
        <is>
          <t>National Capital Region (NCR)</t>
        </is>
      </c>
      <c r="F288" s="26" t="inlineStr">
        <is>
          <t>First District (Not a Province)</t>
        </is>
      </c>
      <c r="G288" s="26" t="inlineStr">
        <is>
          <t>City of Manila</t>
        </is>
      </c>
      <c r="H288" s="26" t="inlineStr">
        <is>
          <t>Barangay 8</t>
        </is>
      </c>
      <c r="I288" s="27" t="n">
        <v>12.442572</v>
      </c>
      <c r="J288" s="27" t="n">
        <v>121.133605</v>
      </c>
      <c r="K288" s="10" t="inlineStr">
        <is>
          <t>U</t>
        </is>
      </c>
      <c r="L288" s="12" t="n">
        <v>151</v>
      </c>
      <c r="M288" s="14" t="n">
        <v>3.9</v>
      </c>
      <c r="N288" s="12">
        <f>ROUND(L288/M288, 0)</f>
        <v/>
      </c>
      <c r="O288" s="12">
        <f>ROUND(N288*'Methodology &amp; Assumptions'!$B$5, 0)</f>
        <v/>
      </c>
      <c r="P288" s="10" t="inlineStr">
        <is>
          <t>Single Carrier (Band n50, 100MHz TDD)</t>
        </is>
      </c>
      <c r="Q288" s="13">
        <f>ROUNDUP(O288/'Methodology &amp; Assumptions'!$B$6, 0)</f>
        <v/>
      </c>
      <c r="R288" s="13" t="n">
        <v>1</v>
      </c>
      <c r="S288" s="14" t="n">
        <v>12.66</v>
      </c>
      <c r="T288" s="14" t="n">
        <v>8.92</v>
      </c>
      <c r="U288" s="26">
        <f>IF(X288&gt;='Methodology &amp; Assumptions'!$B$7, "Tier 1 Critical GIDA (Score ≥ 50.0)", IF(X288&gt;='Methodology &amp; Assumptions'!$B$8, "Tier 2 High GIDA (Score 40.0–49.9)", "Tier 3 Moderate GIDA (Score &lt; 40.0)"))</f>
        <v/>
      </c>
      <c r="V288" s="26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W288" s="28" t="n">
        <v>0.109</v>
      </c>
      <c r="X288" s="14" t="n">
        <v>49.01</v>
      </c>
      <c r="Y288" s="14">
        <f>ROUND(MIN(100, (X288/69.91)*100), 2)</f>
        <v/>
      </c>
    </row>
    <row r="289">
      <c r="A289" s="10" t="n">
        <v>3</v>
      </c>
      <c r="B289" s="10" t="n">
        <v>285</v>
      </c>
      <c r="C289" s="10" t="n">
        <v>2285</v>
      </c>
      <c r="D289" s="10" t="inlineStr">
        <is>
          <t>PH0002285</t>
        </is>
      </c>
      <c r="E289" s="26" t="inlineStr">
        <is>
          <t>III</t>
        </is>
      </c>
      <c r="F289" s="26" t="inlineStr">
        <is>
          <t>Pampanga</t>
        </is>
      </c>
      <c r="G289" s="26" t="inlineStr">
        <is>
          <t>Angeles City</t>
        </is>
      </c>
      <c r="H289" s="26" t="inlineStr">
        <is>
          <t>Sto. Domingo</t>
        </is>
      </c>
      <c r="I289" s="27" t="n">
        <v>15.157088</v>
      </c>
      <c r="J289" s="27" t="n">
        <v>120.59447</v>
      </c>
      <c r="K289" s="10" t="inlineStr">
        <is>
          <t>R</t>
        </is>
      </c>
      <c r="L289" s="12" t="n">
        <v>2334</v>
      </c>
      <c r="M289" s="14" t="n">
        <v>4</v>
      </c>
      <c r="N289" s="12">
        <f>ROUND(L289/M289, 0)</f>
        <v/>
      </c>
      <c r="O289" s="12">
        <f>ROUND(N289*'Methodology &amp; Assumptions'!$B$5, 0)</f>
        <v/>
      </c>
      <c r="P289" s="10" t="inlineStr">
        <is>
          <t>Single Carrier (Band n50, 100MHz TDD)</t>
        </is>
      </c>
      <c r="Q289" s="13">
        <f>ROUNDUP(O289/'Methodology &amp; Assumptions'!$B$6, 0)</f>
        <v/>
      </c>
      <c r="R289" s="13" t="n">
        <v>1</v>
      </c>
      <c r="S289" s="14" t="n">
        <v>0.67</v>
      </c>
      <c r="T289" s="14" t="n">
        <v>0.22</v>
      </c>
      <c r="U289" s="26">
        <f>IF(X289&gt;='Methodology &amp; Assumptions'!$B$7, "Tier 1 Critical GIDA (Score ≥ 50.0)", IF(X289&gt;='Methodology &amp; Assumptions'!$B$8, "Tier 2 High GIDA (Score 40.0–49.9)", "Tier 3 Moderate GIDA (Score &lt; 40.0)"))</f>
        <v/>
      </c>
      <c r="V289" s="26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W289" s="28" t="n">
        <v>0.083</v>
      </c>
      <c r="X289" s="14" t="n">
        <v>49.01</v>
      </c>
      <c r="Y289" s="14">
        <f>ROUND(MIN(100, (X289/69.91)*100), 2)</f>
        <v/>
      </c>
    </row>
    <row r="290">
      <c r="A290" s="10" t="n">
        <v>3</v>
      </c>
      <c r="B290" s="10" t="n">
        <v>286</v>
      </c>
      <c r="C290" s="10" t="n">
        <v>2286</v>
      </c>
      <c r="D290" s="10" t="inlineStr">
        <is>
          <t>1380605004</t>
        </is>
      </c>
      <c r="E290" s="26" t="inlineStr">
        <is>
          <t>National Capital Region (NCR)</t>
        </is>
      </c>
      <c r="F290" s="26" t="inlineStr">
        <is>
          <t>First District (Not a Province)</t>
        </is>
      </c>
      <c r="G290" s="26" t="inlineStr">
        <is>
          <t>City of Manila</t>
        </is>
      </c>
      <c r="H290" s="26" t="inlineStr">
        <is>
          <t>Barangay 300</t>
        </is>
      </c>
      <c r="I290" s="27" t="n">
        <v>13.625061</v>
      </c>
      <c r="J290" s="27" t="n">
        <v>121.943507</v>
      </c>
      <c r="K290" s="10" t="inlineStr">
        <is>
          <t>U</t>
        </is>
      </c>
      <c r="L290" s="12" t="n">
        <v>1011</v>
      </c>
      <c r="M290" s="14" t="n">
        <v>3.9</v>
      </c>
      <c r="N290" s="12">
        <f>ROUND(L290/M290, 0)</f>
        <v/>
      </c>
      <c r="O290" s="12">
        <f>ROUND(N290*'Methodology &amp; Assumptions'!$B$5, 0)</f>
        <v/>
      </c>
      <c r="P290" s="10" t="inlineStr">
        <is>
          <t>Single Carrier (Band n50, 100MHz TDD)</t>
        </is>
      </c>
      <c r="Q290" s="13">
        <f>ROUNDUP(O290/'Methodology &amp; Assumptions'!$B$6, 0)</f>
        <v/>
      </c>
      <c r="R290" s="13" t="n">
        <v>1</v>
      </c>
      <c r="S290" s="14" t="n">
        <v>24.09</v>
      </c>
      <c r="T290" s="14" t="n">
        <v>23.55</v>
      </c>
      <c r="U290" s="26">
        <f>IF(X290&gt;='Methodology &amp; Assumptions'!$B$7, "Tier 1 Critical GIDA (Score ≥ 50.0)", IF(X290&gt;='Methodology &amp; Assumptions'!$B$8, "Tier 2 High GIDA (Score 40.0–49.9)", "Tier 3 Moderate GIDA (Score &lt; 40.0)"))</f>
        <v/>
      </c>
      <c r="V290" s="26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W290" s="28" t="n">
        <v>0.109</v>
      </c>
      <c r="X290" s="14" t="n">
        <v>49.01</v>
      </c>
      <c r="Y290" s="14">
        <f>ROUND(MIN(100, (X290/69.91)*100), 2)</f>
        <v/>
      </c>
    </row>
    <row r="291">
      <c r="A291" s="10" t="n">
        <v>3</v>
      </c>
      <c r="B291" s="10" t="n">
        <v>287</v>
      </c>
      <c r="C291" s="10" t="n">
        <v>2287</v>
      </c>
      <c r="D291" s="10" t="inlineStr">
        <is>
          <t>1600311008</t>
        </is>
      </c>
      <c r="E291" s="26" t="inlineStr">
        <is>
          <t>Region XIII (Caraga)</t>
        </is>
      </c>
      <c r="F291" s="26" t="inlineStr">
        <is>
          <t>Agusan del Sur</t>
        </is>
      </c>
      <c r="G291" s="26" t="inlineStr">
        <is>
          <t>Talacogon</t>
        </is>
      </c>
      <c r="H291" s="26" t="inlineStr">
        <is>
          <t>Sabang Gibung</t>
        </is>
      </c>
      <c r="I291" s="27" t="n">
        <v>8.322798000000001</v>
      </c>
      <c r="J291" s="27" t="n">
        <v>125.890555</v>
      </c>
      <c r="K291" s="10" t="inlineStr">
        <is>
          <t>R</t>
        </is>
      </c>
      <c r="L291" s="12" t="n">
        <v>834</v>
      </c>
      <c r="M291" s="14" t="n">
        <v>3.9</v>
      </c>
      <c r="N291" s="12">
        <f>ROUND(L291/M291, 0)</f>
        <v/>
      </c>
      <c r="O291" s="12">
        <f>ROUND(N291*'Methodology &amp; Assumptions'!$B$5, 0)</f>
        <v/>
      </c>
      <c r="P291" s="10" t="inlineStr">
        <is>
          <t>Single Carrier (Band n50, 100MHz TDD)</t>
        </is>
      </c>
      <c r="Q291" s="13">
        <f>ROUNDUP(O291/'Methodology &amp; Assumptions'!$B$6, 0)</f>
        <v/>
      </c>
      <c r="R291" s="13" t="n">
        <v>1</v>
      </c>
      <c r="S291" s="14" t="n">
        <v>12.72</v>
      </c>
      <c r="T291" s="14" t="n">
        <v>12.06</v>
      </c>
      <c r="U291" s="26">
        <f>IF(X291&gt;='Methodology &amp; Assumptions'!$B$7, "Tier 1 Critical GIDA (Score ≥ 50.0)", IF(X291&gt;='Methodology &amp; Assumptions'!$B$8, "Tier 2 High GIDA (Score 40.0–49.9)", "Tier 3 Moderate GIDA (Score &lt; 40.0)"))</f>
        <v/>
      </c>
      <c r="V291" s="26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W291" s="28" t="n">
        <v>0.174</v>
      </c>
      <c r="X291" s="14" t="n">
        <v>49.01</v>
      </c>
      <c r="Y291" s="14">
        <f>ROUND(MIN(100, (X291/69.91)*100), 2)</f>
        <v/>
      </c>
    </row>
    <row r="292">
      <c r="A292" s="10" t="n">
        <v>3</v>
      </c>
      <c r="B292" s="10" t="n">
        <v>288</v>
      </c>
      <c r="C292" s="10" t="n">
        <v>2288</v>
      </c>
      <c r="D292" s="10" t="inlineStr">
        <is>
          <t>1380610027</t>
        </is>
      </c>
      <c r="E292" s="26" t="inlineStr">
        <is>
          <t>National Capital Region (NCR)</t>
        </is>
      </c>
      <c r="F292" s="26" t="inlineStr">
        <is>
          <t>First District (Not a Province)</t>
        </is>
      </c>
      <c r="G292" s="26" t="inlineStr">
        <is>
          <t>City of Manila</t>
        </is>
      </c>
      <c r="H292" s="26" t="inlineStr">
        <is>
          <t>Barangay 712</t>
        </is>
      </c>
      <c r="I292" s="27" t="n">
        <v>12.217357</v>
      </c>
      <c r="J292" s="27" t="n">
        <v>122.166274</v>
      </c>
      <c r="K292" s="10" t="inlineStr">
        <is>
          <t>U</t>
        </is>
      </c>
      <c r="L292" s="12" t="n">
        <v>1100</v>
      </c>
      <c r="M292" s="14" t="n">
        <v>3.9</v>
      </c>
      <c r="N292" s="12">
        <f>ROUND(L292/M292, 0)</f>
        <v/>
      </c>
      <c r="O292" s="12">
        <f>ROUND(N292*'Methodology &amp; Assumptions'!$B$5, 0)</f>
        <v/>
      </c>
      <c r="P292" s="10" t="inlineStr">
        <is>
          <t>Single Carrier (Band n50, 100MHz TDD)</t>
        </is>
      </c>
      <c r="Q292" s="13">
        <f>ROUNDUP(O292/'Methodology &amp; Assumptions'!$B$6, 0)</f>
        <v/>
      </c>
      <c r="R292" s="13" t="n">
        <v>1</v>
      </c>
      <c r="S292" s="14" t="n">
        <v>38.33</v>
      </c>
      <c r="T292" s="14" t="n">
        <v>23.7</v>
      </c>
      <c r="U292" s="26">
        <f>IF(X292&gt;='Methodology &amp; Assumptions'!$B$7, "Tier 1 Critical GIDA (Score ≥ 50.0)", IF(X292&gt;='Methodology &amp; Assumptions'!$B$8, "Tier 2 High GIDA (Score 40.0–49.9)", "Tier 3 Moderate GIDA (Score &lt; 40.0)"))</f>
        <v/>
      </c>
      <c r="V292" s="26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W292" s="28" t="n">
        <v>0.109</v>
      </c>
      <c r="X292" s="14" t="n">
        <v>49</v>
      </c>
      <c r="Y292" s="14">
        <f>ROUND(MIN(100, (X292/69.91)*100), 2)</f>
        <v/>
      </c>
    </row>
    <row r="293">
      <c r="A293" s="10" t="n">
        <v>3</v>
      </c>
      <c r="B293" s="10" t="n">
        <v>289</v>
      </c>
      <c r="C293" s="10" t="n">
        <v>2289</v>
      </c>
      <c r="D293" s="10" t="inlineStr">
        <is>
          <t>0402106026</t>
        </is>
      </c>
      <c r="E293" s="26" t="inlineStr">
        <is>
          <t>Region IV-A (CALABARZON)</t>
        </is>
      </c>
      <c r="F293" s="26" t="inlineStr">
        <is>
          <t>Cavite</t>
        </is>
      </c>
      <c r="G293" s="26" t="inlineStr">
        <is>
          <t>City of Dasmariñas</t>
        </is>
      </c>
      <c r="H293" s="26" t="inlineStr">
        <is>
          <t>San Antonio De Padua I</t>
        </is>
      </c>
      <c r="I293" s="27" t="n">
        <v>14.320146</v>
      </c>
      <c r="J293" s="27" t="n">
        <v>120.956531</v>
      </c>
      <c r="K293" s="10" t="inlineStr">
        <is>
          <t>U</t>
        </is>
      </c>
      <c r="L293" s="12" t="n">
        <v>3587</v>
      </c>
      <c r="M293" s="14" t="n">
        <v>3.4</v>
      </c>
      <c r="N293" s="12">
        <f>ROUND(L293/M293, 0)</f>
        <v/>
      </c>
      <c r="O293" s="12">
        <f>ROUND(N293*'Methodology &amp; Assumptions'!$B$5, 0)</f>
        <v/>
      </c>
      <c r="P293" s="10" t="inlineStr">
        <is>
          <t>Single Carrier (Band n50, 100MHz TDD)</t>
        </is>
      </c>
      <c r="Q293" s="13">
        <f>ROUNDUP(O293/'Methodology &amp; Assumptions'!$B$6, 0)</f>
        <v/>
      </c>
      <c r="R293" s="13" t="n">
        <v>1</v>
      </c>
      <c r="S293" s="14" t="n">
        <v>1.31</v>
      </c>
      <c r="T293" s="14" t="n">
        <v>2.07</v>
      </c>
      <c r="U293" s="26">
        <f>IF(X293&gt;='Methodology &amp; Assumptions'!$B$7, "Tier 1 Critical GIDA (Score ≥ 50.0)", IF(X293&gt;='Methodology &amp; Assumptions'!$B$8, "Tier 2 High GIDA (Score 40.0–49.9)", "Tier 3 Moderate GIDA (Score &lt; 40.0)"))</f>
        <v/>
      </c>
      <c r="V293" s="26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W293" s="28" t="n">
        <v>0.07200000000000001</v>
      </c>
      <c r="X293" s="14" t="n">
        <v>49</v>
      </c>
      <c r="Y293" s="14">
        <f>ROUND(MIN(100, (X293/69.91)*100), 2)</f>
        <v/>
      </c>
    </row>
    <row r="294">
      <c r="A294" s="10" t="n">
        <v>3</v>
      </c>
      <c r="B294" s="10" t="n">
        <v>290</v>
      </c>
      <c r="C294" s="10" t="n">
        <v>2290</v>
      </c>
      <c r="D294" s="10" t="inlineStr">
        <is>
          <t>0300803013</t>
        </is>
      </c>
      <c r="E294" s="26" t="inlineStr">
        <is>
          <t>Region III (Central Luzon)</t>
        </is>
      </c>
      <c r="F294" s="26" t="inlineStr">
        <is>
          <t>Bataan</t>
        </is>
      </c>
      <c r="G294" s="26" t="inlineStr">
        <is>
          <t>City of Balanga</t>
        </is>
      </c>
      <c r="H294" s="26" t="inlineStr">
        <is>
          <t>Poblacion</t>
        </is>
      </c>
      <c r="I294" s="27" t="n">
        <v>14.671738</v>
      </c>
      <c r="J294" s="27" t="n">
        <v>120.528621</v>
      </c>
      <c r="K294" s="10" t="inlineStr">
        <is>
          <t>U</t>
        </is>
      </c>
      <c r="L294" s="12" t="n">
        <v>769</v>
      </c>
      <c r="M294" s="14" t="n">
        <v>3.6</v>
      </c>
      <c r="N294" s="12">
        <f>ROUND(L294/M294, 0)</f>
        <v/>
      </c>
      <c r="O294" s="12">
        <f>ROUND(N294*'Methodology &amp; Assumptions'!$B$5, 0)</f>
        <v/>
      </c>
      <c r="P294" s="10" t="inlineStr">
        <is>
          <t>Single Carrier (Band n50, 100MHz TDD)</t>
        </is>
      </c>
      <c r="Q294" s="13">
        <f>ROUNDUP(O294/'Methodology &amp; Assumptions'!$B$6, 0)</f>
        <v/>
      </c>
      <c r="R294" s="13" t="n">
        <v>1</v>
      </c>
      <c r="S294" s="14" t="n">
        <v>1.88</v>
      </c>
      <c r="T294" s="14" t="n">
        <v>1.52</v>
      </c>
      <c r="U294" s="26">
        <f>IF(X294&gt;='Methodology &amp; Assumptions'!$B$7, "Tier 1 Critical GIDA (Score ≥ 50.0)", IF(X294&gt;='Methodology &amp; Assumptions'!$B$8, "Tier 2 High GIDA (Score 40.0–49.9)", "Tier 3 Moderate GIDA (Score &lt; 40.0)"))</f>
        <v/>
      </c>
      <c r="V294" s="26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W294" s="28" t="n">
        <v>0.083</v>
      </c>
      <c r="X294" s="14" t="n">
        <v>49</v>
      </c>
      <c r="Y294" s="14">
        <f>ROUND(MIN(100, (X294/69.91)*100), 2)</f>
        <v/>
      </c>
    </row>
    <row r="295">
      <c r="A295" s="10" t="n">
        <v>3</v>
      </c>
      <c r="B295" s="10" t="n">
        <v>291</v>
      </c>
      <c r="C295" s="10" t="n">
        <v>2291</v>
      </c>
      <c r="D295" s="10" t="inlineStr">
        <is>
          <t>1380605058</t>
        </is>
      </c>
      <c r="E295" s="26" t="inlineStr">
        <is>
          <t>National Capital Region (NCR)</t>
        </is>
      </c>
      <c r="F295" s="26" t="inlineStr">
        <is>
          <t>First District (Not a Province)</t>
        </is>
      </c>
      <c r="G295" s="26" t="inlineStr">
        <is>
          <t>City of Manila</t>
        </is>
      </c>
      <c r="H295" s="26" t="inlineStr">
        <is>
          <t>Barangay 356</t>
        </is>
      </c>
      <c r="I295" s="27" t="n">
        <v>13.110088</v>
      </c>
      <c r="J295" s="27" t="n">
        <v>121.024444</v>
      </c>
      <c r="K295" s="10" t="inlineStr">
        <is>
          <t>U</t>
        </is>
      </c>
      <c r="L295" s="12" t="n">
        <v>520</v>
      </c>
      <c r="M295" s="14" t="n">
        <v>3.9</v>
      </c>
      <c r="N295" s="12">
        <f>ROUND(L295/M295, 0)</f>
        <v/>
      </c>
      <c r="O295" s="12">
        <f>ROUND(N295*'Methodology &amp; Assumptions'!$B$5, 0)</f>
        <v/>
      </c>
      <c r="P295" s="10" t="inlineStr">
        <is>
          <t>Single Carrier (Band n50, 100MHz TDD)</t>
        </is>
      </c>
      <c r="Q295" s="13">
        <f>ROUNDUP(O295/'Methodology &amp; Assumptions'!$B$6, 0)</f>
        <v/>
      </c>
      <c r="R295" s="13" t="n">
        <v>1</v>
      </c>
      <c r="S295" s="14" t="n">
        <v>28.39</v>
      </c>
      <c r="T295" s="14" t="n">
        <v>27.87</v>
      </c>
      <c r="U295" s="26">
        <f>IF(X295&gt;='Methodology &amp; Assumptions'!$B$7, "Tier 1 Critical GIDA (Score ≥ 50.0)", IF(X295&gt;='Methodology &amp; Assumptions'!$B$8, "Tier 2 High GIDA (Score 40.0–49.9)", "Tier 3 Moderate GIDA (Score &lt; 40.0)"))</f>
        <v/>
      </c>
      <c r="V295" s="26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W295" s="28" t="n">
        <v>0.109</v>
      </c>
      <c r="X295" s="14" t="n">
        <v>49</v>
      </c>
      <c r="Y295" s="14">
        <f>ROUND(MIN(100, (X295/69.91)*100), 2)</f>
        <v/>
      </c>
    </row>
    <row r="296">
      <c r="A296" s="10" t="n">
        <v>3</v>
      </c>
      <c r="B296" s="10" t="n">
        <v>292</v>
      </c>
      <c r="C296" s="10" t="n">
        <v>2292</v>
      </c>
      <c r="D296" s="10" t="inlineStr">
        <is>
          <t>PH0002292</t>
        </is>
      </c>
      <c r="E296" s="26" t="inlineStr">
        <is>
          <t>NCR</t>
        </is>
      </c>
      <c r="F296" s="26" t="inlineStr">
        <is>
          <t>Metro Manila</t>
        </is>
      </c>
      <c r="G296" s="26" t="inlineStr">
        <is>
          <t>Caloocan City</t>
        </is>
      </c>
      <c r="H296" s="26" t="inlineStr">
        <is>
          <t>Barangay 87</t>
        </is>
      </c>
      <c r="I296" s="27" t="n">
        <v>12.699012</v>
      </c>
      <c r="J296" s="27" t="n">
        <v>120.366118</v>
      </c>
      <c r="K296" s="10" t="inlineStr">
        <is>
          <t>R</t>
        </is>
      </c>
      <c r="L296" s="12" t="n">
        <v>2279</v>
      </c>
      <c r="M296" s="14" t="n">
        <v>3.8</v>
      </c>
      <c r="N296" s="12">
        <f>ROUND(L296/M296, 0)</f>
        <v/>
      </c>
      <c r="O296" s="12">
        <f>ROUND(N296*'Methodology &amp; Assumptions'!$B$5, 0)</f>
        <v/>
      </c>
      <c r="P296" s="10" t="inlineStr">
        <is>
          <t>Single Carrier (Band n50, 100MHz TDD)</t>
        </is>
      </c>
      <c r="Q296" s="13">
        <f>ROUNDUP(O296/'Methodology &amp; Assumptions'!$B$6, 0)</f>
        <v/>
      </c>
      <c r="R296" s="13" t="n">
        <v>1</v>
      </c>
      <c r="S296" s="14" t="n">
        <v>76.62</v>
      </c>
      <c r="T296" s="14" t="n">
        <v>83.5</v>
      </c>
      <c r="U296" s="26">
        <f>IF(X296&gt;='Methodology &amp; Assumptions'!$B$7, "Tier 1 Critical GIDA (Score ≥ 50.0)", IF(X296&gt;='Methodology &amp; Assumptions'!$B$8, "Tier 2 High GIDA (Score 40.0–49.9)", "Tier 3 Moderate GIDA (Score &lt; 40.0)"))</f>
        <v/>
      </c>
      <c r="V296" s="26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W296" s="28" t="n">
        <v>0.011</v>
      </c>
      <c r="X296" s="14" t="n">
        <v>49</v>
      </c>
      <c r="Y296" s="14">
        <f>ROUND(MIN(100, (X296/69.91)*100), 2)</f>
        <v/>
      </c>
    </row>
    <row r="297">
      <c r="A297" s="10" t="n">
        <v>3</v>
      </c>
      <c r="B297" s="10" t="n">
        <v>293</v>
      </c>
      <c r="C297" s="10" t="n">
        <v>2293</v>
      </c>
      <c r="D297" s="10" t="inlineStr">
        <is>
          <t>1380601207</t>
        </is>
      </c>
      <c r="E297" s="26" t="inlineStr">
        <is>
          <t>National Capital Region (NCR)</t>
        </is>
      </c>
      <c r="F297" s="26" t="inlineStr">
        <is>
          <t>First District (Not a Province)</t>
        </is>
      </c>
      <c r="G297" s="26" t="inlineStr">
        <is>
          <t>City of Manila</t>
        </is>
      </c>
      <c r="H297" s="26" t="inlineStr">
        <is>
          <t>Barangay 206</t>
        </is>
      </c>
      <c r="I297" s="27" t="n">
        <v>13.204063</v>
      </c>
      <c r="J297" s="27" t="n">
        <v>122.487551</v>
      </c>
      <c r="K297" s="10" t="inlineStr">
        <is>
          <t>U</t>
        </is>
      </c>
      <c r="L297" s="12" t="n">
        <v>2507</v>
      </c>
      <c r="M297" s="14" t="n">
        <v>3.9</v>
      </c>
      <c r="N297" s="12">
        <f>ROUND(L297/M297, 0)</f>
        <v/>
      </c>
      <c r="O297" s="12">
        <f>ROUND(N297*'Methodology &amp; Assumptions'!$B$5, 0)</f>
        <v/>
      </c>
      <c r="P297" s="10" t="inlineStr">
        <is>
          <t>Single Carrier (Band n50, 100MHz TDD)</t>
        </is>
      </c>
      <c r="Q297" s="13">
        <f>ROUNDUP(O297/'Methodology &amp; Assumptions'!$B$6, 0)</f>
        <v/>
      </c>
      <c r="R297" s="13" t="n">
        <v>1</v>
      </c>
      <c r="S297" s="14" t="n">
        <v>16.14</v>
      </c>
      <c r="T297" s="14" t="n">
        <v>37.04</v>
      </c>
      <c r="U297" s="26">
        <f>IF(X297&gt;='Methodology &amp; Assumptions'!$B$7, "Tier 1 Critical GIDA (Score ≥ 50.0)", IF(X297&gt;='Methodology &amp; Assumptions'!$B$8, "Tier 2 High GIDA (Score 40.0–49.9)", "Tier 3 Moderate GIDA (Score &lt; 40.0)"))</f>
        <v/>
      </c>
      <c r="V297" s="26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W297" s="28" t="n">
        <v>0.109</v>
      </c>
      <c r="X297" s="14" t="n">
        <v>49</v>
      </c>
      <c r="Y297" s="14">
        <f>ROUND(MIN(100, (X297/69.91)*100), 2)</f>
        <v/>
      </c>
    </row>
    <row r="298">
      <c r="A298" s="10" t="n">
        <v>3</v>
      </c>
      <c r="B298" s="10" t="n">
        <v>294</v>
      </c>
      <c r="C298" s="10" t="n">
        <v>2294</v>
      </c>
      <c r="D298" s="10" t="inlineStr">
        <is>
          <t>1380605060</t>
        </is>
      </c>
      <c r="E298" s="26" t="inlineStr">
        <is>
          <t>National Capital Region (NCR)</t>
        </is>
      </c>
      <c r="F298" s="26" t="inlineStr">
        <is>
          <t>First District (Not a Province)</t>
        </is>
      </c>
      <c r="G298" s="26" t="inlineStr">
        <is>
          <t>City of Manila</t>
        </is>
      </c>
      <c r="H298" s="26" t="inlineStr">
        <is>
          <t>Barangay 358</t>
        </is>
      </c>
      <c r="I298" s="27" t="n">
        <v>12.169369</v>
      </c>
      <c r="J298" s="27" t="n">
        <v>121.472177</v>
      </c>
      <c r="K298" s="10" t="inlineStr">
        <is>
          <t>U</t>
        </is>
      </c>
      <c r="L298" s="12" t="n">
        <v>1060</v>
      </c>
      <c r="M298" s="14" t="n">
        <v>3.9</v>
      </c>
      <c r="N298" s="12">
        <f>ROUND(L298/M298, 0)</f>
        <v/>
      </c>
      <c r="O298" s="12">
        <f>ROUND(N298*'Methodology &amp; Assumptions'!$B$5, 0)</f>
        <v/>
      </c>
      <c r="P298" s="10" t="inlineStr">
        <is>
          <t>Single Carrier (Band n50, 100MHz TDD)</t>
        </is>
      </c>
      <c r="Q298" s="13">
        <f>ROUNDUP(O298/'Methodology &amp; Assumptions'!$B$6, 0)</f>
        <v/>
      </c>
      <c r="R298" s="13" t="n">
        <v>1</v>
      </c>
      <c r="S298" s="14" t="n">
        <v>22.82</v>
      </c>
      <c r="T298" s="14" t="n">
        <v>20.64</v>
      </c>
      <c r="U298" s="26">
        <f>IF(X298&gt;='Methodology &amp; Assumptions'!$B$7, "Tier 1 Critical GIDA (Score ≥ 50.0)", IF(X298&gt;='Methodology &amp; Assumptions'!$B$8, "Tier 2 High GIDA (Score 40.0–49.9)", "Tier 3 Moderate GIDA (Score &lt; 40.0)"))</f>
        <v/>
      </c>
      <c r="V298" s="26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W298" s="28" t="n">
        <v>0.109</v>
      </c>
      <c r="X298" s="14" t="n">
        <v>48.99</v>
      </c>
      <c r="Y298" s="14">
        <f>ROUND(MIN(100, (X298/69.91)*100), 2)</f>
        <v/>
      </c>
    </row>
    <row r="299">
      <c r="A299" s="10" t="n">
        <v>3</v>
      </c>
      <c r="B299" s="10" t="n">
        <v>295</v>
      </c>
      <c r="C299" s="10" t="n">
        <v>2295</v>
      </c>
      <c r="D299" s="10" t="inlineStr">
        <is>
          <t>1380601201</t>
        </is>
      </c>
      <c r="E299" s="26" t="inlineStr">
        <is>
          <t>National Capital Region (NCR)</t>
        </is>
      </c>
      <c r="F299" s="26" t="inlineStr">
        <is>
          <t>First District (Not a Province)</t>
        </is>
      </c>
      <c r="G299" s="26" t="inlineStr">
        <is>
          <t>City of Manila</t>
        </is>
      </c>
      <c r="H299" s="26" t="inlineStr">
        <is>
          <t>Barangay 201</t>
        </is>
      </c>
      <c r="I299" s="27" t="n">
        <v>13.603458</v>
      </c>
      <c r="J299" s="27" t="n">
        <v>121.503775</v>
      </c>
      <c r="K299" s="10" t="inlineStr">
        <is>
          <t>U</t>
        </is>
      </c>
      <c r="L299" s="12" t="n">
        <v>1187</v>
      </c>
      <c r="M299" s="14" t="n">
        <v>3.9</v>
      </c>
      <c r="N299" s="12">
        <f>ROUND(L299/M299, 0)</f>
        <v/>
      </c>
      <c r="O299" s="12">
        <f>ROUND(N299*'Methodology &amp; Assumptions'!$B$5, 0)</f>
        <v/>
      </c>
      <c r="P299" s="10" t="inlineStr">
        <is>
          <t>Single Carrier (Band n50, 100MHz TDD)</t>
        </is>
      </c>
      <c r="Q299" s="13">
        <f>ROUNDUP(O299/'Methodology &amp; Assumptions'!$B$6, 0)</f>
        <v/>
      </c>
      <c r="R299" s="13" t="n">
        <v>1</v>
      </c>
      <c r="S299" s="14" t="n">
        <v>12.84</v>
      </c>
      <c r="T299" s="14" t="n">
        <v>21.85</v>
      </c>
      <c r="U299" s="26">
        <f>IF(X299&gt;='Methodology &amp; Assumptions'!$B$7, "Tier 1 Critical GIDA (Score ≥ 50.0)", IF(X299&gt;='Methodology &amp; Assumptions'!$B$8, "Tier 2 High GIDA (Score 40.0–49.9)", "Tier 3 Moderate GIDA (Score &lt; 40.0)"))</f>
        <v/>
      </c>
      <c r="V299" s="26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W299" s="28" t="n">
        <v>0.109</v>
      </c>
      <c r="X299" s="14" t="n">
        <v>48.99</v>
      </c>
      <c r="Y299" s="14">
        <f>ROUND(MIN(100, (X299/69.91)*100), 2)</f>
        <v/>
      </c>
    </row>
    <row r="300">
      <c r="A300" s="10" t="n">
        <v>3</v>
      </c>
      <c r="B300" s="10" t="n">
        <v>296</v>
      </c>
      <c r="C300" s="10" t="n">
        <v>2296</v>
      </c>
      <c r="D300" s="10" t="inlineStr">
        <is>
          <t>0504101026</t>
        </is>
      </c>
      <c r="E300" s="26" t="inlineStr">
        <is>
          <t>Region V (Bicol Region)</t>
        </is>
      </c>
      <c r="F300" s="26" t="inlineStr">
        <is>
          <t>Masbate</t>
        </is>
      </c>
      <c r="G300" s="26" t="inlineStr">
        <is>
          <t>Aroroy</t>
        </is>
      </c>
      <c r="H300" s="26" t="inlineStr">
        <is>
          <t>Matongog</t>
        </is>
      </c>
      <c r="I300" s="27" t="n">
        <v>12.570752</v>
      </c>
      <c r="J300" s="27" t="n">
        <v>123.24492</v>
      </c>
      <c r="K300" s="10" t="inlineStr">
        <is>
          <t>R</t>
        </is>
      </c>
      <c r="L300" s="12" t="n">
        <v>1360</v>
      </c>
      <c r="M300" s="14" t="n">
        <v>4.1</v>
      </c>
      <c r="N300" s="12">
        <f>ROUND(L300/M300, 0)</f>
        <v/>
      </c>
      <c r="O300" s="12">
        <f>ROUND(N300*'Methodology &amp; Assumptions'!$B$5, 0)</f>
        <v/>
      </c>
      <c r="P300" s="10" t="inlineStr">
        <is>
          <t>Single Carrier (Band n50, 100MHz TDD)</t>
        </is>
      </c>
      <c r="Q300" s="13">
        <f>ROUNDUP(O300/'Methodology &amp; Assumptions'!$B$6, 0)</f>
        <v/>
      </c>
      <c r="R300" s="13" t="n">
        <v>1</v>
      </c>
      <c r="S300" s="14" t="n">
        <v>18</v>
      </c>
      <c r="T300" s="14" t="n">
        <v>21.53</v>
      </c>
      <c r="U300" s="26">
        <f>IF(X300&gt;='Methodology &amp; Assumptions'!$B$7, "Tier 1 Critical GIDA (Score ≥ 50.0)", IF(X300&gt;='Methodology &amp; Assumptions'!$B$8, "Tier 2 High GIDA (Score 40.0–49.9)", "Tier 3 Moderate GIDA (Score &lt; 40.0)"))</f>
        <v/>
      </c>
      <c r="V300" s="26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W300" s="28" t="n">
        <v>0.237</v>
      </c>
      <c r="X300" s="14" t="n">
        <v>48.99</v>
      </c>
      <c r="Y300" s="14">
        <f>ROUND(MIN(100, (X300/69.91)*100), 2)</f>
        <v/>
      </c>
    </row>
    <row r="301">
      <c r="A301" s="10" t="n">
        <v>3</v>
      </c>
      <c r="B301" s="10" t="n">
        <v>297</v>
      </c>
      <c r="C301" s="10" t="n">
        <v>2297</v>
      </c>
      <c r="D301" s="10" t="inlineStr">
        <is>
          <t>1380612002</t>
        </is>
      </c>
      <c r="E301" s="26" t="inlineStr">
        <is>
          <t>National Capital Region (NCR)</t>
        </is>
      </c>
      <c r="F301" s="26" t="inlineStr">
        <is>
          <t>First District (Not a Province)</t>
        </is>
      </c>
      <c r="G301" s="26" t="inlineStr">
        <is>
          <t>City of Manila</t>
        </is>
      </c>
      <c r="H301" s="26" t="inlineStr">
        <is>
          <t>Barangay 834</t>
        </is>
      </c>
      <c r="I301" s="27" t="n">
        <v>12.523435</v>
      </c>
      <c r="J301" s="27" t="n">
        <v>122.476042</v>
      </c>
      <c r="K301" s="10" t="inlineStr">
        <is>
          <t>U</t>
        </is>
      </c>
      <c r="L301" s="12" t="n">
        <v>1786</v>
      </c>
      <c r="M301" s="14" t="n">
        <v>3.9</v>
      </c>
      <c r="N301" s="12">
        <f>ROUND(L301/M301, 0)</f>
        <v/>
      </c>
      <c r="O301" s="12">
        <f>ROUND(N301*'Methodology &amp; Assumptions'!$B$5, 0)</f>
        <v/>
      </c>
      <c r="P301" s="10" t="inlineStr">
        <is>
          <t>Single Carrier (Band n50, 100MHz TDD)</t>
        </is>
      </c>
      <c r="Q301" s="13">
        <f>ROUNDUP(O301/'Methodology &amp; Assumptions'!$B$6, 0)</f>
        <v/>
      </c>
      <c r="R301" s="13" t="n">
        <v>1</v>
      </c>
      <c r="S301" s="14" t="n">
        <v>80.87</v>
      </c>
      <c r="T301" s="14" t="n">
        <v>63.36</v>
      </c>
      <c r="U301" s="26">
        <f>IF(X301&gt;='Methodology &amp; Assumptions'!$B$7, "Tier 1 Critical GIDA (Score ≥ 50.0)", IF(X301&gt;='Methodology &amp; Assumptions'!$B$8, "Tier 2 High GIDA (Score 40.0–49.9)", "Tier 3 Moderate GIDA (Score &lt; 40.0)"))</f>
        <v/>
      </c>
      <c r="V301" s="26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W301" s="28" t="n">
        <v>0.109</v>
      </c>
      <c r="X301" s="14" t="n">
        <v>48.99</v>
      </c>
      <c r="Y301" s="14">
        <f>ROUND(MIN(100, (X301/69.91)*100), 2)</f>
        <v/>
      </c>
    </row>
    <row r="302">
      <c r="A302" s="10" t="n">
        <v>3</v>
      </c>
      <c r="B302" s="10" t="n">
        <v>298</v>
      </c>
      <c r="C302" s="10" t="n">
        <v>2298</v>
      </c>
      <c r="D302" s="10" t="inlineStr">
        <is>
          <t>PH0002298</t>
        </is>
      </c>
      <c r="E302" s="26" t="inlineStr">
        <is>
          <t>XI</t>
        </is>
      </c>
      <c r="F302" s="26" t="inlineStr">
        <is>
          <t>Davao Del Sur</t>
        </is>
      </c>
      <c r="G302" s="26" t="inlineStr">
        <is>
          <t>Davao City</t>
        </is>
      </c>
      <c r="H302" s="26" t="inlineStr">
        <is>
          <t>Barangay 14-B (Pob.)</t>
        </is>
      </c>
      <c r="I302" s="27" t="n">
        <v>7.211148</v>
      </c>
      <c r="J302" s="27" t="n">
        <v>125.491243</v>
      </c>
      <c r="K302" s="10" t="inlineStr">
        <is>
          <t>R</t>
        </is>
      </c>
      <c r="L302" s="12" t="n">
        <v>2280</v>
      </c>
      <c r="M302" s="14" t="n">
        <v>3.4</v>
      </c>
      <c r="N302" s="12">
        <f>ROUND(L302/M302, 0)</f>
        <v/>
      </c>
      <c r="O302" s="12">
        <f>ROUND(N302*'Methodology &amp; Assumptions'!$B$5, 0)</f>
        <v/>
      </c>
      <c r="P302" s="10" t="inlineStr">
        <is>
          <t>Single Carrier (Band n50, 100MHz TDD)</t>
        </is>
      </c>
      <c r="Q302" s="13">
        <f>ROUNDUP(O302/'Methodology &amp; Assumptions'!$B$6, 0)</f>
        <v/>
      </c>
      <c r="R302" s="13" t="n">
        <v>1</v>
      </c>
      <c r="S302" s="14" t="n">
        <v>4.89</v>
      </c>
      <c r="T302" s="14" t="n">
        <v>4.46</v>
      </c>
      <c r="U302" s="26">
        <f>IF(X302&gt;='Methodology &amp; Assumptions'!$B$7, "Tier 1 Critical GIDA (Score ≥ 50.0)", IF(X302&gt;='Methodology &amp; Assumptions'!$B$8, "Tier 2 High GIDA (Score 40.0–49.9)", "Tier 3 Moderate GIDA (Score &lt; 40.0)"))</f>
        <v/>
      </c>
      <c r="V302" s="26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W302" s="28" t="n">
        <v>0.119</v>
      </c>
      <c r="X302" s="14" t="n">
        <v>48.99</v>
      </c>
      <c r="Y302" s="14">
        <f>ROUND(MIN(100, (X302/69.91)*100), 2)</f>
        <v/>
      </c>
    </row>
    <row r="303">
      <c r="A303" s="10" t="n">
        <v>3</v>
      </c>
      <c r="B303" s="10" t="n">
        <v>299</v>
      </c>
      <c r="C303" s="10" t="n">
        <v>2299</v>
      </c>
      <c r="D303" s="10" t="inlineStr">
        <is>
          <t>1380601035</t>
        </is>
      </c>
      <c r="E303" s="26" t="inlineStr">
        <is>
          <t>National Capital Region (NCR)</t>
        </is>
      </c>
      <c r="F303" s="26" t="inlineStr">
        <is>
          <t>First District (Not a Province)</t>
        </is>
      </c>
      <c r="G303" s="26" t="inlineStr">
        <is>
          <t>City of Manila</t>
        </is>
      </c>
      <c r="H303" s="26" t="inlineStr">
        <is>
          <t>Barangay 35</t>
        </is>
      </c>
      <c r="I303" s="27" t="n">
        <v>12.679657</v>
      </c>
      <c r="J303" s="27" t="n">
        <v>121.008162</v>
      </c>
      <c r="K303" s="10" t="inlineStr">
        <is>
          <t>U</t>
        </is>
      </c>
      <c r="L303" s="12" t="n">
        <v>2334</v>
      </c>
      <c r="M303" s="14" t="n">
        <v>3.9</v>
      </c>
      <c r="N303" s="12">
        <f>ROUND(L303/M303, 0)</f>
        <v/>
      </c>
      <c r="O303" s="12">
        <f>ROUND(N303*'Methodology &amp; Assumptions'!$B$5, 0)</f>
        <v/>
      </c>
      <c r="P303" s="10" t="inlineStr">
        <is>
          <t>Single Carrier (Band n50, 100MHz TDD)</t>
        </is>
      </c>
      <c r="Q303" s="13">
        <f>ROUNDUP(O303/'Methodology &amp; Assumptions'!$B$6, 0)</f>
        <v/>
      </c>
      <c r="R303" s="13" t="n">
        <v>1</v>
      </c>
      <c r="S303" s="14" t="n">
        <v>37.08</v>
      </c>
      <c r="T303" s="14" t="n">
        <v>34.52</v>
      </c>
      <c r="U303" s="26">
        <f>IF(X303&gt;='Methodology &amp; Assumptions'!$B$7, "Tier 1 Critical GIDA (Score ≥ 50.0)", IF(X303&gt;='Methodology &amp; Assumptions'!$B$8, "Tier 2 High GIDA (Score 40.0–49.9)", "Tier 3 Moderate GIDA (Score &lt; 40.0)"))</f>
        <v/>
      </c>
      <c r="V303" s="26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W303" s="28" t="n">
        <v>0.109</v>
      </c>
      <c r="X303" s="14" t="n">
        <v>48.99</v>
      </c>
      <c r="Y303" s="14">
        <f>ROUND(MIN(100, (X303/69.91)*100), 2)</f>
        <v/>
      </c>
    </row>
    <row r="304">
      <c r="A304" s="10" t="n">
        <v>3</v>
      </c>
      <c r="B304" s="10" t="n">
        <v>300</v>
      </c>
      <c r="C304" s="10" t="n">
        <v>2300</v>
      </c>
      <c r="D304" s="10" t="inlineStr">
        <is>
          <t>PH0002300</t>
        </is>
      </c>
      <c r="E304" s="26" t="inlineStr">
        <is>
          <t>NCR</t>
        </is>
      </c>
      <c r="F304" s="26" t="inlineStr">
        <is>
          <t>Metro Manila</t>
        </is>
      </c>
      <c r="G304" s="26" t="inlineStr">
        <is>
          <t>Caloocan City</t>
        </is>
      </c>
      <c r="H304" s="26" t="inlineStr">
        <is>
          <t>Barangay 48</t>
        </is>
      </c>
      <c r="I304" s="27" t="n">
        <v>13.941171</v>
      </c>
      <c r="J304" s="27" t="n">
        <v>122.687668</v>
      </c>
      <c r="K304" s="10" t="inlineStr">
        <is>
          <t>R</t>
        </is>
      </c>
      <c r="L304" s="12" t="n">
        <v>2279</v>
      </c>
      <c r="M304" s="14" t="n">
        <v>3.8</v>
      </c>
      <c r="N304" s="12">
        <f>ROUND(L304/M304, 0)</f>
        <v/>
      </c>
      <c r="O304" s="12">
        <f>ROUND(N304*'Methodology &amp; Assumptions'!$B$5, 0)</f>
        <v/>
      </c>
      <c r="P304" s="10" t="inlineStr">
        <is>
          <t>Single Carrier (Band n50, 100MHz TDD)</t>
        </is>
      </c>
      <c r="Q304" s="13">
        <f>ROUNDUP(O304/'Methodology &amp; Assumptions'!$B$6, 0)</f>
        <v/>
      </c>
      <c r="R304" s="13" t="n">
        <v>1</v>
      </c>
      <c r="S304" s="14" t="n">
        <v>9.81</v>
      </c>
      <c r="T304" s="14" t="n">
        <v>5.86</v>
      </c>
      <c r="U304" s="26">
        <f>IF(X304&gt;='Methodology &amp; Assumptions'!$B$7, "Tier 1 Critical GIDA (Score ≥ 50.0)", IF(X304&gt;='Methodology &amp; Assumptions'!$B$8, "Tier 2 High GIDA (Score 40.0–49.9)", "Tier 3 Moderate GIDA (Score &lt; 40.0)"))</f>
        <v/>
      </c>
      <c r="V304" s="26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W304" s="28" t="n">
        <v>0.011</v>
      </c>
      <c r="X304" s="14" t="n">
        <v>48.99</v>
      </c>
      <c r="Y304" s="14">
        <f>ROUND(MIN(100, (X304/69.91)*100), 2)</f>
        <v/>
      </c>
    </row>
    <row r="305">
      <c r="A305" s="10" t="n">
        <v>3</v>
      </c>
      <c r="B305" s="10" t="n">
        <v>301</v>
      </c>
      <c r="C305" s="10" t="n">
        <v>2301</v>
      </c>
      <c r="D305" s="10" t="inlineStr">
        <is>
          <t>1380610026</t>
        </is>
      </c>
      <c r="E305" s="26" t="inlineStr">
        <is>
          <t>National Capital Region (NCR)</t>
        </is>
      </c>
      <c r="F305" s="26" t="inlineStr">
        <is>
          <t>First District (Not a Province)</t>
        </is>
      </c>
      <c r="G305" s="26" t="inlineStr">
        <is>
          <t>City of Manila</t>
        </is>
      </c>
      <c r="H305" s="26" t="inlineStr">
        <is>
          <t>Barangay 711</t>
        </is>
      </c>
      <c r="I305" s="27" t="n">
        <v>13.532701</v>
      </c>
      <c r="J305" s="27" t="n">
        <v>122.200744</v>
      </c>
      <c r="K305" s="10" t="inlineStr">
        <is>
          <t>U</t>
        </is>
      </c>
      <c r="L305" s="12" t="n">
        <v>1333</v>
      </c>
      <c r="M305" s="14" t="n">
        <v>3.9</v>
      </c>
      <c r="N305" s="12">
        <f>ROUND(L305/M305, 0)</f>
        <v/>
      </c>
      <c r="O305" s="12">
        <f>ROUND(N305*'Methodology &amp; Assumptions'!$B$5, 0)</f>
        <v/>
      </c>
      <c r="P305" s="10" t="inlineStr">
        <is>
          <t>Single Carrier (Band n50, 100MHz TDD)</t>
        </is>
      </c>
      <c r="Q305" s="13">
        <f>ROUNDUP(O305/'Methodology &amp; Assumptions'!$B$6, 0)</f>
        <v/>
      </c>
      <c r="R305" s="13" t="n">
        <v>1</v>
      </c>
      <c r="S305" s="14" t="n">
        <v>12.05</v>
      </c>
      <c r="T305" s="14" t="n">
        <v>11.58</v>
      </c>
      <c r="U305" s="26">
        <f>IF(X305&gt;='Methodology &amp; Assumptions'!$B$7, "Tier 1 Critical GIDA (Score ≥ 50.0)", IF(X305&gt;='Methodology &amp; Assumptions'!$B$8, "Tier 2 High GIDA (Score 40.0–49.9)", "Tier 3 Moderate GIDA (Score &lt; 40.0)"))</f>
        <v/>
      </c>
      <c r="V305" s="26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W305" s="28" t="n">
        <v>0.109</v>
      </c>
      <c r="X305" s="14" t="n">
        <v>48.99</v>
      </c>
      <c r="Y305" s="14">
        <f>ROUND(MIN(100, (X305/69.91)*100), 2)</f>
        <v/>
      </c>
    </row>
    <row r="306">
      <c r="A306" s="10" t="n">
        <v>3</v>
      </c>
      <c r="B306" s="10" t="n">
        <v>302</v>
      </c>
      <c r="C306" s="10" t="n">
        <v>2302</v>
      </c>
      <c r="D306" s="10" t="inlineStr">
        <is>
          <t>PH0002302</t>
        </is>
      </c>
      <c r="E306" s="26" t="inlineStr">
        <is>
          <t>V</t>
        </is>
      </c>
      <c r="F306" s="26" t="inlineStr">
        <is>
          <t>Camarines Sur</t>
        </is>
      </c>
      <c r="G306" s="26" t="inlineStr">
        <is>
          <t>Naga City</t>
        </is>
      </c>
      <c r="H306" s="26" t="inlineStr">
        <is>
          <t>Triangulo</t>
        </is>
      </c>
      <c r="I306" s="27" t="n">
        <v>13.619466</v>
      </c>
      <c r="J306" s="27" t="n">
        <v>123.195868</v>
      </c>
      <c r="K306" s="10" t="inlineStr">
        <is>
          <t>R</t>
        </is>
      </c>
      <c r="L306" s="12" t="n">
        <v>2195</v>
      </c>
      <c r="M306" s="14" t="n">
        <v>4.2</v>
      </c>
      <c r="N306" s="12">
        <f>ROUND(L306/M306, 0)</f>
        <v/>
      </c>
      <c r="O306" s="12">
        <f>ROUND(N306*'Methodology &amp; Assumptions'!$B$5, 0)</f>
        <v/>
      </c>
      <c r="P306" s="10" t="inlineStr">
        <is>
          <t>Single Carrier (Band n50, 100MHz TDD)</t>
        </is>
      </c>
      <c r="Q306" s="13">
        <f>ROUNDUP(O306/'Methodology &amp; Assumptions'!$B$6, 0)</f>
        <v/>
      </c>
      <c r="R306" s="13" t="n">
        <v>1</v>
      </c>
      <c r="S306" s="14" t="n">
        <v>1.1</v>
      </c>
      <c r="T306" s="14" t="n">
        <v>0.9399999999999999</v>
      </c>
      <c r="U306" s="26">
        <f>IF(X306&gt;='Methodology &amp; Assumptions'!$B$7, "Tier 1 Critical GIDA (Score ≥ 50.0)", IF(X306&gt;='Methodology &amp; Assumptions'!$B$8, "Tier 2 High GIDA (Score 40.0–49.9)", "Tier 3 Moderate GIDA (Score &lt; 40.0)"))</f>
        <v/>
      </c>
      <c r="V306" s="26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W306" s="28" t="n">
        <v>0.07200000000000001</v>
      </c>
      <c r="X306" s="14" t="n">
        <v>48.99</v>
      </c>
      <c r="Y306" s="14">
        <f>ROUND(MIN(100, (X306/69.91)*100), 2)</f>
        <v/>
      </c>
    </row>
    <row r="307">
      <c r="A307" s="10" t="n">
        <v>3</v>
      </c>
      <c r="B307" s="10" t="n">
        <v>303</v>
      </c>
      <c r="C307" s="10" t="n">
        <v>2303</v>
      </c>
      <c r="D307" s="10" t="inlineStr">
        <is>
          <t>1380605034</t>
        </is>
      </c>
      <c r="E307" s="26" t="inlineStr">
        <is>
          <t>National Capital Region (NCR)</t>
        </is>
      </c>
      <c r="F307" s="26" t="inlineStr">
        <is>
          <t>First District (Not a Province)</t>
        </is>
      </c>
      <c r="G307" s="26" t="inlineStr">
        <is>
          <t>City of Manila</t>
        </is>
      </c>
      <c r="H307" s="26" t="inlineStr">
        <is>
          <t>Barangay 332</t>
        </is>
      </c>
      <c r="I307" s="27" t="n">
        <v>12.115878</v>
      </c>
      <c r="J307" s="27" t="n">
        <v>121.912158</v>
      </c>
      <c r="K307" s="10" t="inlineStr">
        <is>
          <t>U</t>
        </is>
      </c>
      <c r="L307" s="12" t="n">
        <v>600</v>
      </c>
      <c r="M307" s="14" t="n">
        <v>3.9</v>
      </c>
      <c r="N307" s="12">
        <f>ROUND(L307/M307, 0)</f>
        <v/>
      </c>
      <c r="O307" s="12">
        <f>ROUND(N307*'Methodology &amp; Assumptions'!$B$5, 0)</f>
        <v/>
      </c>
      <c r="P307" s="10" t="inlineStr">
        <is>
          <t>Single Carrier (Band n50, 100MHz TDD)</t>
        </is>
      </c>
      <c r="Q307" s="13">
        <f>ROUNDUP(O307/'Methodology &amp; Assumptions'!$B$6, 0)</f>
        <v/>
      </c>
      <c r="R307" s="13" t="n">
        <v>1</v>
      </c>
      <c r="S307" s="14" t="n">
        <v>18.99</v>
      </c>
      <c r="T307" s="14" t="n">
        <v>4.15</v>
      </c>
      <c r="U307" s="26">
        <f>IF(X307&gt;='Methodology &amp; Assumptions'!$B$7, "Tier 1 Critical GIDA (Score ≥ 50.0)", IF(X307&gt;='Methodology &amp; Assumptions'!$B$8, "Tier 2 High GIDA (Score 40.0–49.9)", "Tier 3 Moderate GIDA (Score &lt; 40.0)"))</f>
        <v/>
      </c>
      <c r="V307" s="26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W307" s="28" t="n">
        <v>0.109</v>
      </c>
      <c r="X307" s="14" t="n">
        <v>48.99</v>
      </c>
      <c r="Y307" s="14">
        <f>ROUND(MIN(100, (X307/69.91)*100), 2)</f>
        <v/>
      </c>
    </row>
    <row r="308">
      <c r="A308" s="10" t="n">
        <v>3</v>
      </c>
      <c r="B308" s="10" t="n">
        <v>304</v>
      </c>
      <c r="C308" s="10" t="n">
        <v>2304</v>
      </c>
      <c r="D308" s="10" t="inlineStr">
        <is>
          <t>1380605069</t>
        </is>
      </c>
      <c r="E308" s="26" t="inlineStr">
        <is>
          <t>National Capital Region (NCR)</t>
        </is>
      </c>
      <c r="F308" s="26" t="inlineStr">
        <is>
          <t>First District (Not a Province)</t>
        </is>
      </c>
      <c r="G308" s="26" t="inlineStr">
        <is>
          <t>City of Manila</t>
        </is>
      </c>
      <c r="H308" s="26" t="inlineStr">
        <is>
          <t>Barangay 366</t>
        </is>
      </c>
      <c r="I308" s="27" t="n">
        <v>13.35268</v>
      </c>
      <c r="J308" s="27" t="n">
        <v>121.141691</v>
      </c>
      <c r="K308" s="10" t="inlineStr">
        <is>
          <t>U</t>
        </is>
      </c>
      <c r="L308" s="12" t="n">
        <v>1229</v>
      </c>
      <c r="M308" s="14" t="n">
        <v>3.9</v>
      </c>
      <c r="N308" s="12">
        <f>ROUND(L308/M308, 0)</f>
        <v/>
      </c>
      <c r="O308" s="12">
        <f>ROUND(N308*'Methodology &amp; Assumptions'!$B$5, 0)</f>
        <v/>
      </c>
      <c r="P308" s="10" t="inlineStr">
        <is>
          <t>Single Carrier (Band n50, 100MHz TDD)</t>
        </is>
      </c>
      <c r="Q308" s="13">
        <f>ROUNDUP(O308/'Methodology &amp; Assumptions'!$B$6, 0)</f>
        <v/>
      </c>
      <c r="R308" s="13" t="n">
        <v>1</v>
      </c>
      <c r="S308" s="14" t="n">
        <v>3.15</v>
      </c>
      <c r="T308" s="14" t="n">
        <v>0.31</v>
      </c>
      <c r="U308" s="26">
        <f>IF(X308&gt;='Methodology &amp; Assumptions'!$B$7, "Tier 1 Critical GIDA (Score ≥ 50.0)", IF(X308&gt;='Methodology &amp; Assumptions'!$B$8, "Tier 2 High GIDA (Score 40.0–49.9)", "Tier 3 Moderate GIDA (Score &lt; 40.0)"))</f>
        <v/>
      </c>
      <c r="V308" s="26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W308" s="28" t="n">
        <v>0.109</v>
      </c>
      <c r="X308" s="14" t="n">
        <v>48.99</v>
      </c>
      <c r="Y308" s="14">
        <f>ROUND(MIN(100, (X308/69.91)*100), 2)</f>
        <v/>
      </c>
    </row>
    <row r="309">
      <c r="A309" s="10" t="n">
        <v>3</v>
      </c>
      <c r="B309" s="10" t="n">
        <v>305</v>
      </c>
      <c r="C309" s="10" t="n">
        <v>2305</v>
      </c>
      <c r="D309" s="10" t="inlineStr">
        <is>
          <t>1380606072</t>
        </is>
      </c>
      <c r="E309" s="26" t="inlineStr">
        <is>
          <t>National Capital Region (NCR)</t>
        </is>
      </c>
      <c r="F309" s="26" t="inlineStr">
        <is>
          <t>First District (Not a Province)</t>
        </is>
      </c>
      <c r="G309" s="26" t="inlineStr">
        <is>
          <t>City of Manila</t>
        </is>
      </c>
      <c r="H309" s="26" t="inlineStr">
        <is>
          <t>Barangay 466</t>
        </is>
      </c>
      <c r="I309" s="27" t="n">
        <v>12.947534</v>
      </c>
      <c r="J309" s="27" t="n">
        <v>122.569354</v>
      </c>
      <c r="K309" s="10" t="inlineStr">
        <is>
          <t>U</t>
        </is>
      </c>
      <c r="L309" s="12" t="n">
        <v>1275</v>
      </c>
      <c r="M309" s="14" t="n">
        <v>3.9</v>
      </c>
      <c r="N309" s="12">
        <f>ROUND(L309/M309, 0)</f>
        <v/>
      </c>
      <c r="O309" s="12">
        <f>ROUND(N309*'Methodology &amp; Assumptions'!$B$5, 0)</f>
        <v/>
      </c>
      <c r="P309" s="10" t="inlineStr">
        <is>
          <t>Single Carrier (Band n50, 100MHz TDD)</t>
        </is>
      </c>
      <c r="Q309" s="13">
        <f>ROUNDUP(O309/'Methodology &amp; Assumptions'!$B$6, 0)</f>
        <v/>
      </c>
      <c r="R309" s="13" t="n">
        <v>1</v>
      </c>
      <c r="S309" s="14" t="n">
        <v>33.05</v>
      </c>
      <c r="T309" s="14" t="n">
        <v>66.89</v>
      </c>
      <c r="U309" s="26">
        <f>IF(X309&gt;='Methodology &amp; Assumptions'!$B$7, "Tier 1 Critical GIDA (Score ≥ 50.0)", IF(X309&gt;='Methodology &amp; Assumptions'!$B$8, "Tier 2 High GIDA (Score 40.0–49.9)", "Tier 3 Moderate GIDA (Score &lt; 40.0)"))</f>
        <v/>
      </c>
      <c r="V309" s="26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W309" s="28" t="n">
        <v>0.109</v>
      </c>
      <c r="X309" s="14" t="n">
        <v>48.98</v>
      </c>
      <c r="Y309" s="14">
        <f>ROUND(MIN(100, (X309/69.91)*100), 2)</f>
        <v/>
      </c>
    </row>
    <row r="310">
      <c r="A310" s="10" t="n">
        <v>3</v>
      </c>
      <c r="B310" s="10" t="n">
        <v>306</v>
      </c>
      <c r="C310" s="10" t="n">
        <v>2306</v>
      </c>
      <c r="D310" s="10" t="inlineStr">
        <is>
          <t>0603030113</t>
        </is>
      </c>
      <c r="E310" s="26" t="inlineStr">
        <is>
          <t>Region VI (Western Visayas)</t>
        </is>
      </c>
      <c r="F310" s="26" t="inlineStr">
        <is>
          <t>Iloilo</t>
        </is>
      </c>
      <c r="G310" s="26" t="inlineStr">
        <is>
          <t>Miagao</t>
        </is>
      </c>
      <c r="H310" s="26" t="inlineStr">
        <is>
          <t>Tigmalapad</t>
        </is>
      </c>
      <c r="I310" s="27" t="n">
        <v>10.710631</v>
      </c>
      <c r="J310" s="27" t="n">
        <v>122.182098</v>
      </c>
      <c r="K310" s="10" t="inlineStr">
        <is>
          <t>R</t>
        </is>
      </c>
      <c r="L310" s="12" t="n">
        <v>528</v>
      </c>
      <c r="M310" s="14" t="n">
        <v>3.8</v>
      </c>
      <c r="N310" s="12">
        <f>ROUND(L310/M310, 0)</f>
        <v/>
      </c>
      <c r="O310" s="12">
        <f>ROUND(N310*'Methodology &amp; Assumptions'!$B$5, 0)</f>
        <v/>
      </c>
      <c r="P310" s="10" t="inlineStr">
        <is>
          <t>Single Carrier (Band n50, 100MHz TDD)</t>
        </is>
      </c>
      <c r="Q310" s="13">
        <f>ROUNDUP(O310/'Methodology &amp; Assumptions'!$B$6, 0)</f>
        <v/>
      </c>
      <c r="R310" s="13" t="n">
        <v>1</v>
      </c>
      <c r="S310" s="14" t="n">
        <v>22.03</v>
      </c>
      <c r="T310" s="14" t="n">
        <v>8.41</v>
      </c>
      <c r="U310" s="26">
        <f>IF(X310&gt;='Methodology &amp; Assumptions'!$B$7, "Tier 1 Critical GIDA (Score ≥ 50.0)", IF(X310&gt;='Methodology &amp; Assumptions'!$B$8, "Tier 2 High GIDA (Score 40.0–49.9)", "Tier 3 Moderate GIDA (Score &lt; 40.0)"))</f>
        <v/>
      </c>
      <c r="V310" s="26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W310" s="28" t="n">
        <v>0.237</v>
      </c>
      <c r="X310" s="14" t="n">
        <v>48.98</v>
      </c>
      <c r="Y310" s="14">
        <f>ROUND(MIN(100, (X310/69.91)*100), 2)</f>
        <v/>
      </c>
    </row>
    <row r="311">
      <c r="A311" s="10" t="n">
        <v>3</v>
      </c>
      <c r="B311" s="10" t="n">
        <v>307</v>
      </c>
      <c r="C311" s="10" t="n">
        <v>2307</v>
      </c>
      <c r="D311" s="10" t="inlineStr">
        <is>
          <t>1380601241</t>
        </is>
      </c>
      <c r="E311" s="26" t="inlineStr">
        <is>
          <t>National Capital Region (NCR)</t>
        </is>
      </c>
      <c r="F311" s="26" t="inlineStr">
        <is>
          <t>First District (Not a Province)</t>
        </is>
      </c>
      <c r="G311" s="26" t="inlineStr">
        <is>
          <t>City of Manila</t>
        </is>
      </c>
      <c r="H311" s="26" t="inlineStr">
        <is>
          <t>Barangay 240</t>
        </is>
      </c>
      <c r="I311" s="27" t="n">
        <v>12.304879</v>
      </c>
      <c r="J311" s="27" t="n">
        <v>121.233679</v>
      </c>
      <c r="K311" s="10" t="inlineStr">
        <is>
          <t>U</t>
        </is>
      </c>
      <c r="L311" s="12" t="n">
        <v>58</v>
      </c>
      <c r="M311" s="14" t="n">
        <v>3.9</v>
      </c>
      <c r="N311" s="12">
        <f>ROUND(L311/M311, 0)</f>
        <v/>
      </c>
      <c r="O311" s="12">
        <f>ROUND(N311*'Methodology &amp; Assumptions'!$B$5, 0)</f>
        <v/>
      </c>
      <c r="P311" s="10" t="inlineStr">
        <is>
          <t>Single Carrier (Band n50, 100MHz TDD)</t>
        </is>
      </c>
      <c r="Q311" s="13">
        <f>ROUNDUP(O311/'Methodology &amp; Assumptions'!$B$6, 0)</f>
        <v/>
      </c>
      <c r="R311" s="13" t="n">
        <v>1</v>
      </c>
      <c r="S311" s="14" t="n">
        <v>9.140000000000001</v>
      </c>
      <c r="T311" s="14" t="n">
        <v>1.16</v>
      </c>
      <c r="U311" s="26">
        <f>IF(X311&gt;='Methodology &amp; Assumptions'!$B$7, "Tier 1 Critical GIDA (Score ≥ 50.0)", IF(X311&gt;='Methodology &amp; Assumptions'!$B$8, "Tier 2 High GIDA (Score 40.0–49.9)", "Tier 3 Moderate GIDA (Score &lt; 40.0)"))</f>
        <v/>
      </c>
      <c r="V311" s="26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W311" s="28" t="n">
        <v>0.109</v>
      </c>
      <c r="X311" s="14" t="n">
        <v>48.98</v>
      </c>
      <c r="Y311" s="14">
        <f>ROUND(MIN(100, (X311/69.91)*100), 2)</f>
        <v/>
      </c>
    </row>
    <row r="312">
      <c r="A312" s="10" t="n">
        <v>3</v>
      </c>
      <c r="B312" s="10" t="n">
        <v>308</v>
      </c>
      <c r="C312" s="10" t="n">
        <v>2308</v>
      </c>
      <c r="D312" s="10" t="inlineStr">
        <is>
          <t>PH0002308</t>
        </is>
      </c>
      <c r="E312" s="26" t="inlineStr">
        <is>
          <t>NCR</t>
        </is>
      </c>
      <c r="F312" s="26" t="inlineStr">
        <is>
          <t>Metro Manila</t>
        </is>
      </c>
      <c r="G312" s="26" t="inlineStr">
        <is>
          <t>Caloocan City</t>
        </is>
      </c>
      <c r="H312" s="26" t="inlineStr">
        <is>
          <t>Barangay 88</t>
        </is>
      </c>
      <c r="I312" s="27" t="n">
        <v>11.494018</v>
      </c>
      <c r="J312" s="27" t="n">
        <v>121.836062</v>
      </c>
      <c r="K312" s="10" t="inlineStr">
        <is>
          <t>R</t>
        </is>
      </c>
      <c r="L312" s="12" t="n">
        <v>2279</v>
      </c>
      <c r="M312" s="14" t="n">
        <v>3.8</v>
      </c>
      <c r="N312" s="12">
        <f>ROUND(L312/M312, 0)</f>
        <v/>
      </c>
      <c r="O312" s="12">
        <f>ROUND(N312*'Methodology &amp; Assumptions'!$B$5, 0)</f>
        <v/>
      </c>
      <c r="P312" s="10" t="inlineStr">
        <is>
          <t>Single Carrier (Band n50, 100MHz TDD)</t>
        </is>
      </c>
      <c r="Q312" s="13">
        <f>ROUNDUP(O312/'Methodology &amp; Assumptions'!$B$6, 0)</f>
        <v/>
      </c>
      <c r="R312" s="13" t="n">
        <v>1</v>
      </c>
      <c r="S312" s="14" t="n">
        <v>51.91</v>
      </c>
      <c r="T312" s="14" t="n">
        <v>45.49</v>
      </c>
      <c r="U312" s="26">
        <f>IF(X312&gt;='Methodology &amp; Assumptions'!$B$7, "Tier 1 Critical GIDA (Score ≥ 50.0)", IF(X312&gt;='Methodology &amp; Assumptions'!$B$8, "Tier 2 High GIDA (Score 40.0–49.9)", "Tier 3 Moderate GIDA (Score &lt; 40.0)"))</f>
        <v/>
      </c>
      <c r="V312" s="26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W312" s="28" t="n">
        <v>0.011</v>
      </c>
      <c r="X312" s="14" t="n">
        <v>48.98</v>
      </c>
      <c r="Y312" s="14">
        <f>ROUND(MIN(100, (X312/69.91)*100), 2)</f>
        <v/>
      </c>
    </row>
    <row r="313">
      <c r="A313" s="10" t="n">
        <v>3</v>
      </c>
      <c r="B313" s="10" t="n">
        <v>309</v>
      </c>
      <c r="C313" s="10" t="n">
        <v>2309</v>
      </c>
      <c r="D313" s="10" t="inlineStr">
        <is>
          <t>1381100065</t>
        </is>
      </c>
      <c r="E313" s="26" t="inlineStr">
        <is>
          <t>National Capital Region (NCR)</t>
        </is>
      </c>
      <c r="F313" s="26" t="inlineStr">
        <is>
          <t>Fourth District (Not a Province)</t>
        </is>
      </c>
      <c r="G313" s="26" t="inlineStr">
        <is>
          <t>Pasay City</t>
        </is>
      </c>
      <c r="H313" s="26" t="inlineStr">
        <is>
          <t>Barangay 65</t>
        </is>
      </c>
      <c r="I313" s="27" t="n">
        <v>14.656203</v>
      </c>
      <c r="J313" s="27" t="n">
        <v>121.095101</v>
      </c>
      <c r="K313" s="10" t="inlineStr">
        <is>
          <t>U</t>
        </is>
      </c>
      <c r="L313" s="12" t="n">
        <v>3015</v>
      </c>
      <c r="M313" s="14" t="n">
        <v>3.4</v>
      </c>
      <c r="N313" s="12">
        <f>ROUND(L313/M313, 0)</f>
        <v/>
      </c>
      <c r="O313" s="12">
        <f>ROUND(N313*'Methodology &amp; Assumptions'!$B$5, 0)</f>
        <v/>
      </c>
      <c r="P313" s="10" t="inlineStr">
        <is>
          <t>Single Carrier (Band n50, 100MHz TDD)</t>
        </is>
      </c>
      <c r="Q313" s="13">
        <f>ROUNDUP(O313/'Methodology &amp; Assumptions'!$B$6, 0)</f>
        <v/>
      </c>
      <c r="R313" s="13" t="n">
        <v>1</v>
      </c>
      <c r="S313" s="14" t="n">
        <v>0.89</v>
      </c>
      <c r="T313" s="14" t="n">
        <v>0.88</v>
      </c>
      <c r="U313" s="26">
        <f>IF(X313&gt;='Methodology &amp; Assumptions'!$B$7, "Tier 1 Critical GIDA (Score ≥ 50.0)", IF(X313&gt;='Methodology &amp; Assumptions'!$B$8, "Tier 2 High GIDA (Score 40.0–49.9)", "Tier 3 Moderate GIDA (Score &lt; 40.0)"))</f>
        <v/>
      </c>
      <c r="V313" s="26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W313" s="28" t="n">
        <v>0.109</v>
      </c>
      <c r="X313" s="14" t="n">
        <v>48.98</v>
      </c>
      <c r="Y313" s="14">
        <f>ROUND(MIN(100, (X313/69.91)*100), 2)</f>
        <v/>
      </c>
    </row>
    <row r="314">
      <c r="A314" s="10" t="n">
        <v>3</v>
      </c>
      <c r="B314" s="10" t="n">
        <v>310</v>
      </c>
      <c r="C314" s="10" t="n">
        <v>2310</v>
      </c>
      <c r="D314" s="10" t="inlineStr">
        <is>
          <t>1380606069</t>
        </is>
      </c>
      <c r="E314" s="26" t="inlineStr">
        <is>
          <t>National Capital Region (NCR)</t>
        </is>
      </c>
      <c r="F314" s="26" t="inlineStr">
        <is>
          <t>First District (Not a Province)</t>
        </is>
      </c>
      <c r="G314" s="26" t="inlineStr">
        <is>
          <t>City of Manila</t>
        </is>
      </c>
      <c r="H314" s="26" t="inlineStr">
        <is>
          <t>Barangay 463</t>
        </is>
      </c>
      <c r="I314" s="27" t="n">
        <v>13.660704</v>
      </c>
      <c r="J314" s="27" t="n">
        <v>121.774</v>
      </c>
      <c r="K314" s="10" t="inlineStr">
        <is>
          <t>U</t>
        </is>
      </c>
      <c r="L314" s="12" t="n">
        <v>855</v>
      </c>
      <c r="M314" s="14" t="n">
        <v>3.9</v>
      </c>
      <c r="N314" s="12">
        <f>ROUND(L314/M314, 0)</f>
        <v/>
      </c>
      <c r="O314" s="12">
        <f>ROUND(N314*'Methodology &amp; Assumptions'!$B$5, 0)</f>
        <v/>
      </c>
      <c r="P314" s="10" t="inlineStr">
        <is>
          <t>Single Carrier (Band n50, 100MHz TDD)</t>
        </is>
      </c>
      <c r="Q314" s="13">
        <f>ROUNDUP(O314/'Methodology &amp; Assumptions'!$B$6, 0)</f>
        <v/>
      </c>
      <c r="R314" s="13" t="n">
        <v>1</v>
      </c>
      <c r="S314" s="14" t="n">
        <v>28.32</v>
      </c>
      <c r="T314" s="14" t="n">
        <v>27.61</v>
      </c>
      <c r="U314" s="26">
        <f>IF(X314&gt;='Methodology &amp; Assumptions'!$B$7, "Tier 1 Critical GIDA (Score ≥ 50.0)", IF(X314&gt;='Methodology &amp; Assumptions'!$B$8, "Tier 2 High GIDA (Score 40.0–49.9)", "Tier 3 Moderate GIDA (Score &lt; 40.0)"))</f>
        <v/>
      </c>
      <c r="V314" s="26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W314" s="28" t="n">
        <v>0.109</v>
      </c>
      <c r="X314" s="14" t="n">
        <v>48.98</v>
      </c>
      <c r="Y314" s="14">
        <f>ROUND(MIN(100, (X314/69.91)*100), 2)</f>
        <v/>
      </c>
    </row>
    <row r="315">
      <c r="A315" s="10" t="n">
        <v>3</v>
      </c>
      <c r="B315" s="10" t="n">
        <v>311</v>
      </c>
      <c r="C315" s="10" t="n">
        <v>2311</v>
      </c>
      <c r="D315" s="10" t="inlineStr">
        <is>
          <t>1108603003</t>
        </is>
      </c>
      <c r="E315" s="26" t="inlineStr">
        <is>
          <t>Region XI (Davao Region)</t>
        </is>
      </c>
      <c r="F315" s="26" t="inlineStr">
        <is>
          <t>Davao Occidental</t>
        </is>
      </c>
      <c r="G315" s="26" t="inlineStr">
        <is>
          <t>Malita</t>
        </is>
      </c>
      <c r="H315" s="26" t="inlineStr">
        <is>
          <t>Buhangin</t>
        </is>
      </c>
      <c r="I315" s="27" t="n">
        <v>6.489625</v>
      </c>
      <c r="J315" s="27" t="n">
        <v>125.54363</v>
      </c>
      <c r="K315" s="10" t="inlineStr">
        <is>
          <t>R</t>
        </is>
      </c>
      <c r="L315" s="12" t="n">
        <v>4998</v>
      </c>
      <c r="M315" s="14" t="n">
        <v>3.6</v>
      </c>
      <c r="N315" s="12">
        <f>ROUND(L315/M315, 0)</f>
        <v/>
      </c>
      <c r="O315" s="12">
        <f>ROUND(N315*'Methodology &amp; Assumptions'!$B$5, 0)</f>
        <v/>
      </c>
      <c r="P315" s="10" t="inlineStr">
        <is>
          <t>Single Carrier (Band n50, 100MHz TDD)</t>
        </is>
      </c>
      <c r="Q315" s="13">
        <f>ROUNDUP(O315/'Methodology &amp; Assumptions'!$B$6, 0)</f>
        <v/>
      </c>
      <c r="R315" s="13" t="n">
        <v>1</v>
      </c>
      <c r="S315" s="14" t="n">
        <v>18.85</v>
      </c>
      <c r="T315" s="14" t="n">
        <v>19.73</v>
      </c>
      <c r="U315" s="26">
        <f>IF(X315&gt;='Methodology &amp; Assumptions'!$B$7, "Tier 1 Critical GIDA (Score ≥ 50.0)", IF(X315&gt;='Methodology &amp; Assumptions'!$B$8, "Tier 2 High GIDA (Score 40.0–49.9)", "Tier 3 Moderate GIDA (Score &lt; 40.0)"))</f>
        <v/>
      </c>
      <c r="V315" s="26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W315" s="28" t="n">
        <v>0.174</v>
      </c>
      <c r="X315" s="14" t="n">
        <v>48.98</v>
      </c>
      <c r="Y315" s="14">
        <f>ROUND(MIN(100, (X315/69.91)*100), 2)</f>
        <v/>
      </c>
    </row>
    <row r="316">
      <c r="A316" s="10" t="n">
        <v>3</v>
      </c>
      <c r="B316" s="10" t="n">
        <v>312</v>
      </c>
      <c r="C316" s="10" t="n">
        <v>2312</v>
      </c>
      <c r="D316" s="10" t="inlineStr">
        <is>
          <t>1380601194</t>
        </is>
      </c>
      <c r="E316" s="26" t="inlineStr">
        <is>
          <t>National Capital Region (NCR)</t>
        </is>
      </c>
      <c r="F316" s="26" t="inlineStr">
        <is>
          <t>First District (Not a Province)</t>
        </is>
      </c>
      <c r="G316" s="26" t="inlineStr">
        <is>
          <t>City of Manila</t>
        </is>
      </c>
      <c r="H316" s="26" t="inlineStr">
        <is>
          <t>Barangay 194</t>
        </is>
      </c>
      <c r="I316" s="27" t="n">
        <v>12.302888</v>
      </c>
      <c r="J316" s="27" t="n">
        <v>122.316192</v>
      </c>
      <c r="K316" s="10" t="inlineStr">
        <is>
          <t>U</t>
        </is>
      </c>
      <c r="L316" s="12" t="n">
        <v>799</v>
      </c>
      <c r="M316" s="14" t="n">
        <v>3.9</v>
      </c>
      <c r="N316" s="12">
        <f>ROUND(L316/M316, 0)</f>
        <v/>
      </c>
      <c r="O316" s="12">
        <f>ROUND(N316*'Methodology &amp; Assumptions'!$B$5, 0)</f>
        <v/>
      </c>
      <c r="P316" s="10" t="inlineStr">
        <is>
          <t>Single Carrier (Band n50, 100MHz TDD)</t>
        </is>
      </c>
      <c r="Q316" s="13">
        <f>ROUNDUP(O316/'Methodology &amp; Assumptions'!$B$6, 0)</f>
        <v/>
      </c>
      <c r="R316" s="13" t="n">
        <v>1</v>
      </c>
      <c r="S316" s="14" t="n">
        <v>56.35</v>
      </c>
      <c r="T316" s="14" t="n">
        <v>35.57</v>
      </c>
      <c r="U316" s="26">
        <f>IF(X316&gt;='Methodology &amp; Assumptions'!$B$7, "Tier 1 Critical GIDA (Score ≥ 50.0)", IF(X316&gt;='Methodology &amp; Assumptions'!$B$8, "Tier 2 High GIDA (Score 40.0–49.9)", "Tier 3 Moderate GIDA (Score &lt; 40.0)"))</f>
        <v/>
      </c>
      <c r="V316" s="26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W316" s="28" t="n">
        <v>0.109</v>
      </c>
      <c r="X316" s="14" t="n">
        <v>48.98</v>
      </c>
      <c r="Y316" s="14">
        <f>ROUND(MIN(100, (X316/69.91)*100), 2)</f>
        <v/>
      </c>
    </row>
    <row r="317">
      <c r="A317" s="10" t="n">
        <v>3</v>
      </c>
      <c r="B317" s="10" t="n">
        <v>313</v>
      </c>
      <c r="C317" s="10" t="n">
        <v>2313</v>
      </c>
      <c r="D317" s="10" t="inlineStr">
        <is>
          <t>1380601090</t>
        </is>
      </c>
      <c r="E317" s="26" t="inlineStr">
        <is>
          <t>National Capital Region (NCR)</t>
        </is>
      </c>
      <c r="F317" s="26" t="inlineStr">
        <is>
          <t>First District (Not a Province)</t>
        </is>
      </c>
      <c r="G317" s="26" t="inlineStr">
        <is>
          <t>City of Manila</t>
        </is>
      </c>
      <c r="H317" s="26" t="inlineStr">
        <is>
          <t>Barangay 90</t>
        </is>
      </c>
      <c r="I317" s="27" t="n">
        <v>12.948004</v>
      </c>
      <c r="J317" s="27" t="n">
        <v>120.973129</v>
      </c>
      <c r="K317" s="10" t="inlineStr">
        <is>
          <t>U</t>
        </is>
      </c>
      <c r="L317" s="12" t="n">
        <v>649</v>
      </c>
      <c r="M317" s="14" t="n">
        <v>3.9</v>
      </c>
      <c r="N317" s="12">
        <f>ROUND(L317/M317, 0)</f>
        <v/>
      </c>
      <c r="O317" s="12">
        <f>ROUND(N317*'Methodology &amp; Assumptions'!$B$5, 0)</f>
        <v/>
      </c>
      <c r="P317" s="10" t="inlineStr">
        <is>
          <t>Single Carrier (Band n50, 100MHz TDD)</t>
        </is>
      </c>
      <c r="Q317" s="13">
        <f>ROUNDUP(O317/'Methodology &amp; Assumptions'!$B$6, 0)</f>
        <v/>
      </c>
      <c r="R317" s="13" t="n">
        <v>1</v>
      </c>
      <c r="S317" s="14" t="n">
        <v>41.23</v>
      </c>
      <c r="T317" s="14" t="n">
        <v>39.67</v>
      </c>
      <c r="U317" s="26">
        <f>IF(X317&gt;='Methodology &amp; Assumptions'!$B$7, "Tier 1 Critical GIDA (Score ≥ 50.0)", IF(X317&gt;='Methodology &amp; Assumptions'!$B$8, "Tier 2 High GIDA (Score 40.0–49.9)", "Tier 3 Moderate GIDA (Score &lt; 40.0)"))</f>
        <v/>
      </c>
      <c r="V317" s="26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W317" s="28" t="n">
        <v>0.109</v>
      </c>
      <c r="X317" s="14" t="n">
        <v>48.98</v>
      </c>
      <c r="Y317" s="14">
        <f>ROUND(MIN(100, (X317/69.91)*100), 2)</f>
        <v/>
      </c>
    </row>
    <row r="318">
      <c r="A318" s="10" t="n">
        <v>3</v>
      </c>
      <c r="B318" s="10" t="n">
        <v>314</v>
      </c>
      <c r="C318" s="10" t="n">
        <v>2314</v>
      </c>
      <c r="D318" s="10" t="inlineStr">
        <is>
          <t>1908709019</t>
        </is>
      </c>
      <c r="E318" s="26" t="inlineStr">
        <is>
          <t>Bangsamoro Autonomous Region In Muslim Mindanao (BARMM)</t>
        </is>
      </c>
      <c r="F318" s="26" t="inlineStr">
        <is>
          <t>Maguindanao del Norte</t>
        </is>
      </c>
      <c r="G318" s="26" t="inlineStr">
        <is>
          <t>Parang</t>
        </is>
      </c>
      <c r="H318" s="26" t="inlineStr">
        <is>
          <t>Pinantao</t>
        </is>
      </c>
      <c r="I318" s="27" t="n">
        <v>17.253973</v>
      </c>
      <c r="J318" s="27" t="n">
        <v>122.228017</v>
      </c>
      <c r="K318" s="10" t="inlineStr">
        <is>
          <t>R</t>
        </is>
      </c>
      <c r="L318" s="12" t="n">
        <v>5143</v>
      </c>
      <c r="M318" s="14" t="n">
        <v>4.3</v>
      </c>
      <c r="N318" s="12">
        <f>ROUND(L318/M318, 0)</f>
        <v/>
      </c>
      <c r="O318" s="12">
        <f>ROUND(N318*'Methodology &amp; Assumptions'!$B$5, 0)</f>
        <v/>
      </c>
      <c r="P318" s="10" t="inlineStr">
        <is>
          <t>Single Carrier (Band n50, 100MHz TDD)</t>
        </is>
      </c>
      <c r="Q318" s="13">
        <f>ROUNDUP(O318/'Methodology &amp; Assumptions'!$B$6, 0)</f>
        <v/>
      </c>
      <c r="R318" s="13" t="n">
        <v>1</v>
      </c>
      <c r="S318" s="14" t="n">
        <v>29.28</v>
      </c>
      <c r="T318" s="14" t="n">
        <v>34.18</v>
      </c>
      <c r="U318" s="26">
        <f>IF(X318&gt;='Methodology &amp; Assumptions'!$B$7, "Tier 1 Critical GIDA (Score ≥ 50.0)", IF(X318&gt;='Methodology &amp; Assumptions'!$B$8, "Tier 2 High GIDA (Score 40.0–49.9)", "Tier 3 Moderate GIDA (Score &lt; 40.0)"))</f>
        <v/>
      </c>
      <c r="V318" s="26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W318" s="28" t="n">
        <v>0.11</v>
      </c>
      <c r="X318" s="14" t="n">
        <v>48.98</v>
      </c>
      <c r="Y318" s="14">
        <f>ROUND(MIN(100, (X318/69.91)*100), 2)</f>
        <v/>
      </c>
    </row>
    <row r="319">
      <c r="A319" s="10" t="n">
        <v>3</v>
      </c>
      <c r="B319" s="10" t="n">
        <v>315</v>
      </c>
      <c r="C319" s="10" t="n">
        <v>2315</v>
      </c>
      <c r="D319" s="10" t="inlineStr">
        <is>
          <t>PH0002315</t>
        </is>
      </c>
      <c r="E319" s="26" t="inlineStr">
        <is>
          <t>NCR</t>
        </is>
      </c>
      <c r="F319" s="26" t="inlineStr">
        <is>
          <t>Metro Manila</t>
        </is>
      </c>
      <c r="G319" s="26" t="inlineStr">
        <is>
          <t>Caloocan City</t>
        </is>
      </c>
      <c r="H319" s="26" t="inlineStr">
        <is>
          <t>Barangay 119</t>
        </is>
      </c>
      <c r="I319" s="27" t="n">
        <v>13.861413</v>
      </c>
      <c r="J319" s="27" t="n">
        <v>120.76695</v>
      </c>
      <c r="K319" s="10" t="inlineStr">
        <is>
          <t>R</t>
        </is>
      </c>
      <c r="L319" s="12" t="n">
        <v>2279</v>
      </c>
      <c r="M319" s="14" t="n">
        <v>3.8</v>
      </c>
      <c r="N319" s="12">
        <f>ROUND(L319/M319, 0)</f>
        <v/>
      </c>
      <c r="O319" s="12">
        <f>ROUND(N319*'Methodology &amp; Assumptions'!$B$5, 0)</f>
        <v/>
      </c>
      <c r="P319" s="10" t="inlineStr">
        <is>
          <t>Single Carrier (Band n50, 100MHz TDD)</t>
        </is>
      </c>
      <c r="Q319" s="13">
        <f>ROUNDUP(O319/'Methodology &amp; Assumptions'!$B$6, 0)</f>
        <v/>
      </c>
      <c r="R319" s="13" t="n">
        <v>1</v>
      </c>
      <c r="S319" s="14" t="n">
        <v>8.789999999999999</v>
      </c>
      <c r="T319" s="14" t="n">
        <v>8.710000000000001</v>
      </c>
      <c r="U319" s="26">
        <f>IF(X319&gt;='Methodology &amp; Assumptions'!$B$7, "Tier 1 Critical GIDA (Score ≥ 50.0)", IF(X319&gt;='Methodology &amp; Assumptions'!$B$8, "Tier 2 High GIDA (Score 40.0–49.9)", "Tier 3 Moderate GIDA (Score &lt; 40.0)"))</f>
        <v/>
      </c>
      <c r="V319" s="26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W319" s="28" t="n">
        <v>0.011</v>
      </c>
      <c r="X319" s="14" t="n">
        <v>48.98</v>
      </c>
      <c r="Y319" s="14">
        <f>ROUND(MIN(100, (X319/69.91)*100), 2)</f>
        <v/>
      </c>
    </row>
    <row r="320">
      <c r="A320" s="10" t="n">
        <v>3</v>
      </c>
      <c r="B320" s="10" t="n">
        <v>316</v>
      </c>
      <c r="C320" s="10" t="n">
        <v>2316</v>
      </c>
      <c r="D320" s="10" t="inlineStr">
        <is>
          <t>1380606031</t>
        </is>
      </c>
      <c r="E320" s="26" t="inlineStr">
        <is>
          <t>National Capital Region (NCR)</t>
        </is>
      </c>
      <c r="F320" s="26" t="inlineStr">
        <is>
          <t>First District (Not a Province)</t>
        </is>
      </c>
      <c r="G320" s="26" t="inlineStr">
        <is>
          <t>City of Manila</t>
        </is>
      </c>
      <c r="H320" s="26" t="inlineStr">
        <is>
          <t>Barangay 425</t>
        </is>
      </c>
      <c r="I320" s="27" t="n">
        <v>13.35761</v>
      </c>
      <c r="J320" s="27" t="n">
        <v>122.412899</v>
      </c>
      <c r="K320" s="10" t="inlineStr">
        <is>
          <t>U</t>
        </is>
      </c>
      <c r="L320" s="12" t="n">
        <v>2150</v>
      </c>
      <c r="M320" s="14" t="n">
        <v>3.9</v>
      </c>
      <c r="N320" s="12">
        <f>ROUND(L320/M320, 0)</f>
        <v/>
      </c>
      <c r="O320" s="12">
        <f>ROUND(N320*'Methodology &amp; Assumptions'!$B$5, 0)</f>
        <v/>
      </c>
      <c r="P320" s="10" t="inlineStr">
        <is>
          <t>Single Carrier (Band n50, 100MHz TDD)</t>
        </is>
      </c>
      <c r="Q320" s="13">
        <f>ROUNDUP(O320/'Methodology &amp; Assumptions'!$B$6, 0)</f>
        <v/>
      </c>
      <c r="R320" s="13" t="n">
        <v>1</v>
      </c>
      <c r="S320" s="14" t="n">
        <v>11.55</v>
      </c>
      <c r="T320" s="14" t="n">
        <v>18.79</v>
      </c>
      <c r="U320" s="26">
        <f>IF(X320&gt;='Methodology &amp; Assumptions'!$B$7, "Tier 1 Critical GIDA (Score ≥ 50.0)", IF(X320&gt;='Methodology &amp; Assumptions'!$B$8, "Tier 2 High GIDA (Score 40.0–49.9)", "Tier 3 Moderate GIDA (Score &lt; 40.0)"))</f>
        <v/>
      </c>
      <c r="V320" s="26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W320" s="28" t="n">
        <v>0.109</v>
      </c>
      <c r="X320" s="14" t="n">
        <v>48.98</v>
      </c>
      <c r="Y320" s="14">
        <f>ROUND(MIN(100, (X320/69.91)*100), 2)</f>
        <v/>
      </c>
    </row>
    <row r="321">
      <c r="A321" s="10" t="n">
        <v>3</v>
      </c>
      <c r="B321" s="10" t="n">
        <v>317</v>
      </c>
      <c r="C321" s="10" t="n">
        <v>2317</v>
      </c>
      <c r="D321" s="10" t="inlineStr">
        <is>
          <t>PH0002317</t>
        </is>
      </c>
      <c r="E321" s="26" t="inlineStr">
        <is>
          <t>I</t>
        </is>
      </c>
      <c r="F321" s="26" t="inlineStr">
        <is>
          <t>Pangasinan</t>
        </is>
      </c>
      <c r="G321" s="26" t="inlineStr">
        <is>
          <t>Dagupan City</t>
        </is>
      </c>
      <c r="H321" s="26" t="inlineStr">
        <is>
          <t>Pogo Chico</t>
        </is>
      </c>
      <c r="I321" s="27" t="n">
        <v>16.049661</v>
      </c>
      <c r="J321" s="27" t="n">
        <v>120.335161</v>
      </c>
      <c r="K321" s="10" t="inlineStr">
        <is>
          <t>R</t>
        </is>
      </c>
      <c r="L321" s="12" t="n">
        <v>2218</v>
      </c>
      <c r="M321" s="14" t="n">
        <v>3.6</v>
      </c>
      <c r="N321" s="12">
        <f>ROUND(L321/M321, 0)</f>
        <v/>
      </c>
      <c r="O321" s="12">
        <f>ROUND(N321*'Methodology &amp; Assumptions'!$B$5, 0)</f>
        <v/>
      </c>
      <c r="P321" s="10" t="inlineStr">
        <is>
          <t>Single Carrier (Band n50, 100MHz TDD)</t>
        </is>
      </c>
      <c r="Q321" s="13">
        <f>ROUNDUP(O321/'Methodology &amp; Assumptions'!$B$6, 0)</f>
        <v/>
      </c>
      <c r="R321" s="13" t="n">
        <v>1</v>
      </c>
      <c r="S321" s="14" t="n">
        <v>3.24</v>
      </c>
      <c r="T321" s="14" t="n">
        <v>0.62</v>
      </c>
      <c r="U321" s="26">
        <f>IF(X321&gt;='Methodology &amp; Assumptions'!$B$7, "Tier 1 Critical GIDA (Score ≥ 50.0)", IF(X321&gt;='Methodology &amp; Assumptions'!$B$8, "Tier 2 High GIDA (Score 40.0–49.9)", "Tier 3 Moderate GIDA (Score &lt; 40.0)"))</f>
        <v/>
      </c>
      <c r="V321" s="26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W321" s="28" t="n">
        <v>0.083</v>
      </c>
      <c r="X321" s="14" t="n">
        <v>48.97</v>
      </c>
      <c r="Y321" s="14">
        <f>ROUND(MIN(100, (X321/69.91)*100), 2)</f>
        <v/>
      </c>
    </row>
    <row r="322">
      <c r="A322" s="10" t="n">
        <v>3</v>
      </c>
      <c r="B322" s="10" t="n">
        <v>318</v>
      </c>
      <c r="C322" s="10" t="n">
        <v>2318</v>
      </c>
      <c r="D322" s="10" t="inlineStr">
        <is>
          <t>1380601203</t>
        </is>
      </c>
      <c r="E322" s="26" t="inlineStr">
        <is>
          <t>National Capital Region (NCR)</t>
        </is>
      </c>
      <c r="F322" s="26" t="inlineStr">
        <is>
          <t>First District (Not a Province)</t>
        </is>
      </c>
      <c r="G322" s="26" t="inlineStr">
        <is>
          <t>City of Manila</t>
        </is>
      </c>
      <c r="H322" s="26" t="inlineStr">
        <is>
          <t>Barangay 202-A</t>
        </is>
      </c>
      <c r="I322" s="27" t="n">
        <v>12.105245</v>
      </c>
      <c r="J322" s="27" t="n">
        <v>121.633918</v>
      </c>
      <c r="K322" s="10" t="inlineStr">
        <is>
          <t>U</t>
        </is>
      </c>
      <c r="L322" s="12" t="n">
        <v>1250</v>
      </c>
      <c r="M322" s="14" t="n">
        <v>3.9</v>
      </c>
      <c r="N322" s="12">
        <f>ROUND(L322/M322, 0)</f>
        <v/>
      </c>
      <c r="O322" s="12">
        <f>ROUND(N322*'Methodology &amp; Assumptions'!$B$5, 0)</f>
        <v/>
      </c>
      <c r="P322" s="10" t="inlineStr">
        <is>
          <t>Single Carrier (Band n50, 100MHz TDD)</t>
        </is>
      </c>
      <c r="Q322" s="13">
        <f>ROUNDUP(O322/'Methodology &amp; Assumptions'!$B$6, 0)</f>
        <v/>
      </c>
      <c r="R322" s="13" t="n">
        <v>1</v>
      </c>
      <c r="S322" s="14" t="n">
        <v>38.15</v>
      </c>
      <c r="T322" s="14" t="n">
        <v>19.65</v>
      </c>
      <c r="U322" s="26">
        <f>IF(X322&gt;='Methodology &amp; Assumptions'!$B$7, "Tier 1 Critical GIDA (Score ≥ 50.0)", IF(X322&gt;='Methodology &amp; Assumptions'!$B$8, "Tier 2 High GIDA (Score 40.0–49.9)", "Tier 3 Moderate GIDA (Score &lt; 40.0)"))</f>
        <v/>
      </c>
      <c r="V322" s="26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W322" s="28" t="n">
        <v>0.109</v>
      </c>
      <c r="X322" s="14" t="n">
        <v>48.97</v>
      </c>
      <c r="Y322" s="14">
        <f>ROUND(MIN(100, (X322/69.91)*100), 2)</f>
        <v/>
      </c>
    </row>
    <row r="323">
      <c r="A323" s="10" t="n">
        <v>3</v>
      </c>
      <c r="B323" s="10" t="n">
        <v>319</v>
      </c>
      <c r="C323" s="10" t="n">
        <v>2319</v>
      </c>
      <c r="D323" s="10" t="inlineStr">
        <is>
          <t>0401005074</t>
        </is>
      </c>
      <c r="E323" s="26" t="inlineStr">
        <is>
          <t>Region IV-A (CALABARZON)</t>
        </is>
      </c>
      <c r="F323" s="26" t="inlineStr">
        <is>
          <t>Batangas</t>
        </is>
      </c>
      <c r="G323" s="26" t="inlineStr">
        <is>
          <t>Batangas City</t>
        </is>
      </c>
      <c r="H323" s="26" t="inlineStr">
        <is>
          <t>Barangay 5</t>
        </is>
      </c>
      <c r="I323" s="27" t="n">
        <v>13.718077</v>
      </c>
      <c r="J323" s="27" t="n">
        <v>121.063612</v>
      </c>
      <c r="K323" s="10" t="inlineStr">
        <is>
          <t>R</t>
        </is>
      </c>
      <c r="L323" s="12" t="n">
        <v>584</v>
      </c>
      <c r="M323" s="14" t="n">
        <v>3.6</v>
      </c>
      <c r="N323" s="12">
        <f>ROUND(L323/M323, 0)</f>
        <v/>
      </c>
      <c r="O323" s="12">
        <f>ROUND(N323*'Methodology &amp; Assumptions'!$B$5, 0)</f>
        <v/>
      </c>
      <c r="P323" s="10" t="inlineStr">
        <is>
          <t>Single Carrier (Band n50, 100MHz TDD)</t>
        </is>
      </c>
      <c r="Q323" s="13">
        <f>ROUNDUP(O323/'Methodology &amp; Assumptions'!$B$6, 0)</f>
        <v/>
      </c>
      <c r="R323" s="13" t="n">
        <v>1</v>
      </c>
      <c r="S323" s="14" t="n">
        <v>3.5</v>
      </c>
      <c r="T323" s="14" t="n">
        <v>4.27</v>
      </c>
      <c r="U323" s="26">
        <f>IF(X323&gt;='Methodology &amp; Assumptions'!$B$7, "Tier 1 Critical GIDA (Score ≥ 50.0)", IF(X323&gt;='Methodology &amp; Assumptions'!$B$8, "Tier 2 High GIDA (Score 40.0–49.9)", "Tier 3 Moderate GIDA (Score &lt; 40.0)"))</f>
        <v/>
      </c>
      <c r="V323" s="26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W323" s="28" t="n">
        <v>0.07200000000000001</v>
      </c>
      <c r="X323" s="14" t="n">
        <v>48.97</v>
      </c>
      <c r="Y323" s="14">
        <f>ROUND(MIN(100, (X323/69.91)*100), 2)</f>
        <v/>
      </c>
    </row>
    <row r="324">
      <c r="A324" s="10" t="n">
        <v>3</v>
      </c>
      <c r="B324" s="10" t="n">
        <v>320</v>
      </c>
      <c r="C324" s="10" t="n">
        <v>2320</v>
      </c>
      <c r="D324" s="10" t="inlineStr">
        <is>
          <t>1908707003</t>
        </is>
      </c>
      <c r="E324" s="26" t="inlineStr">
        <is>
          <t>Bangsamoro Autonomous Region In Muslim Mindanao (BARMM)</t>
        </is>
      </c>
      <c r="F324" s="26" t="inlineStr">
        <is>
          <t>Maguindanao del Norte</t>
        </is>
      </c>
      <c r="G324" s="26" t="inlineStr">
        <is>
          <t>Matanog</t>
        </is>
      </c>
      <c r="H324" s="26" t="inlineStr">
        <is>
          <t>Bugasan Norte</t>
        </is>
      </c>
      <c r="I324" s="27" t="n">
        <v>17.253962</v>
      </c>
      <c r="J324" s="27" t="n">
        <v>122.228006</v>
      </c>
      <c r="K324" s="10" t="inlineStr">
        <is>
          <t>R</t>
        </is>
      </c>
      <c r="L324" s="12" t="n">
        <v>10312</v>
      </c>
      <c r="M324" s="14" t="n">
        <v>4.3</v>
      </c>
      <c r="N324" s="12">
        <f>ROUND(L324/M324, 0)</f>
        <v/>
      </c>
      <c r="O324" s="12">
        <f>ROUND(N324*'Methodology &amp; Assumptions'!$B$5, 0)</f>
        <v/>
      </c>
      <c r="P324" s="10" t="inlineStr">
        <is>
          <t>Single Carrier (Band n50, 100MHz TDD)</t>
        </is>
      </c>
      <c r="Q324" s="13">
        <f>ROUNDUP(O324/'Methodology &amp; Assumptions'!$B$6, 0)</f>
        <v/>
      </c>
      <c r="R324" s="13" t="n">
        <v>1</v>
      </c>
      <c r="S324" s="14" t="n">
        <v>29.28</v>
      </c>
      <c r="T324" s="14" t="n">
        <v>34.18</v>
      </c>
      <c r="U324" s="26">
        <f>IF(X324&gt;='Methodology &amp; Assumptions'!$B$7, "Tier 1 Critical GIDA (Score ≥ 50.0)", IF(X324&gt;='Methodology &amp; Assumptions'!$B$8, "Tier 2 High GIDA (Score 40.0–49.9)", "Tier 3 Moderate GIDA (Score &lt; 40.0)"))</f>
        <v/>
      </c>
      <c r="V324" s="26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W324" s="28" t="n">
        <v>0.11</v>
      </c>
      <c r="X324" s="14" t="n">
        <v>48.97</v>
      </c>
      <c r="Y324" s="14">
        <f>ROUND(MIN(100, (X324/69.91)*100), 2)</f>
        <v/>
      </c>
    </row>
    <row r="325">
      <c r="A325" s="10" t="n">
        <v>3</v>
      </c>
      <c r="B325" s="10" t="n">
        <v>321</v>
      </c>
      <c r="C325" s="10" t="n">
        <v>2321</v>
      </c>
      <c r="D325" s="10" t="inlineStr">
        <is>
          <t>PH0002321</t>
        </is>
      </c>
      <c r="E325" s="26" t="inlineStr">
        <is>
          <t>NCR</t>
        </is>
      </c>
      <c r="F325" s="26" t="inlineStr">
        <is>
          <t>Metro Manila</t>
        </is>
      </c>
      <c r="G325" s="26" t="inlineStr">
        <is>
          <t>Caloocan City</t>
        </is>
      </c>
      <c r="H325" s="26" t="inlineStr">
        <is>
          <t>Barangay 10</t>
        </is>
      </c>
      <c r="I325" s="27" t="n">
        <v>12.819082</v>
      </c>
      <c r="J325" s="27" t="n">
        <v>123.198211</v>
      </c>
      <c r="K325" s="10" t="inlineStr">
        <is>
          <t>R</t>
        </is>
      </c>
      <c r="L325" s="12" t="n">
        <v>2279</v>
      </c>
      <c r="M325" s="14" t="n">
        <v>3.8</v>
      </c>
      <c r="N325" s="12">
        <f>ROUND(L325/M325, 0)</f>
        <v/>
      </c>
      <c r="O325" s="12">
        <f>ROUND(N325*'Methodology &amp; Assumptions'!$B$5, 0)</f>
        <v/>
      </c>
      <c r="P325" s="10" t="inlineStr">
        <is>
          <t>Single Carrier (Band n50, 100MHz TDD)</t>
        </is>
      </c>
      <c r="Q325" s="13">
        <f>ROUNDUP(O325/'Methodology &amp; Assumptions'!$B$6, 0)</f>
        <v/>
      </c>
      <c r="R325" s="13" t="n">
        <v>1</v>
      </c>
      <c r="S325" s="14" t="n">
        <v>27.71</v>
      </c>
      <c r="T325" s="14" t="n">
        <v>42.34</v>
      </c>
      <c r="U325" s="26">
        <f>IF(X325&gt;='Methodology &amp; Assumptions'!$B$7, "Tier 1 Critical GIDA (Score ≥ 50.0)", IF(X325&gt;='Methodology &amp; Assumptions'!$B$8, "Tier 2 High GIDA (Score 40.0–49.9)", "Tier 3 Moderate GIDA (Score &lt; 40.0)"))</f>
        <v/>
      </c>
      <c r="V325" s="26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W325" s="28" t="n">
        <v>0.011</v>
      </c>
      <c r="X325" s="14" t="n">
        <v>48.97</v>
      </c>
      <c r="Y325" s="14">
        <f>ROUND(MIN(100, (X325/69.91)*100), 2)</f>
        <v/>
      </c>
    </row>
    <row r="326">
      <c r="A326" s="10" t="n">
        <v>3</v>
      </c>
      <c r="B326" s="10" t="n">
        <v>322</v>
      </c>
      <c r="C326" s="10" t="n">
        <v>2322</v>
      </c>
      <c r="D326" s="10" t="inlineStr">
        <is>
          <t>1380601057</t>
        </is>
      </c>
      <c r="E326" s="26" t="inlineStr">
        <is>
          <t>National Capital Region (NCR)</t>
        </is>
      </c>
      <c r="F326" s="26" t="inlineStr">
        <is>
          <t>First District (Not a Province)</t>
        </is>
      </c>
      <c r="G326" s="26" t="inlineStr">
        <is>
          <t>City of Manila</t>
        </is>
      </c>
      <c r="H326" s="26" t="inlineStr">
        <is>
          <t>Barangay 57</t>
        </is>
      </c>
      <c r="I326" s="27" t="n">
        <v>13.544084</v>
      </c>
      <c r="J326" s="27" t="n">
        <v>121.339817</v>
      </c>
      <c r="K326" s="10" t="inlineStr">
        <is>
          <t>U</t>
        </is>
      </c>
      <c r="L326" s="12" t="n">
        <v>909</v>
      </c>
      <c r="M326" s="14" t="n">
        <v>3.9</v>
      </c>
      <c r="N326" s="12">
        <f>ROUND(L326/M326, 0)</f>
        <v/>
      </c>
      <c r="O326" s="12">
        <f>ROUND(N326*'Methodology &amp; Assumptions'!$B$5, 0)</f>
        <v/>
      </c>
      <c r="P326" s="10" t="inlineStr">
        <is>
          <t>Single Carrier (Band n50, 100MHz TDD)</t>
        </is>
      </c>
      <c r="Q326" s="13">
        <f>ROUNDUP(O326/'Methodology &amp; Assumptions'!$B$6, 0)</f>
        <v/>
      </c>
      <c r="R326" s="13" t="n">
        <v>1</v>
      </c>
      <c r="S326" s="14" t="n">
        <v>18.21</v>
      </c>
      <c r="T326" s="14" t="n">
        <v>26.54</v>
      </c>
      <c r="U326" s="26">
        <f>IF(X326&gt;='Methodology &amp; Assumptions'!$B$7, "Tier 1 Critical GIDA (Score ≥ 50.0)", IF(X326&gt;='Methodology &amp; Assumptions'!$B$8, "Tier 2 High GIDA (Score 40.0–49.9)", "Tier 3 Moderate GIDA (Score &lt; 40.0)"))</f>
        <v/>
      </c>
      <c r="V326" s="26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W326" s="28" t="n">
        <v>0.109</v>
      </c>
      <c r="X326" s="14" t="n">
        <v>48.97</v>
      </c>
      <c r="Y326" s="14">
        <f>ROUND(MIN(100, (X326/69.91)*100), 2)</f>
        <v/>
      </c>
    </row>
    <row r="327">
      <c r="A327" s="10" t="n">
        <v>3</v>
      </c>
      <c r="B327" s="10" t="n">
        <v>323</v>
      </c>
      <c r="C327" s="10" t="n">
        <v>2323</v>
      </c>
      <c r="D327" s="10" t="inlineStr">
        <is>
          <t>1380614093</t>
        </is>
      </c>
      <c r="E327" s="26" t="inlineStr">
        <is>
          <t>National Capital Region (NCR)</t>
        </is>
      </c>
      <c r="F327" s="26" t="inlineStr">
        <is>
          <t>First District (Not a Province)</t>
        </is>
      </c>
      <c r="G327" s="26" t="inlineStr">
        <is>
          <t>City of Manila</t>
        </is>
      </c>
      <c r="H327" s="26" t="inlineStr">
        <is>
          <t>Barangay 900</t>
        </is>
      </c>
      <c r="I327" s="27" t="n">
        <v>12.675465</v>
      </c>
      <c r="J327" s="27" t="n">
        <v>122.555886</v>
      </c>
      <c r="K327" s="10" t="inlineStr">
        <is>
          <t>U</t>
        </is>
      </c>
      <c r="L327" s="12" t="n">
        <v>8842</v>
      </c>
      <c r="M327" s="14" t="n">
        <v>3.9</v>
      </c>
      <c r="N327" s="12">
        <f>ROUND(L327/M327, 0)</f>
        <v/>
      </c>
      <c r="O327" s="12">
        <f>ROUND(N327*'Methodology &amp; Assumptions'!$B$5, 0)</f>
        <v/>
      </c>
      <c r="P327" s="10" t="inlineStr">
        <is>
          <t>Single Carrier (Band n50, 100MHz TDD)</t>
        </is>
      </c>
      <c r="Q327" s="13">
        <f>ROUNDUP(O327/'Methodology &amp; Assumptions'!$B$6, 0)</f>
        <v/>
      </c>
      <c r="R327" s="13" t="n">
        <v>1</v>
      </c>
      <c r="S327" s="14" t="n">
        <v>62.26</v>
      </c>
      <c r="T327" s="14" t="n">
        <v>82.17</v>
      </c>
      <c r="U327" s="26">
        <f>IF(X327&gt;='Methodology &amp; Assumptions'!$B$7, "Tier 1 Critical GIDA (Score ≥ 50.0)", IF(X327&gt;='Methodology &amp; Assumptions'!$B$8, "Tier 2 High GIDA (Score 40.0–49.9)", "Tier 3 Moderate GIDA (Score &lt; 40.0)"))</f>
        <v/>
      </c>
      <c r="V327" s="26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W327" s="28" t="n">
        <v>0.109</v>
      </c>
      <c r="X327" s="14" t="n">
        <v>48.97</v>
      </c>
      <c r="Y327" s="14">
        <f>ROUND(MIN(100, (X327/69.91)*100), 2)</f>
        <v/>
      </c>
    </row>
    <row r="328">
      <c r="A328" s="10" t="n">
        <v>3</v>
      </c>
      <c r="B328" s="10" t="n">
        <v>324</v>
      </c>
      <c r="C328" s="10" t="n">
        <v>2324</v>
      </c>
      <c r="D328" s="10" t="inlineStr">
        <is>
          <t>PH0002324</t>
        </is>
      </c>
      <c r="E328" s="26" t="inlineStr">
        <is>
          <t>VII</t>
        </is>
      </c>
      <c r="F328" s="26" t="inlineStr">
        <is>
          <t>Cebu</t>
        </is>
      </c>
      <c r="G328" s="26" t="inlineStr">
        <is>
          <t>Cebu City</t>
        </is>
      </c>
      <c r="H328" s="26" t="inlineStr">
        <is>
          <t>Day-as</t>
        </is>
      </c>
      <c r="I328" s="27" t="n">
        <v>10.34083</v>
      </c>
      <c r="J328" s="27" t="n">
        <v>123.88094</v>
      </c>
      <c r="K328" s="10" t="inlineStr">
        <is>
          <t>R</t>
        </is>
      </c>
      <c r="L328" s="12" t="n">
        <v>2250</v>
      </c>
      <c r="M328" s="14" t="n">
        <v>3.8</v>
      </c>
      <c r="N328" s="12">
        <f>ROUND(L328/M328, 0)</f>
        <v/>
      </c>
      <c r="O328" s="12">
        <f>ROUND(N328*'Methodology &amp; Assumptions'!$B$5, 0)</f>
        <v/>
      </c>
      <c r="P328" s="10" t="inlineStr">
        <is>
          <t>Single Carrier (Band n50, 100MHz TDD)</t>
        </is>
      </c>
      <c r="Q328" s="13">
        <f>ROUNDUP(O328/'Methodology &amp; Assumptions'!$B$6, 0)</f>
        <v/>
      </c>
      <c r="R328" s="13" t="n">
        <v>1</v>
      </c>
      <c r="S328" s="14" t="n">
        <v>2.1</v>
      </c>
      <c r="T328" s="14" t="n">
        <v>4</v>
      </c>
      <c r="U328" s="26">
        <f>IF(X328&gt;='Methodology &amp; Assumptions'!$B$7, "Tier 1 Critical GIDA (Score ≥ 50.0)", IF(X328&gt;='Methodology &amp; Assumptions'!$B$8, "Tier 2 High GIDA (Score 40.0–49.9)", "Tier 3 Moderate GIDA (Score &lt; 40.0)"))</f>
        <v/>
      </c>
      <c r="V328" s="26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W328" s="28" t="n">
        <v>0.21</v>
      </c>
      <c r="X328" s="14" t="n">
        <v>48.97</v>
      </c>
      <c r="Y328" s="14">
        <f>ROUND(MIN(100, (X328/69.91)*100), 2)</f>
        <v/>
      </c>
    </row>
    <row r="329">
      <c r="A329" s="10" t="n">
        <v>3</v>
      </c>
      <c r="B329" s="10" t="n">
        <v>325</v>
      </c>
      <c r="C329" s="10" t="n">
        <v>2325</v>
      </c>
      <c r="D329" s="10" t="inlineStr">
        <is>
          <t>1381100064</t>
        </is>
      </c>
      <c r="E329" s="26" t="inlineStr">
        <is>
          <t>National Capital Region (NCR)</t>
        </is>
      </c>
      <c r="F329" s="26" t="inlineStr">
        <is>
          <t>Fourth District (Not a Province)</t>
        </is>
      </c>
      <c r="G329" s="26" t="inlineStr">
        <is>
          <t>Pasay City</t>
        </is>
      </c>
      <c r="H329" s="26" t="inlineStr">
        <is>
          <t>Barangay 64</t>
        </is>
      </c>
      <c r="I329" s="27" t="n">
        <v>14.394813</v>
      </c>
      <c r="J329" s="27" t="n">
        <v>121.016918</v>
      </c>
      <c r="K329" s="10" t="inlineStr">
        <is>
          <t>U</t>
        </is>
      </c>
      <c r="L329" s="12" t="n">
        <v>1627</v>
      </c>
      <c r="M329" s="14" t="n">
        <v>3.4</v>
      </c>
      <c r="N329" s="12">
        <f>ROUND(L329/M329, 0)</f>
        <v/>
      </c>
      <c r="O329" s="12">
        <f>ROUND(N329*'Methodology &amp; Assumptions'!$B$5, 0)</f>
        <v/>
      </c>
      <c r="P329" s="10" t="inlineStr">
        <is>
          <t>Single Carrier (Band n50, 100MHz TDD)</t>
        </is>
      </c>
      <c r="Q329" s="13">
        <f>ROUNDUP(O329/'Methodology &amp; Assumptions'!$B$6, 0)</f>
        <v/>
      </c>
      <c r="R329" s="13" t="n">
        <v>1</v>
      </c>
      <c r="S329" s="14" t="n">
        <v>3.11</v>
      </c>
      <c r="T329" s="14" t="n">
        <v>2.79</v>
      </c>
      <c r="U329" s="26">
        <f>IF(X329&gt;='Methodology &amp; Assumptions'!$B$7, "Tier 1 Critical GIDA (Score ≥ 50.0)", IF(X329&gt;='Methodology &amp; Assumptions'!$B$8, "Tier 2 High GIDA (Score 40.0–49.9)", "Tier 3 Moderate GIDA (Score &lt; 40.0)"))</f>
        <v/>
      </c>
      <c r="V329" s="26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W329" s="28" t="n">
        <v>0.109</v>
      </c>
      <c r="X329" s="14" t="n">
        <v>48.97</v>
      </c>
      <c r="Y329" s="14">
        <f>ROUND(MIN(100, (X329/69.91)*100), 2)</f>
        <v/>
      </c>
    </row>
    <row r="330">
      <c r="A330" s="10" t="n">
        <v>3</v>
      </c>
      <c r="B330" s="10" t="n">
        <v>326</v>
      </c>
      <c r="C330" s="10" t="n">
        <v>2326</v>
      </c>
      <c r="D330" s="10" t="inlineStr">
        <is>
          <t>1380614043</t>
        </is>
      </c>
      <c r="E330" s="26" t="inlineStr">
        <is>
          <t>National Capital Region (NCR)</t>
        </is>
      </c>
      <c r="F330" s="26" t="inlineStr">
        <is>
          <t>First District (Not a Province)</t>
        </is>
      </c>
      <c r="G330" s="26" t="inlineStr">
        <is>
          <t>City of Manila</t>
        </is>
      </c>
      <c r="H330" s="26" t="inlineStr">
        <is>
          <t>Barangay 787</t>
        </is>
      </c>
      <c r="I330" s="27" t="n">
        <v>12.51471</v>
      </c>
      <c r="J330" s="27" t="n">
        <v>121.054765</v>
      </c>
      <c r="K330" s="10" t="inlineStr">
        <is>
          <t>U</t>
        </is>
      </c>
      <c r="L330" s="12" t="n">
        <v>3732</v>
      </c>
      <c r="M330" s="14" t="n">
        <v>3.9</v>
      </c>
      <c r="N330" s="12">
        <f>ROUND(L330/M330, 0)</f>
        <v/>
      </c>
      <c r="O330" s="12">
        <f>ROUND(N330*'Methodology &amp; Assumptions'!$B$5, 0)</f>
        <v/>
      </c>
      <c r="P330" s="10" t="inlineStr">
        <is>
          <t>Single Carrier (Band n50, 100MHz TDD)</t>
        </is>
      </c>
      <c r="Q330" s="13">
        <f>ROUNDUP(O330/'Methodology &amp; Assumptions'!$B$6, 0)</f>
        <v/>
      </c>
      <c r="R330" s="13" t="n">
        <v>1</v>
      </c>
      <c r="S330" s="14" t="n">
        <v>18.26</v>
      </c>
      <c r="T330" s="14" t="n">
        <v>15.74</v>
      </c>
      <c r="U330" s="26">
        <f>IF(X330&gt;='Methodology &amp; Assumptions'!$B$7, "Tier 1 Critical GIDA (Score ≥ 50.0)", IF(X330&gt;='Methodology &amp; Assumptions'!$B$8, "Tier 2 High GIDA (Score 40.0–49.9)", "Tier 3 Moderate GIDA (Score &lt; 40.0)"))</f>
        <v/>
      </c>
      <c r="V330" s="26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W330" s="28" t="n">
        <v>0.109</v>
      </c>
      <c r="X330" s="14" t="n">
        <v>48.96</v>
      </c>
      <c r="Y330" s="14">
        <f>ROUND(MIN(100, (X330/69.91)*100), 2)</f>
        <v/>
      </c>
    </row>
    <row r="331">
      <c r="A331" s="10" t="n">
        <v>3</v>
      </c>
      <c r="B331" s="10" t="n">
        <v>327</v>
      </c>
      <c r="C331" s="10" t="n">
        <v>2327</v>
      </c>
      <c r="D331" s="10" t="inlineStr">
        <is>
          <t>1380611029</t>
        </is>
      </c>
      <c r="E331" s="26" t="inlineStr">
        <is>
          <t>National Capital Region (NCR)</t>
        </is>
      </c>
      <c r="F331" s="26" t="inlineStr">
        <is>
          <t>First District (Not a Province)</t>
        </is>
      </c>
      <c r="G331" s="26" t="inlineStr">
        <is>
          <t>City of Manila</t>
        </is>
      </c>
      <c r="H331" s="26" t="inlineStr">
        <is>
          <t>Barangay 815</t>
        </is>
      </c>
      <c r="I331" s="27" t="n">
        <v>13.62375</v>
      </c>
      <c r="J331" s="27" t="n">
        <v>122.051801</v>
      </c>
      <c r="K331" s="10" t="inlineStr">
        <is>
          <t>U</t>
        </is>
      </c>
      <c r="L331" s="12" t="n">
        <v>1416</v>
      </c>
      <c r="M331" s="14" t="n">
        <v>3.9</v>
      </c>
      <c r="N331" s="12">
        <f>ROUND(L331/M331, 0)</f>
        <v/>
      </c>
      <c r="O331" s="12">
        <f>ROUND(N331*'Methodology &amp; Assumptions'!$B$5, 0)</f>
        <v/>
      </c>
      <c r="P331" s="10" t="inlineStr">
        <is>
          <t>Single Carrier (Band n50, 100MHz TDD)</t>
        </is>
      </c>
      <c r="Q331" s="13">
        <f>ROUNDUP(O331/'Methodology &amp; Assumptions'!$B$6, 0)</f>
        <v/>
      </c>
      <c r="R331" s="13" t="n">
        <v>1</v>
      </c>
      <c r="S331" s="14" t="n">
        <v>15.26</v>
      </c>
      <c r="T331" s="14" t="n">
        <v>15.26</v>
      </c>
      <c r="U331" s="26">
        <f>IF(X331&gt;='Methodology &amp; Assumptions'!$B$7, "Tier 1 Critical GIDA (Score ≥ 50.0)", IF(X331&gt;='Methodology &amp; Assumptions'!$B$8, "Tier 2 High GIDA (Score 40.0–49.9)", "Tier 3 Moderate GIDA (Score &lt; 40.0)"))</f>
        <v/>
      </c>
      <c r="V331" s="26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W331" s="28" t="n">
        <v>0.109</v>
      </c>
      <c r="X331" s="14" t="n">
        <v>48.96</v>
      </c>
      <c r="Y331" s="14">
        <f>ROUND(MIN(100, (X331/69.91)*100), 2)</f>
        <v/>
      </c>
    </row>
    <row r="332">
      <c r="A332" s="10" t="n">
        <v>3</v>
      </c>
      <c r="B332" s="10" t="n">
        <v>328</v>
      </c>
      <c r="C332" s="10" t="n">
        <v>2328</v>
      </c>
      <c r="D332" s="10" t="inlineStr">
        <is>
          <t>PH0002328</t>
        </is>
      </c>
      <c r="E332" s="26" t="inlineStr">
        <is>
          <t>CAR</t>
        </is>
      </c>
      <c r="F332" s="26" t="inlineStr">
        <is>
          <t>Benguet</t>
        </is>
      </c>
      <c r="G332" s="26" t="inlineStr">
        <is>
          <t>Baguio City</t>
        </is>
      </c>
      <c r="H332" s="26" t="inlineStr">
        <is>
          <t>Dizon Subdivision</t>
        </is>
      </c>
      <c r="I332" s="27" t="n">
        <v>16.41417</v>
      </c>
      <c r="J332" s="27" t="n">
        <v>120.578047</v>
      </c>
      <c r="K332" s="10" t="inlineStr">
        <is>
          <t>R</t>
        </is>
      </c>
      <c r="L332" s="12" t="n">
        <v>2260</v>
      </c>
      <c r="M332" s="14" t="n">
        <v>3.5</v>
      </c>
      <c r="N332" s="12">
        <f>ROUND(L332/M332, 0)</f>
        <v/>
      </c>
      <c r="O332" s="12">
        <f>ROUND(N332*'Methodology &amp; Assumptions'!$B$5, 0)</f>
        <v/>
      </c>
      <c r="P332" s="10" t="inlineStr">
        <is>
          <t>Single Carrier (Band n50, 100MHz TDD)</t>
        </is>
      </c>
      <c r="Q332" s="13">
        <f>ROUNDUP(O332/'Methodology &amp; Assumptions'!$B$6, 0)</f>
        <v/>
      </c>
      <c r="R332" s="13" t="n">
        <v>1</v>
      </c>
      <c r="S332" s="14" t="n">
        <v>0.1</v>
      </c>
      <c r="T332" s="14" t="n">
        <v>0.16</v>
      </c>
      <c r="U332" s="26">
        <f>IF(X332&gt;='Methodology &amp; Assumptions'!$B$7, "Tier 1 Critical GIDA (Score ≥ 50.0)", IF(X332&gt;='Methodology &amp; Assumptions'!$B$8, "Tier 2 High GIDA (Score 40.0–49.9)", "Tier 3 Moderate GIDA (Score &lt; 40.0)"))</f>
        <v/>
      </c>
      <c r="V332" s="26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W332" s="28" t="n">
        <v>0.221</v>
      </c>
      <c r="X332" s="14" t="n">
        <v>48.96</v>
      </c>
      <c r="Y332" s="14">
        <f>ROUND(MIN(100, (X332/69.91)*100), 2)</f>
        <v/>
      </c>
    </row>
    <row r="333">
      <c r="A333" s="10" t="n">
        <v>3</v>
      </c>
      <c r="B333" s="10" t="n">
        <v>329</v>
      </c>
      <c r="C333" s="10" t="n">
        <v>2329</v>
      </c>
      <c r="D333" s="10" t="inlineStr">
        <is>
          <t>PH0002329</t>
        </is>
      </c>
      <c r="E333" s="26" t="inlineStr">
        <is>
          <t>IV-A</t>
        </is>
      </c>
      <c r="F333" s="26" t="inlineStr">
        <is>
          <t>Laguna</t>
        </is>
      </c>
      <c r="G333" s="26" t="inlineStr">
        <is>
          <t>San Pablo City</t>
        </is>
      </c>
      <c r="H333" s="26" t="inlineStr">
        <is>
          <t>Barangay III-F (Pob.)</t>
        </is>
      </c>
      <c r="I333" s="27" t="n">
        <v>14.065614</v>
      </c>
      <c r="J333" s="27" t="n">
        <v>121.305895</v>
      </c>
      <c r="K333" s="10" t="inlineStr">
        <is>
          <t>R</t>
        </is>
      </c>
      <c r="L333" s="12" t="n">
        <v>2412</v>
      </c>
      <c r="M333" s="14" t="n">
        <v>3.3</v>
      </c>
      <c r="N333" s="12">
        <f>ROUND(L333/M333, 0)</f>
        <v/>
      </c>
      <c r="O333" s="12">
        <f>ROUND(N333*'Methodology &amp; Assumptions'!$B$5, 0)</f>
        <v/>
      </c>
      <c r="P333" s="10" t="inlineStr">
        <is>
          <t>Single Carrier (Band n50, 100MHz TDD)</t>
        </is>
      </c>
      <c r="Q333" s="13">
        <f>ROUNDUP(O333/'Methodology &amp; Assumptions'!$B$6, 0)</f>
        <v/>
      </c>
      <c r="R333" s="13" t="n">
        <v>1</v>
      </c>
      <c r="S333" s="14" t="n">
        <v>2.06</v>
      </c>
      <c r="T333" s="14" t="n">
        <v>0.61</v>
      </c>
      <c r="U333" s="26">
        <f>IF(X333&gt;='Methodology &amp; Assumptions'!$B$7, "Tier 1 Critical GIDA (Score ≥ 50.0)", IF(X333&gt;='Methodology &amp; Assumptions'!$B$8, "Tier 2 High GIDA (Score 40.0–49.9)", "Tier 3 Moderate GIDA (Score &lt; 40.0)"))</f>
        <v/>
      </c>
      <c r="V333" s="26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W333" s="28" t="n">
        <v>0.07200000000000001</v>
      </c>
      <c r="X333" s="14" t="n">
        <v>48.96</v>
      </c>
      <c r="Y333" s="14">
        <f>ROUND(MIN(100, (X333/69.91)*100), 2)</f>
        <v/>
      </c>
    </row>
    <row r="334">
      <c r="A334" s="10" t="n">
        <v>3</v>
      </c>
      <c r="B334" s="10" t="n">
        <v>330</v>
      </c>
      <c r="C334" s="10" t="n">
        <v>2330</v>
      </c>
      <c r="D334" s="10" t="inlineStr">
        <is>
          <t>1380606096</t>
        </is>
      </c>
      <c r="E334" s="26" t="inlineStr">
        <is>
          <t>National Capital Region (NCR)</t>
        </is>
      </c>
      <c r="F334" s="26" t="inlineStr">
        <is>
          <t>First District (Not a Province)</t>
        </is>
      </c>
      <c r="G334" s="26" t="inlineStr">
        <is>
          <t>City of Manila</t>
        </is>
      </c>
      <c r="H334" s="26" t="inlineStr">
        <is>
          <t>Barangay 490</t>
        </is>
      </c>
      <c r="I334" s="27" t="n">
        <v>12.146924</v>
      </c>
      <c r="J334" s="27" t="n">
        <v>122.085359</v>
      </c>
      <c r="K334" s="10" t="inlineStr">
        <is>
          <t>U</t>
        </is>
      </c>
      <c r="L334" s="12" t="n">
        <v>485</v>
      </c>
      <c r="M334" s="14" t="n">
        <v>3.9</v>
      </c>
      <c r="N334" s="12">
        <f>ROUND(L334/M334, 0)</f>
        <v/>
      </c>
      <c r="O334" s="12">
        <f>ROUND(N334*'Methodology &amp; Assumptions'!$B$5, 0)</f>
        <v/>
      </c>
      <c r="P334" s="10" t="inlineStr">
        <is>
          <t>Single Carrier (Band n50, 100MHz TDD)</t>
        </is>
      </c>
      <c r="Q334" s="13">
        <f>ROUNDUP(O334/'Methodology &amp; Assumptions'!$B$6, 0)</f>
        <v/>
      </c>
      <c r="R334" s="13" t="n">
        <v>1</v>
      </c>
      <c r="S334" s="14" t="n">
        <v>26.79</v>
      </c>
      <c r="T334" s="14" t="n">
        <v>12.45</v>
      </c>
      <c r="U334" s="26">
        <f>IF(X334&gt;='Methodology &amp; Assumptions'!$B$7, "Tier 1 Critical GIDA (Score ≥ 50.0)", IF(X334&gt;='Methodology &amp; Assumptions'!$B$8, "Tier 2 High GIDA (Score 40.0–49.9)", "Tier 3 Moderate GIDA (Score &lt; 40.0)"))</f>
        <v/>
      </c>
      <c r="V334" s="26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W334" s="28" t="n">
        <v>0.109</v>
      </c>
      <c r="X334" s="14" t="n">
        <v>48.96</v>
      </c>
      <c r="Y334" s="14">
        <f>ROUND(MIN(100, (X334/69.91)*100), 2)</f>
        <v/>
      </c>
    </row>
    <row r="335">
      <c r="A335" s="10" t="n">
        <v>3</v>
      </c>
      <c r="B335" s="10" t="n">
        <v>331</v>
      </c>
      <c r="C335" s="10" t="n">
        <v>2331</v>
      </c>
      <c r="D335" s="10" t="inlineStr">
        <is>
          <t>1380611044</t>
        </is>
      </c>
      <c r="E335" s="26" t="inlineStr">
        <is>
          <t>National Capital Region (NCR)</t>
        </is>
      </c>
      <c r="F335" s="26" t="inlineStr">
        <is>
          <t>First District (Not a Province)</t>
        </is>
      </c>
      <c r="G335" s="26" t="inlineStr">
        <is>
          <t>City of Manila</t>
        </is>
      </c>
      <c r="H335" s="26" t="inlineStr">
        <is>
          <t>Barangay 829</t>
        </is>
      </c>
      <c r="I335" s="27" t="n">
        <v>13.21547</v>
      </c>
      <c r="J335" s="27" t="n">
        <v>121.035354</v>
      </c>
      <c r="K335" s="10" t="inlineStr">
        <is>
          <t>U</t>
        </is>
      </c>
      <c r="L335" s="12" t="n">
        <v>4354</v>
      </c>
      <c r="M335" s="14" t="n">
        <v>3.9</v>
      </c>
      <c r="N335" s="12">
        <f>ROUND(L335/M335, 0)</f>
        <v/>
      </c>
      <c r="O335" s="12">
        <f>ROUND(N335*'Methodology &amp; Assumptions'!$B$5, 0)</f>
        <v/>
      </c>
      <c r="P335" s="10" t="inlineStr">
        <is>
          <t>Single Carrier (Band n50, 100MHz TDD)</t>
        </is>
      </c>
      <c r="Q335" s="13">
        <f>ROUNDUP(O335/'Methodology &amp; Assumptions'!$B$6, 0)</f>
        <v/>
      </c>
      <c r="R335" s="13" t="n">
        <v>1</v>
      </c>
      <c r="S335" s="14" t="n">
        <v>17.29</v>
      </c>
      <c r="T335" s="14" t="n">
        <v>17.17</v>
      </c>
      <c r="U335" s="26">
        <f>IF(X335&gt;='Methodology &amp; Assumptions'!$B$7, "Tier 1 Critical GIDA (Score ≥ 50.0)", IF(X335&gt;='Methodology &amp; Assumptions'!$B$8, "Tier 2 High GIDA (Score 40.0–49.9)", "Tier 3 Moderate GIDA (Score &lt; 40.0)"))</f>
        <v/>
      </c>
      <c r="V335" s="26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W335" s="28" t="n">
        <v>0.109</v>
      </c>
      <c r="X335" s="14" t="n">
        <v>48.96</v>
      </c>
      <c r="Y335" s="14">
        <f>ROUND(MIN(100, (X335/69.91)*100), 2)</f>
        <v/>
      </c>
    </row>
    <row r="336">
      <c r="A336" s="10" t="n">
        <v>3</v>
      </c>
      <c r="B336" s="10" t="n">
        <v>332</v>
      </c>
      <c r="C336" s="10" t="n">
        <v>2332</v>
      </c>
      <c r="D336" s="10" t="inlineStr">
        <is>
          <t>1380606097</t>
        </is>
      </c>
      <c r="E336" s="26" t="inlineStr">
        <is>
          <t>National Capital Region (NCR)</t>
        </is>
      </c>
      <c r="F336" s="26" t="inlineStr">
        <is>
          <t>First District (Not a Province)</t>
        </is>
      </c>
      <c r="G336" s="26" t="inlineStr">
        <is>
          <t>City of Manila</t>
        </is>
      </c>
      <c r="H336" s="26" t="inlineStr">
        <is>
          <t>Barangay 491</t>
        </is>
      </c>
      <c r="I336" s="27" t="n">
        <v>13.119017</v>
      </c>
      <c r="J336" s="27" t="n">
        <v>122.552605</v>
      </c>
      <c r="K336" s="10" t="inlineStr">
        <is>
          <t>U</t>
        </is>
      </c>
      <c r="L336" s="12" t="n">
        <v>838</v>
      </c>
      <c r="M336" s="14" t="n">
        <v>3.9</v>
      </c>
      <c r="N336" s="12">
        <f>ROUND(L336/M336, 0)</f>
        <v/>
      </c>
      <c r="O336" s="12">
        <f>ROUND(N336*'Methodology &amp; Assumptions'!$B$5, 0)</f>
        <v/>
      </c>
      <c r="P336" s="10" t="inlineStr">
        <is>
          <t>Single Carrier (Band n50, 100MHz TDD)</t>
        </is>
      </c>
      <c r="Q336" s="13">
        <f>ROUNDUP(O336/'Methodology &amp; Assumptions'!$B$6, 0)</f>
        <v/>
      </c>
      <c r="R336" s="13" t="n">
        <v>1</v>
      </c>
      <c r="S336" s="14" t="n">
        <v>18.84</v>
      </c>
      <c r="T336" s="14" t="n">
        <v>48.18</v>
      </c>
      <c r="U336" s="26">
        <f>IF(X336&gt;='Methodology &amp; Assumptions'!$B$7, "Tier 1 Critical GIDA (Score ≥ 50.0)", IF(X336&gt;='Methodology &amp; Assumptions'!$B$8, "Tier 2 High GIDA (Score 40.0–49.9)", "Tier 3 Moderate GIDA (Score &lt; 40.0)"))</f>
        <v/>
      </c>
      <c r="V336" s="26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W336" s="28" t="n">
        <v>0.109</v>
      </c>
      <c r="X336" s="14" t="n">
        <v>48.96</v>
      </c>
      <c r="Y336" s="14">
        <f>ROUND(MIN(100, (X336/69.91)*100), 2)</f>
        <v/>
      </c>
    </row>
    <row r="337">
      <c r="A337" s="10" t="n">
        <v>3</v>
      </c>
      <c r="B337" s="10" t="n">
        <v>333</v>
      </c>
      <c r="C337" s="10" t="n">
        <v>2333</v>
      </c>
      <c r="D337" s="10" t="inlineStr">
        <is>
          <t>1380605059</t>
        </is>
      </c>
      <c r="E337" s="26" t="inlineStr">
        <is>
          <t>National Capital Region (NCR)</t>
        </is>
      </c>
      <c r="F337" s="26" t="inlineStr">
        <is>
          <t>First District (Not a Province)</t>
        </is>
      </c>
      <c r="G337" s="26" t="inlineStr">
        <is>
          <t>City of Manila</t>
        </is>
      </c>
      <c r="H337" s="26" t="inlineStr">
        <is>
          <t>Barangay 357</t>
        </is>
      </c>
      <c r="I337" s="27" t="n">
        <v>12.189305</v>
      </c>
      <c r="J337" s="27" t="n">
        <v>121.365113</v>
      </c>
      <c r="K337" s="10" t="inlineStr">
        <is>
          <t>U</t>
        </is>
      </c>
      <c r="L337" s="12" t="n">
        <v>758</v>
      </c>
      <c r="M337" s="14" t="n">
        <v>3.9</v>
      </c>
      <c r="N337" s="12">
        <f>ROUND(L337/M337, 0)</f>
        <v/>
      </c>
      <c r="O337" s="12">
        <f>ROUND(N337*'Methodology &amp; Assumptions'!$B$5, 0)</f>
        <v/>
      </c>
      <c r="P337" s="10" t="inlineStr">
        <is>
          <t>Single Carrier (Band n50, 100MHz TDD)</t>
        </is>
      </c>
      <c r="Q337" s="13">
        <f>ROUNDUP(O337/'Methodology &amp; Assumptions'!$B$6, 0)</f>
        <v/>
      </c>
      <c r="R337" s="13" t="n">
        <v>1</v>
      </c>
      <c r="S337" s="14" t="n">
        <v>15.93</v>
      </c>
      <c r="T337" s="14" t="n">
        <v>12.23</v>
      </c>
      <c r="U337" s="26">
        <f>IF(X337&gt;='Methodology &amp; Assumptions'!$B$7, "Tier 1 Critical GIDA (Score ≥ 50.0)", IF(X337&gt;='Methodology &amp; Assumptions'!$B$8, "Tier 2 High GIDA (Score 40.0–49.9)", "Tier 3 Moderate GIDA (Score &lt; 40.0)"))</f>
        <v/>
      </c>
      <c r="V337" s="26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W337" s="28" t="n">
        <v>0.109</v>
      </c>
      <c r="X337" s="14" t="n">
        <v>48.96</v>
      </c>
      <c r="Y337" s="14">
        <f>ROUND(MIN(100, (X337/69.91)*100), 2)</f>
        <v/>
      </c>
    </row>
    <row r="338">
      <c r="A338" s="10" t="n">
        <v>3</v>
      </c>
      <c r="B338" s="10" t="n">
        <v>334</v>
      </c>
      <c r="C338" s="10" t="n">
        <v>2334</v>
      </c>
      <c r="D338" s="10" t="inlineStr">
        <is>
          <t>1381300074</t>
        </is>
      </c>
      <c r="E338" s="26" t="inlineStr">
        <is>
          <t>National Capital Region (NCR)</t>
        </is>
      </c>
      <c r="F338" s="26" t="inlineStr">
        <is>
          <t>Second District (Not a Province)</t>
        </is>
      </c>
      <c r="G338" s="26" t="inlineStr">
        <is>
          <t>Quezon City</t>
        </is>
      </c>
      <c r="H338" s="26" t="inlineStr">
        <is>
          <t>Pag-ibig Sa Nayon</t>
        </is>
      </c>
      <c r="I338" s="27" t="n">
        <v>14.646583</v>
      </c>
      <c r="J338" s="27" t="n">
        <v>120.99655</v>
      </c>
      <c r="K338" s="10" t="inlineStr">
        <is>
          <t>U</t>
        </is>
      </c>
      <c r="L338" s="12" t="n">
        <v>6166</v>
      </c>
      <c r="M338" s="14" t="n">
        <v>3.8</v>
      </c>
      <c r="N338" s="12">
        <f>ROUND(L338/M338, 0)</f>
        <v/>
      </c>
      <c r="O338" s="12">
        <f>ROUND(N338*'Methodology &amp; Assumptions'!$B$5, 0)</f>
        <v/>
      </c>
      <c r="P338" s="10" t="inlineStr">
        <is>
          <t>Single Carrier (Band n50, 100MHz TDD)</t>
        </is>
      </c>
      <c r="Q338" s="13">
        <f>ROUNDUP(O338/'Methodology &amp; Assumptions'!$B$6, 0)</f>
        <v/>
      </c>
      <c r="R338" s="13" t="n">
        <v>1</v>
      </c>
      <c r="S338" s="14" t="n">
        <v>1.08</v>
      </c>
      <c r="T338" s="14" t="n">
        <v>1.02</v>
      </c>
      <c r="U338" s="26">
        <f>IF(X338&gt;='Methodology &amp; Assumptions'!$B$7, "Tier 1 Critical GIDA (Score ≥ 50.0)", IF(X338&gt;='Methodology &amp; Assumptions'!$B$8, "Tier 2 High GIDA (Score 40.0–49.9)", "Tier 3 Moderate GIDA (Score &lt; 40.0)"))</f>
        <v/>
      </c>
      <c r="V338" s="26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W338" s="28" t="n">
        <v>0.109</v>
      </c>
      <c r="X338" s="14" t="n">
        <v>48.95</v>
      </c>
      <c r="Y338" s="14">
        <f>ROUND(MIN(100, (X338/69.91)*100), 2)</f>
        <v/>
      </c>
    </row>
    <row r="339">
      <c r="A339" s="10" t="n">
        <v>3</v>
      </c>
      <c r="B339" s="10" t="n">
        <v>335</v>
      </c>
      <c r="C339" s="10" t="n">
        <v>2335</v>
      </c>
      <c r="D339" s="10" t="inlineStr">
        <is>
          <t>1381100003</t>
        </is>
      </c>
      <c r="E339" s="26" t="inlineStr">
        <is>
          <t>National Capital Region (NCR)</t>
        </is>
      </c>
      <c r="F339" s="26" t="inlineStr">
        <is>
          <t>Fourth District (Not a Province)</t>
        </is>
      </c>
      <c r="G339" s="26" t="inlineStr">
        <is>
          <t>Pasay City</t>
        </is>
      </c>
      <c r="H339" s="26" t="inlineStr">
        <is>
          <t>Barangay 3</t>
        </is>
      </c>
      <c r="I339" s="27" t="n">
        <v>14.640914</v>
      </c>
      <c r="J339" s="27" t="n">
        <v>120.890975</v>
      </c>
      <c r="K339" s="10" t="inlineStr">
        <is>
          <t>U</t>
        </is>
      </c>
      <c r="L339" s="12" t="n">
        <v>847</v>
      </c>
      <c r="M339" s="14" t="n">
        <v>3.4</v>
      </c>
      <c r="N339" s="12">
        <f>ROUND(L339/M339, 0)</f>
        <v/>
      </c>
      <c r="O339" s="12">
        <f>ROUND(N339*'Methodology &amp; Assumptions'!$B$5, 0)</f>
        <v/>
      </c>
      <c r="P339" s="10" t="inlineStr">
        <is>
          <t>Single Carrier (Band n50, 100MHz TDD)</t>
        </is>
      </c>
      <c r="Q339" s="13">
        <f>ROUNDUP(O339/'Methodology &amp; Assumptions'!$B$6, 0)</f>
        <v/>
      </c>
      <c r="R339" s="13" t="n">
        <v>1</v>
      </c>
      <c r="S339" s="14" t="n">
        <v>6.21</v>
      </c>
      <c r="T339" s="14" t="n">
        <v>6.72</v>
      </c>
      <c r="U339" s="26">
        <f>IF(X339&gt;='Methodology &amp; Assumptions'!$B$7, "Tier 1 Critical GIDA (Score ≥ 50.0)", IF(X339&gt;='Methodology &amp; Assumptions'!$B$8, "Tier 2 High GIDA (Score 40.0–49.9)", "Tier 3 Moderate GIDA (Score &lt; 40.0)"))</f>
        <v/>
      </c>
      <c r="V339" s="26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W339" s="28" t="n">
        <v>0.109</v>
      </c>
      <c r="X339" s="14" t="n">
        <v>48.95</v>
      </c>
      <c r="Y339" s="14">
        <f>ROUND(MIN(100, (X339/69.91)*100), 2)</f>
        <v/>
      </c>
    </row>
    <row r="340">
      <c r="A340" s="10" t="n">
        <v>3</v>
      </c>
      <c r="B340" s="10" t="n">
        <v>336</v>
      </c>
      <c r="C340" s="10" t="n">
        <v>2336</v>
      </c>
      <c r="D340" s="10" t="inlineStr">
        <is>
          <t>1381100137</t>
        </is>
      </c>
      <c r="E340" s="26" t="inlineStr">
        <is>
          <t>National Capital Region (NCR)</t>
        </is>
      </c>
      <c r="F340" s="26" t="inlineStr">
        <is>
          <t>Fourth District (Not a Province)</t>
        </is>
      </c>
      <c r="G340" s="26" t="inlineStr">
        <is>
          <t>Pasay City</t>
        </is>
      </c>
      <c r="H340" s="26" t="inlineStr">
        <is>
          <t>Barangay 137</t>
        </is>
      </c>
      <c r="I340" s="27" t="n">
        <v>14.439098</v>
      </c>
      <c r="J340" s="27" t="n">
        <v>120.888919</v>
      </c>
      <c r="K340" s="10" t="inlineStr">
        <is>
          <t>U</t>
        </is>
      </c>
      <c r="L340" s="12" t="n">
        <v>3079</v>
      </c>
      <c r="M340" s="14" t="n">
        <v>3.4</v>
      </c>
      <c r="N340" s="12">
        <f>ROUND(L340/M340, 0)</f>
        <v/>
      </c>
      <c r="O340" s="12">
        <f>ROUND(N340*'Methodology &amp; Assumptions'!$B$5, 0)</f>
        <v/>
      </c>
      <c r="P340" s="10" t="inlineStr">
        <is>
          <t>Single Carrier (Band n50, 100MHz TDD)</t>
        </is>
      </c>
      <c r="Q340" s="13">
        <f>ROUNDUP(O340/'Methodology &amp; Assumptions'!$B$6, 0)</f>
        <v/>
      </c>
      <c r="R340" s="13" t="n">
        <v>1</v>
      </c>
      <c r="S340" s="14" t="n">
        <v>1.24</v>
      </c>
      <c r="T340" s="14" t="n">
        <v>0.97</v>
      </c>
      <c r="U340" s="26">
        <f>IF(X340&gt;='Methodology &amp; Assumptions'!$B$7, "Tier 1 Critical GIDA (Score ≥ 50.0)", IF(X340&gt;='Methodology &amp; Assumptions'!$B$8, "Tier 2 High GIDA (Score 40.0–49.9)", "Tier 3 Moderate GIDA (Score &lt; 40.0)"))</f>
        <v/>
      </c>
      <c r="V340" s="26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W340" s="28" t="n">
        <v>0.109</v>
      </c>
      <c r="X340" s="14" t="n">
        <v>48.95</v>
      </c>
      <c r="Y340" s="14">
        <f>ROUND(MIN(100, (X340/69.91)*100), 2)</f>
        <v/>
      </c>
    </row>
    <row r="341">
      <c r="A341" s="10" t="n">
        <v>3</v>
      </c>
      <c r="B341" s="10" t="n">
        <v>337</v>
      </c>
      <c r="C341" s="10" t="n">
        <v>2337</v>
      </c>
      <c r="D341" s="10" t="inlineStr">
        <is>
          <t>1381100161</t>
        </is>
      </c>
      <c r="E341" s="26" t="inlineStr">
        <is>
          <t>National Capital Region (NCR)</t>
        </is>
      </c>
      <c r="F341" s="26" t="inlineStr">
        <is>
          <t>Fourth District (Not a Province)</t>
        </is>
      </c>
      <c r="G341" s="26" t="inlineStr">
        <is>
          <t>Pasay City</t>
        </is>
      </c>
      <c r="H341" s="26" t="inlineStr">
        <is>
          <t>Barangay 161</t>
        </is>
      </c>
      <c r="I341" s="27" t="n">
        <v>14.535504</v>
      </c>
      <c r="J341" s="27" t="n">
        <v>121.007912</v>
      </c>
      <c r="K341" s="10" t="inlineStr">
        <is>
          <t>U</t>
        </is>
      </c>
      <c r="L341" s="12" t="n">
        <v>2915</v>
      </c>
      <c r="M341" s="14" t="n">
        <v>3.4</v>
      </c>
      <c r="N341" s="12">
        <f>ROUND(L341/M341, 0)</f>
        <v/>
      </c>
      <c r="O341" s="12">
        <f>ROUND(N341*'Methodology &amp; Assumptions'!$B$5, 0)</f>
        <v/>
      </c>
      <c r="P341" s="10" t="inlineStr">
        <is>
          <t>Single Carrier (Band n50, 100MHz TDD)</t>
        </is>
      </c>
      <c r="Q341" s="13">
        <f>ROUNDUP(O341/'Methodology &amp; Assumptions'!$B$6, 0)</f>
        <v/>
      </c>
      <c r="R341" s="13" t="n">
        <v>1</v>
      </c>
      <c r="S341" s="14" t="n">
        <v>1.44</v>
      </c>
      <c r="T341" s="14" t="n">
        <v>0.51</v>
      </c>
      <c r="U341" s="26">
        <f>IF(X341&gt;='Methodology &amp; Assumptions'!$B$7, "Tier 1 Critical GIDA (Score ≥ 50.0)", IF(X341&gt;='Methodology &amp; Assumptions'!$B$8, "Tier 2 High GIDA (Score 40.0–49.9)", "Tier 3 Moderate GIDA (Score &lt; 40.0)"))</f>
        <v/>
      </c>
      <c r="V341" s="26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W341" s="28" t="n">
        <v>0.109</v>
      </c>
      <c r="X341" s="14" t="n">
        <v>48.95</v>
      </c>
      <c r="Y341" s="14">
        <f>ROUND(MIN(100, (X341/69.91)*100), 2)</f>
        <v/>
      </c>
    </row>
    <row r="342">
      <c r="A342" s="10" t="n">
        <v>3</v>
      </c>
      <c r="B342" s="10" t="n">
        <v>338</v>
      </c>
      <c r="C342" s="10" t="n">
        <v>2338</v>
      </c>
      <c r="D342" s="10" t="inlineStr">
        <is>
          <t>1380601054</t>
        </is>
      </c>
      <c r="E342" s="26" t="inlineStr">
        <is>
          <t>National Capital Region (NCR)</t>
        </is>
      </c>
      <c r="F342" s="26" t="inlineStr">
        <is>
          <t>First District (Not a Province)</t>
        </is>
      </c>
      <c r="G342" s="26" t="inlineStr">
        <is>
          <t>City of Manila</t>
        </is>
      </c>
      <c r="H342" s="26" t="inlineStr">
        <is>
          <t>Barangay 54</t>
        </is>
      </c>
      <c r="I342" s="27" t="n">
        <v>13.659321</v>
      </c>
      <c r="J342" s="27" t="n">
        <v>121.596701</v>
      </c>
      <c r="K342" s="10" t="inlineStr">
        <is>
          <t>U</t>
        </is>
      </c>
      <c r="L342" s="12" t="n">
        <v>1698</v>
      </c>
      <c r="M342" s="14" t="n">
        <v>3.9</v>
      </c>
      <c r="N342" s="12">
        <f>ROUND(L342/M342, 0)</f>
        <v/>
      </c>
      <c r="O342" s="12">
        <f>ROUND(N342*'Methodology &amp; Assumptions'!$B$5, 0)</f>
        <v/>
      </c>
      <c r="P342" s="10" t="inlineStr">
        <is>
          <t>Single Carrier (Band n50, 100MHz TDD)</t>
        </is>
      </c>
      <c r="Q342" s="13">
        <f>ROUNDUP(O342/'Methodology &amp; Assumptions'!$B$6, 0)</f>
        <v/>
      </c>
      <c r="R342" s="13" t="n">
        <v>1</v>
      </c>
      <c r="S342" s="14" t="n">
        <v>18.14</v>
      </c>
      <c r="T342" s="14" t="n">
        <v>22.54</v>
      </c>
      <c r="U342" s="26">
        <f>IF(X342&gt;='Methodology &amp; Assumptions'!$B$7, "Tier 1 Critical GIDA (Score ≥ 50.0)", IF(X342&gt;='Methodology &amp; Assumptions'!$B$8, "Tier 2 High GIDA (Score 40.0–49.9)", "Tier 3 Moderate GIDA (Score &lt; 40.0)"))</f>
        <v/>
      </c>
      <c r="V342" s="26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W342" s="28" t="n">
        <v>0.109</v>
      </c>
      <c r="X342" s="14" t="n">
        <v>48.95</v>
      </c>
      <c r="Y342" s="14">
        <f>ROUND(MIN(100, (X342/69.91)*100), 2)</f>
        <v/>
      </c>
    </row>
    <row r="343">
      <c r="A343" s="10" t="n">
        <v>3</v>
      </c>
      <c r="B343" s="10" t="n">
        <v>339</v>
      </c>
      <c r="C343" s="10" t="n">
        <v>2339</v>
      </c>
      <c r="D343" s="10" t="inlineStr">
        <is>
          <t>PH0002339</t>
        </is>
      </c>
      <c r="E343" s="26" t="inlineStr">
        <is>
          <t>NCR</t>
        </is>
      </c>
      <c r="F343" s="26" t="inlineStr">
        <is>
          <t>Metro Manila</t>
        </is>
      </c>
      <c r="G343" s="26" t="inlineStr">
        <is>
          <t>Caloocan City</t>
        </is>
      </c>
      <c r="H343" s="26" t="inlineStr">
        <is>
          <t>Barangay 45</t>
        </is>
      </c>
      <c r="I343" s="27" t="n">
        <v>11.98555</v>
      </c>
      <c r="J343" s="27" t="n">
        <v>120.680891</v>
      </c>
      <c r="K343" s="10" t="inlineStr">
        <is>
          <t>R</t>
        </is>
      </c>
      <c r="L343" s="12" t="n">
        <v>2279</v>
      </c>
      <c r="M343" s="14" t="n">
        <v>3.8</v>
      </c>
      <c r="N343" s="12">
        <f>ROUND(L343/M343, 0)</f>
        <v/>
      </c>
      <c r="O343" s="12">
        <f>ROUND(N343*'Methodology &amp; Assumptions'!$B$5, 0)</f>
        <v/>
      </c>
      <c r="P343" s="10" t="inlineStr">
        <is>
          <t>Single Carrier (Band n50, 100MHz TDD)</t>
        </is>
      </c>
      <c r="Q343" s="13">
        <f>ROUNDUP(O343/'Methodology &amp; Assumptions'!$B$6, 0)</f>
        <v/>
      </c>
      <c r="R343" s="13" t="n">
        <v>1</v>
      </c>
      <c r="S343" s="14" t="n">
        <v>47.12</v>
      </c>
      <c r="T343" s="14" t="n">
        <v>58.22</v>
      </c>
      <c r="U343" s="26">
        <f>IF(X343&gt;='Methodology &amp; Assumptions'!$B$7, "Tier 1 Critical GIDA (Score ≥ 50.0)", IF(X343&gt;='Methodology &amp; Assumptions'!$B$8, "Tier 2 High GIDA (Score 40.0–49.9)", "Tier 3 Moderate GIDA (Score &lt; 40.0)"))</f>
        <v/>
      </c>
      <c r="V343" s="26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W343" s="28" t="n">
        <v>0.011</v>
      </c>
      <c r="X343" s="14" t="n">
        <v>48.95</v>
      </c>
      <c r="Y343" s="14">
        <f>ROUND(MIN(100, (X343/69.91)*100), 2)</f>
        <v/>
      </c>
    </row>
    <row r="344">
      <c r="A344" s="10" t="n">
        <v>3</v>
      </c>
      <c r="B344" s="10" t="n">
        <v>340</v>
      </c>
      <c r="C344" s="10" t="n">
        <v>2340</v>
      </c>
      <c r="D344" s="10" t="inlineStr">
        <is>
          <t>0301412008</t>
        </is>
      </c>
      <c r="E344" s="26" t="inlineStr">
        <is>
          <t>Region III (Central Luzon)</t>
        </is>
      </c>
      <c r="F344" s="26" t="inlineStr">
        <is>
          <t>Bulacan</t>
        </is>
      </c>
      <c r="G344" s="26" t="inlineStr">
        <is>
          <t>City of Meycauayan</t>
        </is>
      </c>
      <c r="H344" s="26" t="inlineStr">
        <is>
          <t>Hulo</t>
        </is>
      </c>
      <c r="I344" s="27" t="n">
        <v>14.746672</v>
      </c>
      <c r="J344" s="27" t="n">
        <v>120.960809</v>
      </c>
      <c r="K344" s="10" t="inlineStr">
        <is>
          <t>U</t>
        </is>
      </c>
      <c r="L344" s="12" t="n">
        <v>2804</v>
      </c>
      <c r="M344" s="14" t="n">
        <v>3.5</v>
      </c>
      <c r="N344" s="12">
        <f>ROUND(L344/M344, 0)</f>
        <v/>
      </c>
      <c r="O344" s="12">
        <f>ROUND(N344*'Methodology &amp; Assumptions'!$B$5, 0)</f>
        <v/>
      </c>
      <c r="P344" s="10" t="inlineStr">
        <is>
          <t>Single Carrier (Band n50, 100MHz TDD)</t>
        </is>
      </c>
      <c r="Q344" s="13">
        <f>ROUNDUP(O344/'Methodology &amp; Assumptions'!$B$6, 0)</f>
        <v/>
      </c>
      <c r="R344" s="13" t="n">
        <v>1</v>
      </c>
      <c r="S344" s="14" t="n">
        <v>0.57</v>
      </c>
      <c r="T344" s="14" t="n">
        <v>0.37</v>
      </c>
      <c r="U344" s="26">
        <f>IF(X344&gt;='Methodology &amp; Assumptions'!$B$7, "Tier 1 Critical GIDA (Score ≥ 50.0)", IF(X344&gt;='Methodology &amp; Assumptions'!$B$8, "Tier 2 High GIDA (Score 40.0–49.9)", "Tier 3 Moderate GIDA (Score &lt; 40.0)"))</f>
        <v/>
      </c>
      <c r="V344" s="26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W344" s="28" t="n">
        <v>0.083</v>
      </c>
      <c r="X344" s="14" t="n">
        <v>48.95</v>
      </c>
      <c r="Y344" s="14">
        <f>ROUND(MIN(100, (X344/69.91)*100), 2)</f>
        <v/>
      </c>
    </row>
    <row r="345">
      <c r="A345" s="10" t="n">
        <v>3</v>
      </c>
      <c r="B345" s="10" t="n">
        <v>341</v>
      </c>
      <c r="C345" s="10" t="n">
        <v>2341</v>
      </c>
      <c r="D345" s="10" t="inlineStr">
        <is>
          <t>1003515021</t>
        </is>
      </c>
      <c r="E345" s="26" t="inlineStr">
        <is>
          <t>Region X (Northern Mindanao)</t>
        </is>
      </c>
      <c r="F345" s="26" t="inlineStr">
        <is>
          <t>Lanao del Norte</t>
        </is>
      </c>
      <c r="G345" s="26" t="inlineStr">
        <is>
          <t>Nunungan</t>
        </is>
      </c>
      <c r="H345" s="26" t="inlineStr">
        <is>
          <t>Pantar</t>
        </is>
      </c>
      <c r="I345" s="27" t="n">
        <v>7.780591</v>
      </c>
      <c r="J345" s="27" t="n">
        <v>123.907749</v>
      </c>
      <c r="K345" s="10" t="inlineStr">
        <is>
          <t>R</t>
        </is>
      </c>
      <c r="L345" s="12" t="n">
        <v>882</v>
      </c>
      <c r="M345" s="14" t="n">
        <v>4.2</v>
      </c>
      <c r="N345" s="12">
        <f>ROUND(L345/M345, 0)</f>
        <v/>
      </c>
      <c r="O345" s="12">
        <f>ROUND(N345*'Methodology &amp; Assumptions'!$B$5, 0)</f>
        <v/>
      </c>
      <c r="P345" s="10" t="inlineStr">
        <is>
          <t>Single Carrier (Band n50, 100MHz TDD)</t>
        </is>
      </c>
      <c r="Q345" s="13">
        <f>ROUNDUP(O345/'Methodology &amp; Assumptions'!$B$6, 0)</f>
        <v/>
      </c>
      <c r="R345" s="13" t="n">
        <v>1</v>
      </c>
      <c r="S345" s="14" t="n">
        <v>31.53</v>
      </c>
      <c r="T345" s="14" t="n">
        <v>20</v>
      </c>
      <c r="U345" s="26">
        <f>IF(X345&gt;='Methodology &amp; Assumptions'!$B$7, "Tier 1 Critical GIDA (Score ≥ 50.0)", IF(X345&gt;='Methodology &amp; Assumptions'!$B$8, "Tier 2 High GIDA (Score 40.0–49.9)", "Tier 3 Moderate GIDA (Score &lt; 40.0)"))</f>
        <v/>
      </c>
      <c r="V345" s="26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W345" s="28" t="n">
        <v>0.174</v>
      </c>
      <c r="X345" s="14" t="n">
        <v>48.94</v>
      </c>
      <c r="Y345" s="14">
        <f>ROUND(MIN(100, (X345/69.91)*100), 2)</f>
        <v/>
      </c>
    </row>
    <row r="346">
      <c r="A346" s="10" t="n">
        <v>3</v>
      </c>
      <c r="B346" s="10" t="n">
        <v>342</v>
      </c>
      <c r="C346" s="10" t="n">
        <v>2342</v>
      </c>
      <c r="D346" s="10" t="inlineStr">
        <is>
          <t>0402106048</t>
        </is>
      </c>
      <c r="E346" s="26" t="inlineStr">
        <is>
          <t>Region IV-A (CALABARZON)</t>
        </is>
      </c>
      <c r="F346" s="26" t="inlineStr">
        <is>
          <t>Cavite</t>
        </is>
      </c>
      <c r="G346" s="26" t="inlineStr">
        <is>
          <t>City of Dasmariñas</t>
        </is>
      </c>
      <c r="H346" s="26" t="inlineStr">
        <is>
          <t>Burol II</t>
        </is>
      </c>
      <c r="I346" s="27" t="n">
        <v>14.297184</v>
      </c>
      <c r="J346" s="27" t="n">
        <v>120.950271</v>
      </c>
      <c r="K346" s="10" t="inlineStr">
        <is>
          <t>U</t>
        </is>
      </c>
      <c r="L346" s="12" t="n">
        <v>6343</v>
      </c>
      <c r="M346" s="14" t="n">
        <v>3.4</v>
      </c>
      <c r="N346" s="12">
        <f>ROUND(L346/M346, 0)</f>
        <v/>
      </c>
      <c r="O346" s="12">
        <f>ROUND(N346*'Methodology &amp; Assumptions'!$B$5, 0)</f>
        <v/>
      </c>
      <c r="P346" s="10" t="inlineStr">
        <is>
          <t>Single Carrier (Band n50, 100MHz TDD)</t>
        </is>
      </c>
      <c r="Q346" s="13">
        <f>ROUNDUP(O346/'Methodology &amp; Assumptions'!$B$6, 0)</f>
        <v/>
      </c>
      <c r="R346" s="13" t="n">
        <v>1</v>
      </c>
      <c r="S346" s="14" t="n">
        <v>0.97</v>
      </c>
      <c r="T346" s="14" t="n">
        <v>0.19</v>
      </c>
      <c r="U346" s="26">
        <f>IF(X346&gt;='Methodology &amp; Assumptions'!$B$7, "Tier 1 Critical GIDA (Score ≥ 50.0)", IF(X346&gt;='Methodology &amp; Assumptions'!$B$8, "Tier 2 High GIDA (Score 40.0–49.9)", "Tier 3 Moderate GIDA (Score &lt; 40.0)"))</f>
        <v/>
      </c>
      <c r="V346" s="26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W346" s="28" t="n">
        <v>0.07200000000000001</v>
      </c>
      <c r="X346" s="14" t="n">
        <v>48.94</v>
      </c>
      <c r="Y346" s="14">
        <f>ROUND(MIN(100, (X346/69.91)*100), 2)</f>
        <v/>
      </c>
    </row>
    <row r="347">
      <c r="A347" s="10" t="n">
        <v>3</v>
      </c>
      <c r="B347" s="10" t="n">
        <v>343</v>
      </c>
      <c r="C347" s="10" t="n">
        <v>2343</v>
      </c>
      <c r="D347" s="10" t="inlineStr">
        <is>
          <t>1381100173</t>
        </is>
      </c>
      <c r="E347" s="26" t="inlineStr">
        <is>
          <t>National Capital Region (NCR)</t>
        </is>
      </c>
      <c r="F347" s="26" t="inlineStr">
        <is>
          <t>Fourth District (Not a Province)</t>
        </is>
      </c>
      <c r="G347" s="26" t="inlineStr">
        <is>
          <t>Pasay City</t>
        </is>
      </c>
      <c r="H347" s="26" t="inlineStr">
        <is>
          <t>Barangay 173</t>
        </is>
      </c>
      <c r="I347" s="27" t="n">
        <v>14.692401</v>
      </c>
      <c r="J347" s="27" t="n">
        <v>121.017404</v>
      </c>
      <c r="K347" s="10" t="inlineStr">
        <is>
          <t>U</t>
        </is>
      </c>
      <c r="L347" s="12" t="n">
        <v>1866</v>
      </c>
      <c r="M347" s="14" t="n">
        <v>3.4</v>
      </c>
      <c r="N347" s="12">
        <f>ROUND(L347/M347, 0)</f>
        <v/>
      </c>
      <c r="O347" s="12">
        <f>ROUND(N347*'Methodology &amp; Assumptions'!$B$5, 0)</f>
        <v/>
      </c>
      <c r="P347" s="10" t="inlineStr">
        <is>
          <t>Single Carrier (Band n50, 100MHz TDD)</t>
        </is>
      </c>
      <c r="Q347" s="13">
        <f>ROUNDUP(O347/'Methodology &amp; Assumptions'!$B$6, 0)</f>
        <v/>
      </c>
      <c r="R347" s="13" t="n">
        <v>1</v>
      </c>
      <c r="S347" s="14" t="n">
        <v>1.46</v>
      </c>
      <c r="T347" s="14" t="n">
        <v>0.99</v>
      </c>
      <c r="U347" s="26">
        <f>IF(X347&gt;='Methodology &amp; Assumptions'!$B$7, "Tier 1 Critical GIDA (Score ≥ 50.0)", IF(X347&gt;='Methodology &amp; Assumptions'!$B$8, "Tier 2 High GIDA (Score 40.0–49.9)", "Tier 3 Moderate GIDA (Score &lt; 40.0)"))</f>
        <v/>
      </c>
      <c r="V347" s="26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W347" s="28" t="n">
        <v>0.109</v>
      </c>
      <c r="X347" s="14" t="n">
        <v>48.94</v>
      </c>
      <c r="Y347" s="14">
        <f>ROUND(MIN(100, (X347/69.91)*100), 2)</f>
        <v/>
      </c>
    </row>
    <row r="348">
      <c r="A348" s="10" t="n">
        <v>3</v>
      </c>
      <c r="B348" s="10" t="n">
        <v>344</v>
      </c>
      <c r="C348" s="10" t="n">
        <v>2344</v>
      </c>
      <c r="D348" s="10" t="inlineStr">
        <is>
          <t>PH0002344</t>
        </is>
      </c>
      <c r="E348" s="26" t="inlineStr">
        <is>
          <t>NCR</t>
        </is>
      </c>
      <c r="F348" s="26" t="inlineStr">
        <is>
          <t>Metro Manila</t>
        </is>
      </c>
      <c r="G348" s="26" t="inlineStr">
        <is>
          <t>Caloocan City</t>
        </is>
      </c>
      <c r="H348" s="26" t="inlineStr">
        <is>
          <t>Barangay 126</t>
        </is>
      </c>
      <c r="I348" s="27" t="n">
        <v>14.260188</v>
      </c>
      <c r="J348" s="27" t="n">
        <v>121.960435</v>
      </c>
      <c r="K348" s="10" t="inlineStr">
        <is>
          <t>R</t>
        </is>
      </c>
      <c r="L348" s="12" t="n">
        <v>2279</v>
      </c>
      <c r="M348" s="14" t="n">
        <v>3.8</v>
      </c>
      <c r="N348" s="12">
        <f>ROUND(L348/M348, 0)</f>
        <v/>
      </c>
      <c r="O348" s="12">
        <f>ROUND(N348*'Methodology &amp; Assumptions'!$B$5, 0)</f>
        <v/>
      </c>
      <c r="P348" s="10" t="inlineStr">
        <is>
          <t>Single Carrier (Band n50, 100MHz TDD)</t>
        </is>
      </c>
      <c r="Q348" s="13">
        <f>ROUNDUP(O348/'Methodology &amp; Assumptions'!$B$6, 0)</f>
        <v/>
      </c>
      <c r="R348" s="13" t="n">
        <v>1</v>
      </c>
      <c r="S348" s="14" t="n">
        <v>27.54</v>
      </c>
      <c r="T348" s="14" t="n">
        <v>29.1</v>
      </c>
      <c r="U348" s="26">
        <f>IF(X348&gt;='Methodology &amp; Assumptions'!$B$7, "Tier 1 Critical GIDA (Score ≥ 50.0)", IF(X348&gt;='Methodology &amp; Assumptions'!$B$8, "Tier 2 High GIDA (Score 40.0–49.9)", "Tier 3 Moderate GIDA (Score &lt; 40.0)"))</f>
        <v/>
      </c>
      <c r="V348" s="26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W348" s="28" t="n">
        <v>0.011</v>
      </c>
      <c r="X348" s="14" t="n">
        <v>48.94</v>
      </c>
      <c r="Y348" s="14">
        <f>ROUND(MIN(100, (X348/69.91)*100), 2)</f>
        <v/>
      </c>
    </row>
    <row r="349">
      <c r="A349" s="10" t="n">
        <v>3</v>
      </c>
      <c r="B349" s="10" t="n">
        <v>345</v>
      </c>
      <c r="C349" s="10" t="n">
        <v>2345</v>
      </c>
      <c r="D349" s="10" t="inlineStr">
        <is>
          <t>1380606033</t>
        </is>
      </c>
      <c r="E349" s="26" t="inlineStr">
        <is>
          <t>National Capital Region (NCR)</t>
        </is>
      </c>
      <c r="F349" s="26" t="inlineStr">
        <is>
          <t>First District (Not a Province)</t>
        </is>
      </c>
      <c r="G349" s="26" t="inlineStr">
        <is>
          <t>City of Manila</t>
        </is>
      </c>
      <c r="H349" s="26" t="inlineStr">
        <is>
          <t>Barangay 427</t>
        </is>
      </c>
      <c r="I349" s="27" t="n">
        <v>12.420897</v>
      </c>
      <c r="J349" s="27" t="n">
        <v>122.44615</v>
      </c>
      <c r="K349" s="10" t="inlineStr">
        <is>
          <t>U</t>
        </is>
      </c>
      <c r="L349" s="12" t="n">
        <v>510</v>
      </c>
      <c r="M349" s="14" t="n">
        <v>3.9</v>
      </c>
      <c r="N349" s="12">
        <f>ROUND(L349/M349, 0)</f>
        <v/>
      </c>
      <c r="O349" s="12">
        <f>ROUND(N349*'Methodology &amp; Assumptions'!$B$5, 0)</f>
        <v/>
      </c>
      <c r="P349" s="10" t="inlineStr">
        <is>
          <t>Single Carrier (Band n50, 100MHz TDD)</t>
        </is>
      </c>
      <c r="Q349" s="13">
        <f>ROUNDUP(O349/'Methodology &amp; Assumptions'!$B$6, 0)</f>
        <v/>
      </c>
      <c r="R349" s="13" t="n">
        <v>1</v>
      </c>
      <c r="S349" s="14" t="n">
        <v>75.62</v>
      </c>
      <c r="T349" s="14" t="n">
        <v>51.52</v>
      </c>
      <c r="U349" s="26">
        <f>IF(X349&gt;='Methodology &amp; Assumptions'!$B$7, "Tier 1 Critical GIDA (Score ≥ 50.0)", IF(X349&gt;='Methodology &amp; Assumptions'!$B$8, "Tier 2 High GIDA (Score 40.0–49.9)", "Tier 3 Moderate GIDA (Score &lt; 40.0)"))</f>
        <v/>
      </c>
      <c r="V349" s="26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W349" s="28" t="n">
        <v>0.109</v>
      </c>
      <c r="X349" s="14" t="n">
        <v>48.94</v>
      </c>
      <c r="Y349" s="14">
        <f>ROUND(MIN(100, (X349/69.91)*100), 2)</f>
        <v/>
      </c>
    </row>
    <row r="350">
      <c r="A350" s="10" t="n">
        <v>3</v>
      </c>
      <c r="B350" s="10" t="n">
        <v>346</v>
      </c>
      <c r="C350" s="10" t="n">
        <v>2346</v>
      </c>
      <c r="D350" s="10" t="inlineStr">
        <is>
          <t>1380606103</t>
        </is>
      </c>
      <c r="E350" s="26" t="inlineStr">
        <is>
          <t>National Capital Region (NCR)</t>
        </is>
      </c>
      <c r="F350" s="26" t="inlineStr">
        <is>
          <t>First District (Not a Province)</t>
        </is>
      </c>
      <c r="G350" s="26" t="inlineStr">
        <is>
          <t>City of Manila</t>
        </is>
      </c>
      <c r="H350" s="26" t="inlineStr">
        <is>
          <t>Barangay 497</t>
        </is>
      </c>
      <c r="I350" s="27" t="n">
        <v>12.775116</v>
      </c>
      <c r="J350" s="27" t="n">
        <v>120.959103</v>
      </c>
      <c r="K350" s="10" t="inlineStr">
        <is>
          <t>U</t>
        </is>
      </c>
      <c r="L350" s="12" t="n">
        <v>1534</v>
      </c>
      <c r="M350" s="14" t="n">
        <v>3.9</v>
      </c>
      <c r="N350" s="12">
        <f>ROUND(L350/M350, 0)</f>
        <v/>
      </c>
      <c r="O350" s="12">
        <f>ROUND(N350*'Methodology &amp; Assumptions'!$B$5, 0)</f>
        <v/>
      </c>
      <c r="P350" s="10" t="inlineStr">
        <is>
          <t>Single Carrier (Band n50, 100MHz TDD)</t>
        </is>
      </c>
      <c r="Q350" s="13">
        <f>ROUNDUP(O350/'Methodology &amp; Assumptions'!$B$6, 0)</f>
        <v/>
      </c>
      <c r="R350" s="13" t="n">
        <v>1</v>
      </c>
      <c r="S350" s="14" t="n">
        <v>48.55</v>
      </c>
      <c r="T350" s="14" t="n">
        <v>45.99</v>
      </c>
      <c r="U350" s="26">
        <f>IF(X350&gt;='Methodology &amp; Assumptions'!$B$7, "Tier 1 Critical GIDA (Score ≥ 50.0)", IF(X350&gt;='Methodology &amp; Assumptions'!$B$8, "Tier 2 High GIDA (Score 40.0–49.9)", "Tier 3 Moderate GIDA (Score &lt; 40.0)"))</f>
        <v/>
      </c>
      <c r="V350" s="26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W350" s="28" t="n">
        <v>0.109</v>
      </c>
      <c r="X350" s="14" t="n">
        <v>48.94</v>
      </c>
      <c r="Y350" s="14">
        <f>ROUND(MIN(100, (X350/69.91)*100), 2)</f>
        <v/>
      </c>
    </row>
    <row r="351">
      <c r="A351" s="10" t="n">
        <v>3</v>
      </c>
      <c r="B351" s="10" t="n">
        <v>347</v>
      </c>
      <c r="C351" s="10" t="n">
        <v>2347</v>
      </c>
      <c r="D351" s="10" t="inlineStr">
        <is>
          <t>0806014006</t>
        </is>
      </c>
      <c r="E351" s="26" t="inlineStr">
        <is>
          <t>Region VIII (Eastern Visayas)</t>
        </is>
      </c>
      <c r="F351" s="26" t="inlineStr">
        <is>
          <t>Samar</t>
        </is>
      </c>
      <c r="G351" s="26" t="inlineStr">
        <is>
          <t>San Jose De Buan</t>
        </is>
      </c>
      <c r="H351" s="26" t="inlineStr">
        <is>
          <t>Gusa</t>
        </is>
      </c>
      <c r="I351" s="27" t="n">
        <v>12.10768</v>
      </c>
      <c r="J351" s="27" t="n">
        <v>125.05256</v>
      </c>
      <c r="K351" s="10" t="inlineStr">
        <is>
          <t>R</t>
        </is>
      </c>
      <c r="L351" s="12" t="n">
        <v>393</v>
      </c>
      <c r="M351" s="14" t="n">
        <v>4.1</v>
      </c>
      <c r="N351" s="12">
        <f>ROUND(L351/M351, 0)</f>
        <v/>
      </c>
      <c r="O351" s="12">
        <f>ROUND(N351*'Methodology &amp; Assumptions'!$B$5, 0)</f>
        <v/>
      </c>
      <c r="P351" s="10" t="inlineStr">
        <is>
          <t>Single Carrier (Band n50, 100MHz TDD)</t>
        </is>
      </c>
      <c r="Q351" s="13">
        <f>ROUNDUP(O351/'Methodology &amp; Assumptions'!$B$6, 0)</f>
        <v/>
      </c>
      <c r="R351" s="13" t="n">
        <v>1</v>
      </c>
      <c r="S351" s="14" t="n">
        <v>96.68000000000001</v>
      </c>
      <c r="T351" s="14" t="n">
        <v>98.08</v>
      </c>
      <c r="U351" s="26">
        <f>IF(X351&gt;='Methodology &amp; Assumptions'!$B$7, "Tier 1 Critical GIDA (Score ≥ 50.0)", IF(X351&gt;='Methodology &amp; Assumptions'!$B$8, "Tier 2 High GIDA (Score 40.0–49.9)", "Tier 3 Moderate GIDA (Score &lt; 40.0)"))</f>
        <v/>
      </c>
      <c r="V351" s="26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W351" s="28" t="n">
        <v>0.237</v>
      </c>
      <c r="X351" s="14" t="n">
        <v>48.94</v>
      </c>
      <c r="Y351" s="14">
        <f>ROUND(MIN(100, (X351/69.91)*100), 2)</f>
        <v/>
      </c>
    </row>
    <row r="352">
      <c r="A352" s="10" t="n">
        <v>3</v>
      </c>
      <c r="B352" s="10" t="n">
        <v>348</v>
      </c>
      <c r="C352" s="10" t="n">
        <v>2348</v>
      </c>
      <c r="D352" s="10" t="inlineStr">
        <is>
          <t>1908707006</t>
        </is>
      </c>
      <c r="E352" s="26" t="inlineStr">
        <is>
          <t>Bangsamoro Autonomous Region In Muslim Mindanao (BARMM)</t>
        </is>
      </c>
      <c r="F352" s="26" t="inlineStr">
        <is>
          <t>Maguindanao del Norte</t>
        </is>
      </c>
      <c r="G352" s="26" t="inlineStr">
        <is>
          <t>Matanog</t>
        </is>
      </c>
      <c r="H352" s="26" t="inlineStr">
        <is>
          <t>Langco</t>
        </is>
      </c>
      <c r="I352" s="27" t="n">
        <v>17.250314</v>
      </c>
      <c r="J352" s="27" t="n">
        <v>122.231507</v>
      </c>
      <c r="K352" s="10" t="inlineStr">
        <is>
          <t>R</t>
        </is>
      </c>
      <c r="L352" s="12" t="n">
        <v>5853</v>
      </c>
      <c r="M352" s="14" t="n">
        <v>4.3</v>
      </c>
      <c r="N352" s="12">
        <f>ROUND(L352/M352, 0)</f>
        <v/>
      </c>
      <c r="O352" s="12">
        <f>ROUND(N352*'Methodology &amp; Assumptions'!$B$5, 0)</f>
        <v/>
      </c>
      <c r="P352" s="10" t="inlineStr">
        <is>
          <t>Single Carrier (Band n50, 100MHz TDD)</t>
        </is>
      </c>
      <c r="Q352" s="13">
        <f>ROUNDUP(O352/'Methodology &amp; Assumptions'!$B$6, 0)</f>
        <v/>
      </c>
      <c r="R352" s="13" t="n">
        <v>1</v>
      </c>
      <c r="S352" s="14" t="n">
        <v>29.31</v>
      </c>
      <c r="T352" s="14" t="n">
        <v>34.42</v>
      </c>
      <c r="U352" s="26">
        <f>IF(X352&gt;='Methodology &amp; Assumptions'!$B$7, "Tier 1 Critical GIDA (Score ≥ 50.0)", IF(X352&gt;='Methodology &amp; Assumptions'!$B$8, "Tier 2 High GIDA (Score 40.0–49.9)", "Tier 3 Moderate GIDA (Score &lt; 40.0)"))</f>
        <v/>
      </c>
      <c r="V352" s="26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W352" s="28" t="n">
        <v>0.11</v>
      </c>
      <c r="X352" s="14" t="n">
        <v>48.94</v>
      </c>
      <c r="Y352" s="14">
        <f>ROUND(MIN(100, (X352/69.91)*100), 2)</f>
        <v/>
      </c>
    </row>
    <row r="353">
      <c r="A353" s="10" t="n">
        <v>3</v>
      </c>
      <c r="B353" s="10" t="n">
        <v>349</v>
      </c>
      <c r="C353" s="10" t="n">
        <v>2349</v>
      </c>
      <c r="D353" s="10" t="inlineStr">
        <is>
          <t>1380605008</t>
        </is>
      </c>
      <c r="E353" s="26" t="inlineStr">
        <is>
          <t>National Capital Region (NCR)</t>
        </is>
      </c>
      <c r="F353" s="26" t="inlineStr">
        <is>
          <t>First District (Not a Province)</t>
        </is>
      </c>
      <c r="G353" s="26" t="inlineStr">
        <is>
          <t>City of Manila</t>
        </is>
      </c>
      <c r="H353" s="26" t="inlineStr">
        <is>
          <t>Barangay 304</t>
        </is>
      </c>
      <c r="I353" s="27" t="n">
        <v>13.494526</v>
      </c>
      <c r="J353" s="27" t="n">
        <v>122.303215</v>
      </c>
      <c r="K353" s="10" t="inlineStr">
        <is>
          <t>U</t>
        </is>
      </c>
      <c r="L353" s="12" t="n">
        <v>307</v>
      </c>
      <c r="M353" s="14" t="n">
        <v>3.9</v>
      </c>
      <c r="N353" s="12">
        <f>ROUND(L353/M353, 0)</f>
        <v/>
      </c>
      <c r="O353" s="12">
        <f>ROUND(N353*'Methodology &amp; Assumptions'!$B$5, 0)</f>
        <v/>
      </c>
      <c r="P353" s="10" t="inlineStr">
        <is>
          <t>Single Carrier (Band n50, 100MHz TDD)</t>
        </is>
      </c>
      <c r="Q353" s="13">
        <f>ROUNDUP(O353/'Methodology &amp; Assumptions'!$B$6, 0)</f>
        <v/>
      </c>
      <c r="R353" s="13" t="n">
        <v>1</v>
      </c>
      <c r="S353" s="14" t="n">
        <v>10.57</v>
      </c>
      <c r="T353" s="14" t="n">
        <v>8.550000000000001</v>
      </c>
      <c r="U353" s="26">
        <f>IF(X353&gt;='Methodology &amp; Assumptions'!$B$7, "Tier 1 Critical GIDA (Score ≥ 50.0)", IF(X353&gt;='Methodology &amp; Assumptions'!$B$8, "Tier 2 High GIDA (Score 40.0–49.9)", "Tier 3 Moderate GIDA (Score &lt; 40.0)"))</f>
        <v/>
      </c>
      <c r="V353" s="26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W353" s="28" t="n">
        <v>0.109</v>
      </c>
      <c r="X353" s="14" t="n">
        <v>48.93</v>
      </c>
      <c r="Y353" s="14">
        <f>ROUND(MIN(100, (X353/69.91)*100), 2)</f>
        <v/>
      </c>
    </row>
    <row r="354">
      <c r="A354" s="10" t="n">
        <v>3</v>
      </c>
      <c r="B354" s="10" t="n">
        <v>350</v>
      </c>
      <c r="C354" s="10" t="n">
        <v>2350</v>
      </c>
      <c r="D354" s="10" t="inlineStr">
        <is>
          <t>1380601261</t>
        </is>
      </c>
      <c r="E354" s="26" t="inlineStr">
        <is>
          <t>National Capital Region (NCR)</t>
        </is>
      </c>
      <c r="F354" s="26" t="inlineStr">
        <is>
          <t>First District (Not a Province)</t>
        </is>
      </c>
      <c r="G354" s="26" t="inlineStr">
        <is>
          <t>City of Manila</t>
        </is>
      </c>
      <c r="H354" s="26" t="inlineStr">
        <is>
          <t>Barangay 260</t>
        </is>
      </c>
      <c r="I354" s="27" t="n">
        <v>12.076517</v>
      </c>
      <c r="J354" s="27" t="n">
        <v>121.809973</v>
      </c>
      <c r="K354" s="10" t="inlineStr">
        <is>
          <t>U</t>
        </is>
      </c>
      <c r="L354" s="12" t="n">
        <v>1695</v>
      </c>
      <c r="M354" s="14" t="n">
        <v>3.9</v>
      </c>
      <c r="N354" s="12">
        <f>ROUND(L354/M354, 0)</f>
        <v/>
      </c>
      <c r="O354" s="12">
        <f>ROUND(N354*'Methodology &amp; Assumptions'!$B$5, 0)</f>
        <v/>
      </c>
      <c r="P354" s="10" t="inlineStr">
        <is>
          <t>Single Carrier (Band n50, 100MHz TDD)</t>
        </is>
      </c>
      <c r="Q354" s="13">
        <f>ROUNDUP(O354/'Methodology &amp; Assumptions'!$B$6, 0)</f>
        <v/>
      </c>
      <c r="R354" s="13" t="n">
        <v>1</v>
      </c>
      <c r="S354" s="14" t="n">
        <v>20.53</v>
      </c>
      <c r="T354" s="14" t="n">
        <v>8.529999999999999</v>
      </c>
      <c r="U354" s="26">
        <f>IF(X354&gt;='Methodology &amp; Assumptions'!$B$7, "Tier 1 Critical GIDA (Score ≥ 50.0)", IF(X354&gt;='Methodology &amp; Assumptions'!$B$8, "Tier 2 High GIDA (Score 40.0–49.9)", "Tier 3 Moderate GIDA (Score &lt; 40.0)"))</f>
        <v/>
      </c>
      <c r="V354" s="26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W354" s="28" t="n">
        <v>0.109</v>
      </c>
      <c r="X354" s="14" t="n">
        <v>48.93</v>
      </c>
      <c r="Y354" s="14">
        <f>ROUND(MIN(100, (X354/69.91)*100), 2)</f>
        <v/>
      </c>
    </row>
    <row r="355">
      <c r="A355" s="10" t="n">
        <v>3</v>
      </c>
      <c r="B355" s="10" t="n">
        <v>351</v>
      </c>
      <c r="C355" s="10" t="n">
        <v>2351</v>
      </c>
      <c r="D355" s="10" t="inlineStr">
        <is>
          <t>PH0002351</t>
        </is>
      </c>
      <c r="E355" s="26" t="inlineStr">
        <is>
          <t>CAR</t>
        </is>
      </c>
      <c r="F355" s="26" t="inlineStr">
        <is>
          <t>Benguet</t>
        </is>
      </c>
      <c r="G355" s="26" t="inlineStr">
        <is>
          <t>Baguio City</t>
        </is>
      </c>
      <c r="H355" s="26" t="inlineStr">
        <is>
          <t>Alfonso Tabora</t>
        </is>
      </c>
      <c r="I355" s="27" t="n">
        <v>16.412492</v>
      </c>
      <c r="J355" s="27" t="n">
        <v>120.612537</v>
      </c>
      <c r="K355" s="10" t="inlineStr">
        <is>
          <t>R</t>
        </is>
      </c>
      <c r="L355" s="12" t="n">
        <v>2260</v>
      </c>
      <c r="M355" s="14" t="n">
        <v>3.5</v>
      </c>
      <c r="N355" s="12">
        <f>ROUND(L355/M355, 0)</f>
        <v/>
      </c>
      <c r="O355" s="12">
        <f>ROUND(N355*'Methodology &amp; Assumptions'!$B$5, 0)</f>
        <v/>
      </c>
      <c r="P355" s="10" t="inlineStr">
        <is>
          <t>Single Carrier (Band n50, 100MHz TDD)</t>
        </is>
      </c>
      <c r="Q355" s="13">
        <f>ROUNDUP(O355/'Methodology &amp; Assumptions'!$B$6, 0)</f>
        <v/>
      </c>
      <c r="R355" s="13" t="n">
        <v>1</v>
      </c>
      <c r="S355" s="14" t="n">
        <v>1.27</v>
      </c>
      <c r="T355" s="14" t="n">
        <v>0.06</v>
      </c>
      <c r="U355" s="26">
        <f>IF(X355&gt;='Methodology &amp; Assumptions'!$B$7, "Tier 1 Critical GIDA (Score ≥ 50.0)", IF(X355&gt;='Methodology &amp; Assumptions'!$B$8, "Tier 2 High GIDA (Score 40.0–49.9)", "Tier 3 Moderate GIDA (Score &lt; 40.0)"))</f>
        <v/>
      </c>
      <c r="V355" s="26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W355" s="28" t="n">
        <v>0.221</v>
      </c>
      <c r="X355" s="14" t="n">
        <v>48.93</v>
      </c>
      <c r="Y355" s="14">
        <f>ROUND(MIN(100, (X355/69.91)*100), 2)</f>
        <v/>
      </c>
    </row>
    <row r="356">
      <c r="A356" s="10" t="n">
        <v>3</v>
      </c>
      <c r="B356" s="10" t="n">
        <v>352</v>
      </c>
      <c r="C356" s="10" t="n">
        <v>2352</v>
      </c>
      <c r="D356" s="10" t="inlineStr">
        <is>
          <t>1908709023</t>
        </is>
      </c>
      <c r="E356" s="26" t="inlineStr">
        <is>
          <t>Bangsamoro Autonomous Region In Muslim Mindanao (BARMM)</t>
        </is>
      </c>
      <c r="F356" s="26" t="inlineStr">
        <is>
          <t>Maguindanao del Norte</t>
        </is>
      </c>
      <c r="G356" s="26" t="inlineStr">
        <is>
          <t>Parang</t>
        </is>
      </c>
      <c r="H356" s="26" t="inlineStr">
        <is>
          <t>Samberen</t>
        </is>
      </c>
      <c r="I356" s="27" t="n">
        <v>16.185673</v>
      </c>
      <c r="J356" s="27" t="n">
        <v>122.451498</v>
      </c>
      <c r="K356" s="10" t="inlineStr">
        <is>
          <t>R</t>
        </is>
      </c>
      <c r="L356" s="12" t="n">
        <v>2286</v>
      </c>
      <c r="M356" s="14" t="n">
        <v>4.3</v>
      </c>
      <c r="N356" s="12">
        <f>ROUND(L356/M356, 0)</f>
        <v/>
      </c>
      <c r="O356" s="12">
        <f>ROUND(N356*'Methodology &amp; Assumptions'!$B$5, 0)</f>
        <v/>
      </c>
      <c r="P356" s="10" t="inlineStr">
        <is>
          <t>Single Carrier (Band n50, 100MHz TDD)</t>
        </is>
      </c>
      <c r="Q356" s="13">
        <f>ROUNDUP(O356/'Methodology &amp; Assumptions'!$B$6, 0)</f>
        <v/>
      </c>
      <c r="R356" s="13" t="n">
        <v>1</v>
      </c>
      <c r="S356" s="14" t="n">
        <v>36.38</v>
      </c>
      <c r="T356" s="14" t="n">
        <v>35.39</v>
      </c>
      <c r="U356" s="26">
        <f>IF(X356&gt;='Methodology &amp; Assumptions'!$B$7, "Tier 1 Critical GIDA (Score ≥ 50.0)", IF(X356&gt;='Methodology &amp; Assumptions'!$B$8, "Tier 2 High GIDA (Score 40.0–49.9)", "Tier 3 Moderate GIDA (Score &lt; 40.0)"))</f>
        <v/>
      </c>
      <c r="V356" s="26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W356" s="28" t="n">
        <v>0.11</v>
      </c>
      <c r="X356" s="14" t="n">
        <v>48.93</v>
      </c>
      <c r="Y356" s="14">
        <f>ROUND(MIN(100, (X356/69.91)*100), 2)</f>
        <v/>
      </c>
    </row>
    <row r="357">
      <c r="A357" s="10" t="n">
        <v>3</v>
      </c>
      <c r="B357" s="10" t="n">
        <v>353</v>
      </c>
      <c r="C357" s="10" t="n">
        <v>2353</v>
      </c>
      <c r="D357" s="10" t="inlineStr">
        <is>
          <t>PH0002353</t>
        </is>
      </c>
      <c r="E357" s="26" t="inlineStr">
        <is>
          <t>NCR</t>
        </is>
      </c>
      <c r="F357" s="26" t="inlineStr">
        <is>
          <t>Metro Manila</t>
        </is>
      </c>
      <c r="G357" s="26" t="inlineStr">
        <is>
          <t>Caloocan City</t>
        </is>
      </c>
      <c r="H357" s="26" t="inlineStr">
        <is>
          <t>Barangay 124</t>
        </is>
      </c>
      <c r="I357" s="27" t="n">
        <v>11.738007</v>
      </c>
      <c r="J357" s="27" t="n">
        <v>122.594055</v>
      </c>
      <c r="K357" s="10" t="inlineStr">
        <is>
          <t>R</t>
        </is>
      </c>
      <c r="L357" s="12" t="n">
        <v>2279</v>
      </c>
      <c r="M357" s="14" t="n">
        <v>3.8</v>
      </c>
      <c r="N357" s="12">
        <f>ROUND(L357/M357, 0)</f>
        <v/>
      </c>
      <c r="O357" s="12">
        <f>ROUND(N357*'Methodology &amp; Assumptions'!$B$5, 0)</f>
        <v/>
      </c>
      <c r="P357" s="10" t="inlineStr">
        <is>
          <t>Single Carrier (Band n50, 100MHz TDD)</t>
        </is>
      </c>
      <c r="Q357" s="13">
        <f>ROUNDUP(O357/'Methodology &amp; Assumptions'!$B$6, 0)</f>
        <v/>
      </c>
      <c r="R357" s="13" t="n">
        <v>1</v>
      </c>
      <c r="S357" s="14" t="n">
        <v>19.43</v>
      </c>
      <c r="T357" s="14" t="n">
        <v>3.07</v>
      </c>
      <c r="U357" s="26">
        <f>IF(X357&gt;='Methodology &amp; Assumptions'!$B$7, "Tier 1 Critical GIDA (Score ≥ 50.0)", IF(X357&gt;='Methodology &amp; Assumptions'!$B$8, "Tier 2 High GIDA (Score 40.0–49.9)", "Tier 3 Moderate GIDA (Score &lt; 40.0)"))</f>
        <v/>
      </c>
      <c r="V357" s="26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W357" s="28" t="n">
        <v>0.011</v>
      </c>
      <c r="X357" s="14" t="n">
        <v>48.93</v>
      </c>
      <c r="Y357" s="14">
        <f>ROUND(MIN(100, (X357/69.91)*100), 2)</f>
        <v/>
      </c>
    </row>
    <row r="358">
      <c r="A358" s="10" t="n">
        <v>3</v>
      </c>
      <c r="B358" s="10" t="n">
        <v>354</v>
      </c>
      <c r="C358" s="10" t="n">
        <v>2354</v>
      </c>
      <c r="D358" s="10" t="inlineStr">
        <is>
          <t>1380605052</t>
        </is>
      </c>
      <c r="E358" s="26" t="inlineStr">
        <is>
          <t>National Capital Region (NCR)</t>
        </is>
      </c>
      <c r="F358" s="26" t="inlineStr">
        <is>
          <t>First District (Not a Province)</t>
        </is>
      </c>
      <c r="G358" s="26" t="inlineStr">
        <is>
          <t>City of Manila</t>
        </is>
      </c>
      <c r="H358" s="26" t="inlineStr">
        <is>
          <t>Barangay 350</t>
        </is>
      </c>
      <c r="I358" s="27" t="n">
        <v>13.449132</v>
      </c>
      <c r="J358" s="27" t="n">
        <v>121.189872</v>
      </c>
      <c r="K358" s="10" t="inlineStr">
        <is>
          <t>U</t>
        </is>
      </c>
      <c r="L358" s="12" t="n">
        <v>6982</v>
      </c>
      <c r="M358" s="14" t="n">
        <v>3.9</v>
      </c>
      <c r="N358" s="12">
        <f>ROUND(L358/M358, 0)</f>
        <v/>
      </c>
      <c r="O358" s="12">
        <f>ROUND(N358*'Methodology &amp; Assumptions'!$B$5, 0)</f>
        <v/>
      </c>
      <c r="P358" s="10" t="inlineStr">
        <is>
          <t>Single Carrier (Band n50, 100MHz TDD)</t>
        </is>
      </c>
      <c r="Q358" s="13">
        <f>ROUNDUP(O358/'Methodology &amp; Assumptions'!$B$6, 0)</f>
        <v/>
      </c>
      <c r="R358" s="13" t="n">
        <v>1</v>
      </c>
      <c r="S358" s="14" t="n">
        <v>2.91</v>
      </c>
      <c r="T358" s="14" t="n">
        <v>8.48</v>
      </c>
      <c r="U358" s="26">
        <f>IF(X358&gt;='Methodology &amp; Assumptions'!$B$7, "Tier 1 Critical GIDA (Score ≥ 50.0)", IF(X358&gt;='Methodology &amp; Assumptions'!$B$8, "Tier 2 High GIDA (Score 40.0–49.9)", "Tier 3 Moderate GIDA (Score &lt; 40.0)"))</f>
        <v/>
      </c>
      <c r="V358" s="26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W358" s="28" t="n">
        <v>0.109</v>
      </c>
      <c r="X358" s="14" t="n">
        <v>48.93</v>
      </c>
      <c r="Y358" s="14">
        <f>ROUND(MIN(100, (X358/69.91)*100), 2)</f>
        <v/>
      </c>
    </row>
    <row r="359">
      <c r="A359" s="10" t="n">
        <v>3</v>
      </c>
      <c r="B359" s="10" t="n">
        <v>355</v>
      </c>
      <c r="C359" s="10" t="n">
        <v>2355</v>
      </c>
      <c r="D359" s="10" t="inlineStr">
        <is>
          <t>1380604004</t>
        </is>
      </c>
      <c r="E359" s="26" t="inlineStr">
        <is>
          <t>National Capital Region (NCR)</t>
        </is>
      </c>
      <c r="F359" s="26" t="inlineStr">
        <is>
          <t>First District (Not a Province)</t>
        </is>
      </c>
      <c r="G359" s="26" t="inlineStr">
        <is>
          <t>City of Manila</t>
        </is>
      </c>
      <c r="H359" s="26" t="inlineStr">
        <is>
          <t>Barangay 271</t>
        </is>
      </c>
      <c r="I359" s="27" t="n">
        <v>12.844515</v>
      </c>
      <c r="J359" s="27" t="n">
        <v>122.600679</v>
      </c>
      <c r="K359" s="10" t="inlineStr">
        <is>
          <t>U</t>
        </is>
      </c>
      <c r="L359" s="12" t="n">
        <v>652</v>
      </c>
      <c r="M359" s="14" t="n">
        <v>3.9</v>
      </c>
      <c r="N359" s="12">
        <f>ROUND(L359/M359, 0)</f>
        <v/>
      </c>
      <c r="O359" s="12">
        <f>ROUND(N359*'Methodology &amp; Assumptions'!$B$5, 0)</f>
        <v/>
      </c>
      <c r="P359" s="10" t="inlineStr">
        <is>
          <t>Single Carrier (Band n50, 100MHz TDD)</t>
        </is>
      </c>
      <c r="Q359" s="13">
        <f>ROUNDUP(O359/'Methodology &amp; Assumptions'!$B$6, 0)</f>
        <v/>
      </c>
      <c r="R359" s="13" t="n">
        <v>1</v>
      </c>
      <c r="S359" s="14" t="n">
        <v>42.85</v>
      </c>
      <c r="T359" s="14" t="n">
        <v>78.84</v>
      </c>
      <c r="U359" s="26">
        <f>IF(X359&gt;='Methodology &amp; Assumptions'!$B$7, "Tier 1 Critical GIDA (Score ≥ 50.0)", IF(X359&gt;='Methodology &amp; Assumptions'!$B$8, "Tier 2 High GIDA (Score 40.0–49.9)", "Tier 3 Moderate GIDA (Score &lt; 40.0)"))</f>
        <v/>
      </c>
      <c r="V359" s="26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W359" s="28" t="n">
        <v>0.109</v>
      </c>
      <c r="X359" s="14" t="n">
        <v>48.93</v>
      </c>
      <c r="Y359" s="14">
        <f>ROUND(MIN(100, (X359/69.91)*100), 2)</f>
        <v/>
      </c>
    </row>
    <row r="360">
      <c r="A360" s="10" t="n">
        <v>3</v>
      </c>
      <c r="B360" s="10" t="n">
        <v>356</v>
      </c>
      <c r="C360" s="10" t="n">
        <v>2356</v>
      </c>
      <c r="D360" s="10" t="inlineStr">
        <is>
          <t>PH0002356</t>
        </is>
      </c>
      <c r="E360" s="26" t="inlineStr">
        <is>
          <t>NCR</t>
        </is>
      </c>
      <c r="F360" s="26" t="inlineStr">
        <is>
          <t>Metro Manila</t>
        </is>
      </c>
      <c r="G360" s="26" t="inlineStr">
        <is>
          <t>Caloocan City</t>
        </is>
      </c>
      <c r="H360" s="26" t="inlineStr">
        <is>
          <t>Barangay 7</t>
        </is>
      </c>
      <c r="I360" s="27" t="n">
        <v>13.181655</v>
      </c>
      <c r="J360" s="27" t="n">
        <v>120.376817</v>
      </c>
      <c r="K360" s="10" t="inlineStr">
        <is>
          <t>R</t>
        </is>
      </c>
      <c r="L360" s="12" t="n">
        <v>2279</v>
      </c>
      <c r="M360" s="14" t="n">
        <v>3.8</v>
      </c>
      <c r="N360" s="12">
        <f>ROUND(L360/M360, 0)</f>
        <v/>
      </c>
      <c r="O360" s="12">
        <f>ROUND(N360*'Methodology &amp; Assumptions'!$B$5, 0)</f>
        <v/>
      </c>
      <c r="P360" s="10" t="inlineStr">
        <is>
          <t>Single Carrier (Band n50, 100MHz TDD)</t>
        </is>
      </c>
      <c r="Q360" s="13">
        <f>ROUNDUP(O360/'Methodology &amp; Assumptions'!$B$6, 0)</f>
        <v/>
      </c>
      <c r="R360" s="13" t="n">
        <v>1</v>
      </c>
      <c r="S360" s="14" t="n">
        <v>67.47</v>
      </c>
      <c r="T360" s="14" t="n">
        <v>65.91</v>
      </c>
      <c r="U360" s="26">
        <f>IF(X360&gt;='Methodology &amp; Assumptions'!$B$7, "Tier 1 Critical GIDA (Score ≥ 50.0)", IF(X360&gt;='Methodology &amp; Assumptions'!$B$8, "Tier 2 High GIDA (Score 40.0–49.9)", "Tier 3 Moderate GIDA (Score &lt; 40.0)"))</f>
        <v/>
      </c>
      <c r="V360" s="26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W360" s="28" t="n">
        <v>0.011</v>
      </c>
      <c r="X360" s="14" t="n">
        <v>48.92</v>
      </c>
      <c r="Y360" s="14">
        <f>ROUND(MIN(100, (X360/69.91)*100), 2)</f>
        <v/>
      </c>
    </row>
    <row r="361">
      <c r="A361" s="10" t="n">
        <v>3</v>
      </c>
      <c r="B361" s="10" t="n">
        <v>357</v>
      </c>
      <c r="C361" s="10" t="n">
        <v>2357</v>
      </c>
      <c r="D361" s="10" t="inlineStr">
        <is>
          <t>0504106011</t>
        </is>
      </c>
      <c r="E361" s="26" t="inlineStr">
        <is>
          <t>Region V (Bicol Region)</t>
        </is>
      </c>
      <c r="F361" s="26" t="inlineStr">
        <is>
          <t>Masbate</t>
        </is>
      </c>
      <c r="G361" s="26" t="inlineStr">
        <is>
          <t>Cawayan</t>
        </is>
      </c>
      <c r="H361" s="26" t="inlineStr">
        <is>
          <t>Itombato</t>
        </is>
      </c>
      <c r="I361" s="27" t="n">
        <v>11.97128</v>
      </c>
      <c r="J361" s="27" t="n">
        <v>123.77257</v>
      </c>
      <c r="K361" s="10" t="inlineStr">
        <is>
          <t>R</t>
        </is>
      </c>
      <c r="L361" s="12" t="n">
        <v>1160</v>
      </c>
      <c r="M361" s="14" t="n">
        <v>4.1</v>
      </c>
      <c r="N361" s="12">
        <f>ROUND(L361/M361, 0)</f>
        <v/>
      </c>
      <c r="O361" s="12">
        <f>ROUND(N361*'Methodology &amp; Assumptions'!$B$5, 0)</f>
        <v/>
      </c>
      <c r="P361" s="10" t="inlineStr">
        <is>
          <t>Single Carrier (Band n50, 100MHz TDD)</t>
        </is>
      </c>
      <c r="Q361" s="13">
        <f>ROUNDUP(O361/'Methodology &amp; Assumptions'!$B$6, 0)</f>
        <v/>
      </c>
      <c r="R361" s="13" t="n">
        <v>1</v>
      </c>
      <c r="S361" s="14" t="n">
        <v>18.7</v>
      </c>
      <c r="T361" s="14" t="n">
        <v>38.34</v>
      </c>
      <c r="U361" s="26">
        <f>IF(X361&gt;='Methodology &amp; Assumptions'!$B$7, "Tier 1 Critical GIDA (Score ≥ 50.0)", IF(X361&gt;='Methodology &amp; Assumptions'!$B$8, "Tier 2 High GIDA (Score 40.0–49.9)", "Tier 3 Moderate GIDA (Score &lt; 40.0)"))</f>
        <v/>
      </c>
      <c r="V361" s="26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W361" s="28" t="n">
        <v>0.237</v>
      </c>
      <c r="X361" s="14" t="n">
        <v>48.92</v>
      </c>
      <c r="Y361" s="14">
        <f>ROUND(MIN(100, (X361/69.91)*100), 2)</f>
        <v/>
      </c>
    </row>
    <row r="362">
      <c r="A362" s="10" t="n">
        <v>3</v>
      </c>
      <c r="B362" s="10" t="n">
        <v>358</v>
      </c>
      <c r="C362" s="10" t="n">
        <v>2358</v>
      </c>
      <c r="D362" s="10" t="inlineStr">
        <is>
          <t>0402106023</t>
        </is>
      </c>
      <c r="E362" s="26" t="inlineStr">
        <is>
          <t>Region IV-A (CALABARZON)</t>
        </is>
      </c>
      <c r="F362" s="26" t="inlineStr">
        <is>
          <t>Cavite</t>
        </is>
      </c>
      <c r="G362" s="26" t="inlineStr">
        <is>
          <t>City of Dasmariñas</t>
        </is>
      </c>
      <c r="H362" s="26" t="inlineStr">
        <is>
          <t>Luzviminda I</t>
        </is>
      </c>
      <c r="I362" s="27" t="n">
        <v>14.334971</v>
      </c>
      <c r="J362" s="27" t="n">
        <v>120.955763</v>
      </c>
      <c r="K362" s="10" t="inlineStr">
        <is>
          <t>R</t>
        </is>
      </c>
      <c r="L362" s="12" t="n">
        <v>3753</v>
      </c>
      <c r="M362" s="14" t="n">
        <v>3.4</v>
      </c>
      <c r="N362" s="12">
        <f>ROUND(L362/M362, 0)</f>
        <v/>
      </c>
      <c r="O362" s="12">
        <f>ROUND(N362*'Methodology &amp; Assumptions'!$B$5, 0)</f>
        <v/>
      </c>
      <c r="P362" s="10" t="inlineStr">
        <is>
          <t>Single Carrier (Band n50, 100MHz TDD)</t>
        </is>
      </c>
      <c r="Q362" s="13">
        <f>ROUNDUP(O362/'Methodology &amp; Assumptions'!$B$6, 0)</f>
        <v/>
      </c>
      <c r="R362" s="13" t="n">
        <v>1</v>
      </c>
      <c r="S362" s="14" t="n">
        <v>2.45</v>
      </c>
      <c r="T362" s="14" t="n">
        <v>3.71</v>
      </c>
      <c r="U362" s="26">
        <f>IF(X362&gt;='Methodology &amp; Assumptions'!$B$7, "Tier 1 Critical GIDA (Score ≥ 50.0)", IF(X362&gt;='Methodology &amp; Assumptions'!$B$8, "Tier 2 High GIDA (Score 40.0–49.9)", "Tier 3 Moderate GIDA (Score &lt; 40.0)"))</f>
        <v/>
      </c>
      <c r="V362" s="26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W362" s="28" t="n">
        <v>0.07200000000000001</v>
      </c>
      <c r="X362" s="14" t="n">
        <v>48.92</v>
      </c>
      <c r="Y362" s="14">
        <f>ROUND(MIN(100, (X362/69.91)*100), 2)</f>
        <v/>
      </c>
    </row>
    <row r="363">
      <c r="A363" s="10" t="n">
        <v>3</v>
      </c>
      <c r="B363" s="10" t="n">
        <v>359</v>
      </c>
      <c r="C363" s="10" t="n">
        <v>2359</v>
      </c>
      <c r="D363" s="10" t="inlineStr">
        <is>
          <t>1400113009</t>
        </is>
      </c>
      <c r="E363" s="26" t="inlineStr">
        <is>
          <t>Cordillera Administrative Region (CAR)</t>
        </is>
      </c>
      <c r="F363" s="26" t="inlineStr">
        <is>
          <t>Abra</t>
        </is>
      </c>
      <c r="G363" s="26" t="inlineStr">
        <is>
          <t>Licuan-Baay</t>
        </is>
      </c>
      <c r="H363" s="26" t="inlineStr">
        <is>
          <t>Poblacion</t>
        </is>
      </c>
      <c r="I363" s="27" t="n">
        <v>17.607952</v>
      </c>
      <c r="J363" s="27" t="n">
        <v>120.905265</v>
      </c>
      <c r="K363" s="10" t="inlineStr">
        <is>
          <t>R</t>
        </is>
      </c>
      <c r="L363" s="12" t="n">
        <v>272</v>
      </c>
      <c r="M363" s="14" t="n">
        <v>3.8</v>
      </c>
      <c r="N363" s="12">
        <f>ROUND(L363/M363, 0)</f>
        <v/>
      </c>
      <c r="O363" s="12">
        <f>ROUND(N363*'Methodology &amp; Assumptions'!$B$5, 0)</f>
        <v/>
      </c>
      <c r="P363" s="10" t="inlineStr">
        <is>
          <t>Single Carrier (Band n50, 100MHz TDD)</t>
        </is>
      </c>
      <c r="Q363" s="13">
        <f>ROUNDUP(O363/'Methodology &amp; Assumptions'!$B$6, 0)</f>
        <v/>
      </c>
      <c r="R363" s="13" t="n">
        <v>1</v>
      </c>
      <c r="S363" s="14" t="n">
        <v>26</v>
      </c>
      <c r="T363" s="14" t="n">
        <v>25.97</v>
      </c>
      <c r="U363" s="26">
        <f>IF(X363&gt;='Methodology &amp; Assumptions'!$B$7, "Tier 1 Critical GIDA (Score ≥ 50.0)", IF(X363&gt;='Methodology &amp; Assumptions'!$B$8, "Tier 2 High GIDA (Score 40.0–49.9)", "Tier 3 Moderate GIDA (Score &lt; 40.0)"))</f>
        <v/>
      </c>
      <c r="V363" s="26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W363" s="28" t="n">
        <v>0.109</v>
      </c>
      <c r="X363" s="14" t="n">
        <v>48.92</v>
      </c>
      <c r="Y363" s="14">
        <f>ROUND(MIN(100, (X363/69.91)*100), 2)</f>
        <v/>
      </c>
    </row>
    <row r="364">
      <c r="A364" s="10" t="n">
        <v>3</v>
      </c>
      <c r="B364" s="10" t="n">
        <v>360</v>
      </c>
      <c r="C364" s="10" t="n">
        <v>2360</v>
      </c>
      <c r="D364" s="10" t="inlineStr">
        <is>
          <t>1102406007</t>
        </is>
      </c>
      <c r="E364" s="26" t="inlineStr">
        <is>
          <t>Region XI (Davao Region)</t>
        </is>
      </c>
      <c r="F364" s="26" t="inlineStr">
        <is>
          <t>Davao del Sur</t>
        </is>
      </c>
      <c r="G364" s="26" t="inlineStr">
        <is>
          <t>Kiblawan</t>
        </is>
      </c>
      <c r="H364" s="26" t="inlineStr">
        <is>
          <t>Bonifacio</t>
        </is>
      </c>
      <c r="I364" s="27" t="n">
        <v>6.462717</v>
      </c>
      <c r="J364" s="27" t="n">
        <v>125.260338</v>
      </c>
      <c r="K364" s="10" t="inlineStr">
        <is>
          <t>R</t>
        </is>
      </c>
      <c r="L364" s="12" t="n">
        <v>1495</v>
      </c>
      <c r="M364" s="14" t="n">
        <v>3.4</v>
      </c>
      <c r="N364" s="12">
        <f>ROUND(L364/M364, 0)</f>
        <v/>
      </c>
      <c r="O364" s="12">
        <f>ROUND(N364*'Methodology &amp; Assumptions'!$B$5, 0)</f>
        <v/>
      </c>
      <c r="P364" s="10" t="inlineStr">
        <is>
          <t>Single Carrier (Band n50, 100MHz TDD)</t>
        </is>
      </c>
      <c r="Q364" s="13">
        <f>ROUNDUP(O364/'Methodology &amp; Assumptions'!$B$6, 0)</f>
        <v/>
      </c>
      <c r="R364" s="13" t="n">
        <v>1</v>
      </c>
      <c r="S364" s="14" t="n">
        <v>6.54</v>
      </c>
      <c r="T364" s="14" t="n">
        <v>0.66</v>
      </c>
      <c r="U364" s="26">
        <f>IF(X364&gt;='Methodology &amp; Assumptions'!$B$7, "Tier 1 Critical GIDA (Score ≥ 50.0)", IF(X364&gt;='Methodology &amp; Assumptions'!$B$8, "Tier 2 High GIDA (Score 40.0–49.9)", "Tier 3 Moderate GIDA (Score &lt; 40.0)"))</f>
        <v/>
      </c>
      <c r="V364" s="26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W364" s="28" t="n">
        <v>0.174</v>
      </c>
      <c r="X364" s="14" t="n">
        <v>48.92</v>
      </c>
      <c r="Y364" s="14">
        <f>ROUND(MIN(100, (X364/69.91)*100), 2)</f>
        <v/>
      </c>
    </row>
    <row r="365">
      <c r="A365" s="10" t="n">
        <v>3</v>
      </c>
      <c r="B365" s="10" t="n">
        <v>361</v>
      </c>
      <c r="C365" s="10" t="n">
        <v>2361</v>
      </c>
      <c r="D365" s="10" t="inlineStr">
        <is>
          <t>1381100099</t>
        </is>
      </c>
      <c r="E365" s="26" t="inlineStr">
        <is>
          <t>National Capital Region (NCR)</t>
        </is>
      </c>
      <c r="F365" s="26" t="inlineStr">
        <is>
          <t>Fourth District (Not a Province)</t>
        </is>
      </c>
      <c r="G365" s="26" t="inlineStr">
        <is>
          <t>Pasay City</t>
        </is>
      </c>
      <c r="H365" s="26" t="inlineStr">
        <is>
          <t>Barangay 99</t>
        </is>
      </c>
      <c r="I365" s="27" t="n">
        <v>14.539918</v>
      </c>
      <c r="J365" s="27" t="n">
        <v>121.002517</v>
      </c>
      <c r="K365" s="10" t="inlineStr">
        <is>
          <t>U</t>
        </is>
      </c>
      <c r="L365" s="12" t="n">
        <v>1143</v>
      </c>
      <c r="M365" s="14" t="n">
        <v>3.4</v>
      </c>
      <c r="N365" s="12">
        <f>ROUND(L365/M365, 0)</f>
        <v/>
      </c>
      <c r="O365" s="12">
        <f>ROUND(N365*'Methodology &amp; Assumptions'!$B$5, 0)</f>
        <v/>
      </c>
      <c r="P365" s="10" t="inlineStr">
        <is>
          <t>Single Carrier (Band n50, 100MHz TDD)</t>
        </is>
      </c>
      <c r="Q365" s="13">
        <f>ROUNDUP(O365/'Methodology &amp; Assumptions'!$B$6, 0)</f>
        <v/>
      </c>
      <c r="R365" s="13" t="n">
        <v>1</v>
      </c>
      <c r="S365" s="14" t="n">
        <v>1.01</v>
      </c>
      <c r="T365" s="14" t="n">
        <v>0.28</v>
      </c>
      <c r="U365" s="26">
        <f>IF(X365&gt;='Methodology &amp; Assumptions'!$B$7, "Tier 1 Critical GIDA (Score ≥ 50.0)", IF(X365&gt;='Methodology &amp; Assumptions'!$B$8, "Tier 2 High GIDA (Score 40.0–49.9)", "Tier 3 Moderate GIDA (Score &lt; 40.0)"))</f>
        <v/>
      </c>
      <c r="V365" s="26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W365" s="28" t="n">
        <v>0.109</v>
      </c>
      <c r="X365" s="14" t="n">
        <v>48.92</v>
      </c>
      <c r="Y365" s="14">
        <f>ROUND(MIN(100, (X365/69.91)*100), 2)</f>
        <v/>
      </c>
    </row>
    <row r="366">
      <c r="A366" s="10" t="n">
        <v>3</v>
      </c>
      <c r="B366" s="10" t="n">
        <v>362</v>
      </c>
      <c r="C366" s="10" t="n">
        <v>2362</v>
      </c>
      <c r="D366" s="10" t="inlineStr">
        <is>
          <t>1381100120</t>
        </is>
      </c>
      <c r="E366" s="26" t="inlineStr">
        <is>
          <t>National Capital Region (NCR)</t>
        </is>
      </c>
      <c r="F366" s="26" t="inlineStr">
        <is>
          <t>Fourth District (Not a Province)</t>
        </is>
      </c>
      <c r="G366" s="26" t="inlineStr">
        <is>
          <t>Pasay City</t>
        </is>
      </c>
      <c r="H366" s="26" t="inlineStr">
        <is>
          <t>Barangay 120</t>
        </is>
      </c>
      <c r="I366" s="27" t="n">
        <v>14.419209</v>
      </c>
      <c r="J366" s="27" t="n">
        <v>121.100194</v>
      </c>
      <c r="K366" s="10" t="inlineStr">
        <is>
          <t>U</t>
        </is>
      </c>
      <c r="L366" s="12" t="n">
        <v>341</v>
      </c>
      <c r="M366" s="14" t="n">
        <v>3.4</v>
      </c>
      <c r="N366" s="12">
        <f>ROUND(L366/M366, 0)</f>
        <v/>
      </c>
      <c r="O366" s="12">
        <f>ROUND(N366*'Methodology &amp; Assumptions'!$B$5, 0)</f>
        <v/>
      </c>
      <c r="P366" s="10" t="inlineStr">
        <is>
          <t>Single Carrier (Band n50, 100MHz TDD)</t>
        </is>
      </c>
      <c r="Q366" s="13">
        <f>ROUNDUP(O366/'Methodology &amp; Assumptions'!$B$6, 0)</f>
        <v/>
      </c>
      <c r="R366" s="13" t="n">
        <v>1</v>
      </c>
      <c r="S366" s="14" t="n">
        <v>5.61</v>
      </c>
      <c r="T366" s="14" t="n">
        <v>5.39</v>
      </c>
      <c r="U366" s="26">
        <f>IF(X366&gt;='Methodology &amp; Assumptions'!$B$7, "Tier 1 Critical GIDA (Score ≥ 50.0)", IF(X366&gt;='Methodology &amp; Assumptions'!$B$8, "Tier 2 High GIDA (Score 40.0–49.9)", "Tier 3 Moderate GIDA (Score &lt; 40.0)"))</f>
        <v/>
      </c>
      <c r="V366" s="26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W366" s="28" t="n">
        <v>0.109</v>
      </c>
      <c r="X366" s="14" t="n">
        <v>48.92</v>
      </c>
      <c r="Y366" s="14">
        <f>ROUND(MIN(100, (X366/69.91)*100), 2)</f>
        <v/>
      </c>
    </row>
    <row r="367">
      <c r="A367" s="10" t="n">
        <v>3</v>
      </c>
      <c r="B367" s="10" t="n">
        <v>363</v>
      </c>
      <c r="C367" s="10" t="n">
        <v>2363</v>
      </c>
      <c r="D367" s="10" t="inlineStr">
        <is>
          <t>0701245005</t>
        </is>
      </c>
      <c r="E367" s="26" t="inlineStr">
        <is>
          <t>Region VII (Central Visayas)</t>
        </is>
      </c>
      <c r="F367" s="26" t="inlineStr">
        <is>
          <t>Bohol</t>
        </is>
      </c>
      <c r="G367" s="26" t="inlineStr">
        <is>
          <t>Tubigon</t>
        </is>
      </c>
      <c r="H367" s="26" t="inlineStr">
        <is>
          <t>Bilangbilangan</t>
        </is>
      </c>
      <c r="I367" s="27" t="n">
        <v>9.987653999999999</v>
      </c>
      <c r="J367" s="27" t="n">
        <v>123.882372</v>
      </c>
      <c r="K367" s="10" t="inlineStr">
        <is>
          <t>R</t>
        </is>
      </c>
      <c r="L367" s="12" t="n">
        <v>477</v>
      </c>
      <c r="M367" s="14" t="n">
        <v>4</v>
      </c>
      <c r="N367" s="12">
        <f>ROUND(L367/M367, 0)</f>
        <v/>
      </c>
      <c r="O367" s="12">
        <f>ROUND(N367*'Methodology &amp; Assumptions'!$B$5, 0)</f>
        <v/>
      </c>
      <c r="P367" s="10" t="inlineStr">
        <is>
          <t>Single Carrier (Band n50, 100MHz TDD)</t>
        </is>
      </c>
      <c r="Q367" s="13">
        <f>ROUNDUP(O367/'Methodology &amp; Assumptions'!$B$6, 0)</f>
        <v/>
      </c>
      <c r="R367" s="13" t="n">
        <v>1</v>
      </c>
      <c r="S367" s="14" t="n">
        <v>22.29</v>
      </c>
      <c r="T367" s="14" t="n">
        <v>9.17</v>
      </c>
      <c r="U367" s="26">
        <f>IF(X367&gt;='Methodology &amp; Assumptions'!$B$7, "Tier 1 Critical GIDA (Score ≥ 50.0)", IF(X367&gt;='Methodology &amp; Assumptions'!$B$8, "Tier 2 High GIDA (Score 40.0–49.9)", "Tier 3 Moderate GIDA (Score &lt; 40.0)"))</f>
        <v/>
      </c>
      <c r="V367" s="26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W367" s="28" t="n">
        <v>0.237</v>
      </c>
      <c r="X367" s="14" t="n">
        <v>48.92</v>
      </c>
      <c r="Y367" s="14">
        <f>ROUND(MIN(100, (X367/69.91)*100), 2)</f>
        <v/>
      </c>
    </row>
    <row r="368">
      <c r="A368" s="10" t="n">
        <v>3</v>
      </c>
      <c r="B368" s="10" t="n">
        <v>364</v>
      </c>
      <c r="C368" s="10" t="n">
        <v>2364</v>
      </c>
      <c r="D368" s="10" t="inlineStr">
        <is>
          <t>0600608042</t>
        </is>
      </c>
      <c r="E368" s="26" t="inlineStr">
        <is>
          <t>Region VI (Western Visayas)</t>
        </is>
      </c>
      <c r="F368" s="26" t="inlineStr">
        <is>
          <t>Antique</t>
        </is>
      </c>
      <c r="G368" s="26" t="inlineStr">
        <is>
          <t>Hamtic</t>
        </is>
      </c>
      <c r="H368" s="26" t="inlineStr">
        <is>
          <t>Pili 1, 2, 3</t>
        </is>
      </c>
      <c r="I368" s="27" t="n">
        <v>10.675108</v>
      </c>
      <c r="J368" s="27" t="n">
        <v>122.03623</v>
      </c>
      <c r="K368" s="10" t="inlineStr">
        <is>
          <t>R</t>
        </is>
      </c>
      <c r="L368" s="12" t="n">
        <v>352</v>
      </c>
      <c r="M368" s="14" t="n">
        <v>3.9</v>
      </c>
      <c r="N368" s="12">
        <f>ROUND(L368/M368, 0)</f>
        <v/>
      </c>
      <c r="O368" s="12">
        <f>ROUND(N368*'Methodology &amp; Assumptions'!$B$5, 0)</f>
        <v/>
      </c>
      <c r="P368" s="10" t="inlineStr">
        <is>
          <t>Single Carrier (Band n50, 100MHz TDD)</t>
        </is>
      </c>
      <c r="Q368" s="13">
        <f>ROUNDUP(O368/'Methodology &amp; Assumptions'!$B$6, 0)</f>
        <v/>
      </c>
      <c r="R368" s="13" t="n">
        <v>1</v>
      </c>
      <c r="S368" s="14" t="n">
        <v>14.46</v>
      </c>
      <c r="T368" s="14" t="n">
        <v>6.18</v>
      </c>
      <c r="U368" s="26">
        <f>IF(X368&gt;='Methodology &amp; Assumptions'!$B$7, "Tier 1 Critical GIDA (Score ≥ 50.0)", IF(X368&gt;='Methodology &amp; Assumptions'!$B$8, "Tier 2 High GIDA (Score 40.0–49.9)", "Tier 3 Moderate GIDA (Score &lt; 40.0)"))</f>
        <v/>
      </c>
      <c r="V368" s="26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W368" s="28" t="n">
        <v>0.237</v>
      </c>
      <c r="X368" s="14" t="n">
        <v>48.91</v>
      </c>
      <c r="Y368" s="14">
        <f>ROUND(MIN(100, (X368/69.91)*100), 2)</f>
        <v/>
      </c>
    </row>
    <row r="369">
      <c r="A369" s="10" t="n">
        <v>3</v>
      </c>
      <c r="B369" s="10" t="n">
        <v>365</v>
      </c>
      <c r="C369" s="10" t="n">
        <v>2365</v>
      </c>
      <c r="D369" s="10" t="inlineStr">
        <is>
          <t>0600608015</t>
        </is>
      </c>
      <c r="E369" s="26" t="inlineStr">
        <is>
          <t>Region VI (Western Visayas)</t>
        </is>
      </c>
      <c r="F369" s="26" t="inlineStr">
        <is>
          <t>Antique</t>
        </is>
      </c>
      <c r="G369" s="26" t="inlineStr">
        <is>
          <t>Hamtic</t>
        </is>
      </c>
      <c r="H369" s="26" t="inlineStr">
        <is>
          <t>Cantulan</t>
        </is>
      </c>
      <c r="I369" s="27" t="n">
        <v>10.675204</v>
      </c>
      <c r="J369" s="27" t="n">
        <v>122.050543</v>
      </c>
      <c r="K369" s="10" t="inlineStr">
        <is>
          <t>R</t>
        </is>
      </c>
      <c r="L369" s="12" t="n">
        <v>206</v>
      </c>
      <c r="M369" s="14" t="n">
        <v>3.9</v>
      </c>
      <c r="N369" s="12">
        <f>ROUND(L369/M369, 0)</f>
        <v/>
      </c>
      <c r="O369" s="12">
        <f>ROUND(N369*'Methodology &amp; Assumptions'!$B$5, 0)</f>
        <v/>
      </c>
      <c r="P369" s="10" t="inlineStr">
        <is>
          <t>Single Carrier (Band n50, 100MHz TDD)</t>
        </is>
      </c>
      <c r="Q369" s="13">
        <f>ROUNDUP(O369/'Methodology &amp; Assumptions'!$B$6, 0)</f>
        <v/>
      </c>
      <c r="R369" s="13" t="n">
        <v>1</v>
      </c>
      <c r="S369" s="14" t="n">
        <v>15.65</v>
      </c>
      <c r="T369" s="14" t="n">
        <v>7.27</v>
      </c>
      <c r="U369" s="26">
        <f>IF(X369&gt;='Methodology &amp; Assumptions'!$B$7, "Tier 1 Critical GIDA (Score ≥ 50.0)", IF(X369&gt;='Methodology &amp; Assumptions'!$B$8, "Tier 2 High GIDA (Score 40.0–49.9)", "Tier 3 Moderate GIDA (Score &lt; 40.0)"))</f>
        <v/>
      </c>
      <c r="V369" s="26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W369" s="28" t="n">
        <v>0.237</v>
      </c>
      <c r="X369" s="14" t="n">
        <v>48.91</v>
      </c>
      <c r="Y369" s="14">
        <f>ROUND(MIN(100, (X369/69.91)*100), 2)</f>
        <v/>
      </c>
    </row>
    <row r="370">
      <c r="A370" s="10" t="n">
        <v>3</v>
      </c>
      <c r="B370" s="10" t="n">
        <v>366</v>
      </c>
      <c r="C370" s="10" t="n">
        <v>2366</v>
      </c>
      <c r="D370" s="10" t="inlineStr">
        <is>
          <t>0600608051</t>
        </is>
      </c>
      <c r="E370" s="26" t="inlineStr">
        <is>
          <t>Region VI (Western Visayas)</t>
        </is>
      </c>
      <c r="F370" s="26" t="inlineStr">
        <is>
          <t>Antique</t>
        </is>
      </c>
      <c r="G370" s="26" t="inlineStr">
        <is>
          <t>Hamtic</t>
        </is>
      </c>
      <c r="H370" s="26" t="inlineStr">
        <is>
          <t>Suloc</t>
        </is>
      </c>
      <c r="I370" s="27" t="n">
        <v>10.663987</v>
      </c>
      <c r="J370" s="27" t="n">
        <v>122.000352</v>
      </c>
      <c r="K370" s="10" t="inlineStr">
        <is>
          <t>R</t>
        </is>
      </c>
      <c r="L370" s="12" t="n">
        <v>125</v>
      </c>
      <c r="M370" s="14" t="n">
        <v>3.9</v>
      </c>
      <c r="N370" s="12">
        <f>ROUND(L370/M370, 0)</f>
        <v/>
      </c>
      <c r="O370" s="12">
        <f>ROUND(N370*'Methodology &amp; Assumptions'!$B$5, 0)</f>
        <v/>
      </c>
      <c r="P370" s="10" t="inlineStr">
        <is>
          <t>Single Carrier (Band n50, 100MHz TDD)</t>
        </is>
      </c>
      <c r="Q370" s="13">
        <f>ROUNDUP(O370/'Methodology &amp; Assumptions'!$B$6, 0)</f>
        <v/>
      </c>
      <c r="R370" s="13" t="n">
        <v>1</v>
      </c>
      <c r="S370" s="14" t="n">
        <v>12.88</v>
      </c>
      <c r="T370" s="14" t="n">
        <v>2.21</v>
      </c>
      <c r="U370" s="26">
        <f>IF(X370&gt;='Methodology &amp; Assumptions'!$B$7, "Tier 1 Critical GIDA (Score ≥ 50.0)", IF(X370&gt;='Methodology &amp; Assumptions'!$B$8, "Tier 2 High GIDA (Score 40.0–49.9)", "Tier 3 Moderate GIDA (Score &lt; 40.0)"))</f>
        <v/>
      </c>
      <c r="V370" s="26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W370" s="28" t="n">
        <v>0.237</v>
      </c>
      <c r="X370" s="14" t="n">
        <v>48.91</v>
      </c>
      <c r="Y370" s="14">
        <f>ROUND(MIN(100, (X370/69.91)*100), 2)</f>
        <v/>
      </c>
    </row>
    <row r="371">
      <c r="A371" s="10" t="n">
        <v>3</v>
      </c>
      <c r="B371" s="10" t="n">
        <v>367</v>
      </c>
      <c r="C371" s="10" t="n">
        <v>2367</v>
      </c>
      <c r="D371" s="10" t="inlineStr">
        <is>
          <t>PH0002367</t>
        </is>
      </c>
      <c r="E371" s="26" t="inlineStr">
        <is>
          <t>NCR</t>
        </is>
      </c>
      <c r="F371" s="26" t="inlineStr">
        <is>
          <t>Metro Manila</t>
        </is>
      </c>
      <c r="G371" s="26" t="inlineStr">
        <is>
          <t>Caloocan City</t>
        </is>
      </c>
      <c r="H371" s="26" t="inlineStr">
        <is>
          <t>Barangay 154</t>
        </is>
      </c>
      <c r="I371" s="27" t="n">
        <v>13.577925</v>
      </c>
      <c r="J371" s="27" t="n">
        <v>123.014573</v>
      </c>
      <c r="K371" s="10" t="inlineStr">
        <is>
          <t>R</t>
        </is>
      </c>
      <c r="L371" s="12" t="n">
        <v>2279</v>
      </c>
      <c r="M371" s="14" t="n">
        <v>3.8</v>
      </c>
      <c r="N371" s="12">
        <f>ROUND(L371/M371, 0)</f>
        <v/>
      </c>
      <c r="O371" s="12">
        <f>ROUND(N371*'Methodology &amp; Assumptions'!$B$5, 0)</f>
        <v/>
      </c>
      <c r="P371" s="10" t="inlineStr">
        <is>
          <t>Single Carrier (Band n50, 100MHz TDD)</t>
        </is>
      </c>
      <c r="Q371" s="13">
        <f>ROUNDUP(O371/'Methodology &amp; Assumptions'!$B$6, 0)</f>
        <v/>
      </c>
      <c r="R371" s="13" t="n">
        <v>1</v>
      </c>
      <c r="S371" s="14" t="n">
        <v>5.54</v>
      </c>
      <c r="T371" s="14" t="n">
        <v>4.83</v>
      </c>
      <c r="U371" s="26">
        <f>IF(X371&gt;='Methodology &amp; Assumptions'!$B$7, "Tier 1 Critical GIDA (Score ≥ 50.0)", IF(X371&gt;='Methodology &amp; Assumptions'!$B$8, "Tier 2 High GIDA (Score 40.0–49.9)", "Tier 3 Moderate GIDA (Score &lt; 40.0)"))</f>
        <v/>
      </c>
      <c r="V371" s="26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W371" s="28" t="n">
        <v>0.011</v>
      </c>
      <c r="X371" s="14" t="n">
        <v>48.91</v>
      </c>
      <c r="Y371" s="14">
        <f>ROUND(MIN(100, (X371/69.91)*100), 2)</f>
        <v/>
      </c>
    </row>
    <row r="372">
      <c r="A372" s="10" t="n">
        <v>3</v>
      </c>
      <c r="B372" s="10" t="n">
        <v>368</v>
      </c>
      <c r="C372" s="10" t="n">
        <v>2368</v>
      </c>
      <c r="D372" s="10" t="inlineStr">
        <is>
          <t>1381100007</t>
        </is>
      </c>
      <c r="E372" s="26" t="inlineStr">
        <is>
          <t>National Capital Region (NCR)</t>
        </is>
      </c>
      <c r="F372" s="26" t="inlineStr">
        <is>
          <t>Fourth District (Not a Province)</t>
        </is>
      </c>
      <c r="G372" s="26" t="inlineStr">
        <is>
          <t>Pasay City</t>
        </is>
      </c>
      <c r="H372" s="26" t="inlineStr">
        <is>
          <t>Barangay 7</t>
        </is>
      </c>
      <c r="I372" s="27" t="n">
        <v>14.567792</v>
      </c>
      <c r="J372" s="27" t="n">
        <v>120.846259</v>
      </c>
      <c r="K372" s="10" t="inlineStr">
        <is>
          <t>U</t>
        </is>
      </c>
      <c r="L372" s="12" t="n">
        <v>2752</v>
      </c>
      <c r="M372" s="14" t="n">
        <v>3.4</v>
      </c>
      <c r="N372" s="12">
        <f>ROUND(L372/M372, 0)</f>
        <v/>
      </c>
      <c r="O372" s="12">
        <f>ROUND(N372*'Methodology &amp; Assumptions'!$B$5, 0)</f>
        <v/>
      </c>
      <c r="P372" s="10" t="inlineStr">
        <is>
          <t>Single Carrier (Band n50, 100MHz TDD)</t>
        </is>
      </c>
      <c r="Q372" s="13">
        <f>ROUNDUP(O372/'Methodology &amp; Assumptions'!$B$6, 0)</f>
        <v/>
      </c>
      <c r="R372" s="13" t="n">
        <v>1</v>
      </c>
      <c r="S372" s="14" t="n">
        <v>11.26</v>
      </c>
      <c r="T372" s="14" t="n">
        <v>13.88</v>
      </c>
      <c r="U372" s="26">
        <f>IF(X372&gt;='Methodology &amp; Assumptions'!$B$7, "Tier 1 Critical GIDA (Score ≥ 50.0)", IF(X372&gt;='Methodology &amp; Assumptions'!$B$8, "Tier 2 High GIDA (Score 40.0–49.9)", "Tier 3 Moderate GIDA (Score &lt; 40.0)"))</f>
        <v/>
      </c>
      <c r="V372" s="26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W372" s="28" t="n">
        <v>0.109</v>
      </c>
      <c r="X372" s="14" t="n">
        <v>48.91</v>
      </c>
      <c r="Y372" s="14">
        <f>ROUND(MIN(100, (X372/69.91)*100), 2)</f>
        <v/>
      </c>
    </row>
    <row r="373">
      <c r="A373" s="10" t="n">
        <v>3</v>
      </c>
      <c r="B373" s="10" t="n">
        <v>369</v>
      </c>
      <c r="C373" s="10" t="n">
        <v>2369</v>
      </c>
      <c r="D373" s="10" t="inlineStr">
        <is>
          <t>PH0002369</t>
        </is>
      </c>
      <c r="E373" s="26" t="inlineStr">
        <is>
          <t>NCR</t>
        </is>
      </c>
      <c r="F373" s="26" t="inlineStr">
        <is>
          <t>Metro Manila</t>
        </is>
      </c>
      <c r="G373" s="26" t="inlineStr">
        <is>
          <t>Caloocan City</t>
        </is>
      </c>
      <c r="H373" s="26" t="inlineStr">
        <is>
          <t>Barangay 118</t>
        </is>
      </c>
      <c r="I373" s="27" t="n">
        <v>11.546595</v>
      </c>
      <c r="J373" s="27" t="n">
        <v>121.342825</v>
      </c>
      <c r="K373" s="10" t="inlineStr">
        <is>
          <t>R</t>
        </is>
      </c>
      <c r="L373" s="12" t="n">
        <v>2279</v>
      </c>
      <c r="M373" s="14" t="n">
        <v>3.8</v>
      </c>
      <c r="N373" s="12">
        <f>ROUND(L373/M373, 0)</f>
        <v/>
      </c>
      <c r="O373" s="12">
        <f>ROUND(N373*'Methodology &amp; Assumptions'!$B$5, 0)</f>
        <v/>
      </c>
      <c r="P373" s="10" t="inlineStr">
        <is>
          <t>Single Carrier (Band n50, 100MHz TDD)</t>
        </is>
      </c>
      <c r="Q373" s="13">
        <f>ROUNDUP(O373/'Methodology &amp; Assumptions'!$B$6, 0)</f>
        <v/>
      </c>
      <c r="R373" s="13" t="n">
        <v>1</v>
      </c>
      <c r="S373" s="14" t="n">
        <v>79.40000000000001</v>
      </c>
      <c r="T373" s="14" t="n">
        <v>78.18000000000001</v>
      </c>
      <c r="U373" s="26">
        <f>IF(X373&gt;='Methodology &amp; Assumptions'!$B$7, "Tier 1 Critical GIDA (Score ≥ 50.0)", IF(X373&gt;='Methodology &amp; Assumptions'!$B$8, "Tier 2 High GIDA (Score 40.0–49.9)", "Tier 3 Moderate GIDA (Score &lt; 40.0)"))</f>
        <v/>
      </c>
      <c r="V373" s="26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W373" s="28" t="n">
        <v>0.011</v>
      </c>
      <c r="X373" s="14" t="n">
        <v>48.91</v>
      </c>
      <c r="Y373" s="14">
        <f>ROUND(MIN(100, (X373/69.91)*100), 2)</f>
        <v/>
      </c>
    </row>
    <row r="374">
      <c r="A374" s="10" t="n">
        <v>3</v>
      </c>
      <c r="B374" s="10" t="n">
        <v>370</v>
      </c>
      <c r="C374" s="10" t="n">
        <v>2370</v>
      </c>
      <c r="D374" s="10" t="inlineStr">
        <is>
          <t>0402118061</t>
        </is>
      </c>
      <c r="E374" s="26" t="inlineStr">
        <is>
          <t>Region IV-A (CALABARZON)</t>
        </is>
      </c>
      <c r="F374" s="26" t="inlineStr">
        <is>
          <t>Cavite</t>
        </is>
      </c>
      <c r="G374" s="26" t="inlineStr">
        <is>
          <t>Silang</t>
        </is>
      </c>
      <c r="H374" s="26" t="inlineStr">
        <is>
          <t>Narra III</t>
        </is>
      </c>
      <c r="I374" s="27" t="n">
        <v>14.216686</v>
      </c>
      <c r="J374" s="27" t="n">
        <v>120.989353</v>
      </c>
      <c r="K374" s="10" t="inlineStr">
        <is>
          <t>R</t>
        </is>
      </c>
      <c r="L374" s="12" t="n">
        <v>3393</v>
      </c>
      <c r="M374" s="14" t="n">
        <v>3.4</v>
      </c>
      <c r="N374" s="12">
        <f>ROUND(L374/M374, 0)</f>
        <v/>
      </c>
      <c r="O374" s="12">
        <f>ROUND(N374*'Methodology &amp; Assumptions'!$B$5, 0)</f>
        <v/>
      </c>
      <c r="P374" s="10" t="inlineStr">
        <is>
          <t>Single Carrier (Band n50, 100MHz TDD)</t>
        </is>
      </c>
      <c r="Q374" s="13">
        <f>ROUNDUP(O374/'Methodology &amp; Assumptions'!$B$6, 0)</f>
        <v/>
      </c>
      <c r="R374" s="13" t="n">
        <v>1</v>
      </c>
      <c r="S374" s="14" t="n">
        <v>4.08</v>
      </c>
      <c r="T374" s="14" t="n">
        <v>1.74</v>
      </c>
      <c r="U374" s="26">
        <f>IF(X374&gt;='Methodology &amp; Assumptions'!$B$7, "Tier 1 Critical GIDA (Score ≥ 50.0)", IF(X374&gt;='Methodology &amp; Assumptions'!$B$8, "Tier 2 High GIDA (Score 40.0–49.9)", "Tier 3 Moderate GIDA (Score &lt; 40.0)"))</f>
        <v/>
      </c>
      <c r="V374" s="26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W374" s="28" t="n">
        <v>0.07200000000000001</v>
      </c>
      <c r="X374" s="14" t="n">
        <v>48.9</v>
      </c>
      <c r="Y374" s="14">
        <f>ROUND(MIN(100, (X374/69.91)*100), 2)</f>
        <v/>
      </c>
    </row>
    <row r="375">
      <c r="A375" s="10" t="n">
        <v>3</v>
      </c>
      <c r="B375" s="10" t="n">
        <v>371</v>
      </c>
      <c r="C375" s="10" t="n">
        <v>2371</v>
      </c>
      <c r="D375" s="10" t="inlineStr">
        <is>
          <t>PH0002371</t>
        </is>
      </c>
      <c r="E375" s="26" t="inlineStr">
        <is>
          <t>NCR</t>
        </is>
      </c>
      <c r="F375" s="26" t="inlineStr">
        <is>
          <t>Metro Manila</t>
        </is>
      </c>
      <c r="G375" s="26" t="inlineStr">
        <is>
          <t>Caloocan City</t>
        </is>
      </c>
      <c r="H375" s="26" t="inlineStr">
        <is>
          <t>Barangay 13</t>
        </is>
      </c>
      <c r="I375" s="27" t="n">
        <v>14.147759</v>
      </c>
      <c r="J375" s="27" t="n">
        <v>121.167433</v>
      </c>
      <c r="K375" s="10" t="inlineStr">
        <is>
          <t>R</t>
        </is>
      </c>
      <c r="L375" s="12" t="n">
        <v>2279</v>
      </c>
      <c r="M375" s="14" t="n">
        <v>3.8</v>
      </c>
      <c r="N375" s="12">
        <f>ROUND(L375/M375, 0)</f>
        <v/>
      </c>
      <c r="O375" s="12">
        <f>ROUND(N375*'Methodology &amp; Assumptions'!$B$5, 0)</f>
        <v/>
      </c>
      <c r="P375" s="10" t="inlineStr">
        <is>
          <t>Single Carrier (Band n50, 100MHz TDD)</t>
        </is>
      </c>
      <c r="Q375" s="13">
        <f>ROUNDUP(O375/'Methodology &amp; Assumptions'!$B$6, 0)</f>
        <v/>
      </c>
      <c r="R375" s="13" t="n">
        <v>1</v>
      </c>
      <c r="S375" s="14" t="n">
        <v>5.96</v>
      </c>
      <c r="T375" s="14" t="n">
        <v>3.4</v>
      </c>
      <c r="U375" s="26">
        <f>IF(X375&gt;='Methodology &amp; Assumptions'!$B$7, "Tier 1 Critical GIDA (Score ≥ 50.0)", IF(X375&gt;='Methodology &amp; Assumptions'!$B$8, "Tier 2 High GIDA (Score 40.0–49.9)", "Tier 3 Moderate GIDA (Score &lt; 40.0)"))</f>
        <v/>
      </c>
      <c r="V375" s="26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W375" s="28" t="n">
        <v>0.011</v>
      </c>
      <c r="X375" s="14" t="n">
        <v>48.9</v>
      </c>
      <c r="Y375" s="14">
        <f>ROUND(MIN(100, (X375/69.91)*100), 2)</f>
        <v/>
      </c>
    </row>
    <row r="376">
      <c r="A376" s="10" t="n">
        <v>3</v>
      </c>
      <c r="B376" s="10" t="n">
        <v>372</v>
      </c>
      <c r="C376" s="10" t="n">
        <v>2372</v>
      </c>
      <c r="D376" s="10" t="inlineStr">
        <is>
          <t>1381100179</t>
        </is>
      </c>
      <c r="E376" s="26" t="inlineStr">
        <is>
          <t>National Capital Region (NCR)</t>
        </is>
      </c>
      <c r="F376" s="26" t="inlineStr">
        <is>
          <t>Fourth District (Not a Province)</t>
        </is>
      </c>
      <c r="G376" s="26" t="inlineStr">
        <is>
          <t>Pasay City</t>
        </is>
      </c>
      <c r="H376" s="26" t="inlineStr">
        <is>
          <t>Barangay 179</t>
        </is>
      </c>
      <c r="I376" s="27" t="n">
        <v>14.535583</v>
      </c>
      <c r="J376" s="27" t="n">
        <v>120.998283</v>
      </c>
      <c r="K376" s="10" t="inlineStr">
        <is>
          <t>U</t>
        </is>
      </c>
      <c r="L376" s="12" t="n">
        <v>6882</v>
      </c>
      <c r="M376" s="14" t="n">
        <v>3.4</v>
      </c>
      <c r="N376" s="12">
        <f>ROUND(L376/M376, 0)</f>
        <v/>
      </c>
      <c r="O376" s="12">
        <f>ROUND(N376*'Methodology &amp; Assumptions'!$B$5, 0)</f>
        <v/>
      </c>
      <c r="P376" s="10" t="inlineStr">
        <is>
          <t>Single Carrier (Band n50, 100MHz TDD)</t>
        </is>
      </c>
      <c r="Q376" s="13">
        <f>ROUNDUP(O376/'Methodology &amp; Assumptions'!$B$6, 0)</f>
        <v/>
      </c>
      <c r="R376" s="13" t="n">
        <v>1</v>
      </c>
      <c r="S376" s="14" t="n">
        <v>0.86</v>
      </c>
      <c r="T376" s="14" t="n">
        <v>0.22</v>
      </c>
      <c r="U376" s="26">
        <f>IF(X376&gt;='Methodology &amp; Assumptions'!$B$7, "Tier 1 Critical GIDA (Score ≥ 50.0)", IF(X376&gt;='Methodology &amp; Assumptions'!$B$8, "Tier 2 High GIDA (Score 40.0–49.9)", "Tier 3 Moderate GIDA (Score &lt; 40.0)"))</f>
        <v/>
      </c>
      <c r="V376" s="26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W376" s="28" t="n">
        <v>0.109</v>
      </c>
      <c r="X376" s="14" t="n">
        <v>48.9</v>
      </c>
      <c r="Y376" s="14">
        <f>ROUND(MIN(100, (X376/69.91)*100), 2)</f>
        <v/>
      </c>
    </row>
    <row r="377">
      <c r="A377" s="10" t="n">
        <v>3</v>
      </c>
      <c r="B377" s="10" t="n">
        <v>373</v>
      </c>
      <c r="C377" s="10" t="n">
        <v>2373</v>
      </c>
      <c r="D377" s="10" t="inlineStr">
        <is>
          <t>PH0002373</t>
        </is>
      </c>
      <c r="E377" s="26" t="inlineStr">
        <is>
          <t>NCR</t>
        </is>
      </c>
      <c r="F377" s="26" t="inlineStr">
        <is>
          <t>Metro Manila</t>
        </is>
      </c>
      <c r="G377" s="26" t="inlineStr">
        <is>
          <t>Caloocan City</t>
        </is>
      </c>
      <c r="H377" s="26" t="inlineStr">
        <is>
          <t>Barangay 26</t>
        </is>
      </c>
      <c r="I377" s="27" t="n">
        <v>12.343752</v>
      </c>
      <c r="J377" s="27" t="n">
        <v>123.101286</v>
      </c>
      <c r="K377" s="10" t="inlineStr">
        <is>
          <t>R</t>
        </is>
      </c>
      <c r="L377" s="12" t="n">
        <v>2279</v>
      </c>
      <c r="M377" s="14" t="n">
        <v>3.8</v>
      </c>
      <c r="N377" s="12">
        <f>ROUND(L377/M377, 0)</f>
        <v/>
      </c>
      <c r="O377" s="12">
        <f>ROUND(N377*'Methodology &amp; Assumptions'!$B$5, 0)</f>
        <v/>
      </c>
      <c r="P377" s="10" t="inlineStr">
        <is>
          <t>Single Carrier (Band n50, 100MHz TDD)</t>
        </is>
      </c>
      <c r="Q377" s="13">
        <f>ROUNDUP(O377/'Methodology &amp; Assumptions'!$B$6, 0)</f>
        <v/>
      </c>
      <c r="R377" s="13" t="n">
        <v>1</v>
      </c>
      <c r="S377" s="14" t="n">
        <v>24.34</v>
      </c>
      <c r="T377" s="14" t="n">
        <v>41.07</v>
      </c>
      <c r="U377" s="26">
        <f>IF(X377&gt;='Methodology &amp; Assumptions'!$B$7, "Tier 1 Critical GIDA (Score ≥ 50.0)", IF(X377&gt;='Methodology &amp; Assumptions'!$B$8, "Tier 2 High GIDA (Score 40.0–49.9)", "Tier 3 Moderate GIDA (Score &lt; 40.0)"))</f>
        <v/>
      </c>
      <c r="V377" s="26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W377" s="28" t="n">
        <v>0.011</v>
      </c>
      <c r="X377" s="14" t="n">
        <v>48.9</v>
      </c>
      <c r="Y377" s="14">
        <f>ROUND(MIN(100, (X377/69.91)*100), 2)</f>
        <v/>
      </c>
    </row>
    <row r="378">
      <c r="A378" s="10" t="n">
        <v>3</v>
      </c>
      <c r="B378" s="10" t="n">
        <v>374</v>
      </c>
      <c r="C378" s="10" t="n">
        <v>2374</v>
      </c>
      <c r="D378" s="10" t="inlineStr">
        <is>
          <t>PH0002374</t>
        </is>
      </c>
      <c r="E378" s="26" t="inlineStr">
        <is>
          <t>NCR</t>
        </is>
      </c>
      <c r="F378" s="26" t="inlineStr">
        <is>
          <t>Metro Manila</t>
        </is>
      </c>
      <c r="G378" s="26" t="inlineStr">
        <is>
          <t>Caloocan City</t>
        </is>
      </c>
      <c r="H378" s="26" t="inlineStr">
        <is>
          <t>Barangay 15</t>
        </is>
      </c>
      <c r="I378" s="27" t="n">
        <v>12.40024</v>
      </c>
      <c r="J378" s="27" t="n">
        <v>120.422695</v>
      </c>
      <c r="K378" s="10" t="inlineStr">
        <is>
          <t>R</t>
        </is>
      </c>
      <c r="L378" s="12" t="n">
        <v>2279</v>
      </c>
      <c r="M378" s="14" t="n">
        <v>3.8</v>
      </c>
      <c r="N378" s="12">
        <f>ROUND(L378/M378, 0)</f>
        <v/>
      </c>
      <c r="O378" s="12">
        <f>ROUND(N378*'Methodology &amp; Assumptions'!$B$5, 0)</f>
        <v/>
      </c>
      <c r="P378" s="10" t="inlineStr">
        <is>
          <t>Single Carrier (Band n50, 100MHz TDD)</t>
        </is>
      </c>
      <c r="Q378" s="13">
        <f>ROUNDUP(O378/'Methodology &amp; Assumptions'!$B$6, 0)</f>
        <v/>
      </c>
      <c r="R378" s="13" t="n">
        <v>1</v>
      </c>
      <c r="S378" s="14" t="n">
        <v>47.99</v>
      </c>
      <c r="T378" s="14" t="n">
        <v>69.18000000000001</v>
      </c>
      <c r="U378" s="26">
        <f>IF(X378&gt;='Methodology &amp; Assumptions'!$B$7, "Tier 1 Critical GIDA (Score ≥ 50.0)", IF(X378&gt;='Methodology &amp; Assumptions'!$B$8, "Tier 2 High GIDA (Score 40.0–49.9)", "Tier 3 Moderate GIDA (Score &lt; 40.0)"))</f>
        <v/>
      </c>
      <c r="V378" s="26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W378" s="28" t="n">
        <v>0.011</v>
      </c>
      <c r="X378" s="14" t="n">
        <v>48.9</v>
      </c>
      <c r="Y378" s="14">
        <f>ROUND(MIN(100, (X378/69.91)*100), 2)</f>
        <v/>
      </c>
    </row>
    <row r="379">
      <c r="A379" s="10" t="n">
        <v>3</v>
      </c>
      <c r="B379" s="10" t="n">
        <v>375</v>
      </c>
      <c r="C379" s="10" t="n">
        <v>2375</v>
      </c>
      <c r="D379" s="10" t="inlineStr">
        <is>
          <t>1102505004</t>
        </is>
      </c>
      <c r="E379" s="26" t="inlineStr">
        <is>
          <t>Region XI (Davao Region)</t>
        </is>
      </c>
      <c r="F379" s="26" t="inlineStr">
        <is>
          <t>Davao Oriental</t>
        </is>
      </c>
      <c r="G379" s="26" t="inlineStr">
        <is>
          <t>Cateel</t>
        </is>
      </c>
      <c r="H379" s="26" t="inlineStr">
        <is>
          <t>Aragon</t>
        </is>
      </c>
      <c r="I379" s="27" t="n">
        <v>7.765538</v>
      </c>
      <c r="J379" s="27" t="n">
        <v>126.366946</v>
      </c>
      <c r="K379" s="10" t="inlineStr">
        <is>
          <t>R</t>
        </is>
      </c>
      <c r="L379" s="12" t="n">
        <v>2252</v>
      </c>
      <c r="M379" s="14" t="n">
        <v>3.6</v>
      </c>
      <c r="N379" s="12">
        <f>ROUND(L379/M379, 0)</f>
        <v/>
      </c>
      <c r="O379" s="12">
        <f>ROUND(N379*'Methodology &amp; Assumptions'!$B$5, 0)</f>
        <v/>
      </c>
      <c r="P379" s="10" t="inlineStr">
        <is>
          <t>Single Carrier (Band n50, 100MHz TDD)</t>
        </is>
      </c>
      <c r="Q379" s="13">
        <f>ROUNDUP(O379/'Methodology &amp; Assumptions'!$B$6, 0)</f>
        <v/>
      </c>
      <c r="R379" s="13" t="n">
        <v>1</v>
      </c>
      <c r="S379" s="14" t="n">
        <v>34.92</v>
      </c>
      <c r="T379" s="14" t="n">
        <v>33.88</v>
      </c>
      <c r="U379" s="26">
        <f>IF(X379&gt;='Methodology &amp; Assumptions'!$B$7, "Tier 1 Critical GIDA (Score ≥ 50.0)", IF(X379&gt;='Methodology &amp; Assumptions'!$B$8, "Tier 2 High GIDA (Score 40.0–49.9)", "Tier 3 Moderate GIDA (Score &lt; 40.0)"))</f>
        <v/>
      </c>
      <c r="V379" s="26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W379" s="28" t="n">
        <v>0.174</v>
      </c>
      <c r="X379" s="14" t="n">
        <v>48.9</v>
      </c>
      <c r="Y379" s="14">
        <f>ROUND(MIN(100, (X379/69.91)*100), 2)</f>
        <v/>
      </c>
    </row>
    <row r="380">
      <c r="A380" s="10" t="n">
        <v>3</v>
      </c>
      <c r="B380" s="10" t="n">
        <v>376</v>
      </c>
      <c r="C380" s="10" t="n">
        <v>2376</v>
      </c>
      <c r="D380" s="10" t="inlineStr">
        <is>
          <t>1380606168</t>
        </is>
      </c>
      <c r="E380" s="26" t="inlineStr">
        <is>
          <t>National Capital Region (NCR)</t>
        </is>
      </c>
      <c r="F380" s="26" t="inlineStr">
        <is>
          <t>First District (Not a Province)</t>
        </is>
      </c>
      <c r="G380" s="26" t="inlineStr">
        <is>
          <t>City of Manila</t>
        </is>
      </c>
      <c r="H380" s="26" t="inlineStr">
        <is>
          <t>Barangay 562</t>
        </is>
      </c>
      <c r="I380" s="27" t="n">
        <v>12.360329</v>
      </c>
      <c r="J380" s="27" t="n">
        <v>121.139063</v>
      </c>
      <c r="K380" s="10" t="inlineStr">
        <is>
          <t>U</t>
        </is>
      </c>
      <c r="L380" s="12" t="n">
        <v>2661</v>
      </c>
      <c r="M380" s="14" t="n">
        <v>3.9</v>
      </c>
      <c r="N380" s="12">
        <f>ROUND(L380/M380, 0)</f>
        <v/>
      </c>
      <c r="O380" s="12">
        <f>ROUND(N380*'Methodology &amp; Assumptions'!$B$5, 0)</f>
        <v/>
      </c>
      <c r="P380" s="10" t="inlineStr">
        <is>
          <t>Single Carrier (Band n50, 100MHz TDD)</t>
        </is>
      </c>
      <c r="Q380" s="13">
        <f>ROUNDUP(O380/'Methodology &amp; Assumptions'!$B$6, 0)</f>
        <v/>
      </c>
      <c r="R380" s="13" t="n">
        <v>1</v>
      </c>
      <c r="S380" s="14" t="n">
        <v>5.83</v>
      </c>
      <c r="T380" s="14" t="n">
        <v>1.33</v>
      </c>
      <c r="U380" s="26">
        <f>IF(X380&gt;='Methodology &amp; Assumptions'!$B$7, "Tier 1 Critical GIDA (Score ≥ 50.0)", IF(X380&gt;='Methodology &amp; Assumptions'!$B$8, "Tier 2 High GIDA (Score 40.0–49.9)", "Tier 3 Moderate GIDA (Score &lt; 40.0)"))</f>
        <v/>
      </c>
      <c r="V380" s="26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W380" s="28" t="n">
        <v>0.109</v>
      </c>
      <c r="X380" s="14" t="n">
        <v>48.89</v>
      </c>
      <c r="Y380" s="14">
        <f>ROUND(MIN(100, (X380/69.91)*100), 2)</f>
        <v/>
      </c>
    </row>
    <row r="381">
      <c r="A381" s="10" t="n">
        <v>3</v>
      </c>
      <c r="B381" s="10" t="n">
        <v>377</v>
      </c>
      <c r="C381" s="10" t="n">
        <v>2377</v>
      </c>
      <c r="D381" s="10" t="inlineStr">
        <is>
          <t>1380606191</t>
        </is>
      </c>
      <c r="E381" s="26" t="inlineStr">
        <is>
          <t>National Capital Region (NCR)</t>
        </is>
      </c>
      <c r="F381" s="26" t="inlineStr">
        <is>
          <t>First District (Not a Province)</t>
        </is>
      </c>
      <c r="G381" s="26" t="inlineStr">
        <is>
          <t>City of Manila</t>
        </is>
      </c>
      <c r="H381" s="26" t="inlineStr">
        <is>
          <t>Barangay 585</t>
        </is>
      </c>
      <c r="I381" s="27" t="n">
        <v>13.682123</v>
      </c>
      <c r="J381" s="27" t="n">
        <v>121.882367</v>
      </c>
      <c r="K381" s="10" t="inlineStr">
        <is>
          <t>U</t>
        </is>
      </c>
      <c r="L381" s="12" t="n">
        <v>1123</v>
      </c>
      <c r="M381" s="14" t="n">
        <v>3.9</v>
      </c>
      <c r="N381" s="12">
        <f>ROUND(L381/M381, 0)</f>
        <v/>
      </c>
      <c r="O381" s="12">
        <f>ROUND(N381*'Methodology &amp; Assumptions'!$B$5, 0)</f>
        <v/>
      </c>
      <c r="P381" s="10" t="inlineStr">
        <is>
          <t>Single Carrier (Band n50, 100MHz TDD)</t>
        </is>
      </c>
      <c r="Q381" s="13">
        <f>ROUNDUP(O381/'Methodology &amp; Assumptions'!$B$6, 0)</f>
        <v/>
      </c>
      <c r="R381" s="13" t="n">
        <v>1</v>
      </c>
      <c r="S381" s="14" t="n">
        <v>20.34</v>
      </c>
      <c r="T381" s="14" t="n">
        <v>19.89</v>
      </c>
      <c r="U381" s="26">
        <f>IF(X381&gt;='Methodology &amp; Assumptions'!$B$7, "Tier 1 Critical GIDA (Score ≥ 50.0)", IF(X381&gt;='Methodology &amp; Assumptions'!$B$8, "Tier 2 High GIDA (Score 40.0–49.9)", "Tier 3 Moderate GIDA (Score &lt; 40.0)"))</f>
        <v/>
      </c>
      <c r="V381" s="26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W381" s="28" t="n">
        <v>0.109</v>
      </c>
      <c r="X381" s="14" t="n">
        <v>48.88</v>
      </c>
      <c r="Y381" s="14">
        <f>ROUND(MIN(100, (X381/69.91)*100), 2)</f>
        <v/>
      </c>
    </row>
    <row r="382">
      <c r="A382" s="10" t="n">
        <v>3</v>
      </c>
      <c r="B382" s="10" t="n">
        <v>378</v>
      </c>
      <c r="C382" s="10" t="n">
        <v>2378</v>
      </c>
      <c r="D382" s="10" t="inlineStr">
        <is>
          <t>PH0002378</t>
        </is>
      </c>
      <c r="E382" s="26" t="inlineStr">
        <is>
          <t>NCR</t>
        </is>
      </c>
      <c r="F382" s="26" t="inlineStr">
        <is>
          <t>Metro Manila</t>
        </is>
      </c>
      <c r="G382" s="26" t="inlineStr">
        <is>
          <t>Caloocan City</t>
        </is>
      </c>
      <c r="H382" s="26" t="inlineStr">
        <is>
          <t>Barangay 91</t>
        </is>
      </c>
      <c r="I382" s="27" t="n">
        <v>14.124352</v>
      </c>
      <c r="J382" s="27" t="n">
        <v>122.438647</v>
      </c>
      <c r="K382" s="10" t="inlineStr">
        <is>
          <t>R</t>
        </is>
      </c>
      <c r="L382" s="12" t="n">
        <v>2279</v>
      </c>
      <c r="M382" s="14" t="n">
        <v>3.8</v>
      </c>
      <c r="N382" s="12">
        <f>ROUND(L382/M382, 0)</f>
        <v/>
      </c>
      <c r="O382" s="12">
        <f>ROUND(N382*'Methodology &amp; Assumptions'!$B$5, 0)</f>
        <v/>
      </c>
      <c r="P382" s="10" t="inlineStr">
        <is>
          <t>Single Carrier (Band n50, 100MHz TDD)</t>
        </is>
      </c>
      <c r="Q382" s="13">
        <f>ROUNDUP(O382/'Methodology &amp; Assumptions'!$B$6, 0)</f>
        <v/>
      </c>
      <c r="R382" s="13" t="n">
        <v>1</v>
      </c>
      <c r="S382" s="14" t="n">
        <v>7.81</v>
      </c>
      <c r="T382" s="14" t="n">
        <v>6.09</v>
      </c>
      <c r="U382" s="26">
        <f>IF(X382&gt;='Methodology &amp; Assumptions'!$B$7, "Tier 1 Critical GIDA (Score ≥ 50.0)", IF(X382&gt;='Methodology &amp; Assumptions'!$B$8, "Tier 2 High GIDA (Score 40.0–49.9)", "Tier 3 Moderate GIDA (Score &lt; 40.0)"))</f>
        <v/>
      </c>
      <c r="V382" s="26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W382" s="28" t="n">
        <v>0.011</v>
      </c>
      <c r="X382" s="14" t="n">
        <v>48.88</v>
      </c>
      <c r="Y382" s="14">
        <f>ROUND(MIN(100, (X382/69.91)*100), 2)</f>
        <v/>
      </c>
    </row>
    <row r="383">
      <c r="A383" s="10" t="n">
        <v>3</v>
      </c>
      <c r="B383" s="10" t="n">
        <v>379</v>
      </c>
      <c r="C383" s="10" t="n">
        <v>2379</v>
      </c>
      <c r="D383" s="10" t="inlineStr">
        <is>
          <t>1381100082</t>
        </is>
      </c>
      <c r="E383" s="26" t="inlineStr">
        <is>
          <t>National Capital Region (NCR)</t>
        </is>
      </c>
      <c r="F383" s="26" t="inlineStr">
        <is>
          <t>Fourth District (Not a Province)</t>
        </is>
      </c>
      <c r="G383" s="26" t="inlineStr">
        <is>
          <t>Pasay City</t>
        </is>
      </c>
      <c r="H383" s="26" t="inlineStr">
        <is>
          <t>Barangay 82</t>
        </is>
      </c>
      <c r="I383" s="27" t="n">
        <v>14.624796</v>
      </c>
      <c r="J383" s="27" t="n">
        <v>121.139732</v>
      </c>
      <c r="K383" s="10" t="inlineStr">
        <is>
          <t>U</t>
        </is>
      </c>
      <c r="L383" s="12" t="n">
        <v>570</v>
      </c>
      <c r="M383" s="14" t="n">
        <v>3.4</v>
      </c>
      <c r="N383" s="12">
        <f>ROUND(L383/M383, 0)</f>
        <v/>
      </c>
      <c r="O383" s="12">
        <f>ROUND(N383*'Methodology &amp; Assumptions'!$B$5, 0)</f>
        <v/>
      </c>
      <c r="P383" s="10" t="inlineStr">
        <is>
          <t>Single Carrier (Band n50, 100MHz TDD)</t>
        </is>
      </c>
      <c r="Q383" s="13">
        <f>ROUNDUP(O383/'Methodology &amp; Assumptions'!$B$6, 0)</f>
        <v/>
      </c>
      <c r="R383" s="13" t="n">
        <v>1</v>
      </c>
      <c r="S383" s="14" t="n">
        <v>1.85</v>
      </c>
      <c r="T383" s="14" t="n">
        <v>0.15</v>
      </c>
      <c r="U383" s="26">
        <f>IF(X383&gt;='Methodology &amp; Assumptions'!$B$7, "Tier 1 Critical GIDA (Score ≥ 50.0)", IF(X383&gt;='Methodology &amp; Assumptions'!$B$8, "Tier 2 High GIDA (Score 40.0–49.9)", "Tier 3 Moderate GIDA (Score &lt; 40.0)"))</f>
        <v/>
      </c>
      <c r="V383" s="26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W383" s="28" t="n">
        <v>0.109</v>
      </c>
      <c r="X383" s="14" t="n">
        <v>48.88</v>
      </c>
      <c r="Y383" s="14">
        <f>ROUND(MIN(100, (X383/69.91)*100), 2)</f>
        <v/>
      </c>
    </row>
    <row r="384">
      <c r="A384" s="10" t="n">
        <v>3</v>
      </c>
      <c r="B384" s="10" t="n">
        <v>380</v>
      </c>
      <c r="C384" s="10" t="n">
        <v>2380</v>
      </c>
      <c r="D384" s="10" t="inlineStr">
        <is>
          <t>0804814021</t>
        </is>
      </c>
      <c r="E384" s="26" t="inlineStr">
        <is>
          <t>Region VIII (Eastern Visayas)</t>
        </is>
      </c>
      <c r="F384" s="26" t="inlineStr">
        <is>
          <t>Northern Samar</t>
        </is>
      </c>
      <c r="G384" s="26" t="inlineStr">
        <is>
          <t>Palapag</t>
        </is>
      </c>
      <c r="H384" s="26" t="inlineStr">
        <is>
          <t>Nipa</t>
        </is>
      </c>
      <c r="I384" s="27" t="n">
        <v>12.572976</v>
      </c>
      <c r="J384" s="27" t="n">
        <v>125.150175</v>
      </c>
      <c r="K384" s="10" t="inlineStr">
        <is>
          <t>R</t>
        </is>
      </c>
      <c r="L384" s="12" t="n">
        <v>1295</v>
      </c>
      <c r="M384" s="14" t="n">
        <v>4.3</v>
      </c>
      <c r="N384" s="12">
        <f>ROUND(L384/M384, 0)</f>
        <v/>
      </c>
      <c r="O384" s="12">
        <f>ROUND(N384*'Methodology &amp; Assumptions'!$B$5, 0)</f>
        <v/>
      </c>
      <c r="P384" s="10" t="inlineStr">
        <is>
          <t>Single Carrier (Band n50, 100MHz TDD)</t>
        </is>
      </c>
      <c r="Q384" s="13">
        <f>ROUNDUP(O384/'Methodology &amp; Assumptions'!$B$6, 0)</f>
        <v/>
      </c>
      <c r="R384" s="13" t="n">
        <v>1</v>
      </c>
      <c r="S384" s="14" t="n">
        <v>112.04</v>
      </c>
      <c r="T384" s="14" t="n">
        <v>110.95</v>
      </c>
      <c r="U384" s="26">
        <f>IF(X384&gt;='Methodology &amp; Assumptions'!$B$7, "Tier 1 Critical GIDA (Score ≥ 50.0)", IF(X384&gt;='Methodology &amp; Assumptions'!$B$8, "Tier 2 High GIDA (Score 40.0–49.9)", "Tier 3 Moderate GIDA (Score &lt; 40.0)"))</f>
        <v/>
      </c>
      <c r="V384" s="26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W384" s="28" t="n">
        <v>0.237</v>
      </c>
      <c r="X384" s="14" t="n">
        <v>48.88</v>
      </c>
      <c r="Y384" s="14">
        <f>ROUND(MIN(100, (X384/69.91)*100), 2)</f>
        <v/>
      </c>
    </row>
    <row r="385">
      <c r="A385" s="10" t="n">
        <v>3</v>
      </c>
      <c r="B385" s="10" t="n">
        <v>381</v>
      </c>
      <c r="C385" s="10" t="n">
        <v>2381</v>
      </c>
      <c r="D385" s="10" t="inlineStr">
        <is>
          <t>1380605015</t>
        </is>
      </c>
      <c r="E385" s="26" t="inlineStr">
        <is>
          <t>National Capital Region (NCR)</t>
        </is>
      </c>
      <c r="F385" s="26" t="inlineStr">
        <is>
          <t>First District (Not a Province)</t>
        </is>
      </c>
      <c r="G385" s="26" t="inlineStr">
        <is>
          <t>City of Manila</t>
        </is>
      </c>
      <c r="H385" s="26" t="inlineStr">
        <is>
          <t>Barangay 313</t>
        </is>
      </c>
      <c r="I385" s="27" t="n">
        <v>12.215616</v>
      </c>
      <c r="J385" s="27" t="n">
        <v>122.250998</v>
      </c>
      <c r="K385" s="10" t="inlineStr">
        <is>
          <t>U</t>
        </is>
      </c>
      <c r="L385" s="12" t="n">
        <v>2934</v>
      </c>
      <c r="M385" s="14" t="n">
        <v>3.9</v>
      </c>
      <c r="N385" s="12">
        <f>ROUND(L385/M385, 0)</f>
        <v/>
      </c>
      <c r="O385" s="12">
        <f>ROUND(N385*'Methodology &amp; Assumptions'!$B$5, 0)</f>
        <v/>
      </c>
      <c r="P385" s="10" t="inlineStr">
        <is>
          <t>Single Carrier (Band n50, 100MHz TDD)</t>
        </is>
      </c>
      <c r="Q385" s="13">
        <f>ROUNDUP(O385/'Methodology &amp; Assumptions'!$B$6, 0)</f>
        <v/>
      </c>
      <c r="R385" s="13" t="n">
        <v>1</v>
      </c>
      <c r="S385" s="14" t="n">
        <v>44.55</v>
      </c>
      <c r="T385" s="14" t="n">
        <v>24.84</v>
      </c>
      <c r="U385" s="26">
        <f>IF(X385&gt;='Methodology &amp; Assumptions'!$B$7, "Tier 1 Critical GIDA (Score ≥ 50.0)", IF(X385&gt;='Methodology &amp; Assumptions'!$B$8, "Tier 2 High GIDA (Score 40.0–49.9)", "Tier 3 Moderate GIDA (Score &lt; 40.0)"))</f>
        <v/>
      </c>
      <c r="V385" s="26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W385" s="28" t="n">
        <v>0.109</v>
      </c>
      <c r="X385" s="14" t="n">
        <v>48.88</v>
      </c>
      <c r="Y385" s="14">
        <f>ROUND(MIN(100, (X385/69.91)*100), 2)</f>
        <v/>
      </c>
    </row>
    <row r="386">
      <c r="A386" s="10" t="n">
        <v>3</v>
      </c>
      <c r="B386" s="10" t="n">
        <v>382</v>
      </c>
      <c r="C386" s="10" t="n">
        <v>2382</v>
      </c>
      <c r="D386" s="10" t="inlineStr">
        <is>
          <t>PH0002382</t>
        </is>
      </c>
      <c r="E386" s="26" t="inlineStr">
        <is>
          <t>NCR</t>
        </is>
      </c>
      <c r="F386" s="26" t="inlineStr">
        <is>
          <t>Metro Manila</t>
        </is>
      </c>
      <c r="G386" s="26" t="inlineStr">
        <is>
          <t>Caloocan City</t>
        </is>
      </c>
      <c r="H386" s="26" t="inlineStr">
        <is>
          <t>Barangay 51</t>
        </is>
      </c>
      <c r="I386" s="27" t="n">
        <v>11.523011</v>
      </c>
      <c r="J386" s="27" t="n">
        <v>122.146906</v>
      </c>
      <c r="K386" s="10" t="inlineStr">
        <is>
          <t>R</t>
        </is>
      </c>
      <c r="L386" s="12" t="n">
        <v>2279</v>
      </c>
      <c r="M386" s="14" t="n">
        <v>3.8</v>
      </c>
      <c r="N386" s="12">
        <f>ROUND(L386/M386, 0)</f>
        <v/>
      </c>
      <c r="O386" s="12">
        <f>ROUND(N386*'Methodology &amp; Assumptions'!$B$5, 0)</f>
        <v/>
      </c>
      <c r="P386" s="10" t="inlineStr">
        <is>
          <t>Single Carrier (Band n50, 100MHz TDD)</t>
        </is>
      </c>
      <c r="Q386" s="13">
        <f>ROUNDUP(O386/'Methodology &amp; Assumptions'!$B$6, 0)</f>
        <v/>
      </c>
      <c r="R386" s="13" t="n">
        <v>1</v>
      </c>
      <c r="S386" s="14" t="n">
        <v>19.75</v>
      </c>
      <c r="T386" s="14" t="n">
        <v>23.87</v>
      </c>
      <c r="U386" s="26">
        <f>IF(X386&gt;='Methodology &amp; Assumptions'!$B$7, "Tier 1 Critical GIDA (Score ≥ 50.0)", IF(X386&gt;='Methodology &amp; Assumptions'!$B$8, "Tier 2 High GIDA (Score 40.0–49.9)", "Tier 3 Moderate GIDA (Score &lt; 40.0)"))</f>
        <v/>
      </c>
      <c r="V386" s="26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W386" s="28" t="n">
        <v>0.011</v>
      </c>
      <c r="X386" s="14" t="n">
        <v>48.87</v>
      </c>
      <c r="Y386" s="14">
        <f>ROUND(MIN(100, (X386/69.91)*100), 2)</f>
        <v/>
      </c>
    </row>
    <row r="387">
      <c r="A387" s="10" t="n">
        <v>3</v>
      </c>
      <c r="B387" s="10" t="n">
        <v>383</v>
      </c>
      <c r="C387" s="10" t="n">
        <v>2383</v>
      </c>
      <c r="D387" s="10" t="inlineStr">
        <is>
          <t>1381100020</t>
        </is>
      </c>
      <c r="E387" s="26" t="inlineStr">
        <is>
          <t>National Capital Region (NCR)</t>
        </is>
      </c>
      <c r="F387" s="26" t="inlineStr">
        <is>
          <t>Fourth District (Not a Province)</t>
        </is>
      </c>
      <c r="G387" s="26" t="inlineStr">
        <is>
          <t>Pasay City</t>
        </is>
      </c>
      <c r="H387" s="26" t="inlineStr">
        <is>
          <t>Barangay 20</t>
        </is>
      </c>
      <c r="I387" s="27" t="n">
        <v>14.388823</v>
      </c>
      <c r="J387" s="27" t="n">
        <v>120.96161</v>
      </c>
      <c r="K387" s="10" t="inlineStr">
        <is>
          <t>U</t>
        </is>
      </c>
      <c r="L387" s="12" t="n">
        <v>641</v>
      </c>
      <c r="M387" s="14" t="n">
        <v>3.4</v>
      </c>
      <c r="N387" s="12">
        <f>ROUND(L387/M387, 0)</f>
        <v/>
      </c>
      <c r="O387" s="12">
        <f>ROUND(N387*'Methodology &amp; Assumptions'!$B$5, 0)</f>
        <v/>
      </c>
      <c r="P387" s="10" t="inlineStr">
        <is>
          <t>Single Carrier (Band n50, 100MHz TDD)</t>
        </is>
      </c>
      <c r="Q387" s="13">
        <f>ROUNDUP(O387/'Methodology &amp; Assumptions'!$B$6, 0)</f>
        <v/>
      </c>
      <c r="R387" s="13" t="n">
        <v>1</v>
      </c>
      <c r="S387" s="14" t="n">
        <v>0.61</v>
      </c>
      <c r="T387" s="14" t="n">
        <v>6.35</v>
      </c>
      <c r="U387" s="26">
        <f>IF(X387&gt;='Methodology &amp; Assumptions'!$B$7, "Tier 1 Critical GIDA (Score ≥ 50.0)", IF(X387&gt;='Methodology &amp; Assumptions'!$B$8, "Tier 2 High GIDA (Score 40.0–49.9)", "Tier 3 Moderate GIDA (Score &lt; 40.0)"))</f>
        <v/>
      </c>
      <c r="V387" s="26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W387" s="28" t="n">
        <v>0.109</v>
      </c>
      <c r="X387" s="14" t="n">
        <v>48.87</v>
      </c>
      <c r="Y387" s="14">
        <f>ROUND(MIN(100, (X387/69.91)*100), 2)</f>
        <v/>
      </c>
    </row>
    <row r="388">
      <c r="A388" s="10" t="n">
        <v>3</v>
      </c>
      <c r="B388" s="10" t="n">
        <v>384</v>
      </c>
      <c r="C388" s="10" t="n">
        <v>2384</v>
      </c>
      <c r="D388" s="10" t="inlineStr">
        <is>
          <t>PH0002384</t>
        </is>
      </c>
      <c r="E388" s="26" t="inlineStr">
        <is>
          <t>XI</t>
        </is>
      </c>
      <c r="F388" s="26" t="inlineStr">
        <is>
          <t>Davao Del Sur</t>
        </is>
      </c>
      <c r="G388" s="26" t="inlineStr">
        <is>
          <t>Davao City</t>
        </is>
      </c>
      <c r="H388" s="26" t="inlineStr">
        <is>
          <t>Barangay 22-C (Pob.)</t>
        </is>
      </c>
      <c r="I388" s="27" t="n">
        <v>7.165331</v>
      </c>
      <c r="J388" s="27" t="n">
        <v>125.476088</v>
      </c>
      <c r="K388" s="10" t="inlineStr">
        <is>
          <t>R</t>
        </is>
      </c>
      <c r="L388" s="12" t="n">
        <v>2280</v>
      </c>
      <c r="M388" s="14" t="n">
        <v>3.4</v>
      </c>
      <c r="N388" s="12">
        <f>ROUND(L388/M388, 0)</f>
        <v/>
      </c>
      <c r="O388" s="12">
        <f>ROUND(N388*'Methodology &amp; Assumptions'!$B$5, 0)</f>
        <v/>
      </c>
      <c r="P388" s="10" t="inlineStr">
        <is>
          <t>Single Carrier (Band n50, 100MHz TDD)</t>
        </is>
      </c>
      <c r="Q388" s="13">
        <f>ROUNDUP(O388/'Methodology &amp; Assumptions'!$B$6, 0)</f>
        <v/>
      </c>
      <c r="R388" s="13" t="n">
        <v>1</v>
      </c>
      <c r="S388" s="14" t="n">
        <v>3.28</v>
      </c>
      <c r="T388" s="14" t="n">
        <v>0.27</v>
      </c>
      <c r="U388" s="26">
        <f>IF(X388&gt;='Methodology &amp; Assumptions'!$B$7, "Tier 1 Critical GIDA (Score ≥ 50.0)", IF(X388&gt;='Methodology &amp; Assumptions'!$B$8, "Tier 2 High GIDA (Score 40.0–49.9)", "Tier 3 Moderate GIDA (Score &lt; 40.0)"))</f>
        <v/>
      </c>
      <c r="V388" s="26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W388" s="28" t="n">
        <v>0.119</v>
      </c>
      <c r="X388" s="14" t="n">
        <v>48.87</v>
      </c>
      <c r="Y388" s="14">
        <f>ROUND(MIN(100, (X388/69.91)*100), 2)</f>
        <v/>
      </c>
    </row>
    <row r="389">
      <c r="A389" s="10" t="n">
        <v>3</v>
      </c>
      <c r="B389" s="10" t="n">
        <v>385</v>
      </c>
      <c r="C389" s="10" t="n">
        <v>2385</v>
      </c>
      <c r="D389" s="10" t="inlineStr">
        <is>
          <t>1380605085</t>
        </is>
      </c>
      <c r="E389" s="26" t="inlineStr">
        <is>
          <t>National Capital Region (NCR)</t>
        </is>
      </c>
      <c r="F389" s="26" t="inlineStr">
        <is>
          <t>First District (Not a Province)</t>
        </is>
      </c>
      <c r="G389" s="26" t="inlineStr">
        <is>
          <t>City of Manila</t>
        </is>
      </c>
      <c r="H389" s="26" t="inlineStr">
        <is>
          <t>Barangay 382</t>
        </is>
      </c>
      <c r="I389" s="27" t="n">
        <v>13.055459</v>
      </c>
      <c r="J389" s="27" t="n">
        <v>120.960741</v>
      </c>
      <c r="K389" s="10" t="inlineStr">
        <is>
          <t>U</t>
        </is>
      </c>
      <c r="L389" s="12" t="n">
        <v>923</v>
      </c>
      <c r="M389" s="14" t="n">
        <v>3.9</v>
      </c>
      <c r="N389" s="12">
        <f>ROUND(L389/M389, 0)</f>
        <v/>
      </c>
      <c r="O389" s="12">
        <f>ROUND(N389*'Methodology &amp; Assumptions'!$B$5, 0)</f>
        <v/>
      </c>
      <c r="P389" s="10" t="inlineStr">
        <is>
          <t>Single Carrier (Band n50, 100MHz TDD)</t>
        </is>
      </c>
      <c r="Q389" s="13">
        <f>ROUNDUP(O389/'Methodology &amp; Assumptions'!$B$6, 0)</f>
        <v/>
      </c>
      <c r="R389" s="13" t="n">
        <v>1</v>
      </c>
      <c r="S389" s="14" t="n">
        <v>36.74</v>
      </c>
      <c r="T389" s="14" t="n">
        <v>35.96</v>
      </c>
      <c r="U389" s="26">
        <f>IF(X389&gt;='Methodology &amp; Assumptions'!$B$7, "Tier 1 Critical GIDA (Score ≥ 50.0)", IF(X389&gt;='Methodology &amp; Assumptions'!$B$8, "Tier 2 High GIDA (Score 40.0–49.9)", "Tier 3 Moderate GIDA (Score &lt; 40.0)"))</f>
        <v/>
      </c>
      <c r="V389" s="26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W389" s="28" t="n">
        <v>0.109</v>
      </c>
      <c r="X389" s="14" t="n">
        <v>48.87</v>
      </c>
      <c r="Y389" s="14">
        <f>ROUND(MIN(100, (X389/69.91)*100), 2)</f>
        <v/>
      </c>
    </row>
    <row r="390">
      <c r="A390" s="10" t="n">
        <v>3</v>
      </c>
      <c r="B390" s="10" t="n">
        <v>386</v>
      </c>
      <c r="C390" s="10" t="n">
        <v>2386</v>
      </c>
      <c r="D390" s="10" t="inlineStr">
        <is>
          <t>1380614040</t>
        </is>
      </c>
      <c r="E390" s="26" t="inlineStr">
        <is>
          <t>National Capital Region (NCR)</t>
        </is>
      </c>
      <c r="F390" s="26" t="inlineStr">
        <is>
          <t>First District (Not a Province)</t>
        </is>
      </c>
      <c r="G390" s="26" t="inlineStr">
        <is>
          <t>City of Manila</t>
        </is>
      </c>
      <c r="H390" s="26" t="inlineStr">
        <is>
          <t>Barangay 784</t>
        </is>
      </c>
      <c r="I390" s="27" t="n">
        <v>13.286398</v>
      </c>
      <c r="J390" s="27" t="n">
        <v>122.496602</v>
      </c>
      <c r="K390" s="10" t="inlineStr">
        <is>
          <t>U</t>
        </is>
      </c>
      <c r="L390" s="12" t="n">
        <v>3489</v>
      </c>
      <c r="M390" s="14" t="n">
        <v>3.9</v>
      </c>
      <c r="N390" s="12">
        <f>ROUND(L390/M390, 0)</f>
        <v/>
      </c>
      <c r="O390" s="12">
        <f>ROUND(N390*'Methodology &amp; Assumptions'!$B$5, 0)</f>
        <v/>
      </c>
      <c r="P390" s="10" t="inlineStr">
        <is>
          <t>Single Carrier (Band n50, 100MHz TDD)</t>
        </is>
      </c>
      <c r="Q390" s="13">
        <f>ROUNDUP(O390/'Methodology &amp; Assumptions'!$B$6, 0)</f>
        <v/>
      </c>
      <c r="R390" s="13" t="n">
        <v>1</v>
      </c>
      <c r="S390" s="14" t="n">
        <v>7.05</v>
      </c>
      <c r="T390" s="14" t="n">
        <v>28.63</v>
      </c>
      <c r="U390" s="26">
        <f>IF(X390&gt;='Methodology &amp; Assumptions'!$B$7, "Tier 1 Critical GIDA (Score ≥ 50.0)", IF(X390&gt;='Methodology &amp; Assumptions'!$B$8, "Tier 2 High GIDA (Score 40.0–49.9)", "Tier 3 Moderate GIDA (Score &lt; 40.0)"))</f>
        <v/>
      </c>
      <c r="V390" s="26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W390" s="28" t="n">
        <v>0.109</v>
      </c>
      <c r="X390" s="14" t="n">
        <v>48.87</v>
      </c>
      <c r="Y390" s="14">
        <f>ROUND(MIN(100, (X390/69.91)*100), 2)</f>
        <v/>
      </c>
    </row>
    <row r="391">
      <c r="A391" s="10" t="n">
        <v>3</v>
      </c>
      <c r="B391" s="10" t="n">
        <v>387</v>
      </c>
      <c r="C391" s="10" t="n">
        <v>2387</v>
      </c>
      <c r="D391" s="10" t="inlineStr">
        <is>
          <t>1380612028</t>
        </is>
      </c>
      <c r="E391" s="26" t="inlineStr">
        <is>
          <t>National Capital Region (NCR)</t>
        </is>
      </c>
      <c r="F391" s="26" t="inlineStr">
        <is>
          <t>First District (Not a Province)</t>
        </is>
      </c>
      <c r="G391" s="26" t="inlineStr">
        <is>
          <t>City of Manila</t>
        </is>
      </c>
      <c r="H391" s="26" t="inlineStr">
        <is>
          <t>Barangay 860</t>
        </is>
      </c>
      <c r="I391" s="27" t="n">
        <v>12.102663</v>
      </c>
      <c r="J391" s="27" t="n">
        <v>121.522678</v>
      </c>
      <c r="K391" s="10" t="inlineStr">
        <is>
          <t>U</t>
        </is>
      </c>
      <c r="L391" s="12" t="n">
        <v>3312</v>
      </c>
      <c r="M391" s="14" t="n">
        <v>3.9</v>
      </c>
      <c r="N391" s="12">
        <f>ROUND(L391/M391, 0)</f>
        <v/>
      </c>
      <c r="O391" s="12">
        <f>ROUND(N391*'Methodology &amp; Assumptions'!$B$5, 0)</f>
        <v/>
      </c>
      <c r="P391" s="10" t="inlineStr">
        <is>
          <t>Single Carrier (Band n50, 100MHz TDD)</t>
        </is>
      </c>
      <c r="Q391" s="13">
        <f>ROUNDUP(O391/'Methodology &amp; Assumptions'!$B$6, 0)</f>
        <v/>
      </c>
      <c r="R391" s="13" t="n">
        <v>1</v>
      </c>
      <c r="S391" s="14" t="n">
        <v>32.04</v>
      </c>
      <c r="T391" s="14" t="n">
        <v>29.57</v>
      </c>
      <c r="U391" s="26">
        <f>IF(X391&gt;='Methodology &amp; Assumptions'!$B$7, "Tier 1 Critical GIDA (Score ≥ 50.0)", IF(X391&gt;='Methodology &amp; Assumptions'!$B$8, "Tier 2 High GIDA (Score 40.0–49.9)", "Tier 3 Moderate GIDA (Score &lt; 40.0)"))</f>
        <v/>
      </c>
      <c r="V391" s="26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W391" s="28" t="n">
        <v>0.109</v>
      </c>
      <c r="X391" s="14" t="n">
        <v>48.87</v>
      </c>
      <c r="Y391" s="14">
        <f>ROUND(MIN(100, (X391/69.91)*100), 2)</f>
        <v/>
      </c>
    </row>
    <row r="392">
      <c r="A392" s="10" t="n">
        <v>3</v>
      </c>
      <c r="B392" s="10" t="n">
        <v>388</v>
      </c>
      <c r="C392" s="10" t="n">
        <v>2388</v>
      </c>
      <c r="D392" s="10" t="inlineStr">
        <is>
          <t>0603027031</t>
        </is>
      </c>
      <c r="E392" s="26" t="inlineStr">
        <is>
          <t>Region VI (Western Visayas)</t>
        </is>
      </c>
      <c r="F392" s="26" t="inlineStr">
        <is>
          <t>Iloilo</t>
        </is>
      </c>
      <c r="G392" s="26" t="inlineStr">
        <is>
          <t>Lemery</t>
        </is>
      </c>
      <c r="H392" s="26" t="inlineStr">
        <is>
          <t>Yawyawan</t>
        </is>
      </c>
      <c r="I392" s="27" t="n">
        <v>11.275387</v>
      </c>
      <c r="J392" s="27" t="n">
        <v>122.874527</v>
      </c>
      <c r="K392" s="10" t="inlineStr">
        <is>
          <t>R</t>
        </is>
      </c>
      <c r="L392" s="12" t="n">
        <v>625</v>
      </c>
      <c r="M392" s="14" t="n">
        <v>3.8</v>
      </c>
      <c r="N392" s="12">
        <f>ROUND(L392/M392, 0)</f>
        <v/>
      </c>
      <c r="O392" s="12">
        <f>ROUND(N392*'Methodology &amp; Assumptions'!$B$5, 0)</f>
        <v/>
      </c>
      <c r="P392" s="10" t="inlineStr">
        <is>
          <t>Single Carrier (Band n50, 100MHz TDD)</t>
        </is>
      </c>
      <c r="Q392" s="13">
        <f>ROUNDUP(O392/'Methodology &amp; Assumptions'!$B$6, 0)</f>
        <v/>
      </c>
      <c r="R392" s="13" t="n">
        <v>1</v>
      </c>
      <c r="S392" s="14" t="n">
        <v>8.08</v>
      </c>
      <c r="T392" s="14" t="n">
        <v>7.96</v>
      </c>
      <c r="U392" s="26">
        <f>IF(X392&gt;='Methodology &amp; Assumptions'!$B$7, "Tier 1 Critical GIDA (Score ≥ 50.0)", IF(X392&gt;='Methodology &amp; Assumptions'!$B$8, "Tier 2 High GIDA (Score 40.0–49.9)", "Tier 3 Moderate GIDA (Score &lt; 40.0)"))</f>
        <v/>
      </c>
      <c r="V392" s="26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W392" s="28" t="n">
        <v>0.237</v>
      </c>
      <c r="X392" s="14" t="n">
        <v>48.86</v>
      </c>
      <c r="Y392" s="14">
        <f>ROUND(MIN(100, (X392/69.91)*100), 2)</f>
        <v/>
      </c>
    </row>
    <row r="393">
      <c r="A393" s="10" t="n">
        <v>3</v>
      </c>
      <c r="B393" s="10" t="n">
        <v>389</v>
      </c>
      <c r="C393" s="10" t="n">
        <v>2389</v>
      </c>
      <c r="D393" s="10" t="inlineStr">
        <is>
          <t>1380601253</t>
        </is>
      </c>
      <c r="E393" s="26" t="inlineStr">
        <is>
          <t>National Capital Region (NCR)</t>
        </is>
      </c>
      <c r="F393" s="26" t="inlineStr">
        <is>
          <t>First District (Not a Province)</t>
        </is>
      </c>
      <c r="G393" s="26" t="inlineStr">
        <is>
          <t>City of Manila</t>
        </is>
      </c>
      <c r="H393" s="26" t="inlineStr">
        <is>
          <t>Barangay 252</t>
        </is>
      </c>
      <c r="I393" s="27" t="n">
        <v>13.619333</v>
      </c>
      <c r="J393" s="27" t="n">
        <v>121.420202</v>
      </c>
      <c r="K393" s="10" t="inlineStr">
        <is>
          <t>U</t>
        </is>
      </c>
      <c r="L393" s="12" t="n">
        <v>938</v>
      </c>
      <c r="M393" s="14" t="n">
        <v>3.9</v>
      </c>
      <c r="N393" s="12">
        <f>ROUND(L393/M393, 0)</f>
        <v/>
      </c>
      <c r="O393" s="12">
        <f>ROUND(N393*'Methodology &amp; Assumptions'!$B$5, 0)</f>
        <v/>
      </c>
      <c r="P393" s="10" t="inlineStr">
        <is>
          <t>Single Carrier (Band n50, 100MHz TDD)</t>
        </is>
      </c>
      <c r="Q393" s="13">
        <f>ROUNDUP(O393/'Methodology &amp; Assumptions'!$B$6, 0)</f>
        <v/>
      </c>
      <c r="R393" s="13" t="n">
        <v>1</v>
      </c>
      <c r="S393" s="14" t="n">
        <v>8.67</v>
      </c>
      <c r="T393" s="14" t="n">
        <v>18.9</v>
      </c>
      <c r="U393" s="26">
        <f>IF(X393&gt;='Methodology &amp; Assumptions'!$B$7, "Tier 1 Critical GIDA (Score ≥ 50.0)", IF(X393&gt;='Methodology &amp; Assumptions'!$B$8, "Tier 2 High GIDA (Score 40.0–49.9)", "Tier 3 Moderate GIDA (Score &lt; 40.0)"))</f>
        <v/>
      </c>
      <c r="V393" s="26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W393" s="28" t="n">
        <v>0.109</v>
      </c>
      <c r="X393" s="14" t="n">
        <v>48.86</v>
      </c>
      <c r="Y393" s="14">
        <f>ROUND(MIN(100, (X393/69.91)*100), 2)</f>
        <v/>
      </c>
    </row>
    <row r="394">
      <c r="A394" s="10" t="n">
        <v>3</v>
      </c>
      <c r="B394" s="10" t="n">
        <v>390</v>
      </c>
      <c r="C394" s="10" t="n">
        <v>2390</v>
      </c>
      <c r="D394" s="10" t="inlineStr">
        <is>
          <t>1380601175</t>
        </is>
      </c>
      <c r="E394" s="26" t="inlineStr">
        <is>
          <t>National Capital Region (NCR)</t>
        </is>
      </c>
      <c r="F394" s="26" t="inlineStr">
        <is>
          <t>First District (Not a Province)</t>
        </is>
      </c>
      <c r="G394" s="26" t="inlineStr">
        <is>
          <t>City of Manila</t>
        </is>
      </c>
      <c r="H394" s="26" t="inlineStr">
        <is>
          <t>Barangay 175</t>
        </is>
      </c>
      <c r="I394" s="27" t="n">
        <v>12.566877</v>
      </c>
      <c r="J394" s="27" t="n">
        <v>122.548712</v>
      </c>
      <c r="K394" s="10" t="inlineStr">
        <is>
          <t>U</t>
        </is>
      </c>
      <c r="L394" s="12" t="n">
        <v>1018</v>
      </c>
      <c r="M394" s="14" t="n">
        <v>3.9</v>
      </c>
      <c r="N394" s="12">
        <f>ROUND(L394/M394, 0)</f>
        <v/>
      </c>
      <c r="O394" s="12">
        <f>ROUND(N394*'Methodology &amp; Assumptions'!$B$5, 0)</f>
        <v/>
      </c>
      <c r="P394" s="10" t="inlineStr">
        <is>
          <t>Single Carrier (Band n50, 100MHz TDD)</t>
        </is>
      </c>
      <c r="Q394" s="13">
        <f>ROUNDUP(O394/'Methodology &amp; Assumptions'!$B$6, 0)</f>
        <v/>
      </c>
      <c r="R394" s="13" t="n">
        <v>1</v>
      </c>
      <c r="S394" s="14" t="n">
        <v>74.20999999999999</v>
      </c>
      <c r="T394" s="14" t="n">
        <v>70.65000000000001</v>
      </c>
      <c r="U394" s="26">
        <f>IF(X394&gt;='Methodology &amp; Assumptions'!$B$7, "Tier 1 Critical GIDA (Score ≥ 50.0)", IF(X394&gt;='Methodology &amp; Assumptions'!$B$8, "Tier 2 High GIDA (Score 40.0–49.9)", "Tier 3 Moderate GIDA (Score &lt; 40.0)"))</f>
        <v/>
      </c>
      <c r="V394" s="26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W394" s="28" t="n">
        <v>0.109</v>
      </c>
      <c r="X394" s="14" t="n">
        <v>48.86</v>
      </c>
      <c r="Y394" s="14">
        <f>ROUND(MIN(100, (X394/69.91)*100), 2)</f>
        <v/>
      </c>
    </row>
    <row r="395">
      <c r="A395" s="10" t="n">
        <v>3</v>
      </c>
      <c r="B395" s="10" t="n">
        <v>391</v>
      </c>
      <c r="C395" s="10" t="n">
        <v>2391</v>
      </c>
      <c r="D395" s="10" t="inlineStr">
        <is>
          <t>1380605017</t>
        </is>
      </c>
      <c r="E395" s="26" t="inlineStr">
        <is>
          <t>National Capital Region (NCR)</t>
        </is>
      </c>
      <c r="F395" s="26" t="inlineStr">
        <is>
          <t>First District (Not a Province)</t>
        </is>
      </c>
      <c r="G395" s="26" t="inlineStr">
        <is>
          <t>City of Manila</t>
        </is>
      </c>
      <c r="H395" s="26" t="inlineStr">
        <is>
          <t>Barangay 315</t>
        </is>
      </c>
      <c r="I395" s="27" t="n">
        <v>12.599656</v>
      </c>
      <c r="J395" s="27" t="n">
        <v>120.984727</v>
      </c>
      <c r="K395" s="10" t="inlineStr">
        <is>
          <t>U</t>
        </is>
      </c>
      <c r="L395" s="12" t="n">
        <v>1840</v>
      </c>
      <c r="M395" s="14" t="n">
        <v>3.9</v>
      </c>
      <c r="N395" s="12">
        <f>ROUND(L395/M395, 0)</f>
        <v/>
      </c>
      <c r="O395" s="12">
        <f>ROUND(N395*'Methodology &amp; Assumptions'!$B$5, 0)</f>
        <v/>
      </c>
      <c r="P395" s="10" t="inlineStr">
        <is>
          <t>Single Carrier (Band n50, 100MHz TDD)</t>
        </is>
      </c>
      <c r="Q395" s="13">
        <f>ROUNDUP(O395/'Methodology &amp; Assumptions'!$B$6, 0)</f>
        <v/>
      </c>
      <c r="R395" s="13" t="n">
        <v>1</v>
      </c>
      <c r="S395" s="14" t="n">
        <v>29</v>
      </c>
      <c r="T395" s="14" t="n">
        <v>26.44</v>
      </c>
      <c r="U395" s="26">
        <f>IF(X395&gt;='Methodology &amp; Assumptions'!$B$7, "Tier 1 Critical GIDA (Score ≥ 50.0)", IF(X395&gt;='Methodology &amp; Assumptions'!$B$8, "Tier 2 High GIDA (Score 40.0–49.9)", "Tier 3 Moderate GIDA (Score &lt; 40.0)"))</f>
        <v/>
      </c>
      <c r="V395" s="26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W395" s="28" t="n">
        <v>0.109</v>
      </c>
      <c r="X395" s="14" t="n">
        <v>48.85</v>
      </c>
      <c r="Y395" s="14">
        <f>ROUND(MIN(100, (X395/69.91)*100), 2)</f>
        <v/>
      </c>
    </row>
    <row r="396">
      <c r="A396" s="10" t="n">
        <v>3</v>
      </c>
      <c r="B396" s="10" t="n">
        <v>392</v>
      </c>
      <c r="C396" s="10" t="n">
        <v>2392</v>
      </c>
      <c r="D396" s="10" t="inlineStr">
        <is>
          <t>1380601159</t>
        </is>
      </c>
      <c r="E396" s="26" t="inlineStr">
        <is>
          <t>National Capital Region (NCR)</t>
        </is>
      </c>
      <c r="F396" s="26" t="inlineStr">
        <is>
          <t>First District (Not a Province)</t>
        </is>
      </c>
      <c r="G396" s="26" t="inlineStr">
        <is>
          <t>City of Manila</t>
        </is>
      </c>
      <c r="H396" s="26" t="inlineStr">
        <is>
          <t>Barangay 159</t>
        </is>
      </c>
      <c r="I396" s="27" t="n">
        <v>13.607177</v>
      </c>
      <c r="J396" s="27" t="n">
        <v>122.162474</v>
      </c>
      <c r="K396" s="10" t="inlineStr">
        <is>
          <t>U</t>
        </is>
      </c>
      <c r="L396" s="12" t="n">
        <v>1605</v>
      </c>
      <c r="M396" s="14" t="n">
        <v>3.9</v>
      </c>
      <c r="N396" s="12">
        <f>ROUND(L396/M396, 0)</f>
        <v/>
      </c>
      <c r="O396" s="12">
        <f>ROUND(N396*'Methodology &amp; Assumptions'!$B$5, 0)</f>
        <v/>
      </c>
      <c r="P396" s="10" t="inlineStr">
        <is>
          <t>Single Carrier (Band n50, 100MHz TDD)</t>
        </is>
      </c>
      <c r="Q396" s="13">
        <f>ROUNDUP(O396/'Methodology &amp; Assumptions'!$B$6, 0)</f>
        <v/>
      </c>
      <c r="R396" s="13" t="n">
        <v>1</v>
      </c>
      <c r="S396" s="14" t="n">
        <v>9.550000000000001</v>
      </c>
      <c r="T396" s="14" t="n">
        <v>7.53</v>
      </c>
      <c r="U396" s="26">
        <f>IF(X396&gt;='Methodology &amp; Assumptions'!$B$7, "Tier 1 Critical GIDA (Score ≥ 50.0)", IF(X396&gt;='Methodology &amp; Assumptions'!$B$8, "Tier 2 High GIDA (Score 40.0–49.9)", "Tier 3 Moderate GIDA (Score &lt; 40.0)"))</f>
        <v/>
      </c>
      <c r="V396" s="26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W396" s="28" t="n">
        <v>0.109</v>
      </c>
      <c r="X396" s="14" t="n">
        <v>48.85</v>
      </c>
      <c r="Y396" s="14">
        <f>ROUND(MIN(100, (X396/69.91)*100), 2)</f>
        <v/>
      </c>
    </row>
    <row r="397">
      <c r="A397" s="10" t="n">
        <v>3</v>
      </c>
      <c r="B397" s="10" t="n">
        <v>393</v>
      </c>
      <c r="C397" s="10" t="n">
        <v>2393</v>
      </c>
      <c r="D397" s="10" t="inlineStr">
        <is>
          <t>1381100018</t>
        </is>
      </c>
      <c r="E397" s="26" t="inlineStr">
        <is>
          <t>National Capital Region (NCR)</t>
        </is>
      </c>
      <c r="F397" s="26" t="inlineStr">
        <is>
          <t>Fourth District (Not a Province)</t>
        </is>
      </c>
      <c r="G397" s="26" t="inlineStr">
        <is>
          <t>Pasay City</t>
        </is>
      </c>
      <c r="H397" s="26" t="inlineStr">
        <is>
          <t>Barangay 18</t>
        </is>
      </c>
      <c r="I397" s="27" t="n">
        <v>14.558826</v>
      </c>
      <c r="J397" s="27" t="n">
        <v>120.990967</v>
      </c>
      <c r="K397" s="10" t="inlineStr">
        <is>
          <t>U</t>
        </is>
      </c>
      <c r="L397" s="12" t="n">
        <v>1048</v>
      </c>
      <c r="M397" s="14" t="n">
        <v>3.4</v>
      </c>
      <c r="N397" s="12">
        <f>ROUND(L397/M397, 0)</f>
        <v/>
      </c>
      <c r="O397" s="12">
        <f>ROUND(N397*'Methodology &amp; Assumptions'!$B$5, 0)</f>
        <v/>
      </c>
      <c r="P397" s="10" t="inlineStr">
        <is>
          <t>Single Carrier (Band n50, 100MHz TDD)</t>
        </is>
      </c>
      <c r="Q397" s="13">
        <f>ROUNDUP(O397/'Methodology &amp; Assumptions'!$B$6, 0)</f>
        <v/>
      </c>
      <c r="R397" s="13" t="n">
        <v>1</v>
      </c>
      <c r="S397" s="14" t="n">
        <v>0.62</v>
      </c>
      <c r="T397" s="14" t="n">
        <v>0.61</v>
      </c>
      <c r="U397" s="26">
        <f>IF(X397&gt;='Methodology &amp; Assumptions'!$B$7, "Tier 1 Critical GIDA (Score ≥ 50.0)", IF(X397&gt;='Methodology &amp; Assumptions'!$B$8, "Tier 2 High GIDA (Score 40.0–49.9)", "Tier 3 Moderate GIDA (Score &lt; 40.0)"))</f>
        <v/>
      </c>
      <c r="V397" s="26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W397" s="28" t="n">
        <v>0.109</v>
      </c>
      <c r="X397" s="14" t="n">
        <v>48.85</v>
      </c>
      <c r="Y397" s="14">
        <f>ROUND(MIN(100, (X397/69.91)*100), 2)</f>
        <v/>
      </c>
    </row>
    <row r="398">
      <c r="A398" s="10" t="n">
        <v>3</v>
      </c>
      <c r="B398" s="10" t="n">
        <v>394</v>
      </c>
      <c r="C398" s="10" t="n">
        <v>2394</v>
      </c>
      <c r="D398" s="10" t="inlineStr">
        <is>
          <t>0402106033</t>
        </is>
      </c>
      <c r="E398" s="26" t="inlineStr">
        <is>
          <t>Region IV-A (CALABARZON)</t>
        </is>
      </c>
      <c r="F398" s="26" t="inlineStr">
        <is>
          <t>Cavite</t>
        </is>
      </c>
      <c r="G398" s="26" t="inlineStr">
        <is>
          <t>City of Dasmariñas</t>
        </is>
      </c>
      <c r="H398" s="26" t="inlineStr">
        <is>
          <t>San Luis I</t>
        </is>
      </c>
      <c r="I398" s="27" t="n">
        <v>14.301425</v>
      </c>
      <c r="J398" s="27" t="n">
        <v>120.979503</v>
      </c>
      <c r="K398" s="10" t="inlineStr">
        <is>
          <t>R</t>
        </is>
      </c>
      <c r="L398" s="12" t="n">
        <v>4172</v>
      </c>
      <c r="M398" s="14" t="n">
        <v>3.4</v>
      </c>
      <c r="N398" s="12">
        <f>ROUND(L398/M398, 0)</f>
        <v/>
      </c>
      <c r="O398" s="12">
        <f>ROUND(N398*'Methodology &amp; Assumptions'!$B$5, 0)</f>
        <v/>
      </c>
      <c r="P398" s="10" t="inlineStr">
        <is>
          <t>Single Carrier (Band n50, 100MHz TDD)</t>
        </is>
      </c>
      <c r="Q398" s="13">
        <f>ROUNDUP(O398/'Methodology &amp; Assumptions'!$B$6, 0)</f>
        <v/>
      </c>
      <c r="R398" s="13" t="n">
        <v>1</v>
      </c>
      <c r="S398" s="14" t="n">
        <v>1.93</v>
      </c>
      <c r="T398" s="14" t="n">
        <v>2.37</v>
      </c>
      <c r="U398" s="26">
        <f>IF(X398&gt;='Methodology &amp; Assumptions'!$B$7, "Tier 1 Critical GIDA (Score ≥ 50.0)", IF(X398&gt;='Methodology &amp; Assumptions'!$B$8, "Tier 2 High GIDA (Score 40.0–49.9)", "Tier 3 Moderate GIDA (Score &lt; 40.0)"))</f>
        <v/>
      </c>
      <c r="V398" s="26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W398" s="28" t="n">
        <v>0.07200000000000001</v>
      </c>
      <c r="X398" s="14" t="n">
        <v>48.85</v>
      </c>
      <c r="Y398" s="14">
        <f>ROUND(MIN(100, (X398/69.91)*100), 2)</f>
        <v/>
      </c>
    </row>
    <row r="399">
      <c r="A399" s="10" t="n">
        <v>3</v>
      </c>
      <c r="B399" s="10" t="n">
        <v>395</v>
      </c>
      <c r="C399" s="10" t="n">
        <v>2395</v>
      </c>
      <c r="D399" s="10" t="inlineStr">
        <is>
          <t>1380605065</t>
        </is>
      </c>
      <c r="E399" s="26" t="inlineStr">
        <is>
          <t>National Capital Region (NCR)</t>
        </is>
      </c>
      <c r="F399" s="26" t="inlineStr">
        <is>
          <t>First District (Not a Province)</t>
        </is>
      </c>
      <c r="G399" s="26" t="inlineStr">
        <is>
          <t>City of Manila</t>
        </is>
      </c>
      <c r="H399" s="26" t="inlineStr">
        <is>
          <t>Barangay 363</t>
        </is>
      </c>
      <c r="I399" s="27" t="n">
        <v>12.086198</v>
      </c>
      <c r="J399" s="27" t="n">
        <v>121.992106</v>
      </c>
      <c r="K399" s="10" t="inlineStr">
        <is>
          <t>U</t>
        </is>
      </c>
      <c r="L399" s="12" t="n">
        <v>576</v>
      </c>
      <c r="M399" s="14" t="n">
        <v>3.9</v>
      </c>
      <c r="N399" s="12">
        <f>ROUND(L399/M399, 0)</f>
        <v/>
      </c>
      <c r="O399" s="12">
        <f>ROUND(N399*'Methodology &amp; Assumptions'!$B$5, 0)</f>
        <v/>
      </c>
      <c r="P399" s="10" t="inlineStr">
        <is>
          <t>Single Carrier (Band n50, 100MHz TDD)</t>
        </is>
      </c>
      <c r="Q399" s="13">
        <f>ROUNDUP(O399/'Methodology &amp; Assumptions'!$B$6, 0)</f>
        <v/>
      </c>
      <c r="R399" s="13" t="n">
        <v>1</v>
      </c>
      <c r="S399" s="14" t="n">
        <v>16.13</v>
      </c>
      <c r="T399" s="14" t="n">
        <v>0.72</v>
      </c>
      <c r="U399" s="26">
        <f>IF(X399&gt;='Methodology &amp; Assumptions'!$B$7, "Tier 1 Critical GIDA (Score ≥ 50.0)", IF(X399&gt;='Methodology &amp; Assumptions'!$B$8, "Tier 2 High GIDA (Score 40.0–49.9)", "Tier 3 Moderate GIDA (Score &lt; 40.0)"))</f>
        <v/>
      </c>
      <c r="V399" s="26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W399" s="28" t="n">
        <v>0.109</v>
      </c>
      <c r="X399" s="14" t="n">
        <v>48.85</v>
      </c>
      <c r="Y399" s="14">
        <f>ROUND(MIN(100, (X399/69.91)*100), 2)</f>
        <v/>
      </c>
    </row>
    <row r="400">
      <c r="A400" s="10" t="n">
        <v>3</v>
      </c>
      <c r="B400" s="10" t="n">
        <v>396</v>
      </c>
      <c r="C400" s="10" t="n">
        <v>2396</v>
      </c>
      <c r="D400" s="10" t="inlineStr">
        <is>
          <t>1380614034</t>
        </is>
      </c>
      <c r="E400" s="26" t="inlineStr">
        <is>
          <t>National Capital Region (NCR)</t>
        </is>
      </c>
      <c r="F400" s="26" t="inlineStr">
        <is>
          <t>First District (Not a Province)</t>
        </is>
      </c>
      <c r="G400" s="26" t="inlineStr">
        <is>
          <t>City of Manila</t>
        </is>
      </c>
      <c r="H400" s="26" t="inlineStr">
        <is>
          <t>Barangay 778</t>
        </is>
      </c>
      <c r="I400" s="27" t="n">
        <v>13.321813</v>
      </c>
      <c r="J400" s="27" t="n">
        <v>121.06211</v>
      </c>
      <c r="K400" s="10" t="inlineStr">
        <is>
          <t>U</t>
        </is>
      </c>
      <c r="L400" s="12" t="n">
        <v>1904</v>
      </c>
      <c r="M400" s="14" t="n">
        <v>3.9</v>
      </c>
      <c r="N400" s="12">
        <f>ROUND(L400/M400, 0)</f>
        <v/>
      </c>
      <c r="O400" s="12">
        <f>ROUND(N400*'Methodology &amp; Assumptions'!$B$5, 0)</f>
        <v/>
      </c>
      <c r="P400" s="10" t="inlineStr">
        <is>
          <t>Single Carrier (Band n50, 100MHz TDD)</t>
        </is>
      </c>
      <c r="Q400" s="13">
        <f>ROUNDUP(O400/'Methodology &amp; Assumptions'!$B$6, 0)</f>
        <v/>
      </c>
      <c r="R400" s="13" t="n">
        <v>1</v>
      </c>
      <c r="S400" s="14" t="n">
        <v>5.56</v>
      </c>
      <c r="T400" s="14" t="n">
        <v>5.46</v>
      </c>
      <c r="U400" s="26">
        <f>IF(X400&gt;='Methodology &amp; Assumptions'!$B$7, "Tier 1 Critical GIDA (Score ≥ 50.0)", IF(X400&gt;='Methodology &amp; Assumptions'!$B$8, "Tier 2 High GIDA (Score 40.0–49.9)", "Tier 3 Moderate GIDA (Score &lt; 40.0)"))</f>
        <v/>
      </c>
      <c r="V400" s="26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W400" s="28" t="n">
        <v>0.109</v>
      </c>
      <c r="X400" s="14" t="n">
        <v>48.85</v>
      </c>
      <c r="Y400" s="14">
        <f>ROUND(MIN(100, (X400/69.91)*100), 2)</f>
        <v/>
      </c>
    </row>
    <row r="401">
      <c r="A401" s="10" t="n">
        <v>3</v>
      </c>
      <c r="B401" s="10" t="n">
        <v>397</v>
      </c>
      <c r="C401" s="10" t="n">
        <v>2397</v>
      </c>
      <c r="D401" s="10" t="inlineStr">
        <is>
          <t>1608507004</t>
        </is>
      </c>
      <c r="E401" s="26" t="inlineStr">
        <is>
          <t>Region XIII (Caraga)</t>
        </is>
      </c>
      <c r="F401" s="26" t="inlineStr">
        <is>
          <t>Dinagat Islands</t>
        </is>
      </c>
      <c r="G401" s="26" t="inlineStr">
        <is>
          <t>Tubajon</t>
        </is>
      </c>
      <c r="H401" s="26" t="inlineStr">
        <is>
          <t>Navarro</t>
        </is>
      </c>
      <c r="I401" s="27" t="n">
        <v>10.289923</v>
      </c>
      <c r="J401" s="27" t="n">
        <v>125.589867</v>
      </c>
      <c r="K401" s="10" t="inlineStr">
        <is>
          <t>R</t>
        </is>
      </c>
      <c r="L401" s="12" t="n">
        <v>436</v>
      </c>
      <c r="M401" s="14" t="n">
        <v>3.8</v>
      </c>
      <c r="N401" s="12">
        <f>ROUND(L401/M401, 0)</f>
        <v/>
      </c>
      <c r="O401" s="12">
        <f>ROUND(N401*'Methodology &amp; Assumptions'!$B$5, 0)</f>
        <v/>
      </c>
      <c r="P401" s="10" t="inlineStr">
        <is>
          <t>Single Carrier (Band n50, 100MHz TDD)</t>
        </is>
      </c>
      <c r="Q401" s="13">
        <f>ROUNDUP(O401/'Methodology &amp; Assumptions'!$B$6, 0)</f>
        <v/>
      </c>
      <c r="R401" s="13" t="n">
        <v>1</v>
      </c>
      <c r="S401" s="14" t="n">
        <v>56.77</v>
      </c>
      <c r="T401" s="14" t="n">
        <v>56.77</v>
      </c>
      <c r="U401" s="26">
        <f>IF(X401&gt;='Methodology &amp; Assumptions'!$B$7, "Tier 1 Critical GIDA (Score ≥ 50.0)", IF(X401&gt;='Methodology &amp; Assumptions'!$B$8, "Tier 2 High GIDA (Score 40.0–49.9)", "Tier 3 Moderate GIDA (Score &lt; 40.0)"))</f>
        <v/>
      </c>
      <c r="V401" s="26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W401" s="28" t="n">
        <v>0.174</v>
      </c>
      <c r="X401" s="14" t="n">
        <v>48.84</v>
      </c>
      <c r="Y401" s="14">
        <f>ROUND(MIN(100, (X401/69.91)*100), 2)</f>
        <v/>
      </c>
    </row>
    <row r="402">
      <c r="A402" s="10" t="n">
        <v>3</v>
      </c>
      <c r="B402" s="10" t="n">
        <v>398</v>
      </c>
      <c r="C402" s="10" t="n">
        <v>2398</v>
      </c>
      <c r="D402" s="10" t="inlineStr">
        <is>
          <t>1380614098</t>
        </is>
      </c>
      <c r="E402" s="26" t="inlineStr">
        <is>
          <t>National Capital Region (NCR)</t>
        </is>
      </c>
      <c r="F402" s="26" t="inlineStr">
        <is>
          <t>First District (Not a Province)</t>
        </is>
      </c>
      <c r="G402" s="26" t="inlineStr">
        <is>
          <t>City of Manila</t>
        </is>
      </c>
      <c r="H402" s="26" t="inlineStr">
        <is>
          <t>Barangay 905</t>
        </is>
      </c>
      <c r="I402" s="27" t="n">
        <v>13.02282</v>
      </c>
      <c r="J402" s="27" t="n">
        <v>122.60662</v>
      </c>
      <c r="K402" s="10" t="inlineStr">
        <is>
          <t>U</t>
        </is>
      </c>
      <c r="L402" s="12" t="n">
        <v>7609</v>
      </c>
      <c r="M402" s="14" t="n">
        <v>3.9</v>
      </c>
      <c r="N402" s="12">
        <f>ROUND(L402/M402, 0)</f>
        <v/>
      </c>
      <c r="O402" s="12">
        <f>ROUND(N402*'Methodology &amp; Assumptions'!$B$5, 0)</f>
        <v/>
      </c>
      <c r="P402" s="10" t="inlineStr">
        <is>
          <t>Single Carrier (Band n50, 100MHz TDD)</t>
        </is>
      </c>
      <c r="Q402" s="13">
        <f>ROUNDUP(O402/'Methodology &amp; Assumptions'!$B$6, 0)</f>
        <v/>
      </c>
      <c r="R402" s="13" t="n">
        <v>1</v>
      </c>
      <c r="S402" s="14" t="n">
        <v>23.76</v>
      </c>
      <c r="T402" s="14" t="n">
        <v>60.26</v>
      </c>
      <c r="U402" s="26">
        <f>IF(X402&gt;='Methodology &amp; Assumptions'!$B$7, "Tier 1 Critical GIDA (Score ≥ 50.0)", IF(X402&gt;='Methodology &amp; Assumptions'!$B$8, "Tier 2 High GIDA (Score 40.0–49.9)", "Tier 3 Moderate GIDA (Score &lt; 40.0)"))</f>
        <v/>
      </c>
      <c r="V402" s="26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W402" s="28" t="n">
        <v>0.109</v>
      </c>
      <c r="X402" s="14" t="n">
        <v>48.84</v>
      </c>
      <c r="Y402" s="14">
        <f>ROUND(MIN(100, (X402/69.91)*100), 2)</f>
        <v/>
      </c>
    </row>
    <row r="403">
      <c r="A403" s="10" t="n">
        <v>3</v>
      </c>
      <c r="B403" s="10" t="n">
        <v>399</v>
      </c>
      <c r="C403" s="10" t="n">
        <v>2399</v>
      </c>
      <c r="D403" s="10" t="inlineStr">
        <is>
          <t>1380612030</t>
        </is>
      </c>
      <c r="E403" s="26" t="inlineStr">
        <is>
          <t>National Capital Region (NCR)</t>
        </is>
      </c>
      <c r="F403" s="26" t="inlineStr">
        <is>
          <t>First District (Not a Province)</t>
        </is>
      </c>
      <c r="G403" s="26" t="inlineStr">
        <is>
          <t>City of Manila</t>
        </is>
      </c>
      <c r="H403" s="26" t="inlineStr">
        <is>
          <t>Barangay 862</t>
        </is>
      </c>
      <c r="I403" s="27" t="n">
        <v>12.224753</v>
      </c>
      <c r="J403" s="27" t="n">
        <v>121.258471</v>
      </c>
      <c r="K403" s="10" t="inlineStr">
        <is>
          <t>U</t>
        </is>
      </c>
      <c r="L403" s="12" t="n">
        <v>2492</v>
      </c>
      <c r="M403" s="14" t="n">
        <v>3.9</v>
      </c>
      <c r="N403" s="12">
        <f>ROUND(L403/M403, 0)</f>
        <v/>
      </c>
      <c r="O403" s="12">
        <f>ROUND(N403*'Methodology &amp; Assumptions'!$B$5, 0)</f>
        <v/>
      </c>
      <c r="P403" s="10" t="inlineStr">
        <is>
          <t>Single Carrier (Band n50, 100MHz TDD)</t>
        </is>
      </c>
      <c r="Q403" s="13">
        <f>ROUNDUP(O403/'Methodology &amp; Assumptions'!$B$6, 0)</f>
        <v/>
      </c>
      <c r="R403" s="13" t="n">
        <v>1</v>
      </c>
      <c r="S403" s="14" t="n">
        <v>14.94</v>
      </c>
      <c r="T403" s="14" t="n">
        <v>6.23</v>
      </c>
      <c r="U403" s="26">
        <f>IF(X403&gt;='Methodology &amp; Assumptions'!$B$7, "Tier 1 Critical GIDA (Score ≥ 50.0)", IF(X403&gt;='Methodology &amp; Assumptions'!$B$8, "Tier 2 High GIDA (Score 40.0–49.9)", "Tier 3 Moderate GIDA (Score &lt; 40.0)"))</f>
        <v/>
      </c>
      <c r="V403" s="26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W403" s="28" t="n">
        <v>0.109</v>
      </c>
      <c r="X403" s="14" t="n">
        <v>48.84</v>
      </c>
      <c r="Y403" s="14">
        <f>ROUND(MIN(100, (X403/69.91)*100), 2)</f>
        <v/>
      </c>
    </row>
    <row r="404">
      <c r="A404" s="10" t="n">
        <v>3</v>
      </c>
      <c r="B404" s="10" t="n">
        <v>400</v>
      </c>
      <c r="C404" s="10" t="n">
        <v>2400</v>
      </c>
      <c r="D404" s="10" t="inlineStr">
        <is>
          <t>PH0002400</t>
        </is>
      </c>
      <c r="E404" s="26" t="inlineStr">
        <is>
          <t>VIII</t>
        </is>
      </c>
      <c r="F404" s="26" t="inlineStr">
        <is>
          <t>Northern Samar</t>
        </is>
      </c>
      <c r="G404" s="26" t="inlineStr">
        <is>
          <t>Victoria N Samar</t>
        </is>
      </c>
      <c r="H404" s="26" t="inlineStr">
        <is>
          <t>Buenasuerte</t>
        </is>
      </c>
      <c r="I404" s="27" t="n">
        <v>12.432434</v>
      </c>
      <c r="J404" s="27" t="n">
        <v>124.794833</v>
      </c>
      <c r="K404" s="10" t="inlineStr">
        <is>
          <t>R</t>
        </is>
      </c>
      <c r="L404" s="12" t="n">
        <v>2223</v>
      </c>
      <c r="M404" s="14" t="n">
        <v>4.3</v>
      </c>
      <c r="N404" s="12">
        <f>ROUND(L404/M404, 0)</f>
        <v/>
      </c>
      <c r="O404" s="12">
        <f>ROUND(N404*'Methodology &amp; Assumptions'!$B$5, 0)</f>
        <v/>
      </c>
      <c r="P404" s="10" t="inlineStr">
        <is>
          <t>Single Carrier (Band n50, 100MHz TDD)</t>
        </is>
      </c>
      <c r="Q404" s="13">
        <f>ROUNDUP(O404/'Methodology &amp; Assumptions'!$B$6, 0)</f>
        <v/>
      </c>
      <c r="R404" s="13" t="n">
        <v>1</v>
      </c>
      <c r="S404" s="14" t="n">
        <v>78.45999999999999</v>
      </c>
      <c r="T404" s="14" t="n">
        <v>77.78</v>
      </c>
      <c r="U404" s="26">
        <f>IF(X404&gt;='Methodology &amp; Assumptions'!$B$7, "Tier 1 Critical GIDA (Score ≥ 50.0)", IF(X404&gt;='Methodology &amp; Assumptions'!$B$8, "Tier 2 High GIDA (Score 40.0–49.9)", "Tier 3 Moderate GIDA (Score &lt; 40.0)"))</f>
        <v/>
      </c>
      <c r="V404" s="26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W404" s="28" t="n">
        <v>0.222</v>
      </c>
      <c r="X404" s="14" t="n">
        <v>48.83</v>
      </c>
      <c r="Y404" s="14">
        <f>ROUND(MIN(100, (X404/69.91)*100), 2)</f>
        <v/>
      </c>
    </row>
    <row r="405">
      <c r="A405" s="10" t="n">
        <v>3</v>
      </c>
      <c r="B405" s="10" t="n">
        <v>401</v>
      </c>
      <c r="C405" s="10" t="n">
        <v>2401</v>
      </c>
      <c r="D405" s="10" t="inlineStr">
        <is>
          <t>PH0002401</t>
        </is>
      </c>
      <c r="E405" s="26" t="inlineStr">
        <is>
          <t>CAR</t>
        </is>
      </c>
      <c r="F405" s="26" t="inlineStr">
        <is>
          <t>Benguet</t>
        </is>
      </c>
      <c r="G405" s="26" t="inlineStr">
        <is>
          <t>Baguio City</t>
        </is>
      </c>
      <c r="H405" s="26" t="inlineStr">
        <is>
          <t>New Lucban</t>
        </is>
      </c>
      <c r="I405" s="27" t="n">
        <v>16.422531</v>
      </c>
      <c r="J405" s="27" t="n">
        <v>120.594785</v>
      </c>
      <c r="K405" s="10" t="inlineStr">
        <is>
          <t>R</t>
        </is>
      </c>
      <c r="L405" s="12" t="n">
        <v>2260</v>
      </c>
      <c r="M405" s="14" t="n">
        <v>3.5</v>
      </c>
      <c r="N405" s="12">
        <f>ROUND(L405/M405, 0)</f>
        <v/>
      </c>
      <c r="O405" s="12">
        <f>ROUND(N405*'Methodology &amp; Assumptions'!$B$5, 0)</f>
        <v/>
      </c>
      <c r="P405" s="10" t="inlineStr">
        <is>
          <t>Single Carrier (Band n50, 100MHz TDD)</t>
        </is>
      </c>
      <c r="Q405" s="13">
        <f>ROUNDUP(O405/'Methodology &amp; Assumptions'!$B$6, 0)</f>
        <v/>
      </c>
      <c r="R405" s="13" t="n">
        <v>1</v>
      </c>
      <c r="S405" s="14" t="n">
        <v>0.36</v>
      </c>
      <c r="T405" s="14" t="n">
        <v>0.95</v>
      </c>
      <c r="U405" s="26">
        <f>IF(X405&gt;='Methodology &amp; Assumptions'!$B$7, "Tier 1 Critical GIDA (Score ≥ 50.0)", IF(X405&gt;='Methodology &amp; Assumptions'!$B$8, "Tier 2 High GIDA (Score 40.0–49.9)", "Tier 3 Moderate GIDA (Score &lt; 40.0)"))</f>
        <v/>
      </c>
      <c r="V405" s="26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W405" s="28" t="n">
        <v>0.221</v>
      </c>
      <c r="X405" s="14" t="n">
        <v>48.83</v>
      </c>
      <c r="Y405" s="14">
        <f>ROUND(MIN(100, (X405/69.91)*100), 2)</f>
        <v/>
      </c>
    </row>
    <row r="406">
      <c r="A406" s="10" t="n">
        <v>3</v>
      </c>
      <c r="B406" s="10" t="n">
        <v>402</v>
      </c>
      <c r="C406" s="10" t="n">
        <v>2402</v>
      </c>
      <c r="D406" s="10" t="inlineStr">
        <is>
          <t>1381100170</t>
        </is>
      </c>
      <c r="E406" s="26" t="inlineStr">
        <is>
          <t>National Capital Region (NCR)</t>
        </is>
      </c>
      <c r="F406" s="26" t="inlineStr">
        <is>
          <t>Fourth District (Not a Province)</t>
        </is>
      </c>
      <c r="G406" s="26" t="inlineStr">
        <is>
          <t>Pasay City</t>
        </is>
      </c>
      <c r="H406" s="26" t="inlineStr">
        <is>
          <t>Barangay 170</t>
        </is>
      </c>
      <c r="I406" s="27" t="n">
        <v>14.681784</v>
      </c>
      <c r="J406" s="27" t="n">
        <v>120.927956</v>
      </c>
      <c r="K406" s="10" t="inlineStr">
        <is>
          <t>U</t>
        </is>
      </c>
      <c r="L406" s="12" t="n">
        <v>1616</v>
      </c>
      <c r="M406" s="14" t="n">
        <v>3.4</v>
      </c>
      <c r="N406" s="12">
        <f>ROUND(L406/M406, 0)</f>
        <v/>
      </c>
      <c r="O406" s="12">
        <f>ROUND(N406*'Methodology &amp; Assumptions'!$B$5, 0)</f>
        <v/>
      </c>
      <c r="P406" s="10" t="inlineStr">
        <is>
          <t>Single Carrier (Band n50, 100MHz TDD)</t>
        </is>
      </c>
      <c r="Q406" s="13">
        <f>ROUNDUP(O406/'Methodology &amp; Assumptions'!$B$6, 0)</f>
        <v/>
      </c>
      <c r="R406" s="13" t="n">
        <v>1</v>
      </c>
      <c r="S406" s="14" t="n">
        <v>1.65</v>
      </c>
      <c r="T406" s="14" t="n">
        <v>1.52</v>
      </c>
      <c r="U406" s="26">
        <f>IF(X406&gt;='Methodology &amp; Assumptions'!$B$7, "Tier 1 Critical GIDA (Score ≥ 50.0)", IF(X406&gt;='Methodology &amp; Assumptions'!$B$8, "Tier 2 High GIDA (Score 40.0–49.9)", "Tier 3 Moderate GIDA (Score &lt; 40.0)"))</f>
        <v/>
      </c>
      <c r="V406" s="26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W406" s="28" t="n">
        <v>0.109</v>
      </c>
      <c r="X406" s="14" t="n">
        <v>48.83</v>
      </c>
      <c r="Y406" s="14">
        <f>ROUND(MIN(100, (X406/69.91)*100), 2)</f>
        <v/>
      </c>
    </row>
    <row r="407">
      <c r="A407" s="10" t="n">
        <v>3</v>
      </c>
      <c r="B407" s="10" t="n">
        <v>403</v>
      </c>
      <c r="C407" s="10" t="n">
        <v>2403</v>
      </c>
      <c r="D407" s="10" t="inlineStr">
        <is>
          <t>0200904002</t>
        </is>
      </c>
      <c r="E407" s="26" t="inlineStr">
        <is>
          <t>Region II (Cagayan Valley)</t>
        </is>
      </c>
      <c r="F407" s="26" t="inlineStr">
        <is>
          <t>Batanes</t>
        </is>
      </c>
      <c r="G407" s="26" t="inlineStr">
        <is>
          <t>Mahatao</t>
        </is>
      </c>
      <c r="H407" s="26" t="inlineStr">
        <is>
          <t>Kaumbakan</t>
        </is>
      </c>
      <c r="I407" s="27" t="n">
        <v>20.406582</v>
      </c>
      <c r="J407" s="27" t="n">
        <v>121.95606</v>
      </c>
      <c r="K407" s="10" t="inlineStr">
        <is>
          <t>R</t>
        </is>
      </c>
      <c r="L407" s="12" t="n">
        <v>449</v>
      </c>
      <c r="M407" s="14" t="n">
        <v>3</v>
      </c>
      <c r="N407" s="12">
        <f>ROUND(L407/M407, 0)</f>
        <v/>
      </c>
      <c r="O407" s="12">
        <f>ROUND(N407*'Methodology &amp; Assumptions'!$B$5, 0)</f>
        <v/>
      </c>
      <c r="P407" s="10" t="inlineStr">
        <is>
          <t>Single Carrier (Band n50, 100MHz TDD)</t>
        </is>
      </c>
      <c r="Q407" s="13">
        <f>ROUNDUP(O407/'Methodology &amp; Assumptions'!$B$6, 0)</f>
        <v/>
      </c>
      <c r="R407" s="13" t="n">
        <v>1</v>
      </c>
      <c r="S407" s="14" t="n">
        <v>218.92</v>
      </c>
      <c r="T407" s="14" t="n">
        <v>212.77</v>
      </c>
      <c r="U407" s="26">
        <f>IF(X407&gt;='Methodology &amp; Assumptions'!$B$7, "Tier 1 Critical GIDA (Score ≥ 50.0)", IF(X407&gt;='Methodology &amp; Assumptions'!$B$8, "Tier 2 High GIDA (Score 40.0–49.9)", "Tier 3 Moderate GIDA (Score &lt; 40.0)"))</f>
        <v/>
      </c>
      <c r="V407" s="26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W407" s="28" t="n">
        <v>0.083</v>
      </c>
      <c r="X407" s="14" t="n">
        <v>48.82</v>
      </c>
      <c r="Y407" s="14">
        <f>ROUND(MIN(100, (X407/69.91)*100), 2)</f>
        <v/>
      </c>
    </row>
    <row r="408">
      <c r="A408" s="10" t="n">
        <v>3</v>
      </c>
      <c r="B408" s="10" t="n">
        <v>404</v>
      </c>
      <c r="C408" s="10" t="n">
        <v>2404</v>
      </c>
      <c r="D408" s="10" t="inlineStr">
        <is>
          <t>1381100109</t>
        </is>
      </c>
      <c r="E408" s="26" t="inlineStr">
        <is>
          <t>National Capital Region (NCR)</t>
        </is>
      </c>
      <c r="F408" s="26" t="inlineStr">
        <is>
          <t>Fourth District (Not a Province)</t>
        </is>
      </c>
      <c r="G408" s="26" t="inlineStr">
        <is>
          <t>Pasay City</t>
        </is>
      </c>
      <c r="H408" s="26" t="inlineStr">
        <is>
          <t>Barangay 109</t>
        </is>
      </c>
      <c r="I408" s="27" t="n">
        <v>14.48614</v>
      </c>
      <c r="J408" s="27" t="n">
        <v>121.159194</v>
      </c>
      <c r="K408" s="10" t="inlineStr">
        <is>
          <t>U</t>
        </is>
      </c>
      <c r="L408" s="12" t="n">
        <v>1154</v>
      </c>
      <c r="M408" s="14" t="n">
        <v>3.4</v>
      </c>
      <c r="N408" s="12">
        <f>ROUND(L408/M408, 0)</f>
        <v/>
      </c>
      <c r="O408" s="12">
        <f>ROUND(N408*'Methodology &amp; Assumptions'!$B$5, 0)</f>
        <v/>
      </c>
      <c r="P408" s="10" t="inlineStr">
        <is>
          <t>Single Carrier (Band n50, 100MHz TDD)</t>
        </is>
      </c>
      <c r="Q408" s="13">
        <f>ROUNDUP(O408/'Methodology &amp; Assumptions'!$B$6, 0)</f>
        <v/>
      </c>
      <c r="R408" s="13" t="n">
        <v>1</v>
      </c>
      <c r="S408" s="14" t="n">
        <v>2.33</v>
      </c>
      <c r="T408" s="14" t="n">
        <v>2.1</v>
      </c>
      <c r="U408" s="26">
        <f>IF(X408&gt;='Methodology &amp; Assumptions'!$B$7, "Tier 1 Critical GIDA (Score ≥ 50.0)", IF(X408&gt;='Methodology &amp; Assumptions'!$B$8, "Tier 2 High GIDA (Score 40.0–49.9)", "Tier 3 Moderate GIDA (Score &lt; 40.0)"))</f>
        <v/>
      </c>
      <c r="V408" s="26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W408" s="28" t="n">
        <v>0.109</v>
      </c>
      <c r="X408" s="14" t="n">
        <v>48.82</v>
      </c>
      <c r="Y408" s="14">
        <f>ROUND(MIN(100, (X408/69.91)*100), 2)</f>
        <v/>
      </c>
    </row>
    <row r="409">
      <c r="A409" s="10" t="n">
        <v>3</v>
      </c>
      <c r="B409" s="10" t="n">
        <v>405</v>
      </c>
      <c r="C409" s="10" t="n">
        <v>2405</v>
      </c>
      <c r="D409" s="10" t="inlineStr">
        <is>
          <t>1380601053</t>
        </is>
      </c>
      <c r="E409" s="26" t="inlineStr">
        <is>
          <t>National Capital Region (NCR)</t>
        </is>
      </c>
      <c r="F409" s="26" t="inlineStr">
        <is>
          <t>First District (Not a Province)</t>
        </is>
      </c>
      <c r="G409" s="26" t="inlineStr">
        <is>
          <t>City of Manila</t>
        </is>
      </c>
      <c r="H409" s="26" t="inlineStr">
        <is>
          <t>Barangay 53</t>
        </is>
      </c>
      <c r="I409" s="27" t="n">
        <v>13.703446</v>
      </c>
      <c r="J409" s="27" t="n">
        <v>121.700072</v>
      </c>
      <c r="K409" s="10" t="inlineStr">
        <is>
          <t>U</t>
        </is>
      </c>
      <c r="L409" s="12" t="n">
        <v>3005</v>
      </c>
      <c r="M409" s="14" t="n">
        <v>3.9</v>
      </c>
      <c r="N409" s="12">
        <f>ROUND(L409/M409, 0)</f>
        <v/>
      </c>
      <c r="O409" s="12">
        <f>ROUND(N409*'Methodology &amp; Assumptions'!$B$5, 0)</f>
        <v/>
      </c>
      <c r="P409" s="10" t="inlineStr">
        <is>
          <t>Single Carrier (Band n50, 100MHz TDD)</t>
        </is>
      </c>
      <c r="Q409" s="13">
        <f>ROUNDUP(O409/'Methodology &amp; Assumptions'!$B$6, 0)</f>
        <v/>
      </c>
      <c r="R409" s="13" t="n">
        <v>1</v>
      </c>
      <c r="S409" s="14" t="n">
        <v>26.68</v>
      </c>
      <c r="T409" s="14" t="n">
        <v>25.03</v>
      </c>
      <c r="U409" s="26">
        <f>IF(X409&gt;='Methodology &amp; Assumptions'!$B$7, "Tier 1 Critical GIDA (Score ≥ 50.0)", IF(X409&gt;='Methodology &amp; Assumptions'!$B$8, "Tier 2 High GIDA (Score 40.0–49.9)", "Tier 3 Moderate GIDA (Score &lt; 40.0)"))</f>
        <v/>
      </c>
      <c r="V409" s="26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W409" s="28" t="n">
        <v>0.109</v>
      </c>
      <c r="X409" s="14" t="n">
        <v>48.82</v>
      </c>
      <c r="Y409" s="14">
        <f>ROUND(MIN(100, (X409/69.91)*100), 2)</f>
        <v/>
      </c>
    </row>
    <row r="410">
      <c r="A410" s="10" t="n">
        <v>3</v>
      </c>
      <c r="B410" s="10" t="n">
        <v>406</v>
      </c>
      <c r="C410" s="10" t="n">
        <v>2406</v>
      </c>
      <c r="D410" s="10" t="inlineStr">
        <is>
          <t>1380601200</t>
        </is>
      </c>
      <c r="E410" s="26" t="inlineStr">
        <is>
          <t>National Capital Region (NCR)</t>
        </is>
      </c>
      <c r="F410" s="26" t="inlineStr">
        <is>
          <t>First District (Not a Province)</t>
        </is>
      </c>
      <c r="G410" s="26" t="inlineStr">
        <is>
          <t>City of Manila</t>
        </is>
      </c>
      <c r="H410" s="26" t="inlineStr">
        <is>
          <t>Barangay 200</t>
        </is>
      </c>
      <c r="I410" s="27" t="n">
        <v>12.320148</v>
      </c>
      <c r="J410" s="27" t="n">
        <v>122.400404</v>
      </c>
      <c r="K410" s="10" t="inlineStr">
        <is>
          <t>U</t>
        </is>
      </c>
      <c r="L410" s="12" t="n">
        <v>1717</v>
      </c>
      <c r="M410" s="14" t="n">
        <v>3.9</v>
      </c>
      <c r="N410" s="12">
        <f>ROUND(L410/M410, 0)</f>
        <v/>
      </c>
      <c r="O410" s="12">
        <f>ROUND(N410*'Methodology &amp; Assumptions'!$B$5, 0)</f>
        <v/>
      </c>
      <c r="P410" s="10" t="inlineStr">
        <is>
          <t>Single Carrier (Band n50, 100MHz TDD)</t>
        </is>
      </c>
      <c r="Q410" s="13">
        <f>ROUNDUP(O410/'Methodology &amp; Assumptions'!$B$6, 0)</f>
        <v/>
      </c>
      <c r="R410" s="13" t="n">
        <v>1</v>
      </c>
      <c r="S410" s="14" t="n">
        <v>64.43000000000001</v>
      </c>
      <c r="T410" s="14" t="n">
        <v>39.34</v>
      </c>
      <c r="U410" s="26">
        <f>IF(X410&gt;='Methodology &amp; Assumptions'!$B$7, "Tier 1 Critical GIDA (Score ≥ 50.0)", IF(X410&gt;='Methodology &amp; Assumptions'!$B$8, "Tier 2 High GIDA (Score 40.0–49.9)", "Tier 3 Moderate GIDA (Score &lt; 40.0)"))</f>
        <v/>
      </c>
      <c r="V410" s="26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W410" s="28" t="n">
        <v>0.109</v>
      </c>
      <c r="X410" s="14" t="n">
        <v>48.82</v>
      </c>
      <c r="Y410" s="14">
        <f>ROUND(MIN(100, (X410/69.91)*100), 2)</f>
        <v/>
      </c>
    </row>
    <row r="411">
      <c r="A411" s="10" t="n">
        <v>3</v>
      </c>
      <c r="B411" s="10" t="n">
        <v>407</v>
      </c>
      <c r="C411" s="10" t="n">
        <v>2407</v>
      </c>
      <c r="D411" s="10" t="inlineStr">
        <is>
          <t>PH0002407</t>
        </is>
      </c>
      <c r="E411" s="26" t="inlineStr">
        <is>
          <t>XI</t>
        </is>
      </c>
      <c r="F411" s="26" t="inlineStr">
        <is>
          <t>Davao Del Sur</t>
        </is>
      </c>
      <c r="G411" s="26" t="inlineStr">
        <is>
          <t>Davao City</t>
        </is>
      </c>
      <c r="H411" s="26" t="inlineStr">
        <is>
          <t>Barangay 2-A (Pob.)</t>
        </is>
      </c>
      <c r="I411" s="27" t="n">
        <v>7.063092</v>
      </c>
      <c r="J411" s="27" t="n">
        <v>125.607644</v>
      </c>
      <c r="K411" s="10" t="inlineStr">
        <is>
          <t>R</t>
        </is>
      </c>
      <c r="L411" s="12" t="n">
        <v>2280</v>
      </c>
      <c r="M411" s="14" t="n">
        <v>3.4</v>
      </c>
      <c r="N411" s="12">
        <f>ROUND(L411/M411, 0)</f>
        <v/>
      </c>
      <c r="O411" s="12">
        <f>ROUND(N411*'Methodology &amp; Assumptions'!$B$5, 0)</f>
        <v/>
      </c>
      <c r="P411" s="10" t="inlineStr">
        <is>
          <t>Single Carrier (Band n50, 100MHz TDD)</t>
        </is>
      </c>
      <c r="Q411" s="13">
        <f>ROUNDUP(O411/'Methodology &amp; Assumptions'!$B$6, 0)</f>
        <v/>
      </c>
      <c r="R411" s="13" t="n">
        <v>1</v>
      </c>
      <c r="S411" s="14" t="n">
        <v>0.78</v>
      </c>
      <c r="T411" s="14" t="n">
        <v>0.36</v>
      </c>
      <c r="U411" s="26">
        <f>IF(X411&gt;='Methodology &amp; Assumptions'!$B$7, "Tier 1 Critical GIDA (Score ≥ 50.0)", IF(X411&gt;='Methodology &amp; Assumptions'!$B$8, "Tier 2 High GIDA (Score 40.0–49.9)", "Tier 3 Moderate GIDA (Score &lt; 40.0)"))</f>
        <v/>
      </c>
      <c r="V411" s="26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W411" s="28" t="n">
        <v>0.119</v>
      </c>
      <c r="X411" s="14" t="n">
        <v>48.82</v>
      </c>
      <c r="Y411" s="14">
        <f>ROUND(MIN(100, (X411/69.91)*100), 2)</f>
        <v/>
      </c>
    </row>
    <row r="412">
      <c r="A412" s="10" t="n">
        <v>3</v>
      </c>
      <c r="B412" s="10" t="n">
        <v>408</v>
      </c>
      <c r="C412" s="10" t="n">
        <v>2408</v>
      </c>
      <c r="D412" s="10" t="inlineStr">
        <is>
          <t>1380607001</t>
        </is>
      </c>
      <c r="E412" s="26" t="inlineStr">
        <is>
          <t>National Capital Region (NCR)</t>
        </is>
      </c>
      <c r="F412" s="26" t="inlineStr">
        <is>
          <t>First District (Not a Province)</t>
        </is>
      </c>
      <c r="G412" s="26" t="inlineStr">
        <is>
          <t>City of Manila</t>
        </is>
      </c>
      <c r="H412" s="26" t="inlineStr">
        <is>
          <t>Barangay 637</t>
        </is>
      </c>
      <c r="I412" s="27" t="n">
        <v>13.441076</v>
      </c>
      <c r="J412" s="27" t="n">
        <v>122.402446</v>
      </c>
      <c r="K412" s="10" t="inlineStr">
        <is>
          <t>U</t>
        </is>
      </c>
      <c r="L412" s="12" t="n">
        <v>1334</v>
      </c>
      <c r="M412" s="14" t="n">
        <v>3.9</v>
      </c>
      <c r="N412" s="12">
        <f>ROUND(L412/M412, 0)</f>
        <v/>
      </c>
      <c r="O412" s="12">
        <f>ROUND(N412*'Methodology &amp; Assumptions'!$B$5, 0)</f>
        <v/>
      </c>
      <c r="P412" s="10" t="inlineStr">
        <is>
          <t>Single Carrier (Band n50, 100MHz TDD)</t>
        </is>
      </c>
      <c r="Q412" s="13">
        <f>ROUNDUP(O412/'Methodology &amp; Assumptions'!$B$6, 0)</f>
        <v/>
      </c>
      <c r="R412" s="13" t="n">
        <v>1</v>
      </c>
      <c r="S412" s="14" t="n">
        <v>9.619999999999999</v>
      </c>
      <c r="T412" s="14" t="n">
        <v>9.460000000000001</v>
      </c>
      <c r="U412" s="26">
        <f>IF(X412&gt;='Methodology &amp; Assumptions'!$B$7, "Tier 1 Critical GIDA (Score ≥ 50.0)", IF(X412&gt;='Methodology &amp; Assumptions'!$B$8, "Tier 2 High GIDA (Score 40.0–49.9)", "Tier 3 Moderate GIDA (Score &lt; 40.0)"))</f>
        <v/>
      </c>
      <c r="V412" s="26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W412" s="28" t="n">
        <v>0.109</v>
      </c>
      <c r="X412" s="14" t="n">
        <v>48.82</v>
      </c>
      <c r="Y412" s="14">
        <f>ROUND(MIN(100, (X412/69.91)*100), 2)</f>
        <v/>
      </c>
    </row>
    <row r="413">
      <c r="A413" s="10" t="n">
        <v>3</v>
      </c>
      <c r="B413" s="10" t="n">
        <v>409</v>
      </c>
      <c r="C413" s="10" t="n">
        <v>2409</v>
      </c>
      <c r="D413" s="10" t="inlineStr">
        <is>
          <t>1380500019</t>
        </is>
      </c>
      <c r="E413" s="26" t="inlineStr">
        <is>
          <t>National Capital Region (NCR)</t>
        </is>
      </c>
      <c r="F413" s="26" t="inlineStr">
        <is>
          <t>Second District (Not a Province)</t>
        </is>
      </c>
      <c r="G413" s="26" t="inlineStr">
        <is>
          <t>City of Mandaluyong</t>
        </is>
      </c>
      <c r="H413" s="26" t="inlineStr">
        <is>
          <t>New Zañiga</t>
        </is>
      </c>
      <c r="I413" s="27" t="n">
        <v>14.577473</v>
      </c>
      <c r="J413" s="27" t="n">
        <v>121.046205</v>
      </c>
      <c r="K413" s="10" t="inlineStr">
        <is>
          <t>U</t>
        </is>
      </c>
      <c r="L413" s="12" t="n">
        <v>9240</v>
      </c>
      <c r="M413" s="14" t="n">
        <v>3.3</v>
      </c>
      <c r="N413" s="12">
        <f>ROUND(L413/M413, 0)</f>
        <v/>
      </c>
      <c r="O413" s="12">
        <f>ROUND(N413*'Methodology &amp; Assumptions'!$B$5, 0)</f>
        <v/>
      </c>
      <c r="P413" s="10" t="inlineStr">
        <is>
          <t>Single Carrier (Band n50, 100MHz TDD)</t>
        </is>
      </c>
      <c r="Q413" s="13">
        <f>ROUNDUP(O413/'Methodology &amp; Assumptions'!$B$6, 0)</f>
        <v/>
      </c>
      <c r="R413" s="13" t="n">
        <v>1</v>
      </c>
      <c r="S413" s="14" t="n">
        <v>0.77</v>
      </c>
      <c r="T413" s="14" t="n">
        <v>0.26</v>
      </c>
      <c r="U413" s="26">
        <f>IF(X413&gt;='Methodology &amp; Assumptions'!$B$7, "Tier 1 Critical GIDA (Score ≥ 50.0)", IF(X413&gt;='Methodology &amp; Assumptions'!$B$8, "Tier 2 High GIDA (Score 40.0–49.9)", "Tier 3 Moderate GIDA (Score &lt; 40.0)"))</f>
        <v/>
      </c>
      <c r="V413" s="26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W413" s="28" t="n">
        <v>0.109</v>
      </c>
      <c r="X413" s="14" t="n">
        <v>48.82</v>
      </c>
      <c r="Y413" s="14">
        <f>ROUND(MIN(100, (X413/69.91)*100), 2)</f>
        <v/>
      </c>
    </row>
    <row r="414">
      <c r="A414" s="10" t="n">
        <v>3</v>
      </c>
      <c r="B414" s="10" t="n">
        <v>410</v>
      </c>
      <c r="C414" s="10" t="n">
        <v>2410</v>
      </c>
      <c r="D414" s="10" t="inlineStr">
        <is>
          <t>0803717030</t>
        </is>
      </c>
      <c r="E414" s="26" t="inlineStr">
        <is>
          <t>Region VIII (Eastern Visayas)</t>
        </is>
      </c>
      <c r="F414" s="26" t="inlineStr">
        <is>
          <t>Leyte</t>
        </is>
      </c>
      <c r="G414" s="26" t="inlineStr">
        <is>
          <t>Dagami</t>
        </is>
      </c>
      <c r="H414" s="26" t="inlineStr">
        <is>
          <t>Lobe-lobe</t>
        </is>
      </c>
      <c r="I414" s="27" t="n">
        <v>11.064718</v>
      </c>
      <c r="J414" s="27" t="n">
        <v>124.891966</v>
      </c>
      <c r="K414" s="10" t="inlineStr">
        <is>
          <t>R</t>
        </is>
      </c>
      <c r="L414" s="12" t="n">
        <v>145</v>
      </c>
      <c r="M414" s="14" t="n">
        <v>3.8</v>
      </c>
      <c r="N414" s="12">
        <f>ROUND(L414/M414, 0)</f>
        <v/>
      </c>
      <c r="O414" s="12">
        <f>ROUND(N414*'Methodology &amp; Assumptions'!$B$5, 0)</f>
        <v/>
      </c>
      <c r="P414" s="10" t="inlineStr">
        <is>
          <t>Single Carrier (Band n50, 100MHz TDD)</t>
        </is>
      </c>
      <c r="Q414" s="13">
        <f>ROUNDUP(O414/'Methodology &amp; Assumptions'!$B$6, 0)</f>
        <v/>
      </c>
      <c r="R414" s="13" t="n">
        <v>1</v>
      </c>
      <c r="S414" s="14" t="n">
        <v>14.67</v>
      </c>
      <c r="T414" s="14" t="n">
        <v>13.5</v>
      </c>
      <c r="U414" s="26">
        <f>IF(X414&gt;='Methodology &amp; Assumptions'!$B$7, "Tier 1 Critical GIDA (Score ≥ 50.0)", IF(X414&gt;='Methodology &amp; Assumptions'!$B$8, "Tier 2 High GIDA (Score 40.0–49.9)", "Tier 3 Moderate GIDA (Score &lt; 40.0)"))</f>
        <v/>
      </c>
      <c r="V414" s="26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W414" s="28" t="n">
        <v>0.237</v>
      </c>
      <c r="X414" s="14" t="n">
        <v>48.82</v>
      </c>
      <c r="Y414" s="14">
        <f>ROUND(MIN(100, (X414/69.91)*100), 2)</f>
        <v/>
      </c>
    </row>
    <row r="415">
      <c r="A415" s="10" t="n">
        <v>3</v>
      </c>
      <c r="B415" s="10" t="n">
        <v>411</v>
      </c>
      <c r="C415" s="10" t="n">
        <v>2411</v>
      </c>
      <c r="D415" s="10" t="inlineStr">
        <is>
          <t>1380606027</t>
        </is>
      </c>
      <c r="E415" s="26" t="inlineStr">
        <is>
          <t>National Capital Region (NCR)</t>
        </is>
      </c>
      <c r="F415" s="26" t="inlineStr">
        <is>
          <t>First District (Not a Province)</t>
        </is>
      </c>
      <c r="G415" s="26" t="inlineStr">
        <is>
          <t>City of Manila</t>
        </is>
      </c>
      <c r="H415" s="26" t="inlineStr">
        <is>
          <t>Barangay 421</t>
        </is>
      </c>
      <c r="I415" s="27" t="n">
        <v>12.050576</v>
      </c>
      <c r="J415" s="27" t="n">
        <v>121.699589</v>
      </c>
      <c r="K415" s="10" t="inlineStr">
        <is>
          <t>U</t>
        </is>
      </c>
      <c r="L415" s="12" t="n">
        <v>1519</v>
      </c>
      <c r="M415" s="14" t="n">
        <v>3.9</v>
      </c>
      <c r="N415" s="12">
        <f>ROUND(L415/M415, 0)</f>
        <v/>
      </c>
      <c r="O415" s="12">
        <f>ROUND(N415*'Methodology &amp; Assumptions'!$B$5, 0)</f>
        <v/>
      </c>
      <c r="P415" s="10" t="inlineStr">
        <is>
          <t>Single Carrier (Band n50, 100MHz TDD)</t>
        </is>
      </c>
      <c r="Q415" s="13">
        <f>ROUNDUP(O415/'Methodology &amp; Assumptions'!$B$6, 0)</f>
        <v/>
      </c>
      <c r="R415" s="13" t="n">
        <v>1</v>
      </c>
      <c r="S415" s="14" t="n">
        <v>29.1</v>
      </c>
      <c r="T415" s="14" t="n">
        <v>17.74</v>
      </c>
      <c r="U415" s="26">
        <f>IF(X415&gt;='Methodology &amp; Assumptions'!$B$7, "Tier 1 Critical GIDA (Score ≥ 50.0)", IF(X415&gt;='Methodology &amp; Assumptions'!$B$8, "Tier 2 High GIDA (Score 40.0–49.9)", "Tier 3 Moderate GIDA (Score &lt; 40.0)"))</f>
        <v/>
      </c>
      <c r="V415" s="26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W415" s="28" t="n">
        <v>0.109</v>
      </c>
      <c r="X415" s="14" t="n">
        <v>48.81</v>
      </c>
      <c r="Y415" s="14">
        <f>ROUND(MIN(100, (X415/69.91)*100), 2)</f>
        <v/>
      </c>
    </row>
    <row r="416">
      <c r="A416" s="10" t="n">
        <v>3</v>
      </c>
      <c r="B416" s="10" t="n">
        <v>412</v>
      </c>
      <c r="C416" s="10" t="n">
        <v>2412</v>
      </c>
      <c r="D416" s="10" t="inlineStr">
        <is>
          <t>PH0002412</t>
        </is>
      </c>
      <c r="E416" s="26" t="inlineStr">
        <is>
          <t>NCR</t>
        </is>
      </c>
      <c r="F416" s="26" t="inlineStr">
        <is>
          <t>Metro Manila</t>
        </is>
      </c>
      <c r="G416" s="26" t="inlineStr">
        <is>
          <t>Caloocan City</t>
        </is>
      </c>
      <c r="H416" s="26" t="inlineStr">
        <is>
          <t>Barangay 110</t>
        </is>
      </c>
      <c r="I416" s="27" t="n">
        <v>13.635088</v>
      </c>
      <c r="J416" s="27" t="n">
        <v>120.557676</v>
      </c>
      <c r="K416" s="10" t="inlineStr">
        <is>
          <t>R</t>
        </is>
      </c>
      <c r="L416" s="12" t="n">
        <v>2279</v>
      </c>
      <c r="M416" s="14" t="n">
        <v>3.8</v>
      </c>
      <c r="N416" s="12">
        <f>ROUND(L416/M416, 0)</f>
        <v/>
      </c>
      <c r="O416" s="12">
        <f>ROUND(N416*'Methodology &amp; Assumptions'!$B$5, 0)</f>
        <v/>
      </c>
      <c r="P416" s="10" t="inlineStr">
        <is>
          <t>Single Carrier (Band n50, 100MHz TDD)</t>
        </is>
      </c>
      <c r="Q416" s="13">
        <f>ROUNDUP(O416/'Methodology &amp; Assumptions'!$B$6, 0)</f>
        <v/>
      </c>
      <c r="R416" s="13" t="n">
        <v>1</v>
      </c>
      <c r="S416" s="14" t="n">
        <v>22.83</v>
      </c>
      <c r="T416" s="14" t="n">
        <v>22.91</v>
      </c>
      <c r="U416" s="26">
        <f>IF(X416&gt;='Methodology &amp; Assumptions'!$B$7, "Tier 1 Critical GIDA (Score ≥ 50.0)", IF(X416&gt;='Methodology &amp; Assumptions'!$B$8, "Tier 2 High GIDA (Score 40.0–49.9)", "Tier 3 Moderate GIDA (Score &lt; 40.0)"))</f>
        <v/>
      </c>
      <c r="V416" s="26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W416" s="28" t="n">
        <v>0.011</v>
      </c>
      <c r="X416" s="14" t="n">
        <v>48.81</v>
      </c>
      <c r="Y416" s="14">
        <f>ROUND(MIN(100, (X416/69.91)*100), 2)</f>
        <v/>
      </c>
    </row>
    <row r="417">
      <c r="A417" s="10" t="n">
        <v>3</v>
      </c>
      <c r="B417" s="10" t="n">
        <v>413</v>
      </c>
      <c r="C417" s="10" t="n">
        <v>2413</v>
      </c>
      <c r="D417" s="10" t="inlineStr">
        <is>
          <t>1380606187</t>
        </is>
      </c>
      <c r="E417" s="26" t="inlineStr">
        <is>
          <t>National Capital Region (NCR)</t>
        </is>
      </c>
      <c r="F417" s="26" t="inlineStr">
        <is>
          <t>First District (Not a Province)</t>
        </is>
      </c>
      <c r="G417" s="26" t="inlineStr">
        <is>
          <t>City of Manila</t>
        </is>
      </c>
      <c r="H417" s="26" t="inlineStr">
        <is>
          <t>Barangay 581</t>
        </is>
      </c>
      <c r="I417" s="27" t="n">
        <v>13.541072</v>
      </c>
      <c r="J417" s="27" t="n">
        <v>121.253414</v>
      </c>
      <c r="K417" s="10" t="inlineStr">
        <is>
          <t>U</t>
        </is>
      </c>
      <c r="L417" s="12" t="n">
        <v>2536</v>
      </c>
      <c r="M417" s="14" t="n">
        <v>3.9</v>
      </c>
      <c r="N417" s="12">
        <f>ROUND(L417/M417, 0)</f>
        <v/>
      </c>
      <c r="O417" s="12">
        <f>ROUND(N417*'Methodology &amp; Assumptions'!$B$5, 0)</f>
        <v/>
      </c>
      <c r="P417" s="10" t="inlineStr">
        <is>
          <t>Single Carrier (Band n50, 100MHz TDD)</t>
        </is>
      </c>
      <c r="Q417" s="13">
        <f>ROUNDUP(O417/'Methodology &amp; Assumptions'!$B$6, 0)</f>
        <v/>
      </c>
      <c r="R417" s="13" t="n">
        <v>1</v>
      </c>
      <c r="S417" s="14" t="n">
        <v>12.78</v>
      </c>
      <c r="T417" s="14" t="n">
        <v>20.62</v>
      </c>
      <c r="U417" s="26">
        <f>IF(X417&gt;='Methodology &amp; Assumptions'!$B$7, "Tier 1 Critical GIDA (Score ≥ 50.0)", IF(X417&gt;='Methodology &amp; Assumptions'!$B$8, "Tier 2 High GIDA (Score 40.0–49.9)", "Tier 3 Moderate GIDA (Score &lt; 40.0)"))</f>
        <v/>
      </c>
      <c r="V417" s="26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W417" s="28" t="n">
        <v>0.109</v>
      </c>
      <c r="X417" s="14" t="n">
        <v>48.81</v>
      </c>
      <c r="Y417" s="14">
        <f>ROUND(MIN(100, (X417/69.91)*100), 2)</f>
        <v/>
      </c>
    </row>
    <row r="418">
      <c r="A418" s="10" t="n">
        <v>3</v>
      </c>
      <c r="B418" s="10" t="n">
        <v>414</v>
      </c>
      <c r="C418" s="10" t="n">
        <v>2414</v>
      </c>
      <c r="D418" s="10" t="inlineStr">
        <is>
          <t>1108202036</t>
        </is>
      </c>
      <c r="E418" s="26" t="inlineStr">
        <is>
          <t>Region XI (Davao Region)</t>
        </is>
      </c>
      <c r="F418" s="26" t="inlineStr">
        <is>
          <t>Davao de Oro</t>
        </is>
      </c>
      <c r="G418" s="26" t="inlineStr">
        <is>
          <t>Laak</t>
        </is>
      </c>
      <c r="H418" s="26" t="inlineStr">
        <is>
          <t>Panamoren</t>
        </is>
      </c>
      <c r="I418" s="27" t="n">
        <v>7.83617</v>
      </c>
      <c r="J418" s="27" t="n">
        <v>125.696637</v>
      </c>
      <c r="K418" s="10" t="inlineStr">
        <is>
          <t>R</t>
        </is>
      </c>
      <c r="L418" s="12" t="n">
        <v>1073</v>
      </c>
      <c r="M418" s="14" t="n">
        <v>3.7</v>
      </c>
      <c r="N418" s="12">
        <f>ROUND(L418/M418, 0)</f>
        <v/>
      </c>
      <c r="O418" s="12">
        <f>ROUND(N418*'Methodology &amp; Assumptions'!$B$5, 0)</f>
        <v/>
      </c>
      <c r="P418" s="10" t="inlineStr">
        <is>
          <t>Single Carrier (Band n50, 100MHz TDD)</t>
        </is>
      </c>
      <c r="Q418" s="13">
        <f>ROUNDUP(O418/'Methodology &amp; Assumptions'!$B$6, 0)</f>
        <v/>
      </c>
      <c r="R418" s="13" t="n">
        <v>1</v>
      </c>
      <c r="S418" s="14" t="n">
        <v>39.62</v>
      </c>
      <c r="T418" s="14" t="n">
        <v>24.79</v>
      </c>
      <c r="U418" s="26">
        <f>IF(X418&gt;='Methodology &amp; Assumptions'!$B$7, "Tier 1 Critical GIDA (Score ≥ 50.0)", IF(X418&gt;='Methodology &amp; Assumptions'!$B$8, "Tier 2 High GIDA (Score 40.0–49.9)", "Tier 3 Moderate GIDA (Score &lt; 40.0)"))</f>
        <v/>
      </c>
      <c r="V418" s="26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W418" s="28" t="n">
        <v>0.174</v>
      </c>
      <c r="X418" s="14" t="n">
        <v>48.81</v>
      </c>
      <c r="Y418" s="14">
        <f>ROUND(MIN(100, (X418/69.91)*100), 2)</f>
        <v/>
      </c>
    </row>
    <row r="419">
      <c r="A419" s="10" t="n">
        <v>3</v>
      </c>
      <c r="B419" s="10" t="n">
        <v>415</v>
      </c>
      <c r="C419" s="10" t="n">
        <v>2415</v>
      </c>
      <c r="D419" s="10" t="inlineStr">
        <is>
          <t>PH0002415</t>
        </is>
      </c>
      <c r="E419" s="26" t="inlineStr">
        <is>
          <t>CAR</t>
        </is>
      </c>
      <c r="F419" s="26" t="inlineStr">
        <is>
          <t>Benguet</t>
        </is>
      </c>
      <c r="G419" s="26" t="inlineStr">
        <is>
          <t>Baguio City</t>
        </is>
      </c>
      <c r="H419" s="26" t="inlineStr">
        <is>
          <t>Harrison-Claudio Carantes</t>
        </is>
      </c>
      <c r="I419" s="27" t="n">
        <v>16.389802</v>
      </c>
      <c r="J419" s="27" t="n">
        <v>120.583881</v>
      </c>
      <c r="K419" s="10" t="inlineStr">
        <is>
          <t>R</t>
        </is>
      </c>
      <c r="L419" s="12" t="n">
        <v>2260</v>
      </c>
      <c r="M419" s="14" t="n">
        <v>3.5</v>
      </c>
      <c r="N419" s="12">
        <f>ROUND(L419/M419, 0)</f>
        <v/>
      </c>
      <c r="O419" s="12">
        <f>ROUND(N419*'Methodology &amp; Assumptions'!$B$5, 0)</f>
        <v/>
      </c>
      <c r="P419" s="10" t="inlineStr">
        <is>
          <t>Single Carrier (Band n50, 100MHz TDD)</t>
        </is>
      </c>
      <c r="Q419" s="13">
        <f>ROUNDUP(O419/'Methodology &amp; Assumptions'!$B$6, 0)</f>
        <v/>
      </c>
      <c r="R419" s="13" t="n">
        <v>1</v>
      </c>
      <c r="S419" s="14" t="n">
        <v>1.95</v>
      </c>
      <c r="T419" s="14" t="n">
        <v>0.6899999999999999</v>
      </c>
      <c r="U419" s="26">
        <f>IF(X419&gt;='Methodology &amp; Assumptions'!$B$7, "Tier 1 Critical GIDA (Score ≥ 50.0)", IF(X419&gt;='Methodology &amp; Assumptions'!$B$8, "Tier 2 High GIDA (Score 40.0–49.9)", "Tier 3 Moderate GIDA (Score &lt; 40.0)"))</f>
        <v/>
      </c>
      <c r="V419" s="26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W419" s="28" t="n">
        <v>0.221</v>
      </c>
      <c r="X419" s="14" t="n">
        <v>48.79</v>
      </c>
      <c r="Y419" s="14">
        <f>ROUND(MIN(100, (X419/69.91)*100), 2)</f>
        <v/>
      </c>
    </row>
    <row r="420">
      <c r="A420" s="10" t="n">
        <v>3</v>
      </c>
      <c r="B420" s="10" t="n">
        <v>416</v>
      </c>
      <c r="C420" s="10" t="n">
        <v>2416</v>
      </c>
      <c r="D420" s="10" t="inlineStr">
        <is>
          <t>1381100123</t>
        </is>
      </c>
      <c r="E420" s="26" t="inlineStr">
        <is>
          <t>National Capital Region (NCR)</t>
        </is>
      </c>
      <c r="F420" s="26" t="inlineStr">
        <is>
          <t>Fourth District (Not a Province)</t>
        </is>
      </c>
      <c r="G420" s="26" t="inlineStr">
        <is>
          <t>Pasay City</t>
        </is>
      </c>
      <c r="H420" s="26" t="inlineStr">
        <is>
          <t>Barangay 123</t>
        </is>
      </c>
      <c r="I420" s="27" t="n">
        <v>14.479111</v>
      </c>
      <c r="J420" s="27" t="n">
        <v>120.84956</v>
      </c>
      <c r="K420" s="10" t="inlineStr">
        <is>
          <t>U</t>
        </is>
      </c>
      <c r="L420" s="12" t="n">
        <v>1321</v>
      </c>
      <c r="M420" s="14" t="n">
        <v>3.4</v>
      </c>
      <c r="N420" s="12">
        <f>ROUND(L420/M420, 0)</f>
        <v/>
      </c>
      <c r="O420" s="12">
        <f>ROUND(N420*'Methodology &amp; Assumptions'!$B$5, 0)</f>
        <v/>
      </c>
      <c r="P420" s="10" t="inlineStr">
        <is>
          <t>Single Carrier (Band n50, 100MHz TDD)</t>
        </is>
      </c>
      <c r="Q420" s="13">
        <f>ROUNDUP(O420/'Methodology &amp; Assumptions'!$B$6, 0)</f>
        <v/>
      </c>
      <c r="R420" s="13" t="n">
        <v>1</v>
      </c>
      <c r="S420" s="14" t="n">
        <v>4.12</v>
      </c>
      <c r="T420" s="14" t="n">
        <v>6.52</v>
      </c>
      <c r="U420" s="26">
        <f>IF(X420&gt;='Methodology &amp; Assumptions'!$B$7, "Tier 1 Critical GIDA (Score ≥ 50.0)", IF(X420&gt;='Methodology &amp; Assumptions'!$B$8, "Tier 2 High GIDA (Score 40.0–49.9)", "Tier 3 Moderate GIDA (Score &lt; 40.0)"))</f>
        <v/>
      </c>
      <c r="V420" s="26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W420" s="28" t="n">
        <v>0.109</v>
      </c>
      <c r="X420" s="14" t="n">
        <v>48.79</v>
      </c>
      <c r="Y420" s="14">
        <f>ROUND(MIN(100, (X420/69.91)*100), 2)</f>
        <v/>
      </c>
    </row>
    <row r="421">
      <c r="A421" s="10" t="n">
        <v>3</v>
      </c>
      <c r="B421" s="10" t="n">
        <v>417</v>
      </c>
      <c r="C421" s="10" t="n">
        <v>2417</v>
      </c>
      <c r="D421" s="10" t="inlineStr">
        <is>
          <t>PH0002417</t>
        </is>
      </c>
      <c r="E421" s="26" t="inlineStr">
        <is>
          <t>VI</t>
        </is>
      </c>
      <c r="F421" s="26" t="inlineStr">
        <is>
          <t>Iloilo</t>
        </is>
      </c>
      <c r="G421" s="26" t="inlineStr">
        <is>
          <t>Iloilo City</t>
        </is>
      </c>
      <c r="H421" s="26" t="inlineStr">
        <is>
          <t>San Pedro</t>
        </is>
      </c>
      <c r="I421" s="27" t="n">
        <v>10.781053</v>
      </c>
      <c r="J421" s="27" t="n">
        <v>122.449531</v>
      </c>
      <c r="K421" s="10" t="inlineStr">
        <is>
          <t>R</t>
        </is>
      </c>
      <c r="L421" s="12" t="n">
        <v>2230</v>
      </c>
      <c r="M421" s="14" t="n">
        <v>3.8</v>
      </c>
      <c r="N421" s="12">
        <f>ROUND(L421/M421, 0)</f>
        <v/>
      </c>
      <c r="O421" s="12">
        <f>ROUND(N421*'Methodology &amp; Assumptions'!$B$5, 0)</f>
        <v/>
      </c>
      <c r="P421" s="10" t="inlineStr">
        <is>
          <t>Single Carrier (Band n50, 100MHz TDD)</t>
        </is>
      </c>
      <c r="Q421" s="13">
        <f>ROUNDUP(O421/'Methodology &amp; Assumptions'!$B$6, 0)</f>
        <v/>
      </c>
      <c r="R421" s="13" t="n">
        <v>1</v>
      </c>
      <c r="S421" s="14" t="n">
        <v>10.26</v>
      </c>
      <c r="T421" s="14" t="n">
        <v>1.4</v>
      </c>
      <c r="U421" s="26">
        <f>IF(X421&gt;='Methodology &amp; Assumptions'!$B$7, "Tier 1 Critical GIDA (Score ≥ 50.0)", IF(X421&gt;='Methodology &amp; Assumptions'!$B$8, "Tier 2 High GIDA (Score 40.0–49.9)", "Tier 3 Moderate GIDA (Score &lt; 40.0)"))</f>
        <v/>
      </c>
      <c r="V421" s="26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W421" s="28" t="n">
        <v>0.156</v>
      </c>
      <c r="X421" s="14" t="n">
        <v>48.79</v>
      </c>
      <c r="Y421" s="14">
        <f>ROUND(MIN(100, (X421/69.91)*100), 2)</f>
        <v/>
      </c>
    </row>
    <row r="422">
      <c r="A422" s="10" t="n">
        <v>3</v>
      </c>
      <c r="B422" s="10" t="n">
        <v>418</v>
      </c>
      <c r="C422" s="10" t="n">
        <v>2418</v>
      </c>
      <c r="D422" s="10" t="inlineStr">
        <is>
          <t>PH0002418</t>
        </is>
      </c>
      <c r="E422" s="26" t="inlineStr">
        <is>
          <t>NCR</t>
        </is>
      </c>
      <c r="F422" s="26" t="inlineStr">
        <is>
          <t>Metro Manila</t>
        </is>
      </c>
      <c r="G422" s="26" t="inlineStr">
        <is>
          <t>Caloocan City</t>
        </is>
      </c>
      <c r="H422" s="26" t="inlineStr">
        <is>
          <t>Barangay 90</t>
        </is>
      </c>
      <c r="I422" s="27" t="n">
        <v>13.124066</v>
      </c>
      <c r="J422" s="27" t="n">
        <v>123.195636</v>
      </c>
      <c r="K422" s="10" t="inlineStr">
        <is>
          <t>R</t>
        </is>
      </c>
      <c r="L422" s="12" t="n">
        <v>2279</v>
      </c>
      <c r="M422" s="14" t="n">
        <v>3.8</v>
      </c>
      <c r="N422" s="12">
        <f>ROUND(L422/M422, 0)</f>
        <v/>
      </c>
      <c r="O422" s="12">
        <f>ROUND(N422*'Methodology &amp; Assumptions'!$B$5, 0)</f>
        <v/>
      </c>
      <c r="P422" s="10" t="inlineStr">
        <is>
          <t>Single Carrier (Band n50, 100MHz TDD)</t>
        </is>
      </c>
      <c r="Q422" s="13">
        <f>ROUNDUP(O422/'Methodology &amp; Assumptions'!$B$6, 0)</f>
        <v/>
      </c>
      <c r="R422" s="13" t="n">
        <v>1</v>
      </c>
      <c r="S422" s="14" t="n">
        <v>10.6</v>
      </c>
      <c r="T422" s="14" t="n">
        <v>31.46</v>
      </c>
      <c r="U422" s="26">
        <f>IF(X422&gt;='Methodology &amp; Assumptions'!$B$7, "Tier 1 Critical GIDA (Score ≥ 50.0)", IF(X422&gt;='Methodology &amp; Assumptions'!$B$8, "Tier 2 High GIDA (Score 40.0–49.9)", "Tier 3 Moderate GIDA (Score &lt; 40.0)"))</f>
        <v/>
      </c>
      <c r="V422" s="26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W422" s="28" t="n">
        <v>0.011</v>
      </c>
      <c r="X422" s="14" t="n">
        <v>48.79</v>
      </c>
      <c r="Y422" s="14">
        <f>ROUND(MIN(100, (X422/69.91)*100), 2)</f>
        <v/>
      </c>
    </row>
    <row r="423">
      <c r="A423" s="10" t="n">
        <v>3</v>
      </c>
      <c r="B423" s="10" t="n">
        <v>419</v>
      </c>
      <c r="C423" s="10" t="n">
        <v>2419</v>
      </c>
      <c r="D423" s="10" t="inlineStr">
        <is>
          <t>1381100135</t>
        </is>
      </c>
      <c r="E423" s="26" t="inlineStr">
        <is>
          <t>National Capital Region (NCR)</t>
        </is>
      </c>
      <c r="F423" s="26" t="inlineStr">
        <is>
          <t>Fourth District (Not a Province)</t>
        </is>
      </c>
      <c r="G423" s="26" t="inlineStr">
        <is>
          <t>Pasay City</t>
        </is>
      </c>
      <c r="H423" s="26" t="inlineStr">
        <is>
          <t>Barangay 135</t>
        </is>
      </c>
      <c r="I423" s="27" t="n">
        <v>14.688519</v>
      </c>
      <c r="J423" s="27" t="n">
        <v>121.074818</v>
      </c>
      <c r="K423" s="10" t="inlineStr">
        <is>
          <t>U</t>
        </is>
      </c>
      <c r="L423" s="12" t="n">
        <v>2847</v>
      </c>
      <c r="M423" s="14" t="n">
        <v>3.4</v>
      </c>
      <c r="N423" s="12">
        <f>ROUND(L423/M423, 0)</f>
        <v/>
      </c>
      <c r="O423" s="12">
        <f>ROUND(N423*'Methodology &amp; Assumptions'!$B$5, 0)</f>
        <v/>
      </c>
      <c r="P423" s="10" t="inlineStr">
        <is>
          <t>Single Carrier (Band n50, 100MHz TDD)</t>
        </is>
      </c>
      <c r="Q423" s="13">
        <f>ROUNDUP(O423/'Methodology &amp; Assumptions'!$B$6, 0)</f>
        <v/>
      </c>
      <c r="R423" s="13" t="n">
        <v>1</v>
      </c>
      <c r="S423" s="14" t="n">
        <v>1.08</v>
      </c>
      <c r="T423" s="14" t="n">
        <v>1.08</v>
      </c>
      <c r="U423" s="26">
        <f>IF(X423&gt;='Methodology &amp; Assumptions'!$B$7, "Tier 1 Critical GIDA (Score ≥ 50.0)", IF(X423&gt;='Methodology &amp; Assumptions'!$B$8, "Tier 2 High GIDA (Score 40.0–49.9)", "Tier 3 Moderate GIDA (Score &lt; 40.0)"))</f>
        <v/>
      </c>
      <c r="V423" s="26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W423" s="28" t="n">
        <v>0.109</v>
      </c>
      <c r="X423" s="14" t="n">
        <v>48.79</v>
      </c>
      <c r="Y423" s="14">
        <f>ROUND(MIN(100, (X423/69.91)*100), 2)</f>
        <v/>
      </c>
    </row>
    <row r="424">
      <c r="A424" s="10" t="n">
        <v>3</v>
      </c>
      <c r="B424" s="10" t="n">
        <v>420</v>
      </c>
      <c r="C424" s="10" t="n">
        <v>2420</v>
      </c>
      <c r="D424" s="10" t="inlineStr">
        <is>
          <t>1606718002</t>
        </is>
      </c>
      <c r="E424" s="26" t="inlineStr">
        <is>
          <t>Region XIII (Caraga)</t>
        </is>
      </c>
      <c r="F424" s="26" t="inlineStr">
        <is>
          <t>Surigao del Norte</t>
        </is>
      </c>
      <c r="G424" s="26" t="inlineStr">
        <is>
          <t>San Benito</t>
        </is>
      </c>
      <c r="H424" s="26" t="inlineStr">
        <is>
          <t>Maribojoc</t>
        </is>
      </c>
      <c r="I424" s="27" t="n">
        <v>9.932858</v>
      </c>
      <c r="J424" s="27" t="n">
        <v>125.962738</v>
      </c>
      <c r="K424" s="10" t="inlineStr">
        <is>
          <t>R</t>
        </is>
      </c>
      <c r="L424" s="12" t="n">
        <v>1241</v>
      </c>
      <c r="M424" s="14" t="n">
        <v>4.1</v>
      </c>
      <c r="N424" s="12">
        <f>ROUND(L424/M424, 0)</f>
        <v/>
      </c>
      <c r="O424" s="12">
        <f>ROUND(N424*'Methodology &amp; Assumptions'!$B$5, 0)</f>
        <v/>
      </c>
      <c r="P424" s="10" t="inlineStr">
        <is>
          <t>Single Carrier (Band n50, 100MHz TDD)</t>
        </is>
      </c>
      <c r="Q424" s="13">
        <f>ROUNDUP(O424/'Methodology &amp; Assumptions'!$B$6, 0)</f>
        <v/>
      </c>
      <c r="R424" s="13" t="n">
        <v>1</v>
      </c>
      <c r="S424" s="14" t="n">
        <v>53.73</v>
      </c>
      <c r="T424" s="14" t="n">
        <v>45.59</v>
      </c>
      <c r="U424" s="26">
        <f>IF(X424&gt;='Methodology &amp; Assumptions'!$B$7, "Tier 1 Critical GIDA (Score ≥ 50.0)", IF(X424&gt;='Methodology &amp; Assumptions'!$B$8, "Tier 2 High GIDA (Score 40.0–49.9)", "Tier 3 Moderate GIDA (Score &lt; 40.0)"))</f>
        <v/>
      </c>
      <c r="V424" s="26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W424" s="28" t="n">
        <v>0.174</v>
      </c>
      <c r="X424" s="14" t="n">
        <v>48.79</v>
      </c>
      <c r="Y424" s="14">
        <f>ROUND(MIN(100, (X424/69.91)*100), 2)</f>
        <v/>
      </c>
    </row>
    <row r="425">
      <c r="A425" s="10" t="n">
        <v>3</v>
      </c>
      <c r="B425" s="10" t="n">
        <v>421</v>
      </c>
      <c r="C425" s="10" t="n">
        <v>2421</v>
      </c>
      <c r="D425" s="10" t="inlineStr">
        <is>
          <t>PH0002421</t>
        </is>
      </c>
      <c r="E425" s="26" t="inlineStr">
        <is>
          <t>NCR</t>
        </is>
      </c>
      <c r="F425" s="26" t="inlineStr">
        <is>
          <t>Metro Manila</t>
        </is>
      </c>
      <c r="G425" s="26" t="inlineStr">
        <is>
          <t>Caloocan City</t>
        </is>
      </c>
      <c r="H425" s="26" t="inlineStr">
        <is>
          <t>Barangay 71</t>
        </is>
      </c>
      <c r="I425" s="27" t="n">
        <v>11.762185</v>
      </c>
      <c r="J425" s="27" t="n">
        <v>120.89437</v>
      </c>
      <c r="K425" s="10" t="inlineStr">
        <is>
          <t>R</t>
        </is>
      </c>
      <c r="L425" s="12" t="n">
        <v>2279</v>
      </c>
      <c r="M425" s="14" t="n">
        <v>3.8</v>
      </c>
      <c r="N425" s="12">
        <f>ROUND(L425/M425, 0)</f>
        <v/>
      </c>
      <c r="O425" s="12">
        <f>ROUND(N425*'Methodology &amp; Assumptions'!$B$5, 0)</f>
        <v/>
      </c>
      <c r="P425" s="10" t="inlineStr">
        <is>
          <t>Single Carrier (Band n50, 100MHz TDD)</t>
        </is>
      </c>
      <c r="Q425" s="13">
        <f>ROUNDUP(O425/'Methodology &amp; Assumptions'!$B$6, 0)</f>
        <v/>
      </c>
      <c r="R425" s="13" t="n">
        <v>1</v>
      </c>
      <c r="S425" s="14" t="n">
        <v>66.83</v>
      </c>
      <c r="T425" s="14" t="n">
        <v>66.27</v>
      </c>
      <c r="U425" s="26">
        <f>IF(X425&gt;='Methodology &amp; Assumptions'!$B$7, "Tier 1 Critical GIDA (Score ≥ 50.0)", IF(X425&gt;='Methodology &amp; Assumptions'!$B$8, "Tier 2 High GIDA (Score 40.0–49.9)", "Tier 3 Moderate GIDA (Score &lt; 40.0)"))</f>
        <v/>
      </c>
      <c r="V425" s="26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W425" s="28" t="n">
        <v>0.011</v>
      </c>
      <c r="X425" s="14" t="n">
        <v>48.78</v>
      </c>
      <c r="Y425" s="14">
        <f>ROUND(MIN(100, (X425/69.91)*100), 2)</f>
        <v/>
      </c>
    </row>
    <row r="426">
      <c r="A426" s="10" t="n">
        <v>3</v>
      </c>
      <c r="B426" s="10" t="n">
        <v>422</v>
      </c>
      <c r="C426" s="10" t="n">
        <v>2422</v>
      </c>
      <c r="D426" s="10" t="inlineStr">
        <is>
          <t>PH0002422</t>
        </is>
      </c>
      <c r="E426" s="26" t="inlineStr">
        <is>
          <t>VI</t>
        </is>
      </c>
      <c r="F426" s="26" t="inlineStr">
        <is>
          <t>Capiz</t>
        </is>
      </c>
      <c r="G426" s="26" t="inlineStr">
        <is>
          <t>Roxas City</t>
        </is>
      </c>
      <c r="H426" s="26" t="inlineStr">
        <is>
          <t>Inzo Arnaldo Village</t>
        </is>
      </c>
      <c r="I426" s="27" t="n">
        <v>11.585985</v>
      </c>
      <c r="J426" s="27" t="n">
        <v>122.754131</v>
      </c>
      <c r="K426" s="10" t="inlineStr">
        <is>
          <t>R</t>
        </is>
      </c>
      <c r="L426" s="12" t="n">
        <v>2282</v>
      </c>
      <c r="M426" s="14" t="n">
        <v>3.8</v>
      </c>
      <c r="N426" s="12">
        <f>ROUND(L426/M426, 0)</f>
        <v/>
      </c>
      <c r="O426" s="12">
        <f>ROUND(N426*'Methodology &amp; Assumptions'!$B$5, 0)</f>
        <v/>
      </c>
      <c r="P426" s="10" t="inlineStr">
        <is>
          <t>Single Carrier (Band n50, 100MHz TDD)</t>
        </is>
      </c>
      <c r="Q426" s="13">
        <f>ROUNDUP(O426/'Methodology &amp; Assumptions'!$B$6, 0)</f>
        <v/>
      </c>
      <c r="R426" s="13" t="n">
        <v>1</v>
      </c>
      <c r="S426" s="14" t="n">
        <v>0.71</v>
      </c>
      <c r="T426" s="14" t="n">
        <v>0.14</v>
      </c>
      <c r="U426" s="26">
        <f>IF(X426&gt;='Methodology &amp; Assumptions'!$B$7, "Tier 1 Critical GIDA (Score ≥ 50.0)", IF(X426&gt;='Methodology &amp; Assumptions'!$B$8, "Tier 2 High GIDA (Score 40.0–49.9)", "Tier 3 Moderate GIDA (Score &lt; 40.0)"))</f>
        <v/>
      </c>
      <c r="V426" s="26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W426" s="28" t="n">
        <v>0.156</v>
      </c>
      <c r="X426" s="14" t="n">
        <v>48.78</v>
      </c>
      <c r="Y426" s="14">
        <f>ROUND(MIN(100, (X426/69.91)*100), 2)</f>
        <v/>
      </c>
    </row>
    <row r="427">
      <c r="A427" s="10" t="n">
        <v>3</v>
      </c>
      <c r="B427" s="10" t="n">
        <v>423</v>
      </c>
      <c r="C427" s="10" t="n">
        <v>2423</v>
      </c>
      <c r="D427" s="10" t="inlineStr">
        <is>
          <t>PH0002423</t>
        </is>
      </c>
      <c r="E427" s="26" t="inlineStr">
        <is>
          <t>VI</t>
        </is>
      </c>
      <c r="F427" s="26" t="inlineStr">
        <is>
          <t>Iloilo</t>
        </is>
      </c>
      <c r="G427" s="26" t="inlineStr">
        <is>
          <t>Iloilo City</t>
        </is>
      </c>
      <c r="H427" s="26" t="inlineStr">
        <is>
          <t>San Antonio</t>
        </is>
      </c>
      <c r="I427" s="27" t="n">
        <v>10.72821</v>
      </c>
      <c r="J427" s="27" t="n">
        <v>122.67141</v>
      </c>
      <c r="K427" s="10" t="inlineStr">
        <is>
          <t>R</t>
        </is>
      </c>
      <c r="L427" s="12" t="n">
        <v>2230</v>
      </c>
      <c r="M427" s="14" t="n">
        <v>3.8</v>
      </c>
      <c r="N427" s="12">
        <f>ROUND(L427/M427, 0)</f>
        <v/>
      </c>
      <c r="O427" s="12">
        <f>ROUND(N427*'Methodology &amp; Assumptions'!$B$5, 0)</f>
        <v/>
      </c>
      <c r="P427" s="10" t="inlineStr">
        <is>
          <t>Single Carrier (Band n50, 100MHz TDD)</t>
        </is>
      </c>
      <c r="Q427" s="13">
        <f>ROUNDUP(O427/'Methodology &amp; Assumptions'!$B$6, 0)</f>
        <v/>
      </c>
      <c r="R427" s="13" t="n">
        <v>1</v>
      </c>
      <c r="S427" s="14" t="n">
        <v>8.449999999999999</v>
      </c>
      <c r="T427" s="14" t="n">
        <v>4.34</v>
      </c>
      <c r="U427" s="26">
        <f>IF(X427&gt;='Methodology &amp; Assumptions'!$B$7, "Tier 1 Critical GIDA (Score ≥ 50.0)", IF(X427&gt;='Methodology &amp; Assumptions'!$B$8, "Tier 2 High GIDA (Score 40.0–49.9)", "Tier 3 Moderate GIDA (Score &lt; 40.0)"))</f>
        <v/>
      </c>
      <c r="V427" s="26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W427" s="28" t="n">
        <v>0.156</v>
      </c>
      <c r="X427" s="14" t="n">
        <v>48.78</v>
      </c>
      <c r="Y427" s="14">
        <f>ROUND(MIN(100, (X427/69.91)*100), 2)</f>
        <v/>
      </c>
    </row>
    <row r="428">
      <c r="A428" s="10" t="n">
        <v>3</v>
      </c>
      <c r="B428" s="10" t="n">
        <v>424</v>
      </c>
      <c r="C428" s="10" t="n">
        <v>2424</v>
      </c>
      <c r="D428" s="10" t="inlineStr">
        <is>
          <t>0401005063</t>
        </is>
      </c>
      <c r="E428" s="26" t="inlineStr">
        <is>
          <t>Region IV-A (CALABARZON)</t>
        </is>
      </c>
      <c r="F428" s="26" t="inlineStr">
        <is>
          <t>Batangas</t>
        </is>
      </c>
      <c r="G428" s="26" t="inlineStr">
        <is>
          <t>Batangas City</t>
        </is>
      </c>
      <c r="H428" s="26" t="inlineStr">
        <is>
          <t>Barangay 17</t>
        </is>
      </c>
      <c r="I428" s="27" t="n">
        <v>13.740489</v>
      </c>
      <c r="J428" s="27" t="n">
        <v>121.104617</v>
      </c>
      <c r="K428" s="10" t="inlineStr">
        <is>
          <t>U</t>
        </is>
      </c>
      <c r="L428" s="12" t="n">
        <v>119</v>
      </c>
      <c r="M428" s="14" t="n">
        <v>3.6</v>
      </c>
      <c r="N428" s="12">
        <f>ROUND(L428/M428, 0)</f>
        <v/>
      </c>
      <c r="O428" s="12">
        <f>ROUND(N428*'Methodology &amp; Assumptions'!$B$5, 0)</f>
        <v/>
      </c>
      <c r="P428" s="10" t="inlineStr">
        <is>
          <t>Single Carrier (Band n50, 100MHz TDD)</t>
        </is>
      </c>
      <c r="Q428" s="13">
        <f>ROUNDUP(O428/'Methodology &amp; Assumptions'!$B$6, 0)</f>
        <v/>
      </c>
      <c r="R428" s="13" t="n">
        <v>1</v>
      </c>
      <c r="S428" s="14" t="n">
        <v>1.7</v>
      </c>
      <c r="T428" s="14" t="n">
        <v>4.83</v>
      </c>
      <c r="U428" s="26">
        <f>IF(X428&gt;='Methodology &amp; Assumptions'!$B$7, "Tier 1 Critical GIDA (Score ≥ 50.0)", IF(X428&gt;='Methodology &amp; Assumptions'!$B$8, "Tier 2 High GIDA (Score 40.0–49.9)", "Tier 3 Moderate GIDA (Score &lt; 40.0)"))</f>
        <v/>
      </c>
      <c r="V428" s="26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W428" s="28" t="n">
        <v>0.07200000000000001</v>
      </c>
      <c r="X428" s="14" t="n">
        <v>48.78</v>
      </c>
      <c r="Y428" s="14">
        <f>ROUND(MIN(100, (X428/69.91)*100), 2)</f>
        <v/>
      </c>
    </row>
    <row r="429">
      <c r="A429" s="10" t="n">
        <v>3</v>
      </c>
      <c r="B429" s="10" t="n">
        <v>425</v>
      </c>
      <c r="C429" s="10" t="n">
        <v>2425</v>
      </c>
      <c r="D429" s="10" t="inlineStr">
        <is>
          <t>1908713001</t>
        </is>
      </c>
      <c r="E429" s="26" t="inlineStr">
        <is>
          <t>Bangsamoro Autonomous Region In Muslim Mindanao (BARMM)</t>
        </is>
      </c>
      <c r="F429" s="26" t="inlineStr">
        <is>
          <t>Maguindanao del Norte</t>
        </is>
      </c>
      <c r="G429" s="26" t="inlineStr">
        <is>
          <t>Upi</t>
        </is>
      </c>
      <c r="H429" s="26" t="inlineStr">
        <is>
          <t>Bantek</t>
        </is>
      </c>
      <c r="I429" s="27" t="n">
        <v>17.254014</v>
      </c>
      <c r="J429" s="27" t="n">
        <v>122.228058</v>
      </c>
      <c r="K429" s="10" t="inlineStr">
        <is>
          <t>R</t>
        </is>
      </c>
      <c r="L429" s="12" t="n">
        <v>3237</v>
      </c>
      <c r="M429" s="14" t="n">
        <v>4.3</v>
      </c>
      <c r="N429" s="12">
        <f>ROUND(L429/M429, 0)</f>
        <v/>
      </c>
      <c r="O429" s="12">
        <f>ROUND(N429*'Methodology &amp; Assumptions'!$B$5, 0)</f>
        <v/>
      </c>
      <c r="P429" s="10" t="inlineStr">
        <is>
          <t>Single Carrier (Band n50, 100MHz TDD)</t>
        </is>
      </c>
      <c r="Q429" s="13">
        <f>ROUNDUP(O429/'Methodology &amp; Assumptions'!$B$6, 0)</f>
        <v/>
      </c>
      <c r="R429" s="13" t="n">
        <v>1</v>
      </c>
      <c r="S429" s="14" t="n">
        <v>29.29</v>
      </c>
      <c r="T429" s="14" t="n">
        <v>34.19</v>
      </c>
      <c r="U429" s="26">
        <f>IF(X429&gt;='Methodology &amp; Assumptions'!$B$7, "Tier 1 Critical GIDA (Score ≥ 50.0)", IF(X429&gt;='Methodology &amp; Assumptions'!$B$8, "Tier 2 High GIDA (Score 40.0–49.9)", "Tier 3 Moderate GIDA (Score &lt; 40.0)"))</f>
        <v/>
      </c>
      <c r="V429" s="26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W429" s="28" t="n">
        <v>0.11</v>
      </c>
      <c r="X429" s="14" t="n">
        <v>48.77</v>
      </c>
      <c r="Y429" s="14">
        <f>ROUND(MIN(100, (X429/69.91)*100), 2)</f>
        <v/>
      </c>
    </row>
    <row r="430">
      <c r="A430" s="10" t="n">
        <v>3</v>
      </c>
      <c r="B430" s="10" t="n">
        <v>426</v>
      </c>
      <c r="C430" s="10" t="n">
        <v>2426</v>
      </c>
      <c r="D430" s="10" t="inlineStr">
        <is>
          <t>1380606213</t>
        </is>
      </c>
      <c r="E430" s="26" t="inlineStr">
        <is>
          <t>National Capital Region (NCR)</t>
        </is>
      </c>
      <c r="F430" s="26" t="inlineStr">
        <is>
          <t>First District (Not a Province)</t>
        </is>
      </c>
      <c r="G430" s="26" t="inlineStr">
        <is>
          <t>City of Manila</t>
        </is>
      </c>
      <c r="H430" s="26" t="inlineStr">
        <is>
          <t>Barangay 606</t>
        </is>
      </c>
      <c r="I430" s="27" t="n">
        <v>12.734705</v>
      </c>
      <c r="J430" s="27" t="n">
        <v>122.617528</v>
      </c>
      <c r="K430" s="10" t="inlineStr">
        <is>
          <t>U</t>
        </is>
      </c>
      <c r="L430" s="12" t="n">
        <v>548</v>
      </c>
      <c r="M430" s="14" t="n">
        <v>3.9</v>
      </c>
      <c r="N430" s="12">
        <f>ROUND(L430/M430, 0)</f>
        <v/>
      </c>
      <c r="O430" s="12">
        <f>ROUND(N430*'Methodology &amp; Assumptions'!$B$5, 0)</f>
        <v/>
      </c>
      <c r="P430" s="10" t="inlineStr">
        <is>
          <t>Single Carrier (Band n50, 100MHz TDD)</t>
        </is>
      </c>
      <c r="Q430" s="13">
        <f>ROUNDUP(O430/'Methodology &amp; Assumptions'!$B$6, 0)</f>
        <v/>
      </c>
      <c r="R430" s="13" t="n">
        <v>1</v>
      </c>
      <c r="S430" s="14" t="n">
        <v>54.5</v>
      </c>
      <c r="T430" s="14" t="n">
        <v>90.73999999999999</v>
      </c>
      <c r="U430" s="26">
        <f>IF(X430&gt;='Methodology &amp; Assumptions'!$B$7, "Tier 1 Critical GIDA (Score ≥ 50.0)", IF(X430&gt;='Methodology &amp; Assumptions'!$B$8, "Tier 2 High GIDA (Score 40.0–49.9)", "Tier 3 Moderate GIDA (Score &lt; 40.0)"))</f>
        <v/>
      </c>
      <c r="V430" s="26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W430" s="28" t="n">
        <v>0.109</v>
      </c>
      <c r="X430" s="14" t="n">
        <v>48.77</v>
      </c>
      <c r="Y430" s="14">
        <f>ROUND(MIN(100, (X430/69.91)*100), 2)</f>
        <v/>
      </c>
    </row>
    <row r="431">
      <c r="A431" s="10" t="n">
        <v>3</v>
      </c>
      <c r="B431" s="10" t="n">
        <v>427</v>
      </c>
      <c r="C431" s="10" t="n">
        <v>2427</v>
      </c>
      <c r="D431" s="10" t="inlineStr">
        <is>
          <t>1380614096</t>
        </is>
      </c>
      <c r="E431" s="26" t="inlineStr">
        <is>
          <t>National Capital Region (NCR)</t>
        </is>
      </c>
      <c r="F431" s="26" t="inlineStr">
        <is>
          <t>First District (Not a Province)</t>
        </is>
      </c>
      <c r="G431" s="26" t="inlineStr">
        <is>
          <t>City of Manila</t>
        </is>
      </c>
      <c r="H431" s="26" t="inlineStr">
        <is>
          <t>Barangay 903</t>
        </is>
      </c>
      <c r="I431" s="27" t="n">
        <v>12.430335</v>
      </c>
      <c r="J431" s="27" t="n">
        <v>121.050433</v>
      </c>
      <c r="K431" s="10" t="inlineStr">
        <is>
          <t>U</t>
        </is>
      </c>
      <c r="L431" s="12" t="n">
        <v>3803</v>
      </c>
      <c r="M431" s="14" t="n">
        <v>3.9</v>
      </c>
      <c r="N431" s="12">
        <f>ROUND(L431/M431, 0)</f>
        <v/>
      </c>
      <c r="O431" s="12">
        <f>ROUND(N431*'Methodology &amp; Assumptions'!$B$5, 0)</f>
        <v/>
      </c>
      <c r="P431" s="10" t="inlineStr">
        <is>
          <t>Single Carrier (Band n50, 100MHz TDD)</t>
        </is>
      </c>
      <c r="Q431" s="13">
        <f>ROUNDUP(O431/'Methodology &amp; Assumptions'!$B$6, 0)</f>
        <v/>
      </c>
      <c r="R431" s="13" t="n">
        <v>1</v>
      </c>
      <c r="S431" s="14" t="n">
        <v>8.98</v>
      </c>
      <c r="T431" s="14" t="n">
        <v>6.42</v>
      </c>
      <c r="U431" s="26">
        <f>IF(X431&gt;='Methodology &amp; Assumptions'!$B$7, "Tier 1 Critical GIDA (Score ≥ 50.0)", IF(X431&gt;='Methodology &amp; Assumptions'!$B$8, "Tier 2 High GIDA (Score 40.0–49.9)", "Tier 3 Moderate GIDA (Score &lt; 40.0)"))</f>
        <v/>
      </c>
      <c r="V431" s="26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W431" s="28" t="n">
        <v>0.109</v>
      </c>
      <c r="X431" s="14" t="n">
        <v>48.77</v>
      </c>
      <c r="Y431" s="14">
        <f>ROUND(MIN(100, (X431/69.91)*100), 2)</f>
        <v/>
      </c>
    </row>
    <row r="432">
      <c r="A432" s="10" t="n">
        <v>3</v>
      </c>
      <c r="B432" s="10" t="n">
        <v>428</v>
      </c>
      <c r="C432" s="10" t="n">
        <v>2428</v>
      </c>
      <c r="D432" s="10" t="inlineStr">
        <is>
          <t>0304902007</t>
        </is>
      </c>
      <c r="E432" s="26" t="inlineStr">
        <is>
          <t>Region III (Central Luzon)</t>
        </is>
      </c>
      <c r="F432" s="26" t="inlineStr">
        <is>
          <t>Nueva Ecija</t>
        </is>
      </c>
      <c r="G432" s="26" t="inlineStr">
        <is>
          <t>Bongabon</t>
        </is>
      </c>
      <c r="H432" s="26" t="inlineStr">
        <is>
          <t>Digmala</t>
        </is>
      </c>
      <c r="I432" s="27" t="n">
        <v>15.625179</v>
      </c>
      <c r="J432" s="27" t="n">
        <v>121.154257</v>
      </c>
      <c r="K432" s="10" t="inlineStr">
        <is>
          <t>R</t>
        </is>
      </c>
      <c r="L432" s="12" t="n">
        <v>1683</v>
      </c>
      <c r="M432" s="14" t="n">
        <v>3.5</v>
      </c>
      <c r="N432" s="12">
        <f>ROUND(L432/M432, 0)</f>
        <v/>
      </c>
      <c r="O432" s="12">
        <f>ROUND(N432*'Methodology &amp; Assumptions'!$B$5, 0)</f>
        <v/>
      </c>
      <c r="P432" s="10" t="inlineStr">
        <is>
          <t>Single Carrier (Band n50, 100MHz TDD)</t>
        </is>
      </c>
      <c r="Q432" s="13">
        <f>ROUNDUP(O432/'Methodology &amp; Assumptions'!$B$6, 0)</f>
        <v/>
      </c>
      <c r="R432" s="13" t="n">
        <v>1</v>
      </c>
      <c r="S432" s="14" t="n">
        <v>0.84</v>
      </c>
      <c r="T432" s="14" t="n">
        <v>0.78</v>
      </c>
      <c r="U432" s="26">
        <f>IF(X432&gt;='Methodology &amp; Assumptions'!$B$7, "Tier 1 Critical GIDA (Score ≥ 50.0)", IF(X432&gt;='Methodology &amp; Assumptions'!$B$8, "Tier 2 High GIDA (Score 40.0–49.9)", "Tier 3 Moderate GIDA (Score &lt; 40.0)"))</f>
        <v/>
      </c>
      <c r="V432" s="26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W432" s="28" t="n">
        <v>0.083</v>
      </c>
      <c r="X432" s="14" t="n">
        <v>48.76</v>
      </c>
      <c r="Y432" s="14">
        <f>ROUND(MIN(100, (X432/69.91)*100), 2)</f>
        <v/>
      </c>
    </row>
    <row r="433">
      <c r="A433" s="10" t="n">
        <v>3</v>
      </c>
      <c r="B433" s="10" t="n">
        <v>429</v>
      </c>
      <c r="C433" s="10" t="n">
        <v>2429</v>
      </c>
      <c r="D433" s="10" t="inlineStr">
        <is>
          <t>1381100130</t>
        </is>
      </c>
      <c r="E433" s="26" t="inlineStr">
        <is>
          <t>National Capital Region (NCR)</t>
        </is>
      </c>
      <c r="F433" s="26" t="inlineStr">
        <is>
          <t>Fourth District (Not a Province)</t>
        </is>
      </c>
      <c r="G433" s="26" t="inlineStr">
        <is>
          <t>Pasay City</t>
        </is>
      </c>
      <c r="H433" s="26" t="inlineStr">
        <is>
          <t>Barangay 130</t>
        </is>
      </c>
      <c r="I433" s="27" t="n">
        <v>14.384309</v>
      </c>
      <c r="J433" s="27" t="n">
        <v>121.054725</v>
      </c>
      <c r="K433" s="10" t="inlineStr">
        <is>
          <t>U</t>
        </is>
      </c>
      <c r="L433" s="12" t="n">
        <v>4157</v>
      </c>
      <c r="M433" s="14" t="n">
        <v>3.4</v>
      </c>
      <c r="N433" s="12">
        <f>ROUND(L433/M433, 0)</f>
        <v/>
      </c>
      <c r="O433" s="12">
        <f>ROUND(N433*'Methodology &amp; Assumptions'!$B$5, 0)</f>
        <v/>
      </c>
      <c r="P433" s="10" t="inlineStr">
        <is>
          <t>Single Carrier (Band n50, 100MHz TDD)</t>
        </is>
      </c>
      <c r="Q433" s="13">
        <f>ROUNDUP(O433/'Methodology &amp; Assumptions'!$B$6, 0)</f>
        <v/>
      </c>
      <c r="R433" s="13" t="n">
        <v>1</v>
      </c>
      <c r="S433" s="14" t="n">
        <v>1.68</v>
      </c>
      <c r="T433" s="14" t="n">
        <v>1.07</v>
      </c>
      <c r="U433" s="26">
        <f>IF(X433&gt;='Methodology &amp; Assumptions'!$B$7, "Tier 1 Critical GIDA (Score ≥ 50.0)", IF(X433&gt;='Methodology &amp; Assumptions'!$B$8, "Tier 2 High GIDA (Score 40.0–49.9)", "Tier 3 Moderate GIDA (Score &lt; 40.0)"))</f>
        <v/>
      </c>
      <c r="V433" s="26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W433" s="28" t="n">
        <v>0.109</v>
      </c>
      <c r="X433" s="14" t="n">
        <v>48.76</v>
      </c>
      <c r="Y433" s="14">
        <f>ROUND(MIN(100, (X433/69.91)*100), 2)</f>
        <v/>
      </c>
    </row>
    <row r="434">
      <c r="A434" s="10" t="n">
        <v>3</v>
      </c>
      <c r="B434" s="10" t="n">
        <v>430</v>
      </c>
      <c r="C434" s="10" t="n">
        <v>2430</v>
      </c>
      <c r="D434" s="10" t="inlineStr">
        <is>
          <t>1381100062</t>
        </is>
      </c>
      <c r="E434" s="26" t="inlineStr">
        <is>
          <t>National Capital Region (NCR)</t>
        </is>
      </c>
      <c r="F434" s="26" t="inlineStr">
        <is>
          <t>Fourth District (Not a Province)</t>
        </is>
      </c>
      <c r="G434" s="26" t="inlineStr">
        <is>
          <t>Pasay City</t>
        </is>
      </c>
      <c r="H434" s="26" t="inlineStr">
        <is>
          <t>Barangay 62</t>
        </is>
      </c>
      <c r="I434" s="27" t="n">
        <v>14.623697</v>
      </c>
      <c r="J434" s="27" t="n">
        <v>120.85559</v>
      </c>
      <c r="K434" s="10" t="inlineStr">
        <is>
          <t>U</t>
        </is>
      </c>
      <c r="L434" s="12" t="n">
        <v>1263</v>
      </c>
      <c r="M434" s="14" t="n">
        <v>3.4</v>
      </c>
      <c r="N434" s="12">
        <f>ROUND(L434/M434, 0)</f>
        <v/>
      </c>
      <c r="O434" s="12">
        <f>ROUND(N434*'Methodology &amp; Assumptions'!$B$5, 0)</f>
        <v/>
      </c>
      <c r="P434" s="10" t="inlineStr">
        <is>
          <t>Single Carrier (Band n50, 100MHz TDD)</t>
        </is>
      </c>
      <c r="Q434" s="13">
        <f>ROUNDUP(O434/'Methodology &amp; Assumptions'!$B$6, 0)</f>
        <v/>
      </c>
      <c r="R434" s="13" t="n">
        <v>1</v>
      </c>
      <c r="S434" s="14" t="n">
        <v>10.42</v>
      </c>
      <c r="T434" s="14" t="n">
        <v>10.95</v>
      </c>
      <c r="U434" s="26">
        <f>IF(X434&gt;='Methodology &amp; Assumptions'!$B$7, "Tier 1 Critical GIDA (Score ≥ 50.0)", IF(X434&gt;='Methodology &amp; Assumptions'!$B$8, "Tier 2 High GIDA (Score 40.0–49.9)", "Tier 3 Moderate GIDA (Score &lt; 40.0)"))</f>
        <v/>
      </c>
      <c r="V434" s="26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W434" s="28" t="n">
        <v>0.109</v>
      </c>
      <c r="X434" s="14" t="n">
        <v>48.76</v>
      </c>
      <c r="Y434" s="14">
        <f>ROUND(MIN(100, (X434/69.91)*100), 2)</f>
        <v/>
      </c>
    </row>
    <row r="435">
      <c r="A435" s="10" t="n">
        <v>3</v>
      </c>
      <c r="B435" s="10" t="n">
        <v>431</v>
      </c>
      <c r="C435" s="10" t="n">
        <v>2431</v>
      </c>
      <c r="D435" s="10" t="inlineStr">
        <is>
          <t>PH0002431</t>
        </is>
      </c>
      <c r="E435" s="26" t="inlineStr">
        <is>
          <t>NCR</t>
        </is>
      </c>
      <c r="F435" s="26" t="inlineStr">
        <is>
          <t>Metro Manila</t>
        </is>
      </c>
      <c r="G435" s="26" t="inlineStr">
        <is>
          <t>Caloocan City</t>
        </is>
      </c>
      <c r="H435" s="26" t="inlineStr">
        <is>
          <t>Barangay 6</t>
        </is>
      </c>
      <c r="I435" s="27" t="n">
        <v>14.284281</v>
      </c>
      <c r="J435" s="27" t="n">
        <v>121.647944</v>
      </c>
      <c r="K435" s="10" t="inlineStr">
        <is>
          <t>R</t>
        </is>
      </c>
      <c r="L435" s="12" t="n">
        <v>2279</v>
      </c>
      <c r="M435" s="14" t="n">
        <v>3.8</v>
      </c>
      <c r="N435" s="12">
        <f>ROUND(L435/M435, 0)</f>
        <v/>
      </c>
      <c r="O435" s="12">
        <f>ROUND(N435*'Methodology &amp; Assumptions'!$B$5, 0)</f>
        <v/>
      </c>
      <c r="P435" s="10" t="inlineStr">
        <is>
          <t>Single Carrier (Band n50, 100MHz TDD)</t>
        </is>
      </c>
      <c r="Q435" s="13">
        <f>ROUNDUP(O435/'Methodology &amp; Assumptions'!$B$6, 0)</f>
        <v/>
      </c>
      <c r="R435" s="13" t="n">
        <v>1</v>
      </c>
      <c r="S435" s="14" t="n">
        <v>11.85</v>
      </c>
      <c r="T435" s="14" t="n">
        <v>18.68</v>
      </c>
      <c r="U435" s="26">
        <f>IF(X435&gt;='Methodology &amp; Assumptions'!$B$7, "Tier 1 Critical GIDA (Score ≥ 50.0)", IF(X435&gt;='Methodology &amp; Assumptions'!$B$8, "Tier 2 High GIDA (Score 40.0–49.9)", "Tier 3 Moderate GIDA (Score &lt; 40.0)"))</f>
        <v/>
      </c>
      <c r="V435" s="26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W435" s="28" t="n">
        <v>0.011</v>
      </c>
      <c r="X435" s="14" t="n">
        <v>48.76</v>
      </c>
      <c r="Y435" s="14">
        <f>ROUND(MIN(100, (X435/69.91)*100), 2)</f>
        <v/>
      </c>
    </row>
    <row r="436">
      <c r="A436" s="10" t="n">
        <v>3</v>
      </c>
      <c r="B436" s="10" t="n">
        <v>432</v>
      </c>
      <c r="C436" s="10" t="n">
        <v>2432</v>
      </c>
      <c r="D436" s="10" t="inlineStr">
        <is>
          <t>0502009021</t>
        </is>
      </c>
      <c r="E436" s="26" t="inlineStr">
        <is>
          <t>Region V (Bicol Region)</t>
        </is>
      </c>
      <c r="F436" s="26" t="inlineStr">
        <is>
          <t>Catanduanes</t>
        </is>
      </c>
      <c r="G436" s="26" t="inlineStr">
        <is>
          <t>San Miguel</t>
        </is>
      </c>
      <c r="H436" s="26" t="inlineStr">
        <is>
          <t>San Marcos</t>
        </is>
      </c>
      <c r="I436" s="27" t="n">
        <v>13.7163</v>
      </c>
      <c r="J436" s="27" t="n">
        <v>124.25164</v>
      </c>
      <c r="K436" s="10" t="inlineStr">
        <is>
          <t>R</t>
        </is>
      </c>
      <c r="L436" s="12" t="n">
        <v>240</v>
      </c>
      <c r="M436" s="14" t="n">
        <v>4.2</v>
      </c>
      <c r="N436" s="12">
        <f>ROUND(L436/M436, 0)</f>
        <v/>
      </c>
      <c r="O436" s="12">
        <f>ROUND(N436*'Methodology &amp; Assumptions'!$B$5, 0)</f>
        <v/>
      </c>
      <c r="P436" s="10" t="inlineStr">
        <is>
          <t>Single Carrier (Band n50, 100MHz TDD)</t>
        </is>
      </c>
      <c r="Q436" s="13">
        <f>ROUNDUP(O436/'Methodology &amp; Assumptions'!$B$6, 0)</f>
        <v/>
      </c>
      <c r="R436" s="13" t="n">
        <v>1</v>
      </c>
      <c r="S436" s="14" t="n">
        <v>42.42</v>
      </c>
      <c r="T436" s="14" t="n">
        <v>67.81999999999999</v>
      </c>
      <c r="U436" s="26">
        <f>IF(X436&gt;='Methodology &amp; Assumptions'!$B$7, "Tier 1 Critical GIDA (Score ≥ 50.0)", IF(X436&gt;='Methodology &amp; Assumptions'!$B$8, "Tier 2 High GIDA (Score 40.0–49.9)", "Tier 3 Moderate GIDA (Score &lt; 40.0)"))</f>
        <v/>
      </c>
      <c r="V436" s="26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W436" s="28" t="n">
        <v>0.237</v>
      </c>
      <c r="X436" s="14" t="n">
        <v>48.76</v>
      </c>
      <c r="Y436" s="14">
        <f>ROUND(MIN(100, (X436/69.91)*100), 2)</f>
        <v/>
      </c>
    </row>
    <row r="437">
      <c r="A437" s="10" t="n">
        <v>3</v>
      </c>
      <c r="B437" s="10" t="n">
        <v>433</v>
      </c>
      <c r="C437" s="10" t="n">
        <v>2433</v>
      </c>
      <c r="D437" s="10" t="inlineStr">
        <is>
          <t>PH0002433</t>
        </is>
      </c>
      <c r="E437" s="26" t="inlineStr">
        <is>
          <t>NCR</t>
        </is>
      </c>
      <c r="F437" s="26" t="inlineStr">
        <is>
          <t>Metro Manila</t>
        </is>
      </c>
      <c r="G437" s="26" t="inlineStr">
        <is>
          <t>Caloocan City</t>
        </is>
      </c>
      <c r="H437" s="26" t="inlineStr">
        <is>
          <t>Barangay 58</t>
        </is>
      </c>
      <c r="I437" s="27" t="n">
        <v>11.926242</v>
      </c>
      <c r="J437" s="27" t="n">
        <v>122.841371</v>
      </c>
      <c r="K437" s="10" t="inlineStr">
        <is>
          <t>R</t>
        </is>
      </c>
      <c r="L437" s="12" t="n">
        <v>2279</v>
      </c>
      <c r="M437" s="14" t="n">
        <v>3.8</v>
      </c>
      <c r="N437" s="12">
        <f>ROUND(L437/M437, 0)</f>
        <v/>
      </c>
      <c r="O437" s="12">
        <f>ROUND(N437*'Methodology &amp; Assumptions'!$B$5, 0)</f>
        <v/>
      </c>
      <c r="P437" s="10" t="inlineStr">
        <is>
          <t>Single Carrier (Band n50, 100MHz TDD)</t>
        </is>
      </c>
      <c r="Q437" s="13">
        <f>ROUNDUP(O437/'Methodology &amp; Assumptions'!$B$6, 0)</f>
        <v/>
      </c>
      <c r="R437" s="13" t="n">
        <v>1</v>
      </c>
      <c r="S437" s="14" t="n">
        <v>38</v>
      </c>
      <c r="T437" s="14" t="n">
        <v>17.31</v>
      </c>
      <c r="U437" s="26">
        <f>IF(X437&gt;='Methodology &amp; Assumptions'!$B$7, "Tier 1 Critical GIDA (Score ≥ 50.0)", IF(X437&gt;='Methodology &amp; Assumptions'!$B$8, "Tier 2 High GIDA (Score 40.0–49.9)", "Tier 3 Moderate GIDA (Score &lt; 40.0)"))</f>
        <v/>
      </c>
      <c r="V437" s="26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W437" s="28" t="n">
        <v>0.011</v>
      </c>
      <c r="X437" s="14" t="n">
        <v>48.76</v>
      </c>
      <c r="Y437" s="14">
        <f>ROUND(MIN(100, (X437/69.91)*100), 2)</f>
        <v/>
      </c>
    </row>
    <row r="438">
      <c r="A438" s="10" t="n">
        <v>3</v>
      </c>
      <c r="B438" s="10" t="n">
        <v>434</v>
      </c>
      <c r="C438" s="10" t="n">
        <v>2434</v>
      </c>
      <c r="D438" s="10" t="inlineStr">
        <is>
          <t>0806014005</t>
        </is>
      </c>
      <c r="E438" s="26" t="inlineStr">
        <is>
          <t>Region VIII (Eastern Visayas)</t>
        </is>
      </c>
      <c r="F438" s="26" t="inlineStr">
        <is>
          <t>Samar</t>
        </is>
      </c>
      <c r="G438" s="26" t="inlineStr">
        <is>
          <t>San Jose De Buan</t>
        </is>
      </c>
      <c r="H438" s="26" t="inlineStr">
        <is>
          <t>Cataydongan</t>
        </is>
      </c>
      <c r="I438" s="27" t="n">
        <v>12.006731</v>
      </c>
      <c r="J438" s="27" t="n">
        <v>125.038096</v>
      </c>
      <c r="K438" s="10" t="inlineStr">
        <is>
          <t>R</t>
        </is>
      </c>
      <c r="L438" s="12" t="n">
        <v>323</v>
      </c>
      <c r="M438" s="14" t="n">
        <v>4.1</v>
      </c>
      <c r="N438" s="12">
        <f>ROUND(L438/M438, 0)</f>
        <v/>
      </c>
      <c r="O438" s="12">
        <f>ROUND(N438*'Methodology &amp; Assumptions'!$B$5, 0)</f>
        <v/>
      </c>
      <c r="P438" s="10" t="inlineStr">
        <is>
          <t>Single Carrier (Band n50, 100MHz TDD)</t>
        </is>
      </c>
      <c r="Q438" s="13">
        <f>ROUNDUP(O438/'Methodology &amp; Assumptions'!$B$6, 0)</f>
        <v/>
      </c>
      <c r="R438" s="13" t="n">
        <v>1</v>
      </c>
      <c r="S438" s="14" t="n">
        <v>85.39</v>
      </c>
      <c r="T438" s="14" t="n">
        <v>87.22</v>
      </c>
      <c r="U438" s="26">
        <f>IF(X438&gt;='Methodology &amp; Assumptions'!$B$7, "Tier 1 Critical GIDA (Score ≥ 50.0)", IF(X438&gt;='Methodology &amp; Assumptions'!$B$8, "Tier 2 High GIDA (Score 40.0–49.9)", "Tier 3 Moderate GIDA (Score &lt; 40.0)"))</f>
        <v/>
      </c>
      <c r="V438" s="26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W438" s="28" t="n">
        <v>0.237</v>
      </c>
      <c r="X438" s="14" t="n">
        <v>48.75</v>
      </c>
      <c r="Y438" s="14">
        <f>ROUND(MIN(100, (X438/69.91)*100), 2)</f>
        <v/>
      </c>
    </row>
    <row r="439">
      <c r="A439" s="10" t="n">
        <v>3</v>
      </c>
      <c r="B439" s="10" t="n">
        <v>435</v>
      </c>
      <c r="C439" s="10" t="n">
        <v>2435</v>
      </c>
      <c r="D439" s="10" t="inlineStr">
        <is>
          <t>1380606146</t>
        </is>
      </c>
      <c r="E439" s="26" t="inlineStr">
        <is>
          <t>National Capital Region (NCR)</t>
        </is>
      </c>
      <c r="F439" s="26" t="inlineStr">
        <is>
          <t>First District (Not a Province)</t>
        </is>
      </c>
      <c r="G439" s="26" t="inlineStr">
        <is>
          <t>City of Manila</t>
        </is>
      </c>
      <c r="H439" s="26" t="inlineStr">
        <is>
          <t>Barangay 540</t>
        </is>
      </c>
      <c r="I439" s="27" t="n">
        <v>13.688846</v>
      </c>
      <c r="J439" s="27" t="n">
        <v>121.996406</v>
      </c>
      <c r="K439" s="10" t="inlineStr">
        <is>
          <t>U</t>
        </is>
      </c>
      <c r="L439" s="12" t="n">
        <v>2010</v>
      </c>
      <c r="M439" s="14" t="n">
        <v>3.9</v>
      </c>
      <c r="N439" s="12">
        <f>ROUND(L439/M439, 0)</f>
        <v/>
      </c>
      <c r="O439" s="12">
        <f>ROUND(N439*'Methodology &amp; Assumptions'!$B$5, 0)</f>
        <v/>
      </c>
      <c r="P439" s="10" t="inlineStr">
        <is>
          <t>Single Carrier (Band n50, 100MHz TDD)</t>
        </is>
      </c>
      <c r="Q439" s="13">
        <f>ROUNDUP(O439/'Methodology &amp; Assumptions'!$B$6, 0)</f>
        <v/>
      </c>
      <c r="R439" s="13" t="n">
        <v>1</v>
      </c>
      <c r="S439" s="14" t="n">
        <v>16.41</v>
      </c>
      <c r="T439" s="14" t="n">
        <v>15.89</v>
      </c>
      <c r="U439" s="26">
        <f>IF(X439&gt;='Methodology &amp; Assumptions'!$B$7, "Tier 1 Critical GIDA (Score ≥ 50.0)", IF(X439&gt;='Methodology &amp; Assumptions'!$B$8, "Tier 2 High GIDA (Score 40.0–49.9)", "Tier 3 Moderate GIDA (Score &lt; 40.0)"))</f>
        <v/>
      </c>
      <c r="V439" s="26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W439" s="28" t="n">
        <v>0.109</v>
      </c>
      <c r="X439" s="14" t="n">
        <v>48.75</v>
      </c>
      <c r="Y439" s="14">
        <f>ROUND(MIN(100, (X439/69.91)*100), 2)</f>
        <v/>
      </c>
    </row>
    <row r="440">
      <c r="A440" s="10" t="n">
        <v>3</v>
      </c>
      <c r="B440" s="10" t="n">
        <v>436</v>
      </c>
      <c r="C440" s="10" t="n">
        <v>2436</v>
      </c>
      <c r="D440" s="10" t="inlineStr">
        <is>
          <t>PH0002436</t>
        </is>
      </c>
      <c r="E440" s="26" t="inlineStr">
        <is>
          <t>V</t>
        </is>
      </c>
      <c r="F440" s="26" t="inlineStr">
        <is>
          <t>Camarines Sur</t>
        </is>
      </c>
      <c r="G440" s="26" t="inlineStr">
        <is>
          <t>Naga City</t>
        </is>
      </c>
      <c r="H440" s="26" t="inlineStr">
        <is>
          <t>Tabuco</t>
        </is>
      </c>
      <c r="I440" s="27" t="n">
        <v>13.61747</v>
      </c>
      <c r="J440" s="27" t="n">
        <v>123.1838</v>
      </c>
      <c r="K440" s="10" t="inlineStr">
        <is>
          <t>R</t>
        </is>
      </c>
      <c r="L440" s="12" t="n">
        <v>2195</v>
      </c>
      <c r="M440" s="14" t="n">
        <v>4.2</v>
      </c>
      <c r="N440" s="12">
        <f>ROUND(L440/M440, 0)</f>
        <v/>
      </c>
      <c r="O440" s="12">
        <f>ROUND(N440*'Methodology &amp; Assumptions'!$B$5, 0)</f>
        <v/>
      </c>
      <c r="P440" s="10" t="inlineStr">
        <is>
          <t>Single Carrier (Band n50, 100MHz TDD)</t>
        </is>
      </c>
      <c r="Q440" s="13">
        <f>ROUNDUP(O440/'Methodology &amp; Assumptions'!$B$6, 0)</f>
        <v/>
      </c>
      <c r="R440" s="13" t="n">
        <v>1</v>
      </c>
      <c r="S440" s="14" t="n">
        <v>1.3</v>
      </c>
      <c r="T440" s="14" t="n">
        <v>0.27</v>
      </c>
      <c r="U440" s="26">
        <f>IF(X440&gt;='Methodology &amp; Assumptions'!$B$7, "Tier 1 Critical GIDA (Score ≥ 50.0)", IF(X440&gt;='Methodology &amp; Assumptions'!$B$8, "Tier 2 High GIDA (Score 40.0–49.9)", "Tier 3 Moderate GIDA (Score &lt; 40.0)"))</f>
        <v/>
      </c>
      <c r="V440" s="26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W440" s="28" t="n">
        <v>0.07200000000000001</v>
      </c>
      <c r="X440" s="14" t="n">
        <v>48.75</v>
      </c>
      <c r="Y440" s="14">
        <f>ROUND(MIN(100, (X440/69.91)*100), 2)</f>
        <v/>
      </c>
    </row>
    <row r="441">
      <c r="A441" s="10" t="n">
        <v>3</v>
      </c>
      <c r="B441" s="10" t="n">
        <v>437</v>
      </c>
      <c r="C441" s="10" t="n">
        <v>2437</v>
      </c>
      <c r="D441" s="10" t="inlineStr">
        <is>
          <t>0504121008</t>
        </is>
      </c>
      <c r="E441" s="26" t="inlineStr">
        <is>
          <t>Region V (Bicol Region)</t>
        </is>
      </c>
      <c r="F441" s="26" t="inlineStr">
        <is>
          <t>Masbate</t>
        </is>
      </c>
      <c r="G441" s="26" t="inlineStr">
        <is>
          <t>Uson</t>
        </is>
      </c>
      <c r="H441" s="26" t="inlineStr">
        <is>
          <t>Campana</t>
        </is>
      </c>
      <c r="I441" s="27" t="n">
        <v>12.075933</v>
      </c>
      <c r="J441" s="27" t="n">
        <v>123.804205</v>
      </c>
      <c r="K441" s="10" t="inlineStr">
        <is>
          <t>R</t>
        </is>
      </c>
      <c r="L441" s="12" t="n">
        <v>932</v>
      </c>
      <c r="M441" s="14" t="n">
        <v>4.1</v>
      </c>
      <c r="N441" s="12">
        <f>ROUND(L441/M441, 0)</f>
        <v/>
      </c>
      <c r="O441" s="12">
        <f>ROUND(N441*'Methodology &amp; Assumptions'!$B$5, 0)</f>
        <v/>
      </c>
      <c r="P441" s="10" t="inlineStr">
        <is>
          <t>Single Carrier (Band n50, 100MHz TDD)</t>
        </is>
      </c>
      <c r="Q441" s="13">
        <f>ROUNDUP(O441/'Methodology &amp; Assumptions'!$B$6, 0)</f>
        <v/>
      </c>
      <c r="R441" s="13" t="n">
        <v>1</v>
      </c>
      <c r="S441" s="14" t="n">
        <v>18.68</v>
      </c>
      <c r="T441" s="14" t="n">
        <v>35.67</v>
      </c>
      <c r="U441" s="26">
        <f>IF(X441&gt;='Methodology &amp; Assumptions'!$B$7, "Tier 1 Critical GIDA (Score ≥ 50.0)", IF(X441&gt;='Methodology &amp; Assumptions'!$B$8, "Tier 2 High GIDA (Score 40.0–49.9)", "Tier 3 Moderate GIDA (Score &lt; 40.0)"))</f>
        <v/>
      </c>
      <c r="V441" s="26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W441" s="28" t="n">
        <v>0.237</v>
      </c>
      <c r="X441" s="14" t="n">
        <v>48.75</v>
      </c>
      <c r="Y441" s="14">
        <f>ROUND(MIN(100, (X441/69.91)*100), 2)</f>
        <v/>
      </c>
    </row>
    <row r="442">
      <c r="A442" s="10" t="n">
        <v>3</v>
      </c>
      <c r="B442" s="10" t="n">
        <v>438</v>
      </c>
      <c r="C442" s="10" t="n">
        <v>2438</v>
      </c>
      <c r="D442" s="10" t="inlineStr">
        <is>
          <t>PH0002438</t>
        </is>
      </c>
      <c r="E442" s="26" t="inlineStr">
        <is>
          <t>NCR</t>
        </is>
      </c>
      <c r="F442" s="26" t="inlineStr">
        <is>
          <t>Metro Manila</t>
        </is>
      </c>
      <c r="G442" s="26" t="inlineStr">
        <is>
          <t>Caloocan City</t>
        </is>
      </c>
      <c r="H442" s="26" t="inlineStr">
        <is>
          <t>Barangay 113</t>
        </is>
      </c>
      <c r="I442" s="27" t="n">
        <v>11.469741</v>
      </c>
      <c r="J442" s="27" t="n">
        <v>121.647461</v>
      </c>
      <c r="K442" s="10" t="inlineStr">
        <is>
          <t>R</t>
        </is>
      </c>
      <c r="L442" s="12" t="n">
        <v>2279</v>
      </c>
      <c r="M442" s="14" t="n">
        <v>3.8</v>
      </c>
      <c r="N442" s="12">
        <f>ROUND(L442/M442, 0)</f>
        <v/>
      </c>
      <c r="O442" s="12">
        <f>ROUND(N442*'Methodology &amp; Assumptions'!$B$5, 0)</f>
        <v/>
      </c>
      <c r="P442" s="10" t="inlineStr">
        <is>
          <t>Single Carrier (Band n50, 100MHz TDD)</t>
        </is>
      </c>
      <c r="Q442" s="13">
        <f>ROUNDUP(O442/'Methodology &amp; Assumptions'!$B$6, 0)</f>
        <v/>
      </c>
      <c r="R442" s="13" t="n">
        <v>1</v>
      </c>
      <c r="S442" s="14" t="n">
        <v>62.35</v>
      </c>
      <c r="T442" s="14" t="n">
        <v>60.15</v>
      </c>
      <c r="U442" s="26">
        <f>IF(X442&gt;='Methodology &amp; Assumptions'!$B$7, "Tier 1 Critical GIDA (Score ≥ 50.0)", IF(X442&gt;='Methodology &amp; Assumptions'!$B$8, "Tier 2 High GIDA (Score 40.0–49.9)", "Tier 3 Moderate GIDA (Score &lt; 40.0)"))</f>
        <v/>
      </c>
      <c r="V442" s="26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W442" s="28" t="n">
        <v>0.011</v>
      </c>
      <c r="X442" s="14" t="n">
        <v>48.74</v>
      </c>
      <c r="Y442" s="14">
        <f>ROUND(MIN(100, (X442/69.91)*100), 2)</f>
        <v/>
      </c>
    </row>
    <row r="443">
      <c r="A443" s="10" t="n">
        <v>3</v>
      </c>
      <c r="B443" s="10" t="n">
        <v>439</v>
      </c>
      <c r="C443" s="10" t="n">
        <v>2439</v>
      </c>
      <c r="D443" s="10" t="inlineStr">
        <is>
          <t>PH0002439</t>
        </is>
      </c>
      <c r="E443" s="26" t="inlineStr">
        <is>
          <t>NCR</t>
        </is>
      </c>
      <c r="F443" s="26" t="inlineStr">
        <is>
          <t>Metro Manila</t>
        </is>
      </c>
      <c r="G443" s="26" t="inlineStr">
        <is>
          <t>Caloocan City</t>
        </is>
      </c>
      <c r="H443" s="26" t="inlineStr">
        <is>
          <t>Barangay 54</t>
        </is>
      </c>
      <c r="I443" s="27" t="n">
        <v>14.003639</v>
      </c>
      <c r="J443" s="27" t="n">
        <v>120.889313</v>
      </c>
      <c r="K443" s="10" t="inlineStr">
        <is>
          <t>R</t>
        </is>
      </c>
      <c r="L443" s="12" t="n">
        <v>2279</v>
      </c>
      <c r="M443" s="14" t="n">
        <v>3.8</v>
      </c>
      <c r="N443" s="12">
        <f>ROUND(L443/M443, 0)</f>
        <v/>
      </c>
      <c r="O443" s="12">
        <f>ROUND(N443*'Methodology &amp; Assumptions'!$B$5, 0)</f>
        <v/>
      </c>
      <c r="P443" s="10" t="inlineStr">
        <is>
          <t>Single Carrier (Band n50, 100MHz TDD)</t>
        </is>
      </c>
      <c r="Q443" s="13">
        <f>ROUNDUP(O443/'Methodology &amp; Assumptions'!$B$6, 0)</f>
        <v/>
      </c>
      <c r="R443" s="13" t="n">
        <v>1</v>
      </c>
      <c r="S443" s="14" t="n">
        <v>3.74</v>
      </c>
      <c r="T443" s="14" t="n">
        <v>7.66</v>
      </c>
      <c r="U443" s="26">
        <f>IF(X443&gt;='Methodology &amp; Assumptions'!$B$7, "Tier 1 Critical GIDA (Score ≥ 50.0)", IF(X443&gt;='Methodology &amp; Assumptions'!$B$8, "Tier 2 High GIDA (Score 40.0–49.9)", "Tier 3 Moderate GIDA (Score &lt; 40.0)"))</f>
        <v/>
      </c>
      <c r="V443" s="26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W443" s="28" t="n">
        <v>0.011</v>
      </c>
      <c r="X443" s="14" t="n">
        <v>48.74</v>
      </c>
      <c r="Y443" s="14">
        <f>ROUND(MIN(100, (X443/69.91)*100), 2)</f>
        <v/>
      </c>
    </row>
    <row r="444">
      <c r="A444" s="10" t="n">
        <v>3</v>
      </c>
      <c r="B444" s="10" t="n">
        <v>440</v>
      </c>
      <c r="C444" s="10" t="n">
        <v>2440</v>
      </c>
      <c r="D444" s="10" t="inlineStr">
        <is>
          <t>1380601183</t>
        </is>
      </c>
      <c r="E444" s="26" t="inlineStr">
        <is>
          <t>National Capital Region (NCR)</t>
        </is>
      </c>
      <c r="F444" s="26" t="inlineStr">
        <is>
          <t>First District (Not a Province)</t>
        </is>
      </c>
      <c r="G444" s="26" t="inlineStr">
        <is>
          <t>City of Manila</t>
        </is>
      </c>
      <c r="H444" s="26" t="inlineStr">
        <is>
          <t>Barangay 183</t>
        </is>
      </c>
      <c r="I444" s="27" t="n">
        <v>12.135463</v>
      </c>
      <c r="J444" s="27" t="n">
        <v>122.171424</v>
      </c>
      <c r="K444" s="10" t="inlineStr">
        <is>
          <t>U</t>
        </is>
      </c>
      <c r="L444" s="12" t="n">
        <v>8680</v>
      </c>
      <c r="M444" s="14" t="n">
        <v>3.9</v>
      </c>
      <c r="N444" s="12">
        <f>ROUND(L444/M444, 0)</f>
        <v/>
      </c>
      <c r="O444" s="12">
        <f>ROUND(N444*'Methodology &amp; Assumptions'!$B$5, 0)</f>
        <v/>
      </c>
      <c r="P444" s="10" t="inlineStr">
        <is>
          <t>Single Carrier (Band n50, 100MHz TDD)</t>
        </is>
      </c>
      <c r="Q444" s="13">
        <f>ROUNDUP(O444/'Methodology &amp; Assumptions'!$B$6, 0)</f>
        <v/>
      </c>
      <c r="R444" s="13" t="n">
        <v>1</v>
      </c>
      <c r="S444" s="14" t="n">
        <v>32.17</v>
      </c>
      <c r="T444" s="14" t="n">
        <v>16.11</v>
      </c>
      <c r="U444" s="26">
        <f>IF(X444&gt;='Methodology &amp; Assumptions'!$B$7, "Tier 1 Critical GIDA (Score ≥ 50.0)", IF(X444&gt;='Methodology &amp; Assumptions'!$B$8, "Tier 2 High GIDA (Score 40.0–49.9)", "Tier 3 Moderate GIDA (Score &lt; 40.0)"))</f>
        <v/>
      </c>
      <c r="V444" s="26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W444" s="28" t="n">
        <v>0.109</v>
      </c>
      <c r="X444" s="14" t="n">
        <v>48.74</v>
      </c>
      <c r="Y444" s="14">
        <f>ROUND(MIN(100, (X444/69.91)*100), 2)</f>
        <v/>
      </c>
    </row>
    <row r="445">
      <c r="A445" s="10" t="n">
        <v>3</v>
      </c>
      <c r="B445" s="10" t="n">
        <v>441</v>
      </c>
      <c r="C445" s="10" t="n">
        <v>2441</v>
      </c>
      <c r="D445" s="10" t="inlineStr">
        <is>
          <t>PH0002441</t>
        </is>
      </c>
      <c r="E445" s="26" t="inlineStr">
        <is>
          <t>CAR</t>
        </is>
      </c>
      <c r="F445" s="26" t="inlineStr">
        <is>
          <t>Benguet</t>
        </is>
      </c>
      <c r="G445" s="26" t="inlineStr">
        <is>
          <t>Baguio City</t>
        </is>
      </c>
      <c r="H445" s="26" t="inlineStr">
        <is>
          <t>Quirino-Magsaysay, Upper</t>
        </is>
      </c>
      <c r="I445" s="27" t="n">
        <v>16.427588</v>
      </c>
      <c r="J445" s="27" t="n">
        <v>120.589428</v>
      </c>
      <c r="K445" s="10" t="inlineStr">
        <is>
          <t>R</t>
        </is>
      </c>
      <c r="L445" s="12" t="n">
        <v>2260</v>
      </c>
      <c r="M445" s="14" t="n">
        <v>3.5</v>
      </c>
      <c r="N445" s="12">
        <f>ROUND(L445/M445, 0)</f>
        <v/>
      </c>
      <c r="O445" s="12">
        <f>ROUND(N445*'Methodology &amp; Assumptions'!$B$5, 0)</f>
        <v/>
      </c>
      <c r="P445" s="10" t="inlineStr">
        <is>
          <t>Single Carrier (Band n50, 100MHz TDD)</t>
        </is>
      </c>
      <c r="Q445" s="13">
        <f>ROUNDUP(O445/'Methodology &amp; Assumptions'!$B$6, 0)</f>
        <v/>
      </c>
      <c r="R445" s="13" t="n">
        <v>1</v>
      </c>
      <c r="S445" s="14" t="n">
        <v>0.51</v>
      </c>
      <c r="T445" s="14" t="n">
        <v>1.42</v>
      </c>
      <c r="U445" s="26">
        <f>IF(X445&gt;='Methodology &amp; Assumptions'!$B$7, "Tier 1 Critical GIDA (Score ≥ 50.0)", IF(X445&gt;='Methodology &amp; Assumptions'!$B$8, "Tier 2 High GIDA (Score 40.0–49.9)", "Tier 3 Moderate GIDA (Score &lt; 40.0)"))</f>
        <v/>
      </c>
      <c r="V445" s="26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W445" s="28" t="n">
        <v>0.221</v>
      </c>
      <c r="X445" s="14" t="n">
        <v>48.74</v>
      </c>
      <c r="Y445" s="14">
        <f>ROUND(MIN(100, (X445/69.91)*100), 2)</f>
        <v/>
      </c>
    </row>
    <row r="446">
      <c r="A446" s="10" t="n">
        <v>3</v>
      </c>
      <c r="B446" s="10" t="n">
        <v>442</v>
      </c>
      <c r="C446" s="10" t="n">
        <v>2442</v>
      </c>
      <c r="D446" s="10" t="inlineStr">
        <is>
          <t>0802613014</t>
        </is>
      </c>
      <c r="E446" s="26" t="inlineStr">
        <is>
          <t>Region VIII (Eastern Visayas)</t>
        </is>
      </c>
      <c r="F446" s="26" t="inlineStr">
        <is>
          <t>Eastern Samar</t>
        </is>
      </c>
      <c r="G446" s="26" t="inlineStr">
        <is>
          <t>Llorente</t>
        </is>
      </c>
      <c r="H446" s="26" t="inlineStr">
        <is>
          <t>Mina-anod</t>
        </is>
      </c>
      <c r="I446" s="27" t="n">
        <v>11.433153</v>
      </c>
      <c r="J446" s="27" t="n">
        <v>125.549878</v>
      </c>
      <c r="K446" s="10" t="inlineStr">
        <is>
          <t>R</t>
        </is>
      </c>
      <c r="L446" s="12" t="n">
        <v>421</v>
      </c>
      <c r="M446" s="14" t="n">
        <v>3.9</v>
      </c>
      <c r="N446" s="12">
        <f>ROUND(L446/M446, 0)</f>
        <v/>
      </c>
      <c r="O446" s="12">
        <f>ROUND(N446*'Methodology &amp; Assumptions'!$B$5, 0)</f>
        <v/>
      </c>
      <c r="P446" s="10" t="inlineStr">
        <is>
          <t>Single Carrier (Band n50, 100MHz TDD)</t>
        </is>
      </c>
      <c r="Q446" s="13">
        <f>ROUNDUP(O446/'Methodology &amp; Assumptions'!$B$6, 0)</f>
        <v/>
      </c>
      <c r="R446" s="13" t="n">
        <v>1</v>
      </c>
      <c r="S446" s="14" t="n">
        <v>63.45</v>
      </c>
      <c r="T446" s="14" t="n">
        <v>63.05</v>
      </c>
      <c r="U446" s="26">
        <f>IF(X446&gt;='Methodology &amp; Assumptions'!$B$7, "Tier 1 Critical GIDA (Score ≥ 50.0)", IF(X446&gt;='Methodology &amp; Assumptions'!$B$8, "Tier 2 High GIDA (Score 40.0–49.9)", "Tier 3 Moderate GIDA (Score &lt; 40.0)"))</f>
        <v/>
      </c>
      <c r="V446" s="26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W446" s="28" t="n">
        <v>0.237</v>
      </c>
      <c r="X446" s="14" t="n">
        <v>48.74</v>
      </c>
      <c r="Y446" s="14">
        <f>ROUND(MIN(100, (X446/69.91)*100), 2)</f>
        <v/>
      </c>
    </row>
    <row r="447">
      <c r="A447" s="10" t="n">
        <v>3</v>
      </c>
      <c r="B447" s="10" t="n">
        <v>443</v>
      </c>
      <c r="C447" s="10" t="n">
        <v>2443</v>
      </c>
      <c r="D447" s="10" t="inlineStr">
        <is>
          <t>0405622089</t>
        </is>
      </c>
      <c r="E447" s="26" t="inlineStr">
        <is>
          <t>Region IV-A (CALABARZON)</t>
        </is>
      </c>
      <c r="F447" s="26" t="inlineStr">
        <is>
          <t>Quezon</t>
        </is>
      </c>
      <c r="G447" s="26" t="inlineStr">
        <is>
          <t>Lopez</t>
        </is>
      </c>
      <c r="H447" s="26" t="inlineStr">
        <is>
          <t>Villa Aurora</t>
        </is>
      </c>
      <c r="I447" s="27" t="n">
        <v>13.824162</v>
      </c>
      <c r="J447" s="27" t="n">
        <v>122.368455</v>
      </c>
      <c r="K447" s="10" t="inlineStr">
        <is>
          <t>R</t>
        </is>
      </c>
      <c r="L447" s="12" t="n">
        <v>820</v>
      </c>
      <c r="M447" s="14" t="n">
        <v>3.8</v>
      </c>
      <c r="N447" s="12">
        <f>ROUND(L447/M447, 0)</f>
        <v/>
      </c>
      <c r="O447" s="12">
        <f>ROUND(N447*'Methodology &amp; Assumptions'!$B$5, 0)</f>
        <v/>
      </c>
      <c r="P447" s="10" t="inlineStr">
        <is>
          <t>Single Carrier (Band n50, 100MHz TDD)</t>
        </is>
      </c>
      <c r="Q447" s="13">
        <f>ROUNDUP(O447/'Methodology &amp; Assumptions'!$B$6, 0)</f>
        <v/>
      </c>
      <c r="R447" s="13" t="n">
        <v>1</v>
      </c>
      <c r="S447" s="14" t="n">
        <v>12.41</v>
      </c>
      <c r="T447" s="14" t="n">
        <v>0.26</v>
      </c>
      <c r="U447" s="26">
        <f>IF(X447&gt;='Methodology &amp; Assumptions'!$B$7, "Tier 1 Critical GIDA (Score ≥ 50.0)", IF(X447&gt;='Methodology &amp; Assumptions'!$B$8, "Tier 2 High GIDA (Score 40.0–49.9)", "Tier 3 Moderate GIDA (Score &lt; 40.0)"))</f>
        <v/>
      </c>
      <c r="V447" s="26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W447" s="28" t="n">
        <v>0.07200000000000001</v>
      </c>
      <c r="X447" s="14" t="n">
        <v>48.73</v>
      </c>
      <c r="Y447" s="14">
        <f>ROUND(MIN(100, (X447/69.91)*100), 2)</f>
        <v/>
      </c>
    </row>
    <row r="448">
      <c r="A448" s="10" t="n">
        <v>3</v>
      </c>
      <c r="B448" s="10" t="n">
        <v>444</v>
      </c>
      <c r="C448" s="10" t="n">
        <v>2444</v>
      </c>
      <c r="D448" s="10" t="inlineStr">
        <is>
          <t>1380601199</t>
        </is>
      </c>
      <c r="E448" s="26" t="inlineStr">
        <is>
          <t>National Capital Region (NCR)</t>
        </is>
      </c>
      <c r="F448" s="26" t="inlineStr">
        <is>
          <t>First District (Not a Province)</t>
        </is>
      </c>
      <c r="G448" s="26" t="inlineStr">
        <is>
          <t>City of Manila</t>
        </is>
      </c>
      <c r="H448" s="26" t="inlineStr">
        <is>
          <t>Barangay 199</t>
        </is>
      </c>
      <c r="I448" s="27" t="n">
        <v>13.16713</v>
      </c>
      <c r="J448" s="27" t="n">
        <v>120.963911</v>
      </c>
      <c r="K448" s="10" t="inlineStr">
        <is>
          <t>U</t>
        </is>
      </c>
      <c r="L448" s="12" t="n">
        <v>3576</v>
      </c>
      <c r="M448" s="14" t="n">
        <v>3.9</v>
      </c>
      <c r="N448" s="12">
        <f>ROUND(L448/M448, 0)</f>
        <v/>
      </c>
      <c r="O448" s="12">
        <f>ROUND(N448*'Methodology &amp; Assumptions'!$B$5, 0)</f>
        <v/>
      </c>
      <c r="P448" s="10" t="inlineStr">
        <is>
          <t>Single Carrier (Band n50, 100MHz TDD)</t>
        </is>
      </c>
      <c r="Q448" s="13">
        <f>ROUNDUP(O448/'Methodology &amp; Assumptions'!$B$6, 0)</f>
        <v/>
      </c>
      <c r="R448" s="13" t="n">
        <v>1</v>
      </c>
      <c r="S448" s="14" t="n">
        <v>25.72</v>
      </c>
      <c r="T448" s="14" t="n">
        <v>25.45</v>
      </c>
      <c r="U448" s="26">
        <f>IF(X448&gt;='Methodology &amp; Assumptions'!$B$7, "Tier 1 Critical GIDA (Score ≥ 50.0)", IF(X448&gt;='Methodology &amp; Assumptions'!$B$8, "Tier 2 High GIDA (Score 40.0–49.9)", "Tier 3 Moderate GIDA (Score &lt; 40.0)"))</f>
        <v/>
      </c>
      <c r="V448" s="26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W448" s="28" t="n">
        <v>0.109</v>
      </c>
      <c r="X448" s="14" t="n">
        <v>48.73</v>
      </c>
      <c r="Y448" s="14">
        <f>ROUND(MIN(100, (X448/69.91)*100), 2)</f>
        <v/>
      </c>
    </row>
    <row r="449">
      <c r="A449" s="10" t="n">
        <v>3</v>
      </c>
      <c r="B449" s="10" t="n">
        <v>445</v>
      </c>
      <c r="C449" s="10" t="n">
        <v>2445</v>
      </c>
      <c r="D449" s="10" t="inlineStr">
        <is>
          <t>PH0002445</t>
        </is>
      </c>
      <c r="E449" s="26" t="inlineStr">
        <is>
          <t>NCR</t>
        </is>
      </c>
      <c r="F449" s="26" t="inlineStr">
        <is>
          <t>Metro Manila</t>
        </is>
      </c>
      <c r="G449" s="26" t="inlineStr">
        <is>
          <t>Caloocan City</t>
        </is>
      </c>
      <c r="H449" s="26" t="inlineStr">
        <is>
          <t>Barangay 117</t>
        </is>
      </c>
      <c r="I449" s="27" t="n">
        <v>12.633459</v>
      </c>
      <c r="J449" s="27" t="n">
        <v>123.206543</v>
      </c>
      <c r="K449" s="10" t="inlineStr">
        <is>
          <t>R</t>
        </is>
      </c>
      <c r="L449" s="12" t="n">
        <v>2279</v>
      </c>
      <c r="M449" s="14" t="n">
        <v>3.8</v>
      </c>
      <c r="N449" s="12">
        <f>ROUND(L449/M449, 0)</f>
        <v/>
      </c>
      <c r="O449" s="12">
        <f>ROUND(N449*'Methodology &amp; Assumptions'!$B$5, 0)</f>
        <v/>
      </c>
      <c r="P449" s="10" t="inlineStr">
        <is>
          <t>Single Carrier (Band n50, 100MHz TDD)</t>
        </is>
      </c>
      <c r="Q449" s="13">
        <f>ROUNDUP(O449/'Methodology &amp; Assumptions'!$B$6, 0)</f>
        <v/>
      </c>
      <c r="R449" s="13" t="n">
        <v>1</v>
      </c>
      <c r="S449" s="14" t="n">
        <v>24.95</v>
      </c>
      <c r="T449" s="14" t="n">
        <v>28.02</v>
      </c>
      <c r="U449" s="26">
        <f>IF(X449&gt;='Methodology &amp; Assumptions'!$B$7, "Tier 1 Critical GIDA (Score ≥ 50.0)", IF(X449&gt;='Methodology &amp; Assumptions'!$B$8, "Tier 2 High GIDA (Score 40.0–49.9)", "Tier 3 Moderate GIDA (Score &lt; 40.0)"))</f>
        <v/>
      </c>
      <c r="V449" s="26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W449" s="28" t="n">
        <v>0.011</v>
      </c>
      <c r="X449" s="14" t="n">
        <v>48.73</v>
      </c>
      <c r="Y449" s="14">
        <f>ROUND(MIN(100, (X449/69.91)*100), 2)</f>
        <v/>
      </c>
    </row>
    <row r="450">
      <c r="A450" s="10" t="n">
        <v>3</v>
      </c>
      <c r="B450" s="10" t="n">
        <v>446</v>
      </c>
      <c r="C450" s="10" t="n">
        <v>2446</v>
      </c>
      <c r="D450" s="10" t="inlineStr">
        <is>
          <t>PH0002446</t>
        </is>
      </c>
      <c r="E450" s="26" t="inlineStr">
        <is>
          <t>NCR</t>
        </is>
      </c>
      <c r="F450" s="26" t="inlineStr">
        <is>
          <t>Metro Manila</t>
        </is>
      </c>
      <c r="G450" s="26" t="inlineStr">
        <is>
          <t>Caloocan City</t>
        </is>
      </c>
      <c r="H450" s="26" t="inlineStr">
        <is>
          <t>Barangay 132</t>
        </is>
      </c>
      <c r="I450" s="27" t="n">
        <v>12.11706</v>
      </c>
      <c r="J450" s="27" t="n">
        <v>120.545999</v>
      </c>
      <c r="K450" s="10" t="inlineStr">
        <is>
          <t>R</t>
        </is>
      </c>
      <c r="L450" s="12" t="n">
        <v>2279</v>
      </c>
      <c r="M450" s="14" t="n">
        <v>3.8</v>
      </c>
      <c r="N450" s="12">
        <f>ROUND(L450/M450, 0)</f>
        <v/>
      </c>
      <c r="O450" s="12">
        <f>ROUND(N450*'Methodology &amp; Assumptions'!$B$5, 0)</f>
        <v/>
      </c>
      <c r="P450" s="10" t="inlineStr">
        <is>
          <t>Single Carrier (Band n50, 100MHz TDD)</t>
        </is>
      </c>
      <c r="Q450" s="13">
        <f>ROUNDUP(O450/'Methodology &amp; Assumptions'!$B$6, 0)</f>
        <v/>
      </c>
      <c r="R450" s="13" t="n">
        <v>1</v>
      </c>
      <c r="S450" s="14" t="n">
        <v>34.76</v>
      </c>
      <c r="T450" s="14" t="n">
        <v>61.87</v>
      </c>
      <c r="U450" s="26">
        <f>IF(X450&gt;='Methodology &amp; Assumptions'!$B$7, "Tier 1 Critical GIDA (Score ≥ 50.0)", IF(X450&gt;='Methodology &amp; Assumptions'!$B$8, "Tier 2 High GIDA (Score 40.0–49.9)", "Tier 3 Moderate GIDA (Score &lt; 40.0)"))</f>
        <v/>
      </c>
      <c r="V450" s="26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W450" s="28" t="n">
        <v>0.011</v>
      </c>
      <c r="X450" s="14" t="n">
        <v>48.73</v>
      </c>
      <c r="Y450" s="14">
        <f>ROUND(MIN(100, (X450/69.91)*100), 2)</f>
        <v/>
      </c>
    </row>
    <row r="451">
      <c r="A451" s="10" t="n">
        <v>3</v>
      </c>
      <c r="B451" s="10" t="n">
        <v>447</v>
      </c>
      <c r="C451" s="10" t="n">
        <v>2447</v>
      </c>
      <c r="D451" s="10" t="inlineStr">
        <is>
          <t>0504113014</t>
        </is>
      </c>
      <c r="E451" s="26" t="inlineStr">
        <is>
          <t>Region V (Bicol Region)</t>
        </is>
      </c>
      <c r="F451" s="26" t="inlineStr">
        <is>
          <t>Masbate</t>
        </is>
      </c>
      <c r="G451" s="26" t="inlineStr">
        <is>
          <t>Mobo</t>
        </is>
      </c>
      <c r="H451" s="26" t="inlineStr">
        <is>
          <t>Mapuyo</t>
        </is>
      </c>
      <c r="I451" s="27" t="n">
        <v>12.22857</v>
      </c>
      <c r="J451" s="27" t="n">
        <v>123.64241</v>
      </c>
      <c r="K451" s="10" t="inlineStr">
        <is>
          <t>R</t>
        </is>
      </c>
      <c r="L451" s="12" t="n">
        <v>570</v>
      </c>
      <c r="M451" s="14" t="n">
        <v>4.1</v>
      </c>
      <c r="N451" s="12">
        <f>ROUND(L451/M451, 0)</f>
        <v/>
      </c>
      <c r="O451" s="12">
        <f>ROUND(N451*'Methodology &amp; Assumptions'!$B$5, 0)</f>
        <v/>
      </c>
      <c r="P451" s="10" t="inlineStr">
        <is>
          <t>Single Carrier (Band n50, 100MHz TDD)</t>
        </is>
      </c>
      <c r="Q451" s="13">
        <f>ROUNDUP(O451/'Methodology &amp; Assumptions'!$B$6, 0)</f>
        <v/>
      </c>
      <c r="R451" s="13" t="n">
        <v>1</v>
      </c>
      <c r="S451" s="14" t="n">
        <v>12.16</v>
      </c>
      <c r="T451" s="14" t="n">
        <v>11.77</v>
      </c>
      <c r="U451" s="26">
        <f>IF(X451&gt;='Methodology &amp; Assumptions'!$B$7, "Tier 1 Critical GIDA (Score ≥ 50.0)", IF(X451&gt;='Methodology &amp; Assumptions'!$B$8, "Tier 2 High GIDA (Score 40.0–49.9)", "Tier 3 Moderate GIDA (Score &lt; 40.0)"))</f>
        <v/>
      </c>
      <c r="V451" s="26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W451" s="28" t="n">
        <v>0.237</v>
      </c>
      <c r="X451" s="14" t="n">
        <v>48.73</v>
      </c>
      <c r="Y451" s="14">
        <f>ROUND(MIN(100, (X451/69.91)*100), 2)</f>
        <v/>
      </c>
    </row>
    <row r="452">
      <c r="A452" s="10" t="n">
        <v>3</v>
      </c>
      <c r="B452" s="10" t="n">
        <v>448</v>
      </c>
      <c r="C452" s="10" t="n">
        <v>2448</v>
      </c>
      <c r="D452" s="10" t="inlineStr">
        <is>
          <t>0401005077</t>
        </is>
      </c>
      <c r="E452" s="26" t="inlineStr">
        <is>
          <t>Region IV-A (CALABARZON)</t>
        </is>
      </c>
      <c r="F452" s="26" t="inlineStr">
        <is>
          <t>Batangas</t>
        </is>
      </c>
      <c r="G452" s="26" t="inlineStr">
        <is>
          <t>Batangas City</t>
        </is>
      </c>
      <c r="H452" s="26" t="inlineStr">
        <is>
          <t>Barangay 8</t>
        </is>
      </c>
      <c r="I452" s="27" t="n">
        <v>13.694671</v>
      </c>
      <c r="J452" s="27" t="n">
        <v>121.089139</v>
      </c>
      <c r="K452" s="10" t="inlineStr">
        <is>
          <t>R</t>
        </is>
      </c>
      <c r="L452" s="12" t="n">
        <v>491</v>
      </c>
      <c r="M452" s="14" t="n">
        <v>3.6</v>
      </c>
      <c r="N452" s="12">
        <f>ROUND(L452/M452, 0)</f>
        <v/>
      </c>
      <c r="O452" s="12">
        <f>ROUND(N452*'Methodology &amp; Assumptions'!$B$5, 0)</f>
        <v/>
      </c>
      <c r="P452" s="10" t="inlineStr">
        <is>
          <t>Single Carrier (Band n50, 100MHz TDD)</t>
        </is>
      </c>
      <c r="Q452" s="13">
        <f>ROUNDUP(O452/'Methodology &amp; Assumptions'!$B$6, 0)</f>
        <v/>
      </c>
      <c r="R452" s="13" t="n">
        <v>1</v>
      </c>
      <c r="S452" s="14" t="n">
        <v>2.9</v>
      </c>
      <c r="T452" s="14" t="n">
        <v>7.45</v>
      </c>
      <c r="U452" s="26">
        <f>IF(X452&gt;='Methodology &amp; Assumptions'!$B$7, "Tier 1 Critical GIDA (Score ≥ 50.0)", IF(X452&gt;='Methodology &amp; Assumptions'!$B$8, "Tier 2 High GIDA (Score 40.0–49.9)", "Tier 3 Moderate GIDA (Score &lt; 40.0)"))</f>
        <v/>
      </c>
      <c r="V452" s="26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W452" s="28" t="n">
        <v>0.07200000000000001</v>
      </c>
      <c r="X452" s="14" t="n">
        <v>48.73</v>
      </c>
      <c r="Y452" s="14">
        <f>ROUND(MIN(100, (X452/69.91)*100), 2)</f>
        <v/>
      </c>
    </row>
    <row r="453">
      <c r="A453" s="10" t="n">
        <v>3</v>
      </c>
      <c r="B453" s="10" t="n">
        <v>449</v>
      </c>
      <c r="C453" s="10" t="n">
        <v>2449</v>
      </c>
      <c r="D453" s="10" t="inlineStr">
        <is>
          <t>0806004019</t>
        </is>
      </c>
      <c r="E453" s="26" t="inlineStr">
        <is>
          <t>Region VIII (Eastern Visayas)</t>
        </is>
      </c>
      <c r="F453" s="26" t="inlineStr">
        <is>
          <t>Samar</t>
        </is>
      </c>
      <c r="G453" s="26" t="inlineStr">
        <is>
          <t>Calbiga</t>
        </is>
      </c>
      <c r="H453" s="26" t="inlineStr">
        <is>
          <t>Mahangcao</t>
        </is>
      </c>
      <c r="I453" s="27" t="n">
        <v>11.61184</v>
      </c>
      <c r="J453" s="27" t="n">
        <v>125.07985</v>
      </c>
      <c r="K453" s="10" t="inlineStr">
        <is>
          <t>R</t>
        </is>
      </c>
      <c r="L453" s="12" t="n">
        <v>356</v>
      </c>
      <c r="M453" s="14" t="n">
        <v>4.1</v>
      </c>
      <c r="N453" s="12">
        <f>ROUND(L453/M453, 0)</f>
        <v/>
      </c>
      <c r="O453" s="12">
        <f>ROUND(N453*'Methodology &amp; Assumptions'!$B$5, 0)</f>
        <v/>
      </c>
      <c r="P453" s="10" t="inlineStr">
        <is>
          <t>Single Carrier (Band n50, 100MHz TDD)</t>
        </is>
      </c>
      <c r="Q453" s="13">
        <f>ROUNDUP(O453/'Methodology &amp; Assumptions'!$B$6, 0)</f>
        <v/>
      </c>
      <c r="R453" s="13" t="n">
        <v>1</v>
      </c>
      <c r="S453" s="14" t="n">
        <v>42.24</v>
      </c>
      <c r="T453" s="14" t="n">
        <v>45.07</v>
      </c>
      <c r="U453" s="26">
        <f>IF(X453&gt;='Methodology &amp; Assumptions'!$B$7, "Tier 1 Critical GIDA (Score ≥ 50.0)", IF(X453&gt;='Methodology &amp; Assumptions'!$B$8, "Tier 2 High GIDA (Score 40.0–49.9)", "Tier 3 Moderate GIDA (Score &lt; 40.0)"))</f>
        <v/>
      </c>
      <c r="V453" s="26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W453" s="28" t="n">
        <v>0.237</v>
      </c>
      <c r="X453" s="14" t="n">
        <v>48.72</v>
      </c>
      <c r="Y453" s="14">
        <f>ROUND(MIN(100, (X453/69.91)*100), 2)</f>
        <v/>
      </c>
    </row>
    <row r="454">
      <c r="A454" s="10" t="n">
        <v>3</v>
      </c>
      <c r="B454" s="10" t="n">
        <v>450</v>
      </c>
      <c r="C454" s="10" t="n">
        <v>2450</v>
      </c>
      <c r="D454" s="10" t="inlineStr">
        <is>
          <t>1381100187</t>
        </is>
      </c>
      <c r="E454" s="26" t="inlineStr">
        <is>
          <t>National Capital Region (NCR)</t>
        </is>
      </c>
      <c r="F454" s="26" t="inlineStr">
        <is>
          <t>Fourth District (Not a Province)</t>
        </is>
      </c>
      <c r="G454" s="26" t="inlineStr">
        <is>
          <t>Pasay City</t>
        </is>
      </c>
      <c r="H454" s="26" t="inlineStr">
        <is>
          <t>Barangay 187</t>
        </is>
      </c>
      <c r="I454" s="27" t="n">
        <v>14.53317</v>
      </c>
      <c r="J454" s="27" t="n">
        <v>121.00061</v>
      </c>
      <c r="K454" s="10" t="inlineStr">
        <is>
          <t>U</t>
        </is>
      </c>
      <c r="L454" s="12" t="n">
        <v>4761</v>
      </c>
      <c r="M454" s="14" t="n">
        <v>3.4</v>
      </c>
      <c r="N454" s="12">
        <f>ROUND(L454/M454, 0)</f>
        <v/>
      </c>
      <c r="O454" s="12">
        <f>ROUND(N454*'Methodology &amp; Assumptions'!$B$5, 0)</f>
        <v/>
      </c>
      <c r="P454" s="10" t="inlineStr">
        <is>
          <t>Single Carrier (Band n50, 100MHz TDD)</t>
        </is>
      </c>
      <c r="Q454" s="13">
        <f>ROUNDUP(O454/'Methodology &amp; Assumptions'!$B$6, 0)</f>
        <v/>
      </c>
      <c r="R454" s="13" t="n">
        <v>1</v>
      </c>
      <c r="S454" s="14" t="n">
        <v>0.7</v>
      </c>
      <c r="T454" s="14" t="n">
        <v>0.34</v>
      </c>
      <c r="U454" s="26">
        <f>IF(X454&gt;='Methodology &amp; Assumptions'!$B$7, "Tier 1 Critical GIDA (Score ≥ 50.0)", IF(X454&gt;='Methodology &amp; Assumptions'!$B$8, "Tier 2 High GIDA (Score 40.0–49.9)", "Tier 3 Moderate GIDA (Score &lt; 40.0)"))</f>
        <v/>
      </c>
      <c r="V454" s="26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W454" s="28" t="n">
        <v>0.109</v>
      </c>
      <c r="X454" s="14" t="n">
        <v>48.72</v>
      </c>
      <c r="Y454" s="14">
        <f>ROUND(MIN(100, (X454/69.91)*100), 2)</f>
        <v/>
      </c>
    </row>
    <row r="455">
      <c r="A455" s="10" t="n">
        <v>3</v>
      </c>
      <c r="B455" s="10" t="n">
        <v>451</v>
      </c>
      <c r="C455" s="10" t="n">
        <v>2451</v>
      </c>
      <c r="D455" s="10" t="inlineStr">
        <is>
          <t>1381100110</t>
        </is>
      </c>
      <c r="E455" s="26" t="inlineStr">
        <is>
          <t>National Capital Region (NCR)</t>
        </is>
      </c>
      <c r="F455" s="26" t="inlineStr">
        <is>
          <t>Fourth District (Not a Province)</t>
        </is>
      </c>
      <c r="G455" s="26" t="inlineStr">
        <is>
          <t>Pasay City</t>
        </is>
      </c>
      <c r="H455" s="26" t="inlineStr">
        <is>
          <t>Barangay 110</t>
        </is>
      </c>
      <c r="I455" s="27" t="n">
        <v>14.577044</v>
      </c>
      <c r="J455" s="27" t="n">
        <v>121.172057</v>
      </c>
      <c r="K455" s="10" t="inlineStr">
        <is>
          <t>U</t>
        </is>
      </c>
      <c r="L455" s="12" t="n">
        <v>1879</v>
      </c>
      <c r="M455" s="14" t="n">
        <v>3.4</v>
      </c>
      <c r="N455" s="12">
        <f>ROUND(L455/M455, 0)</f>
        <v/>
      </c>
      <c r="O455" s="12">
        <f>ROUND(N455*'Methodology &amp; Assumptions'!$B$5, 0)</f>
        <v/>
      </c>
      <c r="P455" s="10" t="inlineStr">
        <is>
          <t>Single Carrier (Band n50, 100MHz TDD)</t>
        </is>
      </c>
      <c r="Q455" s="13">
        <f>ROUNDUP(O455/'Methodology &amp; Assumptions'!$B$6, 0)</f>
        <v/>
      </c>
      <c r="R455" s="13" t="n">
        <v>1</v>
      </c>
      <c r="S455" s="14" t="n">
        <v>1.15</v>
      </c>
      <c r="T455" s="14" t="n">
        <v>0.5600000000000001</v>
      </c>
      <c r="U455" s="26">
        <f>IF(X455&gt;='Methodology &amp; Assumptions'!$B$7, "Tier 1 Critical GIDA (Score ≥ 50.0)", IF(X455&gt;='Methodology &amp; Assumptions'!$B$8, "Tier 2 High GIDA (Score 40.0–49.9)", "Tier 3 Moderate GIDA (Score &lt; 40.0)"))</f>
        <v/>
      </c>
      <c r="V455" s="26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W455" s="28" t="n">
        <v>0.109</v>
      </c>
      <c r="X455" s="14" t="n">
        <v>48.72</v>
      </c>
      <c r="Y455" s="14">
        <f>ROUND(MIN(100, (X455/69.91)*100), 2)</f>
        <v/>
      </c>
    </row>
    <row r="456">
      <c r="A456" s="10" t="n">
        <v>3</v>
      </c>
      <c r="B456" s="10" t="n">
        <v>452</v>
      </c>
      <c r="C456" s="10" t="n">
        <v>2452</v>
      </c>
      <c r="D456" s="10" t="inlineStr">
        <is>
          <t>0806004039</t>
        </is>
      </c>
      <c r="E456" s="26" t="inlineStr">
        <is>
          <t>Region VIII (Eastern Visayas)</t>
        </is>
      </c>
      <c r="F456" s="26" t="inlineStr">
        <is>
          <t>Samar</t>
        </is>
      </c>
      <c r="G456" s="26" t="inlineStr">
        <is>
          <t>Calbiga</t>
        </is>
      </c>
      <c r="H456" s="26" t="inlineStr">
        <is>
          <t>Sinalangtan</t>
        </is>
      </c>
      <c r="I456" s="27" t="n">
        <v>11.57277</v>
      </c>
      <c r="J456" s="27" t="n">
        <v>125.07826</v>
      </c>
      <c r="K456" s="10" t="inlineStr">
        <is>
          <t>R</t>
        </is>
      </c>
      <c r="L456" s="12" t="n">
        <v>154</v>
      </c>
      <c r="M456" s="14" t="n">
        <v>4.1</v>
      </c>
      <c r="N456" s="12">
        <f>ROUND(L456/M456, 0)</f>
        <v/>
      </c>
      <c r="O456" s="12">
        <f>ROUND(N456*'Methodology &amp; Assumptions'!$B$5, 0)</f>
        <v/>
      </c>
      <c r="P456" s="10" t="inlineStr">
        <is>
          <t>Single Carrier (Band n50, 100MHz TDD)</t>
        </is>
      </c>
      <c r="Q456" s="13">
        <f>ROUNDUP(O456/'Methodology &amp; Assumptions'!$B$6, 0)</f>
        <v/>
      </c>
      <c r="R456" s="13" t="n">
        <v>1</v>
      </c>
      <c r="S456" s="14" t="n">
        <v>37.96</v>
      </c>
      <c r="T456" s="14" t="n">
        <v>40.76</v>
      </c>
      <c r="U456" s="26">
        <f>IF(X456&gt;='Methodology &amp; Assumptions'!$B$7, "Tier 1 Critical GIDA (Score ≥ 50.0)", IF(X456&gt;='Methodology &amp; Assumptions'!$B$8, "Tier 2 High GIDA (Score 40.0–49.9)", "Tier 3 Moderate GIDA (Score &lt; 40.0)"))</f>
        <v/>
      </c>
      <c r="V456" s="26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W456" s="28" t="n">
        <v>0.237</v>
      </c>
      <c r="X456" s="14" t="n">
        <v>48.72</v>
      </c>
      <c r="Y456" s="14">
        <f>ROUND(MIN(100, (X456/69.91)*100), 2)</f>
        <v/>
      </c>
    </row>
    <row r="457">
      <c r="A457" s="10" t="n">
        <v>3</v>
      </c>
      <c r="B457" s="10" t="n">
        <v>453</v>
      </c>
      <c r="C457" s="10" t="n">
        <v>2453</v>
      </c>
      <c r="D457" s="10" t="inlineStr">
        <is>
          <t>1381100066</t>
        </is>
      </c>
      <c r="E457" s="26" t="inlineStr">
        <is>
          <t>National Capital Region (NCR)</t>
        </is>
      </c>
      <c r="F457" s="26" t="inlineStr">
        <is>
          <t>Fourth District (Not a Province)</t>
        </is>
      </c>
      <c r="G457" s="26" t="inlineStr">
        <is>
          <t>Pasay City</t>
        </is>
      </c>
      <c r="H457" s="26" t="inlineStr">
        <is>
          <t>Barangay 66</t>
        </is>
      </c>
      <c r="I457" s="27" t="n">
        <v>14.403089</v>
      </c>
      <c r="J457" s="27" t="n">
        <v>120.904011</v>
      </c>
      <c r="K457" s="10" t="inlineStr">
        <is>
          <t>U</t>
        </is>
      </c>
      <c r="L457" s="12" t="n">
        <v>2877</v>
      </c>
      <c r="M457" s="14" t="n">
        <v>3.4</v>
      </c>
      <c r="N457" s="12">
        <f>ROUND(L457/M457, 0)</f>
        <v/>
      </c>
      <c r="O457" s="12">
        <f>ROUND(N457*'Methodology &amp; Assumptions'!$B$5, 0)</f>
        <v/>
      </c>
      <c r="P457" s="10" t="inlineStr">
        <is>
          <t>Single Carrier (Band n50, 100MHz TDD)</t>
        </is>
      </c>
      <c r="Q457" s="13">
        <f>ROUNDUP(O457/'Methodology &amp; Assumptions'!$B$6, 0)</f>
        <v/>
      </c>
      <c r="R457" s="13" t="n">
        <v>1</v>
      </c>
      <c r="S457" s="14" t="n">
        <v>2.33</v>
      </c>
      <c r="T457" s="14" t="n">
        <v>2.83</v>
      </c>
      <c r="U457" s="26">
        <f>IF(X457&gt;='Methodology &amp; Assumptions'!$B$7, "Tier 1 Critical GIDA (Score ≥ 50.0)", IF(X457&gt;='Methodology &amp; Assumptions'!$B$8, "Tier 2 High GIDA (Score 40.0–49.9)", "Tier 3 Moderate GIDA (Score &lt; 40.0)"))</f>
        <v/>
      </c>
      <c r="V457" s="26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W457" s="28" t="n">
        <v>0.109</v>
      </c>
      <c r="X457" s="14" t="n">
        <v>48.71</v>
      </c>
      <c r="Y457" s="14">
        <f>ROUND(MIN(100, (X457/69.91)*100), 2)</f>
        <v/>
      </c>
    </row>
    <row r="458">
      <c r="A458" s="10" t="n">
        <v>3</v>
      </c>
      <c r="B458" s="10" t="n">
        <v>454</v>
      </c>
      <c r="C458" s="10" t="n">
        <v>2454</v>
      </c>
      <c r="D458" s="10" t="inlineStr">
        <is>
          <t>0701245023</t>
        </is>
      </c>
      <c r="E458" s="26" t="inlineStr">
        <is>
          <t>Region VII (Central Visayas)</t>
        </is>
      </c>
      <c r="F458" s="26" t="inlineStr">
        <is>
          <t>Bohol</t>
        </is>
      </c>
      <c r="G458" s="26" t="inlineStr">
        <is>
          <t>Tubigon</t>
        </is>
      </c>
      <c r="H458" s="26" t="inlineStr">
        <is>
          <t>Pangapasan</t>
        </is>
      </c>
      <c r="I458" s="27" t="n">
        <v>9.997977000000001</v>
      </c>
      <c r="J458" s="27" t="n">
        <v>123.941141</v>
      </c>
      <c r="K458" s="10" t="inlineStr">
        <is>
          <t>R</t>
        </is>
      </c>
      <c r="L458" s="12" t="n">
        <v>574</v>
      </c>
      <c r="M458" s="14" t="n">
        <v>4</v>
      </c>
      <c r="N458" s="12">
        <f>ROUND(L458/M458, 0)</f>
        <v/>
      </c>
      <c r="O458" s="12">
        <f>ROUND(N458*'Methodology &amp; Assumptions'!$B$5, 0)</f>
        <v/>
      </c>
      <c r="P458" s="10" t="inlineStr">
        <is>
          <t>Single Carrier (Band n50, 100MHz TDD)</t>
        </is>
      </c>
      <c r="Q458" s="13">
        <f>ROUNDUP(O458/'Methodology &amp; Assumptions'!$B$6, 0)</f>
        <v/>
      </c>
      <c r="R458" s="13" t="n">
        <v>1</v>
      </c>
      <c r="S458" s="14" t="n">
        <v>26.56</v>
      </c>
      <c r="T458" s="14" t="n">
        <v>5.76</v>
      </c>
      <c r="U458" s="26">
        <f>IF(X458&gt;='Methodology &amp; Assumptions'!$B$7, "Tier 1 Critical GIDA (Score ≥ 50.0)", IF(X458&gt;='Methodology &amp; Assumptions'!$B$8, "Tier 2 High GIDA (Score 40.0–49.9)", "Tier 3 Moderate GIDA (Score &lt; 40.0)"))</f>
        <v/>
      </c>
      <c r="V458" s="26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W458" s="28" t="n">
        <v>0.237</v>
      </c>
      <c r="X458" s="14" t="n">
        <v>48.71</v>
      </c>
      <c r="Y458" s="14">
        <f>ROUND(MIN(100, (X458/69.91)*100), 2)</f>
        <v/>
      </c>
    </row>
    <row r="459">
      <c r="A459" s="10" t="n">
        <v>3</v>
      </c>
      <c r="B459" s="10" t="n">
        <v>455</v>
      </c>
      <c r="C459" s="10" t="n">
        <v>2455</v>
      </c>
      <c r="D459" s="10" t="inlineStr">
        <is>
          <t>1380610022</t>
        </is>
      </c>
      <c r="E459" s="26" t="inlineStr">
        <is>
          <t>National Capital Region (NCR)</t>
        </is>
      </c>
      <c r="F459" s="26" t="inlineStr">
        <is>
          <t>First District (Not a Province)</t>
        </is>
      </c>
      <c r="G459" s="26" t="inlineStr">
        <is>
          <t>City of Manila</t>
        </is>
      </c>
      <c r="H459" s="26" t="inlineStr">
        <is>
          <t>Barangay 707</t>
        </is>
      </c>
      <c r="I459" s="27" t="n">
        <v>13.201819</v>
      </c>
      <c r="J459" s="27" t="n">
        <v>122.571736</v>
      </c>
      <c r="K459" s="10" t="inlineStr">
        <is>
          <t>U</t>
        </is>
      </c>
      <c r="L459" s="12" t="n">
        <v>1084</v>
      </c>
      <c r="M459" s="14" t="n">
        <v>3.9</v>
      </c>
      <c r="N459" s="12">
        <f>ROUND(L459/M459, 0)</f>
        <v/>
      </c>
      <c r="O459" s="12">
        <f>ROUND(N459*'Methodology &amp; Assumptions'!$B$5, 0)</f>
        <v/>
      </c>
      <c r="P459" s="10" t="inlineStr">
        <is>
          <t>Single Carrier (Band n50, 100MHz TDD)</t>
        </is>
      </c>
      <c r="Q459" s="13">
        <f>ROUNDUP(O459/'Methodology &amp; Assumptions'!$B$6, 0)</f>
        <v/>
      </c>
      <c r="R459" s="13" t="n">
        <v>1</v>
      </c>
      <c r="S459" s="14" t="n">
        <v>13.26</v>
      </c>
      <c r="T459" s="14" t="n">
        <v>40.52</v>
      </c>
      <c r="U459" s="26">
        <f>IF(X459&gt;='Methodology &amp; Assumptions'!$B$7, "Tier 1 Critical GIDA (Score ≥ 50.0)", IF(X459&gt;='Methodology &amp; Assumptions'!$B$8, "Tier 2 High GIDA (Score 40.0–49.9)", "Tier 3 Moderate GIDA (Score &lt; 40.0)"))</f>
        <v/>
      </c>
      <c r="V459" s="26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W459" s="28" t="n">
        <v>0.109</v>
      </c>
      <c r="X459" s="14" t="n">
        <v>48.71</v>
      </c>
      <c r="Y459" s="14">
        <f>ROUND(MIN(100, (X459/69.91)*100), 2)</f>
        <v/>
      </c>
    </row>
    <row r="460">
      <c r="A460" s="10" t="n">
        <v>3</v>
      </c>
      <c r="B460" s="10" t="n">
        <v>456</v>
      </c>
      <c r="C460" s="10" t="n">
        <v>2456</v>
      </c>
      <c r="D460" s="10" t="inlineStr">
        <is>
          <t>PH0002456</t>
        </is>
      </c>
      <c r="E460" s="26" t="inlineStr">
        <is>
          <t>NCR</t>
        </is>
      </c>
      <c r="F460" s="26" t="inlineStr">
        <is>
          <t>Metro Manila</t>
        </is>
      </c>
      <c r="G460" s="26" t="inlineStr">
        <is>
          <t>Caloocan City</t>
        </is>
      </c>
      <c r="H460" s="26" t="inlineStr">
        <is>
          <t>Barangay 72</t>
        </is>
      </c>
      <c r="I460" s="27" t="n">
        <v>14.252033</v>
      </c>
      <c r="J460" s="27" t="n">
        <v>122.151206</v>
      </c>
      <c r="K460" s="10" t="inlineStr">
        <is>
          <t>R</t>
        </is>
      </c>
      <c r="L460" s="12" t="n">
        <v>2279</v>
      </c>
      <c r="M460" s="14" t="n">
        <v>3.8</v>
      </c>
      <c r="N460" s="12">
        <f>ROUND(L460/M460, 0)</f>
        <v/>
      </c>
      <c r="O460" s="12">
        <f>ROUND(N460*'Methodology &amp; Assumptions'!$B$5, 0)</f>
        <v/>
      </c>
      <c r="P460" s="10" t="inlineStr">
        <is>
          <t>Single Carrier (Band n50, 100MHz TDD)</t>
        </is>
      </c>
      <c r="Q460" s="13">
        <f>ROUNDUP(O460/'Methodology &amp; Assumptions'!$B$6, 0)</f>
        <v/>
      </c>
      <c r="R460" s="13" t="n">
        <v>1</v>
      </c>
      <c r="S460" s="14" t="n">
        <v>18.09</v>
      </c>
      <c r="T460" s="14" t="n">
        <v>26.42</v>
      </c>
      <c r="U460" s="26">
        <f>IF(X460&gt;='Methodology &amp; Assumptions'!$B$7, "Tier 1 Critical GIDA (Score ≥ 50.0)", IF(X460&gt;='Methodology &amp; Assumptions'!$B$8, "Tier 2 High GIDA (Score 40.0–49.9)", "Tier 3 Moderate GIDA (Score &lt; 40.0)"))</f>
        <v/>
      </c>
      <c r="V460" s="26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W460" s="28" t="n">
        <v>0.011</v>
      </c>
      <c r="X460" s="14" t="n">
        <v>48.71</v>
      </c>
      <c r="Y460" s="14">
        <f>ROUND(MIN(100, (X460/69.91)*100), 2)</f>
        <v/>
      </c>
    </row>
    <row r="461">
      <c r="A461" s="10" t="n">
        <v>3</v>
      </c>
      <c r="B461" s="10" t="n">
        <v>457</v>
      </c>
      <c r="C461" s="10" t="n">
        <v>2457</v>
      </c>
      <c r="D461" s="10" t="inlineStr">
        <is>
          <t>PH0002457</t>
        </is>
      </c>
      <c r="E461" s="26" t="inlineStr">
        <is>
          <t>VIII</t>
        </is>
      </c>
      <c r="F461" s="26" t="inlineStr">
        <is>
          <t>Leyte</t>
        </is>
      </c>
      <c r="G461" s="26" t="inlineStr">
        <is>
          <t>Tacloban City</t>
        </is>
      </c>
      <c r="H461" s="26" t="inlineStr">
        <is>
          <t>Barangay 43-B</t>
        </is>
      </c>
      <c r="I461" s="27" t="n">
        <v>11.20651</v>
      </c>
      <c r="J461" s="27" t="n">
        <v>124.970875</v>
      </c>
      <c r="K461" s="10" t="inlineStr">
        <is>
          <t>R</t>
        </is>
      </c>
      <c r="L461" s="12" t="n">
        <v>2258</v>
      </c>
      <c r="M461" s="14" t="n">
        <v>3.8</v>
      </c>
      <c r="N461" s="12">
        <f>ROUND(L461/M461, 0)</f>
        <v/>
      </c>
      <c r="O461" s="12">
        <f>ROUND(N461*'Methodology &amp; Assumptions'!$B$5, 0)</f>
        <v/>
      </c>
      <c r="P461" s="10" t="inlineStr">
        <is>
          <t>Single Carrier (Band n50, 100MHz TDD)</t>
        </is>
      </c>
      <c r="Q461" s="13">
        <f>ROUNDUP(O461/'Methodology &amp; Assumptions'!$B$6, 0)</f>
        <v/>
      </c>
      <c r="R461" s="13" t="n">
        <v>1</v>
      </c>
      <c r="S461" s="14" t="n">
        <v>4.26</v>
      </c>
      <c r="T461" s="14" t="n">
        <v>3.9</v>
      </c>
      <c r="U461" s="26">
        <f>IF(X461&gt;='Methodology &amp; Assumptions'!$B$7, "Tier 1 Critical GIDA (Score ≥ 50.0)", IF(X461&gt;='Methodology &amp; Assumptions'!$B$8, "Tier 2 High GIDA (Score 40.0–49.9)", "Tier 3 Moderate GIDA (Score &lt; 40.0)"))</f>
        <v/>
      </c>
      <c r="V461" s="26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W461" s="28" t="n">
        <v>0.222</v>
      </c>
      <c r="X461" s="14" t="n">
        <v>48.71</v>
      </c>
      <c r="Y461" s="14">
        <f>ROUND(MIN(100, (X461/69.91)*100), 2)</f>
        <v/>
      </c>
    </row>
    <row r="462">
      <c r="A462" s="10" t="n">
        <v>3</v>
      </c>
      <c r="B462" s="10" t="n">
        <v>458</v>
      </c>
      <c r="C462" s="10" t="n">
        <v>2458</v>
      </c>
      <c r="D462" s="10" t="inlineStr">
        <is>
          <t>1380601195</t>
        </is>
      </c>
      <c r="E462" s="26" t="inlineStr">
        <is>
          <t>National Capital Region (NCR)</t>
        </is>
      </c>
      <c r="F462" s="26" t="inlineStr">
        <is>
          <t>First District (Not a Province)</t>
        </is>
      </c>
      <c r="G462" s="26" t="inlineStr">
        <is>
          <t>City of Manila</t>
        </is>
      </c>
      <c r="H462" s="26" t="inlineStr">
        <is>
          <t>Barangay 195</t>
        </is>
      </c>
      <c r="I462" s="27" t="n">
        <v>12.115602</v>
      </c>
      <c r="J462" s="27" t="n">
        <v>121.4085</v>
      </c>
      <c r="K462" s="10" t="inlineStr">
        <is>
          <t>U</t>
        </is>
      </c>
      <c r="L462" s="12" t="n">
        <v>1444</v>
      </c>
      <c r="M462" s="14" t="n">
        <v>3.9</v>
      </c>
      <c r="N462" s="12">
        <f>ROUND(L462/M462, 0)</f>
        <v/>
      </c>
      <c r="O462" s="12">
        <f>ROUND(N462*'Methodology &amp; Assumptions'!$B$5, 0)</f>
        <v/>
      </c>
      <c r="P462" s="10" t="inlineStr">
        <is>
          <t>Single Carrier (Band n50, 100MHz TDD)</t>
        </is>
      </c>
      <c r="Q462" s="13">
        <f>ROUNDUP(O462/'Methodology &amp; Assumptions'!$B$6, 0)</f>
        <v/>
      </c>
      <c r="R462" s="13" t="n">
        <v>1</v>
      </c>
      <c r="S462" s="14" t="n">
        <v>24.99</v>
      </c>
      <c r="T462" s="14" t="n">
        <v>21.55</v>
      </c>
      <c r="U462" s="26">
        <f>IF(X462&gt;='Methodology &amp; Assumptions'!$B$7, "Tier 1 Critical GIDA (Score ≥ 50.0)", IF(X462&gt;='Methodology &amp; Assumptions'!$B$8, "Tier 2 High GIDA (Score 40.0–49.9)", "Tier 3 Moderate GIDA (Score &lt; 40.0)"))</f>
        <v/>
      </c>
      <c r="V462" s="26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W462" s="28" t="n">
        <v>0.109</v>
      </c>
      <c r="X462" s="14" t="n">
        <v>48.71</v>
      </c>
      <c r="Y462" s="14">
        <f>ROUND(MIN(100, (X462/69.91)*100), 2)</f>
        <v/>
      </c>
    </row>
    <row r="463">
      <c r="A463" s="10" t="n">
        <v>3</v>
      </c>
      <c r="B463" s="10" t="n">
        <v>459</v>
      </c>
      <c r="C463" s="10" t="n">
        <v>2459</v>
      </c>
      <c r="D463" s="10" t="inlineStr">
        <is>
          <t>1380601154</t>
        </is>
      </c>
      <c r="E463" s="26" t="inlineStr">
        <is>
          <t>National Capital Region (NCR)</t>
        </is>
      </c>
      <c r="F463" s="26" t="inlineStr">
        <is>
          <t>First District (Not a Province)</t>
        </is>
      </c>
      <c r="G463" s="26" t="inlineStr">
        <is>
          <t>City of Manila</t>
        </is>
      </c>
      <c r="H463" s="26" t="inlineStr">
        <is>
          <t>Barangay 154</t>
        </is>
      </c>
      <c r="I463" s="27" t="n">
        <v>13.685055</v>
      </c>
      <c r="J463" s="27" t="n">
        <v>121.513519</v>
      </c>
      <c r="K463" s="10" t="inlineStr">
        <is>
          <t>U</t>
        </is>
      </c>
      <c r="L463" s="12" t="n">
        <v>977</v>
      </c>
      <c r="M463" s="14" t="n">
        <v>3.9</v>
      </c>
      <c r="N463" s="12">
        <f>ROUND(L463/M463, 0)</f>
        <v/>
      </c>
      <c r="O463" s="12">
        <f>ROUND(N463*'Methodology &amp; Assumptions'!$B$5, 0)</f>
        <v/>
      </c>
      <c r="P463" s="10" t="inlineStr">
        <is>
          <t>Single Carrier (Band n50, 100MHz TDD)</t>
        </is>
      </c>
      <c r="Q463" s="13">
        <f>ROUNDUP(O463/'Methodology &amp; Assumptions'!$B$6, 0)</f>
        <v/>
      </c>
      <c r="R463" s="13" t="n">
        <v>1</v>
      </c>
      <c r="S463" s="14" t="n">
        <v>8.77</v>
      </c>
      <c r="T463" s="14" t="n">
        <v>14.24</v>
      </c>
      <c r="U463" s="26">
        <f>IF(X463&gt;='Methodology &amp; Assumptions'!$B$7, "Tier 1 Critical GIDA (Score ≥ 50.0)", IF(X463&gt;='Methodology &amp; Assumptions'!$B$8, "Tier 2 High GIDA (Score 40.0–49.9)", "Tier 3 Moderate GIDA (Score &lt; 40.0)"))</f>
        <v/>
      </c>
      <c r="V463" s="26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W463" s="28" t="n">
        <v>0.109</v>
      </c>
      <c r="X463" s="14" t="n">
        <v>48.7</v>
      </c>
      <c r="Y463" s="14">
        <f>ROUND(MIN(100, (X463/69.91)*100), 2)</f>
        <v/>
      </c>
    </row>
    <row r="464">
      <c r="A464" s="10" t="n">
        <v>3</v>
      </c>
      <c r="B464" s="10" t="n">
        <v>460</v>
      </c>
      <c r="C464" s="10" t="n">
        <v>2460</v>
      </c>
      <c r="D464" s="10" t="inlineStr">
        <is>
          <t>0300808004</t>
        </is>
      </c>
      <c r="E464" s="26" t="inlineStr">
        <is>
          <t>Region III (Central Luzon)</t>
        </is>
      </c>
      <c r="F464" s="26" t="inlineStr">
        <is>
          <t>Bataan</t>
        </is>
      </c>
      <c r="G464" s="26" t="inlineStr">
        <is>
          <t>Morong</t>
        </is>
      </c>
      <c r="H464" s="26" t="inlineStr">
        <is>
          <t>Poblacion</t>
        </is>
      </c>
      <c r="I464" s="27" t="n">
        <v>14.677734</v>
      </c>
      <c r="J464" s="27" t="n">
        <v>120.268039</v>
      </c>
      <c r="K464" s="10" t="inlineStr">
        <is>
          <t>U</t>
        </is>
      </c>
      <c r="L464" s="12" t="n">
        <v>7656</v>
      </c>
      <c r="M464" s="14" t="n">
        <v>3.6</v>
      </c>
      <c r="N464" s="12">
        <f>ROUND(L464/M464, 0)</f>
        <v/>
      </c>
      <c r="O464" s="12">
        <f>ROUND(N464*'Methodology &amp; Assumptions'!$B$5, 0)</f>
        <v/>
      </c>
      <c r="P464" s="10" t="inlineStr">
        <is>
          <t>Single Carrier (Band n50, 100MHz TDD)</t>
        </is>
      </c>
      <c r="Q464" s="13">
        <f>ROUNDUP(O464/'Methodology &amp; Assumptions'!$B$6, 0)</f>
        <v/>
      </c>
      <c r="R464" s="13" t="n">
        <v>1</v>
      </c>
      <c r="S464" s="14" t="n">
        <v>0.41</v>
      </c>
      <c r="T464" s="14" t="n">
        <v>0.41</v>
      </c>
      <c r="U464" s="26">
        <f>IF(X464&gt;='Methodology &amp; Assumptions'!$B$7, "Tier 1 Critical GIDA (Score ≥ 50.0)", IF(X464&gt;='Methodology &amp; Assumptions'!$B$8, "Tier 2 High GIDA (Score 40.0–49.9)", "Tier 3 Moderate GIDA (Score &lt; 40.0)"))</f>
        <v/>
      </c>
      <c r="V464" s="26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W464" s="28" t="n">
        <v>0.083</v>
      </c>
      <c r="X464" s="14" t="n">
        <v>48.7</v>
      </c>
      <c r="Y464" s="14">
        <f>ROUND(MIN(100, (X464/69.91)*100), 2)</f>
        <v/>
      </c>
    </row>
    <row r="465">
      <c r="A465" s="10" t="n">
        <v>3</v>
      </c>
      <c r="B465" s="10" t="n">
        <v>461</v>
      </c>
      <c r="C465" s="10" t="n">
        <v>2461</v>
      </c>
      <c r="D465" s="10" t="inlineStr">
        <is>
          <t>1381100164</t>
        </is>
      </c>
      <c r="E465" s="26" t="inlineStr">
        <is>
          <t>National Capital Region (NCR)</t>
        </is>
      </c>
      <c r="F465" s="26" t="inlineStr">
        <is>
          <t>Fourth District (Not a Province)</t>
        </is>
      </c>
      <c r="G465" s="26" t="inlineStr">
        <is>
          <t>Pasay City</t>
        </is>
      </c>
      <c r="H465" s="26" t="inlineStr">
        <is>
          <t>Barangay 164</t>
        </is>
      </c>
      <c r="I465" s="27" t="n">
        <v>14.709074</v>
      </c>
      <c r="J465" s="27" t="n">
        <v>120.980842</v>
      </c>
      <c r="K465" s="10" t="inlineStr">
        <is>
          <t>U</t>
        </is>
      </c>
      <c r="L465" s="12" t="n">
        <v>1799</v>
      </c>
      <c r="M465" s="14" t="n">
        <v>3.4</v>
      </c>
      <c r="N465" s="12">
        <f>ROUND(L465/M465, 0)</f>
        <v/>
      </c>
      <c r="O465" s="12">
        <f>ROUND(N465*'Methodology &amp; Assumptions'!$B$5, 0)</f>
        <v/>
      </c>
      <c r="P465" s="10" t="inlineStr">
        <is>
          <t>Single Carrier (Band n50, 100MHz TDD)</t>
        </is>
      </c>
      <c r="Q465" s="13">
        <f>ROUNDUP(O465/'Methodology &amp; Assumptions'!$B$6, 0)</f>
        <v/>
      </c>
      <c r="R465" s="13" t="n">
        <v>1</v>
      </c>
      <c r="S465" s="14" t="n">
        <v>0.98</v>
      </c>
      <c r="T465" s="14" t="n">
        <v>0.41</v>
      </c>
      <c r="U465" s="26">
        <f>IF(X465&gt;='Methodology &amp; Assumptions'!$B$7, "Tier 1 Critical GIDA (Score ≥ 50.0)", IF(X465&gt;='Methodology &amp; Assumptions'!$B$8, "Tier 2 High GIDA (Score 40.0–49.9)", "Tier 3 Moderate GIDA (Score &lt; 40.0)"))</f>
        <v/>
      </c>
      <c r="V465" s="26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W465" s="28" t="n">
        <v>0.109</v>
      </c>
      <c r="X465" s="14" t="n">
        <v>48.7</v>
      </c>
      <c r="Y465" s="14">
        <f>ROUND(MIN(100, (X465/69.91)*100), 2)</f>
        <v/>
      </c>
    </row>
    <row r="466">
      <c r="A466" s="10" t="n">
        <v>3</v>
      </c>
      <c r="B466" s="10" t="n">
        <v>462</v>
      </c>
      <c r="C466" s="10" t="n">
        <v>2462</v>
      </c>
      <c r="D466" s="10" t="inlineStr">
        <is>
          <t>0103315012</t>
        </is>
      </c>
      <c r="E466" s="26" t="inlineStr">
        <is>
          <t>Region I (Ilocos Region)</t>
        </is>
      </c>
      <c r="F466" s="26" t="inlineStr">
        <is>
          <t>La Union</t>
        </is>
      </c>
      <c r="G466" s="26" t="inlineStr">
        <is>
          <t>San Gabriel</t>
        </is>
      </c>
      <c r="H466" s="26" t="inlineStr">
        <is>
          <t>Lacong</t>
        </is>
      </c>
      <c r="I466" s="27" t="n">
        <v>16.73427</v>
      </c>
      <c r="J466" s="27" t="n">
        <v>120.43341</v>
      </c>
      <c r="K466" s="10" t="inlineStr">
        <is>
          <t>R</t>
        </is>
      </c>
      <c r="L466" s="12" t="n">
        <v>1545</v>
      </c>
      <c r="M466" s="14" t="n">
        <v>3.7</v>
      </c>
      <c r="N466" s="12">
        <f>ROUND(L466/M466, 0)</f>
        <v/>
      </c>
      <c r="O466" s="12">
        <f>ROUND(N466*'Methodology &amp; Assumptions'!$B$5, 0)</f>
        <v/>
      </c>
      <c r="P466" s="10" t="inlineStr">
        <is>
          <t>Single Carrier (Band n50, 100MHz TDD)</t>
        </is>
      </c>
      <c r="Q466" s="13">
        <f>ROUNDUP(O466/'Methodology &amp; Assumptions'!$B$6, 0)</f>
        <v/>
      </c>
      <c r="R466" s="13" t="n">
        <v>1</v>
      </c>
      <c r="S466" s="14" t="n">
        <v>7.54</v>
      </c>
      <c r="T466" s="14" t="n">
        <v>4.56</v>
      </c>
      <c r="U466" s="26">
        <f>IF(X466&gt;='Methodology &amp; Assumptions'!$B$7, "Tier 1 Critical GIDA (Score ≥ 50.0)", IF(X466&gt;='Methodology &amp; Assumptions'!$B$8, "Tier 2 High GIDA (Score 40.0–49.9)", "Tier 3 Moderate GIDA (Score &lt; 40.0)"))</f>
        <v/>
      </c>
      <c r="V466" s="26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W466" s="28" t="n">
        <v>0.083</v>
      </c>
      <c r="X466" s="14" t="n">
        <v>48.7</v>
      </c>
      <c r="Y466" s="14">
        <f>ROUND(MIN(100, (X466/69.91)*100), 2)</f>
        <v/>
      </c>
    </row>
    <row r="467">
      <c r="A467" s="10" t="n">
        <v>3</v>
      </c>
      <c r="B467" s="10" t="n">
        <v>463</v>
      </c>
      <c r="C467" s="10" t="n">
        <v>2463</v>
      </c>
      <c r="D467" s="10" t="inlineStr">
        <is>
          <t>PH0002463</t>
        </is>
      </c>
      <c r="E467" s="26" t="inlineStr">
        <is>
          <t>VIII</t>
        </is>
      </c>
      <c r="F467" s="26" t="inlineStr">
        <is>
          <t>Leyte</t>
        </is>
      </c>
      <c r="G467" s="26" t="inlineStr">
        <is>
          <t>Tacloban City</t>
        </is>
      </c>
      <c r="H467" s="26" t="inlineStr">
        <is>
          <t>Barangay 5</t>
        </is>
      </c>
      <c r="I467" s="27" t="n">
        <v>11.305802</v>
      </c>
      <c r="J467" s="27" t="n">
        <v>124.940846</v>
      </c>
      <c r="K467" s="10" t="inlineStr">
        <is>
          <t>R</t>
        </is>
      </c>
      <c r="L467" s="12" t="n">
        <v>2258</v>
      </c>
      <c r="M467" s="14" t="n">
        <v>3.8</v>
      </c>
      <c r="N467" s="12">
        <f>ROUND(L467/M467, 0)</f>
        <v/>
      </c>
      <c r="O467" s="12">
        <f>ROUND(N467*'Methodology &amp; Assumptions'!$B$5, 0)</f>
        <v/>
      </c>
      <c r="P467" s="10" t="inlineStr">
        <is>
          <t>Single Carrier (Band n50, 100MHz TDD)</t>
        </is>
      </c>
      <c r="Q467" s="13">
        <f>ROUNDUP(O467/'Methodology &amp; Assumptions'!$B$6, 0)</f>
        <v/>
      </c>
      <c r="R467" s="13" t="n">
        <v>1</v>
      </c>
      <c r="S467" s="14" t="n">
        <v>9.960000000000001</v>
      </c>
      <c r="T467" s="14" t="n">
        <v>12.79</v>
      </c>
      <c r="U467" s="26">
        <f>IF(X467&gt;='Methodology &amp; Assumptions'!$B$7, "Tier 1 Critical GIDA (Score ≥ 50.0)", IF(X467&gt;='Methodology &amp; Assumptions'!$B$8, "Tier 2 High GIDA (Score 40.0–49.9)", "Tier 3 Moderate GIDA (Score &lt; 40.0)"))</f>
        <v/>
      </c>
      <c r="V467" s="26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W467" s="28" t="n">
        <v>0.222</v>
      </c>
      <c r="X467" s="14" t="n">
        <v>48.7</v>
      </c>
      <c r="Y467" s="14">
        <f>ROUND(MIN(100, (X467/69.91)*100), 2)</f>
        <v/>
      </c>
    </row>
    <row r="468">
      <c r="A468" s="10" t="n">
        <v>3</v>
      </c>
      <c r="B468" s="10" t="n">
        <v>464</v>
      </c>
      <c r="C468" s="10" t="n">
        <v>2464</v>
      </c>
      <c r="D468" s="10" t="inlineStr">
        <is>
          <t>1380611001</t>
        </is>
      </c>
      <c r="E468" s="26" t="inlineStr">
        <is>
          <t>National Capital Region (NCR)</t>
        </is>
      </c>
      <c r="F468" s="26" t="inlineStr">
        <is>
          <t>First District (Not a Province)</t>
        </is>
      </c>
      <c r="G468" s="26" t="inlineStr">
        <is>
          <t>City of Manila</t>
        </is>
      </c>
      <c r="H468" s="26" t="inlineStr">
        <is>
          <t>Barangay 662</t>
        </is>
      </c>
      <c r="I468" s="27" t="n">
        <v>12.456806</v>
      </c>
      <c r="J468" s="27" t="n">
        <v>122.525378</v>
      </c>
      <c r="K468" s="10" t="inlineStr">
        <is>
          <t>U</t>
        </is>
      </c>
      <c r="L468" s="12" t="n">
        <v>1650</v>
      </c>
      <c r="M468" s="14" t="n">
        <v>3.9</v>
      </c>
      <c r="N468" s="12">
        <f>ROUND(L468/M468, 0)</f>
        <v/>
      </c>
      <c r="O468" s="12">
        <f>ROUND(N468*'Methodology &amp; Assumptions'!$B$5, 0)</f>
        <v/>
      </c>
      <c r="P468" s="10" t="inlineStr">
        <is>
          <t>Single Carrier (Band n50, 100MHz TDD)</t>
        </is>
      </c>
      <c r="Q468" s="13">
        <f>ROUNDUP(O468/'Methodology &amp; Assumptions'!$B$6, 0)</f>
        <v/>
      </c>
      <c r="R468" s="13" t="n">
        <v>1</v>
      </c>
      <c r="S468" s="14" t="n">
        <v>84.64</v>
      </c>
      <c r="T468" s="14" t="n">
        <v>58.43</v>
      </c>
      <c r="U468" s="26">
        <f>IF(X468&gt;='Methodology &amp; Assumptions'!$B$7, "Tier 1 Critical GIDA (Score ≥ 50.0)", IF(X468&gt;='Methodology &amp; Assumptions'!$B$8, "Tier 2 High GIDA (Score 40.0–49.9)", "Tier 3 Moderate GIDA (Score &lt; 40.0)"))</f>
        <v/>
      </c>
      <c r="V468" s="26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W468" s="28" t="n">
        <v>0.109</v>
      </c>
      <c r="X468" s="14" t="n">
        <v>48.69</v>
      </c>
      <c r="Y468" s="14">
        <f>ROUND(MIN(100, (X468/69.91)*100), 2)</f>
        <v/>
      </c>
    </row>
    <row r="469">
      <c r="A469" s="10" t="n">
        <v>3</v>
      </c>
      <c r="B469" s="10" t="n">
        <v>465</v>
      </c>
      <c r="C469" s="10" t="n">
        <v>2465</v>
      </c>
      <c r="D469" s="10" t="inlineStr">
        <is>
          <t>1380601084</t>
        </is>
      </c>
      <c r="E469" s="26" t="inlineStr">
        <is>
          <t>National Capital Region (NCR)</t>
        </is>
      </c>
      <c r="F469" s="26" t="inlineStr">
        <is>
          <t>First District (Not a Province)</t>
        </is>
      </c>
      <c r="G469" s="26" t="inlineStr">
        <is>
          <t>City of Manila</t>
        </is>
      </c>
      <c r="H469" s="26" t="inlineStr">
        <is>
          <t>Barangay 84</t>
        </is>
      </c>
      <c r="I469" s="27" t="n">
        <v>12.696346</v>
      </c>
      <c r="J469" s="27" t="n">
        <v>120.925598</v>
      </c>
      <c r="K469" s="10" t="inlineStr">
        <is>
          <t>U</t>
        </is>
      </c>
      <c r="L469" s="12" t="n">
        <v>1176</v>
      </c>
      <c r="M469" s="14" t="n">
        <v>3.9</v>
      </c>
      <c r="N469" s="12">
        <f>ROUND(L469/M469, 0)</f>
        <v/>
      </c>
      <c r="O469" s="12">
        <f>ROUND(N469*'Methodology &amp; Assumptions'!$B$5, 0)</f>
        <v/>
      </c>
      <c r="P469" s="10" t="inlineStr">
        <is>
          <t>Single Carrier (Band n50, 100MHz TDD)</t>
        </is>
      </c>
      <c r="Q469" s="13">
        <f>ROUNDUP(O469/'Methodology &amp; Assumptions'!$B$6, 0)</f>
        <v/>
      </c>
      <c r="R469" s="13" t="n">
        <v>1</v>
      </c>
      <c r="S469" s="14" t="n">
        <v>41.28</v>
      </c>
      <c r="T469" s="14" t="n">
        <v>38.75</v>
      </c>
      <c r="U469" s="26">
        <f>IF(X469&gt;='Methodology &amp; Assumptions'!$B$7, "Tier 1 Critical GIDA (Score ≥ 50.0)", IF(X469&gt;='Methodology &amp; Assumptions'!$B$8, "Tier 2 High GIDA (Score 40.0–49.9)", "Tier 3 Moderate GIDA (Score &lt; 40.0)"))</f>
        <v/>
      </c>
      <c r="V469" s="26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W469" s="28" t="n">
        <v>0.109</v>
      </c>
      <c r="X469" s="14" t="n">
        <v>48.69</v>
      </c>
      <c r="Y469" s="14">
        <f>ROUND(MIN(100, (X469/69.91)*100), 2)</f>
        <v/>
      </c>
    </row>
    <row r="470">
      <c r="A470" s="10" t="n">
        <v>3</v>
      </c>
      <c r="B470" s="10" t="n">
        <v>466</v>
      </c>
      <c r="C470" s="10" t="n">
        <v>2466</v>
      </c>
      <c r="D470" s="10" t="inlineStr">
        <is>
          <t>1380606180</t>
        </is>
      </c>
      <c r="E470" s="26" t="inlineStr">
        <is>
          <t>National Capital Region (NCR)</t>
        </is>
      </c>
      <c r="F470" s="26" t="inlineStr">
        <is>
          <t>First District (Not a Province)</t>
        </is>
      </c>
      <c r="G470" s="26" t="inlineStr">
        <is>
          <t>City of Manila</t>
        </is>
      </c>
      <c r="H470" s="26" t="inlineStr">
        <is>
          <t>Barangay 574</t>
        </is>
      </c>
      <c r="I470" s="27" t="n">
        <v>13.57474</v>
      </c>
      <c r="J470" s="27" t="n">
        <v>122.273233</v>
      </c>
      <c r="K470" s="10" t="inlineStr">
        <is>
          <t>U</t>
        </is>
      </c>
      <c r="L470" s="12" t="n">
        <v>1524</v>
      </c>
      <c r="M470" s="14" t="n">
        <v>3.9</v>
      </c>
      <c r="N470" s="12">
        <f>ROUND(L470/M470, 0)</f>
        <v/>
      </c>
      <c r="O470" s="12">
        <f>ROUND(N470*'Methodology &amp; Assumptions'!$B$5, 0)</f>
        <v/>
      </c>
      <c r="P470" s="10" t="inlineStr">
        <is>
          <t>Single Carrier (Band n50, 100MHz TDD)</t>
        </is>
      </c>
      <c r="Q470" s="13">
        <f>ROUNDUP(O470/'Methodology &amp; Assumptions'!$B$6, 0)</f>
        <v/>
      </c>
      <c r="R470" s="13" t="n">
        <v>1</v>
      </c>
      <c r="S470" s="14" t="n">
        <v>6.32</v>
      </c>
      <c r="T470" s="14" t="n">
        <v>3.66</v>
      </c>
      <c r="U470" s="26">
        <f>IF(X470&gt;='Methodology &amp; Assumptions'!$B$7, "Tier 1 Critical GIDA (Score ≥ 50.0)", IF(X470&gt;='Methodology &amp; Assumptions'!$B$8, "Tier 2 High GIDA (Score 40.0–49.9)", "Tier 3 Moderate GIDA (Score &lt; 40.0)"))</f>
        <v/>
      </c>
      <c r="V470" s="26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W470" s="28" t="n">
        <v>0.109</v>
      </c>
      <c r="X470" s="14" t="n">
        <v>48.69</v>
      </c>
      <c r="Y470" s="14">
        <f>ROUND(MIN(100, (X470/69.91)*100), 2)</f>
        <v/>
      </c>
    </row>
    <row r="471">
      <c r="A471" s="10" t="n">
        <v>3</v>
      </c>
      <c r="B471" s="10" t="n">
        <v>467</v>
      </c>
      <c r="C471" s="10" t="n">
        <v>2467</v>
      </c>
      <c r="D471" s="10" t="inlineStr">
        <is>
          <t>1381100072</t>
        </is>
      </c>
      <c r="E471" s="26" t="inlineStr">
        <is>
          <t>National Capital Region (NCR)</t>
        </is>
      </c>
      <c r="F471" s="26" t="inlineStr">
        <is>
          <t>Fourth District (Not a Province)</t>
        </is>
      </c>
      <c r="G471" s="26" t="inlineStr">
        <is>
          <t>Pasay City</t>
        </is>
      </c>
      <c r="H471" s="26" t="inlineStr">
        <is>
          <t>Barangay 72</t>
        </is>
      </c>
      <c r="I471" s="27" t="n">
        <v>14.431029</v>
      </c>
      <c r="J471" s="27" t="n">
        <v>121.139007</v>
      </c>
      <c r="K471" s="10" t="inlineStr">
        <is>
          <t>U</t>
        </is>
      </c>
      <c r="L471" s="12" t="n">
        <v>1463</v>
      </c>
      <c r="M471" s="14" t="n">
        <v>3.4</v>
      </c>
      <c r="N471" s="12">
        <f>ROUND(L471/M471, 0)</f>
        <v/>
      </c>
      <c r="O471" s="12">
        <f>ROUND(N471*'Methodology &amp; Assumptions'!$B$5, 0)</f>
        <v/>
      </c>
      <c r="P471" s="10" t="inlineStr">
        <is>
          <t>Single Carrier (Band n50, 100MHz TDD)</t>
        </is>
      </c>
      <c r="Q471" s="13">
        <f>ROUNDUP(O471/'Methodology &amp; Assumptions'!$B$6, 0)</f>
        <v/>
      </c>
      <c r="R471" s="13" t="n">
        <v>1</v>
      </c>
      <c r="S471" s="14" t="n">
        <v>7.56</v>
      </c>
      <c r="T471" s="14" t="n">
        <v>6.9</v>
      </c>
      <c r="U471" s="26">
        <f>IF(X471&gt;='Methodology &amp; Assumptions'!$B$7, "Tier 1 Critical GIDA (Score ≥ 50.0)", IF(X471&gt;='Methodology &amp; Assumptions'!$B$8, "Tier 2 High GIDA (Score 40.0–49.9)", "Tier 3 Moderate GIDA (Score &lt; 40.0)"))</f>
        <v/>
      </c>
      <c r="V471" s="26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W471" s="28" t="n">
        <v>0.109</v>
      </c>
      <c r="X471" s="14" t="n">
        <v>48.69</v>
      </c>
      <c r="Y471" s="14">
        <f>ROUND(MIN(100, (X471/69.91)*100), 2)</f>
        <v/>
      </c>
    </row>
    <row r="472">
      <c r="A472" s="10" t="n">
        <v>3</v>
      </c>
      <c r="B472" s="10" t="n">
        <v>468</v>
      </c>
      <c r="C472" s="10" t="n">
        <v>2468</v>
      </c>
      <c r="D472" s="10" t="inlineStr">
        <is>
          <t>1380601198</t>
        </is>
      </c>
      <c r="E472" s="26" t="inlineStr">
        <is>
          <t>National Capital Region (NCR)</t>
        </is>
      </c>
      <c r="F472" s="26" t="inlineStr">
        <is>
          <t>First District (Not a Province)</t>
        </is>
      </c>
      <c r="G472" s="26" t="inlineStr">
        <is>
          <t>City of Manila</t>
        </is>
      </c>
      <c r="H472" s="26" t="inlineStr">
        <is>
          <t>Barangay 198</t>
        </is>
      </c>
      <c r="I472" s="27" t="n">
        <v>12.037134</v>
      </c>
      <c r="J472" s="27" t="n">
        <v>121.887789</v>
      </c>
      <c r="K472" s="10" t="inlineStr">
        <is>
          <t>U</t>
        </is>
      </c>
      <c r="L472" s="12" t="n">
        <v>5185</v>
      </c>
      <c r="M472" s="14" t="n">
        <v>3.9</v>
      </c>
      <c r="N472" s="12">
        <f>ROUND(L472/M472, 0)</f>
        <v/>
      </c>
      <c r="O472" s="12">
        <f>ROUND(N472*'Methodology &amp; Assumptions'!$B$5, 0)</f>
        <v/>
      </c>
      <c r="P472" s="10" t="inlineStr">
        <is>
          <t>Single Carrier (Band n50, 100MHz TDD)</t>
        </is>
      </c>
      <c r="Q472" s="13">
        <f>ROUNDUP(O472/'Methodology &amp; Assumptions'!$B$6, 0)</f>
        <v/>
      </c>
      <c r="R472" s="13" t="n">
        <v>1</v>
      </c>
      <c r="S472" s="14" t="n">
        <v>11.72</v>
      </c>
      <c r="T472" s="14" t="n">
        <v>11.86</v>
      </c>
      <c r="U472" s="26">
        <f>IF(X472&gt;='Methodology &amp; Assumptions'!$B$7, "Tier 1 Critical GIDA (Score ≥ 50.0)", IF(X472&gt;='Methodology &amp; Assumptions'!$B$8, "Tier 2 High GIDA (Score 40.0–49.9)", "Tier 3 Moderate GIDA (Score &lt; 40.0)"))</f>
        <v/>
      </c>
      <c r="V472" s="26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W472" s="28" t="n">
        <v>0.109</v>
      </c>
      <c r="X472" s="14" t="n">
        <v>48.69</v>
      </c>
      <c r="Y472" s="14">
        <f>ROUND(MIN(100, (X472/69.91)*100), 2)</f>
        <v/>
      </c>
    </row>
    <row r="473">
      <c r="A473" s="10" t="n">
        <v>3</v>
      </c>
      <c r="B473" s="10" t="n">
        <v>469</v>
      </c>
      <c r="C473" s="10" t="n">
        <v>2469</v>
      </c>
      <c r="D473" s="10" t="inlineStr">
        <is>
          <t>1381100116</t>
        </is>
      </c>
      <c r="E473" s="26" t="inlineStr">
        <is>
          <t>National Capital Region (NCR)</t>
        </is>
      </c>
      <c r="F473" s="26" t="inlineStr">
        <is>
          <t>Fourth District (Not a Province)</t>
        </is>
      </c>
      <c r="G473" s="26" t="inlineStr">
        <is>
          <t>Pasay City</t>
        </is>
      </c>
      <c r="H473" s="26" t="inlineStr">
        <is>
          <t>Barangay 116</t>
        </is>
      </c>
      <c r="I473" s="27" t="n">
        <v>14.533402</v>
      </c>
      <c r="J473" s="27" t="n">
        <v>120.825874</v>
      </c>
      <c r="K473" s="10" t="inlineStr">
        <is>
          <t>U</t>
        </is>
      </c>
      <c r="L473" s="12" t="n">
        <v>1239</v>
      </c>
      <c r="M473" s="14" t="n">
        <v>3.4</v>
      </c>
      <c r="N473" s="12">
        <f>ROUND(L473/M473, 0)</f>
        <v/>
      </c>
      <c r="O473" s="12">
        <f>ROUND(N473*'Methodology &amp; Assumptions'!$B$5, 0)</f>
        <v/>
      </c>
      <c r="P473" s="10" t="inlineStr">
        <is>
          <t>Single Carrier (Band n50, 100MHz TDD)</t>
        </is>
      </c>
      <c r="Q473" s="13">
        <f>ROUNDUP(O473/'Methodology &amp; Assumptions'!$B$6, 0)</f>
        <v/>
      </c>
      <c r="R473" s="13" t="n">
        <v>1</v>
      </c>
      <c r="S473" s="14" t="n">
        <v>9.31</v>
      </c>
      <c r="T473" s="14" t="n">
        <v>12.99</v>
      </c>
      <c r="U473" s="26">
        <f>IF(X473&gt;='Methodology &amp; Assumptions'!$B$7, "Tier 1 Critical GIDA (Score ≥ 50.0)", IF(X473&gt;='Methodology &amp; Assumptions'!$B$8, "Tier 2 High GIDA (Score 40.0–49.9)", "Tier 3 Moderate GIDA (Score &lt; 40.0)"))</f>
        <v/>
      </c>
      <c r="V473" s="26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W473" s="28" t="n">
        <v>0.109</v>
      </c>
      <c r="X473" s="14" t="n">
        <v>48.69</v>
      </c>
      <c r="Y473" s="14">
        <f>ROUND(MIN(100, (X473/69.91)*100), 2)</f>
        <v/>
      </c>
    </row>
    <row r="474">
      <c r="A474" s="10" t="n">
        <v>3</v>
      </c>
      <c r="B474" s="10" t="n">
        <v>470</v>
      </c>
      <c r="C474" s="10" t="n">
        <v>2470</v>
      </c>
      <c r="D474" s="10" t="inlineStr">
        <is>
          <t>1380614030</t>
        </is>
      </c>
      <c r="E474" s="26" t="inlineStr">
        <is>
          <t>National Capital Region (NCR)</t>
        </is>
      </c>
      <c r="F474" s="26" t="inlineStr">
        <is>
          <t>First District (Not a Province)</t>
        </is>
      </c>
      <c r="G474" s="26" t="inlineStr">
        <is>
          <t>City of Manila</t>
        </is>
      </c>
      <c r="H474" s="26" t="inlineStr">
        <is>
          <t>Barangay 774</t>
        </is>
      </c>
      <c r="I474" s="27" t="n">
        <v>13.426832</v>
      </c>
      <c r="J474" s="27" t="n">
        <v>121.105125</v>
      </c>
      <c r="K474" s="10" t="inlineStr">
        <is>
          <t>U</t>
        </is>
      </c>
      <c r="L474" s="12" t="n">
        <v>2965</v>
      </c>
      <c r="M474" s="14" t="n">
        <v>3.9</v>
      </c>
      <c r="N474" s="12">
        <f>ROUND(L474/M474, 0)</f>
        <v/>
      </c>
      <c r="O474" s="12">
        <f>ROUND(N474*'Methodology &amp; Assumptions'!$B$5, 0)</f>
        <v/>
      </c>
      <c r="P474" s="10" t="inlineStr">
        <is>
          <t>Single Carrier (Band n50, 100MHz TDD)</t>
        </is>
      </c>
      <c r="Q474" s="13">
        <f>ROUNDUP(O474/'Methodology &amp; Assumptions'!$B$6, 0)</f>
        <v/>
      </c>
      <c r="R474" s="13" t="n">
        <v>1</v>
      </c>
      <c r="S474" s="14" t="n">
        <v>7.57</v>
      </c>
      <c r="T474" s="14" t="n">
        <v>7.04</v>
      </c>
      <c r="U474" s="26">
        <f>IF(X474&gt;='Methodology &amp; Assumptions'!$B$7, "Tier 1 Critical GIDA (Score ≥ 50.0)", IF(X474&gt;='Methodology &amp; Assumptions'!$B$8, "Tier 2 High GIDA (Score 40.0–49.9)", "Tier 3 Moderate GIDA (Score &lt; 40.0)"))</f>
        <v/>
      </c>
      <c r="V474" s="26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W474" s="28" t="n">
        <v>0.109</v>
      </c>
      <c r="X474" s="14" t="n">
        <v>48.69</v>
      </c>
      <c r="Y474" s="14">
        <f>ROUND(MIN(100, (X474/69.91)*100), 2)</f>
        <v/>
      </c>
    </row>
    <row r="475">
      <c r="A475" s="10" t="n">
        <v>3</v>
      </c>
      <c r="B475" s="10" t="n">
        <v>471</v>
      </c>
      <c r="C475" s="10" t="n">
        <v>2471</v>
      </c>
      <c r="D475" s="10" t="inlineStr">
        <is>
          <t>0702216002</t>
        </is>
      </c>
      <c r="E475" s="26" t="inlineStr">
        <is>
          <t>Region VII (Central Visayas)</t>
        </is>
      </c>
      <c r="F475" s="26" t="inlineStr">
        <is>
          <t>Cebu</t>
        </is>
      </c>
      <c r="G475" s="26" t="inlineStr">
        <is>
          <t>Catmon</t>
        </is>
      </c>
      <c r="H475" s="26" t="inlineStr">
        <is>
          <t>Amancion</t>
        </is>
      </c>
      <c r="I475" s="27" t="n">
        <v>10.637491</v>
      </c>
      <c r="J475" s="27" t="n">
        <v>123.918086</v>
      </c>
      <c r="K475" s="10" t="inlineStr">
        <is>
          <t>R</t>
        </is>
      </c>
      <c r="L475" s="12" t="n">
        <v>195</v>
      </c>
      <c r="M475" s="14" t="n">
        <v>3.8</v>
      </c>
      <c r="N475" s="12">
        <f>ROUND(L475/M475, 0)</f>
        <v/>
      </c>
      <c r="O475" s="12">
        <f>ROUND(N475*'Methodology &amp; Assumptions'!$B$5, 0)</f>
        <v/>
      </c>
      <c r="P475" s="10" t="inlineStr">
        <is>
          <t>Single Carrier (Band n50, 100MHz TDD)</t>
        </is>
      </c>
      <c r="Q475" s="13">
        <f>ROUNDUP(O475/'Methodology &amp; Assumptions'!$B$6, 0)</f>
        <v/>
      </c>
      <c r="R475" s="13" t="n">
        <v>1</v>
      </c>
      <c r="S475" s="14" t="n">
        <v>12.22</v>
      </c>
      <c r="T475" s="14" t="n">
        <v>11.46</v>
      </c>
      <c r="U475" s="26">
        <f>IF(X475&gt;='Methodology &amp; Assumptions'!$B$7, "Tier 1 Critical GIDA (Score ≥ 50.0)", IF(X475&gt;='Methodology &amp; Assumptions'!$B$8, "Tier 2 High GIDA (Score 40.0–49.9)", "Tier 3 Moderate GIDA (Score &lt; 40.0)"))</f>
        <v/>
      </c>
      <c r="V475" s="26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W475" s="28" t="n">
        <v>0.237</v>
      </c>
      <c r="X475" s="14" t="n">
        <v>48.69</v>
      </c>
      <c r="Y475" s="14">
        <f>ROUND(MIN(100, (X475/69.91)*100), 2)</f>
        <v/>
      </c>
    </row>
    <row r="476">
      <c r="A476" s="10" t="n">
        <v>3</v>
      </c>
      <c r="B476" s="10" t="n">
        <v>472</v>
      </c>
      <c r="C476" s="10" t="n">
        <v>2472</v>
      </c>
      <c r="D476" s="10" t="inlineStr">
        <is>
          <t>1380606107</t>
        </is>
      </c>
      <c r="E476" s="26" t="inlineStr">
        <is>
          <t>National Capital Region (NCR)</t>
        </is>
      </c>
      <c r="F476" s="26" t="inlineStr">
        <is>
          <t>First District (Not a Province)</t>
        </is>
      </c>
      <c r="G476" s="26" t="inlineStr">
        <is>
          <t>City of Manila</t>
        </is>
      </c>
      <c r="H476" s="26" t="inlineStr">
        <is>
          <t>Barangay 501</t>
        </is>
      </c>
      <c r="I476" s="27" t="n">
        <v>12.916887</v>
      </c>
      <c r="J476" s="27" t="n">
        <v>122.647707</v>
      </c>
      <c r="K476" s="10" t="inlineStr">
        <is>
          <t>U</t>
        </is>
      </c>
      <c r="L476" s="12" t="n">
        <v>871</v>
      </c>
      <c r="M476" s="14" t="n">
        <v>3.9</v>
      </c>
      <c r="N476" s="12">
        <f>ROUND(L476/M476, 0)</f>
        <v/>
      </c>
      <c r="O476" s="12">
        <f>ROUND(N476*'Methodology &amp; Assumptions'!$B$5, 0)</f>
        <v/>
      </c>
      <c r="P476" s="10" t="inlineStr">
        <is>
          <t>Single Carrier (Band n50, 100MHz TDD)</t>
        </is>
      </c>
      <c r="Q476" s="13">
        <f>ROUNDUP(O476/'Methodology &amp; Assumptions'!$B$6, 0)</f>
        <v/>
      </c>
      <c r="R476" s="13" t="n">
        <v>1</v>
      </c>
      <c r="S476" s="14" t="n">
        <v>33.98</v>
      </c>
      <c r="T476" s="14" t="n">
        <v>72.86</v>
      </c>
      <c r="U476" s="26">
        <f>IF(X476&gt;='Methodology &amp; Assumptions'!$B$7, "Tier 1 Critical GIDA (Score ≥ 50.0)", IF(X476&gt;='Methodology &amp; Assumptions'!$B$8, "Tier 2 High GIDA (Score 40.0–49.9)", "Tier 3 Moderate GIDA (Score &lt; 40.0)"))</f>
        <v/>
      </c>
      <c r="V476" s="26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W476" s="28" t="n">
        <v>0.109</v>
      </c>
      <c r="X476" s="14" t="n">
        <v>48.69</v>
      </c>
      <c r="Y476" s="14">
        <f>ROUND(MIN(100, (X476/69.91)*100), 2)</f>
        <v/>
      </c>
    </row>
    <row r="477">
      <c r="A477" s="10" t="n">
        <v>3</v>
      </c>
      <c r="B477" s="10" t="n">
        <v>473</v>
      </c>
      <c r="C477" s="10" t="n">
        <v>2473</v>
      </c>
      <c r="D477" s="10" t="inlineStr">
        <is>
          <t>0806011023</t>
        </is>
      </c>
      <c r="E477" s="26" t="inlineStr">
        <is>
          <t>Region VIII (Eastern Visayas)</t>
        </is>
      </c>
      <c r="F477" s="26" t="inlineStr">
        <is>
          <t>Samar</t>
        </is>
      </c>
      <c r="G477" s="26" t="inlineStr">
        <is>
          <t>Matuguinao</t>
        </is>
      </c>
      <c r="H477" s="26" t="inlineStr">
        <is>
          <t>San Roque</t>
        </is>
      </c>
      <c r="I477" s="27" t="n">
        <v>12.15259</v>
      </c>
      <c r="J477" s="27" t="n">
        <v>124.872081</v>
      </c>
      <c r="K477" s="10" t="inlineStr">
        <is>
          <t>R</t>
        </is>
      </c>
      <c r="L477" s="12" t="n">
        <v>200</v>
      </c>
      <c r="M477" s="14" t="n">
        <v>4.1</v>
      </c>
      <c r="N477" s="12">
        <f>ROUND(L477/M477, 0)</f>
        <v/>
      </c>
      <c r="O477" s="12">
        <f>ROUND(N477*'Methodology &amp; Assumptions'!$B$5, 0)</f>
        <v/>
      </c>
      <c r="P477" s="10" t="inlineStr">
        <is>
          <t>Single Carrier (Band n50, 100MHz TDD)</t>
        </is>
      </c>
      <c r="Q477" s="13">
        <f>ROUNDUP(O477/'Methodology &amp; Assumptions'!$B$6, 0)</f>
        <v/>
      </c>
      <c r="R477" s="13" t="n">
        <v>1</v>
      </c>
      <c r="S477" s="14" t="n">
        <v>96.89</v>
      </c>
      <c r="T477" s="14" t="n">
        <v>96.84999999999999</v>
      </c>
      <c r="U477" s="26">
        <f>IF(X477&gt;='Methodology &amp; Assumptions'!$B$7, "Tier 1 Critical GIDA (Score ≥ 50.0)", IF(X477&gt;='Methodology &amp; Assumptions'!$B$8, "Tier 2 High GIDA (Score 40.0–49.9)", "Tier 3 Moderate GIDA (Score &lt; 40.0)"))</f>
        <v/>
      </c>
      <c r="V477" s="26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W477" s="28" t="n">
        <v>0.237</v>
      </c>
      <c r="X477" s="14" t="n">
        <v>48.69</v>
      </c>
      <c r="Y477" s="14">
        <f>ROUND(MIN(100, (X477/69.91)*100), 2)</f>
        <v/>
      </c>
    </row>
    <row r="478">
      <c r="A478" s="10" t="n">
        <v>3</v>
      </c>
      <c r="B478" s="10" t="n">
        <v>474</v>
      </c>
      <c r="C478" s="10" t="n">
        <v>2474</v>
      </c>
      <c r="D478" s="10" t="inlineStr">
        <is>
          <t>1380400021</t>
        </is>
      </c>
      <c r="E478" s="26" t="inlineStr">
        <is>
          <t>National Capital Region (NCR)</t>
        </is>
      </c>
      <c r="F478" s="26" t="inlineStr">
        <is>
          <t>Third District (Not a Province)</t>
        </is>
      </c>
      <c r="G478" s="26" t="inlineStr">
        <is>
          <t>City of Malabon</t>
        </is>
      </c>
      <c r="H478" s="26" t="inlineStr">
        <is>
          <t>Tugatog</t>
        </is>
      </c>
      <c r="I478" s="27" t="n">
        <v>14.660644</v>
      </c>
      <c r="J478" s="27" t="n">
        <v>120.967583</v>
      </c>
      <c r="K478" s="10" t="inlineStr">
        <is>
          <t>U</t>
        </is>
      </c>
      <c r="L478" s="12" t="n">
        <v>26157</v>
      </c>
      <c r="M478" s="14" t="n">
        <v>3.7</v>
      </c>
      <c r="N478" s="12">
        <f>ROUND(L478/M478, 0)</f>
        <v/>
      </c>
      <c r="O478" s="12">
        <f>ROUND(N478*'Methodology &amp; Assumptions'!$B$5, 0)</f>
        <v/>
      </c>
      <c r="P478" s="10" t="inlineStr">
        <is>
          <t>Single Carrier (Band n50, 100MHz TDD)</t>
        </is>
      </c>
      <c r="Q478" s="13">
        <f>ROUNDUP(O478/'Methodology &amp; Assumptions'!$B$6, 0)</f>
        <v/>
      </c>
      <c r="R478" s="13" t="n">
        <v>1</v>
      </c>
      <c r="S478" s="14" t="n">
        <v>0.87</v>
      </c>
      <c r="T478" s="14" t="n">
        <v>0.75</v>
      </c>
      <c r="U478" s="26">
        <f>IF(X478&gt;='Methodology &amp; Assumptions'!$B$7, "Tier 1 Critical GIDA (Score ≥ 50.0)", IF(X478&gt;='Methodology &amp; Assumptions'!$B$8, "Tier 2 High GIDA (Score 40.0–49.9)", "Tier 3 Moderate GIDA (Score &lt; 40.0)"))</f>
        <v/>
      </c>
      <c r="V478" s="26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W478" s="28" t="n">
        <v>0.109</v>
      </c>
      <c r="X478" s="14" t="n">
        <v>48.69</v>
      </c>
      <c r="Y478" s="14">
        <f>ROUND(MIN(100, (X478/69.91)*100), 2)</f>
        <v/>
      </c>
    </row>
    <row r="479">
      <c r="A479" s="10" t="n">
        <v>3</v>
      </c>
      <c r="B479" s="10" t="n">
        <v>475</v>
      </c>
      <c r="C479" s="10" t="n">
        <v>2475</v>
      </c>
      <c r="D479" s="10" t="inlineStr">
        <is>
          <t>1380606172</t>
        </is>
      </c>
      <c r="E479" s="26" t="inlineStr">
        <is>
          <t>National Capital Region (NCR)</t>
        </is>
      </c>
      <c r="F479" s="26" t="inlineStr">
        <is>
          <t>First District (Not a Province)</t>
        </is>
      </c>
      <c r="G479" s="26" t="inlineStr">
        <is>
          <t>City of Manila</t>
        </is>
      </c>
      <c r="H479" s="26" t="inlineStr">
        <is>
          <t>Barangay 566</t>
        </is>
      </c>
      <c r="I479" s="27" t="n">
        <v>12.275912</v>
      </c>
      <c r="J479" s="27" t="n">
        <v>121.154628</v>
      </c>
      <c r="K479" s="10" t="inlineStr">
        <is>
          <t>U</t>
        </is>
      </c>
      <c r="L479" s="12" t="n">
        <v>2226</v>
      </c>
      <c r="M479" s="14" t="n">
        <v>3.9</v>
      </c>
      <c r="N479" s="12">
        <f>ROUND(L479/M479, 0)</f>
        <v/>
      </c>
      <c r="O479" s="12">
        <f>ROUND(N479*'Methodology &amp; Assumptions'!$B$5, 0)</f>
        <v/>
      </c>
      <c r="P479" s="10" t="inlineStr">
        <is>
          <t>Single Carrier (Band n50, 100MHz TDD)</t>
        </is>
      </c>
      <c r="Q479" s="13">
        <f>ROUNDUP(O479/'Methodology &amp; Assumptions'!$B$6, 0)</f>
        <v/>
      </c>
      <c r="R479" s="13" t="n">
        <v>1</v>
      </c>
      <c r="S479" s="14" t="n">
        <v>3.71</v>
      </c>
      <c r="T479" s="14" t="n">
        <v>2.56</v>
      </c>
      <c r="U479" s="26">
        <f>IF(X479&gt;='Methodology &amp; Assumptions'!$B$7, "Tier 1 Critical GIDA (Score ≥ 50.0)", IF(X479&gt;='Methodology &amp; Assumptions'!$B$8, "Tier 2 High GIDA (Score 40.0–49.9)", "Tier 3 Moderate GIDA (Score &lt; 40.0)"))</f>
        <v/>
      </c>
      <c r="V479" s="26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W479" s="28" t="n">
        <v>0.109</v>
      </c>
      <c r="X479" s="14" t="n">
        <v>48.69</v>
      </c>
      <c r="Y479" s="14">
        <f>ROUND(MIN(100, (X479/69.91)*100), 2)</f>
        <v/>
      </c>
    </row>
    <row r="480">
      <c r="A480" s="10" t="n">
        <v>3</v>
      </c>
      <c r="B480" s="10" t="n">
        <v>476</v>
      </c>
      <c r="C480" s="10" t="n">
        <v>2476</v>
      </c>
      <c r="D480" s="10" t="inlineStr">
        <is>
          <t>PH0002476</t>
        </is>
      </c>
      <c r="E480" s="26" t="inlineStr">
        <is>
          <t>NCR</t>
        </is>
      </c>
      <c r="F480" s="26" t="inlineStr">
        <is>
          <t>Metro Manila</t>
        </is>
      </c>
      <c r="G480" s="26" t="inlineStr">
        <is>
          <t>Caloocan City</t>
        </is>
      </c>
      <c r="H480" s="26" t="inlineStr">
        <is>
          <t>Barangay 61</t>
        </is>
      </c>
      <c r="I480" s="27" t="n">
        <v>11.618288</v>
      </c>
      <c r="J480" s="27" t="n">
        <v>122.447597</v>
      </c>
      <c r="K480" s="10" t="inlineStr">
        <is>
          <t>R</t>
        </is>
      </c>
      <c r="L480" s="12" t="n">
        <v>2279</v>
      </c>
      <c r="M480" s="14" t="n">
        <v>3.8</v>
      </c>
      <c r="N480" s="12">
        <f>ROUND(L480/M480, 0)</f>
        <v/>
      </c>
      <c r="O480" s="12">
        <f>ROUND(N480*'Methodology &amp; Assumptions'!$B$5, 0)</f>
        <v/>
      </c>
      <c r="P480" s="10" t="inlineStr">
        <is>
          <t>Single Carrier (Band n50, 100MHz TDD)</t>
        </is>
      </c>
      <c r="Q480" s="13">
        <f>ROUNDUP(O480/'Methodology &amp; Assumptions'!$B$6, 0)</f>
        <v/>
      </c>
      <c r="R480" s="13" t="n">
        <v>1</v>
      </c>
      <c r="S480" s="14" t="n">
        <v>3.6</v>
      </c>
      <c r="T480" s="14" t="n">
        <v>4.16</v>
      </c>
      <c r="U480" s="26">
        <f>IF(X480&gt;='Methodology &amp; Assumptions'!$B$7, "Tier 1 Critical GIDA (Score ≥ 50.0)", IF(X480&gt;='Methodology &amp; Assumptions'!$B$8, "Tier 2 High GIDA (Score 40.0–49.9)", "Tier 3 Moderate GIDA (Score &lt; 40.0)"))</f>
        <v/>
      </c>
      <c r="V480" s="26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W480" s="28" t="n">
        <v>0.011</v>
      </c>
      <c r="X480" s="14" t="n">
        <v>48.68</v>
      </c>
      <c r="Y480" s="14">
        <f>ROUND(MIN(100, (X480/69.91)*100), 2)</f>
        <v/>
      </c>
    </row>
    <row r="481">
      <c r="A481" s="10" t="n">
        <v>3</v>
      </c>
      <c r="B481" s="10" t="n">
        <v>477</v>
      </c>
      <c r="C481" s="10" t="n">
        <v>2477</v>
      </c>
      <c r="D481" s="10" t="inlineStr">
        <is>
          <t>0806004008</t>
        </is>
      </c>
      <c r="E481" s="26" t="inlineStr">
        <is>
          <t>Region VIII (Eastern Visayas)</t>
        </is>
      </c>
      <c r="F481" s="26" t="inlineStr">
        <is>
          <t>Samar</t>
        </is>
      </c>
      <c r="G481" s="26" t="inlineStr">
        <is>
          <t>Calbiga</t>
        </is>
      </c>
      <c r="H481" s="26" t="inlineStr">
        <is>
          <t>Buluan</t>
        </is>
      </c>
      <c r="I481" s="27" t="n">
        <v>11.62561</v>
      </c>
      <c r="J481" s="27" t="n">
        <v>125.13535</v>
      </c>
      <c r="K481" s="10" t="inlineStr">
        <is>
          <t>R</t>
        </is>
      </c>
      <c r="L481" s="12" t="n">
        <v>640</v>
      </c>
      <c r="M481" s="14" t="n">
        <v>4.1</v>
      </c>
      <c r="N481" s="12">
        <f>ROUND(L481/M481, 0)</f>
        <v/>
      </c>
      <c r="O481" s="12">
        <f>ROUND(N481*'Methodology &amp; Assumptions'!$B$5, 0)</f>
        <v/>
      </c>
      <c r="P481" s="10" t="inlineStr">
        <is>
          <t>Single Carrier (Band n50, 100MHz TDD)</t>
        </is>
      </c>
      <c r="Q481" s="13">
        <f>ROUNDUP(O481/'Methodology &amp; Assumptions'!$B$6, 0)</f>
        <v/>
      </c>
      <c r="R481" s="13" t="n">
        <v>1</v>
      </c>
      <c r="S481" s="14" t="n">
        <v>45.3</v>
      </c>
      <c r="T481" s="14" t="n">
        <v>47.95</v>
      </c>
      <c r="U481" s="26">
        <f>IF(X481&gt;='Methodology &amp; Assumptions'!$B$7, "Tier 1 Critical GIDA (Score ≥ 50.0)", IF(X481&gt;='Methodology &amp; Assumptions'!$B$8, "Tier 2 High GIDA (Score 40.0–49.9)", "Tier 3 Moderate GIDA (Score &lt; 40.0)"))</f>
        <v/>
      </c>
      <c r="V481" s="26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W481" s="28" t="n">
        <v>0.237</v>
      </c>
      <c r="X481" s="14" t="n">
        <v>48.68</v>
      </c>
      <c r="Y481" s="14">
        <f>ROUND(MIN(100, (X481/69.91)*100), 2)</f>
        <v/>
      </c>
    </row>
    <row r="482">
      <c r="A482" s="10" t="n">
        <v>3</v>
      </c>
      <c r="B482" s="10" t="n">
        <v>478</v>
      </c>
      <c r="C482" s="10" t="n">
        <v>2478</v>
      </c>
      <c r="D482" s="10" t="inlineStr">
        <is>
          <t>1381100103</t>
        </is>
      </c>
      <c r="E482" s="26" t="inlineStr">
        <is>
          <t>National Capital Region (NCR)</t>
        </is>
      </c>
      <c r="F482" s="26" t="inlineStr">
        <is>
          <t>Fourth District (Not a Province)</t>
        </is>
      </c>
      <c r="G482" s="26" t="inlineStr">
        <is>
          <t>Pasay City</t>
        </is>
      </c>
      <c r="H482" s="26" t="inlineStr">
        <is>
          <t>Barangay 103</t>
        </is>
      </c>
      <c r="I482" s="27" t="n">
        <v>14.663712</v>
      </c>
      <c r="J482" s="27" t="n">
        <v>121.13057</v>
      </c>
      <c r="K482" s="10" t="inlineStr">
        <is>
          <t>U</t>
        </is>
      </c>
      <c r="L482" s="12" t="n">
        <v>976</v>
      </c>
      <c r="M482" s="14" t="n">
        <v>3.4</v>
      </c>
      <c r="N482" s="12">
        <f>ROUND(L482/M482, 0)</f>
        <v/>
      </c>
      <c r="O482" s="12">
        <f>ROUND(N482*'Methodology &amp; Assumptions'!$B$5, 0)</f>
        <v/>
      </c>
      <c r="P482" s="10" t="inlineStr">
        <is>
          <t>Single Carrier (Band n50, 100MHz TDD)</t>
        </is>
      </c>
      <c r="Q482" s="13">
        <f>ROUNDUP(O482/'Methodology &amp; Assumptions'!$B$6, 0)</f>
        <v/>
      </c>
      <c r="R482" s="13" t="n">
        <v>1</v>
      </c>
      <c r="S482" s="14" t="n">
        <v>1.63</v>
      </c>
      <c r="T482" s="14" t="n">
        <v>0.46</v>
      </c>
      <c r="U482" s="26">
        <f>IF(X482&gt;='Methodology &amp; Assumptions'!$B$7, "Tier 1 Critical GIDA (Score ≥ 50.0)", IF(X482&gt;='Methodology &amp; Assumptions'!$B$8, "Tier 2 High GIDA (Score 40.0–49.9)", "Tier 3 Moderate GIDA (Score &lt; 40.0)"))</f>
        <v/>
      </c>
      <c r="V482" s="26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W482" s="28" t="n">
        <v>0.109</v>
      </c>
      <c r="X482" s="14" t="n">
        <v>48.68</v>
      </c>
      <c r="Y482" s="14">
        <f>ROUND(MIN(100, (X482/69.91)*100), 2)</f>
        <v/>
      </c>
    </row>
    <row r="483">
      <c r="A483" s="10" t="n">
        <v>3</v>
      </c>
      <c r="B483" s="10" t="n">
        <v>479</v>
      </c>
      <c r="C483" s="10" t="n">
        <v>2479</v>
      </c>
      <c r="D483" s="10" t="inlineStr">
        <is>
          <t>1380614032</t>
        </is>
      </c>
      <c r="E483" s="26" t="inlineStr">
        <is>
          <t>National Capital Region (NCR)</t>
        </is>
      </c>
      <c r="F483" s="26" t="inlineStr">
        <is>
          <t>First District (Not a Province)</t>
        </is>
      </c>
      <c r="G483" s="26" t="inlineStr">
        <is>
          <t>City of Manila</t>
        </is>
      </c>
      <c r="H483" s="26" t="inlineStr">
        <is>
          <t>Barangay 776</t>
        </is>
      </c>
      <c r="I483" s="27" t="n">
        <v>13.734121</v>
      </c>
      <c r="J483" s="27" t="n">
        <v>121.812268</v>
      </c>
      <c r="K483" s="10" t="inlineStr">
        <is>
          <t>U</t>
        </is>
      </c>
      <c r="L483" s="12" t="n">
        <v>4731</v>
      </c>
      <c r="M483" s="14" t="n">
        <v>3.9</v>
      </c>
      <c r="N483" s="12">
        <f>ROUND(L483/M483, 0)</f>
        <v/>
      </c>
      <c r="O483" s="12">
        <f>ROUND(N483*'Methodology &amp; Assumptions'!$B$5, 0)</f>
        <v/>
      </c>
      <c r="P483" s="10" t="inlineStr">
        <is>
          <t>Single Carrier (Band n50, 100MHz TDD)</t>
        </is>
      </c>
      <c r="Q483" s="13">
        <f>ROUNDUP(O483/'Methodology &amp; Assumptions'!$B$6, 0)</f>
        <v/>
      </c>
      <c r="R483" s="13" t="n">
        <v>1</v>
      </c>
      <c r="S483" s="14" t="n">
        <v>19.24</v>
      </c>
      <c r="T483" s="14" t="n">
        <v>18.92</v>
      </c>
      <c r="U483" s="26">
        <f>IF(X483&gt;='Methodology &amp; Assumptions'!$B$7, "Tier 1 Critical GIDA (Score ≥ 50.0)", IF(X483&gt;='Methodology &amp; Assumptions'!$B$8, "Tier 2 High GIDA (Score 40.0–49.9)", "Tier 3 Moderate GIDA (Score &lt; 40.0)"))</f>
        <v/>
      </c>
      <c r="V483" s="26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W483" s="28" t="n">
        <v>0.109</v>
      </c>
      <c r="X483" s="14" t="n">
        <v>48.68</v>
      </c>
      <c r="Y483" s="14">
        <f>ROUND(MIN(100, (X483/69.91)*100), 2)</f>
        <v/>
      </c>
    </row>
    <row r="484">
      <c r="A484" s="10" t="n">
        <v>3</v>
      </c>
      <c r="B484" s="10" t="n">
        <v>480</v>
      </c>
      <c r="C484" s="10" t="n">
        <v>2480</v>
      </c>
      <c r="D484" s="10" t="inlineStr">
        <is>
          <t>0305415011</t>
        </is>
      </c>
      <c r="E484" s="26" t="inlineStr">
        <is>
          <t>Region III (Central Luzon)</t>
        </is>
      </c>
      <c r="F484" s="26" t="inlineStr">
        <is>
          <t>Pampanga</t>
        </is>
      </c>
      <c r="G484" s="26" t="inlineStr">
        <is>
          <t>Porac</t>
        </is>
      </c>
      <c r="H484" s="26" t="inlineStr">
        <is>
          <t>Diaz</t>
        </is>
      </c>
      <c r="I484" s="27" t="n">
        <v>15.050859</v>
      </c>
      <c r="J484" s="27" t="n">
        <v>120.545583</v>
      </c>
      <c r="K484" s="10" t="inlineStr">
        <is>
          <t>R</t>
        </is>
      </c>
      <c r="L484" s="12" t="n">
        <v>470</v>
      </c>
      <c r="M484" s="14" t="n">
        <v>4</v>
      </c>
      <c r="N484" s="12">
        <f>ROUND(L484/M484, 0)</f>
        <v/>
      </c>
      <c r="O484" s="12">
        <f>ROUND(N484*'Methodology &amp; Assumptions'!$B$5, 0)</f>
        <v/>
      </c>
      <c r="P484" s="10" t="inlineStr">
        <is>
          <t>Single Carrier (Band n50, 100MHz TDD)</t>
        </is>
      </c>
      <c r="Q484" s="13">
        <f>ROUNDUP(O484/'Methodology &amp; Assumptions'!$B$6, 0)</f>
        <v/>
      </c>
      <c r="R484" s="13" t="n">
        <v>1</v>
      </c>
      <c r="S484" s="14" t="n">
        <v>1.5</v>
      </c>
      <c r="T484" s="14" t="n">
        <v>1.04</v>
      </c>
      <c r="U484" s="26">
        <f>IF(X484&gt;='Methodology &amp; Assumptions'!$B$7, "Tier 1 Critical GIDA (Score ≥ 50.0)", IF(X484&gt;='Methodology &amp; Assumptions'!$B$8, "Tier 2 High GIDA (Score 40.0–49.9)", "Tier 3 Moderate GIDA (Score &lt; 40.0)"))</f>
        <v/>
      </c>
      <c r="V484" s="26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W484" s="28" t="n">
        <v>0.083</v>
      </c>
      <c r="X484" s="14" t="n">
        <v>48.67</v>
      </c>
      <c r="Y484" s="14">
        <f>ROUND(MIN(100, (X484/69.91)*100), 2)</f>
        <v/>
      </c>
    </row>
    <row r="485">
      <c r="A485" s="10" t="n">
        <v>3</v>
      </c>
      <c r="B485" s="10" t="n">
        <v>481</v>
      </c>
      <c r="C485" s="10" t="n">
        <v>2481</v>
      </c>
      <c r="D485" s="10" t="inlineStr">
        <is>
          <t>1381100127</t>
        </is>
      </c>
      <c r="E485" s="26" t="inlineStr">
        <is>
          <t>National Capital Region (NCR)</t>
        </is>
      </c>
      <c r="F485" s="26" t="inlineStr">
        <is>
          <t>Fourth District (Not a Province)</t>
        </is>
      </c>
      <c r="G485" s="26" t="inlineStr">
        <is>
          <t>Pasay City</t>
        </is>
      </c>
      <c r="H485" s="26" t="inlineStr">
        <is>
          <t>Barangay 127</t>
        </is>
      </c>
      <c r="I485" s="27" t="n">
        <v>14.366079</v>
      </c>
      <c r="J485" s="27" t="n">
        <v>120.995827</v>
      </c>
      <c r="K485" s="10" t="inlineStr">
        <is>
          <t>U</t>
        </is>
      </c>
      <c r="L485" s="12" t="n">
        <v>1850</v>
      </c>
      <c r="M485" s="14" t="n">
        <v>3.4</v>
      </c>
      <c r="N485" s="12">
        <f>ROUND(L485/M485, 0)</f>
        <v/>
      </c>
      <c r="O485" s="12">
        <f>ROUND(N485*'Methodology &amp; Assumptions'!$B$5, 0)</f>
        <v/>
      </c>
      <c r="P485" s="10" t="inlineStr">
        <is>
          <t>Single Carrier (Band n50, 100MHz TDD)</t>
        </is>
      </c>
      <c r="Q485" s="13">
        <f>ROUNDUP(O485/'Methodology &amp; Assumptions'!$B$6, 0)</f>
        <v/>
      </c>
      <c r="R485" s="13" t="n">
        <v>1</v>
      </c>
      <c r="S485" s="14" t="n">
        <v>2.01</v>
      </c>
      <c r="T485" s="14" t="n">
        <v>2.01</v>
      </c>
      <c r="U485" s="26">
        <f>IF(X485&gt;='Methodology &amp; Assumptions'!$B$7, "Tier 1 Critical GIDA (Score ≥ 50.0)", IF(X485&gt;='Methodology &amp; Assumptions'!$B$8, "Tier 2 High GIDA (Score 40.0–49.9)", "Tier 3 Moderate GIDA (Score &lt; 40.0)"))</f>
        <v/>
      </c>
      <c r="V485" s="26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W485" s="28" t="n">
        <v>0.109</v>
      </c>
      <c r="X485" s="14" t="n">
        <v>48.67</v>
      </c>
      <c r="Y485" s="14">
        <f>ROUND(MIN(100, (X485/69.91)*100), 2)</f>
        <v/>
      </c>
    </row>
    <row r="486">
      <c r="A486" s="10" t="n">
        <v>3</v>
      </c>
      <c r="B486" s="10" t="n">
        <v>482</v>
      </c>
      <c r="C486" s="10" t="n">
        <v>2482</v>
      </c>
      <c r="D486" s="10" t="inlineStr">
        <is>
          <t>PH0002482</t>
        </is>
      </c>
      <c r="E486" s="26" t="inlineStr">
        <is>
          <t>NCR</t>
        </is>
      </c>
      <c r="F486" s="26" t="inlineStr">
        <is>
          <t>Metro Manila</t>
        </is>
      </c>
      <c r="G486" s="26" t="inlineStr">
        <is>
          <t>Caloocan City</t>
        </is>
      </c>
      <c r="H486" s="26" t="inlineStr">
        <is>
          <t>Barangay 62</t>
        </is>
      </c>
      <c r="I486" s="27" t="n">
        <v>13.366546</v>
      </c>
      <c r="J486" s="27" t="n">
        <v>120.401879</v>
      </c>
      <c r="K486" s="10" t="inlineStr">
        <is>
          <t>R</t>
        </is>
      </c>
      <c r="L486" s="12" t="n">
        <v>2279</v>
      </c>
      <c r="M486" s="14" t="n">
        <v>3.8</v>
      </c>
      <c r="N486" s="12">
        <f>ROUND(L486/M486, 0)</f>
        <v/>
      </c>
      <c r="O486" s="12">
        <f>ROUND(N486*'Methodology &amp; Assumptions'!$B$5, 0)</f>
        <v/>
      </c>
      <c r="P486" s="10" t="inlineStr">
        <is>
          <t>Single Carrier (Band n50, 100MHz TDD)</t>
        </is>
      </c>
      <c r="Q486" s="13">
        <f>ROUNDUP(O486/'Methodology &amp; Assumptions'!$B$6, 0)</f>
        <v/>
      </c>
      <c r="R486" s="13" t="n">
        <v>1</v>
      </c>
      <c r="S486" s="14" t="n">
        <v>56.58</v>
      </c>
      <c r="T486" s="14" t="n">
        <v>54.99</v>
      </c>
      <c r="U486" s="26">
        <f>IF(X486&gt;='Methodology &amp; Assumptions'!$B$7, "Tier 1 Critical GIDA (Score ≥ 50.0)", IF(X486&gt;='Methodology &amp; Assumptions'!$B$8, "Tier 2 High GIDA (Score 40.0–49.9)", "Tier 3 Moderate GIDA (Score &lt; 40.0)"))</f>
        <v/>
      </c>
      <c r="V486" s="26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W486" s="28" t="n">
        <v>0.011</v>
      </c>
      <c r="X486" s="14" t="n">
        <v>48.67</v>
      </c>
      <c r="Y486" s="14">
        <f>ROUND(MIN(100, (X486/69.91)*100), 2)</f>
        <v/>
      </c>
    </row>
    <row r="487">
      <c r="A487" s="10" t="n">
        <v>3</v>
      </c>
      <c r="B487" s="10" t="n">
        <v>483</v>
      </c>
      <c r="C487" s="10" t="n">
        <v>2483</v>
      </c>
      <c r="D487" s="10" t="inlineStr">
        <is>
          <t>0806004009</t>
        </is>
      </c>
      <c r="E487" s="26" t="inlineStr">
        <is>
          <t>Region VIII (Eastern Visayas)</t>
        </is>
      </c>
      <c r="F487" s="26" t="inlineStr">
        <is>
          <t>Samar</t>
        </is>
      </c>
      <c r="G487" s="26" t="inlineStr">
        <is>
          <t>Calbiga</t>
        </is>
      </c>
      <c r="H487" s="26" t="inlineStr">
        <is>
          <t>Caamlongan</t>
        </is>
      </c>
      <c r="I487" s="27" t="n">
        <v>11.5681</v>
      </c>
      <c r="J487" s="27" t="n">
        <v>125.1155</v>
      </c>
      <c r="K487" s="10" t="inlineStr">
        <is>
          <t>R</t>
        </is>
      </c>
      <c r="L487" s="12" t="n">
        <v>231</v>
      </c>
      <c r="M487" s="14" t="n">
        <v>4.1</v>
      </c>
      <c r="N487" s="12">
        <f>ROUND(L487/M487, 0)</f>
        <v/>
      </c>
      <c r="O487" s="12">
        <f>ROUND(N487*'Methodology &amp; Assumptions'!$B$5, 0)</f>
        <v/>
      </c>
      <c r="P487" s="10" t="inlineStr">
        <is>
          <t>Single Carrier (Band n50, 100MHz TDD)</t>
        </is>
      </c>
      <c r="Q487" s="13">
        <f>ROUNDUP(O487/'Methodology &amp; Assumptions'!$B$6, 0)</f>
        <v/>
      </c>
      <c r="R487" s="13" t="n">
        <v>1</v>
      </c>
      <c r="S487" s="14" t="n">
        <v>38.55</v>
      </c>
      <c r="T487" s="14" t="n">
        <v>41.2</v>
      </c>
      <c r="U487" s="26">
        <f>IF(X487&gt;='Methodology &amp; Assumptions'!$B$7, "Tier 1 Critical GIDA (Score ≥ 50.0)", IF(X487&gt;='Methodology &amp; Assumptions'!$B$8, "Tier 2 High GIDA (Score 40.0–49.9)", "Tier 3 Moderate GIDA (Score &lt; 40.0)"))</f>
        <v/>
      </c>
      <c r="V487" s="26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W487" s="28" t="n">
        <v>0.237</v>
      </c>
      <c r="X487" s="14" t="n">
        <v>48.67</v>
      </c>
      <c r="Y487" s="14">
        <f>ROUND(MIN(100, (X487/69.91)*100), 2)</f>
        <v/>
      </c>
    </row>
    <row r="488">
      <c r="A488" s="10" t="n">
        <v>3</v>
      </c>
      <c r="B488" s="10" t="n">
        <v>484</v>
      </c>
      <c r="C488" s="10" t="n">
        <v>2484</v>
      </c>
      <c r="D488" s="10" t="inlineStr">
        <is>
          <t>0300803011</t>
        </is>
      </c>
      <c r="E488" s="26" t="inlineStr">
        <is>
          <t>Region III (Central Luzon)</t>
        </is>
      </c>
      <c r="F488" s="26" t="inlineStr">
        <is>
          <t>Bataan</t>
        </is>
      </c>
      <c r="G488" s="26" t="inlineStr">
        <is>
          <t>City of Balanga</t>
        </is>
      </c>
      <c r="H488" s="26" t="inlineStr">
        <is>
          <t>Ibayo</t>
        </is>
      </c>
      <c r="I488" s="27" t="n">
        <v>14.675936</v>
      </c>
      <c r="J488" s="27" t="n">
        <v>120.518679</v>
      </c>
      <c r="K488" s="10" t="inlineStr">
        <is>
          <t>U</t>
        </is>
      </c>
      <c r="L488" s="12" t="n">
        <v>2379</v>
      </c>
      <c r="M488" s="14" t="n">
        <v>3.6</v>
      </c>
      <c r="N488" s="12">
        <f>ROUND(L488/M488, 0)</f>
        <v/>
      </c>
      <c r="O488" s="12">
        <f>ROUND(N488*'Methodology &amp; Assumptions'!$B$5, 0)</f>
        <v/>
      </c>
      <c r="P488" s="10" t="inlineStr">
        <is>
          <t>Single Carrier (Band n50, 100MHz TDD)</t>
        </is>
      </c>
      <c r="Q488" s="13">
        <f>ROUNDUP(O488/'Methodology &amp; Assumptions'!$B$6, 0)</f>
        <v/>
      </c>
      <c r="R488" s="13" t="n">
        <v>1</v>
      </c>
      <c r="S488" s="14" t="n">
        <v>2.47</v>
      </c>
      <c r="T488" s="14" t="n">
        <v>0.58</v>
      </c>
      <c r="U488" s="26">
        <f>IF(X488&gt;='Methodology &amp; Assumptions'!$B$7, "Tier 1 Critical GIDA (Score ≥ 50.0)", IF(X488&gt;='Methodology &amp; Assumptions'!$B$8, "Tier 2 High GIDA (Score 40.0–49.9)", "Tier 3 Moderate GIDA (Score &lt; 40.0)"))</f>
        <v/>
      </c>
      <c r="V488" s="26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W488" s="28" t="n">
        <v>0.083</v>
      </c>
      <c r="X488" s="14" t="n">
        <v>48.66</v>
      </c>
      <c r="Y488" s="14">
        <f>ROUND(MIN(100, (X488/69.91)*100), 2)</f>
        <v/>
      </c>
    </row>
    <row r="489">
      <c r="A489" s="10" t="n">
        <v>3</v>
      </c>
      <c r="B489" s="10" t="n">
        <v>485</v>
      </c>
      <c r="C489" s="10" t="n">
        <v>2485</v>
      </c>
      <c r="D489" s="10" t="inlineStr">
        <is>
          <t>0506203011</t>
        </is>
      </c>
      <c r="E489" s="26" t="inlineStr">
        <is>
          <t>Region V (Bicol Region)</t>
        </is>
      </c>
      <c r="F489" s="26" t="inlineStr">
        <is>
          <t>Sorsogon</t>
        </is>
      </c>
      <c r="G489" s="26" t="inlineStr">
        <is>
          <t>Bulan</t>
        </is>
      </c>
      <c r="H489" s="26" t="inlineStr">
        <is>
          <t>Bical</t>
        </is>
      </c>
      <c r="I489" s="27" t="n">
        <v>12.734863</v>
      </c>
      <c r="J489" s="27" t="n">
        <v>123.937708</v>
      </c>
      <c r="K489" s="10" t="inlineStr">
        <is>
          <t>R</t>
        </is>
      </c>
      <c r="L489" s="12" t="n">
        <v>686</v>
      </c>
      <c r="M489" s="14" t="n">
        <v>4</v>
      </c>
      <c r="N489" s="12">
        <f>ROUND(L489/M489, 0)</f>
        <v/>
      </c>
      <c r="O489" s="12">
        <f>ROUND(N489*'Methodology &amp; Assumptions'!$B$5, 0)</f>
        <v/>
      </c>
      <c r="P489" s="10" t="inlineStr">
        <is>
          <t>Single Carrier (Band n50, 100MHz TDD)</t>
        </is>
      </c>
      <c r="Q489" s="13">
        <f>ROUNDUP(O489/'Methodology &amp; Assumptions'!$B$6, 0)</f>
        <v/>
      </c>
      <c r="R489" s="13" t="n">
        <v>1</v>
      </c>
      <c r="S489" s="14" t="n">
        <v>7.39</v>
      </c>
      <c r="T489" s="14" t="n">
        <v>3.36</v>
      </c>
      <c r="U489" s="26">
        <f>IF(X489&gt;='Methodology &amp; Assumptions'!$B$7, "Tier 1 Critical GIDA (Score ≥ 50.0)", IF(X489&gt;='Methodology &amp; Assumptions'!$B$8, "Tier 2 High GIDA (Score 40.0–49.9)", "Tier 3 Moderate GIDA (Score &lt; 40.0)"))</f>
        <v/>
      </c>
      <c r="V489" s="26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W489" s="28" t="n">
        <v>0.237</v>
      </c>
      <c r="X489" s="14" t="n">
        <v>48.66</v>
      </c>
      <c r="Y489" s="14">
        <f>ROUND(MIN(100, (X489/69.91)*100), 2)</f>
        <v/>
      </c>
    </row>
    <row r="490">
      <c r="A490" s="10" t="n">
        <v>3</v>
      </c>
      <c r="B490" s="10" t="n">
        <v>486</v>
      </c>
      <c r="C490" s="10" t="n">
        <v>2486</v>
      </c>
      <c r="D490" s="10" t="inlineStr">
        <is>
          <t>1003518021</t>
        </is>
      </c>
      <c r="E490" s="26" t="inlineStr">
        <is>
          <t>Region X (Northern Mindanao)</t>
        </is>
      </c>
      <c r="F490" s="26" t="inlineStr">
        <is>
          <t>Lanao del Norte</t>
        </is>
      </c>
      <c r="G490" s="26" t="inlineStr">
        <is>
          <t>Salvador</t>
        </is>
      </c>
      <c r="H490" s="26" t="inlineStr">
        <is>
          <t>Pawak</t>
        </is>
      </c>
      <c r="I490" s="27" t="n">
        <v>7.906124</v>
      </c>
      <c r="J490" s="27" t="n">
        <v>123.866314</v>
      </c>
      <c r="K490" s="10" t="inlineStr">
        <is>
          <t>R</t>
        </is>
      </c>
      <c r="L490" s="12" t="n">
        <v>1156</v>
      </c>
      <c r="M490" s="14" t="n">
        <v>4.2</v>
      </c>
      <c r="N490" s="12">
        <f>ROUND(L490/M490, 0)</f>
        <v/>
      </c>
      <c r="O490" s="12">
        <f>ROUND(N490*'Methodology &amp; Assumptions'!$B$5, 0)</f>
        <v/>
      </c>
      <c r="P490" s="10" t="inlineStr">
        <is>
          <t>Single Carrier (Band n50, 100MHz TDD)</t>
        </is>
      </c>
      <c r="Q490" s="13">
        <f>ROUNDUP(O490/'Methodology &amp; Assumptions'!$B$6, 0)</f>
        <v/>
      </c>
      <c r="R490" s="13" t="n">
        <v>1</v>
      </c>
      <c r="S490" s="14" t="n">
        <v>16.92</v>
      </c>
      <c r="T490" s="14" t="n">
        <v>10.46</v>
      </c>
      <c r="U490" s="26">
        <f>IF(X490&gt;='Methodology &amp; Assumptions'!$B$7, "Tier 1 Critical GIDA (Score ≥ 50.0)", IF(X490&gt;='Methodology &amp; Assumptions'!$B$8, "Tier 2 High GIDA (Score 40.0–49.9)", "Tier 3 Moderate GIDA (Score &lt; 40.0)"))</f>
        <v/>
      </c>
      <c r="V490" s="26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W490" s="28" t="n">
        <v>0.174</v>
      </c>
      <c r="X490" s="14" t="n">
        <v>48.66</v>
      </c>
      <c r="Y490" s="14">
        <f>ROUND(MIN(100, (X490/69.91)*100), 2)</f>
        <v/>
      </c>
    </row>
    <row r="491">
      <c r="A491" s="10" t="n">
        <v>3</v>
      </c>
      <c r="B491" s="10" t="n">
        <v>487</v>
      </c>
      <c r="C491" s="10" t="n">
        <v>2487</v>
      </c>
      <c r="D491" s="10" t="inlineStr">
        <is>
          <t>1381100183</t>
        </is>
      </c>
      <c r="E491" s="26" t="inlineStr">
        <is>
          <t>National Capital Region (NCR)</t>
        </is>
      </c>
      <c r="F491" s="26" t="inlineStr">
        <is>
          <t>Fourth District (Not a Province)</t>
        </is>
      </c>
      <c r="G491" s="26" t="inlineStr">
        <is>
          <t>Pasay City</t>
        </is>
      </c>
      <c r="H491" s="26" t="inlineStr">
        <is>
          <t>Barangay 183</t>
        </is>
      </c>
      <c r="I491" s="27" t="n">
        <v>14.523889</v>
      </c>
      <c r="J491" s="27" t="n">
        <v>121.013056</v>
      </c>
      <c r="K491" s="10" t="inlineStr">
        <is>
          <t>U</t>
        </is>
      </c>
      <c r="L491" s="12" t="n">
        <v>38435</v>
      </c>
      <c r="M491" s="14" t="n">
        <v>3.4</v>
      </c>
      <c r="N491" s="12">
        <f>ROUND(L491/M491, 0)</f>
        <v/>
      </c>
      <c r="O491" s="12">
        <f>ROUND(N491*'Methodology &amp; Assumptions'!$B$5, 0)</f>
        <v/>
      </c>
      <c r="P491" s="10" t="inlineStr">
        <is>
          <t>Single Carrier (Band n50, 100MHz TDD)</t>
        </is>
      </c>
      <c r="Q491" s="13">
        <f>ROUNDUP(O491/'Methodology &amp; Assumptions'!$B$6, 0)</f>
        <v/>
      </c>
      <c r="R491" s="13" t="n">
        <v>1</v>
      </c>
      <c r="S491" s="14" t="n">
        <v>0.35</v>
      </c>
      <c r="T491" s="14" t="n">
        <v>0.35</v>
      </c>
      <c r="U491" s="26">
        <f>IF(X491&gt;='Methodology &amp; Assumptions'!$B$7, "Tier 1 Critical GIDA (Score ≥ 50.0)", IF(X491&gt;='Methodology &amp; Assumptions'!$B$8, "Tier 2 High GIDA (Score 40.0–49.9)", "Tier 3 Moderate GIDA (Score &lt; 40.0)"))</f>
        <v/>
      </c>
      <c r="V491" s="26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W491" s="28" t="n">
        <v>0.109</v>
      </c>
      <c r="X491" s="14" t="n">
        <v>48.66</v>
      </c>
      <c r="Y491" s="14">
        <f>ROUND(MIN(100, (X491/69.91)*100), 2)</f>
        <v/>
      </c>
    </row>
    <row r="492">
      <c r="A492" s="10" t="n">
        <v>3</v>
      </c>
      <c r="B492" s="10" t="n">
        <v>488</v>
      </c>
      <c r="C492" s="10" t="n">
        <v>2488</v>
      </c>
      <c r="D492" s="10" t="inlineStr">
        <is>
          <t>0402106041</t>
        </is>
      </c>
      <c r="E492" s="26" t="inlineStr">
        <is>
          <t>Region IV-A (CALABARZON)</t>
        </is>
      </c>
      <c r="F492" s="26" t="inlineStr">
        <is>
          <t>Cavite</t>
        </is>
      </c>
      <c r="G492" s="26" t="inlineStr">
        <is>
          <t>City of Dasmariñas</t>
        </is>
      </c>
      <c r="H492" s="26" t="inlineStr">
        <is>
          <t>Santa Cruz I</t>
        </is>
      </c>
      <c r="I492" s="27" t="n">
        <v>14.312793</v>
      </c>
      <c r="J492" s="27" t="n">
        <v>120.96065</v>
      </c>
      <c r="K492" s="10" t="inlineStr">
        <is>
          <t>U</t>
        </is>
      </c>
      <c r="L492" s="12" t="n">
        <v>5381</v>
      </c>
      <c r="M492" s="14" t="n">
        <v>3.4</v>
      </c>
      <c r="N492" s="12">
        <f>ROUND(L492/M492, 0)</f>
        <v/>
      </c>
      <c r="O492" s="12">
        <f>ROUND(N492*'Methodology &amp; Assumptions'!$B$5, 0)</f>
        <v/>
      </c>
      <c r="P492" s="10" t="inlineStr">
        <is>
          <t>Single Carrier (Band n50, 100MHz TDD)</t>
        </is>
      </c>
      <c r="Q492" s="13">
        <f>ROUNDUP(O492/'Methodology &amp; Assumptions'!$B$6, 0)</f>
        <v/>
      </c>
      <c r="R492" s="13" t="n">
        <v>1</v>
      </c>
      <c r="S492" s="14" t="n">
        <v>0.55</v>
      </c>
      <c r="T492" s="14" t="n">
        <v>1.44</v>
      </c>
      <c r="U492" s="26">
        <f>IF(X492&gt;='Methodology &amp; Assumptions'!$B$7, "Tier 1 Critical GIDA (Score ≥ 50.0)", IF(X492&gt;='Methodology &amp; Assumptions'!$B$8, "Tier 2 High GIDA (Score 40.0–49.9)", "Tier 3 Moderate GIDA (Score &lt; 40.0)"))</f>
        <v/>
      </c>
      <c r="V492" s="26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W492" s="28" t="n">
        <v>0.07200000000000001</v>
      </c>
      <c r="X492" s="14" t="n">
        <v>48.65</v>
      </c>
      <c r="Y492" s="14">
        <f>ROUND(MIN(100, (X492/69.91)*100), 2)</f>
        <v/>
      </c>
    </row>
    <row r="493">
      <c r="A493" s="10" t="n">
        <v>3</v>
      </c>
      <c r="B493" s="10" t="n">
        <v>489</v>
      </c>
      <c r="C493" s="10" t="n">
        <v>2489</v>
      </c>
      <c r="D493" s="10" t="inlineStr">
        <is>
          <t>1380606128</t>
        </is>
      </c>
      <c r="E493" s="26" t="inlineStr">
        <is>
          <t>National Capital Region (NCR)</t>
        </is>
      </c>
      <c r="F493" s="26" t="inlineStr">
        <is>
          <t>First District (Not a Province)</t>
        </is>
      </c>
      <c r="G493" s="26" t="inlineStr">
        <is>
          <t>City of Manila</t>
        </is>
      </c>
      <c r="H493" s="26" t="inlineStr">
        <is>
          <t>Barangay 522</t>
        </is>
      </c>
      <c r="I493" s="27" t="n">
        <v>12.223518</v>
      </c>
      <c r="J493" s="27" t="n">
        <v>122.338813</v>
      </c>
      <c r="K493" s="10" t="inlineStr">
        <is>
          <t>U</t>
        </is>
      </c>
      <c r="L493" s="12" t="n">
        <v>1124</v>
      </c>
      <c r="M493" s="14" t="n">
        <v>3.9</v>
      </c>
      <c r="N493" s="12">
        <f>ROUND(L493/M493, 0)</f>
        <v/>
      </c>
      <c r="O493" s="12">
        <f>ROUND(N493*'Methodology &amp; Assumptions'!$B$5, 0)</f>
        <v/>
      </c>
      <c r="P493" s="10" t="inlineStr">
        <is>
          <t>Single Carrier (Band n50, 100MHz TDD)</t>
        </is>
      </c>
      <c r="Q493" s="13">
        <f>ROUNDUP(O493/'Methodology &amp; Assumptions'!$B$6, 0)</f>
        <v/>
      </c>
      <c r="R493" s="13" t="n">
        <v>1</v>
      </c>
      <c r="S493" s="14" t="n">
        <v>52.56</v>
      </c>
      <c r="T493" s="14" t="n">
        <v>27.33</v>
      </c>
      <c r="U493" s="26">
        <f>IF(X493&gt;='Methodology &amp; Assumptions'!$B$7, "Tier 1 Critical GIDA (Score ≥ 50.0)", IF(X493&gt;='Methodology &amp; Assumptions'!$B$8, "Tier 2 High GIDA (Score 40.0–49.9)", "Tier 3 Moderate GIDA (Score &lt; 40.0)"))</f>
        <v/>
      </c>
      <c r="V493" s="26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W493" s="28" t="n">
        <v>0.109</v>
      </c>
      <c r="X493" s="14" t="n">
        <v>48.65</v>
      </c>
      <c r="Y493" s="14">
        <f>ROUND(MIN(100, (X493/69.91)*100), 2)</f>
        <v/>
      </c>
    </row>
    <row r="494">
      <c r="A494" s="10" t="n">
        <v>3</v>
      </c>
      <c r="B494" s="10" t="n">
        <v>490</v>
      </c>
      <c r="C494" s="10" t="n">
        <v>2490</v>
      </c>
      <c r="D494" s="10" t="inlineStr">
        <is>
          <t>1908702011</t>
        </is>
      </c>
      <c r="E494" s="26" t="inlineStr">
        <is>
          <t>Bangsamoro Autonomous Region In Muslim Mindanao (BARMM)</t>
        </is>
      </c>
      <c r="F494" s="26" t="inlineStr">
        <is>
          <t>Maguindanao del Norte</t>
        </is>
      </c>
      <c r="G494" s="26" t="inlineStr">
        <is>
          <t>Buldon</t>
        </is>
      </c>
      <c r="H494" s="26" t="inlineStr">
        <is>
          <t>Nuyo</t>
        </is>
      </c>
      <c r="I494" s="27" t="n">
        <v>17.254057</v>
      </c>
      <c r="J494" s="27" t="n">
        <v>122.228101</v>
      </c>
      <c r="K494" s="10" t="inlineStr">
        <is>
          <t>R</t>
        </is>
      </c>
      <c r="L494" s="12" t="n">
        <v>6458</v>
      </c>
      <c r="M494" s="14" t="n">
        <v>4.3</v>
      </c>
      <c r="N494" s="12">
        <f>ROUND(L494/M494, 0)</f>
        <v/>
      </c>
      <c r="O494" s="12">
        <f>ROUND(N494*'Methodology &amp; Assumptions'!$B$5, 0)</f>
        <v/>
      </c>
      <c r="P494" s="10" t="inlineStr">
        <is>
          <t>Single Carrier (Band n50, 100MHz TDD)</t>
        </is>
      </c>
      <c r="Q494" s="13">
        <f>ROUNDUP(O494/'Methodology &amp; Assumptions'!$B$6, 0)</f>
        <v/>
      </c>
      <c r="R494" s="13" t="n">
        <v>1</v>
      </c>
      <c r="S494" s="14" t="n">
        <v>29.3</v>
      </c>
      <c r="T494" s="14" t="n">
        <v>34.19</v>
      </c>
      <c r="U494" s="26">
        <f>IF(X494&gt;='Methodology &amp; Assumptions'!$B$7, "Tier 1 Critical GIDA (Score ≥ 50.0)", IF(X494&gt;='Methodology &amp; Assumptions'!$B$8, "Tier 2 High GIDA (Score 40.0–49.9)", "Tier 3 Moderate GIDA (Score &lt; 40.0)"))</f>
        <v/>
      </c>
      <c r="V494" s="26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W494" s="28" t="n">
        <v>0.11</v>
      </c>
      <c r="X494" s="14" t="n">
        <v>48.65</v>
      </c>
      <c r="Y494" s="14">
        <f>ROUND(MIN(100, (X494/69.91)*100), 2)</f>
        <v/>
      </c>
    </row>
    <row r="495">
      <c r="A495" s="10" t="n">
        <v>3</v>
      </c>
      <c r="B495" s="10" t="n">
        <v>491</v>
      </c>
      <c r="C495" s="10" t="n">
        <v>2491</v>
      </c>
      <c r="D495" s="10" t="inlineStr">
        <is>
          <t>1380612009</t>
        </is>
      </c>
      <c r="E495" s="26" t="inlineStr">
        <is>
          <t>National Capital Region (NCR)</t>
        </is>
      </c>
      <c r="F495" s="26" t="inlineStr">
        <is>
          <t>First District (Not a Province)</t>
        </is>
      </c>
      <c r="G495" s="26" t="inlineStr">
        <is>
          <t>City of Manila</t>
        </is>
      </c>
      <c r="H495" s="26" t="inlineStr">
        <is>
          <t>Barangay 841</t>
        </is>
      </c>
      <c r="I495" s="27" t="n">
        <v>12.991683</v>
      </c>
      <c r="J495" s="27" t="n">
        <v>120.901452</v>
      </c>
      <c r="K495" s="10" t="inlineStr">
        <is>
          <t>U</t>
        </is>
      </c>
      <c r="L495" s="12" t="n">
        <v>2318</v>
      </c>
      <c r="M495" s="14" t="n">
        <v>3.9</v>
      </c>
      <c r="N495" s="12">
        <f>ROUND(L495/M495, 0)</f>
        <v/>
      </c>
      <c r="O495" s="12">
        <f>ROUND(N495*'Methodology &amp; Assumptions'!$B$5, 0)</f>
        <v/>
      </c>
      <c r="P495" s="10" t="inlineStr">
        <is>
          <t>Single Carrier (Band n50, 100MHz TDD)</t>
        </is>
      </c>
      <c r="Q495" s="13">
        <f>ROUNDUP(O495/'Methodology &amp; Assumptions'!$B$6, 0)</f>
        <v/>
      </c>
      <c r="R495" s="13" t="n">
        <v>1</v>
      </c>
      <c r="S495" s="14" t="n">
        <v>45.41</v>
      </c>
      <c r="T495" s="14" t="n">
        <v>44.42</v>
      </c>
      <c r="U495" s="26">
        <f>IF(X495&gt;='Methodology &amp; Assumptions'!$B$7, "Tier 1 Critical GIDA (Score ≥ 50.0)", IF(X495&gt;='Methodology &amp; Assumptions'!$B$8, "Tier 2 High GIDA (Score 40.0–49.9)", "Tier 3 Moderate GIDA (Score &lt; 40.0)"))</f>
        <v/>
      </c>
      <c r="V495" s="26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W495" s="28" t="n">
        <v>0.109</v>
      </c>
      <c r="X495" s="14" t="n">
        <v>48.65</v>
      </c>
      <c r="Y495" s="14">
        <f>ROUND(MIN(100, (X495/69.91)*100), 2)</f>
        <v/>
      </c>
    </row>
    <row r="496">
      <c r="A496" s="10" t="n">
        <v>3</v>
      </c>
      <c r="B496" s="10" t="n">
        <v>492</v>
      </c>
      <c r="C496" s="10" t="n">
        <v>2492</v>
      </c>
      <c r="D496" s="10" t="inlineStr">
        <is>
          <t>PH0002492</t>
        </is>
      </c>
      <c r="E496" s="26" t="inlineStr">
        <is>
          <t>NCR</t>
        </is>
      </c>
      <c r="F496" s="26" t="inlineStr">
        <is>
          <t>Metro Manila</t>
        </is>
      </c>
      <c r="G496" s="26" t="inlineStr">
        <is>
          <t>Caloocan City</t>
        </is>
      </c>
      <c r="H496" s="26" t="inlineStr">
        <is>
          <t>Barangay 38</t>
        </is>
      </c>
      <c r="I496" s="27" t="n">
        <v>13.424944</v>
      </c>
      <c r="J496" s="27" t="n">
        <v>123.12431</v>
      </c>
      <c r="K496" s="10" t="inlineStr">
        <is>
          <t>R</t>
        </is>
      </c>
      <c r="L496" s="12" t="n">
        <v>2279</v>
      </c>
      <c r="M496" s="14" t="n">
        <v>3.8</v>
      </c>
      <c r="N496" s="12">
        <f>ROUND(L496/M496, 0)</f>
        <v/>
      </c>
      <c r="O496" s="12">
        <f>ROUND(N496*'Methodology &amp; Assumptions'!$B$5, 0)</f>
        <v/>
      </c>
      <c r="P496" s="10" t="inlineStr">
        <is>
          <t>Single Carrier (Band n50, 100MHz TDD)</t>
        </is>
      </c>
      <c r="Q496" s="13">
        <f>ROUNDUP(O496/'Methodology &amp; Assumptions'!$B$6, 0)</f>
        <v/>
      </c>
      <c r="R496" s="13" t="n">
        <v>1</v>
      </c>
      <c r="S496" s="14" t="n">
        <v>12.71</v>
      </c>
      <c r="T496" s="14" t="n">
        <v>12.69</v>
      </c>
      <c r="U496" s="26">
        <f>IF(X496&gt;='Methodology &amp; Assumptions'!$B$7, "Tier 1 Critical GIDA (Score ≥ 50.0)", IF(X496&gt;='Methodology &amp; Assumptions'!$B$8, "Tier 2 High GIDA (Score 40.0–49.9)", "Tier 3 Moderate GIDA (Score &lt; 40.0)"))</f>
        <v/>
      </c>
      <c r="V496" s="26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W496" s="28" t="n">
        <v>0.011</v>
      </c>
      <c r="X496" s="14" t="n">
        <v>48.65</v>
      </c>
      <c r="Y496" s="14">
        <f>ROUND(MIN(100, (X496/69.91)*100), 2)</f>
        <v/>
      </c>
    </row>
    <row r="497">
      <c r="A497" s="10" t="n">
        <v>3</v>
      </c>
      <c r="B497" s="10" t="n">
        <v>493</v>
      </c>
      <c r="C497" s="10" t="n">
        <v>2493</v>
      </c>
      <c r="D497" s="10" t="inlineStr">
        <is>
          <t>1380610047</t>
        </is>
      </c>
      <c r="E497" s="26" t="inlineStr">
        <is>
          <t>National Capital Region (NCR)</t>
        </is>
      </c>
      <c r="F497" s="26" t="inlineStr">
        <is>
          <t>First District (Not a Province)</t>
        </is>
      </c>
      <c r="G497" s="26" t="inlineStr">
        <is>
          <t>City of Manila</t>
        </is>
      </c>
      <c r="H497" s="26" t="inlineStr">
        <is>
          <t>Barangay 732</t>
        </is>
      </c>
      <c r="I497" s="27" t="n">
        <v>13.372565</v>
      </c>
      <c r="J497" s="27" t="n">
        <v>122.496051</v>
      </c>
      <c r="K497" s="10" t="inlineStr">
        <is>
          <t>U</t>
        </is>
      </c>
      <c r="L497" s="12" t="n">
        <v>2034</v>
      </c>
      <c r="M497" s="14" t="n">
        <v>3.9</v>
      </c>
      <c r="N497" s="12">
        <f>ROUND(L497/M497, 0)</f>
        <v/>
      </c>
      <c r="O497" s="12">
        <f>ROUND(N497*'Methodology &amp; Assumptions'!$B$5, 0)</f>
        <v/>
      </c>
      <c r="P497" s="10" t="inlineStr">
        <is>
          <t>Single Carrier (Band n50, 100MHz TDD)</t>
        </is>
      </c>
      <c r="Q497" s="13">
        <f>ROUNDUP(O497/'Methodology &amp; Assumptions'!$B$6, 0)</f>
        <v/>
      </c>
      <c r="R497" s="13" t="n">
        <v>1</v>
      </c>
      <c r="S497" s="14" t="n">
        <v>3.86</v>
      </c>
      <c r="T497" s="14" t="n">
        <v>19.98</v>
      </c>
      <c r="U497" s="26">
        <f>IF(X497&gt;='Methodology &amp; Assumptions'!$B$7, "Tier 1 Critical GIDA (Score ≥ 50.0)", IF(X497&gt;='Methodology &amp; Assumptions'!$B$8, "Tier 2 High GIDA (Score 40.0–49.9)", "Tier 3 Moderate GIDA (Score &lt; 40.0)"))</f>
        <v/>
      </c>
      <c r="V497" s="26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W497" s="28" t="n">
        <v>0.109</v>
      </c>
      <c r="X497" s="14" t="n">
        <v>48.65</v>
      </c>
      <c r="Y497" s="14">
        <f>ROUND(MIN(100, (X497/69.91)*100), 2)</f>
        <v/>
      </c>
    </row>
    <row r="498">
      <c r="A498" s="10" t="n">
        <v>3</v>
      </c>
      <c r="B498" s="10" t="n">
        <v>494</v>
      </c>
      <c r="C498" s="10" t="n">
        <v>2494</v>
      </c>
      <c r="D498" s="10" t="inlineStr">
        <is>
          <t>0806007072</t>
        </is>
      </c>
      <c r="E498" s="26" t="inlineStr">
        <is>
          <t>Region VIII (Eastern Visayas)</t>
        </is>
      </c>
      <c r="F498" s="26" t="inlineStr">
        <is>
          <t>Samar</t>
        </is>
      </c>
      <c r="G498" s="26" t="inlineStr">
        <is>
          <t>Gandara</t>
        </is>
      </c>
      <c r="H498" s="26" t="inlineStr">
        <is>
          <t>San Antonio</t>
        </is>
      </c>
      <c r="I498" s="27" t="n">
        <v>12.1424</v>
      </c>
      <c r="J498" s="27" t="n">
        <v>124.82609</v>
      </c>
      <c r="K498" s="10" t="inlineStr">
        <is>
          <t>R</t>
        </is>
      </c>
      <c r="L498" s="12" t="n">
        <v>581</v>
      </c>
      <c r="M498" s="14" t="n">
        <v>4.1</v>
      </c>
      <c r="N498" s="12">
        <f>ROUND(L498/M498, 0)</f>
        <v/>
      </c>
      <c r="O498" s="12">
        <f>ROUND(N498*'Methodology &amp; Assumptions'!$B$5, 0)</f>
        <v/>
      </c>
      <c r="P498" s="10" t="inlineStr">
        <is>
          <t>Single Carrier (Band n50, 100MHz TDD)</t>
        </is>
      </c>
      <c r="Q498" s="13">
        <f>ROUNDUP(O498/'Methodology &amp; Assumptions'!$B$6, 0)</f>
        <v/>
      </c>
      <c r="R498" s="13" t="n">
        <v>1</v>
      </c>
      <c r="S498" s="14" t="n">
        <v>94.73999999999999</v>
      </c>
      <c r="T498" s="14" t="n">
        <v>94.73</v>
      </c>
      <c r="U498" s="26">
        <f>IF(X498&gt;='Methodology &amp; Assumptions'!$B$7, "Tier 1 Critical GIDA (Score ≥ 50.0)", IF(X498&gt;='Methodology &amp; Assumptions'!$B$8, "Tier 2 High GIDA (Score 40.0–49.9)", "Tier 3 Moderate GIDA (Score &lt; 40.0)"))</f>
        <v/>
      </c>
      <c r="V498" s="26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W498" s="28" t="n">
        <v>0.237</v>
      </c>
      <c r="X498" s="14" t="n">
        <v>48.64</v>
      </c>
      <c r="Y498" s="14">
        <f>ROUND(MIN(100, (X498/69.91)*100), 2)</f>
        <v/>
      </c>
    </row>
    <row r="499">
      <c r="A499" s="10" t="n">
        <v>3</v>
      </c>
      <c r="B499" s="10" t="n">
        <v>495</v>
      </c>
      <c r="C499" s="10" t="n">
        <v>2495</v>
      </c>
      <c r="D499" s="10" t="inlineStr">
        <is>
          <t>1381300106</t>
        </is>
      </c>
      <c r="E499" s="26" t="inlineStr">
        <is>
          <t>National Capital Region (NCR)</t>
        </is>
      </c>
      <c r="F499" s="26" t="inlineStr">
        <is>
          <t>Second District (Not a Province)</t>
        </is>
      </c>
      <c r="G499" s="26" t="inlineStr">
        <is>
          <t>Quezon City</t>
        </is>
      </c>
      <c r="H499" s="26" t="inlineStr">
        <is>
          <t>Santa Monica</t>
        </is>
      </c>
      <c r="I499" s="27" t="n">
        <v>14.722661</v>
      </c>
      <c r="J499" s="27" t="n">
        <v>121.04689</v>
      </c>
      <c r="K499" s="10" t="inlineStr">
        <is>
          <t>U</t>
        </is>
      </c>
      <c r="L499" s="12" t="n">
        <v>54009</v>
      </c>
      <c r="M499" s="14" t="n">
        <v>3.8</v>
      </c>
      <c r="N499" s="12">
        <f>ROUND(L499/M499, 0)</f>
        <v/>
      </c>
      <c r="O499" s="12">
        <f>ROUND(N499*'Methodology &amp; Assumptions'!$B$5, 0)</f>
        <v/>
      </c>
      <c r="P499" s="10" t="inlineStr">
        <is>
          <t>Single Carrier (Band n50, 100MHz TDD)</t>
        </is>
      </c>
      <c r="Q499" s="13">
        <f>ROUNDUP(O499/'Methodology &amp; Assumptions'!$B$6, 0)</f>
        <v/>
      </c>
      <c r="R499" s="13" t="n">
        <v>1</v>
      </c>
      <c r="S499" s="14" t="n">
        <v>0.53</v>
      </c>
      <c r="T499" s="14" t="n">
        <v>0.44</v>
      </c>
      <c r="U499" s="26">
        <f>IF(X499&gt;='Methodology &amp; Assumptions'!$B$7, "Tier 1 Critical GIDA (Score ≥ 50.0)", IF(X499&gt;='Methodology &amp; Assumptions'!$B$8, "Tier 2 High GIDA (Score 40.0–49.9)", "Tier 3 Moderate GIDA (Score &lt; 40.0)"))</f>
        <v/>
      </c>
      <c r="V499" s="26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W499" s="28" t="n">
        <v>0.109</v>
      </c>
      <c r="X499" s="14" t="n">
        <v>48.64</v>
      </c>
      <c r="Y499" s="14">
        <f>ROUND(MIN(100, (X499/69.91)*100), 2)</f>
        <v/>
      </c>
    </row>
    <row r="500">
      <c r="A500" s="10" t="n">
        <v>3</v>
      </c>
      <c r="B500" s="10" t="n">
        <v>496</v>
      </c>
      <c r="C500" s="10" t="n">
        <v>2496</v>
      </c>
      <c r="D500" s="10" t="inlineStr">
        <is>
          <t>1381100133</t>
        </is>
      </c>
      <c r="E500" s="26" t="inlineStr">
        <is>
          <t>National Capital Region (NCR)</t>
        </is>
      </c>
      <c r="F500" s="26" t="inlineStr">
        <is>
          <t>Fourth District (Not a Province)</t>
        </is>
      </c>
      <c r="G500" s="26" t="inlineStr">
        <is>
          <t>Pasay City</t>
        </is>
      </c>
      <c r="H500" s="26" t="inlineStr">
        <is>
          <t>Barangay 133</t>
        </is>
      </c>
      <c r="I500" s="27" t="n">
        <v>14.676014</v>
      </c>
      <c r="J500" s="27" t="n">
        <v>120.886602</v>
      </c>
      <c r="K500" s="10" t="inlineStr">
        <is>
          <t>U</t>
        </is>
      </c>
      <c r="L500" s="12" t="n">
        <v>2284</v>
      </c>
      <c r="M500" s="14" t="n">
        <v>3.4</v>
      </c>
      <c r="N500" s="12">
        <f>ROUND(L500/M500, 0)</f>
        <v/>
      </c>
      <c r="O500" s="12">
        <f>ROUND(N500*'Methodology &amp; Assumptions'!$B$5, 0)</f>
        <v/>
      </c>
      <c r="P500" s="10" t="inlineStr">
        <is>
          <t>Single Carrier (Band n50, 100MHz TDD)</t>
        </is>
      </c>
      <c r="Q500" s="13">
        <f>ROUNDUP(O500/'Methodology &amp; Assumptions'!$B$6, 0)</f>
        <v/>
      </c>
      <c r="R500" s="13" t="n">
        <v>1</v>
      </c>
      <c r="S500" s="14" t="n">
        <v>5.96</v>
      </c>
      <c r="T500" s="14" t="n">
        <v>5.94</v>
      </c>
      <c r="U500" s="26">
        <f>IF(X500&gt;='Methodology &amp; Assumptions'!$B$7, "Tier 1 Critical GIDA (Score ≥ 50.0)", IF(X500&gt;='Methodology &amp; Assumptions'!$B$8, "Tier 2 High GIDA (Score 40.0–49.9)", "Tier 3 Moderate GIDA (Score &lt; 40.0)"))</f>
        <v/>
      </c>
      <c r="V500" s="26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W500" s="28" t="n">
        <v>0.109</v>
      </c>
      <c r="X500" s="14" t="n">
        <v>48.64</v>
      </c>
      <c r="Y500" s="14">
        <f>ROUND(MIN(100, (X500/69.91)*100), 2)</f>
        <v/>
      </c>
    </row>
    <row r="501">
      <c r="A501" s="10" t="n">
        <v>3</v>
      </c>
      <c r="B501" s="10" t="n">
        <v>497</v>
      </c>
      <c r="C501" s="10" t="n">
        <v>2497</v>
      </c>
      <c r="D501" s="10" t="inlineStr">
        <is>
          <t>PH0002497</t>
        </is>
      </c>
      <c r="E501" s="26" t="inlineStr">
        <is>
          <t>VI</t>
        </is>
      </c>
      <c r="F501" s="26" t="inlineStr">
        <is>
          <t>Iloilo</t>
        </is>
      </c>
      <c r="G501" s="26" t="inlineStr">
        <is>
          <t>Iloilo City</t>
        </is>
      </c>
      <c r="H501" s="26" t="inlineStr">
        <is>
          <t>Molo Boulevard</t>
        </is>
      </c>
      <c r="I501" s="27" t="n">
        <v>10.618673</v>
      </c>
      <c r="J501" s="27" t="n">
        <v>122.469245</v>
      </c>
      <c r="K501" s="10" t="inlineStr">
        <is>
          <t>R</t>
        </is>
      </c>
      <c r="L501" s="12" t="n">
        <v>2230</v>
      </c>
      <c r="M501" s="14" t="n">
        <v>3.8</v>
      </c>
      <c r="N501" s="12">
        <f>ROUND(L501/M501, 0)</f>
        <v/>
      </c>
      <c r="O501" s="12">
        <f>ROUND(N501*'Methodology &amp; Assumptions'!$B$5, 0)</f>
        <v/>
      </c>
      <c r="P501" s="10" t="inlineStr">
        <is>
          <t>Single Carrier (Band n50, 100MHz TDD)</t>
        </is>
      </c>
      <c r="Q501" s="13">
        <f>ROUNDUP(O501/'Methodology &amp; Assumptions'!$B$6, 0)</f>
        <v/>
      </c>
      <c r="R501" s="13" t="n">
        <v>1</v>
      </c>
      <c r="S501" s="14" t="n">
        <v>8.35</v>
      </c>
      <c r="T501" s="14" t="n">
        <v>8.039999999999999</v>
      </c>
      <c r="U501" s="26">
        <f>IF(X501&gt;='Methodology &amp; Assumptions'!$B$7, "Tier 1 Critical GIDA (Score ≥ 50.0)", IF(X501&gt;='Methodology &amp; Assumptions'!$B$8, "Tier 2 High GIDA (Score 40.0–49.9)", "Tier 3 Moderate GIDA (Score &lt; 40.0)"))</f>
        <v/>
      </c>
      <c r="V501" s="26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W501" s="28" t="n">
        <v>0.156</v>
      </c>
      <c r="X501" s="14" t="n">
        <v>48.64</v>
      </c>
      <c r="Y501" s="14">
        <f>ROUND(MIN(100, (X501/69.91)*100), 2)</f>
        <v/>
      </c>
    </row>
    <row r="502">
      <c r="A502" s="10" t="n">
        <v>3</v>
      </c>
      <c r="B502" s="10" t="n">
        <v>498</v>
      </c>
      <c r="C502" s="10" t="n">
        <v>2498</v>
      </c>
      <c r="D502" s="10" t="inlineStr">
        <is>
          <t>1380601229</t>
        </is>
      </c>
      <c r="E502" s="26" t="inlineStr">
        <is>
          <t>National Capital Region (NCR)</t>
        </is>
      </c>
      <c r="F502" s="26" t="inlineStr">
        <is>
          <t>First District (Not a Province)</t>
        </is>
      </c>
      <c r="G502" s="26" t="inlineStr">
        <is>
          <t>City of Manila</t>
        </is>
      </c>
      <c r="H502" s="26" t="inlineStr">
        <is>
          <t>Barangay 228</t>
        </is>
      </c>
      <c r="I502" s="27" t="n">
        <v>12.039466</v>
      </c>
      <c r="J502" s="27" t="n">
        <v>121.582917</v>
      </c>
      <c r="K502" s="10" t="inlineStr">
        <is>
          <t>U</t>
        </is>
      </c>
      <c r="L502" s="12" t="n">
        <v>3101</v>
      </c>
      <c r="M502" s="14" t="n">
        <v>3.9</v>
      </c>
      <c r="N502" s="12">
        <f>ROUND(L502/M502, 0)</f>
        <v/>
      </c>
      <c r="O502" s="12">
        <f>ROUND(N502*'Methodology &amp; Assumptions'!$B$5, 0)</f>
        <v/>
      </c>
      <c r="P502" s="10" t="inlineStr">
        <is>
          <t>Single Carrier (Band n50, 100MHz TDD)</t>
        </is>
      </c>
      <c r="Q502" s="13">
        <f>ROUNDUP(O502/'Methodology &amp; Assumptions'!$B$6, 0)</f>
        <v/>
      </c>
      <c r="R502" s="13" t="n">
        <v>1</v>
      </c>
      <c r="S502" s="14" t="n">
        <v>40.75</v>
      </c>
      <c r="T502" s="14" t="n">
        <v>28.47</v>
      </c>
      <c r="U502" s="26">
        <f>IF(X502&gt;='Methodology &amp; Assumptions'!$B$7, "Tier 1 Critical GIDA (Score ≥ 50.0)", IF(X502&gt;='Methodology &amp; Assumptions'!$B$8, "Tier 2 High GIDA (Score 40.0–49.9)", "Tier 3 Moderate GIDA (Score &lt; 40.0)"))</f>
        <v/>
      </c>
      <c r="V502" s="26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W502" s="28" t="n">
        <v>0.109</v>
      </c>
      <c r="X502" s="14" t="n">
        <v>48.64</v>
      </c>
      <c r="Y502" s="14">
        <f>ROUND(MIN(100, (X502/69.91)*100), 2)</f>
        <v/>
      </c>
    </row>
    <row r="503">
      <c r="A503" s="10" t="n">
        <v>3</v>
      </c>
      <c r="B503" s="10" t="n">
        <v>499</v>
      </c>
      <c r="C503" s="10" t="n">
        <v>2499</v>
      </c>
      <c r="D503" s="10" t="inlineStr">
        <is>
          <t>1380500024</t>
        </is>
      </c>
      <c r="E503" s="26" t="inlineStr">
        <is>
          <t>National Capital Region (NCR)</t>
        </is>
      </c>
      <c r="F503" s="26" t="inlineStr">
        <is>
          <t>Second District (Not a Province)</t>
        </is>
      </c>
      <c r="G503" s="26" t="inlineStr">
        <is>
          <t>City of Mandaluyong</t>
        </is>
      </c>
      <c r="H503" s="26" t="inlineStr">
        <is>
          <t>Poblacion</t>
        </is>
      </c>
      <c r="I503" s="27" t="n">
        <v>14.586491</v>
      </c>
      <c r="J503" s="27" t="n">
        <v>121.024876</v>
      </c>
      <c r="K503" s="10" t="inlineStr">
        <is>
          <t>U</t>
        </is>
      </c>
      <c r="L503" s="12" t="n">
        <v>17873</v>
      </c>
      <c r="M503" s="14" t="n">
        <v>3.3</v>
      </c>
      <c r="N503" s="12">
        <f>ROUND(L503/M503, 0)</f>
        <v/>
      </c>
      <c r="O503" s="12">
        <f>ROUND(N503*'Methodology &amp; Assumptions'!$B$5, 0)</f>
        <v/>
      </c>
      <c r="P503" s="10" t="inlineStr">
        <is>
          <t>Single Carrier (Band n50, 100MHz TDD)</t>
        </is>
      </c>
      <c r="Q503" s="13">
        <f>ROUNDUP(O503/'Methodology &amp; Assumptions'!$B$6, 0)</f>
        <v/>
      </c>
      <c r="R503" s="13" t="n">
        <v>1</v>
      </c>
      <c r="S503" s="14" t="n">
        <v>0.47</v>
      </c>
      <c r="T503" s="14" t="n">
        <v>0.38</v>
      </c>
      <c r="U503" s="26">
        <f>IF(X503&gt;='Methodology &amp; Assumptions'!$B$7, "Tier 1 Critical GIDA (Score ≥ 50.0)", IF(X503&gt;='Methodology &amp; Assumptions'!$B$8, "Tier 2 High GIDA (Score 40.0–49.9)", "Tier 3 Moderate GIDA (Score &lt; 40.0)"))</f>
        <v/>
      </c>
      <c r="V503" s="26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W503" s="28" t="n">
        <v>0.109</v>
      </c>
      <c r="X503" s="14" t="n">
        <v>48.64</v>
      </c>
      <c r="Y503" s="14">
        <f>ROUND(MIN(100, (X503/69.91)*100), 2)</f>
        <v/>
      </c>
    </row>
    <row r="504">
      <c r="A504" s="10" t="n">
        <v>3</v>
      </c>
      <c r="B504" s="10" t="n">
        <v>500</v>
      </c>
      <c r="C504" s="10" t="n">
        <v>2500</v>
      </c>
      <c r="D504" s="10" t="inlineStr">
        <is>
          <t>1380601258</t>
        </is>
      </c>
      <c r="E504" s="26" t="inlineStr">
        <is>
          <t>National Capital Region (NCR)</t>
        </is>
      </c>
      <c r="F504" s="26" t="inlineStr">
        <is>
          <t>First District (Not a Province)</t>
        </is>
      </c>
      <c r="G504" s="26" t="inlineStr">
        <is>
          <t>City of Manila</t>
        </is>
      </c>
      <c r="H504" s="26" t="inlineStr">
        <is>
          <t>Barangay 257</t>
        </is>
      </c>
      <c r="I504" s="27" t="n">
        <v>13.6262</v>
      </c>
      <c r="J504" s="27" t="n">
        <v>121.331885</v>
      </c>
      <c r="K504" s="10" t="inlineStr">
        <is>
          <t>U</t>
        </is>
      </c>
      <c r="L504" s="12" t="n">
        <v>1348</v>
      </c>
      <c r="M504" s="14" t="n">
        <v>3.9</v>
      </c>
      <c r="N504" s="12">
        <f>ROUND(L504/M504, 0)</f>
        <v/>
      </c>
      <c r="O504" s="12">
        <f>ROUND(N504*'Methodology &amp; Assumptions'!$B$5, 0)</f>
        <v/>
      </c>
      <c r="P504" s="10" t="inlineStr">
        <is>
          <t>Single Carrier (Band n50, 100MHz TDD)</t>
        </is>
      </c>
      <c r="Q504" s="13">
        <f>ROUNDUP(O504/'Methodology &amp; Assumptions'!$B$6, 0)</f>
        <v/>
      </c>
      <c r="R504" s="13" t="n">
        <v>1</v>
      </c>
      <c r="S504" s="14" t="n">
        <v>13.44</v>
      </c>
      <c r="T504" s="14" t="n">
        <v>20.18</v>
      </c>
      <c r="U504" s="26">
        <f>IF(X504&gt;='Methodology &amp; Assumptions'!$B$7, "Tier 1 Critical GIDA (Score ≥ 50.0)", IF(X504&gt;='Methodology &amp; Assumptions'!$B$8, "Tier 2 High GIDA (Score 40.0–49.9)", "Tier 3 Moderate GIDA (Score &lt; 40.0)"))</f>
        <v/>
      </c>
      <c r="V504" s="26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W504" s="28" t="n">
        <v>0.109</v>
      </c>
      <c r="X504" s="14" t="n">
        <v>48.64</v>
      </c>
      <c r="Y504" s="14">
        <f>ROUND(MIN(100, (X504/69.91)*100), 2)</f>
        <v/>
      </c>
    </row>
    <row r="505">
      <c r="A505" s="10" t="n">
        <v>3</v>
      </c>
      <c r="B505" s="10" t="n">
        <v>501</v>
      </c>
      <c r="C505" s="10" t="n">
        <v>2501</v>
      </c>
      <c r="D505" s="10" t="inlineStr">
        <is>
          <t>1381100111</t>
        </is>
      </c>
      <c r="E505" s="26" t="inlineStr">
        <is>
          <t>National Capital Region (NCR)</t>
        </is>
      </c>
      <c r="F505" s="26" t="inlineStr">
        <is>
          <t>Fourth District (Not a Province)</t>
        </is>
      </c>
      <c r="G505" s="26" t="inlineStr">
        <is>
          <t>Pasay City</t>
        </is>
      </c>
      <c r="H505" s="26" t="inlineStr">
        <is>
          <t>Barangay 111</t>
        </is>
      </c>
      <c r="I505" s="27" t="n">
        <v>14.517723</v>
      </c>
      <c r="J505" s="27" t="n">
        <v>121.185728</v>
      </c>
      <c r="K505" s="10" t="inlineStr">
        <is>
          <t>U</t>
        </is>
      </c>
      <c r="L505" s="12" t="n">
        <v>1315</v>
      </c>
      <c r="M505" s="14" t="n">
        <v>3.4</v>
      </c>
      <c r="N505" s="12">
        <f>ROUND(L505/M505, 0)</f>
        <v/>
      </c>
      <c r="O505" s="12">
        <f>ROUND(N505*'Methodology &amp; Assumptions'!$B$5, 0)</f>
        <v/>
      </c>
      <c r="P505" s="10" t="inlineStr">
        <is>
          <t>Single Carrier (Band n50, 100MHz TDD)</t>
        </is>
      </c>
      <c r="Q505" s="13">
        <f>ROUNDUP(O505/'Methodology &amp; Assumptions'!$B$6, 0)</f>
        <v/>
      </c>
      <c r="R505" s="13" t="n">
        <v>1</v>
      </c>
      <c r="S505" s="14" t="n">
        <v>2.5</v>
      </c>
      <c r="T505" s="14" t="n">
        <v>2.29</v>
      </c>
      <c r="U505" s="26">
        <f>IF(X505&gt;='Methodology &amp; Assumptions'!$B$7, "Tier 1 Critical GIDA (Score ≥ 50.0)", IF(X505&gt;='Methodology &amp; Assumptions'!$B$8, "Tier 2 High GIDA (Score 40.0–49.9)", "Tier 3 Moderate GIDA (Score &lt; 40.0)"))</f>
        <v/>
      </c>
      <c r="V505" s="26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W505" s="28" t="n">
        <v>0.109</v>
      </c>
      <c r="X505" s="14" t="n">
        <v>48.64</v>
      </c>
      <c r="Y505" s="14">
        <f>ROUND(MIN(100, (X505/69.91)*100), 2)</f>
        <v/>
      </c>
    </row>
    <row r="506">
      <c r="A506" s="10" t="n">
        <v>3</v>
      </c>
      <c r="B506" s="10" t="n">
        <v>502</v>
      </c>
      <c r="C506" s="10" t="n">
        <v>2502</v>
      </c>
      <c r="D506" s="10" t="inlineStr">
        <is>
          <t>1381100171</t>
        </is>
      </c>
      <c r="E506" s="26" t="inlineStr">
        <is>
          <t>National Capital Region (NCR)</t>
        </is>
      </c>
      <c r="F506" s="26" t="inlineStr">
        <is>
          <t>Fourth District (Not a Province)</t>
        </is>
      </c>
      <c r="G506" s="26" t="inlineStr">
        <is>
          <t>Pasay City</t>
        </is>
      </c>
      <c r="H506" s="26" t="inlineStr">
        <is>
          <t>Barangay 171</t>
        </is>
      </c>
      <c r="I506" s="27" t="n">
        <v>14.438216</v>
      </c>
      <c r="J506" s="27" t="n">
        <v>120.852186</v>
      </c>
      <c r="K506" s="10" t="inlineStr">
        <is>
          <t>U</t>
        </is>
      </c>
      <c r="L506" s="12" t="n">
        <v>3486</v>
      </c>
      <c r="M506" s="14" t="n">
        <v>3.4</v>
      </c>
      <c r="N506" s="12">
        <f>ROUND(L506/M506, 0)</f>
        <v/>
      </c>
      <c r="O506" s="12">
        <f>ROUND(N506*'Methodology &amp; Assumptions'!$B$5, 0)</f>
        <v/>
      </c>
      <c r="P506" s="10" t="inlineStr">
        <is>
          <t>Single Carrier (Band n50, 100MHz TDD)</t>
        </is>
      </c>
      <c r="Q506" s="13">
        <f>ROUNDUP(O506/'Methodology &amp; Assumptions'!$B$6, 0)</f>
        <v/>
      </c>
      <c r="R506" s="13" t="n">
        <v>1</v>
      </c>
      <c r="S506" s="14" t="n">
        <v>3.46</v>
      </c>
      <c r="T506" s="14" t="n">
        <v>3.42</v>
      </c>
      <c r="U506" s="26">
        <f>IF(X506&gt;='Methodology &amp; Assumptions'!$B$7, "Tier 1 Critical GIDA (Score ≥ 50.0)", IF(X506&gt;='Methodology &amp; Assumptions'!$B$8, "Tier 2 High GIDA (Score 40.0–49.9)", "Tier 3 Moderate GIDA (Score &lt; 40.0)"))</f>
        <v/>
      </c>
      <c r="V506" s="26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W506" s="28" t="n">
        <v>0.109</v>
      </c>
      <c r="X506" s="14" t="n">
        <v>48.64</v>
      </c>
      <c r="Y506" s="14">
        <f>ROUND(MIN(100, (X506/69.91)*100), 2)</f>
        <v/>
      </c>
    </row>
    <row r="507">
      <c r="A507" s="10" t="n">
        <v>3</v>
      </c>
      <c r="B507" s="10" t="n">
        <v>503</v>
      </c>
      <c r="C507" s="10" t="n">
        <v>2503</v>
      </c>
      <c r="D507" s="10" t="inlineStr">
        <is>
          <t>0806011010</t>
        </is>
      </c>
      <c r="E507" s="26" t="inlineStr">
        <is>
          <t>Region VIII (Eastern Visayas)</t>
        </is>
      </c>
      <c r="F507" s="26" t="inlineStr">
        <is>
          <t>Samar</t>
        </is>
      </c>
      <c r="G507" s="26" t="inlineStr">
        <is>
          <t>Matuguinao</t>
        </is>
      </c>
      <c r="H507" s="26" t="inlineStr">
        <is>
          <t>Ligaya</t>
        </is>
      </c>
      <c r="I507" s="27" t="n">
        <v>12.156697</v>
      </c>
      <c r="J507" s="27" t="n">
        <v>124.884706</v>
      </c>
      <c r="K507" s="10" t="inlineStr">
        <is>
          <t>R</t>
        </is>
      </c>
      <c r="L507" s="12" t="n">
        <v>87</v>
      </c>
      <c r="M507" s="14" t="n">
        <v>4.1</v>
      </c>
      <c r="N507" s="12">
        <f>ROUND(L507/M507, 0)</f>
        <v/>
      </c>
      <c r="O507" s="12">
        <f>ROUND(N507*'Methodology &amp; Assumptions'!$B$5, 0)</f>
        <v/>
      </c>
      <c r="P507" s="10" t="inlineStr">
        <is>
          <t>Single Carrier (Band n50, 100MHz TDD)</t>
        </is>
      </c>
      <c r="Q507" s="13">
        <f>ROUNDUP(O507/'Methodology &amp; Assumptions'!$B$6, 0)</f>
        <v/>
      </c>
      <c r="R507" s="13" t="n">
        <v>1</v>
      </c>
      <c r="S507" s="14" t="n">
        <v>97.63</v>
      </c>
      <c r="T507" s="14" t="n">
        <v>97.59</v>
      </c>
      <c r="U507" s="26">
        <f>IF(X507&gt;='Methodology &amp; Assumptions'!$B$7, "Tier 1 Critical GIDA (Score ≥ 50.0)", IF(X507&gt;='Methodology &amp; Assumptions'!$B$8, "Tier 2 High GIDA (Score 40.0–49.9)", "Tier 3 Moderate GIDA (Score &lt; 40.0)"))</f>
        <v/>
      </c>
      <c r="V507" s="26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W507" s="28" t="n">
        <v>0.237</v>
      </c>
      <c r="X507" s="14" t="n">
        <v>48.64</v>
      </c>
      <c r="Y507" s="14">
        <f>ROUND(MIN(100, (X507/69.91)*100), 2)</f>
        <v/>
      </c>
    </row>
    <row r="508">
      <c r="A508" s="10" t="n">
        <v>3</v>
      </c>
      <c r="B508" s="10" t="n">
        <v>504</v>
      </c>
      <c r="C508" s="10" t="n">
        <v>2504</v>
      </c>
      <c r="D508" s="10" t="inlineStr">
        <is>
          <t>1381300109</t>
        </is>
      </c>
      <c r="E508" s="26" t="inlineStr">
        <is>
          <t>National Capital Region (NCR)</t>
        </is>
      </c>
      <c r="F508" s="26" t="inlineStr">
        <is>
          <t>Second District (Not a Province)</t>
        </is>
      </c>
      <c r="G508" s="26" t="inlineStr">
        <is>
          <t>Quezon City</t>
        </is>
      </c>
      <c r="H508" s="26" t="inlineStr">
        <is>
          <t>Santo Niño</t>
        </is>
      </c>
      <c r="I508" s="27" t="n">
        <v>14.677168</v>
      </c>
      <c r="J508" s="27" t="n">
        <v>121.050767</v>
      </c>
      <c r="K508" s="10" t="inlineStr">
        <is>
          <t>U</t>
        </is>
      </c>
      <c r="L508" s="12" t="n">
        <v>7367</v>
      </c>
      <c r="M508" s="14" t="n">
        <v>3.8</v>
      </c>
      <c r="N508" s="12">
        <f>ROUND(L508/M508, 0)</f>
        <v/>
      </c>
      <c r="O508" s="12">
        <f>ROUND(N508*'Methodology &amp; Assumptions'!$B$5, 0)</f>
        <v/>
      </c>
      <c r="P508" s="10" t="inlineStr">
        <is>
          <t>Single Carrier (Band n50, 100MHz TDD)</t>
        </is>
      </c>
      <c r="Q508" s="13">
        <f>ROUNDUP(O508/'Methodology &amp; Assumptions'!$B$6, 0)</f>
        <v/>
      </c>
      <c r="R508" s="13" t="n">
        <v>1</v>
      </c>
      <c r="S508" s="14" t="n">
        <v>0.41</v>
      </c>
      <c r="T508" s="14" t="n">
        <v>0.4</v>
      </c>
      <c r="U508" s="26">
        <f>IF(X508&gt;='Methodology &amp; Assumptions'!$B$7, "Tier 1 Critical GIDA (Score ≥ 50.0)", IF(X508&gt;='Methodology &amp; Assumptions'!$B$8, "Tier 2 High GIDA (Score 40.0–49.9)", "Tier 3 Moderate GIDA (Score &lt; 40.0)"))</f>
        <v/>
      </c>
      <c r="V508" s="26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W508" s="28" t="n">
        <v>0.109</v>
      </c>
      <c r="X508" s="14" t="n">
        <v>48.64</v>
      </c>
      <c r="Y508" s="14">
        <f>ROUND(MIN(100, (X508/69.91)*100), 2)</f>
        <v/>
      </c>
    </row>
    <row r="509">
      <c r="A509" s="10" t="n">
        <v>3</v>
      </c>
      <c r="B509" s="10" t="n">
        <v>505</v>
      </c>
      <c r="C509" s="10" t="n">
        <v>2505</v>
      </c>
      <c r="D509" s="10" t="inlineStr">
        <is>
          <t>1380601268</t>
        </is>
      </c>
      <c r="E509" s="26" t="inlineStr">
        <is>
          <t>National Capital Region (NCR)</t>
        </is>
      </c>
      <c r="F509" s="26" t="inlineStr">
        <is>
          <t>First District (Not a Province)</t>
        </is>
      </c>
      <c r="G509" s="26" t="inlineStr">
        <is>
          <t>City of Manila</t>
        </is>
      </c>
      <c r="H509" s="26" t="inlineStr">
        <is>
          <t>Barangay 267</t>
        </is>
      </c>
      <c r="I509" s="27" t="n">
        <v>12.620091</v>
      </c>
      <c r="J509" s="27" t="n">
        <v>122.618626</v>
      </c>
      <c r="K509" s="10" t="inlineStr">
        <is>
          <t>U</t>
        </is>
      </c>
      <c r="L509" s="12" t="n">
        <v>2011</v>
      </c>
      <c r="M509" s="14" t="n">
        <v>3.9</v>
      </c>
      <c r="N509" s="12">
        <f>ROUND(L509/M509, 0)</f>
        <v/>
      </c>
      <c r="O509" s="12">
        <f>ROUND(N509*'Methodology &amp; Assumptions'!$B$5, 0)</f>
        <v/>
      </c>
      <c r="P509" s="10" t="inlineStr">
        <is>
          <t>Single Carrier (Band n50, 100MHz TDD)</t>
        </is>
      </c>
      <c r="Q509" s="13">
        <f>ROUNDUP(O509/'Methodology &amp; Assumptions'!$B$6, 0)</f>
        <v/>
      </c>
      <c r="R509" s="13" t="n">
        <v>1</v>
      </c>
      <c r="S509" s="14" t="n">
        <v>67.11</v>
      </c>
      <c r="T509" s="14" t="n">
        <v>79.19</v>
      </c>
      <c r="U509" s="26">
        <f>IF(X509&gt;='Methodology &amp; Assumptions'!$B$7, "Tier 1 Critical GIDA (Score ≥ 50.0)", IF(X509&gt;='Methodology &amp; Assumptions'!$B$8, "Tier 2 High GIDA (Score 40.0–49.9)", "Tier 3 Moderate GIDA (Score &lt; 40.0)"))</f>
        <v/>
      </c>
      <c r="V509" s="26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W509" s="28" t="n">
        <v>0.109</v>
      </c>
      <c r="X509" s="14" t="n">
        <v>48.64</v>
      </c>
      <c r="Y509" s="14">
        <f>ROUND(MIN(100, (X509/69.91)*100), 2)</f>
        <v/>
      </c>
    </row>
    <row r="510">
      <c r="A510" s="10" t="n">
        <v>3</v>
      </c>
      <c r="B510" s="10" t="n">
        <v>506</v>
      </c>
      <c r="C510" s="10" t="n">
        <v>2506</v>
      </c>
      <c r="D510" s="10" t="inlineStr">
        <is>
          <t>PH0002506</t>
        </is>
      </c>
      <c r="E510" s="26" t="inlineStr">
        <is>
          <t>V</t>
        </is>
      </c>
      <c r="F510" s="26" t="inlineStr">
        <is>
          <t>Camarines Sur</t>
        </is>
      </c>
      <c r="G510" s="26" t="inlineStr">
        <is>
          <t>Iriga City</t>
        </is>
      </c>
      <c r="H510" s="26" t="inlineStr">
        <is>
          <t>Antipolo</t>
        </is>
      </c>
      <c r="I510" s="27" t="n">
        <v>13.533888</v>
      </c>
      <c r="J510" s="27" t="n">
        <v>123.485126</v>
      </c>
      <c r="K510" s="10" t="inlineStr">
        <is>
          <t>R</t>
        </is>
      </c>
      <c r="L510" s="12" t="n">
        <v>2195</v>
      </c>
      <c r="M510" s="14" t="n">
        <v>4.2</v>
      </c>
      <c r="N510" s="12">
        <f>ROUND(L510/M510, 0)</f>
        <v/>
      </c>
      <c r="O510" s="12">
        <f>ROUND(N510*'Methodology &amp; Assumptions'!$B$5, 0)</f>
        <v/>
      </c>
      <c r="P510" s="10" t="inlineStr">
        <is>
          <t>Single Carrier (Band n50, 100MHz TDD)</t>
        </is>
      </c>
      <c r="Q510" s="13">
        <f>ROUNDUP(O510/'Methodology &amp; Assumptions'!$B$6, 0)</f>
        <v/>
      </c>
      <c r="R510" s="13" t="n">
        <v>1</v>
      </c>
      <c r="S510" s="14" t="n">
        <v>8.51</v>
      </c>
      <c r="T510" s="14" t="n">
        <v>5.45</v>
      </c>
      <c r="U510" s="26">
        <f>IF(X510&gt;='Methodology &amp; Assumptions'!$B$7, "Tier 1 Critical GIDA (Score ≥ 50.0)", IF(X510&gt;='Methodology &amp; Assumptions'!$B$8, "Tier 2 High GIDA (Score 40.0–49.9)", "Tier 3 Moderate GIDA (Score &lt; 40.0)"))</f>
        <v/>
      </c>
      <c r="V510" s="26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W510" s="28" t="n">
        <v>0.07200000000000001</v>
      </c>
      <c r="X510" s="14" t="n">
        <v>48.64</v>
      </c>
      <c r="Y510" s="14">
        <f>ROUND(MIN(100, (X510/69.91)*100), 2)</f>
        <v/>
      </c>
    </row>
    <row r="511">
      <c r="A511" s="10" t="n">
        <v>3</v>
      </c>
      <c r="B511" s="10" t="n">
        <v>507</v>
      </c>
      <c r="C511" s="10" t="n">
        <v>2507</v>
      </c>
      <c r="D511" s="10" t="inlineStr">
        <is>
          <t>0702232002</t>
        </is>
      </c>
      <c r="E511" s="26" t="inlineStr">
        <is>
          <t>Region VII (Central Visayas)</t>
        </is>
      </c>
      <c r="F511" s="26" t="inlineStr">
        <is>
          <t>Cebu</t>
        </is>
      </c>
      <c r="G511" s="26" t="inlineStr">
        <is>
          <t>Minglanilla</t>
        </is>
      </c>
      <c r="H511" s="26" t="inlineStr">
        <is>
          <t>Calajo-an</t>
        </is>
      </c>
      <c r="I511" s="27" t="n">
        <v>10.239719</v>
      </c>
      <c r="J511" s="27" t="n">
        <v>123.802821</v>
      </c>
      <c r="K511" s="10" t="inlineStr">
        <is>
          <t>U</t>
        </is>
      </c>
      <c r="L511" s="12" t="n">
        <v>13251</v>
      </c>
      <c r="M511" s="14" t="n">
        <v>3.8</v>
      </c>
      <c r="N511" s="12">
        <f>ROUND(L511/M511, 0)</f>
        <v/>
      </c>
      <c r="O511" s="12">
        <f>ROUND(N511*'Methodology &amp; Assumptions'!$B$5, 0)</f>
        <v/>
      </c>
      <c r="P511" s="10" t="inlineStr">
        <is>
          <t>Single Carrier (Band n50, 100MHz TDD)</t>
        </is>
      </c>
      <c r="Q511" s="13">
        <f>ROUNDUP(O511/'Methodology &amp; Assumptions'!$B$6, 0)</f>
        <v/>
      </c>
      <c r="R511" s="13" t="n">
        <v>1</v>
      </c>
      <c r="S511" s="14" t="n">
        <v>0.97</v>
      </c>
      <c r="T511" s="14" t="n">
        <v>0.19</v>
      </c>
      <c r="U511" s="26">
        <f>IF(X511&gt;='Methodology &amp; Assumptions'!$B$7, "Tier 1 Critical GIDA (Score ≥ 50.0)", IF(X511&gt;='Methodology &amp; Assumptions'!$B$8, "Tier 2 High GIDA (Score 40.0–49.9)", "Tier 3 Moderate GIDA (Score &lt; 40.0)"))</f>
        <v/>
      </c>
      <c r="V511" s="26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W511" s="28" t="n">
        <v>0.237</v>
      </c>
      <c r="X511" s="14" t="n">
        <v>48.63</v>
      </c>
      <c r="Y511" s="14">
        <f>ROUND(MIN(100, (X511/69.91)*100), 2)</f>
        <v/>
      </c>
    </row>
    <row r="512">
      <c r="A512" s="10" t="n">
        <v>3</v>
      </c>
      <c r="B512" s="10" t="n">
        <v>508</v>
      </c>
      <c r="C512" s="10" t="n">
        <v>2508</v>
      </c>
      <c r="D512" s="10" t="inlineStr">
        <is>
          <t>0103319006</t>
        </is>
      </c>
      <c r="E512" s="26" t="inlineStr">
        <is>
          <t>Region I (Ilocos Region)</t>
        </is>
      </c>
      <c r="F512" s="26" t="inlineStr">
        <is>
          <t>La Union</t>
        </is>
      </c>
      <c r="G512" s="26" t="inlineStr">
        <is>
          <t>Sudipen</t>
        </is>
      </c>
      <c r="H512" s="26" t="inlineStr">
        <is>
          <t>Maliclico</t>
        </is>
      </c>
      <c r="I512" s="27" t="n">
        <v>16.510198</v>
      </c>
      <c r="J512" s="27" t="n">
        <v>120.293587</v>
      </c>
      <c r="K512" s="10" t="inlineStr">
        <is>
          <t>R</t>
        </is>
      </c>
      <c r="L512" s="12" t="n">
        <v>850</v>
      </c>
      <c r="M512" s="14" t="n">
        <v>3.7</v>
      </c>
      <c r="N512" s="12">
        <f>ROUND(L512/M512, 0)</f>
        <v/>
      </c>
      <c r="O512" s="12">
        <f>ROUND(N512*'Methodology &amp; Assumptions'!$B$5, 0)</f>
        <v/>
      </c>
      <c r="P512" s="10" t="inlineStr">
        <is>
          <t>Single Carrier (Band n50, 100MHz TDD)</t>
        </is>
      </c>
      <c r="Q512" s="13">
        <f>ROUNDUP(O512/'Methodology &amp; Assumptions'!$B$6, 0)</f>
        <v/>
      </c>
      <c r="R512" s="13" t="n">
        <v>1</v>
      </c>
      <c r="S512" s="14" t="n">
        <v>4.54</v>
      </c>
      <c r="T512" s="14" t="n">
        <v>3.92</v>
      </c>
      <c r="U512" s="26">
        <f>IF(X512&gt;='Methodology &amp; Assumptions'!$B$7, "Tier 1 Critical GIDA (Score ≥ 50.0)", IF(X512&gt;='Methodology &amp; Assumptions'!$B$8, "Tier 2 High GIDA (Score 40.0–49.9)", "Tier 3 Moderate GIDA (Score &lt; 40.0)"))</f>
        <v/>
      </c>
      <c r="V512" s="26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W512" s="28" t="n">
        <v>0.083</v>
      </c>
      <c r="X512" s="14" t="n">
        <v>48.63</v>
      </c>
      <c r="Y512" s="14">
        <f>ROUND(MIN(100, (X512/69.91)*100), 2)</f>
        <v/>
      </c>
    </row>
    <row r="513">
      <c r="A513" s="10" t="n">
        <v>3</v>
      </c>
      <c r="B513" s="10" t="n">
        <v>509</v>
      </c>
      <c r="C513" s="10" t="n">
        <v>2509</v>
      </c>
      <c r="D513" s="10" t="inlineStr">
        <is>
          <t>1380614022</t>
        </is>
      </c>
      <c r="E513" s="26" t="inlineStr">
        <is>
          <t>National Capital Region (NCR)</t>
        </is>
      </c>
      <c r="F513" s="26" t="inlineStr">
        <is>
          <t>First District (Not a Province)</t>
        </is>
      </c>
      <c r="G513" s="26" t="inlineStr">
        <is>
          <t>City of Manila</t>
        </is>
      </c>
      <c r="H513" s="26" t="inlineStr">
        <is>
          <t>Barangay 766</t>
        </is>
      </c>
      <c r="I513" s="27" t="n">
        <v>12.514269</v>
      </c>
      <c r="J513" s="27" t="n">
        <v>120.970105</v>
      </c>
      <c r="K513" s="10" t="inlineStr">
        <is>
          <t>U</t>
        </is>
      </c>
      <c r="L513" s="12" t="n">
        <v>3195</v>
      </c>
      <c r="M513" s="14" t="n">
        <v>3.9</v>
      </c>
      <c r="N513" s="12">
        <f>ROUND(L513/M513, 0)</f>
        <v/>
      </c>
      <c r="O513" s="12">
        <f>ROUND(N513*'Methodology &amp; Assumptions'!$B$5, 0)</f>
        <v/>
      </c>
      <c r="P513" s="10" t="inlineStr">
        <is>
          <t>Single Carrier (Band n50, 100MHz TDD)</t>
        </is>
      </c>
      <c r="Q513" s="13">
        <f>ROUNDUP(O513/'Methodology &amp; Assumptions'!$B$6, 0)</f>
        <v/>
      </c>
      <c r="R513" s="13" t="n">
        <v>1</v>
      </c>
      <c r="S513" s="14" t="n">
        <v>20.88</v>
      </c>
      <c r="T513" s="14" t="n">
        <v>18.43</v>
      </c>
      <c r="U513" s="26">
        <f>IF(X513&gt;='Methodology &amp; Assumptions'!$B$7, "Tier 1 Critical GIDA (Score ≥ 50.0)", IF(X513&gt;='Methodology &amp; Assumptions'!$B$8, "Tier 2 High GIDA (Score 40.0–49.9)", "Tier 3 Moderate GIDA (Score &lt; 40.0)"))</f>
        <v/>
      </c>
      <c r="V513" s="26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W513" s="28" t="n">
        <v>0.109</v>
      </c>
      <c r="X513" s="14" t="n">
        <v>48.63</v>
      </c>
      <c r="Y513" s="14">
        <f>ROUND(MIN(100, (X513/69.91)*100), 2)</f>
        <v/>
      </c>
    </row>
    <row r="514">
      <c r="A514" s="10" t="n">
        <v>3</v>
      </c>
      <c r="B514" s="10" t="n">
        <v>510</v>
      </c>
      <c r="C514" s="10" t="n">
        <v>2510</v>
      </c>
      <c r="D514" s="10" t="inlineStr">
        <is>
          <t>1380612029</t>
        </is>
      </c>
      <c r="E514" s="26" t="inlineStr">
        <is>
          <t>National Capital Region (NCR)</t>
        </is>
      </c>
      <c r="F514" s="26" t="inlineStr">
        <is>
          <t>First District (Not a Province)</t>
        </is>
      </c>
      <c r="G514" s="26" t="inlineStr">
        <is>
          <t>City of Manila</t>
        </is>
      </c>
      <c r="H514" s="26" t="inlineStr">
        <is>
          <t>Barangay 861</t>
        </is>
      </c>
      <c r="I514" s="27" t="n">
        <v>13.67981</v>
      </c>
      <c r="J514" s="27" t="n">
        <v>122.11397</v>
      </c>
      <c r="K514" s="10" t="inlineStr">
        <is>
          <t>U</t>
        </is>
      </c>
      <c r="L514" s="12" t="n">
        <v>1105</v>
      </c>
      <c r="M514" s="14" t="n">
        <v>3.9</v>
      </c>
      <c r="N514" s="12">
        <f>ROUND(L514/M514, 0)</f>
        <v/>
      </c>
      <c r="O514" s="12">
        <f>ROUND(N514*'Methodology &amp; Assumptions'!$B$5, 0)</f>
        <v/>
      </c>
      <c r="P514" s="10" t="inlineStr">
        <is>
          <t>Single Carrier (Band n50, 100MHz TDD)</t>
        </is>
      </c>
      <c r="Q514" s="13">
        <f>ROUNDUP(O514/'Methodology &amp; Assumptions'!$B$6, 0)</f>
        <v/>
      </c>
      <c r="R514" s="13" t="n">
        <v>1</v>
      </c>
      <c r="S514" s="14" t="n">
        <v>6.65</v>
      </c>
      <c r="T514" s="14" t="n">
        <v>6.65</v>
      </c>
      <c r="U514" s="26">
        <f>IF(X514&gt;='Methodology &amp; Assumptions'!$B$7, "Tier 1 Critical GIDA (Score ≥ 50.0)", IF(X514&gt;='Methodology &amp; Assumptions'!$B$8, "Tier 2 High GIDA (Score 40.0–49.9)", "Tier 3 Moderate GIDA (Score &lt; 40.0)"))</f>
        <v/>
      </c>
      <c r="V514" s="26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W514" s="28" t="n">
        <v>0.109</v>
      </c>
      <c r="X514" s="14" t="n">
        <v>48.63</v>
      </c>
      <c r="Y514" s="14">
        <f>ROUND(MIN(100, (X514/69.91)*100), 2)</f>
        <v/>
      </c>
    </row>
    <row r="515">
      <c r="A515" s="10" t="n">
        <v>3</v>
      </c>
      <c r="B515" s="10" t="n">
        <v>511</v>
      </c>
      <c r="C515" s="10" t="n">
        <v>2511</v>
      </c>
      <c r="D515" s="10" t="inlineStr">
        <is>
          <t>1381100057</t>
        </is>
      </c>
      <c r="E515" s="26" t="inlineStr">
        <is>
          <t>National Capital Region (NCR)</t>
        </is>
      </c>
      <c r="F515" s="26" t="inlineStr">
        <is>
          <t>Fourth District (Not a Province)</t>
        </is>
      </c>
      <c r="G515" s="26" t="inlineStr">
        <is>
          <t>Pasay City</t>
        </is>
      </c>
      <c r="H515" s="26" t="inlineStr">
        <is>
          <t>Barangay 57</t>
        </is>
      </c>
      <c r="I515" s="27" t="n">
        <v>14.552027</v>
      </c>
      <c r="J515" s="27" t="n">
        <v>121.001602</v>
      </c>
      <c r="K515" s="10" t="inlineStr">
        <is>
          <t>U</t>
        </is>
      </c>
      <c r="L515" s="12" t="n">
        <v>1400</v>
      </c>
      <c r="M515" s="14" t="n">
        <v>3.4</v>
      </c>
      <c r="N515" s="12">
        <f>ROUND(L515/M515, 0)</f>
        <v/>
      </c>
      <c r="O515" s="12">
        <f>ROUND(N515*'Methodology &amp; Assumptions'!$B$5, 0)</f>
        <v/>
      </c>
      <c r="P515" s="10" t="inlineStr">
        <is>
          <t>Single Carrier (Band n50, 100MHz TDD)</t>
        </is>
      </c>
      <c r="Q515" s="13">
        <f>ROUNDUP(O515/'Methodology &amp; Assumptions'!$B$6, 0)</f>
        <v/>
      </c>
      <c r="R515" s="13" t="n">
        <v>1</v>
      </c>
      <c r="S515" s="14" t="n">
        <v>1.07</v>
      </c>
      <c r="T515" s="14" t="n">
        <v>0.25</v>
      </c>
      <c r="U515" s="26">
        <f>IF(X515&gt;='Methodology &amp; Assumptions'!$B$7, "Tier 1 Critical GIDA (Score ≥ 50.0)", IF(X515&gt;='Methodology &amp; Assumptions'!$B$8, "Tier 2 High GIDA (Score 40.0–49.9)", "Tier 3 Moderate GIDA (Score &lt; 40.0)"))</f>
        <v/>
      </c>
      <c r="V515" s="26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W515" s="28" t="n">
        <v>0.109</v>
      </c>
      <c r="X515" s="14" t="n">
        <v>48.63</v>
      </c>
      <c r="Y515" s="14">
        <f>ROUND(MIN(100, (X515/69.91)*100), 2)</f>
        <v/>
      </c>
    </row>
    <row r="516">
      <c r="A516" s="10" t="n">
        <v>3</v>
      </c>
      <c r="B516" s="10" t="n">
        <v>512</v>
      </c>
      <c r="C516" s="10" t="n">
        <v>2512</v>
      </c>
      <c r="D516" s="10" t="inlineStr">
        <is>
          <t>PH0002512</t>
        </is>
      </c>
      <c r="E516" s="26" t="inlineStr">
        <is>
          <t>NCR</t>
        </is>
      </c>
      <c r="F516" s="26" t="inlineStr">
        <is>
          <t>Metro Manila</t>
        </is>
      </c>
      <c r="G516" s="26" t="inlineStr">
        <is>
          <t>Caloocan City</t>
        </is>
      </c>
      <c r="H516" s="26" t="inlineStr">
        <is>
          <t>Barangay 133</t>
        </is>
      </c>
      <c r="I516" s="27" t="n">
        <v>11.587176</v>
      </c>
      <c r="J516" s="27" t="n">
        <v>121.155731</v>
      </c>
      <c r="K516" s="10" t="inlineStr">
        <is>
          <t>R</t>
        </is>
      </c>
      <c r="L516" s="12" t="n">
        <v>2279</v>
      </c>
      <c r="M516" s="14" t="n">
        <v>3.8</v>
      </c>
      <c r="N516" s="12">
        <f>ROUND(L516/M516, 0)</f>
        <v/>
      </c>
      <c r="O516" s="12">
        <f>ROUND(N516*'Methodology &amp; Assumptions'!$B$5, 0)</f>
        <v/>
      </c>
      <c r="P516" s="10" t="inlineStr">
        <is>
          <t>Single Carrier (Band n50, 100MHz TDD)</t>
        </is>
      </c>
      <c r="Q516" s="13">
        <f>ROUNDUP(O516/'Methodology &amp; Assumptions'!$B$6, 0)</f>
        <v/>
      </c>
      <c r="R516" s="13" t="n">
        <v>1</v>
      </c>
      <c r="S516" s="14" t="n">
        <v>80.26000000000001</v>
      </c>
      <c r="T516" s="14" t="n">
        <v>77.95999999999999</v>
      </c>
      <c r="U516" s="26">
        <f>IF(X516&gt;='Methodology &amp; Assumptions'!$B$7, "Tier 1 Critical GIDA (Score ≥ 50.0)", IF(X516&gt;='Methodology &amp; Assumptions'!$B$8, "Tier 2 High GIDA (Score 40.0–49.9)", "Tier 3 Moderate GIDA (Score &lt; 40.0)"))</f>
        <v/>
      </c>
      <c r="V516" s="26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W516" s="28" t="n">
        <v>0.011</v>
      </c>
      <c r="X516" s="14" t="n">
        <v>48.62</v>
      </c>
      <c r="Y516" s="14">
        <f>ROUND(MIN(100, (X516/69.91)*100), 2)</f>
        <v/>
      </c>
    </row>
    <row r="517">
      <c r="A517" s="10" t="n">
        <v>3</v>
      </c>
      <c r="B517" s="10" t="n">
        <v>513</v>
      </c>
      <c r="C517" s="10" t="n">
        <v>2513</v>
      </c>
      <c r="D517" s="10" t="inlineStr">
        <is>
          <t>0103315016</t>
        </is>
      </c>
      <c r="E517" s="26" t="inlineStr">
        <is>
          <t>Region I (Ilocos Region)</t>
        </is>
      </c>
      <c r="F517" s="26" t="inlineStr">
        <is>
          <t>La Union</t>
        </is>
      </c>
      <c r="G517" s="26" t="inlineStr">
        <is>
          <t>San Gabriel</t>
        </is>
      </c>
      <c r="H517" s="26" t="inlineStr">
        <is>
          <t>Lipay Sur</t>
        </is>
      </c>
      <c r="I517" s="27" t="n">
        <v>16.706074</v>
      </c>
      <c r="J517" s="27" t="n">
        <v>120.444625</v>
      </c>
      <c r="K517" s="10" t="inlineStr">
        <is>
          <t>R</t>
        </is>
      </c>
      <c r="L517" s="12" t="n">
        <v>1000</v>
      </c>
      <c r="M517" s="14" t="n">
        <v>3.7</v>
      </c>
      <c r="N517" s="12">
        <f>ROUND(L517/M517, 0)</f>
        <v/>
      </c>
      <c r="O517" s="12">
        <f>ROUND(N517*'Methodology &amp; Assumptions'!$B$5, 0)</f>
        <v/>
      </c>
      <c r="P517" s="10" t="inlineStr">
        <is>
          <t>Single Carrier (Band n50, 100MHz TDD)</t>
        </is>
      </c>
      <c r="Q517" s="13">
        <f>ROUNDUP(O517/'Methodology &amp; Assumptions'!$B$6, 0)</f>
        <v/>
      </c>
      <c r="R517" s="13" t="n">
        <v>1</v>
      </c>
      <c r="S517" s="14" t="n">
        <v>6.18</v>
      </c>
      <c r="T517" s="14" t="n">
        <v>7.6</v>
      </c>
      <c r="U517" s="26">
        <f>IF(X517&gt;='Methodology &amp; Assumptions'!$B$7, "Tier 1 Critical GIDA (Score ≥ 50.0)", IF(X517&gt;='Methodology &amp; Assumptions'!$B$8, "Tier 2 High GIDA (Score 40.0–49.9)", "Tier 3 Moderate GIDA (Score &lt; 40.0)"))</f>
        <v/>
      </c>
      <c r="V517" s="26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W517" s="28" t="n">
        <v>0.083</v>
      </c>
      <c r="X517" s="14" t="n">
        <v>48.62</v>
      </c>
      <c r="Y517" s="14">
        <f>ROUND(MIN(100, (X517/69.91)*100), 2)</f>
        <v/>
      </c>
    </row>
    <row r="518">
      <c r="A518" s="10" t="n">
        <v>3</v>
      </c>
      <c r="B518" s="10" t="n">
        <v>514</v>
      </c>
      <c r="C518" s="10" t="n">
        <v>2514</v>
      </c>
      <c r="D518" s="10" t="inlineStr">
        <is>
          <t>1380606186</t>
        </is>
      </c>
      <c r="E518" s="26" t="inlineStr">
        <is>
          <t>National Capital Region (NCR)</t>
        </is>
      </c>
      <c r="F518" s="26" t="inlineStr">
        <is>
          <t>First District (Not a Province)</t>
        </is>
      </c>
      <c r="G518" s="26" t="inlineStr">
        <is>
          <t>City of Manila</t>
        </is>
      </c>
      <c r="H518" s="26" t="inlineStr">
        <is>
          <t>Barangay 580</t>
        </is>
      </c>
      <c r="I518" s="27" t="n">
        <v>12.064627</v>
      </c>
      <c r="J518" s="27" t="n">
        <v>122.078319</v>
      </c>
      <c r="K518" s="10" t="inlineStr">
        <is>
          <t>U</t>
        </is>
      </c>
      <c r="L518" s="12" t="n">
        <v>2069</v>
      </c>
      <c r="M518" s="14" t="n">
        <v>3.9</v>
      </c>
      <c r="N518" s="12">
        <f>ROUND(L518/M518, 0)</f>
        <v/>
      </c>
      <c r="O518" s="12">
        <f>ROUND(N518*'Methodology &amp; Assumptions'!$B$5, 0)</f>
        <v/>
      </c>
      <c r="P518" s="10" t="inlineStr">
        <is>
          <t>Single Carrier (Band n50, 100MHz TDD)</t>
        </is>
      </c>
      <c r="Q518" s="13">
        <f>ROUNDUP(O518/'Methodology &amp; Assumptions'!$B$6, 0)</f>
        <v/>
      </c>
      <c r="R518" s="13" t="n">
        <v>1</v>
      </c>
      <c r="S518" s="14" t="n">
        <v>19.36</v>
      </c>
      <c r="T518" s="14" t="n">
        <v>8.33</v>
      </c>
      <c r="U518" s="26">
        <f>IF(X518&gt;='Methodology &amp; Assumptions'!$B$7, "Tier 1 Critical GIDA (Score ≥ 50.0)", IF(X518&gt;='Methodology &amp; Assumptions'!$B$8, "Tier 2 High GIDA (Score 40.0–49.9)", "Tier 3 Moderate GIDA (Score &lt; 40.0)"))</f>
        <v/>
      </c>
      <c r="V518" s="26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W518" s="28" t="n">
        <v>0.109</v>
      </c>
      <c r="X518" s="14" t="n">
        <v>48.62</v>
      </c>
      <c r="Y518" s="14">
        <f>ROUND(MIN(100, (X518/69.91)*100), 2)</f>
        <v/>
      </c>
    </row>
    <row r="519">
      <c r="A519" s="10" t="n">
        <v>3</v>
      </c>
      <c r="B519" s="10" t="n">
        <v>515</v>
      </c>
      <c r="C519" s="10" t="n">
        <v>2515</v>
      </c>
      <c r="D519" s="10" t="inlineStr">
        <is>
          <t>0806004001</t>
        </is>
      </c>
      <c r="E519" s="26" t="inlineStr">
        <is>
          <t>Region VIII (Eastern Visayas)</t>
        </is>
      </c>
      <c r="F519" s="26" t="inlineStr">
        <is>
          <t>Samar</t>
        </is>
      </c>
      <c r="G519" s="26" t="inlineStr">
        <is>
          <t>Calbiga</t>
        </is>
      </c>
      <c r="H519" s="26" t="inlineStr">
        <is>
          <t>Antol</t>
        </is>
      </c>
      <c r="I519" s="27" t="n">
        <v>11.544585</v>
      </c>
      <c r="J519" s="27" t="n">
        <v>125.121263</v>
      </c>
      <c r="K519" s="10" t="inlineStr">
        <is>
          <t>R</t>
        </is>
      </c>
      <c r="L519" s="12" t="n">
        <v>256</v>
      </c>
      <c r="M519" s="14" t="n">
        <v>4.1</v>
      </c>
      <c r="N519" s="12">
        <f>ROUND(L519/M519, 0)</f>
        <v/>
      </c>
      <c r="O519" s="12">
        <f>ROUND(N519*'Methodology &amp; Assumptions'!$B$5, 0)</f>
        <v/>
      </c>
      <c r="P519" s="10" t="inlineStr">
        <is>
          <t>Single Carrier (Band n50, 100MHz TDD)</t>
        </is>
      </c>
      <c r="Q519" s="13">
        <f>ROUNDUP(O519/'Methodology &amp; Assumptions'!$B$6, 0)</f>
        <v/>
      </c>
      <c r="R519" s="13" t="n">
        <v>1</v>
      </c>
      <c r="S519" s="14" t="n">
        <v>36.3</v>
      </c>
      <c r="T519" s="14" t="n">
        <v>38.89</v>
      </c>
      <c r="U519" s="26">
        <f>IF(X519&gt;='Methodology &amp; Assumptions'!$B$7, "Tier 1 Critical GIDA (Score ≥ 50.0)", IF(X519&gt;='Methodology &amp; Assumptions'!$B$8, "Tier 2 High GIDA (Score 40.0–49.9)", "Tier 3 Moderate GIDA (Score &lt; 40.0)"))</f>
        <v/>
      </c>
      <c r="V519" s="26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W519" s="28" t="n">
        <v>0.237</v>
      </c>
      <c r="X519" s="14" t="n">
        <v>48.62</v>
      </c>
      <c r="Y519" s="14">
        <f>ROUND(MIN(100, (X519/69.91)*100), 2)</f>
        <v/>
      </c>
    </row>
    <row r="520">
      <c r="A520" s="10" t="n">
        <v>3</v>
      </c>
      <c r="B520" s="10" t="n">
        <v>516</v>
      </c>
      <c r="C520" s="10" t="n">
        <v>2516</v>
      </c>
      <c r="D520" s="10" t="inlineStr">
        <is>
          <t>1380602009</t>
        </is>
      </c>
      <c r="E520" s="26" t="inlineStr">
        <is>
          <t>National Capital Region (NCR)</t>
        </is>
      </c>
      <c r="F520" s="26" t="inlineStr">
        <is>
          <t>First District (Not a Province)</t>
        </is>
      </c>
      <c r="G520" s="26" t="inlineStr">
        <is>
          <t>City of Manila</t>
        </is>
      </c>
      <c r="H520" s="26" t="inlineStr">
        <is>
          <t>Barangay 295</t>
        </is>
      </c>
      <c r="I520" s="27" t="n">
        <v>13.280836</v>
      </c>
      <c r="J520" s="27" t="n">
        <v>120.983537</v>
      </c>
      <c r="K520" s="10" t="inlineStr">
        <is>
          <t>U</t>
        </is>
      </c>
      <c r="L520" s="12" t="n">
        <v>1577</v>
      </c>
      <c r="M520" s="14" t="n">
        <v>3.9</v>
      </c>
      <c r="N520" s="12">
        <f>ROUND(L520/M520, 0)</f>
        <v/>
      </c>
      <c r="O520" s="12">
        <f>ROUND(N520*'Methodology &amp; Assumptions'!$B$5, 0)</f>
        <v/>
      </c>
      <c r="P520" s="10" t="inlineStr">
        <is>
          <t>Single Carrier (Band n50, 100MHz TDD)</t>
        </is>
      </c>
      <c r="Q520" s="13">
        <f>ROUNDUP(O520/'Methodology &amp; Assumptions'!$B$6, 0)</f>
        <v/>
      </c>
      <c r="R520" s="13" t="n">
        <v>1</v>
      </c>
      <c r="S520" s="14" t="n">
        <v>14.98</v>
      </c>
      <c r="T520" s="14" t="n">
        <v>13.31</v>
      </c>
      <c r="U520" s="26">
        <f>IF(X520&gt;='Methodology &amp; Assumptions'!$B$7, "Tier 1 Critical GIDA (Score ≥ 50.0)", IF(X520&gt;='Methodology &amp; Assumptions'!$B$8, "Tier 2 High GIDA (Score 40.0–49.9)", "Tier 3 Moderate GIDA (Score &lt; 40.0)"))</f>
        <v/>
      </c>
      <c r="V520" s="26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W520" s="28" t="n">
        <v>0.109</v>
      </c>
      <c r="X520" s="14" t="n">
        <v>48.62</v>
      </c>
      <c r="Y520" s="14">
        <f>ROUND(MIN(100, (X520/69.91)*100), 2)</f>
        <v/>
      </c>
    </row>
    <row r="521">
      <c r="A521" s="10" t="n">
        <v>3</v>
      </c>
      <c r="B521" s="10" t="n">
        <v>517</v>
      </c>
      <c r="C521" s="10" t="n">
        <v>2517</v>
      </c>
      <c r="D521" s="10" t="inlineStr">
        <is>
          <t>PH0002517</t>
        </is>
      </c>
      <c r="E521" s="26" t="inlineStr">
        <is>
          <t>IV-A</t>
        </is>
      </c>
      <c r="F521" s="26" t="inlineStr">
        <is>
          <t>Cavite</t>
        </is>
      </c>
      <c r="G521" s="26" t="inlineStr">
        <is>
          <t>Imus City</t>
        </is>
      </c>
      <c r="H521" s="26" t="inlineStr">
        <is>
          <t>Mariano Espeleta I</t>
        </is>
      </c>
      <c r="I521" s="27" t="n">
        <v>14.283786</v>
      </c>
      <c r="J521" s="27" t="n">
        <v>120.889124</v>
      </c>
      <c r="K521" s="10" t="inlineStr">
        <is>
          <t>R</t>
        </is>
      </c>
      <c r="L521" s="12" t="n">
        <v>2316</v>
      </c>
      <c r="M521" s="14" t="n">
        <v>3.4</v>
      </c>
      <c r="N521" s="12">
        <f>ROUND(L521/M521, 0)</f>
        <v/>
      </c>
      <c r="O521" s="12">
        <f>ROUND(N521*'Methodology &amp; Assumptions'!$B$5, 0)</f>
        <v/>
      </c>
      <c r="P521" s="10" t="inlineStr">
        <is>
          <t>Single Carrier (Band n50, 100MHz TDD)</t>
        </is>
      </c>
      <c r="Q521" s="13">
        <f>ROUNDUP(O521/'Methodology &amp; Assumptions'!$B$6, 0)</f>
        <v/>
      </c>
      <c r="R521" s="13" t="n">
        <v>1</v>
      </c>
      <c r="S521" s="14" t="n">
        <v>2.18</v>
      </c>
      <c r="T521" s="14" t="n">
        <v>0.2</v>
      </c>
      <c r="U521" s="26">
        <f>IF(X521&gt;='Methodology &amp; Assumptions'!$B$7, "Tier 1 Critical GIDA (Score ≥ 50.0)", IF(X521&gt;='Methodology &amp; Assumptions'!$B$8, "Tier 2 High GIDA (Score 40.0–49.9)", "Tier 3 Moderate GIDA (Score &lt; 40.0)"))</f>
        <v/>
      </c>
      <c r="V521" s="26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W521" s="28" t="n">
        <v>0.07200000000000001</v>
      </c>
      <c r="X521" s="14" t="n">
        <v>48.61</v>
      </c>
      <c r="Y521" s="14">
        <f>ROUND(MIN(100, (X521/69.91)*100), 2)</f>
        <v/>
      </c>
    </row>
    <row r="522">
      <c r="A522" s="10" t="n">
        <v>3</v>
      </c>
      <c r="B522" s="10" t="n">
        <v>518</v>
      </c>
      <c r="C522" s="10" t="n">
        <v>2518</v>
      </c>
      <c r="D522" s="10" t="inlineStr">
        <is>
          <t>1380606086</t>
        </is>
      </c>
      <c r="E522" s="26" t="inlineStr">
        <is>
          <t>National Capital Region (NCR)</t>
        </is>
      </c>
      <c r="F522" s="26" t="inlineStr">
        <is>
          <t>First District (Not a Province)</t>
        </is>
      </c>
      <c r="G522" s="26" t="inlineStr">
        <is>
          <t>City of Manila</t>
        </is>
      </c>
      <c r="H522" s="26" t="inlineStr">
        <is>
          <t>Barangay 480</t>
        </is>
      </c>
      <c r="I522" s="27" t="n">
        <v>13.104894</v>
      </c>
      <c r="J522" s="27" t="n">
        <v>122.636125</v>
      </c>
      <c r="K522" s="10" t="inlineStr">
        <is>
          <t>U</t>
        </is>
      </c>
      <c r="L522" s="12" t="n">
        <v>835</v>
      </c>
      <c r="M522" s="14" t="n">
        <v>3.9</v>
      </c>
      <c r="N522" s="12">
        <f>ROUND(L522/M522, 0)</f>
        <v/>
      </c>
      <c r="O522" s="12">
        <f>ROUND(N522*'Methodology &amp; Assumptions'!$B$5, 0)</f>
        <v/>
      </c>
      <c r="P522" s="10" t="inlineStr">
        <is>
          <t>Single Carrier (Band n50, 100MHz TDD)</t>
        </is>
      </c>
      <c r="Q522" s="13">
        <f>ROUNDUP(O522/'Methodology &amp; Assumptions'!$B$6, 0)</f>
        <v/>
      </c>
      <c r="R522" s="13" t="n">
        <v>1</v>
      </c>
      <c r="S522" s="14" t="n">
        <v>14.13</v>
      </c>
      <c r="T522" s="14" t="n">
        <v>52.01</v>
      </c>
      <c r="U522" s="26">
        <f>IF(X522&gt;='Methodology &amp; Assumptions'!$B$7, "Tier 1 Critical GIDA (Score ≥ 50.0)", IF(X522&gt;='Methodology &amp; Assumptions'!$B$8, "Tier 2 High GIDA (Score 40.0–49.9)", "Tier 3 Moderate GIDA (Score &lt; 40.0)"))</f>
        <v/>
      </c>
      <c r="V522" s="26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W522" s="28" t="n">
        <v>0.109</v>
      </c>
      <c r="X522" s="14" t="n">
        <v>48.61</v>
      </c>
      <c r="Y522" s="14">
        <f>ROUND(MIN(100, (X522/69.91)*100), 2)</f>
        <v/>
      </c>
    </row>
    <row r="523">
      <c r="A523" s="10" t="n">
        <v>3</v>
      </c>
      <c r="B523" s="10" t="n">
        <v>519</v>
      </c>
      <c r="C523" s="10" t="n">
        <v>2519</v>
      </c>
      <c r="D523" s="10" t="inlineStr">
        <is>
          <t>1380606059</t>
        </is>
      </c>
      <c r="E523" s="26" t="inlineStr">
        <is>
          <t>National Capital Region (NCR)</t>
        </is>
      </c>
      <c r="F523" s="26" t="inlineStr">
        <is>
          <t>First District (Not a Province)</t>
        </is>
      </c>
      <c r="G523" s="26" t="inlineStr">
        <is>
          <t>City of Manila</t>
        </is>
      </c>
      <c r="H523" s="26" t="inlineStr">
        <is>
          <t>Barangay 453</t>
        </is>
      </c>
      <c r="I523" s="27" t="n">
        <v>12.144742</v>
      </c>
      <c r="J523" s="27" t="n">
        <v>121.293696</v>
      </c>
      <c r="K523" s="10" t="inlineStr">
        <is>
          <t>U</t>
        </is>
      </c>
      <c r="L523" s="12" t="n">
        <v>1537</v>
      </c>
      <c r="M523" s="14" t="n">
        <v>3.9</v>
      </c>
      <c r="N523" s="12">
        <f>ROUND(L523/M523, 0)</f>
        <v/>
      </c>
      <c r="O523" s="12">
        <f>ROUND(N523*'Methodology &amp; Assumptions'!$B$5, 0)</f>
        <v/>
      </c>
      <c r="P523" s="10" t="inlineStr">
        <is>
          <t>Single Carrier (Band n50, 100MHz TDD)</t>
        </is>
      </c>
      <c r="Q523" s="13">
        <f>ROUNDUP(O523/'Methodology &amp; Assumptions'!$B$6, 0)</f>
        <v/>
      </c>
      <c r="R523" s="13" t="n">
        <v>1</v>
      </c>
      <c r="S523" s="14" t="n">
        <v>21.38</v>
      </c>
      <c r="T523" s="14" t="n">
        <v>15.45</v>
      </c>
      <c r="U523" s="26">
        <f>IF(X523&gt;='Methodology &amp; Assumptions'!$B$7, "Tier 1 Critical GIDA (Score ≥ 50.0)", IF(X523&gt;='Methodology &amp; Assumptions'!$B$8, "Tier 2 High GIDA (Score 40.0–49.9)", "Tier 3 Moderate GIDA (Score &lt; 40.0)"))</f>
        <v/>
      </c>
      <c r="V523" s="26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W523" s="28" t="n">
        <v>0.109</v>
      </c>
      <c r="X523" s="14" t="n">
        <v>48.61</v>
      </c>
      <c r="Y523" s="14">
        <f>ROUND(MIN(100, (X523/69.91)*100), 2)</f>
        <v/>
      </c>
    </row>
    <row r="524">
      <c r="A524" s="10" t="n">
        <v>3</v>
      </c>
      <c r="B524" s="10" t="n">
        <v>520</v>
      </c>
      <c r="C524" s="10" t="n">
        <v>2520</v>
      </c>
      <c r="D524" s="10" t="inlineStr">
        <is>
          <t>0306918007</t>
        </is>
      </c>
      <c r="E524" s="26" t="inlineStr">
        <is>
          <t>Region III (Central Luzon)</t>
        </is>
      </c>
      <c r="F524" s="26" t="inlineStr">
        <is>
          <t>Tarlac</t>
        </is>
      </c>
      <c r="G524" s="26" t="inlineStr">
        <is>
          <t>San Jose</t>
        </is>
      </c>
      <c r="H524" s="26" t="inlineStr">
        <is>
          <t>Maamot</t>
        </is>
      </c>
      <c r="I524" s="27" t="n">
        <v>15.391549</v>
      </c>
      <c r="J524" s="27" t="n">
        <v>120.349718</v>
      </c>
      <c r="K524" s="10" t="inlineStr">
        <is>
          <t>R</t>
        </is>
      </c>
      <c r="L524" s="12" t="n">
        <v>2740</v>
      </c>
      <c r="M524" s="14" t="n">
        <v>3.9</v>
      </c>
      <c r="N524" s="12">
        <f>ROUND(L524/M524, 0)</f>
        <v/>
      </c>
      <c r="O524" s="12">
        <f>ROUND(N524*'Methodology &amp; Assumptions'!$B$5, 0)</f>
        <v/>
      </c>
      <c r="P524" s="10" t="inlineStr">
        <is>
          <t>Single Carrier (Band n50, 100MHz TDD)</t>
        </is>
      </c>
      <c r="Q524" s="13">
        <f>ROUNDUP(O524/'Methodology &amp; Assumptions'!$B$6, 0)</f>
        <v/>
      </c>
      <c r="R524" s="13" t="n">
        <v>1</v>
      </c>
      <c r="S524" s="14" t="n">
        <v>20.71</v>
      </c>
      <c r="T524" s="14" t="n">
        <v>23.15</v>
      </c>
      <c r="U524" s="26">
        <f>IF(X524&gt;='Methodology &amp; Assumptions'!$B$7, "Tier 1 Critical GIDA (Score ≥ 50.0)", IF(X524&gt;='Methodology &amp; Assumptions'!$B$8, "Tier 2 High GIDA (Score 40.0–49.9)", "Tier 3 Moderate GIDA (Score &lt; 40.0)"))</f>
        <v/>
      </c>
      <c r="V524" s="26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W524" s="28" t="n">
        <v>0.083</v>
      </c>
      <c r="X524" s="14" t="n">
        <v>48.61</v>
      </c>
      <c r="Y524" s="14">
        <f>ROUND(MIN(100, (X524/69.91)*100), 2)</f>
        <v/>
      </c>
    </row>
    <row r="525">
      <c r="A525" s="10" t="n">
        <v>3</v>
      </c>
      <c r="B525" s="10" t="n">
        <v>521</v>
      </c>
      <c r="C525" s="10" t="n">
        <v>2521</v>
      </c>
      <c r="D525" s="10" t="inlineStr">
        <is>
          <t>1380606142</t>
        </is>
      </c>
      <c r="E525" s="26" t="inlineStr">
        <is>
          <t>National Capital Region (NCR)</t>
        </is>
      </c>
      <c r="F525" s="26" t="inlineStr">
        <is>
          <t>First District (Not a Province)</t>
        </is>
      </c>
      <c r="G525" s="26" t="inlineStr">
        <is>
          <t>City of Manila</t>
        </is>
      </c>
      <c r="H525" s="26" t="inlineStr">
        <is>
          <t>Barangay 536</t>
        </is>
      </c>
      <c r="I525" s="27" t="n">
        <v>13.739221</v>
      </c>
      <c r="J525" s="27" t="n">
        <v>121.618532</v>
      </c>
      <c r="K525" s="10" t="inlineStr">
        <is>
          <t>U</t>
        </is>
      </c>
      <c r="L525" s="12" t="n">
        <v>973</v>
      </c>
      <c r="M525" s="14" t="n">
        <v>3.9</v>
      </c>
      <c r="N525" s="12">
        <f>ROUND(L525/M525, 0)</f>
        <v/>
      </c>
      <c r="O525" s="12">
        <f>ROUND(N525*'Methodology &amp; Assumptions'!$B$5, 0)</f>
        <v/>
      </c>
      <c r="P525" s="10" t="inlineStr">
        <is>
          <t>Single Carrier (Band n50, 100MHz TDD)</t>
        </is>
      </c>
      <c r="Q525" s="13">
        <f>ROUNDUP(O525/'Methodology &amp; Assumptions'!$B$6, 0)</f>
        <v/>
      </c>
      <c r="R525" s="13" t="n">
        <v>1</v>
      </c>
      <c r="S525" s="14" t="n">
        <v>18.06</v>
      </c>
      <c r="T525" s="14" t="n">
        <v>17.18</v>
      </c>
      <c r="U525" s="26">
        <f>IF(X525&gt;='Methodology &amp; Assumptions'!$B$7, "Tier 1 Critical GIDA (Score ≥ 50.0)", IF(X525&gt;='Methodology &amp; Assumptions'!$B$8, "Tier 2 High GIDA (Score 40.0–49.9)", "Tier 3 Moderate GIDA (Score &lt; 40.0)"))</f>
        <v/>
      </c>
      <c r="V525" s="26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W525" s="28" t="n">
        <v>0.109</v>
      </c>
      <c r="X525" s="14" t="n">
        <v>48.61</v>
      </c>
      <c r="Y525" s="14">
        <f>ROUND(MIN(100, (X525/69.91)*100), 2)</f>
        <v/>
      </c>
    </row>
    <row r="526">
      <c r="A526" s="10" t="n">
        <v>3</v>
      </c>
      <c r="B526" s="10" t="n">
        <v>522</v>
      </c>
      <c r="C526" s="10" t="n">
        <v>2522</v>
      </c>
      <c r="D526" s="10" t="inlineStr">
        <is>
          <t>1380607005</t>
        </is>
      </c>
      <c r="E526" s="26" t="inlineStr">
        <is>
          <t>National Capital Region (NCR)</t>
        </is>
      </c>
      <c r="F526" s="26" t="inlineStr">
        <is>
          <t>First District (Not a Province)</t>
        </is>
      </c>
      <c r="G526" s="26" t="inlineStr">
        <is>
          <t>City of Manila</t>
        </is>
      </c>
      <c r="H526" s="26" t="inlineStr">
        <is>
          <t>Barangay 641</t>
        </is>
      </c>
      <c r="I526" s="27" t="n">
        <v>12.347563</v>
      </c>
      <c r="J526" s="27" t="n">
        <v>122.485393</v>
      </c>
      <c r="K526" s="10" t="inlineStr">
        <is>
          <t>U</t>
        </is>
      </c>
      <c r="L526" s="12" t="n">
        <v>786</v>
      </c>
      <c r="M526" s="14" t="n">
        <v>3.9</v>
      </c>
      <c r="N526" s="12">
        <f>ROUND(L526/M526, 0)</f>
        <v/>
      </c>
      <c r="O526" s="12">
        <f>ROUND(N526*'Methodology &amp; Assumptions'!$B$5, 0)</f>
        <v/>
      </c>
      <c r="P526" s="10" t="inlineStr">
        <is>
          <t>Single Carrier (Band n50, 100MHz TDD)</t>
        </is>
      </c>
      <c r="Q526" s="13">
        <f>ROUNDUP(O526/'Methodology &amp; Assumptions'!$B$6, 0)</f>
        <v/>
      </c>
      <c r="R526" s="13" t="n">
        <v>1</v>
      </c>
      <c r="S526" s="14" t="n">
        <v>73.26000000000001</v>
      </c>
      <c r="T526" s="14" t="n">
        <v>45.61</v>
      </c>
      <c r="U526" s="26">
        <f>IF(X526&gt;='Methodology &amp; Assumptions'!$B$7, "Tier 1 Critical GIDA (Score ≥ 50.0)", IF(X526&gt;='Methodology &amp; Assumptions'!$B$8, "Tier 2 High GIDA (Score 40.0–49.9)", "Tier 3 Moderate GIDA (Score &lt; 40.0)"))</f>
        <v/>
      </c>
      <c r="V526" s="26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W526" s="28" t="n">
        <v>0.109</v>
      </c>
      <c r="X526" s="14" t="n">
        <v>48.61</v>
      </c>
      <c r="Y526" s="14">
        <f>ROUND(MIN(100, (X526/69.91)*100), 2)</f>
        <v/>
      </c>
    </row>
    <row r="527">
      <c r="A527" s="10" t="n">
        <v>3</v>
      </c>
      <c r="B527" s="10" t="n">
        <v>523</v>
      </c>
      <c r="C527" s="10" t="n">
        <v>2523</v>
      </c>
      <c r="D527" s="10" t="inlineStr">
        <is>
          <t>PH0002523</t>
        </is>
      </c>
      <c r="E527" s="26" t="inlineStr">
        <is>
          <t>NCR</t>
        </is>
      </c>
      <c r="F527" s="26" t="inlineStr">
        <is>
          <t>Metro Manila</t>
        </is>
      </c>
      <c r="G527" s="26" t="inlineStr">
        <is>
          <t>Caloocan City</t>
        </is>
      </c>
      <c r="H527" s="26" t="inlineStr">
        <is>
          <t>Barangay 130</t>
        </is>
      </c>
      <c r="I527" s="27" t="n">
        <v>14.241123</v>
      </c>
      <c r="J527" s="27" t="n">
        <v>121.333666</v>
      </c>
      <c r="K527" s="10" t="inlineStr">
        <is>
          <t>R</t>
        </is>
      </c>
      <c r="L527" s="12" t="n">
        <v>2279</v>
      </c>
      <c r="M527" s="14" t="n">
        <v>3.8</v>
      </c>
      <c r="N527" s="12">
        <f>ROUND(L527/M527, 0)</f>
        <v/>
      </c>
      <c r="O527" s="12">
        <f>ROUND(N527*'Methodology &amp; Assumptions'!$B$5, 0)</f>
        <v/>
      </c>
      <c r="P527" s="10" t="inlineStr">
        <is>
          <t>Single Carrier (Band n50, 100MHz TDD)</t>
        </is>
      </c>
      <c r="Q527" s="13">
        <f>ROUNDUP(O527/'Methodology &amp; Assumptions'!$B$6, 0)</f>
        <v/>
      </c>
      <c r="R527" s="13" t="n">
        <v>1</v>
      </c>
      <c r="S527" s="14" t="n">
        <v>3.5</v>
      </c>
      <c r="T527" s="14" t="n">
        <v>3.45</v>
      </c>
      <c r="U527" s="26">
        <f>IF(X527&gt;='Methodology &amp; Assumptions'!$B$7, "Tier 1 Critical GIDA (Score ≥ 50.0)", IF(X527&gt;='Methodology &amp; Assumptions'!$B$8, "Tier 2 High GIDA (Score 40.0–49.9)", "Tier 3 Moderate GIDA (Score &lt; 40.0)"))</f>
        <v/>
      </c>
      <c r="V527" s="26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W527" s="28" t="n">
        <v>0.011</v>
      </c>
      <c r="X527" s="14" t="n">
        <v>48.6</v>
      </c>
      <c r="Y527" s="14">
        <f>ROUND(MIN(100, (X527/69.91)*100), 2)</f>
        <v/>
      </c>
    </row>
    <row r="528">
      <c r="A528" s="10" t="n">
        <v>3</v>
      </c>
      <c r="B528" s="10" t="n">
        <v>524</v>
      </c>
      <c r="C528" s="10" t="n">
        <v>2524</v>
      </c>
      <c r="D528" s="10" t="inlineStr">
        <is>
          <t>1380601060</t>
        </is>
      </c>
      <c r="E528" s="26" t="inlineStr">
        <is>
          <t>National Capital Region (NCR)</t>
        </is>
      </c>
      <c r="F528" s="26" t="inlineStr">
        <is>
          <t>First District (Not a Province)</t>
        </is>
      </c>
      <c r="G528" s="26" t="inlineStr">
        <is>
          <t>City of Manila</t>
        </is>
      </c>
      <c r="H528" s="26" t="inlineStr">
        <is>
          <t>Barangay 60</t>
        </is>
      </c>
      <c r="I528" s="27" t="n">
        <v>12.803397</v>
      </c>
      <c r="J528" s="27" t="n">
        <v>120.879342</v>
      </c>
      <c r="K528" s="10" t="inlineStr">
        <is>
          <t>U</t>
        </is>
      </c>
      <c r="L528" s="12" t="n">
        <v>4640</v>
      </c>
      <c r="M528" s="14" t="n">
        <v>3.9</v>
      </c>
      <c r="N528" s="12">
        <f>ROUND(L528/M528, 0)</f>
        <v/>
      </c>
      <c r="O528" s="12">
        <f>ROUND(N528*'Methodology &amp; Assumptions'!$B$5, 0)</f>
        <v/>
      </c>
      <c r="P528" s="10" t="inlineStr">
        <is>
          <t>Single Carrier (Band n50, 100MHz TDD)</t>
        </is>
      </c>
      <c r="Q528" s="13">
        <f>ROUNDUP(O528/'Methodology &amp; Assumptions'!$B$6, 0)</f>
        <v/>
      </c>
      <c r="R528" s="13" t="n">
        <v>1</v>
      </c>
      <c r="S528" s="14" t="n">
        <v>54.2</v>
      </c>
      <c r="T528" s="14" t="n">
        <v>51.66</v>
      </c>
      <c r="U528" s="26">
        <f>IF(X528&gt;='Methodology &amp; Assumptions'!$B$7, "Tier 1 Critical GIDA (Score ≥ 50.0)", IF(X528&gt;='Methodology &amp; Assumptions'!$B$8, "Tier 2 High GIDA (Score 40.0–49.9)", "Tier 3 Moderate GIDA (Score &lt; 40.0)"))</f>
        <v/>
      </c>
      <c r="V528" s="26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W528" s="28" t="n">
        <v>0.109</v>
      </c>
      <c r="X528" s="14" t="n">
        <v>48.6</v>
      </c>
      <c r="Y528" s="14">
        <f>ROUND(MIN(100, (X528/69.91)*100), 2)</f>
        <v/>
      </c>
    </row>
    <row r="529">
      <c r="A529" s="10" t="n">
        <v>3</v>
      </c>
      <c r="B529" s="10" t="n">
        <v>525</v>
      </c>
      <c r="C529" s="10" t="n">
        <v>2525</v>
      </c>
      <c r="D529" s="10" t="inlineStr">
        <is>
          <t>0405622050</t>
        </is>
      </c>
      <c r="E529" s="26" t="inlineStr">
        <is>
          <t>Region IV-A (CALABARZON)</t>
        </is>
      </c>
      <c r="F529" s="26" t="inlineStr">
        <is>
          <t>Quezon</t>
        </is>
      </c>
      <c r="G529" s="26" t="inlineStr">
        <is>
          <t>Lopez</t>
        </is>
      </c>
      <c r="H529" s="26" t="inlineStr">
        <is>
          <t>Mandoog</t>
        </is>
      </c>
      <c r="I529" s="27" t="n">
        <v>13.860851</v>
      </c>
      <c r="J529" s="27" t="n">
        <v>122.28529</v>
      </c>
      <c r="K529" s="10" t="inlineStr">
        <is>
          <t>R</t>
        </is>
      </c>
      <c r="L529" s="12" t="n">
        <v>262</v>
      </c>
      <c r="M529" s="14" t="n">
        <v>3.8</v>
      </c>
      <c r="N529" s="12">
        <f>ROUND(L529/M529, 0)</f>
        <v/>
      </c>
      <c r="O529" s="12">
        <f>ROUND(N529*'Methodology &amp; Assumptions'!$B$5, 0)</f>
        <v/>
      </c>
      <c r="P529" s="10" t="inlineStr">
        <is>
          <t>Single Carrier (Band n50, 100MHz TDD)</t>
        </is>
      </c>
      <c r="Q529" s="13">
        <f>ROUNDUP(O529/'Methodology &amp; Assumptions'!$B$6, 0)</f>
        <v/>
      </c>
      <c r="R529" s="13" t="n">
        <v>1</v>
      </c>
      <c r="S529" s="14" t="n">
        <v>3.85</v>
      </c>
      <c r="T529" s="14" t="n">
        <v>2.7</v>
      </c>
      <c r="U529" s="26">
        <f>IF(X529&gt;='Methodology &amp; Assumptions'!$B$7, "Tier 1 Critical GIDA (Score ≥ 50.0)", IF(X529&gt;='Methodology &amp; Assumptions'!$B$8, "Tier 2 High GIDA (Score 40.0–49.9)", "Tier 3 Moderate GIDA (Score &lt; 40.0)"))</f>
        <v/>
      </c>
      <c r="V529" s="26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W529" s="28" t="n">
        <v>0.07200000000000001</v>
      </c>
      <c r="X529" s="14" t="n">
        <v>48.6</v>
      </c>
      <c r="Y529" s="14">
        <f>ROUND(MIN(100, (X529/69.91)*100), 2)</f>
        <v/>
      </c>
    </row>
    <row r="530">
      <c r="A530" s="10" t="n">
        <v>3</v>
      </c>
      <c r="B530" s="10" t="n">
        <v>526</v>
      </c>
      <c r="C530" s="10" t="n">
        <v>2526</v>
      </c>
      <c r="D530" s="10" t="inlineStr">
        <is>
          <t>PH0002526</t>
        </is>
      </c>
      <c r="E530" s="26" t="inlineStr">
        <is>
          <t>NCR</t>
        </is>
      </c>
      <c r="F530" s="26" t="inlineStr">
        <is>
          <t>Metro Manila</t>
        </is>
      </c>
      <c r="G530" s="26" t="inlineStr">
        <is>
          <t>Caloocan City</t>
        </is>
      </c>
      <c r="H530" s="26" t="inlineStr">
        <is>
          <t>Barangay 144</t>
        </is>
      </c>
      <c r="I530" s="27" t="n">
        <v>12.165279</v>
      </c>
      <c r="J530" s="27" t="n">
        <v>123.043349</v>
      </c>
      <c r="K530" s="10" t="inlineStr">
        <is>
          <t>R</t>
        </is>
      </c>
      <c r="L530" s="12" t="n">
        <v>2279</v>
      </c>
      <c r="M530" s="14" t="n">
        <v>3.8</v>
      </c>
      <c r="N530" s="12">
        <f>ROUND(L530/M530, 0)</f>
        <v/>
      </c>
      <c r="O530" s="12">
        <f>ROUND(N530*'Methodology &amp; Assumptions'!$B$5, 0)</f>
        <v/>
      </c>
      <c r="P530" s="10" t="inlineStr">
        <is>
          <t>Single Carrier (Band n50, 100MHz TDD)</t>
        </is>
      </c>
      <c r="Q530" s="13">
        <f>ROUNDUP(O530/'Methodology &amp; Assumptions'!$B$6, 0)</f>
        <v/>
      </c>
      <c r="R530" s="13" t="n">
        <v>1</v>
      </c>
      <c r="S530" s="14" t="n">
        <v>23.85</v>
      </c>
      <c r="T530" s="14" t="n">
        <v>37.27</v>
      </c>
      <c r="U530" s="26">
        <f>IF(X530&gt;='Methodology &amp; Assumptions'!$B$7, "Tier 1 Critical GIDA (Score ≥ 50.0)", IF(X530&gt;='Methodology &amp; Assumptions'!$B$8, "Tier 2 High GIDA (Score 40.0–49.9)", "Tier 3 Moderate GIDA (Score &lt; 40.0)"))</f>
        <v/>
      </c>
      <c r="V530" s="26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W530" s="28" t="n">
        <v>0.011</v>
      </c>
      <c r="X530" s="14" t="n">
        <v>48.6</v>
      </c>
      <c r="Y530" s="14">
        <f>ROUND(MIN(100, (X530/69.91)*100), 2)</f>
        <v/>
      </c>
    </row>
    <row r="531">
      <c r="A531" s="10" t="n">
        <v>3</v>
      </c>
      <c r="B531" s="10" t="n">
        <v>527</v>
      </c>
      <c r="C531" s="10" t="n">
        <v>2527</v>
      </c>
      <c r="D531" s="10" t="inlineStr">
        <is>
          <t>1381200008</t>
        </is>
      </c>
      <c r="E531" s="26" t="inlineStr">
        <is>
          <t>National Capital Region (NCR)</t>
        </is>
      </c>
      <c r="F531" s="26" t="inlineStr">
        <is>
          <t>Second District (Not a Province)</t>
        </is>
      </c>
      <c r="G531" s="26" t="inlineStr">
        <is>
          <t>City of Pasig</t>
        </is>
      </c>
      <c r="H531" s="26" t="inlineStr">
        <is>
          <t>Kapasigan</t>
        </is>
      </c>
      <c r="I531" s="27" t="n">
        <v>14.569653</v>
      </c>
      <c r="J531" s="27" t="n">
        <v>121.074249</v>
      </c>
      <c r="K531" s="10" t="inlineStr">
        <is>
          <t>U</t>
        </is>
      </c>
      <c r="L531" s="12" t="n">
        <v>5071</v>
      </c>
      <c r="M531" s="14" t="n">
        <v>3.4</v>
      </c>
      <c r="N531" s="12">
        <f>ROUND(L531/M531, 0)</f>
        <v/>
      </c>
      <c r="O531" s="12">
        <f>ROUND(N531*'Methodology &amp; Assumptions'!$B$5, 0)</f>
        <v/>
      </c>
      <c r="P531" s="10" t="inlineStr">
        <is>
          <t>Single Carrier (Band n50, 100MHz TDD)</t>
        </is>
      </c>
      <c r="Q531" s="13">
        <f>ROUNDUP(O531/'Methodology &amp; Assumptions'!$B$6, 0)</f>
        <v/>
      </c>
      <c r="R531" s="13" t="n">
        <v>1</v>
      </c>
      <c r="S531" s="14" t="n">
        <v>0.88</v>
      </c>
      <c r="T531" s="14" t="n">
        <v>0.33</v>
      </c>
      <c r="U531" s="26">
        <f>IF(X531&gt;='Methodology &amp; Assumptions'!$B$7, "Tier 1 Critical GIDA (Score ≥ 50.0)", IF(X531&gt;='Methodology &amp; Assumptions'!$B$8, "Tier 2 High GIDA (Score 40.0–49.9)", "Tier 3 Moderate GIDA (Score &lt; 40.0)"))</f>
        <v/>
      </c>
      <c r="V531" s="26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W531" s="28" t="n">
        <v>0.109</v>
      </c>
      <c r="X531" s="14" t="n">
        <v>48.6</v>
      </c>
      <c r="Y531" s="14">
        <f>ROUND(MIN(100, (X531/69.91)*100), 2)</f>
        <v/>
      </c>
    </row>
    <row r="532">
      <c r="A532" s="10" t="n">
        <v>3</v>
      </c>
      <c r="B532" s="10" t="n">
        <v>528</v>
      </c>
      <c r="C532" s="10" t="n">
        <v>2528</v>
      </c>
      <c r="D532" s="10" t="inlineStr">
        <is>
          <t>1381100035</t>
        </is>
      </c>
      <c r="E532" s="26" t="inlineStr">
        <is>
          <t>National Capital Region (NCR)</t>
        </is>
      </c>
      <c r="F532" s="26" t="inlineStr">
        <is>
          <t>Fourth District (Not a Province)</t>
        </is>
      </c>
      <c r="G532" s="26" t="inlineStr">
        <is>
          <t>Pasay City</t>
        </is>
      </c>
      <c r="H532" s="26" t="inlineStr">
        <is>
          <t>Barangay 35</t>
        </is>
      </c>
      <c r="I532" s="27" t="n">
        <v>14.717046</v>
      </c>
      <c r="J532" s="27" t="n">
        <v>121.044052</v>
      </c>
      <c r="K532" s="10" t="inlineStr">
        <is>
          <t>U</t>
        </is>
      </c>
      <c r="L532" s="12" t="n">
        <v>617</v>
      </c>
      <c r="M532" s="14" t="n">
        <v>3.4</v>
      </c>
      <c r="N532" s="12">
        <f>ROUND(L532/M532, 0)</f>
        <v/>
      </c>
      <c r="O532" s="12">
        <f>ROUND(N532*'Methodology &amp; Assumptions'!$B$5, 0)</f>
        <v/>
      </c>
      <c r="P532" s="10" t="inlineStr">
        <is>
          <t>Single Carrier (Band n50, 100MHz TDD)</t>
        </is>
      </c>
      <c r="Q532" s="13">
        <f>ROUNDUP(O532/'Methodology &amp; Assumptions'!$B$6, 0)</f>
        <v/>
      </c>
      <c r="R532" s="13" t="n">
        <v>1</v>
      </c>
      <c r="S532" s="14" t="n">
        <v>0.55</v>
      </c>
      <c r="T532" s="14" t="n">
        <v>0.4</v>
      </c>
      <c r="U532" s="26">
        <f>IF(X532&gt;='Methodology &amp; Assumptions'!$B$7, "Tier 1 Critical GIDA (Score ≥ 50.0)", IF(X532&gt;='Methodology &amp; Assumptions'!$B$8, "Tier 2 High GIDA (Score 40.0–49.9)", "Tier 3 Moderate GIDA (Score &lt; 40.0)"))</f>
        <v/>
      </c>
      <c r="V532" s="26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W532" s="28" t="n">
        <v>0.109</v>
      </c>
      <c r="X532" s="14" t="n">
        <v>48.6</v>
      </c>
      <c r="Y532" s="14">
        <f>ROUND(MIN(100, (X532/69.91)*100), 2)</f>
        <v/>
      </c>
    </row>
    <row r="533">
      <c r="A533" s="10" t="n">
        <v>3</v>
      </c>
      <c r="B533" s="10" t="n">
        <v>529</v>
      </c>
      <c r="C533" s="10" t="n">
        <v>2529</v>
      </c>
      <c r="D533" s="10" t="inlineStr">
        <is>
          <t>1380605006</t>
        </is>
      </c>
      <c r="E533" s="26" t="inlineStr">
        <is>
          <t>National Capital Region (NCR)</t>
        </is>
      </c>
      <c r="F533" s="26" t="inlineStr">
        <is>
          <t>First District (Not a Province)</t>
        </is>
      </c>
      <c r="G533" s="26" t="inlineStr">
        <is>
          <t>City of Manila</t>
        </is>
      </c>
      <c r="H533" s="26" t="inlineStr">
        <is>
          <t>Barangay 302</t>
        </is>
      </c>
      <c r="I533" s="27" t="n">
        <v>13.526167</v>
      </c>
      <c r="J533" s="27" t="n">
        <v>122.381666</v>
      </c>
      <c r="K533" s="10" t="inlineStr">
        <is>
          <t>U</t>
        </is>
      </c>
      <c r="L533" s="12" t="n">
        <v>674</v>
      </c>
      <c r="M533" s="14" t="n">
        <v>3.9</v>
      </c>
      <c r="N533" s="12">
        <f>ROUND(L533/M533, 0)</f>
        <v/>
      </c>
      <c r="O533" s="12">
        <f>ROUND(N533*'Methodology &amp; Assumptions'!$B$5, 0)</f>
        <v/>
      </c>
      <c r="P533" s="10" t="inlineStr">
        <is>
          <t>Single Carrier (Band n50, 100MHz TDD)</t>
        </is>
      </c>
      <c r="Q533" s="13">
        <f>ROUNDUP(O533/'Methodology &amp; Assumptions'!$B$6, 0)</f>
        <v/>
      </c>
      <c r="R533" s="13" t="n">
        <v>1</v>
      </c>
      <c r="S533" s="14" t="n">
        <v>1.45</v>
      </c>
      <c r="T533" s="14" t="n">
        <v>0.95</v>
      </c>
      <c r="U533" s="26">
        <f>IF(X533&gt;='Methodology &amp; Assumptions'!$B$7, "Tier 1 Critical GIDA (Score ≥ 50.0)", IF(X533&gt;='Methodology &amp; Assumptions'!$B$8, "Tier 2 High GIDA (Score 40.0–49.9)", "Tier 3 Moderate GIDA (Score &lt; 40.0)"))</f>
        <v/>
      </c>
      <c r="V533" s="26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W533" s="28" t="n">
        <v>0.109</v>
      </c>
      <c r="X533" s="14" t="n">
        <v>48.59</v>
      </c>
      <c r="Y533" s="14">
        <f>ROUND(MIN(100, (X533/69.91)*100), 2)</f>
        <v/>
      </c>
    </row>
    <row r="534">
      <c r="A534" s="10" t="n">
        <v>3</v>
      </c>
      <c r="B534" s="10" t="n">
        <v>530</v>
      </c>
      <c r="C534" s="10" t="n">
        <v>2530</v>
      </c>
      <c r="D534" s="10" t="inlineStr">
        <is>
          <t>1380611011</t>
        </is>
      </c>
      <c r="E534" s="26" t="inlineStr">
        <is>
          <t>National Capital Region (NCR)</t>
        </is>
      </c>
      <c r="F534" s="26" t="inlineStr">
        <is>
          <t>First District (Not a Province)</t>
        </is>
      </c>
      <c r="G534" s="26" t="inlineStr">
        <is>
          <t>City of Manila</t>
        </is>
      </c>
      <c r="H534" s="26" t="inlineStr">
        <is>
          <t>Barangay 677</t>
        </is>
      </c>
      <c r="I534" s="27" t="n">
        <v>12.00152</v>
      </c>
      <c r="J534" s="27" t="n">
        <v>121.774</v>
      </c>
      <c r="K534" s="10" t="inlineStr">
        <is>
          <t>U</t>
        </is>
      </c>
      <c r="L534" s="12" t="n">
        <v>1639</v>
      </c>
      <c r="M534" s="14" t="n">
        <v>3.9</v>
      </c>
      <c r="N534" s="12">
        <f>ROUND(L534/M534, 0)</f>
        <v/>
      </c>
      <c r="O534" s="12">
        <f>ROUND(N534*'Methodology &amp; Assumptions'!$B$5, 0)</f>
        <v/>
      </c>
      <c r="P534" s="10" t="inlineStr">
        <is>
          <t>Single Carrier (Band n50, 100MHz TDD)</t>
        </is>
      </c>
      <c r="Q534" s="13">
        <f>ROUNDUP(O534/'Methodology &amp; Assumptions'!$B$6, 0)</f>
        <v/>
      </c>
      <c r="R534" s="13" t="n">
        <v>1</v>
      </c>
      <c r="S534" s="14" t="n">
        <v>19.6</v>
      </c>
      <c r="T534" s="14" t="n">
        <v>17.69</v>
      </c>
      <c r="U534" s="26">
        <f>IF(X534&gt;='Methodology &amp; Assumptions'!$B$7, "Tier 1 Critical GIDA (Score ≥ 50.0)", IF(X534&gt;='Methodology &amp; Assumptions'!$B$8, "Tier 2 High GIDA (Score 40.0–49.9)", "Tier 3 Moderate GIDA (Score &lt; 40.0)"))</f>
        <v/>
      </c>
      <c r="V534" s="26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W534" s="28" t="n">
        <v>0.109</v>
      </c>
      <c r="X534" s="14" t="n">
        <v>48.59</v>
      </c>
      <c r="Y534" s="14">
        <f>ROUND(MIN(100, (X534/69.91)*100), 2)</f>
        <v/>
      </c>
    </row>
    <row r="535">
      <c r="A535" s="10" t="n">
        <v>3</v>
      </c>
      <c r="B535" s="10" t="n">
        <v>531</v>
      </c>
      <c r="C535" s="10" t="n">
        <v>2531</v>
      </c>
      <c r="D535" s="10" t="inlineStr">
        <is>
          <t>PH0002531</t>
        </is>
      </c>
      <c r="E535" s="26" t="inlineStr">
        <is>
          <t>CAR</t>
        </is>
      </c>
      <c r="F535" s="26" t="inlineStr">
        <is>
          <t>Benguet</t>
        </is>
      </c>
      <c r="G535" s="26" t="inlineStr">
        <is>
          <t>Baguio City</t>
        </is>
      </c>
      <c r="H535" s="26" t="inlineStr">
        <is>
          <t>Quezon Hill Proper</t>
        </is>
      </c>
      <c r="I535" s="27" t="n">
        <v>16.415137</v>
      </c>
      <c r="J535" s="27" t="n">
        <v>120.573598</v>
      </c>
      <c r="K535" s="10" t="inlineStr">
        <is>
          <t>R</t>
        </is>
      </c>
      <c r="L535" s="12" t="n">
        <v>2260</v>
      </c>
      <c r="M535" s="14" t="n">
        <v>3.5</v>
      </c>
      <c r="N535" s="12">
        <f>ROUND(L535/M535, 0)</f>
        <v/>
      </c>
      <c r="O535" s="12">
        <f>ROUND(N535*'Methodology &amp; Assumptions'!$B$5, 0)</f>
        <v/>
      </c>
      <c r="P535" s="10" t="inlineStr">
        <is>
          <t>Single Carrier (Band n50, 100MHz TDD)</t>
        </is>
      </c>
      <c r="Q535" s="13">
        <f>ROUNDUP(O535/'Methodology &amp; Assumptions'!$B$6, 0)</f>
        <v/>
      </c>
      <c r="R535" s="13" t="n">
        <v>1</v>
      </c>
      <c r="S535" s="14" t="n">
        <v>0.48</v>
      </c>
      <c r="T535" s="14" t="n">
        <v>0.24</v>
      </c>
      <c r="U535" s="26">
        <f>IF(X535&gt;='Methodology &amp; Assumptions'!$B$7, "Tier 1 Critical GIDA (Score ≥ 50.0)", IF(X535&gt;='Methodology &amp; Assumptions'!$B$8, "Tier 2 High GIDA (Score 40.0–49.9)", "Tier 3 Moderate GIDA (Score &lt; 40.0)"))</f>
        <v/>
      </c>
      <c r="V535" s="26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W535" s="28" t="n">
        <v>0.221</v>
      </c>
      <c r="X535" s="14" t="n">
        <v>48.59</v>
      </c>
      <c r="Y535" s="14">
        <f>ROUND(MIN(100, (X535/69.91)*100), 2)</f>
        <v/>
      </c>
    </row>
    <row r="536">
      <c r="A536" s="10" t="n">
        <v>3</v>
      </c>
      <c r="B536" s="10" t="n">
        <v>532</v>
      </c>
      <c r="C536" s="10" t="n">
        <v>2532</v>
      </c>
      <c r="D536" s="10" t="inlineStr">
        <is>
          <t>0806007064</t>
        </is>
      </c>
      <c r="E536" s="26" t="inlineStr">
        <is>
          <t>Region VIII (Eastern Visayas)</t>
        </is>
      </c>
      <c r="F536" s="26" t="inlineStr">
        <is>
          <t>Samar</t>
        </is>
      </c>
      <c r="G536" s="26" t="inlineStr">
        <is>
          <t>Gandara</t>
        </is>
      </c>
      <c r="H536" s="26" t="inlineStr">
        <is>
          <t>Purog</t>
        </is>
      </c>
      <c r="I536" s="27" t="n">
        <v>12.13719</v>
      </c>
      <c r="J536" s="27" t="n">
        <v>124.7778</v>
      </c>
      <c r="K536" s="10" t="inlineStr">
        <is>
          <t>R</t>
        </is>
      </c>
      <c r="L536" s="12" t="n">
        <v>465</v>
      </c>
      <c r="M536" s="14" t="n">
        <v>4.1</v>
      </c>
      <c r="N536" s="12">
        <f>ROUND(L536/M536, 0)</f>
        <v/>
      </c>
      <c r="O536" s="12">
        <f>ROUND(N536*'Methodology &amp; Assumptions'!$B$5, 0)</f>
        <v/>
      </c>
      <c r="P536" s="10" t="inlineStr">
        <is>
          <t>Single Carrier (Band n50, 100MHz TDD)</t>
        </is>
      </c>
      <c r="Q536" s="13">
        <f>ROUNDUP(O536/'Methodology &amp; Assumptions'!$B$6, 0)</f>
        <v/>
      </c>
      <c r="R536" s="13" t="n">
        <v>1</v>
      </c>
      <c r="S536" s="14" t="n">
        <v>90.62</v>
      </c>
      <c r="T536" s="14" t="n">
        <v>90.61</v>
      </c>
      <c r="U536" s="26">
        <f>IF(X536&gt;='Methodology &amp; Assumptions'!$B$7, "Tier 1 Critical GIDA (Score ≥ 50.0)", IF(X536&gt;='Methodology &amp; Assumptions'!$B$8, "Tier 2 High GIDA (Score 40.0–49.9)", "Tier 3 Moderate GIDA (Score &lt; 40.0)"))</f>
        <v/>
      </c>
      <c r="V536" s="26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W536" s="28" t="n">
        <v>0.237</v>
      </c>
      <c r="X536" s="14" t="n">
        <v>48.59</v>
      </c>
      <c r="Y536" s="14">
        <f>ROUND(MIN(100, (X536/69.91)*100), 2)</f>
        <v/>
      </c>
    </row>
    <row r="537">
      <c r="A537" s="10" t="n">
        <v>3</v>
      </c>
      <c r="B537" s="10" t="n">
        <v>533</v>
      </c>
      <c r="C537" s="10" t="n">
        <v>2533</v>
      </c>
      <c r="D537" s="10" t="inlineStr">
        <is>
          <t>1381100073</t>
        </is>
      </c>
      <c r="E537" s="26" t="inlineStr">
        <is>
          <t>National Capital Region (NCR)</t>
        </is>
      </c>
      <c r="F537" s="26" t="inlineStr">
        <is>
          <t>Fourth District (Not a Province)</t>
        </is>
      </c>
      <c r="G537" s="26" t="inlineStr">
        <is>
          <t>Pasay City</t>
        </is>
      </c>
      <c r="H537" s="26" t="inlineStr">
        <is>
          <t>Barangay 73</t>
        </is>
      </c>
      <c r="I537" s="27" t="n">
        <v>14.542626</v>
      </c>
      <c r="J537" s="27" t="n">
        <v>120.996077</v>
      </c>
      <c r="K537" s="10" t="inlineStr">
        <is>
          <t>U</t>
        </is>
      </c>
      <c r="L537" s="12" t="n">
        <v>719</v>
      </c>
      <c r="M537" s="14" t="n">
        <v>3.4</v>
      </c>
      <c r="N537" s="12">
        <f>ROUND(L537/M537, 0)</f>
        <v/>
      </c>
      <c r="O537" s="12">
        <f>ROUND(N537*'Methodology &amp; Assumptions'!$B$5, 0)</f>
        <v/>
      </c>
      <c r="P537" s="10" t="inlineStr">
        <is>
          <t>Single Carrier (Band n50, 100MHz TDD)</t>
        </is>
      </c>
      <c r="Q537" s="13">
        <f>ROUNDUP(O537/'Methodology &amp; Assumptions'!$B$6, 0)</f>
        <v/>
      </c>
      <c r="R537" s="13" t="n">
        <v>1</v>
      </c>
      <c r="S537" s="14" t="n">
        <v>0.28</v>
      </c>
      <c r="T537" s="14" t="n">
        <v>0.35</v>
      </c>
      <c r="U537" s="26">
        <f>IF(X537&gt;='Methodology &amp; Assumptions'!$B$7, "Tier 1 Critical GIDA (Score ≥ 50.0)", IF(X537&gt;='Methodology &amp; Assumptions'!$B$8, "Tier 2 High GIDA (Score 40.0–49.9)", "Tier 3 Moderate GIDA (Score &lt; 40.0)"))</f>
        <v/>
      </c>
      <c r="V537" s="26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W537" s="28" t="n">
        <v>0.109</v>
      </c>
      <c r="X537" s="14" t="n">
        <v>48.59</v>
      </c>
      <c r="Y537" s="14">
        <f>ROUND(MIN(100, (X537/69.91)*100), 2)</f>
        <v/>
      </c>
    </row>
    <row r="538">
      <c r="A538" s="10" t="n">
        <v>3</v>
      </c>
      <c r="B538" s="10" t="n">
        <v>534</v>
      </c>
      <c r="C538" s="10" t="n">
        <v>2534</v>
      </c>
      <c r="D538" s="10" t="inlineStr">
        <is>
          <t>PH0002534</t>
        </is>
      </c>
      <c r="E538" s="26" t="inlineStr">
        <is>
          <t>NCR</t>
        </is>
      </c>
      <c r="F538" s="26" t="inlineStr">
        <is>
          <t>Metro Manila</t>
        </is>
      </c>
      <c r="G538" s="26" t="inlineStr">
        <is>
          <t>Caloocan City</t>
        </is>
      </c>
      <c r="H538" s="26" t="inlineStr">
        <is>
          <t>Barangay 68</t>
        </is>
      </c>
      <c r="I538" s="27" t="n">
        <v>12.57015</v>
      </c>
      <c r="J538" s="27" t="n">
        <v>120.341673</v>
      </c>
      <c r="K538" s="10" t="inlineStr">
        <is>
          <t>R</t>
        </is>
      </c>
      <c r="L538" s="12" t="n">
        <v>2279</v>
      </c>
      <c r="M538" s="14" t="n">
        <v>3.8</v>
      </c>
      <c r="N538" s="12">
        <f>ROUND(L538/M538, 0)</f>
        <v/>
      </c>
      <c r="O538" s="12">
        <f>ROUND(N538*'Methodology &amp; Assumptions'!$B$5, 0)</f>
        <v/>
      </c>
      <c r="P538" s="10" t="inlineStr">
        <is>
          <t>Single Carrier (Band n50, 100MHz TDD)</t>
        </is>
      </c>
      <c r="Q538" s="13">
        <f>ROUNDUP(O538/'Methodology &amp; Assumptions'!$B$6, 0)</f>
        <v/>
      </c>
      <c r="R538" s="13" t="n">
        <v>1</v>
      </c>
      <c r="S538" s="14" t="n">
        <v>62.22</v>
      </c>
      <c r="T538" s="14" t="n">
        <v>80.93000000000001</v>
      </c>
      <c r="U538" s="26">
        <f>IF(X538&gt;='Methodology &amp; Assumptions'!$B$7, "Tier 1 Critical GIDA (Score ≥ 50.0)", IF(X538&gt;='Methodology &amp; Assumptions'!$B$8, "Tier 2 High GIDA (Score 40.0–49.9)", "Tier 3 Moderate GIDA (Score &lt; 40.0)"))</f>
        <v/>
      </c>
      <c r="V538" s="26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W538" s="28" t="n">
        <v>0.011</v>
      </c>
      <c r="X538" s="14" t="n">
        <v>48.59</v>
      </c>
      <c r="Y538" s="14">
        <f>ROUND(MIN(100, (X538/69.91)*100), 2)</f>
        <v/>
      </c>
    </row>
    <row r="539">
      <c r="A539" s="10" t="n">
        <v>3</v>
      </c>
      <c r="B539" s="10" t="n">
        <v>535</v>
      </c>
      <c r="C539" s="10" t="n">
        <v>2535</v>
      </c>
      <c r="D539" s="10" t="inlineStr">
        <is>
          <t>1908713023</t>
        </is>
      </c>
      <c r="E539" s="26" t="inlineStr">
        <is>
          <t>Bangsamoro Autonomous Region In Muslim Mindanao (BARMM)</t>
        </is>
      </c>
      <c r="F539" s="26" t="inlineStr">
        <is>
          <t>Maguindanao del Norte</t>
        </is>
      </c>
      <c r="G539" s="26" t="inlineStr">
        <is>
          <t>Upi</t>
        </is>
      </c>
      <c r="H539" s="26" t="inlineStr">
        <is>
          <t>Tinungkaan</t>
        </is>
      </c>
      <c r="I539" s="27" t="n">
        <v>17.254022</v>
      </c>
      <c r="J539" s="27" t="n">
        <v>122.228066</v>
      </c>
      <c r="K539" s="10" t="inlineStr">
        <is>
          <t>R</t>
        </is>
      </c>
      <c r="L539" s="12" t="n">
        <v>5842</v>
      </c>
      <c r="M539" s="14" t="n">
        <v>4.3</v>
      </c>
      <c r="N539" s="12">
        <f>ROUND(L539/M539, 0)</f>
        <v/>
      </c>
      <c r="O539" s="12">
        <f>ROUND(N539*'Methodology &amp; Assumptions'!$B$5, 0)</f>
        <v/>
      </c>
      <c r="P539" s="10" t="inlineStr">
        <is>
          <t>Single Carrier (Band n50, 100MHz TDD)</t>
        </is>
      </c>
      <c r="Q539" s="13">
        <f>ROUNDUP(O539/'Methodology &amp; Assumptions'!$B$6, 0)</f>
        <v/>
      </c>
      <c r="R539" s="13" t="n">
        <v>1</v>
      </c>
      <c r="S539" s="14" t="n">
        <v>29.29</v>
      </c>
      <c r="T539" s="14" t="n">
        <v>34.19</v>
      </c>
      <c r="U539" s="26">
        <f>IF(X539&gt;='Methodology &amp; Assumptions'!$B$7, "Tier 1 Critical GIDA (Score ≥ 50.0)", IF(X539&gt;='Methodology &amp; Assumptions'!$B$8, "Tier 2 High GIDA (Score 40.0–49.9)", "Tier 3 Moderate GIDA (Score &lt; 40.0)"))</f>
        <v/>
      </c>
      <c r="V539" s="26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W539" s="28" t="n">
        <v>0.11</v>
      </c>
      <c r="X539" s="14" t="n">
        <v>48.59</v>
      </c>
      <c r="Y539" s="14">
        <f>ROUND(MIN(100, (X539/69.91)*100), 2)</f>
        <v/>
      </c>
    </row>
    <row r="540">
      <c r="A540" s="10" t="n">
        <v>3</v>
      </c>
      <c r="B540" s="10" t="n">
        <v>536</v>
      </c>
      <c r="C540" s="10" t="n">
        <v>2536</v>
      </c>
      <c r="D540" s="10" t="inlineStr">
        <is>
          <t>1381100094</t>
        </is>
      </c>
      <c r="E540" s="26" t="inlineStr">
        <is>
          <t>National Capital Region (NCR)</t>
        </is>
      </c>
      <c r="F540" s="26" t="inlineStr">
        <is>
          <t>Fourth District (Not a Province)</t>
        </is>
      </c>
      <c r="G540" s="26" t="inlineStr">
        <is>
          <t>Pasay City</t>
        </is>
      </c>
      <c r="H540" s="26" t="inlineStr">
        <is>
          <t>Barangay 94</t>
        </is>
      </c>
      <c r="I540" s="27" t="n">
        <v>14.383514</v>
      </c>
      <c r="J540" s="27" t="n">
        <v>121.097597</v>
      </c>
      <c r="K540" s="10" t="inlineStr">
        <is>
          <t>U</t>
        </is>
      </c>
      <c r="L540" s="12" t="n">
        <v>2443</v>
      </c>
      <c r="M540" s="14" t="n">
        <v>3.4</v>
      </c>
      <c r="N540" s="12">
        <f>ROUND(L540/M540, 0)</f>
        <v/>
      </c>
      <c r="O540" s="12">
        <f>ROUND(N540*'Methodology &amp; Assumptions'!$B$5, 0)</f>
        <v/>
      </c>
      <c r="P540" s="10" t="inlineStr">
        <is>
          <t>Single Carrier (Band n50, 100MHz TDD)</t>
        </is>
      </c>
      <c r="Q540" s="13">
        <f>ROUNDUP(O540/'Methodology &amp; Assumptions'!$B$6, 0)</f>
        <v/>
      </c>
      <c r="R540" s="13" t="n">
        <v>1</v>
      </c>
      <c r="S540" s="14" t="n">
        <v>5.19</v>
      </c>
      <c r="T540" s="14" t="n">
        <v>4.93</v>
      </c>
      <c r="U540" s="26">
        <f>IF(X540&gt;='Methodology &amp; Assumptions'!$B$7, "Tier 1 Critical GIDA (Score ≥ 50.0)", IF(X540&gt;='Methodology &amp; Assumptions'!$B$8, "Tier 2 High GIDA (Score 40.0–49.9)", "Tier 3 Moderate GIDA (Score &lt; 40.0)"))</f>
        <v/>
      </c>
      <c r="V540" s="26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W540" s="28" t="n">
        <v>0.109</v>
      </c>
      <c r="X540" s="14" t="n">
        <v>48.59</v>
      </c>
      <c r="Y540" s="14">
        <f>ROUND(MIN(100, (X540/69.91)*100), 2)</f>
        <v/>
      </c>
    </row>
    <row r="541">
      <c r="A541" s="10" t="n">
        <v>3</v>
      </c>
      <c r="B541" s="10" t="n">
        <v>537</v>
      </c>
      <c r="C541" s="10" t="n">
        <v>2537</v>
      </c>
      <c r="D541" s="10" t="inlineStr">
        <is>
          <t>0506210026</t>
        </is>
      </c>
      <c r="E541" s="26" t="inlineStr">
        <is>
          <t>Region V (Bicol Region)</t>
        </is>
      </c>
      <c r="F541" s="26" t="inlineStr">
        <is>
          <t>Sorsogon</t>
        </is>
      </c>
      <c r="G541" s="26" t="inlineStr">
        <is>
          <t>Juban</t>
        </is>
      </c>
      <c r="H541" s="26" t="inlineStr">
        <is>
          <t>Tinago</t>
        </is>
      </c>
      <c r="I541" s="27" t="n">
        <v>12.852324</v>
      </c>
      <c r="J541" s="27" t="n">
        <v>123.940031</v>
      </c>
      <c r="K541" s="10" t="inlineStr">
        <is>
          <t>R</t>
        </is>
      </c>
      <c r="L541" s="12" t="n">
        <v>934</v>
      </c>
      <c r="M541" s="14" t="n">
        <v>4</v>
      </c>
      <c r="N541" s="12">
        <f>ROUND(L541/M541, 0)</f>
        <v/>
      </c>
      <c r="O541" s="12">
        <f>ROUND(N541*'Methodology &amp; Assumptions'!$B$5, 0)</f>
        <v/>
      </c>
      <c r="P541" s="10" t="inlineStr">
        <is>
          <t>Single Carrier (Band n50, 100MHz TDD)</t>
        </is>
      </c>
      <c r="Q541" s="13">
        <f>ROUNDUP(O541/'Methodology &amp; Assumptions'!$B$6, 0)</f>
        <v/>
      </c>
      <c r="R541" s="13" t="n">
        <v>1</v>
      </c>
      <c r="S541" s="14" t="n">
        <v>8.31</v>
      </c>
      <c r="T541" s="14" t="n">
        <v>3.14</v>
      </c>
      <c r="U541" s="26">
        <f>IF(X541&gt;='Methodology &amp; Assumptions'!$B$7, "Tier 1 Critical GIDA (Score ≥ 50.0)", IF(X541&gt;='Methodology &amp; Assumptions'!$B$8, "Tier 2 High GIDA (Score 40.0–49.9)", "Tier 3 Moderate GIDA (Score &lt; 40.0)"))</f>
        <v/>
      </c>
      <c r="V541" s="26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W541" s="28" t="n">
        <v>0.237</v>
      </c>
      <c r="X541" s="14" t="n">
        <v>48.59</v>
      </c>
      <c r="Y541" s="14">
        <f>ROUND(MIN(100, (X541/69.91)*100), 2)</f>
        <v/>
      </c>
    </row>
    <row r="542">
      <c r="A542" s="10" t="n">
        <v>3</v>
      </c>
      <c r="B542" s="10" t="n">
        <v>538</v>
      </c>
      <c r="C542" s="10" t="n">
        <v>2538</v>
      </c>
      <c r="D542" s="10" t="inlineStr">
        <is>
          <t>PH0002538</t>
        </is>
      </c>
      <c r="E542" s="26" t="inlineStr">
        <is>
          <t>NCR</t>
        </is>
      </c>
      <c r="F542" s="26" t="inlineStr">
        <is>
          <t>Metro Manila</t>
        </is>
      </c>
      <c r="G542" s="26" t="inlineStr">
        <is>
          <t>Caloocan City</t>
        </is>
      </c>
      <c r="H542" s="26" t="inlineStr">
        <is>
          <t>Barangay 73</t>
        </is>
      </c>
      <c r="I542" s="27" t="n">
        <v>14.052349</v>
      </c>
      <c r="J542" s="27" t="n">
        <v>122.61629</v>
      </c>
      <c r="K542" s="10" t="inlineStr">
        <is>
          <t>R</t>
        </is>
      </c>
      <c r="L542" s="12" t="n">
        <v>2279</v>
      </c>
      <c r="M542" s="14" t="n">
        <v>3.8</v>
      </c>
      <c r="N542" s="12">
        <f>ROUND(L542/M542, 0)</f>
        <v/>
      </c>
      <c r="O542" s="12">
        <f>ROUND(N542*'Methodology &amp; Assumptions'!$B$5, 0)</f>
        <v/>
      </c>
      <c r="P542" s="10" t="inlineStr">
        <is>
          <t>Single Carrier (Band n50, 100MHz TDD)</t>
        </is>
      </c>
      <c r="Q542" s="13">
        <f>ROUNDUP(O542/'Methodology &amp; Assumptions'!$B$6, 0)</f>
        <v/>
      </c>
      <c r="R542" s="13" t="n">
        <v>1</v>
      </c>
      <c r="S542" s="14" t="n">
        <v>12.48</v>
      </c>
      <c r="T542" s="14" t="n">
        <v>10.71</v>
      </c>
      <c r="U542" s="26">
        <f>IF(X542&gt;='Methodology &amp; Assumptions'!$B$7, "Tier 1 Critical GIDA (Score ≥ 50.0)", IF(X542&gt;='Methodology &amp; Assumptions'!$B$8, "Tier 2 High GIDA (Score 40.0–49.9)", "Tier 3 Moderate GIDA (Score &lt; 40.0)"))</f>
        <v/>
      </c>
      <c r="V542" s="26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W542" s="28" t="n">
        <v>0.011</v>
      </c>
      <c r="X542" s="14" t="n">
        <v>48.59</v>
      </c>
      <c r="Y542" s="14">
        <f>ROUND(MIN(100, (X542/69.91)*100), 2)</f>
        <v/>
      </c>
    </row>
    <row r="543">
      <c r="A543" s="10" t="n">
        <v>3</v>
      </c>
      <c r="B543" s="10" t="n">
        <v>539</v>
      </c>
      <c r="C543" s="10" t="n">
        <v>2539</v>
      </c>
      <c r="D543" s="10" t="inlineStr">
        <is>
          <t>1380606080</t>
        </is>
      </c>
      <c r="E543" s="26" t="inlineStr">
        <is>
          <t>National Capital Region (NCR)</t>
        </is>
      </c>
      <c r="F543" s="26" t="inlineStr">
        <is>
          <t>First District (Not a Province)</t>
        </is>
      </c>
      <c r="G543" s="26" t="inlineStr">
        <is>
          <t>City of Manila</t>
        </is>
      </c>
      <c r="H543" s="26" t="inlineStr">
        <is>
          <t>Barangay 474</t>
        </is>
      </c>
      <c r="I543" s="27" t="n">
        <v>13.528157</v>
      </c>
      <c r="J543" s="27" t="n">
        <v>121.164463</v>
      </c>
      <c r="K543" s="10" t="inlineStr">
        <is>
          <t>U</t>
        </is>
      </c>
      <c r="L543" s="12" t="n">
        <v>1705</v>
      </c>
      <c r="M543" s="14" t="n">
        <v>3.9</v>
      </c>
      <c r="N543" s="12">
        <f>ROUND(L543/M543, 0)</f>
        <v/>
      </c>
      <c r="O543" s="12">
        <f>ROUND(N543*'Methodology &amp; Assumptions'!$B$5, 0)</f>
        <v/>
      </c>
      <c r="P543" s="10" t="inlineStr">
        <is>
          <t>Single Carrier (Band n50, 100MHz TDD)</t>
        </is>
      </c>
      <c r="Q543" s="13">
        <f>ROUNDUP(O543/'Methodology &amp; Assumptions'!$B$6, 0)</f>
        <v/>
      </c>
      <c r="R543" s="13" t="n">
        <v>1</v>
      </c>
      <c r="S543" s="14" t="n">
        <v>12.1</v>
      </c>
      <c r="T543" s="14" t="n">
        <v>16.8</v>
      </c>
      <c r="U543" s="26">
        <f>IF(X543&gt;='Methodology &amp; Assumptions'!$B$7, "Tier 1 Critical GIDA (Score ≥ 50.0)", IF(X543&gt;='Methodology &amp; Assumptions'!$B$8, "Tier 2 High GIDA (Score 40.0–49.9)", "Tier 3 Moderate GIDA (Score &lt; 40.0)"))</f>
        <v/>
      </c>
      <c r="V543" s="26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W543" s="28" t="n">
        <v>0.109</v>
      </c>
      <c r="X543" s="14" t="n">
        <v>48.58</v>
      </c>
      <c r="Y543" s="14">
        <f>ROUND(MIN(100, (X543/69.91)*100), 2)</f>
        <v/>
      </c>
    </row>
    <row r="544">
      <c r="A544" s="10" t="n">
        <v>3</v>
      </c>
      <c r="B544" s="10" t="n">
        <v>540</v>
      </c>
      <c r="C544" s="10" t="n">
        <v>2540</v>
      </c>
      <c r="D544" s="10" t="inlineStr">
        <is>
          <t>1381100122</t>
        </is>
      </c>
      <c r="E544" s="26" t="inlineStr">
        <is>
          <t>National Capital Region (NCR)</t>
        </is>
      </c>
      <c r="F544" s="26" t="inlineStr">
        <is>
          <t>Fourth District (Not a Province)</t>
        </is>
      </c>
      <c r="G544" s="26" t="inlineStr">
        <is>
          <t>Pasay City</t>
        </is>
      </c>
      <c r="H544" s="26" t="inlineStr">
        <is>
          <t>Barangay 122</t>
        </is>
      </c>
      <c r="I544" s="27" t="n">
        <v>14.595979</v>
      </c>
      <c r="J544" s="27" t="n">
        <v>120.823305</v>
      </c>
      <c r="K544" s="10" t="inlineStr">
        <is>
          <t>U</t>
        </is>
      </c>
      <c r="L544" s="12" t="n">
        <v>1218</v>
      </c>
      <c r="M544" s="14" t="n">
        <v>3.4</v>
      </c>
      <c r="N544" s="12">
        <f>ROUND(L544/M544, 0)</f>
        <v/>
      </c>
      <c r="O544" s="12">
        <f>ROUND(N544*'Methodology &amp; Assumptions'!$B$5, 0)</f>
        <v/>
      </c>
      <c r="P544" s="10" t="inlineStr">
        <is>
          <t>Single Carrier (Band n50, 100MHz TDD)</t>
        </is>
      </c>
      <c r="Q544" s="13">
        <f>ROUNDUP(O544/'Methodology &amp; Assumptions'!$B$6, 0)</f>
        <v/>
      </c>
      <c r="R544" s="13" t="n">
        <v>1</v>
      </c>
      <c r="S544" s="14" t="n">
        <v>14.85</v>
      </c>
      <c r="T544" s="14" t="n">
        <v>15.2</v>
      </c>
      <c r="U544" s="26">
        <f>IF(X544&gt;='Methodology &amp; Assumptions'!$B$7, "Tier 1 Critical GIDA (Score ≥ 50.0)", IF(X544&gt;='Methodology &amp; Assumptions'!$B$8, "Tier 2 High GIDA (Score 40.0–49.9)", "Tier 3 Moderate GIDA (Score &lt; 40.0)"))</f>
        <v/>
      </c>
      <c r="V544" s="26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W544" s="28" t="n">
        <v>0.109</v>
      </c>
      <c r="X544" s="14" t="n">
        <v>48.58</v>
      </c>
      <c r="Y544" s="14">
        <f>ROUND(MIN(100, (X544/69.91)*100), 2)</f>
        <v/>
      </c>
    </row>
    <row r="545">
      <c r="A545" s="10" t="n">
        <v>3</v>
      </c>
      <c r="B545" s="10" t="n">
        <v>541</v>
      </c>
      <c r="C545" s="10" t="n">
        <v>2541</v>
      </c>
      <c r="D545" s="10" t="inlineStr">
        <is>
          <t>1705315011</t>
        </is>
      </c>
      <c r="E545" s="26" t="inlineStr">
        <is>
          <t>MIMAROPA Region</t>
        </is>
      </c>
      <c r="F545" s="26" t="inlineStr">
        <is>
          <t>Palawan</t>
        </is>
      </c>
      <c r="G545" s="26" t="inlineStr">
        <is>
          <t>Narra</t>
        </is>
      </c>
      <c r="H545" s="26" t="inlineStr">
        <is>
          <t>Ipilan</t>
        </is>
      </c>
      <c r="I545" s="27" t="n">
        <v>9.173503999999999</v>
      </c>
      <c r="J545" s="27" t="n">
        <v>118.093868</v>
      </c>
      <c r="K545" s="10" t="inlineStr">
        <is>
          <t>R</t>
        </is>
      </c>
      <c r="L545" s="12" t="n">
        <v>2144</v>
      </c>
      <c r="M545" s="14" t="n">
        <v>3.9</v>
      </c>
      <c r="N545" s="12">
        <f>ROUND(L545/M545, 0)</f>
        <v/>
      </c>
      <c r="O545" s="12">
        <f>ROUND(N545*'Methodology &amp; Assumptions'!$B$5, 0)</f>
        <v/>
      </c>
      <c r="P545" s="10" t="inlineStr">
        <is>
          <t>Single Carrier (Band n50, 100MHz TDD)</t>
        </is>
      </c>
      <c r="Q545" s="13">
        <f>ROUNDUP(O545/'Methodology &amp; Assumptions'!$B$6, 0)</f>
        <v/>
      </c>
      <c r="R545" s="13" t="n">
        <v>1</v>
      </c>
      <c r="S545" s="14" t="n">
        <v>94.34</v>
      </c>
      <c r="T545" s="14" t="n">
        <v>96.62</v>
      </c>
      <c r="U545" s="26">
        <f>IF(X545&gt;='Methodology &amp; Assumptions'!$B$7, "Tier 1 Critical GIDA (Score ≥ 50.0)", IF(X545&gt;='Methodology &amp; Assumptions'!$B$8, "Tier 2 High GIDA (Score 40.0–49.9)", "Tier 3 Moderate GIDA (Score &lt; 40.0)"))</f>
        <v/>
      </c>
      <c r="V545" s="26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W545" s="28" t="n">
        <v>0.15</v>
      </c>
      <c r="X545" s="14" t="n">
        <v>48.58</v>
      </c>
      <c r="Y545" s="14">
        <f>ROUND(MIN(100, (X545/69.91)*100), 2)</f>
        <v/>
      </c>
    </row>
    <row r="546">
      <c r="A546" s="10" t="n">
        <v>3</v>
      </c>
      <c r="B546" s="10" t="n">
        <v>542</v>
      </c>
      <c r="C546" s="10" t="n">
        <v>2542</v>
      </c>
      <c r="D546" s="10" t="inlineStr">
        <is>
          <t>1380612031</t>
        </is>
      </c>
      <c r="E546" s="26" t="inlineStr">
        <is>
          <t>National Capital Region (NCR)</t>
        </is>
      </c>
      <c r="F546" s="26" t="inlineStr">
        <is>
          <t>First District (Not a Province)</t>
        </is>
      </c>
      <c r="G546" s="26" t="inlineStr">
        <is>
          <t>City of Manila</t>
        </is>
      </c>
      <c r="H546" s="26" t="inlineStr">
        <is>
          <t>Barangay 863</t>
        </is>
      </c>
      <c r="I546" s="27" t="n">
        <v>12.802926</v>
      </c>
      <c r="J546" s="27" t="n">
        <v>122.674175</v>
      </c>
      <c r="K546" s="10" t="inlineStr">
        <is>
          <t>U</t>
        </is>
      </c>
      <c r="L546" s="12" t="n">
        <v>1526</v>
      </c>
      <c r="M546" s="14" t="n">
        <v>3.9</v>
      </c>
      <c r="N546" s="12">
        <f>ROUND(L546/M546, 0)</f>
        <v/>
      </c>
      <c r="O546" s="12">
        <f>ROUND(N546*'Methodology &amp; Assumptions'!$B$5, 0)</f>
        <v/>
      </c>
      <c r="P546" s="10" t="inlineStr">
        <is>
          <t>Single Carrier (Band n50, 100MHz TDD)</t>
        </is>
      </c>
      <c r="Q546" s="13">
        <f>ROUNDUP(O546/'Methodology &amp; Assumptions'!$B$6, 0)</f>
        <v/>
      </c>
      <c r="R546" s="13" t="n">
        <v>1</v>
      </c>
      <c r="S546" s="14" t="n">
        <v>46.34</v>
      </c>
      <c r="T546" s="14" t="n">
        <v>85.72</v>
      </c>
      <c r="U546" s="26">
        <f>IF(X546&gt;='Methodology &amp; Assumptions'!$B$7, "Tier 1 Critical GIDA (Score ≥ 50.0)", IF(X546&gt;='Methodology &amp; Assumptions'!$B$8, "Tier 2 High GIDA (Score 40.0–49.9)", "Tier 3 Moderate GIDA (Score &lt; 40.0)"))</f>
        <v/>
      </c>
      <c r="V546" s="26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W546" s="28" t="n">
        <v>0.109</v>
      </c>
      <c r="X546" s="14" t="n">
        <v>48.58</v>
      </c>
      <c r="Y546" s="14">
        <f>ROUND(MIN(100, (X546/69.91)*100), 2)</f>
        <v/>
      </c>
    </row>
    <row r="547">
      <c r="A547" s="10" t="n">
        <v>3</v>
      </c>
      <c r="B547" s="10" t="n">
        <v>543</v>
      </c>
      <c r="C547" s="10" t="n">
        <v>2543</v>
      </c>
      <c r="D547" s="10" t="inlineStr">
        <is>
          <t>1381100063</t>
        </is>
      </c>
      <c r="E547" s="26" t="inlineStr">
        <is>
          <t>National Capital Region (NCR)</t>
        </is>
      </c>
      <c r="F547" s="26" t="inlineStr">
        <is>
          <t>Fourth District (Not a Province)</t>
        </is>
      </c>
      <c r="G547" s="26" t="inlineStr">
        <is>
          <t>Pasay City</t>
        </is>
      </c>
      <c r="H547" s="26" t="inlineStr">
        <is>
          <t>Barangay 63</t>
        </is>
      </c>
      <c r="I547" s="27" t="n">
        <v>14.618872</v>
      </c>
      <c r="J547" s="27" t="n">
        <v>121.176417</v>
      </c>
      <c r="K547" s="10" t="inlineStr">
        <is>
          <t>U</t>
        </is>
      </c>
      <c r="L547" s="12" t="n">
        <v>698</v>
      </c>
      <c r="M547" s="14" t="n">
        <v>3.4</v>
      </c>
      <c r="N547" s="12">
        <f>ROUND(L547/M547, 0)</f>
        <v/>
      </c>
      <c r="O547" s="12">
        <f>ROUND(N547*'Methodology &amp; Assumptions'!$B$5, 0)</f>
        <v/>
      </c>
      <c r="P547" s="10" t="inlineStr">
        <is>
          <t>Single Carrier (Band n50, 100MHz TDD)</t>
        </is>
      </c>
      <c r="Q547" s="13">
        <f>ROUNDUP(O547/'Methodology &amp; Assumptions'!$B$6, 0)</f>
        <v/>
      </c>
      <c r="R547" s="13" t="n">
        <v>1</v>
      </c>
      <c r="S547" s="14" t="n">
        <v>0.6899999999999999</v>
      </c>
      <c r="T547" s="14" t="n">
        <v>0.16</v>
      </c>
      <c r="U547" s="26">
        <f>IF(X547&gt;='Methodology &amp; Assumptions'!$B$7, "Tier 1 Critical GIDA (Score ≥ 50.0)", IF(X547&gt;='Methodology &amp; Assumptions'!$B$8, "Tier 2 High GIDA (Score 40.0–49.9)", "Tier 3 Moderate GIDA (Score &lt; 40.0)"))</f>
        <v/>
      </c>
      <c r="V547" s="26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W547" s="28" t="n">
        <v>0.109</v>
      </c>
      <c r="X547" s="14" t="n">
        <v>48.58</v>
      </c>
      <c r="Y547" s="14">
        <f>ROUND(MIN(100, (X547/69.91)*100), 2)</f>
        <v/>
      </c>
    </row>
    <row r="548">
      <c r="A548" s="10" t="n">
        <v>3</v>
      </c>
      <c r="B548" s="10" t="n">
        <v>544</v>
      </c>
      <c r="C548" s="10" t="n">
        <v>2544</v>
      </c>
      <c r="D548" s="10" t="inlineStr">
        <is>
          <t>1380607009</t>
        </is>
      </c>
      <c r="E548" s="26" t="inlineStr">
        <is>
          <t>National Capital Region (NCR)</t>
        </is>
      </c>
      <c r="F548" s="26" t="inlineStr">
        <is>
          <t>First District (Not a Province)</t>
        </is>
      </c>
      <c r="G548" s="26" t="inlineStr">
        <is>
          <t>City of Manila</t>
        </is>
      </c>
      <c r="H548" s="26" t="inlineStr">
        <is>
          <t>Barangay 645</t>
        </is>
      </c>
      <c r="I548" s="27" t="n">
        <v>12.342633</v>
      </c>
      <c r="J548" s="27" t="n">
        <v>121.056017</v>
      </c>
      <c r="K548" s="10" t="inlineStr">
        <is>
          <t>U</t>
        </is>
      </c>
      <c r="L548" s="12" t="n">
        <v>1756</v>
      </c>
      <c r="M548" s="14" t="n">
        <v>3.9</v>
      </c>
      <c r="N548" s="12">
        <f>ROUND(L548/M548, 0)</f>
        <v/>
      </c>
      <c r="O548" s="12">
        <f>ROUND(N548*'Methodology &amp; Assumptions'!$B$5, 0)</f>
        <v/>
      </c>
      <c r="P548" s="10" t="inlineStr">
        <is>
          <t>Single Carrier (Band n50, 100MHz TDD)</t>
        </is>
      </c>
      <c r="Q548" s="13">
        <f>ROUNDUP(O548/'Methodology &amp; Assumptions'!$B$6, 0)</f>
        <v/>
      </c>
      <c r="R548" s="13" t="n">
        <v>1</v>
      </c>
      <c r="S548" s="14" t="n">
        <v>1.3</v>
      </c>
      <c r="T548" s="14" t="n">
        <v>1.31</v>
      </c>
      <c r="U548" s="26">
        <f>IF(X548&gt;='Methodology &amp; Assumptions'!$B$7, "Tier 1 Critical GIDA (Score ≥ 50.0)", IF(X548&gt;='Methodology &amp; Assumptions'!$B$8, "Tier 2 High GIDA (Score 40.0–49.9)", "Tier 3 Moderate GIDA (Score &lt; 40.0)"))</f>
        <v/>
      </c>
      <c r="V548" s="26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W548" s="28" t="n">
        <v>0.109</v>
      </c>
      <c r="X548" s="14" t="n">
        <v>48.57</v>
      </c>
      <c r="Y548" s="14">
        <f>ROUND(MIN(100, (X548/69.91)*100), 2)</f>
        <v/>
      </c>
    </row>
    <row r="549">
      <c r="A549" s="10" t="n">
        <v>3</v>
      </c>
      <c r="B549" s="10" t="n">
        <v>545</v>
      </c>
      <c r="C549" s="10" t="n">
        <v>2545</v>
      </c>
      <c r="D549" s="10" t="inlineStr">
        <is>
          <t>0405603027</t>
        </is>
      </c>
      <c r="E549" s="26" t="inlineStr">
        <is>
          <t>Region IV-A (CALABARZON)</t>
        </is>
      </c>
      <c r="F549" s="26" t="inlineStr">
        <is>
          <t>Quezon</t>
        </is>
      </c>
      <c r="G549" s="26" t="inlineStr">
        <is>
          <t>Atimonan</t>
        </is>
      </c>
      <c r="H549" s="26" t="inlineStr">
        <is>
          <t>Montes Balaon</t>
        </is>
      </c>
      <c r="I549" s="27" t="n">
        <v>13.949188</v>
      </c>
      <c r="J549" s="27" t="n">
        <v>121.881431</v>
      </c>
      <c r="K549" s="10" t="inlineStr">
        <is>
          <t>R</t>
        </is>
      </c>
      <c r="L549" s="12" t="n">
        <v>178</v>
      </c>
      <c r="M549" s="14" t="n">
        <v>3.8</v>
      </c>
      <c r="N549" s="12">
        <f>ROUND(L549/M549, 0)</f>
        <v/>
      </c>
      <c r="O549" s="12">
        <f>ROUND(N549*'Methodology &amp; Assumptions'!$B$5, 0)</f>
        <v/>
      </c>
      <c r="P549" s="10" t="inlineStr">
        <is>
          <t>Single Carrier (Band n50, 100MHz TDD)</t>
        </is>
      </c>
      <c r="Q549" s="13">
        <f>ROUNDUP(O549/'Methodology &amp; Assumptions'!$B$6, 0)</f>
        <v/>
      </c>
      <c r="R549" s="13" t="n">
        <v>1</v>
      </c>
      <c r="S549" s="14" t="n">
        <v>7.44</v>
      </c>
      <c r="T549" s="14" t="n">
        <v>3.96</v>
      </c>
      <c r="U549" s="26">
        <f>IF(X549&gt;='Methodology &amp; Assumptions'!$B$7, "Tier 1 Critical GIDA (Score ≥ 50.0)", IF(X549&gt;='Methodology &amp; Assumptions'!$B$8, "Tier 2 High GIDA (Score 40.0–49.9)", "Tier 3 Moderate GIDA (Score &lt; 40.0)"))</f>
        <v/>
      </c>
      <c r="V549" s="26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W549" s="28" t="n">
        <v>0.07200000000000001</v>
      </c>
      <c r="X549" s="14" t="n">
        <v>48.57</v>
      </c>
      <c r="Y549" s="14">
        <f>ROUND(MIN(100, (X549/69.91)*100), 2)</f>
        <v/>
      </c>
    </row>
    <row r="550">
      <c r="A550" s="10" t="n">
        <v>3</v>
      </c>
      <c r="B550" s="10" t="n">
        <v>546</v>
      </c>
      <c r="C550" s="10" t="n">
        <v>2546</v>
      </c>
      <c r="D550" s="10" t="inlineStr">
        <is>
          <t>0806004038</t>
        </is>
      </c>
      <c r="E550" s="26" t="inlineStr">
        <is>
          <t>Region VIII (Eastern Visayas)</t>
        </is>
      </c>
      <c r="F550" s="26" t="inlineStr">
        <is>
          <t>Samar</t>
        </is>
      </c>
      <c r="G550" s="26" t="inlineStr">
        <is>
          <t>Calbiga</t>
        </is>
      </c>
      <c r="H550" s="26" t="inlineStr">
        <is>
          <t>San Mauricio</t>
        </is>
      </c>
      <c r="I550" s="27" t="n">
        <v>11.59331</v>
      </c>
      <c r="J550" s="27" t="n">
        <v>125.04465</v>
      </c>
      <c r="K550" s="10" t="inlineStr">
        <is>
          <t>R</t>
        </is>
      </c>
      <c r="L550" s="12" t="n">
        <v>301</v>
      </c>
      <c r="M550" s="14" t="n">
        <v>4.1</v>
      </c>
      <c r="N550" s="12">
        <f>ROUND(L550/M550, 0)</f>
        <v/>
      </c>
      <c r="O550" s="12">
        <f>ROUND(N550*'Methodology &amp; Assumptions'!$B$5, 0)</f>
        <v/>
      </c>
      <c r="P550" s="10" t="inlineStr">
        <is>
          <t>Single Carrier (Band n50, 100MHz TDD)</t>
        </is>
      </c>
      <c r="Q550" s="13">
        <f>ROUNDUP(O550/'Methodology &amp; Assumptions'!$B$6, 0)</f>
        <v/>
      </c>
      <c r="R550" s="13" t="n">
        <v>1</v>
      </c>
      <c r="S550" s="14" t="n">
        <v>39.6</v>
      </c>
      <c r="T550" s="14" t="n">
        <v>42.52</v>
      </c>
      <c r="U550" s="26">
        <f>IF(X550&gt;='Methodology &amp; Assumptions'!$B$7, "Tier 1 Critical GIDA (Score ≥ 50.0)", IF(X550&gt;='Methodology &amp; Assumptions'!$B$8, "Tier 2 High GIDA (Score 40.0–49.9)", "Tier 3 Moderate GIDA (Score &lt; 40.0)"))</f>
        <v/>
      </c>
      <c r="V550" s="26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W550" s="28" t="n">
        <v>0.237</v>
      </c>
      <c r="X550" s="14" t="n">
        <v>48.57</v>
      </c>
      <c r="Y550" s="14">
        <f>ROUND(MIN(100, (X550/69.91)*100), 2)</f>
        <v/>
      </c>
    </row>
    <row r="551">
      <c r="A551" s="10" t="n">
        <v>3</v>
      </c>
      <c r="B551" s="10" t="n">
        <v>547</v>
      </c>
      <c r="C551" s="10" t="n">
        <v>2547</v>
      </c>
      <c r="D551" s="10" t="inlineStr">
        <is>
          <t>1102508013</t>
        </is>
      </c>
      <c r="E551" s="26" t="inlineStr">
        <is>
          <t>Region XI (Davao Region)</t>
        </is>
      </c>
      <c r="F551" s="26" t="inlineStr">
        <is>
          <t>Davao Oriental</t>
        </is>
      </c>
      <c r="G551" s="26" t="inlineStr">
        <is>
          <t>Manay</t>
        </is>
      </c>
      <c r="H551" s="26" t="inlineStr">
        <is>
          <t>San Fermin</t>
        </is>
      </c>
      <c r="I551" s="27" t="n">
        <v>7.269818</v>
      </c>
      <c r="J551" s="27" t="n">
        <v>126.441304</v>
      </c>
      <c r="K551" s="10" t="inlineStr">
        <is>
          <t>R</t>
        </is>
      </c>
      <c r="L551" s="12" t="n">
        <v>1137</v>
      </c>
      <c r="M551" s="14" t="n">
        <v>3.6</v>
      </c>
      <c r="N551" s="12">
        <f>ROUND(L551/M551, 0)</f>
        <v/>
      </c>
      <c r="O551" s="12">
        <f>ROUND(N551*'Methodology &amp; Assumptions'!$B$5, 0)</f>
        <v/>
      </c>
      <c r="P551" s="10" t="inlineStr">
        <is>
          <t>Single Carrier (Band n50, 100MHz TDD)</t>
        </is>
      </c>
      <c r="Q551" s="13">
        <f>ROUNDUP(O551/'Methodology &amp; Assumptions'!$B$6, 0)</f>
        <v/>
      </c>
      <c r="R551" s="13" t="n">
        <v>1</v>
      </c>
      <c r="S551" s="14" t="n">
        <v>42.93</v>
      </c>
      <c r="T551" s="14" t="n">
        <v>42</v>
      </c>
      <c r="U551" s="26">
        <f>IF(X551&gt;='Methodology &amp; Assumptions'!$B$7, "Tier 1 Critical GIDA (Score ≥ 50.0)", IF(X551&gt;='Methodology &amp; Assumptions'!$B$8, "Tier 2 High GIDA (Score 40.0–49.9)", "Tier 3 Moderate GIDA (Score &lt; 40.0)"))</f>
        <v/>
      </c>
      <c r="V551" s="26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W551" s="28" t="n">
        <v>0.174</v>
      </c>
      <c r="X551" s="14" t="n">
        <v>48.57</v>
      </c>
      <c r="Y551" s="14">
        <f>ROUND(MIN(100, (X551/69.91)*100), 2)</f>
        <v/>
      </c>
    </row>
    <row r="552">
      <c r="A552" s="10" t="n">
        <v>3</v>
      </c>
      <c r="B552" s="10" t="n">
        <v>548</v>
      </c>
      <c r="C552" s="10" t="n">
        <v>2548</v>
      </c>
      <c r="D552" s="10" t="inlineStr">
        <is>
          <t>1381100128</t>
        </is>
      </c>
      <c r="E552" s="26" t="inlineStr">
        <is>
          <t>National Capital Region (NCR)</t>
        </is>
      </c>
      <c r="F552" s="26" t="inlineStr">
        <is>
          <t>Fourth District (Not a Province)</t>
        </is>
      </c>
      <c r="G552" s="26" t="inlineStr">
        <is>
          <t>Pasay City</t>
        </is>
      </c>
      <c r="H552" s="26" t="inlineStr">
        <is>
          <t>Barangay 128</t>
        </is>
      </c>
      <c r="I552" s="27" t="n">
        <v>14.369258</v>
      </c>
      <c r="J552" s="27" t="n">
        <v>120.930256</v>
      </c>
      <c r="K552" s="10" t="inlineStr">
        <is>
          <t>U</t>
        </is>
      </c>
      <c r="L552" s="12" t="n">
        <v>1680</v>
      </c>
      <c r="M552" s="14" t="n">
        <v>3.4</v>
      </c>
      <c r="N552" s="12">
        <f>ROUND(L552/M552, 0)</f>
        <v/>
      </c>
      <c r="O552" s="12">
        <f>ROUND(N552*'Methodology &amp; Assumptions'!$B$5, 0)</f>
        <v/>
      </c>
      <c r="P552" s="10" t="inlineStr">
        <is>
          <t>Single Carrier (Band n50, 100MHz TDD)</t>
        </is>
      </c>
      <c r="Q552" s="13">
        <f>ROUNDUP(O552/'Methodology &amp; Assumptions'!$B$6, 0)</f>
        <v/>
      </c>
      <c r="R552" s="13" t="n">
        <v>1</v>
      </c>
      <c r="S552" s="14" t="n">
        <v>1.88</v>
      </c>
      <c r="T552" s="14" t="n">
        <v>6.85</v>
      </c>
      <c r="U552" s="26">
        <f>IF(X552&gt;='Methodology &amp; Assumptions'!$B$7, "Tier 1 Critical GIDA (Score ≥ 50.0)", IF(X552&gt;='Methodology &amp; Assumptions'!$B$8, "Tier 2 High GIDA (Score 40.0–49.9)", "Tier 3 Moderate GIDA (Score &lt; 40.0)"))</f>
        <v/>
      </c>
      <c r="V552" s="26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W552" s="28" t="n">
        <v>0.109</v>
      </c>
      <c r="X552" s="14" t="n">
        <v>48.57</v>
      </c>
      <c r="Y552" s="14">
        <f>ROUND(MIN(100, (X552/69.91)*100), 2)</f>
        <v/>
      </c>
    </row>
    <row r="553">
      <c r="A553" s="10" t="n">
        <v>3</v>
      </c>
      <c r="B553" s="10" t="n">
        <v>549</v>
      </c>
      <c r="C553" s="10" t="n">
        <v>2549</v>
      </c>
      <c r="D553" s="10" t="inlineStr">
        <is>
          <t>0806004005</t>
        </is>
      </c>
      <c r="E553" s="26" t="inlineStr">
        <is>
          <t>Region VIII (Eastern Visayas)</t>
        </is>
      </c>
      <c r="F553" s="26" t="inlineStr">
        <is>
          <t>Samar</t>
        </is>
      </c>
      <c r="G553" s="26" t="inlineStr">
        <is>
          <t>Calbiga</t>
        </is>
      </c>
      <c r="H553" s="26" t="inlineStr">
        <is>
          <t>Binanggaran</t>
        </is>
      </c>
      <c r="I553" s="27" t="n">
        <v>11.6087</v>
      </c>
      <c r="J553" s="27" t="n">
        <v>125.12268</v>
      </c>
      <c r="K553" s="10" t="inlineStr">
        <is>
          <t>R</t>
        </is>
      </c>
      <c r="L553" s="12" t="n">
        <v>158</v>
      </c>
      <c r="M553" s="14" t="n">
        <v>4.1</v>
      </c>
      <c r="N553" s="12">
        <f>ROUND(L553/M553, 0)</f>
        <v/>
      </c>
      <c r="O553" s="12">
        <f>ROUND(N553*'Methodology &amp; Assumptions'!$B$5, 0)</f>
        <v/>
      </c>
      <c r="P553" s="10" t="inlineStr">
        <is>
          <t>Single Carrier (Band n50, 100MHz TDD)</t>
        </is>
      </c>
      <c r="Q553" s="13">
        <f>ROUNDUP(O553/'Methodology &amp; Assumptions'!$B$6, 0)</f>
        <v/>
      </c>
      <c r="R553" s="13" t="n">
        <v>1</v>
      </c>
      <c r="S553" s="14" t="n">
        <v>43.08</v>
      </c>
      <c r="T553" s="14" t="n">
        <v>45.76</v>
      </c>
      <c r="U553" s="26">
        <f>IF(X553&gt;='Methodology &amp; Assumptions'!$B$7, "Tier 1 Critical GIDA (Score ≥ 50.0)", IF(X553&gt;='Methodology &amp; Assumptions'!$B$8, "Tier 2 High GIDA (Score 40.0–49.9)", "Tier 3 Moderate GIDA (Score &lt; 40.0)"))</f>
        <v/>
      </c>
      <c r="V553" s="26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W553" s="28" t="n">
        <v>0.237</v>
      </c>
      <c r="X553" s="14" t="n">
        <v>48.57</v>
      </c>
      <c r="Y553" s="14">
        <f>ROUND(MIN(100, (X553/69.91)*100), 2)</f>
        <v/>
      </c>
    </row>
    <row r="554">
      <c r="A554" s="10" t="n">
        <v>3</v>
      </c>
      <c r="B554" s="10" t="n">
        <v>550</v>
      </c>
      <c r="C554" s="10" t="n">
        <v>2550</v>
      </c>
      <c r="D554" s="10" t="inlineStr">
        <is>
          <t>1381100107</t>
        </is>
      </c>
      <c r="E554" s="26" t="inlineStr">
        <is>
          <t>National Capital Region (NCR)</t>
        </is>
      </c>
      <c r="F554" s="26" t="inlineStr">
        <is>
          <t>Fourth District (Not a Province)</t>
        </is>
      </c>
      <c r="G554" s="26" t="inlineStr">
        <is>
          <t>Pasay City</t>
        </is>
      </c>
      <c r="H554" s="26" t="inlineStr">
        <is>
          <t>Barangay 107</t>
        </is>
      </c>
      <c r="I554" s="27" t="n">
        <v>14.716784</v>
      </c>
      <c r="J554" s="27" t="n">
        <v>120.937585</v>
      </c>
      <c r="K554" s="10" t="inlineStr">
        <is>
          <t>U</t>
        </is>
      </c>
      <c r="L554" s="12" t="n">
        <v>1605</v>
      </c>
      <c r="M554" s="14" t="n">
        <v>3.4</v>
      </c>
      <c r="N554" s="12">
        <f>ROUND(L554/M554, 0)</f>
        <v/>
      </c>
      <c r="O554" s="12">
        <f>ROUND(N554*'Methodology &amp; Assumptions'!$B$5, 0)</f>
        <v/>
      </c>
      <c r="P554" s="10" t="inlineStr">
        <is>
          <t>Single Carrier (Band n50, 100MHz TDD)</t>
        </is>
      </c>
      <c r="Q554" s="13">
        <f>ROUNDUP(O554/'Methodology &amp; Assumptions'!$B$6, 0)</f>
        <v/>
      </c>
      <c r="R554" s="13" t="n">
        <v>1</v>
      </c>
      <c r="S554" s="14" t="n">
        <v>0.82</v>
      </c>
      <c r="T554" s="14" t="n">
        <v>2.1</v>
      </c>
      <c r="U554" s="26">
        <f>IF(X554&gt;='Methodology &amp; Assumptions'!$B$7, "Tier 1 Critical GIDA (Score ≥ 50.0)", IF(X554&gt;='Methodology &amp; Assumptions'!$B$8, "Tier 2 High GIDA (Score 40.0–49.9)", "Tier 3 Moderate GIDA (Score &lt; 40.0)"))</f>
        <v/>
      </c>
      <c r="V554" s="26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W554" s="28" t="n">
        <v>0.109</v>
      </c>
      <c r="X554" s="14" t="n">
        <v>48.57</v>
      </c>
      <c r="Y554" s="14">
        <f>ROUND(MIN(100, (X554/69.91)*100), 2)</f>
        <v/>
      </c>
    </row>
    <row r="555">
      <c r="A555" s="10" t="n">
        <v>3</v>
      </c>
      <c r="B555" s="10" t="n">
        <v>551</v>
      </c>
      <c r="C555" s="10" t="n">
        <v>2551</v>
      </c>
      <c r="D555" s="10" t="inlineStr">
        <is>
          <t>PH0002551</t>
        </is>
      </c>
      <c r="E555" s="26" t="inlineStr">
        <is>
          <t>VIII</t>
        </is>
      </c>
      <c r="F555" s="26" t="inlineStr">
        <is>
          <t>Leyte</t>
        </is>
      </c>
      <c r="G555" s="26" t="inlineStr">
        <is>
          <t>Tacloban City</t>
        </is>
      </c>
      <c r="H555" s="26" t="inlineStr">
        <is>
          <t>Barangay 6</t>
        </is>
      </c>
      <c r="I555" s="27" t="n">
        <v>11.244768</v>
      </c>
      <c r="J555" s="27" t="n">
        <v>125.005657</v>
      </c>
      <c r="K555" s="10" t="inlineStr">
        <is>
          <t>R</t>
        </is>
      </c>
      <c r="L555" s="12" t="n">
        <v>2258</v>
      </c>
      <c r="M555" s="14" t="n">
        <v>3.8</v>
      </c>
      <c r="N555" s="12">
        <f>ROUND(L555/M555, 0)</f>
        <v/>
      </c>
      <c r="O555" s="12">
        <f>ROUND(N555*'Methodology &amp; Assumptions'!$B$5, 0)</f>
        <v/>
      </c>
      <c r="P555" s="10" t="inlineStr">
        <is>
          <t>Single Carrier (Band n50, 100MHz TDD)</t>
        </is>
      </c>
      <c r="Q555" s="13">
        <f>ROUNDUP(O555/'Methodology &amp; Assumptions'!$B$6, 0)</f>
        <v/>
      </c>
      <c r="R555" s="13" t="n">
        <v>1</v>
      </c>
      <c r="S555" s="14" t="n">
        <v>0.67</v>
      </c>
      <c r="T555" s="14" t="n">
        <v>3.62</v>
      </c>
      <c r="U555" s="26">
        <f>IF(X555&gt;='Methodology &amp; Assumptions'!$B$7, "Tier 1 Critical GIDA (Score ≥ 50.0)", IF(X555&gt;='Methodology &amp; Assumptions'!$B$8, "Tier 2 High GIDA (Score 40.0–49.9)", "Tier 3 Moderate GIDA (Score &lt; 40.0)"))</f>
        <v/>
      </c>
      <c r="V555" s="26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W555" s="28" t="n">
        <v>0.222</v>
      </c>
      <c r="X555" s="14" t="n">
        <v>48.56</v>
      </c>
      <c r="Y555" s="14">
        <f>ROUND(MIN(100, (X555/69.91)*100), 2)</f>
        <v/>
      </c>
    </row>
    <row r="556">
      <c r="A556" s="10" t="n">
        <v>3</v>
      </c>
      <c r="B556" s="10" t="n">
        <v>552</v>
      </c>
      <c r="C556" s="10" t="n">
        <v>2552</v>
      </c>
      <c r="D556" s="10" t="inlineStr">
        <is>
          <t>1381100141</t>
        </is>
      </c>
      <c r="E556" s="26" t="inlineStr">
        <is>
          <t>National Capital Region (NCR)</t>
        </is>
      </c>
      <c r="F556" s="26" t="inlineStr">
        <is>
          <t>Fourth District (Not a Province)</t>
        </is>
      </c>
      <c r="G556" s="26" t="inlineStr">
        <is>
          <t>Pasay City</t>
        </is>
      </c>
      <c r="H556" s="26" t="inlineStr">
        <is>
          <t>Barangay 141</t>
        </is>
      </c>
      <c r="I556" s="27" t="n">
        <v>14.453877</v>
      </c>
      <c r="J556" s="27" t="n">
        <v>121.17645</v>
      </c>
      <c r="K556" s="10" t="inlineStr">
        <is>
          <t>U</t>
        </is>
      </c>
      <c r="L556" s="12" t="n">
        <v>478</v>
      </c>
      <c r="M556" s="14" t="n">
        <v>3.4</v>
      </c>
      <c r="N556" s="12">
        <f>ROUND(L556/M556, 0)</f>
        <v/>
      </c>
      <c r="O556" s="12">
        <f>ROUND(N556*'Methodology &amp; Assumptions'!$B$5, 0)</f>
        <v/>
      </c>
      <c r="P556" s="10" t="inlineStr">
        <is>
          <t>Single Carrier (Band n50, 100MHz TDD)</t>
        </is>
      </c>
      <c r="Q556" s="13">
        <f>ROUNDUP(O556/'Methodology &amp; Assumptions'!$B$6, 0)</f>
        <v/>
      </c>
      <c r="R556" s="13" t="n">
        <v>1</v>
      </c>
      <c r="S556" s="14" t="n">
        <v>3.53</v>
      </c>
      <c r="T556" s="14" t="n">
        <v>2.16</v>
      </c>
      <c r="U556" s="26">
        <f>IF(X556&gt;='Methodology &amp; Assumptions'!$B$7, "Tier 1 Critical GIDA (Score ≥ 50.0)", IF(X556&gt;='Methodology &amp; Assumptions'!$B$8, "Tier 2 High GIDA (Score 40.0–49.9)", "Tier 3 Moderate GIDA (Score &lt; 40.0)"))</f>
        <v/>
      </c>
      <c r="V556" s="26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W556" s="28" t="n">
        <v>0.109</v>
      </c>
      <c r="X556" s="14" t="n">
        <v>48.56</v>
      </c>
      <c r="Y556" s="14">
        <f>ROUND(MIN(100, (X556/69.91)*100), 2)</f>
        <v/>
      </c>
    </row>
    <row r="557">
      <c r="A557" s="10" t="n">
        <v>3</v>
      </c>
      <c r="B557" s="10" t="n">
        <v>553</v>
      </c>
      <c r="C557" s="10" t="n">
        <v>2553</v>
      </c>
      <c r="D557" s="10" t="inlineStr">
        <is>
          <t>PH0002553</t>
        </is>
      </c>
      <c r="E557" s="26" t="inlineStr">
        <is>
          <t>I</t>
        </is>
      </c>
      <c r="F557" s="26" t="inlineStr">
        <is>
          <t>Ilocos Norte</t>
        </is>
      </c>
      <c r="G557" s="26" t="inlineStr">
        <is>
          <t>Laoag City</t>
        </is>
      </c>
      <c r="H557" s="26" t="inlineStr">
        <is>
          <t>Bgy. No. 16, San Jacinto (Pob.)</t>
        </is>
      </c>
      <c r="I557" s="27" t="n">
        <v>18.192868</v>
      </c>
      <c r="J557" s="27" t="n">
        <v>120.574914</v>
      </c>
      <c r="K557" s="10" t="inlineStr">
        <is>
          <t>R</t>
        </is>
      </c>
      <c r="L557" s="12" t="n">
        <v>2233</v>
      </c>
      <c r="M557" s="14" t="n">
        <v>3.7</v>
      </c>
      <c r="N557" s="12">
        <f>ROUND(L557/M557, 0)</f>
        <v/>
      </c>
      <c r="O557" s="12">
        <f>ROUND(N557*'Methodology &amp; Assumptions'!$B$5, 0)</f>
        <v/>
      </c>
      <c r="P557" s="10" t="inlineStr">
        <is>
          <t>Single Carrier (Band n50, 100MHz TDD)</t>
        </is>
      </c>
      <c r="Q557" s="13">
        <f>ROUNDUP(O557/'Methodology &amp; Assumptions'!$B$6, 0)</f>
        <v/>
      </c>
      <c r="R557" s="13" t="n">
        <v>1</v>
      </c>
      <c r="S557" s="14" t="n">
        <v>1.87</v>
      </c>
      <c r="T557" s="14" t="n">
        <v>1.68</v>
      </c>
      <c r="U557" s="26">
        <f>IF(X557&gt;='Methodology &amp; Assumptions'!$B$7, "Tier 1 Critical GIDA (Score ≥ 50.0)", IF(X557&gt;='Methodology &amp; Assumptions'!$B$8, "Tier 2 High GIDA (Score 40.0–49.9)", "Tier 3 Moderate GIDA (Score &lt; 40.0)"))</f>
        <v/>
      </c>
      <c r="V557" s="26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W557" s="28" t="n">
        <v>0.083</v>
      </c>
      <c r="X557" s="14" t="n">
        <v>48.56</v>
      </c>
      <c r="Y557" s="14">
        <f>ROUND(MIN(100, (X557/69.91)*100), 2)</f>
        <v/>
      </c>
    </row>
    <row r="558">
      <c r="A558" s="10" t="n">
        <v>3</v>
      </c>
      <c r="B558" s="10" t="n">
        <v>554</v>
      </c>
      <c r="C558" s="10" t="n">
        <v>2554</v>
      </c>
      <c r="D558" s="10" t="inlineStr">
        <is>
          <t>1381100069</t>
        </is>
      </c>
      <c r="E558" s="26" t="inlineStr">
        <is>
          <t>National Capital Region (NCR)</t>
        </is>
      </c>
      <c r="F558" s="26" t="inlineStr">
        <is>
          <t>Fourth District (Not a Province)</t>
        </is>
      </c>
      <c r="G558" s="26" t="inlineStr">
        <is>
          <t>Pasay City</t>
        </is>
      </c>
      <c r="H558" s="26" t="inlineStr">
        <is>
          <t>Barangay 69</t>
        </is>
      </c>
      <c r="I558" s="27" t="n">
        <v>14.491781</v>
      </c>
      <c r="J558" s="27" t="n">
        <v>120.814261</v>
      </c>
      <c r="K558" s="10" t="inlineStr">
        <is>
          <t>U</t>
        </is>
      </c>
      <c r="L558" s="12" t="n">
        <v>1186</v>
      </c>
      <c r="M558" s="14" t="n">
        <v>3.4</v>
      </c>
      <c r="N558" s="12">
        <f>ROUND(L558/M558, 0)</f>
        <v/>
      </c>
      <c r="O558" s="12">
        <f>ROUND(N558*'Methodology &amp; Assumptions'!$B$5, 0)</f>
        <v/>
      </c>
      <c r="P558" s="10" t="inlineStr">
        <is>
          <t>Single Carrier (Band n50, 100MHz TDD)</t>
        </is>
      </c>
      <c r="Q558" s="13">
        <f>ROUNDUP(O558/'Methodology &amp; Assumptions'!$B$6, 0)</f>
        <v/>
      </c>
      <c r="R558" s="13" t="n">
        <v>1</v>
      </c>
      <c r="S558" s="14" t="n">
        <v>8.119999999999999</v>
      </c>
      <c r="T558" s="14" t="n">
        <v>10.1</v>
      </c>
      <c r="U558" s="26">
        <f>IF(X558&gt;='Methodology &amp; Assumptions'!$B$7, "Tier 1 Critical GIDA (Score ≥ 50.0)", IF(X558&gt;='Methodology &amp; Assumptions'!$B$8, "Tier 2 High GIDA (Score 40.0–49.9)", "Tier 3 Moderate GIDA (Score &lt; 40.0)"))</f>
        <v/>
      </c>
      <c r="V558" s="26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W558" s="28" t="n">
        <v>0.109</v>
      </c>
      <c r="X558" s="14" t="n">
        <v>48.56</v>
      </c>
      <c r="Y558" s="14">
        <f>ROUND(MIN(100, (X558/69.91)*100), 2)</f>
        <v/>
      </c>
    </row>
    <row r="559">
      <c r="A559" s="10" t="n">
        <v>3</v>
      </c>
      <c r="B559" s="10" t="n">
        <v>555</v>
      </c>
      <c r="C559" s="10" t="n">
        <v>2555</v>
      </c>
      <c r="D559" s="10" t="inlineStr">
        <is>
          <t>1381100153</t>
        </is>
      </c>
      <c r="E559" s="26" t="inlineStr">
        <is>
          <t>National Capital Region (NCR)</t>
        </is>
      </c>
      <c r="F559" s="26" t="inlineStr">
        <is>
          <t>Fourth District (Not a Province)</t>
        </is>
      </c>
      <c r="G559" s="26" t="inlineStr">
        <is>
          <t>Pasay City</t>
        </is>
      </c>
      <c r="H559" s="26" t="inlineStr">
        <is>
          <t>Barangay 153</t>
        </is>
      </c>
      <c r="I559" s="27" t="n">
        <v>14.702176</v>
      </c>
      <c r="J559" s="27" t="n">
        <v>121.109845</v>
      </c>
      <c r="K559" s="10" t="inlineStr">
        <is>
          <t>U</t>
        </is>
      </c>
      <c r="L559" s="12" t="n">
        <v>1406</v>
      </c>
      <c r="M559" s="14" t="n">
        <v>3.4</v>
      </c>
      <c r="N559" s="12">
        <f>ROUND(L559/M559, 0)</f>
        <v/>
      </c>
      <c r="O559" s="12">
        <f>ROUND(N559*'Methodology &amp; Assumptions'!$B$5, 0)</f>
        <v/>
      </c>
      <c r="P559" s="10" t="inlineStr">
        <is>
          <t>Single Carrier (Band n50, 100MHz TDD)</t>
        </is>
      </c>
      <c r="Q559" s="13">
        <f>ROUNDUP(O559/'Methodology &amp; Assumptions'!$B$6, 0)</f>
        <v/>
      </c>
      <c r="R559" s="13" t="n">
        <v>1</v>
      </c>
      <c r="S559" s="14" t="n">
        <v>0.66</v>
      </c>
      <c r="T559" s="14" t="n">
        <v>1.49</v>
      </c>
      <c r="U559" s="26">
        <f>IF(X559&gt;='Methodology &amp; Assumptions'!$B$7, "Tier 1 Critical GIDA (Score ≥ 50.0)", IF(X559&gt;='Methodology &amp; Assumptions'!$B$8, "Tier 2 High GIDA (Score 40.0–49.9)", "Tier 3 Moderate GIDA (Score &lt; 40.0)"))</f>
        <v/>
      </c>
      <c r="V559" s="26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W559" s="28" t="n">
        <v>0.109</v>
      </c>
      <c r="X559" s="14" t="n">
        <v>48.56</v>
      </c>
      <c r="Y559" s="14">
        <f>ROUND(MIN(100, (X559/69.91)*100), 2)</f>
        <v/>
      </c>
    </row>
    <row r="560">
      <c r="A560" s="10" t="n">
        <v>3</v>
      </c>
      <c r="B560" s="10" t="n">
        <v>556</v>
      </c>
      <c r="C560" s="10" t="n">
        <v>2556</v>
      </c>
      <c r="D560" s="10" t="inlineStr">
        <is>
          <t>1381100021</t>
        </is>
      </c>
      <c r="E560" s="26" t="inlineStr">
        <is>
          <t>National Capital Region (NCR)</t>
        </is>
      </c>
      <c r="F560" s="26" t="inlineStr">
        <is>
          <t>Fourth District (Not a Province)</t>
        </is>
      </c>
      <c r="G560" s="26" t="inlineStr">
        <is>
          <t>Pasay City</t>
        </is>
      </c>
      <c r="H560" s="26" t="inlineStr">
        <is>
          <t>Barangay 21</t>
        </is>
      </c>
      <c r="I560" s="27" t="n">
        <v>14.351292</v>
      </c>
      <c r="J560" s="27" t="n">
        <v>121.038256</v>
      </c>
      <c r="K560" s="10" t="inlineStr">
        <is>
          <t>U</t>
        </is>
      </c>
      <c r="L560" s="12" t="n">
        <v>812</v>
      </c>
      <c r="M560" s="14" t="n">
        <v>3.4</v>
      </c>
      <c r="N560" s="12">
        <f>ROUND(L560/M560, 0)</f>
        <v/>
      </c>
      <c r="O560" s="12">
        <f>ROUND(N560*'Methodology &amp; Assumptions'!$B$5, 0)</f>
        <v/>
      </c>
      <c r="P560" s="10" t="inlineStr">
        <is>
          <t>Single Carrier (Band n50, 100MHz TDD)</t>
        </is>
      </c>
      <c r="Q560" s="13">
        <f>ROUNDUP(O560/'Methodology &amp; Assumptions'!$B$6, 0)</f>
        <v/>
      </c>
      <c r="R560" s="13" t="n">
        <v>1</v>
      </c>
      <c r="S560" s="14" t="n">
        <v>0.79</v>
      </c>
      <c r="T560" s="14" t="n">
        <v>0.59</v>
      </c>
      <c r="U560" s="26">
        <f>IF(X560&gt;='Methodology &amp; Assumptions'!$B$7, "Tier 1 Critical GIDA (Score ≥ 50.0)", IF(X560&gt;='Methodology &amp; Assumptions'!$B$8, "Tier 2 High GIDA (Score 40.0–49.9)", "Tier 3 Moderate GIDA (Score &lt; 40.0)"))</f>
        <v/>
      </c>
      <c r="V560" s="26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W560" s="28" t="n">
        <v>0.109</v>
      </c>
      <c r="X560" s="14" t="n">
        <v>48.56</v>
      </c>
      <c r="Y560" s="14">
        <f>ROUND(MIN(100, (X560/69.91)*100), 2)</f>
        <v/>
      </c>
    </row>
    <row r="561">
      <c r="A561" s="10" t="n">
        <v>3</v>
      </c>
      <c r="B561" s="10" t="n">
        <v>557</v>
      </c>
      <c r="C561" s="10" t="n">
        <v>2557</v>
      </c>
      <c r="D561" s="10" t="inlineStr">
        <is>
          <t>1380606133</t>
        </is>
      </c>
      <c r="E561" s="26" t="inlineStr">
        <is>
          <t>National Capital Region (NCR)</t>
        </is>
      </c>
      <c r="F561" s="26" t="inlineStr">
        <is>
          <t>First District (Not a Province)</t>
        </is>
      </c>
      <c r="G561" s="26" t="inlineStr">
        <is>
          <t>City of Manila</t>
        </is>
      </c>
      <c r="H561" s="26" t="inlineStr">
        <is>
          <t>Barangay 527</t>
        </is>
      </c>
      <c r="I561" s="27" t="n">
        <v>13.749855</v>
      </c>
      <c r="J561" s="27" t="n">
        <v>121.931392</v>
      </c>
      <c r="K561" s="10" t="inlineStr">
        <is>
          <t>U</t>
        </is>
      </c>
      <c r="L561" s="12" t="n">
        <v>2199</v>
      </c>
      <c r="M561" s="14" t="n">
        <v>3.9</v>
      </c>
      <c r="N561" s="12">
        <f>ROUND(L561/M561, 0)</f>
        <v/>
      </c>
      <c r="O561" s="12">
        <f>ROUND(N561*'Methodology &amp; Assumptions'!$B$5, 0)</f>
        <v/>
      </c>
      <c r="P561" s="10" t="inlineStr">
        <is>
          <t>Single Carrier (Band n50, 100MHz TDD)</t>
        </is>
      </c>
      <c r="Q561" s="13">
        <f>ROUNDUP(O561/'Methodology &amp; Assumptions'!$B$6, 0)</f>
        <v/>
      </c>
      <c r="R561" s="13" t="n">
        <v>1</v>
      </c>
      <c r="S561" s="14" t="n">
        <v>11.18</v>
      </c>
      <c r="T561" s="14" t="n">
        <v>10.71</v>
      </c>
      <c r="U561" s="26">
        <f>IF(X561&gt;='Methodology &amp; Assumptions'!$B$7, "Tier 1 Critical GIDA (Score ≥ 50.0)", IF(X561&gt;='Methodology &amp; Assumptions'!$B$8, "Tier 2 High GIDA (Score 40.0–49.9)", "Tier 3 Moderate GIDA (Score &lt; 40.0)"))</f>
        <v/>
      </c>
      <c r="V561" s="26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W561" s="28" t="n">
        <v>0.109</v>
      </c>
      <c r="X561" s="14" t="n">
        <v>48.56</v>
      </c>
      <c r="Y561" s="14">
        <f>ROUND(MIN(100, (X561/69.91)*100), 2)</f>
        <v/>
      </c>
    </row>
    <row r="562">
      <c r="A562" s="10" t="n">
        <v>3</v>
      </c>
      <c r="B562" s="10" t="n">
        <v>558</v>
      </c>
      <c r="C562" s="10" t="n">
        <v>2558</v>
      </c>
      <c r="D562" s="10" t="inlineStr">
        <is>
          <t>1380606225</t>
        </is>
      </c>
      <c r="E562" s="26" t="inlineStr">
        <is>
          <t>National Capital Region (NCR)</t>
        </is>
      </c>
      <c r="F562" s="26" t="inlineStr">
        <is>
          <t>First District (Not a Province)</t>
        </is>
      </c>
      <c r="G562" s="26" t="inlineStr">
        <is>
          <t>City of Manila</t>
        </is>
      </c>
      <c r="H562" s="26" t="inlineStr">
        <is>
          <t>Barangay 618</t>
        </is>
      </c>
      <c r="I562" s="27" t="n">
        <v>12.133359</v>
      </c>
      <c r="J562" s="27" t="n">
        <v>122.261743</v>
      </c>
      <c r="K562" s="10" t="inlineStr">
        <is>
          <t>U</t>
        </is>
      </c>
      <c r="L562" s="12" t="n">
        <v>762</v>
      </c>
      <c r="M562" s="14" t="n">
        <v>3.9</v>
      </c>
      <c r="N562" s="12">
        <f>ROUND(L562/M562, 0)</f>
        <v/>
      </c>
      <c r="O562" s="12">
        <f>ROUND(N562*'Methodology &amp; Assumptions'!$B$5, 0)</f>
        <v/>
      </c>
      <c r="P562" s="10" t="inlineStr">
        <is>
          <t>Single Carrier (Band n50, 100MHz TDD)</t>
        </is>
      </c>
      <c r="Q562" s="13">
        <f>ROUNDUP(O562/'Methodology &amp; Assumptions'!$B$6, 0)</f>
        <v/>
      </c>
      <c r="R562" s="13" t="n">
        <v>1</v>
      </c>
      <c r="S562" s="14" t="n">
        <v>40.04</v>
      </c>
      <c r="T562" s="14" t="n">
        <v>15.98</v>
      </c>
      <c r="U562" s="26">
        <f>IF(X562&gt;='Methodology &amp; Assumptions'!$B$7, "Tier 1 Critical GIDA (Score ≥ 50.0)", IF(X562&gt;='Methodology &amp; Assumptions'!$B$8, "Tier 2 High GIDA (Score 40.0–49.9)", "Tier 3 Moderate GIDA (Score &lt; 40.0)"))</f>
        <v/>
      </c>
      <c r="V562" s="26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W562" s="28" t="n">
        <v>0.109</v>
      </c>
      <c r="X562" s="14" t="n">
        <v>48.56</v>
      </c>
      <c r="Y562" s="14">
        <f>ROUND(MIN(100, (X562/69.91)*100), 2)</f>
        <v/>
      </c>
    </row>
    <row r="563">
      <c r="A563" s="10" t="n">
        <v>3</v>
      </c>
      <c r="B563" s="10" t="n">
        <v>559</v>
      </c>
      <c r="C563" s="10" t="n">
        <v>2559</v>
      </c>
      <c r="D563" s="10" t="inlineStr">
        <is>
          <t>PH0002559</t>
        </is>
      </c>
      <c r="E563" s="26" t="inlineStr">
        <is>
          <t>NCR</t>
        </is>
      </c>
      <c r="F563" s="26" t="inlineStr">
        <is>
          <t>Metro Manila</t>
        </is>
      </c>
      <c r="G563" s="26" t="inlineStr">
        <is>
          <t>Caloocan City</t>
        </is>
      </c>
      <c r="H563" s="26" t="inlineStr">
        <is>
          <t>Barangay 36</t>
        </is>
      </c>
      <c r="I563" s="27" t="n">
        <v>11.459068</v>
      </c>
      <c r="J563" s="27" t="n">
        <v>121.965857</v>
      </c>
      <c r="K563" s="10" t="inlineStr">
        <is>
          <t>R</t>
        </is>
      </c>
      <c r="L563" s="12" t="n">
        <v>2279</v>
      </c>
      <c r="M563" s="14" t="n">
        <v>3.8</v>
      </c>
      <c r="N563" s="12">
        <f>ROUND(L563/M563, 0)</f>
        <v/>
      </c>
      <c r="O563" s="12">
        <f>ROUND(N563*'Methodology &amp; Assumptions'!$B$5, 0)</f>
        <v/>
      </c>
      <c r="P563" s="10" t="inlineStr">
        <is>
          <t>Single Carrier (Band n50, 100MHz TDD)</t>
        </is>
      </c>
      <c r="Q563" s="13">
        <f>ROUNDUP(O563/'Methodology &amp; Assumptions'!$B$6, 0)</f>
        <v/>
      </c>
      <c r="R563" s="13" t="n">
        <v>1</v>
      </c>
      <c r="S563" s="14" t="n">
        <v>40.4</v>
      </c>
      <c r="T563" s="14" t="n">
        <v>42.03</v>
      </c>
      <c r="U563" s="26">
        <f>IF(X563&gt;='Methodology &amp; Assumptions'!$B$7, "Tier 1 Critical GIDA (Score ≥ 50.0)", IF(X563&gt;='Methodology &amp; Assumptions'!$B$8, "Tier 2 High GIDA (Score 40.0–49.9)", "Tier 3 Moderate GIDA (Score &lt; 40.0)"))</f>
        <v/>
      </c>
      <c r="V563" s="26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W563" s="28" t="n">
        <v>0.011</v>
      </c>
      <c r="X563" s="14" t="n">
        <v>48.55</v>
      </c>
      <c r="Y563" s="14">
        <f>ROUND(MIN(100, (X563/69.91)*100), 2)</f>
        <v/>
      </c>
    </row>
    <row r="564">
      <c r="A564" s="10" t="n">
        <v>3</v>
      </c>
      <c r="B564" s="10" t="n">
        <v>560</v>
      </c>
      <c r="C564" s="10" t="n">
        <v>2560</v>
      </c>
      <c r="D564" s="10" t="inlineStr">
        <is>
          <t>1380614035</t>
        </is>
      </c>
      <c r="E564" s="26" t="inlineStr">
        <is>
          <t>National Capital Region (NCR)</t>
        </is>
      </c>
      <c r="F564" s="26" t="inlineStr">
        <is>
          <t>First District (Not a Province)</t>
        </is>
      </c>
      <c r="G564" s="26" t="inlineStr">
        <is>
          <t>City of Manila</t>
        </is>
      </c>
      <c r="H564" s="26" t="inlineStr">
        <is>
          <t>Barangay 779</t>
        </is>
      </c>
      <c r="I564" s="27" t="n">
        <v>13.109086</v>
      </c>
      <c r="J564" s="27" t="n">
        <v>120.895827</v>
      </c>
      <c r="K564" s="10" t="inlineStr">
        <is>
          <t>U</t>
        </is>
      </c>
      <c r="L564" s="12" t="n">
        <v>4579</v>
      </c>
      <c r="M564" s="14" t="n">
        <v>3.9</v>
      </c>
      <c r="N564" s="12">
        <f>ROUND(L564/M564, 0)</f>
        <v/>
      </c>
      <c r="O564" s="12">
        <f>ROUND(N564*'Methodology &amp; Assumptions'!$B$5, 0)</f>
        <v/>
      </c>
      <c r="P564" s="10" t="inlineStr">
        <is>
          <t>Single Carrier (Band n50, 100MHz TDD)</t>
        </is>
      </c>
      <c r="Q564" s="13">
        <f>ROUNDUP(O564/'Methodology &amp; Assumptions'!$B$6, 0)</f>
        <v/>
      </c>
      <c r="R564" s="13" t="n">
        <v>1</v>
      </c>
      <c r="S564" s="14" t="n">
        <v>35.27</v>
      </c>
      <c r="T564" s="14" t="n">
        <v>34.54</v>
      </c>
      <c r="U564" s="26">
        <f>IF(X564&gt;='Methodology &amp; Assumptions'!$B$7, "Tier 1 Critical GIDA (Score ≥ 50.0)", IF(X564&gt;='Methodology &amp; Assumptions'!$B$8, "Tier 2 High GIDA (Score 40.0–49.9)", "Tier 3 Moderate GIDA (Score &lt; 40.0)"))</f>
        <v/>
      </c>
      <c r="V564" s="26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W564" s="28" t="n">
        <v>0.109</v>
      </c>
      <c r="X564" s="14" t="n">
        <v>48.55</v>
      </c>
      <c r="Y564" s="14">
        <f>ROUND(MIN(100, (X564/69.91)*100), 2)</f>
        <v/>
      </c>
    </row>
    <row r="565">
      <c r="A565" s="10" t="n">
        <v>3</v>
      </c>
      <c r="B565" s="10" t="n">
        <v>561</v>
      </c>
      <c r="C565" s="10" t="n">
        <v>2561</v>
      </c>
      <c r="D565" s="10" t="inlineStr">
        <is>
          <t>1380606224</t>
        </is>
      </c>
      <c r="E565" s="26" t="inlineStr">
        <is>
          <t>National Capital Region (NCR)</t>
        </is>
      </c>
      <c r="F565" s="26" t="inlineStr">
        <is>
          <t>First District (Not a Province)</t>
        </is>
      </c>
      <c r="G565" s="26" t="inlineStr">
        <is>
          <t>City of Manila</t>
        </is>
      </c>
      <c r="H565" s="26" t="inlineStr">
        <is>
          <t>Barangay 617</t>
        </is>
      </c>
      <c r="I565" s="27" t="n">
        <v>13.289561</v>
      </c>
      <c r="J565" s="27" t="n">
        <v>122.581655</v>
      </c>
      <c r="K565" s="10" t="inlineStr">
        <is>
          <t>U</t>
        </is>
      </c>
      <c r="L565" s="12" t="n">
        <v>949</v>
      </c>
      <c r="M565" s="14" t="n">
        <v>3.9</v>
      </c>
      <c r="N565" s="12">
        <f>ROUND(L565/M565, 0)</f>
        <v/>
      </c>
      <c r="O565" s="12">
        <f>ROUND(N565*'Methodology &amp; Assumptions'!$B$5, 0)</f>
        <v/>
      </c>
      <c r="P565" s="10" t="inlineStr">
        <is>
          <t>Single Carrier (Band n50, 100MHz TDD)</t>
        </is>
      </c>
      <c r="Q565" s="13">
        <f>ROUNDUP(O565/'Methodology &amp; Assumptions'!$B$6, 0)</f>
        <v/>
      </c>
      <c r="R565" s="13" t="n">
        <v>1</v>
      </c>
      <c r="S565" s="14" t="n">
        <v>9.24</v>
      </c>
      <c r="T565" s="14" t="n">
        <v>30.86</v>
      </c>
      <c r="U565" s="26">
        <f>IF(X565&gt;='Methodology &amp; Assumptions'!$B$7, "Tier 1 Critical GIDA (Score ≥ 50.0)", IF(X565&gt;='Methodology &amp; Assumptions'!$B$8, "Tier 2 High GIDA (Score 40.0–49.9)", "Tier 3 Moderate GIDA (Score &lt; 40.0)"))</f>
        <v/>
      </c>
      <c r="V565" s="26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W565" s="28" t="n">
        <v>0.109</v>
      </c>
      <c r="X565" s="14" t="n">
        <v>48.55</v>
      </c>
      <c r="Y565" s="14">
        <f>ROUND(MIN(100, (X565/69.91)*100), 2)</f>
        <v/>
      </c>
    </row>
    <row r="566">
      <c r="A566" s="10" t="n">
        <v>3</v>
      </c>
      <c r="B566" s="10" t="n">
        <v>562</v>
      </c>
      <c r="C566" s="10" t="n">
        <v>2562</v>
      </c>
      <c r="D566" s="10" t="inlineStr">
        <is>
          <t>PH0002562</t>
        </is>
      </c>
      <c r="E566" s="26" t="inlineStr">
        <is>
          <t>II</t>
        </is>
      </c>
      <c r="F566" s="26" t="inlineStr">
        <is>
          <t>Nueva Vizcaya</t>
        </is>
      </c>
      <c r="G566" s="26" t="inlineStr">
        <is>
          <t>Santa Fe N Vizcaya</t>
        </is>
      </c>
      <c r="H566" s="26" t="inlineStr">
        <is>
          <t>Santa Rosa</t>
        </is>
      </c>
      <c r="I566" s="27" t="n">
        <v>16.407818</v>
      </c>
      <c r="J566" s="27" t="n">
        <v>121.146999</v>
      </c>
      <c r="K566" s="10" t="inlineStr">
        <is>
          <t>R</t>
        </is>
      </c>
      <c r="L566" s="12" t="n">
        <v>2464</v>
      </c>
      <c r="M566" s="14" t="n">
        <v>3.8</v>
      </c>
      <c r="N566" s="12">
        <f>ROUND(L566/M566, 0)</f>
        <v/>
      </c>
      <c r="O566" s="12">
        <f>ROUND(N566*'Methodology &amp; Assumptions'!$B$5, 0)</f>
        <v/>
      </c>
      <c r="P566" s="10" t="inlineStr">
        <is>
          <t>Single Carrier (Band n50, 100MHz TDD)</t>
        </is>
      </c>
      <c r="Q566" s="13">
        <f>ROUNDUP(O566/'Methodology &amp; Assumptions'!$B$6, 0)</f>
        <v/>
      </c>
      <c r="R566" s="13" t="n">
        <v>1</v>
      </c>
      <c r="S566" s="14" t="n">
        <v>6.04</v>
      </c>
      <c r="T566" s="14" t="n">
        <v>2.75</v>
      </c>
      <c r="U566" s="26">
        <f>IF(X566&gt;='Methodology &amp; Assumptions'!$B$7, "Tier 1 Critical GIDA (Score ≥ 50.0)", IF(X566&gt;='Methodology &amp; Assumptions'!$B$8, "Tier 2 High GIDA (Score 40.0–49.9)", "Tier 3 Moderate GIDA (Score &lt; 40.0)"))</f>
        <v/>
      </c>
      <c r="V566" s="26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W566" s="28" t="n">
        <v>0.083</v>
      </c>
      <c r="X566" s="14" t="n">
        <v>48.55</v>
      </c>
      <c r="Y566" s="14">
        <f>ROUND(MIN(100, (X566/69.91)*100), 2)</f>
        <v/>
      </c>
    </row>
    <row r="567">
      <c r="A567" s="10" t="n">
        <v>3</v>
      </c>
      <c r="B567" s="10" t="n">
        <v>563</v>
      </c>
      <c r="C567" s="10" t="n">
        <v>2563</v>
      </c>
      <c r="D567" s="10" t="inlineStr">
        <is>
          <t>1102508007</t>
        </is>
      </c>
      <c r="E567" s="26" t="inlineStr">
        <is>
          <t>Region XI (Davao Region)</t>
        </is>
      </c>
      <c r="F567" s="26" t="inlineStr">
        <is>
          <t>Davao Oriental</t>
        </is>
      </c>
      <c r="G567" s="26" t="inlineStr">
        <is>
          <t>Manay</t>
        </is>
      </c>
      <c r="H567" s="26" t="inlineStr">
        <is>
          <t>Guza</t>
        </is>
      </c>
      <c r="I567" s="27" t="n">
        <v>7.215059</v>
      </c>
      <c r="J567" s="27" t="n">
        <v>126.540203</v>
      </c>
      <c r="K567" s="10" t="inlineStr">
        <is>
          <t>R</t>
        </is>
      </c>
      <c r="L567" s="12" t="n">
        <v>798</v>
      </c>
      <c r="M567" s="14" t="n">
        <v>3.6</v>
      </c>
      <c r="N567" s="12">
        <f>ROUND(L567/M567, 0)</f>
        <v/>
      </c>
      <c r="O567" s="12">
        <f>ROUND(N567*'Methodology &amp; Assumptions'!$B$5, 0)</f>
        <v/>
      </c>
      <c r="P567" s="10" t="inlineStr">
        <is>
          <t>Single Carrier (Band n50, 100MHz TDD)</t>
        </is>
      </c>
      <c r="Q567" s="13">
        <f>ROUNDUP(O567/'Methodology &amp; Assumptions'!$B$6, 0)</f>
        <v/>
      </c>
      <c r="R567" s="13" t="n">
        <v>1</v>
      </c>
      <c r="S567" s="14" t="n">
        <v>46.23</v>
      </c>
      <c r="T567" s="14" t="n">
        <v>44.06</v>
      </c>
      <c r="U567" s="26">
        <f>IF(X567&gt;='Methodology &amp; Assumptions'!$B$7, "Tier 1 Critical GIDA (Score ≥ 50.0)", IF(X567&gt;='Methodology &amp; Assumptions'!$B$8, "Tier 2 High GIDA (Score 40.0–49.9)", "Tier 3 Moderate GIDA (Score &lt; 40.0)"))</f>
        <v/>
      </c>
      <c r="V567" s="26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W567" s="28" t="n">
        <v>0.174</v>
      </c>
      <c r="X567" s="14" t="n">
        <v>48.55</v>
      </c>
      <c r="Y567" s="14">
        <f>ROUND(MIN(100, (X567/69.91)*100), 2)</f>
        <v/>
      </c>
    </row>
    <row r="568">
      <c r="A568" s="10" t="n">
        <v>3</v>
      </c>
      <c r="B568" s="10" t="n">
        <v>564</v>
      </c>
      <c r="C568" s="10" t="n">
        <v>2564</v>
      </c>
      <c r="D568" s="10" t="inlineStr">
        <is>
          <t>1380607002</t>
        </is>
      </c>
      <c r="E568" s="26" t="inlineStr">
        <is>
          <t>National Capital Region (NCR)</t>
        </is>
      </c>
      <c r="F568" s="26" t="inlineStr">
        <is>
          <t>First District (Not a Province)</t>
        </is>
      </c>
      <c r="G568" s="26" t="inlineStr">
        <is>
          <t>City of Manila</t>
        </is>
      </c>
      <c r="H568" s="26" t="inlineStr">
        <is>
          <t>Barangay 638</t>
        </is>
      </c>
      <c r="I568" s="27" t="n">
        <v>12.044335</v>
      </c>
      <c r="J568" s="27" t="n">
        <v>121.462105</v>
      </c>
      <c r="K568" s="10" t="inlineStr">
        <is>
          <t>U</t>
        </is>
      </c>
      <c r="L568" s="12" t="n">
        <v>562</v>
      </c>
      <c r="M568" s="14" t="n">
        <v>3.9</v>
      </c>
      <c r="N568" s="12">
        <f>ROUND(L568/M568, 0)</f>
        <v/>
      </c>
      <c r="O568" s="12">
        <f>ROUND(N568*'Methodology &amp; Assumptions'!$B$5, 0)</f>
        <v/>
      </c>
      <c r="P568" s="10" t="inlineStr">
        <is>
          <t>Single Carrier (Band n50, 100MHz TDD)</t>
        </is>
      </c>
      <c r="Q568" s="13">
        <f>ROUNDUP(O568/'Methodology &amp; Assumptions'!$B$6, 0)</f>
        <v/>
      </c>
      <c r="R568" s="13" t="n">
        <v>1</v>
      </c>
      <c r="S568" s="14" t="n">
        <v>34.41</v>
      </c>
      <c r="T568" s="14" t="n">
        <v>31.2</v>
      </c>
      <c r="U568" s="26">
        <f>IF(X568&gt;='Methodology &amp; Assumptions'!$B$7, "Tier 1 Critical GIDA (Score ≥ 50.0)", IF(X568&gt;='Methodology &amp; Assumptions'!$B$8, "Tier 2 High GIDA (Score 40.0–49.9)", "Tier 3 Moderate GIDA (Score &lt; 40.0)"))</f>
        <v/>
      </c>
      <c r="V568" s="26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W568" s="28" t="n">
        <v>0.109</v>
      </c>
      <c r="X568" s="14" t="n">
        <v>48.55</v>
      </c>
      <c r="Y568" s="14">
        <f>ROUND(MIN(100, (X568/69.91)*100), 2)</f>
        <v/>
      </c>
    </row>
    <row r="569">
      <c r="A569" s="10" t="n">
        <v>3</v>
      </c>
      <c r="B569" s="10" t="n">
        <v>565</v>
      </c>
      <c r="C569" s="10" t="n">
        <v>2565</v>
      </c>
      <c r="D569" s="10" t="inlineStr">
        <is>
          <t>1908824005</t>
        </is>
      </c>
      <c r="E569" s="26" t="inlineStr">
        <is>
          <t>Bangsamoro Autonomous Region In Muslim Mindanao (BARMM)</t>
        </is>
      </c>
      <c r="F569" s="26" t="inlineStr">
        <is>
          <t>Maguindanao del Sur</t>
        </is>
      </c>
      <c r="G569" s="26" t="inlineStr">
        <is>
          <t>Talayan</t>
        </is>
      </c>
      <c r="H569" s="26" t="inlineStr">
        <is>
          <t>Fugotan</t>
        </is>
      </c>
      <c r="I569" s="27" t="n">
        <v>16.118099</v>
      </c>
      <c r="J569" s="27" t="n">
        <v>122.473631</v>
      </c>
      <c r="K569" s="10" t="inlineStr">
        <is>
          <t>R</t>
        </is>
      </c>
      <c r="L569" s="12" t="n">
        <v>993</v>
      </c>
      <c r="M569" s="14" t="n">
        <v>4.7</v>
      </c>
      <c r="N569" s="12">
        <f>ROUND(L569/M569, 0)</f>
        <v/>
      </c>
      <c r="O569" s="12">
        <f>ROUND(N569*'Methodology &amp; Assumptions'!$B$5, 0)</f>
        <v/>
      </c>
      <c r="P569" s="10" t="inlineStr">
        <is>
          <t>Single Carrier (Band n50, 100MHz TDD)</t>
        </is>
      </c>
      <c r="Q569" s="13">
        <f>ROUNDUP(O569/'Methodology &amp; Assumptions'!$B$6, 0)</f>
        <v/>
      </c>
      <c r="R569" s="13" t="n">
        <v>1</v>
      </c>
      <c r="S569" s="14" t="n">
        <v>41.31</v>
      </c>
      <c r="T569" s="14" t="n">
        <v>40.85</v>
      </c>
      <c r="U569" s="26">
        <f>IF(X569&gt;='Methodology &amp; Assumptions'!$B$7, "Tier 1 Critical GIDA (Score ≥ 50.0)", IF(X569&gt;='Methodology &amp; Assumptions'!$B$8, "Tier 2 High GIDA (Score 40.0–49.9)", "Tier 3 Moderate GIDA (Score &lt; 40.0)"))</f>
        <v/>
      </c>
      <c r="V569" s="26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W569" s="28" t="n">
        <v>0.11</v>
      </c>
      <c r="X569" s="14" t="n">
        <v>48.55</v>
      </c>
      <c r="Y569" s="14">
        <f>ROUND(MIN(100, (X569/69.91)*100), 2)</f>
        <v/>
      </c>
    </row>
    <row r="570">
      <c r="A570" s="10" t="n">
        <v>3</v>
      </c>
      <c r="B570" s="10" t="n">
        <v>566</v>
      </c>
      <c r="C570" s="10" t="n">
        <v>2566</v>
      </c>
      <c r="D570" s="10" t="inlineStr">
        <is>
          <t>1906617008</t>
        </is>
      </c>
      <c r="E570" s="26" t="inlineStr">
        <is>
          <t>Bangsamoro Autonomous Region In Muslim Mindanao (BARMM)</t>
        </is>
      </c>
      <c r="F570" s="26" t="inlineStr">
        <is>
          <t>Sulu</t>
        </is>
      </c>
      <c r="G570" s="26" t="inlineStr">
        <is>
          <t>Lugus</t>
        </is>
      </c>
      <c r="H570" s="26" t="inlineStr">
        <is>
          <t>Kutah Parang</t>
        </is>
      </c>
      <c r="I570" s="27" t="n">
        <v>5.705</v>
      </c>
      <c r="J570" s="27" t="n">
        <v>120.856389</v>
      </c>
      <c r="K570" s="10" t="inlineStr">
        <is>
          <t>R</t>
        </is>
      </c>
      <c r="L570" s="12" t="n">
        <v>1056</v>
      </c>
      <c r="M570" s="14" t="n">
        <v>6</v>
      </c>
      <c r="N570" s="12">
        <f>ROUND(L570/M570, 0)</f>
        <v/>
      </c>
      <c r="O570" s="12">
        <f>ROUND(N570*'Methodology &amp; Assumptions'!$B$5, 0)</f>
        <v/>
      </c>
      <c r="P570" s="10" t="inlineStr">
        <is>
          <t>Single Carrier (Band n50, 100MHz TDD)</t>
        </is>
      </c>
      <c r="Q570" s="13">
        <f>ROUNDUP(O570/'Methodology &amp; Assumptions'!$B$6, 0)</f>
        <v/>
      </c>
      <c r="R570" s="13" t="n">
        <v>1</v>
      </c>
      <c r="S570" s="14" t="n">
        <v>189.91</v>
      </c>
      <c r="T570" s="14" t="n">
        <v>189.9</v>
      </c>
      <c r="U570" s="26">
        <f>IF(X570&gt;='Methodology &amp; Assumptions'!$B$7, "Tier 1 Critical GIDA (Score ≥ 50.0)", IF(X570&gt;='Methodology &amp; Assumptions'!$B$8, "Tier 2 High GIDA (Score 40.0–49.9)", "Tier 3 Moderate GIDA (Score &lt; 40.0)"))</f>
        <v/>
      </c>
      <c r="V570" s="26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W570" s="28" t="n">
        <v>0.11</v>
      </c>
      <c r="X570" s="14" t="n">
        <v>48.55</v>
      </c>
      <c r="Y570" s="14">
        <f>ROUND(MIN(100, (X570/69.91)*100), 2)</f>
        <v/>
      </c>
    </row>
    <row r="571">
      <c r="A571" s="10" t="n">
        <v>3</v>
      </c>
      <c r="B571" s="10" t="n">
        <v>567</v>
      </c>
      <c r="C571" s="10" t="n">
        <v>2567</v>
      </c>
      <c r="D571" s="10" t="inlineStr">
        <is>
          <t>1380601050</t>
        </is>
      </c>
      <c r="E571" s="26" t="inlineStr">
        <is>
          <t>National Capital Region (NCR)</t>
        </is>
      </c>
      <c r="F571" s="26" t="inlineStr">
        <is>
          <t>First District (Not a Province)</t>
        </is>
      </c>
      <c r="G571" s="26" t="inlineStr">
        <is>
          <t>City of Manila</t>
        </is>
      </c>
      <c r="H571" s="26" t="inlineStr">
        <is>
          <t>Barangay 50</t>
        </is>
      </c>
      <c r="I571" s="27" t="n">
        <v>13.702254</v>
      </c>
      <c r="J571" s="27" t="n">
        <v>121.424493</v>
      </c>
      <c r="K571" s="10" t="inlineStr">
        <is>
          <t>U</t>
        </is>
      </c>
      <c r="L571" s="12" t="n">
        <v>4345</v>
      </c>
      <c r="M571" s="14" t="n">
        <v>3.9</v>
      </c>
      <c r="N571" s="12">
        <f>ROUND(L571/M571, 0)</f>
        <v/>
      </c>
      <c r="O571" s="12">
        <f>ROUND(N571*'Methodology &amp; Assumptions'!$B$5, 0)</f>
        <v/>
      </c>
      <c r="P571" s="10" t="inlineStr">
        <is>
          <t>Single Carrier (Band n50, 100MHz TDD)</t>
        </is>
      </c>
      <c r="Q571" s="13">
        <f>ROUNDUP(O571/'Methodology &amp; Assumptions'!$B$6, 0)</f>
        <v/>
      </c>
      <c r="R571" s="13" t="n">
        <v>1</v>
      </c>
      <c r="S571" s="14" t="n">
        <v>1.15</v>
      </c>
      <c r="T571" s="14" t="n">
        <v>9.68</v>
      </c>
      <c r="U571" s="26">
        <f>IF(X571&gt;='Methodology &amp; Assumptions'!$B$7, "Tier 1 Critical GIDA (Score ≥ 50.0)", IF(X571&gt;='Methodology &amp; Assumptions'!$B$8, "Tier 2 High GIDA (Score 40.0–49.9)", "Tier 3 Moderate GIDA (Score &lt; 40.0)"))</f>
        <v/>
      </c>
      <c r="V571" s="26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W571" s="28" t="n">
        <v>0.109</v>
      </c>
      <c r="X571" s="14" t="n">
        <v>48.55</v>
      </c>
      <c r="Y571" s="14">
        <f>ROUND(MIN(100, (X571/69.91)*100), 2)</f>
        <v/>
      </c>
    </row>
    <row r="572">
      <c r="A572" s="10" t="n">
        <v>3</v>
      </c>
      <c r="B572" s="10" t="n">
        <v>568</v>
      </c>
      <c r="C572" s="10" t="n">
        <v>2568</v>
      </c>
      <c r="D572" s="10" t="inlineStr">
        <is>
          <t>1380606121</t>
        </is>
      </c>
      <c r="E572" s="26" t="inlineStr">
        <is>
          <t>National Capital Region (NCR)</t>
        </is>
      </c>
      <c r="F572" s="26" t="inlineStr">
        <is>
          <t>First District (Not a Province)</t>
        </is>
      </c>
      <c r="G572" s="26" t="inlineStr">
        <is>
          <t>City of Manila</t>
        </is>
      </c>
      <c r="H572" s="26" t="inlineStr">
        <is>
          <t>Barangay 515</t>
        </is>
      </c>
      <c r="I572" s="27" t="n">
        <v>12.502861</v>
      </c>
      <c r="J572" s="27" t="n">
        <v>122.60299</v>
      </c>
      <c r="K572" s="10" t="inlineStr">
        <is>
          <t>U</t>
        </is>
      </c>
      <c r="L572" s="12" t="n">
        <v>2232</v>
      </c>
      <c r="M572" s="14" t="n">
        <v>3.9</v>
      </c>
      <c r="N572" s="12">
        <f>ROUND(L572/M572, 0)</f>
        <v/>
      </c>
      <c r="O572" s="12">
        <f>ROUND(N572*'Methodology &amp; Assumptions'!$B$5, 0)</f>
        <v/>
      </c>
      <c r="P572" s="10" t="inlineStr">
        <is>
          <t>Single Carrier (Band n50, 100MHz TDD)</t>
        </is>
      </c>
      <c r="Q572" s="13">
        <f>ROUNDUP(O572/'Methodology &amp; Assumptions'!$B$6, 0)</f>
        <v/>
      </c>
      <c r="R572" s="13" t="n">
        <v>1</v>
      </c>
      <c r="S572" s="14" t="n">
        <v>80.25</v>
      </c>
      <c r="T572" s="14" t="n">
        <v>66.81999999999999</v>
      </c>
      <c r="U572" s="26">
        <f>IF(X572&gt;='Methodology &amp; Assumptions'!$B$7, "Tier 1 Critical GIDA (Score ≥ 50.0)", IF(X572&gt;='Methodology &amp; Assumptions'!$B$8, "Tier 2 High GIDA (Score 40.0–49.9)", "Tier 3 Moderate GIDA (Score &lt; 40.0)"))</f>
        <v/>
      </c>
      <c r="V572" s="26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W572" s="28" t="n">
        <v>0.109</v>
      </c>
      <c r="X572" s="14" t="n">
        <v>48.54</v>
      </c>
      <c r="Y572" s="14">
        <f>ROUND(MIN(100, (X572/69.91)*100), 2)</f>
        <v/>
      </c>
    </row>
    <row r="573">
      <c r="A573" s="10" t="n">
        <v>3</v>
      </c>
      <c r="B573" s="10" t="n">
        <v>569</v>
      </c>
      <c r="C573" s="10" t="n">
        <v>2569</v>
      </c>
      <c r="D573" s="10" t="inlineStr">
        <is>
          <t>0806011019</t>
        </is>
      </c>
      <c r="E573" s="26" t="inlineStr">
        <is>
          <t>Region VIII (Eastern Visayas)</t>
        </is>
      </c>
      <c r="F573" s="26" t="inlineStr">
        <is>
          <t>Samar</t>
        </is>
      </c>
      <c r="G573" s="26" t="inlineStr">
        <is>
          <t>Matuguinao</t>
        </is>
      </c>
      <c r="H573" s="26" t="inlineStr">
        <is>
          <t>San Isidro</t>
        </is>
      </c>
      <c r="I573" s="27" t="n">
        <v>12.18055</v>
      </c>
      <c r="J573" s="27" t="n">
        <v>124.9092</v>
      </c>
      <c r="K573" s="10" t="inlineStr">
        <is>
          <t>R</t>
        </is>
      </c>
      <c r="L573" s="12" t="n">
        <v>257</v>
      </c>
      <c r="M573" s="14" t="n">
        <v>4.1</v>
      </c>
      <c r="N573" s="12">
        <f>ROUND(L573/M573, 0)</f>
        <v/>
      </c>
      <c r="O573" s="12">
        <f>ROUND(N573*'Methodology &amp; Assumptions'!$B$5, 0)</f>
        <v/>
      </c>
      <c r="P573" s="10" t="inlineStr">
        <is>
          <t>Single Carrier (Band n50, 100MHz TDD)</t>
        </is>
      </c>
      <c r="Q573" s="13">
        <f>ROUNDUP(O573/'Methodology &amp; Assumptions'!$B$6, 0)</f>
        <v/>
      </c>
      <c r="R573" s="13" t="n">
        <v>1</v>
      </c>
      <c r="S573" s="14" t="n">
        <v>100.57</v>
      </c>
      <c r="T573" s="14" t="n">
        <v>100.56</v>
      </c>
      <c r="U573" s="26">
        <f>IF(X573&gt;='Methodology &amp; Assumptions'!$B$7, "Tier 1 Critical GIDA (Score ≥ 50.0)", IF(X573&gt;='Methodology &amp; Assumptions'!$B$8, "Tier 2 High GIDA (Score 40.0–49.9)", "Tier 3 Moderate GIDA (Score &lt; 40.0)"))</f>
        <v/>
      </c>
      <c r="V573" s="26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W573" s="28" t="n">
        <v>0.237</v>
      </c>
      <c r="X573" s="14" t="n">
        <v>48.54</v>
      </c>
      <c r="Y573" s="14">
        <f>ROUND(MIN(100, (X573/69.91)*100), 2)</f>
        <v/>
      </c>
    </row>
    <row r="574">
      <c r="A574" s="10" t="n">
        <v>3</v>
      </c>
      <c r="B574" s="10" t="n">
        <v>570</v>
      </c>
      <c r="C574" s="10" t="n">
        <v>2570</v>
      </c>
      <c r="D574" s="10" t="inlineStr">
        <is>
          <t>1903623037</t>
        </is>
      </c>
      <c r="E574" s="26" t="inlineStr">
        <is>
          <t>Bangsamoro Autonomous Region In Muslim Mindanao (BARMM)</t>
        </is>
      </c>
      <c r="F574" s="26" t="inlineStr">
        <is>
          <t>Lanao del Sur</t>
        </is>
      </c>
      <c r="G574" s="26" t="inlineStr">
        <is>
          <t>Pualas</t>
        </is>
      </c>
      <c r="H574" s="26" t="inlineStr">
        <is>
          <t>Yaran</t>
        </is>
      </c>
      <c r="I574" s="27" t="n">
        <v>17.254849</v>
      </c>
      <c r="J574" s="27" t="n">
        <v>122.228893</v>
      </c>
      <c r="K574" s="10" t="inlineStr">
        <is>
          <t>R</t>
        </is>
      </c>
      <c r="L574" s="12" t="n">
        <v>977</v>
      </c>
      <c r="M574" s="14" t="n">
        <v>5.7</v>
      </c>
      <c r="N574" s="12">
        <f>ROUND(L574/M574, 0)</f>
        <v/>
      </c>
      <c r="O574" s="12">
        <f>ROUND(N574*'Methodology &amp; Assumptions'!$B$5, 0)</f>
        <v/>
      </c>
      <c r="P574" s="10" t="inlineStr">
        <is>
          <t>Single Carrier (Band n50, 100MHz TDD)</t>
        </is>
      </c>
      <c r="Q574" s="13">
        <f>ROUNDUP(O574/'Methodology &amp; Assumptions'!$B$6, 0)</f>
        <v/>
      </c>
      <c r="R574" s="13" t="n">
        <v>1</v>
      </c>
      <c r="S574" s="14" t="n">
        <v>29.42</v>
      </c>
      <c r="T574" s="14" t="n">
        <v>34.3</v>
      </c>
      <c r="U574" s="26">
        <f>IF(X574&gt;='Methodology &amp; Assumptions'!$B$7, "Tier 1 Critical GIDA (Score ≥ 50.0)", IF(X574&gt;='Methodology &amp; Assumptions'!$B$8, "Tier 2 High GIDA (Score 40.0–49.9)", "Tier 3 Moderate GIDA (Score &lt; 40.0)"))</f>
        <v/>
      </c>
      <c r="V574" s="26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W574" s="28" t="n">
        <v>0.11</v>
      </c>
      <c r="X574" s="14" t="n">
        <v>48.54</v>
      </c>
      <c r="Y574" s="14">
        <f>ROUND(MIN(100, (X574/69.91)*100), 2)</f>
        <v/>
      </c>
    </row>
    <row r="575">
      <c r="A575" s="10" t="n">
        <v>3</v>
      </c>
      <c r="B575" s="10" t="n">
        <v>571</v>
      </c>
      <c r="C575" s="10" t="n">
        <v>2571</v>
      </c>
      <c r="D575" s="10" t="inlineStr">
        <is>
          <t>0506209022</t>
        </is>
      </c>
      <c r="E575" s="26" t="inlineStr">
        <is>
          <t>Region V (Bicol Region)</t>
        </is>
      </c>
      <c r="F575" s="26" t="inlineStr">
        <is>
          <t>Sorsogon</t>
        </is>
      </c>
      <c r="G575" s="26" t="inlineStr">
        <is>
          <t>Irosin</t>
        </is>
      </c>
      <c r="H575" s="26" t="inlineStr">
        <is>
          <t>San Isidro</t>
        </is>
      </c>
      <c r="I575" s="27" t="n">
        <v>12.693876</v>
      </c>
      <c r="J575" s="27" t="n">
        <v>124.005794</v>
      </c>
      <c r="K575" s="10" t="inlineStr">
        <is>
          <t>R</t>
        </is>
      </c>
      <c r="L575" s="12" t="n">
        <v>785</v>
      </c>
      <c r="M575" s="14" t="n">
        <v>4</v>
      </c>
      <c r="N575" s="12">
        <f>ROUND(L575/M575, 0)</f>
        <v/>
      </c>
      <c r="O575" s="12">
        <f>ROUND(N575*'Methodology &amp; Assumptions'!$B$5, 0)</f>
        <v/>
      </c>
      <c r="P575" s="10" t="inlineStr">
        <is>
          <t>Single Carrier (Band n50, 100MHz TDD)</t>
        </is>
      </c>
      <c r="Q575" s="13">
        <f>ROUNDUP(O575/'Methodology &amp; Assumptions'!$B$6, 0)</f>
        <v/>
      </c>
      <c r="R575" s="13" t="n">
        <v>1</v>
      </c>
      <c r="S575" s="14" t="n">
        <v>3.37</v>
      </c>
      <c r="T575" s="14" t="n">
        <v>0.74</v>
      </c>
      <c r="U575" s="26">
        <f>IF(X575&gt;='Methodology &amp; Assumptions'!$B$7, "Tier 1 Critical GIDA (Score ≥ 50.0)", IF(X575&gt;='Methodology &amp; Assumptions'!$B$8, "Tier 2 High GIDA (Score 40.0–49.9)", "Tier 3 Moderate GIDA (Score &lt; 40.0)"))</f>
        <v/>
      </c>
      <c r="V575" s="26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W575" s="28" t="n">
        <v>0.237</v>
      </c>
      <c r="X575" s="14" t="n">
        <v>48.54</v>
      </c>
      <c r="Y575" s="14">
        <f>ROUND(MIN(100, (X575/69.91)*100), 2)</f>
        <v/>
      </c>
    </row>
    <row r="576">
      <c r="A576" s="10" t="n">
        <v>3</v>
      </c>
      <c r="B576" s="10" t="n">
        <v>572</v>
      </c>
      <c r="C576" s="10" t="n">
        <v>2572</v>
      </c>
      <c r="D576" s="10" t="inlineStr">
        <is>
          <t>0806011012</t>
        </is>
      </c>
      <c r="E576" s="26" t="inlineStr">
        <is>
          <t>Region VIII (Eastern Visayas)</t>
        </is>
      </c>
      <c r="F576" s="26" t="inlineStr">
        <is>
          <t>Samar</t>
        </is>
      </c>
      <c r="G576" s="26" t="inlineStr">
        <is>
          <t>Matuguinao</t>
        </is>
      </c>
      <c r="H576" s="26" t="inlineStr">
        <is>
          <t>Maduroto Pob.</t>
        </is>
      </c>
      <c r="I576" s="27" t="n">
        <v>12.14318</v>
      </c>
      <c r="J576" s="27" t="n">
        <v>124.876901</v>
      </c>
      <c r="K576" s="10" t="inlineStr">
        <is>
          <t>R</t>
        </is>
      </c>
      <c r="L576" s="12" t="n">
        <v>1739</v>
      </c>
      <c r="M576" s="14" t="n">
        <v>4.1</v>
      </c>
      <c r="N576" s="12">
        <f>ROUND(L576/M576, 0)</f>
        <v/>
      </c>
      <c r="O576" s="12">
        <f>ROUND(N576*'Methodology &amp; Assumptions'!$B$5, 0)</f>
        <v/>
      </c>
      <c r="P576" s="10" t="inlineStr">
        <is>
          <t>Single Carrier (Band n50, 100MHz TDD)</t>
        </is>
      </c>
      <c r="Q576" s="13">
        <f>ROUNDUP(O576/'Methodology &amp; Assumptions'!$B$6, 0)</f>
        <v/>
      </c>
      <c r="R576" s="13" t="n">
        <v>1</v>
      </c>
      <c r="S576" s="14" t="n">
        <v>95.98</v>
      </c>
      <c r="T576" s="14" t="n">
        <v>95.94</v>
      </c>
      <c r="U576" s="26">
        <f>IF(X576&gt;='Methodology &amp; Assumptions'!$B$7, "Tier 1 Critical GIDA (Score ≥ 50.0)", IF(X576&gt;='Methodology &amp; Assumptions'!$B$8, "Tier 2 High GIDA (Score 40.0–49.9)", "Tier 3 Moderate GIDA (Score &lt; 40.0)"))</f>
        <v/>
      </c>
      <c r="V576" s="26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W576" s="28" t="n">
        <v>0.237</v>
      </c>
      <c r="X576" s="14" t="n">
        <v>48.54</v>
      </c>
      <c r="Y576" s="14">
        <f>ROUND(MIN(100, (X576/69.91)*100), 2)</f>
        <v/>
      </c>
    </row>
    <row r="577">
      <c r="A577" s="10" t="n">
        <v>3</v>
      </c>
      <c r="B577" s="10" t="n">
        <v>573</v>
      </c>
      <c r="C577" s="10" t="n">
        <v>2573</v>
      </c>
      <c r="D577" s="10" t="inlineStr">
        <is>
          <t>PH0002573</t>
        </is>
      </c>
      <c r="E577" s="26" t="inlineStr">
        <is>
          <t>NCR</t>
        </is>
      </c>
      <c r="F577" s="26" t="inlineStr">
        <is>
          <t>Metro Manila</t>
        </is>
      </c>
      <c r="G577" s="26" t="inlineStr">
        <is>
          <t>Caloocan City</t>
        </is>
      </c>
      <c r="H577" s="26" t="inlineStr">
        <is>
          <t>Barangay 102</t>
        </is>
      </c>
      <c r="I577" s="27" t="n">
        <v>13.801612</v>
      </c>
      <c r="J577" s="27" t="n">
        <v>120.646952</v>
      </c>
      <c r="K577" s="10" t="inlineStr">
        <is>
          <t>R</t>
        </is>
      </c>
      <c r="L577" s="12" t="n">
        <v>2279</v>
      </c>
      <c r="M577" s="14" t="n">
        <v>3.8</v>
      </c>
      <c r="N577" s="12">
        <f>ROUND(L577/M577, 0)</f>
        <v/>
      </c>
      <c r="O577" s="12">
        <f>ROUND(N577*'Methodology &amp; Assumptions'!$B$5, 0)</f>
        <v/>
      </c>
      <c r="P577" s="10" t="inlineStr">
        <is>
          <t>Single Carrier (Band n50, 100MHz TDD)</t>
        </is>
      </c>
      <c r="Q577" s="13">
        <f>ROUNDUP(O577/'Methodology &amp; Assumptions'!$B$6, 0)</f>
        <v/>
      </c>
      <c r="R577" s="13" t="n">
        <v>1</v>
      </c>
      <c r="S577" s="14" t="n">
        <v>3.36</v>
      </c>
      <c r="T577" s="14" t="n">
        <v>3.47</v>
      </c>
      <c r="U577" s="26">
        <f>IF(X577&gt;='Methodology &amp; Assumptions'!$B$7, "Tier 1 Critical GIDA (Score ≥ 50.0)", IF(X577&gt;='Methodology &amp; Assumptions'!$B$8, "Tier 2 High GIDA (Score 40.0–49.9)", "Tier 3 Moderate GIDA (Score &lt; 40.0)"))</f>
        <v/>
      </c>
      <c r="V577" s="26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W577" s="28" t="n">
        <v>0.011</v>
      </c>
      <c r="X577" s="14" t="n">
        <v>48.54</v>
      </c>
      <c r="Y577" s="14">
        <f>ROUND(MIN(100, (X577/69.91)*100), 2)</f>
        <v/>
      </c>
    </row>
    <row r="578">
      <c r="A578" s="10" t="n">
        <v>3</v>
      </c>
      <c r="B578" s="10" t="n">
        <v>574</v>
      </c>
      <c r="C578" s="10" t="n">
        <v>2574</v>
      </c>
      <c r="D578" s="10" t="inlineStr">
        <is>
          <t>1003515018</t>
        </is>
      </c>
      <c r="E578" s="26" t="inlineStr">
        <is>
          <t>Region X (Northern Mindanao)</t>
        </is>
      </c>
      <c r="F578" s="26" t="inlineStr">
        <is>
          <t>Lanao del Norte</t>
        </is>
      </c>
      <c r="G578" s="26" t="inlineStr">
        <is>
          <t>Nunungan</t>
        </is>
      </c>
      <c r="H578" s="26" t="inlineStr">
        <is>
          <t>Notongan</t>
        </is>
      </c>
      <c r="I578" s="27" t="n">
        <v>7.798179</v>
      </c>
      <c r="J578" s="27" t="n">
        <v>123.903715</v>
      </c>
      <c r="K578" s="10" t="inlineStr">
        <is>
          <t>R</t>
        </is>
      </c>
      <c r="L578" s="12" t="n">
        <v>532</v>
      </c>
      <c r="M578" s="14" t="n">
        <v>4.2</v>
      </c>
      <c r="N578" s="12">
        <f>ROUND(L578/M578, 0)</f>
        <v/>
      </c>
      <c r="O578" s="12">
        <f>ROUND(N578*'Methodology &amp; Assumptions'!$B$5, 0)</f>
        <v/>
      </c>
      <c r="P578" s="10" t="inlineStr">
        <is>
          <t>Single Carrier (Band n50, 100MHz TDD)</t>
        </is>
      </c>
      <c r="Q578" s="13">
        <f>ROUNDUP(O578/'Methodology &amp; Assumptions'!$B$6, 0)</f>
        <v/>
      </c>
      <c r="R578" s="13" t="n">
        <v>1</v>
      </c>
      <c r="S578" s="14" t="n">
        <v>29.55</v>
      </c>
      <c r="T578" s="14" t="n">
        <v>18.45</v>
      </c>
      <c r="U578" s="26">
        <f>IF(X578&gt;='Methodology &amp; Assumptions'!$B$7, "Tier 1 Critical GIDA (Score ≥ 50.0)", IF(X578&gt;='Methodology &amp; Assumptions'!$B$8, "Tier 2 High GIDA (Score 40.0–49.9)", "Tier 3 Moderate GIDA (Score &lt; 40.0)"))</f>
        <v/>
      </c>
      <c r="V578" s="26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W578" s="28" t="n">
        <v>0.174</v>
      </c>
      <c r="X578" s="14" t="n">
        <v>48.54</v>
      </c>
      <c r="Y578" s="14">
        <f>ROUND(MIN(100, (X578/69.91)*100), 2)</f>
        <v/>
      </c>
    </row>
    <row r="579">
      <c r="A579" s="10" t="n">
        <v>3</v>
      </c>
      <c r="B579" s="10" t="n">
        <v>575</v>
      </c>
      <c r="C579" s="10" t="n">
        <v>2575</v>
      </c>
      <c r="D579" s="10" t="inlineStr">
        <is>
          <t>0806007103</t>
        </is>
      </c>
      <c r="E579" s="26" t="inlineStr">
        <is>
          <t>Region VIII (Eastern Visayas)</t>
        </is>
      </c>
      <c r="F579" s="26" t="inlineStr">
        <is>
          <t>Samar</t>
        </is>
      </c>
      <c r="G579" s="26" t="inlineStr">
        <is>
          <t>Gandara</t>
        </is>
      </c>
      <c r="H579" s="26" t="inlineStr">
        <is>
          <t>Sidmon</t>
        </is>
      </c>
      <c r="I579" s="27" t="n">
        <v>12.046266</v>
      </c>
      <c r="J579" s="27" t="n">
        <v>124.802697</v>
      </c>
      <c r="K579" s="10" t="inlineStr">
        <is>
          <t>R</t>
        </is>
      </c>
      <c r="L579" s="12" t="n">
        <v>304</v>
      </c>
      <c r="M579" s="14" t="n">
        <v>4.1</v>
      </c>
      <c r="N579" s="12">
        <f>ROUND(L579/M579, 0)</f>
        <v/>
      </c>
      <c r="O579" s="12">
        <f>ROUND(N579*'Methodology &amp; Assumptions'!$B$5, 0)</f>
        <v/>
      </c>
      <c r="P579" s="10" t="inlineStr">
        <is>
          <t>Single Carrier (Band n50, 100MHz TDD)</t>
        </is>
      </c>
      <c r="Q579" s="13">
        <f>ROUNDUP(O579/'Methodology &amp; Assumptions'!$B$6, 0)</f>
        <v/>
      </c>
      <c r="R579" s="13" t="n">
        <v>1</v>
      </c>
      <c r="S579" s="14" t="n">
        <v>83.92</v>
      </c>
      <c r="T579" s="14" t="n">
        <v>83.89</v>
      </c>
      <c r="U579" s="26">
        <f>IF(X579&gt;='Methodology &amp; Assumptions'!$B$7, "Tier 1 Critical GIDA (Score ≥ 50.0)", IF(X579&gt;='Methodology &amp; Assumptions'!$B$8, "Tier 2 High GIDA (Score 40.0–49.9)", "Tier 3 Moderate GIDA (Score &lt; 40.0)"))</f>
        <v/>
      </c>
      <c r="V579" s="26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W579" s="28" t="n">
        <v>0.237</v>
      </c>
      <c r="X579" s="14" t="n">
        <v>48.54</v>
      </c>
      <c r="Y579" s="14">
        <f>ROUND(MIN(100, (X579/69.91)*100), 2)</f>
        <v/>
      </c>
    </row>
    <row r="580">
      <c r="A580" s="10" t="n">
        <v>3</v>
      </c>
      <c r="B580" s="10" t="n">
        <v>576</v>
      </c>
      <c r="C580" s="10" t="n">
        <v>2576</v>
      </c>
      <c r="D580" s="10" t="inlineStr">
        <is>
          <t>1003515006</t>
        </is>
      </c>
      <c r="E580" s="26" t="inlineStr">
        <is>
          <t>Region X (Northern Mindanao)</t>
        </is>
      </c>
      <c r="F580" s="26" t="inlineStr">
        <is>
          <t>Lanao del Norte</t>
        </is>
      </c>
      <c r="G580" s="26" t="inlineStr">
        <is>
          <t>Nunungan</t>
        </is>
      </c>
      <c r="H580" s="26" t="inlineStr">
        <is>
          <t>Inayawan</t>
        </is>
      </c>
      <c r="I580" s="27" t="n">
        <v>7.786425</v>
      </c>
      <c r="J580" s="27" t="n">
        <v>123.92073</v>
      </c>
      <c r="K580" s="10" t="inlineStr">
        <is>
          <t>R</t>
        </is>
      </c>
      <c r="L580" s="12" t="n">
        <v>943</v>
      </c>
      <c r="M580" s="14" t="n">
        <v>4.2</v>
      </c>
      <c r="N580" s="12">
        <f>ROUND(L580/M580, 0)</f>
        <v/>
      </c>
      <c r="O580" s="12">
        <f>ROUND(N580*'Methodology &amp; Assumptions'!$B$5, 0)</f>
        <v/>
      </c>
      <c r="P580" s="10" t="inlineStr">
        <is>
          <t>Single Carrier (Band n50, 100MHz TDD)</t>
        </is>
      </c>
      <c r="Q580" s="13">
        <f>ROUNDUP(O580/'Methodology &amp; Assumptions'!$B$6, 0)</f>
        <v/>
      </c>
      <c r="R580" s="13" t="n">
        <v>1</v>
      </c>
      <c r="S580" s="14" t="n">
        <v>31.51</v>
      </c>
      <c r="T580" s="14" t="n">
        <v>20.74</v>
      </c>
      <c r="U580" s="26">
        <f>IF(X580&gt;='Methodology &amp; Assumptions'!$B$7, "Tier 1 Critical GIDA (Score ≥ 50.0)", IF(X580&gt;='Methodology &amp; Assumptions'!$B$8, "Tier 2 High GIDA (Score 40.0–49.9)", "Tier 3 Moderate GIDA (Score &lt; 40.0)"))</f>
        <v/>
      </c>
      <c r="V580" s="26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W580" s="28" t="n">
        <v>0.174</v>
      </c>
      <c r="X580" s="14" t="n">
        <v>48.54</v>
      </c>
      <c r="Y580" s="14">
        <f>ROUND(MIN(100, (X580/69.91)*100), 2)</f>
        <v/>
      </c>
    </row>
    <row r="581">
      <c r="A581" s="10" t="n">
        <v>3</v>
      </c>
      <c r="B581" s="10" t="n">
        <v>577</v>
      </c>
      <c r="C581" s="10" t="n">
        <v>2577</v>
      </c>
      <c r="D581" s="10" t="inlineStr">
        <is>
          <t>1380614047</t>
        </is>
      </c>
      <c r="E581" s="26" t="inlineStr">
        <is>
          <t>National Capital Region (NCR)</t>
        </is>
      </c>
      <c r="F581" s="26" t="inlineStr">
        <is>
          <t>First District (Not a Province)</t>
        </is>
      </c>
      <c r="G581" s="26" t="inlineStr">
        <is>
          <t>City of Manila</t>
        </is>
      </c>
      <c r="H581" s="26" t="inlineStr">
        <is>
          <t>Barangay 791</t>
        </is>
      </c>
      <c r="I581" s="27" t="n">
        <v>12.611162</v>
      </c>
      <c r="J581" s="27" t="n">
        <v>120.900325</v>
      </c>
      <c r="K581" s="10" t="inlineStr">
        <is>
          <t>U</t>
        </is>
      </c>
      <c r="L581" s="12" t="n">
        <v>2091</v>
      </c>
      <c r="M581" s="14" t="n">
        <v>3.9</v>
      </c>
      <c r="N581" s="12">
        <f>ROUND(L581/M581, 0)</f>
        <v/>
      </c>
      <c r="O581" s="12">
        <f>ROUND(N581*'Methodology &amp; Assumptions'!$B$5, 0)</f>
        <v/>
      </c>
      <c r="P581" s="10" t="inlineStr">
        <is>
          <t>Single Carrier (Band n50, 100MHz TDD)</t>
        </is>
      </c>
      <c r="Q581" s="13">
        <f>ROUNDUP(O581/'Methodology &amp; Assumptions'!$B$6, 0)</f>
        <v/>
      </c>
      <c r="R581" s="13" t="n">
        <v>1</v>
      </c>
      <c r="S581" s="14" t="n">
        <v>34.01</v>
      </c>
      <c r="T581" s="14" t="n">
        <v>31.59</v>
      </c>
      <c r="U581" s="26">
        <f>IF(X581&gt;='Methodology &amp; Assumptions'!$B$7, "Tier 1 Critical GIDA (Score ≥ 50.0)", IF(X581&gt;='Methodology &amp; Assumptions'!$B$8, "Tier 2 High GIDA (Score 40.0–49.9)", "Tier 3 Moderate GIDA (Score &lt; 40.0)"))</f>
        <v/>
      </c>
      <c r="V581" s="26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W581" s="28" t="n">
        <v>0.109</v>
      </c>
      <c r="X581" s="14" t="n">
        <v>48.54</v>
      </c>
      <c r="Y581" s="14">
        <f>ROUND(MIN(100, (X581/69.91)*100), 2)</f>
        <v/>
      </c>
    </row>
    <row r="582">
      <c r="A582" s="10" t="n">
        <v>3</v>
      </c>
      <c r="B582" s="10" t="n">
        <v>578</v>
      </c>
      <c r="C582" s="10" t="n">
        <v>2578</v>
      </c>
      <c r="D582" s="10" t="inlineStr">
        <is>
          <t>1705208065</t>
        </is>
      </c>
      <c r="E582" s="26" t="inlineStr">
        <is>
          <t>MIMAROPA Region</t>
        </is>
      </c>
      <c r="F582" s="26" t="inlineStr">
        <is>
          <t>Oriental Mindoro</t>
        </is>
      </c>
      <c r="G582" s="26" t="inlineStr">
        <is>
          <t>Naujan</t>
        </is>
      </c>
      <c r="H582" s="26" t="inlineStr">
        <is>
          <t>Tigkan</t>
        </is>
      </c>
      <c r="I582" s="27" t="n">
        <v>13.287861</v>
      </c>
      <c r="J582" s="27" t="n">
        <v>121.185056</v>
      </c>
      <c r="K582" s="10" t="inlineStr">
        <is>
          <t>R</t>
        </is>
      </c>
      <c r="L582" s="12" t="n">
        <v>816</v>
      </c>
      <c r="M582" s="14" t="n">
        <v>3.9</v>
      </c>
      <c r="N582" s="12">
        <f>ROUND(L582/M582, 0)</f>
        <v/>
      </c>
      <c r="O582" s="12">
        <f>ROUND(N582*'Methodology &amp; Assumptions'!$B$5, 0)</f>
        <v/>
      </c>
      <c r="P582" s="10" t="inlineStr">
        <is>
          <t>Single Carrier (Band n50, 100MHz TDD)</t>
        </is>
      </c>
      <c r="Q582" s="13">
        <f>ROUNDUP(O582/'Methodology &amp; Assumptions'!$B$6, 0)</f>
        <v/>
      </c>
      <c r="R582" s="13" t="n">
        <v>1</v>
      </c>
      <c r="S582" s="14" t="n">
        <v>3.11</v>
      </c>
      <c r="T582" s="14" t="n">
        <v>1.98</v>
      </c>
      <c r="U582" s="26">
        <f>IF(X582&gt;='Methodology &amp; Assumptions'!$B$7, "Tier 1 Critical GIDA (Score ≥ 50.0)", IF(X582&gt;='Methodology &amp; Assumptions'!$B$8, "Tier 2 High GIDA (Score 40.0–49.9)", "Tier 3 Moderate GIDA (Score &lt; 40.0)"))</f>
        <v/>
      </c>
      <c r="V582" s="26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W582" s="28" t="n">
        <v>0.15</v>
      </c>
      <c r="X582" s="14" t="n">
        <v>48.54</v>
      </c>
      <c r="Y582" s="14">
        <f>ROUND(MIN(100, (X582/69.91)*100), 2)</f>
        <v/>
      </c>
    </row>
    <row r="583">
      <c r="A583" s="10" t="n">
        <v>3</v>
      </c>
      <c r="B583" s="10" t="n">
        <v>579</v>
      </c>
      <c r="C583" s="10" t="n">
        <v>2579</v>
      </c>
      <c r="D583" s="10" t="inlineStr">
        <is>
          <t>0402104019</t>
        </is>
      </c>
      <c r="E583" s="26" t="inlineStr">
        <is>
          <t>Region IV-A (CALABARZON)</t>
        </is>
      </c>
      <c r="F583" s="26" t="inlineStr">
        <is>
          <t>Cavite</t>
        </is>
      </c>
      <c r="G583" s="26" t="inlineStr">
        <is>
          <t>Carmona</t>
        </is>
      </c>
      <c r="H583" s="26" t="inlineStr">
        <is>
          <t>Barangay 8</t>
        </is>
      </c>
      <c r="I583" s="27" t="n">
        <v>14.313731</v>
      </c>
      <c r="J583" s="27" t="n">
        <v>121.053752</v>
      </c>
      <c r="K583" s="10" t="inlineStr">
        <is>
          <t>R</t>
        </is>
      </c>
      <c r="L583" s="12" t="n">
        <v>3290</v>
      </c>
      <c r="M583" s="14" t="n">
        <v>3.4</v>
      </c>
      <c r="N583" s="12">
        <f>ROUND(L583/M583, 0)</f>
        <v/>
      </c>
      <c r="O583" s="12">
        <f>ROUND(N583*'Methodology &amp; Assumptions'!$B$5, 0)</f>
        <v/>
      </c>
      <c r="P583" s="10" t="inlineStr">
        <is>
          <t>Single Carrier (Band n50, 100MHz TDD)</t>
        </is>
      </c>
      <c r="Q583" s="13">
        <f>ROUNDUP(O583/'Methodology &amp; Assumptions'!$B$6, 0)</f>
        <v/>
      </c>
      <c r="R583" s="13" t="n">
        <v>1</v>
      </c>
      <c r="S583" s="14" t="n">
        <v>0.51</v>
      </c>
      <c r="T583" s="14" t="n">
        <v>0.51</v>
      </c>
      <c r="U583" s="26">
        <f>IF(X583&gt;='Methodology &amp; Assumptions'!$B$7, "Tier 1 Critical GIDA (Score ≥ 50.0)", IF(X583&gt;='Methodology &amp; Assumptions'!$B$8, "Tier 2 High GIDA (Score 40.0–49.9)", "Tier 3 Moderate GIDA (Score &lt; 40.0)"))</f>
        <v/>
      </c>
      <c r="V583" s="26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W583" s="28" t="n">
        <v>0.07200000000000001</v>
      </c>
      <c r="X583" s="14" t="n">
        <v>48.53</v>
      </c>
      <c r="Y583" s="14">
        <f>ROUND(MIN(100, (X583/69.91)*100), 2)</f>
        <v/>
      </c>
    </row>
    <row r="584">
      <c r="A584" s="10" t="n">
        <v>3</v>
      </c>
      <c r="B584" s="10" t="n">
        <v>580</v>
      </c>
      <c r="C584" s="10" t="n">
        <v>2580</v>
      </c>
      <c r="D584" s="10" t="inlineStr">
        <is>
          <t>1003515003</t>
        </is>
      </c>
      <c r="E584" s="26" t="inlineStr">
        <is>
          <t>Region X (Northern Mindanao)</t>
        </is>
      </c>
      <c r="F584" s="26" t="inlineStr">
        <is>
          <t>Lanao del Norte</t>
        </is>
      </c>
      <c r="G584" s="26" t="inlineStr">
        <is>
          <t>Nunungan</t>
        </is>
      </c>
      <c r="H584" s="26" t="inlineStr">
        <is>
          <t>Canibongan</t>
        </is>
      </c>
      <c r="I584" s="27" t="n">
        <v>7.783428</v>
      </c>
      <c r="J584" s="27" t="n">
        <v>123.897646</v>
      </c>
      <c r="K584" s="10" t="inlineStr">
        <is>
          <t>R</t>
        </is>
      </c>
      <c r="L584" s="12" t="n">
        <v>589</v>
      </c>
      <c r="M584" s="14" t="n">
        <v>4.2</v>
      </c>
      <c r="N584" s="12">
        <f>ROUND(L584/M584, 0)</f>
        <v/>
      </c>
      <c r="O584" s="12">
        <f>ROUND(N584*'Methodology &amp; Assumptions'!$B$5, 0)</f>
        <v/>
      </c>
      <c r="P584" s="10" t="inlineStr">
        <is>
          <t>Single Carrier (Band n50, 100MHz TDD)</t>
        </is>
      </c>
      <c r="Q584" s="13">
        <f>ROUNDUP(O584/'Methodology &amp; Assumptions'!$B$6, 0)</f>
        <v/>
      </c>
      <c r="R584" s="13" t="n">
        <v>1</v>
      </c>
      <c r="S584" s="14" t="n">
        <v>30.83</v>
      </c>
      <c r="T584" s="14" t="n">
        <v>18.94</v>
      </c>
      <c r="U584" s="26">
        <f>IF(X584&gt;='Methodology &amp; Assumptions'!$B$7, "Tier 1 Critical GIDA (Score ≥ 50.0)", IF(X584&gt;='Methodology &amp; Assumptions'!$B$8, "Tier 2 High GIDA (Score 40.0–49.9)", "Tier 3 Moderate GIDA (Score &lt; 40.0)"))</f>
        <v/>
      </c>
      <c r="V584" s="26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W584" s="28" t="n">
        <v>0.174</v>
      </c>
      <c r="X584" s="14" t="n">
        <v>48.53</v>
      </c>
      <c r="Y584" s="14">
        <f>ROUND(MIN(100, (X584/69.91)*100), 2)</f>
        <v/>
      </c>
    </row>
    <row r="585">
      <c r="A585" s="10" t="n">
        <v>3</v>
      </c>
      <c r="B585" s="10" t="n">
        <v>581</v>
      </c>
      <c r="C585" s="10" t="n">
        <v>2581</v>
      </c>
      <c r="D585" s="10" t="inlineStr">
        <is>
          <t>1381100113</t>
        </is>
      </c>
      <c r="E585" s="26" t="inlineStr">
        <is>
          <t>National Capital Region (NCR)</t>
        </is>
      </c>
      <c r="F585" s="26" t="inlineStr">
        <is>
          <t>Fourth District (Not a Province)</t>
        </is>
      </c>
      <c r="G585" s="26" t="inlineStr">
        <is>
          <t>Pasay City</t>
        </is>
      </c>
      <c r="H585" s="26" t="inlineStr">
        <is>
          <t>Barangay 113</t>
        </is>
      </c>
      <c r="I585" s="27" t="n">
        <v>14.658958</v>
      </c>
      <c r="J585" s="27" t="n">
        <v>120.84479</v>
      </c>
      <c r="K585" s="10" t="inlineStr">
        <is>
          <t>U</t>
        </is>
      </c>
      <c r="L585" s="12" t="n">
        <v>1851</v>
      </c>
      <c r="M585" s="14" t="n">
        <v>3.4</v>
      </c>
      <c r="N585" s="12">
        <f>ROUND(L585/M585, 0)</f>
        <v/>
      </c>
      <c r="O585" s="12">
        <f>ROUND(N585*'Methodology &amp; Assumptions'!$B$5, 0)</f>
        <v/>
      </c>
      <c r="P585" s="10" t="inlineStr">
        <is>
          <t>Single Carrier (Band n50, 100MHz TDD)</t>
        </is>
      </c>
      <c r="Q585" s="13">
        <f>ROUNDUP(O585/'Methodology &amp; Assumptions'!$B$6, 0)</f>
        <v/>
      </c>
      <c r="R585" s="13" t="n">
        <v>1</v>
      </c>
      <c r="S585" s="14" t="n">
        <v>10.62</v>
      </c>
      <c r="T585" s="14" t="n">
        <v>10.61</v>
      </c>
      <c r="U585" s="26">
        <f>IF(X585&gt;='Methodology &amp; Assumptions'!$B$7, "Tier 1 Critical GIDA (Score ≥ 50.0)", IF(X585&gt;='Methodology &amp; Assumptions'!$B$8, "Tier 2 High GIDA (Score 40.0–49.9)", "Tier 3 Moderate GIDA (Score &lt; 40.0)"))</f>
        <v/>
      </c>
      <c r="V585" s="26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W585" s="28" t="n">
        <v>0.109</v>
      </c>
      <c r="X585" s="14" t="n">
        <v>48.53</v>
      </c>
      <c r="Y585" s="14">
        <f>ROUND(MIN(100, (X585/69.91)*100), 2)</f>
        <v/>
      </c>
    </row>
    <row r="586">
      <c r="A586" s="10" t="n">
        <v>3</v>
      </c>
      <c r="B586" s="10" t="n">
        <v>582</v>
      </c>
      <c r="C586" s="10" t="n">
        <v>2582</v>
      </c>
      <c r="D586" s="10" t="inlineStr">
        <is>
          <t>0907311015</t>
        </is>
      </c>
      <c r="E586" s="26" t="inlineStr">
        <is>
          <t>Region IX (Zamboanga Peninsula)</t>
        </is>
      </c>
      <c r="F586" s="26" t="inlineStr">
        <is>
          <t>Zamboanga del Sur</t>
        </is>
      </c>
      <c r="G586" s="26" t="inlineStr">
        <is>
          <t>Kumalarang</t>
        </is>
      </c>
      <c r="H586" s="26" t="inlineStr">
        <is>
          <t>Kitaan Dagat</t>
        </is>
      </c>
      <c r="I586" s="27" t="n">
        <v>7.802098</v>
      </c>
      <c r="J586" s="27" t="n">
        <v>123.142109</v>
      </c>
      <c r="K586" s="10" t="inlineStr">
        <is>
          <t>R</t>
        </is>
      </c>
      <c r="L586" s="12" t="n">
        <v>511</v>
      </c>
      <c r="M586" s="14" t="n">
        <v>3.9</v>
      </c>
      <c r="N586" s="12">
        <f>ROUND(L586/M586, 0)</f>
        <v/>
      </c>
      <c r="O586" s="12">
        <f>ROUND(N586*'Methodology &amp; Assumptions'!$B$5, 0)</f>
        <v/>
      </c>
      <c r="P586" s="10" t="inlineStr">
        <is>
          <t>Single Carrier (Band n50, 100MHz TDD)</t>
        </is>
      </c>
      <c r="Q586" s="13">
        <f>ROUNDUP(O586/'Methodology &amp; Assumptions'!$B$6, 0)</f>
        <v/>
      </c>
      <c r="R586" s="13" t="n">
        <v>1</v>
      </c>
      <c r="S586" s="14" t="n">
        <v>12.52</v>
      </c>
      <c r="T586" s="14" t="n">
        <v>3.29</v>
      </c>
      <c r="U586" s="26">
        <f>IF(X586&gt;='Methodology &amp; Assumptions'!$B$7, "Tier 1 Critical GIDA (Score ≥ 50.0)", IF(X586&gt;='Methodology &amp; Assumptions'!$B$8, "Tier 2 High GIDA (Score 40.0–49.9)", "Tier 3 Moderate GIDA (Score &lt; 40.0)"))</f>
        <v/>
      </c>
      <c r="V586" s="26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W586" s="28" t="n">
        <v>0.11</v>
      </c>
      <c r="X586" s="14" t="n">
        <v>48.53</v>
      </c>
      <c r="Y586" s="14">
        <f>ROUND(MIN(100, (X586/69.91)*100), 2)</f>
        <v/>
      </c>
    </row>
    <row r="587">
      <c r="A587" s="10" t="n">
        <v>3</v>
      </c>
      <c r="B587" s="10" t="n">
        <v>583</v>
      </c>
      <c r="C587" s="10" t="n">
        <v>2583</v>
      </c>
      <c r="D587" s="10" t="inlineStr">
        <is>
          <t>1380601266</t>
        </is>
      </c>
      <c r="E587" s="26" t="inlineStr">
        <is>
          <t>National Capital Region (NCR)</t>
        </is>
      </c>
      <c r="F587" s="26" t="inlineStr">
        <is>
          <t>First District (Not a Province)</t>
        </is>
      </c>
      <c r="G587" s="26" t="inlineStr">
        <is>
          <t>City of Manila</t>
        </is>
      </c>
      <c r="H587" s="26" t="inlineStr">
        <is>
          <t>Barangay 265</t>
        </is>
      </c>
      <c r="I587" s="27" t="n">
        <v>13.654252</v>
      </c>
      <c r="J587" s="27" t="n">
        <v>122.232729</v>
      </c>
      <c r="K587" s="10" t="inlineStr">
        <is>
          <t>U</t>
        </is>
      </c>
      <c r="L587" s="12" t="n">
        <v>129</v>
      </c>
      <c r="M587" s="14" t="n">
        <v>3.9</v>
      </c>
      <c r="N587" s="12">
        <f>ROUND(L587/M587, 0)</f>
        <v/>
      </c>
      <c r="O587" s="12">
        <f>ROUND(N587*'Methodology &amp; Assumptions'!$B$5, 0)</f>
        <v/>
      </c>
      <c r="P587" s="10" t="inlineStr">
        <is>
          <t>Single Carrier (Band n50, 100MHz TDD)</t>
        </is>
      </c>
      <c r="Q587" s="13">
        <f>ROUNDUP(O587/'Methodology &amp; Assumptions'!$B$6, 0)</f>
        <v/>
      </c>
      <c r="R587" s="13" t="n">
        <v>1</v>
      </c>
      <c r="S587" s="14" t="n">
        <v>3.55</v>
      </c>
      <c r="T587" s="14" t="n">
        <v>1.39</v>
      </c>
      <c r="U587" s="26">
        <f>IF(X587&gt;='Methodology &amp; Assumptions'!$B$7, "Tier 1 Critical GIDA (Score ≥ 50.0)", IF(X587&gt;='Methodology &amp; Assumptions'!$B$8, "Tier 2 High GIDA (Score 40.0–49.9)", "Tier 3 Moderate GIDA (Score &lt; 40.0)"))</f>
        <v/>
      </c>
      <c r="V587" s="26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W587" s="28" t="n">
        <v>0.109</v>
      </c>
      <c r="X587" s="14" t="n">
        <v>48.53</v>
      </c>
      <c r="Y587" s="14">
        <f>ROUND(MIN(100, (X587/69.91)*100), 2)</f>
        <v/>
      </c>
    </row>
    <row r="588">
      <c r="A588" s="10" t="n">
        <v>3</v>
      </c>
      <c r="B588" s="10" t="n">
        <v>584</v>
      </c>
      <c r="C588" s="10" t="n">
        <v>2584</v>
      </c>
      <c r="D588" s="10" t="inlineStr">
        <is>
          <t>0301416004</t>
        </is>
      </c>
      <c r="E588" s="26" t="inlineStr">
        <is>
          <t>Region III (Central Luzon)</t>
        </is>
      </c>
      <c r="F588" s="26" t="inlineStr">
        <is>
          <t>Bulacan</t>
        </is>
      </c>
      <c r="G588" s="26" t="inlineStr">
        <is>
          <t>Paombong</t>
        </is>
      </c>
      <c r="H588" s="26" t="inlineStr">
        <is>
          <t>Masukol</t>
        </is>
      </c>
      <c r="I588" s="27" t="n">
        <v>14.764169</v>
      </c>
      <c r="J588" s="27" t="n">
        <v>120.770722</v>
      </c>
      <c r="K588" s="10" t="inlineStr">
        <is>
          <t>R</t>
        </is>
      </c>
      <c r="L588" s="12" t="n">
        <v>1452</v>
      </c>
      <c r="M588" s="14" t="n">
        <v>3.5</v>
      </c>
      <c r="N588" s="12">
        <f>ROUND(L588/M588, 0)</f>
        <v/>
      </c>
      <c r="O588" s="12">
        <f>ROUND(N588*'Methodology &amp; Assumptions'!$B$5, 0)</f>
        <v/>
      </c>
      <c r="P588" s="10" t="inlineStr">
        <is>
          <t>Single Carrier (Band n50, 100MHz TDD)</t>
        </is>
      </c>
      <c r="Q588" s="13">
        <f>ROUNDUP(O588/'Methodology &amp; Assumptions'!$B$6, 0)</f>
        <v/>
      </c>
      <c r="R588" s="13" t="n">
        <v>1</v>
      </c>
      <c r="S588" s="14" t="n">
        <v>7.9</v>
      </c>
      <c r="T588" s="14" t="n">
        <v>10.85</v>
      </c>
      <c r="U588" s="26">
        <f>IF(X588&gt;='Methodology &amp; Assumptions'!$B$7, "Tier 1 Critical GIDA (Score ≥ 50.0)", IF(X588&gt;='Methodology &amp; Assumptions'!$B$8, "Tier 2 High GIDA (Score 40.0–49.9)", "Tier 3 Moderate GIDA (Score &lt; 40.0)"))</f>
        <v/>
      </c>
      <c r="V588" s="26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W588" s="28" t="n">
        <v>0.083</v>
      </c>
      <c r="X588" s="14" t="n">
        <v>48.53</v>
      </c>
      <c r="Y588" s="14">
        <f>ROUND(MIN(100, (X588/69.91)*100), 2)</f>
        <v/>
      </c>
    </row>
    <row r="589">
      <c r="A589" s="10" t="n">
        <v>3</v>
      </c>
      <c r="B589" s="10" t="n">
        <v>585</v>
      </c>
      <c r="C589" s="10" t="n">
        <v>2585</v>
      </c>
      <c r="D589" s="10" t="inlineStr">
        <is>
          <t>1380611006</t>
        </is>
      </c>
      <c r="E589" s="26" t="inlineStr">
        <is>
          <t>National Capital Region (NCR)</t>
        </is>
      </c>
      <c r="F589" s="26" t="inlineStr">
        <is>
          <t>First District (Not a Province)</t>
        </is>
      </c>
      <c r="G589" s="26" t="inlineStr">
        <is>
          <t>City of Manila</t>
        </is>
      </c>
      <c r="H589" s="26" t="inlineStr">
        <is>
          <t>Barangay 672</t>
        </is>
      </c>
      <c r="I589" s="27" t="n">
        <v>12.005207</v>
      </c>
      <c r="J589" s="27" t="n">
        <v>121.972874</v>
      </c>
      <c r="K589" s="10" t="inlineStr">
        <is>
          <t>U</t>
        </is>
      </c>
      <c r="L589" s="12" t="n">
        <v>3228</v>
      </c>
      <c r="M589" s="14" t="n">
        <v>3.9</v>
      </c>
      <c r="N589" s="12">
        <f>ROUND(L589/M589, 0)</f>
        <v/>
      </c>
      <c r="O589" s="12">
        <f>ROUND(N589*'Methodology &amp; Assumptions'!$B$5, 0)</f>
        <v/>
      </c>
      <c r="P589" s="10" t="inlineStr">
        <is>
          <t>Single Carrier (Band n50, 100MHz TDD)</t>
        </is>
      </c>
      <c r="Q589" s="13">
        <f>ROUNDUP(O589/'Methodology &amp; Assumptions'!$B$6, 0)</f>
        <v/>
      </c>
      <c r="R589" s="13" t="n">
        <v>1</v>
      </c>
      <c r="S589" s="14" t="n">
        <v>6.97</v>
      </c>
      <c r="T589" s="14" t="n">
        <v>5.74</v>
      </c>
      <c r="U589" s="26">
        <f>IF(X589&gt;='Methodology &amp; Assumptions'!$B$7, "Tier 1 Critical GIDA (Score ≥ 50.0)", IF(X589&gt;='Methodology &amp; Assumptions'!$B$8, "Tier 2 High GIDA (Score 40.0–49.9)", "Tier 3 Moderate GIDA (Score &lt; 40.0)"))</f>
        <v/>
      </c>
      <c r="V589" s="26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W589" s="28" t="n">
        <v>0.109</v>
      </c>
      <c r="X589" s="14" t="n">
        <v>48.53</v>
      </c>
      <c r="Y589" s="14">
        <f>ROUND(MIN(100, (X589/69.91)*100), 2)</f>
        <v/>
      </c>
    </row>
    <row r="590">
      <c r="A590" s="10" t="n">
        <v>3</v>
      </c>
      <c r="B590" s="10" t="n">
        <v>586</v>
      </c>
      <c r="C590" s="10" t="n">
        <v>2586</v>
      </c>
      <c r="D590" s="10" t="inlineStr">
        <is>
          <t>1380606167</t>
        </is>
      </c>
      <c r="E590" s="26" t="inlineStr">
        <is>
          <t>National Capital Region (NCR)</t>
        </is>
      </c>
      <c r="F590" s="26" t="inlineStr">
        <is>
          <t>First District (Not a Province)</t>
        </is>
      </c>
      <c r="G590" s="26" t="inlineStr">
        <is>
          <t>City of Manila</t>
        </is>
      </c>
      <c r="H590" s="26" t="inlineStr">
        <is>
          <t>Barangay 561</t>
        </is>
      </c>
      <c r="I590" s="27" t="n">
        <v>13.394241</v>
      </c>
      <c r="J590" s="27" t="n">
        <v>121.020194</v>
      </c>
      <c r="K590" s="10" t="inlineStr">
        <is>
          <t>U</t>
        </is>
      </c>
      <c r="L590" s="12" t="n">
        <v>2403</v>
      </c>
      <c r="M590" s="14" t="n">
        <v>3.9</v>
      </c>
      <c r="N590" s="12">
        <f>ROUND(L590/M590, 0)</f>
        <v/>
      </c>
      <c r="O590" s="12">
        <f>ROUND(N590*'Methodology &amp; Assumptions'!$B$5, 0)</f>
        <v/>
      </c>
      <c r="P590" s="10" t="inlineStr">
        <is>
          <t>Single Carrier (Band n50, 100MHz TDD)</t>
        </is>
      </c>
      <c r="Q590" s="13">
        <f>ROUNDUP(O590/'Methodology &amp; Assumptions'!$B$6, 0)</f>
        <v/>
      </c>
      <c r="R590" s="13" t="n">
        <v>1</v>
      </c>
      <c r="S590" s="14" t="n">
        <v>4.58</v>
      </c>
      <c r="T590" s="14" t="n">
        <v>1.63</v>
      </c>
      <c r="U590" s="26">
        <f>IF(X590&gt;='Methodology &amp; Assumptions'!$B$7, "Tier 1 Critical GIDA (Score ≥ 50.0)", IF(X590&gt;='Methodology &amp; Assumptions'!$B$8, "Tier 2 High GIDA (Score 40.0–49.9)", "Tier 3 Moderate GIDA (Score &lt; 40.0)"))</f>
        <v/>
      </c>
      <c r="V590" s="26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W590" s="28" t="n">
        <v>0.109</v>
      </c>
      <c r="X590" s="14" t="n">
        <v>48.53</v>
      </c>
      <c r="Y590" s="14">
        <f>ROUND(MIN(100, (X590/69.91)*100), 2)</f>
        <v/>
      </c>
    </row>
    <row r="591">
      <c r="A591" s="10" t="n">
        <v>3</v>
      </c>
      <c r="B591" s="10" t="n">
        <v>587</v>
      </c>
      <c r="C591" s="10" t="n">
        <v>2587</v>
      </c>
      <c r="D591" s="10" t="inlineStr">
        <is>
          <t>PH0002587</t>
        </is>
      </c>
      <c r="E591" s="26" t="inlineStr">
        <is>
          <t>IV-B</t>
        </is>
      </c>
      <c r="F591" s="26" t="inlineStr">
        <is>
          <t>Palawan</t>
        </is>
      </c>
      <c r="G591" s="26" t="inlineStr">
        <is>
          <t>Puerto Princesa City</t>
        </is>
      </c>
      <c r="H591" s="26" t="inlineStr">
        <is>
          <t>Matiyaga (Pob.)</t>
        </is>
      </c>
      <c r="I591" s="27" t="n">
        <v>9.849719</v>
      </c>
      <c r="J591" s="27" t="n">
        <v>118.7737</v>
      </c>
      <c r="K591" s="10" t="inlineStr">
        <is>
          <t>R</t>
        </is>
      </c>
      <c r="L591" s="12" t="n">
        <v>2597</v>
      </c>
      <c r="M591" s="14" t="n">
        <v>3.9</v>
      </c>
      <c r="N591" s="12">
        <f>ROUND(L591/M591, 0)</f>
        <v/>
      </c>
      <c r="O591" s="12">
        <f>ROUND(N591*'Methodology &amp; Assumptions'!$B$5, 0)</f>
        <v/>
      </c>
      <c r="P591" s="10" t="inlineStr">
        <is>
          <t>Single Carrier (Band n50, 100MHz TDD)</t>
        </is>
      </c>
      <c r="Q591" s="13">
        <f>ROUNDUP(O591/'Methodology &amp; Assumptions'!$B$6, 0)</f>
        <v/>
      </c>
      <c r="R591" s="13" t="n">
        <v>1</v>
      </c>
      <c r="S591" s="14" t="n">
        <v>4.32</v>
      </c>
      <c r="T591" s="14" t="n">
        <v>3.8</v>
      </c>
      <c r="U591" s="26">
        <f>IF(X591&gt;='Methodology &amp; Assumptions'!$B$7, "Tier 1 Critical GIDA (Score ≥ 50.0)", IF(X591&gt;='Methodology &amp; Assumptions'!$B$8, "Tier 2 High GIDA (Score 40.0–49.9)", "Tier 3 Moderate GIDA (Score &lt; 40.0)"))</f>
        <v/>
      </c>
      <c r="V591" s="26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W591" s="28" t="n">
        <v>0.109</v>
      </c>
      <c r="X591" s="14" t="n">
        <v>48.52</v>
      </c>
      <c r="Y591" s="14">
        <f>ROUND(MIN(100, (X591/69.91)*100), 2)</f>
        <v/>
      </c>
    </row>
    <row r="592">
      <c r="A592" s="10" t="n">
        <v>3</v>
      </c>
      <c r="B592" s="10" t="n">
        <v>588</v>
      </c>
      <c r="C592" s="10" t="n">
        <v>2588</v>
      </c>
      <c r="D592" s="10" t="inlineStr">
        <is>
          <t>1705314006</t>
        </is>
      </c>
      <c r="E592" s="26" t="inlineStr">
        <is>
          <t>MIMAROPA Region</t>
        </is>
      </c>
      <c r="F592" s="26" t="inlineStr">
        <is>
          <t>Palawan</t>
        </is>
      </c>
      <c r="G592" s="26" t="inlineStr">
        <is>
          <t>Magsaysay</t>
        </is>
      </c>
      <c r="H592" s="26" t="inlineStr">
        <is>
          <t>Emilod</t>
        </is>
      </c>
      <c r="I592" s="27" t="n">
        <v>10.846268</v>
      </c>
      <c r="J592" s="27" t="n">
        <v>121.059044</v>
      </c>
      <c r="K592" s="10" t="inlineStr">
        <is>
          <t>R</t>
        </is>
      </c>
      <c r="L592" s="12" t="n">
        <v>773</v>
      </c>
      <c r="M592" s="14" t="n">
        <v>3.9</v>
      </c>
      <c r="N592" s="12">
        <f>ROUND(L592/M592, 0)</f>
        <v/>
      </c>
      <c r="O592" s="12">
        <f>ROUND(N592*'Methodology &amp; Assumptions'!$B$5, 0)</f>
        <v/>
      </c>
      <c r="P592" s="10" t="inlineStr">
        <is>
          <t>Single Carrier (Band n50, 100MHz TDD)</t>
        </is>
      </c>
      <c r="Q592" s="13">
        <f>ROUNDUP(O592/'Methodology &amp; Assumptions'!$B$6, 0)</f>
        <v/>
      </c>
      <c r="R592" s="13" t="n">
        <v>1</v>
      </c>
      <c r="S592" s="14" t="n">
        <v>96.45999999999999</v>
      </c>
      <c r="T592" s="14" t="n">
        <v>96.44</v>
      </c>
      <c r="U592" s="26">
        <f>IF(X592&gt;='Methodology &amp; Assumptions'!$B$7, "Tier 1 Critical GIDA (Score ≥ 50.0)", IF(X592&gt;='Methodology &amp; Assumptions'!$B$8, "Tier 2 High GIDA (Score 40.0–49.9)", "Tier 3 Moderate GIDA (Score &lt; 40.0)"))</f>
        <v/>
      </c>
      <c r="V592" s="26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W592" s="28" t="n">
        <v>0.15</v>
      </c>
      <c r="X592" s="14" t="n">
        <v>48.52</v>
      </c>
      <c r="Y592" s="14">
        <f>ROUND(MIN(100, (X592/69.91)*100), 2)</f>
        <v/>
      </c>
    </row>
    <row r="593">
      <c r="A593" s="10" t="n">
        <v>3</v>
      </c>
      <c r="B593" s="10" t="n">
        <v>589</v>
      </c>
      <c r="C593" s="10" t="n">
        <v>2589</v>
      </c>
      <c r="D593" s="10" t="inlineStr">
        <is>
          <t>1380610017</t>
        </is>
      </c>
      <c r="E593" s="26" t="inlineStr">
        <is>
          <t>National Capital Region (NCR)</t>
        </is>
      </c>
      <c r="F593" s="26" t="inlineStr">
        <is>
          <t>First District (Not a Province)</t>
        </is>
      </c>
      <c r="G593" s="26" t="inlineStr">
        <is>
          <t>City of Manila</t>
        </is>
      </c>
      <c r="H593" s="26" t="inlineStr">
        <is>
          <t>Barangay 702</t>
        </is>
      </c>
      <c r="I593" s="27" t="n">
        <v>12.996968</v>
      </c>
      <c r="J593" s="27" t="n">
        <v>122.687728</v>
      </c>
      <c r="K593" s="10" t="inlineStr">
        <is>
          <t>U</t>
        </is>
      </c>
      <c r="L593" s="12" t="n">
        <v>3443</v>
      </c>
      <c r="M593" s="14" t="n">
        <v>3.9</v>
      </c>
      <c r="N593" s="12">
        <f>ROUND(L593/M593, 0)</f>
        <v/>
      </c>
      <c r="O593" s="12">
        <f>ROUND(N593*'Methodology &amp; Assumptions'!$B$5, 0)</f>
        <v/>
      </c>
      <c r="P593" s="10" t="inlineStr">
        <is>
          <t>Single Carrier (Band n50, 100MHz TDD)</t>
        </is>
      </c>
      <c r="Q593" s="13">
        <f>ROUNDUP(O593/'Methodology &amp; Assumptions'!$B$6, 0)</f>
        <v/>
      </c>
      <c r="R593" s="13" t="n">
        <v>1</v>
      </c>
      <c r="S593" s="14" t="n">
        <v>24.72</v>
      </c>
      <c r="T593" s="14" t="n">
        <v>64.88</v>
      </c>
      <c r="U593" s="26">
        <f>IF(X593&gt;='Methodology &amp; Assumptions'!$B$7, "Tier 1 Critical GIDA (Score ≥ 50.0)", IF(X593&gt;='Methodology &amp; Assumptions'!$B$8, "Tier 2 High GIDA (Score 40.0–49.9)", "Tier 3 Moderate GIDA (Score &lt; 40.0)"))</f>
        <v/>
      </c>
      <c r="V593" s="26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W593" s="28" t="n">
        <v>0.109</v>
      </c>
      <c r="X593" s="14" t="n">
        <v>48.52</v>
      </c>
      <c r="Y593" s="14">
        <f>ROUND(MIN(100, (X593/69.91)*100), 2)</f>
        <v/>
      </c>
    </row>
    <row r="594">
      <c r="A594" s="10" t="n">
        <v>3</v>
      </c>
      <c r="B594" s="10" t="n">
        <v>590</v>
      </c>
      <c r="C594" s="10" t="n">
        <v>2590</v>
      </c>
      <c r="D594" s="10" t="inlineStr">
        <is>
          <t>1380614053</t>
        </is>
      </c>
      <c r="E594" s="26" t="inlineStr">
        <is>
          <t>National Capital Region (NCR)</t>
        </is>
      </c>
      <c r="F594" s="26" t="inlineStr">
        <is>
          <t>First District (Not a Province)</t>
        </is>
      </c>
      <c r="G594" s="26" t="inlineStr">
        <is>
          <t>City of Manila</t>
        </is>
      </c>
      <c r="H594" s="26" t="inlineStr">
        <is>
          <t>Barangay 797</t>
        </is>
      </c>
      <c r="I594" s="27" t="n">
        <v>12.190433</v>
      </c>
      <c r="J594" s="27" t="n">
        <v>121.180709</v>
      </c>
      <c r="K594" s="10" t="inlineStr">
        <is>
          <t>U</t>
        </is>
      </c>
      <c r="L594" s="12" t="n">
        <v>251</v>
      </c>
      <c r="M594" s="14" t="n">
        <v>3.9</v>
      </c>
      <c r="N594" s="12">
        <f>ROUND(L594/M594, 0)</f>
        <v/>
      </c>
      <c r="O594" s="12">
        <f>ROUND(N594*'Methodology &amp; Assumptions'!$B$5, 0)</f>
        <v/>
      </c>
      <c r="P594" s="10" t="inlineStr">
        <is>
          <t>Single Carrier (Band n50, 100MHz TDD)</t>
        </is>
      </c>
      <c r="Q594" s="13">
        <f>ROUNDUP(O594/'Methodology &amp; Assumptions'!$B$6, 0)</f>
        <v/>
      </c>
      <c r="R594" s="13" t="n">
        <v>1</v>
      </c>
      <c r="S594" s="14" t="n">
        <v>13.6</v>
      </c>
      <c r="T594" s="14" t="n">
        <v>10.97</v>
      </c>
      <c r="U594" s="26">
        <f>IF(X594&gt;='Methodology &amp; Assumptions'!$B$7, "Tier 1 Critical GIDA (Score ≥ 50.0)", IF(X594&gt;='Methodology &amp; Assumptions'!$B$8, "Tier 2 High GIDA (Score 40.0–49.9)", "Tier 3 Moderate GIDA (Score &lt; 40.0)"))</f>
        <v/>
      </c>
      <c r="V594" s="26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W594" s="28" t="n">
        <v>0.109</v>
      </c>
      <c r="X594" s="14" t="n">
        <v>48.52</v>
      </c>
      <c r="Y594" s="14">
        <f>ROUND(MIN(100, (X594/69.91)*100), 2)</f>
        <v/>
      </c>
    </row>
    <row r="595">
      <c r="A595" s="10" t="n">
        <v>3</v>
      </c>
      <c r="B595" s="10" t="n">
        <v>591</v>
      </c>
      <c r="C595" s="10" t="n">
        <v>2591</v>
      </c>
      <c r="D595" s="10" t="inlineStr">
        <is>
          <t>1403213016</t>
        </is>
      </c>
      <c r="E595" s="26" t="inlineStr">
        <is>
          <t>Cordillera Administrative Region (CAR)</t>
        </is>
      </c>
      <c r="F595" s="26" t="inlineStr">
        <is>
          <t>Kalinga</t>
        </is>
      </c>
      <c r="G595" s="26" t="inlineStr">
        <is>
          <t>City of Tabuk</t>
        </is>
      </c>
      <c r="H595" s="26" t="inlineStr">
        <is>
          <t>Guilayon</t>
        </is>
      </c>
      <c r="I595" s="27" t="n">
        <v>17.461624</v>
      </c>
      <c r="J595" s="27" t="n">
        <v>121.339478</v>
      </c>
      <c r="K595" s="10" t="inlineStr">
        <is>
          <t>R</t>
        </is>
      </c>
      <c r="L595" s="12" t="n">
        <v>901</v>
      </c>
      <c r="M595" s="14" t="n">
        <v>4.3</v>
      </c>
      <c r="N595" s="12">
        <f>ROUND(L595/M595, 0)</f>
        <v/>
      </c>
      <c r="O595" s="12">
        <f>ROUND(N595*'Methodology &amp; Assumptions'!$B$5, 0)</f>
        <v/>
      </c>
      <c r="P595" s="10" t="inlineStr">
        <is>
          <t>Single Carrier (Band n50, 100MHz TDD)</t>
        </is>
      </c>
      <c r="Q595" s="13">
        <f>ROUNDUP(O595/'Methodology &amp; Assumptions'!$B$6, 0)</f>
        <v/>
      </c>
      <c r="R595" s="13" t="n">
        <v>1</v>
      </c>
      <c r="S595" s="14" t="n">
        <v>9.390000000000001</v>
      </c>
      <c r="T595" s="14" t="n">
        <v>6.28</v>
      </c>
      <c r="U595" s="26">
        <f>IF(X595&gt;='Methodology &amp; Assumptions'!$B$7, "Tier 1 Critical GIDA (Score ≥ 50.0)", IF(X595&gt;='Methodology &amp; Assumptions'!$B$8, "Tier 2 High GIDA (Score 40.0–49.9)", "Tier 3 Moderate GIDA (Score &lt; 40.0)"))</f>
        <v/>
      </c>
      <c r="V595" s="26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W595" s="28" t="n">
        <v>0.109</v>
      </c>
      <c r="X595" s="14" t="n">
        <v>48.52</v>
      </c>
      <c r="Y595" s="14">
        <f>ROUND(MIN(100, (X595/69.91)*100), 2)</f>
        <v/>
      </c>
    </row>
    <row r="596">
      <c r="A596" s="10" t="n">
        <v>3</v>
      </c>
      <c r="B596" s="10" t="n">
        <v>592</v>
      </c>
      <c r="C596" s="10" t="n">
        <v>2592</v>
      </c>
      <c r="D596" s="10" t="inlineStr">
        <is>
          <t>1381300013</t>
        </is>
      </c>
      <c r="E596" s="26" t="inlineStr">
        <is>
          <t>National Capital Region (NCR)</t>
        </is>
      </c>
      <c r="F596" s="26" t="inlineStr">
        <is>
          <t>Second District (Not a Province)</t>
        </is>
      </c>
      <c r="G596" s="26" t="inlineStr">
        <is>
          <t>Quezon City</t>
        </is>
      </c>
      <c r="H596" s="26" t="inlineStr">
        <is>
          <t>Balingasa</t>
        </is>
      </c>
      <c r="I596" s="27" t="n">
        <v>14.652058</v>
      </c>
      <c r="J596" s="27" t="n">
        <v>121.001314</v>
      </c>
      <c r="K596" s="10" t="inlineStr">
        <is>
          <t>U</t>
        </is>
      </c>
      <c r="L596" s="12" t="n">
        <v>20068</v>
      </c>
      <c r="M596" s="14" t="n">
        <v>3.8</v>
      </c>
      <c r="N596" s="12">
        <f>ROUND(L596/M596, 0)</f>
        <v/>
      </c>
      <c r="O596" s="12">
        <f>ROUND(N596*'Methodology &amp; Assumptions'!$B$5, 0)</f>
        <v/>
      </c>
      <c r="P596" s="10" t="inlineStr">
        <is>
          <t>Single Carrier (Band n50, 100MHz TDD)</t>
        </is>
      </c>
      <c r="Q596" s="13">
        <f>ROUNDUP(O596/'Methodology &amp; Assumptions'!$B$6, 0)</f>
        <v/>
      </c>
      <c r="R596" s="13" t="n">
        <v>1</v>
      </c>
      <c r="S596" s="14" t="n">
        <v>1.57</v>
      </c>
      <c r="T596" s="14" t="n">
        <v>1.53</v>
      </c>
      <c r="U596" s="26">
        <f>IF(X596&gt;='Methodology &amp; Assumptions'!$B$7, "Tier 1 Critical GIDA (Score ≥ 50.0)", IF(X596&gt;='Methodology &amp; Assumptions'!$B$8, "Tier 2 High GIDA (Score 40.0–49.9)", "Tier 3 Moderate GIDA (Score &lt; 40.0)"))</f>
        <v/>
      </c>
      <c r="V596" s="26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W596" s="28" t="n">
        <v>0.109</v>
      </c>
      <c r="X596" s="14" t="n">
        <v>48.52</v>
      </c>
      <c r="Y596" s="14">
        <f>ROUND(MIN(100, (X596/69.91)*100), 2)</f>
        <v/>
      </c>
    </row>
    <row r="597">
      <c r="A597" s="10" t="n">
        <v>3</v>
      </c>
      <c r="B597" s="10" t="n">
        <v>593</v>
      </c>
      <c r="C597" s="10" t="n">
        <v>2593</v>
      </c>
      <c r="D597" s="10" t="inlineStr">
        <is>
          <t>1380605032</t>
        </is>
      </c>
      <c r="E597" s="26" t="inlineStr">
        <is>
          <t>National Capital Region (NCR)</t>
        </is>
      </c>
      <c r="F597" s="26" t="inlineStr">
        <is>
          <t>First District (Not a Province)</t>
        </is>
      </c>
      <c r="G597" s="26" t="inlineStr">
        <is>
          <t>City of Manila</t>
        </is>
      </c>
      <c r="H597" s="26" t="inlineStr">
        <is>
          <t>Barangay 330</t>
        </is>
      </c>
      <c r="I597" s="27" t="n">
        <v>13.779966</v>
      </c>
      <c r="J597" s="27" t="n">
        <v>121.733679</v>
      </c>
      <c r="K597" s="10" t="inlineStr">
        <is>
          <t>U</t>
        </is>
      </c>
      <c r="L597" s="12" t="n">
        <v>2312</v>
      </c>
      <c r="M597" s="14" t="n">
        <v>3.9</v>
      </c>
      <c r="N597" s="12">
        <f>ROUND(L597/M597, 0)</f>
        <v/>
      </c>
      <c r="O597" s="12">
        <f>ROUND(N597*'Methodology &amp; Assumptions'!$B$5, 0)</f>
        <v/>
      </c>
      <c r="P597" s="10" t="inlineStr">
        <is>
          <t>Single Carrier (Band n50, 100MHz TDD)</t>
        </is>
      </c>
      <c r="Q597" s="13">
        <f>ROUNDUP(O597/'Methodology &amp; Assumptions'!$B$6, 0)</f>
        <v/>
      </c>
      <c r="R597" s="13" t="n">
        <v>1</v>
      </c>
      <c r="S597" s="14" t="n">
        <v>17.49</v>
      </c>
      <c r="T597" s="14" t="n">
        <v>16.88</v>
      </c>
      <c r="U597" s="26">
        <f>IF(X597&gt;='Methodology &amp; Assumptions'!$B$7, "Tier 1 Critical GIDA (Score ≥ 50.0)", IF(X597&gt;='Methodology &amp; Assumptions'!$B$8, "Tier 2 High GIDA (Score 40.0–49.9)", "Tier 3 Moderate GIDA (Score &lt; 40.0)"))</f>
        <v/>
      </c>
      <c r="V597" s="26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W597" s="28" t="n">
        <v>0.109</v>
      </c>
      <c r="X597" s="14" t="n">
        <v>48.51</v>
      </c>
      <c r="Y597" s="14">
        <f>ROUND(MIN(100, (X597/69.91)*100), 2)</f>
        <v/>
      </c>
    </row>
    <row r="598">
      <c r="A598" s="10" t="n">
        <v>3</v>
      </c>
      <c r="B598" s="10" t="n">
        <v>594</v>
      </c>
      <c r="C598" s="10" t="n">
        <v>2594</v>
      </c>
      <c r="D598" s="10" t="inlineStr">
        <is>
          <t>1381100177</t>
        </is>
      </c>
      <c r="E598" s="26" t="inlineStr">
        <is>
          <t>National Capital Region (NCR)</t>
        </is>
      </c>
      <c r="F598" s="26" t="inlineStr">
        <is>
          <t>Fourth District (Not a Province)</t>
        </is>
      </c>
      <c r="G598" s="26" t="inlineStr">
        <is>
          <t>Pasay City</t>
        </is>
      </c>
      <c r="H598" s="26" t="inlineStr">
        <is>
          <t>Barangay 177</t>
        </is>
      </c>
      <c r="I598" s="27" t="n">
        <v>14.557935</v>
      </c>
      <c r="J598" s="27" t="n">
        <v>121.204657</v>
      </c>
      <c r="K598" s="10" t="inlineStr">
        <is>
          <t>U</t>
        </is>
      </c>
      <c r="L598" s="12" t="n">
        <v>6412</v>
      </c>
      <c r="M598" s="14" t="n">
        <v>3.4</v>
      </c>
      <c r="N598" s="12">
        <f>ROUND(L598/M598, 0)</f>
        <v/>
      </c>
      <c r="O598" s="12">
        <f>ROUND(N598*'Methodology &amp; Assumptions'!$B$5, 0)</f>
        <v/>
      </c>
      <c r="P598" s="10" t="inlineStr">
        <is>
          <t>Single Carrier (Band n50, 100MHz TDD)</t>
        </is>
      </c>
      <c r="Q598" s="13">
        <f>ROUNDUP(O598/'Methodology &amp; Assumptions'!$B$6, 0)</f>
        <v/>
      </c>
      <c r="R598" s="13" t="n">
        <v>1</v>
      </c>
      <c r="S598" s="14" t="n">
        <v>1.32</v>
      </c>
      <c r="T598" s="14" t="n">
        <v>0.53</v>
      </c>
      <c r="U598" s="26">
        <f>IF(X598&gt;='Methodology &amp; Assumptions'!$B$7, "Tier 1 Critical GIDA (Score ≥ 50.0)", IF(X598&gt;='Methodology &amp; Assumptions'!$B$8, "Tier 2 High GIDA (Score 40.0–49.9)", "Tier 3 Moderate GIDA (Score &lt; 40.0)"))</f>
        <v/>
      </c>
      <c r="V598" s="26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W598" s="28" t="n">
        <v>0.109</v>
      </c>
      <c r="X598" s="14" t="n">
        <v>48.51</v>
      </c>
      <c r="Y598" s="14">
        <f>ROUND(MIN(100, (X598/69.91)*100), 2)</f>
        <v/>
      </c>
    </row>
    <row r="599">
      <c r="A599" s="10" t="n">
        <v>3</v>
      </c>
      <c r="B599" s="10" t="n">
        <v>595</v>
      </c>
      <c r="C599" s="10" t="n">
        <v>2595</v>
      </c>
      <c r="D599" s="10" t="inlineStr">
        <is>
          <t>1705305012</t>
        </is>
      </c>
      <c r="E599" s="26" t="inlineStr">
        <is>
          <t>MIMAROPA Region</t>
        </is>
      </c>
      <c r="F599" s="26" t="inlineStr">
        <is>
          <t>Palawan</t>
        </is>
      </c>
      <c r="G599" s="26" t="inlineStr">
        <is>
          <t>Bataraza</t>
        </is>
      </c>
      <c r="H599" s="26" t="inlineStr">
        <is>
          <t>Puring</t>
        </is>
      </c>
      <c r="I599" s="27" t="n">
        <v>8.385555999999999</v>
      </c>
      <c r="J599" s="27" t="n">
        <v>117.22587</v>
      </c>
      <c r="K599" s="10" t="inlineStr">
        <is>
          <t>R</t>
        </is>
      </c>
      <c r="L599" s="12" t="n">
        <v>1641</v>
      </c>
      <c r="M599" s="14" t="n">
        <v>3.9</v>
      </c>
      <c r="N599" s="12">
        <f>ROUND(L599/M599, 0)</f>
        <v/>
      </c>
      <c r="O599" s="12">
        <f>ROUND(N599*'Methodology &amp; Assumptions'!$B$5, 0)</f>
        <v/>
      </c>
      <c r="P599" s="10" t="inlineStr">
        <is>
          <t>Single Carrier (Band n50, 100MHz TDD)</t>
        </is>
      </c>
      <c r="Q599" s="13">
        <f>ROUNDUP(O599/'Methodology &amp; Assumptions'!$B$6, 0)</f>
        <v/>
      </c>
      <c r="R599" s="13" t="n">
        <v>1</v>
      </c>
      <c r="S599" s="14" t="n">
        <v>223.85</v>
      </c>
      <c r="T599" s="14" t="n">
        <v>226.14</v>
      </c>
      <c r="U599" s="26">
        <f>IF(X599&gt;='Methodology &amp; Assumptions'!$B$7, "Tier 1 Critical GIDA (Score ≥ 50.0)", IF(X599&gt;='Methodology &amp; Assumptions'!$B$8, "Tier 2 High GIDA (Score 40.0–49.9)", "Tier 3 Moderate GIDA (Score &lt; 40.0)"))</f>
        <v/>
      </c>
      <c r="V599" s="26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W599" s="28" t="n">
        <v>0.15</v>
      </c>
      <c r="X599" s="14" t="n">
        <v>48.51</v>
      </c>
      <c r="Y599" s="14">
        <f>ROUND(MIN(100, (X599/69.91)*100), 2)</f>
        <v/>
      </c>
    </row>
    <row r="600">
      <c r="A600" s="10" t="n">
        <v>3</v>
      </c>
      <c r="B600" s="10" t="n">
        <v>596</v>
      </c>
      <c r="C600" s="10" t="n">
        <v>2596</v>
      </c>
      <c r="D600" s="10" t="inlineStr">
        <is>
          <t>1381701007</t>
        </is>
      </c>
      <c r="E600" s="26" t="inlineStr">
        <is>
          <t>National Capital Region (NCR)</t>
        </is>
      </c>
      <c r="F600" s="26" t="inlineStr">
        <is>
          <t>Fourth District (Not a Province)</t>
        </is>
      </c>
      <c r="G600" s="26" t="inlineStr">
        <is>
          <t>Pateros</t>
        </is>
      </c>
      <c r="H600" s="26" t="inlineStr">
        <is>
          <t>Santa Ana</t>
        </is>
      </c>
      <c r="I600" s="27" t="n">
        <v>14.546608</v>
      </c>
      <c r="J600" s="27" t="n">
        <v>121.071845</v>
      </c>
      <c r="K600" s="10" t="inlineStr">
        <is>
          <t>U</t>
        </is>
      </c>
      <c r="L600" s="12" t="n">
        <v>30632</v>
      </c>
      <c r="M600" s="14" t="n">
        <v>3.8</v>
      </c>
      <c r="N600" s="12">
        <f>ROUND(L600/M600, 0)</f>
        <v/>
      </c>
      <c r="O600" s="12">
        <f>ROUND(N600*'Methodology &amp; Assumptions'!$B$5, 0)</f>
        <v/>
      </c>
      <c r="P600" s="10" t="inlineStr">
        <is>
          <t>Single Carrier (Band n50, 100MHz TDD)</t>
        </is>
      </c>
      <c r="Q600" s="13">
        <f>ROUNDUP(O600/'Methodology &amp; Assumptions'!$B$6, 0)</f>
        <v/>
      </c>
      <c r="R600" s="13" t="n">
        <v>1</v>
      </c>
      <c r="S600" s="14" t="n">
        <v>0.43</v>
      </c>
      <c r="T600" s="14" t="n">
        <v>0.26</v>
      </c>
      <c r="U600" s="26">
        <f>IF(X600&gt;='Methodology &amp; Assumptions'!$B$7, "Tier 1 Critical GIDA (Score ≥ 50.0)", IF(X600&gt;='Methodology &amp; Assumptions'!$B$8, "Tier 2 High GIDA (Score 40.0–49.9)", "Tier 3 Moderate GIDA (Score &lt; 40.0)"))</f>
        <v/>
      </c>
      <c r="V600" s="26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W600" s="28" t="n">
        <v>0.109</v>
      </c>
      <c r="X600" s="14" t="n">
        <v>48.51</v>
      </c>
      <c r="Y600" s="14">
        <f>ROUND(MIN(100, (X600/69.91)*100), 2)</f>
        <v/>
      </c>
    </row>
    <row r="601">
      <c r="A601" s="10" t="n">
        <v>3</v>
      </c>
      <c r="B601" s="10" t="n">
        <v>597</v>
      </c>
      <c r="C601" s="10" t="n">
        <v>2597</v>
      </c>
      <c r="D601" s="10" t="inlineStr">
        <is>
          <t>1380300011</t>
        </is>
      </c>
      <c r="E601" s="26" t="inlineStr">
        <is>
          <t>National Capital Region (NCR)</t>
        </is>
      </c>
      <c r="F601" s="26" t="inlineStr">
        <is>
          <t>Fourth District (Not a Province)</t>
        </is>
      </c>
      <c r="G601" s="26" t="inlineStr">
        <is>
          <t>City of Makati</t>
        </is>
      </c>
      <c r="H601" s="26" t="inlineStr">
        <is>
          <t>Kasilawan</t>
        </is>
      </c>
      <c r="I601" s="27" t="n">
        <v>14.564243</v>
      </c>
      <c r="J601" s="27" t="n">
        <v>121.040077</v>
      </c>
      <c r="K601" s="10" t="inlineStr">
        <is>
          <t>U</t>
        </is>
      </c>
      <c r="L601" s="12" t="n">
        <v>2375</v>
      </c>
      <c r="M601" s="14" t="n">
        <v>3.5</v>
      </c>
      <c r="N601" s="12">
        <f>ROUND(L601/M601, 0)</f>
        <v/>
      </c>
      <c r="O601" s="12">
        <f>ROUND(N601*'Methodology &amp; Assumptions'!$B$5, 0)</f>
        <v/>
      </c>
      <c r="P601" s="10" t="inlineStr">
        <is>
          <t>Single Carrier (Band n50, 100MHz TDD)</t>
        </is>
      </c>
      <c r="Q601" s="13">
        <f>ROUNDUP(O601/'Methodology &amp; Assumptions'!$B$6, 0)</f>
        <v/>
      </c>
      <c r="R601" s="13" t="n">
        <v>1</v>
      </c>
      <c r="S601" s="14" t="n">
        <v>1.25</v>
      </c>
      <c r="T601" s="14" t="n">
        <v>0.36</v>
      </c>
      <c r="U601" s="26">
        <f>IF(X601&gt;='Methodology &amp; Assumptions'!$B$7, "Tier 1 Critical GIDA (Score ≥ 50.0)", IF(X601&gt;='Methodology &amp; Assumptions'!$B$8, "Tier 2 High GIDA (Score 40.0–49.9)", "Tier 3 Moderate GIDA (Score &lt; 40.0)"))</f>
        <v/>
      </c>
      <c r="V601" s="26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W601" s="28" t="n">
        <v>0.109</v>
      </c>
      <c r="X601" s="14" t="n">
        <v>48.51</v>
      </c>
      <c r="Y601" s="14">
        <f>ROUND(MIN(100, (X601/69.91)*100), 2)</f>
        <v/>
      </c>
    </row>
    <row r="602">
      <c r="A602" s="10" t="n">
        <v>3</v>
      </c>
      <c r="B602" s="10" t="n">
        <v>598</v>
      </c>
      <c r="C602" s="10" t="n">
        <v>2598</v>
      </c>
      <c r="D602" s="10" t="inlineStr">
        <is>
          <t>PH0002598</t>
        </is>
      </c>
      <c r="E602" s="26" t="inlineStr">
        <is>
          <t>CAR</t>
        </is>
      </c>
      <c r="F602" s="26" t="inlineStr">
        <is>
          <t>Benguet</t>
        </is>
      </c>
      <c r="G602" s="26" t="inlineStr">
        <is>
          <t>Baguio City</t>
        </is>
      </c>
      <c r="H602" s="26" t="inlineStr">
        <is>
          <t>Kayang Extension</t>
        </is>
      </c>
      <c r="I602" s="27" t="n">
        <v>16.394043</v>
      </c>
      <c r="J602" s="27" t="n">
        <v>120.613407</v>
      </c>
      <c r="K602" s="10" t="inlineStr">
        <is>
          <t>R</t>
        </is>
      </c>
      <c r="L602" s="12" t="n">
        <v>2260</v>
      </c>
      <c r="M602" s="14" t="n">
        <v>3.5</v>
      </c>
      <c r="N602" s="12">
        <f>ROUND(L602/M602, 0)</f>
        <v/>
      </c>
      <c r="O602" s="12">
        <f>ROUND(N602*'Methodology &amp; Assumptions'!$B$5, 0)</f>
        <v/>
      </c>
      <c r="P602" s="10" t="inlineStr">
        <is>
          <t>Single Carrier (Band n50, 100MHz TDD)</t>
        </is>
      </c>
      <c r="Q602" s="13">
        <f>ROUNDUP(O602/'Methodology &amp; Assumptions'!$B$6, 0)</f>
        <v/>
      </c>
      <c r="R602" s="13" t="n">
        <v>1</v>
      </c>
      <c r="S602" s="14" t="n">
        <v>1.96</v>
      </c>
      <c r="T602" s="14" t="n">
        <v>1.42</v>
      </c>
      <c r="U602" s="26">
        <f>IF(X602&gt;='Methodology &amp; Assumptions'!$B$7, "Tier 1 Critical GIDA (Score ≥ 50.0)", IF(X602&gt;='Methodology &amp; Assumptions'!$B$8, "Tier 2 High GIDA (Score 40.0–49.9)", "Tier 3 Moderate GIDA (Score &lt; 40.0)"))</f>
        <v/>
      </c>
      <c r="V602" s="26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W602" s="28" t="n">
        <v>0.221</v>
      </c>
      <c r="X602" s="14" t="n">
        <v>48.51</v>
      </c>
      <c r="Y602" s="14">
        <f>ROUND(MIN(100, (X602/69.91)*100), 2)</f>
        <v/>
      </c>
    </row>
    <row r="603">
      <c r="A603" s="10" t="n">
        <v>3</v>
      </c>
      <c r="B603" s="10" t="n">
        <v>599</v>
      </c>
      <c r="C603" s="10" t="n">
        <v>2599</v>
      </c>
      <c r="D603" s="10" t="inlineStr">
        <is>
          <t>1380611046</t>
        </is>
      </c>
      <c r="E603" s="26" t="inlineStr">
        <is>
          <t>National Capital Region (NCR)</t>
        </is>
      </c>
      <c r="F603" s="26" t="inlineStr">
        <is>
          <t>First District (Not a Province)</t>
        </is>
      </c>
      <c r="G603" s="26" t="inlineStr">
        <is>
          <t>City of Manila</t>
        </is>
      </c>
      <c r="H603" s="26" t="inlineStr">
        <is>
          <t>Barangay 831</t>
        </is>
      </c>
      <c r="I603" s="27" t="n">
        <v>12.241555</v>
      </c>
      <c r="J603" s="27" t="n">
        <v>122.428615</v>
      </c>
      <c r="K603" s="10" t="inlineStr">
        <is>
          <t>U</t>
        </is>
      </c>
      <c r="L603" s="12" t="n">
        <v>3452</v>
      </c>
      <c r="M603" s="14" t="n">
        <v>3.9</v>
      </c>
      <c r="N603" s="12">
        <f>ROUND(L603/M603, 0)</f>
        <v/>
      </c>
      <c r="O603" s="12">
        <f>ROUND(N603*'Methodology &amp; Assumptions'!$B$5, 0)</f>
        <v/>
      </c>
      <c r="P603" s="10" t="inlineStr">
        <is>
          <t>Single Carrier (Band n50, 100MHz TDD)</t>
        </is>
      </c>
      <c r="Q603" s="13">
        <f>ROUNDUP(O603/'Methodology &amp; Assumptions'!$B$6, 0)</f>
        <v/>
      </c>
      <c r="R603" s="13" t="n">
        <v>1</v>
      </c>
      <c r="S603" s="14" t="n">
        <v>60.26</v>
      </c>
      <c r="T603" s="14" t="n">
        <v>32.31</v>
      </c>
      <c r="U603" s="26">
        <f>IF(X603&gt;='Methodology &amp; Assumptions'!$B$7, "Tier 1 Critical GIDA (Score ≥ 50.0)", IF(X603&gt;='Methodology &amp; Assumptions'!$B$8, "Tier 2 High GIDA (Score 40.0–49.9)", "Tier 3 Moderate GIDA (Score &lt; 40.0)"))</f>
        <v/>
      </c>
      <c r="V603" s="26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W603" s="28" t="n">
        <v>0.109</v>
      </c>
      <c r="X603" s="14" t="n">
        <v>48.51</v>
      </c>
      <c r="Y603" s="14">
        <f>ROUND(MIN(100, (X603/69.91)*100), 2)</f>
        <v/>
      </c>
    </row>
    <row r="604">
      <c r="A604" s="10" t="n">
        <v>3</v>
      </c>
      <c r="B604" s="10" t="n">
        <v>600</v>
      </c>
      <c r="C604" s="10" t="n">
        <v>2600</v>
      </c>
      <c r="D604" s="10" t="inlineStr">
        <is>
          <t>1380606227</t>
        </is>
      </c>
      <c r="E604" s="26" t="inlineStr">
        <is>
          <t>National Capital Region (NCR)</t>
        </is>
      </c>
      <c r="F604" s="26" t="inlineStr">
        <is>
          <t>First District (Not a Province)</t>
        </is>
      </c>
      <c r="G604" s="26" t="inlineStr">
        <is>
          <t>City of Manila</t>
        </is>
      </c>
      <c r="H604" s="26" t="inlineStr">
        <is>
          <t>Barangay 620</t>
        </is>
      </c>
      <c r="I604" s="27" t="n">
        <v>12.919124</v>
      </c>
      <c r="J604" s="27" t="n">
        <v>120.847732</v>
      </c>
      <c r="K604" s="10" t="inlineStr">
        <is>
          <t>U</t>
        </is>
      </c>
      <c r="L604" s="12" t="n">
        <v>747</v>
      </c>
      <c r="M604" s="14" t="n">
        <v>3.9</v>
      </c>
      <c r="N604" s="12">
        <f>ROUND(L604/M604, 0)</f>
        <v/>
      </c>
      <c r="O604" s="12">
        <f>ROUND(N604*'Methodology &amp; Assumptions'!$B$5, 0)</f>
        <v/>
      </c>
      <c r="P604" s="10" t="inlineStr">
        <is>
          <t>Single Carrier (Band n50, 100MHz TDD)</t>
        </is>
      </c>
      <c r="Q604" s="13">
        <f>ROUNDUP(O604/'Methodology &amp; Assumptions'!$B$6, 0)</f>
        <v/>
      </c>
      <c r="R604" s="13" t="n">
        <v>1</v>
      </c>
      <c r="S604" s="14" t="n">
        <v>54.36</v>
      </c>
      <c r="T604" s="14" t="n">
        <v>53.16</v>
      </c>
      <c r="U604" s="26">
        <f>IF(X604&gt;='Methodology &amp; Assumptions'!$B$7, "Tier 1 Critical GIDA (Score ≥ 50.0)", IF(X604&gt;='Methodology &amp; Assumptions'!$B$8, "Tier 2 High GIDA (Score 40.0–49.9)", "Tier 3 Moderate GIDA (Score &lt; 40.0)"))</f>
        <v/>
      </c>
      <c r="V604" s="26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W604" s="28" t="n">
        <v>0.109</v>
      </c>
      <c r="X604" s="14" t="n">
        <v>48.51</v>
      </c>
      <c r="Y604" s="14">
        <f>ROUND(MIN(100, (X604/69.91)*100), 2)</f>
        <v/>
      </c>
    </row>
    <row r="605">
      <c r="A605" s="10" t="n">
        <v>3</v>
      </c>
      <c r="B605" s="10" t="n">
        <v>601</v>
      </c>
      <c r="C605" s="10" t="n">
        <v>2601</v>
      </c>
      <c r="D605" s="10" t="inlineStr">
        <is>
          <t>1001320025</t>
        </is>
      </c>
      <c r="E605" s="26" t="inlineStr">
        <is>
          <t>Region X (Northern Mindanao)</t>
        </is>
      </c>
      <c r="F605" s="26" t="inlineStr">
        <is>
          <t>Bukidnon</t>
        </is>
      </c>
      <c r="G605" s="26" t="inlineStr">
        <is>
          <t>Talakag</t>
        </is>
      </c>
      <c r="H605" s="26" t="inlineStr">
        <is>
          <t>Salucot</t>
        </is>
      </c>
      <c r="I605" s="27" t="n">
        <v>8.049816999999999</v>
      </c>
      <c r="J605" s="27" t="n">
        <v>124.642389</v>
      </c>
      <c r="K605" s="10" t="inlineStr">
        <is>
          <t>R</t>
        </is>
      </c>
      <c r="L605" s="12" t="n">
        <v>1959</v>
      </c>
      <c r="M605" s="14" t="n">
        <v>3.8</v>
      </c>
      <c r="N605" s="12">
        <f>ROUND(L605/M605, 0)</f>
        <v/>
      </c>
      <c r="O605" s="12">
        <f>ROUND(N605*'Methodology &amp; Assumptions'!$B$5, 0)</f>
        <v/>
      </c>
      <c r="P605" s="10" t="inlineStr">
        <is>
          <t>Single Carrier (Band n50, 100MHz TDD)</t>
        </is>
      </c>
      <c r="Q605" s="13">
        <f>ROUNDUP(O605/'Methodology &amp; Assumptions'!$B$6, 0)</f>
        <v/>
      </c>
      <c r="R605" s="13" t="n">
        <v>1</v>
      </c>
      <c r="S605" s="14" t="n">
        <v>21.36</v>
      </c>
      <c r="T605" s="14" t="n">
        <v>1.98</v>
      </c>
      <c r="U605" s="26">
        <f>IF(X605&gt;='Methodology &amp; Assumptions'!$B$7, "Tier 1 Critical GIDA (Score ≥ 50.0)", IF(X605&gt;='Methodology &amp; Assumptions'!$B$8, "Tier 2 High GIDA (Score 40.0–49.9)", "Tier 3 Moderate GIDA (Score &lt; 40.0)"))</f>
        <v/>
      </c>
      <c r="V605" s="26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W605" s="28" t="n">
        <v>0.174</v>
      </c>
      <c r="X605" s="14" t="n">
        <v>48.5</v>
      </c>
      <c r="Y605" s="14">
        <f>ROUND(MIN(100, (X605/69.91)*100), 2)</f>
        <v/>
      </c>
    </row>
    <row r="606">
      <c r="A606" s="10" t="n">
        <v>3</v>
      </c>
      <c r="B606" s="10" t="n">
        <v>602</v>
      </c>
      <c r="C606" s="10" t="n">
        <v>2602</v>
      </c>
      <c r="D606" s="10" t="inlineStr">
        <is>
          <t>1003515004</t>
        </is>
      </c>
      <c r="E606" s="26" t="inlineStr">
        <is>
          <t>Region X (Northern Mindanao)</t>
        </is>
      </c>
      <c r="F606" s="26" t="inlineStr">
        <is>
          <t>Lanao del Norte</t>
        </is>
      </c>
      <c r="G606" s="26" t="inlineStr">
        <is>
          <t>Nunungan</t>
        </is>
      </c>
      <c r="H606" s="26" t="inlineStr">
        <is>
          <t>Karcum</t>
        </is>
      </c>
      <c r="I606" s="27" t="n">
        <v>7.80298</v>
      </c>
      <c r="J606" s="27" t="n">
        <v>123.914296</v>
      </c>
      <c r="K606" s="10" t="inlineStr">
        <is>
          <t>R</t>
        </is>
      </c>
      <c r="L606" s="12" t="n">
        <v>732</v>
      </c>
      <c r="M606" s="14" t="n">
        <v>4.2</v>
      </c>
      <c r="N606" s="12">
        <f>ROUND(L606/M606, 0)</f>
        <v/>
      </c>
      <c r="O606" s="12">
        <f>ROUND(N606*'Methodology &amp; Assumptions'!$B$5, 0)</f>
        <v/>
      </c>
      <c r="P606" s="10" t="inlineStr">
        <is>
          <t>Single Carrier (Band n50, 100MHz TDD)</t>
        </is>
      </c>
      <c r="Q606" s="13">
        <f>ROUNDUP(O606/'Methodology &amp; Assumptions'!$B$6, 0)</f>
        <v/>
      </c>
      <c r="R606" s="13" t="n">
        <v>1</v>
      </c>
      <c r="S606" s="14" t="n">
        <v>29.54</v>
      </c>
      <c r="T606" s="14" t="n">
        <v>19.12</v>
      </c>
      <c r="U606" s="26">
        <f>IF(X606&gt;='Methodology &amp; Assumptions'!$B$7, "Tier 1 Critical GIDA (Score ≥ 50.0)", IF(X606&gt;='Methodology &amp; Assumptions'!$B$8, "Tier 2 High GIDA (Score 40.0–49.9)", "Tier 3 Moderate GIDA (Score &lt; 40.0)"))</f>
        <v/>
      </c>
      <c r="V606" s="26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W606" s="28" t="n">
        <v>0.174</v>
      </c>
      <c r="X606" s="14" t="n">
        <v>48.5</v>
      </c>
      <c r="Y606" s="14">
        <f>ROUND(MIN(100, (X606/69.91)*100), 2)</f>
        <v/>
      </c>
    </row>
    <row r="607">
      <c r="A607" s="10" t="n">
        <v>3</v>
      </c>
      <c r="B607" s="10" t="n">
        <v>603</v>
      </c>
      <c r="C607" s="10" t="n">
        <v>2603</v>
      </c>
      <c r="D607" s="10" t="inlineStr">
        <is>
          <t>1380614092</t>
        </is>
      </c>
      <c r="E607" s="26" t="inlineStr">
        <is>
          <t>National Capital Region (NCR)</t>
        </is>
      </c>
      <c r="F607" s="26" t="inlineStr">
        <is>
          <t>First District (Not a Province)</t>
        </is>
      </c>
      <c r="G607" s="26" t="inlineStr">
        <is>
          <t>City of Manila</t>
        </is>
      </c>
      <c r="H607" s="26" t="inlineStr">
        <is>
          <t>Barangay 899</t>
        </is>
      </c>
      <c r="I607" s="27" t="n">
        <v>13.461534</v>
      </c>
      <c r="J607" s="27" t="n">
        <v>122.485299</v>
      </c>
      <c r="K607" s="10" t="inlineStr">
        <is>
          <t>U</t>
        </is>
      </c>
      <c r="L607" s="12" t="n">
        <v>1609</v>
      </c>
      <c r="M607" s="14" t="n">
        <v>3.9</v>
      </c>
      <c r="N607" s="12">
        <f>ROUND(L607/M607, 0)</f>
        <v/>
      </c>
      <c r="O607" s="12">
        <f>ROUND(N607*'Methodology &amp; Assumptions'!$B$5, 0)</f>
        <v/>
      </c>
      <c r="P607" s="10" t="inlineStr">
        <is>
          <t>Single Carrier (Band n50, 100MHz TDD)</t>
        </is>
      </c>
      <c r="Q607" s="13">
        <f>ROUNDUP(O607/'Methodology &amp; Assumptions'!$B$6, 0)</f>
        <v/>
      </c>
      <c r="R607" s="13" t="n">
        <v>1</v>
      </c>
      <c r="S607" s="14" t="n">
        <v>3.05</v>
      </c>
      <c r="T607" s="14" t="n">
        <v>11.68</v>
      </c>
      <c r="U607" s="26">
        <f>IF(X607&gt;='Methodology &amp; Assumptions'!$B$7, "Tier 1 Critical GIDA (Score ≥ 50.0)", IF(X607&gt;='Methodology &amp; Assumptions'!$B$8, "Tier 2 High GIDA (Score 40.0–49.9)", "Tier 3 Moderate GIDA (Score &lt; 40.0)"))</f>
        <v/>
      </c>
      <c r="V607" s="26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W607" s="28" t="n">
        <v>0.109</v>
      </c>
      <c r="X607" s="14" t="n">
        <v>48.5</v>
      </c>
      <c r="Y607" s="14">
        <f>ROUND(MIN(100, (X607/69.91)*100), 2)</f>
        <v/>
      </c>
    </row>
    <row r="608">
      <c r="A608" s="10" t="n">
        <v>3</v>
      </c>
      <c r="B608" s="10" t="n">
        <v>604</v>
      </c>
      <c r="C608" s="10" t="n">
        <v>2604</v>
      </c>
      <c r="D608" s="10" t="inlineStr">
        <is>
          <t>PH0002604</t>
        </is>
      </c>
      <c r="E608" s="26" t="inlineStr">
        <is>
          <t>NCR</t>
        </is>
      </c>
      <c r="F608" s="26" t="inlineStr">
        <is>
          <t>Metro Manila</t>
        </is>
      </c>
      <c r="G608" s="26" t="inlineStr">
        <is>
          <t>Caloocan City</t>
        </is>
      </c>
      <c r="H608" s="26" t="inlineStr">
        <is>
          <t>Barangay 145</t>
        </is>
      </c>
      <c r="I608" s="27" t="n">
        <v>12.94232</v>
      </c>
      <c r="J608" s="27" t="n">
        <v>123.245239</v>
      </c>
      <c r="K608" s="10" t="inlineStr">
        <is>
          <t>R</t>
        </is>
      </c>
      <c r="L608" s="12" t="n">
        <v>2279</v>
      </c>
      <c r="M608" s="14" t="n">
        <v>3.8</v>
      </c>
      <c r="N608" s="12">
        <f>ROUND(L608/M608, 0)</f>
        <v/>
      </c>
      <c r="O608" s="12">
        <f>ROUND(N608*'Methodology &amp; Assumptions'!$B$5, 0)</f>
        <v/>
      </c>
      <c r="P608" s="10" t="inlineStr">
        <is>
          <t>Single Carrier (Band n50, 100MHz TDD)</t>
        </is>
      </c>
      <c r="Q608" s="13">
        <f>ROUNDUP(O608/'Methodology &amp; Assumptions'!$B$6, 0)</f>
        <v/>
      </c>
      <c r="R608" s="13" t="n">
        <v>1</v>
      </c>
      <c r="S608" s="14" t="n">
        <v>14.13</v>
      </c>
      <c r="T608" s="14" t="n">
        <v>44.81</v>
      </c>
      <c r="U608" s="26">
        <f>IF(X608&gt;='Methodology &amp; Assumptions'!$B$7, "Tier 1 Critical GIDA (Score ≥ 50.0)", IF(X608&gt;='Methodology &amp; Assumptions'!$B$8, "Tier 2 High GIDA (Score 40.0–49.9)", "Tier 3 Moderate GIDA (Score &lt; 40.0)"))</f>
        <v/>
      </c>
      <c r="V608" s="26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W608" s="28" t="n">
        <v>0.011</v>
      </c>
      <c r="X608" s="14" t="n">
        <v>48.5</v>
      </c>
      <c r="Y608" s="14">
        <f>ROUND(MIN(100, (X608/69.91)*100), 2)</f>
        <v/>
      </c>
    </row>
    <row r="609">
      <c r="A609" s="10" t="n">
        <v>3</v>
      </c>
      <c r="B609" s="10" t="n">
        <v>605</v>
      </c>
      <c r="C609" s="10" t="n">
        <v>2605</v>
      </c>
      <c r="D609" s="10" t="inlineStr">
        <is>
          <t>1381100160</t>
        </is>
      </c>
      <c r="E609" s="26" t="inlineStr">
        <is>
          <t>National Capital Region (NCR)</t>
        </is>
      </c>
      <c r="F609" s="26" t="inlineStr">
        <is>
          <t>Fourth District (Not a Province)</t>
        </is>
      </c>
      <c r="G609" s="26" t="inlineStr">
        <is>
          <t>Pasay City</t>
        </is>
      </c>
      <c r="H609" s="26" t="inlineStr">
        <is>
          <t>Barangay 160</t>
        </is>
      </c>
      <c r="I609" s="27" t="n">
        <v>14.395969</v>
      </c>
      <c r="J609" s="27" t="n">
        <v>120.866496</v>
      </c>
      <c r="K609" s="10" t="inlineStr">
        <is>
          <t>U</t>
        </is>
      </c>
      <c r="L609" s="12" t="n">
        <v>1280</v>
      </c>
      <c r="M609" s="14" t="n">
        <v>3.4</v>
      </c>
      <c r="N609" s="12">
        <f>ROUND(L609/M609, 0)</f>
        <v/>
      </c>
      <c r="O609" s="12">
        <f>ROUND(N609*'Methodology &amp; Assumptions'!$B$5, 0)</f>
        <v/>
      </c>
      <c r="P609" s="10" t="inlineStr">
        <is>
          <t>Single Carrier (Band n50, 100MHz TDD)</t>
        </is>
      </c>
      <c r="Q609" s="13">
        <f>ROUNDUP(O609/'Methodology &amp; Assumptions'!$B$6, 0)</f>
        <v/>
      </c>
      <c r="R609" s="13" t="n">
        <v>1</v>
      </c>
      <c r="S609" s="14" t="n">
        <v>0.54</v>
      </c>
      <c r="T609" s="14" t="n">
        <v>0.06</v>
      </c>
      <c r="U609" s="26">
        <f>IF(X609&gt;='Methodology &amp; Assumptions'!$B$7, "Tier 1 Critical GIDA (Score ≥ 50.0)", IF(X609&gt;='Methodology &amp; Assumptions'!$B$8, "Tier 2 High GIDA (Score 40.0–49.9)", "Tier 3 Moderate GIDA (Score &lt; 40.0)"))</f>
        <v/>
      </c>
      <c r="V609" s="26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W609" s="28" t="n">
        <v>0.109</v>
      </c>
      <c r="X609" s="14" t="n">
        <v>48.5</v>
      </c>
      <c r="Y609" s="14">
        <f>ROUND(MIN(100, (X609/69.91)*100), 2)</f>
        <v/>
      </c>
    </row>
    <row r="610">
      <c r="A610" s="10" t="n">
        <v>3</v>
      </c>
      <c r="B610" s="10" t="n">
        <v>606</v>
      </c>
      <c r="C610" s="10" t="n">
        <v>2606</v>
      </c>
      <c r="D610" s="10" t="inlineStr">
        <is>
          <t>0804814026</t>
        </is>
      </c>
      <c r="E610" s="26" t="inlineStr">
        <is>
          <t>Region VIII (Eastern Visayas)</t>
        </is>
      </c>
      <c r="F610" s="26" t="inlineStr">
        <is>
          <t>Northern Samar</t>
        </is>
      </c>
      <c r="G610" s="26" t="inlineStr">
        <is>
          <t>Palapag</t>
        </is>
      </c>
      <c r="H610" s="26" t="inlineStr">
        <is>
          <t>Sangay</t>
        </is>
      </c>
      <c r="I610" s="27" t="n">
        <v>12.53584</v>
      </c>
      <c r="J610" s="27" t="n">
        <v>125.128153</v>
      </c>
      <c r="K610" s="10" t="inlineStr">
        <is>
          <t>R</t>
        </is>
      </c>
      <c r="L610" s="12" t="n">
        <v>793</v>
      </c>
      <c r="M610" s="14" t="n">
        <v>4.3</v>
      </c>
      <c r="N610" s="12">
        <f>ROUND(L610/M610, 0)</f>
        <v/>
      </c>
      <c r="O610" s="12">
        <f>ROUND(N610*'Methodology &amp; Assumptions'!$B$5, 0)</f>
        <v/>
      </c>
      <c r="P610" s="10" t="inlineStr">
        <is>
          <t>Single Carrier (Band n50, 100MHz TDD)</t>
        </is>
      </c>
      <c r="Q610" s="13">
        <f>ROUNDUP(O610/'Methodology &amp; Assumptions'!$B$6, 0)</f>
        <v/>
      </c>
      <c r="R610" s="13" t="n">
        <v>1</v>
      </c>
      <c r="S610" s="14" t="n">
        <v>110.55</v>
      </c>
      <c r="T610" s="14" t="n">
        <v>109.54</v>
      </c>
      <c r="U610" s="26">
        <f>IF(X610&gt;='Methodology &amp; Assumptions'!$B$7, "Tier 1 Critical GIDA (Score ≥ 50.0)", IF(X610&gt;='Methodology &amp; Assumptions'!$B$8, "Tier 2 High GIDA (Score 40.0–49.9)", "Tier 3 Moderate GIDA (Score &lt; 40.0)"))</f>
        <v/>
      </c>
      <c r="V610" s="26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W610" s="28" t="n">
        <v>0.237</v>
      </c>
      <c r="X610" s="14" t="n">
        <v>48.49</v>
      </c>
      <c r="Y610" s="14">
        <f>ROUND(MIN(100, (X610/69.91)*100), 2)</f>
        <v/>
      </c>
    </row>
    <row r="611">
      <c r="A611" s="10" t="n">
        <v>3</v>
      </c>
      <c r="B611" s="10" t="n">
        <v>607</v>
      </c>
      <c r="C611" s="10" t="n">
        <v>2607</v>
      </c>
      <c r="D611" s="10" t="inlineStr">
        <is>
          <t>1380614051</t>
        </is>
      </c>
      <c r="E611" s="26" t="inlineStr">
        <is>
          <t>National Capital Region (NCR)</t>
        </is>
      </c>
      <c r="F611" s="26" t="inlineStr">
        <is>
          <t>First District (Not a Province)</t>
        </is>
      </c>
      <c r="G611" s="26" t="inlineStr">
        <is>
          <t>City of Manila</t>
        </is>
      </c>
      <c r="H611" s="26" t="inlineStr">
        <is>
          <t>Barangay 795</t>
        </is>
      </c>
      <c r="I611" s="27" t="n">
        <v>11.980933</v>
      </c>
      <c r="J611" s="27" t="n">
        <v>121.652621</v>
      </c>
      <c r="K611" s="10" t="inlineStr">
        <is>
          <t>U</t>
        </is>
      </c>
      <c r="L611" s="12" t="n">
        <v>1192</v>
      </c>
      <c r="M611" s="14" t="n">
        <v>3.9</v>
      </c>
      <c r="N611" s="12">
        <f>ROUND(L611/M611, 0)</f>
        <v/>
      </c>
      <c r="O611" s="12">
        <f>ROUND(N611*'Methodology &amp; Assumptions'!$B$5, 0)</f>
        <v/>
      </c>
      <c r="P611" s="10" t="inlineStr">
        <is>
          <t>Single Carrier (Band n50, 100MHz TDD)</t>
        </is>
      </c>
      <c r="Q611" s="13">
        <f>ROUNDUP(O611/'Methodology &amp; Assumptions'!$B$6, 0)</f>
        <v/>
      </c>
      <c r="R611" s="13" t="n">
        <v>1</v>
      </c>
      <c r="S611" s="14" t="n">
        <v>32.1</v>
      </c>
      <c r="T611" s="14" t="n">
        <v>26.87</v>
      </c>
      <c r="U611" s="26">
        <f>IF(X611&gt;='Methodology &amp; Assumptions'!$B$7, "Tier 1 Critical GIDA (Score ≥ 50.0)", IF(X611&gt;='Methodology &amp; Assumptions'!$B$8, "Tier 2 High GIDA (Score 40.0–49.9)", "Tier 3 Moderate GIDA (Score &lt; 40.0)"))</f>
        <v/>
      </c>
      <c r="V611" s="26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W611" s="28" t="n">
        <v>0.109</v>
      </c>
      <c r="X611" s="14" t="n">
        <v>48.49</v>
      </c>
      <c r="Y611" s="14">
        <f>ROUND(MIN(100, (X611/69.91)*100), 2)</f>
        <v/>
      </c>
    </row>
    <row r="612">
      <c r="A612" s="10" t="n">
        <v>3</v>
      </c>
      <c r="B612" s="10" t="n">
        <v>608</v>
      </c>
      <c r="C612" s="10" t="n">
        <v>2608</v>
      </c>
      <c r="D612" s="10" t="inlineStr">
        <is>
          <t>PH0002608</t>
        </is>
      </c>
      <c r="E612" s="26" t="inlineStr">
        <is>
          <t>VIII</t>
        </is>
      </c>
      <c r="F612" s="26" t="inlineStr">
        <is>
          <t>Northern Samar</t>
        </is>
      </c>
      <c r="G612" s="26" t="inlineStr">
        <is>
          <t>Victoria N Samar</t>
        </is>
      </c>
      <c r="H612" s="26" t="inlineStr">
        <is>
          <t>Lungib</t>
        </is>
      </c>
      <c r="I612" s="27" t="n">
        <v>12.436632</v>
      </c>
      <c r="J612" s="27" t="n">
        <v>124.784984</v>
      </c>
      <c r="K612" s="10" t="inlineStr">
        <is>
          <t>R</t>
        </is>
      </c>
      <c r="L612" s="12" t="n">
        <v>2223</v>
      </c>
      <c r="M612" s="14" t="n">
        <v>4.3</v>
      </c>
      <c r="N612" s="12">
        <f>ROUND(L612/M612, 0)</f>
        <v/>
      </c>
      <c r="O612" s="12">
        <f>ROUND(N612*'Methodology &amp; Assumptions'!$B$5, 0)</f>
        <v/>
      </c>
      <c r="P612" s="10" t="inlineStr">
        <is>
          <t>Single Carrier (Band n50, 100MHz TDD)</t>
        </is>
      </c>
      <c r="Q612" s="13">
        <f>ROUNDUP(O612/'Methodology &amp; Assumptions'!$B$6, 0)</f>
        <v/>
      </c>
      <c r="R612" s="13" t="n">
        <v>1</v>
      </c>
      <c r="S612" s="14" t="n">
        <v>77.3</v>
      </c>
      <c r="T612" s="14" t="n">
        <v>76.62</v>
      </c>
      <c r="U612" s="26">
        <f>IF(X612&gt;='Methodology &amp; Assumptions'!$B$7, "Tier 1 Critical GIDA (Score ≥ 50.0)", IF(X612&gt;='Methodology &amp; Assumptions'!$B$8, "Tier 2 High GIDA (Score 40.0–49.9)", "Tier 3 Moderate GIDA (Score &lt; 40.0)"))</f>
        <v/>
      </c>
      <c r="V612" s="26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W612" s="28" t="n">
        <v>0.222</v>
      </c>
      <c r="X612" s="14" t="n">
        <v>48.49</v>
      </c>
      <c r="Y612" s="14">
        <f>ROUND(MIN(100, (X612/69.91)*100), 2)</f>
        <v/>
      </c>
    </row>
    <row r="613">
      <c r="A613" s="10" t="n">
        <v>3</v>
      </c>
      <c r="B613" s="10" t="n">
        <v>609</v>
      </c>
      <c r="C613" s="10" t="n">
        <v>2609</v>
      </c>
      <c r="D613" s="10" t="inlineStr">
        <is>
          <t>0500512033</t>
        </is>
      </c>
      <c r="E613" s="26" t="inlineStr">
        <is>
          <t>Region V (Bicol Region)</t>
        </is>
      </c>
      <c r="F613" s="26" t="inlineStr">
        <is>
          <t>Albay</t>
        </is>
      </c>
      <c r="G613" s="26" t="inlineStr">
        <is>
          <t>Oas</t>
        </is>
      </c>
      <c r="H613" s="26" t="inlineStr">
        <is>
          <t>Mayag</t>
        </is>
      </c>
      <c r="I613" s="27" t="n">
        <v>13.167994</v>
      </c>
      <c r="J613" s="27" t="n">
        <v>123.398494</v>
      </c>
      <c r="K613" s="10" t="inlineStr">
        <is>
          <t>R</t>
        </is>
      </c>
      <c r="L613" s="12" t="n">
        <v>453</v>
      </c>
      <c r="M613" s="14" t="n">
        <v>4.1</v>
      </c>
      <c r="N613" s="12">
        <f>ROUND(L613/M613, 0)</f>
        <v/>
      </c>
      <c r="O613" s="12">
        <f>ROUND(N613*'Methodology &amp; Assumptions'!$B$5, 0)</f>
        <v/>
      </c>
      <c r="P613" s="10" t="inlineStr">
        <is>
          <t>Single Carrier (Band n50, 100MHz TDD)</t>
        </is>
      </c>
      <c r="Q613" s="13">
        <f>ROUNDUP(O613/'Methodology &amp; Assumptions'!$B$6, 0)</f>
        <v/>
      </c>
      <c r="R613" s="13" t="n">
        <v>1</v>
      </c>
      <c r="S613" s="14" t="n">
        <v>6.69</v>
      </c>
      <c r="T613" s="14" t="n">
        <v>14.99</v>
      </c>
      <c r="U613" s="26">
        <f>IF(X613&gt;='Methodology &amp; Assumptions'!$B$7, "Tier 1 Critical GIDA (Score ≥ 50.0)", IF(X613&gt;='Methodology &amp; Assumptions'!$B$8, "Tier 2 High GIDA (Score 40.0–49.9)", "Tier 3 Moderate GIDA (Score &lt; 40.0)"))</f>
        <v/>
      </c>
      <c r="V613" s="26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W613" s="28" t="n">
        <v>0.237</v>
      </c>
      <c r="X613" s="14" t="n">
        <v>48.49</v>
      </c>
      <c r="Y613" s="14">
        <f>ROUND(MIN(100, (X613/69.91)*100), 2)</f>
        <v/>
      </c>
    </row>
    <row r="614">
      <c r="A614" s="10" t="n">
        <v>3</v>
      </c>
      <c r="B614" s="10" t="n">
        <v>610</v>
      </c>
      <c r="C614" s="10" t="n">
        <v>2610</v>
      </c>
      <c r="D614" s="10" t="inlineStr">
        <is>
          <t>1381100175</t>
        </is>
      </c>
      <c r="E614" s="26" t="inlineStr">
        <is>
          <t>National Capital Region (NCR)</t>
        </is>
      </c>
      <c r="F614" s="26" t="inlineStr">
        <is>
          <t>Fourth District (Not a Province)</t>
        </is>
      </c>
      <c r="G614" s="26" t="inlineStr">
        <is>
          <t>Pasay City</t>
        </is>
      </c>
      <c r="H614" s="26" t="inlineStr">
        <is>
          <t>Barangay 175</t>
        </is>
      </c>
      <c r="I614" s="27" t="n">
        <v>14.738868</v>
      </c>
      <c r="J614" s="27" t="n">
        <v>121.003713</v>
      </c>
      <c r="K614" s="10" t="inlineStr">
        <is>
          <t>U</t>
        </is>
      </c>
      <c r="L614" s="12" t="n">
        <v>2008</v>
      </c>
      <c r="M614" s="14" t="n">
        <v>3.4</v>
      </c>
      <c r="N614" s="12">
        <f>ROUND(L614/M614, 0)</f>
        <v/>
      </c>
      <c r="O614" s="12">
        <f>ROUND(N614*'Methodology &amp; Assumptions'!$B$5, 0)</f>
        <v/>
      </c>
      <c r="P614" s="10" t="inlineStr">
        <is>
          <t>Single Carrier (Band n50, 100MHz TDD)</t>
        </is>
      </c>
      <c r="Q614" s="13">
        <f>ROUNDUP(O614/'Methodology &amp; Assumptions'!$B$6, 0)</f>
        <v/>
      </c>
      <c r="R614" s="13" t="n">
        <v>1</v>
      </c>
      <c r="S614" s="14" t="n">
        <v>1.5</v>
      </c>
      <c r="T614" s="14" t="n">
        <v>0.39</v>
      </c>
      <c r="U614" s="26">
        <f>IF(X614&gt;='Methodology &amp; Assumptions'!$B$7, "Tier 1 Critical GIDA (Score ≥ 50.0)", IF(X614&gt;='Methodology &amp; Assumptions'!$B$8, "Tier 2 High GIDA (Score 40.0–49.9)", "Tier 3 Moderate GIDA (Score &lt; 40.0)"))</f>
        <v/>
      </c>
      <c r="V614" s="26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W614" s="28" t="n">
        <v>0.109</v>
      </c>
      <c r="X614" s="14" t="n">
        <v>48.49</v>
      </c>
      <c r="Y614" s="14">
        <f>ROUND(MIN(100, (X614/69.91)*100), 2)</f>
        <v/>
      </c>
    </row>
    <row r="615">
      <c r="A615" s="10" t="n">
        <v>3</v>
      </c>
      <c r="B615" s="10" t="n">
        <v>611</v>
      </c>
      <c r="C615" s="10" t="n">
        <v>2611</v>
      </c>
      <c r="D615" s="10" t="inlineStr">
        <is>
          <t>1380611005</t>
        </is>
      </c>
      <c r="E615" s="26" t="inlineStr">
        <is>
          <t>National Capital Region (NCR)</t>
        </is>
      </c>
      <c r="F615" s="26" t="inlineStr">
        <is>
          <t>First District (Not a Province)</t>
        </is>
      </c>
      <c r="G615" s="26" t="inlineStr">
        <is>
          <t>City of Manila</t>
        </is>
      </c>
      <c r="H615" s="26" t="inlineStr">
        <is>
          <t>Barangay 671</t>
        </is>
      </c>
      <c r="I615" s="27" t="n">
        <v>13.623385</v>
      </c>
      <c r="J615" s="27" t="n">
        <v>121.239826</v>
      </c>
      <c r="K615" s="10" t="inlineStr">
        <is>
          <t>U</t>
        </is>
      </c>
      <c r="L615" s="12" t="n">
        <v>1264</v>
      </c>
      <c r="M615" s="14" t="n">
        <v>3.9</v>
      </c>
      <c r="N615" s="12">
        <f>ROUND(L615/M615, 0)</f>
        <v/>
      </c>
      <c r="O615" s="12">
        <f>ROUND(N615*'Methodology &amp; Assumptions'!$B$5, 0)</f>
        <v/>
      </c>
      <c r="P615" s="10" t="inlineStr">
        <is>
          <t>Single Carrier (Band n50, 100MHz TDD)</t>
        </is>
      </c>
      <c r="Q615" s="13">
        <f>ROUNDUP(O615/'Methodology &amp; Assumptions'!$B$6, 0)</f>
        <v/>
      </c>
      <c r="R615" s="13" t="n">
        <v>1</v>
      </c>
      <c r="S615" s="14" t="n">
        <v>4.26</v>
      </c>
      <c r="T615" s="14" t="n">
        <v>23.26</v>
      </c>
      <c r="U615" s="26">
        <f>IF(X615&gt;='Methodology &amp; Assumptions'!$B$7, "Tier 1 Critical GIDA (Score ≥ 50.0)", IF(X615&gt;='Methodology &amp; Assumptions'!$B$8, "Tier 2 High GIDA (Score 40.0–49.9)", "Tier 3 Moderate GIDA (Score &lt; 40.0)"))</f>
        <v/>
      </c>
      <c r="V615" s="26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W615" s="28" t="n">
        <v>0.109</v>
      </c>
      <c r="X615" s="14" t="n">
        <v>48.49</v>
      </c>
      <c r="Y615" s="14">
        <f>ROUND(MIN(100, (X615/69.91)*100), 2)</f>
        <v/>
      </c>
    </row>
    <row r="616">
      <c r="A616" s="10" t="n">
        <v>3</v>
      </c>
      <c r="B616" s="10" t="n">
        <v>612</v>
      </c>
      <c r="C616" s="10" t="n">
        <v>2612</v>
      </c>
      <c r="D616" s="10" t="inlineStr">
        <is>
          <t>1003515027</t>
        </is>
      </c>
      <c r="E616" s="26" t="inlineStr">
        <is>
          <t>Region X (Northern Mindanao)</t>
        </is>
      </c>
      <c r="F616" s="26" t="inlineStr">
        <is>
          <t>Lanao del Norte</t>
        </is>
      </c>
      <c r="G616" s="26" t="inlineStr">
        <is>
          <t>Nunungan</t>
        </is>
      </c>
      <c r="H616" s="26" t="inlineStr">
        <is>
          <t>Taraka</t>
        </is>
      </c>
      <c r="I616" s="27" t="n">
        <v>7.774905</v>
      </c>
      <c r="J616" s="27" t="n">
        <v>123.915408</v>
      </c>
      <c r="K616" s="10" t="inlineStr">
        <is>
          <t>R</t>
        </is>
      </c>
      <c r="L616" s="12" t="n">
        <v>701</v>
      </c>
      <c r="M616" s="14" t="n">
        <v>4.2</v>
      </c>
      <c r="N616" s="12">
        <f>ROUND(L616/M616, 0)</f>
        <v/>
      </c>
      <c r="O616" s="12">
        <f>ROUND(N616*'Methodology &amp; Assumptions'!$B$5, 0)</f>
        <v/>
      </c>
      <c r="P616" s="10" t="inlineStr">
        <is>
          <t>Single Carrier (Band n50, 100MHz TDD)</t>
        </is>
      </c>
      <c r="Q616" s="13">
        <f>ROUNDUP(O616/'Methodology &amp; Assumptions'!$B$6, 0)</f>
        <v/>
      </c>
      <c r="R616" s="13" t="n">
        <v>1</v>
      </c>
      <c r="S616" s="14" t="n">
        <v>32.44</v>
      </c>
      <c r="T616" s="14" t="n">
        <v>21.05</v>
      </c>
      <c r="U616" s="26">
        <f>IF(X616&gt;='Methodology &amp; Assumptions'!$B$7, "Tier 1 Critical GIDA (Score ≥ 50.0)", IF(X616&gt;='Methodology &amp; Assumptions'!$B$8, "Tier 2 High GIDA (Score 40.0–49.9)", "Tier 3 Moderate GIDA (Score &lt; 40.0)"))</f>
        <v/>
      </c>
      <c r="V616" s="26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W616" s="28" t="n">
        <v>0.174</v>
      </c>
      <c r="X616" s="14" t="n">
        <v>48.49</v>
      </c>
      <c r="Y616" s="14">
        <f>ROUND(MIN(100, (X616/69.91)*100), 2)</f>
        <v/>
      </c>
    </row>
    <row r="617">
      <c r="A617" s="10" t="n">
        <v>3</v>
      </c>
      <c r="B617" s="10" t="n">
        <v>613</v>
      </c>
      <c r="C617" s="10" t="n">
        <v>2613</v>
      </c>
      <c r="D617" s="10" t="inlineStr">
        <is>
          <t>0806007050</t>
        </is>
      </c>
      <c r="E617" s="26" t="inlineStr">
        <is>
          <t>Region VIII (Eastern Visayas)</t>
        </is>
      </c>
      <c r="F617" s="26" t="inlineStr">
        <is>
          <t>Samar</t>
        </is>
      </c>
      <c r="G617" s="26" t="inlineStr">
        <is>
          <t>Gandara</t>
        </is>
      </c>
      <c r="H617" s="26" t="inlineStr">
        <is>
          <t>Macugo</t>
        </is>
      </c>
      <c r="I617" s="27" t="n">
        <v>12.051428</v>
      </c>
      <c r="J617" s="27" t="n">
        <v>124.798374</v>
      </c>
      <c r="K617" s="10" t="inlineStr">
        <is>
          <t>R</t>
        </is>
      </c>
      <c r="L617" s="12" t="n">
        <v>397</v>
      </c>
      <c r="M617" s="14" t="n">
        <v>4.1</v>
      </c>
      <c r="N617" s="12">
        <f>ROUND(L617/M617, 0)</f>
        <v/>
      </c>
      <c r="O617" s="12">
        <f>ROUND(N617*'Methodology &amp; Assumptions'!$B$5, 0)</f>
        <v/>
      </c>
      <c r="P617" s="10" t="inlineStr">
        <is>
          <t>Single Carrier (Band n50, 100MHz TDD)</t>
        </is>
      </c>
      <c r="Q617" s="13">
        <f>ROUNDUP(O617/'Methodology &amp; Assumptions'!$B$6, 0)</f>
        <v/>
      </c>
      <c r="R617" s="13" t="n">
        <v>1</v>
      </c>
      <c r="S617" s="14" t="n">
        <v>84.42</v>
      </c>
      <c r="T617" s="14" t="n">
        <v>84.39</v>
      </c>
      <c r="U617" s="26">
        <f>IF(X617&gt;='Methodology &amp; Assumptions'!$B$7, "Tier 1 Critical GIDA (Score ≥ 50.0)", IF(X617&gt;='Methodology &amp; Assumptions'!$B$8, "Tier 2 High GIDA (Score 40.0–49.9)", "Tier 3 Moderate GIDA (Score &lt; 40.0)"))</f>
        <v/>
      </c>
      <c r="V617" s="26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W617" s="28" t="n">
        <v>0.237</v>
      </c>
      <c r="X617" s="14" t="n">
        <v>48.49</v>
      </c>
      <c r="Y617" s="14">
        <f>ROUND(MIN(100, (X617/69.91)*100), 2)</f>
        <v/>
      </c>
    </row>
    <row r="618">
      <c r="A618" s="10" t="n">
        <v>3</v>
      </c>
      <c r="B618" s="10" t="n">
        <v>614</v>
      </c>
      <c r="C618" s="10" t="n">
        <v>2614</v>
      </c>
      <c r="D618" s="10" t="inlineStr">
        <is>
          <t>0806011014</t>
        </is>
      </c>
      <c r="E618" s="26" t="inlineStr">
        <is>
          <t>Region VIII (Eastern Visayas)</t>
        </is>
      </c>
      <c r="F618" s="26" t="inlineStr">
        <is>
          <t>Samar</t>
        </is>
      </c>
      <c r="G618" s="26" t="inlineStr">
        <is>
          <t>Matuguinao</t>
        </is>
      </c>
      <c r="H618" s="26" t="inlineStr">
        <is>
          <t>Mahayag</t>
        </is>
      </c>
      <c r="I618" s="27" t="n">
        <v>12.160768</v>
      </c>
      <c r="J618" s="27" t="n">
        <v>124.872812</v>
      </c>
      <c r="K618" s="10" t="inlineStr">
        <is>
          <t>R</t>
        </is>
      </c>
      <c r="L618" s="12" t="n">
        <v>160</v>
      </c>
      <c r="M618" s="14" t="n">
        <v>4.1</v>
      </c>
      <c r="N618" s="12">
        <f>ROUND(L618/M618, 0)</f>
        <v/>
      </c>
      <c r="O618" s="12">
        <f>ROUND(N618*'Methodology &amp; Assumptions'!$B$5, 0)</f>
        <v/>
      </c>
      <c r="P618" s="10" t="inlineStr">
        <is>
          <t>Single Carrier (Band n50, 100MHz TDD)</t>
        </is>
      </c>
      <c r="Q618" s="13">
        <f>ROUNDUP(O618/'Methodology &amp; Assumptions'!$B$6, 0)</f>
        <v/>
      </c>
      <c r="R618" s="13" t="n">
        <v>1</v>
      </c>
      <c r="S618" s="14" t="n">
        <v>97.8</v>
      </c>
      <c r="T618" s="14" t="n">
        <v>97.76000000000001</v>
      </c>
      <c r="U618" s="26">
        <f>IF(X618&gt;='Methodology &amp; Assumptions'!$B$7, "Tier 1 Critical GIDA (Score ≥ 50.0)", IF(X618&gt;='Methodology &amp; Assumptions'!$B$8, "Tier 2 High GIDA (Score 40.0–49.9)", "Tier 3 Moderate GIDA (Score &lt; 40.0)"))</f>
        <v/>
      </c>
      <c r="V618" s="26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W618" s="28" t="n">
        <v>0.237</v>
      </c>
      <c r="X618" s="14" t="n">
        <v>48.49</v>
      </c>
      <c r="Y618" s="14">
        <f>ROUND(MIN(100, (X618/69.91)*100), 2)</f>
        <v/>
      </c>
    </row>
    <row r="619">
      <c r="A619" s="10" t="n">
        <v>3</v>
      </c>
      <c r="B619" s="10" t="n">
        <v>615</v>
      </c>
      <c r="C619" s="10" t="n">
        <v>2615</v>
      </c>
      <c r="D619" s="10" t="inlineStr">
        <is>
          <t>0806011008</t>
        </is>
      </c>
      <c r="E619" s="26" t="inlineStr">
        <is>
          <t>Region VIII (Eastern Visayas)</t>
        </is>
      </c>
      <c r="F619" s="26" t="inlineStr">
        <is>
          <t>Samar</t>
        </is>
      </c>
      <c r="G619" s="26" t="inlineStr">
        <is>
          <t>Matuguinao</t>
        </is>
      </c>
      <c r="H619" s="26" t="inlineStr">
        <is>
          <t>Del Rosario</t>
        </is>
      </c>
      <c r="I619" s="27" t="n">
        <v>12.144715</v>
      </c>
      <c r="J619" s="27" t="n">
        <v>124.885107</v>
      </c>
      <c r="K619" s="10" t="inlineStr">
        <is>
          <t>R</t>
        </is>
      </c>
      <c r="L619" s="12" t="n">
        <v>155</v>
      </c>
      <c r="M619" s="14" t="n">
        <v>4.1</v>
      </c>
      <c r="N619" s="12">
        <f>ROUND(L619/M619, 0)</f>
        <v/>
      </c>
      <c r="O619" s="12">
        <f>ROUND(N619*'Methodology &amp; Assumptions'!$B$5, 0)</f>
        <v/>
      </c>
      <c r="P619" s="10" t="inlineStr">
        <is>
          <t>Single Carrier (Band n50, 100MHz TDD)</t>
        </is>
      </c>
      <c r="Q619" s="13">
        <f>ROUNDUP(O619/'Methodology &amp; Assumptions'!$B$6, 0)</f>
        <v/>
      </c>
      <c r="R619" s="13" t="n">
        <v>1</v>
      </c>
      <c r="S619" s="14" t="n">
        <v>96.34</v>
      </c>
      <c r="T619" s="14" t="n">
        <v>96.3</v>
      </c>
      <c r="U619" s="26">
        <f>IF(X619&gt;='Methodology &amp; Assumptions'!$B$7, "Tier 1 Critical GIDA (Score ≥ 50.0)", IF(X619&gt;='Methodology &amp; Assumptions'!$B$8, "Tier 2 High GIDA (Score 40.0–49.9)", "Tier 3 Moderate GIDA (Score &lt; 40.0)"))</f>
        <v/>
      </c>
      <c r="V619" s="26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W619" s="28" t="n">
        <v>0.237</v>
      </c>
      <c r="X619" s="14" t="n">
        <v>48.49</v>
      </c>
      <c r="Y619" s="14">
        <f>ROUND(MIN(100, (X619/69.91)*100), 2)</f>
        <v/>
      </c>
    </row>
    <row r="620">
      <c r="A620" s="10" t="n">
        <v>3</v>
      </c>
      <c r="B620" s="10" t="n">
        <v>616</v>
      </c>
      <c r="C620" s="10" t="n">
        <v>2616</v>
      </c>
      <c r="D620" s="10" t="inlineStr">
        <is>
          <t>0806011006</t>
        </is>
      </c>
      <c r="E620" s="26" t="inlineStr">
        <is>
          <t>Region VIII (Eastern Visayas)</t>
        </is>
      </c>
      <c r="F620" s="26" t="inlineStr">
        <is>
          <t>Samar</t>
        </is>
      </c>
      <c r="G620" s="26" t="inlineStr">
        <is>
          <t>Matuguinao</t>
        </is>
      </c>
      <c r="H620" s="26" t="inlineStr">
        <is>
          <t>Carolina</t>
        </is>
      </c>
      <c r="I620" s="27" t="n">
        <v>12.149014</v>
      </c>
      <c r="J620" s="27" t="n">
        <v>124.890056</v>
      </c>
      <c r="K620" s="10" t="inlineStr">
        <is>
          <t>R</t>
        </is>
      </c>
      <c r="L620" s="12" t="n">
        <v>153</v>
      </c>
      <c r="M620" s="14" t="n">
        <v>4.1</v>
      </c>
      <c r="N620" s="12">
        <f>ROUND(L620/M620, 0)</f>
        <v/>
      </c>
      <c r="O620" s="12">
        <f>ROUND(N620*'Methodology &amp; Assumptions'!$B$5, 0)</f>
        <v/>
      </c>
      <c r="P620" s="10" t="inlineStr">
        <is>
          <t>Single Carrier (Band n50, 100MHz TDD)</t>
        </is>
      </c>
      <c r="Q620" s="13">
        <f>ROUNDUP(O620/'Methodology &amp; Assumptions'!$B$6, 0)</f>
        <v/>
      </c>
      <c r="R620" s="13" t="n">
        <v>1</v>
      </c>
      <c r="S620" s="14" t="n">
        <v>96.93000000000001</v>
      </c>
      <c r="T620" s="14" t="n">
        <v>96.88</v>
      </c>
      <c r="U620" s="26">
        <f>IF(X620&gt;='Methodology &amp; Assumptions'!$B$7, "Tier 1 Critical GIDA (Score ≥ 50.0)", IF(X620&gt;='Methodology &amp; Assumptions'!$B$8, "Tier 2 High GIDA (Score 40.0–49.9)", "Tier 3 Moderate GIDA (Score &lt; 40.0)"))</f>
        <v/>
      </c>
      <c r="V620" s="26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W620" s="28" t="n">
        <v>0.237</v>
      </c>
      <c r="X620" s="14" t="n">
        <v>48.49</v>
      </c>
      <c r="Y620" s="14">
        <f>ROUND(MIN(100, (X620/69.91)*100), 2)</f>
        <v/>
      </c>
    </row>
    <row r="621">
      <c r="A621" s="10" t="n">
        <v>3</v>
      </c>
      <c r="B621" s="10" t="n">
        <v>617</v>
      </c>
      <c r="C621" s="10" t="n">
        <v>2617</v>
      </c>
      <c r="D621" s="10" t="inlineStr">
        <is>
          <t>1381300094</t>
        </is>
      </c>
      <c r="E621" s="26" t="inlineStr">
        <is>
          <t>National Capital Region (NCR)</t>
        </is>
      </c>
      <c r="F621" s="26" t="inlineStr">
        <is>
          <t>Second District (Not a Province)</t>
        </is>
      </c>
      <c r="G621" s="26" t="inlineStr">
        <is>
          <t>Quezon City</t>
        </is>
      </c>
      <c r="H621" s="26" t="inlineStr">
        <is>
          <t>Salvacion</t>
        </is>
      </c>
      <c r="I621" s="27" t="n">
        <v>14.649093</v>
      </c>
      <c r="J621" s="27" t="n">
        <v>121.051906</v>
      </c>
      <c r="K621" s="10" t="inlineStr">
        <is>
          <t>U</t>
        </is>
      </c>
      <c r="L621" s="12" t="n">
        <v>6961</v>
      </c>
      <c r="M621" s="14" t="n">
        <v>3.8</v>
      </c>
      <c r="N621" s="12">
        <f>ROUND(L621/M621, 0)</f>
        <v/>
      </c>
      <c r="O621" s="12">
        <f>ROUND(N621*'Methodology &amp; Assumptions'!$B$5, 0)</f>
        <v/>
      </c>
      <c r="P621" s="10" t="inlineStr">
        <is>
          <t>Single Carrier (Band n50, 100MHz TDD)</t>
        </is>
      </c>
      <c r="Q621" s="13">
        <f>ROUNDUP(O621/'Methodology &amp; Assumptions'!$B$6, 0)</f>
        <v/>
      </c>
      <c r="R621" s="13" t="n">
        <v>1</v>
      </c>
      <c r="S621" s="14" t="n">
        <v>0.49</v>
      </c>
      <c r="T621" s="14" t="n">
        <v>0.12</v>
      </c>
      <c r="U621" s="26">
        <f>IF(X621&gt;='Methodology &amp; Assumptions'!$B$7, "Tier 1 Critical GIDA (Score ≥ 50.0)", IF(X621&gt;='Methodology &amp; Assumptions'!$B$8, "Tier 2 High GIDA (Score 40.0–49.9)", "Tier 3 Moderate GIDA (Score &lt; 40.0)"))</f>
        <v/>
      </c>
      <c r="V621" s="26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W621" s="28" t="n">
        <v>0.109</v>
      </c>
      <c r="X621" s="14" t="n">
        <v>48.49</v>
      </c>
      <c r="Y621" s="14">
        <f>ROUND(MIN(100, (X621/69.91)*100), 2)</f>
        <v/>
      </c>
    </row>
    <row r="622">
      <c r="A622" s="10" t="n">
        <v>3</v>
      </c>
      <c r="B622" s="10" t="n">
        <v>618</v>
      </c>
      <c r="C622" s="10" t="n">
        <v>2618</v>
      </c>
      <c r="D622" s="10" t="inlineStr">
        <is>
          <t>0603014003</t>
        </is>
      </c>
      <c r="E622" s="26" t="inlineStr">
        <is>
          <t>Region VI (Western Visayas)</t>
        </is>
      </c>
      <c r="F622" s="26" t="inlineStr">
        <is>
          <t>Iloilo</t>
        </is>
      </c>
      <c r="G622" s="26" t="inlineStr">
        <is>
          <t>Carles</t>
        </is>
      </c>
      <c r="H622" s="26" t="inlineStr">
        <is>
          <t>Asluman</t>
        </is>
      </c>
      <c r="I622" s="27" t="n">
        <v>11.618668</v>
      </c>
      <c r="J622" s="27" t="n">
        <v>123.348874</v>
      </c>
      <c r="K622" s="10" t="inlineStr">
        <is>
          <t>R</t>
        </is>
      </c>
      <c r="L622" s="12" t="n">
        <v>3442</v>
      </c>
      <c r="M622" s="14" t="n">
        <v>3.8</v>
      </c>
      <c r="N622" s="12">
        <f>ROUND(L622/M622, 0)</f>
        <v/>
      </c>
      <c r="O622" s="12">
        <f>ROUND(N622*'Methodology &amp; Assumptions'!$B$5, 0)</f>
        <v/>
      </c>
      <c r="P622" s="10" t="inlineStr">
        <is>
          <t>Single Carrier (Band n50, 100MHz TDD)</t>
        </is>
      </c>
      <c r="Q622" s="13">
        <f>ROUNDUP(O622/'Methodology &amp; Assumptions'!$B$6, 0)</f>
        <v/>
      </c>
      <c r="R622" s="13" t="n">
        <v>1</v>
      </c>
      <c r="S622" s="14" t="n">
        <v>30.1</v>
      </c>
      <c r="T622" s="14" t="n">
        <v>20.48</v>
      </c>
      <c r="U622" s="26">
        <f>IF(X622&gt;='Methodology &amp; Assumptions'!$B$7, "Tier 1 Critical GIDA (Score ≥ 50.0)", IF(X622&gt;='Methodology &amp; Assumptions'!$B$8, "Tier 2 High GIDA (Score 40.0–49.9)", "Tier 3 Moderate GIDA (Score &lt; 40.0)"))</f>
        <v/>
      </c>
      <c r="V622" s="26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W622" s="28" t="n">
        <v>0.237</v>
      </c>
      <c r="X622" s="14" t="n">
        <v>48.49</v>
      </c>
      <c r="Y622" s="14">
        <f>ROUND(MIN(100, (X622/69.91)*100), 2)</f>
        <v/>
      </c>
    </row>
    <row r="623">
      <c r="A623" s="10" t="n">
        <v>3</v>
      </c>
      <c r="B623" s="10" t="n">
        <v>619</v>
      </c>
      <c r="C623" s="10" t="n">
        <v>2619</v>
      </c>
      <c r="D623" s="10" t="inlineStr">
        <is>
          <t>PH0002619</t>
        </is>
      </c>
      <c r="E623" s="26" t="inlineStr">
        <is>
          <t>NCR</t>
        </is>
      </c>
      <c r="F623" s="26" t="inlineStr">
        <is>
          <t>Metro Manila</t>
        </is>
      </c>
      <c r="G623" s="26" t="inlineStr">
        <is>
          <t>Caloocan City</t>
        </is>
      </c>
      <c r="H623" s="26" t="inlineStr">
        <is>
          <t>Barangay 143</t>
        </is>
      </c>
      <c r="I623" s="27" t="n">
        <v>11.86363</v>
      </c>
      <c r="J623" s="27" t="n">
        <v>120.731707</v>
      </c>
      <c r="K623" s="10" t="inlineStr">
        <is>
          <t>R</t>
        </is>
      </c>
      <c r="L623" s="12" t="n">
        <v>2279</v>
      </c>
      <c r="M623" s="14" t="n">
        <v>3.8</v>
      </c>
      <c r="N623" s="12">
        <f>ROUND(L623/M623, 0)</f>
        <v/>
      </c>
      <c r="O623" s="12">
        <f>ROUND(N623*'Methodology &amp; Assumptions'!$B$5, 0)</f>
        <v/>
      </c>
      <c r="P623" s="10" t="inlineStr">
        <is>
          <t>Single Carrier (Band n50, 100MHz TDD)</t>
        </is>
      </c>
      <c r="Q623" s="13">
        <f>ROUNDUP(O623/'Methodology &amp; Assumptions'!$B$6, 0)</f>
        <v/>
      </c>
      <c r="R623" s="13" t="n">
        <v>1</v>
      </c>
      <c r="S623" s="14" t="n">
        <v>54.88</v>
      </c>
      <c r="T623" s="14" t="n">
        <v>65.15000000000001</v>
      </c>
      <c r="U623" s="26">
        <f>IF(X623&gt;='Methodology &amp; Assumptions'!$B$7, "Tier 1 Critical GIDA (Score ≥ 50.0)", IF(X623&gt;='Methodology &amp; Assumptions'!$B$8, "Tier 2 High GIDA (Score 40.0–49.9)", "Tier 3 Moderate GIDA (Score &lt; 40.0)"))</f>
        <v/>
      </c>
      <c r="V623" s="26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W623" s="28" t="n">
        <v>0.011</v>
      </c>
      <c r="X623" s="14" t="n">
        <v>48.49</v>
      </c>
      <c r="Y623" s="14">
        <f>ROUND(MIN(100, (X623/69.91)*100), 2)</f>
        <v/>
      </c>
    </row>
    <row r="624">
      <c r="A624" s="10" t="n">
        <v>3</v>
      </c>
      <c r="B624" s="10" t="n">
        <v>620</v>
      </c>
      <c r="C624" s="10" t="n">
        <v>2620</v>
      </c>
      <c r="D624" s="10" t="inlineStr">
        <is>
          <t>1003515026</t>
        </is>
      </c>
      <c r="E624" s="26" t="inlineStr">
        <is>
          <t>Region X (Northern Mindanao)</t>
        </is>
      </c>
      <c r="F624" s="26" t="inlineStr">
        <is>
          <t>Lanao del Norte</t>
        </is>
      </c>
      <c r="G624" s="26" t="inlineStr">
        <is>
          <t>Nunungan</t>
        </is>
      </c>
      <c r="H624" s="26" t="inlineStr">
        <is>
          <t>Songgod</t>
        </is>
      </c>
      <c r="I624" s="27" t="n">
        <v>7.796677</v>
      </c>
      <c r="J624" s="27" t="n">
        <v>123.893688</v>
      </c>
      <c r="K624" s="10" t="inlineStr">
        <is>
          <t>R</t>
        </is>
      </c>
      <c r="L624" s="12" t="n">
        <v>558</v>
      </c>
      <c r="M624" s="14" t="n">
        <v>4.2</v>
      </c>
      <c r="N624" s="12">
        <f>ROUND(L624/M624, 0)</f>
        <v/>
      </c>
      <c r="O624" s="12">
        <f>ROUND(N624*'Methodology &amp; Assumptions'!$B$5, 0)</f>
        <v/>
      </c>
      <c r="P624" s="10" t="inlineStr">
        <is>
          <t>Single Carrier (Band n50, 100MHz TDD)</t>
        </is>
      </c>
      <c r="Q624" s="13">
        <f>ROUNDUP(O624/'Methodology &amp; Assumptions'!$B$6, 0)</f>
        <v/>
      </c>
      <c r="R624" s="13" t="n">
        <v>1</v>
      </c>
      <c r="S624" s="14" t="n">
        <v>29.3</v>
      </c>
      <c r="T624" s="14" t="n">
        <v>17.67</v>
      </c>
      <c r="U624" s="26">
        <f>IF(X624&gt;='Methodology &amp; Assumptions'!$B$7, "Tier 1 Critical GIDA (Score ≥ 50.0)", IF(X624&gt;='Methodology &amp; Assumptions'!$B$8, "Tier 2 High GIDA (Score 40.0–49.9)", "Tier 3 Moderate GIDA (Score &lt; 40.0)"))</f>
        <v/>
      </c>
      <c r="V624" s="26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W624" s="28" t="n">
        <v>0.174</v>
      </c>
      <c r="X624" s="14" t="n">
        <v>48.48</v>
      </c>
      <c r="Y624" s="14">
        <f>ROUND(MIN(100, (X624/69.91)*100), 2)</f>
        <v/>
      </c>
    </row>
    <row r="625">
      <c r="A625" s="10" t="n">
        <v>3</v>
      </c>
      <c r="B625" s="10" t="n">
        <v>621</v>
      </c>
      <c r="C625" s="10" t="n">
        <v>2621</v>
      </c>
      <c r="D625" s="10" t="inlineStr">
        <is>
          <t>PH0002621</t>
        </is>
      </c>
      <c r="E625" s="26" t="inlineStr">
        <is>
          <t>III</t>
        </is>
      </c>
      <c r="F625" s="26" t="inlineStr">
        <is>
          <t>Nueva Ecija</t>
        </is>
      </c>
      <c r="G625" s="26" t="inlineStr">
        <is>
          <t>Cabanatuan City</t>
        </is>
      </c>
      <c r="H625" s="26" t="inlineStr">
        <is>
          <t>Nabao (Pob.)</t>
        </is>
      </c>
      <c r="I625" s="27" t="n">
        <v>15.502191</v>
      </c>
      <c r="J625" s="27" t="n">
        <v>120.996823</v>
      </c>
      <c r="K625" s="10" t="inlineStr">
        <is>
          <t>R</t>
        </is>
      </c>
      <c r="L625" s="12" t="n">
        <v>2398</v>
      </c>
      <c r="M625" s="14" t="n">
        <v>3.5</v>
      </c>
      <c r="N625" s="12">
        <f>ROUND(L625/M625, 0)</f>
        <v/>
      </c>
      <c r="O625" s="12">
        <f>ROUND(N625*'Methodology &amp; Assumptions'!$B$5, 0)</f>
        <v/>
      </c>
      <c r="P625" s="10" t="inlineStr">
        <is>
          <t>Single Carrier (Band n50, 100MHz TDD)</t>
        </is>
      </c>
      <c r="Q625" s="13">
        <f>ROUNDUP(O625/'Methodology &amp; Assumptions'!$B$6, 0)</f>
        <v/>
      </c>
      <c r="R625" s="13" t="n">
        <v>1</v>
      </c>
      <c r="S625" s="14" t="n">
        <v>4.45</v>
      </c>
      <c r="T625" s="14" t="n">
        <v>1.84</v>
      </c>
      <c r="U625" s="26">
        <f>IF(X625&gt;='Methodology &amp; Assumptions'!$B$7, "Tier 1 Critical GIDA (Score ≥ 50.0)", IF(X625&gt;='Methodology &amp; Assumptions'!$B$8, "Tier 2 High GIDA (Score 40.0–49.9)", "Tier 3 Moderate GIDA (Score &lt; 40.0)"))</f>
        <v/>
      </c>
      <c r="V625" s="26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W625" s="28" t="n">
        <v>0.083</v>
      </c>
      <c r="X625" s="14" t="n">
        <v>48.48</v>
      </c>
      <c r="Y625" s="14">
        <f>ROUND(MIN(100, (X625/69.91)*100), 2)</f>
        <v/>
      </c>
    </row>
    <row r="626">
      <c r="A626" s="10" t="n">
        <v>3</v>
      </c>
      <c r="B626" s="10" t="n">
        <v>622</v>
      </c>
      <c r="C626" s="10" t="n">
        <v>2622</v>
      </c>
      <c r="D626" s="10" t="inlineStr">
        <is>
          <t>0806011020</t>
        </is>
      </c>
      <c r="E626" s="26" t="inlineStr">
        <is>
          <t>Region VIII (Eastern Visayas)</t>
        </is>
      </c>
      <c r="F626" s="26" t="inlineStr">
        <is>
          <t>Samar</t>
        </is>
      </c>
      <c r="G626" s="26" t="inlineStr">
        <is>
          <t>Matuguinao</t>
        </is>
      </c>
      <c r="H626" s="26" t="inlineStr">
        <is>
          <t>Santa Cruz</t>
        </is>
      </c>
      <c r="I626" s="27" t="n">
        <v>12.144852</v>
      </c>
      <c r="J626" s="27" t="n">
        <v>124.885126</v>
      </c>
      <c r="K626" s="10" t="inlineStr">
        <is>
          <t>R</t>
        </is>
      </c>
      <c r="L626" s="12" t="n">
        <v>186</v>
      </c>
      <c r="M626" s="14" t="n">
        <v>4.1</v>
      </c>
      <c r="N626" s="12">
        <f>ROUND(L626/M626, 0)</f>
        <v/>
      </c>
      <c r="O626" s="12">
        <f>ROUND(N626*'Methodology &amp; Assumptions'!$B$5, 0)</f>
        <v/>
      </c>
      <c r="P626" s="10" t="inlineStr">
        <is>
          <t>Single Carrier (Band n50, 100MHz TDD)</t>
        </is>
      </c>
      <c r="Q626" s="13">
        <f>ROUNDUP(O626/'Methodology &amp; Assumptions'!$B$6, 0)</f>
        <v/>
      </c>
      <c r="R626" s="13" t="n">
        <v>1</v>
      </c>
      <c r="S626" s="14" t="n">
        <v>96.36</v>
      </c>
      <c r="T626" s="14" t="n">
        <v>96.31</v>
      </c>
      <c r="U626" s="26">
        <f>IF(X626&gt;='Methodology &amp; Assumptions'!$B$7, "Tier 1 Critical GIDA (Score ≥ 50.0)", IF(X626&gt;='Methodology &amp; Assumptions'!$B$8, "Tier 2 High GIDA (Score 40.0–49.9)", "Tier 3 Moderate GIDA (Score &lt; 40.0)"))</f>
        <v/>
      </c>
      <c r="V626" s="26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W626" s="28" t="n">
        <v>0.237</v>
      </c>
      <c r="X626" s="14" t="n">
        <v>48.48</v>
      </c>
      <c r="Y626" s="14">
        <f>ROUND(MIN(100, (X626/69.91)*100), 2)</f>
        <v/>
      </c>
    </row>
    <row r="627">
      <c r="A627" s="10" t="n">
        <v>3</v>
      </c>
      <c r="B627" s="10" t="n">
        <v>623</v>
      </c>
      <c r="C627" s="10" t="n">
        <v>2623</v>
      </c>
      <c r="D627" s="10" t="inlineStr">
        <is>
          <t>1380601264</t>
        </is>
      </c>
      <c r="E627" s="26" t="inlineStr">
        <is>
          <t>National Capital Region (NCR)</t>
        </is>
      </c>
      <c r="F627" s="26" t="inlineStr">
        <is>
          <t>First District (Not a Province)</t>
        </is>
      </c>
      <c r="G627" s="26" t="inlineStr">
        <is>
          <t>City of Manila</t>
        </is>
      </c>
      <c r="H627" s="26" t="inlineStr">
        <is>
          <t>Barangay 263</t>
        </is>
      </c>
      <c r="I627" s="27" t="n">
        <v>12.682908</v>
      </c>
      <c r="J627" s="27" t="n">
        <v>122.68458</v>
      </c>
      <c r="K627" s="10" t="inlineStr">
        <is>
          <t>U</t>
        </is>
      </c>
      <c r="L627" s="12" t="n">
        <v>1346</v>
      </c>
      <c r="M627" s="14" t="n">
        <v>3.9</v>
      </c>
      <c r="N627" s="12">
        <f>ROUND(L627/M627, 0)</f>
        <v/>
      </c>
      <c r="O627" s="12">
        <f>ROUND(N627*'Methodology &amp; Assumptions'!$B$5, 0)</f>
        <v/>
      </c>
      <c r="P627" s="10" t="inlineStr">
        <is>
          <t>Single Carrier (Band n50, 100MHz TDD)</t>
        </is>
      </c>
      <c r="Q627" s="13">
        <f>ROUNDUP(O627/'Methodology &amp; Assumptions'!$B$6, 0)</f>
        <v/>
      </c>
      <c r="R627" s="13" t="n">
        <v>1</v>
      </c>
      <c r="S627" s="14" t="n">
        <v>59.65</v>
      </c>
      <c r="T627" s="14" t="n">
        <v>83.55</v>
      </c>
      <c r="U627" s="26">
        <f>IF(X627&gt;='Methodology &amp; Assumptions'!$B$7, "Tier 1 Critical GIDA (Score ≥ 50.0)", IF(X627&gt;='Methodology &amp; Assumptions'!$B$8, "Tier 2 High GIDA (Score 40.0–49.9)", "Tier 3 Moderate GIDA (Score &lt; 40.0)"))</f>
        <v/>
      </c>
      <c r="V627" s="26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W627" s="28" t="n">
        <v>0.109</v>
      </c>
      <c r="X627" s="14" t="n">
        <v>48.48</v>
      </c>
      <c r="Y627" s="14">
        <f>ROUND(MIN(100, (X627/69.91)*100), 2)</f>
        <v/>
      </c>
    </row>
    <row r="628">
      <c r="A628" s="10" t="n">
        <v>3</v>
      </c>
      <c r="B628" s="10" t="n">
        <v>624</v>
      </c>
      <c r="C628" s="10" t="n">
        <v>2624</v>
      </c>
      <c r="D628" s="10" t="inlineStr">
        <is>
          <t>1380614049</t>
        </is>
      </c>
      <c r="E628" s="26" t="inlineStr">
        <is>
          <t>National Capital Region (NCR)</t>
        </is>
      </c>
      <c r="F628" s="26" t="inlineStr">
        <is>
          <t>First District (Not a Province)</t>
        </is>
      </c>
      <c r="G628" s="26" t="inlineStr">
        <is>
          <t>City of Manila</t>
        </is>
      </c>
      <c r="H628" s="26" t="inlineStr">
        <is>
          <t>Barangay 793</t>
        </is>
      </c>
      <c r="I628" s="27" t="n">
        <v>12.424414</v>
      </c>
      <c r="J628" s="27" t="n">
        <v>120.965069</v>
      </c>
      <c r="K628" s="10" t="inlineStr">
        <is>
          <t>U</t>
        </is>
      </c>
      <c r="L628" s="12" t="n">
        <v>1774</v>
      </c>
      <c r="M628" s="14" t="n">
        <v>3.9</v>
      </c>
      <c r="N628" s="12">
        <f>ROUND(L628/M628, 0)</f>
        <v/>
      </c>
      <c r="O628" s="12">
        <f>ROUND(N628*'Methodology &amp; Assumptions'!$B$5, 0)</f>
        <v/>
      </c>
      <c r="P628" s="10" t="inlineStr">
        <is>
          <t>Single Carrier (Band n50, 100MHz TDD)</t>
        </is>
      </c>
      <c r="Q628" s="13">
        <f>ROUNDUP(O628/'Methodology &amp; Assumptions'!$B$6, 0)</f>
        <v/>
      </c>
      <c r="R628" s="13" t="n">
        <v>1</v>
      </c>
      <c r="S628" s="14" t="n">
        <v>13.56</v>
      </c>
      <c r="T628" s="14" t="n">
        <v>11.71</v>
      </c>
      <c r="U628" s="26">
        <f>IF(X628&gt;='Methodology &amp; Assumptions'!$B$7, "Tier 1 Critical GIDA (Score ≥ 50.0)", IF(X628&gt;='Methodology &amp; Assumptions'!$B$8, "Tier 2 High GIDA (Score 40.0–49.9)", "Tier 3 Moderate GIDA (Score &lt; 40.0)"))</f>
        <v/>
      </c>
      <c r="V628" s="26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W628" s="28" t="n">
        <v>0.109</v>
      </c>
      <c r="X628" s="14" t="n">
        <v>48.48</v>
      </c>
      <c r="Y628" s="14">
        <f>ROUND(MIN(100, (X628/69.91)*100), 2)</f>
        <v/>
      </c>
    </row>
    <row r="629">
      <c r="A629" s="10" t="n">
        <v>3</v>
      </c>
      <c r="B629" s="10" t="n">
        <v>625</v>
      </c>
      <c r="C629" s="10" t="n">
        <v>2625</v>
      </c>
      <c r="D629" s="10" t="inlineStr">
        <is>
          <t>0806007049</t>
        </is>
      </c>
      <c r="E629" s="26" t="inlineStr">
        <is>
          <t>Region VIII (Eastern Visayas)</t>
        </is>
      </c>
      <c r="F629" s="26" t="inlineStr">
        <is>
          <t>Samar</t>
        </is>
      </c>
      <c r="G629" s="26" t="inlineStr">
        <is>
          <t>Gandara</t>
        </is>
      </c>
      <c r="H629" s="26" t="inlineStr">
        <is>
          <t>Mabuhay</t>
        </is>
      </c>
      <c r="I629" s="27" t="n">
        <v>12.08471</v>
      </c>
      <c r="J629" s="27" t="n">
        <v>124.89367</v>
      </c>
      <c r="K629" s="10" t="inlineStr">
        <is>
          <t>R</t>
        </is>
      </c>
      <c r="L629" s="12" t="n">
        <v>258</v>
      </c>
      <c r="M629" s="14" t="n">
        <v>4.1</v>
      </c>
      <c r="N629" s="12">
        <f>ROUND(L629/M629, 0)</f>
        <v/>
      </c>
      <c r="O629" s="12">
        <f>ROUND(N629*'Methodology &amp; Assumptions'!$B$5, 0)</f>
        <v/>
      </c>
      <c r="P629" s="10" t="inlineStr">
        <is>
          <t>Single Carrier (Band n50, 100MHz TDD)</t>
        </is>
      </c>
      <c r="Q629" s="13">
        <f>ROUNDUP(O629/'Methodology &amp; Assumptions'!$B$6, 0)</f>
        <v/>
      </c>
      <c r="R629" s="13" t="n">
        <v>1</v>
      </c>
      <c r="S629" s="14" t="n">
        <v>90.06999999999999</v>
      </c>
      <c r="T629" s="14" t="n">
        <v>90.03</v>
      </c>
      <c r="U629" s="26">
        <f>IF(X629&gt;='Methodology &amp; Assumptions'!$B$7, "Tier 1 Critical GIDA (Score ≥ 50.0)", IF(X629&gt;='Methodology &amp; Assumptions'!$B$8, "Tier 2 High GIDA (Score 40.0–49.9)", "Tier 3 Moderate GIDA (Score &lt; 40.0)"))</f>
        <v/>
      </c>
      <c r="V629" s="26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W629" s="28" t="n">
        <v>0.237</v>
      </c>
      <c r="X629" s="14" t="n">
        <v>48.48</v>
      </c>
      <c r="Y629" s="14">
        <f>ROUND(MIN(100, (X629/69.91)*100), 2)</f>
        <v/>
      </c>
    </row>
    <row r="630">
      <c r="A630" s="10" t="n">
        <v>3</v>
      </c>
      <c r="B630" s="10" t="n">
        <v>626</v>
      </c>
      <c r="C630" s="10" t="n">
        <v>2626</v>
      </c>
      <c r="D630" s="10" t="inlineStr">
        <is>
          <t>PH0002626</t>
        </is>
      </c>
      <c r="E630" s="26" t="inlineStr">
        <is>
          <t>NCR</t>
        </is>
      </c>
      <c r="F630" s="26" t="inlineStr">
        <is>
          <t>Metro Manila</t>
        </is>
      </c>
      <c r="G630" s="26" t="inlineStr">
        <is>
          <t>Caloocan City</t>
        </is>
      </c>
      <c r="H630" s="26" t="inlineStr">
        <is>
          <t>Barangay 142</t>
        </is>
      </c>
      <c r="I630" s="27" t="n">
        <v>14.31662</v>
      </c>
      <c r="J630" s="27" t="n">
        <v>121.838356</v>
      </c>
      <c r="K630" s="10" t="inlineStr">
        <is>
          <t>R</t>
        </is>
      </c>
      <c r="L630" s="12" t="n">
        <v>2279</v>
      </c>
      <c r="M630" s="14" t="n">
        <v>3.8</v>
      </c>
      <c r="N630" s="12">
        <f>ROUND(L630/M630, 0)</f>
        <v/>
      </c>
      <c r="O630" s="12">
        <f>ROUND(N630*'Methodology &amp; Assumptions'!$B$5, 0)</f>
        <v/>
      </c>
      <c r="P630" s="10" t="inlineStr">
        <is>
          <t>Single Carrier (Band n50, 100MHz TDD)</t>
        </is>
      </c>
      <c r="Q630" s="13">
        <f>ROUNDUP(O630/'Methodology &amp; Assumptions'!$B$6, 0)</f>
        <v/>
      </c>
      <c r="R630" s="13" t="n">
        <v>1</v>
      </c>
      <c r="S630" s="14" t="n">
        <v>20.03</v>
      </c>
      <c r="T630" s="14" t="n">
        <v>34.06</v>
      </c>
      <c r="U630" s="26">
        <f>IF(X630&gt;='Methodology &amp; Assumptions'!$B$7, "Tier 1 Critical GIDA (Score ≥ 50.0)", IF(X630&gt;='Methodology &amp; Assumptions'!$B$8, "Tier 2 High GIDA (Score 40.0–49.9)", "Tier 3 Moderate GIDA (Score &lt; 40.0)"))</f>
        <v/>
      </c>
      <c r="V630" s="26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W630" s="28" t="n">
        <v>0.011</v>
      </c>
      <c r="X630" s="14" t="n">
        <v>48.48</v>
      </c>
      <c r="Y630" s="14">
        <f>ROUND(MIN(100, (X630/69.91)*100), 2)</f>
        <v/>
      </c>
    </row>
    <row r="631">
      <c r="A631" s="10" t="n">
        <v>3</v>
      </c>
      <c r="B631" s="10" t="n">
        <v>627</v>
      </c>
      <c r="C631" s="10" t="n">
        <v>2627</v>
      </c>
      <c r="D631" s="10" t="inlineStr">
        <is>
          <t>0600409003</t>
        </is>
      </c>
      <c r="E631" s="26" t="inlineStr">
        <is>
          <t>Region VI (Western Visayas)</t>
        </is>
      </c>
      <c r="F631" s="26" t="inlineStr">
        <is>
          <t>Aklan</t>
        </is>
      </c>
      <c r="G631" s="26" t="inlineStr">
        <is>
          <t>Libacao</t>
        </is>
      </c>
      <c r="H631" s="26" t="inlineStr">
        <is>
          <t>Batobato</t>
        </is>
      </c>
      <c r="I631" s="27" t="n">
        <v>11.42276</v>
      </c>
      <c r="J631" s="27" t="n">
        <v>122.279399</v>
      </c>
      <c r="K631" s="10" t="inlineStr">
        <is>
          <t>R</t>
        </is>
      </c>
      <c r="L631" s="12" t="n">
        <v>474</v>
      </c>
      <c r="M631" s="14" t="n">
        <v>3.9</v>
      </c>
      <c r="N631" s="12">
        <f>ROUND(L631/M631, 0)</f>
        <v/>
      </c>
      <c r="O631" s="12">
        <f>ROUND(N631*'Methodology &amp; Assumptions'!$B$5, 0)</f>
        <v/>
      </c>
      <c r="P631" s="10" t="inlineStr">
        <is>
          <t>Single Carrier (Band n50, 100MHz TDD)</t>
        </is>
      </c>
      <c r="Q631" s="13">
        <f>ROUNDUP(O631/'Methodology &amp; Assumptions'!$B$6, 0)</f>
        <v/>
      </c>
      <c r="R631" s="13" t="n">
        <v>1</v>
      </c>
      <c r="S631" s="14" t="n">
        <v>18.25</v>
      </c>
      <c r="T631" s="14" t="n">
        <v>18.19</v>
      </c>
      <c r="U631" s="26">
        <f>IF(X631&gt;='Methodology &amp; Assumptions'!$B$7, "Tier 1 Critical GIDA (Score ≥ 50.0)", IF(X631&gt;='Methodology &amp; Assumptions'!$B$8, "Tier 2 High GIDA (Score 40.0–49.9)", "Tier 3 Moderate GIDA (Score &lt; 40.0)"))</f>
        <v/>
      </c>
      <c r="V631" s="26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W631" s="28" t="n">
        <v>0.237</v>
      </c>
      <c r="X631" s="14" t="n">
        <v>48.48</v>
      </c>
      <c r="Y631" s="14">
        <f>ROUND(MIN(100, (X631/69.91)*100), 2)</f>
        <v/>
      </c>
    </row>
    <row r="632">
      <c r="A632" s="10" t="n">
        <v>3</v>
      </c>
      <c r="B632" s="10" t="n">
        <v>628</v>
      </c>
      <c r="C632" s="10" t="n">
        <v>2628</v>
      </c>
      <c r="D632" s="10" t="inlineStr">
        <is>
          <t>1380606019</t>
        </is>
      </c>
      <c r="E632" s="26" t="inlineStr">
        <is>
          <t>National Capital Region (NCR)</t>
        </is>
      </c>
      <c r="F632" s="26" t="inlineStr">
        <is>
          <t>First District (Not a Province)</t>
        </is>
      </c>
      <c r="G632" s="26" t="inlineStr">
        <is>
          <t>City of Manila</t>
        </is>
      </c>
      <c r="H632" s="26" t="inlineStr">
        <is>
          <t>Barangay 413</t>
        </is>
      </c>
      <c r="I632" s="27" t="n">
        <v>13.749415</v>
      </c>
      <c r="J632" s="27" t="n">
        <v>122.055297</v>
      </c>
      <c r="K632" s="10" t="inlineStr">
        <is>
          <t>U</t>
        </is>
      </c>
      <c r="L632" s="12" t="n">
        <v>1754</v>
      </c>
      <c r="M632" s="14" t="n">
        <v>3.9</v>
      </c>
      <c r="N632" s="12">
        <f>ROUND(L632/M632, 0)</f>
        <v/>
      </c>
      <c r="O632" s="12">
        <f>ROUND(N632*'Methodology &amp; Assumptions'!$B$5, 0)</f>
        <v/>
      </c>
      <c r="P632" s="10" t="inlineStr">
        <is>
          <t>Single Carrier (Band n50, 100MHz TDD)</t>
        </is>
      </c>
      <c r="Q632" s="13">
        <f>ROUNDUP(O632/'Methodology &amp; Assumptions'!$B$6, 0)</f>
        <v/>
      </c>
      <c r="R632" s="13" t="n">
        <v>1</v>
      </c>
      <c r="S632" s="14" t="n">
        <v>8.52</v>
      </c>
      <c r="T632" s="14" t="n">
        <v>8.51</v>
      </c>
      <c r="U632" s="26">
        <f>IF(X632&gt;='Methodology &amp; Assumptions'!$B$7, "Tier 1 Critical GIDA (Score ≥ 50.0)", IF(X632&gt;='Methodology &amp; Assumptions'!$B$8, "Tier 2 High GIDA (Score 40.0–49.9)", "Tier 3 Moderate GIDA (Score &lt; 40.0)"))</f>
        <v/>
      </c>
      <c r="V632" s="26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W632" s="28" t="n">
        <v>0.109</v>
      </c>
      <c r="X632" s="14" t="n">
        <v>48.47</v>
      </c>
      <c r="Y632" s="14">
        <f>ROUND(MIN(100, (X632/69.91)*100), 2)</f>
        <v/>
      </c>
    </row>
    <row r="633">
      <c r="A633" s="10" t="n">
        <v>3</v>
      </c>
      <c r="B633" s="10" t="n">
        <v>629</v>
      </c>
      <c r="C633" s="10" t="n">
        <v>2629</v>
      </c>
      <c r="D633" s="10" t="inlineStr">
        <is>
          <t>1380612005</t>
        </is>
      </c>
      <c r="E633" s="26" t="inlineStr">
        <is>
          <t>National Capital Region (NCR)</t>
        </is>
      </c>
      <c r="F633" s="26" t="inlineStr">
        <is>
          <t>First District (Not a Province)</t>
        </is>
      </c>
      <c r="G633" s="26" t="inlineStr">
        <is>
          <t>City of Manila</t>
        </is>
      </c>
      <c r="H633" s="26" t="inlineStr">
        <is>
          <t>Barangay 837</t>
        </is>
      </c>
      <c r="I633" s="27" t="n">
        <v>12.051996</v>
      </c>
      <c r="J633" s="27" t="n">
        <v>122.169926</v>
      </c>
      <c r="K633" s="10" t="inlineStr">
        <is>
          <t>U</t>
        </is>
      </c>
      <c r="L633" s="12" t="n">
        <v>3131</v>
      </c>
      <c r="M633" s="14" t="n">
        <v>3.9</v>
      </c>
      <c r="N633" s="12">
        <f>ROUND(L633/M633, 0)</f>
        <v/>
      </c>
      <c r="O633" s="12">
        <f>ROUND(N633*'Methodology &amp; Assumptions'!$B$5, 0)</f>
        <v/>
      </c>
      <c r="P633" s="10" t="inlineStr">
        <is>
          <t>Single Carrier (Band n50, 100MHz TDD)</t>
        </is>
      </c>
      <c r="Q633" s="13">
        <f>ROUNDUP(O633/'Methodology &amp; Assumptions'!$B$6, 0)</f>
        <v/>
      </c>
      <c r="R633" s="13" t="n">
        <v>1</v>
      </c>
      <c r="S633" s="14" t="n">
        <v>26.96</v>
      </c>
      <c r="T633" s="14" t="n">
        <v>6.91</v>
      </c>
      <c r="U633" s="26">
        <f>IF(X633&gt;='Methodology &amp; Assumptions'!$B$7, "Tier 1 Critical GIDA (Score ≥ 50.0)", IF(X633&gt;='Methodology &amp; Assumptions'!$B$8, "Tier 2 High GIDA (Score 40.0–49.9)", "Tier 3 Moderate GIDA (Score &lt; 40.0)"))</f>
        <v/>
      </c>
      <c r="V633" s="26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W633" s="28" t="n">
        <v>0.109</v>
      </c>
      <c r="X633" s="14" t="n">
        <v>48.47</v>
      </c>
      <c r="Y633" s="14">
        <f>ROUND(MIN(100, (X633/69.91)*100), 2)</f>
        <v/>
      </c>
    </row>
    <row r="634">
      <c r="A634" s="10" t="n">
        <v>3</v>
      </c>
      <c r="B634" s="10" t="n">
        <v>630</v>
      </c>
      <c r="C634" s="10" t="n">
        <v>2630</v>
      </c>
      <c r="D634" s="10" t="inlineStr">
        <is>
          <t>1004322003</t>
        </is>
      </c>
      <c r="E634" s="26" t="inlineStr">
        <is>
          <t>Region X (Northern Mindanao)</t>
        </is>
      </c>
      <c r="F634" s="26" t="inlineStr">
        <is>
          <t>Misamis Oriental</t>
        </is>
      </c>
      <c r="G634" s="26" t="inlineStr">
        <is>
          <t>Salay</t>
        </is>
      </c>
      <c r="H634" s="26" t="inlineStr">
        <is>
          <t>Bunal</t>
        </is>
      </c>
      <c r="I634" s="27" t="n">
        <v>8.833301000000001</v>
      </c>
      <c r="J634" s="27" t="n">
        <v>124.832991</v>
      </c>
      <c r="K634" s="10" t="inlineStr">
        <is>
          <t>R</t>
        </is>
      </c>
      <c r="L634" s="12" t="n">
        <v>497</v>
      </c>
      <c r="M634" s="14" t="n">
        <v>3.9</v>
      </c>
      <c r="N634" s="12">
        <f>ROUND(L634/M634, 0)</f>
        <v/>
      </c>
      <c r="O634" s="12">
        <f>ROUND(N634*'Methodology &amp; Assumptions'!$B$5, 0)</f>
        <v/>
      </c>
      <c r="P634" s="10" t="inlineStr">
        <is>
          <t>Single Carrier (Band n50, 100MHz TDD)</t>
        </is>
      </c>
      <c r="Q634" s="13">
        <f>ROUNDUP(O634/'Methodology &amp; Assumptions'!$B$6, 0)</f>
        <v/>
      </c>
      <c r="R634" s="13" t="n">
        <v>1</v>
      </c>
      <c r="S634" s="14" t="n">
        <v>5.63</v>
      </c>
      <c r="T634" s="14" t="n">
        <v>4.5</v>
      </c>
      <c r="U634" s="26">
        <f>IF(X634&gt;='Methodology &amp; Assumptions'!$B$7, "Tier 1 Critical GIDA (Score ≥ 50.0)", IF(X634&gt;='Methodology &amp; Assumptions'!$B$8, "Tier 2 High GIDA (Score 40.0–49.9)", "Tier 3 Moderate GIDA (Score &lt; 40.0)"))</f>
        <v/>
      </c>
      <c r="V634" s="26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W634" s="28" t="n">
        <v>0.174</v>
      </c>
      <c r="X634" s="14" t="n">
        <v>48.47</v>
      </c>
      <c r="Y634" s="14">
        <f>ROUND(MIN(100, (X634/69.91)*100), 2)</f>
        <v/>
      </c>
    </row>
    <row r="635">
      <c r="A635" s="10" t="n">
        <v>3</v>
      </c>
      <c r="B635" s="10" t="n">
        <v>631</v>
      </c>
      <c r="C635" s="10" t="n">
        <v>2631</v>
      </c>
      <c r="D635" s="10" t="inlineStr">
        <is>
          <t>1381100126</t>
        </is>
      </c>
      <c r="E635" s="26" t="inlineStr">
        <is>
          <t>National Capital Region (NCR)</t>
        </is>
      </c>
      <c r="F635" s="26" t="inlineStr">
        <is>
          <t>Fourth District (Not a Province)</t>
        </is>
      </c>
      <c r="G635" s="26" t="inlineStr">
        <is>
          <t>Pasay City</t>
        </is>
      </c>
      <c r="H635" s="26" t="inlineStr">
        <is>
          <t>Barangay 126</t>
        </is>
      </c>
      <c r="I635" s="27" t="n">
        <v>14.393979</v>
      </c>
      <c r="J635" s="27" t="n">
        <v>121.142814</v>
      </c>
      <c r="K635" s="10" t="inlineStr">
        <is>
          <t>U</t>
        </is>
      </c>
      <c r="L635" s="12" t="n">
        <v>746</v>
      </c>
      <c r="M635" s="14" t="n">
        <v>3.4</v>
      </c>
      <c r="N635" s="12">
        <f>ROUND(L635/M635, 0)</f>
        <v/>
      </c>
      <c r="O635" s="12">
        <f>ROUND(N635*'Methodology &amp; Assumptions'!$B$5, 0)</f>
        <v/>
      </c>
      <c r="P635" s="10" t="inlineStr">
        <is>
          <t>Single Carrier (Band n50, 100MHz TDD)</t>
        </is>
      </c>
      <c r="Q635" s="13">
        <f>ROUNDUP(O635/'Methodology &amp; Assumptions'!$B$6, 0)</f>
        <v/>
      </c>
      <c r="R635" s="13" t="n">
        <v>1</v>
      </c>
      <c r="S635" s="14" t="n">
        <v>8.94</v>
      </c>
      <c r="T635" s="14" t="n">
        <v>8.67</v>
      </c>
      <c r="U635" s="26">
        <f>IF(X635&gt;='Methodology &amp; Assumptions'!$B$7, "Tier 1 Critical GIDA (Score ≥ 50.0)", IF(X635&gt;='Methodology &amp; Assumptions'!$B$8, "Tier 2 High GIDA (Score 40.0–49.9)", "Tier 3 Moderate GIDA (Score &lt; 40.0)"))</f>
        <v/>
      </c>
      <c r="V635" s="26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W635" s="28" t="n">
        <v>0.109</v>
      </c>
      <c r="X635" s="14" t="n">
        <v>48.47</v>
      </c>
      <c r="Y635" s="14">
        <f>ROUND(MIN(100, (X635/69.91)*100), 2)</f>
        <v/>
      </c>
    </row>
    <row r="636">
      <c r="A636" s="10" t="n">
        <v>3</v>
      </c>
      <c r="B636" s="10" t="n">
        <v>632</v>
      </c>
      <c r="C636" s="10" t="n">
        <v>2632</v>
      </c>
      <c r="D636" s="10" t="inlineStr">
        <is>
          <t>1380606102</t>
        </is>
      </c>
      <c r="E636" s="26" t="inlineStr">
        <is>
          <t>National Capital Region (NCR)</t>
        </is>
      </c>
      <c r="F636" s="26" t="inlineStr">
        <is>
          <t>First District (Not a Province)</t>
        </is>
      </c>
      <c r="G636" s="26" t="inlineStr">
        <is>
          <t>City of Manila</t>
        </is>
      </c>
      <c r="H636" s="26" t="inlineStr">
        <is>
          <t>Barangay 496</t>
        </is>
      </c>
      <c r="I636" s="27" t="n">
        <v>13.22971</v>
      </c>
      <c r="J636" s="27" t="n">
        <v>120.907192</v>
      </c>
      <c r="K636" s="10" t="inlineStr">
        <is>
          <t>U</t>
        </is>
      </c>
      <c r="L636" s="12" t="n">
        <v>1213</v>
      </c>
      <c r="M636" s="14" t="n">
        <v>3.9</v>
      </c>
      <c r="N636" s="12">
        <f>ROUND(L636/M636, 0)</f>
        <v/>
      </c>
      <c r="O636" s="12">
        <f>ROUND(N636*'Methodology &amp; Assumptions'!$B$5, 0)</f>
        <v/>
      </c>
      <c r="P636" s="10" t="inlineStr">
        <is>
          <t>Single Carrier (Band n50, 100MHz TDD)</t>
        </is>
      </c>
      <c r="Q636" s="13">
        <f>ROUNDUP(O636/'Methodology &amp; Assumptions'!$B$6, 0)</f>
        <v/>
      </c>
      <c r="R636" s="13" t="n">
        <v>1</v>
      </c>
      <c r="S636" s="14" t="n">
        <v>25.01</v>
      </c>
      <c r="T636" s="14" t="n">
        <v>22.89</v>
      </c>
      <c r="U636" s="26">
        <f>IF(X636&gt;='Methodology &amp; Assumptions'!$B$7, "Tier 1 Critical GIDA (Score ≥ 50.0)", IF(X636&gt;='Methodology &amp; Assumptions'!$B$8, "Tier 2 High GIDA (Score 40.0–49.9)", "Tier 3 Moderate GIDA (Score &lt; 40.0)"))</f>
        <v/>
      </c>
      <c r="V636" s="26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W636" s="28" t="n">
        <v>0.109</v>
      </c>
      <c r="X636" s="14" t="n">
        <v>48.47</v>
      </c>
      <c r="Y636" s="14">
        <f>ROUND(MIN(100, (X636/69.91)*100), 2)</f>
        <v/>
      </c>
    </row>
    <row r="637">
      <c r="A637" s="10" t="n">
        <v>3</v>
      </c>
      <c r="B637" s="10" t="n">
        <v>633</v>
      </c>
      <c r="C637" s="10" t="n">
        <v>2633</v>
      </c>
      <c r="D637" s="10" t="inlineStr">
        <is>
          <t>1380606020</t>
        </is>
      </c>
      <c r="E637" s="26" t="inlineStr">
        <is>
          <t>National Capital Region (NCR)</t>
        </is>
      </c>
      <c r="F637" s="26" t="inlineStr">
        <is>
          <t>First District (Not a Province)</t>
        </is>
      </c>
      <c r="G637" s="26" t="inlineStr">
        <is>
          <t>City of Manila</t>
        </is>
      </c>
      <c r="H637" s="26" t="inlineStr">
        <is>
          <t>Barangay 414</t>
        </is>
      </c>
      <c r="I637" s="27" t="n">
        <v>13.19298</v>
      </c>
      <c r="J637" s="27" t="n">
        <v>122.656945</v>
      </c>
      <c r="K637" s="10" t="inlineStr">
        <is>
          <t>U</t>
        </is>
      </c>
      <c r="L637" s="12" t="n">
        <v>1768</v>
      </c>
      <c r="M637" s="14" t="n">
        <v>3.9</v>
      </c>
      <c r="N637" s="12">
        <f>ROUND(L637/M637, 0)</f>
        <v/>
      </c>
      <c r="O637" s="12">
        <f>ROUND(N637*'Methodology &amp; Assumptions'!$B$5, 0)</f>
        <v/>
      </c>
      <c r="P637" s="10" t="inlineStr">
        <is>
          <t>Single Carrier (Band n50, 100MHz TDD)</t>
        </is>
      </c>
      <c r="Q637" s="13">
        <f>ROUNDUP(O637/'Methodology &amp; Assumptions'!$B$6, 0)</f>
        <v/>
      </c>
      <c r="R637" s="13" t="n">
        <v>1</v>
      </c>
      <c r="S637" s="14" t="n">
        <v>4.87</v>
      </c>
      <c r="T637" s="14" t="n">
        <v>42.91</v>
      </c>
      <c r="U637" s="26">
        <f>IF(X637&gt;='Methodology &amp; Assumptions'!$B$7, "Tier 1 Critical GIDA (Score ≥ 50.0)", IF(X637&gt;='Methodology &amp; Assumptions'!$B$8, "Tier 2 High GIDA (Score 40.0–49.9)", "Tier 3 Moderate GIDA (Score &lt; 40.0)"))</f>
        <v/>
      </c>
      <c r="V637" s="26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W637" s="28" t="n">
        <v>0.109</v>
      </c>
      <c r="X637" s="14" t="n">
        <v>48.47</v>
      </c>
      <c r="Y637" s="14">
        <f>ROUND(MIN(100, (X637/69.91)*100), 2)</f>
        <v/>
      </c>
    </row>
    <row r="638">
      <c r="A638" s="10" t="n">
        <v>3</v>
      </c>
      <c r="B638" s="10" t="n">
        <v>634</v>
      </c>
      <c r="C638" s="10" t="n">
        <v>2634</v>
      </c>
      <c r="D638" s="10" t="inlineStr">
        <is>
          <t>1380606139</t>
        </is>
      </c>
      <c r="E638" s="26" t="inlineStr">
        <is>
          <t>National Capital Region (NCR)</t>
        </is>
      </c>
      <c r="F638" s="26" t="inlineStr">
        <is>
          <t>First District (Not a Province)</t>
        </is>
      </c>
      <c r="G638" s="26" t="inlineStr">
        <is>
          <t>City of Manila</t>
        </is>
      </c>
      <c r="H638" s="26" t="inlineStr">
        <is>
          <t>Barangay 533</t>
        </is>
      </c>
      <c r="I638" s="27" t="n">
        <v>12.066027</v>
      </c>
      <c r="J638" s="27" t="n">
        <v>121.339497</v>
      </c>
      <c r="K638" s="10" t="inlineStr">
        <is>
          <t>U</t>
        </is>
      </c>
      <c r="L638" s="12" t="n">
        <v>941</v>
      </c>
      <c r="M638" s="14" t="n">
        <v>3.9</v>
      </c>
      <c r="N638" s="12">
        <f>ROUND(L638/M638, 0)</f>
        <v/>
      </c>
      <c r="O638" s="12">
        <f>ROUND(N638*'Methodology &amp; Assumptions'!$B$5, 0)</f>
        <v/>
      </c>
      <c r="P638" s="10" t="inlineStr">
        <is>
          <t>Single Carrier (Band n50, 100MHz TDD)</t>
        </is>
      </c>
      <c r="Q638" s="13">
        <f>ROUNDUP(O638/'Methodology &amp; Assumptions'!$B$6, 0)</f>
        <v/>
      </c>
      <c r="R638" s="13" t="n">
        <v>1</v>
      </c>
      <c r="S638" s="14" t="n">
        <v>29.46</v>
      </c>
      <c r="T638" s="14" t="n">
        <v>25.07</v>
      </c>
      <c r="U638" s="26">
        <f>IF(X638&gt;='Methodology &amp; Assumptions'!$B$7, "Tier 1 Critical GIDA (Score ≥ 50.0)", IF(X638&gt;='Methodology &amp; Assumptions'!$B$8, "Tier 2 High GIDA (Score 40.0–49.9)", "Tier 3 Moderate GIDA (Score &lt; 40.0)"))</f>
        <v/>
      </c>
      <c r="V638" s="26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W638" s="28" t="n">
        <v>0.109</v>
      </c>
      <c r="X638" s="14" t="n">
        <v>48.47</v>
      </c>
      <c r="Y638" s="14">
        <f>ROUND(MIN(100, (X638/69.91)*100), 2)</f>
        <v/>
      </c>
    </row>
    <row r="639">
      <c r="A639" s="10" t="n">
        <v>3</v>
      </c>
      <c r="B639" s="10" t="n">
        <v>635</v>
      </c>
      <c r="C639" s="10" t="n">
        <v>2635</v>
      </c>
      <c r="D639" s="10" t="inlineStr">
        <is>
          <t>PH0002635</t>
        </is>
      </c>
      <c r="E639" s="26" t="inlineStr">
        <is>
          <t>VII</t>
        </is>
      </c>
      <c r="F639" s="26" t="inlineStr">
        <is>
          <t>Cebu</t>
        </is>
      </c>
      <c r="G639" s="26" t="inlineStr">
        <is>
          <t>Talisay City</t>
        </is>
      </c>
      <c r="H639" s="26" t="inlineStr">
        <is>
          <t>Bulacao</t>
        </is>
      </c>
      <c r="I639" s="27" t="n">
        <v>10.365957</v>
      </c>
      <c r="J639" s="27" t="n">
        <v>123.783346</v>
      </c>
      <c r="K639" s="10" t="inlineStr">
        <is>
          <t>R</t>
        </is>
      </c>
      <c r="L639" s="12" t="n">
        <v>2250</v>
      </c>
      <c r="M639" s="14" t="n">
        <v>3.8</v>
      </c>
      <c r="N639" s="12">
        <f>ROUND(L639/M639, 0)</f>
        <v/>
      </c>
      <c r="O639" s="12">
        <f>ROUND(N639*'Methodology &amp; Assumptions'!$B$5, 0)</f>
        <v/>
      </c>
      <c r="P639" s="10" t="inlineStr">
        <is>
          <t>Single Carrier (Band n50, 100MHz TDD)</t>
        </is>
      </c>
      <c r="Q639" s="13">
        <f>ROUNDUP(O639/'Methodology &amp; Assumptions'!$B$6, 0)</f>
        <v/>
      </c>
      <c r="R639" s="13" t="n">
        <v>1</v>
      </c>
      <c r="S639" s="14" t="n">
        <v>7.98</v>
      </c>
      <c r="T639" s="14" t="n">
        <v>9.91</v>
      </c>
      <c r="U639" s="26">
        <f>IF(X639&gt;='Methodology &amp; Assumptions'!$B$7, "Tier 1 Critical GIDA (Score ≥ 50.0)", IF(X639&gt;='Methodology &amp; Assumptions'!$B$8, "Tier 2 High GIDA (Score 40.0–49.9)", "Tier 3 Moderate GIDA (Score &lt; 40.0)"))</f>
        <v/>
      </c>
      <c r="V639" s="26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W639" s="28" t="n">
        <v>0.21</v>
      </c>
      <c r="X639" s="14" t="n">
        <v>48.46</v>
      </c>
      <c r="Y639" s="14">
        <f>ROUND(MIN(100, (X639/69.91)*100), 2)</f>
        <v/>
      </c>
    </row>
    <row r="640">
      <c r="A640" s="10" t="n">
        <v>3</v>
      </c>
      <c r="B640" s="10" t="n">
        <v>636</v>
      </c>
      <c r="C640" s="10" t="n">
        <v>2636</v>
      </c>
      <c r="D640" s="10" t="inlineStr">
        <is>
          <t>1380601052</t>
        </is>
      </c>
      <c r="E640" s="26" t="inlineStr">
        <is>
          <t>National Capital Region (NCR)</t>
        </is>
      </c>
      <c r="F640" s="26" t="inlineStr">
        <is>
          <t>First District (Not a Province)</t>
        </is>
      </c>
      <c r="G640" s="26" t="inlineStr">
        <is>
          <t>City of Manila</t>
        </is>
      </c>
      <c r="H640" s="26" t="inlineStr">
        <is>
          <t>Barangay 52</t>
        </is>
      </c>
      <c r="I640" s="27" t="n">
        <v>13.767067</v>
      </c>
      <c r="J640" s="27" t="n">
        <v>121.530094</v>
      </c>
      <c r="K640" s="10" t="inlineStr">
        <is>
          <t>U</t>
        </is>
      </c>
      <c r="L640" s="12" t="n">
        <v>2815</v>
      </c>
      <c r="M640" s="14" t="n">
        <v>3.9</v>
      </c>
      <c r="N640" s="12">
        <f>ROUND(L640/M640, 0)</f>
        <v/>
      </c>
      <c r="O640" s="12">
        <f>ROUND(N640*'Methodology &amp; Assumptions'!$B$5, 0)</f>
        <v/>
      </c>
      <c r="P640" s="10" t="inlineStr">
        <is>
          <t>Single Carrier (Band n50, 100MHz TDD)</t>
        </is>
      </c>
      <c r="Q640" s="13">
        <f>ROUNDUP(O640/'Methodology &amp; Assumptions'!$B$6, 0)</f>
        <v/>
      </c>
      <c r="R640" s="13" t="n">
        <v>1</v>
      </c>
      <c r="S640" s="14" t="n">
        <v>10.75</v>
      </c>
      <c r="T640" s="14" t="n">
        <v>10.45</v>
      </c>
      <c r="U640" s="26">
        <f>IF(X640&gt;='Methodology &amp; Assumptions'!$B$7, "Tier 1 Critical GIDA (Score ≥ 50.0)", IF(X640&gt;='Methodology &amp; Assumptions'!$B$8, "Tier 2 High GIDA (Score 40.0–49.9)", "Tier 3 Moderate GIDA (Score &lt; 40.0)"))</f>
        <v/>
      </c>
      <c r="V640" s="26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W640" s="28" t="n">
        <v>0.109</v>
      </c>
      <c r="X640" s="14" t="n">
        <v>48.46</v>
      </c>
      <c r="Y640" s="14">
        <f>ROUND(MIN(100, (X640/69.91)*100), 2)</f>
        <v/>
      </c>
    </row>
    <row r="641">
      <c r="A641" s="10" t="n">
        <v>3</v>
      </c>
      <c r="B641" s="10" t="n">
        <v>637</v>
      </c>
      <c r="C641" s="10" t="n">
        <v>2637</v>
      </c>
      <c r="D641" s="10" t="inlineStr">
        <is>
          <t>1380607006</t>
        </is>
      </c>
      <c r="E641" s="26" t="inlineStr">
        <is>
          <t>National Capital Region (NCR)</t>
        </is>
      </c>
      <c r="F641" s="26" t="inlineStr">
        <is>
          <t>First District (Not a Province)</t>
        </is>
      </c>
      <c r="G641" s="26" t="inlineStr">
        <is>
          <t>City of Manila</t>
        </is>
      </c>
      <c r="H641" s="26" t="inlineStr">
        <is>
          <t>Barangay 642</t>
        </is>
      </c>
      <c r="I641" s="27" t="n">
        <v>12.385374</v>
      </c>
      <c r="J641" s="27" t="n">
        <v>122.569962</v>
      </c>
      <c r="K641" s="10" t="inlineStr">
        <is>
          <t>U</t>
        </is>
      </c>
      <c r="L641" s="12" t="n">
        <v>1318</v>
      </c>
      <c r="M641" s="14" t="n">
        <v>3.9</v>
      </c>
      <c r="N641" s="12">
        <f>ROUND(L641/M641, 0)</f>
        <v/>
      </c>
      <c r="O641" s="12">
        <f>ROUND(N641*'Methodology &amp; Assumptions'!$B$5, 0)</f>
        <v/>
      </c>
      <c r="P641" s="10" t="inlineStr">
        <is>
          <t>Single Carrier (Band n50, 100MHz TDD)</t>
        </is>
      </c>
      <c r="Q641" s="13">
        <f>ROUNDUP(O641/'Methodology &amp; Assumptions'!$B$6, 0)</f>
        <v/>
      </c>
      <c r="R641" s="13" t="n">
        <v>1</v>
      </c>
      <c r="S641" s="14" t="n">
        <v>79.61</v>
      </c>
      <c r="T641" s="14" t="n">
        <v>53.51</v>
      </c>
      <c r="U641" s="26">
        <f>IF(X641&gt;='Methodology &amp; Assumptions'!$B$7, "Tier 1 Critical GIDA (Score ≥ 50.0)", IF(X641&gt;='Methodology &amp; Assumptions'!$B$8, "Tier 2 High GIDA (Score 40.0–49.9)", "Tier 3 Moderate GIDA (Score &lt; 40.0)"))</f>
        <v/>
      </c>
      <c r="V641" s="26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W641" s="28" t="n">
        <v>0.109</v>
      </c>
      <c r="X641" s="14" t="n">
        <v>48.46</v>
      </c>
      <c r="Y641" s="14">
        <f>ROUND(MIN(100, (X641/69.91)*100), 2)</f>
        <v/>
      </c>
    </row>
    <row r="642">
      <c r="A642" s="10" t="n">
        <v>3</v>
      </c>
      <c r="B642" s="10" t="n">
        <v>638</v>
      </c>
      <c r="C642" s="10" t="n">
        <v>2638</v>
      </c>
      <c r="D642" s="10" t="inlineStr">
        <is>
          <t>1380611024</t>
        </is>
      </c>
      <c r="E642" s="26" t="inlineStr">
        <is>
          <t>National Capital Region (NCR)</t>
        </is>
      </c>
      <c r="F642" s="26" t="inlineStr">
        <is>
          <t>First District (Not a Province)</t>
        </is>
      </c>
      <c r="G642" s="26" t="inlineStr">
        <is>
          <t>City of Manila</t>
        </is>
      </c>
      <c r="H642" s="26" t="inlineStr">
        <is>
          <t>Barangay 810</t>
        </is>
      </c>
      <c r="I642" s="27" t="n">
        <v>12.719706</v>
      </c>
      <c r="J642" s="27" t="n">
        <v>120.84321</v>
      </c>
      <c r="K642" s="10" t="inlineStr">
        <is>
          <t>U</t>
        </is>
      </c>
      <c r="L642" s="12" t="n">
        <v>2363</v>
      </c>
      <c r="M642" s="14" t="n">
        <v>3.9</v>
      </c>
      <c r="N642" s="12">
        <f>ROUND(L642/M642, 0)</f>
        <v/>
      </c>
      <c r="O642" s="12">
        <f>ROUND(N642*'Methodology &amp; Assumptions'!$B$5, 0)</f>
        <v/>
      </c>
      <c r="P642" s="10" t="inlineStr">
        <is>
          <t>Single Carrier (Band n50, 100MHz TDD)</t>
        </is>
      </c>
      <c r="Q642" s="13">
        <f>ROUNDUP(O642/'Methodology &amp; Assumptions'!$B$6, 0)</f>
        <v/>
      </c>
      <c r="R642" s="13" t="n">
        <v>1</v>
      </c>
      <c r="S642" s="14" t="n">
        <v>47.54</v>
      </c>
      <c r="T642" s="14" t="n">
        <v>45.1</v>
      </c>
      <c r="U642" s="26">
        <f>IF(X642&gt;='Methodology &amp; Assumptions'!$B$7, "Tier 1 Critical GIDA (Score ≥ 50.0)", IF(X642&gt;='Methodology &amp; Assumptions'!$B$8, "Tier 2 High GIDA (Score 40.0–49.9)", "Tier 3 Moderate GIDA (Score &lt; 40.0)"))</f>
        <v/>
      </c>
      <c r="V642" s="26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W642" s="28" t="n">
        <v>0.109</v>
      </c>
      <c r="X642" s="14" t="n">
        <v>48.46</v>
      </c>
      <c r="Y642" s="14">
        <f>ROUND(MIN(100, (X642/69.91)*100), 2)</f>
        <v/>
      </c>
    </row>
    <row r="643">
      <c r="A643" s="10" t="n">
        <v>3</v>
      </c>
      <c r="B643" s="10" t="n">
        <v>639</v>
      </c>
      <c r="C643" s="10" t="n">
        <v>2639</v>
      </c>
      <c r="D643" s="10" t="inlineStr">
        <is>
          <t>1903631015</t>
        </is>
      </c>
      <c r="E643" s="26" t="inlineStr">
        <is>
          <t>Bangsamoro Autonomous Region In Muslim Mindanao (BARMM)</t>
        </is>
      </c>
      <c r="F643" s="26" t="inlineStr">
        <is>
          <t>Lanao del Sur</t>
        </is>
      </c>
      <c r="G643" s="26" t="inlineStr">
        <is>
          <t>Marogong</t>
        </is>
      </c>
      <c r="H643" s="26" t="inlineStr">
        <is>
          <t>Mantailoco</t>
        </is>
      </c>
      <c r="I643" s="27" t="n">
        <v>17.254825</v>
      </c>
      <c r="J643" s="27" t="n">
        <v>122.228869</v>
      </c>
      <c r="K643" s="10" t="inlineStr">
        <is>
          <t>R</t>
        </is>
      </c>
      <c r="L643" s="12" t="n">
        <v>958</v>
      </c>
      <c r="M643" s="14" t="n">
        <v>5.7</v>
      </c>
      <c r="N643" s="12">
        <f>ROUND(L643/M643, 0)</f>
        <v/>
      </c>
      <c r="O643" s="12">
        <f>ROUND(N643*'Methodology &amp; Assumptions'!$B$5, 0)</f>
        <v/>
      </c>
      <c r="P643" s="10" t="inlineStr">
        <is>
          <t>Single Carrier (Band n50, 100MHz TDD)</t>
        </is>
      </c>
      <c r="Q643" s="13">
        <f>ROUNDUP(O643/'Methodology &amp; Assumptions'!$B$6, 0)</f>
        <v/>
      </c>
      <c r="R643" s="13" t="n">
        <v>1</v>
      </c>
      <c r="S643" s="14" t="n">
        <v>29.41</v>
      </c>
      <c r="T643" s="14" t="n">
        <v>34.3</v>
      </c>
      <c r="U643" s="26">
        <f>IF(X643&gt;='Methodology &amp; Assumptions'!$B$7, "Tier 1 Critical GIDA (Score ≥ 50.0)", IF(X643&gt;='Methodology &amp; Assumptions'!$B$8, "Tier 2 High GIDA (Score 40.0–49.9)", "Tier 3 Moderate GIDA (Score &lt; 40.0)"))</f>
        <v/>
      </c>
      <c r="V643" s="26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W643" s="28" t="n">
        <v>0.11</v>
      </c>
      <c r="X643" s="14" t="n">
        <v>48.46</v>
      </c>
      <c r="Y643" s="14">
        <f>ROUND(MIN(100, (X643/69.91)*100), 2)</f>
        <v/>
      </c>
    </row>
    <row r="644">
      <c r="A644" s="10" t="n">
        <v>3</v>
      </c>
      <c r="B644" s="10" t="n">
        <v>640</v>
      </c>
      <c r="C644" s="10" t="n">
        <v>2640</v>
      </c>
      <c r="D644" s="10" t="inlineStr">
        <is>
          <t>0907311017</t>
        </is>
      </c>
      <c r="E644" s="26" t="inlineStr">
        <is>
          <t>Region IX (Zamboanga Peninsula)</t>
        </is>
      </c>
      <c r="F644" s="26" t="inlineStr">
        <is>
          <t>Zamboanga del Sur</t>
        </is>
      </c>
      <c r="G644" s="26" t="inlineStr">
        <is>
          <t>Kumalarang</t>
        </is>
      </c>
      <c r="H644" s="26" t="inlineStr">
        <is>
          <t>Limamawan</t>
        </is>
      </c>
      <c r="I644" s="27" t="n">
        <v>7.798225</v>
      </c>
      <c r="J644" s="27" t="n">
        <v>123.170276</v>
      </c>
      <c r="K644" s="10" t="inlineStr">
        <is>
          <t>R</t>
        </is>
      </c>
      <c r="L644" s="12" t="n">
        <v>326</v>
      </c>
      <c r="M644" s="14" t="n">
        <v>3.9</v>
      </c>
      <c r="N644" s="12">
        <f>ROUND(L644/M644, 0)</f>
        <v/>
      </c>
      <c r="O644" s="12">
        <f>ROUND(N644*'Methodology &amp; Assumptions'!$B$5, 0)</f>
        <v/>
      </c>
      <c r="P644" s="10" t="inlineStr">
        <is>
          <t>Single Carrier (Band n50, 100MHz TDD)</t>
        </is>
      </c>
      <c r="Q644" s="13">
        <f>ROUNDUP(O644/'Methodology &amp; Assumptions'!$B$6, 0)</f>
        <v/>
      </c>
      <c r="R644" s="13" t="n">
        <v>1</v>
      </c>
      <c r="S644" s="14" t="n">
        <v>14.8</v>
      </c>
      <c r="T644" s="14" t="n">
        <v>1.57</v>
      </c>
      <c r="U644" s="26">
        <f>IF(X644&gt;='Methodology &amp; Assumptions'!$B$7, "Tier 1 Critical GIDA (Score ≥ 50.0)", IF(X644&gt;='Methodology &amp; Assumptions'!$B$8, "Tier 2 High GIDA (Score 40.0–49.9)", "Tier 3 Moderate GIDA (Score &lt; 40.0)"))</f>
        <v/>
      </c>
      <c r="V644" s="26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W644" s="28" t="n">
        <v>0.11</v>
      </c>
      <c r="X644" s="14" t="n">
        <v>48.45</v>
      </c>
      <c r="Y644" s="14">
        <f>ROUND(MIN(100, (X644/69.91)*100), 2)</f>
        <v/>
      </c>
    </row>
    <row r="645">
      <c r="A645" s="10" t="n">
        <v>3</v>
      </c>
      <c r="B645" s="10" t="n">
        <v>641</v>
      </c>
      <c r="C645" s="10" t="n">
        <v>2641</v>
      </c>
      <c r="D645" s="10" t="inlineStr">
        <is>
          <t>PH0002641</t>
        </is>
      </c>
      <c r="E645" s="26" t="inlineStr">
        <is>
          <t>NCR</t>
        </is>
      </c>
      <c r="F645" s="26" t="inlineStr">
        <is>
          <t>Metro Manila</t>
        </is>
      </c>
      <c r="G645" s="26" t="inlineStr">
        <is>
          <t>Caloocan City</t>
        </is>
      </c>
      <c r="H645" s="26" t="inlineStr">
        <is>
          <t>Barangay 43</t>
        </is>
      </c>
      <c r="I645" s="27" t="n">
        <v>11.776873</v>
      </c>
      <c r="J645" s="27" t="n">
        <v>122.723265</v>
      </c>
      <c r="K645" s="10" t="inlineStr">
        <is>
          <t>R</t>
        </is>
      </c>
      <c r="L645" s="12" t="n">
        <v>2279</v>
      </c>
      <c r="M645" s="14" t="n">
        <v>3.8</v>
      </c>
      <c r="N645" s="12">
        <f>ROUND(L645/M645, 0)</f>
        <v/>
      </c>
      <c r="O645" s="12">
        <f>ROUND(N645*'Methodology &amp; Assumptions'!$B$5, 0)</f>
        <v/>
      </c>
      <c r="P645" s="10" t="inlineStr">
        <is>
          <t>Single Carrier (Band n50, 100MHz TDD)</t>
        </is>
      </c>
      <c r="Q645" s="13">
        <f>ROUNDUP(O645/'Methodology &amp; Assumptions'!$B$6, 0)</f>
        <v/>
      </c>
      <c r="R645" s="13" t="n">
        <v>1</v>
      </c>
      <c r="S645" s="14" t="n">
        <v>18.78</v>
      </c>
      <c r="T645" s="14" t="n">
        <v>9.41</v>
      </c>
      <c r="U645" s="26">
        <f>IF(X645&gt;='Methodology &amp; Assumptions'!$B$7, "Tier 1 Critical GIDA (Score ≥ 50.0)", IF(X645&gt;='Methodology &amp; Assumptions'!$B$8, "Tier 2 High GIDA (Score 40.0–49.9)", "Tier 3 Moderate GIDA (Score &lt; 40.0)"))</f>
        <v/>
      </c>
      <c r="V645" s="26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W645" s="28" t="n">
        <v>0.011</v>
      </c>
      <c r="X645" s="14" t="n">
        <v>48.45</v>
      </c>
      <c r="Y645" s="14">
        <f>ROUND(MIN(100, (X645/69.91)*100), 2)</f>
        <v/>
      </c>
    </row>
    <row r="646">
      <c r="A646" s="10" t="n">
        <v>3</v>
      </c>
      <c r="B646" s="10" t="n">
        <v>642</v>
      </c>
      <c r="C646" s="10" t="n">
        <v>2642</v>
      </c>
      <c r="D646" s="10" t="inlineStr">
        <is>
          <t>PH0002642</t>
        </is>
      </c>
      <c r="E646" s="26" t="inlineStr">
        <is>
          <t>NCR</t>
        </is>
      </c>
      <c r="F646" s="26" t="inlineStr">
        <is>
          <t>Metro Manila</t>
        </is>
      </c>
      <c r="G646" s="26" t="inlineStr">
        <is>
          <t>Caloocan City</t>
        </is>
      </c>
      <c r="H646" s="26" t="inlineStr">
        <is>
          <t>Barangay 29</t>
        </is>
      </c>
      <c r="I646" s="27" t="n">
        <v>13.067787</v>
      </c>
      <c r="J646" s="27" t="n">
        <v>120.308467</v>
      </c>
      <c r="K646" s="10" t="inlineStr">
        <is>
          <t>R</t>
        </is>
      </c>
      <c r="L646" s="12" t="n">
        <v>2279</v>
      </c>
      <c r="M646" s="14" t="n">
        <v>3.8</v>
      </c>
      <c r="N646" s="12">
        <f>ROUND(L646/M646, 0)</f>
        <v/>
      </c>
      <c r="O646" s="12">
        <f>ROUND(N646*'Methodology &amp; Assumptions'!$B$5, 0)</f>
        <v/>
      </c>
      <c r="P646" s="10" t="inlineStr">
        <is>
          <t>Single Carrier (Band n50, 100MHz TDD)</t>
        </is>
      </c>
      <c r="Q646" s="13">
        <f>ROUNDUP(O646/'Methodology &amp; Assumptions'!$B$6, 0)</f>
        <v/>
      </c>
      <c r="R646" s="13" t="n">
        <v>1</v>
      </c>
      <c r="S646" s="14" t="n">
        <v>80.75</v>
      </c>
      <c r="T646" s="14" t="n">
        <v>79.22</v>
      </c>
      <c r="U646" s="26">
        <f>IF(X646&gt;='Methodology &amp; Assumptions'!$B$7, "Tier 1 Critical GIDA (Score ≥ 50.0)", IF(X646&gt;='Methodology &amp; Assumptions'!$B$8, "Tier 2 High GIDA (Score 40.0–49.9)", "Tier 3 Moderate GIDA (Score &lt; 40.0)"))</f>
        <v/>
      </c>
      <c r="V646" s="26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W646" s="28" t="n">
        <v>0.011</v>
      </c>
      <c r="X646" s="14" t="n">
        <v>48.45</v>
      </c>
      <c r="Y646" s="14">
        <f>ROUND(MIN(100, (X646/69.91)*100), 2)</f>
        <v/>
      </c>
    </row>
    <row r="647">
      <c r="A647" s="10" t="n">
        <v>3</v>
      </c>
      <c r="B647" s="10" t="n">
        <v>643</v>
      </c>
      <c r="C647" s="10" t="n">
        <v>2643</v>
      </c>
      <c r="D647" s="10" t="inlineStr">
        <is>
          <t>1380606171</t>
        </is>
      </c>
      <c r="E647" s="26" t="inlineStr">
        <is>
          <t>National Capital Region (NCR)</t>
        </is>
      </c>
      <c r="F647" s="26" t="inlineStr">
        <is>
          <t>First District (Not a Province)</t>
        </is>
      </c>
      <c r="G647" s="26" t="inlineStr">
        <is>
          <t>City of Manila</t>
        </is>
      </c>
      <c r="H647" s="26" t="inlineStr">
        <is>
          <t>Barangay 565</t>
        </is>
      </c>
      <c r="I647" s="27" t="n">
        <v>13.611742</v>
      </c>
      <c r="J647" s="27" t="n">
        <v>122.350213</v>
      </c>
      <c r="K647" s="10" t="inlineStr">
        <is>
          <t>U</t>
        </is>
      </c>
      <c r="L647" s="12" t="n">
        <v>2539</v>
      </c>
      <c r="M647" s="14" t="n">
        <v>3.9</v>
      </c>
      <c r="N647" s="12">
        <f>ROUND(L647/M647, 0)</f>
        <v/>
      </c>
      <c r="O647" s="12">
        <f>ROUND(N647*'Methodology &amp; Assumptions'!$B$5, 0)</f>
        <v/>
      </c>
      <c r="P647" s="10" t="inlineStr">
        <is>
          <t>Single Carrier (Band n50, 100MHz TDD)</t>
        </is>
      </c>
      <c r="Q647" s="13">
        <f>ROUNDUP(O647/'Methodology &amp; Assumptions'!$B$6, 0)</f>
        <v/>
      </c>
      <c r="R647" s="13" t="n">
        <v>1</v>
      </c>
      <c r="S647" s="14" t="n">
        <v>3.39</v>
      </c>
      <c r="T647" s="14" t="n">
        <v>3.22</v>
      </c>
      <c r="U647" s="26">
        <f>IF(X647&gt;='Methodology &amp; Assumptions'!$B$7, "Tier 1 Critical GIDA (Score ≥ 50.0)", IF(X647&gt;='Methodology &amp; Assumptions'!$B$8, "Tier 2 High GIDA (Score 40.0–49.9)", "Tier 3 Moderate GIDA (Score &lt; 40.0)"))</f>
        <v/>
      </c>
      <c r="V647" s="26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W647" s="28" t="n">
        <v>0.109</v>
      </c>
      <c r="X647" s="14" t="n">
        <v>48.45</v>
      </c>
      <c r="Y647" s="14">
        <f>ROUND(MIN(100, (X647/69.91)*100), 2)</f>
        <v/>
      </c>
    </row>
    <row r="648">
      <c r="A648" s="10" t="n">
        <v>3</v>
      </c>
      <c r="B648" s="10" t="n">
        <v>644</v>
      </c>
      <c r="C648" s="10" t="n">
        <v>2644</v>
      </c>
      <c r="D648" s="10" t="inlineStr">
        <is>
          <t>0504117022</t>
        </is>
      </c>
      <c r="E648" s="26" t="inlineStr">
        <is>
          <t>Region V (Bicol Region)</t>
        </is>
      </c>
      <c r="F648" s="26" t="inlineStr">
        <is>
          <t>Masbate</t>
        </is>
      </c>
      <c r="G648" s="26" t="inlineStr">
        <is>
          <t>Placer</t>
        </is>
      </c>
      <c r="H648" s="26" t="inlineStr">
        <is>
          <t>Nagarao</t>
        </is>
      </c>
      <c r="I648" s="27" t="n">
        <v>11.818387</v>
      </c>
      <c r="J648" s="27" t="n">
        <v>123.844744</v>
      </c>
      <c r="K648" s="10" t="inlineStr">
        <is>
          <t>R</t>
        </is>
      </c>
      <c r="L648" s="12" t="n">
        <v>835</v>
      </c>
      <c r="M648" s="14" t="n">
        <v>4.1</v>
      </c>
      <c r="N648" s="12">
        <f>ROUND(L648/M648, 0)</f>
        <v/>
      </c>
      <c r="O648" s="12">
        <f>ROUND(N648*'Methodology &amp; Assumptions'!$B$5, 0)</f>
        <v/>
      </c>
      <c r="P648" s="10" t="inlineStr">
        <is>
          <t>Single Carrier (Band n50, 100MHz TDD)</t>
        </is>
      </c>
      <c r="Q648" s="13">
        <f>ROUNDUP(O648/'Methodology &amp; Assumptions'!$B$6, 0)</f>
        <v/>
      </c>
      <c r="R648" s="13" t="n">
        <v>1</v>
      </c>
      <c r="S648" s="14" t="n">
        <v>9.130000000000001</v>
      </c>
      <c r="T648" s="14" t="n">
        <v>31.85</v>
      </c>
      <c r="U648" s="26">
        <f>IF(X648&gt;='Methodology &amp; Assumptions'!$B$7, "Tier 1 Critical GIDA (Score ≥ 50.0)", IF(X648&gt;='Methodology &amp; Assumptions'!$B$8, "Tier 2 High GIDA (Score 40.0–49.9)", "Tier 3 Moderate GIDA (Score &lt; 40.0)"))</f>
        <v/>
      </c>
      <c r="V648" s="26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W648" s="28" t="n">
        <v>0.237</v>
      </c>
      <c r="X648" s="14" t="n">
        <v>48.45</v>
      </c>
      <c r="Y648" s="14">
        <f>ROUND(MIN(100, (X648/69.91)*100), 2)</f>
        <v/>
      </c>
    </row>
    <row r="649">
      <c r="A649" s="10" t="n">
        <v>3</v>
      </c>
      <c r="B649" s="10" t="n">
        <v>645</v>
      </c>
      <c r="C649" s="10" t="n">
        <v>2645</v>
      </c>
      <c r="D649" s="10" t="inlineStr">
        <is>
          <t>1380606047</t>
        </is>
      </c>
      <c r="E649" s="26" t="inlineStr">
        <is>
          <t>National Capital Region (NCR)</t>
        </is>
      </c>
      <c r="F649" s="26" t="inlineStr">
        <is>
          <t>First District (Not a Province)</t>
        </is>
      </c>
      <c r="G649" s="26" t="inlineStr">
        <is>
          <t>City of Manila</t>
        </is>
      </c>
      <c r="H649" s="26" t="inlineStr">
        <is>
          <t>Barangay 441</t>
        </is>
      </c>
      <c r="I649" s="27" t="n">
        <v>11.959148</v>
      </c>
      <c r="J649" s="27" t="n">
        <v>121.856616</v>
      </c>
      <c r="K649" s="10" t="inlineStr">
        <is>
          <t>U</t>
        </is>
      </c>
      <c r="L649" s="12" t="n">
        <v>882</v>
      </c>
      <c r="M649" s="14" t="n">
        <v>3.9</v>
      </c>
      <c r="N649" s="12">
        <f>ROUND(L649/M649, 0)</f>
        <v/>
      </c>
      <c r="O649" s="12">
        <f>ROUND(N649*'Methodology &amp; Assumptions'!$B$5, 0)</f>
        <v/>
      </c>
      <c r="P649" s="10" t="inlineStr">
        <is>
          <t>Single Carrier (Band n50, 100MHz TDD)</t>
        </is>
      </c>
      <c r="Q649" s="13">
        <f>ROUNDUP(O649/'Methodology &amp; Assumptions'!$B$6, 0)</f>
        <v/>
      </c>
      <c r="R649" s="13" t="n">
        <v>1</v>
      </c>
      <c r="S649" s="14" t="n">
        <v>9.779999999999999</v>
      </c>
      <c r="T649" s="14" t="n">
        <v>10.91</v>
      </c>
      <c r="U649" s="26">
        <f>IF(X649&gt;='Methodology &amp; Assumptions'!$B$7, "Tier 1 Critical GIDA (Score ≥ 50.0)", IF(X649&gt;='Methodology &amp; Assumptions'!$B$8, "Tier 2 High GIDA (Score 40.0–49.9)", "Tier 3 Moderate GIDA (Score &lt; 40.0)"))</f>
        <v/>
      </c>
      <c r="V649" s="26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W649" s="28" t="n">
        <v>0.109</v>
      </c>
      <c r="X649" s="14" t="n">
        <v>48.44</v>
      </c>
      <c r="Y649" s="14">
        <f>ROUND(MIN(100, (X649/69.91)*100), 2)</f>
        <v/>
      </c>
    </row>
    <row r="650">
      <c r="A650" s="10" t="n">
        <v>3</v>
      </c>
      <c r="B650" s="10" t="n">
        <v>646</v>
      </c>
      <c r="C650" s="10" t="n">
        <v>2646</v>
      </c>
      <c r="D650" s="10" t="inlineStr">
        <is>
          <t>1381100124</t>
        </is>
      </c>
      <c r="E650" s="26" t="inlineStr">
        <is>
          <t>National Capital Region (NCR)</t>
        </is>
      </c>
      <c r="F650" s="26" t="inlineStr">
        <is>
          <t>Fourth District (Not a Province)</t>
        </is>
      </c>
      <c r="G650" s="26" t="inlineStr">
        <is>
          <t>Pasay City</t>
        </is>
      </c>
      <c r="H650" s="26" t="inlineStr">
        <is>
          <t>Barangay 124</t>
        </is>
      </c>
      <c r="I650" s="27" t="n">
        <v>14.558406</v>
      </c>
      <c r="J650" s="27" t="n">
        <v>120.797212</v>
      </c>
      <c r="K650" s="10" t="inlineStr">
        <is>
          <t>U</t>
        </is>
      </c>
      <c r="L650" s="12" t="n">
        <v>1713</v>
      </c>
      <c r="M650" s="14" t="n">
        <v>3.4</v>
      </c>
      <c r="N650" s="12">
        <f>ROUND(L650/M650, 0)</f>
        <v/>
      </c>
      <c r="O650" s="12">
        <f>ROUND(N650*'Methodology &amp; Assumptions'!$B$5, 0)</f>
        <v/>
      </c>
      <c r="P650" s="10" t="inlineStr">
        <is>
          <t>Single Carrier (Band n50, 100MHz TDD)</t>
        </is>
      </c>
      <c r="Q650" s="13">
        <f>ROUNDUP(O650/'Methodology &amp; Assumptions'!$B$6, 0)</f>
        <v/>
      </c>
      <c r="R650" s="13" t="n">
        <v>1</v>
      </c>
      <c r="S650" s="14" t="n">
        <v>13.46</v>
      </c>
      <c r="T650" s="14" t="n">
        <v>16.98</v>
      </c>
      <c r="U650" s="26">
        <f>IF(X650&gt;='Methodology &amp; Assumptions'!$B$7, "Tier 1 Critical GIDA (Score ≥ 50.0)", IF(X650&gt;='Methodology &amp; Assumptions'!$B$8, "Tier 2 High GIDA (Score 40.0–49.9)", "Tier 3 Moderate GIDA (Score &lt; 40.0)"))</f>
        <v/>
      </c>
      <c r="V650" s="26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W650" s="28" t="n">
        <v>0.109</v>
      </c>
      <c r="X650" s="14" t="n">
        <v>48.44</v>
      </c>
      <c r="Y650" s="14">
        <f>ROUND(MIN(100, (X650/69.91)*100), 2)</f>
        <v/>
      </c>
    </row>
    <row r="651">
      <c r="A651" s="10" t="n">
        <v>3</v>
      </c>
      <c r="B651" s="10" t="n">
        <v>647</v>
      </c>
      <c r="C651" s="10" t="n">
        <v>2647</v>
      </c>
      <c r="D651" s="10" t="inlineStr">
        <is>
          <t>1102508016</t>
        </is>
      </c>
      <c r="E651" s="26" t="inlineStr">
        <is>
          <t>Region XI (Davao Region)</t>
        </is>
      </c>
      <c r="F651" s="26" t="inlineStr">
        <is>
          <t>Davao Oriental</t>
        </is>
      </c>
      <c r="G651" s="26" t="inlineStr">
        <is>
          <t>Manay</t>
        </is>
      </c>
      <c r="H651" s="26" t="inlineStr">
        <is>
          <t>New Taokanga</t>
        </is>
      </c>
      <c r="I651" s="27" t="n">
        <v>7.263455</v>
      </c>
      <c r="J651" s="27" t="n">
        <v>126.390821</v>
      </c>
      <c r="K651" s="10" t="inlineStr">
        <is>
          <t>R</t>
        </is>
      </c>
      <c r="L651" s="12" t="n">
        <v>3025</v>
      </c>
      <c r="M651" s="14" t="n">
        <v>3.6</v>
      </c>
      <c r="N651" s="12">
        <f>ROUND(L651/M651, 0)</f>
        <v/>
      </c>
      <c r="O651" s="12">
        <f>ROUND(N651*'Methodology &amp; Assumptions'!$B$5, 0)</f>
        <v/>
      </c>
      <c r="P651" s="10" t="inlineStr">
        <is>
          <t>Single Carrier (Band n50, 100MHz TDD)</t>
        </is>
      </c>
      <c r="Q651" s="13">
        <f>ROUNDUP(O651/'Methodology &amp; Assumptions'!$B$6, 0)</f>
        <v/>
      </c>
      <c r="R651" s="13" t="n">
        <v>1</v>
      </c>
      <c r="S651" s="14" t="n">
        <v>39.26</v>
      </c>
      <c r="T651" s="14" t="n">
        <v>38.83</v>
      </c>
      <c r="U651" s="26">
        <f>IF(X651&gt;='Methodology &amp; Assumptions'!$B$7, "Tier 1 Critical GIDA (Score ≥ 50.0)", IF(X651&gt;='Methodology &amp; Assumptions'!$B$8, "Tier 2 High GIDA (Score 40.0–49.9)", "Tier 3 Moderate GIDA (Score &lt; 40.0)"))</f>
        <v/>
      </c>
      <c r="V651" s="26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W651" s="28" t="n">
        <v>0.174</v>
      </c>
      <c r="X651" s="14" t="n">
        <v>48.44</v>
      </c>
      <c r="Y651" s="14">
        <f>ROUND(MIN(100, (X651/69.91)*100), 2)</f>
        <v/>
      </c>
    </row>
    <row r="652">
      <c r="A652" s="10" t="n">
        <v>3</v>
      </c>
      <c r="B652" s="10" t="n">
        <v>648</v>
      </c>
      <c r="C652" s="10" t="n">
        <v>2648</v>
      </c>
      <c r="D652" s="10" t="inlineStr">
        <is>
          <t>1906605008</t>
        </is>
      </c>
      <c r="E652" s="26" t="inlineStr">
        <is>
          <t>Bangsamoro Autonomous Region In Muslim Mindanao (BARMM)</t>
        </is>
      </c>
      <c r="F652" s="26" t="inlineStr">
        <is>
          <t>Sulu</t>
        </is>
      </c>
      <c r="G652" s="26" t="inlineStr">
        <is>
          <t>Maimbung</t>
        </is>
      </c>
      <c r="H652" s="26" t="inlineStr">
        <is>
          <t>Gulangan</t>
        </is>
      </c>
      <c r="I652" s="27" t="n">
        <v>17.255334</v>
      </c>
      <c r="J652" s="27" t="n">
        <v>122.229378</v>
      </c>
      <c r="K652" s="10" t="inlineStr">
        <is>
          <t>R</t>
        </is>
      </c>
      <c r="L652" s="12" t="n">
        <v>1007</v>
      </c>
      <c r="M652" s="14" t="n">
        <v>6</v>
      </c>
      <c r="N652" s="12">
        <f>ROUND(L652/M652, 0)</f>
        <v/>
      </c>
      <c r="O652" s="12">
        <f>ROUND(N652*'Methodology &amp; Assumptions'!$B$5, 0)</f>
        <v/>
      </c>
      <c r="P652" s="10" t="inlineStr">
        <is>
          <t>Single Carrier (Band n50, 100MHz TDD)</t>
        </is>
      </c>
      <c r="Q652" s="13">
        <f>ROUNDUP(O652/'Methodology &amp; Assumptions'!$B$6, 0)</f>
        <v/>
      </c>
      <c r="R652" s="13" t="n">
        <v>1</v>
      </c>
      <c r="S652" s="14" t="n">
        <v>29.49</v>
      </c>
      <c r="T652" s="14" t="n">
        <v>34.36</v>
      </c>
      <c r="U652" s="26">
        <f>IF(X652&gt;='Methodology &amp; Assumptions'!$B$7, "Tier 1 Critical GIDA (Score ≥ 50.0)", IF(X652&gt;='Methodology &amp; Assumptions'!$B$8, "Tier 2 High GIDA (Score 40.0–49.9)", "Tier 3 Moderate GIDA (Score &lt; 40.0)"))</f>
        <v/>
      </c>
      <c r="V652" s="26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W652" s="28" t="n">
        <v>0.11</v>
      </c>
      <c r="X652" s="14" t="n">
        <v>48.44</v>
      </c>
      <c r="Y652" s="14">
        <f>ROUND(MIN(100, (X652/69.91)*100), 2)</f>
        <v/>
      </c>
    </row>
    <row r="653">
      <c r="A653" s="10" t="n">
        <v>3</v>
      </c>
      <c r="B653" s="10" t="n">
        <v>649</v>
      </c>
      <c r="C653" s="10" t="n">
        <v>2649</v>
      </c>
      <c r="D653" s="10" t="inlineStr">
        <is>
          <t>0806011022</t>
        </is>
      </c>
      <c r="E653" s="26" t="inlineStr">
        <is>
          <t>Region VIII (Eastern Visayas)</t>
        </is>
      </c>
      <c r="F653" s="26" t="inlineStr">
        <is>
          <t>Samar</t>
        </is>
      </c>
      <c r="G653" s="26" t="inlineStr">
        <is>
          <t>Matuguinao</t>
        </is>
      </c>
      <c r="H653" s="26" t="inlineStr">
        <is>
          <t>Inubod</t>
        </is>
      </c>
      <c r="I653" s="27" t="n">
        <v>12.144767</v>
      </c>
      <c r="J653" s="27" t="n">
        <v>124.885123</v>
      </c>
      <c r="K653" s="10" t="inlineStr">
        <is>
          <t>R</t>
        </is>
      </c>
      <c r="L653" s="12" t="n">
        <v>259</v>
      </c>
      <c r="M653" s="14" t="n">
        <v>4.1</v>
      </c>
      <c r="N653" s="12">
        <f>ROUND(L653/M653, 0)</f>
        <v/>
      </c>
      <c r="O653" s="12">
        <f>ROUND(N653*'Methodology &amp; Assumptions'!$B$5, 0)</f>
        <v/>
      </c>
      <c r="P653" s="10" t="inlineStr">
        <is>
          <t>Single Carrier (Band n50, 100MHz TDD)</t>
        </is>
      </c>
      <c r="Q653" s="13">
        <f>ROUNDUP(O653/'Methodology &amp; Assumptions'!$B$6, 0)</f>
        <v/>
      </c>
      <c r="R653" s="13" t="n">
        <v>1</v>
      </c>
      <c r="S653" s="14" t="n">
        <v>96.34999999999999</v>
      </c>
      <c r="T653" s="14" t="n">
        <v>96.3</v>
      </c>
      <c r="U653" s="26">
        <f>IF(X653&gt;='Methodology &amp; Assumptions'!$B$7, "Tier 1 Critical GIDA (Score ≥ 50.0)", IF(X653&gt;='Methodology &amp; Assumptions'!$B$8, "Tier 2 High GIDA (Score 40.0–49.9)", "Tier 3 Moderate GIDA (Score &lt; 40.0)"))</f>
        <v/>
      </c>
      <c r="V653" s="26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W653" s="28" t="n">
        <v>0.237</v>
      </c>
      <c r="X653" s="14" t="n">
        <v>48.44</v>
      </c>
      <c r="Y653" s="14">
        <f>ROUND(MIN(100, (X653/69.91)*100), 2)</f>
        <v/>
      </c>
    </row>
    <row r="654">
      <c r="A654" s="10" t="n">
        <v>3</v>
      </c>
      <c r="B654" s="10" t="n">
        <v>650</v>
      </c>
      <c r="C654" s="10" t="n">
        <v>2650</v>
      </c>
      <c r="D654" s="10" t="inlineStr">
        <is>
          <t>0806007055</t>
        </is>
      </c>
      <c r="E654" s="26" t="inlineStr">
        <is>
          <t>Region VIII (Eastern Visayas)</t>
        </is>
      </c>
      <c r="F654" s="26" t="inlineStr">
        <is>
          <t>Samar</t>
        </is>
      </c>
      <c r="G654" s="26" t="inlineStr">
        <is>
          <t>Gandara</t>
        </is>
      </c>
      <c r="H654" s="26" t="inlineStr">
        <is>
          <t>Nalihugan</t>
        </is>
      </c>
      <c r="I654" s="27" t="n">
        <v>12.072384</v>
      </c>
      <c r="J654" s="27" t="n">
        <v>124.817894</v>
      </c>
      <c r="K654" s="10" t="inlineStr">
        <is>
          <t>R</t>
        </is>
      </c>
      <c r="L654" s="12" t="n">
        <v>325</v>
      </c>
      <c r="M654" s="14" t="n">
        <v>4.1</v>
      </c>
      <c r="N654" s="12">
        <f>ROUND(L654/M654, 0)</f>
        <v/>
      </c>
      <c r="O654" s="12">
        <f>ROUND(N654*'Methodology &amp; Assumptions'!$B$5, 0)</f>
        <v/>
      </c>
      <c r="P654" s="10" t="inlineStr">
        <is>
          <t>Single Carrier (Band n50, 100MHz TDD)</t>
        </is>
      </c>
      <c r="Q654" s="13">
        <f>ROUNDUP(O654/'Methodology &amp; Assumptions'!$B$6, 0)</f>
        <v/>
      </c>
      <c r="R654" s="13" t="n">
        <v>1</v>
      </c>
      <c r="S654" s="14" t="n">
        <v>87.04000000000001</v>
      </c>
      <c r="T654" s="14" t="n">
        <v>87.01000000000001</v>
      </c>
      <c r="U654" s="26">
        <f>IF(X654&gt;='Methodology &amp; Assumptions'!$B$7, "Tier 1 Critical GIDA (Score ≥ 50.0)", IF(X654&gt;='Methodology &amp; Assumptions'!$B$8, "Tier 2 High GIDA (Score 40.0–49.9)", "Tier 3 Moderate GIDA (Score &lt; 40.0)"))</f>
        <v/>
      </c>
      <c r="V654" s="26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W654" s="28" t="n">
        <v>0.237</v>
      </c>
      <c r="X654" s="14" t="n">
        <v>48.44</v>
      </c>
      <c r="Y654" s="14">
        <f>ROUND(MIN(100, (X654/69.91)*100), 2)</f>
        <v/>
      </c>
    </row>
    <row r="655">
      <c r="A655" s="10" t="n">
        <v>3</v>
      </c>
      <c r="B655" s="10" t="n">
        <v>651</v>
      </c>
      <c r="C655" s="10" t="n">
        <v>2651</v>
      </c>
      <c r="D655" s="10" t="inlineStr">
        <is>
          <t>1381100104</t>
        </is>
      </c>
      <c r="E655" s="26" t="inlineStr">
        <is>
          <t>National Capital Region (NCR)</t>
        </is>
      </c>
      <c r="F655" s="26" t="inlineStr">
        <is>
          <t>Fourth District (Not a Province)</t>
        </is>
      </c>
      <c r="G655" s="26" t="inlineStr">
        <is>
          <t>Pasay City</t>
        </is>
      </c>
      <c r="H655" s="26" t="inlineStr">
        <is>
          <t>Barangay 104</t>
        </is>
      </c>
      <c r="I655" s="27" t="n">
        <v>14.544903</v>
      </c>
      <c r="J655" s="27" t="n">
        <v>121.001852</v>
      </c>
      <c r="K655" s="10" t="inlineStr">
        <is>
          <t>U</t>
        </is>
      </c>
      <c r="L655" s="12" t="n">
        <v>1159</v>
      </c>
      <c r="M655" s="14" t="n">
        <v>3.4</v>
      </c>
      <c r="N655" s="12">
        <f>ROUND(L655/M655, 0)</f>
        <v/>
      </c>
      <c r="O655" s="12">
        <f>ROUND(N655*'Methodology &amp; Assumptions'!$B$5, 0)</f>
        <v/>
      </c>
      <c r="P655" s="10" t="inlineStr">
        <is>
          <t>Single Carrier (Band n50, 100MHz TDD)</t>
        </is>
      </c>
      <c r="Q655" s="13">
        <f>ROUNDUP(O655/'Methodology &amp; Assumptions'!$B$6, 0)</f>
        <v/>
      </c>
      <c r="R655" s="13" t="n">
        <v>1</v>
      </c>
      <c r="S655" s="14" t="n">
        <v>0.8</v>
      </c>
      <c r="T655" s="14" t="n">
        <v>0.37</v>
      </c>
      <c r="U655" s="26">
        <f>IF(X655&gt;='Methodology &amp; Assumptions'!$B$7, "Tier 1 Critical GIDA (Score ≥ 50.0)", IF(X655&gt;='Methodology &amp; Assumptions'!$B$8, "Tier 2 High GIDA (Score 40.0–49.9)", "Tier 3 Moderate GIDA (Score &lt; 40.0)"))</f>
        <v/>
      </c>
      <c r="V655" s="26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W655" s="28" t="n">
        <v>0.109</v>
      </c>
      <c r="X655" s="14" t="n">
        <v>48.44</v>
      </c>
      <c r="Y655" s="14">
        <f>ROUND(MIN(100, (X655/69.91)*100), 2)</f>
        <v/>
      </c>
    </row>
    <row r="656">
      <c r="A656" s="10" t="n">
        <v>3</v>
      </c>
      <c r="B656" s="10" t="n">
        <v>652</v>
      </c>
      <c r="C656" s="10" t="n">
        <v>2652</v>
      </c>
      <c r="D656" s="10" t="inlineStr">
        <is>
          <t>0806007073</t>
        </is>
      </c>
      <c r="E656" s="26" t="inlineStr">
        <is>
          <t>Region VIII (Eastern Visayas)</t>
        </is>
      </c>
      <c r="F656" s="26" t="inlineStr">
        <is>
          <t>Samar</t>
        </is>
      </c>
      <c r="G656" s="26" t="inlineStr">
        <is>
          <t>Gandara</t>
        </is>
      </c>
      <c r="H656" s="26" t="inlineStr">
        <is>
          <t>San Enrique</t>
        </is>
      </c>
      <c r="I656" s="27" t="n">
        <v>12.044102</v>
      </c>
      <c r="J656" s="27" t="n">
        <v>124.80952</v>
      </c>
      <c r="K656" s="10" t="inlineStr">
        <is>
          <t>R</t>
        </is>
      </c>
      <c r="L656" s="12" t="n">
        <v>122</v>
      </c>
      <c r="M656" s="14" t="n">
        <v>4.1</v>
      </c>
      <c r="N656" s="12">
        <f>ROUND(L656/M656, 0)</f>
        <v/>
      </c>
      <c r="O656" s="12">
        <f>ROUND(N656*'Methodology &amp; Assumptions'!$B$5, 0)</f>
        <v/>
      </c>
      <c r="P656" s="10" t="inlineStr">
        <is>
          <t>Single Carrier (Band n50, 100MHz TDD)</t>
        </is>
      </c>
      <c r="Q656" s="13">
        <f>ROUNDUP(O656/'Methodology &amp; Assumptions'!$B$6, 0)</f>
        <v/>
      </c>
      <c r="R656" s="13" t="n">
        <v>1</v>
      </c>
      <c r="S656" s="14" t="n">
        <v>83.79000000000001</v>
      </c>
      <c r="T656" s="14" t="n">
        <v>83.76000000000001</v>
      </c>
      <c r="U656" s="26">
        <f>IF(X656&gt;='Methodology &amp; Assumptions'!$B$7, "Tier 1 Critical GIDA (Score ≥ 50.0)", IF(X656&gt;='Methodology &amp; Assumptions'!$B$8, "Tier 2 High GIDA (Score 40.0–49.9)", "Tier 3 Moderate GIDA (Score &lt; 40.0)"))</f>
        <v/>
      </c>
      <c r="V656" s="26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W656" s="28" t="n">
        <v>0.237</v>
      </c>
      <c r="X656" s="14" t="n">
        <v>48.44</v>
      </c>
      <c r="Y656" s="14">
        <f>ROUND(MIN(100, (X656/69.91)*100), 2)</f>
        <v/>
      </c>
    </row>
    <row r="657">
      <c r="A657" s="10" t="n">
        <v>3</v>
      </c>
      <c r="B657" s="10" t="n">
        <v>653</v>
      </c>
      <c r="C657" s="10" t="n">
        <v>2653</v>
      </c>
      <c r="D657" s="10" t="inlineStr">
        <is>
          <t>1380606220</t>
        </is>
      </c>
      <c r="E657" s="26" t="inlineStr">
        <is>
          <t>National Capital Region (NCR)</t>
        </is>
      </c>
      <c r="F657" s="26" t="inlineStr">
        <is>
          <t>First District (Not a Province)</t>
        </is>
      </c>
      <c r="G657" s="26" t="inlineStr">
        <is>
          <t>City of Manila</t>
        </is>
      </c>
      <c r="H657" s="26" t="inlineStr">
        <is>
          <t>Barangay 613</t>
        </is>
      </c>
      <c r="I657" s="27" t="n">
        <v>13.504903</v>
      </c>
      <c r="J657" s="27" t="n">
        <v>121.074101</v>
      </c>
      <c r="K657" s="10" t="inlineStr">
        <is>
          <t>U</t>
        </is>
      </c>
      <c r="L657" s="12" t="n">
        <v>585</v>
      </c>
      <c r="M657" s="14" t="n">
        <v>3.9</v>
      </c>
      <c r="N657" s="12">
        <f>ROUND(L657/M657, 0)</f>
        <v/>
      </c>
      <c r="O657" s="12">
        <f>ROUND(N657*'Methodology &amp; Assumptions'!$B$5, 0)</f>
        <v/>
      </c>
      <c r="P657" s="10" t="inlineStr">
        <is>
          <t>Single Carrier (Band n50, 100MHz TDD)</t>
        </is>
      </c>
      <c r="Q657" s="13">
        <f>ROUNDUP(O657/'Methodology &amp; Assumptions'!$B$6, 0)</f>
        <v/>
      </c>
      <c r="R657" s="13" t="n">
        <v>1</v>
      </c>
      <c r="S657" s="14" t="n">
        <v>9.710000000000001</v>
      </c>
      <c r="T657" s="14" t="n">
        <v>9.51</v>
      </c>
      <c r="U657" s="26">
        <f>IF(X657&gt;='Methodology &amp; Assumptions'!$B$7, "Tier 1 Critical GIDA (Score ≥ 50.0)", IF(X657&gt;='Methodology &amp; Assumptions'!$B$8, "Tier 2 High GIDA (Score 40.0–49.9)", "Tier 3 Moderate GIDA (Score &lt; 40.0)"))</f>
        <v/>
      </c>
      <c r="V657" s="26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W657" s="28" t="n">
        <v>0.109</v>
      </c>
      <c r="X657" s="14" t="n">
        <v>48.44</v>
      </c>
      <c r="Y657" s="14">
        <f>ROUND(MIN(100, (X657/69.91)*100), 2)</f>
        <v/>
      </c>
    </row>
    <row r="658">
      <c r="A658" s="10" t="n">
        <v>3</v>
      </c>
      <c r="B658" s="10" t="n">
        <v>654</v>
      </c>
      <c r="C658" s="10" t="n">
        <v>2654</v>
      </c>
      <c r="D658" s="10" t="inlineStr">
        <is>
          <t>1381100165</t>
        </is>
      </c>
      <c r="E658" s="26" t="inlineStr">
        <is>
          <t>National Capital Region (NCR)</t>
        </is>
      </c>
      <c r="F658" s="26" t="inlineStr">
        <is>
          <t>Fourth District (Not a Province)</t>
        </is>
      </c>
      <c r="G658" s="26" t="inlineStr">
        <is>
          <t>Pasay City</t>
        </is>
      </c>
      <c r="H658" s="26" t="inlineStr">
        <is>
          <t>Barangay 165</t>
        </is>
      </c>
      <c r="I658" s="27" t="n">
        <v>14.663887</v>
      </c>
      <c r="J658" s="27" t="n">
        <v>121.169273</v>
      </c>
      <c r="K658" s="10" t="inlineStr">
        <is>
          <t>U</t>
        </is>
      </c>
      <c r="L658" s="12" t="n">
        <v>5628</v>
      </c>
      <c r="M658" s="14" t="n">
        <v>3.4</v>
      </c>
      <c r="N658" s="12">
        <f>ROUND(L658/M658, 0)</f>
        <v/>
      </c>
      <c r="O658" s="12">
        <f>ROUND(N658*'Methodology &amp; Assumptions'!$B$5, 0)</f>
        <v/>
      </c>
      <c r="P658" s="10" t="inlineStr">
        <is>
          <t>Single Carrier (Band n50, 100MHz TDD)</t>
        </is>
      </c>
      <c r="Q658" s="13">
        <f>ROUNDUP(O658/'Methodology &amp; Assumptions'!$B$6, 0)</f>
        <v/>
      </c>
      <c r="R658" s="13" t="n">
        <v>1</v>
      </c>
      <c r="S658" s="14" t="n">
        <v>4.77</v>
      </c>
      <c r="T658" s="14" t="n">
        <v>3.94</v>
      </c>
      <c r="U658" s="26">
        <f>IF(X658&gt;='Methodology &amp; Assumptions'!$B$7, "Tier 1 Critical GIDA (Score ≥ 50.0)", IF(X658&gt;='Methodology &amp; Assumptions'!$B$8, "Tier 2 High GIDA (Score 40.0–49.9)", "Tier 3 Moderate GIDA (Score &lt; 40.0)"))</f>
        <v/>
      </c>
      <c r="V658" s="26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W658" s="28" t="n">
        <v>0.109</v>
      </c>
      <c r="X658" s="14" t="n">
        <v>48.44</v>
      </c>
      <c r="Y658" s="14">
        <f>ROUND(MIN(100, (X658/69.91)*100), 2)</f>
        <v/>
      </c>
    </row>
    <row r="659">
      <c r="A659" s="10" t="n">
        <v>3</v>
      </c>
      <c r="B659" s="10" t="n">
        <v>655</v>
      </c>
      <c r="C659" s="10" t="n">
        <v>2655</v>
      </c>
      <c r="D659" s="10" t="inlineStr">
        <is>
          <t>0804809012</t>
        </is>
      </c>
      <c r="E659" s="26" t="inlineStr">
        <is>
          <t>Region VIII (Eastern Visayas)</t>
        </is>
      </c>
      <c r="F659" s="26" t="inlineStr">
        <is>
          <t>Northern Samar</t>
        </is>
      </c>
      <c r="G659" s="26" t="inlineStr">
        <is>
          <t>Lapinig</t>
        </is>
      </c>
      <c r="H659" s="26" t="inlineStr">
        <is>
          <t>Palanas</t>
        </is>
      </c>
      <c r="I659" s="27" t="n">
        <v>12.279541</v>
      </c>
      <c r="J659" s="27" t="n">
        <v>125.306282</v>
      </c>
      <c r="K659" s="10" t="inlineStr">
        <is>
          <t>R</t>
        </is>
      </c>
      <c r="L659" s="12" t="n">
        <v>267</v>
      </c>
      <c r="M659" s="14" t="n">
        <v>4.3</v>
      </c>
      <c r="N659" s="12">
        <f>ROUND(L659/M659, 0)</f>
        <v/>
      </c>
      <c r="O659" s="12">
        <f>ROUND(N659*'Methodology &amp; Assumptions'!$B$5, 0)</f>
        <v/>
      </c>
      <c r="P659" s="10" t="inlineStr">
        <is>
          <t>Single Carrier (Band n50, 100MHz TDD)</t>
        </is>
      </c>
      <c r="Q659" s="13">
        <f>ROUNDUP(O659/'Methodology &amp; Assumptions'!$B$6, 0)</f>
        <v/>
      </c>
      <c r="R659" s="13" t="n">
        <v>1</v>
      </c>
      <c r="S659" s="14" t="n">
        <v>120.27</v>
      </c>
      <c r="T659" s="14" t="n">
        <v>122.98</v>
      </c>
      <c r="U659" s="26">
        <f>IF(X659&gt;='Methodology &amp; Assumptions'!$B$7, "Tier 1 Critical GIDA (Score ≥ 50.0)", IF(X659&gt;='Methodology &amp; Assumptions'!$B$8, "Tier 2 High GIDA (Score 40.0–49.9)", "Tier 3 Moderate GIDA (Score &lt; 40.0)"))</f>
        <v/>
      </c>
      <c r="V659" s="26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W659" s="28" t="n">
        <v>0.237</v>
      </c>
      <c r="X659" s="14" t="n">
        <v>48.43</v>
      </c>
      <c r="Y659" s="14">
        <f>ROUND(MIN(100, (X659/69.91)*100), 2)</f>
        <v/>
      </c>
    </row>
    <row r="660">
      <c r="A660" s="10" t="n">
        <v>3</v>
      </c>
      <c r="B660" s="10" t="n">
        <v>656</v>
      </c>
      <c r="C660" s="10" t="n">
        <v>2656</v>
      </c>
      <c r="D660" s="10" t="inlineStr">
        <is>
          <t>1380606189</t>
        </is>
      </c>
      <c r="E660" s="26" t="inlineStr">
        <is>
          <t>National Capital Region (NCR)</t>
        </is>
      </c>
      <c r="F660" s="26" t="inlineStr">
        <is>
          <t>First District (Not a Province)</t>
        </is>
      </c>
      <c r="G660" s="26" t="inlineStr">
        <is>
          <t>City of Manila</t>
        </is>
      </c>
      <c r="H660" s="26" t="inlineStr">
        <is>
          <t>Barangay 583</t>
        </is>
      </c>
      <c r="I660" s="27" t="n">
        <v>12.252673</v>
      </c>
      <c r="J660" s="27" t="n">
        <v>121.07206</v>
      </c>
      <c r="K660" s="10" t="inlineStr">
        <is>
          <t>U</t>
        </is>
      </c>
      <c r="L660" s="12" t="n">
        <v>1317</v>
      </c>
      <c r="M660" s="14" t="n">
        <v>3.9</v>
      </c>
      <c r="N660" s="12">
        <f>ROUND(L660/M660, 0)</f>
        <v/>
      </c>
      <c r="O660" s="12">
        <f>ROUND(N660*'Methodology &amp; Assumptions'!$B$5, 0)</f>
        <v/>
      </c>
      <c r="P660" s="10" t="inlineStr">
        <is>
          <t>Single Carrier (Band n50, 100MHz TDD)</t>
        </is>
      </c>
      <c r="Q660" s="13">
        <f>ROUNDUP(O660/'Methodology &amp; Assumptions'!$B$6, 0)</f>
        <v/>
      </c>
      <c r="R660" s="13" t="n">
        <v>1</v>
      </c>
      <c r="S660" s="14" t="n">
        <v>10.5</v>
      </c>
      <c r="T660" s="14" t="n">
        <v>10.33</v>
      </c>
      <c r="U660" s="26">
        <f>IF(X660&gt;='Methodology &amp; Assumptions'!$B$7, "Tier 1 Critical GIDA (Score ≥ 50.0)", IF(X660&gt;='Methodology &amp; Assumptions'!$B$8, "Tier 2 High GIDA (Score 40.0–49.9)", "Tier 3 Moderate GIDA (Score &lt; 40.0)"))</f>
        <v/>
      </c>
      <c r="V660" s="26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W660" s="28" t="n">
        <v>0.109</v>
      </c>
      <c r="X660" s="14" t="n">
        <v>48.43</v>
      </c>
      <c r="Y660" s="14">
        <f>ROUND(MIN(100, (X660/69.91)*100), 2)</f>
        <v/>
      </c>
    </row>
    <row r="661">
      <c r="A661" s="10" t="n">
        <v>3</v>
      </c>
      <c r="B661" s="10" t="n">
        <v>657</v>
      </c>
      <c r="C661" s="10" t="n">
        <v>2657</v>
      </c>
      <c r="D661" s="10" t="inlineStr">
        <is>
          <t>PH0002657</t>
        </is>
      </c>
      <c r="E661" s="26" t="inlineStr">
        <is>
          <t>IV-A</t>
        </is>
      </c>
      <c r="F661" s="26" t="inlineStr">
        <is>
          <t>Laguna</t>
        </is>
      </c>
      <c r="G661" s="26" t="inlineStr">
        <is>
          <t>San Pablo City</t>
        </is>
      </c>
      <c r="H661" s="26" t="inlineStr">
        <is>
          <t>Barangay I-B (Pob.)</t>
        </is>
      </c>
      <c r="I661" s="27" t="n">
        <v>14.06908</v>
      </c>
      <c r="J661" s="27" t="n">
        <v>121.316098</v>
      </c>
      <c r="K661" s="10" t="inlineStr">
        <is>
          <t>R</t>
        </is>
      </c>
      <c r="L661" s="12" t="n">
        <v>2412</v>
      </c>
      <c r="M661" s="14" t="n">
        <v>3.3</v>
      </c>
      <c r="N661" s="12">
        <f>ROUND(L661/M661, 0)</f>
        <v/>
      </c>
      <c r="O661" s="12">
        <f>ROUND(N661*'Methodology &amp; Assumptions'!$B$5, 0)</f>
        <v/>
      </c>
      <c r="P661" s="10" t="inlineStr">
        <is>
          <t>Single Carrier (Band n50, 100MHz TDD)</t>
        </is>
      </c>
      <c r="Q661" s="13">
        <f>ROUNDUP(O661/'Methodology &amp; Assumptions'!$B$6, 0)</f>
        <v/>
      </c>
      <c r="R661" s="13" t="n">
        <v>1</v>
      </c>
      <c r="S661" s="14" t="n">
        <v>1.33</v>
      </c>
      <c r="T661" s="14" t="n">
        <v>0.45</v>
      </c>
      <c r="U661" s="26">
        <f>IF(X661&gt;='Methodology &amp; Assumptions'!$B$7, "Tier 1 Critical GIDA (Score ≥ 50.0)", IF(X661&gt;='Methodology &amp; Assumptions'!$B$8, "Tier 2 High GIDA (Score 40.0–49.9)", "Tier 3 Moderate GIDA (Score &lt; 40.0)"))</f>
        <v/>
      </c>
      <c r="V661" s="26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W661" s="28" t="n">
        <v>0.07200000000000001</v>
      </c>
      <c r="X661" s="14" t="n">
        <v>48.43</v>
      </c>
      <c r="Y661" s="14">
        <f>ROUND(MIN(100, (X661/69.91)*100), 2)</f>
        <v/>
      </c>
    </row>
    <row r="662">
      <c r="A662" s="10" t="n">
        <v>3</v>
      </c>
      <c r="B662" s="10" t="n">
        <v>658</v>
      </c>
      <c r="C662" s="10" t="n">
        <v>2658</v>
      </c>
      <c r="D662" s="10" t="inlineStr">
        <is>
          <t>1380614050</t>
        </is>
      </c>
      <c r="E662" s="26" t="inlineStr">
        <is>
          <t>National Capital Region (NCR)</t>
        </is>
      </c>
      <c r="F662" s="26" t="inlineStr">
        <is>
          <t>First District (Not a Province)</t>
        </is>
      </c>
      <c r="G662" s="26" t="inlineStr">
        <is>
          <t>City of Manila</t>
        </is>
      </c>
      <c r="H662" s="26" t="inlineStr">
        <is>
          <t>Barangay 794</t>
        </is>
      </c>
      <c r="I662" s="27" t="n">
        <v>13.80563</v>
      </c>
      <c r="J662" s="27" t="n">
        <v>121.857099</v>
      </c>
      <c r="K662" s="10" t="inlineStr">
        <is>
          <t>U</t>
        </is>
      </c>
      <c r="L662" s="12" t="n">
        <v>732</v>
      </c>
      <c r="M662" s="14" t="n">
        <v>3.9</v>
      </c>
      <c r="N662" s="12">
        <f>ROUND(L662/M662, 0)</f>
        <v/>
      </c>
      <c r="O662" s="12">
        <f>ROUND(N662*'Methodology &amp; Assumptions'!$B$5, 0)</f>
        <v/>
      </c>
      <c r="P662" s="10" t="inlineStr">
        <is>
          <t>Single Carrier (Band n50, 100MHz TDD)</t>
        </is>
      </c>
      <c r="Q662" s="13">
        <f>ROUNDUP(O662/'Methodology &amp; Assumptions'!$B$6, 0)</f>
        <v/>
      </c>
      <c r="R662" s="13" t="n">
        <v>1</v>
      </c>
      <c r="S662" s="14" t="n">
        <v>9.98</v>
      </c>
      <c r="T662" s="14" t="n">
        <v>9.699999999999999</v>
      </c>
      <c r="U662" s="26">
        <f>IF(X662&gt;='Methodology &amp; Assumptions'!$B$7, "Tier 1 Critical GIDA (Score ≥ 50.0)", IF(X662&gt;='Methodology &amp; Assumptions'!$B$8, "Tier 2 High GIDA (Score 40.0–49.9)", "Tier 3 Moderate GIDA (Score &lt; 40.0)"))</f>
        <v/>
      </c>
      <c r="V662" s="26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W662" s="28" t="n">
        <v>0.109</v>
      </c>
      <c r="X662" s="14" t="n">
        <v>48.43</v>
      </c>
      <c r="Y662" s="14">
        <f>ROUND(MIN(100, (X662/69.91)*100), 2)</f>
        <v/>
      </c>
    </row>
    <row r="663">
      <c r="A663" s="10" t="n">
        <v>3</v>
      </c>
      <c r="B663" s="10" t="n">
        <v>659</v>
      </c>
      <c r="C663" s="10" t="n">
        <v>2659</v>
      </c>
      <c r="D663" s="10" t="inlineStr">
        <is>
          <t>1380601215</t>
        </is>
      </c>
      <c r="E663" s="26" t="inlineStr">
        <is>
          <t>National Capital Region (NCR)</t>
        </is>
      </c>
      <c r="F663" s="26" t="inlineStr">
        <is>
          <t>First District (Not a Province)</t>
        </is>
      </c>
      <c r="G663" s="26" t="inlineStr">
        <is>
          <t>City of Manila</t>
        </is>
      </c>
      <c r="H663" s="26" t="inlineStr">
        <is>
          <t>Barangay 214</t>
        </is>
      </c>
      <c r="I663" s="27" t="n">
        <v>12.141234</v>
      </c>
      <c r="J663" s="27" t="n">
        <v>122.35527</v>
      </c>
      <c r="K663" s="10" t="inlineStr">
        <is>
          <t>U</t>
        </is>
      </c>
      <c r="L663" s="12" t="n">
        <v>1625</v>
      </c>
      <c r="M663" s="14" t="n">
        <v>3.9</v>
      </c>
      <c r="N663" s="12">
        <f>ROUND(L663/M663, 0)</f>
        <v/>
      </c>
      <c r="O663" s="12">
        <f>ROUND(N663*'Methodology &amp; Assumptions'!$B$5, 0)</f>
        <v/>
      </c>
      <c r="P663" s="10" t="inlineStr">
        <is>
          <t>Single Carrier (Band n50, 100MHz TDD)</t>
        </is>
      </c>
      <c r="Q663" s="13">
        <f>ROUNDUP(O663/'Methodology &amp; Assumptions'!$B$6, 0)</f>
        <v/>
      </c>
      <c r="R663" s="13" t="n">
        <v>1</v>
      </c>
      <c r="S663" s="14" t="n">
        <v>47.76</v>
      </c>
      <c r="T663" s="14" t="n">
        <v>18.9</v>
      </c>
      <c r="U663" s="26">
        <f>IF(X663&gt;='Methodology &amp; Assumptions'!$B$7, "Tier 1 Critical GIDA (Score ≥ 50.0)", IF(X663&gt;='Methodology &amp; Assumptions'!$B$8, "Tier 2 High GIDA (Score 40.0–49.9)", "Tier 3 Moderate GIDA (Score &lt; 40.0)"))</f>
        <v/>
      </c>
      <c r="V663" s="26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W663" s="28" t="n">
        <v>0.109</v>
      </c>
      <c r="X663" s="14" t="n">
        <v>48.43</v>
      </c>
      <c r="Y663" s="14">
        <f>ROUND(MIN(100, (X663/69.91)*100), 2)</f>
        <v/>
      </c>
    </row>
    <row r="664">
      <c r="A664" s="10" t="n">
        <v>3</v>
      </c>
      <c r="B664" s="10" t="n">
        <v>660</v>
      </c>
      <c r="C664" s="10" t="n">
        <v>2660</v>
      </c>
      <c r="D664" s="10" t="inlineStr">
        <is>
          <t>1381100112</t>
        </is>
      </c>
      <c r="E664" s="26" t="inlineStr">
        <is>
          <t>National Capital Region (NCR)</t>
        </is>
      </c>
      <c r="F664" s="26" t="inlineStr">
        <is>
          <t>Fourth District (Not a Province)</t>
        </is>
      </c>
      <c r="G664" s="26" t="inlineStr">
        <is>
          <t>Pasay City</t>
        </is>
      </c>
      <c r="H664" s="26" t="inlineStr">
        <is>
          <t>Barangay 112</t>
        </is>
      </c>
      <c r="I664" s="27" t="n">
        <v>14.340658</v>
      </c>
      <c r="J664" s="27" t="n">
        <v>120.967233</v>
      </c>
      <c r="K664" s="10" t="inlineStr">
        <is>
          <t>U</t>
        </is>
      </c>
      <c r="L664" s="12" t="n">
        <v>658</v>
      </c>
      <c r="M664" s="14" t="n">
        <v>3.4</v>
      </c>
      <c r="N664" s="12">
        <f>ROUND(L664/M664, 0)</f>
        <v/>
      </c>
      <c r="O664" s="12">
        <f>ROUND(N664*'Methodology &amp; Assumptions'!$B$5, 0)</f>
        <v/>
      </c>
      <c r="P664" s="10" t="inlineStr">
        <is>
          <t>Single Carrier (Band n50, 100MHz TDD)</t>
        </is>
      </c>
      <c r="Q664" s="13">
        <f>ROUNDUP(O664/'Methodology &amp; Assumptions'!$B$6, 0)</f>
        <v/>
      </c>
      <c r="R664" s="13" t="n">
        <v>1</v>
      </c>
      <c r="S664" s="14" t="n">
        <v>2.84</v>
      </c>
      <c r="T664" s="14" t="n">
        <v>4.58</v>
      </c>
      <c r="U664" s="26">
        <f>IF(X664&gt;='Methodology &amp; Assumptions'!$B$7, "Tier 1 Critical GIDA (Score ≥ 50.0)", IF(X664&gt;='Methodology &amp; Assumptions'!$B$8, "Tier 2 High GIDA (Score 40.0–49.9)", "Tier 3 Moderate GIDA (Score &lt; 40.0)"))</f>
        <v/>
      </c>
      <c r="V664" s="26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W664" s="28" t="n">
        <v>0.109</v>
      </c>
      <c r="X664" s="14" t="n">
        <v>48.43</v>
      </c>
      <c r="Y664" s="14">
        <f>ROUND(MIN(100, (X664/69.91)*100), 2)</f>
        <v/>
      </c>
    </row>
    <row r="665">
      <c r="A665" s="10" t="n">
        <v>3</v>
      </c>
      <c r="B665" s="10" t="n">
        <v>661</v>
      </c>
      <c r="C665" s="10" t="n">
        <v>2661</v>
      </c>
      <c r="D665" s="10" t="inlineStr">
        <is>
          <t>1380611012</t>
        </is>
      </c>
      <c r="E665" s="26" t="inlineStr">
        <is>
          <t>National Capital Region (NCR)</t>
        </is>
      </c>
      <c r="F665" s="26" t="inlineStr">
        <is>
          <t>First District (Not a Province)</t>
        </is>
      </c>
      <c r="G665" s="26" t="inlineStr">
        <is>
          <t>City of Manila</t>
        </is>
      </c>
      <c r="H665" s="26" t="inlineStr">
        <is>
          <t>Barangay 678</t>
        </is>
      </c>
      <c r="I665" s="27" t="n">
        <v>13.041569</v>
      </c>
      <c r="J665" s="27" t="n">
        <v>120.832303</v>
      </c>
      <c r="K665" s="10" t="inlineStr">
        <is>
          <t>U</t>
        </is>
      </c>
      <c r="L665" s="12" t="n">
        <v>1333</v>
      </c>
      <c r="M665" s="14" t="n">
        <v>3.9</v>
      </c>
      <c r="N665" s="12">
        <f>ROUND(L665/M665, 0)</f>
        <v/>
      </c>
      <c r="O665" s="12">
        <f>ROUND(N665*'Methodology &amp; Assumptions'!$B$5, 0)</f>
        <v/>
      </c>
      <c r="P665" s="10" t="inlineStr">
        <is>
          <t>Single Carrier (Band n50, 100MHz TDD)</t>
        </is>
      </c>
      <c r="Q665" s="13">
        <f>ROUNDUP(O665/'Methodology &amp; Assumptions'!$B$6, 0)</f>
        <v/>
      </c>
      <c r="R665" s="13" t="n">
        <v>1</v>
      </c>
      <c r="S665" s="14" t="n">
        <v>45.43</v>
      </c>
      <c r="T665" s="14" t="n">
        <v>44.53</v>
      </c>
      <c r="U665" s="26">
        <f>IF(X665&gt;='Methodology &amp; Assumptions'!$B$7, "Tier 1 Critical GIDA (Score ≥ 50.0)", IF(X665&gt;='Methodology &amp; Assumptions'!$B$8, "Tier 2 High GIDA (Score 40.0–49.9)", "Tier 3 Moderate GIDA (Score &lt; 40.0)"))</f>
        <v/>
      </c>
      <c r="V665" s="26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W665" s="28" t="n">
        <v>0.109</v>
      </c>
      <c r="X665" s="14" t="n">
        <v>48.43</v>
      </c>
      <c r="Y665" s="14">
        <f>ROUND(MIN(100, (X665/69.91)*100), 2)</f>
        <v/>
      </c>
    </row>
    <row r="666">
      <c r="A666" s="10" t="n">
        <v>3</v>
      </c>
      <c r="B666" s="10" t="n">
        <v>662</v>
      </c>
      <c r="C666" s="10" t="n">
        <v>2662</v>
      </c>
      <c r="D666" s="10" t="inlineStr">
        <is>
          <t>1908824007</t>
        </is>
      </c>
      <c r="E666" s="26" t="inlineStr">
        <is>
          <t>Bangsamoro Autonomous Region In Muslim Mindanao (BARMM)</t>
        </is>
      </c>
      <c r="F666" s="26" t="inlineStr">
        <is>
          <t>Maguindanao del Sur</t>
        </is>
      </c>
      <c r="G666" s="26" t="inlineStr">
        <is>
          <t>Talayan</t>
        </is>
      </c>
      <c r="H666" s="26" t="inlineStr">
        <is>
          <t>Katibpuan</t>
        </is>
      </c>
      <c r="I666" s="27" t="n">
        <v>17.255051</v>
      </c>
      <c r="J666" s="27" t="n">
        <v>122.229095</v>
      </c>
      <c r="K666" s="10" t="inlineStr">
        <is>
          <t>R</t>
        </is>
      </c>
      <c r="L666" s="12" t="n">
        <v>3559</v>
      </c>
      <c r="M666" s="14" t="n">
        <v>4.7</v>
      </c>
      <c r="N666" s="12">
        <f>ROUND(L666/M666, 0)</f>
        <v/>
      </c>
      <c r="O666" s="12">
        <f>ROUND(N666*'Methodology &amp; Assumptions'!$B$5, 0)</f>
        <v/>
      </c>
      <c r="P666" s="10" t="inlineStr">
        <is>
          <t>Single Carrier (Band n50, 100MHz TDD)</t>
        </is>
      </c>
      <c r="Q666" s="13">
        <f>ROUNDUP(O666/'Methodology &amp; Assumptions'!$B$6, 0)</f>
        <v/>
      </c>
      <c r="R666" s="13" t="n">
        <v>1</v>
      </c>
      <c r="S666" s="14" t="n">
        <v>29.45</v>
      </c>
      <c r="T666" s="14" t="n">
        <v>34.33</v>
      </c>
      <c r="U666" s="26">
        <f>IF(X666&gt;='Methodology &amp; Assumptions'!$B$7, "Tier 1 Critical GIDA (Score ≥ 50.0)", IF(X666&gt;='Methodology &amp; Assumptions'!$B$8, "Tier 2 High GIDA (Score 40.0–49.9)", "Tier 3 Moderate GIDA (Score &lt; 40.0)"))</f>
        <v/>
      </c>
      <c r="V666" s="26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W666" s="28" t="n">
        <v>0.11</v>
      </c>
      <c r="X666" s="14" t="n">
        <v>48.43</v>
      </c>
      <c r="Y666" s="14">
        <f>ROUND(MIN(100, (X666/69.91)*100), 2)</f>
        <v/>
      </c>
    </row>
    <row r="667">
      <c r="A667" s="10" t="n">
        <v>3</v>
      </c>
      <c r="B667" s="10" t="n">
        <v>663</v>
      </c>
      <c r="C667" s="10" t="n">
        <v>2663</v>
      </c>
      <c r="D667" s="10" t="inlineStr">
        <is>
          <t>1380614075</t>
        </is>
      </c>
      <c r="E667" s="26" t="inlineStr">
        <is>
          <t>National Capital Region (NCR)</t>
        </is>
      </c>
      <c r="F667" s="26" t="inlineStr">
        <is>
          <t>First District (Not a Province)</t>
        </is>
      </c>
      <c r="G667" s="26" t="inlineStr">
        <is>
          <t>City of Manila</t>
        </is>
      </c>
      <c r="H667" s="26" t="inlineStr">
        <is>
          <t>Barangay 882</t>
        </is>
      </c>
      <c r="I667" s="27" t="n">
        <v>13.381278</v>
      </c>
      <c r="J667" s="27" t="n">
        <v>122.581639</v>
      </c>
      <c r="K667" s="10" t="inlineStr">
        <is>
          <t>U</t>
        </is>
      </c>
      <c r="L667" s="12" t="n">
        <v>1337</v>
      </c>
      <c r="M667" s="14" t="n">
        <v>3.9</v>
      </c>
      <c r="N667" s="12">
        <f>ROUND(L667/M667, 0)</f>
        <v/>
      </c>
      <c r="O667" s="12">
        <f>ROUND(N667*'Methodology &amp; Assumptions'!$B$5, 0)</f>
        <v/>
      </c>
      <c r="P667" s="10" t="inlineStr">
        <is>
          <t>Single Carrier (Band n50, 100MHz TDD)</t>
        </is>
      </c>
      <c r="Q667" s="13">
        <f>ROUNDUP(O667/'Methodology &amp; Assumptions'!$B$6, 0)</f>
        <v/>
      </c>
      <c r="R667" s="13" t="n">
        <v>1</v>
      </c>
      <c r="S667" s="14" t="n">
        <v>7.83</v>
      </c>
      <c r="T667" s="14" t="n">
        <v>20.73</v>
      </c>
      <c r="U667" s="26">
        <f>IF(X667&gt;='Methodology &amp; Assumptions'!$B$7, "Tier 1 Critical GIDA (Score ≥ 50.0)", IF(X667&gt;='Methodology &amp; Assumptions'!$B$8, "Tier 2 High GIDA (Score 40.0–49.9)", "Tier 3 Moderate GIDA (Score &lt; 40.0)"))</f>
        <v/>
      </c>
      <c r="V667" s="26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W667" s="28" t="n">
        <v>0.109</v>
      </c>
      <c r="X667" s="14" t="n">
        <v>48.43</v>
      </c>
      <c r="Y667" s="14">
        <f>ROUND(MIN(100, (X667/69.91)*100), 2)</f>
        <v/>
      </c>
    </row>
    <row r="668">
      <c r="A668" s="10" t="n">
        <v>3</v>
      </c>
      <c r="B668" s="10" t="n">
        <v>664</v>
      </c>
      <c r="C668" s="10" t="n">
        <v>2664</v>
      </c>
      <c r="D668" s="10" t="inlineStr">
        <is>
          <t>1380606229</t>
        </is>
      </c>
      <c r="E668" s="26" t="inlineStr">
        <is>
          <t>National Capital Region (NCR)</t>
        </is>
      </c>
      <c r="F668" s="26" t="inlineStr">
        <is>
          <t>First District (Not a Province)</t>
        </is>
      </c>
      <c r="G668" s="26" t="inlineStr">
        <is>
          <t>City of Manila</t>
        </is>
      </c>
      <c r="H668" s="26" t="inlineStr">
        <is>
          <t>Barangay 622</t>
        </is>
      </c>
      <c r="I668" s="27" t="n">
        <v>11.976689</v>
      </c>
      <c r="J668" s="27" t="n">
        <v>121.525794</v>
      </c>
      <c r="K668" s="10" t="inlineStr">
        <is>
          <t>U</t>
        </is>
      </c>
      <c r="L668" s="12" t="n">
        <v>1233</v>
      </c>
      <c r="M668" s="14" t="n">
        <v>3.9</v>
      </c>
      <c r="N668" s="12">
        <f>ROUND(L668/M668, 0)</f>
        <v/>
      </c>
      <c r="O668" s="12">
        <f>ROUND(N668*'Methodology &amp; Assumptions'!$B$5, 0)</f>
        <v/>
      </c>
      <c r="P668" s="10" t="inlineStr">
        <is>
          <t>Single Carrier (Band n50, 100MHz TDD)</t>
        </is>
      </c>
      <c r="Q668" s="13">
        <f>ROUNDUP(O668/'Methodology &amp; Assumptions'!$B$6, 0)</f>
        <v/>
      </c>
      <c r="R668" s="13" t="n">
        <v>1</v>
      </c>
      <c r="S668" s="14" t="n">
        <v>44.13</v>
      </c>
      <c r="T668" s="14" t="n">
        <v>37.74</v>
      </c>
      <c r="U668" s="26">
        <f>IF(X668&gt;='Methodology &amp; Assumptions'!$B$7, "Tier 1 Critical GIDA (Score ≥ 50.0)", IF(X668&gt;='Methodology &amp; Assumptions'!$B$8, "Tier 2 High GIDA (Score 40.0–49.9)", "Tier 3 Moderate GIDA (Score &lt; 40.0)"))</f>
        <v/>
      </c>
      <c r="V668" s="26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W668" s="28" t="n">
        <v>0.109</v>
      </c>
      <c r="X668" s="14" t="n">
        <v>48.42</v>
      </c>
      <c r="Y668" s="14">
        <f>ROUND(MIN(100, (X668/69.91)*100), 2)</f>
        <v/>
      </c>
    </row>
    <row r="669">
      <c r="A669" s="10" t="n">
        <v>3</v>
      </c>
      <c r="B669" s="10" t="n">
        <v>665</v>
      </c>
      <c r="C669" s="10" t="n">
        <v>2665</v>
      </c>
      <c r="D669" s="10" t="inlineStr">
        <is>
          <t>1380606141</t>
        </is>
      </c>
      <c r="E669" s="26" t="inlineStr">
        <is>
          <t>National Capital Region (NCR)</t>
        </is>
      </c>
      <c r="F669" s="26" t="inlineStr">
        <is>
          <t>First District (Not a Province)</t>
        </is>
      </c>
      <c r="G669" s="26" t="inlineStr">
        <is>
          <t>City of Manila</t>
        </is>
      </c>
      <c r="H669" s="26" t="inlineStr">
        <is>
          <t>Barangay 535</t>
        </is>
      </c>
      <c r="I669" s="27" t="n">
        <v>13.710133</v>
      </c>
      <c r="J669" s="27" t="n">
        <v>121.330547</v>
      </c>
      <c r="K669" s="10" t="inlineStr">
        <is>
          <t>U</t>
        </is>
      </c>
      <c r="L669" s="12" t="n">
        <v>1066</v>
      </c>
      <c r="M669" s="14" t="n">
        <v>3.9</v>
      </c>
      <c r="N669" s="12">
        <f>ROUND(L669/M669, 0)</f>
        <v/>
      </c>
      <c r="O669" s="12">
        <f>ROUND(N669*'Methodology &amp; Assumptions'!$B$5, 0)</f>
        <v/>
      </c>
      <c r="P669" s="10" t="inlineStr">
        <is>
          <t>Single Carrier (Band n50, 100MHz TDD)</t>
        </is>
      </c>
      <c r="Q669" s="13">
        <f>ROUNDUP(O669/'Methodology &amp; Assumptions'!$B$6, 0)</f>
        <v/>
      </c>
      <c r="R669" s="13" t="n">
        <v>1</v>
      </c>
      <c r="S669" s="14" t="n">
        <v>11.19</v>
      </c>
      <c r="T669" s="14" t="n">
        <v>12.46</v>
      </c>
      <c r="U669" s="26">
        <f>IF(X669&gt;='Methodology &amp; Assumptions'!$B$7, "Tier 1 Critical GIDA (Score ≥ 50.0)", IF(X669&gt;='Methodology &amp; Assumptions'!$B$8, "Tier 2 High GIDA (Score 40.0–49.9)", "Tier 3 Moderate GIDA (Score &lt; 40.0)"))</f>
        <v/>
      </c>
      <c r="V669" s="26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W669" s="28" t="n">
        <v>0.109</v>
      </c>
      <c r="X669" s="14" t="n">
        <v>48.42</v>
      </c>
      <c r="Y669" s="14">
        <f>ROUND(MIN(100, (X669/69.91)*100), 2)</f>
        <v/>
      </c>
    </row>
    <row r="670">
      <c r="A670" s="10" t="n">
        <v>3</v>
      </c>
      <c r="B670" s="10" t="n">
        <v>666</v>
      </c>
      <c r="C670" s="10" t="n">
        <v>2666</v>
      </c>
      <c r="D670" s="10" t="inlineStr">
        <is>
          <t>1381100029</t>
        </is>
      </c>
      <c r="E670" s="26" t="inlineStr">
        <is>
          <t>National Capital Region (NCR)</t>
        </is>
      </c>
      <c r="F670" s="26" t="inlineStr">
        <is>
          <t>Fourth District (Not a Province)</t>
        </is>
      </c>
      <c r="G670" s="26" t="inlineStr">
        <is>
          <t>Pasay City</t>
        </is>
      </c>
      <c r="H670" s="26" t="inlineStr">
        <is>
          <t>Barangay 29</t>
        </is>
      </c>
      <c r="I670" s="27" t="n">
        <v>14.713559</v>
      </c>
      <c r="J670" s="27" t="n">
        <v>120.890089</v>
      </c>
      <c r="K670" s="10" t="inlineStr">
        <is>
          <t>U</t>
        </is>
      </c>
      <c r="L670" s="12" t="n">
        <v>1470</v>
      </c>
      <c r="M670" s="14" t="n">
        <v>3.4</v>
      </c>
      <c r="N670" s="12">
        <f>ROUND(L670/M670, 0)</f>
        <v/>
      </c>
      <c r="O670" s="12">
        <f>ROUND(N670*'Methodology &amp; Assumptions'!$B$5, 0)</f>
        <v/>
      </c>
      <c r="P670" s="10" t="inlineStr">
        <is>
          <t>Single Carrier (Band n50, 100MHz TDD)</t>
        </is>
      </c>
      <c r="Q670" s="13">
        <f>ROUNDUP(O670/'Methodology &amp; Assumptions'!$B$6, 0)</f>
        <v/>
      </c>
      <c r="R670" s="13" t="n">
        <v>1</v>
      </c>
      <c r="S670" s="14" t="n">
        <v>5.03</v>
      </c>
      <c r="T670" s="14" t="n">
        <v>6.53</v>
      </c>
      <c r="U670" s="26">
        <f>IF(X670&gt;='Methodology &amp; Assumptions'!$B$7, "Tier 1 Critical GIDA (Score ≥ 50.0)", IF(X670&gt;='Methodology &amp; Assumptions'!$B$8, "Tier 2 High GIDA (Score 40.0–49.9)", "Tier 3 Moderate GIDA (Score &lt; 40.0)"))</f>
        <v/>
      </c>
      <c r="V670" s="26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W670" s="28" t="n">
        <v>0.109</v>
      </c>
      <c r="X670" s="14" t="n">
        <v>48.42</v>
      </c>
      <c r="Y670" s="14">
        <f>ROUND(MIN(100, (X670/69.91)*100), 2)</f>
        <v/>
      </c>
    </row>
    <row r="671">
      <c r="A671" s="10" t="n">
        <v>3</v>
      </c>
      <c r="B671" s="10" t="n">
        <v>667</v>
      </c>
      <c r="C671" s="10" t="n">
        <v>2667</v>
      </c>
      <c r="D671" s="10" t="inlineStr">
        <is>
          <t>PH0002667</t>
        </is>
      </c>
      <c r="E671" s="26" t="inlineStr">
        <is>
          <t>I</t>
        </is>
      </c>
      <c r="F671" s="26" t="inlineStr">
        <is>
          <t>Pangasinan</t>
        </is>
      </c>
      <c r="G671" s="26" t="inlineStr">
        <is>
          <t>Dagupan City</t>
        </is>
      </c>
      <c r="H671" s="26" t="inlineStr">
        <is>
          <t>Barangay II</t>
        </is>
      </c>
      <c r="I671" s="27" t="n">
        <v>16.053768</v>
      </c>
      <c r="J671" s="27" t="n">
        <v>120.348003</v>
      </c>
      <c r="K671" s="10" t="inlineStr">
        <is>
          <t>R</t>
        </is>
      </c>
      <c r="L671" s="12" t="n">
        <v>2218</v>
      </c>
      <c r="M671" s="14" t="n">
        <v>3.6</v>
      </c>
      <c r="N671" s="12">
        <f>ROUND(L671/M671, 0)</f>
        <v/>
      </c>
      <c r="O671" s="12">
        <f>ROUND(N671*'Methodology &amp; Assumptions'!$B$5, 0)</f>
        <v/>
      </c>
      <c r="P671" s="10" t="inlineStr">
        <is>
          <t>Single Carrier (Band n50, 100MHz TDD)</t>
        </is>
      </c>
      <c r="Q671" s="13">
        <f>ROUNDUP(O671/'Methodology &amp; Assumptions'!$B$6, 0)</f>
        <v/>
      </c>
      <c r="R671" s="13" t="n">
        <v>1</v>
      </c>
      <c r="S671" s="14" t="n">
        <v>3.37</v>
      </c>
      <c r="T671" s="14" t="n">
        <v>0.83</v>
      </c>
      <c r="U671" s="26">
        <f>IF(X671&gt;='Methodology &amp; Assumptions'!$B$7, "Tier 1 Critical GIDA (Score ≥ 50.0)", IF(X671&gt;='Methodology &amp; Assumptions'!$B$8, "Tier 2 High GIDA (Score 40.0–49.9)", "Tier 3 Moderate GIDA (Score &lt; 40.0)"))</f>
        <v/>
      </c>
      <c r="V671" s="26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W671" s="28" t="n">
        <v>0.083</v>
      </c>
      <c r="X671" s="14" t="n">
        <v>48.42</v>
      </c>
      <c r="Y671" s="14">
        <f>ROUND(MIN(100, (X671/69.91)*100), 2)</f>
        <v/>
      </c>
    </row>
    <row r="672">
      <c r="A672" s="10" t="n">
        <v>3</v>
      </c>
      <c r="B672" s="10" t="n">
        <v>668</v>
      </c>
      <c r="C672" s="10" t="n">
        <v>2668</v>
      </c>
      <c r="D672" s="10" t="inlineStr">
        <is>
          <t>0806004014</t>
        </is>
      </c>
      <c r="E672" s="26" t="inlineStr">
        <is>
          <t>Region VIII (Eastern Visayas)</t>
        </is>
      </c>
      <c r="F672" s="26" t="inlineStr">
        <is>
          <t>Samar</t>
        </is>
      </c>
      <c r="G672" s="26" t="inlineStr">
        <is>
          <t>Calbiga</t>
        </is>
      </c>
      <c r="H672" s="26" t="inlineStr">
        <is>
          <t>Daligan</t>
        </is>
      </c>
      <c r="I672" s="27" t="n">
        <v>11.64447</v>
      </c>
      <c r="J672" s="27" t="n">
        <v>125.09383</v>
      </c>
      <c r="K672" s="10" t="inlineStr">
        <is>
          <t>R</t>
        </is>
      </c>
      <c r="L672" s="12" t="n">
        <v>181</v>
      </c>
      <c r="M672" s="14" t="n">
        <v>4.1</v>
      </c>
      <c r="N672" s="12">
        <f>ROUND(L672/M672, 0)</f>
        <v/>
      </c>
      <c r="O672" s="12">
        <f>ROUND(N672*'Methodology &amp; Assumptions'!$B$5, 0)</f>
        <v/>
      </c>
      <c r="P672" s="10" t="inlineStr">
        <is>
          <t>Single Carrier (Band n50, 100MHz TDD)</t>
        </is>
      </c>
      <c r="Q672" s="13">
        <f>ROUNDUP(O672/'Methodology &amp; Assumptions'!$B$6, 0)</f>
        <v/>
      </c>
      <c r="R672" s="13" t="n">
        <v>1</v>
      </c>
      <c r="S672" s="14" t="n">
        <v>46.11</v>
      </c>
      <c r="T672" s="14" t="n">
        <v>48.91</v>
      </c>
      <c r="U672" s="26">
        <f>IF(X672&gt;='Methodology &amp; Assumptions'!$B$7, "Tier 1 Critical GIDA (Score ≥ 50.0)", IF(X672&gt;='Methodology &amp; Assumptions'!$B$8, "Tier 2 High GIDA (Score 40.0–49.9)", "Tier 3 Moderate GIDA (Score &lt; 40.0)"))</f>
        <v/>
      </c>
      <c r="V672" s="26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W672" s="28" t="n">
        <v>0.237</v>
      </c>
      <c r="X672" s="14" t="n">
        <v>48.42</v>
      </c>
      <c r="Y672" s="14">
        <f>ROUND(MIN(100, (X672/69.91)*100), 2)</f>
        <v/>
      </c>
    </row>
    <row r="673">
      <c r="A673" s="10" t="n">
        <v>3</v>
      </c>
      <c r="B673" s="10" t="n">
        <v>669</v>
      </c>
      <c r="C673" s="10" t="n">
        <v>2669</v>
      </c>
      <c r="D673" s="10" t="inlineStr">
        <is>
          <t>1908819002</t>
        </is>
      </c>
      <c r="E673" s="26" t="inlineStr">
        <is>
          <t>Bangsamoro Autonomous Region In Muslim Mindanao (BARMM)</t>
        </is>
      </c>
      <c r="F673" s="26" t="inlineStr">
        <is>
          <t>Maguindanao del Sur</t>
        </is>
      </c>
      <c r="G673" s="26" t="inlineStr">
        <is>
          <t>Rajah Buayan</t>
        </is>
      </c>
      <c r="H673" s="26" t="inlineStr">
        <is>
          <t>Bakat</t>
        </is>
      </c>
      <c r="I673" s="27" t="n">
        <v>17.255167</v>
      </c>
      <c r="J673" s="27" t="n">
        <v>122.229211</v>
      </c>
      <c r="K673" s="10" t="inlineStr">
        <is>
          <t>R</t>
        </is>
      </c>
      <c r="L673" s="12" t="n">
        <v>2579</v>
      </c>
      <c r="M673" s="14" t="n">
        <v>4.7</v>
      </c>
      <c r="N673" s="12">
        <f>ROUND(L673/M673, 0)</f>
        <v/>
      </c>
      <c r="O673" s="12">
        <f>ROUND(N673*'Methodology &amp; Assumptions'!$B$5, 0)</f>
        <v/>
      </c>
      <c r="P673" s="10" t="inlineStr">
        <is>
          <t>Single Carrier (Band n50, 100MHz TDD)</t>
        </is>
      </c>
      <c r="Q673" s="13">
        <f>ROUNDUP(O673/'Methodology &amp; Assumptions'!$B$6, 0)</f>
        <v/>
      </c>
      <c r="R673" s="13" t="n">
        <v>1</v>
      </c>
      <c r="S673" s="14" t="n">
        <v>29.46</v>
      </c>
      <c r="T673" s="14" t="n">
        <v>34.34</v>
      </c>
      <c r="U673" s="26">
        <f>IF(X673&gt;='Methodology &amp; Assumptions'!$B$7, "Tier 1 Critical GIDA (Score ≥ 50.0)", IF(X673&gt;='Methodology &amp; Assumptions'!$B$8, "Tier 2 High GIDA (Score 40.0–49.9)", "Tier 3 Moderate GIDA (Score &lt; 40.0)"))</f>
        <v/>
      </c>
      <c r="V673" s="26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W673" s="28" t="n">
        <v>0.11</v>
      </c>
      <c r="X673" s="14" t="n">
        <v>48.42</v>
      </c>
      <c r="Y673" s="14">
        <f>ROUND(MIN(100, (X673/69.91)*100), 2)</f>
        <v/>
      </c>
    </row>
    <row r="674">
      <c r="A674" s="10" t="n">
        <v>3</v>
      </c>
      <c r="B674" s="10" t="n">
        <v>670</v>
      </c>
      <c r="C674" s="10" t="n">
        <v>2670</v>
      </c>
      <c r="D674" s="10" t="inlineStr">
        <is>
          <t>0300809015</t>
        </is>
      </c>
      <c r="E674" s="26" t="inlineStr">
        <is>
          <t>Region III (Central Luzon)</t>
        </is>
      </c>
      <c r="F674" s="26" t="inlineStr">
        <is>
          <t>Bataan</t>
        </is>
      </c>
      <c r="G674" s="26" t="inlineStr">
        <is>
          <t>Orani</t>
        </is>
      </c>
      <c r="H674" s="26" t="inlineStr">
        <is>
          <t>Parang Parang</t>
        </is>
      </c>
      <c r="I674" s="27" t="n">
        <v>14.796957</v>
      </c>
      <c r="J674" s="27" t="n">
        <v>120.538508</v>
      </c>
      <c r="K674" s="10" t="inlineStr">
        <is>
          <t>U</t>
        </is>
      </c>
      <c r="L674" s="12" t="n">
        <v>1363</v>
      </c>
      <c r="M674" s="14" t="n">
        <v>3.6</v>
      </c>
      <c r="N674" s="12">
        <f>ROUND(L674/M674, 0)</f>
        <v/>
      </c>
      <c r="O674" s="12">
        <f>ROUND(N674*'Methodology &amp; Assumptions'!$B$5, 0)</f>
        <v/>
      </c>
      <c r="P674" s="10" t="inlineStr">
        <is>
          <t>Single Carrier (Band n50, 100MHz TDD)</t>
        </is>
      </c>
      <c r="Q674" s="13">
        <f>ROUNDUP(O674/'Methodology &amp; Assumptions'!$B$6, 0)</f>
        <v/>
      </c>
      <c r="R674" s="13" t="n">
        <v>1</v>
      </c>
      <c r="S674" s="14" t="n">
        <v>0.62</v>
      </c>
      <c r="T674" s="14" t="n">
        <v>0.15</v>
      </c>
      <c r="U674" s="26">
        <f>IF(X674&gt;='Methodology &amp; Assumptions'!$B$7, "Tier 1 Critical GIDA (Score ≥ 50.0)", IF(X674&gt;='Methodology &amp; Assumptions'!$B$8, "Tier 2 High GIDA (Score 40.0–49.9)", "Tier 3 Moderate GIDA (Score &lt; 40.0)"))</f>
        <v/>
      </c>
      <c r="V674" s="26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W674" s="28" t="n">
        <v>0.083</v>
      </c>
      <c r="X674" s="14" t="n">
        <v>48.42</v>
      </c>
      <c r="Y674" s="14">
        <f>ROUND(MIN(100, (X674/69.91)*100), 2)</f>
        <v/>
      </c>
    </row>
    <row r="675">
      <c r="A675" s="10" t="n">
        <v>3</v>
      </c>
      <c r="B675" s="10" t="n">
        <v>671</v>
      </c>
      <c r="C675" s="10" t="n">
        <v>2671</v>
      </c>
      <c r="D675" s="10" t="inlineStr">
        <is>
          <t>1404405003</t>
        </is>
      </c>
      <c r="E675" s="26" t="inlineStr">
        <is>
          <t>Cordillera Administrative Region (CAR)</t>
        </is>
      </c>
      <c r="F675" s="26" t="inlineStr">
        <is>
          <t>Mountain Province</t>
        </is>
      </c>
      <c r="G675" s="26" t="inlineStr">
        <is>
          <t>Natonin</t>
        </is>
      </c>
      <c r="H675" s="26" t="inlineStr">
        <is>
          <t>Banao</t>
        </is>
      </c>
      <c r="I675" s="27" t="n">
        <v>17.071493</v>
      </c>
      <c r="J675" s="27" t="n">
        <v>121.212605</v>
      </c>
      <c r="K675" s="10" t="inlineStr">
        <is>
          <t>R</t>
        </is>
      </c>
      <c r="L675" s="12" t="n">
        <v>295</v>
      </c>
      <c r="M675" s="14" t="n">
        <v>3.7</v>
      </c>
      <c r="N675" s="12">
        <f>ROUND(L675/M675, 0)</f>
        <v/>
      </c>
      <c r="O675" s="12">
        <f>ROUND(N675*'Methodology &amp; Assumptions'!$B$5, 0)</f>
        <v/>
      </c>
      <c r="P675" s="10" t="inlineStr">
        <is>
          <t>Single Carrier (Band n50, 100MHz TDD)</t>
        </is>
      </c>
      <c r="Q675" s="13">
        <f>ROUNDUP(O675/'Methodology &amp; Assumptions'!$B$6, 0)</f>
        <v/>
      </c>
      <c r="R675" s="13" t="n">
        <v>1</v>
      </c>
      <c r="S675" s="14" t="n">
        <v>8.27</v>
      </c>
      <c r="T675" s="14" t="n">
        <v>18.01</v>
      </c>
      <c r="U675" s="26">
        <f>IF(X675&gt;='Methodology &amp; Assumptions'!$B$7, "Tier 1 Critical GIDA (Score ≥ 50.0)", IF(X675&gt;='Methodology &amp; Assumptions'!$B$8, "Tier 2 High GIDA (Score 40.0–49.9)", "Tier 3 Moderate GIDA (Score &lt; 40.0)"))</f>
        <v/>
      </c>
      <c r="V675" s="26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W675" s="28" t="n">
        <v>0.109</v>
      </c>
      <c r="X675" s="14" t="n">
        <v>48.42</v>
      </c>
      <c r="Y675" s="14">
        <f>ROUND(MIN(100, (X675/69.91)*100), 2)</f>
        <v/>
      </c>
    </row>
    <row r="676">
      <c r="A676" s="10" t="n">
        <v>3</v>
      </c>
      <c r="B676" s="10" t="n">
        <v>672</v>
      </c>
      <c r="C676" s="10" t="n">
        <v>2672</v>
      </c>
      <c r="D676" s="10" t="inlineStr">
        <is>
          <t>1381100053</t>
        </is>
      </c>
      <c r="E676" s="26" t="inlineStr">
        <is>
          <t>National Capital Region (NCR)</t>
        </is>
      </c>
      <c r="F676" s="26" t="inlineStr">
        <is>
          <t>Fourth District (Not a Province)</t>
        </is>
      </c>
      <c r="G676" s="26" t="inlineStr">
        <is>
          <t>Pasay City</t>
        </is>
      </c>
      <c r="H676" s="26" t="inlineStr">
        <is>
          <t>Barangay 53</t>
        </is>
      </c>
      <c r="I676" s="27" t="n">
        <v>14.487589</v>
      </c>
      <c r="J676" s="27" t="n">
        <v>121.209326</v>
      </c>
      <c r="K676" s="10" t="inlineStr">
        <is>
          <t>U</t>
        </is>
      </c>
      <c r="L676" s="12" t="n">
        <v>810</v>
      </c>
      <c r="M676" s="14" t="n">
        <v>3.4</v>
      </c>
      <c r="N676" s="12">
        <f>ROUND(L676/M676, 0)</f>
        <v/>
      </c>
      <c r="O676" s="12">
        <f>ROUND(N676*'Methodology &amp; Assumptions'!$B$5, 0)</f>
        <v/>
      </c>
      <c r="P676" s="10" t="inlineStr">
        <is>
          <t>Single Carrier (Band n50, 100MHz TDD)</t>
        </is>
      </c>
      <c r="Q676" s="13">
        <f>ROUNDUP(O676/'Methodology &amp; Assumptions'!$B$6, 0)</f>
        <v/>
      </c>
      <c r="R676" s="13" t="n">
        <v>1</v>
      </c>
      <c r="S676" s="14" t="n">
        <v>1.65</v>
      </c>
      <c r="T676" s="14" t="n">
        <v>1.13</v>
      </c>
      <c r="U676" s="26">
        <f>IF(X676&gt;='Methodology &amp; Assumptions'!$B$7, "Tier 1 Critical GIDA (Score ≥ 50.0)", IF(X676&gt;='Methodology &amp; Assumptions'!$B$8, "Tier 2 High GIDA (Score 40.0–49.9)", "Tier 3 Moderate GIDA (Score &lt; 40.0)"))</f>
        <v/>
      </c>
      <c r="V676" s="26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W676" s="28" t="n">
        <v>0.109</v>
      </c>
      <c r="X676" s="14" t="n">
        <v>48.42</v>
      </c>
      <c r="Y676" s="14">
        <f>ROUND(MIN(100, (X676/69.91)*100), 2)</f>
        <v/>
      </c>
    </row>
    <row r="677">
      <c r="A677" s="10" t="n">
        <v>3</v>
      </c>
      <c r="B677" s="10" t="n">
        <v>673</v>
      </c>
      <c r="C677" s="10" t="n">
        <v>2673</v>
      </c>
      <c r="D677" s="10" t="inlineStr">
        <is>
          <t>0102934006</t>
        </is>
      </c>
      <c r="E677" s="26" t="inlineStr">
        <is>
          <t>Region I (Ilocos Region)</t>
        </is>
      </c>
      <c r="F677" s="26" t="inlineStr">
        <is>
          <t>Ilocos Sur</t>
        </is>
      </c>
      <c r="G677" s="26" t="inlineStr">
        <is>
          <t>City of Vigan</t>
        </is>
      </c>
      <c r="H677" s="26" t="inlineStr">
        <is>
          <t>Barangay IV</t>
        </is>
      </c>
      <c r="I677" s="27" t="n">
        <v>17.574243</v>
      </c>
      <c r="J677" s="27" t="n">
        <v>120.383585</v>
      </c>
      <c r="K677" s="10" t="inlineStr">
        <is>
          <t>R</t>
        </is>
      </c>
      <c r="L677" s="12" t="n">
        <v>2081</v>
      </c>
      <c r="M677" s="14" t="n">
        <v>3.8</v>
      </c>
      <c r="N677" s="12">
        <f>ROUND(L677/M677, 0)</f>
        <v/>
      </c>
      <c r="O677" s="12">
        <f>ROUND(N677*'Methodology &amp; Assumptions'!$B$5, 0)</f>
        <v/>
      </c>
      <c r="P677" s="10" t="inlineStr">
        <is>
          <t>Single Carrier (Band n50, 100MHz TDD)</t>
        </is>
      </c>
      <c r="Q677" s="13">
        <f>ROUNDUP(O677/'Methodology &amp; Assumptions'!$B$6, 0)</f>
        <v/>
      </c>
      <c r="R677" s="13" t="n">
        <v>1</v>
      </c>
      <c r="S677" s="14" t="n">
        <v>2.27</v>
      </c>
      <c r="T677" s="14" t="n">
        <v>1.09</v>
      </c>
      <c r="U677" s="26">
        <f>IF(X677&gt;='Methodology &amp; Assumptions'!$B$7, "Tier 1 Critical GIDA (Score ≥ 50.0)", IF(X677&gt;='Methodology &amp; Assumptions'!$B$8, "Tier 2 High GIDA (Score 40.0–49.9)", "Tier 3 Moderate GIDA (Score &lt; 40.0)"))</f>
        <v/>
      </c>
      <c r="V677" s="26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W677" s="28" t="n">
        <v>0.083</v>
      </c>
      <c r="X677" s="14" t="n">
        <v>48.42</v>
      </c>
      <c r="Y677" s="14">
        <f>ROUND(MIN(100, (X677/69.91)*100), 2)</f>
        <v/>
      </c>
    </row>
    <row r="678">
      <c r="A678" s="10" t="n">
        <v>3</v>
      </c>
      <c r="B678" s="10" t="n">
        <v>674</v>
      </c>
      <c r="C678" s="10" t="n">
        <v>2674</v>
      </c>
      <c r="D678" s="10" t="inlineStr">
        <is>
          <t>1380606045</t>
        </is>
      </c>
      <c r="E678" s="26" t="inlineStr">
        <is>
          <t>National Capital Region (NCR)</t>
        </is>
      </c>
      <c r="F678" s="26" t="inlineStr">
        <is>
          <t>First District (Not a Province)</t>
        </is>
      </c>
      <c r="G678" s="26" t="inlineStr">
        <is>
          <t>City of Manila</t>
        </is>
      </c>
      <c r="H678" s="26" t="inlineStr">
        <is>
          <t>Barangay 439</t>
        </is>
      </c>
      <c r="I678" s="27" t="n">
        <v>12.559034</v>
      </c>
      <c r="J678" s="27" t="n">
        <v>122.677761</v>
      </c>
      <c r="K678" s="10" t="inlineStr">
        <is>
          <t>U</t>
        </is>
      </c>
      <c r="L678" s="12" t="n">
        <v>1084</v>
      </c>
      <c r="M678" s="14" t="n">
        <v>3.9</v>
      </c>
      <c r="N678" s="12">
        <f>ROUND(L678/M678, 0)</f>
        <v/>
      </c>
      <c r="O678" s="12">
        <f>ROUND(N678*'Methodology &amp; Assumptions'!$B$5, 0)</f>
        <v/>
      </c>
      <c r="P678" s="10" t="inlineStr">
        <is>
          <t>Single Carrier (Band n50, 100MHz TDD)</t>
        </is>
      </c>
      <c r="Q678" s="13">
        <f>ROUNDUP(O678/'Methodology &amp; Assumptions'!$B$6, 0)</f>
        <v/>
      </c>
      <c r="R678" s="13" t="n">
        <v>1</v>
      </c>
      <c r="S678" s="14" t="n">
        <v>73.43000000000001</v>
      </c>
      <c r="T678" s="14" t="n">
        <v>76.05</v>
      </c>
      <c r="U678" s="26">
        <f>IF(X678&gt;='Methodology &amp; Assumptions'!$B$7, "Tier 1 Critical GIDA (Score ≥ 50.0)", IF(X678&gt;='Methodology &amp; Assumptions'!$B$8, "Tier 2 High GIDA (Score 40.0–49.9)", "Tier 3 Moderate GIDA (Score &lt; 40.0)"))</f>
        <v/>
      </c>
      <c r="V678" s="26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W678" s="28" t="n">
        <v>0.109</v>
      </c>
      <c r="X678" s="14" t="n">
        <v>48.42</v>
      </c>
      <c r="Y678" s="14">
        <f>ROUND(MIN(100, (X678/69.91)*100), 2)</f>
        <v/>
      </c>
    </row>
    <row r="679">
      <c r="A679" s="10" t="n">
        <v>3</v>
      </c>
      <c r="B679" s="10" t="n">
        <v>675</v>
      </c>
      <c r="C679" s="10" t="n">
        <v>2675</v>
      </c>
      <c r="D679" s="10" t="inlineStr">
        <is>
          <t>1381100034</t>
        </is>
      </c>
      <c r="E679" s="26" t="inlineStr">
        <is>
          <t>National Capital Region (NCR)</t>
        </is>
      </c>
      <c r="F679" s="26" t="inlineStr">
        <is>
          <t>Fourth District (Not a Province)</t>
        </is>
      </c>
      <c r="G679" s="26" t="inlineStr">
        <is>
          <t>Pasay City</t>
        </is>
      </c>
      <c r="H679" s="26" t="inlineStr">
        <is>
          <t>Barangay 34</t>
        </is>
      </c>
      <c r="I679" s="27" t="n">
        <v>14.445152</v>
      </c>
      <c r="J679" s="27" t="n">
        <v>120.813661</v>
      </c>
      <c r="K679" s="10" t="inlineStr">
        <is>
          <t>U</t>
        </is>
      </c>
      <c r="L679" s="12" t="n">
        <v>966</v>
      </c>
      <c r="M679" s="14" t="n">
        <v>3.4</v>
      </c>
      <c r="N679" s="12">
        <f>ROUND(L679/M679, 0)</f>
        <v/>
      </c>
      <c r="O679" s="12">
        <f>ROUND(N679*'Methodology &amp; Assumptions'!$B$5, 0)</f>
        <v/>
      </c>
      <c r="P679" s="10" t="inlineStr">
        <is>
          <t>Single Carrier (Band n50, 100MHz TDD)</t>
        </is>
      </c>
      <c r="Q679" s="13">
        <f>ROUNDUP(O679/'Methodology &amp; Assumptions'!$B$6, 0)</f>
        <v/>
      </c>
      <c r="R679" s="13" t="n">
        <v>1</v>
      </c>
      <c r="S679" s="14" t="n">
        <v>7.38</v>
      </c>
      <c r="T679" s="14" t="n">
        <v>7.21</v>
      </c>
      <c r="U679" s="26">
        <f>IF(X679&gt;='Methodology &amp; Assumptions'!$B$7, "Tier 1 Critical GIDA (Score ≥ 50.0)", IF(X679&gt;='Methodology &amp; Assumptions'!$B$8, "Tier 2 High GIDA (Score 40.0–49.9)", "Tier 3 Moderate GIDA (Score &lt; 40.0)"))</f>
        <v/>
      </c>
      <c r="V679" s="26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W679" s="28" t="n">
        <v>0.109</v>
      </c>
      <c r="X679" s="14" t="n">
        <v>48.42</v>
      </c>
      <c r="Y679" s="14">
        <f>ROUND(MIN(100, (X679/69.91)*100), 2)</f>
        <v/>
      </c>
    </row>
    <row r="680">
      <c r="A680" s="10" t="n">
        <v>3</v>
      </c>
      <c r="B680" s="10" t="n">
        <v>676</v>
      </c>
      <c r="C680" s="10" t="n">
        <v>2676</v>
      </c>
      <c r="D680" s="10" t="inlineStr">
        <is>
          <t>1381100030</t>
        </is>
      </c>
      <c r="E680" s="26" t="inlineStr">
        <is>
          <t>National Capital Region (NCR)</t>
        </is>
      </c>
      <c r="F680" s="26" t="inlineStr">
        <is>
          <t>Fourth District (Not a Province)</t>
        </is>
      </c>
      <c r="G680" s="26" t="inlineStr">
        <is>
          <t>Pasay City</t>
        </is>
      </c>
      <c r="H680" s="26" t="inlineStr">
        <is>
          <t>Barangay 30</t>
        </is>
      </c>
      <c r="I680" s="27" t="n">
        <v>14.737077</v>
      </c>
      <c r="J680" s="27" t="n">
        <v>121.077471</v>
      </c>
      <c r="K680" s="10" t="inlineStr">
        <is>
          <t>U</t>
        </is>
      </c>
      <c r="L680" s="12" t="n">
        <v>991</v>
      </c>
      <c r="M680" s="14" t="n">
        <v>3.4</v>
      </c>
      <c r="N680" s="12">
        <f>ROUND(L680/M680, 0)</f>
        <v/>
      </c>
      <c r="O680" s="12">
        <f>ROUND(N680*'Methodology &amp; Assumptions'!$B$5, 0)</f>
        <v/>
      </c>
      <c r="P680" s="10" t="inlineStr">
        <is>
          <t>Single Carrier (Band n50, 100MHz TDD)</t>
        </is>
      </c>
      <c r="Q680" s="13">
        <f>ROUNDUP(O680/'Methodology &amp; Assumptions'!$B$6, 0)</f>
        <v/>
      </c>
      <c r="R680" s="13" t="n">
        <v>1</v>
      </c>
      <c r="S680" s="14" t="n">
        <v>1.85</v>
      </c>
      <c r="T680" s="14" t="n">
        <v>0.42</v>
      </c>
      <c r="U680" s="26">
        <f>IF(X680&gt;='Methodology &amp; Assumptions'!$B$7, "Tier 1 Critical GIDA (Score ≥ 50.0)", IF(X680&gt;='Methodology &amp; Assumptions'!$B$8, "Tier 2 High GIDA (Score 40.0–49.9)", "Tier 3 Moderate GIDA (Score &lt; 40.0)"))</f>
        <v/>
      </c>
      <c r="V680" s="26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W680" s="28" t="n">
        <v>0.109</v>
      </c>
      <c r="X680" s="14" t="n">
        <v>48.41</v>
      </c>
      <c r="Y680" s="14">
        <f>ROUND(MIN(100, (X680/69.91)*100), 2)</f>
        <v/>
      </c>
    </row>
    <row r="681">
      <c r="A681" s="10" t="n">
        <v>3</v>
      </c>
      <c r="B681" s="10" t="n">
        <v>677</v>
      </c>
      <c r="C681" s="10" t="n">
        <v>2677</v>
      </c>
      <c r="D681" s="10" t="inlineStr">
        <is>
          <t>1380606188</t>
        </is>
      </c>
      <c r="E681" s="26" t="inlineStr">
        <is>
          <t>National Capital Region (NCR)</t>
        </is>
      </c>
      <c r="F681" s="26" t="inlineStr">
        <is>
          <t>First District (Not a Province)</t>
        </is>
      </c>
      <c r="G681" s="26" t="inlineStr">
        <is>
          <t>City of Manila</t>
        </is>
      </c>
      <c r="H681" s="26" t="inlineStr">
        <is>
          <t>Barangay 582</t>
        </is>
      </c>
      <c r="I681" s="27" t="n">
        <v>12.520393</v>
      </c>
      <c r="J681" s="27" t="n">
        <v>120.884168</v>
      </c>
      <c r="K681" s="10" t="inlineStr">
        <is>
          <t>U</t>
        </is>
      </c>
      <c r="L681" s="12" t="n">
        <v>1610</v>
      </c>
      <c r="M681" s="14" t="n">
        <v>3.9</v>
      </c>
      <c r="N681" s="12">
        <f>ROUND(L681/M681, 0)</f>
        <v/>
      </c>
      <c r="O681" s="12">
        <f>ROUND(N681*'Methodology &amp; Assumptions'!$B$5, 0)</f>
        <v/>
      </c>
      <c r="P681" s="10" t="inlineStr">
        <is>
          <t>Single Carrier (Band n50, 100MHz TDD)</t>
        </is>
      </c>
      <c r="Q681" s="13">
        <f>ROUNDUP(O681/'Methodology &amp; Assumptions'!$B$6, 0)</f>
        <v/>
      </c>
      <c r="R681" s="13" t="n">
        <v>1</v>
      </c>
      <c r="S681" s="14" t="n">
        <v>27.2</v>
      </c>
      <c r="T681" s="14" t="n">
        <v>25.08</v>
      </c>
      <c r="U681" s="26">
        <f>IF(X681&gt;='Methodology &amp; Assumptions'!$B$7, "Tier 1 Critical GIDA (Score ≥ 50.0)", IF(X681&gt;='Methodology &amp; Assumptions'!$B$8, "Tier 2 High GIDA (Score 40.0–49.9)", "Tier 3 Moderate GIDA (Score &lt; 40.0)"))</f>
        <v/>
      </c>
      <c r="V681" s="26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W681" s="28" t="n">
        <v>0.109</v>
      </c>
      <c r="X681" s="14" t="n">
        <v>48.41</v>
      </c>
      <c r="Y681" s="14">
        <f>ROUND(MIN(100, (X681/69.91)*100), 2)</f>
        <v/>
      </c>
    </row>
    <row r="682">
      <c r="A682" s="10" t="n">
        <v>3</v>
      </c>
      <c r="B682" s="10" t="n">
        <v>678</v>
      </c>
      <c r="C682" s="10" t="n">
        <v>2678</v>
      </c>
      <c r="D682" s="10" t="inlineStr">
        <is>
          <t>1380614029</t>
        </is>
      </c>
      <c r="E682" s="26" t="inlineStr">
        <is>
          <t>National Capital Region (NCR)</t>
        </is>
      </c>
      <c r="F682" s="26" t="inlineStr">
        <is>
          <t>First District (Not a Province)</t>
        </is>
      </c>
      <c r="G682" s="26" t="inlineStr">
        <is>
          <t>City of Manila</t>
        </is>
      </c>
      <c r="H682" s="26" t="inlineStr">
        <is>
          <t>Barangay 773</t>
        </is>
      </c>
      <c r="I682" s="27" t="n">
        <v>13.731869</v>
      </c>
      <c r="J682" s="27" t="n">
        <v>122.181629</v>
      </c>
      <c r="K682" s="10" t="inlineStr">
        <is>
          <t>U</t>
        </is>
      </c>
      <c r="L682" s="12" t="n">
        <v>2831</v>
      </c>
      <c r="M682" s="14" t="n">
        <v>3.9</v>
      </c>
      <c r="N682" s="12">
        <f>ROUND(L682/M682, 0)</f>
        <v/>
      </c>
      <c r="O682" s="12">
        <f>ROUND(N682*'Methodology &amp; Assumptions'!$B$5, 0)</f>
        <v/>
      </c>
      <c r="P682" s="10" t="inlineStr">
        <is>
          <t>Single Carrier (Band n50, 100MHz TDD)</t>
        </is>
      </c>
      <c r="Q682" s="13">
        <f>ROUNDUP(O682/'Methodology &amp; Assumptions'!$B$6, 0)</f>
        <v/>
      </c>
      <c r="R682" s="13" t="n">
        <v>1</v>
      </c>
      <c r="S682" s="14" t="n">
        <v>4.47</v>
      </c>
      <c r="T682" s="14" t="n">
        <v>0.3</v>
      </c>
      <c r="U682" s="26">
        <f>IF(X682&gt;='Methodology &amp; Assumptions'!$B$7, "Tier 1 Critical GIDA (Score ≥ 50.0)", IF(X682&gt;='Methodology &amp; Assumptions'!$B$8, "Tier 2 High GIDA (Score 40.0–49.9)", "Tier 3 Moderate GIDA (Score &lt; 40.0)"))</f>
        <v/>
      </c>
      <c r="V682" s="26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W682" s="28" t="n">
        <v>0.109</v>
      </c>
      <c r="X682" s="14" t="n">
        <v>48.41</v>
      </c>
      <c r="Y682" s="14">
        <f>ROUND(MIN(100, (X682/69.91)*100), 2)</f>
        <v/>
      </c>
    </row>
    <row r="683">
      <c r="A683" s="10" t="n">
        <v>3</v>
      </c>
      <c r="B683" s="10" t="n">
        <v>679</v>
      </c>
      <c r="C683" s="10" t="n">
        <v>2679</v>
      </c>
      <c r="D683" s="10" t="inlineStr">
        <is>
          <t>1380614052</t>
        </is>
      </c>
      <c r="E683" s="26" t="inlineStr">
        <is>
          <t>National Capital Region (NCR)</t>
        </is>
      </c>
      <c r="F683" s="26" t="inlineStr">
        <is>
          <t>First District (Not a Province)</t>
        </is>
      </c>
      <c r="G683" s="26" t="inlineStr">
        <is>
          <t>City of Manila</t>
        </is>
      </c>
      <c r="H683" s="26" t="inlineStr">
        <is>
          <t>Barangay 796</t>
        </is>
      </c>
      <c r="I683" s="27" t="n">
        <v>11.981667</v>
      </c>
      <c r="J683" s="27" t="n">
        <v>122.064457</v>
      </c>
      <c r="K683" s="10" t="inlineStr">
        <is>
          <t>U</t>
        </is>
      </c>
      <c r="L683" s="12" t="n">
        <v>650</v>
      </c>
      <c r="M683" s="14" t="n">
        <v>3.9</v>
      </c>
      <c r="N683" s="12">
        <f>ROUND(L683/M683, 0)</f>
        <v/>
      </c>
      <c r="O683" s="12">
        <f>ROUND(N683*'Methodology &amp; Assumptions'!$B$5, 0)</f>
        <v/>
      </c>
      <c r="P683" s="10" t="inlineStr">
        <is>
          <t>Single Carrier (Band n50, 100MHz TDD)</t>
        </is>
      </c>
      <c r="Q683" s="13">
        <f>ROUNDUP(O683/'Methodology &amp; Assumptions'!$B$6, 0)</f>
        <v/>
      </c>
      <c r="R683" s="13" t="n">
        <v>1</v>
      </c>
      <c r="S683" s="14" t="n">
        <v>13.43</v>
      </c>
      <c r="T683" s="14" t="n">
        <v>0.47</v>
      </c>
      <c r="U683" s="26">
        <f>IF(X683&gt;='Methodology &amp; Assumptions'!$B$7, "Tier 1 Critical GIDA (Score ≥ 50.0)", IF(X683&gt;='Methodology &amp; Assumptions'!$B$8, "Tier 2 High GIDA (Score 40.0–49.9)", "Tier 3 Moderate GIDA (Score &lt; 40.0)"))</f>
        <v/>
      </c>
      <c r="V683" s="26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W683" s="28" t="n">
        <v>0.109</v>
      </c>
      <c r="X683" s="14" t="n">
        <v>48.41</v>
      </c>
      <c r="Y683" s="14">
        <f>ROUND(MIN(100, (X683/69.91)*100), 2)</f>
        <v/>
      </c>
    </row>
    <row r="684">
      <c r="A684" s="10" t="n">
        <v>3</v>
      </c>
      <c r="B684" s="10" t="n">
        <v>680</v>
      </c>
      <c r="C684" s="10" t="n">
        <v>2680</v>
      </c>
      <c r="D684" s="10" t="inlineStr">
        <is>
          <t>1380614037</t>
        </is>
      </c>
      <c r="E684" s="26" t="inlineStr">
        <is>
          <t>National Capital Region (NCR)</t>
        </is>
      </c>
      <c r="F684" s="26" t="inlineStr">
        <is>
          <t>First District (Not a Province)</t>
        </is>
      </c>
      <c r="G684" s="26" t="inlineStr">
        <is>
          <t>City of Manila</t>
        </is>
      </c>
      <c r="H684" s="26" t="inlineStr">
        <is>
          <t>Barangay 781</t>
        </is>
      </c>
      <c r="I684" s="27" t="n">
        <v>13.351182</v>
      </c>
      <c r="J684" s="27" t="n">
        <v>120.936293</v>
      </c>
      <c r="K684" s="10" t="inlineStr">
        <is>
          <t>U</t>
        </is>
      </c>
      <c r="L684" s="12" t="n">
        <v>4405</v>
      </c>
      <c r="M684" s="14" t="n">
        <v>3.9</v>
      </c>
      <c r="N684" s="12">
        <f>ROUND(L684/M684, 0)</f>
        <v/>
      </c>
      <c r="O684" s="12">
        <f>ROUND(N684*'Methodology &amp; Assumptions'!$B$5, 0)</f>
        <v/>
      </c>
      <c r="P684" s="10" t="inlineStr">
        <is>
          <t>Single Carrier (Band n50, 100MHz TDD)</t>
        </is>
      </c>
      <c r="Q684" s="13">
        <f>ROUNDUP(O684/'Methodology &amp; Assumptions'!$B$6, 0)</f>
        <v/>
      </c>
      <c r="R684" s="13" t="n">
        <v>1</v>
      </c>
      <c r="S684" s="14" t="n">
        <v>13.01</v>
      </c>
      <c r="T684" s="14" t="n">
        <v>11.79</v>
      </c>
      <c r="U684" s="26">
        <f>IF(X684&gt;='Methodology &amp; Assumptions'!$B$7, "Tier 1 Critical GIDA (Score ≥ 50.0)", IF(X684&gt;='Methodology &amp; Assumptions'!$B$8, "Tier 2 High GIDA (Score 40.0–49.9)", "Tier 3 Moderate GIDA (Score &lt; 40.0)"))</f>
        <v/>
      </c>
      <c r="V684" s="26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W684" s="28" t="n">
        <v>0.109</v>
      </c>
      <c r="X684" s="14" t="n">
        <v>48.41</v>
      </c>
      <c r="Y684" s="14">
        <f>ROUND(MIN(100, (X684/69.91)*100), 2)</f>
        <v/>
      </c>
    </row>
    <row r="685">
      <c r="A685" s="10" t="n">
        <v>3</v>
      </c>
      <c r="B685" s="10" t="n">
        <v>681</v>
      </c>
      <c r="C685" s="10" t="n">
        <v>2681</v>
      </c>
      <c r="D685" s="10" t="inlineStr">
        <is>
          <t>1380606021</t>
        </is>
      </c>
      <c r="E685" s="26" t="inlineStr">
        <is>
          <t>National Capital Region (NCR)</t>
        </is>
      </c>
      <c r="F685" s="26" t="inlineStr">
        <is>
          <t>First District (Not a Province)</t>
        </is>
      </c>
      <c r="G685" s="26" t="inlineStr">
        <is>
          <t>City of Manila</t>
        </is>
      </c>
      <c r="H685" s="26" t="inlineStr">
        <is>
          <t>Barangay 415</t>
        </is>
      </c>
      <c r="I685" s="27" t="n">
        <v>13.084087</v>
      </c>
      <c r="J685" s="27" t="n">
        <v>122.719723</v>
      </c>
      <c r="K685" s="10" t="inlineStr">
        <is>
          <t>U</t>
        </is>
      </c>
      <c r="L685" s="12" t="n">
        <v>911</v>
      </c>
      <c r="M685" s="14" t="n">
        <v>3.9</v>
      </c>
      <c r="N685" s="12">
        <f>ROUND(L685/M685, 0)</f>
        <v/>
      </c>
      <c r="O685" s="12">
        <f>ROUND(N685*'Methodology &amp; Assumptions'!$B$5, 0)</f>
        <v/>
      </c>
      <c r="P685" s="10" t="inlineStr">
        <is>
          <t>Single Carrier (Band n50, 100MHz TDD)</t>
        </is>
      </c>
      <c r="Q685" s="13">
        <f>ROUNDUP(O685/'Methodology &amp; Assumptions'!$B$6, 0)</f>
        <v/>
      </c>
      <c r="R685" s="13" t="n">
        <v>1</v>
      </c>
      <c r="S685" s="14" t="n">
        <v>15.31</v>
      </c>
      <c r="T685" s="14" t="n">
        <v>56.47</v>
      </c>
      <c r="U685" s="26">
        <f>IF(X685&gt;='Methodology &amp; Assumptions'!$B$7, "Tier 1 Critical GIDA (Score ≥ 50.0)", IF(X685&gt;='Methodology &amp; Assumptions'!$B$8, "Tier 2 High GIDA (Score 40.0–49.9)", "Tier 3 Moderate GIDA (Score &lt; 40.0)"))</f>
        <v/>
      </c>
      <c r="V685" s="26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W685" s="28" t="n">
        <v>0.109</v>
      </c>
      <c r="X685" s="14" t="n">
        <v>48.41</v>
      </c>
      <c r="Y685" s="14">
        <f>ROUND(MIN(100, (X685/69.91)*100), 2)</f>
        <v/>
      </c>
    </row>
    <row r="686">
      <c r="A686" s="10" t="n">
        <v>3</v>
      </c>
      <c r="B686" s="10" t="n">
        <v>682</v>
      </c>
      <c r="C686" s="10" t="n">
        <v>2682</v>
      </c>
      <c r="D686" s="10" t="inlineStr">
        <is>
          <t>1380606178</t>
        </is>
      </c>
      <c r="E686" s="26" t="inlineStr">
        <is>
          <t>National Capital Region (NCR)</t>
        </is>
      </c>
      <c r="F686" s="26" t="inlineStr">
        <is>
          <t>First District (Not a Province)</t>
        </is>
      </c>
      <c r="G686" s="26" t="inlineStr">
        <is>
          <t>City of Manila</t>
        </is>
      </c>
      <c r="H686" s="26" t="inlineStr">
        <is>
          <t>Barangay 572</t>
        </is>
      </c>
      <c r="I686" s="27" t="n">
        <v>12.105059</v>
      </c>
      <c r="J686" s="27" t="n">
        <v>121.217591</v>
      </c>
      <c r="K686" s="10" t="inlineStr">
        <is>
          <t>U</t>
        </is>
      </c>
      <c r="L686" s="12" t="n">
        <v>1912</v>
      </c>
      <c r="M686" s="14" t="n">
        <v>3.9</v>
      </c>
      <c r="N686" s="12">
        <f>ROUND(L686/M686, 0)</f>
        <v/>
      </c>
      <c r="O686" s="12">
        <f>ROUND(N686*'Methodology &amp; Assumptions'!$B$5, 0)</f>
        <v/>
      </c>
      <c r="P686" s="10" t="inlineStr">
        <is>
          <t>Single Carrier (Band n50, 100MHz TDD)</t>
        </is>
      </c>
      <c r="Q686" s="13">
        <f>ROUNDUP(O686/'Methodology &amp; Assumptions'!$B$6, 0)</f>
        <v/>
      </c>
      <c r="R686" s="13" t="n">
        <v>1</v>
      </c>
      <c r="S686" s="14" t="n">
        <v>23.84</v>
      </c>
      <c r="T686" s="14" t="n">
        <v>20.08</v>
      </c>
      <c r="U686" s="26">
        <f>IF(X686&gt;='Methodology &amp; Assumptions'!$B$7, "Tier 1 Critical GIDA (Score ≥ 50.0)", IF(X686&gt;='Methodology &amp; Assumptions'!$B$8, "Tier 2 High GIDA (Score 40.0–49.9)", "Tier 3 Moderate GIDA (Score &lt; 40.0)"))</f>
        <v/>
      </c>
      <c r="V686" s="26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W686" s="28" t="n">
        <v>0.109</v>
      </c>
      <c r="X686" s="14" t="n">
        <v>48.41</v>
      </c>
      <c r="Y686" s="14">
        <f>ROUND(MIN(100, (X686/69.91)*100), 2)</f>
        <v/>
      </c>
    </row>
    <row r="687">
      <c r="A687" s="10" t="n">
        <v>3</v>
      </c>
      <c r="B687" s="10" t="n">
        <v>683</v>
      </c>
      <c r="C687" s="10" t="n">
        <v>2683</v>
      </c>
      <c r="D687" s="10" t="inlineStr">
        <is>
          <t>1380614026</t>
        </is>
      </c>
      <c r="E687" s="26" t="inlineStr">
        <is>
          <t>National Capital Region (NCR)</t>
        </is>
      </c>
      <c r="F687" s="26" t="inlineStr">
        <is>
          <t>First District (Not a Province)</t>
        </is>
      </c>
      <c r="G687" s="26" t="inlineStr">
        <is>
          <t>City of Manila</t>
        </is>
      </c>
      <c r="H687" s="26" t="inlineStr">
        <is>
          <t>Barangay 770</t>
        </is>
      </c>
      <c r="I687" s="27" t="n">
        <v>13.81861</v>
      </c>
      <c r="J687" s="27" t="n">
        <v>121.6472</v>
      </c>
      <c r="K687" s="10" t="inlineStr">
        <is>
          <t>U</t>
        </is>
      </c>
      <c r="L687" s="12" t="n">
        <v>9944</v>
      </c>
      <c r="M687" s="14" t="n">
        <v>3.9</v>
      </c>
      <c r="N687" s="12">
        <f>ROUND(L687/M687, 0)</f>
        <v/>
      </c>
      <c r="O687" s="12">
        <f>ROUND(N687*'Methodology &amp; Assumptions'!$B$5, 0)</f>
        <v/>
      </c>
      <c r="P687" s="10" t="inlineStr">
        <is>
          <t>Single Carrier (Band n50, 100MHz TDD)</t>
        </is>
      </c>
      <c r="Q687" s="13">
        <f>ROUNDUP(O687/'Methodology &amp; Assumptions'!$B$6, 0)</f>
        <v/>
      </c>
      <c r="R687" s="13" t="n">
        <v>1</v>
      </c>
      <c r="S687" s="14" t="n">
        <v>13.3</v>
      </c>
      <c r="T687" s="14" t="n">
        <v>11.4</v>
      </c>
      <c r="U687" s="26">
        <f>IF(X687&gt;='Methodology &amp; Assumptions'!$B$7, "Tier 1 Critical GIDA (Score ≥ 50.0)", IF(X687&gt;='Methodology &amp; Assumptions'!$B$8, "Tier 2 High GIDA (Score 40.0–49.9)", "Tier 3 Moderate GIDA (Score &lt; 40.0)"))</f>
        <v/>
      </c>
      <c r="V687" s="26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W687" s="28" t="n">
        <v>0.109</v>
      </c>
      <c r="X687" s="14" t="n">
        <v>48.41</v>
      </c>
      <c r="Y687" s="14">
        <f>ROUND(MIN(100, (X687/69.91)*100), 2)</f>
        <v/>
      </c>
    </row>
    <row r="688">
      <c r="A688" s="10" t="n">
        <v>3</v>
      </c>
      <c r="B688" s="10" t="n">
        <v>684</v>
      </c>
      <c r="C688" s="10" t="n">
        <v>2684</v>
      </c>
      <c r="D688" s="10" t="inlineStr">
        <is>
          <t>1380606147</t>
        </is>
      </c>
      <c r="E688" s="26" t="inlineStr">
        <is>
          <t>National Capital Region (NCR)</t>
        </is>
      </c>
      <c r="F688" s="26" t="inlineStr">
        <is>
          <t>First District (Not a Province)</t>
        </is>
      </c>
      <c r="G688" s="26" t="inlineStr">
        <is>
          <t>City of Manila</t>
        </is>
      </c>
      <c r="H688" s="26" t="inlineStr">
        <is>
          <t>Barangay 541</t>
        </is>
      </c>
      <c r="I688" s="27" t="n">
        <v>12.270105</v>
      </c>
      <c r="J688" s="27" t="n">
        <v>122.519237</v>
      </c>
      <c r="K688" s="10" t="inlineStr">
        <is>
          <t>U</t>
        </is>
      </c>
      <c r="L688" s="12" t="n">
        <v>500</v>
      </c>
      <c r="M688" s="14" t="n">
        <v>3.9</v>
      </c>
      <c r="N688" s="12">
        <f>ROUND(L688/M688, 0)</f>
        <v/>
      </c>
      <c r="O688" s="12">
        <f>ROUND(N688*'Methodology &amp; Assumptions'!$B$5, 0)</f>
        <v/>
      </c>
      <c r="P688" s="10" t="inlineStr">
        <is>
          <t>Single Carrier (Band n50, 100MHz TDD)</t>
        </is>
      </c>
      <c r="Q688" s="13">
        <f>ROUNDUP(O688/'Methodology &amp; Assumptions'!$B$6, 0)</f>
        <v/>
      </c>
      <c r="R688" s="13" t="n">
        <v>1</v>
      </c>
      <c r="S688" s="14" t="n">
        <v>65.79000000000001</v>
      </c>
      <c r="T688" s="14" t="n">
        <v>39.6</v>
      </c>
      <c r="U688" s="26">
        <f>IF(X688&gt;='Methodology &amp; Assumptions'!$B$7, "Tier 1 Critical GIDA (Score ≥ 50.0)", IF(X688&gt;='Methodology &amp; Assumptions'!$B$8, "Tier 2 High GIDA (Score 40.0–49.9)", "Tier 3 Moderate GIDA (Score &lt; 40.0)"))</f>
        <v/>
      </c>
      <c r="V688" s="26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W688" s="28" t="n">
        <v>0.109</v>
      </c>
      <c r="X688" s="14" t="n">
        <v>48.41</v>
      </c>
      <c r="Y688" s="14">
        <f>ROUND(MIN(100, (X688/69.91)*100), 2)</f>
        <v/>
      </c>
    </row>
    <row r="689">
      <c r="A689" s="10" t="n">
        <v>3</v>
      </c>
      <c r="B689" s="10" t="n">
        <v>685</v>
      </c>
      <c r="C689" s="10" t="n">
        <v>2685</v>
      </c>
      <c r="D689" s="10" t="inlineStr">
        <is>
          <t>PH0002685</t>
        </is>
      </c>
      <c r="E689" s="26" t="inlineStr">
        <is>
          <t>VIII</t>
        </is>
      </c>
      <c r="F689" s="26" t="inlineStr">
        <is>
          <t>Leyte</t>
        </is>
      </c>
      <c r="G689" s="26" t="inlineStr">
        <is>
          <t>Tacloban City</t>
        </is>
      </c>
      <c r="H689" s="26" t="inlineStr">
        <is>
          <t>Barangay 41</t>
        </is>
      </c>
      <c r="I689" s="27" t="n">
        <v>11.251188</v>
      </c>
      <c r="J689" s="27" t="n">
        <v>125.033576</v>
      </c>
      <c r="K689" s="10" t="inlineStr">
        <is>
          <t>R</t>
        </is>
      </c>
      <c r="L689" s="12" t="n">
        <v>2258</v>
      </c>
      <c r="M689" s="14" t="n">
        <v>3.8</v>
      </c>
      <c r="N689" s="12">
        <f>ROUND(L689/M689, 0)</f>
        <v/>
      </c>
      <c r="O689" s="12">
        <f>ROUND(N689*'Methodology &amp; Assumptions'!$B$5, 0)</f>
        <v/>
      </c>
      <c r="P689" s="10" t="inlineStr">
        <is>
          <t>Single Carrier (Band n50, 100MHz TDD)</t>
        </is>
      </c>
      <c r="Q689" s="13">
        <f>ROUNDUP(O689/'Methodology &amp; Assumptions'!$B$6, 0)</f>
        <v/>
      </c>
      <c r="R689" s="13" t="n">
        <v>1</v>
      </c>
      <c r="S689" s="14" t="n">
        <v>3.63</v>
      </c>
      <c r="T689" s="14" t="n">
        <v>5.03</v>
      </c>
      <c r="U689" s="26">
        <f>IF(X689&gt;='Methodology &amp; Assumptions'!$B$7, "Tier 1 Critical GIDA (Score ≥ 50.0)", IF(X689&gt;='Methodology &amp; Assumptions'!$B$8, "Tier 2 High GIDA (Score 40.0–49.9)", "Tier 3 Moderate GIDA (Score &lt; 40.0)"))</f>
        <v/>
      </c>
      <c r="V689" s="26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W689" s="28" t="n">
        <v>0.222</v>
      </c>
      <c r="X689" s="14" t="n">
        <v>48.41</v>
      </c>
      <c r="Y689" s="14">
        <f>ROUND(MIN(100, (X689/69.91)*100), 2)</f>
        <v/>
      </c>
    </row>
    <row r="690">
      <c r="A690" s="10" t="n">
        <v>3</v>
      </c>
      <c r="B690" s="10" t="n">
        <v>686</v>
      </c>
      <c r="C690" s="10" t="n">
        <v>2686</v>
      </c>
      <c r="D690" s="10" t="inlineStr">
        <is>
          <t>1380610053</t>
        </is>
      </c>
      <c r="E690" s="26" t="inlineStr">
        <is>
          <t>National Capital Region (NCR)</t>
        </is>
      </c>
      <c r="F690" s="26" t="inlineStr">
        <is>
          <t>First District (Not a Province)</t>
        </is>
      </c>
      <c r="G690" s="26" t="inlineStr">
        <is>
          <t>City of Manila</t>
        </is>
      </c>
      <c r="H690" s="26" t="inlineStr">
        <is>
          <t>Barangay 739</t>
        </is>
      </c>
      <c r="I690" s="27" t="n">
        <v>12.838274</v>
      </c>
      <c r="J690" s="27" t="n">
        <v>120.800704</v>
      </c>
      <c r="K690" s="10" t="inlineStr">
        <is>
          <t>U</t>
        </is>
      </c>
      <c r="L690" s="12" t="n">
        <v>4668</v>
      </c>
      <c r="M690" s="14" t="n">
        <v>3.9</v>
      </c>
      <c r="N690" s="12">
        <f>ROUND(L690/M690, 0)</f>
        <v/>
      </c>
      <c r="O690" s="12">
        <f>ROUND(N690*'Methodology &amp; Assumptions'!$B$5, 0)</f>
        <v/>
      </c>
      <c r="P690" s="10" t="inlineStr">
        <is>
          <t>Single Carrier (Band n50, 100MHz TDD)</t>
        </is>
      </c>
      <c r="Q690" s="13">
        <f>ROUNDUP(O690/'Methodology &amp; Assumptions'!$B$6, 0)</f>
        <v/>
      </c>
      <c r="R690" s="13" t="n">
        <v>1</v>
      </c>
      <c r="S690" s="14" t="n">
        <v>61.31</v>
      </c>
      <c r="T690" s="14" t="n">
        <v>58.83</v>
      </c>
      <c r="U690" s="26">
        <f>IF(X690&gt;='Methodology &amp; Assumptions'!$B$7, "Tier 1 Critical GIDA (Score ≥ 50.0)", IF(X690&gt;='Methodology &amp; Assumptions'!$B$8, "Tier 2 High GIDA (Score 40.0–49.9)", "Tier 3 Moderate GIDA (Score &lt; 40.0)"))</f>
        <v/>
      </c>
      <c r="V690" s="26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W690" s="28" t="n">
        <v>0.109</v>
      </c>
      <c r="X690" s="14" t="n">
        <v>48.41</v>
      </c>
      <c r="Y690" s="14">
        <f>ROUND(MIN(100, (X690/69.91)*100), 2)</f>
        <v/>
      </c>
    </row>
    <row r="691">
      <c r="A691" s="10" t="n">
        <v>3</v>
      </c>
      <c r="B691" s="10" t="n">
        <v>687</v>
      </c>
      <c r="C691" s="10" t="n">
        <v>2687</v>
      </c>
      <c r="D691" s="10" t="inlineStr">
        <is>
          <t>PH0002687</t>
        </is>
      </c>
      <c r="E691" s="26" t="inlineStr">
        <is>
          <t>IV-B</t>
        </is>
      </c>
      <c r="F691" s="26" t="inlineStr">
        <is>
          <t>Palawan</t>
        </is>
      </c>
      <c r="G691" s="26" t="inlineStr">
        <is>
          <t>Puerto Princesa City</t>
        </is>
      </c>
      <c r="H691" s="26" t="inlineStr">
        <is>
          <t>Masigla (Pob.)</t>
        </is>
      </c>
      <c r="I691" s="27" t="n">
        <v>9.871492</v>
      </c>
      <c r="J691" s="27" t="n">
        <v>118.751857</v>
      </c>
      <c r="K691" s="10" t="inlineStr">
        <is>
          <t>R</t>
        </is>
      </c>
      <c r="L691" s="12" t="n">
        <v>2597</v>
      </c>
      <c r="M691" s="14" t="n">
        <v>3.9</v>
      </c>
      <c r="N691" s="12">
        <f>ROUND(L691/M691, 0)</f>
        <v/>
      </c>
      <c r="O691" s="12">
        <f>ROUND(N691*'Methodology &amp; Assumptions'!$B$5, 0)</f>
        <v/>
      </c>
      <c r="P691" s="10" t="inlineStr">
        <is>
          <t>Single Carrier (Band n50, 100MHz TDD)</t>
        </is>
      </c>
      <c r="Q691" s="13">
        <f>ROUNDUP(O691/'Methodology &amp; Assumptions'!$B$6, 0)</f>
        <v/>
      </c>
      <c r="R691" s="13" t="n">
        <v>1</v>
      </c>
      <c r="S691" s="14" t="n">
        <v>3.97</v>
      </c>
      <c r="T691" s="14" t="n">
        <v>2.08</v>
      </c>
      <c r="U691" s="26">
        <f>IF(X691&gt;='Methodology &amp; Assumptions'!$B$7, "Tier 1 Critical GIDA (Score ≥ 50.0)", IF(X691&gt;='Methodology &amp; Assumptions'!$B$8, "Tier 2 High GIDA (Score 40.0–49.9)", "Tier 3 Moderate GIDA (Score &lt; 40.0)"))</f>
        <v/>
      </c>
      <c r="V691" s="26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W691" s="28" t="n">
        <v>0.109</v>
      </c>
      <c r="X691" s="14" t="n">
        <v>48.41</v>
      </c>
      <c r="Y691" s="14">
        <f>ROUND(MIN(100, (X691/69.91)*100), 2)</f>
        <v/>
      </c>
    </row>
    <row r="692">
      <c r="A692" s="10" t="n">
        <v>3</v>
      </c>
      <c r="B692" s="10" t="n">
        <v>688</v>
      </c>
      <c r="C692" s="10" t="n">
        <v>2688</v>
      </c>
      <c r="D692" s="10" t="inlineStr">
        <is>
          <t>1380606175</t>
        </is>
      </c>
      <c r="E692" s="26" t="inlineStr">
        <is>
          <t>National Capital Region (NCR)</t>
        </is>
      </c>
      <c r="F692" s="26" t="inlineStr">
        <is>
          <t>First District (Not a Province)</t>
        </is>
      </c>
      <c r="G692" s="26" t="inlineStr">
        <is>
          <t>City of Manila</t>
        </is>
      </c>
      <c r="H692" s="26" t="inlineStr">
        <is>
          <t>Barangay 569</t>
        </is>
      </c>
      <c r="I692" s="27" t="n">
        <v>13.552202</v>
      </c>
      <c r="J692" s="27" t="n">
        <v>122.463859</v>
      </c>
      <c r="K692" s="10" t="inlineStr">
        <is>
          <t>U</t>
        </is>
      </c>
      <c r="L692" s="12" t="n">
        <v>2149</v>
      </c>
      <c r="M692" s="14" t="n">
        <v>3.9</v>
      </c>
      <c r="N692" s="12">
        <f>ROUND(L692/M692, 0)</f>
        <v/>
      </c>
      <c r="O692" s="12">
        <f>ROUND(N692*'Methodology &amp; Assumptions'!$B$5, 0)</f>
        <v/>
      </c>
      <c r="P692" s="10" t="inlineStr">
        <is>
          <t>Single Carrier (Band n50, 100MHz TDD)</t>
        </is>
      </c>
      <c r="Q692" s="13">
        <f>ROUNDUP(O692/'Methodology &amp; Assumptions'!$B$6, 0)</f>
        <v/>
      </c>
      <c r="R692" s="13" t="n">
        <v>1</v>
      </c>
      <c r="S692" s="14" t="n">
        <v>2.56</v>
      </c>
      <c r="T692" s="14" t="n">
        <v>2.57</v>
      </c>
      <c r="U692" s="26">
        <f>IF(X692&gt;='Methodology &amp; Assumptions'!$B$7, "Tier 1 Critical GIDA (Score ≥ 50.0)", IF(X692&gt;='Methodology &amp; Assumptions'!$B$8, "Tier 2 High GIDA (Score 40.0–49.9)", "Tier 3 Moderate GIDA (Score &lt; 40.0)"))</f>
        <v/>
      </c>
      <c r="V692" s="26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W692" s="28" t="n">
        <v>0.109</v>
      </c>
      <c r="X692" s="14" t="n">
        <v>48.41</v>
      </c>
      <c r="Y692" s="14">
        <f>ROUND(MIN(100, (X692/69.91)*100), 2)</f>
        <v/>
      </c>
    </row>
    <row r="693">
      <c r="A693" s="10" t="n">
        <v>3</v>
      </c>
      <c r="B693" s="10" t="n">
        <v>689</v>
      </c>
      <c r="C693" s="10" t="n">
        <v>2689</v>
      </c>
      <c r="D693" s="10" t="inlineStr">
        <is>
          <t>1908804005</t>
        </is>
      </c>
      <c r="E693" s="26" t="inlineStr">
        <is>
          <t>Bangsamoro Autonomous Region In Muslim Mindanao (BARMM)</t>
        </is>
      </c>
      <c r="F693" s="26" t="inlineStr">
        <is>
          <t>Maguindanao del Sur</t>
        </is>
      </c>
      <c r="G693" s="26" t="inlineStr">
        <is>
          <t>Datu Anggal Midtimbang</t>
        </is>
      </c>
      <c r="H693" s="26" t="inlineStr">
        <is>
          <t>Nunangan</t>
        </is>
      </c>
      <c r="I693" s="27" t="n">
        <v>17.25519</v>
      </c>
      <c r="J693" s="27" t="n">
        <v>122.229234</v>
      </c>
      <c r="K693" s="10" t="inlineStr">
        <is>
          <t>R</t>
        </is>
      </c>
      <c r="L693" s="12" t="n">
        <v>4564</v>
      </c>
      <c r="M693" s="14" t="n">
        <v>4.7</v>
      </c>
      <c r="N693" s="12">
        <f>ROUND(L693/M693, 0)</f>
        <v/>
      </c>
      <c r="O693" s="12">
        <f>ROUND(N693*'Methodology &amp; Assumptions'!$B$5, 0)</f>
        <v/>
      </c>
      <c r="P693" s="10" t="inlineStr">
        <is>
          <t>Single Carrier (Band n50, 100MHz TDD)</t>
        </is>
      </c>
      <c r="Q693" s="13">
        <f>ROUNDUP(O693/'Methodology &amp; Assumptions'!$B$6, 0)</f>
        <v/>
      </c>
      <c r="R693" s="13" t="n">
        <v>1</v>
      </c>
      <c r="S693" s="14" t="n">
        <v>29.47</v>
      </c>
      <c r="T693" s="14" t="n">
        <v>34.34</v>
      </c>
      <c r="U693" s="26">
        <f>IF(X693&gt;='Methodology &amp; Assumptions'!$B$7, "Tier 1 Critical GIDA (Score ≥ 50.0)", IF(X693&gt;='Methodology &amp; Assumptions'!$B$8, "Tier 2 High GIDA (Score 40.0–49.9)", "Tier 3 Moderate GIDA (Score &lt; 40.0)"))</f>
        <v/>
      </c>
      <c r="V693" s="26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W693" s="28" t="n">
        <v>0.11</v>
      </c>
      <c r="X693" s="14" t="n">
        <v>48.4</v>
      </c>
      <c r="Y693" s="14">
        <f>ROUND(MIN(100, (X693/69.91)*100), 2)</f>
        <v/>
      </c>
    </row>
    <row r="694">
      <c r="A694" s="10" t="n">
        <v>3</v>
      </c>
      <c r="B694" s="10" t="n">
        <v>690</v>
      </c>
      <c r="C694" s="10" t="n">
        <v>2690</v>
      </c>
      <c r="D694" s="10" t="inlineStr">
        <is>
          <t>0500511008</t>
        </is>
      </c>
      <c r="E694" s="26" t="inlineStr">
        <is>
          <t>Region V (Bicol Region)</t>
        </is>
      </c>
      <c r="F694" s="26" t="inlineStr">
        <is>
          <t>Albay</t>
        </is>
      </c>
      <c r="G694" s="26" t="inlineStr">
        <is>
          <t>Manito</t>
        </is>
      </c>
      <c r="H694" s="26" t="inlineStr">
        <is>
          <t>Cawit</t>
        </is>
      </c>
      <c r="I694" s="27" t="n">
        <v>13.129312</v>
      </c>
      <c r="J694" s="27" t="n">
        <v>123.862585</v>
      </c>
      <c r="K694" s="10" t="inlineStr">
        <is>
          <t>R</t>
        </is>
      </c>
      <c r="L694" s="12" t="n">
        <v>1143</v>
      </c>
      <c r="M694" s="14" t="n">
        <v>4.1</v>
      </c>
      <c r="N694" s="12">
        <f>ROUND(L694/M694, 0)</f>
        <v/>
      </c>
      <c r="O694" s="12">
        <f>ROUND(N694*'Methodology &amp; Assumptions'!$B$5, 0)</f>
        <v/>
      </c>
      <c r="P694" s="10" t="inlineStr">
        <is>
          <t>Single Carrier (Band n50, 100MHz TDD)</t>
        </is>
      </c>
      <c r="Q694" s="13">
        <f>ROUNDUP(O694/'Methodology &amp; Assumptions'!$B$6, 0)</f>
        <v/>
      </c>
      <c r="R694" s="13" t="n">
        <v>1</v>
      </c>
      <c r="S694" s="14" t="n">
        <v>0.89</v>
      </c>
      <c r="T694" s="14" t="n">
        <v>11.91</v>
      </c>
      <c r="U694" s="26">
        <f>IF(X694&gt;='Methodology &amp; Assumptions'!$B$7, "Tier 1 Critical GIDA (Score ≥ 50.0)", IF(X694&gt;='Methodology &amp; Assumptions'!$B$8, "Tier 2 High GIDA (Score 40.0–49.9)", "Tier 3 Moderate GIDA (Score &lt; 40.0)"))</f>
        <v/>
      </c>
      <c r="V694" s="26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W694" s="28" t="n">
        <v>0.237</v>
      </c>
      <c r="X694" s="14" t="n">
        <v>48.4</v>
      </c>
      <c r="Y694" s="14">
        <f>ROUND(MIN(100, (X694/69.91)*100), 2)</f>
        <v/>
      </c>
    </row>
    <row r="695">
      <c r="A695" s="10" t="n">
        <v>3</v>
      </c>
      <c r="B695" s="10" t="n">
        <v>691</v>
      </c>
      <c r="C695" s="10" t="n">
        <v>2691</v>
      </c>
      <c r="D695" s="10" t="inlineStr">
        <is>
          <t>0907214028</t>
        </is>
      </c>
      <c r="E695" s="26" t="inlineStr">
        <is>
          <t>Region IX (Zamboanga Peninsula)</t>
        </is>
      </c>
      <c r="F695" s="26" t="inlineStr">
        <is>
          <t>Zamboanga del Norte</t>
        </is>
      </c>
      <c r="G695" s="26" t="inlineStr">
        <is>
          <t>Sergio Osmeña Sr.</t>
        </is>
      </c>
      <c r="H695" s="26" t="inlineStr">
        <is>
          <t>San Antonio</t>
        </is>
      </c>
      <c r="I695" s="27" t="n">
        <v>8.249504</v>
      </c>
      <c r="J695" s="27" t="n">
        <v>123.31235</v>
      </c>
      <c r="K695" s="10" t="inlineStr">
        <is>
          <t>R</t>
        </is>
      </c>
      <c r="L695" s="12" t="n">
        <v>626</v>
      </c>
      <c r="M695" s="14" t="n">
        <v>3.6</v>
      </c>
      <c r="N695" s="12">
        <f>ROUND(L695/M695, 0)</f>
        <v/>
      </c>
      <c r="O695" s="12">
        <f>ROUND(N695*'Methodology &amp; Assumptions'!$B$5, 0)</f>
        <v/>
      </c>
      <c r="P695" s="10" t="inlineStr">
        <is>
          <t>Single Carrier (Band n50, 100MHz TDD)</t>
        </is>
      </c>
      <c r="Q695" s="13">
        <f>ROUNDUP(O695/'Methodology &amp; Assumptions'!$B$6, 0)</f>
        <v/>
      </c>
      <c r="R695" s="13" t="n">
        <v>1</v>
      </c>
      <c r="S695" s="14" t="n">
        <v>44.72</v>
      </c>
      <c r="T695" s="14" t="n">
        <v>44.54</v>
      </c>
      <c r="U695" s="26">
        <f>IF(X695&gt;='Methodology &amp; Assumptions'!$B$7, "Tier 1 Critical GIDA (Score ≥ 50.0)", IF(X695&gt;='Methodology &amp; Assumptions'!$B$8, "Tier 2 High GIDA (Score 40.0–49.9)", "Tier 3 Moderate GIDA (Score &lt; 40.0)"))</f>
        <v/>
      </c>
      <c r="V695" s="26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W695" s="28" t="n">
        <v>0.11</v>
      </c>
      <c r="X695" s="14" t="n">
        <v>48.4</v>
      </c>
      <c r="Y695" s="14">
        <f>ROUND(MIN(100, (X695/69.91)*100), 2)</f>
        <v/>
      </c>
    </row>
    <row r="696">
      <c r="A696" s="10" t="n">
        <v>3</v>
      </c>
      <c r="B696" s="10" t="n">
        <v>692</v>
      </c>
      <c r="C696" s="10" t="n">
        <v>2692</v>
      </c>
      <c r="D696" s="10" t="inlineStr">
        <is>
          <t>1380605080</t>
        </is>
      </c>
      <c r="E696" s="26" t="inlineStr">
        <is>
          <t>National Capital Region (NCR)</t>
        </is>
      </c>
      <c r="F696" s="26" t="inlineStr">
        <is>
          <t>First District (Not a Province)</t>
        </is>
      </c>
      <c r="G696" s="26" t="inlineStr">
        <is>
          <t>City of Manila</t>
        </is>
      </c>
      <c r="H696" s="26" t="inlineStr">
        <is>
          <t>Barangay 377</t>
        </is>
      </c>
      <c r="I696" s="27" t="n">
        <v>11.928196</v>
      </c>
      <c r="J696" s="27" t="n">
        <v>121.731384</v>
      </c>
      <c r="K696" s="10" t="inlineStr">
        <is>
          <t>U</t>
        </is>
      </c>
      <c r="L696" s="12" t="n">
        <v>596</v>
      </c>
      <c r="M696" s="14" t="n">
        <v>3.9</v>
      </c>
      <c r="N696" s="12">
        <f>ROUND(L696/M696, 0)</f>
        <v/>
      </c>
      <c r="O696" s="12">
        <f>ROUND(N696*'Methodology &amp; Assumptions'!$B$5, 0)</f>
        <v/>
      </c>
      <c r="P696" s="10" t="inlineStr">
        <is>
          <t>Single Carrier (Band n50, 100MHz TDD)</t>
        </is>
      </c>
      <c r="Q696" s="13">
        <f>ROUNDUP(O696/'Methodology &amp; Assumptions'!$B$6, 0)</f>
        <v/>
      </c>
      <c r="R696" s="13" t="n">
        <v>1</v>
      </c>
      <c r="S696" s="14" t="n">
        <v>23.44</v>
      </c>
      <c r="T696" s="14" t="n">
        <v>23.76</v>
      </c>
      <c r="U696" s="26">
        <f>IF(X696&gt;='Methodology &amp; Assumptions'!$B$7, "Tier 1 Critical GIDA (Score ≥ 50.0)", IF(X696&gt;='Methodology &amp; Assumptions'!$B$8, "Tier 2 High GIDA (Score 40.0–49.9)", "Tier 3 Moderate GIDA (Score &lt; 40.0)"))</f>
        <v/>
      </c>
      <c r="V696" s="26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W696" s="28" t="n">
        <v>0.109</v>
      </c>
      <c r="X696" s="14" t="n">
        <v>48.4</v>
      </c>
      <c r="Y696" s="14">
        <f>ROUND(MIN(100, (X696/69.91)*100), 2)</f>
        <v/>
      </c>
    </row>
    <row r="697">
      <c r="A697" s="10" t="n">
        <v>3</v>
      </c>
      <c r="B697" s="10" t="n">
        <v>693</v>
      </c>
      <c r="C697" s="10" t="n">
        <v>2693</v>
      </c>
      <c r="D697" s="10" t="inlineStr">
        <is>
          <t>1380606061</t>
        </is>
      </c>
      <c r="E697" s="26" t="inlineStr">
        <is>
          <t>National Capital Region (NCR)</t>
        </is>
      </c>
      <c r="F697" s="26" t="inlineStr">
        <is>
          <t>First District (Not a Province)</t>
        </is>
      </c>
      <c r="G697" s="26" t="inlineStr">
        <is>
          <t>City of Manila</t>
        </is>
      </c>
      <c r="H697" s="26" t="inlineStr">
        <is>
          <t>Barangay 455</t>
        </is>
      </c>
      <c r="I697" s="27" t="n">
        <v>13.610323</v>
      </c>
      <c r="J697" s="27" t="n">
        <v>121.145112</v>
      </c>
      <c r="K697" s="10" t="inlineStr">
        <is>
          <t>U</t>
        </is>
      </c>
      <c r="L697" s="12" t="n">
        <v>1313</v>
      </c>
      <c r="M697" s="14" t="n">
        <v>3.9</v>
      </c>
      <c r="N697" s="12">
        <f>ROUND(L697/M697, 0)</f>
        <v/>
      </c>
      <c r="O697" s="12">
        <f>ROUND(N697*'Methodology &amp; Assumptions'!$B$5, 0)</f>
        <v/>
      </c>
      <c r="P697" s="10" t="inlineStr">
        <is>
          <t>Single Carrier (Band n50, 100MHz TDD)</t>
        </is>
      </c>
      <c r="Q697" s="13">
        <f>ROUNDUP(O697/'Methodology &amp; Assumptions'!$B$6, 0)</f>
        <v/>
      </c>
      <c r="R697" s="13" t="n">
        <v>1</v>
      </c>
      <c r="S697" s="14" t="n">
        <v>5.76</v>
      </c>
      <c r="T697" s="14" t="n">
        <v>18.54</v>
      </c>
      <c r="U697" s="26">
        <f>IF(X697&gt;='Methodology &amp; Assumptions'!$B$7, "Tier 1 Critical GIDA (Score ≥ 50.0)", IF(X697&gt;='Methodology &amp; Assumptions'!$B$8, "Tier 2 High GIDA (Score 40.0–49.9)", "Tier 3 Moderate GIDA (Score &lt; 40.0)"))</f>
        <v/>
      </c>
      <c r="V697" s="26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W697" s="28" t="n">
        <v>0.109</v>
      </c>
      <c r="X697" s="14" t="n">
        <v>48.4</v>
      </c>
      <c r="Y697" s="14">
        <f>ROUND(MIN(100, (X697/69.91)*100), 2)</f>
        <v/>
      </c>
    </row>
    <row r="698">
      <c r="A698" s="10" t="n">
        <v>3</v>
      </c>
      <c r="B698" s="10" t="n">
        <v>694</v>
      </c>
      <c r="C698" s="10" t="n">
        <v>2694</v>
      </c>
      <c r="D698" s="10" t="inlineStr">
        <is>
          <t>0401005075</t>
        </is>
      </c>
      <c r="E698" s="26" t="inlineStr">
        <is>
          <t>Region IV-A (CALABARZON)</t>
        </is>
      </c>
      <c r="F698" s="26" t="inlineStr">
        <is>
          <t>Batangas</t>
        </is>
      </c>
      <c r="G698" s="26" t="inlineStr">
        <is>
          <t>Batangas City</t>
        </is>
      </c>
      <c r="H698" s="26" t="inlineStr">
        <is>
          <t>Barangay 6</t>
        </is>
      </c>
      <c r="I698" s="27" t="n">
        <v>13.760269</v>
      </c>
      <c r="J698" s="27" t="n">
        <v>121.063735</v>
      </c>
      <c r="K698" s="10" t="inlineStr">
        <is>
          <t>R</t>
        </is>
      </c>
      <c r="L698" s="12" t="n">
        <v>1859</v>
      </c>
      <c r="M698" s="14" t="n">
        <v>3.6</v>
      </c>
      <c r="N698" s="12">
        <f>ROUND(L698/M698, 0)</f>
        <v/>
      </c>
      <c r="O698" s="12">
        <f>ROUND(N698*'Methodology &amp; Assumptions'!$B$5, 0)</f>
        <v/>
      </c>
      <c r="P698" s="10" t="inlineStr">
        <is>
          <t>Single Carrier (Band n50, 100MHz TDD)</t>
        </is>
      </c>
      <c r="Q698" s="13">
        <f>ROUNDUP(O698/'Methodology &amp; Assumptions'!$B$6, 0)</f>
        <v/>
      </c>
      <c r="R698" s="13" t="n">
        <v>1</v>
      </c>
      <c r="S698" s="14" t="n">
        <v>0.78</v>
      </c>
      <c r="T698" s="14" t="n">
        <v>0.08</v>
      </c>
      <c r="U698" s="26">
        <f>IF(X698&gt;='Methodology &amp; Assumptions'!$B$7, "Tier 1 Critical GIDA (Score ≥ 50.0)", IF(X698&gt;='Methodology &amp; Assumptions'!$B$8, "Tier 2 High GIDA (Score 40.0–49.9)", "Tier 3 Moderate GIDA (Score &lt; 40.0)"))</f>
        <v/>
      </c>
      <c r="V698" s="26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W698" s="28" t="n">
        <v>0.07200000000000001</v>
      </c>
      <c r="X698" s="14" t="n">
        <v>48.4</v>
      </c>
      <c r="Y698" s="14">
        <f>ROUND(MIN(100, (X698/69.91)*100), 2)</f>
        <v/>
      </c>
    </row>
    <row r="699">
      <c r="A699" s="10" t="n">
        <v>3</v>
      </c>
      <c r="B699" s="10" t="n">
        <v>695</v>
      </c>
      <c r="C699" s="10" t="n">
        <v>2695</v>
      </c>
      <c r="D699" s="10" t="inlineStr">
        <is>
          <t>1380601049</t>
        </is>
      </c>
      <c r="E699" s="26" t="inlineStr">
        <is>
          <t>National Capital Region (NCR)</t>
        </is>
      </c>
      <c r="F699" s="26" t="inlineStr">
        <is>
          <t>First District (Not a Province)</t>
        </is>
      </c>
      <c r="G699" s="26" t="inlineStr">
        <is>
          <t>City of Manila</t>
        </is>
      </c>
      <c r="H699" s="26" t="inlineStr">
        <is>
          <t>Barangay 49</t>
        </is>
      </c>
      <c r="I699" s="27" t="n">
        <v>12.755033</v>
      </c>
      <c r="J699" s="27" t="n">
        <v>122.745379</v>
      </c>
      <c r="K699" s="10" t="inlineStr">
        <is>
          <t>U</t>
        </is>
      </c>
      <c r="L699" s="12" t="n">
        <v>2183</v>
      </c>
      <c r="M699" s="14" t="n">
        <v>3.9</v>
      </c>
      <c r="N699" s="12">
        <f>ROUND(L699/M699, 0)</f>
        <v/>
      </c>
      <c r="O699" s="12">
        <f>ROUND(N699*'Methodology &amp; Assumptions'!$B$5, 0)</f>
        <v/>
      </c>
      <c r="P699" s="10" t="inlineStr">
        <is>
          <t>Single Carrier (Band n50, 100MHz TDD)</t>
        </is>
      </c>
      <c r="Q699" s="13">
        <f>ROUNDUP(O699/'Methodology &amp; Assumptions'!$B$6, 0)</f>
        <v/>
      </c>
      <c r="R699" s="13" t="n">
        <v>1</v>
      </c>
      <c r="S699" s="14" t="n">
        <v>51.93</v>
      </c>
      <c r="T699" s="14" t="n">
        <v>79.42</v>
      </c>
      <c r="U699" s="26">
        <f>IF(X699&gt;='Methodology &amp; Assumptions'!$B$7, "Tier 1 Critical GIDA (Score ≥ 50.0)", IF(X699&gt;='Methodology &amp; Assumptions'!$B$8, "Tier 2 High GIDA (Score 40.0–49.9)", "Tier 3 Moderate GIDA (Score &lt; 40.0)"))</f>
        <v/>
      </c>
      <c r="V699" s="26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W699" s="28" t="n">
        <v>0.109</v>
      </c>
      <c r="X699" s="14" t="n">
        <v>48.4</v>
      </c>
      <c r="Y699" s="14">
        <f>ROUND(MIN(100, (X699/69.91)*100), 2)</f>
        <v/>
      </c>
    </row>
    <row r="700">
      <c r="A700" s="10" t="n">
        <v>3</v>
      </c>
      <c r="B700" s="10" t="n">
        <v>696</v>
      </c>
      <c r="C700" s="10" t="n">
        <v>2696</v>
      </c>
      <c r="D700" s="10" t="inlineStr">
        <is>
          <t>1380200001</t>
        </is>
      </c>
      <c r="E700" s="26" t="inlineStr">
        <is>
          <t>National Capital Region (NCR)</t>
        </is>
      </c>
      <c r="F700" s="26" t="inlineStr">
        <is>
          <t>Fourth District (Not a Province)</t>
        </is>
      </c>
      <c r="G700" s="26" t="inlineStr">
        <is>
          <t>City of Las Piñas</t>
        </is>
      </c>
      <c r="H700" s="26" t="inlineStr">
        <is>
          <t>Almanza Uno</t>
        </is>
      </c>
      <c r="I700" s="27" t="n">
        <v>14.431944</v>
      </c>
      <c r="J700" s="27" t="n">
        <v>121.013333</v>
      </c>
      <c r="K700" s="10" t="inlineStr">
        <is>
          <t>U</t>
        </is>
      </c>
      <c r="L700" s="12" t="n">
        <v>36785</v>
      </c>
      <c r="M700" s="14" t="n">
        <v>3.8</v>
      </c>
      <c r="N700" s="12">
        <f>ROUND(L700/M700, 0)</f>
        <v/>
      </c>
      <c r="O700" s="12">
        <f>ROUND(N700*'Methodology &amp; Assumptions'!$B$5, 0)</f>
        <v/>
      </c>
      <c r="P700" s="10" t="inlineStr">
        <is>
          <t>Single Carrier (Band n50, 100MHz TDD)</t>
        </is>
      </c>
      <c r="Q700" s="13">
        <f>ROUNDUP(O700/'Methodology &amp; Assumptions'!$B$6, 0)</f>
        <v/>
      </c>
      <c r="R700" s="13" t="n">
        <v>1</v>
      </c>
      <c r="S700" s="14" t="n">
        <v>0.5</v>
      </c>
      <c r="T700" s="14" t="n">
        <v>0.06</v>
      </c>
      <c r="U700" s="26">
        <f>IF(X700&gt;='Methodology &amp; Assumptions'!$B$7, "Tier 1 Critical GIDA (Score ≥ 50.0)", IF(X700&gt;='Methodology &amp; Assumptions'!$B$8, "Tier 2 High GIDA (Score 40.0–49.9)", "Tier 3 Moderate GIDA (Score &lt; 40.0)"))</f>
        <v/>
      </c>
      <c r="V700" s="26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W700" s="28" t="n">
        <v>0.109</v>
      </c>
      <c r="X700" s="14" t="n">
        <v>48.4</v>
      </c>
      <c r="Y700" s="14">
        <f>ROUND(MIN(100, (X700/69.91)*100), 2)</f>
        <v/>
      </c>
    </row>
    <row r="701">
      <c r="A701" s="10" t="n">
        <v>3</v>
      </c>
      <c r="B701" s="10" t="n">
        <v>697</v>
      </c>
      <c r="C701" s="10" t="n">
        <v>2697</v>
      </c>
      <c r="D701" s="10" t="inlineStr">
        <is>
          <t>0704624002</t>
        </is>
      </c>
      <c r="E701" s="26" t="inlineStr">
        <is>
          <t>Region VII (Central Visayas)</t>
        </is>
      </c>
      <c r="F701" s="26" t="inlineStr">
        <is>
          <t>Negros Oriental</t>
        </is>
      </c>
      <c r="G701" s="26" t="inlineStr">
        <is>
          <t>Vallehermoso</t>
        </is>
      </c>
      <c r="H701" s="26" t="inlineStr">
        <is>
          <t>Bairan</t>
        </is>
      </c>
      <c r="I701" s="27" t="n">
        <v>10.394585</v>
      </c>
      <c r="J701" s="27" t="n">
        <v>123.292484</v>
      </c>
      <c r="K701" s="10" t="inlineStr">
        <is>
          <t>R</t>
        </is>
      </c>
      <c r="L701" s="12" t="n">
        <v>635</v>
      </c>
      <c r="M701" s="14" t="n">
        <v>3.8</v>
      </c>
      <c r="N701" s="12">
        <f>ROUND(L701/M701, 0)</f>
        <v/>
      </c>
      <c r="O701" s="12">
        <f>ROUND(N701*'Methodology &amp; Assumptions'!$B$5, 0)</f>
        <v/>
      </c>
      <c r="P701" s="10" t="inlineStr">
        <is>
          <t>Single Carrier (Band n50, 100MHz TDD)</t>
        </is>
      </c>
      <c r="Q701" s="13">
        <f>ROUNDUP(O701/'Methodology &amp; Assumptions'!$B$6, 0)</f>
        <v/>
      </c>
      <c r="R701" s="13" t="n">
        <v>1</v>
      </c>
      <c r="S701" s="14" t="n">
        <v>4.69</v>
      </c>
      <c r="T701" s="14" t="n">
        <v>2.05</v>
      </c>
      <c r="U701" s="26">
        <f>IF(X701&gt;='Methodology &amp; Assumptions'!$B$7, "Tier 1 Critical GIDA (Score ≥ 50.0)", IF(X701&gt;='Methodology &amp; Assumptions'!$B$8, "Tier 2 High GIDA (Score 40.0–49.9)", "Tier 3 Moderate GIDA (Score &lt; 40.0)"))</f>
        <v/>
      </c>
      <c r="V701" s="26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W701" s="28" t="n">
        <v>0.237</v>
      </c>
      <c r="X701" s="14" t="n">
        <v>48.4</v>
      </c>
      <c r="Y701" s="14">
        <f>ROUND(MIN(100, (X701/69.91)*100), 2)</f>
        <v/>
      </c>
    </row>
    <row r="702">
      <c r="A702" s="10" t="n">
        <v>3</v>
      </c>
      <c r="B702" s="10" t="n">
        <v>698</v>
      </c>
      <c r="C702" s="10" t="n">
        <v>2698</v>
      </c>
      <c r="D702" s="10" t="inlineStr">
        <is>
          <t>1380601075</t>
        </is>
      </c>
      <c r="E702" s="26" t="inlineStr">
        <is>
          <t>National Capital Region (NCR)</t>
        </is>
      </c>
      <c r="F702" s="26" t="inlineStr">
        <is>
          <t>First District (Not a Province)</t>
        </is>
      </c>
      <c r="G702" s="26" t="inlineStr">
        <is>
          <t>City of Manila</t>
        </is>
      </c>
      <c r="H702" s="26" t="inlineStr">
        <is>
          <t>Barangay 75</t>
        </is>
      </c>
      <c r="I702" s="27" t="n">
        <v>12.331097</v>
      </c>
      <c r="J702" s="27" t="n">
        <v>120.970293</v>
      </c>
      <c r="K702" s="10" t="inlineStr">
        <is>
          <t>U</t>
        </is>
      </c>
      <c r="L702" s="12" t="n">
        <v>1391</v>
      </c>
      <c r="M702" s="14" t="n">
        <v>3.9</v>
      </c>
      <c r="N702" s="12">
        <f>ROUND(L702/M702, 0)</f>
        <v/>
      </c>
      <c r="O702" s="12">
        <f>ROUND(N702*'Methodology &amp; Assumptions'!$B$5, 0)</f>
        <v/>
      </c>
      <c r="P702" s="10" t="inlineStr">
        <is>
          <t>Single Carrier (Band n50, 100MHz TDD)</t>
        </is>
      </c>
      <c r="Q702" s="13">
        <f>ROUNDUP(O702/'Methodology &amp; Assumptions'!$B$6, 0)</f>
        <v/>
      </c>
      <c r="R702" s="13" t="n">
        <v>1</v>
      </c>
      <c r="S702" s="14" t="n">
        <v>10.48</v>
      </c>
      <c r="T702" s="14" t="n">
        <v>10.12</v>
      </c>
      <c r="U702" s="26">
        <f>IF(X702&gt;='Methodology &amp; Assumptions'!$B$7, "Tier 1 Critical GIDA (Score ≥ 50.0)", IF(X702&gt;='Methodology &amp; Assumptions'!$B$8, "Tier 2 High GIDA (Score 40.0–49.9)", "Tier 3 Moderate GIDA (Score &lt; 40.0)"))</f>
        <v/>
      </c>
      <c r="V702" s="26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W702" s="28" t="n">
        <v>0.109</v>
      </c>
      <c r="X702" s="14" t="n">
        <v>48.4</v>
      </c>
      <c r="Y702" s="14">
        <f>ROUND(MIN(100, (X702/69.91)*100), 2)</f>
        <v/>
      </c>
    </row>
    <row r="703">
      <c r="A703" s="10" t="n">
        <v>3</v>
      </c>
      <c r="B703" s="10" t="n">
        <v>699</v>
      </c>
      <c r="C703" s="10" t="n">
        <v>2699</v>
      </c>
      <c r="D703" s="10" t="inlineStr">
        <is>
          <t>PH0002699</t>
        </is>
      </c>
      <c r="E703" s="26" t="inlineStr">
        <is>
          <t>NCR</t>
        </is>
      </c>
      <c r="F703" s="26" t="inlineStr">
        <is>
          <t>Metro Manila</t>
        </is>
      </c>
      <c r="G703" s="26" t="inlineStr">
        <is>
          <t>Caloocan City</t>
        </is>
      </c>
      <c r="H703" s="26" t="inlineStr">
        <is>
          <t>Barangay 151</t>
        </is>
      </c>
      <c r="I703" s="27" t="n">
        <v>13.706991</v>
      </c>
      <c r="J703" s="27" t="n">
        <v>122.985987</v>
      </c>
      <c r="K703" s="10" t="inlineStr">
        <is>
          <t>R</t>
        </is>
      </c>
      <c r="L703" s="12" t="n">
        <v>2279</v>
      </c>
      <c r="M703" s="14" t="n">
        <v>3.8</v>
      </c>
      <c r="N703" s="12">
        <f>ROUND(L703/M703, 0)</f>
        <v/>
      </c>
      <c r="O703" s="12">
        <f>ROUND(N703*'Methodology &amp; Assumptions'!$B$5, 0)</f>
        <v/>
      </c>
      <c r="P703" s="10" t="inlineStr">
        <is>
          <t>Single Carrier (Band n50, 100MHz TDD)</t>
        </is>
      </c>
      <c r="Q703" s="13">
        <f>ROUNDUP(O703/'Methodology &amp; Assumptions'!$B$6, 0)</f>
        <v/>
      </c>
      <c r="R703" s="13" t="n">
        <v>1</v>
      </c>
      <c r="S703" s="14" t="n">
        <v>4.78</v>
      </c>
      <c r="T703" s="14" t="n">
        <v>0.51</v>
      </c>
      <c r="U703" s="26">
        <f>IF(X703&gt;='Methodology &amp; Assumptions'!$B$7, "Tier 1 Critical GIDA (Score ≥ 50.0)", IF(X703&gt;='Methodology &amp; Assumptions'!$B$8, "Tier 2 High GIDA (Score 40.0–49.9)", "Tier 3 Moderate GIDA (Score &lt; 40.0)"))</f>
        <v/>
      </c>
      <c r="V703" s="26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W703" s="28" t="n">
        <v>0.011</v>
      </c>
      <c r="X703" s="14" t="n">
        <v>48.4</v>
      </c>
      <c r="Y703" s="14">
        <f>ROUND(MIN(100, (X703/69.91)*100), 2)</f>
        <v/>
      </c>
    </row>
    <row r="704">
      <c r="A704" s="10" t="n">
        <v>3</v>
      </c>
      <c r="B704" s="10" t="n">
        <v>700</v>
      </c>
      <c r="C704" s="10" t="n">
        <v>2700</v>
      </c>
      <c r="D704" s="10" t="inlineStr">
        <is>
          <t>PH0002700</t>
        </is>
      </c>
      <c r="E704" s="26" t="inlineStr">
        <is>
          <t>CAR</t>
        </is>
      </c>
      <c r="F704" s="26" t="inlineStr">
        <is>
          <t>Benguet</t>
        </is>
      </c>
      <c r="G704" s="26" t="inlineStr">
        <is>
          <t>Baguio City</t>
        </is>
      </c>
      <c r="H704" s="26" t="inlineStr">
        <is>
          <t>Sanitary Camp, South</t>
        </is>
      </c>
      <c r="I704" s="27" t="n">
        <v>16.403833</v>
      </c>
      <c r="J704" s="27" t="n">
        <v>120.569556</v>
      </c>
      <c r="K704" s="10" t="inlineStr">
        <is>
          <t>R</t>
        </is>
      </c>
      <c r="L704" s="12" t="n">
        <v>2260</v>
      </c>
      <c r="M704" s="14" t="n">
        <v>3.5</v>
      </c>
      <c r="N704" s="12">
        <f>ROUND(L704/M704, 0)</f>
        <v/>
      </c>
      <c r="O704" s="12">
        <f>ROUND(N704*'Methodology &amp; Assumptions'!$B$5, 0)</f>
        <v/>
      </c>
      <c r="P704" s="10" t="inlineStr">
        <is>
          <t>Single Carrier (Band n50, 100MHz TDD)</t>
        </is>
      </c>
      <c r="Q704" s="13">
        <f>ROUNDUP(O704/'Methodology &amp; Assumptions'!$B$6, 0)</f>
        <v/>
      </c>
      <c r="R704" s="13" t="n">
        <v>1</v>
      </c>
      <c r="S704" s="14" t="n">
        <v>0.72</v>
      </c>
      <c r="T704" s="14" t="n">
        <v>0.78</v>
      </c>
      <c r="U704" s="26">
        <f>IF(X704&gt;='Methodology &amp; Assumptions'!$B$7, "Tier 1 Critical GIDA (Score ≥ 50.0)", IF(X704&gt;='Methodology &amp; Assumptions'!$B$8, "Tier 2 High GIDA (Score 40.0–49.9)", "Tier 3 Moderate GIDA (Score &lt; 40.0)"))</f>
        <v/>
      </c>
      <c r="V704" s="26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W704" s="28" t="n">
        <v>0.221</v>
      </c>
      <c r="X704" s="14" t="n">
        <v>48.4</v>
      </c>
      <c r="Y704" s="14">
        <f>ROUND(MIN(100, (X704/69.91)*100), 2)</f>
        <v/>
      </c>
    </row>
    <row r="705">
      <c r="A705" s="10" t="n">
        <v>3</v>
      </c>
      <c r="B705" s="10" t="n">
        <v>701</v>
      </c>
      <c r="C705" s="10" t="n">
        <v>2701</v>
      </c>
      <c r="D705" s="10" t="inlineStr">
        <is>
          <t>1903620037</t>
        </is>
      </c>
      <c r="E705" s="26" t="inlineStr">
        <is>
          <t>Bangsamoro Autonomous Region In Muslim Mindanao (BARMM)</t>
        </is>
      </c>
      <c r="F705" s="26" t="inlineStr">
        <is>
          <t>Lanao del Sur</t>
        </is>
      </c>
      <c r="G705" s="26" t="inlineStr">
        <is>
          <t>Pagayawan</t>
        </is>
      </c>
      <c r="H705" s="26" t="inlineStr">
        <is>
          <t>Paigoay</t>
        </is>
      </c>
      <c r="I705" s="27" t="n">
        <v>17.251021</v>
      </c>
      <c r="J705" s="27" t="n">
        <v>122.232215</v>
      </c>
      <c r="K705" s="10" t="inlineStr">
        <is>
          <t>R</t>
        </is>
      </c>
      <c r="L705" s="12" t="n">
        <v>883</v>
      </c>
      <c r="M705" s="14" t="n">
        <v>5.7</v>
      </c>
      <c r="N705" s="12">
        <f>ROUND(L705/M705, 0)</f>
        <v/>
      </c>
      <c r="O705" s="12">
        <f>ROUND(N705*'Methodology &amp; Assumptions'!$B$5, 0)</f>
        <v/>
      </c>
      <c r="P705" s="10" t="inlineStr">
        <is>
          <t>Single Carrier (Band n50, 100MHz TDD)</t>
        </is>
      </c>
      <c r="Q705" s="13">
        <f>ROUNDUP(O705/'Methodology &amp; Assumptions'!$B$6, 0)</f>
        <v/>
      </c>
      <c r="R705" s="13" t="n">
        <v>1</v>
      </c>
      <c r="S705" s="14" t="n">
        <v>29.42</v>
      </c>
      <c r="T705" s="14" t="n">
        <v>34.52</v>
      </c>
      <c r="U705" s="26">
        <f>IF(X705&gt;='Methodology &amp; Assumptions'!$B$7, "Tier 1 Critical GIDA (Score ≥ 50.0)", IF(X705&gt;='Methodology &amp; Assumptions'!$B$8, "Tier 2 High GIDA (Score 40.0–49.9)", "Tier 3 Moderate GIDA (Score &lt; 40.0)"))</f>
        <v/>
      </c>
      <c r="V705" s="26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W705" s="28" t="n">
        <v>0.11</v>
      </c>
      <c r="X705" s="14" t="n">
        <v>48.4</v>
      </c>
      <c r="Y705" s="14">
        <f>ROUND(MIN(100, (X705/69.91)*100), 2)</f>
        <v/>
      </c>
    </row>
    <row r="706">
      <c r="A706" s="10" t="n">
        <v>3</v>
      </c>
      <c r="B706" s="10" t="n">
        <v>702</v>
      </c>
      <c r="C706" s="10" t="n">
        <v>2702</v>
      </c>
      <c r="D706" s="10" t="inlineStr">
        <is>
          <t>1380614090</t>
        </is>
      </c>
      <c r="E706" s="26" t="inlineStr">
        <is>
          <t>National Capital Region (NCR)</t>
        </is>
      </c>
      <c r="F706" s="26" t="inlineStr">
        <is>
          <t>First District (Not a Province)</t>
        </is>
      </c>
      <c r="G706" s="26" t="inlineStr">
        <is>
          <t>City of Manila</t>
        </is>
      </c>
      <c r="H706" s="26" t="inlineStr">
        <is>
          <t>Barangay 897</t>
        </is>
      </c>
      <c r="I706" s="27" t="n">
        <v>13.814806</v>
      </c>
      <c r="J706" s="27" t="n">
        <v>121.986658</v>
      </c>
      <c r="K706" s="10" t="inlineStr">
        <is>
          <t>U</t>
        </is>
      </c>
      <c r="L706" s="12" t="n">
        <v>2232</v>
      </c>
      <c r="M706" s="14" t="n">
        <v>3.9</v>
      </c>
      <c r="N706" s="12">
        <f>ROUND(L706/M706, 0)</f>
        <v/>
      </c>
      <c r="O706" s="12">
        <f>ROUND(N706*'Methodology &amp; Assumptions'!$B$5, 0)</f>
        <v/>
      </c>
      <c r="P706" s="10" t="inlineStr">
        <is>
          <t>Single Carrier (Band n50, 100MHz TDD)</t>
        </is>
      </c>
      <c r="Q706" s="13">
        <f>ROUNDUP(O706/'Methodology &amp; Assumptions'!$B$6, 0)</f>
        <v/>
      </c>
      <c r="R706" s="13" t="n">
        <v>1</v>
      </c>
      <c r="S706" s="14" t="n">
        <v>2.8</v>
      </c>
      <c r="T706" s="14" t="n">
        <v>2.22</v>
      </c>
      <c r="U706" s="26">
        <f>IF(X706&gt;='Methodology &amp; Assumptions'!$B$7, "Tier 1 Critical GIDA (Score ≥ 50.0)", IF(X706&gt;='Methodology &amp; Assumptions'!$B$8, "Tier 2 High GIDA (Score 40.0–49.9)", "Tier 3 Moderate GIDA (Score &lt; 40.0)"))</f>
        <v/>
      </c>
      <c r="V706" s="26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W706" s="28" t="n">
        <v>0.109</v>
      </c>
      <c r="X706" s="14" t="n">
        <v>48.4</v>
      </c>
      <c r="Y706" s="14">
        <f>ROUND(MIN(100, (X706/69.91)*100), 2)</f>
        <v/>
      </c>
    </row>
    <row r="707">
      <c r="A707" s="10" t="n">
        <v>3</v>
      </c>
      <c r="B707" s="10" t="n">
        <v>703</v>
      </c>
      <c r="C707" s="10" t="n">
        <v>2703</v>
      </c>
      <c r="D707" s="10" t="inlineStr">
        <is>
          <t>1908713017</t>
        </is>
      </c>
      <c r="E707" s="26" t="inlineStr">
        <is>
          <t>Bangsamoro Autonomous Region In Muslim Mindanao (BARMM)</t>
        </is>
      </c>
      <c r="F707" s="26" t="inlineStr">
        <is>
          <t>Maguindanao del Norte</t>
        </is>
      </c>
      <c r="G707" s="26" t="inlineStr">
        <is>
          <t>Upi</t>
        </is>
      </c>
      <c r="H707" s="26" t="inlineStr">
        <is>
          <t>Ranao Pilayan</t>
        </is>
      </c>
      <c r="I707" s="27" t="n">
        <v>17.254033</v>
      </c>
      <c r="J707" s="27" t="n">
        <v>122.228077</v>
      </c>
      <c r="K707" s="10" t="inlineStr">
        <is>
          <t>R</t>
        </is>
      </c>
      <c r="L707" s="12" t="n">
        <v>2384</v>
      </c>
      <c r="M707" s="14" t="n">
        <v>4.3</v>
      </c>
      <c r="N707" s="12">
        <f>ROUND(L707/M707, 0)</f>
        <v/>
      </c>
      <c r="O707" s="12">
        <f>ROUND(N707*'Methodology &amp; Assumptions'!$B$5, 0)</f>
        <v/>
      </c>
      <c r="P707" s="10" t="inlineStr">
        <is>
          <t>Single Carrier (Band n50, 100MHz TDD)</t>
        </is>
      </c>
      <c r="Q707" s="13">
        <f>ROUNDUP(O707/'Methodology &amp; Assumptions'!$B$6, 0)</f>
        <v/>
      </c>
      <c r="R707" s="13" t="n">
        <v>1</v>
      </c>
      <c r="S707" s="14" t="n">
        <v>29.29</v>
      </c>
      <c r="T707" s="14" t="n">
        <v>34.19</v>
      </c>
      <c r="U707" s="26">
        <f>IF(X707&gt;='Methodology &amp; Assumptions'!$B$7, "Tier 1 Critical GIDA (Score ≥ 50.0)", IF(X707&gt;='Methodology &amp; Assumptions'!$B$8, "Tier 2 High GIDA (Score 40.0–49.9)", "Tier 3 Moderate GIDA (Score &lt; 40.0)"))</f>
        <v/>
      </c>
      <c r="V707" s="26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W707" s="28" t="n">
        <v>0.11</v>
      </c>
      <c r="X707" s="14" t="n">
        <v>48.4</v>
      </c>
      <c r="Y707" s="14">
        <f>ROUND(MIN(100, (X707/69.91)*100), 2)</f>
        <v/>
      </c>
    </row>
    <row r="708">
      <c r="A708" s="10" t="n">
        <v>3</v>
      </c>
      <c r="B708" s="10" t="n">
        <v>704</v>
      </c>
      <c r="C708" s="10" t="n">
        <v>2704</v>
      </c>
      <c r="D708" s="10" t="inlineStr">
        <is>
          <t>1380605020</t>
        </is>
      </c>
      <c r="E708" s="26" t="inlineStr">
        <is>
          <t>National Capital Region (NCR)</t>
        </is>
      </c>
      <c r="F708" s="26" t="inlineStr">
        <is>
          <t>First District (Not a Province)</t>
        </is>
      </c>
      <c r="G708" s="26" t="inlineStr">
        <is>
          <t>City of Manila</t>
        </is>
      </c>
      <c r="H708" s="26" t="inlineStr">
        <is>
          <t>Barangay 318</t>
        </is>
      </c>
      <c r="I708" s="27" t="n">
        <v>12.049044</v>
      </c>
      <c r="J708" s="27" t="n">
        <v>122.265957</v>
      </c>
      <c r="K708" s="10" t="inlineStr">
        <is>
          <t>U</t>
        </is>
      </c>
      <c r="L708" s="12" t="n">
        <v>762</v>
      </c>
      <c r="M708" s="14" t="n">
        <v>3.9</v>
      </c>
      <c r="N708" s="12">
        <f>ROUND(L708/M708, 0)</f>
        <v/>
      </c>
      <c r="O708" s="12">
        <f>ROUND(N708*'Methodology &amp; Assumptions'!$B$5, 0)</f>
        <v/>
      </c>
      <c r="P708" s="10" t="inlineStr">
        <is>
          <t>Single Carrier (Band n50, 100MHz TDD)</t>
        </is>
      </c>
      <c r="Q708" s="13">
        <f>ROUNDUP(O708/'Methodology &amp; Assumptions'!$B$6, 0)</f>
        <v/>
      </c>
      <c r="R708" s="13" t="n">
        <v>1</v>
      </c>
      <c r="S708" s="14" t="n">
        <v>36.58</v>
      </c>
      <c r="T708" s="14" t="n">
        <v>6.83</v>
      </c>
      <c r="U708" s="26">
        <f>IF(X708&gt;='Methodology &amp; Assumptions'!$B$7, "Tier 1 Critical GIDA (Score ≥ 50.0)", IF(X708&gt;='Methodology &amp; Assumptions'!$B$8, "Tier 2 High GIDA (Score 40.0–49.9)", "Tier 3 Moderate GIDA (Score &lt; 40.0)"))</f>
        <v/>
      </c>
      <c r="V708" s="26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W708" s="28" t="n">
        <v>0.109</v>
      </c>
      <c r="X708" s="14" t="n">
        <v>48.39</v>
      </c>
      <c r="Y708" s="14">
        <f>ROUND(MIN(100, (X708/69.91)*100), 2)</f>
        <v/>
      </c>
    </row>
    <row r="709">
      <c r="A709" s="10" t="n">
        <v>3</v>
      </c>
      <c r="B709" s="10" t="n">
        <v>705</v>
      </c>
      <c r="C709" s="10" t="n">
        <v>2705</v>
      </c>
      <c r="D709" s="10" t="inlineStr">
        <is>
          <t>1380601190</t>
        </is>
      </c>
      <c r="E709" s="26" t="inlineStr">
        <is>
          <t>National Capital Region (NCR)</t>
        </is>
      </c>
      <c r="F709" s="26" t="inlineStr">
        <is>
          <t>First District (Not a Province)</t>
        </is>
      </c>
      <c r="G709" s="26" t="inlineStr">
        <is>
          <t>City of Manila</t>
        </is>
      </c>
      <c r="H709" s="26" t="inlineStr">
        <is>
          <t>Barangay 190</t>
        </is>
      </c>
      <c r="I709" s="27" t="n">
        <v>13.168531</v>
      </c>
      <c r="J709" s="27" t="n">
        <v>120.834304</v>
      </c>
      <c r="K709" s="10" t="inlineStr">
        <is>
          <t>U</t>
        </is>
      </c>
      <c r="L709" s="12" t="n">
        <v>1269</v>
      </c>
      <c r="M709" s="14" t="n">
        <v>3.9</v>
      </c>
      <c r="N709" s="12">
        <f>ROUND(L709/M709, 0)</f>
        <v/>
      </c>
      <c r="O709" s="12">
        <f>ROUND(N709*'Methodology &amp; Assumptions'!$B$5, 0)</f>
        <v/>
      </c>
      <c r="P709" s="10" t="inlineStr">
        <is>
          <t>Single Carrier (Band n50, 100MHz TDD)</t>
        </is>
      </c>
      <c r="Q709" s="13">
        <f>ROUNDUP(O709/'Methodology &amp; Assumptions'!$B$6, 0)</f>
        <v/>
      </c>
      <c r="R709" s="13" t="n">
        <v>1</v>
      </c>
      <c r="S709" s="14" t="n">
        <v>35.4</v>
      </c>
      <c r="T709" s="14" t="n">
        <v>33.16</v>
      </c>
      <c r="U709" s="26">
        <f>IF(X709&gt;='Methodology &amp; Assumptions'!$B$7, "Tier 1 Critical GIDA (Score ≥ 50.0)", IF(X709&gt;='Methodology &amp; Assumptions'!$B$8, "Tier 2 High GIDA (Score 40.0–49.9)", "Tier 3 Moderate GIDA (Score &lt; 40.0)"))</f>
        <v/>
      </c>
      <c r="V709" s="26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W709" s="28" t="n">
        <v>0.109</v>
      </c>
      <c r="X709" s="14" t="n">
        <v>48.39</v>
      </c>
      <c r="Y709" s="14">
        <f>ROUND(MIN(100, (X709/69.91)*100), 2)</f>
        <v/>
      </c>
    </row>
    <row r="710">
      <c r="A710" s="10" t="n">
        <v>3</v>
      </c>
      <c r="B710" s="10" t="n">
        <v>706</v>
      </c>
      <c r="C710" s="10" t="n">
        <v>2706</v>
      </c>
      <c r="D710" s="10" t="inlineStr">
        <is>
          <t>0806007059</t>
        </is>
      </c>
      <c r="E710" s="26" t="inlineStr">
        <is>
          <t>Region VIII (Eastern Visayas)</t>
        </is>
      </c>
      <c r="F710" s="26" t="inlineStr">
        <is>
          <t>Samar</t>
        </is>
      </c>
      <c r="G710" s="26" t="inlineStr">
        <is>
          <t>Gandara</t>
        </is>
      </c>
      <c r="H710" s="26" t="inlineStr">
        <is>
          <t>Palambrag</t>
        </is>
      </c>
      <c r="I710" s="27" t="n">
        <v>12.08173</v>
      </c>
      <c r="J710" s="27" t="n">
        <v>124.86342</v>
      </c>
      <c r="K710" s="10" t="inlineStr">
        <is>
          <t>R</t>
        </is>
      </c>
      <c r="L710" s="12" t="n">
        <v>256</v>
      </c>
      <c r="M710" s="14" t="n">
        <v>4.1</v>
      </c>
      <c r="N710" s="12">
        <f>ROUND(L710/M710, 0)</f>
        <v/>
      </c>
      <c r="O710" s="12">
        <f>ROUND(N710*'Methodology &amp; Assumptions'!$B$5, 0)</f>
        <v/>
      </c>
      <c r="P710" s="10" t="inlineStr">
        <is>
          <t>Single Carrier (Band n50, 100MHz TDD)</t>
        </is>
      </c>
      <c r="Q710" s="13">
        <f>ROUNDUP(O710/'Methodology &amp; Assumptions'!$B$6, 0)</f>
        <v/>
      </c>
      <c r="R710" s="13" t="n">
        <v>1</v>
      </c>
      <c r="S710" s="14" t="n">
        <v>88.98999999999999</v>
      </c>
      <c r="T710" s="14" t="n">
        <v>88.95</v>
      </c>
      <c r="U710" s="26">
        <f>IF(X710&gt;='Methodology &amp; Assumptions'!$B$7, "Tier 1 Critical GIDA (Score ≥ 50.0)", IF(X710&gt;='Methodology &amp; Assumptions'!$B$8, "Tier 2 High GIDA (Score 40.0–49.9)", "Tier 3 Moderate GIDA (Score &lt; 40.0)"))</f>
        <v/>
      </c>
      <c r="V710" s="26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W710" s="28" t="n">
        <v>0.237</v>
      </c>
      <c r="X710" s="14" t="n">
        <v>48.39</v>
      </c>
      <c r="Y710" s="14">
        <f>ROUND(MIN(100, (X710/69.91)*100), 2)</f>
        <v/>
      </c>
    </row>
    <row r="711">
      <c r="A711" s="10" t="n">
        <v>3</v>
      </c>
      <c r="B711" s="10" t="n">
        <v>707</v>
      </c>
      <c r="C711" s="10" t="n">
        <v>2707</v>
      </c>
      <c r="D711" s="10" t="inlineStr">
        <is>
          <t>0806007002</t>
        </is>
      </c>
      <c r="E711" s="26" t="inlineStr">
        <is>
          <t>Region VIII (Eastern Visayas)</t>
        </is>
      </c>
      <c r="F711" s="26" t="inlineStr">
        <is>
          <t>Samar</t>
        </is>
      </c>
      <c r="G711" s="26" t="inlineStr">
        <is>
          <t>Gandara</t>
        </is>
      </c>
      <c r="H711" s="26" t="inlineStr">
        <is>
          <t>Balocawe</t>
        </is>
      </c>
      <c r="I711" s="27" t="n">
        <v>12.132869</v>
      </c>
      <c r="J711" s="27" t="n">
        <v>124.762456</v>
      </c>
      <c r="K711" s="10" t="inlineStr">
        <is>
          <t>R</t>
        </is>
      </c>
      <c r="L711" s="12" t="n">
        <v>363</v>
      </c>
      <c r="M711" s="14" t="n">
        <v>4.1</v>
      </c>
      <c r="N711" s="12">
        <f>ROUND(L711/M711, 0)</f>
        <v/>
      </c>
      <c r="O711" s="12">
        <f>ROUND(N711*'Methodology &amp; Assumptions'!$B$5, 0)</f>
        <v/>
      </c>
      <c r="P711" s="10" t="inlineStr">
        <is>
          <t>Single Carrier (Band n50, 100MHz TDD)</t>
        </is>
      </c>
      <c r="Q711" s="13">
        <f>ROUNDUP(O711/'Methodology &amp; Assumptions'!$B$6, 0)</f>
        <v/>
      </c>
      <c r="R711" s="13" t="n">
        <v>1</v>
      </c>
      <c r="S711" s="14" t="n">
        <v>89.51000000000001</v>
      </c>
      <c r="T711" s="14" t="n">
        <v>89.5</v>
      </c>
      <c r="U711" s="26">
        <f>IF(X711&gt;='Methodology &amp; Assumptions'!$B$7, "Tier 1 Critical GIDA (Score ≥ 50.0)", IF(X711&gt;='Methodology &amp; Assumptions'!$B$8, "Tier 2 High GIDA (Score 40.0–49.9)", "Tier 3 Moderate GIDA (Score &lt; 40.0)"))</f>
        <v/>
      </c>
      <c r="V711" s="26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W711" s="28" t="n">
        <v>0.237</v>
      </c>
      <c r="X711" s="14" t="n">
        <v>48.39</v>
      </c>
      <c r="Y711" s="14">
        <f>ROUND(MIN(100, (X711/69.91)*100), 2)</f>
        <v/>
      </c>
    </row>
    <row r="712">
      <c r="A712" s="10" t="n">
        <v>3</v>
      </c>
      <c r="B712" s="10" t="n">
        <v>708</v>
      </c>
      <c r="C712" s="10" t="n">
        <v>2708</v>
      </c>
      <c r="D712" s="10" t="inlineStr">
        <is>
          <t>0806013019</t>
        </is>
      </c>
      <c r="E712" s="26" t="inlineStr">
        <is>
          <t>Region VIII (Eastern Visayas)</t>
        </is>
      </c>
      <c r="F712" s="26" t="inlineStr">
        <is>
          <t>Samar</t>
        </is>
      </c>
      <c r="G712" s="26" t="inlineStr">
        <is>
          <t>Pinabacdao</t>
        </is>
      </c>
      <c r="H712" s="26" t="inlineStr">
        <is>
          <t>Manaing</t>
        </is>
      </c>
      <c r="I712" s="27" t="n">
        <v>11.4956</v>
      </c>
      <c r="J712" s="27" t="n">
        <v>125.0623</v>
      </c>
      <c r="K712" s="10" t="inlineStr">
        <is>
          <t>R</t>
        </is>
      </c>
      <c r="L712" s="12" t="n">
        <v>311</v>
      </c>
      <c r="M712" s="14" t="n">
        <v>4.1</v>
      </c>
      <c r="N712" s="12">
        <f>ROUND(L712/M712, 0)</f>
        <v/>
      </c>
      <c r="O712" s="12">
        <f>ROUND(N712*'Methodology &amp; Assumptions'!$B$5, 0)</f>
        <v/>
      </c>
      <c r="P712" s="10" t="inlineStr">
        <is>
          <t>Single Carrier (Band n50, 100MHz TDD)</t>
        </is>
      </c>
      <c r="Q712" s="13">
        <f>ROUNDUP(O712/'Methodology &amp; Assumptions'!$B$6, 0)</f>
        <v/>
      </c>
      <c r="R712" s="13" t="n">
        <v>1</v>
      </c>
      <c r="S712" s="14" t="n">
        <v>29.2</v>
      </c>
      <c r="T712" s="14" t="n">
        <v>32.01</v>
      </c>
      <c r="U712" s="26">
        <f>IF(X712&gt;='Methodology &amp; Assumptions'!$B$7, "Tier 1 Critical GIDA (Score ≥ 50.0)", IF(X712&gt;='Methodology &amp; Assumptions'!$B$8, "Tier 2 High GIDA (Score 40.0–49.9)", "Tier 3 Moderate GIDA (Score &lt; 40.0)"))</f>
        <v/>
      </c>
      <c r="V712" s="26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W712" s="28" t="n">
        <v>0.237</v>
      </c>
      <c r="X712" s="14" t="n">
        <v>48.39</v>
      </c>
      <c r="Y712" s="14">
        <f>ROUND(MIN(100, (X712/69.91)*100), 2)</f>
        <v/>
      </c>
    </row>
    <row r="713">
      <c r="A713" s="10" t="n">
        <v>3</v>
      </c>
      <c r="B713" s="10" t="n">
        <v>709</v>
      </c>
      <c r="C713" s="10" t="n">
        <v>2709</v>
      </c>
      <c r="D713" s="10" t="inlineStr">
        <is>
          <t>0806007099</t>
        </is>
      </c>
      <c r="E713" s="26" t="inlineStr">
        <is>
          <t>Region VIII (Eastern Visayas)</t>
        </is>
      </c>
      <c r="F713" s="26" t="inlineStr">
        <is>
          <t>Samar</t>
        </is>
      </c>
      <c r="G713" s="26" t="inlineStr">
        <is>
          <t>Gandara</t>
        </is>
      </c>
      <c r="H713" s="26" t="inlineStr">
        <is>
          <t>Hetebac</t>
        </is>
      </c>
      <c r="I713" s="27" t="n">
        <v>12.0483</v>
      </c>
      <c r="J713" s="27" t="n">
        <v>124.799685</v>
      </c>
      <c r="K713" s="10" t="inlineStr">
        <is>
          <t>R</t>
        </is>
      </c>
      <c r="L713" s="12" t="n">
        <v>267</v>
      </c>
      <c r="M713" s="14" t="n">
        <v>4.1</v>
      </c>
      <c r="N713" s="12">
        <f>ROUND(L713/M713, 0)</f>
        <v/>
      </c>
      <c r="O713" s="12">
        <f>ROUND(N713*'Methodology &amp; Assumptions'!$B$5, 0)</f>
        <v/>
      </c>
      <c r="P713" s="10" t="inlineStr">
        <is>
          <t>Single Carrier (Band n50, 100MHz TDD)</t>
        </is>
      </c>
      <c r="Q713" s="13">
        <f>ROUNDUP(O713/'Methodology &amp; Assumptions'!$B$6, 0)</f>
        <v/>
      </c>
      <c r="R713" s="13" t="n">
        <v>1</v>
      </c>
      <c r="S713" s="14" t="n">
        <v>84.09</v>
      </c>
      <c r="T713" s="14" t="n">
        <v>84.06</v>
      </c>
      <c r="U713" s="26">
        <f>IF(X713&gt;='Methodology &amp; Assumptions'!$B$7, "Tier 1 Critical GIDA (Score ≥ 50.0)", IF(X713&gt;='Methodology &amp; Assumptions'!$B$8, "Tier 2 High GIDA (Score 40.0–49.9)", "Tier 3 Moderate GIDA (Score &lt; 40.0)"))</f>
        <v/>
      </c>
      <c r="V713" s="26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W713" s="28" t="n">
        <v>0.237</v>
      </c>
      <c r="X713" s="14" t="n">
        <v>48.39</v>
      </c>
      <c r="Y713" s="14">
        <f>ROUND(MIN(100, (X713/69.91)*100), 2)</f>
        <v/>
      </c>
    </row>
    <row r="714">
      <c r="A714" s="10" t="n">
        <v>3</v>
      </c>
      <c r="B714" s="10" t="n">
        <v>710</v>
      </c>
      <c r="C714" s="10" t="n">
        <v>2710</v>
      </c>
      <c r="D714" s="10" t="inlineStr">
        <is>
          <t>0990101023</t>
        </is>
      </c>
      <c r="E714" s="26" t="inlineStr">
        <is>
          <t>Region IX (Zamboanga Peninsula)</t>
        </is>
      </c>
      <c r="F714" s="26" t="inlineStr">
        <is>
          <t>City of Isabela (Not a Province)</t>
        </is>
      </c>
      <c r="G714" s="26" t="inlineStr">
        <is>
          <t>City of Isabela</t>
        </is>
      </c>
      <c r="H714" s="26" t="inlineStr">
        <is>
          <t>Lampinigan</t>
        </is>
      </c>
      <c r="I714" s="27" t="n">
        <v>6.687323</v>
      </c>
      <c r="J714" s="27" t="n">
        <v>121.877626</v>
      </c>
      <c r="K714" s="10" t="inlineStr">
        <is>
          <t>R</t>
        </is>
      </c>
      <c r="L714" s="12" t="n">
        <v>1811</v>
      </c>
      <c r="M714" s="14" t="n">
        <v>4.4</v>
      </c>
      <c r="N714" s="12">
        <f>ROUND(L714/M714, 0)</f>
        <v/>
      </c>
      <c r="O714" s="12">
        <f>ROUND(N714*'Methodology &amp; Assumptions'!$B$5, 0)</f>
        <v/>
      </c>
      <c r="P714" s="10" t="inlineStr">
        <is>
          <t>Single Carrier (Band n50, 100MHz TDD)</t>
        </is>
      </c>
      <c r="Q714" s="13">
        <f>ROUNDUP(O714/'Methodology &amp; Assumptions'!$B$6, 0)</f>
        <v/>
      </c>
      <c r="R714" s="13" t="n">
        <v>1</v>
      </c>
      <c r="S714" s="14" t="n">
        <v>32.92</v>
      </c>
      <c r="T714" s="14" t="n">
        <v>32.92</v>
      </c>
      <c r="U714" s="26">
        <f>IF(X714&gt;='Methodology &amp; Assumptions'!$B$7, "Tier 1 Critical GIDA (Score ≥ 50.0)", IF(X714&gt;='Methodology &amp; Assumptions'!$B$8, "Tier 2 High GIDA (Score 40.0–49.9)", "Tier 3 Moderate GIDA (Score &lt; 40.0)"))</f>
        <v/>
      </c>
      <c r="V714" s="26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W714" s="28" t="n">
        <v>0.11</v>
      </c>
      <c r="X714" s="14" t="n">
        <v>48.39</v>
      </c>
      <c r="Y714" s="14">
        <f>ROUND(MIN(100, (X714/69.91)*100), 2)</f>
        <v/>
      </c>
    </row>
    <row r="715">
      <c r="A715" s="10" t="n">
        <v>3</v>
      </c>
      <c r="B715" s="10" t="n">
        <v>711</v>
      </c>
      <c r="C715" s="10" t="n">
        <v>2711</v>
      </c>
      <c r="D715" s="10" t="inlineStr">
        <is>
          <t>0806007024</t>
        </is>
      </c>
      <c r="E715" s="26" t="inlineStr">
        <is>
          <t>Region VIII (Eastern Visayas)</t>
        </is>
      </c>
      <c r="F715" s="26" t="inlineStr">
        <is>
          <t>Samar</t>
        </is>
      </c>
      <c r="G715" s="26" t="inlineStr">
        <is>
          <t>Gandara</t>
        </is>
      </c>
      <c r="H715" s="26" t="inlineStr">
        <is>
          <t>Caranas</t>
        </is>
      </c>
      <c r="I715" s="27" t="n">
        <v>12.052406</v>
      </c>
      <c r="J715" s="27" t="n">
        <v>124.812305</v>
      </c>
      <c r="K715" s="10" t="inlineStr">
        <is>
          <t>R</t>
        </is>
      </c>
      <c r="L715" s="12" t="n">
        <v>255</v>
      </c>
      <c r="M715" s="14" t="n">
        <v>4.1</v>
      </c>
      <c r="N715" s="12">
        <f>ROUND(L715/M715, 0)</f>
        <v/>
      </c>
      <c r="O715" s="12">
        <f>ROUND(N715*'Methodology &amp; Assumptions'!$B$5, 0)</f>
        <v/>
      </c>
      <c r="P715" s="10" t="inlineStr">
        <is>
          <t>Single Carrier (Band n50, 100MHz TDD)</t>
        </is>
      </c>
      <c r="Q715" s="13">
        <f>ROUNDUP(O715/'Methodology &amp; Assumptions'!$B$6, 0)</f>
        <v/>
      </c>
      <c r="R715" s="13" t="n">
        <v>1</v>
      </c>
      <c r="S715" s="14" t="n">
        <v>84.75</v>
      </c>
      <c r="T715" s="14" t="n">
        <v>84.72</v>
      </c>
      <c r="U715" s="26">
        <f>IF(X715&gt;='Methodology &amp; Assumptions'!$B$7, "Tier 1 Critical GIDA (Score ≥ 50.0)", IF(X715&gt;='Methodology &amp; Assumptions'!$B$8, "Tier 2 High GIDA (Score 40.0–49.9)", "Tier 3 Moderate GIDA (Score &lt; 40.0)"))</f>
        <v/>
      </c>
      <c r="V715" s="26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W715" s="28" t="n">
        <v>0.237</v>
      </c>
      <c r="X715" s="14" t="n">
        <v>48.39</v>
      </c>
      <c r="Y715" s="14">
        <f>ROUND(MIN(100, (X715/69.91)*100), 2)</f>
        <v/>
      </c>
    </row>
    <row r="716">
      <c r="A716" s="10" t="n">
        <v>3</v>
      </c>
      <c r="B716" s="10" t="n">
        <v>712</v>
      </c>
      <c r="C716" s="10" t="n">
        <v>2712</v>
      </c>
      <c r="D716" s="10" t="inlineStr">
        <is>
          <t>1380610054</t>
        </is>
      </c>
      <c r="E716" s="26" t="inlineStr">
        <is>
          <t>National Capital Region (NCR)</t>
        </is>
      </c>
      <c r="F716" s="26" t="inlineStr">
        <is>
          <t>First District (Not a Province)</t>
        </is>
      </c>
      <c r="G716" s="26" t="inlineStr">
        <is>
          <t>City of Manila</t>
        </is>
      </c>
      <c r="H716" s="26" t="inlineStr">
        <is>
          <t>Barangay 740</t>
        </is>
      </c>
      <c r="I716" s="27" t="n">
        <v>13.286199</v>
      </c>
      <c r="J716" s="27" t="n">
        <v>122.668239</v>
      </c>
      <c r="K716" s="10" t="inlineStr">
        <is>
          <t>U</t>
        </is>
      </c>
      <c r="L716" s="12" t="n">
        <v>4264</v>
      </c>
      <c r="M716" s="14" t="n">
        <v>3.9</v>
      </c>
      <c r="N716" s="12">
        <f>ROUND(L716/M716, 0)</f>
        <v/>
      </c>
      <c r="O716" s="12">
        <f>ROUND(N716*'Methodology &amp; Assumptions'!$B$5, 0)</f>
        <v/>
      </c>
      <c r="P716" s="10" t="inlineStr">
        <is>
          <t>Single Carrier (Band n50, 100MHz TDD)</t>
        </is>
      </c>
      <c r="Q716" s="13">
        <f>ROUNDUP(O716/'Methodology &amp; Assumptions'!$B$6, 0)</f>
        <v/>
      </c>
      <c r="R716" s="13" t="n">
        <v>1</v>
      </c>
      <c r="S716" s="14" t="n">
        <v>4.3</v>
      </c>
      <c r="T716" s="14" t="n">
        <v>33.44</v>
      </c>
      <c r="U716" s="26">
        <f>IF(X716&gt;='Methodology &amp; Assumptions'!$B$7, "Tier 1 Critical GIDA (Score ≥ 50.0)", IF(X716&gt;='Methodology &amp; Assumptions'!$B$8, "Tier 2 High GIDA (Score 40.0–49.9)", "Tier 3 Moderate GIDA (Score &lt; 40.0)"))</f>
        <v/>
      </c>
      <c r="V716" s="26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W716" s="28" t="n">
        <v>0.109</v>
      </c>
      <c r="X716" s="14" t="n">
        <v>48.39</v>
      </c>
      <c r="Y716" s="14">
        <f>ROUND(MIN(100, (X716/69.91)*100), 2)</f>
        <v/>
      </c>
    </row>
    <row r="717">
      <c r="A717" s="10" t="n">
        <v>3</v>
      </c>
      <c r="B717" s="10" t="n">
        <v>713</v>
      </c>
      <c r="C717" s="10" t="n">
        <v>2713</v>
      </c>
      <c r="D717" s="10" t="inlineStr">
        <is>
          <t>1380606151</t>
        </is>
      </c>
      <c r="E717" s="26" t="inlineStr">
        <is>
          <t>National Capital Region (NCR)</t>
        </is>
      </c>
      <c r="F717" s="26" t="inlineStr">
        <is>
          <t>First District (Not a Province)</t>
        </is>
      </c>
      <c r="G717" s="26" t="inlineStr">
        <is>
          <t>City of Manila</t>
        </is>
      </c>
      <c r="H717" s="26" t="inlineStr">
        <is>
          <t>Barangay 545</t>
        </is>
      </c>
      <c r="I717" s="27" t="n">
        <v>11.989812</v>
      </c>
      <c r="J717" s="27" t="n">
        <v>121.395883</v>
      </c>
      <c r="K717" s="10" t="inlineStr">
        <is>
          <t>U</t>
        </is>
      </c>
      <c r="L717" s="12" t="n">
        <v>910</v>
      </c>
      <c r="M717" s="14" t="n">
        <v>3.9</v>
      </c>
      <c r="N717" s="12">
        <f>ROUND(L717/M717, 0)</f>
        <v/>
      </c>
      <c r="O717" s="12">
        <f>ROUND(N717*'Methodology &amp; Assumptions'!$B$5, 0)</f>
        <v/>
      </c>
      <c r="P717" s="10" t="inlineStr">
        <is>
          <t>Single Carrier (Band n50, 100MHz TDD)</t>
        </is>
      </c>
      <c r="Q717" s="13">
        <f>ROUNDUP(O717/'Methodology &amp; Assumptions'!$B$6, 0)</f>
        <v/>
      </c>
      <c r="R717" s="13" t="n">
        <v>1</v>
      </c>
      <c r="S717" s="14" t="n">
        <v>38.37</v>
      </c>
      <c r="T717" s="14" t="n">
        <v>34.57</v>
      </c>
      <c r="U717" s="26">
        <f>IF(X717&gt;='Methodology &amp; Assumptions'!$B$7, "Tier 1 Critical GIDA (Score ≥ 50.0)", IF(X717&gt;='Methodology &amp; Assumptions'!$B$8, "Tier 2 High GIDA (Score 40.0–49.9)", "Tier 3 Moderate GIDA (Score &lt; 40.0)"))</f>
        <v/>
      </c>
      <c r="V717" s="26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W717" s="28" t="n">
        <v>0.109</v>
      </c>
      <c r="X717" s="14" t="n">
        <v>48.39</v>
      </c>
      <c r="Y717" s="14">
        <f>ROUND(MIN(100, (X717/69.91)*100), 2)</f>
        <v/>
      </c>
    </row>
    <row r="718">
      <c r="A718" s="10" t="n">
        <v>3</v>
      </c>
      <c r="B718" s="10" t="n">
        <v>714</v>
      </c>
      <c r="C718" s="10" t="n">
        <v>2714</v>
      </c>
      <c r="D718" s="10" t="inlineStr">
        <is>
          <t>1908803005</t>
        </is>
      </c>
      <c r="E718" s="26" t="inlineStr">
        <is>
          <t>Bangsamoro Autonomous Region In Muslim Mindanao (BARMM)</t>
        </is>
      </c>
      <c r="F718" s="26" t="inlineStr">
        <is>
          <t>Maguindanao del Sur</t>
        </is>
      </c>
      <c r="G718" s="26" t="inlineStr">
        <is>
          <t>Datu Abdullah Sangki</t>
        </is>
      </c>
      <c r="H718" s="26" t="inlineStr">
        <is>
          <t>Maganoy</t>
        </is>
      </c>
      <c r="I718" s="27" t="n">
        <v>17.255159</v>
      </c>
      <c r="J718" s="27" t="n">
        <v>122.229203</v>
      </c>
      <c r="K718" s="10" t="inlineStr">
        <is>
          <t>R</t>
        </is>
      </c>
      <c r="L718" s="12" t="n">
        <v>2909</v>
      </c>
      <c r="M718" s="14" t="n">
        <v>4.7</v>
      </c>
      <c r="N718" s="12">
        <f>ROUND(L718/M718, 0)</f>
        <v/>
      </c>
      <c r="O718" s="12">
        <f>ROUND(N718*'Methodology &amp; Assumptions'!$B$5, 0)</f>
        <v/>
      </c>
      <c r="P718" s="10" t="inlineStr">
        <is>
          <t>Single Carrier (Band n50, 100MHz TDD)</t>
        </is>
      </c>
      <c r="Q718" s="13">
        <f>ROUNDUP(O718/'Methodology &amp; Assumptions'!$B$6, 0)</f>
        <v/>
      </c>
      <c r="R718" s="13" t="n">
        <v>1</v>
      </c>
      <c r="S718" s="14" t="n">
        <v>29.46</v>
      </c>
      <c r="T718" s="14" t="n">
        <v>34.34</v>
      </c>
      <c r="U718" s="26">
        <f>IF(X718&gt;='Methodology &amp; Assumptions'!$B$7, "Tier 1 Critical GIDA (Score ≥ 50.0)", IF(X718&gt;='Methodology &amp; Assumptions'!$B$8, "Tier 2 High GIDA (Score 40.0–49.9)", "Tier 3 Moderate GIDA (Score &lt; 40.0)"))</f>
        <v/>
      </c>
      <c r="V718" s="26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W718" s="28" t="n">
        <v>0.11</v>
      </c>
      <c r="X718" s="14" t="n">
        <v>48.39</v>
      </c>
      <c r="Y718" s="14">
        <f>ROUND(MIN(100, (X718/69.91)*100), 2)</f>
        <v/>
      </c>
    </row>
    <row r="719">
      <c r="A719" s="10" t="n">
        <v>3</v>
      </c>
      <c r="B719" s="10" t="n">
        <v>715</v>
      </c>
      <c r="C719" s="10" t="n">
        <v>2715</v>
      </c>
      <c r="D719" s="10" t="inlineStr">
        <is>
          <t>PH0002715</t>
        </is>
      </c>
      <c r="E719" s="26" t="inlineStr">
        <is>
          <t>BARMM (LaMa+SGA)</t>
        </is>
      </c>
      <c r="F719" s="26" t="inlineStr">
        <is>
          <t>Lanao Del Sur</t>
        </is>
      </c>
      <c r="G719" s="26" t="inlineStr">
        <is>
          <t>Sultan Gumander (Picong)</t>
        </is>
      </c>
      <c r="H719" s="26" t="inlineStr">
        <is>
          <t>Tuca</t>
        </is>
      </c>
      <c r="I719" s="27" t="n">
        <v>17.254687</v>
      </c>
      <c r="J719" s="27" t="n">
        <v>122.228731</v>
      </c>
      <c r="K719" s="10" t="inlineStr">
        <is>
          <t>R</t>
        </is>
      </c>
      <c r="L719" s="12" t="n">
        <v>2518</v>
      </c>
      <c r="M719" s="14" t="n">
        <v>5.7</v>
      </c>
      <c r="N719" s="12">
        <f>ROUND(L719/M719, 0)</f>
        <v/>
      </c>
      <c r="O719" s="12">
        <f>ROUND(N719*'Methodology &amp; Assumptions'!$B$5, 0)</f>
        <v/>
      </c>
      <c r="P719" s="10" t="inlineStr">
        <is>
          <t>Single Carrier (Band n50, 100MHz TDD)</t>
        </is>
      </c>
      <c r="Q719" s="13">
        <f>ROUNDUP(O719/'Methodology &amp; Assumptions'!$B$6, 0)</f>
        <v/>
      </c>
      <c r="R719" s="13" t="n">
        <v>1</v>
      </c>
      <c r="S719" s="14" t="n">
        <v>29.39</v>
      </c>
      <c r="T719" s="14" t="n">
        <v>34.28</v>
      </c>
      <c r="U719" s="26">
        <f>IF(X719&gt;='Methodology &amp; Assumptions'!$B$7, "Tier 1 Critical GIDA (Score ≥ 50.0)", IF(X719&gt;='Methodology &amp; Assumptions'!$B$8, "Tier 2 High GIDA (Score 40.0–49.9)", "Tier 3 Moderate GIDA (Score &lt; 40.0)"))</f>
        <v/>
      </c>
      <c r="V719" s="26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W719" s="28" t="n">
        <v>0.235</v>
      </c>
      <c r="X719" s="14" t="n">
        <v>48.39</v>
      </c>
      <c r="Y719" s="14">
        <f>ROUND(MIN(100, (X719/69.91)*100), 2)</f>
        <v/>
      </c>
    </row>
    <row r="720">
      <c r="A720" s="10" t="n">
        <v>3</v>
      </c>
      <c r="B720" s="10" t="n">
        <v>716</v>
      </c>
      <c r="C720" s="10" t="n">
        <v>2716</v>
      </c>
      <c r="D720" s="10" t="inlineStr">
        <is>
          <t>0806007085</t>
        </is>
      </c>
      <c r="E720" s="26" t="inlineStr">
        <is>
          <t>Region VIII (Eastern Visayas)</t>
        </is>
      </c>
      <c r="F720" s="26" t="inlineStr">
        <is>
          <t>Samar</t>
        </is>
      </c>
      <c r="G720" s="26" t="inlineStr">
        <is>
          <t>Gandara</t>
        </is>
      </c>
      <c r="H720" s="26" t="inlineStr">
        <is>
          <t>Senibaran</t>
        </is>
      </c>
      <c r="I720" s="27" t="n">
        <v>12.03889</v>
      </c>
      <c r="J720" s="27" t="n">
        <v>124.804503</v>
      </c>
      <c r="K720" s="10" t="inlineStr">
        <is>
          <t>R</t>
        </is>
      </c>
      <c r="L720" s="12" t="n">
        <v>89</v>
      </c>
      <c r="M720" s="14" t="n">
        <v>4.1</v>
      </c>
      <c r="N720" s="12">
        <f>ROUND(L720/M720, 0)</f>
        <v/>
      </c>
      <c r="O720" s="12">
        <f>ROUND(N720*'Methodology &amp; Assumptions'!$B$5, 0)</f>
        <v/>
      </c>
      <c r="P720" s="10" t="inlineStr">
        <is>
          <t>Single Carrier (Band n50, 100MHz TDD)</t>
        </is>
      </c>
      <c r="Q720" s="13">
        <f>ROUNDUP(O720/'Methodology &amp; Assumptions'!$B$6, 0)</f>
        <v/>
      </c>
      <c r="R720" s="13" t="n">
        <v>1</v>
      </c>
      <c r="S720" s="14" t="n">
        <v>83.14</v>
      </c>
      <c r="T720" s="14" t="n">
        <v>83.11</v>
      </c>
      <c r="U720" s="26">
        <f>IF(X720&gt;='Methodology &amp; Assumptions'!$B$7, "Tier 1 Critical GIDA (Score ≥ 50.0)", IF(X720&gt;='Methodology &amp; Assumptions'!$B$8, "Tier 2 High GIDA (Score 40.0–49.9)", "Tier 3 Moderate GIDA (Score &lt; 40.0)"))</f>
        <v/>
      </c>
      <c r="V720" s="26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W720" s="28" t="n">
        <v>0.237</v>
      </c>
      <c r="X720" s="14" t="n">
        <v>48.39</v>
      </c>
      <c r="Y720" s="14">
        <f>ROUND(MIN(100, (X720/69.91)*100), 2)</f>
        <v/>
      </c>
    </row>
    <row r="721">
      <c r="A721" s="10" t="n">
        <v>3</v>
      </c>
      <c r="B721" s="10" t="n">
        <v>717</v>
      </c>
      <c r="C721" s="10" t="n">
        <v>2717</v>
      </c>
      <c r="D721" s="10" t="inlineStr">
        <is>
          <t>1380606148</t>
        </is>
      </c>
      <c r="E721" s="26" t="inlineStr">
        <is>
          <t>National Capital Region (NCR)</t>
        </is>
      </c>
      <c r="F721" s="26" t="inlineStr">
        <is>
          <t>First District (Not a Province)</t>
        </is>
      </c>
      <c r="G721" s="26" t="inlineStr">
        <is>
          <t>City of Manila</t>
        </is>
      </c>
      <c r="H721" s="26" t="inlineStr">
        <is>
          <t>Barangay 542</t>
        </is>
      </c>
      <c r="I721" s="27" t="n">
        <v>13.786088</v>
      </c>
      <c r="J721" s="27" t="n">
        <v>121.435587</v>
      </c>
      <c r="K721" s="10" t="inlineStr">
        <is>
          <t>U</t>
        </is>
      </c>
      <c r="L721" s="12" t="n">
        <v>826</v>
      </c>
      <c r="M721" s="14" t="n">
        <v>3.9</v>
      </c>
      <c r="N721" s="12">
        <f>ROUND(L721/M721, 0)</f>
        <v/>
      </c>
      <c r="O721" s="12">
        <f>ROUND(N721*'Methodology &amp; Assumptions'!$B$5, 0)</f>
        <v/>
      </c>
      <c r="P721" s="10" t="inlineStr">
        <is>
          <t>Single Carrier (Band n50, 100MHz TDD)</t>
        </is>
      </c>
      <c r="Q721" s="13">
        <f>ROUNDUP(O721/'Methodology &amp; Assumptions'!$B$6, 0)</f>
        <v/>
      </c>
      <c r="R721" s="13" t="n">
        <v>1</v>
      </c>
      <c r="S721" s="14" t="n">
        <v>5.72</v>
      </c>
      <c r="T721" s="14" t="n">
        <v>0.28</v>
      </c>
      <c r="U721" s="26">
        <f>IF(X721&gt;='Methodology &amp; Assumptions'!$B$7, "Tier 1 Critical GIDA (Score ≥ 50.0)", IF(X721&gt;='Methodology &amp; Assumptions'!$B$8, "Tier 2 High GIDA (Score 40.0–49.9)", "Tier 3 Moderate GIDA (Score &lt; 40.0)"))</f>
        <v/>
      </c>
      <c r="V721" s="26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W721" s="28" t="n">
        <v>0.109</v>
      </c>
      <c r="X721" s="14" t="n">
        <v>48.39</v>
      </c>
      <c r="Y721" s="14">
        <f>ROUND(MIN(100, (X721/69.91)*100), 2)</f>
        <v/>
      </c>
    </row>
    <row r="722">
      <c r="A722" s="10" t="n">
        <v>3</v>
      </c>
      <c r="B722" s="10" t="n">
        <v>718</v>
      </c>
      <c r="C722" s="10" t="n">
        <v>2718</v>
      </c>
      <c r="D722" s="10" t="inlineStr">
        <is>
          <t>1380601245</t>
        </is>
      </c>
      <c r="E722" s="26" t="inlineStr">
        <is>
          <t>National Capital Region (NCR)</t>
        </is>
      </c>
      <c r="F722" s="26" t="inlineStr">
        <is>
          <t>First District (Not a Province)</t>
        </is>
      </c>
      <c r="G722" s="26" t="inlineStr">
        <is>
          <t>City of Manila</t>
        </is>
      </c>
      <c r="H722" s="26" t="inlineStr">
        <is>
          <t>Barangay 244</t>
        </is>
      </c>
      <c r="I722" s="27" t="n">
        <v>12.433694</v>
      </c>
      <c r="J722" s="27" t="n">
        <v>122.652883</v>
      </c>
      <c r="K722" s="10" t="inlineStr">
        <is>
          <t>U</t>
        </is>
      </c>
      <c r="L722" s="12" t="n">
        <v>659</v>
      </c>
      <c r="M722" s="14" t="n">
        <v>3.9</v>
      </c>
      <c r="N722" s="12">
        <f>ROUND(L722/M722, 0)</f>
        <v/>
      </c>
      <c r="O722" s="12">
        <f>ROUND(N722*'Methodology &amp; Assumptions'!$B$5, 0)</f>
        <v/>
      </c>
      <c r="P722" s="10" t="inlineStr">
        <is>
          <t>Single Carrier (Band n50, 100MHz TDD)</t>
        </is>
      </c>
      <c r="Q722" s="13">
        <f>ROUNDUP(O722/'Methodology &amp; Assumptions'!$B$6, 0)</f>
        <v/>
      </c>
      <c r="R722" s="13" t="n">
        <v>1</v>
      </c>
      <c r="S722" s="14" t="n">
        <v>73.94</v>
      </c>
      <c r="T722" s="14" t="n">
        <v>62.52</v>
      </c>
      <c r="U722" s="26">
        <f>IF(X722&gt;='Methodology &amp; Assumptions'!$B$7, "Tier 1 Critical GIDA (Score ≥ 50.0)", IF(X722&gt;='Methodology &amp; Assumptions'!$B$8, "Tier 2 High GIDA (Score 40.0–49.9)", "Tier 3 Moderate GIDA (Score &lt; 40.0)"))</f>
        <v/>
      </c>
      <c r="V722" s="26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W722" s="28" t="n">
        <v>0.109</v>
      </c>
      <c r="X722" s="14" t="n">
        <v>48.39</v>
      </c>
      <c r="Y722" s="14">
        <f>ROUND(MIN(100, (X722/69.91)*100), 2)</f>
        <v/>
      </c>
    </row>
    <row r="723">
      <c r="A723" s="10" t="n">
        <v>3</v>
      </c>
      <c r="B723" s="10" t="n">
        <v>719</v>
      </c>
      <c r="C723" s="10" t="n">
        <v>2719</v>
      </c>
      <c r="D723" s="10" t="inlineStr">
        <is>
          <t>1908819007</t>
        </is>
      </c>
      <c r="E723" s="26" t="inlineStr">
        <is>
          <t>Bangsamoro Autonomous Region In Muslim Mindanao (BARMM)</t>
        </is>
      </c>
      <c r="F723" s="26" t="inlineStr">
        <is>
          <t>Maguindanao del Sur</t>
        </is>
      </c>
      <c r="G723" s="26" t="inlineStr">
        <is>
          <t>Rajah Buayan</t>
        </is>
      </c>
      <c r="H723" s="26" t="inlineStr">
        <is>
          <t>Panadtaban</t>
        </is>
      </c>
      <c r="I723" s="27" t="n">
        <v>17.255168</v>
      </c>
      <c r="J723" s="27" t="n">
        <v>122.229212</v>
      </c>
      <c r="K723" s="10" t="inlineStr">
        <is>
          <t>R</t>
        </is>
      </c>
      <c r="L723" s="12" t="n">
        <v>2997</v>
      </c>
      <c r="M723" s="14" t="n">
        <v>4.7</v>
      </c>
      <c r="N723" s="12">
        <f>ROUND(L723/M723, 0)</f>
        <v/>
      </c>
      <c r="O723" s="12">
        <f>ROUND(N723*'Methodology &amp; Assumptions'!$B$5, 0)</f>
        <v/>
      </c>
      <c r="P723" s="10" t="inlineStr">
        <is>
          <t>Single Carrier (Band n50, 100MHz TDD)</t>
        </is>
      </c>
      <c r="Q723" s="13">
        <f>ROUNDUP(O723/'Methodology &amp; Assumptions'!$B$6, 0)</f>
        <v/>
      </c>
      <c r="R723" s="13" t="n">
        <v>1</v>
      </c>
      <c r="S723" s="14" t="n">
        <v>29.46</v>
      </c>
      <c r="T723" s="14" t="n">
        <v>34.34</v>
      </c>
      <c r="U723" s="26">
        <f>IF(X723&gt;='Methodology &amp; Assumptions'!$B$7, "Tier 1 Critical GIDA (Score ≥ 50.0)", IF(X723&gt;='Methodology &amp; Assumptions'!$B$8, "Tier 2 High GIDA (Score 40.0–49.9)", "Tier 3 Moderate GIDA (Score &lt; 40.0)"))</f>
        <v/>
      </c>
      <c r="V723" s="26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W723" s="28" t="n">
        <v>0.11</v>
      </c>
      <c r="X723" s="14" t="n">
        <v>48.38</v>
      </c>
      <c r="Y723" s="14">
        <f>ROUND(MIN(100, (X723/69.91)*100), 2)</f>
        <v/>
      </c>
    </row>
    <row r="724">
      <c r="A724" s="10" t="n">
        <v>3</v>
      </c>
      <c r="B724" s="10" t="n">
        <v>720</v>
      </c>
      <c r="C724" s="10" t="n">
        <v>2720</v>
      </c>
      <c r="D724" s="10" t="inlineStr">
        <is>
          <t>1380500015</t>
        </is>
      </c>
      <c r="E724" s="26" t="inlineStr">
        <is>
          <t>National Capital Region (NCR)</t>
        </is>
      </c>
      <c r="F724" s="26" t="inlineStr">
        <is>
          <t>Second District (Not a Province)</t>
        </is>
      </c>
      <c r="G724" s="26" t="inlineStr">
        <is>
          <t>City of Mandaluyong</t>
        </is>
      </c>
      <c r="H724" s="26" t="inlineStr">
        <is>
          <t>Mabini-J. Rizal</t>
        </is>
      </c>
      <c r="I724" s="27" t="n">
        <v>14.58549</v>
      </c>
      <c r="J724" s="27" t="n">
        <v>121.02115</v>
      </c>
      <c r="K724" s="10" t="inlineStr">
        <is>
          <t>U</t>
        </is>
      </c>
      <c r="L724" s="12" t="n">
        <v>8625</v>
      </c>
      <c r="M724" s="14" t="n">
        <v>3.3</v>
      </c>
      <c r="N724" s="12">
        <f>ROUND(L724/M724, 0)</f>
        <v/>
      </c>
      <c r="O724" s="12">
        <f>ROUND(N724*'Methodology &amp; Assumptions'!$B$5, 0)</f>
        <v/>
      </c>
      <c r="P724" s="10" t="inlineStr">
        <is>
          <t>Single Carrier (Band n50, 100MHz TDD)</t>
        </is>
      </c>
      <c r="Q724" s="13">
        <f>ROUNDUP(O724/'Methodology &amp; Assumptions'!$B$6, 0)</f>
        <v/>
      </c>
      <c r="R724" s="13" t="n">
        <v>1</v>
      </c>
      <c r="S724" s="14" t="n">
        <v>0.77</v>
      </c>
      <c r="T724" s="14" t="n">
        <v>0.35</v>
      </c>
      <c r="U724" s="26">
        <f>IF(X724&gt;='Methodology &amp; Assumptions'!$B$7, "Tier 1 Critical GIDA (Score ≥ 50.0)", IF(X724&gt;='Methodology &amp; Assumptions'!$B$8, "Tier 2 High GIDA (Score 40.0–49.9)", "Tier 3 Moderate GIDA (Score &lt; 40.0)"))</f>
        <v/>
      </c>
      <c r="V724" s="26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W724" s="28" t="n">
        <v>0.109</v>
      </c>
      <c r="X724" s="14" t="n">
        <v>48.38</v>
      </c>
      <c r="Y724" s="14">
        <f>ROUND(MIN(100, (X724/69.91)*100), 2)</f>
        <v/>
      </c>
    </row>
    <row r="725">
      <c r="A725" s="10" t="n">
        <v>3</v>
      </c>
      <c r="B725" s="10" t="n">
        <v>721</v>
      </c>
      <c r="C725" s="10" t="n">
        <v>2721</v>
      </c>
      <c r="D725" s="10" t="inlineStr">
        <is>
          <t>PH0002721</t>
        </is>
      </c>
      <c r="E725" s="26" t="inlineStr">
        <is>
          <t>NCR</t>
        </is>
      </c>
      <c r="F725" s="26" t="inlineStr">
        <is>
          <t>Metro Manila</t>
        </is>
      </c>
      <c r="G725" s="26" t="inlineStr">
        <is>
          <t>Caloocan City</t>
        </is>
      </c>
      <c r="H725" s="26" t="inlineStr">
        <is>
          <t>Barangay 148</t>
        </is>
      </c>
      <c r="I725" s="27" t="n">
        <v>11.470234</v>
      </c>
      <c r="J725" s="27" t="n">
        <v>121.453464</v>
      </c>
      <c r="K725" s="10" t="inlineStr">
        <is>
          <t>R</t>
        </is>
      </c>
      <c r="L725" s="12" t="n">
        <v>2279</v>
      </c>
      <c r="M725" s="14" t="n">
        <v>3.8</v>
      </c>
      <c r="N725" s="12">
        <f>ROUND(L725/M725, 0)</f>
        <v/>
      </c>
      <c r="O725" s="12">
        <f>ROUND(N725*'Methodology &amp; Assumptions'!$B$5, 0)</f>
        <v/>
      </c>
      <c r="P725" s="10" t="inlineStr">
        <is>
          <t>Single Carrier (Band n50, 100MHz TDD)</t>
        </is>
      </c>
      <c r="Q725" s="13">
        <f>ROUNDUP(O725/'Methodology &amp; Assumptions'!$B$6, 0)</f>
        <v/>
      </c>
      <c r="R725" s="13" t="n">
        <v>1</v>
      </c>
      <c r="S725" s="14" t="n">
        <v>75.5</v>
      </c>
      <c r="T725" s="14" t="n">
        <v>73.81999999999999</v>
      </c>
      <c r="U725" s="26">
        <f>IF(X725&gt;='Methodology &amp; Assumptions'!$B$7, "Tier 1 Critical GIDA (Score ≥ 50.0)", IF(X725&gt;='Methodology &amp; Assumptions'!$B$8, "Tier 2 High GIDA (Score 40.0–49.9)", "Tier 3 Moderate GIDA (Score &lt; 40.0)"))</f>
        <v/>
      </c>
      <c r="V725" s="26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W725" s="28" t="n">
        <v>0.011</v>
      </c>
      <c r="X725" s="14" t="n">
        <v>48.38</v>
      </c>
      <c r="Y725" s="14">
        <f>ROUND(MIN(100, (X725/69.91)*100), 2)</f>
        <v/>
      </c>
    </row>
    <row r="726">
      <c r="A726" s="10" t="n">
        <v>3</v>
      </c>
      <c r="B726" s="10" t="n">
        <v>722</v>
      </c>
      <c r="C726" s="10" t="n">
        <v>2722</v>
      </c>
      <c r="D726" s="10" t="inlineStr">
        <is>
          <t>1380611018</t>
        </is>
      </c>
      <c r="E726" s="26" t="inlineStr">
        <is>
          <t>National Capital Region (NCR)</t>
        </is>
      </c>
      <c r="F726" s="26" t="inlineStr">
        <is>
          <t>First District (Not a Province)</t>
        </is>
      </c>
      <c r="G726" s="26" t="inlineStr">
        <is>
          <t>City of Manila</t>
        </is>
      </c>
      <c r="H726" s="26" t="inlineStr">
        <is>
          <t>Barangay 684</t>
        </is>
      </c>
      <c r="I726" s="27" t="n">
        <v>12.629355</v>
      </c>
      <c r="J726" s="27" t="n">
        <v>120.815588</v>
      </c>
      <c r="K726" s="10" t="inlineStr">
        <is>
          <t>U</t>
        </is>
      </c>
      <c r="L726" s="12" t="n">
        <v>2813</v>
      </c>
      <c r="M726" s="14" t="n">
        <v>3.9</v>
      </c>
      <c r="N726" s="12">
        <f>ROUND(L726/M726, 0)</f>
        <v/>
      </c>
      <c r="O726" s="12">
        <f>ROUND(N726*'Methodology &amp; Assumptions'!$B$5, 0)</f>
        <v/>
      </c>
      <c r="P726" s="10" t="inlineStr">
        <is>
          <t>Single Carrier (Band n50, 100MHz TDD)</t>
        </is>
      </c>
      <c r="Q726" s="13">
        <f>ROUNDUP(O726/'Methodology &amp; Assumptions'!$B$6, 0)</f>
        <v/>
      </c>
      <c r="R726" s="13" t="n">
        <v>1</v>
      </c>
      <c r="S726" s="14" t="n">
        <v>41.11</v>
      </c>
      <c r="T726" s="14" t="n">
        <v>38.87</v>
      </c>
      <c r="U726" s="26">
        <f>IF(X726&gt;='Methodology &amp; Assumptions'!$B$7, "Tier 1 Critical GIDA (Score ≥ 50.0)", IF(X726&gt;='Methodology &amp; Assumptions'!$B$8, "Tier 2 High GIDA (Score 40.0–49.9)", "Tier 3 Moderate GIDA (Score &lt; 40.0)"))</f>
        <v/>
      </c>
      <c r="V726" s="26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W726" s="28" t="n">
        <v>0.109</v>
      </c>
      <c r="X726" s="14" t="n">
        <v>48.38</v>
      </c>
      <c r="Y726" s="14">
        <f>ROUND(MIN(100, (X726/69.91)*100), 2)</f>
        <v/>
      </c>
    </row>
    <row r="727">
      <c r="A727" s="10" t="n">
        <v>3</v>
      </c>
      <c r="B727" s="10" t="n">
        <v>723</v>
      </c>
      <c r="C727" s="10" t="n">
        <v>2723</v>
      </c>
      <c r="D727" s="10" t="inlineStr">
        <is>
          <t>1208005012</t>
        </is>
      </c>
      <c r="E727" s="26" t="inlineStr">
        <is>
          <t>Region XII (SOCCSKSARGEN)</t>
        </is>
      </c>
      <c r="F727" s="26" t="inlineStr">
        <is>
          <t>Sarangani</t>
        </is>
      </c>
      <c r="G727" s="26" t="inlineStr">
        <is>
          <t>Maitum</t>
        </is>
      </c>
      <c r="H727" s="26" t="inlineStr">
        <is>
          <t>Pangi</t>
        </is>
      </c>
      <c r="I727" s="27" t="n">
        <v>6.041325</v>
      </c>
      <c r="J727" s="27" t="n">
        <v>124.52028</v>
      </c>
      <c r="K727" s="10" t="inlineStr">
        <is>
          <t>R</t>
        </is>
      </c>
      <c r="L727" s="12" t="n">
        <v>1121</v>
      </c>
      <c r="M727" s="14" t="n">
        <v>3.9</v>
      </c>
      <c r="N727" s="12">
        <f>ROUND(L727/M727, 0)</f>
        <v/>
      </c>
      <c r="O727" s="12">
        <f>ROUND(N727*'Methodology &amp; Assumptions'!$B$5, 0)</f>
        <v/>
      </c>
      <c r="P727" s="10" t="inlineStr">
        <is>
          <t>Single Carrier (Band n50, 100MHz TDD)</t>
        </is>
      </c>
      <c r="Q727" s="13">
        <f>ROUNDUP(O727/'Methodology &amp; Assumptions'!$B$6, 0)</f>
        <v/>
      </c>
      <c r="R727" s="13" t="n">
        <v>1</v>
      </c>
      <c r="S727" s="14" t="n">
        <v>57.3</v>
      </c>
      <c r="T727" s="14" t="n">
        <v>56.9</v>
      </c>
      <c r="U727" s="26">
        <f>IF(X727&gt;='Methodology &amp; Assumptions'!$B$7, "Tier 1 Critical GIDA (Score ≥ 50.0)", IF(X727&gt;='Methodology &amp; Assumptions'!$B$8, "Tier 2 High GIDA (Score 40.0–49.9)", "Tier 3 Moderate GIDA (Score &lt; 40.0)"))</f>
        <v/>
      </c>
      <c r="V727" s="26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W727" s="28" t="n">
        <v>0.174</v>
      </c>
      <c r="X727" s="14" t="n">
        <v>48.38</v>
      </c>
      <c r="Y727" s="14">
        <f>ROUND(MIN(100, (X727/69.91)*100), 2)</f>
        <v/>
      </c>
    </row>
    <row r="728">
      <c r="A728" s="10" t="n">
        <v>3</v>
      </c>
      <c r="B728" s="10" t="n">
        <v>724</v>
      </c>
      <c r="C728" s="10" t="n">
        <v>2724</v>
      </c>
      <c r="D728" s="10" t="inlineStr">
        <is>
          <t>1380606083</t>
        </is>
      </c>
      <c r="E728" s="26" t="inlineStr">
        <is>
          <t>National Capital Region (NCR)</t>
        </is>
      </c>
      <c r="F728" s="26" t="inlineStr">
        <is>
          <t>First District (Not a Province)</t>
        </is>
      </c>
      <c r="G728" s="26" t="inlineStr">
        <is>
          <t>City of Manila</t>
        </is>
      </c>
      <c r="H728" s="26" t="inlineStr">
        <is>
          <t>Barangay 477</t>
        </is>
      </c>
      <c r="I728" s="27" t="n">
        <v>13.696615</v>
      </c>
      <c r="J728" s="27" t="n">
        <v>122.307864</v>
      </c>
      <c r="K728" s="10" t="inlineStr">
        <is>
          <t>U</t>
        </is>
      </c>
      <c r="L728" s="12" t="n">
        <v>1077</v>
      </c>
      <c r="M728" s="14" t="n">
        <v>3.9</v>
      </c>
      <c r="N728" s="12">
        <f>ROUND(L728/M728, 0)</f>
        <v/>
      </c>
      <c r="O728" s="12">
        <f>ROUND(N728*'Methodology &amp; Assumptions'!$B$5, 0)</f>
        <v/>
      </c>
      <c r="P728" s="10" t="inlineStr">
        <is>
          <t>Single Carrier (Band n50, 100MHz TDD)</t>
        </is>
      </c>
      <c r="Q728" s="13">
        <f>ROUNDUP(O728/'Methodology &amp; Assumptions'!$B$6, 0)</f>
        <v/>
      </c>
      <c r="R728" s="13" t="n">
        <v>1</v>
      </c>
      <c r="S728" s="14" t="n">
        <v>2.71</v>
      </c>
      <c r="T728" s="14" t="n">
        <v>9.279999999999999</v>
      </c>
      <c r="U728" s="26">
        <f>IF(X728&gt;='Methodology &amp; Assumptions'!$B$7, "Tier 1 Critical GIDA (Score ≥ 50.0)", IF(X728&gt;='Methodology &amp; Assumptions'!$B$8, "Tier 2 High GIDA (Score 40.0–49.9)", "Tier 3 Moderate GIDA (Score &lt; 40.0)"))</f>
        <v/>
      </c>
      <c r="V728" s="26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W728" s="28" t="n">
        <v>0.109</v>
      </c>
      <c r="X728" s="14" t="n">
        <v>48.38</v>
      </c>
      <c r="Y728" s="14">
        <f>ROUND(MIN(100, (X728/69.91)*100), 2)</f>
        <v/>
      </c>
    </row>
    <row r="729">
      <c r="A729" s="10" t="n">
        <v>3</v>
      </c>
      <c r="B729" s="10" t="n">
        <v>725</v>
      </c>
      <c r="C729" s="10" t="n">
        <v>2725</v>
      </c>
      <c r="D729" s="10" t="inlineStr">
        <is>
          <t>1380606028</t>
        </is>
      </c>
      <c r="E729" s="26" t="inlineStr">
        <is>
          <t>National Capital Region (NCR)</t>
        </is>
      </c>
      <c r="F729" s="26" t="inlineStr">
        <is>
          <t>First District (Not a Province)</t>
        </is>
      </c>
      <c r="G729" s="26" t="inlineStr">
        <is>
          <t>City of Manila</t>
        </is>
      </c>
      <c r="H729" s="26" t="inlineStr">
        <is>
          <t>Barangay 422</t>
        </is>
      </c>
      <c r="I729" s="27" t="n">
        <v>11.924479</v>
      </c>
      <c r="J729" s="27" t="n">
        <v>121.946778</v>
      </c>
      <c r="K729" s="10" t="inlineStr">
        <is>
          <t>U</t>
        </is>
      </c>
      <c r="L729" s="12" t="n">
        <v>2374</v>
      </c>
      <c r="M729" s="14" t="n">
        <v>3.9</v>
      </c>
      <c r="N729" s="12">
        <f>ROUND(L729/M729, 0)</f>
        <v/>
      </c>
      <c r="O729" s="12">
        <f>ROUND(N729*'Methodology &amp; Assumptions'!$B$5, 0)</f>
        <v/>
      </c>
      <c r="P729" s="10" t="inlineStr">
        <is>
          <t>Single Carrier (Band n50, 100MHz TDD)</t>
        </is>
      </c>
      <c r="Q729" s="13">
        <f>ROUNDUP(O729/'Methodology &amp; Assumptions'!$B$6, 0)</f>
        <v/>
      </c>
      <c r="R729" s="13" t="n">
        <v>1</v>
      </c>
      <c r="S729" s="14" t="n">
        <v>2.65</v>
      </c>
      <c r="T729" s="14" t="n">
        <v>0.38</v>
      </c>
      <c r="U729" s="26">
        <f>IF(X729&gt;='Methodology &amp; Assumptions'!$B$7, "Tier 1 Critical GIDA (Score ≥ 50.0)", IF(X729&gt;='Methodology &amp; Assumptions'!$B$8, "Tier 2 High GIDA (Score 40.0–49.9)", "Tier 3 Moderate GIDA (Score &lt; 40.0)"))</f>
        <v/>
      </c>
      <c r="V729" s="26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W729" s="28" t="n">
        <v>0.109</v>
      </c>
      <c r="X729" s="14" t="n">
        <v>48.38</v>
      </c>
      <c r="Y729" s="14">
        <f>ROUND(MIN(100, (X729/69.91)*100), 2)</f>
        <v/>
      </c>
    </row>
    <row r="730">
      <c r="A730" s="10" t="n">
        <v>3</v>
      </c>
      <c r="B730" s="10" t="n">
        <v>726</v>
      </c>
      <c r="C730" s="10" t="n">
        <v>2726</v>
      </c>
      <c r="D730" s="10" t="inlineStr">
        <is>
          <t>PH0002726</t>
        </is>
      </c>
      <c r="E730" s="26" t="inlineStr">
        <is>
          <t>NCR</t>
        </is>
      </c>
      <c r="F730" s="26" t="inlineStr">
        <is>
          <t>Metro Manila</t>
        </is>
      </c>
      <c r="G730" s="26" t="inlineStr">
        <is>
          <t>Caloocan City</t>
        </is>
      </c>
      <c r="H730" s="26" t="inlineStr">
        <is>
          <t>Barangay 37</t>
        </is>
      </c>
      <c r="I730" s="27" t="n">
        <v>14.131139</v>
      </c>
      <c r="J730" s="27" t="n">
        <v>121.032834</v>
      </c>
      <c r="K730" s="10" t="inlineStr">
        <is>
          <t>R</t>
        </is>
      </c>
      <c r="L730" s="12" t="n">
        <v>2279</v>
      </c>
      <c r="M730" s="14" t="n">
        <v>3.8</v>
      </c>
      <c r="N730" s="12">
        <f>ROUND(L730/M730, 0)</f>
        <v/>
      </c>
      <c r="O730" s="12">
        <f>ROUND(N730*'Methodology &amp; Assumptions'!$B$5, 0)</f>
        <v/>
      </c>
      <c r="P730" s="10" t="inlineStr">
        <is>
          <t>Single Carrier (Band n50, 100MHz TDD)</t>
        </is>
      </c>
      <c r="Q730" s="13">
        <f>ROUNDUP(O730/'Methodology &amp; Assumptions'!$B$6, 0)</f>
        <v/>
      </c>
      <c r="R730" s="13" t="n">
        <v>1</v>
      </c>
      <c r="S730" s="14" t="n">
        <v>4.54</v>
      </c>
      <c r="T730" s="14" t="n">
        <v>4.65</v>
      </c>
      <c r="U730" s="26">
        <f>IF(X730&gt;='Methodology &amp; Assumptions'!$B$7, "Tier 1 Critical GIDA (Score ≥ 50.0)", IF(X730&gt;='Methodology &amp; Assumptions'!$B$8, "Tier 2 High GIDA (Score 40.0–49.9)", "Tier 3 Moderate GIDA (Score &lt; 40.0)"))</f>
        <v/>
      </c>
      <c r="V730" s="26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W730" s="28" t="n">
        <v>0.011</v>
      </c>
      <c r="X730" s="14" t="n">
        <v>48.38</v>
      </c>
      <c r="Y730" s="14">
        <f>ROUND(MIN(100, (X730/69.91)*100), 2)</f>
        <v/>
      </c>
    </row>
    <row r="731">
      <c r="A731" s="10" t="n">
        <v>3</v>
      </c>
      <c r="B731" s="10" t="n">
        <v>727</v>
      </c>
      <c r="C731" s="10" t="n">
        <v>2727</v>
      </c>
      <c r="D731" s="10" t="inlineStr">
        <is>
          <t>0600409004</t>
        </is>
      </c>
      <c r="E731" s="26" t="inlineStr">
        <is>
          <t>Region VI (Western Visayas)</t>
        </is>
      </c>
      <c r="F731" s="26" t="inlineStr">
        <is>
          <t>Aklan</t>
        </is>
      </c>
      <c r="G731" s="26" t="inlineStr">
        <is>
          <t>Libacao</t>
        </is>
      </c>
      <c r="H731" s="26" t="inlineStr">
        <is>
          <t>Bonza</t>
        </is>
      </c>
      <c r="I731" s="27" t="n">
        <v>11.480324</v>
      </c>
      <c r="J731" s="27" t="n">
        <v>122.330334</v>
      </c>
      <c r="K731" s="10" t="inlineStr">
        <is>
          <t>R</t>
        </is>
      </c>
      <c r="L731" s="12" t="n">
        <v>431</v>
      </c>
      <c r="M731" s="14" t="n">
        <v>3.9</v>
      </c>
      <c r="N731" s="12">
        <f>ROUND(L731/M731, 0)</f>
        <v/>
      </c>
      <c r="O731" s="12">
        <f>ROUND(N731*'Methodology &amp; Assumptions'!$B$5, 0)</f>
        <v/>
      </c>
      <c r="P731" s="10" t="inlineStr">
        <is>
          <t>Single Carrier (Band n50, 100MHz TDD)</t>
        </is>
      </c>
      <c r="Q731" s="13">
        <f>ROUNDUP(O731/'Methodology &amp; Assumptions'!$B$6, 0)</f>
        <v/>
      </c>
      <c r="R731" s="13" t="n">
        <v>1</v>
      </c>
      <c r="S731" s="14" t="n">
        <v>9.859999999999999</v>
      </c>
      <c r="T731" s="14" t="n">
        <v>9.779999999999999</v>
      </c>
      <c r="U731" s="26">
        <f>IF(X731&gt;='Methodology &amp; Assumptions'!$B$7, "Tier 1 Critical GIDA (Score ≥ 50.0)", IF(X731&gt;='Methodology &amp; Assumptions'!$B$8, "Tier 2 High GIDA (Score 40.0–49.9)", "Tier 3 Moderate GIDA (Score &lt; 40.0)"))</f>
        <v/>
      </c>
      <c r="V731" s="26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W731" s="28" t="n">
        <v>0.237</v>
      </c>
      <c r="X731" s="14" t="n">
        <v>48.38</v>
      </c>
      <c r="Y731" s="14">
        <f>ROUND(MIN(100, (X731/69.91)*100), 2)</f>
        <v/>
      </c>
    </row>
    <row r="732">
      <c r="A732" s="10" t="n">
        <v>3</v>
      </c>
      <c r="B732" s="10" t="n">
        <v>728</v>
      </c>
      <c r="C732" s="10" t="n">
        <v>2728</v>
      </c>
      <c r="D732" s="10" t="inlineStr">
        <is>
          <t>1908702008</t>
        </is>
      </c>
      <c r="E732" s="26" t="inlineStr">
        <is>
          <t>Bangsamoro Autonomous Region In Muslim Mindanao (BARMM)</t>
        </is>
      </c>
      <c r="F732" s="26" t="inlineStr">
        <is>
          <t>Maguindanao del Norte</t>
        </is>
      </c>
      <c r="G732" s="26" t="inlineStr">
        <is>
          <t>Buldon</t>
        </is>
      </c>
      <c r="H732" s="26" t="inlineStr">
        <is>
          <t>Kulimpang</t>
        </is>
      </c>
      <c r="I732" s="27" t="n">
        <v>17.254055</v>
      </c>
      <c r="J732" s="27" t="n">
        <v>122.228099</v>
      </c>
      <c r="K732" s="10" t="inlineStr">
        <is>
          <t>R</t>
        </is>
      </c>
      <c r="L732" s="12" t="n">
        <v>5281</v>
      </c>
      <c r="M732" s="14" t="n">
        <v>4.3</v>
      </c>
      <c r="N732" s="12">
        <f>ROUND(L732/M732, 0)</f>
        <v/>
      </c>
      <c r="O732" s="12">
        <f>ROUND(N732*'Methodology &amp; Assumptions'!$B$5, 0)</f>
        <v/>
      </c>
      <c r="P732" s="10" t="inlineStr">
        <is>
          <t>Single Carrier (Band n50, 100MHz TDD)</t>
        </is>
      </c>
      <c r="Q732" s="13">
        <f>ROUNDUP(O732/'Methodology &amp; Assumptions'!$B$6, 0)</f>
        <v/>
      </c>
      <c r="R732" s="13" t="n">
        <v>1</v>
      </c>
      <c r="S732" s="14" t="n">
        <v>29.29</v>
      </c>
      <c r="T732" s="14" t="n">
        <v>34.19</v>
      </c>
      <c r="U732" s="26">
        <f>IF(X732&gt;='Methodology &amp; Assumptions'!$B$7, "Tier 1 Critical GIDA (Score ≥ 50.0)", IF(X732&gt;='Methodology &amp; Assumptions'!$B$8, "Tier 2 High GIDA (Score 40.0–49.9)", "Tier 3 Moderate GIDA (Score &lt; 40.0)"))</f>
        <v/>
      </c>
      <c r="V732" s="26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W732" s="28" t="n">
        <v>0.11</v>
      </c>
      <c r="X732" s="14" t="n">
        <v>48.38</v>
      </c>
      <c r="Y732" s="14">
        <f>ROUND(MIN(100, (X732/69.91)*100), 2)</f>
        <v/>
      </c>
    </row>
    <row r="733">
      <c r="A733" s="10" t="n">
        <v>3</v>
      </c>
      <c r="B733" s="10" t="n">
        <v>729</v>
      </c>
      <c r="C733" s="10" t="n">
        <v>2729</v>
      </c>
      <c r="D733" s="10" t="inlineStr">
        <is>
          <t>1908812003</t>
        </is>
      </c>
      <c r="E733" s="26" t="inlineStr">
        <is>
          <t>Bangsamoro Autonomous Region In Muslim Mindanao (BARMM)</t>
        </is>
      </c>
      <c r="F733" s="26" t="inlineStr">
        <is>
          <t>Maguindanao del Sur</t>
        </is>
      </c>
      <c r="G733" s="26" t="inlineStr">
        <is>
          <t>Guindulungan</t>
        </is>
      </c>
      <c r="H733" s="26" t="inlineStr">
        <is>
          <t>Datalpandan</t>
        </is>
      </c>
      <c r="I733" s="27" t="n">
        <v>16.315468</v>
      </c>
      <c r="J733" s="27" t="n">
        <v>122.429813</v>
      </c>
      <c r="K733" s="10" t="inlineStr">
        <is>
          <t>R</t>
        </is>
      </c>
      <c r="L733" s="12" t="n">
        <v>2245</v>
      </c>
      <c r="M733" s="14" t="n">
        <v>4.7</v>
      </c>
      <c r="N733" s="12">
        <f>ROUND(L733/M733, 0)</f>
        <v/>
      </c>
      <c r="O733" s="12">
        <f>ROUND(N733*'Methodology &amp; Assumptions'!$B$5, 0)</f>
        <v/>
      </c>
      <c r="P733" s="10" t="inlineStr">
        <is>
          <t>Single Carrier (Band n50, 100MHz TDD)</t>
        </is>
      </c>
      <c r="Q733" s="13">
        <f>ROUNDUP(O733/'Methodology &amp; Assumptions'!$B$6, 0)</f>
        <v/>
      </c>
      <c r="R733" s="13" t="n">
        <v>1</v>
      </c>
      <c r="S733" s="14" t="n">
        <v>26.92</v>
      </c>
      <c r="T733" s="14" t="n">
        <v>25.89</v>
      </c>
      <c r="U733" s="26">
        <f>IF(X733&gt;='Methodology &amp; Assumptions'!$B$7, "Tier 1 Critical GIDA (Score ≥ 50.0)", IF(X733&gt;='Methodology &amp; Assumptions'!$B$8, "Tier 2 High GIDA (Score 40.0–49.9)", "Tier 3 Moderate GIDA (Score &lt; 40.0)"))</f>
        <v/>
      </c>
      <c r="V733" s="26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W733" s="28" t="n">
        <v>0.11</v>
      </c>
      <c r="X733" s="14" t="n">
        <v>48.38</v>
      </c>
      <c r="Y733" s="14">
        <f>ROUND(MIN(100, (X733/69.91)*100), 2)</f>
        <v/>
      </c>
    </row>
    <row r="734">
      <c r="A734" s="10" t="n">
        <v>3</v>
      </c>
      <c r="B734" s="10" t="n">
        <v>730</v>
      </c>
      <c r="C734" s="10" t="n">
        <v>2730</v>
      </c>
      <c r="D734" s="10" t="inlineStr">
        <is>
          <t>PH0002730</t>
        </is>
      </c>
      <c r="E734" s="26" t="inlineStr">
        <is>
          <t>I</t>
        </is>
      </c>
      <c r="F734" s="26" t="inlineStr">
        <is>
          <t>Ilocos Norte</t>
        </is>
      </c>
      <c r="G734" s="26" t="inlineStr">
        <is>
          <t>Laoag City</t>
        </is>
      </c>
      <c r="H734" s="26" t="inlineStr">
        <is>
          <t>Bgy. No. 15, San Guillermo (Pob.)</t>
        </is>
      </c>
      <c r="I734" s="27" t="n">
        <v>18.210456</v>
      </c>
      <c r="J734" s="27" t="n">
        <v>120.570706</v>
      </c>
      <c r="K734" s="10" t="inlineStr">
        <is>
          <t>R</t>
        </is>
      </c>
      <c r="L734" s="12" t="n">
        <v>2233</v>
      </c>
      <c r="M734" s="14" t="n">
        <v>3.7</v>
      </c>
      <c r="N734" s="12">
        <f>ROUND(L734/M734, 0)</f>
        <v/>
      </c>
      <c r="O734" s="12">
        <f>ROUND(N734*'Methodology &amp; Assumptions'!$B$5, 0)</f>
        <v/>
      </c>
      <c r="P734" s="10" t="inlineStr">
        <is>
          <t>Single Carrier (Band n50, 100MHz TDD)</t>
        </is>
      </c>
      <c r="Q734" s="13">
        <f>ROUNDUP(O734/'Methodology &amp; Assumptions'!$B$6, 0)</f>
        <v/>
      </c>
      <c r="R734" s="13" t="n">
        <v>1</v>
      </c>
      <c r="S734" s="14" t="n">
        <v>1.63</v>
      </c>
      <c r="T734" s="14" t="n">
        <v>1.63</v>
      </c>
      <c r="U734" s="26">
        <f>IF(X734&gt;='Methodology &amp; Assumptions'!$B$7, "Tier 1 Critical GIDA (Score ≥ 50.0)", IF(X734&gt;='Methodology &amp; Assumptions'!$B$8, "Tier 2 High GIDA (Score 40.0–49.9)", "Tier 3 Moderate GIDA (Score &lt; 40.0)"))</f>
        <v/>
      </c>
      <c r="V734" s="26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W734" s="28" t="n">
        <v>0.083</v>
      </c>
      <c r="X734" s="14" t="n">
        <v>48.37</v>
      </c>
      <c r="Y734" s="14">
        <f>ROUND(MIN(100, (X734/69.91)*100), 2)</f>
        <v/>
      </c>
    </row>
    <row r="735">
      <c r="A735" s="10" t="n">
        <v>3</v>
      </c>
      <c r="B735" s="10" t="n">
        <v>731</v>
      </c>
      <c r="C735" s="10" t="n">
        <v>2731</v>
      </c>
      <c r="D735" s="10" t="inlineStr">
        <is>
          <t>1380604014</t>
        </is>
      </c>
      <c r="E735" s="26" t="inlineStr">
        <is>
          <t>National Capital Region (NCR)</t>
        </is>
      </c>
      <c r="F735" s="26" t="inlineStr">
        <is>
          <t>First District (Not a Province)</t>
        </is>
      </c>
      <c r="G735" s="26" t="inlineStr">
        <is>
          <t>City of Manila</t>
        </is>
      </c>
      <c r="H735" s="26" t="inlineStr">
        <is>
          <t>Barangay 281</t>
        </is>
      </c>
      <c r="I735" s="27" t="n">
        <v>13.470994</v>
      </c>
      <c r="J735" s="27" t="n">
        <v>120.983523</v>
      </c>
      <c r="K735" s="10" t="inlineStr">
        <is>
          <t>U</t>
        </is>
      </c>
      <c r="L735" s="12" t="n">
        <v>2357</v>
      </c>
      <c r="M735" s="14" t="n">
        <v>3.9</v>
      </c>
      <c r="N735" s="12">
        <f>ROUND(L735/M735, 0)</f>
        <v/>
      </c>
      <c r="O735" s="12">
        <f>ROUND(N735*'Methodology &amp; Assumptions'!$B$5, 0)</f>
        <v/>
      </c>
      <c r="P735" s="10" t="inlineStr">
        <is>
          <t>Single Carrier (Band n50, 100MHz TDD)</t>
        </is>
      </c>
      <c r="Q735" s="13">
        <f>ROUNDUP(O735/'Methodology &amp; Assumptions'!$B$6, 0)</f>
        <v/>
      </c>
      <c r="R735" s="13" t="n">
        <v>1</v>
      </c>
      <c r="S735" s="14" t="n">
        <v>4.41</v>
      </c>
      <c r="T735" s="14" t="n">
        <v>1.04</v>
      </c>
      <c r="U735" s="26">
        <f>IF(X735&gt;='Methodology &amp; Assumptions'!$B$7, "Tier 1 Critical GIDA (Score ≥ 50.0)", IF(X735&gt;='Methodology &amp; Assumptions'!$B$8, "Tier 2 High GIDA (Score 40.0–49.9)", "Tier 3 Moderate GIDA (Score &lt; 40.0)"))</f>
        <v/>
      </c>
      <c r="V735" s="26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W735" s="28" t="n">
        <v>0.109</v>
      </c>
      <c r="X735" s="14" t="n">
        <v>48.37</v>
      </c>
      <c r="Y735" s="14">
        <f>ROUND(MIN(100, (X735/69.91)*100), 2)</f>
        <v/>
      </c>
    </row>
    <row r="736">
      <c r="A736" s="10" t="n">
        <v>3</v>
      </c>
      <c r="B736" s="10" t="n">
        <v>732</v>
      </c>
      <c r="C736" s="10" t="n">
        <v>2732</v>
      </c>
      <c r="D736" s="10" t="inlineStr">
        <is>
          <t>1908824010</t>
        </is>
      </c>
      <c r="E736" s="26" t="inlineStr">
        <is>
          <t>Bangsamoro Autonomous Region In Muslim Mindanao (BARMM)</t>
        </is>
      </c>
      <c r="F736" s="26" t="inlineStr">
        <is>
          <t>Maguindanao del Sur</t>
        </is>
      </c>
      <c r="G736" s="26" t="inlineStr">
        <is>
          <t>Talayan</t>
        </is>
      </c>
      <c r="H736" s="26" t="inlineStr">
        <is>
          <t>Linamunan</t>
        </is>
      </c>
      <c r="I736" s="27" t="n">
        <v>17.255055</v>
      </c>
      <c r="J736" s="27" t="n">
        <v>122.229099</v>
      </c>
      <c r="K736" s="10" t="inlineStr">
        <is>
          <t>R</t>
        </is>
      </c>
      <c r="L736" s="12" t="n">
        <v>3100</v>
      </c>
      <c r="M736" s="14" t="n">
        <v>4.7</v>
      </c>
      <c r="N736" s="12">
        <f>ROUND(L736/M736, 0)</f>
        <v/>
      </c>
      <c r="O736" s="12">
        <f>ROUND(N736*'Methodology &amp; Assumptions'!$B$5, 0)</f>
        <v/>
      </c>
      <c r="P736" s="10" t="inlineStr">
        <is>
          <t>Single Carrier (Band n50, 100MHz TDD)</t>
        </is>
      </c>
      <c r="Q736" s="13">
        <f>ROUNDUP(O736/'Methodology &amp; Assumptions'!$B$6, 0)</f>
        <v/>
      </c>
      <c r="R736" s="13" t="n">
        <v>1</v>
      </c>
      <c r="S736" s="14" t="n">
        <v>29.45</v>
      </c>
      <c r="T736" s="14" t="n">
        <v>34.33</v>
      </c>
      <c r="U736" s="26">
        <f>IF(X736&gt;='Methodology &amp; Assumptions'!$B$7, "Tier 1 Critical GIDA (Score ≥ 50.0)", IF(X736&gt;='Methodology &amp; Assumptions'!$B$8, "Tier 2 High GIDA (Score 40.0–49.9)", "Tier 3 Moderate GIDA (Score &lt; 40.0)"))</f>
        <v/>
      </c>
      <c r="V736" s="26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W736" s="28" t="n">
        <v>0.11</v>
      </c>
      <c r="X736" s="14" t="n">
        <v>48.37</v>
      </c>
      <c r="Y736" s="14">
        <f>ROUND(MIN(100, (X736/69.91)*100), 2)</f>
        <v/>
      </c>
    </row>
    <row r="737">
      <c r="A737" s="10" t="n">
        <v>3</v>
      </c>
      <c r="B737" s="10" t="n">
        <v>733</v>
      </c>
      <c r="C737" s="10" t="n">
        <v>2733</v>
      </c>
      <c r="D737" s="10" t="inlineStr">
        <is>
          <t>1003515023</t>
        </is>
      </c>
      <c r="E737" s="26" t="inlineStr">
        <is>
          <t>Region X (Northern Mindanao)</t>
        </is>
      </c>
      <c r="F737" s="26" t="inlineStr">
        <is>
          <t>Lanao del Norte</t>
        </is>
      </c>
      <c r="G737" s="26" t="inlineStr">
        <is>
          <t>Nunungan</t>
        </is>
      </c>
      <c r="H737" s="26" t="inlineStr">
        <is>
          <t>Rarab</t>
        </is>
      </c>
      <c r="I737" s="27" t="n">
        <v>7.794999</v>
      </c>
      <c r="J737" s="27" t="n">
        <v>123.927082</v>
      </c>
      <c r="K737" s="10" t="inlineStr">
        <is>
          <t>R</t>
        </is>
      </c>
      <c r="L737" s="12" t="n">
        <v>1019</v>
      </c>
      <c r="M737" s="14" t="n">
        <v>4.2</v>
      </c>
      <c r="N737" s="12">
        <f>ROUND(L737/M737, 0)</f>
        <v/>
      </c>
      <c r="O737" s="12">
        <f>ROUND(N737*'Methodology &amp; Assumptions'!$B$5, 0)</f>
        <v/>
      </c>
      <c r="P737" s="10" t="inlineStr">
        <is>
          <t>Single Carrier (Band n50, 100MHz TDD)</t>
        </is>
      </c>
      <c r="Q737" s="13">
        <f>ROUNDUP(O737/'Methodology &amp; Assumptions'!$B$6, 0)</f>
        <v/>
      </c>
      <c r="R737" s="13" t="n">
        <v>1</v>
      </c>
      <c r="S737" s="14" t="n">
        <v>30.96</v>
      </c>
      <c r="T737" s="14" t="n">
        <v>20.79</v>
      </c>
      <c r="U737" s="26">
        <f>IF(X737&gt;='Methodology &amp; Assumptions'!$B$7, "Tier 1 Critical GIDA (Score ≥ 50.0)", IF(X737&gt;='Methodology &amp; Assumptions'!$B$8, "Tier 2 High GIDA (Score 40.0–49.9)", "Tier 3 Moderate GIDA (Score &lt; 40.0)"))</f>
        <v/>
      </c>
      <c r="V737" s="26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W737" s="28" t="n">
        <v>0.174</v>
      </c>
      <c r="X737" s="14" t="n">
        <v>48.37</v>
      </c>
      <c r="Y737" s="14">
        <f>ROUND(MIN(100, (X737/69.91)*100), 2)</f>
        <v/>
      </c>
    </row>
    <row r="738">
      <c r="A738" s="10" t="n">
        <v>3</v>
      </c>
      <c r="B738" s="10" t="n">
        <v>734</v>
      </c>
      <c r="C738" s="10" t="n">
        <v>2734</v>
      </c>
      <c r="D738" s="10" t="inlineStr">
        <is>
          <t>PH0002734</t>
        </is>
      </c>
      <c r="E738" s="26" t="inlineStr">
        <is>
          <t>CAR</t>
        </is>
      </c>
      <c r="F738" s="26" t="inlineStr">
        <is>
          <t>Benguet</t>
        </is>
      </c>
      <c r="G738" s="26" t="inlineStr">
        <is>
          <t>Baguio City</t>
        </is>
      </c>
      <c r="H738" s="26" t="inlineStr">
        <is>
          <t>Kagitingan</t>
        </is>
      </c>
      <c r="I738" s="27" t="n">
        <v>16.426244</v>
      </c>
      <c r="J738" s="27" t="n">
        <v>120.611081</v>
      </c>
      <c r="K738" s="10" t="inlineStr">
        <is>
          <t>R</t>
        </is>
      </c>
      <c r="L738" s="12" t="n">
        <v>2260</v>
      </c>
      <c r="M738" s="14" t="n">
        <v>3.5</v>
      </c>
      <c r="N738" s="12">
        <f>ROUND(L738/M738, 0)</f>
        <v/>
      </c>
      <c r="O738" s="12">
        <f>ROUND(N738*'Methodology &amp; Assumptions'!$B$5, 0)</f>
        <v/>
      </c>
      <c r="P738" s="10" t="inlineStr">
        <is>
          <t>Single Carrier (Band n50, 100MHz TDD)</t>
        </is>
      </c>
      <c r="Q738" s="13">
        <f>ROUNDUP(O738/'Methodology &amp; Assumptions'!$B$6, 0)</f>
        <v/>
      </c>
      <c r="R738" s="13" t="n">
        <v>1</v>
      </c>
      <c r="S738" s="14" t="n">
        <v>1.85</v>
      </c>
      <c r="T738" s="14" t="n">
        <v>1.05</v>
      </c>
      <c r="U738" s="26">
        <f>IF(X738&gt;='Methodology &amp; Assumptions'!$B$7, "Tier 1 Critical GIDA (Score ≥ 50.0)", IF(X738&gt;='Methodology &amp; Assumptions'!$B$8, "Tier 2 High GIDA (Score 40.0–49.9)", "Tier 3 Moderate GIDA (Score &lt; 40.0)"))</f>
        <v/>
      </c>
      <c r="V738" s="26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W738" s="28" t="n">
        <v>0.221</v>
      </c>
      <c r="X738" s="14" t="n">
        <v>48.37</v>
      </c>
      <c r="Y738" s="14">
        <f>ROUND(MIN(100, (X738/69.91)*100), 2)</f>
        <v/>
      </c>
    </row>
    <row r="739">
      <c r="A739" s="10" t="n">
        <v>3</v>
      </c>
      <c r="B739" s="10" t="n">
        <v>735</v>
      </c>
      <c r="C739" s="10" t="n">
        <v>2735</v>
      </c>
      <c r="D739" s="10" t="inlineStr">
        <is>
          <t>1003515013</t>
        </is>
      </c>
      <c r="E739" s="26" t="inlineStr">
        <is>
          <t>Region X (Northern Mindanao)</t>
        </is>
      </c>
      <c r="F739" s="26" t="inlineStr">
        <is>
          <t>Lanao del Norte</t>
        </is>
      </c>
      <c r="G739" s="26" t="inlineStr">
        <is>
          <t>Nunungan</t>
        </is>
      </c>
      <c r="H739" s="26" t="inlineStr">
        <is>
          <t>Lupitan</t>
        </is>
      </c>
      <c r="I739" s="27" t="n">
        <v>7.772309</v>
      </c>
      <c r="J739" s="27" t="n">
        <v>123.899337</v>
      </c>
      <c r="K739" s="10" t="inlineStr">
        <is>
          <t>R</t>
        </is>
      </c>
      <c r="L739" s="12" t="n">
        <v>883</v>
      </c>
      <c r="M739" s="14" t="n">
        <v>4.2</v>
      </c>
      <c r="N739" s="12">
        <f>ROUND(L739/M739, 0)</f>
        <v/>
      </c>
      <c r="O739" s="12">
        <f>ROUND(N739*'Methodology &amp; Assumptions'!$B$5, 0)</f>
        <v/>
      </c>
      <c r="P739" s="10" t="inlineStr">
        <is>
          <t>Single Carrier (Band n50, 100MHz TDD)</t>
        </is>
      </c>
      <c r="Q739" s="13">
        <f>ROUNDUP(O739/'Methodology &amp; Assumptions'!$B$6, 0)</f>
        <v/>
      </c>
      <c r="R739" s="13" t="n">
        <v>1</v>
      </c>
      <c r="S739" s="14" t="n">
        <v>32.05</v>
      </c>
      <c r="T739" s="14" t="n">
        <v>19.87</v>
      </c>
      <c r="U739" s="26">
        <f>IF(X739&gt;='Methodology &amp; Assumptions'!$B$7, "Tier 1 Critical GIDA (Score ≥ 50.0)", IF(X739&gt;='Methodology &amp; Assumptions'!$B$8, "Tier 2 High GIDA (Score 40.0–49.9)", "Tier 3 Moderate GIDA (Score &lt; 40.0)"))</f>
        <v/>
      </c>
      <c r="V739" s="26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W739" s="28" t="n">
        <v>0.174</v>
      </c>
      <c r="X739" s="14" t="n">
        <v>48.37</v>
      </c>
      <c r="Y739" s="14">
        <f>ROUND(MIN(100, (X739/69.91)*100), 2)</f>
        <v/>
      </c>
    </row>
    <row r="740">
      <c r="A740" s="10" t="n">
        <v>3</v>
      </c>
      <c r="B740" s="10" t="n">
        <v>736</v>
      </c>
      <c r="C740" s="10" t="n">
        <v>2736</v>
      </c>
      <c r="D740" s="10" t="inlineStr">
        <is>
          <t>1003515014</t>
        </is>
      </c>
      <c r="E740" s="26" t="inlineStr">
        <is>
          <t>Region X (Northern Mindanao)</t>
        </is>
      </c>
      <c r="F740" s="26" t="inlineStr">
        <is>
          <t>Lanao del Norte</t>
        </is>
      </c>
      <c r="G740" s="26" t="inlineStr">
        <is>
          <t>Nunungan</t>
        </is>
      </c>
      <c r="H740" s="26" t="inlineStr">
        <is>
          <t>Mangan</t>
        </is>
      </c>
      <c r="I740" s="27" t="n">
        <v>7.810096</v>
      </c>
      <c r="J740" s="27" t="n">
        <v>123.904707</v>
      </c>
      <c r="K740" s="10" t="inlineStr">
        <is>
          <t>R</t>
        </is>
      </c>
      <c r="L740" s="12" t="n">
        <v>797</v>
      </c>
      <c r="M740" s="14" t="n">
        <v>4.2</v>
      </c>
      <c r="N740" s="12">
        <f>ROUND(L740/M740, 0)</f>
        <v/>
      </c>
      <c r="O740" s="12">
        <f>ROUND(N740*'Methodology &amp; Assumptions'!$B$5, 0)</f>
        <v/>
      </c>
      <c r="P740" s="10" t="inlineStr">
        <is>
          <t>Single Carrier (Band n50, 100MHz TDD)</t>
        </is>
      </c>
      <c r="Q740" s="13">
        <f>ROUNDUP(O740/'Methodology &amp; Assumptions'!$B$6, 0)</f>
        <v/>
      </c>
      <c r="R740" s="13" t="n">
        <v>1</v>
      </c>
      <c r="S740" s="14" t="n">
        <v>28.38</v>
      </c>
      <c r="T740" s="14" t="n">
        <v>17.81</v>
      </c>
      <c r="U740" s="26">
        <f>IF(X740&gt;='Methodology &amp; Assumptions'!$B$7, "Tier 1 Critical GIDA (Score ≥ 50.0)", IF(X740&gt;='Methodology &amp; Assumptions'!$B$8, "Tier 2 High GIDA (Score 40.0–49.9)", "Tier 3 Moderate GIDA (Score &lt; 40.0)"))</f>
        <v/>
      </c>
      <c r="V740" s="26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W740" s="28" t="n">
        <v>0.174</v>
      </c>
      <c r="X740" s="14" t="n">
        <v>48.37</v>
      </c>
      <c r="Y740" s="14">
        <f>ROUND(MIN(100, (X740/69.91)*100), 2)</f>
        <v/>
      </c>
    </row>
    <row r="741">
      <c r="A741" s="10" t="n">
        <v>3</v>
      </c>
      <c r="B741" s="10" t="n">
        <v>737</v>
      </c>
      <c r="C741" s="10" t="n">
        <v>2737</v>
      </c>
      <c r="D741" s="10" t="inlineStr">
        <is>
          <t>1380606023</t>
        </is>
      </c>
      <c r="E741" s="26" t="inlineStr">
        <is>
          <t>National Capital Region (NCR)</t>
        </is>
      </c>
      <c r="F741" s="26" t="inlineStr">
        <is>
          <t>First District (Not a Province)</t>
        </is>
      </c>
      <c r="G741" s="26" t="inlineStr">
        <is>
          <t>City of Manila</t>
        </is>
      </c>
      <c r="H741" s="26" t="inlineStr">
        <is>
          <t>Barangay 417</t>
        </is>
      </c>
      <c r="I741" s="27" t="n">
        <v>12.964473</v>
      </c>
      <c r="J741" s="27" t="n">
        <v>122.767962</v>
      </c>
      <c r="K741" s="10" t="inlineStr">
        <is>
          <t>U</t>
        </is>
      </c>
      <c r="L741" s="12" t="n">
        <v>2072</v>
      </c>
      <c r="M741" s="14" t="n">
        <v>3.9</v>
      </c>
      <c r="N741" s="12">
        <f>ROUND(L741/M741, 0)</f>
        <v/>
      </c>
      <c r="O741" s="12">
        <f>ROUND(N741*'Methodology &amp; Assumptions'!$B$5, 0)</f>
        <v/>
      </c>
      <c r="P741" s="10" t="inlineStr">
        <is>
          <t>Single Carrier (Band n50, 100MHz TDD)</t>
        </is>
      </c>
      <c r="Q741" s="13">
        <f>ROUNDUP(O741/'Methodology &amp; Assumptions'!$B$6, 0)</f>
        <v/>
      </c>
      <c r="R741" s="13" t="n">
        <v>1</v>
      </c>
      <c r="S741" s="14" t="n">
        <v>29.47</v>
      </c>
      <c r="T741" s="14" t="n">
        <v>66.53</v>
      </c>
      <c r="U741" s="26">
        <f>IF(X741&gt;='Methodology &amp; Assumptions'!$B$7, "Tier 1 Critical GIDA (Score ≥ 50.0)", IF(X741&gt;='Methodology &amp; Assumptions'!$B$8, "Tier 2 High GIDA (Score 40.0–49.9)", "Tier 3 Moderate GIDA (Score &lt; 40.0)"))</f>
        <v/>
      </c>
      <c r="V741" s="26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W741" s="28" t="n">
        <v>0.109</v>
      </c>
      <c r="X741" s="14" t="n">
        <v>48.37</v>
      </c>
      <c r="Y741" s="14">
        <f>ROUND(MIN(100, (X741/69.91)*100), 2)</f>
        <v/>
      </c>
    </row>
    <row r="742">
      <c r="A742" s="10" t="n">
        <v>3</v>
      </c>
      <c r="B742" s="10" t="n">
        <v>738</v>
      </c>
      <c r="C742" s="10" t="n">
        <v>2738</v>
      </c>
      <c r="D742" s="10" t="inlineStr">
        <is>
          <t>1380611032</t>
        </is>
      </c>
      <c r="E742" s="26" t="inlineStr">
        <is>
          <t>National Capital Region (NCR)</t>
        </is>
      </c>
      <c r="F742" s="26" t="inlineStr">
        <is>
          <t>First District (Not a Province)</t>
        </is>
      </c>
      <c r="G742" s="26" t="inlineStr">
        <is>
          <t>City of Manila</t>
        </is>
      </c>
      <c r="H742" s="26" t="inlineStr">
        <is>
          <t>Barangay 818</t>
        </is>
      </c>
      <c r="I742" s="27" t="n">
        <v>12.161588</v>
      </c>
      <c r="J742" s="27" t="n">
        <v>121.098988</v>
      </c>
      <c r="K742" s="10" t="inlineStr">
        <is>
          <t>U</t>
        </is>
      </c>
      <c r="L742" s="12" t="n">
        <v>1430</v>
      </c>
      <c r="M742" s="14" t="n">
        <v>3.9</v>
      </c>
      <c r="N742" s="12">
        <f>ROUND(L742/M742, 0)</f>
        <v/>
      </c>
      <c r="O742" s="12">
        <f>ROUND(N742*'Methodology &amp; Assumptions'!$B$5, 0)</f>
        <v/>
      </c>
      <c r="P742" s="10" t="inlineStr">
        <is>
          <t>Single Carrier (Band n50, 100MHz TDD)</t>
        </is>
      </c>
      <c r="Q742" s="13">
        <f>ROUNDUP(O742/'Methodology &amp; Assumptions'!$B$6, 0)</f>
        <v/>
      </c>
      <c r="R742" s="13" t="n">
        <v>1</v>
      </c>
      <c r="S742" s="14" t="n">
        <v>17.28</v>
      </c>
      <c r="T742" s="14" t="n">
        <v>16.62</v>
      </c>
      <c r="U742" s="26">
        <f>IF(X742&gt;='Methodology &amp; Assumptions'!$B$7, "Tier 1 Critical GIDA (Score ≥ 50.0)", IF(X742&gt;='Methodology &amp; Assumptions'!$B$8, "Tier 2 High GIDA (Score 40.0–49.9)", "Tier 3 Moderate GIDA (Score &lt; 40.0)"))</f>
        <v/>
      </c>
      <c r="V742" s="26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W742" s="28" t="n">
        <v>0.109</v>
      </c>
      <c r="X742" s="14" t="n">
        <v>48.37</v>
      </c>
      <c r="Y742" s="14">
        <f>ROUND(MIN(100, (X742/69.91)*100), 2)</f>
        <v/>
      </c>
    </row>
    <row r="743">
      <c r="A743" s="10" t="n">
        <v>3</v>
      </c>
      <c r="B743" s="10" t="n">
        <v>739</v>
      </c>
      <c r="C743" s="10" t="n">
        <v>2739</v>
      </c>
      <c r="D743" s="10" t="inlineStr">
        <is>
          <t>1102508018</t>
        </is>
      </c>
      <c r="E743" s="26" t="inlineStr">
        <is>
          <t>Region XI (Davao Region)</t>
        </is>
      </c>
      <c r="F743" s="26" t="inlineStr">
        <is>
          <t>Davao Oriental</t>
        </is>
      </c>
      <c r="G743" s="26" t="inlineStr">
        <is>
          <t>Manay</t>
        </is>
      </c>
      <c r="H743" s="26" t="inlineStr">
        <is>
          <t>Lambog</t>
        </is>
      </c>
      <c r="I743" s="27" t="n">
        <v>7.228012</v>
      </c>
      <c r="J743" s="27" t="n">
        <v>126.447817</v>
      </c>
      <c r="K743" s="10" t="inlineStr">
        <is>
          <t>R</t>
        </is>
      </c>
      <c r="L743" s="12" t="n">
        <v>836</v>
      </c>
      <c r="M743" s="14" t="n">
        <v>3.6</v>
      </c>
      <c r="N743" s="12">
        <f>ROUND(L743/M743, 0)</f>
        <v/>
      </c>
      <c r="O743" s="12">
        <f>ROUND(N743*'Methodology &amp; Assumptions'!$B$5, 0)</f>
        <v/>
      </c>
      <c r="P743" s="10" t="inlineStr">
        <is>
          <t>Single Carrier (Band n50, 100MHz TDD)</t>
        </is>
      </c>
      <c r="Q743" s="13">
        <f>ROUNDUP(O743/'Methodology &amp; Assumptions'!$B$6, 0)</f>
        <v/>
      </c>
      <c r="R743" s="13" t="n">
        <v>1</v>
      </c>
      <c r="S743" s="14" t="n">
        <v>39.77</v>
      </c>
      <c r="T743" s="14" t="n">
        <v>38.46</v>
      </c>
      <c r="U743" s="26">
        <f>IF(X743&gt;='Methodology &amp; Assumptions'!$B$7, "Tier 1 Critical GIDA (Score ≥ 50.0)", IF(X743&gt;='Methodology &amp; Assumptions'!$B$8, "Tier 2 High GIDA (Score 40.0–49.9)", "Tier 3 Moderate GIDA (Score &lt; 40.0)"))</f>
        <v/>
      </c>
      <c r="V743" s="26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W743" s="28" t="n">
        <v>0.174</v>
      </c>
      <c r="X743" s="14" t="n">
        <v>48.37</v>
      </c>
      <c r="Y743" s="14">
        <f>ROUND(MIN(100, (X743/69.91)*100), 2)</f>
        <v/>
      </c>
    </row>
    <row r="744">
      <c r="A744" s="10" t="n">
        <v>3</v>
      </c>
      <c r="B744" s="10" t="n">
        <v>740</v>
      </c>
      <c r="C744" s="10" t="n">
        <v>2740</v>
      </c>
      <c r="D744" s="10" t="inlineStr">
        <is>
          <t>PH0002740</t>
        </is>
      </c>
      <c r="E744" s="26" t="inlineStr">
        <is>
          <t>NCR</t>
        </is>
      </c>
      <c r="F744" s="26" t="inlineStr">
        <is>
          <t>Metro Manila</t>
        </is>
      </c>
      <c r="G744" s="26" t="inlineStr">
        <is>
          <t>Caloocan City</t>
        </is>
      </c>
      <c r="H744" s="26" t="inlineStr">
        <is>
          <t>Barangay 146</t>
        </is>
      </c>
      <c r="I744" s="27" t="n">
        <v>12.444763</v>
      </c>
      <c r="J744" s="27" t="n">
        <v>123.189046</v>
      </c>
      <c r="K744" s="10" t="inlineStr">
        <is>
          <t>R</t>
        </is>
      </c>
      <c r="L744" s="12" t="n">
        <v>2279</v>
      </c>
      <c r="M744" s="14" t="n">
        <v>3.8</v>
      </c>
      <c r="N744" s="12">
        <f>ROUND(L744/M744, 0)</f>
        <v/>
      </c>
      <c r="O744" s="12">
        <f>ROUND(N744*'Methodology &amp; Assumptions'!$B$5, 0)</f>
        <v/>
      </c>
      <c r="P744" s="10" t="inlineStr">
        <is>
          <t>Single Carrier (Band n50, 100MHz TDD)</t>
        </is>
      </c>
      <c r="Q744" s="13">
        <f>ROUNDUP(O744/'Methodology &amp; Assumptions'!$B$6, 0)</f>
        <v/>
      </c>
      <c r="R744" s="13" t="n">
        <v>1</v>
      </c>
      <c r="S744" s="14" t="n">
        <v>23.32</v>
      </c>
      <c r="T744" s="14" t="n">
        <v>27.92</v>
      </c>
      <c r="U744" s="26">
        <f>IF(X744&gt;='Methodology &amp; Assumptions'!$B$7, "Tier 1 Critical GIDA (Score ≥ 50.0)", IF(X744&gt;='Methodology &amp; Assumptions'!$B$8, "Tier 2 High GIDA (Score 40.0–49.9)", "Tier 3 Moderate GIDA (Score &lt; 40.0)"))</f>
        <v/>
      </c>
      <c r="V744" s="26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W744" s="28" t="n">
        <v>0.011</v>
      </c>
      <c r="X744" s="14" t="n">
        <v>48.37</v>
      </c>
      <c r="Y744" s="14">
        <f>ROUND(MIN(100, (X744/69.91)*100), 2)</f>
        <v/>
      </c>
    </row>
    <row r="745">
      <c r="A745" s="10" t="n">
        <v>3</v>
      </c>
      <c r="B745" s="10" t="n">
        <v>741</v>
      </c>
      <c r="C745" s="10" t="n">
        <v>2741</v>
      </c>
      <c r="D745" s="10" t="inlineStr">
        <is>
          <t>1900708002</t>
        </is>
      </c>
      <c r="E745" s="26" t="inlineStr">
        <is>
          <t>Bangsamoro Autonomous Region In Muslim Mindanao (BARMM)</t>
        </is>
      </c>
      <c r="F745" s="26" t="inlineStr">
        <is>
          <t>Basilan</t>
        </is>
      </c>
      <c r="G745" s="26" t="inlineStr">
        <is>
          <t>Akbar</t>
        </is>
      </c>
      <c r="H745" s="26" t="inlineStr">
        <is>
          <t>Linongan</t>
        </is>
      </c>
      <c r="I745" s="27" t="n">
        <v>6.729596</v>
      </c>
      <c r="J745" s="27" t="n">
        <v>122.256264</v>
      </c>
      <c r="K745" s="10" t="inlineStr">
        <is>
          <t>R</t>
        </is>
      </c>
      <c r="L745" s="12" t="n">
        <v>3410</v>
      </c>
      <c r="M745" s="14" t="n">
        <v>5.1</v>
      </c>
      <c r="N745" s="12">
        <f>ROUND(L745/M745, 0)</f>
        <v/>
      </c>
      <c r="O745" s="12">
        <f>ROUND(N745*'Methodology &amp; Assumptions'!$B$5, 0)</f>
        <v/>
      </c>
      <c r="P745" s="10" t="inlineStr">
        <is>
          <t>Single Carrier (Band n50, 100MHz TDD)</t>
        </is>
      </c>
      <c r="Q745" s="13">
        <f>ROUNDUP(O745/'Methodology &amp; Assumptions'!$B$6, 0)</f>
        <v/>
      </c>
      <c r="R745" s="13" t="n">
        <v>1</v>
      </c>
      <c r="S745" s="14" t="n">
        <v>28.46</v>
      </c>
      <c r="T745" s="14" t="n">
        <v>28.29</v>
      </c>
      <c r="U745" s="26">
        <f>IF(X745&gt;='Methodology &amp; Assumptions'!$B$7, "Tier 1 Critical GIDA (Score ≥ 50.0)", IF(X745&gt;='Methodology &amp; Assumptions'!$B$8, "Tier 2 High GIDA (Score 40.0–49.9)", "Tier 3 Moderate GIDA (Score &lt; 40.0)"))</f>
        <v/>
      </c>
      <c r="V745" s="26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W745" s="28" t="n">
        <v>0.11</v>
      </c>
      <c r="X745" s="14" t="n">
        <v>48.37</v>
      </c>
      <c r="Y745" s="14">
        <f>ROUND(MIN(100, (X745/69.91)*100), 2)</f>
        <v/>
      </c>
    </row>
    <row r="746">
      <c r="A746" s="10" t="n">
        <v>3</v>
      </c>
      <c r="B746" s="10" t="n">
        <v>742</v>
      </c>
      <c r="C746" s="10" t="n">
        <v>2742</v>
      </c>
      <c r="D746" s="10" t="inlineStr">
        <is>
          <t>PH0002742</t>
        </is>
      </c>
      <c r="E746" s="26" t="inlineStr">
        <is>
          <t>III</t>
        </is>
      </c>
      <c r="F746" s="26" t="inlineStr">
        <is>
          <t>Pampanga</t>
        </is>
      </c>
      <c r="G746" s="26" t="inlineStr">
        <is>
          <t>Angeles City</t>
        </is>
      </c>
      <c r="H746" s="26" t="inlineStr">
        <is>
          <t>Lourdes Sur East</t>
        </is>
      </c>
      <c r="I746" s="27" t="n">
        <v>15.144451</v>
      </c>
      <c r="J746" s="27" t="n">
        <v>120.593558</v>
      </c>
      <c r="K746" s="10" t="inlineStr">
        <is>
          <t>R</t>
        </is>
      </c>
      <c r="L746" s="12" t="n">
        <v>2334</v>
      </c>
      <c r="M746" s="14" t="n">
        <v>4</v>
      </c>
      <c r="N746" s="12">
        <f>ROUND(L746/M746, 0)</f>
        <v/>
      </c>
      <c r="O746" s="12">
        <f>ROUND(N746*'Methodology &amp; Assumptions'!$B$5, 0)</f>
        <v/>
      </c>
      <c r="P746" s="10" t="inlineStr">
        <is>
          <t>Single Carrier (Band n50, 100MHz TDD)</t>
        </is>
      </c>
      <c r="Q746" s="13">
        <f>ROUNDUP(O746/'Methodology &amp; Assumptions'!$B$6, 0)</f>
        <v/>
      </c>
      <c r="R746" s="13" t="n">
        <v>1</v>
      </c>
      <c r="S746" s="14" t="n">
        <v>0.8100000000000001</v>
      </c>
      <c r="T746" s="14" t="n">
        <v>0.21</v>
      </c>
      <c r="U746" s="26">
        <f>IF(X746&gt;='Methodology &amp; Assumptions'!$B$7, "Tier 1 Critical GIDA (Score ≥ 50.0)", IF(X746&gt;='Methodology &amp; Assumptions'!$B$8, "Tier 2 High GIDA (Score 40.0–49.9)", "Tier 3 Moderate GIDA (Score &lt; 40.0)"))</f>
        <v/>
      </c>
      <c r="V746" s="26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W746" s="28" t="n">
        <v>0.083</v>
      </c>
      <c r="X746" s="14" t="n">
        <v>48.37</v>
      </c>
      <c r="Y746" s="14">
        <f>ROUND(MIN(100, (X746/69.91)*100), 2)</f>
        <v/>
      </c>
    </row>
    <row r="747">
      <c r="A747" s="10" t="n">
        <v>3</v>
      </c>
      <c r="B747" s="10" t="n">
        <v>743</v>
      </c>
      <c r="C747" s="10" t="n">
        <v>2743</v>
      </c>
      <c r="D747" s="10" t="inlineStr">
        <is>
          <t>1903619028</t>
        </is>
      </c>
      <c r="E747" s="26" t="inlineStr">
        <is>
          <t>Bangsamoro Autonomous Region In Muslim Mindanao (BARMM)</t>
        </is>
      </c>
      <c r="F747" s="26" t="inlineStr">
        <is>
          <t>Lanao del Sur</t>
        </is>
      </c>
      <c r="G747" s="26" t="inlineStr">
        <is>
          <t>Mulondo</t>
        </is>
      </c>
      <c r="H747" s="26" t="inlineStr">
        <is>
          <t>Lilod</t>
        </is>
      </c>
      <c r="I747" s="27" t="n">
        <v>17.250583</v>
      </c>
      <c r="J747" s="27" t="n">
        <v>122.231777</v>
      </c>
      <c r="K747" s="10" t="inlineStr">
        <is>
          <t>R</t>
        </is>
      </c>
      <c r="L747" s="12" t="n">
        <v>642</v>
      </c>
      <c r="M747" s="14" t="n">
        <v>5.7</v>
      </c>
      <c r="N747" s="12">
        <f>ROUND(L747/M747, 0)</f>
        <v/>
      </c>
      <c r="O747" s="12">
        <f>ROUND(N747*'Methodology &amp; Assumptions'!$B$5, 0)</f>
        <v/>
      </c>
      <c r="P747" s="10" t="inlineStr">
        <is>
          <t>Single Carrier (Band n50, 100MHz TDD)</t>
        </is>
      </c>
      <c r="Q747" s="13">
        <f>ROUNDUP(O747/'Methodology &amp; Assumptions'!$B$6, 0)</f>
        <v/>
      </c>
      <c r="R747" s="13" t="n">
        <v>1</v>
      </c>
      <c r="S747" s="14" t="n">
        <v>29.35</v>
      </c>
      <c r="T747" s="14" t="n">
        <v>34.46</v>
      </c>
      <c r="U747" s="26">
        <f>IF(X747&gt;='Methodology &amp; Assumptions'!$B$7, "Tier 1 Critical GIDA (Score ≥ 50.0)", IF(X747&gt;='Methodology &amp; Assumptions'!$B$8, "Tier 2 High GIDA (Score 40.0–49.9)", "Tier 3 Moderate GIDA (Score &lt; 40.0)"))</f>
        <v/>
      </c>
      <c r="V747" s="26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W747" s="28" t="n">
        <v>0.11</v>
      </c>
      <c r="X747" s="14" t="n">
        <v>48.37</v>
      </c>
      <c r="Y747" s="14">
        <f>ROUND(MIN(100, (X747/69.91)*100), 2)</f>
        <v/>
      </c>
    </row>
    <row r="748">
      <c r="A748" s="10" t="n">
        <v>3</v>
      </c>
      <c r="B748" s="10" t="n">
        <v>744</v>
      </c>
      <c r="C748" s="10" t="n">
        <v>2744</v>
      </c>
      <c r="D748" s="10" t="inlineStr">
        <is>
          <t>1908823010</t>
        </is>
      </c>
      <c r="E748" s="26" t="inlineStr">
        <is>
          <t>Bangsamoro Autonomous Region In Muslim Mindanao (BARMM)</t>
        </is>
      </c>
      <c r="F748" s="26" t="inlineStr">
        <is>
          <t>Maguindanao del Sur</t>
        </is>
      </c>
      <c r="G748" s="26" t="inlineStr">
        <is>
          <t>Sultan Sa Barongis</t>
        </is>
      </c>
      <c r="H748" s="26" t="inlineStr">
        <is>
          <t>Papakan</t>
        </is>
      </c>
      <c r="I748" s="27" t="n">
        <v>17.255042</v>
      </c>
      <c r="J748" s="27" t="n">
        <v>122.229086</v>
      </c>
      <c r="K748" s="10" t="inlineStr">
        <is>
          <t>R</t>
        </is>
      </c>
      <c r="L748" s="12" t="n">
        <v>1662</v>
      </c>
      <c r="M748" s="14" t="n">
        <v>4.7</v>
      </c>
      <c r="N748" s="12">
        <f>ROUND(L748/M748, 0)</f>
        <v/>
      </c>
      <c r="O748" s="12">
        <f>ROUND(N748*'Methodology &amp; Assumptions'!$B$5, 0)</f>
        <v/>
      </c>
      <c r="P748" s="10" t="inlineStr">
        <is>
          <t>Single Carrier (Band n50, 100MHz TDD)</t>
        </is>
      </c>
      <c r="Q748" s="13">
        <f>ROUNDUP(O748/'Methodology &amp; Assumptions'!$B$6, 0)</f>
        <v/>
      </c>
      <c r="R748" s="13" t="n">
        <v>1</v>
      </c>
      <c r="S748" s="14" t="n">
        <v>29.45</v>
      </c>
      <c r="T748" s="14" t="n">
        <v>34.32</v>
      </c>
      <c r="U748" s="26">
        <f>IF(X748&gt;='Methodology &amp; Assumptions'!$B$7, "Tier 1 Critical GIDA (Score ≥ 50.0)", IF(X748&gt;='Methodology &amp; Assumptions'!$B$8, "Tier 2 High GIDA (Score 40.0–49.9)", "Tier 3 Moderate GIDA (Score &lt; 40.0)"))</f>
        <v/>
      </c>
      <c r="V748" s="26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W748" s="28" t="n">
        <v>0.11</v>
      </c>
      <c r="X748" s="14" t="n">
        <v>48.37</v>
      </c>
      <c r="Y748" s="14">
        <f>ROUND(MIN(100, (X748/69.91)*100), 2)</f>
        <v/>
      </c>
    </row>
    <row r="749">
      <c r="A749" s="10" t="n">
        <v>3</v>
      </c>
      <c r="B749" s="10" t="n">
        <v>745</v>
      </c>
      <c r="C749" s="10" t="n">
        <v>2745</v>
      </c>
      <c r="D749" s="10" t="inlineStr">
        <is>
          <t>PH0002745</t>
        </is>
      </c>
      <c r="E749" s="26" t="inlineStr">
        <is>
          <t>BARMM (LaMa+SGA)</t>
        </is>
      </c>
      <c r="F749" s="26" t="inlineStr">
        <is>
          <t>Lanao Del Sur</t>
        </is>
      </c>
      <c r="G749" s="26" t="inlineStr">
        <is>
          <t>Sultan Gumander (Picong)</t>
        </is>
      </c>
      <c r="H749" s="26" t="inlineStr">
        <is>
          <t>Torogan</t>
        </is>
      </c>
      <c r="I749" s="27" t="n">
        <v>17.255233</v>
      </c>
      <c r="J749" s="27" t="n">
        <v>122.222158</v>
      </c>
      <c r="K749" s="10" t="inlineStr">
        <is>
          <t>R</t>
        </is>
      </c>
      <c r="L749" s="12" t="n">
        <v>2518</v>
      </c>
      <c r="M749" s="14" t="n">
        <v>5.7</v>
      </c>
      <c r="N749" s="12">
        <f>ROUND(L749/M749, 0)</f>
        <v/>
      </c>
      <c r="O749" s="12">
        <f>ROUND(N749*'Methodology &amp; Assumptions'!$B$5, 0)</f>
        <v/>
      </c>
      <c r="P749" s="10" t="inlineStr">
        <is>
          <t>Single Carrier (Band n50, 100MHz TDD)</t>
        </is>
      </c>
      <c r="Q749" s="13">
        <f>ROUNDUP(O749/'Methodology &amp; Assumptions'!$B$6, 0)</f>
        <v/>
      </c>
      <c r="R749" s="13" t="n">
        <v>1</v>
      </c>
      <c r="S749" s="14" t="n">
        <v>28.9</v>
      </c>
      <c r="T749" s="14" t="n">
        <v>33.63</v>
      </c>
      <c r="U749" s="26">
        <f>IF(X749&gt;='Methodology &amp; Assumptions'!$B$7, "Tier 1 Critical GIDA (Score ≥ 50.0)", IF(X749&gt;='Methodology &amp; Assumptions'!$B$8, "Tier 2 High GIDA (Score 40.0–49.9)", "Tier 3 Moderate GIDA (Score &lt; 40.0)"))</f>
        <v/>
      </c>
      <c r="V749" s="26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W749" s="28" t="n">
        <v>0.235</v>
      </c>
      <c r="X749" s="14" t="n">
        <v>48.37</v>
      </c>
      <c r="Y749" s="14">
        <f>ROUND(MIN(100, (X749/69.91)*100), 2)</f>
        <v/>
      </c>
    </row>
    <row r="750">
      <c r="A750" s="10" t="n">
        <v>3</v>
      </c>
      <c r="B750" s="10" t="n">
        <v>746</v>
      </c>
      <c r="C750" s="10" t="n">
        <v>2746</v>
      </c>
      <c r="D750" s="10" t="inlineStr">
        <is>
          <t>0402106072</t>
        </is>
      </c>
      <c r="E750" s="26" t="inlineStr">
        <is>
          <t>Region IV-A (CALABARZON)</t>
        </is>
      </c>
      <c r="F750" s="26" t="inlineStr">
        <is>
          <t>Cavite</t>
        </is>
      </c>
      <c r="G750" s="26" t="inlineStr">
        <is>
          <t>City of Dasmariñas</t>
        </is>
      </c>
      <c r="H750" s="26" t="inlineStr">
        <is>
          <t>San Luis II</t>
        </is>
      </c>
      <c r="I750" s="27" t="n">
        <v>14.311215</v>
      </c>
      <c r="J750" s="27" t="n">
        <v>120.936088</v>
      </c>
      <c r="K750" s="10" t="inlineStr">
        <is>
          <t>R</t>
        </is>
      </c>
      <c r="L750" s="12" t="n">
        <v>4565</v>
      </c>
      <c r="M750" s="14" t="n">
        <v>3.4</v>
      </c>
      <c r="N750" s="12">
        <f>ROUND(L750/M750, 0)</f>
        <v/>
      </c>
      <c r="O750" s="12">
        <f>ROUND(N750*'Methodology &amp; Assumptions'!$B$5, 0)</f>
        <v/>
      </c>
      <c r="P750" s="10" t="inlineStr">
        <is>
          <t>Single Carrier (Band n50, 100MHz TDD)</t>
        </is>
      </c>
      <c r="Q750" s="13">
        <f>ROUNDUP(O750/'Methodology &amp; Assumptions'!$B$6, 0)</f>
        <v/>
      </c>
      <c r="R750" s="13" t="n">
        <v>1</v>
      </c>
      <c r="S750" s="14" t="n">
        <v>2.74</v>
      </c>
      <c r="T750" s="14" t="n">
        <v>1.94</v>
      </c>
      <c r="U750" s="26">
        <f>IF(X750&gt;='Methodology &amp; Assumptions'!$B$7, "Tier 1 Critical GIDA (Score ≥ 50.0)", IF(X750&gt;='Methodology &amp; Assumptions'!$B$8, "Tier 2 High GIDA (Score 40.0–49.9)", "Tier 3 Moderate GIDA (Score &lt; 40.0)"))</f>
        <v/>
      </c>
      <c r="V750" s="26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W750" s="28" t="n">
        <v>0.07200000000000001</v>
      </c>
      <c r="X750" s="14" t="n">
        <v>48.36</v>
      </c>
      <c r="Y750" s="14">
        <f>ROUND(MIN(100, (X750/69.91)*100), 2)</f>
        <v/>
      </c>
    </row>
    <row r="751">
      <c r="A751" s="10" t="n">
        <v>3</v>
      </c>
      <c r="B751" s="10" t="n">
        <v>747</v>
      </c>
      <c r="C751" s="10" t="n">
        <v>2747</v>
      </c>
      <c r="D751" s="10" t="inlineStr">
        <is>
          <t>0907311014</t>
        </is>
      </c>
      <c r="E751" s="26" t="inlineStr">
        <is>
          <t>Region IX (Zamboanga Peninsula)</t>
        </is>
      </c>
      <c r="F751" s="26" t="inlineStr">
        <is>
          <t>Zamboanga del Sur</t>
        </is>
      </c>
      <c r="G751" s="26" t="inlineStr">
        <is>
          <t>Kumalarang</t>
        </is>
      </c>
      <c r="H751" s="26" t="inlineStr">
        <is>
          <t>Gusom</t>
        </is>
      </c>
      <c r="I751" s="27" t="n">
        <v>7.6992</v>
      </c>
      <c r="J751" s="27" t="n">
        <v>123.08777</v>
      </c>
      <c r="K751" s="10" t="inlineStr">
        <is>
          <t>R</t>
        </is>
      </c>
      <c r="L751" s="12" t="n">
        <v>823</v>
      </c>
      <c r="M751" s="14" t="n">
        <v>3.9</v>
      </c>
      <c r="N751" s="12">
        <f>ROUND(L751/M751, 0)</f>
        <v/>
      </c>
      <c r="O751" s="12">
        <f>ROUND(N751*'Methodology &amp; Assumptions'!$B$5, 0)</f>
        <v/>
      </c>
      <c r="P751" s="10" t="inlineStr">
        <is>
          <t>Single Carrier (Band n50, 100MHz TDD)</t>
        </is>
      </c>
      <c r="Q751" s="13">
        <f>ROUNDUP(O751/'Methodology &amp; Assumptions'!$B$6, 0)</f>
        <v/>
      </c>
      <c r="R751" s="13" t="n">
        <v>1</v>
      </c>
      <c r="S751" s="14" t="n">
        <v>4.96</v>
      </c>
      <c r="T751" s="14" t="n">
        <v>4.18</v>
      </c>
      <c r="U751" s="26">
        <f>IF(X751&gt;='Methodology &amp; Assumptions'!$B$7, "Tier 1 Critical GIDA (Score ≥ 50.0)", IF(X751&gt;='Methodology &amp; Assumptions'!$B$8, "Tier 2 High GIDA (Score 40.0–49.9)", "Tier 3 Moderate GIDA (Score &lt; 40.0)"))</f>
        <v/>
      </c>
      <c r="V751" s="26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W751" s="28" t="n">
        <v>0.11</v>
      </c>
      <c r="X751" s="14" t="n">
        <v>48.36</v>
      </c>
      <c r="Y751" s="14">
        <f>ROUND(MIN(100, (X751/69.91)*100), 2)</f>
        <v/>
      </c>
    </row>
    <row r="752">
      <c r="A752" s="10" t="n">
        <v>3</v>
      </c>
      <c r="B752" s="10" t="n">
        <v>748</v>
      </c>
      <c r="C752" s="10" t="n">
        <v>2748</v>
      </c>
      <c r="D752" s="10" t="inlineStr">
        <is>
          <t>1380606154</t>
        </is>
      </c>
      <c r="E752" s="26" t="inlineStr">
        <is>
          <t>National Capital Region (NCR)</t>
        </is>
      </c>
      <c r="F752" s="26" t="inlineStr">
        <is>
          <t>First District (Not a Province)</t>
        </is>
      </c>
      <c r="G752" s="26" t="inlineStr">
        <is>
          <t>City of Manila</t>
        </is>
      </c>
      <c r="H752" s="26" t="inlineStr">
        <is>
          <t>Barangay 548</t>
        </is>
      </c>
      <c r="I752" s="27" t="n">
        <v>13.855055</v>
      </c>
      <c r="J752" s="27" t="n">
        <v>121.774</v>
      </c>
      <c r="K752" s="10" t="inlineStr">
        <is>
          <t>U</t>
        </is>
      </c>
      <c r="L752" s="12" t="n">
        <v>772</v>
      </c>
      <c r="M752" s="14" t="n">
        <v>3.9</v>
      </c>
      <c r="N752" s="12">
        <f>ROUND(L752/M752, 0)</f>
        <v/>
      </c>
      <c r="O752" s="12">
        <f>ROUND(N752*'Methodology &amp; Assumptions'!$B$5, 0)</f>
        <v/>
      </c>
      <c r="P752" s="10" t="inlineStr">
        <is>
          <t>Single Carrier (Band n50, 100MHz TDD)</t>
        </is>
      </c>
      <c r="Q752" s="13">
        <f>ROUNDUP(O752/'Methodology &amp; Assumptions'!$B$6, 0)</f>
        <v/>
      </c>
      <c r="R752" s="13" t="n">
        <v>1</v>
      </c>
      <c r="S752" s="14" t="n">
        <v>8.119999999999999</v>
      </c>
      <c r="T752" s="14" t="n">
        <v>7.63</v>
      </c>
      <c r="U752" s="26">
        <f>IF(X752&gt;='Methodology &amp; Assumptions'!$B$7, "Tier 1 Critical GIDA (Score ≥ 50.0)", IF(X752&gt;='Methodology &amp; Assumptions'!$B$8, "Tier 2 High GIDA (Score 40.0–49.9)", "Tier 3 Moderate GIDA (Score &lt; 40.0)"))</f>
        <v/>
      </c>
      <c r="V752" s="26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W752" s="28" t="n">
        <v>0.109</v>
      </c>
      <c r="X752" s="14" t="n">
        <v>48.36</v>
      </c>
      <c r="Y752" s="14">
        <f>ROUND(MIN(100, (X752/69.91)*100), 2)</f>
        <v/>
      </c>
    </row>
    <row r="753">
      <c r="A753" s="10" t="n">
        <v>3</v>
      </c>
      <c r="B753" s="10" t="n">
        <v>749</v>
      </c>
      <c r="C753" s="10" t="n">
        <v>2749</v>
      </c>
      <c r="D753" s="10" t="inlineStr">
        <is>
          <t>1908804007</t>
        </is>
      </c>
      <c r="E753" s="26" t="inlineStr">
        <is>
          <t>Bangsamoro Autonomous Region In Muslim Mindanao (BARMM)</t>
        </is>
      </c>
      <c r="F753" s="26" t="inlineStr">
        <is>
          <t>Maguindanao del Sur</t>
        </is>
      </c>
      <c r="G753" s="26" t="inlineStr">
        <is>
          <t>Datu Anggal Midtimbang</t>
        </is>
      </c>
      <c r="H753" s="26" t="inlineStr">
        <is>
          <t>Tulunan</t>
        </is>
      </c>
      <c r="I753" s="27" t="n">
        <v>17.255191</v>
      </c>
      <c r="J753" s="27" t="n">
        <v>122.229235</v>
      </c>
      <c r="K753" s="10" t="inlineStr">
        <is>
          <t>R</t>
        </is>
      </c>
      <c r="L753" s="12" t="n">
        <v>2657</v>
      </c>
      <c r="M753" s="14" t="n">
        <v>4.7</v>
      </c>
      <c r="N753" s="12">
        <f>ROUND(L753/M753, 0)</f>
        <v/>
      </c>
      <c r="O753" s="12">
        <f>ROUND(N753*'Methodology &amp; Assumptions'!$B$5, 0)</f>
        <v/>
      </c>
      <c r="P753" s="10" t="inlineStr">
        <is>
          <t>Single Carrier (Band n50, 100MHz TDD)</t>
        </is>
      </c>
      <c r="Q753" s="13">
        <f>ROUNDUP(O753/'Methodology &amp; Assumptions'!$B$6, 0)</f>
        <v/>
      </c>
      <c r="R753" s="13" t="n">
        <v>1</v>
      </c>
      <c r="S753" s="14" t="n">
        <v>29.47</v>
      </c>
      <c r="T753" s="14" t="n">
        <v>34.34</v>
      </c>
      <c r="U753" s="26">
        <f>IF(X753&gt;='Methodology &amp; Assumptions'!$B$7, "Tier 1 Critical GIDA (Score ≥ 50.0)", IF(X753&gt;='Methodology &amp; Assumptions'!$B$8, "Tier 2 High GIDA (Score 40.0–49.9)", "Tier 3 Moderate GIDA (Score &lt; 40.0)"))</f>
        <v/>
      </c>
      <c r="V753" s="26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W753" s="28" t="n">
        <v>0.11</v>
      </c>
      <c r="X753" s="14" t="n">
        <v>48.36</v>
      </c>
      <c r="Y753" s="14">
        <f>ROUND(MIN(100, (X753/69.91)*100), 2)</f>
        <v/>
      </c>
    </row>
    <row r="754">
      <c r="A754" s="10" t="n">
        <v>3</v>
      </c>
      <c r="B754" s="10" t="n">
        <v>750</v>
      </c>
      <c r="C754" s="10" t="n">
        <v>2750</v>
      </c>
      <c r="D754" s="10" t="inlineStr">
        <is>
          <t>1900703027</t>
        </is>
      </c>
      <c r="E754" s="26" t="inlineStr">
        <is>
          <t>Bangsamoro Autonomous Region In Muslim Mindanao (BARMM)</t>
        </is>
      </c>
      <c r="F754" s="26" t="inlineStr">
        <is>
          <t>Basilan</t>
        </is>
      </c>
      <c r="G754" s="26" t="inlineStr">
        <is>
          <t>Lantawan</t>
        </is>
      </c>
      <c r="H754" s="26" t="inlineStr">
        <is>
          <t>Canibungan</t>
        </is>
      </c>
      <c r="I754" s="27" t="n">
        <v>7.573953</v>
      </c>
      <c r="J754" s="27" t="n">
        <v>121.823242</v>
      </c>
      <c r="K754" s="10" t="inlineStr">
        <is>
          <t>R</t>
        </is>
      </c>
      <c r="L754" s="12" t="n">
        <v>2486</v>
      </c>
      <c r="M754" s="14" t="n">
        <v>5.1</v>
      </c>
      <c r="N754" s="12">
        <f>ROUND(L754/M754, 0)</f>
        <v/>
      </c>
      <c r="O754" s="12">
        <f>ROUND(N754*'Methodology &amp; Assumptions'!$B$5, 0)</f>
        <v/>
      </c>
      <c r="P754" s="10" t="inlineStr">
        <is>
          <t>Single Carrier (Band n50, 100MHz TDD)</t>
        </is>
      </c>
      <c r="Q754" s="13">
        <f>ROUNDUP(O754/'Methodology &amp; Assumptions'!$B$6, 0)</f>
        <v/>
      </c>
      <c r="R754" s="13" t="n">
        <v>1</v>
      </c>
      <c r="S754" s="14" t="n">
        <v>60.82</v>
      </c>
      <c r="T754" s="14" t="n">
        <v>55.96</v>
      </c>
      <c r="U754" s="26">
        <f>IF(X754&gt;='Methodology &amp; Assumptions'!$B$7, "Tier 1 Critical GIDA (Score ≥ 50.0)", IF(X754&gt;='Methodology &amp; Assumptions'!$B$8, "Tier 2 High GIDA (Score 40.0–49.9)", "Tier 3 Moderate GIDA (Score &lt; 40.0)"))</f>
        <v/>
      </c>
      <c r="V754" s="26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W754" s="28" t="n">
        <v>0.11</v>
      </c>
      <c r="X754" s="14" t="n">
        <v>48.36</v>
      </c>
      <c r="Y754" s="14">
        <f>ROUND(MIN(100, (X754/69.91)*100), 2)</f>
        <v/>
      </c>
    </row>
    <row r="755">
      <c r="A755" s="10" t="n">
        <v>3</v>
      </c>
      <c r="B755" s="10" t="n">
        <v>751</v>
      </c>
      <c r="C755" s="10" t="n">
        <v>2751</v>
      </c>
      <c r="D755" s="10" t="inlineStr">
        <is>
          <t>0907313011</t>
        </is>
      </c>
      <c r="E755" s="26" t="inlineStr">
        <is>
          <t>Region IX (Zamboanga Peninsula)</t>
        </is>
      </c>
      <c r="F755" s="26" t="inlineStr">
        <is>
          <t>Zamboanga del Sur</t>
        </is>
      </c>
      <c r="G755" s="26" t="inlineStr">
        <is>
          <t>Lapuyan</t>
        </is>
      </c>
      <c r="H755" s="26" t="inlineStr">
        <is>
          <t>Luanan</t>
        </is>
      </c>
      <c r="I755" s="27" t="n">
        <v>7.718077</v>
      </c>
      <c r="J755" s="27" t="n">
        <v>123.150027</v>
      </c>
      <c r="K755" s="10" t="inlineStr">
        <is>
          <t>R</t>
        </is>
      </c>
      <c r="L755" s="12" t="n">
        <v>522</v>
      </c>
      <c r="M755" s="14" t="n">
        <v>3.9</v>
      </c>
      <c r="N755" s="12">
        <f>ROUND(L755/M755, 0)</f>
        <v/>
      </c>
      <c r="O755" s="12">
        <f>ROUND(N755*'Methodology &amp; Assumptions'!$B$5, 0)</f>
        <v/>
      </c>
      <c r="P755" s="10" t="inlineStr">
        <is>
          <t>Single Carrier (Band n50, 100MHz TDD)</t>
        </is>
      </c>
      <c r="Q755" s="13">
        <f>ROUNDUP(O755/'Methodology &amp; Assumptions'!$B$6, 0)</f>
        <v/>
      </c>
      <c r="R755" s="13" t="n">
        <v>1</v>
      </c>
      <c r="S755" s="14" t="n">
        <v>10.54</v>
      </c>
      <c r="T755" s="14" t="n">
        <v>4.48</v>
      </c>
      <c r="U755" s="26">
        <f>IF(X755&gt;='Methodology &amp; Assumptions'!$B$7, "Tier 1 Critical GIDA (Score ≥ 50.0)", IF(X755&gt;='Methodology &amp; Assumptions'!$B$8, "Tier 2 High GIDA (Score 40.0–49.9)", "Tier 3 Moderate GIDA (Score &lt; 40.0)"))</f>
        <v/>
      </c>
      <c r="V755" s="26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W755" s="28" t="n">
        <v>0.11</v>
      </c>
      <c r="X755" s="14" t="n">
        <v>48.36</v>
      </c>
      <c r="Y755" s="14">
        <f>ROUND(MIN(100, (X755/69.91)*100), 2)</f>
        <v/>
      </c>
    </row>
    <row r="756">
      <c r="A756" s="10" t="n">
        <v>3</v>
      </c>
      <c r="B756" s="10" t="n">
        <v>752</v>
      </c>
      <c r="C756" s="10" t="n">
        <v>2752</v>
      </c>
      <c r="D756" s="10" t="inlineStr">
        <is>
          <t>1900712006</t>
        </is>
      </c>
      <c r="E756" s="26" t="inlineStr">
        <is>
          <t>Bangsamoro Autonomous Region In Muslim Mindanao (BARMM)</t>
        </is>
      </c>
      <c r="F756" s="26" t="inlineStr">
        <is>
          <t>Basilan</t>
        </is>
      </c>
      <c r="G756" s="26" t="inlineStr">
        <is>
          <t>Hadji Muhtamad</t>
        </is>
      </c>
      <c r="H756" s="26" t="inlineStr">
        <is>
          <t>Palahangan</t>
        </is>
      </c>
      <c r="I756" s="27" t="n">
        <v>6.72363</v>
      </c>
      <c r="J756" s="27" t="n">
        <v>121.588876</v>
      </c>
      <c r="K756" s="10" t="inlineStr">
        <is>
          <t>R</t>
        </is>
      </c>
      <c r="L756" s="12" t="n">
        <v>2792</v>
      </c>
      <c r="M756" s="14" t="n">
        <v>5.1</v>
      </c>
      <c r="N756" s="12">
        <f>ROUND(L756/M756, 0)</f>
        <v/>
      </c>
      <c r="O756" s="12">
        <f>ROUND(N756*'Methodology &amp; Assumptions'!$B$5, 0)</f>
        <v/>
      </c>
      <c r="P756" s="10" t="inlineStr">
        <is>
          <t>Single Carrier (Band n50, 100MHz TDD)</t>
        </is>
      </c>
      <c r="Q756" s="13">
        <f>ROUNDUP(O756/'Methodology &amp; Assumptions'!$B$6, 0)</f>
        <v/>
      </c>
      <c r="R756" s="13" t="n">
        <v>1</v>
      </c>
      <c r="S756" s="14" t="n">
        <v>57.42</v>
      </c>
      <c r="T756" s="14" t="n">
        <v>57.42</v>
      </c>
      <c r="U756" s="26">
        <f>IF(X756&gt;='Methodology &amp; Assumptions'!$B$7, "Tier 1 Critical GIDA (Score ≥ 50.0)", IF(X756&gt;='Methodology &amp; Assumptions'!$B$8, "Tier 2 High GIDA (Score 40.0–49.9)", "Tier 3 Moderate GIDA (Score &lt; 40.0)"))</f>
        <v/>
      </c>
      <c r="V756" s="26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W756" s="28" t="n">
        <v>0.11</v>
      </c>
      <c r="X756" s="14" t="n">
        <v>48.36</v>
      </c>
      <c r="Y756" s="14">
        <f>ROUND(MIN(100, (X756/69.91)*100), 2)</f>
        <v/>
      </c>
    </row>
    <row r="757">
      <c r="A757" s="10" t="n">
        <v>3</v>
      </c>
      <c r="B757" s="10" t="n">
        <v>753</v>
      </c>
      <c r="C757" s="10" t="n">
        <v>2753</v>
      </c>
      <c r="D757" s="10" t="inlineStr">
        <is>
          <t>PH0002753</t>
        </is>
      </c>
      <c r="E757" s="26" t="inlineStr">
        <is>
          <t>CAR</t>
        </is>
      </c>
      <c r="F757" s="26" t="inlineStr">
        <is>
          <t>Benguet</t>
        </is>
      </c>
      <c r="G757" s="26" t="inlineStr">
        <is>
          <t>Baguio City</t>
        </is>
      </c>
      <c r="H757" s="26" t="inlineStr">
        <is>
          <t>Bagong Lipunan</t>
        </is>
      </c>
      <c r="I757" s="27" t="n">
        <v>16.380427</v>
      </c>
      <c r="J757" s="27" t="n">
        <v>120.595406</v>
      </c>
      <c r="K757" s="10" t="inlineStr">
        <is>
          <t>R</t>
        </is>
      </c>
      <c r="L757" s="12" t="n">
        <v>2260</v>
      </c>
      <c r="M757" s="14" t="n">
        <v>3.5</v>
      </c>
      <c r="N757" s="12">
        <f>ROUND(L757/M757, 0)</f>
        <v/>
      </c>
      <c r="O757" s="12">
        <f>ROUND(N757*'Methodology &amp; Assumptions'!$B$5, 0)</f>
        <v/>
      </c>
      <c r="P757" s="10" t="inlineStr">
        <is>
          <t>Single Carrier (Band n50, 100MHz TDD)</t>
        </is>
      </c>
      <c r="Q757" s="13">
        <f>ROUNDUP(O757/'Methodology &amp; Assumptions'!$B$6, 0)</f>
        <v/>
      </c>
      <c r="R757" s="13" t="n">
        <v>1</v>
      </c>
      <c r="S757" s="14" t="n">
        <v>2.41</v>
      </c>
      <c r="T757" s="14" t="n">
        <v>2.2</v>
      </c>
      <c r="U757" s="26">
        <f>IF(X757&gt;='Methodology &amp; Assumptions'!$B$7, "Tier 1 Critical GIDA (Score ≥ 50.0)", IF(X757&gt;='Methodology &amp; Assumptions'!$B$8, "Tier 2 High GIDA (Score 40.0–49.9)", "Tier 3 Moderate GIDA (Score &lt; 40.0)"))</f>
        <v/>
      </c>
      <c r="V757" s="26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W757" s="28" t="n">
        <v>0.221</v>
      </c>
      <c r="X757" s="14" t="n">
        <v>48.36</v>
      </c>
      <c r="Y757" s="14">
        <f>ROUND(MIN(100, (X757/69.91)*100), 2)</f>
        <v/>
      </c>
    </row>
    <row r="758">
      <c r="A758" s="10" t="n">
        <v>3</v>
      </c>
      <c r="B758" s="10" t="n">
        <v>754</v>
      </c>
      <c r="C758" s="10" t="n">
        <v>2754</v>
      </c>
      <c r="D758" s="10" t="inlineStr">
        <is>
          <t>1908823011</t>
        </is>
      </c>
      <c r="E758" s="26" t="inlineStr">
        <is>
          <t>Bangsamoro Autonomous Region In Muslim Mindanao (BARMM)</t>
        </is>
      </c>
      <c r="F758" s="26" t="inlineStr">
        <is>
          <t>Maguindanao del Sur</t>
        </is>
      </c>
      <c r="G758" s="26" t="inlineStr">
        <is>
          <t>Sultan Sa Barongis</t>
        </is>
      </c>
      <c r="H758" s="26" t="inlineStr">
        <is>
          <t>Tugal</t>
        </is>
      </c>
      <c r="I758" s="27" t="n">
        <v>17.255044</v>
      </c>
      <c r="J758" s="27" t="n">
        <v>122.229088</v>
      </c>
      <c r="K758" s="10" t="inlineStr">
        <is>
          <t>R</t>
        </is>
      </c>
      <c r="L758" s="12" t="n">
        <v>1115</v>
      </c>
      <c r="M758" s="14" t="n">
        <v>4.7</v>
      </c>
      <c r="N758" s="12">
        <f>ROUND(L758/M758, 0)</f>
        <v/>
      </c>
      <c r="O758" s="12">
        <f>ROUND(N758*'Methodology &amp; Assumptions'!$B$5, 0)</f>
        <v/>
      </c>
      <c r="P758" s="10" t="inlineStr">
        <is>
          <t>Single Carrier (Band n50, 100MHz TDD)</t>
        </is>
      </c>
      <c r="Q758" s="13">
        <f>ROUNDUP(O758/'Methodology &amp; Assumptions'!$B$6, 0)</f>
        <v/>
      </c>
      <c r="R758" s="13" t="n">
        <v>1</v>
      </c>
      <c r="S758" s="14" t="n">
        <v>29.45</v>
      </c>
      <c r="T758" s="14" t="n">
        <v>34.32</v>
      </c>
      <c r="U758" s="26">
        <f>IF(X758&gt;='Methodology &amp; Assumptions'!$B$7, "Tier 1 Critical GIDA (Score ≥ 50.0)", IF(X758&gt;='Methodology &amp; Assumptions'!$B$8, "Tier 2 High GIDA (Score 40.0–49.9)", "Tier 3 Moderate GIDA (Score &lt; 40.0)"))</f>
        <v/>
      </c>
      <c r="V758" s="26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W758" s="28" t="n">
        <v>0.11</v>
      </c>
      <c r="X758" s="14" t="n">
        <v>48.36</v>
      </c>
      <c r="Y758" s="14">
        <f>ROUND(MIN(100, (X758/69.91)*100), 2)</f>
        <v/>
      </c>
    </row>
    <row r="759">
      <c r="A759" s="10" t="n">
        <v>3</v>
      </c>
      <c r="B759" s="10" t="n">
        <v>755</v>
      </c>
      <c r="C759" s="10" t="n">
        <v>2755</v>
      </c>
      <c r="D759" s="10" t="inlineStr">
        <is>
          <t>PH0002755</t>
        </is>
      </c>
      <c r="E759" s="26" t="inlineStr">
        <is>
          <t>BARMM (LaMa+SGA)</t>
        </is>
      </c>
      <c r="F759" s="26" t="inlineStr">
        <is>
          <t>Lanao Del Sur</t>
        </is>
      </c>
      <c r="G759" s="26" t="inlineStr">
        <is>
          <t>Sultan Gumander (Picong)</t>
        </is>
      </c>
      <c r="H759" s="26" t="inlineStr">
        <is>
          <t>Mimbalawag</t>
        </is>
      </c>
      <c r="I759" s="27" t="n">
        <v>17.25934</v>
      </c>
      <c r="J759" s="27" t="n">
        <v>122.235082</v>
      </c>
      <c r="K759" s="10" t="inlineStr">
        <is>
          <t>R</t>
        </is>
      </c>
      <c r="L759" s="12" t="n">
        <v>2518</v>
      </c>
      <c r="M759" s="14" t="n">
        <v>5.7</v>
      </c>
      <c r="N759" s="12">
        <f>ROUND(L759/M759, 0)</f>
        <v/>
      </c>
      <c r="O759" s="12">
        <f>ROUND(N759*'Methodology &amp; Assumptions'!$B$5, 0)</f>
        <v/>
      </c>
      <c r="P759" s="10" t="inlineStr">
        <is>
          <t>Single Carrier (Band n50, 100MHz TDD)</t>
        </is>
      </c>
      <c r="Q759" s="13">
        <f>ROUNDUP(O759/'Methodology &amp; Assumptions'!$B$6, 0)</f>
        <v/>
      </c>
      <c r="R759" s="13" t="n">
        <v>1</v>
      </c>
      <c r="S759" s="14" t="n">
        <v>30.24</v>
      </c>
      <c r="T759" s="14" t="n">
        <v>35.07</v>
      </c>
      <c r="U759" s="26">
        <f>IF(X759&gt;='Methodology &amp; Assumptions'!$B$7, "Tier 1 Critical GIDA (Score ≥ 50.0)", IF(X759&gt;='Methodology &amp; Assumptions'!$B$8, "Tier 2 High GIDA (Score 40.0–49.9)", "Tier 3 Moderate GIDA (Score &lt; 40.0)"))</f>
        <v/>
      </c>
      <c r="V759" s="26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W759" s="28" t="n">
        <v>0.235</v>
      </c>
      <c r="X759" s="14" t="n">
        <v>48.36</v>
      </c>
      <c r="Y759" s="14">
        <f>ROUND(MIN(100, (X759/69.91)*100), 2)</f>
        <v/>
      </c>
    </row>
    <row r="760">
      <c r="A760" s="10" t="n">
        <v>3</v>
      </c>
      <c r="B760" s="10" t="n">
        <v>756</v>
      </c>
      <c r="C760" s="10" t="n">
        <v>2756</v>
      </c>
      <c r="D760" s="10" t="inlineStr">
        <is>
          <t>1900710010</t>
        </is>
      </c>
      <c r="E760" s="26" t="inlineStr">
        <is>
          <t>Bangsamoro Autonomous Region In Muslim Mindanao (BARMM)</t>
        </is>
      </c>
      <c r="F760" s="26" t="inlineStr">
        <is>
          <t>Basilan</t>
        </is>
      </c>
      <c r="G760" s="26" t="inlineStr">
        <is>
          <t>Hadji Mohammad Ajul</t>
        </is>
      </c>
      <c r="H760" s="26" t="inlineStr">
        <is>
          <t>Sulutan Matangal</t>
        </is>
      </c>
      <c r="I760" s="27" t="n">
        <v>17.254161</v>
      </c>
      <c r="J760" s="27" t="n">
        <v>122.228205</v>
      </c>
      <c r="K760" s="10" t="inlineStr">
        <is>
          <t>R</t>
        </is>
      </c>
      <c r="L760" s="12" t="n">
        <v>2295</v>
      </c>
      <c r="M760" s="14" t="n">
        <v>5.1</v>
      </c>
      <c r="N760" s="12">
        <f>ROUND(L760/M760, 0)</f>
        <v/>
      </c>
      <c r="O760" s="12">
        <f>ROUND(N760*'Methodology &amp; Assumptions'!$B$5, 0)</f>
        <v/>
      </c>
      <c r="P760" s="10" t="inlineStr">
        <is>
          <t>Single Carrier (Band n50, 100MHz TDD)</t>
        </is>
      </c>
      <c r="Q760" s="13">
        <f>ROUNDUP(O760/'Methodology &amp; Assumptions'!$B$6, 0)</f>
        <v/>
      </c>
      <c r="R760" s="13" t="n">
        <v>1</v>
      </c>
      <c r="S760" s="14" t="n">
        <v>29.31</v>
      </c>
      <c r="T760" s="14" t="n">
        <v>34.21</v>
      </c>
      <c r="U760" s="26">
        <f>IF(X760&gt;='Methodology &amp; Assumptions'!$B$7, "Tier 1 Critical GIDA (Score ≥ 50.0)", IF(X760&gt;='Methodology &amp; Assumptions'!$B$8, "Tier 2 High GIDA (Score 40.0–49.9)", "Tier 3 Moderate GIDA (Score &lt; 40.0)"))</f>
        <v/>
      </c>
      <c r="V760" s="26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W760" s="28" t="n">
        <v>0.11</v>
      </c>
      <c r="X760" s="14" t="n">
        <v>48.36</v>
      </c>
      <c r="Y760" s="14">
        <f>ROUND(MIN(100, (X760/69.91)*100), 2)</f>
        <v/>
      </c>
    </row>
    <row r="761">
      <c r="A761" s="10" t="n">
        <v>3</v>
      </c>
      <c r="B761" s="10" t="n">
        <v>757</v>
      </c>
      <c r="C761" s="10" t="n">
        <v>2757</v>
      </c>
      <c r="D761" s="10" t="inlineStr">
        <is>
          <t>1900712001</t>
        </is>
      </c>
      <c r="E761" s="26" t="inlineStr">
        <is>
          <t>Bangsamoro Autonomous Region In Muslim Mindanao (BARMM)</t>
        </is>
      </c>
      <c r="F761" s="26" t="inlineStr">
        <is>
          <t>Basilan</t>
        </is>
      </c>
      <c r="G761" s="26" t="inlineStr">
        <is>
          <t>Hadji Muhtamad</t>
        </is>
      </c>
      <c r="H761" s="26" t="inlineStr">
        <is>
          <t>Baluk-baluk</t>
        </is>
      </c>
      <c r="I761" s="27" t="n">
        <v>6.727828</v>
      </c>
      <c r="J761" s="27" t="n">
        <v>121.579192</v>
      </c>
      <c r="K761" s="10" t="inlineStr">
        <is>
          <t>R</t>
        </is>
      </c>
      <c r="L761" s="12" t="n">
        <v>2284</v>
      </c>
      <c r="M761" s="14" t="n">
        <v>5.1</v>
      </c>
      <c r="N761" s="12">
        <f>ROUND(L761/M761, 0)</f>
        <v/>
      </c>
      <c r="O761" s="12">
        <f>ROUND(N761*'Methodology &amp; Assumptions'!$B$5, 0)</f>
        <v/>
      </c>
      <c r="P761" s="10" t="inlineStr">
        <is>
          <t>Single Carrier (Band n50, 100MHz TDD)</t>
        </is>
      </c>
      <c r="Q761" s="13">
        <f>ROUNDUP(O761/'Methodology &amp; Assumptions'!$B$6, 0)</f>
        <v/>
      </c>
      <c r="R761" s="13" t="n">
        <v>1</v>
      </c>
      <c r="S761" s="14" t="n">
        <v>58.25</v>
      </c>
      <c r="T761" s="14" t="n">
        <v>58.25</v>
      </c>
      <c r="U761" s="26">
        <f>IF(X761&gt;='Methodology &amp; Assumptions'!$B$7, "Tier 1 Critical GIDA (Score ≥ 50.0)", IF(X761&gt;='Methodology &amp; Assumptions'!$B$8, "Tier 2 High GIDA (Score 40.0–49.9)", "Tier 3 Moderate GIDA (Score &lt; 40.0)"))</f>
        <v/>
      </c>
      <c r="V761" s="26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W761" s="28" t="n">
        <v>0.11</v>
      </c>
      <c r="X761" s="14" t="n">
        <v>48.36</v>
      </c>
      <c r="Y761" s="14">
        <f>ROUND(MIN(100, (X761/69.91)*100), 2)</f>
        <v/>
      </c>
    </row>
    <row r="762">
      <c r="A762" s="10" t="n">
        <v>3</v>
      </c>
      <c r="B762" s="10" t="n">
        <v>758</v>
      </c>
      <c r="C762" s="10" t="n">
        <v>2758</v>
      </c>
      <c r="D762" s="10" t="inlineStr">
        <is>
          <t>0401015014</t>
        </is>
      </c>
      <c r="E762" s="26" t="inlineStr">
        <is>
          <t>Region IV-A (CALABARZON)</t>
        </is>
      </c>
      <c r="F762" s="26" t="inlineStr">
        <is>
          <t>Batangas</t>
        </is>
      </c>
      <c r="G762" s="26" t="inlineStr">
        <is>
          <t>Lobo</t>
        </is>
      </c>
      <c r="H762" s="26" t="inlineStr">
        <is>
          <t>Malalim Na Sanog</t>
        </is>
      </c>
      <c r="I762" s="27" t="n">
        <v>13.654872</v>
      </c>
      <c r="J762" s="27" t="n">
        <v>121.251822</v>
      </c>
      <c r="K762" s="10" t="inlineStr">
        <is>
          <t>R</t>
        </is>
      </c>
      <c r="L762" s="12" t="n">
        <v>255</v>
      </c>
      <c r="M762" s="14" t="n">
        <v>3.6</v>
      </c>
      <c r="N762" s="12">
        <f>ROUND(L762/M762, 0)</f>
        <v/>
      </c>
      <c r="O762" s="12">
        <f>ROUND(N762*'Methodology &amp; Assumptions'!$B$5, 0)</f>
        <v/>
      </c>
      <c r="P762" s="10" t="inlineStr">
        <is>
          <t>Single Carrier (Band n50, 100MHz TDD)</t>
        </is>
      </c>
      <c r="Q762" s="13">
        <f>ROUNDUP(O762/'Methodology &amp; Assumptions'!$B$6, 0)</f>
        <v/>
      </c>
      <c r="R762" s="13" t="n">
        <v>1</v>
      </c>
      <c r="S762" s="14" t="n">
        <v>4.65</v>
      </c>
      <c r="T762" s="14" t="n">
        <v>19.71</v>
      </c>
      <c r="U762" s="26">
        <f>IF(X762&gt;='Methodology &amp; Assumptions'!$B$7, "Tier 1 Critical GIDA (Score ≥ 50.0)", IF(X762&gt;='Methodology &amp; Assumptions'!$B$8, "Tier 2 High GIDA (Score 40.0–49.9)", "Tier 3 Moderate GIDA (Score &lt; 40.0)"))</f>
        <v/>
      </c>
      <c r="V762" s="26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W762" s="28" t="n">
        <v>0.07200000000000001</v>
      </c>
      <c r="X762" s="14" t="n">
        <v>48.36</v>
      </c>
      <c r="Y762" s="14">
        <f>ROUND(MIN(100, (X762/69.91)*100), 2)</f>
        <v/>
      </c>
    </row>
    <row r="763">
      <c r="A763" s="10" t="n">
        <v>3</v>
      </c>
      <c r="B763" s="10" t="n">
        <v>759</v>
      </c>
      <c r="C763" s="10" t="n">
        <v>2759</v>
      </c>
      <c r="D763" s="10" t="inlineStr">
        <is>
          <t>1003515011</t>
        </is>
      </c>
      <c r="E763" s="26" t="inlineStr">
        <is>
          <t>Region X (Northern Mindanao)</t>
        </is>
      </c>
      <c r="F763" s="26" t="inlineStr">
        <is>
          <t>Lanao del Norte</t>
        </is>
      </c>
      <c r="G763" s="26" t="inlineStr">
        <is>
          <t>Nunungan</t>
        </is>
      </c>
      <c r="H763" s="26" t="inlineStr">
        <is>
          <t>Cabasaran</t>
        </is>
      </c>
      <c r="I763" s="27" t="n">
        <v>7.77655</v>
      </c>
      <c r="J763" s="27" t="n">
        <v>123.927924</v>
      </c>
      <c r="K763" s="10" t="inlineStr">
        <is>
          <t>R</t>
        </is>
      </c>
      <c r="L763" s="12" t="n">
        <v>732</v>
      </c>
      <c r="M763" s="14" t="n">
        <v>4.2</v>
      </c>
      <c r="N763" s="12">
        <f>ROUND(L763/M763, 0)</f>
        <v/>
      </c>
      <c r="O763" s="12">
        <f>ROUND(N763*'Methodology &amp; Assumptions'!$B$5, 0)</f>
        <v/>
      </c>
      <c r="P763" s="10" t="inlineStr">
        <is>
          <t>Single Carrier (Band n50, 100MHz TDD)</t>
        </is>
      </c>
      <c r="Q763" s="13">
        <f>ROUNDUP(O763/'Methodology &amp; Assumptions'!$B$6, 0)</f>
        <v/>
      </c>
      <c r="R763" s="13" t="n">
        <v>1</v>
      </c>
      <c r="S763" s="14" t="n">
        <v>32.84</v>
      </c>
      <c r="T763" s="14" t="n">
        <v>22.03</v>
      </c>
      <c r="U763" s="26">
        <f>IF(X763&gt;='Methodology &amp; Assumptions'!$B$7, "Tier 1 Critical GIDA (Score ≥ 50.0)", IF(X763&gt;='Methodology &amp; Assumptions'!$B$8, "Tier 2 High GIDA (Score 40.0–49.9)", "Tier 3 Moderate GIDA (Score &lt; 40.0)"))</f>
        <v/>
      </c>
      <c r="V763" s="26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W763" s="28" t="n">
        <v>0.174</v>
      </c>
      <c r="X763" s="14" t="n">
        <v>48.36</v>
      </c>
      <c r="Y763" s="14">
        <f>ROUND(MIN(100, (X763/69.91)*100), 2)</f>
        <v/>
      </c>
    </row>
    <row r="764">
      <c r="A764" s="10" t="n">
        <v>3</v>
      </c>
      <c r="B764" s="10" t="n">
        <v>760</v>
      </c>
      <c r="C764" s="10" t="n">
        <v>2760</v>
      </c>
      <c r="D764" s="10" t="inlineStr">
        <is>
          <t>1380612026</t>
        </is>
      </c>
      <c r="E764" s="26" t="inlineStr">
        <is>
          <t>National Capital Region (NCR)</t>
        </is>
      </c>
      <c r="F764" s="26" t="inlineStr">
        <is>
          <t>First District (Not a Province)</t>
        </is>
      </c>
      <c r="G764" s="26" t="inlineStr">
        <is>
          <t>City of Manila</t>
        </is>
      </c>
      <c r="H764" s="26" t="inlineStr">
        <is>
          <t>Barangay 858</t>
        </is>
      </c>
      <c r="I764" s="27" t="n">
        <v>12.159598</v>
      </c>
      <c r="J764" s="27" t="n">
        <v>122.450882</v>
      </c>
      <c r="K764" s="10" t="inlineStr">
        <is>
          <t>U</t>
        </is>
      </c>
      <c r="L764" s="12" t="n">
        <v>685</v>
      </c>
      <c r="M764" s="14" t="n">
        <v>3.9</v>
      </c>
      <c r="N764" s="12">
        <f>ROUND(L764/M764, 0)</f>
        <v/>
      </c>
      <c r="O764" s="12">
        <f>ROUND(N764*'Methodology &amp; Assumptions'!$B$5, 0)</f>
        <v/>
      </c>
      <c r="P764" s="10" t="inlineStr">
        <is>
          <t>Single Carrier (Band n50, 100MHz TDD)</t>
        </is>
      </c>
      <c r="Q764" s="13">
        <f>ROUNDUP(O764/'Methodology &amp; Assumptions'!$B$6, 0)</f>
        <v/>
      </c>
      <c r="R764" s="13" t="n">
        <v>1</v>
      </c>
      <c r="S764" s="14" t="n">
        <v>52.19</v>
      </c>
      <c r="T764" s="14" t="n">
        <v>25.27</v>
      </c>
      <c r="U764" s="26">
        <f>IF(X764&gt;='Methodology &amp; Assumptions'!$B$7, "Tier 1 Critical GIDA (Score ≥ 50.0)", IF(X764&gt;='Methodology &amp; Assumptions'!$B$8, "Tier 2 High GIDA (Score 40.0–49.9)", "Tier 3 Moderate GIDA (Score &lt; 40.0)"))</f>
        <v/>
      </c>
      <c r="V764" s="26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W764" s="28" t="n">
        <v>0.109</v>
      </c>
      <c r="X764" s="14" t="n">
        <v>48.36</v>
      </c>
      <c r="Y764" s="14">
        <f>ROUND(MIN(100, (X764/69.91)*100), 2)</f>
        <v/>
      </c>
    </row>
    <row r="765">
      <c r="A765" s="10" t="n">
        <v>3</v>
      </c>
      <c r="B765" s="10" t="n">
        <v>761</v>
      </c>
      <c r="C765" s="10" t="n">
        <v>2761</v>
      </c>
      <c r="D765" s="10" t="inlineStr">
        <is>
          <t>0907324008</t>
        </is>
      </c>
      <c r="E765" s="26" t="inlineStr">
        <is>
          <t>Region IX (Zamboanga Peninsula)</t>
        </is>
      </c>
      <c r="F765" s="26" t="inlineStr">
        <is>
          <t>Zamboanga del Sur</t>
        </is>
      </c>
      <c r="G765" s="26" t="inlineStr">
        <is>
          <t>San Miguel</t>
        </is>
      </c>
      <c r="H765" s="26" t="inlineStr">
        <is>
          <t>Dumalian</t>
        </is>
      </c>
      <c r="I765" s="27" t="n">
        <v>7.722697</v>
      </c>
      <c r="J765" s="27" t="n">
        <v>123.240656</v>
      </c>
      <c r="K765" s="10" t="inlineStr">
        <is>
          <t>R</t>
        </is>
      </c>
      <c r="L765" s="12" t="n">
        <v>742</v>
      </c>
      <c r="M765" s="14" t="n">
        <v>3.9</v>
      </c>
      <c r="N765" s="12">
        <f>ROUND(L765/M765, 0)</f>
        <v/>
      </c>
      <c r="O765" s="12">
        <f>ROUND(N765*'Methodology &amp; Assumptions'!$B$5, 0)</f>
        <v/>
      </c>
      <c r="P765" s="10" t="inlineStr">
        <is>
          <t>Single Carrier (Band n50, 100MHz TDD)</t>
        </is>
      </c>
      <c r="Q765" s="13">
        <f>ROUNDUP(O765/'Methodology &amp; Assumptions'!$B$6, 0)</f>
        <v/>
      </c>
      <c r="R765" s="13" t="n">
        <v>1</v>
      </c>
      <c r="S765" s="14" t="n">
        <v>20.47</v>
      </c>
      <c r="T765" s="14" t="n">
        <v>9.029999999999999</v>
      </c>
      <c r="U765" s="26">
        <f>IF(X765&gt;='Methodology &amp; Assumptions'!$B$7, "Tier 1 Critical GIDA (Score ≥ 50.0)", IF(X765&gt;='Methodology &amp; Assumptions'!$B$8, "Tier 2 High GIDA (Score 40.0–49.9)", "Tier 3 Moderate GIDA (Score &lt; 40.0)"))</f>
        <v/>
      </c>
      <c r="V765" s="26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W765" s="28" t="n">
        <v>0.11</v>
      </c>
      <c r="X765" s="14" t="n">
        <v>48.36</v>
      </c>
      <c r="Y765" s="14">
        <f>ROUND(MIN(100, (X765/69.91)*100), 2)</f>
        <v/>
      </c>
    </row>
    <row r="766">
      <c r="A766" s="10" t="n">
        <v>3</v>
      </c>
      <c r="B766" s="10" t="n">
        <v>762</v>
      </c>
      <c r="C766" s="10" t="n">
        <v>2762</v>
      </c>
      <c r="D766" s="10" t="inlineStr">
        <is>
          <t>1900709013</t>
        </is>
      </c>
      <c r="E766" s="26" t="inlineStr">
        <is>
          <t>Bangsamoro Autonomous Region In Muslim Mindanao (BARMM)</t>
        </is>
      </c>
      <c r="F766" s="26" t="inlineStr">
        <is>
          <t>Basilan</t>
        </is>
      </c>
      <c r="G766" s="26" t="inlineStr">
        <is>
          <t>Al-Barka</t>
        </is>
      </c>
      <c r="H766" s="26" t="inlineStr">
        <is>
          <t>Lookbisaya</t>
        </is>
      </c>
      <c r="I766" s="27" t="n">
        <v>7.579369</v>
      </c>
      <c r="J766" s="27" t="n">
        <v>122.180945</v>
      </c>
      <c r="K766" s="10" t="inlineStr">
        <is>
          <t>R</t>
        </is>
      </c>
      <c r="L766" s="12" t="n">
        <v>1994</v>
      </c>
      <c r="M766" s="14" t="n">
        <v>5.1</v>
      </c>
      <c r="N766" s="12">
        <f>ROUND(L766/M766, 0)</f>
        <v/>
      </c>
      <c r="O766" s="12">
        <f>ROUND(N766*'Methodology &amp; Assumptions'!$B$5, 0)</f>
        <v/>
      </c>
      <c r="P766" s="10" t="inlineStr">
        <is>
          <t>Single Carrier (Band n50, 100MHz TDD)</t>
        </is>
      </c>
      <c r="Q766" s="13">
        <f>ROUNDUP(O766/'Methodology &amp; Assumptions'!$B$6, 0)</f>
        <v/>
      </c>
      <c r="R766" s="13" t="n">
        <v>1</v>
      </c>
      <c r="S766" s="14" t="n">
        <v>27.35</v>
      </c>
      <c r="T766" s="14" t="n">
        <v>20.12</v>
      </c>
      <c r="U766" s="26">
        <f>IF(X766&gt;='Methodology &amp; Assumptions'!$B$7, "Tier 1 Critical GIDA (Score ≥ 50.0)", IF(X766&gt;='Methodology &amp; Assumptions'!$B$8, "Tier 2 High GIDA (Score 40.0–49.9)", "Tier 3 Moderate GIDA (Score &lt; 40.0)"))</f>
        <v/>
      </c>
      <c r="V766" s="26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W766" s="28" t="n">
        <v>0.11</v>
      </c>
      <c r="X766" s="14" t="n">
        <v>48.36</v>
      </c>
      <c r="Y766" s="14">
        <f>ROUND(MIN(100, (X766/69.91)*100), 2)</f>
        <v/>
      </c>
    </row>
    <row r="767">
      <c r="A767" s="10" t="n">
        <v>3</v>
      </c>
      <c r="B767" s="10" t="n">
        <v>763</v>
      </c>
      <c r="C767" s="10" t="n">
        <v>2763</v>
      </c>
      <c r="D767" s="10" t="inlineStr">
        <is>
          <t>1380606043</t>
        </is>
      </c>
      <c r="E767" s="26" t="inlineStr">
        <is>
          <t>National Capital Region (NCR)</t>
        </is>
      </c>
      <c r="F767" s="26" t="inlineStr">
        <is>
          <t>First District (Not a Province)</t>
        </is>
      </c>
      <c r="G767" s="26" t="inlineStr">
        <is>
          <t>City of Manila</t>
        </is>
      </c>
      <c r="H767" s="26" t="inlineStr">
        <is>
          <t>Barangay 437</t>
        </is>
      </c>
      <c r="I767" s="27" t="n">
        <v>12.964943</v>
      </c>
      <c r="J767" s="27" t="n">
        <v>120.774521</v>
      </c>
      <c r="K767" s="10" t="inlineStr">
        <is>
          <t>U</t>
        </is>
      </c>
      <c r="L767" s="12" t="n">
        <v>926</v>
      </c>
      <c r="M767" s="14" t="n">
        <v>3.9</v>
      </c>
      <c r="N767" s="12">
        <f>ROUND(L767/M767, 0)</f>
        <v/>
      </c>
      <c r="O767" s="12">
        <f>ROUND(N767*'Methodology &amp; Assumptions'!$B$5, 0)</f>
        <v/>
      </c>
      <c r="P767" s="10" t="inlineStr">
        <is>
          <t>Single Carrier (Band n50, 100MHz TDD)</t>
        </is>
      </c>
      <c r="Q767" s="13">
        <f>ROUNDUP(O767/'Methodology &amp; Assumptions'!$B$6, 0)</f>
        <v/>
      </c>
      <c r="R767" s="13" t="n">
        <v>1</v>
      </c>
      <c r="S767" s="14" t="n">
        <v>55.99</v>
      </c>
      <c r="T767" s="14" t="n">
        <v>55.09</v>
      </c>
      <c r="U767" s="26">
        <f>IF(X767&gt;='Methodology &amp; Assumptions'!$B$7, "Tier 1 Critical GIDA (Score ≥ 50.0)", IF(X767&gt;='Methodology &amp; Assumptions'!$B$8, "Tier 2 High GIDA (Score 40.0–49.9)", "Tier 3 Moderate GIDA (Score &lt; 40.0)"))</f>
        <v/>
      </c>
      <c r="V767" s="26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W767" s="28" t="n">
        <v>0.109</v>
      </c>
      <c r="X767" s="14" t="n">
        <v>48.36</v>
      </c>
      <c r="Y767" s="14">
        <f>ROUND(MIN(100, (X767/69.91)*100), 2)</f>
        <v/>
      </c>
    </row>
    <row r="768">
      <c r="A768" s="10" t="n">
        <v>3</v>
      </c>
      <c r="B768" s="10" t="n">
        <v>764</v>
      </c>
      <c r="C768" s="10" t="n">
        <v>2764</v>
      </c>
      <c r="D768" s="10" t="inlineStr">
        <is>
          <t>1908712003</t>
        </is>
      </c>
      <c r="E768" s="26" t="inlineStr">
        <is>
          <t>Bangsamoro Autonomous Region In Muslim Mindanao (BARMM)</t>
        </is>
      </c>
      <c r="F768" s="26" t="inlineStr">
        <is>
          <t>Maguindanao del Norte</t>
        </is>
      </c>
      <c r="G768" s="26" t="inlineStr">
        <is>
          <t>Talitay</t>
        </is>
      </c>
      <c r="H768" s="26" t="inlineStr">
        <is>
          <t>Kiladap</t>
        </is>
      </c>
      <c r="I768" s="27" t="n">
        <v>17.255059</v>
      </c>
      <c r="J768" s="27" t="n">
        <v>122.229103</v>
      </c>
      <c r="K768" s="10" t="inlineStr">
        <is>
          <t>R</t>
        </is>
      </c>
      <c r="L768" s="12" t="n">
        <v>3337</v>
      </c>
      <c r="M768" s="14" t="n">
        <v>4.3</v>
      </c>
      <c r="N768" s="12">
        <f>ROUND(L768/M768, 0)</f>
        <v/>
      </c>
      <c r="O768" s="12">
        <f>ROUND(N768*'Methodology &amp; Assumptions'!$B$5, 0)</f>
        <v/>
      </c>
      <c r="P768" s="10" t="inlineStr">
        <is>
          <t>Single Carrier (Band n50, 100MHz TDD)</t>
        </is>
      </c>
      <c r="Q768" s="13">
        <f>ROUNDUP(O768/'Methodology &amp; Assumptions'!$B$6, 0)</f>
        <v/>
      </c>
      <c r="R768" s="13" t="n">
        <v>1</v>
      </c>
      <c r="S768" s="14" t="n">
        <v>29.45</v>
      </c>
      <c r="T768" s="14" t="n">
        <v>34.33</v>
      </c>
      <c r="U768" s="26">
        <f>IF(X768&gt;='Methodology &amp; Assumptions'!$B$7, "Tier 1 Critical GIDA (Score ≥ 50.0)", IF(X768&gt;='Methodology &amp; Assumptions'!$B$8, "Tier 2 High GIDA (Score 40.0–49.9)", "Tier 3 Moderate GIDA (Score &lt; 40.0)"))</f>
        <v/>
      </c>
      <c r="V768" s="26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W768" s="28" t="n">
        <v>0.11</v>
      </c>
      <c r="X768" s="14" t="n">
        <v>48.35</v>
      </c>
      <c r="Y768" s="14">
        <f>ROUND(MIN(100, (X768/69.91)*100), 2)</f>
        <v/>
      </c>
    </row>
    <row r="769">
      <c r="A769" s="10" t="n">
        <v>3</v>
      </c>
      <c r="B769" s="10" t="n">
        <v>765</v>
      </c>
      <c r="C769" s="10" t="n">
        <v>2765</v>
      </c>
      <c r="D769" s="10" t="inlineStr">
        <is>
          <t>PH0002765</t>
        </is>
      </c>
      <c r="E769" s="26" t="inlineStr">
        <is>
          <t>VIII</t>
        </is>
      </c>
      <c r="F769" s="26" t="inlineStr">
        <is>
          <t>Leyte</t>
        </is>
      </c>
      <c r="G769" s="26" t="inlineStr">
        <is>
          <t>Tacloban City</t>
        </is>
      </c>
      <c r="H769" s="26" t="inlineStr">
        <is>
          <t>Barangay 42-A</t>
        </is>
      </c>
      <c r="I769" s="27" t="n">
        <v>11.229522</v>
      </c>
      <c r="J769" s="27" t="n">
        <v>124.925071</v>
      </c>
      <c r="K769" s="10" t="inlineStr">
        <is>
          <t>R</t>
        </is>
      </c>
      <c r="L769" s="12" t="n">
        <v>2258</v>
      </c>
      <c r="M769" s="14" t="n">
        <v>3.8</v>
      </c>
      <c r="N769" s="12">
        <f>ROUND(L769/M769, 0)</f>
        <v/>
      </c>
      <c r="O769" s="12">
        <f>ROUND(N769*'Methodology &amp; Assumptions'!$B$5, 0)</f>
        <v/>
      </c>
      <c r="P769" s="10" t="inlineStr">
        <is>
          <t>Single Carrier (Band n50, 100MHz TDD)</t>
        </is>
      </c>
      <c r="Q769" s="13">
        <f>ROUNDUP(O769/'Methodology &amp; Assumptions'!$B$6, 0)</f>
        <v/>
      </c>
      <c r="R769" s="13" t="n">
        <v>1</v>
      </c>
      <c r="S769" s="14" t="n">
        <v>8.51</v>
      </c>
      <c r="T769" s="14" t="n">
        <v>4.87</v>
      </c>
      <c r="U769" s="26">
        <f>IF(X769&gt;='Methodology &amp; Assumptions'!$B$7, "Tier 1 Critical GIDA (Score ≥ 50.0)", IF(X769&gt;='Methodology &amp; Assumptions'!$B$8, "Tier 2 High GIDA (Score 40.0–49.9)", "Tier 3 Moderate GIDA (Score &lt; 40.0)"))</f>
        <v/>
      </c>
      <c r="V769" s="26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W769" s="28" t="n">
        <v>0.222</v>
      </c>
      <c r="X769" s="14" t="n">
        <v>48.35</v>
      </c>
      <c r="Y769" s="14">
        <f>ROUND(MIN(100, (X769/69.91)*100), 2)</f>
        <v/>
      </c>
    </row>
    <row r="770">
      <c r="A770" s="10" t="n">
        <v>3</v>
      </c>
      <c r="B770" s="10" t="n">
        <v>766</v>
      </c>
      <c r="C770" s="10" t="n">
        <v>2766</v>
      </c>
      <c r="D770" s="10" t="inlineStr">
        <is>
          <t>1381100155</t>
        </is>
      </c>
      <c r="E770" s="26" t="inlineStr">
        <is>
          <t>National Capital Region (NCR)</t>
        </is>
      </c>
      <c r="F770" s="26" t="inlineStr">
        <is>
          <t>Fourth District (Not a Province)</t>
        </is>
      </c>
      <c r="G770" s="26" t="inlineStr">
        <is>
          <t>Pasay City</t>
        </is>
      </c>
      <c r="H770" s="26" t="inlineStr">
        <is>
          <t>Barangay 155</t>
        </is>
      </c>
      <c r="I770" s="27" t="n">
        <v>14.346814</v>
      </c>
      <c r="J770" s="27" t="n">
        <v>121.086774</v>
      </c>
      <c r="K770" s="10" t="inlineStr">
        <is>
          <t>U</t>
        </is>
      </c>
      <c r="L770" s="12" t="n">
        <v>942</v>
      </c>
      <c r="M770" s="14" t="n">
        <v>3.4</v>
      </c>
      <c r="N770" s="12">
        <f>ROUND(L770/M770, 0)</f>
        <v/>
      </c>
      <c r="O770" s="12">
        <f>ROUND(N770*'Methodology &amp; Assumptions'!$B$5, 0)</f>
        <v/>
      </c>
      <c r="P770" s="10" t="inlineStr">
        <is>
          <t>Single Carrier (Band n50, 100MHz TDD)</t>
        </is>
      </c>
      <c r="Q770" s="13">
        <f>ROUNDUP(O770/'Methodology &amp; Assumptions'!$B$6, 0)</f>
        <v/>
      </c>
      <c r="R770" s="13" t="n">
        <v>1</v>
      </c>
      <c r="S770" s="14" t="n">
        <v>1.5</v>
      </c>
      <c r="T770" s="14" t="n">
        <v>0.87</v>
      </c>
      <c r="U770" s="26">
        <f>IF(X770&gt;='Methodology &amp; Assumptions'!$B$7, "Tier 1 Critical GIDA (Score ≥ 50.0)", IF(X770&gt;='Methodology &amp; Assumptions'!$B$8, "Tier 2 High GIDA (Score 40.0–49.9)", "Tier 3 Moderate GIDA (Score &lt; 40.0)"))</f>
        <v/>
      </c>
      <c r="V770" s="26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W770" s="28" t="n">
        <v>0.109</v>
      </c>
      <c r="X770" s="14" t="n">
        <v>48.35</v>
      </c>
      <c r="Y770" s="14">
        <f>ROUND(MIN(100, (X770/69.91)*100), 2)</f>
        <v/>
      </c>
    </row>
    <row r="771">
      <c r="A771" s="10" t="n">
        <v>3</v>
      </c>
      <c r="B771" s="10" t="n">
        <v>767</v>
      </c>
      <c r="C771" s="10" t="n">
        <v>2767</v>
      </c>
      <c r="D771" s="10" t="inlineStr">
        <is>
          <t>1380614077</t>
        </is>
      </c>
      <c r="E771" s="26" t="inlineStr">
        <is>
          <t>National Capital Region (NCR)</t>
        </is>
      </c>
      <c r="F771" s="26" t="inlineStr">
        <is>
          <t>First District (Not a Province)</t>
        </is>
      </c>
      <c r="G771" s="26" t="inlineStr">
        <is>
          <t>City of Manila</t>
        </is>
      </c>
      <c r="H771" s="26" t="inlineStr">
        <is>
          <t>Barangay 884</t>
        </is>
      </c>
      <c r="I771" s="27" t="n">
        <v>13.475923</v>
      </c>
      <c r="J771" s="27" t="n">
        <v>122.571068</v>
      </c>
      <c r="K771" s="10" t="inlineStr">
        <is>
          <t>U</t>
        </is>
      </c>
      <c r="L771" s="12" t="n">
        <v>2283</v>
      </c>
      <c r="M771" s="14" t="n">
        <v>3.9</v>
      </c>
      <c r="N771" s="12">
        <f>ROUND(L771/M771, 0)</f>
        <v/>
      </c>
      <c r="O771" s="12">
        <f>ROUND(N771*'Methodology &amp; Assumptions'!$B$5, 0)</f>
        <v/>
      </c>
      <c r="P771" s="10" t="inlineStr">
        <is>
          <t>Single Carrier (Band n50, 100MHz TDD)</t>
        </is>
      </c>
      <c r="Q771" s="13">
        <f>ROUNDUP(O771/'Methodology &amp; Assumptions'!$B$6, 0)</f>
        <v/>
      </c>
      <c r="R771" s="13" t="n">
        <v>1</v>
      </c>
      <c r="S771" s="14" t="n">
        <v>4.81</v>
      </c>
      <c r="T771" s="14" t="n">
        <v>10.16</v>
      </c>
      <c r="U771" s="26">
        <f>IF(X771&gt;='Methodology &amp; Assumptions'!$B$7, "Tier 1 Critical GIDA (Score ≥ 50.0)", IF(X771&gt;='Methodology &amp; Assumptions'!$B$8, "Tier 2 High GIDA (Score 40.0–49.9)", "Tier 3 Moderate GIDA (Score &lt; 40.0)"))</f>
        <v/>
      </c>
      <c r="V771" s="26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W771" s="28" t="n">
        <v>0.109</v>
      </c>
      <c r="X771" s="14" t="n">
        <v>48.35</v>
      </c>
      <c r="Y771" s="14">
        <f>ROUND(MIN(100, (X771/69.91)*100), 2)</f>
        <v/>
      </c>
    </row>
    <row r="772">
      <c r="A772" s="10" t="n">
        <v>3</v>
      </c>
      <c r="B772" s="10" t="n">
        <v>768</v>
      </c>
      <c r="C772" s="10" t="n">
        <v>2768</v>
      </c>
      <c r="D772" s="10" t="inlineStr">
        <is>
          <t>1908824003</t>
        </is>
      </c>
      <c r="E772" s="26" t="inlineStr">
        <is>
          <t>Bangsamoro Autonomous Region In Muslim Mindanao (BARMM)</t>
        </is>
      </c>
      <c r="F772" s="26" t="inlineStr">
        <is>
          <t>Maguindanao del Sur</t>
        </is>
      </c>
      <c r="G772" s="26" t="inlineStr">
        <is>
          <t>Talayan</t>
        </is>
      </c>
      <c r="H772" s="26" t="inlineStr">
        <is>
          <t>Boboguiron</t>
        </is>
      </c>
      <c r="I772" s="27" t="n">
        <v>16.104582</v>
      </c>
      <c r="J772" s="27" t="n">
        <v>122.465689</v>
      </c>
      <c r="K772" s="10" t="inlineStr">
        <is>
          <t>R</t>
        </is>
      </c>
      <c r="L772" s="12" t="n">
        <v>1076</v>
      </c>
      <c r="M772" s="14" t="n">
        <v>4.7</v>
      </c>
      <c r="N772" s="12">
        <f>ROUND(L772/M772, 0)</f>
        <v/>
      </c>
      <c r="O772" s="12">
        <f>ROUND(N772*'Methodology &amp; Assumptions'!$B$5, 0)</f>
        <v/>
      </c>
      <c r="P772" s="10" t="inlineStr">
        <is>
          <t>Single Carrier (Band n50, 100MHz TDD)</t>
        </is>
      </c>
      <c r="Q772" s="13">
        <f>ROUNDUP(O772/'Methodology &amp; Assumptions'!$B$6, 0)</f>
        <v/>
      </c>
      <c r="R772" s="13" t="n">
        <v>1</v>
      </c>
      <c r="S772" s="14" t="n">
        <v>41.23</v>
      </c>
      <c r="T772" s="14" t="n">
        <v>40.88</v>
      </c>
      <c r="U772" s="26">
        <f>IF(X772&gt;='Methodology &amp; Assumptions'!$B$7, "Tier 1 Critical GIDA (Score ≥ 50.0)", IF(X772&gt;='Methodology &amp; Assumptions'!$B$8, "Tier 2 High GIDA (Score 40.0–49.9)", "Tier 3 Moderate GIDA (Score &lt; 40.0)"))</f>
        <v/>
      </c>
      <c r="V772" s="26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W772" s="28" t="n">
        <v>0.11</v>
      </c>
      <c r="X772" s="14" t="n">
        <v>48.35</v>
      </c>
      <c r="Y772" s="14">
        <f>ROUND(MIN(100, (X772/69.91)*100), 2)</f>
        <v/>
      </c>
    </row>
    <row r="773">
      <c r="A773" s="10" t="n">
        <v>3</v>
      </c>
      <c r="B773" s="10" t="n">
        <v>769</v>
      </c>
      <c r="C773" s="10" t="n">
        <v>2769</v>
      </c>
      <c r="D773" s="10" t="inlineStr">
        <is>
          <t>0907220026</t>
        </is>
      </c>
      <c r="E773" s="26" t="inlineStr">
        <is>
          <t>Region IX (Zamboanga Peninsula)</t>
        </is>
      </c>
      <c r="F773" s="26" t="inlineStr">
        <is>
          <t>Zamboanga del Norte</t>
        </is>
      </c>
      <c r="G773" s="26" t="inlineStr">
        <is>
          <t>Sirawai</t>
        </is>
      </c>
      <c r="H773" s="26" t="inlineStr">
        <is>
          <t>Pisa Itom</t>
        </is>
      </c>
      <c r="I773" s="27" t="n">
        <v>7.550858</v>
      </c>
      <c r="J773" s="27" t="n">
        <v>122.159726</v>
      </c>
      <c r="K773" s="10" t="inlineStr">
        <is>
          <t>R</t>
        </is>
      </c>
      <c r="L773" s="12" t="n">
        <v>470</v>
      </c>
      <c r="M773" s="14" t="n">
        <v>3.6</v>
      </c>
      <c r="N773" s="12">
        <f>ROUND(L773/M773, 0)</f>
        <v/>
      </c>
      <c r="O773" s="12">
        <f>ROUND(N773*'Methodology &amp; Assumptions'!$B$5, 0)</f>
        <v/>
      </c>
      <c r="P773" s="10" t="inlineStr">
        <is>
          <t>Single Carrier (Band n50, 100MHz TDD)</t>
        </is>
      </c>
      <c r="Q773" s="13">
        <f>ROUNDUP(O773/'Methodology &amp; Assumptions'!$B$6, 0)</f>
        <v/>
      </c>
      <c r="R773" s="13" t="n">
        <v>1</v>
      </c>
      <c r="S773" s="14" t="n">
        <v>30.11</v>
      </c>
      <c r="T773" s="14" t="n">
        <v>20.94</v>
      </c>
      <c r="U773" s="26">
        <f>IF(X773&gt;='Methodology &amp; Assumptions'!$B$7, "Tier 1 Critical GIDA (Score ≥ 50.0)", IF(X773&gt;='Methodology &amp; Assumptions'!$B$8, "Tier 2 High GIDA (Score 40.0–49.9)", "Tier 3 Moderate GIDA (Score &lt; 40.0)"))</f>
        <v/>
      </c>
      <c r="V773" s="26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W773" s="28" t="n">
        <v>0.11</v>
      </c>
      <c r="X773" s="14" t="n">
        <v>48.35</v>
      </c>
      <c r="Y773" s="14">
        <f>ROUND(MIN(100, (X773/69.91)*100), 2)</f>
        <v/>
      </c>
    </row>
    <row r="774">
      <c r="A774" s="10" t="n">
        <v>3</v>
      </c>
      <c r="B774" s="10" t="n">
        <v>770</v>
      </c>
      <c r="C774" s="10" t="n">
        <v>2770</v>
      </c>
      <c r="D774" s="10" t="inlineStr">
        <is>
          <t>1003515002</t>
        </is>
      </c>
      <c r="E774" s="26" t="inlineStr">
        <is>
          <t>Region X (Northern Mindanao)</t>
        </is>
      </c>
      <c r="F774" s="26" t="inlineStr">
        <is>
          <t>Lanao del Norte</t>
        </is>
      </c>
      <c r="G774" s="26" t="inlineStr">
        <is>
          <t>Nunungan</t>
        </is>
      </c>
      <c r="H774" s="26" t="inlineStr">
        <is>
          <t>Bangco</t>
        </is>
      </c>
      <c r="I774" s="27" t="n">
        <v>7.78634</v>
      </c>
      <c r="J774" s="27" t="n">
        <v>123.885466</v>
      </c>
      <c r="K774" s="10" t="inlineStr">
        <is>
          <t>R</t>
        </is>
      </c>
      <c r="L774" s="12" t="n">
        <v>767</v>
      </c>
      <c r="M774" s="14" t="n">
        <v>4.2</v>
      </c>
      <c r="N774" s="12">
        <f>ROUND(L774/M774, 0)</f>
        <v/>
      </c>
      <c r="O774" s="12">
        <f>ROUND(N774*'Methodology &amp; Assumptions'!$B$5, 0)</f>
        <v/>
      </c>
      <c r="P774" s="10" t="inlineStr">
        <is>
          <t>Single Carrier (Band n50, 100MHz TDD)</t>
        </is>
      </c>
      <c r="Q774" s="13">
        <f>ROUNDUP(O774/'Methodology &amp; Assumptions'!$B$6, 0)</f>
        <v/>
      </c>
      <c r="R774" s="13" t="n">
        <v>1</v>
      </c>
      <c r="S774" s="14" t="n">
        <v>30.08</v>
      </c>
      <c r="T774" s="14" t="n">
        <v>17.69</v>
      </c>
      <c r="U774" s="26">
        <f>IF(X774&gt;='Methodology &amp; Assumptions'!$B$7, "Tier 1 Critical GIDA (Score ≥ 50.0)", IF(X774&gt;='Methodology &amp; Assumptions'!$B$8, "Tier 2 High GIDA (Score 40.0–49.9)", "Tier 3 Moderate GIDA (Score &lt; 40.0)"))</f>
        <v/>
      </c>
      <c r="V774" s="26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W774" s="28" t="n">
        <v>0.174</v>
      </c>
      <c r="X774" s="14" t="n">
        <v>48.35</v>
      </c>
      <c r="Y774" s="14">
        <f>ROUND(MIN(100, (X774/69.91)*100), 2)</f>
        <v/>
      </c>
    </row>
    <row r="775">
      <c r="A775" s="10" t="n">
        <v>3</v>
      </c>
      <c r="B775" s="10" t="n">
        <v>771</v>
      </c>
      <c r="C775" s="10" t="n">
        <v>2771</v>
      </c>
      <c r="D775" s="10" t="inlineStr">
        <is>
          <t>1003515005</t>
        </is>
      </c>
      <c r="E775" s="26" t="inlineStr">
        <is>
          <t>Region X (Northern Mindanao)</t>
        </is>
      </c>
      <c r="F775" s="26" t="inlineStr">
        <is>
          <t>Lanao del Norte</t>
        </is>
      </c>
      <c r="G775" s="26" t="inlineStr">
        <is>
          <t>Nunungan</t>
        </is>
      </c>
      <c r="H775" s="26" t="inlineStr">
        <is>
          <t>Dimayon</t>
        </is>
      </c>
      <c r="I775" s="27" t="n">
        <v>7.808752</v>
      </c>
      <c r="J775" s="27" t="n">
        <v>123.925671</v>
      </c>
      <c r="K775" s="10" t="inlineStr">
        <is>
          <t>R</t>
        </is>
      </c>
      <c r="L775" s="12" t="n">
        <v>821</v>
      </c>
      <c r="M775" s="14" t="n">
        <v>4.2</v>
      </c>
      <c r="N775" s="12">
        <f>ROUND(L775/M775, 0)</f>
        <v/>
      </c>
      <c r="O775" s="12">
        <f>ROUND(N775*'Methodology &amp; Assumptions'!$B$5, 0)</f>
        <v/>
      </c>
      <c r="P775" s="10" t="inlineStr">
        <is>
          <t>Single Carrier (Band n50, 100MHz TDD)</t>
        </is>
      </c>
      <c r="Q775" s="13">
        <f>ROUNDUP(O775/'Methodology &amp; Assumptions'!$B$6, 0)</f>
        <v/>
      </c>
      <c r="R775" s="13" t="n">
        <v>1</v>
      </c>
      <c r="S775" s="14" t="n">
        <v>29.54</v>
      </c>
      <c r="T775" s="14" t="n">
        <v>19.87</v>
      </c>
      <c r="U775" s="26">
        <f>IF(X775&gt;='Methodology &amp; Assumptions'!$B$7, "Tier 1 Critical GIDA (Score ≥ 50.0)", IF(X775&gt;='Methodology &amp; Assumptions'!$B$8, "Tier 2 High GIDA (Score 40.0–49.9)", "Tier 3 Moderate GIDA (Score &lt; 40.0)"))</f>
        <v/>
      </c>
      <c r="V775" s="26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W775" s="28" t="n">
        <v>0.174</v>
      </c>
      <c r="X775" s="14" t="n">
        <v>48.35</v>
      </c>
      <c r="Y775" s="14">
        <f>ROUND(MIN(100, (X775/69.91)*100), 2)</f>
        <v/>
      </c>
    </row>
    <row r="776">
      <c r="A776" s="10" t="n">
        <v>3</v>
      </c>
      <c r="B776" s="10" t="n">
        <v>772</v>
      </c>
      <c r="C776" s="10" t="n">
        <v>2772</v>
      </c>
      <c r="D776" s="10" t="inlineStr">
        <is>
          <t>1903620035</t>
        </is>
      </c>
      <c r="E776" s="26" t="inlineStr">
        <is>
          <t>Bangsamoro Autonomous Region In Muslim Mindanao (BARMM)</t>
        </is>
      </c>
      <c r="F776" s="26" t="inlineStr">
        <is>
          <t>Lanao del Sur</t>
        </is>
      </c>
      <c r="G776" s="26" t="inlineStr">
        <is>
          <t>Pagayawan</t>
        </is>
      </c>
      <c r="H776" s="26" t="inlineStr">
        <is>
          <t>Padas</t>
        </is>
      </c>
      <c r="I776" s="27" t="n">
        <v>17.254672</v>
      </c>
      <c r="J776" s="27" t="n">
        <v>122.228716</v>
      </c>
      <c r="K776" s="10" t="inlineStr">
        <is>
          <t>R</t>
        </is>
      </c>
      <c r="L776" s="12" t="n">
        <v>1363</v>
      </c>
      <c r="M776" s="14" t="n">
        <v>5.7</v>
      </c>
      <c r="N776" s="12">
        <f>ROUND(L776/M776, 0)</f>
        <v/>
      </c>
      <c r="O776" s="12">
        <f>ROUND(N776*'Methodology &amp; Assumptions'!$B$5, 0)</f>
        <v/>
      </c>
      <c r="P776" s="10" t="inlineStr">
        <is>
          <t>Single Carrier (Band n50, 100MHz TDD)</t>
        </is>
      </c>
      <c r="Q776" s="13">
        <f>ROUNDUP(O776/'Methodology &amp; Assumptions'!$B$6, 0)</f>
        <v/>
      </c>
      <c r="R776" s="13" t="n">
        <v>1</v>
      </c>
      <c r="S776" s="14" t="n">
        <v>29.39</v>
      </c>
      <c r="T776" s="14" t="n">
        <v>34.27</v>
      </c>
      <c r="U776" s="26">
        <f>IF(X776&gt;='Methodology &amp; Assumptions'!$B$7, "Tier 1 Critical GIDA (Score ≥ 50.0)", IF(X776&gt;='Methodology &amp; Assumptions'!$B$8, "Tier 2 High GIDA (Score 40.0–49.9)", "Tier 3 Moderate GIDA (Score &lt; 40.0)"))</f>
        <v/>
      </c>
      <c r="V776" s="26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W776" s="28" t="n">
        <v>0.11</v>
      </c>
      <c r="X776" s="14" t="n">
        <v>48.35</v>
      </c>
      <c r="Y776" s="14">
        <f>ROUND(MIN(100, (X776/69.91)*100), 2)</f>
        <v/>
      </c>
    </row>
    <row r="777">
      <c r="A777" s="10" t="n">
        <v>3</v>
      </c>
      <c r="B777" s="10" t="n">
        <v>773</v>
      </c>
      <c r="C777" s="10" t="n">
        <v>2773</v>
      </c>
      <c r="D777" s="10" t="inlineStr">
        <is>
          <t>1903628017</t>
        </is>
      </c>
      <c r="E777" s="26" t="inlineStr">
        <is>
          <t>Bangsamoro Autonomous Region In Muslim Mindanao (BARMM)</t>
        </is>
      </c>
      <c r="F777" s="26" t="inlineStr">
        <is>
          <t>Lanao del Sur</t>
        </is>
      </c>
      <c r="G777" s="26" t="inlineStr">
        <is>
          <t>Tubaran</t>
        </is>
      </c>
      <c r="H777" s="26" t="inlineStr">
        <is>
          <t>Guiarong</t>
        </is>
      </c>
      <c r="I777" s="27" t="n">
        <v>17.251214</v>
      </c>
      <c r="J777" s="27" t="n">
        <v>122.232407</v>
      </c>
      <c r="K777" s="10" t="inlineStr">
        <is>
          <t>R</t>
        </is>
      </c>
      <c r="L777" s="12" t="n">
        <v>796</v>
      </c>
      <c r="M777" s="14" t="n">
        <v>5.7</v>
      </c>
      <c r="N777" s="12">
        <f>ROUND(L777/M777, 0)</f>
        <v/>
      </c>
      <c r="O777" s="12">
        <f>ROUND(N777*'Methodology &amp; Assumptions'!$B$5, 0)</f>
        <v/>
      </c>
      <c r="P777" s="10" t="inlineStr">
        <is>
          <t>Single Carrier (Band n50, 100MHz TDD)</t>
        </is>
      </c>
      <c r="Q777" s="13">
        <f>ROUNDUP(O777/'Methodology &amp; Assumptions'!$B$6, 0)</f>
        <v/>
      </c>
      <c r="R777" s="13" t="n">
        <v>1</v>
      </c>
      <c r="S777" s="14" t="n">
        <v>29.45</v>
      </c>
      <c r="T777" s="14" t="n">
        <v>34.54</v>
      </c>
      <c r="U777" s="26">
        <f>IF(X777&gt;='Methodology &amp; Assumptions'!$B$7, "Tier 1 Critical GIDA (Score ≥ 50.0)", IF(X777&gt;='Methodology &amp; Assumptions'!$B$8, "Tier 2 High GIDA (Score 40.0–49.9)", "Tier 3 Moderate GIDA (Score &lt; 40.0)"))</f>
        <v/>
      </c>
      <c r="V777" s="26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W777" s="28" t="n">
        <v>0.11</v>
      </c>
      <c r="X777" s="14" t="n">
        <v>48.35</v>
      </c>
      <c r="Y777" s="14">
        <f>ROUND(MIN(100, (X777/69.91)*100), 2)</f>
        <v/>
      </c>
    </row>
    <row r="778">
      <c r="A778" s="10" t="n">
        <v>3</v>
      </c>
      <c r="B778" s="10" t="n">
        <v>774</v>
      </c>
      <c r="C778" s="10" t="n">
        <v>2774</v>
      </c>
      <c r="D778" s="10" t="inlineStr">
        <is>
          <t>1900704004</t>
        </is>
      </c>
      <c r="E778" s="26" t="inlineStr">
        <is>
          <t>Bangsamoro Autonomous Region In Muslim Mindanao (BARMM)</t>
        </is>
      </c>
      <c r="F778" s="26" t="inlineStr">
        <is>
          <t>Basilan</t>
        </is>
      </c>
      <c r="G778" s="26" t="inlineStr">
        <is>
          <t>Maluso</t>
        </is>
      </c>
      <c r="H778" s="26" t="inlineStr">
        <is>
          <t>Guanan North</t>
        </is>
      </c>
      <c r="I778" s="27" t="n">
        <v>6.5483</v>
      </c>
      <c r="J778" s="27" t="n">
        <v>121.86597</v>
      </c>
      <c r="K778" s="10" t="inlineStr">
        <is>
          <t>R</t>
        </is>
      </c>
      <c r="L778" s="12" t="n">
        <v>1300</v>
      </c>
      <c r="M778" s="14" t="n">
        <v>5.1</v>
      </c>
      <c r="N778" s="12">
        <f>ROUND(L778/M778, 0)</f>
        <v/>
      </c>
      <c r="O778" s="12">
        <f>ROUND(N778*'Methodology &amp; Assumptions'!$B$5, 0)</f>
        <v/>
      </c>
      <c r="P778" s="10" t="inlineStr">
        <is>
          <t>Single Carrier (Band n50, 100MHz TDD)</t>
        </is>
      </c>
      <c r="Q778" s="13">
        <f>ROUNDUP(O778/'Methodology &amp; Assumptions'!$B$6, 0)</f>
        <v/>
      </c>
      <c r="R778" s="13" t="n">
        <v>1</v>
      </c>
      <c r="S778" s="14" t="n">
        <v>46.34</v>
      </c>
      <c r="T778" s="14" t="n">
        <v>46.33</v>
      </c>
      <c r="U778" s="26">
        <f>IF(X778&gt;='Methodology &amp; Assumptions'!$B$7, "Tier 1 Critical GIDA (Score ≥ 50.0)", IF(X778&gt;='Methodology &amp; Assumptions'!$B$8, "Tier 2 High GIDA (Score 40.0–49.9)", "Tier 3 Moderate GIDA (Score &lt; 40.0)"))</f>
        <v/>
      </c>
      <c r="V778" s="26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W778" s="28" t="n">
        <v>0.11</v>
      </c>
      <c r="X778" s="14" t="n">
        <v>48.35</v>
      </c>
      <c r="Y778" s="14">
        <f>ROUND(MIN(100, (X778/69.91)*100), 2)</f>
        <v/>
      </c>
    </row>
    <row r="779">
      <c r="A779" s="10" t="n">
        <v>3</v>
      </c>
      <c r="B779" s="10" t="n">
        <v>775</v>
      </c>
      <c r="C779" s="10" t="n">
        <v>2775</v>
      </c>
      <c r="D779" s="10" t="inlineStr">
        <is>
          <t>1900703031</t>
        </is>
      </c>
      <c r="E779" s="26" t="inlineStr">
        <is>
          <t>Bangsamoro Autonomous Region In Muslim Mindanao (BARMM)</t>
        </is>
      </c>
      <c r="F779" s="26" t="inlineStr">
        <is>
          <t>Basilan</t>
        </is>
      </c>
      <c r="G779" s="26" t="inlineStr">
        <is>
          <t>Lantawan</t>
        </is>
      </c>
      <c r="H779" s="26" t="inlineStr">
        <is>
          <t>Lawi-lawi</t>
        </is>
      </c>
      <c r="I779" s="27" t="n">
        <v>6.5956</v>
      </c>
      <c r="J779" s="27" t="n">
        <v>121.80897</v>
      </c>
      <c r="K779" s="10" t="inlineStr">
        <is>
          <t>R</t>
        </is>
      </c>
      <c r="L779" s="12" t="n">
        <v>1301</v>
      </c>
      <c r="M779" s="14" t="n">
        <v>5.1</v>
      </c>
      <c r="N779" s="12">
        <f>ROUND(L779/M779, 0)</f>
        <v/>
      </c>
      <c r="O779" s="12">
        <f>ROUND(N779*'Methodology &amp; Assumptions'!$B$5, 0)</f>
        <v/>
      </c>
      <c r="P779" s="10" t="inlineStr">
        <is>
          <t>Single Carrier (Band n50, 100MHz TDD)</t>
        </is>
      </c>
      <c r="Q779" s="13">
        <f>ROUNDUP(O779/'Methodology &amp; Assumptions'!$B$6, 0)</f>
        <v/>
      </c>
      <c r="R779" s="13" t="n">
        <v>1</v>
      </c>
      <c r="S779" s="14" t="n">
        <v>45.6</v>
      </c>
      <c r="T779" s="14" t="n">
        <v>45.6</v>
      </c>
      <c r="U779" s="26">
        <f>IF(X779&gt;='Methodology &amp; Assumptions'!$B$7, "Tier 1 Critical GIDA (Score ≥ 50.0)", IF(X779&gt;='Methodology &amp; Assumptions'!$B$8, "Tier 2 High GIDA (Score 40.0–49.9)", "Tier 3 Moderate GIDA (Score &lt; 40.0)"))</f>
        <v/>
      </c>
      <c r="V779" s="26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W779" s="28" t="n">
        <v>0.11</v>
      </c>
      <c r="X779" s="14" t="n">
        <v>48.35</v>
      </c>
      <c r="Y779" s="14">
        <f>ROUND(MIN(100, (X779/69.91)*100), 2)</f>
        <v/>
      </c>
    </row>
    <row r="780">
      <c r="A780" s="10" t="n">
        <v>3</v>
      </c>
      <c r="B780" s="10" t="n">
        <v>776</v>
      </c>
      <c r="C780" s="10" t="n">
        <v>2776</v>
      </c>
      <c r="D780" s="10" t="inlineStr">
        <is>
          <t>1900703021</t>
        </is>
      </c>
      <c r="E780" s="26" t="inlineStr">
        <is>
          <t>Bangsamoro Autonomous Region In Muslim Mindanao (BARMM)</t>
        </is>
      </c>
      <c r="F780" s="26" t="inlineStr">
        <is>
          <t>Basilan</t>
        </is>
      </c>
      <c r="G780" s="26" t="inlineStr">
        <is>
          <t>Lantawan</t>
        </is>
      </c>
      <c r="H780" s="26" t="inlineStr">
        <is>
          <t>Suba-an</t>
        </is>
      </c>
      <c r="I780" s="27" t="n">
        <v>6.61603</v>
      </c>
      <c r="J780" s="27" t="n">
        <v>121.81632</v>
      </c>
      <c r="K780" s="10" t="inlineStr">
        <is>
          <t>R</t>
        </is>
      </c>
      <c r="L780" s="12" t="n">
        <v>622</v>
      </c>
      <c r="M780" s="14" t="n">
        <v>5.1</v>
      </c>
      <c r="N780" s="12">
        <f>ROUND(L780/M780, 0)</f>
        <v/>
      </c>
      <c r="O780" s="12">
        <f>ROUND(N780*'Methodology &amp; Assumptions'!$B$5, 0)</f>
        <v/>
      </c>
      <c r="P780" s="10" t="inlineStr">
        <is>
          <t>Single Carrier (Band n50, 100MHz TDD)</t>
        </is>
      </c>
      <c r="Q780" s="13">
        <f>ROUNDUP(O780/'Methodology &amp; Assumptions'!$B$6, 0)</f>
        <v/>
      </c>
      <c r="R780" s="13" t="n">
        <v>1</v>
      </c>
      <c r="S780" s="14" t="n">
        <v>43.35</v>
      </c>
      <c r="T780" s="14" t="n">
        <v>43.34</v>
      </c>
      <c r="U780" s="26">
        <f>IF(X780&gt;='Methodology &amp; Assumptions'!$B$7, "Tier 1 Critical GIDA (Score ≥ 50.0)", IF(X780&gt;='Methodology &amp; Assumptions'!$B$8, "Tier 2 High GIDA (Score 40.0–49.9)", "Tier 3 Moderate GIDA (Score &lt; 40.0)"))</f>
        <v/>
      </c>
      <c r="V780" s="26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W780" s="28" t="n">
        <v>0.11</v>
      </c>
      <c r="X780" s="14" t="n">
        <v>48.35</v>
      </c>
      <c r="Y780" s="14">
        <f>ROUND(MIN(100, (X780/69.91)*100), 2)</f>
        <v/>
      </c>
    </row>
    <row r="781">
      <c r="A781" s="10" t="n">
        <v>3</v>
      </c>
      <c r="B781" s="10" t="n">
        <v>777</v>
      </c>
      <c r="C781" s="10" t="n">
        <v>2777</v>
      </c>
      <c r="D781" s="10" t="inlineStr">
        <is>
          <t>1908820006</t>
        </is>
      </c>
      <c r="E781" s="26" t="inlineStr">
        <is>
          <t>Bangsamoro Autonomous Region In Muslim Mindanao (BARMM)</t>
        </is>
      </c>
      <c r="F781" s="26" t="inlineStr">
        <is>
          <t>Maguindanao del Sur</t>
        </is>
      </c>
      <c r="G781" s="26" t="inlineStr">
        <is>
          <t>Shariff Aguak</t>
        </is>
      </c>
      <c r="H781" s="26" t="inlineStr">
        <is>
          <t>Malingao</t>
        </is>
      </c>
      <c r="I781" s="27" t="n">
        <v>14.660517</v>
      </c>
      <c r="J781" s="27" t="n">
        <v>122.789028</v>
      </c>
      <c r="K781" s="10" t="inlineStr">
        <is>
          <t>R</t>
        </is>
      </c>
      <c r="L781" s="12" t="n">
        <v>1043</v>
      </c>
      <c r="M781" s="14" t="n">
        <v>4.7</v>
      </c>
      <c r="N781" s="12">
        <f>ROUND(L781/M781, 0)</f>
        <v/>
      </c>
      <c r="O781" s="12">
        <f>ROUND(N781*'Methodology &amp; Assumptions'!$B$5, 0)</f>
        <v/>
      </c>
      <c r="P781" s="10" t="inlineStr">
        <is>
          <t>Single Carrier (Band n50, 100MHz TDD)</t>
        </is>
      </c>
      <c r="Q781" s="13">
        <f>ROUNDUP(O781/'Methodology &amp; Assumptions'!$B$6, 0)</f>
        <v/>
      </c>
      <c r="R781" s="13" t="n">
        <v>1</v>
      </c>
      <c r="S781" s="14" t="n">
        <v>42.38</v>
      </c>
      <c r="T781" s="14" t="n">
        <v>51.68</v>
      </c>
      <c r="U781" s="26">
        <f>IF(X781&gt;='Methodology &amp; Assumptions'!$B$7, "Tier 1 Critical GIDA (Score ≥ 50.0)", IF(X781&gt;='Methodology &amp; Assumptions'!$B$8, "Tier 2 High GIDA (Score 40.0–49.9)", "Tier 3 Moderate GIDA (Score &lt; 40.0)"))</f>
        <v/>
      </c>
      <c r="V781" s="26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W781" s="28" t="n">
        <v>0.11</v>
      </c>
      <c r="X781" s="14" t="n">
        <v>48.35</v>
      </c>
      <c r="Y781" s="14">
        <f>ROUND(MIN(100, (X781/69.91)*100), 2)</f>
        <v/>
      </c>
    </row>
    <row r="782">
      <c r="A782" s="10" t="n">
        <v>3</v>
      </c>
      <c r="B782" s="10" t="n">
        <v>778</v>
      </c>
      <c r="C782" s="10" t="n">
        <v>2778</v>
      </c>
      <c r="D782" s="10" t="inlineStr">
        <is>
          <t>1380606053</t>
        </is>
      </c>
      <c r="E782" s="26" t="inlineStr">
        <is>
          <t>National Capital Region (NCR)</t>
        </is>
      </c>
      <c r="F782" s="26" t="inlineStr">
        <is>
          <t>First District (Not a Province)</t>
        </is>
      </c>
      <c r="G782" s="26" t="inlineStr">
        <is>
          <t>City of Manila</t>
        </is>
      </c>
      <c r="H782" s="26" t="inlineStr">
        <is>
          <t>Barangay 447</t>
        </is>
      </c>
      <c r="I782" s="27" t="n">
        <v>11.913846</v>
      </c>
      <c r="J782" s="27" t="n">
        <v>121.599298</v>
      </c>
      <c r="K782" s="10" t="inlineStr">
        <is>
          <t>U</t>
        </is>
      </c>
      <c r="L782" s="12" t="n">
        <v>1498</v>
      </c>
      <c r="M782" s="14" t="n">
        <v>3.9</v>
      </c>
      <c r="N782" s="12">
        <f>ROUND(L782/M782, 0)</f>
        <v/>
      </c>
      <c r="O782" s="12">
        <f>ROUND(N782*'Methodology &amp; Assumptions'!$B$5, 0)</f>
        <v/>
      </c>
      <c r="P782" s="10" t="inlineStr">
        <is>
          <t>Single Carrier (Band n50, 100MHz TDD)</t>
        </is>
      </c>
      <c r="Q782" s="13">
        <f>ROUNDUP(O782/'Methodology &amp; Assumptions'!$B$6, 0)</f>
        <v/>
      </c>
      <c r="R782" s="13" t="n">
        <v>1</v>
      </c>
      <c r="S782" s="14" t="n">
        <v>37.9</v>
      </c>
      <c r="T782" s="14" t="n">
        <v>36.3</v>
      </c>
      <c r="U782" s="26">
        <f>IF(X782&gt;='Methodology &amp; Assumptions'!$B$7, "Tier 1 Critical GIDA (Score ≥ 50.0)", IF(X782&gt;='Methodology &amp; Assumptions'!$B$8, "Tier 2 High GIDA (Score 40.0–49.9)", "Tier 3 Moderate GIDA (Score &lt; 40.0)"))</f>
        <v/>
      </c>
      <c r="V782" s="26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W782" s="28" t="n">
        <v>0.109</v>
      </c>
      <c r="X782" s="14" t="n">
        <v>48.35</v>
      </c>
      <c r="Y782" s="14">
        <f>ROUND(MIN(100, (X782/69.91)*100), 2)</f>
        <v/>
      </c>
    </row>
    <row r="783">
      <c r="A783" s="10" t="n">
        <v>3</v>
      </c>
      <c r="B783" s="10" t="n">
        <v>779</v>
      </c>
      <c r="C783" s="10" t="n">
        <v>2779</v>
      </c>
      <c r="D783" s="10" t="inlineStr">
        <is>
          <t>1900703026</t>
        </is>
      </c>
      <c r="E783" s="26" t="inlineStr">
        <is>
          <t>Bangsamoro Autonomous Region In Muslim Mindanao (BARMM)</t>
        </is>
      </c>
      <c r="F783" s="26" t="inlineStr">
        <is>
          <t>Basilan</t>
        </is>
      </c>
      <c r="G783" s="26" t="inlineStr">
        <is>
          <t>Lantawan</t>
        </is>
      </c>
      <c r="H783" s="26" t="inlineStr">
        <is>
          <t>Calugusan</t>
        </is>
      </c>
      <c r="I783" s="27" t="n">
        <v>7.57815</v>
      </c>
      <c r="J783" s="27" t="n">
        <v>121.813539</v>
      </c>
      <c r="K783" s="10" t="inlineStr">
        <is>
          <t>R</t>
        </is>
      </c>
      <c r="L783" s="12" t="n">
        <v>963</v>
      </c>
      <c r="M783" s="14" t="n">
        <v>5.1</v>
      </c>
      <c r="N783" s="12">
        <f>ROUND(L783/M783, 0)</f>
        <v/>
      </c>
      <c r="O783" s="12">
        <f>ROUND(N783*'Methodology &amp; Assumptions'!$B$5, 0)</f>
        <v/>
      </c>
      <c r="P783" s="10" t="inlineStr">
        <is>
          <t>Single Carrier (Band n50, 100MHz TDD)</t>
        </is>
      </c>
      <c r="Q783" s="13">
        <f>ROUNDUP(O783/'Methodology &amp; Assumptions'!$B$6, 0)</f>
        <v/>
      </c>
      <c r="R783" s="13" t="n">
        <v>1</v>
      </c>
      <c r="S783" s="14" t="n">
        <v>61.96</v>
      </c>
      <c r="T783" s="14" t="n">
        <v>57.13</v>
      </c>
      <c r="U783" s="26">
        <f>IF(X783&gt;='Methodology &amp; Assumptions'!$B$7, "Tier 1 Critical GIDA (Score ≥ 50.0)", IF(X783&gt;='Methodology &amp; Assumptions'!$B$8, "Tier 2 High GIDA (Score 40.0–49.9)", "Tier 3 Moderate GIDA (Score &lt; 40.0)"))</f>
        <v/>
      </c>
      <c r="V783" s="26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W783" s="28" t="n">
        <v>0.11</v>
      </c>
      <c r="X783" s="14" t="n">
        <v>48.35</v>
      </c>
      <c r="Y783" s="14">
        <f>ROUND(MIN(100, (X783/69.91)*100), 2)</f>
        <v/>
      </c>
    </row>
    <row r="784">
      <c r="A784" s="10" t="n">
        <v>3</v>
      </c>
      <c r="B784" s="10" t="n">
        <v>780</v>
      </c>
      <c r="C784" s="10" t="n">
        <v>2780</v>
      </c>
      <c r="D784" s="10" t="inlineStr">
        <is>
          <t>1380606231</t>
        </is>
      </c>
      <c r="E784" s="26" t="inlineStr">
        <is>
          <t>National Capital Region (NCR)</t>
        </is>
      </c>
      <c r="F784" s="26" t="inlineStr">
        <is>
          <t>First District (Not a Province)</t>
        </is>
      </c>
      <c r="G784" s="26" t="inlineStr">
        <is>
          <t>City of Manila</t>
        </is>
      </c>
      <c r="H784" s="26" t="inlineStr">
        <is>
          <t>Barangay 624</t>
        </is>
      </c>
      <c r="I784" s="27" t="n">
        <v>13.707998</v>
      </c>
      <c r="J784" s="27" t="n">
        <v>121.232697</v>
      </c>
      <c r="K784" s="10" t="inlineStr">
        <is>
          <t>U</t>
        </is>
      </c>
      <c r="L784" s="12" t="n">
        <v>1472</v>
      </c>
      <c r="M784" s="14" t="n">
        <v>3.9</v>
      </c>
      <c r="N784" s="12">
        <f>ROUND(L784/M784, 0)</f>
        <v/>
      </c>
      <c r="O784" s="12">
        <f>ROUND(N784*'Methodology &amp; Assumptions'!$B$5, 0)</f>
        <v/>
      </c>
      <c r="P784" s="10" t="inlineStr">
        <is>
          <t>Single Carrier (Band n50, 100MHz TDD)</t>
        </is>
      </c>
      <c r="Q784" s="13">
        <f>ROUNDUP(O784/'Methodology &amp; Assumptions'!$B$6, 0)</f>
        <v/>
      </c>
      <c r="R784" s="13" t="n">
        <v>1</v>
      </c>
      <c r="S784" s="14" t="n">
        <v>6</v>
      </c>
      <c r="T784" s="14" t="n">
        <v>13.98</v>
      </c>
      <c r="U784" s="26">
        <f>IF(X784&gt;='Methodology &amp; Assumptions'!$B$7, "Tier 1 Critical GIDA (Score ≥ 50.0)", IF(X784&gt;='Methodology &amp; Assumptions'!$B$8, "Tier 2 High GIDA (Score 40.0–49.9)", "Tier 3 Moderate GIDA (Score &lt; 40.0)"))</f>
        <v/>
      </c>
      <c r="V784" s="26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W784" s="28" t="n">
        <v>0.109</v>
      </c>
      <c r="X784" s="14" t="n">
        <v>48.35</v>
      </c>
      <c r="Y784" s="14">
        <f>ROUND(MIN(100, (X784/69.91)*100), 2)</f>
        <v/>
      </c>
    </row>
    <row r="785">
      <c r="A785" s="10" t="n">
        <v>3</v>
      </c>
      <c r="B785" s="10" t="n">
        <v>781</v>
      </c>
      <c r="C785" s="10" t="n">
        <v>2781</v>
      </c>
      <c r="D785" s="10" t="inlineStr">
        <is>
          <t>1380611039</t>
        </is>
      </c>
      <c r="E785" s="26" t="inlineStr">
        <is>
          <t>National Capital Region (NCR)</t>
        </is>
      </c>
      <c r="F785" s="26" t="inlineStr">
        <is>
          <t>First District (Not a Province)</t>
        </is>
      </c>
      <c r="G785" s="26" t="inlineStr">
        <is>
          <t>City of Manila</t>
        </is>
      </c>
      <c r="H785" s="26" t="inlineStr">
        <is>
          <t>Barangay 824</t>
        </is>
      </c>
      <c r="I785" s="27" t="n">
        <v>12.625164</v>
      </c>
      <c r="J785" s="27" t="n">
        <v>122.74846</v>
      </c>
      <c r="K785" s="10" t="inlineStr">
        <is>
          <t>U</t>
        </is>
      </c>
      <c r="L785" s="12" t="n">
        <v>1342</v>
      </c>
      <c r="M785" s="14" t="n">
        <v>3.9</v>
      </c>
      <c r="N785" s="12">
        <f>ROUND(L785/M785, 0)</f>
        <v/>
      </c>
      <c r="O785" s="12">
        <f>ROUND(N785*'Methodology &amp; Assumptions'!$B$5, 0)</f>
        <v/>
      </c>
      <c r="P785" s="10" t="inlineStr">
        <is>
          <t>Single Carrier (Band n50, 100MHz TDD)</t>
        </is>
      </c>
      <c r="Q785" s="13">
        <f>ROUNDUP(O785/'Methodology &amp; Assumptions'!$B$6, 0)</f>
        <v/>
      </c>
      <c r="R785" s="13" t="n">
        <v>1</v>
      </c>
      <c r="S785" s="14" t="n">
        <v>66.33</v>
      </c>
      <c r="T785" s="14" t="n">
        <v>75.52</v>
      </c>
      <c r="U785" s="26">
        <f>IF(X785&gt;='Methodology &amp; Assumptions'!$B$7, "Tier 1 Critical GIDA (Score ≥ 50.0)", IF(X785&gt;='Methodology &amp; Assumptions'!$B$8, "Tier 2 High GIDA (Score 40.0–49.9)", "Tier 3 Moderate GIDA (Score &lt; 40.0)"))</f>
        <v/>
      </c>
      <c r="V785" s="26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W785" s="28" t="n">
        <v>0.109</v>
      </c>
      <c r="X785" s="14" t="n">
        <v>48.35</v>
      </c>
      <c r="Y785" s="14">
        <f>ROUND(MIN(100, (X785/69.91)*100), 2)</f>
        <v/>
      </c>
    </row>
    <row r="786">
      <c r="A786" s="10" t="n">
        <v>3</v>
      </c>
      <c r="B786" s="10" t="n">
        <v>782</v>
      </c>
      <c r="C786" s="10" t="n">
        <v>2782</v>
      </c>
      <c r="D786" s="10" t="inlineStr">
        <is>
          <t>1900709016</t>
        </is>
      </c>
      <c r="E786" s="26" t="inlineStr">
        <is>
          <t>Bangsamoro Autonomous Region In Muslim Mindanao (BARMM)</t>
        </is>
      </c>
      <c r="F786" s="26" t="inlineStr">
        <is>
          <t>Basilan</t>
        </is>
      </c>
      <c r="G786" s="26" t="inlineStr">
        <is>
          <t>Al-Barka</t>
        </is>
      </c>
      <c r="H786" s="26" t="inlineStr">
        <is>
          <t>Sangkahan</t>
        </is>
      </c>
      <c r="I786" s="27" t="n">
        <v>7.583567</v>
      </c>
      <c r="J786" s="27" t="n">
        <v>122.171242</v>
      </c>
      <c r="K786" s="10" t="inlineStr">
        <is>
          <t>R</t>
        </is>
      </c>
      <c r="L786" s="12" t="n">
        <v>1392</v>
      </c>
      <c r="M786" s="14" t="n">
        <v>5.1</v>
      </c>
      <c r="N786" s="12">
        <f>ROUND(L786/M786, 0)</f>
        <v/>
      </c>
      <c r="O786" s="12">
        <f>ROUND(N786*'Methodology &amp; Assumptions'!$B$5, 0)</f>
        <v/>
      </c>
      <c r="P786" s="10" t="inlineStr">
        <is>
          <t>Single Carrier (Band n50, 100MHz TDD)</t>
        </is>
      </c>
      <c r="Q786" s="13">
        <f>ROUNDUP(O786/'Methodology &amp; Assumptions'!$B$6, 0)</f>
        <v/>
      </c>
      <c r="R786" s="13" t="n">
        <v>1</v>
      </c>
      <c r="S786" s="14" t="n">
        <v>28.38</v>
      </c>
      <c r="T786" s="14" t="n">
        <v>21.28</v>
      </c>
      <c r="U786" s="26">
        <f>IF(X786&gt;='Methodology &amp; Assumptions'!$B$7, "Tier 1 Critical GIDA (Score ≥ 50.0)", IF(X786&gt;='Methodology &amp; Assumptions'!$B$8, "Tier 2 High GIDA (Score 40.0–49.9)", "Tier 3 Moderate GIDA (Score &lt; 40.0)"))</f>
        <v/>
      </c>
      <c r="V786" s="26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W786" s="28" t="n">
        <v>0.11</v>
      </c>
      <c r="X786" s="14" t="n">
        <v>48.35</v>
      </c>
      <c r="Y786" s="14">
        <f>ROUND(MIN(100, (X786/69.91)*100), 2)</f>
        <v/>
      </c>
    </row>
    <row r="787">
      <c r="A787" s="10" t="n">
        <v>3</v>
      </c>
      <c r="B787" s="10" t="n">
        <v>783</v>
      </c>
      <c r="C787" s="10" t="n">
        <v>2783</v>
      </c>
      <c r="D787" s="10" t="inlineStr">
        <is>
          <t>1903620045</t>
        </is>
      </c>
      <c r="E787" s="26" t="inlineStr">
        <is>
          <t>Bangsamoro Autonomous Region In Muslim Mindanao (BARMM)</t>
        </is>
      </c>
      <c r="F787" s="26" t="inlineStr">
        <is>
          <t>Lanao del Sur</t>
        </is>
      </c>
      <c r="G787" s="26" t="inlineStr">
        <is>
          <t>Pagayawan</t>
        </is>
      </c>
      <c r="H787" s="26" t="inlineStr">
        <is>
          <t>Rangiran</t>
        </is>
      </c>
      <c r="I787" s="27" t="n">
        <v>17.255219</v>
      </c>
      <c r="J787" s="27" t="n">
        <v>122.222144</v>
      </c>
      <c r="K787" s="10" t="inlineStr">
        <is>
          <t>R</t>
        </is>
      </c>
      <c r="L787" s="12" t="n">
        <v>862</v>
      </c>
      <c r="M787" s="14" t="n">
        <v>5.7</v>
      </c>
      <c r="N787" s="12">
        <f>ROUND(L787/M787, 0)</f>
        <v/>
      </c>
      <c r="O787" s="12">
        <f>ROUND(N787*'Methodology &amp; Assumptions'!$B$5, 0)</f>
        <v/>
      </c>
      <c r="P787" s="10" t="inlineStr">
        <is>
          <t>Single Carrier (Band n50, 100MHz TDD)</t>
        </is>
      </c>
      <c r="Q787" s="13">
        <f>ROUNDUP(O787/'Methodology &amp; Assumptions'!$B$6, 0)</f>
        <v/>
      </c>
      <c r="R787" s="13" t="n">
        <v>1</v>
      </c>
      <c r="S787" s="14" t="n">
        <v>28.89</v>
      </c>
      <c r="T787" s="14" t="n">
        <v>33.62</v>
      </c>
      <c r="U787" s="26">
        <f>IF(X787&gt;='Methodology &amp; Assumptions'!$B$7, "Tier 1 Critical GIDA (Score ≥ 50.0)", IF(X787&gt;='Methodology &amp; Assumptions'!$B$8, "Tier 2 High GIDA (Score 40.0–49.9)", "Tier 3 Moderate GIDA (Score &lt; 40.0)"))</f>
        <v/>
      </c>
      <c r="V787" s="26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W787" s="28" t="n">
        <v>0.11</v>
      </c>
      <c r="X787" s="14" t="n">
        <v>48.35</v>
      </c>
      <c r="Y787" s="14">
        <f>ROUND(MIN(100, (X787/69.91)*100), 2)</f>
        <v/>
      </c>
    </row>
    <row r="788">
      <c r="A788" s="10" t="n">
        <v>3</v>
      </c>
      <c r="B788" s="10" t="n">
        <v>784</v>
      </c>
      <c r="C788" s="10" t="n">
        <v>2784</v>
      </c>
      <c r="D788" s="10" t="inlineStr">
        <is>
          <t>0806007041</t>
        </is>
      </c>
      <c r="E788" s="26" t="inlineStr">
        <is>
          <t>Region VIII (Eastern Visayas)</t>
        </is>
      </c>
      <c r="F788" s="26" t="inlineStr">
        <is>
          <t>Samar</t>
        </is>
      </c>
      <c r="G788" s="26" t="inlineStr">
        <is>
          <t>Gandara</t>
        </is>
      </c>
      <c r="H788" s="26" t="inlineStr">
        <is>
          <t>Hinayagan</t>
        </is>
      </c>
      <c r="I788" s="27" t="n">
        <v>12.12975</v>
      </c>
      <c r="J788" s="27" t="n">
        <v>124.8392</v>
      </c>
      <c r="K788" s="10" t="inlineStr">
        <is>
          <t>R</t>
        </is>
      </c>
      <c r="L788" s="12" t="n">
        <v>376</v>
      </c>
      <c r="M788" s="14" t="n">
        <v>4.1</v>
      </c>
      <c r="N788" s="12">
        <f>ROUND(L788/M788, 0)</f>
        <v/>
      </c>
      <c r="O788" s="12">
        <f>ROUND(N788*'Methodology &amp; Assumptions'!$B$5, 0)</f>
        <v/>
      </c>
      <c r="P788" s="10" t="inlineStr">
        <is>
          <t>Single Carrier (Band n50, 100MHz TDD)</t>
        </is>
      </c>
      <c r="Q788" s="13">
        <f>ROUNDUP(O788/'Methodology &amp; Assumptions'!$B$6, 0)</f>
        <v/>
      </c>
      <c r="R788" s="13" t="n">
        <v>1</v>
      </c>
      <c r="S788" s="14" t="n">
        <v>93.72</v>
      </c>
      <c r="T788" s="14" t="n">
        <v>93.69</v>
      </c>
      <c r="U788" s="26">
        <f>IF(X788&gt;='Methodology &amp; Assumptions'!$B$7, "Tier 1 Critical GIDA (Score ≥ 50.0)", IF(X788&gt;='Methodology &amp; Assumptions'!$B$8, "Tier 2 High GIDA (Score 40.0–49.9)", "Tier 3 Moderate GIDA (Score &lt; 40.0)"))</f>
        <v/>
      </c>
      <c r="V788" s="26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W788" s="28" t="n">
        <v>0.237</v>
      </c>
      <c r="X788" s="14" t="n">
        <v>48.35</v>
      </c>
      <c r="Y788" s="14">
        <f>ROUND(MIN(100, (X788/69.91)*100), 2)</f>
        <v/>
      </c>
    </row>
    <row r="789">
      <c r="A789" s="10" t="n">
        <v>3</v>
      </c>
      <c r="B789" s="10" t="n">
        <v>785</v>
      </c>
      <c r="C789" s="10" t="n">
        <v>2785</v>
      </c>
      <c r="D789" s="10" t="inlineStr">
        <is>
          <t>1381100096</t>
        </is>
      </c>
      <c r="E789" s="26" t="inlineStr">
        <is>
          <t>National Capital Region (NCR)</t>
        </is>
      </c>
      <c r="F789" s="26" t="inlineStr">
        <is>
          <t>Fourth District (Not a Province)</t>
        </is>
      </c>
      <c r="G789" s="26" t="inlineStr">
        <is>
          <t>Pasay City</t>
        </is>
      </c>
      <c r="H789" s="26" t="inlineStr">
        <is>
          <t>Barangay 96</t>
        </is>
      </c>
      <c r="I789" s="27" t="n">
        <v>14.630279</v>
      </c>
      <c r="J789" s="27" t="n">
        <v>120.805735</v>
      </c>
      <c r="K789" s="10" t="inlineStr">
        <is>
          <t>U</t>
        </is>
      </c>
      <c r="L789" s="12" t="n">
        <v>849</v>
      </c>
      <c r="M789" s="14" t="n">
        <v>3.4</v>
      </c>
      <c r="N789" s="12">
        <f>ROUND(L789/M789, 0)</f>
        <v/>
      </c>
      <c r="O789" s="12">
        <f>ROUND(N789*'Methodology &amp; Assumptions'!$B$5, 0)</f>
        <v/>
      </c>
      <c r="P789" s="10" t="inlineStr">
        <is>
          <t>Single Carrier (Band n50, 100MHz TDD)</t>
        </is>
      </c>
      <c r="Q789" s="13">
        <f>ROUNDUP(O789/'Methodology &amp; Assumptions'!$B$6, 0)</f>
        <v/>
      </c>
      <c r="R789" s="13" t="n">
        <v>1</v>
      </c>
      <c r="S789" s="14" t="n">
        <v>15.42</v>
      </c>
      <c r="T789" s="14" t="n">
        <v>15.5</v>
      </c>
      <c r="U789" s="26">
        <f>IF(X789&gt;='Methodology &amp; Assumptions'!$B$7, "Tier 1 Critical GIDA (Score ≥ 50.0)", IF(X789&gt;='Methodology &amp; Assumptions'!$B$8, "Tier 2 High GIDA (Score 40.0–49.9)", "Tier 3 Moderate GIDA (Score &lt; 40.0)"))</f>
        <v/>
      </c>
      <c r="V789" s="26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W789" s="28" t="n">
        <v>0.109</v>
      </c>
      <c r="X789" s="14" t="n">
        <v>48.34</v>
      </c>
      <c r="Y789" s="14">
        <f>ROUND(MIN(100, (X789/69.91)*100), 2)</f>
        <v/>
      </c>
    </row>
    <row r="790">
      <c r="A790" s="10" t="n">
        <v>3</v>
      </c>
      <c r="B790" s="10" t="n">
        <v>786</v>
      </c>
      <c r="C790" s="10" t="n">
        <v>2786</v>
      </c>
      <c r="D790" s="10" t="inlineStr">
        <is>
          <t>1380606211</t>
        </is>
      </c>
      <c r="E790" s="26" t="inlineStr">
        <is>
          <t>National Capital Region (NCR)</t>
        </is>
      </c>
      <c r="F790" s="26" t="inlineStr">
        <is>
          <t>First District (Not a Province)</t>
        </is>
      </c>
      <c r="G790" s="26" t="inlineStr">
        <is>
          <t>City of Manila</t>
        </is>
      </c>
      <c r="H790" s="26" t="inlineStr">
        <is>
          <t>Barangay 604</t>
        </is>
      </c>
      <c r="I790" s="27" t="n">
        <v>12.424969</v>
      </c>
      <c r="J790" s="27" t="n">
        <v>120.877924</v>
      </c>
      <c r="K790" s="10" t="inlineStr">
        <is>
          <t>U</t>
        </is>
      </c>
      <c r="L790" s="12" t="n">
        <v>1522</v>
      </c>
      <c r="M790" s="14" t="n">
        <v>3.9</v>
      </c>
      <c r="N790" s="12">
        <f>ROUND(L790/M790, 0)</f>
        <v/>
      </c>
      <c r="O790" s="12">
        <f>ROUND(N790*'Methodology &amp; Assumptions'!$B$5, 0)</f>
        <v/>
      </c>
      <c r="P790" s="10" t="inlineStr">
        <is>
          <t>Single Carrier (Band n50, 100MHz TDD)</t>
        </is>
      </c>
      <c r="Q790" s="13">
        <f>ROUNDUP(O790/'Methodology &amp; Assumptions'!$B$6, 0)</f>
        <v/>
      </c>
      <c r="R790" s="13" t="n">
        <v>1</v>
      </c>
      <c r="S790" s="14" t="n">
        <v>21.89</v>
      </c>
      <c r="T790" s="14" t="n">
        <v>20.52</v>
      </c>
      <c r="U790" s="26">
        <f>IF(X790&gt;='Methodology &amp; Assumptions'!$B$7, "Tier 1 Critical GIDA (Score ≥ 50.0)", IF(X790&gt;='Methodology &amp; Assumptions'!$B$8, "Tier 2 High GIDA (Score 40.0–49.9)", "Tier 3 Moderate GIDA (Score &lt; 40.0)"))</f>
        <v/>
      </c>
      <c r="V790" s="26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W790" s="28" t="n">
        <v>0.109</v>
      </c>
      <c r="X790" s="14" t="n">
        <v>48.34</v>
      </c>
      <c r="Y790" s="14">
        <f>ROUND(MIN(100, (X790/69.91)*100), 2)</f>
        <v/>
      </c>
    </row>
    <row r="791">
      <c r="A791" s="10" t="n">
        <v>3</v>
      </c>
      <c r="B791" s="10" t="n">
        <v>787</v>
      </c>
      <c r="C791" s="10" t="n">
        <v>2787</v>
      </c>
      <c r="D791" s="10" t="inlineStr">
        <is>
          <t>1900712005</t>
        </is>
      </c>
      <c r="E791" s="26" t="inlineStr">
        <is>
          <t>Bangsamoro Autonomous Region In Muslim Mindanao (BARMM)</t>
        </is>
      </c>
      <c r="F791" s="26" t="inlineStr">
        <is>
          <t>Basilan</t>
        </is>
      </c>
      <c r="G791" s="26" t="inlineStr">
        <is>
          <t>Hadji Muhtamad</t>
        </is>
      </c>
      <c r="H791" s="26" t="inlineStr">
        <is>
          <t>Mananggal</t>
        </is>
      </c>
      <c r="I791" s="27" t="n">
        <v>6.731934</v>
      </c>
      <c r="J791" s="27" t="n">
        <v>121.591619</v>
      </c>
      <c r="K791" s="10" t="inlineStr">
        <is>
          <t>R</t>
        </is>
      </c>
      <c r="L791" s="12" t="n">
        <v>1278</v>
      </c>
      <c r="M791" s="14" t="n">
        <v>5.1</v>
      </c>
      <c r="N791" s="12">
        <f>ROUND(L791/M791, 0)</f>
        <v/>
      </c>
      <c r="O791" s="12">
        <f>ROUND(N791*'Methodology &amp; Assumptions'!$B$5, 0)</f>
        <v/>
      </c>
      <c r="P791" s="10" t="inlineStr">
        <is>
          <t>Single Carrier (Band n50, 100MHz TDD)</t>
        </is>
      </c>
      <c r="Q791" s="13">
        <f>ROUNDUP(O791/'Methodology &amp; Assumptions'!$B$6, 0)</f>
        <v/>
      </c>
      <c r="R791" s="13" t="n">
        <v>1</v>
      </c>
      <c r="S791" s="14" t="n">
        <v>56.81</v>
      </c>
      <c r="T791" s="14" t="n">
        <v>56.81</v>
      </c>
      <c r="U791" s="26">
        <f>IF(X791&gt;='Methodology &amp; Assumptions'!$B$7, "Tier 1 Critical GIDA (Score ≥ 50.0)", IF(X791&gt;='Methodology &amp; Assumptions'!$B$8, "Tier 2 High GIDA (Score 40.0–49.9)", "Tier 3 Moderate GIDA (Score &lt; 40.0)"))</f>
        <v/>
      </c>
      <c r="V791" s="26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W791" s="28" t="n">
        <v>0.11</v>
      </c>
      <c r="X791" s="14" t="n">
        <v>48.34</v>
      </c>
      <c r="Y791" s="14">
        <f>ROUND(MIN(100, (X791/69.91)*100), 2)</f>
        <v/>
      </c>
    </row>
    <row r="792">
      <c r="A792" s="10" t="n">
        <v>3</v>
      </c>
      <c r="B792" s="10" t="n">
        <v>788</v>
      </c>
      <c r="C792" s="10" t="n">
        <v>2788</v>
      </c>
      <c r="D792" s="10" t="inlineStr">
        <is>
          <t>PH0002788</t>
        </is>
      </c>
      <c r="E792" s="26" t="inlineStr">
        <is>
          <t>BARMM (LaMa+SGA)</t>
        </is>
      </c>
      <c r="F792" s="26" t="inlineStr">
        <is>
          <t>Maguindanao del Norte</t>
        </is>
      </c>
      <c r="G792" s="26" t="inlineStr">
        <is>
          <t>Cotabato City</t>
        </is>
      </c>
      <c r="H792" s="26" t="inlineStr">
        <is>
          <t>Rosary Heights IV</t>
        </is>
      </c>
      <c r="I792" s="27" t="n">
        <v>7.213134</v>
      </c>
      <c r="J792" s="27" t="n">
        <v>124.245595</v>
      </c>
      <c r="K792" s="10" t="inlineStr">
        <is>
          <t>R</t>
        </is>
      </c>
      <c r="L792" s="12" t="n">
        <v>2279</v>
      </c>
      <c r="M792" s="14" t="n">
        <v>3.8</v>
      </c>
      <c r="N792" s="12">
        <f>ROUND(L792/M792, 0)</f>
        <v/>
      </c>
      <c r="O792" s="12">
        <f>ROUND(N792*'Methodology &amp; Assumptions'!$B$5, 0)</f>
        <v/>
      </c>
      <c r="P792" s="10" t="inlineStr">
        <is>
          <t>Single Carrier (Band n50, 100MHz TDD)</t>
        </is>
      </c>
      <c r="Q792" s="13">
        <f>ROUNDUP(O792/'Methodology &amp; Assumptions'!$B$6, 0)</f>
        <v/>
      </c>
      <c r="R792" s="13" t="n">
        <v>1</v>
      </c>
      <c r="S792" s="14" t="n">
        <v>60.82</v>
      </c>
      <c r="T792" s="14" t="n">
        <v>59.89</v>
      </c>
      <c r="U792" s="26">
        <f>IF(X792&gt;='Methodology &amp; Assumptions'!$B$7, "Tier 1 Critical GIDA (Score ≥ 50.0)", IF(X792&gt;='Methodology &amp; Assumptions'!$B$8, "Tier 2 High GIDA (Score 40.0–49.9)", "Tier 3 Moderate GIDA (Score &lt; 40.0)"))</f>
        <v/>
      </c>
      <c r="V792" s="26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W792" s="28" t="n">
        <v>0.235</v>
      </c>
      <c r="X792" s="14" t="n">
        <v>48.34</v>
      </c>
      <c r="Y792" s="14">
        <f>ROUND(MIN(100, (X792/69.91)*100), 2)</f>
        <v/>
      </c>
    </row>
    <row r="793">
      <c r="A793" s="10" t="n">
        <v>3</v>
      </c>
      <c r="B793" s="10" t="n">
        <v>789</v>
      </c>
      <c r="C793" s="10" t="n">
        <v>2789</v>
      </c>
      <c r="D793" s="10" t="inlineStr">
        <is>
          <t>1900703004</t>
        </is>
      </c>
      <c r="E793" s="26" t="inlineStr">
        <is>
          <t>Bangsamoro Autonomous Region In Muslim Mindanao (BARMM)</t>
        </is>
      </c>
      <c r="F793" s="26" t="inlineStr">
        <is>
          <t>Basilan</t>
        </is>
      </c>
      <c r="G793" s="26" t="inlineStr">
        <is>
          <t>Lantawan</t>
        </is>
      </c>
      <c r="H793" s="26" t="inlineStr">
        <is>
          <t>Bulanza</t>
        </is>
      </c>
      <c r="I793" s="27" t="n">
        <v>6.64955</v>
      </c>
      <c r="J793" s="27" t="n">
        <v>121.870224</v>
      </c>
      <c r="K793" s="10" t="inlineStr">
        <is>
          <t>R</t>
        </is>
      </c>
      <c r="L793" s="12" t="n">
        <v>1099</v>
      </c>
      <c r="M793" s="14" t="n">
        <v>5.1</v>
      </c>
      <c r="N793" s="12">
        <f>ROUND(L793/M793, 0)</f>
        <v/>
      </c>
      <c r="O793" s="12">
        <f>ROUND(N793*'Methodology &amp; Assumptions'!$B$5, 0)</f>
        <v/>
      </c>
      <c r="P793" s="10" t="inlineStr">
        <is>
          <t>Single Carrier (Band n50, 100MHz TDD)</t>
        </is>
      </c>
      <c r="Q793" s="13">
        <f>ROUNDUP(O793/'Methodology &amp; Assumptions'!$B$6, 0)</f>
        <v/>
      </c>
      <c r="R793" s="13" t="n">
        <v>1</v>
      </c>
      <c r="S793" s="14" t="n">
        <v>36.69</v>
      </c>
      <c r="T793" s="14" t="n">
        <v>36.68</v>
      </c>
      <c r="U793" s="26">
        <f>IF(X793&gt;='Methodology &amp; Assumptions'!$B$7, "Tier 1 Critical GIDA (Score ≥ 50.0)", IF(X793&gt;='Methodology &amp; Assumptions'!$B$8, "Tier 2 High GIDA (Score 40.0–49.9)", "Tier 3 Moderate GIDA (Score &lt; 40.0)"))</f>
        <v/>
      </c>
      <c r="V793" s="26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W793" s="28" t="n">
        <v>0.11</v>
      </c>
      <c r="X793" s="14" t="n">
        <v>48.34</v>
      </c>
      <c r="Y793" s="14">
        <f>ROUND(MIN(100, (X793/69.91)*100), 2)</f>
        <v/>
      </c>
    </row>
    <row r="794">
      <c r="A794" s="10" t="n">
        <v>3</v>
      </c>
      <c r="B794" s="10" t="n">
        <v>790</v>
      </c>
      <c r="C794" s="10" t="n">
        <v>2790</v>
      </c>
      <c r="D794" s="10" t="inlineStr">
        <is>
          <t>0806007076</t>
        </is>
      </c>
      <c r="E794" s="26" t="inlineStr">
        <is>
          <t>Region VIII (Eastern Visayas)</t>
        </is>
      </c>
      <c r="F794" s="26" t="inlineStr">
        <is>
          <t>Samar</t>
        </is>
      </c>
      <c r="G794" s="26" t="inlineStr">
        <is>
          <t>Gandara</t>
        </is>
      </c>
      <c r="H794" s="26" t="inlineStr">
        <is>
          <t>San Isidro</t>
        </is>
      </c>
      <c r="I794" s="27" t="n">
        <v>12.12776</v>
      </c>
      <c r="J794" s="27" t="n">
        <v>124.82331</v>
      </c>
      <c r="K794" s="10" t="inlineStr">
        <is>
          <t>R</t>
        </is>
      </c>
      <c r="L794" s="12" t="n">
        <v>426</v>
      </c>
      <c r="M794" s="14" t="n">
        <v>4.1</v>
      </c>
      <c r="N794" s="12">
        <f>ROUND(L794/M794, 0)</f>
        <v/>
      </c>
      <c r="O794" s="12">
        <f>ROUND(N794*'Methodology &amp; Assumptions'!$B$5, 0)</f>
        <v/>
      </c>
      <c r="P794" s="10" t="inlineStr">
        <is>
          <t>Single Carrier (Band n50, 100MHz TDD)</t>
        </is>
      </c>
      <c r="Q794" s="13">
        <f>ROUNDUP(O794/'Methodology &amp; Assumptions'!$B$6, 0)</f>
        <v/>
      </c>
      <c r="R794" s="13" t="n">
        <v>1</v>
      </c>
      <c r="S794" s="14" t="n">
        <v>93.22</v>
      </c>
      <c r="T794" s="14" t="n">
        <v>93.18000000000001</v>
      </c>
      <c r="U794" s="26">
        <f>IF(X794&gt;='Methodology &amp; Assumptions'!$B$7, "Tier 1 Critical GIDA (Score ≥ 50.0)", IF(X794&gt;='Methodology &amp; Assumptions'!$B$8, "Tier 2 High GIDA (Score 40.0–49.9)", "Tier 3 Moderate GIDA (Score &lt; 40.0)"))</f>
        <v/>
      </c>
      <c r="V794" s="26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W794" s="28" t="n">
        <v>0.237</v>
      </c>
      <c r="X794" s="14" t="n">
        <v>48.34</v>
      </c>
      <c r="Y794" s="14">
        <f>ROUND(MIN(100, (X794/69.91)*100), 2)</f>
        <v/>
      </c>
    </row>
    <row r="795">
      <c r="A795" s="10" t="n">
        <v>3</v>
      </c>
      <c r="B795" s="10" t="n">
        <v>791</v>
      </c>
      <c r="C795" s="10" t="n">
        <v>2791</v>
      </c>
      <c r="D795" s="10" t="inlineStr">
        <is>
          <t>PH0002791</t>
        </is>
      </c>
      <c r="E795" s="26" t="inlineStr">
        <is>
          <t>NCR</t>
        </is>
      </c>
      <c r="F795" s="26" t="inlineStr">
        <is>
          <t>Metro Manila</t>
        </is>
      </c>
      <c r="G795" s="26" t="inlineStr">
        <is>
          <t>Caloocan City</t>
        </is>
      </c>
      <c r="H795" s="26" t="inlineStr">
        <is>
          <t>Barangay 153</t>
        </is>
      </c>
      <c r="I795" s="27" t="n">
        <v>12.26786</v>
      </c>
      <c r="J795" s="27" t="n">
        <v>120.428041</v>
      </c>
      <c r="K795" s="10" t="inlineStr">
        <is>
          <t>R</t>
        </is>
      </c>
      <c r="L795" s="12" t="n">
        <v>2279</v>
      </c>
      <c r="M795" s="14" t="n">
        <v>3.8</v>
      </c>
      <c r="N795" s="12">
        <f>ROUND(L795/M795, 0)</f>
        <v/>
      </c>
      <c r="O795" s="12">
        <f>ROUND(N795*'Methodology &amp; Assumptions'!$B$5, 0)</f>
        <v/>
      </c>
      <c r="P795" s="10" t="inlineStr">
        <is>
          <t>Single Carrier (Band n50, 100MHz TDD)</t>
        </is>
      </c>
      <c r="Q795" s="13">
        <f>ROUNDUP(O795/'Methodology &amp; Assumptions'!$B$6, 0)</f>
        <v/>
      </c>
      <c r="R795" s="13" t="n">
        <v>1</v>
      </c>
      <c r="S795" s="14" t="n">
        <v>35.28</v>
      </c>
      <c r="T795" s="14" t="n">
        <v>69.25</v>
      </c>
      <c r="U795" s="26">
        <f>IF(X795&gt;='Methodology &amp; Assumptions'!$B$7, "Tier 1 Critical GIDA (Score ≥ 50.0)", IF(X795&gt;='Methodology &amp; Assumptions'!$B$8, "Tier 2 High GIDA (Score 40.0–49.9)", "Tier 3 Moderate GIDA (Score &lt; 40.0)"))</f>
        <v/>
      </c>
      <c r="V795" s="26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W795" s="28" t="n">
        <v>0.011</v>
      </c>
      <c r="X795" s="14" t="n">
        <v>48.34</v>
      </c>
      <c r="Y795" s="14">
        <f>ROUND(MIN(100, (X795/69.91)*100), 2)</f>
        <v/>
      </c>
    </row>
    <row r="796">
      <c r="A796" s="10" t="n">
        <v>3</v>
      </c>
      <c r="B796" s="10" t="n">
        <v>792</v>
      </c>
      <c r="C796" s="10" t="n">
        <v>2792</v>
      </c>
      <c r="D796" s="10" t="inlineStr">
        <is>
          <t>1900703037</t>
        </is>
      </c>
      <c r="E796" s="26" t="inlineStr">
        <is>
          <t>Bangsamoro Autonomous Region In Muslim Mindanao (BARMM)</t>
        </is>
      </c>
      <c r="F796" s="26" t="inlineStr">
        <is>
          <t>Basilan</t>
        </is>
      </c>
      <c r="G796" s="26" t="inlineStr">
        <is>
          <t>Lantawan</t>
        </is>
      </c>
      <c r="H796" s="26" t="inlineStr">
        <is>
          <t>Calayan</t>
        </is>
      </c>
      <c r="I796" s="27" t="n">
        <v>6.5877</v>
      </c>
      <c r="J796" s="27" t="n">
        <v>121.84588</v>
      </c>
      <c r="K796" s="10" t="inlineStr">
        <is>
          <t>R</t>
        </is>
      </c>
      <c r="L796" s="12" t="n">
        <v>710</v>
      </c>
      <c r="M796" s="14" t="n">
        <v>5.1</v>
      </c>
      <c r="N796" s="12">
        <f>ROUND(L796/M796, 0)</f>
        <v/>
      </c>
      <c r="O796" s="12">
        <f>ROUND(N796*'Methodology &amp; Assumptions'!$B$5, 0)</f>
        <v/>
      </c>
      <c r="P796" s="10" t="inlineStr">
        <is>
          <t>Single Carrier (Band n50, 100MHz TDD)</t>
        </is>
      </c>
      <c r="Q796" s="13">
        <f>ROUNDUP(O796/'Methodology &amp; Assumptions'!$B$6, 0)</f>
        <v/>
      </c>
      <c r="R796" s="13" t="n">
        <v>1</v>
      </c>
      <c r="S796" s="14" t="n">
        <v>43.82</v>
      </c>
      <c r="T796" s="14" t="n">
        <v>43.82</v>
      </c>
      <c r="U796" s="26">
        <f>IF(X796&gt;='Methodology &amp; Assumptions'!$B$7, "Tier 1 Critical GIDA (Score ≥ 50.0)", IF(X796&gt;='Methodology &amp; Assumptions'!$B$8, "Tier 2 High GIDA (Score 40.0–49.9)", "Tier 3 Moderate GIDA (Score &lt; 40.0)"))</f>
        <v/>
      </c>
      <c r="V796" s="26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W796" s="28" t="n">
        <v>0.11</v>
      </c>
      <c r="X796" s="14" t="n">
        <v>48.34</v>
      </c>
      <c r="Y796" s="14">
        <f>ROUND(MIN(100, (X796/69.91)*100), 2)</f>
        <v/>
      </c>
    </row>
    <row r="797">
      <c r="A797" s="10" t="n">
        <v>3</v>
      </c>
      <c r="B797" s="10" t="n">
        <v>793</v>
      </c>
      <c r="C797" s="10" t="n">
        <v>2793</v>
      </c>
      <c r="D797" s="10" t="inlineStr">
        <is>
          <t>0806007035</t>
        </is>
      </c>
      <c r="E797" s="26" t="inlineStr">
        <is>
          <t>Region VIII (Eastern Visayas)</t>
        </is>
      </c>
      <c r="F797" s="26" t="inlineStr">
        <is>
          <t>Samar</t>
        </is>
      </c>
      <c r="G797" s="26" t="inlineStr">
        <is>
          <t>Gandara</t>
        </is>
      </c>
      <c r="H797" s="26" t="inlineStr">
        <is>
          <t>Giaboc</t>
        </is>
      </c>
      <c r="I797" s="27" t="n">
        <v>12.12092</v>
      </c>
      <c r="J797" s="27" t="n">
        <v>124.84035</v>
      </c>
      <c r="K797" s="10" t="inlineStr">
        <is>
          <t>R</t>
        </is>
      </c>
      <c r="L797" s="12" t="n">
        <v>211</v>
      </c>
      <c r="M797" s="14" t="n">
        <v>4.1</v>
      </c>
      <c r="N797" s="12">
        <f>ROUND(L797/M797, 0)</f>
        <v/>
      </c>
      <c r="O797" s="12">
        <f>ROUND(N797*'Methodology &amp; Assumptions'!$B$5, 0)</f>
        <v/>
      </c>
      <c r="P797" s="10" t="inlineStr">
        <is>
          <t>Single Carrier (Band n50, 100MHz TDD)</t>
        </is>
      </c>
      <c r="Q797" s="13">
        <f>ROUNDUP(O797/'Methodology &amp; Assumptions'!$B$6, 0)</f>
        <v/>
      </c>
      <c r="R797" s="13" t="n">
        <v>1</v>
      </c>
      <c r="S797" s="14" t="n">
        <v>92.78</v>
      </c>
      <c r="T797" s="14" t="n">
        <v>92.73999999999999</v>
      </c>
      <c r="U797" s="26">
        <f>IF(X797&gt;='Methodology &amp; Assumptions'!$B$7, "Tier 1 Critical GIDA (Score ≥ 50.0)", IF(X797&gt;='Methodology &amp; Assumptions'!$B$8, "Tier 2 High GIDA (Score 40.0–49.9)", "Tier 3 Moderate GIDA (Score &lt; 40.0)"))</f>
        <v/>
      </c>
      <c r="V797" s="26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W797" s="28" t="n">
        <v>0.237</v>
      </c>
      <c r="X797" s="14" t="n">
        <v>48.34</v>
      </c>
      <c r="Y797" s="14">
        <f>ROUND(MIN(100, (X797/69.91)*100), 2)</f>
        <v/>
      </c>
    </row>
    <row r="798">
      <c r="A798" s="10" t="n">
        <v>3</v>
      </c>
      <c r="B798" s="10" t="n">
        <v>794</v>
      </c>
      <c r="C798" s="10" t="n">
        <v>2794</v>
      </c>
      <c r="D798" s="10" t="inlineStr">
        <is>
          <t>PH0002794</t>
        </is>
      </c>
      <c r="E798" s="26" t="inlineStr">
        <is>
          <t>XI</t>
        </is>
      </c>
      <c r="F798" s="26" t="inlineStr">
        <is>
          <t>Davao Del Sur</t>
        </is>
      </c>
      <c r="G798" s="26" t="inlineStr">
        <is>
          <t>Davao City</t>
        </is>
      </c>
      <c r="H798" s="26" t="inlineStr">
        <is>
          <t>Barangay 4-A (Pob.)</t>
        </is>
      </c>
      <c r="I798" s="27" t="n">
        <v>7.070659</v>
      </c>
      <c r="J798" s="27" t="n">
        <v>125.609934</v>
      </c>
      <c r="K798" s="10" t="inlineStr">
        <is>
          <t>R</t>
        </is>
      </c>
      <c r="L798" s="12" t="n">
        <v>2280</v>
      </c>
      <c r="M798" s="14" t="n">
        <v>3.4</v>
      </c>
      <c r="N798" s="12">
        <f>ROUND(L798/M798, 0)</f>
        <v/>
      </c>
      <c r="O798" s="12">
        <f>ROUND(N798*'Methodology &amp; Assumptions'!$B$5, 0)</f>
        <v/>
      </c>
      <c r="P798" s="10" t="inlineStr">
        <is>
          <t>Single Carrier (Band n50, 100MHz TDD)</t>
        </is>
      </c>
      <c r="Q798" s="13">
        <f>ROUNDUP(O798/'Methodology &amp; Assumptions'!$B$6, 0)</f>
        <v/>
      </c>
      <c r="R798" s="13" t="n">
        <v>1</v>
      </c>
      <c r="S798" s="14" t="n">
        <v>0.41</v>
      </c>
      <c r="T798" s="14" t="n">
        <v>0.3</v>
      </c>
      <c r="U798" s="26">
        <f>IF(X798&gt;='Methodology &amp; Assumptions'!$B$7, "Tier 1 Critical GIDA (Score ≥ 50.0)", IF(X798&gt;='Methodology &amp; Assumptions'!$B$8, "Tier 2 High GIDA (Score 40.0–49.9)", "Tier 3 Moderate GIDA (Score &lt; 40.0)"))</f>
        <v/>
      </c>
      <c r="V798" s="26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W798" s="28" t="n">
        <v>0.119</v>
      </c>
      <c r="X798" s="14" t="n">
        <v>48.34</v>
      </c>
      <c r="Y798" s="14">
        <f>ROUND(MIN(100, (X798/69.91)*100), 2)</f>
        <v/>
      </c>
    </row>
    <row r="799">
      <c r="A799" s="10" t="n">
        <v>3</v>
      </c>
      <c r="B799" s="10" t="n">
        <v>795</v>
      </c>
      <c r="C799" s="10" t="n">
        <v>2795</v>
      </c>
      <c r="D799" s="10" t="inlineStr">
        <is>
          <t>1900703036</t>
        </is>
      </c>
      <c r="E799" s="26" t="inlineStr">
        <is>
          <t>Bangsamoro Autonomous Region In Muslim Mindanao (BARMM)</t>
        </is>
      </c>
      <c r="F799" s="26" t="inlineStr">
        <is>
          <t>Basilan</t>
        </is>
      </c>
      <c r="G799" s="26" t="inlineStr">
        <is>
          <t>Lantawan</t>
        </is>
      </c>
      <c r="H799" s="26" t="inlineStr">
        <is>
          <t>Luuk-Maluha</t>
        </is>
      </c>
      <c r="I799" s="27" t="n">
        <v>7.582257</v>
      </c>
      <c r="J799" s="27" t="n">
        <v>121.82599</v>
      </c>
      <c r="K799" s="10" t="inlineStr">
        <is>
          <t>R</t>
        </is>
      </c>
      <c r="L799" s="12" t="n">
        <v>1462</v>
      </c>
      <c r="M799" s="14" t="n">
        <v>5.1</v>
      </c>
      <c r="N799" s="12">
        <f>ROUND(L799/M799, 0)</f>
        <v/>
      </c>
      <c r="O799" s="12">
        <f>ROUND(N799*'Methodology &amp; Assumptions'!$B$5, 0)</f>
        <v/>
      </c>
      <c r="P799" s="10" t="inlineStr">
        <is>
          <t>Single Carrier (Band n50, 100MHz TDD)</t>
        </is>
      </c>
      <c r="Q799" s="13">
        <f>ROUNDUP(O799/'Methodology &amp; Assumptions'!$B$6, 0)</f>
        <v/>
      </c>
      <c r="R799" s="13" t="n">
        <v>1</v>
      </c>
      <c r="S799" s="14" t="n">
        <v>61.15</v>
      </c>
      <c r="T799" s="14" t="n">
        <v>56.07</v>
      </c>
      <c r="U799" s="26">
        <f>IF(X799&gt;='Methodology &amp; Assumptions'!$B$7, "Tier 1 Critical GIDA (Score ≥ 50.0)", IF(X799&gt;='Methodology &amp; Assumptions'!$B$8, "Tier 2 High GIDA (Score 40.0–49.9)", "Tier 3 Moderate GIDA (Score &lt; 40.0)"))</f>
        <v/>
      </c>
      <c r="V799" s="26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W799" s="28" t="n">
        <v>0.11</v>
      </c>
      <c r="X799" s="14" t="n">
        <v>48.34</v>
      </c>
      <c r="Y799" s="14">
        <f>ROUND(MIN(100, (X799/69.91)*100), 2)</f>
        <v/>
      </c>
    </row>
    <row r="800">
      <c r="A800" s="10" t="n">
        <v>3</v>
      </c>
      <c r="B800" s="10" t="n">
        <v>796</v>
      </c>
      <c r="C800" s="10" t="n">
        <v>2796</v>
      </c>
      <c r="D800" s="10" t="inlineStr">
        <is>
          <t>1381300063</t>
        </is>
      </c>
      <c r="E800" s="26" t="inlineStr">
        <is>
          <t>National Capital Region (NCR)</t>
        </is>
      </c>
      <c r="F800" s="26" t="inlineStr">
        <is>
          <t>Second District (Not a Province)</t>
        </is>
      </c>
      <c r="G800" s="26" t="inlineStr">
        <is>
          <t>Quezon City</t>
        </is>
      </c>
      <c r="H800" s="26" t="inlineStr">
        <is>
          <t>Masagana</t>
        </is>
      </c>
      <c r="I800" s="27" t="n">
        <v>14.670865</v>
      </c>
      <c r="J800" s="27" t="n">
        <v>121.029662</v>
      </c>
      <c r="K800" s="10" t="inlineStr">
        <is>
          <t>U</t>
        </is>
      </c>
      <c r="L800" s="12" t="n">
        <v>4341</v>
      </c>
      <c r="M800" s="14" t="n">
        <v>3.8</v>
      </c>
      <c r="N800" s="12">
        <f>ROUND(L800/M800, 0)</f>
        <v/>
      </c>
      <c r="O800" s="12">
        <f>ROUND(N800*'Methodology &amp; Assumptions'!$B$5, 0)</f>
        <v/>
      </c>
      <c r="P800" s="10" t="inlineStr">
        <is>
          <t>Single Carrier (Band n50, 100MHz TDD)</t>
        </is>
      </c>
      <c r="Q800" s="13">
        <f>ROUNDUP(O800/'Methodology &amp; Assumptions'!$B$6, 0)</f>
        <v/>
      </c>
      <c r="R800" s="13" t="n">
        <v>1</v>
      </c>
      <c r="S800" s="14" t="n">
        <v>1.09</v>
      </c>
      <c r="T800" s="14" t="n">
        <v>0.31</v>
      </c>
      <c r="U800" s="26">
        <f>IF(X800&gt;='Methodology &amp; Assumptions'!$B$7, "Tier 1 Critical GIDA (Score ≥ 50.0)", IF(X800&gt;='Methodology &amp; Assumptions'!$B$8, "Tier 2 High GIDA (Score 40.0–49.9)", "Tier 3 Moderate GIDA (Score &lt; 40.0)"))</f>
        <v/>
      </c>
      <c r="V800" s="26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W800" s="28" t="n">
        <v>0.109</v>
      </c>
      <c r="X800" s="14" t="n">
        <v>48.34</v>
      </c>
      <c r="Y800" s="14">
        <f>ROUND(MIN(100, (X800/69.91)*100), 2)</f>
        <v/>
      </c>
    </row>
    <row r="801">
      <c r="A801" s="10" t="n">
        <v>3</v>
      </c>
      <c r="B801" s="10" t="n">
        <v>797</v>
      </c>
      <c r="C801" s="10" t="n">
        <v>2797</v>
      </c>
      <c r="D801" s="10" t="inlineStr">
        <is>
          <t>0806007091</t>
        </is>
      </c>
      <c r="E801" s="26" t="inlineStr">
        <is>
          <t>Region VIII (Eastern Visayas)</t>
        </is>
      </c>
      <c r="F801" s="26" t="inlineStr">
        <is>
          <t>Samar</t>
        </is>
      </c>
      <c r="G801" s="26" t="inlineStr">
        <is>
          <t>Gandara</t>
        </is>
      </c>
      <c r="H801" s="26" t="inlineStr">
        <is>
          <t>Tigbawon</t>
        </is>
      </c>
      <c r="I801" s="27" t="n">
        <v>12.056478</v>
      </c>
      <c r="J801" s="27" t="n">
        <v>124.800416</v>
      </c>
      <c r="K801" s="10" t="inlineStr">
        <is>
          <t>R</t>
        </is>
      </c>
      <c r="L801" s="12" t="n">
        <v>250</v>
      </c>
      <c r="M801" s="14" t="n">
        <v>4.1</v>
      </c>
      <c r="N801" s="12">
        <f>ROUND(L801/M801, 0)</f>
        <v/>
      </c>
      <c r="O801" s="12">
        <f>ROUND(N801*'Methodology &amp; Assumptions'!$B$5, 0)</f>
        <v/>
      </c>
      <c r="P801" s="10" t="inlineStr">
        <is>
          <t>Single Carrier (Band n50, 100MHz TDD)</t>
        </is>
      </c>
      <c r="Q801" s="13">
        <f>ROUNDUP(O801/'Methodology &amp; Assumptions'!$B$6, 0)</f>
        <v/>
      </c>
      <c r="R801" s="13" t="n">
        <v>1</v>
      </c>
      <c r="S801" s="14" t="n">
        <v>85.01000000000001</v>
      </c>
      <c r="T801" s="14" t="n">
        <v>84.98</v>
      </c>
      <c r="U801" s="26">
        <f>IF(X801&gt;='Methodology &amp; Assumptions'!$B$7, "Tier 1 Critical GIDA (Score ≥ 50.0)", IF(X801&gt;='Methodology &amp; Assumptions'!$B$8, "Tier 2 High GIDA (Score 40.0–49.9)", "Tier 3 Moderate GIDA (Score &lt; 40.0)"))</f>
        <v/>
      </c>
      <c r="V801" s="26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W801" s="28" t="n">
        <v>0.237</v>
      </c>
      <c r="X801" s="14" t="n">
        <v>48.34</v>
      </c>
      <c r="Y801" s="14">
        <f>ROUND(MIN(100, (X801/69.91)*100), 2)</f>
        <v/>
      </c>
    </row>
    <row r="802">
      <c r="A802" s="10" t="n">
        <v>3</v>
      </c>
      <c r="B802" s="10" t="n">
        <v>798</v>
      </c>
      <c r="C802" s="10" t="n">
        <v>2798</v>
      </c>
      <c r="D802" s="10" t="inlineStr">
        <is>
          <t>1900703029</t>
        </is>
      </c>
      <c r="E802" s="26" t="inlineStr">
        <is>
          <t>Bangsamoro Autonomous Region In Muslim Mindanao (BARMM)</t>
        </is>
      </c>
      <c r="F802" s="26" t="inlineStr">
        <is>
          <t>Basilan</t>
        </is>
      </c>
      <c r="G802" s="26" t="inlineStr">
        <is>
          <t>Lantawan</t>
        </is>
      </c>
      <c r="H802" s="26" t="inlineStr">
        <is>
          <t>Landugan</t>
        </is>
      </c>
      <c r="I802" s="27" t="n">
        <v>6.590548</v>
      </c>
      <c r="J802" s="27" t="n">
        <v>121.831772</v>
      </c>
      <c r="K802" s="10" t="inlineStr">
        <is>
          <t>R</t>
        </is>
      </c>
      <c r="L802" s="12" t="n">
        <v>811</v>
      </c>
      <c r="M802" s="14" t="n">
        <v>5.1</v>
      </c>
      <c r="N802" s="12">
        <f>ROUND(L802/M802, 0)</f>
        <v/>
      </c>
      <c r="O802" s="12">
        <f>ROUND(N802*'Methodology &amp; Assumptions'!$B$5, 0)</f>
        <v/>
      </c>
      <c r="P802" s="10" t="inlineStr">
        <is>
          <t>Single Carrier (Band n50, 100MHz TDD)</t>
        </is>
      </c>
      <c r="Q802" s="13">
        <f>ROUNDUP(O802/'Methodology &amp; Assumptions'!$B$6, 0)</f>
        <v/>
      </c>
      <c r="R802" s="13" t="n">
        <v>1</v>
      </c>
      <c r="S802" s="14" t="n">
        <v>44.48</v>
      </c>
      <c r="T802" s="14" t="n">
        <v>44.48</v>
      </c>
      <c r="U802" s="26">
        <f>IF(X802&gt;='Methodology &amp; Assumptions'!$B$7, "Tier 1 Critical GIDA (Score ≥ 50.0)", IF(X802&gt;='Methodology &amp; Assumptions'!$B$8, "Tier 2 High GIDA (Score 40.0–49.9)", "Tier 3 Moderate GIDA (Score &lt; 40.0)"))</f>
        <v/>
      </c>
      <c r="V802" s="26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W802" s="28" t="n">
        <v>0.11</v>
      </c>
      <c r="X802" s="14" t="n">
        <v>48.34</v>
      </c>
      <c r="Y802" s="14">
        <f>ROUND(MIN(100, (X802/69.91)*100), 2)</f>
        <v/>
      </c>
    </row>
    <row r="803">
      <c r="A803" s="10" t="n">
        <v>3</v>
      </c>
      <c r="B803" s="10" t="n">
        <v>799</v>
      </c>
      <c r="C803" s="10" t="n">
        <v>2799</v>
      </c>
      <c r="D803" s="10" t="inlineStr">
        <is>
          <t>1381100068</t>
        </is>
      </c>
      <c r="E803" s="26" t="inlineStr">
        <is>
          <t>National Capital Region (NCR)</t>
        </is>
      </c>
      <c r="F803" s="26" t="inlineStr">
        <is>
          <t>Fourth District (Not a Province)</t>
        </is>
      </c>
      <c r="G803" s="26" t="inlineStr">
        <is>
          <t>Pasay City</t>
        </is>
      </c>
      <c r="H803" s="26" t="inlineStr">
        <is>
          <t>Barangay 68</t>
        </is>
      </c>
      <c r="I803" s="27" t="n">
        <v>14.604907</v>
      </c>
      <c r="J803" s="27" t="n">
        <v>121.213376</v>
      </c>
      <c r="K803" s="10" t="inlineStr">
        <is>
          <t>U</t>
        </is>
      </c>
      <c r="L803" s="12" t="n">
        <v>876</v>
      </c>
      <c r="M803" s="14" t="n">
        <v>3.4</v>
      </c>
      <c r="N803" s="12">
        <f>ROUND(L803/M803, 0)</f>
        <v/>
      </c>
      <c r="O803" s="12">
        <f>ROUND(N803*'Methodology &amp; Assumptions'!$B$5, 0)</f>
        <v/>
      </c>
      <c r="P803" s="10" t="inlineStr">
        <is>
          <t>Single Carrier (Band n50, 100MHz TDD)</t>
        </is>
      </c>
      <c r="Q803" s="13">
        <f>ROUNDUP(O803/'Methodology &amp; Assumptions'!$B$6, 0)</f>
        <v/>
      </c>
      <c r="R803" s="13" t="n">
        <v>1</v>
      </c>
      <c r="S803" s="14" t="n">
        <v>3.25</v>
      </c>
      <c r="T803" s="14" t="n">
        <v>2.89</v>
      </c>
      <c r="U803" s="26">
        <f>IF(X803&gt;='Methodology &amp; Assumptions'!$B$7, "Tier 1 Critical GIDA (Score ≥ 50.0)", IF(X803&gt;='Methodology &amp; Assumptions'!$B$8, "Tier 2 High GIDA (Score 40.0–49.9)", "Tier 3 Moderate GIDA (Score &lt; 40.0)"))</f>
        <v/>
      </c>
      <c r="V803" s="26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W803" s="28" t="n">
        <v>0.109</v>
      </c>
      <c r="X803" s="14" t="n">
        <v>48.34</v>
      </c>
      <c r="Y803" s="14">
        <f>ROUND(MIN(100, (X803/69.91)*100), 2)</f>
        <v/>
      </c>
    </row>
    <row r="804">
      <c r="A804" s="10" t="n">
        <v>3</v>
      </c>
      <c r="B804" s="10" t="n">
        <v>800</v>
      </c>
      <c r="C804" s="10" t="n">
        <v>2800</v>
      </c>
      <c r="D804" s="10" t="inlineStr">
        <is>
          <t>0907220010</t>
        </is>
      </c>
      <c r="E804" s="26" t="inlineStr">
        <is>
          <t>Region IX (Zamboanga Peninsula)</t>
        </is>
      </c>
      <c r="F804" s="26" t="inlineStr">
        <is>
          <t>Zamboanga del Norte</t>
        </is>
      </c>
      <c r="G804" s="26" t="inlineStr">
        <is>
          <t>Sirawai</t>
        </is>
      </c>
      <c r="H804" s="26" t="inlineStr">
        <is>
          <t>Danganon</t>
        </is>
      </c>
      <c r="I804" s="27" t="n">
        <v>7.587047</v>
      </c>
      <c r="J804" s="27" t="n">
        <v>122.139075</v>
      </c>
      <c r="K804" s="10" t="inlineStr">
        <is>
          <t>R</t>
        </is>
      </c>
      <c r="L804" s="12" t="n">
        <v>638</v>
      </c>
      <c r="M804" s="14" t="n">
        <v>3.6</v>
      </c>
      <c r="N804" s="12">
        <f>ROUND(L804/M804, 0)</f>
        <v/>
      </c>
      <c r="O804" s="12">
        <f>ROUND(N804*'Methodology &amp; Assumptions'!$B$5, 0)</f>
        <v/>
      </c>
      <c r="P804" s="10" t="inlineStr">
        <is>
          <t>Single Carrier (Band n50, 100MHz TDD)</t>
        </is>
      </c>
      <c r="Q804" s="13">
        <f>ROUNDUP(O804/'Methodology &amp; Assumptions'!$B$6, 0)</f>
        <v/>
      </c>
      <c r="R804" s="13" t="n">
        <v>1</v>
      </c>
      <c r="S804" s="14" t="n">
        <v>31.89</v>
      </c>
      <c r="T804" s="14" t="n">
        <v>24.6</v>
      </c>
      <c r="U804" s="26">
        <f>IF(X804&gt;='Methodology &amp; Assumptions'!$B$7, "Tier 1 Critical GIDA (Score ≥ 50.0)", IF(X804&gt;='Methodology &amp; Assumptions'!$B$8, "Tier 2 High GIDA (Score 40.0–49.9)", "Tier 3 Moderate GIDA (Score &lt; 40.0)"))</f>
        <v/>
      </c>
      <c r="V804" s="26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W804" s="28" t="n">
        <v>0.11</v>
      </c>
      <c r="X804" s="14" t="n">
        <v>48.34</v>
      </c>
      <c r="Y804" s="14">
        <f>ROUND(MIN(100, (X804/69.91)*100), 2)</f>
        <v/>
      </c>
    </row>
    <row r="805">
      <c r="A805" s="10" t="n">
        <v>3</v>
      </c>
      <c r="B805" s="10" t="n">
        <v>801</v>
      </c>
      <c r="C805" s="10" t="n">
        <v>2801</v>
      </c>
      <c r="D805" s="10" t="inlineStr">
        <is>
          <t>PH0002801</t>
        </is>
      </c>
      <c r="E805" s="26" t="inlineStr">
        <is>
          <t>VII</t>
        </is>
      </c>
      <c r="F805" s="26" t="inlineStr">
        <is>
          <t>Cebu</t>
        </is>
      </c>
      <c r="G805" s="26" t="inlineStr">
        <is>
          <t>Talisay City</t>
        </is>
      </c>
      <c r="H805" s="26" t="inlineStr">
        <is>
          <t>Tangke</t>
        </is>
      </c>
      <c r="I805" s="27" t="n">
        <v>10.383545</v>
      </c>
      <c r="J805" s="27" t="n">
        <v>123.779282</v>
      </c>
      <c r="K805" s="10" t="inlineStr">
        <is>
          <t>R</t>
        </is>
      </c>
      <c r="L805" s="12" t="n">
        <v>2250</v>
      </c>
      <c r="M805" s="14" t="n">
        <v>3.8</v>
      </c>
      <c r="N805" s="12">
        <f>ROUND(L805/M805, 0)</f>
        <v/>
      </c>
      <c r="O805" s="12">
        <f>ROUND(N805*'Methodology &amp; Assumptions'!$B$5, 0)</f>
        <v/>
      </c>
      <c r="P805" s="10" t="inlineStr">
        <is>
          <t>Single Carrier (Band n50, 100MHz TDD)</t>
        </is>
      </c>
      <c r="Q805" s="13">
        <f>ROUNDUP(O805/'Methodology &amp; Assumptions'!$B$6, 0)</f>
        <v/>
      </c>
      <c r="R805" s="13" t="n">
        <v>1</v>
      </c>
      <c r="S805" s="14" t="n">
        <v>8.300000000000001</v>
      </c>
      <c r="T805" s="14" t="n">
        <v>11.1</v>
      </c>
      <c r="U805" s="26">
        <f>IF(X805&gt;='Methodology &amp; Assumptions'!$B$7, "Tier 1 Critical GIDA (Score ≥ 50.0)", IF(X805&gt;='Methodology &amp; Assumptions'!$B$8, "Tier 2 High GIDA (Score 40.0–49.9)", "Tier 3 Moderate GIDA (Score &lt; 40.0)"))</f>
        <v/>
      </c>
      <c r="V805" s="26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W805" s="28" t="n">
        <v>0.21</v>
      </c>
      <c r="X805" s="14" t="n">
        <v>48.34</v>
      </c>
      <c r="Y805" s="14">
        <f>ROUND(MIN(100, (X805/69.91)*100), 2)</f>
        <v/>
      </c>
    </row>
    <row r="806">
      <c r="A806" s="10" t="n">
        <v>3</v>
      </c>
      <c r="B806" s="10" t="n">
        <v>802</v>
      </c>
      <c r="C806" s="10" t="n">
        <v>2802</v>
      </c>
      <c r="D806" s="10" t="inlineStr">
        <is>
          <t>1380612003</t>
        </is>
      </c>
      <c r="E806" s="26" t="inlineStr">
        <is>
          <t>National Capital Region (NCR)</t>
        </is>
      </c>
      <c r="F806" s="26" t="inlineStr">
        <is>
          <t>First District (Not a Province)</t>
        </is>
      </c>
      <c r="G806" s="26" t="inlineStr">
        <is>
          <t>City of Manila</t>
        </is>
      </c>
      <c r="H806" s="26" t="inlineStr">
        <is>
          <t>Barangay 835</t>
        </is>
      </c>
      <c r="I806" s="27" t="n">
        <v>13.80638</v>
      </c>
      <c r="J806" s="27" t="n">
        <v>122.119989</v>
      </c>
      <c r="K806" s="10" t="inlineStr">
        <is>
          <t>U</t>
        </is>
      </c>
      <c r="L806" s="12" t="n">
        <v>2788</v>
      </c>
      <c r="M806" s="14" t="n">
        <v>3.9</v>
      </c>
      <c r="N806" s="12">
        <f>ROUND(L806/M806, 0)</f>
        <v/>
      </c>
      <c r="O806" s="12">
        <f>ROUND(N806*'Methodology &amp; Assumptions'!$B$5, 0)</f>
        <v/>
      </c>
      <c r="P806" s="10" t="inlineStr">
        <is>
          <t>Single Carrier (Band n50, 100MHz TDD)</t>
        </is>
      </c>
      <c r="Q806" s="13">
        <f>ROUNDUP(O806/'Methodology &amp; Assumptions'!$B$6, 0)</f>
        <v/>
      </c>
      <c r="R806" s="13" t="n">
        <v>1</v>
      </c>
      <c r="S806" s="14" t="n">
        <v>2.46</v>
      </c>
      <c r="T806" s="14" t="n">
        <v>0.59</v>
      </c>
      <c r="U806" s="26">
        <f>IF(X806&gt;='Methodology &amp; Assumptions'!$B$7, "Tier 1 Critical GIDA (Score ≥ 50.0)", IF(X806&gt;='Methodology &amp; Assumptions'!$B$8, "Tier 2 High GIDA (Score 40.0–49.9)", "Tier 3 Moderate GIDA (Score &lt; 40.0)"))</f>
        <v/>
      </c>
      <c r="V806" s="26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W806" s="28" t="n">
        <v>0.109</v>
      </c>
      <c r="X806" s="14" t="n">
        <v>48.34</v>
      </c>
      <c r="Y806" s="14">
        <f>ROUND(MIN(100, (X806/69.91)*100), 2)</f>
        <v/>
      </c>
    </row>
    <row r="807">
      <c r="A807" s="10" t="n">
        <v>3</v>
      </c>
      <c r="B807" s="10" t="n">
        <v>803</v>
      </c>
      <c r="C807" s="10" t="n">
        <v>2803</v>
      </c>
      <c r="D807" s="10" t="inlineStr">
        <is>
          <t>1381100077</t>
        </is>
      </c>
      <c r="E807" s="26" t="inlineStr">
        <is>
          <t>National Capital Region (NCR)</t>
        </is>
      </c>
      <c r="F807" s="26" t="inlineStr">
        <is>
          <t>Fourth District (Not a Province)</t>
        </is>
      </c>
      <c r="G807" s="26" t="inlineStr">
        <is>
          <t>Pasay City</t>
        </is>
      </c>
      <c r="H807" s="26" t="inlineStr">
        <is>
          <t>Barangay 77</t>
        </is>
      </c>
      <c r="I807" s="27" t="n">
        <v>14.355462</v>
      </c>
      <c r="J807" s="27" t="n">
        <v>120.893097</v>
      </c>
      <c r="K807" s="10" t="inlineStr">
        <is>
          <t>U</t>
        </is>
      </c>
      <c r="L807" s="12" t="n">
        <v>1138</v>
      </c>
      <c r="M807" s="14" t="n">
        <v>3.4</v>
      </c>
      <c r="N807" s="12">
        <f>ROUND(L807/M807, 0)</f>
        <v/>
      </c>
      <c r="O807" s="12">
        <f>ROUND(N807*'Methodology &amp; Assumptions'!$B$5, 0)</f>
        <v/>
      </c>
      <c r="P807" s="10" t="inlineStr">
        <is>
          <t>Single Carrier (Band n50, 100MHz TDD)</t>
        </is>
      </c>
      <c r="Q807" s="13">
        <f>ROUNDUP(O807/'Methodology &amp; Assumptions'!$B$6, 0)</f>
        <v/>
      </c>
      <c r="R807" s="13" t="n">
        <v>1</v>
      </c>
      <c r="S807" s="14" t="n">
        <v>3.14</v>
      </c>
      <c r="T807" s="14" t="n">
        <v>5.04</v>
      </c>
      <c r="U807" s="26">
        <f>IF(X807&gt;='Methodology &amp; Assumptions'!$B$7, "Tier 1 Critical GIDA (Score ≥ 50.0)", IF(X807&gt;='Methodology &amp; Assumptions'!$B$8, "Tier 2 High GIDA (Score 40.0–49.9)", "Tier 3 Moderate GIDA (Score &lt; 40.0)"))</f>
        <v/>
      </c>
      <c r="V807" s="26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W807" s="28" t="n">
        <v>0.109</v>
      </c>
      <c r="X807" s="14" t="n">
        <v>48.34</v>
      </c>
      <c r="Y807" s="14">
        <f>ROUND(MIN(100, (X807/69.91)*100), 2)</f>
        <v/>
      </c>
    </row>
    <row r="808">
      <c r="A808" s="10" t="n">
        <v>3</v>
      </c>
      <c r="B808" s="10" t="n">
        <v>804</v>
      </c>
      <c r="C808" s="10" t="n">
        <v>2804</v>
      </c>
      <c r="D808" s="10" t="inlineStr">
        <is>
          <t>1380601193</t>
        </is>
      </c>
      <c r="E808" s="26" t="inlineStr">
        <is>
          <t>National Capital Region (NCR)</t>
        </is>
      </c>
      <c r="F808" s="26" t="inlineStr">
        <is>
          <t>First District (Not a Province)</t>
        </is>
      </c>
      <c r="G808" s="26" t="inlineStr">
        <is>
          <t>City of Manila</t>
        </is>
      </c>
      <c r="H808" s="26" t="inlineStr">
        <is>
          <t>Barangay 193</t>
        </is>
      </c>
      <c r="I808" s="27" t="n">
        <v>11.967367</v>
      </c>
      <c r="J808" s="27" t="n">
        <v>122.161654</v>
      </c>
      <c r="K808" s="10" t="inlineStr">
        <is>
          <t>U</t>
        </is>
      </c>
      <c r="L808" s="12" t="n">
        <v>1009</v>
      </c>
      <c r="M808" s="14" t="n">
        <v>3.9</v>
      </c>
      <c r="N808" s="12">
        <f>ROUND(L808/M808, 0)</f>
        <v/>
      </c>
      <c r="O808" s="12">
        <f>ROUND(N808*'Methodology &amp; Assumptions'!$B$5, 0)</f>
        <v/>
      </c>
      <c r="P808" s="10" t="inlineStr">
        <is>
          <t>Single Carrier (Band n50, 100MHz TDD)</t>
        </is>
      </c>
      <c r="Q808" s="13">
        <f>ROUNDUP(O808/'Methodology &amp; Assumptions'!$B$6, 0)</f>
        <v/>
      </c>
      <c r="R808" s="13" t="n">
        <v>1</v>
      </c>
      <c r="S808" s="14" t="n">
        <v>23.57</v>
      </c>
      <c r="T808" s="14" t="n">
        <v>2.53</v>
      </c>
      <c r="U808" s="26">
        <f>IF(X808&gt;='Methodology &amp; Assumptions'!$B$7, "Tier 1 Critical GIDA (Score ≥ 50.0)", IF(X808&gt;='Methodology &amp; Assumptions'!$B$8, "Tier 2 High GIDA (Score 40.0–49.9)", "Tier 3 Moderate GIDA (Score &lt; 40.0)"))</f>
        <v/>
      </c>
      <c r="V808" s="26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W808" s="28" t="n">
        <v>0.109</v>
      </c>
      <c r="X808" s="14" t="n">
        <v>48.34</v>
      </c>
      <c r="Y808" s="14">
        <f>ROUND(MIN(100, (X808/69.91)*100), 2)</f>
        <v/>
      </c>
    </row>
    <row r="809">
      <c r="A809" s="10" t="n">
        <v>3</v>
      </c>
      <c r="B809" s="10" t="n">
        <v>805</v>
      </c>
      <c r="C809" s="10" t="n">
        <v>2805</v>
      </c>
      <c r="D809" s="10" t="inlineStr">
        <is>
          <t>1380605051</t>
        </is>
      </c>
      <c r="E809" s="26" t="inlineStr">
        <is>
          <t>National Capital Region (NCR)</t>
        </is>
      </c>
      <c r="F809" s="26" t="inlineStr">
        <is>
          <t>First District (Not a Province)</t>
        </is>
      </c>
      <c r="G809" s="26" t="inlineStr">
        <is>
          <t>City of Manila</t>
        </is>
      </c>
      <c r="H809" s="26" t="inlineStr">
        <is>
          <t>Barangay 349</t>
        </is>
      </c>
      <c r="I809" s="27" t="n">
        <v>13.297607</v>
      </c>
      <c r="J809" s="27" t="n">
        <v>120.854666</v>
      </c>
      <c r="K809" s="10" t="inlineStr">
        <is>
          <t>U</t>
        </is>
      </c>
      <c r="L809" s="12" t="n">
        <v>812</v>
      </c>
      <c r="M809" s="14" t="n">
        <v>3.9</v>
      </c>
      <c r="N809" s="12">
        <f>ROUND(L809/M809, 0)</f>
        <v/>
      </c>
      <c r="O809" s="12">
        <f>ROUND(N809*'Methodology &amp; Assumptions'!$B$5, 0)</f>
        <v/>
      </c>
      <c r="P809" s="10" t="inlineStr">
        <is>
          <t>Single Carrier (Band n50, 100MHz TDD)</t>
        </is>
      </c>
      <c r="Q809" s="13">
        <f>ROUNDUP(O809/'Methodology &amp; Assumptions'!$B$6, 0)</f>
        <v/>
      </c>
      <c r="R809" s="13" t="n">
        <v>1</v>
      </c>
      <c r="S809" s="14" t="n">
        <v>23.47</v>
      </c>
      <c r="T809" s="14" t="n">
        <v>22.24</v>
      </c>
      <c r="U809" s="26">
        <f>IF(X809&gt;='Methodology &amp; Assumptions'!$B$7, "Tier 1 Critical GIDA (Score ≥ 50.0)", IF(X809&gt;='Methodology &amp; Assumptions'!$B$8, "Tier 2 High GIDA (Score 40.0–49.9)", "Tier 3 Moderate GIDA (Score &lt; 40.0)"))</f>
        <v/>
      </c>
      <c r="V809" s="26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W809" s="28" t="n">
        <v>0.109</v>
      </c>
      <c r="X809" s="14" t="n">
        <v>48.33</v>
      </c>
      <c r="Y809" s="14">
        <f>ROUND(MIN(100, (X809/69.91)*100), 2)</f>
        <v/>
      </c>
    </row>
    <row r="810">
      <c r="A810" s="10" t="n">
        <v>3</v>
      </c>
      <c r="B810" s="10" t="n">
        <v>806</v>
      </c>
      <c r="C810" s="10" t="n">
        <v>2806</v>
      </c>
      <c r="D810" s="10" t="inlineStr">
        <is>
          <t>PH0002806</t>
        </is>
      </c>
      <c r="E810" s="26" t="inlineStr">
        <is>
          <t>NCR</t>
        </is>
      </c>
      <c r="F810" s="26" t="inlineStr">
        <is>
          <t>Metro Manila</t>
        </is>
      </c>
      <c r="G810" s="26" t="inlineStr">
        <is>
          <t>Caloocan City</t>
        </is>
      </c>
      <c r="H810" s="26" t="inlineStr">
        <is>
          <t>Barangay 32</t>
        </is>
      </c>
      <c r="I810" s="27" t="n">
        <v>14.218481</v>
      </c>
      <c r="J810" s="27" t="n">
        <v>122.342854</v>
      </c>
      <c r="K810" s="10" t="inlineStr">
        <is>
          <t>R</t>
        </is>
      </c>
      <c r="L810" s="12" t="n">
        <v>2279</v>
      </c>
      <c r="M810" s="14" t="n">
        <v>3.8</v>
      </c>
      <c r="N810" s="12">
        <f>ROUND(L810/M810, 0)</f>
        <v/>
      </c>
      <c r="O810" s="12">
        <f>ROUND(N810*'Methodology &amp; Assumptions'!$B$5, 0)</f>
        <v/>
      </c>
      <c r="P810" s="10" t="inlineStr">
        <is>
          <t>Single Carrier (Band n50, 100MHz TDD)</t>
        </is>
      </c>
      <c r="Q810" s="13">
        <f>ROUNDUP(O810/'Methodology &amp; Assumptions'!$B$6, 0)</f>
        <v/>
      </c>
      <c r="R810" s="13" t="n">
        <v>1</v>
      </c>
      <c r="S810" s="14" t="n">
        <v>6.84</v>
      </c>
      <c r="T810" s="14" t="n">
        <v>6.31</v>
      </c>
      <c r="U810" s="26">
        <f>IF(X810&gt;='Methodology &amp; Assumptions'!$B$7, "Tier 1 Critical GIDA (Score ≥ 50.0)", IF(X810&gt;='Methodology &amp; Assumptions'!$B$8, "Tier 2 High GIDA (Score 40.0–49.9)", "Tier 3 Moderate GIDA (Score &lt; 40.0)"))</f>
        <v/>
      </c>
      <c r="V810" s="26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W810" s="28" t="n">
        <v>0.011</v>
      </c>
      <c r="X810" s="14" t="n">
        <v>48.33</v>
      </c>
      <c r="Y810" s="14">
        <f>ROUND(MIN(100, (X810/69.91)*100), 2)</f>
        <v/>
      </c>
    </row>
    <row r="811">
      <c r="A811" s="10" t="n">
        <v>3</v>
      </c>
      <c r="B811" s="10" t="n">
        <v>807</v>
      </c>
      <c r="C811" s="10" t="n">
        <v>2807</v>
      </c>
      <c r="D811" s="10" t="inlineStr">
        <is>
          <t>1380606157</t>
        </is>
      </c>
      <c r="E811" s="26" t="inlineStr">
        <is>
          <t>National Capital Region (NCR)</t>
        </is>
      </c>
      <c r="F811" s="26" t="inlineStr">
        <is>
          <t>First District (Not a Province)</t>
        </is>
      </c>
      <c r="G811" s="26" t="inlineStr">
        <is>
          <t>City of Manila</t>
        </is>
      </c>
      <c r="H811" s="26" t="inlineStr">
        <is>
          <t>Barangay 551</t>
        </is>
      </c>
      <c r="I811" s="27" t="n">
        <v>13.177459</v>
      </c>
      <c r="J811" s="27" t="n">
        <v>122.742745</v>
      </c>
      <c r="K811" s="10" t="inlineStr">
        <is>
          <t>U</t>
        </is>
      </c>
      <c r="L811" s="12" t="n">
        <v>988</v>
      </c>
      <c r="M811" s="14" t="n">
        <v>3.9</v>
      </c>
      <c r="N811" s="12">
        <f>ROUND(L811/M811, 0)</f>
        <v/>
      </c>
      <c r="O811" s="12">
        <f>ROUND(N811*'Methodology &amp; Assumptions'!$B$5, 0)</f>
        <v/>
      </c>
      <c r="P811" s="10" t="inlineStr">
        <is>
          <t>Single Carrier (Band n50, 100MHz TDD)</t>
        </is>
      </c>
      <c r="Q811" s="13">
        <f>ROUNDUP(O811/'Methodology &amp; Assumptions'!$B$6, 0)</f>
        <v/>
      </c>
      <c r="R811" s="13" t="n">
        <v>1</v>
      </c>
      <c r="S811" s="14" t="n">
        <v>7.12</v>
      </c>
      <c r="T811" s="14" t="n">
        <v>47.74</v>
      </c>
      <c r="U811" s="26">
        <f>IF(X811&gt;='Methodology &amp; Assumptions'!$B$7, "Tier 1 Critical GIDA (Score ≥ 50.0)", IF(X811&gt;='Methodology &amp; Assumptions'!$B$8, "Tier 2 High GIDA (Score 40.0–49.9)", "Tier 3 Moderate GIDA (Score &lt; 40.0)"))</f>
        <v/>
      </c>
      <c r="V811" s="26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W811" s="28" t="n">
        <v>0.109</v>
      </c>
      <c r="X811" s="14" t="n">
        <v>48.33</v>
      </c>
      <c r="Y811" s="14">
        <f>ROUND(MIN(100, (X811/69.91)*100), 2)</f>
        <v/>
      </c>
    </row>
    <row r="812">
      <c r="A812" s="10" t="n">
        <v>3</v>
      </c>
      <c r="B812" s="10" t="n">
        <v>808</v>
      </c>
      <c r="C812" s="10" t="n">
        <v>2808</v>
      </c>
      <c r="D812" s="10" t="inlineStr">
        <is>
          <t>PH0002808</t>
        </is>
      </c>
      <c r="E812" s="26" t="inlineStr">
        <is>
          <t>NCR</t>
        </is>
      </c>
      <c r="F812" s="26" t="inlineStr">
        <is>
          <t>Metro Manila</t>
        </is>
      </c>
      <c r="G812" s="26" t="inlineStr">
        <is>
          <t>Caloocan City</t>
        </is>
      </c>
      <c r="H812" s="26" t="inlineStr">
        <is>
          <t>Barangay 11</t>
        </is>
      </c>
      <c r="I812" s="27" t="n">
        <v>11.516736</v>
      </c>
      <c r="J812" s="27" t="n">
        <v>122.282882</v>
      </c>
      <c r="K812" s="10" t="inlineStr">
        <is>
          <t>R</t>
        </is>
      </c>
      <c r="L812" s="12" t="n">
        <v>2279</v>
      </c>
      <c r="M812" s="14" t="n">
        <v>3.8</v>
      </c>
      <c r="N812" s="12">
        <f>ROUND(L812/M812, 0)</f>
        <v/>
      </c>
      <c r="O812" s="12">
        <f>ROUND(N812*'Methodology &amp; Assumptions'!$B$5, 0)</f>
        <v/>
      </c>
      <c r="P812" s="10" t="inlineStr">
        <is>
          <t>Single Carrier (Band n50, 100MHz TDD)</t>
        </is>
      </c>
      <c r="Q812" s="13">
        <f>ROUNDUP(O812/'Methodology &amp; Assumptions'!$B$6, 0)</f>
        <v/>
      </c>
      <c r="R812" s="13" t="n">
        <v>1</v>
      </c>
      <c r="S812" s="14" t="n">
        <v>11</v>
      </c>
      <c r="T812" s="14" t="n">
        <v>10.35</v>
      </c>
      <c r="U812" s="26">
        <f>IF(X812&gt;='Methodology &amp; Assumptions'!$B$7, "Tier 1 Critical GIDA (Score ≥ 50.0)", IF(X812&gt;='Methodology &amp; Assumptions'!$B$8, "Tier 2 High GIDA (Score 40.0–49.9)", "Tier 3 Moderate GIDA (Score &lt; 40.0)"))</f>
        <v/>
      </c>
      <c r="V812" s="26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W812" s="28" t="n">
        <v>0.011</v>
      </c>
      <c r="X812" s="14" t="n">
        <v>48.33</v>
      </c>
      <c r="Y812" s="14">
        <f>ROUND(MIN(100, (X812/69.91)*100), 2)</f>
        <v/>
      </c>
    </row>
    <row r="813">
      <c r="A813" s="10" t="n">
        <v>3</v>
      </c>
      <c r="B813" s="10" t="n">
        <v>809</v>
      </c>
      <c r="C813" s="10" t="n">
        <v>2809</v>
      </c>
      <c r="D813" s="10" t="inlineStr">
        <is>
          <t>1381100154</t>
        </is>
      </c>
      <c r="E813" s="26" t="inlineStr">
        <is>
          <t>National Capital Region (NCR)</t>
        </is>
      </c>
      <c r="F813" s="26" t="inlineStr">
        <is>
          <t>Fourth District (Not a Province)</t>
        </is>
      </c>
      <c r="G813" s="26" t="inlineStr">
        <is>
          <t>Pasay City</t>
        </is>
      </c>
      <c r="H813" s="26" t="inlineStr">
        <is>
          <t>Barangay 154</t>
        </is>
      </c>
      <c r="I813" s="27" t="n">
        <v>14.751306</v>
      </c>
      <c r="J813" s="27" t="n">
        <v>120.955528</v>
      </c>
      <c r="K813" s="10" t="inlineStr">
        <is>
          <t>U</t>
        </is>
      </c>
      <c r="L813" s="12" t="n">
        <v>764</v>
      </c>
      <c r="M813" s="14" t="n">
        <v>3.4</v>
      </c>
      <c r="N813" s="12">
        <f>ROUND(L813/M813, 0)</f>
        <v/>
      </c>
      <c r="O813" s="12">
        <f>ROUND(N813*'Methodology &amp; Assumptions'!$B$5, 0)</f>
        <v/>
      </c>
      <c r="P813" s="10" t="inlineStr">
        <is>
          <t>Single Carrier (Band n50, 100MHz TDD)</t>
        </is>
      </c>
      <c r="Q813" s="13">
        <f>ROUNDUP(O813/'Methodology &amp; Assumptions'!$B$6, 0)</f>
        <v/>
      </c>
      <c r="R813" s="13" t="n">
        <v>1</v>
      </c>
      <c r="S813" s="14" t="n">
        <v>0.21</v>
      </c>
      <c r="T813" s="14" t="n">
        <v>0.17</v>
      </c>
      <c r="U813" s="26">
        <f>IF(X813&gt;='Methodology &amp; Assumptions'!$B$7, "Tier 1 Critical GIDA (Score ≥ 50.0)", IF(X813&gt;='Methodology &amp; Assumptions'!$B$8, "Tier 2 High GIDA (Score 40.0–49.9)", "Tier 3 Moderate GIDA (Score &lt; 40.0)"))</f>
        <v/>
      </c>
      <c r="V813" s="26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W813" s="28" t="n">
        <v>0.109</v>
      </c>
      <c r="X813" s="14" t="n">
        <v>48.33</v>
      </c>
      <c r="Y813" s="14">
        <f>ROUND(MIN(100, (X813/69.91)*100), 2)</f>
        <v/>
      </c>
    </row>
    <row r="814">
      <c r="A814" s="10" t="n">
        <v>3</v>
      </c>
      <c r="B814" s="10" t="n">
        <v>810</v>
      </c>
      <c r="C814" s="10" t="n">
        <v>2810</v>
      </c>
      <c r="D814" s="10" t="inlineStr">
        <is>
          <t>1381100114</t>
        </is>
      </c>
      <c r="E814" s="26" t="inlineStr">
        <is>
          <t>National Capital Region (NCR)</t>
        </is>
      </c>
      <c r="F814" s="26" t="inlineStr">
        <is>
          <t>Fourth District (Not a Province)</t>
        </is>
      </c>
      <c r="G814" s="26" t="inlineStr">
        <is>
          <t>Pasay City</t>
        </is>
      </c>
      <c r="H814" s="26" t="inlineStr">
        <is>
          <t>Barangay 114</t>
        </is>
      </c>
      <c r="I814" s="27" t="n">
        <v>14.416541</v>
      </c>
      <c r="J814" s="27" t="n">
        <v>121.18722</v>
      </c>
      <c r="K814" s="10" t="inlineStr">
        <is>
          <t>U</t>
        </is>
      </c>
      <c r="L814" s="12" t="n">
        <v>1080</v>
      </c>
      <c r="M814" s="14" t="n">
        <v>3.4</v>
      </c>
      <c r="N814" s="12">
        <f>ROUND(L814/M814, 0)</f>
        <v/>
      </c>
      <c r="O814" s="12">
        <f>ROUND(N814*'Methodology &amp; Assumptions'!$B$5, 0)</f>
        <v/>
      </c>
      <c r="P814" s="10" t="inlineStr">
        <is>
          <t>Single Carrier (Band n50, 100MHz TDD)</t>
        </is>
      </c>
      <c r="Q814" s="13">
        <f>ROUNDUP(O814/'Methodology &amp; Assumptions'!$B$6, 0)</f>
        <v/>
      </c>
      <c r="R814" s="13" t="n">
        <v>1</v>
      </c>
      <c r="S814" s="14" t="n">
        <v>3.77</v>
      </c>
      <c r="T814" s="14" t="n">
        <v>5.65</v>
      </c>
      <c r="U814" s="26">
        <f>IF(X814&gt;='Methodology &amp; Assumptions'!$B$7, "Tier 1 Critical GIDA (Score ≥ 50.0)", IF(X814&gt;='Methodology &amp; Assumptions'!$B$8, "Tier 2 High GIDA (Score 40.0–49.9)", "Tier 3 Moderate GIDA (Score &lt; 40.0)"))</f>
        <v/>
      </c>
      <c r="V814" s="26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W814" s="28" t="n">
        <v>0.109</v>
      </c>
      <c r="X814" s="14" t="n">
        <v>48.32</v>
      </c>
      <c r="Y814" s="14">
        <f>ROUND(MIN(100, (X814/69.91)*100), 2)</f>
        <v/>
      </c>
    </row>
    <row r="815">
      <c r="A815" s="10" t="n">
        <v>3</v>
      </c>
      <c r="B815" s="10" t="n">
        <v>811</v>
      </c>
      <c r="C815" s="10" t="n">
        <v>2811</v>
      </c>
      <c r="D815" s="10" t="inlineStr">
        <is>
          <t>PH0002811</t>
        </is>
      </c>
      <c r="E815" s="26" t="inlineStr">
        <is>
          <t>IV-A</t>
        </is>
      </c>
      <c r="F815" s="26" t="inlineStr">
        <is>
          <t>Cavite</t>
        </is>
      </c>
      <c r="G815" s="26" t="inlineStr">
        <is>
          <t>City of Bacoor</t>
        </is>
      </c>
      <c r="H815" s="26" t="inlineStr">
        <is>
          <t>Real</t>
        </is>
      </c>
      <c r="I815" s="27" t="n">
        <v>14.337202</v>
      </c>
      <c r="J815" s="27" t="n">
        <v>121.035432</v>
      </c>
      <c r="K815" s="10" t="inlineStr">
        <is>
          <t>R</t>
        </is>
      </c>
      <c r="L815" s="12" t="n">
        <v>9584</v>
      </c>
      <c r="M815" s="14" t="n">
        <v>3.4</v>
      </c>
      <c r="N815" s="12">
        <f>ROUND(L815/M815, 0)</f>
        <v/>
      </c>
      <c r="O815" s="12">
        <f>ROUND(N815*'Methodology &amp; Assumptions'!$B$5, 0)</f>
        <v/>
      </c>
      <c r="P815" s="10" t="inlineStr">
        <is>
          <t>Single Carrier (Band n50, 100MHz TDD)</t>
        </is>
      </c>
      <c r="Q815" s="13">
        <f>ROUNDUP(O815/'Methodology &amp; Assumptions'!$B$6, 0)</f>
        <v/>
      </c>
      <c r="R815" s="13" t="n">
        <v>1</v>
      </c>
      <c r="S815" s="14" t="n">
        <v>0.96</v>
      </c>
      <c r="T815" s="14" t="n">
        <v>0.98</v>
      </c>
      <c r="U815" s="26">
        <f>IF(X815&gt;='Methodology &amp; Assumptions'!$B$7, "Tier 1 Critical GIDA (Score ≥ 50.0)", IF(X815&gt;='Methodology &amp; Assumptions'!$B$8, "Tier 2 High GIDA (Score 40.0–49.9)", "Tier 3 Moderate GIDA (Score &lt; 40.0)"))</f>
        <v/>
      </c>
      <c r="V815" s="26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W815" s="28" t="n">
        <v>0.07200000000000001</v>
      </c>
      <c r="X815" s="14" t="n">
        <v>48.32</v>
      </c>
      <c r="Y815" s="14">
        <f>ROUND(MIN(100, (X815/69.91)*100), 2)</f>
        <v/>
      </c>
    </row>
    <row r="816">
      <c r="A816" s="10" t="n">
        <v>3</v>
      </c>
      <c r="B816" s="10" t="n">
        <v>812</v>
      </c>
      <c r="C816" s="10" t="n">
        <v>2812</v>
      </c>
      <c r="D816" s="10" t="inlineStr">
        <is>
          <t>1381100102</t>
        </is>
      </c>
      <c r="E816" s="26" t="inlineStr">
        <is>
          <t>National Capital Region (NCR)</t>
        </is>
      </c>
      <c r="F816" s="26" t="inlineStr">
        <is>
          <t>Fourth District (Not a Province)</t>
        </is>
      </c>
      <c r="G816" s="26" t="inlineStr">
        <is>
          <t>Pasay City</t>
        </is>
      </c>
      <c r="H816" s="26" t="inlineStr">
        <is>
          <t>Barangay 102</t>
        </is>
      </c>
      <c r="I816" s="27" t="n">
        <v>14.512438</v>
      </c>
      <c r="J816" s="27" t="n">
        <v>120.780226</v>
      </c>
      <c r="K816" s="10" t="inlineStr">
        <is>
          <t>U</t>
        </is>
      </c>
      <c r="L816" s="12" t="n">
        <v>849</v>
      </c>
      <c r="M816" s="14" t="n">
        <v>3.4</v>
      </c>
      <c r="N816" s="12">
        <f>ROUND(L816/M816, 0)</f>
        <v/>
      </c>
      <c r="O816" s="12">
        <f>ROUND(N816*'Methodology &amp; Assumptions'!$B$5, 0)</f>
        <v/>
      </c>
      <c r="P816" s="10" t="inlineStr">
        <is>
          <t>Single Carrier (Band n50, 100MHz TDD)</t>
        </is>
      </c>
      <c r="Q816" s="13">
        <f>ROUNDUP(O816/'Methodology &amp; Assumptions'!$B$6, 0)</f>
        <v/>
      </c>
      <c r="R816" s="13" t="n">
        <v>1</v>
      </c>
      <c r="S816" s="14" t="n">
        <v>12.29</v>
      </c>
      <c r="T816" s="14" t="n">
        <v>14.37</v>
      </c>
      <c r="U816" s="26">
        <f>IF(X816&gt;='Methodology &amp; Assumptions'!$B$7, "Tier 1 Critical GIDA (Score ≥ 50.0)", IF(X816&gt;='Methodology &amp; Assumptions'!$B$8, "Tier 2 High GIDA (Score 40.0–49.9)", "Tier 3 Moderate GIDA (Score &lt; 40.0)"))</f>
        <v/>
      </c>
      <c r="V816" s="26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W816" s="28" t="n">
        <v>0.109</v>
      </c>
      <c r="X816" s="14" t="n">
        <v>48.32</v>
      </c>
      <c r="Y816" s="14">
        <f>ROUND(MIN(100, (X816/69.91)*100), 2)</f>
        <v/>
      </c>
    </row>
    <row r="817">
      <c r="A817" s="10" t="n">
        <v>3</v>
      </c>
      <c r="B817" s="10" t="n">
        <v>813</v>
      </c>
      <c r="C817" s="10" t="n">
        <v>2813</v>
      </c>
      <c r="D817" s="10" t="inlineStr">
        <is>
          <t>PH0002813</t>
        </is>
      </c>
      <c r="E817" s="26" t="inlineStr">
        <is>
          <t>NCR</t>
        </is>
      </c>
      <c r="F817" s="26" t="inlineStr">
        <is>
          <t>Metro Manila</t>
        </is>
      </c>
      <c r="G817" s="26" t="inlineStr">
        <is>
          <t>Caloocan City</t>
        </is>
      </c>
      <c r="H817" s="26" t="inlineStr">
        <is>
          <t>Barangay 152</t>
        </is>
      </c>
      <c r="I817" s="27" t="n">
        <v>13.55006</v>
      </c>
      <c r="J817" s="27" t="n">
        <v>120.453015</v>
      </c>
      <c r="K817" s="10" t="inlineStr">
        <is>
          <t>R</t>
        </is>
      </c>
      <c r="L817" s="12" t="n">
        <v>2279</v>
      </c>
      <c r="M817" s="14" t="n">
        <v>3.8</v>
      </c>
      <c r="N817" s="12">
        <f>ROUND(L817/M817, 0)</f>
        <v/>
      </c>
      <c r="O817" s="12">
        <f>ROUND(N817*'Methodology &amp; Assumptions'!$B$5, 0)</f>
        <v/>
      </c>
      <c r="P817" s="10" t="inlineStr">
        <is>
          <t>Single Carrier (Band n50, 100MHz TDD)</t>
        </is>
      </c>
      <c r="Q817" s="13">
        <f>ROUNDUP(O817/'Methodology &amp; Assumptions'!$B$6, 0)</f>
        <v/>
      </c>
      <c r="R817" s="13" t="n">
        <v>1</v>
      </c>
      <c r="S817" s="14" t="n">
        <v>36.36</v>
      </c>
      <c r="T817" s="14" t="n">
        <v>36.43</v>
      </c>
      <c r="U817" s="26">
        <f>IF(X817&gt;='Methodology &amp; Assumptions'!$B$7, "Tier 1 Critical GIDA (Score ≥ 50.0)", IF(X817&gt;='Methodology &amp; Assumptions'!$B$8, "Tier 2 High GIDA (Score 40.0–49.9)", "Tier 3 Moderate GIDA (Score &lt; 40.0)"))</f>
        <v/>
      </c>
      <c r="V817" s="26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W817" s="28" t="n">
        <v>0.011</v>
      </c>
      <c r="X817" s="14" t="n">
        <v>48.32</v>
      </c>
      <c r="Y817" s="14">
        <f>ROUND(MIN(100, (X817/69.91)*100), 2)</f>
        <v/>
      </c>
    </row>
    <row r="818">
      <c r="A818" s="10" t="n">
        <v>3</v>
      </c>
      <c r="B818" s="10" t="n">
        <v>814</v>
      </c>
      <c r="C818" s="10" t="n">
        <v>2814</v>
      </c>
      <c r="D818" s="10" t="inlineStr">
        <is>
          <t>1380606159</t>
        </is>
      </c>
      <c r="E818" s="26" t="inlineStr">
        <is>
          <t>National Capital Region (NCR)</t>
        </is>
      </c>
      <c r="F818" s="26" t="inlineStr">
        <is>
          <t>First District (Not a Province)</t>
        </is>
      </c>
      <c r="G818" s="26" t="inlineStr">
        <is>
          <t>City of Manila</t>
        </is>
      </c>
      <c r="H818" s="26" t="inlineStr">
        <is>
          <t>Barangay 553</t>
        </is>
      </c>
      <c r="I818" s="27" t="n">
        <v>12.020992</v>
      </c>
      <c r="J818" s="27" t="n">
        <v>121.265429</v>
      </c>
      <c r="K818" s="10" t="inlineStr">
        <is>
          <t>U</t>
        </is>
      </c>
      <c r="L818" s="12" t="n">
        <v>1473</v>
      </c>
      <c r="M818" s="14" t="n">
        <v>3.9</v>
      </c>
      <c r="N818" s="12">
        <f>ROUND(L818/M818, 0)</f>
        <v/>
      </c>
      <c r="O818" s="12">
        <f>ROUND(N818*'Methodology &amp; Assumptions'!$B$5, 0)</f>
        <v/>
      </c>
      <c r="P818" s="10" t="inlineStr">
        <is>
          <t>Single Carrier (Band n50, 100MHz TDD)</t>
        </is>
      </c>
      <c r="Q818" s="13">
        <f>ROUNDUP(O818/'Methodology &amp; Assumptions'!$B$6, 0)</f>
        <v/>
      </c>
      <c r="R818" s="13" t="n">
        <v>1</v>
      </c>
      <c r="S818" s="14" t="n">
        <v>34.4</v>
      </c>
      <c r="T818" s="14" t="n">
        <v>28.88</v>
      </c>
      <c r="U818" s="26">
        <f>IF(X818&gt;='Methodology &amp; Assumptions'!$B$7, "Tier 1 Critical GIDA (Score ≥ 50.0)", IF(X818&gt;='Methodology &amp; Assumptions'!$B$8, "Tier 2 High GIDA (Score 40.0–49.9)", "Tier 3 Moderate GIDA (Score &lt; 40.0)"))</f>
        <v/>
      </c>
      <c r="V818" s="26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W818" s="28" t="n">
        <v>0.109</v>
      </c>
      <c r="X818" s="14" t="n">
        <v>48.31</v>
      </c>
      <c r="Y818" s="14">
        <f>ROUND(MIN(100, (X818/69.91)*100), 2)</f>
        <v/>
      </c>
    </row>
    <row r="819">
      <c r="A819" s="10" t="n">
        <v>3</v>
      </c>
      <c r="B819" s="10" t="n">
        <v>815</v>
      </c>
      <c r="C819" s="10" t="n">
        <v>2815</v>
      </c>
      <c r="D819" s="10" t="inlineStr">
        <is>
          <t>PH0002815</t>
        </is>
      </c>
      <c r="E819" s="26" t="inlineStr">
        <is>
          <t>NCR</t>
        </is>
      </c>
      <c r="F819" s="26" t="inlineStr">
        <is>
          <t>Metro Manila</t>
        </is>
      </c>
      <c r="G819" s="26" t="inlineStr">
        <is>
          <t>Caloocan City</t>
        </is>
      </c>
      <c r="H819" s="26" t="inlineStr">
        <is>
          <t>Barangay 155</t>
        </is>
      </c>
      <c r="I819" s="27" t="n">
        <v>13.255799</v>
      </c>
      <c r="J819" s="27" t="n">
        <v>123.213847</v>
      </c>
      <c r="K819" s="10" t="inlineStr">
        <is>
          <t>R</t>
        </is>
      </c>
      <c r="L819" s="12" t="n">
        <v>2279</v>
      </c>
      <c r="M819" s="14" t="n">
        <v>3.8</v>
      </c>
      <c r="N819" s="12">
        <f>ROUND(L819/M819, 0)</f>
        <v/>
      </c>
      <c r="O819" s="12">
        <f>ROUND(N819*'Methodology &amp; Assumptions'!$B$5, 0)</f>
        <v/>
      </c>
      <c r="P819" s="10" t="inlineStr">
        <is>
          <t>Single Carrier (Band n50, 100MHz TDD)</t>
        </is>
      </c>
      <c r="Q819" s="13">
        <f>ROUNDUP(O819/'Methodology &amp; Assumptions'!$B$6, 0)</f>
        <v/>
      </c>
      <c r="R819" s="13" t="n">
        <v>1</v>
      </c>
      <c r="S819" s="14" t="n">
        <v>7.09</v>
      </c>
      <c r="T819" s="14" t="n">
        <v>19.68</v>
      </c>
      <c r="U819" s="26">
        <f>IF(X819&gt;='Methodology &amp; Assumptions'!$B$7, "Tier 1 Critical GIDA (Score ≥ 50.0)", IF(X819&gt;='Methodology &amp; Assumptions'!$B$8, "Tier 2 High GIDA (Score 40.0–49.9)", "Tier 3 Moderate GIDA (Score &lt; 40.0)"))</f>
        <v/>
      </c>
      <c r="V819" s="26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W819" s="28" t="n">
        <v>0.011</v>
      </c>
      <c r="X819" s="14" t="n">
        <v>48.31</v>
      </c>
      <c r="Y819" s="14">
        <f>ROUND(MIN(100, (X819/69.91)*100), 2)</f>
        <v/>
      </c>
    </row>
    <row r="820">
      <c r="A820" s="10" t="n">
        <v>3</v>
      </c>
      <c r="B820" s="10" t="n">
        <v>816</v>
      </c>
      <c r="C820" s="10" t="n">
        <v>2816</v>
      </c>
      <c r="D820" s="10" t="inlineStr">
        <is>
          <t>1380606089</t>
        </is>
      </c>
      <c r="E820" s="26" t="inlineStr">
        <is>
          <t>National Capital Region (NCR)</t>
        </is>
      </c>
      <c r="F820" s="26" t="inlineStr">
        <is>
          <t>First District (Not a Province)</t>
        </is>
      </c>
      <c r="G820" s="26" t="inlineStr">
        <is>
          <t>City of Manila</t>
        </is>
      </c>
      <c r="H820" s="26" t="inlineStr">
        <is>
          <t>Barangay 483</t>
        </is>
      </c>
      <c r="I820" s="27" t="n">
        <v>13.849065</v>
      </c>
      <c r="J820" s="27" t="n">
        <v>121.55355</v>
      </c>
      <c r="K820" s="10" t="inlineStr">
        <is>
          <t>U</t>
        </is>
      </c>
      <c r="L820" s="12" t="n">
        <v>1411</v>
      </c>
      <c r="M820" s="14" t="n">
        <v>3.9</v>
      </c>
      <c r="N820" s="12">
        <f>ROUND(L820/M820, 0)</f>
        <v/>
      </c>
      <c r="O820" s="12">
        <f>ROUND(N820*'Methodology &amp; Assumptions'!$B$5, 0)</f>
        <v/>
      </c>
      <c r="P820" s="10" t="inlineStr">
        <is>
          <t>Single Carrier (Band n50, 100MHz TDD)</t>
        </is>
      </c>
      <c r="Q820" s="13">
        <f>ROUNDUP(O820/'Methodology &amp; Assumptions'!$B$6, 0)</f>
        <v/>
      </c>
      <c r="R820" s="13" t="n">
        <v>1</v>
      </c>
      <c r="S820" s="14" t="n">
        <v>5.07</v>
      </c>
      <c r="T820" s="14" t="n">
        <v>3.15</v>
      </c>
      <c r="U820" s="26">
        <f>IF(X820&gt;='Methodology &amp; Assumptions'!$B$7, "Tier 1 Critical GIDA (Score ≥ 50.0)", IF(X820&gt;='Methodology &amp; Assumptions'!$B$8, "Tier 2 High GIDA (Score 40.0–49.9)", "Tier 3 Moderate GIDA (Score &lt; 40.0)"))</f>
        <v/>
      </c>
      <c r="V820" s="26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W820" s="28" t="n">
        <v>0.109</v>
      </c>
      <c r="X820" s="14" t="n">
        <v>48.31</v>
      </c>
      <c r="Y820" s="14">
        <f>ROUND(MIN(100, (X820/69.91)*100), 2)</f>
        <v/>
      </c>
    </row>
    <row r="821">
      <c r="A821" s="10" t="n">
        <v>3</v>
      </c>
      <c r="B821" s="10" t="n">
        <v>817</v>
      </c>
      <c r="C821" s="10" t="n">
        <v>2817</v>
      </c>
      <c r="D821" s="10" t="inlineStr">
        <is>
          <t>1380606004</t>
        </is>
      </c>
      <c r="E821" s="26" t="inlineStr">
        <is>
          <t>National Capital Region (NCR)</t>
        </is>
      </c>
      <c r="F821" s="26" t="inlineStr">
        <is>
          <t>First District (Not a Province)</t>
        </is>
      </c>
      <c r="G821" s="26" t="inlineStr">
        <is>
          <t>City of Manila</t>
        </is>
      </c>
      <c r="H821" s="26" t="inlineStr">
        <is>
          <t>Barangay 398</t>
        </is>
      </c>
      <c r="I821" s="27" t="n">
        <v>12.309421</v>
      </c>
      <c r="J821" s="27" t="n">
        <v>122.609462</v>
      </c>
      <c r="K821" s="10" t="inlineStr">
        <is>
          <t>U</t>
        </is>
      </c>
      <c r="L821" s="12" t="n">
        <v>3161</v>
      </c>
      <c r="M821" s="14" t="n">
        <v>3.9</v>
      </c>
      <c r="N821" s="12">
        <f>ROUND(L821/M821, 0)</f>
        <v/>
      </c>
      <c r="O821" s="12">
        <f>ROUND(N821*'Methodology &amp; Assumptions'!$B$5, 0)</f>
        <v/>
      </c>
      <c r="P821" s="10" t="inlineStr">
        <is>
          <t>Single Carrier (Band n50, 100MHz TDD)</t>
        </is>
      </c>
      <c r="Q821" s="13">
        <f>ROUNDUP(O821/'Methodology &amp; Assumptions'!$B$6, 0)</f>
        <v/>
      </c>
      <c r="R821" s="13" t="n">
        <v>1</v>
      </c>
      <c r="S821" s="14" t="n">
        <v>72.97</v>
      </c>
      <c r="T821" s="14" t="n">
        <v>47.97</v>
      </c>
      <c r="U821" s="26">
        <f>IF(X821&gt;='Methodology &amp; Assumptions'!$B$7, "Tier 1 Critical GIDA (Score ≥ 50.0)", IF(X821&gt;='Methodology &amp; Assumptions'!$B$8, "Tier 2 High GIDA (Score 40.0–49.9)", "Tier 3 Moderate GIDA (Score &lt; 40.0)"))</f>
        <v/>
      </c>
      <c r="V821" s="26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W821" s="28" t="n">
        <v>0.109</v>
      </c>
      <c r="X821" s="14" t="n">
        <v>48.31</v>
      </c>
      <c r="Y821" s="14">
        <f>ROUND(MIN(100, (X821/69.91)*100), 2)</f>
        <v/>
      </c>
    </row>
    <row r="822">
      <c r="A822" s="10" t="n">
        <v>3</v>
      </c>
      <c r="B822" s="10" t="n">
        <v>818</v>
      </c>
      <c r="C822" s="10" t="n">
        <v>2818</v>
      </c>
      <c r="D822" s="10" t="inlineStr">
        <is>
          <t>1380606164</t>
        </is>
      </c>
      <c r="E822" s="26" t="inlineStr">
        <is>
          <t>National Capital Region (NCR)</t>
        </is>
      </c>
      <c r="F822" s="26" t="inlineStr">
        <is>
          <t>First District (Not a Province)</t>
        </is>
      </c>
      <c r="G822" s="26" t="inlineStr">
        <is>
          <t>City of Manila</t>
        </is>
      </c>
      <c r="H822" s="26" t="inlineStr">
        <is>
          <t>Barangay 558</t>
        </is>
      </c>
      <c r="I822" s="27" t="n">
        <v>12.749748</v>
      </c>
      <c r="J822" s="27" t="n">
        <v>120.761442</v>
      </c>
      <c r="K822" s="10" t="inlineStr">
        <is>
          <t>U</t>
        </is>
      </c>
      <c r="L822" s="12" t="n">
        <v>1298</v>
      </c>
      <c r="M822" s="14" t="n">
        <v>3.9</v>
      </c>
      <c r="N822" s="12">
        <f>ROUND(L822/M822, 0)</f>
        <v/>
      </c>
      <c r="O822" s="12">
        <f>ROUND(N822*'Methodology &amp; Assumptions'!$B$5, 0)</f>
        <v/>
      </c>
      <c r="P822" s="10" t="inlineStr">
        <is>
          <t>Single Carrier (Band n50, 100MHz TDD)</t>
        </is>
      </c>
      <c r="Q822" s="13">
        <f>ROUNDUP(O822/'Methodology &amp; Assumptions'!$B$6, 0)</f>
        <v/>
      </c>
      <c r="R822" s="13" t="n">
        <v>1</v>
      </c>
      <c r="S822" s="14" t="n">
        <v>55.23</v>
      </c>
      <c r="T822" s="14" t="n">
        <v>52.89</v>
      </c>
      <c r="U822" s="26">
        <f>IF(X822&gt;='Methodology &amp; Assumptions'!$B$7, "Tier 1 Critical GIDA (Score ≥ 50.0)", IF(X822&gt;='Methodology &amp; Assumptions'!$B$8, "Tier 2 High GIDA (Score 40.0–49.9)", "Tier 3 Moderate GIDA (Score &lt; 40.0)"))</f>
        <v/>
      </c>
      <c r="V822" s="26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W822" s="28" t="n">
        <v>0.109</v>
      </c>
      <c r="X822" s="14" t="n">
        <v>48.31</v>
      </c>
      <c r="Y822" s="14">
        <f>ROUND(MIN(100, (X822/69.91)*100), 2)</f>
        <v/>
      </c>
    </row>
    <row r="823">
      <c r="A823" s="10" t="n">
        <v>3</v>
      </c>
      <c r="B823" s="10" t="n">
        <v>819</v>
      </c>
      <c r="C823" s="10" t="n">
        <v>2819</v>
      </c>
      <c r="D823" s="10" t="inlineStr">
        <is>
          <t>1380614066</t>
        </is>
      </c>
      <c r="E823" s="26" t="inlineStr">
        <is>
          <t>National Capital Region (NCR)</t>
        </is>
      </c>
      <c r="F823" s="26" t="inlineStr">
        <is>
          <t>First District (Not a Province)</t>
        </is>
      </c>
      <c r="G823" s="26" t="inlineStr">
        <is>
          <t>City of Manila</t>
        </is>
      </c>
      <c r="H823" s="26" t="inlineStr">
        <is>
          <t>Barangay 873</t>
        </is>
      </c>
      <c r="I823" s="27" t="n">
        <v>13.643408</v>
      </c>
      <c r="J823" s="27" t="n">
        <v>122.431366</v>
      </c>
      <c r="K823" s="10" t="inlineStr">
        <is>
          <t>U</t>
        </is>
      </c>
      <c r="L823" s="12" t="n">
        <v>1286</v>
      </c>
      <c r="M823" s="14" t="n">
        <v>3.9</v>
      </c>
      <c r="N823" s="12">
        <f>ROUND(L823/M823, 0)</f>
        <v/>
      </c>
      <c r="O823" s="12">
        <f>ROUND(N823*'Methodology &amp; Assumptions'!$B$5, 0)</f>
        <v/>
      </c>
      <c r="P823" s="10" t="inlineStr">
        <is>
          <t>Single Carrier (Band n50, 100MHz TDD)</t>
        </is>
      </c>
      <c r="Q823" s="13">
        <f>ROUNDUP(O823/'Methodology &amp; Assumptions'!$B$6, 0)</f>
        <v/>
      </c>
      <c r="R823" s="13" t="n">
        <v>1</v>
      </c>
      <c r="S823" s="14" t="n">
        <v>8.66</v>
      </c>
      <c r="T823" s="14" t="n">
        <v>5.05</v>
      </c>
      <c r="U823" s="26">
        <f>IF(X823&gt;='Methodology &amp; Assumptions'!$B$7, "Tier 1 Critical GIDA (Score ≥ 50.0)", IF(X823&gt;='Methodology &amp; Assumptions'!$B$8, "Tier 2 High GIDA (Score 40.0–49.9)", "Tier 3 Moderate GIDA (Score &lt; 40.0)"))</f>
        <v/>
      </c>
      <c r="V823" s="26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W823" s="28" t="n">
        <v>0.109</v>
      </c>
      <c r="X823" s="14" t="n">
        <v>48.3</v>
      </c>
      <c r="Y823" s="14">
        <f>ROUND(MIN(100, (X823/69.91)*100), 2)</f>
        <v/>
      </c>
    </row>
    <row r="824">
      <c r="A824" s="10" t="n">
        <v>3</v>
      </c>
      <c r="B824" s="10" t="n">
        <v>820</v>
      </c>
      <c r="C824" s="10" t="n">
        <v>2820</v>
      </c>
      <c r="D824" s="10" t="inlineStr">
        <is>
          <t>1380601257</t>
        </is>
      </c>
      <c r="E824" s="26" t="inlineStr">
        <is>
          <t>National Capital Region (NCR)</t>
        </is>
      </c>
      <c r="F824" s="26" t="inlineStr">
        <is>
          <t>First District (Not a Province)</t>
        </is>
      </c>
      <c r="G824" s="26" t="inlineStr">
        <is>
          <t>City of Manila</t>
        </is>
      </c>
      <c r="H824" s="26" t="inlineStr">
        <is>
          <t>Barangay 256</t>
        </is>
      </c>
      <c r="I824" s="27" t="n">
        <v>11.882351</v>
      </c>
      <c r="J824" s="27" t="n">
        <v>121.818669</v>
      </c>
      <c r="K824" s="10" t="inlineStr">
        <is>
          <t>U</t>
        </is>
      </c>
      <c r="L824" s="12" t="n">
        <v>1061</v>
      </c>
      <c r="M824" s="14" t="n">
        <v>3.9</v>
      </c>
      <c r="N824" s="12">
        <f>ROUND(L824/M824, 0)</f>
        <v/>
      </c>
      <c r="O824" s="12">
        <f>ROUND(N824*'Methodology &amp; Assumptions'!$B$5, 0)</f>
        <v/>
      </c>
      <c r="P824" s="10" t="inlineStr">
        <is>
          <t>Single Carrier (Band n50, 100MHz TDD)</t>
        </is>
      </c>
      <c r="Q824" s="13">
        <f>ROUNDUP(O824/'Methodology &amp; Assumptions'!$B$6, 0)</f>
        <v/>
      </c>
      <c r="R824" s="13" t="n">
        <v>1</v>
      </c>
      <c r="S824" s="14" t="n">
        <v>15.66</v>
      </c>
      <c r="T824" s="14" t="n">
        <v>14.94</v>
      </c>
      <c r="U824" s="26">
        <f>IF(X824&gt;='Methodology &amp; Assumptions'!$B$7, "Tier 1 Critical GIDA (Score ≥ 50.0)", IF(X824&gt;='Methodology &amp; Assumptions'!$B$8, "Tier 2 High GIDA (Score 40.0–49.9)", "Tier 3 Moderate GIDA (Score &lt; 40.0)"))</f>
        <v/>
      </c>
      <c r="V824" s="26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W824" s="28" t="n">
        <v>0.109</v>
      </c>
      <c r="X824" s="14" t="n">
        <v>48.3</v>
      </c>
      <c r="Y824" s="14">
        <f>ROUND(MIN(100, (X824/69.91)*100), 2)</f>
        <v/>
      </c>
    </row>
    <row r="825">
      <c r="A825" s="10" t="n">
        <v>3</v>
      </c>
      <c r="B825" s="10" t="n">
        <v>821</v>
      </c>
      <c r="C825" s="10" t="n">
        <v>2821</v>
      </c>
      <c r="D825" s="10" t="inlineStr">
        <is>
          <t>1380606161</t>
        </is>
      </c>
      <c r="E825" s="26" t="inlineStr">
        <is>
          <t>National Capital Region (NCR)</t>
        </is>
      </c>
      <c r="F825" s="26" t="inlineStr">
        <is>
          <t>First District (Not a Province)</t>
        </is>
      </c>
      <c r="G825" s="26" t="inlineStr">
        <is>
          <t>City of Manila</t>
        </is>
      </c>
      <c r="H825" s="26" t="inlineStr">
        <is>
          <t>Barangay 555</t>
        </is>
      </c>
      <c r="I825" s="27" t="n">
        <v>13.586559</v>
      </c>
      <c r="J825" s="27" t="n">
        <v>121.048898</v>
      </c>
      <c r="K825" s="10" t="inlineStr">
        <is>
          <t>U</t>
        </is>
      </c>
      <c r="L825" s="12" t="n">
        <v>1173</v>
      </c>
      <c r="M825" s="14" t="n">
        <v>3.9</v>
      </c>
      <c r="N825" s="12">
        <f>ROUND(L825/M825, 0)</f>
        <v/>
      </c>
      <c r="O825" s="12">
        <f>ROUND(N825*'Methodology &amp; Assumptions'!$B$5, 0)</f>
        <v/>
      </c>
      <c r="P825" s="10" t="inlineStr">
        <is>
          <t>Single Carrier (Band n50, 100MHz TDD)</t>
        </is>
      </c>
      <c r="Q825" s="13">
        <f>ROUNDUP(O825/'Methodology &amp; Assumptions'!$B$6, 0)</f>
        <v/>
      </c>
      <c r="R825" s="13" t="n">
        <v>1</v>
      </c>
      <c r="S825" s="14" t="n">
        <v>6.48</v>
      </c>
      <c r="T825" s="14" t="n">
        <v>13.92</v>
      </c>
      <c r="U825" s="26">
        <f>IF(X825&gt;='Methodology &amp; Assumptions'!$B$7, "Tier 1 Critical GIDA (Score ≥ 50.0)", IF(X825&gt;='Methodology &amp; Assumptions'!$B$8, "Tier 2 High GIDA (Score 40.0–49.9)", "Tier 3 Moderate GIDA (Score &lt; 40.0)"))</f>
        <v/>
      </c>
      <c r="V825" s="26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W825" s="28" t="n">
        <v>0.109</v>
      </c>
      <c r="X825" s="14" t="n">
        <v>48.3</v>
      </c>
      <c r="Y825" s="14">
        <f>ROUND(MIN(100, (X825/69.91)*100), 2)</f>
        <v/>
      </c>
    </row>
    <row r="826">
      <c r="A826" s="10" t="n">
        <v>3</v>
      </c>
      <c r="B826" s="10" t="n">
        <v>822</v>
      </c>
      <c r="C826" s="10" t="n">
        <v>2822</v>
      </c>
      <c r="D826" s="10" t="inlineStr">
        <is>
          <t>PH0002822</t>
        </is>
      </c>
      <c r="E826" s="26" t="inlineStr">
        <is>
          <t>XI</t>
        </is>
      </c>
      <c r="F826" s="26" t="inlineStr">
        <is>
          <t>Davao Del Sur</t>
        </is>
      </c>
      <c r="G826" s="26" t="inlineStr">
        <is>
          <t>Davao City</t>
        </is>
      </c>
      <c r="H826" s="26" t="inlineStr">
        <is>
          <t>Barangay 9-A (Pob.)</t>
        </is>
      </c>
      <c r="I826" s="27" t="n">
        <v>7.072505</v>
      </c>
      <c r="J826" s="27" t="n">
        <v>125.608544</v>
      </c>
      <c r="K826" s="10" t="inlineStr">
        <is>
          <t>R</t>
        </is>
      </c>
      <c r="L826" s="12" t="n">
        <v>2280</v>
      </c>
      <c r="M826" s="14" t="n">
        <v>3.4</v>
      </c>
      <c r="N826" s="12">
        <f>ROUND(L826/M826, 0)</f>
        <v/>
      </c>
      <c r="O826" s="12">
        <f>ROUND(N826*'Methodology &amp; Assumptions'!$B$5, 0)</f>
        <v/>
      </c>
      <c r="P826" s="10" t="inlineStr">
        <is>
          <t>Single Carrier (Band n50, 100MHz TDD)</t>
        </is>
      </c>
      <c r="Q826" s="13">
        <f>ROUNDUP(O826/'Methodology &amp; Assumptions'!$B$6, 0)</f>
        <v/>
      </c>
      <c r="R826" s="13" t="n">
        <v>1</v>
      </c>
      <c r="S826" s="14" t="n">
        <v>0.66</v>
      </c>
      <c r="T826" s="14" t="n">
        <v>0.06</v>
      </c>
      <c r="U826" s="26">
        <f>IF(X826&gt;='Methodology &amp; Assumptions'!$B$7, "Tier 1 Critical GIDA (Score ≥ 50.0)", IF(X826&gt;='Methodology &amp; Assumptions'!$B$8, "Tier 2 High GIDA (Score 40.0–49.9)", "Tier 3 Moderate GIDA (Score &lt; 40.0)"))</f>
        <v/>
      </c>
      <c r="V826" s="26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W826" s="28" t="n">
        <v>0.119</v>
      </c>
      <c r="X826" s="14" t="n">
        <v>48.3</v>
      </c>
      <c r="Y826" s="14">
        <f>ROUND(MIN(100, (X826/69.91)*100), 2)</f>
        <v/>
      </c>
    </row>
    <row r="827">
      <c r="A827" s="10" t="n">
        <v>3</v>
      </c>
      <c r="B827" s="10" t="n">
        <v>823</v>
      </c>
      <c r="C827" s="10" t="n">
        <v>2823</v>
      </c>
      <c r="D827" s="10" t="inlineStr">
        <is>
          <t>0806016030</t>
        </is>
      </c>
      <c r="E827" s="26" t="inlineStr">
        <is>
          <t>Region VIII (Eastern Visayas)</t>
        </is>
      </c>
      <c r="F827" s="26" t="inlineStr">
        <is>
          <t>Samar</t>
        </is>
      </c>
      <c r="G827" s="26" t="inlineStr">
        <is>
          <t>Santa Margarita</t>
        </is>
      </c>
      <c r="H827" s="26" t="inlineStr">
        <is>
          <t>Panaruan</t>
        </is>
      </c>
      <c r="I827" s="27" t="n">
        <v>12.063381</v>
      </c>
      <c r="J827" s="27" t="n">
        <v>124.69416</v>
      </c>
      <c r="K827" s="10" t="inlineStr">
        <is>
          <t>R</t>
        </is>
      </c>
      <c r="L827" s="12" t="n">
        <v>120</v>
      </c>
      <c r="M827" s="14" t="n">
        <v>4.1</v>
      </c>
      <c r="N827" s="12">
        <f>ROUND(L827/M827, 0)</f>
        <v/>
      </c>
      <c r="O827" s="12">
        <f>ROUND(N827*'Methodology &amp; Assumptions'!$B$5, 0)</f>
        <v/>
      </c>
      <c r="P827" s="10" t="inlineStr">
        <is>
          <t>Single Carrier (Band n50, 100MHz TDD)</t>
        </is>
      </c>
      <c r="Q827" s="13">
        <f>ROUNDUP(O827/'Methodology &amp; Assumptions'!$B$6, 0)</f>
        <v/>
      </c>
      <c r="R827" s="13" t="n">
        <v>1</v>
      </c>
      <c r="S827" s="14" t="n">
        <v>84.91</v>
      </c>
      <c r="T827" s="14" t="n">
        <v>84.70999999999999</v>
      </c>
      <c r="U827" s="26">
        <f>IF(X827&gt;='Methodology &amp; Assumptions'!$B$7, "Tier 1 Critical GIDA (Score ≥ 50.0)", IF(X827&gt;='Methodology &amp; Assumptions'!$B$8, "Tier 2 High GIDA (Score 40.0–49.9)", "Tier 3 Moderate GIDA (Score &lt; 40.0)"))</f>
        <v/>
      </c>
      <c r="V827" s="26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W827" s="28" t="n">
        <v>0.237</v>
      </c>
      <c r="X827" s="14" t="n">
        <v>48.3</v>
      </c>
      <c r="Y827" s="14">
        <f>ROUND(MIN(100, (X827/69.91)*100), 2)</f>
        <v/>
      </c>
    </row>
    <row r="828">
      <c r="A828" s="10" t="n">
        <v>3</v>
      </c>
      <c r="B828" s="10" t="n">
        <v>824</v>
      </c>
      <c r="C828" s="10" t="n">
        <v>2824</v>
      </c>
      <c r="D828" s="10" t="inlineStr">
        <is>
          <t>1380601188</t>
        </is>
      </c>
      <c r="E828" s="26" t="inlineStr">
        <is>
          <t>National Capital Region (NCR)</t>
        </is>
      </c>
      <c r="F828" s="26" t="inlineStr">
        <is>
          <t>First District (Not a Province)</t>
        </is>
      </c>
      <c r="G828" s="26" t="inlineStr">
        <is>
          <t>City of Manila</t>
        </is>
      </c>
      <c r="H828" s="26" t="inlineStr">
        <is>
          <t>Barangay 188</t>
        </is>
      </c>
      <c r="I828" s="27" t="n">
        <v>12.836037</v>
      </c>
      <c r="J828" s="27" t="n">
        <v>122.799856</v>
      </c>
      <c r="K828" s="10" t="inlineStr">
        <is>
          <t>U</t>
        </is>
      </c>
      <c r="L828" s="12" t="n">
        <v>891</v>
      </c>
      <c r="M828" s="14" t="n">
        <v>3.9</v>
      </c>
      <c r="N828" s="12">
        <f>ROUND(L828/M828, 0)</f>
        <v/>
      </c>
      <c r="O828" s="12">
        <f>ROUND(N828*'Methodology &amp; Assumptions'!$B$5, 0)</f>
        <v/>
      </c>
      <c r="P828" s="10" t="inlineStr">
        <is>
          <t>Single Carrier (Band n50, 100MHz TDD)</t>
        </is>
      </c>
      <c r="Q828" s="13">
        <f>ROUNDUP(O828/'Methodology &amp; Assumptions'!$B$6, 0)</f>
        <v/>
      </c>
      <c r="R828" s="13" t="n">
        <v>1</v>
      </c>
      <c r="S828" s="14" t="n">
        <v>44.16</v>
      </c>
      <c r="T828" s="14" t="n">
        <v>77.55</v>
      </c>
      <c r="U828" s="26">
        <f>IF(X828&gt;='Methodology &amp; Assumptions'!$B$7, "Tier 1 Critical GIDA (Score ≥ 50.0)", IF(X828&gt;='Methodology &amp; Assumptions'!$B$8, "Tier 2 High GIDA (Score 40.0–49.9)", "Tier 3 Moderate GIDA (Score &lt; 40.0)"))</f>
        <v/>
      </c>
      <c r="V828" s="26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W828" s="28" t="n">
        <v>0.109</v>
      </c>
      <c r="X828" s="14" t="n">
        <v>48.3</v>
      </c>
      <c r="Y828" s="14">
        <f>ROUND(MIN(100, (X828/69.91)*100), 2)</f>
        <v/>
      </c>
    </row>
    <row r="829">
      <c r="A829" s="10" t="n">
        <v>3</v>
      </c>
      <c r="B829" s="10" t="n">
        <v>825</v>
      </c>
      <c r="C829" s="10" t="n">
        <v>2825</v>
      </c>
      <c r="D829" s="10" t="inlineStr">
        <is>
          <t>0907311027</t>
        </is>
      </c>
      <c r="E829" s="26" t="inlineStr">
        <is>
          <t>Region IX (Zamboanga Peninsula)</t>
        </is>
      </c>
      <c r="F829" s="26" t="inlineStr">
        <is>
          <t>Zamboanga del Sur</t>
        </is>
      </c>
      <c r="G829" s="26" t="inlineStr">
        <is>
          <t>Kumalarang</t>
        </is>
      </c>
      <c r="H829" s="26" t="inlineStr">
        <is>
          <t>Suminalum</t>
        </is>
      </c>
      <c r="I829" s="27" t="n">
        <v>7.83428</v>
      </c>
      <c r="J829" s="27" t="n">
        <v>123.12557</v>
      </c>
      <c r="K829" s="10" t="inlineStr">
        <is>
          <t>R</t>
        </is>
      </c>
      <c r="L829" s="12" t="n">
        <v>1109</v>
      </c>
      <c r="M829" s="14" t="n">
        <v>3.9</v>
      </c>
      <c r="N829" s="12">
        <f>ROUND(L829/M829, 0)</f>
        <v/>
      </c>
      <c r="O829" s="12">
        <f>ROUND(N829*'Methodology &amp; Assumptions'!$B$5, 0)</f>
        <v/>
      </c>
      <c r="P829" s="10" t="inlineStr">
        <is>
          <t>Single Carrier (Band n50, 100MHz TDD)</t>
        </is>
      </c>
      <c r="Q829" s="13">
        <f>ROUNDUP(O829/'Methodology &amp; Assumptions'!$B$6, 0)</f>
        <v/>
      </c>
      <c r="R829" s="13" t="n">
        <v>1</v>
      </c>
      <c r="S829" s="14" t="n">
        <v>13.98</v>
      </c>
      <c r="T829" s="14" t="n">
        <v>5.89</v>
      </c>
      <c r="U829" s="26">
        <f>IF(X829&gt;='Methodology &amp; Assumptions'!$B$7, "Tier 1 Critical GIDA (Score ≥ 50.0)", IF(X829&gt;='Methodology &amp; Assumptions'!$B$8, "Tier 2 High GIDA (Score 40.0–49.9)", "Tier 3 Moderate GIDA (Score &lt; 40.0)"))</f>
        <v/>
      </c>
      <c r="V829" s="26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W829" s="28" t="n">
        <v>0.11</v>
      </c>
      <c r="X829" s="14" t="n">
        <v>48.29</v>
      </c>
      <c r="Y829" s="14">
        <f>ROUND(MIN(100, (X829/69.91)*100), 2)</f>
        <v/>
      </c>
    </row>
    <row r="830">
      <c r="A830" s="10" t="n">
        <v>3</v>
      </c>
      <c r="B830" s="10" t="n">
        <v>826</v>
      </c>
      <c r="C830" s="10" t="n">
        <v>2826</v>
      </c>
      <c r="D830" s="10" t="inlineStr">
        <is>
          <t>1380610048</t>
        </is>
      </c>
      <c r="E830" s="26" t="inlineStr">
        <is>
          <t>National Capital Region (NCR)</t>
        </is>
      </c>
      <c r="F830" s="26" t="inlineStr">
        <is>
          <t>First District (Not a Province)</t>
        </is>
      </c>
      <c r="G830" s="26" t="inlineStr">
        <is>
          <t>City of Manila</t>
        </is>
      </c>
      <c r="H830" s="26" t="inlineStr">
        <is>
          <t>Barangay 733</t>
        </is>
      </c>
      <c r="I830" s="27" t="n">
        <v>12.235403</v>
      </c>
      <c r="J830" s="27" t="n">
        <v>120.986339</v>
      </c>
      <c r="K830" s="10" t="inlineStr">
        <is>
          <t>U</t>
        </is>
      </c>
      <c r="L830" s="12" t="n">
        <v>4434</v>
      </c>
      <c r="M830" s="14" t="n">
        <v>3.9</v>
      </c>
      <c r="N830" s="12">
        <f>ROUND(L830/M830, 0)</f>
        <v/>
      </c>
      <c r="O830" s="12">
        <f>ROUND(N830*'Methodology &amp; Assumptions'!$B$5, 0)</f>
        <v/>
      </c>
      <c r="P830" s="10" t="inlineStr">
        <is>
          <t>Single Carrier (Band n50, 100MHz TDD)</t>
        </is>
      </c>
      <c r="Q830" s="13">
        <f>ROUNDUP(O830/'Methodology &amp; Assumptions'!$B$6, 0)</f>
        <v/>
      </c>
      <c r="R830" s="13" t="n">
        <v>1</v>
      </c>
      <c r="S830" s="14" t="n">
        <v>15.39</v>
      </c>
      <c r="T830" s="14" t="n">
        <v>15.4</v>
      </c>
      <c r="U830" s="26">
        <f>IF(X830&gt;='Methodology &amp; Assumptions'!$B$7, "Tier 1 Critical GIDA (Score ≥ 50.0)", IF(X830&gt;='Methodology &amp; Assumptions'!$B$8, "Tier 2 High GIDA (Score 40.0–49.9)", "Tier 3 Moderate GIDA (Score &lt; 40.0)"))</f>
        <v/>
      </c>
      <c r="V830" s="26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W830" s="28" t="n">
        <v>0.109</v>
      </c>
      <c r="X830" s="14" t="n">
        <v>48.29</v>
      </c>
      <c r="Y830" s="14">
        <f>ROUND(MIN(100, (X830/69.91)*100), 2)</f>
        <v/>
      </c>
    </row>
    <row r="831">
      <c r="A831" s="10" t="n">
        <v>3</v>
      </c>
      <c r="B831" s="10" t="n">
        <v>827</v>
      </c>
      <c r="C831" s="10" t="n">
        <v>2827</v>
      </c>
      <c r="D831" s="10" t="inlineStr">
        <is>
          <t>1380606169</t>
        </is>
      </c>
      <c r="E831" s="26" t="inlineStr">
        <is>
          <t>National Capital Region (NCR)</t>
        </is>
      </c>
      <c r="F831" s="26" t="inlineStr">
        <is>
          <t>First District (Not a Province)</t>
        </is>
      </c>
      <c r="G831" s="26" t="inlineStr">
        <is>
          <t>City of Manila</t>
        </is>
      </c>
      <c r="H831" s="26" t="inlineStr">
        <is>
          <t>Barangay 563</t>
        </is>
      </c>
      <c r="I831" s="27" t="n">
        <v>13.874811</v>
      </c>
      <c r="J831" s="27" t="n">
        <v>121.90839</v>
      </c>
      <c r="K831" s="10" t="inlineStr">
        <is>
          <t>U</t>
        </is>
      </c>
      <c r="L831" s="12" t="n">
        <v>1572</v>
      </c>
      <c r="M831" s="14" t="n">
        <v>3.9</v>
      </c>
      <c r="N831" s="12">
        <f>ROUND(L831/M831, 0)</f>
        <v/>
      </c>
      <c r="O831" s="12">
        <f>ROUND(N831*'Methodology &amp; Assumptions'!$B$5, 0)</f>
        <v/>
      </c>
      <c r="P831" s="10" t="inlineStr">
        <is>
          <t>Single Carrier (Band n50, 100MHz TDD)</t>
        </is>
      </c>
      <c r="Q831" s="13">
        <f>ROUNDUP(O831/'Methodology &amp; Assumptions'!$B$6, 0)</f>
        <v/>
      </c>
      <c r="R831" s="13" t="n">
        <v>1</v>
      </c>
      <c r="S831" s="14" t="n">
        <v>0.82</v>
      </c>
      <c r="T831" s="14" t="n">
        <v>0.31</v>
      </c>
      <c r="U831" s="26">
        <f>IF(X831&gt;='Methodology &amp; Assumptions'!$B$7, "Tier 1 Critical GIDA (Score ≥ 50.0)", IF(X831&gt;='Methodology &amp; Assumptions'!$B$8, "Tier 2 High GIDA (Score 40.0–49.9)", "Tier 3 Moderate GIDA (Score &lt; 40.0)"))</f>
        <v/>
      </c>
      <c r="V831" s="26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W831" s="28" t="n">
        <v>0.109</v>
      </c>
      <c r="X831" s="14" t="n">
        <v>48.29</v>
      </c>
      <c r="Y831" s="14">
        <f>ROUND(MIN(100, (X831/69.91)*100), 2)</f>
        <v/>
      </c>
    </row>
    <row r="832">
      <c r="A832" s="10" t="n">
        <v>3</v>
      </c>
      <c r="B832" s="10" t="n">
        <v>828</v>
      </c>
      <c r="C832" s="10" t="n">
        <v>2828</v>
      </c>
      <c r="D832" s="10" t="inlineStr">
        <is>
          <t>1381100121</t>
        </is>
      </c>
      <c r="E832" s="26" t="inlineStr">
        <is>
          <t>National Capital Region (NCR)</t>
        </is>
      </c>
      <c r="F832" s="26" t="inlineStr">
        <is>
          <t>Fourth District (Not a Province)</t>
        </is>
      </c>
      <c r="G832" s="26" t="inlineStr">
        <is>
          <t>Pasay City</t>
        </is>
      </c>
      <c r="H832" s="26" t="inlineStr">
        <is>
          <t>Barangay 121</t>
        </is>
      </c>
      <c r="I832" s="27" t="n">
        <v>14.709099</v>
      </c>
      <c r="J832" s="27" t="n">
        <v>121.149503</v>
      </c>
      <c r="K832" s="10" t="inlineStr">
        <is>
          <t>U</t>
        </is>
      </c>
      <c r="L832" s="12" t="n">
        <v>1036</v>
      </c>
      <c r="M832" s="14" t="n">
        <v>3.4</v>
      </c>
      <c r="N832" s="12">
        <f>ROUND(L832/M832, 0)</f>
        <v/>
      </c>
      <c r="O832" s="12">
        <f>ROUND(N832*'Methodology &amp; Assumptions'!$B$5, 0)</f>
        <v/>
      </c>
      <c r="P832" s="10" t="inlineStr">
        <is>
          <t>Single Carrier (Band n50, 100MHz TDD)</t>
        </is>
      </c>
      <c r="Q832" s="13">
        <f>ROUNDUP(O832/'Methodology &amp; Assumptions'!$B$6, 0)</f>
        <v/>
      </c>
      <c r="R832" s="13" t="n">
        <v>1</v>
      </c>
      <c r="S832" s="14" t="n">
        <v>2.3</v>
      </c>
      <c r="T832" s="14" t="n">
        <v>1.34</v>
      </c>
      <c r="U832" s="26">
        <f>IF(X832&gt;='Methodology &amp; Assumptions'!$B$7, "Tier 1 Critical GIDA (Score ≥ 50.0)", IF(X832&gt;='Methodology &amp; Assumptions'!$B$8, "Tier 2 High GIDA (Score 40.0–49.9)", "Tier 3 Moderate GIDA (Score &lt; 40.0)"))</f>
        <v/>
      </c>
      <c r="V832" s="26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W832" s="28" t="n">
        <v>0.109</v>
      </c>
      <c r="X832" s="14" t="n">
        <v>48.29</v>
      </c>
      <c r="Y832" s="14">
        <f>ROUND(MIN(100, (X832/69.91)*100), 2)</f>
        <v/>
      </c>
    </row>
    <row r="833">
      <c r="A833" s="10" t="n">
        <v>3</v>
      </c>
      <c r="B833" s="10" t="n">
        <v>829</v>
      </c>
      <c r="C833" s="10" t="n">
        <v>2829</v>
      </c>
      <c r="D833" s="10" t="inlineStr">
        <is>
          <t>PH0002829</t>
        </is>
      </c>
      <c r="E833" s="26" t="inlineStr">
        <is>
          <t>NCR</t>
        </is>
      </c>
      <c r="F833" s="26" t="inlineStr">
        <is>
          <t>Metro Manila</t>
        </is>
      </c>
      <c r="G833" s="26" t="inlineStr">
        <is>
          <t>Caloocan City</t>
        </is>
      </c>
      <c r="H833" s="26" t="inlineStr">
        <is>
          <t>Barangay 157</t>
        </is>
      </c>
      <c r="I833" s="27" t="n">
        <v>11.653</v>
      </c>
      <c r="J833" s="27" t="n">
        <v>120.972336</v>
      </c>
      <c r="K833" s="10" t="inlineStr">
        <is>
          <t>R</t>
        </is>
      </c>
      <c r="L833" s="12" t="n">
        <v>2279</v>
      </c>
      <c r="M833" s="14" t="n">
        <v>3.8</v>
      </c>
      <c r="N833" s="12">
        <f>ROUND(L833/M833, 0)</f>
        <v/>
      </c>
      <c r="O833" s="12">
        <f>ROUND(N833*'Methodology &amp; Assumptions'!$B$5, 0)</f>
        <v/>
      </c>
      <c r="P833" s="10" t="inlineStr">
        <is>
          <t>Single Carrier (Band n50, 100MHz TDD)</t>
        </is>
      </c>
      <c r="Q833" s="13">
        <f>ROUNDUP(O833/'Methodology &amp; Assumptions'!$B$6, 0)</f>
        <v/>
      </c>
      <c r="R833" s="13" t="n">
        <v>1</v>
      </c>
      <c r="S833" s="14" t="n">
        <v>75.44</v>
      </c>
      <c r="T833" s="14" t="n">
        <v>74.31</v>
      </c>
      <c r="U833" s="26">
        <f>IF(X833&gt;='Methodology &amp; Assumptions'!$B$7, "Tier 1 Critical GIDA (Score ≥ 50.0)", IF(X833&gt;='Methodology &amp; Assumptions'!$B$8, "Tier 2 High GIDA (Score 40.0–49.9)", "Tier 3 Moderate GIDA (Score &lt; 40.0)"))</f>
        <v/>
      </c>
      <c r="V833" s="26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W833" s="28" t="n">
        <v>0.011</v>
      </c>
      <c r="X833" s="14" t="n">
        <v>48.29</v>
      </c>
      <c r="Y833" s="14">
        <f>ROUND(MIN(100, (X833/69.91)*100), 2)</f>
        <v/>
      </c>
    </row>
    <row r="834">
      <c r="A834" s="10" t="n">
        <v>3</v>
      </c>
      <c r="B834" s="10" t="n">
        <v>830</v>
      </c>
      <c r="C834" s="10" t="n">
        <v>2830</v>
      </c>
      <c r="D834" s="10" t="inlineStr">
        <is>
          <t>1380601074</t>
        </is>
      </c>
      <c r="E834" s="26" t="inlineStr">
        <is>
          <t>National Capital Region (NCR)</t>
        </is>
      </c>
      <c r="F834" s="26" t="inlineStr">
        <is>
          <t>First District (Not a Province)</t>
        </is>
      </c>
      <c r="G834" s="26" t="inlineStr">
        <is>
          <t>City of Manila</t>
        </is>
      </c>
      <c r="H834" s="26" t="inlineStr">
        <is>
          <t>Barangay 74</t>
        </is>
      </c>
      <c r="I834" s="27" t="n">
        <v>12.056413</v>
      </c>
      <c r="J834" s="27" t="n">
        <v>122.36535</v>
      </c>
      <c r="K834" s="10" t="inlineStr">
        <is>
          <t>U</t>
        </is>
      </c>
      <c r="L834" s="12" t="n">
        <v>1071</v>
      </c>
      <c r="M834" s="14" t="n">
        <v>3.9</v>
      </c>
      <c r="N834" s="12">
        <f>ROUND(L834/M834, 0)</f>
        <v/>
      </c>
      <c r="O834" s="12">
        <f>ROUND(N834*'Methodology &amp; Assumptions'!$B$5, 0)</f>
        <v/>
      </c>
      <c r="P834" s="10" t="inlineStr">
        <is>
          <t>Single Carrier (Band n50, 100MHz TDD)</t>
        </is>
      </c>
      <c r="Q834" s="13">
        <f>ROUNDUP(O834/'Methodology &amp; Assumptions'!$B$6, 0)</f>
        <v/>
      </c>
      <c r="R834" s="13" t="n">
        <v>1</v>
      </c>
      <c r="S834" s="14" t="n">
        <v>38.65</v>
      </c>
      <c r="T834" s="14" t="n">
        <v>10.93</v>
      </c>
      <c r="U834" s="26">
        <f>IF(X834&gt;='Methodology &amp; Assumptions'!$B$7, "Tier 1 Critical GIDA (Score ≥ 50.0)", IF(X834&gt;='Methodology &amp; Assumptions'!$B$8, "Tier 2 High GIDA (Score 40.0–49.9)", "Tier 3 Moderate GIDA (Score &lt; 40.0)"))</f>
        <v/>
      </c>
      <c r="V834" s="26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W834" s="28" t="n">
        <v>0.109</v>
      </c>
      <c r="X834" s="14" t="n">
        <v>48.29</v>
      </c>
      <c r="Y834" s="14">
        <f>ROUND(MIN(100, (X834/69.91)*100), 2)</f>
        <v/>
      </c>
    </row>
    <row r="835">
      <c r="A835" s="10" t="n">
        <v>3</v>
      </c>
      <c r="B835" s="10" t="n">
        <v>831</v>
      </c>
      <c r="C835" s="10" t="n">
        <v>2831</v>
      </c>
      <c r="D835" s="10" t="inlineStr">
        <is>
          <t>1380601212</t>
        </is>
      </c>
      <c r="E835" s="26" t="inlineStr">
        <is>
          <t>National Capital Region (NCR)</t>
        </is>
      </c>
      <c r="F835" s="26" t="inlineStr">
        <is>
          <t>First District (Not a Province)</t>
        </is>
      </c>
      <c r="G835" s="26" t="inlineStr">
        <is>
          <t>City of Manila</t>
        </is>
      </c>
      <c r="H835" s="26" t="inlineStr">
        <is>
          <t>Barangay 211</t>
        </is>
      </c>
      <c r="I835" s="27" t="n">
        <v>13.097524</v>
      </c>
      <c r="J835" s="27" t="n">
        <v>120.7661</v>
      </c>
      <c r="K835" s="10" t="inlineStr">
        <is>
          <t>U</t>
        </is>
      </c>
      <c r="L835" s="12" t="n">
        <v>2068</v>
      </c>
      <c r="M835" s="14" t="n">
        <v>3.9</v>
      </c>
      <c r="N835" s="12">
        <f>ROUND(L835/M835, 0)</f>
        <v/>
      </c>
      <c r="O835" s="12">
        <f>ROUND(N835*'Methodology &amp; Assumptions'!$B$5, 0)</f>
        <v/>
      </c>
      <c r="P835" s="10" t="inlineStr">
        <is>
          <t>Single Carrier (Band n50, 100MHz TDD)</t>
        </is>
      </c>
      <c r="Q835" s="13">
        <f>ROUNDUP(O835/'Methodology &amp; Assumptions'!$B$6, 0)</f>
        <v/>
      </c>
      <c r="R835" s="13" t="n">
        <v>1</v>
      </c>
      <c r="S835" s="14" t="n">
        <v>46.08</v>
      </c>
      <c r="T835" s="14" t="n">
        <v>43.97</v>
      </c>
      <c r="U835" s="26">
        <f>IF(X835&gt;='Methodology &amp; Assumptions'!$B$7, "Tier 1 Critical GIDA (Score ≥ 50.0)", IF(X835&gt;='Methodology &amp; Assumptions'!$B$8, "Tier 2 High GIDA (Score 40.0–49.9)", "Tier 3 Moderate GIDA (Score &lt; 40.0)"))</f>
        <v/>
      </c>
      <c r="V835" s="26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W835" s="28" t="n">
        <v>0.109</v>
      </c>
      <c r="X835" s="14" t="n">
        <v>48.29</v>
      </c>
      <c r="Y835" s="14">
        <f>ROUND(MIN(100, (X835/69.91)*100), 2)</f>
        <v/>
      </c>
    </row>
    <row r="836">
      <c r="A836" s="10" t="n">
        <v>3</v>
      </c>
      <c r="B836" s="10" t="n">
        <v>832</v>
      </c>
      <c r="C836" s="10" t="n">
        <v>2832</v>
      </c>
      <c r="D836" s="10" t="inlineStr">
        <is>
          <t>1380614074</t>
        </is>
      </c>
      <c r="E836" s="26" t="inlineStr">
        <is>
          <t>National Capital Region (NCR)</t>
        </is>
      </c>
      <c r="F836" s="26" t="inlineStr">
        <is>
          <t>First District (Not a Province)</t>
        </is>
      </c>
      <c r="G836" s="26" t="inlineStr">
        <is>
          <t>City of Manila</t>
        </is>
      </c>
      <c r="H836" s="26" t="inlineStr">
        <is>
          <t>Barangay 881</t>
        </is>
      </c>
      <c r="I836" s="27" t="n">
        <v>13.383574</v>
      </c>
      <c r="J836" s="27" t="n">
        <v>122.669259</v>
      </c>
      <c r="K836" s="10" t="inlineStr">
        <is>
          <t>U</t>
        </is>
      </c>
      <c r="L836" s="12" t="n">
        <v>2396</v>
      </c>
      <c r="M836" s="14" t="n">
        <v>3.9</v>
      </c>
      <c r="N836" s="12">
        <f>ROUND(L836/M836, 0)</f>
        <v/>
      </c>
      <c r="O836" s="12">
        <f>ROUND(N836*'Methodology &amp; Assumptions'!$B$5, 0)</f>
        <v/>
      </c>
      <c r="P836" s="10" t="inlineStr">
        <is>
          <t>Single Carrier (Band n50, 100MHz TDD)</t>
        </is>
      </c>
      <c r="Q836" s="13">
        <f>ROUNDUP(O836/'Methodology &amp; Assumptions'!$B$6, 0)</f>
        <v/>
      </c>
      <c r="R836" s="13" t="n">
        <v>1</v>
      </c>
      <c r="S836" s="14" t="n">
        <v>6.7</v>
      </c>
      <c r="T836" s="14" t="n">
        <v>23.76</v>
      </c>
      <c r="U836" s="26">
        <f>IF(X836&gt;='Methodology &amp; Assumptions'!$B$7, "Tier 1 Critical GIDA (Score ≥ 50.0)", IF(X836&gt;='Methodology &amp; Assumptions'!$B$8, "Tier 2 High GIDA (Score 40.0–49.9)", "Tier 3 Moderate GIDA (Score &lt; 40.0)"))</f>
        <v/>
      </c>
      <c r="V836" s="26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W836" s="28" t="n">
        <v>0.109</v>
      </c>
      <c r="X836" s="14" t="n">
        <v>48.29</v>
      </c>
      <c r="Y836" s="14">
        <f>ROUND(MIN(100, (X836/69.91)*100), 2)</f>
        <v/>
      </c>
    </row>
    <row r="837">
      <c r="A837" s="10" t="n">
        <v>3</v>
      </c>
      <c r="B837" s="10" t="n">
        <v>833</v>
      </c>
      <c r="C837" s="10" t="n">
        <v>2833</v>
      </c>
      <c r="D837" s="10" t="inlineStr">
        <is>
          <t>PH0002833</t>
        </is>
      </c>
      <c r="E837" s="26" t="inlineStr">
        <is>
          <t>NCR</t>
        </is>
      </c>
      <c r="F837" s="26" t="inlineStr">
        <is>
          <t>Metro Manila</t>
        </is>
      </c>
      <c r="G837" s="26" t="inlineStr">
        <is>
          <t>Caloocan City</t>
        </is>
      </c>
      <c r="H837" s="26" t="inlineStr">
        <is>
          <t>Barangay 42</t>
        </is>
      </c>
      <c r="I837" s="27" t="n">
        <v>14.313417</v>
      </c>
      <c r="J837" s="27" t="n">
        <v>121.514672</v>
      </c>
      <c r="K837" s="10" t="inlineStr">
        <is>
          <t>R</t>
        </is>
      </c>
      <c r="L837" s="12" t="n">
        <v>2279</v>
      </c>
      <c r="M837" s="14" t="n">
        <v>3.8</v>
      </c>
      <c r="N837" s="12">
        <f>ROUND(L837/M837, 0)</f>
        <v/>
      </c>
      <c r="O837" s="12">
        <f>ROUND(N837*'Methodology &amp; Assumptions'!$B$5, 0)</f>
        <v/>
      </c>
      <c r="P837" s="10" t="inlineStr">
        <is>
          <t>Single Carrier (Band n50, 100MHz TDD)</t>
        </is>
      </c>
      <c r="Q837" s="13">
        <f>ROUNDUP(O837/'Methodology &amp; Assumptions'!$B$6, 0)</f>
        <v/>
      </c>
      <c r="R837" s="13" t="n">
        <v>1</v>
      </c>
      <c r="S837" s="14" t="n">
        <v>2.98</v>
      </c>
      <c r="T837" s="14" t="n">
        <v>4.05</v>
      </c>
      <c r="U837" s="26">
        <f>IF(X837&gt;='Methodology &amp; Assumptions'!$B$7, "Tier 1 Critical GIDA (Score ≥ 50.0)", IF(X837&gt;='Methodology &amp; Assumptions'!$B$8, "Tier 2 High GIDA (Score 40.0–49.9)", "Tier 3 Moderate GIDA (Score &lt; 40.0)"))</f>
        <v/>
      </c>
      <c r="V837" s="26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W837" s="28" t="n">
        <v>0.011</v>
      </c>
      <c r="X837" s="14" t="n">
        <v>48.29</v>
      </c>
      <c r="Y837" s="14">
        <f>ROUND(MIN(100, (X837/69.91)*100), 2)</f>
        <v/>
      </c>
    </row>
    <row r="838">
      <c r="A838" s="10" t="n">
        <v>3</v>
      </c>
      <c r="B838" s="10" t="n">
        <v>834</v>
      </c>
      <c r="C838" s="10" t="n">
        <v>2834</v>
      </c>
      <c r="D838" s="10" t="inlineStr">
        <is>
          <t>1380606078</t>
        </is>
      </c>
      <c r="E838" s="26" t="inlineStr">
        <is>
          <t>National Capital Region (NCR)</t>
        </is>
      </c>
      <c r="F838" s="26" t="inlineStr">
        <is>
          <t>First District (Not a Province)</t>
        </is>
      </c>
      <c r="G838" s="26" t="inlineStr">
        <is>
          <t>City of Manila</t>
        </is>
      </c>
      <c r="H838" s="26" t="inlineStr">
        <is>
          <t>Barangay 472</t>
        </is>
      </c>
      <c r="I838" s="27" t="n">
        <v>11.917307</v>
      </c>
      <c r="J838" s="27" t="n">
        <v>121.462727</v>
      </c>
      <c r="K838" s="10" t="inlineStr">
        <is>
          <t>U</t>
        </is>
      </c>
      <c r="L838" s="12" t="n">
        <v>1156</v>
      </c>
      <c r="M838" s="14" t="n">
        <v>3.9</v>
      </c>
      <c r="N838" s="12">
        <f>ROUND(L838/M838, 0)</f>
        <v/>
      </c>
      <c r="O838" s="12">
        <f>ROUND(N838*'Methodology &amp; Assumptions'!$B$5, 0)</f>
        <v/>
      </c>
      <c r="P838" s="10" t="inlineStr">
        <is>
          <t>Single Carrier (Band n50, 100MHz TDD)</t>
        </is>
      </c>
      <c r="Q838" s="13">
        <f>ROUNDUP(O838/'Methodology &amp; Assumptions'!$B$6, 0)</f>
        <v/>
      </c>
      <c r="R838" s="13" t="n">
        <v>1</v>
      </c>
      <c r="S838" s="14" t="n">
        <v>47.81</v>
      </c>
      <c r="T838" s="14" t="n">
        <v>44.27</v>
      </c>
      <c r="U838" s="26">
        <f>IF(X838&gt;='Methodology &amp; Assumptions'!$B$7, "Tier 1 Critical GIDA (Score ≥ 50.0)", IF(X838&gt;='Methodology &amp; Assumptions'!$B$8, "Tier 2 High GIDA (Score 40.0–49.9)", "Tier 3 Moderate GIDA (Score &lt; 40.0)"))</f>
        <v/>
      </c>
      <c r="V838" s="26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W838" s="28" t="n">
        <v>0.109</v>
      </c>
      <c r="X838" s="14" t="n">
        <v>48.29</v>
      </c>
      <c r="Y838" s="14">
        <f>ROUND(MIN(100, (X838/69.91)*100), 2)</f>
        <v/>
      </c>
    </row>
    <row r="839">
      <c r="A839" s="10" t="n">
        <v>3</v>
      </c>
      <c r="B839" s="10" t="n">
        <v>835</v>
      </c>
      <c r="C839" s="10" t="n">
        <v>2835</v>
      </c>
      <c r="D839" s="10" t="inlineStr">
        <is>
          <t>1380606039</t>
        </is>
      </c>
      <c r="E839" s="26" t="inlineStr">
        <is>
          <t>National Capital Region (NCR)</t>
        </is>
      </c>
      <c r="F839" s="26" t="inlineStr">
        <is>
          <t>First District (Not a Province)</t>
        </is>
      </c>
      <c r="G839" s="26" t="inlineStr">
        <is>
          <t>City of Manila</t>
        </is>
      </c>
      <c r="H839" s="26" t="inlineStr">
        <is>
          <t>Barangay 433</t>
        </is>
      </c>
      <c r="I839" s="27" t="n">
        <v>13.795475</v>
      </c>
      <c r="J839" s="27" t="n">
        <v>121.335946</v>
      </c>
      <c r="K839" s="10" t="inlineStr">
        <is>
          <t>U</t>
        </is>
      </c>
      <c r="L839" s="12" t="n">
        <v>478</v>
      </c>
      <c r="M839" s="14" t="n">
        <v>3.9</v>
      </c>
      <c r="N839" s="12">
        <f>ROUND(L839/M839, 0)</f>
        <v/>
      </c>
      <c r="O839" s="12">
        <f>ROUND(N839*'Methodology &amp; Assumptions'!$B$5, 0)</f>
        <v/>
      </c>
      <c r="P839" s="10" t="inlineStr">
        <is>
          <t>Single Carrier (Band n50, 100MHz TDD)</t>
        </is>
      </c>
      <c r="Q839" s="13">
        <f>ROUNDUP(O839/'Methodology &amp; Assumptions'!$B$6, 0)</f>
        <v/>
      </c>
      <c r="R839" s="13" t="n">
        <v>1</v>
      </c>
      <c r="S839" s="14" t="n">
        <v>4.9</v>
      </c>
      <c r="T839" s="14" t="n">
        <v>3.54</v>
      </c>
      <c r="U839" s="26">
        <f>IF(X839&gt;='Methodology &amp; Assumptions'!$B$7, "Tier 1 Critical GIDA (Score ≥ 50.0)", IF(X839&gt;='Methodology &amp; Assumptions'!$B$8, "Tier 2 High GIDA (Score 40.0–49.9)", "Tier 3 Moderate GIDA (Score &lt; 40.0)"))</f>
        <v/>
      </c>
      <c r="V839" s="26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W839" s="28" t="n">
        <v>0.109</v>
      </c>
      <c r="X839" s="14" t="n">
        <v>48.29</v>
      </c>
      <c r="Y839" s="14">
        <f>ROUND(MIN(100, (X839/69.91)*100), 2)</f>
        <v/>
      </c>
    </row>
    <row r="840">
      <c r="A840" s="10" t="n">
        <v>3</v>
      </c>
      <c r="B840" s="10" t="n">
        <v>836</v>
      </c>
      <c r="C840" s="10" t="n">
        <v>2836</v>
      </c>
      <c r="D840" s="10" t="inlineStr">
        <is>
          <t>1381100095</t>
        </is>
      </c>
      <c r="E840" s="26" t="inlineStr">
        <is>
          <t>National Capital Region (NCR)</t>
        </is>
      </c>
      <c r="F840" s="26" t="inlineStr">
        <is>
          <t>Fourth District (Not a Province)</t>
        </is>
      </c>
      <c r="G840" s="26" t="inlineStr">
        <is>
          <t>Pasay City</t>
        </is>
      </c>
      <c r="H840" s="26" t="inlineStr">
        <is>
          <t>Barangay 95</t>
        </is>
      </c>
      <c r="I840" s="27" t="n">
        <v>14.320234</v>
      </c>
      <c r="J840" s="27" t="n">
        <v>121.013667</v>
      </c>
      <c r="K840" s="10" t="inlineStr">
        <is>
          <t>U</t>
        </is>
      </c>
      <c r="L840" s="12" t="n">
        <v>1164</v>
      </c>
      <c r="M840" s="14" t="n">
        <v>3.4</v>
      </c>
      <c r="N840" s="12">
        <f>ROUND(L840/M840, 0)</f>
        <v/>
      </c>
      <c r="O840" s="12">
        <f>ROUND(N840*'Methodology &amp; Assumptions'!$B$5, 0)</f>
        <v/>
      </c>
      <c r="P840" s="10" t="inlineStr">
        <is>
          <t>Single Carrier (Band n50, 100MHz TDD)</t>
        </is>
      </c>
      <c r="Q840" s="13">
        <f>ROUNDUP(O840/'Methodology &amp; Assumptions'!$B$6, 0)</f>
        <v/>
      </c>
      <c r="R840" s="13" t="n">
        <v>1</v>
      </c>
      <c r="S840" s="14" t="n">
        <v>3.21</v>
      </c>
      <c r="T840" s="14" t="n">
        <v>3.5</v>
      </c>
      <c r="U840" s="26">
        <f>IF(X840&gt;='Methodology &amp; Assumptions'!$B$7, "Tier 1 Critical GIDA (Score ≥ 50.0)", IF(X840&gt;='Methodology &amp; Assumptions'!$B$8, "Tier 2 High GIDA (Score 40.0–49.9)", "Tier 3 Moderate GIDA (Score &lt; 40.0)"))</f>
        <v/>
      </c>
      <c r="V840" s="26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W840" s="28" t="n">
        <v>0.109</v>
      </c>
      <c r="X840" s="14" t="n">
        <v>48.29</v>
      </c>
      <c r="Y840" s="14">
        <f>ROUND(MIN(100, (X840/69.91)*100), 2)</f>
        <v/>
      </c>
    </row>
    <row r="841">
      <c r="A841" s="10" t="n">
        <v>3</v>
      </c>
      <c r="B841" s="10" t="n">
        <v>837</v>
      </c>
      <c r="C841" s="10" t="n">
        <v>2837</v>
      </c>
      <c r="D841" s="10" t="inlineStr">
        <is>
          <t>1380614023</t>
        </is>
      </c>
      <c r="E841" s="26" t="inlineStr">
        <is>
          <t>National Capital Region (NCR)</t>
        </is>
      </c>
      <c r="F841" s="26" t="inlineStr">
        <is>
          <t>First District (Not a Province)</t>
        </is>
      </c>
      <c r="G841" s="26" t="inlineStr">
        <is>
          <t>City of Manila</t>
        </is>
      </c>
      <c r="H841" s="26" t="inlineStr">
        <is>
          <t>Barangay 767</t>
        </is>
      </c>
      <c r="I841" s="27" t="n">
        <v>12.492502</v>
      </c>
      <c r="J841" s="27" t="n">
        <v>122.732903</v>
      </c>
      <c r="K841" s="10" t="inlineStr">
        <is>
          <t>U</t>
        </is>
      </c>
      <c r="L841" s="12" t="n">
        <v>5594</v>
      </c>
      <c r="M841" s="14" t="n">
        <v>3.9</v>
      </c>
      <c r="N841" s="12">
        <f>ROUND(L841/M841, 0)</f>
        <v/>
      </c>
      <c r="O841" s="12">
        <f>ROUND(N841*'Methodology &amp; Assumptions'!$B$5, 0)</f>
        <v/>
      </c>
      <c r="P841" s="10" t="inlineStr">
        <is>
          <t>Single Carrier (Band n50, 100MHz TDD)</t>
        </is>
      </c>
      <c r="Q841" s="13">
        <f>ROUNDUP(O841/'Methodology &amp; Assumptions'!$B$6, 0)</f>
        <v/>
      </c>
      <c r="R841" s="13" t="n">
        <v>1</v>
      </c>
      <c r="S841" s="14" t="n">
        <v>67.59</v>
      </c>
      <c r="T841" s="14" t="n">
        <v>72.13</v>
      </c>
      <c r="U841" s="26">
        <f>IF(X841&gt;='Methodology &amp; Assumptions'!$B$7, "Tier 1 Critical GIDA (Score ≥ 50.0)", IF(X841&gt;='Methodology &amp; Assumptions'!$B$8, "Tier 2 High GIDA (Score 40.0–49.9)", "Tier 3 Moderate GIDA (Score &lt; 40.0)"))</f>
        <v/>
      </c>
      <c r="V841" s="26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W841" s="28" t="n">
        <v>0.109</v>
      </c>
      <c r="X841" s="14" t="n">
        <v>48.28</v>
      </c>
      <c r="Y841" s="14">
        <f>ROUND(MIN(100, (X841/69.91)*100), 2)</f>
        <v/>
      </c>
    </row>
    <row r="842">
      <c r="A842" s="10" t="n">
        <v>3</v>
      </c>
      <c r="B842" s="10" t="n">
        <v>838</v>
      </c>
      <c r="C842" s="10" t="n">
        <v>2838</v>
      </c>
      <c r="D842" s="10" t="inlineStr">
        <is>
          <t>1380606182</t>
        </is>
      </c>
      <c r="E842" s="26" t="inlineStr">
        <is>
          <t>National Capital Region (NCR)</t>
        </is>
      </c>
      <c r="F842" s="26" t="inlineStr">
        <is>
          <t>First District (Not a Province)</t>
        </is>
      </c>
      <c r="G842" s="26" t="inlineStr">
        <is>
          <t>City of Manila</t>
        </is>
      </c>
      <c r="H842" s="26" t="inlineStr">
        <is>
          <t>Barangay 576</t>
        </is>
      </c>
      <c r="I842" s="27" t="n">
        <v>12.533184</v>
      </c>
      <c r="J842" s="27" t="n">
        <v>120.797383</v>
      </c>
      <c r="K842" s="10" t="inlineStr">
        <is>
          <t>U</t>
        </is>
      </c>
      <c r="L842" s="12" t="n">
        <v>3712</v>
      </c>
      <c r="M842" s="14" t="n">
        <v>3.9</v>
      </c>
      <c r="N842" s="12">
        <f>ROUND(L842/M842, 0)</f>
        <v/>
      </c>
      <c r="O842" s="12">
        <f>ROUND(N842*'Methodology &amp; Assumptions'!$B$5, 0)</f>
        <v/>
      </c>
      <c r="P842" s="10" t="inlineStr">
        <is>
          <t>Single Carrier (Band n50, 100MHz TDD)</t>
        </is>
      </c>
      <c r="Q842" s="13">
        <f>ROUNDUP(O842/'Methodology &amp; Assumptions'!$B$6, 0)</f>
        <v/>
      </c>
      <c r="R842" s="13" t="n">
        <v>1</v>
      </c>
      <c r="S842" s="14" t="n">
        <v>35.4</v>
      </c>
      <c r="T842" s="14" t="n">
        <v>33.54</v>
      </c>
      <c r="U842" s="26">
        <f>IF(X842&gt;='Methodology &amp; Assumptions'!$B$7, "Tier 1 Critical GIDA (Score ≥ 50.0)", IF(X842&gt;='Methodology &amp; Assumptions'!$B$8, "Tier 2 High GIDA (Score 40.0–49.9)", "Tier 3 Moderate GIDA (Score &lt; 40.0)"))</f>
        <v/>
      </c>
      <c r="V842" s="26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W842" s="28" t="n">
        <v>0.109</v>
      </c>
      <c r="X842" s="14" t="n">
        <v>48.28</v>
      </c>
      <c r="Y842" s="14">
        <f>ROUND(MIN(100, (X842/69.91)*100), 2)</f>
        <v/>
      </c>
    </row>
    <row r="843">
      <c r="A843" s="10" t="n">
        <v>3</v>
      </c>
      <c r="B843" s="10" t="n">
        <v>839</v>
      </c>
      <c r="C843" s="10" t="n">
        <v>2839</v>
      </c>
      <c r="D843" s="10" t="inlineStr">
        <is>
          <t>1381100125</t>
        </is>
      </c>
      <c r="E843" s="26" t="inlineStr">
        <is>
          <t>National Capital Region (NCR)</t>
        </is>
      </c>
      <c r="F843" s="26" t="inlineStr">
        <is>
          <t>Fourth District (Not a Province)</t>
        </is>
      </c>
      <c r="G843" s="26" t="inlineStr">
        <is>
          <t>Pasay City</t>
        </is>
      </c>
      <c r="H843" s="26" t="inlineStr">
        <is>
          <t>Barangay 125</t>
        </is>
      </c>
      <c r="I843" s="27" t="n">
        <v>14.698068</v>
      </c>
      <c r="J843" s="27" t="n">
        <v>120.841362</v>
      </c>
      <c r="K843" s="10" t="inlineStr">
        <is>
          <t>U</t>
        </is>
      </c>
      <c r="L843" s="12" t="n">
        <v>1551</v>
      </c>
      <c r="M843" s="14" t="n">
        <v>3.4</v>
      </c>
      <c r="N843" s="12">
        <f>ROUND(L843/M843, 0)</f>
        <v/>
      </c>
      <c r="O843" s="12">
        <f>ROUND(N843*'Methodology &amp; Assumptions'!$B$5, 0)</f>
        <v/>
      </c>
      <c r="P843" s="10" t="inlineStr">
        <is>
          <t>Single Carrier (Band n50, 100MHz TDD)</t>
        </is>
      </c>
      <c r="Q843" s="13">
        <f>ROUNDUP(O843/'Methodology &amp; Assumptions'!$B$6, 0)</f>
        <v/>
      </c>
      <c r="R843" s="13" t="n">
        <v>1</v>
      </c>
      <c r="S843" s="14" t="n">
        <v>10.33</v>
      </c>
      <c r="T843" s="14" t="n">
        <v>10.97</v>
      </c>
      <c r="U843" s="26">
        <f>IF(X843&gt;='Methodology &amp; Assumptions'!$B$7, "Tier 1 Critical GIDA (Score ≥ 50.0)", IF(X843&gt;='Methodology &amp; Assumptions'!$B$8, "Tier 2 High GIDA (Score 40.0–49.9)", "Tier 3 Moderate GIDA (Score &lt; 40.0)"))</f>
        <v/>
      </c>
      <c r="V843" s="26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W843" s="28" t="n">
        <v>0.109</v>
      </c>
      <c r="X843" s="14" t="n">
        <v>48.28</v>
      </c>
      <c r="Y843" s="14">
        <f>ROUND(MIN(100, (X843/69.91)*100), 2)</f>
        <v/>
      </c>
    </row>
    <row r="844">
      <c r="A844" s="10" t="n">
        <v>3</v>
      </c>
      <c r="B844" s="10" t="n">
        <v>840</v>
      </c>
      <c r="C844" s="10" t="n">
        <v>2840</v>
      </c>
      <c r="D844" s="10" t="inlineStr">
        <is>
          <t>PH0002840</t>
        </is>
      </c>
      <c r="E844" s="26" t="inlineStr">
        <is>
          <t>NCR</t>
        </is>
      </c>
      <c r="F844" s="26" t="inlineStr">
        <is>
          <t>Metro Manila</t>
        </is>
      </c>
      <c r="G844" s="26" t="inlineStr">
        <is>
          <t>Caloocan City</t>
        </is>
      </c>
      <c r="H844" s="26" t="inlineStr">
        <is>
          <t>Barangay 56</t>
        </is>
      </c>
      <c r="I844" s="27" t="n">
        <v>11.992622</v>
      </c>
      <c r="J844" s="27" t="n">
        <v>122.959899</v>
      </c>
      <c r="K844" s="10" t="inlineStr">
        <is>
          <t>R</t>
        </is>
      </c>
      <c r="L844" s="12" t="n">
        <v>2279</v>
      </c>
      <c r="M844" s="14" t="n">
        <v>3.8</v>
      </c>
      <c r="N844" s="12">
        <f>ROUND(L844/M844, 0)</f>
        <v/>
      </c>
      <c r="O844" s="12">
        <f>ROUND(N844*'Methodology &amp; Assumptions'!$B$5, 0)</f>
        <v/>
      </c>
      <c r="P844" s="10" t="inlineStr">
        <is>
          <t>Single Carrier (Band n50, 100MHz TDD)</t>
        </is>
      </c>
      <c r="Q844" s="13">
        <f>ROUNDUP(O844/'Methodology &amp; Assumptions'!$B$6, 0)</f>
        <v/>
      </c>
      <c r="R844" s="13" t="n">
        <v>1</v>
      </c>
      <c r="S844" s="14" t="n">
        <v>31.63</v>
      </c>
      <c r="T844" s="14" t="n">
        <v>21.67</v>
      </c>
      <c r="U844" s="26">
        <f>IF(X844&gt;='Methodology &amp; Assumptions'!$B$7, "Tier 1 Critical GIDA (Score ≥ 50.0)", IF(X844&gt;='Methodology &amp; Assumptions'!$B$8, "Tier 2 High GIDA (Score 40.0–49.9)", "Tier 3 Moderate GIDA (Score &lt; 40.0)"))</f>
        <v/>
      </c>
      <c r="V844" s="26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W844" s="28" t="n">
        <v>0.011</v>
      </c>
      <c r="X844" s="14" t="n">
        <v>48.28</v>
      </c>
      <c r="Y844" s="14">
        <f>ROUND(MIN(100, (X844/69.91)*100), 2)</f>
        <v/>
      </c>
    </row>
    <row r="845">
      <c r="A845" s="10" t="n">
        <v>3</v>
      </c>
      <c r="B845" s="10" t="n">
        <v>841</v>
      </c>
      <c r="C845" s="10" t="n">
        <v>2841</v>
      </c>
      <c r="D845" s="10" t="inlineStr">
        <is>
          <t>1380606152</t>
        </is>
      </c>
      <c r="E845" s="26" t="inlineStr">
        <is>
          <t>National Capital Region (NCR)</t>
        </is>
      </c>
      <c r="F845" s="26" t="inlineStr">
        <is>
          <t>First District (Not a Province)</t>
        </is>
      </c>
      <c r="G845" s="26" t="inlineStr">
        <is>
          <t>City of Manila</t>
        </is>
      </c>
      <c r="H845" s="26" t="inlineStr">
        <is>
          <t>Barangay 546</t>
        </is>
      </c>
      <c r="I845" s="27" t="n">
        <v>13.779568</v>
      </c>
      <c r="J845" s="27" t="n">
        <v>122.254532</v>
      </c>
      <c r="K845" s="10" t="inlineStr">
        <is>
          <t>U</t>
        </is>
      </c>
      <c r="L845" s="12" t="n">
        <v>919</v>
      </c>
      <c r="M845" s="14" t="n">
        <v>3.9</v>
      </c>
      <c r="N845" s="12">
        <f>ROUND(L845/M845, 0)</f>
        <v/>
      </c>
      <c r="O845" s="12">
        <f>ROUND(N845*'Methodology &amp; Assumptions'!$B$5, 0)</f>
        <v/>
      </c>
      <c r="P845" s="10" t="inlineStr">
        <is>
          <t>Single Carrier (Band n50, 100MHz TDD)</t>
        </is>
      </c>
      <c r="Q845" s="13">
        <f>ROUNDUP(O845/'Methodology &amp; Assumptions'!$B$6, 0)</f>
        <v/>
      </c>
      <c r="R845" s="13" t="n">
        <v>1</v>
      </c>
      <c r="S845" s="14" t="n">
        <v>9.630000000000001</v>
      </c>
      <c r="T845" s="14" t="n">
        <v>9.69</v>
      </c>
      <c r="U845" s="26">
        <f>IF(X845&gt;='Methodology &amp; Assumptions'!$B$7, "Tier 1 Critical GIDA (Score ≥ 50.0)", IF(X845&gt;='Methodology &amp; Assumptions'!$B$8, "Tier 2 High GIDA (Score 40.0–49.9)", "Tier 3 Moderate GIDA (Score &lt; 40.0)"))</f>
        <v/>
      </c>
      <c r="V845" s="26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W845" s="28" t="n">
        <v>0.109</v>
      </c>
      <c r="X845" s="14" t="n">
        <v>48.28</v>
      </c>
      <c r="Y845" s="14">
        <f>ROUND(MIN(100, (X845/69.91)*100), 2)</f>
        <v/>
      </c>
    </row>
    <row r="846">
      <c r="A846" s="10" t="n">
        <v>3</v>
      </c>
      <c r="B846" s="10" t="n">
        <v>842</v>
      </c>
      <c r="C846" s="10" t="n">
        <v>2842</v>
      </c>
      <c r="D846" s="10" t="inlineStr">
        <is>
          <t>PH0002842</t>
        </is>
      </c>
      <c r="E846" s="26" t="inlineStr">
        <is>
          <t>NCR</t>
        </is>
      </c>
      <c r="F846" s="26" t="inlineStr">
        <is>
          <t>Metro Manila</t>
        </is>
      </c>
      <c r="G846" s="26" t="inlineStr">
        <is>
          <t>Caloocan City</t>
        </is>
      </c>
      <c r="H846" s="26" t="inlineStr">
        <is>
          <t>Barangay 150</t>
        </is>
      </c>
      <c r="I846" s="27" t="n">
        <v>12.75258</v>
      </c>
      <c r="J846" s="27" t="n">
        <v>120.283516</v>
      </c>
      <c r="K846" s="10" t="inlineStr">
        <is>
          <t>R</t>
        </is>
      </c>
      <c r="L846" s="12" t="n">
        <v>2279</v>
      </c>
      <c r="M846" s="14" t="n">
        <v>3.8</v>
      </c>
      <c r="N846" s="12">
        <f>ROUND(L846/M846, 0)</f>
        <v/>
      </c>
      <c r="O846" s="12">
        <f>ROUND(N846*'Methodology &amp; Assumptions'!$B$5, 0)</f>
        <v/>
      </c>
      <c r="P846" s="10" t="inlineStr">
        <is>
          <t>Single Carrier (Band n50, 100MHz TDD)</t>
        </is>
      </c>
      <c r="Q846" s="13">
        <f>ROUNDUP(O846/'Methodology &amp; Assumptions'!$B$6, 0)</f>
        <v/>
      </c>
      <c r="R846" s="13" t="n">
        <v>1</v>
      </c>
      <c r="S846" s="14" t="n">
        <v>78.64</v>
      </c>
      <c r="T846" s="14" t="n">
        <v>94.17</v>
      </c>
      <c r="U846" s="26">
        <f>IF(X846&gt;='Methodology &amp; Assumptions'!$B$7, "Tier 1 Critical GIDA (Score ≥ 50.0)", IF(X846&gt;='Methodology &amp; Assumptions'!$B$8, "Tier 2 High GIDA (Score 40.0–49.9)", "Tier 3 Moderate GIDA (Score &lt; 40.0)"))</f>
        <v/>
      </c>
      <c r="V846" s="26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W846" s="28" t="n">
        <v>0.011</v>
      </c>
      <c r="X846" s="14" t="n">
        <v>48.27</v>
      </c>
      <c r="Y846" s="14">
        <f>ROUND(MIN(100, (X846/69.91)*100), 2)</f>
        <v/>
      </c>
    </row>
    <row r="847">
      <c r="A847" s="10" t="n">
        <v>3</v>
      </c>
      <c r="B847" s="10" t="n">
        <v>843</v>
      </c>
      <c r="C847" s="10" t="n">
        <v>2843</v>
      </c>
      <c r="D847" s="10" t="inlineStr">
        <is>
          <t>1408103017</t>
        </is>
      </c>
      <c r="E847" s="26" t="inlineStr">
        <is>
          <t>Cordillera Administrative Region (CAR)</t>
        </is>
      </c>
      <c r="F847" s="26" t="inlineStr">
        <is>
          <t>Apayao</t>
        </is>
      </c>
      <c r="G847" s="26" t="inlineStr">
        <is>
          <t>Flora</t>
        </is>
      </c>
      <c r="H847" s="26" t="inlineStr">
        <is>
          <t>Upper Atok</t>
        </is>
      </c>
      <c r="I847" s="27" t="n">
        <v>18.081305</v>
      </c>
      <c r="J847" s="27" t="n">
        <v>121.355218</v>
      </c>
      <c r="K847" s="10" t="inlineStr">
        <is>
          <t>R</t>
        </is>
      </c>
      <c r="L847" s="12" t="n">
        <v>315</v>
      </c>
      <c r="M847" s="14" t="n">
        <v>4.2</v>
      </c>
      <c r="N847" s="12">
        <f>ROUND(L847/M847, 0)</f>
        <v/>
      </c>
      <c r="O847" s="12">
        <f>ROUND(N847*'Methodology &amp; Assumptions'!$B$5, 0)</f>
        <v/>
      </c>
      <c r="P847" s="10" t="inlineStr">
        <is>
          <t>Single Carrier (Band n50, 100MHz TDD)</t>
        </is>
      </c>
      <c r="Q847" s="13">
        <f>ROUNDUP(O847/'Methodology &amp; Assumptions'!$B$6, 0)</f>
        <v/>
      </c>
      <c r="R847" s="13" t="n">
        <v>1</v>
      </c>
      <c r="S847" s="14" t="n">
        <v>5.06</v>
      </c>
      <c r="T847" s="14" t="n">
        <v>1.21</v>
      </c>
      <c r="U847" s="26">
        <f>IF(X847&gt;='Methodology &amp; Assumptions'!$B$7, "Tier 1 Critical GIDA (Score ≥ 50.0)", IF(X847&gt;='Methodology &amp; Assumptions'!$B$8, "Tier 2 High GIDA (Score 40.0–49.9)", "Tier 3 Moderate GIDA (Score &lt; 40.0)"))</f>
        <v/>
      </c>
      <c r="V847" s="26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W847" s="28" t="n">
        <v>0.109</v>
      </c>
      <c r="X847" s="14" t="n">
        <v>48.27</v>
      </c>
      <c r="Y847" s="14">
        <f>ROUND(MIN(100, (X847/69.91)*100), 2)</f>
        <v/>
      </c>
    </row>
    <row r="848">
      <c r="A848" s="10" t="n">
        <v>3</v>
      </c>
      <c r="B848" s="10" t="n">
        <v>844</v>
      </c>
      <c r="C848" s="10" t="n">
        <v>2844</v>
      </c>
      <c r="D848" s="10" t="inlineStr">
        <is>
          <t>PH0002844</t>
        </is>
      </c>
      <c r="E848" s="26" t="inlineStr">
        <is>
          <t>IV-B</t>
        </is>
      </c>
      <c r="F848" s="26" t="inlineStr">
        <is>
          <t>Palawan</t>
        </is>
      </c>
      <c r="G848" s="26" t="inlineStr">
        <is>
          <t>Puerto Princesa City</t>
        </is>
      </c>
      <c r="H848" s="26" t="inlineStr">
        <is>
          <t>Pagkakaisa (Pob.)</t>
        </is>
      </c>
      <c r="I848" s="27" t="n">
        <v>9.869813000000001</v>
      </c>
      <c r="J848" s="27" t="n">
        <v>118.78544</v>
      </c>
      <c r="K848" s="10" t="inlineStr">
        <is>
          <t>R</t>
        </is>
      </c>
      <c r="L848" s="12" t="n">
        <v>2597</v>
      </c>
      <c r="M848" s="14" t="n">
        <v>3.9</v>
      </c>
      <c r="N848" s="12">
        <f>ROUND(L848/M848, 0)</f>
        <v/>
      </c>
      <c r="O848" s="12">
        <f>ROUND(N848*'Methodology &amp; Assumptions'!$B$5, 0)</f>
        <v/>
      </c>
      <c r="P848" s="10" t="inlineStr">
        <is>
          <t>Single Carrier (Band n50, 100MHz TDD)</t>
        </is>
      </c>
      <c r="Q848" s="13">
        <f>ROUNDUP(O848/'Methodology &amp; Assumptions'!$B$6, 0)</f>
        <v/>
      </c>
      <c r="R848" s="13" t="n">
        <v>1</v>
      </c>
      <c r="S848" s="14" t="n">
        <v>6.41</v>
      </c>
      <c r="T848" s="14" t="n">
        <v>5.36</v>
      </c>
      <c r="U848" s="26">
        <f>IF(X848&gt;='Methodology &amp; Assumptions'!$B$7, "Tier 1 Critical GIDA (Score ≥ 50.0)", IF(X848&gt;='Methodology &amp; Assumptions'!$B$8, "Tier 2 High GIDA (Score 40.0–49.9)", "Tier 3 Moderate GIDA (Score &lt; 40.0)"))</f>
        <v/>
      </c>
      <c r="V848" s="26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W848" s="28" t="n">
        <v>0.109</v>
      </c>
      <c r="X848" s="14" t="n">
        <v>48.27</v>
      </c>
      <c r="Y848" s="14">
        <f>ROUND(MIN(100, (X848/69.91)*100), 2)</f>
        <v/>
      </c>
    </row>
    <row r="849">
      <c r="A849" s="10" t="n">
        <v>3</v>
      </c>
      <c r="B849" s="10" t="n">
        <v>845</v>
      </c>
      <c r="C849" s="10" t="n">
        <v>2845</v>
      </c>
      <c r="D849" s="10" t="inlineStr">
        <is>
          <t>1380605001</t>
        </is>
      </c>
      <c r="E849" s="26" t="inlineStr">
        <is>
          <t>National Capital Region (NCR)</t>
        </is>
      </c>
      <c r="F849" s="26" t="inlineStr">
        <is>
          <t>First District (Not a Province)</t>
        </is>
      </c>
      <c r="G849" s="26" t="inlineStr">
        <is>
          <t>City of Manila</t>
        </is>
      </c>
      <c r="H849" s="26" t="inlineStr">
        <is>
          <t>Barangay 297</t>
        </is>
      </c>
      <c r="I849" s="27" t="n">
        <v>11.898469</v>
      </c>
      <c r="J849" s="27" t="n">
        <v>122.043706</v>
      </c>
      <c r="K849" s="10" t="inlineStr">
        <is>
          <t>U</t>
        </is>
      </c>
      <c r="L849" s="12" t="n">
        <v>2066</v>
      </c>
      <c r="M849" s="14" t="n">
        <v>3.9</v>
      </c>
      <c r="N849" s="12">
        <f>ROUND(L849/M849, 0)</f>
        <v/>
      </c>
      <c r="O849" s="12">
        <f>ROUND(N849*'Methodology &amp; Assumptions'!$B$5, 0)</f>
        <v/>
      </c>
      <c r="P849" s="10" t="inlineStr">
        <is>
          <t>Single Carrier (Band n50, 100MHz TDD)</t>
        </is>
      </c>
      <c r="Q849" s="13">
        <f>ROUNDUP(O849/'Methodology &amp; Assumptions'!$B$6, 0)</f>
        <v/>
      </c>
      <c r="R849" s="13" t="n">
        <v>1</v>
      </c>
      <c r="S849" s="14" t="n">
        <v>12.01</v>
      </c>
      <c r="T849" s="14" t="n">
        <v>3.06</v>
      </c>
      <c r="U849" s="26">
        <f>IF(X849&gt;='Methodology &amp; Assumptions'!$B$7, "Tier 1 Critical GIDA (Score ≥ 50.0)", IF(X849&gt;='Methodology &amp; Assumptions'!$B$8, "Tier 2 High GIDA (Score 40.0–49.9)", "Tier 3 Moderate GIDA (Score &lt; 40.0)"))</f>
        <v/>
      </c>
      <c r="V849" s="26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W849" s="28" t="n">
        <v>0.109</v>
      </c>
      <c r="X849" s="14" t="n">
        <v>48.27</v>
      </c>
      <c r="Y849" s="14">
        <f>ROUND(MIN(100, (X849/69.91)*100), 2)</f>
        <v/>
      </c>
    </row>
    <row r="850">
      <c r="A850" s="10" t="n">
        <v>3</v>
      </c>
      <c r="B850" s="10" t="n">
        <v>846</v>
      </c>
      <c r="C850" s="10" t="n">
        <v>2846</v>
      </c>
      <c r="D850" s="10" t="inlineStr">
        <is>
          <t>PH0002846</t>
        </is>
      </c>
      <c r="E850" s="26" t="inlineStr">
        <is>
          <t>NCR</t>
        </is>
      </c>
      <c r="F850" s="26" t="inlineStr">
        <is>
          <t>Metro Manila</t>
        </is>
      </c>
      <c r="G850" s="26" t="inlineStr">
        <is>
          <t>Caloocan City</t>
        </is>
      </c>
      <c r="H850" s="26" t="inlineStr">
        <is>
          <t>Barangay 97</t>
        </is>
      </c>
      <c r="I850" s="27" t="n">
        <v>13.956039</v>
      </c>
      <c r="J850" s="27" t="n">
        <v>122.785738</v>
      </c>
      <c r="K850" s="10" t="inlineStr">
        <is>
          <t>R</t>
        </is>
      </c>
      <c r="L850" s="12" t="n">
        <v>2279</v>
      </c>
      <c r="M850" s="14" t="n">
        <v>3.8</v>
      </c>
      <c r="N850" s="12">
        <f>ROUND(L850/M850, 0)</f>
        <v/>
      </c>
      <c r="O850" s="12">
        <f>ROUND(N850*'Methodology &amp; Assumptions'!$B$5, 0)</f>
        <v/>
      </c>
      <c r="P850" s="10" t="inlineStr">
        <is>
          <t>Single Carrier (Band n50, 100MHz TDD)</t>
        </is>
      </c>
      <c r="Q850" s="13">
        <f>ROUNDUP(O850/'Methodology &amp; Assumptions'!$B$6, 0)</f>
        <v/>
      </c>
      <c r="R850" s="13" t="n">
        <v>1</v>
      </c>
      <c r="S850" s="14" t="n">
        <v>12.26</v>
      </c>
      <c r="T850" s="14" t="n">
        <v>13.72</v>
      </c>
      <c r="U850" s="26">
        <f>IF(X850&gt;='Methodology &amp; Assumptions'!$B$7, "Tier 1 Critical GIDA (Score ≥ 50.0)", IF(X850&gt;='Methodology &amp; Assumptions'!$B$8, "Tier 2 High GIDA (Score 40.0–49.9)", "Tier 3 Moderate GIDA (Score &lt; 40.0)"))</f>
        <v/>
      </c>
      <c r="V850" s="26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W850" s="28" t="n">
        <v>0.011</v>
      </c>
      <c r="X850" s="14" t="n">
        <v>48.27</v>
      </c>
      <c r="Y850" s="14">
        <f>ROUND(MIN(100, (X850/69.91)*100), 2)</f>
        <v/>
      </c>
    </row>
    <row r="851">
      <c r="A851" s="10" t="n">
        <v>3</v>
      </c>
      <c r="B851" s="10" t="n">
        <v>847</v>
      </c>
      <c r="C851" s="10" t="n">
        <v>2847</v>
      </c>
      <c r="D851" s="10" t="inlineStr">
        <is>
          <t>0401008015</t>
        </is>
      </c>
      <c r="E851" s="26" t="inlineStr">
        <is>
          <t>Region IV-A (CALABARZON)</t>
        </is>
      </c>
      <c r="F851" s="26" t="inlineStr">
        <is>
          <t>Batangas</t>
        </is>
      </c>
      <c r="G851" s="26" t="inlineStr">
        <is>
          <t>Calatagan</t>
        </is>
      </c>
      <c r="H851" s="26" t="inlineStr">
        <is>
          <t>Paraiso</t>
        </is>
      </c>
      <c r="I851" s="27" t="n">
        <v>13.913219</v>
      </c>
      <c r="J851" s="27" t="n">
        <v>120.66787</v>
      </c>
      <c r="K851" s="10" t="inlineStr">
        <is>
          <t>R</t>
        </is>
      </c>
      <c r="L851" s="12" t="n">
        <v>1422</v>
      </c>
      <c r="M851" s="14" t="n">
        <v>3.6</v>
      </c>
      <c r="N851" s="12">
        <f>ROUND(L851/M851, 0)</f>
        <v/>
      </c>
      <c r="O851" s="12">
        <f>ROUND(N851*'Methodology &amp; Assumptions'!$B$5, 0)</f>
        <v/>
      </c>
      <c r="P851" s="10" t="inlineStr">
        <is>
          <t>Single Carrier (Band n50, 100MHz TDD)</t>
        </is>
      </c>
      <c r="Q851" s="13">
        <f>ROUNDUP(O851/'Methodology &amp; Assumptions'!$B$6, 0)</f>
        <v/>
      </c>
      <c r="R851" s="13" t="n">
        <v>1</v>
      </c>
      <c r="S851" s="14" t="n">
        <v>3</v>
      </c>
      <c r="T851" s="14" t="n">
        <v>3</v>
      </c>
      <c r="U851" s="26">
        <f>IF(X851&gt;='Methodology &amp; Assumptions'!$B$7, "Tier 1 Critical GIDA (Score ≥ 50.0)", IF(X851&gt;='Methodology &amp; Assumptions'!$B$8, "Tier 2 High GIDA (Score 40.0–49.9)", "Tier 3 Moderate GIDA (Score &lt; 40.0)"))</f>
        <v/>
      </c>
      <c r="V851" s="26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W851" s="28" t="n">
        <v>0.07200000000000001</v>
      </c>
      <c r="X851" s="14" t="n">
        <v>48.27</v>
      </c>
      <c r="Y851" s="14">
        <f>ROUND(MIN(100, (X851/69.91)*100), 2)</f>
        <v/>
      </c>
    </row>
    <row r="852">
      <c r="A852" s="10" t="n">
        <v>3</v>
      </c>
      <c r="B852" s="10" t="n">
        <v>848</v>
      </c>
      <c r="C852" s="10" t="n">
        <v>2848</v>
      </c>
      <c r="D852" s="10" t="inlineStr">
        <is>
          <t>1380601248</t>
        </is>
      </c>
      <c r="E852" s="26" t="inlineStr">
        <is>
          <t>National Capital Region (NCR)</t>
        </is>
      </c>
      <c r="F852" s="26" t="inlineStr">
        <is>
          <t>First District (Not a Province)</t>
        </is>
      </c>
      <c r="G852" s="26" t="inlineStr">
        <is>
          <t>City of Manila</t>
        </is>
      </c>
      <c r="H852" s="26" t="inlineStr">
        <is>
          <t>Barangay 247</t>
        </is>
      </c>
      <c r="I852" s="27" t="n">
        <v>13.426238</v>
      </c>
      <c r="J852" s="27" t="n">
        <v>120.893965</v>
      </c>
      <c r="K852" s="10" t="inlineStr">
        <is>
          <t>U</t>
        </is>
      </c>
      <c r="L852" s="12" t="n">
        <v>759</v>
      </c>
      <c r="M852" s="14" t="n">
        <v>3.9</v>
      </c>
      <c r="N852" s="12">
        <f>ROUND(L852/M852, 0)</f>
        <v/>
      </c>
      <c r="O852" s="12">
        <f>ROUND(N852*'Methodology &amp; Assumptions'!$B$5, 0)</f>
        <v/>
      </c>
      <c r="P852" s="10" t="inlineStr">
        <is>
          <t>Single Carrier (Band n50, 100MHz TDD)</t>
        </is>
      </c>
      <c r="Q852" s="13">
        <f>ROUNDUP(O852/'Methodology &amp; Assumptions'!$B$6, 0)</f>
        <v/>
      </c>
      <c r="R852" s="13" t="n">
        <v>1</v>
      </c>
      <c r="S852" s="14" t="n">
        <v>8.6</v>
      </c>
      <c r="T852" s="14" t="n">
        <v>7.97</v>
      </c>
      <c r="U852" s="26">
        <f>IF(X852&gt;='Methodology &amp; Assumptions'!$B$7, "Tier 1 Critical GIDA (Score ≥ 50.0)", IF(X852&gt;='Methodology &amp; Assumptions'!$B$8, "Tier 2 High GIDA (Score 40.0–49.9)", "Tier 3 Moderate GIDA (Score &lt; 40.0)"))</f>
        <v/>
      </c>
      <c r="V852" s="26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W852" s="28" t="n">
        <v>0.109</v>
      </c>
      <c r="X852" s="14" t="n">
        <v>48.27</v>
      </c>
      <c r="Y852" s="14">
        <f>ROUND(MIN(100, (X852/69.91)*100), 2)</f>
        <v/>
      </c>
    </row>
    <row r="853">
      <c r="A853" s="10" t="n">
        <v>3</v>
      </c>
      <c r="B853" s="10" t="n">
        <v>849</v>
      </c>
      <c r="C853" s="10" t="n">
        <v>2849</v>
      </c>
      <c r="D853" s="10" t="inlineStr">
        <is>
          <t>1380606049</t>
        </is>
      </c>
      <c r="E853" s="26" t="inlineStr">
        <is>
          <t>National Capital Region (NCR)</t>
        </is>
      </c>
      <c r="F853" s="26" t="inlineStr">
        <is>
          <t>First District (Not a Province)</t>
        </is>
      </c>
      <c r="G853" s="26" t="inlineStr">
        <is>
          <t>City of Manila</t>
        </is>
      </c>
      <c r="H853" s="26" t="inlineStr">
        <is>
          <t>Barangay 443</t>
        </is>
      </c>
      <c r="I853" s="27" t="n">
        <v>13.056568</v>
      </c>
      <c r="J853" s="27" t="n">
        <v>122.802959</v>
      </c>
      <c r="K853" s="10" t="inlineStr">
        <is>
          <t>U</t>
        </is>
      </c>
      <c r="L853" s="12" t="n">
        <v>1424</v>
      </c>
      <c r="M853" s="14" t="n">
        <v>3.9</v>
      </c>
      <c r="N853" s="12">
        <f>ROUND(L853/M853, 0)</f>
        <v/>
      </c>
      <c r="O853" s="12">
        <f>ROUND(N853*'Methodology &amp; Assumptions'!$B$5, 0)</f>
        <v/>
      </c>
      <c r="P853" s="10" t="inlineStr">
        <is>
          <t>Single Carrier (Band n50, 100MHz TDD)</t>
        </is>
      </c>
      <c r="Q853" s="13">
        <f>ROUNDUP(O853/'Methodology &amp; Assumptions'!$B$6, 0)</f>
        <v/>
      </c>
      <c r="R853" s="13" t="n">
        <v>1</v>
      </c>
      <c r="S853" s="14" t="n">
        <v>21.66</v>
      </c>
      <c r="T853" s="14" t="n">
        <v>55.67</v>
      </c>
      <c r="U853" s="26">
        <f>IF(X853&gt;='Methodology &amp; Assumptions'!$B$7, "Tier 1 Critical GIDA (Score ≥ 50.0)", IF(X853&gt;='Methodology &amp; Assumptions'!$B$8, "Tier 2 High GIDA (Score 40.0–49.9)", "Tier 3 Moderate GIDA (Score &lt; 40.0)"))</f>
        <v/>
      </c>
      <c r="V853" s="26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W853" s="28" t="n">
        <v>0.109</v>
      </c>
      <c r="X853" s="14" t="n">
        <v>48.27</v>
      </c>
      <c r="Y853" s="14">
        <f>ROUND(MIN(100, (X853/69.91)*100), 2)</f>
        <v/>
      </c>
    </row>
    <row r="854">
      <c r="A854" s="10" t="n">
        <v>3</v>
      </c>
      <c r="B854" s="10" t="n">
        <v>850</v>
      </c>
      <c r="C854" s="10" t="n">
        <v>2850</v>
      </c>
      <c r="D854" s="10" t="inlineStr">
        <is>
          <t>1380612036</t>
        </is>
      </c>
      <c r="E854" s="26" t="inlineStr">
        <is>
          <t>National Capital Region (NCR)</t>
        </is>
      </c>
      <c r="F854" s="26" t="inlineStr">
        <is>
          <t>First District (Not a Province)</t>
        </is>
      </c>
      <c r="G854" s="26" t="inlineStr">
        <is>
          <t>City of Manila</t>
        </is>
      </c>
      <c r="H854" s="26" t="inlineStr">
        <is>
          <t>Barangay 870</t>
        </is>
      </c>
      <c r="I854" s="27" t="n">
        <v>12.070564</v>
      </c>
      <c r="J854" s="27" t="n">
        <v>121.137104</v>
      </c>
      <c r="K854" s="10" t="inlineStr">
        <is>
          <t>U</t>
        </is>
      </c>
      <c r="L854" s="12" t="n">
        <v>3142</v>
      </c>
      <c r="M854" s="14" t="n">
        <v>3.9</v>
      </c>
      <c r="N854" s="12">
        <f>ROUND(L854/M854, 0)</f>
        <v/>
      </c>
      <c r="O854" s="12">
        <f>ROUND(N854*'Methodology &amp; Assumptions'!$B$5, 0)</f>
        <v/>
      </c>
      <c r="P854" s="10" t="inlineStr">
        <is>
          <t>Single Carrier (Band n50, 100MHz TDD)</t>
        </is>
      </c>
      <c r="Q854" s="13">
        <f>ROUNDUP(O854/'Methodology &amp; Assumptions'!$B$6, 0)</f>
        <v/>
      </c>
      <c r="R854" s="13" t="n">
        <v>1</v>
      </c>
      <c r="S854" s="14" t="n">
        <v>26.54</v>
      </c>
      <c r="T854" s="14" t="n">
        <v>24.78</v>
      </c>
      <c r="U854" s="26">
        <f>IF(X854&gt;='Methodology &amp; Assumptions'!$B$7, "Tier 1 Critical GIDA (Score ≥ 50.0)", IF(X854&gt;='Methodology &amp; Assumptions'!$B$8, "Tier 2 High GIDA (Score 40.0–49.9)", "Tier 3 Moderate GIDA (Score &lt; 40.0)"))</f>
        <v/>
      </c>
      <c r="V854" s="26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W854" s="28" t="n">
        <v>0.109</v>
      </c>
      <c r="X854" s="14" t="n">
        <v>48.27</v>
      </c>
      <c r="Y854" s="14">
        <f>ROUND(MIN(100, (X854/69.91)*100), 2)</f>
        <v/>
      </c>
    </row>
    <row r="855">
      <c r="A855" s="10" t="n">
        <v>3</v>
      </c>
      <c r="B855" s="10" t="n">
        <v>851</v>
      </c>
      <c r="C855" s="10" t="n">
        <v>2851</v>
      </c>
      <c r="D855" s="10" t="inlineStr">
        <is>
          <t>1380605082</t>
        </is>
      </c>
      <c r="E855" s="26" t="inlineStr">
        <is>
          <t>National Capital Region (NCR)</t>
        </is>
      </c>
      <c r="F855" s="26" t="inlineStr">
        <is>
          <t>First District (Not a Province)</t>
        </is>
      </c>
      <c r="G855" s="26" t="inlineStr">
        <is>
          <t>City of Manila</t>
        </is>
      </c>
      <c r="H855" s="26" t="inlineStr">
        <is>
          <t>Barangay 379</t>
        </is>
      </c>
      <c r="I855" s="27" t="n">
        <v>13.897058</v>
      </c>
      <c r="J855" s="27" t="n">
        <v>121.682696</v>
      </c>
      <c r="K855" s="10" t="inlineStr">
        <is>
          <t>U</t>
        </is>
      </c>
      <c r="L855" s="12" t="n">
        <v>674</v>
      </c>
      <c r="M855" s="14" t="n">
        <v>3.9</v>
      </c>
      <c r="N855" s="12">
        <f>ROUND(L855/M855, 0)</f>
        <v/>
      </c>
      <c r="O855" s="12">
        <f>ROUND(N855*'Methodology &amp; Assumptions'!$B$5, 0)</f>
        <v/>
      </c>
      <c r="P855" s="10" t="inlineStr">
        <is>
          <t>Single Carrier (Band n50, 100MHz TDD)</t>
        </is>
      </c>
      <c r="Q855" s="13">
        <f>ROUNDUP(O855/'Methodology &amp; Assumptions'!$B$6, 0)</f>
        <v/>
      </c>
      <c r="R855" s="13" t="n">
        <v>1</v>
      </c>
      <c r="S855" s="14" t="n">
        <v>7.46</v>
      </c>
      <c r="T855" s="14" t="n">
        <v>7.4</v>
      </c>
      <c r="U855" s="26">
        <f>IF(X855&gt;='Methodology &amp; Assumptions'!$B$7, "Tier 1 Critical GIDA (Score ≥ 50.0)", IF(X855&gt;='Methodology &amp; Assumptions'!$B$8, "Tier 2 High GIDA (Score 40.0–49.9)", "Tier 3 Moderate GIDA (Score &lt; 40.0)"))</f>
        <v/>
      </c>
      <c r="V855" s="26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W855" s="28" t="n">
        <v>0.109</v>
      </c>
      <c r="X855" s="14" t="n">
        <v>48.27</v>
      </c>
      <c r="Y855" s="14">
        <f>ROUND(MIN(100, (X855/69.91)*100), 2)</f>
        <v/>
      </c>
    </row>
    <row r="856">
      <c r="A856" s="10" t="n">
        <v>3</v>
      </c>
      <c r="B856" s="10" t="n">
        <v>852</v>
      </c>
      <c r="C856" s="10" t="n">
        <v>2852</v>
      </c>
      <c r="D856" s="10" t="inlineStr">
        <is>
          <t>1380614060</t>
        </is>
      </c>
      <c r="E856" s="26" t="inlineStr">
        <is>
          <t>National Capital Region (NCR)</t>
        </is>
      </c>
      <c r="F856" s="26" t="inlineStr">
        <is>
          <t>First District (Not a Province)</t>
        </is>
      </c>
      <c r="G856" s="26" t="inlineStr">
        <is>
          <t>City of Manila</t>
        </is>
      </c>
      <c r="H856" s="26" t="inlineStr">
        <is>
          <t>Barangay 804</t>
        </is>
      </c>
      <c r="I856" s="27" t="n">
        <v>12.188846</v>
      </c>
      <c r="J856" s="27" t="n">
        <v>122.547393</v>
      </c>
      <c r="K856" s="10" t="inlineStr">
        <is>
          <t>U</t>
        </is>
      </c>
      <c r="L856" s="12" t="n">
        <v>1289</v>
      </c>
      <c r="M856" s="14" t="n">
        <v>3.9</v>
      </c>
      <c r="N856" s="12">
        <f>ROUND(L856/M856, 0)</f>
        <v/>
      </c>
      <c r="O856" s="12">
        <f>ROUND(N856*'Methodology &amp; Assumptions'!$B$5, 0)</f>
        <v/>
      </c>
      <c r="P856" s="10" t="inlineStr">
        <is>
          <t>Single Carrier (Band n50, 100MHz TDD)</t>
        </is>
      </c>
      <c r="Q856" s="13">
        <f>ROUNDUP(O856/'Methodology &amp; Assumptions'!$B$6, 0)</f>
        <v/>
      </c>
      <c r="R856" s="13" t="n">
        <v>1</v>
      </c>
      <c r="S856" s="14" t="n">
        <v>58.05</v>
      </c>
      <c r="T856" s="14" t="n">
        <v>32.98</v>
      </c>
      <c r="U856" s="26">
        <f>IF(X856&gt;='Methodology &amp; Assumptions'!$B$7, "Tier 1 Critical GIDA (Score ≥ 50.0)", IF(X856&gt;='Methodology &amp; Assumptions'!$B$8, "Tier 2 High GIDA (Score 40.0–49.9)", "Tier 3 Moderate GIDA (Score &lt; 40.0)"))</f>
        <v/>
      </c>
      <c r="V856" s="26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W856" s="28" t="n">
        <v>0.109</v>
      </c>
      <c r="X856" s="14" t="n">
        <v>48.26</v>
      </c>
      <c r="Y856" s="14">
        <f>ROUND(MIN(100, (X856/69.91)*100), 2)</f>
        <v/>
      </c>
    </row>
    <row r="857">
      <c r="A857" s="10" t="n">
        <v>3</v>
      </c>
      <c r="B857" s="10" t="n">
        <v>853</v>
      </c>
      <c r="C857" s="10" t="n">
        <v>2853</v>
      </c>
      <c r="D857" s="10" t="inlineStr">
        <is>
          <t>1380614045</t>
        </is>
      </c>
      <c r="E857" s="26" t="inlineStr">
        <is>
          <t>National Capital Region (NCR)</t>
        </is>
      </c>
      <c r="F857" s="26" t="inlineStr">
        <is>
          <t>First District (Not a Province)</t>
        </is>
      </c>
      <c r="G857" s="26" t="inlineStr">
        <is>
          <t>City of Manila</t>
        </is>
      </c>
      <c r="H857" s="26" t="inlineStr">
        <is>
          <t>Barangay 789</t>
        </is>
      </c>
      <c r="I857" s="27" t="n">
        <v>13.572378</v>
      </c>
      <c r="J857" s="27" t="n">
        <v>122.549435</v>
      </c>
      <c r="K857" s="10" t="inlineStr">
        <is>
          <t>U</t>
        </is>
      </c>
      <c r="L857" s="12" t="n">
        <v>1669</v>
      </c>
      <c r="M857" s="14" t="n">
        <v>3.9</v>
      </c>
      <c r="N857" s="12">
        <f>ROUND(L857/M857, 0)</f>
        <v/>
      </c>
      <c r="O857" s="12">
        <f>ROUND(N857*'Methodology &amp; Assumptions'!$B$5, 0)</f>
        <v/>
      </c>
      <c r="P857" s="10" t="inlineStr">
        <is>
          <t>Single Carrier (Band n50, 100MHz TDD)</t>
        </is>
      </c>
      <c r="Q857" s="13">
        <f>ROUNDUP(O857/'Methodology &amp; Assumptions'!$B$6, 0)</f>
        <v/>
      </c>
      <c r="R857" s="13" t="n">
        <v>1</v>
      </c>
      <c r="S857" s="14" t="n">
        <v>0.91</v>
      </c>
      <c r="T857" s="14" t="n">
        <v>0.75</v>
      </c>
      <c r="U857" s="26">
        <f>IF(X857&gt;='Methodology &amp; Assumptions'!$B$7, "Tier 1 Critical GIDA (Score ≥ 50.0)", IF(X857&gt;='Methodology &amp; Assumptions'!$B$8, "Tier 2 High GIDA (Score 40.0–49.9)", "Tier 3 Moderate GIDA (Score &lt; 40.0)"))</f>
        <v/>
      </c>
      <c r="V857" s="26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W857" s="28" t="n">
        <v>0.109</v>
      </c>
      <c r="X857" s="14" t="n">
        <v>48.26</v>
      </c>
      <c r="Y857" s="14">
        <f>ROUND(MIN(100, (X857/69.91)*100), 2)</f>
        <v/>
      </c>
    </row>
    <row r="858">
      <c r="A858" s="10" t="n">
        <v>3</v>
      </c>
      <c r="B858" s="10" t="n">
        <v>854</v>
      </c>
      <c r="C858" s="10" t="n">
        <v>2854</v>
      </c>
      <c r="D858" s="10" t="inlineStr">
        <is>
          <t>1380606116</t>
        </is>
      </c>
      <c r="E858" s="26" t="inlineStr">
        <is>
          <t>National Capital Region (NCR)</t>
        </is>
      </c>
      <c r="F858" s="26" t="inlineStr">
        <is>
          <t>First District (Not a Province)</t>
        </is>
      </c>
      <c r="G858" s="26" t="inlineStr">
        <is>
          <t>City of Manila</t>
        </is>
      </c>
      <c r="H858" s="26" t="inlineStr">
        <is>
          <t>Barangay 510</t>
        </is>
      </c>
      <c r="I858" s="27" t="n">
        <v>11.856964</v>
      </c>
      <c r="J858" s="27" t="n">
        <v>121.682213</v>
      </c>
      <c r="K858" s="10" t="inlineStr">
        <is>
          <t>U</t>
        </is>
      </c>
      <c r="L858" s="12" t="n">
        <v>1168</v>
      </c>
      <c r="M858" s="14" t="n">
        <v>3.9</v>
      </c>
      <c r="N858" s="12">
        <f>ROUND(L858/M858, 0)</f>
        <v/>
      </c>
      <c r="O858" s="12">
        <f>ROUND(N858*'Methodology &amp; Assumptions'!$B$5, 0)</f>
        <v/>
      </c>
      <c r="P858" s="10" t="inlineStr">
        <is>
          <t>Single Carrier (Band n50, 100MHz TDD)</t>
        </is>
      </c>
      <c r="Q858" s="13">
        <f>ROUNDUP(O858/'Methodology &amp; Assumptions'!$B$6, 0)</f>
        <v/>
      </c>
      <c r="R858" s="13" t="n">
        <v>1</v>
      </c>
      <c r="S858" s="14" t="n">
        <v>30.43</v>
      </c>
      <c r="T858" s="14" t="n">
        <v>30</v>
      </c>
      <c r="U858" s="26">
        <f>IF(X858&gt;='Methodology &amp; Assumptions'!$B$7, "Tier 1 Critical GIDA (Score ≥ 50.0)", IF(X858&gt;='Methodology &amp; Assumptions'!$B$8, "Tier 2 High GIDA (Score 40.0–49.9)", "Tier 3 Moderate GIDA (Score &lt; 40.0)"))</f>
        <v/>
      </c>
      <c r="V858" s="26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W858" s="28" t="n">
        <v>0.109</v>
      </c>
      <c r="X858" s="14" t="n">
        <v>48.26</v>
      </c>
      <c r="Y858" s="14">
        <f>ROUND(MIN(100, (X858/69.91)*100), 2)</f>
        <v/>
      </c>
    </row>
    <row r="859">
      <c r="A859" s="10" t="n">
        <v>3</v>
      </c>
      <c r="B859" s="10" t="n">
        <v>855</v>
      </c>
      <c r="C859" s="10" t="n">
        <v>2855</v>
      </c>
      <c r="D859" s="10" t="inlineStr">
        <is>
          <t>1381100088</t>
        </is>
      </c>
      <c r="E859" s="26" t="inlineStr">
        <is>
          <t>National Capital Region (NCR)</t>
        </is>
      </c>
      <c r="F859" s="26" t="inlineStr">
        <is>
          <t>Fourth District (Not a Province)</t>
        </is>
      </c>
      <c r="G859" s="26" t="inlineStr">
        <is>
          <t>Pasay City</t>
        </is>
      </c>
      <c r="H859" s="26" t="inlineStr">
        <is>
          <t>Barangay 88</t>
        </is>
      </c>
      <c r="I859" s="27" t="n">
        <v>14.545166</v>
      </c>
      <c r="J859" s="27" t="n">
        <v>120.996498</v>
      </c>
      <c r="K859" s="10" t="inlineStr">
        <is>
          <t>U</t>
        </is>
      </c>
      <c r="L859" s="12" t="n">
        <v>985</v>
      </c>
      <c r="M859" s="14" t="n">
        <v>3.4</v>
      </c>
      <c r="N859" s="12">
        <f>ROUND(L859/M859, 0)</f>
        <v/>
      </c>
      <c r="O859" s="12">
        <f>ROUND(N859*'Methodology &amp; Assumptions'!$B$5, 0)</f>
        <v/>
      </c>
      <c r="P859" s="10" t="inlineStr">
        <is>
          <t>Single Carrier (Band n50, 100MHz TDD)</t>
        </is>
      </c>
      <c r="Q859" s="13">
        <f>ROUNDUP(O859/'Methodology &amp; Assumptions'!$B$6, 0)</f>
        <v/>
      </c>
      <c r="R859" s="13" t="n">
        <v>1</v>
      </c>
      <c r="S859" s="14" t="n">
        <v>0.23</v>
      </c>
      <c r="T859" s="14" t="n">
        <v>0.24</v>
      </c>
      <c r="U859" s="26">
        <f>IF(X859&gt;='Methodology &amp; Assumptions'!$B$7, "Tier 1 Critical GIDA (Score ≥ 50.0)", IF(X859&gt;='Methodology &amp; Assumptions'!$B$8, "Tier 2 High GIDA (Score 40.0–49.9)", "Tier 3 Moderate GIDA (Score &lt; 40.0)"))</f>
        <v/>
      </c>
      <c r="V859" s="26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W859" s="28" t="n">
        <v>0.109</v>
      </c>
      <c r="X859" s="14" t="n">
        <v>48.26</v>
      </c>
      <c r="Y859" s="14">
        <f>ROUND(MIN(100, (X859/69.91)*100), 2)</f>
        <v/>
      </c>
    </row>
    <row r="860">
      <c r="A860" s="10" t="n">
        <v>3</v>
      </c>
      <c r="B860" s="10" t="n">
        <v>856</v>
      </c>
      <c r="C860" s="10" t="n">
        <v>2856</v>
      </c>
      <c r="D860" s="10" t="inlineStr">
        <is>
          <t>1381100168</t>
        </is>
      </c>
      <c r="E860" s="26" t="inlineStr">
        <is>
          <t>National Capital Region (NCR)</t>
        </is>
      </c>
      <c r="F860" s="26" t="inlineStr">
        <is>
          <t>Fourth District (Not a Province)</t>
        </is>
      </c>
      <c r="G860" s="26" t="inlineStr">
        <is>
          <t>Pasay City</t>
        </is>
      </c>
      <c r="H860" s="26" t="inlineStr">
        <is>
          <t>Barangay 168</t>
        </is>
      </c>
      <c r="I860" s="27" t="n">
        <v>14.531165</v>
      </c>
      <c r="J860" s="27" t="n">
        <v>121.234486</v>
      </c>
      <c r="K860" s="10" t="inlineStr">
        <is>
          <t>U</t>
        </is>
      </c>
      <c r="L860" s="12" t="n">
        <v>536</v>
      </c>
      <c r="M860" s="14" t="n">
        <v>3.4</v>
      </c>
      <c r="N860" s="12">
        <f>ROUND(L860/M860, 0)</f>
        <v/>
      </c>
      <c r="O860" s="12">
        <f>ROUND(N860*'Methodology &amp; Assumptions'!$B$5, 0)</f>
        <v/>
      </c>
      <c r="P860" s="10" t="inlineStr">
        <is>
          <t>Single Carrier (Band n50, 100MHz TDD)</t>
        </is>
      </c>
      <c r="Q860" s="13">
        <f>ROUNDUP(O860/'Methodology &amp; Assumptions'!$B$6, 0)</f>
        <v/>
      </c>
      <c r="R860" s="13" t="n">
        <v>1</v>
      </c>
      <c r="S860" s="14" t="n">
        <v>1.2</v>
      </c>
      <c r="T860" s="14" t="n">
        <v>0.44</v>
      </c>
      <c r="U860" s="26">
        <f>IF(X860&gt;='Methodology &amp; Assumptions'!$B$7, "Tier 1 Critical GIDA (Score ≥ 50.0)", IF(X860&gt;='Methodology &amp; Assumptions'!$B$8, "Tier 2 High GIDA (Score 40.0–49.9)", "Tier 3 Moderate GIDA (Score &lt; 40.0)"))</f>
        <v/>
      </c>
      <c r="V860" s="26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W860" s="28" t="n">
        <v>0.109</v>
      </c>
      <c r="X860" s="14" t="n">
        <v>48.26</v>
      </c>
      <c r="Y860" s="14">
        <f>ROUND(MIN(100, (X860/69.91)*100), 2)</f>
        <v/>
      </c>
    </row>
    <row r="861">
      <c r="A861" s="10" t="n">
        <v>3</v>
      </c>
      <c r="B861" s="10" t="n">
        <v>857</v>
      </c>
      <c r="C861" s="10" t="n">
        <v>2857</v>
      </c>
      <c r="D861" s="10" t="inlineStr">
        <is>
          <t>1381701010</t>
        </is>
      </c>
      <c r="E861" s="26" t="inlineStr">
        <is>
          <t>National Capital Region (NCR)</t>
        </is>
      </c>
      <c r="F861" s="26" t="inlineStr">
        <is>
          <t>Fourth District (Not a Province)</t>
        </is>
      </c>
      <c r="G861" s="26" t="inlineStr">
        <is>
          <t>Pateros</t>
        </is>
      </c>
      <c r="H861" s="26" t="inlineStr">
        <is>
          <t>Tabacalera</t>
        </is>
      </c>
      <c r="I861" s="27" t="n">
        <v>14.537081</v>
      </c>
      <c r="J861" s="27" t="n">
        <v>121.066422</v>
      </c>
      <c r="K861" s="10" t="inlineStr">
        <is>
          <t>U</t>
        </is>
      </c>
      <c r="L861" s="12" t="n">
        <v>2895</v>
      </c>
      <c r="M861" s="14" t="n">
        <v>3.8</v>
      </c>
      <c r="N861" s="12">
        <f>ROUND(L861/M861, 0)</f>
        <v/>
      </c>
      <c r="O861" s="12">
        <f>ROUND(N861*'Methodology &amp; Assumptions'!$B$5, 0)</f>
        <v/>
      </c>
      <c r="P861" s="10" t="inlineStr">
        <is>
          <t>Single Carrier (Band n50, 100MHz TDD)</t>
        </is>
      </c>
      <c r="Q861" s="13">
        <f>ROUNDUP(O861/'Methodology &amp; Assumptions'!$B$6, 0)</f>
        <v/>
      </c>
      <c r="R861" s="13" t="n">
        <v>1</v>
      </c>
      <c r="S861" s="14" t="n">
        <v>0.87</v>
      </c>
      <c r="T861" s="14" t="n">
        <v>0.35</v>
      </c>
      <c r="U861" s="26">
        <f>IF(X861&gt;='Methodology &amp; Assumptions'!$B$7, "Tier 1 Critical GIDA (Score ≥ 50.0)", IF(X861&gt;='Methodology &amp; Assumptions'!$B$8, "Tier 2 High GIDA (Score 40.0–49.9)", "Tier 3 Moderate GIDA (Score &lt; 40.0)"))</f>
        <v/>
      </c>
      <c r="V861" s="26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W861" s="28" t="n">
        <v>0.109</v>
      </c>
      <c r="X861" s="14" t="n">
        <v>48.26</v>
      </c>
      <c r="Y861" s="14">
        <f>ROUND(MIN(100, (X861/69.91)*100), 2)</f>
        <v/>
      </c>
    </row>
    <row r="862">
      <c r="A862" s="10" t="n">
        <v>3</v>
      </c>
      <c r="B862" s="10" t="n">
        <v>858</v>
      </c>
      <c r="C862" s="10" t="n">
        <v>2858</v>
      </c>
      <c r="D862" s="10" t="inlineStr">
        <is>
          <t>1381300004</t>
        </is>
      </c>
      <c r="E862" s="26" t="inlineStr">
        <is>
          <t>National Capital Region (NCR)</t>
        </is>
      </c>
      <c r="F862" s="26" t="inlineStr">
        <is>
          <t>Second District (Not a Province)</t>
        </is>
      </c>
      <c r="G862" s="26" t="inlineStr">
        <is>
          <t>Quezon City</t>
        </is>
      </c>
      <c r="H862" s="26" t="inlineStr">
        <is>
          <t>Aurora</t>
        </is>
      </c>
      <c r="I862" s="27" t="n">
        <v>14.61607</v>
      </c>
      <c r="J862" s="27" t="n">
        <v>121.008383</v>
      </c>
      <c r="K862" s="10" t="inlineStr">
        <is>
          <t>U</t>
        </is>
      </c>
      <c r="L862" s="12" t="n">
        <v>4398</v>
      </c>
      <c r="M862" s="14" t="n">
        <v>3.8</v>
      </c>
      <c r="N862" s="12">
        <f>ROUND(L862/M862, 0)</f>
        <v/>
      </c>
      <c r="O862" s="12">
        <f>ROUND(N862*'Methodology &amp; Assumptions'!$B$5, 0)</f>
        <v/>
      </c>
      <c r="P862" s="10" t="inlineStr">
        <is>
          <t>Single Carrier (Band n50, 100MHz TDD)</t>
        </is>
      </c>
      <c r="Q862" s="13">
        <f>ROUNDUP(O862/'Methodology &amp; Assumptions'!$B$6, 0)</f>
        <v/>
      </c>
      <c r="R862" s="13" t="n">
        <v>1</v>
      </c>
      <c r="S862" s="14" t="n">
        <v>0.75</v>
      </c>
      <c r="T862" s="14" t="n">
        <v>0.26</v>
      </c>
      <c r="U862" s="26">
        <f>IF(X862&gt;='Methodology &amp; Assumptions'!$B$7, "Tier 1 Critical GIDA (Score ≥ 50.0)", IF(X862&gt;='Methodology &amp; Assumptions'!$B$8, "Tier 2 High GIDA (Score 40.0–49.9)", "Tier 3 Moderate GIDA (Score &lt; 40.0)"))</f>
        <v/>
      </c>
      <c r="V862" s="26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W862" s="28" t="n">
        <v>0.109</v>
      </c>
      <c r="X862" s="14" t="n">
        <v>48.26</v>
      </c>
      <c r="Y862" s="14">
        <f>ROUND(MIN(100, (X862/69.91)*100), 2)</f>
        <v/>
      </c>
    </row>
    <row r="863">
      <c r="A863" s="10" t="n">
        <v>3</v>
      </c>
      <c r="B863" s="10" t="n">
        <v>859</v>
      </c>
      <c r="C863" s="10" t="n">
        <v>2859</v>
      </c>
      <c r="D863" s="10" t="inlineStr">
        <is>
          <t>1380601223</t>
        </is>
      </c>
      <c r="E863" s="26" t="inlineStr">
        <is>
          <t>National Capital Region (NCR)</t>
        </is>
      </c>
      <c r="F863" s="26" t="inlineStr">
        <is>
          <t>First District (Not a Province)</t>
        </is>
      </c>
      <c r="G863" s="26" t="inlineStr">
        <is>
          <t>City of Manila</t>
        </is>
      </c>
      <c r="H863" s="26" t="inlineStr">
        <is>
          <t>Barangay 222</t>
        </is>
      </c>
      <c r="I863" s="27" t="n">
        <v>13.695261</v>
      </c>
      <c r="J863" s="27" t="n">
        <v>121.132047</v>
      </c>
      <c r="K863" s="10" t="inlineStr">
        <is>
          <t>U</t>
        </is>
      </c>
      <c r="L863" s="12" t="n">
        <v>2102</v>
      </c>
      <c r="M863" s="14" t="n">
        <v>3.9</v>
      </c>
      <c r="N863" s="12">
        <f>ROUND(L863/M863, 0)</f>
        <v/>
      </c>
      <c r="O863" s="12">
        <f>ROUND(N863*'Methodology &amp; Assumptions'!$B$5, 0)</f>
        <v/>
      </c>
      <c r="P863" s="10" t="inlineStr">
        <is>
          <t>Single Carrier (Band n50, 100MHz TDD)</t>
        </is>
      </c>
      <c r="Q863" s="13">
        <f>ROUNDUP(O863/'Methodology &amp; Assumptions'!$B$6, 0)</f>
        <v/>
      </c>
      <c r="R863" s="13" t="n">
        <v>1</v>
      </c>
      <c r="S863" s="14" t="n">
        <v>3.68</v>
      </c>
      <c r="T863" s="14" t="n">
        <v>10.11</v>
      </c>
      <c r="U863" s="26">
        <f>IF(X863&gt;='Methodology &amp; Assumptions'!$B$7, "Tier 1 Critical GIDA (Score ≥ 50.0)", IF(X863&gt;='Methodology &amp; Assumptions'!$B$8, "Tier 2 High GIDA (Score 40.0–49.9)", "Tier 3 Moderate GIDA (Score &lt; 40.0)"))</f>
        <v/>
      </c>
      <c r="V863" s="26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W863" s="28" t="n">
        <v>0.109</v>
      </c>
      <c r="X863" s="14" t="n">
        <v>48.26</v>
      </c>
      <c r="Y863" s="14">
        <f>ROUND(MIN(100, (X863/69.91)*100), 2)</f>
        <v/>
      </c>
    </row>
    <row r="864">
      <c r="A864" s="10" t="n">
        <v>3</v>
      </c>
      <c r="B864" s="10" t="n">
        <v>860</v>
      </c>
      <c r="C864" s="10" t="n">
        <v>2860</v>
      </c>
      <c r="D864" s="10" t="inlineStr">
        <is>
          <t>PH0002860</t>
        </is>
      </c>
      <c r="E864" s="26" t="inlineStr">
        <is>
          <t>IV-A</t>
        </is>
      </c>
      <c r="F864" s="26" t="inlineStr">
        <is>
          <t>Cavite</t>
        </is>
      </c>
      <c r="G864" s="26" t="inlineStr">
        <is>
          <t>Imus City</t>
        </is>
      </c>
      <c r="H864" s="26" t="inlineStr">
        <is>
          <t>Mariano Espeleta III</t>
        </is>
      </c>
      <c r="I864" s="27" t="n">
        <v>14.303338</v>
      </c>
      <c r="J864" s="27" t="n">
        <v>120.906147</v>
      </c>
      <c r="K864" s="10" t="inlineStr">
        <is>
          <t>R</t>
        </is>
      </c>
      <c r="L864" s="12" t="n">
        <v>2316</v>
      </c>
      <c r="M864" s="14" t="n">
        <v>3.4</v>
      </c>
      <c r="N864" s="12">
        <f>ROUND(L864/M864, 0)</f>
        <v/>
      </c>
      <c r="O864" s="12">
        <f>ROUND(N864*'Methodology &amp; Assumptions'!$B$5, 0)</f>
        <v/>
      </c>
      <c r="P864" s="10" t="inlineStr">
        <is>
          <t>Single Carrier (Band n50, 100MHz TDD)</t>
        </is>
      </c>
      <c r="Q864" s="13">
        <f>ROUNDUP(O864/'Methodology &amp; Assumptions'!$B$6, 0)</f>
        <v/>
      </c>
      <c r="R864" s="13" t="n">
        <v>1</v>
      </c>
      <c r="S864" s="14" t="n">
        <v>1.1</v>
      </c>
      <c r="T864" s="14" t="n">
        <v>1.08</v>
      </c>
      <c r="U864" s="26">
        <f>IF(X864&gt;='Methodology &amp; Assumptions'!$B$7, "Tier 1 Critical GIDA (Score ≥ 50.0)", IF(X864&gt;='Methodology &amp; Assumptions'!$B$8, "Tier 2 High GIDA (Score 40.0–49.9)", "Tier 3 Moderate GIDA (Score &lt; 40.0)"))</f>
        <v/>
      </c>
      <c r="V864" s="26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W864" s="28" t="n">
        <v>0.07200000000000001</v>
      </c>
      <c r="X864" s="14" t="n">
        <v>48.25</v>
      </c>
      <c r="Y864" s="14">
        <f>ROUND(MIN(100, (X864/69.91)*100), 2)</f>
        <v/>
      </c>
    </row>
    <row r="865">
      <c r="A865" s="10" t="n">
        <v>3</v>
      </c>
      <c r="B865" s="10" t="n">
        <v>861</v>
      </c>
      <c r="C865" s="10" t="n">
        <v>2861</v>
      </c>
      <c r="D865" s="10" t="inlineStr">
        <is>
          <t>PH0002861</t>
        </is>
      </c>
      <c r="E865" s="26" t="inlineStr">
        <is>
          <t>IV-A</t>
        </is>
      </c>
      <c r="F865" s="26" t="inlineStr">
        <is>
          <t>Batangas</t>
        </is>
      </c>
      <c r="G865" s="26" t="inlineStr">
        <is>
          <t>Lipa City</t>
        </is>
      </c>
      <c r="H865" s="26" t="inlineStr">
        <is>
          <t>San Sebastian</t>
        </is>
      </c>
      <c r="I865" s="27" t="n">
        <v>13.935098</v>
      </c>
      <c r="J865" s="27" t="n">
        <v>121.154871</v>
      </c>
      <c r="K865" s="10" t="inlineStr">
        <is>
          <t>R</t>
        </is>
      </c>
      <c r="L865" s="12" t="n">
        <v>2259</v>
      </c>
      <c r="M865" s="14" t="n">
        <v>3.6</v>
      </c>
      <c r="N865" s="12">
        <f>ROUND(L865/M865, 0)</f>
        <v/>
      </c>
      <c r="O865" s="12">
        <f>ROUND(N865*'Methodology &amp; Assumptions'!$B$5, 0)</f>
        <v/>
      </c>
      <c r="P865" s="10" t="inlineStr">
        <is>
          <t>Single Carrier (Band n50, 100MHz TDD)</t>
        </is>
      </c>
      <c r="Q865" s="13">
        <f>ROUNDUP(O865/'Methodology &amp; Assumptions'!$B$6, 0)</f>
        <v/>
      </c>
      <c r="R865" s="13" t="n">
        <v>1</v>
      </c>
      <c r="S865" s="14" t="n">
        <v>1.61</v>
      </c>
      <c r="T865" s="14" t="n">
        <v>0.26</v>
      </c>
      <c r="U865" s="26">
        <f>IF(X865&gt;='Methodology &amp; Assumptions'!$B$7, "Tier 1 Critical GIDA (Score ≥ 50.0)", IF(X865&gt;='Methodology &amp; Assumptions'!$B$8, "Tier 2 High GIDA (Score 40.0–49.9)", "Tier 3 Moderate GIDA (Score &lt; 40.0)"))</f>
        <v/>
      </c>
      <c r="V865" s="26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W865" s="28" t="n">
        <v>0.07200000000000001</v>
      </c>
      <c r="X865" s="14" t="n">
        <v>48.25</v>
      </c>
      <c r="Y865" s="14">
        <f>ROUND(MIN(100, (X865/69.91)*100), 2)</f>
        <v/>
      </c>
    </row>
    <row r="866">
      <c r="A866" s="10" t="n">
        <v>3</v>
      </c>
      <c r="B866" s="10" t="n">
        <v>862</v>
      </c>
      <c r="C866" s="10" t="n">
        <v>2862</v>
      </c>
      <c r="D866" s="10" t="inlineStr">
        <is>
          <t>1380606104</t>
        </is>
      </c>
      <c r="E866" s="26" t="inlineStr">
        <is>
          <t>National Capital Region (NCR)</t>
        </is>
      </c>
      <c r="F866" s="26" t="inlineStr">
        <is>
          <t>First District (Not a Province)</t>
        </is>
      </c>
      <c r="G866" s="26" t="inlineStr">
        <is>
          <t>City of Manila</t>
        </is>
      </c>
      <c r="H866" s="26" t="inlineStr">
        <is>
          <t>Barangay 498</t>
        </is>
      </c>
      <c r="I866" s="27" t="n">
        <v>12.700957</v>
      </c>
      <c r="J866" s="27" t="n">
        <v>122.813866</v>
      </c>
      <c r="K866" s="10" t="inlineStr">
        <is>
          <t>U</t>
        </is>
      </c>
      <c r="L866" s="12" t="n">
        <v>1064</v>
      </c>
      <c r="M866" s="14" t="n">
        <v>3.9</v>
      </c>
      <c r="N866" s="12">
        <f>ROUND(L866/M866, 0)</f>
        <v/>
      </c>
      <c r="O866" s="12">
        <f>ROUND(N866*'Methodology &amp; Assumptions'!$B$5, 0)</f>
        <v/>
      </c>
      <c r="P866" s="10" t="inlineStr">
        <is>
          <t>Single Carrier (Band n50, 100MHz TDD)</t>
        </is>
      </c>
      <c r="Q866" s="13">
        <f>ROUNDUP(O866/'Methodology &amp; Assumptions'!$B$6, 0)</f>
        <v/>
      </c>
      <c r="R866" s="13" t="n">
        <v>1</v>
      </c>
      <c r="S866" s="14" t="n">
        <v>59.1</v>
      </c>
      <c r="T866" s="14" t="n">
        <v>70.48999999999999</v>
      </c>
      <c r="U866" s="26">
        <f>IF(X866&gt;='Methodology &amp; Assumptions'!$B$7, "Tier 1 Critical GIDA (Score ≥ 50.0)", IF(X866&gt;='Methodology &amp; Assumptions'!$B$8, "Tier 2 High GIDA (Score 40.0–49.9)", "Tier 3 Moderate GIDA (Score &lt; 40.0)"))</f>
        <v/>
      </c>
      <c r="V866" s="26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W866" s="28" t="n">
        <v>0.109</v>
      </c>
      <c r="X866" s="14" t="n">
        <v>48.25</v>
      </c>
      <c r="Y866" s="14">
        <f>ROUND(MIN(100, (X866/69.91)*100), 2)</f>
        <v/>
      </c>
    </row>
    <row r="867">
      <c r="A867" s="10" t="n">
        <v>3</v>
      </c>
      <c r="B867" s="10" t="n">
        <v>863</v>
      </c>
      <c r="C867" s="10" t="n">
        <v>2863</v>
      </c>
      <c r="D867" s="10" t="inlineStr">
        <is>
          <t>0803726005</t>
        </is>
      </c>
      <c r="E867" s="26" t="inlineStr">
        <is>
          <t>Region VIII (Eastern Visayas)</t>
        </is>
      </c>
      <c r="F867" s="26" t="inlineStr">
        <is>
          <t>Leyte</t>
        </is>
      </c>
      <c r="G867" s="26" t="inlineStr">
        <is>
          <t>Kananga</t>
        </is>
      </c>
      <c r="H867" s="26" t="inlineStr">
        <is>
          <t>Libertad</t>
        </is>
      </c>
      <c r="I867" s="27" t="n">
        <v>11.227742</v>
      </c>
      <c r="J867" s="27" t="n">
        <v>124.541869</v>
      </c>
      <c r="K867" s="10" t="inlineStr">
        <is>
          <t>R</t>
        </is>
      </c>
      <c r="L867" s="12" t="n">
        <v>2021</v>
      </c>
      <c r="M867" s="14" t="n">
        <v>3.8</v>
      </c>
      <c r="N867" s="12">
        <f>ROUND(L867/M867, 0)</f>
        <v/>
      </c>
      <c r="O867" s="12">
        <f>ROUND(N867*'Methodology &amp; Assumptions'!$B$5, 0)</f>
        <v/>
      </c>
      <c r="P867" s="10" t="inlineStr">
        <is>
          <t>Single Carrier (Band n50, 100MHz TDD)</t>
        </is>
      </c>
      <c r="Q867" s="13">
        <f>ROUNDUP(O867/'Methodology &amp; Assumptions'!$B$6, 0)</f>
        <v/>
      </c>
      <c r="R867" s="13" t="n">
        <v>1</v>
      </c>
      <c r="S867" s="14" t="n">
        <v>5.21</v>
      </c>
      <c r="T867" s="14" t="n">
        <v>3.31</v>
      </c>
      <c r="U867" s="26">
        <f>IF(X867&gt;='Methodology &amp; Assumptions'!$B$7, "Tier 1 Critical GIDA (Score ≥ 50.0)", IF(X867&gt;='Methodology &amp; Assumptions'!$B$8, "Tier 2 High GIDA (Score 40.0–49.9)", "Tier 3 Moderate GIDA (Score &lt; 40.0)"))</f>
        <v/>
      </c>
      <c r="V867" s="26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W867" s="28" t="n">
        <v>0.237</v>
      </c>
      <c r="X867" s="14" t="n">
        <v>48.25</v>
      </c>
      <c r="Y867" s="14">
        <f>ROUND(MIN(100, (X867/69.91)*100), 2)</f>
        <v/>
      </c>
    </row>
    <row r="868">
      <c r="A868" s="10" t="n">
        <v>3</v>
      </c>
      <c r="B868" s="10" t="n">
        <v>864</v>
      </c>
      <c r="C868" s="10" t="n">
        <v>2864</v>
      </c>
      <c r="D868" s="10" t="inlineStr">
        <is>
          <t>1380604015</t>
        </is>
      </c>
      <c r="E868" s="26" t="inlineStr">
        <is>
          <t>National Capital Region (NCR)</t>
        </is>
      </c>
      <c r="F868" s="26" t="inlineStr">
        <is>
          <t>First District (Not a Province)</t>
        </is>
      </c>
      <c r="G868" s="26" t="inlineStr">
        <is>
          <t>City of Manila</t>
        </is>
      </c>
      <c r="H868" s="26" t="inlineStr">
        <is>
          <t>Barangay 282</t>
        </is>
      </c>
      <c r="I868" s="27" t="n">
        <v>12.32591</v>
      </c>
      <c r="J868" s="27" t="n">
        <v>120.882289</v>
      </c>
      <c r="K868" s="10" t="inlineStr">
        <is>
          <t>U</t>
        </is>
      </c>
      <c r="L868" s="12" t="n">
        <v>2533</v>
      </c>
      <c r="M868" s="14" t="n">
        <v>3.9</v>
      </c>
      <c r="N868" s="12">
        <f>ROUND(L868/M868, 0)</f>
        <v/>
      </c>
      <c r="O868" s="12">
        <f>ROUND(N868*'Methodology &amp; Assumptions'!$B$5, 0)</f>
        <v/>
      </c>
      <c r="P868" s="10" t="inlineStr">
        <is>
          <t>Single Carrier (Band n50, 100MHz TDD)</t>
        </is>
      </c>
      <c r="Q868" s="13">
        <f>ROUNDUP(O868/'Methodology &amp; Assumptions'!$B$6, 0)</f>
        <v/>
      </c>
      <c r="R868" s="13" t="n">
        <v>1</v>
      </c>
      <c r="S868" s="14" t="n">
        <v>20</v>
      </c>
      <c r="T868" s="14" t="n">
        <v>19.51</v>
      </c>
      <c r="U868" s="26">
        <f>IF(X868&gt;='Methodology &amp; Assumptions'!$B$7, "Tier 1 Critical GIDA (Score ≥ 50.0)", IF(X868&gt;='Methodology &amp; Assumptions'!$B$8, "Tier 2 High GIDA (Score 40.0–49.9)", "Tier 3 Moderate GIDA (Score &lt; 40.0)"))</f>
        <v/>
      </c>
      <c r="V868" s="26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W868" s="28" t="n">
        <v>0.109</v>
      </c>
      <c r="X868" s="14" t="n">
        <v>48.25</v>
      </c>
      <c r="Y868" s="14">
        <f>ROUND(MIN(100, (X868/69.91)*100), 2)</f>
        <v/>
      </c>
    </row>
    <row r="869">
      <c r="A869" s="10" t="n">
        <v>3</v>
      </c>
      <c r="B869" s="10" t="n">
        <v>865</v>
      </c>
      <c r="C869" s="10" t="n">
        <v>2865</v>
      </c>
      <c r="D869" s="10" t="inlineStr">
        <is>
          <t>1380606179</t>
        </is>
      </c>
      <c r="E869" s="26" t="inlineStr">
        <is>
          <t>National Capital Region (NCR)</t>
        </is>
      </c>
      <c r="F869" s="26" t="inlineStr">
        <is>
          <t>First District (Not a Province)</t>
        </is>
      </c>
      <c r="G869" s="26" t="inlineStr">
        <is>
          <t>City of Manila</t>
        </is>
      </c>
      <c r="H869" s="26" t="inlineStr">
        <is>
          <t>Barangay 573</t>
        </is>
      </c>
      <c r="I869" s="27" t="n">
        <v>13.876575</v>
      </c>
      <c r="J869" s="27" t="n">
        <v>122.048006</v>
      </c>
      <c r="K869" s="10" t="inlineStr">
        <is>
          <t>U</t>
        </is>
      </c>
      <c r="L869" s="12" t="n">
        <v>976</v>
      </c>
      <c r="M869" s="14" t="n">
        <v>3.9</v>
      </c>
      <c r="N869" s="12">
        <f>ROUND(L869/M869, 0)</f>
        <v/>
      </c>
      <c r="O869" s="12">
        <f>ROUND(N869*'Methodology &amp; Assumptions'!$B$5, 0)</f>
        <v/>
      </c>
      <c r="P869" s="10" t="inlineStr">
        <is>
          <t>Single Carrier (Band n50, 100MHz TDD)</t>
        </is>
      </c>
      <c r="Q869" s="13">
        <f>ROUNDUP(O869/'Methodology &amp; Assumptions'!$B$6, 0)</f>
        <v/>
      </c>
      <c r="R869" s="13" t="n">
        <v>1</v>
      </c>
      <c r="S869" s="14" t="n">
        <v>8.25</v>
      </c>
      <c r="T869" s="14" t="n">
        <v>3.67</v>
      </c>
      <c r="U869" s="26">
        <f>IF(X869&gt;='Methodology &amp; Assumptions'!$B$7, "Tier 1 Critical GIDA (Score ≥ 50.0)", IF(X869&gt;='Methodology &amp; Assumptions'!$B$8, "Tier 2 High GIDA (Score 40.0–49.9)", "Tier 3 Moderate GIDA (Score &lt; 40.0)"))</f>
        <v/>
      </c>
      <c r="V869" s="26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W869" s="28" t="n">
        <v>0.109</v>
      </c>
      <c r="X869" s="14" t="n">
        <v>48.25</v>
      </c>
      <c r="Y869" s="14">
        <f>ROUND(MIN(100, (X869/69.91)*100), 2)</f>
        <v/>
      </c>
    </row>
    <row r="870">
      <c r="A870" s="10" t="n">
        <v>3</v>
      </c>
      <c r="B870" s="10" t="n">
        <v>866</v>
      </c>
      <c r="C870" s="10" t="n">
        <v>2866</v>
      </c>
      <c r="D870" s="10" t="inlineStr">
        <is>
          <t>1380601077</t>
        </is>
      </c>
      <c r="E870" s="26" t="inlineStr">
        <is>
          <t>National Capital Region (NCR)</t>
        </is>
      </c>
      <c r="F870" s="26" t="inlineStr">
        <is>
          <t>First District (Not a Province)</t>
        </is>
      </c>
      <c r="G870" s="26" t="inlineStr">
        <is>
          <t>City of Manila</t>
        </is>
      </c>
      <c r="H870" s="26" t="inlineStr">
        <is>
          <t>Barangay 77</t>
        </is>
      </c>
      <c r="I870" s="27" t="n">
        <v>11.963071</v>
      </c>
      <c r="J870" s="27" t="n">
        <v>122.263482</v>
      </c>
      <c r="K870" s="10" t="inlineStr">
        <is>
          <t>U</t>
        </is>
      </c>
      <c r="L870" s="12" t="n">
        <v>1414</v>
      </c>
      <c r="M870" s="14" t="n">
        <v>3.9</v>
      </c>
      <c r="N870" s="12">
        <f>ROUND(L870/M870, 0)</f>
        <v/>
      </c>
      <c r="O870" s="12">
        <f>ROUND(N870*'Methodology &amp; Assumptions'!$B$5, 0)</f>
        <v/>
      </c>
      <c r="P870" s="10" t="inlineStr">
        <is>
          <t>Single Carrier (Band n50, 100MHz TDD)</t>
        </is>
      </c>
      <c r="Q870" s="13">
        <f>ROUNDUP(O870/'Methodology &amp; Assumptions'!$B$6, 0)</f>
        <v/>
      </c>
      <c r="R870" s="13" t="n">
        <v>1</v>
      </c>
      <c r="S870" s="14" t="n">
        <v>27.66</v>
      </c>
      <c r="T870" s="14" t="n">
        <v>2.86</v>
      </c>
      <c r="U870" s="26">
        <f>IF(X870&gt;='Methodology &amp; Assumptions'!$B$7, "Tier 1 Critical GIDA (Score ≥ 50.0)", IF(X870&gt;='Methodology &amp; Assumptions'!$B$8, "Tier 2 High GIDA (Score 40.0–49.9)", "Tier 3 Moderate GIDA (Score &lt; 40.0)"))</f>
        <v/>
      </c>
      <c r="V870" s="26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W870" s="28" t="n">
        <v>0.109</v>
      </c>
      <c r="X870" s="14" t="n">
        <v>48.25</v>
      </c>
      <c r="Y870" s="14">
        <f>ROUND(MIN(100, (X870/69.91)*100), 2)</f>
        <v/>
      </c>
    </row>
    <row r="871">
      <c r="A871" s="10" t="n">
        <v>3</v>
      </c>
      <c r="B871" s="10" t="n">
        <v>867</v>
      </c>
      <c r="C871" s="10" t="n">
        <v>2867</v>
      </c>
      <c r="D871" s="10" t="inlineStr">
        <is>
          <t>1380606112</t>
        </is>
      </c>
      <c r="E871" s="26" t="inlineStr">
        <is>
          <t>National Capital Region (NCR)</t>
        </is>
      </c>
      <c r="F871" s="26" t="inlineStr">
        <is>
          <t>First District (Not a Province)</t>
        </is>
      </c>
      <c r="G871" s="26" t="inlineStr">
        <is>
          <t>City of Manila</t>
        </is>
      </c>
      <c r="H871" s="26" t="inlineStr">
        <is>
          <t>Barangay 506</t>
        </is>
      </c>
      <c r="I871" s="27" t="n">
        <v>13.233602</v>
      </c>
      <c r="J871" s="27" t="n">
        <v>120.776567</v>
      </c>
      <c r="K871" s="10" t="inlineStr">
        <is>
          <t>U</t>
        </is>
      </c>
      <c r="L871" s="12" t="n">
        <v>688</v>
      </c>
      <c r="M871" s="14" t="n">
        <v>3.9</v>
      </c>
      <c r="N871" s="12">
        <f>ROUND(L871/M871, 0)</f>
        <v/>
      </c>
      <c r="O871" s="12">
        <f>ROUND(N871*'Methodology &amp; Assumptions'!$B$5, 0)</f>
        <v/>
      </c>
      <c r="P871" s="10" t="inlineStr">
        <is>
          <t>Single Carrier (Band n50, 100MHz TDD)</t>
        </is>
      </c>
      <c r="Q871" s="13">
        <f>ROUNDUP(O871/'Methodology &amp; Assumptions'!$B$6, 0)</f>
        <v/>
      </c>
      <c r="R871" s="13" t="n">
        <v>1</v>
      </c>
      <c r="S871" s="14" t="n">
        <v>33.04</v>
      </c>
      <c r="T871" s="14" t="n">
        <v>31.94</v>
      </c>
      <c r="U871" s="26">
        <f>IF(X871&gt;='Methodology &amp; Assumptions'!$B$7, "Tier 1 Critical GIDA (Score ≥ 50.0)", IF(X871&gt;='Methodology &amp; Assumptions'!$B$8, "Tier 2 High GIDA (Score 40.0–49.9)", "Tier 3 Moderate GIDA (Score &lt; 40.0)"))</f>
        <v/>
      </c>
      <c r="V871" s="26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W871" s="28" t="n">
        <v>0.109</v>
      </c>
      <c r="X871" s="14" t="n">
        <v>48.25</v>
      </c>
      <c r="Y871" s="14">
        <f>ROUND(MIN(100, (X871/69.91)*100), 2)</f>
        <v/>
      </c>
    </row>
    <row r="872">
      <c r="A872" s="10" t="n">
        <v>3</v>
      </c>
      <c r="B872" s="10" t="n">
        <v>868</v>
      </c>
      <c r="C872" s="10" t="n">
        <v>2868</v>
      </c>
      <c r="D872" s="10" t="inlineStr">
        <is>
          <t>1907010002</t>
        </is>
      </c>
      <c r="E872" s="26" t="inlineStr">
        <is>
          <t>Bangsamoro Autonomous Region In Muslim Mindanao (BARMM)</t>
        </is>
      </c>
      <c r="F872" s="26" t="inlineStr">
        <is>
          <t>Tawi-Tawi</t>
        </is>
      </c>
      <c r="G872" s="26" t="inlineStr">
        <is>
          <t>Sapa-Sapa</t>
        </is>
      </c>
      <c r="H872" s="26" t="inlineStr">
        <is>
          <t>Lookan Banaran</t>
        </is>
      </c>
      <c r="I872" s="27" t="n">
        <v>5.012631</v>
      </c>
      <c r="J872" s="27" t="n">
        <v>120.127174</v>
      </c>
      <c r="K872" s="10" t="inlineStr">
        <is>
          <t>R</t>
        </is>
      </c>
      <c r="L872" s="12" t="n">
        <v>2578</v>
      </c>
      <c r="M872" s="14" t="n">
        <v>5.8</v>
      </c>
      <c r="N872" s="12">
        <f>ROUND(L872/M872, 0)</f>
        <v/>
      </c>
      <c r="O872" s="12">
        <f>ROUND(N872*'Methodology &amp; Assumptions'!$B$5, 0)</f>
        <v/>
      </c>
      <c r="P872" s="10" t="inlineStr">
        <is>
          <t>Single Carrier (Band n50, 100MHz TDD)</t>
        </is>
      </c>
      <c r="Q872" s="13">
        <f>ROUNDUP(O872/'Methodology &amp; Assumptions'!$B$6, 0)</f>
        <v/>
      </c>
      <c r="R872" s="13" t="n">
        <v>1</v>
      </c>
      <c r="S872" s="14" t="n">
        <v>999</v>
      </c>
      <c r="T872" s="14" t="n">
        <v>999</v>
      </c>
      <c r="U872" s="26">
        <f>IF(X872&gt;='Methodology &amp; Assumptions'!$B$7, "Tier 1 Critical GIDA (Score ≥ 50.0)", IF(X872&gt;='Methodology &amp; Assumptions'!$B$8, "Tier 2 High GIDA (Score 40.0–49.9)", "Tier 3 Moderate GIDA (Score &lt; 40.0)"))</f>
        <v/>
      </c>
      <c r="V872" s="26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W872" s="28" t="n">
        <v>0.11</v>
      </c>
      <c r="X872" s="14" t="n">
        <v>48.25</v>
      </c>
      <c r="Y872" s="14">
        <f>ROUND(MIN(100, (X872/69.91)*100), 2)</f>
        <v/>
      </c>
    </row>
    <row r="873">
      <c r="A873" s="10" t="n">
        <v>3</v>
      </c>
      <c r="B873" s="10" t="n">
        <v>869</v>
      </c>
      <c r="C873" s="10" t="n">
        <v>2869</v>
      </c>
      <c r="D873" s="10" t="inlineStr">
        <is>
          <t>1381100060</t>
        </is>
      </c>
      <c r="E873" s="26" t="inlineStr">
        <is>
          <t>National Capital Region (NCR)</t>
        </is>
      </c>
      <c r="F873" s="26" t="inlineStr">
        <is>
          <t>Fourth District (Not a Province)</t>
        </is>
      </c>
      <c r="G873" s="26" t="inlineStr">
        <is>
          <t>Pasay City</t>
        </is>
      </c>
      <c r="H873" s="26" t="inlineStr">
        <is>
          <t>Barangay 60</t>
        </is>
      </c>
      <c r="I873" s="27" t="n">
        <v>14.551109</v>
      </c>
      <c r="J873" s="27" t="n">
        <v>120.999329</v>
      </c>
      <c r="K873" s="10" t="inlineStr">
        <is>
          <t>U</t>
        </is>
      </c>
      <c r="L873" s="12" t="n">
        <v>1466</v>
      </c>
      <c r="M873" s="14" t="n">
        <v>3.4</v>
      </c>
      <c r="N873" s="12">
        <f>ROUND(L873/M873, 0)</f>
        <v/>
      </c>
      <c r="O873" s="12">
        <f>ROUND(N873*'Methodology &amp; Assumptions'!$B$5, 0)</f>
        <v/>
      </c>
      <c r="P873" s="10" t="inlineStr">
        <is>
          <t>Single Carrier (Band n50, 100MHz TDD)</t>
        </is>
      </c>
      <c r="Q873" s="13">
        <f>ROUNDUP(O873/'Methodology &amp; Assumptions'!$B$6, 0)</f>
        <v/>
      </c>
      <c r="R873" s="13" t="n">
        <v>1</v>
      </c>
      <c r="S873" s="14" t="n">
        <v>0.85</v>
      </c>
      <c r="T873" s="14" t="n">
        <v>0.15</v>
      </c>
      <c r="U873" s="26">
        <f>IF(X873&gt;='Methodology &amp; Assumptions'!$B$7, "Tier 1 Critical GIDA (Score ≥ 50.0)", IF(X873&gt;='Methodology &amp; Assumptions'!$B$8, "Tier 2 High GIDA (Score 40.0–49.9)", "Tier 3 Moderate GIDA (Score &lt; 40.0)"))</f>
        <v/>
      </c>
      <c r="V873" s="26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W873" s="28" t="n">
        <v>0.109</v>
      </c>
      <c r="X873" s="14" t="n">
        <v>48.24</v>
      </c>
      <c r="Y873" s="14">
        <f>ROUND(MIN(100, (X873/69.91)*100), 2)</f>
        <v/>
      </c>
    </row>
    <row r="874">
      <c r="A874" s="10" t="n">
        <v>3</v>
      </c>
      <c r="B874" s="10" t="n">
        <v>870</v>
      </c>
      <c r="C874" s="10" t="n">
        <v>2870</v>
      </c>
      <c r="D874" s="10" t="inlineStr">
        <is>
          <t>1380606190</t>
        </is>
      </c>
      <c r="E874" s="26" t="inlineStr">
        <is>
          <t>National Capital Region (NCR)</t>
        </is>
      </c>
      <c r="F874" s="26" t="inlineStr">
        <is>
          <t>First District (Not a Province)</t>
        </is>
      </c>
      <c r="G874" s="26" t="inlineStr">
        <is>
          <t>City of Manila</t>
        </is>
      </c>
      <c r="H874" s="26" t="inlineStr">
        <is>
          <t>Barangay 584</t>
        </is>
      </c>
      <c r="I874" s="27" t="n">
        <v>13.276194</v>
      </c>
      <c r="J874" s="27" t="n">
        <v>122.755927</v>
      </c>
      <c r="K874" s="10" t="inlineStr">
        <is>
          <t>U</t>
        </is>
      </c>
      <c r="L874" s="12" t="n">
        <v>3515</v>
      </c>
      <c r="M874" s="14" t="n">
        <v>3.9</v>
      </c>
      <c r="N874" s="12">
        <f>ROUND(L874/M874, 0)</f>
        <v/>
      </c>
      <c r="O874" s="12">
        <f>ROUND(N874*'Methodology &amp; Assumptions'!$B$5, 0)</f>
        <v/>
      </c>
      <c r="P874" s="10" t="inlineStr">
        <is>
          <t>Single Carrier (Band n50, 100MHz TDD)</t>
        </is>
      </c>
      <c r="Q874" s="13">
        <f>ROUNDUP(O874/'Methodology &amp; Assumptions'!$B$6, 0)</f>
        <v/>
      </c>
      <c r="R874" s="13" t="n">
        <v>1</v>
      </c>
      <c r="S874" s="14" t="n">
        <v>9.31</v>
      </c>
      <c r="T874" s="14" t="n">
        <v>38.88</v>
      </c>
      <c r="U874" s="26">
        <f>IF(X874&gt;='Methodology &amp; Assumptions'!$B$7, "Tier 1 Critical GIDA (Score ≥ 50.0)", IF(X874&gt;='Methodology &amp; Assumptions'!$B$8, "Tier 2 High GIDA (Score 40.0–49.9)", "Tier 3 Moderate GIDA (Score &lt; 40.0)"))</f>
        <v/>
      </c>
      <c r="V874" s="26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W874" s="28" t="n">
        <v>0.109</v>
      </c>
      <c r="X874" s="14" t="n">
        <v>48.24</v>
      </c>
      <c r="Y874" s="14">
        <f>ROUND(MIN(100, (X874/69.91)*100), 2)</f>
        <v/>
      </c>
    </row>
    <row r="875">
      <c r="A875" s="10" t="n">
        <v>3</v>
      </c>
      <c r="B875" s="10" t="n">
        <v>871</v>
      </c>
      <c r="C875" s="10" t="n">
        <v>2871</v>
      </c>
      <c r="D875" s="10" t="inlineStr">
        <is>
          <t>1380611004</t>
        </is>
      </c>
      <c r="E875" s="26" t="inlineStr">
        <is>
          <t>National Capital Region (NCR)</t>
        </is>
      </c>
      <c r="F875" s="26" t="inlineStr">
        <is>
          <t>First District (Not a Province)</t>
        </is>
      </c>
      <c r="G875" s="26" t="inlineStr">
        <is>
          <t>City of Manila</t>
        </is>
      </c>
      <c r="H875" s="26" t="inlineStr">
        <is>
          <t>Barangay 664-A</t>
        </is>
      </c>
      <c r="I875" s="27" t="n">
        <v>11.93946</v>
      </c>
      <c r="J875" s="27" t="n">
        <v>121.324243</v>
      </c>
      <c r="K875" s="10" t="inlineStr">
        <is>
          <t>U</t>
        </is>
      </c>
      <c r="L875" s="12" t="n">
        <v>659</v>
      </c>
      <c r="M875" s="14" t="n">
        <v>3.9</v>
      </c>
      <c r="N875" s="12">
        <f>ROUND(L875/M875, 0)</f>
        <v/>
      </c>
      <c r="O875" s="12">
        <f>ROUND(N875*'Methodology &amp; Assumptions'!$B$5, 0)</f>
        <v/>
      </c>
      <c r="P875" s="10" t="inlineStr">
        <is>
          <t>Single Carrier (Band n50, 100MHz TDD)</t>
        </is>
      </c>
      <c r="Q875" s="13">
        <f>ROUNDUP(O875/'Methodology &amp; Assumptions'!$B$6, 0)</f>
        <v/>
      </c>
      <c r="R875" s="13" t="n">
        <v>1</v>
      </c>
      <c r="S875" s="14" t="n">
        <v>43.57</v>
      </c>
      <c r="T875" s="14" t="n">
        <v>38.51</v>
      </c>
      <c r="U875" s="26">
        <f>IF(X875&gt;='Methodology &amp; Assumptions'!$B$7, "Tier 1 Critical GIDA (Score ≥ 50.0)", IF(X875&gt;='Methodology &amp; Assumptions'!$B$8, "Tier 2 High GIDA (Score 40.0–49.9)", "Tier 3 Moderate GIDA (Score &lt; 40.0)"))</f>
        <v/>
      </c>
      <c r="V875" s="26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W875" s="28" t="n">
        <v>0.109</v>
      </c>
      <c r="X875" s="14" t="n">
        <v>48.24</v>
      </c>
      <c r="Y875" s="14">
        <f>ROUND(MIN(100, (X875/69.91)*100), 2)</f>
        <v/>
      </c>
    </row>
    <row r="876">
      <c r="A876" s="10" t="n">
        <v>3</v>
      </c>
      <c r="B876" s="10" t="n">
        <v>872</v>
      </c>
      <c r="C876" s="10" t="n">
        <v>2872</v>
      </c>
      <c r="D876" s="10" t="inlineStr">
        <is>
          <t>1380606163</t>
        </is>
      </c>
      <c r="E876" s="26" t="inlineStr">
        <is>
          <t>National Capital Region (NCR)</t>
        </is>
      </c>
      <c r="F876" s="26" t="inlineStr">
        <is>
          <t>First District (Not a Province)</t>
        </is>
      </c>
      <c r="G876" s="26" t="inlineStr">
        <is>
          <t>City of Manila</t>
        </is>
      </c>
      <c r="H876" s="26" t="inlineStr">
        <is>
          <t>Barangay 557</t>
        </is>
      </c>
      <c r="I876" s="27" t="n">
        <v>13.870411</v>
      </c>
      <c r="J876" s="27" t="n">
        <v>121.453568</v>
      </c>
      <c r="K876" s="10" t="inlineStr">
        <is>
          <t>U</t>
        </is>
      </c>
      <c r="L876" s="12" t="n">
        <v>1300</v>
      </c>
      <c r="M876" s="14" t="n">
        <v>3.9</v>
      </c>
      <c r="N876" s="12">
        <f>ROUND(L876/M876, 0)</f>
        <v/>
      </c>
      <c r="O876" s="12">
        <f>ROUND(N876*'Methodology &amp; Assumptions'!$B$5, 0)</f>
        <v/>
      </c>
      <c r="P876" s="10" t="inlineStr">
        <is>
          <t>Single Carrier (Band n50, 100MHz TDD)</t>
        </is>
      </c>
      <c r="Q876" s="13">
        <f>ROUNDUP(O876/'Methodology &amp; Assumptions'!$B$6, 0)</f>
        <v/>
      </c>
      <c r="R876" s="13" t="n">
        <v>1</v>
      </c>
      <c r="S876" s="14" t="n">
        <v>4.95</v>
      </c>
      <c r="T876" s="14" t="n">
        <v>2.39</v>
      </c>
      <c r="U876" s="26">
        <f>IF(X876&gt;='Methodology &amp; Assumptions'!$B$7, "Tier 1 Critical GIDA (Score ≥ 50.0)", IF(X876&gt;='Methodology &amp; Assumptions'!$B$8, "Tier 2 High GIDA (Score 40.0–49.9)", "Tier 3 Moderate GIDA (Score &lt; 40.0)"))</f>
        <v/>
      </c>
      <c r="V876" s="26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W876" s="28" t="n">
        <v>0.109</v>
      </c>
      <c r="X876" s="14" t="n">
        <v>48.24</v>
      </c>
      <c r="Y876" s="14">
        <f>ROUND(MIN(100, (X876/69.91)*100), 2)</f>
        <v/>
      </c>
    </row>
    <row r="877">
      <c r="A877" s="10" t="n">
        <v>3</v>
      </c>
      <c r="B877" s="10" t="n">
        <v>873</v>
      </c>
      <c r="C877" s="10" t="n">
        <v>2873</v>
      </c>
      <c r="D877" s="10" t="inlineStr">
        <is>
          <t>1380300012</t>
        </is>
      </c>
      <c r="E877" s="26" t="inlineStr">
        <is>
          <t>National Capital Region (NCR)</t>
        </is>
      </c>
      <c r="F877" s="26" t="inlineStr">
        <is>
          <t>Fourth District (Not a Province)</t>
        </is>
      </c>
      <c r="G877" s="26" t="inlineStr">
        <is>
          <t>City of Makati</t>
        </is>
      </c>
      <c r="H877" s="26" t="inlineStr">
        <is>
          <t>La Paz</t>
        </is>
      </c>
      <c r="I877" s="27" t="n">
        <v>14.569358</v>
      </c>
      <c r="J877" s="27" t="n">
        <v>121.006737</v>
      </c>
      <c r="K877" s="10" t="inlineStr">
        <is>
          <t>U</t>
        </is>
      </c>
      <c r="L877" s="12" t="n">
        <v>3122</v>
      </c>
      <c r="M877" s="14" t="n">
        <v>3.5</v>
      </c>
      <c r="N877" s="12">
        <f>ROUND(L877/M877, 0)</f>
        <v/>
      </c>
      <c r="O877" s="12">
        <f>ROUND(N877*'Methodology &amp; Assumptions'!$B$5, 0)</f>
        <v/>
      </c>
      <c r="P877" s="10" t="inlineStr">
        <is>
          <t>Single Carrier (Band n50, 100MHz TDD)</t>
        </is>
      </c>
      <c r="Q877" s="13">
        <f>ROUNDUP(O877/'Methodology &amp; Assumptions'!$B$6, 0)</f>
        <v/>
      </c>
      <c r="R877" s="13" t="n">
        <v>1</v>
      </c>
      <c r="S877" s="14" t="n">
        <v>1.38</v>
      </c>
      <c r="T877" s="14" t="n">
        <v>0.16</v>
      </c>
      <c r="U877" s="26">
        <f>IF(X877&gt;='Methodology &amp; Assumptions'!$B$7, "Tier 1 Critical GIDA (Score ≥ 50.0)", IF(X877&gt;='Methodology &amp; Assumptions'!$B$8, "Tier 2 High GIDA (Score 40.0–49.9)", "Tier 3 Moderate GIDA (Score &lt; 40.0)"))</f>
        <v/>
      </c>
      <c r="V877" s="26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W877" s="28" t="n">
        <v>0.109</v>
      </c>
      <c r="X877" s="14" t="n">
        <v>48.24</v>
      </c>
      <c r="Y877" s="14">
        <f>ROUND(MIN(100, (X877/69.91)*100), 2)</f>
        <v/>
      </c>
    </row>
    <row r="878">
      <c r="A878" s="10" t="n">
        <v>3</v>
      </c>
      <c r="B878" s="10" t="n">
        <v>874</v>
      </c>
      <c r="C878" s="10" t="n">
        <v>2874</v>
      </c>
      <c r="D878" s="10" t="inlineStr">
        <is>
          <t>PH0002874</t>
        </is>
      </c>
      <c r="E878" s="26" t="inlineStr">
        <is>
          <t>NCR</t>
        </is>
      </c>
      <c r="F878" s="26" t="inlineStr">
        <is>
          <t>Metro Manila</t>
        </is>
      </c>
      <c r="G878" s="26" t="inlineStr">
        <is>
          <t>Caloocan City</t>
        </is>
      </c>
      <c r="H878" s="26" t="inlineStr">
        <is>
          <t>Barangay 149</t>
        </is>
      </c>
      <c r="I878" s="27" t="n">
        <v>11.418467</v>
      </c>
      <c r="J878" s="27" t="n">
        <v>121.774</v>
      </c>
      <c r="K878" s="10" t="inlineStr">
        <is>
          <t>R</t>
        </is>
      </c>
      <c r="L878" s="12" t="n">
        <v>2279</v>
      </c>
      <c r="M878" s="14" t="n">
        <v>3.8</v>
      </c>
      <c r="N878" s="12">
        <f>ROUND(L878/M878, 0)</f>
        <v/>
      </c>
      <c r="O878" s="12">
        <f>ROUND(N878*'Methodology &amp; Assumptions'!$B$5, 0)</f>
        <v/>
      </c>
      <c r="P878" s="10" t="inlineStr">
        <is>
          <t>Single Carrier (Band n50, 100MHz TDD)</t>
        </is>
      </c>
      <c r="Q878" s="13">
        <f>ROUNDUP(O878/'Methodology &amp; Assumptions'!$B$6, 0)</f>
        <v/>
      </c>
      <c r="R878" s="13" t="n">
        <v>1</v>
      </c>
      <c r="S878" s="14" t="n">
        <v>61.33</v>
      </c>
      <c r="T878" s="14" t="n">
        <v>56.28</v>
      </c>
      <c r="U878" s="26">
        <f>IF(X878&gt;='Methodology &amp; Assumptions'!$B$7, "Tier 1 Critical GIDA (Score ≥ 50.0)", IF(X878&gt;='Methodology &amp; Assumptions'!$B$8, "Tier 2 High GIDA (Score 40.0–49.9)", "Tier 3 Moderate GIDA (Score &lt; 40.0)"))</f>
        <v/>
      </c>
      <c r="V878" s="26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W878" s="28" t="n">
        <v>0.011</v>
      </c>
      <c r="X878" s="14" t="n">
        <v>48.24</v>
      </c>
      <c r="Y878" s="14">
        <f>ROUND(MIN(100, (X878/69.91)*100), 2)</f>
        <v/>
      </c>
    </row>
    <row r="879">
      <c r="A879" s="10" t="n">
        <v>3</v>
      </c>
      <c r="B879" s="10" t="n">
        <v>875</v>
      </c>
      <c r="C879" s="10" t="n">
        <v>2875</v>
      </c>
      <c r="D879" s="10" t="inlineStr">
        <is>
          <t>1380614046</t>
        </is>
      </c>
      <c r="E879" s="26" t="inlineStr">
        <is>
          <t>National Capital Region (NCR)</t>
        </is>
      </c>
      <c r="F879" s="26" t="inlineStr">
        <is>
          <t>First District (Not a Province)</t>
        </is>
      </c>
      <c r="G879" s="26" t="inlineStr">
        <is>
          <t>City of Manila</t>
        </is>
      </c>
      <c r="H879" s="26" t="inlineStr">
        <is>
          <t>Barangay 790</t>
        </is>
      </c>
      <c r="I879" s="27" t="n">
        <v>12.359631</v>
      </c>
      <c r="J879" s="27" t="n">
        <v>122.698035</v>
      </c>
      <c r="K879" s="10" t="inlineStr">
        <is>
          <t>U</t>
        </is>
      </c>
      <c r="L879" s="12" t="n">
        <v>1794</v>
      </c>
      <c r="M879" s="14" t="n">
        <v>3.9</v>
      </c>
      <c r="N879" s="12">
        <f>ROUND(L879/M879, 0)</f>
        <v/>
      </c>
      <c r="O879" s="12">
        <f>ROUND(N879*'Methodology &amp; Assumptions'!$B$5, 0)</f>
        <v/>
      </c>
      <c r="P879" s="10" t="inlineStr">
        <is>
          <t>Single Carrier (Band n50, 100MHz TDD)</t>
        </is>
      </c>
      <c r="Q879" s="13">
        <f>ROUNDUP(O879/'Methodology &amp; Assumptions'!$B$6, 0)</f>
        <v/>
      </c>
      <c r="R879" s="13" t="n">
        <v>1</v>
      </c>
      <c r="S879" s="14" t="n">
        <v>67.12</v>
      </c>
      <c r="T879" s="14" t="n">
        <v>57.28</v>
      </c>
      <c r="U879" s="26">
        <f>IF(X879&gt;='Methodology &amp; Assumptions'!$B$7, "Tier 1 Critical GIDA (Score ≥ 50.0)", IF(X879&gt;='Methodology &amp; Assumptions'!$B$8, "Tier 2 High GIDA (Score 40.0–49.9)", "Tier 3 Moderate GIDA (Score &lt; 40.0)"))</f>
        <v/>
      </c>
      <c r="V879" s="26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W879" s="28" t="n">
        <v>0.109</v>
      </c>
      <c r="X879" s="14" t="n">
        <v>48.24</v>
      </c>
      <c r="Y879" s="14">
        <f>ROUND(MIN(100, (X879/69.91)*100), 2)</f>
        <v/>
      </c>
    </row>
    <row r="880">
      <c r="A880" s="10" t="n">
        <v>3</v>
      </c>
      <c r="B880" s="10" t="n">
        <v>876</v>
      </c>
      <c r="C880" s="10" t="n">
        <v>2876</v>
      </c>
      <c r="D880" s="10" t="inlineStr">
        <is>
          <t>1380611014</t>
        </is>
      </c>
      <c r="E880" s="26" t="inlineStr">
        <is>
          <t>National Capital Region (NCR)</t>
        </is>
      </c>
      <c r="F880" s="26" t="inlineStr">
        <is>
          <t>First District (Not a Province)</t>
        </is>
      </c>
      <c r="G880" s="26" t="inlineStr">
        <is>
          <t>City of Manila</t>
        </is>
      </c>
      <c r="H880" s="26" t="inlineStr">
        <is>
          <t>Barangay 680</t>
        </is>
      </c>
      <c r="I880" s="27" t="n">
        <v>12.654281</v>
      </c>
      <c r="J880" s="27" t="n">
        <v>120.730956</v>
      </c>
      <c r="K880" s="10" t="inlineStr">
        <is>
          <t>U</t>
        </is>
      </c>
      <c r="L880" s="12" t="n">
        <v>997</v>
      </c>
      <c r="M880" s="14" t="n">
        <v>3.9</v>
      </c>
      <c r="N880" s="12">
        <f>ROUND(L880/M880, 0)</f>
        <v/>
      </c>
      <c r="O880" s="12">
        <f>ROUND(N880*'Methodology &amp; Assumptions'!$B$5, 0)</f>
        <v/>
      </c>
      <c r="P880" s="10" t="inlineStr">
        <is>
          <t>Single Carrier (Band n50, 100MHz TDD)</t>
        </is>
      </c>
      <c r="Q880" s="13">
        <f>ROUNDUP(O880/'Methodology &amp; Assumptions'!$B$6, 0)</f>
        <v/>
      </c>
      <c r="R880" s="13" t="n">
        <v>1</v>
      </c>
      <c r="S880" s="14" t="n">
        <v>49.51</v>
      </c>
      <c r="T880" s="14" t="n">
        <v>47.4</v>
      </c>
      <c r="U880" s="26">
        <f>IF(X880&gt;='Methodology &amp; Assumptions'!$B$7, "Tier 1 Critical GIDA (Score ≥ 50.0)", IF(X880&gt;='Methodology &amp; Assumptions'!$B$8, "Tier 2 High GIDA (Score 40.0–49.9)", "Tier 3 Moderate GIDA (Score &lt; 40.0)"))</f>
        <v/>
      </c>
      <c r="V880" s="26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W880" s="28" t="n">
        <v>0.109</v>
      </c>
      <c r="X880" s="14" t="n">
        <v>48.24</v>
      </c>
      <c r="Y880" s="14">
        <f>ROUND(MIN(100, (X880/69.91)*100), 2)</f>
        <v/>
      </c>
    </row>
    <row r="881">
      <c r="A881" s="10" t="n">
        <v>3</v>
      </c>
      <c r="B881" s="10" t="n">
        <v>877</v>
      </c>
      <c r="C881" s="10" t="n">
        <v>2877</v>
      </c>
      <c r="D881" s="10" t="inlineStr">
        <is>
          <t>1381100136</t>
        </is>
      </c>
      <c r="E881" s="26" t="inlineStr">
        <is>
          <t>National Capital Region (NCR)</t>
        </is>
      </c>
      <c r="F881" s="26" t="inlineStr">
        <is>
          <t>Fourth District (Not a Province)</t>
        </is>
      </c>
      <c r="G881" s="26" t="inlineStr">
        <is>
          <t>Pasay City</t>
        </is>
      </c>
      <c r="H881" s="26" t="inlineStr">
        <is>
          <t>Barangay 136</t>
        </is>
      </c>
      <c r="I881" s="27" t="n">
        <v>14.396327</v>
      </c>
      <c r="J881" s="27" t="n">
        <v>120.825694</v>
      </c>
      <c r="K881" s="10" t="inlineStr">
        <is>
          <t>U</t>
        </is>
      </c>
      <c r="L881" s="12" t="n">
        <v>2229</v>
      </c>
      <c r="M881" s="14" t="n">
        <v>3.4</v>
      </c>
      <c r="N881" s="12">
        <f>ROUND(L881/M881, 0)</f>
        <v/>
      </c>
      <c r="O881" s="12">
        <f>ROUND(N881*'Methodology &amp; Assumptions'!$B$5, 0)</f>
        <v/>
      </c>
      <c r="P881" s="10" t="inlineStr">
        <is>
          <t>Single Carrier (Band n50, 100MHz TDD)</t>
        </is>
      </c>
      <c r="Q881" s="13">
        <f>ROUNDUP(O881/'Methodology &amp; Assumptions'!$B$6, 0)</f>
        <v/>
      </c>
      <c r="R881" s="13" t="n">
        <v>1</v>
      </c>
      <c r="S881" s="14" t="n">
        <v>2.94</v>
      </c>
      <c r="T881" s="14" t="n">
        <v>2.12</v>
      </c>
      <c r="U881" s="26">
        <f>IF(X881&gt;='Methodology &amp; Assumptions'!$B$7, "Tier 1 Critical GIDA (Score ≥ 50.0)", IF(X881&gt;='Methodology &amp; Assumptions'!$B$8, "Tier 2 High GIDA (Score 40.0–49.9)", "Tier 3 Moderate GIDA (Score &lt; 40.0)"))</f>
        <v/>
      </c>
      <c r="V881" s="26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W881" s="28" t="n">
        <v>0.109</v>
      </c>
      <c r="X881" s="14" t="n">
        <v>48.24</v>
      </c>
      <c r="Y881" s="14">
        <f>ROUND(MIN(100, (X881/69.91)*100), 2)</f>
        <v/>
      </c>
    </row>
    <row r="882">
      <c r="A882" s="10" t="n">
        <v>3</v>
      </c>
      <c r="B882" s="10" t="n">
        <v>878</v>
      </c>
      <c r="C882" s="10" t="n">
        <v>2878</v>
      </c>
      <c r="D882" s="10" t="inlineStr">
        <is>
          <t>PH0002878</t>
        </is>
      </c>
      <c r="E882" s="26" t="inlineStr">
        <is>
          <t>NCR</t>
        </is>
      </c>
      <c r="F882" s="26" t="inlineStr">
        <is>
          <t>Metro Manila</t>
        </is>
      </c>
      <c r="G882" s="26" t="inlineStr">
        <is>
          <t>Caloocan City</t>
        </is>
      </c>
      <c r="H882" s="26" t="inlineStr">
        <is>
          <t>Barangay 70</t>
        </is>
      </c>
      <c r="I882" s="27" t="n">
        <v>13.958029</v>
      </c>
      <c r="J882" s="27" t="n">
        <v>120.760391</v>
      </c>
      <c r="K882" s="10" t="inlineStr">
        <is>
          <t>R</t>
        </is>
      </c>
      <c r="L882" s="12" t="n">
        <v>2279</v>
      </c>
      <c r="M882" s="14" t="n">
        <v>3.8</v>
      </c>
      <c r="N882" s="12">
        <f>ROUND(L882/M882, 0)</f>
        <v/>
      </c>
      <c r="O882" s="12">
        <f>ROUND(N882*'Methodology &amp; Assumptions'!$B$5, 0)</f>
        <v/>
      </c>
      <c r="P882" s="10" t="inlineStr">
        <is>
          <t>Single Carrier (Band n50, 100MHz TDD)</t>
        </is>
      </c>
      <c r="Q882" s="13">
        <f>ROUNDUP(O882/'Methodology &amp; Assumptions'!$B$6, 0)</f>
        <v/>
      </c>
      <c r="R882" s="13" t="n">
        <v>1</v>
      </c>
      <c r="S882" s="14" t="n">
        <v>3.51</v>
      </c>
      <c r="T882" s="14" t="n">
        <v>1.39</v>
      </c>
      <c r="U882" s="26">
        <f>IF(X882&gt;='Methodology &amp; Assumptions'!$B$7, "Tier 1 Critical GIDA (Score ≥ 50.0)", IF(X882&gt;='Methodology &amp; Assumptions'!$B$8, "Tier 2 High GIDA (Score 40.0–49.9)", "Tier 3 Moderate GIDA (Score &lt; 40.0)"))</f>
        <v/>
      </c>
      <c r="V882" s="26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W882" s="28" t="n">
        <v>0.011</v>
      </c>
      <c r="X882" s="14" t="n">
        <v>48.24</v>
      </c>
      <c r="Y882" s="14">
        <f>ROUND(MIN(100, (X882/69.91)*100), 2)</f>
        <v/>
      </c>
    </row>
    <row r="883">
      <c r="A883" s="10" t="n">
        <v>3</v>
      </c>
      <c r="B883" s="10" t="n">
        <v>879</v>
      </c>
      <c r="C883" s="10" t="n">
        <v>2879</v>
      </c>
      <c r="D883" s="10" t="inlineStr">
        <is>
          <t>1380606111</t>
        </is>
      </c>
      <c r="E883" s="26" t="inlineStr">
        <is>
          <t>National Capital Region (NCR)</t>
        </is>
      </c>
      <c r="F883" s="26" t="inlineStr">
        <is>
          <t>First District (Not a Province)</t>
        </is>
      </c>
      <c r="G883" s="26" t="inlineStr">
        <is>
          <t>City of Manila</t>
        </is>
      </c>
      <c r="H883" s="26" t="inlineStr">
        <is>
          <t>Barangay 505</t>
        </is>
      </c>
      <c r="I883" s="27" t="n">
        <v>13.733943</v>
      </c>
      <c r="J883" s="27" t="n">
        <v>122.387585</v>
      </c>
      <c r="K883" s="10" t="inlineStr">
        <is>
          <t>U</t>
        </is>
      </c>
      <c r="L883" s="12" t="n">
        <v>1236</v>
      </c>
      <c r="M883" s="14" t="n">
        <v>3.9</v>
      </c>
      <c r="N883" s="12">
        <f>ROUND(L883/M883, 0)</f>
        <v/>
      </c>
      <c r="O883" s="12">
        <f>ROUND(N883*'Methodology &amp; Assumptions'!$B$5, 0)</f>
        <v/>
      </c>
      <c r="P883" s="10" t="inlineStr">
        <is>
          <t>Single Carrier (Band n50, 100MHz TDD)</t>
        </is>
      </c>
      <c r="Q883" s="13">
        <f>ROUNDUP(O883/'Methodology &amp; Assumptions'!$B$6, 0)</f>
        <v/>
      </c>
      <c r="R883" s="13" t="n">
        <v>1</v>
      </c>
      <c r="S883" s="14" t="n">
        <v>7.74</v>
      </c>
      <c r="T883" s="14" t="n">
        <v>6.61</v>
      </c>
      <c r="U883" s="26">
        <f>IF(X883&gt;='Methodology &amp; Assumptions'!$B$7, "Tier 1 Critical GIDA (Score ≥ 50.0)", IF(X883&gt;='Methodology &amp; Assumptions'!$B$8, "Tier 2 High GIDA (Score 40.0–49.9)", "Tier 3 Moderate GIDA (Score &lt; 40.0)"))</f>
        <v/>
      </c>
      <c r="V883" s="26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W883" s="28" t="n">
        <v>0.109</v>
      </c>
      <c r="X883" s="14" t="n">
        <v>48.24</v>
      </c>
      <c r="Y883" s="14">
        <f>ROUND(MIN(100, (X883/69.91)*100), 2)</f>
        <v/>
      </c>
    </row>
    <row r="884">
      <c r="A884" s="10" t="n">
        <v>3</v>
      </c>
      <c r="B884" s="10" t="n">
        <v>880</v>
      </c>
      <c r="C884" s="10" t="n">
        <v>2880</v>
      </c>
      <c r="D884" s="10" t="inlineStr">
        <is>
          <t>1606810010</t>
        </is>
      </c>
      <c r="E884" s="26" t="inlineStr">
        <is>
          <t>Region XIII (Caraga)</t>
        </is>
      </c>
      <c r="F884" s="26" t="inlineStr">
        <is>
          <t>Surigao del Sur</t>
        </is>
      </c>
      <c r="G884" s="26" t="inlineStr">
        <is>
          <t>Lanuza</t>
        </is>
      </c>
      <c r="H884" s="26" t="inlineStr">
        <is>
          <t>Mampi</t>
        </is>
      </c>
      <c r="I884" s="27" t="n">
        <v>17.104961</v>
      </c>
      <c r="J884" s="27" t="n">
        <v>122.274131</v>
      </c>
      <c r="K884" s="10" t="inlineStr">
        <is>
          <t>R</t>
        </is>
      </c>
      <c r="L884" s="12" t="n">
        <v>940</v>
      </c>
      <c r="M884" s="14" t="n">
        <v>4.1</v>
      </c>
      <c r="N884" s="12">
        <f>ROUND(L884/M884, 0)</f>
        <v/>
      </c>
      <c r="O884" s="12">
        <f>ROUND(N884*'Methodology &amp; Assumptions'!$B$5, 0)</f>
        <v/>
      </c>
      <c r="P884" s="10" t="inlineStr">
        <is>
          <t>Single Carrier (Band n50, 100MHz TDD)</t>
        </is>
      </c>
      <c r="Q884" s="13">
        <f>ROUNDUP(O884/'Methodology &amp; Assumptions'!$B$6, 0)</f>
        <v/>
      </c>
      <c r="R884" s="13" t="n">
        <v>1</v>
      </c>
      <c r="S884" s="14" t="n">
        <v>27.53</v>
      </c>
      <c r="T884" s="14" t="n">
        <v>37.62</v>
      </c>
      <c r="U884" s="26">
        <f>IF(X884&gt;='Methodology &amp; Assumptions'!$B$7, "Tier 1 Critical GIDA (Score ≥ 50.0)", IF(X884&gt;='Methodology &amp; Assumptions'!$B$8, "Tier 2 High GIDA (Score 40.0–49.9)", "Tier 3 Moderate GIDA (Score &lt; 40.0)"))</f>
        <v/>
      </c>
      <c r="V884" s="26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W884" s="28" t="n">
        <v>0.174</v>
      </c>
      <c r="X884" s="14" t="n">
        <v>48.24</v>
      </c>
      <c r="Y884" s="14">
        <f>ROUND(MIN(100, (X884/69.91)*100), 2)</f>
        <v/>
      </c>
    </row>
    <row r="885">
      <c r="A885" s="10" t="n">
        <v>3</v>
      </c>
      <c r="B885" s="10" t="n">
        <v>881</v>
      </c>
      <c r="C885" s="10" t="n">
        <v>2881</v>
      </c>
      <c r="D885" s="10" t="inlineStr">
        <is>
          <t>1380606181</t>
        </is>
      </c>
      <c r="E885" s="26" t="inlineStr">
        <is>
          <t>National Capital Region (NCR)</t>
        </is>
      </c>
      <c r="F885" s="26" t="inlineStr">
        <is>
          <t>First District (Not a Province)</t>
        </is>
      </c>
      <c r="G885" s="26" t="inlineStr">
        <is>
          <t>City of Manila</t>
        </is>
      </c>
      <c r="H885" s="26" t="inlineStr">
        <is>
          <t>Barangay 575</t>
        </is>
      </c>
      <c r="I885" s="27" t="n">
        <v>11.844445</v>
      </c>
      <c r="J885" s="27" t="n">
        <v>121.913811</v>
      </c>
      <c r="K885" s="10" t="inlineStr">
        <is>
          <t>U</t>
        </is>
      </c>
      <c r="L885" s="12" t="n">
        <v>1038</v>
      </c>
      <c r="M885" s="14" t="n">
        <v>3.9</v>
      </c>
      <c r="N885" s="12">
        <f>ROUND(L885/M885, 0)</f>
        <v/>
      </c>
      <c r="O885" s="12">
        <f>ROUND(N885*'Methodology &amp; Assumptions'!$B$5, 0)</f>
        <v/>
      </c>
      <c r="P885" s="10" t="inlineStr">
        <is>
          <t>Single Carrier (Band n50, 100MHz TDD)</t>
        </is>
      </c>
      <c r="Q885" s="13">
        <f>ROUNDUP(O885/'Methodology &amp; Assumptions'!$B$6, 0)</f>
        <v/>
      </c>
      <c r="R885" s="13" t="n">
        <v>1</v>
      </c>
      <c r="S885" s="14" t="n">
        <v>12.07</v>
      </c>
      <c r="T885" s="14" t="n">
        <v>9.52</v>
      </c>
      <c r="U885" s="26">
        <f>IF(X885&gt;='Methodology &amp; Assumptions'!$B$7, "Tier 1 Critical GIDA (Score ≥ 50.0)", IF(X885&gt;='Methodology &amp; Assumptions'!$B$8, "Tier 2 High GIDA (Score 40.0–49.9)", "Tier 3 Moderate GIDA (Score &lt; 40.0)"))</f>
        <v/>
      </c>
      <c r="V885" s="26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W885" s="28" t="n">
        <v>0.109</v>
      </c>
      <c r="X885" s="14" t="n">
        <v>48.24</v>
      </c>
      <c r="Y885" s="14">
        <f>ROUND(MIN(100, (X885/69.91)*100), 2)</f>
        <v/>
      </c>
    </row>
    <row r="886">
      <c r="A886" s="10" t="n">
        <v>3</v>
      </c>
      <c r="B886" s="10" t="n">
        <v>882</v>
      </c>
      <c r="C886" s="10" t="n">
        <v>2882</v>
      </c>
      <c r="D886" s="10" t="inlineStr">
        <is>
          <t>0405619042</t>
        </is>
      </c>
      <c r="E886" s="26" t="inlineStr">
        <is>
          <t>Region IV-A (CALABARZON)</t>
        </is>
      </c>
      <c r="F886" s="26" t="inlineStr">
        <is>
          <t>Quezon</t>
        </is>
      </c>
      <c r="G886" s="26" t="inlineStr">
        <is>
          <t>Gumaca</t>
        </is>
      </c>
      <c r="H886" s="26" t="inlineStr">
        <is>
          <t>San Isidro Kanluran</t>
        </is>
      </c>
      <c r="I886" s="27" t="n">
        <v>13.897283</v>
      </c>
      <c r="J886" s="27" t="n">
        <v>122.12925</v>
      </c>
      <c r="K886" s="10" t="inlineStr">
        <is>
          <t>R</t>
        </is>
      </c>
      <c r="L886" s="12" t="n">
        <v>192</v>
      </c>
      <c r="M886" s="14" t="n">
        <v>3.8</v>
      </c>
      <c r="N886" s="12">
        <f>ROUND(L886/M886, 0)</f>
        <v/>
      </c>
      <c r="O886" s="12">
        <f>ROUND(N886*'Methodology &amp; Assumptions'!$B$5, 0)</f>
        <v/>
      </c>
      <c r="P886" s="10" t="inlineStr">
        <is>
          <t>Single Carrier (Band n50, 100MHz TDD)</t>
        </is>
      </c>
      <c r="Q886" s="13">
        <f>ROUNDUP(O886/'Methodology &amp; Assumptions'!$B$6, 0)</f>
        <v/>
      </c>
      <c r="R886" s="13" t="n">
        <v>1</v>
      </c>
      <c r="S886" s="14" t="n">
        <v>3.67</v>
      </c>
      <c r="T886" s="14" t="n">
        <v>1.67</v>
      </c>
      <c r="U886" s="26">
        <f>IF(X886&gt;='Methodology &amp; Assumptions'!$B$7, "Tier 1 Critical GIDA (Score ≥ 50.0)", IF(X886&gt;='Methodology &amp; Assumptions'!$B$8, "Tier 2 High GIDA (Score 40.0–49.9)", "Tier 3 Moderate GIDA (Score &lt; 40.0)"))</f>
        <v/>
      </c>
      <c r="V886" s="26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W886" s="28" t="n">
        <v>0.07200000000000001</v>
      </c>
      <c r="X886" s="14" t="n">
        <v>48.23</v>
      </c>
      <c r="Y886" s="14">
        <f>ROUND(MIN(100, (X886/69.91)*100), 2)</f>
        <v/>
      </c>
    </row>
    <row r="887">
      <c r="A887" s="10" t="n">
        <v>3</v>
      </c>
      <c r="B887" s="10" t="n">
        <v>883</v>
      </c>
      <c r="C887" s="10" t="n">
        <v>2883</v>
      </c>
      <c r="D887" s="10" t="inlineStr">
        <is>
          <t>1381100070</t>
        </is>
      </c>
      <c r="E887" s="26" t="inlineStr">
        <is>
          <t>National Capital Region (NCR)</t>
        </is>
      </c>
      <c r="F887" s="26" t="inlineStr">
        <is>
          <t>Fourth District (Not a Province)</t>
        </is>
      </c>
      <c r="G887" s="26" t="inlineStr">
        <is>
          <t>Pasay City</t>
        </is>
      </c>
      <c r="H887" s="26" t="inlineStr">
        <is>
          <t>Barangay 70</t>
        </is>
      </c>
      <c r="I887" s="27" t="n">
        <v>14.544209</v>
      </c>
      <c r="J887" s="27" t="n">
        <v>120.995748</v>
      </c>
      <c r="K887" s="10" t="inlineStr">
        <is>
          <t>U</t>
        </is>
      </c>
      <c r="L887" s="12" t="n">
        <v>2262</v>
      </c>
      <c r="M887" s="14" t="n">
        <v>3.4</v>
      </c>
      <c r="N887" s="12">
        <f>ROUND(L887/M887, 0)</f>
        <v/>
      </c>
      <c r="O887" s="12">
        <f>ROUND(N887*'Methodology &amp; Assumptions'!$B$5, 0)</f>
        <v/>
      </c>
      <c r="P887" s="10" t="inlineStr">
        <is>
          <t>Single Carrier (Band n50, 100MHz TDD)</t>
        </is>
      </c>
      <c r="Q887" s="13">
        <f>ROUNDUP(O887/'Methodology &amp; Assumptions'!$B$6, 0)</f>
        <v/>
      </c>
      <c r="R887" s="13" t="n">
        <v>1</v>
      </c>
      <c r="S887" s="14" t="n">
        <v>0.15</v>
      </c>
      <c r="T887" s="14" t="n">
        <v>0.2</v>
      </c>
      <c r="U887" s="26">
        <f>IF(X887&gt;='Methodology &amp; Assumptions'!$B$7, "Tier 1 Critical GIDA (Score ≥ 50.0)", IF(X887&gt;='Methodology &amp; Assumptions'!$B$8, "Tier 2 High GIDA (Score 40.0–49.9)", "Tier 3 Moderate GIDA (Score &lt; 40.0)"))</f>
        <v/>
      </c>
      <c r="V887" s="26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W887" s="28" t="n">
        <v>0.109</v>
      </c>
      <c r="X887" s="14" t="n">
        <v>48.23</v>
      </c>
      <c r="Y887" s="14">
        <f>ROUND(MIN(100, (X887/69.91)*100), 2)</f>
        <v/>
      </c>
    </row>
    <row r="888">
      <c r="A888" s="10" t="n">
        <v>3</v>
      </c>
      <c r="B888" s="10" t="n">
        <v>884</v>
      </c>
      <c r="C888" s="10" t="n">
        <v>2884</v>
      </c>
      <c r="D888" s="10" t="inlineStr">
        <is>
          <t>1380610030</t>
        </is>
      </c>
      <c r="E888" s="26" t="inlineStr">
        <is>
          <t>National Capital Region (NCR)</t>
        </is>
      </c>
      <c r="F888" s="26" t="inlineStr">
        <is>
          <t>First District (Not a Province)</t>
        </is>
      </c>
      <c r="G888" s="26" t="inlineStr">
        <is>
          <t>City of Manila</t>
        </is>
      </c>
      <c r="H888" s="26" t="inlineStr">
        <is>
          <t>Barangay 715</t>
        </is>
      </c>
      <c r="I888" s="27" t="n">
        <v>13.551759</v>
      </c>
      <c r="J888" s="27" t="n">
        <v>120.952401</v>
      </c>
      <c r="K888" s="10" t="inlineStr">
        <is>
          <t>U</t>
        </is>
      </c>
      <c r="L888" s="12" t="n">
        <v>185</v>
      </c>
      <c r="M888" s="14" t="n">
        <v>3.9</v>
      </c>
      <c r="N888" s="12">
        <f>ROUND(L888/M888, 0)</f>
        <v/>
      </c>
      <c r="O888" s="12">
        <f>ROUND(N888*'Methodology &amp; Assumptions'!$B$5, 0)</f>
        <v/>
      </c>
      <c r="P888" s="10" t="inlineStr">
        <is>
          <t>Single Carrier (Band n50, 100MHz TDD)</t>
        </is>
      </c>
      <c r="Q888" s="13">
        <f>ROUNDUP(O888/'Methodology &amp; Assumptions'!$B$6, 0)</f>
        <v/>
      </c>
      <c r="R888" s="13" t="n">
        <v>1</v>
      </c>
      <c r="S888" s="14" t="n">
        <v>5.85</v>
      </c>
      <c r="T888" s="14" t="n">
        <v>5.32</v>
      </c>
      <c r="U888" s="26">
        <f>IF(X888&gt;='Methodology &amp; Assumptions'!$B$7, "Tier 1 Critical GIDA (Score ≥ 50.0)", IF(X888&gt;='Methodology &amp; Assumptions'!$B$8, "Tier 2 High GIDA (Score 40.0–49.9)", "Tier 3 Moderate GIDA (Score &lt; 40.0)"))</f>
        <v/>
      </c>
      <c r="V888" s="26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W888" s="28" t="n">
        <v>0.109</v>
      </c>
      <c r="X888" s="14" t="n">
        <v>48.23</v>
      </c>
      <c r="Y888" s="14">
        <f>ROUND(MIN(100, (X888/69.91)*100), 2)</f>
        <v/>
      </c>
    </row>
    <row r="889">
      <c r="A889" s="10" t="n">
        <v>3</v>
      </c>
      <c r="B889" s="10" t="n">
        <v>885</v>
      </c>
      <c r="C889" s="10" t="n">
        <v>2885</v>
      </c>
      <c r="D889" s="10" t="inlineStr">
        <is>
          <t>1381100162</t>
        </is>
      </c>
      <c r="E889" s="26" t="inlineStr">
        <is>
          <t>National Capital Region (NCR)</t>
        </is>
      </c>
      <c r="F889" s="26" t="inlineStr">
        <is>
          <t>Fourth District (Not a Province)</t>
        </is>
      </c>
      <c r="G889" s="26" t="inlineStr">
        <is>
          <t>Pasay City</t>
        </is>
      </c>
      <c r="H889" s="26" t="inlineStr">
        <is>
          <t>Barangay 162</t>
        </is>
      </c>
      <c r="I889" s="27" t="n">
        <v>14.535276</v>
      </c>
      <c r="J889" s="27" t="n">
        <v>121.006502</v>
      </c>
      <c r="K889" s="10" t="inlineStr">
        <is>
          <t>U</t>
        </is>
      </c>
      <c r="L889" s="12" t="n">
        <v>1952</v>
      </c>
      <c r="M889" s="14" t="n">
        <v>3.4</v>
      </c>
      <c r="N889" s="12">
        <f>ROUND(L889/M889, 0)</f>
        <v/>
      </c>
      <c r="O889" s="12">
        <f>ROUND(N889*'Methodology &amp; Assumptions'!$B$5, 0)</f>
        <v/>
      </c>
      <c r="P889" s="10" t="inlineStr">
        <is>
          <t>Single Carrier (Band n50, 100MHz TDD)</t>
        </is>
      </c>
      <c r="Q889" s="13">
        <f>ROUNDUP(O889/'Methodology &amp; Assumptions'!$B$6, 0)</f>
        <v/>
      </c>
      <c r="R889" s="13" t="n">
        <v>1</v>
      </c>
      <c r="S889" s="14" t="n">
        <v>1.3</v>
      </c>
      <c r="T889" s="14" t="n">
        <v>0.37</v>
      </c>
      <c r="U889" s="26">
        <f>IF(X889&gt;='Methodology &amp; Assumptions'!$B$7, "Tier 1 Critical GIDA (Score ≥ 50.0)", IF(X889&gt;='Methodology &amp; Assumptions'!$B$8, "Tier 2 High GIDA (Score 40.0–49.9)", "Tier 3 Moderate GIDA (Score &lt; 40.0)"))</f>
        <v/>
      </c>
      <c r="V889" s="26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W889" s="28" t="n">
        <v>0.109</v>
      </c>
      <c r="X889" s="14" t="n">
        <v>48.23</v>
      </c>
      <c r="Y889" s="14">
        <f>ROUND(MIN(100, (X889/69.91)*100), 2)</f>
        <v/>
      </c>
    </row>
    <row r="890">
      <c r="A890" s="10" t="n">
        <v>3</v>
      </c>
      <c r="B890" s="10" t="n">
        <v>886</v>
      </c>
      <c r="C890" s="10" t="n">
        <v>2886</v>
      </c>
      <c r="D890" s="10" t="inlineStr">
        <is>
          <t>1381100027</t>
        </is>
      </c>
      <c r="E890" s="26" t="inlineStr">
        <is>
          <t>National Capital Region (NCR)</t>
        </is>
      </c>
      <c r="F890" s="26" t="inlineStr">
        <is>
          <t>Fourth District (Not a Province)</t>
        </is>
      </c>
      <c r="G890" s="26" t="inlineStr">
        <is>
          <t>Pasay City</t>
        </is>
      </c>
      <c r="H890" s="26" t="inlineStr">
        <is>
          <t>Barangay 27</t>
        </is>
      </c>
      <c r="I890" s="27" t="n">
        <v>14.765275</v>
      </c>
      <c r="J890" s="27" t="n">
        <v>121.034227</v>
      </c>
      <c r="K890" s="10" t="inlineStr">
        <is>
          <t>U</t>
        </is>
      </c>
      <c r="L890" s="12" t="n">
        <v>281</v>
      </c>
      <c r="M890" s="14" t="n">
        <v>3.4</v>
      </c>
      <c r="N890" s="12">
        <f>ROUND(L890/M890, 0)</f>
        <v/>
      </c>
      <c r="O890" s="12">
        <f>ROUND(N890*'Methodology &amp; Assumptions'!$B$5, 0)</f>
        <v/>
      </c>
      <c r="P890" s="10" t="inlineStr">
        <is>
          <t>Single Carrier (Band n50, 100MHz TDD)</t>
        </is>
      </c>
      <c r="Q890" s="13">
        <f>ROUNDUP(O890/'Methodology &amp; Assumptions'!$B$6, 0)</f>
        <v/>
      </c>
      <c r="R890" s="13" t="n">
        <v>1</v>
      </c>
      <c r="S890" s="14" t="n">
        <v>1.51</v>
      </c>
      <c r="T890" s="14" t="n">
        <v>1.07</v>
      </c>
      <c r="U890" s="26">
        <f>IF(X890&gt;='Methodology &amp; Assumptions'!$B$7, "Tier 1 Critical GIDA (Score ≥ 50.0)", IF(X890&gt;='Methodology &amp; Assumptions'!$B$8, "Tier 2 High GIDA (Score 40.0–49.9)", "Tier 3 Moderate GIDA (Score &lt; 40.0)"))</f>
        <v/>
      </c>
      <c r="V890" s="26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W890" s="28" t="n">
        <v>0.109</v>
      </c>
      <c r="X890" s="14" t="n">
        <v>48.23</v>
      </c>
      <c r="Y890" s="14">
        <f>ROUND(MIN(100, (X890/69.91)*100), 2)</f>
        <v/>
      </c>
    </row>
    <row r="891">
      <c r="A891" s="10" t="n">
        <v>3</v>
      </c>
      <c r="B891" s="10" t="n">
        <v>887</v>
      </c>
      <c r="C891" s="10" t="n">
        <v>2887</v>
      </c>
      <c r="D891" s="10" t="inlineStr">
        <is>
          <t>PH0002887</t>
        </is>
      </c>
      <c r="E891" s="26" t="inlineStr">
        <is>
          <t>NCR</t>
        </is>
      </c>
      <c r="F891" s="26" t="inlineStr">
        <is>
          <t>Metro Manila</t>
        </is>
      </c>
      <c r="G891" s="26" t="inlineStr">
        <is>
          <t>Caloocan City</t>
        </is>
      </c>
      <c r="H891" s="26" t="inlineStr">
        <is>
          <t>Barangay 8</t>
        </is>
      </c>
      <c r="I891" s="27" t="n">
        <v>12.75211</v>
      </c>
      <c r="J891" s="27" t="n">
        <v>123.270001</v>
      </c>
      <c r="K891" s="10" t="inlineStr">
        <is>
          <t>R</t>
        </is>
      </c>
      <c r="L891" s="12" t="n">
        <v>2279</v>
      </c>
      <c r="M891" s="14" t="n">
        <v>3.8</v>
      </c>
      <c r="N891" s="12">
        <f>ROUND(L891/M891, 0)</f>
        <v/>
      </c>
      <c r="O891" s="12">
        <f>ROUND(N891*'Methodology &amp; Assumptions'!$B$5, 0)</f>
        <v/>
      </c>
      <c r="P891" s="10" t="inlineStr">
        <is>
          <t>Single Carrier (Band n50, 100MHz TDD)</t>
        </is>
      </c>
      <c r="Q891" s="13">
        <f>ROUNDUP(O891/'Methodology &amp; Assumptions'!$B$6, 0)</f>
        <v/>
      </c>
      <c r="R891" s="13" t="n">
        <v>1</v>
      </c>
      <c r="S891" s="14" t="n">
        <v>30.29</v>
      </c>
      <c r="T891" s="14" t="n">
        <v>31.73</v>
      </c>
      <c r="U891" s="26">
        <f>IF(X891&gt;='Methodology &amp; Assumptions'!$B$7, "Tier 1 Critical GIDA (Score ≥ 50.0)", IF(X891&gt;='Methodology &amp; Assumptions'!$B$8, "Tier 2 High GIDA (Score 40.0–49.9)", "Tier 3 Moderate GIDA (Score &lt; 40.0)"))</f>
        <v/>
      </c>
      <c r="V891" s="26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W891" s="28" t="n">
        <v>0.011</v>
      </c>
      <c r="X891" s="14" t="n">
        <v>48.22</v>
      </c>
      <c r="Y891" s="14">
        <f>ROUND(MIN(100, (X891/69.91)*100), 2)</f>
        <v/>
      </c>
    </row>
    <row r="892">
      <c r="A892" s="10" t="n">
        <v>3</v>
      </c>
      <c r="B892" s="10" t="n">
        <v>888</v>
      </c>
      <c r="C892" s="10" t="n">
        <v>2888</v>
      </c>
      <c r="D892" s="10" t="inlineStr">
        <is>
          <t>1380606011</t>
        </is>
      </c>
      <c r="E892" s="26" t="inlineStr">
        <is>
          <t>National Capital Region (NCR)</t>
        </is>
      </c>
      <c r="F892" s="26" t="inlineStr">
        <is>
          <t>First District (Not a Province)</t>
        </is>
      </c>
      <c r="G892" s="26" t="inlineStr">
        <is>
          <t>City of Manila</t>
        </is>
      </c>
      <c r="H892" s="26" t="inlineStr">
        <is>
          <t>Barangay 405</t>
        </is>
      </c>
      <c r="I892" s="27" t="n">
        <v>12.925365</v>
      </c>
      <c r="J892" s="27" t="n">
        <v>122.846884</v>
      </c>
      <c r="K892" s="10" t="inlineStr">
        <is>
          <t>U</t>
        </is>
      </c>
      <c r="L892" s="12" t="n">
        <v>1029</v>
      </c>
      <c r="M892" s="14" t="n">
        <v>3.9</v>
      </c>
      <c r="N892" s="12">
        <f>ROUND(L892/M892, 0)</f>
        <v/>
      </c>
      <c r="O892" s="12">
        <f>ROUND(N892*'Methodology &amp; Assumptions'!$B$5, 0)</f>
        <v/>
      </c>
      <c r="P892" s="10" t="inlineStr">
        <is>
          <t>Single Carrier (Band n50, 100MHz TDD)</t>
        </is>
      </c>
      <c r="Q892" s="13">
        <f>ROUNDUP(O892/'Methodology &amp; Assumptions'!$B$6, 0)</f>
        <v/>
      </c>
      <c r="R892" s="13" t="n">
        <v>1</v>
      </c>
      <c r="S892" s="14" t="n">
        <v>36.69</v>
      </c>
      <c r="T892" s="14" t="n">
        <v>67.41</v>
      </c>
      <c r="U892" s="26">
        <f>IF(X892&gt;='Methodology &amp; Assumptions'!$B$7, "Tier 1 Critical GIDA (Score ≥ 50.0)", IF(X892&gt;='Methodology &amp; Assumptions'!$B$8, "Tier 2 High GIDA (Score 40.0–49.9)", "Tier 3 Moderate GIDA (Score &lt; 40.0)"))</f>
        <v/>
      </c>
      <c r="V892" s="26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W892" s="28" t="n">
        <v>0.109</v>
      </c>
      <c r="X892" s="14" t="n">
        <v>48.22</v>
      </c>
      <c r="Y892" s="14">
        <f>ROUND(MIN(100, (X892/69.91)*100), 2)</f>
        <v/>
      </c>
    </row>
    <row r="893">
      <c r="A893" s="10" t="n">
        <v>3</v>
      </c>
      <c r="B893" s="10" t="n">
        <v>889</v>
      </c>
      <c r="C893" s="10" t="n">
        <v>2889</v>
      </c>
      <c r="D893" s="10" t="inlineStr">
        <is>
          <t>0405622079</t>
        </is>
      </c>
      <c r="E893" s="26" t="inlineStr">
        <is>
          <t>Region IV-A (CALABARZON)</t>
        </is>
      </c>
      <c r="F893" s="26" t="inlineStr">
        <is>
          <t>Quezon</t>
        </is>
      </c>
      <c r="G893" s="26" t="inlineStr">
        <is>
          <t>Lopez</t>
        </is>
      </c>
      <c r="H893" s="26" t="inlineStr">
        <is>
          <t>Santo Niño Ilaya</t>
        </is>
      </c>
      <c r="I893" s="27" t="n">
        <v>13.771464</v>
      </c>
      <c r="J893" s="27" t="n">
        <v>122.335934</v>
      </c>
      <c r="K893" s="10" t="inlineStr">
        <is>
          <t>R</t>
        </is>
      </c>
      <c r="L893" s="12" t="n">
        <v>1087</v>
      </c>
      <c r="M893" s="14" t="n">
        <v>3.8</v>
      </c>
      <c r="N893" s="12">
        <f>ROUND(L893/M893, 0)</f>
        <v/>
      </c>
      <c r="O893" s="12">
        <f>ROUND(N893*'Methodology &amp; Assumptions'!$B$5, 0)</f>
        <v/>
      </c>
      <c r="P893" s="10" t="inlineStr">
        <is>
          <t>Single Carrier (Band n50, 100MHz TDD)</t>
        </is>
      </c>
      <c r="Q893" s="13">
        <f>ROUNDUP(O893/'Methodology &amp; Assumptions'!$B$6, 0)</f>
        <v/>
      </c>
      <c r="R893" s="13" t="n">
        <v>1</v>
      </c>
      <c r="S893" s="14" t="n">
        <v>10.04</v>
      </c>
      <c r="T893" s="14" t="n">
        <v>6.19</v>
      </c>
      <c r="U893" s="26">
        <f>IF(X893&gt;='Methodology &amp; Assumptions'!$B$7, "Tier 1 Critical GIDA (Score ≥ 50.0)", IF(X893&gt;='Methodology &amp; Assumptions'!$B$8, "Tier 2 High GIDA (Score 40.0–49.9)", "Tier 3 Moderate GIDA (Score &lt; 40.0)"))</f>
        <v/>
      </c>
      <c r="V893" s="26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W893" s="28" t="n">
        <v>0.07200000000000001</v>
      </c>
      <c r="X893" s="14" t="n">
        <v>48.22</v>
      </c>
      <c r="Y893" s="14">
        <f>ROUND(MIN(100, (X893/69.91)*100), 2)</f>
        <v/>
      </c>
    </row>
    <row r="894">
      <c r="A894" s="10" t="n">
        <v>3</v>
      </c>
      <c r="B894" s="10" t="n">
        <v>890</v>
      </c>
      <c r="C894" s="10" t="n">
        <v>2890</v>
      </c>
      <c r="D894" s="10" t="inlineStr">
        <is>
          <t>PH0002890</t>
        </is>
      </c>
      <c r="E894" s="26" t="inlineStr">
        <is>
          <t>NCR</t>
        </is>
      </c>
      <c r="F894" s="26" t="inlineStr">
        <is>
          <t>Metro Manila</t>
        </is>
      </c>
      <c r="G894" s="26" t="inlineStr">
        <is>
          <t>Caloocan City</t>
        </is>
      </c>
      <c r="H894" s="26" t="inlineStr">
        <is>
          <t>Barangay 52</t>
        </is>
      </c>
      <c r="I894" s="27" t="n">
        <v>11.987693</v>
      </c>
      <c r="J894" s="27" t="n">
        <v>120.581511</v>
      </c>
      <c r="K894" s="10" t="inlineStr">
        <is>
          <t>R</t>
        </is>
      </c>
      <c r="L894" s="12" t="n">
        <v>2279</v>
      </c>
      <c r="M894" s="14" t="n">
        <v>3.8</v>
      </c>
      <c r="N894" s="12">
        <f>ROUND(L894/M894, 0)</f>
        <v/>
      </c>
      <c r="O894" s="12">
        <f>ROUND(N894*'Methodology &amp; Assumptions'!$B$5, 0)</f>
        <v/>
      </c>
      <c r="P894" s="10" t="inlineStr">
        <is>
          <t>Single Carrier (Band n50, 100MHz TDD)</t>
        </is>
      </c>
      <c r="Q894" s="13">
        <f>ROUNDUP(O894/'Methodology &amp; Assumptions'!$B$6, 0)</f>
        <v/>
      </c>
      <c r="R894" s="13" t="n">
        <v>1</v>
      </c>
      <c r="S894" s="14" t="n">
        <v>36.31</v>
      </c>
      <c r="T894" s="14" t="n">
        <v>66.20999999999999</v>
      </c>
      <c r="U894" s="26">
        <f>IF(X894&gt;='Methodology &amp; Assumptions'!$B$7, "Tier 1 Critical GIDA (Score ≥ 50.0)", IF(X894&gt;='Methodology &amp; Assumptions'!$B$8, "Tier 2 High GIDA (Score 40.0–49.9)", "Tier 3 Moderate GIDA (Score &lt; 40.0)"))</f>
        <v/>
      </c>
      <c r="V894" s="26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W894" s="28" t="n">
        <v>0.011</v>
      </c>
      <c r="X894" s="14" t="n">
        <v>48.21</v>
      </c>
      <c r="Y894" s="14">
        <f>ROUND(MIN(100, (X894/69.91)*100), 2)</f>
        <v/>
      </c>
    </row>
    <row r="895">
      <c r="A895" s="10" t="n">
        <v>3</v>
      </c>
      <c r="B895" s="10" t="n">
        <v>891</v>
      </c>
      <c r="C895" s="10" t="n">
        <v>2891</v>
      </c>
      <c r="D895" s="10" t="inlineStr">
        <is>
          <t>1380601089</t>
        </is>
      </c>
      <c r="E895" s="26" t="inlineStr">
        <is>
          <t>National Capital Region (NCR)</t>
        </is>
      </c>
      <c r="F895" s="26" t="inlineStr">
        <is>
          <t>First District (Not a Province)</t>
        </is>
      </c>
      <c r="G895" s="26" t="inlineStr">
        <is>
          <t>City of Manila</t>
        </is>
      </c>
      <c r="H895" s="26" t="inlineStr">
        <is>
          <t>Barangay 89</t>
        </is>
      </c>
      <c r="I895" s="27" t="n">
        <v>12.138485</v>
      </c>
      <c r="J895" s="27" t="n">
        <v>121.013654</v>
      </c>
      <c r="K895" s="10" t="inlineStr">
        <is>
          <t>U</t>
        </is>
      </c>
      <c r="L895" s="12" t="n">
        <v>742</v>
      </c>
      <c r="M895" s="14" t="n">
        <v>3.9</v>
      </c>
      <c r="N895" s="12">
        <f>ROUND(L895/M895, 0)</f>
        <v/>
      </c>
      <c r="O895" s="12">
        <f>ROUND(N895*'Methodology &amp; Assumptions'!$B$5, 0)</f>
        <v/>
      </c>
      <c r="P895" s="10" t="inlineStr">
        <is>
          <t>Single Carrier (Band n50, 100MHz TDD)</t>
        </is>
      </c>
      <c r="Q895" s="13">
        <f>ROUNDUP(O895/'Methodology &amp; Assumptions'!$B$6, 0)</f>
        <v/>
      </c>
      <c r="R895" s="13" t="n">
        <v>1</v>
      </c>
      <c r="S895" s="14" t="n">
        <v>24.03</v>
      </c>
      <c r="T895" s="14" t="n">
        <v>23.68</v>
      </c>
      <c r="U895" s="26">
        <f>IF(X895&gt;='Methodology &amp; Assumptions'!$B$7, "Tier 1 Critical GIDA (Score ≥ 50.0)", IF(X895&gt;='Methodology &amp; Assumptions'!$B$8, "Tier 2 High GIDA (Score 40.0–49.9)", "Tier 3 Moderate GIDA (Score &lt; 40.0)"))</f>
        <v/>
      </c>
      <c r="V895" s="26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W895" s="28" t="n">
        <v>0.109</v>
      </c>
      <c r="X895" s="14" t="n">
        <v>48.21</v>
      </c>
      <c r="Y895" s="14">
        <f>ROUND(MIN(100, (X895/69.91)*100), 2)</f>
        <v/>
      </c>
    </row>
    <row r="896">
      <c r="A896" s="10" t="n">
        <v>3</v>
      </c>
      <c r="B896" s="10" t="n">
        <v>892</v>
      </c>
      <c r="C896" s="10" t="n">
        <v>2892</v>
      </c>
      <c r="D896" s="10" t="inlineStr">
        <is>
          <t>1380606216</t>
        </is>
      </c>
      <c r="E896" s="26" t="inlineStr">
        <is>
          <t>National Capital Region (NCR)</t>
        </is>
      </c>
      <c r="F896" s="26" t="inlineStr">
        <is>
          <t>First District (Not a Province)</t>
        </is>
      </c>
      <c r="G896" s="26" t="inlineStr">
        <is>
          <t>City of Manila</t>
        </is>
      </c>
      <c r="H896" s="26" t="inlineStr">
        <is>
          <t>Barangay 609</t>
        </is>
      </c>
      <c r="I896" s="27" t="n">
        <v>13.928288</v>
      </c>
      <c r="J896" s="27" t="n">
        <v>121.820964</v>
      </c>
      <c r="K896" s="10" t="inlineStr">
        <is>
          <t>U</t>
        </is>
      </c>
      <c r="L896" s="12" t="n">
        <v>1078</v>
      </c>
      <c r="M896" s="14" t="n">
        <v>3.9</v>
      </c>
      <c r="N896" s="12">
        <f>ROUND(L896/M896, 0)</f>
        <v/>
      </c>
      <c r="O896" s="12">
        <f>ROUND(N896*'Methodology &amp; Assumptions'!$B$5, 0)</f>
        <v/>
      </c>
      <c r="P896" s="10" t="inlineStr">
        <is>
          <t>Single Carrier (Band n50, 100MHz TDD)</t>
        </is>
      </c>
      <c r="Q896" s="13">
        <f>ROUNDUP(O896/'Methodology &amp; Assumptions'!$B$6, 0)</f>
        <v/>
      </c>
      <c r="R896" s="13" t="n">
        <v>1</v>
      </c>
      <c r="S896" s="14" t="n">
        <v>1.5</v>
      </c>
      <c r="T896" s="14" t="n">
        <v>0.12</v>
      </c>
      <c r="U896" s="26">
        <f>IF(X896&gt;='Methodology &amp; Assumptions'!$B$7, "Tier 1 Critical GIDA (Score ≥ 50.0)", IF(X896&gt;='Methodology &amp; Assumptions'!$B$8, "Tier 2 High GIDA (Score 40.0–49.9)", "Tier 3 Moderate GIDA (Score &lt; 40.0)"))</f>
        <v/>
      </c>
      <c r="V896" s="26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W896" s="28" t="n">
        <v>0.109</v>
      </c>
      <c r="X896" s="14" t="n">
        <v>48.21</v>
      </c>
      <c r="Y896" s="14">
        <f>ROUND(MIN(100, (X896/69.91)*100), 2)</f>
        <v/>
      </c>
    </row>
    <row r="897">
      <c r="A897" s="10" t="n">
        <v>3</v>
      </c>
      <c r="B897" s="10" t="n">
        <v>893</v>
      </c>
      <c r="C897" s="10" t="n">
        <v>2893</v>
      </c>
      <c r="D897" s="10" t="inlineStr">
        <is>
          <t>1380606110</t>
        </is>
      </c>
      <c r="E897" s="26" t="inlineStr">
        <is>
          <t>National Capital Region (NCR)</t>
        </is>
      </c>
      <c r="F897" s="26" t="inlineStr">
        <is>
          <t>First District (Not a Province)</t>
        </is>
      </c>
      <c r="G897" s="26" t="inlineStr">
        <is>
          <t>City of Manila</t>
        </is>
      </c>
      <c r="H897" s="26" t="inlineStr">
        <is>
          <t>Barangay 504</t>
        </is>
      </c>
      <c r="I897" s="27" t="n">
        <v>12.074636</v>
      </c>
      <c r="J897" s="27" t="n">
        <v>122.466964</v>
      </c>
      <c r="K897" s="10" t="inlineStr">
        <is>
          <t>U</t>
        </is>
      </c>
      <c r="L897" s="12" t="n">
        <v>1352</v>
      </c>
      <c r="M897" s="14" t="n">
        <v>3.9</v>
      </c>
      <c r="N897" s="12">
        <f>ROUND(L897/M897, 0)</f>
        <v/>
      </c>
      <c r="O897" s="12">
        <f>ROUND(N897*'Methodology &amp; Assumptions'!$B$5, 0)</f>
        <v/>
      </c>
      <c r="P897" s="10" t="inlineStr">
        <is>
          <t>Single Carrier (Band n50, 100MHz TDD)</t>
        </is>
      </c>
      <c r="Q897" s="13">
        <f>ROUNDUP(O897/'Methodology &amp; Assumptions'!$B$6, 0)</f>
        <v/>
      </c>
      <c r="R897" s="13" t="n">
        <v>1</v>
      </c>
      <c r="S897" s="14" t="n">
        <v>43.32</v>
      </c>
      <c r="T897" s="14" t="n">
        <v>18.15</v>
      </c>
      <c r="U897" s="26">
        <f>IF(X897&gt;='Methodology &amp; Assumptions'!$B$7, "Tier 1 Critical GIDA (Score ≥ 50.0)", IF(X897&gt;='Methodology &amp; Assumptions'!$B$8, "Tier 2 High GIDA (Score 40.0–49.9)", "Tier 3 Moderate GIDA (Score &lt; 40.0)"))</f>
        <v/>
      </c>
      <c r="V897" s="26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W897" s="28" t="n">
        <v>0.109</v>
      </c>
      <c r="X897" s="14" t="n">
        <v>48.21</v>
      </c>
      <c r="Y897" s="14">
        <f>ROUND(MIN(100, (X897/69.91)*100), 2)</f>
        <v/>
      </c>
    </row>
    <row r="898">
      <c r="A898" s="10" t="n">
        <v>3</v>
      </c>
      <c r="B898" s="10" t="n">
        <v>894</v>
      </c>
      <c r="C898" s="10" t="n">
        <v>2894</v>
      </c>
      <c r="D898" s="10" t="inlineStr">
        <is>
          <t>PH0002894</t>
        </is>
      </c>
      <c r="E898" s="26" t="inlineStr">
        <is>
          <t>CAR</t>
        </is>
      </c>
      <c r="F898" s="26" t="inlineStr">
        <is>
          <t>Benguet</t>
        </is>
      </c>
      <c r="G898" s="26" t="inlineStr">
        <is>
          <t>Baguio City</t>
        </is>
      </c>
      <c r="H898" s="26" t="inlineStr">
        <is>
          <t>Magsaysay, Upper</t>
        </is>
      </c>
      <c r="I898" s="27" t="n">
        <v>16.426668</v>
      </c>
      <c r="J898" s="27" t="n">
        <v>120.573638</v>
      </c>
      <c r="K898" s="10" t="inlineStr">
        <is>
          <t>R</t>
        </is>
      </c>
      <c r="L898" s="12" t="n">
        <v>2260</v>
      </c>
      <c r="M898" s="14" t="n">
        <v>3.5</v>
      </c>
      <c r="N898" s="12">
        <f>ROUND(L898/M898, 0)</f>
        <v/>
      </c>
      <c r="O898" s="12">
        <f>ROUND(N898*'Methodology &amp; Assumptions'!$B$5, 0)</f>
        <v/>
      </c>
      <c r="P898" s="10" t="inlineStr">
        <is>
          <t>Single Carrier (Band n50, 100MHz TDD)</t>
        </is>
      </c>
      <c r="Q898" s="13">
        <f>ROUNDUP(O898/'Methodology &amp; Assumptions'!$B$6, 0)</f>
        <v/>
      </c>
      <c r="R898" s="13" t="n">
        <v>1</v>
      </c>
      <c r="S898" s="14" t="n">
        <v>1.26</v>
      </c>
      <c r="T898" s="14" t="n">
        <v>1.49</v>
      </c>
      <c r="U898" s="26">
        <f>IF(X898&gt;='Methodology &amp; Assumptions'!$B$7, "Tier 1 Critical GIDA (Score ≥ 50.0)", IF(X898&gt;='Methodology &amp; Assumptions'!$B$8, "Tier 2 High GIDA (Score 40.0–49.9)", "Tier 3 Moderate GIDA (Score &lt; 40.0)"))</f>
        <v/>
      </c>
      <c r="V898" s="26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W898" s="28" t="n">
        <v>0.221</v>
      </c>
      <c r="X898" s="14" t="n">
        <v>48.21</v>
      </c>
      <c r="Y898" s="14">
        <f>ROUND(MIN(100, (X898/69.91)*100), 2)</f>
        <v/>
      </c>
    </row>
    <row r="899">
      <c r="A899" s="10" t="n">
        <v>3</v>
      </c>
      <c r="B899" s="10" t="n">
        <v>895</v>
      </c>
      <c r="C899" s="10" t="n">
        <v>2895</v>
      </c>
      <c r="D899" s="10" t="inlineStr">
        <is>
          <t>PH0002895</t>
        </is>
      </c>
      <c r="E899" s="26" t="inlineStr">
        <is>
          <t>NCR</t>
        </is>
      </c>
      <c r="F899" s="26" t="inlineStr">
        <is>
          <t>Metro Manila</t>
        </is>
      </c>
      <c r="G899" s="26" t="inlineStr">
        <is>
          <t>Caloocan City</t>
        </is>
      </c>
      <c r="H899" s="26" t="inlineStr">
        <is>
          <t>Barangay 17</t>
        </is>
      </c>
      <c r="I899" s="27" t="n">
        <v>14.32405</v>
      </c>
      <c r="J899" s="27" t="n">
        <v>122.035251</v>
      </c>
      <c r="K899" s="10" t="inlineStr">
        <is>
          <t>R</t>
        </is>
      </c>
      <c r="L899" s="12" t="n">
        <v>2279</v>
      </c>
      <c r="M899" s="14" t="n">
        <v>3.8</v>
      </c>
      <c r="N899" s="12">
        <f>ROUND(L899/M899, 0)</f>
        <v/>
      </c>
      <c r="O899" s="12">
        <f>ROUND(N899*'Methodology &amp; Assumptions'!$B$5, 0)</f>
        <v/>
      </c>
      <c r="P899" s="10" t="inlineStr">
        <is>
          <t>Single Carrier (Band n50, 100MHz TDD)</t>
        </is>
      </c>
      <c r="Q899" s="13">
        <f>ROUNDUP(O899/'Methodology &amp; Assumptions'!$B$6, 0)</f>
        <v/>
      </c>
      <c r="R899" s="13" t="n">
        <v>1</v>
      </c>
      <c r="S899" s="14" t="n">
        <v>32.3</v>
      </c>
      <c r="T899" s="14" t="n">
        <v>37.85</v>
      </c>
      <c r="U899" s="26">
        <f>IF(X899&gt;='Methodology &amp; Assumptions'!$B$7, "Tier 1 Critical GIDA (Score ≥ 50.0)", IF(X899&gt;='Methodology &amp; Assumptions'!$B$8, "Tier 2 High GIDA (Score 40.0–49.9)", "Tier 3 Moderate GIDA (Score &lt; 40.0)"))</f>
        <v/>
      </c>
      <c r="V899" s="26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W899" s="28" t="n">
        <v>0.011</v>
      </c>
      <c r="X899" s="14" t="n">
        <v>48.21</v>
      </c>
      <c r="Y899" s="14">
        <f>ROUND(MIN(100, (X899/69.91)*100), 2)</f>
        <v/>
      </c>
    </row>
    <row r="900">
      <c r="A900" s="10" t="n">
        <v>3</v>
      </c>
      <c r="B900" s="10" t="n">
        <v>896</v>
      </c>
      <c r="C900" s="10" t="n">
        <v>2896</v>
      </c>
      <c r="D900" s="10" t="inlineStr">
        <is>
          <t>1380606014</t>
        </is>
      </c>
      <c r="E900" s="26" t="inlineStr">
        <is>
          <t>National Capital Region (NCR)</t>
        </is>
      </c>
      <c r="F900" s="26" t="inlineStr">
        <is>
          <t>First District (Not a Province)</t>
        </is>
      </c>
      <c r="G900" s="26" t="inlineStr">
        <is>
          <t>City of Manila</t>
        </is>
      </c>
      <c r="H900" s="26" t="inlineStr">
        <is>
          <t>Barangay 408</t>
        </is>
      </c>
      <c r="I900" s="27" t="n">
        <v>13.017051</v>
      </c>
      <c r="J900" s="27" t="n">
        <v>120.70379</v>
      </c>
      <c r="K900" s="10" t="inlineStr">
        <is>
          <t>U</t>
        </is>
      </c>
      <c r="L900" s="12" t="n">
        <v>1822</v>
      </c>
      <c r="M900" s="14" t="n">
        <v>3.9</v>
      </c>
      <c r="N900" s="12">
        <f>ROUND(L900/M900, 0)</f>
        <v/>
      </c>
      <c r="O900" s="12">
        <f>ROUND(N900*'Methodology &amp; Assumptions'!$B$5, 0)</f>
        <v/>
      </c>
      <c r="P900" s="10" t="inlineStr">
        <is>
          <t>Single Carrier (Band n50, 100MHz TDD)</t>
        </is>
      </c>
      <c r="Q900" s="13">
        <f>ROUNDUP(O900/'Methodology &amp; Assumptions'!$B$6, 0)</f>
        <v/>
      </c>
      <c r="R900" s="13" t="n">
        <v>1</v>
      </c>
      <c r="S900" s="14" t="n">
        <v>57.03</v>
      </c>
      <c r="T900" s="14" t="n">
        <v>55.14</v>
      </c>
      <c r="U900" s="26">
        <f>IF(X900&gt;='Methodology &amp; Assumptions'!$B$7, "Tier 1 Critical GIDA (Score ≥ 50.0)", IF(X900&gt;='Methodology &amp; Assumptions'!$B$8, "Tier 2 High GIDA (Score 40.0–49.9)", "Tier 3 Moderate GIDA (Score &lt; 40.0)"))</f>
        <v/>
      </c>
      <c r="V900" s="26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W900" s="28" t="n">
        <v>0.109</v>
      </c>
      <c r="X900" s="14" t="n">
        <v>48.2</v>
      </c>
      <c r="Y900" s="14">
        <f>ROUND(MIN(100, (X900/69.91)*100), 2)</f>
        <v/>
      </c>
    </row>
    <row r="901">
      <c r="A901" s="10" t="n">
        <v>3</v>
      </c>
      <c r="B901" s="10" t="n">
        <v>897</v>
      </c>
      <c r="C901" s="10" t="n">
        <v>2897</v>
      </c>
      <c r="D901" s="10" t="inlineStr">
        <is>
          <t>1380606144</t>
        </is>
      </c>
      <c r="E901" s="26" t="inlineStr">
        <is>
          <t>National Capital Region (NCR)</t>
        </is>
      </c>
      <c r="F901" s="26" t="inlineStr">
        <is>
          <t>First District (Not a Province)</t>
        </is>
      </c>
      <c r="G901" s="26" t="inlineStr">
        <is>
          <t>City of Manila</t>
        </is>
      </c>
      <c r="H901" s="26" t="inlineStr">
        <is>
          <t>Barangay 538</t>
        </is>
      </c>
      <c r="I901" s="27" t="n">
        <v>13.484041</v>
      </c>
      <c r="J901" s="27" t="n">
        <v>122.659363</v>
      </c>
      <c r="K901" s="10" t="inlineStr">
        <is>
          <t>U</t>
        </is>
      </c>
      <c r="L901" s="12" t="n">
        <v>846</v>
      </c>
      <c r="M901" s="14" t="n">
        <v>3.9</v>
      </c>
      <c r="N901" s="12">
        <f>ROUND(L901/M901, 0)</f>
        <v/>
      </c>
      <c r="O901" s="12">
        <f>ROUND(N901*'Methodology &amp; Assumptions'!$B$5, 0)</f>
        <v/>
      </c>
      <c r="P901" s="10" t="inlineStr">
        <is>
          <t>Single Carrier (Band n50, 100MHz TDD)</t>
        </is>
      </c>
      <c r="Q901" s="13">
        <f>ROUNDUP(O901/'Methodology &amp; Assumptions'!$B$6, 0)</f>
        <v/>
      </c>
      <c r="R901" s="13" t="n">
        <v>1</v>
      </c>
      <c r="S901" s="14" t="n">
        <v>4.86</v>
      </c>
      <c r="T901" s="14" t="n">
        <v>14.53</v>
      </c>
      <c r="U901" s="26">
        <f>IF(X901&gt;='Methodology &amp; Assumptions'!$B$7, "Tier 1 Critical GIDA (Score ≥ 50.0)", IF(X901&gt;='Methodology &amp; Assumptions'!$B$8, "Tier 2 High GIDA (Score 40.0–49.9)", "Tier 3 Moderate GIDA (Score &lt; 40.0)"))</f>
        <v/>
      </c>
      <c r="V901" s="26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W901" s="28" t="n">
        <v>0.109</v>
      </c>
      <c r="X901" s="14" t="n">
        <v>48.2</v>
      </c>
      <c r="Y901" s="14">
        <f>ROUND(MIN(100, (X901/69.91)*100), 2)</f>
        <v/>
      </c>
    </row>
    <row r="902">
      <c r="A902" s="10" t="n">
        <v>3</v>
      </c>
      <c r="B902" s="10" t="n">
        <v>898</v>
      </c>
      <c r="C902" s="10" t="n">
        <v>2898</v>
      </c>
      <c r="D902" s="10" t="inlineStr">
        <is>
          <t>1381100071</t>
        </is>
      </c>
      <c r="E902" s="26" t="inlineStr">
        <is>
          <t>National Capital Region (NCR)</t>
        </is>
      </c>
      <c r="F902" s="26" t="inlineStr">
        <is>
          <t>Fourth District (Not a Province)</t>
        </is>
      </c>
      <c r="G902" s="26" t="inlineStr">
        <is>
          <t>Pasay City</t>
        </is>
      </c>
      <c r="H902" s="26" t="inlineStr">
        <is>
          <t>Barangay 71</t>
        </is>
      </c>
      <c r="I902" s="27" t="n">
        <v>14.354444</v>
      </c>
      <c r="J902" s="27" t="n">
        <v>121.138604</v>
      </c>
      <c r="K902" s="10" t="inlineStr">
        <is>
          <t>U</t>
        </is>
      </c>
      <c r="L902" s="12" t="n">
        <v>704</v>
      </c>
      <c r="M902" s="14" t="n">
        <v>3.4</v>
      </c>
      <c r="N902" s="12">
        <f>ROUND(L902/M902, 0)</f>
        <v/>
      </c>
      <c r="O902" s="12">
        <f>ROUND(N902*'Methodology &amp; Assumptions'!$B$5, 0)</f>
        <v/>
      </c>
      <c r="P902" s="10" t="inlineStr">
        <is>
          <t>Single Carrier (Band n50, 100MHz TDD)</t>
        </is>
      </c>
      <c r="Q902" s="13">
        <f>ROUNDUP(O902/'Methodology &amp; Assumptions'!$B$6, 0)</f>
        <v/>
      </c>
      <c r="R902" s="13" t="n">
        <v>1</v>
      </c>
      <c r="S902" s="14" t="n">
        <v>5.38</v>
      </c>
      <c r="T902" s="14" t="n">
        <v>5.79</v>
      </c>
      <c r="U902" s="26">
        <f>IF(X902&gt;='Methodology &amp; Assumptions'!$B$7, "Tier 1 Critical GIDA (Score ≥ 50.0)", IF(X902&gt;='Methodology &amp; Assumptions'!$B$8, "Tier 2 High GIDA (Score 40.0–49.9)", "Tier 3 Moderate GIDA (Score &lt; 40.0)"))</f>
        <v/>
      </c>
      <c r="V902" s="26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W902" s="28" t="n">
        <v>0.109</v>
      </c>
      <c r="X902" s="14" t="n">
        <v>48.2</v>
      </c>
      <c r="Y902" s="14">
        <f>ROUND(MIN(100, (X902/69.91)*100), 2)</f>
        <v/>
      </c>
    </row>
    <row r="903">
      <c r="A903" s="10" t="n">
        <v>3</v>
      </c>
      <c r="B903" s="10" t="n">
        <v>899</v>
      </c>
      <c r="C903" s="10" t="n">
        <v>2899</v>
      </c>
      <c r="D903" s="10" t="inlineStr">
        <is>
          <t>1380606005</t>
        </is>
      </c>
      <c r="E903" s="26" t="inlineStr">
        <is>
          <t>National Capital Region (NCR)</t>
        </is>
      </c>
      <c r="F903" s="26" t="inlineStr">
        <is>
          <t>First District (Not a Province)</t>
        </is>
      </c>
      <c r="G903" s="26" t="inlineStr">
        <is>
          <t>City of Manila</t>
        </is>
      </c>
      <c r="H903" s="26" t="inlineStr">
        <is>
          <t>Barangay 399</t>
        </is>
      </c>
      <c r="I903" s="27" t="n">
        <v>11.849722</v>
      </c>
      <c r="J903" s="27" t="n">
        <v>121.539766</v>
      </c>
      <c r="K903" s="10" t="inlineStr">
        <is>
          <t>U</t>
        </is>
      </c>
      <c r="L903" s="12" t="n">
        <v>1100</v>
      </c>
      <c r="M903" s="14" t="n">
        <v>3.9</v>
      </c>
      <c r="N903" s="12">
        <f>ROUND(L903/M903, 0)</f>
        <v/>
      </c>
      <c r="O903" s="12">
        <f>ROUND(N903*'Methodology &amp; Assumptions'!$B$5, 0)</f>
        <v/>
      </c>
      <c r="P903" s="10" t="inlineStr">
        <is>
          <t>Single Carrier (Band n50, 100MHz TDD)</t>
        </is>
      </c>
      <c r="Q903" s="13">
        <f>ROUNDUP(O903/'Methodology &amp; Assumptions'!$B$6, 0)</f>
        <v/>
      </c>
      <c r="R903" s="13" t="n">
        <v>1</v>
      </c>
      <c r="S903" s="14" t="n">
        <v>45.52</v>
      </c>
      <c r="T903" s="14" t="n">
        <v>45.33</v>
      </c>
      <c r="U903" s="26">
        <f>IF(X903&gt;='Methodology &amp; Assumptions'!$B$7, "Tier 1 Critical GIDA (Score ≥ 50.0)", IF(X903&gt;='Methodology &amp; Assumptions'!$B$8, "Tier 2 High GIDA (Score 40.0–49.9)", "Tier 3 Moderate GIDA (Score &lt; 40.0)"))</f>
        <v/>
      </c>
      <c r="V903" s="26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W903" s="28" t="n">
        <v>0.109</v>
      </c>
      <c r="X903" s="14" t="n">
        <v>48.2</v>
      </c>
      <c r="Y903" s="14">
        <f>ROUND(MIN(100, (X903/69.91)*100), 2)</f>
        <v/>
      </c>
    </row>
    <row r="904">
      <c r="A904" s="10" t="n">
        <v>3</v>
      </c>
      <c r="B904" s="10" t="n">
        <v>900</v>
      </c>
      <c r="C904" s="10" t="n">
        <v>2900</v>
      </c>
      <c r="D904" s="10" t="inlineStr">
        <is>
          <t>1380606174</t>
        </is>
      </c>
      <c r="E904" s="26" t="inlineStr">
        <is>
          <t>National Capital Region (NCR)</t>
        </is>
      </c>
      <c r="F904" s="26" t="inlineStr">
        <is>
          <t>First District (Not a Province)</t>
        </is>
      </c>
      <c r="G904" s="26" t="inlineStr">
        <is>
          <t>City of Manila</t>
        </is>
      </c>
      <c r="H904" s="26" t="inlineStr">
        <is>
          <t>Barangay 568</t>
        </is>
      </c>
      <c r="I904" s="27" t="n">
        <v>13.794513</v>
      </c>
      <c r="J904" s="27" t="n">
        <v>121.232201</v>
      </c>
      <c r="K904" s="10" t="inlineStr">
        <is>
          <t>U</t>
        </is>
      </c>
      <c r="L904" s="12" t="n">
        <v>1903</v>
      </c>
      <c r="M904" s="14" t="n">
        <v>3.9</v>
      </c>
      <c r="N904" s="12">
        <f>ROUND(L904/M904, 0)</f>
        <v/>
      </c>
      <c r="O904" s="12">
        <f>ROUND(N904*'Methodology &amp; Assumptions'!$B$5, 0)</f>
        <v/>
      </c>
      <c r="P904" s="10" t="inlineStr">
        <is>
          <t>Single Carrier (Band n50, 100MHz TDD)</t>
        </is>
      </c>
      <c r="Q904" s="13">
        <f>ROUNDUP(O904/'Methodology &amp; Assumptions'!$B$6, 0)</f>
        <v/>
      </c>
      <c r="R904" s="13" t="n">
        <v>1</v>
      </c>
      <c r="S904" s="14" t="n">
        <v>4.56</v>
      </c>
      <c r="T904" s="14" t="n">
        <v>4.74</v>
      </c>
      <c r="U904" s="26">
        <f>IF(X904&gt;='Methodology &amp; Assumptions'!$B$7, "Tier 1 Critical GIDA (Score ≥ 50.0)", IF(X904&gt;='Methodology &amp; Assumptions'!$B$8, "Tier 2 High GIDA (Score 40.0–49.9)", "Tier 3 Moderate GIDA (Score &lt; 40.0)"))</f>
        <v/>
      </c>
      <c r="V904" s="26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W904" s="28" t="n">
        <v>0.109</v>
      </c>
      <c r="X904" s="14" t="n">
        <v>48.2</v>
      </c>
      <c r="Y904" s="14">
        <f>ROUND(MIN(100, (X904/69.91)*100), 2)</f>
        <v/>
      </c>
    </row>
    <row r="905">
      <c r="A905" s="10" t="n">
        <v>3</v>
      </c>
      <c r="B905" s="10" t="n">
        <v>901</v>
      </c>
      <c r="C905" s="10" t="n">
        <v>2901</v>
      </c>
      <c r="D905" s="10" t="inlineStr">
        <is>
          <t>1381100026</t>
        </is>
      </c>
      <c r="E905" s="26" t="inlineStr">
        <is>
          <t>National Capital Region (NCR)</t>
        </is>
      </c>
      <c r="F905" s="26" t="inlineStr">
        <is>
          <t>Fourth District (Not a Province)</t>
        </is>
      </c>
      <c r="G905" s="26" t="inlineStr">
        <is>
          <t>Pasay City</t>
        </is>
      </c>
      <c r="H905" s="26" t="inlineStr">
        <is>
          <t>Barangay 26</t>
        </is>
      </c>
      <c r="I905" s="27" t="n">
        <v>14.590481</v>
      </c>
      <c r="J905" s="27" t="n">
        <v>120.77275</v>
      </c>
      <c r="K905" s="10" t="inlineStr">
        <is>
          <t>U</t>
        </is>
      </c>
      <c r="L905" s="12" t="n">
        <v>959</v>
      </c>
      <c r="M905" s="14" t="n">
        <v>3.4</v>
      </c>
      <c r="N905" s="12">
        <f>ROUND(L905/M905, 0)</f>
        <v/>
      </c>
      <c r="O905" s="12">
        <f>ROUND(N905*'Methodology &amp; Assumptions'!$B$5, 0)</f>
        <v/>
      </c>
      <c r="P905" s="10" t="inlineStr">
        <is>
          <t>Single Carrier (Band n50, 100MHz TDD)</t>
        </is>
      </c>
      <c r="Q905" s="13">
        <f>ROUNDUP(O905/'Methodology &amp; Assumptions'!$B$6, 0)</f>
        <v/>
      </c>
      <c r="R905" s="13" t="n">
        <v>1</v>
      </c>
      <c r="S905" s="14" t="n">
        <v>17.84</v>
      </c>
      <c r="T905" s="14" t="n">
        <v>19.29</v>
      </c>
      <c r="U905" s="26">
        <f>IF(X905&gt;='Methodology &amp; Assumptions'!$B$7, "Tier 1 Critical GIDA (Score ≥ 50.0)", IF(X905&gt;='Methodology &amp; Assumptions'!$B$8, "Tier 2 High GIDA (Score 40.0–49.9)", "Tier 3 Moderate GIDA (Score &lt; 40.0)"))</f>
        <v/>
      </c>
      <c r="V905" s="26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W905" s="28" t="n">
        <v>0.109</v>
      </c>
      <c r="X905" s="14" t="n">
        <v>48.2</v>
      </c>
      <c r="Y905" s="14">
        <f>ROUND(MIN(100, (X905/69.91)*100), 2)</f>
        <v/>
      </c>
    </row>
    <row r="906">
      <c r="A906" s="10" t="n">
        <v>3</v>
      </c>
      <c r="B906" s="10" t="n">
        <v>902</v>
      </c>
      <c r="C906" s="10" t="n">
        <v>2902</v>
      </c>
      <c r="D906" s="10" t="inlineStr">
        <is>
          <t>1380606064</t>
        </is>
      </c>
      <c r="E906" s="26" t="inlineStr">
        <is>
          <t>National Capital Region (NCR)</t>
        </is>
      </c>
      <c r="F906" s="26" t="inlineStr">
        <is>
          <t>First District (Not a Province)</t>
        </is>
      </c>
      <c r="G906" s="26" t="inlineStr">
        <is>
          <t>City of Manila</t>
        </is>
      </c>
      <c r="H906" s="26" t="inlineStr">
        <is>
          <t>Barangay 458</t>
        </is>
      </c>
      <c r="I906" s="27" t="n">
        <v>12.561648</v>
      </c>
      <c r="J906" s="27" t="n">
        <v>122.808766</v>
      </c>
      <c r="K906" s="10" t="inlineStr">
        <is>
          <t>U</t>
        </is>
      </c>
      <c r="L906" s="12" t="n">
        <v>1506</v>
      </c>
      <c r="M906" s="14" t="n">
        <v>3.9</v>
      </c>
      <c r="N906" s="12">
        <f>ROUND(L906/M906, 0)</f>
        <v/>
      </c>
      <c r="O906" s="12">
        <f>ROUND(N906*'Methodology &amp; Assumptions'!$B$5, 0)</f>
        <v/>
      </c>
      <c r="P906" s="10" t="inlineStr">
        <is>
          <t>Single Carrier (Band n50, 100MHz TDD)</t>
        </is>
      </c>
      <c r="Q906" s="13">
        <f>ROUNDUP(O906/'Methodology &amp; Assumptions'!$B$6, 0)</f>
        <v/>
      </c>
      <c r="R906" s="13" t="n">
        <v>1</v>
      </c>
      <c r="S906" s="14" t="n">
        <v>63.47</v>
      </c>
      <c r="T906" s="14" t="n">
        <v>68.2</v>
      </c>
      <c r="U906" s="26">
        <f>IF(X906&gt;='Methodology &amp; Assumptions'!$B$7, "Tier 1 Critical GIDA (Score ≥ 50.0)", IF(X906&gt;='Methodology &amp; Assumptions'!$B$8, "Tier 2 High GIDA (Score 40.0–49.9)", "Tier 3 Moderate GIDA (Score &lt; 40.0)"))</f>
        <v/>
      </c>
      <c r="V906" s="26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W906" s="28" t="n">
        <v>0.109</v>
      </c>
      <c r="X906" s="14" t="n">
        <v>48.2</v>
      </c>
      <c r="Y906" s="14">
        <f>ROUND(MIN(100, (X906/69.91)*100), 2)</f>
        <v/>
      </c>
    </row>
    <row r="907">
      <c r="A907" s="10" t="n">
        <v>3</v>
      </c>
      <c r="B907" s="10" t="n">
        <v>903</v>
      </c>
      <c r="C907" s="10" t="n">
        <v>2903</v>
      </c>
      <c r="D907" s="10" t="inlineStr">
        <is>
          <t>1380606158</t>
        </is>
      </c>
      <c r="E907" s="26" t="inlineStr">
        <is>
          <t>National Capital Region (NCR)</t>
        </is>
      </c>
      <c r="F907" s="26" t="inlineStr">
        <is>
          <t>First District (Not a Province)</t>
        </is>
      </c>
      <c r="G907" s="26" t="inlineStr">
        <is>
          <t>City of Manila</t>
        </is>
      </c>
      <c r="H907" s="26" t="inlineStr">
        <is>
          <t>Barangay 552</t>
        </is>
      </c>
      <c r="I907" s="27" t="n">
        <v>12.432133</v>
      </c>
      <c r="J907" s="27" t="n">
        <v>120.789417</v>
      </c>
      <c r="K907" s="10" t="inlineStr">
        <is>
          <t>U</t>
        </is>
      </c>
      <c r="L907" s="12" t="n">
        <v>965</v>
      </c>
      <c r="M907" s="14" t="n">
        <v>3.9</v>
      </c>
      <c r="N907" s="12">
        <f>ROUND(L907/M907, 0)</f>
        <v/>
      </c>
      <c r="O907" s="12">
        <f>ROUND(N907*'Methodology &amp; Assumptions'!$B$5, 0)</f>
        <v/>
      </c>
      <c r="P907" s="10" t="inlineStr">
        <is>
          <t>Single Carrier (Band n50, 100MHz TDD)</t>
        </is>
      </c>
      <c r="Q907" s="13">
        <f>ROUNDUP(O907/'Methodology &amp; Assumptions'!$B$6, 0)</f>
        <v/>
      </c>
      <c r="R907" s="13" t="n">
        <v>1</v>
      </c>
      <c r="S907" s="14" t="n">
        <v>31.23</v>
      </c>
      <c r="T907" s="14" t="n">
        <v>30.03</v>
      </c>
      <c r="U907" s="26">
        <f>IF(X907&gt;='Methodology &amp; Assumptions'!$B$7, "Tier 1 Critical GIDA (Score ≥ 50.0)", IF(X907&gt;='Methodology &amp; Assumptions'!$B$8, "Tier 2 High GIDA (Score 40.0–49.9)", "Tier 3 Moderate GIDA (Score &lt; 40.0)"))</f>
        <v/>
      </c>
      <c r="V907" s="26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W907" s="28" t="n">
        <v>0.109</v>
      </c>
      <c r="X907" s="14" t="n">
        <v>48.2</v>
      </c>
      <c r="Y907" s="14">
        <f>ROUND(MIN(100, (X907/69.91)*100), 2)</f>
        <v/>
      </c>
    </row>
    <row r="908">
      <c r="A908" s="10" t="n">
        <v>3</v>
      </c>
      <c r="B908" s="10" t="n">
        <v>904</v>
      </c>
      <c r="C908" s="10" t="n">
        <v>2904</v>
      </c>
      <c r="D908" s="10" t="inlineStr">
        <is>
          <t>1380606055</t>
        </is>
      </c>
      <c r="E908" s="26" t="inlineStr">
        <is>
          <t>National Capital Region (NCR)</t>
        </is>
      </c>
      <c r="F908" s="26" t="inlineStr">
        <is>
          <t>First District (Not a Province)</t>
        </is>
      </c>
      <c r="G908" s="26" t="inlineStr">
        <is>
          <t>City of Manila</t>
        </is>
      </c>
      <c r="H908" s="26" t="inlineStr">
        <is>
          <t>Barangay 449</t>
        </is>
      </c>
      <c r="I908" s="27" t="n">
        <v>13.859367</v>
      </c>
      <c r="J908" s="27" t="n">
        <v>122.190264</v>
      </c>
      <c r="K908" s="10" t="inlineStr">
        <is>
          <t>U</t>
        </is>
      </c>
      <c r="L908" s="12" t="n">
        <v>1445</v>
      </c>
      <c r="M908" s="14" t="n">
        <v>3.9</v>
      </c>
      <c r="N908" s="12">
        <f>ROUND(L908/M908, 0)</f>
        <v/>
      </c>
      <c r="O908" s="12">
        <f>ROUND(N908*'Methodology &amp; Assumptions'!$B$5, 0)</f>
        <v/>
      </c>
      <c r="P908" s="10" t="inlineStr">
        <is>
          <t>Single Carrier (Band n50, 100MHz TDD)</t>
        </is>
      </c>
      <c r="Q908" s="13">
        <f>ROUNDUP(O908/'Methodology &amp; Assumptions'!$B$6, 0)</f>
        <v/>
      </c>
      <c r="R908" s="13" t="n">
        <v>1</v>
      </c>
      <c r="S908" s="14" t="n">
        <v>8.359999999999999</v>
      </c>
      <c r="T908" s="14" t="n">
        <v>4.57</v>
      </c>
      <c r="U908" s="26">
        <f>IF(X908&gt;='Methodology &amp; Assumptions'!$B$7, "Tier 1 Critical GIDA (Score ≥ 50.0)", IF(X908&gt;='Methodology &amp; Assumptions'!$B$8, "Tier 2 High GIDA (Score 40.0–49.9)", "Tier 3 Moderate GIDA (Score &lt; 40.0)"))</f>
        <v/>
      </c>
      <c r="V908" s="26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W908" s="28" t="n">
        <v>0.109</v>
      </c>
      <c r="X908" s="14" t="n">
        <v>48.2</v>
      </c>
      <c r="Y908" s="14">
        <f>ROUND(MIN(100, (X908/69.91)*100), 2)</f>
        <v/>
      </c>
    </row>
    <row r="909">
      <c r="A909" s="10" t="n">
        <v>3</v>
      </c>
      <c r="B909" s="10" t="n">
        <v>905</v>
      </c>
      <c r="C909" s="10" t="n">
        <v>2905</v>
      </c>
      <c r="D909" s="10" t="inlineStr">
        <is>
          <t>1380606137</t>
        </is>
      </c>
      <c r="E909" s="26" t="inlineStr">
        <is>
          <t>National Capital Region (NCR)</t>
        </is>
      </c>
      <c r="F909" s="26" t="inlineStr">
        <is>
          <t>First District (Not a Province)</t>
        </is>
      </c>
      <c r="G909" s="26" t="inlineStr">
        <is>
          <t>City of Manila</t>
        </is>
      </c>
      <c r="H909" s="26" t="inlineStr">
        <is>
          <t>Barangay 531</t>
        </is>
      </c>
      <c r="I909" s="27" t="n">
        <v>11.881997</v>
      </c>
      <c r="J909" s="27" t="n">
        <v>122.146506</v>
      </c>
      <c r="K909" s="10" t="inlineStr">
        <is>
          <t>U</t>
        </is>
      </c>
      <c r="L909" s="12" t="n">
        <v>985</v>
      </c>
      <c r="M909" s="14" t="n">
        <v>3.9</v>
      </c>
      <c r="N909" s="12">
        <f>ROUND(L909/M909, 0)</f>
        <v/>
      </c>
      <c r="O909" s="12">
        <f>ROUND(N909*'Methodology &amp; Assumptions'!$B$5, 0)</f>
        <v/>
      </c>
      <c r="P909" s="10" t="inlineStr">
        <is>
          <t>Single Carrier (Band n50, 100MHz TDD)</t>
        </is>
      </c>
      <c r="Q909" s="13">
        <f>ROUNDUP(O909/'Methodology &amp; Assumptions'!$B$6, 0)</f>
        <v/>
      </c>
      <c r="R909" s="13" t="n">
        <v>1</v>
      </c>
      <c r="S909" s="14" t="n">
        <v>23.05</v>
      </c>
      <c r="T909" s="14" t="n">
        <v>7.38</v>
      </c>
      <c r="U909" s="26">
        <f>IF(X909&gt;='Methodology &amp; Assumptions'!$B$7, "Tier 1 Critical GIDA (Score ≥ 50.0)", IF(X909&gt;='Methodology &amp; Assumptions'!$B$8, "Tier 2 High GIDA (Score 40.0–49.9)", "Tier 3 Moderate GIDA (Score &lt; 40.0)"))</f>
        <v/>
      </c>
      <c r="V909" s="26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W909" s="28" t="n">
        <v>0.109</v>
      </c>
      <c r="X909" s="14" t="n">
        <v>48.19</v>
      </c>
      <c r="Y909" s="14">
        <f>ROUND(MIN(100, (X909/69.91)*100), 2)</f>
        <v/>
      </c>
    </row>
    <row r="910">
      <c r="A910" s="10" t="n">
        <v>3</v>
      </c>
      <c r="B910" s="10" t="n">
        <v>906</v>
      </c>
      <c r="C910" s="10" t="n">
        <v>2906</v>
      </c>
      <c r="D910" s="10" t="inlineStr">
        <is>
          <t>PH0002906</t>
        </is>
      </c>
      <c r="E910" s="26" t="inlineStr">
        <is>
          <t>NCR</t>
        </is>
      </c>
      <c r="F910" s="26" t="inlineStr">
        <is>
          <t>Metro Manila</t>
        </is>
      </c>
      <c r="G910" s="26" t="inlineStr">
        <is>
          <t>Caloocan City</t>
        </is>
      </c>
      <c r="H910" s="26" t="inlineStr">
        <is>
          <t>Barangay 98</t>
        </is>
      </c>
      <c r="I910" s="27" t="n">
        <v>11.641617</v>
      </c>
      <c r="J910" s="27" t="n">
        <v>122.583103</v>
      </c>
      <c r="K910" s="10" t="inlineStr">
        <is>
          <t>R</t>
        </is>
      </c>
      <c r="L910" s="12" t="n">
        <v>2279</v>
      </c>
      <c r="M910" s="14" t="n">
        <v>3.8</v>
      </c>
      <c r="N910" s="12">
        <f>ROUND(L910/M910, 0)</f>
        <v/>
      </c>
      <c r="O910" s="12">
        <f>ROUND(N910*'Methodology &amp; Assumptions'!$B$5, 0)</f>
        <v/>
      </c>
      <c r="P910" s="10" t="inlineStr">
        <is>
          <t>Single Carrier (Band n50, 100MHz TDD)</t>
        </is>
      </c>
      <c r="Q910" s="13">
        <f>ROUNDUP(O910/'Methodology &amp; Assumptions'!$B$6, 0)</f>
        <v/>
      </c>
      <c r="R910" s="13" t="n">
        <v>1</v>
      </c>
      <c r="S910" s="14" t="n">
        <v>14.68</v>
      </c>
      <c r="T910" s="14" t="n">
        <v>9.789999999999999</v>
      </c>
      <c r="U910" s="26">
        <f>IF(X910&gt;='Methodology &amp; Assumptions'!$B$7, "Tier 1 Critical GIDA (Score ≥ 50.0)", IF(X910&gt;='Methodology &amp; Assumptions'!$B$8, "Tier 2 High GIDA (Score 40.0–49.9)", "Tier 3 Moderate GIDA (Score &lt; 40.0)"))</f>
        <v/>
      </c>
      <c r="V910" s="26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W910" s="28" t="n">
        <v>0.011</v>
      </c>
      <c r="X910" s="14" t="n">
        <v>48.19</v>
      </c>
      <c r="Y910" s="14">
        <f>ROUND(MIN(100, (X910/69.91)*100), 2)</f>
        <v/>
      </c>
    </row>
    <row r="911">
      <c r="A911" s="10" t="n">
        <v>3</v>
      </c>
      <c r="B911" s="10" t="n">
        <v>907</v>
      </c>
      <c r="C911" s="10" t="n">
        <v>2907</v>
      </c>
      <c r="D911" s="10" t="inlineStr">
        <is>
          <t>1380614085</t>
        </is>
      </c>
      <c r="E911" s="26" t="inlineStr">
        <is>
          <t>National Capital Region (NCR)</t>
        </is>
      </c>
      <c r="F911" s="26" t="inlineStr">
        <is>
          <t>First District (Not a Province)</t>
        </is>
      </c>
      <c r="G911" s="26" t="inlineStr">
        <is>
          <t>City of Manila</t>
        </is>
      </c>
      <c r="H911" s="26" t="inlineStr">
        <is>
          <t>Barangay 892</t>
        </is>
      </c>
      <c r="I911" s="27" t="n">
        <v>13.370577</v>
      </c>
      <c r="J911" s="27" t="n">
        <v>120.806697</v>
      </c>
      <c r="K911" s="10" t="inlineStr">
        <is>
          <t>U</t>
        </is>
      </c>
      <c r="L911" s="12" t="n">
        <v>1179</v>
      </c>
      <c r="M911" s="14" t="n">
        <v>3.9</v>
      </c>
      <c r="N911" s="12">
        <f>ROUND(L911/M911, 0)</f>
        <v/>
      </c>
      <c r="O911" s="12">
        <f>ROUND(N911*'Methodology &amp; Assumptions'!$B$5, 0)</f>
        <v/>
      </c>
      <c r="P911" s="10" t="inlineStr">
        <is>
          <t>Single Carrier (Band n50, 100MHz TDD)</t>
        </is>
      </c>
      <c r="Q911" s="13">
        <f>ROUNDUP(O911/'Methodology &amp; Assumptions'!$B$6, 0)</f>
        <v/>
      </c>
      <c r="R911" s="13" t="n">
        <v>1</v>
      </c>
      <c r="S911" s="14" t="n">
        <v>18.2</v>
      </c>
      <c r="T911" s="14" t="n">
        <v>16.9</v>
      </c>
      <c r="U911" s="26">
        <f>IF(X911&gt;='Methodology &amp; Assumptions'!$B$7, "Tier 1 Critical GIDA (Score ≥ 50.0)", IF(X911&gt;='Methodology &amp; Assumptions'!$B$8, "Tier 2 High GIDA (Score 40.0–49.9)", "Tier 3 Moderate GIDA (Score &lt; 40.0)"))</f>
        <v/>
      </c>
      <c r="V911" s="26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W911" s="28" t="n">
        <v>0.109</v>
      </c>
      <c r="X911" s="14" t="n">
        <v>48.19</v>
      </c>
      <c r="Y911" s="14">
        <f>ROUND(MIN(100, (X911/69.91)*100), 2)</f>
        <v/>
      </c>
    </row>
    <row r="912">
      <c r="A912" s="10" t="n">
        <v>3</v>
      </c>
      <c r="B912" s="10" t="n">
        <v>908</v>
      </c>
      <c r="C912" s="10" t="n">
        <v>2908</v>
      </c>
      <c r="D912" s="10" t="inlineStr">
        <is>
          <t>1380605070</t>
        </is>
      </c>
      <c r="E912" s="26" t="inlineStr">
        <is>
          <t>National Capital Region (NCR)</t>
        </is>
      </c>
      <c r="F912" s="26" t="inlineStr">
        <is>
          <t>First District (Not a Province)</t>
        </is>
      </c>
      <c r="G912" s="26" t="inlineStr">
        <is>
          <t>City of Manila</t>
        </is>
      </c>
      <c r="H912" s="26" t="inlineStr">
        <is>
          <t>Barangay 367</t>
        </is>
      </c>
      <c r="I912" s="27" t="n">
        <v>13.155195</v>
      </c>
      <c r="J912" s="27" t="n">
        <v>122.828699</v>
      </c>
      <c r="K912" s="10" t="inlineStr">
        <is>
          <t>U</t>
        </is>
      </c>
      <c r="L912" s="12" t="n">
        <v>1760</v>
      </c>
      <c r="M912" s="14" t="n">
        <v>3.9</v>
      </c>
      <c r="N912" s="12">
        <f>ROUND(L912/M912, 0)</f>
        <v/>
      </c>
      <c r="O912" s="12">
        <f>ROUND(N912*'Methodology &amp; Assumptions'!$B$5, 0)</f>
        <v/>
      </c>
      <c r="P912" s="10" t="inlineStr">
        <is>
          <t>Single Carrier (Band n50, 100MHz TDD)</t>
        </is>
      </c>
      <c r="Q912" s="13">
        <f>ROUNDUP(O912/'Methodology &amp; Assumptions'!$B$6, 0)</f>
        <v/>
      </c>
      <c r="R912" s="13" t="n">
        <v>1</v>
      </c>
      <c r="S912" s="14" t="n">
        <v>16.34</v>
      </c>
      <c r="T912" s="14" t="n">
        <v>44.69</v>
      </c>
      <c r="U912" s="26">
        <f>IF(X912&gt;='Methodology &amp; Assumptions'!$B$7, "Tier 1 Critical GIDA (Score ≥ 50.0)", IF(X912&gt;='Methodology &amp; Assumptions'!$B$8, "Tier 2 High GIDA (Score 40.0–49.9)", "Tier 3 Moderate GIDA (Score &lt; 40.0)"))</f>
        <v/>
      </c>
      <c r="V912" s="26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W912" s="28" t="n">
        <v>0.109</v>
      </c>
      <c r="X912" s="14" t="n">
        <v>48.19</v>
      </c>
      <c r="Y912" s="14">
        <f>ROUND(MIN(100, (X912/69.91)*100), 2)</f>
        <v/>
      </c>
    </row>
    <row r="913">
      <c r="A913" s="10" t="n">
        <v>3</v>
      </c>
      <c r="B913" s="10" t="n">
        <v>909</v>
      </c>
      <c r="C913" s="10" t="n">
        <v>2909</v>
      </c>
      <c r="D913" s="10" t="inlineStr">
        <is>
          <t>1380606165</t>
        </is>
      </c>
      <c r="E913" s="26" t="inlineStr">
        <is>
          <t>National Capital Region (NCR)</t>
        </is>
      </c>
      <c r="F913" s="26" t="inlineStr">
        <is>
          <t>First District (Not a Province)</t>
        </is>
      </c>
      <c r="G913" s="26" t="inlineStr">
        <is>
          <t>City of Manila</t>
        </is>
      </c>
      <c r="H913" s="26" t="inlineStr">
        <is>
          <t>Barangay 559</t>
        </is>
      </c>
      <c r="I913" s="27" t="n">
        <v>11.980828</v>
      </c>
      <c r="J913" s="27" t="n">
        <v>121.186576</v>
      </c>
      <c r="K913" s="10" t="inlineStr">
        <is>
          <t>U</t>
        </is>
      </c>
      <c r="L913" s="12" t="n">
        <v>1324</v>
      </c>
      <c r="M913" s="14" t="n">
        <v>3.9</v>
      </c>
      <c r="N913" s="12">
        <f>ROUND(L913/M913, 0)</f>
        <v/>
      </c>
      <c r="O913" s="12">
        <f>ROUND(N913*'Methodology &amp; Assumptions'!$B$5, 0)</f>
        <v/>
      </c>
      <c r="P913" s="10" t="inlineStr">
        <is>
          <t>Single Carrier (Band n50, 100MHz TDD)</t>
        </is>
      </c>
      <c r="Q913" s="13">
        <f>ROUNDUP(O913/'Methodology &amp; Assumptions'!$B$6, 0)</f>
        <v/>
      </c>
      <c r="R913" s="13" t="n">
        <v>1</v>
      </c>
      <c r="S913" s="14" t="n">
        <v>36.7</v>
      </c>
      <c r="T913" s="14" t="n">
        <v>34.26</v>
      </c>
      <c r="U913" s="26">
        <f>IF(X913&gt;='Methodology &amp; Assumptions'!$B$7, "Tier 1 Critical GIDA (Score ≥ 50.0)", IF(X913&gt;='Methodology &amp; Assumptions'!$B$8, "Tier 2 High GIDA (Score 40.0–49.9)", "Tier 3 Moderate GIDA (Score &lt; 40.0)"))</f>
        <v/>
      </c>
      <c r="V913" s="26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W913" s="28" t="n">
        <v>0.109</v>
      </c>
      <c r="X913" s="14" t="n">
        <v>48.19</v>
      </c>
      <c r="Y913" s="14">
        <f>ROUND(MIN(100, (X913/69.91)*100), 2)</f>
        <v/>
      </c>
    </row>
    <row r="914">
      <c r="A914" s="10" t="n">
        <v>3</v>
      </c>
      <c r="B914" s="10" t="n">
        <v>910</v>
      </c>
      <c r="C914" s="10" t="n">
        <v>2910</v>
      </c>
      <c r="D914" s="10" t="inlineStr">
        <is>
          <t>1380606166</t>
        </is>
      </c>
      <c r="E914" s="26" t="inlineStr">
        <is>
          <t>National Capital Region (NCR)</t>
        </is>
      </c>
      <c r="F914" s="26" t="inlineStr">
        <is>
          <t>First District (Not a Province)</t>
        </is>
      </c>
      <c r="G914" s="26" t="inlineStr">
        <is>
          <t>City of Manila</t>
        </is>
      </c>
      <c r="H914" s="26" t="inlineStr">
        <is>
          <t>Barangay 560</t>
        </is>
      </c>
      <c r="I914" s="27" t="n">
        <v>13.93062</v>
      </c>
      <c r="J914" s="27" t="n">
        <v>121.583912</v>
      </c>
      <c r="K914" s="10" t="inlineStr">
        <is>
          <t>U</t>
        </is>
      </c>
      <c r="L914" s="12" t="n">
        <v>1136</v>
      </c>
      <c r="M914" s="14" t="n">
        <v>3.9</v>
      </c>
      <c r="N914" s="12">
        <f>ROUND(L914/M914, 0)</f>
        <v/>
      </c>
      <c r="O914" s="12">
        <f>ROUND(N914*'Methodology &amp; Assumptions'!$B$5, 0)</f>
        <v/>
      </c>
      <c r="P914" s="10" t="inlineStr">
        <is>
          <t>Single Carrier (Band n50, 100MHz TDD)</t>
        </is>
      </c>
      <c r="Q914" s="13">
        <f>ROUNDUP(O914/'Methodology &amp; Assumptions'!$B$6, 0)</f>
        <v/>
      </c>
      <c r="R914" s="13" t="n">
        <v>1</v>
      </c>
      <c r="S914" s="14" t="n">
        <v>2.16</v>
      </c>
      <c r="T914" s="14" t="n">
        <v>1.74</v>
      </c>
      <c r="U914" s="26">
        <f>IF(X914&gt;='Methodology &amp; Assumptions'!$B$7, "Tier 1 Critical GIDA (Score ≥ 50.0)", IF(X914&gt;='Methodology &amp; Assumptions'!$B$8, "Tier 2 High GIDA (Score 40.0–49.9)", "Tier 3 Moderate GIDA (Score &lt; 40.0)"))</f>
        <v/>
      </c>
      <c r="V914" s="26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W914" s="28" t="n">
        <v>0.109</v>
      </c>
      <c r="X914" s="14" t="n">
        <v>48.19</v>
      </c>
      <c r="Y914" s="14">
        <f>ROUND(MIN(100, (X914/69.91)*100), 2)</f>
        <v/>
      </c>
    </row>
    <row r="915">
      <c r="A915" s="10" t="n">
        <v>3</v>
      </c>
      <c r="B915" s="10" t="n">
        <v>911</v>
      </c>
      <c r="C915" s="10" t="n">
        <v>2911</v>
      </c>
      <c r="D915" s="10" t="inlineStr">
        <is>
          <t>1380606170</t>
        </is>
      </c>
      <c r="E915" s="26" t="inlineStr">
        <is>
          <t>National Capital Region (NCR)</t>
        </is>
      </c>
      <c r="F915" s="26" t="inlineStr">
        <is>
          <t>First District (Not a Province)</t>
        </is>
      </c>
      <c r="G915" s="26" t="inlineStr">
        <is>
          <t>City of Manila</t>
        </is>
      </c>
      <c r="H915" s="26" t="inlineStr">
        <is>
          <t>Barangay 564</t>
        </is>
      </c>
      <c r="I915" s="27" t="n">
        <v>12.229249</v>
      </c>
      <c r="J915" s="27" t="n">
        <v>122.643562</v>
      </c>
      <c r="K915" s="10" t="inlineStr">
        <is>
          <t>U</t>
        </is>
      </c>
      <c r="L915" s="12" t="n">
        <v>1473</v>
      </c>
      <c r="M915" s="14" t="n">
        <v>3.9</v>
      </c>
      <c r="N915" s="12">
        <f>ROUND(L915/M915, 0)</f>
        <v/>
      </c>
      <c r="O915" s="12">
        <f>ROUND(N915*'Methodology &amp; Assumptions'!$B$5, 0)</f>
        <v/>
      </c>
      <c r="P915" s="10" t="inlineStr">
        <is>
          <t>Single Carrier (Band n50, 100MHz TDD)</t>
        </is>
      </c>
      <c r="Q915" s="13">
        <f>ROUNDUP(O915/'Methodology &amp; Assumptions'!$B$6, 0)</f>
        <v/>
      </c>
      <c r="R915" s="13" t="n">
        <v>1</v>
      </c>
      <c r="S915" s="14" t="n">
        <v>66.34</v>
      </c>
      <c r="T915" s="14" t="n">
        <v>41.64</v>
      </c>
      <c r="U915" s="26">
        <f>IF(X915&gt;='Methodology &amp; Assumptions'!$B$7, "Tier 1 Critical GIDA (Score ≥ 50.0)", IF(X915&gt;='Methodology &amp; Assumptions'!$B$8, "Tier 2 High GIDA (Score 40.0–49.9)", "Tier 3 Moderate GIDA (Score &lt; 40.0)"))</f>
        <v/>
      </c>
      <c r="V915" s="26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W915" s="28" t="n">
        <v>0.109</v>
      </c>
      <c r="X915" s="14" t="n">
        <v>48.18</v>
      </c>
      <c r="Y915" s="14">
        <f>ROUND(MIN(100, (X915/69.91)*100), 2)</f>
        <v/>
      </c>
    </row>
    <row r="916">
      <c r="A916" s="10" t="n">
        <v>3</v>
      </c>
      <c r="B916" s="10" t="n">
        <v>912</v>
      </c>
      <c r="C916" s="10" t="n">
        <v>2912</v>
      </c>
      <c r="D916" s="10" t="inlineStr">
        <is>
          <t>1380614076</t>
        </is>
      </c>
      <c r="E916" s="26" t="inlineStr">
        <is>
          <t>National Capital Region (NCR)</t>
        </is>
      </c>
      <c r="F916" s="26" t="inlineStr">
        <is>
          <t>First District (Not a Province)</t>
        </is>
      </c>
      <c r="G916" s="26" t="inlineStr">
        <is>
          <t>City of Manila</t>
        </is>
      </c>
      <c r="H916" s="26" t="inlineStr">
        <is>
          <t>Barangay 883</t>
        </is>
      </c>
      <c r="I916" s="27" t="n">
        <v>12.786458</v>
      </c>
      <c r="J916" s="27" t="n">
        <v>120.680733</v>
      </c>
      <c r="K916" s="10" t="inlineStr">
        <is>
          <t>U</t>
        </is>
      </c>
      <c r="L916" s="12" t="n">
        <v>2266</v>
      </c>
      <c r="M916" s="14" t="n">
        <v>3.9</v>
      </c>
      <c r="N916" s="12">
        <f>ROUND(L916/M916, 0)</f>
        <v/>
      </c>
      <c r="O916" s="12">
        <f>ROUND(N916*'Methodology &amp; Assumptions'!$B$5, 0)</f>
        <v/>
      </c>
      <c r="P916" s="10" t="inlineStr">
        <is>
          <t>Single Carrier (Band n50, 100MHz TDD)</t>
        </is>
      </c>
      <c r="Q916" s="13">
        <f>ROUNDUP(O916/'Methodology &amp; Assumptions'!$B$6, 0)</f>
        <v/>
      </c>
      <c r="R916" s="13" t="n">
        <v>1</v>
      </c>
      <c r="S916" s="14" t="n">
        <v>63.9</v>
      </c>
      <c r="T916" s="14" t="n">
        <v>61.63</v>
      </c>
      <c r="U916" s="26">
        <f>IF(X916&gt;='Methodology &amp; Assumptions'!$B$7, "Tier 1 Critical GIDA (Score ≥ 50.0)", IF(X916&gt;='Methodology &amp; Assumptions'!$B$8, "Tier 2 High GIDA (Score 40.0–49.9)", "Tier 3 Moderate GIDA (Score &lt; 40.0)"))</f>
        <v/>
      </c>
      <c r="V916" s="26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W916" s="28" t="n">
        <v>0.109</v>
      </c>
      <c r="X916" s="14" t="n">
        <v>48.18</v>
      </c>
      <c r="Y916" s="14">
        <f>ROUND(MIN(100, (X916/69.91)*100), 2)</f>
        <v/>
      </c>
    </row>
    <row r="917">
      <c r="A917" s="10" t="n">
        <v>3</v>
      </c>
      <c r="B917" s="10" t="n">
        <v>913</v>
      </c>
      <c r="C917" s="10" t="n">
        <v>2913</v>
      </c>
      <c r="D917" s="10" t="inlineStr">
        <is>
          <t>1380614061</t>
        </is>
      </c>
      <c r="E917" s="26" t="inlineStr">
        <is>
          <t>National Capital Region (NCR)</t>
        </is>
      </c>
      <c r="F917" s="26" t="inlineStr">
        <is>
          <t>First District (Not a Province)</t>
        </is>
      </c>
      <c r="G917" s="26" t="inlineStr">
        <is>
          <t>City of Manila</t>
        </is>
      </c>
      <c r="H917" s="26" t="inlineStr">
        <is>
          <t>Barangay 805</t>
        </is>
      </c>
      <c r="I917" s="27" t="n">
        <v>13.669458</v>
      </c>
      <c r="J917" s="27" t="n">
        <v>122.516357</v>
      </c>
      <c r="K917" s="10" t="inlineStr">
        <is>
          <t>U</t>
        </is>
      </c>
      <c r="L917" s="12" t="n">
        <v>1275</v>
      </c>
      <c r="M917" s="14" t="n">
        <v>3.9</v>
      </c>
      <c r="N917" s="12">
        <f>ROUND(L917/M917, 0)</f>
        <v/>
      </c>
      <c r="O917" s="12">
        <f>ROUND(N917*'Methodology &amp; Assumptions'!$B$5, 0)</f>
        <v/>
      </c>
      <c r="P917" s="10" t="inlineStr">
        <is>
          <t>Single Carrier (Band n50, 100MHz TDD)</t>
        </is>
      </c>
      <c r="Q917" s="13">
        <f>ROUNDUP(O917/'Methodology &amp; Assumptions'!$B$6, 0)</f>
        <v/>
      </c>
      <c r="R917" s="13" t="n">
        <v>1</v>
      </c>
      <c r="S917" s="14" t="n">
        <v>5.36</v>
      </c>
      <c r="T917" s="14" t="n">
        <v>3.47</v>
      </c>
      <c r="U917" s="26">
        <f>IF(X917&gt;='Methodology &amp; Assumptions'!$B$7, "Tier 1 Critical GIDA (Score ≥ 50.0)", IF(X917&gt;='Methodology &amp; Assumptions'!$B$8, "Tier 2 High GIDA (Score 40.0–49.9)", "Tier 3 Moderate GIDA (Score &lt; 40.0)"))</f>
        <v/>
      </c>
      <c r="V917" s="26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W917" s="28" t="n">
        <v>0.109</v>
      </c>
      <c r="X917" s="14" t="n">
        <v>48.18</v>
      </c>
      <c r="Y917" s="14">
        <f>ROUND(MIN(100, (X917/69.91)*100), 2)</f>
        <v/>
      </c>
    </row>
    <row r="918">
      <c r="A918" s="10" t="n">
        <v>3</v>
      </c>
      <c r="B918" s="10" t="n">
        <v>914</v>
      </c>
      <c r="C918" s="10" t="n">
        <v>2914</v>
      </c>
      <c r="D918" s="10" t="inlineStr">
        <is>
          <t>0806013007</t>
        </is>
      </c>
      <c r="E918" s="26" t="inlineStr">
        <is>
          <t>Region VIII (Eastern Visayas)</t>
        </is>
      </c>
      <c r="F918" s="26" t="inlineStr">
        <is>
          <t>Samar</t>
        </is>
      </c>
      <c r="G918" s="26" t="inlineStr">
        <is>
          <t>Pinabacdao</t>
        </is>
      </c>
      <c r="H918" s="26" t="inlineStr">
        <is>
          <t>Canlobo</t>
        </is>
      </c>
      <c r="I918" s="27" t="n">
        <v>11.518171</v>
      </c>
      <c r="J918" s="27" t="n">
        <v>125.111942</v>
      </c>
      <c r="K918" s="10" t="inlineStr">
        <is>
          <t>R</t>
        </is>
      </c>
      <c r="L918" s="12" t="n">
        <v>387</v>
      </c>
      <c r="M918" s="14" t="n">
        <v>4.1</v>
      </c>
      <c r="N918" s="12">
        <f>ROUND(L918/M918, 0)</f>
        <v/>
      </c>
      <c r="O918" s="12">
        <f>ROUND(N918*'Methodology &amp; Assumptions'!$B$5, 0)</f>
        <v/>
      </c>
      <c r="P918" s="10" t="inlineStr">
        <is>
          <t>Single Carrier (Band n50, 100MHz TDD)</t>
        </is>
      </c>
      <c r="Q918" s="13">
        <f>ROUNDUP(O918/'Methodology &amp; Assumptions'!$B$6, 0)</f>
        <v/>
      </c>
      <c r="R918" s="13" t="n">
        <v>1</v>
      </c>
      <c r="S918" s="14" t="n">
        <v>33.2</v>
      </c>
      <c r="T918" s="14" t="n">
        <v>35.79</v>
      </c>
      <c r="U918" s="26">
        <f>IF(X918&gt;='Methodology &amp; Assumptions'!$B$7, "Tier 1 Critical GIDA (Score ≥ 50.0)", IF(X918&gt;='Methodology &amp; Assumptions'!$B$8, "Tier 2 High GIDA (Score 40.0–49.9)", "Tier 3 Moderate GIDA (Score &lt; 40.0)"))</f>
        <v/>
      </c>
      <c r="V918" s="26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W918" s="28" t="n">
        <v>0.237</v>
      </c>
      <c r="X918" s="14" t="n">
        <v>48.18</v>
      </c>
      <c r="Y918" s="14">
        <f>ROUND(MIN(100, (X918/69.91)*100), 2)</f>
        <v/>
      </c>
    </row>
    <row r="919">
      <c r="A919" s="10" t="n">
        <v>3</v>
      </c>
      <c r="B919" s="10" t="n">
        <v>915</v>
      </c>
      <c r="C919" s="10" t="n">
        <v>2915</v>
      </c>
      <c r="D919" s="10" t="inlineStr">
        <is>
          <t>1380614010</t>
        </is>
      </c>
      <c r="E919" s="26" t="inlineStr">
        <is>
          <t>National Capital Region (NCR)</t>
        </is>
      </c>
      <c r="F919" s="26" t="inlineStr">
        <is>
          <t>First District (Not a Province)</t>
        </is>
      </c>
      <c r="G919" s="26" t="inlineStr">
        <is>
          <t>City of Manila</t>
        </is>
      </c>
      <c r="H919" s="26" t="inlineStr">
        <is>
          <t>Barangay 753</t>
        </is>
      </c>
      <c r="I919" s="27" t="n">
        <v>11.807169</v>
      </c>
      <c r="J919" s="27" t="n">
        <v>121.774</v>
      </c>
      <c r="K919" s="10" t="inlineStr">
        <is>
          <t>U</t>
        </is>
      </c>
      <c r="L919" s="12" t="n">
        <v>2452</v>
      </c>
      <c r="M919" s="14" t="n">
        <v>3.9</v>
      </c>
      <c r="N919" s="12">
        <f>ROUND(L919/M919, 0)</f>
        <v/>
      </c>
      <c r="O919" s="12">
        <f>ROUND(N919*'Methodology &amp; Assumptions'!$B$5, 0)</f>
        <v/>
      </c>
      <c r="P919" s="10" t="inlineStr">
        <is>
          <t>Single Carrier (Band n50, 100MHz TDD)</t>
        </is>
      </c>
      <c r="Q919" s="13">
        <f>ROUNDUP(O919/'Methodology &amp; Assumptions'!$B$6, 0)</f>
        <v/>
      </c>
      <c r="R919" s="13" t="n">
        <v>1</v>
      </c>
      <c r="S919" s="14" t="n">
        <v>24.41</v>
      </c>
      <c r="T919" s="14" t="n">
        <v>23.02</v>
      </c>
      <c r="U919" s="26">
        <f>IF(X919&gt;='Methodology &amp; Assumptions'!$B$7, "Tier 1 Critical GIDA (Score ≥ 50.0)", IF(X919&gt;='Methodology &amp; Assumptions'!$B$8, "Tier 2 High GIDA (Score 40.0–49.9)", "Tier 3 Moderate GIDA (Score &lt; 40.0)"))</f>
        <v/>
      </c>
      <c r="V919" s="26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W919" s="28" t="n">
        <v>0.109</v>
      </c>
      <c r="X919" s="14" t="n">
        <v>48.18</v>
      </c>
      <c r="Y919" s="14">
        <f>ROUND(MIN(100, (X919/69.91)*100), 2)</f>
        <v/>
      </c>
    </row>
    <row r="920">
      <c r="A920" s="10" t="n">
        <v>3</v>
      </c>
      <c r="B920" s="10" t="n">
        <v>916</v>
      </c>
      <c r="C920" s="10" t="n">
        <v>2916</v>
      </c>
      <c r="D920" s="10" t="inlineStr">
        <is>
          <t>1380606093</t>
        </is>
      </c>
      <c r="E920" s="26" t="inlineStr">
        <is>
          <t>National Capital Region (NCR)</t>
        </is>
      </c>
      <c r="F920" s="26" t="inlineStr">
        <is>
          <t>First District (Not a Province)</t>
        </is>
      </c>
      <c r="G920" s="26" t="inlineStr">
        <is>
          <t>City of Manila</t>
        </is>
      </c>
      <c r="H920" s="26" t="inlineStr">
        <is>
          <t>Barangay 487</t>
        </is>
      </c>
      <c r="I920" s="27" t="n">
        <v>13.671448</v>
      </c>
      <c r="J920" s="27" t="n">
        <v>121.029772</v>
      </c>
      <c r="K920" s="10" t="inlineStr">
        <is>
          <t>U</t>
        </is>
      </c>
      <c r="L920" s="12" t="n">
        <v>1501</v>
      </c>
      <c r="M920" s="14" t="n">
        <v>3.9</v>
      </c>
      <c r="N920" s="12">
        <f>ROUND(L920/M920, 0)</f>
        <v/>
      </c>
      <c r="O920" s="12">
        <f>ROUND(N920*'Methodology &amp; Assumptions'!$B$5, 0)</f>
        <v/>
      </c>
      <c r="P920" s="10" t="inlineStr">
        <is>
          <t>Single Carrier (Band n50, 100MHz TDD)</t>
        </is>
      </c>
      <c r="Q920" s="13">
        <f>ROUNDUP(O920/'Methodology &amp; Assumptions'!$B$6, 0)</f>
        <v/>
      </c>
      <c r="R920" s="13" t="n">
        <v>1</v>
      </c>
      <c r="S920" s="14" t="n">
        <v>4.03</v>
      </c>
      <c r="T920" s="14" t="n">
        <v>9.92</v>
      </c>
      <c r="U920" s="26">
        <f>IF(X920&gt;='Methodology &amp; Assumptions'!$B$7, "Tier 1 Critical GIDA (Score ≥ 50.0)", IF(X920&gt;='Methodology &amp; Assumptions'!$B$8, "Tier 2 High GIDA (Score 40.0–49.9)", "Tier 3 Moderate GIDA (Score &lt; 40.0)"))</f>
        <v/>
      </c>
      <c r="V920" s="26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W920" s="28" t="n">
        <v>0.109</v>
      </c>
      <c r="X920" s="14" t="n">
        <v>48.18</v>
      </c>
      <c r="Y920" s="14">
        <f>ROUND(MIN(100, (X920/69.91)*100), 2)</f>
        <v/>
      </c>
    </row>
    <row r="921">
      <c r="A921" s="10" t="n">
        <v>3</v>
      </c>
      <c r="B921" s="10" t="n">
        <v>917</v>
      </c>
      <c r="C921" s="10" t="n">
        <v>2917</v>
      </c>
      <c r="D921" s="10" t="inlineStr">
        <is>
          <t>1380606092</t>
        </is>
      </c>
      <c r="E921" s="26" t="inlineStr">
        <is>
          <t>National Capital Region (NCR)</t>
        </is>
      </c>
      <c r="F921" s="26" t="inlineStr">
        <is>
          <t>First District (Not a Province)</t>
        </is>
      </c>
      <c r="G921" s="26" t="inlineStr">
        <is>
          <t>City of Manila</t>
        </is>
      </c>
      <c r="H921" s="26" t="inlineStr">
        <is>
          <t>Barangay 486</t>
        </is>
      </c>
      <c r="I921" s="27" t="n">
        <v>12.785988</v>
      </c>
      <c r="J921" s="27" t="n">
        <v>122.872784</v>
      </c>
      <c r="K921" s="10" t="inlineStr">
        <is>
          <t>U</t>
        </is>
      </c>
      <c r="L921" s="12" t="n">
        <v>998</v>
      </c>
      <c r="M921" s="14" t="n">
        <v>3.9</v>
      </c>
      <c r="N921" s="12">
        <f>ROUND(L921/M921, 0)</f>
        <v/>
      </c>
      <c r="O921" s="12">
        <f>ROUND(N921*'Methodology &amp; Assumptions'!$B$5, 0)</f>
        <v/>
      </c>
      <c r="P921" s="10" t="inlineStr">
        <is>
          <t>Single Carrier (Band n50, 100MHz TDD)</t>
        </is>
      </c>
      <c r="Q921" s="13">
        <f>ROUNDUP(O921/'Methodology &amp; Assumptions'!$B$6, 0)</f>
        <v/>
      </c>
      <c r="R921" s="13" t="n">
        <v>1</v>
      </c>
      <c r="S921" s="14" t="n">
        <v>51.97</v>
      </c>
      <c r="T921" s="14" t="n">
        <v>67.98999999999999</v>
      </c>
      <c r="U921" s="26">
        <f>IF(X921&gt;='Methodology &amp; Assumptions'!$B$7, "Tier 1 Critical GIDA (Score ≥ 50.0)", IF(X921&gt;='Methodology &amp; Assumptions'!$B$8, "Tier 2 High GIDA (Score 40.0–49.9)", "Tier 3 Moderate GIDA (Score &lt; 40.0)"))</f>
        <v/>
      </c>
      <c r="V921" s="26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W921" s="28" t="n">
        <v>0.109</v>
      </c>
      <c r="X921" s="14" t="n">
        <v>48.18</v>
      </c>
      <c r="Y921" s="14">
        <f>ROUND(MIN(100, (X921/69.91)*100), 2)</f>
        <v/>
      </c>
    </row>
    <row r="922">
      <c r="A922" s="10" t="n">
        <v>3</v>
      </c>
      <c r="B922" s="10" t="n">
        <v>918</v>
      </c>
      <c r="C922" s="10" t="n">
        <v>2918</v>
      </c>
      <c r="D922" s="10" t="inlineStr">
        <is>
          <t>PH0002918</t>
        </is>
      </c>
      <c r="E922" s="26" t="inlineStr">
        <is>
          <t>VII</t>
        </is>
      </c>
      <c r="F922" s="26" t="inlineStr">
        <is>
          <t>Cebu</t>
        </is>
      </c>
      <c r="G922" s="26" t="inlineStr">
        <is>
          <t>Cebu City</t>
        </is>
      </c>
      <c r="H922" s="26" t="inlineStr">
        <is>
          <t>Kalubihan (Pob.)</t>
        </is>
      </c>
      <c r="I922" s="27" t="n">
        <v>10.345028</v>
      </c>
      <c r="J922" s="27" t="n">
        <v>123.871163</v>
      </c>
      <c r="K922" s="10" t="inlineStr">
        <is>
          <t>R</t>
        </is>
      </c>
      <c r="L922" s="12" t="n">
        <v>2250</v>
      </c>
      <c r="M922" s="14" t="n">
        <v>3.8</v>
      </c>
      <c r="N922" s="12">
        <f>ROUND(L922/M922, 0)</f>
        <v/>
      </c>
      <c r="O922" s="12">
        <f>ROUND(N922*'Methodology &amp; Assumptions'!$B$5, 0)</f>
        <v/>
      </c>
      <c r="P922" s="10" t="inlineStr">
        <is>
          <t>Single Carrier (Band n50, 100MHz TDD)</t>
        </is>
      </c>
      <c r="Q922" s="13">
        <f>ROUNDUP(O922/'Methodology &amp; Assumptions'!$B$6, 0)</f>
        <v/>
      </c>
      <c r="R922" s="13" t="n">
        <v>1</v>
      </c>
      <c r="S922" s="14" t="n">
        <v>3.25</v>
      </c>
      <c r="T922" s="14" t="n">
        <v>4.73</v>
      </c>
      <c r="U922" s="26">
        <f>IF(X922&gt;='Methodology &amp; Assumptions'!$B$7, "Tier 1 Critical GIDA (Score ≥ 50.0)", IF(X922&gt;='Methodology &amp; Assumptions'!$B$8, "Tier 2 High GIDA (Score 40.0–49.9)", "Tier 3 Moderate GIDA (Score &lt; 40.0)"))</f>
        <v/>
      </c>
      <c r="V922" s="26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W922" s="28" t="n">
        <v>0.21</v>
      </c>
      <c r="X922" s="14" t="n">
        <v>48.18</v>
      </c>
      <c r="Y922" s="14">
        <f>ROUND(MIN(100, (X922/69.91)*100), 2)</f>
        <v/>
      </c>
    </row>
    <row r="923">
      <c r="A923" s="10" t="n">
        <v>3</v>
      </c>
      <c r="B923" s="10" t="n">
        <v>919</v>
      </c>
      <c r="C923" s="10" t="n">
        <v>2919</v>
      </c>
      <c r="D923" s="10" t="inlineStr">
        <is>
          <t>1705208070</t>
        </is>
      </c>
      <c r="E923" s="26" t="inlineStr">
        <is>
          <t>MIMAROPA Region</t>
        </is>
      </c>
      <c r="F923" s="26" t="inlineStr">
        <is>
          <t>Oriental Mindoro</t>
        </is>
      </c>
      <c r="G923" s="26" t="inlineStr">
        <is>
          <t>Naujan</t>
        </is>
      </c>
      <c r="H923" s="26" t="inlineStr">
        <is>
          <t>Caburo</t>
        </is>
      </c>
      <c r="I923" s="27" t="n">
        <v>13.16753</v>
      </c>
      <c r="J923" s="27" t="n">
        <v>121.146134</v>
      </c>
      <c r="K923" s="10" t="inlineStr">
        <is>
          <t>R</t>
        </is>
      </c>
      <c r="L923" s="12" t="n">
        <v>470</v>
      </c>
      <c r="M923" s="14" t="n">
        <v>3.9</v>
      </c>
      <c r="N923" s="12">
        <f>ROUND(L923/M923, 0)</f>
        <v/>
      </c>
      <c r="O923" s="12">
        <f>ROUND(N923*'Methodology &amp; Assumptions'!$B$5, 0)</f>
        <v/>
      </c>
      <c r="P923" s="10" t="inlineStr">
        <is>
          <t>Single Carrier (Band n50, 100MHz TDD)</t>
        </is>
      </c>
      <c r="Q923" s="13">
        <f>ROUNDUP(O923/'Methodology &amp; Assumptions'!$B$6, 0)</f>
        <v/>
      </c>
      <c r="R923" s="13" t="n">
        <v>1</v>
      </c>
      <c r="S923" s="14" t="n">
        <v>14.49</v>
      </c>
      <c r="T923" s="14" t="n">
        <v>14.18</v>
      </c>
      <c r="U923" s="26">
        <f>IF(X923&gt;='Methodology &amp; Assumptions'!$B$7, "Tier 1 Critical GIDA (Score ≥ 50.0)", IF(X923&gt;='Methodology &amp; Assumptions'!$B$8, "Tier 2 High GIDA (Score 40.0–49.9)", "Tier 3 Moderate GIDA (Score &lt; 40.0)"))</f>
        <v/>
      </c>
      <c r="V923" s="26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W923" s="28" t="n">
        <v>0.15</v>
      </c>
      <c r="X923" s="14" t="n">
        <v>48.18</v>
      </c>
      <c r="Y923" s="14">
        <f>ROUND(MIN(100, (X923/69.91)*100), 2)</f>
        <v/>
      </c>
    </row>
    <row r="924">
      <c r="A924" s="10" t="n">
        <v>3</v>
      </c>
      <c r="B924" s="10" t="n">
        <v>920</v>
      </c>
      <c r="C924" s="10" t="n">
        <v>2920</v>
      </c>
      <c r="D924" s="10" t="inlineStr">
        <is>
          <t>PH0002920</t>
        </is>
      </c>
      <c r="E924" s="26" t="inlineStr">
        <is>
          <t>III</t>
        </is>
      </c>
      <c r="F924" s="26" t="inlineStr">
        <is>
          <t>Nueva Ecija</t>
        </is>
      </c>
      <c r="G924" s="26" t="inlineStr">
        <is>
          <t>Cabanatuan City</t>
        </is>
      </c>
      <c r="H924" s="26" t="inlineStr">
        <is>
          <t>M. S. Garcia</t>
        </is>
      </c>
      <c r="I924" s="27" t="n">
        <v>15.477174</v>
      </c>
      <c r="J924" s="27" t="n">
        <v>120.963055</v>
      </c>
      <c r="K924" s="10" t="inlineStr">
        <is>
          <t>R</t>
        </is>
      </c>
      <c r="L924" s="12" t="n">
        <v>2398</v>
      </c>
      <c r="M924" s="14" t="n">
        <v>3.5</v>
      </c>
      <c r="N924" s="12">
        <f>ROUND(L924/M924, 0)</f>
        <v/>
      </c>
      <c r="O924" s="12">
        <f>ROUND(N924*'Methodology &amp; Assumptions'!$B$5, 0)</f>
        <v/>
      </c>
      <c r="P924" s="10" t="inlineStr">
        <is>
          <t>Single Carrier (Band n50, 100MHz TDD)</t>
        </is>
      </c>
      <c r="Q924" s="13">
        <f>ROUNDUP(O924/'Methodology &amp; Assumptions'!$B$6, 0)</f>
        <v/>
      </c>
      <c r="R924" s="13" t="n">
        <v>1</v>
      </c>
      <c r="S924" s="14" t="n">
        <v>0.54</v>
      </c>
      <c r="T924" s="14" t="n">
        <v>0.55</v>
      </c>
      <c r="U924" s="26">
        <f>IF(X924&gt;='Methodology &amp; Assumptions'!$B$7, "Tier 1 Critical GIDA (Score ≥ 50.0)", IF(X924&gt;='Methodology &amp; Assumptions'!$B$8, "Tier 2 High GIDA (Score 40.0–49.9)", "Tier 3 Moderate GIDA (Score &lt; 40.0)"))</f>
        <v/>
      </c>
      <c r="V924" s="26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W924" s="28" t="n">
        <v>0.083</v>
      </c>
      <c r="X924" s="14" t="n">
        <v>48.18</v>
      </c>
      <c r="Y924" s="14">
        <f>ROUND(MIN(100, (X924/69.91)*100), 2)</f>
        <v/>
      </c>
    </row>
    <row r="925">
      <c r="A925" s="10" t="n">
        <v>3</v>
      </c>
      <c r="B925" s="10" t="n">
        <v>921</v>
      </c>
      <c r="C925" s="10" t="n">
        <v>2921</v>
      </c>
      <c r="D925" s="10" t="inlineStr">
        <is>
          <t>1380605072</t>
        </is>
      </c>
      <c r="E925" s="26" t="inlineStr">
        <is>
          <t>National Capital Region (NCR)</t>
        </is>
      </c>
      <c r="F925" s="26" t="inlineStr">
        <is>
          <t>First District (Not a Province)</t>
        </is>
      </c>
      <c r="G925" s="26" t="inlineStr">
        <is>
          <t>City of Manila</t>
        </is>
      </c>
      <c r="H925" s="26" t="inlineStr">
        <is>
          <t>Barangay 369</t>
        </is>
      </c>
      <c r="I925" s="27" t="n">
        <v>12.22432</v>
      </c>
      <c r="J925" s="27" t="n">
        <v>120.897848</v>
      </c>
      <c r="K925" s="10" t="inlineStr">
        <is>
          <t>U</t>
        </is>
      </c>
      <c r="L925" s="12" t="n">
        <v>1438</v>
      </c>
      <c r="M925" s="14" t="n">
        <v>3.9</v>
      </c>
      <c r="N925" s="12">
        <f>ROUND(L925/M925, 0)</f>
        <v/>
      </c>
      <c r="O925" s="12">
        <f>ROUND(N925*'Methodology &amp; Assumptions'!$B$5, 0)</f>
        <v/>
      </c>
      <c r="P925" s="10" t="inlineStr">
        <is>
          <t>Single Carrier (Band n50, 100MHz TDD)</t>
        </is>
      </c>
      <c r="Q925" s="13">
        <f>ROUNDUP(O925/'Methodology &amp; Assumptions'!$B$6, 0)</f>
        <v/>
      </c>
      <c r="R925" s="13" t="n">
        <v>1</v>
      </c>
      <c r="S925" s="14" t="n">
        <v>22.94</v>
      </c>
      <c r="T925" s="14" t="n">
        <v>22.92</v>
      </c>
      <c r="U925" s="26">
        <f>IF(X925&gt;='Methodology &amp; Assumptions'!$B$7, "Tier 1 Critical GIDA (Score ≥ 50.0)", IF(X925&gt;='Methodology &amp; Assumptions'!$B$8, "Tier 2 High GIDA (Score 40.0–49.9)", "Tier 3 Moderate GIDA (Score &lt; 40.0)"))</f>
        <v/>
      </c>
      <c r="V925" s="26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W925" s="28" t="n">
        <v>0.109</v>
      </c>
      <c r="X925" s="14" t="n">
        <v>48.17</v>
      </c>
      <c r="Y925" s="14">
        <f>ROUND(MIN(100, (X925/69.91)*100), 2)</f>
        <v/>
      </c>
    </row>
    <row r="926">
      <c r="A926" s="10" t="n">
        <v>3</v>
      </c>
      <c r="B926" s="10" t="n">
        <v>922</v>
      </c>
      <c r="C926" s="10" t="n">
        <v>2922</v>
      </c>
      <c r="D926" s="10" t="inlineStr">
        <is>
          <t>1380400013</t>
        </is>
      </c>
      <c r="E926" s="26" t="inlineStr">
        <is>
          <t>National Capital Region (NCR)</t>
        </is>
      </c>
      <c r="F926" s="26" t="inlineStr">
        <is>
          <t>Third District (Not a Province)</t>
        </is>
      </c>
      <c r="G926" s="26" t="inlineStr">
        <is>
          <t>City of Malabon</t>
        </is>
      </c>
      <c r="H926" s="26" t="inlineStr">
        <is>
          <t>Niugan</t>
        </is>
      </c>
      <c r="I926" s="27" t="n">
        <v>14.66754</v>
      </c>
      <c r="J926" s="27" t="n">
        <v>120.955038</v>
      </c>
      <c r="K926" s="10" t="inlineStr">
        <is>
          <t>U</t>
        </is>
      </c>
      <c r="L926" s="12" t="n">
        <v>7370</v>
      </c>
      <c r="M926" s="14" t="n">
        <v>3.7</v>
      </c>
      <c r="N926" s="12">
        <f>ROUND(L926/M926, 0)</f>
        <v/>
      </c>
      <c r="O926" s="12">
        <f>ROUND(N926*'Methodology &amp; Assumptions'!$B$5, 0)</f>
        <v/>
      </c>
      <c r="P926" s="10" t="inlineStr">
        <is>
          <t>Single Carrier (Band n50, 100MHz TDD)</t>
        </is>
      </c>
      <c r="Q926" s="13">
        <f>ROUNDUP(O926/'Methodology &amp; Assumptions'!$B$6, 0)</f>
        <v/>
      </c>
      <c r="R926" s="13" t="n">
        <v>1</v>
      </c>
      <c r="S926" s="14" t="n">
        <v>0.87</v>
      </c>
      <c r="T926" s="14" t="n">
        <v>0.39</v>
      </c>
      <c r="U926" s="26">
        <f>IF(X926&gt;='Methodology &amp; Assumptions'!$B$7, "Tier 1 Critical GIDA (Score ≥ 50.0)", IF(X926&gt;='Methodology &amp; Assumptions'!$B$8, "Tier 2 High GIDA (Score 40.0–49.9)", "Tier 3 Moderate GIDA (Score &lt; 40.0)"))</f>
        <v/>
      </c>
      <c r="V926" s="26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W926" s="28" t="n">
        <v>0.109</v>
      </c>
      <c r="X926" s="14" t="n">
        <v>48.17</v>
      </c>
      <c r="Y926" s="14">
        <f>ROUND(MIN(100, (X926/69.91)*100), 2)</f>
        <v/>
      </c>
    </row>
    <row r="927">
      <c r="A927" s="10" t="n">
        <v>3</v>
      </c>
      <c r="B927" s="10" t="n">
        <v>923</v>
      </c>
      <c r="C927" s="10" t="n">
        <v>2923</v>
      </c>
      <c r="D927" s="10" t="inlineStr">
        <is>
          <t>1380606115</t>
        </is>
      </c>
      <c r="E927" s="26" t="inlineStr">
        <is>
          <t>National Capital Region (NCR)</t>
        </is>
      </c>
      <c r="F927" s="26" t="inlineStr">
        <is>
          <t>First District (Not a Province)</t>
        </is>
      </c>
      <c r="G927" s="26" t="inlineStr">
        <is>
          <t>City of Manila</t>
        </is>
      </c>
      <c r="H927" s="26" t="inlineStr">
        <is>
          <t>Barangay 509</t>
        </is>
      </c>
      <c r="I927" s="27" t="n">
        <v>13.941253</v>
      </c>
      <c r="J927" s="27" t="n">
        <v>121.966011</v>
      </c>
      <c r="K927" s="10" t="inlineStr">
        <is>
          <t>U</t>
        </is>
      </c>
      <c r="L927" s="12" t="n">
        <v>1298</v>
      </c>
      <c r="M927" s="14" t="n">
        <v>3.9</v>
      </c>
      <c r="N927" s="12">
        <f>ROUND(L927/M927, 0)</f>
        <v/>
      </c>
      <c r="O927" s="12">
        <f>ROUND(N927*'Methodology &amp; Assumptions'!$B$5, 0)</f>
        <v/>
      </c>
      <c r="P927" s="10" t="inlineStr">
        <is>
          <t>Single Carrier (Band n50, 100MHz TDD)</t>
        </is>
      </c>
      <c r="Q927" s="13">
        <f>ROUNDUP(O927/'Methodology &amp; Assumptions'!$B$6, 0)</f>
        <v/>
      </c>
      <c r="R927" s="13" t="n">
        <v>1</v>
      </c>
      <c r="S927" s="14" t="n">
        <v>6.27</v>
      </c>
      <c r="T927" s="14" t="n">
        <v>4.07</v>
      </c>
      <c r="U927" s="26">
        <f>IF(X927&gt;='Methodology &amp; Assumptions'!$B$7, "Tier 1 Critical GIDA (Score ≥ 50.0)", IF(X927&gt;='Methodology &amp; Assumptions'!$B$8, "Tier 2 High GIDA (Score 40.0–49.9)", "Tier 3 Moderate GIDA (Score &lt; 40.0)"))</f>
        <v/>
      </c>
      <c r="V927" s="26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W927" s="28" t="n">
        <v>0.109</v>
      </c>
      <c r="X927" s="14" t="n">
        <v>48.17</v>
      </c>
      <c r="Y927" s="14">
        <f>ROUND(MIN(100, (X927/69.91)*100), 2)</f>
        <v/>
      </c>
    </row>
    <row r="928">
      <c r="A928" s="10" t="n">
        <v>3</v>
      </c>
      <c r="B928" s="10" t="n">
        <v>924</v>
      </c>
      <c r="C928" s="10" t="n">
        <v>2924</v>
      </c>
      <c r="D928" s="10" t="inlineStr">
        <is>
          <t>1380601246</t>
        </is>
      </c>
      <c r="E928" s="26" t="inlineStr">
        <is>
          <t>National Capital Region (NCR)</t>
        </is>
      </c>
      <c r="F928" s="26" t="inlineStr">
        <is>
          <t>First District (Not a Province)</t>
        </is>
      </c>
      <c r="G928" s="26" t="inlineStr">
        <is>
          <t>City of Manila</t>
        </is>
      </c>
      <c r="H928" s="26" t="inlineStr">
        <is>
          <t>Barangay 245</t>
        </is>
      </c>
      <c r="I928" s="27" t="n">
        <v>11.969445</v>
      </c>
      <c r="J928" s="27" t="n">
        <v>122.368863</v>
      </c>
      <c r="K928" s="10" t="inlineStr">
        <is>
          <t>U</t>
        </is>
      </c>
      <c r="L928" s="12" t="n">
        <v>290</v>
      </c>
      <c r="M928" s="14" t="n">
        <v>3.9</v>
      </c>
      <c r="N928" s="12">
        <f>ROUND(L928/M928, 0)</f>
        <v/>
      </c>
      <c r="O928" s="12">
        <f>ROUND(N928*'Methodology &amp; Assumptions'!$B$5, 0)</f>
        <v/>
      </c>
      <c r="P928" s="10" t="inlineStr">
        <is>
          <t>Single Carrier (Band n50, 100MHz TDD)</t>
        </is>
      </c>
      <c r="Q928" s="13">
        <f>ROUNDUP(O928/'Methodology &amp; Assumptions'!$B$6, 0)</f>
        <v/>
      </c>
      <c r="R928" s="13" t="n">
        <v>1</v>
      </c>
      <c r="S928" s="14" t="n">
        <v>29.35</v>
      </c>
      <c r="T928" s="14" t="n">
        <v>2.81</v>
      </c>
      <c r="U928" s="26">
        <f>IF(X928&gt;='Methodology &amp; Assumptions'!$B$7, "Tier 1 Critical GIDA (Score ≥ 50.0)", IF(X928&gt;='Methodology &amp; Assumptions'!$B$8, "Tier 2 High GIDA (Score 40.0–49.9)", "Tier 3 Moderate GIDA (Score &lt; 40.0)"))</f>
        <v/>
      </c>
      <c r="V928" s="26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W928" s="28" t="n">
        <v>0.109</v>
      </c>
      <c r="X928" s="14" t="n">
        <v>48.17</v>
      </c>
      <c r="Y928" s="14">
        <f>ROUND(MIN(100, (X928/69.91)*100), 2)</f>
        <v/>
      </c>
    </row>
    <row r="929">
      <c r="A929" s="10" t="n">
        <v>3</v>
      </c>
      <c r="B929" s="10" t="n">
        <v>925</v>
      </c>
      <c r="C929" s="10" t="n">
        <v>2925</v>
      </c>
      <c r="D929" s="10" t="inlineStr">
        <is>
          <t>1380608001</t>
        </is>
      </c>
      <c r="E929" s="26" t="inlineStr">
        <is>
          <t>National Capital Region (NCR)</t>
        </is>
      </c>
      <c r="F929" s="26" t="inlineStr">
        <is>
          <t>First District (Not a Province)</t>
        </is>
      </c>
      <c r="G929" s="26" t="inlineStr">
        <is>
          <t>City of Manila</t>
        </is>
      </c>
      <c r="H929" s="26" t="inlineStr">
        <is>
          <t>Barangay 659</t>
        </is>
      </c>
      <c r="I929" s="27" t="n">
        <v>13.159387</v>
      </c>
      <c r="J929" s="27" t="n">
        <v>120.703253</v>
      </c>
      <c r="K929" s="10" t="inlineStr">
        <is>
          <t>U</t>
        </is>
      </c>
      <c r="L929" s="12" t="n">
        <v>372</v>
      </c>
      <c r="M929" s="14" t="n">
        <v>3.9</v>
      </c>
      <c r="N929" s="12">
        <f>ROUND(L929/M929, 0)</f>
        <v/>
      </c>
      <c r="O929" s="12">
        <f>ROUND(N929*'Methodology &amp; Assumptions'!$B$5, 0)</f>
        <v/>
      </c>
      <c r="P929" s="10" t="inlineStr">
        <is>
          <t>Single Carrier (Band n50, 100MHz TDD)</t>
        </is>
      </c>
      <c r="Q929" s="13">
        <f>ROUNDUP(O929/'Methodology &amp; Assumptions'!$B$6, 0)</f>
        <v/>
      </c>
      <c r="R929" s="13" t="n">
        <v>1</v>
      </c>
      <c r="S929" s="14" t="n">
        <v>44.03</v>
      </c>
      <c r="T929" s="14" t="n">
        <v>42.83</v>
      </c>
      <c r="U929" s="26">
        <f>IF(X929&gt;='Methodology &amp; Assumptions'!$B$7, "Tier 1 Critical GIDA (Score ≥ 50.0)", IF(X929&gt;='Methodology &amp; Assumptions'!$B$8, "Tier 2 High GIDA (Score 40.0–49.9)", "Tier 3 Moderate GIDA (Score &lt; 40.0)"))</f>
        <v/>
      </c>
      <c r="V929" s="26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W929" s="28" t="n">
        <v>0.109</v>
      </c>
      <c r="X929" s="14" t="n">
        <v>48.17</v>
      </c>
      <c r="Y929" s="14">
        <f>ROUND(MIN(100, (X929/69.91)*100), 2)</f>
        <v/>
      </c>
    </row>
    <row r="930">
      <c r="A930" s="10" t="n">
        <v>3</v>
      </c>
      <c r="B930" s="10" t="n">
        <v>926</v>
      </c>
      <c r="C930" s="10" t="n">
        <v>2926</v>
      </c>
      <c r="D930" s="10" t="inlineStr">
        <is>
          <t>1380606145</t>
        </is>
      </c>
      <c r="E930" s="26" t="inlineStr">
        <is>
          <t>National Capital Region (NCR)</t>
        </is>
      </c>
      <c r="F930" s="26" t="inlineStr">
        <is>
          <t>First District (Not a Province)</t>
        </is>
      </c>
      <c r="G930" s="26" t="inlineStr">
        <is>
          <t>City of Manila</t>
        </is>
      </c>
      <c r="H930" s="26" t="inlineStr">
        <is>
          <t>Barangay 539</t>
        </is>
      </c>
      <c r="I930" s="27" t="n">
        <v>13.379302</v>
      </c>
      <c r="J930" s="27" t="n">
        <v>122.758496</v>
      </c>
      <c r="K930" s="10" t="inlineStr">
        <is>
          <t>U</t>
        </is>
      </c>
      <c r="L930" s="12" t="n">
        <v>1902</v>
      </c>
      <c r="M930" s="14" t="n">
        <v>3.9</v>
      </c>
      <c r="N930" s="12">
        <f>ROUND(L930/M930, 0)</f>
        <v/>
      </c>
      <c r="O930" s="12">
        <f>ROUND(N930*'Methodology &amp; Assumptions'!$B$5, 0)</f>
        <v/>
      </c>
      <c r="P930" s="10" t="inlineStr">
        <is>
          <t>Single Carrier (Band n50, 100MHz TDD)</t>
        </is>
      </c>
      <c r="Q930" s="13">
        <f>ROUNDUP(O930/'Methodology &amp; Assumptions'!$B$6, 0)</f>
        <v/>
      </c>
      <c r="R930" s="13" t="n">
        <v>1</v>
      </c>
      <c r="S930" s="14" t="n">
        <v>10.73</v>
      </c>
      <c r="T930" s="14" t="n">
        <v>30.28</v>
      </c>
      <c r="U930" s="26">
        <f>IF(X930&gt;='Methodology &amp; Assumptions'!$B$7, "Tier 1 Critical GIDA (Score ≥ 50.0)", IF(X930&gt;='Methodology &amp; Assumptions'!$B$8, "Tier 2 High GIDA (Score 40.0–49.9)", "Tier 3 Moderate GIDA (Score &lt; 40.0)"))</f>
        <v/>
      </c>
      <c r="V930" s="26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W930" s="28" t="n">
        <v>0.109</v>
      </c>
      <c r="X930" s="14" t="n">
        <v>48.16</v>
      </c>
      <c r="Y930" s="14">
        <f>ROUND(MIN(100, (X930/69.91)*100), 2)</f>
        <v/>
      </c>
    </row>
    <row r="931">
      <c r="A931" s="10" t="n">
        <v>3</v>
      </c>
      <c r="B931" s="10" t="n">
        <v>927</v>
      </c>
      <c r="C931" s="10" t="n">
        <v>2927</v>
      </c>
      <c r="D931" s="10" t="inlineStr">
        <is>
          <t>1380601256</t>
        </is>
      </c>
      <c r="E931" s="26" t="inlineStr">
        <is>
          <t>National Capital Region (NCR)</t>
        </is>
      </c>
      <c r="F931" s="26" t="inlineStr">
        <is>
          <t>First District (Not a Province)</t>
        </is>
      </c>
      <c r="G931" s="26" t="inlineStr">
        <is>
          <t>City of Manila</t>
        </is>
      </c>
      <c r="H931" s="26" t="inlineStr">
        <is>
          <t>Barangay 255</t>
        </is>
      </c>
      <c r="I931" s="27" t="n">
        <v>11.861705</v>
      </c>
      <c r="J931" s="27" t="n">
        <v>121.393917</v>
      </c>
      <c r="K931" s="10" t="inlineStr">
        <is>
          <t>U</t>
        </is>
      </c>
      <c r="L931" s="12" t="n">
        <v>1119</v>
      </c>
      <c r="M931" s="14" t="n">
        <v>3.9</v>
      </c>
      <c r="N931" s="12">
        <f>ROUND(L931/M931, 0)</f>
        <v/>
      </c>
      <c r="O931" s="12">
        <f>ROUND(N931*'Methodology &amp; Assumptions'!$B$5, 0)</f>
        <v/>
      </c>
      <c r="P931" s="10" t="inlineStr">
        <is>
          <t>Single Carrier (Band n50, 100MHz TDD)</t>
        </is>
      </c>
      <c r="Q931" s="13">
        <f>ROUNDUP(O931/'Methodology &amp; Assumptions'!$B$6, 0)</f>
        <v/>
      </c>
      <c r="R931" s="13" t="n">
        <v>1</v>
      </c>
      <c r="S931" s="14" t="n">
        <v>52.47</v>
      </c>
      <c r="T931" s="14" t="n">
        <v>48.54</v>
      </c>
      <c r="U931" s="26">
        <f>IF(X931&gt;='Methodology &amp; Assumptions'!$B$7, "Tier 1 Critical GIDA (Score ≥ 50.0)", IF(X931&gt;='Methodology &amp; Assumptions'!$B$8, "Tier 2 High GIDA (Score 40.0–49.9)", "Tier 3 Moderate GIDA (Score &lt; 40.0)"))</f>
        <v/>
      </c>
      <c r="V931" s="26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W931" s="28" t="n">
        <v>0.109</v>
      </c>
      <c r="X931" s="14" t="n">
        <v>48.16</v>
      </c>
      <c r="Y931" s="14">
        <f>ROUND(MIN(100, (X931/69.91)*100), 2)</f>
        <v/>
      </c>
    </row>
    <row r="932">
      <c r="A932" s="10" t="n">
        <v>3</v>
      </c>
      <c r="B932" s="10" t="n">
        <v>928</v>
      </c>
      <c r="C932" s="10" t="n">
        <v>2928</v>
      </c>
      <c r="D932" s="10" t="inlineStr">
        <is>
          <t>1380604001</t>
        </is>
      </c>
      <c r="E932" s="26" t="inlineStr">
        <is>
          <t>National Capital Region (NCR)</t>
        </is>
      </c>
      <c r="F932" s="26" t="inlineStr">
        <is>
          <t>First District (Not a Province)</t>
        </is>
      </c>
      <c r="G932" s="26" t="inlineStr">
        <is>
          <t>City of Manila</t>
        </is>
      </c>
      <c r="H932" s="26" t="inlineStr">
        <is>
          <t>Barangay 268</t>
        </is>
      </c>
      <c r="I932" s="27" t="n">
        <v>13.881812</v>
      </c>
      <c r="J932" s="27" t="n">
        <v>121.348199</v>
      </c>
      <c r="K932" s="10" t="inlineStr">
        <is>
          <t>U</t>
        </is>
      </c>
      <c r="L932" s="12" t="n">
        <v>504</v>
      </c>
      <c r="M932" s="14" t="n">
        <v>3.9</v>
      </c>
      <c r="N932" s="12">
        <f>ROUND(L932/M932, 0)</f>
        <v/>
      </c>
      <c r="O932" s="12">
        <f>ROUND(N932*'Methodology &amp; Assumptions'!$B$5, 0)</f>
        <v/>
      </c>
      <c r="P932" s="10" t="inlineStr">
        <is>
          <t>Single Carrier (Band n50, 100MHz TDD)</t>
        </is>
      </c>
      <c r="Q932" s="13">
        <f>ROUNDUP(O932/'Methodology &amp; Assumptions'!$B$6, 0)</f>
        <v/>
      </c>
      <c r="R932" s="13" t="n">
        <v>1</v>
      </c>
      <c r="S932" s="14" t="n">
        <v>5.9</v>
      </c>
      <c r="T932" s="14" t="n">
        <v>2.12</v>
      </c>
      <c r="U932" s="26">
        <f>IF(X932&gt;='Methodology &amp; Assumptions'!$B$7, "Tier 1 Critical GIDA (Score ≥ 50.0)", IF(X932&gt;='Methodology &amp; Assumptions'!$B$8, "Tier 2 High GIDA (Score 40.0–49.9)", "Tier 3 Moderate GIDA (Score &lt; 40.0)"))</f>
        <v/>
      </c>
      <c r="V932" s="26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W932" s="28" t="n">
        <v>0.109</v>
      </c>
      <c r="X932" s="14" t="n">
        <v>48.16</v>
      </c>
      <c r="Y932" s="14">
        <f>ROUND(MIN(100, (X932/69.91)*100), 2)</f>
        <v/>
      </c>
    </row>
    <row r="933">
      <c r="A933" s="10" t="n">
        <v>3</v>
      </c>
      <c r="B933" s="10" t="n">
        <v>929</v>
      </c>
      <c r="C933" s="10" t="n">
        <v>2929</v>
      </c>
      <c r="D933" s="10" t="inlineStr">
        <is>
          <t>1380601191</t>
        </is>
      </c>
      <c r="E933" s="26" t="inlineStr">
        <is>
          <t>National Capital Region (NCR)</t>
        </is>
      </c>
      <c r="F933" s="26" t="inlineStr">
        <is>
          <t>First District (Not a Province)</t>
        </is>
      </c>
      <c r="G933" s="26" t="inlineStr">
        <is>
          <t>City of Manila</t>
        </is>
      </c>
      <c r="H933" s="26" t="inlineStr">
        <is>
          <t>Barangay 191</t>
        </is>
      </c>
      <c r="I933" s="27" t="n">
        <v>12.420725</v>
      </c>
      <c r="J933" s="27" t="n">
        <v>122.783678</v>
      </c>
      <c r="K933" s="10" t="inlineStr">
        <is>
          <t>U</t>
        </is>
      </c>
      <c r="L933" s="12" t="n">
        <v>724</v>
      </c>
      <c r="M933" s="14" t="n">
        <v>3.9</v>
      </c>
      <c r="N933" s="12">
        <f>ROUND(L933/M933, 0)</f>
        <v/>
      </c>
      <c r="O933" s="12">
        <f>ROUND(N933*'Methodology &amp; Assumptions'!$B$5, 0)</f>
        <v/>
      </c>
      <c r="P933" s="10" t="inlineStr">
        <is>
          <t>Single Carrier (Band n50, 100MHz TDD)</t>
        </is>
      </c>
      <c r="Q933" s="13">
        <f>ROUNDUP(O933/'Methodology &amp; Assumptions'!$B$6, 0)</f>
        <v/>
      </c>
      <c r="R933" s="13" t="n">
        <v>1</v>
      </c>
      <c r="S933" s="14" t="n">
        <v>59.83</v>
      </c>
      <c r="T933" s="14" t="n">
        <v>67.58</v>
      </c>
      <c r="U933" s="26">
        <f>IF(X933&gt;='Methodology &amp; Assumptions'!$B$7, "Tier 1 Critical GIDA (Score ≥ 50.0)", IF(X933&gt;='Methodology &amp; Assumptions'!$B$8, "Tier 2 High GIDA (Score 40.0–49.9)", "Tier 3 Moderate GIDA (Score &lt; 40.0)"))</f>
        <v/>
      </c>
      <c r="V933" s="26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W933" s="28" t="n">
        <v>0.109</v>
      </c>
      <c r="X933" s="14" t="n">
        <v>48.16</v>
      </c>
      <c r="Y933" s="14">
        <f>ROUND(MIN(100, (X933/69.91)*100), 2)</f>
        <v/>
      </c>
    </row>
    <row r="934">
      <c r="A934" s="10" t="n">
        <v>3</v>
      </c>
      <c r="B934" s="10" t="n">
        <v>930</v>
      </c>
      <c r="C934" s="10" t="n">
        <v>2930</v>
      </c>
      <c r="D934" s="10" t="inlineStr">
        <is>
          <t>1380601076</t>
        </is>
      </c>
      <c r="E934" s="26" t="inlineStr">
        <is>
          <t>National Capital Region (NCR)</t>
        </is>
      </c>
      <c r="F934" s="26" t="inlineStr">
        <is>
          <t>First District (Not a Province)</t>
        </is>
      </c>
      <c r="G934" s="26" t="inlineStr">
        <is>
          <t>City of Manila</t>
        </is>
      </c>
      <c r="H934" s="26" t="inlineStr">
        <is>
          <t>Barangay 76</t>
        </is>
      </c>
      <c r="I934" s="27" t="n">
        <v>12.552719</v>
      </c>
      <c r="J934" s="27" t="n">
        <v>120.710185</v>
      </c>
      <c r="K934" s="10" t="inlineStr">
        <is>
          <t>U</t>
        </is>
      </c>
      <c r="L934" s="12" t="n">
        <v>1900</v>
      </c>
      <c r="M934" s="14" t="n">
        <v>3.9</v>
      </c>
      <c r="N934" s="12">
        <f>ROUND(L934/M934, 0)</f>
        <v/>
      </c>
      <c r="O934" s="12">
        <f>ROUND(N934*'Methodology &amp; Assumptions'!$B$5, 0)</f>
        <v/>
      </c>
      <c r="P934" s="10" t="inlineStr">
        <is>
          <t>Single Carrier (Band n50, 100MHz TDD)</t>
        </is>
      </c>
      <c r="Q934" s="13">
        <f>ROUNDUP(O934/'Methodology &amp; Assumptions'!$B$6, 0)</f>
        <v/>
      </c>
      <c r="R934" s="13" t="n">
        <v>1</v>
      </c>
      <c r="S934" s="14" t="n">
        <v>44.56</v>
      </c>
      <c r="T934" s="14" t="n">
        <v>42.84</v>
      </c>
      <c r="U934" s="26">
        <f>IF(X934&gt;='Methodology &amp; Assumptions'!$B$7, "Tier 1 Critical GIDA (Score ≥ 50.0)", IF(X934&gt;='Methodology &amp; Assumptions'!$B$8, "Tier 2 High GIDA (Score 40.0–49.9)", "Tier 3 Moderate GIDA (Score &lt; 40.0)"))</f>
        <v/>
      </c>
      <c r="V934" s="26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W934" s="28" t="n">
        <v>0.109</v>
      </c>
      <c r="X934" s="14" t="n">
        <v>48.16</v>
      </c>
      <c r="Y934" s="14">
        <f>ROUND(MIN(100, (X934/69.91)*100), 2)</f>
        <v/>
      </c>
    </row>
    <row r="935">
      <c r="A935" s="10" t="n">
        <v>3</v>
      </c>
      <c r="B935" s="10" t="n">
        <v>931</v>
      </c>
      <c r="C935" s="10" t="n">
        <v>2931</v>
      </c>
      <c r="D935" s="10" t="inlineStr">
        <is>
          <t>1381300099</t>
        </is>
      </c>
      <c r="E935" s="26" t="inlineStr">
        <is>
          <t>National Capital Region (NCR)</t>
        </is>
      </c>
      <c r="F935" s="26" t="inlineStr">
        <is>
          <t>Second District (Not a Province)</t>
        </is>
      </c>
      <c r="G935" s="26" t="inlineStr">
        <is>
          <t>Quezon City</t>
        </is>
      </c>
      <c r="H935" s="26" t="inlineStr">
        <is>
          <t>San Isidro Labrador</t>
        </is>
      </c>
      <c r="I935" s="27" t="n">
        <v>14.669187</v>
      </c>
      <c r="J935" s="27" t="n">
        <v>121.063862</v>
      </c>
      <c r="K935" s="10" t="inlineStr">
        <is>
          <t>U</t>
        </is>
      </c>
      <c r="L935" s="12" t="n">
        <v>6509</v>
      </c>
      <c r="M935" s="14" t="n">
        <v>3.8</v>
      </c>
      <c r="N935" s="12">
        <f>ROUND(L935/M935, 0)</f>
        <v/>
      </c>
      <c r="O935" s="12">
        <f>ROUND(N935*'Methodology &amp; Assumptions'!$B$5, 0)</f>
        <v/>
      </c>
      <c r="P935" s="10" t="inlineStr">
        <is>
          <t>Single Carrier (Band n50, 100MHz TDD)</t>
        </is>
      </c>
      <c r="Q935" s="13">
        <f>ROUNDUP(O935/'Methodology &amp; Assumptions'!$B$6, 0)</f>
        <v/>
      </c>
      <c r="R935" s="13" t="n">
        <v>1</v>
      </c>
      <c r="S935" s="14" t="n">
        <v>1.09</v>
      </c>
      <c r="T935" s="14" t="n">
        <v>0.35</v>
      </c>
      <c r="U935" s="26">
        <f>IF(X935&gt;='Methodology &amp; Assumptions'!$B$7, "Tier 1 Critical GIDA (Score ≥ 50.0)", IF(X935&gt;='Methodology &amp; Assumptions'!$B$8, "Tier 2 High GIDA (Score 40.0–49.9)", "Tier 3 Moderate GIDA (Score &lt; 40.0)"))</f>
        <v/>
      </c>
      <c r="V935" s="26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W935" s="28" t="n">
        <v>0.109</v>
      </c>
      <c r="X935" s="14" t="n">
        <v>48.16</v>
      </c>
      <c r="Y935" s="14">
        <f>ROUND(MIN(100, (X935/69.91)*100), 2)</f>
        <v/>
      </c>
    </row>
    <row r="936">
      <c r="A936" s="10" t="n">
        <v>3</v>
      </c>
      <c r="B936" s="10" t="n">
        <v>932</v>
      </c>
      <c r="C936" s="10" t="n">
        <v>2932</v>
      </c>
      <c r="D936" s="10" t="inlineStr">
        <is>
          <t>1380606131</t>
        </is>
      </c>
      <c r="E936" s="26" t="inlineStr">
        <is>
          <t>National Capital Region (NCR)</t>
        </is>
      </c>
      <c r="F936" s="26" t="inlineStr">
        <is>
          <t>First District (Not a Province)</t>
        </is>
      </c>
      <c r="G936" s="26" t="inlineStr">
        <is>
          <t>City of Manila</t>
        </is>
      </c>
      <c r="H936" s="26" t="inlineStr">
        <is>
          <t>Barangay 525</t>
        </is>
      </c>
      <c r="I936" s="27" t="n">
        <v>13.822565</v>
      </c>
      <c r="J936" s="27" t="n">
        <v>122.332413</v>
      </c>
      <c r="K936" s="10" t="inlineStr">
        <is>
          <t>U</t>
        </is>
      </c>
      <c r="L936" s="12" t="n">
        <v>1838</v>
      </c>
      <c r="M936" s="14" t="n">
        <v>3.9</v>
      </c>
      <c r="N936" s="12">
        <f>ROUND(L936/M936, 0)</f>
        <v/>
      </c>
      <c r="O936" s="12">
        <f>ROUND(N936*'Methodology &amp; Assumptions'!$B$5, 0)</f>
        <v/>
      </c>
      <c r="P936" s="10" t="inlineStr">
        <is>
          <t>Single Carrier (Band n50, 100MHz TDD)</t>
        </is>
      </c>
      <c r="Q936" s="13">
        <f>ROUNDUP(O936/'Methodology &amp; Assumptions'!$B$6, 0)</f>
        <v/>
      </c>
      <c r="R936" s="13" t="n">
        <v>1</v>
      </c>
      <c r="S936" s="14" t="n">
        <v>10.45</v>
      </c>
      <c r="T936" s="14" t="n">
        <v>1.91</v>
      </c>
      <c r="U936" s="26">
        <f>IF(X936&gt;='Methodology &amp; Assumptions'!$B$7, "Tier 1 Critical GIDA (Score ≥ 50.0)", IF(X936&gt;='Methodology &amp; Assumptions'!$B$8, "Tier 2 High GIDA (Score 40.0–49.9)", "Tier 3 Moderate GIDA (Score &lt; 40.0)"))</f>
        <v/>
      </c>
      <c r="V936" s="26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W936" s="28" t="n">
        <v>0.109</v>
      </c>
      <c r="X936" s="14" t="n">
        <v>48.16</v>
      </c>
      <c r="Y936" s="14">
        <f>ROUND(MIN(100, (X936/69.91)*100), 2)</f>
        <v/>
      </c>
    </row>
    <row r="937">
      <c r="A937" s="10" t="n">
        <v>3</v>
      </c>
      <c r="B937" s="10" t="n">
        <v>933</v>
      </c>
      <c r="C937" s="10" t="n">
        <v>2933</v>
      </c>
      <c r="D937" s="10" t="inlineStr">
        <is>
          <t>1380300014</t>
        </is>
      </c>
      <c r="E937" s="26" t="inlineStr">
        <is>
          <t>National Capital Region (NCR)</t>
        </is>
      </c>
      <c r="F937" s="26" t="inlineStr">
        <is>
          <t>Fourth District (Not a Province)</t>
        </is>
      </c>
      <c r="G937" s="26" t="inlineStr">
        <is>
          <t>City of Makati</t>
        </is>
      </c>
      <c r="H937" s="26" t="inlineStr">
        <is>
          <t>Olympia</t>
        </is>
      </c>
      <c r="I937" s="27" t="n">
        <v>14.572868</v>
      </c>
      <c r="J937" s="27" t="n">
        <v>121.021805</v>
      </c>
      <c r="K937" s="10" t="inlineStr">
        <is>
          <t>U</t>
        </is>
      </c>
      <c r="L937" s="12" t="n">
        <v>9178</v>
      </c>
      <c r="M937" s="14" t="n">
        <v>3.5</v>
      </c>
      <c r="N937" s="12">
        <f>ROUND(L937/M937, 0)</f>
        <v/>
      </c>
      <c r="O937" s="12">
        <f>ROUND(N937*'Methodology &amp; Assumptions'!$B$5, 0)</f>
        <v/>
      </c>
      <c r="P937" s="10" t="inlineStr">
        <is>
          <t>Single Carrier (Band n50, 100MHz TDD)</t>
        </is>
      </c>
      <c r="Q937" s="13">
        <f>ROUNDUP(O937/'Methodology &amp; Assumptions'!$B$6, 0)</f>
        <v/>
      </c>
      <c r="R937" s="13" t="n">
        <v>1</v>
      </c>
      <c r="S937" s="14" t="n">
        <v>1.03</v>
      </c>
      <c r="T937" s="14" t="n">
        <v>0.09</v>
      </c>
      <c r="U937" s="26">
        <f>IF(X937&gt;='Methodology &amp; Assumptions'!$B$7, "Tier 1 Critical GIDA (Score ≥ 50.0)", IF(X937&gt;='Methodology &amp; Assumptions'!$B$8, "Tier 2 High GIDA (Score 40.0–49.9)", "Tier 3 Moderate GIDA (Score &lt; 40.0)"))</f>
        <v/>
      </c>
      <c r="V937" s="26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W937" s="28" t="n">
        <v>0.109</v>
      </c>
      <c r="X937" s="14" t="n">
        <v>48.16</v>
      </c>
      <c r="Y937" s="14">
        <f>ROUND(MIN(100, (X937/69.91)*100), 2)</f>
        <v/>
      </c>
    </row>
    <row r="938">
      <c r="A938" s="10" t="n">
        <v>3</v>
      </c>
      <c r="B938" s="10" t="n">
        <v>934</v>
      </c>
      <c r="C938" s="10" t="n">
        <v>2934</v>
      </c>
      <c r="D938" s="10" t="inlineStr">
        <is>
          <t>PH0002934</t>
        </is>
      </c>
      <c r="E938" s="26" t="inlineStr">
        <is>
          <t>NCR</t>
        </is>
      </c>
      <c r="F938" s="26" t="inlineStr">
        <is>
          <t>Metro Manila</t>
        </is>
      </c>
      <c r="G938" s="26" t="inlineStr">
        <is>
          <t>Caloocan City</t>
        </is>
      </c>
      <c r="H938" s="26" t="inlineStr">
        <is>
          <t>Barangay 156</t>
        </is>
      </c>
      <c r="I938" s="27" t="n">
        <v>13.259991</v>
      </c>
      <c r="J938" s="27" t="n">
        <v>120.318105</v>
      </c>
      <c r="K938" s="10" t="inlineStr">
        <is>
          <t>R</t>
        </is>
      </c>
      <c r="L938" s="12" t="n">
        <v>2279</v>
      </c>
      <c r="M938" s="14" t="n">
        <v>3.8</v>
      </c>
      <c r="N938" s="12">
        <f>ROUND(L938/M938, 0)</f>
        <v/>
      </c>
      <c r="O938" s="12">
        <f>ROUND(N938*'Methodology &amp; Assumptions'!$B$5, 0)</f>
        <v/>
      </c>
      <c r="P938" s="10" t="inlineStr">
        <is>
          <t>Single Carrier (Band n50, 100MHz TDD)</t>
        </is>
      </c>
      <c r="Q938" s="13">
        <f>ROUNDUP(O938/'Methodology &amp; Assumptions'!$B$6, 0)</f>
        <v/>
      </c>
      <c r="R938" s="13" t="n">
        <v>1</v>
      </c>
      <c r="S938" s="14" t="n">
        <v>69.09</v>
      </c>
      <c r="T938" s="14" t="n">
        <v>67.48999999999999</v>
      </c>
      <c r="U938" s="26">
        <f>IF(X938&gt;='Methodology &amp; Assumptions'!$B$7, "Tier 1 Critical GIDA (Score ≥ 50.0)", IF(X938&gt;='Methodology &amp; Assumptions'!$B$8, "Tier 2 High GIDA (Score 40.0–49.9)", "Tier 3 Moderate GIDA (Score &lt; 40.0)"))</f>
        <v/>
      </c>
      <c r="V938" s="26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W938" s="28" t="n">
        <v>0.011</v>
      </c>
      <c r="X938" s="14" t="n">
        <v>48.15</v>
      </c>
      <c r="Y938" s="14">
        <f>ROUND(MIN(100, (X938/69.91)*100), 2)</f>
        <v/>
      </c>
    </row>
    <row r="939">
      <c r="A939" s="10" t="n">
        <v>3</v>
      </c>
      <c r="B939" s="10" t="n">
        <v>935</v>
      </c>
      <c r="C939" s="10" t="n">
        <v>2935</v>
      </c>
      <c r="D939" s="10" t="inlineStr">
        <is>
          <t>0802604046</t>
        </is>
      </c>
      <c r="E939" s="26" t="inlineStr">
        <is>
          <t>Region VIII (Eastern Visayas)</t>
        </is>
      </c>
      <c r="F939" s="26" t="inlineStr">
        <is>
          <t>Eastern Samar</t>
        </is>
      </c>
      <c r="G939" s="26" t="inlineStr">
        <is>
          <t>City of Borongan</t>
        </is>
      </c>
      <c r="H939" s="26" t="inlineStr">
        <is>
          <t>San Andres</t>
        </is>
      </c>
      <c r="I939" s="27" t="n">
        <v>11.640534</v>
      </c>
      <c r="J939" s="27" t="n">
        <v>125.382986</v>
      </c>
      <c r="K939" s="10" t="inlineStr">
        <is>
          <t>R</t>
        </is>
      </c>
      <c r="L939" s="12" t="n">
        <v>382</v>
      </c>
      <c r="M939" s="14" t="n">
        <v>3.9</v>
      </c>
      <c r="N939" s="12">
        <f>ROUND(L939/M939, 0)</f>
        <v/>
      </c>
      <c r="O939" s="12">
        <f>ROUND(N939*'Methodology &amp; Assumptions'!$B$5, 0)</f>
        <v/>
      </c>
      <c r="P939" s="10" t="inlineStr">
        <is>
          <t>Single Carrier (Band n50, 100MHz TDD)</t>
        </is>
      </c>
      <c r="Q939" s="13">
        <f>ROUNDUP(O939/'Methodology &amp; Assumptions'!$B$6, 0)</f>
        <v/>
      </c>
      <c r="R939" s="13" t="n">
        <v>1</v>
      </c>
      <c r="S939" s="14" t="n">
        <v>60.89</v>
      </c>
      <c r="T939" s="14" t="n">
        <v>62.45</v>
      </c>
      <c r="U939" s="26">
        <f>IF(X939&gt;='Methodology &amp; Assumptions'!$B$7, "Tier 1 Critical GIDA (Score ≥ 50.0)", IF(X939&gt;='Methodology &amp; Assumptions'!$B$8, "Tier 2 High GIDA (Score 40.0–49.9)", "Tier 3 Moderate GIDA (Score &lt; 40.0)"))</f>
        <v/>
      </c>
      <c r="V939" s="26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W939" s="28" t="n">
        <v>0.237</v>
      </c>
      <c r="X939" s="14" t="n">
        <v>48.15</v>
      </c>
      <c r="Y939" s="14">
        <f>ROUND(MIN(100, (X939/69.91)*100), 2)</f>
        <v/>
      </c>
    </row>
    <row r="940">
      <c r="A940" s="10" t="n">
        <v>3</v>
      </c>
      <c r="B940" s="10" t="n">
        <v>936</v>
      </c>
      <c r="C940" s="10" t="n">
        <v>2936</v>
      </c>
      <c r="D940" s="10" t="inlineStr">
        <is>
          <t>1380606122</t>
        </is>
      </c>
      <c r="E940" s="26" t="inlineStr">
        <is>
          <t>National Capital Region (NCR)</t>
        </is>
      </c>
      <c r="F940" s="26" t="inlineStr">
        <is>
          <t>First District (Not a Province)</t>
        </is>
      </c>
      <c r="G940" s="26" t="inlineStr">
        <is>
          <t>City of Manila</t>
        </is>
      </c>
      <c r="H940" s="26" t="inlineStr">
        <is>
          <t>Barangay 516</t>
        </is>
      </c>
      <c r="I940" s="27" t="n">
        <v>11.815463</v>
      </c>
      <c r="J940" s="27" t="n">
        <v>122.016025</v>
      </c>
      <c r="K940" s="10" t="inlineStr">
        <is>
          <t>U</t>
        </is>
      </c>
      <c r="L940" s="12" t="n">
        <v>1120</v>
      </c>
      <c r="M940" s="14" t="n">
        <v>3.9</v>
      </c>
      <c r="N940" s="12">
        <f>ROUND(L940/M940, 0)</f>
        <v/>
      </c>
      <c r="O940" s="12">
        <f>ROUND(N940*'Methodology &amp; Assumptions'!$B$5, 0)</f>
        <v/>
      </c>
      <c r="P940" s="10" t="inlineStr">
        <is>
          <t>Single Carrier (Band n50, 100MHz TDD)</t>
        </is>
      </c>
      <c r="Q940" s="13">
        <f>ROUNDUP(O940/'Methodology &amp; Assumptions'!$B$6, 0)</f>
        <v/>
      </c>
      <c r="R940" s="13" t="n">
        <v>1</v>
      </c>
      <c r="S940" s="14" t="n">
        <v>16.63</v>
      </c>
      <c r="T940" s="14" t="n">
        <v>5.2</v>
      </c>
      <c r="U940" s="26">
        <f>IF(X940&gt;='Methodology &amp; Assumptions'!$B$7, "Tier 1 Critical GIDA (Score ≥ 50.0)", IF(X940&gt;='Methodology &amp; Assumptions'!$B$8, "Tier 2 High GIDA (Score 40.0–49.9)", "Tier 3 Moderate GIDA (Score &lt; 40.0)"))</f>
        <v/>
      </c>
      <c r="V940" s="26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W940" s="28" t="n">
        <v>0.109</v>
      </c>
      <c r="X940" s="14" t="n">
        <v>48.15</v>
      </c>
      <c r="Y940" s="14">
        <f>ROUND(MIN(100, (X940/69.91)*100), 2)</f>
        <v/>
      </c>
    </row>
    <row r="941">
      <c r="A941" s="10" t="n">
        <v>3</v>
      </c>
      <c r="B941" s="10" t="n">
        <v>937</v>
      </c>
      <c r="C941" s="10" t="n">
        <v>2937</v>
      </c>
      <c r="D941" s="10" t="inlineStr">
        <is>
          <t>1380606046</t>
        </is>
      </c>
      <c r="E941" s="26" t="inlineStr">
        <is>
          <t>National Capital Region (NCR)</t>
        </is>
      </c>
      <c r="F941" s="26" t="inlineStr">
        <is>
          <t>First District (Not a Province)</t>
        </is>
      </c>
      <c r="G941" s="26" t="inlineStr">
        <is>
          <t>City of Manila</t>
        </is>
      </c>
      <c r="H941" s="26" t="inlineStr">
        <is>
          <t>Barangay 440</t>
        </is>
      </c>
      <c r="I941" s="27" t="n">
        <v>13.505716</v>
      </c>
      <c r="J941" s="27" t="n">
        <v>120.856882</v>
      </c>
      <c r="K941" s="10" t="inlineStr">
        <is>
          <t>U</t>
        </is>
      </c>
      <c r="L941" s="12" t="n">
        <v>1034</v>
      </c>
      <c r="M941" s="14" t="n">
        <v>3.9</v>
      </c>
      <c r="N941" s="12">
        <f>ROUND(L941/M941, 0)</f>
        <v/>
      </c>
      <c r="O941" s="12">
        <f>ROUND(N941*'Methodology &amp; Assumptions'!$B$5, 0)</f>
        <v/>
      </c>
      <c r="P941" s="10" t="inlineStr">
        <is>
          <t>Single Carrier (Band n50, 100MHz TDD)</t>
        </is>
      </c>
      <c r="Q941" s="13">
        <f>ROUNDUP(O941/'Methodology &amp; Assumptions'!$B$6, 0)</f>
        <v/>
      </c>
      <c r="R941" s="13" t="n">
        <v>1</v>
      </c>
      <c r="S941" s="14" t="n">
        <v>5.32</v>
      </c>
      <c r="T941" s="14" t="n">
        <v>3.9</v>
      </c>
      <c r="U941" s="26">
        <f>IF(X941&gt;='Methodology &amp; Assumptions'!$B$7, "Tier 1 Critical GIDA (Score ≥ 50.0)", IF(X941&gt;='Methodology &amp; Assumptions'!$B$8, "Tier 2 High GIDA (Score 40.0–49.9)", "Tier 3 Moderate GIDA (Score &lt; 40.0)"))</f>
        <v/>
      </c>
      <c r="V941" s="26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W941" s="28" t="n">
        <v>0.109</v>
      </c>
      <c r="X941" s="14" t="n">
        <v>48.15</v>
      </c>
      <c r="Y941" s="14">
        <f>ROUND(MIN(100, (X941/69.91)*100), 2)</f>
        <v/>
      </c>
    </row>
    <row r="942">
      <c r="A942" s="10" t="n">
        <v>3</v>
      </c>
      <c r="B942" s="10" t="n">
        <v>938</v>
      </c>
      <c r="C942" s="10" t="n">
        <v>2938</v>
      </c>
      <c r="D942" s="10" t="inlineStr">
        <is>
          <t>1906607002</t>
        </is>
      </c>
      <c r="E942" s="26" t="inlineStr">
        <is>
          <t>Bangsamoro Autonomous Region In Muslim Mindanao (BARMM)</t>
        </is>
      </c>
      <c r="F942" s="26" t="inlineStr">
        <is>
          <t>Sulu</t>
        </is>
      </c>
      <c r="G942" s="26" t="inlineStr">
        <is>
          <t>Old Panamao</t>
        </is>
      </c>
      <c r="H942" s="26" t="inlineStr">
        <is>
          <t>Bakud</t>
        </is>
      </c>
      <c r="I942" s="27" t="n">
        <v>17.256123</v>
      </c>
      <c r="J942" s="27" t="n">
        <v>122.223048</v>
      </c>
      <c r="K942" s="10" t="inlineStr">
        <is>
          <t>R</t>
        </is>
      </c>
      <c r="L942" s="12" t="n">
        <v>1483</v>
      </c>
      <c r="M942" s="14" t="n">
        <v>6</v>
      </c>
      <c r="N942" s="12">
        <f>ROUND(L942/M942, 0)</f>
        <v/>
      </c>
      <c r="O942" s="12">
        <f>ROUND(N942*'Methodology &amp; Assumptions'!$B$5, 0)</f>
        <v/>
      </c>
      <c r="P942" s="10" t="inlineStr">
        <is>
          <t>Single Carrier (Band n50, 100MHz TDD)</t>
        </is>
      </c>
      <c r="Q942" s="13">
        <f>ROUNDUP(O942/'Methodology &amp; Assumptions'!$B$6, 0)</f>
        <v/>
      </c>
      <c r="R942" s="13" t="n">
        <v>1</v>
      </c>
      <c r="S942" s="14" t="n">
        <v>29.03</v>
      </c>
      <c r="T942" s="14" t="n">
        <v>33.75</v>
      </c>
      <c r="U942" s="26">
        <f>IF(X942&gt;='Methodology &amp; Assumptions'!$B$7, "Tier 1 Critical GIDA (Score ≥ 50.0)", IF(X942&gt;='Methodology &amp; Assumptions'!$B$8, "Tier 2 High GIDA (Score 40.0–49.9)", "Tier 3 Moderate GIDA (Score &lt; 40.0)"))</f>
        <v/>
      </c>
      <c r="V942" s="26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W942" s="28" t="n">
        <v>0.11</v>
      </c>
      <c r="X942" s="14" t="n">
        <v>48.15</v>
      </c>
      <c r="Y942" s="14">
        <f>ROUND(MIN(100, (X942/69.91)*100), 2)</f>
        <v/>
      </c>
    </row>
    <row r="943">
      <c r="A943" s="10" t="n">
        <v>3</v>
      </c>
      <c r="B943" s="10" t="n">
        <v>939</v>
      </c>
      <c r="C943" s="10" t="n">
        <v>2939</v>
      </c>
      <c r="D943" s="10" t="inlineStr">
        <is>
          <t>1381300098</t>
        </is>
      </c>
      <c r="E943" s="26" t="inlineStr">
        <is>
          <t>National Capital Region (NCR)</t>
        </is>
      </c>
      <c r="F943" s="26" t="inlineStr">
        <is>
          <t>Second District (Not a Province)</t>
        </is>
      </c>
      <c r="G943" s="26" t="inlineStr">
        <is>
          <t>Quezon City</t>
        </is>
      </c>
      <c r="H943" s="26" t="inlineStr">
        <is>
          <t>San Isidro</t>
        </is>
      </c>
      <c r="I943" s="27" t="n">
        <v>14.646497</v>
      </c>
      <c r="J943" s="27" t="n">
        <v>121.035447</v>
      </c>
      <c r="K943" s="10" t="inlineStr">
        <is>
          <t>U</t>
        </is>
      </c>
      <c r="L943" s="12" t="n">
        <v>6825</v>
      </c>
      <c r="M943" s="14" t="n">
        <v>3.8</v>
      </c>
      <c r="N943" s="12">
        <f>ROUND(L943/M943, 0)</f>
        <v/>
      </c>
      <c r="O943" s="12">
        <f>ROUND(N943*'Methodology &amp; Assumptions'!$B$5, 0)</f>
        <v/>
      </c>
      <c r="P943" s="10" t="inlineStr">
        <is>
          <t>Single Carrier (Band n50, 100MHz TDD)</t>
        </is>
      </c>
      <c r="Q943" s="13">
        <f>ROUNDUP(O943/'Methodology &amp; Assumptions'!$B$6, 0)</f>
        <v/>
      </c>
      <c r="R943" s="13" t="n">
        <v>1</v>
      </c>
      <c r="S943" s="14" t="n">
        <v>0.58</v>
      </c>
      <c r="T943" s="14" t="n">
        <v>0.36</v>
      </c>
      <c r="U943" s="26">
        <f>IF(X943&gt;='Methodology &amp; Assumptions'!$B$7, "Tier 1 Critical GIDA (Score ≥ 50.0)", IF(X943&gt;='Methodology &amp; Assumptions'!$B$8, "Tier 2 High GIDA (Score 40.0–49.9)", "Tier 3 Moderate GIDA (Score &lt; 40.0)"))</f>
        <v/>
      </c>
      <c r="V943" s="26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W943" s="28" t="n">
        <v>0.109</v>
      </c>
      <c r="X943" s="14" t="n">
        <v>48.14</v>
      </c>
      <c r="Y943" s="14">
        <f>ROUND(MIN(100, (X943/69.91)*100), 2)</f>
        <v/>
      </c>
    </row>
    <row r="944">
      <c r="A944" s="10" t="n">
        <v>3</v>
      </c>
      <c r="B944" s="10" t="n">
        <v>940</v>
      </c>
      <c r="C944" s="10" t="n">
        <v>2940</v>
      </c>
      <c r="D944" s="10" t="inlineStr">
        <is>
          <t>1908706009</t>
        </is>
      </c>
      <c r="E944" s="26" t="inlineStr">
        <is>
          <t>Bangsamoro Autonomous Region In Muslim Mindanao (BARMM)</t>
        </is>
      </c>
      <c r="F944" s="26" t="inlineStr">
        <is>
          <t>Maguindanao del Norte</t>
        </is>
      </c>
      <c r="G944" s="26" t="inlineStr">
        <is>
          <t>Kabuntalan</t>
        </is>
      </c>
      <c r="H944" s="26" t="inlineStr">
        <is>
          <t>Lower Taviran</t>
        </is>
      </c>
      <c r="I944" s="27" t="n">
        <v>17.254103</v>
      </c>
      <c r="J944" s="27" t="n">
        <v>122.228147</v>
      </c>
      <c r="K944" s="10" t="inlineStr">
        <is>
          <t>R</t>
        </is>
      </c>
      <c r="L944" s="12" t="n">
        <v>4891</v>
      </c>
      <c r="M944" s="14" t="n">
        <v>4.3</v>
      </c>
      <c r="N944" s="12">
        <f>ROUND(L944/M944, 0)</f>
        <v/>
      </c>
      <c r="O944" s="12">
        <f>ROUND(N944*'Methodology &amp; Assumptions'!$B$5, 0)</f>
        <v/>
      </c>
      <c r="P944" s="10" t="inlineStr">
        <is>
          <t>Single Carrier (Band n50, 100MHz TDD)</t>
        </is>
      </c>
      <c r="Q944" s="13">
        <f>ROUNDUP(O944/'Methodology &amp; Assumptions'!$B$6, 0)</f>
        <v/>
      </c>
      <c r="R944" s="13" t="n">
        <v>1</v>
      </c>
      <c r="S944" s="14" t="n">
        <v>29.3</v>
      </c>
      <c r="T944" s="14" t="n">
        <v>34.2</v>
      </c>
      <c r="U944" s="26">
        <f>IF(X944&gt;='Methodology &amp; Assumptions'!$B$7, "Tier 1 Critical GIDA (Score ≥ 50.0)", IF(X944&gt;='Methodology &amp; Assumptions'!$B$8, "Tier 2 High GIDA (Score 40.0–49.9)", "Tier 3 Moderate GIDA (Score &lt; 40.0)"))</f>
        <v/>
      </c>
      <c r="V944" s="26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W944" s="28" t="n">
        <v>0.11</v>
      </c>
      <c r="X944" s="14" t="n">
        <v>48.14</v>
      </c>
      <c r="Y944" s="14">
        <f>ROUND(MIN(100, (X944/69.91)*100), 2)</f>
        <v/>
      </c>
    </row>
    <row r="945">
      <c r="A945" s="10" t="n">
        <v>3</v>
      </c>
      <c r="B945" s="10" t="n">
        <v>941</v>
      </c>
      <c r="C945" s="10" t="n">
        <v>2941</v>
      </c>
      <c r="D945" s="10" t="inlineStr">
        <is>
          <t>1381300136</t>
        </is>
      </c>
      <c r="E945" s="26" t="inlineStr">
        <is>
          <t>National Capital Region (NCR)</t>
        </is>
      </c>
      <c r="F945" s="26" t="inlineStr">
        <is>
          <t>Second District (Not a Province)</t>
        </is>
      </c>
      <c r="G945" s="26" t="inlineStr">
        <is>
          <t>Quezon City</t>
        </is>
      </c>
      <c r="H945" s="26" t="inlineStr">
        <is>
          <t>Capri</t>
        </is>
      </c>
      <c r="I945" s="27" t="n">
        <v>14.684284</v>
      </c>
      <c r="J945" s="27" t="n">
        <v>121.040947</v>
      </c>
      <c r="K945" s="10" t="inlineStr">
        <is>
          <t>U</t>
        </is>
      </c>
      <c r="L945" s="12" t="n">
        <v>13444</v>
      </c>
      <c r="M945" s="14" t="n">
        <v>3.8</v>
      </c>
      <c r="N945" s="12">
        <f>ROUND(L945/M945, 0)</f>
        <v/>
      </c>
      <c r="O945" s="12">
        <f>ROUND(N945*'Methodology &amp; Assumptions'!$B$5, 0)</f>
        <v/>
      </c>
      <c r="P945" s="10" t="inlineStr">
        <is>
          <t>Single Carrier (Band n50, 100MHz TDD)</t>
        </is>
      </c>
      <c r="Q945" s="13">
        <f>ROUNDUP(O945/'Methodology &amp; Assumptions'!$B$6, 0)</f>
        <v/>
      </c>
      <c r="R945" s="13" t="n">
        <v>1</v>
      </c>
      <c r="S945" s="14" t="n">
        <v>1</v>
      </c>
      <c r="T945" s="14" t="n">
        <v>0.84</v>
      </c>
      <c r="U945" s="26">
        <f>IF(X945&gt;='Methodology &amp; Assumptions'!$B$7, "Tier 1 Critical GIDA (Score ≥ 50.0)", IF(X945&gt;='Methodology &amp; Assumptions'!$B$8, "Tier 2 High GIDA (Score 40.0–49.9)", "Tier 3 Moderate GIDA (Score &lt; 40.0)"))</f>
        <v/>
      </c>
      <c r="V945" s="26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W945" s="28" t="n">
        <v>0.109</v>
      </c>
      <c r="X945" s="14" t="n">
        <v>48.13</v>
      </c>
      <c r="Y945" s="14">
        <f>ROUND(MIN(100, (X945/69.91)*100), 2)</f>
        <v/>
      </c>
    </row>
    <row r="946">
      <c r="A946" s="10" t="n">
        <v>3</v>
      </c>
      <c r="B946" s="10" t="n">
        <v>942</v>
      </c>
      <c r="C946" s="10" t="n">
        <v>2942</v>
      </c>
      <c r="D946" s="10" t="inlineStr">
        <is>
          <t>0102934008</t>
        </is>
      </c>
      <c r="E946" s="26" t="inlineStr">
        <is>
          <t>Region I (Ilocos Region)</t>
        </is>
      </c>
      <c r="F946" s="26" t="inlineStr">
        <is>
          <t>Ilocos Sur</t>
        </is>
      </c>
      <c r="G946" s="26" t="inlineStr">
        <is>
          <t>City of Vigan</t>
        </is>
      </c>
      <c r="H946" s="26" t="inlineStr">
        <is>
          <t>Barangay VI</t>
        </is>
      </c>
      <c r="I946" s="27" t="n">
        <v>17.574015</v>
      </c>
      <c r="J946" s="27" t="n">
        <v>120.379111</v>
      </c>
      <c r="K946" s="10" t="inlineStr">
        <is>
          <t>R</t>
        </is>
      </c>
      <c r="L946" s="12" t="n">
        <v>1370</v>
      </c>
      <c r="M946" s="14" t="n">
        <v>3.8</v>
      </c>
      <c r="N946" s="12">
        <f>ROUND(L946/M946, 0)</f>
        <v/>
      </c>
      <c r="O946" s="12">
        <f>ROUND(N946*'Methodology &amp; Assumptions'!$B$5, 0)</f>
        <v/>
      </c>
      <c r="P946" s="10" t="inlineStr">
        <is>
          <t>Single Carrier (Band n50, 100MHz TDD)</t>
        </is>
      </c>
      <c r="Q946" s="13">
        <f>ROUNDUP(O946/'Methodology &amp; Assumptions'!$B$6, 0)</f>
        <v/>
      </c>
      <c r="R946" s="13" t="n">
        <v>1</v>
      </c>
      <c r="S946" s="14" t="n">
        <v>2.48</v>
      </c>
      <c r="T946" s="14" t="n">
        <v>1.5</v>
      </c>
      <c r="U946" s="26">
        <f>IF(X946&gt;='Methodology &amp; Assumptions'!$B$7, "Tier 1 Critical GIDA (Score ≥ 50.0)", IF(X946&gt;='Methodology &amp; Assumptions'!$B$8, "Tier 2 High GIDA (Score 40.0–49.9)", "Tier 3 Moderate GIDA (Score &lt; 40.0)"))</f>
        <v/>
      </c>
      <c r="V946" s="26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W946" s="28" t="n">
        <v>0.083</v>
      </c>
      <c r="X946" s="14" t="n">
        <v>48.13</v>
      </c>
      <c r="Y946" s="14">
        <f>ROUND(MIN(100, (X946/69.91)*100), 2)</f>
        <v/>
      </c>
    </row>
    <row r="947">
      <c r="A947" s="10" t="n">
        <v>3</v>
      </c>
      <c r="B947" s="10" t="n">
        <v>943</v>
      </c>
      <c r="C947" s="10" t="n">
        <v>2943</v>
      </c>
      <c r="D947" s="10" t="inlineStr">
        <is>
          <t>1380611026</t>
        </is>
      </c>
      <c r="E947" s="26" t="inlineStr">
        <is>
          <t>National Capital Region (NCR)</t>
        </is>
      </c>
      <c r="F947" s="26" t="inlineStr">
        <is>
          <t>First District (Not a Province)</t>
        </is>
      </c>
      <c r="G947" s="26" t="inlineStr">
        <is>
          <t>City of Manila</t>
        </is>
      </c>
      <c r="H947" s="26" t="inlineStr">
        <is>
          <t>Barangay 812</t>
        </is>
      </c>
      <c r="I947" s="27" t="n">
        <v>13.022336</v>
      </c>
      <c r="J947" s="27" t="n">
        <v>122.885389</v>
      </c>
      <c r="K947" s="10" t="inlineStr">
        <is>
          <t>U</t>
        </is>
      </c>
      <c r="L947" s="12" t="n">
        <v>1755</v>
      </c>
      <c r="M947" s="14" t="n">
        <v>3.9</v>
      </c>
      <c r="N947" s="12">
        <f>ROUND(L947/M947, 0)</f>
        <v/>
      </c>
      <c r="O947" s="12">
        <f>ROUND(N947*'Methodology &amp; Assumptions'!$B$5, 0)</f>
        <v/>
      </c>
      <c r="P947" s="10" t="inlineStr">
        <is>
          <t>Single Carrier (Band n50, 100MHz TDD)</t>
        </is>
      </c>
      <c r="Q947" s="13">
        <f>ROUNDUP(O947/'Methodology &amp; Assumptions'!$B$6, 0)</f>
        <v/>
      </c>
      <c r="R947" s="13" t="n">
        <v>1</v>
      </c>
      <c r="S947" s="14" t="n">
        <v>30.23</v>
      </c>
      <c r="T947" s="14" t="n">
        <v>55.87</v>
      </c>
      <c r="U947" s="26">
        <f>IF(X947&gt;='Methodology &amp; Assumptions'!$B$7, "Tier 1 Critical GIDA (Score ≥ 50.0)", IF(X947&gt;='Methodology &amp; Assumptions'!$B$8, "Tier 2 High GIDA (Score 40.0–49.9)", "Tier 3 Moderate GIDA (Score &lt; 40.0)"))</f>
        <v/>
      </c>
      <c r="V947" s="26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W947" s="28" t="n">
        <v>0.109</v>
      </c>
      <c r="X947" s="14" t="n">
        <v>48.13</v>
      </c>
      <c r="Y947" s="14">
        <f>ROUND(MIN(100, (X947/69.91)*100), 2)</f>
        <v/>
      </c>
    </row>
    <row r="948">
      <c r="A948" s="10" t="n">
        <v>3</v>
      </c>
      <c r="B948" s="10" t="n">
        <v>944</v>
      </c>
      <c r="C948" s="10" t="n">
        <v>2944</v>
      </c>
      <c r="D948" s="10" t="inlineStr">
        <is>
          <t>1380601249</t>
        </is>
      </c>
      <c r="E948" s="26" t="inlineStr">
        <is>
          <t>National Capital Region (NCR)</t>
        </is>
      </c>
      <c r="F948" s="26" t="inlineStr">
        <is>
          <t>First District (Not a Province)</t>
        </is>
      </c>
      <c r="G948" s="26" t="inlineStr">
        <is>
          <t>City of Manila</t>
        </is>
      </c>
      <c r="H948" s="26" t="inlineStr">
        <is>
          <t>Barangay 248</t>
        </is>
      </c>
      <c r="I948" s="27" t="n">
        <v>12.041551</v>
      </c>
      <c r="J948" s="27" t="n">
        <v>121.052558</v>
      </c>
      <c r="K948" s="10" t="inlineStr">
        <is>
          <t>U</t>
        </is>
      </c>
      <c r="L948" s="12" t="n">
        <v>518</v>
      </c>
      <c r="M948" s="14" t="n">
        <v>3.9</v>
      </c>
      <c r="N948" s="12">
        <f>ROUND(L948/M948, 0)</f>
        <v/>
      </c>
      <c r="O948" s="12">
        <f>ROUND(N948*'Methodology &amp; Assumptions'!$B$5, 0)</f>
        <v/>
      </c>
      <c r="P948" s="10" t="inlineStr">
        <is>
          <t>Single Carrier (Band n50, 100MHz TDD)</t>
        </is>
      </c>
      <c r="Q948" s="13">
        <f>ROUNDUP(O948/'Methodology &amp; Assumptions'!$B$6, 0)</f>
        <v/>
      </c>
      <c r="R948" s="13" t="n">
        <v>1</v>
      </c>
      <c r="S948" s="14" t="n">
        <v>31.55</v>
      </c>
      <c r="T948" s="14" t="n">
        <v>30.83</v>
      </c>
      <c r="U948" s="26">
        <f>IF(X948&gt;='Methodology &amp; Assumptions'!$B$7, "Tier 1 Critical GIDA (Score ≥ 50.0)", IF(X948&gt;='Methodology &amp; Assumptions'!$B$8, "Tier 2 High GIDA (Score 40.0–49.9)", "Tier 3 Moderate GIDA (Score &lt; 40.0)"))</f>
        <v/>
      </c>
      <c r="V948" s="26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W948" s="28" t="n">
        <v>0.109</v>
      </c>
      <c r="X948" s="14" t="n">
        <v>48.13</v>
      </c>
      <c r="Y948" s="14">
        <f>ROUND(MIN(100, (X948/69.91)*100), 2)</f>
        <v/>
      </c>
    </row>
    <row r="949">
      <c r="A949" s="10" t="n">
        <v>3</v>
      </c>
      <c r="B949" s="10" t="n">
        <v>945</v>
      </c>
      <c r="C949" s="10" t="n">
        <v>2945</v>
      </c>
      <c r="D949" s="10" t="inlineStr">
        <is>
          <t>1380606126</t>
        </is>
      </c>
      <c r="E949" s="26" t="inlineStr">
        <is>
          <t>National Capital Region (NCR)</t>
        </is>
      </c>
      <c r="F949" s="26" t="inlineStr">
        <is>
          <t>First District (Not a Province)</t>
        </is>
      </c>
      <c r="G949" s="26" t="inlineStr">
        <is>
          <t>City of Manila</t>
        </is>
      </c>
      <c r="H949" s="26" t="inlineStr">
        <is>
          <t>Barangay 520</t>
        </is>
      </c>
      <c r="I949" s="27" t="n">
        <v>13.974132</v>
      </c>
      <c r="J949" s="27" t="n">
        <v>121.724983</v>
      </c>
      <c r="K949" s="10" t="inlineStr">
        <is>
          <t>U</t>
        </is>
      </c>
      <c r="L949" s="12" t="n">
        <v>650</v>
      </c>
      <c r="M949" s="14" t="n">
        <v>3.9</v>
      </c>
      <c r="N949" s="12">
        <f>ROUND(L949/M949, 0)</f>
        <v/>
      </c>
      <c r="O949" s="12">
        <f>ROUND(N949*'Methodology &amp; Assumptions'!$B$5, 0)</f>
        <v/>
      </c>
      <c r="P949" s="10" t="inlineStr">
        <is>
          <t>Single Carrier (Band n50, 100MHz TDD)</t>
        </is>
      </c>
      <c r="Q949" s="13">
        <f>ROUNDUP(O949/'Methodology &amp; Assumptions'!$B$6, 0)</f>
        <v/>
      </c>
      <c r="R949" s="13" t="n">
        <v>1</v>
      </c>
      <c r="S949" s="14" t="n">
        <v>4.65</v>
      </c>
      <c r="T949" s="14" t="n">
        <v>1.33</v>
      </c>
      <c r="U949" s="26">
        <f>IF(X949&gt;='Methodology &amp; Assumptions'!$B$7, "Tier 1 Critical GIDA (Score ≥ 50.0)", IF(X949&gt;='Methodology &amp; Assumptions'!$B$8, "Tier 2 High GIDA (Score 40.0–49.9)", "Tier 3 Moderate GIDA (Score &lt; 40.0)"))</f>
        <v/>
      </c>
      <c r="V949" s="26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W949" s="28" t="n">
        <v>0.109</v>
      </c>
      <c r="X949" s="14" t="n">
        <v>48.13</v>
      </c>
      <c r="Y949" s="14">
        <f>ROUND(MIN(100, (X949/69.91)*100), 2)</f>
        <v/>
      </c>
    </row>
    <row r="950">
      <c r="A950" s="10" t="n">
        <v>3</v>
      </c>
      <c r="B950" s="10" t="n">
        <v>946</v>
      </c>
      <c r="C950" s="10" t="n">
        <v>2946</v>
      </c>
      <c r="D950" s="10" t="inlineStr">
        <is>
          <t>PH0002946</t>
        </is>
      </c>
      <c r="E950" s="26" t="inlineStr">
        <is>
          <t>NCR</t>
        </is>
      </c>
      <c r="F950" s="26" t="inlineStr">
        <is>
          <t>Metro Manila</t>
        </is>
      </c>
      <c r="G950" s="26" t="inlineStr">
        <is>
          <t>Caloocan City</t>
        </is>
      </c>
      <c r="H950" s="26" t="inlineStr">
        <is>
          <t>Barangay 59</t>
        </is>
      </c>
      <c r="I950" s="27" t="n">
        <v>13.558785</v>
      </c>
      <c r="J950" s="27" t="n">
        <v>123.112178</v>
      </c>
      <c r="K950" s="10" t="inlineStr">
        <is>
          <t>R</t>
        </is>
      </c>
      <c r="L950" s="12" t="n">
        <v>2279</v>
      </c>
      <c r="M950" s="14" t="n">
        <v>3.8</v>
      </c>
      <c r="N950" s="12">
        <f>ROUND(L950/M950, 0)</f>
        <v/>
      </c>
      <c r="O950" s="12">
        <f>ROUND(N950*'Methodology &amp; Assumptions'!$B$5, 0)</f>
        <v/>
      </c>
      <c r="P950" s="10" t="inlineStr">
        <is>
          <t>Single Carrier (Band n50, 100MHz TDD)</t>
        </is>
      </c>
      <c r="Q950" s="13">
        <f>ROUNDUP(O950/'Methodology &amp; Assumptions'!$B$6, 0)</f>
        <v/>
      </c>
      <c r="R950" s="13" t="n">
        <v>1</v>
      </c>
      <c r="S950" s="14" t="n">
        <v>3.01</v>
      </c>
      <c r="T950" s="14" t="n">
        <v>0.53</v>
      </c>
      <c r="U950" s="26">
        <f>IF(X950&gt;='Methodology &amp; Assumptions'!$B$7, "Tier 1 Critical GIDA (Score ≥ 50.0)", IF(X950&gt;='Methodology &amp; Assumptions'!$B$8, "Tier 2 High GIDA (Score 40.0–49.9)", "Tier 3 Moderate GIDA (Score &lt; 40.0)"))</f>
        <v/>
      </c>
      <c r="V950" s="26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W950" s="28" t="n">
        <v>0.011</v>
      </c>
      <c r="X950" s="14" t="n">
        <v>48.13</v>
      </c>
      <c r="Y950" s="14">
        <f>ROUND(MIN(100, (X950/69.91)*100), 2)</f>
        <v/>
      </c>
    </row>
    <row r="951">
      <c r="A951" s="10" t="n">
        <v>3</v>
      </c>
      <c r="B951" s="10" t="n">
        <v>947</v>
      </c>
      <c r="C951" s="10" t="n">
        <v>2947</v>
      </c>
      <c r="D951" s="10" t="inlineStr">
        <is>
          <t>1380606105</t>
        </is>
      </c>
      <c r="E951" s="26" t="inlineStr">
        <is>
          <t>National Capital Region (NCR)</t>
        </is>
      </c>
      <c r="F951" s="26" t="inlineStr">
        <is>
          <t>First District (Not a Province)</t>
        </is>
      </c>
      <c r="G951" s="26" t="inlineStr">
        <is>
          <t>City of Manila</t>
        </is>
      </c>
      <c r="H951" s="26" t="inlineStr">
        <is>
          <t>Barangay 499</t>
        </is>
      </c>
      <c r="I951" s="27" t="n">
        <v>12.104128</v>
      </c>
      <c r="J951" s="27" t="n">
        <v>122.569589</v>
      </c>
      <c r="K951" s="10" t="inlineStr">
        <is>
          <t>U</t>
        </is>
      </c>
      <c r="L951" s="12" t="n">
        <v>1543</v>
      </c>
      <c r="M951" s="14" t="n">
        <v>3.9</v>
      </c>
      <c r="N951" s="12">
        <f>ROUND(L951/M951, 0)</f>
        <v/>
      </c>
      <c r="O951" s="12">
        <f>ROUND(N951*'Methodology &amp; Assumptions'!$B$5, 0)</f>
        <v/>
      </c>
      <c r="P951" s="10" t="inlineStr">
        <is>
          <t>Single Carrier (Band n50, 100MHz TDD)</t>
        </is>
      </c>
      <c r="Q951" s="13">
        <f>ROUNDUP(O951/'Methodology &amp; Assumptions'!$B$6, 0)</f>
        <v/>
      </c>
      <c r="R951" s="13" t="n">
        <v>1</v>
      </c>
      <c r="S951" s="14" t="n">
        <v>50.3</v>
      </c>
      <c r="T951" s="14" t="n">
        <v>25.64</v>
      </c>
      <c r="U951" s="26">
        <f>IF(X951&gt;='Methodology &amp; Assumptions'!$B$7, "Tier 1 Critical GIDA (Score ≥ 50.0)", IF(X951&gt;='Methodology &amp; Assumptions'!$B$8, "Tier 2 High GIDA (Score 40.0–49.9)", "Tier 3 Moderate GIDA (Score &lt; 40.0)"))</f>
        <v/>
      </c>
      <c r="V951" s="26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W951" s="28" t="n">
        <v>0.109</v>
      </c>
      <c r="X951" s="14" t="n">
        <v>48.13</v>
      </c>
      <c r="Y951" s="14">
        <f>ROUND(MIN(100, (X951/69.91)*100), 2)</f>
        <v/>
      </c>
    </row>
    <row r="952">
      <c r="A952" s="10" t="n">
        <v>3</v>
      </c>
      <c r="B952" s="10" t="n">
        <v>948</v>
      </c>
      <c r="C952" s="10" t="n">
        <v>2948</v>
      </c>
      <c r="D952" s="10" t="inlineStr">
        <is>
          <t>1380605028</t>
        </is>
      </c>
      <c r="E952" s="26" t="inlineStr">
        <is>
          <t>National Capital Region (NCR)</t>
        </is>
      </c>
      <c r="F952" s="26" t="inlineStr">
        <is>
          <t>First District (Not a Province)</t>
        </is>
      </c>
      <c r="G952" s="26" t="inlineStr">
        <is>
          <t>City of Manila</t>
        </is>
      </c>
      <c r="H952" s="26" t="inlineStr">
        <is>
          <t>Barangay 326</t>
        </is>
      </c>
      <c r="I952" s="27" t="n">
        <v>12.927602</v>
      </c>
      <c r="J952" s="27" t="n">
        <v>120.648555</v>
      </c>
      <c r="K952" s="10" t="inlineStr">
        <is>
          <t>U</t>
        </is>
      </c>
      <c r="L952" s="12" t="n">
        <v>850</v>
      </c>
      <c r="M952" s="14" t="n">
        <v>3.9</v>
      </c>
      <c r="N952" s="12">
        <f>ROUND(L952/M952, 0)</f>
        <v/>
      </c>
      <c r="O952" s="12">
        <f>ROUND(N952*'Methodology &amp; Assumptions'!$B$5, 0)</f>
        <v/>
      </c>
      <c r="P952" s="10" t="inlineStr">
        <is>
          <t>Single Carrier (Band n50, 100MHz TDD)</t>
        </is>
      </c>
      <c r="Q952" s="13">
        <f>ROUNDUP(O952/'Methodology &amp; Assumptions'!$B$6, 0)</f>
        <v/>
      </c>
      <c r="R952" s="13" t="n">
        <v>1</v>
      </c>
      <c r="S952" s="14" t="n">
        <v>68.20999999999999</v>
      </c>
      <c r="T952" s="14" t="n">
        <v>66.62</v>
      </c>
      <c r="U952" s="26">
        <f>IF(X952&gt;='Methodology &amp; Assumptions'!$B$7, "Tier 1 Critical GIDA (Score ≥ 50.0)", IF(X952&gt;='Methodology &amp; Assumptions'!$B$8, "Tier 2 High GIDA (Score 40.0–49.9)", "Tier 3 Moderate GIDA (Score &lt; 40.0)"))</f>
        <v/>
      </c>
      <c r="V952" s="26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W952" s="28" t="n">
        <v>0.109</v>
      </c>
      <c r="X952" s="14" t="n">
        <v>48.13</v>
      </c>
      <c r="Y952" s="14">
        <f>ROUND(MIN(100, (X952/69.91)*100), 2)</f>
        <v/>
      </c>
    </row>
    <row r="953">
      <c r="A953" s="10" t="n">
        <v>3</v>
      </c>
      <c r="B953" s="10" t="n">
        <v>949</v>
      </c>
      <c r="C953" s="10" t="n">
        <v>2949</v>
      </c>
      <c r="D953" s="10" t="inlineStr">
        <is>
          <t>1380606125</t>
        </is>
      </c>
      <c r="E953" s="26" t="inlineStr">
        <is>
          <t>National Capital Region (NCR)</t>
        </is>
      </c>
      <c r="F953" s="26" t="inlineStr">
        <is>
          <t>First District (Not a Province)</t>
        </is>
      </c>
      <c r="G953" s="26" t="inlineStr">
        <is>
          <t>City of Manila</t>
        </is>
      </c>
      <c r="H953" s="26" t="inlineStr">
        <is>
          <t>Barangay 519</t>
        </is>
      </c>
      <c r="I953" s="27" t="n">
        <v>13.58646</v>
      </c>
      <c r="J953" s="27" t="n">
        <v>122.638023</v>
      </c>
      <c r="K953" s="10" t="inlineStr">
        <is>
          <t>U</t>
        </is>
      </c>
      <c r="L953" s="12" t="n">
        <v>1351</v>
      </c>
      <c r="M953" s="14" t="n">
        <v>3.9</v>
      </c>
      <c r="N953" s="12">
        <f>ROUND(L953/M953, 0)</f>
        <v/>
      </c>
      <c r="O953" s="12">
        <f>ROUND(N953*'Methodology &amp; Assumptions'!$B$5, 0)</f>
        <v/>
      </c>
      <c r="P953" s="10" t="inlineStr">
        <is>
          <t>Single Carrier (Band n50, 100MHz TDD)</t>
        </is>
      </c>
      <c r="Q953" s="13">
        <f>ROUNDUP(O953/'Methodology &amp; Assumptions'!$B$6, 0)</f>
        <v/>
      </c>
      <c r="R953" s="13" t="n">
        <v>1</v>
      </c>
      <c r="S953" s="14" t="n">
        <v>9.32</v>
      </c>
      <c r="T953" s="14" t="n">
        <v>9.32</v>
      </c>
      <c r="U953" s="26">
        <f>IF(X953&gt;='Methodology &amp; Assumptions'!$B$7, "Tier 1 Critical GIDA (Score ≥ 50.0)", IF(X953&gt;='Methodology &amp; Assumptions'!$B$8, "Tier 2 High GIDA (Score 40.0–49.9)", "Tier 3 Moderate GIDA (Score &lt; 40.0)"))</f>
        <v/>
      </c>
      <c r="V953" s="26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W953" s="28" t="n">
        <v>0.109</v>
      </c>
      <c r="X953" s="14" t="n">
        <v>48.13</v>
      </c>
      <c r="Y953" s="14">
        <f>ROUND(MIN(100, (X953/69.91)*100), 2)</f>
        <v/>
      </c>
    </row>
    <row r="954">
      <c r="A954" s="10" t="n">
        <v>3</v>
      </c>
      <c r="B954" s="10" t="n">
        <v>950</v>
      </c>
      <c r="C954" s="10" t="n">
        <v>2950</v>
      </c>
      <c r="D954" s="10" t="inlineStr">
        <is>
          <t>1380614044</t>
        </is>
      </c>
      <c r="E954" s="26" t="inlineStr">
        <is>
          <t>National Capital Region (NCR)</t>
        </is>
      </c>
      <c r="F954" s="26" t="inlineStr">
        <is>
          <t>First District (Not a Province)</t>
        </is>
      </c>
      <c r="G954" s="26" t="inlineStr">
        <is>
          <t>City of Manila</t>
        </is>
      </c>
      <c r="H954" s="26" t="inlineStr">
        <is>
          <t>Barangay 788</t>
        </is>
      </c>
      <c r="I954" s="27" t="n">
        <v>11.788244</v>
      </c>
      <c r="J954" s="27" t="n">
        <v>121.626599</v>
      </c>
      <c r="K954" s="10" t="inlineStr">
        <is>
          <t>U</t>
        </is>
      </c>
      <c r="L954" s="12" t="n">
        <v>998</v>
      </c>
      <c r="M954" s="14" t="n">
        <v>3.9</v>
      </c>
      <c r="N954" s="12">
        <f>ROUND(L954/M954, 0)</f>
        <v/>
      </c>
      <c r="O954" s="12">
        <f>ROUND(N954*'Methodology &amp; Assumptions'!$B$5, 0)</f>
        <v/>
      </c>
      <c r="P954" s="10" t="inlineStr">
        <is>
          <t>Single Carrier (Band n50, 100MHz TDD)</t>
        </is>
      </c>
      <c r="Q954" s="13">
        <f>ROUNDUP(O954/'Methodology &amp; Assumptions'!$B$6, 0)</f>
        <v/>
      </c>
      <c r="R954" s="13" t="n">
        <v>1</v>
      </c>
      <c r="S954" s="14" t="n">
        <v>39.03</v>
      </c>
      <c r="T954" s="14" t="n">
        <v>38.2</v>
      </c>
      <c r="U954" s="26">
        <f>IF(X954&gt;='Methodology &amp; Assumptions'!$B$7, "Tier 1 Critical GIDA (Score ≥ 50.0)", IF(X954&gt;='Methodology &amp; Assumptions'!$B$8, "Tier 2 High GIDA (Score 40.0–49.9)", "Tier 3 Moderate GIDA (Score &lt; 40.0)"))</f>
        <v/>
      </c>
      <c r="V954" s="26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W954" s="28" t="n">
        <v>0.109</v>
      </c>
      <c r="X954" s="14" t="n">
        <v>48.13</v>
      </c>
      <c r="Y954" s="14">
        <f>ROUND(MIN(100, (X954/69.91)*100), 2)</f>
        <v/>
      </c>
    </row>
    <row r="955">
      <c r="A955" s="10" t="n">
        <v>3</v>
      </c>
      <c r="B955" s="10" t="n">
        <v>951</v>
      </c>
      <c r="C955" s="10" t="n">
        <v>2951</v>
      </c>
      <c r="D955" s="10" t="inlineStr">
        <is>
          <t>1381100100</t>
        </is>
      </c>
      <c r="E955" s="26" t="inlineStr">
        <is>
          <t>National Capital Region (NCR)</t>
        </is>
      </c>
      <c r="F955" s="26" t="inlineStr">
        <is>
          <t>Fourth District (Not a Province)</t>
        </is>
      </c>
      <c r="G955" s="26" t="inlineStr">
        <is>
          <t>Pasay City</t>
        </is>
      </c>
      <c r="H955" s="26" t="inlineStr">
        <is>
          <t>Barangay 100</t>
        </is>
      </c>
      <c r="I955" s="27" t="n">
        <v>14.656089</v>
      </c>
      <c r="J955" s="27" t="n">
        <v>121.209796</v>
      </c>
      <c r="K955" s="10" t="inlineStr">
        <is>
          <t>U</t>
        </is>
      </c>
      <c r="L955" s="12" t="n">
        <v>1258</v>
      </c>
      <c r="M955" s="14" t="n">
        <v>3.4</v>
      </c>
      <c r="N955" s="12">
        <f>ROUND(L955/M955, 0)</f>
        <v/>
      </c>
      <c r="O955" s="12">
        <f>ROUND(N955*'Methodology &amp; Assumptions'!$B$5, 0)</f>
        <v/>
      </c>
      <c r="P955" s="10" t="inlineStr">
        <is>
          <t>Single Carrier (Band n50, 100MHz TDD)</t>
        </is>
      </c>
      <c r="Q955" s="13">
        <f>ROUNDUP(O955/'Methodology &amp; Assumptions'!$B$6, 0)</f>
        <v/>
      </c>
      <c r="R955" s="13" t="n">
        <v>1</v>
      </c>
      <c r="S955" s="14" t="n">
        <v>4.11</v>
      </c>
      <c r="T955" s="14" t="n">
        <v>5.06</v>
      </c>
      <c r="U955" s="26">
        <f>IF(X955&gt;='Methodology &amp; Assumptions'!$B$7, "Tier 1 Critical GIDA (Score ≥ 50.0)", IF(X955&gt;='Methodology &amp; Assumptions'!$B$8, "Tier 2 High GIDA (Score 40.0–49.9)", "Tier 3 Moderate GIDA (Score &lt; 40.0)"))</f>
        <v/>
      </c>
      <c r="V955" s="26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W955" s="28" t="n">
        <v>0.109</v>
      </c>
      <c r="X955" s="14" t="n">
        <v>48.13</v>
      </c>
      <c r="Y955" s="14">
        <f>ROUND(MIN(100, (X955/69.91)*100), 2)</f>
        <v/>
      </c>
    </row>
    <row r="956">
      <c r="A956" s="10" t="n">
        <v>3</v>
      </c>
      <c r="B956" s="10" t="n">
        <v>952</v>
      </c>
      <c r="C956" s="10" t="n">
        <v>2952</v>
      </c>
      <c r="D956" s="10" t="inlineStr">
        <is>
          <t>1380605066</t>
        </is>
      </c>
      <c r="E956" s="26" t="inlineStr">
        <is>
          <t>National Capital Region (NCR)</t>
        </is>
      </c>
      <c r="F956" s="26" t="inlineStr">
        <is>
          <t>First District (Not a Province)</t>
        </is>
      </c>
      <c r="G956" s="26" t="inlineStr">
        <is>
          <t>City of Manila</t>
        </is>
      </c>
      <c r="H956" s="26" t="inlineStr">
        <is>
          <t>Barangay 364</t>
        </is>
      </c>
      <c r="I956" s="27" t="n">
        <v>13.782589</v>
      </c>
      <c r="J956" s="27" t="n">
        <v>121.125474</v>
      </c>
      <c r="K956" s="10" t="inlineStr">
        <is>
          <t>U</t>
        </is>
      </c>
      <c r="L956" s="12" t="n">
        <v>2045</v>
      </c>
      <c r="M956" s="14" t="n">
        <v>3.9</v>
      </c>
      <c r="N956" s="12">
        <f>ROUND(L956/M956, 0)</f>
        <v/>
      </c>
      <c r="O956" s="12">
        <f>ROUND(N956*'Methodology &amp; Assumptions'!$B$5, 0)</f>
        <v/>
      </c>
      <c r="P956" s="10" t="inlineStr">
        <is>
          <t>Single Carrier (Band n50, 100MHz TDD)</t>
        </is>
      </c>
      <c r="Q956" s="13">
        <f>ROUNDUP(O956/'Methodology &amp; Assumptions'!$B$6, 0)</f>
        <v/>
      </c>
      <c r="R956" s="13" t="n">
        <v>1</v>
      </c>
      <c r="S956" s="14" t="n">
        <v>3.53</v>
      </c>
      <c r="T956" s="14" t="n">
        <v>2.58</v>
      </c>
      <c r="U956" s="26">
        <f>IF(X956&gt;='Methodology &amp; Assumptions'!$B$7, "Tier 1 Critical GIDA (Score ≥ 50.0)", IF(X956&gt;='Methodology &amp; Assumptions'!$B$8, "Tier 2 High GIDA (Score 40.0–49.9)", "Tier 3 Moderate GIDA (Score &lt; 40.0)"))</f>
        <v/>
      </c>
      <c r="V956" s="26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W956" s="28" t="n">
        <v>0.109</v>
      </c>
      <c r="X956" s="14" t="n">
        <v>48.13</v>
      </c>
      <c r="Y956" s="14">
        <f>ROUND(MIN(100, (X956/69.91)*100), 2)</f>
        <v/>
      </c>
    </row>
    <row r="957">
      <c r="A957" s="10" t="n">
        <v>3</v>
      </c>
      <c r="B957" s="10" t="n">
        <v>953</v>
      </c>
      <c r="C957" s="10" t="n">
        <v>2953</v>
      </c>
      <c r="D957" s="10" t="inlineStr">
        <is>
          <t>1380606177</t>
        </is>
      </c>
      <c r="E957" s="26" t="inlineStr">
        <is>
          <t>National Capital Region (NCR)</t>
        </is>
      </c>
      <c r="F957" s="26" t="inlineStr">
        <is>
          <t>First District (Not a Province)</t>
        </is>
      </c>
      <c r="G957" s="26" t="inlineStr">
        <is>
          <t>City of Manila</t>
        </is>
      </c>
      <c r="H957" s="26" t="inlineStr">
        <is>
          <t>Barangay 571</t>
        </is>
      </c>
      <c r="I957" s="27" t="n">
        <v>12.640843</v>
      </c>
      <c r="J957" s="27" t="n">
        <v>122.879221</v>
      </c>
      <c r="K957" s="10" t="inlineStr">
        <is>
          <t>U</t>
        </is>
      </c>
      <c r="L957" s="12" t="n">
        <v>2161</v>
      </c>
      <c r="M957" s="14" t="n">
        <v>3.9</v>
      </c>
      <c r="N957" s="12">
        <f>ROUND(L957/M957, 0)</f>
        <v/>
      </c>
      <c r="O957" s="12">
        <f>ROUND(N957*'Methodology &amp; Assumptions'!$B$5, 0)</f>
        <v/>
      </c>
      <c r="P957" s="10" t="inlineStr">
        <is>
          <t>Single Carrier (Band n50, 100MHz TDD)</t>
        </is>
      </c>
      <c r="Q957" s="13">
        <f>ROUNDUP(O957/'Methodology &amp; Assumptions'!$B$6, 0)</f>
        <v/>
      </c>
      <c r="R957" s="13" t="n">
        <v>1</v>
      </c>
      <c r="S957" s="14" t="n">
        <v>58.23</v>
      </c>
      <c r="T957" s="14" t="n">
        <v>61.92</v>
      </c>
      <c r="U957" s="26">
        <f>IF(X957&gt;='Methodology &amp; Assumptions'!$B$7, "Tier 1 Critical GIDA (Score ≥ 50.0)", IF(X957&gt;='Methodology &amp; Assumptions'!$B$8, "Tier 2 High GIDA (Score 40.0–49.9)", "Tier 3 Moderate GIDA (Score &lt; 40.0)"))</f>
        <v/>
      </c>
      <c r="V957" s="26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W957" s="28" t="n">
        <v>0.109</v>
      </c>
      <c r="X957" s="14" t="n">
        <v>48.13</v>
      </c>
      <c r="Y957" s="14">
        <f>ROUND(MIN(100, (X957/69.91)*100), 2)</f>
        <v/>
      </c>
    </row>
    <row r="958">
      <c r="A958" s="10" t="n">
        <v>3</v>
      </c>
      <c r="B958" s="10" t="n">
        <v>954</v>
      </c>
      <c r="C958" s="10" t="n">
        <v>2954</v>
      </c>
      <c r="D958" s="10" t="inlineStr">
        <is>
          <t>1380500018</t>
        </is>
      </c>
      <c r="E958" s="26" t="inlineStr">
        <is>
          <t>National Capital Region (NCR)</t>
        </is>
      </c>
      <c r="F958" s="26" t="inlineStr">
        <is>
          <t>Second District (Not a Province)</t>
        </is>
      </c>
      <c r="G958" s="26" t="inlineStr">
        <is>
          <t>City of Mandaluyong</t>
        </is>
      </c>
      <c r="H958" s="26" t="inlineStr">
        <is>
          <t>Namayan</t>
        </is>
      </c>
      <c r="I958" s="27" t="n">
        <v>14.580278</v>
      </c>
      <c r="J958" s="27" t="n">
        <v>121.018611</v>
      </c>
      <c r="K958" s="10" t="inlineStr">
        <is>
          <t>U</t>
        </is>
      </c>
      <c r="L958" s="12" t="n">
        <v>8393</v>
      </c>
      <c r="M958" s="14" t="n">
        <v>3.3</v>
      </c>
      <c r="N958" s="12">
        <f>ROUND(L958/M958, 0)</f>
        <v/>
      </c>
      <c r="O958" s="12">
        <f>ROUND(N958*'Methodology &amp; Assumptions'!$B$5, 0)</f>
        <v/>
      </c>
      <c r="P958" s="10" t="inlineStr">
        <is>
          <t>Single Carrier (Band n50, 100MHz TDD)</t>
        </is>
      </c>
      <c r="Q958" s="13">
        <f>ROUNDUP(O958/'Methodology &amp; Assumptions'!$B$6, 0)</f>
        <v/>
      </c>
      <c r="R958" s="13" t="n">
        <v>1</v>
      </c>
      <c r="S958" s="14" t="n">
        <v>1.08</v>
      </c>
      <c r="T958" s="14" t="n">
        <v>0.51</v>
      </c>
      <c r="U958" s="26">
        <f>IF(X958&gt;='Methodology &amp; Assumptions'!$B$7, "Tier 1 Critical GIDA (Score ≥ 50.0)", IF(X958&gt;='Methodology &amp; Assumptions'!$B$8, "Tier 2 High GIDA (Score 40.0–49.9)", "Tier 3 Moderate GIDA (Score &lt; 40.0)"))</f>
        <v/>
      </c>
      <c r="V958" s="26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W958" s="28" t="n">
        <v>0.109</v>
      </c>
      <c r="X958" s="14" t="n">
        <v>48.13</v>
      </c>
      <c r="Y958" s="14">
        <f>ROUND(MIN(100, (X958/69.91)*100), 2)</f>
        <v/>
      </c>
    </row>
    <row r="959">
      <c r="A959" s="10" t="n">
        <v>3</v>
      </c>
      <c r="B959" s="10" t="n">
        <v>955</v>
      </c>
      <c r="C959" s="10" t="n">
        <v>2955</v>
      </c>
      <c r="D959" s="10" t="inlineStr">
        <is>
          <t>1381100045</t>
        </is>
      </c>
      <c r="E959" s="26" t="inlineStr">
        <is>
          <t>National Capital Region (NCR)</t>
        </is>
      </c>
      <c r="F959" s="26" t="inlineStr">
        <is>
          <t>Fourth District (Not a Province)</t>
        </is>
      </c>
      <c r="G959" s="26" t="inlineStr">
        <is>
          <t>Pasay City</t>
        </is>
      </c>
      <c r="H959" s="26" t="inlineStr">
        <is>
          <t>Barangay 45</t>
        </is>
      </c>
      <c r="I959" s="27" t="n">
        <v>14.31995</v>
      </c>
      <c r="J959" s="27" t="n">
        <v>120.931736</v>
      </c>
      <c r="K959" s="10" t="inlineStr">
        <is>
          <t>U</t>
        </is>
      </c>
      <c r="L959" s="12" t="n">
        <v>1720</v>
      </c>
      <c r="M959" s="14" t="n">
        <v>3.4</v>
      </c>
      <c r="N959" s="12">
        <f>ROUND(L959/M959, 0)</f>
        <v/>
      </c>
      <c r="O959" s="12">
        <f>ROUND(N959*'Methodology &amp; Assumptions'!$B$5, 0)</f>
        <v/>
      </c>
      <c r="P959" s="10" t="inlineStr">
        <is>
          <t>Single Carrier (Band n50, 100MHz TDD)</t>
        </is>
      </c>
      <c r="Q959" s="13">
        <f>ROUNDUP(O959/'Methodology &amp; Assumptions'!$B$6, 0)</f>
        <v/>
      </c>
      <c r="R959" s="13" t="n">
        <v>1</v>
      </c>
      <c r="S959" s="14" t="n">
        <v>3.5</v>
      </c>
      <c r="T959" s="14" t="n">
        <v>2.97</v>
      </c>
      <c r="U959" s="26">
        <f>IF(X959&gt;='Methodology &amp; Assumptions'!$B$7, "Tier 1 Critical GIDA (Score ≥ 50.0)", IF(X959&gt;='Methodology &amp; Assumptions'!$B$8, "Tier 2 High GIDA (Score 40.0–49.9)", "Tier 3 Moderate GIDA (Score &lt; 40.0)"))</f>
        <v/>
      </c>
      <c r="V959" s="26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W959" s="28" t="n">
        <v>0.109</v>
      </c>
      <c r="X959" s="14" t="n">
        <v>48.12</v>
      </c>
      <c r="Y959" s="14">
        <f>ROUND(MIN(100, (X959/69.91)*100), 2)</f>
        <v/>
      </c>
    </row>
    <row r="960">
      <c r="A960" s="10" t="n">
        <v>3</v>
      </c>
      <c r="B960" s="10" t="n">
        <v>956</v>
      </c>
      <c r="C960" s="10" t="n">
        <v>2956</v>
      </c>
      <c r="D960" s="10" t="inlineStr">
        <is>
          <t>1381100025</t>
        </is>
      </c>
      <c r="E960" s="26" t="inlineStr">
        <is>
          <t>National Capital Region (NCR)</t>
        </is>
      </c>
      <c r="F960" s="26" t="inlineStr">
        <is>
          <t>Fourth District (Not a Province)</t>
        </is>
      </c>
      <c r="G960" s="26" t="inlineStr">
        <is>
          <t>Pasay City</t>
        </is>
      </c>
      <c r="H960" s="26" t="inlineStr">
        <is>
          <t>Barangay 25</t>
        </is>
      </c>
      <c r="I960" s="27" t="n">
        <v>14.752125</v>
      </c>
      <c r="J960" s="27" t="n">
        <v>120.901966</v>
      </c>
      <c r="K960" s="10" t="inlineStr">
        <is>
          <t>U</t>
        </is>
      </c>
      <c r="L960" s="12" t="n">
        <v>612</v>
      </c>
      <c r="M960" s="14" t="n">
        <v>3.4</v>
      </c>
      <c r="N960" s="12">
        <f>ROUND(L960/M960, 0)</f>
        <v/>
      </c>
      <c r="O960" s="12">
        <f>ROUND(N960*'Methodology &amp; Assumptions'!$B$5, 0)</f>
        <v/>
      </c>
      <c r="P960" s="10" t="inlineStr">
        <is>
          <t>Single Carrier (Band n50, 100MHz TDD)</t>
        </is>
      </c>
      <c r="Q960" s="13">
        <f>ROUNDUP(O960/'Methodology &amp; Assumptions'!$B$6, 0)</f>
        <v/>
      </c>
      <c r="R960" s="13" t="n">
        <v>1</v>
      </c>
      <c r="S960" s="14" t="n">
        <v>4.65</v>
      </c>
      <c r="T960" s="14" t="n">
        <v>4.65</v>
      </c>
      <c r="U960" s="26">
        <f>IF(X960&gt;='Methodology &amp; Assumptions'!$B$7, "Tier 1 Critical GIDA (Score ≥ 50.0)", IF(X960&gt;='Methodology &amp; Assumptions'!$B$8, "Tier 2 High GIDA (Score 40.0–49.9)", "Tier 3 Moderate GIDA (Score &lt; 40.0)"))</f>
        <v/>
      </c>
      <c r="V960" s="26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W960" s="28" t="n">
        <v>0.109</v>
      </c>
      <c r="X960" s="14" t="n">
        <v>48.12</v>
      </c>
      <c r="Y960" s="14">
        <f>ROUND(MIN(100, (X960/69.91)*100), 2)</f>
        <v/>
      </c>
    </row>
    <row r="961">
      <c r="A961" s="10" t="n">
        <v>3</v>
      </c>
      <c r="B961" s="10" t="n">
        <v>957</v>
      </c>
      <c r="C961" s="10" t="n">
        <v>2957</v>
      </c>
      <c r="D961" s="10" t="inlineStr">
        <is>
          <t>1380606094</t>
        </is>
      </c>
      <c r="E961" s="26" t="inlineStr">
        <is>
          <t>National Capital Region (NCR)</t>
        </is>
      </c>
      <c r="F961" s="26" t="inlineStr">
        <is>
          <t>First District (Not a Province)</t>
        </is>
      </c>
      <c r="G961" s="26" t="inlineStr">
        <is>
          <t>City of Manila</t>
        </is>
      </c>
      <c r="H961" s="26" t="inlineStr">
        <is>
          <t>Barangay 488</t>
        </is>
      </c>
      <c r="I961" s="27" t="n">
        <v>12.327239</v>
      </c>
      <c r="J961" s="27" t="n">
        <v>120.792412</v>
      </c>
      <c r="K961" s="10" t="inlineStr">
        <is>
          <t>U</t>
        </is>
      </c>
      <c r="L961" s="12" t="n">
        <v>807</v>
      </c>
      <c r="M961" s="14" t="n">
        <v>3.9</v>
      </c>
      <c r="N961" s="12">
        <f>ROUND(L961/M961, 0)</f>
        <v/>
      </c>
      <c r="O961" s="12">
        <f>ROUND(N961*'Methodology &amp; Assumptions'!$B$5, 0)</f>
        <v/>
      </c>
      <c r="P961" s="10" t="inlineStr">
        <is>
          <t>Single Carrier (Band n50, 100MHz TDD)</t>
        </is>
      </c>
      <c r="Q961" s="13">
        <f>ROUNDUP(O961/'Methodology &amp; Assumptions'!$B$6, 0)</f>
        <v/>
      </c>
      <c r="R961" s="13" t="n">
        <v>1</v>
      </c>
      <c r="S961" s="14" t="n">
        <v>29.69</v>
      </c>
      <c r="T961" s="14" t="n">
        <v>29.13</v>
      </c>
      <c r="U961" s="26">
        <f>IF(X961&gt;='Methodology &amp; Assumptions'!$B$7, "Tier 1 Critical GIDA (Score ≥ 50.0)", IF(X961&gt;='Methodology &amp; Assumptions'!$B$8, "Tier 2 High GIDA (Score 40.0–49.9)", "Tier 3 Moderate GIDA (Score &lt; 40.0)"))</f>
        <v/>
      </c>
      <c r="V961" s="26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W961" s="28" t="n">
        <v>0.109</v>
      </c>
      <c r="X961" s="14" t="n">
        <v>48.12</v>
      </c>
      <c r="Y961" s="14">
        <f>ROUND(MIN(100, (X961/69.91)*100), 2)</f>
        <v/>
      </c>
    </row>
    <row r="962">
      <c r="A962" s="10" t="n">
        <v>3</v>
      </c>
      <c r="B962" s="10" t="n">
        <v>958</v>
      </c>
      <c r="C962" s="10" t="n">
        <v>2958</v>
      </c>
      <c r="D962" s="10" t="inlineStr">
        <is>
          <t>1380606106</t>
        </is>
      </c>
      <c r="E962" s="26" t="inlineStr">
        <is>
          <t>National Capital Region (NCR)</t>
        </is>
      </c>
      <c r="F962" s="26" t="inlineStr">
        <is>
          <t>First District (Not a Province)</t>
        </is>
      </c>
      <c r="G962" s="26" t="inlineStr">
        <is>
          <t>City of Manila</t>
        </is>
      </c>
      <c r="H962" s="26" t="inlineStr">
        <is>
          <t>Barangay 500</t>
        </is>
      </c>
      <c r="I962" s="27" t="n">
        <v>13.934771</v>
      </c>
      <c r="J962" s="27" t="n">
        <v>122.115248</v>
      </c>
      <c r="K962" s="10" t="inlineStr">
        <is>
          <t>U</t>
        </is>
      </c>
      <c r="L962" s="12" t="n">
        <v>2640</v>
      </c>
      <c r="M962" s="14" t="n">
        <v>3.9</v>
      </c>
      <c r="N962" s="12">
        <f>ROUND(L962/M962, 0)</f>
        <v/>
      </c>
      <c r="O962" s="12">
        <f>ROUND(N962*'Methodology &amp; Assumptions'!$B$5, 0)</f>
        <v/>
      </c>
      <c r="P962" s="10" t="inlineStr">
        <is>
          <t>Single Carrier (Band n50, 100MHz TDD)</t>
        </is>
      </c>
      <c r="Q962" s="13">
        <f>ROUNDUP(O962/'Methodology &amp; Assumptions'!$B$6, 0)</f>
        <v/>
      </c>
      <c r="R962" s="13" t="n">
        <v>1</v>
      </c>
      <c r="S962" s="14" t="n">
        <v>1.55</v>
      </c>
      <c r="T962" s="14" t="n">
        <v>1.23</v>
      </c>
      <c r="U962" s="26">
        <f>IF(X962&gt;='Methodology &amp; Assumptions'!$B$7, "Tier 1 Critical GIDA (Score ≥ 50.0)", IF(X962&gt;='Methodology &amp; Assumptions'!$B$8, "Tier 2 High GIDA (Score 40.0–49.9)", "Tier 3 Moderate GIDA (Score &lt; 40.0)"))</f>
        <v/>
      </c>
      <c r="V962" s="26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W962" s="28" t="n">
        <v>0.109</v>
      </c>
      <c r="X962" s="14" t="n">
        <v>48.12</v>
      </c>
      <c r="Y962" s="14">
        <f>ROUND(MIN(100, (X962/69.91)*100), 2)</f>
        <v/>
      </c>
    </row>
    <row r="963">
      <c r="A963" s="10" t="n">
        <v>3</v>
      </c>
      <c r="B963" s="10" t="n">
        <v>959</v>
      </c>
      <c r="C963" s="10" t="n">
        <v>2959</v>
      </c>
      <c r="D963" s="10" t="inlineStr">
        <is>
          <t>PH0002959</t>
        </is>
      </c>
      <c r="E963" s="26" t="inlineStr">
        <is>
          <t>CAR</t>
        </is>
      </c>
      <c r="F963" s="26" t="inlineStr">
        <is>
          <t>Benguet</t>
        </is>
      </c>
      <c r="G963" s="26" t="inlineStr">
        <is>
          <t>Baguio City</t>
        </is>
      </c>
      <c r="H963" s="26" t="inlineStr">
        <is>
          <t>Aurora Hill Proper</t>
        </is>
      </c>
      <c r="I963" s="27" t="n">
        <v>16.405669</v>
      </c>
      <c r="J963" s="27" t="n">
        <v>120.624654</v>
      </c>
      <c r="K963" s="10" t="inlineStr">
        <is>
          <t>R</t>
        </is>
      </c>
      <c r="L963" s="12" t="n">
        <v>2260</v>
      </c>
      <c r="M963" s="14" t="n">
        <v>3.5</v>
      </c>
      <c r="N963" s="12">
        <f>ROUND(L963/M963, 0)</f>
        <v/>
      </c>
      <c r="O963" s="12">
        <f>ROUND(N963*'Methodology &amp; Assumptions'!$B$5, 0)</f>
        <v/>
      </c>
      <c r="P963" s="10" t="inlineStr">
        <is>
          <t>Single Carrier (Band n50, 100MHz TDD)</t>
        </is>
      </c>
      <c r="Q963" s="13">
        <f>ROUNDUP(O963/'Methodology &amp; Assumptions'!$B$6, 0)</f>
        <v/>
      </c>
      <c r="R963" s="13" t="n">
        <v>1</v>
      </c>
      <c r="S963" s="14" t="n">
        <v>1.83</v>
      </c>
      <c r="T963" s="14" t="n">
        <v>0.82</v>
      </c>
      <c r="U963" s="26">
        <f>IF(X963&gt;='Methodology &amp; Assumptions'!$B$7, "Tier 1 Critical GIDA (Score ≥ 50.0)", IF(X963&gt;='Methodology &amp; Assumptions'!$B$8, "Tier 2 High GIDA (Score 40.0–49.9)", "Tier 3 Moderate GIDA (Score &lt; 40.0)"))</f>
        <v/>
      </c>
      <c r="V963" s="26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W963" s="28" t="n">
        <v>0.221</v>
      </c>
      <c r="X963" s="14" t="n">
        <v>48.12</v>
      </c>
      <c r="Y963" s="14">
        <f>ROUND(MIN(100, (X963/69.91)*100), 2)</f>
        <v/>
      </c>
    </row>
    <row r="964">
      <c r="A964" s="10" t="n">
        <v>3</v>
      </c>
      <c r="B964" s="10" t="n">
        <v>960</v>
      </c>
      <c r="C964" s="10" t="n">
        <v>2960</v>
      </c>
      <c r="D964" s="10" t="inlineStr">
        <is>
          <t>1380605018</t>
        </is>
      </c>
      <c r="E964" s="26" t="inlineStr">
        <is>
          <t>National Capital Region (NCR)</t>
        </is>
      </c>
      <c r="F964" s="26" t="inlineStr">
        <is>
          <t>First District (Not a Province)</t>
        </is>
      </c>
      <c r="G964" s="26" t="inlineStr">
        <is>
          <t>City of Manila</t>
        </is>
      </c>
      <c r="H964" s="26" t="inlineStr">
        <is>
          <t>Barangay 316</t>
        </is>
      </c>
      <c r="I964" s="27" t="n">
        <v>11.875854</v>
      </c>
      <c r="J964" s="27" t="n">
        <v>122.254183</v>
      </c>
      <c r="K964" s="10" t="inlineStr">
        <is>
          <t>U</t>
        </is>
      </c>
      <c r="L964" s="12" t="n">
        <v>854</v>
      </c>
      <c r="M964" s="14" t="n">
        <v>3.9</v>
      </c>
      <c r="N964" s="12">
        <f>ROUND(L964/M964, 0)</f>
        <v/>
      </c>
      <c r="O964" s="12">
        <f>ROUND(N964*'Methodology &amp; Assumptions'!$B$5, 0)</f>
        <v/>
      </c>
      <c r="P964" s="10" t="inlineStr">
        <is>
          <t>Single Carrier (Band n50, 100MHz TDD)</t>
        </is>
      </c>
      <c r="Q964" s="13">
        <f>ROUNDUP(O964/'Methodology &amp; Assumptions'!$B$6, 0)</f>
        <v/>
      </c>
      <c r="R964" s="13" t="n">
        <v>1</v>
      </c>
      <c r="S964" s="14" t="n">
        <v>18.28</v>
      </c>
      <c r="T964" s="14" t="n">
        <v>10.39</v>
      </c>
      <c r="U964" s="26">
        <f>IF(X964&gt;='Methodology &amp; Assumptions'!$B$7, "Tier 1 Critical GIDA (Score ≥ 50.0)", IF(X964&gt;='Methodology &amp; Assumptions'!$B$8, "Tier 2 High GIDA (Score 40.0–49.9)", "Tier 3 Moderate GIDA (Score &lt; 40.0)"))</f>
        <v/>
      </c>
      <c r="V964" s="26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W964" s="28" t="n">
        <v>0.109</v>
      </c>
      <c r="X964" s="14" t="n">
        <v>48.12</v>
      </c>
      <c r="Y964" s="14">
        <f>ROUND(MIN(100, (X964/69.91)*100), 2)</f>
        <v/>
      </c>
    </row>
    <row r="965">
      <c r="A965" s="10" t="n">
        <v>3</v>
      </c>
      <c r="B965" s="10" t="n">
        <v>961</v>
      </c>
      <c r="C965" s="10" t="n">
        <v>2961</v>
      </c>
      <c r="D965" s="10" t="inlineStr">
        <is>
          <t>PH0002961</t>
        </is>
      </c>
      <c r="E965" s="26" t="inlineStr">
        <is>
          <t>NCR</t>
        </is>
      </c>
      <c r="F965" s="26" t="inlineStr">
        <is>
          <t>Metro Manila</t>
        </is>
      </c>
      <c r="G965" s="26" t="inlineStr">
        <is>
          <t>Caloocan City</t>
        </is>
      </c>
      <c r="H965" s="26" t="inlineStr">
        <is>
          <t>Barangay 128</t>
        </is>
      </c>
      <c r="I965" s="27" t="n">
        <v>11.496444</v>
      </c>
      <c r="J965" s="27" t="n">
        <v>121.257542</v>
      </c>
      <c r="K965" s="10" t="inlineStr">
        <is>
          <t>R</t>
        </is>
      </c>
      <c r="L965" s="12" t="n">
        <v>2279</v>
      </c>
      <c r="M965" s="14" t="n">
        <v>3.8</v>
      </c>
      <c r="N965" s="12">
        <f>ROUND(L965/M965, 0)</f>
        <v/>
      </c>
      <c r="O965" s="12">
        <f>ROUND(N965*'Methodology &amp; Assumptions'!$B$5, 0)</f>
        <v/>
      </c>
      <c r="P965" s="10" t="inlineStr">
        <is>
          <t>Single Carrier (Band n50, 100MHz TDD)</t>
        </is>
      </c>
      <c r="Q965" s="13">
        <f>ROUNDUP(O965/'Methodology &amp; Assumptions'!$B$6, 0)</f>
        <v/>
      </c>
      <c r="R965" s="13" t="n">
        <v>1</v>
      </c>
      <c r="S965" s="14" t="n">
        <v>90.22</v>
      </c>
      <c r="T965" s="14" t="n">
        <v>87.20999999999999</v>
      </c>
      <c r="U965" s="26">
        <f>IF(X965&gt;='Methodology &amp; Assumptions'!$B$7, "Tier 1 Critical GIDA (Score ≥ 50.0)", IF(X965&gt;='Methodology &amp; Assumptions'!$B$8, "Tier 2 High GIDA (Score 40.0–49.9)", "Tier 3 Moderate GIDA (Score &lt; 40.0)"))</f>
        <v/>
      </c>
      <c r="V965" s="26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W965" s="28" t="n">
        <v>0.011</v>
      </c>
      <c r="X965" s="14" t="n">
        <v>48.12</v>
      </c>
      <c r="Y965" s="14">
        <f>ROUND(MIN(100, (X965/69.91)*100), 2)</f>
        <v/>
      </c>
    </row>
    <row r="966">
      <c r="A966" s="10" t="n">
        <v>3</v>
      </c>
      <c r="B966" s="10" t="n">
        <v>962</v>
      </c>
      <c r="C966" s="10" t="n">
        <v>2962</v>
      </c>
      <c r="D966" s="10" t="inlineStr">
        <is>
          <t>PH0002962</t>
        </is>
      </c>
      <c r="E966" s="26" t="inlineStr">
        <is>
          <t>NCR</t>
        </is>
      </c>
      <c r="F966" s="26" t="inlineStr">
        <is>
          <t>Metro Manila</t>
        </is>
      </c>
      <c r="G966" s="26" t="inlineStr">
        <is>
          <t>Caloocan City</t>
        </is>
      </c>
      <c r="H966" s="26" t="inlineStr">
        <is>
          <t>Barangay 75</t>
        </is>
      </c>
      <c r="I966" s="27" t="n">
        <v>14.240926</v>
      </c>
      <c r="J966" s="27" t="n">
        <v>121.19561</v>
      </c>
      <c r="K966" s="10" t="inlineStr">
        <is>
          <t>R</t>
        </is>
      </c>
      <c r="L966" s="12" t="n">
        <v>2279</v>
      </c>
      <c r="M966" s="14" t="n">
        <v>3.8</v>
      </c>
      <c r="N966" s="12">
        <f>ROUND(L966/M966, 0)</f>
        <v/>
      </c>
      <c r="O966" s="12">
        <f>ROUND(N966*'Methodology &amp; Assumptions'!$B$5, 0)</f>
        <v/>
      </c>
      <c r="P966" s="10" t="inlineStr">
        <is>
          <t>Single Carrier (Band n50, 100MHz TDD)</t>
        </is>
      </c>
      <c r="Q966" s="13">
        <f>ROUNDUP(O966/'Methodology &amp; Assumptions'!$B$6, 0)</f>
        <v/>
      </c>
      <c r="R966" s="13" t="n">
        <v>1</v>
      </c>
      <c r="S966" s="14" t="n">
        <v>5.12</v>
      </c>
      <c r="T966" s="14" t="n">
        <v>3.13</v>
      </c>
      <c r="U966" s="26">
        <f>IF(X966&gt;='Methodology &amp; Assumptions'!$B$7, "Tier 1 Critical GIDA (Score ≥ 50.0)", IF(X966&gt;='Methodology &amp; Assumptions'!$B$8, "Tier 2 High GIDA (Score 40.0–49.9)", "Tier 3 Moderate GIDA (Score &lt; 40.0)"))</f>
        <v/>
      </c>
      <c r="V966" s="26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W966" s="28" t="n">
        <v>0.011</v>
      </c>
      <c r="X966" s="14" t="n">
        <v>48.12</v>
      </c>
      <c r="Y966" s="14">
        <f>ROUND(MIN(100, (X966/69.91)*100), 2)</f>
        <v/>
      </c>
    </row>
    <row r="967">
      <c r="A967" s="10" t="n">
        <v>3</v>
      </c>
      <c r="B967" s="10" t="n">
        <v>963</v>
      </c>
      <c r="C967" s="10" t="n">
        <v>2963</v>
      </c>
      <c r="D967" s="10" t="inlineStr">
        <is>
          <t>1380606073</t>
        </is>
      </c>
      <c r="E967" s="26" t="inlineStr">
        <is>
          <t>National Capital Region (NCR)</t>
        </is>
      </c>
      <c r="F967" s="26" t="inlineStr">
        <is>
          <t>First District (Not a Province)</t>
        </is>
      </c>
      <c r="G967" s="26" t="inlineStr">
        <is>
          <t>City of Manila</t>
        </is>
      </c>
      <c r="H967" s="26" t="inlineStr">
        <is>
          <t>Barangay 467</t>
        </is>
      </c>
      <c r="I967" s="27" t="n">
        <v>13.304085</v>
      </c>
      <c r="J967" s="27" t="n">
        <v>120.723001</v>
      </c>
      <c r="K967" s="10" t="inlineStr">
        <is>
          <t>U</t>
        </is>
      </c>
      <c r="L967" s="12" t="n">
        <v>1195</v>
      </c>
      <c r="M967" s="14" t="n">
        <v>3.9</v>
      </c>
      <c r="N967" s="12">
        <f>ROUND(L967/M967, 0)</f>
        <v/>
      </c>
      <c r="O967" s="12">
        <f>ROUND(N967*'Methodology &amp; Assumptions'!$B$5, 0)</f>
        <v/>
      </c>
      <c r="P967" s="10" t="inlineStr">
        <is>
          <t>Single Carrier (Band n50, 100MHz TDD)</t>
        </is>
      </c>
      <c r="Q967" s="13">
        <f>ROUNDUP(O967/'Methodology &amp; Assumptions'!$B$6, 0)</f>
        <v/>
      </c>
      <c r="R967" s="13" t="n">
        <v>1</v>
      </c>
      <c r="S967" s="14" t="n">
        <v>29.66</v>
      </c>
      <c r="T967" s="14" t="n">
        <v>28.27</v>
      </c>
      <c r="U967" s="26">
        <f>IF(X967&gt;='Methodology &amp; Assumptions'!$B$7, "Tier 1 Critical GIDA (Score ≥ 50.0)", IF(X967&gt;='Methodology &amp; Assumptions'!$B$8, "Tier 2 High GIDA (Score 40.0–49.9)", "Tier 3 Moderate GIDA (Score &lt; 40.0)"))</f>
        <v/>
      </c>
      <c r="V967" s="26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W967" s="28" t="n">
        <v>0.109</v>
      </c>
      <c r="X967" s="14" t="n">
        <v>48.11</v>
      </c>
      <c r="Y967" s="14">
        <f>ROUND(MIN(100, (X967/69.91)*100), 2)</f>
        <v/>
      </c>
    </row>
    <row r="968">
      <c r="A968" s="10" t="n">
        <v>3</v>
      </c>
      <c r="B968" s="10" t="n">
        <v>964</v>
      </c>
      <c r="C968" s="10" t="n">
        <v>2964</v>
      </c>
      <c r="D968" s="10" t="inlineStr">
        <is>
          <t>PH0002964</t>
        </is>
      </c>
      <c r="E968" s="26" t="inlineStr">
        <is>
          <t>III</t>
        </is>
      </c>
      <c r="F968" s="26" t="inlineStr">
        <is>
          <t>Pampanga</t>
        </is>
      </c>
      <c r="G968" s="26" t="inlineStr">
        <is>
          <t>Angeles City</t>
        </is>
      </c>
      <c r="H968" s="26" t="inlineStr">
        <is>
          <t>Pulungbulu</t>
        </is>
      </c>
      <c r="I968" s="27" t="n">
        <v>15.136301</v>
      </c>
      <c r="J968" s="27" t="n">
        <v>120.594506</v>
      </c>
      <c r="K968" s="10" t="inlineStr">
        <is>
          <t>R</t>
        </is>
      </c>
      <c r="L968" s="12" t="n">
        <v>2334</v>
      </c>
      <c r="M968" s="14" t="n">
        <v>4</v>
      </c>
      <c r="N968" s="12">
        <f>ROUND(L968/M968, 0)</f>
        <v/>
      </c>
      <c r="O968" s="12">
        <f>ROUND(N968*'Methodology &amp; Assumptions'!$B$5, 0)</f>
        <v/>
      </c>
      <c r="P968" s="10" t="inlineStr">
        <is>
          <t>Single Carrier (Band n50, 100MHz TDD)</t>
        </is>
      </c>
      <c r="Q968" s="13">
        <f>ROUNDUP(O968/'Methodology &amp; Assumptions'!$B$6, 0)</f>
        <v/>
      </c>
      <c r="R968" s="13" t="n">
        <v>1</v>
      </c>
      <c r="S968" s="14" t="n">
        <v>0.91</v>
      </c>
      <c r="T968" s="14" t="n">
        <v>0.24</v>
      </c>
      <c r="U968" s="26">
        <f>IF(X968&gt;='Methodology &amp; Assumptions'!$B$7, "Tier 1 Critical GIDA (Score ≥ 50.0)", IF(X968&gt;='Methodology &amp; Assumptions'!$B$8, "Tier 2 High GIDA (Score 40.0–49.9)", "Tier 3 Moderate GIDA (Score &lt; 40.0)"))</f>
        <v/>
      </c>
      <c r="V968" s="26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W968" s="28" t="n">
        <v>0.083</v>
      </c>
      <c r="X968" s="14" t="n">
        <v>48.11</v>
      </c>
      <c r="Y968" s="14">
        <f>ROUND(MIN(100, (X968/69.91)*100), 2)</f>
        <v/>
      </c>
    </row>
    <row r="969">
      <c r="A969" s="10" t="n">
        <v>3</v>
      </c>
      <c r="B969" s="10" t="n">
        <v>965</v>
      </c>
      <c r="C969" s="10" t="n">
        <v>2965</v>
      </c>
      <c r="D969" s="10" t="inlineStr">
        <is>
          <t>1380606143</t>
        </is>
      </c>
      <c r="E969" s="26" t="inlineStr">
        <is>
          <t>National Capital Region (NCR)</t>
        </is>
      </c>
      <c r="F969" s="26" t="inlineStr">
        <is>
          <t>First District (Not a Province)</t>
        </is>
      </c>
      <c r="G969" s="26" t="inlineStr">
        <is>
          <t>City of Manila</t>
        </is>
      </c>
      <c r="H969" s="26" t="inlineStr">
        <is>
          <t>Barangay 537</t>
        </is>
      </c>
      <c r="I969" s="27" t="n">
        <v>13.259452</v>
      </c>
      <c r="J969" s="27" t="n">
        <v>122.844289</v>
      </c>
      <c r="K969" s="10" t="inlineStr">
        <is>
          <t>U</t>
        </is>
      </c>
      <c r="L969" s="12" t="n">
        <v>1118</v>
      </c>
      <c r="M969" s="14" t="n">
        <v>3.9</v>
      </c>
      <c r="N969" s="12">
        <f>ROUND(L969/M969, 0)</f>
        <v/>
      </c>
      <c r="O969" s="12">
        <f>ROUND(N969*'Methodology &amp; Assumptions'!$B$5, 0)</f>
        <v/>
      </c>
      <c r="P969" s="10" t="inlineStr">
        <is>
          <t>Single Carrier (Band n50, 100MHz TDD)</t>
        </is>
      </c>
      <c r="Q969" s="13">
        <f>ROUNDUP(O969/'Methodology &amp; Assumptions'!$B$6, 0)</f>
        <v/>
      </c>
      <c r="R969" s="13" t="n">
        <v>1</v>
      </c>
      <c r="S969" s="14" t="n">
        <v>16.98</v>
      </c>
      <c r="T969" s="14" t="n">
        <v>34.09</v>
      </c>
      <c r="U969" s="26">
        <f>IF(X969&gt;='Methodology &amp; Assumptions'!$B$7, "Tier 1 Critical GIDA (Score ≥ 50.0)", IF(X969&gt;='Methodology &amp; Assumptions'!$B$8, "Tier 2 High GIDA (Score 40.0–49.9)", "Tier 3 Moderate GIDA (Score &lt; 40.0)"))</f>
        <v/>
      </c>
      <c r="V969" s="26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W969" s="28" t="n">
        <v>0.109</v>
      </c>
      <c r="X969" s="14" t="n">
        <v>48.11</v>
      </c>
      <c r="Y969" s="14">
        <f>ROUND(MIN(100, (X969/69.91)*100), 2)</f>
        <v/>
      </c>
    </row>
    <row r="970">
      <c r="A970" s="10" t="n">
        <v>3</v>
      </c>
      <c r="B970" s="10" t="n">
        <v>966</v>
      </c>
      <c r="C970" s="10" t="n">
        <v>2966</v>
      </c>
      <c r="D970" s="10" t="inlineStr">
        <is>
          <t>1380614048</t>
        </is>
      </c>
      <c r="E970" s="26" t="inlineStr">
        <is>
          <t>National Capital Region (NCR)</t>
        </is>
      </c>
      <c r="F970" s="26" t="inlineStr">
        <is>
          <t>First District (Not a Province)</t>
        </is>
      </c>
      <c r="G970" s="26" t="inlineStr">
        <is>
          <t>City of Manila</t>
        </is>
      </c>
      <c r="H970" s="26" t="inlineStr">
        <is>
          <t>Barangay 792</t>
        </is>
      </c>
      <c r="I970" s="27" t="n">
        <v>11.893636</v>
      </c>
      <c r="J970" s="27" t="n">
        <v>121.247439</v>
      </c>
      <c r="K970" s="10" t="inlineStr">
        <is>
          <t>U</t>
        </is>
      </c>
      <c r="L970" s="12" t="n">
        <v>2637</v>
      </c>
      <c r="M970" s="14" t="n">
        <v>3.9</v>
      </c>
      <c r="N970" s="12">
        <f>ROUND(L970/M970, 0)</f>
        <v/>
      </c>
      <c r="O970" s="12">
        <f>ROUND(N970*'Methodology &amp; Assumptions'!$B$5, 0)</f>
        <v/>
      </c>
      <c r="P970" s="10" t="inlineStr">
        <is>
          <t>Single Carrier (Band n50, 100MHz TDD)</t>
        </is>
      </c>
      <c r="Q970" s="13">
        <f>ROUNDUP(O970/'Methodology &amp; Assumptions'!$B$6, 0)</f>
        <v/>
      </c>
      <c r="R970" s="13" t="n">
        <v>1</v>
      </c>
      <c r="S970" s="14" t="n">
        <v>47.38</v>
      </c>
      <c r="T970" s="14" t="n">
        <v>43.07</v>
      </c>
      <c r="U970" s="26">
        <f>IF(X970&gt;='Methodology &amp; Assumptions'!$B$7, "Tier 1 Critical GIDA (Score ≥ 50.0)", IF(X970&gt;='Methodology &amp; Assumptions'!$B$8, "Tier 2 High GIDA (Score 40.0–49.9)", "Tier 3 Moderate GIDA (Score &lt; 40.0)"))</f>
        <v/>
      </c>
      <c r="V970" s="26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W970" s="28" t="n">
        <v>0.109</v>
      </c>
      <c r="X970" s="14" t="n">
        <v>48.11</v>
      </c>
      <c r="Y970" s="14">
        <f>ROUND(MIN(100, (X970/69.91)*100), 2)</f>
        <v/>
      </c>
    </row>
    <row r="971">
      <c r="A971" s="10" t="n">
        <v>3</v>
      </c>
      <c r="B971" s="10" t="n">
        <v>967</v>
      </c>
      <c r="C971" s="10" t="n">
        <v>2967</v>
      </c>
      <c r="D971" s="10" t="inlineStr">
        <is>
          <t>1380605064</t>
        </is>
      </c>
      <c r="E971" s="26" t="inlineStr">
        <is>
          <t>National Capital Region (NCR)</t>
        </is>
      </c>
      <c r="F971" s="26" t="inlineStr">
        <is>
          <t>First District (Not a Province)</t>
        </is>
      </c>
      <c r="G971" s="26" t="inlineStr">
        <is>
          <t>City of Manila</t>
        </is>
      </c>
      <c r="H971" s="26" t="inlineStr">
        <is>
          <t>Barangay 362</t>
        </is>
      </c>
      <c r="I971" s="27" t="n">
        <v>13.954795</v>
      </c>
      <c r="J971" s="27" t="n">
        <v>121.478494</v>
      </c>
      <c r="K971" s="10" t="inlineStr">
        <is>
          <t>U</t>
        </is>
      </c>
      <c r="L971" s="12" t="n">
        <v>260</v>
      </c>
      <c r="M971" s="14" t="n">
        <v>3.9</v>
      </c>
      <c r="N971" s="12">
        <f>ROUND(L971/M971, 0)</f>
        <v/>
      </c>
      <c r="O971" s="12">
        <f>ROUND(N971*'Methodology &amp; Assumptions'!$B$5, 0)</f>
        <v/>
      </c>
      <c r="P971" s="10" t="inlineStr">
        <is>
          <t>Single Carrier (Band n50, 100MHz TDD)</t>
        </is>
      </c>
      <c r="Q971" s="13">
        <f>ROUNDUP(O971/'Methodology &amp; Assumptions'!$B$6, 0)</f>
        <v/>
      </c>
      <c r="R971" s="13" t="n">
        <v>1</v>
      </c>
      <c r="S971" s="14" t="n">
        <v>4.26</v>
      </c>
      <c r="T971" s="14" t="n">
        <v>2.07</v>
      </c>
      <c r="U971" s="26">
        <f>IF(X971&gt;='Methodology &amp; Assumptions'!$B$7, "Tier 1 Critical GIDA (Score ≥ 50.0)", IF(X971&gt;='Methodology &amp; Assumptions'!$B$8, "Tier 2 High GIDA (Score 40.0–49.9)", "Tier 3 Moderate GIDA (Score &lt; 40.0)"))</f>
        <v/>
      </c>
      <c r="V971" s="26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W971" s="28" t="n">
        <v>0.109</v>
      </c>
      <c r="X971" s="14" t="n">
        <v>48.11</v>
      </c>
      <c r="Y971" s="14">
        <f>ROUND(MIN(100, (X971/69.91)*100), 2)</f>
        <v/>
      </c>
    </row>
    <row r="972">
      <c r="A972" s="10" t="n">
        <v>3</v>
      </c>
      <c r="B972" s="10" t="n">
        <v>968</v>
      </c>
      <c r="C972" s="10" t="n">
        <v>2968</v>
      </c>
      <c r="D972" s="10" t="inlineStr">
        <is>
          <t>1102315029</t>
        </is>
      </c>
      <c r="E972" s="26" t="inlineStr">
        <is>
          <t>Region XI (Davao Region)</t>
        </is>
      </c>
      <c r="F972" s="26" t="inlineStr">
        <is>
          <t>Davao del Norte</t>
        </is>
      </c>
      <c r="G972" s="26" t="inlineStr">
        <is>
          <t>City of Panabo</t>
        </is>
      </c>
      <c r="H972" s="26" t="inlineStr">
        <is>
          <t>San Francisco</t>
        </is>
      </c>
      <c r="I972" s="27" t="n">
        <v>7.303326</v>
      </c>
      <c r="J972" s="27" t="n">
        <v>125.681285</v>
      </c>
      <c r="K972" s="10" t="inlineStr">
        <is>
          <t>U</t>
        </is>
      </c>
      <c r="L972" s="12" t="n">
        <v>14187</v>
      </c>
      <c r="M972" s="14" t="n">
        <v>3.7</v>
      </c>
      <c r="N972" s="12">
        <f>ROUND(L972/M972, 0)</f>
        <v/>
      </c>
      <c r="O972" s="12">
        <f>ROUND(N972*'Methodology &amp; Assumptions'!$B$5, 0)</f>
        <v/>
      </c>
      <c r="P972" s="10" t="inlineStr">
        <is>
          <t>Single Carrier (Band n50, 100MHz TDD)</t>
        </is>
      </c>
      <c r="Q972" s="13">
        <f>ROUNDUP(O972/'Methodology &amp; Assumptions'!$B$6, 0)</f>
        <v/>
      </c>
      <c r="R972" s="13" t="n">
        <v>1</v>
      </c>
      <c r="S972" s="14" t="n">
        <v>0.32</v>
      </c>
      <c r="T972" s="14" t="n">
        <v>0.34</v>
      </c>
      <c r="U972" s="26">
        <f>IF(X972&gt;='Methodology &amp; Assumptions'!$B$7, "Tier 1 Critical GIDA (Score ≥ 50.0)", IF(X972&gt;='Methodology &amp; Assumptions'!$B$8, "Tier 2 High GIDA (Score 40.0–49.9)", "Tier 3 Moderate GIDA (Score &lt; 40.0)"))</f>
        <v/>
      </c>
      <c r="V972" s="26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W972" s="28" t="n">
        <v>0.174</v>
      </c>
      <c r="X972" s="14" t="n">
        <v>48.1</v>
      </c>
      <c r="Y972" s="14">
        <f>ROUND(MIN(100, (X972/69.91)*100), 2)</f>
        <v/>
      </c>
    </row>
    <row r="973">
      <c r="A973" s="10" t="n">
        <v>3</v>
      </c>
      <c r="B973" s="10" t="n">
        <v>969</v>
      </c>
      <c r="C973" s="10" t="n">
        <v>2969</v>
      </c>
      <c r="D973" s="10" t="inlineStr">
        <is>
          <t>1380601051</t>
        </is>
      </c>
      <c r="E973" s="26" t="inlineStr">
        <is>
          <t>National Capital Region (NCR)</t>
        </is>
      </c>
      <c r="F973" s="26" t="inlineStr">
        <is>
          <t>First District (Not a Province)</t>
        </is>
      </c>
      <c r="G973" s="26" t="inlineStr">
        <is>
          <t>City of Manila</t>
        </is>
      </c>
      <c r="H973" s="26" t="inlineStr">
        <is>
          <t>Barangay 51</t>
        </is>
      </c>
      <c r="I973" s="27" t="n">
        <v>12.280949</v>
      </c>
      <c r="J973" s="27" t="n">
        <v>122.738107</v>
      </c>
      <c r="K973" s="10" t="inlineStr">
        <is>
          <t>U</t>
        </is>
      </c>
      <c r="L973" s="12" t="n">
        <v>2658</v>
      </c>
      <c r="M973" s="14" t="n">
        <v>3.9</v>
      </c>
      <c r="N973" s="12">
        <f>ROUND(L973/M973, 0)</f>
        <v/>
      </c>
      <c r="O973" s="12">
        <f>ROUND(N973*'Methodology &amp; Assumptions'!$B$5, 0)</f>
        <v/>
      </c>
      <c r="P973" s="10" t="inlineStr">
        <is>
          <t>Single Carrier (Band n50, 100MHz TDD)</t>
        </is>
      </c>
      <c r="Q973" s="13">
        <f>ROUNDUP(O973/'Methodology &amp; Assumptions'!$B$6, 0)</f>
        <v/>
      </c>
      <c r="R973" s="13" t="n">
        <v>1</v>
      </c>
      <c r="S973" s="14" t="n">
        <v>59.37</v>
      </c>
      <c r="T973" s="14" t="n">
        <v>51.5</v>
      </c>
      <c r="U973" s="26">
        <f>IF(X973&gt;='Methodology &amp; Assumptions'!$B$7, "Tier 1 Critical GIDA (Score ≥ 50.0)", IF(X973&gt;='Methodology &amp; Assumptions'!$B$8, "Tier 2 High GIDA (Score 40.0–49.9)", "Tier 3 Moderate GIDA (Score &lt; 40.0)"))</f>
        <v/>
      </c>
      <c r="V973" s="26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W973" s="28" t="n">
        <v>0.109</v>
      </c>
      <c r="X973" s="14" t="n">
        <v>48.1</v>
      </c>
      <c r="Y973" s="14">
        <f>ROUND(MIN(100, (X973/69.91)*100), 2)</f>
        <v/>
      </c>
    </row>
    <row r="974">
      <c r="A974" s="10" t="n">
        <v>3</v>
      </c>
      <c r="B974" s="10" t="n">
        <v>970</v>
      </c>
      <c r="C974" s="10" t="n">
        <v>2970</v>
      </c>
      <c r="D974" s="10" t="inlineStr">
        <is>
          <t>1380606091</t>
        </is>
      </c>
      <c r="E974" s="26" t="inlineStr">
        <is>
          <t>National Capital Region (NCR)</t>
        </is>
      </c>
      <c r="F974" s="26" t="inlineStr">
        <is>
          <t>First District (Not a Province)</t>
        </is>
      </c>
      <c r="G974" s="26" t="inlineStr">
        <is>
          <t>City of Manila</t>
        </is>
      </c>
      <c r="H974" s="26" t="inlineStr">
        <is>
          <t>Barangay 485</t>
        </is>
      </c>
      <c r="I974" s="27" t="n">
        <v>12.685957</v>
      </c>
      <c r="J974" s="27" t="n">
        <v>120.646872</v>
      </c>
      <c r="K974" s="10" t="inlineStr">
        <is>
          <t>U</t>
        </is>
      </c>
      <c r="L974" s="12" t="n">
        <v>1378</v>
      </c>
      <c r="M974" s="14" t="n">
        <v>3.9</v>
      </c>
      <c r="N974" s="12">
        <f>ROUND(L974/M974, 0)</f>
        <v/>
      </c>
      <c r="O974" s="12">
        <f>ROUND(N974*'Methodology &amp; Assumptions'!$B$5, 0)</f>
        <v/>
      </c>
      <c r="P974" s="10" t="inlineStr">
        <is>
          <t>Single Carrier (Band n50, 100MHz TDD)</t>
        </is>
      </c>
      <c r="Q974" s="13">
        <f>ROUNDUP(O974/'Methodology &amp; Assumptions'!$B$6, 0)</f>
        <v/>
      </c>
      <c r="R974" s="13" t="n">
        <v>1</v>
      </c>
      <c r="S974" s="14" t="n">
        <v>58.7</v>
      </c>
      <c r="T974" s="14" t="n">
        <v>56.68</v>
      </c>
      <c r="U974" s="26">
        <f>IF(X974&gt;='Methodology &amp; Assumptions'!$B$7, "Tier 1 Critical GIDA (Score ≥ 50.0)", IF(X974&gt;='Methodology &amp; Assumptions'!$B$8, "Tier 2 High GIDA (Score 40.0–49.9)", "Tier 3 Moderate GIDA (Score &lt; 40.0)"))</f>
        <v/>
      </c>
      <c r="V974" s="26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W974" s="28" t="n">
        <v>0.109</v>
      </c>
      <c r="X974" s="14" t="n">
        <v>48.1</v>
      </c>
      <c r="Y974" s="14">
        <f>ROUND(MIN(100, (X974/69.91)*100), 2)</f>
        <v/>
      </c>
    </row>
    <row r="975">
      <c r="A975" s="10" t="n">
        <v>3</v>
      </c>
      <c r="B975" s="10" t="n">
        <v>971</v>
      </c>
      <c r="C975" s="10" t="n">
        <v>2971</v>
      </c>
      <c r="D975" s="10" t="inlineStr">
        <is>
          <t>PH0002971</t>
        </is>
      </c>
      <c r="E975" s="26" t="inlineStr">
        <is>
          <t>IV-A</t>
        </is>
      </c>
      <c r="F975" s="26" t="inlineStr">
        <is>
          <t>Laguna</t>
        </is>
      </c>
      <c r="G975" s="26" t="inlineStr">
        <is>
          <t>San Pablo City</t>
        </is>
      </c>
      <c r="H975" s="26" t="inlineStr">
        <is>
          <t>Barangay V-B (Pob.)</t>
        </is>
      </c>
      <c r="I975" s="27" t="n">
        <v>14.063935</v>
      </c>
      <c r="J975" s="27" t="n">
        <v>121.340002</v>
      </c>
      <c r="K975" s="10" t="inlineStr">
        <is>
          <t>R</t>
        </is>
      </c>
      <c r="L975" s="12" t="n">
        <v>2412</v>
      </c>
      <c r="M975" s="14" t="n">
        <v>3.3</v>
      </c>
      <c r="N975" s="12">
        <f>ROUND(L975/M975, 0)</f>
        <v/>
      </c>
      <c r="O975" s="12">
        <f>ROUND(N975*'Methodology &amp; Assumptions'!$B$5, 0)</f>
        <v/>
      </c>
      <c r="P975" s="10" t="inlineStr">
        <is>
          <t>Single Carrier (Band n50, 100MHz TDD)</t>
        </is>
      </c>
      <c r="Q975" s="13">
        <f>ROUNDUP(O975/'Methodology &amp; Assumptions'!$B$6, 0)</f>
        <v/>
      </c>
      <c r="R975" s="13" t="n">
        <v>1</v>
      </c>
      <c r="S975" s="14" t="n">
        <v>1.24</v>
      </c>
      <c r="T975" s="14" t="n">
        <v>1.14</v>
      </c>
      <c r="U975" s="26">
        <f>IF(X975&gt;='Methodology &amp; Assumptions'!$B$7, "Tier 1 Critical GIDA (Score ≥ 50.0)", IF(X975&gt;='Methodology &amp; Assumptions'!$B$8, "Tier 2 High GIDA (Score 40.0–49.9)", "Tier 3 Moderate GIDA (Score &lt; 40.0)"))</f>
        <v/>
      </c>
      <c r="V975" s="26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W975" s="28" t="n">
        <v>0.07200000000000001</v>
      </c>
      <c r="X975" s="14" t="n">
        <v>48.1</v>
      </c>
      <c r="Y975" s="14">
        <f>ROUND(MIN(100, (X975/69.91)*100), 2)</f>
        <v/>
      </c>
    </row>
    <row r="976">
      <c r="A976" s="10" t="n">
        <v>3</v>
      </c>
      <c r="B976" s="10" t="n">
        <v>972</v>
      </c>
      <c r="C976" s="10" t="n">
        <v>2972</v>
      </c>
      <c r="D976" s="10" t="inlineStr">
        <is>
          <t>1380601252</t>
        </is>
      </c>
      <c r="E976" s="26" t="inlineStr">
        <is>
          <t>National Capital Region (NCR)</t>
        </is>
      </c>
      <c r="F976" s="26" t="inlineStr">
        <is>
          <t>First District (Not a Province)</t>
        </is>
      </c>
      <c r="G976" s="26" t="inlineStr">
        <is>
          <t>City of Manila</t>
        </is>
      </c>
      <c r="H976" s="26" t="inlineStr">
        <is>
          <t>Barangay 251</t>
        </is>
      </c>
      <c r="I976" s="27" t="n">
        <v>13.765931</v>
      </c>
      <c r="J976" s="27" t="n">
        <v>122.47158</v>
      </c>
      <c r="K976" s="10" t="inlineStr">
        <is>
          <t>U</t>
        </is>
      </c>
      <c r="L976" s="12" t="n">
        <v>1217</v>
      </c>
      <c r="M976" s="14" t="n">
        <v>3.9</v>
      </c>
      <c r="N976" s="12">
        <f>ROUND(L976/M976, 0)</f>
        <v/>
      </c>
      <c r="O976" s="12">
        <f>ROUND(N976*'Methodology &amp; Assumptions'!$B$5, 0)</f>
        <v/>
      </c>
      <c r="P976" s="10" t="inlineStr">
        <is>
          <t>Single Carrier (Band n50, 100MHz TDD)</t>
        </is>
      </c>
      <c r="Q976" s="13">
        <f>ROUNDUP(O976/'Methodology &amp; Assumptions'!$B$6, 0)</f>
        <v/>
      </c>
      <c r="R976" s="13" t="n">
        <v>1</v>
      </c>
      <c r="S976" s="14" t="n">
        <v>2.8</v>
      </c>
      <c r="T976" s="14" t="n">
        <v>2.72</v>
      </c>
      <c r="U976" s="26">
        <f>IF(X976&gt;='Methodology &amp; Assumptions'!$B$7, "Tier 1 Critical GIDA (Score ≥ 50.0)", IF(X976&gt;='Methodology &amp; Assumptions'!$B$8, "Tier 2 High GIDA (Score 40.0–49.9)", "Tier 3 Moderate GIDA (Score &lt; 40.0)"))</f>
        <v/>
      </c>
      <c r="V976" s="26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W976" s="28" t="n">
        <v>0.109</v>
      </c>
      <c r="X976" s="14" t="n">
        <v>48.1</v>
      </c>
      <c r="Y976" s="14">
        <f>ROUND(MIN(100, (X976/69.91)*100), 2)</f>
        <v/>
      </c>
    </row>
    <row r="977">
      <c r="A977" s="10" t="n">
        <v>3</v>
      </c>
      <c r="B977" s="10" t="n">
        <v>973</v>
      </c>
      <c r="C977" s="10" t="n">
        <v>2973</v>
      </c>
      <c r="D977" s="10" t="inlineStr">
        <is>
          <t>1380606153</t>
        </is>
      </c>
      <c r="E977" s="26" t="inlineStr">
        <is>
          <t>National Capital Region (NCR)</t>
        </is>
      </c>
      <c r="F977" s="26" t="inlineStr">
        <is>
          <t>First District (Not a Province)</t>
        </is>
      </c>
      <c r="G977" s="26" t="inlineStr">
        <is>
          <t>City of Manila</t>
        </is>
      </c>
      <c r="H977" s="26" t="inlineStr">
        <is>
          <t>Barangay 547</t>
        </is>
      </c>
      <c r="I977" s="27" t="n">
        <v>11.765537</v>
      </c>
      <c r="J977" s="27" t="n">
        <v>121.873992</v>
      </c>
      <c r="K977" s="10" t="inlineStr">
        <is>
          <t>U</t>
        </is>
      </c>
      <c r="L977" s="12" t="n">
        <v>1091</v>
      </c>
      <c r="M977" s="14" t="n">
        <v>3.9</v>
      </c>
      <c r="N977" s="12">
        <f>ROUND(L977/M977, 0)</f>
        <v/>
      </c>
      <c r="O977" s="12">
        <f>ROUND(N977*'Methodology &amp; Assumptions'!$B$5, 0)</f>
        <v/>
      </c>
      <c r="P977" s="10" t="inlineStr">
        <is>
          <t>Single Carrier (Band n50, 100MHz TDD)</t>
        </is>
      </c>
      <c r="Q977" s="13">
        <f>ROUNDUP(O977/'Methodology &amp; Assumptions'!$B$6, 0)</f>
        <v/>
      </c>
      <c r="R977" s="13" t="n">
        <v>1</v>
      </c>
      <c r="S977" s="14" t="n">
        <v>21.78</v>
      </c>
      <c r="T977" s="14" t="n">
        <v>19.3</v>
      </c>
      <c r="U977" s="26">
        <f>IF(X977&gt;='Methodology &amp; Assumptions'!$B$7, "Tier 1 Critical GIDA (Score ≥ 50.0)", IF(X977&gt;='Methodology &amp; Assumptions'!$B$8, "Tier 2 High GIDA (Score 40.0–49.9)", "Tier 3 Moderate GIDA (Score &lt; 40.0)"))</f>
        <v/>
      </c>
      <c r="V977" s="26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W977" s="28" t="n">
        <v>0.109</v>
      </c>
      <c r="X977" s="14" t="n">
        <v>48.1</v>
      </c>
      <c r="Y977" s="14">
        <f>ROUND(MIN(100, (X977/69.91)*100), 2)</f>
        <v/>
      </c>
    </row>
    <row r="978">
      <c r="A978" s="10" t="n">
        <v>3</v>
      </c>
      <c r="B978" s="10" t="n">
        <v>974</v>
      </c>
      <c r="C978" s="10" t="n">
        <v>2974</v>
      </c>
      <c r="D978" s="10" t="inlineStr">
        <is>
          <t>1380614080</t>
        </is>
      </c>
      <c r="E978" s="26" t="inlineStr">
        <is>
          <t>National Capital Region (NCR)</t>
        </is>
      </c>
      <c r="F978" s="26" t="inlineStr">
        <is>
          <t>First District (Not a Province)</t>
        </is>
      </c>
      <c r="G978" s="26" t="inlineStr">
        <is>
          <t>City of Manila</t>
        </is>
      </c>
      <c r="H978" s="26" t="inlineStr">
        <is>
          <t>Barangay 887</t>
        </is>
      </c>
      <c r="I978" s="27" t="n">
        <v>13.636205</v>
      </c>
      <c r="J978" s="27" t="n">
        <v>120.927112</v>
      </c>
      <c r="K978" s="10" t="inlineStr">
        <is>
          <t>U</t>
        </is>
      </c>
      <c r="L978" s="12" t="n">
        <v>685</v>
      </c>
      <c r="M978" s="14" t="n">
        <v>3.9</v>
      </c>
      <c r="N978" s="12">
        <f>ROUND(L978/M978, 0)</f>
        <v/>
      </c>
      <c r="O978" s="12">
        <f>ROUND(N978*'Methodology &amp; Assumptions'!$B$5, 0)</f>
        <v/>
      </c>
      <c r="P978" s="10" t="inlineStr">
        <is>
          <t>Single Carrier (Band n50, 100MHz TDD)</t>
        </is>
      </c>
      <c r="Q978" s="13">
        <f>ROUNDUP(O978/'Methodology &amp; Assumptions'!$B$6, 0)</f>
        <v/>
      </c>
      <c r="R978" s="13" t="n">
        <v>1</v>
      </c>
      <c r="S978" s="14" t="n">
        <v>6.86</v>
      </c>
      <c r="T978" s="14" t="n">
        <v>14.43</v>
      </c>
      <c r="U978" s="26">
        <f>IF(X978&gt;='Methodology &amp; Assumptions'!$B$7, "Tier 1 Critical GIDA (Score ≥ 50.0)", IF(X978&gt;='Methodology &amp; Assumptions'!$B$8, "Tier 2 High GIDA (Score 40.0–49.9)", "Tier 3 Moderate GIDA (Score &lt; 40.0)"))</f>
        <v/>
      </c>
      <c r="V978" s="26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W978" s="28" t="n">
        <v>0.109</v>
      </c>
      <c r="X978" s="14" t="n">
        <v>48.1</v>
      </c>
      <c r="Y978" s="14">
        <f>ROUND(MIN(100, (X978/69.91)*100), 2)</f>
        <v/>
      </c>
    </row>
    <row r="979">
      <c r="A979" s="10" t="n">
        <v>3</v>
      </c>
      <c r="B979" s="10" t="n">
        <v>975</v>
      </c>
      <c r="C979" s="10" t="n">
        <v>2975</v>
      </c>
      <c r="D979" s="10" t="inlineStr">
        <is>
          <t>1380606218</t>
        </is>
      </c>
      <c r="E979" s="26" t="inlineStr">
        <is>
          <t>National Capital Region (NCR)</t>
        </is>
      </c>
      <c r="F979" s="26" t="inlineStr">
        <is>
          <t>First District (Not a Province)</t>
        </is>
      </c>
      <c r="G979" s="26" t="inlineStr">
        <is>
          <t>City of Manila</t>
        </is>
      </c>
      <c r="H979" s="26" t="inlineStr">
        <is>
          <t>Barangay 611</t>
        </is>
      </c>
      <c r="I979" s="27" t="n">
        <v>12.121371</v>
      </c>
      <c r="J979" s="27" t="n">
        <v>120.925071</v>
      </c>
      <c r="K979" s="10" t="inlineStr">
        <is>
          <t>U</t>
        </is>
      </c>
      <c r="L979" s="12" t="n">
        <v>833</v>
      </c>
      <c r="M979" s="14" t="n">
        <v>3.9</v>
      </c>
      <c r="N979" s="12">
        <f>ROUND(L979/M979, 0)</f>
        <v/>
      </c>
      <c r="O979" s="12">
        <f>ROUND(N979*'Methodology &amp; Assumptions'!$B$5, 0)</f>
        <v/>
      </c>
      <c r="P979" s="10" t="inlineStr">
        <is>
          <t>Single Carrier (Band n50, 100MHz TDD)</t>
        </is>
      </c>
      <c r="Q979" s="13">
        <f>ROUNDUP(O979/'Methodology &amp; Assumptions'!$B$6, 0)</f>
        <v/>
      </c>
      <c r="R979" s="13" t="n">
        <v>1</v>
      </c>
      <c r="S979" s="14" t="n">
        <v>29.68</v>
      </c>
      <c r="T979" s="14" t="n">
        <v>29.68</v>
      </c>
      <c r="U979" s="26">
        <f>IF(X979&gt;='Methodology &amp; Assumptions'!$B$7, "Tier 1 Critical GIDA (Score ≥ 50.0)", IF(X979&gt;='Methodology &amp; Assumptions'!$B$8, "Tier 2 High GIDA (Score 40.0–49.9)", "Tier 3 Moderate GIDA (Score &lt; 40.0)"))</f>
        <v/>
      </c>
      <c r="V979" s="26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W979" s="28" t="n">
        <v>0.109</v>
      </c>
      <c r="X979" s="14" t="n">
        <v>48.1</v>
      </c>
      <c r="Y979" s="14">
        <f>ROUND(MIN(100, (X979/69.91)*100), 2)</f>
        <v/>
      </c>
    </row>
    <row r="980">
      <c r="A980" s="10" t="n">
        <v>3</v>
      </c>
      <c r="B980" s="10" t="n">
        <v>976</v>
      </c>
      <c r="C980" s="10" t="n">
        <v>2976</v>
      </c>
      <c r="D980" s="10" t="inlineStr">
        <is>
          <t>PH0002976</t>
        </is>
      </c>
      <c r="E980" s="26" t="inlineStr">
        <is>
          <t>NCR</t>
        </is>
      </c>
      <c r="F980" s="26" t="inlineStr">
        <is>
          <t>Metro Manila</t>
        </is>
      </c>
      <c r="G980" s="26" t="inlineStr">
        <is>
          <t>Caloocan City</t>
        </is>
      </c>
      <c r="H980" s="26" t="inlineStr">
        <is>
          <t>Barangay 47</t>
        </is>
      </c>
      <c r="I980" s="27" t="n">
        <v>12.256452</v>
      </c>
      <c r="J980" s="27" t="n">
        <v>123.145055</v>
      </c>
      <c r="K980" s="10" t="inlineStr">
        <is>
          <t>R</t>
        </is>
      </c>
      <c r="L980" s="12" t="n">
        <v>2279</v>
      </c>
      <c r="M980" s="14" t="n">
        <v>3.8</v>
      </c>
      <c r="N980" s="12">
        <f>ROUND(L980/M980, 0)</f>
        <v/>
      </c>
      <c r="O980" s="12">
        <f>ROUND(N980*'Methodology &amp; Assumptions'!$B$5, 0)</f>
        <v/>
      </c>
      <c r="P980" s="10" t="inlineStr">
        <is>
          <t>Single Carrier (Band n50, 100MHz TDD)</t>
        </is>
      </c>
      <c r="Q980" s="13">
        <f>ROUNDUP(O980/'Methodology &amp; Assumptions'!$B$6, 0)</f>
        <v/>
      </c>
      <c r="R980" s="13" t="n">
        <v>1</v>
      </c>
      <c r="S980" s="14" t="n">
        <v>18.42</v>
      </c>
      <c r="T980" s="14" t="n">
        <v>34.86</v>
      </c>
      <c r="U980" s="26">
        <f>IF(X980&gt;='Methodology &amp; Assumptions'!$B$7, "Tier 1 Critical GIDA (Score ≥ 50.0)", IF(X980&gt;='Methodology &amp; Assumptions'!$B$8, "Tier 2 High GIDA (Score 40.0–49.9)", "Tier 3 Moderate GIDA (Score &lt; 40.0)"))</f>
        <v/>
      </c>
      <c r="V980" s="26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W980" s="28" t="n">
        <v>0.011</v>
      </c>
      <c r="X980" s="14" t="n">
        <v>48.09</v>
      </c>
      <c r="Y980" s="14">
        <f>ROUND(MIN(100, (X980/69.91)*100), 2)</f>
        <v/>
      </c>
    </row>
    <row r="981">
      <c r="A981" s="10" t="n">
        <v>3</v>
      </c>
      <c r="B981" s="10" t="n">
        <v>977</v>
      </c>
      <c r="C981" s="10" t="n">
        <v>2977</v>
      </c>
      <c r="D981" s="10" t="inlineStr">
        <is>
          <t>1380606006</t>
        </is>
      </c>
      <c r="E981" s="26" t="inlineStr">
        <is>
          <t>National Capital Region (NCR)</t>
        </is>
      </c>
      <c r="F981" s="26" t="inlineStr">
        <is>
          <t>First District (Not a Province)</t>
        </is>
      </c>
      <c r="G981" s="26" t="inlineStr">
        <is>
          <t>City of Manila</t>
        </is>
      </c>
      <c r="H981" s="26" t="inlineStr">
        <is>
          <t>Barangay 400</t>
        </is>
      </c>
      <c r="I981" s="27" t="n">
        <v>13.999241</v>
      </c>
      <c r="J981" s="27" t="n">
        <v>121.874475</v>
      </c>
      <c r="K981" s="10" t="inlineStr">
        <is>
          <t>U</t>
        </is>
      </c>
      <c r="L981" s="12" t="n">
        <v>1550</v>
      </c>
      <c r="M981" s="14" t="n">
        <v>3.9</v>
      </c>
      <c r="N981" s="12">
        <f>ROUND(L981/M981, 0)</f>
        <v/>
      </c>
      <c r="O981" s="12">
        <f>ROUND(N981*'Methodology &amp; Assumptions'!$B$5, 0)</f>
        <v/>
      </c>
      <c r="P981" s="10" t="inlineStr">
        <is>
          <t>Single Carrier (Band n50, 100MHz TDD)</t>
        </is>
      </c>
      <c r="Q981" s="13">
        <f>ROUNDUP(O981/'Methodology &amp; Assumptions'!$B$6, 0)</f>
        <v/>
      </c>
      <c r="R981" s="13" t="n">
        <v>1</v>
      </c>
      <c r="S981" s="14" t="n">
        <v>5.49</v>
      </c>
      <c r="T981" s="14" t="n">
        <v>0.12</v>
      </c>
      <c r="U981" s="26">
        <f>IF(X981&gt;='Methodology &amp; Assumptions'!$B$7, "Tier 1 Critical GIDA (Score ≥ 50.0)", IF(X981&gt;='Methodology &amp; Assumptions'!$B$8, "Tier 2 High GIDA (Score 40.0–49.9)", "Tier 3 Moderate GIDA (Score &lt; 40.0)"))</f>
        <v/>
      </c>
      <c r="V981" s="26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W981" s="28" t="n">
        <v>0.109</v>
      </c>
      <c r="X981" s="14" t="n">
        <v>48.09</v>
      </c>
      <c r="Y981" s="14">
        <f>ROUND(MIN(100, (X981/69.91)*100), 2)</f>
        <v/>
      </c>
    </row>
    <row r="982">
      <c r="A982" s="10" t="n">
        <v>3</v>
      </c>
      <c r="B982" s="10" t="n">
        <v>978</v>
      </c>
      <c r="C982" s="10" t="n">
        <v>2978</v>
      </c>
      <c r="D982" s="10" t="inlineStr">
        <is>
          <t>PH0002978</t>
        </is>
      </c>
      <c r="E982" s="26" t="inlineStr">
        <is>
          <t>CAR</t>
        </is>
      </c>
      <c r="F982" s="26" t="inlineStr">
        <is>
          <t>Benguet</t>
        </is>
      </c>
      <c r="G982" s="26" t="inlineStr">
        <is>
          <t>Baguio City</t>
        </is>
      </c>
      <c r="H982" s="26" t="inlineStr">
        <is>
          <t>Guisad Central</t>
        </is>
      </c>
      <c r="I982" s="27" t="n">
        <v>16.387281</v>
      </c>
      <c r="J982" s="27" t="n">
        <v>120.569769</v>
      </c>
      <c r="K982" s="10" t="inlineStr">
        <is>
          <t>R</t>
        </is>
      </c>
      <c r="L982" s="12" t="n">
        <v>2260</v>
      </c>
      <c r="M982" s="14" t="n">
        <v>3.5</v>
      </c>
      <c r="N982" s="12">
        <f>ROUND(L982/M982, 0)</f>
        <v/>
      </c>
      <c r="O982" s="12">
        <f>ROUND(N982*'Methodology &amp; Assumptions'!$B$5, 0)</f>
        <v/>
      </c>
      <c r="P982" s="10" t="inlineStr">
        <is>
          <t>Single Carrier (Band n50, 100MHz TDD)</t>
        </is>
      </c>
      <c r="Q982" s="13">
        <f>ROUNDUP(O982/'Methodology &amp; Assumptions'!$B$6, 0)</f>
        <v/>
      </c>
      <c r="R982" s="13" t="n">
        <v>1</v>
      </c>
      <c r="S982" s="14" t="n">
        <v>2.5</v>
      </c>
      <c r="T982" s="14" t="n">
        <v>0.45</v>
      </c>
      <c r="U982" s="26">
        <f>IF(X982&gt;='Methodology &amp; Assumptions'!$B$7, "Tier 1 Critical GIDA (Score ≥ 50.0)", IF(X982&gt;='Methodology &amp; Assumptions'!$B$8, "Tier 2 High GIDA (Score 40.0–49.9)", "Tier 3 Moderate GIDA (Score &lt; 40.0)"))</f>
        <v/>
      </c>
      <c r="V982" s="26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W982" s="28" t="n">
        <v>0.221</v>
      </c>
      <c r="X982" s="14" t="n">
        <v>48.09</v>
      </c>
      <c r="Y982" s="14">
        <f>ROUND(MIN(100, (X982/69.91)*100), 2)</f>
        <v/>
      </c>
    </row>
    <row r="983">
      <c r="A983" s="10" t="n">
        <v>3</v>
      </c>
      <c r="B983" s="10" t="n">
        <v>979</v>
      </c>
      <c r="C983" s="10" t="n">
        <v>2979</v>
      </c>
      <c r="D983" s="10" t="inlineStr">
        <is>
          <t>0300803005</t>
        </is>
      </c>
      <c r="E983" s="26" t="inlineStr">
        <is>
          <t>Region III (Central Luzon)</t>
        </is>
      </c>
      <c r="F983" s="26" t="inlineStr">
        <is>
          <t>Bataan</t>
        </is>
      </c>
      <c r="G983" s="26" t="inlineStr">
        <is>
          <t>City of Balanga</t>
        </is>
      </c>
      <c r="H983" s="26" t="inlineStr">
        <is>
          <t>Cataning</t>
        </is>
      </c>
      <c r="I983" s="27" t="n">
        <v>14.660293</v>
      </c>
      <c r="J983" s="27" t="n">
        <v>120.493915</v>
      </c>
      <c r="K983" s="10" t="inlineStr">
        <is>
          <t>U</t>
        </is>
      </c>
      <c r="L983" s="12" t="n">
        <v>10211</v>
      </c>
      <c r="M983" s="14" t="n">
        <v>3.6</v>
      </c>
      <c r="N983" s="12">
        <f>ROUND(L983/M983, 0)</f>
        <v/>
      </c>
      <c r="O983" s="12">
        <f>ROUND(N983*'Methodology &amp; Assumptions'!$B$5, 0)</f>
        <v/>
      </c>
      <c r="P983" s="10" t="inlineStr">
        <is>
          <t>Single Carrier (Band n50, 100MHz TDD)</t>
        </is>
      </c>
      <c r="Q983" s="13">
        <f>ROUNDUP(O983/'Methodology &amp; Assumptions'!$B$6, 0)</f>
        <v/>
      </c>
      <c r="R983" s="13" t="n">
        <v>1</v>
      </c>
      <c r="S983" s="14" t="n">
        <v>5.15</v>
      </c>
      <c r="T983" s="14" t="n">
        <v>2.68</v>
      </c>
      <c r="U983" s="26">
        <f>IF(X983&gt;='Methodology &amp; Assumptions'!$B$7, "Tier 1 Critical GIDA (Score ≥ 50.0)", IF(X983&gt;='Methodology &amp; Assumptions'!$B$8, "Tier 2 High GIDA (Score 40.0–49.9)", "Tier 3 Moderate GIDA (Score &lt; 40.0)"))</f>
        <v/>
      </c>
      <c r="V983" s="26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W983" s="28" t="n">
        <v>0.083</v>
      </c>
      <c r="X983" s="14" t="n">
        <v>48.09</v>
      </c>
      <c r="Y983" s="14">
        <f>ROUND(MIN(100, (X983/69.91)*100), 2)</f>
        <v/>
      </c>
    </row>
    <row r="984">
      <c r="A984" s="10" t="n">
        <v>3</v>
      </c>
      <c r="B984" s="10" t="n">
        <v>980</v>
      </c>
      <c r="C984" s="10" t="n">
        <v>2980</v>
      </c>
      <c r="D984" s="10" t="inlineStr">
        <is>
          <t>1380606129</t>
        </is>
      </c>
      <c r="E984" s="26" t="inlineStr">
        <is>
          <t>National Capital Region (NCR)</t>
        </is>
      </c>
      <c r="F984" s="26" t="inlineStr">
        <is>
          <t>First District (Not a Province)</t>
        </is>
      </c>
      <c r="G984" s="26" t="inlineStr">
        <is>
          <t>City of Manila</t>
        </is>
      </c>
      <c r="H984" s="26" t="inlineStr">
        <is>
          <t>Barangay 523</t>
        </is>
      </c>
      <c r="I984" s="27" t="n">
        <v>11.987045</v>
      </c>
      <c r="J984" s="27" t="n">
        <v>122.476637</v>
      </c>
      <c r="K984" s="10" t="inlineStr">
        <is>
          <t>U</t>
        </is>
      </c>
      <c r="L984" s="12" t="n">
        <v>1149</v>
      </c>
      <c r="M984" s="14" t="n">
        <v>3.9</v>
      </c>
      <c r="N984" s="12">
        <f>ROUND(L984/M984, 0)</f>
        <v/>
      </c>
      <c r="O984" s="12">
        <f>ROUND(N984*'Methodology &amp; Assumptions'!$B$5, 0)</f>
        <v/>
      </c>
      <c r="P984" s="10" t="inlineStr">
        <is>
          <t>Single Carrier (Band n50, 100MHz TDD)</t>
        </is>
      </c>
      <c r="Q984" s="13">
        <f>ROUNDUP(O984/'Methodology &amp; Assumptions'!$B$6, 0)</f>
        <v/>
      </c>
      <c r="R984" s="13" t="n">
        <v>1</v>
      </c>
      <c r="S984" s="14" t="n">
        <v>34.34</v>
      </c>
      <c r="T984" s="14" t="n">
        <v>9.460000000000001</v>
      </c>
      <c r="U984" s="26">
        <f>IF(X984&gt;='Methodology &amp; Assumptions'!$B$7, "Tier 1 Critical GIDA (Score ≥ 50.0)", IF(X984&gt;='Methodology &amp; Assumptions'!$B$8, "Tier 2 High GIDA (Score 40.0–49.9)", "Tier 3 Moderate GIDA (Score &lt; 40.0)"))</f>
        <v/>
      </c>
      <c r="V984" s="26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W984" s="28" t="n">
        <v>0.109</v>
      </c>
      <c r="X984" s="14" t="n">
        <v>48.09</v>
      </c>
      <c r="Y984" s="14">
        <f>ROUND(MIN(100, (X984/69.91)*100), 2)</f>
        <v/>
      </c>
    </row>
    <row r="985">
      <c r="A985" s="10" t="n">
        <v>3</v>
      </c>
      <c r="B985" s="10" t="n">
        <v>981</v>
      </c>
      <c r="C985" s="10" t="n">
        <v>2981</v>
      </c>
      <c r="D985" s="10" t="inlineStr">
        <is>
          <t>1380614027</t>
        </is>
      </c>
      <c r="E985" s="26" t="inlineStr">
        <is>
          <t>National Capital Region (NCR)</t>
        </is>
      </c>
      <c r="F985" s="26" t="inlineStr">
        <is>
          <t>First District (Not a Province)</t>
        </is>
      </c>
      <c r="G985" s="26" t="inlineStr">
        <is>
          <t>City of Manila</t>
        </is>
      </c>
      <c r="H985" s="26" t="inlineStr">
        <is>
          <t>Barangay 771</t>
        </is>
      </c>
      <c r="I985" s="27" t="n">
        <v>13.075318</v>
      </c>
      <c r="J985" s="27" t="n">
        <v>120.635964</v>
      </c>
      <c r="K985" s="10" t="inlineStr">
        <is>
          <t>U</t>
        </is>
      </c>
      <c r="L985" s="12" t="n">
        <v>1868</v>
      </c>
      <c r="M985" s="14" t="n">
        <v>3.9</v>
      </c>
      <c r="N985" s="12">
        <f>ROUND(L985/M985, 0)</f>
        <v/>
      </c>
      <c r="O985" s="12">
        <f>ROUND(N985*'Methodology &amp; Assumptions'!$B$5, 0)</f>
        <v/>
      </c>
      <c r="P985" s="10" t="inlineStr">
        <is>
          <t>Single Carrier (Band n50, 100MHz TDD)</t>
        </is>
      </c>
      <c r="Q985" s="13">
        <f>ROUNDUP(O985/'Methodology &amp; Assumptions'!$B$6, 0)</f>
        <v/>
      </c>
      <c r="R985" s="13" t="n">
        <v>1</v>
      </c>
      <c r="S985" s="14" t="n">
        <v>55.79</v>
      </c>
      <c r="T985" s="14" t="n">
        <v>54.55</v>
      </c>
      <c r="U985" s="26">
        <f>IF(X985&gt;='Methodology &amp; Assumptions'!$B$7, "Tier 1 Critical GIDA (Score ≥ 50.0)", IF(X985&gt;='Methodology &amp; Assumptions'!$B$8, "Tier 2 High GIDA (Score 40.0–49.9)", "Tier 3 Moderate GIDA (Score &lt; 40.0)"))</f>
        <v/>
      </c>
      <c r="V985" s="26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W985" s="28" t="n">
        <v>0.109</v>
      </c>
      <c r="X985" s="14" t="n">
        <v>48.08</v>
      </c>
      <c r="Y985" s="14">
        <f>ROUND(MIN(100, (X985/69.91)*100), 2)</f>
        <v/>
      </c>
    </row>
    <row r="986">
      <c r="A986" s="10" t="n">
        <v>3</v>
      </c>
      <c r="B986" s="10" t="n">
        <v>982</v>
      </c>
      <c r="C986" s="10" t="n">
        <v>2982</v>
      </c>
      <c r="D986" s="10" t="inlineStr">
        <is>
          <t>0405619043</t>
        </is>
      </c>
      <c r="E986" s="26" t="inlineStr">
        <is>
          <t>Region IV-A (CALABARZON)</t>
        </is>
      </c>
      <c r="F986" s="26" t="inlineStr">
        <is>
          <t>Quezon</t>
        </is>
      </c>
      <c r="G986" s="26" t="inlineStr">
        <is>
          <t>Gumaca</t>
        </is>
      </c>
      <c r="H986" s="26" t="inlineStr">
        <is>
          <t>San Isidro Silangan</t>
        </is>
      </c>
      <c r="I986" s="27" t="n">
        <v>13.883766</v>
      </c>
      <c r="J986" s="27" t="n">
        <v>122.12139</v>
      </c>
      <c r="K986" s="10" t="inlineStr">
        <is>
          <t>R</t>
        </is>
      </c>
      <c r="L986" s="12" t="n">
        <v>91</v>
      </c>
      <c r="M986" s="14" t="n">
        <v>3.8</v>
      </c>
      <c r="N986" s="12">
        <f>ROUND(L986/M986, 0)</f>
        <v/>
      </c>
      <c r="O986" s="12">
        <f>ROUND(N986*'Methodology &amp; Assumptions'!$B$5, 0)</f>
        <v/>
      </c>
      <c r="P986" s="10" t="inlineStr">
        <is>
          <t>Single Carrier (Band n50, 100MHz TDD)</t>
        </is>
      </c>
      <c r="Q986" s="13">
        <f>ROUNDUP(O986/'Methodology &amp; Assumptions'!$B$6, 0)</f>
        <v/>
      </c>
      <c r="R986" s="13" t="n">
        <v>1</v>
      </c>
      <c r="S986" s="14" t="n">
        <v>4.59</v>
      </c>
      <c r="T986" s="14" t="n">
        <v>2.04</v>
      </c>
      <c r="U986" s="26">
        <f>IF(X986&gt;='Methodology &amp; Assumptions'!$B$7, "Tier 1 Critical GIDA (Score ≥ 50.0)", IF(X986&gt;='Methodology &amp; Assumptions'!$B$8, "Tier 2 High GIDA (Score 40.0–49.9)", "Tier 3 Moderate GIDA (Score &lt; 40.0)"))</f>
        <v/>
      </c>
      <c r="V986" s="26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W986" s="28" t="n">
        <v>0.07200000000000001</v>
      </c>
      <c r="X986" s="14" t="n">
        <v>48.08</v>
      </c>
      <c r="Y986" s="14">
        <f>ROUND(MIN(100, (X986/69.91)*100), 2)</f>
        <v/>
      </c>
    </row>
    <row r="987">
      <c r="A987" s="10" t="n">
        <v>3</v>
      </c>
      <c r="B987" s="10" t="n">
        <v>983</v>
      </c>
      <c r="C987" s="10" t="n">
        <v>2983</v>
      </c>
      <c r="D987" s="10" t="inlineStr">
        <is>
          <t>1380614100</t>
        </is>
      </c>
      <c r="E987" s="26" t="inlineStr">
        <is>
          <t>National Capital Region (NCR)</t>
        </is>
      </c>
      <c r="F987" s="26" t="inlineStr">
        <is>
          <t>First District (Not a Province)</t>
        </is>
      </c>
      <c r="G987" s="26" t="inlineStr">
        <is>
          <t>City of Manila</t>
        </is>
      </c>
      <c r="H987" s="26" t="inlineStr">
        <is>
          <t>Barangay 808</t>
        </is>
      </c>
      <c r="I987" s="27" t="n">
        <v>13.485702</v>
      </c>
      <c r="J987" s="27" t="n">
        <v>122.749784</v>
      </c>
      <c r="K987" s="10" t="inlineStr">
        <is>
          <t>U</t>
        </is>
      </c>
      <c r="L987" s="12" t="n">
        <v>2249</v>
      </c>
      <c r="M987" s="14" t="n">
        <v>3.9</v>
      </c>
      <c r="N987" s="12">
        <f>ROUND(L987/M987, 0)</f>
        <v/>
      </c>
      <c r="O987" s="12">
        <f>ROUND(N987*'Methodology &amp; Assumptions'!$B$5, 0)</f>
        <v/>
      </c>
      <c r="P987" s="10" t="inlineStr">
        <is>
          <t>Single Carrier (Band n50, 100MHz TDD)</t>
        </is>
      </c>
      <c r="Q987" s="13">
        <f>ROUNDUP(O987/'Methodology &amp; Assumptions'!$B$6, 0)</f>
        <v/>
      </c>
      <c r="R987" s="13" t="n">
        <v>1</v>
      </c>
      <c r="S987" s="14" t="n">
        <v>14.57</v>
      </c>
      <c r="T987" s="14" t="n">
        <v>22.92</v>
      </c>
      <c r="U987" s="26">
        <f>IF(X987&gt;='Methodology &amp; Assumptions'!$B$7, "Tier 1 Critical GIDA (Score ≥ 50.0)", IF(X987&gt;='Methodology &amp; Assumptions'!$B$8, "Tier 2 High GIDA (Score 40.0–49.9)", "Tier 3 Moderate GIDA (Score &lt; 40.0)"))</f>
        <v/>
      </c>
      <c r="V987" s="26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W987" s="28" t="n">
        <v>0.109</v>
      </c>
      <c r="X987" s="14" t="n">
        <v>48.08</v>
      </c>
      <c r="Y987" s="14">
        <f>ROUND(MIN(100, (X987/69.91)*100), 2)</f>
        <v/>
      </c>
    </row>
    <row r="988">
      <c r="A988" s="10" t="n">
        <v>3</v>
      </c>
      <c r="B988" s="10" t="n">
        <v>984</v>
      </c>
      <c r="C988" s="10" t="n">
        <v>2984</v>
      </c>
      <c r="D988" s="10" t="inlineStr">
        <is>
          <t>1380605031</t>
        </is>
      </c>
      <c r="E988" s="26" t="inlineStr">
        <is>
          <t>National Capital Region (NCR)</t>
        </is>
      </c>
      <c r="F988" s="26" t="inlineStr">
        <is>
          <t>First District (Not a Province)</t>
        </is>
      </c>
      <c r="G988" s="26" t="inlineStr">
        <is>
          <t>City of Manila</t>
        </is>
      </c>
      <c r="H988" s="26" t="inlineStr">
        <is>
          <t>Barangay 329</t>
        </is>
      </c>
      <c r="I988" s="27" t="n">
        <v>11.788961</v>
      </c>
      <c r="J988" s="27" t="n">
        <v>121.474194</v>
      </c>
      <c r="K988" s="10" t="inlineStr">
        <is>
          <t>U</t>
        </is>
      </c>
      <c r="L988" s="12" t="n">
        <v>452</v>
      </c>
      <c r="M988" s="14" t="n">
        <v>3.9</v>
      </c>
      <c r="N988" s="12">
        <f>ROUND(L988/M988, 0)</f>
        <v/>
      </c>
      <c r="O988" s="12">
        <f>ROUND(N988*'Methodology &amp; Assumptions'!$B$5, 0)</f>
        <v/>
      </c>
      <c r="P988" s="10" t="inlineStr">
        <is>
          <t>Single Carrier (Band n50, 100MHz TDD)</t>
        </is>
      </c>
      <c r="Q988" s="13">
        <f>ROUNDUP(O988/'Methodology &amp; Assumptions'!$B$6, 0)</f>
        <v/>
      </c>
      <c r="R988" s="13" t="n">
        <v>1</v>
      </c>
      <c r="S988" s="14" t="n">
        <v>54.3</v>
      </c>
      <c r="T988" s="14" t="n">
        <v>53.83</v>
      </c>
      <c r="U988" s="26">
        <f>IF(X988&gt;='Methodology &amp; Assumptions'!$B$7, "Tier 1 Critical GIDA (Score ≥ 50.0)", IF(X988&gt;='Methodology &amp; Assumptions'!$B$8, "Tier 2 High GIDA (Score 40.0–49.9)", "Tier 3 Moderate GIDA (Score &lt; 40.0)"))</f>
        <v/>
      </c>
      <c r="V988" s="26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W988" s="28" t="n">
        <v>0.109</v>
      </c>
      <c r="X988" s="14" t="n">
        <v>48.08</v>
      </c>
      <c r="Y988" s="14">
        <f>ROUND(MIN(100, (X988/69.91)*100), 2)</f>
        <v/>
      </c>
    </row>
    <row r="989">
      <c r="A989" s="10" t="n">
        <v>3</v>
      </c>
      <c r="B989" s="10" t="n">
        <v>985</v>
      </c>
      <c r="C989" s="10" t="n">
        <v>2985</v>
      </c>
      <c r="D989" s="10" t="inlineStr">
        <is>
          <t>PH0002985</t>
        </is>
      </c>
      <c r="E989" s="26" t="inlineStr">
        <is>
          <t>CAR</t>
        </is>
      </c>
      <c r="F989" s="26" t="inlineStr">
        <is>
          <t>Benguet</t>
        </is>
      </c>
      <c r="G989" s="26" t="inlineStr">
        <is>
          <t>Baguio City</t>
        </is>
      </c>
      <c r="H989" s="26" t="inlineStr">
        <is>
          <t>Trancoville</t>
        </is>
      </c>
      <c r="I989" s="27" t="n">
        <v>16.438614</v>
      </c>
      <c r="J989" s="27" t="n">
        <v>120.598545</v>
      </c>
      <c r="K989" s="10" t="inlineStr">
        <is>
          <t>R</t>
        </is>
      </c>
      <c r="L989" s="12" t="n">
        <v>2260</v>
      </c>
      <c r="M989" s="14" t="n">
        <v>3.5</v>
      </c>
      <c r="N989" s="12">
        <f>ROUND(L989/M989, 0)</f>
        <v/>
      </c>
      <c r="O989" s="12">
        <f>ROUND(N989*'Methodology &amp; Assumptions'!$B$5, 0)</f>
        <v/>
      </c>
      <c r="P989" s="10" t="inlineStr">
        <is>
          <t>Single Carrier (Band n50, 100MHz TDD)</t>
        </is>
      </c>
      <c r="Q989" s="13">
        <f>ROUNDUP(O989/'Methodology &amp; Assumptions'!$B$6, 0)</f>
        <v/>
      </c>
      <c r="R989" s="13" t="n">
        <v>1</v>
      </c>
      <c r="S989" s="14" t="n">
        <v>1.43</v>
      </c>
      <c r="T989" s="14" t="n">
        <v>1.33</v>
      </c>
      <c r="U989" s="26">
        <f>IF(X989&gt;='Methodology &amp; Assumptions'!$B$7, "Tier 1 Critical GIDA (Score ≥ 50.0)", IF(X989&gt;='Methodology &amp; Assumptions'!$B$8, "Tier 2 High GIDA (Score 40.0–49.9)", "Tier 3 Moderate GIDA (Score &lt; 40.0)"))</f>
        <v/>
      </c>
      <c r="V989" s="26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W989" s="28" t="n">
        <v>0.221</v>
      </c>
      <c r="X989" s="14" t="n">
        <v>48.08</v>
      </c>
      <c r="Y989" s="14">
        <f>ROUND(MIN(100, (X989/69.91)*100), 2)</f>
        <v/>
      </c>
    </row>
    <row r="990">
      <c r="A990" s="10" t="n">
        <v>3</v>
      </c>
      <c r="B990" s="10" t="n">
        <v>986</v>
      </c>
      <c r="C990" s="10" t="n">
        <v>2986</v>
      </c>
      <c r="D990" s="10" t="inlineStr">
        <is>
          <t>1380601265</t>
        </is>
      </c>
      <c r="E990" s="26" t="inlineStr">
        <is>
          <t>National Capital Region (NCR)</t>
        </is>
      </c>
      <c r="F990" s="26" t="inlineStr">
        <is>
          <t>First District (Not a Province)</t>
        </is>
      </c>
      <c r="G990" s="26" t="inlineStr">
        <is>
          <t>City of Manila</t>
        </is>
      </c>
      <c r="H990" s="26" t="inlineStr">
        <is>
          <t>Barangay 264</t>
        </is>
      </c>
      <c r="I990" s="27" t="n">
        <v>13.882524</v>
      </c>
      <c r="J990" s="27" t="n">
        <v>121.238489</v>
      </c>
      <c r="K990" s="10" t="inlineStr">
        <is>
          <t>U</t>
        </is>
      </c>
      <c r="L990" s="12" t="n">
        <v>2517</v>
      </c>
      <c r="M990" s="14" t="n">
        <v>3.9</v>
      </c>
      <c r="N990" s="12">
        <f>ROUND(L990/M990, 0)</f>
        <v/>
      </c>
      <c r="O990" s="12">
        <f>ROUND(N990*'Methodology &amp; Assumptions'!$B$5, 0)</f>
        <v/>
      </c>
      <c r="P990" s="10" t="inlineStr">
        <is>
          <t>Single Carrier (Band n50, 100MHz TDD)</t>
        </is>
      </c>
      <c r="Q990" s="13">
        <f>ROUNDUP(O990/'Methodology &amp; Assumptions'!$B$6, 0)</f>
        <v/>
      </c>
      <c r="R990" s="13" t="n">
        <v>1</v>
      </c>
      <c r="S990" s="14" t="n">
        <v>1.77</v>
      </c>
      <c r="T990" s="14" t="n">
        <v>0.46</v>
      </c>
      <c r="U990" s="26">
        <f>IF(X990&gt;='Methodology &amp; Assumptions'!$B$7, "Tier 1 Critical GIDA (Score ≥ 50.0)", IF(X990&gt;='Methodology &amp; Assumptions'!$B$8, "Tier 2 High GIDA (Score 40.0–49.9)", "Tier 3 Moderate GIDA (Score &lt; 40.0)"))</f>
        <v/>
      </c>
      <c r="V990" s="26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W990" s="28" t="n">
        <v>0.109</v>
      </c>
      <c r="X990" s="14" t="n">
        <v>48.08</v>
      </c>
      <c r="Y990" s="14">
        <f>ROUND(MIN(100, (X990/69.91)*100), 2)</f>
        <v/>
      </c>
    </row>
    <row r="991">
      <c r="A991" s="10" t="n">
        <v>3</v>
      </c>
      <c r="B991" s="10" t="n">
        <v>987</v>
      </c>
      <c r="C991" s="10" t="n">
        <v>2987</v>
      </c>
      <c r="D991" s="10" t="inlineStr">
        <is>
          <t>1380610046</t>
        </is>
      </c>
      <c r="E991" s="26" t="inlineStr">
        <is>
          <t>National Capital Region (NCR)</t>
        </is>
      </c>
      <c r="F991" s="26" t="inlineStr">
        <is>
          <t>First District (Not a Province)</t>
        </is>
      </c>
      <c r="G991" s="26" t="inlineStr">
        <is>
          <t>City of Manila</t>
        </is>
      </c>
      <c r="H991" s="26" t="inlineStr">
        <is>
          <t>Barangay 731</t>
        </is>
      </c>
      <c r="I991" s="27" t="n">
        <v>12.492562</v>
      </c>
      <c r="J991" s="27" t="n">
        <v>122.865105</v>
      </c>
      <c r="K991" s="10" t="inlineStr">
        <is>
          <t>U</t>
        </is>
      </c>
      <c r="L991" s="12" t="n">
        <v>3005</v>
      </c>
      <c r="M991" s="14" t="n">
        <v>3.9</v>
      </c>
      <c r="N991" s="12">
        <f>ROUND(L991/M991, 0)</f>
        <v/>
      </c>
      <c r="O991" s="12">
        <f>ROUND(N991*'Methodology &amp; Assumptions'!$B$5, 0)</f>
        <v/>
      </c>
      <c r="P991" s="10" t="inlineStr">
        <is>
          <t>Single Carrier (Band n50, 100MHz TDD)</t>
        </is>
      </c>
      <c r="Q991" s="13">
        <f>ROUNDUP(O991/'Methodology &amp; Assumptions'!$B$6, 0)</f>
        <v/>
      </c>
      <c r="R991" s="13" t="n">
        <v>1</v>
      </c>
      <c r="S991" s="14" t="n">
        <v>54.44</v>
      </c>
      <c r="T991" s="14" t="n">
        <v>61.97</v>
      </c>
      <c r="U991" s="26">
        <f>IF(X991&gt;='Methodology &amp; Assumptions'!$B$7, "Tier 1 Critical GIDA (Score ≥ 50.0)", IF(X991&gt;='Methodology &amp; Assumptions'!$B$8, "Tier 2 High GIDA (Score 40.0–49.9)", "Tier 3 Moderate GIDA (Score &lt; 40.0)"))</f>
        <v/>
      </c>
      <c r="V991" s="26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W991" s="28" t="n">
        <v>0.109</v>
      </c>
      <c r="X991" s="14" t="n">
        <v>48.07</v>
      </c>
      <c r="Y991" s="14">
        <f>ROUND(MIN(100, (X991/69.91)*100), 2)</f>
        <v/>
      </c>
    </row>
    <row r="992">
      <c r="A992" s="10" t="n">
        <v>3</v>
      </c>
      <c r="B992" s="10" t="n">
        <v>988</v>
      </c>
      <c r="C992" s="10" t="n">
        <v>2988</v>
      </c>
      <c r="D992" s="10" t="inlineStr">
        <is>
          <t>PH0002988</t>
        </is>
      </c>
      <c r="E992" s="26" t="inlineStr">
        <is>
          <t>NCR</t>
        </is>
      </c>
      <c r="F992" s="26" t="inlineStr">
        <is>
          <t>Metro Manila</t>
        </is>
      </c>
      <c r="G992" s="26" t="inlineStr">
        <is>
          <t>Caloocan City</t>
        </is>
      </c>
      <c r="H992" s="26" t="inlineStr">
        <is>
          <t>Barangay 63</t>
        </is>
      </c>
      <c r="I992" s="27" t="n">
        <v>12.435834</v>
      </c>
      <c r="J992" s="27" t="n">
        <v>120.329905</v>
      </c>
      <c r="K992" s="10" t="inlineStr">
        <is>
          <t>R</t>
        </is>
      </c>
      <c r="L992" s="12" t="n">
        <v>2279</v>
      </c>
      <c r="M992" s="14" t="n">
        <v>3.8</v>
      </c>
      <c r="N992" s="12">
        <f>ROUND(L992/M992, 0)</f>
        <v/>
      </c>
      <c r="O992" s="12">
        <f>ROUND(N992*'Methodology &amp; Assumptions'!$B$5, 0)</f>
        <v/>
      </c>
      <c r="P992" s="10" t="inlineStr">
        <is>
          <t>Single Carrier (Band n50, 100MHz TDD)</t>
        </is>
      </c>
      <c r="Q992" s="13">
        <f>ROUNDUP(O992/'Methodology &amp; Assumptions'!$B$6, 0)</f>
        <v/>
      </c>
      <c r="R992" s="13" t="n">
        <v>1</v>
      </c>
      <c r="S992" s="14" t="n">
        <v>47.93</v>
      </c>
      <c r="T992" s="14" t="n">
        <v>79.52</v>
      </c>
      <c r="U992" s="26">
        <f>IF(X992&gt;='Methodology &amp; Assumptions'!$B$7, "Tier 1 Critical GIDA (Score ≥ 50.0)", IF(X992&gt;='Methodology &amp; Assumptions'!$B$8, "Tier 2 High GIDA (Score 40.0–49.9)", "Tier 3 Moderate GIDA (Score &lt; 40.0)"))</f>
        <v/>
      </c>
      <c r="V992" s="26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W992" s="28" t="n">
        <v>0.011</v>
      </c>
      <c r="X992" s="14" t="n">
        <v>48.07</v>
      </c>
      <c r="Y992" s="14">
        <f>ROUND(MIN(100, (X992/69.91)*100), 2)</f>
        <v/>
      </c>
    </row>
    <row r="993">
      <c r="A993" s="10" t="n">
        <v>3</v>
      </c>
      <c r="B993" s="10" t="n">
        <v>989</v>
      </c>
      <c r="C993" s="10" t="n">
        <v>2989</v>
      </c>
      <c r="D993" s="10" t="inlineStr">
        <is>
          <t>PH0002989</t>
        </is>
      </c>
      <c r="E993" s="26" t="inlineStr">
        <is>
          <t>CAR</t>
        </is>
      </c>
      <c r="F993" s="26" t="inlineStr">
        <is>
          <t>Benguet</t>
        </is>
      </c>
      <c r="G993" s="26" t="inlineStr">
        <is>
          <t>Baguio City</t>
        </is>
      </c>
      <c r="H993" s="26" t="inlineStr">
        <is>
          <t>Modern Site, West</t>
        </is>
      </c>
      <c r="I993" s="27" t="n">
        <v>16.379674</v>
      </c>
      <c r="J993" s="27" t="n">
        <v>120.614105</v>
      </c>
      <c r="K993" s="10" t="inlineStr">
        <is>
          <t>R</t>
        </is>
      </c>
      <c r="L993" s="12" t="n">
        <v>2260</v>
      </c>
      <c r="M993" s="14" t="n">
        <v>3.5</v>
      </c>
      <c r="N993" s="12">
        <f>ROUND(L993/M993, 0)</f>
        <v/>
      </c>
      <c r="O993" s="12">
        <f>ROUND(N993*'Methodology &amp; Assumptions'!$B$5, 0)</f>
        <v/>
      </c>
      <c r="P993" s="10" t="inlineStr">
        <is>
          <t>Single Carrier (Band n50, 100MHz TDD)</t>
        </is>
      </c>
      <c r="Q993" s="13">
        <f>ROUNDUP(O993/'Methodology &amp; Assumptions'!$B$6, 0)</f>
        <v/>
      </c>
      <c r="R993" s="13" t="n">
        <v>1</v>
      </c>
      <c r="S993" s="14" t="n">
        <v>3.09</v>
      </c>
      <c r="T993" s="14" t="n">
        <v>2.86</v>
      </c>
      <c r="U993" s="26">
        <f>IF(X993&gt;='Methodology &amp; Assumptions'!$B$7, "Tier 1 Critical GIDA (Score ≥ 50.0)", IF(X993&gt;='Methodology &amp; Assumptions'!$B$8, "Tier 2 High GIDA (Score 40.0–49.9)", "Tier 3 Moderate GIDA (Score &lt; 40.0)"))</f>
        <v/>
      </c>
      <c r="V993" s="26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W993" s="28" t="n">
        <v>0.221</v>
      </c>
      <c r="X993" s="14" t="n">
        <v>48.07</v>
      </c>
      <c r="Y993" s="14">
        <f>ROUND(MIN(100, (X993/69.91)*100), 2)</f>
        <v/>
      </c>
    </row>
    <row r="994">
      <c r="A994" s="10" t="n">
        <v>3</v>
      </c>
      <c r="B994" s="10" t="n">
        <v>990</v>
      </c>
      <c r="C994" s="10" t="n">
        <v>2990</v>
      </c>
      <c r="D994" s="10" t="inlineStr">
        <is>
          <t>1380614068</t>
        </is>
      </c>
      <c r="E994" s="26" t="inlineStr">
        <is>
          <t>National Capital Region (NCR)</t>
        </is>
      </c>
      <c r="F994" s="26" t="inlineStr">
        <is>
          <t>First District (Not a Province)</t>
        </is>
      </c>
      <c r="G994" s="26" t="inlineStr">
        <is>
          <t>City of Manila</t>
        </is>
      </c>
      <c r="H994" s="26" t="inlineStr">
        <is>
          <t>Barangay 875</t>
        </is>
      </c>
      <c r="I994" s="27" t="n">
        <v>12.446018</v>
      </c>
      <c r="J994" s="27" t="n">
        <v>120.699977</v>
      </c>
      <c r="K994" s="10" t="inlineStr">
        <is>
          <t>U</t>
        </is>
      </c>
      <c r="L994" s="12" t="n">
        <v>1053</v>
      </c>
      <c r="M994" s="14" t="n">
        <v>3.9</v>
      </c>
      <c r="N994" s="12">
        <f>ROUND(L994/M994, 0)</f>
        <v/>
      </c>
      <c r="O994" s="12">
        <f>ROUND(N994*'Methodology &amp; Assumptions'!$B$5, 0)</f>
        <v/>
      </c>
      <c r="P994" s="10" t="inlineStr">
        <is>
          <t>Single Carrier (Band n50, 100MHz TDD)</t>
        </is>
      </c>
      <c r="Q994" s="13">
        <f>ROUNDUP(O994/'Methodology &amp; Assumptions'!$B$6, 0)</f>
        <v/>
      </c>
      <c r="R994" s="13" t="n">
        <v>1</v>
      </c>
      <c r="S994" s="14" t="n">
        <v>40.99</v>
      </c>
      <c r="T994" s="14" t="n">
        <v>39.85</v>
      </c>
      <c r="U994" s="26">
        <f>IF(X994&gt;='Methodology &amp; Assumptions'!$B$7, "Tier 1 Critical GIDA (Score ≥ 50.0)", IF(X994&gt;='Methodology &amp; Assumptions'!$B$8, "Tier 2 High GIDA (Score 40.0–49.9)", "Tier 3 Moderate GIDA (Score &lt; 40.0)"))</f>
        <v/>
      </c>
      <c r="V994" s="26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W994" s="28" t="n">
        <v>0.109</v>
      </c>
      <c r="X994" s="14" t="n">
        <v>48.07</v>
      </c>
      <c r="Y994" s="14">
        <f>ROUND(MIN(100, (X994/69.91)*100), 2)</f>
        <v/>
      </c>
    </row>
    <row r="995">
      <c r="A995" s="10" t="n">
        <v>3</v>
      </c>
      <c r="B995" s="10" t="n">
        <v>991</v>
      </c>
      <c r="C995" s="10" t="n">
        <v>2991</v>
      </c>
      <c r="D995" s="10" t="inlineStr">
        <is>
          <t>1380611015</t>
        </is>
      </c>
      <c r="E995" s="26" t="inlineStr">
        <is>
          <t>National Capital Region (NCR)</t>
        </is>
      </c>
      <c r="F995" s="26" t="inlineStr">
        <is>
          <t>First District (Not a Province)</t>
        </is>
      </c>
      <c r="G995" s="26" t="inlineStr">
        <is>
          <t>City of Manila</t>
        </is>
      </c>
      <c r="H995" s="26" t="inlineStr">
        <is>
          <t>Barangay 681</t>
        </is>
      </c>
      <c r="I995" s="27" t="n">
        <v>13.908011</v>
      </c>
      <c r="J995" s="27" t="n">
        <v>122.265885</v>
      </c>
      <c r="K995" s="10" t="inlineStr">
        <is>
          <t>U</t>
        </is>
      </c>
      <c r="L995" s="12" t="n">
        <v>1127</v>
      </c>
      <c r="M995" s="14" t="n">
        <v>3.9</v>
      </c>
      <c r="N995" s="12">
        <f>ROUND(L995/M995, 0)</f>
        <v/>
      </c>
      <c r="O995" s="12">
        <f>ROUND(N995*'Methodology &amp; Assumptions'!$B$5, 0)</f>
        <v/>
      </c>
      <c r="P995" s="10" t="inlineStr">
        <is>
          <t>Single Carrier (Band n50, 100MHz TDD)</t>
        </is>
      </c>
      <c r="Q995" s="13">
        <f>ROUNDUP(O995/'Methodology &amp; Assumptions'!$B$6, 0)</f>
        <v/>
      </c>
      <c r="R995" s="13" t="n">
        <v>1</v>
      </c>
      <c r="S995" s="14" t="n">
        <v>2.35</v>
      </c>
      <c r="T995" s="14" t="n">
        <v>1.46</v>
      </c>
      <c r="U995" s="26">
        <f>IF(X995&gt;='Methodology &amp; Assumptions'!$B$7, "Tier 1 Critical GIDA (Score ≥ 50.0)", IF(X995&gt;='Methodology &amp; Assumptions'!$B$8, "Tier 2 High GIDA (Score 40.0–49.9)", "Tier 3 Moderate GIDA (Score &lt; 40.0)"))</f>
        <v/>
      </c>
      <c r="V995" s="26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W995" s="28" t="n">
        <v>0.109</v>
      </c>
      <c r="X995" s="14" t="n">
        <v>48.07</v>
      </c>
      <c r="Y995" s="14">
        <f>ROUND(MIN(100, (X995/69.91)*100), 2)</f>
        <v/>
      </c>
    </row>
    <row r="996">
      <c r="A996" s="10" t="n">
        <v>3</v>
      </c>
      <c r="B996" s="10" t="n">
        <v>992</v>
      </c>
      <c r="C996" s="10" t="n">
        <v>2992</v>
      </c>
      <c r="D996" s="10" t="inlineStr">
        <is>
          <t>1380610023</t>
        </is>
      </c>
      <c r="E996" s="26" t="inlineStr">
        <is>
          <t>National Capital Region (NCR)</t>
        </is>
      </c>
      <c r="F996" s="26" t="inlineStr">
        <is>
          <t>First District (Not a Province)</t>
        </is>
      </c>
      <c r="G996" s="26" t="inlineStr">
        <is>
          <t>City of Manila</t>
        </is>
      </c>
      <c r="H996" s="26" t="inlineStr">
        <is>
          <t>Barangay 708</t>
        </is>
      </c>
      <c r="I996" s="27" t="n">
        <v>11.796311</v>
      </c>
      <c r="J996" s="27" t="n">
        <v>122.124407</v>
      </c>
      <c r="K996" s="10" t="inlineStr">
        <is>
          <t>U</t>
        </is>
      </c>
      <c r="L996" s="12" t="n">
        <v>776</v>
      </c>
      <c r="M996" s="14" t="n">
        <v>3.9</v>
      </c>
      <c r="N996" s="12">
        <f>ROUND(L996/M996, 0)</f>
        <v/>
      </c>
      <c r="O996" s="12">
        <f>ROUND(N996*'Methodology &amp; Assumptions'!$B$5, 0)</f>
        <v/>
      </c>
      <c r="P996" s="10" t="inlineStr">
        <is>
          <t>Single Carrier (Band n50, 100MHz TDD)</t>
        </is>
      </c>
      <c r="Q996" s="13">
        <f>ROUNDUP(O996/'Methodology &amp; Assumptions'!$B$6, 0)</f>
        <v/>
      </c>
      <c r="R996" s="13" t="n">
        <v>1</v>
      </c>
      <c r="S996" s="14" t="n">
        <v>20.45</v>
      </c>
      <c r="T996" s="14" t="n">
        <v>2.04</v>
      </c>
      <c r="U996" s="26">
        <f>IF(X996&gt;='Methodology &amp; Assumptions'!$B$7, "Tier 1 Critical GIDA (Score ≥ 50.0)", IF(X996&gt;='Methodology &amp; Assumptions'!$B$8, "Tier 2 High GIDA (Score 40.0–49.9)", "Tier 3 Moderate GIDA (Score &lt; 40.0)"))</f>
        <v/>
      </c>
      <c r="V996" s="26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W996" s="28" t="n">
        <v>0.109</v>
      </c>
      <c r="X996" s="14" t="n">
        <v>48.06</v>
      </c>
      <c r="Y996" s="14">
        <f>ROUND(MIN(100, (X996/69.91)*100), 2)</f>
        <v/>
      </c>
    </row>
    <row r="997">
      <c r="A997" s="10" t="n">
        <v>3</v>
      </c>
      <c r="B997" s="10" t="n">
        <v>993</v>
      </c>
      <c r="C997" s="10" t="n">
        <v>2993</v>
      </c>
      <c r="D997" s="10" t="inlineStr">
        <is>
          <t>1380602004</t>
        </is>
      </c>
      <c r="E997" s="26" t="inlineStr">
        <is>
          <t>National Capital Region (NCR)</t>
        </is>
      </c>
      <c r="F997" s="26" t="inlineStr">
        <is>
          <t>First District (Not a Province)</t>
        </is>
      </c>
      <c r="G997" s="26" t="inlineStr">
        <is>
          <t>City of Manila</t>
        </is>
      </c>
      <c r="H997" s="26" t="inlineStr">
        <is>
          <t>Barangay 290</t>
        </is>
      </c>
      <c r="I997" s="27" t="n">
        <v>13.448357</v>
      </c>
      <c r="J997" s="27" t="n">
        <v>120.763636</v>
      </c>
      <c r="K997" s="10" t="inlineStr">
        <is>
          <t>U</t>
        </is>
      </c>
      <c r="L997" s="12" t="n">
        <v>1126</v>
      </c>
      <c r="M997" s="14" t="n">
        <v>3.9</v>
      </c>
      <c r="N997" s="12">
        <f>ROUND(L997/M997, 0)</f>
        <v/>
      </c>
      <c r="O997" s="12">
        <f>ROUND(N997*'Methodology &amp; Assumptions'!$B$5, 0)</f>
        <v/>
      </c>
      <c r="P997" s="10" t="inlineStr">
        <is>
          <t>Single Carrier (Band n50, 100MHz TDD)</t>
        </is>
      </c>
      <c r="Q997" s="13">
        <f>ROUNDUP(O997/'Methodology &amp; Assumptions'!$B$6, 0)</f>
        <v/>
      </c>
      <c r="R997" s="13" t="n">
        <v>1</v>
      </c>
      <c r="S997" s="14" t="n">
        <v>16.54</v>
      </c>
      <c r="T997" s="14" t="n">
        <v>14.94</v>
      </c>
      <c r="U997" s="26">
        <f>IF(X997&gt;='Methodology &amp; Assumptions'!$B$7, "Tier 1 Critical GIDA (Score ≥ 50.0)", IF(X997&gt;='Methodology &amp; Assumptions'!$B$8, "Tier 2 High GIDA (Score 40.0–49.9)", "Tier 3 Moderate GIDA (Score &lt; 40.0)"))</f>
        <v/>
      </c>
      <c r="V997" s="26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W997" s="28" t="n">
        <v>0.109</v>
      </c>
      <c r="X997" s="14" t="n">
        <v>48.06</v>
      </c>
      <c r="Y997" s="14">
        <f>ROUND(MIN(100, (X997/69.91)*100), 2)</f>
        <v/>
      </c>
    </row>
    <row r="998">
      <c r="A998" s="10" t="n">
        <v>3</v>
      </c>
      <c r="B998" s="10" t="n">
        <v>994</v>
      </c>
      <c r="C998" s="10" t="n">
        <v>2994</v>
      </c>
      <c r="D998" s="10" t="inlineStr">
        <is>
          <t>1380606101</t>
        </is>
      </c>
      <c r="E998" s="26" t="inlineStr">
        <is>
          <t>National Capital Region (NCR)</t>
        </is>
      </c>
      <c r="F998" s="26" t="inlineStr">
        <is>
          <t>First District (Not a Province)</t>
        </is>
      </c>
      <c r="G998" s="26" t="inlineStr">
        <is>
          <t>City of Manila</t>
        </is>
      </c>
      <c r="H998" s="26" t="inlineStr">
        <is>
          <t>Barangay 495</t>
        </is>
      </c>
      <c r="I998" s="27" t="n">
        <v>13.126152</v>
      </c>
      <c r="J998" s="27" t="n">
        <v>122.914365</v>
      </c>
      <c r="K998" s="10" t="inlineStr">
        <is>
          <t>U</t>
        </is>
      </c>
      <c r="L998" s="12" t="n">
        <v>1964</v>
      </c>
      <c r="M998" s="14" t="n">
        <v>3.9</v>
      </c>
      <c r="N998" s="12">
        <f>ROUND(L998/M998, 0)</f>
        <v/>
      </c>
      <c r="O998" s="12">
        <f>ROUND(N998*'Methodology &amp; Assumptions'!$B$5, 0)</f>
        <v/>
      </c>
      <c r="P998" s="10" t="inlineStr">
        <is>
          <t>Single Carrier (Band n50, 100MHz TDD)</t>
        </is>
      </c>
      <c r="Q998" s="13">
        <f>ROUNDUP(O998/'Methodology &amp; Assumptions'!$B$6, 0)</f>
        <v/>
      </c>
      <c r="R998" s="13" t="n">
        <v>1</v>
      </c>
      <c r="S998" s="14" t="n">
        <v>26.12</v>
      </c>
      <c r="T998" s="14" t="n">
        <v>43.91</v>
      </c>
      <c r="U998" s="26">
        <f>IF(X998&gt;='Methodology &amp; Assumptions'!$B$7, "Tier 1 Critical GIDA (Score ≥ 50.0)", IF(X998&gt;='Methodology &amp; Assumptions'!$B$8, "Tier 2 High GIDA (Score 40.0–49.9)", "Tier 3 Moderate GIDA (Score &lt; 40.0)"))</f>
        <v/>
      </c>
      <c r="V998" s="26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W998" s="28" t="n">
        <v>0.109</v>
      </c>
      <c r="X998" s="14" t="n">
        <v>48.06</v>
      </c>
      <c r="Y998" s="14">
        <f>ROUND(MIN(100, (X998/69.91)*100), 2)</f>
        <v/>
      </c>
    </row>
    <row r="999">
      <c r="A999" s="10" t="n">
        <v>3</v>
      </c>
      <c r="B999" s="10" t="n">
        <v>995</v>
      </c>
      <c r="C999" s="10" t="n">
        <v>2995</v>
      </c>
      <c r="D999" s="10" t="inlineStr">
        <is>
          <t>1380606138</t>
        </is>
      </c>
      <c r="E999" s="26" t="inlineStr">
        <is>
          <t>National Capital Region (NCR)</t>
        </is>
      </c>
      <c r="F999" s="26" t="inlineStr">
        <is>
          <t>First District (Not a Province)</t>
        </is>
      </c>
      <c r="G999" s="26" t="inlineStr">
        <is>
          <t>City of Manila</t>
        </is>
      </c>
      <c r="H999" s="26" t="inlineStr">
        <is>
          <t>Barangay 532</t>
        </is>
      </c>
      <c r="I999" s="27" t="n">
        <v>11.945855</v>
      </c>
      <c r="J999" s="27" t="n">
        <v>121.103239</v>
      </c>
      <c r="K999" s="10" t="inlineStr">
        <is>
          <t>U</t>
        </is>
      </c>
      <c r="L999" s="12" t="n">
        <v>1017</v>
      </c>
      <c r="M999" s="14" t="n">
        <v>3.9</v>
      </c>
      <c r="N999" s="12">
        <f>ROUND(L999/M999, 0)</f>
        <v/>
      </c>
      <c r="O999" s="12">
        <f>ROUND(N999*'Methodology &amp; Assumptions'!$B$5, 0)</f>
        <v/>
      </c>
      <c r="P999" s="10" t="inlineStr">
        <is>
          <t>Single Carrier (Band n50, 100MHz TDD)</t>
        </is>
      </c>
      <c r="Q999" s="13">
        <f>ROUNDUP(O999/'Methodology &amp; Assumptions'!$B$6, 0)</f>
        <v/>
      </c>
      <c r="R999" s="13" t="n">
        <v>1</v>
      </c>
      <c r="S999" s="14" t="n">
        <v>40.68</v>
      </c>
      <c r="T999" s="14" t="n">
        <v>39.11</v>
      </c>
      <c r="U999" s="26">
        <f>IF(X999&gt;='Methodology &amp; Assumptions'!$B$7, "Tier 1 Critical GIDA (Score ≥ 50.0)", IF(X999&gt;='Methodology &amp; Assumptions'!$B$8, "Tier 2 High GIDA (Score 40.0–49.9)", "Tier 3 Moderate GIDA (Score &lt; 40.0)"))</f>
        <v/>
      </c>
      <c r="V999" s="26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W999" s="28" t="n">
        <v>0.109</v>
      </c>
      <c r="X999" s="14" t="n">
        <v>48.06</v>
      </c>
      <c r="Y999" s="14">
        <f>ROUND(MIN(100, (X999/69.91)*100), 2)</f>
        <v/>
      </c>
    </row>
    <row r="1000">
      <c r="A1000" s="10" t="n">
        <v>3</v>
      </c>
      <c r="B1000" s="10" t="n">
        <v>996</v>
      </c>
      <c r="C1000" s="10" t="n">
        <v>2996</v>
      </c>
      <c r="D1000" s="10" t="inlineStr">
        <is>
          <t>1380606210</t>
        </is>
      </c>
      <c r="E1000" s="26" t="inlineStr">
        <is>
          <t>National Capital Region (NCR)</t>
        </is>
      </c>
      <c r="F1000" s="26" t="inlineStr">
        <is>
          <t>First District (Not a Province)</t>
        </is>
      </c>
      <c r="G1000" s="26" t="inlineStr">
        <is>
          <t>City of Manila</t>
        </is>
      </c>
      <c r="H1000" s="26" t="inlineStr">
        <is>
          <t>Barangay 603</t>
        </is>
      </c>
      <c r="I1000" s="27" t="n">
        <v>14.011299</v>
      </c>
      <c r="J1000" s="27" t="n">
        <v>121.621177</v>
      </c>
      <c r="K1000" s="10" t="inlineStr">
        <is>
          <t>U</t>
        </is>
      </c>
      <c r="L1000" s="12" t="n">
        <v>734</v>
      </c>
      <c r="M1000" s="14" t="n">
        <v>3.9</v>
      </c>
      <c r="N1000" s="12">
        <f>ROUND(L1000/M1000, 0)</f>
        <v/>
      </c>
      <c r="O1000" s="12">
        <f>ROUND(N1000*'Methodology &amp; Assumptions'!$B$5, 0)</f>
        <v/>
      </c>
      <c r="P1000" s="10" t="inlineStr">
        <is>
          <t>Single Carrier (Band n50, 100MHz TDD)</t>
        </is>
      </c>
      <c r="Q1000" s="13">
        <f>ROUNDUP(O1000/'Methodology &amp; Assumptions'!$B$6, 0)</f>
        <v/>
      </c>
      <c r="R1000" s="13" t="n">
        <v>1</v>
      </c>
      <c r="S1000" s="14" t="n">
        <v>3.29</v>
      </c>
      <c r="T1000" s="14" t="n">
        <v>1.48</v>
      </c>
      <c r="U1000" s="26">
        <f>IF(X1000&gt;='Methodology &amp; Assumptions'!$B$7, "Tier 1 Critical GIDA (Score ≥ 50.0)", IF(X1000&gt;='Methodology &amp; Assumptions'!$B$8, "Tier 2 High GIDA (Score 40.0–49.9)", "Tier 3 Moderate GIDA (Score &lt; 40.0)"))</f>
        <v/>
      </c>
      <c r="V1000" s="26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W1000" s="28" t="n">
        <v>0.109</v>
      </c>
      <c r="X1000" s="14" t="n">
        <v>48.06</v>
      </c>
      <c r="Y1000" s="14">
        <f>ROUND(MIN(100, (X1000/69.91)*100), 2)</f>
        <v/>
      </c>
    </row>
    <row r="1001">
      <c r="A1001" s="10" t="n">
        <v>3</v>
      </c>
      <c r="B1001" s="10" t="n">
        <v>997</v>
      </c>
      <c r="C1001" s="10" t="n">
        <v>2997</v>
      </c>
      <c r="D1001" s="10" t="inlineStr">
        <is>
          <t>1380608015</t>
        </is>
      </c>
      <c r="E1001" s="26" t="inlineStr">
        <is>
          <t>National Capital Region (NCR)</t>
        </is>
      </c>
      <c r="F1001" s="26" t="inlineStr">
        <is>
          <t>First District (Not a Province)</t>
        </is>
      </c>
      <c r="G1001" s="26" t="inlineStr">
        <is>
          <t>City of Manila</t>
        </is>
      </c>
      <c r="H1001" s="26" t="inlineStr">
        <is>
          <t>Barangay 664</t>
        </is>
      </c>
      <c r="I1001" s="27" t="n">
        <v>12.145178</v>
      </c>
      <c r="J1001" s="27" t="n">
        <v>122.671962</v>
      </c>
      <c r="K1001" s="10" t="inlineStr">
        <is>
          <t>U</t>
        </is>
      </c>
      <c r="L1001" s="12" t="n">
        <v>470</v>
      </c>
      <c r="M1001" s="14" t="n">
        <v>3.9</v>
      </c>
      <c r="N1001" s="12">
        <f>ROUND(L1001/M1001, 0)</f>
        <v/>
      </c>
      <c r="O1001" s="12">
        <f>ROUND(N1001*'Methodology &amp; Assumptions'!$B$5, 0)</f>
        <v/>
      </c>
      <c r="P1001" s="10" t="inlineStr">
        <is>
          <t>Single Carrier (Band n50, 100MHz TDD)</t>
        </is>
      </c>
      <c r="Q1001" s="13">
        <f>ROUNDUP(O1001/'Methodology &amp; Assumptions'!$B$6, 0)</f>
        <v/>
      </c>
      <c r="R1001" s="13" t="n">
        <v>1</v>
      </c>
      <c r="S1001" s="14" t="n">
        <v>59.82</v>
      </c>
      <c r="T1001" s="14" t="n">
        <v>34.8</v>
      </c>
      <c r="U1001" s="26">
        <f>IF(X1001&gt;='Methodology &amp; Assumptions'!$B$7, "Tier 1 Critical GIDA (Score ≥ 50.0)", IF(X1001&gt;='Methodology &amp; Assumptions'!$B$8, "Tier 2 High GIDA (Score 40.0–49.9)", "Tier 3 Moderate GIDA (Score &lt; 40.0)"))</f>
        <v/>
      </c>
      <c r="V1001" s="26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W1001" s="28" t="n">
        <v>0.109</v>
      </c>
      <c r="X1001" s="14" t="n">
        <v>48.06</v>
      </c>
      <c r="Y1001" s="14">
        <f>ROUND(MIN(100, (X1001/69.91)*100), 2)</f>
        <v/>
      </c>
    </row>
    <row r="1002">
      <c r="A1002" s="10" t="n">
        <v>3</v>
      </c>
      <c r="B1002" s="10" t="n">
        <v>998</v>
      </c>
      <c r="C1002" s="10" t="n">
        <v>2998</v>
      </c>
      <c r="D1002" s="10" t="inlineStr">
        <is>
          <t>1907009006</t>
        </is>
      </c>
      <c r="E1002" s="26" t="inlineStr">
        <is>
          <t>Bangsamoro Autonomous Region In Muslim Mindanao (BARMM)</t>
        </is>
      </c>
      <c r="F1002" s="26" t="inlineStr">
        <is>
          <t>Tawi-Tawi</t>
        </is>
      </c>
      <c r="G1002" s="26" t="inlineStr">
        <is>
          <t>Languyan</t>
        </is>
      </c>
      <c r="H1002" s="26" t="inlineStr">
        <is>
          <t>Maraning</t>
        </is>
      </c>
      <c r="I1002" s="27" t="n">
        <v>17.255769</v>
      </c>
      <c r="J1002" s="27" t="n">
        <v>122.229813</v>
      </c>
      <c r="K1002" s="10" t="inlineStr">
        <is>
          <t>R</t>
        </is>
      </c>
      <c r="L1002" s="12" t="n">
        <v>1937</v>
      </c>
      <c r="M1002" s="14" t="n">
        <v>5.8</v>
      </c>
      <c r="N1002" s="12">
        <f>ROUND(L1002/M1002, 0)</f>
        <v/>
      </c>
      <c r="O1002" s="12">
        <f>ROUND(N1002*'Methodology &amp; Assumptions'!$B$5, 0)</f>
        <v/>
      </c>
      <c r="P1002" s="10" t="inlineStr">
        <is>
          <t>Single Carrier (Band n50, 100MHz TDD)</t>
        </is>
      </c>
      <c r="Q1002" s="13">
        <f>ROUNDUP(O1002/'Methodology &amp; Assumptions'!$B$6, 0)</f>
        <v/>
      </c>
      <c r="R1002" s="13" t="n">
        <v>1</v>
      </c>
      <c r="S1002" s="14" t="n">
        <v>29.56</v>
      </c>
      <c r="T1002" s="14" t="n">
        <v>34.42</v>
      </c>
      <c r="U1002" s="26">
        <f>IF(X1002&gt;='Methodology &amp; Assumptions'!$B$7, "Tier 1 Critical GIDA (Score ≥ 50.0)", IF(X1002&gt;='Methodology &amp; Assumptions'!$B$8, "Tier 2 High GIDA (Score 40.0–49.9)", "Tier 3 Moderate GIDA (Score &lt; 40.0)"))</f>
        <v/>
      </c>
      <c r="V1002" s="26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W1002" s="28" t="n">
        <v>0.11</v>
      </c>
      <c r="X1002" s="14" t="n">
        <v>48.05</v>
      </c>
      <c r="Y1002" s="14">
        <f>ROUND(MIN(100, (X1002/69.91)*100), 2)</f>
        <v/>
      </c>
    </row>
    <row r="1003">
      <c r="A1003" s="10" t="n">
        <v>3</v>
      </c>
      <c r="B1003" s="10" t="n">
        <v>999</v>
      </c>
      <c r="C1003" s="10" t="n">
        <v>2999</v>
      </c>
      <c r="D1003" s="10" t="inlineStr">
        <is>
          <t>1380606036</t>
        </is>
      </c>
      <c r="E1003" s="26" t="inlineStr">
        <is>
          <t>National Capital Region (NCR)</t>
        </is>
      </c>
      <c r="F1003" s="26" t="inlineStr">
        <is>
          <t>First District (Not a Province)</t>
        </is>
      </c>
      <c r="G1003" s="26" t="inlineStr">
        <is>
          <t>City of Manila</t>
        </is>
      </c>
      <c r="H1003" s="26" t="inlineStr">
        <is>
          <t>Barangay 430</t>
        </is>
      </c>
      <c r="I1003" s="27" t="n">
        <v>12.829797</v>
      </c>
      <c r="J1003" s="27" t="n">
        <v>120.601527</v>
      </c>
      <c r="K1003" s="10" t="inlineStr">
        <is>
          <t>U</t>
        </is>
      </c>
      <c r="L1003" s="12" t="n">
        <v>523</v>
      </c>
      <c r="M1003" s="14" t="n">
        <v>3.9</v>
      </c>
      <c r="N1003" s="12">
        <f>ROUND(L1003/M1003, 0)</f>
        <v/>
      </c>
      <c r="O1003" s="12">
        <f>ROUND(N1003*'Methodology &amp; Assumptions'!$B$5, 0)</f>
        <v/>
      </c>
      <c r="P1003" s="10" t="inlineStr">
        <is>
          <t>Single Carrier (Band n50, 100MHz TDD)</t>
        </is>
      </c>
      <c r="Q1003" s="13">
        <f>ROUNDUP(O1003/'Methodology &amp; Assumptions'!$B$6, 0)</f>
        <v/>
      </c>
      <c r="R1003" s="13" t="n">
        <v>1</v>
      </c>
      <c r="S1003" s="14" t="n">
        <v>73.23</v>
      </c>
      <c r="T1003" s="14" t="n">
        <v>71.03</v>
      </c>
      <c r="U1003" s="26">
        <f>IF(X1003&gt;='Methodology &amp; Assumptions'!$B$7, "Tier 1 Critical GIDA (Score ≥ 50.0)", IF(X1003&gt;='Methodology &amp; Assumptions'!$B$8, "Tier 2 High GIDA (Score 40.0–49.9)", "Tier 3 Moderate GIDA (Score &lt; 40.0)"))</f>
        <v/>
      </c>
      <c r="V1003" s="26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W1003" s="28" t="n">
        <v>0.109</v>
      </c>
      <c r="X1003" s="14" t="n">
        <v>48.05</v>
      </c>
      <c r="Y1003" s="14">
        <f>ROUND(MIN(100, (X1003/69.91)*100), 2)</f>
        <v/>
      </c>
    </row>
    <row r="1004">
      <c r="A1004" s="10" t="n">
        <v>3</v>
      </c>
      <c r="B1004" s="10" t="n">
        <v>1000</v>
      </c>
      <c r="C1004" s="10" t="n">
        <v>3000</v>
      </c>
      <c r="D1004" s="10" t="inlineStr">
        <is>
          <t>1380606117</t>
        </is>
      </c>
      <c r="E1004" s="26" t="inlineStr">
        <is>
          <t>National Capital Region (NCR)</t>
        </is>
      </c>
      <c r="F1004" s="26" t="inlineStr">
        <is>
          <t>First District (Not a Province)</t>
        </is>
      </c>
      <c r="G1004" s="26" t="inlineStr">
        <is>
          <t>City of Manila</t>
        </is>
      </c>
      <c r="H1004" s="26" t="inlineStr">
        <is>
          <t>Barangay 511</t>
        </is>
      </c>
      <c r="I1004" s="27" t="n">
        <v>13.689629</v>
      </c>
      <c r="J1004" s="27" t="n">
        <v>122.604833</v>
      </c>
      <c r="K1004" s="10" t="inlineStr">
        <is>
          <t>U</t>
        </is>
      </c>
      <c r="L1004" s="12" t="n">
        <v>1379</v>
      </c>
      <c r="M1004" s="14" t="n">
        <v>3.9</v>
      </c>
      <c r="N1004" s="12">
        <f>ROUND(L1004/M1004, 0)</f>
        <v/>
      </c>
      <c r="O1004" s="12">
        <f>ROUND(N1004*'Methodology &amp; Assumptions'!$B$5, 0)</f>
        <v/>
      </c>
      <c r="P1004" s="10" t="inlineStr">
        <is>
          <t>Single Carrier (Band n50, 100MHz TDD)</t>
        </is>
      </c>
      <c r="Q1004" s="13">
        <f>ROUNDUP(O1004/'Methodology &amp; Assumptions'!$B$6, 0)</f>
        <v/>
      </c>
      <c r="R1004" s="13" t="n">
        <v>1</v>
      </c>
      <c r="S1004" s="14" t="n">
        <v>12.03</v>
      </c>
      <c r="T1004" s="14" t="n">
        <v>11.67</v>
      </c>
      <c r="U1004" s="26">
        <f>IF(X1004&gt;='Methodology &amp; Assumptions'!$B$7, "Tier 1 Critical GIDA (Score ≥ 50.0)", IF(X1004&gt;='Methodology &amp; Assumptions'!$B$8, "Tier 2 High GIDA (Score 40.0–49.9)", "Tier 3 Moderate GIDA (Score &lt; 40.0)"))</f>
        <v/>
      </c>
      <c r="V1004" s="26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W1004" s="28" t="n">
        <v>0.109</v>
      </c>
      <c r="X1004" s="14" t="n">
        <v>48.05</v>
      </c>
      <c r="Y1004" s="14">
        <f>ROUND(MIN(100, (X1004/69.91)*100), 2)</f>
        <v/>
      </c>
    </row>
    <row r="1005">
      <c r="A1005" s="29" t="inlineStr">
        <is>
          <t>BATCH TOTAL / AVERAGE</t>
        </is>
      </c>
      <c r="B1005" s="29" t="n"/>
      <c r="C1005" s="29" t="n"/>
      <c r="D1005" s="29" t="n"/>
      <c r="E1005" s="29" t="n"/>
      <c r="F1005" s="29" t="n"/>
      <c r="G1005" s="29" t="n"/>
      <c r="H1005" s="29" t="n"/>
      <c r="I1005" s="29" t="n"/>
      <c r="J1005" s="29" t="n"/>
      <c r="K1005" s="29" t="n"/>
      <c r="L1005" s="17">
        <f>SUM(L5:L1004)</f>
        <v/>
      </c>
      <c r="M1005" s="29" t="n"/>
      <c r="N1005" s="17">
        <f>SUM(N5:N1004)</f>
        <v/>
      </c>
      <c r="O1005" s="17">
        <f>SUM(O5:O1004)</f>
        <v/>
      </c>
      <c r="P1005" s="29" t="n"/>
      <c r="Q1005" s="17">
        <f>SUM(Q5:Q1004)</f>
        <v/>
      </c>
      <c r="R1005" s="17">
        <f>SUM(R5:R1004)</f>
        <v/>
      </c>
      <c r="S1005" s="18">
        <f>AVERAGE(S5:S1004)</f>
        <v/>
      </c>
      <c r="T1005" s="29" t="n"/>
      <c r="U1005" s="29" t="n"/>
      <c r="V1005" s="29" t="n"/>
      <c r="W1005" s="29" t="n"/>
      <c r="X1005" s="18">
        <f>AVERAGE(X5:X1004)</f>
        <v/>
      </c>
      <c r="Y1005" s="18">
        <f>AVERAGE(Y5:Y1004)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4" customWidth="1" min="4" max="4"/>
    <col width="20" customWidth="1" min="5" max="5"/>
    <col width="20" customWidth="1" min="6" max="6"/>
    <col width="22" customWidth="1" min="7" max="7"/>
    <col width="24" customWidth="1" min="8" max="8"/>
    <col width="12" customWidth="1" min="9" max="9"/>
    <col width="12" customWidth="1" min="10" max="10"/>
    <col width="6" customWidth="1" min="11" max="11"/>
    <col width="14" customWidth="1" min="12" max="12"/>
    <col width="14" customWidth="1" min="13" max="13"/>
    <col width="14" customWidth="1" min="14" max="14"/>
    <col width="15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32" customWidth="1" min="22" max="22"/>
    <col width="14" customWidth="1" min="23" max="23"/>
    <col width="14" customWidth="1" min="24" max="24"/>
    <col width="16" customWidth="1" min="25" max="25"/>
  </cols>
  <sheetData>
    <row r="1">
      <c r="A1" s="1" t="inlineStr">
        <is>
          <t>5G FWA GIDA Siting Rollout Schedule - Batch 4 &amp; 5 (3,001 - 5,000)</t>
        </is>
      </c>
    </row>
    <row r="2">
      <c r="A2" s="2" t="inlineStr">
        <is>
          <t>Dynamic GIDA deployment rollout schedule (2,000 sites), linked to live parameters in 'Methodology &amp; Assumptions'.</t>
        </is>
      </c>
    </row>
    <row r="3"/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GIDA Priority Tier</t>
        </is>
      </c>
      <c r="V4" s="9" t="inlineStr">
        <is>
          <t>Backhaul Architecture</t>
        </is>
      </c>
      <c r="W4" s="9" t="inlineStr">
        <is>
          <t>Regional Poverty %</t>
        </is>
      </c>
      <c r="X4" s="9" t="inlineStr">
        <is>
          <t>Official GIDA Score</t>
        </is>
      </c>
      <c r="Y4" s="9" t="inlineStr">
        <is>
          <t>Normalized GIDA Score</t>
        </is>
      </c>
    </row>
    <row r="5">
      <c r="A5" s="10" t="n">
        <v>4</v>
      </c>
      <c r="B5" s="10" t="n">
        <v>1</v>
      </c>
      <c r="C5" s="10" t="n">
        <v>3001</v>
      </c>
      <c r="D5" s="10" t="inlineStr">
        <is>
          <t>PH0003001</t>
        </is>
      </c>
      <c r="E5" s="26" t="inlineStr">
        <is>
          <t>CAR</t>
        </is>
      </c>
      <c r="F5" s="26" t="inlineStr">
        <is>
          <t>Benguet</t>
        </is>
      </c>
      <c r="G5" s="26" t="inlineStr">
        <is>
          <t>Baguio City</t>
        </is>
      </c>
      <c r="H5" s="26" t="inlineStr">
        <is>
          <t>Andres Bonifacio</t>
        </is>
      </c>
      <c r="I5" s="27" t="n">
        <v>16.414443</v>
      </c>
      <c r="J5" s="27" t="n">
        <v>120.558943</v>
      </c>
      <c r="K5" s="10" t="inlineStr">
        <is>
          <t>R</t>
        </is>
      </c>
      <c r="L5" s="12" t="n">
        <v>2260</v>
      </c>
      <c r="M5" s="14" t="n">
        <v>3.5</v>
      </c>
      <c r="N5" s="12">
        <f>ROUND(L5/M5, 0)</f>
        <v/>
      </c>
      <c r="O5" s="12">
        <f>ROUND(N5*'Methodology &amp; Assumptions'!$B$5, 0)</f>
        <v/>
      </c>
      <c r="P5" s="10" t="inlineStr">
        <is>
          <t>Single Carrier (Band n50, 100MHz TDD)</t>
        </is>
      </c>
      <c r="Q5" s="13">
        <f>ROUNDUP(O5/'Methodology &amp; Assumptions'!$B$6, 0)</f>
        <v/>
      </c>
      <c r="R5" s="13" t="n">
        <v>1</v>
      </c>
      <c r="S5" s="14" t="n">
        <v>0.91</v>
      </c>
      <c r="T5" s="14" t="n">
        <v>0.31</v>
      </c>
      <c r="U5" s="26">
        <f>IF(X5&gt;='Methodology &amp; Assumptions'!$B$7, "Tier 1 Critical GIDA (Score ≥ 50.0)", IF(X5&gt;='Methodology &amp; Assumptions'!$B$8, "Tier 2 High GIDA (Score 40.0–49.9)", "Tier 3 Moderate GIDA (Score &lt; 40.0)"))</f>
        <v/>
      </c>
      <c r="V5" s="26">
        <f>IF(S5&lt;='Methodology &amp; Assumptions'!$B$10, "Direct Optical Drop (&lt;3km)", IF(S5&lt;='Methodology &amp; Assumptions'!$B$9, "Near Optical / Microwave (&lt;5km)", "Starlink Business LEO Satellite Backhaul (&gt;5km)"))</f>
        <v/>
      </c>
      <c r="W5" s="28" t="n">
        <v>0.221</v>
      </c>
      <c r="X5" s="14" t="n">
        <v>48.05</v>
      </c>
      <c r="Y5" s="14">
        <f>ROUND(MIN(100, (X5/69.91)*100), 2)</f>
        <v/>
      </c>
    </row>
    <row r="6">
      <c r="A6" s="10" t="n">
        <v>4</v>
      </c>
      <c r="B6" s="10" t="n">
        <v>2</v>
      </c>
      <c r="C6" s="10" t="n">
        <v>3002</v>
      </c>
      <c r="D6" s="10" t="inlineStr">
        <is>
          <t>1380614019</t>
        </is>
      </c>
      <c r="E6" s="26" t="inlineStr">
        <is>
          <t>National Capital Region (NCR)</t>
        </is>
      </c>
      <c r="F6" s="26" t="inlineStr">
        <is>
          <t>First District (Not a Province)</t>
        </is>
      </c>
      <c r="G6" s="26" t="inlineStr">
        <is>
          <t>City of Manila</t>
        </is>
      </c>
      <c r="H6" s="26" t="inlineStr">
        <is>
          <t>Barangay 763</t>
        </is>
      </c>
      <c r="I6" s="27" t="n">
        <v>11.734029</v>
      </c>
      <c r="J6" s="27" t="n">
        <v>121.722688</v>
      </c>
      <c r="K6" s="10" t="inlineStr">
        <is>
          <t>U</t>
        </is>
      </c>
      <c r="L6" s="12" t="n">
        <v>1833</v>
      </c>
      <c r="M6" s="14" t="n">
        <v>3.9</v>
      </c>
      <c r="N6" s="12">
        <f>ROUND(L6/M6, 0)</f>
        <v/>
      </c>
      <c r="O6" s="12">
        <f>ROUND(N6*'Methodology &amp; Assumptions'!$B$5, 0)</f>
        <v/>
      </c>
      <c r="P6" s="10" t="inlineStr">
        <is>
          <t>Single Carrier (Band n50, 100MHz TDD)</t>
        </is>
      </c>
      <c r="Q6" s="13">
        <f>ROUNDUP(O6/'Methodology &amp; Assumptions'!$B$6, 0)</f>
        <v/>
      </c>
      <c r="R6" s="13" t="n">
        <v>1</v>
      </c>
      <c r="S6" s="14" t="n">
        <v>34.02</v>
      </c>
      <c r="T6" s="14" t="n">
        <v>32.4</v>
      </c>
      <c r="U6" s="26">
        <f>IF(X6&gt;='Methodology &amp; Assumptions'!$B$7, "Tier 1 Critical GIDA (Score ≥ 50.0)", IF(X6&gt;='Methodology &amp; Assumptions'!$B$8, "Tier 2 High GIDA (Score 40.0–49.9)", "Tier 3 Moderate GIDA (Score &lt; 40.0)"))</f>
        <v/>
      </c>
      <c r="V6" s="26">
        <f>IF(S6&lt;='Methodology &amp; Assumptions'!$B$10, "Direct Optical Drop (&lt;3km)", IF(S6&lt;='Methodology &amp; Assumptions'!$B$9, "Near Optical / Microwave (&lt;5km)", "Starlink Business LEO Satellite Backhaul (&gt;5km)"))</f>
        <v/>
      </c>
      <c r="W6" s="28" t="n">
        <v>0.109</v>
      </c>
      <c r="X6" s="14" t="n">
        <v>48.05</v>
      </c>
      <c r="Y6" s="14">
        <f>ROUND(MIN(100, (X6/69.91)*100), 2)</f>
        <v/>
      </c>
    </row>
    <row r="7">
      <c r="A7" s="10" t="n">
        <v>4</v>
      </c>
      <c r="B7" s="10" t="n">
        <v>3</v>
      </c>
      <c r="C7" s="10" t="n">
        <v>3003</v>
      </c>
      <c r="D7" s="10" t="inlineStr">
        <is>
          <t>1380606050</t>
        </is>
      </c>
      <c r="E7" s="26" t="inlineStr">
        <is>
          <t>National Capital Region (NCR)</t>
        </is>
      </c>
      <c r="F7" s="26" t="inlineStr">
        <is>
          <t>First District (Not a Province)</t>
        </is>
      </c>
      <c r="G7" s="26" t="inlineStr">
        <is>
          <t>City of Manila</t>
        </is>
      </c>
      <c r="H7" s="26" t="inlineStr">
        <is>
          <t>Barangay 444</t>
        </is>
      </c>
      <c r="I7" s="27" t="n">
        <v>13.759205</v>
      </c>
      <c r="J7" s="27" t="n">
        <v>121.016961</v>
      </c>
      <c r="K7" s="10" t="inlineStr">
        <is>
          <t>U</t>
        </is>
      </c>
      <c r="L7" s="12" t="n">
        <v>970</v>
      </c>
      <c r="M7" s="14" t="n">
        <v>3.9</v>
      </c>
      <c r="N7" s="12">
        <f>ROUND(L7/M7, 0)</f>
        <v/>
      </c>
      <c r="O7" s="12">
        <f>ROUND(N7*'Methodology &amp; Assumptions'!$B$5, 0)</f>
        <v/>
      </c>
      <c r="P7" s="10" t="inlineStr">
        <is>
          <t>Single Carrier (Band n50, 100MHz TDD)</t>
        </is>
      </c>
      <c r="Q7" s="13">
        <f>ROUNDUP(O7/'Methodology &amp; Assumptions'!$B$6, 0)</f>
        <v/>
      </c>
      <c r="R7" s="13" t="n">
        <v>1</v>
      </c>
      <c r="S7" s="14" t="n">
        <v>3.03</v>
      </c>
      <c r="T7" s="14" t="n">
        <v>2.96</v>
      </c>
      <c r="U7" s="26">
        <f>IF(X7&gt;='Methodology &amp; Assumptions'!$B$7, "Tier 1 Critical GIDA (Score ≥ 50.0)", IF(X7&gt;='Methodology &amp; Assumptions'!$B$8, "Tier 2 High GIDA (Score 40.0–49.9)", "Tier 3 Moderate GIDA (Score &lt; 40.0)"))</f>
        <v/>
      </c>
      <c r="V7" s="26">
        <f>IF(S7&lt;='Methodology &amp; Assumptions'!$B$10, "Direct Optical Drop (&lt;3km)", IF(S7&lt;='Methodology &amp; Assumptions'!$B$9, "Near Optical / Microwave (&lt;5km)", "Starlink Business LEO Satellite Backhaul (&gt;5km)"))</f>
        <v/>
      </c>
      <c r="W7" s="28" t="n">
        <v>0.109</v>
      </c>
      <c r="X7" s="14" t="n">
        <v>48.05</v>
      </c>
      <c r="Y7" s="14">
        <f>ROUND(MIN(100, (X7/69.91)*100), 2)</f>
        <v/>
      </c>
    </row>
    <row r="8">
      <c r="A8" s="10" t="n">
        <v>4</v>
      </c>
      <c r="B8" s="10" t="n">
        <v>4</v>
      </c>
      <c r="C8" s="10" t="n">
        <v>3004</v>
      </c>
      <c r="D8" s="10" t="inlineStr">
        <is>
          <t>1380606226</t>
        </is>
      </c>
      <c r="E8" s="26" t="inlineStr">
        <is>
          <t>National Capital Region (NCR)</t>
        </is>
      </c>
      <c r="F8" s="26" t="inlineStr">
        <is>
          <t>First District (Not a Province)</t>
        </is>
      </c>
      <c r="G8" s="26" t="inlineStr">
        <is>
          <t>City of Manila</t>
        </is>
      </c>
      <c r="H8" s="26" t="inlineStr">
        <is>
          <t>Barangay 619</t>
        </is>
      </c>
      <c r="I8" s="27" t="n">
        <v>12.729665</v>
      </c>
      <c r="J8" s="27" t="n">
        <v>122.94304</v>
      </c>
      <c r="K8" s="10" t="inlineStr">
        <is>
          <t>U</t>
        </is>
      </c>
      <c r="L8" s="12" t="n">
        <v>1322</v>
      </c>
      <c r="M8" s="14" t="n">
        <v>3.9</v>
      </c>
      <c r="N8" s="12">
        <f>ROUND(L8/M8, 0)</f>
        <v/>
      </c>
      <c r="O8" s="12">
        <f>ROUND(N8*'Methodology &amp; Assumptions'!$B$5, 0)</f>
        <v/>
      </c>
      <c r="P8" s="10" t="inlineStr">
        <is>
          <t>Single Carrier (Band n50, 100MHz TDD)</t>
        </is>
      </c>
      <c r="Q8" s="13">
        <f>ROUNDUP(O8/'Methodology &amp; Assumptions'!$B$6, 0)</f>
        <v/>
      </c>
      <c r="R8" s="13" t="n">
        <v>1</v>
      </c>
      <c r="S8" s="14" t="n">
        <v>54.52</v>
      </c>
      <c r="T8" s="14" t="n">
        <v>58.44</v>
      </c>
      <c r="U8" s="26">
        <f>IF(X8&gt;='Methodology &amp; Assumptions'!$B$7, "Tier 1 Critical GIDA (Score ≥ 50.0)", IF(X8&gt;='Methodology &amp; Assumptions'!$B$8, "Tier 2 High GIDA (Score 40.0–49.9)", "Tier 3 Moderate GIDA (Score &lt; 40.0)"))</f>
        <v/>
      </c>
      <c r="V8" s="26">
        <f>IF(S8&lt;='Methodology &amp; Assumptions'!$B$10, "Direct Optical Drop (&lt;3km)", IF(S8&lt;='Methodology &amp; Assumptions'!$B$9, "Near Optical / Microwave (&lt;5km)", "Starlink Business LEO Satellite Backhaul (&gt;5km)"))</f>
        <v/>
      </c>
      <c r="W8" s="28" t="n">
        <v>0.109</v>
      </c>
      <c r="X8" s="14" t="n">
        <v>48.05</v>
      </c>
      <c r="Y8" s="14">
        <f>ROUND(MIN(100, (X8/69.91)*100), 2)</f>
        <v/>
      </c>
    </row>
    <row r="9">
      <c r="A9" s="10" t="n">
        <v>4</v>
      </c>
      <c r="B9" s="10" t="n">
        <v>5</v>
      </c>
      <c r="C9" s="10" t="n">
        <v>3005</v>
      </c>
      <c r="D9" s="10" t="inlineStr">
        <is>
          <t>1380606135</t>
        </is>
      </c>
      <c r="E9" s="26" t="inlineStr">
        <is>
          <t>National Capital Region (NCR)</t>
        </is>
      </c>
      <c r="F9" s="26" t="inlineStr">
        <is>
          <t>First District (Not a Province)</t>
        </is>
      </c>
      <c r="G9" s="26" t="inlineStr">
        <is>
          <t>City of Manila</t>
        </is>
      </c>
      <c r="H9" s="26" t="inlineStr">
        <is>
          <t>Barangay 529</t>
        </is>
      </c>
      <c r="I9" s="27" t="n">
        <v>12.219622</v>
      </c>
      <c r="J9" s="27" t="n">
        <v>120.806981</v>
      </c>
      <c r="K9" s="10" t="inlineStr">
        <is>
          <t>U</t>
        </is>
      </c>
      <c r="L9" s="12" t="n">
        <v>963</v>
      </c>
      <c r="M9" s="14" t="n">
        <v>3.9</v>
      </c>
      <c r="N9" s="12">
        <f>ROUND(L9/M9, 0)</f>
        <v/>
      </c>
      <c r="O9" s="12">
        <f>ROUND(N9*'Methodology &amp; Assumptions'!$B$5, 0)</f>
        <v/>
      </c>
      <c r="P9" s="10" t="inlineStr">
        <is>
          <t>Single Carrier (Band n50, 100MHz TDD)</t>
        </is>
      </c>
      <c r="Q9" s="13">
        <f>ROUNDUP(O9/'Methodology &amp; Assumptions'!$B$6, 0)</f>
        <v/>
      </c>
      <c r="R9" s="13" t="n">
        <v>1</v>
      </c>
      <c r="S9" s="14" t="n">
        <v>31.56</v>
      </c>
      <c r="T9" s="14" t="n">
        <v>31.41</v>
      </c>
      <c r="U9" s="26">
        <f>IF(X9&gt;='Methodology &amp; Assumptions'!$B$7, "Tier 1 Critical GIDA (Score ≥ 50.0)", IF(X9&gt;='Methodology &amp; Assumptions'!$B$8, "Tier 2 High GIDA (Score 40.0–49.9)", "Tier 3 Moderate GIDA (Score &lt; 40.0)"))</f>
        <v/>
      </c>
      <c r="V9" s="26">
        <f>IF(S9&lt;='Methodology &amp; Assumptions'!$B$10, "Direct Optical Drop (&lt;3km)", IF(S9&lt;='Methodology &amp; Assumptions'!$B$9, "Near Optical / Microwave (&lt;5km)", "Starlink Business LEO Satellite Backhaul (&gt;5km)"))</f>
        <v/>
      </c>
      <c r="W9" s="28" t="n">
        <v>0.109</v>
      </c>
      <c r="X9" s="14" t="n">
        <v>48.04</v>
      </c>
      <c r="Y9" s="14">
        <f>ROUND(MIN(100, (X9/69.91)*100), 2)</f>
        <v/>
      </c>
    </row>
    <row r="10">
      <c r="A10" s="10" t="n">
        <v>4</v>
      </c>
      <c r="B10" s="10" t="n">
        <v>6</v>
      </c>
      <c r="C10" s="10" t="n">
        <v>3006</v>
      </c>
      <c r="D10" s="10" t="inlineStr">
        <is>
          <t>PH0003006</t>
        </is>
      </c>
      <c r="E10" s="26" t="inlineStr">
        <is>
          <t>CAR</t>
        </is>
      </c>
      <c r="F10" s="26" t="inlineStr">
        <is>
          <t>Benguet</t>
        </is>
      </c>
      <c r="G10" s="26" t="inlineStr">
        <is>
          <t>Baguio City</t>
        </is>
      </c>
      <c r="H10" s="26" t="inlineStr">
        <is>
          <t>Rizal Monument Area</t>
        </is>
      </c>
      <c r="I10" s="27" t="n">
        <v>16.42494</v>
      </c>
      <c r="J10" s="27" t="n">
        <v>120.626691</v>
      </c>
      <c r="K10" s="10" t="inlineStr">
        <is>
          <t>R</t>
        </is>
      </c>
      <c r="L10" s="12" t="n">
        <v>2260</v>
      </c>
      <c r="M10" s="14" t="n">
        <v>3.5</v>
      </c>
      <c r="N10" s="12">
        <f>ROUND(L10/M10, 0)</f>
        <v/>
      </c>
      <c r="O10" s="12">
        <f>ROUND(N10*'Methodology &amp; Assumptions'!$B$5, 0)</f>
        <v/>
      </c>
      <c r="P10" s="10" t="inlineStr">
        <is>
          <t>Single Carrier (Band n50, 100MHz TDD)</t>
        </is>
      </c>
      <c r="Q10" s="13">
        <f>ROUNDUP(O10/'Methodology &amp; Assumptions'!$B$6, 0)</f>
        <v/>
      </c>
      <c r="R10" s="13" t="n">
        <v>1</v>
      </c>
      <c r="S10" s="14" t="n">
        <v>1.25</v>
      </c>
      <c r="T10" s="14" t="n">
        <v>0.45</v>
      </c>
      <c r="U10" s="26">
        <f>IF(X10&gt;='Methodology &amp; Assumptions'!$B$7, "Tier 1 Critical GIDA (Score ≥ 50.0)", IF(X10&gt;='Methodology &amp; Assumptions'!$B$8, "Tier 2 High GIDA (Score 40.0–49.9)", "Tier 3 Moderate GIDA (Score &lt; 40.0)"))</f>
        <v/>
      </c>
      <c r="V10" s="26">
        <f>IF(S10&lt;='Methodology &amp; Assumptions'!$B$10, "Direct Optical Drop (&lt;3km)", IF(S10&lt;='Methodology &amp; Assumptions'!$B$9, "Near Optical / Microwave (&lt;5km)", "Starlink Business LEO Satellite Backhaul (&gt;5km)"))</f>
        <v/>
      </c>
      <c r="W10" s="28" t="n">
        <v>0.221</v>
      </c>
      <c r="X10" s="14" t="n">
        <v>48.04</v>
      </c>
      <c r="Y10" s="14">
        <f>ROUND(MIN(100, (X10/69.91)*100), 2)</f>
        <v/>
      </c>
    </row>
    <row r="11">
      <c r="A11" s="10" t="n">
        <v>4</v>
      </c>
      <c r="B11" s="10" t="n">
        <v>7</v>
      </c>
      <c r="C11" s="10" t="n">
        <v>3007</v>
      </c>
      <c r="D11" s="10" t="inlineStr">
        <is>
          <t>1903601013</t>
        </is>
      </c>
      <c r="E11" s="26" t="inlineStr">
        <is>
          <t>Bangsamoro Autonomous Region In Muslim Mindanao (BARMM)</t>
        </is>
      </c>
      <c r="F11" s="26" t="inlineStr">
        <is>
          <t>Lanao del Sur</t>
        </is>
      </c>
      <c r="G11" s="26" t="inlineStr">
        <is>
          <t>Bacolod-Kalawi</t>
        </is>
      </c>
      <c r="H11" s="26" t="inlineStr">
        <is>
          <t>Ilian</t>
        </is>
      </c>
      <c r="I11" s="27" t="n">
        <v>17.254715</v>
      </c>
      <c r="J11" s="27" t="n">
        <v>122.228759</v>
      </c>
      <c r="K11" s="10" t="inlineStr">
        <is>
          <t>R</t>
        </is>
      </c>
      <c r="L11" s="12" t="n">
        <v>1174</v>
      </c>
      <c r="M11" s="14" t="n">
        <v>5.7</v>
      </c>
      <c r="N11" s="12">
        <f>ROUND(L11/M11, 0)</f>
        <v/>
      </c>
      <c r="O11" s="12">
        <f>ROUND(N11*'Methodology &amp; Assumptions'!$B$5, 0)</f>
        <v/>
      </c>
      <c r="P11" s="10" t="inlineStr">
        <is>
          <t>Single Carrier (Band n50, 100MHz TDD)</t>
        </is>
      </c>
      <c r="Q11" s="13">
        <f>ROUNDUP(O11/'Methodology &amp; Assumptions'!$B$6, 0)</f>
        <v/>
      </c>
      <c r="R11" s="13" t="n">
        <v>1</v>
      </c>
      <c r="S11" s="14" t="n">
        <v>29.4</v>
      </c>
      <c r="T11" s="14" t="n">
        <v>34.28</v>
      </c>
      <c r="U11" s="26">
        <f>IF(X11&gt;='Methodology &amp; Assumptions'!$B$7, "Tier 1 Critical GIDA (Score ≥ 50.0)", IF(X11&gt;='Methodology &amp; Assumptions'!$B$8, "Tier 2 High GIDA (Score 40.0–49.9)", "Tier 3 Moderate GIDA (Score &lt; 40.0)"))</f>
        <v/>
      </c>
      <c r="V11" s="26">
        <f>IF(S11&lt;='Methodology &amp; Assumptions'!$B$10, "Direct Optical Drop (&lt;3km)", IF(S11&lt;='Methodology &amp; Assumptions'!$B$9, "Near Optical / Microwave (&lt;5km)", "Starlink Business LEO Satellite Backhaul (&gt;5km)"))</f>
        <v/>
      </c>
      <c r="W11" s="28" t="n">
        <v>0.11</v>
      </c>
      <c r="X11" s="14" t="n">
        <v>48.04</v>
      </c>
      <c r="Y11" s="14">
        <f>ROUND(MIN(100, (X11/69.91)*100), 2)</f>
        <v/>
      </c>
    </row>
    <row r="12">
      <c r="A12" s="10" t="n">
        <v>4</v>
      </c>
      <c r="B12" s="10" t="n">
        <v>8</v>
      </c>
      <c r="C12" s="10" t="n">
        <v>3008</v>
      </c>
      <c r="D12" s="10" t="inlineStr">
        <is>
          <t>0102934020</t>
        </is>
      </c>
      <c r="E12" s="26" t="inlineStr">
        <is>
          <t>Region I (Ilocos Region)</t>
        </is>
      </c>
      <c r="F12" s="26" t="inlineStr">
        <is>
          <t>Ilocos Sur</t>
        </is>
      </c>
      <c r="G12" s="26" t="inlineStr">
        <is>
          <t>City of Vigan</t>
        </is>
      </c>
      <c r="H12" s="26" t="inlineStr">
        <is>
          <t>Mindoro</t>
        </is>
      </c>
      <c r="I12" s="27" t="n">
        <v>17.559861</v>
      </c>
      <c r="J12" s="27" t="n">
        <v>120.351758</v>
      </c>
      <c r="K12" s="10" t="inlineStr">
        <is>
          <t>R</t>
        </is>
      </c>
      <c r="L12" s="12" t="n">
        <v>1575</v>
      </c>
      <c r="M12" s="14" t="n">
        <v>3.8</v>
      </c>
      <c r="N12" s="12">
        <f>ROUND(L12/M12, 0)</f>
        <v/>
      </c>
      <c r="O12" s="12">
        <f>ROUND(N12*'Methodology &amp; Assumptions'!$B$5, 0)</f>
        <v/>
      </c>
      <c r="P12" s="10" t="inlineStr">
        <is>
          <t>Single Carrier (Band n50, 100MHz TDD)</t>
        </is>
      </c>
      <c r="Q12" s="13">
        <f>ROUNDUP(O12/'Methodology &amp; Assumptions'!$B$6, 0)</f>
        <v/>
      </c>
      <c r="R12" s="13" t="n">
        <v>1</v>
      </c>
      <c r="S12" s="14" t="n">
        <v>5.55</v>
      </c>
      <c r="T12" s="14" t="n">
        <v>4.8</v>
      </c>
      <c r="U12" s="26">
        <f>IF(X12&gt;='Methodology &amp; Assumptions'!$B$7, "Tier 1 Critical GIDA (Score ≥ 50.0)", IF(X12&gt;='Methodology &amp; Assumptions'!$B$8, "Tier 2 High GIDA (Score 40.0–49.9)", "Tier 3 Moderate GIDA (Score &lt; 40.0)"))</f>
        <v/>
      </c>
      <c r="V12" s="26">
        <f>IF(S12&lt;='Methodology &amp; Assumptions'!$B$10, "Direct Optical Drop (&lt;3km)", IF(S12&lt;='Methodology &amp; Assumptions'!$B$9, "Near Optical / Microwave (&lt;5km)", "Starlink Business LEO Satellite Backhaul (&gt;5km)"))</f>
        <v/>
      </c>
      <c r="W12" s="28" t="n">
        <v>0.083</v>
      </c>
      <c r="X12" s="14" t="n">
        <v>48.04</v>
      </c>
      <c r="Y12" s="14">
        <f>ROUND(MIN(100, (X12/69.91)*100), 2)</f>
        <v/>
      </c>
    </row>
    <row r="13">
      <c r="A13" s="10" t="n">
        <v>4</v>
      </c>
      <c r="B13" s="10" t="n">
        <v>9</v>
      </c>
      <c r="C13" s="10" t="n">
        <v>3009</v>
      </c>
      <c r="D13" s="10" t="inlineStr">
        <is>
          <t>1380614089</t>
        </is>
      </c>
      <c r="E13" s="26" t="inlineStr">
        <is>
          <t>National Capital Region (NCR)</t>
        </is>
      </c>
      <c r="F13" s="26" t="inlineStr">
        <is>
          <t>First District (Not a Province)</t>
        </is>
      </c>
      <c r="G13" s="26" t="inlineStr">
        <is>
          <t>City of Manila</t>
        </is>
      </c>
      <c r="H13" s="26" t="inlineStr">
        <is>
          <t>Barangay 896</t>
        </is>
      </c>
      <c r="I13" s="27" t="n">
        <v>14.00455</v>
      </c>
      <c r="J13" s="27" t="n">
        <v>122.029809</v>
      </c>
      <c r="K13" s="10" t="inlineStr">
        <is>
          <t>U</t>
        </is>
      </c>
      <c r="L13" s="12" t="n">
        <v>1303</v>
      </c>
      <c r="M13" s="14" t="n">
        <v>3.9</v>
      </c>
      <c r="N13" s="12">
        <f>ROUND(L13/M13, 0)</f>
        <v/>
      </c>
      <c r="O13" s="12">
        <f>ROUND(N13*'Methodology &amp; Assumptions'!$B$5, 0)</f>
        <v/>
      </c>
      <c r="P13" s="10" t="inlineStr">
        <is>
          <t>Single Carrier (Band n50, 100MHz TDD)</t>
        </is>
      </c>
      <c r="Q13" s="13">
        <f>ROUNDUP(O13/'Methodology &amp; Assumptions'!$B$6, 0)</f>
        <v/>
      </c>
      <c r="R13" s="13" t="n">
        <v>1</v>
      </c>
      <c r="S13" s="14" t="n">
        <v>5.48</v>
      </c>
      <c r="T13" s="14" t="n">
        <v>5.11</v>
      </c>
      <c r="U13" s="26">
        <f>IF(X13&gt;='Methodology &amp; Assumptions'!$B$7, "Tier 1 Critical GIDA (Score ≥ 50.0)", IF(X13&gt;='Methodology &amp; Assumptions'!$B$8, "Tier 2 High GIDA (Score 40.0–49.9)", "Tier 3 Moderate GIDA (Score &lt; 40.0)"))</f>
        <v/>
      </c>
      <c r="V13" s="26">
        <f>IF(S13&lt;='Methodology &amp; Assumptions'!$B$10, "Direct Optical Drop (&lt;3km)", IF(S13&lt;='Methodology &amp; Assumptions'!$B$9, "Near Optical / Microwave (&lt;5km)", "Starlink Business LEO Satellite Backhaul (&gt;5km)"))</f>
        <v/>
      </c>
      <c r="W13" s="28" t="n">
        <v>0.109</v>
      </c>
      <c r="X13" s="14" t="n">
        <v>48.04</v>
      </c>
      <c r="Y13" s="14">
        <f>ROUND(MIN(100, (X13/69.91)*100), 2)</f>
        <v/>
      </c>
    </row>
    <row r="14">
      <c r="A14" s="10" t="n">
        <v>4</v>
      </c>
      <c r="B14" s="10" t="n">
        <v>10</v>
      </c>
      <c r="C14" s="10" t="n">
        <v>3010</v>
      </c>
      <c r="D14" s="10" t="inlineStr">
        <is>
          <t>1380601238</t>
        </is>
      </c>
      <c r="E14" s="26" t="inlineStr">
        <is>
          <t>National Capital Region (NCR)</t>
        </is>
      </c>
      <c r="F14" s="26" t="inlineStr">
        <is>
          <t>First District (Not a Province)</t>
        </is>
      </c>
      <c r="G14" s="26" t="inlineStr">
        <is>
          <t>City of Manila</t>
        </is>
      </c>
      <c r="H14" s="26" t="inlineStr">
        <is>
          <t>Barangay 237</t>
        </is>
      </c>
      <c r="I14" s="27" t="n">
        <v>11.880731</v>
      </c>
      <c r="J14" s="27" t="n">
        <v>122.365641</v>
      </c>
      <c r="K14" s="10" t="inlineStr">
        <is>
          <t>U</t>
        </is>
      </c>
      <c r="L14" s="12" t="n">
        <v>466</v>
      </c>
      <c r="M14" s="14" t="n">
        <v>3.9</v>
      </c>
      <c r="N14" s="12">
        <f>ROUND(L14/M14, 0)</f>
        <v/>
      </c>
      <c r="O14" s="12">
        <f>ROUND(N14*'Methodology &amp; Assumptions'!$B$5, 0)</f>
        <v/>
      </c>
      <c r="P14" s="10" t="inlineStr">
        <is>
          <t>Single Carrier (Band n50, 100MHz TDD)</t>
        </is>
      </c>
      <c r="Q14" s="13">
        <f>ROUNDUP(O14/'Methodology &amp; Assumptions'!$B$6, 0)</f>
        <v/>
      </c>
      <c r="R14" s="13" t="n">
        <v>1</v>
      </c>
      <c r="S14" s="14" t="n">
        <v>19.93</v>
      </c>
      <c r="T14" s="14" t="n">
        <v>7.95</v>
      </c>
      <c r="U14" s="26">
        <f>IF(X14&gt;='Methodology &amp; Assumptions'!$B$7, "Tier 1 Critical GIDA (Score ≥ 50.0)", IF(X14&gt;='Methodology &amp; Assumptions'!$B$8, "Tier 2 High GIDA (Score 40.0–49.9)", "Tier 3 Moderate GIDA (Score &lt; 40.0)"))</f>
        <v/>
      </c>
      <c r="V14" s="26">
        <f>IF(S14&lt;='Methodology &amp; Assumptions'!$B$10, "Direct Optical Drop (&lt;3km)", IF(S14&lt;='Methodology &amp; Assumptions'!$B$9, "Near Optical / Microwave (&lt;5km)", "Starlink Business LEO Satellite Backhaul (&gt;5km)"))</f>
        <v/>
      </c>
      <c r="W14" s="28" t="n">
        <v>0.109</v>
      </c>
      <c r="X14" s="14" t="n">
        <v>48.04</v>
      </c>
      <c r="Y14" s="14">
        <f>ROUND(MIN(100, (X14/69.91)*100), 2)</f>
        <v/>
      </c>
    </row>
    <row r="15">
      <c r="A15" s="10" t="n">
        <v>4</v>
      </c>
      <c r="B15" s="10" t="n">
        <v>11</v>
      </c>
      <c r="C15" s="10" t="n">
        <v>3011</v>
      </c>
      <c r="D15" s="10" t="inlineStr">
        <is>
          <t>1380606120</t>
        </is>
      </c>
      <c r="E15" s="26" t="inlineStr">
        <is>
          <t>National Capital Region (NCR)</t>
        </is>
      </c>
      <c r="F15" s="26" t="inlineStr">
        <is>
          <t>First District (Not a Province)</t>
        </is>
      </c>
      <c r="G15" s="26" t="inlineStr">
        <is>
          <t>City of Manila</t>
        </is>
      </c>
      <c r="H15" s="26" t="inlineStr">
        <is>
          <t>Barangay 514</t>
        </is>
      </c>
      <c r="I15" s="27" t="n">
        <v>13.226973</v>
      </c>
      <c r="J15" s="27" t="n">
        <v>120.644164</v>
      </c>
      <c r="K15" s="10" t="inlineStr">
        <is>
          <t>U</t>
        </is>
      </c>
      <c r="L15" s="12" t="n">
        <v>2352</v>
      </c>
      <c r="M15" s="14" t="n">
        <v>3.9</v>
      </c>
      <c r="N15" s="12">
        <f>ROUND(L15/M15, 0)</f>
        <v/>
      </c>
      <c r="O15" s="12">
        <f>ROUND(N15*'Methodology &amp; Assumptions'!$B$5, 0)</f>
        <v/>
      </c>
      <c r="P15" s="10" t="inlineStr">
        <is>
          <t>Single Carrier (Band n50, 100MHz TDD)</t>
        </is>
      </c>
      <c r="Q15" s="13">
        <f>ROUNDUP(O15/'Methodology &amp; Assumptions'!$B$6, 0)</f>
        <v/>
      </c>
      <c r="R15" s="13" t="n">
        <v>1</v>
      </c>
      <c r="S15" s="14" t="n">
        <v>41.74</v>
      </c>
      <c r="T15" s="14" t="n">
        <v>40.33</v>
      </c>
      <c r="U15" s="26">
        <f>IF(X15&gt;='Methodology &amp; Assumptions'!$B$7, "Tier 1 Critical GIDA (Score ≥ 50.0)", IF(X15&gt;='Methodology &amp; Assumptions'!$B$8, "Tier 2 High GIDA (Score 40.0–49.9)", "Tier 3 Moderate GIDA (Score &lt; 40.0)"))</f>
        <v/>
      </c>
      <c r="V15" s="26">
        <f>IF(S15&lt;='Methodology &amp; Assumptions'!$B$10, "Direct Optical Drop (&lt;3km)", IF(S15&lt;='Methodology &amp; Assumptions'!$B$9, "Near Optical / Microwave (&lt;5km)", "Starlink Business LEO Satellite Backhaul (&gt;5km)"))</f>
        <v/>
      </c>
      <c r="W15" s="28" t="n">
        <v>0.109</v>
      </c>
      <c r="X15" s="14" t="n">
        <v>48.04</v>
      </c>
      <c r="Y15" s="14">
        <f>ROUND(MIN(100, (X15/69.91)*100), 2)</f>
        <v/>
      </c>
    </row>
    <row r="16">
      <c r="A16" s="10" t="n">
        <v>4</v>
      </c>
      <c r="B16" s="10" t="n">
        <v>12</v>
      </c>
      <c r="C16" s="10" t="n">
        <v>3012</v>
      </c>
      <c r="D16" s="10" t="inlineStr">
        <is>
          <t>1903601014</t>
        </is>
      </c>
      <c r="E16" s="26" t="inlineStr">
        <is>
          <t>Bangsamoro Autonomous Region In Muslim Mindanao (BARMM)</t>
        </is>
      </c>
      <c r="F16" s="26" t="inlineStr">
        <is>
          <t>Lanao del Sur</t>
        </is>
      </c>
      <c r="G16" s="26" t="inlineStr">
        <is>
          <t>Bacolod-Kalawi</t>
        </is>
      </c>
      <c r="H16" s="26" t="inlineStr">
        <is>
          <t>Lama</t>
        </is>
      </c>
      <c r="I16" s="27" t="n">
        <v>17.251068</v>
      </c>
      <c r="J16" s="27" t="n">
        <v>122.232262</v>
      </c>
      <c r="K16" s="10" t="inlineStr">
        <is>
          <t>U</t>
        </is>
      </c>
      <c r="L16" s="12" t="n">
        <v>917</v>
      </c>
      <c r="M16" s="14" t="n">
        <v>5.7</v>
      </c>
      <c r="N16" s="12">
        <f>ROUND(L16/M16, 0)</f>
        <v/>
      </c>
      <c r="O16" s="12">
        <f>ROUND(N16*'Methodology &amp; Assumptions'!$B$5, 0)</f>
        <v/>
      </c>
      <c r="P16" s="10" t="inlineStr">
        <is>
          <t>Single Carrier (Band n50, 100MHz TDD)</t>
        </is>
      </c>
      <c r="Q16" s="13">
        <f>ROUNDUP(O16/'Methodology &amp; Assumptions'!$B$6, 0)</f>
        <v/>
      </c>
      <c r="R16" s="13" t="n">
        <v>1</v>
      </c>
      <c r="S16" s="14" t="n">
        <v>29.43</v>
      </c>
      <c r="T16" s="14" t="n">
        <v>34.52</v>
      </c>
      <c r="U16" s="26">
        <f>IF(X16&gt;='Methodology &amp; Assumptions'!$B$7, "Tier 1 Critical GIDA (Score ≥ 50.0)", IF(X16&gt;='Methodology &amp; Assumptions'!$B$8, "Tier 2 High GIDA (Score 40.0–49.9)", "Tier 3 Moderate GIDA (Score &lt; 40.0)"))</f>
        <v/>
      </c>
      <c r="V16" s="26">
        <f>IF(S16&lt;='Methodology &amp; Assumptions'!$B$10, "Direct Optical Drop (&lt;3km)", IF(S16&lt;='Methodology &amp; Assumptions'!$B$9, "Near Optical / Microwave (&lt;5km)", "Starlink Business LEO Satellite Backhaul (&gt;5km)"))</f>
        <v/>
      </c>
      <c r="W16" s="28" t="n">
        <v>0.11</v>
      </c>
      <c r="X16" s="14" t="n">
        <v>48.04</v>
      </c>
      <c r="Y16" s="14">
        <f>ROUND(MIN(100, (X16/69.91)*100), 2)</f>
        <v/>
      </c>
    </row>
    <row r="17">
      <c r="A17" s="10" t="n">
        <v>4</v>
      </c>
      <c r="B17" s="10" t="n">
        <v>13</v>
      </c>
      <c r="C17" s="10" t="n">
        <v>3013</v>
      </c>
      <c r="D17" s="10" t="inlineStr">
        <is>
          <t>1380606051</t>
        </is>
      </c>
      <c r="E17" s="26" t="inlineStr">
        <is>
          <t>National Capital Region (NCR)</t>
        </is>
      </c>
      <c r="F17" s="26" t="inlineStr">
        <is>
          <t>First District (Not a Province)</t>
        </is>
      </c>
      <c r="G17" s="26" t="inlineStr">
        <is>
          <t>City of Manila</t>
        </is>
      </c>
      <c r="H17" s="26" t="inlineStr">
        <is>
          <t>Barangay 445</t>
        </is>
      </c>
      <c r="I17" s="27" t="n">
        <v>13.368335</v>
      </c>
      <c r="J17" s="27" t="n">
        <v>122.848927</v>
      </c>
      <c r="K17" s="10" t="inlineStr">
        <is>
          <t>U</t>
        </is>
      </c>
      <c r="L17" s="12" t="n">
        <v>959</v>
      </c>
      <c r="M17" s="14" t="n">
        <v>3.9</v>
      </c>
      <c r="N17" s="12">
        <f>ROUND(L17/M17, 0)</f>
        <v/>
      </c>
      <c r="O17" s="12">
        <f>ROUND(N17*'Methodology &amp; Assumptions'!$B$5, 0)</f>
        <v/>
      </c>
      <c r="P17" s="10" t="inlineStr">
        <is>
          <t>Single Carrier (Band n50, 100MHz TDD)</t>
        </is>
      </c>
      <c r="Q17" s="13">
        <f>ROUNDUP(O17/'Methodology &amp; Assumptions'!$B$6, 0)</f>
        <v/>
      </c>
      <c r="R17" s="13" t="n">
        <v>1</v>
      </c>
      <c r="S17" s="14" t="n">
        <v>19.21</v>
      </c>
      <c r="T17" s="14" t="n">
        <v>24.59</v>
      </c>
      <c r="U17" s="26">
        <f>IF(X17&gt;='Methodology &amp; Assumptions'!$B$7, "Tier 1 Critical GIDA (Score ≥ 50.0)", IF(X17&gt;='Methodology &amp; Assumptions'!$B$8, "Tier 2 High GIDA (Score 40.0–49.9)", "Tier 3 Moderate GIDA (Score &lt; 40.0)"))</f>
        <v/>
      </c>
      <c r="V17" s="26">
        <f>IF(S17&lt;='Methodology &amp; Assumptions'!$B$10, "Direct Optical Drop (&lt;3km)", IF(S17&lt;='Methodology &amp; Assumptions'!$B$9, "Near Optical / Microwave (&lt;5km)", "Starlink Business LEO Satellite Backhaul (&gt;5km)"))</f>
        <v/>
      </c>
      <c r="W17" s="28" t="n">
        <v>0.109</v>
      </c>
      <c r="X17" s="14" t="n">
        <v>48.04</v>
      </c>
      <c r="Y17" s="14">
        <f>ROUND(MIN(100, (X17/69.91)*100), 2)</f>
        <v/>
      </c>
    </row>
    <row r="18">
      <c r="A18" s="10" t="n">
        <v>4</v>
      </c>
      <c r="B18" s="10" t="n">
        <v>14</v>
      </c>
      <c r="C18" s="10" t="n">
        <v>3014</v>
      </c>
      <c r="D18" s="10" t="inlineStr">
        <is>
          <t>1380606155</t>
        </is>
      </c>
      <c r="E18" s="26" t="inlineStr">
        <is>
          <t>National Capital Region (NCR)</t>
        </is>
      </c>
      <c r="F18" s="26" t="inlineStr">
        <is>
          <t>First District (Not a Province)</t>
        </is>
      </c>
      <c r="G18" s="26" t="inlineStr">
        <is>
          <t>City of Manila</t>
        </is>
      </c>
      <c r="H18" s="26" t="inlineStr">
        <is>
          <t>Barangay 549</t>
        </is>
      </c>
      <c r="I18" s="27" t="n">
        <v>11.810255</v>
      </c>
      <c r="J18" s="27" t="n">
        <v>121.319588</v>
      </c>
      <c r="K18" s="10" t="inlineStr">
        <is>
          <t>U</t>
        </is>
      </c>
      <c r="L18" s="12" t="n">
        <v>893</v>
      </c>
      <c r="M18" s="14" t="n">
        <v>3.9</v>
      </c>
      <c r="N18" s="12">
        <f>ROUND(L18/M18, 0)</f>
        <v/>
      </c>
      <c r="O18" s="12">
        <f>ROUND(N18*'Methodology &amp; Assumptions'!$B$5, 0)</f>
        <v/>
      </c>
      <c r="P18" s="10" t="inlineStr">
        <is>
          <t>Single Carrier (Band n50, 100MHz TDD)</t>
        </is>
      </c>
      <c r="Q18" s="13">
        <f>ROUNDUP(O18/'Methodology &amp; Assumptions'!$B$6, 0)</f>
        <v/>
      </c>
      <c r="R18" s="13" t="n">
        <v>1</v>
      </c>
      <c r="S18" s="14" t="n">
        <v>57.95</v>
      </c>
      <c r="T18" s="14" t="n">
        <v>52.69</v>
      </c>
      <c r="U18" s="26">
        <f>IF(X18&gt;='Methodology &amp; Assumptions'!$B$7, "Tier 1 Critical GIDA (Score ≥ 50.0)", IF(X18&gt;='Methodology &amp; Assumptions'!$B$8, "Tier 2 High GIDA (Score 40.0–49.9)", "Tier 3 Moderate GIDA (Score &lt; 40.0)"))</f>
        <v/>
      </c>
      <c r="V18" s="26">
        <f>IF(S18&lt;='Methodology &amp; Assumptions'!$B$10, "Direct Optical Drop (&lt;3km)", IF(S18&lt;='Methodology &amp; Assumptions'!$B$9, "Near Optical / Microwave (&lt;5km)", "Starlink Business LEO Satellite Backhaul (&gt;5km)"))</f>
        <v/>
      </c>
      <c r="W18" s="28" t="n">
        <v>0.109</v>
      </c>
      <c r="X18" s="14" t="n">
        <v>48.03</v>
      </c>
      <c r="Y18" s="14">
        <f>ROUND(MIN(100, (X18/69.91)*100), 2)</f>
        <v/>
      </c>
    </row>
    <row r="19">
      <c r="A19" s="10" t="n">
        <v>4</v>
      </c>
      <c r="B19" s="10" t="n">
        <v>15</v>
      </c>
      <c r="C19" s="10" t="n">
        <v>3015</v>
      </c>
      <c r="D19" s="10" t="inlineStr">
        <is>
          <t>1380606140</t>
        </is>
      </c>
      <c r="E19" s="26" t="inlineStr">
        <is>
          <t>National Capital Region (NCR)</t>
        </is>
      </c>
      <c r="F19" s="26" t="inlineStr">
        <is>
          <t>First District (Not a Province)</t>
        </is>
      </c>
      <c r="G19" s="26" t="inlineStr">
        <is>
          <t>City of Manila</t>
        </is>
      </c>
      <c r="H19" s="26" t="inlineStr">
        <is>
          <t>Barangay 534</t>
        </is>
      </c>
      <c r="I19" s="27" t="n">
        <v>13.968718</v>
      </c>
      <c r="J19" s="27" t="n">
        <v>121.3674</v>
      </c>
      <c r="K19" s="10" t="inlineStr">
        <is>
          <t>U</t>
        </is>
      </c>
      <c r="L19" s="12" t="n">
        <v>1129</v>
      </c>
      <c r="M19" s="14" t="n">
        <v>3.9</v>
      </c>
      <c r="N19" s="12">
        <f>ROUND(L19/M19, 0)</f>
        <v/>
      </c>
      <c r="O19" s="12">
        <f>ROUND(N19*'Methodology &amp; Assumptions'!$B$5, 0)</f>
        <v/>
      </c>
      <c r="P19" s="10" t="inlineStr">
        <is>
          <t>Single Carrier (Band n50, 100MHz TDD)</t>
        </is>
      </c>
      <c r="Q19" s="13">
        <f>ROUNDUP(O19/'Methodology &amp; Assumptions'!$B$6, 0)</f>
        <v/>
      </c>
      <c r="R19" s="13" t="n">
        <v>1</v>
      </c>
      <c r="S19" s="14" t="n">
        <v>3.16</v>
      </c>
      <c r="T19" s="14" t="n">
        <v>2.6</v>
      </c>
      <c r="U19" s="26">
        <f>IF(X19&gt;='Methodology &amp; Assumptions'!$B$7, "Tier 1 Critical GIDA (Score ≥ 50.0)", IF(X19&gt;='Methodology &amp; Assumptions'!$B$8, "Tier 2 High GIDA (Score 40.0–49.9)", "Tier 3 Moderate GIDA (Score &lt; 40.0)"))</f>
        <v/>
      </c>
      <c r="V19" s="26">
        <f>IF(S19&lt;='Methodology &amp; Assumptions'!$B$10, "Direct Optical Drop (&lt;3km)", IF(S19&lt;='Methodology &amp; Assumptions'!$B$9, "Near Optical / Microwave (&lt;5km)", "Starlink Business LEO Satellite Backhaul (&gt;5km)"))</f>
        <v/>
      </c>
      <c r="W19" s="28" t="n">
        <v>0.109</v>
      </c>
      <c r="X19" s="14" t="n">
        <v>48.03</v>
      </c>
      <c r="Y19" s="14">
        <f>ROUND(MIN(100, (X19/69.91)*100), 2)</f>
        <v/>
      </c>
    </row>
    <row r="20">
      <c r="A20" s="10" t="n">
        <v>4</v>
      </c>
      <c r="B20" s="10" t="n">
        <v>16</v>
      </c>
      <c r="C20" s="10" t="n">
        <v>3016</v>
      </c>
      <c r="D20" s="10" t="inlineStr">
        <is>
          <t>1380611023</t>
        </is>
      </c>
      <c r="E20" s="26" t="inlineStr">
        <is>
          <t>National Capital Region (NCR)</t>
        </is>
      </c>
      <c r="F20" s="26" t="inlineStr">
        <is>
          <t>First District (Not a Province)</t>
        </is>
      </c>
      <c r="G20" s="26" t="inlineStr">
        <is>
          <t>City of Manila</t>
        </is>
      </c>
      <c r="H20" s="26" t="inlineStr">
        <is>
          <t>Barangay 809</t>
        </is>
      </c>
      <c r="I20" s="27" t="n">
        <v>12.343952</v>
      </c>
      <c r="J20" s="27" t="n">
        <v>122.829724</v>
      </c>
      <c r="K20" s="10" t="inlineStr">
        <is>
          <t>U</t>
        </is>
      </c>
      <c r="L20" s="12" t="n">
        <v>1225</v>
      </c>
      <c r="M20" s="14" t="n">
        <v>3.9</v>
      </c>
      <c r="N20" s="12">
        <f>ROUND(L20/M20, 0)</f>
        <v/>
      </c>
      <c r="O20" s="12">
        <f>ROUND(N20*'Methodology &amp; Assumptions'!$B$5, 0)</f>
        <v/>
      </c>
      <c r="P20" s="10" t="inlineStr">
        <is>
          <t>Single Carrier (Band n50, 100MHz TDD)</t>
        </is>
      </c>
      <c r="Q20" s="13">
        <f>ROUNDUP(O20/'Methodology &amp; Assumptions'!$B$6, 0)</f>
        <v/>
      </c>
      <c r="R20" s="13" t="n">
        <v>1</v>
      </c>
      <c r="S20" s="14" t="n">
        <v>53.14</v>
      </c>
      <c r="T20" s="14" t="n">
        <v>62.21</v>
      </c>
      <c r="U20" s="26">
        <f>IF(X20&gt;='Methodology &amp; Assumptions'!$B$7, "Tier 1 Critical GIDA (Score ≥ 50.0)", IF(X20&gt;='Methodology &amp; Assumptions'!$B$8, "Tier 2 High GIDA (Score 40.0–49.9)", "Tier 3 Moderate GIDA (Score &lt; 40.0)"))</f>
        <v/>
      </c>
      <c r="V20" s="26">
        <f>IF(S20&lt;='Methodology &amp; Assumptions'!$B$10, "Direct Optical Drop (&lt;3km)", IF(S20&lt;='Methodology &amp; Assumptions'!$B$9, "Near Optical / Microwave (&lt;5km)", "Starlink Business LEO Satellite Backhaul (&gt;5km)"))</f>
        <v/>
      </c>
      <c r="W20" s="28" t="n">
        <v>0.109</v>
      </c>
      <c r="X20" s="14" t="n">
        <v>48.03</v>
      </c>
      <c r="Y20" s="14">
        <f>ROUND(MIN(100, (X20/69.91)*100), 2)</f>
        <v/>
      </c>
    </row>
    <row r="21">
      <c r="A21" s="10" t="n">
        <v>4</v>
      </c>
      <c r="B21" s="10" t="n">
        <v>17</v>
      </c>
      <c r="C21" s="10" t="n">
        <v>3017</v>
      </c>
      <c r="D21" s="10" t="inlineStr">
        <is>
          <t>1380606173</t>
        </is>
      </c>
      <c r="E21" s="26" t="inlineStr">
        <is>
          <t>National Capital Region (NCR)</t>
        </is>
      </c>
      <c r="F21" s="26" t="inlineStr">
        <is>
          <t>First District (Not a Province)</t>
        </is>
      </c>
      <c r="G21" s="26" t="inlineStr">
        <is>
          <t>City of Manila</t>
        </is>
      </c>
      <c r="H21" s="26" t="inlineStr">
        <is>
          <t>Barangay 567</t>
        </is>
      </c>
      <c r="I21" s="27" t="n">
        <v>12.579054</v>
      </c>
      <c r="J21" s="27" t="n">
        <v>120.623014</v>
      </c>
      <c r="K21" s="10" t="inlineStr">
        <is>
          <t>U</t>
        </is>
      </c>
      <c r="L21" s="12" t="n">
        <v>2388</v>
      </c>
      <c r="M21" s="14" t="n">
        <v>3.9</v>
      </c>
      <c r="N21" s="12">
        <f>ROUND(L21/M21, 0)</f>
        <v/>
      </c>
      <c r="O21" s="12">
        <f>ROUND(N21*'Methodology &amp; Assumptions'!$B$5, 0)</f>
        <v/>
      </c>
      <c r="P21" s="10" t="inlineStr">
        <is>
          <t>Single Carrier (Band n50, 100MHz TDD)</t>
        </is>
      </c>
      <c r="Q21" s="13">
        <f>ROUNDUP(O21/'Methodology &amp; Assumptions'!$B$6, 0)</f>
        <v/>
      </c>
      <c r="R21" s="13" t="n">
        <v>1</v>
      </c>
      <c r="S21" s="14" t="n">
        <v>54.25</v>
      </c>
      <c r="T21" s="14" t="n">
        <v>52.6</v>
      </c>
      <c r="U21" s="26">
        <f>IF(X21&gt;='Methodology &amp; Assumptions'!$B$7, "Tier 1 Critical GIDA (Score ≥ 50.0)", IF(X21&gt;='Methodology &amp; Assumptions'!$B$8, "Tier 2 High GIDA (Score 40.0–49.9)", "Tier 3 Moderate GIDA (Score &lt; 40.0)"))</f>
        <v/>
      </c>
      <c r="V21" s="26">
        <f>IF(S21&lt;='Methodology &amp; Assumptions'!$B$10, "Direct Optical Drop (&lt;3km)", IF(S21&lt;='Methodology &amp; Assumptions'!$B$9, "Near Optical / Microwave (&lt;5km)", "Starlink Business LEO Satellite Backhaul (&gt;5km)"))</f>
        <v/>
      </c>
      <c r="W21" s="28" t="n">
        <v>0.109</v>
      </c>
      <c r="X21" s="14" t="n">
        <v>48.03</v>
      </c>
      <c r="Y21" s="14">
        <f>ROUND(MIN(100, (X21/69.91)*100), 2)</f>
        <v/>
      </c>
    </row>
    <row r="22">
      <c r="A22" s="10" t="n">
        <v>4</v>
      </c>
      <c r="B22" s="10" t="n">
        <v>18</v>
      </c>
      <c r="C22" s="10" t="n">
        <v>3018</v>
      </c>
      <c r="D22" s="10" t="inlineStr">
        <is>
          <t>1380610035</t>
        </is>
      </c>
      <c r="E22" s="26" t="inlineStr">
        <is>
          <t>National Capital Region (NCR)</t>
        </is>
      </c>
      <c r="F22" s="26" t="inlineStr">
        <is>
          <t>First District (Not a Province)</t>
        </is>
      </c>
      <c r="G22" s="26" t="inlineStr">
        <is>
          <t>City of Manila</t>
        </is>
      </c>
      <c r="H22" s="26" t="inlineStr">
        <is>
          <t>Barangay 720</t>
        </is>
      </c>
      <c r="I22" s="27" t="n">
        <v>13.860529</v>
      </c>
      <c r="J22" s="27" t="n">
        <v>122.414984</v>
      </c>
      <c r="K22" s="10" t="inlineStr">
        <is>
          <t>U</t>
        </is>
      </c>
      <c r="L22" s="12" t="n">
        <v>1276</v>
      </c>
      <c r="M22" s="14" t="n">
        <v>3.9</v>
      </c>
      <c r="N22" s="12">
        <f>ROUND(L22/M22, 0)</f>
        <v/>
      </c>
      <c r="O22" s="12">
        <f>ROUND(N22*'Methodology &amp; Assumptions'!$B$5, 0)</f>
        <v/>
      </c>
      <c r="P22" s="10" t="inlineStr">
        <is>
          <t>Single Carrier (Band n50, 100MHz TDD)</t>
        </is>
      </c>
      <c r="Q22" s="13">
        <f>ROUNDUP(O22/'Methodology &amp; Assumptions'!$B$6, 0)</f>
        <v/>
      </c>
      <c r="R22" s="13" t="n">
        <v>1</v>
      </c>
      <c r="S22" s="14" t="n">
        <v>6.03</v>
      </c>
      <c r="T22" s="14" t="n">
        <v>6.25</v>
      </c>
      <c r="U22" s="26">
        <f>IF(X22&gt;='Methodology &amp; Assumptions'!$B$7, "Tier 1 Critical GIDA (Score ≥ 50.0)", IF(X22&gt;='Methodology &amp; Assumptions'!$B$8, "Tier 2 High GIDA (Score 40.0–49.9)", "Tier 3 Moderate GIDA (Score &lt; 40.0)"))</f>
        <v/>
      </c>
      <c r="V22" s="26">
        <f>IF(S22&lt;='Methodology &amp; Assumptions'!$B$10, "Direct Optical Drop (&lt;3km)", IF(S22&lt;='Methodology &amp; Assumptions'!$B$9, "Near Optical / Microwave (&lt;5km)", "Starlink Business LEO Satellite Backhaul (&gt;5km)"))</f>
        <v/>
      </c>
      <c r="W22" s="28" t="n">
        <v>0.109</v>
      </c>
      <c r="X22" s="14" t="n">
        <v>48.03</v>
      </c>
      <c r="Y22" s="14">
        <f>ROUND(MIN(100, (X22/69.91)*100), 2)</f>
        <v/>
      </c>
    </row>
    <row r="23">
      <c r="A23" s="10" t="n">
        <v>4</v>
      </c>
      <c r="B23" s="10" t="n">
        <v>19</v>
      </c>
      <c r="C23" s="10" t="n">
        <v>3019</v>
      </c>
      <c r="D23" s="10" t="inlineStr">
        <is>
          <t>1380606029</t>
        </is>
      </c>
      <c r="E23" s="26" t="inlineStr">
        <is>
          <t>National Capital Region (NCR)</t>
        </is>
      </c>
      <c r="F23" s="26" t="inlineStr">
        <is>
          <t>First District (Not a Province)</t>
        </is>
      </c>
      <c r="G23" s="26" t="inlineStr">
        <is>
          <t>City of Manila</t>
        </is>
      </c>
      <c r="H23" s="26" t="inlineStr">
        <is>
          <t>Barangay 423</t>
        </is>
      </c>
      <c r="I23" s="27" t="n">
        <v>11.733081</v>
      </c>
      <c r="J23" s="27" t="n">
        <v>121.981398</v>
      </c>
      <c r="K23" s="10" t="inlineStr">
        <is>
          <t>U</t>
        </is>
      </c>
      <c r="L23" s="12" t="n">
        <v>1347</v>
      </c>
      <c r="M23" s="14" t="n">
        <v>3.9</v>
      </c>
      <c r="N23" s="12">
        <f>ROUND(L23/M23, 0)</f>
        <v/>
      </c>
      <c r="O23" s="12">
        <f>ROUND(N23*'Methodology &amp; Assumptions'!$B$5, 0)</f>
        <v/>
      </c>
      <c r="P23" s="10" t="inlineStr">
        <is>
          <t>Single Carrier (Band n50, 100MHz TDD)</t>
        </is>
      </c>
      <c r="Q23" s="13">
        <f>ROUNDUP(O23/'Methodology &amp; Assumptions'!$B$6, 0)</f>
        <v/>
      </c>
      <c r="R23" s="13" t="n">
        <v>1</v>
      </c>
      <c r="S23" s="14" t="n">
        <v>24.25</v>
      </c>
      <c r="T23" s="14" t="n">
        <v>14.88</v>
      </c>
      <c r="U23" s="26">
        <f>IF(X23&gt;='Methodology &amp; Assumptions'!$B$7, "Tier 1 Critical GIDA (Score ≥ 50.0)", IF(X23&gt;='Methodology &amp; Assumptions'!$B$8, "Tier 2 High GIDA (Score 40.0–49.9)", "Tier 3 Moderate GIDA (Score &lt; 40.0)"))</f>
        <v/>
      </c>
      <c r="V23" s="26">
        <f>IF(S23&lt;='Methodology &amp; Assumptions'!$B$10, "Direct Optical Drop (&lt;3km)", IF(S23&lt;='Methodology &amp; Assumptions'!$B$9, "Near Optical / Microwave (&lt;5km)", "Starlink Business LEO Satellite Backhaul (&gt;5km)"))</f>
        <v/>
      </c>
      <c r="W23" s="28" t="n">
        <v>0.109</v>
      </c>
      <c r="X23" s="14" t="n">
        <v>48.03</v>
      </c>
      <c r="Y23" s="14">
        <f>ROUND(MIN(100, (X23/69.91)*100), 2)</f>
        <v/>
      </c>
    </row>
    <row r="24">
      <c r="A24" s="10" t="n">
        <v>4</v>
      </c>
      <c r="B24" s="10" t="n">
        <v>20</v>
      </c>
      <c r="C24" s="10" t="n">
        <v>3020</v>
      </c>
      <c r="D24" s="10" t="inlineStr">
        <is>
          <t>0205009012</t>
        </is>
      </c>
      <c r="E24" s="26" t="inlineStr">
        <is>
          <t>Region II (Cagayan Valley)</t>
        </is>
      </c>
      <c r="F24" s="26" t="inlineStr">
        <is>
          <t>Nueva Vizcaya</t>
        </is>
      </c>
      <c r="G24" s="26" t="inlineStr">
        <is>
          <t>Kasibu</t>
        </is>
      </c>
      <c r="H24" s="26" t="inlineStr">
        <is>
          <t>Kakiduguen</t>
        </is>
      </c>
      <c r="I24" s="27" t="n">
        <v>16.2223</v>
      </c>
      <c r="J24" s="27" t="n">
        <v>121.37898</v>
      </c>
      <c r="K24" s="10" t="inlineStr">
        <is>
          <t>R</t>
        </is>
      </c>
      <c r="L24" s="12" t="n">
        <v>1165</v>
      </c>
      <c r="M24" s="14" t="n">
        <v>3.8</v>
      </c>
      <c r="N24" s="12">
        <f>ROUND(L24/M24, 0)</f>
        <v/>
      </c>
      <c r="O24" s="12">
        <f>ROUND(N24*'Methodology &amp; Assumptions'!$B$5, 0)</f>
        <v/>
      </c>
      <c r="P24" s="10" t="inlineStr">
        <is>
          <t>Single Carrier (Band n50, 100MHz TDD)</t>
        </is>
      </c>
      <c r="Q24" s="13">
        <f>ROUNDUP(O24/'Methodology &amp; Assumptions'!$B$6, 0)</f>
        <v/>
      </c>
      <c r="R24" s="13" t="n">
        <v>1</v>
      </c>
      <c r="S24" s="14" t="n">
        <v>13.84</v>
      </c>
      <c r="T24" s="14" t="n">
        <v>29.11</v>
      </c>
      <c r="U24" s="26">
        <f>IF(X24&gt;='Methodology &amp; Assumptions'!$B$7, "Tier 1 Critical GIDA (Score ≥ 50.0)", IF(X24&gt;='Methodology &amp; Assumptions'!$B$8, "Tier 2 High GIDA (Score 40.0–49.9)", "Tier 3 Moderate GIDA (Score &lt; 40.0)"))</f>
        <v/>
      </c>
      <c r="V24" s="26">
        <f>IF(S24&lt;='Methodology &amp; Assumptions'!$B$10, "Direct Optical Drop (&lt;3km)", IF(S24&lt;='Methodology &amp; Assumptions'!$B$9, "Near Optical / Microwave (&lt;5km)", "Starlink Business LEO Satellite Backhaul (&gt;5km)"))</f>
        <v/>
      </c>
      <c r="W24" s="28" t="n">
        <v>0.083</v>
      </c>
      <c r="X24" s="14" t="n">
        <v>48.03</v>
      </c>
      <c r="Y24" s="14">
        <f>ROUND(MIN(100, (X24/69.91)*100), 2)</f>
        <v/>
      </c>
    </row>
    <row r="25">
      <c r="A25" s="10" t="n">
        <v>4</v>
      </c>
      <c r="B25" s="10" t="n">
        <v>21</v>
      </c>
      <c r="C25" s="10" t="n">
        <v>3021</v>
      </c>
      <c r="D25" s="10" t="inlineStr">
        <is>
          <t>1380606156</t>
        </is>
      </c>
      <c r="E25" s="26" t="inlineStr">
        <is>
          <t>National Capital Region (NCR)</t>
        </is>
      </c>
      <c r="F25" s="26" t="inlineStr">
        <is>
          <t>First District (Not a Province)</t>
        </is>
      </c>
      <c r="G25" s="26" t="inlineStr">
        <is>
          <t>City of Manila</t>
        </is>
      </c>
      <c r="H25" s="26" t="inlineStr">
        <is>
          <t>Barangay 550</t>
        </is>
      </c>
      <c r="I25" s="27" t="n">
        <v>13.589307</v>
      </c>
      <c r="J25" s="27" t="n">
        <v>120.825354</v>
      </c>
      <c r="K25" s="10" t="inlineStr">
        <is>
          <t>U</t>
        </is>
      </c>
      <c r="L25" s="12" t="n">
        <v>1022</v>
      </c>
      <c r="M25" s="14" t="n">
        <v>3.9</v>
      </c>
      <c r="N25" s="12">
        <f>ROUND(L25/M25, 0)</f>
        <v/>
      </c>
      <c r="O25" s="12">
        <f>ROUND(N25*'Methodology &amp; Assumptions'!$B$5, 0)</f>
        <v/>
      </c>
      <c r="P25" s="10" t="inlineStr">
        <is>
          <t>Single Carrier (Band n50, 100MHz TDD)</t>
        </is>
      </c>
      <c r="Q25" s="13">
        <f>ROUNDUP(O25/'Methodology &amp; Assumptions'!$B$6, 0)</f>
        <v/>
      </c>
      <c r="R25" s="13" t="n">
        <v>1</v>
      </c>
      <c r="S25" s="14" t="n">
        <v>12.99</v>
      </c>
      <c r="T25" s="14" t="n">
        <v>12.46</v>
      </c>
      <c r="U25" s="26">
        <f>IF(X25&gt;='Methodology &amp; Assumptions'!$B$7, "Tier 1 Critical GIDA (Score ≥ 50.0)", IF(X25&gt;='Methodology &amp; Assumptions'!$B$8, "Tier 2 High GIDA (Score 40.0–49.9)", "Tier 3 Moderate GIDA (Score &lt; 40.0)"))</f>
        <v/>
      </c>
      <c r="V25" s="26">
        <f>IF(S25&lt;='Methodology &amp; Assumptions'!$B$10, "Direct Optical Drop (&lt;3km)", IF(S25&lt;='Methodology &amp; Assumptions'!$B$9, "Near Optical / Microwave (&lt;5km)", "Starlink Business LEO Satellite Backhaul (&gt;5km)"))</f>
        <v/>
      </c>
      <c r="W25" s="28" t="n">
        <v>0.109</v>
      </c>
      <c r="X25" s="14" t="n">
        <v>48.03</v>
      </c>
      <c r="Y25" s="14">
        <f>ROUND(MIN(100, (X25/69.91)*100), 2)</f>
        <v/>
      </c>
    </row>
    <row r="26">
      <c r="A26" s="10" t="n">
        <v>4</v>
      </c>
      <c r="B26" s="10" t="n">
        <v>22</v>
      </c>
      <c r="C26" s="10" t="n">
        <v>3022</v>
      </c>
      <c r="D26" s="10" t="inlineStr">
        <is>
          <t>1380610005</t>
        </is>
      </c>
      <c r="E26" s="26" t="inlineStr">
        <is>
          <t>National Capital Region (NCR)</t>
        </is>
      </c>
      <c r="F26" s="26" t="inlineStr">
        <is>
          <t>First District (Not a Province)</t>
        </is>
      </c>
      <c r="G26" s="26" t="inlineStr">
        <is>
          <t>City of Manila</t>
        </is>
      </c>
      <c r="H26" s="26" t="inlineStr">
        <is>
          <t>Barangay 690</t>
        </is>
      </c>
      <c r="I26" s="27" t="n">
        <v>12.981411</v>
      </c>
      <c r="J26" s="27" t="n">
        <v>122.966571</v>
      </c>
      <c r="K26" s="10" t="inlineStr">
        <is>
          <t>U</t>
        </is>
      </c>
      <c r="L26" s="12" t="n">
        <v>511</v>
      </c>
      <c r="M26" s="14" t="n">
        <v>3.9</v>
      </c>
      <c r="N26" s="12">
        <f>ROUND(L26/M26, 0)</f>
        <v/>
      </c>
      <c r="O26" s="12">
        <f>ROUND(N26*'Methodology &amp; Assumptions'!$B$5, 0)</f>
        <v/>
      </c>
      <c r="P26" s="10" t="inlineStr">
        <is>
          <t>Single Carrier (Band n50, 100MHz TDD)</t>
        </is>
      </c>
      <c r="Q26" s="13">
        <f>ROUNDUP(O26/'Methodology &amp; Assumptions'!$B$6, 0)</f>
        <v/>
      </c>
      <c r="R26" s="13" t="n">
        <v>1</v>
      </c>
      <c r="S26" s="14" t="n">
        <v>38.47</v>
      </c>
      <c r="T26" s="14" t="n">
        <v>58.48</v>
      </c>
      <c r="U26" s="26">
        <f>IF(X26&gt;='Methodology &amp; Assumptions'!$B$7, "Tier 1 Critical GIDA (Score ≥ 50.0)", IF(X26&gt;='Methodology &amp; Assumptions'!$B$8, "Tier 2 High GIDA (Score 40.0–49.9)", "Tier 3 Moderate GIDA (Score &lt; 40.0)"))</f>
        <v/>
      </c>
      <c r="V26" s="26">
        <f>IF(S26&lt;='Methodology &amp; Assumptions'!$B$10, "Direct Optical Drop (&lt;3km)", IF(S26&lt;='Methodology &amp; Assumptions'!$B$9, "Near Optical / Microwave (&lt;5km)", "Starlink Business LEO Satellite Backhaul (&gt;5km)"))</f>
        <v/>
      </c>
      <c r="W26" s="28" t="n">
        <v>0.109</v>
      </c>
      <c r="X26" s="14" t="n">
        <v>48.02</v>
      </c>
      <c r="Y26" s="14">
        <f>ROUND(MIN(100, (X26/69.91)*100), 2)</f>
        <v/>
      </c>
    </row>
    <row r="27">
      <c r="A27" s="10" t="n">
        <v>4</v>
      </c>
      <c r="B27" s="10" t="n">
        <v>23</v>
      </c>
      <c r="C27" s="10" t="n">
        <v>3023</v>
      </c>
      <c r="D27" s="10" t="inlineStr">
        <is>
          <t>1380605026</t>
        </is>
      </c>
      <c r="E27" s="26" t="inlineStr">
        <is>
          <t>National Capital Region (NCR)</t>
        </is>
      </c>
      <c r="F27" s="26" t="inlineStr">
        <is>
          <t>First District (Not a Province)</t>
        </is>
      </c>
      <c r="G27" s="26" t="inlineStr">
        <is>
          <t>City of Manila</t>
        </is>
      </c>
      <c r="H27" s="26" t="inlineStr">
        <is>
          <t>Barangay 324</t>
        </is>
      </c>
      <c r="I27" s="27" t="n">
        <v>12.018297</v>
      </c>
      <c r="J27" s="27" t="n">
        <v>120.964298</v>
      </c>
      <c r="K27" s="10" t="inlineStr">
        <is>
          <t>U</t>
        </is>
      </c>
      <c r="L27" s="12" t="n">
        <v>623</v>
      </c>
      <c r="M27" s="14" t="n">
        <v>3.9</v>
      </c>
      <c r="N27" s="12">
        <f>ROUND(L27/M27, 0)</f>
        <v/>
      </c>
      <c r="O27" s="12">
        <f>ROUND(N27*'Methodology &amp; Assumptions'!$B$5, 0)</f>
        <v/>
      </c>
      <c r="P27" s="10" t="inlineStr">
        <is>
          <t>Single Carrier (Band n50, 100MHz TDD)</t>
        </is>
      </c>
      <c r="Q27" s="13">
        <f>ROUNDUP(O27/'Methodology &amp; Assumptions'!$B$6, 0)</f>
        <v/>
      </c>
      <c r="R27" s="13" t="n">
        <v>1</v>
      </c>
      <c r="S27" s="14" t="n">
        <v>38.08</v>
      </c>
      <c r="T27" s="14" t="n">
        <v>37.67</v>
      </c>
      <c r="U27" s="26">
        <f>IF(X27&gt;='Methodology &amp; Assumptions'!$B$7, "Tier 1 Critical GIDA (Score ≥ 50.0)", IF(X27&gt;='Methodology &amp; Assumptions'!$B$8, "Tier 2 High GIDA (Score 40.0–49.9)", "Tier 3 Moderate GIDA (Score &lt; 40.0)"))</f>
        <v/>
      </c>
      <c r="V27" s="26">
        <f>IF(S27&lt;='Methodology &amp; Assumptions'!$B$10, "Direct Optical Drop (&lt;3km)", IF(S27&lt;='Methodology &amp; Assumptions'!$B$9, "Near Optical / Microwave (&lt;5km)", "Starlink Business LEO Satellite Backhaul (&gt;5km)"))</f>
        <v/>
      </c>
      <c r="W27" s="28" t="n">
        <v>0.109</v>
      </c>
      <c r="X27" s="14" t="n">
        <v>48.02</v>
      </c>
      <c r="Y27" s="14">
        <f>ROUND(MIN(100, (X27/69.91)*100), 2)</f>
        <v/>
      </c>
    </row>
    <row r="28">
      <c r="A28" s="10" t="n">
        <v>4</v>
      </c>
      <c r="B28" s="10" t="n">
        <v>24</v>
      </c>
      <c r="C28" s="10" t="n">
        <v>3024</v>
      </c>
      <c r="D28" s="10" t="inlineStr">
        <is>
          <t>PH0003024</t>
        </is>
      </c>
      <c r="E28" s="26" t="inlineStr">
        <is>
          <t>NCR</t>
        </is>
      </c>
      <c r="F28" s="26" t="inlineStr">
        <is>
          <t>Metro Manila</t>
        </is>
      </c>
      <c r="G28" s="26" t="inlineStr">
        <is>
          <t>Caloocan City</t>
        </is>
      </c>
      <c r="H28" s="26" t="inlineStr">
        <is>
          <t>Barangay 147</t>
        </is>
      </c>
      <c r="I28" s="27" t="n">
        <v>14.159191</v>
      </c>
      <c r="J28" s="27" t="n">
        <v>122.53178</v>
      </c>
      <c r="K28" s="10" t="inlineStr">
        <is>
          <t>R</t>
        </is>
      </c>
      <c r="L28" s="12" t="n">
        <v>2279</v>
      </c>
      <c r="M28" s="14" t="n">
        <v>3.8</v>
      </c>
      <c r="N28" s="12">
        <f>ROUND(L28/M28, 0)</f>
        <v/>
      </c>
      <c r="O28" s="12">
        <f>ROUND(N28*'Methodology &amp; Assumptions'!$B$5, 0)</f>
        <v/>
      </c>
      <c r="P28" s="10" t="inlineStr">
        <is>
          <t>Single Carrier (Band n50, 100MHz TDD)</t>
        </is>
      </c>
      <c r="Q28" s="13">
        <f>ROUNDUP(O28/'Methodology &amp; Assumptions'!$B$6, 0)</f>
        <v/>
      </c>
      <c r="R28" s="13" t="n">
        <v>1</v>
      </c>
      <c r="S28" s="14" t="n">
        <v>7.78</v>
      </c>
      <c r="T28" s="14" t="n">
        <v>1.89</v>
      </c>
      <c r="U28" s="26">
        <f>IF(X28&gt;='Methodology &amp; Assumptions'!$B$7, "Tier 1 Critical GIDA (Score ≥ 50.0)", IF(X28&gt;='Methodology &amp; Assumptions'!$B$8, "Tier 2 High GIDA (Score 40.0–49.9)", "Tier 3 Moderate GIDA (Score &lt; 40.0)"))</f>
        <v/>
      </c>
      <c r="V28" s="26">
        <f>IF(S28&lt;='Methodology &amp; Assumptions'!$B$10, "Direct Optical Drop (&lt;3km)", IF(S28&lt;='Methodology &amp; Assumptions'!$B$9, "Near Optical / Microwave (&lt;5km)", "Starlink Business LEO Satellite Backhaul (&gt;5km)"))</f>
        <v/>
      </c>
      <c r="W28" s="28" t="n">
        <v>0.011</v>
      </c>
      <c r="X28" s="14" t="n">
        <v>48.02</v>
      </c>
      <c r="Y28" s="14">
        <f>ROUND(MIN(100, (X28/69.91)*100), 2)</f>
        <v/>
      </c>
    </row>
    <row r="29">
      <c r="A29" s="10" t="n">
        <v>4</v>
      </c>
      <c r="B29" s="10" t="n">
        <v>25</v>
      </c>
      <c r="C29" s="10" t="n">
        <v>3025</v>
      </c>
      <c r="D29" s="10" t="inlineStr">
        <is>
          <t>PH0003025</t>
        </is>
      </c>
      <c r="E29" s="26" t="inlineStr">
        <is>
          <t>NCR</t>
        </is>
      </c>
      <c r="F29" s="26" t="inlineStr">
        <is>
          <t>Metro Manila</t>
        </is>
      </c>
      <c r="G29" s="26" t="inlineStr">
        <is>
          <t>Caloocan City</t>
        </is>
      </c>
      <c r="H29" s="26" t="inlineStr">
        <is>
          <t>Barangay 74</t>
        </is>
      </c>
      <c r="I29" s="27" t="n">
        <v>11.435974</v>
      </c>
      <c r="J29" s="27" t="n">
        <v>122.102327</v>
      </c>
      <c r="K29" s="10" t="inlineStr">
        <is>
          <t>R</t>
        </is>
      </c>
      <c r="L29" s="12" t="n">
        <v>2279</v>
      </c>
      <c r="M29" s="14" t="n">
        <v>3.8</v>
      </c>
      <c r="N29" s="12">
        <f>ROUND(L29/M29, 0)</f>
        <v/>
      </c>
      <c r="O29" s="12">
        <f>ROUND(N29*'Methodology &amp; Assumptions'!$B$5, 0)</f>
        <v/>
      </c>
      <c r="P29" s="10" t="inlineStr">
        <is>
          <t>Single Carrier (Band n50, 100MHz TDD)</t>
        </is>
      </c>
      <c r="Q29" s="13">
        <f>ROUNDUP(O29/'Methodology &amp; Assumptions'!$B$6, 0)</f>
        <v/>
      </c>
      <c r="R29" s="13" t="n">
        <v>1</v>
      </c>
      <c r="S29" s="14" t="n">
        <v>29.68</v>
      </c>
      <c r="T29" s="14" t="n">
        <v>31.94</v>
      </c>
      <c r="U29" s="26">
        <f>IF(X29&gt;='Methodology &amp; Assumptions'!$B$7, "Tier 1 Critical GIDA (Score ≥ 50.0)", IF(X29&gt;='Methodology &amp; Assumptions'!$B$8, "Tier 2 High GIDA (Score 40.0–49.9)", "Tier 3 Moderate GIDA (Score &lt; 40.0)"))</f>
        <v/>
      </c>
      <c r="V29" s="26">
        <f>IF(S29&lt;='Methodology &amp; Assumptions'!$B$10, "Direct Optical Drop (&lt;3km)", IF(S29&lt;='Methodology &amp; Assumptions'!$B$9, "Near Optical / Microwave (&lt;5km)", "Starlink Business LEO Satellite Backhaul (&gt;5km)"))</f>
        <v/>
      </c>
      <c r="W29" s="28" t="n">
        <v>0.011</v>
      </c>
      <c r="X29" s="14" t="n">
        <v>48.02</v>
      </c>
      <c r="Y29" s="14">
        <f>ROUND(MIN(100, (X29/69.91)*100), 2)</f>
        <v/>
      </c>
    </row>
    <row r="30">
      <c r="A30" s="10" t="n">
        <v>4</v>
      </c>
      <c r="B30" s="10" t="n">
        <v>26</v>
      </c>
      <c r="C30" s="10" t="n">
        <v>3026</v>
      </c>
      <c r="D30" s="10" t="inlineStr">
        <is>
          <t>0907216017</t>
        </is>
      </c>
      <c r="E30" s="26" t="inlineStr">
        <is>
          <t>Region IX (Zamboanga Peninsula)</t>
        </is>
      </c>
      <c r="F30" s="26" t="inlineStr">
        <is>
          <t>Zamboanga del Norte</t>
        </is>
      </c>
      <c r="G30" s="26" t="inlineStr">
        <is>
          <t>Sibuco</t>
        </is>
      </c>
      <c r="H30" s="26" t="inlineStr">
        <is>
          <t>Paniran</t>
        </is>
      </c>
      <c r="I30" s="27" t="n">
        <v>7.247964</v>
      </c>
      <c r="J30" s="27" t="n">
        <v>121.987272</v>
      </c>
      <c r="K30" s="10" t="inlineStr">
        <is>
          <t>R</t>
        </is>
      </c>
      <c r="L30" s="12" t="n">
        <v>934</v>
      </c>
      <c r="M30" s="14" t="n">
        <v>3.6</v>
      </c>
      <c r="N30" s="12">
        <f>ROUND(L30/M30, 0)</f>
        <v/>
      </c>
      <c r="O30" s="12">
        <f>ROUND(N30*'Methodology &amp; Assumptions'!$B$5, 0)</f>
        <v/>
      </c>
      <c r="P30" s="10" t="inlineStr">
        <is>
          <t>Single Carrier (Band n50, 100MHz TDD)</t>
        </is>
      </c>
      <c r="Q30" s="13">
        <f>ROUNDUP(O30/'Methodology &amp; Assumptions'!$B$6, 0)</f>
        <v/>
      </c>
      <c r="R30" s="13" t="n">
        <v>1</v>
      </c>
      <c r="S30" s="14" t="n">
        <v>30.17</v>
      </c>
      <c r="T30" s="14" t="n">
        <v>26.63</v>
      </c>
      <c r="U30" s="26">
        <f>IF(X30&gt;='Methodology &amp; Assumptions'!$B$7, "Tier 1 Critical GIDA (Score ≥ 50.0)", IF(X30&gt;='Methodology &amp; Assumptions'!$B$8, "Tier 2 High GIDA (Score 40.0–49.9)", "Tier 3 Moderate GIDA (Score &lt; 40.0)"))</f>
        <v/>
      </c>
      <c r="V30" s="26">
        <f>IF(S30&lt;='Methodology &amp; Assumptions'!$B$10, "Direct Optical Drop (&lt;3km)", IF(S30&lt;='Methodology &amp; Assumptions'!$B$9, "Near Optical / Microwave (&lt;5km)", "Starlink Business LEO Satellite Backhaul (&gt;5km)"))</f>
        <v/>
      </c>
      <c r="W30" s="28" t="n">
        <v>0.11</v>
      </c>
      <c r="X30" s="14" t="n">
        <v>48.02</v>
      </c>
      <c r="Y30" s="14">
        <f>ROUND(MIN(100, (X30/69.91)*100), 2)</f>
        <v/>
      </c>
    </row>
    <row r="31">
      <c r="A31" s="10" t="n">
        <v>4</v>
      </c>
      <c r="B31" s="10" t="n">
        <v>27</v>
      </c>
      <c r="C31" s="10" t="n">
        <v>3027</v>
      </c>
      <c r="D31" s="10" t="inlineStr">
        <is>
          <t>PH0003027</t>
        </is>
      </c>
      <c r="E31" s="26" t="inlineStr">
        <is>
          <t>NCR</t>
        </is>
      </c>
      <c r="F31" s="26" t="inlineStr">
        <is>
          <t>Metro Manila</t>
        </is>
      </c>
      <c r="G31" s="26" t="inlineStr">
        <is>
          <t>Caloocan City</t>
        </is>
      </c>
      <c r="H31" s="26" t="inlineStr">
        <is>
          <t>Barangay 101</t>
        </is>
      </c>
      <c r="I31" s="27" t="n">
        <v>13.728667</v>
      </c>
      <c r="J31" s="27" t="n">
        <v>120.530257</v>
      </c>
      <c r="K31" s="10" t="inlineStr">
        <is>
          <t>R</t>
        </is>
      </c>
      <c r="L31" s="12" t="n">
        <v>2279</v>
      </c>
      <c r="M31" s="14" t="n">
        <v>3.8</v>
      </c>
      <c r="N31" s="12">
        <f>ROUND(L31/M31, 0)</f>
        <v/>
      </c>
      <c r="O31" s="12">
        <f>ROUND(N31*'Methodology &amp; Assumptions'!$B$5, 0)</f>
        <v/>
      </c>
      <c r="P31" s="10" t="inlineStr">
        <is>
          <t>Single Carrier (Band n50, 100MHz TDD)</t>
        </is>
      </c>
      <c r="Q31" s="13">
        <f>ROUNDUP(O31/'Methodology &amp; Assumptions'!$B$6, 0)</f>
        <v/>
      </c>
      <c r="R31" s="13" t="n">
        <v>1</v>
      </c>
      <c r="S31" s="14" t="n">
        <v>15.48</v>
      </c>
      <c r="T31" s="14" t="n">
        <v>15.52</v>
      </c>
      <c r="U31" s="26">
        <f>IF(X31&gt;='Methodology &amp; Assumptions'!$B$7, "Tier 1 Critical GIDA (Score ≥ 50.0)", IF(X31&gt;='Methodology &amp; Assumptions'!$B$8, "Tier 2 High GIDA (Score 40.0–49.9)", "Tier 3 Moderate GIDA (Score &lt; 40.0)"))</f>
        <v/>
      </c>
      <c r="V31" s="26">
        <f>IF(S31&lt;='Methodology &amp; Assumptions'!$B$10, "Direct Optical Drop (&lt;3km)", IF(S31&lt;='Methodology &amp; Assumptions'!$B$9, "Near Optical / Microwave (&lt;5km)", "Starlink Business LEO Satellite Backhaul (&gt;5km)"))</f>
        <v/>
      </c>
      <c r="W31" s="28" t="n">
        <v>0.011</v>
      </c>
      <c r="X31" s="14" t="n">
        <v>48.01</v>
      </c>
      <c r="Y31" s="14">
        <f>ROUND(MIN(100, (X31/69.91)*100), 2)</f>
        <v/>
      </c>
    </row>
    <row r="32">
      <c r="A32" s="10" t="n">
        <v>4</v>
      </c>
      <c r="B32" s="10" t="n">
        <v>28</v>
      </c>
      <c r="C32" s="10" t="n">
        <v>3028</v>
      </c>
      <c r="D32" s="10" t="inlineStr">
        <is>
          <t>1380601192</t>
        </is>
      </c>
      <c r="E32" s="26" t="inlineStr">
        <is>
          <t>National Capital Region (NCR)</t>
        </is>
      </c>
      <c r="F32" s="26" t="inlineStr">
        <is>
          <t>First District (Not a Province)</t>
        </is>
      </c>
      <c r="G32" s="26" t="inlineStr">
        <is>
          <t>City of Manila</t>
        </is>
      </c>
      <c r="H32" s="26" t="inlineStr">
        <is>
          <t>Barangay 192</t>
        </is>
      </c>
      <c r="I32" s="27" t="n">
        <v>14.049406</v>
      </c>
      <c r="J32" s="27" t="n">
        <v>121.774</v>
      </c>
      <c r="K32" s="10" t="inlineStr">
        <is>
          <t>U</t>
        </is>
      </c>
      <c r="L32" s="12" t="n">
        <v>1935</v>
      </c>
      <c r="M32" s="14" t="n">
        <v>3.9</v>
      </c>
      <c r="N32" s="12">
        <f>ROUND(L32/M32, 0)</f>
        <v/>
      </c>
      <c r="O32" s="12">
        <f>ROUND(N32*'Methodology &amp; Assumptions'!$B$5, 0)</f>
        <v/>
      </c>
      <c r="P32" s="10" t="inlineStr">
        <is>
          <t>Single Carrier (Band n50, 100MHz TDD)</t>
        </is>
      </c>
      <c r="Q32" s="13">
        <f>ROUNDUP(O32/'Methodology &amp; Assumptions'!$B$6, 0)</f>
        <v/>
      </c>
      <c r="R32" s="13" t="n">
        <v>1</v>
      </c>
      <c r="S32" s="14" t="n">
        <v>13.11</v>
      </c>
      <c r="T32" s="14" t="n">
        <v>5.03</v>
      </c>
      <c r="U32" s="26">
        <f>IF(X32&gt;='Methodology &amp; Assumptions'!$B$7, "Tier 1 Critical GIDA (Score ≥ 50.0)", IF(X32&gt;='Methodology &amp; Assumptions'!$B$8, "Tier 2 High GIDA (Score 40.0–49.9)", "Tier 3 Moderate GIDA (Score &lt; 40.0)"))</f>
        <v/>
      </c>
      <c r="V32" s="26">
        <f>IF(S32&lt;='Methodology &amp; Assumptions'!$B$10, "Direct Optical Drop (&lt;3km)", IF(S32&lt;='Methodology &amp; Assumptions'!$B$9, "Near Optical / Microwave (&lt;5km)", "Starlink Business LEO Satellite Backhaul (&gt;5km)"))</f>
        <v/>
      </c>
      <c r="W32" s="28" t="n">
        <v>0.109</v>
      </c>
      <c r="X32" s="14" t="n">
        <v>48.01</v>
      </c>
      <c r="Y32" s="14">
        <f>ROUND(MIN(100, (X32/69.91)*100), 2)</f>
        <v/>
      </c>
    </row>
    <row r="33">
      <c r="A33" s="10" t="n">
        <v>4</v>
      </c>
      <c r="B33" s="10" t="n">
        <v>29</v>
      </c>
      <c r="C33" s="10" t="n">
        <v>3029</v>
      </c>
      <c r="D33" s="10" t="inlineStr">
        <is>
          <t>1380606183</t>
        </is>
      </c>
      <c r="E33" s="26" t="inlineStr">
        <is>
          <t>National Capital Region (NCR)</t>
        </is>
      </c>
      <c r="F33" s="26" t="inlineStr">
        <is>
          <t>First District (Not a Province)</t>
        </is>
      </c>
      <c r="G33" s="26" t="inlineStr">
        <is>
          <t>City of Manila</t>
        </is>
      </c>
      <c r="H33" s="26" t="inlineStr">
        <is>
          <t>Barangay 577</t>
        </is>
      </c>
      <c r="I33" s="27" t="n">
        <v>12.016307</v>
      </c>
      <c r="J33" s="27" t="n">
        <v>122.585573</v>
      </c>
      <c r="K33" s="10" t="inlineStr">
        <is>
          <t>U</t>
        </is>
      </c>
      <c r="L33" s="12" t="n">
        <v>1015</v>
      </c>
      <c r="M33" s="14" t="n">
        <v>3.9</v>
      </c>
      <c r="N33" s="12">
        <f>ROUND(L33/M33, 0)</f>
        <v/>
      </c>
      <c r="O33" s="12">
        <f>ROUND(N33*'Methodology &amp; Assumptions'!$B$5, 0)</f>
        <v/>
      </c>
      <c r="P33" s="10" t="inlineStr">
        <is>
          <t>Single Carrier (Band n50, 100MHz TDD)</t>
        </is>
      </c>
      <c r="Q33" s="13">
        <f>ROUNDUP(O33/'Methodology &amp; Assumptions'!$B$6, 0)</f>
        <v/>
      </c>
      <c r="R33" s="13" t="n">
        <v>1</v>
      </c>
      <c r="S33" s="14" t="n">
        <v>42.69</v>
      </c>
      <c r="T33" s="14" t="n">
        <v>18.18</v>
      </c>
      <c r="U33" s="26">
        <f>IF(X33&gt;='Methodology &amp; Assumptions'!$B$7, "Tier 1 Critical GIDA (Score ≥ 50.0)", IF(X33&gt;='Methodology &amp; Assumptions'!$B$8, "Tier 2 High GIDA (Score 40.0–49.9)", "Tier 3 Moderate GIDA (Score &lt; 40.0)"))</f>
        <v/>
      </c>
      <c r="V33" s="26">
        <f>IF(S33&lt;='Methodology &amp; Assumptions'!$B$10, "Direct Optical Drop (&lt;3km)", IF(S33&lt;='Methodology &amp; Assumptions'!$B$9, "Near Optical / Microwave (&lt;5km)", "Starlink Business LEO Satellite Backhaul (&gt;5km)"))</f>
        <v/>
      </c>
      <c r="W33" s="28" t="n">
        <v>0.109</v>
      </c>
      <c r="X33" s="14" t="n">
        <v>48.01</v>
      </c>
      <c r="Y33" s="14">
        <f>ROUND(MIN(100, (X33/69.91)*100), 2)</f>
        <v/>
      </c>
    </row>
    <row r="34">
      <c r="A34" s="10" t="n">
        <v>4</v>
      </c>
      <c r="B34" s="10" t="n">
        <v>30</v>
      </c>
      <c r="C34" s="10" t="n">
        <v>3030</v>
      </c>
      <c r="D34" s="10" t="inlineStr">
        <is>
          <t>PH0003030</t>
        </is>
      </c>
      <c r="E34" s="26" t="inlineStr">
        <is>
          <t>NCR</t>
        </is>
      </c>
      <c r="F34" s="26" t="inlineStr">
        <is>
          <t>Metro Manila</t>
        </is>
      </c>
      <c r="G34" s="26" t="inlineStr">
        <is>
          <t>Caloocan City</t>
        </is>
      </c>
      <c r="H34" s="26" t="inlineStr">
        <is>
          <t>Barangay 129</t>
        </is>
      </c>
      <c r="I34" s="27" t="n">
        <v>13.073072</v>
      </c>
      <c r="J34" s="27" t="n">
        <v>123.280712</v>
      </c>
      <c r="K34" s="10" t="inlineStr">
        <is>
          <t>R</t>
        </is>
      </c>
      <c r="L34" s="12" t="n">
        <v>2279</v>
      </c>
      <c r="M34" s="14" t="n">
        <v>3.8</v>
      </c>
      <c r="N34" s="12">
        <f>ROUND(L34/M34, 0)</f>
        <v/>
      </c>
      <c r="O34" s="12">
        <f>ROUND(N34*'Methodology &amp; Assumptions'!$B$5, 0)</f>
        <v/>
      </c>
      <c r="P34" s="10" t="inlineStr">
        <is>
          <t>Single Carrier (Band n50, 100MHz TDD)</t>
        </is>
      </c>
      <c r="Q34" s="13">
        <f>ROUNDUP(O34/'Methodology &amp; Assumptions'!$B$6, 0)</f>
        <v/>
      </c>
      <c r="R34" s="13" t="n">
        <v>1</v>
      </c>
      <c r="S34" s="14" t="n">
        <v>5.06</v>
      </c>
      <c r="T34" s="14" t="n">
        <v>31.53</v>
      </c>
      <c r="U34" s="26">
        <f>IF(X34&gt;='Methodology &amp; Assumptions'!$B$7, "Tier 1 Critical GIDA (Score ≥ 50.0)", IF(X34&gt;='Methodology &amp; Assumptions'!$B$8, "Tier 2 High GIDA (Score 40.0–49.9)", "Tier 3 Moderate GIDA (Score &lt; 40.0)"))</f>
        <v/>
      </c>
      <c r="V34" s="26">
        <f>IF(S34&lt;='Methodology &amp; Assumptions'!$B$10, "Direct Optical Drop (&lt;3km)", IF(S34&lt;='Methodology &amp; Assumptions'!$B$9, "Near Optical / Microwave (&lt;5km)", "Starlink Business LEO Satellite Backhaul (&gt;5km)"))</f>
        <v/>
      </c>
      <c r="W34" s="28" t="n">
        <v>0.011</v>
      </c>
      <c r="X34" s="14" t="n">
        <v>48.01</v>
      </c>
      <c r="Y34" s="14">
        <f>ROUND(MIN(100, (X34/69.91)*100), 2)</f>
        <v/>
      </c>
    </row>
    <row r="35">
      <c r="A35" s="10" t="n">
        <v>4</v>
      </c>
      <c r="B35" s="10" t="n">
        <v>31</v>
      </c>
      <c r="C35" s="10" t="n">
        <v>3031</v>
      </c>
      <c r="D35" s="10" t="inlineStr">
        <is>
          <t>1381300015</t>
        </is>
      </c>
      <c r="E35" s="26" t="inlineStr">
        <is>
          <t>National Capital Region (NCR)</t>
        </is>
      </c>
      <c r="F35" s="26" t="inlineStr">
        <is>
          <t>Second District (Not a Province)</t>
        </is>
      </c>
      <c r="G35" s="26" t="inlineStr">
        <is>
          <t>Quezon City</t>
        </is>
      </c>
      <c r="H35" s="26" t="inlineStr">
        <is>
          <t>Blue Ridge A</t>
        </is>
      </c>
      <c r="I35" s="27" t="n">
        <v>14.650738</v>
      </c>
      <c r="J35" s="27" t="n">
        <v>121.064724</v>
      </c>
      <c r="K35" s="10" t="inlineStr">
        <is>
          <t>U</t>
        </is>
      </c>
      <c r="L35" s="12" t="n">
        <v>1598</v>
      </c>
      <c r="M35" s="14" t="n">
        <v>3.8</v>
      </c>
      <c r="N35" s="12">
        <f>ROUND(L35/M35, 0)</f>
        <v/>
      </c>
      <c r="O35" s="12">
        <f>ROUND(N35*'Methodology &amp; Assumptions'!$B$5, 0)</f>
        <v/>
      </c>
      <c r="P35" s="10" t="inlineStr">
        <is>
          <t>Single Carrier (Band n50, 100MHz TDD)</t>
        </is>
      </c>
      <c r="Q35" s="13">
        <f>ROUNDUP(O35/'Methodology &amp; Assumptions'!$B$6, 0)</f>
        <v/>
      </c>
      <c r="R35" s="13" t="n">
        <v>1</v>
      </c>
      <c r="S35" s="14" t="n">
        <v>1.41</v>
      </c>
      <c r="T35" s="14" t="n">
        <v>1.03</v>
      </c>
      <c r="U35" s="26">
        <f>IF(X35&gt;='Methodology &amp; Assumptions'!$B$7, "Tier 1 Critical GIDA (Score ≥ 50.0)", IF(X35&gt;='Methodology &amp; Assumptions'!$B$8, "Tier 2 High GIDA (Score 40.0–49.9)", "Tier 3 Moderate GIDA (Score &lt; 40.0)"))</f>
        <v/>
      </c>
      <c r="V35" s="26">
        <f>IF(S35&lt;='Methodology &amp; Assumptions'!$B$10, "Direct Optical Drop (&lt;3km)", IF(S35&lt;='Methodology &amp; Assumptions'!$B$9, "Near Optical / Microwave (&lt;5km)", "Starlink Business LEO Satellite Backhaul (&gt;5km)"))</f>
        <v/>
      </c>
      <c r="W35" s="28" t="n">
        <v>0.109</v>
      </c>
      <c r="X35" s="14" t="n">
        <v>48.01</v>
      </c>
      <c r="Y35" s="14">
        <f>ROUND(MIN(100, (X35/69.91)*100), 2)</f>
        <v/>
      </c>
    </row>
    <row r="36">
      <c r="A36" s="10" t="n">
        <v>4</v>
      </c>
      <c r="B36" s="10" t="n">
        <v>32</v>
      </c>
      <c r="C36" s="10" t="n">
        <v>3032</v>
      </c>
      <c r="D36" s="10" t="inlineStr">
        <is>
          <t>1380606149</t>
        </is>
      </c>
      <c r="E36" s="26" t="inlineStr">
        <is>
          <t>National Capital Region (NCR)</t>
        </is>
      </c>
      <c r="F36" s="26" t="inlineStr">
        <is>
          <t>First District (Not a Province)</t>
        </is>
      </c>
      <c r="G36" s="26" t="inlineStr">
        <is>
          <t>City of Manila</t>
        </is>
      </c>
      <c r="H36" s="26" t="inlineStr">
        <is>
          <t>Barangay 543</t>
        </is>
      </c>
      <c r="I36" s="27" t="n">
        <v>12.981882</v>
      </c>
      <c r="J36" s="27" t="n">
        <v>120.575912</v>
      </c>
      <c r="K36" s="10" t="inlineStr">
        <is>
          <t>U</t>
        </is>
      </c>
      <c r="L36" s="12" t="n">
        <v>847</v>
      </c>
      <c r="M36" s="14" t="n">
        <v>3.9</v>
      </c>
      <c r="N36" s="12">
        <f>ROUND(L36/M36, 0)</f>
        <v/>
      </c>
      <c r="O36" s="12">
        <f>ROUND(N36*'Methodology &amp; Assumptions'!$B$5, 0)</f>
        <v/>
      </c>
      <c r="P36" s="10" t="inlineStr">
        <is>
          <t>Single Carrier (Band n50, 100MHz TDD)</t>
        </is>
      </c>
      <c r="Q36" s="13">
        <f>ROUNDUP(O36/'Methodology &amp; Assumptions'!$B$6, 0)</f>
        <v/>
      </c>
      <c r="R36" s="13" t="n">
        <v>1</v>
      </c>
      <c r="S36" s="14" t="n">
        <v>68.05</v>
      </c>
      <c r="T36" s="14" t="n">
        <v>66.81</v>
      </c>
      <c r="U36" s="26">
        <f>IF(X36&gt;='Methodology &amp; Assumptions'!$B$7, "Tier 1 Critical GIDA (Score ≥ 50.0)", IF(X36&gt;='Methodology &amp; Assumptions'!$B$8, "Tier 2 High GIDA (Score 40.0–49.9)", "Tier 3 Moderate GIDA (Score &lt; 40.0)"))</f>
        <v/>
      </c>
      <c r="V36" s="26">
        <f>IF(S36&lt;='Methodology &amp; Assumptions'!$B$10, "Direct Optical Drop (&lt;3km)", IF(S36&lt;='Methodology &amp; Assumptions'!$B$9, "Near Optical / Microwave (&lt;5km)", "Starlink Business LEO Satellite Backhaul (&gt;5km)"))</f>
        <v/>
      </c>
      <c r="W36" s="28" t="n">
        <v>0.109</v>
      </c>
      <c r="X36" s="14" t="n">
        <v>48.01</v>
      </c>
      <c r="Y36" s="14">
        <f>ROUND(MIN(100, (X36/69.91)*100), 2)</f>
        <v/>
      </c>
    </row>
    <row r="37">
      <c r="A37" s="10" t="n">
        <v>4</v>
      </c>
      <c r="B37" s="10" t="n">
        <v>33</v>
      </c>
      <c r="C37" s="10" t="n">
        <v>3033</v>
      </c>
      <c r="D37" s="10" t="inlineStr">
        <is>
          <t>PH0003033</t>
        </is>
      </c>
      <c r="E37" s="26" t="inlineStr">
        <is>
          <t>NCR</t>
        </is>
      </c>
      <c r="F37" s="26" t="inlineStr">
        <is>
          <t>Metro Manila</t>
        </is>
      </c>
      <c r="G37" s="26" t="inlineStr">
        <is>
          <t>Caloocan City</t>
        </is>
      </c>
      <c r="H37" s="26" t="inlineStr">
        <is>
          <t>Barangay 66</t>
        </is>
      </c>
      <c r="I37" s="27" t="n">
        <v>11.743788</v>
      </c>
      <c r="J37" s="27" t="n">
        <v>120.796257</v>
      </c>
      <c r="K37" s="10" t="inlineStr">
        <is>
          <t>R</t>
        </is>
      </c>
      <c r="L37" s="12" t="n">
        <v>2279</v>
      </c>
      <c r="M37" s="14" t="n">
        <v>3.8</v>
      </c>
      <c r="N37" s="12">
        <f>ROUND(L37/M37, 0)</f>
        <v/>
      </c>
      <c r="O37" s="12">
        <f>ROUND(N37*'Methodology &amp; Assumptions'!$B$5, 0)</f>
        <v/>
      </c>
      <c r="P37" s="10" t="inlineStr">
        <is>
          <t>Single Carrier (Band n50, 100MHz TDD)</t>
        </is>
      </c>
      <c r="Q37" s="13">
        <f>ROUNDUP(O37/'Methodology &amp; Assumptions'!$B$6, 0)</f>
        <v/>
      </c>
      <c r="R37" s="13" t="n">
        <v>1</v>
      </c>
      <c r="S37" s="14" t="n">
        <v>66.29000000000001</v>
      </c>
      <c r="T37" s="14" t="n">
        <v>73.23</v>
      </c>
      <c r="U37" s="26">
        <f>IF(X37&gt;='Methodology &amp; Assumptions'!$B$7, "Tier 1 Critical GIDA (Score ≥ 50.0)", IF(X37&gt;='Methodology &amp; Assumptions'!$B$8, "Tier 2 High GIDA (Score 40.0–49.9)", "Tier 3 Moderate GIDA (Score &lt; 40.0)"))</f>
        <v/>
      </c>
      <c r="V37" s="26">
        <f>IF(S37&lt;='Methodology &amp; Assumptions'!$B$10, "Direct Optical Drop (&lt;3km)", IF(S37&lt;='Methodology &amp; Assumptions'!$B$9, "Near Optical / Microwave (&lt;5km)", "Starlink Business LEO Satellite Backhaul (&gt;5km)"))</f>
        <v/>
      </c>
      <c r="W37" s="28" t="n">
        <v>0.011</v>
      </c>
      <c r="X37" s="14" t="n">
        <v>48.01</v>
      </c>
      <c r="Y37" s="14">
        <f>ROUND(MIN(100, (X37/69.91)*100), 2)</f>
        <v/>
      </c>
    </row>
    <row r="38">
      <c r="A38" s="10" t="n">
        <v>4</v>
      </c>
      <c r="B38" s="10" t="n">
        <v>34</v>
      </c>
      <c r="C38" s="10" t="n">
        <v>3034</v>
      </c>
      <c r="D38" s="10" t="inlineStr">
        <is>
          <t>1380608003</t>
        </is>
      </c>
      <c r="E38" s="26" t="inlineStr">
        <is>
          <t>National Capital Region (NCR)</t>
        </is>
      </c>
      <c r="F38" s="26" t="inlineStr">
        <is>
          <t>First District (Not a Province)</t>
        </is>
      </c>
      <c r="G38" s="26" t="inlineStr">
        <is>
          <t>City of Manila</t>
        </is>
      </c>
      <c r="H38" s="26" t="inlineStr">
        <is>
          <t>Barangay 660</t>
        </is>
      </c>
      <c r="I38" s="27" t="n">
        <v>13.594237</v>
      </c>
      <c r="J38" s="27" t="n">
        <v>122.729236</v>
      </c>
      <c r="K38" s="10" t="inlineStr">
        <is>
          <t>U</t>
        </is>
      </c>
      <c r="L38" s="12" t="n">
        <v>342</v>
      </c>
      <c r="M38" s="14" t="n">
        <v>3.9</v>
      </c>
      <c r="N38" s="12">
        <f>ROUND(L38/M38, 0)</f>
        <v/>
      </c>
      <c r="O38" s="12">
        <f>ROUND(N38*'Methodology &amp; Assumptions'!$B$5, 0)</f>
        <v/>
      </c>
      <c r="P38" s="10" t="inlineStr">
        <is>
          <t>Single Carrier (Band n50, 100MHz TDD)</t>
        </is>
      </c>
      <c r="Q38" s="13">
        <f>ROUNDUP(O38/'Methodology &amp; Assumptions'!$B$6, 0)</f>
        <v/>
      </c>
      <c r="R38" s="13" t="n">
        <v>1</v>
      </c>
      <c r="S38" s="14" t="n">
        <v>18.12</v>
      </c>
      <c r="T38" s="14" t="n">
        <v>19.15</v>
      </c>
      <c r="U38" s="26">
        <f>IF(X38&gt;='Methodology &amp; Assumptions'!$B$7, "Tier 1 Critical GIDA (Score ≥ 50.0)", IF(X38&gt;='Methodology &amp; Assumptions'!$B$8, "Tier 2 High GIDA (Score 40.0–49.9)", "Tier 3 Moderate GIDA (Score &lt; 40.0)"))</f>
        <v/>
      </c>
      <c r="V38" s="26">
        <f>IF(S38&lt;='Methodology &amp; Assumptions'!$B$10, "Direct Optical Drop (&lt;3km)", IF(S38&lt;='Methodology &amp; Assumptions'!$B$9, "Near Optical / Microwave (&lt;5km)", "Starlink Business LEO Satellite Backhaul (&gt;5km)"))</f>
        <v/>
      </c>
      <c r="W38" s="28" t="n">
        <v>0.109</v>
      </c>
      <c r="X38" s="14" t="n">
        <v>48</v>
      </c>
      <c r="Y38" s="14">
        <f>ROUND(MIN(100, (X38/69.91)*100), 2)</f>
        <v/>
      </c>
    </row>
    <row r="39">
      <c r="A39" s="10" t="n">
        <v>4</v>
      </c>
      <c r="B39" s="10" t="n">
        <v>35</v>
      </c>
      <c r="C39" s="10" t="n">
        <v>3035</v>
      </c>
      <c r="D39" s="10" t="inlineStr">
        <is>
          <t>1380614036</t>
        </is>
      </c>
      <c r="E39" s="26" t="inlineStr">
        <is>
          <t>National Capital Region (NCR)</t>
        </is>
      </c>
      <c r="F39" s="26" t="inlineStr">
        <is>
          <t>First District (Not a Province)</t>
        </is>
      </c>
      <c r="G39" s="26" t="inlineStr">
        <is>
          <t>City of Manila</t>
        </is>
      </c>
      <c r="H39" s="26" t="inlineStr">
        <is>
          <t>Barangay 780</t>
        </is>
      </c>
      <c r="I39" s="27" t="n">
        <v>11.722447</v>
      </c>
      <c r="J39" s="27" t="n">
        <v>121.564679</v>
      </c>
      <c r="K39" s="10" t="inlineStr">
        <is>
          <t>U</t>
        </is>
      </c>
      <c r="L39" s="12" t="n">
        <v>2386</v>
      </c>
      <c r="M39" s="14" t="n">
        <v>3.9</v>
      </c>
      <c r="N39" s="12">
        <f>ROUND(L39/M39, 0)</f>
        <v/>
      </c>
      <c r="O39" s="12">
        <f>ROUND(N39*'Methodology &amp; Assumptions'!$B$5, 0)</f>
        <v/>
      </c>
      <c r="P39" s="10" t="inlineStr">
        <is>
          <t>Single Carrier (Band n50, 100MHz TDD)</t>
        </is>
      </c>
      <c r="Q39" s="13">
        <f>ROUNDUP(O39/'Methodology &amp; Assumptions'!$B$6, 0)</f>
        <v/>
      </c>
      <c r="R39" s="13" t="n">
        <v>1</v>
      </c>
      <c r="S39" s="14" t="n">
        <v>48.49</v>
      </c>
      <c r="T39" s="14" t="n">
        <v>47.44</v>
      </c>
      <c r="U39" s="26">
        <f>IF(X39&gt;='Methodology &amp; Assumptions'!$B$7, "Tier 1 Critical GIDA (Score ≥ 50.0)", IF(X39&gt;='Methodology &amp; Assumptions'!$B$8, "Tier 2 High GIDA (Score 40.0–49.9)", "Tier 3 Moderate GIDA (Score &lt; 40.0)"))</f>
        <v/>
      </c>
      <c r="V39" s="26">
        <f>IF(S39&lt;='Methodology &amp; Assumptions'!$B$10, "Direct Optical Drop (&lt;3km)", IF(S39&lt;='Methodology &amp; Assumptions'!$B$9, "Near Optical / Microwave (&lt;5km)", "Starlink Business LEO Satellite Backhaul (&gt;5km)"))</f>
        <v/>
      </c>
      <c r="W39" s="28" t="n">
        <v>0.109</v>
      </c>
      <c r="X39" s="14" t="n">
        <v>48</v>
      </c>
      <c r="Y39" s="14">
        <f>ROUND(MIN(100, (X39/69.91)*100), 2)</f>
        <v/>
      </c>
    </row>
    <row r="40">
      <c r="A40" s="10" t="n">
        <v>4</v>
      </c>
      <c r="B40" s="10" t="n">
        <v>36</v>
      </c>
      <c r="C40" s="10" t="n">
        <v>3036</v>
      </c>
      <c r="D40" s="10" t="inlineStr">
        <is>
          <t>1380605083</t>
        </is>
      </c>
      <c r="E40" s="26" t="inlineStr">
        <is>
          <t>National Capital Region (NCR)</t>
        </is>
      </c>
      <c r="F40" s="26" t="inlineStr">
        <is>
          <t>First District (Not a Province)</t>
        </is>
      </c>
      <c r="G40" s="26" t="inlineStr">
        <is>
          <t>City of Manila</t>
        </is>
      </c>
      <c r="H40" s="26" t="inlineStr">
        <is>
          <t>Barangay 380</t>
        </is>
      </c>
      <c r="I40" s="27" t="n">
        <v>13.871912</v>
      </c>
      <c r="J40" s="27" t="n">
        <v>121.125577</v>
      </c>
      <c r="K40" s="10" t="inlineStr">
        <is>
          <t>U</t>
        </is>
      </c>
      <c r="L40" s="12" t="n">
        <v>949</v>
      </c>
      <c r="M40" s="14" t="n">
        <v>3.9</v>
      </c>
      <c r="N40" s="12">
        <f>ROUND(L40/M40, 0)</f>
        <v/>
      </c>
      <c r="O40" s="12">
        <f>ROUND(N40*'Methodology &amp; Assumptions'!$B$5, 0)</f>
        <v/>
      </c>
      <c r="P40" s="10" t="inlineStr">
        <is>
          <t>Single Carrier (Band n50, 100MHz TDD)</t>
        </is>
      </c>
      <c r="Q40" s="13">
        <f>ROUNDUP(O40/'Methodology &amp; Assumptions'!$B$6, 0)</f>
        <v/>
      </c>
      <c r="R40" s="13" t="n">
        <v>1</v>
      </c>
      <c r="S40" s="14" t="n">
        <v>2.37</v>
      </c>
      <c r="T40" s="14" t="n">
        <v>2.18</v>
      </c>
      <c r="U40" s="26">
        <f>IF(X40&gt;='Methodology &amp; Assumptions'!$B$7, "Tier 1 Critical GIDA (Score ≥ 50.0)", IF(X40&gt;='Methodology &amp; Assumptions'!$B$8, "Tier 2 High GIDA (Score 40.0–49.9)", "Tier 3 Moderate GIDA (Score &lt; 40.0)"))</f>
        <v/>
      </c>
      <c r="V40" s="26">
        <f>IF(S40&lt;='Methodology &amp; Assumptions'!$B$10, "Direct Optical Drop (&lt;3km)", IF(S40&lt;='Methodology &amp; Assumptions'!$B$9, "Near Optical / Microwave (&lt;5km)", "Starlink Business LEO Satellite Backhaul (&gt;5km)"))</f>
        <v/>
      </c>
      <c r="W40" s="28" t="n">
        <v>0.109</v>
      </c>
      <c r="X40" s="14" t="n">
        <v>48</v>
      </c>
      <c r="Y40" s="14">
        <f>ROUND(MIN(100, (X40/69.91)*100), 2)</f>
        <v/>
      </c>
    </row>
    <row r="41">
      <c r="A41" s="10" t="n">
        <v>4</v>
      </c>
      <c r="B41" s="10" t="n">
        <v>37</v>
      </c>
      <c r="C41" s="10" t="n">
        <v>3037</v>
      </c>
      <c r="D41" s="10" t="inlineStr">
        <is>
          <t>1380606114</t>
        </is>
      </c>
      <c r="E41" s="26" t="inlineStr">
        <is>
          <t>National Capital Region (NCR)</t>
        </is>
      </c>
      <c r="F41" s="26" t="inlineStr">
        <is>
          <t>First District (Not a Province)</t>
        </is>
      </c>
      <c r="G41" s="26" t="inlineStr">
        <is>
          <t>City of Manila</t>
        </is>
      </c>
      <c r="H41" s="26" t="inlineStr">
        <is>
          <t>Barangay 508</t>
        </is>
      </c>
      <c r="I41" s="27" t="n">
        <v>12.574862</v>
      </c>
      <c r="J41" s="27" t="n">
        <v>122.941034</v>
      </c>
      <c r="K41" s="10" t="inlineStr">
        <is>
          <t>U</t>
        </is>
      </c>
      <c r="L41" s="12" t="n">
        <v>1037</v>
      </c>
      <c r="M41" s="14" t="n">
        <v>3.9</v>
      </c>
      <c r="N41" s="12">
        <f>ROUND(L41/M41, 0)</f>
        <v/>
      </c>
      <c r="O41" s="12">
        <f>ROUND(N41*'Methodology &amp; Assumptions'!$B$5, 0)</f>
        <v/>
      </c>
      <c r="P41" s="10" t="inlineStr">
        <is>
          <t>Single Carrier (Band n50, 100MHz TDD)</t>
        </is>
      </c>
      <c r="Q41" s="13">
        <f>ROUNDUP(O41/'Methodology &amp; Assumptions'!$B$6, 0)</f>
        <v/>
      </c>
      <c r="R41" s="13" t="n">
        <v>1</v>
      </c>
      <c r="S41" s="14" t="n">
        <v>50.2</v>
      </c>
      <c r="T41" s="14" t="n">
        <v>54.05</v>
      </c>
      <c r="U41" s="26">
        <f>IF(X41&gt;='Methodology &amp; Assumptions'!$B$7, "Tier 1 Critical GIDA (Score ≥ 50.0)", IF(X41&gt;='Methodology &amp; Assumptions'!$B$8, "Tier 2 High GIDA (Score 40.0–49.9)", "Tier 3 Moderate GIDA (Score &lt; 40.0)"))</f>
        <v/>
      </c>
      <c r="V41" s="26">
        <f>IF(S41&lt;='Methodology &amp; Assumptions'!$B$10, "Direct Optical Drop (&lt;3km)", IF(S41&lt;='Methodology &amp; Assumptions'!$B$9, "Near Optical / Microwave (&lt;5km)", "Starlink Business LEO Satellite Backhaul (&gt;5km)"))</f>
        <v/>
      </c>
      <c r="W41" s="28" t="n">
        <v>0.109</v>
      </c>
      <c r="X41" s="14" t="n">
        <v>48</v>
      </c>
      <c r="Y41" s="14">
        <f>ROUND(MIN(100, (X41/69.91)*100), 2)</f>
        <v/>
      </c>
    </row>
    <row r="42">
      <c r="A42" s="10" t="n">
        <v>4</v>
      </c>
      <c r="B42" s="10" t="n">
        <v>38</v>
      </c>
      <c r="C42" s="10" t="n">
        <v>3038</v>
      </c>
      <c r="D42" s="10" t="inlineStr">
        <is>
          <t>1380614008</t>
        </is>
      </c>
      <c r="E42" s="26" t="inlineStr">
        <is>
          <t>National Capital Region (NCR)</t>
        </is>
      </c>
      <c r="F42" s="26" t="inlineStr">
        <is>
          <t>First District (Not a Province)</t>
        </is>
      </c>
      <c r="G42" s="26" t="inlineStr">
        <is>
          <t>City of Manila</t>
        </is>
      </c>
      <c r="H42" s="26" t="inlineStr">
        <is>
          <t>Barangay 751</t>
        </is>
      </c>
      <c r="I42" s="27" t="n">
        <v>12.335227</v>
      </c>
      <c r="J42" s="27" t="n">
        <v>120.701083</v>
      </c>
      <c r="K42" s="10" t="inlineStr">
        <is>
          <t>U</t>
        </is>
      </c>
      <c r="L42" s="12" t="n">
        <v>1588</v>
      </c>
      <c r="M42" s="14" t="n">
        <v>3.9</v>
      </c>
      <c r="N42" s="12">
        <f>ROUND(L42/M42, 0)</f>
        <v/>
      </c>
      <c r="O42" s="12">
        <f>ROUND(N42*'Methodology &amp; Assumptions'!$B$5, 0)</f>
        <v/>
      </c>
      <c r="P42" s="10" t="inlineStr">
        <is>
          <t>Single Carrier (Band n50, 100MHz TDD)</t>
        </is>
      </c>
      <c r="Q42" s="13">
        <f>ROUNDUP(O42/'Methodology &amp; Assumptions'!$B$6, 0)</f>
        <v/>
      </c>
      <c r="R42" s="13" t="n">
        <v>1</v>
      </c>
      <c r="S42" s="14" t="n">
        <v>39.53</v>
      </c>
      <c r="T42" s="14" t="n">
        <v>38.91</v>
      </c>
      <c r="U42" s="26">
        <f>IF(X42&gt;='Methodology &amp; Assumptions'!$B$7, "Tier 1 Critical GIDA (Score ≥ 50.0)", IF(X42&gt;='Methodology &amp; Assumptions'!$B$8, "Tier 2 High GIDA (Score 40.0–49.9)", "Tier 3 Moderate GIDA (Score &lt; 40.0)"))</f>
        <v/>
      </c>
      <c r="V42" s="26">
        <f>IF(S42&lt;='Methodology &amp; Assumptions'!$B$10, "Direct Optical Drop (&lt;3km)", IF(S42&lt;='Methodology &amp; Assumptions'!$B$9, "Near Optical / Microwave (&lt;5km)", "Starlink Business LEO Satellite Backhaul (&gt;5km)"))</f>
        <v/>
      </c>
      <c r="W42" s="28" t="n">
        <v>0.109</v>
      </c>
      <c r="X42" s="14" t="n">
        <v>48</v>
      </c>
      <c r="Y42" s="14">
        <f>ROUND(MIN(100, (X42/69.91)*100), 2)</f>
        <v/>
      </c>
    </row>
    <row r="43">
      <c r="A43" s="10" t="n">
        <v>4</v>
      </c>
      <c r="B43" s="10" t="n">
        <v>39</v>
      </c>
      <c r="C43" s="10" t="n">
        <v>3039</v>
      </c>
      <c r="D43" s="10" t="inlineStr">
        <is>
          <t>1380606217</t>
        </is>
      </c>
      <c r="E43" s="26" t="inlineStr">
        <is>
          <t>National Capital Region (NCR)</t>
        </is>
      </c>
      <c r="F43" s="26" t="inlineStr">
        <is>
          <t>First District (Not a Province)</t>
        </is>
      </c>
      <c r="G43" s="26" t="inlineStr">
        <is>
          <t>City of Manila</t>
        </is>
      </c>
      <c r="H43" s="26" t="inlineStr">
        <is>
          <t>Barangay 610</t>
        </is>
      </c>
      <c r="I43" s="27" t="n">
        <v>13.989011</v>
      </c>
      <c r="J43" s="27" t="n">
        <v>122.188177</v>
      </c>
      <c r="K43" s="10" t="inlineStr">
        <is>
          <t>U</t>
        </is>
      </c>
      <c r="L43" s="12" t="n">
        <v>997</v>
      </c>
      <c r="M43" s="14" t="n">
        <v>3.9</v>
      </c>
      <c r="N43" s="12">
        <f>ROUND(L43/M43, 0)</f>
        <v/>
      </c>
      <c r="O43" s="12">
        <f>ROUND(N43*'Methodology &amp; Assumptions'!$B$5, 0)</f>
        <v/>
      </c>
      <c r="P43" s="10" t="inlineStr">
        <is>
          <t>Single Carrier (Band n50, 100MHz TDD)</t>
        </is>
      </c>
      <c r="Q43" s="13">
        <f>ROUNDUP(O43/'Methodology &amp; Assumptions'!$B$6, 0)</f>
        <v/>
      </c>
      <c r="R43" s="13" t="n">
        <v>1</v>
      </c>
      <c r="S43" s="14" t="n">
        <v>11.23</v>
      </c>
      <c r="T43" s="14" t="n">
        <v>8.369999999999999</v>
      </c>
      <c r="U43" s="26">
        <f>IF(X43&gt;='Methodology &amp; Assumptions'!$B$7, "Tier 1 Critical GIDA (Score ≥ 50.0)", IF(X43&gt;='Methodology &amp; Assumptions'!$B$8, "Tier 2 High GIDA (Score 40.0–49.9)", "Tier 3 Moderate GIDA (Score &lt; 40.0)"))</f>
        <v/>
      </c>
      <c r="V43" s="26">
        <f>IF(S43&lt;='Methodology &amp; Assumptions'!$B$10, "Direct Optical Drop (&lt;3km)", IF(S43&lt;='Methodology &amp; Assumptions'!$B$9, "Near Optical / Microwave (&lt;5km)", "Starlink Business LEO Satellite Backhaul (&gt;5km)"))</f>
        <v/>
      </c>
      <c r="W43" s="28" t="n">
        <v>0.109</v>
      </c>
      <c r="X43" s="14" t="n">
        <v>48</v>
      </c>
      <c r="Y43" s="14">
        <f>ROUND(MIN(100, (X43/69.91)*100), 2)</f>
        <v/>
      </c>
    </row>
    <row r="44">
      <c r="A44" s="10" t="n">
        <v>4</v>
      </c>
      <c r="B44" s="10" t="n">
        <v>40</v>
      </c>
      <c r="C44" s="10" t="n">
        <v>3040</v>
      </c>
      <c r="D44" s="10" t="inlineStr">
        <is>
          <t>1380606054</t>
        </is>
      </c>
      <c r="E44" s="26" t="inlineStr">
        <is>
          <t>National Capital Region (NCR)</t>
        </is>
      </c>
      <c r="F44" s="26" t="inlineStr">
        <is>
          <t>First District (Not a Province)</t>
        </is>
      </c>
      <c r="G44" s="26" t="inlineStr">
        <is>
          <t>City of Manila</t>
        </is>
      </c>
      <c r="H44" s="26" t="inlineStr">
        <is>
          <t>Barangay 448</t>
        </is>
      </c>
      <c r="I44" s="27" t="n">
        <v>11.78781</v>
      </c>
      <c r="J44" s="27" t="n">
        <v>122.237949</v>
      </c>
      <c r="K44" s="10" t="inlineStr">
        <is>
          <t>U</t>
        </is>
      </c>
      <c r="L44" s="12" t="n">
        <v>1417</v>
      </c>
      <c r="M44" s="14" t="n">
        <v>3.9</v>
      </c>
      <c r="N44" s="12">
        <f>ROUND(L44/M44, 0)</f>
        <v/>
      </c>
      <c r="O44" s="12">
        <f>ROUND(N44*'Methodology &amp; Assumptions'!$B$5, 0)</f>
        <v/>
      </c>
      <c r="P44" s="10" t="inlineStr">
        <is>
          <t>Single Carrier (Band n50, 100MHz TDD)</t>
        </is>
      </c>
      <c r="Q44" s="13">
        <f>ROUNDUP(O44/'Methodology &amp; Assumptions'!$B$6, 0)</f>
        <v/>
      </c>
      <c r="R44" s="13" t="n">
        <v>1</v>
      </c>
      <c r="S44" s="14" t="n">
        <v>10.01</v>
      </c>
      <c r="T44" s="14" t="n">
        <v>2.53</v>
      </c>
      <c r="U44" s="26">
        <f>IF(X44&gt;='Methodology &amp; Assumptions'!$B$7, "Tier 1 Critical GIDA (Score ≥ 50.0)", IF(X44&gt;='Methodology &amp; Assumptions'!$B$8, "Tier 2 High GIDA (Score 40.0–49.9)", "Tier 3 Moderate GIDA (Score &lt; 40.0)"))</f>
        <v/>
      </c>
      <c r="V44" s="26">
        <f>IF(S44&lt;='Methodology &amp; Assumptions'!$B$10, "Direct Optical Drop (&lt;3km)", IF(S44&lt;='Methodology &amp; Assumptions'!$B$9, "Near Optical / Microwave (&lt;5km)", "Starlink Business LEO Satellite Backhaul (&gt;5km)"))</f>
        <v/>
      </c>
      <c r="W44" s="28" t="n">
        <v>0.109</v>
      </c>
      <c r="X44" s="14" t="n">
        <v>48</v>
      </c>
      <c r="Y44" s="14">
        <f>ROUND(MIN(100, (X44/69.91)*100), 2)</f>
        <v/>
      </c>
    </row>
    <row r="45">
      <c r="A45" s="10" t="n">
        <v>4</v>
      </c>
      <c r="B45" s="10" t="n">
        <v>41</v>
      </c>
      <c r="C45" s="10" t="n">
        <v>3041</v>
      </c>
      <c r="D45" s="10" t="inlineStr">
        <is>
          <t>PH0003041</t>
        </is>
      </c>
      <c r="E45" s="26" t="inlineStr">
        <is>
          <t>IV-B</t>
        </is>
      </c>
      <c r="F45" s="26" t="inlineStr">
        <is>
          <t>Palawan</t>
        </is>
      </c>
      <c r="G45" s="26" t="inlineStr">
        <is>
          <t>Puerto Princesa City</t>
        </is>
      </c>
      <c r="H45" s="26" t="inlineStr">
        <is>
          <t>Maunlad (Pob.)</t>
        </is>
      </c>
      <c r="I45" s="27" t="n">
        <v>9.847124000000001</v>
      </c>
      <c r="J45" s="27" t="n">
        <v>118.757538</v>
      </c>
      <c r="K45" s="10" t="inlineStr">
        <is>
          <t>R</t>
        </is>
      </c>
      <c r="L45" s="12" t="n">
        <v>2597</v>
      </c>
      <c r="M45" s="14" t="n">
        <v>3.9</v>
      </c>
      <c r="N45" s="12">
        <f>ROUND(L45/M45, 0)</f>
        <v/>
      </c>
      <c r="O45" s="12">
        <f>ROUND(N45*'Methodology &amp; Assumptions'!$B$5, 0)</f>
        <v/>
      </c>
      <c r="P45" s="10" t="inlineStr">
        <is>
          <t>Single Carrier (Band n50, 100MHz TDD)</t>
        </is>
      </c>
      <c r="Q45" s="13">
        <f>ROUNDUP(O45/'Methodology &amp; Assumptions'!$B$6, 0)</f>
        <v/>
      </c>
      <c r="R45" s="13" t="n">
        <v>1</v>
      </c>
      <c r="S45" s="14" t="n">
        <v>2.54</v>
      </c>
      <c r="T45" s="14" t="n">
        <v>2.1</v>
      </c>
      <c r="U45" s="26">
        <f>IF(X45&gt;='Methodology &amp; Assumptions'!$B$7, "Tier 1 Critical GIDA (Score ≥ 50.0)", IF(X45&gt;='Methodology &amp; Assumptions'!$B$8, "Tier 2 High GIDA (Score 40.0–49.9)", "Tier 3 Moderate GIDA (Score &lt; 40.0)"))</f>
        <v/>
      </c>
      <c r="V45" s="26">
        <f>IF(S45&lt;='Methodology &amp; Assumptions'!$B$10, "Direct Optical Drop (&lt;3km)", IF(S45&lt;='Methodology &amp; Assumptions'!$B$9, "Near Optical / Microwave (&lt;5km)", "Starlink Business LEO Satellite Backhaul (&gt;5km)"))</f>
        <v/>
      </c>
      <c r="W45" s="28" t="n">
        <v>0.109</v>
      </c>
      <c r="X45" s="14" t="n">
        <v>47.99</v>
      </c>
      <c r="Y45" s="14">
        <f>ROUND(MIN(100, (X45/69.91)*100), 2)</f>
        <v/>
      </c>
    </row>
    <row r="46">
      <c r="A46" s="10" t="n">
        <v>4</v>
      </c>
      <c r="B46" s="10" t="n">
        <v>42</v>
      </c>
      <c r="C46" s="10" t="n">
        <v>3042</v>
      </c>
      <c r="D46" s="10" t="inlineStr">
        <is>
          <t>1380606034</t>
        </is>
      </c>
      <c r="E46" s="26" t="inlineStr">
        <is>
          <t>National Capital Region (NCR)</t>
        </is>
      </c>
      <c r="F46" s="26" t="inlineStr">
        <is>
          <t>First District (Not a Province)</t>
        </is>
      </c>
      <c r="G46" s="26" t="inlineStr">
        <is>
          <t>City of Manila</t>
        </is>
      </c>
      <c r="H46" s="26" t="inlineStr">
        <is>
          <t>Barangay 428</t>
        </is>
      </c>
      <c r="I46" s="27" t="n">
        <v>13.379743</v>
      </c>
      <c r="J46" s="27" t="n">
        <v>120.673978</v>
      </c>
      <c r="K46" s="10" t="inlineStr">
        <is>
          <t>U</t>
        </is>
      </c>
      <c r="L46" s="12" t="n">
        <v>1344</v>
      </c>
      <c r="M46" s="14" t="n">
        <v>3.9</v>
      </c>
      <c r="N46" s="12">
        <f>ROUND(L46/M46, 0)</f>
        <v/>
      </c>
      <c r="O46" s="12">
        <f>ROUND(N46*'Methodology &amp; Assumptions'!$B$5, 0)</f>
        <v/>
      </c>
      <c r="P46" s="10" t="inlineStr">
        <is>
          <t>Single Carrier (Band n50, 100MHz TDD)</t>
        </is>
      </c>
      <c r="Q46" s="13">
        <f>ROUNDUP(O46/'Methodology &amp; Assumptions'!$B$6, 0)</f>
        <v/>
      </c>
      <c r="R46" s="13" t="n">
        <v>1</v>
      </c>
      <c r="S46" s="14" t="n">
        <v>28.58</v>
      </c>
      <c r="T46" s="14" t="n">
        <v>27</v>
      </c>
      <c r="U46" s="26">
        <f>IF(X46&gt;='Methodology &amp; Assumptions'!$B$7, "Tier 1 Critical GIDA (Score ≥ 50.0)", IF(X46&gt;='Methodology &amp; Assumptions'!$B$8, "Tier 2 High GIDA (Score 40.0–49.9)", "Tier 3 Moderate GIDA (Score &lt; 40.0)"))</f>
        <v/>
      </c>
      <c r="V46" s="26">
        <f>IF(S46&lt;='Methodology &amp; Assumptions'!$B$10, "Direct Optical Drop (&lt;3km)", IF(S46&lt;='Methodology &amp; Assumptions'!$B$9, "Near Optical / Microwave (&lt;5km)", "Starlink Business LEO Satellite Backhaul (&gt;5km)"))</f>
        <v/>
      </c>
      <c r="W46" s="28" t="n">
        <v>0.109</v>
      </c>
      <c r="X46" s="14" t="n">
        <v>47.99</v>
      </c>
      <c r="Y46" s="14">
        <f>ROUND(MIN(100, (X46/69.91)*100), 2)</f>
        <v/>
      </c>
    </row>
    <row r="47">
      <c r="A47" s="10" t="n">
        <v>4</v>
      </c>
      <c r="B47" s="10" t="n">
        <v>43</v>
      </c>
      <c r="C47" s="10" t="n">
        <v>3043</v>
      </c>
      <c r="D47" s="10" t="inlineStr">
        <is>
          <t>1380605030</t>
        </is>
      </c>
      <c r="E47" s="26" t="inlineStr">
        <is>
          <t>National Capital Region (NCR)</t>
        </is>
      </c>
      <c r="F47" s="26" t="inlineStr">
        <is>
          <t>First District (Not a Province)</t>
        </is>
      </c>
      <c r="G47" s="26" t="inlineStr">
        <is>
          <t>City of Manila</t>
        </is>
      </c>
      <c r="H47" s="26" t="inlineStr">
        <is>
          <t>Barangay 328</t>
        </is>
      </c>
      <c r="I47" s="27" t="n">
        <v>13.235902</v>
      </c>
      <c r="J47" s="27" t="n">
        <v>122.932885</v>
      </c>
      <c r="K47" s="10" t="inlineStr">
        <is>
          <t>U</t>
        </is>
      </c>
      <c r="L47" s="12" t="n">
        <v>700</v>
      </c>
      <c r="M47" s="14" t="n">
        <v>3.9</v>
      </c>
      <c r="N47" s="12">
        <f>ROUND(L47/M47, 0)</f>
        <v/>
      </c>
      <c r="O47" s="12">
        <f>ROUND(N47*'Methodology &amp; Assumptions'!$B$5, 0)</f>
        <v/>
      </c>
      <c r="P47" s="10" t="inlineStr">
        <is>
          <t>Single Carrier (Band n50, 100MHz TDD)</t>
        </is>
      </c>
      <c r="Q47" s="13">
        <f>ROUNDUP(O47/'Methodology &amp; Assumptions'!$B$6, 0)</f>
        <v/>
      </c>
      <c r="R47" s="13" t="n">
        <v>1</v>
      </c>
      <c r="S47" s="14" t="n">
        <v>26.04</v>
      </c>
      <c r="T47" s="14" t="n">
        <v>31.72</v>
      </c>
      <c r="U47" s="26">
        <f>IF(X47&gt;='Methodology &amp; Assumptions'!$B$7, "Tier 1 Critical GIDA (Score ≥ 50.0)", IF(X47&gt;='Methodology &amp; Assumptions'!$B$8, "Tier 2 High GIDA (Score 40.0–49.9)", "Tier 3 Moderate GIDA (Score &lt; 40.0)"))</f>
        <v/>
      </c>
      <c r="V47" s="26">
        <f>IF(S47&lt;='Methodology &amp; Assumptions'!$B$10, "Direct Optical Drop (&lt;3km)", IF(S47&lt;='Methodology &amp; Assumptions'!$B$9, "Near Optical / Microwave (&lt;5km)", "Starlink Business LEO Satellite Backhaul (&gt;5km)"))</f>
        <v/>
      </c>
      <c r="W47" s="28" t="n">
        <v>0.109</v>
      </c>
      <c r="X47" s="14" t="n">
        <v>47.99</v>
      </c>
      <c r="Y47" s="14">
        <f>ROUND(MIN(100, (X47/69.91)*100), 2)</f>
        <v/>
      </c>
    </row>
    <row r="48">
      <c r="A48" s="10" t="n">
        <v>4</v>
      </c>
      <c r="B48" s="10" t="n">
        <v>44</v>
      </c>
      <c r="C48" s="10" t="n">
        <v>3044</v>
      </c>
      <c r="D48" s="10" t="inlineStr">
        <is>
          <t>1380614042</t>
        </is>
      </c>
      <c r="E48" s="26" t="inlineStr">
        <is>
          <t>National Capital Region (NCR)</t>
        </is>
      </c>
      <c r="F48" s="26" t="inlineStr">
        <is>
          <t>First District (Not a Province)</t>
        </is>
      </c>
      <c r="G48" s="26" t="inlineStr">
        <is>
          <t>City of Manila</t>
        </is>
      </c>
      <c r="H48" s="26" t="inlineStr">
        <is>
          <t>Barangay 786</t>
        </is>
      </c>
      <c r="I48" s="27" t="n">
        <v>11.852678</v>
      </c>
      <c r="J48" s="27" t="n">
        <v>121.165745</v>
      </c>
      <c r="K48" s="10" t="inlineStr">
        <is>
          <t>U</t>
        </is>
      </c>
      <c r="L48" s="12" t="n">
        <v>1483</v>
      </c>
      <c r="M48" s="14" t="n">
        <v>3.9</v>
      </c>
      <c r="N48" s="12">
        <f>ROUND(L48/M48, 0)</f>
        <v/>
      </c>
      <c r="O48" s="12">
        <f>ROUND(N48*'Methodology &amp; Assumptions'!$B$5, 0)</f>
        <v/>
      </c>
      <c r="P48" s="10" t="inlineStr">
        <is>
          <t>Single Carrier (Band n50, 100MHz TDD)</t>
        </is>
      </c>
      <c r="Q48" s="13">
        <f>ROUNDUP(O48/'Methodology &amp; Assumptions'!$B$6, 0)</f>
        <v/>
      </c>
      <c r="R48" s="13" t="n">
        <v>1</v>
      </c>
      <c r="S48" s="14" t="n">
        <v>50.76</v>
      </c>
      <c r="T48" s="14" t="n">
        <v>48.56</v>
      </c>
      <c r="U48" s="26">
        <f>IF(X48&gt;='Methodology &amp; Assumptions'!$B$7, "Tier 1 Critical GIDA (Score ≥ 50.0)", IF(X48&gt;='Methodology &amp; Assumptions'!$B$8, "Tier 2 High GIDA (Score 40.0–49.9)", "Tier 3 Moderate GIDA (Score &lt; 40.0)"))</f>
        <v/>
      </c>
      <c r="V48" s="26">
        <f>IF(S48&lt;='Methodology &amp; Assumptions'!$B$10, "Direct Optical Drop (&lt;3km)", IF(S48&lt;='Methodology &amp; Assumptions'!$B$9, "Near Optical / Microwave (&lt;5km)", "Starlink Business LEO Satellite Backhaul (&gt;5km)"))</f>
        <v/>
      </c>
      <c r="W48" s="28" t="n">
        <v>0.109</v>
      </c>
      <c r="X48" s="14" t="n">
        <v>47.99</v>
      </c>
      <c r="Y48" s="14">
        <f>ROUND(MIN(100, (X48/69.91)*100), 2)</f>
        <v/>
      </c>
    </row>
    <row r="49">
      <c r="A49" s="10" t="n">
        <v>4</v>
      </c>
      <c r="B49" s="10" t="n">
        <v>45</v>
      </c>
      <c r="C49" s="10" t="n">
        <v>3045</v>
      </c>
      <c r="D49" s="10" t="inlineStr">
        <is>
          <t>1380606012</t>
        </is>
      </c>
      <c r="E49" s="26" t="inlineStr">
        <is>
          <t>National Capital Region (NCR)</t>
        </is>
      </c>
      <c r="F49" s="26" t="inlineStr">
        <is>
          <t>First District (Not a Province)</t>
        </is>
      </c>
      <c r="G49" s="26" t="inlineStr">
        <is>
          <t>City of Manila</t>
        </is>
      </c>
      <c r="H49" s="26" t="inlineStr">
        <is>
          <t>Barangay 406</t>
        </is>
      </c>
      <c r="I49" s="27" t="n">
        <v>14.038809</v>
      </c>
      <c r="J49" s="27" t="n">
        <v>121.5104</v>
      </c>
      <c r="K49" s="10" t="inlineStr">
        <is>
          <t>U</t>
        </is>
      </c>
      <c r="L49" s="12" t="n">
        <v>463</v>
      </c>
      <c r="M49" s="14" t="n">
        <v>3.9</v>
      </c>
      <c r="N49" s="12">
        <f>ROUND(L49/M49, 0)</f>
        <v/>
      </c>
      <c r="O49" s="12">
        <f>ROUND(N49*'Methodology &amp; Assumptions'!$B$5, 0)</f>
        <v/>
      </c>
      <c r="P49" s="10" t="inlineStr">
        <is>
          <t>Single Carrier (Band n50, 100MHz TDD)</t>
        </is>
      </c>
      <c r="Q49" s="13">
        <f>ROUNDUP(O49/'Methodology &amp; Assumptions'!$B$6, 0)</f>
        <v/>
      </c>
      <c r="R49" s="13" t="n">
        <v>1</v>
      </c>
      <c r="S49" s="14" t="n">
        <v>8.699999999999999</v>
      </c>
      <c r="T49" s="14" t="n">
        <v>6.55</v>
      </c>
      <c r="U49" s="26">
        <f>IF(X49&gt;='Methodology &amp; Assumptions'!$B$7, "Tier 1 Critical GIDA (Score ≥ 50.0)", IF(X49&gt;='Methodology &amp; Assumptions'!$B$8, "Tier 2 High GIDA (Score 40.0–49.9)", "Tier 3 Moderate GIDA (Score &lt; 40.0)"))</f>
        <v/>
      </c>
      <c r="V49" s="26">
        <f>IF(S49&lt;='Methodology &amp; Assumptions'!$B$10, "Direct Optical Drop (&lt;3km)", IF(S49&lt;='Methodology &amp; Assumptions'!$B$9, "Near Optical / Microwave (&lt;5km)", "Starlink Business LEO Satellite Backhaul (&gt;5km)"))</f>
        <v/>
      </c>
      <c r="W49" s="28" t="n">
        <v>0.109</v>
      </c>
      <c r="X49" s="14" t="n">
        <v>47.99</v>
      </c>
      <c r="Y49" s="14">
        <f>ROUND(MIN(100, (X49/69.91)*100), 2)</f>
        <v/>
      </c>
    </row>
    <row r="50">
      <c r="A50" s="10" t="n">
        <v>4</v>
      </c>
      <c r="B50" s="10" t="n">
        <v>46</v>
      </c>
      <c r="C50" s="10" t="n">
        <v>3046</v>
      </c>
      <c r="D50" s="10" t="inlineStr">
        <is>
          <t>PH0003046</t>
        </is>
      </c>
      <c r="E50" s="26" t="inlineStr">
        <is>
          <t>NCR</t>
        </is>
      </c>
      <c r="F50" s="26" t="inlineStr">
        <is>
          <t>Metro Manila</t>
        </is>
      </c>
      <c r="G50" s="26" t="inlineStr">
        <is>
          <t>Caloocan City</t>
        </is>
      </c>
      <c r="H50" s="26" t="inlineStr">
        <is>
          <t>Barangay 65</t>
        </is>
      </c>
      <c r="I50" s="27" t="n">
        <v>14.362465</v>
      </c>
      <c r="J50" s="27" t="n">
        <v>121.70759</v>
      </c>
      <c r="K50" s="10" t="inlineStr">
        <is>
          <t>R</t>
        </is>
      </c>
      <c r="L50" s="12" t="n">
        <v>2279</v>
      </c>
      <c r="M50" s="14" t="n">
        <v>3.8</v>
      </c>
      <c r="N50" s="12">
        <f>ROUND(L50/M50, 0)</f>
        <v/>
      </c>
      <c r="O50" s="12">
        <f>ROUND(N50*'Methodology &amp; Assumptions'!$B$5, 0)</f>
        <v/>
      </c>
      <c r="P50" s="10" t="inlineStr">
        <is>
          <t>Single Carrier (Band n50, 100MHz TDD)</t>
        </is>
      </c>
      <c r="Q50" s="13">
        <f>ROUNDUP(O50/'Methodology &amp; Assumptions'!$B$6, 0)</f>
        <v/>
      </c>
      <c r="R50" s="13" t="n">
        <v>1</v>
      </c>
      <c r="S50" s="14" t="n">
        <v>18.03</v>
      </c>
      <c r="T50" s="14" t="n">
        <v>24.04</v>
      </c>
      <c r="U50" s="26">
        <f>IF(X50&gt;='Methodology &amp; Assumptions'!$B$7, "Tier 1 Critical GIDA (Score ≥ 50.0)", IF(X50&gt;='Methodology &amp; Assumptions'!$B$8, "Tier 2 High GIDA (Score 40.0–49.9)", "Tier 3 Moderate GIDA (Score &lt; 40.0)"))</f>
        <v/>
      </c>
      <c r="V50" s="26">
        <f>IF(S50&lt;='Methodology &amp; Assumptions'!$B$10, "Direct Optical Drop (&lt;3km)", IF(S50&lt;='Methodology &amp; Assumptions'!$B$9, "Near Optical / Microwave (&lt;5km)", "Starlink Business LEO Satellite Backhaul (&gt;5km)"))</f>
        <v/>
      </c>
      <c r="W50" s="28" t="n">
        <v>0.011</v>
      </c>
      <c r="X50" s="14" t="n">
        <v>47.99</v>
      </c>
      <c r="Y50" s="14">
        <f>ROUND(MIN(100, (X50/69.91)*100), 2)</f>
        <v/>
      </c>
    </row>
    <row r="51">
      <c r="A51" s="10" t="n">
        <v>4</v>
      </c>
      <c r="B51" s="10" t="n">
        <v>47</v>
      </c>
      <c r="C51" s="10" t="n">
        <v>3047</v>
      </c>
      <c r="D51" s="10" t="inlineStr">
        <is>
          <t>1380606223</t>
        </is>
      </c>
      <c r="E51" s="26" t="inlineStr">
        <is>
          <t>National Capital Region (NCR)</t>
        </is>
      </c>
      <c r="F51" s="26" t="inlineStr">
        <is>
          <t>First District (Not a Province)</t>
        </is>
      </c>
      <c r="G51" s="26" t="inlineStr">
        <is>
          <t>City of Manila</t>
        </is>
      </c>
      <c r="H51" s="26" t="inlineStr">
        <is>
          <t>Barangay 616</t>
        </is>
      </c>
      <c r="I51" s="27" t="n">
        <v>12.197946</v>
      </c>
      <c r="J51" s="27" t="n">
        <v>122.772774</v>
      </c>
      <c r="K51" s="10" t="inlineStr">
        <is>
          <t>U</t>
        </is>
      </c>
      <c r="L51" s="12" t="n">
        <v>938</v>
      </c>
      <c r="M51" s="14" t="n">
        <v>3.9</v>
      </c>
      <c r="N51" s="12">
        <f>ROUND(L51/M51, 0)</f>
        <v/>
      </c>
      <c r="O51" s="12">
        <f>ROUND(N51*'Methodology &amp; Assumptions'!$B$5, 0)</f>
        <v/>
      </c>
      <c r="P51" s="10" t="inlineStr">
        <is>
          <t>Single Carrier (Band n50, 100MHz TDD)</t>
        </is>
      </c>
      <c r="Q51" s="13">
        <f>ROUNDUP(O51/'Methodology &amp; Assumptions'!$B$6, 0)</f>
        <v/>
      </c>
      <c r="R51" s="13" t="n">
        <v>1</v>
      </c>
      <c r="S51" s="14" t="n">
        <v>52.73</v>
      </c>
      <c r="T51" s="14" t="n">
        <v>45.09</v>
      </c>
      <c r="U51" s="26">
        <f>IF(X51&gt;='Methodology &amp; Assumptions'!$B$7, "Tier 1 Critical GIDA (Score ≥ 50.0)", IF(X51&gt;='Methodology &amp; Assumptions'!$B$8, "Tier 2 High GIDA (Score 40.0–49.9)", "Tier 3 Moderate GIDA (Score &lt; 40.0)"))</f>
        <v/>
      </c>
      <c r="V51" s="26">
        <f>IF(S51&lt;='Methodology &amp; Assumptions'!$B$10, "Direct Optical Drop (&lt;3km)", IF(S51&lt;='Methodology &amp; Assumptions'!$B$9, "Near Optical / Microwave (&lt;5km)", "Starlink Business LEO Satellite Backhaul (&gt;5km)"))</f>
        <v/>
      </c>
      <c r="W51" s="28" t="n">
        <v>0.109</v>
      </c>
      <c r="X51" s="14" t="n">
        <v>47.99</v>
      </c>
      <c r="Y51" s="14">
        <f>ROUND(MIN(100, (X51/69.91)*100), 2)</f>
        <v/>
      </c>
    </row>
    <row r="52">
      <c r="A52" s="10" t="n">
        <v>4</v>
      </c>
      <c r="B52" s="10" t="n">
        <v>48</v>
      </c>
      <c r="C52" s="10" t="n">
        <v>3048</v>
      </c>
      <c r="D52" s="10" t="inlineStr">
        <is>
          <t>PH0003048</t>
        </is>
      </c>
      <c r="E52" s="26" t="inlineStr">
        <is>
          <t>IV-B</t>
        </is>
      </c>
      <c r="F52" s="26" t="inlineStr">
        <is>
          <t>Palawan</t>
        </is>
      </c>
      <c r="G52" s="26" t="inlineStr">
        <is>
          <t>Puerto Princesa City</t>
        </is>
      </c>
      <c r="H52" s="26" t="inlineStr">
        <is>
          <t>Mabuhay (Pob.)</t>
        </is>
      </c>
      <c r="I52" s="27" t="n">
        <v>9.88491</v>
      </c>
      <c r="J52" s="27" t="n">
        <v>118.762939</v>
      </c>
      <c r="K52" s="10" t="inlineStr">
        <is>
          <t>R</t>
        </is>
      </c>
      <c r="L52" s="12" t="n">
        <v>2597</v>
      </c>
      <c r="M52" s="14" t="n">
        <v>3.9</v>
      </c>
      <c r="N52" s="12">
        <f>ROUND(L52/M52, 0)</f>
        <v/>
      </c>
      <c r="O52" s="12">
        <f>ROUND(N52*'Methodology &amp; Assumptions'!$B$5, 0)</f>
        <v/>
      </c>
      <c r="P52" s="10" t="inlineStr">
        <is>
          <t>Single Carrier (Band n50, 100MHz TDD)</t>
        </is>
      </c>
      <c r="Q52" s="13">
        <f>ROUNDUP(O52/'Methodology &amp; Assumptions'!$B$6, 0)</f>
        <v/>
      </c>
      <c r="R52" s="13" t="n">
        <v>1</v>
      </c>
      <c r="S52" s="14" t="n">
        <v>5.43</v>
      </c>
      <c r="T52" s="14" t="n">
        <v>3.99</v>
      </c>
      <c r="U52" s="26">
        <f>IF(X52&gt;='Methodology &amp; Assumptions'!$B$7, "Tier 1 Critical GIDA (Score ≥ 50.0)", IF(X52&gt;='Methodology &amp; Assumptions'!$B$8, "Tier 2 High GIDA (Score 40.0–49.9)", "Tier 3 Moderate GIDA (Score &lt; 40.0)"))</f>
        <v/>
      </c>
      <c r="V52" s="26">
        <f>IF(S52&lt;='Methodology &amp; Assumptions'!$B$10, "Direct Optical Drop (&lt;3km)", IF(S52&lt;='Methodology &amp; Assumptions'!$B$9, "Near Optical / Microwave (&lt;5km)", "Starlink Business LEO Satellite Backhaul (&gt;5km)"))</f>
        <v/>
      </c>
      <c r="W52" s="28" t="n">
        <v>0.109</v>
      </c>
      <c r="X52" s="14" t="n">
        <v>47.99</v>
      </c>
      <c r="Y52" s="14">
        <f>ROUND(MIN(100, (X52/69.91)*100), 2)</f>
        <v/>
      </c>
    </row>
    <row r="53">
      <c r="A53" s="10" t="n">
        <v>4</v>
      </c>
      <c r="B53" s="10" t="n">
        <v>49</v>
      </c>
      <c r="C53" s="10" t="n">
        <v>3049</v>
      </c>
      <c r="D53" s="10" t="inlineStr">
        <is>
          <t>0600609010</t>
        </is>
      </c>
      <c r="E53" s="26" t="inlineStr">
        <is>
          <t>Region VI (Western Visayas)</t>
        </is>
      </c>
      <c r="F53" s="26" t="inlineStr">
        <is>
          <t>Antique</t>
        </is>
      </c>
      <c r="G53" s="26" t="inlineStr">
        <is>
          <t>Laua-An</t>
        </is>
      </c>
      <c r="H53" s="26" t="inlineStr">
        <is>
          <t>Guiamon</t>
        </is>
      </c>
      <c r="I53" s="27" t="n">
        <v>11.164053</v>
      </c>
      <c r="J53" s="27" t="n">
        <v>122.112548</v>
      </c>
      <c r="K53" s="10" t="inlineStr">
        <is>
          <t>R</t>
        </is>
      </c>
      <c r="L53" s="12" t="n">
        <v>242</v>
      </c>
      <c r="M53" s="14" t="n">
        <v>3.9</v>
      </c>
      <c r="N53" s="12">
        <f>ROUND(L53/M53, 0)</f>
        <v/>
      </c>
      <c r="O53" s="12">
        <f>ROUND(N53*'Methodology &amp; Assumptions'!$B$5, 0)</f>
        <v/>
      </c>
      <c r="P53" s="10" t="inlineStr">
        <is>
          <t>Single Carrier (Band n50, 100MHz TDD)</t>
        </is>
      </c>
      <c r="Q53" s="13">
        <f>ROUNDUP(O53/'Methodology &amp; Assumptions'!$B$6, 0)</f>
        <v/>
      </c>
      <c r="R53" s="13" t="n">
        <v>1</v>
      </c>
      <c r="S53" s="14" t="n">
        <v>48.57</v>
      </c>
      <c r="T53" s="14" t="n">
        <v>42.14</v>
      </c>
      <c r="U53" s="26">
        <f>IF(X53&gt;='Methodology &amp; Assumptions'!$B$7, "Tier 1 Critical GIDA (Score ≥ 50.0)", IF(X53&gt;='Methodology &amp; Assumptions'!$B$8, "Tier 2 High GIDA (Score 40.0–49.9)", "Tier 3 Moderate GIDA (Score &lt; 40.0)"))</f>
        <v/>
      </c>
      <c r="V53" s="26">
        <f>IF(S53&lt;='Methodology &amp; Assumptions'!$B$10, "Direct Optical Drop (&lt;3km)", IF(S53&lt;='Methodology &amp; Assumptions'!$B$9, "Near Optical / Microwave (&lt;5km)", "Starlink Business LEO Satellite Backhaul (&gt;5km)"))</f>
        <v/>
      </c>
      <c r="W53" s="28" t="n">
        <v>0.237</v>
      </c>
      <c r="X53" s="14" t="n">
        <v>47.99</v>
      </c>
      <c r="Y53" s="14">
        <f>ROUND(MIN(100, (X53/69.91)*100), 2)</f>
        <v/>
      </c>
    </row>
    <row r="54">
      <c r="A54" s="10" t="n">
        <v>4</v>
      </c>
      <c r="B54" s="10" t="n">
        <v>50</v>
      </c>
      <c r="C54" s="10" t="n">
        <v>3050</v>
      </c>
      <c r="D54" s="10" t="inlineStr">
        <is>
          <t>1380606007</t>
        </is>
      </c>
      <c r="E54" s="26" t="inlineStr">
        <is>
          <t>National Capital Region (NCR)</t>
        </is>
      </c>
      <c r="F54" s="26" t="inlineStr">
        <is>
          <t>First District (Not a Province)</t>
        </is>
      </c>
      <c r="G54" s="26" t="inlineStr">
        <is>
          <t>City of Manila</t>
        </is>
      </c>
      <c r="H54" s="26" t="inlineStr">
        <is>
          <t>Barangay 401</t>
        </is>
      </c>
      <c r="I54" s="27" t="n">
        <v>12.72438</v>
      </c>
      <c r="J54" s="27" t="n">
        <v>120.56378</v>
      </c>
      <c r="K54" s="10" t="inlineStr">
        <is>
          <t>U</t>
        </is>
      </c>
      <c r="L54" s="12" t="n">
        <v>2404</v>
      </c>
      <c r="M54" s="14" t="n">
        <v>3.9</v>
      </c>
      <c r="N54" s="12">
        <f>ROUND(L54/M54, 0)</f>
        <v/>
      </c>
      <c r="O54" s="12">
        <f>ROUND(N54*'Methodology &amp; Assumptions'!$B$5, 0)</f>
        <v/>
      </c>
      <c r="P54" s="10" t="inlineStr">
        <is>
          <t>Single Carrier (Band n50, 100MHz TDD)</t>
        </is>
      </c>
      <c r="Q54" s="13">
        <f>ROUNDUP(O54/'Methodology &amp; Assumptions'!$B$6, 0)</f>
        <v/>
      </c>
      <c r="R54" s="13" t="n">
        <v>1</v>
      </c>
      <c r="S54" s="14" t="n">
        <v>68.42</v>
      </c>
      <c r="T54" s="14" t="n">
        <v>66.45999999999999</v>
      </c>
      <c r="U54" s="26">
        <f>IF(X54&gt;='Methodology &amp; Assumptions'!$B$7, "Tier 1 Critical GIDA (Score ≥ 50.0)", IF(X54&gt;='Methodology &amp; Assumptions'!$B$8, "Tier 2 High GIDA (Score 40.0–49.9)", "Tier 3 Moderate GIDA (Score &lt; 40.0)"))</f>
        <v/>
      </c>
      <c r="V54" s="26">
        <f>IF(S54&lt;='Methodology &amp; Assumptions'!$B$10, "Direct Optical Drop (&lt;3km)", IF(S54&lt;='Methodology &amp; Assumptions'!$B$9, "Near Optical / Microwave (&lt;5km)", "Starlink Business LEO Satellite Backhaul (&gt;5km)"))</f>
        <v/>
      </c>
      <c r="W54" s="28" t="n">
        <v>0.109</v>
      </c>
      <c r="X54" s="14" t="n">
        <v>47.98</v>
      </c>
      <c r="Y54" s="14">
        <f>ROUND(MIN(100, (X54/69.91)*100), 2)</f>
        <v/>
      </c>
    </row>
    <row r="55">
      <c r="A55" s="10" t="n">
        <v>4</v>
      </c>
      <c r="B55" s="10" t="n">
        <v>51</v>
      </c>
      <c r="C55" s="10" t="n">
        <v>3051</v>
      </c>
      <c r="D55" s="10" t="inlineStr">
        <is>
          <t>PH0003051</t>
        </is>
      </c>
      <c r="E55" s="26" t="inlineStr">
        <is>
          <t>VIII</t>
        </is>
      </c>
      <c r="F55" s="26" t="inlineStr">
        <is>
          <t>Leyte</t>
        </is>
      </c>
      <c r="G55" s="26" t="inlineStr">
        <is>
          <t>Tacloban City</t>
        </is>
      </c>
      <c r="H55" s="26" t="inlineStr">
        <is>
          <t>Barangay 6-A</t>
        </is>
      </c>
      <c r="I55" s="27" t="n">
        <v>11.246674</v>
      </c>
      <c r="J55" s="27" t="n">
        <v>125.004774</v>
      </c>
      <c r="K55" s="10" t="inlineStr">
        <is>
          <t>R</t>
        </is>
      </c>
      <c r="L55" s="12" t="n">
        <v>2258</v>
      </c>
      <c r="M55" s="14" t="n">
        <v>3.8</v>
      </c>
      <c r="N55" s="12">
        <f>ROUND(L55/M55, 0)</f>
        <v/>
      </c>
      <c r="O55" s="12">
        <f>ROUND(N55*'Methodology &amp; Assumptions'!$B$5, 0)</f>
        <v/>
      </c>
      <c r="P55" s="10" t="inlineStr">
        <is>
          <t>Single Carrier (Band n50, 100MHz TDD)</t>
        </is>
      </c>
      <c r="Q55" s="13">
        <f>ROUNDUP(O55/'Methodology &amp; Assumptions'!$B$6, 0)</f>
        <v/>
      </c>
      <c r="R55" s="13" t="n">
        <v>1</v>
      </c>
      <c r="S55" s="14" t="n">
        <v>0.83</v>
      </c>
      <c r="T55" s="14" t="n">
        <v>3.84</v>
      </c>
      <c r="U55" s="26">
        <f>IF(X55&gt;='Methodology &amp; Assumptions'!$B$7, "Tier 1 Critical GIDA (Score ≥ 50.0)", IF(X55&gt;='Methodology &amp; Assumptions'!$B$8, "Tier 2 High GIDA (Score 40.0–49.9)", "Tier 3 Moderate GIDA (Score &lt; 40.0)"))</f>
        <v/>
      </c>
      <c r="V55" s="26">
        <f>IF(S55&lt;='Methodology &amp; Assumptions'!$B$10, "Direct Optical Drop (&lt;3km)", IF(S55&lt;='Methodology &amp; Assumptions'!$B$9, "Near Optical / Microwave (&lt;5km)", "Starlink Business LEO Satellite Backhaul (&gt;5km)"))</f>
        <v/>
      </c>
      <c r="W55" s="28" t="n">
        <v>0.222</v>
      </c>
      <c r="X55" s="14" t="n">
        <v>47.98</v>
      </c>
      <c r="Y55" s="14">
        <f>ROUND(MIN(100, (X55/69.91)*100), 2)</f>
        <v/>
      </c>
    </row>
    <row r="56">
      <c r="A56" s="10" t="n">
        <v>4</v>
      </c>
      <c r="B56" s="10" t="n">
        <v>52</v>
      </c>
      <c r="C56" s="10" t="n">
        <v>3052</v>
      </c>
      <c r="D56" s="10" t="inlineStr">
        <is>
          <t>1380300005</t>
        </is>
      </c>
      <c r="E56" s="26" t="inlineStr">
        <is>
          <t>National Capital Region (NCR)</t>
        </is>
      </c>
      <c r="F56" s="26" t="inlineStr">
        <is>
          <t>Fourth District (Not a Province)</t>
        </is>
      </c>
      <c r="G56" s="26" t="inlineStr">
        <is>
          <t>City of Makati</t>
        </is>
      </c>
      <c r="H56" s="26" t="inlineStr">
        <is>
          <t>Carmona</t>
        </is>
      </c>
      <c r="I56" s="27" t="n">
        <v>14.5775</v>
      </c>
      <c r="J56" s="27" t="n">
        <v>121.0175</v>
      </c>
      <c r="K56" s="10" t="inlineStr">
        <is>
          <t>U</t>
        </is>
      </c>
      <c r="L56" s="12" t="n">
        <v>1351</v>
      </c>
      <c r="M56" s="14" t="n">
        <v>3.5</v>
      </c>
      <c r="N56" s="12">
        <f>ROUND(L56/M56, 0)</f>
        <v/>
      </c>
      <c r="O56" s="12">
        <f>ROUND(N56*'Methodology &amp; Assumptions'!$B$5, 0)</f>
        <v/>
      </c>
      <c r="P56" s="10" t="inlineStr">
        <is>
          <t>Single Carrier (Band n50, 100MHz TDD)</t>
        </is>
      </c>
      <c r="Q56" s="13">
        <f>ROUNDUP(O56/'Methodology &amp; Assumptions'!$B$6, 0)</f>
        <v/>
      </c>
      <c r="R56" s="13" t="n">
        <v>1</v>
      </c>
      <c r="S56" s="14" t="n">
        <v>1.32</v>
      </c>
      <c r="T56" s="14" t="n">
        <v>0.63</v>
      </c>
      <c r="U56" s="26">
        <f>IF(X56&gt;='Methodology &amp; Assumptions'!$B$7, "Tier 1 Critical GIDA (Score ≥ 50.0)", IF(X56&gt;='Methodology &amp; Assumptions'!$B$8, "Tier 2 High GIDA (Score 40.0–49.9)", "Tier 3 Moderate GIDA (Score &lt; 40.0)"))</f>
        <v/>
      </c>
      <c r="V56" s="26">
        <f>IF(S56&lt;='Methodology &amp; Assumptions'!$B$10, "Direct Optical Drop (&lt;3km)", IF(S56&lt;='Methodology &amp; Assumptions'!$B$9, "Near Optical / Microwave (&lt;5km)", "Starlink Business LEO Satellite Backhaul (&gt;5km)"))</f>
        <v/>
      </c>
      <c r="W56" s="28" t="n">
        <v>0.109</v>
      </c>
      <c r="X56" s="14" t="n">
        <v>47.98</v>
      </c>
      <c r="Y56" s="14">
        <f>ROUND(MIN(100, (X56/69.91)*100), 2)</f>
        <v/>
      </c>
    </row>
    <row r="57">
      <c r="A57" s="10" t="n">
        <v>4</v>
      </c>
      <c r="B57" s="10" t="n">
        <v>53</v>
      </c>
      <c r="C57" s="10" t="n">
        <v>3053</v>
      </c>
      <c r="D57" s="10" t="inlineStr">
        <is>
          <t>PH0003053</t>
        </is>
      </c>
      <c r="E57" s="26" t="inlineStr">
        <is>
          <t>NCR</t>
        </is>
      </c>
      <c r="F57" s="26" t="inlineStr">
        <is>
          <t>Metro Manila</t>
        </is>
      </c>
      <c r="G57" s="26" t="inlineStr">
        <is>
          <t>Caloocan City</t>
        </is>
      </c>
      <c r="H57" s="26" t="inlineStr">
        <is>
          <t>Barangay 127</t>
        </is>
      </c>
      <c r="I57" s="27" t="n">
        <v>11.829274</v>
      </c>
      <c r="J57" s="27" t="n">
        <v>122.851537</v>
      </c>
      <c r="K57" s="10" t="inlineStr">
        <is>
          <t>R</t>
        </is>
      </c>
      <c r="L57" s="12" t="n">
        <v>2279</v>
      </c>
      <c r="M57" s="14" t="n">
        <v>3.8</v>
      </c>
      <c r="N57" s="12">
        <f>ROUND(L57/M57, 0)</f>
        <v/>
      </c>
      <c r="O57" s="12">
        <f>ROUND(N57*'Methodology &amp; Assumptions'!$B$5, 0)</f>
        <v/>
      </c>
      <c r="P57" s="10" t="inlineStr">
        <is>
          <t>Single Carrier (Band n50, 100MHz TDD)</t>
        </is>
      </c>
      <c r="Q57" s="13">
        <f>ROUNDUP(O57/'Methodology &amp; Assumptions'!$B$6, 0)</f>
        <v/>
      </c>
      <c r="R57" s="13" t="n">
        <v>1</v>
      </c>
      <c r="S57" s="14" t="n">
        <v>28.81</v>
      </c>
      <c r="T57" s="14" t="n">
        <v>7.06</v>
      </c>
      <c r="U57" s="26">
        <f>IF(X57&gt;='Methodology &amp; Assumptions'!$B$7, "Tier 1 Critical GIDA (Score ≥ 50.0)", IF(X57&gt;='Methodology &amp; Assumptions'!$B$8, "Tier 2 High GIDA (Score 40.0–49.9)", "Tier 3 Moderate GIDA (Score &lt; 40.0)"))</f>
        <v/>
      </c>
      <c r="V57" s="26">
        <f>IF(S57&lt;='Methodology &amp; Assumptions'!$B$10, "Direct Optical Drop (&lt;3km)", IF(S57&lt;='Methodology &amp; Assumptions'!$B$9, "Near Optical / Microwave (&lt;5km)", "Starlink Business LEO Satellite Backhaul (&gt;5km)"))</f>
        <v/>
      </c>
      <c r="W57" s="28" t="n">
        <v>0.011</v>
      </c>
      <c r="X57" s="14" t="n">
        <v>47.98</v>
      </c>
      <c r="Y57" s="14">
        <f>ROUND(MIN(100, (X57/69.91)*100), 2)</f>
        <v/>
      </c>
    </row>
    <row r="58">
      <c r="A58" s="10" t="n">
        <v>4</v>
      </c>
      <c r="B58" s="10" t="n">
        <v>54</v>
      </c>
      <c r="C58" s="10" t="n">
        <v>3054</v>
      </c>
      <c r="D58" s="10" t="inlineStr">
        <is>
          <t>PH0003054</t>
        </is>
      </c>
      <c r="E58" s="26" t="inlineStr">
        <is>
          <t>NCR</t>
        </is>
      </c>
      <c r="F58" s="26" t="inlineStr">
        <is>
          <t>Metro Manila</t>
        </is>
      </c>
      <c r="G58" s="26" t="inlineStr">
        <is>
          <t>Caloocan City</t>
        </is>
      </c>
      <c r="H58" s="26" t="inlineStr">
        <is>
          <t>Barangay 82</t>
        </is>
      </c>
      <c r="I58" s="27" t="n">
        <v>12.944557</v>
      </c>
      <c r="J58" s="27" t="n">
        <v>120.2502</v>
      </c>
      <c r="K58" s="10" t="inlineStr">
        <is>
          <t>R</t>
        </is>
      </c>
      <c r="L58" s="12" t="n">
        <v>2279</v>
      </c>
      <c r="M58" s="14" t="n">
        <v>3.8</v>
      </c>
      <c r="N58" s="12">
        <f>ROUND(L58/M58, 0)</f>
        <v/>
      </c>
      <c r="O58" s="12">
        <f>ROUND(N58*'Methodology &amp; Assumptions'!$B$5, 0)</f>
        <v/>
      </c>
      <c r="P58" s="10" t="inlineStr">
        <is>
          <t>Single Carrier (Band n50, 100MHz TDD)</t>
        </is>
      </c>
      <c r="Q58" s="13">
        <f>ROUNDUP(O58/'Methodology &amp; Assumptions'!$B$6, 0)</f>
        <v/>
      </c>
      <c r="R58" s="13" t="n">
        <v>1</v>
      </c>
      <c r="S58" s="14" t="n">
        <v>94.29000000000001</v>
      </c>
      <c r="T58" s="14" t="n">
        <v>92.81</v>
      </c>
      <c r="U58" s="26">
        <f>IF(X58&gt;='Methodology &amp; Assumptions'!$B$7, "Tier 1 Critical GIDA (Score ≥ 50.0)", IF(X58&gt;='Methodology &amp; Assumptions'!$B$8, "Tier 2 High GIDA (Score 40.0–49.9)", "Tier 3 Moderate GIDA (Score &lt; 40.0)"))</f>
        <v/>
      </c>
      <c r="V58" s="26">
        <f>IF(S58&lt;='Methodology &amp; Assumptions'!$B$10, "Direct Optical Drop (&lt;3km)", IF(S58&lt;='Methodology &amp; Assumptions'!$B$9, "Near Optical / Microwave (&lt;5km)", "Starlink Business LEO Satellite Backhaul (&gt;5km)"))</f>
        <v/>
      </c>
      <c r="W58" s="28" t="n">
        <v>0.011</v>
      </c>
      <c r="X58" s="14" t="n">
        <v>47.98</v>
      </c>
      <c r="Y58" s="14">
        <f>ROUND(MIN(100, (X58/69.91)*100), 2)</f>
        <v/>
      </c>
    </row>
    <row r="59">
      <c r="A59" s="10" t="n">
        <v>4</v>
      </c>
      <c r="B59" s="10" t="n">
        <v>55</v>
      </c>
      <c r="C59" s="10" t="n">
        <v>3055</v>
      </c>
      <c r="D59" s="10" t="inlineStr">
        <is>
          <t>1380614028</t>
        </is>
      </c>
      <c r="E59" s="26" t="inlineStr">
        <is>
          <t>National Capital Region (NCR)</t>
        </is>
      </c>
      <c r="F59" s="26" t="inlineStr">
        <is>
          <t>First District (Not a Province)</t>
        </is>
      </c>
      <c r="G59" s="26" t="inlineStr">
        <is>
          <t>City of Manila</t>
        </is>
      </c>
      <c r="H59" s="26" t="inlineStr">
        <is>
          <t>Barangay 772</t>
        </is>
      </c>
      <c r="I59" s="27" t="n">
        <v>13.792289</v>
      </c>
      <c r="J59" s="27" t="n">
        <v>122.559517</v>
      </c>
      <c r="K59" s="10" t="inlineStr">
        <is>
          <t>U</t>
        </is>
      </c>
      <c r="L59" s="12" t="n">
        <v>2500</v>
      </c>
      <c r="M59" s="14" t="n">
        <v>3.9</v>
      </c>
      <c r="N59" s="12">
        <f>ROUND(L59/M59, 0)</f>
        <v/>
      </c>
      <c r="O59" s="12">
        <f>ROUND(N59*'Methodology &amp; Assumptions'!$B$5, 0)</f>
        <v/>
      </c>
      <c r="P59" s="10" t="inlineStr">
        <is>
          <t>Single Carrier (Band n50, 100MHz TDD)</t>
        </is>
      </c>
      <c r="Q59" s="13">
        <f>ROUNDUP(O59/'Methodology &amp; Assumptions'!$B$6, 0)</f>
        <v/>
      </c>
      <c r="R59" s="13" t="n">
        <v>1</v>
      </c>
      <c r="S59" s="14" t="n">
        <v>8.59</v>
      </c>
      <c r="T59" s="14" t="n">
        <v>11.91</v>
      </c>
      <c r="U59" s="26">
        <f>IF(X59&gt;='Methodology &amp; Assumptions'!$B$7, "Tier 1 Critical GIDA (Score ≥ 50.0)", IF(X59&gt;='Methodology &amp; Assumptions'!$B$8, "Tier 2 High GIDA (Score 40.0–49.9)", "Tier 3 Moderate GIDA (Score &lt; 40.0)"))</f>
        <v/>
      </c>
      <c r="V59" s="26">
        <f>IF(S59&lt;='Methodology &amp; Assumptions'!$B$10, "Direct Optical Drop (&lt;3km)", IF(S59&lt;='Methodology &amp; Assumptions'!$B$9, "Near Optical / Microwave (&lt;5km)", "Starlink Business LEO Satellite Backhaul (&gt;5km)"))</f>
        <v/>
      </c>
      <c r="W59" s="28" t="n">
        <v>0.109</v>
      </c>
      <c r="X59" s="14" t="n">
        <v>47.98</v>
      </c>
      <c r="Y59" s="14">
        <f>ROUND(MIN(100, (X59/69.91)*100), 2)</f>
        <v/>
      </c>
    </row>
    <row r="60">
      <c r="A60" s="10" t="n">
        <v>4</v>
      </c>
      <c r="B60" s="10" t="n">
        <v>56</v>
      </c>
      <c r="C60" s="10" t="n">
        <v>3056</v>
      </c>
      <c r="D60" s="10" t="inlineStr">
        <is>
          <t>1380606124</t>
        </is>
      </c>
      <c r="E60" s="26" t="inlineStr">
        <is>
          <t>National Capital Region (NCR)</t>
        </is>
      </c>
      <c r="F60" s="26" t="inlineStr">
        <is>
          <t>First District (Not a Province)</t>
        </is>
      </c>
      <c r="G60" s="26" t="inlineStr">
        <is>
          <t>City of Manila</t>
        </is>
      </c>
      <c r="H60" s="26" t="inlineStr">
        <is>
          <t>Barangay 518</t>
        </is>
      </c>
      <c r="I60" s="27" t="n">
        <v>11.688184</v>
      </c>
      <c r="J60" s="27" t="n">
        <v>121.827365</v>
      </c>
      <c r="K60" s="10" t="inlineStr">
        <is>
          <t>U</t>
        </is>
      </c>
      <c r="L60" s="12" t="n">
        <v>1966</v>
      </c>
      <c r="M60" s="14" t="n">
        <v>3.9</v>
      </c>
      <c r="N60" s="12">
        <f>ROUND(L60/M60, 0)</f>
        <v/>
      </c>
      <c r="O60" s="12">
        <f>ROUND(N60*'Methodology &amp; Assumptions'!$B$5, 0)</f>
        <v/>
      </c>
      <c r="P60" s="10" t="inlineStr">
        <is>
          <t>Single Carrier (Band n50, 100MHz TDD)</t>
        </is>
      </c>
      <c r="Q60" s="13">
        <f>ROUNDUP(O60/'Methodology &amp; Assumptions'!$B$6, 0)</f>
        <v/>
      </c>
      <c r="R60" s="13" t="n">
        <v>1</v>
      </c>
      <c r="S60" s="14" t="n">
        <v>31.67</v>
      </c>
      <c r="T60" s="14" t="n">
        <v>29.26</v>
      </c>
      <c r="U60" s="26">
        <f>IF(X60&gt;='Methodology &amp; Assumptions'!$B$7, "Tier 1 Critical GIDA (Score ≥ 50.0)", IF(X60&gt;='Methodology &amp; Assumptions'!$B$8, "Tier 2 High GIDA (Score 40.0–49.9)", "Tier 3 Moderate GIDA (Score &lt; 40.0)"))</f>
        <v/>
      </c>
      <c r="V60" s="26">
        <f>IF(S60&lt;='Methodology &amp; Assumptions'!$B$10, "Direct Optical Drop (&lt;3km)", IF(S60&lt;='Methodology &amp; Assumptions'!$B$9, "Near Optical / Microwave (&lt;5km)", "Starlink Business LEO Satellite Backhaul (&gt;5km)"))</f>
        <v/>
      </c>
      <c r="W60" s="28" t="n">
        <v>0.109</v>
      </c>
      <c r="X60" s="14" t="n">
        <v>47.98</v>
      </c>
      <c r="Y60" s="14">
        <f>ROUND(MIN(100, (X60/69.91)*100), 2)</f>
        <v/>
      </c>
    </row>
    <row r="61">
      <c r="A61" s="10" t="n">
        <v>4</v>
      </c>
      <c r="B61" s="10" t="n">
        <v>57</v>
      </c>
      <c r="C61" s="10" t="n">
        <v>3057</v>
      </c>
      <c r="D61" s="10" t="inlineStr">
        <is>
          <t>1380606176</t>
        </is>
      </c>
      <c r="E61" s="26" t="inlineStr">
        <is>
          <t>National Capital Region (NCR)</t>
        </is>
      </c>
      <c r="F61" s="26" t="inlineStr">
        <is>
          <t>First District (Not a Province)</t>
        </is>
      </c>
      <c r="G61" s="26" t="inlineStr">
        <is>
          <t>City of Manila</t>
        </is>
      </c>
      <c r="H61" s="26" t="inlineStr">
        <is>
          <t>Barangay 570</t>
        </is>
      </c>
      <c r="I61" s="27" t="n">
        <v>13.723986</v>
      </c>
      <c r="J61" s="27" t="n">
        <v>120.907924</v>
      </c>
      <c r="K61" s="10" t="inlineStr">
        <is>
          <t>U</t>
        </is>
      </c>
      <c r="L61" s="12" t="n">
        <v>2063</v>
      </c>
      <c r="M61" s="14" t="n">
        <v>3.9</v>
      </c>
      <c r="N61" s="12">
        <f>ROUND(L61/M61, 0)</f>
        <v/>
      </c>
      <c r="O61" s="12">
        <f>ROUND(N61*'Methodology &amp; Assumptions'!$B$5, 0)</f>
        <v/>
      </c>
      <c r="P61" s="10" t="inlineStr">
        <is>
          <t>Single Carrier (Band n50, 100MHz TDD)</t>
        </is>
      </c>
      <c r="Q61" s="13">
        <f>ROUNDUP(O61/'Methodology &amp; Assumptions'!$B$6, 0)</f>
        <v/>
      </c>
      <c r="R61" s="13" t="n">
        <v>1</v>
      </c>
      <c r="S61" s="14" t="n">
        <v>4.14</v>
      </c>
      <c r="T61" s="14" t="n">
        <v>12.75</v>
      </c>
      <c r="U61" s="26">
        <f>IF(X61&gt;='Methodology &amp; Assumptions'!$B$7, "Tier 1 Critical GIDA (Score ≥ 50.0)", IF(X61&gt;='Methodology &amp; Assumptions'!$B$8, "Tier 2 High GIDA (Score 40.0–49.9)", "Tier 3 Moderate GIDA (Score &lt; 40.0)"))</f>
        <v/>
      </c>
      <c r="V61" s="26">
        <f>IF(S61&lt;='Methodology &amp; Assumptions'!$B$10, "Direct Optical Drop (&lt;3km)", IF(S61&lt;='Methodology &amp; Assumptions'!$B$9, "Near Optical / Microwave (&lt;5km)", "Starlink Business LEO Satellite Backhaul (&gt;5km)"))</f>
        <v/>
      </c>
      <c r="W61" s="28" t="n">
        <v>0.109</v>
      </c>
      <c r="X61" s="14" t="n">
        <v>47.98</v>
      </c>
      <c r="Y61" s="14">
        <f>ROUND(MIN(100, (X61/69.91)*100), 2)</f>
        <v/>
      </c>
    </row>
    <row r="62">
      <c r="A62" s="10" t="n">
        <v>4</v>
      </c>
      <c r="B62" s="10" t="n">
        <v>58</v>
      </c>
      <c r="C62" s="10" t="n">
        <v>3058</v>
      </c>
      <c r="D62" s="10" t="inlineStr">
        <is>
          <t>PH0003058</t>
        </is>
      </c>
      <c r="E62" s="26" t="inlineStr">
        <is>
          <t>IV-A</t>
        </is>
      </c>
      <c r="F62" s="26" t="inlineStr">
        <is>
          <t>Laguna</t>
        </is>
      </c>
      <c r="G62" s="26" t="inlineStr">
        <is>
          <t>San Pablo City</t>
        </is>
      </c>
      <c r="H62" s="26" t="inlineStr">
        <is>
          <t>Barangay I-A (Pob.)</t>
        </is>
      </c>
      <c r="I62" s="27" t="n">
        <v>14.041246</v>
      </c>
      <c r="J62" s="27" t="n">
        <v>121.311664</v>
      </c>
      <c r="K62" s="10" t="inlineStr">
        <is>
          <t>R</t>
        </is>
      </c>
      <c r="L62" s="12" t="n">
        <v>2412</v>
      </c>
      <c r="M62" s="14" t="n">
        <v>3.3</v>
      </c>
      <c r="N62" s="12">
        <f>ROUND(L62/M62, 0)</f>
        <v/>
      </c>
      <c r="O62" s="12">
        <f>ROUND(N62*'Methodology &amp; Assumptions'!$B$5, 0)</f>
        <v/>
      </c>
      <c r="P62" s="10" t="inlineStr">
        <is>
          <t>Single Carrier (Band n50, 100MHz TDD)</t>
        </is>
      </c>
      <c r="Q62" s="13">
        <f>ROUNDUP(O62/'Methodology &amp; Assumptions'!$B$6, 0)</f>
        <v/>
      </c>
      <c r="R62" s="13" t="n">
        <v>1</v>
      </c>
      <c r="S62" s="14" t="n">
        <v>2.78</v>
      </c>
      <c r="T62" s="14" t="n">
        <v>2.77</v>
      </c>
      <c r="U62" s="26">
        <f>IF(X62&gt;='Methodology &amp; Assumptions'!$B$7, "Tier 1 Critical GIDA (Score ≥ 50.0)", IF(X62&gt;='Methodology &amp; Assumptions'!$B$8, "Tier 2 High GIDA (Score 40.0–49.9)", "Tier 3 Moderate GIDA (Score &lt; 40.0)"))</f>
        <v/>
      </c>
      <c r="V62" s="26">
        <f>IF(S62&lt;='Methodology &amp; Assumptions'!$B$10, "Direct Optical Drop (&lt;3km)", IF(S62&lt;='Methodology &amp; Assumptions'!$B$9, "Near Optical / Microwave (&lt;5km)", "Starlink Business LEO Satellite Backhaul (&gt;5km)"))</f>
        <v/>
      </c>
      <c r="W62" s="28" t="n">
        <v>0.07200000000000001</v>
      </c>
      <c r="X62" s="14" t="n">
        <v>47.97</v>
      </c>
      <c r="Y62" s="14">
        <f>ROUND(MIN(100, (X62/69.91)*100), 2)</f>
        <v/>
      </c>
    </row>
    <row r="63">
      <c r="A63" s="10" t="n">
        <v>4</v>
      </c>
      <c r="B63" s="10" t="n">
        <v>59</v>
      </c>
      <c r="C63" s="10" t="n">
        <v>3059</v>
      </c>
      <c r="D63" s="10" t="inlineStr">
        <is>
          <t>1381200003</t>
        </is>
      </c>
      <c r="E63" s="26" t="inlineStr">
        <is>
          <t>National Capital Region (NCR)</t>
        </is>
      </c>
      <c r="F63" s="26" t="inlineStr">
        <is>
          <t>Second District (Not a Province)</t>
        </is>
      </c>
      <c r="G63" s="26" t="inlineStr">
        <is>
          <t>City of Pasig</t>
        </is>
      </c>
      <c r="H63" s="26" t="inlineStr">
        <is>
          <t>Bambang</t>
        </is>
      </c>
      <c r="I63" s="27" t="n">
        <v>14.554748</v>
      </c>
      <c r="J63" s="27" t="n">
        <v>121.07808</v>
      </c>
      <c r="K63" s="10" t="inlineStr">
        <is>
          <t>U</t>
        </is>
      </c>
      <c r="L63" s="12" t="n">
        <v>22093</v>
      </c>
      <c r="M63" s="14" t="n">
        <v>3.4</v>
      </c>
      <c r="N63" s="12">
        <f>ROUND(L63/M63, 0)</f>
        <v/>
      </c>
      <c r="O63" s="12">
        <f>ROUND(N63*'Methodology &amp; Assumptions'!$B$5, 0)</f>
        <v/>
      </c>
      <c r="P63" s="10" t="inlineStr">
        <is>
          <t>Single Carrier (Band n50, 100MHz TDD)</t>
        </is>
      </c>
      <c r="Q63" s="13">
        <f>ROUNDUP(O63/'Methodology &amp; Assumptions'!$B$6, 0)</f>
        <v/>
      </c>
      <c r="R63" s="13" t="n">
        <v>1</v>
      </c>
      <c r="S63" s="14" t="n">
        <v>0.74</v>
      </c>
      <c r="T63" s="14" t="n">
        <v>0.27</v>
      </c>
      <c r="U63" s="26">
        <f>IF(X63&gt;='Methodology &amp; Assumptions'!$B$7, "Tier 1 Critical GIDA (Score ≥ 50.0)", IF(X63&gt;='Methodology &amp; Assumptions'!$B$8, "Tier 2 High GIDA (Score 40.0–49.9)", "Tier 3 Moderate GIDA (Score &lt; 40.0)"))</f>
        <v/>
      </c>
      <c r="V63" s="26">
        <f>IF(S63&lt;='Methodology &amp; Assumptions'!$B$10, "Direct Optical Drop (&lt;3km)", IF(S63&lt;='Methodology &amp; Assumptions'!$B$9, "Near Optical / Microwave (&lt;5km)", "Starlink Business LEO Satellite Backhaul (&gt;5km)"))</f>
        <v/>
      </c>
      <c r="W63" s="28" t="n">
        <v>0.109</v>
      </c>
      <c r="X63" s="14" t="n">
        <v>47.97</v>
      </c>
      <c r="Y63" s="14">
        <f>ROUND(MIN(100, (X63/69.91)*100), 2)</f>
        <v/>
      </c>
    </row>
    <row r="64">
      <c r="A64" s="10" t="n">
        <v>4</v>
      </c>
      <c r="B64" s="10" t="n">
        <v>60</v>
      </c>
      <c r="C64" s="10" t="n">
        <v>3060</v>
      </c>
      <c r="D64" s="10" t="inlineStr">
        <is>
          <t>1380602010</t>
        </is>
      </c>
      <c r="E64" s="26" t="inlineStr">
        <is>
          <t>National Capital Region (NCR)</t>
        </is>
      </c>
      <c r="F64" s="26" t="inlineStr">
        <is>
          <t>First District (Not a Province)</t>
        </is>
      </c>
      <c r="G64" s="26" t="inlineStr">
        <is>
          <t>City of Manila</t>
        </is>
      </c>
      <c r="H64" s="26" t="inlineStr">
        <is>
          <t>Barangay 296</t>
        </is>
      </c>
      <c r="I64" s="27" t="n">
        <v>12.82756</v>
      </c>
      <c r="J64" s="27" t="n">
        <v>122.999034</v>
      </c>
      <c r="K64" s="10" t="inlineStr">
        <is>
          <t>U</t>
        </is>
      </c>
      <c r="L64" s="12" t="n">
        <v>1231</v>
      </c>
      <c r="M64" s="14" t="n">
        <v>3.9</v>
      </c>
      <c r="N64" s="12">
        <f>ROUND(L64/M64, 0)</f>
        <v/>
      </c>
      <c r="O64" s="12">
        <f>ROUND(N64*'Methodology &amp; Assumptions'!$B$5, 0)</f>
        <v/>
      </c>
      <c r="P64" s="10" t="inlineStr">
        <is>
          <t>Single Carrier (Band n50, 100MHz TDD)</t>
        </is>
      </c>
      <c r="Q64" s="13">
        <f>ROUNDUP(O64/'Methodology &amp; Assumptions'!$B$6, 0)</f>
        <v/>
      </c>
      <c r="R64" s="13" t="n">
        <v>1</v>
      </c>
      <c r="S64" s="14" t="n">
        <v>43.46</v>
      </c>
      <c r="T64" s="14" t="n">
        <v>58.61</v>
      </c>
      <c r="U64" s="26">
        <f>IF(X64&gt;='Methodology &amp; Assumptions'!$B$7, "Tier 1 Critical GIDA (Score ≥ 50.0)", IF(X64&gt;='Methodology &amp; Assumptions'!$B$8, "Tier 2 High GIDA (Score 40.0–49.9)", "Tier 3 Moderate GIDA (Score &lt; 40.0)"))</f>
        <v/>
      </c>
      <c r="V64" s="26">
        <f>IF(S64&lt;='Methodology &amp; Assumptions'!$B$10, "Direct Optical Drop (&lt;3km)", IF(S64&lt;='Methodology &amp; Assumptions'!$B$9, "Near Optical / Microwave (&lt;5km)", "Starlink Business LEO Satellite Backhaul (&gt;5km)"))</f>
        <v/>
      </c>
      <c r="W64" s="28" t="n">
        <v>0.109</v>
      </c>
      <c r="X64" s="14" t="n">
        <v>47.97</v>
      </c>
      <c r="Y64" s="14">
        <f>ROUND(MIN(100, (X64/69.91)*100), 2)</f>
        <v/>
      </c>
    </row>
    <row r="65">
      <c r="A65" s="10" t="n">
        <v>4</v>
      </c>
      <c r="B65" s="10" t="n">
        <v>61</v>
      </c>
      <c r="C65" s="10" t="n">
        <v>3061</v>
      </c>
      <c r="D65" s="10" t="inlineStr">
        <is>
          <t>1380601202</t>
        </is>
      </c>
      <c r="E65" s="26" t="inlineStr">
        <is>
          <t>National Capital Region (NCR)</t>
        </is>
      </c>
      <c r="F65" s="26" t="inlineStr">
        <is>
          <t>First District (Not a Province)</t>
        </is>
      </c>
      <c r="G65" s="26" t="inlineStr">
        <is>
          <t>City of Manila</t>
        </is>
      </c>
      <c r="H65" s="26" t="inlineStr">
        <is>
          <t>Barangay 202</t>
        </is>
      </c>
      <c r="I65" s="27" t="n">
        <v>12.110476</v>
      </c>
      <c r="J65" s="27" t="n">
        <v>120.833615</v>
      </c>
      <c r="K65" s="10" t="inlineStr">
        <is>
          <t>U</t>
        </is>
      </c>
      <c r="L65" s="12" t="n">
        <v>1463</v>
      </c>
      <c r="M65" s="14" t="n">
        <v>3.9</v>
      </c>
      <c r="N65" s="12">
        <f>ROUND(L65/M65, 0)</f>
        <v/>
      </c>
      <c r="O65" s="12">
        <f>ROUND(N65*'Methodology &amp; Assumptions'!$B$5, 0)</f>
        <v/>
      </c>
      <c r="P65" s="10" t="inlineStr">
        <is>
          <t>Single Carrier (Band n50, 100MHz TDD)</t>
        </is>
      </c>
      <c r="Q65" s="13">
        <f>ROUNDUP(O65/'Methodology &amp; Assumptions'!$B$6, 0)</f>
        <v/>
      </c>
      <c r="R65" s="13" t="n">
        <v>1</v>
      </c>
      <c r="S65" s="14" t="n">
        <v>36.66</v>
      </c>
      <c r="T65" s="14" t="n">
        <v>36.67</v>
      </c>
      <c r="U65" s="26">
        <f>IF(X65&gt;='Methodology &amp; Assumptions'!$B$7, "Tier 1 Critical GIDA (Score ≥ 50.0)", IF(X65&gt;='Methodology &amp; Assumptions'!$B$8, "Tier 2 High GIDA (Score 40.0–49.9)", "Tier 3 Moderate GIDA (Score &lt; 40.0)"))</f>
        <v/>
      </c>
      <c r="V65" s="26">
        <f>IF(S65&lt;='Methodology &amp; Assumptions'!$B$10, "Direct Optical Drop (&lt;3km)", IF(S65&lt;='Methodology &amp; Assumptions'!$B$9, "Near Optical / Microwave (&lt;5km)", "Starlink Business LEO Satellite Backhaul (&gt;5km)"))</f>
        <v/>
      </c>
      <c r="W65" s="28" t="n">
        <v>0.109</v>
      </c>
      <c r="X65" s="14" t="n">
        <v>47.97</v>
      </c>
      <c r="Y65" s="14">
        <f>ROUND(MIN(100, (X65/69.91)*100), 2)</f>
        <v/>
      </c>
    </row>
    <row r="66">
      <c r="A66" s="10" t="n">
        <v>4</v>
      </c>
      <c r="B66" s="10" t="n">
        <v>62</v>
      </c>
      <c r="C66" s="10" t="n">
        <v>3062</v>
      </c>
      <c r="D66" s="10" t="inlineStr">
        <is>
          <t>1380200019</t>
        </is>
      </c>
      <c r="E66" s="26" t="inlineStr">
        <is>
          <t>National Capital Region (NCR)</t>
        </is>
      </c>
      <c r="F66" s="26" t="inlineStr">
        <is>
          <t>Fourth District (Not a Province)</t>
        </is>
      </c>
      <c r="G66" s="26" t="inlineStr">
        <is>
          <t>City of Las Piñas</t>
        </is>
      </c>
      <c r="H66" s="26" t="inlineStr">
        <is>
          <t>Talon Kuatro</t>
        </is>
      </c>
      <c r="I66" s="27" t="n">
        <v>14.435</v>
      </c>
      <c r="J66" s="27" t="n">
        <v>121.003611</v>
      </c>
      <c r="K66" s="10" t="inlineStr">
        <is>
          <t>U</t>
        </is>
      </c>
      <c r="L66" s="12" t="n">
        <v>21080</v>
      </c>
      <c r="M66" s="14" t="n">
        <v>3.8</v>
      </c>
      <c r="N66" s="12">
        <f>ROUND(L66/M66, 0)</f>
        <v/>
      </c>
      <c r="O66" s="12">
        <f>ROUND(N66*'Methodology &amp; Assumptions'!$B$5, 0)</f>
        <v/>
      </c>
      <c r="P66" s="10" t="inlineStr">
        <is>
          <t>Single Carrier (Band n50, 100MHz TDD)</t>
        </is>
      </c>
      <c r="Q66" s="13">
        <f>ROUNDUP(O66/'Methodology &amp; Assumptions'!$B$6, 0)</f>
        <v/>
      </c>
      <c r="R66" s="13" t="n">
        <v>1</v>
      </c>
      <c r="S66" s="14" t="n">
        <v>0.37</v>
      </c>
      <c r="T66" s="14" t="n">
        <v>0.35</v>
      </c>
      <c r="U66" s="26">
        <f>IF(X66&gt;='Methodology &amp; Assumptions'!$B$7, "Tier 1 Critical GIDA (Score ≥ 50.0)", IF(X66&gt;='Methodology &amp; Assumptions'!$B$8, "Tier 2 High GIDA (Score 40.0–49.9)", "Tier 3 Moderate GIDA (Score &lt; 40.0)"))</f>
        <v/>
      </c>
      <c r="V66" s="26">
        <f>IF(S66&lt;='Methodology &amp; Assumptions'!$B$10, "Direct Optical Drop (&lt;3km)", IF(S66&lt;='Methodology &amp; Assumptions'!$B$9, "Near Optical / Microwave (&lt;5km)", "Starlink Business LEO Satellite Backhaul (&gt;5km)"))</f>
        <v/>
      </c>
      <c r="W66" s="28" t="n">
        <v>0.109</v>
      </c>
      <c r="X66" s="14" t="n">
        <v>47.97</v>
      </c>
      <c r="Y66" s="14">
        <f>ROUND(MIN(100, (X66/69.91)*100), 2)</f>
        <v/>
      </c>
    </row>
    <row r="67">
      <c r="A67" s="10" t="n">
        <v>4</v>
      </c>
      <c r="B67" s="10" t="n">
        <v>63</v>
      </c>
      <c r="C67" s="10" t="n">
        <v>3063</v>
      </c>
      <c r="D67" s="10" t="inlineStr">
        <is>
          <t>1380610010</t>
        </is>
      </c>
      <c r="E67" s="26" t="inlineStr">
        <is>
          <t>National Capital Region (NCR)</t>
        </is>
      </c>
      <c r="F67" s="26" t="inlineStr">
        <is>
          <t>First District (Not a Province)</t>
        </is>
      </c>
      <c r="G67" s="26" t="inlineStr">
        <is>
          <t>City of Manila</t>
        </is>
      </c>
      <c r="H67" s="26" t="inlineStr">
        <is>
          <t>Barangay 695</t>
        </is>
      </c>
      <c r="I67" s="27" t="n">
        <v>14.0675</v>
      </c>
      <c r="J67" s="27" t="n">
        <v>121.934413</v>
      </c>
      <c r="K67" s="10" t="inlineStr">
        <is>
          <t>U</t>
        </is>
      </c>
      <c r="L67" s="12" t="n">
        <v>674</v>
      </c>
      <c r="M67" s="14" t="n">
        <v>3.9</v>
      </c>
      <c r="N67" s="12">
        <f>ROUND(L67/M67, 0)</f>
        <v/>
      </c>
      <c r="O67" s="12">
        <f>ROUND(N67*'Methodology &amp; Assumptions'!$B$5, 0)</f>
        <v/>
      </c>
      <c r="P67" s="10" t="inlineStr">
        <is>
          <t>Single Carrier (Band n50, 100MHz TDD)</t>
        </is>
      </c>
      <c r="Q67" s="13">
        <f>ROUNDUP(O67/'Methodology &amp; Assumptions'!$B$6, 0)</f>
        <v/>
      </c>
      <c r="R67" s="13" t="n">
        <v>1</v>
      </c>
      <c r="S67" s="14" t="n">
        <v>7.48</v>
      </c>
      <c r="T67" s="14" t="n">
        <v>7.49</v>
      </c>
      <c r="U67" s="26">
        <f>IF(X67&gt;='Methodology &amp; Assumptions'!$B$7, "Tier 1 Critical GIDA (Score ≥ 50.0)", IF(X67&gt;='Methodology &amp; Assumptions'!$B$8, "Tier 2 High GIDA (Score 40.0–49.9)", "Tier 3 Moderate GIDA (Score &lt; 40.0)"))</f>
        <v/>
      </c>
      <c r="V67" s="26">
        <f>IF(S67&lt;='Methodology &amp; Assumptions'!$B$10, "Direct Optical Drop (&lt;3km)", IF(S67&lt;='Methodology &amp; Assumptions'!$B$9, "Near Optical / Microwave (&lt;5km)", "Starlink Business LEO Satellite Backhaul (&gt;5km)"))</f>
        <v/>
      </c>
      <c r="W67" s="28" t="n">
        <v>0.109</v>
      </c>
      <c r="X67" s="14" t="n">
        <v>47.97</v>
      </c>
      <c r="Y67" s="14">
        <f>ROUND(MIN(100, (X67/69.91)*100), 2)</f>
        <v/>
      </c>
    </row>
    <row r="68">
      <c r="A68" s="10" t="n">
        <v>4</v>
      </c>
      <c r="B68" s="10" t="n">
        <v>64</v>
      </c>
      <c r="C68" s="10" t="n">
        <v>3064</v>
      </c>
      <c r="D68" s="10" t="inlineStr">
        <is>
          <t>1380601259</t>
        </is>
      </c>
      <c r="E68" s="26" t="inlineStr">
        <is>
          <t>National Capital Region (NCR)</t>
        </is>
      </c>
      <c r="F68" s="26" t="inlineStr">
        <is>
          <t>First District (Not a Province)</t>
        </is>
      </c>
      <c r="G68" s="26" t="inlineStr">
        <is>
          <t>City of Manila</t>
        </is>
      </c>
      <c r="H68" s="26" t="inlineStr">
        <is>
          <t>Barangay 258</t>
        </is>
      </c>
      <c r="I68" s="27" t="n">
        <v>11.89721</v>
      </c>
      <c r="J68" s="27" t="n">
        <v>122.479702</v>
      </c>
      <c r="K68" s="10" t="inlineStr">
        <is>
          <t>U</t>
        </is>
      </c>
      <c r="L68" s="12" t="n">
        <v>1217</v>
      </c>
      <c r="M68" s="14" t="n">
        <v>3.9</v>
      </c>
      <c r="N68" s="12">
        <f>ROUND(L68/M68, 0)</f>
        <v/>
      </c>
      <c r="O68" s="12">
        <f>ROUND(N68*'Methodology &amp; Assumptions'!$B$5, 0)</f>
        <v/>
      </c>
      <c r="P68" s="10" t="inlineStr">
        <is>
          <t>Single Carrier (Band n50, 100MHz TDD)</t>
        </is>
      </c>
      <c r="Q68" s="13">
        <f>ROUNDUP(O68/'Methodology &amp; Assumptions'!$B$6, 0)</f>
        <v/>
      </c>
      <c r="R68" s="13" t="n">
        <v>1</v>
      </c>
      <c r="S68" s="14" t="n">
        <v>25.37</v>
      </c>
      <c r="T68" s="14" t="n">
        <v>0.65</v>
      </c>
      <c r="U68" s="26">
        <f>IF(X68&gt;='Methodology &amp; Assumptions'!$B$7, "Tier 1 Critical GIDA (Score ≥ 50.0)", IF(X68&gt;='Methodology &amp; Assumptions'!$B$8, "Tier 2 High GIDA (Score 40.0–49.9)", "Tier 3 Moderate GIDA (Score &lt; 40.0)"))</f>
        <v/>
      </c>
      <c r="V68" s="26">
        <f>IF(S68&lt;='Methodology &amp; Assumptions'!$B$10, "Direct Optical Drop (&lt;3km)", IF(S68&lt;='Methodology &amp; Assumptions'!$B$9, "Near Optical / Microwave (&lt;5km)", "Starlink Business LEO Satellite Backhaul (&gt;5km)"))</f>
        <v/>
      </c>
      <c r="W68" s="28" t="n">
        <v>0.109</v>
      </c>
      <c r="X68" s="14" t="n">
        <v>47.96</v>
      </c>
      <c r="Y68" s="14">
        <f>ROUND(MIN(100, (X68/69.91)*100), 2)</f>
        <v/>
      </c>
    </row>
    <row r="69">
      <c r="A69" s="10" t="n">
        <v>4</v>
      </c>
      <c r="B69" s="10" t="n">
        <v>65</v>
      </c>
      <c r="C69" s="10" t="n">
        <v>3065</v>
      </c>
      <c r="D69" s="10" t="inlineStr">
        <is>
          <t>1380606160</t>
        </is>
      </c>
      <c r="E69" s="26" t="inlineStr">
        <is>
          <t>National Capital Region (NCR)</t>
        </is>
      </c>
      <c r="F69" s="26" t="inlineStr">
        <is>
          <t>First District (Not a Province)</t>
        </is>
      </c>
      <c r="G69" s="26" t="inlineStr">
        <is>
          <t>City of Manila</t>
        </is>
      </c>
      <c r="H69" s="26" t="inlineStr">
        <is>
          <t>Barangay 554</t>
        </is>
      </c>
      <c r="I69" s="27" t="n">
        <v>13.13959</v>
      </c>
      <c r="J69" s="27" t="n">
        <v>120.571458</v>
      </c>
      <c r="K69" s="10" t="inlineStr">
        <is>
          <t>U</t>
        </is>
      </c>
      <c r="L69" s="12" t="n">
        <v>1598</v>
      </c>
      <c r="M69" s="14" t="n">
        <v>3.9</v>
      </c>
      <c r="N69" s="12">
        <f>ROUND(L69/M69, 0)</f>
        <v/>
      </c>
      <c r="O69" s="12">
        <f>ROUND(N69*'Methodology &amp; Assumptions'!$B$5, 0)</f>
        <v/>
      </c>
      <c r="P69" s="10" t="inlineStr">
        <is>
          <t>Single Carrier (Band n50, 100MHz TDD)</t>
        </is>
      </c>
      <c r="Q69" s="13">
        <f>ROUNDUP(O69/'Methodology &amp; Assumptions'!$B$6, 0)</f>
        <v/>
      </c>
      <c r="R69" s="13" t="n">
        <v>1</v>
      </c>
      <c r="S69" s="14" t="n">
        <v>54.23</v>
      </c>
      <c r="T69" s="14" t="n">
        <v>52.83</v>
      </c>
      <c r="U69" s="26">
        <f>IF(X69&gt;='Methodology &amp; Assumptions'!$B$7, "Tier 1 Critical GIDA (Score ≥ 50.0)", IF(X69&gt;='Methodology &amp; Assumptions'!$B$8, "Tier 2 High GIDA (Score 40.0–49.9)", "Tier 3 Moderate GIDA (Score &lt; 40.0)"))</f>
        <v/>
      </c>
      <c r="V69" s="26">
        <f>IF(S69&lt;='Methodology &amp; Assumptions'!$B$10, "Direct Optical Drop (&lt;3km)", IF(S69&lt;='Methodology &amp; Assumptions'!$B$9, "Near Optical / Microwave (&lt;5km)", "Starlink Business LEO Satellite Backhaul (&gt;5km)"))</f>
        <v/>
      </c>
      <c r="W69" s="28" t="n">
        <v>0.109</v>
      </c>
      <c r="X69" s="14" t="n">
        <v>47.96</v>
      </c>
      <c r="Y69" s="14">
        <f>ROUND(MIN(100, (X69/69.91)*100), 2)</f>
        <v/>
      </c>
    </row>
    <row r="70">
      <c r="A70" s="10" t="n">
        <v>4</v>
      </c>
      <c r="B70" s="10" t="n">
        <v>66</v>
      </c>
      <c r="C70" s="10" t="n">
        <v>3066</v>
      </c>
      <c r="D70" s="10" t="inlineStr">
        <is>
          <t>1381300034</t>
        </is>
      </c>
      <c r="E70" s="26" t="inlineStr">
        <is>
          <t>National Capital Region (NCR)</t>
        </is>
      </c>
      <c r="F70" s="26" t="inlineStr">
        <is>
          <t>Second District (Not a Province)</t>
        </is>
      </c>
      <c r="G70" s="26" t="inlineStr">
        <is>
          <t>Quezon City</t>
        </is>
      </c>
      <c r="H70" s="26" t="inlineStr">
        <is>
          <t>Duyan-duyan</t>
        </is>
      </c>
      <c r="I70" s="27" t="n">
        <v>14.630956</v>
      </c>
      <c r="J70" s="27" t="n">
        <v>121.066833</v>
      </c>
      <c r="K70" s="10" t="inlineStr">
        <is>
          <t>U</t>
        </is>
      </c>
      <c r="L70" s="12" t="n">
        <v>3498</v>
      </c>
      <c r="M70" s="14" t="n">
        <v>3.8</v>
      </c>
      <c r="N70" s="12">
        <f>ROUND(L70/M70, 0)</f>
        <v/>
      </c>
      <c r="O70" s="12">
        <f>ROUND(N70*'Methodology &amp; Assumptions'!$B$5, 0)</f>
        <v/>
      </c>
      <c r="P70" s="10" t="inlineStr">
        <is>
          <t>Single Carrier (Band n50, 100MHz TDD)</t>
        </is>
      </c>
      <c r="Q70" s="13">
        <f>ROUNDUP(O70/'Methodology &amp; Assumptions'!$B$6, 0)</f>
        <v/>
      </c>
      <c r="R70" s="13" t="n">
        <v>1</v>
      </c>
      <c r="S70" s="14" t="n">
        <v>0.55</v>
      </c>
      <c r="T70" s="14" t="n">
        <v>0.28</v>
      </c>
      <c r="U70" s="26">
        <f>IF(X70&gt;='Methodology &amp; Assumptions'!$B$7, "Tier 1 Critical GIDA (Score ≥ 50.0)", IF(X70&gt;='Methodology &amp; Assumptions'!$B$8, "Tier 2 High GIDA (Score 40.0–49.9)", "Tier 3 Moderate GIDA (Score &lt; 40.0)"))</f>
        <v/>
      </c>
      <c r="V70" s="26">
        <f>IF(S70&lt;='Methodology &amp; Assumptions'!$B$10, "Direct Optical Drop (&lt;3km)", IF(S70&lt;='Methodology &amp; Assumptions'!$B$9, "Near Optical / Microwave (&lt;5km)", "Starlink Business LEO Satellite Backhaul (&gt;5km)"))</f>
        <v/>
      </c>
      <c r="W70" s="28" t="n">
        <v>0.109</v>
      </c>
      <c r="X70" s="14" t="n">
        <v>47.96</v>
      </c>
      <c r="Y70" s="14">
        <f>ROUND(MIN(100, (X70/69.91)*100), 2)</f>
        <v/>
      </c>
    </row>
    <row r="71">
      <c r="A71" s="10" t="n">
        <v>4</v>
      </c>
      <c r="B71" s="10" t="n">
        <v>67</v>
      </c>
      <c r="C71" s="10" t="n">
        <v>3067</v>
      </c>
      <c r="D71" s="10" t="inlineStr">
        <is>
          <t>0500501010</t>
        </is>
      </c>
      <c r="E71" s="26" t="inlineStr">
        <is>
          <t>Region V (Bicol Region)</t>
        </is>
      </c>
      <c r="F71" s="26" t="inlineStr">
        <is>
          <t>Albay</t>
        </is>
      </c>
      <c r="G71" s="26" t="inlineStr">
        <is>
          <t>Bacacay</t>
        </is>
      </c>
      <c r="H71" s="26" t="inlineStr">
        <is>
          <t>Cagbulacao</t>
        </is>
      </c>
      <c r="I71" s="27" t="n">
        <v>13.28524</v>
      </c>
      <c r="J71" s="27" t="n">
        <v>123.88798</v>
      </c>
      <c r="K71" s="10" t="inlineStr">
        <is>
          <t>R</t>
        </is>
      </c>
      <c r="L71" s="12" t="n">
        <v>896</v>
      </c>
      <c r="M71" s="14" t="n">
        <v>4.1</v>
      </c>
      <c r="N71" s="12">
        <f>ROUND(L71/M71, 0)</f>
        <v/>
      </c>
      <c r="O71" s="12">
        <f>ROUND(N71*'Methodology &amp; Assumptions'!$B$5, 0)</f>
        <v/>
      </c>
      <c r="P71" s="10" t="inlineStr">
        <is>
          <t>Single Carrier (Band n50, 100MHz TDD)</t>
        </is>
      </c>
      <c r="Q71" s="13">
        <f>ROUNDUP(O71/'Methodology &amp; Assumptions'!$B$6, 0)</f>
        <v/>
      </c>
      <c r="R71" s="13" t="n">
        <v>1</v>
      </c>
      <c r="S71" s="14" t="n">
        <v>11.72</v>
      </c>
      <c r="T71" s="14" t="n">
        <v>13.14</v>
      </c>
      <c r="U71" s="26">
        <f>IF(X71&gt;='Methodology &amp; Assumptions'!$B$7, "Tier 1 Critical GIDA (Score ≥ 50.0)", IF(X71&gt;='Methodology &amp; Assumptions'!$B$8, "Tier 2 High GIDA (Score 40.0–49.9)", "Tier 3 Moderate GIDA (Score &lt; 40.0)"))</f>
        <v/>
      </c>
      <c r="V71" s="26">
        <f>IF(S71&lt;='Methodology &amp; Assumptions'!$B$10, "Direct Optical Drop (&lt;3km)", IF(S71&lt;='Methodology &amp; Assumptions'!$B$9, "Near Optical / Microwave (&lt;5km)", "Starlink Business LEO Satellite Backhaul (&gt;5km)"))</f>
        <v/>
      </c>
      <c r="W71" s="28" t="n">
        <v>0.237</v>
      </c>
      <c r="X71" s="14" t="n">
        <v>47.96</v>
      </c>
      <c r="Y71" s="14">
        <f>ROUND(MIN(100, (X71/69.91)*100), 2)</f>
        <v/>
      </c>
    </row>
    <row r="72">
      <c r="A72" s="10" t="n">
        <v>4</v>
      </c>
      <c r="B72" s="10" t="n">
        <v>68</v>
      </c>
      <c r="C72" s="10" t="n">
        <v>3068</v>
      </c>
      <c r="D72" s="10" t="inlineStr">
        <is>
          <t>1380606162</t>
        </is>
      </c>
      <c r="E72" s="26" t="inlineStr">
        <is>
          <t>National Capital Region (NCR)</t>
        </is>
      </c>
      <c r="F72" s="26" t="inlineStr">
        <is>
          <t>First District (Not a Province)</t>
        </is>
      </c>
      <c r="G72" s="26" t="inlineStr">
        <is>
          <t>City of Manila</t>
        </is>
      </c>
      <c r="H72" s="26" t="inlineStr">
        <is>
          <t>Barangay 556</t>
        </is>
      </c>
      <c r="I72" s="27" t="n">
        <v>13.480749</v>
      </c>
      <c r="J72" s="27" t="n">
        <v>122.841916</v>
      </c>
      <c r="K72" s="10" t="inlineStr">
        <is>
          <t>U</t>
        </is>
      </c>
      <c r="L72" s="12" t="n">
        <v>847</v>
      </c>
      <c r="M72" s="14" t="n">
        <v>3.9</v>
      </c>
      <c r="N72" s="12">
        <f>ROUND(L72/M72, 0)</f>
        <v/>
      </c>
      <c r="O72" s="12">
        <f>ROUND(N72*'Methodology &amp; Assumptions'!$B$5, 0)</f>
        <v/>
      </c>
      <c r="P72" s="10" t="inlineStr">
        <is>
          <t>Single Carrier (Band n50, 100MHz TDD)</t>
        </is>
      </c>
      <c r="Q72" s="13">
        <f>ROUNDUP(O72/'Methodology &amp; Assumptions'!$B$6, 0)</f>
        <v/>
      </c>
      <c r="R72" s="13" t="n">
        <v>1</v>
      </c>
      <c r="S72" s="14" t="n">
        <v>19.61</v>
      </c>
      <c r="T72" s="14" t="n">
        <v>19.61</v>
      </c>
      <c r="U72" s="26">
        <f>IF(X72&gt;='Methodology &amp; Assumptions'!$B$7, "Tier 1 Critical GIDA (Score ≥ 50.0)", IF(X72&gt;='Methodology &amp; Assumptions'!$B$8, "Tier 2 High GIDA (Score 40.0–49.9)", "Tier 3 Moderate GIDA (Score &lt; 40.0)"))</f>
        <v/>
      </c>
      <c r="V72" s="26">
        <f>IF(S72&lt;='Methodology &amp; Assumptions'!$B$10, "Direct Optical Drop (&lt;3km)", IF(S72&lt;='Methodology &amp; Assumptions'!$B$9, "Near Optical / Microwave (&lt;5km)", "Starlink Business LEO Satellite Backhaul (&gt;5km)"))</f>
        <v/>
      </c>
      <c r="W72" s="28" t="n">
        <v>0.109</v>
      </c>
      <c r="X72" s="14" t="n">
        <v>47.96</v>
      </c>
      <c r="Y72" s="14">
        <f>ROUND(MIN(100, (X72/69.91)*100), 2)</f>
        <v/>
      </c>
    </row>
    <row r="73">
      <c r="A73" s="10" t="n">
        <v>4</v>
      </c>
      <c r="B73" s="10" t="n">
        <v>69</v>
      </c>
      <c r="C73" s="10" t="n">
        <v>3069</v>
      </c>
      <c r="D73" s="10" t="inlineStr">
        <is>
          <t>PH0003069</t>
        </is>
      </c>
      <c r="E73" s="26" t="inlineStr">
        <is>
          <t>I</t>
        </is>
      </c>
      <c r="F73" s="26" t="inlineStr">
        <is>
          <t>Ilocos Norte</t>
        </is>
      </c>
      <c r="G73" s="26" t="inlineStr">
        <is>
          <t>Laoag City</t>
        </is>
      </c>
      <c r="H73" s="26" t="inlineStr">
        <is>
          <t>Bry. No. 18, San Quirino (Pob.)</t>
        </is>
      </c>
      <c r="I73" s="27" t="n">
        <v>18.198702</v>
      </c>
      <c r="J73" s="27" t="n">
        <v>120.588452</v>
      </c>
      <c r="K73" s="10" t="inlineStr">
        <is>
          <t>R</t>
        </is>
      </c>
      <c r="L73" s="12" t="n">
        <v>2233</v>
      </c>
      <c r="M73" s="14" t="n">
        <v>3.7</v>
      </c>
      <c r="N73" s="12">
        <f>ROUND(L73/M73, 0)</f>
        <v/>
      </c>
      <c r="O73" s="12">
        <f>ROUND(N73*'Methodology &amp; Assumptions'!$B$5, 0)</f>
        <v/>
      </c>
      <c r="P73" s="10" t="inlineStr">
        <is>
          <t>Single Carrier (Band n50, 100MHz TDD)</t>
        </is>
      </c>
      <c r="Q73" s="13">
        <f>ROUNDUP(O73/'Methodology &amp; Assumptions'!$B$6, 0)</f>
        <v/>
      </c>
      <c r="R73" s="13" t="n">
        <v>1</v>
      </c>
      <c r="S73" s="14" t="n">
        <v>0.9</v>
      </c>
      <c r="T73" s="14" t="n">
        <v>0.28</v>
      </c>
      <c r="U73" s="26">
        <f>IF(X73&gt;='Methodology &amp; Assumptions'!$B$7, "Tier 1 Critical GIDA (Score ≥ 50.0)", IF(X73&gt;='Methodology &amp; Assumptions'!$B$8, "Tier 2 High GIDA (Score 40.0–49.9)", "Tier 3 Moderate GIDA (Score &lt; 40.0)"))</f>
        <v/>
      </c>
      <c r="V73" s="26">
        <f>IF(S73&lt;='Methodology &amp; Assumptions'!$B$10, "Direct Optical Drop (&lt;3km)", IF(S73&lt;='Methodology &amp; Assumptions'!$B$9, "Near Optical / Microwave (&lt;5km)", "Starlink Business LEO Satellite Backhaul (&gt;5km)"))</f>
        <v/>
      </c>
      <c r="W73" s="28" t="n">
        <v>0.083</v>
      </c>
      <c r="X73" s="14" t="n">
        <v>47.96</v>
      </c>
      <c r="Y73" s="14">
        <f>ROUND(MIN(100, (X73/69.91)*100), 2)</f>
        <v/>
      </c>
    </row>
    <row r="74">
      <c r="A74" s="10" t="n">
        <v>4</v>
      </c>
      <c r="B74" s="10" t="n">
        <v>70</v>
      </c>
      <c r="C74" s="10" t="n">
        <v>3070</v>
      </c>
      <c r="D74" s="10" t="inlineStr">
        <is>
          <t>0201529010</t>
        </is>
      </c>
      <c r="E74" s="26" t="inlineStr">
        <is>
          <t>Region II (Cagayan Valley)</t>
        </is>
      </c>
      <c r="F74" s="26" t="inlineStr">
        <is>
          <t>Cagayan</t>
        </is>
      </c>
      <c r="G74" s="26" t="inlineStr">
        <is>
          <t>Tuguegarao City</t>
        </is>
      </c>
      <c r="H74" s="26" t="inlineStr">
        <is>
          <t>Centro 8</t>
        </is>
      </c>
      <c r="I74" s="27" t="n">
        <v>17.617697</v>
      </c>
      <c r="J74" s="27" t="n">
        <v>121.7254</v>
      </c>
      <c r="K74" s="10" t="inlineStr">
        <is>
          <t>U</t>
        </is>
      </c>
      <c r="L74" s="12" t="n">
        <v>185</v>
      </c>
      <c r="M74" s="14" t="n">
        <v>3.9</v>
      </c>
      <c r="N74" s="12">
        <f>ROUND(L74/M74, 0)</f>
        <v/>
      </c>
      <c r="O74" s="12">
        <f>ROUND(N74*'Methodology &amp; Assumptions'!$B$5, 0)</f>
        <v/>
      </c>
      <c r="P74" s="10" t="inlineStr">
        <is>
          <t>Single Carrier (Band n50, 100MHz TDD)</t>
        </is>
      </c>
      <c r="Q74" s="13">
        <f>ROUNDUP(O74/'Methodology &amp; Assumptions'!$B$6, 0)</f>
        <v/>
      </c>
      <c r="R74" s="13" t="n">
        <v>1</v>
      </c>
      <c r="S74" s="14" t="n">
        <v>4.4</v>
      </c>
      <c r="T74" s="14" t="n">
        <v>0.1</v>
      </c>
      <c r="U74" s="26">
        <f>IF(X74&gt;='Methodology &amp; Assumptions'!$B$7, "Tier 1 Critical GIDA (Score ≥ 50.0)", IF(X74&gt;='Methodology &amp; Assumptions'!$B$8, "Tier 2 High GIDA (Score 40.0–49.9)", "Tier 3 Moderate GIDA (Score &lt; 40.0)"))</f>
        <v/>
      </c>
      <c r="V74" s="26">
        <f>IF(S74&lt;='Methodology &amp; Assumptions'!$B$10, "Direct Optical Drop (&lt;3km)", IF(S74&lt;='Methodology &amp; Assumptions'!$B$9, "Near Optical / Microwave (&lt;5km)", "Starlink Business LEO Satellite Backhaul (&gt;5km)"))</f>
        <v/>
      </c>
      <c r="W74" s="28" t="n">
        <v>0.083</v>
      </c>
      <c r="X74" s="14" t="n">
        <v>47.96</v>
      </c>
      <c r="Y74" s="14">
        <f>ROUND(MIN(100, (X74/69.91)*100), 2)</f>
        <v/>
      </c>
    </row>
    <row r="75">
      <c r="A75" s="10" t="n">
        <v>4</v>
      </c>
      <c r="B75" s="10" t="n">
        <v>71</v>
      </c>
      <c r="C75" s="10" t="n">
        <v>3071</v>
      </c>
      <c r="D75" s="10" t="inlineStr">
        <is>
          <t>1380606113</t>
        </is>
      </c>
      <c r="E75" s="26" t="inlineStr">
        <is>
          <t>National Capital Region (NCR)</t>
        </is>
      </c>
      <c r="F75" s="26" t="inlineStr">
        <is>
          <t>First District (Not a Province)</t>
        </is>
      </c>
      <c r="G75" s="26" t="inlineStr">
        <is>
          <t>City of Manila</t>
        </is>
      </c>
      <c r="H75" s="26" t="inlineStr">
        <is>
          <t>Barangay 507</t>
        </is>
      </c>
      <c r="I75" s="27" t="n">
        <v>11.731951</v>
      </c>
      <c r="J75" s="27" t="n">
        <v>121.402776</v>
      </c>
      <c r="K75" s="10" t="inlineStr">
        <is>
          <t>U</t>
        </is>
      </c>
      <c r="L75" s="12" t="n">
        <v>1579</v>
      </c>
      <c r="M75" s="14" t="n">
        <v>3.9</v>
      </c>
      <c r="N75" s="12">
        <f>ROUND(L75/M75, 0)</f>
        <v/>
      </c>
      <c r="O75" s="12">
        <f>ROUND(N75*'Methodology &amp; Assumptions'!$B$5, 0)</f>
        <v/>
      </c>
      <c r="P75" s="10" t="inlineStr">
        <is>
          <t>Single Carrier (Band n50, 100MHz TDD)</t>
        </is>
      </c>
      <c r="Q75" s="13">
        <f>ROUNDUP(O75/'Methodology &amp; Assumptions'!$B$6, 0)</f>
        <v/>
      </c>
      <c r="R75" s="13" t="n">
        <v>1</v>
      </c>
      <c r="S75" s="14" t="n">
        <v>63.81</v>
      </c>
      <c r="T75" s="14" t="n">
        <v>62.77</v>
      </c>
      <c r="U75" s="26">
        <f>IF(X75&gt;='Methodology &amp; Assumptions'!$B$7, "Tier 1 Critical GIDA (Score ≥ 50.0)", IF(X75&gt;='Methodology &amp; Assumptions'!$B$8, "Tier 2 High GIDA (Score 40.0–49.9)", "Tier 3 Moderate GIDA (Score &lt; 40.0)"))</f>
        <v/>
      </c>
      <c r="V75" s="26">
        <f>IF(S75&lt;='Methodology &amp; Assumptions'!$B$10, "Direct Optical Drop (&lt;3km)", IF(S75&lt;='Methodology &amp; Assumptions'!$B$9, "Near Optical / Microwave (&lt;5km)", "Starlink Business LEO Satellite Backhaul (&gt;5km)"))</f>
        <v/>
      </c>
      <c r="W75" s="28" t="n">
        <v>0.109</v>
      </c>
      <c r="X75" s="14" t="n">
        <v>47.95</v>
      </c>
      <c r="Y75" s="14">
        <f>ROUND(MIN(100, (X75/69.91)*100), 2)</f>
        <v/>
      </c>
    </row>
    <row r="76">
      <c r="A76" s="10" t="n">
        <v>4</v>
      </c>
      <c r="B76" s="10" t="n">
        <v>72</v>
      </c>
      <c r="C76" s="10" t="n">
        <v>3072</v>
      </c>
      <c r="D76" s="10" t="inlineStr">
        <is>
          <t>PH0003072</t>
        </is>
      </c>
      <c r="E76" s="26" t="inlineStr">
        <is>
          <t>NCR</t>
        </is>
      </c>
      <c r="F76" s="26" t="inlineStr">
        <is>
          <t>Metro Manila</t>
        </is>
      </c>
      <c r="G76" s="26" t="inlineStr">
        <is>
          <t>Caloocan City</t>
        </is>
      </c>
      <c r="H76" s="26" t="inlineStr">
        <is>
          <t>Barangay 24</t>
        </is>
      </c>
      <c r="I76" s="27" t="n">
        <v>13.836314</v>
      </c>
      <c r="J76" s="27" t="n">
        <v>122.943471</v>
      </c>
      <c r="K76" s="10" t="inlineStr">
        <is>
          <t>R</t>
        </is>
      </c>
      <c r="L76" s="12" t="n">
        <v>2279</v>
      </c>
      <c r="M76" s="14" t="n">
        <v>3.8</v>
      </c>
      <c r="N76" s="12">
        <f>ROUND(L76/M76, 0)</f>
        <v/>
      </c>
      <c r="O76" s="12">
        <f>ROUND(N76*'Methodology &amp; Assumptions'!$B$5, 0)</f>
        <v/>
      </c>
      <c r="P76" s="10" t="inlineStr">
        <is>
          <t>Single Carrier (Band n50, 100MHz TDD)</t>
        </is>
      </c>
      <c r="Q76" s="13">
        <f>ROUNDUP(O76/'Methodology &amp; Assumptions'!$B$6, 0)</f>
        <v/>
      </c>
      <c r="R76" s="13" t="n">
        <v>1</v>
      </c>
      <c r="S76" s="14" t="n">
        <v>2.23</v>
      </c>
      <c r="T76" s="14" t="n">
        <v>1.67</v>
      </c>
      <c r="U76" s="26">
        <f>IF(X76&gt;='Methodology &amp; Assumptions'!$B$7, "Tier 1 Critical GIDA (Score ≥ 50.0)", IF(X76&gt;='Methodology &amp; Assumptions'!$B$8, "Tier 2 High GIDA (Score 40.0–49.9)", "Tier 3 Moderate GIDA (Score &lt; 40.0)"))</f>
        <v/>
      </c>
      <c r="V76" s="26">
        <f>IF(S76&lt;='Methodology &amp; Assumptions'!$B$10, "Direct Optical Drop (&lt;3km)", IF(S76&lt;='Methodology &amp; Assumptions'!$B$9, "Near Optical / Microwave (&lt;5km)", "Starlink Business LEO Satellite Backhaul (&gt;5km)"))</f>
        <v/>
      </c>
      <c r="W76" s="28" t="n">
        <v>0.011</v>
      </c>
      <c r="X76" s="14" t="n">
        <v>47.95</v>
      </c>
      <c r="Y76" s="14">
        <f>ROUND(MIN(100, (X76/69.91)*100), 2)</f>
        <v/>
      </c>
    </row>
    <row r="77">
      <c r="A77" s="10" t="n">
        <v>4</v>
      </c>
      <c r="B77" s="10" t="n">
        <v>73</v>
      </c>
      <c r="C77" s="10" t="n">
        <v>3073</v>
      </c>
      <c r="D77" s="10" t="inlineStr">
        <is>
          <t>0402106037</t>
        </is>
      </c>
      <c r="E77" s="26" t="inlineStr">
        <is>
          <t>Region IV-A (CALABARZON)</t>
        </is>
      </c>
      <c r="F77" s="26" t="inlineStr">
        <is>
          <t>Cavite</t>
        </is>
      </c>
      <c r="G77" s="26" t="inlineStr">
        <is>
          <t>City of Dasmariñas</t>
        </is>
      </c>
      <c r="H77" s="26" t="inlineStr">
        <is>
          <t>San Nicolas I</t>
        </is>
      </c>
      <c r="I77" s="27" t="n">
        <v>14.31507</v>
      </c>
      <c r="J77" s="27" t="n">
        <v>120.96845</v>
      </c>
      <c r="K77" s="10" t="inlineStr">
        <is>
          <t>R</t>
        </is>
      </c>
      <c r="L77" s="12" t="n">
        <v>2180</v>
      </c>
      <c r="M77" s="14" t="n">
        <v>3.4</v>
      </c>
      <c r="N77" s="12">
        <f>ROUND(L77/M77, 0)</f>
        <v/>
      </c>
      <c r="O77" s="12">
        <f>ROUND(N77*'Methodology &amp; Assumptions'!$B$5, 0)</f>
        <v/>
      </c>
      <c r="P77" s="10" t="inlineStr">
        <is>
          <t>Single Carrier (Band n50, 100MHz TDD)</t>
        </is>
      </c>
      <c r="Q77" s="13">
        <f>ROUNDUP(O77/'Methodology &amp; Assumptions'!$B$6, 0)</f>
        <v/>
      </c>
      <c r="R77" s="13" t="n">
        <v>1</v>
      </c>
      <c r="S77" s="14" t="n">
        <v>0.42</v>
      </c>
      <c r="T77" s="14" t="n">
        <v>2.06</v>
      </c>
      <c r="U77" s="26">
        <f>IF(X77&gt;='Methodology &amp; Assumptions'!$B$7, "Tier 1 Critical GIDA (Score ≥ 50.0)", IF(X77&gt;='Methodology &amp; Assumptions'!$B$8, "Tier 2 High GIDA (Score 40.0–49.9)", "Tier 3 Moderate GIDA (Score &lt; 40.0)"))</f>
        <v/>
      </c>
      <c r="V77" s="26">
        <f>IF(S77&lt;='Methodology &amp; Assumptions'!$B$10, "Direct Optical Drop (&lt;3km)", IF(S77&lt;='Methodology &amp; Assumptions'!$B$9, "Near Optical / Microwave (&lt;5km)", "Starlink Business LEO Satellite Backhaul (&gt;5km)"))</f>
        <v/>
      </c>
      <c r="W77" s="28" t="n">
        <v>0.07200000000000001</v>
      </c>
      <c r="X77" s="14" t="n">
        <v>47.95</v>
      </c>
      <c r="Y77" s="14">
        <f>ROUND(MIN(100, (X77/69.91)*100), 2)</f>
        <v/>
      </c>
    </row>
    <row r="78">
      <c r="A78" s="10" t="n">
        <v>4</v>
      </c>
      <c r="B78" s="10" t="n">
        <v>74</v>
      </c>
      <c r="C78" s="10" t="n">
        <v>3074</v>
      </c>
      <c r="D78" s="10" t="inlineStr">
        <is>
          <t>PH0003074</t>
        </is>
      </c>
      <c r="E78" s="26" t="inlineStr">
        <is>
          <t>NCR</t>
        </is>
      </c>
      <c r="F78" s="26" t="inlineStr">
        <is>
          <t>Metro Manila</t>
        </is>
      </c>
      <c r="G78" s="26" t="inlineStr">
        <is>
          <t>Caloocan City</t>
        </is>
      </c>
      <c r="H78" s="26" t="inlineStr">
        <is>
          <t>Barangay 93</t>
        </is>
      </c>
      <c r="I78" s="27" t="n">
        <v>11.402867</v>
      </c>
      <c r="J78" s="27" t="n">
        <v>121.574553</v>
      </c>
      <c r="K78" s="10" t="inlineStr">
        <is>
          <t>R</t>
        </is>
      </c>
      <c r="L78" s="12" t="n">
        <v>2279</v>
      </c>
      <c r="M78" s="14" t="n">
        <v>3.8</v>
      </c>
      <c r="N78" s="12">
        <f>ROUND(L78/M78, 0)</f>
        <v/>
      </c>
      <c r="O78" s="12">
        <f>ROUND(N78*'Methodology &amp; Assumptions'!$B$5, 0)</f>
        <v/>
      </c>
      <c r="P78" s="10" t="inlineStr">
        <is>
          <t>Single Carrier (Band n50, 100MHz TDD)</t>
        </is>
      </c>
      <c r="Q78" s="13">
        <f>ROUNDUP(O78/'Methodology &amp; Assumptions'!$B$6, 0)</f>
        <v/>
      </c>
      <c r="R78" s="13" t="n">
        <v>1</v>
      </c>
      <c r="S78" s="14" t="n">
        <v>72.89</v>
      </c>
      <c r="T78" s="14" t="n">
        <v>70.77</v>
      </c>
      <c r="U78" s="26">
        <f>IF(X78&gt;='Methodology &amp; Assumptions'!$B$7, "Tier 1 Critical GIDA (Score ≥ 50.0)", IF(X78&gt;='Methodology &amp; Assumptions'!$B$8, "Tier 2 High GIDA (Score 40.0–49.9)", "Tier 3 Moderate GIDA (Score &lt; 40.0)"))</f>
        <v/>
      </c>
      <c r="V78" s="26">
        <f>IF(S78&lt;='Methodology &amp; Assumptions'!$B$10, "Direct Optical Drop (&lt;3km)", IF(S78&lt;='Methodology &amp; Assumptions'!$B$9, "Near Optical / Microwave (&lt;5km)", "Starlink Business LEO Satellite Backhaul (&gt;5km)"))</f>
        <v/>
      </c>
      <c r="W78" s="28" t="n">
        <v>0.011</v>
      </c>
      <c r="X78" s="14" t="n">
        <v>47.95</v>
      </c>
      <c r="Y78" s="14">
        <f>ROUND(MIN(100, (X78/69.91)*100), 2)</f>
        <v/>
      </c>
    </row>
    <row r="79">
      <c r="A79" s="10" t="n">
        <v>4</v>
      </c>
      <c r="B79" s="10" t="n">
        <v>75</v>
      </c>
      <c r="C79" s="10" t="n">
        <v>3075</v>
      </c>
      <c r="D79" s="10" t="inlineStr">
        <is>
          <t>1003511005</t>
        </is>
      </c>
      <c r="E79" s="26" t="inlineStr">
        <is>
          <t>Region X (Northern Mindanao)</t>
        </is>
      </c>
      <c r="F79" s="26" t="inlineStr">
        <is>
          <t>Lanao del Norte</t>
        </is>
      </c>
      <c r="G79" s="26" t="inlineStr">
        <is>
          <t>Magsaysay</t>
        </is>
      </c>
      <c r="H79" s="26" t="inlineStr">
        <is>
          <t>Ilihan</t>
        </is>
      </c>
      <c r="I79" s="27" t="n">
        <v>8.032069999999999</v>
      </c>
      <c r="J79" s="27" t="n">
        <v>123.920572</v>
      </c>
      <c r="K79" s="10" t="inlineStr">
        <is>
          <t>R</t>
        </is>
      </c>
      <c r="L79" s="12" t="n">
        <v>480</v>
      </c>
      <c r="M79" s="14" t="n">
        <v>4.2</v>
      </c>
      <c r="N79" s="12">
        <f>ROUND(L79/M79, 0)</f>
        <v/>
      </c>
      <c r="O79" s="12">
        <f>ROUND(N79*'Methodology &amp; Assumptions'!$B$5, 0)</f>
        <v/>
      </c>
      <c r="P79" s="10" t="inlineStr">
        <is>
          <t>Single Carrier (Band n50, 100MHz TDD)</t>
        </is>
      </c>
      <c r="Q79" s="13">
        <f>ROUNDUP(O79/'Methodology &amp; Assumptions'!$B$6, 0)</f>
        <v/>
      </c>
      <c r="R79" s="13" t="n">
        <v>1</v>
      </c>
      <c r="S79" s="14" t="n">
        <v>13.42</v>
      </c>
      <c r="T79" s="14" t="n">
        <v>9.08</v>
      </c>
      <c r="U79" s="26">
        <f>IF(X79&gt;='Methodology &amp; Assumptions'!$B$7, "Tier 1 Critical GIDA (Score ≥ 50.0)", IF(X79&gt;='Methodology &amp; Assumptions'!$B$8, "Tier 2 High GIDA (Score 40.0–49.9)", "Tier 3 Moderate GIDA (Score &lt; 40.0)"))</f>
        <v/>
      </c>
      <c r="V79" s="26">
        <f>IF(S79&lt;='Methodology &amp; Assumptions'!$B$10, "Direct Optical Drop (&lt;3km)", IF(S79&lt;='Methodology &amp; Assumptions'!$B$9, "Near Optical / Microwave (&lt;5km)", "Starlink Business LEO Satellite Backhaul (&gt;5km)"))</f>
        <v/>
      </c>
      <c r="W79" s="28" t="n">
        <v>0.174</v>
      </c>
      <c r="X79" s="14" t="n">
        <v>47.95</v>
      </c>
      <c r="Y79" s="14">
        <f>ROUND(MIN(100, (X79/69.91)*100), 2)</f>
        <v/>
      </c>
    </row>
    <row r="80">
      <c r="A80" s="10" t="n">
        <v>4</v>
      </c>
      <c r="B80" s="10" t="n">
        <v>76</v>
      </c>
      <c r="C80" s="10" t="n">
        <v>3076</v>
      </c>
      <c r="D80" s="10" t="inlineStr">
        <is>
          <t>0804808022</t>
        </is>
      </c>
      <c r="E80" s="26" t="inlineStr">
        <is>
          <t>Region VIII (Eastern Visayas)</t>
        </is>
      </c>
      <c r="F80" s="26" t="inlineStr">
        <is>
          <t>Northern Samar</t>
        </is>
      </c>
      <c r="G80" s="26" t="inlineStr">
        <is>
          <t>Laoang</t>
        </is>
      </c>
      <c r="H80" s="26" t="inlineStr">
        <is>
          <t>Canyomanao</t>
        </is>
      </c>
      <c r="I80" s="27" t="n">
        <v>12.5537</v>
      </c>
      <c r="J80" s="27" t="n">
        <v>125.05156</v>
      </c>
      <c r="K80" s="10" t="inlineStr">
        <is>
          <t>R</t>
        </is>
      </c>
      <c r="L80" s="12" t="n">
        <v>536</v>
      </c>
      <c r="M80" s="14" t="n">
        <v>4.3</v>
      </c>
      <c r="N80" s="12">
        <f>ROUND(L80/M80, 0)</f>
        <v/>
      </c>
      <c r="O80" s="12">
        <f>ROUND(N80*'Methodology &amp; Assumptions'!$B$5, 0)</f>
        <v/>
      </c>
      <c r="P80" s="10" t="inlineStr">
        <is>
          <t>Single Carrier (Band n50, 100MHz TDD)</t>
        </is>
      </c>
      <c r="Q80" s="13">
        <f>ROUNDUP(O80/'Methodology &amp; Assumptions'!$B$6, 0)</f>
        <v/>
      </c>
      <c r="R80" s="13" t="n">
        <v>1</v>
      </c>
      <c r="S80" s="14" t="n">
        <v>102</v>
      </c>
      <c r="T80" s="14" t="n">
        <v>100.99</v>
      </c>
      <c r="U80" s="26">
        <f>IF(X80&gt;='Methodology &amp; Assumptions'!$B$7, "Tier 1 Critical GIDA (Score ≥ 50.0)", IF(X80&gt;='Methodology &amp; Assumptions'!$B$8, "Tier 2 High GIDA (Score 40.0–49.9)", "Tier 3 Moderate GIDA (Score &lt; 40.0)"))</f>
        <v/>
      </c>
      <c r="V80" s="26">
        <f>IF(S80&lt;='Methodology &amp; Assumptions'!$B$10, "Direct Optical Drop (&lt;3km)", IF(S80&lt;='Methodology &amp; Assumptions'!$B$9, "Near Optical / Microwave (&lt;5km)", "Starlink Business LEO Satellite Backhaul (&gt;5km)"))</f>
        <v/>
      </c>
      <c r="W80" s="28" t="n">
        <v>0.237</v>
      </c>
      <c r="X80" s="14" t="n">
        <v>47.95</v>
      </c>
      <c r="Y80" s="14">
        <f>ROUND(MIN(100, (X80/69.91)*100), 2)</f>
        <v/>
      </c>
    </row>
    <row r="81">
      <c r="A81" s="10" t="n">
        <v>4</v>
      </c>
      <c r="B81" s="10" t="n">
        <v>77</v>
      </c>
      <c r="C81" s="10" t="n">
        <v>3077</v>
      </c>
      <c r="D81" s="10" t="inlineStr">
        <is>
          <t>0402118060</t>
        </is>
      </c>
      <c r="E81" s="26" t="inlineStr">
        <is>
          <t>Region IV-A (CALABARZON)</t>
        </is>
      </c>
      <c r="F81" s="26" t="inlineStr">
        <is>
          <t>Cavite</t>
        </is>
      </c>
      <c r="G81" s="26" t="inlineStr">
        <is>
          <t>Silang</t>
        </is>
      </c>
      <c r="H81" s="26" t="inlineStr">
        <is>
          <t>Narra II</t>
        </is>
      </c>
      <c r="I81" s="27" t="n">
        <v>14.203169</v>
      </c>
      <c r="J81" s="27" t="n">
        <v>120.981482</v>
      </c>
      <c r="K81" s="10" t="inlineStr">
        <is>
          <t>R</t>
        </is>
      </c>
      <c r="L81" s="12" t="n">
        <v>2291</v>
      </c>
      <c r="M81" s="14" t="n">
        <v>3.4</v>
      </c>
      <c r="N81" s="12">
        <f>ROUND(L81/M81, 0)</f>
        <v/>
      </c>
      <c r="O81" s="12">
        <f>ROUND(N81*'Methodology &amp; Assumptions'!$B$5, 0)</f>
        <v/>
      </c>
      <c r="P81" s="10" t="inlineStr">
        <is>
          <t>Single Carrier (Band n50, 100MHz TDD)</t>
        </is>
      </c>
      <c r="Q81" s="13">
        <f>ROUNDUP(O81/'Methodology &amp; Assumptions'!$B$6, 0)</f>
        <v/>
      </c>
      <c r="R81" s="13" t="n">
        <v>1</v>
      </c>
      <c r="S81" s="14" t="n">
        <v>3.64</v>
      </c>
      <c r="T81" s="14" t="n">
        <v>1.61</v>
      </c>
      <c r="U81" s="26">
        <f>IF(X81&gt;='Methodology &amp; Assumptions'!$B$7, "Tier 1 Critical GIDA (Score ≥ 50.0)", IF(X81&gt;='Methodology &amp; Assumptions'!$B$8, "Tier 2 High GIDA (Score 40.0–49.9)", "Tier 3 Moderate GIDA (Score &lt; 40.0)"))</f>
        <v/>
      </c>
      <c r="V81" s="26">
        <f>IF(S81&lt;='Methodology &amp; Assumptions'!$B$10, "Direct Optical Drop (&lt;3km)", IF(S81&lt;='Methodology &amp; Assumptions'!$B$9, "Near Optical / Microwave (&lt;5km)", "Starlink Business LEO Satellite Backhaul (&gt;5km)"))</f>
        <v/>
      </c>
      <c r="W81" s="28" t="n">
        <v>0.07200000000000001</v>
      </c>
      <c r="X81" s="14" t="n">
        <v>47.95</v>
      </c>
      <c r="Y81" s="14">
        <f>ROUND(MIN(100, (X81/69.91)*100), 2)</f>
        <v/>
      </c>
    </row>
    <row r="82">
      <c r="A82" s="10" t="n">
        <v>4</v>
      </c>
      <c r="B82" s="10" t="n">
        <v>78</v>
      </c>
      <c r="C82" s="10" t="n">
        <v>3078</v>
      </c>
      <c r="D82" s="10" t="inlineStr">
        <is>
          <t>1907011004</t>
        </is>
      </c>
      <c r="E82" s="26" t="inlineStr">
        <is>
          <t>Bangsamoro Autonomous Region In Muslim Mindanao (BARMM)</t>
        </is>
      </c>
      <c r="F82" s="26" t="inlineStr">
        <is>
          <t>Tawi-Tawi</t>
        </is>
      </c>
      <c r="G82" s="26" t="inlineStr">
        <is>
          <t>Sibutu</t>
        </is>
      </c>
      <c r="H82" s="26" t="inlineStr">
        <is>
          <t>Hadji Mohtar Sulayman</t>
        </is>
      </c>
      <c r="I82" s="27" t="n">
        <v>17.255821</v>
      </c>
      <c r="J82" s="27" t="n">
        <v>122.229865</v>
      </c>
      <c r="K82" s="10" t="inlineStr">
        <is>
          <t>R</t>
        </is>
      </c>
      <c r="L82" s="12" t="n">
        <v>2516</v>
      </c>
      <c r="M82" s="14" t="n">
        <v>5.8</v>
      </c>
      <c r="N82" s="12">
        <f>ROUND(L82/M82, 0)</f>
        <v/>
      </c>
      <c r="O82" s="12">
        <f>ROUND(N82*'Methodology &amp; Assumptions'!$B$5, 0)</f>
        <v/>
      </c>
      <c r="P82" s="10" t="inlineStr">
        <is>
          <t>Single Carrier (Band n50, 100MHz TDD)</t>
        </is>
      </c>
      <c r="Q82" s="13">
        <f>ROUNDUP(O82/'Methodology &amp; Assumptions'!$B$6, 0)</f>
        <v/>
      </c>
      <c r="R82" s="13" t="n">
        <v>1</v>
      </c>
      <c r="S82" s="14" t="n">
        <v>29.56</v>
      </c>
      <c r="T82" s="14" t="n">
        <v>34.43</v>
      </c>
      <c r="U82" s="26">
        <f>IF(X82&gt;='Methodology &amp; Assumptions'!$B$7, "Tier 1 Critical GIDA (Score ≥ 50.0)", IF(X82&gt;='Methodology &amp; Assumptions'!$B$8, "Tier 2 High GIDA (Score 40.0–49.9)", "Tier 3 Moderate GIDA (Score &lt; 40.0)"))</f>
        <v/>
      </c>
      <c r="V82" s="26">
        <f>IF(S82&lt;='Methodology &amp; Assumptions'!$B$10, "Direct Optical Drop (&lt;3km)", IF(S82&lt;='Methodology &amp; Assumptions'!$B$9, "Near Optical / Microwave (&lt;5km)", "Starlink Business LEO Satellite Backhaul (&gt;5km)"))</f>
        <v/>
      </c>
      <c r="W82" s="28" t="n">
        <v>0.11</v>
      </c>
      <c r="X82" s="14" t="n">
        <v>47.95</v>
      </c>
      <c r="Y82" s="14">
        <f>ROUND(MIN(100, (X82/69.91)*100), 2)</f>
        <v/>
      </c>
    </row>
    <row r="83">
      <c r="A83" s="10" t="n">
        <v>4</v>
      </c>
      <c r="B83" s="10" t="n">
        <v>79</v>
      </c>
      <c r="C83" s="10" t="n">
        <v>3079</v>
      </c>
      <c r="D83" s="10" t="inlineStr">
        <is>
          <t>1380610032</t>
        </is>
      </c>
      <c r="E83" s="26" t="inlineStr">
        <is>
          <t>National Capital Region (NCR)</t>
        </is>
      </c>
      <c r="F83" s="26" t="inlineStr">
        <is>
          <t>First District (Not a Province)</t>
        </is>
      </c>
      <c r="G83" s="26" t="inlineStr">
        <is>
          <t>City of Manila</t>
        </is>
      </c>
      <c r="H83" s="26" t="inlineStr">
        <is>
          <t>Barangay 717</t>
        </is>
      </c>
      <c r="I83" s="27" t="n">
        <v>13.971617</v>
      </c>
      <c r="J83" s="27" t="n">
        <v>121.251689</v>
      </c>
      <c r="K83" s="10" t="inlineStr">
        <is>
          <t>U</t>
        </is>
      </c>
      <c r="L83" s="12" t="n">
        <v>494</v>
      </c>
      <c r="M83" s="14" t="n">
        <v>3.9</v>
      </c>
      <c r="N83" s="12">
        <f>ROUND(L83/M83, 0)</f>
        <v/>
      </c>
      <c r="O83" s="12">
        <f>ROUND(N83*'Methodology &amp; Assumptions'!$B$5, 0)</f>
        <v/>
      </c>
      <c r="P83" s="10" t="inlineStr">
        <is>
          <t>Single Carrier (Band n50, 100MHz TDD)</t>
        </is>
      </c>
      <c r="Q83" s="13">
        <f>ROUNDUP(O83/'Methodology &amp; Assumptions'!$B$6, 0)</f>
        <v/>
      </c>
      <c r="R83" s="13" t="n">
        <v>1</v>
      </c>
      <c r="S83" s="14" t="n">
        <v>5.3</v>
      </c>
      <c r="T83" s="14" t="n">
        <v>7.42</v>
      </c>
      <c r="U83" s="26">
        <f>IF(X83&gt;='Methodology &amp; Assumptions'!$B$7, "Tier 1 Critical GIDA (Score ≥ 50.0)", IF(X83&gt;='Methodology &amp; Assumptions'!$B$8, "Tier 2 High GIDA (Score 40.0–49.9)", "Tier 3 Moderate GIDA (Score &lt; 40.0)"))</f>
        <v/>
      </c>
      <c r="V83" s="26">
        <f>IF(S83&lt;='Methodology &amp; Assumptions'!$B$10, "Direct Optical Drop (&lt;3km)", IF(S83&lt;='Methodology &amp; Assumptions'!$B$9, "Near Optical / Microwave (&lt;5km)", "Starlink Business LEO Satellite Backhaul (&gt;5km)"))</f>
        <v/>
      </c>
      <c r="W83" s="28" t="n">
        <v>0.109</v>
      </c>
      <c r="X83" s="14" t="n">
        <v>47.95</v>
      </c>
      <c r="Y83" s="14">
        <f>ROUND(MIN(100, (X83/69.91)*100), 2)</f>
        <v/>
      </c>
    </row>
    <row r="84">
      <c r="A84" s="10" t="n">
        <v>4</v>
      </c>
      <c r="B84" s="10" t="n">
        <v>80</v>
      </c>
      <c r="C84" s="10" t="n">
        <v>3080</v>
      </c>
      <c r="D84" s="10" t="inlineStr">
        <is>
          <t>1380606044</t>
        </is>
      </c>
      <c r="E84" s="26" t="inlineStr">
        <is>
          <t>National Capital Region (NCR)</t>
        </is>
      </c>
      <c r="F84" s="26" t="inlineStr">
        <is>
          <t>First District (Not a Province)</t>
        </is>
      </c>
      <c r="G84" s="26" t="inlineStr">
        <is>
          <t>City of Manila</t>
        </is>
      </c>
      <c r="H84" s="26" t="inlineStr">
        <is>
          <t>Barangay 438</t>
        </is>
      </c>
      <c r="I84" s="27" t="n">
        <v>12.418127</v>
      </c>
      <c r="J84" s="27" t="n">
        <v>122.917095</v>
      </c>
      <c r="K84" s="10" t="inlineStr">
        <is>
          <t>U</t>
        </is>
      </c>
      <c r="L84" s="12" t="n">
        <v>734</v>
      </c>
      <c r="M84" s="14" t="n">
        <v>3.9</v>
      </c>
      <c r="N84" s="12">
        <f>ROUND(L84/M84, 0)</f>
        <v/>
      </c>
      <c r="O84" s="12">
        <f>ROUND(N84*'Methodology &amp; Assumptions'!$B$5, 0)</f>
        <v/>
      </c>
      <c r="P84" s="10" t="inlineStr">
        <is>
          <t>Single Carrier (Band n50, 100MHz TDD)</t>
        </is>
      </c>
      <c r="Q84" s="13">
        <f>ROUNDUP(O84/'Methodology &amp; Assumptions'!$B$6, 0)</f>
        <v/>
      </c>
      <c r="R84" s="13" t="n">
        <v>1</v>
      </c>
      <c r="S84" s="14" t="n">
        <v>45.96</v>
      </c>
      <c r="T84" s="14" t="n">
        <v>57.33</v>
      </c>
      <c r="U84" s="26">
        <f>IF(X84&gt;='Methodology &amp; Assumptions'!$B$7, "Tier 1 Critical GIDA (Score ≥ 50.0)", IF(X84&gt;='Methodology &amp; Assumptions'!$B$8, "Tier 2 High GIDA (Score 40.0–49.9)", "Tier 3 Moderate GIDA (Score &lt; 40.0)"))</f>
        <v/>
      </c>
      <c r="V84" s="26">
        <f>IF(S84&lt;='Methodology &amp; Assumptions'!$B$10, "Direct Optical Drop (&lt;3km)", IF(S84&lt;='Methodology &amp; Assumptions'!$B$9, "Near Optical / Microwave (&lt;5km)", "Starlink Business LEO Satellite Backhaul (&gt;5km)"))</f>
        <v/>
      </c>
      <c r="W84" s="28" t="n">
        <v>0.109</v>
      </c>
      <c r="X84" s="14" t="n">
        <v>47.95</v>
      </c>
      <c r="Y84" s="14">
        <f>ROUND(MIN(100, (X84/69.91)*100), 2)</f>
        <v/>
      </c>
    </row>
    <row r="85">
      <c r="A85" s="10" t="n">
        <v>4</v>
      </c>
      <c r="B85" s="10" t="n">
        <v>81</v>
      </c>
      <c r="C85" s="10" t="n">
        <v>3081</v>
      </c>
      <c r="D85" s="10" t="inlineStr">
        <is>
          <t>1380609002</t>
        </is>
      </c>
      <c r="E85" s="26" t="inlineStr">
        <is>
          <t>National Capital Region (NCR)</t>
        </is>
      </c>
      <c r="F85" s="26" t="inlineStr">
        <is>
          <t>First District (Not a Province)</t>
        </is>
      </c>
      <c r="G85" s="26" t="inlineStr">
        <is>
          <t>City of Manila</t>
        </is>
      </c>
      <c r="H85" s="26" t="inlineStr">
        <is>
          <t>Barangay 655</t>
        </is>
      </c>
      <c r="I85" s="27" t="n">
        <v>12.466712</v>
      </c>
      <c r="J85" s="27" t="n">
        <v>120.610039</v>
      </c>
      <c r="K85" s="10" t="inlineStr">
        <is>
          <t>U</t>
        </is>
      </c>
      <c r="L85" s="12" t="n">
        <v>1656</v>
      </c>
      <c r="M85" s="14" t="n">
        <v>3.9</v>
      </c>
      <c r="N85" s="12">
        <f>ROUND(L85/M85, 0)</f>
        <v/>
      </c>
      <c r="O85" s="12">
        <f>ROUND(N85*'Methodology &amp; Assumptions'!$B$5, 0)</f>
        <v/>
      </c>
      <c r="P85" s="10" t="inlineStr">
        <is>
          <t>Single Carrier (Band n50, 100MHz TDD)</t>
        </is>
      </c>
      <c r="Q85" s="13">
        <f>ROUNDUP(O85/'Methodology &amp; Assumptions'!$B$6, 0)</f>
        <v/>
      </c>
      <c r="R85" s="13" t="n">
        <v>1</v>
      </c>
      <c r="S85" s="14" t="n">
        <v>51.02</v>
      </c>
      <c r="T85" s="14" t="n">
        <v>49.88</v>
      </c>
      <c r="U85" s="26">
        <f>IF(X85&gt;='Methodology &amp; Assumptions'!$B$7, "Tier 1 Critical GIDA (Score ≥ 50.0)", IF(X85&gt;='Methodology &amp; Assumptions'!$B$8, "Tier 2 High GIDA (Score 40.0–49.9)", "Tier 3 Moderate GIDA (Score &lt; 40.0)"))</f>
        <v/>
      </c>
      <c r="V85" s="26">
        <f>IF(S85&lt;='Methodology &amp; Assumptions'!$B$10, "Direct Optical Drop (&lt;3km)", IF(S85&lt;='Methodology &amp; Assumptions'!$B$9, "Near Optical / Microwave (&lt;5km)", "Starlink Business LEO Satellite Backhaul (&gt;5km)"))</f>
        <v/>
      </c>
      <c r="W85" s="28" t="n">
        <v>0.109</v>
      </c>
      <c r="X85" s="14" t="n">
        <v>47.94</v>
      </c>
      <c r="Y85" s="14">
        <f>ROUND(MIN(100, (X85/69.91)*100), 2)</f>
        <v/>
      </c>
    </row>
    <row r="86">
      <c r="A86" s="10" t="n">
        <v>4</v>
      </c>
      <c r="B86" s="10" t="n">
        <v>82</v>
      </c>
      <c r="C86" s="10" t="n">
        <v>3082</v>
      </c>
      <c r="D86" s="10" t="inlineStr">
        <is>
          <t>1380609001</t>
        </is>
      </c>
      <c r="E86" s="26" t="inlineStr">
        <is>
          <t>National Capital Region (NCR)</t>
        </is>
      </c>
      <c r="F86" s="26" t="inlineStr">
        <is>
          <t>First District (Not a Province)</t>
        </is>
      </c>
      <c r="G86" s="26" t="inlineStr">
        <is>
          <t>City of Manila</t>
        </is>
      </c>
      <c r="H86" s="26" t="inlineStr">
        <is>
          <t>Barangay 654</t>
        </is>
      </c>
      <c r="I86" s="27" t="n">
        <v>13.95196</v>
      </c>
      <c r="J86" s="27" t="n">
        <v>122.346589</v>
      </c>
      <c r="K86" s="10" t="inlineStr">
        <is>
          <t>U</t>
        </is>
      </c>
      <c r="L86" s="12" t="n">
        <v>1074</v>
      </c>
      <c r="M86" s="14" t="n">
        <v>3.9</v>
      </c>
      <c r="N86" s="12">
        <f>ROUND(L86/M86, 0)</f>
        <v/>
      </c>
      <c r="O86" s="12">
        <f>ROUND(N86*'Methodology &amp; Assumptions'!$B$5, 0)</f>
        <v/>
      </c>
      <c r="P86" s="10" t="inlineStr">
        <is>
          <t>Single Carrier (Band n50, 100MHz TDD)</t>
        </is>
      </c>
      <c r="Q86" s="13">
        <f>ROUNDUP(O86/'Methodology &amp; Assumptions'!$B$6, 0)</f>
        <v/>
      </c>
      <c r="R86" s="13" t="n">
        <v>1</v>
      </c>
      <c r="S86" s="14" t="n">
        <v>2.12</v>
      </c>
      <c r="T86" s="14" t="n">
        <v>1.78</v>
      </c>
      <c r="U86" s="26">
        <f>IF(X86&gt;='Methodology &amp; Assumptions'!$B$7, "Tier 1 Critical GIDA (Score ≥ 50.0)", IF(X86&gt;='Methodology &amp; Assumptions'!$B$8, "Tier 2 High GIDA (Score 40.0–49.9)", "Tier 3 Moderate GIDA (Score &lt; 40.0)"))</f>
        <v/>
      </c>
      <c r="V86" s="26">
        <f>IF(S86&lt;='Methodology &amp; Assumptions'!$B$10, "Direct Optical Drop (&lt;3km)", IF(S86&lt;='Methodology &amp; Assumptions'!$B$9, "Near Optical / Microwave (&lt;5km)", "Starlink Business LEO Satellite Backhaul (&gt;5km)"))</f>
        <v/>
      </c>
      <c r="W86" s="28" t="n">
        <v>0.109</v>
      </c>
      <c r="X86" s="14" t="n">
        <v>47.94</v>
      </c>
      <c r="Y86" s="14">
        <f>ROUND(MIN(100, (X86/69.91)*100), 2)</f>
        <v/>
      </c>
    </row>
    <row r="87">
      <c r="A87" s="10" t="n">
        <v>4</v>
      </c>
      <c r="B87" s="10" t="n">
        <v>83</v>
      </c>
      <c r="C87" s="10" t="n">
        <v>3083</v>
      </c>
      <c r="D87" s="10" t="inlineStr">
        <is>
          <t>PH0003083</t>
        </is>
      </c>
      <c r="E87" s="26" t="inlineStr">
        <is>
          <t>NCR</t>
        </is>
      </c>
      <c r="F87" s="26" t="inlineStr">
        <is>
          <t>Metro Manila</t>
        </is>
      </c>
      <c r="G87" s="26" t="inlineStr">
        <is>
          <t>Caloocan City</t>
        </is>
      </c>
      <c r="H87" s="26" t="inlineStr">
        <is>
          <t>Barangay 111</t>
        </is>
      </c>
      <c r="I87" s="27" t="n">
        <v>14.100995</v>
      </c>
      <c r="J87" s="27" t="n">
        <v>120.896769</v>
      </c>
      <c r="K87" s="10" t="inlineStr">
        <is>
          <t>R</t>
        </is>
      </c>
      <c r="L87" s="12" t="n">
        <v>2279</v>
      </c>
      <c r="M87" s="14" t="n">
        <v>3.8</v>
      </c>
      <c r="N87" s="12">
        <f>ROUND(L87/M87, 0)</f>
        <v/>
      </c>
      <c r="O87" s="12">
        <f>ROUND(N87*'Methodology &amp; Assumptions'!$B$5, 0)</f>
        <v/>
      </c>
      <c r="P87" s="10" t="inlineStr">
        <is>
          <t>Single Carrier (Band n50, 100MHz TDD)</t>
        </is>
      </c>
      <c r="Q87" s="13">
        <f>ROUNDUP(O87/'Methodology &amp; Assumptions'!$B$6, 0)</f>
        <v/>
      </c>
      <c r="R87" s="13" t="n">
        <v>1</v>
      </c>
      <c r="S87" s="14" t="n">
        <v>2.56</v>
      </c>
      <c r="T87" s="14" t="n">
        <v>1.43</v>
      </c>
      <c r="U87" s="26">
        <f>IF(X87&gt;='Methodology &amp; Assumptions'!$B$7, "Tier 1 Critical GIDA (Score ≥ 50.0)", IF(X87&gt;='Methodology &amp; Assumptions'!$B$8, "Tier 2 High GIDA (Score 40.0–49.9)", "Tier 3 Moderate GIDA (Score &lt; 40.0)"))</f>
        <v/>
      </c>
      <c r="V87" s="26">
        <f>IF(S87&lt;='Methodology &amp; Assumptions'!$B$10, "Direct Optical Drop (&lt;3km)", IF(S87&lt;='Methodology &amp; Assumptions'!$B$9, "Near Optical / Microwave (&lt;5km)", "Starlink Business LEO Satellite Backhaul (&gt;5km)"))</f>
        <v/>
      </c>
      <c r="W87" s="28" t="n">
        <v>0.011</v>
      </c>
      <c r="X87" s="14" t="n">
        <v>47.94</v>
      </c>
      <c r="Y87" s="14">
        <f>ROUND(MIN(100, (X87/69.91)*100), 2)</f>
        <v/>
      </c>
    </row>
    <row r="88">
      <c r="A88" s="10" t="n">
        <v>4</v>
      </c>
      <c r="B88" s="10" t="n">
        <v>84</v>
      </c>
      <c r="C88" s="10" t="n">
        <v>3084</v>
      </c>
      <c r="D88" s="10" t="inlineStr">
        <is>
          <t>1380601244</t>
        </is>
      </c>
      <c r="E88" s="26" t="inlineStr">
        <is>
          <t>National Capital Region (NCR)</t>
        </is>
      </c>
      <c r="F88" s="26" t="inlineStr">
        <is>
          <t>First District (Not a Province)</t>
        </is>
      </c>
      <c r="G88" s="26" t="inlineStr">
        <is>
          <t>City of Manila</t>
        </is>
      </c>
      <c r="H88" s="26" t="inlineStr">
        <is>
          <t>Barangay 243</t>
        </is>
      </c>
      <c r="I88" s="27" t="n">
        <v>11.71074</v>
      </c>
      <c r="J88" s="27" t="n">
        <v>122.095306</v>
      </c>
      <c r="K88" s="10" t="inlineStr">
        <is>
          <t>U</t>
        </is>
      </c>
      <c r="L88" s="12" t="n">
        <v>449</v>
      </c>
      <c r="M88" s="14" t="n">
        <v>3.9</v>
      </c>
      <c r="N88" s="12">
        <f>ROUND(L88/M88, 0)</f>
        <v/>
      </c>
      <c r="O88" s="12">
        <f>ROUND(N88*'Methodology &amp; Assumptions'!$B$5, 0)</f>
        <v/>
      </c>
      <c r="P88" s="10" t="inlineStr">
        <is>
          <t>Single Carrier (Band n50, 100MHz TDD)</t>
        </is>
      </c>
      <c r="Q88" s="13">
        <f>ROUNDUP(O88/'Methodology &amp; Assumptions'!$B$6, 0)</f>
        <v/>
      </c>
      <c r="R88" s="13" t="n">
        <v>1</v>
      </c>
      <c r="S88" s="14" t="n">
        <v>21.58</v>
      </c>
      <c r="T88" s="14" t="n">
        <v>11.63</v>
      </c>
      <c r="U88" s="26">
        <f>IF(X88&gt;='Methodology &amp; Assumptions'!$B$7, "Tier 1 Critical GIDA (Score ≥ 50.0)", IF(X88&gt;='Methodology &amp; Assumptions'!$B$8, "Tier 2 High GIDA (Score 40.0–49.9)", "Tier 3 Moderate GIDA (Score &lt; 40.0)"))</f>
        <v/>
      </c>
      <c r="V88" s="26">
        <f>IF(S88&lt;='Methodology &amp; Assumptions'!$B$10, "Direct Optical Drop (&lt;3km)", IF(S88&lt;='Methodology &amp; Assumptions'!$B$9, "Near Optical / Microwave (&lt;5km)", "Starlink Business LEO Satellite Backhaul (&gt;5km)"))</f>
        <v/>
      </c>
      <c r="W88" s="28" t="n">
        <v>0.109</v>
      </c>
      <c r="X88" s="14" t="n">
        <v>47.94</v>
      </c>
      <c r="Y88" s="14">
        <f>ROUND(MIN(100, (X88/69.91)*100), 2)</f>
        <v/>
      </c>
    </row>
    <row r="89">
      <c r="A89" s="10" t="n">
        <v>4</v>
      </c>
      <c r="B89" s="10" t="n">
        <v>85</v>
      </c>
      <c r="C89" s="10" t="n">
        <v>3085</v>
      </c>
      <c r="D89" s="10" t="inlineStr">
        <is>
          <t>1380605081</t>
        </is>
      </c>
      <c r="E89" s="26" t="inlineStr">
        <is>
          <t>National Capital Region (NCR)</t>
        </is>
      </c>
      <c r="F89" s="26" t="inlineStr">
        <is>
          <t>First District (Not a Province)</t>
        </is>
      </c>
      <c r="G89" s="26" t="inlineStr">
        <is>
          <t>City of Manila</t>
        </is>
      </c>
      <c r="H89" s="26" t="inlineStr">
        <is>
          <t>Barangay 378</t>
        </is>
      </c>
      <c r="I89" s="27" t="n">
        <v>13.530663</v>
      </c>
      <c r="J89" s="27" t="n">
        <v>120.725821</v>
      </c>
      <c r="K89" s="10" t="inlineStr">
        <is>
          <t>U</t>
        </is>
      </c>
      <c r="L89" s="12" t="n">
        <v>620</v>
      </c>
      <c r="M89" s="14" t="n">
        <v>3.9</v>
      </c>
      <c r="N89" s="12">
        <f>ROUND(L89/M89, 0)</f>
        <v/>
      </c>
      <c r="O89" s="12">
        <f>ROUND(N89*'Methodology &amp; Assumptions'!$B$5, 0)</f>
        <v/>
      </c>
      <c r="P89" s="10" t="inlineStr">
        <is>
          <t>Single Carrier (Band n50, 100MHz TDD)</t>
        </is>
      </c>
      <c r="Q89" s="13">
        <f>ROUNDUP(O89/'Methodology &amp; Assumptions'!$B$6, 0)</f>
        <v/>
      </c>
      <c r="R89" s="13" t="n">
        <v>1</v>
      </c>
      <c r="S89" s="14" t="n">
        <v>19.73</v>
      </c>
      <c r="T89" s="14" t="n">
        <v>18.34</v>
      </c>
      <c r="U89" s="26">
        <f>IF(X89&gt;='Methodology &amp; Assumptions'!$B$7, "Tier 1 Critical GIDA (Score ≥ 50.0)", IF(X89&gt;='Methodology &amp; Assumptions'!$B$8, "Tier 2 High GIDA (Score 40.0–49.9)", "Tier 3 Moderate GIDA (Score &lt; 40.0)"))</f>
        <v/>
      </c>
      <c r="V89" s="26">
        <f>IF(S89&lt;='Methodology &amp; Assumptions'!$B$10, "Direct Optical Drop (&lt;3km)", IF(S89&lt;='Methodology &amp; Assumptions'!$B$9, "Near Optical / Microwave (&lt;5km)", "Starlink Business LEO Satellite Backhaul (&gt;5km)"))</f>
        <v/>
      </c>
      <c r="W89" s="28" t="n">
        <v>0.109</v>
      </c>
      <c r="X89" s="14" t="n">
        <v>47.93</v>
      </c>
      <c r="Y89" s="14">
        <f>ROUND(MIN(100, (X89/69.91)*100), 2)</f>
        <v/>
      </c>
    </row>
    <row r="90">
      <c r="A90" s="10" t="n">
        <v>4</v>
      </c>
      <c r="B90" s="10" t="n">
        <v>86</v>
      </c>
      <c r="C90" s="10" t="n">
        <v>3086</v>
      </c>
      <c r="D90" s="10" t="inlineStr">
        <is>
          <t>1380606215</t>
        </is>
      </c>
      <c r="E90" s="26" t="inlineStr">
        <is>
          <t>National Capital Region (NCR)</t>
        </is>
      </c>
      <c r="F90" s="26" t="inlineStr">
        <is>
          <t>First District (Not a Province)</t>
        </is>
      </c>
      <c r="G90" s="26" t="inlineStr">
        <is>
          <t>City of Manila</t>
        </is>
      </c>
      <c r="H90" s="26" t="inlineStr">
        <is>
          <t>Barangay 608</t>
        </is>
      </c>
      <c r="I90" s="27" t="n">
        <v>13.090317</v>
      </c>
      <c r="J90" s="27" t="n">
        <v>122.999297</v>
      </c>
      <c r="K90" s="10" t="inlineStr">
        <is>
          <t>U</t>
        </is>
      </c>
      <c r="L90" s="12" t="n">
        <v>779</v>
      </c>
      <c r="M90" s="14" t="n">
        <v>3.9</v>
      </c>
      <c r="N90" s="12">
        <f>ROUND(L90/M90, 0)</f>
        <v/>
      </c>
      <c r="O90" s="12">
        <f>ROUND(N90*'Methodology &amp; Assumptions'!$B$5, 0)</f>
        <v/>
      </c>
      <c r="P90" s="10" t="inlineStr">
        <is>
          <t>Single Carrier (Band n50, 100MHz TDD)</t>
        </is>
      </c>
      <c r="Q90" s="13">
        <f>ROUNDUP(O90/'Methodology &amp; Assumptions'!$B$6, 0)</f>
        <v/>
      </c>
      <c r="R90" s="13" t="n">
        <v>1</v>
      </c>
      <c r="S90" s="14" t="n">
        <v>31.98</v>
      </c>
      <c r="T90" s="14" t="n">
        <v>46.06</v>
      </c>
      <c r="U90" s="26">
        <f>IF(X90&gt;='Methodology &amp; Assumptions'!$B$7, "Tier 1 Critical GIDA (Score ≥ 50.0)", IF(X90&gt;='Methodology &amp; Assumptions'!$B$8, "Tier 2 High GIDA (Score 40.0–49.9)", "Tier 3 Moderate GIDA (Score &lt; 40.0)"))</f>
        <v/>
      </c>
      <c r="V90" s="26">
        <f>IF(S90&lt;='Methodology &amp; Assumptions'!$B$10, "Direct Optical Drop (&lt;3km)", IF(S90&lt;='Methodology &amp; Assumptions'!$B$9, "Near Optical / Microwave (&lt;5km)", "Starlink Business LEO Satellite Backhaul (&gt;5km)"))</f>
        <v/>
      </c>
      <c r="W90" s="28" t="n">
        <v>0.109</v>
      </c>
      <c r="X90" s="14" t="n">
        <v>47.93</v>
      </c>
      <c r="Y90" s="14">
        <f>ROUND(MIN(100, (X90/69.91)*100), 2)</f>
        <v/>
      </c>
    </row>
    <row r="91">
      <c r="A91" s="10" t="n">
        <v>4</v>
      </c>
      <c r="B91" s="10" t="n">
        <v>87</v>
      </c>
      <c r="C91" s="10" t="n">
        <v>3087</v>
      </c>
      <c r="D91" s="10" t="inlineStr">
        <is>
          <t>1381300040</t>
        </is>
      </c>
      <c r="E91" s="26" t="inlineStr">
        <is>
          <t>National Capital Region (NCR)</t>
        </is>
      </c>
      <c r="F91" s="26" t="inlineStr">
        <is>
          <t>Second District (Not a Province)</t>
        </is>
      </c>
      <c r="G91" s="26" t="inlineStr">
        <is>
          <t>Quezon City</t>
        </is>
      </c>
      <c r="H91" s="26" t="inlineStr">
        <is>
          <t>Escopa IV</t>
        </is>
      </c>
      <c r="I91" s="27" t="n">
        <v>14.660528</v>
      </c>
      <c r="J91" s="27" t="n">
        <v>121.021242</v>
      </c>
      <c r="K91" s="10" t="inlineStr">
        <is>
          <t>U</t>
        </is>
      </c>
      <c r="L91" s="12" t="n">
        <v>1914</v>
      </c>
      <c r="M91" s="14" t="n">
        <v>3.8</v>
      </c>
      <c r="N91" s="12">
        <f>ROUND(L91/M91, 0)</f>
        <v/>
      </c>
      <c r="O91" s="12">
        <f>ROUND(N91*'Methodology &amp; Assumptions'!$B$5, 0)</f>
        <v/>
      </c>
      <c r="P91" s="10" t="inlineStr">
        <is>
          <t>Single Carrier (Band n50, 100MHz TDD)</t>
        </is>
      </c>
      <c r="Q91" s="13">
        <f>ROUNDUP(O91/'Methodology &amp; Assumptions'!$B$6, 0)</f>
        <v/>
      </c>
      <c r="R91" s="13" t="n">
        <v>1</v>
      </c>
      <c r="S91" s="14" t="n">
        <v>0.24</v>
      </c>
      <c r="T91" s="14" t="n">
        <v>0.12</v>
      </c>
      <c r="U91" s="26">
        <f>IF(X91&gt;='Methodology &amp; Assumptions'!$B$7, "Tier 1 Critical GIDA (Score ≥ 50.0)", IF(X91&gt;='Methodology &amp; Assumptions'!$B$8, "Tier 2 High GIDA (Score 40.0–49.9)", "Tier 3 Moderate GIDA (Score &lt; 40.0)"))</f>
        <v/>
      </c>
      <c r="V91" s="26">
        <f>IF(S91&lt;='Methodology &amp; Assumptions'!$B$10, "Direct Optical Drop (&lt;3km)", IF(S91&lt;='Methodology &amp; Assumptions'!$B$9, "Near Optical / Microwave (&lt;5km)", "Starlink Business LEO Satellite Backhaul (&gt;5km)"))</f>
        <v/>
      </c>
      <c r="W91" s="28" t="n">
        <v>0.109</v>
      </c>
      <c r="X91" s="14" t="n">
        <v>47.93</v>
      </c>
      <c r="Y91" s="14">
        <f>ROUND(MIN(100, (X91/69.91)*100), 2)</f>
        <v/>
      </c>
    </row>
    <row r="92">
      <c r="A92" s="10" t="n">
        <v>4</v>
      </c>
      <c r="B92" s="10" t="n">
        <v>88</v>
      </c>
      <c r="C92" s="10" t="n">
        <v>3088</v>
      </c>
      <c r="D92" s="10" t="inlineStr">
        <is>
          <t>1380606221</t>
        </is>
      </c>
      <c r="E92" s="26" t="inlineStr">
        <is>
          <t>National Capital Region (NCR)</t>
        </is>
      </c>
      <c r="F92" s="26" t="inlineStr">
        <is>
          <t>First District (Not a Province)</t>
        </is>
      </c>
      <c r="G92" s="26" t="inlineStr">
        <is>
          <t>City of Manila</t>
        </is>
      </c>
      <c r="H92" s="26" t="inlineStr">
        <is>
          <t>Barangay 614</t>
        </is>
      </c>
      <c r="I92" s="27" t="n">
        <v>11.916374</v>
      </c>
      <c r="J92" s="27" t="n">
        <v>121.015737</v>
      </c>
      <c r="K92" s="10" t="inlineStr">
        <is>
          <t>U</t>
        </is>
      </c>
      <c r="L92" s="12" t="n">
        <v>416</v>
      </c>
      <c r="M92" s="14" t="n">
        <v>3.9</v>
      </c>
      <c r="N92" s="12">
        <f>ROUND(L92/M92, 0)</f>
        <v/>
      </c>
      <c r="O92" s="12">
        <f>ROUND(N92*'Methodology &amp; Assumptions'!$B$5, 0)</f>
        <v/>
      </c>
      <c r="P92" s="10" t="inlineStr">
        <is>
          <t>Single Carrier (Band n50, 100MHz TDD)</t>
        </is>
      </c>
      <c r="Q92" s="13">
        <f>ROUNDUP(O92/'Methodology &amp; Assumptions'!$B$6, 0)</f>
        <v/>
      </c>
      <c r="R92" s="13" t="n">
        <v>1</v>
      </c>
      <c r="S92" s="14" t="n">
        <v>46.01</v>
      </c>
      <c r="T92" s="14" t="n">
        <v>45.17</v>
      </c>
      <c r="U92" s="26">
        <f>IF(X92&gt;='Methodology &amp; Assumptions'!$B$7, "Tier 1 Critical GIDA (Score ≥ 50.0)", IF(X92&gt;='Methodology &amp; Assumptions'!$B$8, "Tier 2 High GIDA (Score 40.0–49.9)", "Tier 3 Moderate GIDA (Score &lt; 40.0)"))</f>
        <v/>
      </c>
      <c r="V92" s="26">
        <f>IF(S92&lt;='Methodology &amp; Assumptions'!$B$10, "Direct Optical Drop (&lt;3km)", IF(S92&lt;='Methodology &amp; Assumptions'!$B$9, "Near Optical / Microwave (&lt;5km)", "Starlink Business LEO Satellite Backhaul (&gt;5km)"))</f>
        <v/>
      </c>
      <c r="W92" s="28" t="n">
        <v>0.109</v>
      </c>
      <c r="X92" s="14" t="n">
        <v>47.93</v>
      </c>
      <c r="Y92" s="14">
        <f>ROUND(MIN(100, (X92/69.91)*100), 2)</f>
        <v/>
      </c>
    </row>
    <row r="93">
      <c r="A93" s="10" t="n">
        <v>4</v>
      </c>
      <c r="B93" s="10" t="n">
        <v>89</v>
      </c>
      <c r="C93" s="10" t="n">
        <v>3089</v>
      </c>
      <c r="D93" s="10" t="inlineStr">
        <is>
          <t>0405628028</t>
        </is>
      </c>
      <c r="E93" s="26" t="inlineStr">
        <is>
          <t>Region IV-A (CALABARZON)</t>
        </is>
      </c>
      <c r="F93" s="26" t="inlineStr">
        <is>
          <t>Quezon</t>
        </is>
      </c>
      <c r="G93" s="26" t="inlineStr">
        <is>
          <t>Mulanay</t>
        </is>
      </c>
      <c r="H93" s="26" t="inlineStr">
        <is>
          <t>Sagongon</t>
        </is>
      </c>
      <c r="I93" s="27" t="n">
        <v>13.523949</v>
      </c>
      <c r="J93" s="27" t="n">
        <v>122.450391</v>
      </c>
      <c r="K93" s="10" t="inlineStr">
        <is>
          <t>R</t>
        </is>
      </c>
      <c r="L93" s="12" t="n">
        <v>397</v>
      </c>
      <c r="M93" s="14" t="n">
        <v>3.8</v>
      </c>
      <c r="N93" s="12">
        <f>ROUND(L93/M93, 0)</f>
        <v/>
      </c>
      <c r="O93" s="12">
        <f>ROUND(N93*'Methodology &amp; Assumptions'!$B$5, 0)</f>
        <v/>
      </c>
      <c r="P93" s="10" t="inlineStr">
        <is>
          <t>Single Carrier (Band n50, 100MHz TDD)</t>
        </is>
      </c>
      <c r="Q93" s="13">
        <f>ROUNDUP(O93/'Methodology &amp; Assumptions'!$B$6, 0)</f>
        <v/>
      </c>
      <c r="R93" s="13" t="n">
        <v>1</v>
      </c>
      <c r="S93" s="14" t="n">
        <v>4.79</v>
      </c>
      <c r="T93" s="14" t="n">
        <v>4.68</v>
      </c>
      <c r="U93" s="26">
        <f>IF(X93&gt;='Methodology &amp; Assumptions'!$B$7, "Tier 1 Critical GIDA (Score ≥ 50.0)", IF(X93&gt;='Methodology &amp; Assumptions'!$B$8, "Tier 2 High GIDA (Score 40.0–49.9)", "Tier 3 Moderate GIDA (Score &lt; 40.0)"))</f>
        <v/>
      </c>
      <c r="V93" s="26">
        <f>IF(S93&lt;='Methodology &amp; Assumptions'!$B$10, "Direct Optical Drop (&lt;3km)", IF(S93&lt;='Methodology &amp; Assumptions'!$B$9, "Near Optical / Microwave (&lt;5km)", "Starlink Business LEO Satellite Backhaul (&gt;5km)"))</f>
        <v/>
      </c>
      <c r="W93" s="28" t="n">
        <v>0.07200000000000001</v>
      </c>
      <c r="X93" s="14" t="n">
        <v>47.93</v>
      </c>
      <c r="Y93" s="14">
        <f>ROUND(MIN(100, (X93/69.91)*100), 2)</f>
        <v/>
      </c>
    </row>
    <row r="94">
      <c r="A94" s="10" t="n">
        <v>4</v>
      </c>
      <c r="B94" s="10" t="n">
        <v>90</v>
      </c>
      <c r="C94" s="10" t="n">
        <v>3090</v>
      </c>
      <c r="D94" s="10" t="inlineStr">
        <is>
          <t>PH0003090</t>
        </is>
      </c>
      <c r="E94" s="26" t="inlineStr">
        <is>
          <t>NCR</t>
        </is>
      </c>
      <c r="F94" s="26" t="inlineStr">
        <is>
          <t>Metro Manila</t>
        </is>
      </c>
      <c r="G94" s="26" t="inlineStr">
        <is>
          <t>Caloocan City</t>
        </is>
      </c>
      <c r="H94" s="26" t="inlineStr">
        <is>
          <t>Barangay 99</t>
        </is>
      </c>
      <c r="I94" s="27" t="n">
        <v>12.556712</v>
      </c>
      <c r="J94" s="27" t="n">
        <v>123.268504</v>
      </c>
      <c r="K94" s="10" t="inlineStr">
        <is>
          <t>R</t>
        </is>
      </c>
      <c r="L94" s="12" t="n">
        <v>2279</v>
      </c>
      <c r="M94" s="14" t="n">
        <v>3.8</v>
      </c>
      <c r="N94" s="12">
        <f>ROUND(L94/M94, 0)</f>
        <v/>
      </c>
      <c r="O94" s="12">
        <f>ROUND(N94*'Methodology &amp; Assumptions'!$B$5, 0)</f>
        <v/>
      </c>
      <c r="P94" s="10" t="inlineStr">
        <is>
          <t>Single Carrier (Band n50, 100MHz TDD)</t>
        </is>
      </c>
      <c r="Q94" s="13">
        <f>ROUNDUP(O94/'Methodology &amp; Assumptions'!$B$6, 0)</f>
        <v/>
      </c>
      <c r="R94" s="13" t="n">
        <v>1</v>
      </c>
      <c r="S94" s="14" t="n">
        <v>15.05</v>
      </c>
      <c r="T94" s="14" t="n">
        <v>18.65</v>
      </c>
      <c r="U94" s="26">
        <f>IF(X94&gt;='Methodology &amp; Assumptions'!$B$7, "Tier 1 Critical GIDA (Score ≥ 50.0)", IF(X94&gt;='Methodology &amp; Assumptions'!$B$8, "Tier 2 High GIDA (Score 40.0–49.9)", "Tier 3 Moderate GIDA (Score &lt; 40.0)"))</f>
        <v/>
      </c>
      <c r="V94" s="26">
        <f>IF(S94&lt;='Methodology &amp; Assumptions'!$B$10, "Direct Optical Drop (&lt;3km)", IF(S94&lt;='Methodology &amp; Assumptions'!$B$9, "Near Optical / Microwave (&lt;5km)", "Starlink Business LEO Satellite Backhaul (&gt;5km)"))</f>
        <v/>
      </c>
      <c r="W94" s="28" t="n">
        <v>0.011</v>
      </c>
      <c r="X94" s="14" t="n">
        <v>47.93</v>
      </c>
      <c r="Y94" s="14">
        <f>ROUND(MIN(100, (X94/69.91)*100), 2)</f>
        <v/>
      </c>
    </row>
    <row r="95">
      <c r="A95" s="10" t="n">
        <v>4</v>
      </c>
      <c r="B95" s="10" t="n">
        <v>91</v>
      </c>
      <c r="C95" s="10" t="n">
        <v>3091</v>
      </c>
      <c r="D95" s="10" t="inlineStr">
        <is>
          <t>1380610041</t>
        </is>
      </c>
      <c r="E95" s="26" t="inlineStr">
        <is>
          <t>National Capital Region (NCR)</t>
        </is>
      </c>
      <c r="F95" s="26" t="inlineStr">
        <is>
          <t>First District (Not a Province)</t>
        </is>
      </c>
      <c r="G95" s="26" t="inlineStr">
        <is>
          <t>City of Manila</t>
        </is>
      </c>
      <c r="H95" s="26" t="inlineStr">
        <is>
          <t>Barangay 726</t>
        </is>
      </c>
      <c r="I95" s="27" t="n">
        <v>14.090669</v>
      </c>
      <c r="J95" s="27" t="n">
        <v>121.66532</v>
      </c>
      <c r="K95" s="10" t="inlineStr">
        <is>
          <t>U</t>
        </is>
      </c>
      <c r="L95" s="12" t="n">
        <v>613</v>
      </c>
      <c r="M95" s="14" t="n">
        <v>3.9</v>
      </c>
      <c r="N95" s="12">
        <f>ROUND(L95/M95, 0)</f>
        <v/>
      </c>
      <c r="O95" s="12">
        <f>ROUND(N95*'Methodology &amp; Assumptions'!$B$5, 0)</f>
        <v/>
      </c>
      <c r="P95" s="10" t="inlineStr">
        <is>
          <t>Single Carrier (Band n50, 100MHz TDD)</t>
        </is>
      </c>
      <c r="Q95" s="13">
        <f>ROUNDUP(O95/'Methodology &amp; Assumptions'!$B$6, 0)</f>
        <v/>
      </c>
      <c r="R95" s="13" t="n">
        <v>1</v>
      </c>
      <c r="S95" s="14" t="n">
        <v>8.52</v>
      </c>
      <c r="T95" s="14" t="n">
        <v>8.9</v>
      </c>
      <c r="U95" s="26">
        <f>IF(X95&gt;='Methodology &amp; Assumptions'!$B$7, "Tier 1 Critical GIDA (Score ≥ 50.0)", IF(X95&gt;='Methodology &amp; Assumptions'!$B$8, "Tier 2 High GIDA (Score 40.0–49.9)", "Tier 3 Moderate GIDA (Score &lt; 40.0)"))</f>
        <v/>
      </c>
      <c r="V95" s="26">
        <f>IF(S95&lt;='Methodology &amp; Assumptions'!$B$10, "Direct Optical Drop (&lt;3km)", IF(S95&lt;='Methodology &amp; Assumptions'!$B$9, "Near Optical / Microwave (&lt;5km)", "Starlink Business LEO Satellite Backhaul (&gt;5km)"))</f>
        <v/>
      </c>
      <c r="W95" s="28" t="n">
        <v>0.109</v>
      </c>
      <c r="X95" s="14" t="n">
        <v>47.93</v>
      </c>
      <c r="Y95" s="14">
        <f>ROUND(MIN(100, (X95/69.91)*100), 2)</f>
        <v/>
      </c>
    </row>
    <row r="96">
      <c r="A96" s="10" t="n">
        <v>4</v>
      </c>
      <c r="B96" s="10" t="n">
        <v>92</v>
      </c>
      <c r="C96" s="10" t="n">
        <v>3092</v>
      </c>
      <c r="D96" s="10" t="inlineStr">
        <is>
          <t>0201522017</t>
        </is>
      </c>
      <c r="E96" s="26" t="inlineStr">
        <is>
          <t>Region II (Cagayan Valley)</t>
        </is>
      </c>
      <c r="F96" s="26" t="inlineStr">
        <is>
          <t>Cagayan</t>
        </is>
      </c>
      <c r="G96" s="26" t="inlineStr">
        <is>
          <t>Sanchez-Mira</t>
        </is>
      </c>
      <c r="H96" s="26" t="inlineStr">
        <is>
          <t>Santiago</t>
        </is>
      </c>
      <c r="I96" s="27" t="n">
        <v>18.52305</v>
      </c>
      <c r="J96" s="27" t="n">
        <v>121.235806</v>
      </c>
      <c r="K96" s="10" t="inlineStr">
        <is>
          <t>R</t>
        </is>
      </c>
      <c r="L96" s="12" t="n">
        <v>262</v>
      </c>
      <c r="M96" s="14" t="n">
        <v>3.9</v>
      </c>
      <c r="N96" s="12">
        <f>ROUND(L96/M96, 0)</f>
        <v/>
      </c>
      <c r="O96" s="12">
        <f>ROUND(N96*'Methodology &amp; Assumptions'!$B$5, 0)</f>
        <v/>
      </c>
      <c r="P96" s="10" t="inlineStr">
        <is>
          <t>Single Carrier (Band n50, 100MHz TDD)</t>
        </is>
      </c>
      <c r="Q96" s="13">
        <f>ROUNDUP(O96/'Methodology &amp; Assumptions'!$B$6, 0)</f>
        <v/>
      </c>
      <c r="R96" s="13" t="n">
        <v>1</v>
      </c>
      <c r="S96" s="14" t="n">
        <v>3.93</v>
      </c>
      <c r="T96" s="14" t="n">
        <v>3.16</v>
      </c>
      <c r="U96" s="26">
        <f>IF(X96&gt;='Methodology &amp; Assumptions'!$B$7, "Tier 1 Critical GIDA (Score ≥ 50.0)", IF(X96&gt;='Methodology &amp; Assumptions'!$B$8, "Tier 2 High GIDA (Score 40.0–49.9)", "Tier 3 Moderate GIDA (Score &lt; 40.0)"))</f>
        <v/>
      </c>
      <c r="V96" s="26">
        <f>IF(S96&lt;='Methodology &amp; Assumptions'!$B$10, "Direct Optical Drop (&lt;3km)", IF(S96&lt;='Methodology &amp; Assumptions'!$B$9, "Near Optical / Microwave (&lt;5km)", "Starlink Business LEO Satellite Backhaul (&gt;5km)"))</f>
        <v/>
      </c>
      <c r="W96" s="28" t="n">
        <v>0.083</v>
      </c>
      <c r="X96" s="14" t="n">
        <v>47.93</v>
      </c>
      <c r="Y96" s="14">
        <f>ROUND(MIN(100, (X96/69.91)*100), 2)</f>
        <v/>
      </c>
    </row>
    <row r="97">
      <c r="A97" s="10" t="n">
        <v>4</v>
      </c>
      <c r="B97" s="10" t="n">
        <v>93</v>
      </c>
      <c r="C97" s="10" t="n">
        <v>3093</v>
      </c>
      <c r="D97" s="10" t="inlineStr">
        <is>
          <t>1380614009</t>
        </is>
      </c>
      <c r="E97" s="26" t="inlineStr">
        <is>
          <t>National Capital Region (NCR)</t>
        </is>
      </c>
      <c r="F97" s="26" t="inlineStr">
        <is>
          <t>First District (Not a Province)</t>
        </is>
      </c>
      <c r="G97" s="26" t="inlineStr">
        <is>
          <t>City of Manila</t>
        </is>
      </c>
      <c r="H97" s="26" t="inlineStr">
        <is>
          <t>Barangay 752</t>
        </is>
      </c>
      <c r="I97" s="27" t="n">
        <v>12.057544</v>
      </c>
      <c r="J97" s="27" t="n">
        <v>122.694382</v>
      </c>
      <c r="K97" s="10" t="inlineStr">
        <is>
          <t>U</t>
        </is>
      </c>
      <c r="L97" s="12" t="n">
        <v>786</v>
      </c>
      <c r="M97" s="14" t="n">
        <v>3.9</v>
      </c>
      <c r="N97" s="12">
        <f>ROUND(L97/M97, 0)</f>
        <v/>
      </c>
      <c r="O97" s="12">
        <f>ROUND(N97*'Methodology &amp; Assumptions'!$B$5, 0)</f>
        <v/>
      </c>
      <c r="P97" s="10" t="inlineStr">
        <is>
          <t>Single Carrier (Band n50, 100MHz TDD)</t>
        </is>
      </c>
      <c r="Q97" s="13">
        <f>ROUNDUP(O97/'Methodology &amp; Assumptions'!$B$6, 0)</f>
        <v/>
      </c>
      <c r="R97" s="13" t="n">
        <v>1</v>
      </c>
      <c r="S97" s="14" t="n">
        <v>50</v>
      </c>
      <c r="T97" s="14" t="n">
        <v>27.37</v>
      </c>
      <c r="U97" s="26">
        <f>IF(X97&gt;='Methodology &amp; Assumptions'!$B$7, "Tier 1 Critical GIDA (Score ≥ 50.0)", IF(X97&gt;='Methodology &amp; Assumptions'!$B$8, "Tier 2 High GIDA (Score 40.0–49.9)", "Tier 3 Moderate GIDA (Score &lt; 40.0)"))</f>
        <v/>
      </c>
      <c r="V97" s="26">
        <f>IF(S97&lt;='Methodology &amp; Assumptions'!$B$10, "Direct Optical Drop (&lt;3km)", IF(S97&lt;='Methodology &amp; Assumptions'!$B$9, "Near Optical / Microwave (&lt;5km)", "Starlink Business LEO Satellite Backhaul (&gt;5km)"))</f>
        <v/>
      </c>
      <c r="W97" s="28" t="n">
        <v>0.109</v>
      </c>
      <c r="X97" s="14" t="n">
        <v>47.93</v>
      </c>
      <c r="Y97" s="14">
        <f>ROUND(MIN(100, (X97/69.91)*100), 2)</f>
        <v/>
      </c>
    </row>
    <row r="98">
      <c r="A98" s="10" t="n">
        <v>4</v>
      </c>
      <c r="B98" s="10" t="n">
        <v>94</v>
      </c>
      <c r="C98" s="10" t="n">
        <v>3094</v>
      </c>
      <c r="D98" s="10" t="inlineStr">
        <is>
          <t>0403425029</t>
        </is>
      </c>
      <c r="E98" s="26" t="inlineStr">
        <is>
          <t>Region IV-A (CALABARZON)</t>
        </is>
      </c>
      <c r="F98" s="26" t="inlineStr">
        <is>
          <t>Laguna</t>
        </is>
      </c>
      <c r="G98" s="26" t="inlineStr">
        <is>
          <t>City of San Pedro</t>
        </is>
      </c>
      <c r="H98" s="26" t="inlineStr">
        <is>
          <t>San Lorenzo Ruiz</t>
        </is>
      </c>
      <c r="I98" s="27" t="n">
        <v>14.231637</v>
      </c>
      <c r="J98" s="27" t="n">
        <v>121.289217</v>
      </c>
      <c r="K98" s="10" t="inlineStr">
        <is>
          <t>U</t>
        </is>
      </c>
      <c r="L98" s="12" t="n">
        <v>6358</v>
      </c>
      <c r="M98" s="14" t="n">
        <v>3.3</v>
      </c>
      <c r="N98" s="12">
        <f>ROUND(L98/M98, 0)</f>
        <v/>
      </c>
      <c r="O98" s="12">
        <f>ROUND(N98*'Methodology &amp; Assumptions'!$B$5, 0)</f>
        <v/>
      </c>
      <c r="P98" s="10" t="inlineStr">
        <is>
          <t>Single Carrier (Band n50, 100MHz TDD)</t>
        </is>
      </c>
      <c r="Q98" s="13">
        <f>ROUNDUP(O98/'Methodology &amp; Assumptions'!$B$6, 0)</f>
        <v/>
      </c>
      <c r="R98" s="13" t="n">
        <v>1</v>
      </c>
      <c r="S98" s="14" t="n">
        <v>5.71</v>
      </c>
      <c r="T98" s="14" t="n">
        <v>5.82</v>
      </c>
      <c r="U98" s="26">
        <f>IF(X98&gt;='Methodology &amp; Assumptions'!$B$7, "Tier 1 Critical GIDA (Score ≥ 50.0)", IF(X98&gt;='Methodology &amp; Assumptions'!$B$8, "Tier 2 High GIDA (Score 40.0–49.9)", "Tier 3 Moderate GIDA (Score &lt; 40.0)"))</f>
        <v/>
      </c>
      <c r="V98" s="26">
        <f>IF(S98&lt;='Methodology &amp; Assumptions'!$B$10, "Direct Optical Drop (&lt;3km)", IF(S98&lt;='Methodology &amp; Assumptions'!$B$9, "Near Optical / Microwave (&lt;5km)", "Starlink Business LEO Satellite Backhaul (&gt;5km)"))</f>
        <v/>
      </c>
      <c r="W98" s="28" t="n">
        <v>0.07200000000000001</v>
      </c>
      <c r="X98" s="14" t="n">
        <v>47.93</v>
      </c>
      <c r="Y98" s="14">
        <f>ROUND(MIN(100, (X98/69.91)*100), 2)</f>
        <v/>
      </c>
    </row>
    <row r="99">
      <c r="A99" s="10" t="n">
        <v>4</v>
      </c>
      <c r="B99" s="10" t="n">
        <v>95</v>
      </c>
      <c r="C99" s="10" t="n">
        <v>3095</v>
      </c>
      <c r="D99" s="10" t="inlineStr">
        <is>
          <t>PH0003095</t>
        </is>
      </c>
      <c r="E99" s="26" t="inlineStr">
        <is>
          <t>NCR</t>
        </is>
      </c>
      <c r="F99" s="26" t="inlineStr">
        <is>
          <t>Metro Manila</t>
        </is>
      </c>
      <c r="G99" s="26" t="inlineStr">
        <is>
          <t>Caloocan City</t>
        </is>
      </c>
      <c r="H99" s="26" t="inlineStr">
        <is>
          <t>Barangay 46</t>
        </is>
      </c>
      <c r="I99" s="27" t="n">
        <v>12.132887</v>
      </c>
      <c r="J99" s="27" t="n">
        <v>120.447098</v>
      </c>
      <c r="K99" s="10" t="inlineStr">
        <is>
          <t>R</t>
        </is>
      </c>
      <c r="L99" s="12" t="n">
        <v>2279</v>
      </c>
      <c r="M99" s="14" t="n">
        <v>3.8</v>
      </c>
      <c r="N99" s="12">
        <f>ROUND(L99/M99, 0)</f>
        <v/>
      </c>
      <c r="O99" s="12">
        <f>ROUND(N99*'Methodology &amp; Assumptions'!$B$5, 0)</f>
        <v/>
      </c>
      <c r="P99" s="10" t="inlineStr">
        <is>
          <t>Single Carrier (Band n50, 100MHz TDD)</t>
        </is>
      </c>
      <c r="Q99" s="13">
        <f>ROUNDUP(O99/'Methodology &amp; Assumptions'!$B$6, 0)</f>
        <v/>
      </c>
      <c r="R99" s="13" t="n">
        <v>1</v>
      </c>
      <c r="S99" s="14" t="n">
        <v>25.97</v>
      </c>
      <c r="T99" s="14" t="n">
        <v>71.09</v>
      </c>
      <c r="U99" s="26">
        <f>IF(X99&gt;='Methodology &amp; Assumptions'!$B$7, "Tier 1 Critical GIDA (Score ≥ 50.0)", IF(X99&gt;='Methodology &amp; Assumptions'!$B$8, "Tier 2 High GIDA (Score 40.0–49.9)", "Tier 3 Moderate GIDA (Score &lt; 40.0)"))</f>
        <v/>
      </c>
      <c r="V99" s="26">
        <f>IF(S99&lt;='Methodology &amp; Assumptions'!$B$10, "Direct Optical Drop (&lt;3km)", IF(S99&lt;='Methodology &amp; Assumptions'!$B$9, "Near Optical / Microwave (&lt;5km)", "Starlink Business LEO Satellite Backhaul (&gt;5km)"))</f>
        <v/>
      </c>
      <c r="W99" s="28" t="n">
        <v>0.011</v>
      </c>
      <c r="X99" s="14" t="n">
        <v>47.92</v>
      </c>
      <c r="Y99" s="14">
        <f>ROUND(MIN(100, (X99/69.91)*100), 2)</f>
        <v/>
      </c>
    </row>
    <row r="100">
      <c r="A100" s="10" t="n">
        <v>4</v>
      </c>
      <c r="B100" s="10" t="n">
        <v>96</v>
      </c>
      <c r="C100" s="10" t="n">
        <v>3096</v>
      </c>
      <c r="D100" s="10" t="inlineStr">
        <is>
          <t>0600406009</t>
        </is>
      </c>
      <c r="E100" s="26" t="inlineStr">
        <is>
          <t>Region VI (Western Visayas)</t>
        </is>
      </c>
      <c r="F100" s="26" t="inlineStr">
        <is>
          <t>Aklan</t>
        </is>
      </c>
      <c r="G100" s="26" t="inlineStr">
        <is>
          <t>Ibajay</t>
        </is>
      </c>
      <c r="H100" s="26" t="inlineStr">
        <is>
          <t>Buenavista</t>
        </is>
      </c>
      <c r="I100" s="27" t="n">
        <v>11.805523</v>
      </c>
      <c r="J100" s="27" t="n">
        <v>122.173462</v>
      </c>
      <c r="K100" s="10" t="inlineStr">
        <is>
          <t>R</t>
        </is>
      </c>
      <c r="L100" s="12" t="n">
        <v>557</v>
      </c>
      <c r="M100" s="14" t="n">
        <v>3.9</v>
      </c>
      <c r="N100" s="12">
        <f>ROUND(L100/M100, 0)</f>
        <v/>
      </c>
      <c r="O100" s="12">
        <f>ROUND(N100*'Methodology &amp; Assumptions'!$B$5, 0)</f>
        <v/>
      </c>
      <c r="P100" s="10" t="inlineStr">
        <is>
          <t>Single Carrier (Band n50, 100MHz TDD)</t>
        </is>
      </c>
      <c r="Q100" s="13">
        <f>ROUNDUP(O100/'Methodology &amp; Assumptions'!$B$6, 0)</f>
        <v/>
      </c>
      <c r="R100" s="13" t="n">
        <v>1</v>
      </c>
      <c r="S100" s="14" t="n">
        <v>16.42</v>
      </c>
      <c r="T100" s="14" t="n">
        <v>0.95</v>
      </c>
      <c r="U100" s="26">
        <f>IF(X100&gt;='Methodology &amp; Assumptions'!$B$7, "Tier 1 Critical GIDA (Score ≥ 50.0)", IF(X100&gt;='Methodology &amp; Assumptions'!$B$8, "Tier 2 High GIDA (Score 40.0–49.9)", "Tier 3 Moderate GIDA (Score &lt; 40.0)"))</f>
        <v/>
      </c>
      <c r="V100" s="26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W100" s="28" t="n">
        <v>0.237</v>
      </c>
      <c r="X100" s="14" t="n">
        <v>47.92</v>
      </c>
      <c r="Y100" s="14">
        <f>ROUND(MIN(100, (X100/69.91)*100), 2)</f>
        <v/>
      </c>
    </row>
    <row r="101">
      <c r="A101" s="10" t="n">
        <v>4</v>
      </c>
      <c r="B101" s="10" t="n">
        <v>97</v>
      </c>
      <c r="C101" s="10" t="n">
        <v>3097</v>
      </c>
      <c r="D101" s="10" t="inlineStr">
        <is>
          <t>1381000013</t>
        </is>
      </c>
      <c r="E101" s="26" t="inlineStr">
        <is>
          <t>National Capital Region (NCR)</t>
        </is>
      </c>
      <c r="F101" s="26" t="inlineStr">
        <is>
          <t>Fourth District (Not a Province)</t>
        </is>
      </c>
      <c r="G101" s="26" t="inlineStr">
        <is>
          <t>City of Parañaque</t>
        </is>
      </c>
      <c r="H101" s="26" t="inlineStr">
        <is>
          <t>San Isidro</t>
        </is>
      </c>
      <c r="I101" s="27" t="n">
        <v>14.471452</v>
      </c>
      <c r="J101" s="27" t="n">
        <v>121.012207</v>
      </c>
      <c r="K101" s="10" t="inlineStr">
        <is>
          <t>U</t>
        </is>
      </c>
      <c r="L101" s="12" t="n">
        <v>80897</v>
      </c>
      <c r="M101" s="14" t="n">
        <v>3.2</v>
      </c>
      <c r="N101" s="12">
        <f>ROUND(L101/M101, 0)</f>
        <v/>
      </c>
      <c r="O101" s="12">
        <f>ROUND(N101*'Methodology &amp; Assumptions'!$B$5, 0)</f>
        <v/>
      </c>
      <c r="P101" s="10" t="inlineStr">
        <is>
          <t>Single Carrier (Band n50, 100MHz TDD)</t>
        </is>
      </c>
      <c r="Q101" s="13">
        <f>ROUNDUP(O101/'Methodology &amp; Assumptions'!$B$6, 0)</f>
        <v/>
      </c>
      <c r="R101" s="13" t="n">
        <v>1</v>
      </c>
      <c r="S101" s="14" t="n">
        <v>2.41</v>
      </c>
      <c r="T101" s="14" t="n">
        <v>0.29</v>
      </c>
      <c r="U101" s="26">
        <f>IF(X101&gt;='Methodology &amp; Assumptions'!$B$7, "Tier 1 Critical GIDA (Score ≥ 50.0)", IF(X101&gt;='Methodology &amp; Assumptions'!$B$8, "Tier 2 High GIDA (Score 40.0–49.9)", "Tier 3 Moderate GIDA (Score &lt; 40.0)"))</f>
        <v/>
      </c>
      <c r="V101" s="26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W101" s="28" t="n">
        <v>0.109</v>
      </c>
      <c r="X101" s="14" t="n">
        <v>47.92</v>
      </c>
      <c r="Y101" s="14">
        <f>ROUND(MIN(100, (X101/69.91)*100), 2)</f>
        <v/>
      </c>
    </row>
    <row r="102">
      <c r="A102" s="10" t="n">
        <v>4</v>
      </c>
      <c r="B102" s="10" t="n">
        <v>98</v>
      </c>
      <c r="C102" s="10" t="n">
        <v>3098</v>
      </c>
      <c r="D102" s="10" t="inlineStr">
        <is>
          <t>1380610045</t>
        </is>
      </c>
      <c r="E102" s="26" t="inlineStr">
        <is>
          <t>National Capital Region (NCR)</t>
        </is>
      </c>
      <c r="F102" s="26" t="inlineStr">
        <is>
          <t>First District (Not a Province)</t>
        </is>
      </c>
      <c r="G102" s="26" t="inlineStr">
        <is>
          <t>City of Manila</t>
        </is>
      </c>
      <c r="H102" s="26" t="inlineStr">
        <is>
          <t>Barangay 730</t>
        </is>
      </c>
      <c r="I102" s="27" t="n">
        <v>13.703679</v>
      </c>
      <c r="J102" s="27" t="n">
        <v>122.696424</v>
      </c>
      <c r="K102" s="10" t="inlineStr">
        <is>
          <t>U</t>
        </is>
      </c>
      <c r="L102" s="12" t="n">
        <v>1586</v>
      </c>
      <c r="M102" s="14" t="n">
        <v>3.9</v>
      </c>
      <c r="N102" s="12">
        <f>ROUND(L102/M102, 0)</f>
        <v/>
      </c>
      <c r="O102" s="12">
        <f>ROUND(N102*'Methodology &amp; Assumptions'!$B$5, 0)</f>
        <v/>
      </c>
      <c r="P102" s="10" t="inlineStr">
        <is>
          <t>Single Carrier (Band n50, 100MHz TDD)</t>
        </is>
      </c>
      <c r="Q102" s="13">
        <f>ROUNDUP(O102/'Methodology &amp; Assumptions'!$B$6, 0)</f>
        <v/>
      </c>
      <c r="R102" s="13" t="n">
        <v>1</v>
      </c>
      <c r="S102" s="14" t="n">
        <v>16</v>
      </c>
      <c r="T102" s="14" t="n">
        <v>14.12</v>
      </c>
      <c r="U102" s="26">
        <f>IF(X102&gt;='Methodology &amp; Assumptions'!$B$7, "Tier 1 Critical GIDA (Score ≥ 50.0)", IF(X102&gt;='Methodology &amp; Assumptions'!$B$8, "Tier 2 High GIDA (Score 40.0–49.9)", "Tier 3 Moderate GIDA (Score &lt; 40.0)"))</f>
        <v/>
      </c>
      <c r="V102" s="26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W102" s="28" t="n">
        <v>0.109</v>
      </c>
      <c r="X102" s="14" t="n">
        <v>47.91</v>
      </c>
      <c r="Y102" s="14">
        <f>ROUND(MIN(100, (X102/69.91)*100), 2)</f>
        <v/>
      </c>
    </row>
    <row r="103">
      <c r="A103" s="10" t="n">
        <v>4</v>
      </c>
      <c r="B103" s="10" t="n">
        <v>99</v>
      </c>
      <c r="C103" s="10" t="n">
        <v>3099</v>
      </c>
      <c r="D103" s="10" t="inlineStr">
        <is>
          <t>PH0003099</t>
        </is>
      </c>
      <c r="E103" s="26" t="inlineStr">
        <is>
          <t>NCR</t>
        </is>
      </c>
      <c r="F103" s="26" t="inlineStr">
        <is>
          <t>Metro Manila</t>
        </is>
      </c>
      <c r="G103" s="26" t="inlineStr">
        <is>
          <t>Caloocan City</t>
        </is>
      </c>
      <c r="H103" s="26" t="inlineStr">
        <is>
          <t>Barangay 44</t>
        </is>
      </c>
      <c r="I103" s="27" t="n">
        <v>14.305483</v>
      </c>
      <c r="J103" s="27" t="n">
        <v>122.23515</v>
      </c>
      <c r="K103" s="10" t="inlineStr">
        <is>
          <t>R</t>
        </is>
      </c>
      <c r="L103" s="12" t="n">
        <v>2279</v>
      </c>
      <c r="M103" s="14" t="n">
        <v>3.8</v>
      </c>
      <c r="N103" s="12">
        <f>ROUND(L103/M103, 0)</f>
        <v/>
      </c>
      <c r="O103" s="12">
        <f>ROUND(N103*'Methodology &amp; Assumptions'!$B$5, 0)</f>
        <v/>
      </c>
      <c r="P103" s="10" t="inlineStr">
        <is>
          <t>Single Carrier (Band n50, 100MHz TDD)</t>
        </is>
      </c>
      <c r="Q103" s="13">
        <f>ROUNDUP(O103/'Methodology &amp; Assumptions'!$B$6, 0)</f>
        <v/>
      </c>
      <c r="R103" s="13" t="n">
        <v>1</v>
      </c>
      <c r="S103" s="14" t="n">
        <v>20.36</v>
      </c>
      <c r="T103" s="14" t="n">
        <v>21.34</v>
      </c>
      <c r="U103" s="26">
        <f>IF(X103&gt;='Methodology &amp; Assumptions'!$B$7, "Tier 1 Critical GIDA (Score ≥ 50.0)", IF(X103&gt;='Methodology &amp; Assumptions'!$B$8, "Tier 2 High GIDA (Score 40.0–49.9)", "Tier 3 Moderate GIDA (Score &lt; 40.0)"))</f>
        <v/>
      </c>
      <c r="V103" s="26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W103" s="28" t="n">
        <v>0.011</v>
      </c>
      <c r="X103" s="14" t="n">
        <v>47.91</v>
      </c>
      <c r="Y103" s="14">
        <f>ROUND(MIN(100, (X103/69.91)*100), 2)</f>
        <v/>
      </c>
    </row>
    <row r="104">
      <c r="A104" s="10" t="n">
        <v>4</v>
      </c>
      <c r="B104" s="10" t="n">
        <v>100</v>
      </c>
      <c r="C104" s="10" t="n">
        <v>3100</v>
      </c>
      <c r="D104" s="10" t="inlineStr">
        <is>
          <t>1380614016</t>
        </is>
      </c>
      <c r="E104" s="26" t="inlineStr">
        <is>
          <t>National Capital Region (NCR)</t>
        </is>
      </c>
      <c r="F104" s="26" t="inlineStr">
        <is>
          <t>First District (Not a Province)</t>
        </is>
      </c>
      <c r="G104" s="26" t="inlineStr">
        <is>
          <t>City of Manila</t>
        </is>
      </c>
      <c r="H104" s="26" t="inlineStr">
        <is>
          <t>Barangay 760</t>
        </is>
      </c>
      <c r="I104" s="27" t="n">
        <v>11.663353</v>
      </c>
      <c r="J104" s="27" t="n">
        <v>121.664837</v>
      </c>
      <c r="K104" s="10" t="inlineStr">
        <is>
          <t>U</t>
        </is>
      </c>
      <c r="L104" s="12" t="n">
        <v>1073</v>
      </c>
      <c r="M104" s="14" t="n">
        <v>3.9</v>
      </c>
      <c r="N104" s="12">
        <f>ROUND(L104/M104, 0)</f>
        <v/>
      </c>
      <c r="O104" s="12">
        <f>ROUND(N104*'Methodology &amp; Assumptions'!$B$5, 0)</f>
        <v/>
      </c>
      <c r="P104" s="10" t="inlineStr">
        <is>
          <t>Single Carrier (Band n50, 100MHz TDD)</t>
        </is>
      </c>
      <c r="Q104" s="13">
        <f>ROUNDUP(O104/'Methodology &amp; Assumptions'!$B$6, 0)</f>
        <v/>
      </c>
      <c r="R104" s="13" t="n">
        <v>1</v>
      </c>
      <c r="S104" s="14" t="n">
        <v>44.04</v>
      </c>
      <c r="T104" s="14" t="n">
        <v>42.33</v>
      </c>
      <c r="U104" s="26">
        <f>IF(X104&gt;='Methodology &amp; Assumptions'!$B$7, "Tier 1 Critical GIDA (Score ≥ 50.0)", IF(X104&gt;='Methodology &amp; Assumptions'!$B$8, "Tier 2 High GIDA (Score 40.0–49.9)", "Tier 3 Moderate GIDA (Score &lt; 40.0)"))</f>
        <v/>
      </c>
      <c r="V104" s="26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W104" s="28" t="n">
        <v>0.109</v>
      </c>
      <c r="X104" s="14" t="n">
        <v>47.91</v>
      </c>
      <c r="Y104" s="14">
        <f>ROUND(MIN(100, (X104/69.91)*100), 2)</f>
        <v/>
      </c>
    </row>
    <row r="105">
      <c r="A105" s="10" t="n">
        <v>4</v>
      </c>
      <c r="B105" s="10" t="n">
        <v>101</v>
      </c>
      <c r="C105" s="10" t="n">
        <v>3101</v>
      </c>
      <c r="D105" s="10" t="inlineStr">
        <is>
          <t>1380606095</t>
        </is>
      </c>
      <c r="E105" s="26" t="inlineStr">
        <is>
          <t>National Capital Region (NCR)</t>
        </is>
      </c>
      <c r="F105" s="26" t="inlineStr">
        <is>
          <t>First District (Not a Province)</t>
        </is>
      </c>
      <c r="G105" s="26" t="inlineStr">
        <is>
          <t>City of Manila</t>
        </is>
      </c>
      <c r="H105" s="26" t="inlineStr">
        <is>
          <t>Barangay 489</t>
        </is>
      </c>
      <c r="I105" s="27" t="n">
        <v>13.84945</v>
      </c>
      <c r="J105" s="27" t="n">
        <v>121.01068</v>
      </c>
      <c r="K105" s="10" t="inlineStr">
        <is>
          <t>U</t>
        </is>
      </c>
      <c r="L105" s="12" t="n">
        <v>1177</v>
      </c>
      <c r="M105" s="14" t="n">
        <v>3.9</v>
      </c>
      <c r="N105" s="12">
        <f>ROUND(L105/M105, 0)</f>
        <v/>
      </c>
      <c r="O105" s="12">
        <f>ROUND(N105*'Methodology &amp; Assumptions'!$B$5, 0)</f>
        <v/>
      </c>
      <c r="P105" s="10" t="inlineStr">
        <is>
          <t>Single Carrier (Band n50, 100MHz TDD)</t>
        </is>
      </c>
      <c r="Q105" s="13">
        <f>ROUNDUP(O105/'Methodology &amp; Assumptions'!$B$6, 0)</f>
        <v/>
      </c>
      <c r="R105" s="13" t="n">
        <v>1</v>
      </c>
      <c r="S105" s="14" t="n">
        <v>2.8</v>
      </c>
      <c r="T105" s="14" t="n">
        <v>1.79</v>
      </c>
      <c r="U105" s="26">
        <f>IF(X105&gt;='Methodology &amp; Assumptions'!$B$7, "Tier 1 Critical GIDA (Score ≥ 50.0)", IF(X105&gt;='Methodology &amp; Assumptions'!$B$8, "Tier 2 High GIDA (Score 40.0–49.9)", "Tier 3 Moderate GIDA (Score &lt; 40.0)"))</f>
        <v/>
      </c>
      <c r="V105" s="26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W105" s="28" t="n">
        <v>0.109</v>
      </c>
      <c r="X105" s="14" t="n">
        <v>47.91</v>
      </c>
      <c r="Y105" s="14">
        <f>ROUND(MIN(100, (X105/69.91)*100), 2)</f>
        <v/>
      </c>
    </row>
    <row r="106">
      <c r="A106" s="10" t="n">
        <v>4</v>
      </c>
      <c r="B106" s="10" t="n">
        <v>102</v>
      </c>
      <c r="C106" s="10" t="n">
        <v>3102</v>
      </c>
      <c r="D106" s="10" t="inlineStr">
        <is>
          <t>PH0003102</t>
        </is>
      </c>
      <c r="E106" s="26" t="inlineStr">
        <is>
          <t>CAR</t>
        </is>
      </c>
      <c r="F106" s="26" t="inlineStr">
        <is>
          <t>Benguet</t>
        </is>
      </c>
      <c r="G106" s="26" t="inlineStr">
        <is>
          <t>Baguio City</t>
        </is>
      </c>
      <c r="H106" s="26" t="inlineStr">
        <is>
          <t>Abanao-Zandueta-Kayong-Chugum-Otek</t>
        </is>
      </c>
      <c r="I106" s="27" t="n">
        <v>16.371333</v>
      </c>
      <c r="J106" s="27" t="n">
        <v>120.582494</v>
      </c>
      <c r="K106" s="10" t="inlineStr">
        <is>
          <t>R</t>
        </is>
      </c>
      <c r="L106" s="12" t="n">
        <v>2260</v>
      </c>
      <c r="M106" s="14" t="n">
        <v>3.5</v>
      </c>
      <c r="N106" s="12">
        <f>ROUND(L106/M106, 0)</f>
        <v/>
      </c>
      <c r="O106" s="12">
        <f>ROUND(N106*'Methodology &amp; Assumptions'!$B$5, 0)</f>
        <v/>
      </c>
      <c r="P106" s="10" t="inlineStr">
        <is>
          <t>Single Carrier (Band n50, 100MHz TDD)</t>
        </is>
      </c>
      <c r="Q106" s="13">
        <f>ROUNDUP(O106/'Methodology &amp; Assumptions'!$B$6, 0)</f>
        <v/>
      </c>
      <c r="R106" s="13" t="n">
        <v>1</v>
      </c>
      <c r="S106" s="14" t="n">
        <v>3.75</v>
      </c>
      <c r="T106" s="14" t="n">
        <v>2.16</v>
      </c>
      <c r="U106" s="26">
        <f>IF(X106&gt;='Methodology &amp; Assumptions'!$B$7, "Tier 1 Critical GIDA (Score ≥ 50.0)", IF(X106&gt;='Methodology &amp; Assumptions'!$B$8, "Tier 2 High GIDA (Score 40.0–49.9)", "Tier 3 Moderate GIDA (Score &lt; 40.0)"))</f>
        <v/>
      </c>
      <c r="V106" s="26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W106" s="28" t="n">
        <v>0.221</v>
      </c>
      <c r="X106" s="14" t="n">
        <v>47.91</v>
      </c>
      <c r="Y106" s="14">
        <f>ROUND(MIN(100, (X106/69.91)*100), 2)</f>
        <v/>
      </c>
    </row>
    <row r="107">
      <c r="A107" s="10" t="n">
        <v>4</v>
      </c>
      <c r="B107" s="10" t="n">
        <v>103</v>
      </c>
      <c r="C107" s="10" t="n">
        <v>3103</v>
      </c>
      <c r="D107" s="10" t="inlineStr">
        <is>
          <t>1380606212</t>
        </is>
      </c>
      <c r="E107" s="26" t="inlineStr">
        <is>
          <t>National Capital Region (NCR)</t>
        </is>
      </c>
      <c r="F107" s="26" t="inlineStr">
        <is>
          <t>First District (Not a Province)</t>
        </is>
      </c>
      <c r="G107" s="26" t="inlineStr">
        <is>
          <t>City of Manila</t>
        </is>
      </c>
      <c r="H107" s="26" t="inlineStr">
        <is>
          <t>Barangay 605</t>
        </is>
      </c>
      <c r="I107" s="27" t="n">
        <v>12.667208</v>
      </c>
      <c r="J107" s="27" t="n">
        <v>123.010205</v>
      </c>
      <c r="K107" s="10" t="inlineStr">
        <is>
          <t>U</t>
        </is>
      </c>
      <c r="L107" s="12" t="n">
        <v>1804</v>
      </c>
      <c r="M107" s="14" t="n">
        <v>3.9</v>
      </c>
      <c r="N107" s="12">
        <f>ROUND(L107/M107, 0)</f>
        <v/>
      </c>
      <c r="O107" s="12">
        <f>ROUND(N107*'Methodology &amp; Assumptions'!$B$5, 0)</f>
        <v/>
      </c>
      <c r="P107" s="10" t="inlineStr">
        <is>
          <t>Single Carrier (Band n50, 100MHz TDD)</t>
        </is>
      </c>
      <c r="Q107" s="13">
        <f>ROUNDUP(O107/'Methodology &amp; Assumptions'!$B$6, 0)</f>
        <v/>
      </c>
      <c r="R107" s="13" t="n">
        <v>1</v>
      </c>
      <c r="S107" s="14" t="n">
        <v>45.64</v>
      </c>
      <c r="T107" s="14" t="n">
        <v>49.08</v>
      </c>
      <c r="U107" s="26">
        <f>IF(X107&gt;='Methodology &amp; Assumptions'!$B$7, "Tier 1 Critical GIDA (Score ≥ 50.0)", IF(X107&gt;='Methodology &amp; Assumptions'!$B$8, "Tier 2 High GIDA (Score 40.0–49.9)", "Tier 3 Moderate GIDA (Score &lt; 40.0)"))</f>
        <v/>
      </c>
      <c r="V107" s="26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W107" s="28" t="n">
        <v>0.109</v>
      </c>
      <c r="X107" s="14" t="n">
        <v>47.91</v>
      </c>
      <c r="Y107" s="14">
        <f>ROUND(MIN(100, (X107/69.91)*100), 2)</f>
        <v/>
      </c>
    </row>
    <row r="108">
      <c r="A108" s="10" t="n">
        <v>4</v>
      </c>
      <c r="B108" s="10" t="n">
        <v>104</v>
      </c>
      <c r="C108" s="10" t="n">
        <v>3104</v>
      </c>
      <c r="D108" s="10" t="inlineStr">
        <is>
          <t>1380610058</t>
        </is>
      </c>
      <c r="E108" s="26" t="inlineStr">
        <is>
          <t>National Capital Region (NCR)</t>
        </is>
      </c>
      <c r="F108" s="26" t="inlineStr">
        <is>
          <t>First District (Not a Province)</t>
        </is>
      </c>
      <c r="G108" s="26" t="inlineStr">
        <is>
          <t>City of Manila</t>
        </is>
      </c>
      <c r="H108" s="26" t="inlineStr">
        <is>
          <t>Barangay 744</t>
        </is>
      </c>
      <c r="I108" s="27" t="n">
        <v>12.221485</v>
      </c>
      <c r="J108" s="27" t="n">
        <v>120.714144</v>
      </c>
      <c r="K108" s="10" t="inlineStr">
        <is>
          <t>U</t>
        </is>
      </c>
      <c r="L108" s="12" t="n">
        <v>1260</v>
      </c>
      <c r="M108" s="14" t="n">
        <v>3.9</v>
      </c>
      <c r="N108" s="12">
        <f>ROUND(L108/M108, 0)</f>
        <v/>
      </c>
      <c r="O108" s="12">
        <f>ROUND(N108*'Methodology &amp; Assumptions'!$B$5, 0)</f>
        <v/>
      </c>
      <c r="P108" s="10" t="inlineStr">
        <is>
          <t>Single Carrier (Band n50, 100MHz TDD)</t>
        </is>
      </c>
      <c r="Q108" s="13">
        <f>ROUNDUP(O108/'Methodology &amp; Assumptions'!$B$6, 0)</f>
        <v/>
      </c>
      <c r="R108" s="13" t="n">
        <v>1</v>
      </c>
      <c r="S108" s="14" t="n">
        <v>40.7</v>
      </c>
      <c r="T108" s="14" t="n">
        <v>40.46</v>
      </c>
      <c r="U108" s="26">
        <f>IF(X108&gt;='Methodology &amp; Assumptions'!$B$7, "Tier 1 Critical GIDA (Score ≥ 50.0)", IF(X108&gt;='Methodology &amp; Assumptions'!$B$8, "Tier 2 High GIDA (Score 40.0–49.9)", "Tier 3 Moderate GIDA (Score &lt; 40.0)"))</f>
        <v/>
      </c>
      <c r="V108" s="26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W108" s="28" t="n">
        <v>0.109</v>
      </c>
      <c r="X108" s="14" t="n">
        <v>47.91</v>
      </c>
      <c r="Y108" s="14">
        <f>ROUND(MIN(100, (X108/69.91)*100), 2)</f>
        <v/>
      </c>
    </row>
    <row r="109">
      <c r="A109" s="10" t="n">
        <v>4</v>
      </c>
      <c r="B109" s="10" t="n">
        <v>105</v>
      </c>
      <c r="C109" s="10" t="n">
        <v>3105</v>
      </c>
      <c r="D109" s="10" t="inlineStr">
        <is>
          <t>1705315003</t>
        </is>
      </c>
      <c r="E109" s="26" t="inlineStr">
        <is>
          <t>MIMAROPA Region</t>
        </is>
      </c>
      <c r="F109" s="26" t="inlineStr">
        <is>
          <t>Palawan</t>
        </is>
      </c>
      <c r="G109" s="26" t="inlineStr">
        <is>
          <t>Narra</t>
        </is>
      </c>
      <c r="H109" s="26" t="inlineStr">
        <is>
          <t>Batang-batang</t>
        </is>
      </c>
      <c r="I109" s="27" t="n">
        <v>9.181141999999999</v>
      </c>
      <c r="J109" s="27" t="n">
        <v>118.337564</v>
      </c>
      <c r="K109" s="10" t="inlineStr">
        <is>
          <t>R</t>
        </is>
      </c>
      <c r="L109" s="12" t="n">
        <v>1484</v>
      </c>
      <c r="M109" s="14" t="n">
        <v>3.9</v>
      </c>
      <c r="N109" s="12">
        <f>ROUND(L109/M109, 0)</f>
        <v/>
      </c>
      <c r="O109" s="12">
        <f>ROUND(N109*'Methodology &amp; Assumptions'!$B$5, 0)</f>
        <v/>
      </c>
      <c r="P109" s="10" t="inlineStr">
        <is>
          <t>Single Carrier (Band n50, 100MHz TDD)</t>
        </is>
      </c>
      <c r="Q109" s="13">
        <f>ROUNDUP(O109/'Methodology &amp; Assumptions'!$B$6, 0)</f>
        <v/>
      </c>
      <c r="R109" s="13" t="n">
        <v>1</v>
      </c>
      <c r="S109" s="14" t="n">
        <v>75.87</v>
      </c>
      <c r="T109" s="14" t="n">
        <v>78.16</v>
      </c>
      <c r="U109" s="26">
        <f>IF(X109&gt;='Methodology &amp; Assumptions'!$B$7, "Tier 1 Critical GIDA (Score ≥ 50.0)", IF(X109&gt;='Methodology &amp; Assumptions'!$B$8, "Tier 2 High GIDA (Score 40.0–49.9)", "Tier 3 Moderate GIDA (Score &lt; 40.0)"))</f>
        <v/>
      </c>
      <c r="V109" s="26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W109" s="28" t="n">
        <v>0.15</v>
      </c>
      <c r="X109" s="14" t="n">
        <v>47.91</v>
      </c>
      <c r="Y109" s="14">
        <f>ROUND(MIN(100, (X109/69.91)*100), 2)</f>
        <v/>
      </c>
    </row>
    <row r="110">
      <c r="A110" s="10" t="n">
        <v>4</v>
      </c>
      <c r="B110" s="10" t="n">
        <v>106</v>
      </c>
      <c r="C110" s="10" t="n">
        <v>3106</v>
      </c>
      <c r="D110" s="10" t="inlineStr">
        <is>
          <t>1380614057</t>
        </is>
      </c>
      <c r="E110" s="26" t="inlineStr">
        <is>
          <t>National Capital Region (NCR)</t>
        </is>
      </c>
      <c r="F110" s="26" t="inlineStr">
        <is>
          <t>First District (Not a Province)</t>
        </is>
      </c>
      <c r="G110" s="26" t="inlineStr">
        <is>
          <t>City of Manila</t>
        </is>
      </c>
      <c r="H110" s="26" t="inlineStr">
        <is>
          <t>Barangay 801</t>
        </is>
      </c>
      <c r="I110" s="27" t="n">
        <v>14.064304</v>
      </c>
      <c r="J110" s="27" t="n">
        <v>122.099606</v>
      </c>
      <c r="K110" s="10" t="inlineStr">
        <is>
          <t>U</t>
        </is>
      </c>
      <c r="L110" s="12" t="n">
        <v>633</v>
      </c>
      <c r="M110" s="14" t="n">
        <v>3.9</v>
      </c>
      <c r="N110" s="12">
        <f>ROUND(L110/M110, 0)</f>
        <v/>
      </c>
      <c r="O110" s="12">
        <f>ROUND(N110*'Methodology &amp; Assumptions'!$B$5, 0)</f>
        <v/>
      </c>
      <c r="P110" s="10" t="inlineStr">
        <is>
          <t>Single Carrier (Band n50, 100MHz TDD)</t>
        </is>
      </c>
      <c r="Q110" s="13">
        <f>ROUNDUP(O110/'Methodology &amp; Assumptions'!$B$6, 0)</f>
        <v/>
      </c>
      <c r="R110" s="13" t="n">
        <v>1</v>
      </c>
      <c r="S110" s="14" t="n">
        <v>12.86</v>
      </c>
      <c r="T110" s="14" t="n">
        <v>14.35</v>
      </c>
      <c r="U110" s="26">
        <f>IF(X110&gt;='Methodology &amp; Assumptions'!$B$7, "Tier 1 Critical GIDA (Score ≥ 50.0)", IF(X110&gt;='Methodology &amp; Assumptions'!$B$8, "Tier 2 High GIDA (Score 40.0–49.9)", "Tier 3 Moderate GIDA (Score &lt; 40.0)"))</f>
        <v/>
      </c>
      <c r="V110" s="26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W110" s="28" t="n">
        <v>0.109</v>
      </c>
      <c r="X110" s="14" t="n">
        <v>47.9</v>
      </c>
      <c r="Y110" s="14">
        <f>ROUND(MIN(100, (X110/69.91)*100), 2)</f>
        <v/>
      </c>
    </row>
    <row r="111">
      <c r="A111" s="10" t="n">
        <v>4</v>
      </c>
      <c r="B111" s="10" t="n">
        <v>107</v>
      </c>
      <c r="C111" s="10" t="n">
        <v>3107</v>
      </c>
      <c r="D111" s="10" t="inlineStr">
        <is>
          <t>1380605024</t>
        </is>
      </c>
      <c r="E111" s="26" t="inlineStr">
        <is>
          <t>National Capital Region (NCR)</t>
        </is>
      </c>
      <c r="F111" s="26" t="inlineStr">
        <is>
          <t>First District (Not a Province)</t>
        </is>
      </c>
      <c r="G111" s="26" t="inlineStr">
        <is>
          <t>City of Manila</t>
        </is>
      </c>
      <c r="H111" s="26" t="inlineStr">
        <is>
          <t>Barangay 322</t>
        </is>
      </c>
      <c r="I111" s="27" t="n">
        <v>11.79068</v>
      </c>
      <c r="J111" s="27" t="n">
        <v>122.355539</v>
      </c>
      <c r="K111" s="10" t="inlineStr">
        <is>
          <t>U</t>
        </is>
      </c>
      <c r="L111" s="12" t="n">
        <v>823</v>
      </c>
      <c r="M111" s="14" t="n">
        <v>3.9</v>
      </c>
      <c r="N111" s="12">
        <f>ROUND(L111/M111, 0)</f>
        <v/>
      </c>
      <c r="O111" s="12">
        <f>ROUND(N111*'Methodology &amp; Assumptions'!$B$5, 0)</f>
        <v/>
      </c>
      <c r="P111" s="10" t="inlineStr">
        <is>
          <t>Single Carrier (Band n50, 100MHz TDD)</t>
        </is>
      </c>
      <c r="Q111" s="13">
        <f>ROUNDUP(O111/'Methodology &amp; Assumptions'!$B$6, 0)</f>
        <v/>
      </c>
      <c r="R111" s="13" t="n">
        <v>1</v>
      </c>
      <c r="S111" s="14" t="n">
        <v>10.17</v>
      </c>
      <c r="T111" s="14" t="n">
        <v>8.23</v>
      </c>
      <c r="U111" s="26">
        <f>IF(X111&gt;='Methodology &amp; Assumptions'!$B$7, "Tier 1 Critical GIDA (Score ≥ 50.0)", IF(X111&gt;='Methodology &amp; Assumptions'!$B$8, "Tier 2 High GIDA (Score 40.0–49.9)", "Tier 3 Moderate GIDA (Score &lt; 40.0)"))</f>
        <v/>
      </c>
      <c r="V111" s="26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W111" s="28" t="n">
        <v>0.109</v>
      </c>
      <c r="X111" s="14" t="n">
        <v>47.9</v>
      </c>
      <c r="Y111" s="14">
        <f>ROUND(MIN(100, (X111/69.91)*100), 2)</f>
        <v/>
      </c>
    </row>
    <row r="112">
      <c r="A112" s="10" t="n">
        <v>4</v>
      </c>
      <c r="B112" s="10" t="n">
        <v>108</v>
      </c>
      <c r="C112" s="10" t="n">
        <v>3108</v>
      </c>
      <c r="D112" s="10" t="inlineStr">
        <is>
          <t>1380606052</t>
        </is>
      </c>
      <c r="E112" s="26" t="inlineStr">
        <is>
          <t>National Capital Region (NCR)</t>
        </is>
      </c>
      <c r="F112" s="26" t="inlineStr">
        <is>
          <t>First District (Not a Province)</t>
        </is>
      </c>
      <c r="G112" s="26" t="inlineStr">
        <is>
          <t>City of Manila</t>
        </is>
      </c>
      <c r="H112" s="26" t="inlineStr">
        <is>
          <t>Barangay 446</t>
        </is>
      </c>
      <c r="I112" s="27" t="n">
        <v>13.300074</v>
      </c>
      <c r="J112" s="27" t="n">
        <v>120.589223</v>
      </c>
      <c r="K112" s="10" t="inlineStr">
        <is>
          <t>U</t>
        </is>
      </c>
      <c r="L112" s="12" t="n">
        <v>1032</v>
      </c>
      <c r="M112" s="14" t="n">
        <v>3.9</v>
      </c>
      <c r="N112" s="12">
        <f>ROUND(L112/M112, 0)</f>
        <v/>
      </c>
      <c r="O112" s="12">
        <f>ROUND(N112*'Methodology &amp; Assumptions'!$B$5, 0)</f>
        <v/>
      </c>
      <c r="P112" s="10" t="inlineStr">
        <is>
          <t>Single Carrier (Band n50, 100MHz TDD)</t>
        </is>
      </c>
      <c r="Q112" s="13">
        <f>ROUNDUP(O112/'Methodology &amp; Assumptions'!$B$6, 0)</f>
        <v/>
      </c>
      <c r="R112" s="13" t="n">
        <v>1</v>
      </c>
      <c r="S112" s="14" t="n">
        <v>41.01</v>
      </c>
      <c r="T112" s="14" t="n">
        <v>39.46</v>
      </c>
      <c r="U112" s="26">
        <f>IF(X112&gt;='Methodology &amp; Assumptions'!$B$7, "Tier 1 Critical GIDA (Score ≥ 50.0)", IF(X112&gt;='Methodology &amp; Assumptions'!$B$8, "Tier 2 High GIDA (Score 40.0–49.9)", "Tier 3 Moderate GIDA (Score &lt; 40.0)"))</f>
        <v/>
      </c>
      <c r="V112" s="26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W112" s="28" t="n">
        <v>0.109</v>
      </c>
      <c r="X112" s="14" t="n">
        <v>47.9</v>
      </c>
      <c r="Y112" s="14">
        <f>ROUND(MIN(100, (X112/69.91)*100), 2)</f>
        <v/>
      </c>
    </row>
    <row r="113">
      <c r="A113" s="10" t="n">
        <v>4</v>
      </c>
      <c r="B113" s="10" t="n">
        <v>109</v>
      </c>
      <c r="C113" s="10" t="n">
        <v>3109</v>
      </c>
      <c r="D113" s="10" t="inlineStr">
        <is>
          <t>1102401022</t>
        </is>
      </c>
      <c r="E113" s="26" t="inlineStr">
        <is>
          <t>Region XI (Davao Region)</t>
        </is>
      </c>
      <c r="F113" s="26" t="inlineStr">
        <is>
          <t>Davao del Sur</t>
        </is>
      </c>
      <c r="G113" s="26" t="inlineStr">
        <is>
          <t>Bansalan</t>
        </is>
      </c>
      <c r="H113" s="26" t="inlineStr">
        <is>
          <t>Tinongtongan</t>
        </is>
      </c>
      <c r="I113" s="27" t="n">
        <v>6.812965</v>
      </c>
      <c r="J113" s="27" t="n">
        <v>125.259464</v>
      </c>
      <c r="K113" s="10" t="inlineStr">
        <is>
          <t>R</t>
        </is>
      </c>
      <c r="L113" s="12" t="n">
        <v>1056</v>
      </c>
      <c r="M113" s="14" t="n">
        <v>3.4</v>
      </c>
      <c r="N113" s="12">
        <f>ROUND(L113/M113, 0)</f>
        <v/>
      </c>
      <c r="O113" s="12">
        <f>ROUND(N113*'Methodology &amp; Assumptions'!$B$5, 0)</f>
        <v/>
      </c>
      <c r="P113" s="10" t="inlineStr">
        <is>
          <t>Single Carrier (Band n50, 100MHz TDD)</t>
        </is>
      </c>
      <c r="Q113" s="13">
        <f>ROUNDUP(O113/'Methodology &amp; Assumptions'!$B$6, 0)</f>
        <v/>
      </c>
      <c r="R113" s="13" t="n">
        <v>1</v>
      </c>
      <c r="S113" s="14" t="n">
        <v>6.17</v>
      </c>
      <c r="T113" s="14" t="n">
        <v>12.87</v>
      </c>
      <c r="U113" s="26">
        <f>IF(X113&gt;='Methodology &amp; Assumptions'!$B$7, "Tier 1 Critical GIDA (Score ≥ 50.0)", IF(X113&gt;='Methodology &amp; Assumptions'!$B$8, "Tier 2 High GIDA (Score 40.0–49.9)", "Tier 3 Moderate GIDA (Score &lt; 40.0)"))</f>
        <v/>
      </c>
      <c r="V113" s="26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W113" s="28" t="n">
        <v>0.174</v>
      </c>
      <c r="X113" s="14" t="n">
        <v>47.9</v>
      </c>
      <c r="Y113" s="14">
        <f>ROUND(MIN(100, (X113/69.91)*100), 2)</f>
        <v/>
      </c>
    </row>
    <row r="114">
      <c r="A114" s="10" t="n">
        <v>4</v>
      </c>
      <c r="B114" s="10" t="n">
        <v>110</v>
      </c>
      <c r="C114" s="10" t="n">
        <v>3110</v>
      </c>
      <c r="D114" s="10" t="inlineStr">
        <is>
          <t>1380606230</t>
        </is>
      </c>
      <c r="E114" s="26" t="inlineStr">
        <is>
          <t>National Capital Region (NCR)</t>
        </is>
      </c>
      <c r="F114" s="26" t="inlineStr">
        <is>
          <t>First District (Not a Province)</t>
        </is>
      </c>
      <c r="G114" s="26" t="inlineStr">
        <is>
          <t>City of Manila</t>
        </is>
      </c>
      <c r="H114" s="26" t="inlineStr">
        <is>
          <t>Barangay 623</t>
        </is>
      </c>
      <c r="I114" s="27" t="n">
        <v>13.350569</v>
      </c>
      <c r="J114" s="27" t="n">
        <v>122.940119</v>
      </c>
      <c r="K114" s="10" t="inlineStr">
        <is>
          <t>U</t>
        </is>
      </c>
      <c r="L114" s="12" t="n">
        <v>983</v>
      </c>
      <c r="M114" s="14" t="n">
        <v>3.9</v>
      </c>
      <c r="N114" s="12">
        <f>ROUND(L114/M114, 0)</f>
        <v/>
      </c>
      <c r="O114" s="12">
        <f>ROUND(N114*'Methodology &amp; Assumptions'!$B$5, 0)</f>
        <v/>
      </c>
      <c r="P114" s="10" t="inlineStr">
        <is>
          <t>Single Carrier (Band n50, 100MHz TDD)</t>
        </is>
      </c>
      <c r="Q114" s="13">
        <f>ROUNDUP(O114/'Methodology &amp; Assumptions'!$B$6, 0)</f>
        <v/>
      </c>
      <c r="R114" s="13" t="n">
        <v>1</v>
      </c>
      <c r="S114" s="14" t="n">
        <v>19.9</v>
      </c>
      <c r="T114" s="14" t="n">
        <v>19.85</v>
      </c>
      <c r="U114" s="26">
        <f>IF(X114&gt;='Methodology &amp; Assumptions'!$B$7, "Tier 1 Critical GIDA (Score ≥ 50.0)", IF(X114&gt;='Methodology &amp; Assumptions'!$B$8, "Tier 2 High GIDA (Score 40.0–49.9)", "Tier 3 Moderate GIDA (Score &lt; 40.0)"))</f>
        <v/>
      </c>
      <c r="V114" s="26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W114" s="28" t="n">
        <v>0.109</v>
      </c>
      <c r="X114" s="14" t="n">
        <v>47.9</v>
      </c>
      <c r="Y114" s="14">
        <f>ROUND(MIN(100, (X114/69.91)*100), 2)</f>
        <v/>
      </c>
    </row>
    <row r="115">
      <c r="A115" s="10" t="n">
        <v>4</v>
      </c>
      <c r="B115" s="10" t="n">
        <v>111</v>
      </c>
      <c r="C115" s="10" t="n">
        <v>3111</v>
      </c>
      <c r="D115" s="10" t="inlineStr">
        <is>
          <t>1380605079</t>
        </is>
      </c>
      <c r="E115" s="26" t="inlineStr">
        <is>
          <t>National Capital Region (NCR)</t>
        </is>
      </c>
      <c r="F115" s="26" t="inlineStr">
        <is>
          <t>First District (Not a Province)</t>
        </is>
      </c>
      <c r="G115" s="26" t="inlineStr">
        <is>
          <t>City of Manila</t>
        </is>
      </c>
      <c r="H115" s="26" t="inlineStr">
        <is>
          <t>Barangay 376</t>
        </is>
      </c>
      <c r="I115" s="27" t="n">
        <v>11.763318</v>
      </c>
      <c r="J115" s="27" t="n">
        <v>121.239987</v>
      </c>
      <c r="K115" s="10" t="inlineStr">
        <is>
          <t>U</t>
        </is>
      </c>
      <c r="L115" s="12" t="n">
        <v>958</v>
      </c>
      <c r="M115" s="14" t="n">
        <v>3.9</v>
      </c>
      <c r="N115" s="12">
        <f>ROUND(L115/M115, 0)</f>
        <v/>
      </c>
      <c r="O115" s="12">
        <f>ROUND(N115*'Methodology &amp; Assumptions'!$B$5, 0)</f>
        <v/>
      </c>
      <c r="P115" s="10" t="inlineStr">
        <is>
          <t>Single Carrier (Band n50, 100MHz TDD)</t>
        </is>
      </c>
      <c r="Q115" s="13">
        <f>ROUNDUP(O115/'Methodology &amp; Assumptions'!$B$6, 0)</f>
        <v/>
      </c>
      <c r="R115" s="13" t="n">
        <v>1</v>
      </c>
      <c r="S115" s="14" t="n">
        <v>61.46</v>
      </c>
      <c r="T115" s="14" t="n">
        <v>57.58</v>
      </c>
      <c r="U115" s="26">
        <f>IF(X115&gt;='Methodology &amp; Assumptions'!$B$7, "Tier 1 Critical GIDA (Score ≥ 50.0)", IF(X115&gt;='Methodology &amp; Assumptions'!$B$8, "Tier 2 High GIDA (Score 40.0–49.9)", "Tier 3 Moderate GIDA (Score &lt; 40.0)"))</f>
        <v/>
      </c>
      <c r="V115" s="26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W115" s="28" t="n">
        <v>0.109</v>
      </c>
      <c r="X115" s="14" t="n">
        <v>47.9</v>
      </c>
      <c r="Y115" s="14">
        <f>ROUND(MIN(100, (X115/69.91)*100), 2)</f>
        <v/>
      </c>
    </row>
    <row r="116">
      <c r="A116" s="10" t="n">
        <v>4</v>
      </c>
      <c r="B116" s="10" t="n">
        <v>112</v>
      </c>
      <c r="C116" s="10" t="n">
        <v>3112</v>
      </c>
      <c r="D116" s="10" t="inlineStr">
        <is>
          <t>1380605063</t>
        </is>
      </c>
      <c r="E116" s="26" t="inlineStr">
        <is>
          <t>National Capital Region (NCR)</t>
        </is>
      </c>
      <c r="F116" s="26" t="inlineStr">
        <is>
          <t>First District (Not a Province)</t>
        </is>
      </c>
      <c r="G116" s="26" t="inlineStr">
        <is>
          <t>City of Manila</t>
        </is>
      </c>
      <c r="H116" s="26" t="inlineStr">
        <is>
          <t>Barangay 361</t>
        </is>
      </c>
      <c r="I116" s="27" t="n">
        <v>14.055767</v>
      </c>
      <c r="J116" s="27" t="n">
        <v>121.393617</v>
      </c>
      <c r="K116" s="10" t="inlineStr">
        <is>
          <t>U</t>
        </is>
      </c>
      <c r="L116" s="12" t="n">
        <v>737</v>
      </c>
      <c r="M116" s="14" t="n">
        <v>3.9</v>
      </c>
      <c r="N116" s="12">
        <f>ROUND(L116/M116, 0)</f>
        <v/>
      </c>
      <c r="O116" s="12">
        <f>ROUND(N116*'Methodology &amp; Assumptions'!$B$5, 0)</f>
        <v/>
      </c>
      <c r="P116" s="10" t="inlineStr">
        <is>
          <t>Single Carrier (Band n50, 100MHz TDD)</t>
        </is>
      </c>
      <c r="Q116" s="13">
        <f>ROUNDUP(O116/'Methodology &amp; Assumptions'!$B$6, 0)</f>
        <v/>
      </c>
      <c r="R116" s="13" t="n">
        <v>1</v>
      </c>
      <c r="S116" s="14" t="n">
        <v>4.59</v>
      </c>
      <c r="T116" s="14" t="n">
        <v>5.52</v>
      </c>
      <c r="U116" s="26">
        <f>IF(X116&gt;='Methodology &amp; Assumptions'!$B$7, "Tier 1 Critical GIDA (Score ≥ 50.0)", IF(X116&gt;='Methodology &amp; Assumptions'!$B$8, "Tier 2 High GIDA (Score 40.0–49.9)", "Tier 3 Moderate GIDA (Score &lt; 40.0)"))</f>
        <v/>
      </c>
      <c r="V116" s="26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W116" s="28" t="n">
        <v>0.109</v>
      </c>
      <c r="X116" s="14" t="n">
        <v>47.89</v>
      </c>
      <c r="Y116" s="14">
        <f>ROUND(MIN(100, (X116/69.91)*100), 2)</f>
        <v/>
      </c>
    </row>
    <row r="117">
      <c r="A117" s="10" t="n">
        <v>4</v>
      </c>
      <c r="B117" s="10" t="n">
        <v>113</v>
      </c>
      <c r="C117" s="10" t="n">
        <v>3113</v>
      </c>
      <c r="D117" s="10" t="inlineStr">
        <is>
          <t>1380606048</t>
        </is>
      </c>
      <c r="E117" s="26" t="inlineStr">
        <is>
          <t>National Capital Region (NCR)</t>
        </is>
      </c>
      <c r="F117" s="26" t="inlineStr">
        <is>
          <t>First District (Not a Province)</t>
        </is>
      </c>
      <c r="G117" s="26" t="inlineStr">
        <is>
          <t>City of Manila</t>
        </is>
      </c>
      <c r="H117" s="26" t="inlineStr">
        <is>
          <t>Barangay 442</t>
        </is>
      </c>
      <c r="I117" s="27" t="n">
        <v>12.262455</v>
      </c>
      <c r="J117" s="27" t="n">
        <v>122.870692</v>
      </c>
      <c r="K117" s="10" t="inlineStr">
        <is>
          <t>U</t>
        </is>
      </c>
      <c r="L117" s="12" t="n">
        <v>690</v>
      </c>
      <c r="M117" s="14" t="n">
        <v>3.9</v>
      </c>
      <c r="N117" s="12">
        <f>ROUND(L117/M117, 0)</f>
        <v/>
      </c>
      <c r="O117" s="12">
        <f>ROUND(N117*'Methodology &amp; Assumptions'!$B$5, 0)</f>
        <v/>
      </c>
      <c r="P117" s="10" t="inlineStr">
        <is>
          <t>Single Carrier (Band n50, 100MHz TDD)</t>
        </is>
      </c>
      <c r="Q117" s="13">
        <f>ROUNDUP(O117/'Methodology &amp; Assumptions'!$B$6, 0)</f>
        <v/>
      </c>
      <c r="R117" s="13" t="n">
        <v>1</v>
      </c>
      <c r="S117" s="14" t="n">
        <v>45.48</v>
      </c>
      <c r="T117" s="14" t="n">
        <v>53.15</v>
      </c>
      <c r="U117" s="26">
        <f>IF(X117&gt;='Methodology &amp; Assumptions'!$B$7, "Tier 1 Critical GIDA (Score ≥ 50.0)", IF(X117&gt;='Methodology &amp; Assumptions'!$B$8, "Tier 2 High GIDA (Score 40.0–49.9)", "Tier 3 Moderate GIDA (Score &lt; 40.0)"))</f>
        <v/>
      </c>
      <c r="V117" s="26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W117" s="28" t="n">
        <v>0.109</v>
      </c>
      <c r="X117" s="14" t="n">
        <v>47.89</v>
      </c>
      <c r="Y117" s="14">
        <f>ROUND(MIN(100, (X117/69.91)*100), 2)</f>
        <v/>
      </c>
    </row>
    <row r="118">
      <c r="A118" s="10" t="n">
        <v>4</v>
      </c>
      <c r="B118" s="10" t="n">
        <v>114</v>
      </c>
      <c r="C118" s="10" t="n">
        <v>3114</v>
      </c>
      <c r="D118" s="10" t="inlineStr">
        <is>
          <t>1380606071</t>
        </is>
      </c>
      <c r="E118" s="26" t="inlineStr">
        <is>
          <t>National Capital Region (NCR)</t>
        </is>
      </c>
      <c r="F118" s="26" t="inlineStr">
        <is>
          <t>First District (Not a Province)</t>
        </is>
      </c>
      <c r="G118" s="26" t="inlineStr">
        <is>
          <t>City of Manila</t>
        </is>
      </c>
      <c r="H118" s="26" t="inlineStr">
        <is>
          <t>Barangay 465</t>
        </is>
      </c>
      <c r="I118" s="27" t="n">
        <v>12.612215</v>
      </c>
      <c r="J118" s="27" t="n">
        <v>120.536315</v>
      </c>
      <c r="K118" s="10" t="inlineStr">
        <is>
          <t>U</t>
        </is>
      </c>
      <c r="L118" s="12" t="n">
        <v>785</v>
      </c>
      <c r="M118" s="14" t="n">
        <v>3.9</v>
      </c>
      <c r="N118" s="12">
        <f>ROUND(L118/M118, 0)</f>
        <v/>
      </c>
      <c r="O118" s="12">
        <f>ROUND(N118*'Methodology &amp; Assumptions'!$B$5, 0)</f>
        <v/>
      </c>
      <c r="P118" s="10" t="inlineStr">
        <is>
          <t>Single Carrier (Band n50, 100MHz TDD)</t>
        </is>
      </c>
      <c r="Q118" s="13">
        <f>ROUNDUP(O118/'Methodology &amp; Assumptions'!$B$6, 0)</f>
        <v/>
      </c>
      <c r="R118" s="13" t="n">
        <v>1</v>
      </c>
      <c r="S118" s="14" t="n">
        <v>64.3</v>
      </c>
      <c r="T118" s="14" t="n">
        <v>62.69</v>
      </c>
      <c r="U118" s="26">
        <f>IF(X118&gt;='Methodology &amp; Assumptions'!$B$7, "Tier 1 Critical GIDA (Score ≥ 50.0)", IF(X118&gt;='Methodology &amp; Assumptions'!$B$8, "Tier 2 High GIDA (Score 40.0–49.9)", "Tier 3 Moderate GIDA (Score &lt; 40.0)"))</f>
        <v/>
      </c>
      <c r="V118" s="26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W118" s="28" t="n">
        <v>0.109</v>
      </c>
      <c r="X118" s="14" t="n">
        <v>47.89</v>
      </c>
      <c r="Y118" s="14">
        <f>ROUND(MIN(100, (X118/69.91)*100), 2)</f>
        <v/>
      </c>
    </row>
    <row r="119">
      <c r="A119" s="10" t="n">
        <v>4</v>
      </c>
      <c r="B119" s="10" t="n">
        <v>115</v>
      </c>
      <c r="C119" s="10" t="n">
        <v>3115</v>
      </c>
      <c r="D119" s="10" t="inlineStr">
        <is>
          <t>1380614021</t>
        </is>
      </c>
      <c r="E119" s="26" t="inlineStr">
        <is>
          <t>National Capital Region (NCR)</t>
        </is>
      </c>
      <c r="F119" s="26" t="inlineStr">
        <is>
          <t>First District (Not a Province)</t>
        </is>
      </c>
      <c r="G119" s="26" t="inlineStr">
        <is>
          <t>City of Manila</t>
        </is>
      </c>
      <c r="H119" s="26" t="inlineStr">
        <is>
          <t>Barangay 765</t>
        </is>
      </c>
      <c r="I119" s="27" t="n">
        <v>13.893146</v>
      </c>
      <c r="J119" s="27" t="n">
        <v>122.501937</v>
      </c>
      <c r="K119" s="10" t="inlineStr">
        <is>
          <t>U</t>
        </is>
      </c>
      <c r="L119" s="12" t="n">
        <v>2138</v>
      </c>
      <c r="M119" s="14" t="n">
        <v>3.9</v>
      </c>
      <c r="N119" s="12">
        <f>ROUND(L119/M119, 0)</f>
        <v/>
      </c>
      <c r="O119" s="12">
        <f>ROUND(N119*'Methodology &amp; Assumptions'!$B$5, 0)</f>
        <v/>
      </c>
      <c r="P119" s="10" t="inlineStr">
        <is>
          <t>Single Carrier (Band n50, 100MHz TDD)</t>
        </is>
      </c>
      <c r="Q119" s="13">
        <f>ROUNDUP(O119/'Methodology &amp; Assumptions'!$B$6, 0)</f>
        <v/>
      </c>
      <c r="R119" s="13" t="n">
        <v>1</v>
      </c>
      <c r="S119" s="14" t="n">
        <v>5.73</v>
      </c>
      <c r="T119" s="14" t="n">
        <v>8.119999999999999</v>
      </c>
      <c r="U119" s="26">
        <f>IF(X119&gt;='Methodology &amp; Assumptions'!$B$7, "Tier 1 Critical GIDA (Score ≥ 50.0)", IF(X119&gt;='Methodology &amp; Assumptions'!$B$8, "Tier 2 High GIDA (Score 40.0–49.9)", "Tier 3 Moderate GIDA (Score &lt; 40.0)"))</f>
        <v/>
      </c>
      <c r="V119" s="26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W119" s="28" t="n">
        <v>0.109</v>
      </c>
      <c r="X119" s="14" t="n">
        <v>47.89</v>
      </c>
      <c r="Y119" s="14">
        <f>ROUND(MIN(100, (X119/69.91)*100), 2)</f>
        <v/>
      </c>
    </row>
    <row r="120">
      <c r="A120" s="10" t="n">
        <v>4</v>
      </c>
      <c r="B120" s="10" t="n">
        <v>116</v>
      </c>
      <c r="C120" s="10" t="n">
        <v>3116</v>
      </c>
      <c r="D120" s="10" t="inlineStr">
        <is>
          <t>0405632003</t>
        </is>
      </c>
      <c r="E120" s="26" t="inlineStr">
        <is>
          <t>Region IV-A (CALABARZON)</t>
        </is>
      </c>
      <c r="F120" s="26" t="inlineStr">
        <is>
          <t>Quezon</t>
        </is>
      </c>
      <c r="G120" s="26" t="inlineStr">
        <is>
          <t>Patnanungan</t>
        </is>
      </c>
      <c r="H120" s="26" t="inlineStr">
        <is>
          <t>Kilogan</t>
        </is>
      </c>
      <c r="I120" s="27" t="n">
        <v>14.817752</v>
      </c>
      <c r="J120" s="27" t="n">
        <v>122.182575</v>
      </c>
      <c r="K120" s="10" t="inlineStr">
        <is>
          <t>R</t>
        </is>
      </c>
      <c r="L120" s="12" t="n">
        <v>1112</v>
      </c>
      <c r="M120" s="14" t="n">
        <v>3.8</v>
      </c>
      <c r="N120" s="12">
        <f>ROUND(L120/M120, 0)</f>
        <v/>
      </c>
      <c r="O120" s="12">
        <f>ROUND(N120*'Methodology &amp; Assumptions'!$B$5, 0)</f>
        <v/>
      </c>
      <c r="P120" s="10" t="inlineStr">
        <is>
          <t>Single Carrier (Band n50, 100MHz TDD)</t>
        </is>
      </c>
      <c r="Q120" s="13">
        <f>ROUNDUP(O120/'Methodology &amp; Assumptions'!$B$6, 0)</f>
        <v/>
      </c>
      <c r="R120" s="13" t="n">
        <v>1</v>
      </c>
      <c r="S120" s="14" t="n">
        <v>56.01</v>
      </c>
      <c r="T120" s="14" t="n">
        <v>72.78</v>
      </c>
      <c r="U120" s="26">
        <f>IF(X120&gt;='Methodology &amp; Assumptions'!$B$7, "Tier 1 Critical GIDA (Score ≥ 50.0)", IF(X120&gt;='Methodology &amp; Assumptions'!$B$8, "Tier 2 High GIDA (Score 40.0–49.9)", "Tier 3 Moderate GIDA (Score &lt; 40.0)"))</f>
        <v/>
      </c>
      <c r="V120" s="26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W120" s="28" t="n">
        <v>0.07200000000000001</v>
      </c>
      <c r="X120" s="14" t="n">
        <v>47.89</v>
      </c>
      <c r="Y120" s="14">
        <f>ROUND(MIN(100, (X120/69.91)*100), 2)</f>
        <v/>
      </c>
    </row>
    <row r="121">
      <c r="A121" s="10" t="n">
        <v>4</v>
      </c>
      <c r="B121" s="10" t="n">
        <v>117</v>
      </c>
      <c r="C121" s="10" t="n">
        <v>3117</v>
      </c>
      <c r="D121" s="10" t="inlineStr">
        <is>
          <t>0802615017</t>
        </is>
      </c>
      <c r="E121" s="26" t="inlineStr">
        <is>
          <t>Region VIII (Eastern Visayas)</t>
        </is>
      </c>
      <c r="F121" s="26" t="inlineStr">
        <is>
          <t>Eastern Samar</t>
        </is>
      </c>
      <c r="G121" s="26" t="inlineStr">
        <is>
          <t>Maydolong</t>
        </is>
      </c>
      <c r="H121" s="26" t="inlineStr">
        <is>
          <t>Barangay Poblacion 5</t>
        </is>
      </c>
      <c r="I121" s="27" t="n">
        <v>11.486555</v>
      </c>
      <c r="J121" s="27" t="n">
        <v>125.433452</v>
      </c>
      <c r="K121" s="10" t="inlineStr">
        <is>
          <t>R</t>
        </is>
      </c>
      <c r="L121" s="12" t="n">
        <v>841</v>
      </c>
      <c r="M121" s="14" t="n">
        <v>3.9</v>
      </c>
      <c r="N121" s="12">
        <f>ROUND(L121/M121, 0)</f>
        <v/>
      </c>
      <c r="O121" s="12">
        <f>ROUND(N121*'Methodology &amp; Assumptions'!$B$5, 0)</f>
        <v/>
      </c>
      <c r="P121" s="10" t="inlineStr">
        <is>
          <t>Single Carrier (Band n50, 100MHz TDD)</t>
        </is>
      </c>
      <c r="Q121" s="13">
        <f>ROUNDUP(O121/'Methodology &amp; Assumptions'!$B$6, 0)</f>
        <v/>
      </c>
      <c r="R121" s="13" t="n">
        <v>1</v>
      </c>
      <c r="S121" s="14" t="n">
        <v>54.42</v>
      </c>
      <c r="T121" s="14" t="n">
        <v>54.82</v>
      </c>
      <c r="U121" s="26">
        <f>IF(X121&gt;='Methodology &amp; Assumptions'!$B$7, "Tier 1 Critical GIDA (Score ≥ 50.0)", IF(X121&gt;='Methodology &amp; Assumptions'!$B$8, "Tier 2 High GIDA (Score 40.0–49.9)", "Tier 3 Moderate GIDA (Score &lt; 40.0)"))</f>
        <v/>
      </c>
      <c r="V121" s="26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W121" s="28" t="n">
        <v>0.237</v>
      </c>
      <c r="X121" s="14" t="n">
        <v>47.89</v>
      </c>
      <c r="Y121" s="14">
        <f>ROUND(MIN(100, (X121/69.91)*100), 2)</f>
        <v/>
      </c>
    </row>
    <row r="122">
      <c r="A122" s="10" t="n">
        <v>4</v>
      </c>
      <c r="B122" s="10" t="n">
        <v>118</v>
      </c>
      <c r="C122" s="10" t="n">
        <v>3118</v>
      </c>
      <c r="D122" s="10" t="inlineStr">
        <is>
          <t>1380611007</t>
        </is>
      </c>
      <c r="E122" s="26" t="inlineStr">
        <is>
          <t>National Capital Region (NCR)</t>
        </is>
      </c>
      <c r="F122" s="26" t="inlineStr">
        <is>
          <t>First District (Not a Province)</t>
        </is>
      </c>
      <c r="G122" s="26" t="inlineStr">
        <is>
          <t>City of Manila</t>
        </is>
      </c>
      <c r="H122" s="26" t="inlineStr">
        <is>
          <t>Barangay 673</t>
        </is>
      </c>
      <c r="I122" s="27" t="n">
        <v>11.651757</v>
      </c>
      <c r="J122" s="27" t="n">
        <v>121.939834</v>
      </c>
      <c r="K122" s="10" t="inlineStr">
        <is>
          <t>U</t>
        </is>
      </c>
      <c r="L122" s="12" t="n">
        <v>2848</v>
      </c>
      <c r="M122" s="14" t="n">
        <v>3.9</v>
      </c>
      <c r="N122" s="12">
        <f>ROUND(L122/M122, 0)</f>
        <v/>
      </c>
      <c r="O122" s="12">
        <f>ROUND(N122*'Methodology &amp; Assumptions'!$B$5, 0)</f>
        <v/>
      </c>
      <c r="P122" s="10" t="inlineStr">
        <is>
          <t>Single Carrier (Band n50, 100MHz TDD)</t>
        </is>
      </c>
      <c r="Q122" s="13">
        <f>ROUNDUP(O122/'Methodology &amp; Assumptions'!$B$6, 0)</f>
        <v/>
      </c>
      <c r="R122" s="13" t="n">
        <v>1</v>
      </c>
      <c r="S122" s="14" t="n">
        <v>32.98</v>
      </c>
      <c r="T122" s="14" t="n">
        <v>24.8</v>
      </c>
      <c r="U122" s="26">
        <f>IF(X122&gt;='Methodology &amp; Assumptions'!$B$7, "Tier 1 Critical GIDA (Score ≥ 50.0)", IF(X122&gt;='Methodology &amp; Assumptions'!$B$8, "Tier 2 High GIDA (Score 40.0–49.9)", "Tier 3 Moderate GIDA (Score &lt; 40.0)"))</f>
        <v/>
      </c>
      <c r="V122" s="26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W122" s="28" t="n">
        <v>0.109</v>
      </c>
      <c r="X122" s="14" t="n">
        <v>47.88</v>
      </c>
      <c r="Y122" s="14">
        <f>ROUND(MIN(100, (X122/69.91)*100), 2)</f>
        <v/>
      </c>
    </row>
    <row r="123">
      <c r="A123" s="10" t="n">
        <v>4</v>
      </c>
      <c r="B123" s="10" t="n">
        <v>119</v>
      </c>
      <c r="C123" s="10" t="n">
        <v>3119</v>
      </c>
      <c r="D123" s="10" t="inlineStr">
        <is>
          <t>1906613052</t>
        </is>
      </c>
      <c r="E123" s="26" t="inlineStr">
        <is>
          <t>Bangsamoro Autonomous Region In Muslim Mindanao (BARMM)</t>
        </is>
      </c>
      <c r="F123" s="26" t="inlineStr">
        <is>
          <t>Sulu</t>
        </is>
      </c>
      <c r="G123" s="26" t="inlineStr">
        <is>
          <t>Talipao</t>
        </is>
      </c>
      <c r="H123" s="26" t="inlineStr">
        <is>
          <t>Tinggah</t>
        </is>
      </c>
      <c r="I123" s="27" t="n">
        <v>17.255431</v>
      </c>
      <c r="J123" s="27" t="n">
        <v>122.229475</v>
      </c>
      <c r="K123" s="10" t="inlineStr">
        <is>
          <t>R</t>
        </is>
      </c>
      <c r="L123" s="12" t="n">
        <v>1956</v>
      </c>
      <c r="M123" s="14" t="n">
        <v>6</v>
      </c>
      <c r="N123" s="12">
        <f>ROUND(L123/M123, 0)</f>
        <v/>
      </c>
      <c r="O123" s="12">
        <f>ROUND(N123*'Methodology &amp; Assumptions'!$B$5, 0)</f>
        <v/>
      </c>
      <c r="P123" s="10" t="inlineStr">
        <is>
          <t>Single Carrier (Band n50, 100MHz TDD)</t>
        </is>
      </c>
      <c r="Q123" s="13">
        <f>ROUNDUP(O123/'Methodology &amp; Assumptions'!$B$6, 0)</f>
        <v/>
      </c>
      <c r="R123" s="13" t="n">
        <v>1</v>
      </c>
      <c r="S123" s="14" t="n">
        <v>29.5</v>
      </c>
      <c r="T123" s="14" t="n">
        <v>34.38</v>
      </c>
      <c r="U123" s="26">
        <f>IF(X123&gt;='Methodology &amp; Assumptions'!$B$7, "Tier 1 Critical GIDA (Score ≥ 50.0)", IF(X123&gt;='Methodology &amp; Assumptions'!$B$8, "Tier 2 High GIDA (Score 40.0–49.9)", "Tier 3 Moderate GIDA (Score &lt; 40.0)"))</f>
        <v/>
      </c>
      <c r="V123" s="26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W123" s="28" t="n">
        <v>0.11</v>
      </c>
      <c r="X123" s="14" t="n">
        <v>47.88</v>
      </c>
      <c r="Y123" s="14">
        <f>ROUND(MIN(100, (X123/69.91)*100), 2)</f>
        <v/>
      </c>
    </row>
    <row r="124">
      <c r="A124" s="10" t="n">
        <v>4</v>
      </c>
      <c r="B124" s="10" t="n">
        <v>120</v>
      </c>
      <c r="C124" s="10" t="n">
        <v>3120</v>
      </c>
      <c r="D124" s="10" t="inlineStr">
        <is>
          <t>1380606013</t>
        </is>
      </c>
      <c r="E124" s="26" t="inlineStr">
        <is>
          <t>National Capital Region (NCR)</t>
        </is>
      </c>
      <c r="F124" s="26" t="inlineStr">
        <is>
          <t>First District (Not a Province)</t>
        </is>
      </c>
      <c r="G124" s="26" t="inlineStr">
        <is>
          <t>City of Manila</t>
        </is>
      </c>
      <c r="H124" s="26" t="inlineStr">
        <is>
          <t>Barangay 407</t>
        </is>
      </c>
      <c r="I124" s="27" t="n">
        <v>13.676685</v>
      </c>
      <c r="J124" s="27" t="n">
        <v>120.799676</v>
      </c>
      <c r="K124" s="10" t="inlineStr">
        <is>
          <t>U</t>
        </is>
      </c>
      <c r="L124" s="12" t="n">
        <v>1619</v>
      </c>
      <c r="M124" s="14" t="n">
        <v>3.9</v>
      </c>
      <c r="N124" s="12">
        <f>ROUND(L124/M124, 0)</f>
        <v/>
      </c>
      <c r="O124" s="12">
        <f>ROUND(N124*'Methodology &amp; Assumptions'!$B$5, 0)</f>
        <v/>
      </c>
      <c r="P124" s="10" t="inlineStr">
        <is>
          <t>Single Carrier (Band n50, 100MHz TDD)</t>
        </is>
      </c>
      <c r="Q124" s="13">
        <f>ROUNDUP(O124/'Methodology &amp; Assumptions'!$B$6, 0)</f>
        <v/>
      </c>
      <c r="R124" s="13" t="n">
        <v>1</v>
      </c>
      <c r="S124" s="14" t="n">
        <v>10.34</v>
      </c>
      <c r="T124" s="14" t="n">
        <v>22.05</v>
      </c>
      <c r="U124" s="26">
        <f>IF(X124&gt;='Methodology &amp; Assumptions'!$B$7, "Tier 1 Critical GIDA (Score ≥ 50.0)", IF(X124&gt;='Methodology &amp; Assumptions'!$B$8, "Tier 2 High GIDA (Score 40.0–49.9)", "Tier 3 Moderate GIDA (Score &lt; 40.0)"))</f>
        <v/>
      </c>
      <c r="V124" s="26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W124" s="28" t="n">
        <v>0.109</v>
      </c>
      <c r="X124" s="14" t="n">
        <v>47.88</v>
      </c>
      <c r="Y124" s="14">
        <f>ROUND(MIN(100, (X124/69.91)*100), 2)</f>
        <v/>
      </c>
    </row>
    <row r="125">
      <c r="A125" s="10" t="n">
        <v>4</v>
      </c>
      <c r="B125" s="10" t="n">
        <v>121</v>
      </c>
      <c r="C125" s="10" t="n">
        <v>3121</v>
      </c>
      <c r="D125" s="10" t="inlineStr">
        <is>
          <t>1380606100</t>
        </is>
      </c>
      <c r="E125" s="26" t="inlineStr">
        <is>
          <t>National Capital Region (NCR)</t>
        </is>
      </c>
      <c r="F125" s="26" t="inlineStr">
        <is>
          <t>First District (Not a Province)</t>
        </is>
      </c>
      <c r="G125" s="26" t="inlineStr">
        <is>
          <t>City of Manila</t>
        </is>
      </c>
      <c r="H125" s="26" t="inlineStr">
        <is>
          <t>Barangay 494</t>
        </is>
      </c>
      <c r="I125" s="27" t="n">
        <v>12.933842</v>
      </c>
      <c r="J125" s="27" t="n">
        <v>123.046062</v>
      </c>
      <c r="K125" s="10" t="inlineStr">
        <is>
          <t>U</t>
        </is>
      </c>
      <c r="L125" s="12" t="n">
        <v>2388</v>
      </c>
      <c r="M125" s="14" t="n">
        <v>3.9</v>
      </c>
      <c r="N125" s="12">
        <f>ROUND(L125/M125, 0)</f>
        <v/>
      </c>
      <c r="O125" s="12">
        <f>ROUND(N125*'Methodology &amp; Assumptions'!$B$5, 0)</f>
        <v/>
      </c>
      <c r="P125" s="10" t="inlineStr">
        <is>
          <t>Single Carrier (Band n50, 100MHz TDD)</t>
        </is>
      </c>
      <c r="Q125" s="13">
        <f>ROUNDUP(O125/'Methodology &amp; Assumptions'!$B$6, 0)</f>
        <v/>
      </c>
      <c r="R125" s="13" t="n">
        <v>1</v>
      </c>
      <c r="S125" s="14" t="n">
        <v>33.64</v>
      </c>
      <c r="T125" s="14" t="n">
        <v>58.1</v>
      </c>
      <c r="U125" s="26">
        <f>IF(X125&gt;='Methodology &amp; Assumptions'!$B$7, "Tier 1 Critical GIDA (Score ≥ 50.0)", IF(X125&gt;='Methodology &amp; Assumptions'!$B$8, "Tier 2 High GIDA (Score 40.0–49.9)", "Tier 3 Moderate GIDA (Score &lt; 40.0)"))</f>
        <v/>
      </c>
      <c r="V125" s="26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W125" s="28" t="n">
        <v>0.109</v>
      </c>
      <c r="X125" s="14" t="n">
        <v>47.88</v>
      </c>
      <c r="Y125" s="14">
        <f>ROUND(MIN(100, (X125/69.91)*100), 2)</f>
        <v/>
      </c>
    </row>
    <row r="126">
      <c r="A126" s="10" t="n">
        <v>4</v>
      </c>
      <c r="B126" s="10" t="n">
        <v>122</v>
      </c>
      <c r="C126" s="10" t="n">
        <v>3122</v>
      </c>
      <c r="D126" s="10" t="inlineStr">
        <is>
          <t>1380612008</t>
        </is>
      </c>
      <c r="E126" s="26" t="inlineStr">
        <is>
          <t>National Capital Region (NCR)</t>
        </is>
      </c>
      <c r="F126" s="26" t="inlineStr">
        <is>
          <t>First District (Not a Province)</t>
        </is>
      </c>
      <c r="G126" s="26" t="inlineStr">
        <is>
          <t>City of Manila</t>
        </is>
      </c>
      <c r="H126" s="26" t="inlineStr">
        <is>
          <t>Barangay 840</t>
        </is>
      </c>
      <c r="I126" s="27" t="n">
        <v>12.001058</v>
      </c>
      <c r="J126" s="27" t="n">
        <v>120.872681</v>
      </c>
      <c r="K126" s="10" t="inlineStr">
        <is>
          <t>U</t>
        </is>
      </c>
      <c r="L126" s="12" t="n">
        <v>2618</v>
      </c>
      <c r="M126" s="14" t="n">
        <v>3.9</v>
      </c>
      <c r="N126" s="12">
        <f>ROUND(L126/M126, 0)</f>
        <v/>
      </c>
      <c r="O126" s="12">
        <f>ROUND(N126*'Methodology &amp; Assumptions'!$B$5, 0)</f>
        <v/>
      </c>
      <c r="P126" s="10" t="inlineStr">
        <is>
          <t>Single Carrier (Band n50, 100MHz TDD)</t>
        </is>
      </c>
      <c r="Q126" s="13">
        <f>ROUNDUP(O126/'Methodology &amp; Assumptions'!$B$6, 0)</f>
        <v/>
      </c>
      <c r="R126" s="13" t="n">
        <v>1</v>
      </c>
      <c r="S126" s="14" t="n">
        <v>44.13</v>
      </c>
      <c r="T126" s="14" t="n">
        <v>44.13</v>
      </c>
      <c r="U126" s="26">
        <f>IF(X126&gt;='Methodology &amp; Assumptions'!$B$7, "Tier 1 Critical GIDA (Score ≥ 50.0)", IF(X126&gt;='Methodology &amp; Assumptions'!$B$8, "Tier 2 High GIDA (Score 40.0–49.9)", "Tier 3 Moderate GIDA (Score &lt; 40.0)"))</f>
        <v/>
      </c>
      <c r="V126" s="26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W126" s="28" t="n">
        <v>0.109</v>
      </c>
      <c r="X126" s="14" t="n">
        <v>47.88</v>
      </c>
      <c r="Y126" s="14">
        <f>ROUND(MIN(100, (X126/69.91)*100), 2)</f>
        <v/>
      </c>
    </row>
    <row r="127">
      <c r="A127" s="10" t="n">
        <v>4</v>
      </c>
      <c r="B127" s="10" t="n">
        <v>123</v>
      </c>
      <c r="C127" s="10" t="n">
        <v>3123</v>
      </c>
      <c r="D127" s="10" t="inlineStr">
        <is>
          <t>PH0003123</t>
        </is>
      </c>
      <c r="E127" s="26" t="inlineStr">
        <is>
          <t>NCR</t>
        </is>
      </c>
      <c r="F127" s="26" t="inlineStr">
        <is>
          <t>Metro Manila</t>
        </is>
      </c>
      <c r="G127" s="26" t="inlineStr">
        <is>
          <t>Caloocan City</t>
        </is>
      </c>
      <c r="H127" s="26" t="inlineStr">
        <is>
          <t>Barangay 64</t>
        </is>
      </c>
      <c r="I127" s="27" t="n">
        <v>11.52357</v>
      </c>
      <c r="J127" s="27" t="n">
        <v>122.422695</v>
      </c>
      <c r="K127" s="10" t="inlineStr">
        <is>
          <t>R</t>
        </is>
      </c>
      <c r="L127" s="12" t="n">
        <v>2279</v>
      </c>
      <c r="M127" s="14" t="n">
        <v>3.8</v>
      </c>
      <c r="N127" s="12">
        <f>ROUND(L127/M127, 0)</f>
        <v/>
      </c>
      <c r="O127" s="12">
        <f>ROUND(N127*'Methodology &amp; Assumptions'!$B$5, 0)</f>
        <v/>
      </c>
      <c r="P127" s="10" t="inlineStr">
        <is>
          <t>Single Carrier (Band n50, 100MHz TDD)</t>
        </is>
      </c>
      <c r="Q127" s="13">
        <f>ROUNDUP(O127/'Methodology &amp; Assumptions'!$B$6, 0)</f>
        <v/>
      </c>
      <c r="R127" s="13" t="n">
        <v>1</v>
      </c>
      <c r="S127" s="14" t="n">
        <v>6.36</v>
      </c>
      <c r="T127" s="14" t="n">
        <v>2.71</v>
      </c>
      <c r="U127" s="26">
        <f>IF(X127&gt;='Methodology &amp; Assumptions'!$B$7, "Tier 1 Critical GIDA (Score ≥ 50.0)", IF(X127&gt;='Methodology &amp; Assumptions'!$B$8, "Tier 2 High GIDA (Score 40.0–49.9)", "Tier 3 Moderate GIDA (Score &lt; 40.0)"))</f>
        <v/>
      </c>
      <c r="V127" s="26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W127" s="28" t="n">
        <v>0.011</v>
      </c>
      <c r="X127" s="14" t="n">
        <v>47.88</v>
      </c>
      <c r="Y127" s="14">
        <f>ROUND(MIN(100, (X127/69.91)*100), 2)</f>
        <v/>
      </c>
    </row>
    <row r="128">
      <c r="A128" s="10" t="n">
        <v>4</v>
      </c>
      <c r="B128" s="10" t="n">
        <v>124</v>
      </c>
      <c r="C128" s="10" t="n">
        <v>3124</v>
      </c>
      <c r="D128" s="10" t="inlineStr">
        <is>
          <t>1908801009</t>
        </is>
      </c>
      <c r="E128" s="26" t="inlineStr">
        <is>
          <t>Bangsamoro Autonomous Region In Muslim Mindanao (BARMM)</t>
        </is>
      </c>
      <c r="F128" s="26" t="inlineStr">
        <is>
          <t>Maguindanao del Sur</t>
        </is>
      </c>
      <c r="G128" s="26" t="inlineStr">
        <is>
          <t>Ampatuan</t>
        </is>
      </c>
      <c r="H128" s="26" t="inlineStr">
        <is>
          <t>Tomicor</t>
        </is>
      </c>
      <c r="I128" s="27" t="n">
        <v>17.254933</v>
      </c>
      <c r="J128" s="27" t="n">
        <v>122.228977</v>
      </c>
      <c r="K128" s="10" t="inlineStr">
        <is>
          <t>R</t>
        </is>
      </c>
      <c r="L128" s="12" t="n">
        <v>1442</v>
      </c>
      <c r="M128" s="14" t="n">
        <v>4.7</v>
      </c>
      <c r="N128" s="12">
        <f>ROUND(L128/M128, 0)</f>
        <v/>
      </c>
      <c r="O128" s="12">
        <f>ROUND(N128*'Methodology &amp; Assumptions'!$B$5, 0)</f>
        <v/>
      </c>
      <c r="P128" s="10" t="inlineStr">
        <is>
          <t>Single Carrier (Band n50, 100MHz TDD)</t>
        </is>
      </c>
      <c r="Q128" s="13">
        <f>ROUNDUP(O128/'Methodology &amp; Assumptions'!$B$6, 0)</f>
        <v/>
      </c>
      <c r="R128" s="13" t="n">
        <v>1</v>
      </c>
      <c r="S128" s="14" t="n">
        <v>29.43</v>
      </c>
      <c r="T128" s="14" t="n">
        <v>34.31</v>
      </c>
      <c r="U128" s="26">
        <f>IF(X128&gt;='Methodology &amp; Assumptions'!$B$7, "Tier 1 Critical GIDA (Score ≥ 50.0)", IF(X128&gt;='Methodology &amp; Assumptions'!$B$8, "Tier 2 High GIDA (Score 40.0–49.9)", "Tier 3 Moderate GIDA (Score &lt; 40.0)"))</f>
        <v/>
      </c>
      <c r="V128" s="26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W128" s="28" t="n">
        <v>0.11</v>
      </c>
      <c r="X128" s="14" t="n">
        <v>47.88</v>
      </c>
      <c r="Y128" s="14">
        <f>ROUND(MIN(100, (X128/69.91)*100), 2)</f>
        <v/>
      </c>
    </row>
    <row r="129">
      <c r="A129" s="10" t="n">
        <v>4</v>
      </c>
      <c r="B129" s="10" t="n">
        <v>125</v>
      </c>
      <c r="C129" s="10" t="n">
        <v>3125</v>
      </c>
      <c r="D129" s="10" t="inlineStr">
        <is>
          <t>1380601221</t>
        </is>
      </c>
      <c r="E129" s="26" t="inlineStr">
        <is>
          <t>National Capital Region (NCR)</t>
        </is>
      </c>
      <c r="F129" s="26" t="inlineStr">
        <is>
          <t>First District (Not a Province)</t>
        </is>
      </c>
      <c r="G129" s="26" t="inlineStr">
        <is>
          <t>City of Manila</t>
        </is>
      </c>
      <c r="H129" s="26" t="inlineStr">
        <is>
          <t>Barangay 220</t>
        </is>
      </c>
      <c r="I129" s="27" t="n">
        <v>14.122454</v>
      </c>
      <c r="J129" s="27" t="n">
        <v>121.82966</v>
      </c>
      <c r="K129" s="10" t="inlineStr">
        <is>
          <t>U</t>
        </is>
      </c>
      <c r="L129" s="12" t="n">
        <v>1309</v>
      </c>
      <c r="M129" s="14" t="n">
        <v>3.9</v>
      </c>
      <c r="N129" s="12">
        <f>ROUND(L129/M129, 0)</f>
        <v/>
      </c>
      <c r="O129" s="12">
        <f>ROUND(N129*'Methodology &amp; Assumptions'!$B$5, 0)</f>
        <v/>
      </c>
      <c r="P129" s="10" t="inlineStr">
        <is>
          <t>Single Carrier (Band n50, 100MHz TDD)</t>
        </is>
      </c>
      <c r="Q129" s="13">
        <f>ROUNDUP(O129/'Methodology &amp; Assumptions'!$B$6, 0)</f>
        <v/>
      </c>
      <c r="R129" s="13" t="n">
        <v>1</v>
      </c>
      <c r="S129" s="14" t="n">
        <v>13.42</v>
      </c>
      <c r="T129" s="14" t="n">
        <v>12.61</v>
      </c>
      <c r="U129" s="26">
        <f>IF(X129&gt;='Methodology &amp; Assumptions'!$B$7, "Tier 1 Critical GIDA (Score ≥ 50.0)", IF(X129&gt;='Methodology &amp; Assumptions'!$B$8, "Tier 2 High GIDA (Score 40.0–49.9)", "Tier 3 Moderate GIDA (Score &lt; 40.0)"))</f>
        <v/>
      </c>
      <c r="V129" s="26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W129" s="28" t="n">
        <v>0.109</v>
      </c>
      <c r="X129" s="14" t="n">
        <v>47.88</v>
      </c>
      <c r="Y129" s="14">
        <f>ROUND(MIN(100, (X129/69.91)*100), 2)</f>
        <v/>
      </c>
    </row>
    <row r="130">
      <c r="A130" s="10" t="n">
        <v>4</v>
      </c>
      <c r="B130" s="10" t="n">
        <v>126</v>
      </c>
      <c r="C130" s="10" t="n">
        <v>3126</v>
      </c>
      <c r="D130" s="10" t="inlineStr">
        <is>
          <t>1380606219</t>
        </is>
      </c>
      <c r="E130" s="26" t="inlineStr">
        <is>
          <t>National Capital Region (NCR)</t>
        </is>
      </c>
      <c r="F130" s="26" t="inlineStr">
        <is>
          <t>First District (Not a Province)</t>
        </is>
      </c>
      <c r="G130" s="26" t="inlineStr">
        <is>
          <t>City of Manila</t>
        </is>
      </c>
      <c r="H130" s="26" t="inlineStr">
        <is>
          <t>Barangay 612</t>
        </is>
      </c>
      <c r="I130" s="27" t="n">
        <v>11.925754</v>
      </c>
      <c r="J130" s="27" t="n">
        <v>122.595114</v>
      </c>
      <c r="K130" s="10" t="inlineStr">
        <is>
          <t>U</t>
        </is>
      </c>
      <c r="L130" s="12" t="n">
        <v>724</v>
      </c>
      <c r="M130" s="14" t="n">
        <v>3.9</v>
      </c>
      <c r="N130" s="12">
        <f>ROUND(L130/M130, 0)</f>
        <v/>
      </c>
      <c r="O130" s="12">
        <f>ROUND(N130*'Methodology &amp; Assumptions'!$B$5, 0)</f>
        <v/>
      </c>
      <c r="P130" s="10" t="inlineStr">
        <is>
          <t>Single Carrier (Band n50, 100MHz TDD)</t>
        </is>
      </c>
      <c r="Q130" s="13">
        <f>ROUNDUP(O130/'Methodology &amp; Assumptions'!$B$6, 0)</f>
        <v/>
      </c>
      <c r="R130" s="13" t="n">
        <v>1</v>
      </c>
      <c r="S130" s="14" t="n">
        <v>35.49</v>
      </c>
      <c r="T130" s="14" t="n">
        <v>9.18</v>
      </c>
      <c r="U130" s="26">
        <f>IF(X130&gt;='Methodology &amp; Assumptions'!$B$7, "Tier 1 Critical GIDA (Score ≥ 50.0)", IF(X130&gt;='Methodology &amp; Assumptions'!$B$8, "Tier 2 High GIDA (Score 40.0–49.9)", "Tier 3 Moderate GIDA (Score &lt; 40.0)"))</f>
        <v/>
      </c>
      <c r="V130" s="26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W130" s="28" t="n">
        <v>0.109</v>
      </c>
      <c r="X130" s="14" t="n">
        <v>47.88</v>
      </c>
      <c r="Y130" s="14">
        <f>ROUND(MIN(100, (X130/69.91)*100), 2)</f>
        <v/>
      </c>
    </row>
    <row r="131">
      <c r="A131" s="10" t="n">
        <v>4</v>
      </c>
      <c r="B131" s="10" t="n">
        <v>127</v>
      </c>
      <c r="C131" s="10" t="n">
        <v>3127</v>
      </c>
      <c r="D131" s="10" t="inlineStr">
        <is>
          <t>PH0003127</t>
        </is>
      </c>
      <c r="E131" s="26" t="inlineStr">
        <is>
          <t>NCR</t>
        </is>
      </c>
      <c r="F131" s="26" t="inlineStr">
        <is>
          <t>Metro Manila</t>
        </is>
      </c>
      <c r="G131" s="26" t="inlineStr">
        <is>
          <t>Caloocan City</t>
        </is>
      </c>
      <c r="H131" s="26" t="inlineStr">
        <is>
          <t>Barangay 141</t>
        </is>
      </c>
      <c r="I131" s="27" t="n">
        <v>13.452835</v>
      </c>
      <c r="J131" s="27" t="n">
        <v>120.354618</v>
      </c>
      <c r="K131" s="10" t="inlineStr">
        <is>
          <t>R</t>
        </is>
      </c>
      <c r="L131" s="12" t="n">
        <v>2279</v>
      </c>
      <c r="M131" s="14" t="n">
        <v>3.8</v>
      </c>
      <c r="N131" s="12">
        <f>ROUND(L131/M131, 0)</f>
        <v/>
      </c>
      <c r="O131" s="12">
        <f>ROUND(N131*'Methodology &amp; Assumptions'!$B$5, 0)</f>
        <v/>
      </c>
      <c r="P131" s="10" t="inlineStr">
        <is>
          <t>Single Carrier (Band n50, 100MHz TDD)</t>
        </is>
      </c>
      <c r="Q131" s="13">
        <f>ROUNDUP(O131/'Methodology &amp; Assumptions'!$B$6, 0)</f>
        <v/>
      </c>
      <c r="R131" s="13" t="n">
        <v>1</v>
      </c>
      <c r="S131" s="14" t="n">
        <v>51.27</v>
      </c>
      <c r="T131" s="14" t="n">
        <v>51.33</v>
      </c>
      <c r="U131" s="26">
        <f>IF(X131&gt;='Methodology &amp; Assumptions'!$B$7, "Tier 1 Critical GIDA (Score ≥ 50.0)", IF(X131&gt;='Methodology &amp; Assumptions'!$B$8, "Tier 2 High GIDA (Score 40.0–49.9)", "Tier 3 Moderate GIDA (Score &lt; 40.0)"))</f>
        <v/>
      </c>
      <c r="V131" s="26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W131" s="28" t="n">
        <v>0.011</v>
      </c>
      <c r="X131" s="14" t="n">
        <v>47.88</v>
      </c>
      <c r="Y131" s="14">
        <f>ROUND(MIN(100, (X131/69.91)*100), 2)</f>
        <v/>
      </c>
    </row>
    <row r="132">
      <c r="A132" s="10" t="n">
        <v>4</v>
      </c>
      <c r="B132" s="10" t="n">
        <v>128</v>
      </c>
      <c r="C132" s="10" t="n">
        <v>3128</v>
      </c>
      <c r="D132" s="10" t="inlineStr">
        <is>
          <t>PH0003128</t>
        </is>
      </c>
      <c r="E132" s="26" t="inlineStr">
        <is>
          <t>NCR</t>
        </is>
      </c>
      <c r="F132" s="26" t="inlineStr">
        <is>
          <t>Metro Manila</t>
        </is>
      </c>
      <c r="G132" s="26" t="inlineStr">
        <is>
          <t>Caloocan City</t>
        </is>
      </c>
      <c r="H132" s="26" t="inlineStr">
        <is>
          <t>Barangay 69</t>
        </is>
      </c>
      <c r="I132" s="27" t="n">
        <v>13.392396</v>
      </c>
      <c r="J132" s="27" t="n">
        <v>123.218977</v>
      </c>
      <c r="K132" s="10" t="inlineStr">
        <is>
          <t>R</t>
        </is>
      </c>
      <c r="L132" s="12" t="n">
        <v>2279</v>
      </c>
      <c r="M132" s="14" t="n">
        <v>3.8</v>
      </c>
      <c r="N132" s="12">
        <f>ROUND(L132/M132, 0)</f>
        <v/>
      </c>
      <c r="O132" s="12">
        <f>ROUND(N132*'Methodology &amp; Assumptions'!$B$5, 0)</f>
        <v/>
      </c>
      <c r="P132" s="10" t="inlineStr">
        <is>
          <t>Single Carrier (Band n50, 100MHz TDD)</t>
        </is>
      </c>
      <c r="Q132" s="13">
        <f>ROUNDUP(O132/'Methodology &amp; Assumptions'!$B$6, 0)</f>
        <v/>
      </c>
      <c r="R132" s="13" t="n">
        <v>1</v>
      </c>
      <c r="S132" s="14" t="n">
        <v>8.699999999999999</v>
      </c>
      <c r="T132" s="14" t="n">
        <v>15.87</v>
      </c>
      <c r="U132" s="26">
        <f>IF(X132&gt;='Methodology &amp; Assumptions'!$B$7, "Tier 1 Critical GIDA (Score ≥ 50.0)", IF(X132&gt;='Methodology &amp; Assumptions'!$B$8, "Tier 2 High GIDA (Score 40.0–49.9)", "Tier 3 Moderate GIDA (Score &lt; 40.0)"))</f>
        <v/>
      </c>
      <c r="V132" s="26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W132" s="28" t="n">
        <v>0.011</v>
      </c>
      <c r="X132" s="14" t="n">
        <v>47.87</v>
      </c>
      <c r="Y132" s="14">
        <f>ROUND(MIN(100, (X132/69.91)*100), 2)</f>
        <v/>
      </c>
    </row>
    <row r="133">
      <c r="A133" s="10" t="n">
        <v>4</v>
      </c>
      <c r="B133" s="10" t="n">
        <v>129</v>
      </c>
      <c r="C133" s="10" t="n">
        <v>3129</v>
      </c>
      <c r="D133" s="10" t="inlineStr">
        <is>
          <t>1380605073</t>
        </is>
      </c>
      <c r="E133" s="26" t="inlineStr">
        <is>
          <t>National Capital Region (NCR)</t>
        </is>
      </c>
      <c r="F133" s="26" t="inlineStr">
        <is>
          <t>First District (Not a Province)</t>
        </is>
      </c>
      <c r="G133" s="26" t="inlineStr">
        <is>
          <t>City of Manila</t>
        </is>
      </c>
      <c r="H133" s="26" t="inlineStr">
        <is>
          <t>Barangay 370</t>
        </is>
      </c>
      <c r="I133" s="27" t="n">
        <v>13.042419</v>
      </c>
      <c r="J133" s="27" t="n">
        <v>120.506129</v>
      </c>
      <c r="K133" s="10" t="inlineStr">
        <is>
          <t>U</t>
        </is>
      </c>
      <c r="L133" s="12" t="n">
        <v>795</v>
      </c>
      <c r="M133" s="14" t="n">
        <v>3.9</v>
      </c>
      <c r="N133" s="12">
        <f>ROUND(L133/M133, 0)</f>
        <v/>
      </c>
      <c r="O133" s="12">
        <f>ROUND(N133*'Methodology &amp; Assumptions'!$B$5, 0)</f>
        <v/>
      </c>
      <c r="P133" s="10" t="inlineStr">
        <is>
          <t>Single Carrier (Band n50, 100MHz TDD)</t>
        </is>
      </c>
      <c r="Q133" s="13">
        <f>ROUNDUP(O133/'Methodology &amp; Assumptions'!$B$6, 0)</f>
        <v/>
      </c>
      <c r="R133" s="13" t="n">
        <v>1</v>
      </c>
      <c r="S133" s="14" t="n">
        <v>67.02</v>
      </c>
      <c r="T133" s="14" t="n">
        <v>65.65000000000001</v>
      </c>
      <c r="U133" s="26">
        <f>IF(X133&gt;='Methodology &amp; Assumptions'!$B$7, "Tier 1 Critical GIDA (Score ≥ 50.0)", IF(X133&gt;='Methodology &amp; Assumptions'!$B$8, "Tier 2 High GIDA (Score 40.0–49.9)", "Tier 3 Moderate GIDA (Score &lt; 40.0)"))</f>
        <v/>
      </c>
      <c r="V133" s="26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W133" s="28" t="n">
        <v>0.109</v>
      </c>
      <c r="X133" s="14" t="n">
        <v>47.87</v>
      </c>
      <c r="Y133" s="14">
        <f>ROUND(MIN(100, (X133/69.91)*100), 2)</f>
        <v/>
      </c>
    </row>
    <row r="134">
      <c r="A134" s="10" t="n">
        <v>4</v>
      </c>
      <c r="B134" s="10" t="n">
        <v>130</v>
      </c>
      <c r="C134" s="10" t="n">
        <v>3130</v>
      </c>
      <c r="D134" s="10" t="inlineStr">
        <is>
          <t>1380601262</t>
        </is>
      </c>
      <c r="E134" s="26" t="inlineStr">
        <is>
          <t>National Capital Region (NCR)</t>
        </is>
      </c>
      <c r="F134" s="26" t="inlineStr">
        <is>
          <t>First District (Not a Province)</t>
        </is>
      </c>
      <c r="G134" s="26" t="inlineStr">
        <is>
          <t>City of Manila</t>
        </is>
      </c>
      <c r="H134" s="26" t="inlineStr">
        <is>
          <t>Barangay 261</t>
        </is>
      </c>
      <c r="I134" s="27" t="n">
        <v>13.595516</v>
      </c>
      <c r="J134" s="27" t="n">
        <v>122.822675</v>
      </c>
      <c r="K134" s="10" t="inlineStr">
        <is>
          <t>U</t>
        </is>
      </c>
      <c r="L134" s="12" t="n">
        <v>757</v>
      </c>
      <c r="M134" s="14" t="n">
        <v>3.9</v>
      </c>
      <c r="N134" s="12">
        <f>ROUND(L134/M134, 0)</f>
        <v/>
      </c>
      <c r="O134" s="12">
        <f>ROUND(N134*'Methodology &amp; Assumptions'!$B$5, 0)</f>
        <v/>
      </c>
      <c r="P134" s="10" t="inlineStr">
        <is>
          <t>Single Carrier (Band n50, 100MHz TDD)</t>
        </is>
      </c>
      <c r="Q134" s="13">
        <f>ROUNDUP(O134/'Methodology &amp; Assumptions'!$B$6, 0)</f>
        <v/>
      </c>
      <c r="R134" s="13" t="n">
        <v>1</v>
      </c>
      <c r="S134" s="14" t="n">
        <v>20.67</v>
      </c>
      <c r="T134" s="14" t="n">
        <v>20.66</v>
      </c>
      <c r="U134" s="26">
        <f>IF(X134&gt;='Methodology &amp; Assumptions'!$B$7, "Tier 1 Critical GIDA (Score ≥ 50.0)", IF(X134&gt;='Methodology &amp; Assumptions'!$B$8, "Tier 2 High GIDA (Score 40.0–49.9)", "Tier 3 Moderate GIDA (Score &lt; 40.0)"))</f>
        <v/>
      </c>
      <c r="V134" s="26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W134" s="28" t="n">
        <v>0.109</v>
      </c>
      <c r="X134" s="14" t="n">
        <v>47.87</v>
      </c>
      <c r="Y134" s="14">
        <f>ROUND(MIN(100, (X134/69.91)*100), 2)</f>
        <v/>
      </c>
    </row>
    <row r="135">
      <c r="A135" s="10" t="n">
        <v>4</v>
      </c>
      <c r="B135" s="10" t="n">
        <v>131</v>
      </c>
      <c r="C135" s="10" t="n">
        <v>3131</v>
      </c>
      <c r="D135" s="10" t="inlineStr">
        <is>
          <t>1380614003</t>
        </is>
      </c>
      <c r="E135" s="26" t="inlineStr">
        <is>
          <t>National Capital Region (NCR)</t>
        </is>
      </c>
      <c r="F135" s="26" t="inlineStr">
        <is>
          <t>First District (Not a Province)</t>
        </is>
      </c>
      <c r="G135" s="26" t="inlineStr">
        <is>
          <t>City of Manila</t>
        </is>
      </c>
      <c r="H135" s="26" t="inlineStr">
        <is>
          <t>Barangay 746</t>
        </is>
      </c>
      <c r="I135" s="27" t="n">
        <v>11.659978</v>
      </c>
      <c r="J135" s="27" t="n">
        <v>121.496615</v>
      </c>
      <c r="K135" s="10" t="inlineStr">
        <is>
          <t>U</t>
        </is>
      </c>
      <c r="L135" s="12" t="n">
        <v>1714</v>
      </c>
      <c r="M135" s="14" t="n">
        <v>3.9</v>
      </c>
      <c r="N135" s="12">
        <f>ROUND(L135/M135, 0)</f>
        <v/>
      </c>
      <c r="O135" s="12">
        <f>ROUND(N135*'Methodology &amp; Assumptions'!$B$5, 0)</f>
        <v/>
      </c>
      <c r="P135" s="10" t="inlineStr">
        <is>
          <t>Single Carrier (Band n50, 100MHz TDD)</t>
        </is>
      </c>
      <c r="Q135" s="13">
        <f>ROUNDUP(O135/'Methodology &amp; Assumptions'!$B$6, 0)</f>
        <v/>
      </c>
      <c r="R135" s="13" t="n">
        <v>1</v>
      </c>
      <c r="S135" s="14" t="n">
        <v>58.47</v>
      </c>
      <c r="T135" s="14" t="n">
        <v>57.31</v>
      </c>
      <c r="U135" s="26">
        <f>IF(X135&gt;='Methodology &amp; Assumptions'!$B$7, "Tier 1 Critical GIDA (Score ≥ 50.0)", IF(X135&gt;='Methodology &amp; Assumptions'!$B$8, "Tier 2 High GIDA (Score 40.0–49.9)", "Tier 3 Moderate GIDA (Score &lt; 40.0)"))</f>
        <v/>
      </c>
      <c r="V135" s="26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W135" s="28" t="n">
        <v>0.109</v>
      </c>
      <c r="X135" s="14" t="n">
        <v>47.87</v>
      </c>
      <c r="Y135" s="14">
        <f>ROUND(MIN(100, (X135/69.91)*100), 2)</f>
        <v/>
      </c>
    </row>
    <row r="136">
      <c r="A136" s="10" t="n">
        <v>4</v>
      </c>
      <c r="B136" s="10" t="n">
        <v>132</v>
      </c>
      <c r="C136" s="10" t="n">
        <v>3132</v>
      </c>
      <c r="D136" s="10" t="inlineStr">
        <is>
          <t>1381100101</t>
        </is>
      </c>
      <c r="E136" s="26" t="inlineStr">
        <is>
          <t>National Capital Region (NCR)</t>
        </is>
      </c>
      <c r="F136" s="26" t="inlineStr">
        <is>
          <t>Fourth District (Not a Province)</t>
        </is>
      </c>
      <c r="G136" s="26" t="inlineStr">
        <is>
          <t>Pasay City</t>
        </is>
      </c>
      <c r="H136" s="26" t="inlineStr">
        <is>
          <t>Barangay 101</t>
        </is>
      </c>
      <c r="I136" s="27" t="n">
        <v>14.45122</v>
      </c>
      <c r="J136" s="27" t="n">
        <v>121.227428</v>
      </c>
      <c r="K136" s="10" t="inlineStr">
        <is>
          <t>U</t>
        </is>
      </c>
      <c r="L136" s="12" t="n">
        <v>566</v>
      </c>
      <c r="M136" s="14" t="n">
        <v>3.4</v>
      </c>
      <c r="N136" s="12">
        <f>ROUND(L136/M136, 0)</f>
        <v/>
      </c>
      <c r="O136" s="12">
        <f>ROUND(N136*'Methodology &amp; Assumptions'!$B$5, 0)</f>
        <v/>
      </c>
      <c r="P136" s="10" t="inlineStr">
        <is>
          <t>Single Carrier (Band n50, 100MHz TDD)</t>
        </is>
      </c>
      <c r="Q136" s="13">
        <f>ROUNDUP(O136/'Methodology &amp; Assumptions'!$B$6, 0)</f>
        <v/>
      </c>
      <c r="R136" s="13" t="n">
        <v>1</v>
      </c>
      <c r="S136" s="14" t="n">
        <v>2.25</v>
      </c>
      <c r="T136" s="14" t="n">
        <v>2.78</v>
      </c>
      <c r="U136" s="26">
        <f>IF(X136&gt;='Methodology &amp; Assumptions'!$B$7, "Tier 1 Critical GIDA (Score ≥ 50.0)", IF(X136&gt;='Methodology &amp; Assumptions'!$B$8, "Tier 2 High GIDA (Score 40.0–49.9)", "Tier 3 Moderate GIDA (Score &lt; 40.0)"))</f>
        <v/>
      </c>
      <c r="V136" s="26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W136" s="28" t="n">
        <v>0.109</v>
      </c>
      <c r="X136" s="14" t="n">
        <v>47.87</v>
      </c>
      <c r="Y136" s="14">
        <f>ROUND(MIN(100, (X136/69.91)*100), 2)</f>
        <v/>
      </c>
    </row>
    <row r="137">
      <c r="A137" s="10" t="n">
        <v>4</v>
      </c>
      <c r="B137" s="10" t="n">
        <v>133</v>
      </c>
      <c r="C137" s="10" t="n">
        <v>3133</v>
      </c>
      <c r="D137" s="10" t="inlineStr">
        <is>
          <t>1381100001</t>
        </is>
      </c>
      <c r="E137" s="26" t="inlineStr">
        <is>
          <t>National Capital Region (NCR)</t>
        </is>
      </c>
      <c r="F137" s="26" t="inlineStr">
        <is>
          <t>Fourth District (Not a Province)</t>
        </is>
      </c>
      <c r="G137" s="26" t="inlineStr">
        <is>
          <t>Pasay City</t>
        </is>
      </c>
      <c r="H137" s="26" t="inlineStr">
        <is>
          <t>Barangay 1</t>
        </is>
      </c>
      <c r="I137" s="27" t="n">
        <v>14.46029</v>
      </c>
      <c r="J137" s="27" t="n">
        <v>120.774858</v>
      </c>
      <c r="K137" s="10" t="inlineStr">
        <is>
          <t>U</t>
        </is>
      </c>
      <c r="L137" s="12" t="n">
        <v>2340</v>
      </c>
      <c r="M137" s="14" t="n">
        <v>3.4</v>
      </c>
      <c r="N137" s="12">
        <f>ROUND(L137/M137, 0)</f>
        <v/>
      </c>
      <c r="O137" s="12">
        <f>ROUND(N137*'Methodology &amp; Assumptions'!$B$5, 0)</f>
        <v/>
      </c>
      <c r="P137" s="10" t="inlineStr">
        <is>
          <t>Single Carrier (Band n50, 100MHz TDD)</t>
        </is>
      </c>
      <c r="Q137" s="13">
        <f>ROUNDUP(O137/'Methodology &amp; Assumptions'!$B$6, 0)</f>
        <v/>
      </c>
      <c r="R137" s="13" t="n">
        <v>1</v>
      </c>
      <c r="S137" s="14" t="n">
        <v>11.29</v>
      </c>
      <c r="T137" s="14" t="n">
        <v>11.1</v>
      </c>
      <c r="U137" s="26">
        <f>IF(X137&gt;='Methodology &amp; Assumptions'!$B$7, "Tier 1 Critical GIDA (Score ≥ 50.0)", IF(X137&gt;='Methodology &amp; Assumptions'!$B$8, "Tier 2 High GIDA (Score 40.0–49.9)", "Tier 3 Moderate GIDA (Score &lt; 40.0)"))</f>
        <v/>
      </c>
      <c r="V137" s="26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W137" s="28" t="n">
        <v>0.109</v>
      </c>
      <c r="X137" s="14" t="n">
        <v>47.85</v>
      </c>
      <c r="Y137" s="14">
        <f>ROUND(MIN(100, (X137/69.91)*100), 2)</f>
        <v/>
      </c>
    </row>
    <row r="138">
      <c r="A138" s="10" t="n">
        <v>4</v>
      </c>
      <c r="B138" s="10" t="n">
        <v>134</v>
      </c>
      <c r="C138" s="10" t="n">
        <v>3134</v>
      </c>
      <c r="D138" s="10" t="inlineStr">
        <is>
          <t>1380606184</t>
        </is>
      </c>
      <c r="E138" s="26" t="inlineStr">
        <is>
          <t>National Capital Region (NCR)</t>
        </is>
      </c>
      <c r="F138" s="26" t="inlineStr">
        <is>
          <t>First District (Not a Province)</t>
        </is>
      </c>
      <c r="G138" s="26" t="inlineStr">
        <is>
          <t>City of Manila</t>
        </is>
      </c>
      <c r="H138" s="26" t="inlineStr">
        <is>
          <t>Barangay 578</t>
        </is>
      </c>
      <c r="I138" s="27" t="n">
        <v>13.962826</v>
      </c>
      <c r="J138" s="27" t="n">
        <v>121.132517</v>
      </c>
      <c r="K138" s="10" t="inlineStr">
        <is>
          <t>U</t>
        </is>
      </c>
      <c r="L138" s="12" t="n">
        <v>1133</v>
      </c>
      <c r="M138" s="14" t="n">
        <v>3.9</v>
      </c>
      <c r="N138" s="12">
        <f>ROUND(L138/M138, 0)</f>
        <v/>
      </c>
      <c r="O138" s="12">
        <f>ROUND(N138*'Methodology &amp; Assumptions'!$B$5, 0)</f>
        <v/>
      </c>
      <c r="P138" s="10" t="inlineStr">
        <is>
          <t>Single Carrier (Band n50, 100MHz TDD)</t>
        </is>
      </c>
      <c r="Q138" s="13">
        <f>ROUNDUP(O138/'Methodology &amp; Assumptions'!$B$6, 0)</f>
        <v/>
      </c>
      <c r="R138" s="13" t="n">
        <v>1</v>
      </c>
      <c r="S138" s="14" t="n">
        <v>1.98</v>
      </c>
      <c r="T138" s="14" t="n">
        <v>1.98</v>
      </c>
      <c r="U138" s="26">
        <f>IF(X138&gt;='Methodology &amp; Assumptions'!$B$7, "Tier 1 Critical GIDA (Score ≥ 50.0)", IF(X138&gt;='Methodology &amp; Assumptions'!$B$8, "Tier 2 High GIDA (Score 40.0–49.9)", "Tier 3 Moderate GIDA (Score &lt; 40.0)"))</f>
        <v/>
      </c>
      <c r="V138" s="26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W138" s="28" t="n">
        <v>0.109</v>
      </c>
      <c r="X138" s="14" t="n">
        <v>47.85</v>
      </c>
      <c r="Y138" s="14">
        <f>ROUND(MIN(100, (X138/69.91)*100), 2)</f>
        <v/>
      </c>
    </row>
    <row r="139">
      <c r="A139" s="10" t="n">
        <v>4</v>
      </c>
      <c r="B139" s="10" t="n">
        <v>135</v>
      </c>
      <c r="C139" s="10" t="n">
        <v>3135</v>
      </c>
      <c r="D139" s="10" t="inlineStr">
        <is>
          <t>1380605029</t>
        </is>
      </c>
      <c r="E139" s="26" t="inlineStr">
        <is>
          <t>National Capital Region (NCR)</t>
        </is>
      </c>
      <c r="F139" s="26" t="inlineStr">
        <is>
          <t>First District (Not a Province)</t>
        </is>
      </c>
      <c r="G139" s="26" t="inlineStr">
        <is>
          <t>City of Manila</t>
        </is>
      </c>
      <c r="H139" s="26" t="inlineStr">
        <is>
          <t>Barangay 327</t>
        </is>
      </c>
      <c r="I139" s="27" t="n">
        <v>12.503206</v>
      </c>
      <c r="J139" s="27" t="n">
        <v>122.998906</v>
      </c>
      <c r="K139" s="10" t="inlineStr">
        <is>
          <t>U</t>
        </is>
      </c>
      <c r="L139" s="12" t="n">
        <v>1277</v>
      </c>
      <c r="M139" s="14" t="n">
        <v>3.9</v>
      </c>
      <c r="N139" s="12">
        <f>ROUND(L139/M139, 0)</f>
        <v/>
      </c>
      <c r="O139" s="12">
        <f>ROUND(N139*'Methodology &amp; Assumptions'!$B$5, 0)</f>
        <v/>
      </c>
      <c r="P139" s="10" t="inlineStr">
        <is>
          <t>Single Carrier (Band n50, 100MHz TDD)</t>
        </is>
      </c>
      <c r="Q139" s="13">
        <f>ROUNDUP(O139/'Methodology &amp; Assumptions'!$B$6, 0)</f>
        <v/>
      </c>
      <c r="R139" s="13" t="n">
        <v>1</v>
      </c>
      <c r="S139" s="14" t="n">
        <v>42.64</v>
      </c>
      <c r="T139" s="14" t="n">
        <v>47.41</v>
      </c>
      <c r="U139" s="26">
        <f>IF(X139&gt;='Methodology &amp; Assumptions'!$B$7, "Tier 1 Critical GIDA (Score ≥ 50.0)", IF(X139&gt;='Methodology &amp; Assumptions'!$B$8, "Tier 2 High GIDA (Score 40.0–49.9)", "Tier 3 Moderate GIDA (Score &lt; 40.0)"))</f>
        <v/>
      </c>
      <c r="V139" s="26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W139" s="28" t="n">
        <v>0.109</v>
      </c>
      <c r="X139" s="14" t="n">
        <v>47.85</v>
      </c>
      <c r="Y139" s="14">
        <f>ROUND(MIN(100, (X139/69.91)*100), 2)</f>
        <v/>
      </c>
    </row>
    <row r="140">
      <c r="A140" s="10" t="n">
        <v>4</v>
      </c>
      <c r="B140" s="10" t="n">
        <v>136</v>
      </c>
      <c r="C140" s="10" t="n">
        <v>3136</v>
      </c>
      <c r="D140" s="10" t="inlineStr">
        <is>
          <t>PH0003136</t>
        </is>
      </c>
      <c r="E140" s="26" t="inlineStr">
        <is>
          <t>CAR</t>
        </is>
      </c>
      <c r="F140" s="26" t="inlineStr">
        <is>
          <t>Benguet</t>
        </is>
      </c>
      <c r="G140" s="26" t="inlineStr">
        <is>
          <t>Baguio City</t>
        </is>
      </c>
      <c r="H140" s="26" t="inlineStr">
        <is>
          <t>Campo Filipino</t>
        </is>
      </c>
      <c r="I140" s="27" t="n">
        <v>16.44201</v>
      </c>
      <c r="J140" s="27" t="n">
        <v>120.577154</v>
      </c>
      <c r="K140" s="10" t="inlineStr">
        <is>
          <t>R</t>
        </is>
      </c>
      <c r="L140" s="12" t="n">
        <v>2260</v>
      </c>
      <c r="M140" s="14" t="n">
        <v>3.5</v>
      </c>
      <c r="N140" s="12">
        <f>ROUND(L140/M140, 0)</f>
        <v/>
      </c>
      <c r="O140" s="12">
        <f>ROUND(N140*'Methodology &amp; Assumptions'!$B$5, 0)</f>
        <v/>
      </c>
      <c r="P140" s="10" t="inlineStr">
        <is>
          <t>Single Carrier (Band n50, 100MHz TDD)</t>
        </is>
      </c>
      <c r="Q140" s="13">
        <f>ROUNDUP(O140/'Methodology &amp; Assumptions'!$B$6, 0)</f>
        <v/>
      </c>
      <c r="R140" s="13" t="n">
        <v>1</v>
      </c>
      <c r="S140" s="14" t="n">
        <v>1.33</v>
      </c>
      <c r="T140" s="14" t="n">
        <v>0.51</v>
      </c>
      <c r="U140" s="26">
        <f>IF(X140&gt;='Methodology &amp; Assumptions'!$B$7, "Tier 1 Critical GIDA (Score ≥ 50.0)", IF(X140&gt;='Methodology &amp; Assumptions'!$B$8, "Tier 2 High GIDA (Score 40.0–49.9)", "Tier 3 Moderate GIDA (Score &lt; 40.0)"))</f>
        <v/>
      </c>
      <c r="V140" s="26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W140" s="28" t="n">
        <v>0.221</v>
      </c>
      <c r="X140" s="14" t="n">
        <v>47.85</v>
      </c>
      <c r="Y140" s="14">
        <f>ROUND(MIN(100, (X140/69.91)*100), 2)</f>
        <v/>
      </c>
    </row>
    <row r="141">
      <c r="A141" s="10" t="n">
        <v>4</v>
      </c>
      <c r="B141" s="10" t="n">
        <v>137</v>
      </c>
      <c r="C141" s="10" t="n">
        <v>3137</v>
      </c>
      <c r="D141" s="10" t="inlineStr">
        <is>
          <t>1380606098</t>
        </is>
      </c>
      <c r="E141" s="26" t="inlineStr">
        <is>
          <t>National Capital Region (NCR)</t>
        </is>
      </c>
      <c r="F141" s="26" t="inlineStr">
        <is>
          <t>First District (Not a Province)</t>
        </is>
      </c>
      <c r="G141" s="26" t="inlineStr">
        <is>
          <t>City of Manila</t>
        </is>
      </c>
      <c r="H141" s="26" t="inlineStr">
        <is>
          <t>Barangay 492</t>
        </is>
      </c>
      <c r="I141" s="27" t="n">
        <v>12.349996</v>
      </c>
      <c r="J141" s="27" t="n">
        <v>120.608729</v>
      </c>
      <c r="K141" s="10" t="inlineStr">
        <is>
          <t>U</t>
        </is>
      </c>
      <c r="L141" s="12" t="n">
        <v>1141</v>
      </c>
      <c r="M141" s="14" t="n">
        <v>3.9</v>
      </c>
      <c r="N141" s="12">
        <f>ROUND(L141/M141, 0)</f>
        <v/>
      </c>
      <c r="O141" s="12">
        <f>ROUND(N141*'Methodology &amp; Assumptions'!$B$5, 0)</f>
        <v/>
      </c>
      <c r="P141" s="10" t="inlineStr">
        <is>
          <t>Single Carrier (Band n50, 100MHz TDD)</t>
        </is>
      </c>
      <c r="Q141" s="13">
        <f>ROUNDUP(O141/'Methodology &amp; Assumptions'!$B$6, 0)</f>
        <v/>
      </c>
      <c r="R141" s="13" t="n">
        <v>1</v>
      </c>
      <c r="S141" s="14" t="n">
        <v>49.52</v>
      </c>
      <c r="T141" s="14" t="n">
        <v>48.85</v>
      </c>
      <c r="U141" s="26">
        <f>IF(X141&gt;='Methodology &amp; Assumptions'!$B$7, "Tier 1 Critical GIDA (Score ≥ 50.0)", IF(X141&gt;='Methodology &amp; Assumptions'!$B$8, "Tier 2 High GIDA (Score 40.0–49.9)", "Tier 3 Moderate GIDA (Score &lt; 40.0)"))</f>
        <v/>
      </c>
      <c r="V141" s="26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W141" s="28" t="n">
        <v>0.109</v>
      </c>
      <c r="X141" s="14" t="n">
        <v>47.84</v>
      </c>
      <c r="Y141" s="14">
        <f>ROUND(MIN(100, (X141/69.91)*100), 2)</f>
        <v/>
      </c>
    </row>
    <row r="142">
      <c r="A142" s="10" t="n">
        <v>4</v>
      </c>
      <c r="B142" s="10" t="n">
        <v>138</v>
      </c>
      <c r="C142" s="10" t="n">
        <v>3138</v>
      </c>
      <c r="D142" s="10" t="inlineStr">
        <is>
          <t>PH0003138</t>
        </is>
      </c>
      <c r="E142" s="26" t="inlineStr">
        <is>
          <t>NCR</t>
        </is>
      </c>
      <c r="F142" s="26" t="inlineStr">
        <is>
          <t>Metro Manila</t>
        </is>
      </c>
      <c r="G142" s="26" t="inlineStr">
        <is>
          <t>Caloocan City</t>
        </is>
      </c>
      <c r="H142" s="26" t="inlineStr">
        <is>
          <t>Barangay 122</t>
        </is>
      </c>
      <c r="I142" s="27" t="n">
        <v>11.548853</v>
      </c>
      <c r="J142" s="27" t="n">
        <v>121.063324</v>
      </c>
      <c r="K142" s="10" t="inlineStr">
        <is>
          <t>R</t>
        </is>
      </c>
      <c r="L142" s="12" t="n">
        <v>2279</v>
      </c>
      <c r="M142" s="14" t="n">
        <v>3.8</v>
      </c>
      <c r="N142" s="12">
        <f>ROUND(L142/M142, 0)</f>
        <v/>
      </c>
      <c r="O142" s="12">
        <f>ROUND(N142*'Methodology &amp; Assumptions'!$B$5, 0)</f>
        <v/>
      </c>
      <c r="P142" s="10" t="inlineStr">
        <is>
          <t>Single Carrier (Band n50, 100MHz TDD)</t>
        </is>
      </c>
      <c r="Q142" s="13">
        <f>ROUNDUP(O142/'Methodology &amp; Assumptions'!$B$6, 0)</f>
        <v/>
      </c>
      <c r="R142" s="13" t="n">
        <v>1</v>
      </c>
      <c r="S142" s="14" t="n">
        <v>85.03</v>
      </c>
      <c r="T142" s="14" t="n">
        <v>83.31</v>
      </c>
      <c r="U142" s="26">
        <f>IF(X142&gt;='Methodology &amp; Assumptions'!$B$7, "Tier 1 Critical GIDA (Score ≥ 50.0)", IF(X142&gt;='Methodology &amp; Assumptions'!$B$8, "Tier 2 High GIDA (Score 40.0–49.9)", "Tier 3 Moderate GIDA (Score &lt; 40.0)"))</f>
        <v/>
      </c>
      <c r="V142" s="26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W142" s="28" t="n">
        <v>0.011</v>
      </c>
      <c r="X142" s="14" t="n">
        <v>47.84</v>
      </c>
      <c r="Y142" s="14">
        <f>ROUND(MIN(100, (X142/69.91)*100), 2)</f>
        <v/>
      </c>
    </row>
    <row r="143">
      <c r="A143" s="10" t="n">
        <v>4</v>
      </c>
      <c r="B143" s="10" t="n">
        <v>139</v>
      </c>
      <c r="C143" s="10" t="n">
        <v>3139</v>
      </c>
      <c r="D143" s="10" t="inlineStr">
        <is>
          <t>1380601205</t>
        </is>
      </c>
      <c r="E143" s="26" t="inlineStr">
        <is>
          <t>National Capital Region (NCR)</t>
        </is>
      </c>
      <c r="F143" s="26" t="inlineStr">
        <is>
          <t>First District (Not a Province)</t>
        </is>
      </c>
      <c r="G143" s="26" t="inlineStr">
        <is>
          <t>City of Manila</t>
        </is>
      </c>
      <c r="H143" s="26" t="inlineStr">
        <is>
          <t>Barangay 204</t>
        </is>
      </c>
      <c r="I143" s="27" t="n">
        <v>14.038924</v>
      </c>
      <c r="J143" s="27" t="n">
        <v>122.266559</v>
      </c>
      <c r="K143" s="10" t="inlineStr">
        <is>
          <t>U</t>
        </is>
      </c>
      <c r="L143" s="12" t="n">
        <v>2766</v>
      </c>
      <c r="M143" s="14" t="n">
        <v>3.9</v>
      </c>
      <c r="N143" s="12">
        <f>ROUND(L143/M143, 0)</f>
        <v/>
      </c>
      <c r="O143" s="12">
        <f>ROUND(N143*'Methodology &amp; Assumptions'!$B$5, 0)</f>
        <v/>
      </c>
      <c r="P143" s="10" t="inlineStr">
        <is>
          <t>Single Carrier (Band n50, 100MHz TDD)</t>
        </is>
      </c>
      <c r="Q143" s="13">
        <f>ROUNDUP(O143/'Methodology &amp; Assumptions'!$B$6, 0)</f>
        <v/>
      </c>
      <c r="R143" s="13" t="n">
        <v>1</v>
      </c>
      <c r="S143" s="14" t="n">
        <v>7.94</v>
      </c>
      <c r="T143" s="14" t="n">
        <v>7.38</v>
      </c>
      <c r="U143" s="26">
        <f>IF(X143&gt;='Methodology &amp; Assumptions'!$B$7, "Tier 1 Critical GIDA (Score ≥ 50.0)", IF(X143&gt;='Methodology &amp; Assumptions'!$B$8, "Tier 2 High GIDA (Score 40.0–49.9)", "Tier 3 Moderate GIDA (Score &lt; 40.0)"))</f>
        <v/>
      </c>
      <c r="V143" s="26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W143" s="28" t="n">
        <v>0.109</v>
      </c>
      <c r="X143" s="14" t="n">
        <v>47.84</v>
      </c>
      <c r="Y143" s="14">
        <f>ROUND(MIN(100, (X143/69.91)*100), 2)</f>
        <v/>
      </c>
    </row>
    <row r="144">
      <c r="A144" s="10" t="n">
        <v>4</v>
      </c>
      <c r="B144" s="10" t="n">
        <v>140</v>
      </c>
      <c r="C144" s="10" t="n">
        <v>3140</v>
      </c>
      <c r="D144" s="10" t="inlineStr">
        <is>
          <t>PH0003140</t>
        </is>
      </c>
      <c r="E144" s="26" t="inlineStr">
        <is>
          <t>NCR</t>
        </is>
      </c>
      <c r="F144" s="26" t="inlineStr">
        <is>
          <t>Metro Manila</t>
        </is>
      </c>
      <c r="G144" s="26" t="inlineStr">
        <is>
          <t>Caloocan City</t>
        </is>
      </c>
      <c r="H144" s="26" t="inlineStr">
        <is>
          <t>Barangay 105</t>
        </is>
      </c>
      <c r="I144" s="27" t="n">
        <v>14.330253</v>
      </c>
      <c r="J144" s="27" t="n">
        <v>121.375294</v>
      </c>
      <c r="K144" s="10" t="inlineStr">
        <is>
          <t>R</t>
        </is>
      </c>
      <c r="L144" s="12" t="n">
        <v>2279</v>
      </c>
      <c r="M144" s="14" t="n">
        <v>3.8</v>
      </c>
      <c r="N144" s="12">
        <f>ROUND(L144/M144, 0)</f>
        <v/>
      </c>
      <c r="O144" s="12">
        <f>ROUND(N144*'Methodology &amp; Assumptions'!$B$5, 0)</f>
        <v/>
      </c>
      <c r="P144" s="10" t="inlineStr">
        <is>
          <t>Single Carrier (Band n50, 100MHz TDD)</t>
        </is>
      </c>
      <c r="Q144" s="13">
        <f>ROUNDUP(O144/'Methodology &amp; Assumptions'!$B$6, 0)</f>
        <v/>
      </c>
      <c r="R144" s="13" t="n">
        <v>1</v>
      </c>
      <c r="S144" s="14" t="n">
        <v>3.88</v>
      </c>
      <c r="T144" s="14" t="n">
        <v>6.97</v>
      </c>
      <c r="U144" s="26">
        <f>IF(X144&gt;='Methodology &amp; Assumptions'!$B$7, "Tier 1 Critical GIDA (Score ≥ 50.0)", IF(X144&gt;='Methodology &amp; Assumptions'!$B$8, "Tier 2 High GIDA (Score 40.0–49.9)", "Tier 3 Moderate GIDA (Score &lt; 40.0)"))</f>
        <v/>
      </c>
      <c r="V144" s="26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W144" s="28" t="n">
        <v>0.011</v>
      </c>
      <c r="X144" s="14" t="n">
        <v>47.84</v>
      </c>
      <c r="Y144" s="14">
        <f>ROUND(MIN(100, (X144/69.91)*100), 2)</f>
        <v/>
      </c>
    </row>
    <row r="145">
      <c r="A145" s="10" t="n">
        <v>4</v>
      </c>
      <c r="B145" s="10" t="n">
        <v>141</v>
      </c>
      <c r="C145" s="10" t="n">
        <v>3141</v>
      </c>
      <c r="D145" s="10" t="inlineStr">
        <is>
          <t>PH0003141</t>
        </is>
      </c>
      <c r="E145" s="26" t="inlineStr">
        <is>
          <t>CAR</t>
        </is>
      </c>
      <c r="F145" s="26" t="inlineStr">
        <is>
          <t>Benguet</t>
        </is>
      </c>
      <c r="G145" s="26" t="inlineStr">
        <is>
          <t>Baguio City</t>
        </is>
      </c>
      <c r="H145" s="26" t="inlineStr">
        <is>
          <t>Military Cut-off</t>
        </is>
      </c>
      <c r="I145" s="27" t="n">
        <v>16.403758</v>
      </c>
      <c r="J145" s="27" t="n">
        <v>120.60327</v>
      </c>
      <c r="K145" s="10" t="inlineStr">
        <is>
          <t>R</t>
        </is>
      </c>
      <c r="L145" s="12" t="n">
        <v>2260</v>
      </c>
      <c r="M145" s="14" t="n">
        <v>3.5</v>
      </c>
      <c r="N145" s="12">
        <f>ROUND(L145/M145, 0)</f>
        <v/>
      </c>
      <c r="O145" s="12">
        <f>ROUND(N145*'Methodology &amp; Assumptions'!$B$5, 0)</f>
        <v/>
      </c>
      <c r="P145" s="10" t="inlineStr">
        <is>
          <t>Single Carrier (Band n50, 100MHz TDD)</t>
        </is>
      </c>
      <c r="Q145" s="13">
        <f>ROUNDUP(O145/'Methodology &amp; Assumptions'!$B$6, 0)</f>
        <v/>
      </c>
      <c r="R145" s="13" t="n">
        <v>1</v>
      </c>
      <c r="S145" s="14" t="n">
        <v>0.7</v>
      </c>
      <c r="T145" s="14" t="n">
        <v>0.11</v>
      </c>
      <c r="U145" s="26">
        <f>IF(X145&gt;='Methodology &amp; Assumptions'!$B$7, "Tier 1 Critical GIDA (Score ≥ 50.0)", IF(X145&gt;='Methodology &amp; Assumptions'!$B$8, "Tier 2 High GIDA (Score 40.0–49.9)", "Tier 3 Moderate GIDA (Score &lt; 40.0)"))</f>
        <v/>
      </c>
      <c r="V145" s="26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W145" s="28" t="n">
        <v>0.221</v>
      </c>
      <c r="X145" s="14" t="n">
        <v>47.83</v>
      </c>
      <c r="Y145" s="14">
        <f>ROUND(MIN(100, (X145/69.91)*100), 2)</f>
        <v/>
      </c>
    </row>
    <row r="146">
      <c r="A146" s="10" t="n">
        <v>4</v>
      </c>
      <c r="B146" s="10" t="n">
        <v>142</v>
      </c>
      <c r="C146" s="10" t="n">
        <v>3142</v>
      </c>
      <c r="D146" s="10" t="inlineStr">
        <is>
          <t>1380614012</t>
        </is>
      </c>
      <c r="E146" s="26" t="inlineStr">
        <is>
          <t>National Capital Region (NCR)</t>
        </is>
      </c>
      <c r="F146" s="26" t="inlineStr">
        <is>
          <t>First District (Not a Province)</t>
        </is>
      </c>
      <c r="G146" s="26" t="inlineStr">
        <is>
          <t>City of Manila</t>
        </is>
      </c>
      <c r="H146" s="26" t="inlineStr">
        <is>
          <t>Barangay 756</t>
        </is>
      </c>
      <c r="I146" s="27" t="n">
        <v>11.699366</v>
      </c>
      <c r="J146" s="27" t="n">
        <v>122.214694</v>
      </c>
      <c r="K146" s="10" t="inlineStr">
        <is>
          <t>U</t>
        </is>
      </c>
      <c r="L146" s="12" t="n">
        <v>743</v>
      </c>
      <c r="M146" s="14" t="n">
        <v>3.9</v>
      </c>
      <c r="N146" s="12">
        <f>ROUND(L146/M146, 0)</f>
        <v/>
      </c>
      <c r="O146" s="12">
        <f>ROUND(N146*'Methodology &amp; Assumptions'!$B$5, 0)</f>
        <v/>
      </c>
      <c r="P146" s="10" t="inlineStr">
        <is>
          <t>Single Carrier (Band n50, 100MHz TDD)</t>
        </is>
      </c>
      <c r="Q146" s="13">
        <f>ROUNDUP(O146/'Methodology &amp; Assumptions'!$B$6, 0)</f>
        <v/>
      </c>
      <c r="R146" s="13" t="n">
        <v>1</v>
      </c>
      <c r="S146" s="14" t="n">
        <v>8.77</v>
      </c>
      <c r="T146" s="14" t="n">
        <v>6.32</v>
      </c>
      <c r="U146" s="26">
        <f>IF(X146&gt;='Methodology &amp; Assumptions'!$B$7, "Tier 1 Critical GIDA (Score ≥ 50.0)", IF(X146&gt;='Methodology &amp; Assumptions'!$B$8, "Tier 2 High GIDA (Score 40.0–49.9)", "Tier 3 Moderate GIDA (Score &lt; 40.0)"))</f>
        <v/>
      </c>
      <c r="V146" s="26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W146" s="28" t="n">
        <v>0.109</v>
      </c>
      <c r="X146" s="14" t="n">
        <v>47.83</v>
      </c>
      <c r="Y146" s="14">
        <f>ROUND(MIN(100, (X146/69.91)*100), 2)</f>
        <v/>
      </c>
    </row>
    <row r="147">
      <c r="A147" s="10" t="n">
        <v>4</v>
      </c>
      <c r="B147" s="10" t="n">
        <v>143</v>
      </c>
      <c r="C147" s="10" t="n">
        <v>3143</v>
      </c>
      <c r="D147" s="10" t="inlineStr">
        <is>
          <t>1380611027</t>
        </is>
      </c>
      <c r="E147" s="26" t="inlineStr">
        <is>
          <t>National Capital Region (NCR)</t>
        </is>
      </c>
      <c r="F147" s="26" t="inlineStr">
        <is>
          <t>First District (Not a Province)</t>
        </is>
      </c>
      <c r="G147" s="26" t="inlineStr">
        <is>
          <t>City of Manila</t>
        </is>
      </c>
      <c r="H147" s="26" t="inlineStr">
        <is>
          <t>Barangay 813</t>
        </is>
      </c>
      <c r="I147" s="27" t="n">
        <v>13.460319</v>
      </c>
      <c r="J147" s="27" t="n">
        <v>120.629856</v>
      </c>
      <c r="K147" s="10" t="inlineStr">
        <is>
          <t>U</t>
        </is>
      </c>
      <c r="L147" s="12" t="n">
        <v>1031</v>
      </c>
      <c r="M147" s="14" t="n">
        <v>3.9</v>
      </c>
      <c r="N147" s="12">
        <f>ROUND(L147/M147, 0)</f>
        <v/>
      </c>
      <c r="O147" s="12">
        <f>ROUND(N147*'Methodology &amp; Assumptions'!$B$5, 0)</f>
        <v/>
      </c>
      <c r="P147" s="10" t="inlineStr">
        <is>
          <t>Single Carrier (Band n50, 100MHz TDD)</t>
        </is>
      </c>
      <c r="Q147" s="13">
        <f>ROUNDUP(O147/'Methodology &amp; Assumptions'!$B$6, 0)</f>
        <v/>
      </c>
      <c r="R147" s="13" t="n">
        <v>1</v>
      </c>
      <c r="S147" s="14" t="n">
        <v>30.23</v>
      </c>
      <c r="T147" s="14" t="n">
        <v>28.66</v>
      </c>
      <c r="U147" s="26">
        <f>IF(X147&gt;='Methodology &amp; Assumptions'!$B$7, "Tier 1 Critical GIDA (Score ≥ 50.0)", IF(X147&gt;='Methodology &amp; Assumptions'!$B$8, "Tier 2 High GIDA (Score 40.0–49.9)", "Tier 3 Moderate GIDA (Score &lt; 40.0)"))</f>
        <v/>
      </c>
      <c r="V147" s="26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W147" s="28" t="n">
        <v>0.109</v>
      </c>
      <c r="X147" s="14" t="n">
        <v>47.83</v>
      </c>
      <c r="Y147" s="14">
        <f>ROUND(MIN(100, (X147/69.91)*100), 2)</f>
        <v/>
      </c>
    </row>
    <row r="148">
      <c r="A148" s="10" t="n">
        <v>4</v>
      </c>
      <c r="B148" s="10" t="n">
        <v>144</v>
      </c>
      <c r="C148" s="10" t="n">
        <v>3144</v>
      </c>
      <c r="D148" s="10" t="inlineStr">
        <is>
          <t>PH0003144</t>
        </is>
      </c>
      <c r="E148" s="26" t="inlineStr">
        <is>
          <t>NCR</t>
        </is>
      </c>
      <c r="F148" s="26" t="inlineStr">
        <is>
          <t>Metro Manila</t>
        </is>
      </c>
      <c r="G148" s="26" t="inlineStr">
        <is>
          <t>Caloocan City</t>
        </is>
      </c>
      <c r="H148" s="26" t="inlineStr">
        <is>
          <t>Barangay 108</t>
        </is>
      </c>
      <c r="I148" s="27" t="n">
        <v>12.0721</v>
      </c>
      <c r="J148" s="27" t="n">
        <v>123.074396</v>
      </c>
      <c r="K148" s="10" t="inlineStr">
        <is>
          <t>R</t>
        </is>
      </c>
      <c r="L148" s="12" t="n">
        <v>2279</v>
      </c>
      <c r="M148" s="14" t="n">
        <v>3.8</v>
      </c>
      <c r="N148" s="12">
        <f>ROUND(L148/M148, 0)</f>
        <v/>
      </c>
      <c r="O148" s="12">
        <f>ROUND(N148*'Methodology &amp; Assumptions'!$B$5, 0)</f>
        <v/>
      </c>
      <c r="P148" s="10" t="inlineStr">
        <is>
          <t>Single Carrier (Band n50, 100MHz TDD)</t>
        </is>
      </c>
      <c r="Q148" s="13">
        <f>ROUNDUP(O148/'Methodology &amp; Assumptions'!$B$6, 0)</f>
        <v/>
      </c>
      <c r="R148" s="13" t="n">
        <v>1</v>
      </c>
      <c r="S148" s="14" t="n">
        <v>17.99</v>
      </c>
      <c r="T148" s="14" t="n">
        <v>28.11</v>
      </c>
      <c r="U148" s="26">
        <f>IF(X148&gt;='Methodology &amp; Assumptions'!$B$7, "Tier 1 Critical GIDA (Score ≥ 50.0)", IF(X148&gt;='Methodology &amp; Assumptions'!$B$8, "Tier 2 High GIDA (Score 40.0–49.9)", "Tier 3 Moderate GIDA (Score &lt; 40.0)"))</f>
        <v/>
      </c>
      <c r="V148" s="26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W148" s="28" t="n">
        <v>0.011</v>
      </c>
      <c r="X148" s="14" t="n">
        <v>47.83</v>
      </c>
      <c r="Y148" s="14">
        <f>ROUND(MIN(100, (X148/69.91)*100), 2)</f>
        <v/>
      </c>
    </row>
    <row r="149">
      <c r="A149" s="10" t="n">
        <v>4</v>
      </c>
      <c r="B149" s="10" t="n">
        <v>145</v>
      </c>
      <c r="C149" s="10" t="n">
        <v>3145</v>
      </c>
      <c r="D149" s="10" t="inlineStr">
        <is>
          <t>1380601235</t>
        </is>
      </c>
      <c r="E149" s="26" t="inlineStr">
        <is>
          <t>National Capital Region (NCR)</t>
        </is>
      </c>
      <c r="F149" s="26" t="inlineStr">
        <is>
          <t>First District (Not a Province)</t>
        </is>
      </c>
      <c r="G149" s="26" t="inlineStr">
        <is>
          <t>City of Manila</t>
        </is>
      </c>
      <c r="H149" s="26" t="inlineStr">
        <is>
          <t>Barangay 234</t>
        </is>
      </c>
      <c r="I149" s="27" t="n">
        <v>13.205497</v>
      </c>
      <c r="J149" s="27" t="n">
        <v>123.021273</v>
      </c>
      <c r="K149" s="10" t="inlineStr">
        <is>
          <t>U</t>
        </is>
      </c>
      <c r="L149" s="12" t="n">
        <v>2004</v>
      </c>
      <c r="M149" s="14" t="n">
        <v>3.9</v>
      </c>
      <c r="N149" s="12">
        <f>ROUND(L149/M149, 0)</f>
        <v/>
      </c>
      <c r="O149" s="12">
        <f>ROUND(N149*'Methodology &amp; Assumptions'!$B$5, 0)</f>
        <v/>
      </c>
      <c r="P149" s="10" t="inlineStr">
        <is>
          <t>Single Carrier (Band n50, 100MHz TDD)</t>
        </is>
      </c>
      <c r="Q149" s="13">
        <f>ROUNDUP(O149/'Methodology &amp; Assumptions'!$B$6, 0)</f>
        <v/>
      </c>
      <c r="R149" s="13" t="n">
        <v>1</v>
      </c>
      <c r="S149" s="14" t="n">
        <v>26.27</v>
      </c>
      <c r="T149" s="14" t="n">
        <v>33.12</v>
      </c>
      <c r="U149" s="26">
        <f>IF(X149&gt;='Methodology &amp; Assumptions'!$B$7, "Tier 1 Critical GIDA (Score ≥ 50.0)", IF(X149&gt;='Methodology &amp; Assumptions'!$B$8, "Tier 2 High GIDA (Score 40.0–49.9)", "Tier 3 Moderate GIDA (Score &lt; 40.0)"))</f>
        <v/>
      </c>
      <c r="V149" s="26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W149" s="28" t="n">
        <v>0.109</v>
      </c>
      <c r="X149" s="14" t="n">
        <v>47.82</v>
      </c>
      <c r="Y149" s="14">
        <f>ROUND(MIN(100, (X149/69.91)*100), 2)</f>
        <v/>
      </c>
    </row>
    <row r="150">
      <c r="A150" s="10" t="n">
        <v>4</v>
      </c>
      <c r="B150" s="10" t="n">
        <v>146</v>
      </c>
      <c r="C150" s="10" t="n">
        <v>3146</v>
      </c>
      <c r="D150" s="10" t="inlineStr">
        <is>
          <t>1380601219</t>
        </is>
      </c>
      <c r="E150" s="26" t="inlineStr">
        <is>
          <t>National Capital Region (NCR)</t>
        </is>
      </c>
      <c r="F150" s="26" t="inlineStr">
        <is>
          <t>First District (Not a Province)</t>
        </is>
      </c>
      <c r="G150" s="26" t="inlineStr">
        <is>
          <t>City of Manila</t>
        </is>
      </c>
      <c r="H150" s="26" t="inlineStr">
        <is>
          <t>Barangay 218</t>
        </is>
      </c>
      <c r="I150" s="27" t="n">
        <v>11.816914</v>
      </c>
      <c r="J150" s="27" t="n">
        <v>121.079456</v>
      </c>
      <c r="K150" s="10" t="inlineStr">
        <is>
          <t>U</t>
        </is>
      </c>
      <c r="L150" s="12" t="n">
        <v>331</v>
      </c>
      <c r="M150" s="14" t="n">
        <v>3.9</v>
      </c>
      <c r="N150" s="12">
        <f>ROUND(L150/M150, 0)</f>
        <v/>
      </c>
      <c r="O150" s="12">
        <f>ROUND(N150*'Methodology &amp; Assumptions'!$B$5, 0)</f>
        <v/>
      </c>
      <c r="P150" s="10" t="inlineStr">
        <is>
          <t>Single Carrier (Band n50, 100MHz TDD)</t>
        </is>
      </c>
      <c r="Q150" s="13">
        <f>ROUNDUP(O150/'Methodology &amp; Assumptions'!$B$6, 0)</f>
        <v/>
      </c>
      <c r="R150" s="13" t="n">
        <v>1</v>
      </c>
      <c r="S150" s="14" t="n">
        <v>55.24</v>
      </c>
      <c r="T150" s="14" t="n">
        <v>53.67</v>
      </c>
      <c r="U150" s="26">
        <f>IF(X150&gt;='Methodology &amp; Assumptions'!$B$7, "Tier 1 Critical GIDA (Score ≥ 50.0)", IF(X150&gt;='Methodology &amp; Assumptions'!$B$8, "Tier 2 High GIDA (Score 40.0–49.9)", "Tier 3 Moderate GIDA (Score &lt; 40.0)"))</f>
        <v/>
      </c>
      <c r="V150" s="26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W150" s="28" t="n">
        <v>0.109</v>
      </c>
      <c r="X150" s="14" t="n">
        <v>47.82</v>
      </c>
      <c r="Y150" s="14">
        <f>ROUND(MIN(100, (X150/69.91)*100), 2)</f>
        <v/>
      </c>
    </row>
    <row r="151">
      <c r="A151" s="10" t="n">
        <v>4</v>
      </c>
      <c r="B151" s="10" t="n">
        <v>147</v>
      </c>
      <c r="C151" s="10" t="n">
        <v>3147</v>
      </c>
      <c r="D151" s="10" t="inlineStr">
        <is>
          <t>1380606150</t>
        </is>
      </c>
      <c r="E151" s="26" t="inlineStr">
        <is>
          <t>National Capital Region (NCR)</t>
        </is>
      </c>
      <c r="F151" s="26" t="inlineStr">
        <is>
          <t>First District (Not a Province)</t>
        </is>
      </c>
      <c r="G151" s="26" t="inlineStr">
        <is>
          <t>City of Manila</t>
        </is>
      </c>
      <c r="H151" s="26" t="inlineStr">
        <is>
          <t>Barangay 544</t>
        </is>
      </c>
      <c r="I151" s="27" t="n">
        <v>14.122019</v>
      </c>
      <c r="J151" s="27" t="n">
        <v>121.549292</v>
      </c>
      <c r="K151" s="10" t="inlineStr">
        <is>
          <t>U</t>
        </is>
      </c>
      <c r="L151" s="12" t="n">
        <v>169</v>
      </c>
      <c r="M151" s="14" t="n">
        <v>3.9</v>
      </c>
      <c r="N151" s="12">
        <f>ROUND(L151/M151, 0)</f>
        <v/>
      </c>
      <c r="O151" s="12">
        <f>ROUND(N151*'Methodology &amp; Assumptions'!$B$5, 0)</f>
        <v/>
      </c>
      <c r="P151" s="10" t="inlineStr">
        <is>
          <t>Single Carrier (Band n50, 100MHz TDD)</t>
        </is>
      </c>
      <c r="Q151" s="13">
        <f>ROUNDUP(O151/'Methodology &amp; Assumptions'!$B$6, 0)</f>
        <v/>
      </c>
      <c r="R151" s="13" t="n">
        <v>1</v>
      </c>
      <c r="S151" s="14" t="n">
        <v>1.32</v>
      </c>
      <c r="T151" s="14" t="n">
        <v>0.55</v>
      </c>
      <c r="U151" s="26">
        <f>IF(X151&gt;='Methodology &amp; Assumptions'!$B$7, "Tier 1 Critical GIDA (Score ≥ 50.0)", IF(X151&gt;='Methodology &amp; Assumptions'!$B$8, "Tier 2 High GIDA (Score 40.0–49.9)", "Tier 3 Moderate GIDA (Score &lt; 40.0)"))</f>
        <v/>
      </c>
      <c r="V151" s="26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W151" s="28" t="n">
        <v>0.109</v>
      </c>
      <c r="X151" s="14" t="n">
        <v>47.82</v>
      </c>
      <c r="Y151" s="14">
        <f>ROUND(MIN(100, (X151/69.91)*100), 2)</f>
        <v/>
      </c>
    </row>
    <row r="152">
      <c r="A152" s="10" t="n">
        <v>4</v>
      </c>
      <c r="B152" s="10" t="n">
        <v>148</v>
      </c>
      <c r="C152" s="10" t="n">
        <v>3148</v>
      </c>
      <c r="D152" s="10" t="inlineStr">
        <is>
          <t>1903615071</t>
        </is>
      </c>
      <c r="E152" s="26" t="inlineStr">
        <is>
          <t>Bangsamoro Autonomous Region In Muslim Mindanao (BARMM)</t>
        </is>
      </c>
      <c r="F152" s="26" t="inlineStr">
        <is>
          <t>Lanao del Sur</t>
        </is>
      </c>
      <c r="G152" s="26" t="inlineStr">
        <is>
          <t>Malabang</t>
        </is>
      </c>
      <c r="H152" s="26" t="inlineStr">
        <is>
          <t>Calibagat</t>
        </is>
      </c>
      <c r="I152" s="27" t="n">
        <v>16.888454</v>
      </c>
      <c r="J152" s="27" t="n">
        <v>122.304202</v>
      </c>
      <c r="K152" s="10" t="inlineStr">
        <is>
          <t>R</t>
        </is>
      </c>
      <c r="L152" s="12" t="n">
        <v>1112</v>
      </c>
      <c r="M152" s="14" t="n">
        <v>5.7</v>
      </c>
      <c r="N152" s="12">
        <f>ROUND(L152/M152, 0)</f>
        <v/>
      </c>
      <c r="O152" s="12">
        <f>ROUND(N152*'Methodology &amp; Assumptions'!$B$5, 0)</f>
        <v/>
      </c>
      <c r="P152" s="10" t="inlineStr">
        <is>
          <t>Single Carrier (Band n50, 100MHz TDD)</t>
        </is>
      </c>
      <c r="Q152" s="13">
        <f>ROUNDUP(O152/'Methodology &amp; Assumptions'!$B$6, 0)</f>
        <v/>
      </c>
      <c r="R152" s="13" t="n">
        <v>1</v>
      </c>
      <c r="S152" s="14" t="n">
        <v>32.79</v>
      </c>
      <c r="T152" s="14" t="n">
        <v>40.79</v>
      </c>
      <c r="U152" s="26">
        <f>IF(X152&gt;='Methodology &amp; Assumptions'!$B$7, "Tier 1 Critical GIDA (Score ≥ 50.0)", IF(X152&gt;='Methodology &amp; Assumptions'!$B$8, "Tier 2 High GIDA (Score 40.0–49.9)", "Tier 3 Moderate GIDA (Score &lt; 40.0)"))</f>
        <v/>
      </c>
      <c r="V152" s="26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W152" s="28" t="n">
        <v>0.11</v>
      </c>
      <c r="X152" s="14" t="n">
        <v>47.82</v>
      </c>
      <c r="Y152" s="14">
        <f>ROUND(MIN(100, (X152/69.91)*100), 2)</f>
        <v/>
      </c>
    </row>
    <row r="153">
      <c r="A153" s="10" t="n">
        <v>4</v>
      </c>
      <c r="B153" s="10" t="n">
        <v>149</v>
      </c>
      <c r="C153" s="10" t="n">
        <v>3149</v>
      </c>
      <c r="D153" s="10" t="inlineStr">
        <is>
          <t>PH0003149</t>
        </is>
      </c>
      <c r="E153" s="26" t="inlineStr">
        <is>
          <t>VI</t>
        </is>
      </c>
      <c r="F153" s="26" t="inlineStr">
        <is>
          <t>Iloilo</t>
        </is>
      </c>
      <c r="G153" s="26" t="inlineStr">
        <is>
          <t>Iloilo City</t>
        </is>
      </c>
      <c r="H153" s="26" t="inlineStr">
        <is>
          <t>North Avanceña</t>
        </is>
      </c>
      <c r="I153" s="27" t="n">
        <v>10.836015</v>
      </c>
      <c r="J153" s="27" t="n">
        <v>122.543806</v>
      </c>
      <c r="K153" s="10" t="inlineStr">
        <is>
          <t>R</t>
        </is>
      </c>
      <c r="L153" s="12" t="n">
        <v>2230</v>
      </c>
      <c r="M153" s="14" t="n">
        <v>3.8</v>
      </c>
      <c r="N153" s="12">
        <f>ROUND(L153/M153, 0)</f>
        <v/>
      </c>
      <c r="O153" s="12">
        <f>ROUND(N153*'Methodology &amp; Assumptions'!$B$5, 0)</f>
        <v/>
      </c>
      <c r="P153" s="10" t="inlineStr">
        <is>
          <t>Single Carrier (Band n50, 100MHz TDD)</t>
        </is>
      </c>
      <c r="Q153" s="13">
        <f>ROUNDUP(O153/'Methodology &amp; Assumptions'!$B$6, 0)</f>
        <v/>
      </c>
      <c r="R153" s="13" t="n">
        <v>1</v>
      </c>
      <c r="S153" s="14" t="n">
        <v>1.4</v>
      </c>
      <c r="T153" s="14" t="n">
        <v>1.39</v>
      </c>
      <c r="U153" s="26">
        <f>IF(X153&gt;='Methodology &amp; Assumptions'!$B$7, "Tier 1 Critical GIDA (Score ≥ 50.0)", IF(X153&gt;='Methodology &amp; Assumptions'!$B$8, "Tier 2 High GIDA (Score 40.0–49.9)", "Tier 3 Moderate GIDA (Score &lt; 40.0)"))</f>
        <v/>
      </c>
      <c r="V153" s="26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W153" s="28" t="n">
        <v>0.156</v>
      </c>
      <c r="X153" s="14" t="n">
        <v>47.82</v>
      </c>
      <c r="Y153" s="14">
        <f>ROUND(MIN(100, (X153/69.91)*100), 2)</f>
        <v/>
      </c>
    </row>
    <row r="154">
      <c r="A154" s="10" t="n">
        <v>4</v>
      </c>
      <c r="B154" s="10" t="n">
        <v>150</v>
      </c>
      <c r="C154" s="10" t="n">
        <v>3150</v>
      </c>
      <c r="D154" s="10" t="inlineStr">
        <is>
          <t>1380606232</t>
        </is>
      </c>
      <c r="E154" s="26" t="inlineStr">
        <is>
          <t>National Capital Region (NCR)</t>
        </is>
      </c>
      <c r="F154" s="26" t="inlineStr">
        <is>
          <t>First District (Not a Province)</t>
        </is>
      </c>
      <c r="G154" s="26" t="inlineStr">
        <is>
          <t>City of Manila</t>
        </is>
      </c>
      <c r="H154" s="26" t="inlineStr">
        <is>
          <t>Barangay 625</t>
        </is>
      </c>
      <c r="I154" s="27" t="n">
        <v>12.110936</v>
      </c>
      <c r="J154" s="27" t="n">
        <v>122.80173</v>
      </c>
      <c r="K154" s="10" t="inlineStr">
        <is>
          <t>U</t>
        </is>
      </c>
      <c r="L154" s="12" t="n">
        <v>1058</v>
      </c>
      <c r="M154" s="14" t="n">
        <v>3.9</v>
      </c>
      <c r="N154" s="12">
        <f>ROUND(L154/M154, 0)</f>
        <v/>
      </c>
      <c r="O154" s="12">
        <f>ROUND(N154*'Methodology &amp; Assumptions'!$B$5, 0)</f>
        <v/>
      </c>
      <c r="P154" s="10" t="inlineStr">
        <is>
          <t>Single Carrier (Band n50, 100MHz TDD)</t>
        </is>
      </c>
      <c r="Q154" s="13">
        <f>ROUNDUP(O154/'Methodology &amp; Assumptions'!$B$6, 0)</f>
        <v/>
      </c>
      <c r="R154" s="13" t="n">
        <v>1</v>
      </c>
      <c r="S154" s="14" t="n">
        <v>47.85</v>
      </c>
      <c r="T154" s="14" t="n">
        <v>38.24</v>
      </c>
      <c r="U154" s="26">
        <f>IF(X154&gt;='Methodology &amp; Assumptions'!$B$7, "Tier 1 Critical GIDA (Score ≥ 50.0)", IF(X154&gt;='Methodology &amp; Assumptions'!$B$8, "Tier 2 High GIDA (Score 40.0–49.9)", "Tier 3 Moderate GIDA (Score &lt; 40.0)"))</f>
        <v/>
      </c>
      <c r="V154" s="26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W154" s="28" t="n">
        <v>0.109</v>
      </c>
      <c r="X154" s="14" t="n">
        <v>47.82</v>
      </c>
      <c r="Y154" s="14">
        <f>ROUND(MIN(100, (X154/69.91)*100), 2)</f>
        <v/>
      </c>
    </row>
    <row r="155">
      <c r="A155" s="10" t="n">
        <v>4</v>
      </c>
      <c r="B155" s="10" t="n">
        <v>151</v>
      </c>
      <c r="C155" s="10" t="n">
        <v>3151</v>
      </c>
      <c r="D155" s="10" t="inlineStr">
        <is>
          <t>1108605004</t>
        </is>
      </c>
      <c r="E155" s="26" t="inlineStr">
        <is>
          <t>Region XI (Davao Region)</t>
        </is>
      </c>
      <c r="F155" s="26" t="inlineStr">
        <is>
          <t>Davao Occidental</t>
        </is>
      </c>
      <c r="G155" s="26" t="inlineStr">
        <is>
          <t>Sarangani</t>
        </is>
      </c>
      <c r="H155" s="26" t="inlineStr">
        <is>
          <t>Mabila</t>
        </is>
      </c>
      <c r="I155" s="27" t="n">
        <v>5.410999</v>
      </c>
      <c r="J155" s="27" t="n">
        <v>125.421688</v>
      </c>
      <c r="K155" s="10" t="inlineStr">
        <is>
          <t>U</t>
        </is>
      </c>
      <c r="L155" s="12" t="n">
        <v>5248</v>
      </c>
      <c r="M155" s="14" t="n">
        <v>3.9</v>
      </c>
      <c r="N155" s="12">
        <f>ROUND(L155/M155, 0)</f>
        <v/>
      </c>
      <c r="O155" s="12">
        <f>ROUND(N155*'Methodology &amp; Assumptions'!$B$5, 0)</f>
        <v/>
      </c>
      <c r="P155" s="10" t="inlineStr">
        <is>
          <t>Single Carrier (Band n50, 100MHz TDD)</t>
        </is>
      </c>
      <c r="Q155" s="13">
        <f>ROUNDUP(O155/'Methodology &amp; Assumptions'!$B$6, 0)</f>
        <v/>
      </c>
      <c r="R155" s="13" t="n">
        <v>1</v>
      </c>
      <c r="S155" s="14" t="n">
        <v>78.79000000000001</v>
      </c>
      <c r="T155" s="14" t="n">
        <v>82.90000000000001</v>
      </c>
      <c r="U155" s="26">
        <f>IF(X155&gt;='Methodology &amp; Assumptions'!$B$7, "Tier 1 Critical GIDA (Score ≥ 50.0)", IF(X155&gt;='Methodology &amp; Assumptions'!$B$8, "Tier 2 High GIDA (Score 40.0–49.9)", "Tier 3 Moderate GIDA (Score &lt; 40.0)"))</f>
        <v/>
      </c>
      <c r="V155" s="26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W155" s="28" t="n">
        <v>0.174</v>
      </c>
      <c r="X155" s="14" t="n">
        <v>47.82</v>
      </c>
      <c r="Y155" s="14">
        <f>ROUND(MIN(100, (X155/69.91)*100), 2)</f>
        <v/>
      </c>
    </row>
    <row r="156">
      <c r="A156" s="10" t="n">
        <v>4</v>
      </c>
      <c r="B156" s="10" t="n">
        <v>152</v>
      </c>
      <c r="C156" s="10" t="n">
        <v>3152</v>
      </c>
      <c r="D156" s="10" t="inlineStr">
        <is>
          <t>1380614018</t>
        </is>
      </c>
      <c r="E156" s="26" t="inlineStr">
        <is>
          <t>National Capital Region (NCR)</t>
        </is>
      </c>
      <c r="F156" s="26" t="inlineStr">
        <is>
          <t>First District (Not a Province)</t>
        </is>
      </c>
      <c r="G156" s="26" t="inlineStr">
        <is>
          <t>City of Manila</t>
        </is>
      </c>
      <c r="H156" s="26" t="inlineStr">
        <is>
          <t>Barangay 762</t>
        </is>
      </c>
      <c r="I156" s="27" t="n">
        <v>12.769519</v>
      </c>
      <c r="J156" s="27" t="n">
        <v>120.482125</v>
      </c>
      <c r="K156" s="10" t="inlineStr">
        <is>
          <t>U</t>
        </is>
      </c>
      <c r="L156" s="12" t="n">
        <v>376</v>
      </c>
      <c r="M156" s="14" t="n">
        <v>3.9</v>
      </c>
      <c r="N156" s="12">
        <f>ROUND(L156/M156, 0)</f>
        <v/>
      </c>
      <c r="O156" s="12">
        <f>ROUND(N156*'Methodology &amp; Assumptions'!$B$5, 0)</f>
        <v/>
      </c>
      <c r="P156" s="10" t="inlineStr">
        <is>
          <t>Single Carrier (Band n50, 100MHz TDD)</t>
        </is>
      </c>
      <c r="Q156" s="13">
        <f>ROUNDUP(O156/'Methodology &amp; Assumptions'!$B$6, 0)</f>
        <v/>
      </c>
      <c r="R156" s="13" t="n">
        <v>1</v>
      </c>
      <c r="S156" s="14" t="n">
        <v>78.52</v>
      </c>
      <c r="T156" s="14" t="n">
        <v>76.58</v>
      </c>
      <c r="U156" s="26">
        <f>IF(X156&gt;='Methodology &amp; Assumptions'!$B$7, "Tier 1 Critical GIDA (Score ≥ 50.0)", IF(X156&gt;='Methodology &amp; Assumptions'!$B$8, "Tier 2 High GIDA (Score 40.0–49.9)", "Tier 3 Moderate GIDA (Score &lt; 40.0)"))</f>
        <v/>
      </c>
      <c r="V156" s="26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W156" s="28" t="n">
        <v>0.109</v>
      </c>
      <c r="X156" s="14" t="n">
        <v>47.81</v>
      </c>
      <c r="Y156" s="14">
        <f>ROUND(MIN(100, (X156/69.91)*100), 2)</f>
        <v/>
      </c>
    </row>
    <row r="157">
      <c r="A157" s="10" t="n">
        <v>4</v>
      </c>
      <c r="B157" s="10" t="n">
        <v>153</v>
      </c>
      <c r="C157" s="10" t="n">
        <v>3153</v>
      </c>
      <c r="D157" s="10" t="inlineStr">
        <is>
          <t>1380614011</t>
        </is>
      </c>
      <c r="E157" s="26" t="inlineStr">
        <is>
          <t>National Capital Region (NCR)</t>
        </is>
      </c>
      <c r="F157" s="26" t="inlineStr">
        <is>
          <t>First District (Not a Province)</t>
        </is>
      </c>
      <c r="G157" s="26" t="inlineStr">
        <is>
          <t>City of Manila</t>
        </is>
      </c>
      <c r="H157" s="26" t="inlineStr">
        <is>
          <t>Barangay 755</t>
        </is>
      </c>
      <c r="I157" s="27" t="n">
        <v>13.812748</v>
      </c>
      <c r="J157" s="27" t="n">
        <v>122.651048</v>
      </c>
      <c r="K157" s="10" t="inlineStr">
        <is>
          <t>U</t>
        </is>
      </c>
      <c r="L157" s="12" t="n">
        <v>1414</v>
      </c>
      <c r="M157" s="14" t="n">
        <v>3.9</v>
      </c>
      <c r="N157" s="12">
        <f>ROUND(L157/M157, 0)</f>
        <v/>
      </c>
      <c r="O157" s="12">
        <f>ROUND(N157*'Methodology &amp; Assumptions'!$B$5, 0)</f>
        <v/>
      </c>
      <c r="P157" s="10" t="inlineStr">
        <is>
          <t>Single Carrier (Band n50, 100MHz TDD)</t>
        </is>
      </c>
      <c r="Q157" s="13">
        <f>ROUNDUP(O157/'Methodology &amp; Assumptions'!$B$6, 0)</f>
        <v/>
      </c>
      <c r="R157" s="13" t="n">
        <v>1</v>
      </c>
      <c r="S157" s="14" t="n">
        <v>6.35</v>
      </c>
      <c r="T157" s="14" t="n">
        <v>5.7</v>
      </c>
      <c r="U157" s="26">
        <f>IF(X157&gt;='Methodology &amp; Assumptions'!$B$7, "Tier 1 Critical GIDA (Score ≥ 50.0)", IF(X157&gt;='Methodology &amp; Assumptions'!$B$8, "Tier 2 High GIDA (Score 40.0–49.9)", "Tier 3 Moderate GIDA (Score &lt; 40.0)"))</f>
        <v/>
      </c>
      <c r="V157" s="26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W157" s="28" t="n">
        <v>0.109</v>
      </c>
      <c r="X157" s="14" t="n">
        <v>47.81</v>
      </c>
      <c r="Y157" s="14">
        <f>ROUND(MIN(100, (X157/69.91)*100), 2)</f>
        <v/>
      </c>
    </row>
    <row r="158">
      <c r="A158" s="10" t="n">
        <v>4</v>
      </c>
      <c r="B158" s="10" t="n">
        <v>154</v>
      </c>
      <c r="C158" s="10" t="n">
        <v>3154</v>
      </c>
      <c r="D158" s="10" t="inlineStr">
        <is>
          <t>1908705034</t>
        </is>
      </c>
      <c r="E158" s="26" t="inlineStr">
        <is>
          <t>Bangsamoro Autonomous Region In Muslim Mindanao (BARMM)</t>
        </is>
      </c>
      <c r="F158" s="26" t="inlineStr">
        <is>
          <t>Maguindanao del Norte</t>
        </is>
      </c>
      <c r="G158" s="26" t="inlineStr">
        <is>
          <t>Datu Odin Sinsuat</t>
        </is>
      </c>
      <c r="H158" s="26" t="inlineStr">
        <is>
          <t>Tenonggos</t>
        </is>
      </c>
      <c r="I158" s="27" t="n">
        <v>17.253936</v>
      </c>
      <c r="J158" s="27" t="n">
        <v>122.22798</v>
      </c>
      <c r="K158" s="10" t="inlineStr">
        <is>
          <t>R</t>
        </is>
      </c>
      <c r="L158" s="12" t="n">
        <v>2630</v>
      </c>
      <c r="M158" s="14" t="n">
        <v>4.3</v>
      </c>
      <c r="N158" s="12">
        <f>ROUND(L158/M158, 0)</f>
        <v/>
      </c>
      <c r="O158" s="12">
        <f>ROUND(N158*'Methodology &amp; Assumptions'!$B$5, 0)</f>
        <v/>
      </c>
      <c r="P158" s="10" t="inlineStr">
        <is>
          <t>Single Carrier (Band n50, 100MHz TDD)</t>
        </is>
      </c>
      <c r="Q158" s="13">
        <f>ROUNDUP(O158/'Methodology &amp; Assumptions'!$B$6, 0)</f>
        <v/>
      </c>
      <c r="R158" s="13" t="n">
        <v>1</v>
      </c>
      <c r="S158" s="14" t="n">
        <v>29.28</v>
      </c>
      <c r="T158" s="14" t="n">
        <v>34.18</v>
      </c>
      <c r="U158" s="26">
        <f>IF(X158&gt;='Methodology &amp; Assumptions'!$B$7, "Tier 1 Critical GIDA (Score ≥ 50.0)", IF(X158&gt;='Methodology &amp; Assumptions'!$B$8, "Tier 2 High GIDA (Score 40.0–49.9)", "Tier 3 Moderate GIDA (Score &lt; 40.0)"))</f>
        <v/>
      </c>
      <c r="V158" s="26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W158" s="28" t="n">
        <v>0.11</v>
      </c>
      <c r="X158" s="14" t="n">
        <v>47.81</v>
      </c>
      <c r="Y158" s="14">
        <f>ROUND(MIN(100, (X158/69.91)*100), 2)</f>
        <v/>
      </c>
    </row>
    <row r="159">
      <c r="A159" s="10" t="n">
        <v>4</v>
      </c>
      <c r="B159" s="10" t="n">
        <v>155</v>
      </c>
      <c r="C159" s="10" t="n">
        <v>3155</v>
      </c>
      <c r="D159" s="10" t="inlineStr">
        <is>
          <t>1908705016</t>
        </is>
      </c>
      <c r="E159" s="26" t="inlineStr">
        <is>
          <t>Bangsamoro Autonomous Region In Muslim Mindanao (BARMM)</t>
        </is>
      </c>
      <c r="F159" s="26" t="inlineStr">
        <is>
          <t>Maguindanao del Norte</t>
        </is>
      </c>
      <c r="G159" s="26" t="inlineStr">
        <is>
          <t>Datu Odin Sinsuat</t>
        </is>
      </c>
      <c r="H159" s="26" t="inlineStr">
        <is>
          <t>Kenebeka</t>
        </is>
      </c>
      <c r="I159" s="27" t="n">
        <v>17.25393</v>
      </c>
      <c r="J159" s="27" t="n">
        <v>122.227974</v>
      </c>
      <c r="K159" s="10" t="inlineStr">
        <is>
          <t>R</t>
        </is>
      </c>
      <c r="L159" s="12" t="n">
        <v>3364</v>
      </c>
      <c r="M159" s="14" t="n">
        <v>4.3</v>
      </c>
      <c r="N159" s="12">
        <f>ROUND(L159/M159, 0)</f>
        <v/>
      </c>
      <c r="O159" s="12">
        <f>ROUND(N159*'Methodology &amp; Assumptions'!$B$5, 0)</f>
        <v/>
      </c>
      <c r="P159" s="10" t="inlineStr">
        <is>
          <t>Single Carrier (Band n50, 100MHz TDD)</t>
        </is>
      </c>
      <c r="Q159" s="13">
        <f>ROUNDUP(O159/'Methodology &amp; Assumptions'!$B$6, 0)</f>
        <v/>
      </c>
      <c r="R159" s="13" t="n">
        <v>1</v>
      </c>
      <c r="S159" s="14" t="n">
        <v>29.28</v>
      </c>
      <c r="T159" s="14" t="n">
        <v>34.18</v>
      </c>
      <c r="U159" s="26">
        <f>IF(X159&gt;='Methodology &amp; Assumptions'!$B$7, "Tier 1 Critical GIDA (Score ≥ 50.0)", IF(X159&gt;='Methodology &amp; Assumptions'!$B$8, "Tier 2 High GIDA (Score 40.0–49.9)", "Tier 3 Moderate GIDA (Score &lt; 40.0)"))</f>
        <v/>
      </c>
      <c r="V159" s="26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W159" s="28" t="n">
        <v>0.11</v>
      </c>
      <c r="X159" s="14" t="n">
        <v>47.81</v>
      </c>
      <c r="Y159" s="14">
        <f>ROUND(MIN(100, (X159/69.91)*100), 2)</f>
        <v/>
      </c>
    </row>
    <row r="160">
      <c r="A160" s="10" t="n">
        <v>4</v>
      </c>
      <c r="B160" s="10" t="n">
        <v>156</v>
      </c>
      <c r="C160" s="10" t="n">
        <v>3156</v>
      </c>
      <c r="D160" s="10" t="inlineStr">
        <is>
          <t>1408104017</t>
        </is>
      </c>
      <c r="E160" s="26" t="inlineStr">
        <is>
          <t>Cordillera Administrative Region (CAR)</t>
        </is>
      </c>
      <c r="F160" s="26" t="inlineStr">
        <is>
          <t>Apayao</t>
        </is>
      </c>
      <c r="G160" s="26" t="inlineStr">
        <is>
          <t>Kabugao</t>
        </is>
      </c>
      <c r="H160" s="26" t="inlineStr">
        <is>
          <t>Maragat</t>
        </is>
      </c>
      <c r="I160" s="27" t="n">
        <v>17.912</v>
      </c>
      <c r="J160" s="27" t="n">
        <v>121.06563</v>
      </c>
      <c r="K160" s="10" t="inlineStr">
        <is>
          <t>R</t>
        </is>
      </c>
      <c r="L160" s="12" t="n">
        <v>281</v>
      </c>
      <c r="M160" s="14" t="n">
        <v>4.2</v>
      </c>
      <c r="N160" s="12">
        <f>ROUND(L160/M160, 0)</f>
        <v/>
      </c>
      <c r="O160" s="12">
        <f>ROUND(N160*'Methodology &amp; Assumptions'!$B$5, 0)</f>
        <v/>
      </c>
      <c r="P160" s="10" t="inlineStr">
        <is>
          <t>Single Carrier (Band n50, 100MHz TDD)</t>
        </is>
      </c>
      <c r="Q160" s="13">
        <f>ROUNDUP(O160/'Methodology &amp; Assumptions'!$B$6, 0)</f>
        <v/>
      </c>
      <c r="R160" s="13" t="n">
        <v>1</v>
      </c>
      <c r="S160" s="14" t="n">
        <v>17.09</v>
      </c>
      <c r="T160" s="14" t="n">
        <v>15.99</v>
      </c>
      <c r="U160" s="26">
        <f>IF(X160&gt;='Methodology &amp; Assumptions'!$B$7, "Tier 1 Critical GIDA (Score ≥ 50.0)", IF(X160&gt;='Methodology &amp; Assumptions'!$B$8, "Tier 2 High GIDA (Score 40.0–49.9)", "Tier 3 Moderate GIDA (Score &lt; 40.0)"))</f>
        <v/>
      </c>
      <c r="V160" s="26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W160" s="28" t="n">
        <v>0.109</v>
      </c>
      <c r="X160" s="14" t="n">
        <v>47.81</v>
      </c>
      <c r="Y160" s="14">
        <f>ROUND(MIN(100, (X160/69.91)*100), 2)</f>
        <v/>
      </c>
    </row>
    <row r="161">
      <c r="A161" s="10" t="n">
        <v>4</v>
      </c>
      <c r="B161" s="10" t="n">
        <v>157</v>
      </c>
      <c r="C161" s="10" t="n">
        <v>3157</v>
      </c>
      <c r="D161" s="10" t="inlineStr">
        <is>
          <t>1903615027</t>
        </is>
      </c>
      <c r="E161" s="26" t="inlineStr">
        <is>
          <t>Bangsamoro Autonomous Region In Muslim Mindanao (BARMM)</t>
        </is>
      </c>
      <c r="F161" s="26" t="inlineStr">
        <is>
          <t>Lanao del Sur</t>
        </is>
      </c>
      <c r="G161" s="26" t="inlineStr">
        <is>
          <t>Malabang</t>
        </is>
      </c>
      <c r="H161" s="26" t="inlineStr">
        <is>
          <t>Inandayan</t>
        </is>
      </c>
      <c r="I161" s="27" t="n">
        <v>16.892652</v>
      </c>
      <c r="J161" s="27" t="n">
        <v>122.29415</v>
      </c>
      <c r="K161" s="10" t="inlineStr">
        <is>
          <t>R</t>
        </is>
      </c>
      <c r="L161" s="12" t="n">
        <v>957</v>
      </c>
      <c r="M161" s="14" t="n">
        <v>5.7</v>
      </c>
      <c r="N161" s="12">
        <f>ROUND(L161/M161, 0)</f>
        <v/>
      </c>
      <c r="O161" s="12">
        <f>ROUND(N161*'Methodology &amp; Assumptions'!$B$5, 0)</f>
        <v/>
      </c>
      <c r="P161" s="10" t="inlineStr">
        <is>
          <t>Single Carrier (Band n50, 100MHz TDD)</t>
        </is>
      </c>
      <c r="Q161" s="13">
        <f>ROUNDUP(O161/'Methodology &amp; Assumptions'!$B$6, 0)</f>
        <v/>
      </c>
      <c r="R161" s="13" t="n">
        <v>1</v>
      </c>
      <c r="S161" s="14" t="n">
        <v>31.63</v>
      </c>
      <c r="T161" s="14" t="n">
        <v>41.14</v>
      </c>
      <c r="U161" s="26">
        <f>IF(X161&gt;='Methodology &amp; Assumptions'!$B$7, "Tier 1 Critical GIDA (Score ≥ 50.0)", IF(X161&gt;='Methodology &amp; Assumptions'!$B$8, "Tier 2 High GIDA (Score 40.0–49.9)", "Tier 3 Moderate GIDA (Score &lt; 40.0)"))</f>
        <v/>
      </c>
      <c r="V161" s="26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W161" s="28" t="n">
        <v>0.11</v>
      </c>
      <c r="X161" s="14" t="n">
        <v>47.81</v>
      </c>
      <c r="Y161" s="14">
        <f>ROUND(MIN(100, (X161/69.91)*100), 2)</f>
        <v/>
      </c>
    </row>
    <row r="162">
      <c r="A162" s="10" t="n">
        <v>4</v>
      </c>
      <c r="B162" s="10" t="n">
        <v>158</v>
      </c>
      <c r="C162" s="10" t="n">
        <v>3158</v>
      </c>
      <c r="D162" s="10" t="inlineStr">
        <is>
          <t>1380605005</t>
        </is>
      </c>
      <c r="E162" s="26" t="inlineStr">
        <is>
          <t>National Capital Region (NCR)</t>
        </is>
      </c>
      <c r="F162" s="26" t="inlineStr">
        <is>
          <t>First District (Not a Province)</t>
        </is>
      </c>
      <c r="G162" s="26" t="inlineStr">
        <is>
          <t>City of Manila</t>
        </is>
      </c>
      <c r="H162" s="26" t="inlineStr">
        <is>
          <t>Barangay 301</t>
        </is>
      </c>
      <c r="I162" s="27" t="n">
        <v>11.612818</v>
      </c>
      <c r="J162" s="27" t="n">
        <v>121.774</v>
      </c>
      <c r="K162" s="10" t="inlineStr">
        <is>
          <t>U</t>
        </is>
      </c>
      <c r="L162" s="12" t="n">
        <v>462</v>
      </c>
      <c r="M162" s="14" t="n">
        <v>3.9</v>
      </c>
      <c r="N162" s="12">
        <f>ROUND(L162/M162, 0)</f>
        <v/>
      </c>
      <c r="O162" s="12">
        <f>ROUND(N162*'Methodology &amp; Assumptions'!$B$5, 0)</f>
        <v/>
      </c>
      <c r="P162" s="10" t="inlineStr">
        <is>
          <t>Single Carrier (Band n50, 100MHz TDD)</t>
        </is>
      </c>
      <c r="Q162" s="13">
        <f>ROUNDUP(O162/'Methodology &amp; Assumptions'!$B$6, 0)</f>
        <v/>
      </c>
      <c r="R162" s="13" t="n">
        <v>1</v>
      </c>
      <c r="S162" s="14" t="n">
        <v>41.73</v>
      </c>
      <c r="T162" s="14" t="n">
        <v>39.39</v>
      </c>
      <c r="U162" s="26">
        <f>IF(X162&gt;='Methodology &amp; Assumptions'!$B$7, "Tier 1 Critical GIDA (Score ≥ 50.0)", IF(X162&gt;='Methodology &amp; Assumptions'!$B$8, "Tier 2 High GIDA (Score 40.0–49.9)", "Tier 3 Moderate GIDA (Score &lt; 40.0)"))</f>
        <v/>
      </c>
      <c r="V162" s="26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W162" s="28" t="n">
        <v>0.109</v>
      </c>
      <c r="X162" s="14" t="n">
        <v>47.81</v>
      </c>
      <c r="Y162" s="14">
        <f>ROUND(MIN(100, (X162/69.91)*100), 2)</f>
        <v/>
      </c>
    </row>
    <row r="163">
      <c r="A163" s="10" t="n">
        <v>4</v>
      </c>
      <c r="B163" s="10" t="n">
        <v>159</v>
      </c>
      <c r="C163" s="10" t="n">
        <v>3159</v>
      </c>
      <c r="D163" s="10" t="inlineStr">
        <is>
          <t>1906611028</t>
        </is>
      </c>
      <c r="E163" s="26" t="inlineStr">
        <is>
          <t>Bangsamoro Autonomous Region In Muslim Mindanao (BARMM)</t>
        </is>
      </c>
      <c r="F163" s="26" t="inlineStr">
        <is>
          <t>Sulu</t>
        </is>
      </c>
      <c r="G163" s="26" t="inlineStr">
        <is>
          <t>Patikul</t>
        </is>
      </c>
      <c r="H163" s="26" t="inlineStr">
        <is>
          <t>Tugas</t>
        </is>
      </c>
      <c r="I163" s="27" t="n">
        <v>16.80354</v>
      </c>
      <c r="J163" s="27" t="n">
        <v>122.185097</v>
      </c>
      <c r="K163" s="10" t="inlineStr">
        <is>
          <t>R</t>
        </is>
      </c>
      <c r="L163" s="12" t="n">
        <v>846</v>
      </c>
      <c r="M163" s="14" t="n">
        <v>6</v>
      </c>
      <c r="N163" s="12">
        <f>ROUND(L163/M163, 0)</f>
        <v/>
      </c>
      <c r="O163" s="12">
        <f>ROUND(N163*'Methodology &amp; Assumptions'!$B$5, 0)</f>
        <v/>
      </c>
      <c r="P163" s="10" t="inlineStr">
        <is>
          <t>Single Carrier (Band n50, 100MHz TDD)</t>
        </is>
      </c>
      <c r="Q163" s="13">
        <f>ROUNDUP(O163/'Methodology &amp; Assumptions'!$B$6, 0)</f>
        <v/>
      </c>
      <c r="R163" s="13" t="n">
        <v>1</v>
      </c>
      <c r="S163" s="14" t="n">
        <v>27.27</v>
      </c>
      <c r="T163" s="14" t="n">
        <v>32.09</v>
      </c>
      <c r="U163" s="26">
        <f>IF(X163&gt;='Methodology &amp; Assumptions'!$B$7, "Tier 1 Critical GIDA (Score ≥ 50.0)", IF(X163&gt;='Methodology &amp; Assumptions'!$B$8, "Tier 2 High GIDA (Score 40.0–49.9)", "Tier 3 Moderate GIDA (Score &lt; 40.0)"))</f>
        <v/>
      </c>
      <c r="V163" s="26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W163" s="28" t="n">
        <v>0.11</v>
      </c>
      <c r="X163" s="14" t="n">
        <v>47.81</v>
      </c>
      <c r="Y163" s="14">
        <f>ROUND(MIN(100, (X163/69.91)*100), 2)</f>
        <v/>
      </c>
    </row>
    <row r="164">
      <c r="A164" s="10" t="n">
        <v>4</v>
      </c>
      <c r="B164" s="10" t="n">
        <v>160</v>
      </c>
      <c r="C164" s="10" t="n">
        <v>3160</v>
      </c>
      <c r="D164" s="10" t="inlineStr">
        <is>
          <t>0102934033</t>
        </is>
      </c>
      <c r="E164" s="26" t="inlineStr">
        <is>
          <t>Region I (Ilocos Region)</t>
        </is>
      </c>
      <c r="F164" s="26" t="inlineStr">
        <is>
          <t>Ilocos Sur</t>
        </is>
      </c>
      <c r="G164" s="26" t="inlineStr">
        <is>
          <t>City of Vigan</t>
        </is>
      </c>
      <c r="H164" s="26" t="inlineStr">
        <is>
          <t>San Jose</t>
        </is>
      </c>
      <c r="I164" s="27" t="n">
        <v>17.562261</v>
      </c>
      <c r="J164" s="27" t="n">
        <v>120.396794</v>
      </c>
      <c r="K164" s="10" t="inlineStr">
        <is>
          <t>R</t>
        </is>
      </c>
      <c r="L164" s="12" t="n">
        <v>915</v>
      </c>
      <c r="M164" s="14" t="n">
        <v>3.8</v>
      </c>
      <c r="N164" s="12">
        <f>ROUND(L164/M164, 0)</f>
        <v/>
      </c>
      <c r="O164" s="12">
        <f>ROUND(N164*'Methodology &amp; Assumptions'!$B$5, 0)</f>
        <v/>
      </c>
      <c r="P164" s="10" t="inlineStr">
        <is>
          <t>Single Carrier (Band n50, 100MHz TDD)</t>
        </is>
      </c>
      <c r="Q164" s="13">
        <f>ROUNDUP(O164/'Methodology &amp; Assumptions'!$B$6, 0)</f>
        <v/>
      </c>
      <c r="R164" s="13" t="n">
        <v>1</v>
      </c>
      <c r="S164" s="14" t="n">
        <v>3.55</v>
      </c>
      <c r="T164" s="14" t="n">
        <v>2.09</v>
      </c>
      <c r="U164" s="26">
        <f>IF(X164&gt;='Methodology &amp; Assumptions'!$B$7, "Tier 1 Critical GIDA (Score ≥ 50.0)", IF(X164&gt;='Methodology &amp; Assumptions'!$B$8, "Tier 2 High GIDA (Score 40.0–49.9)", "Tier 3 Moderate GIDA (Score &lt; 40.0)"))</f>
        <v/>
      </c>
      <c r="V164" s="26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W164" s="28" t="n">
        <v>0.083</v>
      </c>
      <c r="X164" s="14" t="n">
        <v>47.8</v>
      </c>
      <c r="Y164" s="14">
        <f>ROUND(MIN(100, (X164/69.91)*100), 2)</f>
        <v/>
      </c>
    </row>
    <row r="165">
      <c r="A165" s="10" t="n">
        <v>4</v>
      </c>
      <c r="B165" s="10" t="n">
        <v>161</v>
      </c>
      <c r="C165" s="10" t="n">
        <v>3161</v>
      </c>
      <c r="D165" s="10" t="inlineStr">
        <is>
          <t>1380614013</t>
        </is>
      </c>
      <c r="E165" s="26" t="inlineStr">
        <is>
          <t>National Capital Region (NCR)</t>
        </is>
      </c>
      <c r="F165" s="26" t="inlineStr">
        <is>
          <t>First District (Not a Province)</t>
        </is>
      </c>
      <c r="G165" s="26" t="inlineStr">
        <is>
          <t>City of Manila</t>
        </is>
      </c>
      <c r="H165" s="26" t="inlineStr">
        <is>
          <t>Barangay 757</t>
        </is>
      </c>
      <c r="I165" s="27" t="n">
        <v>13.814738</v>
      </c>
      <c r="J165" s="27" t="n">
        <v>120.895082</v>
      </c>
      <c r="K165" s="10" t="inlineStr">
        <is>
          <t>U</t>
        </is>
      </c>
      <c r="L165" s="12" t="n">
        <v>491</v>
      </c>
      <c r="M165" s="14" t="n">
        <v>3.9</v>
      </c>
      <c r="N165" s="12">
        <f>ROUND(L165/M165, 0)</f>
        <v/>
      </c>
      <c r="O165" s="12">
        <f>ROUND(N165*'Methodology &amp; Assumptions'!$B$5, 0)</f>
        <v/>
      </c>
      <c r="P165" s="10" t="inlineStr">
        <is>
          <t>Single Carrier (Band n50, 100MHz TDD)</t>
        </is>
      </c>
      <c r="Q165" s="13">
        <f>ROUNDUP(O165/'Methodology &amp; Assumptions'!$B$6, 0)</f>
        <v/>
      </c>
      <c r="R165" s="13" t="n">
        <v>1</v>
      </c>
      <c r="S165" s="14" t="n">
        <v>5.09</v>
      </c>
      <c r="T165" s="14" t="n">
        <v>9.08</v>
      </c>
      <c r="U165" s="26">
        <f>IF(X165&gt;='Methodology &amp; Assumptions'!$B$7, "Tier 1 Critical GIDA (Score ≥ 50.0)", IF(X165&gt;='Methodology &amp; Assumptions'!$B$8, "Tier 2 High GIDA (Score 40.0–49.9)", "Tier 3 Moderate GIDA (Score &lt; 40.0)"))</f>
        <v/>
      </c>
      <c r="V165" s="26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W165" s="28" t="n">
        <v>0.109</v>
      </c>
      <c r="X165" s="14" t="n">
        <v>47.8</v>
      </c>
      <c r="Y165" s="14">
        <f>ROUND(MIN(100, (X165/69.91)*100), 2)</f>
        <v/>
      </c>
    </row>
    <row r="166">
      <c r="A166" s="10" t="n">
        <v>4</v>
      </c>
      <c r="B166" s="10" t="n">
        <v>162</v>
      </c>
      <c r="C166" s="10" t="n">
        <v>3162</v>
      </c>
      <c r="D166" s="10" t="inlineStr">
        <is>
          <t>1380614058</t>
        </is>
      </c>
      <c r="E166" s="26" t="inlineStr">
        <is>
          <t>National Capital Region (NCR)</t>
        </is>
      </c>
      <c r="F166" s="26" t="inlineStr">
        <is>
          <t>First District (Not a Province)</t>
        </is>
      </c>
      <c r="G166" s="26" t="inlineStr">
        <is>
          <t>City of Manila</t>
        </is>
      </c>
      <c r="H166" s="26" t="inlineStr">
        <is>
          <t>Barangay 802</t>
        </is>
      </c>
      <c r="I166" s="27" t="n">
        <v>12.769049</v>
      </c>
      <c r="J166" s="27" t="n">
        <v>123.071392</v>
      </c>
      <c r="K166" s="10" t="inlineStr">
        <is>
          <t>U</t>
        </is>
      </c>
      <c r="L166" s="12" t="n">
        <v>1841</v>
      </c>
      <c r="M166" s="14" t="n">
        <v>3.9</v>
      </c>
      <c r="N166" s="12">
        <f>ROUND(L166/M166, 0)</f>
        <v/>
      </c>
      <c r="O166" s="12">
        <f>ROUND(N166*'Methodology &amp; Assumptions'!$B$5, 0)</f>
        <v/>
      </c>
      <c r="P166" s="10" t="inlineStr">
        <is>
          <t>Single Carrier (Band n50, 100MHz TDD)</t>
        </is>
      </c>
      <c r="Q166" s="13">
        <f>ROUNDUP(O166/'Methodology &amp; Assumptions'!$B$6, 0)</f>
        <v/>
      </c>
      <c r="R166" s="13" t="n">
        <v>1</v>
      </c>
      <c r="S166" s="14" t="n">
        <v>41.01</v>
      </c>
      <c r="T166" s="14" t="n">
        <v>48.45</v>
      </c>
      <c r="U166" s="26">
        <f>IF(X166&gt;='Methodology &amp; Assumptions'!$B$7, "Tier 1 Critical GIDA (Score ≥ 50.0)", IF(X166&gt;='Methodology &amp; Assumptions'!$B$8, "Tier 2 High GIDA (Score 40.0–49.9)", "Tier 3 Moderate GIDA (Score &lt; 40.0)"))</f>
        <v/>
      </c>
      <c r="V166" s="26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W166" s="28" t="n">
        <v>0.109</v>
      </c>
      <c r="X166" s="14" t="n">
        <v>47.8</v>
      </c>
      <c r="Y166" s="14">
        <f>ROUND(MIN(100, (X166/69.91)*100), 2)</f>
        <v/>
      </c>
    </row>
    <row r="167">
      <c r="A167" s="10" t="n">
        <v>4</v>
      </c>
      <c r="B167" s="10" t="n">
        <v>163</v>
      </c>
      <c r="C167" s="10" t="n">
        <v>3163</v>
      </c>
      <c r="D167" s="10" t="inlineStr">
        <is>
          <t>1380614081</t>
        </is>
      </c>
      <c r="E167" s="26" t="inlineStr">
        <is>
          <t>National Capital Region (NCR)</t>
        </is>
      </c>
      <c r="F167" s="26" t="inlineStr">
        <is>
          <t>First District (Not a Province)</t>
        </is>
      </c>
      <c r="G167" s="26" t="inlineStr">
        <is>
          <t>City of Manila</t>
        </is>
      </c>
      <c r="H167" s="26" t="inlineStr">
        <is>
          <t>Barangay 888</t>
        </is>
      </c>
      <c r="I167" s="27" t="n">
        <v>12.106006</v>
      </c>
      <c r="J167" s="27" t="n">
        <v>120.739679</v>
      </c>
      <c r="K167" s="10" t="inlineStr">
        <is>
          <t>U</t>
        </is>
      </c>
      <c r="L167" s="12" t="n">
        <v>862</v>
      </c>
      <c r="M167" s="14" t="n">
        <v>3.9</v>
      </c>
      <c r="N167" s="12">
        <f>ROUND(L167/M167, 0)</f>
        <v/>
      </c>
      <c r="O167" s="12">
        <f>ROUND(N167*'Methodology &amp; Assumptions'!$B$5, 0)</f>
        <v/>
      </c>
      <c r="P167" s="10" t="inlineStr">
        <is>
          <t>Single Carrier (Band n50, 100MHz TDD)</t>
        </is>
      </c>
      <c r="Q167" s="13">
        <f>ROUNDUP(O167/'Methodology &amp; Assumptions'!$B$6, 0)</f>
        <v/>
      </c>
      <c r="R167" s="13" t="n">
        <v>1</v>
      </c>
      <c r="S167" s="14" t="n">
        <v>44.59</v>
      </c>
      <c r="T167" s="14" t="n">
        <v>44.56</v>
      </c>
      <c r="U167" s="26">
        <f>IF(X167&gt;='Methodology &amp; Assumptions'!$B$7, "Tier 1 Critical GIDA (Score ≥ 50.0)", IF(X167&gt;='Methodology &amp; Assumptions'!$B$8, "Tier 2 High GIDA (Score 40.0–49.9)", "Tier 3 Moderate GIDA (Score &lt; 40.0)"))</f>
        <v/>
      </c>
      <c r="V167" s="26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W167" s="28" t="n">
        <v>0.109</v>
      </c>
      <c r="X167" s="14" t="n">
        <v>47.8</v>
      </c>
      <c r="Y167" s="14">
        <f>ROUND(MIN(100, (X167/69.91)*100), 2)</f>
        <v/>
      </c>
    </row>
    <row r="168">
      <c r="A168" s="10" t="n">
        <v>4</v>
      </c>
      <c r="B168" s="10" t="n">
        <v>164</v>
      </c>
      <c r="C168" s="10" t="n">
        <v>3164</v>
      </c>
      <c r="D168" s="10" t="inlineStr">
        <is>
          <t>1380611013</t>
        </is>
      </c>
      <c r="E168" s="26" t="inlineStr">
        <is>
          <t>National Capital Region (NCR)</t>
        </is>
      </c>
      <c r="F168" s="26" t="inlineStr">
        <is>
          <t>First District (Not a Province)</t>
        </is>
      </c>
      <c r="G168" s="26" t="inlineStr">
        <is>
          <t>City of Manila</t>
        </is>
      </c>
      <c r="H168" s="26" t="inlineStr">
        <is>
          <t>Barangay 679</t>
        </is>
      </c>
      <c r="I168" s="27" t="n">
        <v>14.132652</v>
      </c>
      <c r="J168" s="27" t="n">
        <v>122.000631</v>
      </c>
      <c r="K168" s="10" t="inlineStr">
        <is>
          <t>U</t>
        </is>
      </c>
      <c r="L168" s="12" t="n">
        <v>959</v>
      </c>
      <c r="M168" s="14" t="n">
        <v>3.9</v>
      </c>
      <c r="N168" s="12">
        <f>ROUND(L168/M168, 0)</f>
        <v/>
      </c>
      <c r="O168" s="12">
        <f>ROUND(N168*'Methodology &amp; Assumptions'!$B$5, 0)</f>
        <v/>
      </c>
      <c r="P168" s="10" t="inlineStr">
        <is>
          <t>Single Carrier (Band n50, 100MHz TDD)</t>
        </is>
      </c>
      <c r="Q168" s="13">
        <f>ROUNDUP(O168/'Methodology &amp; Assumptions'!$B$6, 0)</f>
        <v/>
      </c>
      <c r="R168" s="13" t="n">
        <v>1</v>
      </c>
      <c r="S168" s="14" t="n">
        <v>16.76</v>
      </c>
      <c r="T168" s="14" t="n">
        <v>16.7</v>
      </c>
      <c r="U168" s="26">
        <f>IF(X168&gt;='Methodology &amp; Assumptions'!$B$7, "Tier 1 Critical GIDA (Score ≥ 50.0)", IF(X168&gt;='Methodology &amp; Assumptions'!$B$8, "Tier 2 High GIDA (Score 40.0–49.9)", "Tier 3 Moderate GIDA (Score &lt; 40.0)"))</f>
        <v/>
      </c>
      <c r="V168" s="26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W168" s="28" t="n">
        <v>0.109</v>
      </c>
      <c r="X168" s="14" t="n">
        <v>47.8</v>
      </c>
      <c r="Y168" s="14">
        <f>ROUND(MIN(100, (X168/69.91)*100), 2)</f>
        <v/>
      </c>
    </row>
    <row r="169">
      <c r="A169" s="10" t="n">
        <v>4</v>
      </c>
      <c r="B169" s="10" t="n">
        <v>165</v>
      </c>
      <c r="C169" s="10" t="n">
        <v>3165</v>
      </c>
      <c r="D169" s="10" t="inlineStr">
        <is>
          <t>1903631011</t>
        </is>
      </c>
      <c r="E169" s="26" t="inlineStr">
        <is>
          <t>Bangsamoro Autonomous Region In Muslim Mindanao (BARMM)</t>
        </is>
      </c>
      <c r="F169" s="26" t="inlineStr">
        <is>
          <t>Lanao del Sur</t>
        </is>
      </c>
      <c r="G169" s="26" t="inlineStr">
        <is>
          <t>Marogong</t>
        </is>
      </c>
      <c r="H169" s="26" t="inlineStr">
        <is>
          <t>Canibongan</t>
        </is>
      </c>
      <c r="I169" s="27" t="n">
        <v>15.671882</v>
      </c>
      <c r="J169" s="27" t="n">
        <v>122.554113</v>
      </c>
      <c r="K169" s="10" t="inlineStr">
        <is>
          <t>R</t>
        </is>
      </c>
      <c r="L169" s="12" t="n">
        <v>1361</v>
      </c>
      <c r="M169" s="14" t="n">
        <v>5.7</v>
      </c>
      <c r="N169" s="12">
        <f>ROUND(L169/M169, 0)</f>
        <v/>
      </c>
      <c r="O169" s="12">
        <f>ROUND(N169*'Methodology &amp; Assumptions'!$B$5, 0)</f>
        <v/>
      </c>
      <c r="P169" s="10" t="inlineStr">
        <is>
          <t>Single Carrier (Band n50, 100MHz TDD)</t>
        </is>
      </c>
      <c r="Q169" s="13">
        <f>ROUNDUP(O169/'Methodology &amp; Assumptions'!$B$6, 0)</f>
        <v/>
      </c>
      <c r="R169" s="13" t="n">
        <v>1</v>
      </c>
      <c r="S169" s="14" t="n">
        <v>80.92</v>
      </c>
      <c r="T169" s="14" t="n">
        <v>79.81</v>
      </c>
      <c r="U169" s="26">
        <f>IF(X169&gt;='Methodology &amp; Assumptions'!$B$7, "Tier 1 Critical GIDA (Score ≥ 50.0)", IF(X169&gt;='Methodology &amp; Assumptions'!$B$8, "Tier 2 High GIDA (Score 40.0–49.9)", "Tier 3 Moderate GIDA (Score &lt; 40.0)"))</f>
        <v/>
      </c>
      <c r="V169" s="26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W169" s="28" t="n">
        <v>0.11</v>
      </c>
      <c r="X169" s="14" t="n">
        <v>47.8</v>
      </c>
      <c r="Y169" s="14">
        <f>ROUND(MIN(100, (X169/69.91)*100), 2)</f>
        <v/>
      </c>
    </row>
    <row r="170">
      <c r="A170" s="10" t="n">
        <v>4</v>
      </c>
      <c r="B170" s="10" t="n">
        <v>166</v>
      </c>
      <c r="C170" s="10" t="n">
        <v>3166</v>
      </c>
      <c r="D170" s="10" t="inlineStr">
        <is>
          <t>1903632042</t>
        </is>
      </c>
      <c r="E170" s="26" t="inlineStr">
        <is>
          <t>Bangsamoro Autonomous Region In Muslim Mindanao (BARMM)</t>
        </is>
      </c>
      <c r="F170" s="26" t="inlineStr">
        <is>
          <t>Lanao del Sur</t>
        </is>
      </c>
      <c r="G170" s="26" t="inlineStr">
        <is>
          <t>Calanogas</t>
        </is>
      </c>
      <c r="H170" s="26" t="inlineStr">
        <is>
          <t>Pagalongan</t>
        </is>
      </c>
      <c r="I170" s="27" t="n">
        <v>17.251011</v>
      </c>
      <c r="J170" s="27" t="n">
        <v>122.232205</v>
      </c>
      <c r="K170" s="10" t="inlineStr">
        <is>
          <t>R</t>
        </is>
      </c>
      <c r="L170" s="12" t="n">
        <v>818</v>
      </c>
      <c r="M170" s="14" t="n">
        <v>5.7</v>
      </c>
      <c r="N170" s="12">
        <f>ROUND(L170/M170, 0)</f>
        <v/>
      </c>
      <c r="O170" s="12">
        <f>ROUND(N170*'Methodology &amp; Assumptions'!$B$5, 0)</f>
        <v/>
      </c>
      <c r="P170" s="10" t="inlineStr">
        <is>
          <t>Single Carrier (Band n50, 100MHz TDD)</t>
        </is>
      </c>
      <c r="Q170" s="13">
        <f>ROUNDUP(O170/'Methodology &amp; Assumptions'!$B$6, 0)</f>
        <v/>
      </c>
      <c r="R170" s="13" t="n">
        <v>1</v>
      </c>
      <c r="S170" s="14" t="n">
        <v>29.42</v>
      </c>
      <c r="T170" s="14" t="n">
        <v>34.52</v>
      </c>
      <c r="U170" s="26">
        <f>IF(X170&gt;='Methodology &amp; Assumptions'!$B$7, "Tier 1 Critical GIDA (Score ≥ 50.0)", IF(X170&gt;='Methodology &amp; Assumptions'!$B$8, "Tier 2 High GIDA (Score 40.0–49.9)", "Tier 3 Moderate GIDA (Score &lt; 40.0)"))</f>
        <v/>
      </c>
      <c r="V170" s="26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W170" s="28" t="n">
        <v>0.11</v>
      </c>
      <c r="X170" s="14" t="n">
        <v>47.8</v>
      </c>
      <c r="Y170" s="14">
        <f>ROUND(MIN(100, (X170/69.91)*100), 2)</f>
        <v/>
      </c>
    </row>
    <row r="171">
      <c r="A171" s="10" t="n">
        <v>4</v>
      </c>
      <c r="B171" s="10" t="n">
        <v>167</v>
      </c>
      <c r="C171" s="10" t="n">
        <v>3167</v>
      </c>
      <c r="D171" s="10" t="inlineStr">
        <is>
          <t>1380610039</t>
        </is>
      </c>
      <c r="E171" s="26" t="inlineStr">
        <is>
          <t>National Capital Region (NCR)</t>
        </is>
      </c>
      <c r="F171" s="26" t="inlineStr">
        <is>
          <t>First District (Not a Province)</t>
        </is>
      </c>
      <c r="G171" s="26" t="inlineStr">
        <is>
          <t>City of Manila</t>
        </is>
      </c>
      <c r="H171" s="26" t="inlineStr">
        <is>
          <t>Barangay 724</t>
        </is>
      </c>
      <c r="I171" s="27" t="n">
        <v>11.805531</v>
      </c>
      <c r="J171" s="27" t="n">
        <v>122.475983</v>
      </c>
      <c r="K171" s="10" t="inlineStr">
        <is>
          <t>U</t>
        </is>
      </c>
      <c r="L171" s="12" t="n">
        <v>2409</v>
      </c>
      <c r="M171" s="14" t="n">
        <v>3.9</v>
      </c>
      <c r="N171" s="12">
        <f>ROUND(L171/M171, 0)</f>
        <v/>
      </c>
      <c r="O171" s="12">
        <f>ROUND(N171*'Methodology &amp; Assumptions'!$B$5, 0)</f>
        <v/>
      </c>
      <c r="P171" s="10" t="inlineStr">
        <is>
          <t>Single Carrier (Band n50, 100MHz TDD)</t>
        </is>
      </c>
      <c r="Q171" s="13">
        <f>ROUNDUP(O171/'Methodology &amp; Assumptions'!$B$6, 0)</f>
        <v/>
      </c>
      <c r="R171" s="13" t="n">
        <v>1</v>
      </c>
      <c r="S171" s="14" t="n">
        <v>16.88</v>
      </c>
      <c r="T171" s="14" t="n">
        <v>9.619999999999999</v>
      </c>
      <c r="U171" s="26">
        <f>IF(X171&gt;='Methodology &amp; Assumptions'!$B$7, "Tier 1 Critical GIDA (Score ≥ 50.0)", IF(X171&gt;='Methodology &amp; Assumptions'!$B$8, "Tier 2 High GIDA (Score 40.0–49.9)", "Tier 3 Moderate GIDA (Score &lt; 40.0)"))</f>
        <v/>
      </c>
      <c r="V171" s="26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W171" s="28" t="n">
        <v>0.109</v>
      </c>
      <c r="X171" s="14" t="n">
        <v>47.79</v>
      </c>
      <c r="Y171" s="14">
        <f>ROUND(MIN(100, (X171/69.91)*100), 2)</f>
        <v/>
      </c>
    </row>
    <row r="172">
      <c r="A172" s="10" t="n">
        <v>4</v>
      </c>
      <c r="B172" s="10" t="n">
        <v>168</v>
      </c>
      <c r="C172" s="10" t="n">
        <v>3168</v>
      </c>
      <c r="D172" s="10" t="inlineStr">
        <is>
          <t>PH0003168</t>
        </is>
      </c>
      <c r="E172" s="26" t="inlineStr">
        <is>
          <t>NCR</t>
        </is>
      </c>
      <c r="F172" s="26" t="inlineStr">
        <is>
          <t>Metro Manila</t>
        </is>
      </c>
      <c r="G172" s="26" t="inlineStr">
        <is>
          <t>Caloocan City</t>
        </is>
      </c>
      <c r="H172" s="26" t="inlineStr">
        <is>
          <t>Barangay 60</t>
        </is>
      </c>
      <c r="I172" s="27" t="n">
        <v>12.61846</v>
      </c>
      <c r="J172" s="27" t="n">
        <v>120.254195</v>
      </c>
      <c r="K172" s="10" t="inlineStr">
        <is>
          <t>R</t>
        </is>
      </c>
      <c r="L172" s="12" t="n">
        <v>2279</v>
      </c>
      <c r="M172" s="14" t="n">
        <v>3.8</v>
      </c>
      <c r="N172" s="12">
        <f>ROUND(L172/M172, 0)</f>
        <v/>
      </c>
      <c r="O172" s="12">
        <f>ROUND(N172*'Methodology &amp; Assumptions'!$B$5, 0)</f>
        <v/>
      </c>
      <c r="P172" s="10" t="inlineStr">
        <is>
          <t>Single Carrier (Band n50, 100MHz TDD)</t>
        </is>
      </c>
      <c r="Q172" s="13">
        <f>ROUNDUP(O172/'Methodology &amp; Assumptions'!$B$6, 0)</f>
        <v/>
      </c>
      <c r="R172" s="13" t="n">
        <v>1</v>
      </c>
      <c r="S172" s="14" t="n">
        <v>64.18000000000001</v>
      </c>
      <c r="T172" s="14" t="n">
        <v>91.56</v>
      </c>
      <c r="U172" s="26">
        <f>IF(X172&gt;='Methodology &amp; Assumptions'!$B$7, "Tier 1 Critical GIDA (Score ≥ 50.0)", IF(X172&gt;='Methodology &amp; Assumptions'!$B$8, "Tier 2 High GIDA (Score 40.0–49.9)", "Tier 3 Moderate GIDA (Score &lt; 40.0)"))</f>
        <v/>
      </c>
      <c r="V172" s="26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W172" s="28" t="n">
        <v>0.011</v>
      </c>
      <c r="X172" s="14" t="n">
        <v>47.79</v>
      </c>
      <c r="Y172" s="14">
        <f>ROUND(MIN(100, (X172/69.91)*100), 2)</f>
        <v/>
      </c>
    </row>
    <row r="173">
      <c r="A173" s="10" t="n">
        <v>4</v>
      </c>
      <c r="B173" s="10" t="n">
        <v>169</v>
      </c>
      <c r="C173" s="10" t="n">
        <v>3169</v>
      </c>
      <c r="D173" s="10" t="inlineStr">
        <is>
          <t>1380605062</t>
        </is>
      </c>
      <c r="E173" s="26" t="inlineStr">
        <is>
          <t>National Capital Region (NCR)</t>
        </is>
      </c>
      <c r="F173" s="26" t="inlineStr">
        <is>
          <t>First District (Not a Province)</t>
        </is>
      </c>
      <c r="G173" s="26" t="inlineStr">
        <is>
          <t>City of Manila</t>
        </is>
      </c>
      <c r="H173" s="26" t="inlineStr">
        <is>
          <t>Barangay 360</t>
        </is>
      </c>
      <c r="I173" s="27" t="n">
        <v>13.209689</v>
      </c>
      <c r="J173" s="27" t="n">
        <v>120.510679</v>
      </c>
      <c r="K173" s="10" t="inlineStr">
        <is>
          <t>U</t>
        </is>
      </c>
      <c r="L173" s="12" t="n">
        <v>764</v>
      </c>
      <c r="M173" s="14" t="n">
        <v>3.9</v>
      </c>
      <c r="N173" s="12">
        <f>ROUND(L173/M173, 0)</f>
        <v/>
      </c>
      <c r="O173" s="12">
        <f>ROUND(N173*'Methodology &amp; Assumptions'!$B$5, 0)</f>
        <v/>
      </c>
      <c r="P173" s="10" t="inlineStr">
        <is>
          <t>Single Carrier (Band n50, 100MHz TDD)</t>
        </is>
      </c>
      <c r="Q173" s="13">
        <f>ROUNDUP(O173/'Methodology &amp; Assumptions'!$B$6, 0)</f>
        <v/>
      </c>
      <c r="R173" s="13" t="n">
        <v>1</v>
      </c>
      <c r="S173" s="14" t="n">
        <v>53.76</v>
      </c>
      <c r="T173" s="14" t="n">
        <v>52.25</v>
      </c>
      <c r="U173" s="26">
        <f>IF(X173&gt;='Methodology &amp; Assumptions'!$B$7, "Tier 1 Critical GIDA (Score ≥ 50.0)", IF(X173&gt;='Methodology &amp; Assumptions'!$B$8, "Tier 2 High GIDA (Score 40.0–49.9)", "Tier 3 Moderate GIDA (Score &lt; 40.0)"))</f>
        <v/>
      </c>
      <c r="V173" s="26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W173" s="28" t="n">
        <v>0.109</v>
      </c>
      <c r="X173" s="14" t="n">
        <v>47.78</v>
      </c>
      <c r="Y173" s="14">
        <f>ROUND(MIN(100, (X173/69.91)*100), 2)</f>
        <v/>
      </c>
    </row>
    <row r="174">
      <c r="A174" s="10" t="n">
        <v>4</v>
      </c>
      <c r="B174" s="10" t="n">
        <v>170</v>
      </c>
      <c r="C174" s="10" t="n">
        <v>3170</v>
      </c>
      <c r="D174" s="10" t="inlineStr">
        <is>
          <t>PH0003170</t>
        </is>
      </c>
      <c r="E174" s="26" t="inlineStr">
        <is>
          <t>CAR</t>
        </is>
      </c>
      <c r="F174" s="26" t="inlineStr">
        <is>
          <t>Benguet</t>
        </is>
      </c>
      <c r="G174" s="26" t="inlineStr">
        <is>
          <t>Baguio City</t>
        </is>
      </c>
      <c r="H174" s="26" t="inlineStr">
        <is>
          <t>Lourdes Subdivision Extension</t>
        </is>
      </c>
      <c r="I174" s="27" t="n">
        <v>16.391622</v>
      </c>
      <c r="J174" s="27" t="n">
        <v>120.632761</v>
      </c>
      <c r="K174" s="10" t="inlineStr">
        <is>
          <t>R</t>
        </is>
      </c>
      <c r="L174" s="12" t="n">
        <v>2260</v>
      </c>
      <c r="M174" s="14" t="n">
        <v>3.5</v>
      </c>
      <c r="N174" s="12">
        <f>ROUND(L174/M174, 0)</f>
        <v/>
      </c>
      <c r="O174" s="12">
        <f>ROUND(N174*'Methodology &amp; Assumptions'!$B$5, 0)</f>
        <v/>
      </c>
      <c r="P174" s="10" t="inlineStr">
        <is>
          <t>Single Carrier (Band n50, 100MHz TDD)</t>
        </is>
      </c>
      <c r="Q174" s="13">
        <f>ROUNDUP(O174/'Methodology &amp; Assumptions'!$B$6, 0)</f>
        <v/>
      </c>
      <c r="R174" s="13" t="n">
        <v>1</v>
      </c>
      <c r="S174" s="14" t="n">
        <v>2.42</v>
      </c>
      <c r="T174" s="14" t="n">
        <v>2.6</v>
      </c>
      <c r="U174" s="26">
        <f>IF(X174&gt;='Methodology &amp; Assumptions'!$B$7, "Tier 1 Critical GIDA (Score ≥ 50.0)", IF(X174&gt;='Methodology &amp; Assumptions'!$B$8, "Tier 2 High GIDA (Score 40.0–49.9)", "Tier 3 Moderate GIDA (Score &lt; 40.0)"))</f>
        <v/>
      </c>
      <c r="V174" s="26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W174" s="28" t="n">
        <v>0.221</v>
      </c>
      <c r="X174" s="14" t="n">
        <v>47.78</v>
      </c>
      <c r="Y174" s="14">
        <f>ROUND(MIN(100, (X174/69.91)*100), 2)</f>
        <v/>
      </c>
    </row>
    <row r="175">
      <c r="A175" s="10" t="n">
        <v>4</v>
      </c>
      <c r="B175" s="10" t="n">
        <v>171</v>
      </c>
      <c r="C175" s="10" t="n">
        <v>3171</v>
      </c>
      <c r="D175" s="10" t="inlineStr">
        <is>
          <t>1380614062</t>
        </is>
      </c>
      <c r="E175" s="26" t="inlineStr">
        <is>
          <t>National Capital Region (NCR)</t>
        </is>
      </c>
      <c r="F175" s="26" t="inlineStr">
        <is>
          <t>First District (Not a Province)</t>
        </is>
      </c>
      <c r="G175" s="26" t="inlineStr">
        <is>
          <t>City of Manila</t>
        </is>
      </c>
      <c r="H175" s="26" t="inlineStr">
        <is>
          <t>Barangay 806</t>
        </is>
      </c>
      <c r="I175" s="27" t="n">
        <v>13.469043</v>
      </c>
      <c r="J175" s="27" t="n">
        <v>122.935337</v>
      </c>
      <c r="K175" s="10" t="inlineStr">
        <is>
          <t>U</t>
        </is>
      </c>
      <c r="L175" s="12" t="n">
        <v>1652</v>
      </c>
      <c r="M175" s="14" t="n">
        <v>3.9</v>
      </c>
      <c r="N175" s="12">
        <f>ROUND(L175/M175, 0)</f>
        <v/>
      </c>
      <c r="O175" s="12">
        <f>ROUND(N175*'Methodology &amp; Assumptions'!$B$5, 0)</f>
        <v/>
      </c>
      <c r="P175" s="10" t="inlineStr">
        <is>
          <t>Single Carrier (Band n50, 100MHz TDD)</t>
        </is>
      </c>
      <c r="Q175" s="13">
        <f>ROUNDUP(O175/'Methodology &amp; Assumptions'!$B$6, 0)</f>
        <v/>
      </c>
      <c r="R175" s="13" t="n">
        <v>1</v>
      </c>
      <c r="S175" s="14" t="n">
        <v>10.43</v>
      </c>
      <c r="T175" s="14" t="n">
        <v>10.43</v>
      </c>
      <c r="U175" s="26">
        <f>IF(X175&gt;='Methodology &amp; Assumptions'!$B$7, "Tier 1 Critical GIDA (Score ≥ 50.0)", IF(X175&gt;='Methodology &amp; Assumptions'!$B$8, "Tier 2 High GIDA (Score 40.0–49.9)", "Tier 3 Moderate GIDA (Score &lt; 40.0)"))</f>
        <v/>
      </c>
      <c r="V175" s="26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W175" s="28" t="n">
        <v>0.109</v>
      </c>
      <c r="X175" s="14" t="n">
        <v>47.77</v>
      </c>
      <c r="Y175" s="14">
        <f>ROUND(MIN(100, (X175/69.91)*100), 2)</f>
        <v/>
      </c>
    </row>
    <row r="176">
      <c r="A176" s="10" t="n">
        <v>4</v>
      </c>
      <c r="B176" s="10" t="n">
        <v>172</v>
      </c>
      <c r="C176" s="10" t="n">
        <v>3172</v>
      </c>
      <c r="D176" s="10" t="inlineStr">
        <is>
          <t>PH0003172</t>
        </is>
      </c>
      <c r="E176" s="26" t="inlineStr">
        <is>
          <t>VI</t>
        </is>
      </c>
      <c r="F176" s="26" t="inlineStr">
        <is>
          <t>Iloilo</t>
        </is>
      </c>
      <c r="G176" s="26" t="inlineStr">
        <is>
          <t>Iloilo City</t>
        </is>
      </c>
      <c r="H176" s="26" t="inlineStr">
        <is>
          <t>Ortiz</t>
        </is>
      </c>
      <c r="I176" s="27" t="n">
        <v>10.623977</v>
      </c>
      <c r="J176" s="27" t="n">
        <v>122.639303</v>
      </c>
      <c r="K176" s="10" t="inlineStr">
        <is>
          <t>R</t>
        </is>
      </c>
      <c r="L176" s="12" t="n">
        <v>2230</v>
      </c>
      <c r="M176" s="14" t="n">
        <v>3.8</v>
      </c>
      <c r="N176" s="12">
        <f>ROUND(L176/M176, 0)</f>
        <v/>
      </c>
      <c r="O176" s="12">
        <f>ROUND(N176*'Methodology &amp; Assumptions'!$B$5, 0)</f>
        <v/>
      </c>
      <c r="P176" s="10" t="inlineStr">
        <is>
          <t>Single Carrier (Band n50, 100MHz TDD)</t>
        </is>
      </c>
      <c r="Q176" s="13">
        <f>ROUNDUP(O176/'Methodology &amp; Assumptions'!$B$6, 0)</f>
        <v/>
      </c>
      <c r="R176" s="13" t="n">
        <v>1</v>
      </c>
      <c r="S176" s="14" t="n">
        <v>12.67</v>
      </c>
      <c r="T176" s="14" t="n">
        <v>11.45</v>
      </c>
      <c r="U176" s="26">
        <f>IF(X176&gt;='Methodology &amp; Assumptions'!$B$7, "Tier 1 Critical GIDA (Score ≥ 50.0)", IF(X176&gt;='Methodology &amp; Assumptions'!$B$8, "Tier 2 High GIDA (Score 40.0–49.9)", "Tier 3 Moderate GIDA (Score &lt; 40.0)"))</f>
        <v/>
      </c>
      <c r="V176" s="26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W176" s="28" t="n">
        <v>0.156</v>
      </c>
      <c r="X176" s="14" t="n">
        <v>47.77</v>
      </c>
      <c r="Y176" s="14">
        <f>ROUND(MIN(100, (X176/69.91)*100), 2)</f>
        <v/>
      </c>
    </row>
    <row r="177">
      <c r="A177" s="10" t="n">
        <v>4</v>
      </c>
      <c r="B177" s="10" t="n">
        <v>173</v>
      </c>
      <c r="C177" s="10" t="n">
        <v>3173</v>
      </c>
      <c r="D177" s="10" t="inlineStr">
        <is>
          <t>1003521016</t>
        </is>
      </c>
      <c r="E177" s="26" t="inlineStr">
        <is>
          <t>Region X (Northern Mindanao)</t>
        </is>
      </c>
      <c r="F177" s="26" t="inlineStr">
        <is>
          <t>Lanao del Norte</t>
        </is>
      </c>
      <c r="G177" s="26" t="inlineStr">
        <is>
          <t>Tangcal</t>
        </is>
      </c>
      <c r="H177" s="26" t="inlineStr">
        <is>
          <t>Pelingkingan</t>
        </is>
      </c>
      <c r="I177" s="27" t="n">
        <v>8.038631000000001</v>
      </c>
      <c r="J177" s="27" t="n">
        <v>123.970374</v>
      </c>
      <c r="K177" s="10" t="inlineStr">
        <is>
          <t>R</t>
        </is>
      </c>
      <c r="L177" s="12" t="n">
        <v>1283</v>
      </c>
      <c r="M177" s="14" t="n">
        <v>4.2</v>
      </c>
      <c r="N177" s="12">
        <f>ROUND(L177/M177, 0)</f>
        <v/>
      </c>
      <c r="O177" s="12">
        <f>ROUND(N177*'Methodology &amp; Assumptions'!$B$5, 0)</f>
        <v/>
      </c>
      <c r="P177" s="10" t="inlineStr">
        <is>
          <t>Single Carrier (Band n50, 100MHz TDD)</t>
        </is>
      </c>
      <c r="Q177" s="13">
        <f>ROUNDUP(O177/'Methodology &amp; Assumptions'!$B$6, 0)</f>
        <v/>
      </c>
      <c r="R177" s="13" t="n">
        <v>1</v>
      </c>
      <c r="S177" s="14" t="n">
        <v>18.86</v>
      </c>
      <c r="T177" s="14" t="n">
        <v>11.22</v>
      </c>
      <c r="U177" s="26">
        <f>IF(X177&gt;='Methodology &amp; Assumptions'!$B$7, "Tier 1 Critical GIDA (Score ≥ 50.0)", IF(X177&gt;='Methodology &amp; Assumptions'!$B$8, "Tier 2 High GIDA (Score 40.0–49.9)", "Tier 3 Moderate GIDA (Score &lt; 40.0)"))</f>
        <v/>
      </c>
      <c r="V177" s="26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W177" s="28" t="n">
        <v>0.174</v>
      </c>
      <c r="X177" s="14" t="n">
        <v>47.77</v>
      </c>
      <c r="Y177" s="14">
        <f>ROUND(MIN(100, (X177/69.91)*100), 2)</f>
        <v/>
      </c>
    </row>
    <row r="178">
      <c r="A178" s="10" t="n">
        <v>4</v>
      </c>
      <c r="B178" s="10" t="n">
        <v>174</v>
      </c>
      <c r="C178" s="10" t="n">
        <v>3174</v>
      </c>
      <c r="D178" s="10" t="inlineStr">
        <is>
          <t>PH0003174</t>
        </is>
      </c>
      <c r="E178" s="26" t="inlineStr">
        <is>
          <t>NCR</t>
        </is>
      </c>
      <c r="F178" s="26" t="inlineStr">
        <is>
          <t>Metro Manila</t>
        </is>
      </c>
      <c r="G178" s="26" t="inlineStr">
        <is>
          <t>Caloocan City</t>
        </is>
      </c>
      <c r="H178" s="26" t="inlineStr">
        <is>
          <t>Barangay 121</t>
        </is>
      </c>
      <c r="I178" s="27" t="n">
        <v>14.074309</v>
      </c>
      <c r="J178" s="27" t="n">
        <v>122.714314</v>
      </c>
      <c r="K178" s="10" t="inlineStr">
        <is>
          <t>R</t>
        </is>
      </c>
      <c r="L178" s="12" t="n">
        <v>2279</v>
      </c>
      <c r="M178" s="14" t="n">
        <v>3.8</v>
      </c>
      <c r="N178" s="12">
        <f>ROUND(L178/M178, 0)</f>
        <v/>
      </c>
      <c r="O178" s="12">
        <f>ROUND(N178*'Methodology &amp; Assumptions'!$B$5, 0)</f>
        <v/>
      </c>
      <c r="P178" s="10" t="inlineStr">
        <is>
          <t>Single Carrier (Band n50, 100MHz TDD)</t>
        </is>
      </c>
      <c r="Q178" s="13">
        <f>ROUNDUP(O178/'Methodology &amp; Assumptions'!$B$6, 0)</f>
        <v/>
      </c>
      <c r="R178" s="13" t="n">
        <v>1</v>
      </c>
      <c r="S178" s="14" t="n">
        <v>14.2</v>
      </c>
      <c r="T178" s="14" t="n">
        <v>13.33</v>
      </c>
      <c r="U178" s="26">
        <f>IF(X178&gt;='Methodology &amp; Assumptions'!$B$7, "Tier 1 Critical GIDA (Score ≥ 50.0)", IF(X178&gt;='Methodology &amp; Assumptions'!$B$8, "Tier 2 High GIDA (Score 40.0–49.9)", "Tier 3 Moderate GIDA (Score &lt; 40.0)"))</f>
        <v/>
      </c>
      <c r="V178" s="26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W178" s="28" t="n">
        <v>0.011</v>
      </c>
      <c r="X178" s="14" t="n">
        <v>47.77</v>
      </c>
      <c r="Y178" s="14">
        <f>ROUND(MIN(100, (X178/69.91)*100), 2)</f>
        <v/>
      </c>
    </row>
    <row r="179">
      <c r="A179" s="10" t="n">
        <v>4</v>
      </c>
      <c r="B179" s="10" t="n">
        <v>175</v>
      </c>
      <c r="C179" s="10" t="n">
        <v>3175</v>
      </c>
      <c r="D179" s="10" t="inlineStr">
        <is>
          <t>0402106067</t>
        </is>
      </c>
      <c r="E179" s="26" t="inlineStr">
        <is>
          <t>Region IV-A (CALABARZON)</t>
        </is>
      </c>
      <c r="F179" s="26" t="inlineStr">
        <is>
          <t>Cavite</t>
        </is>
      </c>
      <c r="G179" s="26" t="inlineStr">
        <is>
          <t>City of Dasmariñas</t>
        </is>
      </c>
      <c r="H179" s="26" t="inlineStr">
        <is>
          <t>San Andres II</t>
        </is>
      </c>
      <c r="I179" s="27" t="n">
        <v>14.333627</v>
      </c>
      <c r="J179" s="27" t="n">
        <v>120.977199</v>
      </c>
      <c r="K179" s="10" t="inlineStr">
        <is>
          <t>R</t>
        </is>
      </c>
      <c r="L179" s="12" t="n">
        <v>3585</v>
      </c>
      <c r="M179" s="14" t="n">
        <v>3.4</v>
      </c>
      <c r="N179" s="12">
        <f>ROUND(L179/M179, 0)</f>
        <v/>
      </c>
      <c r="O179" s="12">
        <f>ROUND(N179*'Methodology &amp; Assumptions'!$B$5, 0)</f>
        <v/>
      </c>
      <c r="P179" s="10" t="inlineStr">
        <is>
          <t>Single Carrier (Band n50, 100MHz TDD)</t>
        </is>
      </c>
      <c r="Q179" s="13">
        <f>ROUNDUP(O179/'Methodology &amp; Assumptions'!$B$6, 0)</f>
        <v/>
      </c>
      <c r="R179" s="13" t="n">
        <v>1</v>
      </c>
      <c r="S179" s="14" t="n">
        <v>1.61</v>
      </c>
      <c r="T179" s="14" t="n">
        <v>4.1</v>
      </c>
      <c r="U179" s="26">
        <f>IF(X179&gt;='Methodology &amp; Assumptions'!$B$7, "Tier 1 Critical GIDA (Score ≥ 50.0)", IF(X179&gt;='Methodology &amp; Assumptions'!$B$8, "Tier 2 High GIDA (Score 40.0–49.9)", "Tier 3 Moderate GIDA (Score &lt; 40.0)"))</f>
        <v/>
      </c>
      <c r="V179" s="26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W179" s="28" t="n">
        <v>0.07200000000000001</v>
      </c>
      <c r="X179" s="14" t="n">
        <v>47.76</v>
      </c>
      <c r="Y179" s="14">
        <f>ROUND(MIN(100, (X179/69.91)*100), 2)</f>
        <v/>
      </c>
    </row>
    <row r="180">
      <c r="A180" s="10" t="n">
        <v>4</v>
      </c>
      <c r="B180" s="10" t="n">
        <v>176</v>
      </c>
      <c r="C180" s="10" t="n">
        <v>3176</v>
      </c>
      <c r="D180" s="10" t="inlineStr">
        <is>
          <t>PH0003176</t>
        </is>
      </c>
      <c r="E180" s="26" t="inlineStr">
        <is>
          <t>NCR</t>
        </is>
      </c>
      <c r="F180" s="26" t="inlineStr">
        <is>
          <t>Metro Manila</t>
        </is>
      </c>
      <c r="G180" s="26" t="inlineStr">
        <is>
          <t>Caloocan City</t>
        </is>
      </c>
      <c r="H180" s="26" t="inlineStr">
        <is>
          <t>Barangay 100</t>
        </is>
      </c>
      <c r="I180" s="27" t="n">
        <v>11.378313</v>
      </c>
      <c r="J180" s="27" t="n">
        <v>121.908744</v>
      </c>
      <c r="K180" s="10" t="inlineStr">
        <is>
          <t>R</t>
        </is>
      </c>
      <c r="L180" s="12" t="n">
        <v>2279</v>
      </c>
      <c r="M180" s="14" t="n">
        <v>3.8</v>
      </c>
      <c r="N180" s="12">
        <f>ROUND(L180/M180, 0)</f>
        <v/>
      </c>
      <c r="O180" s="12">
        <f>ROUND(N180*'Methodology &amp; Assumptions'!$B$5, 0)</f>
        <v/>
      </c>
      <c r="P180" s="10" t="inlineStr">
        <is>
          <t>Single Carrier (Band n50, 100MHz TDD)</t>
        </is>
      </c>
      <c r="Q180" s="13">
        <f>ROUNDUP(O180/'Methodology &amp; Assumptions'!$B$6, 0)</f>
        <v/>
      </c>
      <c r="R180" s="13" t="n">
        <v>1</v>
      </c>
      <c r="S180" s="14" t="n">
        <v>50.28</v>
      </c>
      <c r="T180" s="14" t="n">
        <v>52.65</v>
      </c>
      <c r="U180" s="26">
        <f>IF(X180&gt;='Methodology &amp; Assumptions'!$B$7, "Tier 1 Critical GIDA (Score ≥ 50.0)", IF(X180&gt;='Methodology &amp; Assumptions'!$B$8, "Tier 2 High GIDA (Score 40.0–49.9)", "Tier 3 Moderate GIDA (Score &lt; 40.0)"))</f>
        <v/>
      </c>
      <c r="V180" s="26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W180" s="28" t="n">
        <v>0.011</v>
      </c>
      <c r="X180" s="14" t="n">
        <v>47.76</v>
      </c>
      <c r="Y180" s="14">
        <f>ROUND(MIN(100, (X180/69.91)*100), 2)</f>
        <v/>
      </c>
    </row>
    <row r="181">
      <c r="A181" s="10" t="n">
        <v>4</v>
      </c>
      <c r="B181" s="10" t="n">
        <v>177</v>
      </c>
      <c r="C181" s="10" t="n">
        <v>3177</v>
      </c>
      <c r="D181" s="10" t="inlineStr">
        <is>
          <t>1380614017</t>
        </is>
      </c>
      <c r="E181" s="26" t="inlineStr">
        <is>
          <t>National Capital Region (NCR)</t>
        </is>
      </c>
      <c r="F181" s="26" t="inlineStr">
        <is>
          <t>First District (Not a Province)</t>
        </is>
      </c>
      <c r="G181" s="26" t="inlineStr">
        <is>
          <t>City of Manila</t>
        </is>
      </c>
      <c r="H181" s="26" t="inlineStr">
        <is>
          <t>Barangay 761</t>
        </is>
      </c>
      <c r="I181" s="27" t="n">
        <v>11.679074</v>
      </c>
      <c r="J181" s="27" t="n">
        <v>121.32573</v>
      </c>
      <c r="K181" s="10" t="inlineStr">
        <is>
          <t>U</t>
        </is>
      </c>
      <c r="L181" s="12" t="n">
        <v>1094</v>
      </c>
      <c r="M181" s="14" t="n">
        <v>3.9</v>
      </c>
      <c r="N181" s="12">
        <f>ROUND(L181/M181, 0)</f>
        <v/>
      </c>
      <c r="O181" s="12">
        <f>ROUND(N181*'Methodology &amp; Assumptions'!$B$5, 0)</f>
        <v/>
      </c>
      <c r="P181" s="10" t="inlineStr">
        <is>
          <t>Single Carrier (Band n50, 100MHz TDD)</t>
        </is>
      </c>
      <c r="Q181" s="13">
        <f>ROUNDUP(O181/'Methodology &amp; Assumptions'!$B$6, 0)</f>
        <v/>
      </c>
      <c r="R181" s="13" t="n">
        <v>1</v>
      </c>
      <c r="S181" s="14" t="n">
        <v>72.5</v>
      </c>
      <c r="T181" s="14" t="n">
        <v>67.27</v>
      </c>
      <c r="U181" s="26">
        <f>IF(X181&gt;='Methodology &amp; Assumptions'!$B$7, "Tier 1 Critical GIDA (Score ≥ 50.0)", IF(X181&gt;='Methodology &amp; Assumptions'!$B$8, "Tier 2 High GIDA (Score 40.0–49.9)", "Tier 3 Moderate GIDA (Score &lt; 40.0)"))</f>
        <v/>
      </c>
      <c r="V181" s="26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W181" s="28" t="n">
        <v>0.109</v>
      </c>
      <c r="X181" s="14" t="n">
        <v>47.76</v>
      </c>
      <c r="Y181" s="14">
        <f>ROUND(MIN(100, (X181/69.91)*100), 2)</f>
        <v/>
      </c>
    </row>
    <row r="182">
      <c r="A182" s="10" t="n">
        <v>4</v>
      </c>
      <c r="B182" s="10" t="n">
        <v>178</v>
      </c>
      <c r="C182" s="10" t="n">
        <v>3178</v>
      </c>
      <c r="D182" s="10" t="inlineStr">
        <is>
          <t>1380614041</t>
        </is>
      </c>
      <c r="E182" s="26" t="inlineStr">
        <is>
          <t>National Capital Region (NCR)</t>
        </is>
      </c>
      <c r="F182" s="26" t="inlineStr">
        <is>
          <t>First District (Not a Province)</t>
        </is>
      </c>
      <c r="G182" s="26" t="inlineStr">
        <is>
          <t>City of Manila</t>
        </is>
      </c>
      <c r="H182" s="26" t="inlineStr">
        <is>
          <t>Barangay 785</t>
        </is>
      </c>
      <c r="I182" s="27" t="n">
        <v>14.061369</v>
      </c>
      <c r="J182" s="27" t="n">
        <v>121.271904</v>
      </c>
      <c r="K182" s="10" t="inlineStr">
        <is>
          <t>U</t>
        </is>
      </c>
      <c r="L182" s="12" t="n">
        <v>960</v>
      </c>
      <c r="M182" s="14" t="n">
        <v>3.9</v>
      </c>
      <c r="N182" s="12">
        <f>ROUND(L182/M182, 0)</f>
        <v/>
      </c>
      <c r="O182" s="12">
        <f>ROUND(N182*'Methodology &amp; Assumptions'!$B$5, 0)</f>
        <v/>
      </c>
      <c r="P182" s="10" t="inlineStr">
        <is>
          <t>Single Carrier (Band n50, 100MHz TDD)</t>
        </is>
      </c>
      <c r="Q182" s="13">
        <f>ROUNDUP(O182/'Methodology &amp; Assumptions'!$B$6, 0)</f>
        <v/>
      </c>
      <c r="R182" s="13" t="n">
        <v>1</v>
      </c>
      <c r="S182" s="14" t="n">
        <v>5.28</v>
      </c>
      <c r="T182" s="14" t="n">
        <v>0.07000000000000001</v>
      </c>
      <c r="U182" s="26">
        <f>IF(X182&gt;='Methodology &amp; Assumptions'!$B$7, "Tier 1 Critical GIDA (Score ≥ 50.0)", IF(X182&gt;='Methodology &amp; Assumptions'!$B$8, "Tier 2 High GIDA (Score 40.0–49.9)", "Tier 3 Moderate GIDA (Score &lt; 40.0)"))</f>
        <v/>
      </c>
      <c r="V182" s="26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W182" s="28" t="n">
        <v>0.109</v>
      </c>
      <c r="X182" s="14" t="n">
        <v>47.75</v>
      </c>
      <c r="Y182" s="14">
        <f>ROUND(MIN(100, (X182/69.91)*100), 2)</f>
        <v/>
      </c>
    </row>
    <row r="183">
      <c r="A183" s="10" t="n">
        <v>4</v>
      </c>
      <c r="B183" s="10" t="n">
        <v>179</v>
      </c>
      <c r="C183" s="10" t="n">
        <v>3179</v>
      </c>
      <c r="D183" s="10" t="inlineStr">
        <is>
          <t>1380601237</t>
        </is>
      </c>
      <c r="E183" s="26" t="inlineStr">
        <is>
          <t>National Capital Region (NCR)</t>
        </is>
      </c>
      <c r="F183" s="26" t="inlineStr">
        <is>
          <t>First District (Not a Province)</t>
        </is>
      </c>
      <c r="G183" s="26" t="inlineStr">
        <is>
          <t>City of Manila</t>
        </is>
      </c>
      <c r="H183" s="26" t="inlineStr">
        <is>
          <t>Barangay 236</t>
        </is>
      </c>
      <c r="I183" s="27" t="n">
        <v>12.338589</v>
      </c>
      <c r="J183" s="27" t="n">
        <v>122.964366</v>
      </c>
      <c r="K183" s="10" t="inlineStr">
        <is>
          <t>U</t>
        </is>
      </c>
      <c r="L183" s="12" t="n">
        <v>825</v>
      </c>
      <c r="M183" s="14" t="n">
        <v>3.9</v>
      </c>
      <c r="N183" s="12">
        <f>ROUND(L183/M183, 0)</f>
        <v/>
      </c>
      <c r="O183" s="12">
        <f>ROUND(N183*'Methodology &amp; Assumptions'!$B$5, 0)</f>
        <v/>
      </c>
      <c r="P183" s="10" t="inlineStr">
        <is>
          <t>Single Carrier (Band n50, 100MHz TDD)</t>
        </is>
      </c>
      <c r="Q183" s="13">
        <f>ROUNDUP(O183/'Methodology &amp; Assumptions'!$B$6, 0)</f>
        <v/>
      </c>
      <c r="R183" s="13" t="n">
        <v>1</v>
      </c>
      <c r="S183" s="14" t="n">
        <v>38.62</v>
      </c>
      <c r="T183" s="14" t="n">
        <v>54.85</v>
      </c>
      <c r="U183" s="26">
        <f>IF(X183&gt;='Methodology &amp; Assumptions'!$B$7, "Tier 1 Critical GIDA (Score ≥ 50.0)", IF(X183&gt;='Methodology &amp; Assumptions'!$B$8, "Tier 2 High GIDA (Score 40.0–49.9)", "Tier 3 Moderate GIDA (Score &lt; 40.0)"))</f>
        <v/>
      </c>
      <c r="V183" s="26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W183" s="28" t="n">
        <v>0.109</v>
      </c>
      <c r="X183" s="14" t="n">
        <v>47.75</v>
      </c>
      <c r="Y183" s="14">
        <f>ROUND(MIN(100, (X183/69.91)*100), 2)</f>
        <v/>
      </c>
    </row>
    <row r="184">
      <c r="A184" s="10" t="n">
        <v>4</v>
      </c>
      <c r="B184" s="10" t="n">
        <v>180</v>
      </c>
      <c r="C184" s="10" t="n">
        <v>3180</v>
      </c>
      <c r="D184" s="10" t="inlineStr">
        <is>
          <t>1380610013</t>
        </is>
      </c>
      <c r="E184" s="26" t="inlineStr">
        <is>
          <t>National Capital Region (NCR)</t>
        </is>
      </c>
      <c r="F184" s="26" t="inlineStr">
        <is>
          <t>First District (Not a Province)</t>
        </is>
      </c>
      <c r="G184" s="26" t="inlineStr">
        <is>
          <t>City of Manila</t>
        </is>
      </c>
      <c r="H184" s="26" t="inlineStr">
        <is>
          <t>Barangay 698</t>
        </is>
      </c>
      <c r="I184" s="27" t="n">
        <v>12.494277</v>
      </c>
      <c r="J184" s="27" t="n">
        <v>120.520045</v>
      </c>
      <c r="K184" s="10" t="inlineStr">
        <is>
          <t>U</t>
        </is>
      </c>
      <c r="L184" s="12" t="n">
        <v>1789</v>
      </c>
      <c r="M184" s="14" t="n">
        <v>3.9</v>
      </c>
      <c r="N184" s="12">
        <f>ROUND(L184/M184, 0)</f>
        <v/>
      </c>
      <c r="O184" s="12">
        <f>ROUND(N184*'Methodology &amp; Assumptions'!$B$5, 0)</f>
        <v/>
      </c>
      <c r="P184" s="10" t="inlineStr">
        <is>
          <t>Single Carrier (Band n50, 100MHz TDD)</t>
        </is>
      </c>
      <c r="Q184" s="13">
        <f>ROUNDUP(O184/'Methodology &amp; Assumptions'!$B$6, 0)</f>
        <v/>
      </c>
      <c r="R184" s="13" t="n">
        <v>1</v>
      </c>
      <c r="S184" s="14" t="n">
        <v>61.25</v>
      </c>
      <c r="T184" s="14" t="n">
        <v>60.08</v>
      </c>
      <c r="U184" s="26">
        <f>IF(X184&gt;='Methodology &amp; Assumptions'!$B$7, "Tier 1 Critical GIDA (Score ≥ 50.0)", IF(X184&gt;='Methodology &amp; Assumptions'!$B$8, "Tier 2 High GIDA (Score 40.0–49.9)", "Tier 3 Moderate GIDA (Score &lt; 40.0)"))</f>
        <v/>
      </c>
      <c r="V184" s="26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W184" s="28" t="n">
        <v>0.109</v>
      </c>
      <c r="X184" s="14" t="n">
        <v>47.75</v>
      </c>
      <c r="Y184" s="14">
        <f>ROUND(MIN(100, (X184/69.91)*100), 2)</f>
        <v/>
      </c>
    </row>
    <row r="185">
      <c r="A185" s="10" t="n">
        <v>4</v>
      </c>
      <c r="B185" s="10" t="n">
        <v>181</v>
      </c>
      <c r="C185" s="10" t="n">
        <v>3181</v>
      </c>
      <c r="D185" s="10" t="inlineStr">
        <is>
          <t>1380614005</t>
        </is>
      </c>
      <c r="E185" s="26" t="inlineStr">
        <is>
          <t>National Capital Region (NCR)</t>
        </is>
      </c>
      <c r="F185" s="26" t="inlineStr">
        <is>
          <t>First District (Not a Province)</t>
        </is>
      </c>
      <c r="G185" s="26" t="inlineStr">
        <is>
          <t>City of Manila</t>
        </is>
      </c>
      <c r="H185" s="26" t="inlineStr">
        <is>
          <t>Barangay 748</t>
        </is>
      </c>
      <c r="I185" s="27" t="n">
        <v>13.990878</v>
      </c>
      <c r="J185" s="27" t="n">
        <v>122.432097</v>
      </c>
      <c r="K185" s="10" t="inlineStr">
        <is>
          <t>U</t>
        </is>
      </c>
      <c r="L185" s="12" t="n">
        <v>837</v>
      </c>
      <c r="M185" s="14" t="n">
        <v>3.9</v>
      </c>
      <c r="N185" s="12">
        <f>ROUND(L185/M185, 0)</f>
        <v/>
      </c>
      <c r="O185" s="12">
        <f>ROUND(N185*'Methodology &amp; Assumptions'!$B$5, 0)</f>
        <v/>
      </c>
      <c r="P185" s="10" t="inlineStr">
        <is>
          <t>Single Carrier (Band n50, 100MHz TDD)</t>
        </is>
      </c>
      <c r="Q185" s="13">
        <f>ROUNDUP(O185/'Methodology &amp; Assumptions'!$B$6, 0)</f>
        <v/>
      </c>
      <c r="R185" s="13" t="n">
        <v>1</v>
      </c>
      <c r="S185" s="14" t="n">
        <v>4.61</v>
      </c>
      <c r="T185" s="14" t="n">
        <v>4.51</v>
      </c>
      <c r="U185" s="26">
        <f>IF(X185&gt;='Methodology &amp; Assumptions'!$B$7, "Tier 1 Critical GIDA (Score ≥ 50.0)", IF(X185&gt;='Methodology &amp; Assumptions'!$B$8, "Tier 2 High GIDA (Score 40.0–49.9)", "Tier 3 Moderate GIDA (Score &lt; 40.0)"))</f>
        <v/>
      </c>
      <c r="V185" s="26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W185" s="28" t="n">
        <v>0.109</v>
      </c>
      <c r="X185" s="14" t="n">
        <v>47.75</v>
      </c>
      <c r="Y185" s="14">
        <f>ROUND(MIN(100, (X185/69.91)*100), 2)</f>
        <v/>
      </c>
    </row>
    <row r="186">
      <c r="A186" s="10" t="n">
        <v>4</v>
      </c>
      <c r="B186" s="10" t="n">
        <v>182</v>
      </c>
      <c r="C186" s="10" t="n">
        <v>3182</v>
      </c>
      <c r="D186" s="10" t="inlineStr">
        <is>
          <t>PH0003182</t>
        </is>
      </c>
      <c r="E186" s="26" t="inlineStr">
        <is>
          <t>CAR</t>
        </is>
      </c>
      <c r="F186" s="26" t="inlineStr">
        <is>
          <t>Benguet</t>
        </is>
      </c>
      <c r="G186" s="26" t="inlineStr">
        <is>
          <t>Baguio City</t>
        </is>
      </c>
      <c r="H186" s="26" t="inlineStr">
        <is>
          <t>MRR-Queen Of Peace</t>
        </is>
      </c>
      <c r="I186" s="27" t="n">
        <v>16.392789</v>
      </c>
      <c r="J186" s="27" t="n">
        <v>120.553655</v>
      </c>
      <c r="K186" s="10" t="inlineStr">
        <is>
          <t>R</t>
        </is>
      </c>
      <c r="L186" s="12" t="n">
        <v>2260</v>
      </c>
      <c r="M186" s="14" t="n">
        <v>3.5</v>
      </c>
      <c r="N186" s="12">
        <f>ROUND(L186/M186, 0)</f>
        <v/>
      </c>
      <c r="O186" s="12">
        <f>ROUND(N186*'Methodology &amp; Assumptions'!$B$5, 0)</f>
        <v/>
      </c>
      <c r="P186" s="10" t="inlineStr">
        <is>
          <t>Single Carrier (Band n50, 100MHz TDD)</t>
        </is>
      </c>
      <c r="Q186" s="13">
        <f>ROUNDUP(O186/'Methodology &amp; Assumptions'!$B$6, 0)</f>
        <v/>
      </c>
      <c r="R186" s="13" t="n">
        <v>1</v>
      </c>
      <c r="S186" s="14" t="n">
        <v>1.86</v>
      </c>
      <c r="T186" s="14" t="n">
        <v>0.97</v>
      </c>
      <c r="U186" s="26">
        <f>IF(X186&gt;='Methodology &amp; Assumptions'!$B$7, "Tier 1 Critical GIDA (Score ≥ 50.0)", IF(X186&gt;='Methodology &amp; Assumptions'!$B$8, "Tier 2 High GIDA (Score 40.0–49.9)", "Tier 3 Moderate GIDA (Score &lt; 40.0)"))</f>
        <v/>
      </c>
      <c r="V186" s="26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W186" s="28" t="n">
        <v>0.221</v>
      </c>
      <c r="X186" s="14" t="n">
        <v>47.74</v>
      </c>
      <c r="Y186" s="14">
        <f>ROUND(MIN(100, (X186/69.91)*100), 2)</f>
        <v/>
      </c>
    </row>
    <row r="187">
      <c r="A187" s="10" t="n">
        <v>4</v>
      </c>
      <c r="B187" s="10" t="n">
        <v>183</v>
      </c>
      <c r="C187" s="10" t="n">
        <v>3183</v>
      </c>
      <c r="D187" s="10" t="inlineStr">
        <is>
          <t>PH0003183</t>
        </is>
      </c>
      <c r="E187" s="26" t="inlineStr">
        <is>
          <t>NCR</t>
        </is>
      </c>
      <c r="F187" s="26" t="inlineStr">
        <is>
          <t>Metro Manila</t>
        </is>
      </c>
      <c r="G187" s="26" t="inlineStr">
        <is>
          <t>Caloocan City</t>
        </is>
      </c>
      <c r="H187" s="26" t="inlineStr">
        <is>
          <t>Barangay 89</t>
        </is>
      </c>
      <c r="I187" s="27" t="n">
        <v>13.898808</v>
      </c>
      <c r="J187" s="27" t="n">
        <v>120.633134</v>
      </c>
      <c r="K187" s="10" t="inlineStr">
        <is>
          <t>R</t>
        </is>
      </c>
      <c r="L187" s="12" t="n">
        <v>2279</v>
      </c>
      <c r="M187" s="14" t="n">
        <v>3.8</v>
      </c>
      <c r="N187" s="12">
        <f>ROUND(L187/M187, 0)</f>
        <v/>
      </c>
      <c r="O187" s="12">
        <f>ROUND(N187*'Methodology &amp; Assumptions'!$B$5, 0)</f>
        <v/>
      </c>
      <c r="P187" s="10" t="inlineStr">
        <is>
          <t>Single Carrier (Band n50, 100MHz TDD)</t>
        </is>
      </c>
      <c r="Q187" s="13">
        <f>ROUNDUP(O187/'Methodology &amp; Assumptions'!$B$6, 0)</f>
        <v/>
      </c>
      <c r="R187" s="13" t="n">
        <v>1</v>
      </c>
      <c r="S187" s="14" t="n">
        <v>4.45</v>
      </c>
      <c r="T187" s="14" t="n">
        <v>0.33</v>
      </c>
      <c r="U187" s="26">
        <f>IF(X187&gt;='Methodology &amp; Assumptions'!$B$7, "Tier 1 Critical GIDA (Score ≥ 50.0)", IF(X187&gt;='Methodology &amp; Assumptions'!$B$8, "Tier 2 High GIDA (Score 40.0–49.9)", "Tier 3 Moderate GIDA (Score &lt; 40.0)"))</f>
        <v/>
      </c>
      <c r="V187" s="26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W187" s="28" t="n">
        <v>0.011</v>
      </c>
      <c r="X187" s="14" t="n">
        <v>47.74</v>
      </c>
      <c r="Y187" s="14">
        <f>ROUND(MIN(100, (X187/69.91)*100), 2)</f>
        <v/>
      </c>
    </row>
    <row r="188">
      <c r="A188" s="10" t="n">
        <v>4</v>
      </c>
      <c r="B188" s="10" t="n">
        <v>184</v>
      </c>
      <c r="C188" s="10" t="n">
        <v>3184</v>
      </c>
      <c r="D188" s="10" t="inlineStr">
        <is>
          <t>PH0003184</t>
        </is>
      </c>
      <c r="E188" s="26" t="inlineStr">
        <is>
          <t>III</t>
        </is>
      </c>
      <c r="F188" s="26" t="inlineStr">
        <is>
          <t>Nueva Ecija</t>
        </is>
      </c>
      <c r="G188" s="26" t="inlineStr">
        <is>
          <t>Cabanatuan City</t>
        </is>
      </c>
      <c r="H188" s="26" t="inlineStr">
        <is>
          <t>Villa Ofelia-Caridad</t>
        </is>
      </c>
      <c r="I188" s="27" t="n">
        <v>15.479501</v>
      </c>
      <c r="J188" s="27" t="n">
        <v>120.968297</v>
      </c>
      <c r="K188" s="10" t="inlineStr">
        <is>
          <t>R</t>
        </is>
      </c>
      <c r="L188" s="12" t="n">
        <v>2398</v>
      </c>
      <c r="M188" s="14" t="n">
        <v>3.5</v>
      </c>
      <c r="N188" s="12">
        <f>ROUND(L188/M188, 0)</f>
        <v/>
      </c>
      <c r="O188" s="12">
        <f>ROUND(N188*'Methodology &amp; Assumptions'!$B$5, 0)</f>
        <v/>
      </c>
      <c r="P188" s="10" t="inlineStr">
        <is>
          <t>Single Carrier (Band n50, 100MHz TDD)</t>
        </is>
      </c>
      <c r="Q188" s="13">
        <f>ROUNDUP(O188/'Methodology &amp; Assumptions'!$B$6, 0)</f>
        <v/>
      </c>
      <c r="R188" s="13" t="n">
        <v>1</v>
      </c>
      <c r="S188" s="14" t="n">
        <v>0.8</v>
      </c>
      <c r="T188" s="14" t="n">
        <v>0.52</v>
      </c>
      <c r="U188" s="26">
        <f>IF(X188&gt;='Methodology &amp; Assumptions'!$B$7, "Tier 1 Critical GIDA (Score ≥ 50.0)", IF(X188&gt;='Methodology &amp; Assumptions'!$B$8, "Tier 2 High GIDA (Score 40.0–49.9)", "Tier 3 Moderate GIDA (Score &lt; 40.0)"))</f>
        <v/>
      </c>
      <c r="V188" s="26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W188" s="28" t="n">
        <v>0.083</v>
      </c>
      <c r="X188" s="14" t="n">
        <v>47.73</v>
      </c>
      <c r="Y188" s="14">
        <f>ROUND(MIN(100, (X188/69.91)*100), 2)</f>
        <v/>
      </c>
    </row>
    <row r="189">
      <c r="A189" s="10" t="n">
        <v>4</v>
      </c>
      <c r="B189" s="10" t="n">
        <v>185</v>
      </c>
      <c r="C189" s="10" t="n">
        <v>3185</v>
      </c>
      <c r="D189" s="10" t="inlineStr">
        <is>
          <t>1380601243</t>
        </is>
      </c>
      <c r="E189" s="26" t="inlineStr">
        <is>
          <t>National Capital Region (NCR)</t>
        </is>
      </c>
      <c r="F189" s="26" t="inlineStr">
        <is>
          <t>First District (Not a Province)</t>
        </is>
      </c>
      <c r="G189" s="26" t="inlineStr">
        <is>
          <t>City of Manila</t>
        </is>
      </c>
      <c r="H189" s="26" t="inlineStr">
        <is>
          <t>Barangay 242</t>
        </is>
      </c>
      <c r="I189" s="27" t="n">
        <v>11.625718</v>
      </c>
      <c r="J189" s="27" t="n">
        <v>122.059176</v>
      </c>
      <c r="K189" s="10" t="inlineStr">
        <is>
          <t>U</t>
        </is>
      </c>
      <c r="L189" s="12" t="n">
        <v>462</v>
      </c>
      <c r="M189" s="14" t="n">
        <v>3.9</v>
      </c>
      <c r="N189" s="12">
        <f>ROUND(L189/M189, 0)</f>
        <v/>
      </c>
      <c r="O189" s="12">
        <f>ROUND(N189*'Methodology &amp; Assumptions'!$B$5, 0)</f>
        <v/>
      </c>
      <c r="P189" s="10" t="inlineStr">
        <is>
          <t>Single Carrier (Band n50, 100MHz TDD)</t>
        </is>
      </c>
      <c r="Q189" s="13">
        <f>ROUNDUP(O189/'Methodology &amp; Assumptions'!$B$6, 0)</f>
        <v/>
      </c>
      <c r="R189" s="13" t="n">
        <v>1</v>
      </c>
      <c r="S189" s="14" t="n">
        <v>25.89</v>
      </c>
      <c r="T189" s="14" t="n">
        <v>21.44</v>
      </c>
      <c r="U189" s="26">
        <f>IF(X189&gt;='Methodology &amp; Assumptions'!$B$7, "Tier 1 Critical GIDA (Score ≥ 50.0)", IF(X189&gt;='Methodology &amp; Assumptions'!$B$8, "Tier 2 High GIDA (Score 40.0–49.9)", "Tier 3 Moderate GIDA (Score &lt; 40.0)"))</f>
        <v/>
      </c>
      <c r="V189" s="26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W189" s="28" t="n">
        <v>0.109</v>
      </c>
      <c r="X189" s="14" t="n">
        <v>47.73</v>
      </c>
      <c r="Y189" s="14">
        <f>ROUND(MIN(100, (X189/69.91)*100), 2)</f>
        <v/>
      </c>
    </row>
    <row r="190">
      <c r="A190" s="10" t="n">
        <v>4</v>
      </c>
      <c r="B190" s="10" t="n">
        <v>186</v>
      </c>
      <c r="C190" s="10" t="n">
        <v>3186</v>
      </c>
      <c r="D190" s="10" t="inlineStr">
        <is>
          <t>1380605061</t>
        </is>
      </c>
      <c r="E190" s="26" t="inlineStr">
        <is>
          <t>National Capital Region (NCR)</t>
        </is>
      </c>
      <c r="F190" s="26" t="inlineStr">
        <is>
          <t>First District (Not a Province)</t>
        </is>
      </c>
      <c r="G190" s="26" t="inlineStr">
        <is>
          <t>City of Manila</t>
        </is>
      </c>
      <c r="H190" s="26" t="inlineStr">
        <is>
          <t>Barangay 359</t>
        </is>
      </c>
      <c r="I190" s="27" t="n">
        <v>13.617192</v>
      </c>
      <c r="J190" s="27" t="n">
        <v>120.69357</v>
      </c>
      <c r="K190" s="10" t="inlineStr">
        <is>
          <t>U</t>
        </is>
      </c>
      <c r="L190" s="12" t="n">
        <v>422</v>
      </c>
      <c r="M190" s="14" t="n">
        <v>3.9</v>
      </c>
      <c r="N190" s="12">
        <f>ROUND(L190/M190, 0)</f>
        <v/>
      </c>
      <c r="O190" s="12">
        <f>ROUND(N190*'Methodology &amp; Assumptions'!$B$5, 0)</f>
        <v/>
      </c>
      <c r="P190" s="10" t="inlineStr">
        <is>
          <t>Single Carrier (Band n50, 100MHz TDD)</t>
        </is>
      </c>
      <c r="Q190" s="13">
        <f>ROUNDUP(O190/'Methodology &amp; Assumptions'!$B$6, 0)</f>
        <v/>
      </c>
      <c r="R190" s="13" t="n">
        <v>1</v>
      </c>
      <c r="S190" s="14" t="n">
        <v>23.14</v>
      </c>
      <c r="T190" s="14" t="n">
        <v>24.46</v>
      </c>
      <c r="U190" s="26">
        <f>IF(X190&gt;='Methodology &amp; Assumptions'!$B$7, "Tier 1 Critical GIDA (Score ≥ 50.0)", IF(X190&gt;='Methodology &amp; Assumptions'!$B$8, "Tier 2 High GIDA (Score 40.0–49.9)", "Tier 3 Moderate GIDA (Score &lt; 40.0)"))</f>
        <v/>
      </c>
      <c r="V190" s="26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W190" s="28" t="n">
        <v>0.109</v>
      </c>
      <c r="X190" s="14" t="n">
        <v>47.73</v>
      </c>
      <c r="Y190" s="14">
        <f>ROUND(MIN(100, (X190/69.91)*100), 2)</f>
        <v/>
      </c>
    </row>
    <row r="191">
      <c r="A191" s="10" t="n">
        <v>4</v>
      </c>
      <c r="B191" s="10" t="n">
        <v>187</v>
      </c>
      <c r="C191" s="10" t="n">
        <v>3187</v>
      </c>
      <c r="D191" s="10" t="inlineStr">
        <is>
          <t>PH0003187</t>
        </is>
      </c>
      <c r="E191" s="26" t="inlineStr">
        <is>
          <t>IV-A</t>
        </is>
      </c>
      <c r="F191" s="26" t="inlineStr">
        <is>
          <t>Laguna</t>
        </is>
      </c>
      <c r="G191" s="26" t="inlineStr">
        <is>
          <t>San Pablo City</t>
        </is>
      </c>
      <c r="H191" s="26" t="inlineStr">
        <is>
          <t>Barangay VI-A (Pob.)</t>
        </is>
      </c>
      <c r="I191" s="27" t="n">
        <v>14.071835</v>
      </c>
      <c r="J191" s="27" t="n">
        <v>121.323336</v>
      </c>
      <c r="K191" s="10" t="inlineStr">
        <is>
          <t>R</t>
        </is>
      </c>
      <c r="L191" s="12" t="n">
        <v>2412</v>
      </c>
      <c r="M191" s="14" t="n">
        <v>3.3</v>
      </c>
      <c r="N191" s="12">
        <f>ROUND(L191/M191, 0)</f>
        <v/>
      </c>
      <c r="O191" s="12">
        <f>ROUND(N191*'Methodology &amp; Assumptions'!$B$5, 0)</f>
        <v/>
      </c>
      <c r="P191" s="10" t="inlineStr">
        <is>
          <t>Single Carrier (Band n50, 100MHz TDD)</t>
        </is>
      </c>
      <c r="Q191" s="13">
        <f>ROUNDUP(O191/'Methodology &amp; Assumptions'!$B$6, 0)</f>
        <v/>
      </c>
      <c r="R191" s="13" t="n">
        <v>1</v>
      </c>
      <c r="S191" s="14" t="n">
        <v>1.27</v>
      </c>
      <c r="T191" s="14" t="n">
        <v>0.18</v>
      </c>
      <c r="U191" s="26">
        <f>IF(X191&gt;='Methodology &amp; Assumptions'!$B$7, "Tier 1 Critical GIDA (Score ≥ 50.0)", IF(X191&gt;='Methodology &amp; Assumptions'!$B$8, "Tier 2 High GIDA (Score 40.0–49.9)", "Tier 3 Moderate GIDA (Score &lt; 40.0)"))</f>
        <v/>
      </c>
      <c r="V191" s="26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W191" s="28" t="n">
        <v>0.07200000000000001</v>
      </c>
      <c r="X191" s="14" t="n">
        <v>47.72</v>
      </c>
      <c r="Y191" s="14">
        <f>ROUND(MIN(100, (X191/69.91)*100), 2)</f>
        <v/>
      </c>
    </row>
    <row r="192">
      <c r="A192" s="10" t="n">
        <v>4</v>
      </c>
      <c r="B192" s="10" t="n">
        <v>188</v>
      </c>
      <c r="C192" s="10" t="n">
        <v>3188</v>
      </c>
      <c r="D192" s="10" t="inlineStr">
        <is>
          <t>1705314008</t>
        </is>
      </c>
      <c r="E192" s="26" t="inlineStr">
        <is>
          <t>MIMAROPA Region</t>
        </is>
      </c>
      <c r="F192" s="26" t="inlineStr">
        <is>
          <t>Palawan</t>
        </is>
      </c>
      <c r="G192" s="26" t="inlineStr">
        <is>
          <t>Magsaysay</t>
        </is>
      </c>
      <c r="H192" s="26" t="inlineStr">
        <is>
          <t>Lacaren</t>
        </is>
      </c>
      <c r="I192" s="27" t="n">
        <v>10.838455</v>
      </c>
      <c r="J192" s="27" t="n">
        <v>121.048185</v>
      </c>
      <c r="K192" s="10" t="inlineStr">
        <is>
          <t>R</t>
        </is>
      </c>
      <c r="L192" s="12" t="n">
        <v>473</v>
      </c>
      <c r="M192" s="14" t="n">
        <v>3.9</v>
      </c>
      <c r="N192" s="12">
        <f>ROUND(L192/M192, 0)</f>
        <v/>
      </c>
      <c r="O192" s="12">
        <f>ROUND(N192*'Methodology &amp; Assumptions'!$B$5, 0)</f>
        <v/>
      </c>
      <c r="P192" s="10" t="inlineStr">
        <is>
          <t>Single Carrier (Band n50, 100MHz TDD)</t>
        </is>
      </c>
      <c r="Q192" s="13">
        <f>ROUNDUP(O192/'Methodology &amp; Assumptions'!$B$6, 0)</f>
        <v/>
      </c>
      <c r="R192" s="13" t="n">
        <v>1</v>
      </c>
      <c r="S192" s="14" t="n">
        <v>97.56</v>
      </c>
      <c r="T192" s="14" t="n">
        <v>97.54000000000001</v>
      </c>
      <c r="U192" s="26">
        <f>IF(X192&gt;='Methodology &amp; Assumptions'!$B$7, "Tier 1 Critical GIDA (Score ≥ 50.0)", IF(X192&gt;='Methodology &amp; Assumptions'!$B$8, "Tier 2 High GIDA (Score 40.0–49.9)", "Tier 3 Moderate GIDA (Score &lt; 40.0)"))</f>
        <v/>
      </c>
      <c r="V192" s="26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W192" s="28" t="n">
        <v>0.15</v>
      </c>
      <c r="X192" s="14" t="n">
        <v>47.72</v>
      </c>
      <c r="Y192" s="14">
        <f>ROUND(MIN(100, (X192/69.91)*100), 2)</f>
        <v/>
      </c>
    </row>
    <row r="193">
      <c r="A193" s="10" t="n">
        <v>4</v>
      </c>
      <c r="B193" s="10" t="n">
        <v>189</v>
      </c>
      <c r="C193" s="10" t="n">
        <v>3189</v>
      </c>
      <c r="D193" s="10" t="inlineStr">
        <is>
          <t>PH0003189</t>
        </is>
      </c>
      <c r="E193" s="26" t="inlineStr">
        <is>
          <t>CAR</t>
        </is>
      </c>
      <c r="F193" s="26" t="inlineStr">
        <is>
          <t>Benguet</t>
        </is>
      </c>
      <c r="G193" s="26" t="inlineStr">
        <is>
          <t>Baguio City</t>
        </is>
      </c>
      <c r="H193" s="26" t="inlineStr">
        <is>
          <t>Balsigan</t>
        </is>
      </c>
      <c r="I193" s="27" t="n">
        <v>16.444855</v>
      </c>
      <c r="J193" s="27" t="n">
        <v>120.614772</v>
      </c>
      <c r="K193" s="10" t="inlineStr">
        <is>
          <t>R</t>
        </is>
      </c>
      <c r="L193" s="12" t="n">
        <v>2260</v>
      </c>
      <c r="M193" s="14" t="n">
        <v>3.5</v>
      </c>
      <c r="N193" s="12">
        <f>ROUND(L193/M193, 0)</f>
        <v/>
      </c>
      <c r="O193" s="12">
        <f>ROUND(N193*'Methodology &amp; Assumptions'!$B$5, 0)</f>
        <v/>
      </c>
      <c r="P193" s="10" t="inlineStr">
        <is>
          <t>Single Carrier (Band n50, 100MHz TDD)</t>
        </is>
      </c>
      <c r="Q193" s="13">
        <f>ROUNDUP(O193/'Methodology &amp; Assumptions'!$B$6, 0)</f>
        <v/>
      </c>
      <c r="R193" s="13" t="n">
        <v>1</v>
      </c>
      <c r="S193" s="14" t="n">
        <v>2.42</v>
      </c>
      <c r="T193" s="14" t="n">
        <v>1.68</v>
      </c>
      <c r="U193" s="26">
        <f>IF(X193&gt;='Methodology &amp; Assumptions'!$B$7, "Tier 1 Critical GIDA (Score ≥ 50.0)", IF(X193&gt;='Methodology &amp; Assumptions'!$B$8, "Tier 2 High GIDA (Score 40.0–49.9)", "Tier 3 Moderate GIDA (Score &lt; 40.0)"))</f>
        <v/>
      </c>
      <c r="V193" s="26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W193" s="28" t="n">
        <v>0.221</v>
      </c>
      <c r="X193" s="14" t="n">
        <v>47.71</v>
      </c>
      <c r="Y193" s="14">
        <f>ROUND(MIN(100, (X193/69.91)*100), 2)</f>
        <v/>
      </c>
    </row>
    <row r="194">
      <c r="A194" s="10" t="n">
        <v>4</v>
      </c>
      <c r="B194" s="10" t="n">
        <v>190</v>
      </c>
      <c r="C194" s="10" t="n">
        <v>3190</v>
      </c>
      <c r="D194" s="10" t="inlineStr">
        <is>
          <t>1403209008</t>
        </is>
      </c>
      <c r="E194" s="26" t="inlineStr">
        <is>
          <t>Cordillera Administrative Region (CAR)</t>
        </is>
      </c>
      <c r="F194" s="26" t="inlineStr">
        <is>
          <t>Kalinga</t>
        </is>
      </c>
      <c r="G194" s="26" t="inlineStr">
        <is>
          <t>Pinukpuk</t>
        </is>
      </c>
      <c r="H194" s="26" t="inlineStr">
        <is>
          <t>Wagud</t>
        </is>
      </c>
      <c r="I194" s="27" t="n">
        <v>17.575997</v>
      </c>
      <c r="J194" s="27" t="n">
        <v>121.34152</v>
      </c>
      <c r="K194" s="10" t="inlineStr">
        <is>
          <t>R</t>
        </is>
      </c>
      <c r="L194" s="12" t="n">
        <v>1057</v>
      </c>
      <c r="M194" s="14" t="n">
        <v>4.3</v>
      </c>
      <c r="N194" s="12">
        <f>ROUND(L194/M194, 0)</f>
        <v/>
      </c>
      <c r="O194" s="12">
        <f>ROUND(N194*'Methodology &amp; Assumptions'!$B$5, 0)</f>
        <v/>
      </c>
      <c r="P194" s="10" t="inlineStr">
        <is>
          <t>Single Carrier (Band n50, 100MHz TDD)</t>
        </is>
      </c>
      <c r="Q194" s="13">
        <f>ROUNDUP(O194/'Methodology &amp; Assumptions'!$B$6, 0)</f>
        <v/>
      </c>
      <c r="R194" s="13" t="n">
        <v>1</v>
      </c>
      <c r="S194" s="14" t="n">
        <v>2.1</v>
      </c>
      <c r="T194" s="14" t="n">
        <v>8.220000000000001</v>
      </c>
      <c r="U194" s="26">
        <f>IF(X194&gt;='Methodology &amp; Assumptions'!$B$7, "Tier 1 Critical GIDA (Score ≥ 50.0)", IF(X194&gt;='Methodology &amp; Assumptions'!$B$8, "Tier 2 High GIDA (Score 40.0–49.9)", "Tier 3 Moderate GIDA (Score &lt; 40.0)"))</f>
        <v/>
      </c>
      <c r="V194" s="26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W194" s="28" t="n">
        <v>0.109</v>
      </c>
      <c r="X194" s="14" t="n">
        <v>47.71</v>
      </c>
      <c r="Y194" s="14">
        <f>ROUND(MIN(100, (X194/69.91)*100), 2)</f>
        <v/>
      </c>
    </row>
    <row r="195">
      <c r="A195" s="10" t="n">
        <v>4</v>
      </c>
      <c r="B195" s="10" t="n">
        <v>191</v>
      </c>
      <c r="C195" s="10" t="n">
        <v>3191</v>
      </c>
      <c r="D195" s="10" t="inlineStr">
        <is>
          <t>1381600015</t>
        </is>
      </c>
      <c r="E195" s="26" t="inlineStr">
        <is>
          <t>National Capital Region (NCR)</t>
        </is>
      </c>
      <c r="F195" s="26" t="inlineStr">
        <is>
          <t>Third District (Not a Province)</t>
        </is>
      </c>
      <c r="G195" s="26" t="inlineStr">
        <is>
          <t>City of Valenzuela</t>
        </is>
      </c>
      <c r="H195" s="26" t="inlineStr">
        <is>
          <t>Mabolo</t>
        </is>
      </c>
      <c r="I195" s="27" t="n">
        <v>14.698534</v>
      </c>
      <c r="J195" s="27" t="n">
        <v>120.976598</v>
      </c>
      <c r="K195" s="10" t="inlineStr">
        <is>
          <t>U</t>
        </is>
      </c>
      <c r="L195" s="12" t="n">
        <v>843</v>
      </c>
      <c r="M195" s="14" t="n">
        <v>3.5</v>
      </c>
      <c r="N195" s="12">
        <f>ROUND(L195/M195, 0)</f>
        <v/>
      </c>
      <c r="O195" s="12">
        <f>ROUND(N195*'Methodology &amp; Assumptions'!$B$5, 0)</f>
        <v/>
      </c>
      <c r="P195" s="10" t="inlineStr">
        <is>
          <t>Single Carrier (Band n50, 100MHz TDD)</t>
        </is>
      </c>
      <c r="Q195" s="13">
        <f>ROUNDUP(O195/'Methodology &amp; Assumptions'!$B$6, 0)</f>
        <v/>
      </c>
      <c r="R195" s="13" t="n">
        <v>1</v>
      </c>
      <c r="S195" s="14" t="n">
        <v>0.42</v>
      </c>
      <c r="T195" s="14" t="n">
        <v>0.05</v>
      </c>
      <c r="U195" s="26">
        <f>IF(X195&gt;='Methodology &amp; Assumptions'!$B$7, "Tier 1 Critical GIDA (Score ≥ 50.0)", IF(X195&gt;='Methodology &amp; Assumptions'!$B$8, "Tier 2 High GIDA (Score 40.0–49.9)", "Tier 3 Moderate GIDA (Score &lt; 40.0)"))</f>
        <v/>
      </c>
      <c r="V195" s="26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W195" s="28" t="n">
        <v>0.109</v>
      </c>
      <c r="X195" s="14" t="n">
        <v>47.71</v>
      </c>
      <c r="Y195" s="14">
        <f>ROUND(MIN(100, (X195/69.91)*100), 2)</f>
        <v/>
      </c>
    </row>
    <row r="196">
      <c r="A196" s="10" t="n">
        <v>4</v>
      </c>
      <c r="B196" s="10" t="n">
        <v>192</v>
      </c>
      <c r="C196" s="10" t="n">
        <v>3192</v>
      </c>
      <c r="D196" s="10" t="inlineStr">
        <is>
          <t>0504118012</t>
        </is>
      </c>
      <c r="E196" s="26" t="inlineStr">
        <is>
          <t>Region V (Bicol Region)</t>
        </is>
      </c>
      <c r="F196" s="26" t="inlineStr">
        <is>
          <t>Masbate</t>
        </is>
      </c>
      <c r="G196" s="26" t="inlineStr">
        <is>
          <t>San Fernando</t>
        </is>
      </c>
      <c r="H196" s="26" t="inlineStr">
        <is>
          <t>Lahong</t>
        </is>
      </c>
      <c r="I196" s="27" t="n">
        <v>12.493905</v>
      </c>
      <c r="J196" s="27" t="n">
        <v>123.669301</v>
      </c>
      <c r="K196" s="10" t="inlineStr">
        <is>
          <t>R</t>
        </is>
      </c>
      <c r="L196" s="12" t="n">
        <v>392</v>
      </c>
      <c r="M196" s="14" t="n">
        <v>4.1</v>
      </c>
      <c r="N196" s="12">
        <f>ROUND(L196/M196, 0)</f>
        <v/>
      </c>
      <c r="O196" s="12">
        <f>ROUND(N196*'Methodology &amp; Assumptions'!$B$5, 0)</f>
        <v/>
      </c>
      <c r="P196" s="10" t="inlineStr">
        <is>
          <t>Single Carrier (Band n50, 100MHz TDD)</t>
        </is>
      </c>
      <c r="Q196" s="13">
        <f>ROUNDUP(O196/'Methodology &amp; Assumptions'!$B$6, 0)</f>
        <v/>
      </c>
      <c r="R196" s="13" t="n">
        <v>1</v>
      </c>
      <c r="S196" s="14" t="n">
        <v>16.2</v>
      </c>
      <c r="T196" s="14" t="n">
        <v>13.74</v>
      </c>
      <c r="U196" s="26">
        <f>IF(X196&gt;='Methodology &amp; Assumptions'!$B$7, "Tier 1 Critical GIDA (Score ≥ 50.0)", IF(X196&gt;='Methodology &amp; Assumptions'!$B$8, "Tier 2 High GIDA (Score 40.0–49.9)", "Tier 3 Moderate GIDA (Score &lt; 40.0)"))</f>
        <v/>
      </c>
      <c r="V196" s="26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W196" s="28" t="n">
        <v>0.237</v>
      </c>
      <c r="X196" s="14" t="n">
        <v>47.71</v>
      </c>
      <c r="Y196" s="14">
        <f>ROUND(MIN(100, (X196/69.91)*100), 2)</f>
        <v/>
      </c>
    </row>
    <row r="197">
      <c r="A197" s="10" t="n">
        <v>4</v>
      </c>
      <c r="B197" s="10" t="n">
        <v>193</v>
      </c>
      <c r="C197" s="10" t="n">
        <v>3193</v>
      </c>
      <c r="D197" s="10" t="inlineStr">
        <is>
          <t>1381300142</t>
        </is>
      </c>
      <c r="E197" s="26" t="inlineStr">
        <is>
          <t>National Capital Region (NCR)</t>
        </is>
      </c>
      <c r="F197" s="26" t="inlineStr">
        <is>
          <t>Second District (Not a Province)</t>
        </is>
      </c>
      <c r="G197" s="26" t="inlineStr">
        <is>
          <t>Quezon City</t>
        </is>
      </c>
      <c r="H197" s="26" t="inlineStr">
        <is>
          <t>North Fairview</t>
        </is>
      </c>
      <c r="I197" s="27" t="n">
        <v>14.708519</v>
      </c>
      <c r="J197" s="27" t="n">
        <v>121.065961</v>
      </c>
      <c r="K197" s="10" t="inlineStr">
        <is>
          <t>U</t>
        </is>
      </c>
      <c r="L197" s="12" t="n">
        <v>46272</v>
      </c>
      <c r="M197" s="14" t="n">
        <v>3.8</v>
      </c>
      <c r="N197" s="12">
        <f>ROUND(L197/M197, 0)</f>
        <v/>
      </c>
      <c r="O197" s="12">
        <f>ROUND(N197*'Methodology &amp; Assumptions'!$B$5, 0)</f>
        <v/>
      </c>
      <c r="P197" s="10" t="inlineStr">
        <is>
          <t>Single Carrier (Band n50, 100MHz TDD)</t>
        </is>
      </c>
      <c r="Q197" s="13">
        <f>ROUNDUP(O197/'Methodology &amp; Assumptions'!$B$6, 0)</f>
        <v/>
      </c>
      <c r="R197" s="13" t="n">
        <v>1</v>
      </c>
      <c r="S197" s="14" t="n">
        <v>1.21</v>
      </c>
      <c r="T197" s="14" t="n">
        <v>0.24</v>
      </c>
      <c r="U197" s="26">
        <f>IF(X197&gt;='Methodology &amp; Assumptions'!$B$7, "Tier 1 Critical GIDA (Score ≥ 50.0)", IF(X197&gt;='Methodology &amp; Assumptions'!$B$8, "Tier 2 High GIDA (Score 40.0–49.9)", "Tier 3 Moderate GIDA (Score &lt; 40.0)"))</f>
        <v/>
      </c>
      <c r="V197" s="26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W197" s="28" t="n">
        <v>0.109</v>
      </c>
      <c r="X197" s="14" t="n">
        <v>47.7</v>
      </c>
      <c r="Y197" s="14">
        <f>ROUND(MIN(100, (X197/69.91)*100), 2)</f>
        <v/>
      </c>
    </row>
    <row r="198">
      <c r="A198" s="10" t="n">
        <v>4</v>
      </c>
      <c r="B198" s="10" t="n">
        <v>194</v>
      </c>
      <c r="C198" s="10" t="n">
        <v>3194</v>
      </c>
      <c r="D198" s="10" t="inlineStr">
        <is>
          <t>1380614024</t>
        </is>
      </c>
      <c r="E198" s="26" t="inlineStr">
        <is>
          <t>National Capital Region (NCR)</t>
        </is>
      </c>
      <c r="F198" s="26" t="inlineStr">
        <is>
          <t>First District (Not a Province)</t>
        </is>
      </c>
      <c r="G198" s="26" t="inlineStr">
        <is>
          <t>City of Manila</t>
        </is>
      </c>
      <c r="H198" s="26" t="inlineStr">
        <is>
          <t>Barangay 768</t>
        </is>
      </c>
      <c r="I198" s="27" t="n">
        <v>13.047704</v>
      </c>
      <c r="J198" s="27" t="n">
        <v>123.083051</v>
      </c>
      <c r="K198" s="10" t="inlineStr">
        <is>
          <t>U</t>
        </is>
      </c>
      <c r="L198" s="12" t="n">
        <v>1182</v>
      </c>
      <c r="M198" s="14" t="n">
        <v>3.9</v>
      </c>
      <c r="N198" s="12">
        <f>ROUND(L198/M198, 0)</f>
        <v/>
      </c>
      <c r="O198" s="12">
        <f>ROUND(N198*'Methodology &amp; Assumptions'!$B$5, 0)</f>
        <v/>
      </c>
      <c r="P198" s="10" t="inlineStr">
        <is>
          <t>Single Carrier (Band n50, 100MHz TDD)</t>
        </is>
      </c>
      <c r="Q198" s="13">
        <f>ROUNDUP(O198/'Methodology &amp; Assumptions'!$B$6, 0)</f>
        <v/>
      </c>
      <c r="R198" s="13" t="n">
        <v>1</v>
      </c>
      <c r="S198" s="14" t="n">
        <v>24.04</v>
      </c>
      <c r="T198" s="14" t="n">
        <v>45.74</v>
      </c>
      <c r="U198" s="26">
        <f>IF(X198&gt;='Methodology &amp; Assumptions'!$B$7, "Tier 1 Critical GIDA (Score ≥ 50.0)", IF(X198&gt;='Methodology &amp; Assumptions'!$B$8, "Tier 2 High GIDA (Score 40.0–49.9)", "Tier 3 Moderate GIDA (Score &lt; 40.0)"))</f>
        <v/>
      </c>
      <c r="V198" s="26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W198" s="28" t="n">
        <v>0.109</v>
      </c>
      <c r="X198" s="14" t="n">
        <v>47.69</v>
      </c>
      <c r="Y198" s="14">
        <f>ROUND(MIN(100, (X198/69.91)*100), 2)</f>
        <v/>
      </c>
    </row>
    <row r="199">
      <c r="A199" s="10" t="n">
        <v>4</v>
      </c>
      <c r="B199" s="10" t="n">
        <v>195</v>
      </c>
      <c r="C199" s="10" t="n">
        <v>3195</v>
      </c>
      <c r="D199" s="10" t="inlineStr">
        <is>
          <t>1408104018</t>
        </is>
      </c>
      <c r="E199" s="26" t="inlineStr">
        <is>
          <t>Cordillera Administrative Region (CAR)</t>
        </is>
      </c>
      <c r="F199" s="26" t="inlineStr">
        <is>
          <t>Apayao</t>
        </is>
      </c>
      <c r="G199" s="26" t="inlineStr">
        <is>
          <t>Kabugao</t>
        </is>
      </c>
      <c r="H199" s="26" t="inlineStr">
        <is>
          <t>Musimut</t>
        </is>
      </c>
      <c r="I199" s="27" t="n">
        <v>17.985434</v>
      </c>
      <c r="J199" s="27" t="n">
        <v>121.07778</v>
      </c>
      <c r="K199" s="10" t="inlineStr">
        <is>
          <t>R</t>
        </is>
      </c>
      <c r="L199" s="12" t="n">
        <v>857</v>
      </c>
      <c r="M199" s="14" t="n">
        <v>4.2</v>
      </c>
      <c r="N199" s="12">
        <f>ROUND(L199/M199, 0)</f>
        <v/>
      </c>
      <c r="O199" s="12">
        <f>ROUND(N199*'Methodology &amp; Assumptions'!$B$5, 0)</f>
        <v/>
      </c>
      <c r="P199" s="10" t="inlineStr">
        <is>
          <t>Single Carrier (Band n50, 100MHz TDD)</t>
        </is>
      </c>
      <c r="Q199" s="13">
        <f>ROUNDUP(O199/'Methodology &amp; Assumptions'!$B$6, 0)</f>
        <v/>
      </c>
      <c r="R199" s="13" t="n">
        <v>1</v>
      </c>
      <c r="S199" s="14" t="n">
        <v>11.56</v>
      </c>
      <c r="T199" s="14" t="n">
        <v>15.89</v>
      </c>
      <c r="U199" s="26">
        <f>IF(X199&gt;='Methodology &amp; Assumptions'!$B$7, "Tier 1 Critical GIDA (Score ≥ 50.0)", IF(X199&gt;='Methodology &amp; Assumptions'!$B$8, "Tier 2 High GIDA (Score 40.0–49.9)", "Tier 3 Moderate GIDA (Score &lt; 40.0)"))</f>
        <v/>
      </c>
      <c r="V199" s="26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W199" s="28" t="n">
        <v>0.109</v>
      </c>
      <c r="X199" s="14" t="n">
        <v>47.69</v>
      </c>
      <c r="Y199" s="14">
        <f>ROUND(MIN(100, (X199/69.91)*100), 2)</f>
        <v/>
      </c>
    </row>
    <row r="200">
      <c r="A200" s="10" t="n">
        <v>4</v>
      </c>
      <c r="B200" s="10" t="n">
        <v>196</v>
      </c>
      <c r="C200" s="10" t="n">
        <v>3196</v>
      </c>
      <c r="D200" s="10" t="inlineStr">
        <is>
          <t>PH0003196</t>
        </is>
      </c>
      <c r="E200" s="26" t="inlineStr">
        <is>
          <t>CAR</t>
        </is>
      </c>
      <c r="F200" s="26" t="inlineStr">
        <is>
          <t>Benguet</t>
        </is>
      </c>
      <c r="G200" s="26" t="inlineStr">
        <is>
          <t>Baguio City</t>
        </is>
      </c>
      <c r="H200" s="26" t="inlineStr">
        <is>
          <t>Camp Allen</t>
        </is>
      </c>
      <c r="I200" s="27" t="n">
        <v>16.364358</v>
      </c>
      <c r="J200" s="27" t="n">
        <v>120.606094</v>
      </c>
      <c r="K200" s="10" t="inlineStr">
        <is>
          <t>R</t>
        </is>
      </c>
      <c r="L200" s="12" t="n">
        <v>2260</v>
      </c>
      <c r="M200" s="14" t="n">
        <v>3.5</v>
      </c>
      <c r="N200" s="12">
        <f>ROUND(L200/M200, 0)</f>
        <v/>
      </c>
      <c r="O200" s="12">
        <f>ROUND(N200*'Methodology &amp; Assumptions'!$B$5, 0)</f>
        <v/>
      </c>
      <c r="P200" s="10" t="inlineStr">
        <is>
          <t>Single Carrier (Band n50, 100MHz TDD)</t>
        </is>
      </c>
      <c r="Q200" s="13">
        <f>ROUNDUP(O200/'Methodology &amp; Assumptions'!$B$6, 0)</f>
        <v/>
      </c>
      <c r="R200" s="13" t="n">
        <v>1</v>
      </c>
      <c r="S200" s="14" t="n">
        <v>4.3</v>
      </c>
      <c r="T200" s="14" t="n">
        <v>4.19</v>
      </c>
      <c r="U200" s="26">
        <f>IF(X200&gt;='Methodology &amp; Assumptions'!$B$7, "Tier 1 Critical GIDA (Score ≥ 50.0)", IF(X200&gt;='Methodology &amp; Assumptions'!$B$8, "Tier 2 High GIDA (Score 40.0–49.9)", "Tier 3 Moderate GIDA (Score &lt; 40.0)"))</f>
        <v/>
      </c>
      <c r="V200" s="26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W200" s="28" t="n">
        <v>0.221</v>
      </c>
      <c r="X200" s="14" t="n">
        <v>47.69</v>
      </c>
      <c r="Y200" s="14">
        <f>ROUND(MIN(100, (X200/69.91)*100), 2)</f>
        <v/>
      </c>
    </row>
    <row r="201">
      <c r="A201" s="10" t="n">
        <v>4</v>
      </c>
      <c r="B201" s="10" t="n">
        <v>197</v>
      </c>
      <c r="C201" s="10" t="n">
        <v>3197</v>
      </c>
      <c r="D201" s="10" t="inlineStr">
        <is>
          <t>PH0003197</t>
        </is>
      </c>
      <c r="E201" s="26" t="inlineStr">
        <is>
          <t>NCR</t>
        </is>
      </c>
      <c r="F201" s="26" t="inlineStr">
        <is>
          <t>Metro Manila</t>
        </is>
      </c>
      <c r="G201" s="26" t="inlineStr">
        <is>
          <t>Caloocan City</t>
        </is>
      </c>
      <c r="H201" s="26" t="inlineStr">
        <is>
          <t>Barangay 104</t>
        </is>
      </c>
      <c r="I201" s="27" t="n">
        <v>11.858768</v>
      </c>
      <c r="J201" s="27" t="n">
        <v>120.631093</v>
      </c>
      <c r="K201" s="10" t="inlineStr">
        <is>
          <t>R</t>
        </is>
      </c>
      <c r="L201" s="12" t="n">
        <v>2279</v>
      </c>
      <c r="M201" s="14" t="n">
        <v>3.8</v>
      </c>
      <c r="N201" s="12">
        <f>ROUND(L201/M201, 0)</f>
        <v/>
      </c>
      <c r="O201" s="12">
        <f>ROUND(N201*'Methodology &amp; Assumptions'!$B$5, 0)</f>
        <v/>
      </c>
      <c r="P201" s="10" t="inlineStr">
        <is>
          <t>Single Carrier (Band n50, 100MHz TDD)</t>
        </is>
      </c>
      <c r="Q201" s="13">
        <f>ROUNDUP(O201/'Methodology &amp; Assumptions'!$B$6, 0)</f>
        <v/>
      </c>
      <c r="R201" s="13" t="n">
        <v>1</v>
      </c>
      <c r="S201" s="14" t="n">
        <v>44.69</v>
      </c>
      <c r="T201" s="14" t="n">
        <v>72.22</v>
      </c>
      <c r="U201" s="26">
        <f>IF(X201&gt;='Methodology &amp; Assumptions'!$B$7, "Tier 1 Critical GIDA (Score ≥ 50.0)", IF(X201&gt;='Methodology &amp; Assumptions'!$B$8, "Tier 2 High GIDA (Score 40.0–49.9)", "Tier 3 Moderate GIDA (Score &lt; 40.0)"))</f>
        <v/>
      </c>
      <c r="V201" s="26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W201" s="28" t="n">
        <v>0.011</v>
      </c>
      <c r="X201" s="14" t="n">
        <v>47.69</v>
      </c>
      <c r="Y201" s="14">
        <f>ROUND(MIN(100, (X201/69.91)*100), 2)</f>
        <v/>
      </c>
    </row>
    <row r="202">
      <c r="A202" s="10" t="n">
        <v>4</v>
      </c>
      <c r="B202" s="10" t="n">
        <v>198</v>
      </c>
      <c r="C202" s="10" t="n">
        <v>3198</v>
      </c>
      <c r="D202" s="10" t="inlineStr">
        <is>
          <t>PH0003198</t>
        </is>
      </c>
      <c r="E202" s="26" t="inlineStr">
        <is>
          <t>NCR</t>
        </is>
      </c>
      <c r="F202" s="26" t="inlineStr">
        <is>
          <t>Metro Manila</t>
        </is>
      </c>
      <c r="G202" s="26" t="inlineStr">
        <is>
          <t>Caloocan City</t>
        </is>
      </c>
      <c r="H202" s="26" t="inlineStr">
        <is>
          <t>Barangay 57</t>
        </is>
      </c>
      <c r="I202" s="27" t="n">
        <v>14.386465</v>
      </c>
      <c r="J202" s="27" t="n">
        <v>121.909227</v>
      </c>
      <c r="K202" s="10" t="inlineStr">
        <is>
          <t>R</t>
        </is>
      </c>
      <c r="L202" s="12" t="n">
        <v>2279</v>
      </c>
      <c r="M202" s="14" t="n">
        <v>3.8</v>
      </c>
      <c r="N202" s="12">
        <f>ROUND(L202/M202, 0)</f>
        <v/>
      </c>
      <c r="O202" s="12">
        <f>ROUND(N202*'Methodology &amp; Assumptions'!$B$5, 0)</f>
        <v/>
      </c>
      <c r="P202" s="10" t="inlineStr">
        <is>
          <t>Single Carrier (Band n50, 100MHz TDD)</t>
        </is>
      </c>
      <c r="Q202" s="13">
        <f>ROUNDUP(O202/'Methodology &amp; Assumptions'!$B$6, 0)</f>
        <v/>
      </c>
      <c r="R202" s="13" t="n">
        <v>1</v>
      </c>
      <c r="S202" s="14" t="n">
        <v>30.9</v>
      </c>
      <c r="T202" s="14" t="n">
        <v>42.92</v>
      </c>
      <c r="U202" s="26">
        <f>IF(X202&gt;='Methodology &amp; Assumptions'!$B$7, "Tier 1 Critical GIDA (Score ≥ 50.0)", IF(X202&gt;='Methodology &amp; Assumptions'!$B$8, "Tier 2 High GIDA (Score 40.0–49.9)", "Tier 3 Moderate GIDA (Score &lt; 40.0)"))</f>
        <v/>
      </c>
      <c r="V202" s="26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W202" s="28" t="n">
        <v>0.011</v>
      </c>
      <c r="X202" s="14" t="n">
        <v>47.68</v>
      </c>
      <c r="Y202" s="14">
        <f>ROUND(MIN(100, (X202/69.91)*100), 2)</f>
        <v/>
      </c>
    </row>
    <row r="203">
      <c r="A203" s="10" t="n">
        <v>4</v>
      </c>
      <c r="B203" s="10" t="n">
        <v>199</v>
      </c>
      <c r="C203" s="10" t="n">
        <v>3199</v>
      </c>
      <c r="D203" s="10" t="inlineStr">
        <is>
          <t>PH0003199</t>
        </is>
      </c>
      <c r="E203" s="26" t="inlineStr">
        <is>
          <t>NCR</t>
        </is>
      </c>
      <c r="F203" s="26" t="inlineStr">
        <is>
          <t>Metro Manila</t>
        </is>
      </c>
      <c r="G203" s="26" t="inlineStr">
        <is>
          <t>Caloocan City</t>
        </is>
      </c>
      <c r="H203" s="26" t="inlineStr">
        <is>
          <t>Barangay 140</t>
        </is>
      </c>
      <c r="I203" s="27" t="n">
        <v>11.678666</v>
      </c>
      <c r="J203" s="27" t="n">
        <v>122.719371</v>
      </c>
      <c r="K203" s="10" t="inlineStr">
        <is>
          <t>R</t>
        </is>
      </c>
      <c r="L203" s="12" t="n">
        <v>2279</v>
      </c>
      <c r="M203" s="14" t="n">
        <v>3.8</v>
      </c>
      <c r="N203" s="12">
        <f>ROUND(L203/M203, 0)</f>
        <v/>
      </c>
      <c r="O203" s="12">
        <f>ROUND(N203*'Methodology &amp; Assumptions'!$B$5, 0)</f>
        <v/>
      </c>
      <c r="P203" s="10" t="inlineStr">
        <is>
          <t>Single Carrier (Band n50, 100MHz TDD)</t>
        </is>
      </c>
      <c r="Q203" s="13">
        <f>ROUNDUP(O203/'Methodology &amp; Assumptions'!$B$6, 0)</f>
        <v/>
      </c>
      <c r="R203" s="13" t="n">
        <v>1</v>
      </c>
      <c r="S203" s="14" t="n">
        <v>7.86</v>
      </c>
      <c r="T203" s="14" t="n">
        <v>0.62</v>
      </c>
      <c r="U203" s="26">
        <f>IF(X203&gt;='Methodology &amp; Assumptions'!$B$7, "Tier 1 Critical GIDA (Score ≥ 50.0)", IF(X203&gt;='Methodology &amp; Assumptions'!$B$8, "Tier 2 High GIDA (Score 40.0–49.9)", "Tier 3 Moderate GIDA (Score &lt; 40.0)"))</f>
        <v/>
      </c>
      <c r="V203" s="26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W203" s="28" t="n">
        <v>0.011</v>
      </c>
      <c r="X203" s="14" t="n">
        <v>47.67</v>
      </c>
      <c r="Y203" s="14">
        <f>ROUND(MIN(100, (X203/69.91)*100), 2)</f>
        <v/>
      </c>
    </row>
    <row r="204">
      <c r="A204" s="10" t="n">
        <v>4</v>
      </c>
      <c r="B204" s="10" t="n">
        <v>200</v>
      </c>
      <c r="C204" s="10" t="n">
        <v>3200</v>
      </c>
      <c r="D204" s="10" t="inlineStr">
        <is>
          <t>1381600010</t>
        </is>
      </c>
      <c r="E204" s="26" t="inlineStr">
        <is>
          <t>National Capital Region (NCR)</t>
        </is>
      </c>
      <c r="F204" s="26" t="inlineStr">
        <is>
          <t>Third District (Not a Province)</t>
        </is>
      </c>
      <c r="G204" s="26" t="inlineStr">
        <is>
          <t>City of Valenzuela</t>
        </is>
      </c>
      <c r="H204" s="26" t="inlineStr">
        <is>
          <t>Dalandanan</t>
        </is>
      </c>
      <c r="I204" s="27" t="n">
        <v>14.704556</v>
      </c>
      <c r="J204" s="27" t="n">
        <v>120.964172</v>
      </c>
      <c r="K204" s="10" t="inlineStr">
        <is>
          <t>U</t>
        </is>
      </c>
      <c r="L204" s="12" t="n">
        <v>23977</v>
      </c>
      <c r="M204" s="14" t="n">
        <v>3.5</v>
      </c>
      <c r="N204" s="12">
        <f>ROUND(L204/M204, 0)</f>
        <v/>
      </c>
      <c r="O204" s="12">
        <f>ROUND(N204*'Methodology &amp; Assumptions'!$B$5, 0)</f>
        <v/>
      </c>
      <c r="P204" s="10" t="inlineStr">
        <is>
          <t>Single Carrier (Band n50, 100MHz TDD)</t>
        </is>
      </c>
      <c r="Q204" s="13">
        <f>ROUNDUP(O204/'Methodology &amp; Assumptions'!$B$6, 0)</f>
        <v/>
      </c>
      <c r="R204" s="13" t="n">
        <v>1</v>
      </c>
      <c r="S204" s="14" t="n">
        <v>0.65</v>
      </c>
      <c r="T204" s="14" t="n">
        <v>0.28</v>
      </c>
      <c r="U204" s="26">
        <f>IF(X204&gt;='Methodology &amp; Assumptions'!$B$7, "Tier 1 Critical GIDA (Score ≥ 50.0)", IF(X204&gt;='Methodology &amp; Assumptions'!$B$8, "Tier 2 High GIDA (Score 40.0–49.9)", "Tier 3 Moderate GIDA (Score &lt; 40.0)"))</f>
        <v/>
      </c>
      <c r="V204" s="26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W204" s="28" t="n">
        <v>0.109</v>
      </c>
      <c r="X204" s="14" t="n">
        <v>47.67</v>
      </c>
      <c r="Y204" s="14">
        <f>ROUND(MIN(100, (X204/69.91)*100), 2)</f>
        <v/>
      </c>
    </row>
    <row r="205">
      <c r="A205" s="10" t="n">
        <v>4</v>
      </c>
      <c r="B205" s="10" t="n">
        <v>201</v>
      </c>
      <c r="C205" s="10" t="n">
        <v>3201</v>
      </c>
      <c r="D205" s="10" t="inlineStr">
        <is>
          <t>PH0003201</t>
        </is>
      </c>
      <c r="E205" s="26" t="inlineStr">
        <is>
          <t>NCR</t>
        </is>
      </c>
      <c r="F205" s="26" t="inlineStr">
        <is>
          <t>Metro Manila</t>
        </is>
      </c>
      <c r="G205" s="26" t="inlineStr">
        <is>
          <t>Caloocan City</t>
        </is>
      </c>
      <c r="H205" s="26" t="inlineStr">
        <is>
          <t>Barangay 96</t>
        </is>
      </c>
      <c r="I205" s="27" t="n">
        <v>13.142815</v>
      </c>
      <c r="J205" s="27" t="n">
        <v>120.243288</v>
      </c>
      <c r="K205" s="10" t="inlineStr">
        <is>
          <t>R</t>
        </is>
      </c>
      <c r="L205" s="12" t="n">
        <v>2279</v>
      </c>
      <c r="M205" s="14" t="n">
        <v>3.8</v>
      </c>
      <c r="N205" s="12">
        <f>ROUND(L205/M205, 0)</f>
        <v/>
      </c>
      <c r="O205" s="12">
        <f>ROUND(N205*'Methodology &amp; Assumptions'!$B$5, 0)</f>
        <v/>
      </c>
      <c r="P205" s="10" t="inlineStr">
        <is>
          <t>Single Carrier (Band n50, 100MHz TDD)</t>
        </is>
      </c>
      <c r="Q205" s="13">
        <f>ROUNDUP(O205/'Methodology &amp; Assumptions'!$B$6, 0)</f>
        <v/>
      </c>
      <c r="R205" s="13" t="n">
        <v>1</v>
      </c>
      <c r="S205" s="14" t="n">
        <v>82.12</v>
      </c>
      <c r="T205" s="14" t="n">
        <v>80.54000000000001</v>
      </c>
      <c r="U205" s="26">
        <f>IF(X205&gt;='Methodology &amp; Assumptions'!$B$7, "Tier 1 Critical GIDA (Score ≥ 50.0)", IF(X205&gt;='Methodology &amp; Assumptions'!$B$8, "Tier 2 High GIDA (Score 40.0–49.9)", "Tier 3 Moderate GIDA (Score &lt; 40.0)"))</f>
        <v/>
      </c>
      <c r="V205" s="26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W205" s="28" t="n">
        <v>0.011</v>
      </c>
      <c r="X205" s="14" t="n">
        <v>47.67</v>
      </c>
      <c r="Y205" s="14">
        <f>ROUND(MIN(100, (X205/69.91)*100), 2)</f>
        <v/>
      </c>
    </row>
    <row r="206">
      <c r="A206" s="10" t="n">
        <v>4</v>
      </c>
      <c r="B206" s="10" t="n">
        <v>202</v>
      </c>
      <c r="C206" s="10" t="n">
        <v>3202</v>
      </c>
      <c r="D206" s="10" t="inlineStr">
        <is>
          <t>PH0003202</t>
        </is>
      </c>
      <c r="E206" s="26" t="inlineStr">
        <is>
          <t>IV-B</t>
        </is>
      </c>
      <c r="F206" s="26" t="inlineStr">
        <is>
          <t>Palawan</t>
        </is>
      </c>
      <c r="G206" s="26" t="inlineStr">
        <is>
          <t>Puerto Princesa City</t>
        </is>
      </c>
      <c r="H206" s="26" t="inlineStr">
        <is>
          <t>Seaside (Pob.)</t>
        </is>
      </c>
      <c r="I206" s="27" t="n">
        <v>9.851364</v>
      </c>
      <c r="J206" s="27" t="n">
        <v>118.786287</v>
      </c>
      <c r="K206" s="10" t="inlineStr">
        <is>
          <t>R</t>
        </is>
      </c>
      <c r="L206" s="12" t="n">
        <v>2597</v>
      </c>
      <c r="M206" s="14" t="n">
        <v>3.9</v>
      </c>
      <c r="N206" s="12">
        <f>ROUND(L206/M206, 0)</f>
        <v/>
      </c>
      <c r="O206" s="12">
        <f>ROUND(N206*'Methodology &amp; Assumptions'!$B$5, 0)</f>
        <v/>
      </c>
      <c r="P206" s="10" t="inlineStr">
        <is>
          <t>Single Carrier (Band n50, 100MHz TDD)</t>
        </is>
      </c>
      <c r="Q206" s="13">
        <f>ROUNDUP(O206/'Methodology &amp; Assumptions'!$B$6, 0)</f>
        <v/>
      </c>
      <c r="R206" s="13" t="n">
        <v>1</v>
      </c>
      <c r="S206" s="14" t="n">
        <v>5.7</v>
      </c>
      <c r="T206" s="14" t="n">
        <v>5.17</v>
      </c>
      <c r="U206" s="26">
        <f>IF(X206&gt;='Methodology &amp; Assumptions'!$B$7, "Tier 1 Critical GIDA (Score ≥ 50.0)", IF(X206&gt;='Methodology &amp; Assumptions'!$B$8, "Tier 2 High GIDA (Score 40.0–49.9)", "Tier 3 Moderate GIDA (Score &lt; 40.0)"))</f>
        <v/>
      </c>
      <c r="V206" s="26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W206" s="28" t="n">
        <v>0.109</v>
      </c>
      <c r="X206" s="14" t="n">
        <v>47.67</v>
      </c>
      <c r="Y206" s="14">
        <f>ROUND(MIN(100, (X206/69.91)*100), 2)</f>
        <v/>
      </c>
    </row>
    <row r="207">
      <c r="A207" s="10" t="n">
        <v>4</v>
      </c>
      <c r="B207" s="10" t="n">
        <v>203</v>
      </c>
      <c r="C207" s="10" t="n">
        <v>3203</v>
      </c>
      <c r="D207" s="10" t="inlineStr">
        <is>
          <t>0504106027</t>
        </is>
      </c>
      <c r="E207" s="26" t="inlineStr">
        <is>
          <t>Region V (Bicol Region)</t>
        </is>
      </c>
      <c r="F207" s="26" t="inlineStr">
        <is>
          <t>Masbate</t>
        </is>
      </c>
      <c r="G207" s="26" t="inlineStr">
        <is>
          <t>Cawayan</t>
        </is>
      </c>
      <c r="H207" s="26" t="inlineStr">
        <is>
          <t>Taberna</t>
        </is>
      </c>
      <c r="I207" s="27" t="n">
        <v>12.070058</v>
      </c>
      <c r="J207" s="27" t="n">
        <v>123.716946</v>
      </c>
      <c r="K207" s="10" t="inlineStr">
        <is>
          <t>R</t>
        </is>
      </c>
      <c r="L207" s="12" t="n">
        <v>1588</v>
      </c>
      <c r="M207" s="14" t="n">
        <v>4.1</v>
      </c>
      <c r="N207" s="12">
        <f>ROUND(L207/M207, 0)</f>
        <v/>
      </c>
      <c r="O207" s="12">
        <f>ROUND(N207*'Methodology &amp; Assumptions'!$B$5, 0)</f>
        <v/>
      </c>
      <c r="P207" s="10" t="inlineStr">
        <is>
          <t>Single Carrier (Band n50, 100MHz TDD)</t>
        </is>
      </c>
      <c r="Q207" s="13">
        <f>ROUNDUP(O207/'Methodology &amp; Assumptions'!$B$6, 0)</f>
        <v/>
      </c>
      <c r="R207" s="13" t="n">
        <v>1</v>
      </c>
      <c r="S207" s="14" t="n">
        <v>19.11</v>
      </c>
      <c r="T207" s="14" t="n">
        <v>27.98</v>
      </c>
      <c r="U207" s="26">
        <f>IF(X207&gt;='Methodology &amp; Assumptions'!$B$7, "Tier 1 Critical GIDA (Score ≥ 50.0)", IF(X207&gt;='Methodology &amp; Assumptions'!$B$8, "Tier 2 High GIDA (Score 40.0–49.9)", "Tier 3 Moderate GIDA (Score &lt; 40.0)"))</f>
        <v/>
      </c>
      <c r="V207" s="26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W207" s="28" t="n">
        <v>0.237</v>
      </c>
      <c r="X207" s="14" t="n">
        <v>47.66</v>
      </c>
      <c r="Y207" s="14">
        <f>ROUND(MIN(100, (X207/69.91)*100), 2)</f>
        <v/>
      </c>
    </row>
    <row r="208">
      <c r="A208" s="10" t="n">
        <v>4</v>
      </c>
      <c r="B208" s="10" t="n">
        <v>204</v>
      </c>
      <c r="C208" s="10" t="n">
        <v>3204</v>
      </c>
      <c r="D208" s="10" t="inlineStr">
        <is>
          <t>0907313012</t>
        </is>
      </c>
      <c r="E208" s="26" t="inlineStr">
        <is>
          <t>Region IX (Zamboanga Peninsula)</t>
        </is>
      </c>
      <c r="F208" s="26" t="inlineStr">
        <is>
          <t>Zamboanga del Sur</t>
        </is>
      </c>
      <c r="G208" s="26" t="inlineStr">
        <is>
          <t>Lapuyan</t>
        </is>
      </c>
      <c r="H208" s="26" t="inlineStr">
        <is>
          <t>Lubusan</t>
        </is>
      </c>
      <c r="I208" s="27" t="n">
        <v>7.672714</v>
      </c>
      <c r="J208" s="27" t="n">
        <v>123.221228</v>
      </c>
      <c r="K208" s="10" t="inlineStr">
        <is>
          <t>R</t>
        </is>
      </c>
      <c r="L208" s="12" t="n">
        <v>1170</v>
      </c>
      <c r="M208" s="14" t="n">
        <v>3.9</v>
      </c>
      <c r="N208" s="12">
        <f>ROUND(L208/M208, 0)</f>
        <v/>
      </c>
      <c r="O208" s="12">
        <f>ROUND(N208*'Methodology &amp; Assumptions'!$B$5, 0)</f>
        <v/>
      </c>
      <c r="P208" s="10" t="inlineStr">
        <is>
          <t>Single Carrier (Band n50, 100MHz TDD)</t>
        </is>
      </c>
      <c r="Q208" s="13">
        <f>ROUNDUP(O208/'Methodology &amp; Assumptions'!$B$6, 0)</f>
        <v/>
      </c>
      <c r="R208" s="13" t="n">
        <v>1</v>
      </c>
      <c r="S208" s="14" t="n">
        <v>19.38</v>
      </c>
      <c r="T208" s="14" t="n">
        <v>12.68</v>
      </c>
      <c r="U208" s="26">
        <f>IF(X208&gt;='Methodology &amp; Assumptions'!$B$7, "Tier 1 Critical GIDA (Score ≥ 50.0)", IF(X208&gt;='Methodology &amp; Assumptions'!$B$8, "Tier 2 High GIDA (Score 40.0–49.9)", "Tier 3 Moderate GIDA (Score &lt; 40.0)"))</f>
        <v/>
      </c>
      <c r="V208" s="26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W208" s="28" t="n">
        <v>0.11</v>
      </c>
      <c r="X208" s="14" t="n">
        <v>47.65</v>
      </c>
      <c r="Y208" s="14">
        <f>ROUND(MIN(100, (X208/69.91)*100), 2)</f>
        <v/>
      </c>
    </row>
    <row r="209">
      <c r="A209" s="10" t="n">
        <v>4</v>
      </c>
      <c r="B209" s="10" t="n">
        <v>205</v>
      </c>
      <c r="C209" s="10" t="n">
        <v>3205</v>
      </c>
      <c r="D209" s="10" t="inlineStr">
        <is>
          <t>PH0003205</t>
        </is>
      </c>
      <c r="E209" s="26" t="inlineStr">
        <is>
          <t>NCR</t>
        </is>
      </c>
      <c r="F209" s="26" t="inlineStr">
        <is>
          <t>Metro Manila</t>
        </is>
      </c>
      <c r="G209" s="26" t="inlineStr">
        <is>
          <t>Caloocan City</t>
        </is>
      </c>
      <c r="H209" s="26" t="inlineStr">
        <is>
          <t>Barangay 137</t>
        </is>
      </c>
      <c r="I209" s="27" t="n">
        <v>13.694552</v>
      </c>
      <c r="J209" s="27" t="n">
        <v>123.086073</v>
      </c>
      <c r="K209" s="10" t="inlineStr">
        <is>
          <t>R</t>
        </is>
      </c>
      <c r="L209" s="12" t="n">
        <v>2279</v>
      </c>
      <c r="M209" s="14" t="n">
        <v>3.8</v>
      </c>
      <c r="N209" s="12">
        <f>ROUND(L209/M209, 0)</f>
        <v/>
      </c>
      <c r="O209" s="12">
        <f>ROUND(N209*'Methodology &amp; Assumptions'!$B$5, 0)</f>
        <v/>
      </c>
      <c r="P209" s="10" t="inlineStr">
        <is>
          <t>Single Carrier (Band n50, 100MHz TDD)</t>
        </is>
      </c>
      <c r="Q209" s="13">
        <f>ROUNDUP(O209/'Methodology &amp; Assumptions'!$B$6, 0)</f>
        <v/>
      </c>
      <c r="R209" s="13" t="n">
        <v>1</v>
      </c>
      <c r="S209" s="14" t="n">
        <v>2.38</v>
      </c>
      <c r="T209" s="14" t="n">
        <v>9.83</v>
      </c>
      <c r="U209" s="26">
        <f>IF(X209&gt;='Methodology &amp; Assumptions'!$B$7, "Tier 1 Critical GIDA (Score ≥ 50.0)", IF(X209&gt;='Methodology &amp; Assumptions'!$B$8, "Tier 2 High GIDA (Score 40.0–49.9)", "Tier 3 Moderate GIDA (Score &lt; 40.0)"))</f>
        <v/>
      </c>
      <c r="V209" s="26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W209" s="28" t="n">
        <v>0.011</v>
      </c>
      <c r="X209" s="14" t="n">
        <v>47.65</v>
      </c>
      <c r="Y209" s="14">
        <f>ROUND(MIN(100, (X209/69.91)*100), 2)</f>
        <v/>
      </c>
    </row>
    <row r="210">
      <c r="A210" s="10" t="n">
        <v>4</v>
      </c>
      <c r="B210" s="10" t="n">
        <v>206</v>
      </c>
      <c r="C210" s="10" t="n">
        <v>3206</v>
      </c>
      <c r="D210" s="10" t="inlineStr">
        <is>
          <t>1380610012</t>
        </is>
      </c>
      <c r="E210" s="26" t="inlineStr">
        <is>
          <t>National Capital Region (NCR)</t>
        </is>
      </c>
      <c r="F210" s="26" t="inlineStr">
        <is>
          <t>First District (Not a Province)</t>
        </is>
      </c>
      <c r="G210" s="26" t="inlineStr">
        <is>
          <t>City of Manila</t>
        </is>
      </c>
      <c r="H210" s="26" t="inlineStr">
        <is>
          <t>Barangay 697</t>
        </is>
      </c>
      <c r="I210" s="27" t="n">
        <v>11.89267</v>
      </c>
      <c r="J210" s="27" t="n">
        <v>120.924408</v>
      </c>
      <c r="K210" s="10" t="inlineStr">
        <is>
          <t>U</t>
        </is>
      </c>
      <c r="L210" s="12" t="n">
        <v>2027</v>
      </c>
      <c r="M210" s="14" t="n">
        <v>3.9</v>
      </c>
      <c r="N210" s="12">
        <f>ROUND(L210/M210, 0)</f>
        <v/>
      </c>
      <c r="O210" s="12">
        <f>ROUND(N210*'Methodology &amp; Assumptions'!$B$5, 0)</f>
        <v/>
      </c>
      <c r="P210" s="10" t="inlineStr">
        <is>
          <t>Single Carrier (Band n50, 100MHz TDD)</t>
        </is>
      </c>
      <c r="Q210" s="13">
        <f>ROUNDUP(O210/'Methodology &amp; Assumptions'!$B$6, 0)</f>
        <v/>
      </c>
      <c r="R210" s="13" t="n">
        <v>1</v>
      </c>
      <c r="S210" s="14" t="n">
        <v>52.36</v>
      </c>
      <c r="T210" s="14" t="n">
        <v>51.87</v>
      </c>
      <c r="U210" s="26">
        <f>IF(X210&gt;='Methodology &amp; Assumptions'!$B$7, "Tier 1 Critical GIDA (Score ≥ 50.0)", IF(X210&gt;='Methodology &amp; Assumptions'!$B$8, "Tier 2 High GIDA (Score 40.0–49.9)", "Tier 3 Moderate GIDA (Score &lt; 40.0)"))</f>
        <v/>
      </c>
      <c r="V210" s="26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W210" s="28" t="n">
        <v>0.109</v>
      </c>
      <c r="X210" s="14" t="n">
        <v>47.65</v>
      </c>
      <c r="Y210" s="14">
        <f>ROUND(MIN(100, (X210/69.91)*100), 2)</f>
        <v/>
      </c>
    </row>
    <row r="211">
      <c r="A211" s="10" t="n">
        <v>4</v>
      </c>
      <c r="B211" s="10" t="n">
        <v>207</v>
      </c>
      <c r="C211" s="10" t="n">
        <v>3207</v>
      </c>
      <c r="D211" s="10" t="inlineStr">
        <is>
          <t>0205009020</t>
        </is>
      </c>
      <c r="E211" s="26" t="inlineStr">
        <is>
          <t>Region II (Cagayan Valley)</t>
        </is>
      </c>
      <c r="F211" s="26" t="inlineStr">
        <is>
          <t>Nueva Vizcaya</t>
        </is>
      </c>
      <c r="G211" s="26" t="inlineStr">
        <is>
          <t>Kasibu</t>
        </is>
      </c>
      <c r="H211" s="26" t="inlineStr">
        <is>
          <t>Pudi</t>
        </is>
      </c>
      <c r="I211" s="27" t="n">
        <v>16.29501</v>
      </c>
      <c r="J211" s="27" t="n">
        <v>121.30924</v>
      </c>
      <c r="K211" s="10" t="inlineStr">
        <is>
          <t>R</t>
        </is>
      </c>
      <c r="L211" s="12" t="n">
        <v>1973</v>
      </c>
      <c r="M211" s="14" t="n">
        <v>3.8</v>
      </c>
      <c r="N211" s="12">
        <f>ROUND(L211/M211, 0)</f>
        <v/>
      </c>
      <c r="O211" s="12">
        <f>ROUND(N211*'Methodology &amp; Assumptions'!$B$5, 0)</f>
        <v/>
      </c>
      <c r="P211" s="10" t="inlineStr">
        <is>
          <t>Single Carrier (Band n50, 100MHz TDD)</t>
        </is>
      </c>
      <c r="Q211" s="13">
        <f>ROUNDUP(O211/'Methodology &amp; Assumptions'!$B$6, 0)</f>
        <v/>
      </c>
      <c r="R211" s="13" t="n">
        <v>1</v>
      </c>
      <c r="S211" s="14" t="n">
        <v>2.88</v>
      </c>
      <c r="T211" s="14" t="n">
        <v>23.46</v>
      </c>
      <c r="U211" s="26">
        <f>IF(X211&gt;='Methodology &amp; Assumptions'!$B$7, "Tier 1 Critical GIDA (Score ≥ 50.0)", IF(X211&gt;='Methodology &amp; Assumptions'!$B$8, "Tier 2 High GIDA (Score 40.0–49.9)", "Tier 3 Moderate GIDA (Score &lt; 40.0)"))</f>
        <v/>
      </c>
      <c r="V211" s="26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W211" s="28" t="n">
        <v>0.083</v>
      </c>
      <c r="X211" s="14" t="n">
        <v>47.64</v>
      </c>
      <c r="Y211" s="14">
        <f>ROUND(MIN(100, (X211/69.91)*100), 2)</f>
        <v/>
      </c>
    </row>
    <row r="212">
      <c r="A212" s="10" t="n">
        <v>4</v>
      </c>
      <c r="B212" s="10" t="n">
        <v>208</v>
      </c>
      <c r="C212" s="10" t="n">
        <v>3208</v>
      </c>
      <c r="D212" s="10" t="inlineStr">
        <is>
          <t>0402106074</t>
        </is>
      </c>
      <c r="E212" s="26" t="inlineStr">
        <is>
          <t>Region IV-A (CALABARZON)</t>
        </is>
      </c>
      <c r="F212" s="26" t="inlineStr">
        <is>
          <t>Cavite</t>
        </is>
      </c>
      <c r="G212" s="26" t="inlineStr">
        <is>
          <t>City of Dasmariñas</t>
        </is>
      </c>
      <c r="H212" s="26" t="inlineStr">
        <is>
          <t>San Miguel II</t>
        </is>
      </c>
      <c r="I212" s="27" t="n">
        <v>14.338477</v>
      </c>
      <c r="J212" s="27" t="n">
        <v>120.949619</v>
      </c>
      <c r="K212" s="10" t="inlineStr">
        <is>
          <t>R</t>
        </is>
      </c>
      <c r="L212" s="12" t="n">
        <v>2392</v>
      </c>
      <c r="M212" s="14" t="n">
        <v>3.4</v>
      </c>
      <c r="N212" s="12">
        <f>ROUND(L212/M212, 0)</f>
        <v/>
      </c>
      <c r="O212" s="12">
        <f>ROUND(N212*'Methodology &amp; Assumptions'!$B$5, 0)</f>
        <v/>
      </c>
      <c r="P212" s="10" t="inlineStr">
        <is>
          <t>Single Carrier (Band n50, 100MHz TDD)</t>
        </is>
      </c>
      <c r="Q212" s="13">
        <f>ROUNDUP(O212/'Methodology &amp; Assumptions'!$B$6, 0)</f>
        <v/>
      </c>
      <c r="R212" s="13" t="n">
        <v>1</v>
      </c>
      <c r="S212" s="14" t="n">
        <v>1.72</v>
      </c>
      <c r="T212" s="14" t="n">
        <v>4.11</v>
      </c>
      <c r="U212" s="26">
        <f>IF(X212&gt;='Methodology &amp; Assumptions'!$B$7, "Tier 1 Critical GIDA (Score ≥ 50.0)", IF(X212&gt;='Methodology &amp; Assumptions'!$B$8, "Tier 2 High GIDA (Score 40.0–49.9)", "Tier 3 Moderate GIDA (Score &lt; 40.0)"))</f>
        <v/>
      </c>
      <c r="V212" s="26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W212" s="28" t="n">
        <v>0.07200000000000001</v>
      </c>
      <c r="X212" s="14" t="n">
        <v>47.64</v>
      </c>
      <c r="Y212" s="14">
        <f>ROUND(MIN(100, (X212/69.91)*100), 2)</f>
        <v/>
      </c>
    </row>
    <row r="213">
      <c r="A213" s="10" t="n">
        <v>4</v>
      </c>
      <c r="B213" s="10" t="n">
        <v>209</v>
      </c>
      <c r="C213" s="10" t="n">
        <v>3209</v>
      </c>
      <c r="D213" s="10" t="inlineStr">
        <is>
          <t>PH0003209</t>
        </is>
      </c>
      <c r="E213" s="26" t="inlineStr">
        <is>
          <t>NCR</t>
        </is>
      </c>
      <c r="F213" s="26" t="inlineStr">
        <is>
          <t>Metro Manila</t>
        </is>
      </c>
      <c r="G213" s="26" t="inlineStr">
        <is>
          <t>Caloocan City</t>
        </is>
      </c>
      <c r="H213" s="26" t="inlineStr">
        <is>
          <t>Barangay 92</t>
        </is>
      </c>
      <c r="I213" s="27" t="n">
        <v>11.413503</v>
      </c>
      <c r="J213" s="27" t="n">
        <v>121.370994</v>
      </c>
      <c r="K213" s="10" t="inlineStr">
        <is>
          <t>R</t>
        </is>
      </c>
      <c r="L213" s="12" t="n">
        <v>2279</v>
      </c>
      <c r="M213" s="14" t="n">
        <v>3.8</v>
      </c>
      <c r="N213" s="12">
        <f>ROUND(L213/M213, 0)</f>
        <v/>
      </c>
      <c r="O213" s="12">
        <f>ROUND(N213*'Methodology &amp; Assumptions'!$B$5, 0)</f>
        <v/>
      </c>
      <c r="P213" s="10" t="inlineStr">
        <is>
          <t>Single Carrier (Band n50, 100MHz TDD)</t>
        </is>
      </c>
      <c r="Q213" s="13">
        <f>ROUNDUP(O213/'Methodology &amp; Assumptions'!$B$6, 0)</f>
        <v/>
      </c>
      <c r="R213" s="13" t="n">
        <v>1</v>
      </c>
      <c r="S213" s="14" t="n">
        <v>86.34</v>
      </c>
      <c r="T213" s="14" t="n">
        <v>84.7</v>
      </c>
      <c r="U213" s="26">
        <f>IF(X213&gt;='Methodology &amp; Assumptions'!$B$7, "Tier 1 Critical GIDA (Score ≥ 50.0)", IF(X213&gt;='Methodology &amp; Assumptions'!$B$8, "Tier 2 High GIDA (Score 40.0–49.9)", "Tier 3 Moderate GIDA (Score &lt; 40.0)"))</f>
        <v/>
      </c>
      <c r="V213" s="26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W213" s="28" t="n">
        <v>0.011</v>
      </c>
      <c r="X213" s="14" t="n">
        <v>47.64</v>
      </c>
      <c r="Y213" s="14">
        <f>ROUND(MIN(100, (X213/69.91)*100), 2)</f>
        <v/>
      </c>
    </row>
    <row r="214">
      <c r="A214" s="10" t="n">
        <v>4</v>
      </c>
      <c r="B214" s="10" t="n">
        <v>210</v>
      </c>
      <c r="C214" s="10" t="n">
        <v>3210</v>
      </c>
      <c r="D214" s="10" t="inlineStr">
        <is>
          <t>PH0003210</t>
        </is>
      </c>
      <c r="E214" s="26" t="inlineStr">
        <is>
          <t>III</t>
        </is>
      </c>
      <c r="F214" s="26" t="inlineStr">
        <is>
          <t>Nueva Ecija</t>
        </is>
      </c>
      <c r="G214" s="26" t="inlineStr">
        <is>
          <t>Cabanatuan City</t>
        </is>
      </c>
      <c r="H214" s="26" t="inlineStr">
        <is>
          <t>Matadero (Pob.)</t>
        </is>
      </c>
      <c r="I214" s="27" t="n">
        <v>15.517288</v>
      </c>
      <c r="J214" s="27" t="n">
        <v>120.973818</v>
      </c>
      <c r="K214" s="10" t="inlineStr">
        <is>
          <t>R</t>
        </is>
      </c>
      <c r="L214" s="12" t="n">
        <v>2398</v>
      </c>
      <c r="M214" s="14" t="n">
        <v>3.5</v>
      </c>
      <c r="N214" s="12">
        <f>ROUND(L214/M214, 0)</f>
        <v/>
      </c>
      <c r="O214" s="12">
        <f>ROUND(N214*'Methodology &amp; Assumptions'!$B$5, 0)</f>
        <v/>
      </c>
      <c r="P214" s="10" t="inlineStr">
        <is>
          <t>Single Carrier (Band n50, 100MHz TDD)</t>
        </is>
      </c>
      <c r="Q214" s="13">
        <f>ROUNDUP(O214/'Methodology &amp; Assumptions'!$B$6, 0)</f>
        <v/>
      </c>
      <c r="R214" s="13" t="n">
        <v>1</v>
      </c>
      <c r="S214" s="14" t="n">
        <v>4.18</v>
      </c>
      <c r="T214" s="14" t="n">
        <v>1.33</v>
      </c>
      <c r="U214" s="26">
        <f>IF(X214&gt;='Methodology &amp; Assumptions'!$B$7, "Tier 1 Critical GIDA (Score ≥ 50.0)", IF(X214&gt;='Methodology &amp; Assumptions'!$B$8, "Tier 2 High GIDA (Score 40.0–49.9)", "Tier 3 Moderate GIDA (Score &lt; 40.0)"))</f>
        <v/>
      </c>
      <c r="V214" s="26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W214" s="28" t="n">
        <v>0.083</v>
      </c>
      <c r="X214" s="14" t="n">
        <v>47.63</v>
      </c>
      <c r="Y214" s="14">
        <f>ROUND(MIN(100, (X214/69.91)*100), 2)</f>
        <v/>
      </c>
    </row>
    <row r="215">
      <c r="A215" s="10" t="n">
        <v>4</v>
      </c>
      <c r="B215" s="10" t="n">
        <v>211</v>
      </c>
      <c r="C215" s="10" t="n">
        <v>3211</v>
      </c>
      <c r="D215" s="10" t="inlineStr">
        <is>
          <t>0201503025</t>
        </is>
      </c>
      <c r="E215" s="26" t="inlineStr">
        <is>
          <t>Region II (Cagayan Valley)</t>
        </is>
      </c>
      <c r="F215" s="26" t="inlineStr">
        <is>
          <t>Cagayan</t>
        </is>
      </c>
      <c r="G215" s="26" t="inlineStr">
        <is>
          <t>Allacapan</t>
        </is>
      </c>
      <c r="H215" s="26" t="inlineStr">
        <is>
          <t>Tamboli</t>
        </is>
      </c>
      <c r="I215" s="27" t="n">
        <v>18.264669</v>
      </c>
      <c r="J215" s="27" t="n">
        <v>121.575552</v>
      </c>
      <c r="K215" s="10" t="inlineStr">
        <is>
          <t>R</t>
        </is>
      </c>
      <c r="L215" s="12" t="n">
        <v>843</v>
      </c>
      <c r="M215" s="14" t="n">
        <v>3.9</v>
      </c>
      <c r="N215" s="12">
        <f>ROUND(L215/M215, 0)</f>
        <v/>
      </c>
      <c r="O215" s="12">
        <f>ROUND(N215*'Methodology &amp; Assumptions'!$B$5, 0)</f>
        <v/>
      </c>
      <c r="P215" s="10" t="inlineStr">
        <is>
          <t>Single Carrier (Band n50, 100MHz TDD)</t>
        </is>
      </c>
      <c r="Q215" s="13">
        <f>ROUNDUP(O215/'Methodology &amp; Assumptions'!$B$6, 0)</f>
        <v/>
      </c>
      <c r="R215" s="13" t="n">
        <v>1</v>
      </c>
      <c r="S215" s="14" t="n">
        <v>3.8</v>
      </c>
      <c r="T215" s="14" t="n">
        <v>2.34</v>
      </c>
      <c r="U215" s="26">
        <f>IF(X215&gt;='Methodology &amp; Assumptions'!$B$7, "Tier 1 Critical GIDA (Score ≥ 50.0)", IF(X215&gt;='Methodology &amp; Assumptions'!$B$8, "Tier 2 High GIDA (Score 40.0–49.9)", "Tier 3 Moderate GIDA (Score &lt; 40.0)"))</f>
        <v/>
      </c>
      <c r="V215" s="26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W215" s="28" t="n">
        <v>0.083</v>
      </c>
      <c r="X215" s="14" t="n">
        <v>47.63</v>
      </c>
      <c r="Y215" s="14">
        <f>ROUND(MIN(100, (X215/69.91)*100), 2)</f>
        <v/>
      </c>
    </row>
    <row r="216">
      <c r="A216" s="10" t="n">
        <v>4</v>
      </c>
      <c r="B216" s="10" t="n">
        <v>212</v>
      </c>
      <c r="C216" s="10" t="n">
        <v>3212</v>
      </c>
      <c r="D216" s="10" t="inlineStr">
        <is>
          <t>0501705012</t>
        </is>
      </c>
      <c r="E216" s="26" t="inlineStr">
        <is>
          <t>Region V (Bicol Region)</t>
        </is>
      </c>
      <c r="F216" s="26" t="inlineStr">
        <is>
          <t>Camarines Sur</t>
        </is>
      </c>
      <c r="G216" s="26" t="inlineStr">
        <is>
          <t>Buhi</t>
        </is>
      </c>
      <c r="H216" s="26" t="inlineStr">
        <is>
          <t>Ibayugan</t>
        </is>
      </c>
      <c r="I216" s="27" t="n">
        <v>13.48704</v>
      </c>
      <c r="J216" s="27" t="n">
        <v>123.519499</v>
      </c>
      <c r="K216" s="10" t="inlineStr">
        <is>
          <t>R</t>
        </is>
      </c>
      <c r="L216" s="12" t="n">
        <v>1957</v>
      </c>
      <c r="M216" s="14" t="n">
        <v>4.2</v>
      </c>
      <c r="N216" s="12">
        <f>ROUND(L216/M216, 0)</f>
        <v/>
      </c>
      <c r="O216" s="12">
        <f>ROUND(N216*'Methodology &amp; Assumptions'!$B$5, 0)</f>
        <v/>
      </c>
      <c r="P216" s="10" t="inlineStr">
        <is>
          <t>Single Carrier (Band n50, 100MHz TDD)</t>
        </is>
      </c>
      <c r="Q216" s="13">
        <f>ROUNDUP(O216/'Methodology &amp; Assumptions'!$B$6, 0)</f>
        <v/>
      </c>
      <c r="R216" s="13" t="n">
        <v>1</v>
      </c>
      <c r="S216" s="14" t="n">
        <v>7.91</v>
      </c>
      <c r="T216" s="14" t="n">
        <v>7.59</v>
      </c>
      <c r="U216" s="26">
        <f>IF(X216&gt;='Methodology &amp; Assumptions'!$B$7, "Tier 1 Critical GIDA (Score ≥ 50.0)", IF(X216&gt;='Methodology &amp; Assumptions'!$B$8, "Tier 2 High GIDA (Score 40.0–49.9)", "Tier 3 Moderate GIDA (Score &lt; 40.0)"))</f>
        <v/>
      </c>
      <c r="V216" s="26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W216" s="28" t="n">
        <v>0.237</v>
      </c>
      <c r="X216" s="14" t="n">
        <v>47.62</v>
      </c>
      <c r="Y216" s="14">
        <f>ROUND(MIN(100, (X216/69.91)*100), 2)</f>
        <v/>
      </c>
    </row>
    <row r="217">
      <c r="A217" s="10" t="n">
        <v>4</v>
      </c>
      <c r="B217" s="10" t="n">
        <v>213</v>
      </c>
      <c r="C217" s="10" t="n">
        <v>3213</v>
      </c>
      <c r="D217" s="10" t="inlineStr">
        <is>
          <t>0405607088</t>
        </is>
      </c>
      <c r="E217" s="26" t="inlineStr">
        <is>
          <t>Region IV-A (CALABARZON)</t>
        </is>
      </c>
      <c r="F217" s="26" t="inlineStr">
        <is>
          <t>Quezon</t>
        </is>
      </c>
      <c r="G217" s="26" t="inlineStr">
        <is>
          <t>Calauag</t>
        </is>
      </c>
      <c r="H217" s="26" t="inlineStr">
        <is>
          <t>Villa San Isidro</t>
        </is>
      </c>
      <c r="I217" s="27" t="n">
        <v>14.168133</v>
      </c>
      <c r="J217" s="27" t="n">
        <v>122.21549</v>
      </c>
      <c r="K217" s="10" t="inlineStr">
        <is>
          <t>R</t>
        </is>
      </c>
      <c r="L217" s="12" t="n">
        <v>992</v>
      </c>
      <c r="M217" s="14" t="n">
        <v>3.8</v>
      </c>
      <c r="N217" s="12">
        <f>ROUND(L217/M217, 0)</f>
        <v/>
      </c>
      <c r="O217" s="12">
        <f>ROUND(N217*'Methodology &amp; Assumptions'!$B$5, 0)</f>
        <v/>
      </c>
      <c r="P217" s="10" t="inlineStr">
        <is>
          <t>Single Carrier (Band n50, 100MHz TDD)</t>
        </is>
      </c>
      <c r="Q217" s="13">
        <f>ROUNDUP(O217/'Methodology &amp; Assumptions'!$B$6, 0)</f>
        <v/>
      </c>
      <c r="R217" s="13" t="n">
        <v>1</v>
      </c>
      <c r="S217" s="14" t="n">
        <v>6.47</v>
      </c>
      <c r="T217" s="14" t="n">
        <v>17.73</v>
      </c>
      <c r="U217" s="26">
        <f>IF(X217&gt;='Methodology &amp; Assumptions'!$B$7, "Tier 1 Critical GIDA (Score ≥ 50.0)", IF(X217&gt;='Methodology &amp; Assumptions'!$B$8, "Tier 2 High GIDA (Score 40.0–49.9)", "Tier 3 Moderate GIDA (Score &lt; 40.0)"))</f>
        <v/>
      </c>
      <c r="V217" s="26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W217" s="28" t="n">
        <v>0.07200000000000001</v>
      </c>
      <c r="X217" s="14" t="n">
        <v>47.62</v>
      </c>
      <c r="Y217" s="14">
        <f>ROUND(MIN(100, (X217/69.91)*100), 2)</f>
        <v/>
      </c>
    </row>
    <row r="218">
      <c r="A218" s="10" t="n">
        <v>4</v>
      </c>
      <c r="B218" s="10" t="n">
        <v>214</v>
      </c>
      <c r="C218" s="10" t="n">
        <v>3214</v>
      </c>
      <c r="D218" s="10" t="inlineStr">
        <is>
          <t>0803701004</t>
        </is>
      </c>
      <c r="E218" s="26" t="inlineStr">
        <is>
          <t>Region VIII (Eastern Visayas)</t>
        </is>
      </c>
      <c r="F218" s="26" t="inlineStr">
        <is>
          <t>Leyte</t>
        </is>
      </c>
      <c r="G218" s="26" t="inlineStr">
        <is>
          <t>Abuyog</t>
        </is>
      </c>
      <c r="H218" s="26" t="inlineStr">
        <is>
          <t>Bagacay</t>
        </is>
      </c>
      <c r="I218" s="27" t="n">
        <v>10.60002</v>
      </c>
      <c r="J218" s="27" t="n">
        <v>125.172769</v>
      </c>
      <c r="K218" s="10" t="inlineStr">
        <is>
          <t>R</t>
        </is>
      </c>
      <c r="L218" s="12" t="n">
        <v>410</v>
      </c>
      <c r="M218" s="14" t="n">
        <v>3.8</v>
      </c>
      <c r="N218" s="12">
        <f>ROUND(L218/M218, 0)</f>
        <v/>
      </c>
      <c r="O218" s="12">
        <f>ROUND(N218*'Methodology &amp; Assumptions'!$B$5, 0)</f>
        <v/>
      </c>
      <c r="P218" s="10" t="inlineStr">
        <is>
          <t>Single Carrier (Band n50, 100MHz TDD)</t>
        </is>
      </c>
      <c r="Q218" s="13">
        <f>ROUNDUP(O218/'Methodology &amp; Assumptions'!$B$6, 0)</f>
        <v/>
      </c>
      <c r="R218" s="13" t="n">
        <v>1</v>
      </c>
      <c r="S218" s="14" t="n">
        <v>31.61</v>
      </c>
      <c r="T218" s="14" t="n">
        <v>22.22</v>
      </c>
      <c r="U218" s="26">
        <f>IF(X218&gt;='Methodology &amp; Assumptions'!$B$7, "Tier 1 Critical GIDA (Score ≥ 50.0)", IF(X218&gt;='Methodology &amp; Assumptions'!$B$8, "Tier 2 High GIDA (Score 40.0–49.9)", "Tier 3 Moderate GIDA (Score &lt; 40.0)"))</f>
        <v/>
      </c>
      <c r="V218" s="26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W218" s="28" t="n">
        <v>0.237</v>
      </c>
      <c r="X218" s="14" t="n">
        <v>47.62</v>
      </c>
      <c r="Y218" s="14">
        <f>ROUND(MIN(100, (X218/69.91)*100), 2)</f>
        <v/>
      </c>
    </row>
    <row r="219">
      <c r="A219" s="10" t="n">
        <v>4</v>
      </c>
      <c r="B219" s="10" t="n">
        <v>215</v>
      </c>
      <c r="C219" s="10" t="n">
        <v>3215</v>
      </c>
      <c r="D219" s="10" t="inlineStr">
        <is>
          <t>PH0003215</t>
        </is>
      </c>
      <c r="E219" s="26" t="inlineStr">
        <is>
          <t>CAR</t>
        </is>
      </c>
      <c r="F219" s="26" t="inlineStr">
        <is>
          <t>Benguet</t>
        </is>
      </c>
      <c r="G219" s="26" t="inlineStr">
        <is>
          <t>Baguio City</t>
        </is>
      </c>
      <c r="H219" s="26" t="inlineStr">
        <is>
          <t>Malcolm Square-Perfecto</t>
        </is>
      </c>
      <c r="I219" s="27" t="n">
        <v>16.431359</v>
      </c>
      <c r="J219" s="27" t="n">
        <v>120.55425</v>
      </c>
      <c r="K219" s="10" t="inlineStr">
        <is>
          <t>R</t>
        </is>
      </c>
      <c r="L219" s="12" t="n">
        <v>2260</v>
      </c>
      <c r="M219" s="14" t="n">
        <v>3.5</v>
      </c>
      <c r="N219" s="12">
        <f>ROUND(L219/M219, 0)</f>
        <v/>
      </c>
      <c r="O219" s="12">
        <f>ROUND(N219*'Methodology &amp; Assumptions'!$B$5, 0)</f>
        <v/>
      </c>
      <c r="P219" s="10" t="inlineStr">
        <is>
          <t>Single Carrier (Band n50, 100MHz TDD)</t>
        </is>
      </c>
      <c r="Q219" s="13">
        <f>ROUNDUP(O219/'Methodology &amp; Assumptions'!$B$6, 0)</f>
        <v/>
      </c>
      <c r="R219" s="13" t="n">
        <v>1</v>
      </c>
      <c r="S219" s="14" t="n">
        <v>2.44</v>
      </c>
      <c r="T219" s="14" t="n">
        <v>0.5600000000000001</v>
      </c>
      <c r="U219" s="26">
        <f>IF(X219&gt;='Methodology &amp; Assumptions'!$B$7, "Tier 1 Critical GIDA (Score ≥ 50.0)", IF(X219&gt;='Methodology &amp; Assumptions'!$B$8, "Tier 2 High GIDA (Score 40.0–49.9)", "Tier 3 Moderate GIDA (Score &lt; 40.0)"))</f>
        <v/>
      </c>
      <c r="V219" s="26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W219" s="28" t="n">
        <v>0.221</v>
      </c>
      <c r="X219" s="14" t="n">
        <v>47.61</v>
      </c>
      <c r="Y219" s="14">
        <f>ROUND(MIN(100, (X219/69.91)*100), 2)</f>
        <v/>
      </c>
    </row>
    <row r="220">
      <c r="A220" s="10" t="n">
        <v>4</v>
      </c>
      <c r="B220" s="10" t="n">
        <v>216</v>
      </c>
      <c r="C220" s="10" t="n">
        <v>3216</v>
      </c>
      <c r="D220" s="10" t="inlineStr">
        <is>
          <t>0203111006</t>
        </is>
      </c>
      <c r="E220" s="26" t="inlineStr">
        <is>
          <t>Region II (Cagayan Valley)</t>
        </is>
      </c>
      <c r="F220" s="26" t="inlineStr">
        <is>
          <t>Isabela</t>
        </is>
      </c>
      <c r="G220" s="26" t="inlineStr">
        <is>
          <t>Divilacan</t>
        </is>
      </c>
      <c r="H220" s="26" t="inlineStr">
        <is>
          <t>Bicobian</t>
        </is>
      </c>
      <c r="I220" s="27" t="n">
        <v>17.247044</v>
      </c>
      <c r="J220" s="27" t="n">
        <v>122.416018</v>
      </c>
      <c r="K220" s="10" t="inlineStr">
        <is>
          <t>R</t>
        </is>
      </c>
      <c r="L220" s="12" t="n">
        <v>716</v>
      </c>
      <c r="M220" s="14" t="n">
        <v>3.8</v>
      </c>
      <c r="N220" s="12">
        <f>ROUND(L220/M220, 0)</f>
        <v/>
      </c>
      <c r="O220" s="12">
        <f>ROUND(N220*'Methodology &amp; Assumptions'!$B$5, 0)</f>
        <v/>
      </c>
      <c r="P220" s="10" t="inlineStr">
        <is>
          <t>Single Carrier (Band n50, 100MHz TDD)</t>
        </is>
      </c>
      <c r="Q220" s="13">
        <f>ROUNDUP(O220/'Methodology &amp; Assumptions'!$B$6, 0)</f>
        <v/>
      </c>
      <c r="R220" s="13" t="n">
        <v>1</v>
      </c>
      <c r="S220" s="14" t="n">
        <v>46.14</v>
      </c>
      <c r="T220" s="14" t="n">
        <v>53.48</v>
      </c>
      <c r="U220" s="26">
        <f>IF(X220&gt;='Methodology &amp; Assumptions'!$B$7, "Tier 1 Critical GIDA (Score ≥ 50.0)", IF(X220&gt;='Methodology &amp; Assumptions'!$B$8, "Tier 2 High GIDA (Score 40.0–49.9)", "Tier 3 Moderate GIDA (Score &lt; 40.0)"))</f>
        <v/>
      </c>
      <c r="V220" s="26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W220" s="28" t="n">
        <v>0.083</v>
      </c>
      <c r="X220" s="14" t="n">
        <v>47.61</v>
      </c>
      <c r="Y220" s="14">
        <f>ROUND(MIN(100, (X220/69.91)*100), 2)</f>
        <v/>
      </c>
    </row>
    <row r="221">
      <c r="A221" s="10" t="n">
        <v>4</v>
      </c>
      <c r="B221" s="10" t="n">
        <v>217</v>
      </c>
      <c r="C221" s="10" t="n">
        <v>3217</v>
      </c>
      <c r="D221" s="10" t="inlineStr">
        <is>
          <t>0402103047</t>
        </is>
      </c>
      <c r="E221" s="26" t="inlineStr">
        <is>
          <t>Region IV-A (CALABARZON)</t>
        </is>
      </c>
      <c r="F221" s="26" t="inlineStr">
        <is>
          <t>Cavite</t>
        </is>
      </c>
      <c r="G221" s="26" t="inlineStr">
        <is>
          <t>City of Bacoor</t>
        </is>
      </c>
      <c r="H221" s="26" t="inlineStr">
        <is>
          <t>Molino IV</t>
        </is>
      </c>
      <c r="I221" s="27" t="n">
        <v>14.165704</v>
      </c>
      <c r="J221" s="27" t="n">
        <v>120.834398</v>
      </c>
      <c r="K221" s="10" t="inlineStr">
        <is>
          <t>U</t>
        </is>
      </c>
      <c r="L221" s="12" t="n">
        <v>70412</v>
      </c>
      <c r="M221" s="14" t="n">
        <v>3.4</v>
      </c>
      <c r="N221" s="12">
        <f>ROUND(L221/M221, 0)</f>
        <v/>
      </c>
      <c r="O221" s="12">
        <f>ROUND(N221*'Methodology &amp; Assumptions'!$B$5, 0)</f>
        <v/>
      </c>
      <c r="P221" s="10" t="inlineStr">
        <is>
          <t>Single Carrier (Band n50, 100MHz TDD)</t>
        </is>
      </c>
      <c r="Q221" s="13">
        <f>ROUNDUP(O221/'Methodology &amp; Assumptions'!$B$6, 0)</f>
        <v/>
      </c>
      <c r="R221" s="13" t="n">
        <v>1</v>
      </c>
      <c r="S221" s="14" t="n">
        <v>3.97</v>
      </c>
      <c r="T221" s="14" t="n">
        <v>7.49</v>
      </c>
      <c r="U221" s="26">
        <f>IF(X221&gt;='Methodology &amp; Assumptions'!$B$7, "Tier 1 Critical GIDA (Score ≥ 50.0)", IF(X221&gt;='Methodology &amp; Assumptions'!$B$8, "Tier 2 High GIDA (Score 40.0–49.9)", "Tier 3 Moderate GIDA (Score &lt; 40.0)"))</f>
        <v/>
      </c>
      <c r="V221" s="26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W221" s="28" t="n">
        <v>0.07200000000000001</v>
      </c>
      <c r="X221" s="14" t="n">
        <v>47.61</v>
      </c>
      <c r="Y221" s="14">
        <f>ROUND(MIN(100, (X221/69.91)*100), 2)</f>
        <v/>
      </c>
    </row>
    <row r="222">
      <c r="A222" s="10" t="n">
        <v>4</v>
      </c>
      <c r="B222" s="10" t="n">
        <v>218</v>
      </c>
      <c r="C222" s="10" t="n">
        <v>3218</v>
      </c>
      <c r="D222" s="10" t="inlineStr">
        <is>
          <t>1003517002</t>
        </is>
      </c>
      <c r="E222" s="26" t="inlineStr">
        <is>
          <t>Region X (Northern Mindanao)</t>
        </is>
      </c>
      <c r="F222" s="26" t="inlineStr">
        <is>
          <t>Lanao del Norte</t>
        </is>
      </c>
      <c r="G222" s="26" t="inlineStr">
        <is>
          <t>Poona Piagapo</t>
        </is>
      </c>
      <c r="H222" s="26" t="inlineStr">
        <is>
          <t>Bubong-Dinaig</t>
        </is>
      </c>
      <c r="I222" s="27" t="n">
        <v>8.070639</v>
      </c>
      <c r="J222" s="27" t="n">
        <v>124.154115</v>
      </c>
      <c r="K222" s="10" t="inlineStr">
        <is>
          <t>R</t>
        </is>
      </c>
      <c r="L222" s="12" t="n">
        <v>1134</v>
      </c>
      <c r="M222" s="14" t="n">
        <v>4.2</v>
      </c>
      <c r="N222" s="12">
        <f>ROUND(L222/M222, 0)</f>
        <v/>
      </c>
      <c r="O222" s="12">
        <f>ROUND(N222*'Methodology &amp; Assumptions'!$B$5, 0)</f>
        <v/>
      </c>
      <c r="P222" s="10" t="inlineStr">
        <is>
          <t>Single Carrier (Band n50, 100MHz TDD)</t>
        </is>
      </c>
      <c r="Q222" s="13">
        <f>ROUNDUP(O222/'Methodology &amp; Assumptions'!$B$6, 0)</f>
        <v/>
      </c>
      <c r="R222" s="13" t="n">
        <v>1</v>
      </c>
      <c r="S222" s="14" t="n">
        <v>14.85</v>
      </c>
      <c r="T222" s="14" t="n">
        <v>8.77</v>
      </c>
      <c r="U222" s="26">
        <f>IF(X222&gt;='Methodology &amp; Assumptions'!$B$7, "Tier 1 Critical GIDA (Score ≥ 50.0)", IF(X222&gt;='Methodology &amp; Assumptions'!$B$8, "Tier 2 High GIDA (Score 40.0–49.9)", "Tier 3 Moderate GIDA (Score &lt; 40.0)"))</f>
        <v/>
      </c>
      <c r="V222" s="26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W222" s="28" t="n">
        <v>0.174</v>
      </c>
      <c r="X222" s="14" t="n">
        <v>47.6</v>
      </c>
      <c r="Y222" s="14">
        <f>ROUND(MIN(100, (X222/69.91)*100), 2)</f>
        <v/>
      </c>
    </row>
    <row r="223">
      <c r="A223" s="10" t="n">
        <v>4</v>
      </c>
      <c r="B223" s="10" t="n">
        <v>219</v>
      </c>
      <c r="C223" s="10" t="n">
        <v>3219</v>
      </c>
      <c r="D223" s="10" t="inlineStr">
        <is>
          <t>PH0003219</t>
        </is>
      </c>
      <c r="E223" s="26" t="inlineStr">
        <is>
          <t>NCR</t>
        </is>
      </c>
      <c r="F223" s="26" t="inlineStr">
        <is>
          <t>Metro Manila</t>
        </is>
      </c>
      <c r="G223" s="26" t="inlineStr">
        <is>
          <t>Caloocan City</t>
        </is>
      </c>
      <c r="H223" s="26" t="inlineStr">
        <is>
          <t>Barangay 112</t>
        </is>
      </c>
      <c r="I223" s="27" t="n">
        <v>14.227308</v>
      </c>
      <c r="J223" s="27" t="n">
        <v>121.054374</v>
      </c>
      <c r="K223" s="10" t="inlineStr">
        <is>
          <t>R</t>
        </is>
      </c>
      <c r="L223" s="12" t="n">
        <v>2279</v>
      </c>
      <c r="M223" s="14" t="n">
        <v>3.8</v>
      </c>
      <c r="N223" s="12">
        <f>ROUND(L223/M223, 0)</f>
        <v/>
      </c>
      <c r="O223" s="12">
        <f>ROUND(N223*'Methodology &amp; Assumptions'!$B$5, 0)</f>
        <v/>
      </c>
      <c r="P223" s="10" t="inlineStr">
        <is>
          <t>Single Carrier (Band n50, 100MHz TDD)</t>
        </is>
      </c>
      <c r="Q223" s="13">
        <f>ROUNDUP(O223/'Methodology &amp; Assumptions'!$B$6, 0)</f>
        <v/>
      </c>
      <c r="R223" s="13" t="n">
        <v>1</v>
      </c>
      <c r="S223" s="14" t="n">
        <v>2.72</v>
      </c>
      <c r="T223" s="14" t="n">
        <v>0.77</v>
      </c>
      <c r="U223" s="26">
        <f>IF(X223&gt;='Methodology &amp; Assumptions'!$B$7, "Tier 1 Critical GIDA (Score ≥ 50.0)", IF(X223&gt;='Methodology &amp; Assumptions'!$B$8, "Tier 2 High GIDA (Score 40.0–49.9)", "Tier 3 Moderate GIDA (Score &lt; 40.0)"))</f>
        <v/>
      </c>
      <c r="V223" s="26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W223" s="28" t="n">
        <v>0.011</v>
      </c>
      <c r="X223" s="14" t="n">
        <v>47.6</v>
      </c>
      <c r="Y223" s="14">
        <f>ROUND(MIN(100, (X223/69.91)*100), 2)</f>
        <v/>
      </c>
    </row>
    <row r="224">
      <c r="A224" s="10" t="n">
        <v>4</v>
      </c>
      <c r="B224" s="10" t="n">
        <v>220</v>
      </c>
      <c r="C224" s="10" t="n">
        <v>3220</v>
      </c>
      <c r="D224" s="10" t="inlineStr">
        <is>
          <t>PH0003220</t>
        </is>
      </c>
      <c r="E224" s="26" t="inlineStr">
        <is>
          <t>IV-A</t>
        </is>
      </c>
      <c r="F224" s="26" t="inlineStr">
        <is>
          <t>Cavite</t>
        </is>
      </c>
      <c r="G224" s="26" t="inlineStr">
        <is>
          <t>Imus City</t>
        </is>
      </c>
      <c r="H224" s="26" t="inlineStr">
        <is>
          <t>Poblacion IV-D</t>
        </is>
      </c>
      <c r="I224" s="27" t="n">
        <v>14.275263</v>
      </c>
      <c r="J224" s="27" t="n">
        <v>120.907284</v>
      </c>
      <c r="K224" s="10" t="inlineStr">
        <is>
          <t>R</t>
        </is>
      </c>
      <c r="L224" s="12" t="n">
        <v>2316</v>
      </c>
      <c r="M224" s="14" t="n">
        <v>3.4</v>
      </c>
      <c r="N224" s="12">
        <f>ROUND(L224/M224, 0)</f>
        <v/>
      </c>
      <c r="O224" s="12">
        <f>ROUND(N224*'Methodology &amp; Assumptions'!$B$5, 0)</f>
        <v/>
      </c>
      <c r="P224" s="10" t="inlineStr">
        <is>
          <t>Single Carrier (Band n50, 100MHz TDD)</t>
        </is>
      </c>
      <c r="Q224" s="13">
        <f>ROUNDUP(O224/'Methodology &amp; Assumptions'!$B$6, 0)</f>
        <v/>
      </c>
      <c r="R224" s="13" t="n">
        <v>1</v>
      </c>
      <c r="S224" s="14" t="n">
        <v>2.12</v>
      </c>
      <c r="T224" s="14" t="n">
        <v>1.72</v>
      </c>
      <c r="U224" s="26">
        <f>IF(X224&gt;='Methodology &amp; Assumptions'!$B$7, "Tier 1 Critical GIDA (Score ≥ 50.0)", IF(X224&gt;='Methodology &amp; Assumptions'!$B$8, "Tier 2 High GIDA (Score 40.0–49.9)", "Tier 3 Moderate GIDA (Score &lt; 40.0)"))</f>
        <v/>
      </c>
      <c r="V224" s="26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W224" s="28" t="n">
        <v>0.07200000000000001</v>
      </c>
      <c r="X224" s="14" t="n">
        <v>47.6</v>
      </c>
      <c r="Y224" s="14">
        <f>ROUND(MIN(100, (X224/69.91)*100), 2)</f>
        <v/>
      </c>
    </row>
    <row r="225">
      <c r="A225" s="10" t="n">
        <v>4</v>
      </c>
      <c r="B225" s="10" t="n">
        <v>221</v>
      </c>
      <c r="C225" s="10" t="n">
        <v>3221</v>
      </c>
      <c r="D225" s="10" t="inlineStr">
        <is>
          <t>1381300026</t>
        </is>
      </c>
      <c r="E225" s="26" t="inlineStr">
        <is>
          <t>National Capital Region (NCR)</t>
        </is>
      </c>
      <c r="F225" s="26" t="inlineStr">
        <is>
          <t>Second District (Not a Province)</t>
        </is>
      </c>
      <c r="G225" s="26" t="inlineStr">
        <is>
          <t>Quezon City</t>
        </is>
      </c>
      <c r="H225" s="26" t="inlineStr">
        <is>
          <t>Damar</t>
        </is>
      </c>
      <c r="I225" s="27" t="n">
        <v>14.68294</v>
      </c>
      <c r="J225" s="27" t="n">
        <v>121.062417</v>
      </c>
      <c r="K225" s="10" t="inlineStr">
        <is>
          <t>U</t>
        </is>
      </c>
      <c r="L225" s="12" t="n">
        <v>992</v>
      </c>
      <c r="M225" s="14" t="n">
        <v>3.8</v>
      </c>
      <c r="N225" s="12">
        <f>ROUND(L225/M225, 0)</f>
        <v/>
      </c>
      <c r="O225" s="12">
        <f>ROUND(N225*'Methodology &amp; Assumptions'!$B$5, 0)</f>
        <v/>
      </c>
      <c r="P225" s="10" t="inlineStr">
        <is>
          <t>Single Carrier (Band n50, 100MHz TDD)</t>
        </is>
      </c>
      <c r="Q225" s="13">
        <f>ROUNDUP(O225/'Methodology &amp; Assumptions'!$B$6, 0)</f>
        <v/>
      </c>
      <c r="R225" s="13" t="n">
        <v>1</v>
      </c>
      <c r="S225" s="14" t="n">
        <v>1.62</v>
      </c>
      <c r="T225" s="14" t="n">
        <v>1.12</v>
      </c>
      <c r="U225" s="26">
        <f>IF(X225&gt;='Methodology &amp; Assumptions'!$B$7, "Tier 1 Critical GIDA (Score ≥ 50.0)", IF(X225&gt;='Methodology &amp; Assumptions'!$B$8, "Tier 2 High GIDA (Score 40.0–49.9)", "Tier 3 Moderate GIDA (Score &lt; 40.0)"))</f>
        <v/>
      </c>
      <c r="V225" s="26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W225" s="28" t="n">
        <v>0.109</v>
      </c>
      <c r="X225" s="14" t="n">
        <v>47.59</v>
      </c>
      <c r="Y225" s="14">
        <f>ROUND(MIN(100, (X225/69.91)*100), 2)</f>
        <v/>
      </c>
    </row>
    <row r="226">
      <c r="A226" s="10" t="n">
        <v>4</v>
      </c>
      <c r="B226" s="10" t="n">
        <v>222</v>
      </c>
      <c r="C226" s="10" t="n">
        <v>3222</v>
      </c>
      <c r="D226" s="10" t="inlineStr">
        <is>
          <t>1380601242</t>
        </is>
      </c>
      <c r="E226" s="26" t="inlineStr">
        <is>
          <t>National Capital Region (NCR)</t>
        </is>
      </c>
      <c r="F226" s="26" t="inlineStr">
        <is>
          <t>First District (Not a Province)</t>
        </is>
      </c>
      <c r="G226" s="26" t="inlineStr">
        <is>
          <t>City of Manila</t>
        </is>
      </c>
      <c r="H226" s="26" t="inlineStr">
        <is>
          <t>Barangay 241</t>
        </is>
      </c>
      <c r="I226" s="27" t="n">
        <v>14.168299</v>
      </c>
      <c r="J226" s="27" t="n">
        <v>121.716287</v>
      </c>
      <c r="K226" s="10" t="inlineStr">
        <is>
          <t>U</t>
        </is>
      </c>
      <c r="L226" s="12" t="n">
        <v>461</v>
      </c>
      <c r="M226" s="14" t="n">
        <v>3.9</v>
      </c>
      <c r="N226" s="12">
        <f>ROUND(L226/M226, 0)</f>
        <v/>
      </c>
      <c r="O226" s="12">
        <f>ROUND(N226*'Methodology &amp; Assumptions'!$B$5, 0)</f>
        <v/>
      </c>
      <c r="P226" s="10" t="inlineStr">
        <is>
          <t>Single Carrier (Band n50, 100MHz TDD)</t>
        </is>
      </c>
      <c r="Q226" s="13">
        <f>ROUNDUP(O226/'Methodology &amp; Assumptions'!$B$6, 0)</f>
        <v/>
      </c>
      <c r="R226" s="13" t="n">
        <v>1</v>
      </c>
      <c r="S226" s="14" t="n">
        <v>1.16</v>
      </c>
      <c r="T226" s="14" t="n">
        <v>16.79</v>
      </c>
      <c r="U226" s="26">
        <f>IF(X226&gt;='Methodology &amp; Assumptions'!$B$7, "Tier 1 Critical GIDA (Score ≥ 50.0)", IF(X226&gt;='Methodology &amp; Assumptions'!$B$8, "Tier 2 High GIDA (Score 40.0–49.9)", "Tier 3 Moderate GIDA (Score &lt; 40.0)"))</f>
        <v/>
      </c>
      <c r="V226" s="26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W226" s="28" t="n">
        <v>0.109</v>
      </c>
      <c r="X226" s="14" t="n">
        <v>47.59</v>
      </c>
      <c r="Y226" s="14">
        <f>ROUND(MIN(100, (X226/69.91)*100), 2)</f>
        <v/>
      </c>
    </row>
    <row r="227">
      <c r="A227" s="10" t="n">
        <v>4</v>
      </c>
      <c r="B227" s="10" t="n">
        <v>223</v>
      </c>
      <c r="C227" s="10" t="n">
        <v>3223</v>
      </c>
      <c r="D227" s="10" t="inlineStr">
        <is>
          <t>PH0003223</t>
        </is>
      </c>
      <c r="E227" s="26" t="inlineStr">
        <is>
          <t>III</t>
        </is>
      </c>
      <c r="F227" s="26" t="inlineStr">
        <is>
          <t>Pampanga</t>
        </is>
      </c>
      <c r="G227" s="26" t="inlineStr">
        <is>
          <t>Angeles City</t>
        </is>
      </c>
      <c r="H227" s="26" t="inlineStr">
        <is>
          <t>Claro M. Recto</t>
        </is>
      </c>
      <c r="I227" s="27" t="n">
        <v>15.145167</v>
      </c>
      <c r="J227" s="27" t="n">
        <v>120.592692</v>
      </c>
      <c r="K227" s="10" t="inlineStr">
        <is>
          <t>R</t>
        </is>
      </c>
      <c r="L227" s="12" t="n">
        <v>2334</v>
      </c>
      <c r="M227" s="14" t="n">
        <v>4</v>
      </c>
      <c r="N227" s="12">
        <f>ROUND(L227/M227, 0)</f>
        <v/>
      </c>
      <c r="O227" s="12">
        <f>ROUND(N227*'Methodology &amp; Assumptions'!$B$5, 0)</f>
        <v/>
      </c>
      <c r="P227" s="10" t="inlineStr">
        <is>
          <t>Single Carrier (Band n50, 100MHz TDD)</t>
        </is>
      </c>
      <c r="Q227" s="13">
        <f>ROUNDUP(O227/'Methodology &amp; Assumptions'!$B$6, 0)</f>
        <v/>
      </c>
      <c r="R227" s="13" t="n">
        <v>1</v>
      </c>
      <c r="S227" s="14" t="n">
        <v>0.71</v>
      </c>
      <c r="T227" s="14" t="n">
        <v>0.27</v>
      </c>
      <c r="U227" s="26">
        <f>IF(X227&gt;='Methodology &amp; Assumptions'!$B$7, "Tier 1 Critical GIDA (Score ≥ 50.0)", IF(X227&gt;='Methodology &amp; Assumptions'!$B$8, "Tier 2 High GIDA (Score 40.0–49.9)", "Tier 3 Moderate GIDA (Score &lt; 40.0)"))</f>
        <v/>
      </c>
      <c r="V227" s="26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W227" s="28" t="n">
        <v>0.083</v>
      </c>
      <c r="X227" s="14" t="n">
        <v>47.59</v>
      </c>
      <c r="Y227" s="14">
        <f>ROUND(MIN(100, (X227/69.91)*100), 2)</f>
        <v/>
      </c>
    </row>
    <row r="228">
      <c r="A228" s="10" t="n">
        <v>4</v>
      </c>
      <c r="B228" s="10" t="n">
        <v>224</v>
      </c>
      <c r="C228" s="10" t="n">
        <v>3224</v>
      </c>
      <c r="D228" s="10" t="inlineStr">
        <is>
          <t>1003521008</t>
        </is>
      </c>
      <c r="E228" s="26" t="inlineStr">
        <is>
          <t>Region X (Northern Mindanao)</t>
        </is>
      </c>
      <c r="F228" s="26" t="inlineStr">
        <is>
          <t>Lanao del Norte</t>
        </is>
      </c>
      <c r="G228" s="26" t="inlineStr">
        <is>
          <t>Tangcal</t>
        </is>
      </c>
      <c r="H228" s="26" t="inlineStr">
        <is>
          <t>Lamaosa</t>
        </is>
      </c>
      <c r="I228" s="27" t="n">
        <v>8.025114</v>
      </c>
      <c r="J228" s="27" t="n">
        <v>123.962668</v>
      </c>
      <c r="K228" s="10" t="inlineStr">
        <is>
          <t>R</t>
        </is>
      </c>
      <c r="L228" s="12" t="n">
        <v>815</v>
      </c>
      <c r="M228" s="14" t="n">
        <v>4.2</v>
      </c>
      <c r="N228" s="12">
        <f>ROUND(L228/M228, 0)</f>
        <v/>
      </c>
      <c r="O228" s="12">
        <f>ROUND(N228*'Methodology &amp; Assumptions'!$B$5, 0)</f>
        <v/>
      </c>
      <c r="P228" s="10" t="inlineStr">
        <is>
          <t>Single Carrier (Band n50, 100MHz TDD)</t>
        </is>
      </c>
      <c r="Q228" s="13">
        <f>ROUNDUP(O228/'Methodology &amp; Assumptions'!$B$6, 0)</f>
        <v/>
      </c>
      <c r="R228" s="13" t="n">
        <v>1</v>
      </c>
      <c r="S228" s="14" t="n">
        <v>18.11</v>
      </c>
      <c r="T228" s="14" t="n">
        <v>12.02</v>
      </c>
      <c r="U228" s="26">
        <f>IF(X228&gt;='Methodology &amp; Assumptions'!$B$7, "Tier 1 Critical GIDA (Score ≥ 50.0)", IF(X228&gt;='Methodology &amp; Assumptions'!$B$8, "Tier 2 High GIDA (Score 40.0–49.9)", "Tier 3 Moderate GIDA (Score &lt; 40.0)"))</f>
        <v/>
      </c>
      <c r="V228" s="26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W228" s="28" t="n">
        <v>0.174</v>
      </c>
      <c r="X228" s="14" t="n">
        <v>47.59</v>
      </c>
      <c r="Y228" s="14">
        <f>ROUND(MIN(100, (X228/69.91)*100), 2)</f>
        <v/>
      </c>
    </row>
    <row r="229">
      <c r="A229" s="10" t="n">
        <v>4</v>
      </c>
      <c r="B229" s="10" t="n">
        <v>225</v>
      </c>
      <c r="C229" s="10" t="n">
        <v>3225</v>
      </c>
      <c r="D229" s="10" t="inlineStr">
        <is>
          <t>PH0003225</t>
        </is>
      </c>
      <c r="E229" s="26" t="inlineStr">
        <is>
          <t>IV-A</t>
        </is>
      </c>
      <c r="F229" s="26" t="inlineStr">
        <is>
          <t>Cavite</t>
        </is>
      </c>
      <c r="G229" s="26" t="inlineStr">
        <is>
          <t>City of Bacoor</t>
        </is>
      </c>
      <c r="H229" s="26" t="inlineStr">
        <is>
          <t>Zapote 1</t>
        </is>
      </c>
      <c r="I229" s="27" t="n">
        <v>14.426261</v>
      </c>
      <c r="J229" s="27" t="n">
        <v>120.863337</v>
      </c>
      <c r="K229" s="10" t="inlineStr">
        <is>
          <t>R</t>
        </is>
      </c>
      <c r="L229" s="12" t="n">
        <v>9584</v>
      </c>
      <c r="M229" s="14" t="n">
        <v>3.4</v>
      </c>
      <c r="N229" s="12">
        <f>ROUND(L229/M229, 0)</f>
        <v/>
      </c>
      <c r="O229" s="12">
        <f>ROUND(N229*'Methodology &amp; Assumptions'!$B$5, 0)</f>
        <v/>
      </c>
      <c r="P229" s="10" t="inlineStr">
        <is>
          <t>Single Carrier (Band n50, 100MHz TDD)</t>
        </is>
      </c>
      <c r="Q229" s="13">
        <f>ROUNDUP(O229/'Methodology &amp; Assumptions'!$B$6, 0)</f>
        <v/>
      </c>
      <c r="R229" s="13" t="n">
        <v>1</v>
      </c>
      <c r="S229" s="14" t="n">
        <v>2.15</v>
      </c>
      <c r="T229" s="14" t="n">
        <v>2.12</v>
      </c>
      <c r="U229" s="26">
        <f>IF(X229&gt;='Methodology &amp; Assumptions'!$B$7, "Tier 1 Critical GIDA (Score ≥ 50.0)", IF(X229&gt;='Methodology &amp; Assumptions'!$B$8, "Tier 2 High GIDA (Score 40.0–49.9)", "Tier 3 Moderate GIDA (Score &lt; 40.0)"))</f>
        <v/>
      </c>
      <c r="V229" s="26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W229" s="28" t="n">
        <v>0.07200000000000001</v>
      </c>
      <c r="X229" s="14" t="n">
        <v>47.58</v>
      </c>
      <c r="Y229" s="14">
        <f>ROUND(MIN(100, (X229/69.91)*100), 2)</f>
        <v/>
      </c>
    </row>
    <row r="230">
      <c r="A230" s="10" t="n">
        <v>4</v>
      </c>
      <c r="B230" s="10" t="n">
        <v>226</v>
      </c>
      <c r="C230" s="10" t="n">
        <v>3226</v>
      </c>
      <c r="D230" s="10" t="inlineStr">
        <is>
          <t>1403201010</t>
        </is>
      </c>
      <c r="E230" s="26" t="inlineStr">
        <is>
          <t>Cordillera Administrative Region (CAR)</t>
        </is>
      </c>
      <c r="F230" s="26" t="inlineStr">
        <is>
          <t>Kalinga</t>
        </is>
      </c>
      <c r="G230" s="26" t="inlineStr">
        <is>
          <t>Balbalan</t>
        </is>
      </c>
      <c r="H230" s="26" t="inlineStr">
        <is>
          <t>Maling</t>
        </is>
      </c>
      <c r="I230" s="27" t="n">
        <v>17.459073</v>
      </c>
      <c r="J230" s="27" t="n">
        <v>121.223531</v>
      </c>
      <c r="K230" s="10" t="inlineStr">
        <is>
          <t>R</t>
        </is>
      </c>
      <c r="L230" s="12" t="n">
        <v>439</v>
      </c>
      <c r="M230" s="14" t="n">
        <v>4.3</v>
      </c>
      <c r="N230" s="12">
        <f>ROUND(L230/M230, 0)</f>
        <v/>
      </c>
      <c r="O230" s="12">
        <f>ROUND(N230*'Methodology &amp; Assumptions'!$B$5, 0)</f>
        <v/>
      </c>
      <c r="P230" s="10" t="inlineStr">
        <is>
          <t>Single Carrier (Band n50, 100MHz TDD)</t>
        </is>
      </c>
      <c r="Q230" s="13">
        <f>ROUNDUP(O230/'Methodology &amp; Assumptions'!$B$6, 0)</f>
        <v/>
      </c>
      <c r="R230" s="13" t="n">
        <v>1</v>
      </c>
      <c r="S230" s="14" t="n">
        <v>16.53</v>
      </c>
      <c r="T230" s="14" t="n">
        <v>5.66</v>
      </c>
      <c r="U230" s="26">
        <f>IF(X230&gt;='Methodology &amp; Assumptions'!$B$7, "Tier 1 Critical GIDA (Score ≥ 50.0)", IF(X230&gt;='Methodology &amp; Assumptions'!$B$8, "Tier 2 High GIDA (Score 40.0–49.9)", "Tier 3 Moderate GIDA (Score &lt; 40.0)"))</f>
        <v/>
      </c>
      <c r="V230" s="26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W230" s="28" t="n">
        <v>0.109</v>
      </c>
      <c r="X230" s="14" t="n">
        <v>47.56</v>
      </c>
      <c r="Y230" s="14">
        <f>ROUND(MIN(100, (X230/69.91)*100), 2)</f>
        <v/>
      </c>
    </row>
    <row r="231">
      <c r="A231" s="10" t="n">
        <v>4</v>
      </c>
      <c r="B231" s="10" t="n">
        <v>227</v>
      </c>
      <c r="C231" s="10" t="n">
        <v>3227</v>
      </c>
      <c r="D231" s="10" t="inlineStr">
        <is>
          <t>PH0003227</t>
        </is>
      </c>
      <c r="E231" s="26" t="inlineStr">
        <is>
          <t>VI</t>
        </is>
      </c>
      <c r="F231" s="26" t="inlineStr">
        <is>
          <t>Iloilo</t>
        </is>
      </c>
      <c r="G231" s="26" t="inlineStr">
        <is>
          <t>Iloilo City</t>
        </is>
      </c>
      <c r="H231" s="26" t="inlineStr">
        <is>
          <t>Tabuc Suba</t>
        </is>
      </c>
      <c r="I231" s="27" t="n">
        <v>10.733314</v>
      </c>
      <c r="J231" s="27" t="n">
        <v>122.554426</v>
      </c>
      <c r="K231" s="10" t="inlineStr">
        <is>
          <t>R</t>
        </is>
      </c>
      <c r="L231" s="12" t="n">
        <v>2230</v>
      </c>
      <c r="M231" s="14" t="n">
        <v>3.8</v>
      </c>
      <c r="N231" s="12">
        <f>ROUND(L231/M231, 0)</f>
        <v/>
      </c>
      <c r="O231" s="12">
        <f>ROUND(N231*'Methodology &amp; Assumptions'!$B$5, 0)</f>
        <v/>
      </c>
      <c r="P231" s="10" t="inlineStr">
        <is>
          <t>Single Carrier (Band n50, 100MHz TDD)</t>
        </is>
      </c>
      <c r="Q231" s="13">
        <f>ROUNDUP(O231/'Methodology &amp; Assumptions'!$B$6, 0)</f>
        <v/>
      </c>
      <c r="R231" s="13" t="n">
        <v>1</v>
      </c>
      <c r="S231" s="14" t="n">
        <v>1.91</v>
      </c>
      <c r="T231" s="14" t="n">
        <v>0.61</v>
      </c>
      <c r="U231" s="26">
        <f>IF(X231&gt;='Methodology &amp; Assumptions'!$B$7, "Tier 1 Critical GIDA (Score ≥ 50.0)", IF(X231&gt;='Methodology &amp; Assumptions'!$B$8, "Tier 2 High GIDA (Score 40.0–49.9)", "Tier 3 Moderate GIDA (Score &lt; 40.0)"))</f>
        <v/>
      </c>
      <c r="V231" s="26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W231" s="28" t="n">
        <v>0.156</v>
      </c>
      <c r="X231" s="14" t="n">
        <v>47.56</v>
      </c>
      <c r="Y231" s="14">
        <f>ROUND(MIN(100, (X231/69.91)*100), 2)</f>
        <v/>
      </c>
    </row>
    <row r="232">
      <c r="A232" s="10" t="n">
        <v>4</v>
      </c>
      <c r="B232" s="10" t="n">
        <v>228</v>
      </c>
      <c r="C232" s="10" t="n">
        <v>3228</v>
      </c>
      <c r="D232" s="10" t="inlineStr">
        <is>
          <t>1705311014</t>
        </is>
      </c>
      <c r="E232" s="26" t="inlineStr">
        <is>
          <t>MIMAROPA Region</t>
        </is>
      </c>
      <c r="F232" s="26" t="inlineStr">
        <is>
          <t>Palawan</t>
        </is>
      </c>
      <c r="G232" s="26" t="inlineStr">
        <is>
          <t>Dumaran</t>
        </is>
      </c>
      <c r="H232" s="26" t="inlineStr">
        <is>
          <t>Santo Tomas</t>
        </is>
      </c>
      <c r="I232" s="27" t="n">
        <v>10.50376</v>
      </c>
      <c r="J232" s="27" t="n">
        <v>119.81963</v>
      </c>
      <c r="K232" s="10" t="inlineStr">
        <is>
          <t>R</t>
        </is>
      </c>
      <c r="L232" s="12" t="n">
        <v>1238</v>
      </c>
      <c r="M232" s="14" t="n">
        <v>3.9</v>
      </c>
      <c r="N232" s="12">
        <f>ROUND(L232/M232, 0)</f>
        <v/>
      </c>
      <c r="O232" s="12">
        <f>ROUND(N232*'Methodology &amp; Assumptions'!$B$5, 0)</f>
        <v/>
      </c>
      <c r="P232" s="10" t="inlineStr">
        <is>
          <t>Single Carrier (Band n50, 100MHz TDD)</t>
        </is>
      </c>
      <c r="Q232" s="13">
        <f>ROUNDUP(O232/'Methodology &amp; Assumptions'!$B$6, 0)</f>
        <v/>
      </c>
      <c r="R232" s="13" t="n">
        <v>1</v>
      </c>
      <c r="S232" s="14" t="n">
        <v>33.49</v>
      </c>
      <c r="T232" s="14" t="n">
        <v>41.94</v>
      </c>
      <c r="U232" s="26">
        <f>IF(X232&gt;='Methodology &amp; Assumptions'!$B$7, "Tier 1 Critical GIDA (Score ≥ 50.0)", IF(X232&gt;='Methodology &amp; Assumptions'!$B$8, "Tier 2 High GIDA (Score 40.0–49.9)", "Tier 3 Moderate GIDA (Score &lt; 40.0)"))</f>
        <v/>
      </c>
      <c r="V232" s="26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W232" s="28" t="n">
        <v>0.15</v>
      </c>
      <c r="X232" s="14" t="n">
        <v>47.56</v>
      </c>
      <c r="Y232" s="14">
        <f>ROUND(MIN(100, (X232/69.91)*100), 2)</f>
        <v/>
      </c>
    </row>
    <row r="233">
      <c r="A233" s="10" t="n">
        <v>4</v>
      </c>
      <c r="B233" s="10" t="n">
        <v>229</v>
      </c>
      <c r="C233" s="10" t="n">
        <v>3229</v>
      </c>
      <c r="D233" s="10" t="inlineStr">
        <is>
          <t>PH0003229</t>
        </is>
      </c>
      <c r="E233" s="26" t="inlineStr">
        <is>
          <t>NCR</t>
        </is>
      </c>
      <c r="F233" s="26" t="inlineStr">
        <is>
          <t>Metro Manila</t>
        </is>
      </c>
      <c r="G233" s="26" t="inlineStr">
        <is>
          <t>Caloocan City</t>
        </is>
      </c>
      <c r="H233" s="26" t="inlineStr">
        <is>
          <t>Barangay 172</t>
        </is>
      </c>
      <c r="I233" s="27" t="n">
        <v>12.359618</v>
      </c>
      <c r="J233" s="27" t="n">
        <v>123.239793</v>
      </c>
      <c r="K233" s="10" t="inlineStr">
        <is>
          <t>R</t>
        </is>
      </c>
      <c r="L233" s="12" t="n">
        <v>2279</v>
      </c>
      <c r="M233" s="14" t="n">
        <v>3.8</v>
      </c>
      <c r="N233" s="12">
        <f>ROUND(L233/M233, 0)</f>
        <v/>
      </c>
      <c r="O233" s="12">
        <f>ROUND(N233*'Methodology &amp; Assumptions'!$B$5, 0)</f>
        <v/>
      </c>
      <c r="P233" s="10" t="inlineStr">
        <is>
          <t>Single Carrier (Band n50, 100MHz TDD)</t>
        </is>
      </c>
      <c r="Q233" s="13">
        <f>ROUNDUP(O233/'Methodology &amp; Assumptions'!$B$6, 0)</f>
        <v/>
      </c>
      <c r="R233" s="13" t="n">
        <v>1</v>
      </c>
      <c r="S233" s="14" t="n">
        <v>12.45</v>
      </c>
      <c r="T233" s="14" t="n">
        <v>27.5</v>
      </c>
      <c r="U233" s="26">
        <f>IF(X233&gt;='Methodology &amp; Assumptions'!$B$7, "Tier 1 Critical GIDA (Score ≥ 50.0)", IF(X233&gt;='Methodology &amp; Assumptions'!$B$8, "Tier 2 High GIDA (Score 40.0–49.9)", "Tier 3 Moderate GIDA (Score &lt; 40.0)"))</f>
        <v/>
      </c>
      <c r="V233" s="26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W233" s="28" t="n">
        <v>0.011</v>
      </c>
      <c r="X233" s="14" t="n">
        <v>47.55</v>
      </c>
      <c r="Y233" s="14">
        <f>ROUND(MIN(100, (X233/69.91)*100), 2)</f>
        <v/>
      </c>
    </row>
    <row r="234">
      <c r="A234" s="10" t="n">
        <v>4</v>
      </c>
      <c r="B234" s="10" t="n">
        <v>230</v>
      </c>
      <c r="C234" s="10" t="n">
        <v>3230</v>
      </c>
      <c r="D234" s="10" t="inlineStr">
        <is>
          <t>1705109023</t>
        </is>
      </c>
      <c r="E234" s="26" t="inlineStr">
        <is>
          <t>MIMAROPA Region</t>
        </is>
      </c>
      <c r="F234" s="26" t="inlineStr">
        <is>
          <t>Occidental Mindoro</t>
        </is>
      </c>
      <c r="G234" s="26" t="inlineStr">
        <is>
          <t>Sablayan</t>
        </is>
      </c>
      <c r="H234" s="26" t="inlineStr">
        <is>
          <t>Malisbong</t>
        </is>
      </c>
      <c r="I234" s="27" t="n">
        <v>12.771232</v>
      </c>
      <c r="J234" s="27" t="n">
        <v>120.842123</v>
      </c>
      <c r="K234" s="10" t="inlineStr">
        <is>
          <t>R</t>
        </is>
      </c>
      <c r="L234" s="12" t="n">
        <v>4495</v>
      </c>
      <c r="M234" s="14" t="n">
        <v>3.9</v>
      </c>
      <c r="N234" s="12">
        <f>ROUND(L234/M234, 0)</f>
        <v/>
      </c>
      <c r="O234" s="12">
        <f>ROUND(N234*'Methodology &amp; Assumptions'!$B$5, 0)</f>
        <v/>
      </c>
      <c r="P234" s="10" t="inlineStr">
        <is>
          <t>Single Carrier (Band n50, 100MHz TDD)</t>
        </is>
      </c>
      <c r="Q234" s="13">
        <f>ROUNDUP(O234/'Methodology &amp; Assumptions'!$B$6, 0)</f>
        <v/>
      </c>
      <c r="R234" s="13" t="n">
        <v>1</v>
      </c>
      <c r="S234" s="14" t="n">
        <v>52.62</v>
      </c>
      <c r="T234" s="14" t="n">
        <v>50.14</v>
      </c>
      <c r="U234" s="26">
        <f>IF(X234&gt;='Methodology &amp; Assumptions'!$B$7, "Tier 1 Critical GIDA (Score ≥ 50.0)", IF(X234&gt;='Methodology &amp; Assumptions'!$B$8, "Tier 2 High GIDA (Score 40.0–49.9)", "Tier 3 Moderate GIDA (Score &lt; 40.0)"))</f>
        <v/>
      </c>
      <c r="V234" s="26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W234" s="28" t="n">
        <v>0.15</v>
      </c>
      <c r="X234" s="14" t="n">
        <v>47.55</v>
      </c>
      <c r="Y234" s="14">
        <f>ROUND(MIN(100, (X234/69.91)*100), 2)</f>
        <v/>
      </c>
    </row>
    <row r="235">
      <c r="A235" s="10" t="n">
        <v>4</v>
      </c>
      <c r="B235" s="10" t="n">
        <v>231</v>
      </c>
      <c r="C235" s="10" t="n">
        <v>3231</v>
      </c>
      <c r="D235" s="10" t="inlineStr">
        <is>
          <t>PH0003231</t>
        </is>
      </c>
      <c r="E235" s="26" t="inlineStr">
        <is>
          <t>NCR</t>
        </is>
      </c>
      <c r="F235" s="26" t="inlineStr">
        <is>
          <t>Metro Manila</t>
        </is>
      </c>
      <c r="G235" s="26" t="inlineStr">
        <is>
          <t>Caloocan City</t>
        </is>
      </c>
      <c r="H235" s="26" t="inlineStr">
        <is>
          <t>Barangay 103</t>
        </is>
      </c>
      <c r="I235" s="27" t="n">
        <v>12.297268</v>
      </c>
      <c r="J235" s="27" t="n">
        <v>120.331594</v>
      </c>
      <c r="K235" s="10" t="inlineStr">
        <is>
          <t>R</t>
        </is>
      </c>
      <c r="L235" s="12" t="n">
        <v>2279</v>
      </c>
      <c r="M235" s="14" t="n">
        <v>3.8</v>
      </c>
      <c r="N235" s="12">
        <f>ROUND(L235/M235, 0)</f>
        <v/>
      </c>
      <c r="O235" s="12">
        <f>ROUND(N235*'Methodology &amp; Assumptions'!$B$5, 0)</f>
        <v/>
      </c>
      <c r="P235" s="10" t="inlineStr">
        <is>
          <t>Single Carrier (Band n50, 100MHz TDD)</t>
        </is>
      </c>
      <c r="Q235" s="13">
        <f>ROUNDUP(O235/'Methodology &amp; Assumptions'!$B$6, 0)</f>
        <v/>
      </c>
      <c r="R235" s="13" t="n">
        <v>1</v>
      </c>
      <c r="S235" s="14" t="n">
        <v>33.87</v>
      </c>
      <c r="T235" s="14" t="n">
        <v>79.26000000000001</v>
      </c>
      <c r="U235" s="26">
        <f>IF(X235&gt;='Methodology &amp; Assumptions'!$B$7, "Tier 1 Critical GIDA (Score ≥ 50.0)", IF(X235&gt;='Methodology &amp; Assumptions'!$B$8, "Tier 2 High GIDA (Score 40.0–49.9)", "Tier 3 Moderate GIDA (Score &lt; 40.0)"))</f>
        <v/>
      </c>
      <c r="V235" s="26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W235" s="28" t="n">
        <v>0.011</v>
      </c>
      <c r="X235" s="14" t="n">
        <v>47.54</v>
      </c>
      <c r="Y235" s="14">
        <f>ROUND(MIN(100, (X235/69.91)*100), 2)</f>
        <v/>
      </c>
    </row>
    <row r="236">
      <c r="A236" s="10" t="n">
        <v>4</v>
      </c>
      <c r="B236" s="10" t="n">
        <v>232</v>
      </c>
      <c r="C236" s="10" t="n">
        <v>3232</v>
      </c>
      <c r="D236" s="10" t="inlineStr">
        <is>
          <t>0401005073</t>
        </is>
      </c>
      <c r="E236" s="26" t="inlineStr">
        <is>
          <t>Region IV-A (CALABARZON)</t>
        </is>
      </c>
      <c r="F236" s="26" t="inlineStr">
        <is>
          <t>Batangas</t>
        </is>
      </c>
      <c r="G236" s="26" t="inlineStr">
        <is>
          <t>Batangas City</t>
        </is>
      </c>
      <c r="H236" s="26" t="inlineStr">
        <is>
          <t>Barangay 4</t>
        </is>
      </c>
      <c r="I236" s="27" t="n">
        <v>13.740913</v>
      </c>
      <c r="J236" s="27" t="n">
        <v>121.067644</v>
      </c>
      <c r="K236" s="10" t="inlineStr">
        <is>
          <t>U</t>
        </is>
      </c>
      <c r="L236" s="12" t="n">
        <v>1682</v>
      </c>
      <c r="M236" s="14" t="n">
        <v>3.6</v>
      </c>
      <c r="N236" s="12">
        <f>ROUND(L236/M236, 0)</f>
        <v/>
      </c>
      <c r="O236" s="12">
        <f>ROUND(N236*'Methodology &amp; Assumptions'!$B$5, 0)</f>
        <v/>
      </c>
      <c r="P236" s="10" t="inlineStr">
        <is>
          <t>Single Carrier (Band n50, 100MHz TDD)</t>
        </is>
      </c>
      <c r="Q236" s="13">
        <f>ROUNDUP(O236/'Methodology &amp; Assumptions'!$B$6, 0)</f>
        <v/>
      </c>
      <c r="R236" s="13" t="n">
        <v>1</v>
      </c>
      <c r="S236" s="14" t="n">
        <v>2.65</v>
      </c>
      <c r="T236" s="14" t="n">
        <v>1.83</v>
      </c>
      <c r="U236" s="26">
        <f>IF(X236&gt;='Methodology &amp; Assumptions'!$B$7, "Tier 1 Critical GIDA (Score ≥ 50.0)", IF(X236&gt;='Methodology &amp; Assumptions'!$B$8, "Tier 2 High GIDA (Score 40.0–49.9)", "Tier 3 Moderate GIDA (Score &lt; 40.0)"))</f>
        <v/>
      </c>
      <c r="V236" s="26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W236" s="28" t="n">
        <v>0.07200000000000001</v>
      </c>
      <c r="X236" s="14" t="n">
        <v>47.54</v>
      </c>
      <c r="Y236" s="14">
        <f>ROUND(MIN(100, (X236/69.91)*100), 2)</f>
        <v/>
      </c>
    </row>
    <row r="237">
      <c r="A237" s="10" t="n">
        <v>4</v>
      </c>
      <c r="B237" s="10" t="n">
        <v>233</v>
      </c>
      <c r="C237" s="10" t="n">
        <v>3233</v>
      </c>
      <c r="D237" s="10" t="inlineStr">
        <is>
          <t>1906617009</t>
        </is>
      </c>
      <c r="E237" s="26" t="inlineStr">
        <is>
          <t>Bangsamoro Autonomous Region In Muslim Mindanao (BARMM)</t>
        </is>
      </c>
      <c r="F237" s="26" t="inlineStr">
        <is>
          <t>Sulu</t>
        </is>
      </c>
      <c r="G237" s="26" t="inlineStr">
        <is>
          <t>Lugus</t>
        </is>
      </c>
      <c r="H237" s="26" t="inlineStr">
        <is>
          <t>Laha</t>
        </is>
      </c>
      <c r="I237" s="27" t="n">
        <v>17.255489</v>
      </c>
      <c r="J237" s="27" t="n">
        <v>122.229533</v>
      </c>
      <c r="K237" s="10" t="inlineStr">
        <is>
          <t>R</t>
        </is>
      </c>
      <c r="L237" s="12" t="n">
        <v>1721</v>
      </c>
      <c r="M237" s="14" t="n">
        <v>6</v>
      </c>
      <c r="N237" s="12">
        <f>ROUND(L237/M237, 0)</f>
        <v/>
      </c>
      <c r="O237" s="12">
        <f>ROUND(N237*'Methodology &amp; Assumptions'!$B$5, 0)</f>
        <v/>
      </c>
      <c r="P237" s="10" t="inlineStr">
        <is>
          <t>Single Carrier (Band n50, 100MHz TDD)</t>
        </is>
      </c>
      <c r="Q237" s="13">
        <f>ROUNDUP(O237/'Methodology &amp; Assumptions'!$B$6, 0)</f>
        <v/>
      </c>
      <c r="R237" s="13" t="n">
        <v>1</v>
      </c>
      <c r="S237" s="14" t="n">
        <v>29.51</v>
      </c>
      <c r="T237" s="14" t="n">
        <v>34.38</v>
      </c>
      <c r="U237" s="26">
        <f>IF(X237&gt;='Methodology &amp; Assumptions'!$B$7, "Tier 1 Critical GIDA (Score ≥ 50.0)", IF(X237&gt;='Methodology &amp; Assumptions'!$B$8, "Tier 2 High GIDA (Score 40.0–49.9)", "Tier 3 Moderate GIDA (Score &lt; 40.0)"))</f>
        <v/>
      </c>
      <c r="V237" s="26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W237" s="28" t="n">
        <v>0.11</v>
      </c>
      <c r="X237" s="14" t="n">
        <v>47.54</v>
      </c>
      <c r="Y237" s="14">
        <f>ROUND(MIN(100, (X237/69.91)*100), 2)</f>
        <v/>
      </c>
    </row>
    <row r="238">
      <c r="A238" s="10" t="n">
        <v>4</v>
      </c>
      <c r="B238" s="10" t="n">
        <v>234</v>
      </c>
      <c r="C238" s="10" t="n">
        <v>3234</v>
      </c>
      <c r="D238" s="10" t="inlineStr">
        <is>
          <t>PH0003234</t>
        </is>
      </c>
      <c r="E238" s="26" t="inlineStr">
        <is>
          <t>VII</t>
        </is>
      </c>
      <c r="F238" s="26" t="inlineStr">
        <is>
          <t>Cebu</t>
        </is>
      </c>
      <c r="G238" s="26" t="inlineStr">
        <is>
          <t>Talisay City</t>
        </is>
      </c>
      <c r="H238" s="26" t="inlineStr">
        <is>
          <t>San Isidro</t>
        </is>
      </c>
      <c r="I238" s="27" t="n">
        <v>10.371791</v>
      </c>
      <c r="J238" s="27" t="n">
        <v>123.796421</v>
      </c>
      <c r="K238" s="10" t="inlineStr">
        <is>
          <t>R</t>
        </is>
      </c>
      <c r="L238" s="12" t="n">
        <v>2250</v>
      </c>
      <c r="M238" s="14" t="n">
        <v>3.8</v>
      </c>
      <c r="N238" s="12">
        <f>ROUND(L238/M238, 0)</f>
        <v/>
      </c>
      <c r="O238" s="12">
        <f>ROUND(N238*'Methodology &amp; Assumptions'!$B$5, 0)</f>
        <v/>
      </c>
      <c r="P238" s="10" t="inlineStr">
        <is>
          <t>Single Carrier (Band n50, 100MHz TDD)</t>
        </is>
      </c>
      <c r="Q238" s="13">
        <f>ROUNDUP(O238/'Methodology &amp; Assumptions'!$B$6, 0)</f>
        <v/>
      </c>
      <c r="R238" s="13" t="n">
        <v>1</v>
      </c>
      <c r="S238" s="14" t="n">
        <v>6.47</v>
      </c>
      <c r="T238" s="14" t="n">
        <v>11.39</v>
      </c>
      <c r="U238" s="26">
        <f>IF(X238&gt;='Methodology &amp; Assumptions'!$B$7, "Tier 1 Critical GIDA (Score ≥ 50.0)", IF(X238&gt;='Methodology &amp; Assumptions'!$B$8, "Tier 2 High GIDA (Score 40.0–49.9)", "Tier 3 Moderate GIDA (Score &lt; 40.0)"))</f>
        <v/>
      </c>
      <c r="V238" s="26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W238" s="28" t="n">
        <v>0.21</v>
      </c>
      <c r="X238" s="14" t="n">
        <v>47.53</v>
      </c>
      <c r="Y238" s="14">
        <f>ROUND(MIN(100, (X238/69.91)*100), 2)</f>
        <v/>
      </c>
    </row>
    <row r="239">
      <c r="A239" s="10" t="n">
        <v>4</v>
      </c>
      <c r="B239" s="10" t="n">
        <v>235</v>
      </c>
      <c r="C239" s="10" t="n">
        <v>3235</v>
      </c>
      <c r="D239" s="10" t="inlineStr">
        <is>
          <t>0401005084</t>
        </is>
      </c>
      <c r="E239" s="26" t="inlineStr">
        <is>
          <t>Region IV-A (CALABARZON)</t>
        </is>
      </c>
      <c r="F239" s="26" t="inlineStr">
        <is>
          <t>Batangas</t>
        </is>
      </c>
      <c r="G239" s="26" t="inlineStr">
        <is>
          <t>Batangas City</t>
        </is>
      </c>
      <c r="H239" s="26" t="inlineStr">
        <is>
          <t>San Agustin Kanluran, Isla Verde</t>
        </is>
      </c>
      <c r="I239" s="27" t="n">
        <v>13.559284</v>
      </c>
      <c r="J239" s="27" t="n">
        <v>121.049388</v>
      </c>
      <c r="K239" s="10" t="inlineStr">
        <is>
          <t>R</t>
        </is>
      </c>
      <c r="L239" s="12" t="n">
        <v>687</v>
      </c>
      <c r="M239" s="14" t="n">
        <v>3.6</v>
      </c>
      <c r="N239" s="12">
        <f>ROUND(L239/M239, 0)</f>
        <v/>
      </c>
      <c r="O239" s="12">
        <f>ROUND(N239*'Methodology &amp; Assumptions'!$B$5, 0)</f>
        <v/>
      </c>
      <c r="P239" s="10" t="inlineStr">
        <is>
          <t>Single Carrier (Band n50, 100MHz TDD)</t>
        </is>
      </c>
      <c r="Q239" s="13">
        <f>ROUNDUP(O239/'Methodology &amp; Assumptions'!$B$6, 0)</f>
        <v/>
      </c>
      <c r="R239" s="13" t="n">
        <v>1</v>
      </c>
      <c r="S239" s="14" t="n">
        <v>8.75</v>
      </c>
      <c r="T239" s="14" t="n">
        <v>12.12</v>
      </c>
      <c r="U239" s="26">
        <f>IF(X239&gt;='Methodology &amp; Assumptions'!$B$7, "Tier 1 Critical GIDA (Score ≥ 50.0)", IF(X239&gt;='Methodology &amp; Assumptions'!$B$8, "Tier 2 High GIDA (Score 40.0–49.9)", "Tier 3 Moderate GIDA (Score &lt; 40.0)"))</f>
        <v/>
      </c>
      <c r="V239" s="26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W239" s="28" t="n">
        <v>0.07200000000000001</v>
      </c>
      <c r="X239" s="14" t="n">
        <v>47.53</v>
      </c>
      <c r="Y239" s="14">
        <f>ROUND(MIN(100, (X239/69.91)*100), 2)</f>
        <v/>
      </c>
    </row>
    <row r="240">
      <c r="A240" s="10" t="n">
        <v>4</v>
      </c>
      <c r="B240" s="10" t="n">
        <v>236</v>
      </c>
      <c r="C240" s="10" t="n">
        <v>3236</v>
      </c>
      <c r="D240" s="10" t="inlineStr">
        <is>
          <t>PH0003236</t>
        </is>
      </c>
      <c r="E240" s="26" t="inlineStr">
        <is>
          <t>NCR</t>
        </is>
      </c>
      <c r="F240" s="26" t="inlineStr">
        <is>
          <t>Metro Manila</t>
        </is>
      </c>
      <c r="G240" s="26" t="inlineStr">
        <is>
          <t>Caloocan City</t>
        </is>
      </c>
      <c r="H240" s="26" t="inlineStr">
        <is>
          <t>Barangay 79</t>
        </is>
      </c>
      <c r="I240" s="27" t="n">
        <v>14.260295</v>
      </c>
      <c r="J240" s="27" t="n">
        <v>122.434397</v>
      </c>
      <c r="K240" s="10" t="inlineStr">
        <is>
          <t>R</t>
        </is>
      </c>
      <c r="L240" s="12" t="n">
        <v>2279</v>
      </c>
      <c r="M240" s="14" t="n">
        <v>3.8</v>
      </c>
      <c r="N240" s="12">
        <f>ROUND(L240/M240, 0)</f>
        <v/>
      </c>
      <c r="O240" s="12">
        <f>ROUND(N240*'Methodology &amp; Assumptions'!$B$5, 0)</f>
        <v/>
      </c>
      <c r="P240" s="10" t="inlineStr">
        <is>
          <t>Single Carrier (Band n50, 100MHz TDD)</t>
        </is>
      </c>
      <c r="Q240" s="13">
        <f>ROUNDUP(O240/'Methodology &amp; Assumptions'!$B$6, 0)</f>
        <v/>
      </c>
      <c r="R240" s="13" t="n">
        <v>1</v>
      </c>
      <c r="S240" s="14" t="n">
        <v>8.640000000000001</v>
      </c>
      <c r="T240" s="14" t="n">
        <v>6.07</v>
      </c>
      <c r="U240" s="26">
        <f>IF(X240&gt;='Methodology &amp; Assumptions'!$B$7, "Tier 1 Critical GIDA (Score ≥ 50.0)", IF(X240&gt;='Methodology &amp; Assumptions'!$B$8, "Tier 2 High GIDA (Score 40.0–49.9)", "Tier 3 Moderate GIDA (Score &lt; 40.0)"))</f>
        <v/>
      </c>
      <c r="V240" s="26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W240" s="28" t="n">
        <v>0.011</v>
      </c>
      <c r="X240" s="14" t="n">
        <v>47.53</v>
      </c>
      <c r="Y240" s="14">
        <f>ROUND(MIN(100, (X240/69.91)*100), 2)</f>
        <v/>
      </c>
    </row>
    <row r="241">
      <c r="A241" s="10" t="n">
        <v>4</v>
      </c>
      <c r="B241" s="10" t="n">
        <v>237</v>
      </c>
      <c r="C241" s="10" t="n">
        <v>3237</v>
      </c>
      <c r="D241" s="10" t="inlineStr">
        <is>
          <t>0401005037</t>
        </is>
      </c>
      <c r="E241" s="26" t="inlineStr">
        <is>
          <t>Region IV-A (CALABARZON)</t>
        </is>
      </c>
      <c r="F241" s="26" t="inlineStr">
        <is>
          <t>Batangas</t>
        </is>
      </c>
      <c r="G241" s="26" t="inlineStr">
        <is>
          <t>Batangas City</t>
        </is>
      </c>
      <c r="H241" s="26" t="inlineStr">
        <is>
          <t>Liponpon, Isla Verde</t>
        </is>
      </c>
      <c r="I241" s="27" t="n">
        <v>13.561553</v>
      </c>
      <c r="J241" s="27" t="n">
        <v>121.09148</v>
      </c>
      <c r="K241" s="10" t="inlineStr">
        <is>
          <t>R</t>
        </is>
      </c>
      <c r="L241" s="12" t="n">
        <v>682</v>
      </c>
      <c r="M241" s="14" t="n">
        <v>3.6</v>
      </c>
      <c r="N241" s="12">
        <f>ROUND(L241/M241, 0)</f>
        <v/>
      </c>
      <c r="O241" s="12">
        <f>ROUND(N241*'Methodology &amp; Assumptions'!$B$5, 0)</f>
        <v/>
      </c>
      <c r="P241" s="10" t="inlineStr">
        <is>
          <t>Single Carrier (Band n50, 100MHz TDD)</t>
        </is>
      </c>
      <c r="Q241" s="13">
        <f>ROUNDUP(O241/'Methodology &amp; Assumptions'!$B$6, 0)</f>
        <v/>
      </c>
      <c r="R241" s="13" t="n">
        <v>1</v>
      </c>
      <c r="S241" s="14" t="n">
        <v>7.05</v>
      </c>
      <c r="T241" s="14" t="n">
        <v>15.77</v>
      </c>
      <c r="U241" s="26">
        <f>IF(X241&gt;='Methodology &amp; Assumptions'!$B$7, "Tier 1 Critical GIDA (Score ≥ 50.0)", IF(X241&gt;='Methodology &amp; Assumptions'!$B$8, "Tier 2 High GIDA (Score 40.0–49.9)", "Tier 3 Moderate GIDA (Score &lt; 40.0)"))</f>
        <v/>
      </c>
      <c r="V241" s="26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W241" s="28" t="n">
        <v>0.07200000000000001</v>
      </c>
      <c r="X241" s="14" t="n">
        <v>47.52</v>
      </c>
      <c r="Y241" s="14">
        <f>ROUND(MIN(100, (X241/69.91)*100), 2)</f>
        <v/>
      </c>
    </row>
    <row r="242">
      <c r="A242" s="10" t="n">
        <v>4</v>
      </c>
      <c r="B242" s="10" t="n">
        <v>238</v>
      </c>
      <c r="C242" s="10" t="n">
        <v>3238</v>
      </c>
      <c r="D242" s="10" t="inlineStr">
        <is>
          <t>0908310009</t>
        </is>
      </c>
      <c r="E242" s="26" t="inlineStr">
        <is>
          <t>Region IX (Zamboanga Peninsula)</t>
        </is>
      </c>
      <c r="F242" s="26" t="inlineStr">
        <is>
          <t>Zamboanga Sibugay</t>
        </is>
      </c>
      <c r="G242" s="26" t="inlineStr">
        <is>
          <t>Olutanga</t>
        </is>
      </c>
      <c r="H242" s="26" t="inlineStr">
        <is>
          <t>Galas</t>
        </is>
      </c>
      <c r="I242" s="27" t="n">
        <v>7.367722</v>
      </c>
      <c r="J242" s="27" t="n">
        <v>122.794519</v>
      </c>
      <c r="K242" s="10" t="inlineStr">
        <is>
          <t>R</t>
        </is>
      </c>
      <c r="L242" s="12" t="n">
        <v>1984</v>
      </c>
      <c r="M242" s="14" t="n">
        <v>4.2</v>
      </c>
      <c r="N242" s="12">
        <f>ROUND(L242/M242, 0)</f>
        <v/>
      </c>
      <c r="O242" s="12">
        <f>ROUND(N242*'Methodology &amp; Assumptions'!$B$5, 0)</f>
        <v/>
      </c>
      <c r="P242" s="10" t="inlineStr">
        <is>
          <t>Single Carrier (Band n50, 100MHz TDD)</t>
        </is>
      </c>
      <c r="Q242" s="13">
        <f>ROUNDUP(O242/'Methodology &amp; Assumptions'!$B$6, 0)</f>
        <v/>
      </c>
      <c r="R242" s="13" t="n">
        <v>1</v>
      </c>
      <c r="S242" s="14" t="n">
        <v>48.06</v>
      </c>
      <c r="T242" s="14" t="n">
        <v>34.23</v>
      </c>
      <c r="U242" s="26">
        <f>IF(X242&gt;='Methodology &amp; Assumptions'!$B$7, "Tier 1 Critical GIDA (Score ≥ 50.0)", IF(X242&gt;='Methodology &amp; Assumptions'!$B$8, "Tier 2 High GIDA (Score 40.0–49.9)", "Tier 3 Moderate GIDA (Score &lt; 40.0)"))</f>
        <v/>
      </c>
      <c r="V242" s="26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W242" s="28" t="n">
        <v>0.11</v>
      </c>
      <c r="X242" s="14" t="n">
        <v>47.52</v>
      </c>
      <c r="Y242" s="14">
        <f>ROUND(MIN(100, (X242/69.91)*100), 2)</f>
        <v/>
      </c>
    </row>
    <row r="243">
      <c r="A243" s="10" t="n">
        <v>4</v>
      </c>
      <c r="B243" s="10" t="n">
        <v>239</v>
      </c>
      <c r="C243" s="10" t="n">
        <v>3239</v>
      </c>
      <c r="D243" s="10" t="inlineStr">
        <is>
          <t>1400116005</t>
        </is>
      </c>
      <c r="E243" s="26" t="inlineStr">
        <is>
          <t>Cordillera Administrative Region (CAR)</t>
        </is>
      </c>
      <c r="F243" s="26" t="inlineStr">
        <is>
          <t>Abra</t>
        </is>
      </c>
      <c r="G243" s="26" t="inlineStr">
        <is>
          <t>Manabo</t>
        </is>
      </c>
      <c r="H243" s="26" t="inlineStr">
        <is>
          <t>San Jose Norte</t>
        </is>
      </c>
      <c r="I243" s="27" t="n">
        <v>17.422327</v>
      </c>
      <c r="J243" s="27" t="n">
        <v>120.700749</v>
      </c>
      <c r="K243" s="10" t="inlineStr">
        <is>
          <t>R</t>
        </is>
      </c>
      <c r="L243" s="12" t="n">
        <v>547</v>
      </c>
      <c r="M243" s="14" t="n">
        <v>3.8</v>
      </c>
      <c r="N243" s="12">
        <f>ROUND(L243/M243, 0)</f>
        <v/>
      </c>
      <c r="O243" s="12">
        <f>ROUND(N243*'Methodology &amp; Assumptions'!$B$5, 0)</f>
        <v/>
      </c>
      <c r="P243" s="10" t="inlineStr">
        <is>
          <t>Single Carrier (Band n50, 100MHz TDD)</t>
        </is>
      </c>
      <c r="Q243" s="13">
        <f>ROUNDUP(O243/'Methodology &amp; Assumptions'!$B$6, 0)</f>
        <v/>
      </c>
      <c r="R243" s="13" t="n">
        <v>1</v>
      </c>
      <c r="S243" s="14" t="n">
        <v>18.75</v>
      </c>
      <c r="T243" s="14" t="n">
        <v>18.31</v>
      </c>
      <c r="U243" s="26">
        <f>IF(X243&gt;='Methodology &amp; Assumptions'!$B$7, "Tier 1 Critical GIDA (Score ≥ 50.0)", IF(X243&gt;='Methodology &amp; Assumptions'!$B$8, "Tier 2 High GIDA (Score 40.0–49.9)", "Tier 3 Moderate GIDA (Score &lt; 40.0)"))</f>
        <v/>
      </c>
      <c r="V243" s="26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W243" s="28" t="n">
        <v>0.109</v>
      </c>
      <c r="X243" s="14" t="n">
        <v>47.52</v>
      </c>
      <c r="Y243" s="14">
        <f>ROUND(MIN(100, (X243/69.91)*100), 2)</f>
        <v/>
      </c>
    </row>
    <row r="244">
      <c r="A244" s="10" t="n">
        <v>4</v>
      </c>
      <c r="B244" s="10" t="n">
        <v>240</v>
      </c>
      <c r="C244" s="10" t="n">
        <v>3240</v>
      </c>
      <c r="D244" s="10" t="inlineStr">
        <is>
          <t>PH0003240</t>
        </is>
      </c>
      <c r="E244" s="26" t="inlineStr">
        <is>
          <t>NCR</t>
        </is>
      </c>
      <c r="F244" s="26" t="inlineStr">
        <is>
          <t>Metro Manila</t>
        </is>
      </c>
      <c r="G244" s="26" t="inlineStr">
        <is>
          <t>Caloocan City</t>
        </is>
      </c>
      <c r="H244" s="26" t="inlineStr">
        <is>
          <t>Barangay 107</t>
        </is>
      </c>
      <c r="I244" s="27" t="n">
        <v>11.425599</v>
      </c>
      <c r="J244" s="27" t="n">
        <v>122.244309</v>
      </c>
      <c r="K244" s="10" t="inlineStr">
        <is>
          <t>R</t>
        </is>
      </c>
      <c r="L244" s="12" t="n">
        <v>2279</v>
      </c>
      <c r="M244" s="14" t="n">
        <v>3.8</v>
      </c>
      <c r="N244" s="12">
        <f>ROUND(L244/M244, 0)</f>
        <v/>
      </c>
      <c r="O244" s="12">
        <f>ROUND(N244*'Methodology &amp; Assumptions'!$B$5, 0)</f>
        <v/>
      </c>
      <c r="P244" s="10" t="inlineStr">
        <is>
          <t>Single Carrier (Band n50, 100MHz TDD)</t>
        </is>
      </c>
      <c r="Q244" s="13">
        <f>ROUNDUP(O244/'Methodology &amp; Assumptions'!$B$6, 0)</f>
        <v/>
      </c>
      <c r="R244" s="13" t="n">
        <v>1</v>
      </c>
      <c r="S244" s="14" t="n">
        <v>20.46</v>
      </c>
      <c r="T244" s="14" t="n">
        <v>20.24</v>
      </c>
      <c r="U244" s="26">
        <f>IF(X244&gt;='Methodology &amp; Assumptions'!$B$7, "Tier 1 Critical GIDA (Score ≥ 50.0)", IF(X244&gt;='Methodology &amp; Assumptions'!$B$8, "Tier 2 High GIDA (Score 40.0–49.9)", "Tier 3 Moderate GIDA (Score &lt; 40.0)"))</f>
        <v/>
      </c>
      <c r="V244" s="26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W244" s="28" t="n">
        <v>0.011</v>
      </c>
      <c r="X244" s="14" t="n">
        <v>47.52</v>
      </c>
      <c r="Y244" s="14">
        <f>ROUND(MIN(100, (X244/69.91)*100), 2)</f>
        <v/>
      </c>
    </row>
    <row r="245">
      <c r="A245" s="10" t="n">
        <v>4</v>
      </c>
      <c r="B245" s="10" t="n">
        <v>241</v>
      </c>
      <c r="C245" s="10" t="n">
        <v>3241</v>
      </c>
      <c r="D245" s="10" t="inlineStr">
        <is>
          <t>PH0003241</t>
        </is>
      </c>
      <c r="E245" s="26" t="inlineStr">
        <is>
          <t>III</t>
        </is>
      </c>
      <c r="F245" s="26" t="inlineStr">
        <is>
          <t>Nueva Ecija</t>
        </is>
      </c>
      <c r="G245" s="26" t="inlineStr">
        <is>
          <t>Cabanatuan City</t>
        </is>
      </c>
      <c r="H245" s="26" t="inlineStr">
        <is>
          <t>Melojavilla (Pob.)</t>
        </is>
      </c>
      <c r="I245" s="27" t="n">
        <v>15.483742</v>
      </c>
      <c r="J245" s="27" t="n">
        <v>120.997689</v>
      </c>
      <c r="K245" s="10" t="inlineStr">
        <is>
          <t>R</t>
        </is>
      </c>
      <c r="L245" s="12" t="n">
        <v>2398</v>
      </c>
      <c r="M245" s="14" t="n">
        <v>3.5</v>
      </c>
      <c r="N245" s="12">
        <f>ROUND(L245/M245, 0)</f>
        <v/>
      </c>
      <c r="O245" s="12">
        <f>ROUND(N245*'Methodology &amp; Assumptions'!$B$5, 0)</f>
        <v/>
      </c>
      <c r="P245" s="10" t="inlineStr">
        <is>
          <t>Single Carrier (Band n50, 100MHz TDD)</t>
        </is>
      </c>
      <c r="Q245" s="13">
        <f>ROUNDUP(O245/'Methodology &amp; Assumptions'!$B$6, 0)</f>
        <v/>
      </c>
      <c r="R245" s="13" t="n">
        <v>1</v>
      </c>
      <c r="S245" s="14" t="n">
        <v>3.92</v>
      </c>
      <c r="T245" s="14" t="n">
        <v>2.39</v>
      </c>
      <c r="U245" s="26">
        <f>IF(X245&gt;='Methodology &amp; Assumptions'!$B$7, "Tier 1 Critical GIDA (Score ≥ 50.0)", IF(X245&gt;='Methodology &amp; Assumptions'!$B$8, "Tier 2 High GIDA (Score 40.0–49.9)", "Tier 3 Moderate GIDA (Score &lt; 40.0)"))</f>
        <v/>
      </c>
      <c r="V245" s="26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W245" s="28" t="n">
        <v>0.083</v>
      </c>
      <c r="X245" s="14" t="n">
        <v>47.51</v>
      </c>
      <c r="Y245" s="14">
        <f>ROUND(MIN(100, (X245/69.91)*100), 2)</f>
        <v/>
      </c>
    </row>
    <row r="246">
      <c r="A246" s="10" t="n">
        <v>4</v>
      </c>
      <c r="B246" s="10" t="n">
        <v>242</v>
      </c>
      <c r="C246" s="10" t="n">
        <v>3242</v>
      </c>
      <c r="D246" s="10" t="inlineStr">
        <is>
          <t>0402106047</t>
        </is>
      </c>
      <c r="E246" s="26" t="inlineStr">
        <is>
          <t>Region IV-A (CALABARZON)</t>
        </is>
      </c>
      <c r="F246" s="26" t="inlineStr">
        <is>
          <t>Cavite</t>
        </is>
      </c>
      <c r="G246" s="26" t="inlineStr">
        <is>
          <t>City of Dasmariñas</t>
        </is>
      </c>
      <c r="H246" s="26" t="inlineStr">
        <is>
          <t>Burol I</t>
        </is>
      </c>
      <c r="I246" s="27" t="n">
        <v>14.326193</v>
      </c>
      <c r="J246" s="27" t="n">
        <v>120.959976</v>
      </c>
      <c r="K246" s="10" t="inlineStr">
        <is>
          <t>U</t>
        </is>
      </c>
      <c r="L246" s="12" t="n">
        <v>18198</v>
      </c>
      <c r="M246" s="14" t="n">
        <v>3.4</v>
      </c>
      <c r="N246" s="12">
        <f>ROUND(L246/M246, 0)</f>
        <v/>
      </c>
      <c r="O246" s="12">
        <f>ROUND(N246*'Methodology &amp; Assumptions'!$B$5, 0)</f>
        <v/>
      </c>
      <c r="P246" s="10" t="inlineStr">
        <is>
          <t>Single Carrier (Band n50, 100MHz TDD)</t>
        </is>
      </c>
      <c r="Q246" s="13">
        <f>ROUNDUP(O246/'Methodology &amp; Assumptions'!$B$6, 0)</f>
        <v/>
      </c>
      <c r="R246" s="13" t="n">
        <v>1</v>
      </c>
      <c r="S246" s="14" t="n">
        <v>1.65</v>
      </c>
      <c r="T246" s="14" t="n">
        <v>2.81</v>
      </c>
      <c r="U246" s="26">
        <f>IF(X246&gt;='Methodology &amp; Assumptions'!$B$7, "Tier 1 Critical GIDA (Score ≥ 50.0)", IF(X246&gt;='Methodology &amp; Assumptions'!$B$8, "Tier 2 High GIDA (Score 40.0–49.9)", "Tier 3 Moderate GIDA (Score &lt; 40.0)"))</f>
        <v/>
      </c>
      <c r="V246" s="26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W246" s="28" t="n">
        <v>0.07200000000000001</v>
      </c>
      <c r="X246" s="14" t="n">
        <v>47.5</v>
      </c>
      <c r="Y246" s="14">
        <f>ROUND(MIN(100, (X246/69.91)*100), 2)</f>
        <v/>
      </c>
    </row>
    <row r="247">
      <c r="A247" s="10" t="n">
        <v>4</v>
      </c>
      <c r="B247" s="10" t="n">
        <v>243</v>
      </c>
      <c r="C247" s="10" t="n">
        <v>3243</v>
      </c>
      <c r="D247" s="10" t="inlineStr">
        <is>
          <t>PH0003243</t>
        </is>
      </c>
      <c r="E247" s="26" t="inlineStr">
        <is>
          <t>NCR</t>
        </is>
      </c>
      <c r="F247" s="26" t="inlineStr">
        <is>
          <t>Metro Manila</t>
        </is>
      </c>
      <c r="G247" s="26" t="inlineStr">
        <is>
          <t>Caloocan City</t>
        </is>
      </c>
      <c r="H247" s="26" t="inlineStr">
        <is>
          <t>Barangay 67</t>
        </is>
      </c>
      <c r="I247" s="27" t="n">
        <v>13.642708</v>
      </c>
      <c r="J247" s="27" t="n">
        <v>120.418322</v>
      </c>
      <c r="K247" s="10" t="inlineStr">
        <is>
          <t>R</t>
        </is>
      </c>
      <c r="L247" s="12" t="n">
        <v>2279</v>
      </c>
      <c r="M247" s="14" t="n">
        <v>3.8</v>
      </c>
      <c r="N247" s="12">
        <f>ROUND(L247/M247, 0)</f>
        <v/>
      </c>
      <c r="O247" s="12">
        <f>ROUND(N247*'Methodology &amp; Assumptions'!$B$5, 0)</f>
        <v/>
      </c>
      <c r="P247" s="10" t="inlineStr">
        <is>
          <t>Single Carrier (Band n50, 100MHz TDD)</t>
        </is>
      </c>
      <c r="Q247" s="13">
        <f>ROUNDUP(O247/'Methodology &amp; Assumptions'!$B$6, 0)</f>
        <v/>
      </c>
      <c r="R247" s="13" t="n">
        <v>1</v>
      </c>
      <c r="S247" s="14" t="n">
        <v>30.83</v>
      </c>
      <c r="T247" s="14" t="n">
        <v>30.87</v>
      </c>
      <c r="U247" s="26">
        <f>IF(X247&gt;='Methodology &amp; Assumptions'!$B$7, "Tier 1 Critical GIDA (Score ≥ 50.0)", IF(X247&gt;='Methodology &amp; Assumptions'!$B$8, "Tier 2 High GIDA (Score 40.0–49.9)", "Tier 3 Moderate GIDA (Score &lt; 40.0)"))</f>
        <v/>
      </c>
      <c r="V247" s="26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W247" s="28" t="n">
        <v>0.011</v>
      </c>
      <c r="X247" s="14" t="n">
        <v>47.49</v>
      </c>
      <c r="Y247" s="14">
        <f>ROUND(MIN(100, (X247/69.91)*100), 2)</f>
        <v/>
      </c>
    </row>
    <row r="248">
      <c r="A248" s="10" t="n">
        <v>4</v>
      </c>
      <c r="B248" s="10" t="n">
        <v>244</v>
      </c>
      <c r="C248" s="10" t="n">
        <v>3244</v>
      </c>
      <c r="D248" s="10" t="inlineStr">
        <is>
          <t>1380700012</t>
        </is>
      </c>
      <c r="E248" s="26" t="inlineStr">
        <is>
          <t>National Capital Region (NCR)</t>
        </is>
      </c>
      <c r="F248" s="26" t="inlineStr">
        <is>
          <t>Second District (Not a Province)</t>
        </is>
      </c>
      <c r="G248" s="26" t="inlineStr">
        <is>
          <t>City of Marikina</t>
        </is>
      </c>
      <c r="H248" s="26" t="inlineStr">
        <is>
          <t>Concepcion Dos</t>
        </is>
      </c>
      <c r="I248" s="27" t="n">
        <v>14.639915</v>
      </c>
      <c r="J248" s="27" t="n">
        <v>121.121277</v>
      </c>
      <c r="K248" s="10" t="inlineStr">
        <is>
          <t>U</t>
        </is>
      </c>
      <c r="L248" s="12" t="n">
        <v>24827</v>
      </c>
      <c r="M248" s="14" t="n">
        <v>4</v>
      </c>
      <c r="N248" s="12">
        <f>ROUND(L248/M248, 0)</f>
        <v/>
      </c>
      <c r="O248" s="12">
        <f>ROUND(N248*'Methodology &amp; Assumptions'!$B$5, 0)</f>
        <v/>
      </c>
      <c r="P248" s="10" t="inlineStr">
        <is>
          <t>Single Carrier (Band n50, 100MHz TDD)</t>
        </is>
      </c>
      <c r="Q248" s="13">
        <f>ROUNDUP(O248/'Methodology &amp; Assumptions'!$B$6, 0)</f>
        <v/>
      </c>
      <c r="R248" s="13" t="n">
        <v>1</v>
      </c>
      <c r="S248" s="14" t="n">
        <v>1.2</v>
      </c>
      <c r="T248" s="14" t="n">
        <v>0.07000000000000001</v>
      </c>
      <c r="U248" s="26">
        <f>IF(X248&gt;='Methodology &amp; Assumptions'!$B$7, "Tier 1 Critical GIDA (Score ≥ 50.0)", IF(X248&gt;='Methodology &amp; Assumptions'!$B$8, "Tier 2 High GIDA (Score 40.0–49.9)", "Tier 3 Moderate GIDA (Score &lt; 40.0)"))</f>
        <v/>
      </c>
      <c r="V248" s="26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W248" s="28" t="n">
        <v>0.109</v>
      </c>
      <c r="X248" s="14" t="n">
        <v>47.49</v>
      </c>
      <c r="Y248" s="14">
        <f>ROUND(MIN(100, (X248/69.91)*100), 2)</f>
        <v/>
      </c>
    </row>
    <row r="249">
      <c r="A249" s="10" t="n">
        <v>4</v>
      </c>
      <c r="B249" s="10" t="n">
        <v>245</v>
      </c>
      <c r="C249" s="10" t="n">
        <v>3245</v>
      </c>
      <c r="D249" s="10" t="inlineStr">
        <is>
          <t>0500501055</t>
        </is>
      </c>
      <c r="E249" s="26" t="inlineStr">
        <is>
          <t>Region V (Bicol Region)</t>
        </is>
      </c>
      <c r="F249" s="26" t="inlineStr">
        <is>
          <t>Albay</t>
        </is>
      </c>
      <c r="G249" s="26" t="inlineStr">
        <is>
          <t>Bacacay</t>
        </is>
      </c>
      <c r="H249" s="26" t="inlineStr">
        <is>
          <t>Tanagan</t>
        </is>
      </c>
      <c r="I249" s="27" t="n">
        <v>13.31317</v>
      </c>
      <c r="J249" s="27" t="n">
        <v>123.8642</v>
      </c>
      <c r="K249" s="10" t="inlineStr">
        <is>
          <t>R</t>
        </is>
      </c>
      <c r="L249" s="12" t="n">
        <v>1153</v>
      </c>
      <c r="M249" s="14" t="n">
        <v>4.1</v>
      </c>
      <c r="N249" s="12">
        <f>ROUND(L249/M249, 0)</f>
        <v/>
      </c>
      <c r="O249" s="12">
        <f>ROUND(N249*'Methodology &amp; Assumptions'!$B$5, 0)</f>
        <v/>
      </c>
      <c r="P249" s="10" t="inlineStr">
        <is>
          <t>Single Carrier (Band n50, 100MHz TDD)</t>
        </is>
      </c>
      <c r="Q249" s="13">
        <f>ROUNDUP(O249/'Methodology &amp; Assumptions'!$B$6, 0)</f>
        <v/>
      </c>
      <c r="R249" s="13" t="n">
        <v>1</v>
      </c>
      <c r="S249" s="14" t="n">
        <v>9.199999999999999</v>
      </c>
      <c r="T249" s="14" t="n">
        <v>11.55</v>
      </c>
      <c r="U249" s="26">
        <f>IF(X249&gt;='Methodology &amp; Assumptions'!$B$7, "Tier 1 Critical GIDA (Score ≥ 50.0)", IF(X249&gt;='Methodology &amp; Assumptions'!$B$8, "Tier 2 High GIDA (Score 40.0–49.9)", "Tier 3 Moderate GIDA (Score &lt; 40.0)"))</f>
        <v/>
      </c>
      <c r="V249" s="26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W249" s="28" t="n">
        <v>0.237</v>
      </c>
      <c r="X249" s="14" t="n">
        <v>47.48</v>
      </c>
      <c r="Y249" s="14">
        <f>ROUND(MIN(100, (X249/69.91)*100), 2)</f>
        <v/>
      </c>
    </row>
    <row r="250">
      <c r="A250" s="10" t="n">
        <v>4</v>
      </c>
      <c r="B250" s="10" t="n">
        <v>246</v>
      </c>
      <c r="C250" s="10" t="n">
        <v>3246</v>
      </c>
      <c r="D250" s="10" t="inlineStr">
        <is>
          <t>0403425010</t>
        </is>
      </c>
      <c r="E250" s="26" t="inlineStr">
        <is>
          <t>Region IV-A (CALABARZON)</t>
        </is>
      </c>
      <c r="F250" s="26" t="inlineStr">
        <is>
          <t>Laguna</t>
        </is>
      </c>
      <c r="G250" s="26" t="inlineStr">
        <is>
          <t>City of San Pedro</t>
        </is>
      </c>
      <c r="H250" s="26" t="inlineStr">
        <is>
          <t>Nueva</t>
        </is>
      </c>
      <c r="I250" s="27" t="n">
        <v>14.235744</v>
      </c>
      <c r="J250" s="27" t="n">
        <v>121.30195</v>
      </c>
      <c r="K250" s="10" t="inlineStr">
        <is>
          <t>U</t>
        </is>
      </c>
      <c r="L250" s="12" t="n">
        <v>4698</v>
      </c>
      <c r="M250" s="14" t="n">
        <v>3.3</v>
      </c>
      <c r="N250" s="12">
        <f>ROUND(L250/M250, 0)</f>
        <v/>
      </c>
      <c r="O250" s="12">
        <f>ROUND(N250*'Methodology &amp; Assumptions'!$B$5, 0)</f>
        <v/>
      </c>
      <c r="P250" s="10" t="inlineStr">
        <is>
          <t>Single Carrier (Band n50, 100MHz TDD)</t>
        </is>
      </c>
      <c r="Q250" s="13">
        <f>ROUNDUP(O250/'Methodology &amp; Assumptions'!$B$6, 0)</f>
        <v/>
      </c>
      <c r="R250" s="13" t="n">
        <v>1</v>
      </c>
      <c r="S250" s="14" t="n">
        <v>5.9</v>
      </c>
      <c r="T250" s="14" t="n">
        <v>5.9</v>
      </c>
      <c r="U250" s="26">
        <f>IF(X250&gt;='Methodology &amp; Assumptions'!$B$7, "Tier 1 Critical GIDA (Score ≥ 50.0)", IF(X250&gt;='Methodology &amp; Assumptions'!$B$8, "Tier 2 High GIDA (Score 40.0–49.9)", "Tier 3 Moderate GIDA (Score &lt; 40.0)"))</f>
        <v/>
      </c>
      <c r="V250" s="26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W250" s="28" t="n">
        <v>0.07200000000000001</v>
      </c>
      <c r="X250" s="14" t="n">
        <v>47.47</v>
      </c>
      <c r="Y250" s="14">
        <f>ROUND(MIN(100, (X250/69.91)*100), 2)</f>
        <v/>
      </c>
    </row>
    <row r="251">
      <c r="A251" s="10" t="n">
        <v>4</v>
      </c>
      <c r="B251" s="10" t="n">
        <v>247</v>
      </c>
      <c r="C251" s="10" t="n">
        <v>3247</v>
      </c>
      <c r="D251" s="10" t="inlineStr">
        <is>
          <t>PH0003247</t>
        </is>
      </c>
      <c r="E251" s="26" t="inlineStr">
        <is>
          <t>VIII</t>
        </is>
      </c>
      <c r="F251" s="26" t="inlineStr">
        <is>
          <t>Samar (Western Samar)</t>
        </is>
      </c>
      <c r="G251" s="26" t="inlineStr">
        <is>
          <t>Calbayog City</t>
        </is>
      </c>
      <c r="H251" s="26" t="inlineStr">
        <is>
          <t>Danao II</t>
        </is>
      </c>
      <c r="I251" s="27" t="n">
        <v>12.199246</v>
      </c>
      <c r="J251" s="27" t="n">
        <v>124.422479</v>
      </c>
      <c r="K251" s="10" t="inlineStr">
        <is>
          <t>R</t>
        </is>
      </c>
      <c r="L251" s="12" t="n">
        <v>2229</v>
      </c>
      <c r="M251" s="14" t="n">
        <v>4.1</v>
      </c>
      <c r="N251" s="12">
        <f>ROUND(L251/M251, 0)</f>
        <v/>
      </c>
      <c r="O251" s="12">
        <f>ROUND(N251*'Methodology &amp; Assumptions'!$B$5, 0)</f>
        <v/>
      </c>
      <c r="P251" s="10" t="inlineStr">
        <is>
          <t>Single Carrier (Band n50, 100MHz TDD)</t>
        </is>
      </c>
      <c r="Q251" s="13">
        <f>ROUNDUP(O251/'Methodology &amp; Assumptions'!$B$6, 0)</f>
        <v/>
      </c>
      <c r="R251" s="13" t="n">
        <v>1</v>
      </c>
      <c r="S251" s="14" t="n">
        <v>56.77</v>
      </c>
      <c r="T251" s="14" t="n">
        <v>56.77</v>
      </c>
      <c r="U251" s="26">
        <f>IF(X251&gt;='Methodology &amp; Assumptions'!$B$7, "Tier 1 Critical GIDA (Score ≥ 50.0)", IF(X251&gt;='Methodology &amp; Assumptions'!$B$8, "Tier 2 High GIDA (Score 40.0–49.9)", "Tier 3 Moderate GIDA (Score &lt; 40.0)"))</f>
        <v/>
      </c>
      <c r="V251" s="26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W251" s="28" t="n">
        <v>0.222</v>
      </c>
      <c r="X251" s="14" t="n">
        <v>47.47</v>
      </c>
      <c r="Y251" s="14">
        <f>ROUND(MIN(100, (X251/69.91)*100), 2)</f>
        <v/>
      </c>
    </row>
    <row r="252">
      <c r="A252" s="10" t="n">
        <v>4</v>
      </c>
      <c r="B252" s="10" t="n">
        <v>248</v>
      </c>
      <c r="C252" s="10" t="n">
        <v>3248</v>
      </c>
      <c r="D252" s="10" t="inlineStr">
        <is>
          <t>0402106025</t>
        </is>
      </c>
      <c r="E252" s="26" t="inlineStr">
        <is>
          <t>Region IV-A (CALABARZON)</t>
        </is>
      </c>
      <c r="F252" s="26" t="inlineStr">
        <is>
          <t>Cavite</t>
        </is>
      </c>
      <c r="G252" s="26" t="inlineStr">
        <is>
          <t>City of Dasmariñas</t>
        </is>
      </c>
      <c r="H252" s="26" t="inlineStr">
        <is>
          <t>San Andres I</t>
        </is>
      </c>
      <c r="I252" s="27" t="n">
        <v>14.287809</v>
      </c>
      <c r="J252" s="27" t="n">
        <v>120.961681</v>
      </c>
      <c r="K252" s="10" t="inlineStr">
        <is>
          <t>R</t>
        </is>
      </c>
      <c r="L252" s="12" t="n">
        <v>4484</v>
      </c>
      <c r="M252" s="14" t="n">
        <v>3.4</v>
      </c>
      <c r="N252" s="12">
        <f>ROUND(L252/M252, 0)</f>
        <v/>
      </c>
      <c r="O252" s="12">
        <f>ROUND(N252*'Methodology &amp; Assumptions'!$B$5, 0)</f>
        <v/>
      </c>
      <c r="P252" s="10" t="inlineStr">
        <is>
          <t>Single Carrier (Band n50, 100MHz TDD)</t>
        </is>
      </c>
      <c r="Q252" s="13">
        <f>ROUNDUP(O252/'Methodology &amp; Assumptions'!$B$6, 0)</f>
        <v/>
      </c>
      <c r="R252" s="13" t="n">
        <v>1</v>
      </c>
      <c r="S252" s="14" t="n">
        <v>1.4</v>
      </c>
      <c r="T252" s="14" t="n">
        <v>0.31</v>
      </c>
      <c r="U252" s="26">
        <f>IF(X252&gt;='Methodology &amp; Assumptions'!$B$7, "Tier 1 Critical GIDA (Score ≥ 50.0)", IF(X252&gt;='Methodology &amp; Assumptions'!$B$8, "Tier 2 High GIDA (Score 40.0–49.9)", "Tier 3 Moderate GIDA (Score &lt; 40.0)"))</f>
        <v/>
      </c>
      <c r="V252" s="26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W252" s="28" t="n">
        <v>0.07200000000000001</v>
      </c>
      <c r="X252" s="14" t="n">
        <v>47.47</v>
      </c>
      <c r="Y252" s="14">
        <f>ROUND(MIN(100, (X252/69.91)*100), 2)</f>
        <v/>
      </c>
    </row>
    <row r="253">
      <c r="A253" s="10" t="n">
        <v>4</v>
      </c>
      <c r="B253" s="10" t="n">
        <v>249</v>
      </c>
      <c r="C253" s="10" t="n">
        <v>3249</v>
      </c>
      <c r="D253" s="10" t="inlineStr">
        <is>
          <t>PH0003249</t>
        </is>
      </c>
      <c r="E253" s="26" t="inlineStr">
        <is>
          <t>IV-A</t>
        </is>
      </c>
      <c r="F253" s="26" t="inlineStr">
        <is>
          <t>Laguna</t>
        </is>
      </c>
      <c r="G253" s="26" t="inlineStr">
        <is>
          <t>San Pablo City</t>
        </is>
      </c>
      <c r="H253" s="26" t="inlineStr">
        <is>
          <t>Barangay V-C (Pob.)</t>
        </is>
      </c>
      <c r="I253" s="27" t="n">
        <v>14.079032</v>
      </c>
      <c r="J253" s="27" t="n">
        <v>121.317149</v>
      </c>
      <c r="K253" s="10" t="inlineStr">
        <is>
          <t>R</t>
        </is>
      </c>
      <c r="L253" s="12" t="n">
        <v>2412</v>
      </c>
      <c r="M253" s="14" t="n">
        <v>3.3</v>
      </c>
      <c r="N253" s="12">
        <f>ROUND(L253/M253, 0)</f>
        <v/>
      </c>
      <c r="O253" s="12">
        <f>ROUND(N253*'Methodology &amp; Assumptions'!$B$5, 0)</f>
        <v/>
      </c>
      <c r="P253" s="10" t="inlineStr">
        <is>
          <t>Single Carrier (Band n50, 100MHz TDD)</t>
        </is>
      </c>
      <c r="Q253" s="13">
        <f>ROUNDUP(O253/'Methodology &amp; Assumptions'!$B$6, 0)</f>
        <v/>
      </c>
      <c r="R253" s="13" t="n">
        <v>1</v>
      </c>
      <c r="S253" s="14" t="n">
        <v>0.24</v>
      </c>
      <c r="T253" s="14" t="n">
        <v>0.22</v>
      </c>
      <c r="U253" s="26">
        <f>IF(X253&gt;='Methodology &amp; Assumptions'!$B$7, "Tier 1 Critical GIDA (Score ≥ 50.0)", IF(X253&gt;='Methodology &amp; Assumptions'!$B$8, "Tier 2 High GIDA (Score 40.0–49.9)", "Tier 3 Moderate GIDA (Score &lt; 40.0)"))</f>
        <v/>
      </c>
      <c r="V253" s="26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W253" s="28" t="n">
        <v>0.07200000000000001</v>
      </c>
      <c r="X253" s="14" t="n">
        <v>47.47</v>
      </c>
      <c r="Y253" s="14">
        <f>ROUND(MIN(100, (X253/69.91)*100), 2)</f>
        <v/>
      </c>
    </row>
    <row r="254">
      <c r="A254" s="10" t="n">
        <v>4</v>
      </c>
      <c r="B254" s="10" t="n">
        <v>250</v>
      </c>
      <c r="C254" s="10" t="n">
        <v>3250</v>
      </c>
      <c r="D254" s="10" t="inlineStr">
        <is>
          <t>1705318026</t>
        </is>
      </c>
      <c r="E254" s="26" t="inlineStr">
        <is>
          <t>MIMAROPA Region</t>
        </is>
      </c>
      <c r="F254" s="26" t="inlineStr">
        <is>
          <t>Palawan</t>
        </is>
      </c>
      <c r="G254" s="26" t="inlineStr">
        <is>
          <t>Roxas</t>
        </is>
      </c>
      <c r="H254" s="26" t="inlineStr">
        <is>
          <t>Tinitian</t>
        </is>
      </c>
      <c r="I254" s="27" t="n">
        <v>10.04547</v>
      </c>
      <c r="J254" s="27" t="n">
        <v>119.17781</v>
      </c>
      <c r="K254" s="10" t="inlineStr">
        <is>
          <t>R</t>
        </is>
      </c>
      <c r="L254" s="12" t="n">
        <v>2334</v>
      </c>
      <c r="M254" s="14" t="n">
        <v>3.9</v>
      </c>
      <c r="N254" s="12">
        <f>ROUND(L254/M254, 0)</f>
        <v/>
      </c>
      <c r="O254" s="12">
        <f>ROUND(N254*'Methodology &amp; Assumptions'!$B$5, 0)</f>
        <v/>
      </c>
      <c r="P254" s="10" t="inlineStr">
        <is>
          <t>Single Carrier (Band n50, 100MHz TDD)</t>
        </is>
      </c>
      <c r="Q254" s="13">
        <f>ROUNDUP(O254/'Methodology &amp; Assumptions'!$B$6, 0)</f>
        <v/>
      </c>
      <c r="R254" s="13" t="n">
        <v>1</v>
      </c>
      <c r="S254" s="14" t="n">
        <v>12.17</v>
      </c>
      <c r="T254" s="14" t="n">
        <v>0.13</v>
      </c>
      <c r="U254" s="26">
        <f>IF(X254&gt;='Methodology &amp; Assumptions'!$B$7, "Tier 1 Critical GIDA (Score ≥ 50.0)", IF(X254&gt;='Methodology &amp; Assumptions'!$B$8, "Tier 2 High GIDA (Score 40.0–49.9)", "Tier 3 Moderate GIDA (Score &lt; 40.0)"))</f>
        <v/>
      </c>
      <c r="V254" s="26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W254" s="28" t="n">
        <v>0.15</v>
      </c>
      <c r="X254" s="14" t="n">
        <v>47.46</v>
      </c>
      <c r="Y254" s="14">
        <f>ROUND(MIN(100, (X254/69.91)*100), 2)</f>
        <v/>
      </c>
    </row>
    <row r="255">
      <c r="A255" s="10" t="n">
        <v>4</v>
      </c>
      <c r="B255" s="10" t="n">
        <v>251</v>
      </c>
      <c r="C255" s="10" t="n">
        <v>3251</v>
      </c>
      <c r="D255" s="10" t="inlineStr">
        <is>
          <t>1404408001</t>
        </is>
      </c>
      <c r="E255" s="26" t="inlineStr">
        <is>
          <t>Cordillera Administrative Region (CAR)</t>
        </is>
      </c>
      <c r="F255" s="26" t="inlineStr">
        <is>
          <t>Mountain Province</t>
        </is>
      </c>
      <c r="G255" s="26" t="inlineStr">
        <is>
          <t>Sadanga</t>
        </is>
      </c>
      <c r="H255" s="26" t="inlineStr">
        <is>
          <t>Anabel</t>
        </is>
      </c>
      <c r="I255" s="27" t="n">
        <v>17.13283</v>
      </c>
      <c r="J255" s="27" t="n">
        <v>121.064494</v>
      </c>
      <c r="K255" s="10" t="inlineStr">
        <is>
          <t>R</t>
        </is>
      </c>
      <c r="L255" s="12" t="n">
        <v>793</v>
      </c>
      <c r="M255" s="14" t="n">
        <v>3.7</v>
      </c>
      <c r="N255" s="12">
        <f>ROUND(L255/M255, 0)</f>
        <v/>
      </c>
      <c r="O255" s="12">
        <f>ROUND(N255*'Methodology &amp; Assumptions'!$B$5, 0)</f>
        <v/>
      </c>
      <c r="P255" s="10" t="inlineStr">
        <is>
          <t>Single Carrier (Band n50, 100MHz TDD)</t>
        </is>
      </c>
      <c r="Q255" s="13">
        <f>ROUNDUP(O255/'Methodology &amp; Assumptions'!$B$6, 0)</f>
        <v/>
      </c>
      <c r="R255" s="13" t="n">
        <v>1</v>
      </c>
      <c r="S255" s="14" t="n">
        <v>4.35</v>
      </c>
      <c r="T255" s="14" t="n">
        <v>0.87</v>
      </c>
      <c r="U255" s="26">
        <f>IF(X255&gt;='Methodology &amp; Assumptions'!$B$7, "Tier 1 Critical GIDA (Score ≥ 50.0)", IF(X255&gt;='Methodology &amp; Assumptions'!$B$8, "Tier 2 High GIDA (Score 40.0–49.9)", "Tier 3 Moderate GIDA (Score &lt; 40.0)"))</f>
        <v/>
      </c>
      <c r="V255" s="26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W255" s="28" t="n">
        <v>0.109</v>
      </c>
      <c r="X255" s="14" t="n">
        <v>47.46</v>
      </c>
      <c r="Y255" s="14">
        <f>ROUND(MIN(100, (X255/69.91)*100), 2)</f>
        <v/>
      </c>
    </row>
    <row r="256">
      <c r="A256" s="10" t="n">
        <v>4</v>
      </c>
      <c r="B256" s="10" t="n">
        <v>252</v>
      </c>
      <c r="C256" s="10" t="n">
        <v>3252</v>
      </c>
      <c r="D256" s="10" t="inlineStr">
        <is>
          <t>0402123016</t>
        </is>
      </c>
      <c r="E256" s="26" t="inlineStr">
        <is>
          <t>Region IV-A (CALABARZON)</t>
        </is>
      </c>
      <c r="F256" s="26" t="inlineStr">
        <is>
          <t>Cavite</t>
        </is>
      </c>
      <c r="G256" s="26" t="inlineStr">
        <is>
          <t>Gen. Mariano Alvarez</t>
        </is>
      </c>
      <c r="H256" s="26" t="inlineStr">
        <is>
          <t>Jacinto Lumbreras</t>
        </is>
      </c>
      <c r="I256" s="27" t="n">
        <v>14.29063</v>
      </c>
      <c r="J256" s="27" t="n">
        <v>121.002042</v>
      </c>
      <c r="K256" s="10" t="inlineStr">
        <is>
          <t>R</t>
        </is>
      </c>
      <c r="L256" s="12" t="n">
        <v>4497</v>
      </c>
      <c r="M256" s="14" t="n">
        <v>3.4</v>
      </c>
      <c r="N256" s="12">
        <f>ROUND(L256/M256, 0)</f>
        <v/>
      </c>
      <c r="O256" s="12">
        <f>ROUND(N256*'Methodology &amp; Assumptions'!$B$5, 0)</f>
        <v/>
      </c>
      <c r="P256" s="10" t="inlineStr">
        <is>
          <t>Single Carrier (Band n50, 100MHz TDD)</t>
        </is>
      </c>
      <c r="Q256" s="13">
        <f>ROUNDUP(O256/'Methodology &amp; Assumptions'!$B$6, 0)</f>
        <v/>
      </c>
      <c r="R256" s="13" t="n">
        <v>1</v>
      </c>
      <c r="S256" s="14" t="n">
        <v>0.91</v>
      </c>
      <c r="T256" s="14" t="n">
        <v>4.29</v>
      </c>
      <c r="U256" s="26">
        <f>IF(X256&gt;='Methodology &amp; Assumptions'!$B$7, "Tier 1 Critical GIDA (Score ≥ 50.0)", IF(X256&gt;='Methodology &amp; Assumptions'!$B$8, "Tier 2 High GIDA (Score 40.0–49.9)", "Tier 3 Moderate GIDA (Score &lt; 40.0)"))</f>
        <v/>
      </c>
      <c r="V256" s="26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W256" s="28" t="n">
        <v>0.07200000000000001</v>
      </c>
      <c r="X256" s="14" t="n">
        <v>47.46</v>
      </c>
      <c r="Y256" s="14">
        <f>ROUND(MIN(100, (X256/69.91)*100), 2)</f>
        <v/>
      </c>
    </row>
    <row r="257">
      <c r="A257" s="10" t="n">
        <v>4</v>
      </c>
      <c r="B257" s="10" t="n">
        <v>253</v>
      </c>
      <c r="C257" s="10" t="n">
        <v>3253</v>
      </c>
      <c r="D257" s="10" t="inlineStr">
        <is>
          <t>PH0003253</t>
        </is>
      </c>
      <c r="E257" s="26" t="inlineStr">
        <is>
          <t>VIII</t>
        </is>
      </c>
      <c r="F257" s="26" t="inlineStr">
        <is>
          <t>Leyte</t>
        </is>
      </c>
      <c r="G257" s="26" t="inlineStr">
        <is>
          <t>Tacloban City</t>
        </is>
      </c>
      <c r="H257" s="26" t="inlineStr">
        <is>
          <t>Barangay 39</t>
        </is>
      </c>
      <c r="I257" s="27" t="n">
        <v>11.319418</v>
      </c>
      <c r="J257" s="27" t="n">
        <v>124.991662</v>
      </c>
      <c r="K257" s="10" t="inlineStr">
        <is>
          <t>R</t>
        </is>
      </c>
      <c r="L257" s="12" t="n">
        <v>2258</v>
      </c>
      <c r="M257" s="14" t="n">
        <v>3.8</v>
      </c>
      <c r="N257" s="12">
        <f>ROUND(L257/M257, 0)</f>
        <v/>
      </c>
      <c r="O257" s="12">
        <f>ROUND(N257*'Methodology &amp; Assumptions'!$B$5, 0)</f>
        <v/>
      </c>
      <c r="P257" s="10" t="inlineStr">
        <is>
          <t>Single Carrier (Band n50, 100MHz TDD)</t>
        </is>
      </c>
      <c r="Q257" s="13">
        <f>ROUNDUP(O257/'Methodology &amp; Assumptions'!$B$6, 0)</f>
        <v/>
      </c>
      <c r="R257" s="13" t="n">
        <v>1</v>
      </c>
      <c r="S257" s="14" t="n">
        <v>8.949999999999999</v>
      </c>
      <c r="T257" s="14" t="n">
        <v>12.05</v>
      </c>
      <c r="U257" s="26">
        <f>IF(X257&gt;='Methodology &amp; Assumptions'!$B$7, "Tier 1 Critical GIDA (Score ≥ 50.0)", IF(X257&gt;='Methodology &amp; Assumptions'!$B$8, "Tier 2 High GIDA (Score 40.0–49.9)", "Tier 3 Moderate GIDA (Score &lt; 40.0)"))</f>
        <v/>
      </c>
      <c r="V257" s="26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W257" s="28" t="n">
        <v>0.222</v>
      </c>
      <c r="X257" s="14" t="n">
        <v>47.45</v>
      </c>
      <c r="Y257" s="14">
        <f>ROUND(MIN(100, (X257/69.91)*100), 2)</f>
        <v/>
      </c>
    </row>
    <row r="258">
      <c r="A258" s="10" t="n">
        <v>4</v>
      </c>
      <c r="B258" s="10" t="n">
        <v>254</v>
      </c>
      <c r="C258" s="10" t="n">
        <v>3254</v>
      </c>
      <c r="D258" s="10" t="inlineStr">
        <is>
          <t>0405805015</t>
        </is>
      </c>
      <c r="E258" s="26" t="inlineStr">
        <is>
          <t>Region IV-A (CALABARZON)</t>
        </is>
      </c>
      <c r="F258" s="26" t="inlineStr">
        <is>
          <t>Rizal</t>
        </is>
      </c>
      <c r="G258" s="26" t="inlineStr">
        <is>
          <t>Cainta</t>
        </is>
      </c>
      <c r="H258" s="26" t="inlineStr">
        <is>
          <t>San Isidro</t>
        </is>
      </c>
      <c r="I258" s="27" t="n">
        <v>14.63616</v>
      </c>
      <c r="J258" s="27" t="n">
        <v>121.108551</v>
      </c>
      <c r="K258" s="10" t="inlineStr">
        <is>
          <t>U</t>
        </is>
      </c>
      <c r="L258" s="12" t="n">
        <v>83020</v>
      </c>
      <c r="M258" s="14" t="n">
        <v>3.6</v>
      </c>
      <c r="N258" s="12">
        <f>ROUND(L258/M258, 0)</f>
        <v/>
      </c>
      <c r="O258" s="12">
        <f>ROUND(N258*'Methodology &amp; Assumptions'!$B$5, 0)</f>
        <v/>
      </c>
      <c r="P258" s="10" t="inlineStr">
        <is>
          <t>Single Carrier (Band n50, 100MHz TDD)</t>
        </is>
      </c>
      <c r="Q258" s="13">
        <f>ROUNDUP(O258/'Methodology &amp; Assumptions'!$B$6, 0)</f>
        <v/>
      </c>
      <c r="R258" s="13" t="n">
        <v>1</v>
      </c>
      <c r="S258" s="14" t="n">
        <v>1.55</v>
      </c>
      <c r="T258" s="14" t="n">
        <v>0.29</v>
      </c>
      <c r="U258" s="26">
        <f>IF(X258&gt;='Methodology &amp; Assumptions'!$B$7, "Tier 1 Critical GIDA (Score ≥ 50.0)", IF(X258&gt;='Methodology &amp; Assumptions'!$B$8, "Tier 2 High GIDA (Score 40.0–49.9)", "Tier 3 Moderate GIDA (Score &lt; 40.0)"))</f>
        <v/>
      </c>
      <c r="V258" s="26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W258" s="28" t="n">
        <v>0.07200000000000001</v>
      </c>
      <c r="X258" s="14" t="n">
        <v>47.45</v>
      </c>
      <c r="Y258" s="14">
        <f>ROUND(MIN(100, (X258/69.91)*100), 2)</f>
        <v/>
      </c>
    </row>
    <row r="259">
      <c r="A259" s="10" t="n">
        <v>4</v>
      </c>
      <c r="B259" s="10" t="n">
        <v>255</v>
      </c>
      <c r="C259" s="10" t="n">
        <v>3255</v>
      </c>
      <c r="D259" s="10" t="inlineStr">
        <is>
          <t>0405622043</t>
        </is>
      </c>
      <c r="E259" s="26" t="inlineStr">
        <is>
          <t>Region IV-A (CALABARZON)</t>
        </is>
      </c>
      <c r="F259" s="26" t="inlineStr">
        <is>
          <t>Quezon</t>
        </is>
      </c>
      <c r="G259" s="26" t="inlineStr">
        <is>
          <t>Lopez</t>
        </is>
      </c>
      <c r="H259" s="26" t="inlineStr">
        <is>
          <t>Lourdes</t>
        </is>
      </c>
      <c r="I259" s="27" t="n">
        <v>13.95775</v>
      </c>
      <c r="J259" s="27" t="n">
        <v>122.226116</v>
      </c>
      <c r="K259" s="10" t="inlineStr">
        <is>
          <t>R</t>
        </is>
      </c>
      <c r="L259" s="12" t="n">
        <v>293</v>
      </c>
      <c r="M259" s="14" t="n">
        <v>3.8</v>
      </c>
      <c r="N259" s="12">
        <f>ROUND(L259/M259, 0)</f>
        <v/>
      </c>
      <c r="O259" s="12">
        <f>ROUND(N259*'Methodology &amp; Assumptions'!$B$5, 0)</f>
        <v/>
      </c>
      <c r="P259" s="10" t="inlineStr">
        <is>
          <t>Single Carrier (Band n50, 100MHz TDD)</t>
        </is>
      </c>
      <c r="Q259" s="13">
        <f>ROUNDUP(O259/'Methodology &amp; Assumptions'!$B$6, 0)</f>
        <v/>
      </c>
      <c r="R259" s="13" t="n">
        <v>1</v>
      </c>
      <c r="S259" s="14" t="n">
        <v>6.58</v>
      </c>
      <c r="T259" s="14" t="n">
        <v>6.32</v>
      </c>
      <c r="U259" s="26">
        <f>IF(X259&gt;='Methodology &amp; Assumptions'!$B$7, "Tier 1 Critical GIDA (Score ≥ 50.0)", IF(X259&gt;='Methodology &amp; Assumptions'!$B$8, "Tier 2 High GIDA (Score 40.0–49.9)", "Tier 3 Moderate GIDA (Score &lt; 40.0)"))</f>
        <v/>
      </c>
      <c r="V259" s="26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W259" s="28" t="n">
        <v>0.07200000000000001</v>
      </c>
      <c r="X259" s="14" t="n">
        <v>47.44</v>
      </c>
      <c r="Y259" s="14">
        <f>ROUND(MIN(100, (X259/69.91)*100), 2)</f>
        <v/>
      </c>
    </row>
    <row r="260">
      <c r="A260" s="10" t="n">
        <v>4</v>
      </c>
      <c r="B260" s="10" t="n">
        <v>256</v>
      </c>
      <c r="C260" s="10" t="n">
        <v>3256</v>
      </c>
      <c r="D260" s="10" t="inlineStr">
        <is>
          <t>0402118049</t>
        </is>
      </c>
      <c r="E260" s="26" t="inlineStr">
        <is>
          <t>Region IV-A (CALABARZON)</t>
        </is>
      </c>
      <c r="F260" s="26" t="inlineStr">
        <is>
          <t>Cavite</t>
        </is>
      </c>
      <c r="G260" s="26" t="inlineStr">
        <is>
          <t>Silang</t>
        </is>
      </c>
      <c r="H260" s="26" t="inlineStr">
        <is>
          <t>Acacia</t>
        </is>
      </c>
      <c r="I260" s="27" t="n">
        <v>14.220757</v>
      </c>
      <c r="J260" s="27" t="n">
        <v>120.977358</v>
      </c>
      <c r="K260" s="10" t="inlineStr">
        <is>
          <t>U</t>
        </is>
      </c>
      <c r="L260" s="12" t="n">
        <v>10181</v>
      </c>
      <c r="M260" s="14" t="n">
        <v>3.4</v>
      </c>
      <c r="N260" s="12">
        <f>ROUND(L260/M260, 0)</f>
        <v/>
      </c>
      <c r="O260" s="12">
        <f>ROUND(N260*'Methodology &amp; Assumptions'!$B$5, 0)</f>
        <v/>
      </c>
      <c r="P260" s="10" t="inlineStr">
        <is>
          <t>Single Carrier (Band n50, 100MHz TDD)</t>
        </is>
      </c>
      <c r="Q260" s="13">
        <f>ROUNDUP(O260/'Methodology &amp; Assumptions'!$B$6, 0)</f>
        <v/>
      </c>
      <c r="R260" s="13" t="n">
        <v>1</v>
      </c>
      <c r="S260" s="14" t="n">
        <v>5.24</v>
      </c>
      <c r="T260" s="14" t="n">
        <v>0.37</v>
      </c>
      <c r="U260" s="26">
        <f>IF(X260&gt;='Methodology &amp; Assumptions'!$B$7, "Tier 1 Critical GIDA (Score ≥ 50.0)", IF(X260&gt;='Methodology &amp; Assumptions'!$B$8, "Tier 2 High GIDA (Score 40.0–49.9)", "Tier 3 Moderate GIDA (Score &lt; 40.0)"))</f>
        <v/>
      </c>
      <c r="V260" s="26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W260" s="28" t="n">
        <v>0.07200000000000001</v>
      </c>
      <c r="X260" s="14" t="n">
        <v>47.44</v>
      </c>
      <c r="Y260" s="14">
        <f>ROUND(MIN(100, (X260/69.91)*100), 2)</f>
        <v/>
      </c>
    </row>
    <row r="261">
      <c r="A261" s="10" t="n">
        <v>4</v>
      </c>
      <c r="B261" s="10" t="n">
        <v>257</v>
      </c>
      <c r="C261" s="10" t="n">
        <v>3257</v>
      </c>
      <c r="D261" s="10" t="inlineStr">
        <is>
          <t>0102917006</t>
        </is>
      </c>
      <c r="E261" s="26" t="inlineStr">
        <is>
          <t>Region I (Ilocos Region)</t>
        </is>
      </c>
      <c r="F261" s="26" t="inlineStr">
        <is>
          <t>Ilocos Sur</t>
        </is>
      </c>
      <c r="G261" s="26" t="inlineStr">
        <is>
          <t>San Emilio</t>
        </is>
      </c>
      <c r="H261" s="26" t="inlineStr">
        <is>
          <t>Sibsibbu</t>
        </is>
      </c>
      <c r="I261" s="27" t="n">
        <v>17.29777</v>
      </c>
      <c r="J261" s="27" t="n">
        <v>120.573074</v>
      </c>
      <c r="K261" s="10" t="inlineStr">
        <is>
          <t>R</t>
        </is>
      </c>
      <c r="L261" s="12" t="n">
        <v>633</v>
      </c>
      <c r="M261" s="14" t="n">
        <v>3.8</v>
      </c>
      <c r="N261" s="12">
        <f>ROUND(L261/M261, 0)</f>
        <v/>
      </c>
      <c r="O261" s="12">
        <f>ROUND(N261*'Methodology &amp; Assumptions'!$B$5, 0)</f>
        <v/>
      </c>
      <c r="P261" s="10" t="inlineStr">
        <is>
          <t>Single Carrier (Band n50, 100MHz TDD)</t>
        </is>
      </c>
      <c r="Q261" s="13">
        <f>ROUNDUP(O261/'Methodology &amp; Assumptions'!$B$6, 0)</f>
        <v/>
      </c>
      <c r="R261" s="13" t="n">
        <v>1</v>
      </c>
      <c r="S261" s="14" t="n">
        <v>7.41</v>
      </c>
      <c r="T261" s="14" t="n">
        <v>6.5</v>
      </c>
      <c r="U261" s="26">
        <f>IF(X261&gt;='Methodology &amp; Assumptions'!$B$7, "Tier 1 Critical GIDA (Score ≥ 50.0)", IF(X261&gt;='Methodology &amp; Assumptions'!$B$8, "Tier 2 High GIDA (Score 40.0–49.9)", "Tier 3 Moderate GIDA (Score &lt; 40.0)"))</f>
        <v/>
      </c>
      <c r="V261" s="26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W261" s="28" t="n">
        <v>0.083</v>
      </c>
      <c r="X261" s="14" t="n">
        <v>47.44</v>
      </c>
      <c r="Y261" s="14">
        <f>ROUND(MIN(100, (X261/69.91)*100), 2)</f>
        <v/>
      </c>
    </row>
    <row r="262">
      <c r="A262" s="10" t="n">
        <v>4</v>
      </c>
      <c r="B262" s="10" t="n">
        <v>258</v>
      </c>
      <c r="C262" s="10" t="n">
        <v>3258</v>
      </c>
      <c r="D262" s="10" t="inlineStr">
        <is>
          <t>PH0003258</t>
        </is>
      </c>
      <c r="E262" s="26" t="inlineStr">
        <is>
          <t>VIII</t>
        </is>
      </c>
      <c r="F262" s="26" t="inlineStr">
        <is>
          <t>Samar (Western Samar)</t>
        </is>
      </c>
      <c r="G262" s="26" t="inlineStr">
        <is>
          <t>Calbayog City</t>
        </is>
      </c>
      <c r="H262" s="26" t="inlineStr">
        <is>
          <t>Roxas I</t>
        </is>
      </c>
      <c r="I262" s="27" t="n">
        <v>12.284602</v>
      </c>
      <c r="J262" s="27" t="n">
        <v>124.512229</v>
      </c>
      <c r="K262" s="10" t="inlineStr">
        <is>
          <t>R</t>
        </is>
      </c>
      <c r="L262" s="12" t="n">
        <v>2229</v>
      </c>
      <c r="M262" s="14" t="n">
        <v>4.1</v>
      </c>
      <c r="N262" s="12">
        <f>ROUND(L262/M262, 0)</f>
        <v/>
      </c>
      <c r="O262" s="12">
        <f>ROUND(N262*'Methodology &amp; Assumptions'!$B$5, 0)</f>
        <v/>
      </c>
      <c r="P262" s="10" t="inlineStr">
        <is>
          <t>Single Carrier (Band n50, 100MHz TDD)</t>
        </is>
      </c>
      <c r="Q262" s="13">
        <f>ROUNDUP(O262/'Methodology &amp; Assumptions'!$B$6, 0)</f>
        <v/>
      </c>
      <c r="R262" s="13" t="n">
        <v>1</v>
      </c>
      <c r="S262" s="14" t="n">
        <v>57.55</v>
      </c>
      <c r="T262" s="14" t="n">
        <v>57.54</v>
      </c>
      <c r="U262" s="26">
        <f>IF(X262&gt;='Methodology &amp; Assumptions'!$B$7, "Tier 1 Critical GIDA (Score ≥ 50.0)", IF(X262&gt;='Methodology &amp; Assumptions'!$B$8, "Tier 2 High GIDA (Score 40.0–49.9)", "Tier 3 Moderate GIDA (Score &lt; 40.0)"))</f>
        <v/>
      </c>
      <c r="V262" s="26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W262" s="28" t="n">
        <v>0.222</v>
      </c>
      <c r="X262" s="14" t="n">
        <v>47.44</v>
      </c>
      <c r="Y262" s="14">
        <f>ROUND(MIN(100, (X262/69.91)*100), 2)</f>
        <v/>
      </c>
    </row>
    <row r="263">
      <c r="A263" s="10" t="n">
        <v>4</v>
      </c>
      <c r="B263" s="10" t="n">
        <v>259</v>
      </c>
      <c r="C263" s="10" t="n">
        <v>3259</v>
      </c>
      <c r="D263" s="10" t="inlineStr">
        <is>
          <t>PH0003259</t>
        </is>
      </c>
      <c r="E263" s="26" t="inlineStr">
        <is>
          <t>IV-A</t>
        </is>
      </c>
      <c r="F263" s="26" t="inlineStr">
        <is>
          <t>Cavite</t>
        </is>
      </c>
      <c r="G263" s="26" t="inlineStr">
        <is>
          <t>City of Bacoor</t>
        </is>
      </c>
      <c r="H263" s="26" t="inlineStr">
        <is>
          <t>Aniban 2</t>
        </is>
      </c>
      <c r="I263" s="27" t="n">
        <v>14.213184</v>
      </c>
      <c r="J263" s="27" t="n">
        <v>121.025186</v>
      </c>
      <c r="K263" s="10" t="inlineStr">
        <is>
          <t>R</t>
        </is>
      </c>
      <c r="L263" s="12" t="n">
        <v>9584</v>
      </c>
      <c r="M263" s="14" t="n">
        <v>3.4</v>
      </c>
      <c r="N263" s="12">
        <f>ROUND(L263/M263, 0)</f>
        <v/>
      </c>
      <c r="O263" s="12">
        <f>ROUND(N263*'Methodology &amp; Assumptions'!$B$5, 0)</f>
        <v/>
      </c>
      <c r="P263" s="10" t="inlineStr">
        <is>
          <t>Single Carrier (Band n50, 100MHz TDD)</t>
        </is>
      </c>
      <c r="Q263" s="13">
        <f>ROUNDUP(O263/'Methodology &amp; Assumptions'!$B$6, 0)</f>
        <v/>
      </c>
      <c r="R263" s="13" t="n">
        <v>1</v>
      </c>
      <c r="S263" s="14" t="n">
        <v>3.41</v>
      </c>
      <c r="T263" s="14" t="n">
        <v>0.67</v>
      </c>
      <c r="U263" s="26">
        <f>IF(X263&gt;='Methodology &amp; Assumptions'!$B$7, "Tier 1 Critical GIDA (Score ≥ 50.0)", IF(X263&gt;='Methodology &amp; Assumptions'!$B$8, "Tier 2 High GIDA (Score 40.0–49.9)", "Tier 3 Moderate GIDA (Score &lt; 40.0)"))</f>
        <v/>
      </c>
      <c r="V263" s="26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W263" s="28" t="n">
        <v>0.07200000000000001</v>
      </c>
      <c r="X263" s="14" t="n">
        <v>47.42</v>
      </c>
      <c r="Y263" s="14">
        <f>ROUND(MIN(100, (X263/69.91)*100), 2)</f>
        <v/>
      </c>
    </row>
    <row r="264">
      <c r="A264" s="10" t="n">
        <v>4</v>
      </c>
      <c r="B264" s="10" t="n">
        <v>260</v>
      </c>
      <c r="C264" s="10" t="n">
        <v>3260</v>
      </c>
      <c r="D264" s="10" t="inlineStr">
        <is>
          <t>PH0003260</t>
        </is>
      </c>
      <c r="E264" s="26" t="inlineStr">
        <is>
          <t>CAR</t>
        </is>
      </c>
      <c r="F264" s="26" t="inlineStr">
        <is>
          <t>Benguet</t>
        </is>
      </c>
      <c r="G264" s="26" t="inlineStr">
        <is>
          <t>Baguio City</t>
        </is>
      </c>
      <c r="H264" s="26" t="inlineStr">
        <is>
          <t>Kabayanihan</t>
        </is>
      </c>
      <c r="I264" s="27" t="n">
        <v>16.41507</v>
      </c>
      <c r="J264" s="27" t="n">
        <v>120.642232</v>
      </c>
      <c r="K264" s="10" t="inlineStr">
        <is>
          <t>R</t>
        </is>
      </c>
      <c r="L264" s="12" t="n">
        <v>2260</v>
      </c>
      <c r="M264" s="14" t="n">
        <v>3.5</v>
      </c>
      <c r="N264" s="12">
        <f>ROUND(L264/M264, 0)</f>
        <v/>
      </c>
      <c r="O264" s="12">
        <f>ROUND(N264*'Methodology &amp; Assumptions'!$B$5, 0)</f>
        <v/>
      </c>
      <c r="P264" s="10" t="inlineStr">
        <is>
          <t>Single Carrier (Band n50, 100MHz TDD)</t>
        </is>
      </c>
      <c r="Q264" s="13">
        <f>ROUNDUP(O264/'Methodology &amp; Assumptions'!$B$6, 0)</f>
        <v/>
      </c>
      <c r="R264" s="13" t="n">
        <v>1</v>
      </c>
      <c r="S264" s="14" t="n">
        <v>0.38</v>
      </c>
      <c r="T264" s="14" t="n">
        <v>1.6</v>
      </c>
      <c r="U264" s="26">
        <f>IF(X264&gt;='Methodology &amp; Assumptions'!$B$7, "Tier 1 Critical GIDA (Score ≥ 50.0)", IF(X264&gt;='Methodology &amp; Assumptions'!$B$8, "Tier 2 High GIDA (Score 40.0–49.9)", "Tier 3 Moderate GIDA (Score &lt; 40.0)"))</f>
        <v/>
      </c>
      <c r="V264" s="26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W264" s="28" t="n">
        <v>0.221</v>
      </c>
      <c r="X264" s="14" t="n">
        <v>47.41</v>
      </c>
      <c r="Y264" s="14">
        <f>ROUND(MIN(100, (X264/69.91)*100), 2)</f>
        <v/>
      </c>
    </row>
    <row r="265">
      <c r="A265" s="10" t="n">
        <v>4</v>
      </c>
      <c r="B265" s="10" t="n">
        <v>261</v>
      </c>
      <c r="C265" s="10" t="n">
        <v>3261</v>
      </c>
      <c r="D265" s="10" t="inlineStr">
        <is>
          <t>0203131018</t>
        </is>
      </c>
      <c r="E265" s="26" t="inlineStr">
        <is>
          <t>Region II (Cagayan Valley)</t>
        </is>
      </c>
      <c r="F265" s="26" t="inlineStr">
        <is>
          <t>Isabela</t>
        </is>
      </c>
      <c r="G265" s="26" t="inlineStr">
        <is>
          <t>San Mariano</t>
        </is>
      </c>
      <c r="H265" s="26" t="inlineStr">
        <is>
          <t>Ibujan</t>
        </is>
      </c>
      <c r="I265" s="27" t="n">
        <v>16.83461</v>
      </c>
      <c r="J265" s="27" t="n">
        <v>122.07307</v>
      </c>
      <c r="K265" s="10" t="inlineStr">
        <is>
          <t>R</t>
        </is>
      </c>
      <c r="L265" s="12" t="n">
        <v>757</v>
      </c>
      <c r="M265" s="14" t="n">
        <v>3.8</v>
      </c>
      <c r="N265" s="12">
        <f>ROUND(L265/M265, 0)</f>
        <v/>
      </c>
      <c r="O265" s="12">
        <f>ROUND(N265*'Methodology &amp; Assumptions'!$B$5, 0)</f>
        <v/>
      </c>
      <c r="P265" s="10" t="inlineStr">
        <is>
          <t>Single Carrier (Band n50, 100MHz TDD)</t>
        </is>
      </c>
      <c r="Q265" s="13">
        <f>ROUNDUP(O265/'Methodology &amp; Assumptions'!$B$6, 0)</f>
        <v/>
      </c>
      <c r="R265" s="13" t="n">
        <v>1</v>
      </c>
      <c r="S265" s="14" t="n">
        <v>17.93</v>
      </c>
      <c r="T265" s="14" t="n">
        <v>30.88</v>
      </c>
      <c r="U265" s="26">
        <f>IF(X265&gt;='Methodology &amp; Assumptions'!$B$7, "Tier 1 Critical GIDA (Score ≥ 50.0)", IF(X265&gt;='Methodology &amp; Assumptions'!$B$8, "Tier 2 High GIDA (Score 40.0–49.9)", "Tier 3 Moderate GIDA (Score &lt; 40.0)"))</f>
        <v/>
      </c>
      <c r="V265" s="26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W265" s="28" t="n">
        <v>0.083</v>
      </c>
      <c r="X265" s="14" t="n">
        <v>47.4</v>
      </c>
      <c r="Y265" s="14">
        <f>ROUND(MIN(100, (X265/69.91)*100), 2)</f>
        <v/>
      </c>
    </row>
    <row r="266">
      <c r="A266" s="10" t="n">
        <v>4</v>
      </c>
      <c r="B266" s="10" t="n">
        <v>262</v>
      </c>
      <c r="C266" s="10" t="n">
        <v>3262</v>
      </c>
      <c r="D266" s="10" t="inlineStr">
        <is>
          <t>0702232010</t>
        </is>
      </c>
      <c r="E266" s="26" t="inlineStr">
        <is>
          <t>Region VII (Central Visayas)</t>
        </is>
      </c>
      <c r="F266" s="26" t="inlineStr">
        <is>
          <t>Cebu</t>
        </is>
      </c>
      <c r="G266" s="26" t="inlineStr">
        <is>
          <t>Minglanilla</t>
        </is>
      </c>
      <c r="H266" s="26" t="inlineStr">
        <is>
          <t>Poblacion Ward I</t>
        </is>
      </c>
      <c r="I266" s="27" t="n">
        <v>10.244317</v>
      </c>
      <c r="J266" s="27" t="n">
        <v>123.798273</v>
      </c>
      <c r="K266" s="10" t="inlineStr">
        <is>
          <t>U</t>
        </is>
      </c>
      <c r="L266" s="12" t="n">
        <v>2358</v>
      </c>
      <c r="M266" s="14" t="n">
        <v>3.8</v>
      </c>
      <c r="N266" s="12">
        <f>ROUND(L266/M266, 0)</f>
        <v/>
      </c>
      <c r="O266" s="12">
        <f>ROUND(N266*'Methodology &amp; Assumptions'!$B$5, 0)</f>
        <v/>
      </c>
      <c r="P266" s="10" t="inlineStr">
        <is>
          <t>Single Carrier (Band n50, 100MHz TDD)</t>
        </is>
      </c>
      <c r="Q266" s="13">
        <f>ROUNDUP(O266/'Methodology &amp; Assumptions'!$B$6, 0)</f>
        <v/>
      </c>
      <c r="R266" s="13" t="n">
        <v>1</v>
      </c>
      <c r="S266" s="14" t="n">
        <v>0.45</v>
      </c>
      <c r="T266" s="14" t="n">
        <v>0.2</v>
      </c>
      <c r="U266" s="26">
        <f>IF(X266&gt;='Methodology &amp; Assumptions'!$B$7, "Tier 1 Critical GIDA (Score ≥ 50.0)", IF(X266&gt;='Methodology &amp; Assumptions'!$B$8, "Tier 2 High GIDA (Score 40.0–49.9)", "Tier 3 Moderate GIDA (Score &lt; 40.0)"))</f>
        <v/>
      </c>
      <c r="V266" s="26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W266" s="28" t="n">
        <v>0.237</v>
      </c>
      <c r="X266" s="14" t="n">
        <v>47.4</v>
      </c>
      <c r="Y266" s="14">
        <f>ROUND(MIN(100, (X266/69.91)*100), 2)</f>
        <v/>
      </c>
    </row>
    <row r="267">
      <c r="A267" s="10" t="n">
        <v>4</v>
      </c>
      <c r="B267" s="10" t="n">
        <v>263</v>
      </c>
      <c r="C267" s="10" t="n">
        <v>3263</v>
      </c>
      <c r="D267" s="10" t="inlineStr">
        <is>
          <t>PH0003263</t>
        </is>
      </c>
      <c r="E267" s="26" t="inlineStr">
        <is>
          <t>VIII</t>
        </is>
      </c>
      <c r="F267" s="26" t="inlineStr">
        <is>
          <t>Samar (Western Samar)</t>
        </is>
      </c>
      <c r="G267" s="26" t="inlineStr">
        <is>
          <t>Calbayog City</t>
        </is>
      </c>
      <c r="H267" s="26" t="inlineStr">
        <is>
          <t>San Rufino</t>
        </is>
      </c>
      <c r="I267" s="27" t="n">
        <v>12.22735</v>
      </c>
      <c r="J267" s="27" t="n">
        <v>124.56604</v>
      </c>
      <c r="K267" s="10" t="inlineStr">
        <is>
          <t>R</t>
        </is>
      </c>
      <c r="L267" s="12" t="n">
        <v>2229</v>
      </c>
      <c r="M267" s="14" t="n">
        <v>4.1</v>
      </c>
      <c r="N267" s="12">
        <f>ROUND(L267/M267, 0)</f>
        <v/>
      </c>
      <c r="O267" s="12">
        <f>ROUND(N267*'Methodology &amp; Assumptions'!$B$5, 0)</f>
        <v/>
      </c>
      <c r="P267" s="10" t="inlineStr">
        <is>
          <t>Single Carrier (Band n50, 100MHz TDD)</t>
        </is>
      </c>
      <c r="Q267" s="13">
        <f>ROUNDUP(O267/'Methodology &amp; Assumptions'!$B$6, 0)</f>
        <v/>
      </c>
      <c r="R267" s="13" t="n">
        <v>1</v>
      </c>
      <c r="S267" s="14" t="n">
        <v>66.04000000000001</v>
      </c>
      <c r="T267" s="14" t="n">
        <v>66.03</v>
      </c>
      <c r="U267" s="26">
        <f>IF(X267&gt;='Methodology &amp; Assumptions'!$B$7, "Tier 1 Critical GIDA (Score ≥ 50.0)", IF(X267&gt;='Methodology &amp; Assumptions'!$B$8, "Tier 2 High GIDA (Score 40.0–49.9)", "Tier 3 Moderate GIDA (Score &lt; 40.0)"))</f>
        <v/>
      </c>
      <c r="V267" s="26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W267" s="28" t="n">
        <v>0.222</v>
      </c>
      <c r="X267" s="14" t="n">
        <v>47.4</v>
      </c>
      <c r="Y267" s="14">
        <f>ROUND(MIN(100, (X267/69.91)*100), 2)</f>
        <v/>
      </c>
    </row>
    <row r="268">
      <c r="A268" s="10" t="n">
        <v>4</v>
      </c>
      <c r="B268" s="10" t="n">
        <v>264</v>
      </c>
      <c r="C268" s="10" t="n">
        <v>3264</v>
      </c>
      <c r="D268" s="10" t="inlineStr">
        <is>
          <t>PH0003264</t>
        </is>
      </c>
      <c r="E268" s="26" t="inlineStr">
        <is>
          <t>I</t>
        </is>
      </c>
      <c r="F268" s="26" t="inlineStr">
        <is>
          <t>Ilocos Norte</t>
        </is>
      </c>
      <c r="G268" s="26" t="inlineStr">
        <is>
          <t>Laoag City</t>
        </is>
      </c>
      <c r="H268" s="26" t="inlineStr">
        <is>
          <t>Bgy. No. 9, Santa Angela (Pob.)</t>
        </is>
      </c>
      <c r="I268" s="27" t="n">
        <v>18.195705</v>
      </c>
      <c r="J268" s="27" t="n">
        <v>120.564377</v>
      </c>
      <c r="K268" s="10" t="inlineStr">
        <is>
          <t>R</t>
        </is>
      </c>
      <c r="L268" s="12" t="n">
        <v>2233</v>
      </c>
      <c r="M268" s="14" t="n">
        <v>3.7</v>
      </c>
      <c r="N268" s="12">
        <f>ROUND(L268/M268, 0)</f>
        <v/>
      </c>
      <c r="O268" s="12">
        <f>ROUND(N268*'Methodology &amp; Assumptions'!$B$5, 0)</f>
        <v/>
      </c>
      <c r="P268" s="10" t="inlineStr">
        <is>
          <t>Single Carrier (Band n50, 100MHz TDD)</t>
        </is>
      </c>
      <c r="Q268" s="13">
        <f>ROUNDUP(O268/'Methodology &amp; Assumptions'!$B$6, 0)</f>
        <v/>
      </c>
      <c r="R268" s="13" t="n">
        <v>1</v>
      </c>
      <c r="S268" s="14" t="n">
        <v>2.53</v>
      </c>
      <c r="T268" s="14" t="n">
        <v>2.48</v>
      </c>
      <c r="U268" s="26">
        <f>IF(X268&gt;='Methodology &amp; Assumptions'!$B$7, "Tier 1 Critical GIDA (Score ≥ 50.0)", IF(X268&gt;='Methodology &amp; Assumptions'!$B$8, "Tier 2 High GIDA (Score 40.0–49.9)", "Tier 3 Moderate GIDA (Score &lt; 40.0)"))</f>
        <v/>
      </c>
      <c r="V268" s="26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W268" s="28" t="n">
        <v>0.083</v>
      </c>
      <c r="X268" s="14" t="n">
        <v>47.4</v>
      </c>
      <c r="Y268" s="14">
        <f>ROUND(MIN(100, (X268/69.91)*100), 2)</f>
        <v/>
      </c>
    </row>
    <row r="269">
      <c r="A269" s="10" t="n">
        <v>4</v>
      </c>
      <c r="B269" s="10" t="n">
        <v>265</v>
      </c>
      <c r="C269" s="10" t="n">
        <v>3265</v>
      </c>
      <c r="D269" s="10" t="inlineStr">
        <is>
          <t>0402106040</t>
        </is>
      </c>
      <c r="E269" s="26" t="inlineStr">
        <is>
          <t>Region IV-A (CALABARZON)</t>
        </is>
      </c>
      <c r="F269" s="26" t="inlineStr">
        <is>
          <t>Cavite</t>
        </is>
      </c>
      <c r="G269" s="26" t="inlineStr">
        <is>
          <t>City of Dasmariñas</t>
        </is>
      </c>
      <c r="H269" s="26" t="inlineStr">
        <is>
          <t>Santa Cristina I</t>
        </is>
      </c>
      <c r="I269" s="27" t="n">
        <v>14.321874</v>
      </c>
      <c r="J269" s="27" t="n">
        <v>120.971048</v>
      </c>
      <c r="K269" s="10" t="inlineStr">
        <is>
          <t>R</t>
        </is>
      </c>
      <c r="L269" s="12" t="n">
        <v>3481</v>
      </c>
      <c r="M269" s="14" t="n">
        <v>3.4</v>
      </c>
      <c r="N269" s="12">
        <f>ROUND(L269/M269, 0)</f>
        <v/>
      </c>
      <c r="O269" s="12">
        <f>ROUND(N269*'Methodology &amp; Assumptions'!$B$5, 0)</f>
        <v/>
      </c>
      <c r="P269" s="10" t="inlineStr">
        <is>
          <t>Single Carrier (Band n50, 100MHz TDD)</t>
        </is>
      </c>
      <c r="Q269" s="13">
        <f>ROUNDUP(O269/'Methodology &amp; Assumptions'!$B$6, 0)</f>
        <v/>
      </c>
      <c r="R269" s="13" t="n">
        <v>1</v>
      </c>
      <c r="S269" s="14" t="n">
        <v>1.2</v>
      </c>
      <c r="T269" s="14" t="n">
        <v>2.85</v>
      </c>
      <c r="U269" s="26">
        <f>IF(X269&gt;='Methodology &amp; Assumptions'!$B$7, "Tier 1 Critical GIDA (Score ≥ 50.0)", IF(X269&gt;='Methodology &amp; Assumptions'!$B$8, "Tier 2 High GIDA (Score 40.0–49.9)", "Tier 3 Moderate GIDA (Score &lt; 40.0)"))</f>
        <v/>
      </c>
      <c r="V269" s="26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W269" s="28" t="n">
        <v>0.07200000000000001</v>
      </c>
      <c r="X269" s="14" t="n">
        <v>47.4</v>
      </c>
      <c r="Y269" s="14">
        <f>ROUND(MIN(100, (X269/69.91)*100), 2)</f>
        <v/>
      </c>
    </row>
    <row r="270">
      <c r="A270" s="10" t="n">
        <v>4</v>
      </c>
      <c r="B270" s="10" t="n">
        <v>266</v>
      </c>
      <c r="C270" s="10" t="n">
        <v>3266</v>
      </c>
      <c r="D270" s="10" t="inlineStr">
        <is>
          <t>1380700016</t>
        </is>
      </c>
      <c r="E270" s="26" t="inlineStr">
        <is>
          <t>National Capital Region (NCR)</t>
        </is>
      </c>
      <c r="F270" s="26" t="inlineStr">
        <is>
          <t>Second District (Not a Province)</t>
        </is>
      </c>
      <c r="G270" s="26" t="inlineStr">
        <is>
          <t>City of Marikina</t>
        </is>
      </c>
      <c r="H270" s="26" t="inlineStr">
        <is>
          <t>Tumana</t>
        </is>
      </c>
      <c r="I270" s="27" t="n">
        <v>14.639604</v>
      </c>
      <c r="J270" s="27" t="n">
        <v>121.104855</v>
      </c>
      <c r="K270" s="10" t="inlineStr">
        <is>
          <t>U</t>
        </is>
      </c>
      <c r="L270" s="12" t="n">
        <v>49057</v>
      </c>
      <c r="M270" s="14" t="n">
        <v>4</v>
      </c>
      <c r="N270" s="12">
        <f>ROUND(L270/M270, 0)</f>
        <v/>
      </c>
      <c r="O270" s="12">
        <f>ROUND(N270*'Methodology &amp; Assumptions'!$B$5, 0)</f>
        <v/>
      </c>
      <c r="P270" s="10" t="inlineStr">
        <is>
          <t>Single Carrier (Band n50, 100MHz TDD)</t>
        </is>
      </c>
      <c r="Q270" s="13">
        <f>ROUNDUP(O270/'Methodology &amp; Assumptions'!$B$6, 0)</f>
        <v/>
      </c>
      <c r="R270" s="13" t="n">
        <v>1</v>
      </c>
      <c r="S270" s="14" t="n">
        <v>1.18</v>
      </c>
      <c r="T270" s="14" t="n">
        <v>0.52</v>
      </c>
      <c r="U270" s="26">
        <f>IF(X270&gt;='Methodology &amp; Assumptions'!$B$7, "Tier 1 Critical GIDA (Score ≥ 50.0)", IF(X270&gt;='Methodology &amp; Assumptions'!$B$8, "Tier 2 High GIDA (Score 40.0–49.9)", "Tier 3 Moderate GIDA (Score &lt; 40.0)"))</f>
        <v/>
      </c>
      <c r="V270" s="26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W270" s="28" t="n">
        <v>0.109</v>
      </c>
      <c r="X270" s="14" t="n">
        <v>47.39</v>
      </c>
      <c r="Y270" s="14">
        <f>ROUND(MIN(100, (X270/69.91)*100), 2)</f>
        <v/>
      </c>
    </row>
    <row r="271">
      <c r="A271" s="10" t="n">
        <v>4</v>
      </c>
      <c r="B271" s="10" t="n">
        <v>267</v>
      </c>
      <c r="C271" s="10" t="n">
        <v>3267</v>
      </c>
      <c r="D271" s="10" t="inlineStr">
        <is>
          <t>0403404014</t>
        </is>
      </c>
      <c r="E271" s="26" t="inlineStr">
        <is>
          <t>Region IV-A (CALABARZON)</t>
        </is>
      </c>
      <c r="F271" s="26" t="inlineStr">
        <is>
          <t>Laguna</t>
        </is>
      </c>
      <c r="G271" s="26" t="inlineStr">
        <is>
          <t>City of Cabuyao</t>
        </is>
      </c>
      <c r="H271" s="26" t="inlineStr">
        <is>
          <t>Sala</t>
        </is>
      </c>
      <c r="I271" s="27" t="n">
        <v>14.216932</v>
      </c>
      <c r="J271" s="27" t="n">
        <v>121.255566</v>
      </c>
      <c r="K271" s="10" t="inlineStr">
        <is>
          <t>U</t>
        </is>
      </c>
      <c r="L271" s="12" t="n">
        <v>11951</v>
      </c>
      <c r="M271" s="14" t="n">
        <v>3.3</v>
      </c>
      <c r="N271" s="12">
        <f>ROUND(L271/M271, 0)</f>
        <v/>
      </c>
      <c r="O271" s="12">
        <f>ROUND(N271*'Methodology &amp; Assumptions'!$B$5, 0)</f>
        <v/>
      </c>
      <c r="P271" s="10" t="inlineStr">
        <is>
          <t>Single Carrier (Band n50, 100MHz TDD)</t>
        </is>
      </c>
      <c r="Q271" s="13">
        <f>ROUNDUP(O271/'Methodology &amp; Assumptions'!$B$6, 0)</f>
        <v/>
      </c>
      <c r="R271" s="13" t="n">
        <v>1</v>
      </c>
      <c r="S271" s="14" t="n">
        <v>4.43</v>
      </c>
      <c r="T271" s="14" t="n">
        <v>4.43</v>
      </c>
      <c r="U271" s="26">
        <f>IF(X271&gt;='Methodology &amp; Assumptions'!$B$7, "Tier 1 Critical GIDA (Score ≥ 50.0)", IF(X271&gt;='Methodology &amp; Assumptions'!$B$8, "Tier 2 High GIDA (Score 40.0–49.9)", "Tier 3 Moderate GIDA (Score &lt; 40.0)"))</f>
        <v/>
      </c>
      <c r="V271" s="26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W271" s="28" t="n">
        <v>0.07200000000000001</v>
      </c>
      <c r="X271" s="14" t="n">
        <v>47.39</v>
      </c>
      <c r="Y271" s="14">
        <f>ROUND(MIN(100, (X271/69.91)*100), 2)</f>
        <v/>
      </c>
    </row>
    <row r="272">
      <c r="A272" s="10" t="n">
        <v>4</v>
      </c>
      <c r="B272" s="10" t="n">
        <v>268</v>
      </c>
      <c r="C272" s="10" t="n">
        <v>3268</v>
      </c>
      <c r="D272" s="10" t="inlineStr">
        <is>
          <t>1903612038</t>
        </is>
      </c>
      <c r="E272" s="26" t="inlineStr">
        <is>
          <t>Bangsamoro Autonomous Region In Muslim Mindanao (BARMM)</t>
        </is>
      </c>
      <c r="F272" s="26" t="inlineStr">
        <is>
          <t>Lanao del Sur</t>
        </is>
      </c>
      <c r="G272" s="26" t="inlineStr">
        <is>
          <t>Lumbatan</t>
        </is>
      </c>
      <c r="H272" s="26" t="inlineStr">
        <is>
          <t>Pantar</t>
        </is>
      </c>
      <c r="I272" s="27" t="n">
        <v>17.254791</v>
      </c>
      <c r="J272" s="27" t="n">
        <v>122.228835</v>
      </c>
      <c r="K272" s="10" t="inlineStr">
        <is>
          <t>R</t>
        </is>
      </c>
      <c r="L272" s="12" t="n">
        <v>1515</v>
      </c>
      <c r="M272" s="14" t="n">
        <v>5.7</v>
      </c>
      <c r="N272" s="12">
        <f>ROUND(L272/M272, 0)</f>
        <v/>
      </c>
      <c r="O272" s="12">
        <f>ROUND(N272*'Methodology &amp; Assumptions'!$B$5, 0)</f>
        <v/>
      </c>
      <c r="P272" s="10" t="inlineStr">
        <is>
          <t>Single Carrier (Band n50, 100MHz TDD)</t>
        </is>
      </c>
      <c r="Q272" s="13">
        <f>ROUNDUP(O272/'Methodology &amp; Assumptions'!$B$6, 0)</f>
        <v/>
      </c>
      <c r="R272" s="13" t="n">
        <v>1</v>
      </c>
      <c r="S272" s="14" t="n">
        <v>29.41</v>
      </c>
      <c r="T272" s="14" t="n">
        <v>34.29</v>
      </c>
      <c r="U272" s="26">
        <f>IF(X272&gt;='Methodology &amp; Assumptions'!$B$7, "Tier 1 Critical GIDA (Score ≥ 50.0)", IF(X272&gt;='Methodology &amp; Assumptions'!$B$8, "Tier 2 High GIDA (Score 40.0–49.9)", "Tier 3 Moderate GIDA (Score &lt; 40.0)"))</f>
        <v/>
      </c>
      <c r="V272" s="26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W272" s="28" t="n">
        <v>0.11</v>
      </c>
      <c r="X272" s="14" t="n">
        <v>47.37</v>
      </c>
      <c r="Y272" s="14">
        <f>ROUND(MIN(100, (X272/69.91)*100), 2)</f>
        <v/>
      </c>
    </row>
    <row r="273">
      <c r="A273" s="10" t="n">
        <v>4</v>
      </c>
      <c r="B273" s="10" t="n">
        <v>269</v>
      </c>
      <c r="C273" s="10" t="n">
        <v>3269</v>
      </c>
      <c r="D273" s="10" t="inlineStr">
        <is>
          <t>0402106034</t>
        </is>
      </c>
      <c r="E273" s="26" t="inlineStr">
        <is>
          <t>Region IV-A (CALABARZON)</t>
        </is>
      </c>
      <c r="F273" s="26" t="inlineStr">
        <is>
          <t>Cavite</t>
        </is>
      </c>
      <c r="G273" s="26" t="inlineStr">
        <is>
          <t>City of Dasmariñas</t>
        </is>
      </c>
      <c r="H273" s="26" t="inlineStr">
        <is>
          <t>San Manuel I</t>
        </is>
      </c>
      <c r="I273" s="27" t="n">
        <v>14.334051</v>
      </c>
      <c r="J273" s="27" t="n">
        <v>120.940131</v>
      </c>
      <c r="K273" s="10" t="inlineStr">
        <is>
          <t>R</t>
        </is>
      </c>
      <c r="L273" s="12" t="n">
        <v>2971</v>
      </c>
      <c r="M273" s="14" t="n">
        <v>3.4</v>
      </c>
      <c r="N273" s="12">
        <f>ROUND(L273/M273, 0)</f>
        <v/>
      </c>
      <c r="O273" s="12">
        <f>ROUND(N273*'Methodology &amp; Assumptions'!$B$5, 0)</f>
        <v/>
      </c>
      <c r="P273" s="10" t="inlineStr">
        <is>
          <t>Single Carrier (Band n50, 100MHz TDD)</t>
        </is>
      </c>
      <c r="Q273" s="13">
        <f>ROUNDUP(O273/'Methodology &amp; Assumptions'!$B$6, 0)</f>
        <v/>
      </c>
      <c r="R273" s="13" t="n">
        <v>1</v>
      </c>
      <c r="S273" s="14" t="n">
        <v>1.83</v>
      </c>
      <c r="T273" s="14" t="n">
        <v>3.87</v>
      </c>
      <c r="U273" s="26">
        <f>IF(X273&gt;='Methodology &amp; Assumptions'!$B$7, "Tier 1 Critical GIDA (Score ≥ 50.0)", IF(X273&gt;='Methodology &amp; Assumptions'!$B$8, "Tier 2 High GIDA (Score 40.0–49.9)", "Tier 3 Moderate GIDA (Score &lt; 40.0)"))</f>
        <v/>
      </c>
      <c r="V273" s="26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W273" s="28" t="n">
        <v>0.07200000000000001</v>
      </c>
      <c r="X273" s="14" t="n">
        <v>47.37</v>
      </c>
      <c r="Y273" s="14">
        <f>ROUND(MIN(100, (X273/69.91)*100), 2)</f>
        <v/>
      </c>
    </row>
    <row r="274">
      <c r="A274" s="10" t="n">
        <v>4</v>
      </c>
      <c r="B274" s="10" t="n">
        <v>270</v>
      </c>
      <c r="C274" s="10" t="n">
        <v>3270</v>
      </c>
      <c r="D274" s="10" t="inlineStr">
        <is>
          <t>1408104005</t>
        </is>
      </c>
      <c r="E274" s="26" t="inlineStr">
        <is>
          <t>Cordillera Administrative Region (CAR)</t>
        </is>
      </c>
      <c r="F274" s="26" t="inlineStr">
        <is>
          <t>Apayao</t>
        </is>
      </c>
      <c r="G274" s="26" t="inlineStr">
        <is>
          <t>Kabugao</t>
        </is>
      </c>
      <c r="H274" s="26" t="inlineStr">
        <is>
          <t>Dagara</t>
        </is>
      </c>
      <c r="I274" s="27" t="n">
        <v>17.9253</v>
      </c>
      <c r="J274" s="27" t="n">
        <v>121.08966</v>
      </c>
      <c r="K274" s="10" t="inlineStr">
        <is>
          <t>R</t>
        </is>
      </c>
      <c r="L274" s="12" t="n">
        <v>445</v>
      </c>
      <c r="M274" s="14" t="n">
        <v>4.2</v>
      </c>
      <c r="N274" s="12">
        <f>ROUND(L274/M274, 0)</f>
        <v/>
      </c>
      <c r="O274" s="12">
        <f>ROUND(N274*'Methodology &amp; Assumptions'!$B$5, 0)</f>
        <v/>
      </c>
      <c r="P274" s="10" t="inlineStr">
        <is>
          <t>Single Carrier (Band n50, 100MHz TDD)</t>
        </is>
      </c>
      <c r="Q274" s="13">
        <f>ROUNDUP(O274/'Methodology &amp; Assumptions'!$B$6, 0)</f>
        <v/>
      </c>
      <c r="R274" s="13" t="n">
        <v>1</v>
      </c>
      <c r="S274" s="14" t="n">
        <v>14.26</v>
      </c>
      <c r="T274" s="14" t="n">
        <v>13.41</v>
      </c>
      <c r="U274" s="26">
        <f>IF(X274&gt;='Methodology &amp; Assumptions'!$B$7, "Tier 1 Critical GIDA (Score ≥ 50.0)", IF(X274&gt;='Methodology &amp; Assumptions'!$B$8, "Tier 2 High GIDA (Score 40.0–49.9)", "Tier 3 Moderate GIDA (Score &lt; 40.0)"))</f>
        <v/>
      </c>
      <c r="V274" s="26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W274" s="28" t="n">
        <v>0.109</v>
      </c>
      <c r="X274" s="14" t="n">
        <v>47.37</v>
      </c>
      <c r="Y274" s="14">
        <f>ROUND(MIN(100, (X274/69.91)*100), 2)</f>
        <v/>
      </c>
    </row>
    <row r="275">
      <c r="A275" s="10" t="n">
        <v>4</v>
      </c>
      <c r="B275" s="10" t="n">
        <v>271</v>
      </c>
      <c r="C275" s="10" t="n">
        <v>3271</v>
      </c>
      <c r="D275" s="10" t="inlineStr">
        <is>
          <t>PH0003271</t>
        </is>
      </c>
      <c r="E275" s="26" t="inlineStr">
        <is>
          <t>IV-A</t>
        </is>
      </c>
      <c r="F275" s="26" t="inlineStr">
        <is>
          <t>Laguna</t>
        </is>
      </c>
      <c r="G275" s="26" t="inlineStr">
        <is>
          <t>San Pablo City</t>
        </is>
      </c>
      <c r="H275" s="26" t="inlineStr">
        <is>
          <t>Santo Cristo</t>
        </is>
      </c>
      <c r="I275" s="27" t="n">
        <v>14.064582</v>
      </c>
      <c r="J275" s="27" t="n">
        <v>121.332484</v>
      </c>
      <c r="K275" s="10" t="inlineStr">
        <is>
          <t>R</t>
        </is>
      </c>
      <c r="L275" s="12" t="n">
        <v>2412</v>
      </c>
      <c r="M275" s="14" t="n">
        <v>3.3</v>
      </c>
      <c r="N275" s="12">
        <f>ROUND(L275/M275, 0)</f>
        <v/>
      </c>
      <c r="O275" s="12">
        <f>ROUND(N275*'Methodology &amp; Assumptions'!$B$5, 0)</f>
        <v/>
      </c>
      <c r="P275" s="10" t="inlineStr">
        <is>
          <t>Single Carrier (Band n50, 100MHz TDD)</t>
        </is>
      </c>
      <c r="Q275" s="13">
        <f>ROUNDUP(O275/'Methodology &amp; Assumptions'!$B$6, 0)</f>
        <v/>
      </c>
      <c r="R275" s="13" t="n">
        <v>1</v>
      </c>
      <c r="S275" s="14" t="n">
        <v>0.67</v>
      </c>
      <c r="T275" s="14" t="n">
        <v>0.54</v>
      </c>
      <c r="U275" s="26">
        <f>IF(X275&gt;='Methodology &amp; Assumptions'!$B$7, "Tier 1 Critical GIDA (Score ≥ 50.0)", IF(X275&gt;='Methodology &amp; Assumptions'!$B$8, "Tier 2 High GIDA (Score 40.0–49.9)", "Tier 3 Moderate GIDA (Score &lt; 40.0)"))</f>
        <v/>
      </c>
      <c r="V275" s="26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W275" s="28" t="n">
        <v>0.07200000000000001</v>
      </c>
      <c r="X275" s="14" t="n">
        <v>47.37</v>
      </c>
      <c r="Y275" s="14">
        <f>ROUND(MIN(100, (X275/69.91)*100), 2)</f>
        <v/>
      </c>
    </row>
    <row r="276">
      <c r="A276" s="10" t="n">
        <v>4</v>
      </c>
      <c r="B276" s="10" t="n">
        <v>272</v>
      </c>
      <c r="C276" s="10" t="n">
        <v>3272</v>
      </c>
      <c r="D276" s="10" t="inlineStr">
        <is>
          <t>PH0003272</t>
        </is>
      </c>
      <c r="E276" s="26" t="inlineStr">
        <is>
          <t>CAR</t>
        </is>
      </c>
      <c r="F276" s="26" t="inlineStr">
        <is>
          <t>Benguet</t>
        </is>
      </c>
      <c r="G276" s="26" t="inlineStr">
        <is>
          <t>Baguio City</t>
        </is>
      </c>
      <c r="H276" s="26" t="inlineStr">
        <is>
          <t>City Camp Proper</t>
        </is>
      </c>
      <c r="I276" s="27" t="n">
        <v>16.368755</v>
      </c>
      <c r="J276" s="27" t="n">
        <v>120.563651</v>
      </c>
      <c r="K276" s="10" t="inlineStr">
        <is>
          <t>R</t>
        </is>
      </c>
      <c r="L276" s="12" t="n">
        <v>2260</v>
      </c>
      <c r="M276" s="14" t="n">
        <v>3.5</v>
      </c>
      <c r="N276" s="12">
        <f>ROUND(L276/M276, 0)</f>
        <v/>
      </c>
      <c r="O276" s="12">
        <f>ROUND(N276*'Methodology &amp; Assumptions'!$B$5, 0)</f>
        <v/>
      </c>
      <c r="P276" s="10" t="inlineStr">
        <is>
          <t>Single Carrier (Band n50, 100MHz TDD)</t>
        </is>
      </c>
      <c r="Q276" s="13">
        <f>ROUNDUP(O276/'Methodology &amp; Assumptions'!$B$6, 0)</f>
        <v/>
      </c>
      <c r="R276" s="13" t="n">
        <v>1</v>
      </c>
      <c r="S276" s="14" t="n">
        <v>4.54</v>
      </c>
      <c r="T276" s="14" t="n">
        <v>1.07</v>
      </c>
      <c r="U276" s="26">
        <f>IF(X276&gt;='Methodology &amp; Assumptions'!$B$7, "Tier 1 Critical GIDA (Score ≥ 50.0)", IF(X276&gt;='Methodology &amp; Assumptions'!$B$8, "Tier 2 High GIDA (Score 40.0–49.9)", "Tier 3 Moderate GIDA (Score &lt; 40.0)"))</f>
        <v/>
      </c>
      <c r="V276" s="26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W276" s="28" t="n">
        <v>0.221</v>
      </c>
      <c r="X276" s="14" t="n">
        <v>47.36</v>
      </c>
      <c r="Y276" s="14">
        <f>ROUND(MIN(100, (X276/69.91)*100), 2)</f>
        <v/>
      </c>
    </row>
    <row r="277">
      <c r="A277" s="10" t="n">
        <v>4</v>
      </c>
      <c r="B277" s="10" t="n">
        <v>273</v>
      </c>
      <c r="C277" s="10" t="n">
        <v>3273</v>
      </c>
      <c r="D277" s="10" t="inlineStr">
        <is>
          <t>PH0003273</t>
        </is>
      </c>
      <c r="E277" s="26" t="inlineStr">
        <is>
          <t>IV-A</t>
        </is>
      </c>
      <c r="F277" s="26" t="inlineStr">
        <is>
          <t>Cavite</t>
        </is>
      </c>
      <c r="G277" s="26" t="inlineStr">
        <is>
          <t>Imus City</t>
        </is>
      </c>
      <c r="H277" s="26" t="inlineStr">
        <is>
          <t>Poblacion IV-C</t>
        </is>
      </c>
      <c r="I277" s="27" t="n">
        <v>14.297035</v>
      </c>
      <c r="J277" s="27" t="n">
        <v>120.885078</v>
      </c>
      <c r="K277" s="10" t="inlineStr">
        <is>
          <t>R</t>
        </is>
      </c>
      <c r="L277" s="12" t="n">
        <v>2316</v>
      </c>
      <c r="M277" s="14" t="n">
        <v>3.4</v>
      </c>
      <c r="N277" s="12">
        <f>ROUND(L277/M277, 0)</f>
        <v/>
      </c>
      <c r="O277" s="12">
        <f>ROUND(N277*'Methodology &amp; Assumptions'!$B$5, 0)</f>
        <v/>
      </c>
      <c r="P277" s="10" t="inlineStr">
        <is>
          <t>Single Carrier (Band n50, 100MHz TDD)</t>
        </is>
      </c>
      <c r="Q277" s="13">
        <f>ROUNDUP(O277/'Methodology &amp; Assumptions'!$B$6, 0)</f>
        <v/>
      </c>
      <c r="R277" s="13" t="n">
        <v>1</v>
      </c>
      <c r="S277" s="14" t="n">
        <v>2.38</v>
      </c>
      <c r="T277" s="14" t="n">
        <v>1.6</v>
      </c>
      <c r="U277" s="26">
        <f>IF(X277&gt;='Methodology &amp; Assumptions'!$B$7, "Tier 1 Critical GIDA (Score ≥ 50.0)", IF(X277&gt;='Methodology &amp; Assumptions'!$B$8, "Tier 2 High GIDA (Score 40.0–49.9)", "Tier 3 Moderate GIDA (Score &lt; 40.0)"))</f>
        <v/>
      </c>
      <c r="V277" s="26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W277" s="28" t="n">
        <v>0.07200000000000001</v>
      </c>
      <c r="X277" s="14" t="n">
        <v>47.36</v>
      </c>
      <c r="Y277" s="14">
        <f>ROUND(MIN(100, (X277/69.91)*100), 2)</f>
        <v/>
      </c>
    </row>
    <row r="278">
      <c r="A278" s="10" t="n">
        <v>4</v>
      </c>
      <c r="B278" s="10" t="n">
        <v>274</v>
      </c>
      <c r="C278" s="10" t="n">
        <v>3274</v>
      </c>
      <c r="D278" s="10" t="inlineStr">
        <is>
          <t>PH0003274</t>
        </is>
      </c>
      <c r="E278" s="26" t="inlineStr">
        <is>
          <t>VIII</t>
        </is>
      </c>
      <c r="F278" s="26" t="inlineStr">
        <is>
          <t>Samar (Western Samar)</t>
        </is>
      </c>
      <c r="G278" s="26" t="inlineStr">
        <is>
          <t>Calbayog City</t>
        </is>
      </c>
      <c r="H278" s="26" t="inlineStr">
        <is>
          <t>Macatingog</t>
        </is>
      </c>
      <c r="I278" s="27" t="n">
        <v>12.29639</v>
      </c>
      <c r="J278" s="27" t="n">
        <v>124.48531</v>
      </c>
      <c r="K278" s="10" t="inlineStr">
        <is>
          <t>R</t>
        </is>
      </c>
      <c r="L278" s="12" t="n">
        <v>2229</v>
      </c>
      <c r="M278" s="14" t="n">
        <v>4.1</v>
      </c>
      <c r="N278" s="12">
        <f>ROUND(L278/M278, 0)</f>
        <v/>
      </c>
      <c r="O278" s="12">
        <f>ROUND(N278*'Methodology &amp; Assumptions'!$B$5, 0)</f>
        <v/>
      </c>
      <c r="P278" s="10" t="inlineStr">
        <is>
          <t>Single Carrier (Band n50, 100MHz TDD)</t>
        </is>
      </c>
      <c r="Q278" s="13">
        <f>ROUNDUP(O278/'Methodology &amp; Assumptions'!$B$6, 0)</f>
        <v/>
      </c>
      <c r="R278" s="13" t="n">
        <v>1</v>
      </c>
      <c r="S278" s="14" t="n">
        <v>54.42</v>
      </c>
      <c r="T278" s="14" t="n">
        <v>54.41</v>
      </c>
      <c r="U278" s="26">
        <f>IF(X278&gt;='Methodology &amp; Assumptions'!$B$7, "Tier 1 Critical GIDA (Score ≥ 50.0)", IF(X278&gt;='Methodology &amp; Assumptions'!$B$8, "Tier 2 High GIDA (Score 40.0–49.9)", "Tier 3 Moderate GIDA (Score &lt; 40.0)"))</f>
        <v/>
      </c>
      <c r="V278" s="26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W278" s="28" t="n">
        <v>0.222</v>
      </c>
      <c r="X278" s="14" t="n">
        <v>47.36</v>
      </c>
      <c r="Y278" s="14">
        <f>ROUND(MIN(100, (X278/69.91)*100), 2)</f>
        <v/>
      </c>
    </row>
    <row r="279">
      <c r="A279" s="10" t="n">
        <v>4</v>
      </c>
      <c r="B279" s="10" t="n">
        <v>275</v>
      </c>
      <c r="C279" s="10" t="n">
        <v>3275</v>
      </c>
      <c r="D279" s="10" t="inlineStr">
        <is>
          <t>0102934009</t>
        </is>
      </c>
      <c r="E279" s="26" t="inlineStr">
        <is>
          <t>Region I (Ilocos Region)</t>
        </is>
      </c>
      <c r="F279" s="26" t="inlineStr">
        <is>
          <t>Ilocos Sur</t>
        </is>
      </c>
      <c r="G279" s="26" t="inlineStr">
        <is>
          <t>City of Vigan</t>
        </is>
      </c>
      <c r="H279" s="26" t="inlineStr">
        <is>
          <t>Barraca</t>
        </is>
      </c>
      <c r="I279" s="27" t="n">
        <v>17.559264</v>
      </c>
      <c r="J279" s="27" t="n">
        <v>120.372804</v>
      </c>
      <c r="K279" s="10" t="inlineStr">
        <is>
          <t>R</t>
        </is>
      </c>
      <c r="L279" s="12" t="n">
        <v>300</v>
      </c>
      <c r="M279" s="14" t="n">
        <v>3.8</v>
      </c>
      <c r="N279" s="12">
        <f>ROUND(L279/M279, 0)</f>
        <v/>
      </c>
      <c r="O279" s="12">
        <f>ROUND(N279*'Methodology &amp; Assumptions'!$B$5, 0)</f>
        <v/>
      </c>
      <c r="P279" s="10" t="inlineStr">
        <is>
          <t>Single Carrier (Band n50, 100MHz TDD)</t>
        </is>
      </c>
      <c r="Q279" s="13">
        <f>ROUNDUP(O279/'Methodology &amp; Assumptions'!$B$6, 0)</f>
        <v/>
      </c>
      <c r="R279" s="13" t="n">
        <v>1</v>
      </c>
      <c r="S279" s="14" t="n">
        <v>4.25</v>
      </c>
      <c r="T279" s="14" t="n">
        <v>3.07</v>
      </c>
      <c r="U279" s="26">
        <f>IF(X279&gt;='Methodology &amp; Assumptions'!$B$7, "Tier 1 Critical GIDA (Score ≥ 50.0)", IF(X279&gt;='Methodology &amp; Assumptions'!$B$8, "Tier 2 High GIDA (Score 40.0–49.9)", "Tier 3 Moderate GIDA (Score &lt; 40.0)"))</f>
        <v/>
      </c>
      <c r="V279" s="26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W279" s="28" t="n">
        <v>0.083</v>
      </c>
      <c r="X279" s="14" t="n">
        <v>47.36</v>
      </c>
      <c r="Y279" s="14">
        <f>ROUND(MIN(100, (X279/69.91)*100), 2)</f>
        <v/>
      </c>
    </row>
    <row r="280">
      <c r="A280" s="10" t="n">
        <v>4</v>
      </c>
      <c r="B280" s="10" t="n">
        <v>276</v>
      </c>
      <c r="C280" s="10" t="n">
        <v>3276</v>
      </c>
      <c r="D280" s="10" t="inlineStr">
        <is>
          <t>1380610015</t>
        </is>
      </c>
      <c r="E280" s="26" t="inlineStr">
        <is>
          <t>National Capital Region (NCR)</t>
        </is>
      </c>
      <c r="F280" s="26" t="inlineStr">
        <is>
          <t>First District (Not a Province)</t>
        </is>
      </c>
      <c r="G280" s="26" t="inlineStr">
        <is>
          <t>City of Manila</t>
        </is>
      </c>
      <c r="H280" s="26" t="inlineStr">
        <is>
          <t>Barangay 700</t>
        </is>
      </c>
      <c r="I280" s="27" t="n">
        <v>11.966701</v>
      </c>
      <c r="J280" s="27" t="n">
        <v>122.710563</v>
      </c>
      <c r="K280" s="10" t="inlineStr">
        <is>
          <t>U</t>
        </is>
      </c>
      <c r="L280" s="12" t="n">
        <v>142</v>
      </c>
      <c r="M280" s="14" t="n">
        <v>3.9</v>
      </c>
      <c r="N280" s="12">
        <f>ROUND(L280/M280, 0)</f>
        <v/>
      </c>
      <c r="O280" s="12">
        <f>ROUND(N280*'Methodology &amp; Assumptions'!$B$5, 0)</f>
        <v/>
      </c>
      <c r="P280" s="10" t="inlineStr">
        <is>
          <t>Single Carrier (Band n50, 100MHz TDD)</t>
        </is>
      </c>
      <c r="Q280" s="13">
        <f>ROUNDUP(O280/'Methodology &amp; Assumptions'!$B$6, 0)</f>
        <v/>
      </c>
      <c r="R280" s="13" t="n">
        <v>1</v>
      </c>
      <c r="S280" s="14" t="n">
        <v>39.86</v>
      </c>
      <c r="T280" s="14" t="n">
        <v>20.08</v>
      </c>
      <c r="U280" s="26">
        <f>IF(X280&gt;='Methodology &amp; Assumptions'!$B$7, "Tier 1 Critical GIDA (Score ≥ 50.0)", IF(X280&gt;='Methodology &amp; Assumptions'!$B$8, "Tier 2 High GIDA (Score 40.0–49.9)", "Tier 3 Moderate GIDA (Score &lt; 40.0)"))</f>
        <v/>
      </c>
      <c r="V280" s="26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W280" s="28" t="n">
        <v>0.109</v>
      </c>
      <c r="X280" s="14" t="n">
        <v>47.35</v>
      </c>
      <c r="Y280" s="14">
        <f>ROUND(MIN(100, (X280/69.91)*100), 2)</f>
        <v/>
      </c>
    </row>
    <row r="281">
      <c r="A281" s="10" t="n">
        <v>4</v>
      </c>
      <c r="B281" s="10" t="n">
        <v>277</v>
      </c>
      <c r="C281" s="10" t="n">
        <v>3277</v>
      </c>
      <c r="D281" s="10" t="inlineStr">
        <is>
          <t>0504111030</t>
        </is>
      </c>
      <c r="E281" s="26" t="inlineStr">
        <is>
          <t>Region V (Bicol Region)</t>
        </is>
      </c>
      <c r="F281" s="26" t="inlineStr">
        <is>
          <t>Masbate</t>
        </is>
      </c>
      <c r="G281" s="26" t="inlineStr">
        <is>
          <t>City of Masbate</t>
        </is>
      </c>
      <c r="H281" s="26" t="inlineStr">
        <is>
          <t>Usab</t>
        </is>
      </c>
      <c r="I281" s="27" t="n">
        <v>12.33069</v>
      </c>
      <c r="J281" s="27" t="n">
        <v>123.58031</v>
      </c>
      <c r="K281" s="10" t="inlineStr">
        <is>
          <t>R</t>
        </is>
      </c>
      <c r="L281" s="12" t="n">
        <v>3146</v>
      </c>
      <c r="M281" s="14" t="n">
        <v>4.1</v>
      </c>
      <c r="N281" s="12">
        <f>ROUND(L281/M281, 0)</f>
        <v/>
      </c>
      <c r="O281" s="12">
        <f>ROUND(N281*'Methodology &amp; Assumptions'!$B$5, 0)</f>
        <v/>
      </c>
      <c r="P281" s="10" t="inlineStr">
        <is>
          <t>Single Carrier (Band n50, 100MHz TDD)</t>
        </is>
      </c>
      <c r="Q281" s="13">
        <f>ROUNDUP(O281/'Methodology &amp; Assumptions'!$B$6, 0)</f>
        <v/>
      </c>
      <c r="R281" s="13" t="n">
        <v>1</v>
      </c>
      <c r="S281" s="14" t="n">
        <v>4.97</v>
      </c>
      <c r="T281" s="14" t="n">
        <v>0.48</v>
      </c>
      <c r="U281" s="26">
        <f>IF(X281&gt;='Methodology &amp; Assumptions'!$B$7, "Tier 1 Critical GIDA (Score ≥ 50.0)", IF(X281&gt;='Methodology &amp; Assumptions'!$B$8, "Tier 2 High GIDA (Score 40.0–49.9)", "Tier 3 Moderate GIDA (Score &lt; 40.0)"))</f>
        <v/>
      </c>
      <c r="V281" s="26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W281" s="28" t="n">
        <v>0.237</v>
      </c>
      <c r="X281" s="14" t="n">
        <v>47.35</v>
      </c>
      <c r="Y281" s="14">
        <f>ROUND(MIN(100, (X281/69.91)*100), 2)</f>
        <v/>
      </c>
    </row>
    <row r="282">
      <c r="A282" s="10" t="n">
        <v>4</v>
      </c>
      <c r="B282" s="10" t="n">
        <v>278</v>
      </c>
      <c r="C282" s="10" t="n">
        <v>3278</v>
      </c>
      <c r="D282" s="10" t="inlineStr">
        <is>
          <t>PH0003278</t>
        </is>
      </c>
      <c r="E282" s="26" t="inlineStr">
        <is>
          <t>III</t>
        </is>
      </c>
      <c r="F282" s="26" t="inlineStr">
        <is>
          <t>Nueva Ecija</t>
        </is>
      </c>
      <c r="G282" s="26" t="inlineStr">
        <is>
          <t>Cabanatuan City</t>
        </is>
      </c>
      <c r="H282" s="26" t="inlineStr">
        <is>
          <t>Fatima (Pob.)</t>
        </is>
      </c>
      <c r="I282" s="27" t="n">
        <v>15.493532</v>
      </c>
      <c r="J282" s="27" t="n">
        <v>120.954036</v>
      </c>
      <c r="K282" s="10" t="inlineStr">
        <is>
          <t>R</t>
        </is>
      </c>
      <c r="L282" s="12" t="n">
        <v>2398</v>
      </c>
      <c r="M282" s="14" t="n">
        <v>3.5</v>
      </c>
      <c r="N282" s="12">
        <f>ROUND(L282/M282, 0)</f>
        <v/>
      </c>
      <c r="O282" s="12">
        <f>ROUND(N282*'Methodology &amp; Assumptions'!$B$5, 0)</f>
        <v/>
      </c>
      <c r="P282" s="10" t="inlineStr">
        <is>
          <t>Single Carrier (Band n50, 100MHz TDD)</t>
        </is>
      </c>
      <c r="Q282" s="13">
        <f>ROUNDUP(O282/'Methodology &amp; Assumptions'!$B$6, 0)</f>
        <v/>
      </c>
      <c r="R282" s="13" t="n">
        <v>1</v>
      </c>
      <c r="S282" s="14" t="n">
        <v>1.52</v>
      </c>
      <c r="T282" s="14" t="n">
        <v>1.52</v>
      </c>
      <c r="U282" s="26">
        <f>IF(X282&gt;='Methodology &amp; Assumptions'!$B$7, "Tier 1 Critical GIDA (Score ≥ 50.0)", IF(X282&gt;='Methodology &amp; Assumptions'!$B$8, "Tier 2 High GIDA (Score 40.0–49.9)", "Tier 3 Moderate GIDA (Score &lt; 40.0)"))</f>
        <v/>
      </c>
      <c r="V282" s="26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W282" s="28" t="n">
        <v>0.083</v>
      </c>
      <c r="X282" s="14" t="n">
        <v>47.34</v>
      </c>
      <c r="Y282" s="14">
        <f>ROUND(MIN(100, (X282/69.91)*100), 2)</f>
        <v/>
      </c>
    </row>
    <row r="283">
      <c r="A283" s="10" t="n">
        <v>4</v>
      </c>
      <c r="B283" s="10" t="n">
        <v>279</v>
      </c>
      <c r="C283" s="10" t="n">
        <v>3279</v>
      </c>
      <c r="D283" s="10" t="inlineStr">
        <is>
          <t>1381300056</t>
        </is>
      </c>
      <c r="E283" s="26" t="inlineStr">
        <is>
          <t>National Capital Region (NCR)</t>
        </is>
      </c>
      <c r="F283" s="26" t="inlineStr">
        <is>
          <t>Second District (Not a Province)</t>
        </is>
      </c>
      <c r="G283" s="26" t="inlineStr">
        <is>
          <t>Quezon City</t>
        </is>
      </c>
      <c r="H283" s="26" t="inlineStr">
        <is>
          <t>Maharlika</t>
        </is>
      </c>
      <c r="I283" s="27" t="n">
        <v>14.637122</v>
      </c>
      <c r="J283" s="27" t="n">
        <v>121.046874</v>
      </c>
      <c r="K283" s="10" t="inlineStr">
        <is>
          <t>U</t>
        </is>
      </c>
      <c r="L283" s="12" t="n">
        <v>4532</v>
      </c>
      <c r="M283" s="14" t="n">
        <v>3.8</v>
      </c>
      <c r="N283" s="12">
        <f>ROUND(L283/M283, 0)</f>
        <v/>
      </c>
      <c r="O283" s="12">
        <f>ROUND(N283*'Methodology &amp; Assumptions'!$B$5, 0)</f>
        <v/>
      </c>
      <c r="P283" s="10" t="inlineStr">
        <is>
          <t>Single Carrier (Band n50, 100MHz TDD)</t>
        </is>
      </c>
      <c r="Q283" s="13">
        <f>ROUNDUP(O283/'Methodology &amp; Assumptions'!$B$6, 0)</f>
        <v/>
      </c>
      <c r="R283" s="13" t="n">
        <v>1</v>
      </c>
      <c r="S283" s="14" t="n">
        <v>1.04</v>
      </c>
      <c r="T283" s="14" t="n">
        <v>0.08</v>
      </c>
      <c r="U283" s="26">
        <f>IF(X283&gt;='Methodology &amp; Assumptions'!$B$7, "Tier 1 Critical GIDA (Score ≥ 50.0)", IF(X283&gt;='Methodology &amp; Assumptions'!$B$8, "Tier 2 High GIDA (Score 40.0–49.9)", "Tier 3 Moderate GIDA (Score &lt; 40.0)"))</f>
        <v/>
      </c>
      <c r="V283" s="26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W283" s="28" t="n">
        <v>0.109</v>
      </c>
      <c r="X283" s="14" t="n">
        <v>47.33</v>
      </c>
      <c r="Y283" s="14">
        <f>ROUND(MIN(100, (X283/69.91)*100), 2)</f>
        <v/>
      </c>
    </row>
    <row r="284">
      <c r="A284" s="10" t="n">
        <v>4</v>
      </c>
      <c r="B284" s="10" t="n">
        <v>280</v>
      </c>
      <c r="C284" s="10" t="n">
        <v>3280</v>
      </c>
      <c r="D284" s="10" t="inlineStr">
        <is>
          <t>0405622090</t>
        </is>
      </c>
      <c r="E284" s="26" t="inlineStr">
        <is>
          <t>Region IV-A (CALABARZON)</t>
        </is>
      </c>
      <c r="F284" s="26" t="inlineStr">
        <is>
          <t>Quezon</t>
        </is>
      </c>
      <c r="G284" s="26" t="inlineStr">
        <is>
          <t>Lopez</t>
        </is>
      </c>
      <c r="H284" s="26" t="inlineStr">
        <is>
          <t>Villa Espina</t>
        </is>
      </c>
      <c r="I284" s="27" t="n">
        <v>13.857368</v>
      </c>
      <c r="J284" s="27" t="n">
        <v>122.37936</v>
      </c>
      <c r="K284" s="10" t="inlineStr">
        <is>
          <t>R</t>
        </is>
      </c>
      <c r="L284" s="12" t="n">
        <v>916</v>
      </c>
      <c r="M284" s="14" t="n">
        <v>3.8</v>
      </c>
      <c r="N284" s="12">
        <f>ROUND(L284/M284, 0)</f>
        <v/>
      </c>
      <c r="O284" s="12">
        <f>ROUND(N284*'Methodology &amp; Assumptions'!$B$5, 0)</f>
        <v/>
      </c>
      <c r="P284" s="10" t="inlineStr">
        <is>
          <t>Single Carrier (Band n50, 100MHz TDD)</t>
        </is>
      </c>
      <c r="Q284" s="13">
        <f>ROUNDUP(O284/'Methodology &amp; Assumptions'!$B$6, 0)</f>
        <v/>
      </c>
      <c r="R284" s="13" t="n">
        <v>1</v>
      </c>
      <c r="S284" s="14" t="n">
        <v>9.140000000000001</v>
      </c>
      <c r="T284" s="14" t="n">
        <v>3.17</v>
      </c>
      <c r="U284" s="26">
        <f>IF(X284&gt;='Methodology &amp; Assumptions'!$B$7, "Tier 1 Critical GIDA (Score ≥ 50.0)", IF(X284&gt;='Methodology &amp; Assumptions'!$B$8, "Tier 2 High GIDA (Score 40.0–49.9)", "Tier 3 Moderate GIDA (Score &lt; 40.0)"))</f>
        <v/>
      </c>
      <c r="V284" s="26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W284" s="28" t="n">
        <v>0.07200000000000001</v>
      </c>
      <c r="X284" s="14" t="n">
        <v>47.33</v>
      </c>
      <c r="Y284" s="14">
        <f>ROUND(MIN(100, (X284/69.91)*100), 2)</f>
        <v/>
      </c>
    </row>
    <row r="285">
      <c r="A285" s="10" t="n">
        <v>4</v>
      </c>
      <c r="B285" s="10" t="n">
        <v>281</v>
      </c>
      <c r="C285" s="10" t="n">
        <v>3281</v>
      </c>
      <c r="D285" s="10" t="inlineStr">
        <is>
          <t>PH0003281</t>
        </is>
      </c>
      <c r="E285" s="26" t="inlineStr">
        <is>
          <t>CAR</t>
        </is>
      </c>
      <c r="F285" s="26" t="inlineStr">
        <is>
          <t>Benguet</t>
        </is>
      </c>
      <c r="G285" s="26" t="inlineStr">
        <is>
          <t>Baguio City</t>
        </is>
      </c>
      <c r="H285" s="26" t="inlineStr">
        <is>
          <t>Fairview Village</t>
        </is>
      </c>
      <c r="I285" s="27" t="n">
        <v>16.41588</v>
      </c>
      <c r="J285" s="27" t="n">
        <v>120.58366</v>
      </c>
      <c r="K285" s="10" t="inlineStr">
        <is>
          <t>R</t>
        </is>
      </c>
      <c r="L285" s="12" t="n">
        <v>2260</v>
      </c>
      <c r="M285" s="14" t="n">
        <v>3.5</v>
      </c>
      <c r="N285" s="12">
        <f>ROUND(L285/M285, 0)</f>
        <v/>
      </c>
      <c r="O285" s="12">
        <f>ROUND(N285*'Methodology &amp; Assumptions'!$B$5, 0)</f>
        <v/>
      </c>
      <c r="P285" s="10" t="inlineStr">
        <is>
          <t>Single Carrier (Band n50, 100MHz TDD)</t>
        </is>
      </c>
      <c r="Q285" s="13">
        <f>ROUNDUP(O285/'Methodology &amp; Assumptions'!$B$6, 0)</f>
        <v/>
      </c>
      <c r="R285" s="13" t="n">
        <v>1</v>
      </c>
      <c r="S285" s="14" t="n">
        <v>0.49</v>
      </c>
      <c r="T285" s="14" t="n">
        <v>0.5600000000000001</v>
      </c>
      <c r="U285" s="26">
        <f>IF(X285&gt;='Methodology &amp; Assumptions'!$B$7, "Tier 1 Critical GIDA (Score ≥ 50.0)", IF(X285&gt;='Methodology &amp; Assumptions'!$B$8, "Tier 2 High GIDA (Score 40.0–49.9)", "Tier 3 Moderate GIDA (Score &lt; 40.0)"))</f>
        <v/>
      </c>
      <c r="V285" s="26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W285" s="28" t="n">
        <v>0.221</v>
      </c>
      <c r="X285" s="14" t="n">
        <v>47.32</v>
      </c>
      <c r="Y285" s="14">
        <f>ROUND(MIN(100, (X285/69.91)*100), 2)</f>
        <v/>
      </c>
    </row>
    <row r="286">
      <c r="A286" s="10" t="n">
        <v>4</v>
      </c>
      <c r="B286" s="10" t="n">
        <v>282</v>
      </c>
      <c r="C286" s="10" t="n">
        <v>3282</v>
      </c>
      <c r="D286" s="10" t="inlineStr">
        <is>
          <t>1408104012</t>
        </is>
      </c>
      <c r="E286" s="26" t="inlineStr">
        <is>
          <t>Cordillera Administrative Region (CAR)</t>
        </is>
      </c>
      <c r="F286" s="26" t="inlineStr">
        <is>
          <t>Apayao</t>
        </is>
      </c>
      <c r="G286" s="26" t="inlineStr">
        <is>
          <t>Kabugao</t>
        </is>
      </c>
      <c r="H286" s="26" t="inlineStr">
        <is>
          <t>Lucab</t>
        </is>
      </c>
      <c r="I286" s="27" t="n">
        <v>18.029865</v>
      </c>
      <c r="J286" s="27" t="n">
        <v>121.131978</v>
      </c>
      <c r="K286" s="10" t="inlineStr">
        <is>
          <t>R</t>
        </is>
      </c>
      <c r="L286" s="12" t="n">
        <v>575</v>
      </c>
      <c r="M286" s="14" t="n">
        <v>4.2</v>
      </c>
      <c r="N286" s="12">
        <f>ROUND(L286/M286, 0)</f>
        <v/>
      </c>
      <c r="O286" s="12">
        <f>ROUND(N286*'Methodology &amp; Assumptions'!$B$5, 0)</f>
        <v/>
      </c>
      <c r="P286" s="10" t="inlineStr">
        <is>
          <t>Single Carrier (Band n50, 100MHz TDD)</t>
        </is>
      </c>
      <c r="Q286" s="13">
        <f>ROUNDUP(O286/'Methodology &amp; Assumptions'!$B$6, 0)</f>
        <v/>
      </c>
      <c r="R286" s="13" t="n">
        <v>1</v>
      </c>
      <c r="S286" s="14" t="n">
        <v>5.32</v>
      </c>
      <c r="T286" s="14" t="n">
        <v>13.49</v>
      </c>
      <c r="U286" s="26">
        <f>IF(X286&gt;='Methodology &amp; Assumptions'!$B$7, "Tier 1 Critical GIDA (Score ≥ 50.0)", IF(X286&gt;='Methodology &amp; Assumptions'!$B$8, "Tier 2 High GIDA (Score 40.0–49.9)", "Tier 3 Moderate GIDA (Score &lt; 40.0)"))</f>
        <v/>
      </c>
      <c r="V286" s="26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W286" s="28" t="n">
        <v>0.109</v>
      </c>
      <c r="X286" s="14" t="n">
        <v>47.32</v>
      </c>
      <c r="Y286" s="14">
        <f>ROUND(MIN(100, (X286/69.91)*100), 2)</f>
        <v/>
      </c>
    </row>
    <row r="287">
      <c r="A287" s="10" t="n">
        <v>4</v>
      </c>
      <c r="B287" s="10" t="n">
        <v>283</v>
      </c>
      <c r="C287" s="10" t="n">
        <v>3283</v>
      </c>
      <c r="D287" s="10" t="inlineStr">
        <is>
          <t>PH0003283</t>
        </is>
      </c>
      <c r="E287" s="26" t="inlineStr">
        <is>
          <t>VIII</t>
        </is>
      </c>
      <c r="F287" s="26" t="inlineStr">
        <is>
          <t>Leyte</t>
        </is>
      </c>
      <c r="G287" s="26" t="inlineStr">
        <is>
          <t>Tacloban City</t>
        </is>
      </c>
      <c r="H287" s="26" t="inlineStr">
        <is>
          <t>Barangay 48-A</t>
        </is>
      </c>
      <c r="I287" s="27" t="n">
        <v>11.206517</v>
      </c>
      <c r="J287" s="27" t="n">
        <v>125.004771</v>
      </c>
      <c r="K287" s="10" t="inlineStr">
        <is>
          <t>R</t>
        </is>
      </c>
      <c r="L287" s="12" t="n">
        <v>2258</v>
      </c>
      <c r="M287" s="14" t="n">
        <v>3.8</v>
      </c>
      <c r="N287" s="12">
        <f>ROUND(L287/M287, 0)</f>
        <v/>
      </c>
      <c r="O287" s="12">
        <f>ROUND(N287*'Methodology &amp; Assumptions'!$B$5, 0)</f>
        <v/>
      </c>
      <c r="P287" s="10" t="inlineStr">
        <is>
          <t>Single Carrier (Band n50, 100MHz TDD)</t>
        </is>
      </c>
      <c r="Q287" s="13">
        <f>ROUNDUP(O287/'Methodology &amp; Assumptions'!$B$6, 0)</f>
        <v/>
      </c>
      <c r="R287" s="13" t="n">
        <v>1</v>
      </c>
      <c r="S287" s="14" t="n">
        <v>0.83</v>
      </c>
      <c r="T287" s="14" t="n">
        <v>0.39</v>
      </c>
      <c r="U287" s="26">
        <f>IF(X287&gt;='Methodology &amp; Assumptions'!$B$7, "Tier 1 Critical GIDA (Score ≥ 50.0)", IF(X287&gt;='Methodology &amp; Assumptions'!$B$8, "Tier 2 High GIDA (Score 40.0–49.9)", "Tier 3 Moderate GIDA (Score &lt; 40.0)"))</f>
        <v/>
      </c>
      <c r="V287" s="26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W287" s="28" t="n">
        <v>0.222</v>
      </c>
      <c r="X287" s="14" t="n">
        <v>47.31</v>
      </c>
      <c r="Y287" s="14">
        <f>ROUND(MIN(100, (X287/69.91)*100), 2)</f>
        <v/>
      </c>
    </row>
    <row r="288">
      <c r="A288" s="10" t="n">
        <v>4</v>
      </c>
      <c r="B288" s="10" t="n">
        <v>284</v>
      </c>
      <c r="C288" s="10" t="n">
        <v>3284</v>
      </c>
      <c r="D288" s="10" t="inlineStr">
        <is>
          <t>PH0003284</t>
        </is>
      </c>
      <c r="E288" s="26" t="inlineStr">
        <is>
          <t>VIII</t>
        </is>
      </c>
      <c r="F288" s="26" t="inlineStr">
        <is>
          <t>Samar (Western Samar)</t>
        </is>
      </c>
      <c r="G288" s="26" t="inlineStr">
        <is>
          <t>Calbayog City</t>
        </is>
      </c>
      <c r="H288" s="26" t="inlineStr">
        <is>
          <t>Cag-anahaw</t>
        </is>
      </c>
      <c r="I288" s="27" t="n">
        <v>12.24984</v>
      </c>
      <c r="J288" s="27" t="n">
        <v>124.53412</v>
      </c>
      <c r="K288" s="10" t="inlineStr">
        <is>
          <t>R</t>
        </is>
      </c>
      <c r="L288" s="12" t="n">
        <v>2229</v>
      </c>
      <c r="M288" s="14" t="n">
        <v>4.1</v>
      </c>
      <c r="N288" s="12">
        <f>ROUND(L288/M288, 0)</f>
        <v/>
      </c>
      <c r="O288" s="12">
        <f>ROUND(N288*'Methodology &amp; Assumptions'!$B$5, 0)</f>
        <v/>
      </c>
      <c r="P288" s="10" t="inlineStr">
        <is>
          <t>Single Carrier (Band n50, 100MHz TDD)</t>
        </is>
      </c>
      <c r="Q288" s="13">
        <f>ROUNDUP(O288/'Methodology &amp; Assumptions'!$B$6, 0)</f>
        <v/>
      </c>
      <c r="R288" s="13" t="n">
        <v>1</v>
      </c>
      <c r="S288" s="14" t="n">
        <v>61.76</v>
      </c>
      <c r="T288" s="14" t="n">
        <v>61.75</v>
      </c>
      <c r="U288" s="26">
        <f>IF(X288&gt;='Methodology &amp; Assumptions'!$B$7, "Tier 1 Critical GIDA (Score ≥ 50.0)", IF(X288&gt;='Methodology &amp; Assumptions'!$B$8, "Tier 2 High GIDA (Score 40.0–49.9)", "Tier 3 Moderate GIDA (Score &lt; 40.0)"))</f>
        <v/>
      </c>
      <c r="V288" s="26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W288" s="28" t="n">
        <v>0.222</v>
      </c>
      <c r="X288" s="14" t="n">
        <v>47.31</v>
      </c>
      <c r="Y288" s="14">
        <f>ROUND(MIN(100, (X288/69.91)*100), 2)</f>
        <v/>
      </c>
    </row>
    <row r="289">
      <c r="A289" s="10" t="n">
        <v>4</v>
      </c>
      <c r="B289" s="10" t="n">
        <v>285</v>
      </c>
      <c r="C289" s="10" t="n">
        <v>3285</v>
      </c>
      <c r="D289" s="10" t="inlineStr">
        <is>
          <t>0402103014</t>
        </is>
      </c>
      <c r="E289" s="26" t="inlineStr">
        <is>
          <t>Region IV-A (CALABARZON)</t>
        </is>
      </c>
      <c r="F289" s="26" t="inlineStr">
        <is>
          <t>Cavite</t>
        </is>
      </c>
      <c r="G289" s="26" t="inlineStr">
        <is>
          <t>City of Bacoor</t>
        </is>
      </c>
      <c r="H289" s="26" t="inlineStr">
        <is>
          <t>Molino I</t>
        </is>
      </c>
      <c r="I289" s="27" t="n">
        <v>14.264811</v>
      </c>
      <c r="J289" s="27" t="n">
        <v>120.754763</v>
      </c>
      <c r="K289" s="10" t="inlineStr">
        <is>
          <t>U</t>
        </is>
      </c>
      <c r="L289" s="12" t="n">
        <v>17504</v>
      </c>
      <c r="M289" s="14" t="n">
        <v>3.4</v>
      </c>
      <c r="N289" s="12">
        <f>ROUND(L289/M289, 0)</f>
        <v/>
      </c>
      <c r="O289" s="12">
        <f>ROUND(N289*'Methodology &amp; Assumptions'!$B$5, 0)</f>
        <v/>
      </c>
      <c r="P289" s="10" t="inlineStr">
        <is>
          <t>Single Carrier (Band n50, 100MHz TDD)</t>
        </is>
      </c>
      <c r="Q289" s="13">
        <f>ROUNDUP(O289/'Methodology &amp; Assumptions'!$B$6, 0)</f>
        <v/>
      </c>
      <c r="R289" s="13" t="n">
        <v>1</v>
      </c>
      <c r="S289" s="14" t="n">
        <v>2.24</v>
      </c>
      <c r="T289" s="14" t="n">
        <v>0.97</v>
      </c>
      <c r="U289" s="26">
        <f>IF(X289&gt;='Methodology &amp; Assumptions'!$B$7, "Tier 1 Critical GIDA (Score ≥ 50.0)", IF(X289&gt;='Methodology &amp; Assumptions'!$B$8, "Tier 2 High GIDA (Score 40.0–49.9)", "Tier 3 Moderate GIDA (Score &lt; 40.0)"))</f>
        <v/>
      </c>
      <c r="V289" s="26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W289" s="28" t="n">
        <v>0.07200000000000001</v>
      </c>
      <c r="X289" s="14" t="n">
        <v>47.31</v>
      </c>
      <c r="Y289" s="14">
        <f>ROUND(MIN(100, (X289/69.91)*100), 2)</f>
        <v/>
      </c>
    </row>
    <row r="290">
      <c r="A290" s="10" t="n">
        <v>4</v>
      </c>
      <c r="B290" s="10" t="n">
        <v>286</v>
      </c>
      <c r="C290" s="10" t="n">
        <v>3286</v>
      </c>
      <c r="D290" s="10" t="inlineStr">
        <is>
          <t>1102501012</t>
        </is>
      </c>
      <c r="E290" s="26" t="inlineStr">
        <is>
          <t>Region XI (Davao Region)</t>
        </is>
      </c>
      <c r="F290" s="26" t="inlineStr">
        <is>
          <t>Davao Oriental</t>
        </is>
      </c>
      <c r="G290" s="26" t="inlineStr">
        <is>
          <t>Baganga</t>
        </is>
      </c>
      <c r="H290" s="26" t="inlineStr">
        <is>
          <t>Mahanub</t>
        </is>
      </c>
      <c r="I290" s="27" t="n">
        <v>7.631597</v>
      </c>
      <c r="J290" s="27" t="n">
        <v>126.539528</v>
      </c>
      <c r="K290" s="10" t="inlineStr">
        <is>
          <t>R</t>
        </is>
      </c>
      <c r="L290" s="12" t="n">
        <v>4568</v>
      </c>
      <c r="M290" s="14" t="n">
        <v>3.6</v>
      </c>
      <c r="N290" s="12">
        <f>ROUND(L290/M290, 0)</f>
        <v/>
      </c>
      <c r="O290" s="12">
        <f>ROUND(N290*'Methodology &amp; Assumptions'!$B$5, 0)</f>
        <v/>
      </c>
      <c r="P290" s="10" t="inlineStr">
        <is>
          <t>Single Carrier (Band n50, 100MHz TDD)</t>
        </is>
      </c>
      <c r="Q290" s="13">
        <f>ROUNDUP(O290/'Methodology &amp; Assumptions'!$B$6, 0)</f>
        <v/>
      </c>
      <c r="R290" s="13" t="n">
        <v>1</v>
      </c>
      <c r="S290" s="14" t="n">
        <v>57.54</v>
      </c>
      <c r="T290" s="14" t="n">
        <v>57.14</v>
      </c>
      <c r="U290" s="26">
        <f>IF(X290&gt;='Methodology &amp; Assumptions'!$B$7, "Tier 1 Critical GIDA (Score ≥ 50.0)", IF(X290&gt;='Methodology &amp; Assumptions'!$B$8, "Tier 2 High GIDA (Score 40.0–49.9)", "Tier 3 Moderate GIDA (Score &lt; 40.0)"))</f>
        <v/>
      </c>
      <c r="V290" s="26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W290" s="28" t="n">
        <v>0.174</v>
      </c>
      <c r="X290" s="14" t="n">
        <v>47.31</v>
      </c>
      <c r="Y290" s="14">
        <f>ROUND(MIN(100, (X290/69.91)*100), 2)</f>
        <v/>
      </c>
    </row>
    <row r="291">
      <c r="A291" s="10" t="n">
        <v>4</v>
      </c>
      <c r="B291" s="10" t="n">
        <v>287</v>
      </c>
      <c r="C291" s="10" t="n">
        <v>3287</v>
      </c>
      <c r="D291" s="10" t="inlineStr">
        <is>
          <t>PH0003287</t>
        </is>
      </c>
      <c r="E291" s="26" t="inlineStr">
        <is>
          <t>VIII</t>
        </is>
      </c>
      <c r="F291" s="26" t="inlineStr">
        <is>
          <t>Samar (Western Samar)</t>
        </is>
      </c>
      <c r="G291" s="26" t="inlineStr">
        <is>
          <t>Calbayog City</t>
        </is>
      </c>
      <c r="H291" s="26" t="inlineStr">
        <is>
          <t>Lapaan</t>
        </is>
      </c>
      <c r="I291" s="27" t="n">
        <v>12.20431</v>
      </c>
      <c r="J291" s="27" t="n">
        <v>124.59834</v>
      </c>
      <c r="K291" s="10" t="inlineStr">
        <is>
          <t>R</t>
        </is>
      </c>
      <c r="L291" s="12" t="n">
        <v>2229</v>
      </c>
      <c r="M291" s="14" t="n">
        <v>4.1</v>
      </c>
      <c r="N291" s="12">
        <f>ROUND(L291/M291, 0)</f>
        <v/>
      </c>
      <c r="O291" s="12">
        <f>ROUND(N291*'Methodology &amp; Assumptions'!$B$5, 0)</f>
        <v/>
      </c>
      <c r="P291" s="10" t="inlineStr">
        <is>
          <t>Single Carrier (Band n50, 100MHz TDD)</t>
        </is>
      </c>
      <c r="Q291" s="13">
        <f>ROUNDUP(O291/'Methodology &amp; Assumptions'!$B$6, 0)</f>
        <v/>
      </c>
      <c r="R291" s="13" t="n">
        <v>1</v>
      </c>
      <c r="S291" s="14" t="n">
        <v>70.38</v>
      </c>
      <c r="T291" s="14" t="n">
        <v>70.37</v>
      </c>
      <c r="U291" s="26">
        <f>IF(X291&gt;='Methodology &amp; Assumptions'!$B$7, "Tier 1 Critical GIDA (Score ≥ 50.0)", IF(X291&gt;='Methodology &amp; Assumptions'!$B$8, "Tier 2 High GIDA (Score 40.0–49.9)", "Tier 3 Moderate GIDA (Score &lt; 40.0)"))</f>
        <v/>
      </c>
      <c r="V291" s="26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W291" s="28" t="n">
        <v>0.222</v>
      </c>
      <c r="X291" s="14" t="n">
        <v>47.31</v>
      </c>
      <c r="Y291" s="14">
        <f>ROUND(MIN(100, (X291/69.91)*100), 2)</f>
        <v/>
      </c>
    </row>
    <row r="292">
      <c r="A292" s="10" t="n">
        <v>4</v>
      </c>
      <c r="B292" s="10" t="n">
        <v>288</v>
      </c>
      <c r="C292" s="10" t="n">
        <v>3288</v>
      </c>
      <c r="D292" s="10" t="inlineStr">
        <is>
          <t>PH0003288</t>
        </is>
      </c>
      <c r="E292" s="26" t="inlineStr">
        <is>
          <t>VIII</t>
        </is>
      </c>
      <c r="F292" s="26" t="inlineStr">
        <is>
          <t>Samar (Western Samar)</t>
        </is>
      </c>
      <c r="G292" s="26" t="inlineStr">
        <is>
          <t>Calbayog City</t>
        </is>
      </c>
      <c r="H292" s="26" t="inlineStr">
        <is>
          <t>Higasaan</t>
        </is>
      </c>
      <c r="I292" s="27" t="n">
        <v>12.228066</v>
      </c>
      <c r="J292" s="27" t="n">
        <v>124.780621</v>
      </c>
      <c r="K292" s="10" t="inlineStr">
        <is>
          <t>R</t>
        </is>
      </c>
      <c r="L292" s="12" t="n">
        <v>2229</v>
      </c>
      <c r="M292" s="14" t="n">
        <v>4.1</v>
      </c>
      <c r="N292" s="12">
        <f>ROUND(L292/M292, 0)</f>
        <v/>
      </c>
      <c r="O292" s="12">
        <f>ROUND(N292*'Methodology &amp; Assumptions'!$B$5, 0)</f>
        <v/>
      </c>
      <c r="P292" s="10" t="inlineStr">
        <is>
          <t>Single Carrier (Band n50, 100MHz TDD)</t>
        </is>
      </c>
      <c r="Q292" s="13">
        <f>ROUNDUP(O292/'Methodology &amp; Assumptions'!$B$6, 0)</f>
        <v/>
      </c>
      <c r="R292" s="13" t="n">
        <v>1</v>
      </c>
      <c r="S292" s="14" t="n">
        <v>85.73</v>
      </c>
      <c r="T292" s="14" t="n">
        <v>85.72</v>
      </c>
      <c r="U292" s="26">
        <f>IF(X292&gt;='Methodology &amp; Assumptions'!$B$7, "Tier 1 Critical GIDA (Score ≥ 50.0)", IF(X292&gt;='Methodology &amp; Assumptions'!$B$8, "Tier 2 High GIDA (Score 40.0–49.9)", "Tier 3 Moderate GIDA (Score &lt; 40.0)"))</f>
        <v/>
      </c>
      <c r="V292" s="26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W292" s="28" t="n">
        <v>0.222</v>
      </c>
      <c r="X292" s="14" t="n">
        <v>47.3</v>
      </c>
      <c r="Y292" s="14">
        <f>ROUND(MIN(100, (X292/69.91)*100), 2)</f>
        <v/>
      </c>
    </row>
    <row r="293">
      <c r="A293" s="10" t="n">
        <v>4</v>
      </c>
      <c r="B293" s="10" t="n">
        <v>289</v>
      </c>
      <c r="C293" s="10" t="n">
        <v>3289</v>
      </c>
      <c r="D293" s="10" t="inlineStr">
        <is>
          <t>PH0003289</t>
        </is>
      </c>
      <c r="E293" s="26" t="inlineStr">
        <is>
          <t>VIII</t>
        </is>
      </c>
      <c r="F293" s="26" t="inlineStr">
        <is>
          <t>Samar (Western Samar)</t>
        </is>
      </c>
      <c r="G293" s="26" t="inlineStr">
        <is>
          <t>Calbayog City</t>
        </is>
      </c>
      <c r="H293" s="26" t="inlineStr">
        <is>
          <t>Cangomaod</t>
        </is>
      </c>
      <c r="I293" s="27" t="n">
        <v>12.219996</v>
      </c>
      <c r="J293" s="27" t="n">
        <v>124.405979</v>
      </c>
      <c r="K293" s="10" t="inlineStr">
        <is>
          <t>R</t>
        </is>
      </c>
      <c r="L293" s="12" t="n">
        <v>2229</v>
      </c>
      <c r="M293" s="14" t="n">
        <v>4.1</v>
      </c>
      <c r="N293" s="12">
        <f>ROUND(L293/M293, 0)</f>
        <v/>
      </c>
      <c r="O293" s="12">
        <f>ROUND(N293*'Methodology &amp; Assumptions'!$B$5, 0)</f>
        <v/>
      </c>
      <c r="P293" s="10" t="inlineStr">
        <is>
          <t>Single Carrier (Band n50, 100MHz TDD)</t>
        </is>
      </c>
      <c r="Q293" s="13">
        <f>ROUNDUP(O293/'Methodology &amp; Assumptions'!$B$6, 0)</f>
        <v/>
      </c>
      <c r="R293" s="13" t="n">
        <v>1</v>
      </c>
      <c r="S293" s="14" t="n">
        <v>53.85</v>
      </c>
      <c r="T293" s="14" t="n">
        <v>53.85</v>
      </c>
      <c r="U293" s="26">
        <f>IF(X293&gt;='Methodology &amp; Assumptions'!$B$7, "Tier 1 Critical GIDA (Score ≥ 50.0)", IF(X293&gt;='Methodology &amp; Assumptions'!$B$8, "Tier 2 High GIDA (Score 40.0–49.9)", "Tier 3 Moderate GIDA (Score &lt; 40.0)"))</f>
        <v/>
      </c>
      <c r="V293" s="26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W293" s="28" t="n">
        <v>0.222</v>
      </c>
      <c r="X293" s="14" t="n">
        <v>47.3</v>
      </c>
      <c r="Y293" s="14">
        <f>ROUND(MIN(100, (X293/69.91)*100), 2)</f>
        <v/>
      </c>
    </row>
    <row r="294">
      <c r="A294" s="10" t="n">
        <v>4</v>
      </c>
      <c r="B294" s="10" t="n">
        <v>290</v>
      </c>
      <c r="C294" s="10" t="n">
        <v>3290</v>
      </c>
      <c r="D294" s="10" t="inlineStr">
        <is>
          <t>0402103048</t>
        </is>
      </c>
      <c r="E294" s="26" t="inlineStr">
        <is>
          <t>Region IV-A (CALABARZON)</t>
        </is>
      </c>
      <c r="F294" s="26" t="inlineStr">
        <is>
          <t>Cavite</t>
        </is>
      </c>
      <c r="G294" s="26" t="inlineStr">
        <is>
          <t>City of Bacoor</t>
        </is>
      </c>
      <c r="H294" s="26" t="inlineStr">
        <is>
          <t>Molino V</t>
        </is>
      </c>
      <c r="I294" s="27" t="n">
        <v>14.405095</v>
      </c>
      <c r="J294" s="27" t="n">
        <v>120.992352</v>
      </c>
      <c r="K294" s="10" t="inlineStr">
        <is>
          <t>U</t>
        </is>
      </c>
      <c r="L294" s="12" t="n">
        <v>6908</v>
      </c>
      <c r="M294" s="14" t="n">
        <v>3.4</v>
      </c>
      <c r="N294" s="12">
        <f>ROUND(L294/M294, 0)</f>
        <v/>
      </c>
      <c r="O294" s="12">
        <f>ROUND(N294*'Methodology &amp; Assumptions'!$B$5, 0)</f>
        <v/>
      </c>
      <c r="P294" s="10" t="inlineStr">
        <is>
          <t>Single Carrier (Band n50, 100MHz TDD)</t>
        </is>
      </c>
      <c r="Q294" s="13">
        <f>ROUNDUP(O294/'Methodology &amp; Assumptions'!$B$6, 0)</f>
        <v/>
      </c>
      <c r="R294" s="13" t="n">
        <v>1</v>
      </c>
      <c r="S294" s="14" t="n">
        <v>1.9</v>
      </c>
      <c r="T294" s="14" t="n">
        <v>3.35</v>
      </c>
      <c r="U294" s="26">
        <f>IF(X294&gt;='Methodology &amp; Assumptions'!$B$7, "Tier 1 Critical GIDA (Score ≥ 50.0)", IF(X294&gt;='Methodology &amp; Assumptions'!$B$8, "Tier 2 High GIDA (Score 40.0–49.9)", "Tier 3 Moderate GIDA (Score &lt; 40.0)"))</f>
        <v/>
      </c>
      <c r="V294" s="26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W294" s="28" t="n">
        <v>0.07200000000000001</v>
      </c>
      <c r="X294" s="14" t="n">
        <v>47.3</v>
      </c>
      <c r="Y294" s="14">
        <f>ROUND(MIN(100, (X294/69.91)*100), 2)</f>
        <v/>
      </c>
    </row>
    <row r="295">
      <c r="A295" s="10" t="n">
        <v>4</v>
      </c>
      <c r="B295" s="10" t="n">
        <v>291</v>
      </c>
      <c r="C295" s="10" t="n">
        <v>3291</v>
      </c>
      <c r="D295" s="10" t="inlineStr">
        <is>
          <t>1705104009</t>
        </is>
      </c>
      <c r="E295" s="26" t="inlineStr">
        <is>
          <t>MIMAROPA Region</t>
        </is>
      </c>
      <c r="F295" s="26" t="inlineStr">
        <is>
          <t>Occidental Mindoro</t>
        </is>
      </c>
      <c r="G295" s="26" t="inlineStr">
        <is>
          <t>Lubang</t>
        </is>
      </c>
      <c r="H295" s="26" t="inlineStr">
        <is>
          <t>Sorville</t>
        </is>
      </c>
      <c r="I295" s="27" t="n">
        <v>13.84273</v>
      </c>
      <c r="J295" s="27" t="n">
        <v>120.120519</v>
      </c>
      <c r="K295" s="10" t="inlineStr">
        <is>
          <t>R</t>
        </is>
      </c>
      <c r="L295" s="12" t="n">
        <v>124</v>
      </c>
      <c r="M295" s="14" t="n">
        <v>3.9</v>
      </c>
      <c r="N295" s="12">
        <f>ROUND(L295/M295, 0)</f>
        <v/>
      </c>
      <c r="O295" s="12">
        <f>ROUND(N295*'Methodology &amp; Assumptions'!$B$5, 0)</f>
        <v/>
      </c>
      <c r="P295" s="10" t="inlineStr">
        <is>
          <t>Single Carrier (Band n50, 100MHz TDD)</t>
        </is>
      </c>
      <c r="Q295" s="13">
        <f>ROUNDUP(O295/'Methodology &amp; Assumptions'!$B$6, 0)</f>
        <v/>
      </c>
      <c r="R295" s="13" t="n">
        <v>1</v>
      </c>
      <c r="S295" s="14" t="n">
        <v>55.01</v>
      </c>
      <c r="T295" s="14" t="n">
        <v>54.86</v>
      </c>
      <c r="U295" s="26">
        <f>IF(X295&gt;='Methodology &amp; Assumptions'!$B$7, "Tier 1 Critical GIDA (Score ≥ 50.0)", IF(X295&gt;='Methodology &amp; Assumptions'!$B$8, "Tier 2 High GIDA (Score 40.0–49.9)", "Tier 3 Moderate GIDA (Score &lt; 40.0)"))</f>
        <v/>
      </c>
      <c r="V295" s="26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W295" s="28" t="n">
        <v>0.15</v>
      </c>
      <c r="X295" s="14" t="n">
        <v>47.29</v>
      </c>
      <c r="Y295" s="14">
        <f>ROUND(MIN(100, (X295/69.91)*100), 2)</f>
        <v/>
      </c>
    </row>
    <row r="296">
      <c r="A296" s="10" t="n">
        <v>4</v>
      </c>
      <c r="B296" s="10" t="n">
        <v>292</v>
      </c>
      <c r="C296" s="10" t="n">
        <v>3292</v>
      </c>
      <c r="D296" s="10" t="inlineStr">
        <is>
          <t>0803720016</t>
        </is>
      </c>
      <c r="E296" s="26" t="inlineStr">
        <is>
          <t>Region VIII (Eastern Visayas)</t>
        </is>
      </c>
      <c r="F296" s="26" t="inlineStr">
        <is>
          <t>Leyte</t>
        </is>
      </c>
      <c r="G296" s="26" t="inlineStr">
        <is>
          <t>Hindang</t>
        </is>
      </c>
      <c r="H296" s="26" t="inlineStr">
        <is>
          <t>Mahilum</t>
        </is>
      </c>
      <c r="I296" s="27" t="n">
        <v>10.475874</v>
      </c>
      <c r="J296" s="27" t="n">
        <v>124.835953</v>
      </c>
      <c r="K296" s="10" t="inlineStr">
        <is>
          <t>R</t>
        </is>
      </c>
      <c r="L296" s="12" t="n">
        <v>321</v>
      </c>
      <c r="M296" s="14" t="n">
        <v>3.8</v>
      </c>
      <c r="N296" s="12">
        <f>ROUND(L296/M296, 0)</f>
        <v/>
      </c>
      <c r="O296" s="12">
        <f>ROUND(N296*'Methodology &amp; Assumptions'!$B$5, 0)</f>
        <v/>
      </c>
      <c r="P296" s="10" t="inlineStr">
        <is>
          <t>Single Carrier (Band n50, 100MHz TDD)</t>
        </is>
      </c>
      <c r="Q296" s="13">
        <f>ROUNDUP(O296/'Methodology &amp; Assumptions'!$B$6, 0)</f>
        <v/>
      </c>
      <c r="R296" s="13" t="n">
        <v>1</v>
      </c>
      <c r="S296" s="14" t="n">
        <v>18.87</v>
      </c>
      <c r="T296" s="14" t="n">
        <v>9.890000000000001</v>
      </c>
      <c r="U296" s="26">
        <f>IF(X296&gt;='Methodology &amp; Assumptions'!$B$7, "Tier 1 Critical GIDA (Score ≥ 50.0)", IF(X296&gt;='Methodology &amp; Assumptions'!$B$8, "Tier 2 High GIDA (Score 40.0–49.9)", "Tier 3 Moderate GIDA (Score &lt; 40.0)"))</f>
        <v/>
      </c>
      <c r="V296" s="26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W296" s="28" t="n">
        <v>0.237</v>
      </c>
      <c r="X296" s="14" t="n">
        <v>47.29</v>
      </c>
      <c r="Y296" s="14">
        <f>ROUND(MIN(100, (X296/69.91)*100), 2)</f>
        <v/>
      </c>
    </row>
    <row r="297">
      <c r="A297" s="10" t="n">
        <v>4</v>
      </c>
      <c r="B297" s="10" t="n">
        <v>293</v>
      </c>
      <c r="C297" s="10" t="n">
        <v>3293</v>
      </c>
      <c r="D297" s="10" t="inlineStr">
        <is>
          <t>1381300117</t>
        </is>
      </c>
      <c r="E297" s="26" t="inlineStr">
        <is>
          <t>National Capital Region (NCR)</t>
        </is>
      </c>
      <c r="F297" s="26" t="inlineStr">
        <is>
          <t>Second District (Not a Province)</t>
        </is>
      </c>
      <c r="G297" s="26" t="inlineStr">
        <is>
          <t>Quezon City</t>
        </is>
      </c>
      <c r="H297" s="26" t="inlineStr">
        <is>
          <t>Tagumpay</t>
        </is>
      </c>
      <c r="I297" s="27" t="n">
        <v>14.683363</v>
      </c>
      <c r="J297" s="27" t="n">
        <v>121.02529</v>
      </c>
      <c r="K297" s="10" t="inlineStr">
        <is>
          <t>U</t>
        </is>
      </c>
      <c r="L297" s="12" t="n">
        <v>2352</v>
      </c>
      <c r="M297" s="14" t="n">
        <v>3.8</v>
      </c>
      <c r="N297" s="12">
        <f>ROUND(L297/M297, 0)</f>
        <v/>
      </c>
      <c r="O297" s="12">
        <f>ROUND(N297*'Methodology &amp; Assumptions'!$B$5, 0)</f>
        <v/>
      </c>
      <c r="P297" s="10" t="inlineStr">
        <is>
          <t>Single Carrier (Band n50, 100MHz TDD)</t>
        </is>
      </c>
      <c r="Q297" s="13">
        <f>ROUNDUP(O297/'Methodology &amp; Assumptions'!$B$6, 0)</f>
        <v/>
      </c>
      <c r="R297" s="13" t="n">
        <v>1</v>
      </c>
      <c r="S297" s="14" t="n">
        <v>0.71</v>
      </c>
      <c r="T297" s="14" t="n">
        <v>0.26</v>
      </c>
      <c r="U297" s="26">
        <f>IF(X297&gt;='Methodology &amp; Assumptions'!$B$7, "Tier 1 Critical GIDA (Score ≥ 50.0)", IF(X297&gt;='Methodology &amp; Assumptions'!$B$8, "Tier 2 High GIDA (Score 40.0–49.9)", "Tier 3 Moderate GIDA (Score &lt; 40.0)"))</f>
        <v/>
      </c>
      <c r="V297" s="26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W297" s="28" t="n">
        <v>0.109</v>
      </c>
      <c r="X297" s="14" t="n">
        <v>47.29</v>
      </c>
      <c r="Y297" s="14">
        <f>ROUND(MIN(100, (X297/69.91)*100), 2)</f>
        <v/>
      </c>
    </row>
    <row r="298">
      <c r="A298" s="10" t="n">
        <v>4</v>
      </c>
      <c r="B298" s="10" t="n">
        <v>294</v>
      </c>
      <c r="C298" s="10" t="n">
        <v>3294</v>
      </c>
      <c r="D298" s="10" t="inlineStr">
        <is>
          <t>1705318003</t>
        </is>
      </c>
      <c r="E298" s="26" t="inlineStr">
        <is>
          <t>MIMAROPA Region</t>
        </is>
      </c>
      <c r="F298" s="26" t="inlineStr">
        <is>
          <t>Palawan</t>
        </is>
      </c>
      <c r="G298" s="26" t="inlineStr">
        <is>
          <t>Roxas</t>
        </is>
      </c>
      <c r="H298" s="26" t="inlineStr">
        <is>
          <t>Bagong Bayan</t>
        </is>
      </c>
      <c r="I298" s="27" t="n">
        <v>10.43072</v>
      </c>
      <c r="J298" s="27" t="n">
        <v>119.56705</v>
      </c>
      <c r="K298" s="10" t="inlineStr">
        <is>
          <t>R</t>
        </is>
      </c>
      <c r="L298" s="12" t="n">
        <v>1261</v>
      </c>
      <c r="M298" s="14" t="n">
        <v>3.9</v>
      </c>
      <c r="N298" s="12">
        <f>ROUND(L298/M298, 0)</f>
        <v/>
      </c>
      <c r="O298" s="12">
        <f>ROUND(N298*'Methodology &amp; Assumptions'!$B$5, 0)</f>
        <v/>
      </c>
      <c r="P298" s="10" t="inlineStr">
        <is>
          <t>Single Carrier (Band n50, 100MHz TDD)</t>
        </is>
      </c>
      <c r="Q298" s="13">
        <f>ROUNDUP(O298/'Methodology &amp; Assumptions'!$B$6, 0)</f>
        <v/>
      </c>
      <c r="R298" s="13" t="n">
        <v>1</v>
      </c>
      <c r="S298" s="14" t="n">
        <v>27.4</v>
      </c>
      <c r="T298" s="14" t="n">
        <v>20.95</v>
      </c>
      <c r="U298" s="26">
        <f>IF(X298&gt;='Methodology &amp; Assumptions'!$B$7, "Tier 1 Critical GIDA (Score ≥ 50.0)", IF(X298&gt;='Methodology &amp; Assumptions'!$B$8, "Tier 2 High GIDA (Score 40.0–49.9)", "Tier 3 Moderate GIDA (Score &lt; 40.0)"))</f>
        <v/>
      </c>
      <c r="V298" s="26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W298" s="28" t="n">
        <v>0.15</v>
      </c>
      <c r="X298" s="14" t="n">
        <v>47.29</v>
      </c>
      <c r="Y298" s="14">
        <f>ROUND(MIN(100, (X298/69.91)*100), 2)</f>
        <v/>
      </c>
    </row>
    <row r="299">
      <c r="A299" s="10" t="n">
        <v>4</v>
      </c>
      <c r="B299" s="10" t="n">
        <v>295</v>
      </c>
      <c r="C299" s="10" t="n">
        <v>3295</v>
      </c>
      <c r="D299" s="10" t="inlineStr">
        <is>
          <t>1402706027</t>
        </is>
      </c>
      <c r="E299" s="26" t="inlineStr">
        <is>
          <t>Cordillera Administrative Region (CAR)</t>
        </is>
      </c>
      <c r="F299" s="26" t="inlineStr">
        <is>
          <t>Ifugao</t>
        </is>
      </c>
      <c r="G299" s="26" t="inlineStr">
        <is>
          <t>Mayoyao</t>
        </is>
      </c>
      <c r="H299" s="26" t="inlineStr">
        <is>
          <t>Palaad</t>
        </is>
      </c>
      <c r="I299" s="27" t="n">
        <v>16.91569</v>
      </c>
      <c r="J299" s="27" t="n">
        <v>121.20807</v>
      </c>
      <c r="K299" s="10" t="inlineStr">
        <is>
          <t>R</t>
        </is>
      </c>
      <c r="L299" s="12" t="n">
        <v>314</v>
      </c>
      <c r="M299" s="14" t="n">
        <v>3.9</v>
      </c>
      <c r="N299" s="12">
        <f>ROUND(L299/M299, 0)</f>
        <v/>
      </c>
      <c r="O299" s="12">
        <f>ROUND(N299*'Methodology &amp; Assumptions'!$B$5, 0)</f>
        <v/>
      </c>
      <c r="P299" s="10" t="inlineStr">
        <is>
          <t>Single Carrier (Band n50, 100MHz TDD)</t>
        </is>
      </c>
      <c r="Q299" s="13">
        <f>ROUNDUP(O299/'Methodology &amp; Assumptions'!$B$6, 0)</f>
        <v/>
      </c>
      <c r="R299" s="13" t="n">
        <v>1</v>
      </c>
      <c r="S299" s="14" t="n">
        <v>3.22</v>
      </c>
      <c r="T299" s="14" t="n">
        <v>15.02</v>
      </c>
      <c r="U299" s="26">
        <f>IF(X299&gt;='Methodology &amp; Assumptions'!$B$7, "Tier 1 Critical GIDA (Score ≥ 50.0)", IF(X299&gt;='Methodology &amp; Assumptions'!$B$8, "Tier 2 High GIDA (Score 40.0–49.9)", "Tier 3 Moderate GIDA (Score &lt; 40.0)"))</f>
        <v/>
      </c>
      <c r="V299" s="26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W299" s="28" t="n">
        <v>0.109</v>
      </c>
      <c r="X299" s="14" t="n">
        <v>47.28</v>
      </c>
      <c r="Y299" s="14">
        <f>ROUND(MIN(100, (X299/69.91)*100), 2)</f>
        <v/>
      </c>
    </row>
    <row r="300">
      <c r="A300" s="10" t="n">
        <v>4</v>
      </c>
      <c r="B300" s="10" t="n">
        <v>296</v>
      </c>
      <c r="C300" s="10" t="n">
        <v>3296</v>
      </c>
      <c r="D300" s="10" t="inlineStr">
        <is>
          <t>PH0003296</t>
        </is>
      </c>
      <c r="E300" s="26" t="inlineStr">
        <is>
          <t>CAR</t>
        </is>
      </c>
      <c r="F300" s="26" t="inlineStr">
        <is>
          <t>Benguet</t>
        </is>
      </c>
      <c r="G300" s="26" t="inlineStr">
        <is>
          <t>Baguio City</t>
        </is>
      </c>
      <c r="H300" s="26" t="inlineStr">
        <is>
          <t>Brookside</t>
        </is>
      </c>
      <c r="I300" s="27" t="n">
        <v>16.421461</v>
      </c>
      <c r="J300" s="27" t="n">
        <v>120.601804</v>
      </c>
      <c r="K300" s="10" t="inlineStr">
        <is>
          <t>R</t>
        </is>
      </c>
      <c r="L300" s="12" t="n">
        <v>2260</v>
      </c>
      <c r="M300" s="14" t="n">
        <v>3.5</v>
      </c>
      <c r="N300" s="12">
        <f>ROUND(L300/M300, 0)</f>
        <v/>
      </c>
      <c r="O300" s="12">
        <f>ROUND(N300*'Methodology &amp; Assumptions'!$B$5, 0)</f>
        <v/>
      </c>
      <c r="P300" s="10" t="inlineStr">
        <is>
          <t>Single Carrier (Band n50, 100MHz TDD)</t>
        </is>
      </c>
      <c r="Q300" s="13">
        <f>ROUNDUP(O300/'Methodology &amp; Assumptions'!$B$6, 0)</f>
        <v/>
      </c>
      <c r="R300" s="13" t="n">
        <v>1</v>
      </c>
      <c r="S300" s="14" t="n">
        <v>0.98</v>
      </c>
      <c r="T300" s="14" t="n">
        <v>1.15</v>
      </c>
      <c r="U300" s="26">
        <f>IF(X300&gt;='Methodology &amp; Assumptions'!$B$7, "Tier 1 Critical GIDA (Score ≥ 50.0)", IF(X300&gt;='Methodology &amp; Assumptions'!$B$8, "Tier 2 High GIDA (Score 40.0–49.9)", "Tier 3 Moderate GIDA (Score &lt; 40.0)"))</f>
        <v/>
      </c>
      <c r="V300" s="26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W300" s="28" t="n">
        <v>0.221</v>
      </c>
      <c r="X300" s="14" t="n">
        <v>47.28</v>
      </c>
      <c r="Y300" s="14">
        <f>ROUND(MIN(100, (X300/69.91)*100), 2)</f>
        <v/>
      </c>
    </row>
    <row r="301">
      <c r="A301" s="10" t="n">
        <v>4</v>
      </c>
      <c r="B301" s="10" t="n">
        <v>297</v>
      </c>
      <c r="C301" s="10" t="n">
        <v>3297</v>
      </c>
      <c r="D301" s="10" t="inlineStr">
        <is>
          <t>1908810006</t>
        </is>
      </c>
      <c r="E301" s="26" t="inlineStr">
        <is>
          <t>Bangsamoro Autonomous Region In Muslim Mindanao (BARMM)</t>
        </is>
      </c>
      <c r="F301" s="26" t="inlineStr">
        <is>
          <t>Maguindanao del Sur</t>
        </is>
      </c>
      <c r="G301" s="26" t="inlineStr">
        <is>
          <t>Datu Unsay</t>
        </is>
      </c>
      <c r="H301" s="26" t="inlineStr">
        <is>
          <t>Meta</t>
        </is>
      </c>
      <c r="I301" s="27" t="n">
        <v>6.88806</v>
      </c>
      <c r="J301" s="27" t="n">
        <v>124.433828</v>
      </c>
      <c r="K301" s="10" t="inlineStr">
        <is>
          <t>R</t>
        </is>
      </c>
      <c r="L301" s="12" t="n">
        <v>3810</v>
      </c>
      <c r="M301" s="14" t="n">
        <v>4.7</v>
      </c>
      <c r="N301" s="12">
        <f>ROUND(L301/M301, 0)</f>
        <v/>
      </c>
      <c r="O301" s="12">
        <f>ROUND(N301*'Methodology &amp; Assumptions'!$B$5, 0)</f>
        <v/>
      </c>
      <c r="P301" s="10" t="inlineStr">
        <is>
          <t>Single Carrier (Band n50, 100MHz TDD)</t>
        </is>
      </c>
      <c r="Q301" s="13">
        <f>ROUNDUP(O301/'Methodology &amp; Assumptions'!$B$6, 0)</f>
        <v/>
      </c>
      <c r="R301" s="13" t="n">
        <v>1</v>
      </c>
      <c r="S301" s="14" t="n">
        <v>34.46</v>
      </c>
      <c r="T301" s="14" t="n">
        <v>34.39</v>
      </c>
      <c r="U301" s="26">
        <f>IF(X301&gt;='Methodology &amp; Assumptions'!$B$7, "Tier 1 Critical GIDA (Score ≥ 50.0)", IF(X301&gt;='Methodology &amp; Assumptions'!$B$8, "Tier 2 High GIDA (Score 40.0–49.9)", "Tier 3 Moderate GIDA (Score &lt; 40.0)"))</f>
        <v/>
      </c>
      <c r="V301" s="26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W301" s="28" t="n">
        <v>0.11</v>
      </c>
      <c r="X301" s="14" t="n">
        <v>47.27</v>
      </c>
      <c r="Y301" s="14">
        <f>ROUND(MIN(100, (X301/69.91)*100), 2)</f>
        <v/>
      </c>
    </row>
    <row r="302">
      <c r="A302" s="10" t="n">
        <v>4</v>
      </c>
      <c r="B302" s="10" t="n">
        <v>298</v>
      </c>
      <c r="C302" s="10" t="n">
        <v>3298</v>
      </c>
      <c r="D302" s="10" t="inlineStr">
        <is>
          <t>1108202024</t>
        </is>
      </c>
      <c r="E302" s="26" t="inlineStr">
        <is>
          <t>Region XI (Davao Region)</t>
        </is>
      </c>
      <c r="F302" s="26" t="inlineStr">
        <is>
          <t>Davao de Oro</t>
        </is>
      </c>
      <c r="G302" s="26" t="inlineStr">
        <is>
          <t>Laak</t>
        </is>
      </c>
      <c r="H302" s="26" t="inlineStr">
        <is>
          <t>Datu Ampunan</t>
        </is>
      </c>
      <c r="I302" s="27" t="n">
        <v>7.94893</v>
      </c>
      <c r="J302" s="27" t="n">
        <v>125.69308</v>
      </c>
      <c r="K302" s="10" t="inlineStr">
        <is>
          <t>R</t>
        </is>
      </c>
      <c r="L302" s="12" t="n">
        <v>1777</v>
      </c>
      <c r="M302" s="14" t="n">
        <v>3.7</v>
      </c>
      <c r="N302" s="12">
        <f>ROUND(L302/M302, 0)</f>
        <v/>
      </c>
      <c r="O302" s="12">
        <f>ROUND(N302*'Methodology &amp; Assumptions'!$B$5, 0)</f>
        <v/>
      </c>
      <c r="P302" s="10" t="inlineStr">
        <is>
          <t>Single Carrier (Band n50, 100MHz TDD)</t>
        </is>
      </c>
      <c r="Q302" s="13">
        <f>ROUNDUP(O302/'Methodology &amp; Assumptions'!$B$6, 0)</f>
        <v/>
      </c>
      <c r="R302" s="13" t="n">
        <v>1</v>
      </c>
      <c r="S302" s="14" t="n">
        <v>41.77</v>
      </c>
      <c r="T302" s="14" t="n">
        <v>35.61</v>
      </c>
      <c r="U302" s="26">
        <f>IF(X302&gt;='Methodology &amp; Assumptions'!$B$7, "Tier 1 Critical GIDA (Score ≥ 50.0)", IF(X302&gt;='Methodology &amp; Assumptions'!$B$8, "Tier 2 High GIDA (Score 40.0–49.9)", "Tier 3 Moderate GIDA (Score &lt; 40.0)"))</f>
        <v/>
      </c>
      <c r="V302" s="26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W302" s="28" t="n">
        <v>0.174</v>
      </c>
      <c r="X302" s="14" t="n">
        <v>47.26</v>
      </c>
      <c r="Y302" s="14">
        <f>ROUND(MIN(100, (X302/69.91)*100), 2)</f>
        <v/>
      </c>
    </row>
    <row r="303">
      <c r="A303" s="10" t="n">
        <v>4</v>
      </c>
      <c r="B303" s="10" t="n">
        <v>299</v>
      </c>
      <c r="C303" s="10" t="n">
        <v>3299</v>
      </c>
      <c r="D303" s="10" t="inlineStr">
        <is>
          <t>0403425011</t>
        </is>
      </c>
      <c r="E303" s="26" t="inlineStr">
        <is>
          <t>Region IV-A (CALABARZON)</t>
        </is>
      </c>
      <c r="F303" s="26" t="inlineStr">
        <is>
          <t>Laguna</t>
        </is>
      </c>
      <c r="G303" s="26" t="inlineStr">
        <is>
          <t>City of San Pedro</t>
        </is>
      </c>
      <c r="H303" s="26" t="inlineStr">
        <is>
          <t>Poblacion</t>
        </is>
      </c>
      <c r="I303" s="27" t="n">
        <v>14.222227</v>
      </c>
      <c r="J303" s="27" t="n">
        <v>121.294079</v>
      </c>
      <c r="K303" s="10" t="inlineStr">
        <is>
          <t>U</t>
        </is>
      </c>
      <c r="L303" s="12" t="n">
        <v>6326</v>
      </c>
      <c r="M303" s="14" t="n">
        <v>3.3</v>
      </c>
      <c r="N303" s="12">
        <f>ROUND(L303/M303, 0)</f>
        <v/>
      </c>
      <c r="O303" s="12">
        <f>ROUND(N303*'Methodology &amp; Assumptions'!$B$5, 0)</f>
        <v/>
      </c>
      <c r="P303" s="10" t="inlineStr">
        <is>
          <t>Single Carrier (Band n50, 100MHz TDD)</t>
        </is>
      </c>
      <c r="Q303" s="13">
        <f>ROUNDUP(O303/'Methodology &amp; Assumptions'!$B$6, 0)</f>
        <v/>
      </c>
      <c r="R303" s="13" t="n">
        <v>1</v>
      </c>
      <c r="S303" s="14" t="n">
        <v>4.82</v>
      </c>
      <c r="T303" s="14" t="n">
        <v>4.83</v>
      </c>
      <c r="U303" s="26">
        <f>IF(X303&gt;='Methodology &amp; Assumptions'!$B$7, "Tier 1 Critical GIDA (Score ≥ 50.0)", IF(X303&gt;='Methodology &amp; Assumptions'!$B$8, "Tier 2 High GIDA (Score 40.0–49.9)", "Tier 3 Moderate GIDA (Score &lt; 40.0)"))</f>
        <v/>
      </c>
      <c r="V303" s="26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W303" s="28" t="n">
        <v>0.07200000000000001</v>
      </c>
      <c r="X303" s="14" t="n">
        <v>47.26</v>
      </c>
      <c r="Y303" s="14">
        <f>ROUND(MIN(100, (X303/69.91)*100), 2)</f>
        <v/>
      </c>
    </row>
    <row r="304">
      <c r="A304" s="10" t="n">
        <v>4</v>
      </c>
      <c r="B304" s="10" t="n">
        <v>300</v>
      </c>
      <c r="C304" s="10" t="n">
        <v>3300</v>
      </c>
      <c r="D304" s="10" t="inlineStr">
        <is>
          <t>1908810004</t>
        </is>
      </c>
      <c r="E304" s="26" t="inlineStr">
        <is>
          <t>Bangsamoro Autonomous Region In Muslim Mindanao (BARMM)</t>
        </is>
      </c>
      <c r="F304" s="26" t="inlineStr">
        <is>
          <t>Maguindanao del Sur</t>
        </is>
      </c>
      <c r="G304" s="26" t="inlineStr">
        <is>
          <t>Datu Unsay</t>
        </is>
      </c>
      <c r="H304" s="26" t="inlineStr">
        <is>
          <t>Maitumaig</t>
        </is>
      </c>
      <c r="I304" s="27" t="n">
        <v>17.255149</v>
      </c>
      <c r="J304" s="27" t="n">
        <v>122.229193</v>
      </c>
      <c r="K304" s="10" t="inlineStr">
        <is>
          <t>R</t>
        </is>
      </c>
      <c r="L304" s="12" t="n">
        <v>2669</v>
      </c>
      <c r="M304" s="14" t="n">
        <v>4.7</v>
      </c>
      <c r="N304" s="12">
        <f>ROUND(L304/M304, 0)</f>
        <v/>
      </c>
      <c r="O304" s="12">
        <f>ROUND(N304*'Methodology &amp; Assumptions'!$B$5, 0)</f>
        <v/>
      </c>
      <c r="P304" s="10" t="inlineStr">
        <is>
          <t>Single Carrier (Band n50, 100MHz TDD)</t>
        </is>
      </c>
      <c r="Q304" s="13">
        <f>ROUNDUP(O304/'Methodology &amp; Assumptions'!$B$6, 0)</f>
        <v/>
      </c>
      <c r="R304" s="13" t="n">
        <v>1</v>
      </c>
      <c r="S304" s="14" t="n">
        <v>29.46</v>
      </c>
      <c r="T304" s="14" t="n">
        <v>34.34</v>
      </c>
      <c r="U304" s="26">
        <f>IF(X304&gt;='Methodology &amp; Assumptions'!$B$7, "Tier 1 Critical GIDA (Score ≥ 50.0)", IF(X304&gt;='Methodology &amp; Assumptions'!$B$8, "Tier 2 High GIDA (Score 40.0–49.9)", "Tier 3 Moderate GIDA (Score &lt; 40.0)"))</f>
        <v/>
      </c>
      <c r="V304" s="26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W304" s="28" t="n">
        <v>0.11</v>
      </c>
      <c r="X304" s="14" t="n">
        <v>47.26</v>
      </c>
      <c r="Y304" s="14">
        <f>ROUND(MIN(100, (X304/69.91)*100), 2)</f>
        <v/>
      </c>
    </row>
    <row r="305">
      <c r="A305" s="10" t="n">
        <v>4</v>
      </c>
      <c r="B305" s="10" t="n">
        <v>301</v>
      </c>
      <c r="C305" s="10" t="n">
        <v>3301</v>
      </c>
      <c r="D305" s="10" t="inlineStr">
        <is>
          <t>0403428023</t>
        </is>
      </c>
      <c r="E305" s="26" t="inlineStr">
        <is>
          <t>Region IV-A (CALABARZON)</t>
        </is>
      </c>
      <c r="F305" s="26" t="inlineStr">
        <is>
          <t>Laguna</t>
        </is>
      </c>
      <c r="G305" s="26" t="inlineStr">
        <is>
          <t>City of Santa Rosa</t>
        </is>
      </c>
      <c r="H305" s="26" t="inlineStr">
        <is>
          <t>Tagapo</t>
        </is>
      </c>
      <c r="I305" s="27" t="n">
        <v>14.318934</v>
      </c>
      <c r="J305" s="27" t="n">
        <v>121.103199</v>
      </c>
      <c r="K305" s="10" t="inlineStr">
        <is>
          <t>U</t>
        </is>
      </c>
      <c r="L305" s="12" t="n">
        <v>46153</v>
      </c>
      <c r="M305" s="14" t="n">
        <v>3.3</v>
      </c>
      <c r="N305" s="12">
        <f>ROUND(L305/M305, 0)</f>
        <v/>
      </c>
      <c r="O305" s="12">
        <f>ROUND(N305*'Methodology &amp; Assumptions'!$B$5, 0)</f>
        <v/>
      </c>
      <c r="P305" s="10" t="inlineStr">
        <is>
          <t>Single Carrier (Band n50, 100MHz TDD)</t>
        </is>
      </c>
      <c r="Q305" s="13">
        <f>ROUNDUP(O305/'Methodology &amp; Assumptions'!$B$6, 0)</f>
        <v/>
      </c>
      <c r="R305" s="13" t="n">
        <v>1</v>
      </c>
      <c r="S305" s="14" t="n">
        <v>2.16</v>
      </c>
      <c r="T305" s="14" t="n">
        <v>0.5600000000000001</v>
      </c>
      <c r="U305" s="26">
        <f>IF(X305&gt;='Methodology &amp; Assumptions'!$B$7, "Tier 1 Critical GIDA (Score ≥ 50.0)", IF(X305&gt;='Methodology &amp; Assumptions'!$B$8, "Tier 2 High GIDA (Score 40.0–49.9)", "Tier 3 Moderate GIDA (Score &lt; 40.0)"))</f>
        <v/>
      </c>
      <c r="V305" s="26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W305" s="28" t="n">
        <v>0.07200000000000001</v>
      </c>
      <c r="X305" s="14" t="n">
        <v>47.26</v>
      </c>
      <c r="Y305" s="14">
        <f>ROUND(MIN(100, (X305/69.91)*100), 2)</f>
        <v/>
      </c>
    </row>
    <row r="306">
      <c r="A306" s="10" t="n">
        <v>4</v>
      </c>
      <c r="B306" s="10" t="n">
        <v>302</v>
      </c>
      <c r="C306" s="10" t="n">
        <v>3302</v>
      </c>
      <c r="D306" s="10" t="inlineStr">
        <is>
          <t>PH0003302</t>
        </is>
      </c>
      <c r="E306" s="26" t="inlineStr">
        <is>
          <t>VIII</t>
        </is>
      </c>
      <c r="F306" s="26" t="inlineStr">
        <is>
          <t>Samar (Western Samar)</t>
        </is>
      </c>
      <c r="G306" s="26" t="inlineStr">
        <is>
          <t>Calbayog City</t>
        </is>
      </c>
      <c r="H306" s="26" t="inlineStr">
        <is>
          <t>Dinawacan</t>
        </is>
      </c>
      <c r="I306" s="27" t="n">
        <v>12.17502</v>
      </c>
      <c r="J306" s="27" t="n">
        <v>124.79516</v>
      </c>
      <c r="K306" s="10" t="inlineStr">
        <is>
          <t>R</t>
        </is>
      </c>
      <c r="L306" s="12" t="n">
        <v>2229</v>
      </c>
      <c r="M306" s="14" t="n">
        <v>4.1</v>
      </c>
      <c r="N306" s="12">
        <f>ROUND(L306/M306, 0)</f>
        <v/>
      </c>
      <c r="O306" s="12">
        <f>ROUND(N306*'Methodology &amp; Assumptions'!$B$5, 0)</f>
        <v/>
      </c>
      <c r="P306" s="10" t="inlineStr">
        <is>
          <t>Single Carrier (Band n50, 100MHz TDD)</t>
        </is>
      </c>
      <c r="Q306" s="13">
        <f>ROUNDUP(O306/'Methodology &amp; Assumptions'!$B$6, 0)</f>
        <v/>
      </c>
      <c r="R306" s="13" t="n">
        <v>1</v>
      </c>
      <c r="S306" s="14" t="n">
        <v>89.98999999999999</v>
      </c>
      <c r="T306" s="14" t="n">
        <v>89.98</v>
      </c>
      <c r="U306" s="26">
        <f>IF(X306&gt;='Methodology &amp; Assumptions'!$B$7, "Tier 1 Critical GIDA (Score ≥ 50.0)", IF(X306&gt;='Methodology &amp; Assumptions'!$B$8, "Tier 2 High GIDA (Score 40.0–49.9)", "Tier 3 Moderate GIDA (Score &lt; 40.0)"))</f>
        <v/>
      </c>
      <c r="V306" s="26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W306" s="28" t="n">
        <v>0.222</v>
      </c>
      <c r="X306" s="14" t="n">
        <v>47.26</v>
      </c>
      <c r="Y306" s="14">
        <f>ROUND(MIN(100, (X306/69.91)*100), 2)</f>
        <v/>
      </c>
    </row>
    <row r="307">
      <c r="A307" s="10" t="n">
        <v>4</v>
      </c>
      <c r="B307" s="10" t="n">
        <v>303</v>
      </c>
      <c r="C307" s="10" t="n">
        <v>3303</v>
      </c>
      <c r="D307" s="10" t="inlineStr">
        <is>
          <t>PH0003303</t>
        </is>
      </c>
      <c r="E307" s="26" t="inlineStr">
        <is>
          <t>VIII</t>
        </is>
      </c>
      <c r="F307" s="26" t="inlineStr">
        <is>
          <t>Samar (Western Samar)</t>
        </is>
      </c>
      <c r="G307" s="26" t="inlineStr">
        <is>
          <t>Calbayog City</t>
        </is>
      </c>
      <c r="H307" s="26" t="inlineStr">
        <is>
          <t>Esperanza</t>
        </is>
      </c>
      <c r="I307" s="27" t="n">
        <v>12.184795</v>
      </c>
      <c r="J307" s="27" t="n">
        <v>124.661313</v>
      </c>
      <c r="K307" s="10" t="inlineStr">
        <is>
          <t>R</t>
        </is>
      </c>
      <c r="L307" s="12" t="n">
        <v>2229</v>
      </c>
      <c r="M307" s="14" t="n">
        <v>4.1</v>
      </c>
      <c r="N307" s="12">
        <f>ROUND(L307/M307, 0)</f>
        <v/>
      </c>
      <c r="O307" s="12">
        <f>ROUND(N307*'Methodology &amp; Assumptions'!$B$5, 0)</f>
        <v/>
      </c>
      <c r="P307" s="10" t="inlineStr">
        <is>
          <t>Single Carrier (Band n50, 100MHz TDD)</t>
        </is>
      </c>
      <c r="Q307" s="13">
        <f>ROUNDUP(O307/'Methodology &amp; Assumptions'!$B$6, 0)</f>
        <v/>
      </c>
      <c r="R307" s="13" t="n">
        <v>1</v>
      </c>
      <c r="S307" s="14" t="n">
        <v>77.19</v>
      </c>
      <c r="T307" s="14" t="n">
        <v>77.18000000000001</v>
      </c>
      <c r="U307" s="26">
        <f>IF(X307&gt;='Methodology &amp; Assumptions'!$B$7, "Tier 1 Critical GIDA (Score ≥ 50.0)", IF(X307&gt;='Methodology &amp; Assumptions'!$B$8, "Tier 2 High GIDA (Score 40.0–49.9)", "Tier 3 Moderate GIDA (Score &lt; 40.0)"))</f>
        <v/>
      </c>
      <c r="V307" s="26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W307" s="28" t="n">
        <v>0.222</v>
      </c>
      <c r="X307" s="14" t="n">
        <v>47.26</v>
      </c>
      <c r="Y307" s="14">
        <f>ROUND(MIN(100, (X307/69.91)*100), 2)</f>
        <v/>
      </c>
    </row>
    <row r="308">
      <c r="A308" s="10" t="n">
        <v>4</v>
      </c>
      <c r="B308" s="10" t="n">
        <v>304</v>
      </c>
      <c r="C308" s="10" t="n">
        <v>3304</v>
      </c>
      <c r="D308" s="10" t="inlineStr">
        <is>
          <t>PH0003304</t>
        </is>
      </c>
      <c r="E308" s="26" t="inlineStr">
        <is>
          <t>VIII</t>
        </is>
      </c>
      <c r="F308" s="26" t="inlineStr">
        <is>
          <t>Samar (Western Samar)</t>
        </is>
      </c>
      <c r="G308" s="26" t="inlineStr">
        <is>
          <t>Calbayog City</t>
        </is>
      </c>
      <c r="H308" s="26" t="inlineStr">
        <is>
          <t>Hibabngan</t>
        </is>
      </c>
      <c r="I308" s="27" t="n">
        <v>12.23546</v>
      </c>
      <c r="J308" s="27" t="n">
        <v>124.63539</v>
      </c>
      <c r="K308" s="10" t="inlineStr">
        <is>
          <t>R</t>
        </is>
      </c>
      <c r="L308" s="12" t="n">
        <v>2229</v>
      </c>
      <c r="M308" s="14" t="n">
        <v>4.1</v>
      </c>
      <c r="N308" s="12">
        <f>ROUND(L308/M308, 0)</f>
        <v/>
      </c>
      <c r="O308" s="12">
        <f>ROUND(N308*'Methodology &amp; Assumptions'!$B$5, 0)</f>
        <v/>
      </c>
      <c r="P308" s="10" t="inlineStr">
        <is>
          <t>Single Carrier (Band n50, 100MHz TDD)</t>
        </is>
      </c>
      <c r="Q308" s="13">
        <f>ROUNDUP(O308/'Methodology &amp; Assumptions'!$B$6, 0)</f>
        <v/>
      </c>
      <c r="R308" s="13" t="n">
        <v>1</v>
      </c>
      <c r="S308" s="14" t="n">
        <v>71.69</v>
      </c>
      <c r="T308" s="14" t="n">
        <v>71.68000000000001</v>
      </c>
      <c r="U308" s="26">
        <f>IF(X308&gt;='Methodology &amp; Assumptions'!$B$7, "Tier 1 Critical GIDA (Score ≥ 50.0)", IF(X308&gt;='Methodology &amp; Assumptions'!$B$8, "Tier 2 High GIDA (Score 40.0–49.9)", "Tier 3 Moderate GIDA (Score &lt; 40.0)"))</f>
        <v/>
      </c>
      <c r="V308" s="26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W308" s="28" t="n">
        <v>0.222</v>
      </c>
      <c r="X308" s="14" t="n">
        <v>47.25</v>
      </c>
      <c r="Y308" s="14">
        <f>ROUND(MIN(100, (X308/69.91)*100), 2)</f>
        <v/>
      </c>
    </row>
    <row r="309">
      <c r="A309" s="10" t="n">
        <v>4</v>
      </c>
      <c r="B309" s="10" t="n">
        <v>305</v>
      </c>
      <c r="C309" s="10" t="n">
        <v>3305</v>
      </c>
      <c r="D309" s="10" t="inlineStr">
        <is>
          <t>PH0003305</t>
        </is>
      </c>
      <c r="E309" s="26" t="inlineStr">
        <is>
          <t>VIII</t>
        </is>
      </c>
      <c r="F309" s="26" t="inlineStr">
        <is>
          <t>Samar (Western Samar)</t>
        </is>
      </c>
      <c r="G309" s="26" t="inlineStr">
        <is>
          <t>Calbayog City</t>
        </is>
      </c>
      <c r="H309" s="26" t="inlineStr">
        <is>
          <t>Kalilihan</t>
        </is>
      </c>
      <c r="I309" s="27" t="n">
        <v>12.24777</v>
      </c>
      <c r="J309" s="27" t="n">
        <v>124.7213</v>
      </c>
      <c r="K309" s="10" t="inlineStr">
        <is>
          <t>R</t>
        </is>
      </c>
      <c r="L309" s="12" t="n">
        <v>2229</v>
      </c>
      <c r="M309" s="14" t="n">
        <v>4.1</v>
      </c>
      <c r="N309" s="12">
        <f>ROUND(L309/M309, 0)</f>
        <v/>
      </c>
      <c r="O309" s="12">
        <f>ROUND(N309*'Methodology &amp; Assumptions'!$B$5, 0)</f>
        <v/>
      </c>
      <c r="P309" s="10" t="inlineStr">
        <is>
          <t>Single Carrier (Band n50, 100MHz TDD)</t>
        </is>
      </c>
      <c r="Q309" s="13">
        <f>ROUNDUP(O309/'Methodology &amp; Assumptions'!$B$6, 0)</f>
        <v/>
      </c>
      <c r="R309" s="13" t="n">
        <v>1</v>
      </c>
      <c r="S309" s="14" t="n">
        <v>79.01000000000001</v>
      </c>
      <c r="T309" s="14" t="n">
        <v>79</v>
      </c>
      <c r="U309" s="26">
        <f>IF(X309&gt;='Methodology &amp; Assumptions'!$B$7, "Tier 1 Critical GIDA (Score ≥ 50.0)", IF(X309&gt;='Methodology &amp; Assumptions'!$B$8, "Tier 2 High GIDA (Score 40.0–49.9)", "Tier 3 Moderate GIDA (Score &lt; 40.0)"))</f>
        <v/>
      </c>
      <c r="V309" s="26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W309" s="28" t="n">
        <v>0.222</v>
      </c>
      <c r="X309" s="14" t="n">
        <v>47.25</v>
      </c>
      <c r="Y309" s="14">
        <f>ROUND(MIN(100, (X309/69.91)*100), 2)</f>
        <v/>
      </c>
    </row>
    <row r="310">
      <c r="A310" s="10" t="n">
        <v>4</v>
      </c>
      <c r="B310" s="10" t="n">
        <v>306</v>
      </c>
      <c r="C310" s="10" t="n">
        <v>3306</v>
      </c>
      <c r="D310" s="10" t="inlineStr">
        <is>
          <t>PH0003306</t>
        </is>
      </c>
      <c r="E310" s="26" t="inlineStr">
        <is>
          <t>VIII</t>
        </is>
      </c>
      <c r="F310" s="26" t="inlineStr">
        <is>
          <t>Samar (Western Samar)</t>
        </is>
      </c>
      <c r="G310" s="26" t="inlineStr">
        <is>
          <t>Calbayog City</t>
        </is>
      </c>
      <c r="H310" s="26" t="inlineStr">
        <is>
          <t>Hibatang</t>
        </is>
      </c>
      <c r="I310" s="27" t="n">
        <v>12.18089</v>
      </c>
      <c r="J310" s="27" t="n">
        <v>124.65503</v>
      </c>
      <c r="K310" s="10" t="inlineStr">
        <is>
          <t>R</t>
        </is>
      </c>
      <c r="L310" s="12" t="n">
        <v>2229</v>
      </c>
      <c r="M310" s="14" t="n">
        <v>4.1</v>
      </c>
      <c r="N310" s="12">
        <f>ROUND(L310/M310, 0)</f>
        <v/>
      </c>
      <c r="O310" s="12">
        <f>ROUND(N310*'Methodology &amp; Assumptions'!$B$5, 0)</f>
        <v/>
      </c>
      <c r="P310" s="10" t="inlineStr">
        <is>
          <t>Single Carrier (Band n50, 100MHz TDD)</t>
        </is>
      </c>
      <c r="Q310" s="13">
        <f>ROUNDUP(O310/'Methodology &amp; Assumptions'!$B$6, 0)</f>
        <v/>
      </c>
      <c r="R310" s="13" t="n">
        <v>1</v>
      </c>
      <c r="S310" s="14" t="n">
        <v>76.88</v>
      </c>
      <c r="T310" s="14" t="n">
        <v>76.87</v>
      </c>
      <c r="U310" s="26">
        <f>IF(X310&gt;='Methodology &amp; Assumptions'!$B$7, "Tier 1 Critical GIDA (Score ≥ 50.0)", IF(X310&gt;='Methodology &amp; Assumptions'!$B$8, "Tier 2 High GIDA (Score 40.0–49.9)", "Tier 3 Moderate GIDA (Score &lt; 40.0)"))</f>
        <v/>
      </c>
      <c r="V310" s="26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W310" s="28" t="n">
        <v>0.222</v>
      </c>
      <c r="X310" s="14" t="n">
        <v>47.25</v>
      </c>
      <c r="Y310" s="14">
        <f>ROUND(MIN(100, (X310/69.91)*100), 2)</f>
        <v/>
      </c>
    </row>
    <row r="311">
      <c r="A311" s="10" t="n">
        <v>4</v>
      </c>
      <c r="B311" s="10" t="n">
        <v>307</v>
      </c>
      <c r="C311" s="10" t="n">
        <v>3307</v>
      </c>
      <c r="D311" s="10" t="inlineStr">
        <is>
          <t>PH0003307</t>
        </is>
      </c>
      <c r="E311" s="26" t="inlineStr">
        <is>
          <t>VIII</t>
        </is>
      </c>
      <c r="F311" s="26" t="inlineStr">
        <is>
          <t>Samar (Western Samar)</t>
        </is>
      </c>
      <c r="G311" s="26" t="inlineStr">
        <is>
          <t>Calbayog City</t>
        </is>
      </c>
      <c r="H311" s="26" t="inlineStr">
        <is>
          <t>Gasdo</t>
        </is>
      </c>
      <c r="I311" s="27" t="n">
        <v>12.2731</v>
      </c>
      <c r="J311" s="27" t="n">
        <v>124.66302</v>
      </c>
      <c r="K311" s="10" t="inlineStr">
        <is>
          <t>R</t>
        </is>
      </c>
      <c r="L311" s="12" t="n">
        <v>2229</v>
      </c>
      <c r="M311" s="14" t="n">
        <v>4.1</v>
      </c>
      <c r="N311" s="12">
        <f>ROUND(L311/M311, 0)</f>
        <v/>
      </c>
      <c r="O311" s="12">
        <f>ROUND(N311*'Methodology &amp; Assumptions'!$B$5, 0)</f>
        <v/>
      </c>
      <c r="P311" s="10" t="inlineStr">
        <is>
          <t>Single Carrier (Band n50, 100MHz TDD)</t>
        </is>
      </c>
      <c r="Q311" s="13">
        <f>ROUNDUP(O311/'Methodology &amp; Assumptions'!$B$6, 0)</f>
        <v/>
      </c>
      <c r="R311" s="13" t="n">
        <v>1</v>
      </c>
      <c r="S311" s="14" t="n">
        <v>72.11</v>
      </c>
      <c r="T311" s="14" t="n">
        <v>72.09</v>
      </c>
      <c r="U311" s="26">
        <f>IF(X311&gt;='Methodology &amp; Assumptions'!$B$7, "Tier 1 Critical GIDA (Score ≥ 50.0)", IF(X311&gt;='Methodology &amp; Assumptions'!$B$8, "Tier 2 High GIDA (Score 40.0–49.9)", "Tier 3 Moderate GIDA (Score &lt; 40.0)"))</f>
        <v/>
      </c>
      <c r="V311" s="26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W311" s="28" t="n">
        <v>0.222</v>
      </c>
      <c r="X311" s="14" t="n">
        <v>47.25</v>
      </c>
      <c r="Y311" s="14">
        <f>ROUND(MIN(100, (X311/69.91)*100), 2)</f>
        <v/>
      </c>
    </row>
    <row r="312">
      <c r="A312" s="10" t="n">
        <v>4</v>
      </c>
      <c r="B312" s="10" t="n">
        <v>308</v>
      </c>
      <c r="C312" s="10" t="n">
        <v>3308</v>
      </c>
      <c r="D312" s="10" t="inlineStr">
        <is>
          <t>PH0003308</t>
        </is>
      </c>
      <c r="E312" s="26" t="inlineStr">
        <is>
          <t>VIII</t>
        </is>
      </c>
      <c r="F312" s="26" t="inlineStr">
        <is>
          <t>Samar (Western Samar)</t>
        </is>
      </c>
      <c r="G312" s="26" t="inlineStr">
        <is>
          <t>Calbayog City</t>
        </is>
      </c>
      <c r="H312" s="26" t="inlineStr">
        <is>
          <t>Nag-uma</t>
        </is>
      </c>
      <c r="I312" s="27" t="n">
        <v>12.256208</v>
      </c>
      <c r="J312" s="27" t="n">
        <v>124.72094</v>
      </c>
      <c r="K312" s="10" t="inlineStr">
        <is>
          <t>R</t>
        </is>
      </c>
      <c r="L312" s="12" t="n">
        <v>2229</v>
      </c>
      <c r="M312" s="14" t="n">
        <v>4.1</v>
      </c>
      <c r="N312" s="12">
        <f>ROUND(L312/M312, 0)</f>
        <v/>
      </c>
      <c r="O312" s="12">
        <f>ROUND(N312*'Methodology &amp; Assumptions'!$B$5, 0)</f>
        <v/>
      </c>
      <c r="P312" s="10" t="inlineStr">
        <is>
          <t>Single Carrier (Band n50, 100MHz TDD)</t>
        </is>
      </c>
      <c r="Q312" s="13">
        <f>ROUNDUP(O312/'Methodology &amp; Assumptions'!$B$6, 0)</f>
        <v/>
      </c>
      <c r="R312" s="13" t="n">
        <v>1</v>
      </c>
      <c r="S312" s="14" t="n">
        <v>78.53</v>
      </c>
      <c r="T312" s="14" t="n">
        <v>78.52</v>
      </c>
      <c r="U312" s="26">
        <f>IF(X312&gt;='Methodology &amp; Assumptions'!$B$7, "Tier 1 Critical GIDA (Score ≥ 50.0)", IF(X312&gt;='Methodology &amp; Assumptions'!$B$8, "Tier 2 High GIDA (Score 40.0–49.9)", "Tier 3 Moderate GIDA (Score &lt; 40.0)"))</f>
        <v/>
      </c>
      <c r="V312" s="26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W312" s="28" t="n">
        <v>0.222</v>
      </c>
      <c r="X312" s="14" t="n">
        <v>47.25</v>
      </c>
      <c r="Y312" s="14">
        <f>ROUND(MIN(100, (X312/69.91)*100), 2)</f>
        <v/>
      </c>
    </row>
    <row r="313">
      <c r="A313" s="10" t="n">
        <v>4</v>
      </c>
      <c r="B313" s="10" t="n">
        <v>309</v>
      </c>
      <c r="C313" s="10" t="n">
        <v>3309</v>
      </c>
      <c r="D313" s="10" t="inlineStr">
        <is>
          <t>1903610034</t>
        </is>
      </c>
      <c r="E313" s="26" t="inlineStr">
        <is>
          <t>Bangsamoro Autonomous Region In Muslim Mindanao (BARMM)</t>
        </is>
      </c>
      <c r="F313" s="26" t="inlineStr">
        <is>
          <t>Lanao del Sur</t>
        </is>
      </c>
      <c r="G313" s="26" t="inlineStr">
        <is>
          <t>Kapai</t>
        </is>
      </c>
      <c r="H313" s="26" t="inlineStr">
        <is>
          <t>Babayog</t>
        </is>
      </c>
      <c r="I313" s="27" t="n">
        <v>16.741253</v>
      </c>
      <c r="J313" s="27" t="n">
        <v>122.352582</v>
      </c>
      <c r="K313" s="10" t="inlineStr">
        <is>
          <t>R</t>
        </is>
      </c>
      <c r="L313" s="12" t="n">
        <v>809</v>
      </c>
      <c r="M313" s="14" t="n">
        <v>5.7</v>
      </c>
      <c r="N313" s="12">
        <f>ROUND(L313/M313, 0)</f>
        <v/>
      </c>
      <c r="O313" s="12">
        <f>ROUND(N313*'Methodology &amp; Assumptions'!$B$5, 0)</f>
        <v/>
      </c>
      <c r="P313" s="10" t="inlineStr">
        <is>
          <t>Single Carrier (Band n50, 100MHz TDD)</t>
        </is>
      </c>
      <c r="Q313" s="13">
        <f>ROUNDUP(O313/'Methodology &amp; Assumptions'!$B$6, 0)</f>
        <v/>
      </c>
      <c r="R313" s="13" t="n">
        <v>1</v>
      </c>
      <c r="S313" s="14" t="n">
        <v>25.78</v>
      </c>
      <c r="T313" s="14" t="n">
        <v>26.08</v>
      </c>
      <c r="U313" s="26">
        <f>IF(X313&gt;='Methodology &amp; Assumptions'!$B$7, "Tier 1 Critical GIDA (Score ≥ 50.0)", IF(X313&gt;='Methodology &amp; Assumptions'!$B$8, "Tier 2 High GIDA (Score 40.0–49.9)", "Tier 3 Moderate GIDA (Score &lt; 40.0)"))</f>
        <v/>
      </c>
      <c r="V313" s="26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W313" s="28" t="n">
        <v>0.11</v>
      </c>
      <c r="X313" s="14" t="n">
        <v>47.25</v>
      </c>
      <c r="Y313" s="14">
        <f>ROUND(MIN(100, (X313/69.91)*100), 2)</f>
        <v/>
      </c>
    </row>
    <row r="314">
      <c r="A314" s="10" t="n">
        <v>4</v>
      </c>
      <c r="B314" s="10" t="n">
        <v>310</v>
      </c>
      <c r="C314" s="10" t="n">
        <v>3310</v>
      </c>
      <c r="D314" s="10" t="inlineStr">
        <is>
          <t>0103315003</t>
        </is>
      </c>
      <c r="E314" s="26" t="inlineStr">
        <is>
          <t>Region I (Ilocos Region)</t>
        </is>
      </c>
      <c r="F314" s="26" t="inlineStr">
        <is>
          <t>La Union</t>
        </is>
      </c>
      <c r="G314" s="26" t="inlineStr">
        <is>
          <t>San Gabriel</t>
        </is>
      </c>
      <c r="H314" s="26" t="inlineStr">
        <is>
          <t>Apayao</t>
        </is>
      </c>
      <c r="I314" s="27" t="n">
        <v>16.66893</v>
      </c>
      <c r="J314" s="27" t="n">
        <v>120.4999</v>
      </c>
      <c r="K314" s="10" t="inlineStr">
        <is>
          <t>R</t>
        </is>
      </c>
      <c r="L314" s="12" t="n">
        <v>988</v>
      </c>
      <c r="M314" s="14" t="n">
        <v>3.7</v>
      </c>
      <c r="N314" s="12">
        <f>ROUND(L314/M314, 0)</f>
        <v/>
      </c>
      <c r="O314" s="12">
        <f>ROUND(N314*'Methodology &amp; Assumptions'!$B$5, 0)</f>
        <v/>
      </c>
      <c r="P314" s="10" t="inlineStr">
        <is>
          <t>Single Carrier (Band n50, 100MHz TDD)</t>
        </is>
      </c>
      <c r="Q314" s="13">
        <f>ROUNDUP(O314/'Methodology &amp; Assumptions'!$B$6, 0)</f>
        <v/>
      </c>
      <c r="R314" s="13" t="n">
        <v>1</v>
      </c>
      <c r="S314" s="14" t="n">
        <v>11.21</v>
      </c>
      <c r="T314" s="14" t="n">
        <v>14.69</v>
      </c>
      <c r="U314" s="26">
        <f>IF(X314&gt;='Methodology &amp; Assumptions'!$B$7, "Tier 1 Critical GIDA (Score ≥ 50.0)", IF(X314&gt;='Methodology &amp; Assumptions'!$B$8, "Tier 2 High GIDA (Score 40.0–49.9)", "Tier 3 Moderate GIDA (Score &lt; 40.0)"))</f>
        <v/>
      </c>
      <c r="V314" s="26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W314" s="28" t="n">
        <v>0.083</v>
      </c>
      <c r="X314" s="14" t="n">
        <v>47.25</v>
      </c>
      <c r="Y314" s="14">
        <f>ROUND(MIN(100, (X314/69.91)*100), 2)</f>
        <v/>
      </c>
    </row>
    <row r="315">
      <c r="A315" s="10" t="n">
        <v>4</v>
      </c>
      <c r="B315" s="10" t="n">
        <v>311</v>
      </c>
      <c r="C315" s="10" t="n">
        <v>3311</v>
      </c>
      <c r="D315" s="10" t="inlineStr">
        <is>
          <t>1404402004</t>
        </is>
      </c>
      <c r="E315" s="26" t="inlineStr">
        <is>
          <t>Cordillera Administrative Region (CAR)</t>
        </is>
      </c>
      <c r="F315" s="26" t="inlineStr">
        <is>
          <t>Mountain Province</t>
        </is>
      </c>
      <c r="G315" s="26" t="inlineStr">
        <is>
          <t>Bauko</t>
        </is>
      </c>
      <c r="H315" s="26" t="inlineStr">
        <is>
          <t>Balintaugan</t>
        </is>
      </c>
      <c r="I315" s="27" t="n">
        <v>17.052198</v>
      </c>
      <c r="J315" s="27" t="n">
        <v>120.87785</v>
      </c>
      <c r="K315" s="10" t="inlineStr">
        <is>
          <t>R</t>
        </is>
      </c>
      <c r="L315" s="12" t="n">
        <v>150</v>
      </c>
      <c r="M315" s="14" t="n">
        <v>3.7</v>
      </c>
      <c r="N315" s="12">
        <f>ROUND(L315/M315, 0)</f>
        <v/>
      </c>
      <c r="O315" s="12">
        <f>ROUND(N315*'Methodology &amp; Assumptions'!$B$5, 0)</f>
        <v/>
      </c>
      <c r="P315" s="10" t="inlineStr">
        <is>
          <t>Single Carrier (Band n50, 100MHz TDD)</t>
        </is>
      </c>
      <c r="Q315" s="13">
        <f>ROUNDUP(O315/'Methodology &amp; Assumptions'!$B$6, 0)</f>
        <v/>
      </c>
      <c r="R315" s="13" t="n">
        <v>1</v>
      </c>
      <c r="S315" s="14" t="n">
        <v>4.34</v>
      </c>
      <c r="T315" s="14" t="n">
        <v>2.82</v>
      </c>
      <c r="U315" s="26">
        <f>IF(X315&gt;='Methodology &amp; Assumptions'!$B$7, "Tier 1 Critical GIDA (Score ≥ 50.0)", IF(X315&gt;='Methodology &amp; Assumptions'!$B$8, "Tier 2 High GIDA (Score 40.0–49.9)", "Tier 3 Moderate GIDA (Score &lt; 40.0)"))</f>
        <v/>
      </c>
      <c r="V315" s="26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W315" s="28" t="n">
        <v>0.109</v>
      </c>
      <c r="X315" s="14" t="n">
        <v>47.25</v>
      </c>
      <c r="Y315" s="14">
        <f>ROUND(MIN(100, (X315/69.91)*100), 2)</f>
        <v/>
      </c>
    </row>
    <row r="316">
      <c r="A316" s="10" t="n">
        <v>4</v>
      </c>
      <c r="B316" s="10" t="n">
        <v>312</v>
      </c>
      <c r="C316" s="10" t="n">
        <v>3312</v>
      </c>
      <c r="D316" s="10" t="inlineStr">
        <is>
          <t>0402106044</t>
        </is>
      </c>
      <c r="E316" s="26" t="inlineStr">
        <is>
          <t>Region IV-A (CALABARZON)</t>
        </is>
      </c>
      <c r="F316" s="26" t="inlineStr">
        <is>
          <t>Cavite</t>
        </is>
      </c>
      <c r="G316" s="26" t="inlineStr">
        <is>
          <t>City of Dasmariñas</t>
        </is>
      </c>
      <c r="H316" s="26" t="inlineStr">
        <is>
          <t>Santa Maria</t>
        </is>
      </c>
      <c r="I316" s="27" t="n">
        <v>14.313052</v>
      </c>
      <c r="J316" s="27" t="n">
        <v>120.990637</v>
      </c>
      <c r="K316" s="10" t="inlineStr">
        <is>
          <t>U</t>
        </is>
      </c>
      <c r="L316" s="12" t="n">
        <v>5335</v>
      </c>
      <c r="M316" s="14" t="n">
        <v>3.4</v>
      </c>
      <c r="N316" s="12">
        <f>ROUND(L316/M316, 0)</f>
        <v/>
      </c>
      <c r="O316" s="12">
        <f>ROUND(N316*'Methodology &amp; Assumptions'!$B$5, 0)</f>
        <v/>
      </c>
      <c r="P316" s="10" t="inlineStr">
        <is>
          <t>Single Carrier (Band n50, 100MHz TDD)</t>
        </is>
      </c>
      <c r="Q316" s="13">
        <f>ROUNDUP(O316/'Methodology &amp; Assumptions'!$B$6, 0)</f>
        <v/>
      </c>
      <c r="R316" s="13" t="n">
        <v>1</v>
      </c>
      <c r="S316" s="14" t="n">
        <v>1.13</v>
      </c>
      <c r="T316" s="14" t="n">
        <v>3.85</v>
      </c>
      <c r="U316" s="26">
        <f>IF(X316&gt;='Methodology &amp; Assumptions'!$B$7, "Tier 1 Critical GIDA (Score ≥ 50.0)", IF(X316&gt;='Methodology &amp; Assumptions'!$B$8, "Tier 2 High GIDA (Score 40.0–49.9)", "Tier 3 Moderate GIDA (Score &lt; 40.0)"))</f>
        <v/>
      </c>
      <c r="V316" s="26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W316" s="28" t="n">
        <v>0.07200000000000001</v>
      </c>
      <c r="X316" s="14" t="n">
        <v>47.25</v>
      </c>
      <c r="Y316" s="14">
        <f>ROUND(MIN(100, (X316/69.91)*100), 2)</f>
        <v/>
      </c>
    </row>
    <row r="317">
      <c r="A317" s="10" t="n">
        <v>4</v>
      </c>
      <c r="B317" s="10" t="n">
        <v>313</v>
      </c>
      <c r="C317" s="10" t="n">
        <v>3313</v>
      </c>
      <c r="D317" s="10" t="inlineStr">
        <is>
          <t>PH0003313</t>
        </is>
      </c>
      <c r="E317" s="26" t="inlineStr">
        <is>
          <t>VIII</t>
        </is>
      </c>
      <c r="F317" s="26" t="inlineStr">
        <is>
          <t>Leyte</t>
        </is>
      </c>
      <c r="G317" s="26" t="inlineStr">
        <is>
          <t>Tacloban City</t>
        </is>
      </c>
      <c r="H317" s="26" t="inlineStr">
        <is>
          <t>Barangay 48</t>
        </is>
      </c>
      <c r="I317" s="27" t="n">
        <v>11.282729</v>
      </c>
      <c r="J317" s="27" t="n">
        <v>124.915405</v>
      </c>
      <c r="K317" s="10" t="inlineStr">
        <is>
          <t>R</t>
        </is>
      </c>
      <c r="L317" s="12" t="n">
        <v>2258</v>
      </c>
      <c r="M317" s="14" t="n">
        <v>3.8</v>
      </c>
      <c r="N317" s="12">
        <f>ROUND(L317/M317, 0)</f>
        <v/>
      </c>
      <c r="O317" s="12">
        <f>ROUND(N317*'Methodology &amp; Assumptions'!$B$5, 0)</f>
        <v/>
      </c>
      <c r="P317" s="10" t="inlineStr">
        <is>
          <t>Single Carrier (Band n50, 100MHz TDD)</t>
        </is>
      </c>
      <c r="Q317" s="13">
        <f>ROUNDUP(O317/'Methodology &amp; Assumptions'!$B$6, 0)</f>
        <v/>
      </c>
      <c r="R317" s="13" t="n">
        <v>1</v>
      </c>
      <c r="S317" s="14" t="n">
        <v>10.63</v>
      </c>
      <c r="T317" s="14" t="n">
        <v>10.41</v>
      </c>
      <c r="U317" s="26">
        <f>IF(X317&gt;='Methodology &amp; Assumptions'!$B$7, "Tier 1 Critical GIDA (Score ≥ 50.0)", IF(X317&gt;='Methodology &amp; Assumptions'!$B$8, "Tier 2 High GIDA (Score 40.0–49.9)", "Tier 3 Moderate GIDA (Score &lt; 40.0)"))</f>
        <v/>
      </c>
      <c r="V317" s="26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W317" s="28" t="n">
        <v>0.222</v>
      </c>
      <c r="X317" s="14" t="n">
        <v>47.25</v>
      </c>
      <c r="Y317" s="14">
        <f>ROUND(MIN(100, (X317/69.91)*100), 2)</f>
        <v/>
      </c>
    </row>
    <row r="318">
      <c r="A318" s="10" t="n">
        <v>4</v>
      </c>
      <c r="B318" s="10" t="n">
        <v>314</v>
      </c>
      <c r="C318" s="10" t="n">
        <v>3314</v>
      </c>
      <c r="D318" s="10" t="inlineStr">
        <is>
          <t>PH0003314</t>
        </is>
      </c>
      <c r="E318" s="26" t="inlineStr">
        <is>
          <t>VII</t>
        </is>
      </c>
      <c r="F318" s="26" t="inlineStr">
        <is>
          <t>Cebu</t>
        </is>
      </c>
      <c r="G318" s="26" t="inlineStr">
        <is>
          <t>Talisay City</t>
        </is>
      </c>
      <c r="H318" s="26" t="inlineStr">
        <is>
          <t>Lawaan III</t>
        </is>
      </c>
      <c r="I318" s="27" t="n">
        <v>10.368794</v>
      </c>
      <c r="J318" s="27" t="n">
        <v>123.77317</v>
      </c>
      <c r="K318" s="10" t="inlineStr">
        <is>
          <t>R</t>
        </is>
      </c>
      <c r="L318" s="12" t="n">
        <v>2250</v>
      </c>
      <c r="M318" s="14" t="n">
        <v>3.8</v>
      </c>
      <c r="N318" s="12">
        <f>ROUND(L318/M318, 0)</f>
        <v/>
      </c>
      <c r="O318" s="12">
        <f>ROUND(N318*'Methodology &amp; Assumptions'!$B$5, 0)</f>
        <v/>
      </c>
      <c r="P318" s="10" t="inlineStr">
        <is>
          <t>Single Carrier (Band n50, 100MHz TDD)</t>
        </is>
      </c>
      <c r="Q318" s="13">
        <f>ROUNDUP(O318/'Methodology &amp; Assumptions'!$B$6, 0)</f>
        <v/>
      </c>
      <c r="R318" s="13" t="n">
        <v>1</v>
      </c>
      <c r="S318" s="14" t="n">
        <v>9.029999999999999</v>
      </c>
      <c r="T318" s="14" t="n">
        <v>9.390000000000001</v>
      </c>
      <c r="U318" s="26">
        <f>IF(X318&gt;='Methodology &amp; Assumptions'!$B$7, "Tier 1 Critical GIDA (Score ≥ 50.0)", IF(X318&gt;='Methodology &amp; Assumptions'!$B$8, "Tier 2 High GIDA (Score 40.0–49.9)", "Tier 3 Moderate GIDA (Score &lt; 40.0)"))</f>
        <v/>
      </c>
      <c r="V318" s="26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W318" s="28" t="n">
        <v>0.21</v>
      </c>
      <c r="X318" s="14" t="n">
        <v>47.24</v>
      </c>
      <c r="Y318" s="14">
        <f>ROUND(MIN(100, (X318/69.91)*100), 2)</f>
        <v/>
      </c>
    </row>
    <row r="319">
      <c r="A319" s="10" t="n">
        <v>4</v>
      </c>
      <c r="B319" s="10" t="n">
        <v>315</v>
      </c>
      <c r="C319" s="10" t="n">
        <v>3315</v>
      </c>
      <c r="D319" s="10" t="inlineStr">
        <is>
          <t>0402106039</t>
        </is>
      </c>
      <c r="E319" s="26" t="inlineStr">
        <is>
          <t>Region IV-A (CALABARZON)</t>
        </is>
      </c>
      <c r="F319" s="26" t="inlineStr">
        <is>
          <t>Cavite</t>
        </is>
      </c>
      <c r="G319" s="26" t="inlineStr">
        <is>
          <t>City of Dasmariñas</t>
        </is>
      </c>
      <c r="H319" s="26" t="inlineStr">
        <is>
          <t>San Simon</t>
        </is>
      </c>
      <c r="I319" s="27" t="n">
        <v>14.321347</v>
      </c>
      <c r="J319" s="27" t="n">
        <v>120.971447</v>
      </c>
      <c r="K319" s="10" t="inlineStr">
        <is>
          <t>U</t>
        </is>
      </c>
      <c r="L319" s="12" t="n">
        <v>6571</v>
      </c>
      <c r="M319" s="14" t="n">
        <v>3.4</v>
      </c>
      <c r="N319" s="12">
        <f>ROUND(L319/M319, 0)</f>
        <v/>
      </c>
      <c r="O319" s="12">
        <f>ROUND(N319*'Methodology &amp; Assumptions'!$B$5, 0)</f>
        <v/>
      </c>
      <c r="P319" s="10" t="inlineStr">
        <is>
          <t>Single Carrier (Band n50, 100MHz TDD)</t>
        </is>
      </c>
      <c r="Q319" s="13">
        <f>ROUNDUP(O319/'Methodology &amp; Assumptions'!$B$6, 0)</f>
        <v/>
      </c>
      <c r="R319" s="13" t="n">
        <v>1</v>
      </c>
      <c r="S319" s="14" t="n">
        <v>1.17</v>
      </c>
      <c r="T319" s="14" t="n">
        <v>2.82</v>
      </c>
      <c r="U319" s="26">
        <f>IF(X319&gt;='Methodology &amp; Assumptions'!$B$7, "Tier 1 Critical GIDA (Score ≥ 50.0)", IF(X319&gt;='Methodology &amp; Assumptions'!$B$8, "Tier 2 High GIDA (Score 40.0–49.9)", "Tier 3 Moderate GIDA (Score &lt; 40.0)"))</f>
        <v/>
      </c>
      <c r="V319" s="26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W319" s="28" t="n">
        <v>0.07200000000000001</v>
      </c>
      <c r="X319" s="14" t="n">
        <v>47.24</v>
      </c>
      <c r="Y319" s="14">
        <f>ROUND(MIN(100, (X319/69.91)*100), 2)</f>
        <v/>
      </c>
    </row>
    <row r="320">
      <c r="A320" s="10" t="n">
        <v>4</v>
      </c>
      <c r="B320" s="10" t="n">
        <v>316</v>
      </c>
      <c r="C320" s="10" t="n">
        <v>3316</v>
      </c>
      <c r="D320" s="10" t="inlineStr">
        <is>
          <t>PH0003316</t>
        </is>
      </c>
      <c r="E320" s="26" t="inlineStr">
        <is>
          <t>CAR</t>
        </is>
      </c>
      <c r="F320" s="26" t="inlineStr">
        <is>
          <t>Benguet</t>
        </is>
      </c>
      <c r="G320" s="26" t="inlineStr">
        <is>
          <t>Baguio City</t>
        </is>
      </c>
      <c r="H320" s="26" t="inlineStr">
        <is>
          <t>Rock Quarry, Lower</t>
        </is>
      </c>
      <c r="I320" s="27" t="n">
        <v>16.456244</v>
      </c>
      <c r="J320" s="27" t="n">
        <v>120.589703</v>
      </c>
      <c r="K320" s="10" t="inlineStr">
        <is>
          <t>R</t>
        </is>
      </c>
      <c r="L320" s="12" t="n">
        <v>2260</v>
      </c>
      <c r="M320" s="14" t="n">
        <v>3.5</v>
      </c>
      <c r="N320" s="12">
        <f>ROUND(L320/M320, 0)</f>
        <v/>
      </c>
      <c r="O320" s="12">
        <f>ROUND(N320*'Methodology &amp; Assumptions'!$B$5, 0)</f>
        <v/>
      </c>
      <c r="P320" s="10" t="inlineStr">
        <is>
          <t>Single Carrier (Band n50, 100MHz TDD)</t>
        </is>
      </c>
      <c r="Q320" s="13">
        <f>ROUNDUP(O320/'Methodology &amp; Assumptions'!$B$6, 0)</f>
        <v/>
      </c>
      <c r="R320" s="13" t="n">
        <v>1</v>
      </c>
      <c r="S320" s="14" t="n">
        <v>1.03</v>
      </c>
      <c r="T320" s="14" t="n">
        <v>0.68</v>
      </c>
      <c r="U320" s="26">
        <f>IF(X320&gt;='Methodology &amp; Assumptions'!$B$7, "Tier 1 Critical GIDA (Score ≥ 50.0)", IF(X320&gt;='Methodology &amp; Assumptions'!$B$8, "Tier 2 High GIDA (Score 40.0–49.9)", "Tier 3 Moderate GIDA (Score &lt; 40.0)"))</f>
        <v/>
      </c>
      <c r="V320" s="26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W320" s="28" t="n">
        <v>0.221</v>
      </c>
      <c r="X320" s="14" t="n">
        <v>47.23</v>
      </c>
      <c r="Y320" s="14">
        <f>ROUND(MIN(100, (X320/69.91)*100), 2)</f>
        <v/>
      </c>
    </row>
    <row r="321">
      <c r="A321" s="10" t="n">
        <v>4</v>
      </c>
      <c r="B321" s="10" t="n">
        <v>317</v>
      </c>
      <c r="C321" s="10" t="n">
        <v>3317</v>
      </c>
      <c r="D321" s="10" t="inlineStr">
        <is>
          <t>PH0003317</t>
        </is>
      </c>
      <c r="E321" s="26" t="inlineStr">
        <is>
          <t>IV-A</t>
        </is>
      </c>
      <c r="F321" s="26" t="inlineStr">
        <is>
          <t>Cavite</t>
        </is>
      </c>
      <c r="G321" s="26" t="inlineStr">
        <is>
          <t>Imus City</t>
        </is>
      </c>
      <c r="H321" s="26" t="inlineStr">
        <is>
          <t>Mariano Espeleta II</t>
        </is>
      </c>
      <c r="I321" s="27" t="n">
        <v>14.295357</v>
      </c>
      <c r="J321" s="27" t="n">
        <v>120.91922</v>
      </c>
      <c r="K321" s="10" t="inlineStr">
        <is>
          <t>R</t>
        </is>
      </c>
      <c r="L321" s="12" t="n">
        <v>2316</v>
      </c>
      <c r="M321" s="14" t="n">
        <v>3.4</v>
      </c>
      <c r="N321" s="12">
        <f>ROUND(L321/M321, 0)</f>
        <v/>
      </c>
      <c r="O321" s="12">
        <f>ROUND(N321*'Methodology &amp; Assumptions'!$B$5, 0)</f>
        <v/>
      </c>
      <c r="P321" s="10" t="inlineStr">
        <is>
          <t>Single Carrier (Band n50, 100MHz TDD)</t>
        </is>
      </c>
      <c r="Q321" s="13">
        <f>ROUNDUP(O321/'Methodology &amp; Assumptions'!$B$6, 0)</f>
        <v/>
      </c>
      <c r="R321" s="13" t="n">
        <v>1</v>
      </c>
      <c r="S321" s="14" t="n">
        <v>1.01</v>
      </c>
      <c r="T321" s="14" t="n">
        <v>0.37</v>
      </c>
      <c r="U321" s="26">
        <f>IF(X321&gt;='Methodology &amp; Assumptions'!$B$7, "Tier 1 Critical GIDA (Score ≥ 50.0)", IF(X321&gt;='Methodology &amp; Assumptions'!$B$8, "Tier 2 High GIDA (Score 40.0–49.9)", "Tier 3 Moderate GIDA (Score &lt; 40.0)"))</f>
        <v/>
      </c>
      <c r="V321" s="26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W321" s="28" t="n">
        <v>0.07200000000000001</v>
      </c>
      <c r="X321" s="14" t="n">
        <v>47.23</v>
      </c>
      <c r="Y321" s="14">
        <f>ROUND(MIN(100, (X321/69.91)*100), 2)</f>
        <v/>
      </c>
    </row>
    <row r="322">
      <c r="A322" s="10" t="n">
        <v>4</v>
      </c>
      <c r="B322" s="10" t="n">
        <v>318</v>
      </c>
      <c r="C322" s="10" t="n">
        <v>3318</v>
      </c>
      <c r="D322" s="10" t="inlineStr">
        <is>
          <t>PH0003318</t>
        </is>
      </c>
      <c r="E322" s="26" t="inlineStr">
        <is>
          <t>XI</t>
        </is>
      </c>
      <c r="F322" s="26" t="inlineStr">
        <is>
          <t>Davao Del Sur</t>
        </is>
      </c>
      <c r="G322" s="26" t="inlineStr">
        <is>
          <t>Davao City</t>
        </is>
      </c>
      <c r="H322" s="26" t="inlineStr">
        <is>
          <t>Barangay 15-B (Pob.)</t>
        </is>
      </c>
      <c r="I322" s="27" t="n">
        <v>7.211572</v>
      </c>
      <c r="J322" s="27" t="n">
        <v>125.455041</v>
      </c>
      <c r="K322" s="10" t="inlineStr">
        <is>
          <t>R</t>
        </is>
      </c>
      <c r="L322" s="12" t="n">
        <v>2280</v>
      </c>
      <c r="M322" s="14" t="n">
        <v>3.4</v>
      </c>
      <c r="N322" s="12">
        <f>ROUND(L322/M322, 0)</f>
        <v/>
      </c>
      <c r="O322" s="12">
        <f>ROUND(N322*'Methodology &amp; Assumptions'!$B$5, 0)</f>
        <v/>
      </c>
      <c r="P322" s="10" t="inlineStr">
        <is>
          <t>Single Carrier (Band n50, 100MHz TDD)</t>
        </is>
      </c>
      <c r="Q322" s="13">
        <f>ROUNDUP(O322/'Methodology &amp; Assumptions'!$B$6, 0)</f>
        <v/>
      </c>
      <c r="R322" s="13" t="n">
        <v>1</v>
      </c>
      <c r="S322" s="14" t="n">
        <v>2.84</v>
      </c>
      <c r="T322" s="14" t="n">
        <v>1.57</v>
      </c>
      <c r="U322" s="26">
        <f>IF(X322&gt;='Methodology &amp; Assumptions'!$B$7, "Tier 1 Critical GIDA (Score ≥ 50.0)", IF(X322&gt;='Methodology &amp; Assumptions'!$B$8, "Tier 2 High GIDA (Score 40.0–49.9)", "Tier 3 Moderate GIDA (Score &lt; 40.0)"))</f>
        <v/>
      </c>
      <c r="V322" s="26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W322" s="28" t="n">
        <v>0.119</v>
      </c>
      <c r="X322" s="14" t="n">
        <v>47.22</v>
      </c>
      <c r="Y322" s="14">
        <f>ROUND(MIN(100, (X322/69.91)*100), 2)</f>
        <v/>
      </c>
    </row>
    <row r="323">
      <c r="A323" s="10" t="n">
        <v>4</v>
      </c>
      <c r="B323" s="10" t="n">
        <v>319</v>
      </c>
      <c r="C323" s="10" t="n">
        <v>3319</v>
      </c>
      <c r="D323" s="10" t="inlineStr">
        <is>
          <t>0405811005</t>
        </is>
      </c>
      <c r="E323" s="26" t="inlineStr">
        <is>
          <t>Region IV-A (CALABARZON)</t>
        </is>
      </c>
      <c r="F323" s="26" t="inlineStr">
        <is>
          <t>Rizal</t>
        </is>
      </c>
      <c r="G323" s="26" t="inlineStr">
        <is>
          <t>San Mateo</t>
        </is>
      </c>
      <c r="H323" s="26" t="inlineStr">
        <is>
          <t>Guitnang Bayan I</t>
        </is>
      </c>
      <c r="I323" s="27" t="n">
        <v>14.695341</v>
      </c>
      <c r="J323" s="27" t="n">
        <v>121.120946</v>
      </c>
      <c r="K323" s="10" t="inlineStr">
        <is>
          <t>U</t>
        </is>
      </c>
      <c r="L323" s="12" t="n">
        <v>33621</v>
      </c>
      <c r="M323" s="14" t="n">
        <v>3.6</v>
      </c>
      <c r="N323" s="12">
        <f>ROUND(L323/M323, 0)</f>
        <v/>
      </c>
      <c r="O323" s="12">
        <f>ROUND(N323*'Methodology &amp; Assumptions'!$B$5, 0)</f>
        <v/>
      </c>
      <c r="P323" s="10" t="inlineStr">
        <is>
          <t>Single Carrier (Band n50, 100MHz TDD)</t>
        </is>
      </c>
      <c r="Q323" s="13">
        <f>ROUNDUP(O323/'Methodology &amp; Assumptions'!$B$6, 0)</f>
        <v/>
      </c>
      <c r="R323" s="13" t="n">
        <v>1</v>
      </c>
      <c r="S323" s="14" t="n">
        <v>1.08</v>
      </c>
      <c r="T323" s="14" t="n">
        <v>0.47</v>
      </c>
      <c r="U323" s="26">
        <f>IF(X323&gt;='Methodology &amp; Assumptions'!$B$7, "Tier 1 Critical GIDA (Score ≥ 50.0)", IF(X323&gt;='Methodology &amp; Assumptions'!$B$8, "Tier 2 High GIDA (Score 40.0–49.9)", "Tier 3 Moderate GIDA (Score &lt; 40.0)"))</f>
        <v/>
      </c>
      <c r="V323" s="26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W323" s="28" t="n">
        <v>0.07200000000000001</v>
      </c>
      <c r="X323" s="14" t="n">
        <v>47.22</v>
      </c>
      <c r="Y323" s="14">
        <f>ROUND(MIN(100, (X323/69.91)*100), 2)</f>
        <v/>
      </c>
    </row>
    <row r="324">
      <c r="A324" s="10" t="n">
        <v>4</v>
      </c>
      <c r="B324" s="10" t="n">
        <v>320</v>
      </c>
      <c r="C324" s="10" t="n">
        <v>3320</v>
      </c>
      <c r="D324" s="10" t="inlineStr">
        <is>
          <t>PH0003320</t>
        </is>
      </c>
      <c r="E324" s="26" t="inlineStr">
        <is>
          <t>IV-A</t>
        </is>
      </c>
      <c r="F324" s="26" t="inlineStr">
        <is>
          <t>Batangas</t>
        </is>
      </c>
      <c r="G324" s="26" t="inlineStr">
        <is>
          <t>Lipa City</t>
        </is>
      </c>
      <c r="H324" s="26" t="inlineStr">
        <is>
          <t>Poblacion Barangay 10</t>
        </is>
      </c>
      <c r="I324" s="27" t="n">
        <v>13.924292</v>
      </c>
      <c r="J324" s="27" t="n">
        <v>121.168587</v>
      </c>
      <c r="K324" s="10" t="inlineStr">
        <is>
          <t>R</t>
        </is>
      </c>
      <c r="L324" s="12" t="n">
        <v>2259</v>
      </c>
      <c r="M324" s="14" t="n">
        <v>3.6</v>
      </c>
      <c r="N324" s="12">
        <f>ROUND(L324/M324, 0)</f>
        <v/>
      </c>
      <c r="O324" s="12">
        <f>ROUND(N324*'Methodology &amp; Assumptions'!$B$5, 0)</f>
        <v/>
      </c>
      <c r="P324" s="10" t="inlineStr">
        <is>
          <t>Single Carrier (Band n50, 100MHz TDD)</t>
        </is>
      </c>
      <c r="Q324" s="13">
        <f>ROUNDUP(O324/'Methodology &amp; Assumptions'!$B$6, 0)</f>
        <v/>
      </c>
      <c r="R324" s="13" t="n">
        <v>1</v>
      </c>
      <c r="S324" s="14" t="n">
        <v>2.23</v>
      </c>
      <c r="T324" s="14" t="n">
        <v>0.36</v>
      </c>
      <c r="U324" s="26">
        <f>IF(X324&gt;='Methodology &amp; Assumptions'!$B$7, "Tier 1 Critical GIDA (Score ≥ 50.0)", IF(X324&gt;='Methodology &amp; Assumptions'!$B$8, "Tier 2 High GIDA (Score 40.0–49.9)", "Tier 3 Moderate GIDA (Score &lt; 40.0)"))</f>
        <v/>
      </c>
      <c r="V324" s="26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W324" s="28" t="n">
        <v>0.07200000000000001</v>
      </c>
      <c r="X324" s="14" t="n">
        <v>47.22</v>
      </c>
      <c r="Y324" s="14">
        <f>ROUND(MIN(100, (X324/69.91)*100), 2)</f>
        <v/>
      </c>
    </row>
    <row r="325">
      <c r="A325" s="10" t="n">
        <v>4</v>
      </c>
      <c r="B325" s="10" t="n">
        <v>321</v>
      </c>
      <c r="C325" s="10" t="n">
        <v>3321</v>
      </c>
      <c r="D325" s="10" t="inlineStr">
        <is>
          <t>1381300105</t>
        </is>
      </c>
      <c r="E325" s="26" t="inlineStr">
        <is>
          <t>National Capital Region (NCR)</t>
        </is>
      </c>
      <c r="F325" s="26" t="inlineStr">
        <is>
          <t>Second District (Not a Province)</t>
        </is>
      </c>
      <c r="G325" s="26" t="inlineStr">
        <is>
          <t>Quezon City</t>
        </is>
      </c>
      <c r="H325" s="26" t="inlineStr">
        <is>
          <t>Santa Lucia</t>
        </is>
      </c>
      <c r="I325" s="27" t="n">
        <v>14.707341</v>
      </c>
      <c r="J325" s="27" t="n">
        <v>121.052612</v>
      </c>
      <c r="K325" s="10" t="inlineStr">
        <is>
          <t>U</t>
        </is>
      </c>
      <c r="L325" s="12" t="n">
        <v>29399</v>
      </c>
      <c r="M325" s="14" t="n">
        <v>3.8</v>
      </c>
      <c r="N325" s="12">
        <f>ROUND(L325/M325, 0)</f>
        <v/>
      </c>
      <c r="O325" s="12">
        <f>ROUND(N325*'Methodology &amp; Assumptions'!$B$5, 0)</f>
        <v/>
      </c>
      <c r="P325" s="10" t="inlineStr">
        <is>
          <t>Single Carrier (Band n50, 100MHz TDD)</t>
        </is>
      </c>
      <c r="Q325" s="13">
        <f>ROUNDUP(O325/'Methodology &amp; Assumptions'!$B$6, 0)</f>
        <v/>
      </c>
      <c r="R325" s="13" t="n">
        <v>1</v>
      </c>
      <c r="S325" s="14" t="n">
        <v>1.95</v>
      </c>
      <c r="T325" s="14" t="n">
        <v>0.96</v>
      </c>
      <c r="U325" s="26">
        <f>IF(X325&gt;='Methodology &amp; Assumptions'!$B$7, "Tier 1 Critical GIDA (Score ≥ 50.0)", IF(X325&gt;='Methodology &amp; Assumptions'!$B$8, "Tier 2 High GIDA (Score 40.0–49.9)", "Tier 3 Moderate GIDA (Score &lt; 40.0)"))</f>
        <v/>
      </c>
      <c r="V325" s="26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W325" s="28" t="n">
        <v>0.109</v>
      </c>
      <c r="X325" s="14" t="n">
        <v>47.21</v>
      </c>
      <c r="Y325" s="14">
        <f>ROUND(MIN(100, (X325/69.91)*100), 2)</f>
        <v/>
      </c>
    </row>
    <row r="326">
      <c r="A326" s="10" t="n">
        <v>4</v>
      </c>
      <c r="B326" s="10" t="n">
        <v>322</v>
      </c>
      <c r="C326" s="10" t="n">
        <v>3322</v>
      </c>
      <c r="D326" s="10" t="inlineStr">
        <is>
          <t>PH0003322</t>
        </is>
      </c>
      <c r="E326" s="26" t="inlineStr">
        <is>
          <t>VIII</t>
        </is>
      </c>
      <c r="F326" s="26" t="inlineStr">
        <is>
          <t>Samar (Western Samar)</t>
        </is>
      </c>
      <c r="G326" s="26" t="inlineStr">
        <is>
          <t>Calbayog City</t>
        </is>
      </c>
      <c r="H326" s="26" t="inlineStr">
        <is>
          <t>San Isidro</t>
        </is>
      </c>
      <c r="I326" s="27" t="n">
        <v>12.18537</v>
      </c>
      <c r="J326" s="27" t="n">
        <v>124.62848</v>
      </c>
      <c r="K326" s="10" t="inlineStr">
        <is>
          <t>R</t>
        </is>
      </c>
      <c r="L326" s="12" t="n">
        <v>2229</v>
      </c>
      <c r="M326" s="14" t="n">
        <v>4.1</v>
      </c>
      <c r="N326" s="12">
        <f>ROUND(L326/M326, 0)</f>
        <v/>
      </c>
      <c r="O326" s="12">
        <f>ROUND(N326*'Methodology &amp; Assumptions'!$B$5, 0)</f>
        <v/>
      </c>
      <c r="P326" s="10" t="inlineStr">
        <is>
          <t>Single Carrier (Band n50, 100MHz TDD)</t>
        </is>
      </c>
      <c r="Q326" s="13">
        <f>ROUNDUP(O326/'Methodology &amp; Assumptions'!$B$6, 0)</f>
        <v/>
      </c>
      <c r="R326" s="13" t="n">
        <v>1</v>
      </c>
      <c r="S326" s="14" t="n">
        <v>74.27</v>
      </c>
      <c r="T326" s="14" t="n">
        <v>74.26000000000001</v>
      </c>
      <c r="U326" s="26">
        <f>IF(X326&gt;='Methodology &amp; Assumptions'!$B$7, "Tier 1 Critical GIDA (Score ≥ 50.0)", IF(X326&gt;='Methodology &amp; Assumptions'!$B$8, "Tier 2 High GIDA (Score 40.0–49.9)", "Tier 3 Moderate GIDA (Score &lt; 40.0)"))</f>
        <v/>
      </c>
      <c r="V326" s="26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W326" s="28" t="n">
        <v>0.222</v>
      </c>
      <c r="X326" s="14" t="n">
        <v>47.21</v>
      </c>
      <c r="Y326" s="14">
        <f>ROUND(MIN(100, (X326/69.91)*100), 2)</f>
        <v/>
      </c>
    </row>
    <row r="327">
      <c r="A327" s="10" t="n">
        <v>4</v>
      </c>
      <c r="B327" s="10" t="n">
        <v>323</v>
      </c>
      <c r="C327" s="10" t="n">
        <v>3323</v>
      </c>
      <c r="D327" s="10" t="inlineStr">
        <is>
          <t>1206512016</t>
        </is>
      </c>
      <c r="E327" s="26" t="inlineStr">
        <is>
          <t>Region XII (SOCCSKSARGEN)</t>
        </is>
      </c>
      <c r="F327" s="26" t="inlineStr">
        <is>
          <t>Sultan Kudarat</t>
        </is>
      </c>
      <c r="G327" s="26" t="inlineStr">
        <is>
          <t>Sen. Ninoy Aquino</t>
        </is>
      </c>
      <c r="H327" s="26" t="inlineStr">
        <is>
          <t>Midtungok</t>
        </is>
      </c>
      <c r="I327" s="27" t="n">
        <v>6.401866</v>
      </c>
      <c r="J327" s="27" t="n">
        <v>124.252153</v>
      </c>
      <c r="K327" s="10" t="inlineStr">
        <is>
          <t>R</t>
        </is>
      </c>
      <c r="L327" s="12" t="n">
        <v>3412</v>
      </c>
      <c r="M327" s="14" t="n">
        <v>3.8</v>
      </c>
      <c r="N327" s="12">
        <f>ROUND(L327/M327, 0)</f>
        <v/>
      </c>
      <c r="O327" s="12">
        <f>ROUND(N327*'Methodology &amp; Assumptions'!$B$5, 0)</f>
        <v/>
      </c>
      <c r="P327" s="10" t="inlineStr">
        <is>
          <t>Single Carrier (Band n50, 100MHz TDD)</t>
        </is>
      </c>
      <c r="Q327" s="13">
        <f>ROUNDUP(O327/'Methodology &amp; Assumptions'!$B$6, 0)</f>
        <v/>
      </c>
      <c r="R327" s="13" t="n">
        <v>1</v>
      </c>
      <c r="S327" s="14" t="n">
        <v>56.49</v>
      </c>
      <c r="T327" s="14" t="n">
        <v>56.42</v>
      </c>
      <c r="U327" s="26">
        <f>IF(X327&gt;='Methodology &amp; Assumptions'!$B$7, "Tier 1 Critical GIDA (Score ≥ 50.0)", IF(X327&gt;='Methodology &amp; Assumptions'!$B$8, "Tier 2 High GIDA (Score 40.0–49.9)", "Tier 3 Moderate GIDA (Score &lt; 40.0)"))</f>
        <v/>
      </c>
      <c r="V327" s="26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W327" s="28" t="n">
        <v>0.174</v>
      </c>
      <c r="X327" s="14" t="n">
        <v>47.21</v>
      </c>
      <c r="Y327" s="14">
        <f>ROUND(MIN(100, (X327/69.91)*100), 2)</f>
        <v/>
      </c>
    </row>
    <row r="328">
      <c r="A328" s="10" t="n">
        <v>4</v>
      </c>
      <c r="B328" s="10" t="n">
        <v>324</v>
      </c>
      <c r="C328" s="10" t="n">
        <v>3324</v>
      </c>
      <c r="D328" s="10" t="inlineStr">
        <is>
          <t>PH0003324</t>
        </is>
      </c>
      <c r="E328" s="26" t="inlineStr">
        <is>
          <t>VIII</t>
        </is>
      </c>
      <c r="F328" s="26" t="inlineStr">
        <is>
          <t>Samar (Western Samar)</t>
        </is>
      </c>
      <c r="G328" s="26" t="inlineStr">
        <is>
          <t>Calbayog City</t>
        </is>
      </c>
      <c r="H328" s="26" t="inlineStr">
        <is>
          <t>Palanogan</t>
        </is>
      </c>
      <c r="I328" s="27" t="n">
        <v>12.185617</v>
      </c>
      <c r="J328" s="27" t="n">
        <v>124.647152</v>
      </c>
      <c r="K328" s="10" t="inlineStr">
        <is>
          <t>R</t>
        </is>
      </c>
      <c r="L328" s="12" t="n">
        <v>2229</v>
      </c>
      <c r="M328" s="14" t="n">
        <v>4.1</v>
      </c>
      <c r="N328" s="12">
        <f>ROUND(L328/M328, 0)</f>
        <v/>
      </c>
      <c r="O328" s="12">
        <f>ROUND(N328*'Methodology &amp; Assumptions'!$B$5, 0)</f>
        <v/>
      </c>
      <c r="P328" s="10" t="inlineStr">
        <is>
          <t>Single Carrier (Band n50, 100MHz TDD)</t>
        </is>
      </c>
      <c r="Q328" s="13">
        <f>ROUNDUP(O328/'Methodology &amp; Assumptions'!$B$6, 0)</f>
        <v/>
      </c>
      <c r="R328" s="13" t="n">
        <v>1</v>
      </c>
      <c r="S328" s="14" t="n">
        <v>75.88</v>
      </c>
      <c r="T328" s="14" t="n">
        <v>75.87</v>
      </c>
      <c r="U328" s="26">
        <f>IF(X328&gt;='Methodology &amp; Assumptions'!$B$7, "Tier 1 Critical GIDA (Score ≥ 50.0)", IF(X328&gt;='Methodology &amp; Assumptions'!$B$8, "Tier 2 High GIDA (Score 40.0–49.9)", "Tier 3 Moderate GIDA (Score &lt; 40.0)"))</f>
        <v/>
      </c>
      <c r="V328" s="26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W328" s="28" t="n">
        <v>0.222</v>
      </c>
      <c r="X328" s="14" t="n">
        <v>47.21</v>
      </c>
      <c r="Y328" s="14">
        <f>ROUND(MIN(100, (X328/69.91)*100), 2)</f>
        <v/>
      </c>
    </row>
    <row r="329">
      <c r="A329" s="10" t="n">
        <v>4</v>
      </c>
      <c r="B329" s="10" t="n">
        <v>325</v>
      </c>
      <c r="C329" s="10" t="n">
        <v>3325</v>
      </c>
      <c r="D329" s="10" t="inlineStr">
        <is>
          <t>PH0003325</t>
        </is>
      </c>
      <c r="E329" s="26" t="inlineStr">
        <is>
          <t>VIII</t>
        </is>
      </c>
      <c r="F329" s="26" t="inlineStr">
        <is>
          <t>Samar (Western Samar)</t>
        </is>
      </c>
      <c r="G329" s="26" t="inlineStr">
        <is>
          <t>Calbayog City</t>
        </is>
      </c>
      <c r="H329" s="26" t="inlineStr">
        <is>
          <t>Helino</t>
        </is>
      </c>
      <c r="I329" s="27" t="n">
        <v>12.2161</v>
      </c>
      <c r="J329" s="27" t="n">
        <v>124.70282</v>
      </c>
      <c r="K329" s="10" t="inlineStr">
        <is>
          <t>R</t>
        </is>
      </c>
      <c r="L329" s="12" t="n">
        <v>2229</v>
      </c>
      <c r="M329" s="14" t="n">
        <v>4.1</v>
      </c>
      <c r="N329" s="12">
        <f>ROUND(L329/M329, 0)</f>
        <v/>
      </c>
      <c r="O329" s="12">
        <f>ROUND(N329*'Methodology &amp; Assumptions'!$B$5, 0)</f>
        <v/>
      </c>
      <c r="P329" s="10" t="inlineStr">
        <is>
          <t>Single Carrier (Band n50, 100MHz TDD)</t>
        </is>
      </c>
      <c r="Q329" s="13">
        <f>ROUNDUP(O329/'Methodology &amp; Assumptions'!$B$6, 0)</f>
        <v/>
      </c>
      <c r="R329" s="13" t="n">
        <v>1</v>
      </c>
      <c r="S329" s="14" t="n">
        <v>79.03</v>
      </c>
      <c r="T329" s="14" t="n">
        <v>79.02</v>
      </c>
      <c r="U329" s="26">
        <f>IF(X329&gt;='Methodology &amp; Assumptions'!$B$7, "Tier 1 Critical GIDA (Score ≥ 50.0)", IF(X329&gt;='Methodology &amp; Assumptions'!$B$8, "Tier 2 High GIDA (Score 40.0–49.9)", "Tier 3 Moderate GIDA (Score &lt; 40.0)"))</f>
        <v/>
      </c>
      <c r="V329" s="26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W329" s="28" t="n">
        <v>0.222</v>
      </c>
      <c r="X329" s="14" t="n">
        <v>47.21</v>
      </c>
      <c r="Y329" s="14">
        <f>ROUND(MIN(100, (X329/69.91)*100), 2)</f>
        <v/>
      </c>
    </row>
    <row r="330">
      <c r="A330" s="10" t="n">
        <v>4</v>
      </c>
      <c r="B330" s="10" t="n">
        <v>326</v>
      </c>
      <c r="C330" s="10" t="n">
        <v>3326</v>
      </c>
      <c r="D330" s="10" t="inlineStr">
        <is>
          <t>PH0003326</t>
        </is>
      </c>
      <c r="E330" s="26" t="inlineStr">
        <is>
          <t>VIII</t>
        </is>
      </c>
      <c r="F330" s="26" t="inlineStr">
        <is>
          <t>Samar (Western Samar)</t>
        </is>
      </c>
      <c r="G330" s="26" t="inlineStr">
        <is>
          <t>Calbayog City</t>
        </is>
      </c>
      <c r="H330" s="26" t="inlineStr">
        <is>
          <t>San Antonio</t>
        </is>
      </c>
      <c r="I330" s="27" t="n">
        <v>12.16087</v>
      </c>
      <c r="J330" s="27" t="n">
        <v>124.75223</v>
      </c>
      <c r="K330" s="10" t="inlineStr">
        <is>
          <t>R</t>
        </is>
      </c>
      <c r="L330" s="12" t="n">
        <v>2229</v>
      </c>
      <c r="M330" s="14" t="n">
        <v>4.1</v>
      </c>
      <c r="N330" s="12">
        <f>ROUND(L330/M330, 0)</f>
        <v/>
      </c>
      <c r="O330" s="12">
        <f>ROUND(N330*'Methodology &amp; Assumptions'!$B$5, 0)</f>
        <v/>
      </c>
      <c r="P330" s="10" t="inlineStr">
        <is>
          <t>Single Carrier (Band n50, 100MHz TDD)</t>
        </is>
      </c>
      <c r="Q330" s="13">
        <f>ROUNDUP(O330/'Methodology &amp; Assumptions'!$B$6, 0)</f>
        <v/>
      </c>
      <c r="R330" s="13" t="n">
        <v>1</v>
      </c>
      <c r="S330" s="14" t="n">
        <v>86.84999999999999</v>
      </c>
      <c r="T330" s="14" t="n">
        <v>86.84</v>
      </c>
      <c r="U330" s="26">
        <f>IF(X330&gt;='Methodology &amp; Assumptions'!$B$7, "Tier 1 Critical GIDA (Score ≥ 50.0)", IF(X330&gt;='Methodology &amp; Assumptions'!$B$8, "Tier 2 High GIDA (Score 40.0–49.9)", "Tier 3 Moderate GIDA (Score &lt; 40.0)"))</f>
        <v/>
      </c>
      <c r="V330" s="26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W330" s="28" t="n">
        <v>0.222</v>
      </c>
      <c r="X330" s="14" t="n">
        <v>47.21</v>
      </c>
      <c r="Y330" s="14">
        <f>ROUND(MIN(100, (X330/69.91)*100), 2)</f>
        <v/>
      </c>
    </row>
    <row r="331">
      <c r="A331" s="10" t="n">
        <v>4</v>
      </c>
      <c r="B331" s="10" t="n">
        <v>327</v>
      </c>
      <c r="C331" s="10" t="n">
        <v>3327</v>
      </c>
      <c r="D331" s="10" t="inlineStr">
        <is>
          <t>PH0003327</t>
        </is>
      </c>
      <c r="E331" s="26" t="inlineStr">
        <is>
          <t>IV-A</t>
        </is>
      </c>
      <c r="F331" s="26" t="inlineStr">
        <is>
          <t>Cavite</t>
        </is>
      </c>
      <c r="G331" s="26" t="inlineStr">
        <is>
          <t>Imus City</t>
        </is>
      </c>
      <c r="H331" s="26" t="inlineStr">
        <is>
          <t>Poblacion I-A (Pob.)</t>
        </is>
      </c>
      <c r="I331" s="27" t="n">
        <v>14.272667</v>
      </c>
      <c r="J331" s="27" t="n">
        <v>120.890853</v>
      </c>
      <c r="K331" s="10" t="inlineStr">
        <is>
          <t>R</t>
        </is>
      </c>
      <c r="L331" s="12" t="n">
        <v>2316</v>
      </c>
      <c r="M331" s="14" t="n">
        <v>3.4</v>
      </c>
      <c r="N331" s="12">
        <f>ROUND(L331/M331, 0)</f>
        <v/>
      </c>
      <c r="O331" s="12">
        <f>ROUND(N331*'Methodology &amp; Assumptions'!$B$5, 0)</f>
        <v/>
      </c>
      <c r="P331" s="10" t="inlineStr">
        <is>
          <t>Single Carrier (Band n50, 100MHz TDD)</t>
        </is>
      </c>
      <c r="Q331" s="13">
        <f>ROUNDUP(O331/'Methodology &amp; Assumptions'!$B$6, 0)</f>
        <v/>
      </c>
      <c r="R331" s="13" t="n">
        <v>1</v>
      </c>
      <c r="S331" s="14" t="n">
        <v>2.6</v>
      </c>
      <c r="T331" s="14" t="n">
        <v>0.99</v>
      </c>
      <c r="U331" s="26">
        <f>IF(X331&gt;='Methodology &amp; Assumptions'!$B$7, "Tier 1 Critical GIDA (Score ≥ 50.0)", IF(X331&gt;='Methodology &amp; Assumptions'!$B$8, "Tier 2 High GIDA (Score 40.0–49.9)", "Tier 3 Moderate GIDA (Score &lt; 40.0)"))</f>
        <v/>
      </c>
      <c r="V331" s="26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W331" s="28" t="n">
        <v>0.07200000000000001</v>
      </c>
      <c r="X331" s="14" t="n">
        <v>47.2</v>
      </c>
      <c r="Y331" s="14">
        <f>ROUND(MIN(100, (X331/69.91)*100), 2)</f>
        <v/>
      </c>
    </row>
    <row r="332">
      <c r="A332" s="10" t="n">
        <v>4</v>
      </c>
      <c r="B332" s="10" t="n">
        <v>328</v>
      </c>
      <c r="C332" s="10" t="n">
        <v>3328</v>
      </c>
      <c r="D332" s="10" t="inlineStr">
        <is>
          <t>0402106031</t>
        </is>
      </c>
      <c r="E332" s="26" t="inlineStr">
        <is>
          <t>Region IV-A (CALABARZON)</t>
        </is>
      </c>
      <c r="F332" s="26" t="inlineStr">
        <is>
          <t>Cavite</t>
        </is>
      </c>
      <c r="G332" s="26" t="inlineStr">
        <is>
          <t>City of Dasmariñas</t>
        </is>
      </c>
      <c r="H332" s="26" t="inlineStr">
        <is>
          <t>San Juan</t>
        </is>
      </c>
      <c r="I332" s="27" t="n">
        <v>14.294663</v>
      </c>
      <c r="J332" s="27" t="n">
        <v>120.9363</v>
      </c>
      <c r="K332" s="10" t="inlineStr">
        <is>
          <t>R</t>
        </is>
      </c>
      <c r="L332" s="12" t="n">
        <v>3860</v>
      </c>
      <c r="M332" s="14" t="n">
        <v>3.4</v>
      </c>
      <c r="N332" s="12">
        <f>ROUND(L332/M332, 0)</f>
        <v/>
      </c>
      <c r="O332" s="12">
        <f>ROUND(N332*'Methodology &amp; Assumptions'!$B$5, 0)</f>
        <v/>
      </c>
      <c r="P332" s="10" t="inlineStr">
        <is>
          <t>Single Carrier (Band n50, 100MHz TDD)</t>
        </is>
      </c>
      <c r="Q332" s="13">
        <f>ROUNDUP(O332/'Methodology &amp; Assumptions'!$B$6, 0)</f>
        <v/>
      </c>
      <c r="R332" s="13" t="n">
        <v>1</v>
      </c>
      <c r="S332" s="14" t="n">
        <v>2.49</v>
      </c>
      <c r="T332" s="14" t="n">
        <v>0.18</v>
      </c>
      <c r="U332" s="26">
        <f>IF(X332&gt;='Methodology &amp; Assumptions'!$B$7, "Tier 1 Critical GIDA (Score ≥ 50.0)", IF(X332&gt;='Methodology &amp; Assumptions'!$B$8, "Tier 2 High GIDA (Score 40.0–49.9)", "Tier 3 Moderate GIDA (Score &lt; 40.0)"))</f>
        <v/>
      </c>
      <c r="V332" s="26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W332" s="28" t="n">
        <v>0.07200000000000001</v>
      </c>
      <c r="X332" s="14" t="n">
        <v>47.2</v>
      </c>
      <c r="Y332" s="14">
        <f>ROUND(MIN(100, (X332/69.91)*100), 2)</f>
        <v/>
      </c>
    </row>
    <row r="333">
      <c r="A333" s="10" t="n">
        <v>4</v>
      </c>
      <c r="B333" s="10" t="n">
        <v>329</v>
      </c>
      <c r="C333" s="10" t="n">
        <v>3329</v>
      </c>
      <c r="D333" s="10" t="inlineStr">
        <is>
          <t>PH0003329</t>
        </is>
      </c>
      <c r="E333" s="26" t="inlineStr">
        <is>
          <t>CAR</t>
        </is>
      </c>
      <c r="F333" s="26" t="inlineStr">
        <is>
          <t>Benguet</t>
        </is>
      </c>
      <c r="G333" s="26" t="inlineStr">
        <is>
          <t>Baguio City</t>
        </is>
      </c>
      <c r="H333" s="26" t="inlineStr">
        <is>
          <t>Rock Quarry, Upper</t>
        </is>
      </c>
      <c r="I333" s="27" t="n">
        <v>16.3726</v>
      </c>
      <c r="J333" s="27" t="n">
        <v>120.633271</v>
      </c>
      <c r="K333" s="10" t="inlineStr">
        <is>
          <t>R</t>
        </is>
      </c>
      <c r="L333" s="12" t="n">
        <v>2260</v>
      </c>
      <c r="M333" s="14" t="n">
        <v>3.5</v>
      </c>
      <c r="N333" s="12">
        <f>ROUND(L333/M333, 0)</f>
        <v/>
      </c>
      <c r="O333" s="12">
        <f>ROUND(N333*'Methodology &amp; Assumptions'!$B$5, 0)</f>
        <v/>
      </c>
      <c r="P333" s="10" t="inlineStr">
        <is>
          <t>Single Carrier (Band n50, 100MHz TDD)</t>
        </is>
      </c>
      <c r="Q333" s="13">
        <f>ROUNDUP(O333/'Methodology &amp; Assumptions'!$B$6, 0)</f>
        <v/>
      </c>
      <c r="R333" s="13" t="n">
        <v>1</v>
      </c>
      <c r="S333" s="14" t="n">
        <v>3.3</v>
      </c>
      <c r="T333" s="14" t="n">
        <v>4.56</v>
      </c>
      <c r="U333" s="26">
        <f>IF(X333&gt;='Methodology &amp; Assumptions'!$B$7, "Tier 1 Critical GIDA (Score ≥ 50.0)", IF(X333&gt;='Methodology &amp; Assumptions'!$B$8, "Tier 2 High GIDA (Score 40.0–49.9)", "Tier 3 Moderate GIDA (Score &lt; 40.0)"))</f>
        <v/>
      </c>
      <c r="V333" s="26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W333" s="28" t="n">
        <v>0.221</v>
      </c>
      <c r="X333" s="14" t="n">
        <v>47.2</v>
      </c>
      <c r="Y333" s="14">
        <f>ROUND(MIN(100, (X333/69.91)*100), 2)</f>
        <v/>
      </c>
    </row>
    <row r="334">
      <c r="A334" s="10" t="n">
        <v>4</v>
      </c>
      <c r="B334" s="10" t="n">
        <v>330</v>
      </c>
      <c r="C334" s="10" t="n">
        <v>3330</v>
      </c>
      <c r="D334" s="10" t="inlineStr">
        <is>
          <t>0402123020</t>
        </is>
      </c>
      <c r="E334" s="26" t="inlineStr">
        <is>
          <t>Region IV-A (CALABARZON)</t>
        </is>
      </c>
      <c r="F334" s="26" t="inlineStr">
        <is>
          <t>Cavite</t>
        </is>
      </c>
      <c r="G334" s="26" t="inlineStr">
        <is>
          <t>Gen. Mariano Alvarez</t>
        </is>
      </c>
      <c r="H334" s="26" t="inlineStr">
        <is>
          <t>Marcelino Memije</t>
        </is>
      </c>
      <c r="I334" s="27" t="n">
        <v>14.311851</v>
      </c>
      <c r="J334" s="27" t="n">
        <v>121.021532</v>
      </c>
      <c r="K334" s="10" t="inlineStr">
        <is>
          <t>R</t>
        </is>
      </c>
      <c r="L334" s="12" t="n">
        <v>5213</v>
      </c>
      <c r="M334" s="14" t="n">
        <v>3.4</v>
      </c>
      <c r="N334" s="12">
        <f>ROUND(L334/M334, 0)</f>
        <v/>
      </c>
      <c r="O334" s="12">
        <f>ROUND(N334*'Methodology &amp; Assumptions'!$B$5, 0)</f>
        <v/>
      </c>
      <c r="P334" s="10" t="inlineStr">
        <is>
          <t>Single Carrier (Band n50, 100MHz TDD)</t>
        </is>
      </c>
      <c r="Q334" s="13">
        <f>ROUNDUP(O334/'Methodology &amp; Assumptions'!$B$6, 0)</f>
        <v/>
      </c>
      <c r="R334" s="13" t="n">
        <v>1</v>
      </c>
      <c r="S334" s="14" t="n">
        <v>2.19</v>
      </c>
      <c r="T334" s="14" t="n">
        <v>3.07</v>
      </c>
      <c r="U334" s="26">
        <f>IF(X334&gt;='Methodology &amp; Assumptions'!$B$7, "Tier 1 Critical GIDA (Score ≥ 50.0)", IF(X334&gt;='Methodology &amp; Assumptions'!$B$8, "Tier 2 High GIDA (Score 40.0–49.9)", "Tier 3 Moderate GIDA (Score &lt; 40.0)"))</f>
        <v/>
      </c>
      <c r="V334" s="26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W334" s="28" t="n">
        <v>0.07200000000000001</v>
      </c>
      <c r="X334" s="14" t="n">
        <v>47.2</v>
      </c>
      <c r="Y334" s="14">
        <f>ROUND(MIN(100, (X334/69.91)*100), 2)</f>
        <v/>
      </c>
    </row>
    <row r="335">
      <c r="A335" s="10" t="n">
        <v>4</v>
      </c>
      <c r="B335" s="10" t="n">
        <v>331</v>
      </c>
      <c r="C335" s="10" t="n">
        <v>3331</v>
      </c>
      <c r="D335" s="10" t="inlineStr">
        <is>
          <t>PH0003331</t>
        </is>
      </c>
      <c r="E335" s="26" t="inlineStr">
        <is>
          <t>VIII</t>
        </is>
      </c>
      <c r="F335" s="26" t="inlineStr">
        <is>
          <t>Leyte</t>
        </is>
      </c>
      <c r="G335" s="26" t="inlineStr">
        <is>
          <t>Tacloban City</t>
        </is>
      </c>
      <c r="H335" s="26" t="inlineStr">
        <is>
          <t>Barangay 2</t>
        </is>
      </c>
      <c r="I335" s="27" t="n">
        <v>11.285807</v>
      </c>
      <c r="J335" s="27" t="n">
        <v>125.036356</v>
      </c>
      <c r="K335" s="10" t="inlineStr">
        <is>
          <t>R</t>
        </is>
      </c>
      <c r="L335" s="12" t="n">
        <v>2258</v>
      </c>
      <c r="M335" s="14" t="n">
        <v>3.8</v>
      </c>
      <c r="N335" s="12">
        <f>ROUND(L335/M335, 0)</f>
        <v/>
      </c>
      <c r="O335" s="12">
        <f>ROUND(N335*'Methodology &amp; Assumptions'!$B$5, 0)</f>
        <v/>
      </c>
      <c r="P335" s="10" t="inlineStr">
        <is>
          <t>Single Carrier (Band n50, 100MHz TDD)</t>
        </is>
      </c>
      <c r="Q335" s="13">
        <f>ROUNDUP(O335/'Methodology &amp; Assumptions'!$B$6, 0)</f>
        <v/>
      </c>
      <c r="R335" s="13" t="n">
        <v>1</v>
      </c>
      <c r="S335" s="14" t="n">
        <v>6.33</v>
      </c>
      <c r="T335" s="14" t="n">
        <v>8.67</v>
      </c>
      <c r="U335" s="26">
        <f>IF(X335&gt;='Methodology &amp; Assumptions'!$B$7, "Tier 1 Critical GIDA (Score ≥ 50.0)", IF(X335&gt;='Methodology &amp; Assumptions'!$B$8, "Tier 2 High GIDA (Score 40.0–49.9)", "Tier 3 Moderate GIDA (Score &lt; 40.0)"))</f>
        <v/>
      </c>
      <c r="V335" s="26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W335" s="28" t="n">
        <v>0.222</v>
      </c>
      <c r="X335" s="14" t="n">
        <v>47.2</v>
      </c>
      <c r="Y335" s="14">
        <f>ROUND(MIN(100, (X335/69.91)*100), 2)</f>
        <v/>
      </c>
    </row>
    <row r="336">
      <c r="A336" s="10" t="n">
        <v>4</v>
      </c>
      <c r="B336" s="10" t="n">
        <v>332</v>
      </c>
      <c r="C336" s="10" t="n">
        <v>3332</v>
      </c>
      <c r="D336" s="10" t="inlineStr">
        <is>
          <t>0201529022</t>
        </is>
      </c>
      <c r="E336" s="26" t="inlineStr">
        <is>
          <t>Region II (Cagayan Valley)</t>
        </is>
      </c>
      <c r="F336" s="26" t="inlineStr">
        <is>
          <t>Cagayan</t>
        </is>
      </c>
      <c r="G336" s="26" t="inlineStr">
        <is>
          <t>Tuguegarao City</t>
        </is>
      </c>
      <c r="H336" s="26" t="inlineStr">
        <is>
          <t>Cataggaman Viejo</t>
        </is>
      </c>
      <c r="I336" s="27" t="n">
        <v>17.596837</v>
      </c>
      <c r="J336" s="27" t="n">
        <v>121.707163</v>
      </c>
      <c r="K336" s="10" t="inlineStr">
        <is>
          <t>R</t>
        </is>
      </c>
      <c r="L336" s="12" t="n">
        <v>4626</v>
      </c>
      <c r="M336" s="14" t="n">
        <v>3.9</v>
      </c>
      <c r="N336" s="12">
        <f>ROUND(L336/M336, 0)</f>
        <v/>
      </c>
      <c r="O336" s="12">
        <f>ROUND(N336*'Methodology &amp; Assumptions'!$B$5, 0)</f>
        <v/>
      </c>
      <c r="P336" s="10" t="inlineStr">
        <is>
          <t>Single Carrier (Band n50, 100MHz TDD)</t>
        </is>
      </c>
      <c r="Q336" s="13">
        <f>ROUNDUP(O336/'Methodology &amp; Assumptions'!$B$6, 0)</f>
        <v/>
      </c>
      <c r="R336" s="13" t="n">
        <v>1</v>
      </c>
      <c r="S336" s="14" t="n">
        <v>4.04</v>
      </c>
      <c r="T336" s="14" t="n">
        <v>1.87</v>
      </c>
      <c r="U336" s="26">
        <f>IF(X336&gt;='Methodology &amp; Assumptions'!$B$7, "Tier 1 Critical GIDA (Score ≥ 50.0)", IF(X336&gt;='Methodology &amp; Assumptions'!$B$8, "Tier 2 High GIDA (Score 40.0–49.9)", "Tier 3 Moderate GIDA (Score &lt; 40.0)"))</f>
        <v/>
      </c>
      <c r="V336" s="26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W336" s="28" t="n">
        <v>0.083</v>
      </c>
      <c r="X336" s="14" t="n">
        <v>47.19</v>
      </c>
      <c r="Y336" s="14">
        <f>ROUND(MIN(100, (X336/69.91)*100), 2)</f>
        <v/>
      </c>
    </row>
    <row r="337">
      <c r="A337" s="10" t="n">
        <v>4</v>
      </c>
      <c r="B337" s="10" t="n">
        <v>333</v>
      </c>
      <c r="C337" s="10" t="n">
        <v>3333</v>
      </c>
      <c r="D337" s="10" t="inlineStr">
        <is>
          <t>0200906003</t>
        </is>
      </c>
      <c r="E337" s="26" t="inlineStr">
        <is>
          <t>Region II (Cagayan Valley)</t>
        </is>
      </c>
      <c r="F337" s="26" t="inlineStr">
        <is>
          <t>Batanes</t>
        </is>
      </c>
      <c r="G337" s="26" t="inlineStr">
        <is>
          <t>Uyugan</t>
        </is>
      </c>
      <c r="H337" s="26" t="inlineStr">
        <is>
          <t>Itbud</t>
        </is>
      </c>
      <c r="I337" s="27" t="n">
        <v>20.367452</v>
      </c>
      <c r="J337" s="27" t="n">
        <v>121.96264</v>
      </c>
      <c r="K337" s="10" t="inlineStr">
        <is>
          <t>R</t>
        </is>
      </c>
      <c r="L337" s="12" t="n">
        <v>533</v>
      </c>
      <c r="M337" s="14" t="n">
        <v>3</v>
      </c>
      <c r="N337" s="12">
        <f>ROUND(L337/M337, 0)</f>
        <v/>
      </c>
      <c r="O337" s="12">
        <f>ROUND(N337*'Methodology &amp; Assumptions'!$B$5, 0)</f>
        <v/>
      </c>
      <c r="P337" s="10" t="inlineStr">
        <is>
          <t>Single Carrier (Band n50, 100MHz TDD)</t>
        </is>
      </c>
      <c r="Q337" s="13">
        <f>ROUNDUP(O337/'Methodology &amp; Assumptions'!$B$6, 0)</f>
        <v/>
      </c>
      <c r="R337" s="13" t="n">
        <v>1</v>
      </c>
      <c r="S337" s="14" t="n">
        <v>215.09</v>
      </c>
      <c r="T337" s="14" t="n">
        <v>208.37</v>
      </c>
      <c r="U337" s="26">
        <f>IF(X337&gt;='Methodology &amp; Assumptions'!$B$7, "Tier 1 Critical GIDA (Score ≥ 50.0)", IF(X337&gt;='Methodology &amp; Assumptions'!$B$8, "Tier 2 High GIDA (Score 40.0–49.9)", "Tier 3 Moderate GIDA (Score &lt; 40.0)"))</f>
        <v/>
      </c>
      <c r="V337" s="26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W337" s="28" t="n">
        <v>0.083</v>
      </c>
      <c r="X337" s="14" t="n">
        <v>47.18</v>
      </c>
      <c r="Y337" s="14">
        <f>ROUND(MIN(100, (X337/69.91)*100), 2)</f>
        <v/>
      </c>
    </row>
    <row r="338">
      <c r="A338" s="10" t="n">
        <v>4</v>
      </c>
      <c r="B338" s="10" t="n">
        <v>334</v>
      </c>
      <c r="C338" s="10" t="n">
        <v>3334</v>
      </c>
      <c r="D338" s="10" t="inlineStr">
        <is>
          <t>PH0003334</t>
        </is>
      </c>
      <c r="E338" s="26" t="inlineStr">
        <is>
          <t>VIII</t>
        </is>
      </c>
      <c r="F338" s="26" t="inlineStr">
        <is>
          <t>Samar (Western Samar)</t>
        </is>
      </c>
      <c r="G338" s="26" t="inlineStr">
        <is>
          <t>Calbayog City</t>
        </is>
      </c>
      <c r="H338" s="26" t="inlineStr">
        <is>
          <t>Jimautan</t>
        </is>
      </c>
      <c r="I338" s="27" t="n">
        <v>12.144008</v>
      </c>
      <c r="J338" s="27" t="n">
        <v>124.609234</v>
      </c>
      <c r="K338" s="10" t="inlineStr">
        <is>
          <t>R</t>
        </is>
      </c>
      <c r="L338" s="12" t="n">
        <v>2229</v>
      </c>
      <c r="M338" s="14" t="n">
        <v>4.1</v>
      </c>
      <c r="N338" s="12">
        <f>ROUND(L338/M338, 0)</f>
        <v/>
      </c>
      <c r="O338" s="12">
        <f>ROUND(N338*'Methodology &amp; Assumptions'!$B$5, 0)</f>
        <v/>
      </c>
      <c r="P338" s="10" t="inlineStr">
        <is>
          <t>Single Carrier (Band n50, 100MHz TDD)</t>
        </is>
      </c>
      <c r="Q338" s="13">
        <f>ROUNDUP(O338/'Methodology &amp; Assumptions'!$B$6, 0)</f>
        <v/>
      </c>
      <c r="R338" s="13" t="n">
        <v>1</v>
      </c>
      <c r="S338" s="14" t="n">
        <v>75.52</v>
      </c>
      <c r="T338" s="14" t="n">
        <v>75.51000000000001</v>
      </c>
      <c r="U338" s="26">
        <f>IF(X338&gt;='Methodology &amp; Assumptions'!$B$7, "Tier 1 Critical GIDA (Score ≥ 50.0)", IF(X338&gt;='Methodology &amp; Assumptions'!$B$8, "Tier 2 High GIDA (Score 40.0–49.9)", "Tier 3 Moderate GIDA (Score &lt; 40.0)"))</f>
        <v/>
      </c>
      <c r="V338" s="26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W338" s="28" t="n">
        <v>0.222</v>
      </c>
      <c r="X338" s="14" t="n">
        <v>47.18</v>
      </c>
      <c r="Y338" s="14">
        <f>ROUND(MIN(100, (X338/69.91)*100), 2)</f>
        <v/>
      </c>
    </row>
    <row r="339">
      <c r="A339" s="10" t="n">
        <v>4</v>
      </c>
      <c r="B339" s="10" t="n">
        <v>335</v>
      </c>
      <c r="C339" s="10" t="n">
        <v>3335</v>
      </c>
      <c r="D339" s="10" t="inlineStr">
        <is>
          <t>1380400020</t>
        </is>
      </c>
      <c r="E339" s="26" t="inlineStr">
        <is>
          <t>National Capital Region (NCR)</t>
        </is>
      </c>
      <c r="F339" s="26" t="inlineStr">
        <is>
          <t>Third District (Not a Province)</t>
        </is>
      </c>
      <c r="G339" s="26" t="inlineStr">
        <is>
          <t>City of Malabon</t>
        </is>
      </c>
      <c r="H339" s="26" t="inlineStr">
        <is>
          <t>Tonsuya</t>
        </is>
      </c>
      <c r="I339" s="27" t="n">
        <v>14.663611</v>
      </c>
      <c r="J339" s="27" t="n">
        <v>120.9575</v>
      </c>
      <c r="K339" s="10" t="inlineStr">
        <is>
          <t>U</t>
        </is>
      </c>
      <c r="L339" s="12" t="n">
        <v>41165</v>
      </c>
      <c r="M339" s="14" t="n">
        <v>3.7</v>
      </c>
      <c r="N339" s="12">
        <f>ROUND(L339/M339, 0)</f>
        <v/>
      </c>
      <c r="O339" s="12">
        <f>ROUND(N339*'Methodology &amp; Assumptions'!$B$5, 0)</f>
        <v/>
      </c>
      <c r="P339" s="10" t="inlineStr">
        <is>
          <t>Single Carrier (Band n50, 100MHz TDD)</t>
        </is>
      </c>
      <c r="Q339" s="13">
        <f>ROUNDUP(O339/'Methodology &amp; Assumptions'!$B$6, 0)</f>
        <v/>
      </c>
      <c r="R339" s="13" t="n">
        <v>1</v>
      </c>
      <c r="S339" s="14" t="n">
        <v>0.43</v>
      </c>
      <c r="T339" s="14" t="n">
        <v>0.38</v>
      </c>
      <c r="U339" s="26">
        <f>IF(X339&gt;='Methodology &amp; Assumptions'!$B$7, "Tier 1 Critical GIDA (Score ≥ 50.0)", IF(X339&gt;='Methodology &amp; Assumptions'!$B$8, "Tier 2 High GIDA (Score 40.0–49.9)", "Tier 3 Moderate GIDA (Score &lt; 40.0)"))</f>
        <v/>
      </c>
      <c r="V339" s="26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W339" s="28" t="n">
        <v>0.109</v>
      </c>
      <c r="X339" s="14" t="n">
        <v>47.17</v>
      </c>
      <c r="Y339" s="14">
        <f>ROUND(MIN(100, (X339/69.91)*100), 2)</f>
        <v/>
      </c>
    </row>
    <row r="340">
      <c r="A340" s="10" t="n">
        <v>4</v>
      </c>
      <c r="B340" s="10" t="n">
        <v>336</v>
      </c>
      <c r="C340" s="10" t="n">
        <v>3336</v>
      </c>
      <c r="D340" s="10" t="inlineStr">
        <is>
          <t>1907004005</t>
        </is>
      </c>
      <c r="E340" s="26" t="inlineStr">
        <is>
          <t>Bangsamoro Autonomous Region In Muslim Mindanao (BARMM)</t>
        </is>
      </c>
      <c r="F340" s="26" t="inlineStr">
        <is>
          <t>Tawi-Tawi</t>
        </is>
      </c>
      <c r="G340" s="26" t="inlineStr">
        <is>
          <t>Simunul</t>
        </is>
      </c>
      <c r="H340" s="26" t="inlineStr">
        <is>
          <t>Tonggosong</t>
        </is>
      </c>
      <c r="I340" s="27" t="n">
        <v>4.92351</v>
      </c>
      <c r="J340" s="27" t="n">
        <v>119.819255</v>
      </c>
      <c r="K340" s="10" t="inlineStr">
        <is>
          <t>R</t>
        </is>
      </c>
      <c r="L340" s="12" t="n">
        <v>1675</v>
      </c>
      <c r="M340" s="14" t="n">
        <v>5.8</v>
      </c>
      <c r="N340" s="12">
        <f>ROUND(L340/M340, 0)</f>
        <v/>
      </c>
      <c r="O340" s="12">
        <f>ROUND(N340*'Methodology &amp; Assumptions'!$B$5, 0)</f>
        <v/>
      </c>
      <c r="P340" s="10" t="inlineStr">
        <is>
          <t>Single Carrier (Band n50, 100MHz TDD)</t>
        </is>
      </c>
      <c r="Q340" s="13">
        <f>ROUNDUP(O340/'Methodology &amp; Assumptions'!$B$6, 0)</f>
        <v/>
      </c>
      <c r="R340" s="13" t="n">
        <v>1</v>
      </c>
      <c r="S340" s="14" t="n">
        <v>999</v>
      </c>
      <c r="T340" s="14" t="n">
        <v>999</v>
      </c>
      <c r="U340" s="26">
        <f>IF(X340&gt;='Methodology &amp; Assumptions'!$B$7, "Tier 1 Critical GIDA (Score ≥ 50.0)", IF(X340&gt;='Methodology &amp; Assumptions'!$B$8, "Tier 2 High GIDA (Score 40.0–49.9)", "Tier 3 Moderate GIDA (Score &lt; 40.0)"))</f>
        <v/>
      </c>
      <c r="V340" s="26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W340" s="28" t="n">
        <v>0.11</v>
      </c>
      <c r="X340" s="14" t="n">
        <v>47.17</v>
      </c>
      <c r="Y340" s="14">
        <f>ROUND(MIN(100, (X340/69.91)*100), 2)</f>
        <v/>
      </c>
    </row>
    <row r="341">
      <c r="A341" s="10" t="n">
        <v>4</v>
      </c>
      <c r="B341" s="10" t="n">
        <v>337</v>
      </c>
      <c r="C341" s="10" t="n">
        <v>3337</v>
      </c>
      <c r="D341" s="10" t="inlineStr">
        <is>
          <t>PH0003337</t>
        </is>
      </c>
      <c r="E341" s="26" t="inlineStr">
        <is>
          <t>NIR</t>
        </is>
      </c>
      <c r="F341" s="26" t="inlineStr">
        <is>
          <t>Negros Occidental</t>
        </is>
      </c>
      <c r="G341" s="26" t="inlineStr">
        <is>
          <t>Bacolod City</t>
        </is>
      </c>
      <c r="H341" s="26" t="inlineStr">
        <is>
          <t>Barangay 8 (Pob.)</t>
        </is>
      </c>
      <c r="I341" s="27" t="n">
        <v>10.617084</v>
      </c>
      <c r="J341" s="27" t="n">
        <v>122.96091</v>
      </c>
      <c r="K341" s="10" t="inlineStr">
        <is>
          <t>R</t>
        </is>
      </c>
      <c r="L341" s="12" t="n">
        <v>2279</v>
      </c>
      <c r="M341" s="14" t="n">
        <v>3.8</v>
      </c>
      <c r="N341" s="12">
        <f>ROUND(L341/M341, 0)</f>
        <v/>
      </c>
      <c r="O341" s="12">
        <f>ROUND(N341*'Methodology &amp; Assumptions'!$B$5, 0)</f>
        <v/>
      </c>
      <c r="P341" s="10" t="inlineStr">
        <is>
          <t>Single Carrier (Band n50, 100MHz TDD)</t>
        </is>
      </c>
      <c r="Q341" s="13">
        <f>ROUNDUP(O341/'Methodology &amp; Assumptions'!$B$6, 0)</f>
        <v/>
      </c>
      <c r="R341" s="13" t="n">
        <v>1</v>
      </c>
      <c r="S341" s="14" t="n">
        <v>2.27</v>
      </c>
      <c r="T341" s="14" t="n">
        <v>1.77</v>
      </c>
      <c r="U341" s="26">
        <f>IF(X341&gt;='Methodology &amp; Assumptions'!$B$7, "Tier 1 Critical GIDA (Score ≥ 50.0)", IF(X341&gt;='Methodology &amp; Assumptions'!$B$8, "Tier 2 High GIDA (Score 40.0–49.9)", "Tier 3 Moderate GIDA (Score &lt; 40.0)"))</f>
        <v/>
      </c>
      <c r="V341" s="26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W341" s="28" t="n">
        <v>0.109</v>
      </c>
      <c r="X341" s="14" t="n">
        <v>47.16</v>
      </c>
      <c r="Y341" s="14">
        <f>ROUND(MIN(100, (X341/69.91)*100), 2)</f>
        <v/>
      </c>
    </row>
    <row r="342">
      <c r="A342" s="10" t="n">
        <v>4</v>
      </c>
      <c r="B342" s="10" t="n">
        <v>338</v>
      </c>
      <c r="C342" s="10" t="n">
        <v>3338</v>
      </c>
      <c r="D342" s="10" t="inlineStr">
        <is>
          <t>PH0003338</t>
        </is>
      </c>
      <c r="E342" s="26" t="inlineStr">
        <is>
          <t>VIII</t>
        </is>
      </c>
      <c r="F342" s="26" t="inlineStr">
        <is>
          <t>Samar (Western Samar)</t>
        </is>
      </c>
      <c r="G342" s="26" t="inlineStr">
        <is>
          <t>Calbayog City</t>
        </is>
      </c>
      <c r="H342" s="26" t="inlineStr">
        <is>
          <t>Tanval</t>
        </is>
      </c>
      <c r="I342" s="27" t="n">
        <v>12.186159</v>
      </c>
      <c r="J342" s="27" t="n">
        <v>124.695295</v>
      </c>
      <c r="K342" s="10" t="inlineStr">
        <is>
          <t>R</t>
        </is>
      </c>
      <c r="L342" s="12" t="n">
        <v>2229</v>
      </c>
      <c r="M342" s="14" t="n">
        <v>4.1</v>
      </c>
      <c r="N342" s="12">
        <f>ROUND(L342/M342, 0)</f>
        <v/>
      </c>
      <c r="O342" s="12">
        <f>ROUND(N342*'Methodology &amp; Assumptions'!$B$5, 0)</f>
        <v/>
      </c>
      <c r="P342" s="10" t="inlineStr">
        <is>
          <t>Single Carrier (Band n50, 100MHz TDD)</t>
        </is>
      </c>
      <c r="Q342" s="13">
        <f>ROUNDUP(O342/'Methodology &amp; Assumptions'!$B$6, 0)</f>
        <v/>
      </c>
      <c r="R342" s="13" t="n">
        <v>1</v>
      </c>
      <c r="S342" s="14" t="n">
        <v>80.14</v>
      </c>
      <c r="T342" s="14" t="n">
        <v>80.13</v>
      </c>
      <c r="U342" s="26">
        <f>IF(X342&gt;='Methodology &amp; Assumptions'!$B$7, "Tier 1 Critical GIDA (Score ≥ 50.0)", IF(X342&gt;='Methodology &amp; Assumptions'!$B$8, "Tier 2 High GIDA (Score 40.0–49.9)", "Tier 3 Moderate GIDA (Score &lt; 40.0)"))</f>
        <v/>
      </c>
      <c r="V342" s="26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W342" s="28" t="n">
        <v>0.222</v>
      </c>
      <c r="X342" s="14" t="n">
        <v>47.16</v>
      </c>
      <c r="Y342" s="14">
        <f>ROUND(MIN(100, (X342/69.91)*100), 2)</f>
        <v/>
      </c>
    </row>
    <row r="343">
      <c r="A343" s="10" t="n">
        <v>4</v>
      </c>
      <c r="B343" s="10" t="n">
        <v>339</v>
      </c>
      <c r="C343" s="10" t="n">
        <v>3339</v>
      </c>
      <c r="D343" s="10" t="inlineStr">
        <is>
          <t>PH0003339</t>
        </is>
      </c>
      <c r="E343" s="26" t="inlineStr">
        <is>
          <t>VIII</t>
        </is>
      </c>
      <c r="F343" s="26" t="inlineStr">
        <is>
          <t>Samar (Western Samar)</t>
        </is>
      </c>
      <c r="G343" s="26" t="inlineStr">
        <is>
          <t>Calbayog City</t>
        </is>
      </c>
      <c r="H343" s="26" t="inlineStr">
        <is>
          <t>Pinamorotan</t>
        </is>
      </c>
      <c r="I343" s="27" t="n">
        <v>12.19821</v>
      </c>
      <c r="J343" s="27" t="n">
        <v>124.78842</v>
      </c>
      <c r="K343" s="10" t="inlineStr">
        <is>
          <t>R</t>
        </is>
      </c>
      <c r="L343" s="12" t="n">
        <v>2229</v>
      </c>
      <c r="M343" s="14" t="n">
        <v>4.1</v>
      </c>
      <c r="N343" s="12">
        <f>ROUND(L343/M343, 0)</f>
        <v/>
      </c>
      <c r="O343" s="12">
        <f>ROUND(N343*'Methodology &amp; Assumptions'!$B$5, 0)</f>
        <v/>
      </c>
      <c r="P343" s="10" t="inlineStr">
        <is>
          <t>Single Carrier (Band n50, 100MHz TDD)</t>
        </is>
      </c>
      <c r="Q343" s="13">
        <f>ROUNDUP(O343/'Methodology &amp; Assumptions'!$B$6, 0)</f>
        <v/>
      </c>
      <c r="R343" s="13" t="n">
        <v>1</v>
      </c>
      <c r="S343" s="14" t="n">
        <v>88.06</v>
      </c>
      <c r="T343" s="14" t="n">
        <v>88.05</v>
      </c>
      <c r="U343" s="26">
        <f>IF(X343&gt;='Methodology &amp; Assumptions'!$B$7, "Tier 1 Critical GIDA (Score ≥ 50.0)", IF(X343&gt;='Methodology &amp; Assumptions'!$B$8, "Tier 2 High GIDA (Score 40.0–49.9)", "Tier 3 Moderate GIDA (Score &lt; 40.0)"))</f>
        <v/>
      </c>
      <c r="V343" s="26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W343" s="28" t="n">
        <v>0.222</v>
      </c>
      <c r="X343" s="14" t="n">
        <v>47.16</v>
      </c>
      <c r="Y343" s="14">
        <f>ROUND(MIN(100, (X343/69.91)*100), 2)</f>
        <v/>
      </c>
    </row>
    <row r="344">
      <c r="A344" s="10" t="n">
        <v>4</v>
      </c>
      <c r="B344" s="10" t="n">
        <v>340</v>
      </c>
      <c r="C344" s="10" t="n">
        <v>3340</v>
      </c>
      <c r="D344" s="10" t="inlineStr">
        <is>
          <t>PH0003340</t>
        </is>
      </c>
      <c r="E344" s="26" t="inlineStr">
        <is>
          <t>VIII</t>
        </is>
      </c>
      <c r="F344" s="26" t="inlineStr">
        <is>
          <t>Samar (Western Samar)</t>
        </is>
      </c>
      <c r="G344" s="26" t="inlineStr">
        <is>
          <t>Calbayog City</t>
        </is>
      </c>
      <c r="H344" s="26" t="inlineStr">
        <is>
          <t>Bagong Lipunan</t>
        </is>
      </c>
      <c r="I344" s="27" t="n">
        <v>12.18419</v>
      </c>
      <c r="J344" s="27" t="n">
        <v>124.65879</v>
      </c>
      <c r="K344" s="10" t="inlineStr">
        <is>
          <t>R</t>
        </is>
      </c>
      <c r="L344" s="12" t="n">
        <v>2229</v>
      </c>
      <c r="M344" s="14" t="n">
        <v>4.1</v>
      </c>
      <c r="N344" s="12">
        <f>ROUND(L344/M344, 0)</f>
        <v/>
      </c>
      <c r="O344" s="12">
        <f>ROUND(N344*'Methodology &amp; Assumptions'!$B$5, 0)</f>
        <v/>
      </c>
      <c r="P344" s="10" t="inlineStr">
        <is>
          <t>Single Carrier (Band n50, 100MHz TDD)</t>
        </is>
      </c>
      <c r="Q344" s="13">
        <f>ROUNDUP(O344/'Methodology &amp; Assumptions'!$B$6, 0)</f>
        <v/>
      </c>
      <c r="R344" s="13" t="n">
        <v>1</v>
      </c>
      <c r="S344" s="14" t="n">
        <v>77</v>
      </c>
      <c r="T344" s="14" t="n">
        <v>76.98999999999999</v>
      </c>
      <c r="U344" s="26">
        <f>IF(X344&gt;='Methodology &amp; Assumptions'!$B$7, "Tier 1 Critical GIDA (Score ≥ 50.0)", IF(X344&gt;='Methodology &amp; Assumptions'!$B$8, "Tier 2 High GIDA (Score 40.0–49.9)", "Tier 3 Moderate GIDA (Score &lt; 40.0)"))</f>
        <v/>
      </c>
      <c r="V344" s="26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W344" s="28" t="n">
        <v>0.222</v>
      </c>
      <c r="X344" s="14" t="n">
        <v>47.16</v>
      </c>
      <c r="Y344" s="14">
        <f>ROUND(MIN(100, (X344/69.91)*100), 2)</f>
        <v/>
      </c>
    </row>
    <row r="345">
      <c r="A345" s="10" t="n">
        <v>4</v>
      </c>
      <c r="B345" s="10" t="n">
        <v>341</v>
      </c>
      <c r="C345" s="10" t="n">
        <v>3341</v>
      </c>
      <c r="D345" s="10" t="inlineStr">
        <is>
          <t>PH0003341</t>
        </is>
      </c>
      <c r="E345" s="26" t="inlineStr">
        <is>
          <t>VIII</t>
        </is>
      </c>
      <c r="F345" s="26" t="inlineStr">
        <is>
          <t>Samar (Western Samar)</t>
        </is>
      </c>
      <c r="G345" s="26" t="inlineStr">
        <is>
          <t>Calbayog City</t>
        </is>
      </c>
      <c r="H345" s="26" t="inlineStr">
        <is>
          <t>Mancol</t>
        </is>
      </c>
      <c r="I345" s="27" t="n">
        <v>12.226307</v>
      </c>
      <c r="J345" s="27" t="n">
        <v>124.691536</v>
      </c>
      <c r="K345" s="10" t="inlineStr">
        <is>
          <t>R</t>
        </is>
      </c>
      <c r="L345" s="12" t="n">
        <v>2229</v>
      </c>
      <c r="M345" s="14" t="n">
        <v>4.1</v>
      </c>
      <c r="N345" s="12">
        <f>ROUND(L345/M345, 0)</f>
        <v/>
      </c>
      <c r="O345" s="12">
        <f>ROUND(N345*'Methodology &amp; Assumptions'!$B$5, 0)</f>
        <v/>
      </c>
      <c r="P345" s="10" t="inlineStr">
        <is>
          <t>Single Carrier (Band n50, 100MHz TDD)</t>
        </is>
      </c>
      <c r="Q345" s="13">
        <f>ROUNDUP(O345/'Methodology &amp; Assumptions'!$B$6, 0)</f>
        <v/>
      </c>
      <c r="R345" s="13" t="n">
        <v>1</v>
      </c>
      <c r="S345" s="14" t="n">
        <v>77.40000000000001</v>
      </c>
      <c r="T345" s="14" t="n">
        <v>77.38</v>
      </c>
      <c r="U345" s="26">
        <f>IF(X345&gt;='Methodology &amp; Assumptions'!$B$7, "Tier 1 Critical GIDA (Score ≥ 50.0)", IF(X345&gt;='Methodology &amp; Assumptions'!$B$8, "Tier 2 High GIDA (Score 40.0–49.9)", "Tier 3 Moderate GIDA (Score &lt; 40.0)"))</f>
        <v/>
      </c>
      <c r="V345" s="26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W345" s="28" t="n">
        <v>0.222</v>
      </c>
      <c r="X345" s="14" t="n">
        <v>47.16</v>
      </c>
      <c r="Y345" s="14">
        <f>ROUND(MIN(100, (X345/69.91)*100), 2)</f>
        <v/>
      </c>
    </row>
    <row r="346">
      <c r="A346" s="10" t="n">
        <v>4</v>
      </c>
      <c r="B346" s="10" t="n">
        <v>342</v>
      </c>
      <c r="C346" s="10" t="n">
        <v>3342</v>
      </c>
      <c r="D346" s="10" t="inlineStr">
        <is>
          <t>0403405038</t>
        </is>
      </c>
      <c r="E346" s="26" t="inlineStr">
        <is>
          <t>Region IV-A (CALABARZON)</t>
        </is>
      </c>
      <c r="F346" s="26" t="inlineStr">
        <is>
          <t>Laguna</t>
        </is>
      </c>
      <c r="G346" s="26" t="inlineStr">
        <is>
          <t>City of Calamba</t>
        </is>
      </c>
      <c r="H346" s="26" t="inlineStr">
        <is>
          <t>Barangay 1</t>
        </is>
      </c>
      <c r="I346" s="27" t="n">
        <v>14.204854</v>
      </c>
      <c r="J346" s="27" t="n">
        <v>121.158386</v>
      </c>
      <c r="K346" s="10" t="inlineStr">
        <is>
          <t>U</t>
        </is>
      </c>
      <c r="L346" s="12" t="n">
        <v>6383</v>
      </c>
      <c r="M346" s="14" t="n">
        <v>3.3</v>
      </c>
      <c r="N346" s="12">
        <f>ROUND(L346/M346, 0)</f>
        <v/>
      </c>
      <c r="O346" s="12">
        <f>ROUND(N346*'Methodology &amp; Assumptions'!$B$5, 0)</f>
        <v/>
      </c>
      <c r="P346" s="10" t="inlineStr">
        <is>
          <t>Single Carrier (Band n50, 100MHz TDD)</t>
        </is>
      </c>
      <c r="Q346" s="13">
        <f>ROUNDUP(O346/'Methodology &amp; Assumptions'!$B$6, 0)</f>
        <v/>
      </c>
      <c r="R346" s="13" t="n">
        <v>1</v>
      </c>
      <c r="S346" s="14" t="n">
        <v>1.57</v>
      </c>
      <c r="T346" s="14" t="n">
        <v>0.18</v>
      </c>
      <c r="U346" s="26">
        <f>IF(X346&gt;='Methodology &amp; Assumptions'!$B$7, "Tier 1 Critical GIDA (Score ≥ 50.0)", IF(X346&gt;='Methodology &amp; Assumptions'!$B$8, "Tier 2 High GIDA (Score 40.0–49.9)", "Tier 3 Moderate GIDA (Score &lt; 40.0)"))</f>
        <v/>
      </c>
      <c r="V346" s="26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W346" s="28" t="n">
        <v>0.07200000000000001</v>
      </c>
      <c r="X346" s="14" t="n">
        <v>47.16</v>
      </c>
      <c r="Y346" s="14">
        <f>ROUND(MIN(100, (X346/69.91)*100), 2)</f>
        <v/>
      </c>
    </row>
    <row r="347">
      <c r="A347" s="10" t="n">
        <v>4</v>
      </c>
      <c r="B347" s="10" t="n">
        <v>343</v>
      </c>
      <c r="C347" s="10" t="n">
        <v>3343</v>
      </c>
      <c r="D347" s="10" t="inlineStr">
        <is>
          <t>0403425024</t>
        </is>
      </c>
      <c r="E347" s="26" t="inlineStr">
        <is>
          <t>Region IV-A (CALABARZON)</t>
        </is>
      </c>
      <c r="F347" s="26" t="inlineStr">
        <is>
          <t>Laguna</t>
        </is>
      </c>
      <c r="G347" s="26" t="inlineStr">
        <is>
          <t>City of San Pedro</t>
        </is>
      </c>
      <c r="H347" s="26" t="inlineStr">
        <is>
          <t>Fatima</t>
        </is>
      </c>
      <c r="I347" s="27" t="n">
        <v>14.239815</v>
      </c>
      <c r="J347" s="27" t="n">
        <v>121.289955</v>
      </c>
      <c r="K347" s="10" t="inlineStr">
        <is>
          <t>U</t>
        </is>
      </c>
      <c r="L347" s="12" t="n">
        <v>7115</v>
      </c>
      <c r="M347" s="14" t="n">
        <v>3.3</v>
      </c>
      <c r="N347" s="12">
        <f>ROUND(L347/M347, 0)</f>
        <v/>
      </c>
      <c r="O347" s="12">
        <f>ROUND(N347*'Methodology &amp; Assumptions'!$B$5, 0)</f>
        <v/>
      </c>
      <c r="P347" s="10" t="inlineStr">
        <is>
          <t>Single Carrier (Band n50, 100MHz TDD)</t>
        </is>
      </c>
      <c r="Q347" s="13">
        <f>ROUNDUP(O347/'Methodology &amp; Assumptions'!$B$6, 0)</f>
        <v/>
      </c>
      <c r="R347" s="13" t="n">
        <v>1</v>
      </c>
      <c r="S347" s="14" t="n">
        <v>6.62</v>
      </c>
      <c r="T347" s="14" t="n">
        <v>6.73</v>
      </c>
      <c r="U347" s="26">
        <f>IF(X347&gt;='Methodology &amp; Assumptions'!$B$7, "Tier 1 Critical GIDA (Score ≥ 50.0)", IF(X347&gt;='Methodology &amp; Assumptions'!$B$8, "Tier 2 High GIDA (Score 40.0–49.9)", "Tier 3 Moderate GIDA (Score &lt; 40.0)"))</f>
        <v/>
      </c>
      <c r="V347" s="26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W347" s="28" t="n">
        <v>0.07200000000000001</v>
      </c>
      <c r="X347" s="14" t="n">
        <v>47.16</v>
      </c>
      <c r="Y347" s="14">
        <f>ROUND(MIN(100, (X347/69.91)*100), 2)</f>
        <v/>
      </c>
    </row>
    <row r="348">
      <c r="A348" s="10" t="n">
        <v>4</v>
      </c>
      <c r="B348" s="10" t="n">
        <v>344</v>
      </c>
      <c r="C348" s="10" t="n">
        <v>3344</v>
      </c>
      <c r="D348" s="10" t="inlineStr">
        <is>
          <t>PH0003344</t>
        </is>
      </c>
      <c r="E348" s="26" t="inlineStr">
        <is>
          <t>VIII</t>
        </is>
      </c>
      <c r="F348" s="26" t="inlineStr">
        <is>
          <t>Samar (Western Samar)</t>
        </is>
      </c>
      <c r="G348" s="26" t="inlineStr">
        <is>
          <t>Calbayog City</t>
        </is>
      </c>
      <c r="H348" s="26" t="inlineStr">
        <is>
          <t>Jacinto</t>
        </is>
      </c>
      <c r="I348" s="27" t="n">
        <v>12.21406</v>
      </c>
      <c r="J348" s="27" t="n">
        <v>124.64847</v>
      </c>
      <c r="K348" s="10" t="inlineStr">
        <is>
          <t>R</t>
        </is>
      </c>
      <c r="L348" s="12" t="n">
        <v>2229</v>
      </c>
      <c r="M348" s="14" t="n">
        <v>4.1</v>
      </c>
      <c r="N348" s="12">
        <f>ROUND(L348/M348, 0)</f>
        <v/>
      </c>
      <c r="O348" s="12">
        <f>ROUND(N348*'Methodology &amp; Assumptions'!$B$5, 0)</f>
        <v/>
      </c>
      <c r="P348" s="10" t="inlineStr">
        <is>
          <t>Single Carrier (Band n50, 100MHz TDD)</t>
        </is>
      </c>
      <c r="Q348" s="13">
        <f>ROUNDUP(O348/'Methodology &amp; Assumptions'!$B$6, 0)</f>
        <v/>
      </c>
      <c r="R348" s="13" t="n">
        <v>1</v>
      </c>
      <c r="S348" s="14" t="n">
        <v>74.19</v>
      </c>
      <c r="T348" s="14" t="n">
        <v>74.18000000000001</v>
      </c>
      <c r="U348" s="26">
        <f>IF(X348&gt;='Methodology &amp; Assumptions'!$B$7, "Tier 1 Critical GIDA (Score ≥ 50.0)", IF(X348&gt;='Methodology &amp; Assumptions'!$B$8, "Tier 2 High GIDA (Score 40.0–49.9)", "Tier 3 Moderate GIDA (Score &lt; 40.0)"))</f>
        <v/>
      </c>
      <c r="V348" s="26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W348" s="28" t="n">
        <v>0.222</v>
      </c>
      <c r="X348" s="14" t="n">
        <v>47.16</v>
      </c>
      <c r="Y348" s="14">
        <f>ROUND(MIN(100, (X348/69.91)*100), 2)</f>
        <v/>
      </c>
    </row>
    <row r="349">
      <c r="A349" s="10" t="n">
        <v>4</v>
      </c>
      <c r="B349" s="10" t="n">
        <v>345</v>
      </c>
      <c r="C349" s="10" t="n">
        <v>3345</v>
      </c>
      <c r="D349" s="10" t="inlineStr">
        <is>
          <t>PH0003345</t>
        </is>
      </c>
      <c r="E349" s="26" t="inlineStr">
        <is>
          <t>XI</t>
        </is>
      </c>
      <c r="F349" s="26" t="inlineStr">
        <is>
          <t>Davao Del Sur</t>
        </is>
      </c>
      <c r="G349" s="26" t="inlineStr">
        <is>
          <t>Davao City</t>
        </is>
      </c>
      <c r="H349" s="26" t="inlineStr">
        <is>
          <t>Barangay 40-D (Pob.)</t>
        </is>
      </c>
      <c r="I349" s="27" t="n">
        <v>7.190573</v>
      </c>
      <c r="J349" s="27" t="n">
        <v>125.504367</v>
      </c>
      <c r="K349" s="10" t="inlineStr">
        <is>
          <t>R</t>
        </is>
      </c>
      <c r="L349" s="12" t="n">
        <v>2280</v>
      </c>
      <c r="M349" s="14" t="n">
        <v>3.4</v>
      </c>
      <c r="N349" s="12">
        <f>ROUND(L349/M349, 0)</f>
        <v/>
      </c>
      <c r="O349" s="12">
        <f>ROUND(N349*'Methodology &amp; Assumptions'!$B$5, 0)</f>
        <v/>
      </c>
      <c r="P349" s="10" t="inlineStr">
        <is>
          <t>Single Carrier (Band n50, 100MHz TDD)</t>
        </is>
      </c>
      <c r="Q349" s="13">
        <f>ROUNDUP(O349/'Methodology &amp; Assumptions'!$B$6, 0)</f>
        <v/>
      </c>
      <c r="R349" s="13" t="n">
        <v>1</v>
      </c>
      <c r="S349" s="14" t="n">
        <v>5.49</v>
      </c>
      <c r="T349" s="14" t="n">
        <v>4.13</v>
      </c>
      <c r="U349" s="26">
        <f>IF(X349&gt;='Methodology &amp; Assumptions'!$B$7, "Tier 1 Critical GIDA (Score ≥ 50.0)", IF(X349&gt;='Methodology &amp; Assumptions'!$B$8, "Tier 2 High GIDA (Score 40.0–49.9)", "Tier 3 Moderate GIDA (Score &lt; 40.0)"))</f>
        <v/>
      </c>
      <c r="V349" s="26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W349" s="28" t="n">
        <v>0.119</v>
      </c>
      <c r="X349" s="14" t="n">
        <v>47.15</v>
      </c>
      <c r="Y349" s="14">
        <f>ROUND(MIN(100, (X349/69.91)*100), 2)</f>
        <v/>
      </c>
    </row>
    <row r="350">
      <c r="A350" s="10" t="n">
        <v>4</v>
      </c>
      <c r="B350" s="10" t="n">
        <v>346</v>
      </c>
      <c r="C350" s="10" t="n">
        <v>3346</v>
      </c>
      <c r="D350" s="10" t="inlineStr">
        <is>
          <t>PH0003346</t>
        </is>
      </c>
      <c r="E350" s="26" t="inlineStr">
        <is>
          <t>VIII</t>
        </is>
      </c>
      <c r="F350" s="26" t="inlineStr">
        <is>
          <t>Samar (Western Samar)</t>
        </is>
      </c>
      <c r="G350" s="26" t="inlineStr">
        <is>
          <t>Calbayog City</t>
        </is>
      </c>
      <c r="H350" s="26" t="inlineStr">
        <is>
          <t>Buenavista</t>
        </is>
      </c>
      <c r="I350" s="27" t="n">
        <v>12.23594</v>
      </c>
      <c r="J350" s="27" t="n">
        <v>124.65682</v>
      </c>
      <c r="K350" s="10" t="inlineStr">
        <is>
          <t>R</t>
        </is>
      </c>
      <c r="L350" s="12" t="n">
        <v>2229</v>
      </c>
      <c r="M350" s="14" t="n">
        <v>4.1</v>
      </c>
      <c r="N350" s="12">
        <f>ROUND(L350/M350, 0)</f>
        <v/>
      </c>
      <c r="O350" s="12">
        <f>ROUND(N350*'Methodology &amp; Assumptions'!$B$5, 0)</f>
        <v/>
      </c>
      <c r="P350" s="10" t="inlineStr">
        <is>
          <t>Single Carrier (Band n50, 100MHz TDD)</t>
        </is>
      </c>
      <c r="Q350" s="13">
        <f>ROUNDUP(O350/'Methodology &amp; Assumptions'!$B$6, 0)</f>
        <v/>
      </c>
      <c r="R350" s="13" t="n">
        <v>1</v>
      </c>
      <c r="S350" s="14" t="n">
        <v>73.62</v>
      </c>
      <c r="T350" s="14" t="n">
        <v>73.61</v>
      </c>
      <c r="U350" s="26">
        <f>IF(X350&gt;='Methodology &amp; Assumptions'!$B$7, "Tier 1 Critical GIDA (Score ≥ 50.0)", IF(X350&gt;='Methodology &amp; Assumptions'!$B$8, "Tier 2 High GIDA (Score 40.0–49.9)", "Tier 3 Moderate GIDA (Score &lt; 40.0)"))</f>
        <v/>
      </c>
      <c r="V350" s="26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W350" s="28" t="n">
        <v>0.222</v>
      </c>
      <c r="X350" s="14" t="n">
        <v>47.15</v>
      </c>
      <c r="Y350" s="14">
        <f>ROUND(MIN(100, (X350/69.91)*100), 2)</f>
        <v/>
      </c>
    </row>
    <row r="351">
      <c r="A351" s="10" t="n">
        <v>4</v>
      </c>
      <c r="B351" s="10" t="n">
        <v>347</v>
      </c>
      <c r="C351" s="10" t="n">
        <v>3347</v>
      </c>
      <c r="D351" s="10" t="inlineStr">
        <is>
          <t>0806025028</t>
        </is>
      </c>
      <c r="E351" s="26" t="inlineStr">
        <is>
          <t>Region VIII (Eastern Visayas)</t>
        </is>
      </c>
      <c r="F351" s="26" t="inlineStr">
        <is>
          <t>Samar</t>
        </is>
      </c>
      <c r="G351" s="26" t="inlineStr">
        <is>
          <t>San Jorge</t>
        </is>
      </c>
      <c r="H351" s="26" t="inlineStr">
        <is>
          <t>Gayondato</t>
        </is>
      </c>
      <c r="I351" s="27" t="n">
        <v>12.03878</v>
      </c>
      <c r="J351" s="27" t="n">
        <v>124.89647</v>
      </c>
      <c r="K351" s="10" t="inlineStr">
        <is>
          <t>R</t>
        </is>
      </c>
      <c r="L351" s="12" t="n">
        <v>251</v>
      </c>
      <c r="M351" s="14" t="n">
        <v>4.1</v>
      </c>
      <c r="N351" s="12">
        <f>ROUND(L351/M351, 0)</f>
        <v/>
      </c>
      <c r="O351" s="12">
        <f>ROUND(N351*'Methodology &amp; Assumptions'!$B$5, 0)</f>
        <v/>
      </c>
      <c r="P351" s="10" t="inlineStr">
        <is>
          <t>Single Carrier (Band n50, 100MHz TDD)</t>
        </is>
      </c>
      <c r="Q351" s="13">
        <f>ROUNDUP(O351/'Methodology &amp; Assumptions'!$B$6, 0)</f>
        <v/>
      </c>
      <c r="R351" s="13" t="n">
        <v>1</v>
      </c>
      <c r="S351" s="14" t="n">
        <v>85.20999999999999</v>
      </c>
      <c r="T351" s="14" t="n">
        <v>85.16</v>
      </c>
      <c r="U351" s="26">
        <f>IF(X351&gt;='Methodology &amp; Assumptions'!$B$7, "Tier 1 Critical GIDA (Score ≥ 50.0)", IF(X351&gt;='Methodology &amp; Assumptions'!$B$8, "Tier 2 High GIDA (Score 40.0–49.9)", "Tier 3 Moderate GIDA (Score &lt; 40.0)"))</f>
        <v/>
      </c>
      <c r="V351" s="26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W351" s="28" t="n">
        <v>0.237</v>
      </c>
      <c r="X351" s="14" t="n">
        <v>47.15</v>
      </c>
      <c r="Y351" s="14">
        <f>ROUND(MIN(100, (X351/69.91)*100), 2)</f>
        <v/>
      </c>
    </row>
    <row r="352">
      <c r="A352" s="10" t="n">
        <v>4</v>
      </c>
      <c r="B352" s="10" t="n">
        <v>348</v>
      </c>
      <c r="C352" s="10" t="n">
        <v>3348</v>
      </c>
      <c r="D352" s="10" t="inlineStr">
        <is>
          <t>PH0003348</t>
        </is>
      </c>
      <c r="E352" s="26" t="inlineStr">
        <is>
          <t>VI</t>
        </is>
      </c>
      <c r="F352" s="26" t="inlineStr">
        <is>
          <t>Iloilo</t>
        </is>
      </c>
      <c r="G352" s="26" t="inlineStr">
        <is>
          <t>Iloilo City</t>
        </is>
      </c>
      <c r="H352" s="26" t="inlineStr">
        <is>
          <t>Santo Rosario-Duran</t>
        </is>
      </c>
      <c r="I352" s="27" t="n">
        <v>10.692501</v>
      </c>
      <c r="J352" s="27" t="n">
        <v>122.57674</v>
      </c>
      <c r="K352" s="10" t="inlineStr">
        <is>
          <t>R</t>
        </is>
      </c>
      <c r="L352" s="12" t="n">
        <v>2230</v>
      </c>
      <c r="M352" s="14" t="n">
        <v>3.8</v>
      </c>
      <c r="N352" s="12">
        <f>ROUND(L352/M352, 0)</f>
        <v/>
      </c>
      <c r="O352" s="12">
        <f>ROUND(N352*'Methodology &amp; Assumptions'!$B$5, 0)</f>
        <v/>
      </c>
      <c r="P352" s="10" t="inlineStr">
        <is>
          <t>Single Carrier (Band n50, 100MHz TDD)</t>
        </is>
      </c>
      <c r="Q352" s="13">
        <f>ROUNDUP(O352/'Methodology &amp; Assumptions'!$B$6, 0)</f>
        <v/>
      </c>
      <c r="R352" s="13" t="n">
        <v>1</v>
      </c>
      <c r="S352" s="14" t="n">
        <v>2.55</v>
      </c>
      <c r="T352" s="14" t="n">
        <v>1.24</v>
      </c>
      <c r="U352" s="26">
        <f>IF(X352&gt;='Methodology &amp; Assumptions'!$B$7, "Tier 1 Critical GIDA (Score ≥ 50.0)", IF(X352&gt;='Methodology &amp; Assumptions'!$B$8, "Tier 2 High GIDA (Score 40.0–49.9)", "Tier 3 Moderate GIDA (Score &lt; 40.0)"))</f>
        <v/>
      </c>
      <c r="V352" s="26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W352" s="28" t="n">
        <v>0.156</v>
      </c>
      <c r="X352" s="14" t="n">
        <v>47.15</v>
      </c>
      <c r="Y352" s="14">
        <f>ROUND(MIN(100, (X352/69.91)*100), 2)</f>
        <v/>
      </c>
    </row>
    <row r="353">
      <c r="A353" s="10" t="n">
        <v>4</v>
      </c>
      <c r="B353" s="10" t="n">
        <v>349</v>
      </c>
      <c r="C353" s="10" t="n">
        <v>3349</v>
      </c>
      <c r="D353" s="10" t="inlineStr">
        <is>
          <t>1408104004</t>
        </is>
      </c>
      <c r="E353" s="26" t="inlineStr">
        <is>
          <t>Cordillera Administrative Region (CAR)</t>
        </is>
      </c>
      <c r="F353" s="26" t="inlineStr">
        <is>
          <t>Apayao</t>
        </is>
      </c>
      <c r="G353" s="26" t="inlineStr">
        <is>
          <t>Kabugao</t>
        </is>
      </c>
      <c r="H353" s="26" t="inlineStr">
        <is>
          <t>Bulu</t>
        </is>
      </c>
      <c r="I353" s="27" t="n">
        <v>17.98563</v>
      </c>
      <c r="J353" s="27" t="n">
        <v>121.28294</v>
      </c>
      <c r="K353" s="10" t="inlineStr">
        <is>
          <t>R</t>
        </is>
      </c>
      <c r="L353" s="12" t="n">
        <v>408</v>
      </c>
      <c r="M353" s="14" t="n">
        <v>4.2</v>
      </c>
      <c r="N353" s="12">
        <f>ROUND(L353/M353, 0)</f>
        <v/>
      </c>
      <c r="O353" s="12">
        <f>ROUND(N353*'Methodology &amp; Assumptions'!$B$5, 0)</f>
        <v/>
      </c>
      <c r="P353" s="10" t="inlineStr">
        <is>
          <t>Single Carrier (Band n50, 100MHz TDD)</t>
        </is>
      </c>
      <c r="Q353" s="13">
        <f>ROUNDUP(O353/'Methodology &amp; Assumptions'!$B$6, 0)</f>
        <v/>
      </c>
      <c r="R353" s="13" t="n">
        <v>1</v>
      </c>
      <c r="S353" s="14" t="n">
        <v>11.41</v>
      </c>
      <c r="T353" s="14" t="n">
        <v>0.21</v>
      </c>
      <c r="U353" s="26">
        <f>IF(X353&gt;='Methodology &amp; Assumptions'!$B$7, "Tier 1 Critical GIDA (Score ≥ 50.0)", IF(X353&gt;='Methodology &amp; Assumptions'!$B$8, "Tier 2 High GIDA (Score 40.0–49.9)", "Tier 3 Moderate GIDA (Score &lt; 40.0)"))</f>
        <v/>
      </c>
      <c r="V353" s="26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W353" s="28" t="n">
        <v>0.109</v>
      </c>
      <c r="X353" s="14" t="n">
        <v>47.15</v>
      </c>
      <c r="Y353" s="14">
        <f>ROUND(MIN(100, (X353/69.91)*100), 2)</f>
        <v/>
      </c>
    </row>
    <row r="354">
      <c r="A354" s="10" t="n">
        <v>4</v>
      </c>
      <c r="B354" s="10" t="n">
        <v>350</v>
      </c>
      <c r="C354" s="10" t="n">
        <v>3350</v>
      </c>
      <c r="D354" s="10" t="inlineStr">
        <is>
          <t>1908822003</t>
        </is>
      </c>
      <c r="E354" s="26" t="inlineStr">
        <is>
          <t>Bangsamoro Autonomous Region In Muslim Mindanao (BARMM)</t>
        </is>
      </c>
      <c r="F354" s="26" t="inlineStr">
        <is>
          <t>Maguindanao del Sur</t>
        </is>
      </c>
      <c r="G354" s="26" t="inlineStr">
        <is>
          <t>South Upi</t>
        </is>
      </c>
      <c r="H354" s="26" t="inlineStr">
        <is>
          <t>Itaw</t>
        </is>
      </c>
      <c r="I354" s="27" t="n">
        <v>17.255073</v>
      </c>
      <c r="J354" s="27" t="n">
        <v>122.229117</v>
      </c>
      <c r="K354" s="10" t="inlineStr">
        <is>
          <t>R</t>
        </is>
      </c>
      <c r="L354" s="12" t="n">
        <v>1755</v>
      </c>
      <c r="M354" s="14" t="n">
        <v>4.7</v>
      </c>
      <c r="N354" s="12">
        <f>ROUND(L354/M354, 0)</f>
        <v/>
      </c>
      <c r="O354" s="12">
        <f>ROUND(N354*'Methodology &amp; Assumptions'!$B$5, 0)</f>
        <v/>
      </c>
      <c r="P354" s="10" t="inlineStr">
        <is>
          <t>Single Carrier (Band n50, 100MHz TDD)</t>
        </is>
      </c>
      <c r="Q354" s="13">
        <f>ROUNDUP(O354/'Methodology &amp; Assumptions'!$B$6, 0)</f>
        <v/>
      </c>
      <c r="R354" s="13" t="n">
        <v>1</v>
      </c>
      <c r="S354" s="14" t="n">
        <v>29.45</v>
      </c>
      <c r="T354" s="14" t="n">
        <v>34.33</v>
      </c>
      <c r="U354" s="26">
        <f>IF(X354&gt;='Methodology &amp; Assumptions'!$B$7, "Tier 1 Critical GIDA (Score ≥ 50.0)", IF(X354&gt;='Methodology &amp; Assumptions'!$B$8, "Tier 2 High GIDA (Score 40.0–49.9)", "Tier 3 Moderate GIDA (Score &lt; 40.0)"))</f>
        <v/>
      </c>
      <c r="V354" s="26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W354" s="28" t="n">
        <v>0.11</v>
      </c>
      <c r="X354" s="14" t="n">
        <v>47.15</v>
      </c>
      <c r="Y354" s="14">
        <f>ROUND(MIN(100, (X354/69.91)*100), 2)</f>
        <v/>
      </c>
    </row>
    <row r="355">
      <c r="A355" s="10" t="n">
        <v>4</v>
      </c>
      <c r="B355" s="10" t="n">
        <v>351</v>
      </c>
      <c r="C355" s="10" t="n">
        <v>3351</v>
      </c>
      <c r="D355" s="10" t="inlineStr">
        <is>
          <t>1907004010</t>
        </is>
      </c>
      <c r="E355" s="26" t="inlineStr">
        <is>
          <t>Bangsamoro Autonomous Region In Muslim Mindanao (BARMM)</t>
        </is>
      </c>
      <c r="F355" s="26" t="inlineStr">
        <is>
          <t>Tawi-Tawi</t>
        </is>
      </c>
      <c r="G355" s="26" t="inlineStr">
        <is>
          <t>Simunul</t>
        </is>
      </c>
      <c r="H355" s="26" t="inlineStr">
        <is>
          <t>Maruwa</t>
        </is>
      </c>
      <c r="I355" s="27" t="n">
        <v>14.96818</v>
      </c>
      <c r="J355" s="27" t="n">
        <v>121.78385</v>
      </c>
      <c r="K355" s="10" t="inlineStr">
        <is>
          <t>R</t>
        </is>
      </c>
      <c r="L355" s="12" t="n">
        <v>1150</v>
      </c>
      <c r="M355" s="14" t="n">
        <v>5.8</v>
      </c>
      <c r="N355" s="12">
        <f>ROUND(L355/M355, 0)</f>
        <v/>
      </c>
      <c r="O355" s="12">
        <f>ROUND(N355*'Methodology &amp; Assumptions'!$B$5, 0)</f>
        <v/>
      </c>
      <c r="P355" s="10" t="inlineStr">
        <is>
          <t>Single Carrier (Band n50, 100MHz TDD)</t>
        </is>
      </c>
      <c r="Q355" s="13">
        <f>ROUNDUP(O355/'Methodology &amp; Assumptions'!$B$6, 0)</f>
        <v/>
      </c>
      <c r="R355" s="13" t="n">
        <v>1</v>
      </c>
      <c r="S355" s="14" t="n">
        <v>27.05</v>
      </c>
      <c r="T355" s="14" t="n">
        <v>69.18000000000001</v>
      </c>
      <c r="U355" s="26">
        <f>IF(X355&gt;='Methodology &amp; Assumptions'!$B$7, "Tier 1 Critical GIDA (Score ≥ 50.0)", IF(X355&gt;='Methodology &amp; Assumptions'!$B$8, "Tier 2 High GIDA (Score 40.0–49.9)", "Tier 3 Moderate GIDA (Score &lt; 40.0)"))</f>
        <v/>
      </c>
      <c r="V355" s="26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W355" s="28" t="n">
        <v>0.11</v>
      </c>
      <c r="X355" s="14" t="n">
        <v>47.15</v>
      </c>
      <c r="Y355" s="14">
        <f>ROUND(MIN(100, (X355/69.91)*100), 2)</f>
        <v/>
      </c>
    </row>
    <row r="356">
      <c r="A356" s="10" t="n">
        <v>4</v>
      </c>
      <c r="B356" s="10" t="n">
        <v>352</v>
      </c>
      <c r="C356" s="10" t="n">
        <v>3352</v>
      </c>
      <c r="D356" s="10" t="inlineStr">
        <is>
          <t>1705301020</t>
        </is>
      </c>
      <c r="E356" s="26" t="inlineStr">
        <is>
          <t>MIMAROPA Region</t>
        </is>
      </c>
      <c r="F356" s="26" t="inlineStr">
        <is>
          <t>Palawan</t>
        </is>
      </c>
      <c r="G356" s="26" t="inlineStr">
        <is>
          <t>Aborlan</t>
        </is>
      </c>
      <c r="H356" s="26" t="inlineStr">
        <is>
          <t>Culandanum</t>
        </is>
      </c>
      <c r="I356" s="27" t="n">
        <v>9.555598</v>
      </c>
      <c r="J356" s="27" t="n">
        <v>118.297138</v>
      </c>
      <c r="K356" s="10" t="inlineStr">
        <is>
          <t>R</t>
        </is>
      </c>
      <c r="L356" s="12" t="n">
        <v>1784</v>
      </c>
      <c r="M356" s="14" t="n">
        <v>3.9</v>
      </c>
      <c r="N356" s="12">
        <f>ROUND(L356/M356, 0)</f>
        <v/>
      </c>
      <c r="O356" s="12">
        <f>ROUND(N356*'Methodology &amp; Assumptions'!$B$5, 0)</f>
        <v/>
      </c>
      <c r="P356" s="10" t="inlineStr">
        <is>
          <t>Single Carrier (Band n50, 100MHz TDD)</t>
        </is>
      </c>
      <c r="Q356" s="13">
        <f>ROUNDUP(O356/'Methodology &amp; Assumptions'!$B$6, 0)</f>
        <v/>
      </c>
      <c r="R356" s="13" t="n">
        <v>1</v>
      </c>
      <c r="S356" s="14" t="n">
        <v>52.08</v>
      </c>
      <c r="T356" s="14" t="n">
        <v>54.03</v>
      </c>
      <c r="U356" s="26">
        <f>IF(X356&gt;='Methodology &amp; Assumptions'!$B$7, "Tier 1 Critical GIDA (Score ≥ 50.0)", IF(X356&gt;='Methodology &amp; Assumptions'!$B$8, "Tier 2 High GIDA (Score 40.0–49.9)", "Tier 3 Moderate GIDA (Score &lt; 40.0)"))</f>
        <v/>
      </c>
      <c r="V356" s="26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W356" s="28" t="n">
        <v>0.15</v>
      </c>
      <c r="X356" s="14" t="n">
        <v>47.14</v>
      </c>
      <c r="Y356" s="14">
        <f>ROUND(MIN(100, (X356/69.91)*100), 2)</f>
        <v/>
      </c>
    </row>
    <row r="357">
      <c r="A357" s="10" t="n">
        <v>4</v>
      </c>
      <c r="B357" s="10" t="n">
        <v>353</v>
      </c>
      <c r="C357" s="10" t="n">
        <v>3353</v>
      </c>
      <c r="D357" s="10" t="inlineStr">
        <is>
          <t>0102820008</t>
        </is>
      </c>
      <c r="E357" s="26" t="inlineStr">
        <is>
          <t>Region I (Ilocos Region)</t>
        </is>
      </c>
      <c r="F357" s="26" t="inlineStr">
        <is>
          <t>Ilocos Norte</t>
        </is>
      </c>
      <c r="G357" s="26" t="inlineStr">
        <is>
          <t>San Nicolas</t>
        </is>
      </c>
      <c r="H357" s="26" t="inlineStr">
        <is>
          <t>San Fernando</t>
        </is>
      </c>
      <c r="I357" s="27" t="n">
        <v>18.152495</v>
      </c>
      <c r="J357" s="27" t="n">
        <v>120.600759</v>
      </c>
      <c r="K357" s="10" t="inlineStr">
        <is>
          <t>R</t>
        </is>
      </c>
      <c r="L357" s="12" t="n">
        <v>1148</v>
      </c>
      <c r="M357" s="14" t="n">
        <v>3.7</v>
      </c>
      <c r="N357" s="12">
        <f>ROUND(L357/M357, 0)</f>
        <v/>
      </c>
      <c r="O357" s="12">
        <f>ROUND(N357*'Methodology &amp; Assumptions'!$B$5, 0)</f>
        <v/>
      </c>
      <c r="P357" s="10" t="inlineStr">
        <is>
          <t>Single Carrier (Band n50, 100MHz TDD)</t>
        </is>
      </c>
      <c r="Q357" s="13">
        <f>ROUNDUP(O357/'Methodology &amp; Assumptions'!$B$6, 0)</f>
        <v/>
      </c>
      <c r="R357" s="13" t="n">
        <v>1</v>
      </c>
      <c r="S357" s="14" t="n">
        <v>2.13</v>
      </c>
      <c r="T357" s="14" t="n">
        <v>1.53</v>
      </c>
      <c r="U357" s="26">
        <f>IF(X357&gt;='Methodology &amp; Assumptions'!$B$7, "Tier 1 Critical GIDA (Score ≥ 50.0)", IF(X357&gt;='Methodology &amp; Assumptions'!$B$8, "Tier 2 High GIDA (Score 40.0–49.9)", "Tier 3 Moderate GIDA (Score &lt; 40.0)"))</f>
        <v/>
      </c>
      <c r="V357" s="26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W357" s="28" t="n">
        <v>0.083</v>
      </c>
      <c r="X357" s="14" t="n">
        <v>47.13</v>
      </c>
      <c r="Y357" s="14">
        <f>ROUND(MIN(100, (X357/69.91)*100), 2)</f>
        <v/>
      </c>
    </row>
    <row r="358">
      <c r="A358" s="10" t="n">
        <v>4</v>
      </c>
      <c r="B358" s="10" t="n">
        <v>354</v>
      </c>
      <c r="C358" s="10" t="n">
        <v>3354</v>
      </c>
      <c r="D358" s="10" t="inlineStr">
        <is>
          <t>1907004006</t>
        </is>
      </c>
      <c r="E358" s="26" t="inlineStr">
        <is>
          <t>Bangsamoro Autonomous Region In Muslim Mindanao (BARMM)</t>
        </is>
      </c>
      <c r="F358" s="26" t="inlineStr">
        <is>
          <t>Tawi-Tawi</t>
        </is>
      </c>
      <c r="G358" s="26" t="inlineStr">
        <is>
          <t>Simunul</t>
        </is>
      </c>
      <c r="H358" s="26" t="inlineStr">
        <is>
          <t>Tubig Indangan</t>
        </is>
      </c>
      <c r="I358" s="27" t="n">
        <v>17.255869</v>
      </c>
      <c r="J358" s="27" t="n">
        <v>122.229913</v>
      </c>
      <c r="K358" s="10" t="inlineStr">
        <is>
          <t>R</t>
        </is>
      </c>
      <c r="L358" s="12" t="n">
        <v>4140</v>
      </c>
      <c r="M358" s="14" t="n">
        <v>5.8</v>
      </c>
      <c r="N358" s="12">
        <f>ROUND(L358/M358, 0)</f>
        <v/>
      </c>
      <c r="O358" s="12">
        <f>ROUND(N358*'Methodology &amp; Assumptions'!$B$5, 0)</f>
        <v/>
      </c>
      <c r="P358" s="10" t="inlineStr">
        <is>
          <t>Single Carrier (Band n50, 100MHz TDD)</t>
        </is>
      </c>
      <c r="Q358" s="13">
        <f>ROUNDUP(O358/'Methodology &amp; Assumptions'!$B$6, 0)</f>
        <v/>
      </c>
      <c r="R358" s="13" t="n">
        <v>1</v>
      </c>
      <c r="S358" s="14" t="n">
        <v>29.57</v>
      </c>
      <c r="T358" s="14" t="n">
        <v>34.44</v>
      </c>
      <c r="U358" s="26">
        <f>IF(X358&gt;='Methodology &amp; Assumptions'!$B$7, "Tier 1 Critical GIDA (Score ≥ 50.0)", IF(X358&gt;='Methodology &amp; Assumptions'!$B$8, "Tier 2 High GIDA (Score 40.0–49.9)", "Tier 3 Moderate GIDA (Score &lt; 40.0)"))</f>
        <v/>
      </c>
      <c r="V358" s="26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W358" s="28" t="n">
        <v>0.11</v>
      </c>
      <c r="X358" s="14" t="n">
        <v>47.13</v>
      </c>
      <c r="Y358" s="14">
        <f>ROUND(MIN(100, (X358/69.91)*100), 2)</f>
        <v/>
      </c>
    </row>
    <row r="359">
      <c r="A359" s="10" t="n">
        <v>4</v>
      </c>
      <c r="B359" s="10" t="n">
        <v>355</v>
      </c>
      <c r="C359" s="10" t="n">
        <v>3355</v>
      </c>
      <c r="D359" s="10" t="inlineStr">
        <is>
          <t>PH0003355</t>
        </is>
      </c>
      <c r="E359" s="26" t="inlineStr">
        <is>
          <t>CAR</t>
        </is>
      </c>
      <c r="F359" s="26" t="inlineStr">
        <is>
          <t>Benguet</t>
        </is>
      </c>
      <c r="G359" s="26" t="inlineStr">
        <is>
          <t>Baguio City</t>
        </is>
      </c>
      <c r="H359" s="26" t="inlineStr">
        <is>
          <t>Market Subdivision, Upper</t>
        </is>
      </c>
      <c r="I359" s="27" t="n">
        <v>16.406945</v>
      </c>
      <c r="J359" s="27" t="n">
        <v>120.539797</v>
      </c>
      <c r="K359" s="10" t="inlineStr">
        <is>
          <t>R</t>
        </is>
      </c>
      <c r="L359" s="12" t="n">
        <v>2260</v>
      </c>
      <c r="M359" s="14" t="n">
        <v>3.5</v>
      </c>
      <c r="N359" s="12">
        <f>ROUND(L359/M359, 0)</f>
        <v/>
      </c>
      <c r="O359" s="12">
        <f>ROUND(N359*'Methodology &amp; Assumptions'!$B$5, 0)</f>
        <v/>
      </c>
      <c r="P359" s="10" t="inlineStr">
        <is>
          <t>Single Carrier (Band n50, 100MHz TDD)</t>
        </is>
      </c>
      <c r="Q359" s="13">
        <f>ROUNDUP(O359/'Methodology &amp; Assumptions'!$B$6, 0)</f>
        <v/>
      </c>
      <c r="R359" s="13" t="n">
        <v>1</v>
      </c>
      <c r="S359" s="14" t="n">
        <v>1.35</v>
      </c>
      <c r="T359" s="14" t="n">
        <v>2.15</v>
      </c>
      <c r="U359" s="26">
        <f>IF(X359&gt;='Methodology &amp; Assumptions'!$B$7, "Tier 1 Critical GIDA (Score ≥ 50.0)", IF(X359&gt;='Methodology &amp; Assumptions'!$B$8, "Tier 2 High GIDA (Score 40.0–49.9)", "Tier 3 Moderate GIDA (Score &lt; 40.0)"))</f>
        <v/>
      </c>
      <c r="V359" s="26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W359" s="28" t="n">
        <v>0.221</v>
      </c>
      <c r="X359" s="14" t="n">
        <v>47.12</v>
      </c>
      <c r="Y359" s="14">
        <f>ROUND(MIN(100, (X359/69.91)*100), 2)</f>
        <v/>
      </c>
    </row>
    <row r="360">
      <c r="A360" s="10" t="n">
        <v>4</v>
      </c>
      <c r="B360" s="10" t="n">
        <v>356</v>
      </c>
      <c r="C360" s="10" t="n">
        <v>3356</v>
      </c>
      <c r="D360" s="10" t="inlineStr">
        <is>
          <t>0907318036</t>
        </is>
      </c>
      <c r="E360" s="26" t="inlineStr">
        <is>
          <t>Region IX (Zamboanga Peninsula)</t>
        </is>
      </c>
      <c r="F360" s="26" t="inlineStr">
        <is>
          <t>Zamboanga del Sur</t>
        </is>
      </c>
      <c r="G360" s="26" t="inlineStr">
        <is>
          <t>Midsalip</t>
        </is>
      </c>
      <c r="H360" s="26" t="inlineStr">
        <is>
          <t>Guitalos</t>
        </is>
      </c>
      <c r="I360" s="27" t="n">
        <v>8.060254</v>
      </c>
      <c r="J360" s="27" t="n">
        <v>123.247516</v>
      </c>
      <c r="K360" s="10" t="inlineStr">
        <is>
          <t>R</t>
        </is>
      </c>
      <c r="L360" s="12" t="n">
        <v>711</v>
      </c>
      <c r="M360" s="14" t="n">
        <v>3.9</v>
      </c>
      <c r="N360" s="12">
        <f>ROUND(L360/M360, 0)</f>
        <v/>
      </c>
      <c r="O360" s="12">
        <f>ROUND(N360*'Methodology &amp; Assumptions'!$B$5, 0)</f>
        <v/>
      </c>
      <c r="P360" s="10" t="inlineStr">
        <is>
          <t>Single Carrier (Band n50, 100MHz TDD)</t>
        </is>
      </c>
      <c r="Q360" s="13">
        <f>ROUNDUP(O360/'Methodology &amp; Assumptions'!$B$6, 0)</f>
        <v/>
      </c>
      <c r="R360" s="13" t="n">
        <v>1</v>
      </c>
      <c r="S360" s="14" t="n">
        <v>33.12</v>
      </c>
      <c r="T360" s="14" t="n">
        <v>23.38</v>
      </c>
      <c r="U360" s="26">
        <f>IF(X360&gt;='Methodology &amp; Assumptions'!$B$7, "Tier 1 Critical GIDA (Score ≥ 50.0)", IF(X360&gt;='Methodology &amp; Assumptions'!$B$8, "Tier 2 High GIDA (Score 40.0–49.9)", "Tier 3 Moderate GIDA (Score &lt; 40.0)"))</f>
        <v/>
      </c>
      <c r="V360" s="26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W360" s="28" t="n">
        <v>0.11</v>
      </c>
      <c r="X360" s="14" t="n">
        <v>47.11</v>
      </c>
      <c r="Y360" s="14">
        <f>ROUND(MIN(100, (X360/69.91)*100), 2)</f>
        <v/>
      </c>
    </row>
    <row r="361">
      <c r="A361" s="10" t="n">
        <v>4</v>
      </c>
      <c r="B361" s="10" t="n">
        <v>357</v>
      </c>
      <c r="C361" s="10" t="n">
        <v>3357</v>
      </c>
      <c r="D361" s="10" t="inlineStr">
        <is>
          <t>0205703026</t>
        </is>
      </c>
      <c r="E361" s="26" t="inlineStr">
        <is>
          <t>Region II (Cagayan Valley)</t>
        </is>
      </c>
      <c r="F361" s="26" t="inlineStr">
        <is>
          <t>Quirino</t>
        </is>
      </c>
      <c r="G361" s="26" t="inlineStr">
        <is>
          <t>Diffun</t>
        </is>
      </c>
      <c r="H361" s="26" t="inlineStr">
        <is>
          <t>Ricarte Sur</t>
        </is>
      </c>
      <c r="I361" s="27" t="n">
        <v>16.53288</v>
      </c>
      <c r="J361" s="27" t="n">
        <v>121.500535</v>
      </c>
      <c r="K361" s="10" t="inlineStr">
        <is>
          <t>R</t>
        </is>
      </c>
      <c r="L361" s="12" t="n">
        <v>597</v>
      </c>
      <c r="M361" s="14" t="n">
        <v>3.9</v>
      </c>
      <c r="N361" s="12">
        <f>ROUND(L361/M361, 0)</f>
        <v/>
      </c>
      <c r="O361" s="12">
        <f>ROUND(N361*'Methodology &amp; Assumptions'!$B$5, 0)</f>
        <v/>
      </c>
      <c r="P361" s="10" t="inlineStr">
        <is>
          <t>Single Carrier (Band n50, 100MHz TDD)</t>
        </is>
      </c>
      <c r="Q361" s="13">
        <f>ROUNDUP(O361/'Methodology &amp; Assumptions'!$B$6, 0)</f>
        <v/>
      </c>
      <c r="R361" s="13" t="n">
        <v>1</v>
      </c>
      <c r="S361" s="14" t="n">
        <v>3.4</v>
      </c>
      <c r="T361" s="14" t="n">
        <v>5.36</v>
      </c>
      <c r="U361" s="26">
        <f>IF(X361&gt;='Methodology &amp; Assumptions'!$B$7, "Tier 1 Critical GIDA (Score ≥ 50.0)", IF(X361&gt;='Methodology &amp; Assumptions'!$B$8, "Tier 2 High GIDA (Score 40.0–49.9)", "Tier 3 Moderate GIDA (Score &lt; 40.0)"))</f>
        <v/>
      </c>
      <c r="V361" s="26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W361" s="28" t="n">
        <v>0.083</v>
      </c>
      <c r="X361" s="14" t="n">
        <v>47.1</v>
      </c>
      <c r="Y361" s="14">
        <f>ROUND(MIN(100, (X361/69.91)*100), 2)</f>
        <v/>
      </c>
    </row>
    <row r="362">
      <c r="A362" s="10" t="n">
        <v>4</v>
      </c>
      <c r="B362" s="10" t="n">
        <v>358</v>
      </c>
      <c r="C362" s="10" t="n">
        <v>3358</v>
      </c>
      <c r="D362" s="10" t="inlineStr">
        <is>
          <t>0806025033</t>
        </is>
      </c>
      <c r="E362" s="26" t="inlineStr">
        <is>
          <t>Region VIII (Eastern Visayas)</t>
        </is>
      </c>
      <c r="F362" s="26" t="inlineStr">
        <is>
          <t>Samar</t>
        </is>
      </c>
      <c r="G362" s="26" t="inlineStr">
        <is>
          <t>San Jorge</t>
        </is>
      </c>
      <c r="H362" s="26" t="inlineStr">
        <is>
          <t>Cabugao</t>
        </is>
      </c>
      <c r="I362" s="27" t="n">
        <v>12.029316</v>
      </c>
      <c r="J362" s="27" t="n">
        <v>124.896123</v>
      </c>
      <c r="K362" s="10" t="inlineStr">
        <is>
          <t>R</t>
        </is>
      </c>
      <c r="L362" s="12" t="n">
        <v>132</v>
      </c>
      <c r="M362" s="14" t="n">
        <v>4.1</v>
      </c>
      <c r="N362" s="12">
        <f>ROUND(L362/M362, 0)</f>
        <v/>
      </c>
      <c r="O362" s="12">
        <f>ROUND(N362*'Methodology &amp; Assumptions'!$B$5, 0)</f>
        <v/>
      </c>
      <c r="P362" s="10" t="inlineStr">
        <is>
          <t>Single Carrier (Band n50, 100MHz TDD)</t>
        </is>
      </c>
      <c r="Q362" s="13">
        <f>ROUNDUP(O362/'Methodology &amp; Assumptions'!$B$6, 0)</f>
        <v/>
      </c>
      <c r="R362" s="13" t="n">
        <v>1</v>
      </c>
      <c r="S362" s="14" t="n">
        <v>84.19</v>
      </c>
      <c r="T362" s="14" t="n">
        <v>84.14</v>
      </c>
      <c r="U362" s="26">
        <f>IF(X362&gt;='Methodology &amp; Assumptions'!$B$7, "Tier 1 Critical GIDA (Score ≥ 50.0)", IF(X362&gt;='Methodology &amp; Assumptions'!$B$8, "Tier 2 High GIDA (Score 40.0–49.9)", "Tier 3 Moderate GIDA (Score &lt; 40.0)"))</f>
        <v/>
      </c>
      <c r="V362" s="26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W362" s="28" t="n">
        <v>0.237</v>
      </c>
      <c r="X362" s="14" t="n">
        <v>47.1</v>
      </c>
      <c r="Y362" s="14">
        <f>ROUND(MIN(100, (X362/69.91)*100), 2)</f>
        <v/>
      </c>
    </row>
    <row r="363">
      <c r="A363" s="10" t="n">
        <v>4</v>
      </c>
      <c r="B363" s="10" t="n">
        <v>359</v>
      </c>
      <c r="C363" s="10" t="n">
        <v>3359</v>
      </c>
      <c r="D363" s="10" t="inlineStr">
        <is>
          <t>0402123005</t>
        </is>
      </c>
      <c r="E363" s="26" t="inlineStr">
        <is>
          <t>Region IV-A (CALABARZON)</t>
        </is>
      </c>
      <c r="F363" s="26" t="inlineStr">
        <is>
          <t>Cavite</t>
        </is>
      </c>
      <c r="G363" s="26" t="inlineStr">
        <is>
          <t>Gen. Mariano Alvarez</t>
        </is>
      </c>
      <c r="H363" s="26" t="inlineStr">
        <is>
          <t>Barangay 4 Poblacion</t>
        </is>
      </c>
      <c r="I363" s="27" t="n">
        <v>14.298334</v>
      </c>
      <c r="J363" s="27" t="n">
        <v>121.013658</v>
      </c>
      <c r="K363" s="10" t="inlineStr">
        <is>
          <t>R</t>
        </is>
      </c>
      <c r="L363" s="12" t="n">
        <v>4992</v>
      </c>
      <c r="M363" s="14" t="n">
        <v>3.4</v>
      </c>
      <c r="N363" s="12">
        <f>ROUND(L363/M363, 0)</f>
        <v/>
      </c>
      <c r="O363" s="12">
        <f>ROUND(N363*'Methodology &amp; Assumptions'!$B$5, 0)</f>
        <v/>
      </c>
      <c r="P363" s="10" t="inlineStr">
        <is>
          <t>Single Carrier (Band n50, 100MHz TDD)</t>
        </is>
      </c>
      <c r="Q363" s="13">
        <f>ROUNDUP(O363/'Methodology &amp; Assumptions'!$B$6, 0)</f>
        <v/>
      </c>
      <c r="R363" s="13" t="n">
        <v>1</v>
      </c>
      <c r="S363" s="14" t="n">
        <v>2.17</v>
      </c>
      <c r="T363" s="14" t="n">
        <v>4.16</v>
      </c>
      <c r="U363" s="26">
        <f>IF(X363&gt;='Methodology &amp; Assumptions'!$B$7, "Tier 1 Critical GIDA (Score ≥ 50.0)", IF(X363&gt;='Methodology &amp; Assumptions'!$B$8, "Tier 2 High GIDA (Score 40.0–49.9)", "Tier 3 Moderate GIDA (Score &lt; 40.0)"))</f>
        <v/>
      </c>
      <c r="V363" s="26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W363" s="28" t="n">
        <v>0.07200000000000001</v>
      </c>
      <c r="X363" s="14" t="n">
        <v>47.09</v>
      </c>
      <c r="Y363" s="14">
        <f>ROUND(MIN(100, (X363/69.91)*100), 2)</f>
        <v/>
      </c>
    </row>
    <row r="364">
      <c r="A364" s="10" t="n">
        <v>4</v>
      </c>
      <c r="B364" s="10" t="n">
        <v>360</v>
      </c>
      <c r="C364" s="10" t="n">
        <v>3360</v>
      </c>
      <c r="D364" s="10" t="inlineStr">
        <is>
          <t>0802606041</t>
        </is>
      </c>
      <c r="E364" s="26" t="inlineStr">
        <is>
          <t>Region VIII (Eastern Visayas)</t>
        </is>
      </c>
      <c r="F364" s="26" t="inlineStr">
        <is>
          <t>Eastern Samar</t>
        </is>
      </c>
      <c r="G364" s="26" t="inlineStr">
        <is>
          <t>Dolores</t>
        </is>
      </c>
      <c r="H364" s="26" t="inlineStr">
        <is>
          <t>San Vicente</t>
        </is>
      </c>
      <c r="I364" s="27" t="n">
        <v>12.115448</v>
      </c>
      <c r="J364" s="27" t="n">
        <v>125.270755</v>
      </c>
      <c r="K364" s="10" t="inlineStr">
        <is>
          <t>R</t>
        </is>
      </c>
      <c r="L364" s="12" t="n">
        <v>466</v>
      </c>
      <c r="M364" s="14" t="n">
        <v>3.9</v>
      </c>
      <c r="N364" s="12">
        <f>ROUND(L364/M364, 0)</f>
        <v/>
      </c>
      <c r="O364" s="12">
        <f>ROUND(N364*'Methodology &amp; Assumptions'!$B$5, 0)</f>
        <v/>
      </c>
      <c r="P364" s="10" t="inlineStr">
        <is>
          <t>Single Carrier (Band n50, 100MHz TDD)</t>
        </is>
      </c>
      <c r="Q364" s="13">
        <f>ROUNDUP(O364/'Methodology &amp; Assumptions'!$B$6, 0)</f>
        <v/>
      </c>
      <c r="R364" s="13" t="n">
        <v>1</v>
      </c>
      <c r="S364" s="14" t="n">
        <v>101.68</v>
      </c>
      <c r="T364" s="14" t="n">
        <v>104.37</v>
      </c>
      <c r="U364" s="26">
        <f>IF(X364&gt;='Methodology &amp; Assumptions'!$B$7, "Tier 1 Critical GIDA (Score ≥ 50.0)", IF(X364&gt;='Methodology &amp; Assumptions'!$B$8, "Tier 2 High GIDA (Score 40.0–49.9)", "Tier 3 Moderate GIDA (Score &lt; 40.0)"))</f>
        <v/>
      </c>
      <c r="V364" s="26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W364" s="28" t="n">
        <v>0.237</v>
      </c>
      <c r="X364" s="14" t="n">
        <v>47.09</v>
      </c>
      <c r="Y364" s="14">
        <f>ROUND(MIN(100, (X364/69.91)*100), 2)</f>
        <v/>
      </c>
    </row>
    <row r="365">
      <c r="A365" s="10" t="n">
        <v>4</v>
      </c>
      <c r="B365" s="10" t="n">
        <v>361</v>
      </c>
      <c r="C365" s="10" t="n">
        <v>3361</v>
      </c>
      <c r="D365" s="10" t="inlineStr">
        <is>
          <t>0200906002</t>
        </is>
      </c>
      <c r="E365" s="26" t="inlineStr">
        <is>
          <t>Region II (Cagayan Valley)</t>
        </is>
      </c>
      <c r="F365" s="26" t="inlineStr">
        <is>
          <t>Batanes</t>
        </is>
      </c>
      <c r="G365" s="26" t="inlineStr">
        <is>
          <t>Uyugan</t>
        </is>
      </c>
      <c r="H365" s="26" t="inlineStr">
        <is>
          <t>Imnajbu</t>
        </is>
      </c>
      <c r="I365" s="27" t="n">
        <v>20.377535</v>
      </c>
      <c r="J365" s="27" t="n">
        <v>121.969618</v>
      </c>
      <c r="K365" s="10" t="inlineStr">
        <is>
          <t>R</t>
        </is>
      </c>
      <c r="L365" s="12" t="n">
        <v>178</v>
      </c>
      <c r="M365" s="14" t="n">
        <v>3</v>
      </c>
      <c r="N365" s="12">
        <f>ROUND(L365/M365, 0)</f>
        <v/>
      </c>
      <c r="O365" s="12">
        <f>ROUND(N365*'Methodology &amp; Assumptions'!$B$5, 0)</f>
        <v/>
      </c>
      <c r="P365" s="10" t="inlineStr">
        <is>
          <t>Single Carrier (Band n50, 100MHz TDD)</t>
        </is>
      </c>
      <c r="Q365" s="13">
        <f>ROUNDUP(O365/'Methodology &amp; Assumptions'!$B$6, 0)</f>
        <v/>
      </c>
      <c r="R365" s="13" t="n">
        <v>1</v>
      </c>
      <c r="S365" s="14" t="n">
        <v>216.4</v>
      </c>
      <c r="T365" s="14" t="n">
        <v>209.42</v>
      </c>
      <c r="U365" s="26">
        <f>IF(X365&gt;='Methodology &amp; Assumptions'!$B$7, "Tier 1 Critical GIDA (Score ≥ 50.0)", IF(X365&gt;='Methodology &amp; Assumptions'!$B$8, "Tier 2 High GIDA (Score 40.0–49.9)", "Tier 3 Moderate GIDA (Score &lt; 40.0)"))</f>
        <v/>
      </c>
      <c r="V365" s="26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W365" s="28" t="n">
        <v>0.083</v>
      </c>
      <c r="X365" s="14" t="n">
        <v>47.09</v>
      </c>
      <c r="Y365" s="14">
        <f>ROUND(MIN(100, (X365/69.91)*100), 2)</f>
        <v/>
      </c>
    </row>
    <row r="366">
      <c r="A366" s="10" t="n">
        <v>4</v>
      </c>
      <c r="B366" s="10" t="n">
        <v>362</v>
      </c>
      <c r="C366" s="10" t="n">
        <v>3362</v>
      </c>
      <c r="D366" s="10" t="inlineStr">
        <is>
          <t>0307702003</t>
        </is>
      </c>
      <c r="E366" s="26" t="inlineStr">
        <is>
          <t>Region III (Central Luzon)</t>
        </is>
      </c>
      <c r="F366" s="26" t="inlineStr">
        <is>
          <t>Aurora</t>
        </is>
      </c>
      <c r="G366" s="26" t="inlineStr">
        <is>
          <t>Casiguran</t>
        </is>
      </c>
      <c r="H366" s="26" t="inlineStr">
        <is>
          <t>Barangay 3</t>
        </is>
      </c>
      <c r="I366" s="27" t="n">
        <v>16.238978</v>
      </c>
      <c r="J366" s="27" t="n">
        <v>122.090394</v>
      </c>
      <c r="K366" s="10" t="inlineStr">
        <is>
          <t>R</t>
        </is>
      </c>
      <c r="L366" s="12" t="n">
        <v>177</v>
      </c>
      <c r="M366" s="14" t="n">
        <v>3.8</v>
      </c>
      <c r="N366" s="12">
        <f>ROUND(L366/M366, 0)</f>
        <v/>
      </c>
      <c r="O366" s="12">
        <f>ROUND(N366*'Methodology &amp; Assumptions'!$B$5, 0)</f>
        <v/>
      </c>
      <c r="P366" s="10" t="inlineStr">
        <is>
          <t>Single Carrier (Band n50, 100MHz TDD)</t>
        </is>
      </c>
      <c r="Q366" s="13">
        <f>ROUNDUP(O366/'Methodology &amp; Assumptions'!$B$6, 0)</f>
        <v/>
      </c>
      <c r="R366" s="13" t="n">
        <v>1</v>
      </c>
      <c r="S366" s="14" t="n">
        <v>5.76</v>
      </c>
      <c r="T366" s="14" t="n">
        <v>1.42</v>
      </c>
      <c r="U366" s="26">
        <f>IF(X366&gt;='Methodology &amp; Assumptions'!$B$7, "Tier 1 Critical GIDA (Score ≥ 50.0)", IF(X366&gt;='Methodology &amp; Assumptions'!$B$8, "Tier 2 High GIDA (Score 40.0–49.9)", "Tier 3 Moderate GIDA (Score &lt; 40.0)"))</f>
        <v/>
      </c>
      <c r="V366" s="26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W366" s="28" t="n">
        <v>0.083</v>
      </c>
      <c r="X366" s="14" t="n">
        <v>47.08</v>
      </c>
      <c r="Y366" s="14">
        <f>ROUND(MIN(100, (X366/69.91)*100), 2)</f>
        <v/>
      </c>
    </row>
    <row r="367">
      <c r="A367" s="10" t="n">
        <v>4</v>
      </c>
      <c r="B367" s="10" t="n">
        <v>363</v>
      </c>
      <c r="C367" s="10" t="n">
        <v>3363</v>
      </c>
      <c r="D367" s="10" t="inlineStr">
        <is>
          <t>0405622077</t>
        </is>
      </c>
      <c r="E367" s="26" t="inlineStr">
        <is>
          <t>Region IV-A (CALABARZON)</t>
        </is>
      </c>
      <c r="F367" s="26" t="inlineStr">
        <is>
          <t>Quezon</t>
        </is>
      </c>
      <c r="G367" s="26" t="inlineStr">
        <is>
          <t>Lopez</t>
        </is>
      </c>
      <c r="H367" s="26" t="inlineStr">
        <is>
          <t>Santa Rosa</t>
        </is>
      </c>
      <c r="I367" s="27" t="n">
        <v>13.849097</v>
      </c>
      <c r="J367" s="27" t="n">
        <v>122.302653</v>
      </c>
      <c r="K367" s="10" t="inlineStr">
        <is>
          <t>R</t>
        </is>
      </c>
      <c r="L367" s="12" t="n">
        <v>304</v>
      </c>
      <c r="M367" s="14" t="n">
        <v>3.8</v>
      </c>
      <c r="N367" s="12">
        <f>ROUND(L367/M367, 0)</f>
        <v/>
      </c>
      <c r="O367" s="12">
        <f>ROUND(N367*'Methodology &amp; Assumptions'!$B$5, 0)</f>
        <v/>
      </c>
      <c r="P367" s="10" t="inlineStr">
        <is>
          <t>Single Carrier (Band n50, 100MHz TDD)</t>
        </is>
      </c>
      <c r="Q367" s="13">
        <f>ROUNDUP(O367/'Methodology &amp; Assumptions'!$B$6, 0)</f>
        <v/>
      </c>
      <c r="R367" s="13" t="n">
        <v>1</v>
      </c>
      <c r="S367" s="14" t="n">
        <v>6.09</v>
      </c>
      <c r="T367" s="14" t="n">
        <v>2.98</v>
      </c>
      <c r="U367" s="26">
        <f>IF(X367&gt;='Methodology &amp; Assumptions'!$B$7, "Tier 1 Critical GIDA (Score ≥ 50.0)", IF(X367&gt;='Methodology &amp; Assumptions'!$B$8, "Tier 2 High GIDA (Score 40.0–49.9)", "Tier 3 Moderate GIDA (Score &lt; 40.0)"))</f>
        <v/>
      </c>
      <c r="V367" s="26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W367" s="28" t="n">
        <v>0.07200000000000001</v>
      </c>
      <c r="X367" s="14" t="n">
        <v>47.07</v>
      </c>
      <c r="Y367" s="14">
        <f>ROUND(MIN(100, (X367/69.91)*100), 2)</f>
        <v/>
      </c>
    </row>
    <row r="368">
      <c r="A368" s="10" t="n">
        <v>4</v>
      </c>
      <c r="B368" s="10" t="n">
        <v>364</v>
      </c>
      <c r="C368" s="10" t="n">
        <v>3364</v>
      </c>
      <c r="D368" s="10" t="inlineStr">
        <is>
          <t>1408104021</t>
        </is>
      </c>
      <c r="E368" s="26" t="inlineStr">
        <is>
          <t>Cordillera Administrative Region (CAR)</t>
        </is>
      </c>
      <c r="F368" s="26" t="inlineStr">
        <is>
          <t>Apayao</t>
        </is>
      </c>
      <c r="G368" s="26" t="inlineStr">
        <is>
          <t>Kabugao</t>
        </is>
      </c>
      <c r="H368" s="26" t="inlineStr">
        <is>
          <t>Tuyangan</t>
        </is>
      </c>
      <c r="I368" s="27" t="n">
        <v>18.106519</v>
      </c>
      <c r="J368" s="27" t="n">
        <v>121.116352</v>
      </c>
      <c r="K368" s="10" t="inlineStr">
        <is>
          <t>R</t>
        </is>
      </c>
      <c r="L368" s="12" t="n">
        <v>227</v>
      </c>
      <c r="M368" s="14" t="n">
        <v>4.2</v>
      </c>
      <c r="N368" s="12">
        <f>ROUND(L368/M368, 0)</f>
        <v/>
      </c>
      <c r="O368" s="12">
        <f>ROUND(N368*'Methodology &amp; Assumptions'!$B$5, 0)</f>
        <v/>
      </c>
      <c r="P368" s="10" t="inlineStr">
        <is>
          <t>Single Carrier (Band n50, 100MHz TDD)</t>
        </is>
      </c>
      <c r="Q368" s="13">
        <f>ROUNDUP(O368/'Methodology &amp; Assumptions'!$B$6, 0)</f>
        <v/>
      </c>
      <c r="R368" s="13" t="n">
        <v>1</v>
      </c>
      <c r="S368" s="14" t="n">
        <v>11.85</v>
      </c>
      <c r="T368" s="14" t="n">
        <v>20.92</v>
      </c>
      <c r="U368" s="26">
        <f>IF(X368&gt;='Methodology &amp; Assumptions'!$B$7, "Tier 1 Critical GIDA (Score ≥ 50.0)", IF(X368&gt;='Methodology &amp; Assumptions'!$B$8, "Tier 2 High GIDA (Score 40.0–49.9)", "Tier 3 Moderate GIDA (Score &lt; 40.0)"))</f>
        <v/>
      </c>
      <c r="V368" s="26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W368" s="28" t="n">
        <v>0.109</v>
      </c>
      <c r="X368" s="14" t="n">
        <v>47.07</v>
      </c>
      <c r="Y368" s="14">
        <f>ROUND(MIN(100, (X368/69.91)*100), 2)</f>
        <v/>
      </c>
    </row>
    <row r="369">
      <c r="A369" s="10" t="n">
        <v>4</v>
      </c>
      <c r="B369" s="10" t="n">
        <v>365</v>
      </c>
      <c r="C369" s="10" t="n">
        <v>3365</v>
      </c>
      <c r="D369" s="10" t="inlineStr">
        <is>
          <t>0804812010</t>
        </is>
      </c>
      <c r="E369" s="26" t="inlineStr">
        <is>
          <t>Region VIII (Eastern Visayas)</t>
        </is>
      </c>
      <c r="F369" s="26" t="inlineStr">
        <is>
          <t>Northern Samar</t>
        </is>
      </c>
      <c r="G369" s="26" t="inlineStr">
        <is>
          <t>Mapanas</t>
        </is>
      </c>
      <c r="H369" s="26" t="inlineStr">
        <is>
          <t>Naparasan</t>
        </is>
      </c>
      <c r="I369" s="27" t="n">
        <v>12.42314</v>
      </c>
      <c r="J369" s="27" t="n">
        <v>125.23452</v>
      </c>
      <c r="K369" s="10" t="inlineStr">
        <is>
          <t>R</t>
        </is>
      </c>
      <c r="L369" s="12" t="n">
        <v>526</v>
      </c>
      <c r="M369" s="14" t="n">
        <v>4.3</v>
      </c>
      <c r="N369" s="12">
        <f>ROUND(L369/M369, 0)</f>
        <v/>
      </c>
      <c r="O369" s="12">
        <f>ROUND(N369*'Methodology &amp; Assumptions'!$B$5, 0)</f>
        <v/>
      </c>
      <c r="P369" s="10" t="inlineStr">
        <is>
          <t>Single Carrier (Band n50, 100MHz TDD)</t>
        </is>
      </c>
      <c r="Q369" s="13">
        <f>ROUNDUP(O369/'Methodology &amp; Assumptions'!$B$6, 0)</f>
        <v/>
      </c>
      <c r="R369" s="13" t="n">
        <v>1</v>
      </c>
      <c r="S369" s="14" t="n">
        <v>124.99</v>
      </c>
      <c r="T369" s="14" t="n">
        <v>124.16</v>
      </c>
      <c r="U369" s="26">
        <f>IF(X369&gt;='Methodology &amp; Assumptions'!$B$7, "Tier 1 Critical GIDA (Score ≥ 50.0)", IF(X369&gt;='Methodology &amp; Assumptions'!$B$8, "Tier 2 High GIDA (Score 40.0–49.9)", "Tier 3 Moderate GIDA (Score &lt; 40.0)"))</f>
        <v/>
      </c>
      <c r="V369" s="26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W369" s="28" t="n">
        <v>0.237</v>
      </c>
      <c r="X369" s="14" t="n">
        <v>47.07</v>
      </c>
      <c r="Y369" s="14">
        <f>ROUND(MIN(100, (X369/69.91)*100), 2)</f>
        <v/>
      </c>
    </row>
    <row r="370">
      <c r="A370" s="10" t="n">
        <v>4</v>
      </c>
      <c r="B370" s="10" t="n">
        <v>366</v>
      </c>
      <c r="C370" s="10" t="n">
        <v>3366</v>
      </c>
      <c r="D370" s="10" t="inlineStr">
        <is>
          <t>0806022024</t>
        </is>
      </c>
      <c r="E370" s="26" t="inlineStr">
        <is>
          <t>Region VIII (Eastern Visayas)</t>
        </is>
      </c>
      <c r="F370" s="26" t="inlineStr">
        <is>
          <t>Samar</t>
        </is>
      </c>
      <c r="G370" s="26" t="inlineStr">
        <is>
          <t>Paranas</t>
        </is>
      </c>
      <c r="H370" s="26" t="inlineStr">
        <is>
          <t>Pagsa-ogan</t>
        </is>
      </c>
      <c r="I370" s="27" t="n">
        <v>11.7452</v>
      </c>
      <c r="J370" s="27" t="n">
        <v>125.04984</v>
      </c>
      <c r="K370" s="10" t="inlineStr">
        <is>
          <t>R</t>
        </is>
      </c>
      <c r="L370" s="12" t="n">
        <v>419</v>
      </c>
      <c r="M370" s="14" t="n">
        <v>4.1</v>
      </c>
      <c r="N370" s="12">
        <f>ROUND(L370/M370, 0)</f>
        <v/>
      </c>
      <c r="O370" s="12">
        <f>ROUND(N370*'Methodology &amp; Assumptions'!$B$5, 0)</f>
        <v/>
      </c>
      <c r="P370" s="10" t="inlineStr">
        <is>
          <t>Single Carrier (Band n50, 100MHz TDD)</t>
        </is>
      </c>
      <c r="Q370" s="13">
        <f>ROUNDUP(O370/'Methodology &amp; Assumptions'!$B$6, 0)</f>
        <v/>
      </c>
      <c r="R370" s="13" t="n">
        <v>1</v>
      </c>
      <c r="S370" s="14" t="n">
        <v>56.46</v>
      </c>
      <c r="T370" s="14" t="n">
        <v>59.4</v>
      </c>
      <c r="U370" s="26">
        <f>IF(X370&gt;='Methodology &amp; Assumptions'!$B$7, "Tier 1 Critical GIDA (Score ≥ 50.0)", IF(X370&gt;='Methodology &amp; Assumptions'!$B$8, "Tier 2 High GIDA (Score 40.0–49.9)", "Tier 3 Moderate GIDA (Score &lt; 40.0)"))</f>
        <v/>
      </c>
      <c r="V370" s="26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W370" s="28" t="n">
        <v>0.237</v>
      </c>
      <c r="X370" s="14" t="n">
        <v>47.07</v>
      </c>
      <c r="Y370" s="14">
        <f>ROUND(MIN(100, (X370/69.91)*100), 2)</f>
        <v/>
      </c>
    </row>
    <row r="371">
      <c r="A371" s="10" t="n">
        <v>4</v>
      </c>
      <c r="B371" s="10" t="n">
        <v>367</v>
      </c>
      <c r="C371" s="10" t="n">
        <v>3367</v>
      </c>
      <c r="D371" s="10" t="inlineStr">
        <is>
          <t>0500515033</t>
        </is>
      </c>
      <c r="E371" s="26" t="inlineStr">
        <is>
          <t>Region V (Bicol Region)</t>
        </is>
      </c>
      <c r="F371" s="26" t="inlineStr">
        <is>
          <t>Albay</t>
        </is>
      </c>
      <c r="G371" s="26" t="inlineStr">
        <is>
          <t>Rapu-Rapu</t>
        </is>
      </c>
      <c r="H371" s="26" t="inlineStr">
        <is>
          <t>Tinocawan</t>
        </is>
      </c>
      <c r="I371" s="27" t="n">
        <v>13.252162</v>
      </c>
      <c r="J371" s="27" t="n">
        <v>123.930314</v>
      </c>
      <c r="K371" s="10" t="inlineStr">
        <is>
          <t>R</t>
        </is>
      </c>
      <c r="L371" s="12" t="n">
        <v>647</v>
      </c>
      <c r="M371" s="14" t="n">
        <v>4.1</v>
      </c>
      <c r="N371" s="12">
        <f>ROUND(L371/M371, 0)</f>
        <v/>
      </c>
      <c r="O371" s="12">
        <f>ROUND(N371*'Methodology &amp; Assumptions'!$B$5, 0)</f>
        <v/>
      </c>
      <c r="P371" s="10" t="inlineStr">
        <is>
          <t>Single Carrier (Band n50, 100MHz TDD)</t>
        </is>
      </c>
      <c r="Q371" s="13">
        <f>ROUNDUP(O371/'Methodology &amp; Assumptions'!$B$6, 0)</f>
        <v/>
      </c>
      <c r="R371" s="13" t="n">
        <v>1</v>
      </c>
      <c r="S371" s="14" t="n">
        <v>15.72</v>
      </c>
      <c r="T371" s="14" t="n">
        <v>16.68</v>
      </c>
      <c r="U371" s="26">
        <f>IF(X371&gt;='Methodology &amp; Assumptions'!$B$7, "Tier 1 Critical GIDA (Score ≥ 50.0)", IF(X371&gt;='Methodology &amp; Assumptions'!$B$8, "Tier 2 High GIDA (Score 40.0–49.9)", "Tier 3 Moderate GIDA (Score &lt; 40.0)"))</f>
        <v/>
      </c>
      <c r="V371" s="26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W371" s="28" t="n">
        <v>0.237</v>
      </c>
      <c r="X371" s="14" t="n">
        <v>47.06</v>
      </c>
      <c r="Y371" s="14">
        <f>ROUND(MIN(100, (X371/69.91)*100), 2)</f>
        <v/>
      </c>
    </row>
    <row r="372">
      <c r="A372" s="10" t="n">
        <v>4</v>
      </c>
      <c r="B372" s="10" t="n">
        <v>368</v>
      </c>
      <c r="C372" s="10" t="n">
        <v>3368</v>
      </c>
      <c r="D372" s="10" t="inlineStr">
        <is>
          <t>0403425027</t>
        </is>
      </c>
      <c r="E372" s="26" t="inlineStr">
        <is>
          <t>Region IV-A (CALABARZON)</t>
        </is>
      </c>
      <c r="F372" s="26" t="inlineStr">
        <is>
          <t>Laguna</t>
        </is>
      </c>
      <c r="G372" s="26" t="inlineStr">
        <is>
          <t>City of San Pedro</t>
        </is>
      </c>
      <c r="H372" s="26" t="inlineStr">
        <is>
          <t>Pacita 2</t>
        </is>
      </c>
      <c r="I372" s="27" t="n">
        <v>14.228061</v>
      </c>
      <c r="J372" s="27" t="n">
        <v>121.307347</v>
      </c>
      <c r="K372" s="10" t="inlineStr">
        <is>
          <t>U</t>
        </is>
      </c>
      <c r="L372" s="12" t="n">
        <v>13146</v>
      </c>
      <c r="M372" s="14" t="n">
        <v>3.3</v>
      </c>
      <c r="N372" s="12">
        <f>ROUND(L372/M372, 0)</f>
        <v/>
      </c>
      <c r="O372" s="12">
        <f>ROUND(N372*'Methodology &amp; Assumptions'!$B$5, 0)</f>
        <v/>
      </c>
      <c r="P372" s="10" t="inlineStr">
        <is>
          <t>Single Carrier (Band n50, 100MHz TDD)</t>
        </is>
      </c>
      <c r="Q372" s="13">
        <f>ROUNDUP(O372/'Methodology &amp; Assumptions'!$B$6, 0)</f>
        <v/>
      </c>
      <c r="R372" s="13" t="n">
        <v>1</v>
      </c>
      <c r="S372" s="14" t="n">
        <v>5</v>
      </c>
      <c r="T372" s="14" t="n">
        <v>4.91</v>
      </c>
      <c r="U372" s="26">
        <f>IF(X372&gt;='Methodology &amp; Assumptions'!$B$7, "Tier 1 Critical GIDA (Score ≥ 50.0)", IF(X372&gt;='Methodology &amp; Assumptions'!$B$8, "Tier 2 High GIDA (Score 40.0–49.9)", "Tier 3 Moderate GIDA (Score &lt; 40.0)"))</f>
        <v/>
      </c>
      <c r="V372" s="26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W372" s="28" t="n">
        <v>0.07200000000000001</v>
      </c>
      <c r="X372" s="14" t="n">
        <v>47.05</v>
      </c>
      <c r="Y372" s="14">
        <f>ROUND(MIN(100, (X372/69.91)*100), 2)</f>
        <v/>
      </c>
    </row>
    <row r="373">
      <c r="A373" s="10" t="n">
        <v>4</v>
      </c>
      <c r="B373" s="10" t="n">
        <v>369</v>
      </c>
      <c r="C373" s="10" t="n">
        <v>3369</v>
      </c>
      <c r="D373" s="10" t="inlineStr">
        <is>
          <t>1380900014</t>
        </is>
      </c>
      <c r="E373" s="26" t="inlineStr">
        <is>
          <t>National Capital Region (NCR)</t>
        </is>
      </c>
      <c r="F373" s="26" t="inlineStr">
        <is>
          <t>Third District (Not a Province)</t>
        </is>
      </c>
      <c r="G373" s="26" t="inlineStr">
        <is>
          <t>City of Navotas</t>
        </is>
      </c>
      <c r="H373" s="26" t="inlineStr">
        <is>
          <t>Tanza 1</t>
        </is>
      </c>
      <c r="I373" s="27" t="n">
        <v>14.655519</v>
      </c>
      <c r="J373" s="27" t="n">
        <v>120.95815</v>
      </c>
      <c r="K373" s="10" t="inlineStr">
        <is>
          <t>U</t>
        </is>
      </c>
      <c r="L373" s="12" t="n">
        <v>15649</v>
      </c>
      <c r="M373" s="14" t="n">
        <v>3.4</v>
      </c>
      <c r="N373" s="12">
        <f>ROUND(L373/M373, 0)</f>
        <v/>
      </c>
      <c r="O373" s="12">
        <f>ROUND(N373*'Methodology &amp; Assumptions'!$B$5, 0)</f>
        <v/>
      </c>
      <c r="P373" s="10" t="inlineStr">
        <is>
          <t>Single Carrier (Band n50, 100MHz TDD)</t>
        </is>
      </c>
      <c r="Q373" s="13">
        <f>ROUNDUP(O373/'Methodology &amp; Assumptions'!$B$6, 0)</f>
        <v/>
      </c>
      <c r="R373" s="13" t="n">
        <v>1</v>
      </c>
      <c r="S373" s="14" t="n">
        <v>0.51</v>
      </c>
      <c r="T373" s="14" t="n">
        <v>0.13</v>
      </c>
      <c r="U373" s="26">
        <f>IF(X373&gt;='Methodology &amp; Assumptions'!$B$7, "Tier 1 Critical GIDA (Score ≥ 50.0)", IF(X373&gt;='Methodology &amp; Assumptions'!$B$8, "Tier 2 High GIDA (Score 40.0–49.9)", "Tier 3 Moderate GIDA (Score &lt; 40.0)"))</f>
        <v/>
      </c>
      <c r="V373" s="26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W373" s="28" t="n">
        <v>0.109</v>
      </c>
      <c r="X373" s="14" t="n">
        <v>47.05</v>
      </c>
      <c r="Y373" s="14">
        <f>ROUND(MIN(100, (X373/69.91)*100), 2)</f>
        <v/>
      </c>
    </row>
    <row r="374">
      <c r="A374" s="10" t="n">
        <v>4</v>
      </c>
      <c r="B374" s="10" t="n">
        <v>370</v>
      </c>
      <c r="C374" s="10" t="n">
        <v>3370</v>
      </c>
      <c r="D374" s="10" t="inlineStr">
        <is>
          <t>1108210009</t>
        </is>
      </c>
      <c r="E374" s="26" t="inlineStr">
        <is>
          <t>Region XI (Davao Region)</t>
        </is>
      </c>
      <c r="F374" s="26" t="inlineStr">
        <is>
          <t>Davao de Oro</t>
        </is>
      </c>
      <c r="G374" s="26" t="inlineStr">
        <is>
          <t>New Bataan</t>
        </is>
      </c>
      <c r="H374" s="26" t="inlineStr">
        <is>
          <t>Pagsabangan</t>
        </is>
      </c>
      <c r="I374" s="27" t="n">
        <v>7.63192</v>
      </c>
      <c r="J374" s="27" t="n">
        <v>126.226079</v>
      </c>
      <c r="K374" s="10" t="inlineStr">
        <is>
          <t>R</t>
        </is>
      </c>
      <c r="L374" s="12" t="n">
        <v>517</v>
      </c>
      <c r="M374" s="14" t="n">
        <v>3.7</v>
      </c>
      <c r="N374" s="12">
        <f>ROUND(L374/M374, 0)</f>
        <v/>
      </c>
      <c r="O374" s="12">
        <f>ROUND(N374*'Methodology &amp; Assumptions'!$B$5, 0)</f>
        <v/>
      </c>
      <c r="P374" s="10" t="inlineStr">
        <is>
          <t>Single Carrier (Band n50, 100MHz TDD)</t>
        </is>
      </c>
      <c r="Q374" s="13">
        <f>ROUNDUP(O374/'Methodology &amp; Assumptions'!$B$6, 0)</f>
        <v/>
      </c>
      <c r="R374" s="13" t="n">
        <v>1</v>
      </c>
      <c r="S374" s="14" t="n">
        <v>28.68</v>
      </c>
      <c r="T374" s="14" t="n">
        <v>26.87</v>
      </c>
      <c r="U374" s="26">
        <f>IF(X374&gt;='Methodology &amp; Assumptions'!$B$7, "Tier 1 Critical GIDA (Score ≥ 50.0)", IF(X374&gt;='Methodology &amp; Assumptions'!$B$8, "Tier 2 High GIDA (Score 40.0–49.9)", "Tier 3 Moderate GIDA (Score &lt; 40.0)"))</f>
        <v/>
      </c>
      <c r="V374" s="26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W374" s="28" t="n">
        <v>0.174</v>
      </c>
      <c r="X374" s="14" t="n">
        <v>47.05</v>
      </c>
      <c r="Y374" s="14">
        <f>ROUND(MIN(100, (X374/69.91)*100), 2)</f>
        <v/>
      </c>
    </row>
    <row r="375">
      <c r="A375" s="10" t="n">
        <v>4</v>
      </c>
      <c r="B375" s="10" t="n">
        <v>371</v>
      </c>
      <c r="C375" s="10" t="n">
        <v>3371</v>
      </c>
      <c r="D375" s="10" t="inlineStr">
        <is>
          <t>1907004007</t>
        </is>
      </c>
      <c r="E375" s="26" t="inlineStr">
        <is>
          <t>Bangsamoro Autonomous Region In Muslim Mindanao (BARMM)</t>
        </is>
      </c>
      <c r="F375" s="26" t="inlineStr">
        <is>
          <t>Tawi-Tawi</t>
        </is>
      </c>
      <c r="G375" s="26" t="inlineStr">
        <is>
          <t>Simunul</t>
        </is>
      </c>
      <c r="H375" s="26" t="inlineStr">
        <is>
          <t>Ubol</t>
        </is>
      </c>
      <c r="I375" s="27" t="n">
        <v>17.255845</v>
      </c>
      <c r="J375" s="27" t="n">
        <v>122.229889</v>
      </c>
      <c r="K375" s="10" t="inlineStr">
        <is>
          <t>R</t>
        </is>
      </c>
      <c r="L375" s="12" t="n">
        <v>1993</v>
      </c>
      <c r="M375" s="14" t="n">
        <v>5.8</v>
      </c>
      <c r="N375" s="12">
        <f>ROUND(L375/M375, 0)</f>
        <v/>
      </c>
      <c r="O375" s="12">
        <f>ROUND(N375*'Methodology &amp; Assumptions'!$B$5, 0)</f>
        <v/>
      </c>
      <c r="P375" s="10" t="inlineStr">
        <is>
          <t>Single Carrier (Band n50, 100MHz TDD)</t>
        </is>
      </c>
      <c r="Q375" s="13">
        <f>ROUNDUP(O375/'Methodology &amp; Assumptions'!$B$6, 0)</f>
        <v/>
      </c>
      <c r="R375" s="13" t="n">
        <v>1</v>
      </c>
      <c r="S375" s="14" t="n">
        <v>29.57</v>
      </c>
      <c r="T375" s="14" t="n">
        <v>34.43</v>
      </c>
      <c r="U375" s="26">
        <f>IF(X375&gt;='Methodology &amp; Assumptions'!$B$7, "Tier 1 Critical GIDA (Score ≥ 50.0)", IF(X375&gt;='Methodology &amp; Assumptions'!$B$8, "Tier 2 High GIDA (Score 40.0–49.9)", "Tier 3 Moderate GIDA (Score &lt; 40.0)"))</f>
        <v/>
      </c>
      <c r="V375" s="26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W375" s="28" t="n">
        <v>0.11</v>
      </c>
      <c r="X375" s="14" t="n">
        <v>47.04</v>
      </c>
      <c r="Y375" s="14">
        <f>ROUND(MIN(100, (X375/69.91)*100), 2)</f>
        <v/>
      </c>
    </row>
    <row r="376">
      <c r="A376" s="10" t="n">
        <v>4</v>
      </c>
      <c r="B376" s="10" t="n">
        <v>372</v>
      </c>
      <c r="C376" s="10" t="n">
        <v>3372</v>
      </c>
      <c r="D376" s="10" t="inlineStr">
        <is>
          <t>PH0003372</t>
        </is>
      </c>
      <c r="E376" s="26" t="inlineStr">
        <is>
          <t>CAR</t>
        </is>
      </c>
      <c r="F376" s="26" t="inlineStr">
        <is>
          <t>Benguet</t>
        </is>
      </c>
      <c r="G376" s="26" t="inlineStr">
        <is>
          <t>Baguio City</t>
        </is>
      </c>
      <c r="H376" s="26" t="inlineStr">
        <is>
          <t>Middle Quezon Hill Subdivision</t>
        </is>
      </c>
      <c r="I376" s="27" t="n">
        <v>16.443114</v>
      </c>
      <c r="J376" s="27" t="n">
        <v>120.635346</v>
      </c>
      <c r="K376" s="10" t="inlineStr">
        <is>
          <t>R</t>
        </is>
      </c>
      <c r="L376" s="12" t="n">
        <v>2260</v>
      </c>
      <c r="M376" s="14" t="n">
        <v>3.5</v>
      </c>
      <c r="N376" s="12">
        <f>ROUND(L376/M376, 0)</f>
        <v/>
      </c>
      <c r="O376" s="12">
        <f>ROUND(N376*'Methodology &amp; Assumptions'!$B$5, 0)</f>
        <v/>
      </c>
      <c r="P376" s="10" t="inlineStr">
        <is>
          <t>Single Carrier (Band n50, 100MHz TDD)</t>
        </is>
      </c>
      <c r="Q376" s="13">
        <f>ROUNDUP(O376/'Methodology &amp; Assumptions'!$B$6, 0)</f>
        <v/>
      </c>
      <c r="R376" s="13" t="n">
        <v>1</v>
      </c>
      <c r="S376" s="14" t="n">
        <v>1.06</v>
      </c>
      <c r="T376" s="14" t="n">
        <v>0.86</v>
      </c>
      <c r="U376" s="26">
        <f>IF(X376&gt;='Methodology &amp; Assumptions'!$B$7, "Tier 1 Critical GIDA (Score ≥ 50.0)", IF(X376&gt;='Methodology &amp; Assumptions'!$B$8, "Tier 2 High GIDA (Score 40.0–49.9)", "Tier 3 Moderate GIDA (Score &lt; 40.0)"))</f>
        <v/>
      </c>
      <c r="V376" s="26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W376" s="28" t="n">
        <v>0.221</v>
      </c>
      <c r="X376" s="14" t="n">
        <v>47.04</v>
      </c>
      <c r="Y376" s="14">
        <f>ROUND(MIN(100, (X376/69.91)*100), 2)</f>
        <v/>
      </c>
    </row>
    <row r="377">
      <c r="A377" s="10" t="n">
        <v>4</v>
      </c>
      <c r="B377" s="10" t="n">
        <v>373</v>
      </c>
      <c r="C377" s="10" t="n">
        <v>3373</v>
      </c>
      <c r="D377" s="10" t="inlineStr">
        <is>
          <t>1108603039</t>
        </is>
      </c>
      <c r="E377" s="26" t="inlineStr">
        <is>
          <t>Region XI (Davao Region)</t>
        </is>
      </c>
      <c r="F377" s="26" t="inlineStr">
        <is>
          <t>Davao Occidental</t>
        </is>
      </c>
      <c r="G377" s="26" t="inlineStr">
        <is>
          <t>Malita</t>
        </is>
      </c>
      <c r="H377" s="26" t="inlineStr">
        <is>
          <t>Tingolo</t>
        </is>
      </c>
      <c r="I377" s="27" t="n">
        <v>6.353465</v>
      </c>
      <c r="J377" s="27" t="n">
        <v>125.630148</v>
      </c>
      <c r="K377" s="10" t="inlineStr">
        <is>
          <t>R</t>
        </is>
      </c>
      <c r="L377" s="12" t="n">
        <v>2289</v>
      </c>
      <c r="M377" s="14" t="n">
        <v>3.6</v>
      </c>
      <c r="N377" s="12">
        <f>ROUND(L377/M377, 0)</f>
        <v/>
      </c>
      <c r="O377" s="12">
        <f>ROUND(N377*'Methodology &amp; Assumptions'!$B$5, 0)</f>
        <v/>
      </c>
      <c r="P377" s="10" t="inlineStr">
        <is>
          <t>Single Carrier (Band n50, 100MHz TDD)</t>
        </is>
      </c>
      <c r="Q377" s="13">
        <f>ROUNDUP(O377/'Methodology &amp; Assumptions'!$B$6, 0)</f>
        <v/>
      </c>
      <c r="R377" s="13" t="n">
        <v>1</v>
      </c>
      <c r="S377" s="14" t="n">
        <v>36.07</v>
      </c>
      <c r="T377" s="14" t="n">
        <v>34.55</v>
      </c>
      <c r="U377" s="26">
        <f>IF(X377&gt;='Methodology &amp; Assumptions'!$B$7, "Tier 1 Critical GIDA (Score ≥ 50.0)", IF(X377&gt;='Methodology &amp; Assumptions'!$B$8, "Tier 2 High GIDA (Score 40.0–49.9)", "Tier 3 Moderate GIDA (Score &lt; 40.0)"))</f>
        <v/>
      </c>
      <c r="V377" s="26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W377" s="28" t="n">
        <v>0.174</v>
      </c>
      <c r="X377" s="14" t="n">
        <v>47.04</v>
      </c>
      <c r="Y377" s="14">
        <f>ROUND(MIN(100, (X377/69.91)*100), 2)</f>
        <v/>
      </c>
    </row>
    <row r="378">
      <c r="A378" s="10" t="n">
        <v>4</v>
      </c>
      <c r="B378" s="10" t="n">
        <v>374</v>
      </c>
      <c r="C378" s="10" t="n">
        <v>3374</v>
      </c>
      <c r="D378" s="10" t="inlineStr">
        <is>
          <t>1401103007</t>
        </is>
      </c>
      <c r="E378" s="26" t="inlineStr">
        <is>
          <t>Cordillera Administrative Region (CAR)</t>
        </is>
      </c>
      <c r="F378" s="26" t="inlineStr">
        <is>
          <t>Benguet</t>
        </is>
      </c>
      <c r="G378" s="26" t="inlineStr">
        <is>
          <t>Bakun</t>
        </is>
      </c>
      <c r="H378" s="26" t="inlineStr">
        <is>
          <t>Kayapa</t>
        </is>
      </c>
      <c r="I378" s="27" t="n">
        <v>16.757381</v>
      </c>
      <c r="J378" s="27" t="n">
        <v>120.699124</v>
      </c>
      <c r="K378" s="10" t="inlineStr">
        <is>
          <t>R</t>
        </is>
      </c>
      <c r="L378" s="12" t="n">
        <v>1508</v>
      </c>
      <c r="M378" s="14" t="n">
        <v>3.5</v>
      </c>
      <c r="N378" s="12">
        <f>ROUND(L378/M378, 0)</f>
        <v/>
      </c>
      <c r="O378" s="12">
        <f>ROUND(N378*'Methodology &amp; Assumptions'!$B$5, 0)</f>
        <v/>
      </c>
      <c r="P378" s="10" t="inlineStr">
        <is>
          <t>Single Carrier (Band n50, 100MHz TDD)</t>
        </is>
      </c>
      <c r="Q378" s="13">
        <f>ROUNDUP(O378/'Methodology &amp; Assumptions'!$B$6, 0)</f>
        <v/>
      </c>
      <c r="R378" s="13" t="n">
        <v>1</v>
      </c>
      <c r="S378" s="14" t="n">
        <v>0.68</v>
      </c>
      <c r="T378" s="14" t="n">
        <v>8.550000000000001</v>
      </c>
      <c r="U378" s="26">
        <f>IF(X378&gt;='Methodology &amp; Assumptions'!$B$7, "Tier 1 Critical GIDA (Score ≥ 50.0)", IF(X378&gt;='Methodology &amp; Assumptions'!$B$8, "Tier 2 High GIDA (Score 40.0–49.9)", "Tier 3 Moderate GIDA (Score &lt; 40.0)"))</f>
        <v/>
      </c>
      <c r="V378" s="26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W378" s="28" t="n">
        <v>0.109</v>
      </c>
      <c r="X378" s="14" t="n">
        <v>47.04</v>
      </c>
      <c r="Y378" s="14">
        <f>ROUND(MIN(100, (X378/69.91)*100), 2)</f>
        <v/>
      </c>
    </row>
    <row r="379">
      <c r="A379" s="10" t="n">
        <v>4</v>
      </c>
      <c r="B379" s="10" t="n">
        <v>375</v>
      </c>
      <c r="C379" s="10" t="n">
        <v>3375</v>
      </c>
      <c r="D379" s="10" t="inlineStr">
        <is>
          <t>0200906001</t>
        </is>
      </c>
      <c r="E379" s="26" t="inlineStr">
        <is>
          <t>Region II (Cagayan Valley)</t>
        </is>
      </c>
      <c r="F379" s="26" t="inlineStr">
        <is>
          <t>Batanes</t>
        </is>
      </c>
      <c r="G379" s="26" t="inlineStr">
        <is>
          <t>Uyugan</t>
        </is>
      </c>
      <c r="H379" s="26" t="inlineStr">
        <is>
          <t>Kayvaluganan</t>
        </is>
      </c>
      <c r="I379" s="27" t="n">
        <v>20.350761</v>
      </c>
      <c r="J379" s="27" t="n">
        <v>121.938703</v>
      </c>
      <c r="K379" s="10" t="inlineStr">
        <is>
          <t>R</t>
        </is>
      </c>
      <c r="L379" s="12" t="n">
        <v>371</v>
      </c>
      <c r="M379" s="14" t="n">
        <v>3</v>
      </c>
      <c r="N379" s="12">
        <f>ROUND(L379/M379, 0)</f>
        <v/>
      </c>
      <c r="O379" s="12">
        <f>ROUND(N379*'Methodology &amp; Assumptions'!$B$5, 0)</f>
        <v/>
      </c>
      <c r="P379" s="10" t="inlineStr">
        <is>
          <t>Single Carrier (Band n50, 100MHz TDD)</t>
        </is>
      </c>
      <c r="Q379" s="13">
        <f>ROUNDUP(O379/'Methodology &amp; Assumptions'!$B$6, 0)</f>
        <v/>
      </c>
      <c r="R379" s="13" t="n">
        <v>1</v>
      </c>
      <c r="S379" s="14" t="n">
        <v>212.47</v>
      </c>
      <c r="T379" s="14" t="n">
        <v>206.78</v>
      </c>
      <c r="U379" s="26">
        <f>IF(X379&gt;='Methodology &amp; Assumptions'!$B$7, "Tier 1 Critical GIDA (Score ≥ 50.0)", IF(X379&gt;='Methodology &amp; Assumptions'!$B$8, "Tier 2 High GIDA (Score 40.0–49.9)", "Tier 3 Moderate GIDA (Score &lt; 40.0)"))</f>
        <v/>
      </c>
      <c r="V379" s="26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W379" s="28" t="n">
        <v>0.083</v>
      </c>
      <c r="X379" s="14" t="n">
        <v>47.04</v>
      </c>
      <c r="Y379" s="14">
        <f>ROUND(MIN(100, (X379/69.91)*100), 2)</f>
        <v/>
      </c>
    </row>
    <row r="380">
      <c r="A380" s="10" t="n">
        <v>4</v>
      </c>
      <c r="B380" s="10" t="n">
        <v>376</v>
      </c>
      <c r="C380" s="10" t="n">
        <v>3376</v>
      </c>
      <c r="D380" s="10" t="inlineStr">
        <is>
          <t>1705323011</t>
        </is>
      </c>
      <c r="E380" s="26" t="inlineStr">
        <is>
          <t>MIMAROPA Region</t>
        </is>
      </c>
      <c r="F380" s="26" t="inlineStr">
        <is>
          <t>Palawan</t>
        </is>
      </c>
      <c r="G380" s="26" t="inlineStr">
        <is>
          <t>Rizal</t>
        </is>
      </c>
      <c r="H380" s="26" t="inlineStr">
        <is>
          <t>Taburi</t>
        </is>
      </c>
      <c r="I380" s="27" t="n">
        <v>8.725823</v>
      </c>
      <c r="J380" s="27" t="n">
        <v>117.374805</v>
      </c>
      <c r="K380" s="10" t="inlineStr">
        <is>
          <t>U</t>
        </is>
      </c>
      <c r="L380" s="12" t="n">
        <v>5624</v>
      </c>
      <c r="M380" s="14" t="n">
        <v>3.6</v>
      </c>
      <c r="N380" s="12">
        <f>ROUND(L380/M380, 0)</f>
        <v/>
      </c>
      <c r="O380" s="12">
        <f>ROUND(N380*'Methodology &amp; Assumptions'!$B$5, 0)</f>
        <v/>
      </c>
      <c r="P380" s="10" t="inlineStr">
        <is>
          <t>Single Carrier (Band n50, 100MHz TDD)</t>
        </is>
      </c>
      <c r="Q380" s="13">
        <f>ROUNDUP(O380/'Methodology &amp; Assumptions'!$B$6, 0)</f>
        <v/>
      </c>
      <c r="R380" s="13" t="n">
        <v>1</v>
      </c>
      <c r="S380" s="14" t="n">
        <v>187.01</v>
      </c>
      <c r="T380" s="14" t="n">
        <v>189.26</v>
      </c>
      <c r="U380" s="26">
        <f>IF(X380&gt;='Methodology &amp; Assumptions'!$B$7, "Tier 1 Critical GIDA (Score ≥ 50.0)", IF(X380&gt;='Methodology &amp; Assumptions'!$B$8, "Tier 2 High GIDA (Score 40.0–49.9)", "Tier 3 Moderate GIDA (Score &lt; 40.0)"))</f>
        <v/>
      </c>
      <c r="V380" s="26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W380" s="28" t="n">
        <v>0.15</v>
      </c>
      <c r="X380" s="14" t="n">
        <v>47.04</v>
      </c>
      <c r="Y380" s="14">
        <f>ROUND(MIN(100, (X380/69.91)*100), 2)</f>
        <v/>
      </c>
    </row>
    <row r="381">
      <c r="A381" s="10" t="n">
        <v>4</v>
      </c>
      <c r="B381" s="10" t="n">
        <v>377</v>
      </c>
      <c r="C381" s="10" t="n">
        <v>3377</v>
      </c>
      <c r="D381" s="10" t="inlineStr">
        <is>
          <t>1908713006</t>
        </is>
      </c>
      <c r="E381" s="26" t="inlineStr">
        <is>
          <t>Bangsamoro Autonomous Region In Muslim Mindanao (BARMM)</t>
        </is>
      </c>
      <c r="F381" s="26" t="inlineStr">
        <is>
          <t>Maguindanao del Norte</t>
        </is>
      </c>
      <c r="G381" s="26" t="inlineStr">
        <is>
          <t>Upi</t>
        </is>
      </c>
      <c r="H381" s="26" t="inlineStr">
        <is>
          <t>Bungcog</t>
        </is>
      </c>
      <c r="I381" s="27" t="n">
        <v>17.254048</v>
      </c>
      <c r="J381" s="27" t="n">
        <v>122.228092</v>
      </c>
      <c r="K381" s="10" t="inlineStr">
        <is>
          <t>R</t>
        </is>
      </c>
      <c r="L381" s="12" t="n">
        <v>5316</v>
      </c>
      <c r="M381" s="14" t="n">
        <v>4.3</v>
      </c>
      <c r="N381" s="12">
        <f>ROUND(L381/M381, 0)</f>
        <v/>
      </c>
      <c r="O381" s="12">
        <f>ROUND(N381*'Methodology &amp; Assumptions'!$B$5, 0)</f>
        <v/>
      </c>
      <c r="P381" s="10" t="inlineStr">
        <is>
          <t>Single Carrier (Band n50, 100MHz TDD)</t>
        </is>
      </c>
      <c r="Q381" s="13">
        <f>ROUNDUP(O381/'Methodology &amp; Assumptions'!$B$6, 0)</f>
        <v/>
      </c>
      <c r="R381" s="13" t="n">
        <v>1</v>
      </c>
      <c r="S381" s="14" t="n">
        <v>29.29</v>
      </c>
      <c r="T381" s="14" t="n">
        <v>34.19</v>
      </c>
      <c r="U381" s="26">
        <f>IF(X381&gt;='Methodology &amp; Assumptions'!$B$7, "Tier 1 Critical GIDA (Score ≥ 50.0)", IF(X381&gt;='Methodology &amp; Assumptions'!$B$8, "Tier 2 High GIDA (Score 40.0–49.9)", "Tier 3 Moderate GIDA (Score &lt; 40.0)"))</f>
        <v/>
      </c>
      <c r="V381" s="26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W381" s="28" t="n">
        <v>0.11</v>
      </c>
      <c r="X381" s="14" t="n">
        <v>47.04</v>
      </c>
      <c r="Y381" s="14">
        <f>ROUND(MIN(100, (X381/69.91)*100), 2)</f>
        <v/>
      </c>
    </row>
    <row r="382">
      <c r="A382" s="10" t="n">
        <v>4</v>
      </c>
      <c r="B382" s="10" t="n">
        <v>378</v>
      </c>
      <c r="C382" s="10" t="n">
        <v>3378</v>
      </c>
      <c r="D382" s="10" t="inlineStr">
        <is>
          <t>0300806007</t>
        </is>
      </c>
      <c r="E382" s="26" t="inlineStr">
        <is>
          <t>Region III (Central Luzon)</t>
        </is>
      </c>
      <c r="F382" s="26" t="inlineStr">
        <is>
          <t>Bataan</t>
        </is>
      </c>
      <c r="G382" s="26" t="inlineStr">
        <is>
          <t>Limay</t>
        </is>
      </c>
      <c r="H382" s="26" t="inlineStr">
        <is>
          <t>Poblacion</t>
        </is>
      </c>
      <c r="I382" s="27" t="n">
        <v>14.542157</v>
      </c>
      <c r="J382" s="27" t="n">
        <v>120.594048</v>
      </c>
      <c r="K382" s="10" t="inlineStr">
        <is>
          <t>R</t>
        </is>
      </c>
      <c r="L382" s="12" t="n">
        <v>682</v>
      </c>
      <c r="M382" s="14" t="n">
        <v>3.6</v>
      </c>
      <c r="N382" s="12">
        <f>ROUND(L382/M382, 0)</f>
        <v/>
      </c>
      <c r="O382" s="12">
        <f>ROUND(N382*'Methodology &amp; Assumptions'!$B$5, 0)</f>
        <v/>
      </c>
      <c r="P382" s="10" t="inlineStr">
        <is>
          <t>Single Carrier (Band n50, 100MHz TDD)</t>
        </is>
      </c>
      <c r="Q382" s="13">
        <f>ROUNDUP(O382/'Methodology &amp; Assumptions'!$B$6, 0)</f>
        <v/>
      </c>
      <c r="R382" s="13" t="n">
        <v>1</v>
      </c>
      <c r="S382" s="14" t="n">
        <v>3.43</v>
      </c>
      <c r="T382" s="14" t="n">
        <v>0.24</v>
      </c>
      <c r="U382" s="26">
        <f>IF(X382&gt;='Methodology &amp; Assumptions'!$B$7, "Tier 1 Critical GIDA (Score ≥ 50.0)", IF(X382&gt;='Methodology &amp; Assumptions'!$B$8, "Tier 2 High GIDA (Score 40.0–49.9)", "Tier 3 Moderate GIDA (Score &lt; 40.0)"))</f>
        <v/>
      </c>
      <c r="V382" s="26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W382" s="28" t="n">
        <v>0.083</v>
      </c>
      <c r="X382" s="14" t="n">
        <v>47.03</v>
      </c>
      <c r="Y382" s="14">
        <f>ROUND(MIN(100, (X382/69.91)*100), 2)</f>
        <v/>
      </c>
    </row>
    <row r="383">
      <c r="A383" s="10" t="n">
        <v>4</v>
      </c>
      <c r="B383" s="10" t="n">
        <v>379</v>
      </c>
      <c r="C383" s="10" t="n">
        <v>3379</v>
      </c>
      <c r="D383" s="10" t="inlineStr">
        <is>
          <t>1908709011</t>
        </is>
      </c>
      <c r="E383" s="26" t="inlineStr">
        <is>
          <t>Bangsamoro Autonomous Region In Muslim Mindanao (BARMM)</t>
        </is>
      </c>
      <c r="F383" s="26" t="inlineStr">
        <is>
          <t>Maguindanao del Norte</t>
        </is>
      </c>
      <c r="G383" s="26" t="inlineStr">
        <is>
          <t>Parang</t>
        </is>
      </c>
      <c r="H383" s="26" t="inlineStr">
        <is>
          <t>Limbayan</t>
        </is>
      </c>
      <c r="I383" s="27" t="n">
        <v>17.254116</v>
      </c>
      <c r="J383" s="27" t="n">
        <v>122.22816</v>
      </c>
      <c r="K383" s="10" t="inlineStr">
        <is>
          <t>R</t>
        </is>
      </c>
      <c r="L383" s="12" t="n">
        <v>5270</v>
      </c>
      <c r="M383" s="14" t="n">
        <v>4.3</v>
      </c>
      <c r="N383" s="12">
        <f>ROUND(L383/M383, 0)</f>
        <v/>
      </c>
      <c r="O383" s="12">
        <f>ROUND(N383*'Methodology &amp; Assumptions'!$B$5, 0)</f>
        <v/>
      </c>
      <c r="P383" s="10" t="inlineStr">
        <is>
          <t>Single Carrier (Band n50, 100MHz TDD)</t>
        </is>
      </c>
      <c r="Q383" s="13">
        <f>ROUNDUP(O383/'Methodology &amp; Assumptions'!$B$6, 0)</f>
        <v/>
      </c>
      <c r="R383" s="13" t="n">
        <v>1</v>
      </c>
      <c r="S383" s="14" t="n">
        <v>29.3</v>
      </c>
      <c r="T383" s="14" t="n">
        <v>34.2</v>
      </c>
      <c r="U383" s="26">
        <f>IF(X383&gt;='Methodology &amp; Assumptions'!$B$7, "Tier 1 Critical GIDA (Score ≥ 50.0)", IF(X383&gt;='Methodology &amp; Assumptions'!$B$8, "Tier 2 High GIDA (Score 40.0–49.9)", "Tier 3 Moderate GIDA (Score &lt; 40.0)"))</f>
        <v/>
      </c>
      <c r="V383" s="26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W383" s="28" t="n">
        <v>0.11</v>
      </c>
      <c r="X383" s="14" t="n">
        <v>47.03</v>
      </c>
      <c r="Y383" s="14">
        <f>ROUND(MIN(100, (X383/69.91)*100), 2)</f>
        <v/>
      </c>
    </row>
    <row r="384">
      <c r="A384" s="10" t="n">
        <v>4</v>
      </c>
      <c r="B384" s="10" t="n">
        <v>380</v>
      </c>
      <c r="C384" s="10" t="n">
        <v>3380</v>
      </c>
      <c r="D384" s="10" t="inlineStr">
        <is>
          <t>1705318033</t>
        </is>
      </c>
      <c r="E384" s="26" t="inlineStr">
        <is>
          <t>MIMAROPA Region</t>
        </is>
      </c>
      <c r="F384" s="26" t="inlineStr">
        <is>
          <t>Palawan</t>
        </is>
      </c>
      <c r="G384" s="26" t="inlineStr">
        <is>
          <t>Roxas</t>
        </is>
      </c>
      <c r="H384" s="26" t="inlineStr">
        <is>
          <t>Barangay VI Pob.</t>
        </is>
      </c>
      <c r="I384" s="27" t="n">
        <v>10.252554</v>
      </c>
      <c r="J384" s="27" t="n">
        <v>119.383975</v>
      </c>
      <c r="K384" s="10" t="inlineStr">
        <is>
          <t>R</t>
        </is>
      </c>
      <c r="L384" s="12" t="n">
        <v>712</v>
      </c>
      <c r="M384" s="14" t="n">
        <v>3.9</v>
      </c>
      <c r="N384" s="12">
        <f>ROUND(L384/M384, 0)</f>
        <v/>
      </c>
      <c r="O384" s="12">
        <f>ROUND(N384*'Methodology &amp; Assumptions'!$B$5, 0)</f>
        <v/>
      </c>
      <c r="P384" s="10" t="inlineStr">
        <is>
          <t>Single Carrier (Band n50, 100MHz TDD)</t>
        </is>
      </c>
      <c r="Q384" s="13">
        <f>ROUNDUP(O384/'Methodology &amp; Assumptions'!$B$6, 0)</f>
        <v/>
      </c>
      <c r="R384" s="13" t="n">
        <v>1</v>
      </c>
      <c r="S384" s="14" t="n">
        <v>8.44</v>
      </c>
      <c r="T384" s="14" t="n">
        <v>8.44</v>
      </c>
      <c r="U384" s="26">
        <f>IF(X384&gt;='Methodology &amp; Assumptions'!$B$7, "Tier 1 Critical GIDA (Score ≥ 50.0)", IF(X384&gt;='Methodology &amp; Assumptions'!$B$8, "Tier 2 High GIDA (Score 40.0–49.9)", "Tier 3 Moderate GIDA (Score &lt; 40.0)"))</f>
        <v/>
      </c>
      <c r="V384" s="26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W384" s="28" t="n">
        <v>0.15</v>
      </c>
      <c r="X384" s="14" t="n">
        <v>47.02</v>
      </c>
      <c r="Y384" s="14">
        <f>ROUND(MIN(100, (X384/69.91)*100), 2)</f>
        <v/>
      </c>
    </row>
    <row r="385">
      <c r="A385" s="10" t="n">
        <v>4</v>
      </c>
      <c r="B385" s="10" t="n">
        <v>381</v>
      </c>
      <c r="C385" s="10" t="n">
        <v>3381</v>
      </c>
      <c r="D385" s="10" t="inlineStr">
        <is>
          <t>PH0003381</t>
        </is>
      </c>
      <c r="E385" s="26" t="inlineStr">
        <is>
          <t>VII</t>
        </is>
      </c>
      <c r="F385" s="26" t="inlineStr">
        <is>
          <t>Cebu</t>
        </is>
      </c>
      <c r="G385" s="26" t="inlineStr">
        <is>
          <t>Cebu City</t>
        </is>
      </c>
      <c r="H385" s="26" t="inlineStr">
        <is>
          <t>Kamagayan (Pob.)</t>
        </is>
      </c>
      <c r="I385" s="27" t="n">
        <v>10.349134</v>
      </c>
      <c r="J385" s="27" t="n">
        <v>123.883709</v>
      </c>
      <c r="K385" s="10" t="inlineStr">
        <is>
          <t>R</t>
        </is>
      </c>
      <c r="L385" s="12" t="n">
        <v>2250</v>
      </c>
      <c r="M385" s="14" t="n">
        <v>3.8</v>
      </c>
      <c r="N385" s="12">
        <f>ROUND(L385/M385, 0)</f>
        <v/>
      </c>
      <c r="O385" s="12">
        <f>ROUND(N385*'Methodology &amp; Assumptions'!$B$5, 0)</f>
        <v/>
      </c>
      <c r="P385" s="10" t="inlineStr">
        <is>
          <t>Single Carrier (Band n50, 100MHz TDD)</t>
        </is>
      </c>
      <c r="Q385" s="13">
        <f>ROUNDUP(O385/'Methodology &amp; Assumptions'!$B$6, 0)</f>
        <v/>
      </c>
      <c r="R385" s="13" t="n">
        <v>1</v>
      </c>
      <c r="S385" s="14" t="n">
        <v>2.53</v>
      </c>
      <c r="T385" s="14" t="n">
        <v>4.56</v>
      </c>
      <c r="U385" s="26">
        <f>IF(X385&gt;='Methodology &amp; Assumptions'!$B$7, "Tier 1 Critical GIDA (Score ≥ 50.0)", IF(X385&gt;='Methodology &amp; Assumptions'!$B$8, "Tier 2 High GIDA (Score 40.0–49.9)", "Tier 3 Moderate GIDA (Score &lt; 40.0)"))</f>
        <v/>
      </c>
      <c r="V385" s="26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W385" s="28" t="n">
        <v>0.21</v>
      </c>
      <c r="X385" s="14" t="n">
        <v>47.01</v>
      </c>
      <c r="Y385" s="14">
        <f>ROUND(MIN(100, (X385/69.91)*100), 2)</f>
        <v/>
      </c>
    </row>
    <row r="386">
      <c r="A386" s="10" t="n">
        <v>4</v>
      </c>
      <c r="B386" s="10" t="n">
        <v>382</v>
      </c>
      <c r="C386" s="10" t="n">
        <v>3382</v>
      </c>
      <c r="D386" s="10" t="inlineStr">
        <is>
          <t>1908709003</t>
        </is>
      </c>
      <c r="E386" s="26" t="inlineStr">
        <is>
          <t>Bangsamoro Autonomous Region In Muslim Mindanao (BARMM)</t>
        </is>
      </c>
      <c r="F386" s="26" t="inlineStr">
        <is>
          <t>Maguindanao del Norte</t>
        </is>
      </c>
      <c r="G386" s="26" t="inlineStr">
        <is>
          <t>Parang</t>
        </is>
      </c>
      <c r="H386" s="26" t="inlineStr">
        <is>
          <t>Cotongan</t>
        </is>
      </c>
      <c r="I386" s="27" t="n">
        <v>17.254115</v>
      </c>
      <c r="J386" s="27" t="n">
        <v>122.228159</v>
      </c>
      <c r="K386" s="10" t="inlineStr">
        <is>
          <t>R</t>
        </is>
      </c>
      <c r="L386" s="12" t="n">
        <v>4067</v>
      </c>
      <c r="M386" s="14" t="n">
        <v>4.3</v>
      </c>
      <c r="N386" s="12">
        <f>ROUND(L386/M386, 0)</f>
        <v/>
      </c>
      <c r="O386" s="12">
        <f>ROUND(N386*'Methodology &amp; Assumptions'!$B$5, 0)</f>
        <v/>
      </c>
      <c r="P386" s="10" t="inlineStr">
        <is>
          <t>Single Carrier (Band n50, 100MHz TDD)</t>
        </is>
      </c>
      <c r="Q386" s="13">
        <f>ROUNDUP(O386/'Methodology &amp; Assumptions'!$B$6, 0)</f>
        <v/>
      </c>
      <c r="R386" s="13" t="n">
        <v>1</v>
      </c>
      <c r="S386" s="14" t="n">
        <v>29.3</v>
      </c>
      <c r="T386" s="14" t="n">
        <v>34.2</v>
      </c>
      <c r="U386" s="26">
        <f>IF(X386&gt;='Methodology &amp; Assumptions'!$B$7, "Tier 1 Critical GIDA (Score ≥ 50.0)", IF(X386&gt;='Methodology &amp; Assumptions'!$B$8, "Tier 2 High GIDA (Score 40.0–49.9)", "Tier 3 Moderate GIDA (Score &lt; 40.0)"))</f>
        <v/>
      </c>
      <c r="V386" s="26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W386" s="28" t="n">
        <v>0.11</v>
      </c>
      <c r="X386" s="14" t="n">
        <v>47.01</v>
      </c>
      <c r="Y386" s="14">
        <f>ROUND(MIN(100, (X386/69.91)*100), 2)</f>
        <v/>
      </c>
    </row>
    <row r="387">
      <c r="A387" s="10" t="n">
        <v>4</v>
      </c>
      <c r="B387" s="10" t="n">
        <v>383</v>
      </c>
      <c r="C387" s="10" t="n">
        <v>3383</v>
      </c>
      <c r="D387" s="10" t="inlineStr">
        <is>
          <t>0401005065</t>
        </is>
      </c>
      <c r="E387" s="26" t="inlineStr">
        <is>
          <t>Region IV-A (CALABARZON)</t>
        </is>
      </c>
      <c r="F387" s="26" t="inlineStr">
        <is>
          <t>Batangas</t>
        </is>
      </c>
      <c r="G387" s="26" t="inlineStr">
        <is>
          <t>Batangas City</t>
        </is>
      </c>
      <c r="H387" s="26" t="inlineStr">
        <is>
          <t>Barangay 19</t>
        </is>
      </c>
      <c r="I387" s="27" t="n">
        <v>13.719914</v>
      </c>
      <c r="J387" s="27" t="n">
        <v>121.11802</v>
      </c>
      <c r="K387" s="10" t="inlineStr">
        <is>
          <t>U</t>
        </is>
      </c>
      <c r="L387" s="12" t="n">
        <v>411</v>
      </c>
      <c r="M387" s="14" t="n">
        <v>3.6</v>
      </c>
      <c r="N387" s="12">
        <f>ROUND(L387/M387, 0)</f>
        <v/>
      </c>
      <c r="O387" s="12">
        <f>ROUND(N387*'Methodology &amp; Assumptions'!$B$5, 0)</f>
        <v/>
      </c>
      <c r="P387" s="10" t="inlineStr">
        <is>
          <t>Single Carrier (Band n50, 100MHz TDD)</t>
        </is>
      </c>
      <c r="Q387" s="13">
        <f>ROUNDUP(O387/'Methodology &amp; Assumptions'!$B$6, 0)</f>
        <v/>
      </c>
      <c r="R387" s="13" t="n">
        <v>1</v>
      </c>
      <c r="S387" s="14" t="n">
        <v>1.66</v>
      </c>
      <c r="T387" s="14" t="n">
        <v>7.2</v>
      </c>
      <c r="U387" s="26">
        <f>IF(X387&gt;='Methodology &amp; Assumptions'!$B$7, "Tier 1 Critical GIDA (Score ≥ 50.0)", IF(X387&gt;='Methodology &amp; Assumptions'!$B$8, "Tier 2 High GIDA (Score 40.0–49.9)", "Tier 3 Moderate GIDA (Score &lt; 40.0)"))</f>
        <v/>
      </c>
      <c r="V387" s="26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W387" s="28" t="n">
        <v>0.07200000000000001</v>
      </c>
      <c r="X387" s="14" t="n">
        <v>47.01</v>
      </c>
      <c r="Y387" s="14">
        <f>ROUND(MIN(100, (X387/69.91)*100), 2)</f>
        <v/>
      </c>
    </row>
    <row r="388">
      <c r="A388" s="10" t="n">
        <v>4</v>
      </c>
      <c r="B388" s="10" t="n">
        <v>384</v>
      </c>
      <c r="C388" s="10" t="n">
        <v>3384</v>
      </c>
      <c r="D388" s="10" t="inlineStr">
        <is>
          <t>1381300086</t>
        </is>
      </c>
      <c r="E388" s="26" t="inlineStr">
        <is>
          <t>National Capital Region (NCR)</t>
        </is>
      </c>
      <c r="F388" s="26" t="inlineStr">
        <is>
          <t>Second District (Not a Province)</t>
        </is>
      </c>
      <c r="G388" s="26" t="inlineStr">
        <is>
          <t>Quezon City</t>
        </is>
      </c>
      <c r="H388" s="26" t="inlineStr">
        <is>
          <t>Quirino 2-B</t>
        </is>
      </c>
      <c r="I388" s="27" t="n">
        <v>14.632721</v>
      </c>
      <c r="J388" s="27" t="n">
        <v>121.061268</v>
      </c>
      <c r="K388" s="10" t="inlineStr">
        <is>
          <t>U</t>
        </is>
      </c>
      <c r="L388" s="12" t="n">
        <v>4103</v>
      </c>
      <c r="M388" s="14" t="n">
        <v>3.8</v>
      </c>
      <c r="N388" s="12">
        <f>ROUND(L388/M388, 0)</f>
        <v/>
      </c>
      <c r="O388" s="12">
        <f>ROUND(N388*'Methodology &amp; Assumptions'!$B$5, 0)</f>
        <v/>
      </c>
      <c r="P388" s="10" t="inlineStr">
        <is>
          <t>Single Carrier (Band n50, 100MHz TDD)</t>
        </is>
      </c>
      <c r="Q388" s="13">
        <f>ROUNDUP(O388/'Methodology &amp; Assumptions'!$B$6, 0)</f>
        <v/>
      </c>
      <c r="R388" s="13" t="n">
        <v>1</v>
      </c>
      <c r="S388" s="14" t="n">
        <v>1.09</v>
      </c>
      <c r="T388" s="14" t="n">
        <v>0.22</v>
      </c>
      <c r="U388" s="26">
        <f>IF(X388&gt;='Methodology &amp; Assumptions'!$B$7, "Tier 1 Critical GIDA (Score ≥ 50.0)", IF(X388&gt;='Methodology &amp; Assumptions'!$B$8, "Tier 2 High GIDA (Score 40.0–49.9)", "Tier 3 Moderate GIDA (Score &lt; 40.0)"))</f>
        <v/>
      </c>
      <c r="V388" s="26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W388" s="28" t="n">
        <v>0.109</v>
      </c>
      <c r="X388" s="14" t="n">
        <v>47</v>
      </c>
      <c r="Y388" s="14">
        <f>ROUND(MIN(100, (X388/69.91)*100), 2)</f>
        <v/>
      </c>
    </row>
    <row r="389">
      <c r="A389" s="10" t="n">
        <v>4</v>
      </c>
      <c r="B389" s="10" t="n">
        <v>385</v>
      </c>
      <c r="C389" s="10" t="n">
        <v>3385</v>
      </c>
      <c r="D389" s="10" t="inlineStr">
        <is>
          <t>0806025016</t>
        </is>
      </c>
      <c r="E389" s="26" t="inlineStr">
        <is>
          <t>Region VIII (Eastern Visayas)</t>
        </is>
      </c>
      <c r="F389" s="26" t="inlineStr">
        <is>
          <t>Samar</t>
        </is>
      </c>
      <c r="G389" s="26" t="inlineStr">
        <is>
          <t>San Jorge</t>
        </is>
      </c>
      <c r="H389" s="26" t="inlineStr">
        <is>
          <t>Libertad</t>
        </is>
      </c>
      <c r="I389" s="27" t="n">
        <v>12.048719</v>
      </c>
      <c r="J389" s="27" t="n">
        <v>124.917302</v>
      </c>
      <c r="K389" s="10" t="inlineStr">
        <is>
          <t>R</t>
        </is>
      </c>
      <c r="L389" s="12" t="n">
        <v>167</v>
      </c>
      <c r="M389" s="14" t="n">
        <v>4.1</v>
      </c>
      <c r="N389" s="12">
        <f>ROUND(L389/M389, 0)</f>
        <v/>
      </c>
      <c r="O389" s="12">
        <f>ROUND(N389*'Methodology &amp; Assumptions'!$B$5, 0)</f>
        <v/>
      </c>
      <c r="P389" s="10" t="inlineStr">
        <is>
          <t>Single Carrier (Band n50, 100MHz TDD)</t>
        </is>
      </c>
      <c r="Q389" s="13">
        <f>ROUNDUP(O389/'Methodology &amp; Assumptions'!$B$6, 0)</f>
        <v/>
      </c>
      <c r="R389" s="13" t="n">
        <v>1</v>
      </c>
      <c r="S389" s="14" t="n">
        <v>86.90000000000001</v>
      </c>
      <c r="T389" s="14" t="n">
        <v>86.84999999999999</v>
      </c>
      <c r="U389" s="26">
        <f>IF(X389&gt;='Methodology &amp; Assumptions'!$B$7, "Tier 1 Critical GIDA (Score ≥ 50.0)", IF(X389&gt;='Methodology &amp; Assumptions'!$B$8, "Tier 2 High GIDA (Score 40.0–49.9)", "Tier 3 Moderate GIDA (Score &lt; 40.0)"))</f>
        <v/>
      </c>
      <c r="V389" s="26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W389" s="28" t="n">
        <v>0.237</v>
      </c>
      <c r="X389" s="14" t="n">
        <v>47</v>
      </c>
      <c r="Y389" s="14">
        <f>ROUND(MIN(100, (X389/69.91)*100), 2)</f>
        <v/>
      </c>
    </row>
    <row r="390">
      <c r="A390" s="10" t="n">
        <v>4</v>
      </c>
      <c r="B390" s="10" t="n">
        <v>386</v>
      </c>
      <c r="C390" s="10" t="n">
        <v>3386</v>
      </c>
      <c r="D390" s="10" t="inlineStr">
        <is>
          <t>0102934018</t>
        </is>
      </c>
      <c r="E390" s="26" t="inlineStr">
        <is>
          <t>Region I (Ilocos Region)</t>
        </is>
      </c>
      <c r="F390" s="26" t="inlineStr">
        <is>
          <t>Ilocos Sur</t>
        </is>
      </c>
      <c r="G390" s="26" t="inlineStr">
        <is>
          <t>City of Vigan</t>
        </is>
      </c>
      <c r="H390" s="26" t="inlineStr">
        <is>
          <t>Capangpangan</t>
        </is>
      </c>
      <c r="I390" s="27" t="n">
        <v>17.571879</v>
      </c>
      <c r="J390" s="27" t="n">
        <v>120.394734</v>
      </c>
      <c r="K390" s="10" t="inlineStr">
        <is>
          <t>R</t>
        </is>
      </c>
      <c r="L390" s="12" t="n">
        <v>1764</v>
      </c>
      <c r="M390" s="14" t="n">
        <v>3.8</v>
      </c>
      <c r="N390" s="12">
        <f>ROUND(L390/M390, 0)</f>
        <v/>
      </c>
      <c r="O390" s="12">
        <f>ROUND(N390*'Methodology &amp; Assumptions'!$B$5, 0)</f>
        <v/>
      </c>
      <c r="P390" s="10" t="inlineStr">
        <is>
          <t>Single Carrier (Band n50, 100MHz TDD)</t>
        </is>
      </c>
      <c r="Q390" s="13">
        <f>ROUNDUP(O390/'Methodology &amp; Assumptions'!$B$6, 0)</f>
        <v/>
      </c>
      <c r="R390" s="13" t="n">
        <v>1</v>
      </c>
      <c r="S390" s="14" t="n">
        <v>2.46</v>
      </c>
      <c r="T390" s="14" t="n">
        <v>1</v>
      </c>
      <c r="U390" s="26">
        <f>IF(X390&gt;='Methodology &amp; Assumptions'!$B$7, "Tier 1 Critical GIDA (Score ≥ 50.0)", IF(X390&gt;='Methodology &amp; Assumptions'!$B$8, "Tier 2 High GIDA (Score 40.0–49.9)", "Tier 3 Moderate GIDA (Score &lt; 40.0)"))</f>
        <v/>
      </c>
      <c r="V390" s="26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W390" s="28" t="n">
        <v>0.083</v>
      </c>
      <c r="X390" s="14" t="n">
        <v>47</v>
      </c>
      <c r="Y390" s="14">
        <f>ROUND(MIN(100, (X390/69.91)*100), 2)</f>
        <v/>
      </c>
    </row>
    <row r="391">
      <c r="A391" s="10" t="n">
        <v>4</v>
      </c>
      <c r="B391" s="10" t="n">
        <v>387</v>
      </c>
      <c r="C391" s="10" t="n">
        <v>3387</v>
      </c>
      <c r="D391" s="10" t="inlineStr">
        <is>
          <t>0405801005</t>
        </is>
      </c>
      <c r="E391" s="26" t="inlineStr">
        <is>
          <t>Region IV-A (CALABARZON)</t>
        </is>
      </c>
      <c r="F391" s="26" t="inlineStr">
        <is>
          <t>Rizal</t>
        </is>
      </c>
      <c r="G391" s="26" t="inlineStr">
        <is>
          <t>Angono</t>
        </is>
      </c>
      <c r="H391" s="26" t="inlineStr">
        <is>
          <t>Kalayaan</t>
        </is>
      </c>
      <c r="I391" s="27" t="n">
        <v>14.529697</v>
      </c>
      <c r="J391" s="27" t="n">
        <v>121.153618</v>
      </c>
      <c r="K391" s="10" t="inlineStr">
        <is>
          <t>U</t>
        </is>
      </c>
      <c r="L391" s="12" t="n">
        <v>19309</v>
      </c>
      <c r="M391" s="14" t="n">
        <v>3.6</v>
      </c>
      <c r="N391" s="12">
        <f>ROUND(L391/M391, 0)</f>
        <v/>
      </c>
      <c r="O391" s="12">
        <f>ROUND(N391*'Methodology &amp; Assumptions'!$B$5, 0)</f>
        <v/>
      </c>
      <c r="P391" s="10" t="inlineStr">
        <is>
          <t>Single Carrier (Band n50, 100MHz TDD)</t>
        </is>
      </c>
      <c r="Q391" s="13">
        <f>ROUNDUP(O391/'Methodology &amp; Assumptions'!$B$6, 0)</f>
        <v/>
      </c>
      <c r="R391" s="13" t="n">
        <v>1</v>
      </c>
      <c r="S391" s="14" t="n">
        <v>0.27</v>
      </c>
      <c r="T391" s="14" t="n">
        <v>0.1</v>
      </c>
      <c r="U391" s="26">
        <f>IF(X391&gt;='Methodology &amp; Assumptions'!$B$7, "Tier 1 Critical GIDA (Score ≥ 50.0)", IF(X391&gt;='Methodology &amp; Assumptions'!$B$8, "Tier 2 High GIDA (Score 40.0–49.9)", "Tier 3 Moderate GIDA (Score &lt; 40.0)"))</f>
        <v/>
      </c>
      <c r="V391" s="26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W391" s="28" t="n">
        <v>0.07200000000000001</v>
      </c>
      <c r="X391" s="14" t="n">
        <v>46.99</v>
      </c>
      <c r="Y391" s="14">
        <f>ROUND(MIN(100, (X391/69.91)*100), 2)</f>
        <v/>
      </c>
    </row>
    <row r="392">
      <c r="A392" s="10" t="n">
        <v>4</v>
      </c>
      <c r="B392" s="10" t="n">
        <v>388</v>
      </c>
      <c r="C392" s="10" t="n">
        <v>3388</v>
      </c>
      <c r="D392" s="10" t="inlineStr">
        <is>
          <t>1206506008</t>
        </is>
      </c>
      <c r="E392" s="26" t="inlineStr">
        <is>
          <t>Region XII (SOCCSKSARGEN)</t>
        </is>
      </c>
      <c r="F392" s="26" t="inlineStr">
        <is>
          <t>Sultan Kudarat</t>
        </is>
      </c>
      <c r="G392" s="26" t="inlineStr">
        <is>
          <t>Lebak</t>
        </is>
      </c>
      <c r="H392" s="26" t="inlineStr">
        <is>
          <t>Kalamongog</t>
        </is>
      </c>
      <c r="I392" s="27" t="n">
        <v>6.72846</v>
      </c>
      <c r="J392" s="27" t="n">
        <v>124.0768</v>
      </c>
      <c r="K392" s="10" t="inlineStr">
        <is>
          <t>R</t>
        </is>
      </c>
      <c r="L392" s="12" t="n">
        <v>2967</v>
      </c>
      <c r="M392" s="14" t="n">
        <v>3.8</v>
      </c>
      <c r="N392" s="12">
        <f>ROUND(L392/M392, 0)</f>
        <v/>
      </c>
      <c r="O392" s="12">
        <f>ROUND(N392*'Methodology &amp; Assumptions'!$B$5, 0)</f>
        <v/>
      </c>
      <c r="P392" s="10" t="inlineStr">
        <is>
          <t>Single Carrier (Band n50, 100MHz TDD)</t>
        </is>
      </c>
      <c r="Q392" s="13">
        <f>ROUNDUP(O392/'Methodology &amp; Assumptions'!$B$6, 0)</f>
        <v/>
      </c>
      <c r="R392" s="13" t="n">
        <v>1</v>
      </c>
      <c r="S392" s="14" t="n">
        <v>66.04000000000001</v>
      </c>
      <c r="T392" s="14" t="n">
        <v>66.01000000000001</v>
      </c>
      <c r="U392" s="26">
        <f>IF(X392&gt;='Methodology &amp; Assumptions'!$B$7, "Tier 1 Critical GIDA (Score ≥ 50.0)", IF(X392&gt;='Methodology &amp; Assumptions'!$B$8, "Tier 2 High GIDA (Score 40.0–49.9)", "Tier 3 Moderate GIDA (Score &lt; 40.0)"))</f>
        <v/>
      </c>
      <c r="V392" s="26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W392" s="28" t="n">
        <v>0.174</v>
      </c>
      <c r="X392" s="14" t="n">
        <v>46.99</v>
      </c>
      <c r="Y392" s="14">
        <f>ROUND(MIN(100, (X392/69.91)*100), 2)</f>
        <v/>
      </c>
    </row>
    <row r="393">
      <c r="A393" s="10" t="n">
        <v>4</v>
      </c>
      <c r="B393" s="10" t="n">
        <v>389</v>
      </c>
      <c r="C393" s="10" t="n">
        <v>3389</v>
      </c>
      <c r="D393" s="10" t="inlineStr">
        <is>
          <t>PH0003389</t>
        </is>
      </c>
      <c r="E393" s="26" t="inlineStr">
        <is>
          <t>I</t>
        </is>
      </c>
      <c r="F393" s="26" t="inlineStr">
        <is>
          <t>Ilocos Norte</t>
        </is>
      </c>
      <c r="G393" s="26" t="inlineStr">
        <is>
          <t>Laoag City</t>
        </is>
      </c>
      <c r="H393" s="26" t="inlineStr">
        <is>
          <t>Bgy. No. 14, Santo Tomas (Pob.)</t>
        </is>
      </c>
      <c r="I393" s="27" t="n">
        <v>18.194711</v>
      </c>
      <c r="J393" s="27" t="n">
        <v>120.593664</v>
      </c>
      <c r="K393" s="10" t="inlineStr">
        <is>
          <t>R</t>
        </is>
      </c>
      <c r="L393" s="12" t="n">
        <v>2233</v>
      </c>
      <c r="M393" s="14" t="n">
        <v>3.7</v>
      </c>
      <c r="N393" s="12">
        <f>ROUND(L393/M393, 0)</f>
        <v/>
      </c>
      <c r="O393" s="12">
        <f>ROUND(N393*'Methodology &amp; Assumptions'!$B$5, 0)</f>
        <v/>
      </c>
      <c r="P393" s="10" t="inlineStr">
        <is>
          <t>Single Carrier (Band n50, 100MHz TDD)</t>
        </is>
      </c>
      <c r="Q393" s="13">
        <f>ROUNDUP(O393/'Methodology &amp; Assumptions'!$B$6, 0)</f>
        <v/>
      </c>
      <c r="R393" s="13" t="n">
        <v>1</v>
      </c>
      <c r="S393" s="14" t="n">
        <v>1.55</v>
      </c>
      <c r="T393" s="14" t="n">
        <v>0.43</v>
      </c>
      <c r="U393" s="26">
        <f>IF(X393&gt;='Methodology &amp; Assumptions'!$B$7, "Tier 1 Critical GIDA (Score ≥ 50.0)", IF(X393&gt;='Methodology &amp; Assumptions'!$B$8, "Tier 2 High GIDA (Score 40.0–49.9)", "Tier 3 Moderate GIDA (Score &lt; 40.0)"))</f>
        <v/>
      </c>
      <c r="V393" s="26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W393" s="28" t="n">
        <v>0.083</v>
      </c>
      <c r="X393" s="14" t="n">
        <v>46.99</v>
      </c>
      <c r="Y393" s="14">
        <f>ROUND(MIN(100, (X393/69.91)*100), 2)</f>
        <v/>
      </c>
    </row>
    <row r="394">
      <c r="A394" s="10" t="n">
        <v>4</v>
      </c>
      <c r="B394" s="10" t="n">
        <v>390</v>
      </c>
      <c r="C394" s="10" t="n">
        <v>3390</v>
      </c>
      <c r="D394" s="10" t="inlineStr">
        <is>
          <t>PH0003390</t>
        </is>
      </c>
      <c r="E394" s="26" t="inlineStr">
        <is>
          <t>IV-A</t>
        </is>
      </c>
      <c r="F394" s="26" t="inlineStr">
        <is>
          <t>Laguna</t>
        </is>
      </c>
      <c r="G394" s="26" t="inlineStr">
        <is>
          <t>San Pablo City</t>
        </is>
      </c>
      <c r="H394" s="26" t="inlineStr">
        <is>
          <t>Barangay III-C (Pob.)</t>
        </is>
      </c>
      <c r="I394" s="27" t="n">
        <v>14.068654</v>
      </c>
      <c r="J394" s="27" t="n">
        <v>121.330454</v>
      </c>
      <c r="K394" s="10" t="inlineStr">
        <is>
          <t>R</t>
        </is>
      </c>
      <c r="L394" s="12" t="n">
        <v>2412</v>
      </c>
      <c r="M394" s="14" t="n">
        <v>3.3</v>
      </c>
      <c r="N394" s="12">
        <f>ROUND(L394/M394, 0)</f>
        <v/>
      </c>
      <c r="O394" s="12">
        <f>ROUND(N394*'Methodology &amp; Assumptions'!$B$5, 0)</f>
        <v/>
      </c>
      <c r="P394" s="10" t="inlineStr">
        <is>
          <t>Single Carrier (Band n50, 100MHz TDD)</t>
        </is>
      </c>
      <c r="Q394" s="13">
        <f>ROUNDUP(O394/'Methodology &amp; Assumptions'!$B$6, 0)</f>
        <v/>
      </c>
      <c r="R394" s="13" t="n">
        <v>1</v>
      </c>
      <c r="S394" s="14" t="n">
        <v>1.05</v>
      </c>
      <c r="T394" s="14" t="n">
        <v>0.19</v>
      </c>
      <c r="U394" s="26">
        <f>IF(X394&gt;='Methodology &amp; Assumptions'!$B$7, "Tier 1 Critical GIDA (Score ≥ 50.0)", IF(X394&gt;='Methodology &amp; Assumptions'!$B$8, "Tier 2 High GIDA (Score 40.0–49.9)", "Tier 3 Moderate GIDA (Score &lt; 40.0)"))</f>
        <v/>
      </c>
      <c r="V394" s="26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W394" s="28" t="n">
        <v>0.07200000000000001</v>
      </c>
      <c r="X394" s="14" t="n">
        <v>46.99</v>
      </c>
      <c r="Y394" s="14">
        <f>ROUND(MIN(100, (X394/69.91)*100), 2)</f>
        <v/>
      </c>
    </row>
    <row r="395">
      <c r="A395" s="10" t="n">
        <v>4</v>
      </c>
      <c r="B395" s="10" t="n">
        <v>391</v>
      </c>
      <c r="C395" s="10" t="n">
        <v>3391</v>
      </c>
      <c r="D395" s="10" t="inlineStr">
        <is>
          <t>0200906004</t>
        </is>
      </c>
      <c r="E395" s="26" t="inlineStr">
        <is>
          <t>Region II (Cagayan Valley)</t>
        </is>
      </c>
      <c r="F395" s="26" t="inlineStr">
        <is>
          <t>Batanes</t>
        </is>
      </c>
      <c r="G395" s="26" t="inlineStr">
        <is>
          <t>Uyugan</t>
        </is>
      </c>
      <c r="H395" s="26" t="inlineStr">
        <is>
          <t>Kayuganan</t>
        </is>
      </c>
      <c r="I395" s="27" t="n">
        <v>20.349343</v>
      </c>
      <c r="J395" s="27" t="n">
        <v>121.938293</v>
      </c>
      <c r="K395" s="10" t="inlineStr">
        <is>
          <t>R</t>
        </is>
      </c>
      <c r="L395" s="12" t="n">
        <v>306</v>
      </c>
      <c r="M395" s="14" t="n">
        <v>3</v>
      </c>
      <c r="N395" s="12">
        <f>ROUND(L395/M395, 0)</f>
        <v/>
      </c>
      <c r="O395" s="12">
        <f>ROUND(N395*'Methodology &amp; Assumptions'!$B$5, 0)</f>
        <v/>
      </c>
      <c r="P395" s="10" t="inlineStr">
        <is>
          <t>Single Carrier (Band n50, 100MHz TDD)</t>
        </is>
      </c>
      <c r="Q395" s="13">
        <f>ROUNDUP(O395/'Methodology &amp; Assumptions'!$B$6, 0)</f>
        <v/>
      </c>
      <c r="R395" s="13" t="n">
        <v>1</v>
      </c>
      <c r="S395" s="14" t="n">
        <v>212.31</v>
      </c>
      <c r="T395" s="14" t="n">
        <v>206.63</v>
      </c>
      <c r="U395" s="26">
        <f>IF(X395&gt;='Methodology &amp; Assumptions'!$B$7, "Tier 1 Critical GIDA (Score ≥ 50.0)", IF(X395&gt;='Methodology &amp; Assumptions'!$B$8, "Tier 2 High GIDA (Score 40.0–49.9)", "Tier 3 Moderate GIDA (Score &lt; 40.0)"))</f>
        <v/>
      </c>
      <c r="V395" s="26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W395" s="28" t="n">
        <v>0.083</v>
      </c>
      <c r="X395" s="14" t="n">
        <v>46.98</v>
      </c>
      <c r="Y395" s="14">
        <f>ROUND(MIN(100, (X395/69.91)*100), 2)</f>
        <v/>
      </c>
    </row>
    <row r="396">
      <c r="A396" s="10" t="n">
        <v>4</v>
      </c>
      <c r="B396" s="10" t="n">
        <v>392</v>
      </c>
      <c r="C396" s="10" t="n">
        <v>3392</v>
      </c>
      <c r="D396" s="10" t="inlineStr">
        <is>
          <t>PH0003392</t>
        </is>
      </c>
      <c r="E396" s="26" t="inlineStr">
        <is>
          <t>NCR</t>
        </is>
      </c>
      <c r="F396" s="26" t="inlineStr">
        <is>
          <t>Metro Manila</t>
        </is>
      </c>
      <c r="G396" s="26" t="inlineStr">
        <is>
          <t>Caloocan City</t>
        </is>
      </c>
      <c r="H396" s="26" t="inlineStr">
        <is>
          <t>Barangay 177</t>
        </is>
      </c>
      <c r="I396" s="27" t="n">
        <v>13.210283</v>
      </c>
      <c r="J396" s="27" t="n">
        <v>123.303648</v>
      </c>
      <c r="K396" s="10" t="inlineStr">
        <is>
          <t>R</t>
        </is>
      </c>
      <c r="L396" s="12" t="n">
        <v>2279</v>
      </c>
      <c r="M396" s="14" t="n">
        <v>3.8</v>
      </c>
      <c r="N396" s="12">
        <f>ROUND(L396/M396, 0)</f>
        <v/>
      </c>
      <c r="O396" s="12">
        <f>ROUND(N396*'Methodology &amp; Assumptions'!$B$5, 0)</f>
        <v/>
      </c>
      <c r="P396" s="10" t="inlineStr">
        <is>
          <t>Single Carrier (Band n50, 100MHz TDD)</t>
        </is>
      </c>
      <c r="Q396" s="13">
        <f>ROUNDUP(O396/'Methodology &amp; Assumptions'!$B$6, 0)</f>
        <v/>
      </c>
      <c r="R396" s="13" t="n">
        <v>1</v>
      </c>
      <c r="S396" s="14" t="n">
        <v>3.47</v>
      </c>
      <c r="T396" s="14" t="n">
        <v>17.23</v>
      </c>
      <c r="U396" s="26">
        <f>IF(X396&gt;='Methodology &amp; Assumptions'!$B$7, "Tier 1 Critical GIDA (Score ≥ 50.0)", IF(X396&gt;='Methodology &amp; Assumptions'!$B$8, "Tier 2 High GIDA (Score 40.0–49.9)", "Tier 3 Moderate GIDA (Score &lt; 40.0)"))</f>
        <v/>
      </c>
      <c r="V396" s="26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W396" s="28" t="n">
        <v>0.011</v>
      </c>
      <c r="X396" s="14" t="n">
        <v>46.96</v>
      </c>
      <c r="Y396" s="14">
        <f>ROUND(MIN(100, (X396/69.91)*100), 2)</f>
        <v/>
      </c>
    </row>
    <row r="397">
      <c r="A397" s="10" t="n">
        <v>4</v>
      </c>
      <c r="B397" s="10" t="n">
        <v>393</v>
      </c>
      <c r="C397" s="10" t="n">
        <v>3393</v>
      </c>
      <c r="D397" s="10" t="inlineStr">
        <is>
          <t>0405647047</t>
        </is>
      </c>
      <c r="E397" s="26" t="inlineStr">
        <is>
          <t>Region IV-A (CALABARZON)</t>
        </is>
      </c>
      <c r="F397" s="26" t="inlineStr">
        <is>
          <t>Quezon</t>
        </is>
      </c>
      <c r="G397" s="26" t="inlineStr">
        <is>
          <t>City of Tayabas</t>
        </is>
      </c>
      <c r="H397" s="26" t="inlineStr">
        <is>
          <t>Pook</t>
        </is>
      </c>
      <c r="I397" s="27" t="n">
        <v>14.020711</v>
      </c>
      <c r="J397" s="27" t="n">
        <v>121.60219</v>
      </c>
      <c r="K397" s="10" t="inlineStr">
        <is>
          <t>R</t>
        </is>
      </c>
      <c r="L397" s="12" t="n">
        <v>238</v>
      </c>
      <c r="M397" s="14" t="n">
        <v>3.8</v>
      </c>
      <c r="N397" s="12">
        <f>ROUND(L397/M397, 0)</f>
        <v/>
      </c>
      <c r="O397" s="12">
        <f>ROUND(N397*'Methodology &amp; Assumptions'!$B$5, 0)</f>
        <v/>
      </c>
      <c r="P397" s="10" t="inlineStr">
        <is>
          <t>Single Carrier (Band n50, 100MHz TDD)</t>
        </is>
      </c>
      <c r="Q397" s="13">
        <f>ROUNDUP(O397/'Methodology &amp; Assumptions'!$B$6, 0)</f>
        <v/>
      </c>
      <c r="R397" s="13" t="n">
        <v>1</v>
      </c>
      <c r="S397" s="14" t="n">
        <v>1</v>
      </c>
      <c r="T397" s="14" t="n">
        <v>0.42</v>
      </c>
      <c r="U397" s="26">
        <f>IF(X397&gt;='Methodology &amp; Assumptions'!$B$7, "Tier 1 Critical GIDA (Score ≥ 50.0)", IF(X397&gt;='Methodology &amp; Assumptions'!$B$8, "Tier 2 High GIDA (Score 40.0–49.9)", "Tier 3 Moderate GIDA (Score &lt; 40.0)"))</f>
        <v/>
      </c>
      <c r="V397" s="26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W397" s="28" t="n">
        <v>0.07200000000000001</v>
      </c>
      <c r="X397" s="14" t="n">
        <v>46.96</v>
      </c>
      <c r="Y397" s="14">
        <f>ROUND(MIN(100, (X397/69.91)*100), 2)</f>
        <v/>
      </c>
    </row>
    <row r="398">
      <c r="A398" s="10" t="n">
        <v>4</v>
      </c>
      <c r="B398" s="10" t="n">
        <v>394</v>
      </c>
      <c r="C398" s="10" t="n">
        <v>3394</v>
      </c>
      <c r="D398" s="10" t="inlineStr">
        <is>
          <t>0806025017</t>
        </is>
      </c>
      <c r="E398" s="26" t="inlineStr">
        <is>
          <t>Region VIII (Eastern Visayas)</t>
        </is>
      </c>
      <c r="F398" s="26" t="inlineStr">
        <is>
          <t>Samar</t>
        </is>
      </c>
      <c r="G398" s="26" t="inlineStr">
        <is>
          <t>San Jorge</t>
        </is>
      </c>
      <c r="H398" s="26" t="inlineStr">
        <is>
          <t>Lincoro</t>
        </is>
      </c>
      <c r="I398" s="27" t="n">
        <v>11.97919</v>
      </c>
      <c r="J398" s="27" t="n">
        <v>124.88607</v>
      </c>
      <c r="K398" s="10" t="inlineStr">
        <is>
          <t>R</t>
        </is>
      </c>
      <c r="L398" s="12" t="n">
        <v>266</v>
      </c>
      <c r="M398" s="14" t="n">
        <v>4.1</v>
      </c>
      <c r="N398" s="12">
        <f>ROUND(L398/M398, 0)</f>
        <v/>
      </c>
      <c r="O398" s="12">
        <f>ROUND(N398*'Methodology &amp; Assumptions'!$B$5, 0)</f>
        <v/>
      </c>
      <c r="P398" s="10" t="inlineStr">
        <is>
          <t>Single Carrier (Band n50, 100MHz TDD)</t>
        </is>
      </c>
      <c r="Q398" s="13">
        <f>ROUNDUP(O398/'Methodology &amp; Assumptions'!$B$6, 0)</f>
        <v/>
      </c>
      <c r="R398" s="13" t="n">
        <v>1</v>
      </c>
      <c r="S398" s="14" t="n">
        <v>78.53</v>
      </c>
      <c r="T398" s="14" t="n">
        <v>78.48</v>
      </c>
      <c r="U398" s="26">
        <f>IF(X398&gt;='Methodology &amp; Assumptions'!$B$7, "Tier 1 Critical GIDA (Score ≥ 50.0)", IF(X398&gt;='Methodology &amp; Assumptions'!$B$8, "Tier 2 High GIDA (Score 40.0–49.9)", "Tier 3 Moderate GIDA (Score &lt; 40.0)"))</f>
        <v/>
      </c>
      <c r="V398" s="26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W398" s="28" t="n">
        <v>0.237</v>
      </c>
      <c r="X398" s="14" t="n">
        <v>46.95</v>
      </c>
      <c r="Y398" s="14">
        <f>ROUND(MIN(100, (X398/69.91)*100), 2)</f>
        <v/>
      </c>
    </row>
    <row r="399">
      <c r="A399" s="10" t="n">
        <v>4</v>
      </c>
      <c r="B399" s="10" t="n">
        <v>395</v>
      </c>
      <c r="C399" s="10" t="n">
        <v>3395</v>
      </c>
      <c r="D399" s="10" t="inlineStr">
        <is>
          <t>0806025031</t>
        </is>
      </c>
      <c r="E399" s="26" t="inlineStr">
        <is>
          <t>Region VIII (Eastern Visayas)</t>
        </is>
      </c>
      <c r="F399" s="26" t="inlineStr">
        <is>
          <t>Samar</t>
        </is>
      </c>
      <c r="G399" s="26" t="inlineStr">
        <is>
          <t>San Jorge</t>
        </is>
      </c>
      <c r="H399" s="26" t="inlineStr">
        <is>
          <t>Bay-ang</t>
        </is>
      </c>
      <c r="I399" s="27" t="n">
        <v>12.014784</v>
      </c>
      <c r="J399" s="27" t="n">
        <v>124.949407</v>
      </c>
      <c r="K399" s="10" t="inlineStr">
        <is>
          <t>R</t>
        </is>
      </c>
      <c r="L399" s="12" t="n">
        <v>156</v>
      </c>
      <c r="M399" s="14" t="n">
        <v>4.1</v>
      </c>
      <c r="N399" s="12">
        <f>ROUND(L399/M399, 0)</f>
        <v/>
      </c>
      <c r="O399" s="12">
        <f>ROUND(N399*'Methodology &amp; Assumptions'!$B$5, 0)</f>
        <v/>
      </c>
      <c r="P399" s="10" t="inlineStr">
        <is>
          <t>Single Carrier (Band n50, 100MHz TDD)</t>
        </is>
      </c>
      <c r="Q399" s="13">
        <f>ROUNDUP(O399/'Methodology &amp; Assumptions'!$B$6, 0)</f>
        <v/>
      </c>
      <c r="R399" s="13" t="n">
        <v>1</v>
      </c>
      <c r="S399" s="14" t="n">
        <v>84.40000000000001</v>
      </c>
      <c r="T399" s="14" t="n">
        <v>84.34</v>
      </c>
      <c r="U399" s="26">
        <f>IF(X399&gt;='Methodology &amp; Assumptions'!$B$7, "Tier 1 Critical GIDA (Score ≥ 50.0)", IF(X399&gt;='Methodology &amp; Assumptions'!$B$8, "Tier 2 High GIDA (Score 40.0–49.9)", "Tier 3 Moderate GIDA (Score &lt; 40.0)"))</f>
        <v/>
      </c>
      <c r="V399" s="26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W399" s="28" t="n">
        <v>0.237</v>
      </c>
      <c r="X399" s="14" t="n">
        <v>46.95</v>
      </c>
      <c r="Y399" s="14">
        <f>ROUND(MIN(100, (X399/69.91)*100), 2)</f>
        <v/>
      </c>
    </row>
    <row r="400">
      <c r="A400" s="10" t="n">
        <v>4</v>
      </c>
      <c r="B400" s="10" t="n">
        <v>396</v>
      </c>
      <c r="C400" s="10" t="n">
        <v>3396</v>
      </c>
      <c r="D400" s="10" t="inlineStr">
        <is>
          <t>1381300038</t>
        </is>
      </c>
      <c r="E400" s="26" t="inlineStr">
        <is>
          <t>National Capital Region (NCR)</t>
        </is>
      </c>
      <c r="F400" s="26" t="inlineStr">
        <is>
          <t>Second District (Not a Province)</t>
        </is>
      </c>
      <c r="G400" s="26" t="inlineStr">
        <is>
          <t>Quezon City</t>
        </is>
      </c>
      <c r="H400" s="26" t="inlineStr">
        <is>
          <t>Escopa II</t>
        </is>
      </c>
      <c r="I400" s="27" t="n">
        <v>14.662365</v>
      </c>
      <c r="J400" s="27" t="n">
        <v>121.075876</v>
      </c>
      <c r="K400" s="10" t="inlineStr">
        <is>
          <t>U</t>
        </is>
      </c>
      <c r="L400" s="12" t="n">
        <v>1754</v>
      </c>
      <c r="M400" s="14" t="n">
        <v>3.8</v>
      </c>
      <c r="N400" s="12">
        <f>ROUND(L400/M400, 0)</f>
        <v/>
      </c>
      <c r="O400" s="12">
        <f>ROUND(N400*'Methodology &amp; Assumptions'!$B$5, 0)</f>
        <v/>
      </c>
      <c r="P400" s="10" t="inlineStr">
        <is>
          <t>Single Carrier (Band n50, 100MHz TDD)</t>
        </is>
      </c>
      <c r="Q400" s="13">
        <f>ROUNDUP(O400/'Methodology &amp; Assumptions'!$B$6, 0)</f>
        <v/>
      </c>
      <c r="R400" s="13" t="n">
        <v>1</v>
      </c>
      <c r="S400" s="14" t="n">
        <v>0.55</v>
      </c>
      <c r="T400" s="14" t="n">
        <v>0.1</v>
      </c>
      <c r="U400" s="26">
        <f>IF(X400&gt;='Methodology &amp; Assumptions'!$B$7, "Tier 1 Critical GIDA (Score ≥ 50.0)", IF(X400&gt;='Methodology &amp; Assumptions'!$B$8, "Tier 2 High GIDA (Score 40.0–49.9)", "Tier 3 Moderate GIDA (Score &lt; 40.0)"))</f>
        <v/>
      </c>
      <c r="V400" s="26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W400" s="28" t="n">
        <v>0.109</v>
      </c>
      <c r="X400" s="14" t="n">
        <v>46.95</v>
      </c>
      <c r="Y400" s="14">
        <f>ROUND(MIN(100, (X400/69.91)*100), 2)</f>
        <v/>
      </c>
    </row>
    <row r="401">
      <c r="A401" s="10" t="n">
        <v>4</v>
      </c>
      <c r="B401" s="10" t="n">
        <v>397</v>
      </c>
      <c r="C401" s="10" t="n">
        <v>3397</v>
      </c>
      <c r="D401" s="10" t="inlineStr">
        <is>
          <t>0806025026</t>
        </is>
      </c>
      <c r="E401" s="26" t="inlineStr">
        <is>
          <t>Region VIII (Eastern Visayas)</t>
        </is>
      </c>
      <c r="F401" s="26" t="inlineStr">
        <is>
          <t>Samar</t>
        </is>
      </c>
      <c r="G401" s="26" t="inlineStr">
        <is>
          <t>San Jorge</t>
        </is>
      </c>
      <c r="H401" s="26" t="inlineStr">
        <is>
          <t>Sinit-an</t>
        </is>
      </c>
      <c r="I401" s="27" t="n">
        <v>11.89856</v>
      </c>
      <c r="J401" s="27" t="n">
        <v>124.87839</v>
      </c>
      <c r="K401" s="10" t="inlineStr">
        <is>
          <t>R</t>
        </is>
      </c>
      <c r="L401" s="12" t="n">
        <v>164</v>
      </c>
      <c r="M401" s="14" t="n">
        <v>4.1</v>
      </c>
      <c r="N401" s="12">
        <f>ROUND(L401/M401, 0)</f>
        <v/>
      </c>
      <c r="O401" s="12">
        <f>ROUND(N401*'Methodology &amp; Assumptions'!$B$5, 0)</f>
        <v/>
      </c>
      <c r="P401" s="10" t="inlineStr">
        <is>
          <t>Single Carrier (Band n50, 100MHz TDD)</t>
        </is>
      </c>
      <c r="Q401" s="13">
        <f>ROUNDUP(O401/'Methodology &amp; Assumptions'!$B$6, 0)</f>
        <v/>
      </c>
      <c r="R401" s="13" t="n">
        <v>1</v>
      </c>
      <c r="S401" s="14" t="n">
        <v>69.69</v>
      </c>
      <c r="T401" s="14" t="n">
        <v>69.64</v>
      </c>
      <c r="U401" s="26">
        <f>IF(X401&gt;='Methodology &amp; Assumptions'!$B$7, "Tier 1 Critical GIDA (Score ≥ 50.0)", IF(X401&gt;='Methodology &amp; Assumptions'!$B$8, "Tier 2 High GIDA (Score 40.0–49.9)", "Tier 3 Moderate GIDA (Score &lt; 40.0)"))</f>
        <v/>
      </c>
      <c r="V401" s="26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W401" s="28" t="n">
        <v>0.237</v>
      </c>
      <c r="X401" s="14" t="n">
        <v>46.95</v>
      </c>
      <c r="Y401" s="14">
        <f>ROUND(MIN(100, (X401/69.91)*100), 2)</f>
        <v/>
      </c>
    </row>
    <row r="402">
      <c r="A402" s="10" t="n">
        <v>4</v>
      </c>
      <c r="B402" s="10" t="n">
        <v>398</v>
      </c>
      <c r="C402" s="10" t="n">
        <v>3398</v>
      </c>
      <c r="D402" s="10" t="inlineStr">
        <is>
          <t>0806009002</t>
        </is>
      </c>
      <c r="E402" s="26" t="inlineStr">
        <is>
          <t>Region VIII (Eastern Visayas)</t>
        </is>
      </c>
      <c r="F402" s="26" t="inlineStr">
        <is>
          <t>Samar</t>
        </is>
      </c>
      <c r="G402" s="26" t="inlineStr">
        <is>
          <t>Jiabong</t>
        </is>
      </c>
      <c r="H402" s="26" t="inlineStr">
        <is>
          <t>Bugho</t>
        </is>
      </c>
      <c r="I402" s="27" t="n">
        <v>11.89757</v>
      </c>
      <c r="J402" s="27" t="n">
        <v>125.02163</v>
      </c>
      <c r="K402" s="10" t="inlineStr">
        <is>
          <t>R</t>
        </is>
      </c>
      <c r="L402" s="12" t="n">
        <v>281</v>
      </c>
      <c r="M402" s="14" t="n">
        <v>4.1</v>
      </c>
      <c r="N402" s="12">
        <f>ROUND(L402/M402, 0)</f>
        <v/>
      </c>
      <c r="O402" s="12">
        <f>ROUND(N402*'Methodology &amp; Assumptions'!$B$5, 0)</f>
        <v/>
      </c>
      <c r="P402" s="10" t="inlineStr">
        <is>
          <t>Single Carrier (Band n50, 100MHz TDD)</t>
        </is>
      </c>
      <c r="Q402" s="13">
        <f>ROUNDUP(O402/'Methodology &amp; Assumptions'!$B$6, 0)</f>
        <v/>
      </c>
      <c r="R402" s="13" t="n">
        <v>1</v>
      </c>
      <c r="S402" s="14" t="n">
        <v>73.19</v>
      </c>
      <c r="T402" s="14" t="n">
        <v>75.56</v>
      </c>
      <c r="U402" s="26">
        <f>IF(X402&gt;='Methodology &amp; Assumptions'!$B$7, "Tier 1 Critical GIDA (Score ≥ 50.0)", IF(X402&gt;='Methodology &amp; Assumptions'!$B$8, "Tier 2 High GIDA (Score 40.0–49.9)", "Tier 3 Moderate GIDA (Score &lt; 40.0)"))</f>
        <v/>
      </c>
      <c r="V402" s="26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W402" s="28" t="n">
        <v>0.237</v>
      </c>
      <c r="X402" s="14" t="n">
        <v>46.95</v>
      </c>
      <c r="Y402" s="14">
        <f>ROUND(MIN(100, (X402/69.91)*100), 2)</f>
        <v/>
      </c>
    </row>
    <row r="403">
      <c r="A403" s="10" t="n">
        <v>4</v>
      </c>
      <c r="B403" s="10" t="n">
        <v>399</v>
      </c>
      <c r="C403" s="10" t="n">
        <v>3399</v>
      </c>
      <c r="D403" s="10" t="inlineStr">
        <is>
          <t>0501711019</t>
        </is>
      </c>
      <c r="E403" s="26" t="inlineStr">
        <is>
          <t>Region V (Bicol Region)</t>
        </is>
      </c>
      <c r="F403" s="26" t="inlineStr">
        <is>
          <t>Camarines Sur</t>
        </is>
      </c>
      <c r="G403" s="26" t="inlineStr">
        <is>
          <t>Caramoan</t>
        </is>
      </c>
      <c r="H403" s="26" t="inlineStr">
        <is>
          <t>Haponan</t>
        </is>
      </c>
      <c r="I403" s="27" t="n">
        <v>13.83997</v>
      </c>
      <c r="J403" s="27" t="n">
        <v>123.84857</v>
      </c>
      <c r="K403" s="10" t="inlineStr">
        <is>
          <t>R</t>
        </is>
      </c>
      <c r="L403" s="12" t="n">
        <v>781</v>
      </c>
      <c r="M403" s="14" t="n">
        <v>4.2</v>
      </c>
      <c r="N403" s="12">
        <f>ROUND(L403/M403, 0)</f>
        <v/>
      </c>
      <c r="O403" s="12">
        <f>ROUND(N403*'Methodology &amp; Assumptions'!$B$5, 0)</f>
        <v/>
      </c>
      <c r="P403" s="10" t="inlineStr">
        <is>
          <t>Single Carrier (Band n50, 100MHz TDD)</t>
        </is>
      </c>
      <c r="Q403" s="13">
        <f>ROUNDUP(O403/'Methodology &amp; Assumptions'!$B$6, 0)</f>
        <v/>
      </c>
      <c r="R403" s="13" t="n">
        <v>1</v>
      </c>
      <c r="S403" s="14" t="n">
        <v>7.48</v>
      </c>
      <c r="T403" s="14" t="n">
        <v>41.93</v>
      </c>
      <c r="U403" s="26">
        <f>IF(X403&gt;='Methodology &amp; Assumptions'!$B$7, "Tier 1 Critical GIDA (Score ≥ 50.0)", IF(X403&gt;='Methodology &amp; Assumptions'!$B$8, "Tier 2 High GIDA (Score 40.0–49.9)", "Tier 3 Moderate GIDA (Score &lt; 40.0)"))</f>
        <v/>
      </c>
      <c r="V403" s="26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W403" s="28" t="n">
        <v>0.237</v>
      </c>
      <c r="X403" s="14" t="n">
        <v>46.94</v>
      </c>
      <c r="Y403" s="14">
        <f>ROUND(MIN(100, (X403/69.91)*100), 2)</f>
        <v/>
      </c>
    </row>
    <row r="404">
      <c r="A404" s="10" t="n">
        <v>4</v>
      </c>
      <c r="B404" s="10" t="n">
        <v>400</v>
      </c>
      <c r="C404" s="10" t="n">
        <v>3400</v>
      </c>
      <c r="D404" s="10" t="inlineStr">
        <is>
          <t>0402106076</t>
        </is>
      </c>
      <c r="E404" s="26" t="inlineStr">
        <is>
          <t>Region IV-A (CALABARZON)</t>
        </is>
      </c>
      <c r="F404" s="26" t="inlineStr">
        <is>
          <t>Cavite</t>
        </is>
      </c>
      <c r="G404" s="26" t="inlineStr">
        <is>
          <t>City of Dasmariñas</t>
        </is>
      </c>
      <c r="H404" s="26" t="inlineStr">
        <is>
          <t>Santa Cristina II</t>
        </is>
      </c>
      <c r="I404" s="27" t="n">
        <v>14.345996</v>
      </c>
      <c r="J404" s="27" t="n">
        <v>120.964789</v>
      </c>
      <c r="K404" s="10" t="inlineStr">
        <is>
          <t>R</t>
        </is>
      </c>
      <c r="L404" s="12" t="n">
        <v>3690</v>
      </c>
      <c r="M404" s="14" t="n">
        <v>3.4</v>
      </c>
      <c r="N404" s="12">
        <f>ROUND(L404/M404, 0)</f>
        <v/>
      </c>
      <c r="O404" s="12">
        <f>ROUND(N404*'Methodology &amp; Assumptions'!$B$5, 0)</f>
        <v/>
      </c>
      <c r="P404" s="10" t="inlineStr">
        <is>
          <t>Single Carrier (Band n50, 100MHz TDD)</t>
        </is>
      </c>
      <c r="Q404" s="13">
        <f>ROUNDUP(O404/'Methodology &amp; Assumptions'!$B$6, 0)</f>
        <v/>
      </c>
      <c r="R404" s="13" t="n">
        <v>1</v>
      </c>
      <c r="S404" s="14" t="n">
        <v>2.76</v>
      </c>
      <c r="T404" s="14" t="n">
        <v>4.86</v>
      </c>
      <c r="U404" s="26">
        <f>IF(X404&gt;='Methodology &amp; Assumptions'!$B$7, "Tier 1 Critical GIDA (Score ≥ 50.0)", IF(X404&gt;='Methodology &amp; Assumptions'!$B$8, "Tier 2 High GIDA (Score 40.0–49.9)", "Tier 3 Moderate GIDA (Score &lt; 40.0)"))</f>
        <v/>
      </c>
      <c r="V404" s="26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W404" s="28" t="n">
        <v>0.07200000000000001</v>
      </c>
      <c r="X404" s="14" t="n">
        <v>46.94</v>
      </c>
      <c r="Y404" s="14">
        <f>ROUND(MIN(100, (X404/69.91)*100), 2)</f>
        <v/>
      </c>
    </row>
    <row r="405">
      <c r="A405" s="10" t="n">
        <v>4</v>
      </c>
      <c r="B405" s="10" t="n">
        <v>401</v>
      </c>
      <c r="C405" s="10" t="n">
        <v>3401</v>
      </c>
      <c r="D405" s="10" t="inlineStr">
        <is>
          <t>0401005055</t>
        </is>
      </c>
      <c r="E405" s="26" t="inlineStr">
        <is>
          <t>Region IV-A (CALABARZON)</t>
        </is>
      </c>
      <c r="F405" s="26" t="inlineStr">
        <is>
          <t>Batangas</t>
        </is>
      </c>
      <c r="G405" s="26" t="inlineStr">
        <is>
          <t>Batangas City</t>
        </is>
      </c>
      <c r="H405" s="26" t="inlineStr">
        <is>
          <t>Barangay 1</t>
        </is>
      </c>
      <c r="I405" s="27" t="n">
        <v>13.701525</v>
      </c>
      <c r="J405" s="27" t="n">
        <v>121.063823</v>
      </c>
      <c r="K405" s="10" t="inlineStr">
        <is>
          <t>U</t>
        </is>
      </c>
      <c r="L405" s="12" t="n">
        <v>792</v>
      </c>
      <c r="M405" s="14" t="n">
        <v>3.6</v>
      </c>
      <c r="N405" s="12">
        <f>ROUND(L405/M405, 0)</f>
        <v/>
      </c>
      <c r="O405" s="12">
        <f>ROUND(N405*'Methodology &amp; Assumptions'!$B$5, 0)</f>
        <v/>
      </c>
      <c r="P405" s="10" t="inlineStr">
        <is>
          <t>Single Carrier (Band n50, 100MHz TDD)</t>
        </is>
      </c>
      <c r="Q405" s="13">
        <f>ROUNDUP(O405/'Methodology &amp; Assumptions'!$B$6, 0)</f>
        <v/>
      </c>
      <c r="R405" s="13" t="n">
        <v>1</v>
      </c>
      <c r="S405" s="14" t="n">
        <v>1.66</v>
      </c>
      <c r="T405" s="14" t="n">
        <v>6.1</v>
      </c>
      <c r="U405" s="26">
        <f>IF(X405&gt;='Methodology &amp; Assumptions'!$B$7, "Tier 1 Critical GIDA (Score ≥ 50.0)", IF(X405&gt;='Methodology &amp; Assumptions'!$B$8, "Tier 2 High GIDA (Score 40.0–49.9)", "Tier 3 Moderate GIDA (Score &lt; 40.0)"))</f>
        <v/>
      </c>
      <c r="V405" s="26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W405" s="28" t="n">
        <v>0.07200000000000001</v>
      </c>
      <c r="X405" s="14" t="n">
        <v>46.93</v>
      </c>
      <c r="Y405" s="14">
        <f>ROUND(MIN(100, (X405/69.91)*100), 2)</f>
        <v/>
      </c>
    </row>
    <row r="406">
      <c r="A406" s="10" t="n">
        <v>4</v>
      </c>
      <c r="B406" s="10" t="n">
        <v>402</v>
      </c>
      <c r="C406" s="10" t="n">
        <v>3402</v>
      </c>
      <c r="D406" s="10" t="inlineStr">
        <is>
          <t>1381300095</t>
        </is>
      </c>
      <c r="E406" s="26" t="inlineStr">
        <is>
          <t>National Capital Region (NCR)</t>
        </is>
      </c>
      <c r="F406" s="26" t="inlineStr">
        <is>
          <t>Second District (Not a Province)</t>
        </is>
      </c>
      <c r="G406" s="26" t="inlineStr">
        <is>
          <t>Quezon City</t>
        </is>
      </c>
      <c r="H406" s="26" t="inlineStr">
        <is>
          <t>San Agustin</t>
        </is>
      </c>
      <c r="I406" s="27" t="n">
        <v>14.729747</v>
      </c>
      <c r="J406" s="27" t="n">
        <v>121.035172</v>
      </c>
      <c r="K406" s="10" t="inlineStr">
        <is>
          <t>U</t>
        </is>
      </c>
      <c r="L406" s="12" t="n">
        <v>26419</v>
      </c>
      <c r="M406" s="14" t="n">
        <v>3.8</v>
      </c>
      <c r="N406" s="12">
        <f>ROUND(L406/M406, 0)</f>
        <v/>
      </c>
      <c r="O406" s="12">
        <f>ROUND(N406*'Methodology &amp; Assumptions'!$B$5, 0)</f>
        <v/>
      </c>
      <c r="P406" s="10" t="inlineStr">
        <is>
          <t>Single Carrier (Band n50, 100MHz TDD)</t>
        </is>
      </c>
      <c r="Q406" s="13">
        <f>ROUNDUP(O406/'Methodology &amp; Assumptions'!$B$6, 0)</f>
        <v/>
      </c>
      <c r="R406" s="13" t="n">
        <v>1</v>
      </c>
      <c r="S406" s="14" t="n">
        <v>1.17</v>
      </c>
      <c r="T406" s="14" t="n">
        <v>0.25</v>
      </c>
      <c r="U406" s="26">
        <f>IF(X406&gt;='Methodology &amp; Assumptions'!$B$7, "Tier 1 Critical GIDA (Score ≥ 50.0)", IF(X406&gt;='Methodology &amp; Assumptions'!$B$8, "Tier 2 High GIDA (Score 40.0–49.9)", "Tier 3 Moderate GIDA (Score &lt; 40.0)"))</f>
        <v/>
      </c>
      <c r="V406" s="26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W406" s="28" t="n">
        <v>0.109</v>
      </c>
      <c r="X406" s="14" t="n">
        <v>46.93</v>
      </c>
      <c r="Y406" s="14">
        <f>ROUND(MIN(100, (X406/69.91)*100), 2)</f>
        <v/>
      </c>
    </row>
    <row r="407">
      <c r="A407" s="10" t="n">
        <v>4</v>
      </c>
      <c r="B407" s="10" t="n">
        <v>403</v>
      </c>
      <c r="C407" s="10" t="n">
        <v>3403</v>
      </c>
      <c r="D407" s="10" t="inlineStr">
        <is>
          <t>0201528033</t>
        </is>
      </c>
      <c r="E407" s="26" t="inlineStr">
        <is>
          <t>Region II (Cagayan Valley)</t>
        </is>
      </c>
      <c r="F407" s="26" t="inlineStr">
        <is>
          <t>Cagayan</t>
        </is>
      </c>
      <c r="G407" s="26" t="inlineStr">
        <is>
          <t>Tuao</t>
        </is>
      </c>
      <c r="H407" s="26" t="inlineStr">
        <is>
          <t>Malalinta</t>
        </is>
      </c>
      <c r="I407" s="27" t="n">
        <v>17.659102</v>
      </c>
      <c r="J407" s="27" t="n">
        <v>121.488736</v>
      </c>
      <c r="K407" s="10" t="inlineStr">
        <is>
          <t>R</t>
        </is>
      </c>
      <c r="L407" s="12" t="n">
        <v>970</v>
      </c>
      <c r="M407" s="14" t="n">
        <v>3.9</v>
      </c>
      <c r="N407" s="12">
        <f>ROUND(L407/M407, 0)</f>
        <v/>
      </c>
      <c r="O407" s="12">
        <f>ROUND(N407*'Methodology &amp; Assumptions'!$B$5, 0)</f>
        <v/>
      </c>
      <c r="P407" s="10" t="inlineStr">
        <is>
          <t>Single Carrier (Band n50, 100MHz TDD)</t>
        </is>
      </c>
      <c r="Q407" s="13">
        <f>ROUNDUP(O407/'Methodology &amp; Assumptions'!$B$6, 0)</f>
        <v/>
      </c>
      <c r="R407" s="13" t="n">
        <v>1</v>
      </c>
      <c r="S407" s="14" t="n">
        <v>2.79</v>
      </c>
      <c r="T407" s="14" t="n">
        <v>6.28</v>
      </c>
      <c r="U407" s="26">
        <f>IF(X407&gt;='Methodology &amp; Assumptions'!$B$7, "Tier 1 Critical GIDA (Score ≥ 50.0)", IF(X407&gt;='Methodology &amp; Assumptions'!$B$8, "Tier 2 High GIDA (Score 40.0–49.9)", "Tier 3 Moderate GIDA (Score &lt; 40.0)"))</f>
        <v/>
      </c>
      <c r="V407" s="26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W407" s="28" t="n">
        <v>0.083</v>
      </c>
      <c r="X407" s="14" t="n">
        <v>46.92</v>
      </c>
      <c r="Y407" s="14">
        <f>ROUND(MIN(100, (X407/69.91)*100), 2)</f>
        <v/>
      </c>
    </row>
    <row r="408">
      <c r="A408" s="10" t="n">
        <v>4</v>
      </c>
      <c r="B408" s="10" t="n">
        <v>404</v>
      </c>
      <c r="C408" s="10" t="n">
        <v>3404</v>
      </c>
      <c r="D408" s="10" t="inlineStr">
        <is>
          <t>1903601012</t>
        </is>
      </c>
      <c r="E408" s="26" t="inlineStr">
        <is>
          <t>Bangsamoro Autonomous Region In Muslim Mindanao (BARMM)</t>
        </is>
      </c>
      <c r="F408" s="26" t="inlineStr">
        <is>
          <t>Lanao del Sur</t>
        </is>
      </c>
      <c r="G408" s="26" t="inlineStr">
        <is>
          <t>Bacolod-Kalawi</t>
        </is>
      </c>
      <c r="H408" s="26" t="inlineStr">
        <is>
          <t>Gurain</t>
        </is>
      </c>
      <c r="I408" s="27" t="n">
        <v>17.254722</v>
      </c>
      <c r="J408" s="27" t="n">
        <v>122.228766</v>
      </c>
      <c r="K408" s="10" t="inlineStr">
        <is>
          <t>U</t>
        </is>
      </c>
      <c r="L408" s="12" t="n">
        <v>471</v>
      </c>
      <c r="M408" s="14" t="n">
        <v>5.7</v>
      </c>
      <c r="N408" s="12">
        <f>ROUND(L408/M408, 0)</f>
        <v/>
      </c>
      <c r="O408" s="12">
        <f>ROUND(N408*'Methodology &amp; Assumptions'!$B$5, 0)</f>
        <v/>
      </c>
      <c r="P408" s="10" t="inlineStr">
        <is>
          <t>Single Carrier (Band n50, 100MHz TDD)</t>
        </is>
      </c>
      <c r="Q408" s="13">
        <f>ROUNDUP(O408/'Methodology &amp; Assumptions'!$B$6, 0)</f>
        <v/>
      </c>
      <c r="R408" s="13" t="n">
        <v>1</v>
      </c>
      <c r="S408" s="14" t="n">
        <v>29.4</v>
      </c>
      <c r="T408" s="14" t="n">
        <v>34.28</v>
      </c>
      <c r="U408" s="26">
        <f>IF(X408&gt;='Methodology &amp; Assumptions'!$B$7, "Tier 1 Critical GIDA (Score ≥ 50.0)", IF(X408&gt;='Methodology &amp; Assumptions'!$B$8, "Tier 2 High GIDA (Score 40.0–49.9)", "Tier 3 Moderate GIDA (Score &lt; 40.0)"))</f>
        <v/>
      </c>
      <c r="V408" s="26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W408" s="28" t="n">
        <v>0.11</v>
      </c>
      <c r="X408" s="14" t="n">
        <v>46.92</v>
      </c>
      <c r="Y408" s="14">
        <f>ROUND(MIN(100, (X408/69.91)*100), 2)</f>
        <v/>
      </c>
    </row>
    <row r="409">
      <c r="A409" s="10" t="n">
        <v>4</v>
      </c>
      <c r="B409" s="10" t="n">
        <v>405</v>
      </c>
      <c r="C409" s="10" t="n">
        <v>3405</v>
      </c>
      <c r="D409" s="10" t="inlineStr">
        <is>
          <t>0501714006</t>
        </is>
      </c>
      <c r="E409" s="26" t="inlineStr">
        <is>
          <t>Region V (Bicol Region)</t>
        </is>
      </c>
      <c r="F409" s="26" t="inlineStr">
        <is>
          <t>Camarines Sur</t>
        </is>
      </c>
      <c r="G409" s="26" t="inlineStr">
        <is>
          <t>Garchitorena</t>
        </is>
      </c>
      <c r="H409" s="26" t="inlineStr">
        <is>
          <t>Cagnipa</t>
        </is>
      </c>
      <c r="I409" s="27" t="n">
        <v>13.957848</v>
      </c>
      <c r="J409" s="27" t="n">
        <v>123.666041</v>
      </c>
      <c r="K409" s="10" t="inlineStr">
        <is>
          <t>R</t>
        </is>
      </c>
      <c r="L409" s="12" t="n">
        <v>720</v>
      </c>
      <c r="M409" s="14" t="n">
        <v>4.2</v>
      </c>
      <c r="N409" s="12">
        <f>ROUND(L409/M409, 0)</f>
        <v/>
      </c>
      <c r="O409" s="12">
        <f>ROUND(N409*'Methodology &amp; Assumptions'!$B$5, 0)</f>
        <v/>
      </c>
      <c r="P409" s="10" t="inlineStr">
        <is>
          <t>Single Carrier (Band n50, 100MHz TDD)</t>
        </is>
      </c>
      <c r="Q409" s="13">
        <f>ROUNDUP(O409/'Methodology &amp; Assumptions'!$B$6, 0)</f>
        <v/>
      </c>
      <c r="R409" s="13" t="n">
        <v>1</v>
      </c>
      <c r="S409" s="14" t="n">
        <v>29.51</v>
      </c>
      <c r="T409" s="14" t="n">
        <v>35.09</v>
      </c>
      <c r="U409" s="26">
        <f>IF(X409&gt;='Methodology &amp; Assumptions'!$B$7, "Tier 1 Critical GIDA (Score ≥ 50.0)", IF(X409&gt;='Methodology &amp; Assumptions'!$B$8, "Tier 2 High GIDA (Score 40.0–49.9)", "Tier 3 Moderate GIDA (Score &lt; 40.0)"))</f>
        <v/>
      </c>
      <c r="V409" s="26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W409" s="28" t="n">
        <v>0.237</v>
      </c>
      <c r="X409" s="14" t="n">
        <v>46.92</v>
      </c>
      <c r="Y409" s="14">
        <f>ROUND(MIN(100, (X409/69.91)*100), 2)</f>
        <v/>
      </c>
    </row>
    <row r="410">
      <c r="A410" s="10" t="n">
        <v>4</v>
      </c>
      <c r="B410" s="10" t="n">
        <v>406</v>
      </c>
      <c r="C410" s="10" t="n">
        <v>3406</v>
      </c>
      <c r="D410" s="10" t="inlineStr">
        <is>
          <t>1908711008</t>
        </is>
      </c>
      <c r="E410" s="26" t="inlineStr">
        <is>
          <t>Bangsamoro Autonomous Region In Muslim Mindanao (BARMM)</t>
        </is>
      </c>
      <c r="F410" s="26" t="inlineStr">
        <is>
          <t>Maguindanao del Norte</t>
        </is>
      </c>
      <c r="G410" s="26" t="inlineStr">
        <is>
          <t>Sultan Mastura</t>
        </is>
      </c>
      <c r="H410" s="26" t="inlineStr">
        <is>
          <t>Simuay/Seashore</t>
        </is>
      </c>
      <c r="I410" s="27" t="n">
        <v>17.254074</v>
      </c>
      <c r="J410" s="27" t="n">
        <v>122.228118</v>
      </c>
      <c r="K410" s="10" t="inlineStr">
        <is>
          <t>R</t>
        </is>
      </c>
      <c r="L410" s="12" t="n">
        <v>4505</v>
      </c>
      <c r="M410" s="14" t="n">
        <v>4.3</v>
      </c>
      <c r="N410" s="12">
        <f>ROUND(L410/M410, 0)</f>
        <v/>
      </c>
      <c r="O410" s="12">
        <f>ROUND(N410*'Methodology &amp; Assumptions'!$B$5, 0)</f>
        <v/>
      </c>
      <c r="P410" s="10" t="inlineStr">
        <is>
          <t>Single Carrier (Band n50, 100MHz TDD)</t>
        </is>
      </c>
      <c r="Q410" s="13">
        <f>ROUNDUP(O410/'Methodology &amp; Assumptions'!$B$6, 0)</f>
        <v/>
      </c>
      <c r="R410" s="13" t="n">
        <v>1</v>
      </c>
      <c r="S410" s="14" t="n">
        <v>29.3</v>
      </c>
      <c r="T410" s="14" t="n">
        <v>34.2</v>
      </c>
      <c r="U410" s="26">
        <f>IF(X410&gt;='Methodology &amp; Assumptions'!$B$7, "Tier 1 Critical GIDA (Score ≥ 50.0)", IF(X410&gt;='Methodology &amp; Assumptions'!$B$8, "Tier 2 High GIDA (Score 40.0–49.9)", "Tier 3 Moderate GIDA (Score &lt; 40.0)"))</f>
        <v/>
      </c>
      <c r="V410" s="26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W410" s="28" t="n">
        <v>0.11</v>
      </c>
      <c r="X410" s="14" t="n">
        <v>46.91</v>
      </c>
      <c r="Y410" s="14">
        <f>ROUND(MIN(100, (X410/69.91)*100), 2)</f>
        <v/>
      </c>
    </row>
    <row r="411">
      <c r="A411" s="10" t="n">
        <v>4</v>
      </c>
      <c r="B411" s="10" t="n">
        <v>407</v>
      </c>
      <c r="C411" s="10" t="n">
        <v>3407</v>
      </c>
      <c r="D411" s="10" t="inlineStr">
        <is>
          <t>0501606017</t>
        </is>
      </c>
      <c r="E411" s="26" t="inlineStr">
        <is>
          <t>Region V (Bicol Region)</t>
        </is>
      </c>
      <c r="F411" s="26" t="inlineStr">
        <is>
          <t>Camarines Norte</t>
        </is>
      </c>
      <c r="G411" s="26" t="inlineStr">
        <is>
          <t>Labo</t>
        </is>
      </c>
      <c r="H411" s="26" t="inlineStr">
        <is>
          <t>Cabatuhan</t>
        </is>
      </c>
      <c r="I411" s="27" t="n">
        <v>14.118913</v>
      </c>
      <c r="J411" s="27" t="n">
        <v>122.537452</v>
      </c>
      <c r="K411" s="10" t="inlineStr">
        <is>
          <t>R</t>
        </is>
      </c>
      <c r="L411" s="12" t="n">
        <v>1650</v>
      </c>
      <c r="M411" s="14" t="n">
        <v>4</v>
      </c>
      <c r="N411" s="12">
        <f>ROUND(L411/M411, 0)</f>
        <v/>
      </c>
      <c r="O411" s="12">
        <f>ROUND(N411*'Methodology &amp; Assumptions'!$B$5, 0)</f>
        <v/>
      </c>
      <c r="P411" s="10" t="inlineStr">
        <is>
          <t>Single Carrier (Band n50, 100MHz TDD)</t>
        </is>
      </c>
      <c r="Q411" s="13">
        <f>ROUNDUP(O411/'Methodology &amp; Assumptions'!$B$6, 0)</f>
        <v/>
      </c>
      <c r="R411" s="13" t="n">
        <v>1</v>
      </c>
      <c r="S411" s="14" t="n">
        <v>10.92</v>
      </c>
      <c r="T411" s="14" t="n">
        <v>5.5</v>
      </c>
      <c r="U411" s="26">
        <f>IF(X411&gt;='Methodology &amp; Assumptions'!$B$7, "Tier 1 Critical GIDA (Score ≥ 50.0)", IF(X411&gt;='Methodology &amp; Assumptions'!$B$8, "Tier 2 High GIDA (Score 40.0–49.9)", "Tier 3 Moderate GIDA (Score &lt; 40.0)"))</f>
        <v/>
      </c>
      <c r="V411" s="26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W411" s="28" t="n">
        <v>0.237</v>
      </c>
      <c r="X411" s="14" t="n">
        <v>46.91</v>
      </c>
      <c r="Y411" s="14">
        <f>ROUND(MIN(100, (X411/69.91)*100), 2)</f>
        <v/>
      </c>
    </row>
    <row r="412">
      <c r="A412" s="10" t="n">
        <v>4</v>
      </c>
      <c r="B412" s="10" t="n">
        <v>408</v>
      </c>
      <c r="C412" s="10" t="n">
        <v>3408</v>
      </c>
      <c r="D412" s="10" t="inlineStr">
        <is>
          <t>PH0003408</t>
        </is>
      </c>
      <c r="E412" s="26" t="inlineStr">
        <is>
          <t>IV-A</t>
        </is>
      </c>
      <c r="F412" s="26" t="inlineStr">
        <is>
          <t>Cavite</t>
        </is>
      </c>
      <c r="G412" s="26" t="inlineStr">
        <is>
          <t>Imus City</t>
        </is>
      </c>
      <c r="H412" s="26" t="inlineStr">
        <is>
          <t>Bayan Luma I</t>
        </is>
      </c>
      <c r="I412" s="27" t="n">
        <v>14.310454</v>
      </c>
      <c r="J412" s="27" t="n">
        <v>120.896344</v>
      </c>
      <c r="K412" s="10" t="inlineStr">
        <is>
          <t>R</t>
        </is>
      </c>
      <c r="L412" s="12" t="n">
        <v>2316</v>
      </c>
      <c r="M412" s="14" t="n">
        <v>3.4</v>
      </c>
      <c r="N412" s="12">
        <f>ROUND(L412/M412, 0)</f>
        <v/>
      </c>
      <c r="O412" s="12">
        <f>ROUND(N412*'Methodology &amp; Assumptions'!$B$5, 0)</f>
        <v/>
      </c>
      <c r="P412" s="10" t="inlineStr">
        <is>
          <t>Single Carrier (Band n50, 100MHz TDD)</t>
        </is>
      </c>
      <c r="Q412" s="13">
        <f>ROUNDUP(O412/'Methodology &amp; Assumptions'!$B$6, 0)</f>
        <v/>
      </c>
      <c r="R412" s="13" t="n">
        <v>1</v>
      </c>
      <c r="S412" s="14" t="n">
        <v>2.33</v>
      </c>
      <c r="T412" s="14" t="n">
        <v>2.3</v>
      </c>
      <c r="U412" s="26">
        <f>IF(X412&gt;='Methodology &amp; Assumptions'!$B$7, "Tier 1 Critical GIDA (Score ≥ 50.0)", IF(X412&gt;='Methodology &amp; Assumptions'!$B$8, "Tier 2 High GIDA (Score 40.0–49.9)", "Tier 3 Moderate GIDA (Score &lt; 40.0)"))</f>
        <v/>
      </c>
      <c r="V412" s="26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W412" s="28" t="n">
        <v>0.07200000000000001</v>
      </c>
      <c r="X412" s="14" t="n">
        <v>46.91</v>
      </c>
      <c r="Y412" s="14">
        <f>ROUND(MIN(100, (X412/69.91)*100), 2)</f>
        <v/>
      </c>
    </row>
    <row r="413">
      <c r="A413" s="10" t="n">
        <v>4</v>
      </c>
      <c r="B413" s="10" t="n">
        <v>409</v>
      </c>
      <c r="C413" s="10" t="n">
        <v>3409</v>
      </c>
      <c r="D413" s="10" t="inlineStr">
        <is>
          <t>0806025012</t>
        </is>
      </c>
      <c r="E413" s="26" t="inlineStr">
        <is>
          <t>Region VIII (Eastern Visayas)</t>
        </is>
      </c>
      <c r="F413" s="26" t="inlineStr">
        <is>
          <t>Samar</t>
        </is>
      </c>
      <c r="G413" s="26" t="inlineStr">
        <is>
          <t>San Jorge</t>
        </is>
      </c>
      <c r="H413" s="26" t="inlineStr">
        <is>
          <t>Hernandez</t>
        </is>
      </c>
      <c r="I413" s="27" t="n">
        <v>11.90055</v>
      </c>
      <c r="J413" s="27" t="n">
        <v>124.89491</v>
      </c>
      <c r="K413" s="10" t="inlineStr">
        <is>
          <t>R</t>
        </is>
      </c>
      <c r="L413" s="12" t="n">
        <v>120</v>
      </c>
      <c r="M413" s="14" t="n">
        <v>4.1</v>
      </c>
      <c r="N413" s="12">
        <f>ROUND(L413/M413, 0)</f>
        <v/>
      </c>
      <c r="O413" s="12">
        <f>ROUND(N413*'Methodology &amp; Assumptions'!$B$5, 0)</f>
        <v/>
      </c>
      <c r="P413" s="10" t="inlineStr">
        <is>
          <t>Single Carrier (Band n50, 100MHz TDD)</t>
        </is>
      </c>
      <c r="Q413" s="13">
        <f>ROUNDUP(O413/'Methodology &amp; Assumptions'!$B$6, 0)</f>
        <v/>
      </c>
      <c r="R413" s="13" t="n">
        <v>1</v>
      </c>
      <c r="S413" s="14" t="n">
        <v>70.45</v>
      </c>
      <c r="T413" s="14" t="n">
        <v>70.40000000000001</v>
      </c>
      <c r="U413" s="26">
        <f>IF(X413&gt;='Methodology &amp; Assumptions'!$B$7, "Tier 1 Critical GIDA (Score ≥ 50.0)", IF(X413&gt;='Methodology &amp; Assumptions'!$B$8, "Tier 2 High GIDA (Score 40.0–49.9)", "Tier 3 Moderate GIDA (Score &lt; 40.0)"))</f>
        <v/>
      </c>
      <c r="V413" s="26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W413" s="28" t="n">
        <v>0.237</v>
      </c>
      <c r="X413" s="14" t="n">
        <v>46.9</v>
      </c>
      <c r="Y413" s="14">
        <f>ROUND(MIN(100, (X413/69.91)*100), 2)</f>
        <v/>
      </c>
    </row>
    <row r="414">
      <c r="A414" s="10" t="n">
        <v>4</v>
      </c>
      <c r="B414" s="10" t="n">
        <v>410</v>
      </c>
      <c r="C414" s="10" t="n">
        <v>3410</v>
      </c>
      <c r="D414" s="10" t="inlineStr">
        <is>
          <t>0806025011</t>
        </is>
      </c>
      <c r="E414" s="26" t="inlineStr">
        <is>
          <t>Region VIII (Eastern Visayas)</t>
        </is>
      </c>
      <c r="F414" s="26" t="inlineStr">
        <is>
          <t>Samar</t>
        </is>
      </c>
      <c r="G414" s="26" t="inlineStr">
        <is>
          <t>San Jorge</t>
        </is>
      </c>
      <c r="H414" s="26" t="inlineStr">
        <is>
          <t>Guadalupe</t>
        </is>
      </c>
      <c r="I414" s="27" t="n">
        <v>11.89819</v>
      </c>
      <c r="J414" s="27" t="n">
        <v>124.88569</v>
      </c>
      <c r="K414" s="10" t="inlineStr">
        <is>
          <t>R</t>
        </is>
      </c>
      <c r="L414" s="12" t="n">
        <v>133</v>
      </c>
      <c r="M414" s="14" t="n">
        <v>4.1</v>
      </c>
      <c r="N414" s="12">
        <f>ROUND(L414/M414, 0)</f>
        <v/>
      </c>
      <c r="O414" s="12">
        <f>ROUND(N414*'Methodology &amp; Assumptions'!$B$5, 0)</f>
        <v/>
      </c>
      <c r="P414" s="10" t="inlineStr">
        <is>
          <t>Single Carrier (Band n50, 100MHz TDD)</t>
        </is>
      </c>
      <c r="Q414" s="13">
        <f>ROUNDUP(O414/'Methodology &amp; Assumptions'!$B$6, 0)</f>
        <v/>
      </c>
      <c r="R414" s="13" t="n">
        <v>1</v>
      </c>
      <c r="S414" s="14" t="n">
        <v>69.89</v>
      </c>
      <c r="T414" s="14" t="n">
        <v>69.84</v>
      </c>
      <c r="U414" s="26">
        <f>IF(X414&gt;='Methodology &amp; Assumptions'!$B$7, "Tier 1 Critical GIDA (Score ≥ 50.0)", IF(X414&gt;='Methodology &amp; Assumptions'!$B$8, "Tier 2 High GIDA (Score 40.0–49.9)", "Tier 3 Moderate GIDA (Score &lt; 40.0)"))</f>
        <v/>
      </c>
      <c r="V414" s="26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W414" s="28" t="n">
        <v>0.237</v>
      </c>
      <c r="X414" s="14" t="n">
        <v>46.9</v>
      </c>
      <c r="Y414" s="14">
        <f>ROUND(MIN(100, (X414/69.91)*100), 2)</f>
        <v/>
      </c>
    </row>
    <row r="415">
      <c r="A415" s="10" t="n">
        <v>4</v>
      </c>
      <c r="B415" s="10" t="n">
        <v>411</v>
      </c>
      <c r="C415" s="10" t="n">
        <v>3411</v>
      </c>
      <c r="D415" s="10" t="inlineStr">
        <is>
          <t>1608501002</t>
        </is>
      </c>
      <c r="E415" s="26" t="inlineStr">
        <is>
          <t>Region XIII (Caraga)</t>
        </is>
      </c>
      <c r="F415" s="26" t="inlineStr">
        <is>
          <t>Dinagat Islands</t>
        </is>
      </c>
      <c r="G415" s="26" t="inlineStr">
        <is>
          <t>Basilisa</t>
        </is>
      </c>
      <c r="H415" s="26" t="inlineStr">
        <is>
          <t>Catadman</t>
        </is>
      </c>
      <c r="I415" s="27" t="n">
        <v>9.989815</v>
      </c>
      <c r="J415" s="27" t="n">
        <v>125.535278</v>
      </c>
      <c r="K415" s="10" t="inlineStr">
        <is>
          <t>R</t>
        </is>
      </c>
      <c r="L415" s="12" t="n">
        <v>879</v>
      </c>
      <c r="M415" s="14" t="n">
        <v>3.8</v>
      </c>
      <c r="N415" s="12">
        <f>ROUND(L415/M415, 0)</f>
        <v/>
      </c>
      <c r="O415" s="12">
        <f>ROUND(N415*'Methodology &amp; Assumptions'!$B$5, 0)</f>
        <v/>
      </c>
      <c r="P415" s="10" t="inlineStr">
        <is>
          <t>Single Carrier (Band n50, 100MHz TDD)</t>
        </is>
      </c>
      <c r="Q415" s="13">
        <f>ROUNDUP(O415/'Methodology &amp; Assumptions'!$B$6, 0)</f>
        <v/>
      </c>
      <c r="R415" s="13" t="n">
        <v>1</v>
      </c>
      <c r="S415" s="14" t="n">
        <v>22.87</v>
      </c>
      <c r="T415" s="14" t="n">
        <v>22.87</v>
      </c>
      <c r="U415" s="26">
        <f>IF(X415&gt;='Methodology &amp; Assumptions'!$B$7, "Tier 1 Critical GIDA (Score ≥ 50.0)", IF(X415&gt;='Methodology &amp; Assumptions'!$B$8, "Tier 2 High GIDA (Score 40.0–49.9)", "Tier 3 Moderate GIDA (Score &lt; 40.0)"))</f>
        <v/>
      </c>
      <c r="V415" s="26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W415" s="28" t="n">
        <v>0.174</v>
      </c>
      <c r="X415" s="14" t="n">
        <v>46.89</v>
      </c>
      <c r="Y415" s="14">
        <f>ROUND(MIN(100, (X415/69.91)*100), 2)</f>
        <v/>
      </c>
    </row>
    <row r="416">
      <c r="A416" s="10" t="n">
        <v>4</v>
      </c>
      <c r="B416" s="10" t="n">
        <v>412</v>
      </c>
      <c r="C416" s="10" t="n">
        <v>3412</v>
      </c>
      <c r="D416" s="10" t="inlineStr">
        <is>
          <t>1102319016</t>
        </is>
      </c>
      <c r="E416" s="26" t="inlineStr">
        <is>
          <t>Region XI (Davao Region)</t>
        </is>
      </c>
      <c r="F416" s="26" t="inlineStr">
        <is>
          <t>Davao del Norte</t>
        </is>
      </c>
      <c r="G416" s="26" t="inlineStr">
        <is>
          <t>City of Tagum</t>
        </is>
      </c>
      <c r="H416" s="26" t="inlineStr">
        <is>
          <t>Magugpo Poblacion</t>
        </is>
      </c>
      <c r="I416" s="27" t="n">
        <v>7.429432</v>
      </c>
      <c r="J416" s="27" t="n">
        <v>125.801262</v>
      </c>
      <c r="K416" s="10" t="inlineStr">
        <is>
          <t>U</t>
        </is>
      </c>
      <c r="L416" s="12" t="n">
        <v>2994</v>
      </c>
      <c r="M416" s="14" t="n">
        <v>3.7</v>
      </c>
      <c r="N416" s="12">
        <f>ROUND(L416/M416, 0)</f>
        <v/>
      </c>
      <c r="O416" s="12">
        <f>ROUND(N416*'Methodology &amp; Assumptions'!$B$5, 0)</f>
        <v/>
      </c>
      <c r="P416" s="10" t="inlineStr">
        <is>
          <t>Single Carrier (Band n50, 100MHz TDD)</t>
        </is>
      </c>
      <c r="Q416" s="13">
        <f>ROUNDUP(O416/'Methodology &amp; Assumptions'!$B$6, 0)</f>
        <v/>
      </c>
      <c r="R416" s="13" t="n">
        <v>1</v>
      </c>
      <c r="S416" s="14" t="n">
        <v>1.32</v>
      </c>
      <c r="T416" s="14" t="n">
        <v>0.51</v>
      </c>
      <c r="U416" s="26">
        <f>IF(X416&gt;='Methodology &amp; Assumptions'!$B$7, "Tier 1 Critical GIDA (Score ≥ 50.0)", IF(X416&gt;='Methodology &amp; Assumptions'!$B$8, "Tier 2 High GIDA (Score 40.0–49.9)", "Tier 3 Moderate GIDA (Score &lt; 40.0)"))</f>
        <v/>
      </c>
      <c r="V416" s="26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W416" s="28" t="n">
        <v>0.174</v>
      </c>
      <c r="X416" s="14" t="n">
        <v>46.88</v>
      </c>
      <c r="Y416" s="14">
        <f>ROUND(MIN(100, (X416/69.91)*100), 2)</f>
        <v/>
      </c>
    </row>
    <row r="417">
      <c r="A417" s="10" t="n">
        <v>4</v>
      </c>
      <c r="B417" s="10" t="n">
        <v>413</v>
      </c>
      <c r="C417" s="10" t="n">
        <v>3413</v>
      </c>
      <c r="D417" s="10" t="inlineStr">
        <is>
          <t>PH0003413</t>
        </is>
      </c>
      <c r="E417" s="26" t="inlineStr">
        <is>
          <t>III</t>
        </is>
      </c>
      <c r="F417" s="26" t="inlineStr">
        <is>
          <t>Pampanga</t>
        </is>
      </c>
      <c r="G417" s="26" t="inlineStr">
        <is>
          <t>San Fernando City</t>
        </is>
      </c>
      <c r="H417" s="26" t="inlineStr">
        <is>
          <t>Lourdes</t>
        </is>
      </c>
      <c r="I417" s="27" t="n">
        <v>15.051617</v>
      </c>
      <c r="J417" s="27" t="n">
        <v>120.663845</v>
      </c>
      <c r="K417" s="10" t="inlineStr">
        <is>
          <t>R</t>
        </is>
      </c>
      <c r="L417" s="12" t="n">
        <v>2334</v>
      </c>
      <c r="M417" s="14" t="n">
        <v>4</v>
      </c>
      <c r="N417" s="12">
        <f>ROUND(L417/M417, 0)</f>
        <v/>
      </c>
      <c r="O417" s="12">
        <f>ROUND(N417*'Methodology &amp; Assumptions'!$B$5, 0)</f>
        <v/>
      </c>
      <c r="P417" s="10" t="inlineStr">
        <is>
          <t>Single Carrier (Band n50, 100MHz TDD)</t>
        </is>
      </c>
      <c r="Q417" s="13">
        <f>ROUNDUP(O417/'Methodology &amp; Assumptions'!$B$6, 0)</f>
        <v/>
      </c>
      <c r="R417" s="13" t="n">
        <v>1</v>
      </c>
      <c r="S417" s="14" t="n">
        <v>2.14</v>
      </c>
      <c r="T417" s="14" t="n">
        <v>0.09</v>
      </c>
      <c r="U417" s="26">
        <f>IF(X417&gt;='Methodology &amp; Assumptions'!$B$7, "Tier 1 Critical GIDA (Score ≥ 50.0)", IF(X417&gt;='Methodology &amp; Assumptions'!$B$8, "Tier 2 High GIDA (Score 40.0–49.9)", "Tier 3 Moderate GIDA (Score &lt; 40.0)"))</f>
        <v/>
      </c>
      <c r="V417" s="26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W417" s="28" t="n">
        <v>0.083</v>
      </c>
      <c r="X417" s="14" t="n">
        <v>46.88</v>
      </c>
      <c r="Y417" s="14">
        <f>ROUND(MIN(100, (X417/69.91)*100), 2)</f>
        <v/>
      </c>
    </row>
    <row r="418">
      <c r="A418" s="10" t="n">
        <v>4</v>
      </c>
      <c r="B418" s="10" t="n">
        <v>414</v>
      </c>
      <c r="C418" s="10" t="n">
        <v>3414</v>
      </c>
      <c r="D418" s="10" t="inlineStr">
        <is>
          <t>1381600033</t>
        </is>
      </c>
      <c r="E418" s="26" t="inlineStr">
        <is>
          <t>National Capital Region (NCR)</t>
        </is>
      </c>
      <c r="F418" s="26" t="inlineStr">
        <is>
          <t>Third District (Not a Province)</t>
        </is>
      </c>
      <c r="G418" s="26" t="inlineStr">
        <is>
          <t>City of Valenzuela</t>
        </is>
      </c>
      <c r="H418" s="26" t="inlineStr">
        <is>
          <t>Canumay East</t>
        </is>
      </c>
      <c r="I418" s="27" t="n">
        <v>14.716122</v>
      </c>
      <c r="J418" s="27" t="n">
        <v>120.972465</v>
      </c>
      <c r="K418" s="10" t="inlineStr">
        <is>
          <t>U</t>
        </is>
      </c>
      <c r="L418" s="12" t="n">
        <v>14866</v>
      </c>
      <c r="M418" s="14" t="n">
        <v>3.5</v>
      </c>
      <c r="N418" s="12">
        <f>ROUND(L418/M418, 0)</f>
        <v/>
      </c>
      <c r="O418" s="12">
        <f>ROUND(N418*'Methodology &amp; Assumptions'!$B$5, 0)</f>
        <v/>
      </c>
      <c r="P418" s="10" t="inlineStr">
        <is>
          <t>Single Carrier (Band n50, 100MHz TDD)</t>
        </is>
      </c>
      <c r="Q418" s="13">
        <f>ROUNDUP(O418/'Methodology &amp; Assumptions'!$B$6, 0)</f>
        <v/>
      </c>
      <c r="R418" s="13" t="n">
        <v>1</v>
      </c>
      <c r="S418" s="14" t="n">
        <v>1.59</v>
      </c>
      <c r="T418" s="14" t="n">
        <v>0.17</v>
      </c>
      <c r="U418" s="26">
        <f>IF(X418&gt;='Methodology &amp; Assumptions'!$B$7, "Tier 1 Critical GIDA (Score ≥ 50.0)", IF(X418&gt;='Methodology &amp; Assumptions'!$B$8, "Tier 2 High GIDA (Score 40.0–49.9)", "Tier 3 Moderate GIDA (Score &lt; 40.0)"))</f>
        <v/>
      </c>
      <c r="V418" s="26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W418" s="28" t="n">
        <v>0.109</v>
      </c>
      <c r="X418" s="14" t="n">
        <v>46.88</v>
      </c>
      <c r="Y418" s="14">
        <f>ROUND(MIN(100, (X418/69.91)*100), 2)</f>
        <v/>
      </c>
    </row>
    <row r="419">
      <c r="A419" s="10" t="n">
        <v>4</v>
      </c>
      <c r="B419" s="10" t="n">
        <v>415</v>
      </c>
      <c r="C419" s="10" t="n">
        <v>3415</v>
      </c>
      <c r="D419" s="10" t="inlineStr">
        <is>
          <t>PH0003415</t>
        </is>
      </c>
      <c r="E419" s="26" t="inlineStr">
        <is>
          <t>BARMM (LaMa+SGA)</t>
        </is>
      </c>
      <c r="F419" s="26" t="inlineStr">
        <is>
          <t>Lanao Del Sur</t>
        </is>
      </c>
      <c r="G419" s="26" t="inlineStr">
        <is>
          <t>Bumbaran</t>
        </is>
      </c>
      <c r="H419" s="26" t="inlineStr">
        <is>
          <t>Natangcopan</t>
        </is>
      </c>
      <c r="I419" s="27" t="n">
        <v>17.254277</v>
      </c>
      <c r="J419" s="27" t="n">
        <v>122.228321</v>
      </c>
      <c r="K419" s="10" t="inlineStr">
        <is>
          <t>R</t>
        </is>
      </c>
      <c r="L419" s="12" t="n">
        <v>2518</v>
      </c>
      <c r="M419" s="14" t="n">
        <v>5.7</v>
      </c>
      <c r="N419" s="12">
        <f>ROUND(L419/M419, 0)</f>
        <v/>
      </c>
      <c r="O419" s="12">
        <f>ROUND(N419*'Methodology &amp; Assumptions'!$B$5, 0)</f>
        <v/>
      </c>
      <c r="P419" s="10" t="inlineStr">
        <is>
          <t>Single Carrier (Band n50, 100MHz TDD)</t>
        </is>
      </c>
      <c r="Q419" s="13">
        <f>ROUNDUP(O419/'Methodology &amp; Assumptions'!$B$6, 0)</f>
        <v/>
      </c>
      <c r="R419" s="13" t="n">
        <v>1</v>
      </c>
      <c r="S419" s="14" t="n">
        <v>29.33</v>
      </c>
      <c r="T419" s="14" t="n">
        <v>34.22</v>
      </c>
      <c r="U419" s="26">
        <f>IF(X419&gt;='Methodology &amp; Assumptions'!$B$7, "Tier 1 Critical GIDA (Score ≥ 50.0)", IF(X419&gt;='Methodology &amp; Assumptions'!$B$8, "Tier 2 High GIDA (Score 40.0–49.9)", "Tier 3 Moderate GIDA (Score &lt; 40.0)"))</f>
        <v/>
      </c>
      <c r="V419" s="26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W419" s="28" t="n">
        <v>0.235</v>
      </c>
      <c r="X419" s="14" t="n">
        <v>46.88</v>
      </c>
      <c r="Y419" s="14">
        <f>ROUND(MIN(100, (X419/69.91)*100), 2)</f>
        <v/>
      </c>
    </row>
    <row r="420">
      <c r="A420" s="10" t="n">
        <v>4</v>
      </c>
      <c r="B420" s="10" t="n">
        <v>416</v>
      </c>
      <c r="C420" s="10" t="n">
        <v>3416</v>
      </c>
      <c r="D420" s="10" t="inlineStr">
        <is>
          <t>1408104015</t>
        </is>
      </c>
      <c r="E420" s="26" t="inlineStr">
        <is>
          <t>Cordillera Administrative Region (CAR)</t>
        </is>
      </c>
      <c r="F420" s="26" t="inlineStr">
        <is>
          <t>Apayao</t>
        </is>
      </c>
      <c r="G420" s="26" t="inlineStr">
        <is>
          <t>Kabugao</t>
        </is>
      </c>
      <c r="H420" s="26" t="inlineStr">
        <is>
          <t>Madduang</t>
        </is>
      </c>
      <c r="I420" s="27" t="n">
        <v>18.012838</v>
      </c>
      <c r="J420" s="27" t="n">
        <v>121.126715</v>
      </c>
      <c r="K420" s="10" t="inlineStr">
        <is>
          <t>R</t>
        </is>
      </c>
      <c r="L420" s="12" t="n">
        <v>637</v>
      </c>
      <c r="M420" s="14" t="n">
        <v>4.2</v>
      </c>
      <c r="N420" s="12">
        <f>ROUND(L420/M420, 0)</f>
        <v/>
      </c>
      <c r="O420" s="12">
        <f>ROUND(N420*'Methodology &amp; Assumptions'!$B$5, 0)</f>
        <v/>
      </c>
      <c r="P420" s="10" t="inlineStr">
        <is>
          <t>Single Carrier (Band n50, 100MHz TDD)</t>
        </is>
      </c>
      <c r="Q420" s="13">
        <f>ROUNDUP(O420/'Methodology &amp; Assumptions'!$B$6, 0)</f>
        <v/>
      </c>
      <c r="R420" s="13" t="n">
        <v>1</v>
      </c>
      <c r="S420" s="14" t="n">
        <v>5.8</v>
      </c>
      <c r="T420" s="14" t="n">
        <v>12.82</v>
      </c>
      <c r="U420" s="26">
        <f>IF(X420&gt;='Methodology &amp; Assumptions'!$B$7, "Tier 1 Critical GIDA (Score ≥ 50.0)", IF(X420&gt;='Methodology &amp; Assumptions'!$B$8, "Tier 2 High GIDA (Score 40.0–49.9)", "Tier 3 Moderate GIDA (Score &lt; 40.0)"))</f>
        <v/>
      </c>
      <c r="V420" s="26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W420" s="28" t="n">
        <v>0.109</v>
      </c>
      <c r="X420" s="14" t="n">
        <v>46.88</v>
      </c>
      <c r="Y420" s="14">
        <f>ROUND(MIN(100, (X420/69.91)*100), 2)</f>
        <v/>
      </c>
    </row>
    <row r="421">
      <c r="A421" s="10" t="n">
        <v>4</v>
      </c>
      <c r="B421" s="10" t="n">
        <v>417</v>
      </c>
      <c r="C421" s="10" t="n">
        <v>3417</v>
      </c>
      <c r="D421" s="10" t="inlineStr">
        <is>
          <t>1408105019</t>
        </is>
      </c>
      <c r="E421" s="26" t="inlineStr">
        <is>
          <t>Cordillera Administrative Region (CAR)</t>
        </is>
      </c>
      <c r="F421" s="26" t="inlineStr">
        <is>
          <t>Apayao</t>
        </is>
      </c>
      <c r="G421" s="26" t="inlineStr">
        <is>
          <t>Luna</t>
        </is>
      </c>
      <c r="H421" s="26" t="inlineStr">
        <is>
          <t>Luyon</t>
        </is>
      </c>
      <c r="I421" s="27" t="n">
        <v>18.350994</v>
      </c>
      <c r="J421" s="27" t="n">
        <v>121.369264</v>
      </c>
      <c r="K421" s="10" t="inlineStr">
        <is>
          <t>R</t>
        </is>
      </c>
      <c r="L421" s="12" t="n">
        <v>452</v>
      </c>
      <c r="M421" s="14" t="n">
        <v>4.2</v>
      </c>
      <c r="N421" s="12">
        <f>ROUND(L421/M421, 0)</f>
        <v/>
      </c>
      <c r="O421" s="12">
        <f>ROUND(N421*'Methodology &amp; Assumptions'!$B$5, 0)</f>
        <v/>
      </c>
      <c r="P421" s="10" t="inlineStr">
        <is>
          <t>Single Carrier (Band n50, 100MHz TDD)</t>
        </is>
      </c>
      <c r="Q421" s="13">
        <f>ROUNDUP(O421/'Methodology &amp; Assumptions'!$B$6, 0)</f>
        <v/>
      </c>
      <c r="R421" s="13" t="n">
        <v>1</v>
      </c>
      <c r="S421" s="14" t="n">
        <v>2.23</v>
      </c>
      <c r="T421" s="14" t="n">
        <v>2.19</v>
      </c>
      <c r="U421" s="26">
        <f>IF(X421&gt;='Methodology &amp; Assumptions'!$B$7, "Tier 1 Critical GIDA (Score ≥ 50.0)", IF(X421&gt;='Methodology &amp; Assumptions'!$B$8, "Tier 2 High GIDA (Score 40.0–49.9)", "Tier 3 Moderate GIDA (Score &lt; 40.0)"))</f>
        <v/>
      </c>
      <c r="V421" s="26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W421" s="28" t="n">
        <v>0.109</v>
      </c>
      <c r="X421" s="14" t="n">
        <v>46.87</v>
      </c>
      <c r="Y421" s="14">
        <f>ROUND(MIN(100, (X421/69.91)*100), 2)</f>
        <v/>
      </c>
    </row>
    <row r="422">
      <c r="A422" s="10" t="n">
        <v>4</v>
      </c>
      <c r="B422" s="10" t="n">
        <v>418</v>
      </c>
      <c r="C422" s="10" t="n">
        <v>3418</v>
      </c>
      <c r="D422" s="10" t="inlineStr">
        <is>
          <t>PH0003418</t>
        </is>
      </c>
      <c r="E422" s="26" t="inlineStr">
        <is>
          <t>CAR</t>
        </is>
      </c>
      <c r="F422" s="26" t="inlineStr">
        <is>
          <t>Benguet</t>
        </is>
      </c>
      <c r="G422" s="26" t="inlineStr">
        <is>
          <t>Baguio City</t>
        </is>
      </c>
      <c r="H422" s="26" t="inlineStr">
        <is>
          <t>General Emilio F. Aguinaldo</t>
        </is>
      </c>
      <c r="I422" s="27" t="n">
        <v>16.352268</v>
      </c>
      <c r="J422" s="27" t="n">
        <v>120.589212</v>
      </c>
      <c r="K422" s="10" t="inlineStr">
        <is>
          <t>R</t>
        </is>
      </c>
      <c r="L422" s="12" t="n">
        <v>2260</v>
      </c>
      <c r="M422" s="14" t="n">
        <v>3.5</v>
      </c>
      <c r="N422" s="12">
        <f>ROUND(L422/M422, 0)</f>
        <v/>
      </c>
      <c r="O422" s="12">
        <f>ROUND(N422*'Methodology &amp; Assumptions'!$B$5, 0)</f>
        <v/>
      </c>
      <c r="P422" s="10" t="inlineStr">
        <is>
          <t>Single Carrier (Band n50, 100MHz TDD)</t>
        </is>
      </c>
      <c r="Q422" s="13">
        <f>ROUNDUP(O422/'Methodology &amp; Assumptions'!$B$6, 0)</f>
        <v/>
      </c>
      <c r="R422" s="13" t="n">
        <v>1</v>
      </c>
      <c r="S422" s="14" t="n">
        <v>5.43</v>
      </c>
      <c r="T422" s="14" t="n">
        <v>4.35</v>
      </c>
      <c r="U422" s="26">
        <f>IF(X422&gt;='Methodology &amp; Assumptions'!$B$7, "Tier 1 Critical GIDA (Score ≥ 50.0)", IF(X422&gt;='Methodology &amp; Assumptions'!$B$8, "Tier 2 High GIDA (Score 40.0–49.9)", "Tier 3 Moderate GIDA (Score &lt; 40.0)"))</f>
        <v/>
      </c>
      <c r="V422" s="26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W422" s="28" t="n">
        <v>0.221</v>
      </c>
      <c r="X422" s="14" t="n">
        <v>46.87</v>
      </c>
      <c r="Y422" s="14">
        <f>ROUND(MIN(100, (X422/69.91)*100), 2)</f>
        <v/>
      </c>
    </row>
    <row r="423">
      <c r="A423" s="10" t="n">
        <v>4</v>
      </c>
      <c r="B423" s="10" t="n">
        <v>419</v>
      </c>
      <c r="C423" s="10" t="n">
        <v>3419</v>
      </c>
      <c r="D423" s="10" t="inlineStr">
        <is>
          <t>0806012006</t>
        </is>
      </c>
      <c r="E423" s="26" t="inlineStr">
        <is>
          <t>Region VIII (Eastern Visayas)</t>
        </is>
      </c>
      <c r="F423" s="26" t="inlineStr">
        <is>
          <t>Samar</t>
        </is>
      </c>
      <c r="G423" s="26" t="inlineStr">
        <is>
          <t>Motiong</t>
        </is>
      </c>
      <c r="H423" s="26" t="inlineStr">
        <is>
          <t>Beri</t>
        </is>
      </c>
      <c r="I423" s="27" t="n">
        <v>11.994701</v>
      </c>
      <c r="J423" s="27" t="n">
        <v>124.962648</v>
      </c>
      <c r="K423" s="10" t="inlineStr">
        <is>
          <t>R</t>
        </is>
      </c>
      <c r="L423" s="12" t="n">
        <v>87</v>
      </c>
      <c r="M423" s="14" t="n">
        <v>4.1</v>
      </c>
      <c r="N423" s="12">
        <f>ROUND(L423/M423, 0)</f>
        <v/>
      </c>
      <c r="O423" s="12">
        <f>ROUND(N423*'Methodology &amp; Assumptions'!$B$5, 0)</f>
        <v/>
      </c>
      <c r="P423" s="10" t="inlineStr">
        <is>
          <t>Single Carrier (Band n50, 100MHz TDD)</t>
        </is>
      </c>
      <c r="Q423" s="13">
        <f>ROUNDUP(O423/'Methodology &amp; Assumptions'!$B$6, 0)</f>
        <v/>
      </c>
      <c r="R423" s="13" t="n">
        <v>1</v>
      </c>
      <c r="S423" s="14" t="n">
        <v>82.81</v>
      </c>
      <c r="T423" s="14" t="n">
        <v>82.73999999999999</v>
      </c>
      <c r="U423" s="26">
        <f>IF(X423&gt;='Methodology &amp; Assumptions'!$B$7, "Tier 1 Critical GIDA (Score ≥ 50.0)", IF(X423&gt;='Methodology &amp; Assumptions'!$B$8, "Tier 2 High GIDA (Score 40.0–49.9)", "Tier 3 Moderate GIDA (Score &lt; 40.0)"))</f>
        <v/>
      </c>
      <c r="V423" s="26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W423" s="28" t="n">
        <v>0.237</v>
      </c>
      <c r="X423" s="14" t="n">
        <v>46.87</v>
      </c>
      <c r="Y423" s="14">
        <f>ROUND(MIN(100, (X423/69.91)*100), 2)</f>
        <v/>
      </c>
    </row>
    <row r="424">
      <c r="A424" s="10" t="n">
        <v>4</v>
      </c>
      <c r="B424" s="10" t="n">
        <v>420</v>
      </c>
      <c r="C424" s="10" t="n">
        <v>3420</v>
      </c>
      <c r="D424" s="10" t="inlineStr">
        <is>
          <t>0806025013</t>
        </is>
      </c>
      <c r="E424" s="26" t="inlineStr">
        <is>
          <t>Region VIII (Eastern Visayas)</t>
        </is>
      </c>
      <c r="F424" s="26" t="inlineStr">
        <is>
          <t>Samar</t>
        </is>
      </c>
      <c r="G424" s="26" t="inlineStr">
        <is>
          <t>San Jorge</t>
        </is>
      </c>
      <c r="H424" s="26" t="inlineStr">
        <is>
          <t>Himay</t>
        </is>
      </c>
      <c r="I424" s="27" t="n">
        <v>11.96028</v>
      </c>
      <c r="J424" s="27" t="n">
        <v>124.88992</v>
      </c>
      <c r="K424" s="10" t="inlineStr">
        <is>
          <t>R</t>
        </is>
      </c>
      <c r="L424" s="12" t="n">
        <v>424</v>
      </c>
      <c r="M424" s="14" t="n">
        <v>4.1</v>
      </c>
      <c r="N424" s="12">
        <f>ROUND(L424/M424, 0)</f>
        <v/>
      </c>
      <c r="O424" s="12">
        <f>ROUND(N424*'Methodology &amp; Assumptions'!$B$5, 0)</f>
        <v/>
      </c>
      <c r="P424" s="10" t="inlineStr">
        <is>
          <t>Single Carrier (Band n50, 100MHz TDD)</t>
        </is>
      </c>
      <c r="Q424" s="13">
        <f>ROUNDUP(O424/'Methodology &amp; Assumptions'!$B$6, 0)</f>
        <v/>
      </c>
      <c r="R424" s="13" t="n">
        <v>1</v>
      </c>
      <c r="S424" s="14" t="n">
        <v>76.62</v>
      </c>
      <c r="T424" s="14" t="n">
        <v>76.56999999999999</v>
      </c>
      <c r="U424" s="26">
        <f>IF(X424&gt;='Methodology &amp; Assumptions'!$B$7, "Tier 1 Critical GIDA (Score ≥ 50.0)", IF(X424&gt;='Methodology &amp; Assumptions'!$B$8, "Tier 2 High GIDA (Score 40.0–49.9)", "Tier 3 Moderate GIDA (Score &lt; 40.0)"))</f>
        <v/>
      </c>
      <c r="V424" s="26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W424" s="28" t="n">
        <v>0.237</v>
      </c>
      <c r="X424" s="14" t="n">
        <v>46.86</v>
      </c>
      <c r="Y424" s="14">
        <f>ROUND(MIN(100, (X424/69.91)*100), 2)</f>
        <v/>
      </c>
    </row>
    <row r="425">
      <c r="A425" s="10" t="n">
        <v>4</v>
      </c>
      <c r="B425" s="10" t="n">
        <v>421</v>
      </c>
      <c r="C425" s="10" t="n">
        <v>3421</v>
      </c>
      <c r="D425" s="10" t="inlineStr">
        <is>
          <t>PH0003421</t>
        </is>
      </c>
      <c r="E425" s="26" t="inlineStr">
        <is>
          <t>CAR</t>
        </is>
      </c>
      <c r="F425" s="26" t="inlineStr">
        <is>
          <t>Benguet</t>
        </is>
      </c>
      <c r="G425" s="26" t="inlineStr">
        <is>
          <t>Baguio City</t>
        </is>
      </c>
      <c r="H425" s="26" t="inlineStr">
        <is>
          <t>Lourdes Subdivision, Lower</t>
        </is>
      </c>
      <c r="I425" s="27" t="n">
        <v>16.45156</v>
      </c>
      <c r="J425" s="27" t="n">
        <v>120.558512</v>
      </c>
      <c r="K425" s="10" t="inlineStr">
        <is>
          <t>R</t>
        </is>
      </c>
      <c r="L425" s="12" t="n">
        <v>2260</v>
      </c>
      <c r="M425" s="14" t="n">
        <v>3.5</v>
      </c>
      <c r="N425" s="12">
        <f>ROUND(L425/M425, 0)</f>
        <v/>
      </c>
      <c r="O425" s="12">
        <f>ROUND(N425*'Methodology &amp; Assumptions'!$B$5, 0)</f>
        <v/>
      </c>
      <c r="P425" s="10" t="inlineStr">
        <is>
          <t>Single Carrier (Band n50, 100MHz TDD)</t>
        </is>
      </c>
      <c r="Q425" s="13">
        <f>ROUNDUP(O425/'Methodology &amp; Assumptions'!$B$6, 0)</f>
        <v/>
      </c>
      <c r="R425" s="13" t="n">
        <v>1</v>
      </c>
      <c r="S425" s="14" t="n">
        <v>3.23</v>
      </c>
      <c r="T425" s="14" t="n">
        <v>1.8</v>
      </c>
      <c r="U425" s="26">
        <f>IF(X425&gt;='Methodology &amp; Assumptions'!$B$7, "Tier 1 Critical GIDA (Score ≥ 50.0)", IF(X425&gt;='Methodology &amp; Assumptions'!$B$8, "Tier 2 High GIDA (Score 40.0–49.9)", "Tier 3 Moderate GIDA (Score &lt; 40.0)"))</f>
        <v/>
      </c>
      <c r="V425" s="26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W425" s="28" t="n">
        <v>0.221</v>
      </c>
      <c r="X425" s="14" t="n">
        <v>46.86</v>
      </c>
      <c r="Y425" s="14">
        <f>ROUND(MIN(100, (X425/69.91)*100), 2)</f>
        <v/>
      </c>
    </row>
    <row r="426">
      <c r="A426" s="10" t="n">
        <v>4</v>
      </c>
      <c r="B426" s="10" t="n">
        <v>422</v>
      </c>
      <c r="C426" s="10" t="n">
        <v>3422</v>
      </c>
      <c r="D426" s="10" t="inlineStr">
        <is>
          <t>0806025021</t>
        </is>
      </c>
      <c r="E426" s="26" t="inlineStr">
        <is>
          <t>Region VIII (Eastern Visayas)</t>
        </is>
      </c>
      <c r="F426" s="26" t="inlineStr">
        <is>
          <t>Samar</t>
        </is>
      </c>
      <c r="G426" s="26" t="inlineStr">
        <is>
          <t>San Jorge</t>
        </is>
      </c>
      <c r="H426" s="26" t="inlineStr">
        <is>
          <t>Ranera</t>
        </is>
      </c>
      <c r="I426" s="27" t="n">
        <v>11.950756</v>
      </c>
      <c r="J426" s="27" t="n">
        <v>124.873584</v>
      </c>
      <c r="K426" s="10" t="inlineStr">
        <is>
          <t>R</t>
        </is>
      </c>
      <c r="L426" s="12" t="n">
        <v>333</v>
      </c>
      <c r="M426" s="14" t="n">
        <v>4.1</v>
      </c>
      <c r="N426" s="12">
        <f>ROUND(L426/M426, 0)</f>
        <v/>
      </c>
      <c r="O426" s="12">
        <f>ROUND(N426*'Methodology &amp; Assumptions'!$B$5, 0)</f>
        <v/>
      </c>
      <c r="P426" s="10" t="inlineStr">
        <is>
          <t>Single Carrier (Band n50, 100MHz TDD)</t>
        </is>
      </c>
      <c r="Q426" s="13">
        <f>ROUNDUP(O426/'Methodology &amp; Assumptions'!$B$6, 0)</f>
        <v/>
      </c>
      <c r="R426" s="13" t="n">
        <v>1</v>
      </c>
      <c r="S426" s="14" t="n">
        <v>75.12</v>
      </c>
      <c r="T426" s="14" t="n">
        <v>75.06999999999999</v>
      </c>
      <c r="U426" s="26">
        <f>IF(X426&gt;='Methodology &amp; Assumptions'!$B$7, "Tier 1 Critical GIDA (Score ≥ 50.0)", IF(X426&gt;='Methodology &amp; Assumptions'!$B$8, "Tier 2 High GIDA (Score 40.0–49.9)", "Tier 3 Moderate GIDA (Score &lt; 40.0)"))</f>
        <v/>
      </c>
      <c r="V426" s="26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W426" s="28" t="n">
        <v>0.237</v>
      </c>
      <c r="X426" s="14" t="n">
        <v>46.86</v>
      </c>
      <c r="Y426" s="14">
        <f>ROUND(MIN(100, (X426/69.91)*100), 2)</f>
        <v/>
      </c>
    </row>
    <row r="427">
      <c r="A427" s="10" t="n">
        <v>4</v>
      </c>
      <c r="B427" s="10" t="n">
        <v>423</v>
      </c>
      <c r="C427" s="10" t="n">
        <v>3423</v>
      </c>
      <c r="D427" s="10" t="inlineStr">
        <is>
          <t>0806004042</t>
        </is>
      </c>
      <c r="E427" s="26" t="inlineStr">
        <is>
          <t>Region VIII (Eastern Visayas)</t>
        </is>
      </c>
      <c r="F427" s="26" t="inlineStr">
        <is>
          <t>Samar</t>
        </is>
      </c>
      <c r="G427" s="26" t="inlineStr">
        <is>
          <t>Calbiga</t>
        </is>
      </c>
      <c r="H427" s="26" t="inlineStr">
        <is>
          <t>Hindang</t>
        </is>
      </c>
      <c r="I427" s="27" t="n">
        <v>11.54919</v>
      </c>
      <c r="J427" s="27" t="n">
        <v>125.10209</v>
      </c>
      <c r="K427" s="10" t="inlineStr">
        <is>
          <t>R</t>
        </is>
      </c>
      <c r="L427" s="12" t="n">
        <v>125</v>
      </c>
      <c r="M427" s="14" t="n">
        <v>4.1</v>
      </c>
      <c r="N427" s="12">
        <f>ROUND(L427/M427, 0)</f>
        <v/>
      </c>
      <c r="O427" s="12">
        <f>ROUND(N427*'Methodology &amp; Assumptions'!$B$5, 0)</f>
        <v/>
      </c>
      <c r="P427" s="10" t="inlineStr">
        <is>
          <t>Single Carrier (Band n50, 100MHz TDD)</t>
        </is>
      </c>
      <c r="Q427" s="13">
        <f>ROUNDUP(O427/'Methodology &amp; Assumptions'!$B$6, 0)</f>
        <v/>
      </c>
      <c r="R427" s="13" t="n">
        <v>1</v>
      </c>
      <c r="S427" s="14" t="n">
        <v>36.1</v>
      </c>
      <c r="T427" s="14" t="n">
        <v>38.78</v>
      </c>
      <c r="U427" s="26">
        <f>IF(X427&gt;='Methodology &amp; Assumptions'!$B$7, "Tier 1 Critical GIDA (Score ≥ 50.0)", IF(X427&gt;='Methodology &amp; Assumptions'!$B$8, "Tier 2 High GIDA (Score 40.0–49.9)", "Tier 3 Moderate GIDA (Score &lt; 40.0)"))</f>
        <v/>
      </c>
      <c r="V427" s="26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W427" s="28" t="n">
        <v>0.237</v>
      </c>
      <c r="X427" s="14" t="n">
        <v>46.85</v>
      </c>
      <c r="Y427" s="14">
        <f>ROUND(MIN(100, (X427/69.91)*100), 2)</f>
        <v/>
      </c>
    </row>
    <row r="428">
      <c r="A428" s="10" t="n">
        <v>4</v>
      </c>
      <c r="B428" s="10" t="n">
        <v>424</v>
      </c>
      <c r="C428" s="10" t="n">
        <v>3424</v>
      </c>
      <c r="D428" s="10" t="inlineStr">
        <is>
          <t>PH0003424</t>
        </is>
      </c>
      <c r="E428" s="26" t="inlineStr">
        <is>
          <t>X</t>
        </is>
      </c>
      <c r="F428" s="26" t="inlineStr">
        <is>
          <t>Misamis Oriental</t>
        </is>
      </c>
      <c r="G428" s="26" t="inlineStr">
        <is>
          <t>Cagayan De Oro City</t>
        </is>
      </c>
      <c r="H428" s="26" t="inlineStr">
        <is>
          <t>Puntod</t>
        </is>
      </c>
      <c r="I428" s="27" t="n">
        <v>8.499824</v>
      </c>
      <c r="J428" s="27" t="n">
        <v>124.657199</v>
      </c>
      <c r="K428" s="10" t="inlineStr">
        <is>
          <t>R</t>
        </is>
      </c>
      <c r="L428" s="12" t="n">
        <v>2272</v>
      </c>
      <c r="M428" s="14" t="n">
        <v>3.9</v>
      </c>
      <c r="N428" s="12">
        <f>ROUND(L428/M428, 0)</f>
        <v/>
      </c>
      <c r="O428" s="12">
        <f>ROUND(N428*'Methodology &amp; Assumptions'!$B$5, 0)</f>
        <v/>
      </c>
      <c r="P428" s="10" t="inlineStr">
        <is>
          <t>Single Carrier (Band n50, 100MHz TDD)</t>
        </is>
      </c>
      <c r="Q428" s="13">
        <f>ROUNDUP(O428/'Methodology &amp; Assumptions'!$B$6, 0)</f>
        <v/>
      </c>
      <c r="R428" s="13" t="n">
        <v>1</v>
      </c>
      <c r="S428" s="14" t="n">
        <v>1.53</v>
      </c>
      <c r="T428" s="14" t="n">
        <v>1.64</v>
      </c>
      <c r="U428" s="26">
        <f>IF(X428&gt;='Methodology &amp; Assumptions'!$B$7, "Tier 1 Critical GIDA (Score ≥ 50.0)", IF(X428&gt;='Methodology &amp; Assumptions'!$B$8, "Tier 2 High GIDA (Score 40.0–49.9)", "Tier 3 Moderate GIDA (Score &lt; 40.0)"))</f>
        <v/>
      </c>
      <c r="V428" s="26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W428" s="28" t="n">
        <v>0.234</v>
      </c>
      <c r="X428" s="14" t="n">
        <v>46.85</v>
      </c>
      <c r="Y428" s="14">
        <f>ROUND(MIN(100, (X428/69.91)*100), 2)</f>
        <v/>
      </c>
    </row>
    <row r="429">
      <c r="A429" s="10" t="n">
        <v>4</v>
      </c>
      <c r="B429" s="10" t="n">
        <v>425</v>
      </c>
      <c r="C429" s="10" t="n">
        <v>3425</v>
      </c>
      <c r="D429" s="10" t="inlineStr">
        <is>
          <t>0806020002</t>
        </is>
      </c>
      <c r="E429" s="26" t="inlineStr">
        <is>
          <t>Region VIII (Eastern Visayas)</t>
        </is>
      </c>
      <c r="F429" s="26" t="inlineStr">
        <is>
          <t>Samar</t>
        </is>
      </c>
      <c r="G429" s="26" t="inlineStr">
        <is>
          <t>Tarangnan</t>
        </is>
      </c>
      <c r="H429" s="26" t="inlineStr">
        <is>
          <t>Awang</t>
        </is>
      </c>
      <c r="I429" s="27" t="n">
        <v>11.90092</v>
      </c>
      <c r="J429" s="27" t="n">
        <v>124.752315</v>
      </c>
      <c r="K429" s="10" t="inlineStr">
        <is>
          <t>R</t>
        </is>
      </c>
      <c r="L429" s="12" t="n">
        <v>160</v>
      </c>
      <c r="M429" s="14" t="n">
        <v>4.1</v>
      </c>
      <c r="N429" s="12">
        <f>ROUND(L429/M429, 0)</f>
        <v/>
      </c>
      <c r="O429" s="12">
        <f>ROUND(N429*'Methodology &amp; Assumptions'!$B$5, 0)</f>
        <v/>
      </c>
      <c r="P429" s="10" t="inlineStr">
        <is>
          <t>Single Carrier (Band n50, 100MHz TDD)</t>
        </is>
      </c>
      <c r="Q429" s="13">
        <f>ROUNDUP(O429/'Methodology &amp; Assumptions'!$B$6, 0)</f>
        <v/>
      </c>
      <c r="R429" s="13" t="n">
        <v>1</v>
      </c>
      <c r="S429" s="14" t="n">
        <v>67.2</v>
      </c>
      <c r="T429" s="14" t="n">
        <v>67.17</v>
      </c>
      <c r="U429" s="26">
        <f>IF(X429&gt;='Methodology &amp; Assumptions'!$B$7, "Tier 1 Critical GIDA (Score ≥ 50.0)", IF(X429&gt;='Methodology &amp; Assumptions'!$B$8, "Tier 2 High GIDA (Score 40.0–49.9)", "Tier 3 Moderate GIDA (Score &lt; 40.0)"))</f>
        <v/>
      </c>
      <c r="V429" s="26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W429" s="28" t="n">
        <v>0.237</v>
      </c>
      <c r="X429" s="14" t="n">
        <v>46.85</v>
      </c>
      <c r="Y429" s="14">
        <f>ROUND(MIN(100, (X429/69.91)*100), 2)</f>
        <v/>
      </c>
    </row>
    <row r="430">
      <c r="A430" s="10" t="n">
        <v>4</v>
      </c>
      <c r="B430" s="10" t="n">
        <v>426</v>
      </c>
      <c r="C430" s="10" t="n">
        <v>3426</v>
      </c>
      <c r="D430" s="10" t="inlineStr">
        <is>
          <t>1903605002</t>
        </is>
      </c>
      <c r="E430" s="26" t="inlineStr">
        <is>
          <t>Bangsamoro Autonomous Region In Muslim Mindanao (BARMM)</t>
        </is>
      </c>
      <c r="F430" s="26" t="inlineStr">
        <is>
          <t>Lanao del Sur</t>
        </is>
      </c>
      <c r="G430" s="26" t="inlineStr">
        <is>
          <t>Binidayan</t>
        </is>
      </c>
      <c r="H430" s="26" t="inlineStr">
        <is>
          <t>Baguiangun</t>
        </is>
      </c>
      <c r="I430" s="27" t="n">
        <v>17.251112</v>
      </c>
      <c r="J430" s="27" t="n">
        <v>122.232306</v>
      </c>
      <c r="K430" s="10" t="inlineStr">
        <is>
          <t>R</t>
        </is>
      </c>
      <c r="L430" s="12" t="n">
        <v>1053</v>
      </c>
      <c r="M430" s="14" t="n">
        <v>5.7</v>
      </c>
      <c r="N430" s="12">
        <f>ROUND(L430/M430, 0)</f>
        <v/>
      </c>
      <c r="O430" s="12">
        <f>ROUND(N430*'Methodology &amp; Assumptions'!$B$5, 0)</f>
        <v/>
      </c>
      <c r="P430" s="10" t="inlineStr">
        <is>
          <t>Single Carrier (Band n50, 100MHz TDD)</t>
        </is>
      </c>
      <c r="Q430" s="13">
        <f>ROUNDUP(O430/'Methodology &amp; Assumptions'!$B$6, 0)</f>
        <v/>
      </c>
      <c r="R430" s="13" t="n">
        <v>1</v>
      </c>
      <c r="S430" s="14" t="n">
        <v>29.43</v>
      </c>
      <c r="T430" s="14" t="n">
        <v>34.53</v>
      </c>
      <c r="U430" s="26">
        <f>IF(X430&gt;='Methodology &amp; Assumptions'!$B$7, "Tier 1 Critical GIDA (Score ≥ 50.0)", IF(X430&gt;='Methodology &amp; Assumptions'!$B$8, "Tier 2 High GIDA (Score 40.0–49.9)", "Tier 3 Moderate GIDA (Score &lt; 40.0)"))</f>
        <v/>
      </c>
      <c r="V430" s="26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W430" s="28" t="n">
        <v>0.11</v>
      </c>
      <c r="X430" s="14" t="n">
        <v>46.85</v>
      </c>
      <c r="Y430" s="14">
        <f>ROUND(MIN(100, (X430/69.91)*100), 2)</f>
        <v/>
      </c>
    </row>
    <row r="431">
      <c r="A431" s="10" t="n">
        <v>4</v>
      </c>
      <c r="B431" s="10" t="n">
        <v>427</v>
      </c>
      <c r="C431" s="10" t="n">
        <v>3427</v>
      </c>
      <c r="D431" s="10" t="inlineStr">
        <is>
          <t>PH0003427</t>
        </is>
      </c>
      <c r="E431" s="26" t="inlineStr">
        <is>
          <t>CAR</t>
        </is>
      </c>
      <c r="F431" s="26" t="inlineStr">
        <is>
          <t>Benguet</t>
        </is>
      </c>
      <c r="G431" s="26" t="inlineStr">
        <is>
          <t>Baguio City</t>
        </is>
      </c>
      <c r="H431" s="26" t="inlineStr">
        <is>
          <t>San Antonio Village</t>
        </is>
      </c>
      <c r="I431" s="27" t="n">
        <v>16.396945</v>
      </c>
      <c r="J431" s="27" t="n">
        <v>120.653317</v>
      </c>
      <c r="K431" s="10" t="inlineStr">
        <is>
          <t>R</t>
        </is>
      </c>
      <c r="L431" s="12" t="n">
        <v>2260</v>
      </c>
      <c r="M431" s="14" t="n">
        <v>3.5</v>
      </c>
      <c r="N431" s="12">
        <f>ROUND(L431/M431, 0)</f>
        <v/>
      </c>
      <c r="O431" s="12">
        <f>ROUND(N431*'Methodology &amp; Assumptions'!$B$5, 0)</f>
        <v/>
      </c>
      <c r="P431" s="10" t="inlineStr">
        <is>
          <t>Single Carrier (Band n50, 100MHz TDD)</t>
        </is>
      </c>
      <c r="Q431" s="13">
        <f>ROUNDUP(O431/'Methodology &amp; Assumptions'!$B$6, 0)</f>
        <v/>
      </c>
      <c r="R431" s="13" t="n">
        <v>1</v>
      </c>
      <c r="S431" s="14" t="n">
        <v>2.17</v>
      </c>
      <c r="T431" s="14" t="n">
        <v>2.61</v>
      </c>
      <c r="U431" s="26">
        <f>IF(X431&gt;='Methodology &amp; Assumptions'!$B$7, "Tier 1 Critical GIDA (Score ≥ 50.0)", IF(X431&gt;='Methodology &amp; Assumptions'!$B$8, "Tier 2 High GIDA (Score 40.0–49.9)", "Tier 3 Moderate GIDA (Score &lt; 40.0)"))</f>
        <v/>
      </c>
      <c r="V431" s="26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W431" s="28" t="n">
        <v>0.221</v>
      </c>
      <c r="X431" s="14" t="n">
        <v>46.84</v>
      </c>
      <c r="Y431" s="14">
        <f>ROUND(MIN(100, (X431/69.91)*100), 2)</f>
        <v/>
      </c>
    </row>
    <row r="432">
      <c r="A432" s="10" t="n">
        <v>4</v>
      </c>
      <c r="B432" s="10" t="n">
        <v>428</v>
      </c>
      <c r="C432" s="10" t="n">
        <v>3428</v>
      </c>
      <c r="D432" s="10" t="inlineStr">
        <is>
          <t>0405811006</t>
        </is>
      </c>
      <c r="E432" s="26" t="inlineStr">
        <is>
          <t>Region IV-A (CALABARZON)</t>
        </is>
      </c>
      <c r="F432" s="26" t="inlineStr">
        <is>
          <t>Rizal</t>
        </is>
      </c>
      <c r="G432" s="26" t="inlineStr">
        <is>
          <t>San Mateo</t>
        </is>
      </c>
      <c r="H432" s="26" t="inlineStr">
        <is>
          <t>Guitnang Bayan II</t>
        </is>
      </c>
      <c r="I432" s="27" t="n">
        <v>14.680823</v>
      </c>
      <c r="J432" s="27" t="n">
        <v>121.137002</v>
      </c>
      <c r="K432" s="10" t="inlineStr">
        <is>
          <t>U</t>
        </is>
      </c>
      <c r="L432" s="12" t="n">
        <v>18821</v>
      </c>
      <c r="M432" s="14" t="n">
        <v>3.6</v>
      </c>
      <c r="N432" s="12">
        <f>ROUND(L432/M432, 0)</f>
        <v/>
      </c>
      <c r="O432" s="12">
        <f>ROUND(N432*'Methodology &amp; Assumptions'!$B$5, 0)</f>
        <v/>
      </c>
      <c r="P432" s="10" t="inlineStr">
        <is>
          <t>Single Carrier (Band n50, 100MHz TDD)</t>
        </is>
      </c>
      <c r="Q432" s="13">
        <f>ROUNDUP(O432/'Methodology &amp; Assumptions'!$B$6, 0)</f>
        <v/>
      </c>
      <c r="R432" s="13" t="n">
        <v>1</v>
      </c>
      <c r="S432" s="14" t="n">
        <v>2.34</v>
      </c>
      <c r="T432" s="14" t="n">
        <v>0.99</v>
      </c>
      <c r="U432" s="26">
        <f>IF(X432&gt;='Methodology &amp; Assumptions'!$B$7, "Tier 1 Critical GIDA (Score ≥ 50.0)", IF(X432&gt;='Methodology &amp; Assumptions'!$B$8, "Tier 2 High GIDA (Score 40.0–49.9)", "Tier 3 Moderate GIDA (Score &lt; 40.0)"))</f>
        <v/>
      </c>
      <c r="V432" s="26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W432" s="28" t="n">
        <v>0.07200000000000001</v>
      </c>
      <c r="X432" s="14" t="n">
        <v>46.84</v>
      </c>
      <c r="Y432" s="14">
        <f>ROUND(MIN(100, (X432/69.91)*100), 2)</f>
        <v/>
      </c>
    </row>
    <row r="433">
      <c r="A433" s="10" t="n">
        <v>4</v>
      </c>
      <c r="B433" s="10" t="n">
        <v>429</v>
      </c>
      <c r="C433" s="10" t="n">
        <v>3429</v>
      </c>
      <c r="D433" s="10" t="inlineStr">
        <is>
          <t>PH0003429</t>
        </is>
      </c>
      <c r="E433" s="26" t="inlineStr">
        <is>
          <t>IV-B</t>
        </is>
      </c>
      <c r="F433" s="26" t="inlineStr">
        <is>
          <t>Palawan</t>
        </is>
      </c>
      <c r="G433" s="26" t="inlineStr">
        <is>
          <t>Puerto Princesa City</t>
        </is>
      </c>
      <c r="H433" s="26" t="inlineStr">
        <is>
          <t>Bagong Pag-Asa (Pob.)</t>
        </is>
      </c>
      <c r="I433" s="27" t="n">
        <v>9.861154000000001</v>
      </c>
      <c r="J433" s="27" t="n">
        <v>118.743589</v>
      </c>
      <c r="K433" s="10" t="inlineStr">
        <is>
          <t>R</t>
        </is>
      </c>
      <c r="L433" s="12" t="n">
        <v>2597</v>
      </c>
      <c r="M433" s="14" t="n">
        <v>3.9</v>
      </c>
      <c r="N433" s="12">
        <f>ROUND(L433/M433, 0)</f>
        <v/>
      </c>
      <c r="O433" s="12">
        <f>ROUND(N433*'Methodology &amp; Assumptions'!$B$5, 0)</f>
        <v/>
      </c>
      <c r="P433" s="10" t="inlineStr">
        <is>
          <t>Single Carrier (Band n50, 100MHz TDD)</t>
        </is>
      </c>
      <c r="Q433" s="13">
        <f>ROUNDUP(O433/'Methodology &amp; Assumptions'!$B$6, 0)</f>
        <v/>
      </c>
      <c r="R433" s="13" t="n">
        <v>1</v>
      </c>
      <c r="S433" s="14" t="n">
        <v>2.56</v>
      </c>
      <c r="T433" s="14" t="n">
        <v>0.6899999999999999</v>
      </c>
      <c r="U433" s="26">
        <f>IF(X433&gt;='Methodology &amp; Assumptions'!$B$7, "Tier 1 Critical GIDA (Score ≥ 50.0)", IF(X433&gt;='Methodology &amp; Assumptions'!$B$8, "Tier 2 High GIDA (Score 40.0–49.9)", "Tier 3 Moderate GIDA (Score &lt; 40.0)"))</f>
        <v/>
      </c>
      <c r="V433" s="26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W433" s="28" t="n">
        <v>0.109</v>
      </c>
      <c r="X433" s="14" t="n">
        <v>46.83</v>
      </c>
      <c r="Y433" s="14">
        <f>ROUND(MIN(100, (X433/69.91)*100), 2)</f>
        <v/>
      </c>
    </row>
    <row r="434">
      <c r="A434" s="10" t="n">
        <v>4</v>
      </c>
      <c r="B434" s="10" t="n">
        <v>430</v>
      </c>
      <c r="C434" s="10" t="n">
        <v>3430</v>
      </c>
      <c r="D434" s="10" t="inlineStr">
        <is>
          <t>0403425017</t>
        </is>
      </c>
      <c r="E434" s="26" t="inlineStr">
        <is>
          <t>Region IV-A (CALABARZON)</t>
        </is>
      </c>
      <c r="F434" s="26" t="inlineStr">
        <is>
          <t>Laguna</t>
        </is>
      </c>
      <c r="G434" s="26" t="inlineStr">
        <is>
          <t>City of San Pedro</t>
        </is>
      </c>
      <c r="H434" s="26" t="inlineStr">
        <is>
          <t>Santo Niño</t>
        </is>
      </c>
      <c r="I434" s="27" t="n">
        <v>14.225064</v>
      </c>
      <c r="J434" s="27" t="n">
        <v>121.283752</v>
      </c>
      <c r="K434" s="10" t="inlineStr">
        <is>
          <t>R</t>
        </is>
      </c>
      <c r="L434" s="12" t="n">
        <v>4266</v>
      </c>
      <c r="M434" s="14" t="n">
        <v>3.3</v>
      </c>
      <c r="N434" s="12">
        <f>ROUND(L434/M434, 0)</f>
        <v/>
      </c>
      <c r="O434" s="12">
        <f>ROUND(N434*'Methodology &amp; Assumptions'!$B$5, 0)</f>
        <v/>
      </c>
      <c r="P434" s="10" t="inlineStr">
        <is>
          <t>Single Carrier (Band n50, 100MHz TDD)</t>
        </is>
      </c>
      <c r="Q434" s="13">
        <f>ROUNDUP(O434/'Methodology &amp; Assumptions'!$B$6, 0)</f>
        <v/>
      </c>
      <c r="R434" s="13" t="n">
        <v>1</v>
      </c>
      <c r="S434" s="14" t="n">
        <v>4.92</v>
      </c>
      <c r="T434" s="14" t="n">
        <v>5.05</v>
      </c>
      <c r="U434" s="26">
        <f>IF(X434&gt;='Methodology &amp; Assumptions'!$B$7, "Tier 1 Critical GIDA (Score ≥ 50.0)", IF(X434&gt;='Methodology &amp; Assumptions'!$B$8, "Tier 2 High GIDA (Score 40.0–49.9)", "Tier 3 Moderate GIDA (Score &lt; 40.0)"))</f>
        <v/>
      </c>
      <c r="V434" s="26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W434" s="28" t="n">
        <v>0.07200000000000001</v>
      </c>
      <c r="X434" s="14" t="n">
        <v>46.83</v>
      </c>
      <c r="Y434" s="14">
        <f>ROUND(MIN(100, (X434/69.91)*100), 2)</f>
        <v/>
      </c>
    </row>
    <row r="435">
      <c r="A435" s="10" t="n">
        <v>4</v>
      </c>
      <c r="B435" s="10" t="n">
        <v>431</v>
      </c>
      <c r="C435" s="10" t="n">
        <v>3431</v>
      </c>
      <c r="D435" s="10" t="inlineStr">
        <is>
          <t>0402123022</t>
        </is>
      </c>
      <c r="E435" s="26" t="inlineStr">
        <is>
          <t>Region IV-A (CALABARZON)</t>
        </is>
      </c>
      <c r="F435" s="26" t="inlineStr">
        <is>
          <t>Cavite</t>
        </is>
      </c>
      <c r="G435" s="26" t="inlineStr">
        <is>
          <t>Gen. Mariano Alvarez</t>
        </is>
      </c>
      <c r="H435" s="26" t="inlineStr">
        <is>
          <t>Pantaleon Granados</t>
        </is>
      </c>
      <c r="I435" s="27" t="n">
        <v>14.315922</v>
      </c>
      <c r="J435" s="27" t="n">
        <v>121.009532</v>
      </c>
      <c r="K435" s="10" t="inlineStr">
        <is>
          <t>R</t>
        </is>
      </c>
      <c r="L435" s="12" t="n">
        <v>3651</v>
      </c>
      <c r="M435" s="14" t="n">
        <v>3.4</v>
      </c>
      <c r="N435" s="12">
        <f>ROUND(L435/M435, 0)</f>
        <v/>
      </c>
      <c r="O435" s="12">
        <f>ROUND(N435*'Methodology &amp; Assumptions'!$B$5, 0)</f>
        <v/>
      </c>
      <c r="P435" s="10" t="inlineStr">
        <is>
          <t>Single Carrier (Band n50, 100MHz TDD)</t>
        </is>
      </c>
      <c r="Q435" s="13">
        <f>ROUNDUP(O435/'Methodology &amp; Assumptions'!$B$6, 0)</f>
        <v/>
      </c>
      <c r="R435" s="13" t="n">
        <v>1</v>
      </c>
      <c r="S435" s="14" t="n">
        <v>2.86</v>
      </c>
      <c r="T435" s="14" t="n">
        <v>4.02</v>
      </c>
      <c r="U435" s="26">
        <f>IF(X435&gt;='Methodology &amp; Assumptions'!$B$7, "Tier 1 Critical GIDA (Score ≥ 50.0)", IF(X435&gt;='Methodology &amp; Assumptions'!$B$8, "Tier 2 High GIDA (Score 40.0–49.9)", "Tier 3 Moderate GIDA (Score &lt; 40.0)"))</f>
        <v/>
      </c>
      <c r="V435" s="26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W435" s="28" t="n">
        <v>0.07200000000000001</v>
      </c>
      <c r="X435" s="14" t="n">
        <v>46.83</v>
      </c>
      <c r="Y435" s="14">
        <f>ROUND(MIN(100, (X435/69.91)*100), 2)</f>
        <v/>
      </c>
    </row>
    <row r="436">
      <c r="A436" s="10" t="n">
        <v>4</v>
      </c>
      <c r="B436" s="10" t="n">
        <v>432</v>
      </c>
      <c r="C436" s="10" t="n">
        <v>3432</v>
      </c>
      <c r="D436" s="10" t="inlineStr">
        <is>
          <t>0504102007</t>
        </is>
      </c>
      <c r="E436" s="26" t="inlineStr">
        <is>
          <t>Region V (Bicol Region)</t>
        </is>
      </c>
      <c r="F436" s="26" t="inlineStr">
        <is>
          <t>Masbate</t>
        </is>
      </c>
      <c r="G436" s="26" t="inlineStr">
        <is>
          <t>Baleno</t>
        </is>
      </c>
      <c r="H436" s="26" t="inlineStr">
        <is>
          <t>Canjunday</t>
        </is>
      </c>
      <c r="I436" s="27" t="n">
        <v>12.398783</v>
      </c>
      <c r="J436" s="27" t="n">
        <v>123.518861</v>
      </c>
      <c r="K436" s="10" t="inlineStr">
        <is>
          <t>R</t>
        </is>
      </c>
      <c r="L436" s="12" t="n">
        <v>838</v>
      </c>
      <c r="M436" s="14" t="n">
        <v>4.1</v>
      </c>
      <c r="N436" s="12">
        <f>ROUND(L436/M436, 0)</f>
        <v/>
      </c>
      <c r="O436" s="12">
        <f>ROUND(N436*'Methodology &amp; Assumptions'!$B$5, 0)</f>
        <v/>
      </c>
      <c r="P436" s="10" t="inlineStr">
        <is>
          <t>Single Carrier (Band n50, 100MHz TDD)</t>
        </is>
      </c>
      <c r="Q436" s="13">
        <f>ROUNDUP(O436/'Methodology &amp; Assumptions'!$B$6, 0)</f>
        <v/>
      </c>
      <c r="R436" s="13" t="n">
        <v>1</v>
      </c>
      <c r="S436" s="14" t="n">
        <v>8.619999999999999</v>
      </c>
      <c r="T436" s="14" t="n">
        <v>0.17</v>
      </c>
      <c r="U436" s="26">
        <f>IF(X436&gt;='Methodology &amp; Assumptions'!$B$7, "Tier 1 Critical GIDA (Score ≥ 50.0)", IF(X436&gt;='Methodology &amp; Assumptions'!$B$8, "Tier 2 High GIDA (Score 40.0–49.9)", "Tier 3 Moderate GIDA (Score &lt; 40.0)"))</f>
        <v/>
      </c>
      <c r="V436" s="26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W436" s="28" t="n">
        <v>0.237</v>
      </c>
      <c r="X436" s="14" t="n">
        <v>46.83</v>
      </c>
      <c r="Y436" s="14">
        <f>ROUND(MIN(100, (X436/69.91)*100), 2)</f>
        <v/>
      </c>
    </row>
    <row r="437">
      <c r="A437" s="10" t="n">
        <v>4</v>
      </c>
      <c r="B437" s="10" t="n">
        <v>433</v>
      </c>
      <c r="C437" s="10" t="n">
        <v>3433</v>
      </c>
      <c r="D437" s="10" t="inlineStr">
        <is>
          <t>1380608004</t>
        </is>
      </c>
      <c r="E437" s="26" t="inlineStr">
        <is>
          <t>National Capital Region (NCR)</t>
        </is>
      </c>
      <c r="F437" s="26" t="inlineStr">
        <is>
          <t>First District (Not a Province)</t>
        </is>
      </c>
      <c r="G437" s="26" t="inlineStr">
        <is>
          <t>City of Manila</t>
        </is>
      </c>
      <c r="H437" s="26" t="inlineStr">
        <is>
          <t>Barangay 660-A</t>
        </is>
      </c>
      <c r="I437" s="27" t="n">
        <v>12.936079</v>
      </c>
      <c r="J437" s="27" t="n">
        <v>120.449377</v>
      </c>
      <c r="K437" s="10" t="inlineStr">
        <is>
          <t>U</t>
        </is>
      </c>
      <c r="L437" s="12" t="n">
        <v>2532</v>
      </c>
      <c r="M437" s="14" t="n">
        <v>3.9</v>
      </c>
      <c r="N437" s="12">
        <f>ROUND(L437/M437, 0)</f>
        <v/>
      </c>
      <c r="O437" s="12">
        <f>ROUND(N437*'Methodology &amp; Assumptions'!$B$5, 0)</f>
        <v/>
      </c>
      <c r="P437" s="10" t="inlineStr">
        <is>
          <t>Single Carrier (Band n50, 100MHz TDD)</t>
        </is>
      </c>
      <c r="Q437" s="13">
        <f>ROUNDUP(O437/'Methodology &amp; Assumptions'!$B$6, 0)</f>
        <v/>
      </c>
      <c r="R437" s="13" t="n">
        <v>1</v>
      </c>
      <c r="S437" s="14" t="n">
        <v>80.08</v>
      </c>
      <c r="T437" s="14" t="n">
        <v>78.73999999999999</v>
      </c>
      <c r="U437" s="26">
        <f>IF(X437&gt;='Methodology &amp; Assumptions'!$B$7, "Tier 1 Critical GIDA (Score ≥ 50.0)", IF(X437&gt;='Methodology &amp; Assumptions'!$B$8, "Tier 2 High GIDA (Score 40.0–49.9)", "Tier 3 Moderate GIDA (Score &lt; 40.0)"))</f>
        <v/>
      </c>
      <c r="V437" s="26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W437" s="28" t="n">
        <v>0.109</v>
      </c>
      <c r="X437" s="14" t="n">
        <v>46.82</v>
      </c>
      <c r="Y437" s="14">
        <f>ROUND(MIN(100, (X437/69.91)*100), 2)</f>
        <v/>
      </c>
    </row>
    <row r="438">
      <c r="A438" s="10" t="n">
        <v>4</v>
      </c>
      <c r="B438" s="10" t="n">
        <v>434</v>
      </c>
      <c r="C438" s="10" t="n">
        <v>3434</v>
      </c>
      <c r="D438" s="10" t="inlineStr">
        <is>
          <t>1380300023</t>
        </is>
      </c>
      <c r="E438" s="26" t="inlineStr">
        <is>
          <t>National Capital Region (NCR)</t>
        </is>
      </c>
      <c r="F438" s="26" t="inlineStr">
        <is>
          <t>Fourth District (Not a Province)</t>
        </is>
      </c>
      <c r="G438" s="26" t="inlineStr">
        <is>
          <t>City of Makati</t>
        </is>
      </c>
      <c r="H438" s="26" t="inlineStr">
        <is>
          <t>San Antonio</t>
        </is>
      </c>
      <c r="I438" s="27" t="n">
        <v>14.562069</v>
      </c>
      <c r="J438" s="27" t="n">
        <v>121.008206</v>
      </c>
      <c r="K438" s="10" t="inlineStr">
        <is>
          <t>U</t>
        </is>
      </c>
      <c r="L438" s="12" t="n">
        <v>8607</v>
      </c>
      <c r="M438" s="14" t="n">
        <v>3.5</v>
      </c>
      <c r="N438" s="12">
        <f>ROUND(L438/M438, 0)</f>
        <v/>
      </c>
      <c r="O438" s="12">
        <f>ROUND(N438*'Methodology &amp; Assumptions'!$B$5, 0)</f>
        <v/>
      </c>
      <c r="P438" s="10" t="inlineStr">
        <is>
          <t>Single Carrier (Band n50, 100MHz TDD)</t>
        </is>
      </c>
      <c r="Q438" s="13">
        <f>ROUNDUP(O438/'Methodology &amp; Assumptions'!$B$6, 0)</f>
        <v/>
      </c>
      <c r="R438" s="13" t="n">
        <v>1</v>
      </c>
      <c r="S438" s="14" t="n">
        <v>1.41</v>
      </c>
      <c r="T438" s="14" t="n">
        <v>0.29</v>
      </c>
      <c r="U438" s="26">
        <f>IF(X438&gt;='Methodology &amp; Assumptions'!$B$7, "Tier 1 Critical GIDA (Score ≥ 50.0)", IF(X438&gt;='Methodology &amp; Assumptions'!$B$8, "Tier 2 High GIDA (Score 40.0–49.9)", "Tier 3 Moderate GIDA (Score &lt; 40.0)"))</f>
        <v/>
      </c>
      <c r="V438" s="26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W438" s="28" t="n">
        <v>0.109</v>
      </c>
      <c r="X438" s="14" t="n">
        <v>46.82</v>
      </c>
      <c r="Y438" s="14">
        <f>ROUND(MIN(100, (X438/69.91)*100), 2)</f>
        <v/>
      </c>
    </row>
    <row r="439">
      <c r="A439" s="10" t="n">
        <v>4</v>
      </c>
      <c r="B439" s="10" t="n">
        <v>435</v>
      </c>
      <c r="C439" s="10" t="n">
        <v>3435</v>
      </c>
      <c r="D439" s="10" t="inlineStr">
        <is>
          <t>0402123006</t>
        </is>
      </c>
      <c r="E439" s="26" t="inlineStr">
        <is>
          <t>Region IV-A (CALABARZON)</t>
        </is>
      </c>
      <c r="F439" s="26" t="inlineStr">
        <is>
          <t>Cavite</t>
        </is>
      </c>
      <c r="G439" s="26" t="inlineStr">
        <is>
          <t>Gen. Mariano Alvarez</t>
        </is>
      </c>
      <c r="H439" s="26" t="inlineStr">
        <is>
          <t>Barangay 5 Poblacion</t>
        </is>
      </c>
      <c r="I439" s="27" t="n">
        <v>14.304103</v>
      </c>
      <c r="J439" s="27" t="n">
        <v>121.007633</v>
      </c>
      <c r="K439" s="10" t="inlineStr">
        <is>
          <t>U</t>
        </is>
      </c>
      <c r="L439" s="12" t="n">
        <v>17917</v>
      </c>
      <c r="M439" s="14" t="n">
        <v>3.4</v>
      </c>
      <c r="N439" s="12">
        <f>ROUND(L439/M439, 0)</f>
        <v/>
      </c>
      <c r="O439" s="12">
        <f>ROUND(N439*'Methodology &amp; Assumptions'!$B$5, 0)</f>
        <v/>
      </c>
      <c r="P439" s="10" t="inlineStr">
        <is>
          <t>Single Carrier (Band n50, 100MHz TDD)</t>
        </is>
      </c>
      <c r="Q439" s="13">
        <f>ROUNDUP(O439/'Methodology &amp; Assumptions'!$B$6, 0)</f>
        <v/>
      </c>
      <c r="R439" s="13" t="n">
        <v>1</v>
      </c>
      <c r="S439" s="14" t="n">
        <v>2.48</v>
      </c>
      <c r="T439" s="14" t="n">
        <v>4.63</v>
      </c>
      <c r="U439" s="26">
        <f>IF(X439&gt;='Methodology &amp; Assumptions'!$B$7, "Tier 1 Critical GIDA (Score ≥ 50.0)", IF(X439&gt;='Methodology &amp; Assumptions'!$B$8, "Tier 2 High GIDA (Score 40.0–49.9)", "Tier 3 Moderate GIDA (Score &lt; 40.0)"))</f>
        <v/>
      </c>
      <c r="V439" s="26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W439" s="28" t="n">
        <v>0.07200000000000001</v>
      </c>
      <c r="X439" s="14" t="n">
        <v>46.82</v>
      </c>
      <c r="Y439" s="14">
        <f>ROUND(MIN(100, (X439/69.91)*100), 2)</f>
        <v/>
      </c>
    </row>
    <row r="440">
      <c r="A440" s="10" t="n">
        <v>4</v>
      </c>
      <c r="B440" s="10" t="n">
        <v>436</v>
      </c>
      <c r="C440" s="10" t="n">
        <v>3436</v>
      </c>
      <c r="D440" s="10" t="inlineStr">
        <is>
          <t>PH0003436</t>
        </is>
      </c>
      <c r="E440" s="26" t="inlineStr">
        <is>
          <t>IV-A</t>
        </is>
      </c>
      <c r="F440" s="26" t="inlineStr">
        <is>
          <t>Cavite</t>
        </is>
      </c>
      <c r="G440" s="26" t="inlineStr">
        <is>
          <t>City of Bacoor</t>
        </is>
      </c>
      <c r="H440" s="26" t="inlineStr">
        <is>
          <t>Aniban 1</t>
        </is>
      </c>
      <c r="I440" s="27" t="n">
        <v>14.143705</v>
      </c>
      <c r="J440" s="27" t="n">
        <v>120.914257</v>
      </c>
      <c r="K440" s="10" t="inlineStr">
        <is>
          <t>R</t>
        </is>
      </c>
      <c r="L440" s="12" t="n">
        <v>9584</v>
      </c>
      <c r="M440" s="14" t="n">
        <v>3.4</v>
      </c>
      <c r="N440" s="12">
        <f>ROUND(L440/M440, 0)</f>
        <v/>
      </c>
      <c r="O440" s="12">
        <f>ROUND(N440*'Methodology &amp; Assumptions'!$B$5, 0)</f>
        <v/>
      </c>
      <c r="P440" s="10" t="inlineStr">
        <is>
          <t>Single Carrier (Band n50, 100MHz TDD)</t>
        </is>
      </c>
      <c r="Q440" s="13">
        <f>ROUNDUP(O440/'Methodology &amp; Assumptions'!$B$6, 0)</f>
        <v/>
      </c>
      <c r="R440" s="13" t="n">
        <v>1</v>
      </c>
      <c r="S440" s="14" t="n">
        <v>1.59</v>
      </c>
      <c r="T440" s="14" t="n">
        <v>4.47</v>
      </c>
      <c r="U440" s="26">
        <f>IF(X440&gt;='Methodology &amp; Assumptions'!$B$7, "Tier 1 Critical GIDA (Score ≥ 50.0)", IF(X440&gt;='Methodology &amp; Assumptions'!$B$8, "Tier 2 High GIDA (Score 40.0–49.9)", "Tier 3 Moderate GIDA (Score &lt; 40.0)"))</f>
        <v/>
      </c>
      <c r="V440" s="26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W440" s="28" t="n">
        <v>0.07200000000000001</v>
      </c>
      <c r="X440" s="14" t="n">
        <v>46.81</v>
      </c>
      <c r="Y440" s="14">
        <f>ROUND(MIN(100, (X440/69.91)*100), 2)</f>
        <v/>
      </c>
    </row>
    <row r="441">
      <c r="A441" s="10" t="n">
        <v>4</v>
      </c>
      <c r="B441" s="10" t="n">
        <v>437</v>
      </c>
      <c r="C441" s="10" t="n">
        <v>3437</v>
      </c>
      <c r="D441" s="10" t="inlineStr">
        <is>
          <t>1381600005</t>
        </is>
      </c>
      <c r="E441" s="26" t="inlineStr">
        <is>
          <t>National Capital Region (NCR)</t>
        </is>
      </c>
      <c r="F441" s="26" t="inlineStr">
        <is>
          <t>Third District (Not a Province)</t>
        </is>
      </c>
      <c r="G441" s="26" t="inlineStr">
        <is>
          <t>City of Valenzuela</t>
        </is>
      </c>
      <c r="H441" s="26" t="inlineStr">
        <is>
          <t>Bignay</t>
        </is>
      </c>
      <c r="I441" s="27" t="n">
        <v>14.745687</v>
      </c>
      <c r="J441" s="27" t="n">
        <v>121.002129</v>
      </c>
      <c r="K441" s="10" t="inlineStr">
        <is>
          <t>U</t>
        </is>
      </c>
      <c r="L441" s="12" t="n">
        <v>50425</v>
      </c>
      <c r="M441" s="14" t="n">
        <v>3.5</v>
      </c>
      <c r="N441" s="12">
        <f>ROUND(L441/M441, 0)</f>
        <v/>
      </c>
      <c r="O441" s="12">
        <f>ROUND(N441*'Methodology &amp; Assumptions'!$B$5, 0)</f>
        <v/>
      </c>
      <c r="P441" s="10" t="inlineStr">
        <is>
          <t>Single Carrier (Band n50, 100MHz TDD)</t>
        </is>
      </c>
      <c r="Q441" s="13">
        <f>ROUNDUP(O441/'Methodology &amp; Assumptions'!$B$6, 0)</f>
        <v/>
      </c>
      <c r="R441" s="13" t="n">
        <v>1</v>
      </c>
      <c r="S441" s="14" t="n">
        <v>1.01</v>
      </c>
      <c r="T441" s="14" t="n">
        <v>0.02</v>
      </c>
      <c r="U441" s="26">
        <f>IF(X441&gt;='Methodology &amp; Assumptions'!$B$7, "Tier 1 Critical GIDA (Score ≥ 50.0)", IF(X441&gt;='Methodology &amp; Assumptions'!$B$8, "Tier 2 High GIDA (Score 40.0–49.9)", "Tier 3 Moderate GIDA (Score &lt; 40.0)"))</f>
        <v/>
      </c>
      <c r="V441" s="26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W441" s="28" t="n">
        <v>0.109</v>
      </c>
      <c r="X441" s="14" t="n">
        <v>46.8</v>
      </c>
      <c r="Y441" s="14">
        <f>ROUND(MIN(100, (X441/69.91)*100), 2)</f>
        <v/>
      </c>
    </row>
    <row r="442">
      <c r="A442" s="10" t="n">
        <v>4</v>
      </c>
      <c r="B442" s="10" t="n">
        <v>438</v>
      </c>
      <c r="C442" s="10" t="n">
        <v>3438</v>
      </c>
      <c r="D442" s="10" t="inlineStr">
        <is>
          <t>0607903006</t>
        </is>
      </c>
      <c r="E442" s="26" t="inlineStr">
        <is>
          <t>Region VI (Western Visayas)</t>
        </is>
      </c>
      <c r="F442" s="26" t="inlineStr">
        <is>
          <t>Guimaras</t>
        </is>
      </c>
      <c r="G442" s="26" t="inlineStr">
        <is>
          <t>Nueva Valencia</t>
        </is>
      </c>
      <c r="H442" s="26" t="inlineStr">
        <is>
          <t>Guiwanon</t>
        </is>
      </c>
      <c r="I442" s="27" t="n">
        <v>10.391292</v>
      </c>
      <c r="J442" s="27" t="n">
        <v>122.61528</v>
      </c>
      <c r="K442" s="10" t="inlineStr">
        <is>
          <t>R</t>
        </is>
      </c>
      <c r="L442" s="12" t="n">
        <v>1929</v>
      </c>
      <c r="M442" s="14" t="n">
        <v>3.8</v>
      </c>
      <c r="N442" s="12">
        <f>ROUND(L442/M442, 0)</f>
        <v/>
      </c>
      <c r="O442" s="12">
        <f>ROUND(N442*'Methodology &amp; Assumptions'!$B$5, 0)</f>
        <v/>
      </c>
      <c r="P442" s="10" t="inlineStr">
        <is>
          <t>Single Carrier (Band n50, 100MHz TDD)</t>
        </is>
      </c>
      <c r="Q442" s="13">
        <f>ROUNDUP(O442/'Methodology &amp; Assumptions'!$B$6, 0)</f>
        <v/>
      </c>
      <c r="R442" s="13" t="n">
        <v>1</v>
      </c>
      <c r="S442" s="14" t="n">
        <v>24.25</v>
      </c>
      <c r="T442" s="14" t="n">
        <v>23.94</v>
      </c>
      <c r="U442" s="26">
        <f>IF(X442&gt;='Methodology &amp; Assumptions'!$B$7, "Tier 1 Critical GIDA (Score ≥ 50.0)", IF(X442&gt;='Methodology &amp; Assumptions'!$B$8, "Tier 2 High GIDA (Score 40.0–49.9)", "Tier 3 Moderate GIDA (Score &lt; 40.0)"))</f>
        <v/>
      </c>
      <c r="V442" s="26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W442" s="28" t="n">
        <v>0.237</v>
      </c>
      <c r="X442" s="14" t="n">
        <v>46.8</v>
      </c>
      <c r="Y442" s="14">
        <f>ROUND(MIN(100, (X442/69.91)*100), 2)</f>
        <v/>
      </c>
    </row>
    <row r="443">
      <c r="A443" s="10" t="n">
        <v>4</v>
      </c>
      <c r="B443" s="10" t="n">
        <v>439</v>
      </c>
      <c r="C443" s="10" t="n">
        <v>3439</v>
      </c>
      <c r="D443" s="10" t="inlineStr">
        <is>
          <t>1381300042</t>
        </is>
      </c>
      <c r="E443" s="26" t="inlineStr">
        <is>
          <t>National Capital Region (NCR)</t>
        </is>
      </c>
      <c r="F443" s="26" t="inlineStr">
        <is>
          <t>Second District (Not a Province)</t>
        </is>
      </c>
      <c r="G443" s="26" t="inlineStr">
        <is>
          <t>Quezon City</t>
        </is>
      </c>
      <c r="H443" s="26" t="inlineStr">
        <is>
          <t>N.S. Amoranto</t>
        </is>
      </c>
      <c r="I443" s="27" t="n">
        <v>14.643976</v>
      </c>
      <c r="J443" s="27" t="n">
        <v>121.021454</v>
      </c>
      <c r="K443" s="10" t="inlineStr">
        <is>
          <t>U</t>
        </is>
      </c>
      <c r="L443" s="12" t="n">
        <v>6202</v>
      </c>
      <c r="M443" s="14" t="n">
        <v>3.8</v>
      </c>
      <c r="N443" s="12">
        <f>ROUND(L443/M443, 0)</f>
        <v/>
      </c>
      <c r="O443" s="12">
        <f>ROUND(N443*'Methodology &amp; Assumptions'!$B$5, 0)</f>
        <v/>
      </c>
      <c r="P443" s="10" t="inlineStr">
        <is>
          <t>Single Carrier (Band n50, 100MHz TDD)</t>
        </is>
      </c>
      <c r="Q443" s="13">
        <f>ROUNDUP(O443/'Methodology &amp; Assumptions'!$B$6, 0)</f>
        <v/>
      </c>
      <c r="R443" s="13" t="n">
        <v>1</v>
      </c>
      <c r="S443" s="14" t="n">
        <v>0.6899999999999999</v>
      </c>
      <c r="T443" s="14" t="n">
        <v>0.32</v>
      </c>
      <c r="U443" s="26">
        <f>IF(X443&gt;='Methodology &amp; Assumptions'!$B$7, "Tier 1 Critical GIDA (Score ≥ 50.0)", IF(X443&gt;='Methodology &amp; Assumptions'!$B$8, "Tier 2 High GIDA (Score 40.0–49.9)", "Tier 3 Moderate GIDA (Score &lt; 40.0)"))</f>
        <v/>
      </c>
      <c r="V443" s="26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W443" s="28" t="n">
        <v>0.109</v>
      </c>
      <c r="X443" s="14" t="n">
        <v>46.8</v>
      </c>
      <c r="Y443" s="14">
        <f>ROUND(MIN(100, (X443/69.91)*100), 2)</f>
        <v/>
      </c>
    </row>
    <row r="444">
      <c r="A444" s="10" t="n">
        <v>4</v>
      </c>
      <c r="B444" s="10" t="n">
        <v>440</v>
      </c>
      <c r="C444" s="10" t="n">
        <v>3440</v>
      </c>
      <c r="D444" s="10" t="inlineStr">
        <is>
          <t>1003507005</t>
        </is>
      </c>
      <c r="E444" s="26" t="inlineStr">
        <is>
          <t>Region X (Northern Mindanao)</t>
        </is>
      </c>
      <c r="F444" s="26" t="inlineStr">
        <is>
          <t>Lanao del Norte</t>
        </is>
      </c>
      <c r="G444" s="26" t="inlineStr">
        <is>
          <t>Kauswagan</t>
        </is>
      </c>
      <c r="H444" s="26" t="inlineStr">
        <is>
          <t>Inudaran</t>
        </is>
      </c>
      <c r="I444" s="27" t="n">
        <v>8.174393</v>
      </c>
      <c r="J444" s="27" t="n">
        <v>124.098976</v>
      </c>
      <c r="K444" s="10" t="inlineStr">
        <is>
          <t>R</t>
        </is>
      </c>
      <c r="L444" s="12" t="n">
        <v>951</v>
      </c>
      <c r="M444" s="14" t="n">
        <v>4.2</v>
      </c>
      <c r="N444" s="12">
        <f>ROUND(L444/M444, 0)</f>
        <v/>
      </c>
      <c r="O444" s="12">
        <f>ROUND(N444*'Methodology &amp; Assumptions'!$B$5, 0)</f>
        <v/>
      </c>
      <c r="P444" s="10" t="inlineStr">
        <is>
          <t>Single Carrier (Band n50, 100MHz TDD)</t>
        </is>
      </c>
      <c r="Q444" s="13">
        <f>ROUNDUP(O444/'Methodology &amp; Assumptions'!$B$6, 0)</f>
        <v/>
      </c>
      <c r="R444" s="13" t="n">
        <v>1</v>
      </c>
      <c r="S444" s="14" t="n">
        <v>16.69</v>
      </c>
      <c r="T444" s="14" t="n">
        <v>1.5</v>
      </c>
      <c r="U444" s="26">
        <f>IF(X444&gt;='Methodology &amp; Assumptions'!$B$7, "Tier 1 Critical GIDA (Score ≥ 50.0)", IF(X444&gt;='Methodology &amp; Assumptions'!$B$8, "Tier 2 High GIDA (Score 40.0–49.9)", "Tier 3 Moderate GIDA (Score &lt; 40.0)"))</f>
        <v/>
      </c>
      <c r="V444" s="26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W444" s="28" t="n">
        <v>0.174</v>
      </c>
      <c r="X444" s="14" t="n">
        <v>46.8</v>
      </c>
      <c r="Y444" s="14">
        <f>ROUND(MIN(100, (X444/69.91)*100), 2)</f>
        <v/>
      </c>
    </row>
    <row r="445">
      <c r="A445" s="10" t="n">
        <v>4</v>
      </c>
      <c r="B445" s="10" t="n">
        <v>441</v>
      </c>
      <c r="C445" s="10" t="n">
        <v>3441</v>
      </c>
      <c r="D445" s="10" t="inlineStr">
        <is>
          <t>PH0003441</t>
        </is>
      </c>
      <c r="E445" s="26" t="inlineStr">
        <is>
          <t>NCR</t>
        </is>
      </c>
      <c r="F445" s="26" t="inlineStr">
        <is>
          <t>Metro Manila</t>
        </is>
      </c>
      <c r="G445" s="26" t="inlineStr">
        <is>
          <t>Caloocan City</t>
        </is>
      </c>
      <c r="H445" s="26" t="inlineStr">
        <is>
          <t>Barangay 168</t>
        </is>
      </c>
      <c r="I445" s="27" t="n">
        <v>11.627449</v>
      </c>
      <c r="J445" s="27" t="n">
        <v>120.874534</v>
      </c>
      <c r="K445" s="10" t="inlineStr">
        <is>
          <t>R</t>
        </is>
      </c>
      <c r="L445" s="12" t="n">
        <v>2279</v>
      </c>
      <c r="M445" s="14" t="n">
        <v>3.8</v>
      </c>
      <c r="N445" s="12">
        <f>ROUND(L445/M445, 0)</f>
        <v/>
      </c>
      <c r="O445" s="12">
        <f>ROUND(N445*'Methodology &amp; Assumptions'!$B$5, 0)</f>
        <v/>
      </c>
      <c r="P445" s="10" t="inlineStr">
        <is>
          <t>Single Carrier (Band n50, 100MHz TDD)</t>
        </is>
      </c>
      <c r="Q445" s="13">
        <f>ROUNDUP(O445/'Methodology &amp; Assumptions'!$B$6, 0)</f>
        <v/>
      </c>
      <c r="R445" s="13" t="n">
        <v>1</v>
      </c>
      <c r="S445" s="14" t="n">
        <v>80.01000000000001</v>
      </c>
      <c r="T445" s="14" t="n">
        <v>80.76000000000001</v>
      </c>
      <c r="U445" s="26">
        <f>IF(X445&gt;='Methodology &amp; Assumptions'!$B$7, "Tier 1 Critical GIDA (Score ≥ 50.0)", IF(X445&gt;='Methodology &amp; Assumptions'!$B$8, "Tier 2 High GIDA (Score 40.0–49.9)", "Tier 3 Moderate GIDA (Score &lt; 40.0)"))</f>
        <v/>
      </c>
      <c r="V445" s="26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W445" s="28" t="n">
        <v>0.011</v>
      </c>
      <c r="X445" s="14" t="n">
        <v>46.79</v>
      </c>
      <c r="Y445" s="14">
        <f>ROUND(MIN(100, (X445/69.91)*100), 2)</f>
        <v/>
      </c>
    </row>
    <row r="446">
      <c r="A446" s="10" t="n">
        <v>4</v>
      </c>
      <c r="B446" s="10" t="n">
        <v>442</v>
      </c>
      <c r="C446" s="10" t="n">
        <v>3442</v>
      </c>
      <c r="D446" s="10" t="inlineStr">
        <is>
          <t>0402123003</t>
        </is>
      </c>
      <c r="E446" s="26" t="inlineStr">
        <is>
          <t>Region IV-A (CALABARZON)</t>
        </is>
      </c>
      <c r="F446" s="26" t="inlineStr">
        <is>
          <t>Cavite</t>
        </is>
      </c>
      <c r="G446" s="26" t="inlineStr">
        <is>
          <t>Gen. Mariano Alvarez</t>
        </is>
      </c>
      <c r="H446" s="26" t="inlineStr">
        <is>
          <t>Barangay 2 Poblacion</t>
        </is>
      </c>
      <c r="I446" s="27" t="n">
        <v>14.304167</v>
      </c>
      <c r="J446" s="27" t="n">
        <v>121.02693</v>
      </c>
      <c r="K446" s="10" t="inlineStr">
        <is>
          <t>R</t>
        </is>
      </c>
      <c r="L446" s="12" t="n">
        <v>4382</v>
      </c>
      <c r="M446" s="14" t="n">
        <v>3.4</v>
      </c>
      <c r="N446" s="12">
        <f>ROUND(L446/M446, 0)</f>
        <v/>
      </c>
      <c r="O446" s="12">
        <f>ROUND(N446*'Methodology &amp; Assumptions'!$B$5, 0)</f>
        <v/>
      </c>
      <c r="P446" s="10" t="inlineStr">
        <is>
          <t>Single Carrier (Band n50, 100MHz TDD)</t>
        </is>
      </c>
      <c r="Q446" s="13">
        <f>ROUNDUP(O446/'Methodology &amp; Assumptions'!$B$6, 0)</f>
        <v/>
      </c>
      <c r="R446" s="13" t="n">
        <v>1</v>
      </c>
      <c r="S446" s="14" t="n">
        <v>1.77</v>
      </c>
      <c r="T446" s="14" t="n">
        <v>2.6</v>
      </c>
      <c r="U446" s="26">
        <f>IF(X446&gt;='Methodology &amp; Assumptions'!$B$7, "Tier 1 Critical GIDA (Score ≥ 50.0)", IF(X446&gt;='Methodology &amp; Assumptions'!$B$8, "Tier 2 High GIDA (Score 40.0–49.9)", "Tier 3 Moderate GIDA (Score &lt; 40.0)"))</f>
        <v/>
      </c>
      <c r="V446" s="26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W446" s="28" t="n">
        <v>0.07200000000000001</v>
      </c>
      <c r="X446" s="14" t="n">
        <v>46.79</v>
      </c>
      <c r="Y446" s="14">
        <f>ROUND(MIN(100, (X446/69.91)*100), 2)</f>
        <v/>
      </c>
    </row>
    <row r="447">
      <c r="A447" s="10" t="n">
        <v>4</v>
      </c>
      <c r="B447" s="10" t="n">
        <v>443</v>
      </c>
      <c r="C447" s="10" t="n">
        <v>3443</v>
      </c>
      <c r="D447" s="10" t="inlineStr">
        <is>
          <t>0504118025</t>
        </is>
      </c>
      <c r="E447" s="26" t="inlineStr">
        <is>
          <t>Region V (Bicol Region)</t>
        </is>
      </c>
      <c r="F447" s="26" t="inlineStr">
        <is>
          <t>Masbate</t>
        </is>
      </c>
      <c r="G447" s="26" t="inlineStr">
        <is>
          <t>San Fernando</t>
        </is>
      </c>
      <c r="H447" s="26" t="inlineStr">
        <is>
          <t>Talisay</t>
        </is>
      </c>
      <c r="I447" s="27" t="n">
        <v>12.48031</v>
      </c>
      <c r="J447" s="27" t="n">
        <v>123.68742</v>
      </c>
      <c r="K447" s="10" t="inlineStr">
        <is>
          <t>R</t>
        </is>
      </c>
      <c r="L447" s="12" t="n">
        <v>641</v>
      </c>
      <c r="M447" s="14" t="n">
        <v>4.1</v>
      </c>
      <c r="N447" s="12">
        <f>ROUND(L447/M447, 0)</f>
        <v/>
      </c>
      <c r="O447" s="12">
        <f>ROUND(N447*'Methodology &amp; Assumptions'!$B$5, 0)</f>
        <v/>
      </c>
      <c r="P447" s="10" t="inlineStr">
        <is>
          <t>Single Carrier (Band n50, 100MHz TDD)</t>
        </is>
      </c>
      <c r="Q447" s="13">
        <f>ROUNDUP(O447/'Methodology &amp; Assumptions'!$B$6, 0)</f>
        <v/>
      </c>
      <c r="R447" s="13" t="n">
        <v>1</v>
      </c>
      <c r="S447" s="14" t="n">
        <v>15.66</v>
      </c>
      <c r="T447" s="14" t="n">
        <v>13.05</v>
      </c>
      <c r="U447" s="26">
        <f>IF(X447&gt;='Methodology &amp; Assumptions'!$B$7, "Tier 1 Critical GIDA (Score ≥ 50.0)", IF(X447&gt;='Methodology &amp; Assumptions'!$B$8, "Tier 2 High GIDA (Score 40.0–49.9)", "Tier 3 Moderate GIDA (Score &lt; 40.0)"))</f>
        <v/>
      </c>
      <c r="V447" s="26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W447" s="28" t="n">
        <v>0.237</v>
      </c>
      <c r="X447" s="14" t="n">
        <v>46.79</v>
      </c>
      <c r="Y447" s="14">
        <f>ROUND(MIN(100, (X447/69.91)*100), 2)</f>
        <v/>
      </c>
    </row>
    <row r="448">
      <c r="A448" s="10" t="n">
        <v>4</v>
      </c>
      <c r="B448" s="10" t="n">
        <v>444</v>
      </c>
      <c r="C448" s="10" t="n">
        <v>3444</v>
      </c>
      <c r="D448" s="10" t="inlineStr">
        <is>
          <t>0806006016</t>
        </is>
      </c>
      <c r="E448" s="26" t="inlineStr">
        <is>
          <t>Region VIII (Eastern Visayas)</t>
        </is>
      </c>
      <c r="F448" s="26" t="inlineStr">
        <is>
          <t>Samar</t>
        </is>
      </c>
      <c r="G448" s="26" t="inlineStr">
        <is>
          <t>Daram</t>
        </is>
      </c>
      <c r="H448" s="26" t="inlineStr">
        <is>
          <t>Calawan-an</t>
        </is>
      </c>
      <c r="I448" s="27" t="n">
        <v>11.5734</v>
      </c>
      <c r="J448" s="27" t="n">
        <v>124.77847</v>
      </c>
      <c r="K448" s="10" t="inlineStr">
        <is>
          <t>R</t>
        </is>
      </c>
      <c r="L448" s="12" t="n">
        <v>910</v>
      </c>
      <c r="M448" s="14" t="n">
        <v>4.1</v>
      </c>
      <c r="N448" s="12">
        <f>ROUND(L448/M448, 0)</f>
        <v/>
      </c>
      <c r="O448" s="12">
        <f>ROUND(N448*'Methodology &amp; Assumptions'!$B$5, 0)</f>
        <v/>
      </c>
      <c r="P448" s="10" t="inlineStr">
        <is>
          <t>Single Carrier (Band n50, 100MHz TDD)</t>
        </is>
      </c>
      <c r="Q448" s="13">
        <f>ROUNDUP(O448/'Methodology &amp; Assumptions'!$B$6, 0)</f>
        <v/>
      </c>
      <c r="R448" s="13" t="n">
        <v>1</v>
      </c>
      <c r="S448" s="14" t="n">
        <v>31.94</v>
      </c>
      <c r="T448" s="14" t="n">
        <v>31.88</v>
      </c>
      <c r="U448" s="26">
        <f>IF(X448&gt;='Methodology &amp; Assumptions'!$B$7, "Tier 1 Critical GIDA (Score ≥ 50.0)", IF(X448&gt;='Methodology &amp; Assumptions'!$B$8, "Tier 2 High GIDA (Score 40.0–49.9)", "Tier 3 Moderate GIDA (Score &lt; 40.0)"))</f>
        <v/>
      </c>
      <c r="V448" s="26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W448" s="28" t="n">
        <v>0.237</v>
      </c>
      <c r="X448" s="14" t="n">
        <v>46.78</v>
      </c>
      <c r="Y448" s="14">
        <f>ROUND(MIN(100, (X448/69.91)*100), 2)</f>
        <v/>
      </c>
    </row>
    <row r="449">
      <c r="A449" s="10" t="n">
        <v>4</v>
      </c>
      <c r="B449" s="10" t="n">
        <v>445</v>
      </c>
      <c r="C449" s="10" t="n">
        <v>3445</v>
      </c>
      <c r="D449" s="10" t="inlineStr">
        <is>
          <t>1908710012</t>
        </is>
      </c>
      <c r="E449" s="26" t="inlineStr">
        <is>
          <t>Bangsamoro Autonomous Region In Muslim Mindanao (BARMM)</t>
        </is>
      </c>
      <c r="F449" s="26" t="inlineStr">
        <is>
          <t>Maguindanao del Norte</t>
        </is>
      </c>
      <c r="G449" s="26" t="inlineStr">
        <is>
          <t>Sultan Kudarat</t>
        </is>
      </c>
      <c r="H449" s="26" t="inlineStr">
        <is>
          <t>Inawan</t>
        </is>
      </c>
      <c r="I449" s="27" t="n">
        <v>17.253991</v>
      </c>
      <c r="J449" s="27" t="n">
        <v>122.228035</v>
      </c>
      <c r="K449" s="10" t="inlineStr">
        <is>
          <t>R</t>
        </is>
      </c>
      <c r="L449" s="12" t="n">
        <v>610</v>
      </c>
      <c r="M449" s="14" t="n">
        <v>3.8</v>
      </c>
      <c r="N449" s="12">
        <f>ROUND(L449/M449, 0)</f>
        <v/>
      </c>
      <c r="O449" s="12">
        <f>ROUND(N449*'Methodology &amp; Assumptions'!$B$5, 0)</f>
        <v/>
      </c>
      <c r="P449" s="10" t="inlineStr">
        <is>
          <t>Single Carrier (Band n50, 100MHz TDD)</t>
        </is>
      </c>
      <c r="Q449" s="13">
        <f>ROUNDUP(O449/'Methodology &amp; Assumptions'!$B$6, 0)</f>
        <v/>
      </c>
      <c r="R449" s="13" t="n">
        <v>1</v>
      </c>
      <c r="S449" s="14" t="n">
        <v>29.28</v>
      </c>
      <c r="T449" s="14" t="n">
        <v>34.18</v>
      </c>
      <c r="U449" s="26">
        <f>IF(X449&gt;='Methodology &amp; Assumptions'!$B$7, "Tier 1 Critical GIDA (Score ≥ 50.0)", IF(X449&gt;='Methodology &amp; Assumptions'!$B$8, "Tier 2 High GIDA (Score 40.0–49.9)", "Tier 3 Moderate GIDA (Score &lt; 40.0)"))</f>
        <v/>
      </c>
      <c r="V449" s="26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W449" s="28" t="n">
        <v>0.11</v>
      </c>
      <c r="X449" s="14" t="n">
        <v>46.78</v>
      </c>
      <c r="Y449" s="14">
        <f>ROUND(MIN(100, (X449/69.91)*100), 2)</f>
        <v/>
      </c>
    </row>
    <row r="450">
      <c r="A450" s="10" t="n">
        <v>4</v>
      </c>
      <c r="B450" s="10" t="n">
        <v>446</v>
      </c>
      <c r="C450" s="10" t="n">
        <v>3446</v>
      </c>
      <c r="D450" s="10" t="inlineStr">
        <is>
          <t>1903601001</t>
        </is>
      </c>
      <c r="E450" s="26" t="inlineStr">
        <is>
          <t>Bangsamoro Autonomous Region In Muslim Mindanao (BARMM)</t>
        </is>
      </c>
      <c r="F450" s="26" t="inlineStr">
        <is>
          <t>Lanao del Sur</t>
        </is>
      </c>
      <c r="G450" s="26" t="inlineStr">
        <is>
          <t>Bacolod-Kalawi</t>
        </is>
      </c>
      <c r="H450" s="26" t="inlineStr">
        <is>
          <t>Ampao</t>
        </is>
      </c>
      <c r="I450" s="27" t="n">
        <v>17.254718</v>
      </c>
      <c r="J450" s="27" t="n">
        <v>122.228762</v>
      </c>
      <c r="K450" s="10" t="inlineStr">
        <is>
          <t>U</t>
        </is>
      </c>
      <c r="L450" s="12" t="n">
        <v>1080</v>
      </c>
      <c r="M450" s="14" t="n">
        <v>5.7</v>
      </c>
      <c r="N450" s="12">
        <f>ROUND(L450/M450, 0)</f>
        <v/>
      </c>
      <c r="O450" s="12">
        <f>ROUND(N450*'Methodology &amp; Assumptions'!$B$5, 0)</f>
        <v/>
      </c>
      <c r="P450" s="10" t="inlineStr">
        <is>
          <t>Single Carrier (Band n50, 100MHz TDD)</t>
        </is>
      </c>
      <c r="Q450" s="13">
        <f>ROUNDUP(O450/'Methodology &amp; Assumptions'!$B$6, 0)</f>
        <v/>
      </c>
      <c r="R450" s="13" t="n">
        <v>1</v>
      </c>
      <c r="S450" s="14" t="n">
        <v>29.4</v>
      </c>
      <c r="T450" s="14" t="n">
        <v>34.28</v>
      </c>
      <c r="U450" s="26">
        <f>IF(X450&gt;='Methodology &amp; Assumptions'!$B$7, "Tier 1 Critical GIDA (Score ≥ 50.0)", IF(X450&gt;='Methodology &amp; Assumptions'!$B$8, "Tier 2 High GIDA (Score 40.0–49.9)", "Tier 3 Moderate GIDA (Score &lt; 40.0)"))</f>
        <v/>
      </c>
      <c r="V450" s="26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W450" s="28" t="n">
        <v>0.11</v>
      </c>
      <c r="X450" s="14" t="n">
        <v>46.76</v>
      </c>
      <c r="Y450" s="14">
        <f>ROUND(MIN(100, (X450/69.91)*100), 2)</f>
        <v/>
      </c>
    </row>
    <row r="451">
      <c r="A451" s="10" t="n">
        <v>4</v>
      </c>
      <c r="B451" s="10" t="n">
        <v>447</v>
      </c>
      <c r="C451" s="10" t="n">
        <v>3447</v>
      </c>
      <c r="D451" s="10" t="inlineStr">
        <is>
          <t>1908811006</t>
        </is>
      </c>
      <c r="E451" s="26" t="inlineStr">
        <is>
          <t>Bangsamoro Autonomous Region In Muslim Mindanao (BARMM)</t>
        </is>
      </c>
      <c r="F451" s="26" t="inlineStr">
        <is>
          <t>Maguindanao del Sur</t>
        </is>
      </c>
      <c r="G451" s="26" t="inlineStr">
        <is>
          <t>Gen. S.K. Pendatun</t>
        </is>
      </c>
      <c r="H451" s="26" t="inlineStr">
        <is>
          <t>Lasangan</t>
        </is>
      </c>
      <c r="I451" s="27" t="n">
        <v>17.255011</v>
      </c>
      <c r="J451" s="27" t="n">
        <v>122.229055</v>
      </c>
      <c r="K451" s="10" t="inlineStr">
        <is>
          <t>R</t>
        </is>
      </c>
      <c r="L451" s="12" t="n">
        <v>2163</v>
      </c>
      <c r="M451" s="14" t="n">
        <v>4.7</v>
      </c>
      <c r="N451" s="12">
        <f>ROUND(L451/M451, 0)</f>
        <v/>
      </c>
      <c r="O451" s="12">
        <f>ROUND(N451*'Methodology &amp; Assumptions'!$B$5, 0)</f>
        <v/>
      </c>
      <c r="P451" s="10" t="inlineStr">
        <is>
          <t>Single Carrier (Band n50, 100MHz TDD)</t>
        </is>
      </c>
      <c r="Q451" s="13">
        <f>ROUNDUP(O451/'Methodology &amp; Assumptions'!$B$6, 0)</f>
        <v/>
      </c>
      <c r="R451" s="13" t="n">
        <v>1</v>
      </c>
      <c r="S451" s="14" t="n">
        <v>29.44</v>
      </c>
      <c r="T451" s="14" t="n">
        <v>34.32</v>
      </c>
      <c r="U451" s="26">
        <f>IF(X451&gt;='Methodology &amp; Assumptions'!$B$7, "Tier 1 Critical GIDA (Score ≥ 50.0)", IF(X451&gt;='Methodology &amp; Assumptions'!$B$8, "Tier 2 High GIDA (Score 40.0–49.9)", "Tier 3 Moderate GIDA (Score &lt; 40.0)"))</f>
        <v/>
      </c>
      <c r="V451" s="26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W451" s="28" t="n">
        <v>0.11</v>
      </c>
      <c r="X451" s="14" t="n">
        <v>46.76</v>
      </c>
      <c r="Y451" s="14">
        <f>ROUND(MIN(100, (X451/69.91)*100), 2)</f>
        <v/>
      </c>
    </row>
    <row r="452">
      <c r="A452" s="10" t="n">
        <v>4</v>
      </c>
      <c r="B452" s="10" t="n">
        <v>448</v>
      </c>
      <c r="C452" s="10" t="n">
        <v>3448</v>
      </c>
      <c r="D452" s="10" t="inlineStr">
        <is>
          <t>0103318004</t>
        </is>
      </c>
      <c r="E452" s="26" t="inlineStr">
        <is>
          <t>Region I (Ilocos Region)</t>
        </is>
      </c>
      <c r="F452" s="26" t="inlineStr">
        <is>
          <t>La Union</t>
        </is>
      </c>
      <c r="G452" s="26" t="inlineStr">
        <is>
          <t>Santol</t>
        </is>
      </c>
      <c r="H452" s="26" t="inlineStr">
        <is>
          <t>Lettac Sur</t>
        </is>
      </c>
      <c r="I452" s="27" t="n">
        <v>16.73823</v>
      </c>
      <c r="J452" s="27" t="n">
        <v>120.45396</v>
      </c>
      <c r="K452" s="10" t="inlineStr">
        <is>
          <t>R</t>
        </is>
      </c>
      <c r="L452" s="12" t="n">
        <v>1348</v>
      </c>
      <c r="M452" s="14" t="n">
        <v>3.7</v>
      </c>
      <c r="N452" s="12">
        <f>ROUND(L452/M452, 0)</f>
        <v/>
      </c>
      <c r="O452" s="12">
        <f>ROUND(N452*'Methodology &amp; Assumptions'!$B$5, 0)</f>
        <v/>
      </c>
      <c r="P452" s="10" t="inlineStr">
        <is>
          <t>Single Carrier (Band n50, 100MHz TDD)</t>
        </is>
      </c>
      <c r="Q452" s="13">
        <f>ROUNDUP(O452/'Methodology &amp; Assumptions'!$B$6, 0)</f>
        <v/>
      </c>
      <c r="R452" s="13" t="n">
        <v>1</v>
      </c>
      <c r="S452" s="14" t="n">
        <v>9.23</v>
      </c>
      <c r="T452" s="14" t="n">
        <v>6.06</v>
      </c>
      <c r="U452" s="26">
        <f>IF(X452&gt;='Methodology &amp; Assumptions'!$B$7, "Tier 1 Critical GIDA (Score ≥ 50.0)", IF(X452&gt;='Methodology &amp; Assumptions'!$B$8, "Tier 2 High GIDA (Score 40.0–49.9)", "Tier 3 Moderate GIDA (Score &lt; 40.0)"))</f>
        <v/>
      </c>
      <c r="V452" s="26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W452" s="28" t="n">
        <v>0.083</v>
      </c>
      <c r="X452" s="14" t="n">
        <v>46.75</v>
      </c>
      <c r="Y452" s="14">
        <f>ROUND(MIN(100, (X452/69.91)*100), 2)</f>
        <v/>
      </c>
    </row>
    <row r="453">
      <c r="A453" s="10" t="n">
        <v>4</v>
      </c>
      <c r="B453" s="10" t="n">
        <v>449</v>
      </c>
      <c r="C453" s="10" t="n">
        <v>3449</v>
      </c>
      <c r="D453" s="10" t="inlineStr">
        <is>
          <t>1903601004</t>
        </is>
      </c>
      <c r="E453" s="26" t="inlineStr">
        <is>
          <t>Bangsamoro Autonomous Region In Muslim Mindanao (BARMM)</t>
        </is>
      </c>
      <c r="F453" s="26" t="inlineStr">
        <is>
          <t>Lanao del Sur</t>
        </is>
      </c>
      <c r="G453" s="26" t="inlineStr">
        <is>
          <t>Bacolod-Kalawi</t>
        </is>
      </c>
      <c r="H453" s="26" t="inlineStr">
        <is>
          <t>Balut</t>
        </is>
      </c>
      <c r="I453" s="27" t="n">
        <v>17.25472</v>
      </c>
      <c r="J453" s="27" t="n">
        <v>122.228764</v>
      </c>
      <c r="K453" s="10" t="inlineStr">
        <is>
          <t>R</t>
        </is>
      </c>
      <c r="L453" s="12" t="n">
        <v>689</v>
      </c>
      <c r="M453" s="14" t="n">
        <v>5.7</v>
      </c>
      <c r="N453" s="12">
        <f>ROUND(L453/M453, 0)</f>
        <v/>
      </c>
      <c r="O453" s="12">
        <f>ROUND(N453*'Methodology &amp; Assumptions'!$B$5, 0)</f>
        <v/>
      </c>
      <c r="P453" s="10" t="inlineStr">
        <is>
          <t>Single Carrier (Band n50, 100MHz TDD)</t>
        </is>
      </c>
      <c r="Q453" s="13">
        <f>ROUNDUP(O453/'Methodology &amp; Assumptions'!$B$6, 0)</f>
        <v/>
      </c>
      <c r="R453" s="13" t="n">
        <v>1</v>
      </c>
      <c r="S453" s="14" t="n">
        <v>29.4</v>
      </c>
      <c r="T453" s="14" t="n">
        <v>34.28</v>
      </c>
      <c r="U453" s="26">
        <f>IF(X453&gt;='Methodology &amp; Assumptions'!$B$7, "Tier 1 Critical GIDA (Score ≥ 50.0)", IF(X453&gt;='Methodology &amp; Assumptions'!$B$8, "Tier 2 High GIDA (Score 40.0–49.9)", "Tier 3 Moderate GIDA (Score &lt; 40.0)"))</f>
        <v/>
      </c>
      <c r="V453" s="26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W453" s="28" t="n">
        <v>0.11</v>
      </c>
      <c r="X453" s="14" t="n">
        <v>46.74</v>
      </c>
      <c r="Y453" s="14">
        <f>ROUND(MIN(100, (X453/69.91)*100), 2)</f>
        <v/>
      </c>
    </row>
    <row r="454">
      <c r="A454" s="10" t="n">
        <v>4</v>
      </c>
      <c r="B454" s="10" t="n">
        <v>450</v>
      </c>
      <c r="C454" s="10" t="n">
        <v>3450</v>
      </c>
      <c r="D454" s="10" t="inlineStr">
        <is>
          <t>1608501008</t>
        </is>
      </c>
      <c r="E454" s="26" t="inlineStr">
        <is>
          <t>Region XIII (Caraga)</t>
        </is>
      </c>
      <c r="F454" s="26" t="inlineStr">
        <is>
          <t>Dinagat Islands</t>
        </is>
      </c>
      <c r="G454" s="26" t="inlineStr">
        <is>
          <t>Basilisa</t>
        </is>
      </c>
      <c r="H454" s="26" t="inlineStr">
        <is>
          <t>Geotina</t>
        </is>
      </c>
      <c r="I454" s="27" t="n">
        <v>10.088213</v>
      </c>
      <c r="J454" s="27" t="n">
        <v>125.582306</v>
      </c>
      <c r="K454" s="10" t="inlineStr">
        <is>
          <t>R</t>
        </is>
      </c>
      <c r="L454" s="12" t="n">
        <v>1231</v>
      </c>
      <c r="M454" s="14" t="n">
        <v>3.8</v>
      </c>
      <c r="N454" s="12">
        <f>ROUND(L454/M454, 0)</f>
        <v/>
      </c>
      <c r="O454" s="12">
        <f>ROUND(N454*'Methodology &amp; Assumptions'!$B$5, 0)</f>
        <v/>
      </c>
      <c r="P454" s="10" t="inlineStr">
        <is>
          <t>Single Carrier (Band n50, 100MHz TDD)</t>
        </is>
      </c>
      <c r="Q454" s="13">
        <f>ROUNDUP(O454/'Methodology &amp; Assumptions'!$B$6, 0)</f>
        <v/>
      </c>
      <c r="R454" s="13" t="n">
        <v>1</v>
      </c>
      <c r="S454" s="14" t="n">
        <v>34.72</v>
      </c>
      <c r="T454" s="14" t="n">
        <v>34.73</v>
      </c>
      <c r="U454" s="26">
        <f>IF(X454&gt;='Methodology &amp; Assumptions'!$B$7, "Tier 1 Critical GIDA (Score ≥ 50.0)", IF(X454&gt;='Methodology &amp; Assumptions'!$B$8, "Tier 2 High GIDA (Score 40.0–49.9)", "Tier 3 Moderate GIDA (Score &lt; 40.0)"))</f>
        <v/>
      </c>
      <c r="V454" s="26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W454" s="28" t="n">
        <v>0.174</v>
      </c>
      <c r="X454" s="14" t="n">
        <v>46.74</v>
      </c>
      <c r="Y454" s="14">
        <f>ROUND(MIN(100, (X454/69.91)*100), 2)</f>
        <v/>
      </c>
    </row>
    <row r="455">
      <c r="A455" s="10" t="n">
        <v>4</v>
      </c>
      <c r="B455" s="10" t="n">
        <v>451</v>
      </c>
      <c r="C455" s="10" t="n">
        <v>3451</v>
      </c>
      <c r="D455" s="10" t="inlineStr">
        <is>
          <t>1903605003</t>
        </is>
      </c>
      <c r="E455" s="26" t="inlineStr">
        <is>
          <t>Bangsamoro Autonomous Region In Muslim Mindanao (BARMM)</t>
        </is>
      </c>
      <c r="F455" s="26" t="inlineStr">
        <is>
          <t>Lanao del Sur</t>
        </is>
      </c>
      <c r="G455" s="26" t="inlineStr">
        <is>
          <t>Binidayan</t>
        </is>
      </c>
      <c r="H455" s="26" t="inlineStr">
        <is>
          <t>Balut Maito</t>
        </is>
      </c>
      <c r="I455" s="27" t="n">
        <v>17.254753</v>
      </c>
      <c r="J455" s="27" t="n">
        <v>122.228797</v>
      </c>
      <c r="K455" s="10" t="inlineStr">
        <is>
          <t>R</t>
        </is>
      </c>
      <c r="L455" s="12" t="n">
        <v>697</v>
      </c>
      <c r="M455" s="14" t="n">
        <v>5.7</v>
      </c>
      <c r="N455" s="12">
        <f>ROUND(L455/M455, 0)</f>
        <v/>
      </c>
      <c r="O455" s="12">
        <f>ROUND(N455*'Methodology &amp; Assumptions'!$B$5, 0)</f>
        <v/>
      </c>
      <c r="P455" s="10" t="inlineStr">
        <is>
          <t>Single Carrier (Band n50, 100MHz TDD)</t>
        </is>
      </c>
      <c r="Q455" s="13">
        <f>ROUNDUP(O455/'Methodology &amp; Assumptions'!$B$6, 0)</f>
        <v/>
      </c>
      <c r="R455" s="13" t="n">
        <v>1</v>
      </c>
      <c r="S455" s="14" t="n">
        <v>29.4</v>
      </c>
      <c r="T455" s="14" t="n">
        <v>34.29</v>
      </c>
      <c r="U455" s="26">
        <f>IF(X455&gt;='Methodology &amp; Assumptions'!$B$7, "Tier 1 Critical GIDA (Score ≥ 50.0)", IF(X455&gt;='Methodology &amp; Assumptions'!$B$8, "Tier 2 High GIDA (Score 40.0–49.9)", "Tier 3 Moderate GIDA (Score &lt; 40.0)"))</f>
        <v/>
      </c>
      <c r="V455" s="26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W455" s="28" t="n">
        <v>0.11</v>
      </c>
      <c r="X455" s="14" t="n">
        <v>46.74</v>
      </c>
      <c r="Y455" s="14">
        <f>ROUND(MIN(100, (X455/69.91)*100), 2)</f>
        <v/>
      </c>
    </row>
    <row r="456">
      <c r="A456" s="10" t="n">
        <v>4</v>
      </c>
      <c r="B456" s="10" t="n">
        <v>452</v>
      </c>
      <c r="C456" s="10" t="n">
        <v>3452</v>
      </c>
      <c r="D456" s="10" t="inlineStr">
        <is>
          <t>1903628012</t>
        </is>
      </c>
      <c r="E456" s="26" t="inlineStr">
        <is>
          <t>Bangsamoro Autonomous Region In Muslim Mindanao (BARMM)</t>
        </is>
      </c>
      <c r="F456" s="26" t="inlineStr">
        <is>
          <t>Lanao del Sur</t>
        </is>
      </c>
      <c r="G456" s="26" t="inlineStr">
        <is>
          <t>Tubaran</t>
        </is>
      </c>
      <c r="H456" s="26" t="inlineStr">
        <is>
          <t>Campo</t>
        </is>
      </c>
      <c r="I456" s="27" t="n">
        <v>17.254857</v>
      </c>
      <c r="J456" s="27" t="n">
        <v>122.228901</v>
      </c>
      <c r="K456" s="10" t="inlineStr">
        <is>
          <t>R</t>
        </is>
      </c>
      <c r="L456" s="12" t="n">
        <v>785</v>
      </c>
      <c r="M456" s="14" t="n">
        <v>5.7</v>
      </c>
      <c r="N456" s="12">
        <f>ROUND(L456/M456, 0)</f>
        <v/>
      </c>
      <c r="O456" s="12">
        <f>ROUND(N456*'Methodology &amp; Assumptions'!$B$5, 0)</f>
        <v/>
      </c>
      <c r="P456" s="10" t="inlineStr">
        <is>
          <t>Single Carrier (Band n50, 100MHz TDD)</t>
        </is>
      </c>
      <c r="Q456" s="13">
        <f>ROUNDUP(O456/'Methodology &amp; Assumptions'!$B$6, 0)</f>
        <v/>
      </c>
      <c r="R456" s="13" t="n">
        <v>1</v>
      </c>
      <c r="S456" s="14" t="n">
        <v>29.42</v>
      </c>
      <c r="T456" s="14" t="n">
        <v>34.3</v>
      </c>
      <c r="U456" s="26">
        <f>IF(X456&gt;='Methodology &amp; Assumptions'!$B$7, "Tier 1 Critical GIDA (Score ≥ 50.0)", IF(X456&gt;='Methodology &amp; Assumptions'!$B$8, "Tier 2 High GIDA (Score 40.0–49.9)", "Tier 3 Moderate GIDA (Score &lt; 40.0)"))</f>
        <v/>
      </c>
      <c r="V456" s="26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W456" s="28" t="n">
        <v>0.11</v>
      </c>
      <c r="X456" s="14" t="n">
        <v>46.74</v>
      </c>
      <c r="Y456" s="14">
        <f>ROUND(MIN(100, (X456/69.91)*100), 2)</f>
        <v/>
      </c>
    </row>
    <row r="457">
      <c r="A457" s="10" t="n">
        <v>4</v>
      </c>
      <c r="B457" s="10" t="n">
        <v>453</v>
      </c>
      <c r="C457" s="10" t="n">
        <v>3453</v>
      </c>
      <c r="D457" s="10" t="inlineStr">
        <is>
          <t>1903628046</t>
        </is>
      </c>
      <c r="E457" s="26" t="inlineStr">
        <is>
          <t>Bangsamoro Autonomous Region In Muslim Mindanao (BARMM)</t>
        </is>
      </c>
      <c r="F457" s="26" t="inlineStr">
        <is>
          <t>Lanao del Sur</t>
        </is>
      </c>
      <c r="G457" s="26" t="inlineStr">
        <is>
          <t>Tubaran</t>
        </is>
      </c>
      <c r="H457" s="26" t="inlineStr">
        <is>
          <t>Metadicop</t>
        </is>
      </c>
      <c r="I457" s="27" t="n">
        <v>17.259518</v>
      </c>
      <c r="J457" s="27" t="n">
        <v>122.23526</v>
      </c>
      <c r="K457" s="10" t="inlineStr">
        <is>
          <t>R</t>
        </is>
      </c>
      <c r="L457" s="12" t="n">
        <v>593</v>
      </c>
      <c r="M457" s="14" t="n">
        <v>5.7</v>
      </c>
      <c r="N457" s="12">
        <f>ROUND(L457/M457, 0)</f>
        <v/>
      </c>
      <c r="O457" s="12">
        <f>ROUND(N457*'Methodology &amp; Assumptions'!$B$5, 0)</f>
        <v/>
      </c>
      <c r="P457" s="10" t="inlineStr">
        <is>
          <t>Single Carrier (Band n50, 100MHz TDD)</t>
        </is>
      </c>
      <c r="Q457" s="13">
        <f>ROUNDUP(O457/'Methodology &amp; Assumptions'!$B$6, 0)</f>
        <v/>
      </c>
      <c r="R457" s="13" t="n">
        <v>1</v>
      </c>
      <c r="S457" s="14" t="n">
        <v>30.27</v>
      </c>
      <c r="T457" s="14" t="n">
        <v>35.1</v>
      </c>
      <c r="U457" s="26">
        <f>IF(X457&gt;='Methodology &amp; Assumptions'!$B$7, "Tier 1 Critical GIDA (Score ≥ 50.0)", IF(X457&gt;='Methodology &amp; Assumptions'!$B$8, "Tier 2 High GIDA (Score 40.0–49.9)", "Tier 3 Moderate GIDA (Score &lt; 40.0)"))</f>
        <v/>
      </c>
      <c r="V457" s="26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W457" s="28" t="n">
        <v>0.11</v>
      </c>
      <c r="X457" s="14" t="n">
        <v>46.74</v>
      </c>
      <c r="Y457" s="14">
        <f>ROUND(MIN(100, (X457/69.91)*100), 2)</f>
        <v/>
      </c>
    </row>
    <row r="458">
      <c r="A458" s="10" t="n">
        <v>4</v>
      </c>
      <c r="B458" s="10" t="n">
        <v>454</v>
      </c>
      <c r="C458" s="10" t="n">
        <v>3454</v>
      </c>
      <c r="D458" s="10" t="inlineStr">
        <is>
          <t>1903628031</t>
        </is>
      </c>
      <c r="E458" s="26" t="inlineStr">
        <is>
          <t>Bangsamoro Autonomous Region In Muslim Mindanao (BARMM)</t>
        </is>
      </c>
      <c r="F458" s="26" t="inlineStr">
        <is>
          <t>Lanao del Sur</t>
        </is>
      </c>
      <c r="G458" s="26" t="inlineStr">
        <is>
          <t>Tubaran</t>
        </is>
      </c>
      <c r="H458" s="26" t="inlineStr">
        <is>
          <t>Polo</t>
        </is>
      </c>
      <c r="I458" s="27" t="n">
        <v>17.254862</v>
      </c>
      <c r="J458" s="27" t="n">
        <v>122.228906</v>
      </c>
      <c r="K458" s="10" t="inlineStr">
        <is>
          <t>R</t>
        </is>
      </c>
      <c r="L458" s="12" t="n">
        <v>1097</v>
      </c>
      <c r="M458" s="14" t="n">
        <v>5.7</v>
      </c>
      <c r="N458" s="12">
        <f>ROUND(L458/M458, 0)</f>
        <v/>
      </c>
      <c r="O458" s="12">
        <f>ROUND(N458*'Methodology &amp; Assumptions'!$B$5, 0)</f>
        <v/>
      </c>
      <c r="P458" s="10" t="inlineStr">
        <is>
          <t>Single Carrier (Band n50, 100MHz TDD)</t>
        </is>
      </c>
      <c r="Q458" s="13">
        <f>ROUNDUP(O458/'Methodology &amp; Assumptions'!$B$6, 0)</f>
        <v/>
      </c>
      <c r="R458" s="13" t="n">
        <v>1</v>
      </c>
      <c r="S458" s="14" t="n">
        <v>29.42</v>
      </c>
      <c r="T458" s="14" t="n">
        <v>34.3</v>
      </c>
      <c r="U458" s="26">
        <f>IF(X458&gt;='Methodology &amp; Assumptions'!$B$7, "Tier 1 Critical GIDA (Score ≥ 50.0)", IF(X458&gt;='Methodology &amp; Assumptions'!$B$8, "Tier 2 High GIDA (Score 40.0–49.9)", "Tier 3 Moderate GIDA (Score &lt; 40.0)"))</f>
        <v/>
      </c>
      <c r="V458" s="26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W458" s="28" t="n">
        <v>0.11</v>
      </c>
      <c r="X458" s="14" t="n">
        <v>46.74</v>
      </c>
      <c r="Y458" s="14">
        <f>ROUND(MIN(100, (X458/69.91)*100), 2)</f>
        <v/>
      </c>
    </row>
    <row r="459">
      <c r="A459" s="10" t="n">
        <v>4</v>
      </c>
      <c r="B459" s="10" t="n">
        <v>455</v>
      </c>
      <c r="C459" s="10" t="n">
        <v>3455</v>
      </c>
      <c r="D459" s="10" t="inlineStr">
        <is>
          <t>1381300141</t>
        </is>
      </c>
      <c r="E459" s="26" t="inlineStr">
        <is>
          <t>National Capital Region (NCR)</t>
        </is>
      </c>
      <c r="F459" s="26" t="inlineStr">
        <is>
          <t>Second District (Not a Province)</t>
        </is>
      </c>
      <c r="G459" s="26" t="inlineStr">
        <is>
          <t>Quezon City</t>
        </is>
      </c>
      <c r="H459" s="26" t="inlineStr">
        <is>
          <t>Greater Lagro</t>
        </is>
      </c>
      <c r="I459" s="27" t="n">
        <v>14.730636</v>
      </c>
      <c r="J459" s="27" t="n">
        <v>121.0662</v>
      </c>
      <c r="K459" s="10" t="inlineStr">
        <is>
          <t>U</t>
        </is>
      </c>
      <c r="L459" s="12" t="n">
        <v>24558</v>
      </c>
      <c r="M459" s="14" t="n">
        <v>3.8</v>
      </c>
      <c r="N459" s="12">
        <f>ROUND(L459/M459, 0)</f>
        <v/>
      </c>
      <c r="O459" s="12">
        <f>ROUND(N459*'Methodology &amp; Assumptions'!$B$5, 0)</f>
        <v/>
      </c>
      <c r="P459" s="10" t="inlineStr">
        <is>
          <t>Single Carrier (Band n50, 100MHz TDD)</t>
        </is>
      </c>
      <c r="Q459" s="13">
        <f>ROUNDUP(O459/'Methodology &amp; Assumptions'!$B$6, 0)</f>
        <v/>
      </c>
      <c r="R459" s="13" t="n">
        <v>1</v>
      </c>
      <c r="S459" s="14" t="n">
        <v>0.5</v>
      </c>
      <c r="T459" s="14" t="n">
        <v>0.5</v>
      </c>
      <c r="U459" s="26">
        <f>IF(X459&gt;='Methodology &amp; Assumptions'!$B$7, "Tier 1 Critical GIDA (Score ≥ 50.0)", IF(X459&gt;='Methodology &amp; Assumptions'!$B$8, "Tier 2 High GIDA (Score 40.0–49.9)", "Tier 3 Moderate GIDA (Score &lt; 40.0)"))</f>
        <v/>
      </c>
      <c r="V459" s="26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W459" s="28" t="n">
        <v>0.109</v>
      </c>
      <c r="X459" s="14" t="n">
        <v>46.74</v>
      </c>
      <c r="Y459" s="14">
        <f>ROUND(MIN(100, (X459/69.91)*100), 2)</f>
        <v/>
      </c>
    </row>
    <row r="460">
      <c r="A460" s="10" t="n">
        <v>4</v>
      </c>
      <c r="B460" s="10" t="n">
        <v>456</v>
      </c>
      <c r="C460" s="10" t="n">
        <v>3456</v>
      </c>
      <c r="D460" s="10" t="inlineStr">
        <is>
          <t>0205006014</t>
        </is>
      </c>
      <c r="E460" s="26" t="inlineStr">
        <is>
          <t>Region II (Cagayan Valley)</t>
        </is>
      </c>
      <c r="F460" s="26" t="inlineStr">
        <is>
          <t>Nueva Vizcaya</t>
        </is>
      </c>
      <c r="G460" s="26" t="inlineStr">
        <is>
          <t>Diadi</t>
        </is>
      </c>
      <c r="H460" s="26" t="inlineStr">
        <is>
          <t>Lurad</t>
        </is>
      </c>
      <c r="I460" s="27" t="n">
        <v>16.60096</v>
      </c>
      <c r="J460" s="27" t="n">
        <v>121.36005</v>
      </c>
      <c r="K460" s="10" t="inlineStr">
        <is>
          <t>R</t>
        </is>
      </c>
      <c r="L460" s="12" t="n">
        <v>674</v>
      </c>
      <c r="M460" s="14" t="n">
        <v>3.8</v>
      </c>
      <c r="N460" s="12">
        <f>ROUND(L460/M460, 0)</f>
        <v/>
      </c>
      <c r="O460" s="12">
        <f>ROUND(N460*'Methodology &amp; Assumptions'!$B$5, 0)</f>
        <v/>
      </c>
      <c r="P460" s="10" t="inlineStr">
        <is>
          <t>Single Carrier (Band n50, 100MHz TDD)</t>
        </is>
      </c>
      <c r="Q460" s="13">
        <f>ROUNDUP(O460/'Methodology &amp; Assumptions'!$B$6, 0)</f>
        <v/>
      </c>
      <c r="R460" s="13" t="n">
        <v>1</v>
      </c>
      <c r="S460" s="14" t="n">
        <v>6.59</v>
      </c>
      <c r="T460" s="14" t="n">
        <v>2.44</v>
      </c>
      <c r="U460" s="26">
        <f>IF(X460&gt;='Methodology &amp; Assumptions'!$B$7, "Tier 1 Critical GIDA (Score ≥ 50.0)", IF(X460&gt;='Methodology &amp; Assumptions'!$B$8, "Tier 2 High GIDA (Score 40.0–49.9)", "Tier 3 Moderate GIDA (Score &lt; 40.0)"))</f>
        <v/>
      </c>
      <c r="V460" s="26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W460" s="28" t="n">
        <v>0.083</v>
      </c>
      <c r="X460" s="14" t="n">
        <v>46.73</v>
      </c>
      <c r="Y460" s="14">
        <f>ROUND(MIN(100, (X460/69.91)*100), 2)</f>
        <v/>
      </c>
    </row>
    <row r="461">
      <c r="A461" s="10" t="n">
        <v>4</v>
      </c>
      <c r="B461" s="10" t="n">
        <v>457</v>
      </c>
      <c r="C461" s="10" t="n">
        <v>3457</v>
      </c>
      <c r="D461" s="10" t="inlineStr">
        <is>
          <t>1380400011</t>
        </is>
      </c>
      <c r="E461" s="26" t="inlineStr">
        <is>
          <t>National Capital Region (NCR)</t>
        </is>
      </c>
      <c r="F461" s="26" t="inlineStr">
        <is>
          <t>Third District (Not a Province)</t>
        </is>
      </c>
      <c r="G461" s="26" t="inlineStr">
        <is>
          <t>City of Malabon</t>
        </is>
      </c>
      <c r="H461" s="26" t="inlineStr">
        <is>
          <t>Maysilo</t>
        </is>
      </c>
      <c r="I461" s="27" t="n">
        <v>14.682658</v>
      </c>
      <c r="J461" s="27" t="n">
        <v>120.961683</v>
      </c>
      <c r="K461" s="10" t="inlineStr">
        <is>
          <t>U</t>
        </is>
      </c>
      <c r="L461" s="12" t="n">
        <v>10703</v>
      </c>
      <c r="M461" s="14" t="n">
        <v>3.7</v>
      </c>
      <c r="N461" s="12">
        <f>ROUND(L461/M461, 0)</f>
        <v/>
      </c>
      <c r="O461" s="12">
        <f>ROUND(N461*'Methodology &amp; Assumptions'!$B$5, 0)</f>
        <v/>
      </c>
      <c r="P461" s="10" t="inlineStr">
        <is>
          <t>Single Carrier (Band n50, 100MHz TDD)</t>
        </is>
      </c>
      <c r="Q461" s="13">
        <f>ROUNDUP(O461/'Methodology &amp; Assumptions'!$B$6, 0)</f>
        <v/>
      </c>
      <c r="R461" s="13" t="n">
        <v>1</v>
      </c>
      <c r="S461" s="14" t="n">
        <v>0.2</v>
      </c>
      <c r="T461" s="14" t="n">
        <v>0.2</v>
      </c>
      <c r="U461" s="26">
        <f>IF(X461&gt;='Methodology &amp; Assumptions'!$B$7, "Tier 1 Critical GIDA (Score ≥ 50.0)", IF(X461&gt;='Methodology &amp; Assumptions'!$B$8, "Tier 2 High GIDA (Score 40.0–49.9)", "Tier 3 Moderate GIDA (Score &lt; 40.0)"))</f>
        <v/>
      </c>
      <c r="V461" s="26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W461" s="28" t="n">
        <v>0.109</v>
      </c>
      <c r="X461" s="14" t="n">
        <v>46.73</v>
      </c>
      <c r="Y461" s="14">
        <f>ROUND(MIN(100, (X461/69.91)*100), 2)</f>
        <v/>
      </c>
    </row>
    <row r="462">
      <c r="A462" s="10" t="n">
        <v>4</v>
      </c>
      <c r="B462" s="10" t="n">
        <v>458</v>
      </c>
      <c r="C462" s="10" t="n">
        <v>3458</v>
      </c>
      <c r="D462" s="10" t="inlineStr">
        <is>
          <t>1204716006</t>
        </is>
      </c>
      <c r="E462" s="26" t="inlineStr">
        <is>
          <t>Region XII (SOCCSKSARGEN)</t>
        </is>
      </c>
      <c r="F462" s="26" t="inlineStr">
        <is>
          <t>Cotabato</t>
        </is>
      </c>
      <c r="G462" s="26" t="inlineStr">
        <is>
          <t>Banisilan</t>
        </is>
      </c>
      <c r="H462" s="26" t="inlineStr">
        <is>
          <t>Kalawaig</t>
        </is>
      </c>
      <c r="I462" s="27" t="n">
        <v>7.571346</v>
      </c>
      <c r="J462" s="27" t="n">
        <v>124.745074</v>
      </c>
      <c r="K462" s="10" t="inlineStr">
        <is>
          <t>R</t>
        </is>
      </c>
      <c r="L462" s="12" t="n">
        <v>575</v>
      </c>
      <c r="M462" s="14" t="n">
        <v>3.8</v>
      </c>
      <c r="N462" s="12">
        <f>ROUND(L462/M462, 0)</f>
        <v/>
      </c>
      <c r="O462" s="12">
        <f>ROUND(N462*'Methodology &amp; Assumptions'!$B$5, 0)</f>
        <v/>
      </c>
      <c r="P462" s="10" t="inlineStr">
        <is>
          <t>Single Carrier (Band n50, 100MHz TDD)</t>
        </is>
      </c>
      <c r="Q462" s="13">
        <f>ROUNDUP(O462/'Methodology &amp; Assumptions'!$B$6, 0)</f>
        <v/>
      </c>
      <c r="R462" s="13" t="n">
        <v>1</v>
      </c>
      <c r="S462" s="14" t="n">
        <v>18.22</v>
      </c>
      <c r="T462" s="14" t="n">
        <v>19.62</v>
      </c>
      <c r="U462" s="26">
        <f>IF(X462&gt;='Methodology &amp; Assumptions'!$B$7, "Tier 1 Critical GIDA (Score ≥ 50.0)", IF(X462&gt;='Methodology &amp; Assumptions'!$B$8, "Tier 2 High GIDA (Score 40.0–49.9)", "Tier 3 Moderate GIDA (Score &lt; 40.0)"))</f>
        <v/>
      </c>
      <c r="V462" s="26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W462" s="28" t="n">
        <v>0.174</v>
      </c>
      <c r="X462" s="14" t="n">
        <v>46.73</v>
      </c>
      <c r="Y462" s="14">
        <f>ROUND(MIN(100, (X462/69.91)*100), 2)</f>
        <v/>
      </c>
    </row>
    <row r="463">
      <c r="A463" s="10" t="n">
        <v>4</v>
      </c>
      <c r="B463" s="10" t="n">
        <v>459</v>
      </c>
      <c r="C463" s="10" t="n">
        <v>3459</v>
      </c>
      <c r="D463" s="10" t="inlineStr">
        <is>
          <t>1903628038</t>
        </is>
      </c>
      <c r="E463" s="26" t="inlineStr">
        <is>
          <t>Bangsamoro Autonomous Region In Muslim Mindanao (BARMM)</t>
        </is>
      </c>
      <c r="F463" s="26" t="inlineStr">
        <is>
          <t>Lanao del Sur</t>
        </is>
      </c>
      <c r="G463" s="26" t="inlineStr">
        <is>
          <t>Tubaran</t>
        </is>
      </c>
      <c r="H463" s="26" t="inlineStr">
        <is>
          <t>Wago</t>
        </is>
      </c>
      <c r="I463" s="27" t="n">
        <v>17.246001</v>
      </c>
      <c r="J463" s="27" t="n">
        <v>122.22727</v>
      </c>
      <c r="K463" s="10" t="inlineStr">
        <is>
          <t>R</t>
        </is>
      </c>
      <c r="L463" s="12" t="n">
        <v>687</v>
      </c>
      <c r="M463" s="14" t="n">
        <v>5.7</v>
      </c>
      <c r="N463" s="12">
        <f>ROUND(L463/M463, 0)</f>
        <v/>
      </c>
      <c r="O463" s="12">
        <f>ROUND(N463*'Methodology &amp; Assumptions'!$B$5, 0)</f>
        <v/>
      </c>
      <c r="P463" s="10" t="inlineStr">
        <is>
          <t>Single Carrier (Band n50, 100MHz TDD)</t>
        </is>
      </c>
      <c r="Q463" s="13">
        <f>ROUNDUP(O463/'Methodology &amp; Assumptions'!$B$6, 0)</f>
        <v/>
      </c>
      <c r="R463" s="13" t="n">
        <v>1</v>
      </c>
      <c r="S463" s="14" t="n">
        <v>28.66</v>
      </c>
      <c r="T463" s="14" t="n">
        <v>33.86</v>
      </c>
      <c r="U463" s="26">
        <f>IF(X463&gt;='Methodology &amp; Assumptions'!$B$7, "Tier 1 Critical GIDA (Score ≥ 50.0)", IF(X463&gt;='Methodology &amp; Assumptions'!$B$8, "Tier 2 High GIDA (Score 40.0–49.9)", "Tier 3 Moderate GIDA (Score &lt; 40.0)"))</f>
        <v/>
      </c>
      <c r="V463" s="26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W463" s="28" t="n">
        <v>0.11</v>
      </c>
      <c r="X463" s="14" t="n">
        <v>46.73</v>
      </c>
      <c r="Y463" s="14">
        <f>ROUND(MIN(100, (X463/69.91)*100), 2)</f>
        <v/>
      </c>
    </row>
    <row r="464">
      <c r="A464" s="10" t="n">
        <v>4</v>
      </c>
      <c r="B464" s="10" t="n">
        <v>460</v>
      </c>
      <c r="C464" s="10" t="n">
        <v>3460</v>
      </c>
      <c r="D464" s="10" t="inlineStr">
        <is>
          <t>1705310007</t>
        </is>
      </c>
      <c r="E464" s="26" t="inlineStr">
        <is>
          <t>MIMAROPA Region</t>
        </is>
      </c>
      <c r="F464" s="26" t="inlineStr">
        <is>
          <t>Palawan</t>
        </is>
      </c>
      <c r="G464" s="26" t="inlineStr">
        <is>
          <t>Cuyo</t>
        </is>
      </c>
      <c r="H464" s="26" t="inlineStr">
        <is>
          <t>Funda</t>
        </is>
      </c>
      <c r="I464" s="27" t="n">
        <v>10.812709</v>
      </c>
      <c r="J464" s="27" t="n">
        <v>120.98404</v>
      </c>
      <c r="K464" s="10" t="inlineStr">
        <is>
          <t>R</t>
        </is>
      </c>
      <c r="L464" s="12" t="n">
        <v>748</v>
      </c>
      <c r="M464" s="14" t="n">
        <v>3.9</v>
      </c>
      <c r="N464" s="12">
        <f>ROUND(L464/M464, 0)</f>
        <v/>
      </c>
      <c r="O464" s="12">
        <f>ROUND(N464*'Methodology &amp; Assumptions'!$B$5, 0)</f>
        <v/>
      </c>
      <c r="P464" s="10" t="inlineStr">
        <is>
          <t>Single Carrier (Band n50, 100MHz TDD)</t>
        </is>
      </c>
      <c r="Q464" s="13">
        <f>ROUNDUP(O464/'Methodology &amp; Assumptions'!$B$6, 0)</f>
        <v/>
      </c>
      <c r="R464" s="13" t="n">
        <v>1</v>
      </c>
      <c r="S464" s="14" t="n">
        <v>104.35</v>
      </c>
      <c r="T464" s="14" t="n">
        <v>104.34</v>
      </c>
      <c r="U464" s="26">
        <f>IF(X464&gt;='Methodology &amp; Assumptions'!$B$7, "Tier 1 Critical GIDA (Score ≥ 50.0)", IF(X464&gt;='Methodology &amp; Assumptions'!$B$8, "Tier 2 High GIDA (Score 40.0–49.9)", "Tier 3 Moderate GIDA (Score &lt; 40.0)"))</f>
        <v/>
      </c>
      <c r="V464" s="26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W464" s="28" t="n">
        <v>0.15</v>
      </c>
      <c r="X464" s="14" t="n">
        <v>46.72</v>
      </c>
      <c r="Y464" s="14">
        <f>ROUND(MIN(100, (X464/69.91)*100), 2)</f>
        <v/>
      </c>
    </row>
    <row r="465">
      <c r="A465" s="10" t="n">
        <v>4</v>
      </c>
      <c r="B465" s="10" t="n">
        <v>461</v>
      </c>
      <c r="C465" s="10" t="n">
        <v>3461</v>
      </c>
      <c r="D465" s="10" t="inlineStr">
        <is>
          <t>0804806030</t>
        </is>
      </c>
      <c r="E465" s="26" t="inlineStr">
        <is>
          <t>Region VIII (Eastern Visayas)</t>
        </is>
      </c>
      <c r="F465" s="26" t="inlineStr">
        <is>
          <t>Northern Samar</t>
        </is>
      </c>
      <c r="G465" s="26" t="inlineStr">
        <is>
          <t>Catubig</t>
        </is>
      </c>
      <c r="H465" s="26" t="inlineStr">
        <is>
          <t>Osang</t>
        </is>
      </c>
      <c r="I465" s="27" t="n">
        <v>12.30901</v>
      </c>
      <c r="J465" s="27" t="n">
        <v>125.17535</v>
      </c>
      <c r="K465" s="10" t="inlineStr">
        <is>
          <t>R</t>
        </is>
      </c>
      <c r="L465" s="12" t="n">
        <v>352</v>
      </c>
      <c r="M465" s="14" t="n">
        <v>4.3</v>
      </c>
      <c r="N465" s="12">
        <f>ROUND(L465/M465, 0)</f>
        <v/>
      </c>
      <c r="O465" s="12">
        <f>ROUND(N465*'Methodology &amp; Assumptions'!$B$5, 0)</f>
        <v/>
      </c>
      <c r="P465" s="10" t="inlineStr">
        <is>
          <t>Single Carrier (Band n50, 100MHz TDD)</t>
        </is>
      </c>
      <c r="Q465" s="13">
        <f>ROUNDUP(O465/'Methodology &amp; Assumptions'!$B$6, 0)</f>
        <v/>
      </c>
      <c r="R465" s="13" t="n">
        <v>1</v>
      </c>
      <c r="S465" s="14" t="n">
        <v>120.39</v>
      </c>
      <c r="T465" s="14" t="n">
        <v>121.33</v>
      </c>
      <c r="U465" s="26">
        <f>IF(X465&gt;='Methodology &amp; Assumptions'!$B$7, "Tier 1 Critical GIDA (Score ≥ 50.0)", IF(X465&gt;='Methodology &amp; Assumptions'!$B$8, "Tier 2 High GIDA (Score 40.0–49.9)", "Tier 3 Moderate GIDA (Score &lt; 40.0)"))</f>
        <v/>
      </c>
      <c r="V465" s="26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W465" s="28" t="n">
        <v>0.237</v>
      </c>
      <c r="X465" s="14" t="n">
        <v>46.72</v>
      </c>
      <c r="Y465" s="14">
        <f>ROUND(MIN(100, (X465/69.91)*100), 2)</f>
        <v/>
      </c>
    </row>
    <row r="466">
      <c r="A466" s="10" t="n">
        <v>4</v>
      </c>
      <c r="B466" s="10" t="n">
        <v>462</v>
      </c>
      <c r="C466" s="10" t="n">
        <v>3462</v>
      </c>
      <c r="D466" s="10" t="inlineStr">
        <is>
          <t>1908709004</t>
        </is>
      </c>
      <c r="E466" s="26" t="inlineStr">
        <is>
          <t>Bangsamoro Autonomous Region In Muslim Mindanao (BARMM)</t>
        </is>
      </c>
      <c r="F466" s="26" t="inlineStr">
        <is>
          <t>Maguindanao del Norte</t>
        </is>
      </c>
      <c r="G466" s="26" t="inlineStr">
        <is>
          <t>Parang</t>
        </is>
      </c>
      <c r="H466" s="26" t="inlineStr">
        <is>
          <t>Datu Macarimbang Biruar</t>
        </is>
      </c>
      <c r="I466" s="27" t="n">
        <v>17.254118</v>
      </c>
      <c r="J466" s="27" t="n">
        <v>122.228162</v>
      </c>
      <c r="K466" s="10" t="inlineStr">
        <is>
          <t>R</t>
        </is>
      </c>
      <c r="L466" s="12" t="n">
        <v>3883</v>
      </c>
      <c r="M466" s="14" t="n">
        <v>4.3</v>
      </c>
      <c r="N466" s="12">
        <f>ROUND(L466/M466, 0)</f>
        <v/>
      </c>
      <c r="O466" s="12">
        <f>ROUND(N466*'Methodology &amp; Assumptions'!$B$5, 0)</f>
        <v/>
      </c>
      <c r="P466" s="10" t="inlineStr">
        <is>
          <t>Single Carrier (Band n50, 100MHz TDD)</t>
        </is>
      </c>
      <c r="Q466" s="13">
        <f>ROUNDUP(O466/'Methodology &amp; Assumptions'!$B$6, 0)</f>
        <v/>
      </c>
      <c r="R466" s="13" t="n">
        <v>1</v>
      </c>
      <c r="S466" s="14" t="n">
        <v>29.3</v>
      </c>
      <c r="T466" s="14" t="n">
        <v>34.2</v>
      </c>
      <c r="U466" s="26">
        <f>IF(X466&gt;='Methodology &amp; Assumptions'!$B$7, "Tier 1 Critical GIDA (Score ≥ 50.0)", IF(X466&gt;='Methodology &amp; Assumptions'!$B$8, "Tier 2 High GIDA (Score 40.0–49.9)", "Tier 3 Moderate GIDA (Score &lt; 40.0)"))</f>
        <v/>
      </c>
      <c r="V466" s="26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W466" s="28" t="n">
        <v>0.11</v>
      </c>
      <c r="X466" s="14" t="n">
        <v>46.72</v>
      </c>
      <c r="Y466" s="14">
        <f>ROUND(MIN(100, (X466/69.91)*100), 2)</f>
        <v/>
      </c>
    </row>
    <row r="467">
      <c r="A467" s="10" t="n">
        <v>4</v>
      </c>
      <c r="B467" s="10" t="n">
        <v>463</v>
      </c>
      <c r="C467" s="10" t="n">
        <v>3463</v>
      </c>
      <c r="D467" s="10" t="inlineStr">
        <is>
          <t>1903605009</t>
        </is>
      </c>
      <c r="E467" s="26" t="inlineStr">
        <is>
          <t>Bangsamoro Autonomous Region In Muslim Mindanao (BARMM)</t>
        </is>
      </c>
      <c r="F467" s="26" t="inlineStr">
        <is>
          <t>Lanao del Sur</t>
        </is>
      </c>
      <c r="G467" s="26" t="inlineStr">
        <is>
          <t>Binidayan</t>
        </is>
      </c>
      <c r="H467" s="26" t="inlineStr">
        <is>
          <t>Dansalan Dacsula</t>
        </is>
      </c>
      <c r="I467" s="27" t="n">
        <v>17.25531</v>
      </c>
      <c r="J467" s="27" t="n">
        <v>122.222235</v>
      </c>
      <c r="K467" s="10" t="inlineStr">
        <is>
          <t>R</t>
        </is>
      </c>
      <c r="L467" s="12" t="n">
        <v>882</v>
      </c>
      <c r="M467" s="14" t="n">
        <v>5.7</v>
      </c>
      <c r="N467" s="12">
        <f>ROUND(L467/M467, 0)</f>
        <v/>
      </c>
      <c r="O467" s="12">
        <f>ROUND(N467*'Methodology &amp; Assumptions'!$B$5, 0)</f>
        <v/>
      </c>
      <c r="P467" s="10" t="inlineStr">
        <is>
          <t>Single Carrier (Band n50, 100MHz TDD)</t>
        </is>
      </c>
      <c r="Q467" s="13">
        <f>ROUNDUP(O467/'Methodology &amp; Assumptions'!$B$6, 0)</f>
        <v/>
      </c>
      <c r="R467" s="13" t="n">
        <v>1</v>
      </c>
      <c r="S467" s="14" t="n">
        <v>28.91</v>
      </c>
      <c r="T467" s="14" t="n">
        <v>33.64</v>
      </c>
      <c r="U467" s="26">
        <f>IF(X467&gt;='Methodology &amp; Assumptions'!$B$7, "Tier 1 Critical GIDA (Score ≥ 50.0)", IF(X467&gt;='Methodology &amp; Assumptions'!$B$8, "Tier 2 High GIDA (Score 40.0–49.9)", "Tier 3 Moderate GIDA (Score &lt; 40.0)"))</f>
        <v/>
      </c>
      <c r="V467" s="26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W467" s="28" t="n">
        <v>0.11</v>
      </c>
      <c r="X467" s="14" t="n">
        <v>46.72</v>
      </c>
      <c r="Y467" s="14">
        <f>ROUND(MIN(100, (X467/69.91)*100), 2)</f>
        <v/>
      </c>
    </row>
    <row r="468">
      <c r="A468" s="10" t="n">
        <v>4</v>
      </c>
      <c r="B468" s="10" t="n">
        <v>464</v>
      </c>
      <c r="C468" s="10" t="n">
        <v>3464</v>
      </c>
      <c r="D468" s="10" t="inlineStr">
        <is>
          <t>PH0003464</t>
        </is>
      </c>
      <c r="E468" s="26" t="inlineStr">
        <is>
          <t>BARMM (LaMa+SGA)</t>
        </is>
      </c>
      <c r="F468" s="26" t="inlineStr">
        <is>
          <t>Maguindanao del Norte</t>
        </is>
      </c>
      <c r="G468" s="26" t="inlineStr">
        <is>
          <t>Cotabato City</t>
        </is>
      </c>
      <c r="H468" s="26" t="inlineStr">
        <is>
          <t>Rosary Heights II</t>
        </is>
      </c>
      <c r="I468" s="27" t="n">
        <v>7.902982</v>
      </c>
      <c r="J468" s="27" t="n">
        <v>124.104019</v>
      </c>
      <c r="K468" s="10" t="inlineStr">
        <is>
          <t>R</t>
        </is>
      </c>
      <c r="L468" s="12" t="n">
        <v>2279</v>
      </c>
      <c r="M468" s="14" t="n">
        <v>3.8</v>
      </c>
      <c r="N468" s="12">
        <f>ROUND(L468/M468, 0)</f>
        <v/>
      </c>
      <c r="O468" s="12">
        <f>ROUND(N468*'Methodology &amp; Assumptions'!$B$5, 0)</f>
        <v/>
      </c>
      <c r="P468" s="10" t="inlineStr">
        <is>
          <t>Single Carrier (Band n50, 100MHz TDD)</t>
        </is>
      </c>
      <c r="Q468" s="13">
        <f>ROUNDUP(O468/'Methodology &amp; Assumptions'!$B$6, 0)</f>
        <v/>
      </c>
      <c r="R468" s="13" t="n">
        <v>1</v>
      </c>
      <c r="S468" s="14" t="n">
        <v>22.21</v>
      </c>
      <c r="T468" s="14" t="n">
        <v>20.3</v>
      </c>
      <c r="U468" s="26">
        <f>IF(X468&gt;='Methodology &amp; Assumptions'!$B$7, "Tier 1 Critical GIDA (Score ≥ 50.0)", IF(X468&gt;='Methodology &amp; Assumptions'!$B$8, "Tier 2 High GIDA (Score 40.0–49.9)", "Tier 3 Moderate GIDA (Score &lt; 40.0)"))</f>
        <v/>
      </c>
      <c r="V468" s="26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W468" s="28" t="n">
        <v>0.235</v>
      </c>
      <c r="X468" s="14" t="n">
        <v>46.71</v>
      </c>
      <c r="Y468" s="14">
        <f>ROUND(MIN(100, (X468/69.91)*100), 2)</f>
        <v/>
      </c>
    </row>
    <row r="469">
      <c r="A469" s="10" t="n">
        <v>4</v>
      </c>
      <c r="B469" s="10" t="n">
        <v>465</v>
      </c>
      <c r="C469" s="10" t="n">
        <v>3465</v>
      </c>
      <c r="D469" s="10" t="inlineStr">
        <is>
          <t>1003516019</t>
        </is>
      </c>
      <c r="E469" s="26" t="inlineStr">
        <is>
          <t>Region X (Northern Mindanao)</t>
        </is>
      </c>
      <c r="F469" s="26" t="inlineStr">
        <is>
          <t>Lanao del Norte</t>
        </is>
      </c>
      <c r="G469" s="26" t="inlineStr">
        <is>
          <t>Pantao Ragat</t>
        </is>
      </c>
      <c r="H469" s="26" t="inlineStr">
        <is>
          <t>Pansor</t>
        </is>
      </c>
      <c r="I469" s="27" t="n">
        <v>8.042851000000001</v>
      </c>
      <c r="J469" s="27" t="n">
        <v>124.193904</v>
      </c>
      <c r="K469" s="10" t="inlineStr">
        <is>
          <t>R</t>
        </is>
      </c>
      <c r="L469" s="12" t="n">
        <v>1502</v>
      </c>
      <c r="M469" s="14" t="n">
        <v>4.2</v>
      </c>
      <c r="N469" s="12">
        <f>ROUND(L469/M469, 0)</f>
        <v/>
      </c>
      <c r="O469" s="12">
        <f>ROUND(N469*'Methodology &amp; Assumptions'!$B$5, 0)</f>
        <v/>
      </c>
      <c r="P469" s="10" t="inlineStr">
        <is>
          <t>Single Carrier (Band n50, 100MHz TDD)</t>
        </is>
      </c>
      <c r="Q469" s="13">
        <f>ROUNDUP(O469/'Methodology &amp; Assumptions'!$B$6, 0)</f>
        <v/>
      </c>
      <c r="R469" s="13" t="n">
        <v>1</v>
      </c>
      <c r="S469" s="14" t="n">
        <v>9.58</v>
      </c>
      <c r="T469" s="14" t="n">
        <v>7.19</v>
      </c>
      <c r="U469" s="26">
        <f>IF(X469&gt;='Methodology &amp; Assumptions'!$B$7, "Tier 1 Critical GIDA (Score ≥ 50.0)", IF(X469&gt;='Methodology &amp; Assumptions'!$B$8, "Tier 2 High GIDA (Score 40.0–49.9)", "Tier 3 Moderate GIDA (Score &lt; 40.0)"))</f>
        <v/>
      </c>
      <c r="V469" s="26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W469" s="28" t="n">
        <v>0.174</v>
      </c>
      <c r="X469" s="14" t="n">
        <v>46.71</v>
      </c>
      <c r="Y469" s="14">
        <f>ROUND(MIN(100, (X469/69.91)*100), 2)</f>
        <v/>
      </c>
    </row>
    <row r="470">
      <c r="A470" s="10" t="n">
        <v>4</v>
      </c>
      <c r="B470" s="10" t="n">
        <v>466</v>
      </c>
      <c r="C470" s="10" t="n">
        <v>3466</v>
      </c>
      <c r="D470" s="10" t="inlineStr">
        <is>
          <t>1903605028</t>
        </is>
      </c>
      <c r="E470" s="26" t="inlineStr">
        <is>
          <t>Bangsamoro Autonomous Region In Muslim Mindanao (BARMM)</t>
        </is>
      </c>
      <c r="F470" s="26" t="inlineStr">
        <is>
          <t>Lanao del Sur</t>
        </is>
      </c>
      <c r="G470" s="26" t="inlineStr">
        <is>
          <t>Binidayan</t>
        </is>
      </c>
      <c r="H470" s="26" t="inlineStr">
        <is>
          <t>Soldaroro</t>
        </is>
      </c>
      <c r="I470" s="27" t="n">
        <v>17.254765</v>
      </c>
      <c r="J470" s="27" t="n">
        <v>122.228809</v>
      </c>
      <c r="K470" s="10" t="inlineStr">
        <is>
          <t>R</t>
        </is>
      </c>
      <c r="L470" s="12" t="n">
        <v>1105</v>
      </c>
      <c r="M470" s="14" t="n">
        <v>5.7</v>
      </c>
      <c r="N470" s="12">
        <f>ROUND(L470/M470, 0)</f>
        <v/>
      </c>
      <c r="O470" s="12">
        <f>ROUND(N470*'Methodology &amp; Assumptions'!$B$5, 0)</f>
        <v/>
      </c>
      <c r="P470" s="10" t="inlineStr">
        <is>
          <t>Single Carrier (Band n50, 100MHz TDD)</t>
        </is>
      </c>
      <c r="Q470" s="13">
        <f>ROUNDUP(O470/'Methodology &amp; Assumptions'!$B$6, 0)</f>
        <v/>
      </c>
      <c r="R470" s="13" t="n">
        <v>1</v>
      </c>
      <c r="S470" s="14" t="n">
        <v>29.4</v>
      </c>
      <c r="T470" s="14" t="n">
        <v>34.29</v>
      </c>
      <c r="U470" s="26">
        <f>IF(X470&gt;='Methodology &amp; Assumptions'!$B$7, "Tier 1 Critical GIDA (Score ≥ 50.0)", IF(X470&gt;='Methodology &amp; Assumptions'!$B$8, "Tier 2 High GIDA (Score 40.0–49.9)", "Tier 3 Moderate GIDA (Score &lt; 40.0)"))</f>
        <v/>
      </c>
      <c r="V470" s="26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W470" s="28" t="n">
        <v>0.11</v>
      </c>
      <c r="X470" s="14" t="n">
        <v>46.71</v>
      </c>
      <c r="Y470" s="14">
        <f>ROUND(MIN(100, (X470/69.91)*100), 2)</f>
        <v/>
      </c>
    </row>
    <row r="471">
      <c r="A471" s="10" t="n">
        <v>4</v>
      </c>
      <c r="B471" s="10" t="n">
        <v>467</v>
      </c>
      <c r="C471" s="10" t="n">
        <v>3467</v>
      </c>
      <c r="D471" s="10" t="inlineStr">
        <is>
          <t>0402106028</t>
        </is>
      </c>
      <c r="E471" s="26" t="inlineStr">
        <is>
          <t>Region IV-A (CALABARZON)</t>
        </is>
      </c>
      <c r="F471" s="26" t="inlineStr">
        <is>
          <t>Cavite</t>
        </is>
      </c>
      <c r="G471" s="26" t="inlineStr">
        <is>
          <t>City of Dasmariñas</t>
        </is>
      </c>
      <c r="H471" s="26" t="inlineStr">
        <is>
          <t>San Esteban</t>
        </is>
      </c>
      <c r="I471" s="27" t="n">
        <v>14.287057</v>
      </c>
      <c r="J471" s="27" t="n">
        <v>120.980193</v>
      </c>
      <c r="K471" s="10" t="inlineStr">
        <is>
          <t>R</t>
        </is>
      </c>
      <c r="L471" s="12" t="n">
        <v>4825</v>
      </c>
      <c r="M471" s="14" t="n">
        <v>3.4</v>
      </c>
      <c r="N471" s="12">
        <f>ROUND(L471/M471, 0)</f>
        <v/>
      </c>
      <c r="O471" s="12">
        <f>ROUND(N471*'Methodology &amp; Assumptions'!$B$5, 0)</f>
        <v/>
      </c>
      <c r="P471" s="10" t="inlineStr">
        <is>
          <t>Single Carrier (Band n50, 100MHz TDD)</t>
        </is>
      </c>
      <c r="Q471" s="13">
        <f>ROUNDUP(O471/'Methodology &amp; Assumptions'!$B$6, 0)</f>
        <v/>
      </c>
      <c r="R471" s="13" t="n">
        <v>1</v>
      </c>
      <c r="S471" s="14" t="n">
        <v>2.41</v>
      </c>
      <c r="T471" s="14" t="n">
        <v>1.99</v>
      </c>
      <c r="U471" s="26">
        <f>IF(X471&gt;='Methodology &amp; Assumptions'!$B$7, "Tier 1 Critical GIDA (Score ≥ 50.0)", IF(X471&gt;='Methodology &amp; Assumptions'!$B$8, "Tier 2 High GIDA (Score 40.0–49.9)", "Tier 3 Moderate GIDA (Score &lt; 40.0)"))</f>
        <v/>
      </c>
      <c r="V471" s="26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W471" s="28" t="n">
        <v>0.07200000000000001</v>
      </c>
      <c r="X471" s="14" t="n">
        <v>46.71</v>
      </c>
      <c r="Y471" s="14">
        <f>ROUND(MIN(100, (X471/69.91)*100), 2)</f>
        <v/>
      </c>
    </row>
    <row r="472">
      <c r="A472" s="10" t="n">
        <v>4</v>
      </c>
      <c r="B472" s="10" t="n">
        <v>468</v>
      </c>
      <c r="C472" s="10" t="n">
        <v>3468</v>
      </c>
      <c r="D472" s="10" t="inlineStr">
        <is>
          <t>1908709025</t>
        </is>
      </c>
      <c r="E472" s="26" t="inlineStr">
        <is>
          <t>Bangsamoro Autonomous Region In Muslim Mindanao (BARMM)</t>
        </is>
      </c>
      <c r="F472" s="26" t="inlineStr">
        <is>
          <t>Maguindanao del Norte</t>
        </is>
      </c>
      <c r="G472" s="26" t="inlineStr">
        <is>
          <t>Parang</t>
        </is>
      </c>
      <c r="H472" s="26" t="inlineStr">
        <is>
          <t>Tuca-Maror</t>
        </is>
      </c>
      <c r="I472" s="27" t="n">
        <v>17.254112</v>
      </c>
      <c r="J472" s="27" t="n">
        <v>122.228156</v>
      </c>
      <c r="K472" s="10" t="inlineStr">
        <is>
          <t>R</t>
        </is>
      </c>
      <c r="L472" s="12" t="n">
        <v>4924</v>
      </c>
      <c r="M472" s="14" t="n">
        <v>4.3</v>
      </c>
      <c r="N472" s="12">
        <f>ROUND(L472/M472, 0)</f>
        <v/>
      </c>
      <c r="O472" s="12">
        <f>ROUND(N472*'Methodology &amp; Assumptions'!$B$5, 0)</f>
        <v/>
      </c>
      <c r="P472" s="10" t="inlineStr">
        <is>
          <t>Single Carrier (Band n50, 100MHz TDD)</t>
        </is>
      </c>
      <c r="Q472" s="13">
        <f>ROUNDUP(O472/'Methodology &amp; Assumptions'!$B$6, 0)</f>
        <v/>
      </c>
      <c r="R472" s="13" t="n">
        <v>1</v>
      </c>
      <c r="S472" s="14" t="n">
        <v>29.3</v>
      </c>
      <c r="T472" s="14" t="n">
        <v>34.2</v>
      </c>
      <c r="U472" s="26">
        <f>IF(X472&gt;='Methodology &amp; Assumptions'!$B$7, "Tier 1 Critical GIDA (Score ≥ 50.0)", IF(X472&gt;='Methodology &amp; Assumptions'!$B$8, "Tier 2 High GIDA (Score 40.0–49.9)", "Tier 3 Moderate GIDA (Score &lt; 40.0)"))</f>
        <v/>
      </c>
      <c r="V472" s="26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W472" s="28" t="n">
        <v>0.11</v>
      </c>
      <c r="X472" s="14" t="n">
        <v>46.71</v>
      </c>
      <c r="Y472" s="14">
        <f>ROUND(MIN(100, (X472/69.91)*100), 2)</f>
        <v/>
      </c>
    </row>
    <row r="473">
      <c r="A473" s="10" t="n">
        <v>4</v>
      </c>
      <c r="B473" s="10" t="n">
        <v>469</v>
      </c>
      <c r="C473" s="10" t="n">
        <v>3469</v>
      </c>
      <c r="D473" s="10" t="inlineStr">
        <is>
          <t>0402106024</t>
        </is>
      </c>
      <c r="E473" s="26" t="inlineStr">
        <is>
          <t>Region IV-A (CALABARZON)</t>
        </is>
      </c>
      <c r="F473" s="26" t="inlineStr">
        <is>
          <t>Cavite</t>
        </is>
      </c>
      <c r="G473" s="26" t="inlineStr">
        <is>
          <t>City of Dasmariñas</t>
        </is>
      </c>
      <c r="H473" s="26" t="inlineStr">
        <is>
          <t>Saint Peter I</t>
        </is>
      </c>
      <c r="I473" s="27" t="n">
        <v>14.321825</v>
      </c>
      <c r="J473" s="27" t="n">
        <v>120.925582</v>
      </c>
      <c r="K473" s="10" t="inlineStr">
        <is>
          <t>R</t>
        </is>
      </c>
      <c r="L473" s="12" t="n">
        <v>2408</v>
      </c>
      <c r="M473" s="14" t="n">
        <v>3.4</v>
      </c>
      <c r="N473" s="12">
        <f>ROUND(L473/M473, 0)</f>
        <v/>
      </c>
      <c r="O473" s="12">
        <f>ROUND(N473*'Methodology &amp; Assumptions'!$B$5, 0)</f>
        <v/>
      </c>
      <c r="P473" s="10" t="inlineStr">
        <is>
          <t>Single Carrier (Band n50, 100MHz TDD)</t>
        </is>
      </c>
      <c r="Q473" s="13">
        <f>ROUNDUP(O473/'Methodology &amp; Assumptions'!$B$6, 0)</f>
        <v/>
      </c>
      <c r="R473" s="13" t="n">
        <v>1</v>
      </c>
      <c r="S473" s="14" t="n">
        <v>3.51</v>
      </c>
      <c r="T473" s="14" t="n">
        <v>3.32</v>
      </c>
      <c r="U473" s="26">
        <f>IF(X473&gt;='Methodology &amp; Assumptions'!$B$7, "Tier 1 Critical GIDA (Score ≥ 50.0)", IF(X473&gt;='Methodology &amp; Assumptions'!$B$8, "Tier 2 High GIDA (Score 40.0–49.9)", "Tier 3 Moderate GIDA (Score &lt; 40.0)"))</f>
        <v/>
      </c>
      <c r="V473" s="26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W473" s="28" t="n">
        <v>0.07200000000000001</v>
      </c>
      <c r="X473" s="14" t="n">
        <v>46.71</v>
      </c>
      <c r="Y473" s="14">
        <f>ROUND(MIN(100, (X473/69.91)*100), 2)</f>
        <v/>
      </c>
    </row>
    <row r="474">
      <c r="A474" s="10" t="n">
        <v>4</v>
      </c>
      <c r="B474" s="10" t="n">
        <v>470</v>
      </c>
      <c r="C474" s="10" t="n">
        <v>3470</v>
      </c>
      <c r="D474" s="10" t="inlineStr">
        <is>
          <t>1204716007</t>
        </is>
      </c>
      <c r="E474" s="26" t="inlineStr">
        <is>
          <t>Region XII (SOCCSKSARGEN)</t>
        </is>
      </c>
      <c r="F474" s="26" t="inlineStr">
        <is>
          <t>Cotabato</t>
        </is>
      </c>
      <c r="G474" s="26" t="inlineStr">
        <is>
          <t>Banisilan</t>
        </is>
      </c>
      <c r="H474" s="26" t="inlineStr">
        <is>
          <t>Kiaring</t>
        </is>
      </c>
      <c r="I474" s="27" t="n">
        <v>7.375476</v>
      </c>
      <c r="J474" s="27" t="n">
        <v>124.677092</v>
      </c>
      <c r="K474" s="10" t="inlineStr">
        <is>
          <t>R</t>
        </is>
      </c>
      <c r="L474" s="12" t="n">
        <v>1749</v>
      </c>
      <c r="M474" s="14" t="n">
        <v>3.8</v>
      </c>
      <c r="N474" s="12">
        <f>ROUND(L474/M474, 0)</f>
        <v/>
      </c>
      <c r="O474" s="12">
        <f>ROUND(N474*'Methodology &amp; Assumptions'!$B$5, 0)</f>
        <v/>
      </c>
      <c r="P474" s="10" t="inlineStr">
        <is>
          <t>Single Carrier (Band n50, 100MHz TDD)</t>
        </is>
      </c>
      <c r="Q474" s="13">
        <f>ROUNDUP(O474/'Methodology &amp; Assumptions'!$B$6, 0)</f>
        <v/>
      </c>
      <c r="R474" s="13" t="n">
        <v>1</v>
      </c>
      <c r="S474" s="14" t="n">
        <v>23.31</v>
      </c>
      <c r="T474" s="14" t="n">
        <v>11.6</v>
      </c>
      <c r="U474" s="26">
        <f>IF(X474&gt;='Methodology &amp; Assumptions'!$B$7, "Tier 1 Critical GIDA (Score ≥ 50.0)", IF(X474&gt;='Methodology &amp; Assumptions'!$B$8, "Tier 2 High GIDA (Score 40.0–49.9)", "Tier 3 Moderate GIDA (Score &lt; 40.0)"))</f>
        <v/>
      </c>
      <c r="V474" s="26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W474" s="28" t="n">
        <v>0.174</v>
      </c>
      <c r="X474" s="14" t="n">
        <v>46.71</v>
      </c>
      <c r="Y474" s="14">
        <f>ROUND(MIN(100, (X474/69.91)*100), 2)</f>
        <v/>
      </c>
    </row>
    <row r="475">
      <c r="A475" s="10" t="n">
        <v>4</v>
      </c>
      <c r="B475" s="10" t="n">
        <v>471</v>
      </c>
      <c r="C475" s="10" t="n">
        <v>3471</v>
      </c>
      <c r="D475" s="10" t="inlineStr">
        <is>
          <t>1403201012</t>
        </is>
      </c>
      <c r="E475" s="26" t="inlineStr">
        <is>
          <t>Cordillera Administrative Region (CAR)</t>
        </is>
      </c>
      <c r="F475" s="26" t="inlineStr">
        <is>
          <t>Kalinga</t>
        </is>
      </c>
      <c r="G475" s="26" t="inlineStr">
        <is>
          <t>Balbalan</t>
        </is>
      </c>
      <c r="H475" s="26" t="inlineStr">
        <is>
          <t>Poswoy</t>
        </is>
      </c>
      <c r="I475" s="27" t="n">
        <v>17.532093</v>
      </c>
      <c r="J475" s="27" t="n">
        <v>121.148087</v>
      </c>
      <c r="K475" s="10" t="inlineStr">
        <is>
          <t>R</t>
        </is>
      </c>
      <c r="L475" s="12" t="n">
        <v>977</v>
      </c>
      <c r="M475" s="14" t="n">
        <v>4.3</v>
      </c>
      <c r="N475" s="12">
        <f>ROUND(L475/M475, 0)</f>
        <v/>
      </c>
      <c r="O475" s="12">
        <f>ROUND(N475*'Methodology &amp; Assumptions'!$B$5, 0)</f>
        <v/>
      </c>
      <c r="P475" s="10" t="inlineStr">
        <is>
          <t>Single Carrier (Band n50, 100MHz TDD)</t>
        </is>
      </c>
      <c r="Q475" s="13">
        <f>ROUNDUP(O475/'Methodology &amp; Assumptions'!$B$6, 0)</f>
        <v/>
      </c>
      <c r="R475" s="13" t="n">
        <v>1</v>
      </c>
      <c r="S475" s="14" t="n">
        <v>20.61</v>
      </c>
      <c r="T475" s="14" t="n">
        <v>16.53</v>
      </c>
      <c r="U475" s="26">
        <f>IF(X475&gt;='Methodology &amp; Assumptions'!$B$7, "Tier 1 Critical GIDA (Score ≥ 50.0)", IF(X475&gt;='Methodology &amp; Assumptions'!$B$8, "Tier 2 High GIDA (Score 40.0–49.9)", "Tier 3 Moderate GIDA (Score &lt; 40.0)"))</f>
        <v/>
      </c>
      <c r="V475" s="26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W475" s="28" t="n">
        <v>0.109</v>
      </c>
      <c r="X475" s="14" t="n">
        <v>46.7</v>
      </c>
      <c r="Y475" s="14">
        <f>ROUND(MIN(100, (X475/69.91)*100), 2)</f>
        <v/>
      </c>
    </row>
    <row r="476">
      <c r="A476" s="10" t="n">
        <v>4</v>
      </c>
      <c r="B476" s="10" t="n">
        <v>472</v>
      </c>
      <c r="C476" s="10" t="n">
        <v>3472</v>
      </c>
      <c r="D476" s="10" t="inlineStr">
        <is>
          <t>1705312009</t>
        </is>
      </c>
      <c r="E476" s="26" t="inlineStr">
        <is>
          <t>MIMAROPA Region</t>
        </is>
      </c>
      <c r="F476" s="26" t="inlineStr">
        <is>
          <t>Palawan</t>
        </is>
      </c>
      <c r="G476" s="26" t="inlineStr">
        <is>
          <t>El Nido</t>
        </is>
      </c>
      <c r="H476" s="26" t="inlineStr">
        <is>
          <t>New Ibajay</t>
        </is>
      </c>
      <c r="I476" s="27" t="n">
        <v>11.162429</v>
      </c>
      <c r="J476" s="27" t="n">
        <v>119.477712</v>
      </c>
      <c r="K476" s="10" t="inlineStr">
        <is>
          <t>R</t>
        </is>
      </c>
      <c r="L476" s="12" t="n">
        <v>4144</v>
      </c>
      <c r="M476" s="14" t="n">
        <v>3.9</v>
      </c>
      <c r="N476" s="12">
        <f>ROUND(L476/M476, 0)</f>
        <v/>
      </c>
      <c r="O476" s="12">
        <f>ROUND(N476*'Methodology &amp; Assumptions'!$B$5, 0)</f>
        <v/>
      </c>
      <c r="P476" s="10" t="inlineStr">
        <is>
          <t>Single Carrier (Band n50, 100MHz TDD)</t>
        </is>
      </c>
      <c r="Q476" s="13">
        <f>ROUNDUP(O476/'Methodology &amp; Assumptions'!$B$6, 0)</f>
        <v/>
      </c>
      <c r="R476" s="13" t="n">
        <v>1</v>
      </c>
      <c r="S476" s="14" t="n">
        <v>9.66</v>
      </c>
      <c r="T476" s="14" t="n">
        <v>37.92</v>
      </c>
      <c r="U476" s="26">
        <f>IF(X476&gt;='Methodology &amp; Assumptions'!$B$7, "Tier 1 Critical GIDA (Score ≥ 50.0)", IF(X476&gt;='Methodology &amp; Assumptions'!$B$8, "Tier 2 High GIDA (Score 40.0–49.9)", "Tier 3 Moderate GIDA (Score &lt; 40.0)"))</f>
        <v/>
      </c>
      <c r="V476" s="26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W476" s="28" t="n">
        <v>0.15</v>
      </c>
      <c r="X476" s="14" t="n">
        <v>46.7</v>
      </c>
      <c r="Y476" s="14">
        <f>ROUND(MIN(100, (X476/69.91)*100), 2)</f>
        <v/>
      </c>
    </row>
    <row r="477">
      <c r="A477" s="10" t="n">
        <v>4</v>
      </c>
      <c r="B477" s="10" t="n">
        <v>473</v>
      </c>
      <c r="C477" s="10" t="n">
        <v>3473</v>
      </c>
      <c r="D477" s="10" t="inlineStr">
        <is>
          <t>1908709009</t>
        </is>
      </c>
      <c r="E477" s="26" t="inlineStr">
        <is>
          <t>Bangsamoro Autonomous Region In Muslim Mindanao (BARMM)</t>
        </is>
      </c>
      <c r="F477" s="26" t="inlineStr">
        <is>
          <t>Maguindanao del Norte</t>
        </is>
      </c>
      <c r="G477" s="26" t="inlineStr">
        <is>
          <t>Parang</t>
        </is>
      </c>
      <c r="H477" s="26" t="inlineStr">
        <is>
          <t>Kabuan</t>
        </is>
      </c>
      <c r="I477" s="27" t="n">
        <v>17.254066</v>
      </c>
      <c r="J477" s="27" t="n">
        <v>122.22811</v>
      </c>
      <c r="K477" s="10" t="inlineStr">
        <is>
          <t>R</t>
        </is>
      </c>
      <c r="L477" s="12" t="n">
        <v>3495</v>
      </c>
      <c r="M477" s="14" t="n">
        <v>4.3</v>
      </c>
      <c r="N477" s="12">
        <f>ROUND(L477/M477, 0)</f>
        <v/>
      </c>
      <c r="O477" s="12">
        <f>ROUND(N477*'Methodology &amp; Assumptions'!$B$5, 0)</f>
        <v/>
      </c>
      <c r="P477" s="10" t="inlineStr">
        <is>
          <t>Single Carrier (Band n50, 100MHz TDD)</t>
        </is>
      </c>
      <c r="Q477" s="13">
        <f>ROUNDUP(O477/'Methodology &amp; Assumptions'!$B$6, 0)</f>
        <v/>
      </c>
      <c r="R477" s="13" t="n">
        <v>1</v>
      </c>
      <c r="S477" s="14" t="n">
        <v>29.3</v>
      </c>
      <c r="T477" s="14" t="n">
        <v>34.19</v>
      </c>
      <c r="U477" s="26">
        <f>IF(X477&gt;='Methodology &amp; Assumptions'!$B$7, "Tier 1 Critical GIDA (Score ≥ 50.0)", IF(X477&gt;='Methodology &amp; Assumptions'!$B$8, "Tier 2 High GIDA (Score 40.0–49.9)", "Tier 3 Moderate GIDA (Score &lt; 40.0)"))</f>
        <v/>
      </c>
      <c r="V477" s="26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W477" s="28" t="n">
        <v>0.11</v>
      </c>
      <c r="X477" s="14" t="n">
        <v>46.7</v>
      </c>
      <c r="Y477" s="14">
        <f>ROUND(MIN(100, (X477/69.91)*100), 2)</f>
        <v/>
      </c>
    </row>
    <row r="478">
      <c r="A478" s="10" t="n">
        <v>4</v>
      </c>
      <c r="B478" s="10" t="n">
        <v>474</v>
      </c>
      <c r="C478" s="10" t="n">
        <v>3474</v>
      </c>
      <c r="D478" s="10" t="inlineStr">
        <is>
          <t>0907203010</t>
        </is>
      </c>
      <c r="E478" s="26" t="inlineStr">
        <is>
          <t>Region IX (Zamboanga Peninsula)</t>
        </is>
      </c>
      <c r="F478" s="26" t="inlineStr">
        <is>
          <t>Zamboanga del Norte</t>
        </is>
      </c>
      <c r="G478" s="26" t="inlineStr">
        <is>
          <t>Katipunan</t>
        </is>
      </c>
      <c r="H478" s="26" t="inlineStr">
        <is>
          <t>Malasay</t>
        </is>
      </c>
      <c r="I478" s="27" t="n">
        <v>8.373182</v>
      </c>
      <c r="J478" s="27" t="n">
        <v>123.243179</v>
      </c>
      <c r="K478" s="10" t="inlineStr">
        <is>
          <t>R</t>
        </is>
      </c>
      <c r="L478" s="12" t="n">
        <v>1331</v>
      </c>
      <c r="M478" s="14" t="n">
        <v>3.6</v>
      </c>
      <c r="N478" s="12">
        <f>ROUND(L478/M478, 0)</f>
        <v/>
      </c>
      <c r="O478" s="12">
        <f>ROUND(N478*'Methodology &amp; Assumptions'!$B$5, 0)</f>
        <v/>
      </c>
      <c r="P478" s="10" t="inlineStr">
        <is>
          <t>Single Carrier (Band n50, 100MHz TDD)</t>
        </is>
      </c>
      <c r="Q478" s="13">
        <f>ROUNDUP(O478/'Methodology &amp; Assumptions'!$B$6, 0)</f>
        <v/>
      </c>
      <c r="R478" s="13" t="n">
        <v>1</v>
      </c>
      <c r="S478" s="14" t="n">
        <v>60.11</v>
      </c>
      <c r="T478" s="14" t="n">
        <v>58.17</v>
      </c>
      <c r="U478" s="26">
        <f>IF(X478&gt;='Methodology &amp; Assumptions'!$B$7, "Tier 1 Critical GIDA (Score ≥ 50.0)", IF(X478&gt;='Methodology &amp; Assumptions'!$B$8, "Tier 2 High GIDA (Score 40.0–49.9)", "Tier 3 Moderate GIDA (Score &lt; 40.0)"))</f>
        <v/>
      </c>
      <c r="V478" s="26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W478" s="28" t="n">
        <v>0.11</v>
      </c>
      <c r="X478" s="14" t="n">
        <v>46.7</v>
      </c>
      <c r="Y478" s="14">
        <f>ROUND(MIN(100, (X478/69.91)*100), 2)</f>
        <v/>
      </c>
    </row>
    <row r="479">
      <c r="A479" s="10" t="n">
        <v>4</v>
      </c>
      <c r="B479" s="10" t="n">
        <v>475</v>
      </c>
      <c r="C479" s="10" t="n">
        <v>3475</v>
      </c>
      <c r="D479" s="10" t="inlineStr">
        <is>
          <t>1903605018</t>
        </is>
      </c>
      <c r="E479" s="26" t="inlineStr">
        <is>
          <t>Bangsamoro Autonomous Region In Muslim Mindanao (BARMM)</t>
        </is>
      </c>
      <c r="F479" s="26" t="inlineStr">
        <is>
          <t>Lanao del Sur</t>
        </is>
      </c>
      <c r="G479" s="26" t="inlineStr">
        <is>
          <t>Binidayan</t>
        </is>
      </c>
      <c r="H479" s="26" t="inlineStr">
        <is>
          <t>Masolun</t>
        </is>
      </c>
      <c r="I479" s="27" t="n">
        <v>17.259417</v>
      </c>
      <c r="J479" s="27" t="n">
        <v>122.235159</v>
      </c>
      <c r="K479" s="10" t="inlineStr">
        <is>
          <t>R</t>
        </is>
      </c>
      <c r="L479" s="12" t="n">
        <v>1063</v>
      </c>
      <c r="M479" s="14" t="n">
        <v>5.7</v>
      </c>
      <c r="N479" s="12">
        <f>ROUND(L479/M479, 0)</f>
        <v/>
      </c>
      <c r="O479" s="12">
        <f>ROUND(N479*'Methodology &amp; Assumptions'!$B$5, 0)</f>
        <v/>
      </c>
      <c r="P479" s="10" t="inlineStr">
        <is>
          <t>Single Carrier (Band n50, 100MHz TDD)</t>
        </is>
      </c>
      <c r="Q479" s="13">
        <f>ROUNDUP(O479/'Methodology &amp; Assumptions'!$B$6, 0)</f>
        <v/>
      </c>
      <c r="R479" s="13" t="n">
        <v>1</v>
      </c>
      <c r="S479" s="14" t="n">
        <v>30.25</v>
      </c>
      <c r="T479" s="14" t="n">
        <v>35.08</v>
      </c>
      <c r="U479" s="26">
        <f>IF(X479&gt;='Methodology &amp; Assumptions'!$B$7, "Tier 1 Critical GIDA (Score ≥ 50.0)", IF(X479&gt;='Methodology &amp; Assumptions'!$B$8, "Tier 2 High GIDA (Score 40.0–49.9)", "Tier 3 Moderate GIDA (Score &lt; 40.0)"))</f>
        <v/>
      </c>
      <c r="V479" s="26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W479" s="28" t="n">
        <v>0.11</v>
      </c>
      <c r="X479" s="14" t="n">
        <v>46.7</v>
      </c>
      <c r="Y479" s="14">
        <f>ROUND(MIN(100, (X479/69.91)*100), 2)</f>
        <v/>
      </c>
    </row>
    <row r="480">
      <c r="A480" s="10" t="n">
        <v>4</v>
      </c>
      <c r="B480" s="10" t="n">
        <v>476</v>
      </c>
      <c r="C480" s="10" t="n">
        <v>3476</v>
      </c>
      <c r="D480" s="10" t="inlineStr">
        <is>
          <t>1903634020</t>
        </is>
      </c>
      <c r="E480" s="26" t="inlineStr">
        <is>
          <t>Bangsamoro Autonomous Region In Muslim Mindanao (BARMM)</t>
        </is>
      </c>
      <c r="F480" s="26" t="inlineStr">
        <is>
          <t>Lanao del Sur</t>
        </is>
      </c>
      <c r="G480" s="26" t="inlineStr">
        <is>
          <t>Maguing</t>
        </is>
      </c>
      <c r="H480" s="26" t="inlineStr">
        <is>
          <t>Dilimbayan</t>
        </is>
      </c>
      <c r="I480" s="27" t="n">
        <v>17.254198</v>
      </c>
      <c r="J480" s="27" t="n">
        <v>122.228242</v>
      </c>
      <c r="K480" s="10" t="inlineStr">
        <is>
          <t>R</t>
        </is>
      </c>
      <c r="L480" s="12" t="n">
        <v>1110</v>
      </c>
      <c r="M480" s="14" t="n">
        <v>5.7</v>
      </c>
      <c r="N480" s="12">
        <f>ROUND(L480/M480, 0)</f>
        <v/>
      </c>
      <c r="O480" s="12">
        <f>ROUND(N480*'Methodology &amp; Assumptions'!$B$5, 0)</f>
        <v/>
      </c>
      <c r="P480" s="10" t="inlineStr">
        <is>
          <t>Single Carrier (Band n50, 100MHz TDD)</t>
        </is>
      </c>
      <c r="Q480" s="13">
        <f>ROUNDUP(O480/'Methodology &amp; Assumptions'!$B$6, 0)</f>
        <v/>
      </c>
      <c r="R480" s="13" t="n">
        <v>1</v>
      </c>
      <c r="S480" s="14" t="n">
        <v>29.32</v>
      </c>
      <c r="T480" s="14" t="n">
        <v>34.21</v>
      </c>
      <c r="U480" s="26">
        <f>IF(X480&gt;='Methodology &amp; Assumptions'!$B$7, "Tier 1 Critical GIDA (Score ≥ 50.0)", IF(X480&gt;='Methodology &amp; Assumptions'!$B$8, "Tier 2 High GIDA (Score 40.0–49.9)", "Tier 3 Moderate GIDA (Score &lt; 40.0)"))</f>
        <v/>
      </c>
      <c r="V480" s="26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W480" s="28" t="n">
        <v>0.11</v>
      </c>
      <c r="X480" s="14" t="n">
        <v>46.7</v>
      </c>
      <c r="Y480" s="14">
        <f>ROUND(MIN(100, (X480/69.91)*100), 2)</f>
        <v/>
      </c>
    </row>
    <row r="481">
      <c r="A481" s="10" t="n">
        <v>4</v>
      </c>
      <c r="B481" s="10" t="n">
        <v>477</v>
      </c>
      <c r="C481" s="10" t="n">
        <v>3477</v>
      </c>
      <c r="D481" s="10" t="inlineStr">
        <is>
          <t>0201528026</t>
        </is>
      </c>
      <c r="E481" s="26" t="inlineStr">
        <is>
          <t>Region II (Cagayan Valley)</t>
        </is>
      </c>
      <c r="F481" s="26" t="inlineStr">
        <is>
          <t>Cagayan</t>
        </is>
      </c>
      <c r="G481" s="26" t="inlineStr">
        <is>
          <t>Tuao</t>
        </is>
      </c>
      <c r="H481" s="26" t="inlineStr">
        <is>
          <t>San Juan</t>
        </is>
      </c>
      <c r="I481" s="27" t="n">
        <v>17.606255</v>
      </c>
      <c r="J481" s="27" t="n">
        <v>121.524645</v>
      </c>
      <c r="K481" s="10" t="inlineStr">
        <is>
          <t>R</t>
        </is>
      </c>
      <c r="L481" s="12" t="n">
        <v>1045</v>
      </c>
      <c r="M481" s="14" t="n">
        <v>3.9</v>
      </c>
      <c r="N481" s="12">
        <f>ROUND(L481/M481, 0)</f>
        <v/>
      </c>
      <c r="O481" s="12">
        <f>ROUND(N481*'Methodology &amp; Assumptions'!$B$5, 0)</f>
        <v/>
      </c>
      <c r="P481" s="10" t="inlineStr">
        <is>
          <t>Single Carrier (Band n50, 100MHz TDD)</t>
        </is>
      </c>
      <c r="Q481" s="13">
        <f>ROUNDUP(O481/'Methodology &amp; Assumptions'!$B$6, 0)</f>
        <v/>
      </c>
      <c r="R481" s="13" t="n">
        <v>1</v>
      </c>
      <c r="S481" s="14" t="n">
        <v>7.3</v>
      </c>
      <c r="T481" s="14" t="n">
        <v>10.01</v>
      </c>
      <c r="U481" s="26">
        <f>IF(X481&gt;='Methodology &amp; Assumptions'!$B$7, "Tier 1 Critical GIDA (Score ≥ 50.0)", IF(X481&gt;='Methodology &amp; Assumptions'!$B$8, "Tier 2 High GIDA (Score 40.0–49.9)", "Tier 3 Moderate GIDA (Score &lt; 40.0)"))</f>
        <v/>
      </c>
      <c r="V481" s="26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W481" s="28" t="n">
        <v>0.083</v>
      </c>
      <c r="X481" s="14" t="n">
        <v>46.7</v>
      </c>
      <c r="Y481" s="14">
        <f>ROUND(MIN(100, (X481/69.91)*100), 2)</f>
        <v/>
      </c>
    </row>
    <row r="482">
      <c r="A482" s="10" t="n">
        <v>4</v>
      </c>
      <c r="B482" s="10" t="n">
        <v>478</v>
      </c>
      <c r="C482" s="10" t="n">
        <v>3478</v>
      </c>
      <c r="D482" s="10" t="inlineStr">
        <is>
          <t>1903609009</t>
        </is>
      </c>
      <c r="E482" s="26" t="inlineStr">
        <is>
          <t>Bangsamoro Autonomous Region In Muslim Mindanao (BARMM)</t>
        </is>
      </c>
      <c r="F482" s="26" t="inlineStr">
        <is>
          <t>Lanao del Sur</t>
        </is>
      </c>
      <c r="G482" s="26" t="inlineStr">
        <is>
          <t>Ganassi</t>
        </is>
      </c>
      <c r="H482" s="26" t="inlineStr">
        <is>
          <t>Linuk</t>
        </is>
      </c>
      <c r="I482" s="27" t="n">
        <v>16.936736</v>
      </c>
      <c r="J482" s="27" t="n">
        <v>122.294631</v>
      </c>
      <c r="K482" s="10" t="inlineStr">
        <is>
          <t>R</t>
        </is>
      </c>
      <c r="L482" s="12" t="n">
        <v>945</v>
      </c>
      <c r="M482" s="14" t="n">
        <v>5.7</v>
      </c>
      <c r="N482" s="12">
        <f>ROUND(L482/M482, 0)</f>
        <v/>
      </c>
      <c r="O482" s="12">
        <f>ROUND(N482*'Methodology &amp; Assumptions'!$B$5, 0)</f>
        <v/>
      </c>
      <c r="P482" s="10" t="inlineStr">
        <is>
          <t>Single Carrier (Band n50, 100MHz TDD)</t>
        </is>
      </c>
      <c r="Q482" s="13">
        <f>ROUNDUP(O482/'Methodology &amp; Assumptions'!$B$6, 0)</f>
        <v/>
      </c>
      <c r="R482" s="13" t="n">
        <v>1</v>
      </c>
      <c r="S482" s="14" t="n">
        <v>30.43</v>
      </c>
      <c r="T482" s="14" t="n">
        <v>45.78</v>
      </c>
      <c r="U482" s="26">
        <f>IF(X482&gt;='Methodology &amp; Assumptions'!$B$7, "Tier 1 Critical GIDA (Score ≥ 50.0)", IF(X482&gt;='Methodology &amp; Assumptions'!$B$8, "Tier 2 High GIDA (Score 40.0–49.9)", "Tier 3 Moderate GIDA (Score &lt; 40.0)"))</f>
        <v/>
      </c>
      <c r="V482" s="26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W482" s="28" t="n">
        <v>0.11</v>
      </c>
      <c r="X482" s="14" t="n">
        <v>46.7</v>
      </c>
      <c r="Y482" s="14">
        <f>ROUND(MIN(100, (X482/69.91)*100), 2)</f>
        <v/>
      </c>
    </row>
    <row r="483">
      <c r="A483" s="10" t="n">
        <v>4</v>
      </c>
      <c r="B483" s="10" t="n">
        <v>479</v>
      </c>
      <c r="C483" s="10" t="n">
        <v>3479</v>
      </c>
      <c r="D483" s="10" t="inlineStr">
        <is>
          <t>1108205009</t>
        </is>
      </c>
      <c r="E483" s="26" t="inlineStr">
        <is>
          <t>Region XI (Davao Region)</t>
        </is>
      </c>
      <c r="F483" s="26" t="inlineStr">
        <is>
          <t>Davao de Oro</t>
        </is>
      </c>
      <c r="G483" s="26" t="inlineStr">
        <is>
          <t>Maragusan</t>
        </is>
      </c>
      <c r="H483" s="26" t="inlineStr">
        <is>
          <t>Katipunan</t>
        </is>
      </c>
      <c r="I483" s="27" t="n">
        <v>7.413488</v>
      </c>
      <c r="J483" s="27" t="n">
        <v>126.145646</v>
      </c>
      <c r="K483" s="10" t="inlineStr">
        <is>
          <t>R</t>
        </is>
      </c>
      <c r="L483" s="12" t="n">
        <v>1697</v>
      </c>
      <c r="M483" s="14" t="n">
        <v>3.7</v>
      </c>
      <c r="N483" s="12">
        <f>ROUND(L483/M483, 0)</f>
        <v/>
      </c>
      <c r="O483" s="12">
        <f>ROUND(N483*'Methodology &amp; Assumptions'!$B$5, 0)</f>
        <v/>
      </c>
      <c r="P483" s="10" t="inlineStr">
        <is>
          <t>Single Carrier (Band n50, 100MHz TDD)</t>
        </is>
      </c>
      <c r="Q483" s="13">
        <f>ROUNDUP(O483/'Methodology &amp; Assumptions'!$B$6, 0)</f>
        <v/>
      </c>
      <c r="R483" s="13" t="n">
        <v>1</v>
      </c>
      <c r="S483" s="14" t="n">
        <v>32.55</v>
      </c>
      <c r="T483" s="14" t="n">
        <v>27.08</v>
      </c>
      <c r="U483" s="26">
        <f>IF(X483&gt;='Methodology &amp; Assumptions'!$B$7, "Tier 1 Critical GIDA (Score ≥ 50.0)", IF(X483&gt;='Methodology &amp; Assumptions'!$B$8, "Tier 2 High GIDA (Score 40.0–49.9)", "Tier 3 Moderate GIDA (Score &lt; 40.0)"))</f>
        <v/>
      </c>
      <c r="V483" s="26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W483" s="28" t="n">
        <v>0.174</v>
      </c>
      <c r="X483" s="14" t="n">
        <v>46.69</v>
      </c>
      <c r="Y483" s="14">
        <f>ROUND(MIN(100, (X483/69.91)*100), 2)</f>
        <v/>
      </c>
    </row>
    <row r="484">
      <c r="A484" s="10" t="n">
        <v>4</v>
      </c>
      <c r="B484" s="10" t="n">
        <v>480</v>
      </c>
      <c r="C484" s="10" t="n">
        <v>3480</v>
      </c>
      <c r="D484" s="10" t="inlineStr">
        <is>
          <t>1903604007</t>
        </is>
      </c>
      <c r="E484" s="26" t="inlineStr">
        <is>
          <t>Bangsamoro Autonomous Region In Muslim Mindanao (BARMM)</t>
        </is>
      </c>
      <c r="F484" s="26" t="inlineStr">
        <is>
          <t>Lanao del Sur</t>
        </is>
      </c>
      <c r="G484" s="26" t="inlineStr">
        <is>
          <t>Bayang</t>
        </is>
      </c>
      <c r="H484" s="26" t="inlineStr">
        <is>
          <t>Bialaan</t>
        </is>
      </c>
      <c r="I484" s="27" t="n">
        <v>17.254739</v>
      </c>
      <c r="J484" s="27" t="n">
        <v>122.228783</v>
      </c>
      <c r="K484" s="10" t="inlineStr">
        <is>
          <t>R</t>
        </is>
      </c>
      <c r="L484" s="12" t="n">
        <v>635</v>
      </c>
      <c r="M484" s="14" t="n">
        <v>5.7</v>
      </c>
      <c r="N484" s="12">
        <f>ROUND(L484/M484, 0)</f>
        <v/>
      </c>
      <c r="O484" s="12">
        <f>ROUND(N484*'Methodology &amp; Assumptions'!$B$5, 0)</f>
        <v/>
      </c>
      <c r="P484" s="10" t="inlineStr">
        <is>
          <t>Single Carrier (Band n50, 100MHz TDD)</t>
        </is>
      </c>
      <c r="Q484" s="13">
        <f>ROUNDUP(O484/'Methodology &amp; Assumptions'!$B$6, 0)</f>
        <v/>
      </c>
      <c r="R484" s="13" t="n">
        <v>1</v>
      </c>
      <c r="S484" s="14" t="n">
        <v>29.4</v>
      </c>
      <c r="T484" s="14" t="n">
        <v>34.28</v>
      </c>
      <c r="U484" s="26">
        <f>IF(X484&gt;='Methodology &amp; Assumptions'!$B$7, "Tier 1 Critical GIDA (Score ≥ 50.0)", IF(X484&gt;='Methodology &amp; Assumptions'!$B$8, "Tier 2 High GIDA (Score 40.0–49.9)", "Tier 3 Moderate GIDA (Score &lt; 40.0)"))</f>
        <v/>
      </c>
      <c r="V484" s="26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W484" s="28" t="n">
        <v>0.11</v>
      </c>
      <c r="X484" s="14" t="n">
        <v>46.69</v>
      </c>
      <c r="Y484" s="14">
        <f>ROUND(MIN(100, (X484/69.91)*100), 2)</f>
        <v/>
      </c>
    </row>
    <row r="485">
      <c r="A485" s="10" t="n">
        <v>4</v>
      </c>
      <c r="B485" s="10" t="n">
        <v>481</v>
      </c>
      <c r="C485" s="10" t="n">
        <v>3481</v>
      </c>
      <c r="D485" s="10" t="inlineStr">
        <is>
          <t>PH0003481</t>
        </is>
      </c>
      <c r="E485" s="26" t="inlineStr">
        <is>
          <t>CAR</t>
        </is>
      </c>
      <c r="F485" s="26" t="inlineStr">
        <is>
          <t>Benguet</t>
        </is>
      </c>
      <c r="G485" s="26" t="inlineStr">
        <is>
          <t>Baguio City</t>
        </is>
      </c>
      <c r="H485" s="26" t="inlineStr">
        <is>
          <t>Palma-Urbano</t>
        </is>
      </c>
      <c r="I485" s="27" t="n">
        <v>16.413355</v>
      </c>
      <c r="J485" s="27" t="n">
        <v>120.590429</v>
      </c>
      <c r="K485" s="10" t="inlineStr">
        <is>
          <t>R</t>
        </is>
      </c>
      <c r="L485" s="12" t="n">
        <v>2260</v>
      </c>
      <c r="M485" s="14" t="n">
        <v>3.5</v>
      </c>
      <c r="N485" s="12">
        <f>ROUND(L485/M485, 0)</f>
        <v/>
      </c>
      <c r="O485" s="12">
        <f>ROUND(N485*'Methodology &amp; Assumptions'!$B$5, 0)</f>
        <v/>
      </c>
      <c r="P485" s="10" t="inlineStr">
        <is>
          <t>Single Carrier (Band n50, 100MHz TDD)</t>
        </is>
      </c>
      <c r="Q485" s="13">
        <f>ROUNDUP(O485/'Methodology &amp; Assumptions'!$B$6, 0)</f>
        <v/>
      </c>
      <c r="R485" s="13" t="n">
        <v>1</v>
      </c>
      <c r="S485" s="14" t="n">
        <v>0.25</v>
      </c>
      <c r="T485" s="14" t="n">
        <v>0.15</v>
      </c>
      <c r="U485" s="26">
        <f>IF(X485&gt;='Methodology &amp; Assumptions'!$B$7, "Tier 1 Critical GIDA (Score ≥ 50.0)", IF(X485&gt;='Methodology &amp; Assumptions'!$B$8, "Tier 2 High GIDA (Score 40.0–49.9)", "Tier 3 Moderate GIDA (Score &lt; 40.0)"))</f>
        <v/>
      </c>
      <c r="V485" s="26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W485" s="28" t="n">
        <v>0.221</v>
      </c>
      <c r="X485" s="14" t="n">
        <v>46.69</v>
      </c>
      <c r="Y485" s="14">
        <f>ROUND(MIN(100, (X485/69.91)*100), 2)</f>
        <v/>
      </c>
    </row>
    <row r="486">
      <c r="A486" s="10" t="n">
        <v>4</v>
      </c>
      <c r="B486" s="10" t="n">
        <v>482</v>
      </c>
      <c r="C486" s="10" t="n">
        <v>3482</v>
      </c>
      <c r="D486" s="10" t="inlineStr">
        <is>
          <t>PH0003482</t>
        </is>
      </c>
      <c r="E486" s="26" t="inlineStr">
        <is>
          <t>BARMM (LaMa+SGA)</t>
        </is>
      </c>
      <c r="F486" s="26" t="inlineStr">
        <is>
          <t>Lanao Del Sur</t>
        </is>
      </c>
      <c r="G486" s="26" t="inlineStr">
        <is>
          <t>Bumbaran</t>
        </is>
      </c>
      <c r="H486" s="26" t="inlineStr">
        <is>
          <t>Sumugot</t>
        </is>
      </c>
      <c r="I486" s="27" t="n">
        <v>17.25428</v>
      </c>
      <c r="J486" s="27" t="n">
        <v>122.228324</v>
      </c>
      <c r="K486" s="10" t="inlineStr">
        <is>
          <t>R</t>
        </is>
      </c>
      <c r="L486" s="12" t="n">
        <v>2518</v>
      </c>
      <c r="M486" s="14" t="n">
        <v>5.7</v>
      </c>
      <c r="N486" s="12">
        <f>ROUND(L486/M486, 0)</f>
        <v/>
      </c>
      <c r="O486" s="12">
        <f>ROUND(N486*'Methodology &amp; Assumptions'!$B$5, 0)</f>
        <v/>
      </c>
      <c r="P486" s="10" t="inlineStr">
        <is>
          <t>Single Carrier (Band n50, 100MHz TDD)</t>
        </is>
      </c>
      <c r="Q486" s="13">
        <f>ROUNDUP(O486/'Methodology &amp; Assumptions'!$B$6, 0)</f>
        <v/>
      </c>
      <c r="R486" s="13" t="n">
        <v>1</v>
      </c>
      <c r="S486" s="14" t="n">
        <v>29.33</v>
      </c>
      <c r="T486" s="14" t="n">
        <v>34.22</v>
      </c>
      <c r="U486" s="26">
        <f>IF(X486&gt;='Methodology &amp; Assumptions'!$B$7, "Tier 1 Critical GIDA (Score ≥ 50.0)", IF(X486&gt;='Methodology &amp; Assumptions'!$B$8, "Tier 2 High GIDA (Score 40.0–49.9)", "Tier 3 Moderate GIDA (Score &lt; 40.0)"))</f>
        <v/>
      </c>
      <c r="V486" s="26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W486" s="28" t="n">
        <v>0.235</v>
      </c>
      <c r="X486" s="14" t="n">
        <v>46.69</v>
      </c>
      <c r="Y486" s="14">
        <f>ROUND(MIN(100, (X486/69.91)*100), 2)</f>
        <v/>
      </c>
    </row>
    <row r="487">
      <c r="A487" s="10" t="n">
        <v>4</v>
      </c>
      <c r="B487" s="10" t="n">
        <v>483</v>
      </c>
      <c r="C487" s="10" t="n">
        <v>3483</v>
      </c>
      <c r="D487" s="10" t="inlineStr">
        <is>
          <t>1903606058</t>
        </is>
      </c>
      <c r="E487" s="26" t="inlineStr">
        <is>
          <t>Bangsamoro Autonomous Region In Muslim Mindanao (BARMM)</t>
        </is>
      </c>
      <c r="F487" s="26" t="inlineStr">
        <is>
          <t>Lanao del Sur</t>
        </is>
      </c>
      <c r="G487" s="26" t="inlineStr">
        <is>
          <t>Bubong</t>
        </is>
      </c>
      <c r="H487" s="26" t="inlineStr">
        <is>
          <t>Dimayon</t>
        </is>
      </c>
      <c r="I487" s="27" t="n">
        <v>16.177508</v>
      </c>
      <c r="J487" s="27" t="n">
        <v>122.449515</v>
      </c>
      <c r="K487" s="10" t="inlineStr">
        <is>
          <t>R</t>
        </is>
      </c>
      <c r="L487" s="12" t="n">
        <v>455</v>
      </c>
      <c r="M487" s="14" t="n">
        <v>5.7</v>
      </c>
      <c r="N487" s="12">
        <f>ROUND(L487/M487, 0)</f>
        <v/>
      </c>
      <c r="O487" s="12">
        <f>ROUND(N487*'Methodology &amp; Assumptions'!$B$5, 0)</f>
        <v/>
      </c>
      <c r="P487" s="10" t="inlineStr">
        <is>
          <t>Single Carrier (Band n50, 100MHz TDD)</t>
        </is>
      </c>
      <c r="Q487" s="13">
        <f>ROUNDUP(O487/'Methodology &amp; Assumptions'!$B$6, 0)</f>
        <v/>
      </c>
      <c r="R487" s="13" t="n">
        <v>1</v>
      </c>
      <c r="S487" s="14" t="n">
        <v>36.45</v>
      </c>
      <c r="T487" s="14" t="n">
        <v>35.57</v>
      </c>
      <c r="U487" s="26">
        <f>IF(X487&gt;='Methodology &amp; Assumptions'!$B$7, "Tier 1 Critical GIDA (Score ≥ 50.0)", IF(X487&gt;='Methodology &amp; Assumptions'!$B$8, "Tier 2 High GIDA (Score 40.0–49.9)", "Tier 3 Moderate GIDA (Score &lt; 40.0)"))</f>
        <v/>
      </c>
      <c r="V487" s="26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W487" s="28" t="n">
        <v>0.11</v>
      </c>
      <c r="X487" s="14" t="n">
        <v>46.69</v>
      </c>
      <c r="Y487" s="14">
        <f>ROUND(MIN(100, (X487/69.91)*100), 2)</f>
        <v/>
      </c>
    </row>
    <row r="488">
      <c r="A488" s="10" t="n">
        <v>4</v>
      </c>
      <c r="B488" s="10" t="n">
        <v>484</v>
      </c>
      <c r="C488" s="10" t="n">
        <v>3484</v>
      </c>
      <c r="D488" s="10" t="inlineStr">
        <is>
          <t>PH0003484</t>
        </is>
      </c>
      <c r="E488" s="26" t="inlineStr">
        <is>
          <t>BARMM (LaMa+SGA)</t>
        </is>
      </c>
      <c r="F488" s="26" t="inlineStr">
        <is>
          <t>Lanao Del Sur</t>
        </is>
      </c>
      <c r="G488" s="26" t="inlineStr">
        <is>
          <t>Bumbaran</t>
        </is>
      </c>
      <c r="H488" s="26" t="inlineStr">
        <is>
          <t>Poblacion</t>
        </is>
      </c>
      <c r="I488" s="27" t="n">
        <v>15.88699</v>
      </c>
      <c r="J488" s="27" t="n">
        <v>122.574584</v>
      </c>
      <c r="K488" s="10" t="inlineStr">
        <is>
          <t>R</t>
        </is>
      </c>
      <c r="L488" s="12" t="n">
        <v>2518</v>
      </c>
      <c r="M488" s="14" t="n">
        <v>5.7</v>
      </c>
      <c r="N488" s="12">
        <f>ROUND(L488/M488, 0)</f>
        <v/>
      </c>
      <c r="O488" s="12">
        <f>ROUND(N488*'Methodology &amp; Assumptions'!$B$5, 0)</f>
        <v/>
      </c>
      <c r="P488" s="10" t="inlineStr">
        <is>
          <t>Single Carrier (Band n50, 100MHz TDD)</t>
        </is>
      </c>
      <c r="Q488" s="13">
        <f>ROUNDUP(O488/'Methodology &amp; Assumptions'!$B$6, 0)</f>
        <v/>
      </c>
      <c r="R488" s="13" t="n">
        <v>1</v>
      </c>
      <c r="S488" s="14" t="n">
        <v>64.86</v>
      </c>
      <c r="T488" s="14" t="n">
        <v>64.87</v>
      </c>
      <c r="U488" s="26">
        <f>IF(X488&gt;='Methodology &amp; Assumptions'!$B$7, "Tier 1 Critical GIDA (Score ≥ 50.0)", IF(X488&gt;='Methodology &amp; Assumptions'!$B$8, "Tier 2 High GIDA (Score 40.0–49.9)", "Tier 3 Moderate GIDA (Score &lt; 40.0)"))</f>
        <v/>
      </c>
      <c r="V488" s="26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W488" s="28" t="n">
        <v>0.235</v>
      </c>
      <c r="X488" s="14" t="n">
        <v>46.68</v>
      </c>
      <c r="Y488" s="14">
        <f>ROUND(MIN(100, (X488/69.91)*100), 2)</f>
        <v/>
      </c>
    </row>
    <row r="489">
      <c r="A489" s="10" t="n">
        <v>4</v>
      </c>
      <c r="B489" s="10" t="n">
        <v>485</v>
      </c>
      <c r="C489" s="10" t="n">
        <v>3485</v>
      </c>
      <c r="D489" s="10" t="inlineStr">
        <is>
          <t>PH0003485</t>
        </is>
      </c>
      <c r="E489" s="26" t="inlineStr">
        <is>
          <t>BARMM (LaMa+SGA)</t>
        </is>
      </c>
      <c r="F489" s="26" t="inlineStr">
        <is>
          <t>Lanao Del Sur</t>
        </is>
      </c>
      <c r="G489" s="26" t="inlineStr">
        <is>
          <t>Bumbaran</t>
        </is>
      </c>
      <c r="H489" s="26" t="inlineStr">
        <is>
          <t>Pagonayan</t>
        </is>
      </c>
      <c r="I489" s="27" t="n">
        <v>15.904578</v>
      </c>
      <c r="J489" s="27" t="n">
        <v>122.570427</v>
      </c>
      <c r="K489" s="10" t="inlineStr">
        <is>
          <t>R</t>
        </is>
      </c>
      <c r="L489" s="12" t="n">
        <v>2518</v>
      </c>
      <c r="M489" s="14" t="n">
        <v>5.7</v>
      </c>
      <c r="N489" s="12">
        <f>ROUND(L489/M489, 0)</f>
        <v/>
      </c>
      <c r="O489" s="12">
        <f>ROUND(N489*'Methodology &amp; Assumptions'!$B$5, 0)</f>
        <v/>
      </c>
      <c r="P489" s="10" t="inlineStr">
        <is>
          <t>Single Carrier (Band n50, 100MHz TDD)</t>
        </is>
      </c>
      <c r="Q489" s="13">
        <f>ROUNDUP(O489/'Methodology &amp; Assumptions'!$B$6, 0)</f>
        <v/>
      </c>
      <c r="R489" s="13" t="n">
        <v>1</v>
      </c>
      <c r="S489" s="14" t="n">
        <v>63.23</v>
      </c>
      <c r="T489" s="14" t="n">
        <v>63.23</v>
      </c>
      <c r="U489" s="26">
        <f>IF(X489&gt;='Methodology &amp; Assumptions'!$B$7, "Tier 1 Critical GIDA (Score ≥ 50.0)", IF(X489&gt;='Methodology &amp; Assumptions'!$B$8, "Tier 2 High GIDA (Score 40.0–49.9)", "Tier 3 Moderate GIDA (Score &lt; 40.0)"))</f>
        <v/>
      </c>
      <c r="V489" s="26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W489" s="28" t="n">
        <v>0.235</v>
      </c>
      <c r="X489" s="14" t="n">
        <v>46.68</v>
      </c>
      <c r="Y489" s="14">
        <f>ROUND(MIN(100, (X489/69.91)*100), 2)</f>
        <v/>
      </c>
    </row>
    <row r="490">
      <c r="A490" s="10" t="n">
        <v>4</v>
      </c>
      <c r="B490" s="10" t="n">
        <v>486</v>
      </c>
      <c r="C490" s="10" t="n">
        <v>3486</v>
      </c>
      <c r="D490" s="10" t="inlineStr">
        <is>
          <t>1400126006</t>
        </is>
      </c>
      <c r="E490" s="26" t="inlineStr">
        <is>
          <t>Cordillera Administrative Region (CAR)</t>
        </is>
      </c>
      <c r="F490" s="26" t="inlineStr">
        <is>
          <t>Abra</t>
        </is>
      </c>
      <c r="G490" s="26" t="inlineStr">
        <is>
          <t>Tubo</t>
        </is>
      </c>
      <c r="H490" s="26" t="inlineStr">
        <is>
          <t>Supo</t>
        </is>
      </c>
      <c r="I490" s="27" t="n">
        <v>17.246507</v>
      </c>
      <c r="J490" s="27" t="n">
        <v>120.68617</v>
      </c>
      <c r="K490" s="10" t="inlineStr">
        <is>
          <t>R</t>
        </is>
      </c>
      <c r="L490" s="12" t="n">
        <v>766</v>
      </c>
      <c r="M490" s="14" t="n">
        <v>3.8</v>
      </c>
      <c r="N490" s="12">
        <f>ROUND(L490/M490, 0)</f>
        <v/>
      </c>
      <c r="O490" s="12">
        <f>ROUND(N490*'Methodology &amp; Assumptions'!$B$5, 0)</f>
        <v/>
      </c>
      <c r="P490" s="10" t="inlineStr">
        <is>
          <t>Single Carrier (Band n50, 100MHz TDD)</t>
        </is>
      </c>
      <c r="Q490" s="13">
        <f>ROUNDUP(O490/'Methodology &amp; Assumptions'!$B$6, 0)</f>
        <v/>
      </c>
      <c r="R490" s="13" t="n">
        <v>1</v>
      </c>
      <c r="S490" s="14" t="n">
        <v>12.19</v>
      </c>
      <c r="T490" s="14" t="n">
        <v>5.29</v>
      </c>
      <c r="U490" s="26">
        <f>IF(X490&gt;='Methodology &amp; Assumptions'!$B$7, "Tier 1 Critical GIDA (Score ≥ 50.0)", IF(X490&gt;='Methodology &amp; Assumptions'!$B$8, "Tier 2 High GIDA (Score 40.0–49.9)", "Tier 3 Moderate GIDA (Score &lt; 40.0)"))</f>
        <v/>
      </c>
      <c r="V490" s="26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W490" s="28" t="n">
        <v>0.109</v>
      </c>
      <c r="X490" s="14" t="n">
        <v>46.68</v>
      </c>
      <c r="Y490" s="14">
        <f>ROUND(MIN(100, (X490/69.91)*100), 2)</f>
        <v/>
      </c>
    </row>
    <row r="491">
      <c r="A491" s="10" t="n">
        <v>4</v>
      </c>
      <c r="B491" s="10" t="n">
        <v>487</v>
      </c>
      <c r="C491" s="10" t="n">
        <v>3487</v>
      </c>
      <c r="D491" s="10" t="inlineStr">
        <is>
          <t>PH0003487</t>
        </is>
      </c>
      <c r="E491" s="26" t="inlineStr">
        <is>
          <t>BARMM (LaMa+SGA)</t>
        </is>
      </c>
      <c r="F491" s="26" t="inlineStr">
        <is>
          <t>Lanao Del Sur</t>
        </is>
      </c>
      <c r="G491" s="26" t="inlineStr">
        <is>
          <t>Bumbaran</t>
        </is>
      </c>
      <c r="H491" s="26" t="inlineStr">
        <is>
          <t>Bagumbayan</t>
        </is>
      </c>
      <c r="I491" s="27" t="n">
        <v>15.892824</v>
      </c>
      <c r="J491" s="27" t="n">
        <v>122.587956</v>
      </c>
      <c r="K491" s="10" t="inlineStr">
        <is>
          <t>R</t>
        </is>
      </c>
      <c r="L491" s="12" t="n">
        <v>2518</v>
      </c>
      <c r="M491" s="14" t="n">
        <v>5.7</v>
      </c>
      <c r="N491" s="12">
        <f>ROUND(L491/M491, 0)</f>
        <v/>
      </c>
      <c r="O491" s="12">
        <f>ROUND(N491*'Methodology &amp; Assumptions'!$B$5, 0)</f>
        <v/>
      </c>
      <c r="P491" s="10" t="inlineStr">
        <is>
          <t>Single Carrier (Band n50, 100MHz TDD)</t>
        </is>
      </c>
      <c r="Q491" s="13">
        <f>ROUNDUP(O491/'Methodology &amp; Assumptions'!$B$6, 0)</f>
        <v/>
      </c>
      <c r="R491" s="13" t="n">
        <v>1</v>
      </c>
      <c r="S491" s="14" t="n">
        <v>65.5</v>
      </c>
      <c r="T491" s="14" t="n">
        <v>65.5</v>
      </c>
      <c r="U491" s="26">
        <f>IF(X491&gt;='Methodology &amp; Assumptions'!$B$7, "Tier 1 Critical GIDA (Score ≥ 50.0)", IF(X491&gt;='Methodology &amp; Assumptions'!$B$8, "Tier 2 High GIDA (Score 40.0–49.9)", "Tier 3 Moderate GIDA (Score &lt; 40.0)"))</f>
        <v/>
      </c>
      <c r="V491" s="26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W491" s="28" t="n">
        <v>0.235</v>
      </c>
      <c r="X491" s="14" t="n">
        <v>46.68</v>
      </c>
      <c r="Y491" s="14">
        <f>ROUND(MIN(100, (X491/69.91)*100), 2)</f>
        <v/>
      </c>
    </row>
    <row r="492">
      <c r="A492" s="10" t="n">
        <v>4</v>
      </c>
      <c r="B492" s="10" t="n">
        <v>488</v>
      </c>
      <c r="C492" s="10" t="n">
        <v>3488</v>
      </c>
      <c r="D492" s="10" t="inlineStr">
        <is>
          <t>1402706011</t>
        </is>
      </c>
      <c r="E492" s="26" t="inlineStr">
        <is>
          <t>Cordillera Administrative Region (CAR)</t>
        </is>
      </c>
      <c r="F492" s="26" t="inlineStr">
        <is>
          <t>Ifugao</t>
        </is>
      </c>
      <c r="G492" s="26" t="inlineStr">
        <is>
          <t>Mayoyao</t>
        </is>
      </c>
      <c r="H492" s="26" t="inlineStr">
        <is>
          <t>Chumang</t>
        </is>
      </c>
      <c r="I492" s="27" t="n">
        <v>16.974176</v>
      </c>
      <c r="J492" s="27" t="n">
        <v>121.233037</v>
      </c>
      <c r="K492" s="10" t="inlineStr">
        <is>
          <t>R</t>
        </is>
      </c>
      <c r="L492" s="12" t="n">
        <v>1064</v>
      </c>
      <c r="M492" s="14" t="n">
        <v>3.9</v>
      </c>
      <c r="N492" s="12">
        <f>ROUND(L492/M492, 0)</f>
        <v/>
      </c>
      <c r="O492" s="12">
        <f>ROUND(N492*'Methodology &amp; Assumptions'!$B$5, 0)</f>
        <v/>
      </c>
      <c r="P492" s="10" t="inlineStr">
        <is>
          <t>Single Carrier (Band n50, 100MHz TDD)</t>
        </is>
      </c>
      <c r="Q492" s="13">
        <f>ROUNDUP(O492/'Methodology &amp; Assumptions'!$B$6, 0)</f>
        <v/>
      </c>
      <c r="R492" s="13" t="n">
        <v>1</v>
      </c>
      <c r="S492" s="14" t="n">
        <v>1.22</v>
      </c>
      <c r="T492" s="14" t="n">
        <v>19.09</v>
      </c>
      <c r="U492" s="26">
        <f>IF(X492&gt;='Methodology &amp; Assumptions'!$B$7, "Tier 1 Critical GIDA (Score ≥ 50.0)", IF(X492&gt;='Methodology &amp; Assumptions'!$B$8, "Tier 2 High GIDA (Score 40.0–49.9)", "Tier 3 Moderate GIDA (Score &lt; 40.0)"))</f>
        <v/>
      </c>
      <c r="V492" s="26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W492" s="28" t="n">
        <v>0.109</v>
      </c>
      <c r="X492" s="14" t="n">
        <v>46.68</v>
      </c>
      <c r="Y492" s="14">
        <f>ROUND(MIN(100, (X492/69.91)*100), 2)</f>
        <v/>
      </c>
    </row>
    <row r="493">
      <c r="A493" s="10" t="n">
        <v>4</v>
      </c>
      <c r="B493" s="10" t="n">
        <v>489</v>
      </c>
      <c r="C493" s="10" t="n">
        <v>3489</v>
      </c>
      <c r="D493" s="10" t="inlineStr">
        <is>
          <t>0401019014</t>
        </is>
      </c>
      <c r="E493" s="26" t="inlineStr">
        <is>
          <t>Region IV-A (CALABARZON)</t>
        </is>
      </c>
      <c r="F493" s="26" t="inlineStr">
        <is>
          <t>Batangas</t>
        </is>
      </c>
      <c r="G493" s="26" t="inlineStr">
        <is>
          <t>Nasugbu</t>
        </is>
      </c>
      <c r="H493" s="26" t="inlineStr">
        <is>
          <t>Barangay 9</t>
        </is>
      </c>
      <c r="I493" s="27" t="n">
        <v>14.090778</v>
      </c>
      <c r="J493" s="27" t="n">
        <v>120.685742</v>
      </c>
      <c r="K493" s="10" t="inlineStr">
        <is>
          <t>U</t>
        </is>
      </c>
      <c r="L493" s="12" t="n">
        <v>766</v>
      </c>
      <c r="M493" s="14" t="n">
        <v>3.6</v>
      </c>
      <c r="N493" s="12">
        <f>ROUND(L493/M493, 0)</f>
        <v/>
      </c>
      <c r="O493" s="12">
        <f>ROUND(N493*'Methodology &amp; Assumptions'!$B$5, 0)</f>
        <v/>
      </c>
      <c r="P493" s="10" t="inlineStr">
        <is>
          <t>Single Carrier (Band n50, 100MHz TDD)</t>
        </is>
      </c>
      <c r="Q493" s="13">
        <f>ROUNDUP(O493/'Methodology &amp; Assumptions'!$B$6, 0)</f>
        <v/>
      </c>
      <c r="R493" s="13" t="n">
        <v>1</v>
      </c>
      <c r="S493" s="14" t="n">
        <v>6</v>
      </c>
      <c r="T493" s="14" t="n">
        <v>2.34</v>
      </c>
      <c r="U493" s="26">
        <f>IF(X493&gt;='Methodology &amp; Assumptions'!$B$7, "Tier 1 Critical GIDA (Score ≥ 50.0)", IF(X493&gt;='Methodology &amp; Assumptions'!$B$8, "Tier 2 High GIDA (Score 40.0–49.9)", "Tier 3 Moderate GIDA (Score &lt; 40.0)"))</f>
        <v/>
      </c>
      <c r="V493" s="26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W493" s="28" t="n">
        <v>0.07200000000000001</v>
      </c>
      <c r="X493" s="14" t="n">
        <v>46.68</v>
      </c>
      <c r="Y493" s="14">
        <f>ROUND(MIN(100, (X493/69.91)*100), 2)</f>
        <v/>
      </c>
    </row>
    <row r="494">
      <c r="A494" s="10" t="n">
        <v>4</v>
      </c>
      <c r="B494" s="10" t="n">
        <v>490</v>
      </c>
      <c r="C494" s="10" t="n">
        <v>3490</v>
      </c>
      <c r="D494" s="10" t="inlineStr">
        <is>
          <t>PH0003490</t>
        </is>
      </c>
      <c r="E494" s="26" t="inlineStr">
        <is>
          <t>BARMM (LaMa+SGA)</t>
        </is>
      </c>
      <c r="F494" s="26" t="inlineStr">
        <is>
          <t>Lanao Del Sur</t>
        </is>
      </c>
      <c r="G494" s="26" t="inlineStr">
        <is>
          <t>Bumbaran</t>
        </is>
      </c>
      <c r="H494" s="26" t="inlineStr">
        <is>
          <t>Ranao-Baning</t>
        </is>
      </c>
      <c r="I494" s="27" t="n">
        <v>15.889827</v>
      </c>
      <c r="J494" s="27" t="n">
        <v>122.564175</v>
      </c>
      <c r="K494" s="10" t="inlineStr">
        <is>
          <t>R</t>
        </is>
      </c>
      <c r="L494" s="12" t="n">
        <v>2518</v>
      </c>
      <c r="M494" s="14" t="n">
        <v>5.7</v>
      </c>
      <c r="N494" s="12">
        <f>ROUND(L494/M494, 0)</f>
        <v/>
      </c>
      <c r="O494" s="12">
        <f>ROUND(N494*'Methodology &amp; Assumptions'!$B$5, 0)</f>
        <v/>
      </c>
      <c r="P494" s="10" t="inlineStr">
        <is>
          <t>Single Carrier (Band n50, 100MHz TDD)</t>
        </is>
      </c>
      <c r="Q494" s="13">
        <f>ROUNDUP(O494/'Methodology &amp; Assumptions'!$B$6, 0)</f>
        <v/>
      </c>
      <c r="R494" s="13" t="n">
        <v>1</v>
      </c>
      <c r="S494" s="14" t="n">
        <v>63.83</v>
      </c>
      <c r="T494" s="14" t="n">
        <v>63.84</v>
      </c>
      <c r="U494" s="26">
        <f>IF(X494&gt;='Methodology &amp; Assumptions'!$B$7, "Tier 1 Critical GIDA (Score ≥ 50.0)", IF(X494&gt;='Methodology &amp; Assumptions'!$B$8, "Tier 2 High GIDA (Score 40.0–49.9)", "Tier 3 Moderate GIDA (Score &lt; 40.0)"))</f>
        <v/>
      </c>
      <c r="V494" s="26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W494" s="28" t="n">
        <v>0.235</v>
      </c>
      <c r="X494" s="14" t="n">
        <v>46.68</v>
      </c>
      <c r="Y494" s="14">
        <f>ROUND(MIN(100, (X494/69.91)*100), 2)</f>
        <v/>
      </c>
    </row>
    <row r="495">
      <c r="A495" s="10" t="n">
        <v>4</v>
      </c>
      <c r="B495" s="10" t="n">
        <v>491</v>
      </c>
      <c r="C495" s="10" t="n">
        <v>3491</v>
      </c>
      <c r="D495" s="10" t="inlineStr">
        <is>
          <t>1903628041</t>
        </is>
      </c>
      <c r="E495" s="26" t="inlineStr">
        <is>
          <t>Bangsamoro Autonomous Region In Muslim Mindanao (BARMM)</t>
        </is>
      </c>
      <c r="F495" s="26" t="inlineStr">
        <is>
          <t>Lanao del Sur</t>
        </is>
      </c>
      <c r="G495" s="26" t="inlineStr">
        <is>
          <t>Tubaran</t>
        </is>
      </c>
      <c r="H495" s="26" t="inlineStr">
        <is>
          <t>Gaput</t>
        </is>
      </c>
      <c r="I495" s="27" t="n">
        <v>17.263589</v>
      </c>
      <c r="J495" s="27" t="n">
        <v>122.223085</v>
      </c>
      <c r="K495" s="10" t="inlineStr">
        <is>
          <t>R</t>
        </is>
      </c>
      <c r="L495" s="12" t="n">
        <v>642</v>
      </c>
      <c r="M495" s="14" t="n">
        <v>5.7</v>
      </c>
      <c r="N495" s="12">
        <f>ROUND(L495/M495, 0)</f>
        <v/>
      </c>
      <c r="O495" s="12">
        <f>ROUND(N495*'Methodology &amp; Assumptions'!$B$5, 0)</f>
        <v/>
      </c>
      <c r="P495" s="10" t="inlineStr">
        <is>
          <t>Single Carrier (Band n50, 100MHz TDD)</t>
        </is>
      </c>
      <c r="Q495" s="13">
        <f>ROUNDUP(O495/'Methodology &amp; Assumptions'!$B$6, 0)</f>
        <v/>
      </c>
      <c r="R495" s="13" t="n">
        <v>1</v>
      </c>
      <c r="S495" s="14" t="n">
        <v>29.58</v>
      </c>
      <c r="T495" s="14" t="n">
        <v>34.01</v>
      </c>
      <c r="U495" s="26">
        <f>IF(X495&gt;='Methodology &amp; Assumptions'!$B$7, "Tier 1 Critical GIDA (Score ≥ 50.0)", IF(X495&gt;='Methodology &amp; Assumptions'!$B$8, "Tier 2 High GIDA (Score 40.0–49.9)", "Tier 3 Moderate GIDA (Score &lt; 40.0)"))</f>
        <v/>
      </c>
      <c r="V495" s="26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W495" s="28" t="n">
        <v>0.11</v>
      </c>
      <c r="X495" s="14" t="n">
        <v>46.68</v>
      </c>
      <c r="Y495" s="14">
        <f>ROUND(MIN(100, (X495/69.91)*100), 2)</f>
        <v/>
      </c>
    </row>
    <row r="496">
      <c r="A496" s="10" t="n">
        <v>4</v>
      </c>
      <c r="B496" s="10" t="n">
        <v>492</v>
      </c>
      <c r="C496" s="10" t="n">
        <v>3492</v>
      </c>
      <c r="D496" s="10" t="inlineStr">
        <is>
          <t>1381000012</t>
        </is>
      </c>
      <c r="E496" s="26" t="inlineStr">
        <is>
          <t>National Capital Region (NCR)</t>
        </is>
      </c>
      <c r="F496" s="26" t="inlineStr">
        <is>
          <t>Fourth District (Not a Province)</t>
        </is>
      </c>
      <c r="G496" s="26" t="inlineStr">
        <is>
          <t>City of Parañaque</t>
        </is>
      </c>
      <c r="H496" s="26" t="inlineStr">
        <is>
          <t>San Antonio</t>
        </is>
      </c>
      <c r="I496" s="27" t="n">
        <v>14.46083</v>
      </c>
      <c r="J496" s="27" t="n">
        <v>121.030708</v>
      </c>
      <c r="K496" s="10" t="inlineStr">
        <is>
          <t>U</t>
        </is>
      </c>
      <c r="L496" s="12" t="n">
        <v>71481</v>
      </c>
      <c r="M496" s="14" t="n">
        <v>3.2</v>
      </c>
      <c r="N496" s="12">
        <f>ROUND(L496/M496, 0)</f>
        <v/>
      </c>
      <c r="O496" s="12">
        <f>ROUND(N496*'Methodology &amp; Assumptions'!$B$5, 0)</f>
        <v/>
      </c>
      <c r="P496" s="10" t="inlineStr">
        <is>
          <t>Single Carrier (Band n50, 100MHz TDD)</t>
        </is>
      </c>
      <c r="Q496" s="13">
        <f>ROUNDUP(O496/'Methodology &amp; Assumptions'!$B$6, 0)</f>
        <v/>
      </c>
      <c r="R496" s="13" t="n">
        <v>1</v>
      </c>
      <c r="S496" s="14" t="n">
        <v>0.84</v>
      </c>
      <c r="T496" s="14" t="n">
        <v>0.14</v>
      </c>
      <c r="U496" s="26">
        <f>IF(X496&gt;='Methodology &amp; Assumptions'!$B$7, "Tier 1 Critical GIDA (Score ≥ 50.0)", IF(X496&gt;='Methodology &amp; Assumptions'!$B$8, "Tier 2 High GIDA (Score 40.0–49.9)", "Tier 3 Moderate GIDA (Score &lt; 40.0)"))</f>
        <v/>
      </c>
      <c r="V496" s="26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W496" s="28" t="n">
        <v>0.109</v>
      </c>
      <c r="X496" s="14" t="n">
        <v>46.68</v>
      </c>
      <c r="Y496" s="14">
        <f>ROUND(MIN(100, (X496/69.91)*100), 2)</f>
        <v/>
      </c>
    </row>
    <row r="497">
      <c r="A497" s="10" t="n">
        <v>4</v>
      </c>
      <c r="B497" s="10" t="n">
        <v>493</v>
      </c>
      <c r="C497" s="10" t="n">
        <v>3493</v>
      </c>
      <c r="D497" s="10" t="inlineStr">
        <is>
          <t>1903628042</t>
        </is>
      </c>
      <c r="E497" s="26" t="inlineStr">
        <is>
          <t>Bangsamoro Autonomous Region In Muslim Mindanao (BARMM)</t>
        </is>
      </c>
      <c r="F497" s="26" t="inlineStr">
        <is>
          <t>Lanao del Sur</t>
        </is>
      </c>
      <c r="G497" s="26" t="inlineStr">
        <is>
          <t>Tubaran</t>
        </is>
      </c>
      <c r="H497" s="26" t="inlineStr">
        <is>
          <t>Madaya</t>
        </is>
      </c>
      <c r="I497" s="27" t="n">
        <v>17.251835</v>
      </c>
      <c r="J497" s="27" t="n">
        <v>122.240737</v>
      </c>
      <c r="K497" s="10" t="inlineStr">
        <is>
          <t>R</t>
        </is>
      </c>
      <c r="L497" s="12" t="n">
        <v>816</v>
      </c>
      <c r="M497" s="14" t="n">
        <v>5.7</v>
      </c>
      <c r="N497" s="12">
        <f>ROUND(L497/M497, 0)</f>
        <v/>
      </c>
      <c r="O497" s="12">
        <f>ROUND(N497*'Methodology &amp; Assumptions'!$B$5, 0)</f>
        <v/>
      </c>
      <c r="P497" s="10" t="inlineStr">
        <is>
          <t>Single Carrier (Band n50, 100MHz TDD)</t>
        </is>
      </c>
      <c r="Q497" s="13">
        <f>ROUNDUP(O497/'Methodology &amp; Assumptions'!$B$6, 0)</f>
        <v/>
      </c>
      <c r="R497" s="13" t="n">
        <v>1</v>
      </c>
      <c r="S497" s="14" t="n">
        <v>30.19</v>
      </c>
      <c r="T497" s="14" t="n">
        <v>35.41</v>
      </c>
      <c r="U497" s="26">
        <f>IF(X497&gt;='Methodology &amp; Assumptions'!$B$7, "Tier 1 Critical GIDA (Score ≥ 50.0)", IF(X497&gt;='Methodology &amp; Assumptions'!$B$8, "Tier 2 High GIDA (Score 40.0–49.9)", "Tier 3 Moderate GIDA (Score &lt; 40.0)"))</f>
        <v/>
      </c>
      <c r="V497" s="26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W497" s="28" t="n">
        <v>0.11</v>
      </c>
      <c r="X497" s="14" t="n">
        <v>46.68</v>
      </c>
      <c r="Y497" s="14">
        <f>ROUND(MIN(100, (X497/69.91)*100), 2)</f>
        <v/>
      </c>
    </row>
    <row r="498">
      <c r="A498" s="10" t="n">
        <v>4</v>
      </c>
      <c r="B498" s="10" t="n">
        <v>494</v>
      </c>
      <c r="C498" s="10" t="n">
        <v>3494</v>
      </c>
      <c r="D498" s="10" t="inlineStr">
        <is>
          <t>1903628016</t>
        </is>
      </c>
      <c r="E498" s="26" t="inlineStr">
        <is>
          <t>Bangsamoro Autonomous Region In Muslim Mindanao (BARMM)</t>
        </is>
      </c>
      <c r="F498" s="26" t="inlineStr">
        <is>
          <t>Lanao del Sur</t>
        </is>
      </c>
      <c r="G498" s="26" t="inlineStr">
        <is>
          <t>Tubaran</t>
        </is>
      </c>
      <c r="H498" s="26" t="inlineStr">
        <is>
          <t>Dinaigan</t>
        </is>
      </c>
      <c r="I498" s="27" t="n">
        <v>17.248838</v>
      </c>
      <c r="J498" s="27" t="n">
        <v>122.216789</v>
      </c>
      <c r="K498" s="10" t="inlineStr">
        <is>
          <t>R</t>
        </is>
      </c>
      <c r="L498" s="12" t="n">
        <v>641</v>
      </c>
      <c r="M498" s="14" t="n">
        <v>5.7</v>
      </c>
      <c r="N498" s="12">
        <f>ROUND(L498/M498, 0)</f>
        <v/>
      </c>
      <c r="O498" s="12">
        <f>ROUND(N498*'Methodology &amp; Assumptions'!$B$5, 0)</f>
        <v/>
      </c>
      <c r="P498" s="10" t="inlineStr">
        <is>
          <t>Single Carrier (Band n50, 100MHz TDD)</t>
        </is>
      </c>
      <c r="Q498" s="13">
        <f>ROUNDUP(O498/'Methodology &amp; Assumptions'!$B$6, 0)</f>
        <v/>
      </c>
      <c r="R498" s="13" t="n">
        <v>1</v>
      </c>
      <c r="S498" s="14" t="n">
        <v>28</v>
      </c>
      <c r="T498" s="14" t="n">
        <v>32.88</v>
      </c>
      <c r="U498" s="26">
        <f>IF(X498&gt;='Methodology &amp; Assumptions'!$B$7, "Tier 1 Critical GIDA (Score ≥ 50.0)", IF(X498&gt;='Methodology &amp; Assumptions'!$B$8, "Tier 2 High GIDA (Score 40.0–49.9)", "Tier 3 Moderate GIDA (Score &lt; 40.0)"))</f>
        <v/>
      </c>
      <c r="V498" s="26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W498" s="28" t="n">
        <v>0.11</v>
      </c>
      <c r="X498" s="14" t="n">
        <v>46.68</v>
      </c>
      <c r="Y498" s="14">
        <f>ROUND(MIN(100, (X498/69.91)*100), 2)</f>
        <v/>
      </c>
    </row>
    <row r="499">
      <c r="A499" s="10" t="n">
        <v>4</v>
      </c>
      <c r="B499" s="10" t="n">
        <v>495</v>
      </c>
      <c r="C499" s="10" t="n">
        <v>3495</v>
      </c>
      <c r="D499" s="10" t="inlineStr">
        <is>
          <t>PH0003495</t>
        </is>
      </c>
      <c r="E499" s="26" t="inlineStr">
        <is>
          <t>BARMM (LaMa+SGA)</t>
        </is>
      </c>
      <c r="F499" s="26" t="inlineStr">
        <is>
          <t>Lanao Del Sur</t>
        </is>
      </c>
      <c r="G499" s="26" t="inlineStr">
        <is>
          <t>Bumbaran</t>
        </is>
      </c>
      <c r="H499" s="26" t="inlineStr">
        <is>
          <t>Bandara-Ingud</t>
        </is>
      </c>
      <c r="I499" s="27" t="n">
        <v>15.909379</v>
      </c>
      <c r="J499" s="27" t="n">
        <v>122.581328</v>
      </c>
      <c r="K499" s="10" t="inlineStr">
        <is>
          <t>R</t>
        </is>
      </c>
      <c r="L499" s="12" t="n">
        <v>2518</v>
      </c>
      <c r="M499" s="14" t="n">
        <v>5.7</v>
      </c>
      <c r="N499" s="12">
        <f>ROUND(L499/M499, 0)</f>
        <v/>
      </c>
      <c r="O499" s="12">
        <f>ROUND(N499*'Methodology &amp; Assumptions'!$B$5, 0)</f>
        <v/>
      </c>
      <c r="P499" s="10" t="inlineStr">
        <is>
          <t>Single Carrier (Band n50, 100MHz TDD)</t>
        </is>
      </c>
      <c r="Q499" s="13">
        <f>ROUNDUP(O499/'Methodology &amp; Assumptions'!$B$6, 0)</f>
        <v/>
      </c>
      <c r="R499" s="13" t="n">
        <v>1</v>
      </c>
      <c r="S499" s="14" t="n">
        <v>63.77</v>
      </c>
      <c r="T499" s="14" t="n">
        <v>63.76</v>
      </c>
      <c r="U499" s="26">
        <f>IF(X499&gt;='Methodology &amp; Assumptions'!$B$7, "Tier 1 Critical GIDA (Score ≥ 50.0)", IF(X499&gt;='Methodology &amp; Assumptions'!$B$8, "Tier 2 High GIDA (Score 40.0–49.9)", "Tier 3 Moderate GIDA (Score &lt; 40.0)"))</f>
        <v/>
      </c>
      <c r="V499" s="26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W499" s="28" t="n">
        <v>0.235</v>
      </c>
      <c r="X499" s="14" t="n">
        <v>46.68</v>
      </c>
      <c r="Y499" s="14">
        <f>ROUND(MIN(100, (X499/69.91)*100), 2)</f>
        <v/>
      </c>
    </row>
    <row r="500">
      <c r="A500" s="10" t="n">
        <v>4</v>
      </c>
      <c r="B500" s="10" t="n">
        <v>496</v>
      </c>
      <c r="C500" s="10" t="n">
        <v>3496</v>
      </c>
      <c r="D500" s="10" t="inlineStr">
        <is>
          <t>1908811019</t>
        </is>
      </c>
      <c r="E500" s="26" t="inlineStr">
        <is>
          <t>Bangsamoro Autonomous Region In Muslim Mindanao (BARMM)</t>
        </is>
      </c>
      <c r="F500" s="26" t="inlineStr">
        <is>
          <t>Maguindanao del Sur</t>
        </is>
      </c>
      <c r="G500" s="26" t="inlineStr">
        <is>
          <t>Gen. S.K. Pendatun</t>
        </is>
      </c>
      <c r="H500" s="26" t="inlineStr">
        <is>
          <t>Upper Lasangan</t>
        </is>
      </c>
      <c r="I500" s="27" t="n">
        <v>17.255008</v>
      </c>
      <c r="J500" s="27" t="n">
        <v>122.229052</v>
      </c>
      <c r="K500" s="10" t="inlineStr">
        <is>
          <t>R</t>
        </is>
      </c>
      <c r="L500" s="12" t="n">
        <v>770</v>
      </c>
      <c r="M500" s="14" t="n">
        <v>4.7</v>
      </c>
      <c r="N500" s="12">
        <f>ROUND(L500/M500, 0)</f>
        <v/>
      </c>
      <c r="O500" s="12">
        <f>ROUND(N500*'Methodology &amp; Assumptions'!$B$5, 0)</f>
        <v/>
      </c>
      <c r="P500" s="10" t="inlineStr">
        <is>
          <t>Single Carrier (Band n50, 100MHz TDD)</t>
        </is>
      </c>
      <c r="Q500" s="13">
        <f>ROUNDUP(O500/'Methodology &amp; Assumptions'!$B$6, 0)</f>
        <v/>
      </c>
      <c r="R500" s="13" t="n">
        <v>1</v>
      </c>
      <c r="S500" s="14" t="n">
        <v>29.44</v>
      </c>
      <c r="T500" s="14" t="n">
        <v>34.32</v>
      </c>
      <c r="U500" s="26">
        <f>IF(X500&gt;='Methodology &amp; Assumptions'!$B$7, "Tier 1 Critical GIDA (Score ≥ 50.0)", IF(X500&gt;='Methodology &amp; Assumptions'!$B$8, "Tier 2 High GIDA (Score 40.0–49.9)", "Tier 3 Moderate GIDA (Score &lt; 40.0)"))</f>
        <v/>
      </c>
      <c r="V500" s="26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W500" s="28" t="n">
        <v>0.11</v>
      </c>
      <c r="X500" s="14" t="n">
        <v>46.68</v>
      </c>
      <c r="Y500" s="14">
        <f>ROUND(MIN(100, (X500/69.91)*100), 2)</f>
        <v/>
      </c>
    </row>
    <row r="501">
      <c r="A501" s="10" t="n">
        <v>4</v>
      </c>
      <c r="B501" s="10" t="n">
        <v>497</v>
      </c>
      <c r="C501" s="10" t="n">
        <v>3497</v>
      </c>
      <c r="D501" s="10" t="inlineStr">
        <is>
          <t>1903634038</t>
        </is>
      </c>
      <c r="E501" s="26" t="inlineStr">
        <is>
          <t>Bangsamoro Autonomous Region In Muslim Mindanao (BARMM)</t>
        </is>
      </c>
      <c r="F501" s="26" t="inlineStr">
        <is>
          <t>Lanao del Sur</t>
        </is>
      </c>
      <c r="G501" s="26" t="inlineStr">
        <is>
          <t>Maguing</t>
        </is>
      </c>
      <c r="H501" s="26" t="inlineStr">
        <is>
          <t>Panayangan</t>
        </is>
      </c>
      <c r="I501" s="27" t="n">
        <v>17.254801</v>
      </c>
      <c r="J501" s="27" t="n">
        <v>122.221726</v>
      </c>
      <c r="K501" s="10" t="inlineStr">
        <is>
          <t>R</t>
        </is>
      </c>
      <c r="L501" s="12" t="n">
        <v>427</v>
      </c>
      <c r="M501" s="14" t="n">
        <v>5.7</v>
      </c>
      <c r="N501" s="12">
        <f>ROUND(L501/M501, 0)</f>
        <v/>
      </c>
      <c r="O501" s="12">
        <f>ROUND(N501*'Methodology &amp; Assumptions'!$B$5, 0)</f>
        <v/>
      </c>
      <c r="P501" s="10" t="inlineStr">
        <is>
          <t>Single Carrier (Band n50, 100MHz TDD)</t>
        </is>
      </c>
      <c r="Q501" s="13">
        <f>ROUNDUP(O501/'Methodology &amp; Assumptions'!$B$6, 0)</f>
        <v/>
      </c>
      <c r="R501" s="13" t="n">
        <v>1</v>
      </c>
      <c r="S501" s="14" t="n">
        <v>28.83</v>
      </c>
      <c r="T501" s="14" t="n">
        <v>33.57</v>
      </c>
      <c r="U501" s="26">
        <f>IF(X501&gt;='Methodology &amp; Assumptions'!$B$7, "Tier 1 Critical GIDA (Score ≥ 50.0)", IF(X501&gt;='Methodology &amp; Assumptions'!$B$8, "Tier 2 High GIDA (Score 40.0–49.9)", "Tier 3 Moderate GIDA (Score &lt; 40.0)"))</f>
        <v/>
      </c>
      <c r="V501" s="26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W501" s="28" t="n">
        <v>0.11</v>
      </c>
      <c r="X501" s="14" t="n">
        <v>46.67</v>
      </c>
      <c r="Y501" s="14">
        <f>ROUND(MIN(100, (X501/69.91)*100), 2)</f>
        <v/>
      </c>
    </row>
    <row r="502">
      <c r="A502" s="10" t="n">
        <v>4</v>
      </c>
      <c r="B502" s="10" t="n">
        <v>498</v>
      </c>
      <c r="C502" s="10" t="n">
        <v>3498</v>
      </c>
      <c r="D502" s="10" t="inlineStr">
        <is>
          <t>PH0003498</t>
        </is>
      </c>
      <c r="E502" s="26" t="inlineStr">
        <is>
          <t>BARMM (LaMa+SGA)</t>
        </is>
      </c>
      <c r="F502" s="26" t="inlineStr">
        <is>
          <t>Lanao Del Sur</t>
        </is>
      </c>
      <c r="G502" s="26" t="inlineStr">
        <is>
          <t>Bumbaran</t>
        </is>
      </c>
      <c r="H502" s="26" t="inlineStr">
        <is>
          <t>Salam</t>
        </is>
      </c>
      <c r="I502" s="27" t="n">
        <v>17.254279</v>
      </c>
      <c r="J502" s="27" t="n">
        <v>122.228323</v>
      </c>
      <c r="K502" s="10" t="inlineStr">
        <is>
          <t>R</t>
        </is>
      </c>
      <c r="L502" s="12" t="n">
        <v>2518</v>
      </c>
      <c r="M502" s="14" t="n">
        <v>5.7</v>
      </c>
      <c r="N502" s="12">
        <f>ROUND(L502/M502, 0)</f>
        <v/>
      </c>
      <c r="O502" s="12">
        <f>ROUND(N502*'Methodology &amp; Assumptions'!$B$5, 0)</f>
        <v/>
      </c>
      <c r="P502" s="10" t="inlineStr">
        <is>
          <t>Single Carrier (Band n50, 100MHz TDD)</t>
        </is>
      </c>
      <c r="Q502" s="13">
        <f>ROUNDUP(O502/'Methodology &amp; Assumptions'!$B$6, 0)</f>
        <v/>
      </c>
      <c r="R502" s="13" t="n">
        <v>1</v>
      </c>
      <c r="S502" s="14" t="n">
        <v>29.33</v>
      </c>
      <c r="T502" s="14" t="n">
        <v>34.22</v>
      </c>
      <c r="U502" s="26">
        <f>IF(X502&gt;='Methodology &amp; Assumptions'!$B$7, "Tier 1 Critical GIDA (Score ≥ 50.0)", IF(X502&gt;='Methodology &amp; Assumptions'!$B$8, "Tier 2 High GIDA (Score 40.0–49.9)", "Tier 3 Moderate GIDA (Score &lt; 40.0)"))</f>
        <v/>
      </c>
      <c r="V502" s="26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W502" s="28" t="n">
        <v>0.235</v>
      </c>
      <c r="X502" s="14" t="n">
        <v>46.67</v>
      </c>
      <c r="Y502" s="14">
        <f>ROUND(MIN(100, (X502/69.91)*100), 2)</f>
        <v/>
      </c>
    </row>
    <row r="503">
      <c r="A503" s="10" t="n">
        <v>4</v>
      </c>
      <c r="B503" s="10" t="n">
        <v>499</v>
      </c>
      <c r="C503" s="10" t="n">
        <v>3499</v>
      </c>
      <c r="D503" s="10" t="inlineStr">
        <is>
          <t>PH0003499</t>
        </is>
      </c>
      <c r="E503" s="26" t="inlineStr">
        <is>
          <t>IV-A</t>
        </is>
      </c>
      <c r="F503" s="26" t="inlineStr">
        <is>
          <t>Laguna</t>
        </is>
      </c>
      <c r="G503" s="26" t="inlineStr">
        <is>
          <t>San Pablo City</t>
        </is>
      </c>
      <c r="H503" s="26" t="inlineStr">
        <is>
          <t>Barangay VI-E (Pob.)</t>
        </is>
      </c>
      <c r="I503" s="27" t="n">
        <v>14.045487</v>
      </c>
      <c r="J503" s="27" t="n">
        <v>121.340862</v>
      </c>
      <c r="K503" s="10" t="inlineStr">
        <is>
          <t>R</t>
        </is>
      </c>
      <c r="L503" s="12" t="n">
        <v>2412</v>
      </c>
      <c r="M503" s="14" t="n">
        <v>3.3</v>
      </c>
      <c r="N503" s="12">
        <f>ROUND(L503/M503, 0)</f>
        <v/>
      </c>
      <c r="O503" s="12">
        <f>ROUND(N503*'Methodology &amp; Assumptions'!$B$5, 0)</f>
        <v/>
      </c>
      <c r="P503" s="10" t="inlineStr">
        <is>
          <t>Single Carrier (Band n50, 100MHz TDD)</t>
        </is>
      </c>
      <c r="Q503" s="13">
        <f>ROUNDUP(O503/'Methodology &amp; Assumptions'!$B$6, 0)</f>
        <v/>
      </c>
      <c r="R503" s="13" t="n">
        <v>1</v>
      </c>
      <c r="S503" s="14" t="n">
        <v>1.96</v>
      </c>
      <c r="T503" s="14" t="n">
        <v>0.27</v>
      </c>
      <c r="U503" s="26">
        <f>IF(X503&gt;='Methodology &amp; Assumptions'!$B$7, "Tier 1 Critical GIDA (Score ≥ 50.0)", IF(X503&gt;='Methodology &amp; Assumptions'!$B$8, "Tier 2 High GIDA (Score 40.0–49.9)", "Tier 3 Moderate GIDA (Score &lt; 40.0)"))</f>
        <v/>
      </c>
      <c r="V503" s="26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W503" s="28" t="n">
        <v>0.07200000000000001</v>
      </c>
      <c r="X503" s="14" t="n">
        <v>46.66</v>
      </c>
      <c r="Y503" s="14">
        <f>ROUND(MIN(100, (X503/69.91)*100), 2)</f>
        <v/>
      </c>
    </row>
    <row r="504">
      <c r="A504" s="10" t="n">
        <v>4</v>
      </c>
      <c r="B504" s="10" t="n">
        <v>500</v>
      </c>
      <c r="C504" s="10" t="n">
        <v>3500</v>
      </c>
      <c r="D504" s="10" t="inlineStr">
        <is>
          <t>1908823004</t>
        </is>
      </c>
      <c r="E504" s="26" t="inlineStr">
        <is>
          <t>Bangsamoro Autonomous Region In Muslim Mindanao (BARMM)</t>
        </is>
      </c>
      <c r="F504" s="26" t="inlineStr">
        <is>
          <t>Maguindanao del Sur</t>
        </is>
      </c>
      <c r="G504" s="26" t="inlineStr">
        <is>
          <t>Sultan Sa Barongis</t>
        </is>
      </c>
      <c r="H504" s="26" t="inlineStr">
        <is>
          <t>Darampua</t>
        </is>
      </c>
      <c r="I504" s="27" t="n">
        <v>17.255038</v>
      </c>
      <c r="J504" s="27" t="n">
        <v>122.229082</v>
      </c>
      <c r="K504" s="10" t="inlineStr">
        <is>
          <t>R</t>
        </is>
      </c>
      <c r="L504" s="12" t="n">
        <v>2646</v>
      </c>
      <c r="M504" s="14" t="n">
        <v>4.7</v>
      </c>
      <c r="N504" s="12">
        <f>ROUND(L504/M504, 0)</f>
        <v/>
      </c>
      <c r="O504" s="12">
        <f>ROUND(N504*'Methodology &amp; Assumptions'!$B$5, 0)</f>
        <v/>
      </c>
      <c r="P504" s="10" t="inlineStr">
        <is>
          <t>Single Carrier (Band n50, 100MHz TDD)</t>
        </is>
      </c>
      <c r="Q504" s="13">
        <f>ROUNDUP(O504/'Methodology &amp; Assumptions'!$B$6, 0)</f>
        <v/>
      </c>
      <c r="R504" s="13" t="n">
        <v>1</v>
      </c>
      <c r="S504" s="14" t="n">
        <v>29.44</v>
      </c>
      <c r="T504" s="14" t="n">
        <v>34.32</v>
      </c>
      <c r="U504" s="26">
        <f>IF(X504&gt;='Methodology &amp; Assumptions'!$B$7, "Tier 1 Critical GIDA (Score ≥ 50.0)", IF(X504&gt;='Methodology &amp; Assumptions'!$B$8, "Tier 2 High GIDA (Score 40.0–49.9)", "Tier 3 Moderate GIDA (Score &lt; 40.0)"))</f>
        <v/>
      </c>
      <c r="V504" s="26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W504" s="28" t="n">
        <v>0.11</v>
      </c>
      <c r="X504" s="14" t="n">
        <v>46.65</v>
      </c>
      <c r="Y504" s="14">
        <f>ROUND(MIN(100, (X504/69.91)*100), 2)</f>
        <v/>
      </c>
    </row>
    <row r="505">
      <c r="A505" s="10" t="n">
        <v>4</v>
      </c>
      <c r="B505" s="10" t="n">
        <v>501</v>
      </c>
      <c r="C505" s="10" t="n">
        <v>3501</v>
      </c>
      <c r="D505" s="10" t="inlineStr">
        <is>
          <t>0907307001</t>
        </is>
      </c>
      <c r="E505" s="26" t="inlineStr">
        <is>
          <t>Region IX (Zamboanga Peninsula)</t>
        </is>
      </c>
      <c r="F505" s="26" t="inlineStr">
        <is>
          <t>Zamboanga del Sur</t>
        </is>
      </c>
      <c r="G505" s="26" t="inlineStr">
        <is>
          <t>Dumalinao</t>
        </is>
      </c>
      <c r="H505" s="26" t="inlineStr">
        <is>
          <t>Bag-ong Misamis</t>
        </is>
      </c>
      <c r="I505" s="27" t="n">
        <v>7.758036</v>
      </c>
      <c r="J505" s="27" t="n">
        <v>123.355849</v>
      </c>
      <c r="K505" s="10" t="inlineStr">
        <is>
          <t>R</t>
        </is>
      </c>
      <c r="L505" s="12" t="n">
        <v>250</v>
      </c>
      <c r="M505" s="14" t="n">
        <v>3.9</v>
      </c>
      <c r="N505" s="12">
        <f>ROUND(L505/M505, 0)</f>
        <v/>
      </c>
      <c r="O505" s="12">
        <f>ROUND(N505*'Methodology &amp; Assumptions'!$B$5, 0)</f>
        <v/>
      </c>
      <c r="P505" s="10" t="inlineStr">
        <is>
          <t>Single Carrier (Band n50, 100MHz TDD)</t>
        </is>
      </c>
      <c r="Q505" s="13">
        <f>ROUNDUP(O505/'Methodology &amp; Assumptions'!$B$6, 0)</f>
        <v/>
      </c>
      <c r="R505" s="13" t="n">
        <v>1</v>
      </c>
      <c r="S505" s="14" t="n">
        <v>12.25</v>
      </c>
      <c r="T505" s="14" t="n">
        <v>6.45</v>
      </c>
      <c r="U505" s="26">
        <f>IF(X505&gt;='Methodology &amp; Assumptions'!$B$7, "Tier 1 Critical GIDA (Score ≥ 50.0)", IF(X505&gt;='Methodology &amp; Assumptions'!$B$8, "Tier 2 High GIDA (Score 40.0–49.9)", "Tier 3 Moderate GIDA (Score &lt; 40.0)"))</f>
        <v/>
      </c>
      <c r="V505" s="26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W505" s="28" t="n">
        <v>0.11</v>
      </c>
      <c r="X505" s="14" t="n">
        <v>46.65</v>
      </c>
      <c r="Y505" s="14">
        <f>ROUND(MIN(100, (X505/69.91)*100), 2)</f>
        <v/>
      </c>
    </row>
    <row r="506">
      <c r="A506" s="10" t="n">
        <v>4</v>
      </c>
      <c r="B506" s="10" t="n">
        <v>502</v>
      </c>
      <c r="C506" s="10" t="n">
        <v>3502</v>
      </c>
      <c r="D506" s="10" t="inlineStr">
        <is>
          <t>1908713004</t>
        </is>
      </c>
      <c r="E506" s="26" t="inlineStr">
        <is>
          <t>Bangsamoro Autonomous Region In Muslim Mindanao (BARMM)</t>
        </is>
      </c>
      <c r="F506" s="26" t="inlineStr">
        <is>
          <t>Maguindanao del Norte</t>
        </is>
      </c>
      <c r="G506" s="26" t="inlineStr">
        <is>
          <t>Upi</t>
        </is>
      </c>
      <c r="H506" s="26" t="inlineStr">
        <is>
          <t>Borongotan</t>
        </is>
      </c>
      <c r="I506" s="27" t="n">
        <v>17.254019</v>
      </c>
      <c r="J506" s="27" t="n">
        <v>122.228063</v>
      </c>
      <c r="K506" s="10" t="inlineStr">
        <is>
          <t>R</t>
        </is>
      </c>
      <c r="L506" s="12" t="n">
        <v>8927</v>
      </c>
      <c r="M506" s="14" t="n">
        <v>4.3</v>
      </c>
      <c r="N506" s="12">
        <f>ROUND(L506/M506, 0)</f>
        <v/>
      </c>
      <c r="O506" s="12">
        <f>ROUND(N506*'Methodology &amp; Assumptions'!$B$5, 0)</f>
        <v/>
      </c>
      <c r="P506" s="10" t="inlineStr">
        <is>
          <t>Single Carrier (Band n50, 100MHz TDD)</t>
        </is>
      </c>
      <c r="Q506" s="13">
        <f>ROUNDUP(O506/'Methodology &amp; Assumptions'!$B$6, 0)</f>
        <v/>
      </c>
      <c r="R506" s="13" t="n">
        <v>1</v>
      </c>
      <c r="S506" s="14" t="n">
        <v>29.29</v>
      </c>
      <c r="T506" s="14" t="n">
        <v>34.19</v>
      </c>
      <c r="U506" s="26">
        <f>IF(X506&gt;='Methodology &amp; Assumptions'!$B$7, "Tier 1 Critical GIDA (Score ≥ 50.0)", IF(X506&gt;='Methodology &amp; Assumptions'!$B$8, "Tier 2 High GIDA (Score 40.0–49.9)", "Tier 3 Moderate GIDA (Score &lt; 40.0)"))</f>
        <v/>
      </c>
      <c r="V506" s="26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W506" s="28" t="n">
        <v>0.11</v>
      </c>
      <c r="X506" s="14" t="n">
        <v>46.65</v>
      </c>
      <c r="Y506" s="14">
        <f>ROUND(MIN(100, (X506/69.91)*100), 2)</f>
        <v/>
      </c>
    </row>
    <row r="507">
      <c r="A507" s="10" t="n">
        <v>4</v>
      </c>
      <c r="B507" s="10" t="n">
        <v>503</v>
      </c>
      <c r="C507" s="10" t="n">
        <v>3503</v>
      </c>
      <c r="D507" s="10" t="inlineStr">
        <is>
          <t>0402106038</t>
        </is>
      </c>
      <c r="E507" s="26" t="inlineStr">
        <is>
          <t>Region IV-A (CALABARZON)</t>
        </is>
      </c>
      <c r="F507" s="26" t="inlineStr">
        <is>
          <t>Cavite</t>
        </is>
      </c>
      <c r="G507" s="26" t="inlineStr">
        <is>
          <t>City of Dasmariñas</t>
        </is>
      </c>
      <c r="H507" s="26" t="inlineStr">
        <is>
          <t>San Roque</t>
        </is>
      </c>
      <c r="I507" s="27" t="n">
        <v>14.332323</v>
      </c>
      <c r="J507" s="27" t="n">
        <v>120.992654</v>
      </c>
      <c r="K507" s="10" t="inlineStr">
        <is>
          <t>R</t>
        </is>
      </c>
      <c r="L507" s="12" t="n">
        <v>3006</v>
      </c>
      <c r="M507" s="14" t="n">
        <v>3.4</v>
      </c>
      <c r="N507" s="12">
        <f>ROUND(L507/M507, 0)</f>
        <v/>
      </c>
      <c r="O507" s="12">
        <f>ROUND(N507*'Methodology &amp; Assumptions'!$B$5, 0)</f>
        <v/>
      </c>
      <c r="P507" s="10" t="inlineStr">
        <is>
          <t>Single Carrier (Band n50, 100MHz TDD)</t>
        </is>
      </c>
      <c r="Q507" s="13">
        <f>ROUNDUP(O507/'Methodology &amp; Assumptions'!$B$6, 0)</f>
        <v/>
      </c>
      <c r="R507" s="13" t="n">
        <v>1</v>
      </c>
      <c r="S507" s="14" t="n">
        <v>1.66</v>
      </c>
      <c r="T507" s="14" t="n">
        <v>2.96</v>
      </c>
      <c r="U507" s="26">
        <f>IF(X507&gt;='Methodology &amp; Assumptions'!$B$7, "Tier 1 Critical GIDA (Score ≥ 50.0)", IF(X507&gt;='Methodology &amp; Assumptions'!$B$8, "Tier 2 High GIDA (Score 40.0–49.9)", "Tier 3 Moderate GIDA (Score &lt; 40.0)"))</f>
        <v/>
      </c>
      <c r="V507" s="26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W507" s="28" t="n">
        <v>0.07200000000000001</v>
      </c>
      <c r="X507" s="14" t="n">
        <v>46.64</v>
      </c>
      <c r="Y507" s="14">
        <f>ROUND(MIN(100, (X507/69.91)*100), 2)</f>
        <v/>
      </c>
    </row>
    <row r="508">
      <c r="A508" s="10" t="n">
        <v>4</v>
      </c>
      <c r="B508" s="10" t="n">
        <v>504</v>
      </c>
      <c r="C508" s="10" t="n">
        <v>3504</v>
      </c>
      <c r="D508" s="10" t="inlineStr">
        <is>
          <t>0402104015</t>
        </is>
      </c>
      <c r="E508" s="26" t="inlineStr">
        <is>
          <t>Region IV-A (CALABARZON)</t>
        </is>
      </c>
      <c r="F508" s="26" t="inlineStr">
        <is>
          <t>Cavite</t>
        </is>
      </c>
      <c r="G508" s="26" t="inlineStr">
        <is>
          <t>Carmona</t>
        </is>
      </c>
      <c r="H508" s="26" t="inlineStr">
        <is>
          <t>Barangay 4</t>
        </is>
      </c>
      <c r="I508" s="27" t="n">
        <v>14.298881</v>
      </c>
      <c r="J508" s="27" t="n">
        <v>121.048991</v>
      </c>
      <c r="K508" s="10" t="inlineStr">
        <is>
          <t>R</t>
        </is>
      </c>
      <c r="L508" s="12" t="n">
        <v>684</v>
      </c>
      <c r="M508" s="14" t="n">
        <v>3.4</v>
      </c>
      <c r="N508" s="12">
        <f>ROUND(L508/M508, 0)</f>
        <v/>
      </c>
      <c r="O508" s="12">
        <f>ROUND(N508*'Methodology &amp; Assumptions'!$B$5, 0)</f>
        <v/>
      </c>
      <c r="P508" s="10" t="inlineStr">
        <is>
          <t>Single Carrier (Band n50, 100MHz TDD)</t>
        </is>
      </c>
      <c r="Q508" s="13">
        <f>ROUNDUP(O508/'Methodology &amp; Assumptions'!$B$6, 0)</f>
        <v/>
      </c>
      <c r="R508" s="13" t="n">
        <v>1</v>
      </c>
      <c r="S508" s="14" t="n">
        <v>1.17</v>
      </c>
      <c r="T508" s="14" t="n">
        <v>1.34</v>
      </c>
      <c r="U508" s="26">
        <f>IF(X508&gt;='Methodology &amp; Assumptions'!$B$7, "Tier 1 Critical GIDA (Score ≥ 50.0)", IF(X508&gt;='Methodology &amp; Assumptions'!$B$8, "Tier 2 High GIDA (Score 40.0–49.9)", "Tier 3 Moderate GIDA (Score &lt; 40.0)"))</f>
        <v/>
      </c>
      <c r="V508" s="26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W508" s="28" t="n">
        <v>0.07200000000000001</v>
      </c>
      <c r="X508" s="14" t="n">
        <v>46.64</v>
      </c>
      <c r="Y508" s="14">
        <f>ROUND(MIN(100, (X508/69.91)*100), 2)</f>
        <v/>
      </c>
    </row>
    <row r="509">
      <c r="A509" s="10" t="n">
        <v>4</v>
      </c>
      <c r="B509" s="10" t="n">
        <v>505</v>
      </c>
      <c r="C509" s="10" t="n">
        <v>3505</v>
      </c>
      <c r="D509" s="10" t="inlineStr">
        <is>
          <t>1380200015</t>
        </is>
      </c>
      <c r="E509" s="26" t="inlineStr">
        <is>
          <t>National Capital Region (NCR)</t>
        </is>
      </c>
      <c r="F509" s="26" t="inlineStr">
        <is>
          <t>Fourth District (Not a Province)</t>
        </is>
      </c>
      <c r="G509" s="26" t="inlineStr">
        <is>
          <t>City of Las Piñas</t>
        </is>
      </c>
      <c r="H509" s="26" t="inlineStr">
        <is>
          <t>Pilar</t>
        </is>
      </c>
      <c r="I509" s="27" t="n">
        <v>14.412261</v>
      </c>
      <c r="J509" s="27" t="n">
        <v>121.005859</v>
      </c>
      <c r="K509" s="10" t="inlineStr">
        <is>
          <t>U</t>
        </is>
      </c>
      <c r="L509" s="12" t="n">
        <v>30235</v>
      </c>
      <c r="M509" s="14" t="n">
        <v>3.8</v>
      </c>
      <c r="N509" s="12">
        <f>ROUND(L509/M509, 0)</f>
        <v/>
      </c>
      <c r="O509" s="12">
        <f>ROUND(N509*'Methodology &amp; Assumptions'!$B$5, 0)</f>
        <v/>
      </c>
      <c r="P509" s="10" t="inlineStr">
        <is>
          <t>Single Carrier (Band n50, 100MHz TDD)</t>
        </is>
      </c>
      <c r="Q509" s="13">
        <f>ROUNDUP(O509/'Methodology &amp; Assumptions'!$B$6, 0)</f>
        <v/>
      </c>
      <c r="R509" s="13" t="n">
        <v>1</v>
      </c>
      <c r="S509" s="14" t="n">
        <v>1.87</v>
      </c>
      <c r="T509" s="14" t="n">
        <v>1.87</v>
      </c>
      <c r="U509" s="26">
        <f>IF(X509&gt;='Methodology &amp; Assumptions'!$B$7, "Tier 1 Critical GIDA (Score ≥ 50.0)", IF(X509&gt;='Methodology &amp; Assumptions'!$B$8, "Tier 2 High GIDA (Score 40.0–49.9)", "Tier 3 Moderate GIDA (Score &lt; 40.0)"))</f>
        <v/>
      </c>
      <c r="V509" s="26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W509" s="28" t="n">
        <v>0.109</v>
      </c>
      <c r="X509" s="14" t="n">
        <v>46.63</v>
      </c>
      <c r="Y509" s="14">
        <f>ROUND(MIN(100, (X509/69.91)*100), 2)</f>
        <v/>
      </c>
    </row>
    <row r="510">
      <c r="A510" s="10" t="n">
        <v>4</v>
      </c>
      <c r="B510" s="10" t="n">
        <v>506</v>
      </c>
      <c r="C510" s="10" t="n">
        <v>3506</v>
      </c>
      <c r="D510" s="10" t="inlineStr">
        <is>
          <t>PH0003506</t>
        </is>
      </c>
      <c r="E510" s="26" t="inlineStr">
        <is>
          <t>CAR</t>
        </is>
      </c>
      <c r="F510" s="26" t="inlineStr">
        <is>
          <t>Benguet</t>
        </is>
      </c>
      <c r="G510" s="26" t="inlineStr">
        <is>
          <t>Baguio City</t>
        </is>
      </c>
      <c r="H510" s="26" t="inlineStr">
        <is>
          <t>Session Road Area</t>
        </is>
      </c>
      <c r="I510" s="27" t="n">
        <v>16.375279</v>
      </c>
      <c r="J510" s="27" t="n">
        <v>120.542384</v>
      </c>
      <c r="K510" s="10" t="inlineStr">
        <is>
          <t>R</t>
        </is>
      </c>
      <c r="L510" s="12" t="n">
        <v>2260</v>
      </c>
      <c r="M510" s="14" t="n">
        <v>3.5</v>
      </c>
      <c r="N510" s="12">
        <f>ROUND(L510/M510, 0)</f>
        <v/>
      </c>
      <c r="O510" s="12">
        <f>ROUND(N510*'Methodology &amp; Assumptions'!$B$5, 0)</f>
        <v/>
      </c>
      <c r="P510" s="10" t="inlineStr">
        <is>
          <t>Single Carrier (Band n50, 100MHz TDD)</t>
        </is>
      </c>
      <c r="Q510" s="13">
        <f>ROUNDUP(O510/'Methodology &amp; Assumptions'!$B$6, 0)</f>
        <v/>
      </c>
      <c r="R510" s="13" t="n">
        <v>1</v>
      </c>
      <c r="S510" s="14" t="n">
        <v>2.22</v>
      </c>
      <c r="T510" s="14" t="n">
        <v>0.42</v>
      </c>
      <c r="U510" s="26">
        <f>IF(X510&gt;='Methodology &amp; Assumptions'!$B$7, "Tier 1 Critical GIDA (Score ≥ 50.0)", IF(X510&gt;='Methodology &amp; Assumptions'!$B$8, "Tier 2 High GIDA (Score 40.0–49.9)", "Tier 3 Moderate GIDA (Score &lt; 40.0)"))</f>
        <v/>
      </c>
      <c r="V510" s="26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W510" s="28" t="n">
        <v>0.221</v>
      </c>
      <c r="X510" s="14" t="n">
        <v>46.63</v>
      </c>
      <c r="Y510" s="14">
        <f>ROUND(MIN(100, (X510/69.91)*100), 2)</f>
        <v/>
      </c>
    </row>
    <row r="511">
      <c r="A511" s="10" t="n">
        <v>4</v>
      </c>
      <c r="B511" s="10" t="n">
        <v>507</v>
      </c>
      <c r="C511" s="10" t="n">
        <v>3507</v>
      </c>
      <c r="D511" s="10" t="inlineStr">
        <is>
          <t>1381300097</t>
        </is>
      </c>
      <c r="E511" s="26" t="inlineStr">
        <is>
          <t>National Capital Region (NCR)</t>
        </is>
      </c>
      <c r="F511" s="26" t="inlineStr">
        <is>
          <t>Second District (Not a Province)</t>
        </is>
      </c>
      <c r="G511" s="26" t="inlineStr">
        <is>
          <t>Quezon City</t>
        </is>
      </c>
      <c r="H511" s="26" t="inlineStr">
        <is>
          <t>San Bartolome</t>
        </is>
      </c>
      <c r="I511" s="27" t="n">
        <v>14.71021</v>
      </c>
      <c r="J511" s="27" t="n">
        <v>121.03186</v>
      </c>
      <c r="K511" s="10" t="inlineStr">
        <is>
          <t>U</t>
        </is>
      </c>
      <c r="L511" s="12" t="n">
        <v>53294</v>
      </c>
      <c r="M511" s="14" t="n">
        <v>3.8</v>
      </c>
      <c r="N511" s="12">
        <f>ROUND(L511/M511, 0)</f>
        <v/>
      </c>
      <c r="O511" s="12">
        <f>ROUND(N511*'Methodology &amp; Assumptions'!$B$5, 0)</f>
        <v/>
      </c>
      <c r="P511" s="10" t="inlineStr">
        <is>
          <t>Single Carrier (Band n50, 100MHz TDD)</t>
        </is>
      </c>
      <c r="Q511" s="13">
        <f>ROUNDUP(O511/'Methodology &amp; Assumptions'!$B$6, 0)</f>
        <v/>
      </c>
      <c r="R511" s="13" t="n">
        <v>1</v>
      </c>
      <c r="S511" s="14" t="n">
        <v>1.67</v>
      </c>
      <c r="T511" s="14" t="n">
        <v>0.79</v>
      </c>
      <c r="U511" s="26">
        <f>IF(X511&gt;='Methodology &amp; Assumptions'!$B$7, "Tier 1 Critical GIDA (Score ≥ 50.0)", IF(X511&gt;='Methodology &amp; Assumptions'!$B$8, "Tier 2 High GIDA (Score 40.0–49.9)", "Tier 3 Moderate GIDA (Score &lt; 40.0)"))</f>
        <v/>
      </c>
      <c r="V511" s="26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W511" s="28" t="n">
        <v>0.109</v>
      </c>
      <c r="X511" s="14" t="n">
        <v>46.62</v>
      </c>
      <c r="Y511" s="14">
        <f>ROUND(MIN(100, (X511/69.91)*100), 2)</f>
        <v/>
      </c>
    </row>
    <row r="512">
      <c r="A512" s="10" t="n">
        <v>4</v>
      </c>
      <c r="B512" s="10" t="n">
        <v>508</v>
      </c>
      <c r="C512" s="10" t="n">
        <v>3508</v>
      </c>
      <c r="D512" s="10" t="inlineStr">
        <is>
          <t>0201525004</t>
        </is>
      </c>
      <c r="E512" s="26" t="inlineStr">
        <is>
          <t>Region II (Cagayan Valley)</t>
        </is>
      </c>
      <c r="F512" s="26" t="inlineStr">
        <is>
          <t>Cagayan</t>
        </is>
      </c>
      <c r="G512" s="26" t="inlineStr">
        <is>
          <t>Santa Teresita</t>
        </is>
      </c>
      <c r="H512" s="26" t="inlineStr">
        <is>
          <t>Dungeg</t>
        </is>
      </c>
      <c r="I512" s="27" t="n">
        <v>18.234905</v>
      </c>
      <c r="J512" s="27" t="n">
        <v>121.920521</v>
      </c>
      <c r="K512" s="10" t="inlineStr">
        <is>
          <t>R</t>
        </is>
      </c>
      <c r="L512" s="12" t="n">
        <v>636</v>
      </c>
      <c r="M512" s="14" t="n">
        <v>3.9</v>
      </c>
      <c r="N512" s="12">
        <f>ROUND(L512/M512, 0)</f>
        <v/>
      </c>
      <c r="O512" s="12">
        <f>ROUND(N512*'Methodology &amp; Assumptions'!$B$5, 0)</f>
        <v/>
      </c>
      <c r="P512" s="10" t="inlineStr">
        <is>
          <t>Single Carrier (Band n50, 100MHz TDD)</t>
        </is>
      </c>
      <c r="Q512" s="13">
        <f>ROUNDUP(O512/'Methodology &amp; Assumptions'!$B$6, 0)</f>
        <v/>
      </c>
      <c r="R512" s="13" t="n">
        <v>1</v>
      </c>
      <c r="S512" s="14" t="n">
        <v>1.72</v>
      </c>
      <c r="T512" s="14" t="n">
        <v>0.67</v>
      </c>
      <c r="U512" s="26">
        <f>IF(X512&gt;='Methodology &amp; Assumptions'!$B$7, "Tier 1 Critical GIDA (Score ≥ 50.0)", IF(X512&gt;='Methodology &amp; Assumptions'!$B$8, "Tier 2 High GIDA (Score 40.0–49.9)", "Tier 3 Moderate GIDA (Score &lt; 40.0)"))</f>
        <v/>
      </c>
      <c r="V512" s="26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W512" s="28" t="n">
        <v>0.083</v>
      </c>
      <c r="X512" s="14" t="n">
        <v>46.62</v>
      </c>
      <c r="Y512" s="14">
        <f>ROUND(MIN(100, (X512/69.91)*100), 2)</f>
        <v/>
      </c>
    </row>
    <row r="513">
      <c r="A513" s="10" t="n">
        <v>4</v>
      </c>
      <c r="B513" s="10" t="n">
        <v>509</v>
      </c>
      <c r="C513" s="10" t="n">
        <v>3509</v>
      </c>
      <c r="D513" s="10" t="inlineStr">
        <is>
          <t>0201503007</t>
        </is>
      </c>
      <c r="E513" s="26" t="inlineStr">
        <is>
          <t>Region II (Cagayan Valley)</t>
        </is>
      </c>
      <c r="F513" s="26" t="inlineStr">
        <is>
          <t>Cagayan</t>
        </is>
      </c>
      <c r="G513" s="26" t="inlineStr">
        <is>
          <t>Allacapan</t>
        </is>
      </c>
      <c r="H513" s="26" t="inlineStr">
        <is>
          <t>Capanickian Norte</t>
        </is>
      </c>
      <c r="I513" s="27" t="n">
        <v>18.21442</v>
      </c>
      <c r="J513" s="27" t="n">
        <v>121.50348</v>
      </c>
      <c r="K513" s="10" t="inlineStr">
        <is>
          <t>R</t>
        </is>
      </c>
      <c r="L513" s="12" t="n">
        <v>1222</v>
      </c>
      <c r="M513" s="14" t="n">
        <v>3.9</v>
      </c>
      <c r="N513" s="12">
        <f>ROUND(L513/M513, 0)</f>
        <v/>
      </c>
      <c r="O513" s="12">
        <f>ROUND(N513*'Methodology &amp; Assumptions'!$B$5, 0)</f>
        <v/>
      </c>
      <c r="P513" s="10" t="inlineStr">
        <is>
          <t>Single Carrier (Band n50, 100MHz TDD)</t>
        </is>
      </c>
      <c r="Q513" s="13">
        <f>ROUNDUP(O513/'Methodology &amp; Assumptions'!$B$6, 0)</f>
        <v/>
      </c>
      <c r="R513" s="13" t="n">
        <v>1</v>
      </c>
      <c r="S513" s="14" t="n">
        <v>5.95</v>
      </c>
      <c r="T513" s="14" t="n">
        <v>5.49</v>
      </c>
      <c r="U513" s="26">
        <f>IF(X513&gt;='Methodology &amp; Assumptions'!$B$7, "Tier 1 Critical GIDA (Score ≥ 50.0)", IF(X513&gt;='Methodology &amp; Assumptions'!$B$8, "Tier 2 High GIDA (Score 40.0–49.9)", "Tier 3 Moderate GIDA (Score &lt; 40.0)"))</f>
        <v/>
      </c>
      <c r="V513" s="26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W513" s="28" t="n">
        <v>0.083</v>
      </c>
      <c r="X513" s="14" t="n">
        <v>46.61</v>
      </c>
      <c r="Y513" s="14">
        <f>ROUND(MIN(100, (X513/69.91)*100), 2)</f>
        <v/>
      </c>
    </row>
    <row r="514">
      <c r="A514" s="10" t="n">
        <v>4</v>
      </c>
      <c r="B514" s="10" t="n">
        <v>510</v>
      </c>
      <c r="C514" s="10" t="n">
        <v>3510</v>
      </c>
      <c r="D514" s="10" t="inlineStr">
        <is>
          <t>1907004002</t>
        </is>
      </c>
      <c r="E514" s="26" t="inlineStr">
        <is>
          <t>Bangsamoro Autonomous Region In Muslim Mindanao (BARMM)</t>
        </is>
      </c>
      <c r="F514" s="26" t="inlineStr">
        <is>
          <t>Tawi-Tawi</t>
        </is>
      </c>
      <c r="G514" s="26" t="inlineStr">
        <is>
          <t>Simunul</t>
        </is>
      </c>
      <c r="H514" s="26" t="inlineStr">
        <is>
          <t>Manuk Mangkaw</t>
        </is>
      </c>
      <c r="I514" s="27" t="n">
        <v>17.255832</v>
      </c>
      <c r="J514" s="27" t="n">
        <v>122.229876</v>
      </c>
      <c r="K514" s="10" t="inlineStr">
        <is>
          <t>R</t>
        </is>
      </c>
      <c r="L514" s="12" t="n">
        <v>4168</v>
      </c>
      <c r="M514" s="14" t="n">
        <v>5.8</v>
      </c>
      <c r="N514" s="12">
        <f>ROUND(L514/M514, 0)</f>
        <v/>
      </c>
      <c r="O514" s="12">
        <f>ROUND(N514*'Methodology &amp; Assumptions'!$B$5, 0)</f>
        <v/>
      </c>
      <c r="P514" s="10" t="inlineStr">
        <is>
          <t>Single Carrier (Band n50, 100MHz TDD)</t>
        </is>
      </c>
      <c r="Q514" s="13">
        <f>ROUNDUP(O514/'Methodology &amp; Assumptions'!$B$6, 0)</f>
        <v/>
      </c>
      <c r="R514" s="13" t="n">
        <v>1</v>
      </c>
      <c r="S514" s="14" t="n">
        <v>29.57</v>
      </c>
      <c r="T514" s="14" t="n">
        <v>34.43</v>
      </c>
      <c r="U514" s="26">
        <f>IF(X514&gt;='Methodology &amp; Assumptions'!$B$7, "Tier 1 Critical GIDA (Score ≥ 50.0)", IF(X514&gt;='Methodology &amp; Assumptions'!$B$8, "Tier 2 High GIDA (Score 40.0–49.9)", "Tier 3 Moderate GIDA (Score &lt; 40.0)"))</f>
        <v/>
      </c>
      <c r="V514" s="26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W514" s="28" t="n">
        <v>0.11</v>
      </c>
      <c r="X514" s="14" t="n">
        <v>46.6</v>
      </c>
      <c r="Y514" s="14">
        <f>ROUND(MIN(100, (X514/69.91)*100), 2)</f>
        <v/>
      </c>
    </row>
    <row r="515">
      <c r="A515" s="10" t="n">
        <v>4</v>
      </c>
      <c r="B515" s="10" t="n">
        <v>511</v>
      </c>
      <c r="C515" s="10" t="n">
        <v>3511</v>
      </c>
      <c r="D515" s="10" t="inlineStr">
        <is>
          <t>PH0003511</t>
        </is>
      </c>
      <c r="E515" s="26" t="inlineStr">
        <is>
          <t>VII</t>
        </is>
      </c>
      <c r="F515" s="26" t="inlineStr">
        <is>
          <t>Cebu</t>
        </is>
      </c>
      <c r="G515" s="26" t="inlineStr">
        <is>
          <t>Cebu City</t>
        </is>
      </c>
      <c r="H515" s="26" t="inlineStr">
        <is>
          <t>Inayawan</t>
        </is>
      </c>
      <c r="I515" s="27" t="n">
        <v>10.271823</v>
      </c>
      <c r="J515" s="27" t="n">
        <v>123.856042</v>
      </c>
      <c r="K515" s="10" t="inlineStr">
        <is>
          <t>R</t>
        </is>
      </c>
      <c r="L515" s="12" t="n">
        <v>2250</v>
      </c>
      <c r="M515" s="14" t="n">
        <v>3.8</v>
      </c>
      <c r="N515" s="12">
        <f>ROUND(L515/M515, 0)</f>
        <v/>
      </c>
      <c r="O515" s="12">
        <f>ROUND(N515*'Methodology &amp; Assumptions'!$B$5, 0)</f>
        <v/>
      </c>
      <c r="P515" s="10" t="inlineStr">
        <is>
          <t>Single Carrier (Band n50, 100MHz TDD)</t>
        </is>
      </c>
      <c r="Q515" s="13">
        <f>ROUNDUP(O515/'Methodology &amp; Assumptions'!$B$6, 0)</f>
        <v/>
      </c>
      <c r="R515" s="13" t="n">
        <v>1</v>
      </c>
      <c r="S515" s="14" t="n">
        <v>1.54</v>
      </c>
      <c r="T515" s="14" t="n">
        <v>0.17</v>
      </c>
      <c r="U515" s="26">
        <f>IF(X515&gt;='Methodology &amp; Assumptions'!$B$7, "Tier 1 Critical GIDA (Score ≥ 50.0)", IF(X515&gt;='Methodology &amp; Assumptions'!$B$8, "Tier 2 High GIDA (Score 40.0–49.9)", "Tier 3 Moderate GIDA (Score &lt; 40.0)"))</f>
        <v/>
      </c>
      <c r="V515" s="26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W515" s="28" t="n">
        <v>0.21</v>
      </c>
      <c r="X515" s="14" t="n">
        <v>46.59</v>
      </c>
      <c r="Y515" s="14">
        <f>ROUND(MIN(100, (X515/69.91)*100), 2)</f>
        <v/>
      </c>
    </row>
    <row r="516">
      <c r="A516" s="10" t="n">
        <v>4</v>
      </c>
      <c r="B516" s="10" t="n">
        <v>512</v>
      </c>
      <c r="C516" s="10" t="n">
        <v>3512</v>
      </c>
      <c r="D516" s="10" t="inlineStr">
        <is>
          <t>1403213043</t>
        </is>
      </c>
      <c r="E516" s="26" t="inlineStr">
        <is>
          <t>Cordillera Administrative Region (CAR)</t>
        </is>
      </c>
      <c r="F516" s="26" t="inlineStr">
        <is>
          <t>Kalinga</t>
        </is>
      </c>
      <c r="G516" s="26" t="inlineStr">
        <is>
          <t>City of Tabuk</t>
        </is>
      </c>
      <c r="H516" s="26" t="inlineStr">
        <is>
          <t>Ipil</t>
        </is>
      </c>
      <c r="I516" s="27" t="n">
        <v>17.439024</v>
      </c>
      <c r="J516" s="27" t="n">
        <v>121.484623</v>
      </c>
      <c r="K516" s="10" t="inlineStr">
        <is>
          <t>R</t>
        </is>
      </c>
      <c r="L516" s="12" t="n">
        <v>3410</v>
      </c>
      <c r="M516" s="14" t="n">
        <v>4.3</v>
      </c>
      <c r="N516" s="12">
        <f>ROUND(L516/M516, 0)</f>
        <v/>
      </c>
      <c r="O516" s="12">
        <f>ROUND(N516*'Methodology &amp; Assumptions'!$B$5, 0)</f>
        <v/>
      </c>
      <c r="P516" s="10" t="inlineStr">
        <is>
          <t>Single Carrier (Band n50, 100MHz TDD)</t>
        </is>
      </c>
      <c r="Q516" s="13">
        <f>ROUNDUP(O516/'Methodology &amp; Assumptions'!$B$6, 0)</f>
        <v/>
      </c>
      <c r="R516" s="13" t="n">
        <v>1</v>
      </c>
      <c r="S516" s="14" t="n">
        <v>4.57</v>
      </c>
      <c r="T516" s="14" t="n">
        <v>0.95</v>
      </c>
      <c r="U516" s="26">
        <f>IF(X516&gt;='Methodology &amp; Assumptions'!$B$7, "Tier 1 Critical GIDA (Score ≥ 50.0)", IF(X516&gt;='Methodology &amp; Assumptions'!$B$8, "Tier 2 High GIDA (Score 40.0–49.9)", "Tier 3 Moderate GIDA (Score &lt; 40.0)"))</f>
        <v/>
      </c>
      <c r="V516" s="26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W516" s="28" t="n">
        <v>0.109</v>
      </c>
      <c r="X516" s="14" t="n">
        <v>46.59</v>
      </c>
      <c r="Y516" s="14">
        <f>ROUND(MIN(100, (X516/69.91)*100), 2)</f>
        <v/>
      </c>
    </row>
    <row r="517">
      <c r="A517" s="10" t="n">
        <v>4</v>
      </c>
      <c r="B517" s="10" t="n">
        <v>513</v>
      </c>
      <c r="C517" s="10" t="n">
        <v>3513</v>
      </c>
      <c r="D517" s="10" t="inlineStr">
        <is>
          <t>1102319024</t>
        </is>
      </c>
      <c r="E517" s="26" t="inlineStr">
        <is>
          <t>Region XI (Davao Region)</t>
        </is>
      </c>
      <c r="F517" s="26" t="inlineStr">
        <is>
          <t>Davao del Norte</t>
        </is>
      </c>
      <c r="G517" s="26" t="inlineStr">
        <is>
          <t>City of Tagum</t>
        </is>
      </c>
      <c r="H517" s="26" t="inlineStr">
        <is>
          <t>Magugpo North</t>
        </is>
      </c>
      <c r="I517" s="27" t="n">
        <v>7.465252</v>
      </c>
      <c r="J517" s="27" t="n">
        <v>125.813781</v>
      </c>
      <c r="K517" s="10" t="inlineStr">
        <is>
          <t>U</t>
        </is>
      </c>
      <c r="L517" s="12" t="n">
        <v>8739</v>
      </c>
      <c r="M517" s="14" t="n">
        <v>3.7</v>
      </c>
      <c r="N517" s="12">
        <f>ROUND(L517/M517, 0)</f>
        <v/>
      </c>
      <c r="O517" s="12">
        <f>ROUND(N517*'Methodology &amp; Assumptions'!$B$5, 0)</f>
        <v/>
      </c>
      <c r="P517" s="10" t="inlineStr">
        <is>
          <t>Single Carrier (Band n50, 100MHz TDD)</t>
        </is>
      </c>
      <c r="Q517" s="13">
        <f>ROUNDUP(O517/'Methodology &amp; Assumptions'!$B$6, 0)</f>
        <v/>
      </c>
      <c r="R517" s="13" t="n">
        <v>1</v>
      </c>
      <c r="S517" s="14" t="n">
        <v>0.82</v>
      </c>
      <c r="T517" s="14" t="n">
        <v>0.25</v>
      </c>
      <c r="U517" s="26">
        <f>IF(X517&gt;='Methodology &amp; Assumptions'!$B$7, "Tier 1 Critical GIDA (Score ≥ 50.0)", IF(X517&gt;='Methodology &amp; Assumptions'!$B$8, "Tier 2 High GIDA (Score 40.0–49.9)", "Tier 3 Moderate GIDA (Score &lt; 40.0)"))</f>
        <v/>
      </c>
      <c r="V517" s="26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W517" s="28" t="n">
        <v>0.174</v>
      </c>
      <c r="X517" s="14" t="n">
        <v>46.58</v>
      </c>
      <c r="Y517" s="14">
        <f>ROUND(MIN(100, (X517/69.91)*100), 2)</f>
        <v/>
      </c>
    </row>
    <row r="518">
      <c r="A518" s="10" t="n">
        <v>4</v>
      </c>
      <c r="B518" s="10" t="n">
        <v>514</v>
      </c>
      <c r="C518" s="10" t="n">
        <v>3514</v>
      </c>
      <c r="D518" s="10" t="inlineStr">
        <is>
          <t>0301412006</t>
        </is>
      </c>
      <c r="E518" s="26" t="inlineStr">
        <is>
          <t>Region III (Central Luzon)</t>
        </is>
      </c>
      <c r="F518" s="26" t="inlineStr">
        <is>
          <t>Bulacan</t>
        </is>
      </c>
      <c r="G518" s="26" t="inlineStr">
        <is>
          <t>City of Meycauayan</t>
        </is>
      </c>
      <c r="H518" s="26" t="inlineStr">
        <is>
          <t>Calvario</t>
        </is>
      </c>
      <c r="I518" s="27" t="n">
        <v>14.733488</v>
      </c>
      <c r="J518" s="27" t="n">
        <v>120.961015</v>
      </c>
      <c r="K518" s="10" t="inlineStr">
        <is>
          <t>U</t>
        </is>
      </c>
      <c r="L518" s="12" t="n">
        <v>5304</v>
      </c>
      <c r="M518" s="14" t="n">
        <v>3.5</v>
      </c>
      <c r="N518" s="12">
        <f>ROUND(L518/M518, 0)</f>
        <v/>
      </c>
      <c r="O518" s="12">
        <f>ROUND(N518*'Methodology &amp; Assumptions'!$B$5, 0)</f>
        <v/>
      </c>
      <c r="P518" s="10" t="inlineStr">
        <is>
          <t>Single Carrier (Band n50, 100MHz TDD)</t>
        </is>
      </c>
      <c r="Q518" s="13">
        <f>ROUNDUP(O518/'Methodology &amp; Assumptions'!$B$6, 0)</f>
        <v/>
      </c>
      <c r="R518" s="13" t="n">
        <v>1</v>
      </c>
      <c r="S518" s="14" t="n">
        <v>0.96</v>
      </c>
      <c r="T518" s="14" t="n">
        <v>0.05</v>
      </c>
      <c r="U518" s="26">
        <f>IF(X518&gt;='Methodology &amp; Assumptions'!$B$7, "Tier 1 Critical GIDA (Score ≥ 50.0)", IF(X518&gt;='Methodology &amp; Assumptions'!$B$8, "Tier 2 High GIDA (Score 40.0–49.9)", "Tier 3 Moderate GIDA (Score &lt; 40.0)"))</f>
        <v/>
      </c>
      <c r="V518" s="26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W518" s="28" t="n">
        <v>0.083</v>
      </c>
      <c r="X518" s="14" t="n">
        <v>46.57</v>
      </c>
      <c r="Y518" s="14">
        <f>ROUND(MIN(100, (X518/69.91)*100), 2)</f>
        <v/>
      </c>
    </row>
    <row r="519">
      <c r="A519" s="10" t="n">
        <v>4</v>
      </c>
      <c r="B519" s="10" t="n">
        <v>515</v>
      </c>
      <c r="C519" s="10" t="n">
        <v>3515</v>
      </c>
      <c r="D519" s="10" t="inlineStr">
        <is>
          <t>0403425026</t>
        </is>
      </c>
      <c r="E519" s="26" t="inlineStr">
        <is>
          <t>Region IV-A (CALABARZON)</t>
        </is>
      </c>
      <c r="F519" s="26" t="inlineStr">
        <is>
          <t>Laguna</t>
        </is>
      </c>
      <c r="G519" s="26" t="inlineStr">
        <is>
          <t>City of San Pedro</t>
        </is>
      </c>
      <c r="H519" s="26" t="inlineStr">
        <is>
          <t>Pacita 1</t>
        </is>
      </c>
      <c r="I519" s="27" t="n">
        <v>14.244616</v>
      </c>
      <c r="J519" s="27" t="n">
        <v>121.30077</v>
      </c>
      <c r="K519" s="10" t="inlineStr">
        <is>
          <t>U</t>
        </is>
      </c>
      <c r="L519" s="12" t="n">
        <v>24752</v>
      </c>
      <c r="M519" s="14" t="n">
        <v>3.3</v>
      </c>
      <c r="N519" s="12">
        <f>ROUND(L519/M519, 0)</f>
        <v/>
      </c>
      <c r="O519" s="12">
        <f>ROUND(N519*'Methodology &amp; Assumptions'!$B$5, 0)</f>
        <v/>
      </c>
      <c r="P519" s="10" t="inlineStr">
        <is>
          <t>Single Carrier (Band n50, 100MHz TDD)</t>
        </is>
      </c>
      <c r="Q519" s="13">
        <f>ROUNDUP(O519/'Methodology &amp; Assumptions'!$B$6, 0)</f>
        <v/>
      </c>
      <c r="R519" s="13" t="n">
        <v>1</v>
      </c>
      <c r="S519" s="14" t="n">
        <v>6.54</v>
      </c>
      <c r="T519" s="14" t="n">
        <v>6.68</v>
      </c>
      <c r="U519" s="26">
        <f>IF(X519&gt;='Methodology &amp; Assumptions'!$B$7, "Tier 1 Critical GIDA (Score ≥ 50.0)", IF(X519&gt;='Methodology &amp; Assumptions'!$B$8, "Tier 2 High GIDA (Score 40.0–49.9)", "Tier 3 Moderate GIDA (Score &lt; 40.0)"))</f>
        <v/>
      </c>
      <c r="V519" s="26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W519" s="28" t="n">
        <v>0.07200000000000001</v>
      </c>
      <c r="X519" s="14" t="n">
        <v>46.57</v>
      </c>
      <c r="Y519" s="14">
        <f>ROUND(MIN(100, (X519/69.91)*100), 2)</f>
        <v/>
      </c>
    </row>
    <row r="520">
      <c r="A520" s="10" t="n">
        <v>4</v>
      </c>
      <c r="B520" s="10" t="n">
        <v>516</v>
      </c>
      <c r="C520" s="10" t="n">
        <v>3516</v>
      </c>
      <c r="D520" s="10" t="inlineStr">
        <is>
          <t>1381200030</t>
        </is>
      </c>
      <c r="E520" s="26" t="inlineStr">
        <is>
          <t>National Capital Region (NCR)</t>
        </is>
      </c>
      <c r="F520" s="26" t="inlineStr">
        <is>
          <t>Second District (Not a Province)</t>
        </is>
      </c>
      <c r="G520" s="26" t="inlineStr">
        <is>
          <t>City of Pasig</t>
        </is>
      </c>
      <c r="H520" s="26" t="inlineStr">
        <is>
          <t>Santa Lucia</t>
        </is>
      </c>
      <c r="I520" s="27" t="n">
        <v>14.586922</v>
      </c>
      <c r="J520" s="27" t="n">
        <v>121.098336</v>
      </c>
      <c r="K520" s="10" t="inlineStr">
        <is>
          <t>U</t>
        </is>
      </c>
      <c r="L520" s="12" t="n">
        <v>46467</v>
      </c>
      <c r="M520" s="14" t="n">
        <v>3.4</v>
      </c>
      <c r="N520" s="12">
        <f>ROUND(L520/M520, 0)</f>
        <v/>
      </c>
      <c r="O520" s="12">
        <f>ROUND(N520*'Methodology &amp; Assumptions'!$B$5, 0)</f>
        <v/>
      </c>
      <c r="P520" s="10" t="inlineStr">
        <is>
          <t>Single Carrier (Band n50, 100MHz TDD)</t>
        </is>
      </c>
      <c r="Q520" s="13">
        <f>ROUNDUP(O520/'Methodology &amp; Assumptions'!$B$6, 0)</f>
        <v/>
      </c>
      <c r="R520" s="13" t="n">
        <v>1</v>
      </c>
      <c r="S520" s="14" t="n">
        <v>1.61</v>
      </c>
      <c r="T520" s="14" t="n">
        <v>0.31</v>
      </c>
      <c r="U520" s="26">
        <f>IF(X520&gt;='Methodology &amp; Assumptions'!$B$7, "Tier 1 Critical GIDA (Score ≥ 50.0)", IF(X520&gt;='Methodology &amp; Assumptions'!$B$8, "Tier 2 High GIDA (Score 40.0–49.9)", "Tier 3 Moderate GIDA (Score &lt; 40.0)"))</f>
        <v/>
      </c>
      <c r="V520" s="26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W520" s="28" t="n">
        <v>0.109</v>
      </c>
      <c r="X520" s="14" t="n">
        <v>46.56</v>
      </c>
      <c r="Y520" s="14">
        <f>ROUND(MIN(100, (X520/69.91)*100), 2)</f>
        <v/>
      </c>
    </row>
    <row r="521">
      <c r="A521" s="10" t="n">
        <v>4</v>
      </c>
      <c r="B521" s="10" t="n">
        <v>517</v>
      </c>
      <c r="C521" s="10" t="n">
        <v>3517</v>
      </c>
      <c r="D521" s="10" t="inlineStr">
        <is>
          <t>PH0003517</t>
        </is>
      </c>
      <c r="E521" s="26" t="inlineStr">
        <is>
          <t>III</t>
        </is>
      </c>
      <c r="F521" s="26" t="inlineStr">
        <is>
          <t>Pampanga</t>
        </is>
      </c>
      <c r="G521" s="26" t="inlineStr">
        <is>
          <t>San Fernando City</t>
        </is>
      </c>
      <c r="H521" s="26" t="inlineStr">
        <is>
          <t>San Jose</t>
        </is>
      </c>
      <c r="I521" s="27" t="n">
        <v>15.055814</v>
      </c>
      <c r="J521" s="27" t="n">
        <v>120.653885</v>
      </c>
      <c r="K521" s="10" t="inlineStr">
        <is>
          <t>R</t>
        </is>
      </c>
      <c r="L521" s="12" t="n">
        <v>2334</v>
      </c>
      <c r="M521" s="14" t="n">
        <v>4</v>
      </c>
      <c r="N521" s="12">
        <f>ROUND(L521/M521, 0)</f>
        <v/>
      </c>
      <c r="O521" s="12">
        <f>ROUND(N521*'Methodology &amp; Assumptions'!$B$5, 0)</f>
        <v/>
      </c>
      <c r="P521" s="10" t="inlineStr">
        <is>
          <t>Single Carrier (Band n50, 100MHz TDD)</t>
        </is>
      </c>
      <c r="Q521" s="13">
        <f>ROUNDUP(O521/'Methodology &amp; Assumptions'!$B$6, 0)</f>
        <v/>
      </c>
      <c r="R521" s="13" t="n">
        <v>1</v>
      </c>
      <c r="S521" s="14" t="n">
        <v>2.59</v>
      </c>
      <c r="T521" s="14" t="n">
        <v>0.48</v>
      </c>
      <c r="U521" s="26">
        <f>IF(X521&gt;='Methodology &amp; Assumptions'!$B$7, "Tier 1 Critical GIDA (Score ≥ 50.0)", IF(X521&gt;='Methodology &amp; Assumptions'!$B$8, "Tier 2 High GIDA (Score 40.0–49.9)", "Tier 3 Moderate GIDA (Score &lt; 40.0)"))</f>
        <v/>
      </c>
      <c r="V521" s="26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W521" s="28" t="n">
        <v>0.083</v>
      </c>
      <c r="X521" s="14" t="n">
        <v>46.56</v>
      </c>
      <c r="Y521" s="14">
        <f>ROUND(MIN(100, (X521/69.91)*100), 2)</f>
        <v/>
      </c>
    </row>
    <row r="522">
      <c r="A522" s="10" t="n">
        <v>4</v>
      </c>
      <c r="B522" s="10" t="n">
        <v>518</v>
      </c>
      <c r="C522" s="10" t="n">
        <v>3518</v>
      </c>
      <c r="D522" s="10" t="inlineStr">
        <is>
          <t>PH0003518</t>
        </is>
      </c>
      <c r="E522" s="26" t="inlineStr">
        <is>
          <t>CAR</t>
        </is>
      </c>
      <c r="F522" s="26" t="inlineStr">
        <is>
          <t>Benguet</t>
        </is>
      </c>
      <c r="G522" s="26" t="inlineStr">
        <is>
          <t>Baguio City</t>
        </is>
      </c>
      <c r="H522" s="26" t="inlineStr">
        <is>
          <t>Honeymoon</t>
        </is>
      </c>
      <c r="I522" s="27" t="n">
        <v>16.465176</v>
      </c>
      <c r="J522" s="27" t="n">
        <v>120.610464</v>
      </c>
      <c r="K522" s="10" t="inlineStr">
        <is>
          <t>R</t>
        </is>
      </c>
      <c r="L522" s="12" t="n">
        <v>2260</v>
      </c>
      <c r="M522" s="14" t="n">
        <v>3.5</v>
      </c>
      <c r="N522" s="12">
        <f>ROUND(L522/M522, 0)</f>
        <v/>
      </c>
      <c r="O522" s="12">
        <f>ROUND(N522*'Methodology &amp; Assumptions'!$B$5, 0)</f>
        <v/>
      </c>
      <c r="P522" s="10" t="inlineStr">
        <is>
          <t>Single Carrier (Band n50, 100MHz TDD)</t>
        </is>
      </c>
      <c r="Q522" s="13">
        <f>ROUNDUP(O522/'Methodology &amp; Assumptions'!$B$6, 0)</f>
        <v/>
      </c>
      <c r="R522" s="13" t="n">
        <v>1</v>
      </c>
      <c r="S522" s="14" t="n">
        <v>1.41</v>
      </c>
      <c r="T522" s="14" t="n">
        <v>0.54</v>
      </c>
      <c r="U522" s="26">
        <f>IF(X522&gt;='Methodology &amp; Assumptions'!$B$7, "Tier 1 Critical GIDA (Score ≥ 50.0)", IF(X522&gt;='Methodology &amp; Assumptions'!$B$8, "Tier 2 High GIDA (Score 40.0–49.9)", "Tier 3 Moderate GIDA (Score &lt; 40.0)"))</f>
        <v/>
      </c>
      <c r="V522" s="26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W522" s="28" t="n">
        <v>0.221</v>
      </c>
      <c r="X522" s="14" t="n">
        <v>46.55</v>
      </c>
      <c r="Y522" s="14">
        <f>ROUND(MIN(100, (X522/69.91)*100), 2)</f>
        <v/>
      </c>
    </row>
    <row r="523">
      <c r="A523" s="10" t="n">
        <v>4</v>
      </c>
      <c r="B523" s="10" t="n">
        <v>519</v>
      </c>
      <c r="C523" s="10" t="n">
        <v>3519</v>
      </c>
      <c r="D523" s="10" t="inlineStr">
        <is>
          <t>0300811023</t>
        </is>
      </c>
      <c r="E523" s="26" t="inlineStr">
        <is>
          <t>Region III (Central Luzon)</t>
        </is>
      </c>
      <c r="F523" s="26" t="inlineStr">
        <is>
          <t>Bataan</t>
        </is>
      </c>
      <c r="G523" s="26" t="inlineStr">
        <is>
          <t>Pilar</t>
        </is>
      </c>
      <c r="H523" s="26" t="inlineStr">
        <is>
          <t>Santa Rosa</t>
        </is>
      </c>
      <c r="I523" s="27" t="n">
        <v>14.67717</v>
      </c>
      <c r="J523" s="27" t="n">
        <v>120.547264</v>
      </c>
      <c r="K523" s="10" t="inlineStr">
        <is>
          <t>U</t>
        </is>
      </c>
      <c r="L523" s="12" t="n">
        <v>7499</v>
      </c>
      <c r="M523" s="14" t="n">
        <v>3.6</v>
      </c>
      <c r="N523" s="12">
        <f>ROUND(L523/M523, 0)</f>
        <v/>
      </c>
      <c r="O523" s="12">
        <f>ROUND(N523*'Methodology &amp; Assumptions'!$B$5, 0)</f>
        <v/>
      </c>
      <c r="P523" s="10" t="inlineStr">
        <is>
          <t>Single Carrier (Band n50, 100MHz TDD)</t>
        </is>
      </c>
      <c r="Q523" s="13">
        <f>ROUNDUP(O523/'Methodology &amp; Assumptions'!$B$6, 0)</f>
        <v/>
      </c>
      <c r="R523" s="13" t="n">
        <v>1</v>
      </c>
      <c r="S523" s="14" t="n">
        <v>0.75</v>
      </c>
      <c r="T523" s="14" t="n">
        <v>0.27</v>
      </c>
      <c r="U523" s="26">
        <f>IF(X523&gt;='Methodology &amp; Assumptions'!$B$7, "Tier 1 Critical GIDA (Score ≥ 50.0)", IF(X523&gt;='Methodology &amp; Assumptions'!$B$8, "Tier 2 High GIDA (Score 40.0–49.9)", "Tier 3 Moderate GIDA (Score &lt; 40.0)"))</f>
        <v/>
      </c>
      <c r="V523" s="26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W523" s="28" t="n">
        <v>0.083</v>
      </c>
      <c r="X523" s="14" t="n">
        <v>46.55</v>
      </c>
      <c r="Y523" s="14">
        <f>ROUND(MIN(100, (X523/69.91)*100), 2)</f>
        <v/>
      </c>
    </row>
    <row r="524">
      <c r="A524" s="10" t="n">
        <v>4</v>
      </c>
      <c r="B524" s="10" t="n">
        <v>520</v>
      </c>
      <c r="C524" s="10" t="n">
        <v>3520</v>
      </c>
      <c r="D524" s="10" t="inlineStr">
        <is>
          <t>0806021015</t>
        </is>
      </c>
      <c r="E524" s="26" t="inlineStr">
        <is>
          <t>Region VIII (Eastern Visayas)</t>
        </is>
      </c>
      <c r="F524" s="26" t="inlineStr">
        <is>
          <t>Samar</t>
        </is>
      </c>
      <c r="G524" s="26" t="inlineStr">
        <is>
          <t>Villareal</t>
        </is>
      </c>
      <c r="H524" s="26" t="inlineStr">
        <is>
          <t>Lawa-an</t>
        </is>
      </c>
      <c r="I524" s="27" t="n">
        <v>11.506591</v>
      </c>
      <c r="J524" s="27" t="n">
        <v>124.903932</v>
      </c>
      <c r="K524" s="10" t="inlineStr">
        <is>
          <t>R</t>
        </is>
      </c>
      <c r="L524" s="12" t="n">
        <v>278</v>
      </c>
      <c r="M524" s="14" t="n">
        <v>4.1</v>
      </c>
      <c r="N524" s="12">
        <f>ROUND(L524/M524, 0)</f>
        <v/>
      </c>
      <c r="O524" s="12">
        <f>ROUND(N524*'Methodology &amp; Assumptions'!$B$5, 0)</f>
        <v/>
      </c>
      <c r="P524" s="10" t="inlineStr">
        <is>
          <t>Single Carrier (Band n50, 100MHz TDD)</t>
        </is>
      </c>
      <c r="Q524" s="13">
        <f>ROUNDUP(O524/'Methodology &amp; Assumptions'!$B$6, 0)</f>
        <v/>
      </c>
      <c r="R524" s="13" t="n">
        <v>1</v>
      </c>
      <c r="S524" s="14" t="n">
        <v>31.57</v>
      </c>
      <c r="T524" s="14" t="n">
        <v>31.68</v>
      </c>
      <c r="U524" s="26">
        <f>IF(X524&gt;='Methodology &amp; Assumptions'!$B$7, "Tier 1 Critical GIDA (Score ≥ 50.0)", IF(X524&gt;='Methodology &amp; Assumptions'!$B$8, "Tier 2 High GIDA (Score 40.0–49.9)", "Tier 3 Moderate GIDA (Score &lt; 40.0)"))</f>
        <v/>
      </c>
      <c r="V524" s="26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W524" s="28" t="n">
        <v>0.237</v>
      </c>
      <c r="X524" s="14" t="n">
        <v>46.54</v>
      </c>
      <c r="Y524" s="14">
        <f>ROUND(MIN(100, (X524/69.91)*100), 2)</f>
        <v/>
      </c>
    </row>
    <row r="525">
      <c r="A525" s="10" t="n">
        <v>4</v>
      </c>
      <c r="B525" s="10" t="n">
        <v>521</v>
      </c>
      <c r="C525" s="10" t="n">
        <v>3521</v>
      </c>
      <c r="D525" s="10" t="inlineStr">
        <is>
          <t>0102916013</t>
        </is>
      </c>
      <c r="E525" s="26" t="inlineStr">
        <is>
          <t>Region I (Ilocos Region)</t>
        </is>
      </c>
      <c r="F525" s="26" t="inlineStr">
        <is>
          <t>Ilocos Sur</t>
        </is>
      </c>
      <c r="G525" s="26" t="inlineStr">
        <is>
          <t>Salcedo</t>
        </is>
      </c>
      <c r="H525" s="26" t="inlineStr">
        <is>
          <t>Lucbuban</t>
        </is>
      </c>
      <c r="I525" s="27" t="n">
        <v>17.129349</v>
      </c>
      <c r="J525" s="27" t="n">
        <v>120.543388</v>
      </c>
      <c r="K525" s="10" t="inlineStr">
        <is>
          <t>R</t>
        </is>
      </c>
      <c r="L525" s="12" t="n">
        <v>562</v>
      </c>
      <c r="M525" s="14" t="n">
        <v>3.8</v>
      </c>
      <c r="N525" s="12">
        <f>ROUND(L525/M525, 0)</f>
        <v/>
      </c>
      <c r="O525" s="12">
        <f>ROUND(N525*'Methodology &amp; Assumptions'!$B$5, 0)</f>
        <v/>
      </c>
      <c r="P525" s="10" t="inlineStr">
        <is>
          <t>Single Carrier (Band n50, 100MHz TDD)</t>
        </is>
      </c>
      <c r="Q525" s="13">
        <f>ROUNDUP(O525/'Methodology &amp; Assumptions'!$B$6, 0)</f>
        <v/>
      </c>
      <c r="R525" s="13" t="n">
        <v>1</v>
      </c>
      <c r="S525" s="14" t="n">
        <v>2.35</v>
      </c>
      <c r="T525" s="14" t="n">
        <v>9.550000000000001</v>
      </c>
      <c r="U525" s="26">
        <f>IF(X525&gt;='Methodology &amp; Assumptions'!$B$7, "Tier 1 Critical GIDA (Score ≥ 50.0)", IF(X525&gt;='Methodology &amp; Assumptions'!$B$8, "Tier 2 High GIDA (Score 40.0–49.9)", "Tier 3 Moderate GIDA (Score &lt; 40.0)"))</f>
        <v/>
      </c>
      <c r="V525" s="26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W525" s="28" t="n">
        <v>0.083</v>
      </c>
      <c r="X525" s="14" t="n">
        <v>46.54</v>
      </c>
      <c r="Y525" s="14">
        <f>ROUND(MIN(100, (X525/69.91)*100), 2)</f>
        <v/>
      </c>
    </row>
    <row r="526">
      <c r="A526" s="10" t="n">
        <v>4</v>
      </c>
      <c r="B526" s="10" t="n">
        <v>522</v>
      </c>
      <c r="C526" s="10" t="n">
        <v>3522</v>
      </c>
      <c r="D526" s="10" t="inlineStr">
        <is>
          <t>0402106045</t>
        </is>
      </c>
      <c r="E526" s="26" t="inlineStr">
        <is>
          <t>Region IV-A (CALABARZON)</t>
        </is>
      </c>
      <c r="F526" s="26" t="inlineStr">
        <is>
          <t>Cavite</t>
        </is>
      </c>
      <c r="G526" s="26" t="inlineStr">
        <is>
          <t>City of Dasmariñas</t>
        </is>
      </c>
      <c r="H526" s="26" t="inlineStr">
        <is>
          <t>Santo Cristo</t>
        </is>
      </c>
      <c r="I526" s="27" t="n">
        <v>14.339415</v>
      </c>
      <c r="J526" s="27" t="n">
        <v>120.955607</v>
      </c>
      <c r="K526" s="10" t="inlineStr">
        <is>
          <t>R</t>
        </is>
      </c>
      <c r="L526" s="12" t="n">
        <v>4791</v>
      </c>
      <c r="M526" s="14" t="n">
        <v>3.4</v>
      </c>
      <c r="N526" s="12">
        <f>ROUND(L526/M526, 0)</f>
        <v/>
      </c>
      <c r="O526" s="12">
        <f>ROUND(N526*'Methodology &amp; Assumptions'!$B$5, 0)</f>
        <v/>
      </c>
      <c r="P526" s="10" t="inlineStr">
        <is>
          <t>Single Carrier (Band n50, 100MHz TDD)</t>
        </is>
      </c>
      <c r="Q526" s="13">
        <f>ROUNDUP(O526/'Methodology &amp; Assumptions'!$B$6, 0)</f>
        <v/>
      </c>
      <c r="R526" s="13" t="n">
        <v>1</v>
      </c>
      <c r="S526" s="14" t="n">
        <v>2.12</v>
      </c>
      <c r="T526" s="14" t="n">
        <v>4.2</v>
      </c>
      <c r="U526" s="26">
        <f>IF(X526&gt;='Methodology &amp; Assumptions'!$B$7, "Tier 1 Critical GIDA (Score ≥ 50.0)", IF(X526&gt;='Methodology &amp; Assumptions'!$B$8, "Tier 2 High GIDA (Score 40.0–49.9)", "Tier 3 Moderate GIDA (Score &lt; 40.0)"))</f>
        <v/>
      </c>
      <c r="V526" s="26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W526" s="28" t="n">
        <v>0.07200000000000001</v>
      </c>
      <c r="X526" s="14" t="n">
        <v>46.54</v>
      </c>
      <c r="Y526" s="14">
        <f>ROUND(MIN(100, (X526/69.91)*100), 2)</f>
        <v/>
      </c>
    </row>
    <row r="527">
      <c r="A527" s="10" t="n">
        <v>4</v>
      </c>
      <c r="B527" s="10" t="n">
        <v>523</v>
      </c>
      <c r="C527" s="10" t="n">
        <v>3523</v>
      </c>
      <c r="D527" s="10" t="inlineStr">
        <is>
          <t>1381600028</t>
        </is>
      </c>
      <c r="E527" s="26" t="inlineStr">
        <is>
          <t>National Capital Region (NCR)</t>
        </is>
      </c>
      <c r="F527" s="26" t="inlineStr">
        <is>
          <t>Third District (Not a Province)</t>
        </is>
      </c>
      <c r="G527" s="26" t="inlineStr">
        <is>
          <t>City of Valenzuela</t>
        </is>
      </c>
      <c r="H527" s="26" t="inlineStr">
        <is>
          <t>Rincon</t>
        </is>
      </c>
      <c r="I527" s="27" t="n">
        <v>14.699308</v>
      </c>
      <c r="J527" s="27" t="n">
        <v>120.957906</v>
      </c>
      <c r="K527" s="10" t="inlineStr">
        <is>
          <t>U</t>
        </is>
      </c>
      <c r="L527" s="12" t="n">
        <v>7039</v>
      </c>
      <c r="M527" s="14" t="n">
        <v>3.5</v>
      </c>
      <c r="N527" s="12">
        <f>ROUND(L527/M527, 0)</f>
        <v/>
      </c>
      <c r="O527" s="12">
        <f>ROUND(N527*'Methodology &amp; Assumptions'!$B$5, 0)</f>
        <v/>
      </c>
      <c r="P527" s="10" t="inlineStr">
        <is>
          <t>Single Carrier (Band n50, 100MHz TDD)</t>
        </is>
      </c>
      <c r="Q527" s="13">
        <f>ROUNDUP(O527/'Methodology &amp; Assumptions'!$B$6, 0)</f>
        <v/>
      </c>
      <c r="R527" s="13" t="n">
        <v>1</v>
      </c>
      <c r="S527" s="14" t="n">
        <v>1.06</v>
      </c>
      <c r="T527" s="14" t="n">
        <v>0.53</v>
      </c>
      <c r="U527" s="26">
        <f>IF(X527&gt;='Methodology &amp; Assumptions'!$B$7, "Tier 1 Critical GIDA (Score ≥ 50.0)", IF(X527&gt;='Methodology &amp; Assumptions'!$B$8, "Tier 2 High GIDA (Score 40.0–49.9)", "Tier 3 Moderate GIDA (Score &lt; 40.0)"))</f>
        <v/>
      </c>
      <c r="V527" s="26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W527" s="28" t="n">
        <v>0.109</v>
      </c>
      <c r="X527" s="14" t="n">
        <v>46.52</v>
      </c>
      <c r="Y527" s="14">
        <f>ROUND(MIN(100, (X527/69.91)*100), 2)</f>
        <v/>
      </c>
    </row>
    <row r="528">
      <c r="A528" s="10" t="n">
        <v>4</v>
      </c>
      <c r="B528" s="10" t="n">
        <v>524</v>
      </c>
      <c r="C528" s="10" t="n">
        <v>3524</v>
      </c>
      <c r="D528" s="10" t="inlineStr">
        <is>
          <t>1381200016</t>
        </is>
      </c>
      <c r="E528" s="26" t="inlineStr">
        <is>
          <t>National Capital Region (NCR)</t>
        </is>
      </c>
      <c r="F528" s="26" t="inlineStr">
        <is>
          <t>Second District (Not a Province)</t>
        </is>
      </c>
      <c r="G528" s="26" t="inlineStr">
        <is>
          <t>City of Pasig</t>
        </is>
      </c>
      <c r="H528" s="26" t="inlineStr">
        <is>
          <t>Pineda</t>
        </is>
      </c>
      <c r="I528" s="27" t="n">
        <v>14.565573</v>
      </c>
      <c r="J528" s="27" t="n">
        <v>121.06652</v>
      </c>
      <c r="K528" s="10" t="inlineStr">
        <is>
          <t>U</t>
        </is>
      </c>
      <c r="L528" s="12" t="n">
        <v>20710</v>
      </c>
      <c r="M528" s="14" t="n">
        <v>3.4</v>
      </c>
      <c r="N528" s="12">
        <f>ROUND(L528/M528, 0)</f>
        <v/>
      </c>
      <c r="O528" s="12">
        <f>ROUND(N528*'Methodology &amp; Assumptions'!$B$5, 0)</f>
        <v/>
      </c>
      <c r="P528" s="10" t="inlineStr">
        <is>
          <t>Single Carrier (Band n50, 100MHz TDD)</t>
        </is>
      </c>
      <c r="Q528" s="13">
        <f>ROUNDUP(O528/'Methodology &amp; Assumptions'!$B$6, 0)</f>
        <v/>
      </c>
      <c r="R528" s="13" t="n">
        <v>1</v>
      </c>
      <c r="S528" s="14" t="n">
        <v>1.56</v>
      </c>
      <c r="T528" s="14" t="n">
        <v>0.36</v>
      </c>
      <c r="U528" s="26">
        <f>IF(X528&gt;='Methodology &amp; Assumptions'!$B$7, "Tier 1 Critical GIDA (Score ≥ 50.0)", IF(X528&gt;='Methodology &amp; Assumptions'!$B$8, "Tier 2 High GIDA (Score 40.0–49.9)", "Tier 3 Moderate GIDA (Score &lt; 40.0)"))</f>
        <v/>
      </c>
      <c r="V528" s="26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W528" s="28" t="n">
        <v>0.109</v>
      </c>
      <c r="X528" s="14" t="n">
        <v>46.52</v>
      </c>
      <c r="Y528" s="14">
        <f>ROUND(MIN(100, (X528/69.91)*100), 2)</f>
        <v/>
      </c>
    </row>
    <row r="529">
      <c r="A529" s="10" t="n">
        <v>4</v>
      </c>
      <c r="B529" s="10" t="n">
        <v>525</v>
      </c>
      <c r="C529" s="10" t="n">
        <v>3525</v>
      </c>
      <c r="D529" s="10" t="inlineStr">
        <is>
          <t>1402710008</t>
        </is>
      </c>
      <c r="E529" s="26" t="inlineStr">
        <is>
          <t>Cordillera Administrative Region (CAR)</t>
        </is>
      </c>
      <c r="F529" s="26" t="inlineStr">
        <is>
          <t>Ifugao</t>
        </is>
      </c>
      <c r="G529" s="26" t="inlineStr">
        <is>
          <t>Tinoc</t>
        </is>
      </c>
      <c r="H529" s="26" t="inlineStr">
        <is>
          <t>Luhong</t>
        </is>
      </c>
      <c r="I529" s="27" t="n">
        <v>16.653734</v>
      </c>
      <c r="J529" s="27" t="n">
        <v>120.95806</v>
      </c>
      <c r="K529" s="10" t="inlineStr">
        <is>
          <t>R</t>
        </is>
      </c>
      <c r="L529" s="12" t="n">
        <v>1486</v>
      </c>
      <c r="M529" s="14" t="n">
        <v>3.9</v>
      </c>
      <c r="N529" s="12">
        <f>ROUND(L529/M529, 0)</f>
        <v/>
      </c>
      <c r="O529" s="12">
        <f>ROUND(N529*'Methodology &amp; Assumptions'!$B$5, 0)</f>
        <v/>
      </c>
      <c r="P529" s="10" t="inlineStr">
        <is>
          <t>Single Carrier (Band n50, 100MHz TDD)</t>
        </is>
      </c>
      <c r="Q529" s="13">
        <f>ROUNDUP(O529/'Methodology &amp; Assumptions'!$B$6, 0)</f>
        <v/>
      </c>
      <c r="R529" s="13" t="n">
        <v>1</v>
      </c>
      <c r="S529" s="14" t="n">
        <v>13.15</v>
      </c>
      <c r="T529" s="14" t="n">
        <v>16.71</v>
      </c>
      <c r="U529" s="26">
        <f>IF(X529&gt;='Methodology &amp; Assumptions'!$B$7, "Tier 1 Critical GIDA (Score ≥ 50.0)", IF(X529&gt;='Methodology &amp; Assumptions'!$B$8, "Tier 2 High GIDA (Score 40.0–49.9)", "Tier 3 Moderate GIDA (Score &lt; 40.0)"))</f>
        <v/>
      </c>
      <c r="V529" s="26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W529" s="28" t="n">
        <v>0.109</v>
      </c>
      <c r="X529" s="14" t="n">
        <v>46.52</v>
      </c>
      <c r="Y529" s="14">
        <f>ROUND(MIN(100, (X529/69.91)*100), 2)</f>
        <v/>
      </c>
    </row>
    <row r="530">
      <c r="A530" s="10" t="n">
        <v>4</v>
      </c>
      <c r="B530" s="10" t="n">
        <v>526</v>
      </c>
      <c r="C530" s="10" t="n">
        <v>3526</v>
      </c>
      <c r="D530" s="10" t="inlineStr">
        <is>
          <t>1381701003</t>
        </is>
      </c>
      <c r="E530" s="26" t="inlineStr">
        <is>
          <t>National Capital Region (NCR)</t>
        </is>
      </c>
      <c r="F530" s="26" t="inlineStr">
        <is>
          <t>Fourth District (Not a Province)</t>
        </is>
      </c>
      <c r="G530" s="26" t="inlineStr">
        <is>
          <t>Pateros</t>
        </is>
      </c>
      <c r="H530" s="26" t="inlineStr">
        <is>
          <t>Martires Del 96</t>
        </is>
      </c>
      <c r="I530" s="27" t="n">
        <v>14.554669</v>
      </c>
      <c r="J530" s="27" t="n">
        <v>121.062293</v>
      </c>
      <c r="K530" s="10" t="inlineStr">
        <is>
          <t>U</t>
        </is>
      </c>
      <c r="L530" s="12" t="n">
        <v>5188</v>
      </c>
      <c r="M530" s="14" t="n">
        <v>3.8</v>
      </c>
      <c r="N530" s="12">
        <f>ROUND(L530/M530, 0)</f>
        <v/>
      </c>
      <c r="O530" s="12">
        <f>ROUND(N530*'Methodology &amp; Assumptions'!$B$5, 0)</f>
        <v/>
      </c>
      <c r="P530" s="10" t="inlineStr">
        <is>
          <t>Single Carrier (Band n50, 100MHz TDD)</t>
        </is>
      </c>
      <c r="Q530" s="13">
        <f>ROUNDUP(O530/'Methodology &amp; Assumptions'!$B$6, 0)</f>
        <v/>
      </c>
      <c r="R530" s="13" t="n">
        <v>1</v>
      </c>
      <c r="S530" s="14" t="n">
        <v>1.29</v>
      </c>
      <c r="T530" s="14" t="n">
        <v>0.23</v>
      </c>
      <c r="U530" s="26">
        <f>IF(X530&gt;='Methodology &amp; Assumptions'!$B$7, "Tier 1 Critical GIDA (Score ≥ 50.0)", IF(X530&gt;='Methodology &amp; Assumptions'!$B$8, "Tier 2 High GIDA (Score 40.0–49.9)", "Tier 3 Moderate GIDA (Score &lt; 40.0)"))</f>
        <v/>
      </c>
      <c r="V530" s="26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W530" s="28" t="n">
        <v>0.109</v>
      </c>
      <c r="X530" s="14" t="n">
        <v>46.49</v>
      </c>
      <c r="Y530" s="14">
        <f>ROUND(MIN(100, (X530/69.91)*100), 2)</f>
        <v/>
      </c>
    </row>
    <row r="531">
      <c r="A531" s="10" t="n">
        <v>4</v>
      </c>
      <c r="B531" s="10" t="n">
        <v>527</v>
      </c>
      <c r="C531" s="10" t="n">
        <v>3527</v>
      </c>
      <c r="D531" s="10" t="inlineStr">
        <is>
          <t>0806021011</t>
        </is>
      </c>
      <c r="E531" s="26" t="inlineStr">
        <is>
          <t>Region VIII (Eastern Visayas)</t>
        </is>
      </c>
      <c r="F531" s="26" t="inlineStr">
        <is>
          <t>Samar</t>
        </is>
      </c>
      <c r="G531" s="26" t="inlineStr">
        <is>
          <t>Villareal</t>
        </is>
      </c>
      <c r="H531" s="26" t="inlineStr">
        <is>
          <t>Inarumbacan</t>
        </is>
      </c>
      <c r="I531" s="27" t="n">
        <v>11.51169</v>
      </c>
      <c r="J531" s="27" t="n">
        <v>124.89711</v>
      </c>
      <c r="K531" s="10" t="inlineStr">
        <is>
          <t>R</t>
        </is>
      </c>
      <c r="L531" s="12" t="n">
        <v>563</v>
      </c>
      <c r="M531" s="14" t="n">
        <v>4.1</v>
      </c>
      <c r="N531" s="12">
        <f>ROUND(L531/M531, 0)</f>
        <v/>
      </c>
      <c r="O531" s="12">
        <f>ROUND(N531*'Methodology &amp; Assumptions'!$B$5, 0)</f>
        <v/>
      </c>
      <c r="P531" s="10" t="inlineStr">
        <is>
          <t>Single Carrier (Band n50, 100MHz TDD)</t>
        </is>
      </c>
      <c r="Q531" s="13">
        <f>ROUNDUP(O531/'Methodology &amp; Assumptions'!$B$6, 0)</f>
        <v/>
      </c>
      <c r="R531" s="13" t="n">
        <v>1</v>
      </c>
      <c r="S531" s="14" t="n">
        <v>32.36</v>
      </c>
      <c r="T531" s="14" t="n">
        <v>31.69</v>
      </c>
      <c r="U531" s="26">
        <f>IF(X531&gt;='Methodology &amp; Assumptions'!$B$7, "Tier 1 Critical GIDA (Score ≥ 50.0)", IF(X531&gt;='Methodology &amp; Assumptions'!$B$8, "Tier 2 High GIDA (Score 40.0–49.9)", "Tier 3 Moderate GIDA (Score &lt; 40.0)"))</f>
        <v/>
      </c>
      <c r="V531" s="26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W531" s="28" t="n">
        <v>0.237</v>
      </c>
      <c r="X531" s="14" t="n">
        <v>46.49</v>
      </c>
      <c r="Y531" s="14">
        <f>ROUND(MIN(100, (X531/69.91)*100), 2)</f>
        <v/>
      </c>
    </row>
    <row r="532">
      <c r="A532" s="10" t="n">
        <v>4</v>
      </c>
      <c r="B532" s="10" t="n">
        <v>528</v>
      </c>
      <c r="C532" s="10" t="n">
        <v>3528</v>
      </c>
      <c r="D532" s="10" t="inlineStr">
        <is>
          <t>0102916007</t>
        </is>
      </c>
      <c r="E532" s="26" t="inlineStr">
        <is>
          <t>Region I (Ilocos Region)</t>
        </is>
      </c>
      <c r="F532" s="26" t="inlineStr">
        <is>
          <t>Ilocos Sur</t>
        </is>
      </c>
      <c r="G532" s="26" t="inlineStr">
        <is>
          <t>Salcedo</t>
        </is>
      </c>
      <c r="H532" s="26" t="inlineStr">
        <is>
          <t>Bulala-Leguey</t>
        </is>
      </c>
      <c r="I532" s="27" t="n">
        <v>17.130239</v>
      </c>
      <c r="J532" s="27" t="n">
        <v>120.575478</v>
      </c>
      <c r="K532" s="10" t="inlineStr">
        <is>
          <t>R</t>
        </is>
      </c>
      <c r="L532" s="12" t="n">
        <v>301</v>
      </c>
      <c r="M532" s="14" t="n">
        <v>3.8</v>
      </c>
      <c r="N532" s="12">
        <f>ROUND(L532/M532, 0)</f>
        <v/>
      </c>
      <c r="O532" s="12">
        <f>ROUND(N532*'Methodology &amp; Assumptions'!$B$5, 0)</f>
        <v/>
      </c>
      <c r="P532" s="10" t="inlineStr">
        <is>
          <t>Single Carrier (Band n50, 100MHz TDD)</t>
        </is>
      </c>
      <c r="Q532" s="13">
        <f>ROUNDUP(O532/'Methodology &amp; Assumptions'!$B$6, 0)</f>
        <v/>
      </c>
      <c r="R532" s="13" t="n">
        <v>1</v>
      </c>
      <c r="S532" s="14" t="n">
        <v>4.56</v>
      </c>
      <c r="T532" s="14" t="n">
        <v>8.199999999999999</v>
      </c>
      <c r="U532" s="26">
        <f>IF(X532&gt;='Methodology &amp; Assumptions'!$B$7, "Tier 1 Critical GIDA (Score ≥ 50.0)", IF(X532&gt;='Methodology &amp; Assumptions'!$B$8, "Tier 2 High GIDA (Score 40.0–49.9)", "Tier 3 Moderate GIDA (Score &lt; 40.0)"))</f>
        <v/>
      </c>
      <c r="V532" s="26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W532" s="28" t="n">
        <v>0.083</v>
      </c>
      <c r="X532" s="14" t="n">
        <v>46.49</v>
      </c>
      <c r="Y532" s="14">
        <f>ROUND(MIN(100, (X532/69.91)*100), 2)</f>
        <v/>
      </c>
    </row>
    <row r="533">
      <c r="A533" s="10" t="n">
        <v>4</v>
      </c>
      <c r="B533" s="10" t="n">
        <v>529</v>
      </c>
      <c r="C533" s="10" t="n">
        <v>3529</v>
      </c>
      <c r="D533" s="10" t="inlineStr">
        <is>
          <t>0402104016</t>
        </is>
      </c>
      <c r="E533" s="26" t="inlineStr">
        <is>
          <t>Region IV-A (CALABARZON)</t>
        </is>
      </c>
      <c r="F533" s="26" t="inlineStr">
        <is>
          <t>Cavite</t>
        </is>
      </c>
      <c r="G533" s="26" t="inlineStr">
        <is>
          <t>Carmona</t>
        </is>
      </c>
      <c r="H533" s="26" t="inlineStr">
        <is>
          <t>Barangay 5</t>
        </is>
      </c>
      <c r="I533" s="27" t="n">
        <v>14.303079</v>
      </c>
      <c r="J533" s="27" t="n">
        <v>121.039066</v>
      </c>
      <c r="K533" s="10" t="inlineStr">
        <is>
          <t>R</t>
        </is>
      </c>
      <c r="L533" s="12" t="n">
        <v>560</v>
      </c>
      <c r="M533" s="14" t="n">
        <v>3.4</v>
      </c>
      <c r="N533" s="12">
        <f>ROUND(L533/M533, 0)</f>
        <v/>
      </c>
      <c r="O533" s="12">
        <f>ROUND(N533*'Methodology &amp; Assumptions'!$B$5, 0)</f>
        <v/>
      </c>
      <c r="P533" s="10" t="inlineStr">
        <is>
          <t>Single Carrier (Band n50, 100MHz TDD)</t>
        </is>
      </c>
      <c r="Q533" s="13">
        <f>ROUNDUP(O533/'Methodology &amp; Assumptions'!$B$6, 0)</f>
        <v/>
      </c>
      <c r="R533" s="13" t="n">
        <v>1</v>
      </c>
      <c r="S533" s="14" t="n">
        <v>0.92</v>
      </c>
      <c r="T533" s="14" t="n">
        <v>1.47</v>
      </c>
      <c r="U533" s="26">
        <f>IF(X533&gt;='Methodology &amp; Assumptions'!$B$7, "Tier 1 Critical GIDA (Score ≥ 50.0)", IF(X533&gt;='Methodology &amp; Assumptions'!$B$8, "Tier 2 High GIDA (Score 40.0–49.9)", "Tier 3 Moderate GIDA (Score &lt; 40.0)"))</f>
        <v/>
      </c>
      <c r="V533" s="26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W533" s="28" t="n">
        <v>0.07200000000000001</v>
      </c>
      <c r="X533" s="14" t="n">
        <v>46.49</v>
      </c>
      <c r="Y533" s="14">
        <f>ROUND(MIN(100, (X533/69.91)*100), 2)</f>
        <v/>
      </c>
    </row>
    <row r="534">
      <c r="A534" s="10" t="n">
        <v>4</v>
      </c>
      <c r="B534" s="10" t="n">
        <v>530</v>
      </c>
      <c r="C534" s="10" t="n">
        <v>3530</v>
      </c>
      <c r="D534" s="10" t="inlineStr">
        <is>
          <t>1402704008</t>
        </is>
      </c>
      <c r="E534" s="26" t="inlineStr">
        <is>
          <t>Cordillera Administrative Region (CAR)</t>
        </is>
      </c>
      <c r="F534" s="26" t="inlineStr">
        <is>
          <t>Ifugao</t>
        </is>
      </c>
      <c r="G534" s="26" t="inlineStr">
        <is>
          <t>Lagawe</t>
        </is>
      </c>
      <c r="H534" s="26" t="inlineStr">
        <is>
          <t>Buyabuyan</t>
        </is>
      </c>
      <c r="I534" s="27" t="n">
        <v>16.78167</v>
      </c>
      <c r="J534" s="27" t="n">
        <v>121.20145</v>
      </c>
      <c r="K534" s="10" t="inlineStr">
        <is>
          <t>R</t>
        </is>
      </c>
      <c r="L534" s="12" t="n">
        <v>504</v>
      </c>
      <c r="M534" s="14" t="n">
        <v>3.9</v>
      </c>
      <c r="N534" s="12">
        <f>ROUND(L534/M534, 0)</f>
        <v/>
      </c>
      <c r="O534" s="12">
        <f>ROUND(N534*'Methodology &amp; Assumptions'!$B$5, 0)</f>
        <v/>
      </c>
      <c r="P534" s="10" t="inlineStr">
        <is>
          <t>Single Carrier (Band n50, 100MHz TDD)</t>
        </is>
      </c>
      <c r="Q534" s="13">
        <f>ROUNDUP(O534/'Methodology &amp; Assumptions'!$B$6, 0)</f>
        <v/>
      </c>
      <c r="R534" s="13" t="n">
        <v>1</v>
      </c>
      <c r="S534" s="14" t="n">
        <v>7.64</v>
      </c>
      <c r="T534" s="14" t="n">
        <v>6.51</v>
      </c>
      <c r="U534" s="26">
        <f>IF(X534&gt;='Methodology &amp; Assumptions'!$B$7, "Tier 1 Critical GIDA (Score ≥ 50.0)", IF(X534&gt;='Methodology &amp; Assumptions'!$B$8, "Tier 2 High GIDA (Score 40.0–49.9)", "Tier 3 Moderate GIDA (Score &lt; 40.0)"))</f>
        <v/>
      </c>
      <c r="V534" s="26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W534" s="28" t="n">
        <v>0.109</v>
      </c>
      <c r="X534" s="14" t="n">
        <v>46.47</v>
      </c>
      <c r="Y534" s="14">
        <f>ROUND(MIN(100, (X534/69.91)*100), 2)</f>
        <v/>
      </c>
    </row>
    <row r="535">
      <c r="A535" s="10" t="n">
        <v>4</v>
      </c>
      <c r="B535" s="10" t="n">
        <v>531</v>
      </c>
      <c r="C535" s="10" t="n">
        <v>3531</v>
      </c>
      <c r="D535" s="10" t="inlineStr">
        <is>
          <t>PH0003531</t>
        </is>
      </c>
      <c r="E535" s="26" t="inlineStr">
        <is>
          <t>CAR</t>
        </is>
      </c>
      <c r="F535" s="26" t="inlineStr">
        <is>
          <t>Benguet</t>
        </is>
      </c>
      <c r="G535" s="26" t="inlineStr">
        <is>
          <t>Baguio City</t>
        </is>
      </c>
      <c r="H535" s="26" t="inlineStr">
        <is>
          <t>Rock Quarry, Middle</t>
        </is>
      </c>
      <c r="I535" s="27" t="n">
        <v>16.352274</v>
      </c>
      <c r="J535" s="27" t="n">
        <v>120.623867</v>
      </c>
      <c r="K535" s="10" t="inlineStr">
        <is>
          <t>R</t>
        </is>
      </c>
      <c r="L535" s="12" t="n">
        <v>2260</v>
      </c>
      <c r="M535" s="14" t="n">
        <v>3.5</v>
      </c>
      <c r="N535" s="12">
        <f>ROUND(L535/M535, 0)</f>
        <v/>
      </c>
      <c r="O535" s="12">
        <f>ROUND(N535*'Methodology &amp; Assumptions'!$B$5, 0)</f>
        <v/>
      </c>
      <c r="P535" s="10" t="inlineStr">
        <is>
          <t>Single Carrier (Band n50, 100MHz TDD)</t>
        </is>
      </c>
      <c r="Q535" s="13">
        <f>ROUNDUP(O535/'Methodology &amp; Assumptions'!$B$6, 0)</f>
        <v/>
      </c>
      <c r="R535" s="13" t="n">
        <v>1</v>
      </c>
      <c r="S535" s="14" t="n">
        <v>4.18</v>
      </c>
      <c r="T535" s="14" t="n">
        <v>6.07</v>
      </c>
      <c r="U535" s="26">
        <f>IF(X535&gt;='Methodology &amp; Assumptions'!$B$7, "Tier 1 Critical GIDA (Score ≥ 50.0)", IF(X535&gt;='Methodology &amp; Assumptions'!$B$8, "Tier 2 High GIDA (Score 40.0–49.9)", "Tier 3 Moderate GIDA (Score &lt; 40.0)"))</f>
        <v/>
      </c>
      <c r="V535" s="26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W535" s="28" t="n">
        <v>0.221</v>
      </c>
      <c r="X535" s="14" t="n">
        <v>46.47</v>
      </c>
      <c r="Y535" s="14">
        <f>ROUND(MIN(100, (X535/69.91)*100), 2)</f>
        <v/>
      </c>
    </row>
    <row r="536">
      <c r="A536" s="10" t="n">
        <v>4</v>
      </c>
      <c r="B536" s="10" t="n">
        <v>532</v>
      </c>
      <c r="C536" s="10" t="n">
        <v>3532</v>
      </c>
      <c r="D536" s="10" t="inlineStr">
        <is>
          <t>1380500011</t>
        </is>
      </c>
      <c r="E536" s="26" t="inlineStr">
        <is>
          <t>National Capital Region (NCR)</t>
        </is>
      </c>
      <c r="F536" s="26" t="inlineStr">
        <is>
          <t>Second District (Not a Province)</t>
        </is>
      </c>
      <c r="G536" s="26" t="inlineStr">
        <is>
          <t>City of Mandaluyong</t>
        </is>
      </c>
      <c r="H536" s="26" t="inlineStr">
        <is>
          <t>Hagdang Bato Libis</t>
        </is>
      </c>
      <c r="I536" s="27" t="n">
        <v>14.574477</v>
      </c>
      <c r="J536" s="27" t="n">
        <v>121.022573</v>
      </c>
      <c r="K536" s="10" t="inlineStr">
        <is>
          <t>U</t>
        </is>
      </c>
      <c r="L536" s="12" t="n">
        <v>7348</v>
      </c>
      <c r="M536" s="14" t="n">
        <v>3.3</v>
      </c>
      <c r="N536" s="12">
        <f>ROUND(L536/M536, 0)</f>
        <v/>
      </c>
      <c r="O536" s="12">
        <f>ROUND(N536*'Methodology &amp; Assumptions'!$B$5, 0)</f>
        <v/>
      </c>
      <c r="P536" s="10" t="inlineStr">
        <is>
          <t>Single Carrier (Band n50, 100MHz TDD)</t>
        </is>
      </c>
      <c r="Q536" s="13">
        <f>ROUNDUP(O536/'Methodology &amp; Assumptions'!$B$6, 0)</f>
        <v/>
      </c>
      <c r="R536" s="13" t="n">
        <v>1</v>
      </c>
      <c r="S536" s="14" t="n">
        <v>1.11</v>
      </c>
      <c r="T536" s="14" t="n">
        <v>0.11</v>
      </c>
      <c r="U536" s="26">
        <f>IF(X536&gt;='Methodology &amp; Assumptions'!$B$7, "Tier 1 Critical GIDA (Score ≥ 50.0)", IF(X536&gt;='Methodology &amp; Assumptions'!$B$8, "Tier 2 High GIDA (Score 40.0–49.9)", "Tier 3 Moderate GIDA (Score &lt; 40.0)"))</f>
        <v/>
      </c>
      <c r="V536" s="26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W536" s="28" t="n">
        <v>0.109</v>
      </c>
      <c r="X536" s="14" t="n">
        <v>46.46</v>
      </c>
      <c r="Y536" s="14">
        <f>ROUND(MIN(100, (X536/69.91)*100), 2)</f>
        <v/>
      </c>
    </row>
    <row r="537">
      <c r="A537" s="10" t="n">
        <v>4</v>
      </c>
      <c r="B537" s="10" t="n">
        <v>533</v>
      </c>
      <c r="C537" s="10" t="n">
        <v>3533</v>
      </c>
      <c r="D537" s="10" t="inlineStr">
        <is>
          <t>PH0003533</t>
        </is>
      </c>
      <c r="E537" s="26" t="inlineStr">
        <is>
          <t>NCR</t>
        </is>
      </c>
      <c r="F537" s="26" t="inlineStr">
        <is>
          <t>Metro Manila</t>
        </is>
      </c>
      <c r="G537" s="26" t="inlineStr">
        <is>
          <t>Caloocan City</t>
        </is>
      </c>
      <c r="H537" s="26" t="inlineStr">
        <is>
          <t>Barangay 170</t>
        </is>
      </c>
      <c r="I537" s="27" t="n">
        <v>14.396676</v>
      </c>
      <c r="J537" s="27" t="n">
        <v>121.569132</v>
      </c>
      <c r="K537" s="10" t="inlineStr">
        <is>
          <t>R</t>
        </is>
      </c>
      <c r="L537" s="12" t="n">
        <v>2279</v>
      </c>
      <c r="M537" s="14" t="n">
        <v>3.8</v>
      </c>
      <c r="N537" s="12">
        <f>ROUND(L537/M537, 0)</f>
        <v/>
      </c>
      <c r="O537" s="12">
        <f>ROUND(N537*'Methodology &amp; Assumptions'!$B$5, 0)</f>
        <v/>
      </c>
      <c r="P537" s="10" t="inlineStr">
        <is>
          <t>Single Carrier (Band n50, 100MHz TDD)</t>
        </is>
      </c>
      <c r="Q537" s="13">
        <f>ROUNDUP(O537/'Methodology &amp; Assumptions'!$B$6, 0)</f>
        <v/>
      </c>
      <c r="R537" s="13" t="n">
        <v>1</v>
      </c>
      <c r="S537" s="14" t="n">
        <v>8.039999999999999</v>
      </c>
      <c r="T537" s="14" t="n">
        <v>9.9</v>
      </c>
      <c r="U537" s="26">
        <f>IF(X537&gt;='Methodology &amp; Assumptions'!$B$7, "Tier 1 Critical GIDA (Score ≥ 50.0)", IF(X537&gt;='Methodology &amp; Assumptions'!$B$8, "Tier 2 High GIDA (Score 40.0–49.9)", "Tier 3 Moderate GIDA (Score &lt; 40.0)"))</f>
        <v/>
      </c>
      <c r="V537" s="26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W537" s="28" t="n">
        <v>0.011</v>
      </c>
      <c r="X537" s="14" t="n">
        <v>46.45</v>
      </c>
      <c r="Y537" s="14">
        <f>ROUND(MIN(100, (X537/69.91)*100), 2)</f>
        <v/>
      </c>
    </row>
    <row r="538">
      <c r="A538" s="10" t="n">
        <v>4</v>
      </c>
      <c r="B538" s="10" t="n">
        <v>534</v>
      </c>
      <c r="C538" s="10" t="n">
        <v>3534</v>
      </c>
      <c r="D538" s="10" t="inlineStr">
        <is>
          <t>0403407019</t>
        </is>
      </c>
      <c r="E538" s="26" t="inlineStr">
        <is>
          <t>Region IV-A (CALABARZON)</t>
        </is>
      </c>
      <c r="F538" s="26" t="inlineStr">
        <is>
          <t>Laguna</t>
        </is>
      </c>
      <c r="G538" s="26" t="inlineStr">
        <is>
          <t>Cavinti</t>
        </is>
      </c>
      <c r="H538" s="26" t="inlineStr">
        <is>
          <t>Tibatib</t>
        </is>
      </c>
      <c r="I538" s="27" t="n">
        <v>14.242463</v>
      </c>
      <c r="J538" s="27" t="n">
        <v>121.543183</v>
      </c>
      <c r="K538" s="10" t="inlineStr">
        <is>
          <t>R</t>
        </is>
      </c>
      <c r="L538" s="12" t="n">
        <v>218</v>
      </c>
      <c r="M538" s="14" t="n">
        <v>3.3</v>
      </c>
      <c r="N538" s="12">
        <f>ROUND(L538/M538, 0)</f>
        <v/>
      </c>
      <c r="O538" s="12">
        <f>ROUND(N538*'Methodology &amp; Assumptions'!$B$5, 0)</f>
        <v/>
      </c>
      <c r="P538" s="10" t="inlineStr">
        <is>
          <t>Single Carrier (Band n50, 100MHz TDD)</t>
        </is>
      </c>
      <c r="Q538" s="13">
        <f>ROUNDUP(O538/'Methodology &amp; Assumptions'!$B$6, 0)</f>
        <v/>
      </c>
      <c r="R538" s="13" t="n">
        <v>1</v>
      </c>
      <c r="S538" s="14" t="n">
        <v>0.47</v>
      </c>
      <c r="T538" s="14" t="n">
        <v>9.98</v>
      </c>
      <c r="U538" s="26">
        <f>IF(X538&gt;='Methodology &amp; Assumptions'!$B$7, "Tier 1 Critical GIDA (Score ≥ 50.0)", IF(X538&gt;='Methodology &amp; Assumptions'!$B$8, "Tier 2 High GIDA (Score 40.0–49.9)", "Tier 3 Moderate GIDA (Score &lt; 40.0)"))</f>
        <v/>
      </c>
      <c r="V538" s="26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W538" s="28" t="n">
        <v>0.07200000000000001</v>
      </c>
      <c r="X538" s="14" t="n">
        <v>46.45</v>
      </c>
      <c r="Y538" s="14">
        <f>ROUND(MIN(100, (X538/69.91)*100), 2)</f>
        <v/>
      </c>
    </row>
    <row r="539">
      <c r="A539" s="10" t="n">
        <v>4</v>
      </c>
      <c r="B539" s="10" t="n">
        <v>535</v>
      </c>
      <c r="C539" s="10" t="n">
        <v>3535</v>
      </c>
      <c r="D539" s="10" t="inlineStr">
        <is>
          <t>0201524005</t>
        </is>
      </c>
      <c r="E539" s="26" t="inlineStr">
        <is>
          <t>Region II (Cagayan Valley)</t>
        </is>
      </c>
      <c r="F539" s="26" t="inlineStr">
        <is>
          <t>Cagayan</t>
        </is>
      </c>
      <c r="G539" s="26" t="inlineStr">
        <is>
          <t>Santa Praxedes</t>
        </is>
      </c>
      <c r="H539" s="26" t="inlineStr">
        <is>
          <t>Macatel</t>
        </is>
      </c>
      <c r="I539" s="27" t="n">
        <v>18.544387</v>
      </c>
      <c r="J539" s="27" t="n">
        <v>121.004124</v>
      </c>
      <c r="K539" s="10" t="inlineStr">
        <is>
          <t>R</t>
        </is>
      </c>
      <c r="L539" s="12" t="n">
        <v>151</v>
      </c>
      <c r="M539" s="14" t="n">
        <v>3.9</v>
      </c>
      <c r="N539" s="12">
        <f>ROUND(L539/M539, 0)</f>
        <v/>
      </c>
      <c r="O539" s="12">
        <f>ROUND(N539*'Methodology &amp; Assumptions'!$B$5, 0)</f>
        <v/>
      </c>
      <c r="P539" s="10" t="inlineStr">
        <is>
          <t>Single Carrier (Band n50, 100MHz TDD)</t>
        </is>
      </c>
      <c r="Q539" s="13">
        <f>ROUNDUP(O539/'Methodology &amp; Assumptions'!$B$6, 0)</f>
        <v/>
      </c>
      <c r="R539" s="13" t="n">
        <v>1</v>
      </c>
      <c r="S539" s="14" t="n">
        <v>2.28</v>
      </c>
      <c r="T539" s="14" t="n">
        <v>0.18</v>
      </c>
      <c r="U539" s="26">
        <f>IF(X539&gt;='Methodology &amp; Assumptions'!$B$7, "Tier 1 Critical GIDA (Score ≥ 50.0)", IF(X539&gt;='Methodology &amp; Assumptions'!$B$8, "Tier 2 High GIDA (Score 40.0–49.9)", "Tier 3 Moderate GIDA (Score &lt; 40.0)"))</f>
        <v/>
      </c>
      <c r="V539" s="26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W539" s="28" t="n">
        <v>0.083</v>
      </c>
      <c r="X539" s="14" t="n">
        <v>46.45</v>
      </c>
      <c r="Y539" s="14">
        <f>ROUND(MIN(100, (X539/69.91)*100), 2)</f>
        <v/>
      </c>
    </row>
    <row r="540">
      <c r="A540" s="10" t="n">
        <v>4</v>
      </c>
      <c r="B540" s="10" t="n">
        <v>536</v>
      </c>
      <c r="C540" s="10" t="n">
        <v>3536</v>
      </c>
      <c r="D540" s="10" t="inlineStr">
        <is>
          <t>0802607022</t>
        </is>
      </c>
      <c r="E540" s="26" t="inlineStr">
        <is>
          <t>Region VIII (Eastern Visayas)</t>
        </is>
      </c>
      <c r="F540" s="26" t="inlineStr">
        <is>
          <t>Eastern Samar</t>
        </is>
      </c>
      <c r="G540" s="26" t="inlineStr">
        <is>
          <t>General Macarthur</t>
        </is>
      </c>
      <c r="H540" s="26" t="inlineStr">
        <is>
          <t>San Roque</t>
        </is>
      </c>
      <c r="I540" s="27" t="n">
        <v>11.222048</v>
      </c>
      <c r="J540" s="27" t="n">
        <v>125.493329</v>
      </c>
      <c r="K540" s="10" t="inlineStr">
        <is>
          <t>R</t>
        </is>
      </c>
      <c r="L540" s="12" t="n">
        <v>105</v>
      </c>
      <c r="M540" s="14" t="n">
        <v>3.9</v>
      </c>
      <c r="N540" s="12">
        <f>ROUND(L540/M540, 0)</f>
        <v/>
      </c>
      <c r="O540" s="12">
        <f>ROUND(N540*'Methodology &amp; Assumptions'!$B$5, 0)</f>
        <v/>
      </c>
      <c r="P540" s="10" t="inlineStr">
        <is>
          <t>Single Carrier (Band n50, 100MHz TDD)</t>
        </is>
      </c>
      <c r="Q540" s="13">
        <f>ROUNDUP(O540/'Methodology &amp; Assumptions'!$B$6, 0)</f>
        <v/>
      </c>
      <c r="R540" s="13" t="n">
        <v>1</v>
      </c>
      <c r="S540" s="14" t="n">
        <v>52.79</v>
      </c>
      <c r="T540" s="14" t="n">
        <v>51.66</v>
      </c>
      <c r="U540" s="26">
        <f>IF(X540&gt;='Methodology &amp; Assumptions'!$B$7, "Tier 1 Critical GIDA (Score ≥ 50.0)", IF(X540&gt;='Methodology &amp; Assumptions'!$B$8, "Tier 2 High GIDA (Score 40.0–49.9)", "Tier 3 Moderate GIDA (Score &lt; 40.0)"))</f>
        <v/>
      </c>
      <c r="V540" s="26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W540" s="28" t="n">
        <v>0.237</v>
      </c>
      <c r="X540" s="14" t="n">
        <v>46.45</v>
      </c>
      <c r="Y540" s="14">
        <f>ROUND(MIN(100, (X540/69.91)*100), 2)</f>
        <v/>
      </c>
    </row>
    <row r="541">
      <c r="A541" s="10" t="n">
        <v>4</v>
      </c>
      <c r="B541" s="10" t="n">
        <v>537</v>
      </c>
      <c r="C541" s="10" t="n">
        <v>3537</v>
      </c>
      <c r="D541" s="10" t="inlineStr">
        <is>
          <t>PH0003537</t>
        </is>
      </c>
      <c r="E541" s="26" t="inlineStr">
        <is>
          <t>CAR</t>
        </is>
      </c>
      <c r="F541" s="26" t="inlineStr">
        <is>
          <t>Benguet</t>
        </is>
      </c>
      <c r="G541" s="26" t="inlineStr">
        <is>
          <t>Baguio City</t>
        </is>
      </c>
      <c r="H541" s="26" t="inlineStr">
        <is>
          <t>Kayang-Hilltop</t>
        </is>
      </c>
      <c r="I541" s="27" t="n">
        <v>16.428487</v>
      </c>
      <c r="J541" s="27" t="n">
        <v>120.532501</v>
      </c>
      <c r="K541" s="10" t="inlineStr">
        <is>
          <t>R</t>
        </is>
      </c>
      <c r="L541" s="12" t="n">
        <v>2260</v>
      </c>
      <c r="M541" s="14" t="n">
        <v>3.5</v>
      </c>
      <c r="N541" s="12">
        <f>ROUND(L541/M541, 0)</f>
        <v/>
      </c>
      <c r="O541" s="12">
        <f>ROUND(N541*'Methodology &amp; Assumptions'!$B$5, 0)</f>
        <v/>
      </c>
      <c r="P541" s="10" t="inlineStr">
        <is>
          <t>Single Carrier (Band n50, 100MHz TDD)</t>
        </is>
      </c>
      <c r="Q541" s="13">
        <f>ROUNDUP(O541/'Methodology &amp; Assumptions'!$B$6, 0)</f>
        <v/>
      </c>
      <c r="R541" s="13" t="n">
        <v>1</v>
      </c>
      <c r="S541" s="14" t="n">
        <v>2.98</v>
      </c>
      <c r="T541" s="14" t="n">
        <v>1.23</v>
      </c>
      <c r="U541" s="26">
        <f>IF(X541&gt;='Methodology &amp; Assumptions'!$B$7, "Tier 1 Critical GIDA (Score ≥ 50.0)", IF(X541&gt;='Methodology &amp; Assumptions'!$B$8, "Tier 2 High GIDA (Score 40.0–49.9)", "Tier 3 Moderate GIDA (Score &lt; 40.0)"))</f>
        <v/>
      </c>
      <c r="V541" s="26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W541" s="28" t="n">
        <v>0.221</v>
      </c>
      <c r="X541" s="14" t="n">
        <v>46.45</v>
      </c>
      <c r="Y541" s="14">
        <f>ROUND(MIN(100, (X541/69.91)*100), 2)</f>
        <v/>
      </c>
    </row>
    <row r="542">
      <c r="A542" s="10" t="n">
        <v>4</v>
      </c>
      <c r="B542" s="10" t="n">
        <v>538</v>
      </c>
      <c r="C542" s="10" t="n">
        <v>3538</v>
      </c>
      <c r="D542" s="10" t="inlineStr">
        <is>
          <t>0402106036</t>
        </is>
      </c>
      <c r="E542" s="26" t="inlineStr">
        <is>
          <t>Region IV-A (CALABARZON)</t>
        </is>
      </c>
      <c r="F542" s="26" t="inlineStr">
        <is>
          <t>Cavite</t>
        </is>
      </c>
      <c r="G542" s="26" t="inlineStr">
        <is>
          <t>City of Dasmariñas</t>
        </is>
      </c>
      <c r="H542" s="26" t="inlineStr">
        <is>
          <t>San Miguel</t>
        </is>
      </c>
      <c r="I542" s="27" t="n">
        <v>14.278715</v>
      </c>
      <c r="J542" s="27" t="n">
        <v>120.948898</v>
      </c>
      <c r="K542" s="10" t="inlineStr">
        <is>
          <t>R</t>
        </is>
      </c>
      <c r="L542" s="12" t="n">
        <v>4335</v>
      </c>
      <c r="M542" s="14" t="n">
        <v>3.4</v>
      </c>
      <c r="N542" s="12">
        <f>ROUND(L542/M542, 0)</f>
        <v/>
      </c>
      <c r="O542" s="12">
        <f>ROUND(N542*'Methodology &amp; Assumptions'!$B$5, 0)</f>
        <v/>
      </c>
      <c r="P542" s="10" t="inlineStr">
        <is>
          <t>Single Carrier (Band n50, 100MHz TDD)</t>
        </is>
      </c>
      <c r="Q542" s="13">
        <f>ROUNDUP(O542/'Methodology &amp; Assumptions'!$B$6, 0)</f>
        <v/>
      </c>
      <c r="R542" s="13" t="n">
        <v>1</v>
      </c>
      <c r="S542" s="14" t="n">
        <v>2.6</v>
      </c>
      <c r="T542" s="14" t="n">
        <v>1.33</v>
      </c>
      <c r="U542" s="26">
        <f>IF(X542&gt;='Methodology &amp; Assumptions'!$B$7, "Tier 1 Critical GIDA (Score ≥ 50.0)", IF(X542&gt;='Methodology &amp; Assumptions'!$B$8, "Tier 2 High GIDA (Score 40.0–49.9)", "Tier 3 Moderate GIDA (Score &lt; 40.0)"))</f>
        <v/>
      </c>
      <c r="V542" s="26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W542" s="28" t="n">
        <v>0.07200000000000001</v>
      </c>
      <c r="X542" s="14" t="n">
        <v>46.44</v>
      </c>
      <c r="Y542" s="14">
        <f>ROUND(MIN(100, (X542/69.91)*100), 2)</f>
        <v/>
      </c>
    </row>
    <row r="543">
      <c r="A543" s="10" t="n">
        <v>4</v>
      </c>
      <c r="B543" s="10" t="n">
        <v>539</v>
      </c>
      <c r="C543" s="10" t="n">
        <v>3539</v>
      </c>
      <c r="D543" s="10" t="inlineStr">
        <is>
          <t>1903636012</t>
        </is>
      </c>
      <c r="E543" s="26" t="inlineStr">
        <is>
          <t>Bangsamoro Autonomous Region In Muslim Mindanao (BARMM)</t>
        </is>
      </c>
      <c r="F543" s="26" t="inlineStr">
        <is>
          <t>Lanao del Sur</t>
        </is>
      </c>
      <c r="G543" s="26" t="inlineStr">
        <is>
          <t>Lumbayanague</t>
        </is>
      </c>
      <c r="H543" s="26" t="inlineStr">
        <is>
          <t>Dilimbayan</t>
        </is>
      </c>
      <c r="I543" s="27" t="n">
        <v>17.251215</v>
      </c>
      <c r="J543" s="27" t="n">
        <v>122.232408</v>
      </c>
      <c r="K543" s="10" t="inlineStr">
        <is>
          <t>R</t>
        </is>
      </c>
      <c r="L543" s="12" t="n">
        <v>936</v>
      </c>
      <c r="M543" s="14" t="n">
        <v>5.7</v>
      </c>
      <c r="N543" s="12">
        <f>ROUND(L543/M543, 0)</f>
        <v/>
      </c>
      <c r="O543" s="12">
        <f>ROUND(N543*'Methodology &amp; Assumptions'!$B$5, 0)</f>
        <v/>
      </c>
      <c r="P543" s="10" t="inlineStr">
        <is>
          <t>Single Carrier (Band n50, 100MHz TDD)</t>
        </is>
      </c>
      <c r="Q543" s="13">
        <f>ROUNDUP(O543/'Methodology &amp; Assumptions'!$B$6, 0)</f>
        <v/>
      </c>
      <c r="R543" s="13" t="n">
        <v>1</v>
      </c>
      <c r="S543" s="14" t="n">
        <v>29.45</v>
      </c>
      <c r="T543" s="14" t="n">
        <v>34.54</v>
      </c>
      <c r="U543" s="26">
        <f>IF(X543&gt;='Methodology &amp; Assumptions'!$B$7, "Tier 1 Critical GIDA (Score ≥ 50.0)", IF(X543&gt;='Methodology &amp; Assumptions'!$B$8, "Tier 2 High GIDA (Score 40.0–49.9)", "Tier 3 Moderate GIDA (Score &lt; 40.0)"))</f>
        <v/>
      </c>
      <c r="V543" s="26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W543" s="28" t="n">
        <v>0.11</v>
      </c>
      <c r="X543" s="14" t="n">
        <v>46.43</v>
      </c>
      <c r="Y543" s="14">
        <f>ROUND(MIN(100, (X543/69.91)*100), 2)</f>
        <v/>
      </c>
    </row>
    <row r="544">
      <c r="A544" s="10" t="n">
        <v>4</v>
      </c>
      <c r="B544" s="10" t="n">
        <v>540</v>
      </c>
      <c r="C544" s="10" t="n">
        <v>3540</v>
      </c>
      <c r="D544" s="10" t="inlineStr">
        <is>
          <t>0301412025</t>
        </is>
      </c>
      <c r="E544" s="26" t="inlineStr">
        <is>
          <t>Region III (Central Luzon)</t>
        </is>
      </c>
      <c r="F544" s="26" t="inlineStr">
        <is>
          <t>Bulacan</t>
        </is>
      </c>
      <c r="G544" s="26" t="inlineStr">
        <is>
          <t>City of Meycauayan</t>
        </is>
      </c>
      <c r="H544" s="26" t="inlineStr">
        <is>
          <t>Zamora</t>
        </is>
      </c>
      <c r="I544" s="27" t="n">
        <v>14.735161</v>
      </c>
      <c r="J544" s="27" t="n">
        <v>120.954252</v>
      </c>
      <c r="K544" s="10" t="inlineStr">
        <is>
          <t>U</t>
        </is>
      </c>
      <c r="L544" s="12" t="n">
        <v>2477</v>
      </c>
      <c r="M544" s="14" t="n">
        <v>3.5</v>
      </c>
      <c r="N544" s="12">
        <f>ROUND(L544/M544, 0)</f>
        <v/>
      </c>
      <c r="O544" s="12">
        <f>ROUND(N544*'Methodology &amp; Assumptions'!$B$5, 0)</f>
        <v/>
      </c>
      <c r="P544" s="10" t="inlineStr">
        <is>
          <t>Single Carrier (Band n50, 100MHz TDD)</t>
        </is>
      </c>
      <c r="Q544" s="13">
        <f>ROUNDUP(O544/'Methodology &amp; Assumptions'!$B$6, 0)</f>
        <v/>
      </c>
      <c r="R544" s="13" t="n">
        <v>1</v>
      </c>
      <c r="S544" s="14" t="n">
        <v>1.57</v>
      </c>
      <c r="T544" s="14" t="n">
        <v>0.76</v>
      </c>
      <c r="U544" s="26">
        <f>IF(X544&gt;='Methodology &amp; Assumptions'!$B$7, "Tier 1 Critical GIDA (Score ≥ 50.0)", IF(X544&gt;='Methodology &amp; Assumptions'!$B$8, "Tier 2 High GIDA (Score 40.0–49.9)", "Tier 3 Moderate GIDA (Score &lt; 40.0)"))</f>
        <v/>
      </c>
      <c r="V544" s="26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W544" s="28" t="n">
        <v>0.083</v>
      </c>
      <c r="X544" s="14" t="n">
        <v>46.43</v>
      </c>
      <c r="Y544" s="14">
        <f>ROUND(MIN(100, (X544/69.91)*100), 2)</f>
        <v/>
      </c>
    </row>
    <row r="545">
      <c r="A545" s="10" t="n">
        <v>4</v>
      </c>
      <c r="B545" s="10" t="n">
        <v>541</v>
      </c>
      <c r="C545" s="10" t="n">
        <v>3541</v>
      </c>
      <c r="D545" s="10" t="inlineStr">
        <is>
          <t>PH0003541</t>
        </is>
      </c>
      <c r="E545" s="26" t="inlineStr">
        <is>
          <t>III</t>
        </is>
      </c>
      <c r="F545" s="26" t="inlineStr">
        <is>
          <t>Pampanga</t>
        </is>
      </c>
      <c r="G545" s="26" t="inlineStr">
        <is>
          <t>San Fernando City</t>
        </is>
      </c>
      <c r="H545" s="26" t="inlineStr">
        <is>
          <t>Santo Rosario (Pob.)</t>
        </is>
      </c>
      <c r="I545" s="27" t="n">
        <v>15.059921</v>
      </c>
      <c r="J545" s="27" t="n">
        <v>120.666666</v>
      </c>
      <c r="K545" s="10" t="inlineStr">
        <is>
          <t>R</t>
        </is>
      </c>
      <c r="L545" s="12" t="n">
        <v>2334</v>
      </c>
      <c r="M545" s="14" t="n">
        <v>4</v>
      </c>
      <c r="N545" s="12">
        <f>ROUND(L545/M545, 0)</f>
        <v/>
      </c>
      <c r="O545" s="12">
        <f>ROUND(N545*'Methodology &amp; Assumptions'!$B$5, 0)</f>
        <v/>
      </c>
      <c r="P545" s="10" t="inlineStr">
        <is>
          <t>Single Carrier (Band n50, 100MHz TDD)</t>
        </is>
      </c>
      <c r="Q545" s="13">
        <f>ROUNDUP(O545/'Methodology &amp; Assumptions'!$B$6, 0)</f>
        <v/>
      </c>
      <c r="R545" s="13" t="n">
        <v>1</v>
      </c>
      <c r="S545" s="14" t="n">
        <v>2.65</v>
      </c>
      <c r="T545" s="14" t="n">
        <v>0.87</v>
      </c>
      <c r="U545" s="26">
        <f>IF(X545&gt;='Methodology &amp; Assumptions'!$B$7, "Tier 1 Critical GIDA (Score ≥ 50.0)", IF(X545&gt;='Methodology &amp; Assumptions'!$B$8, "Tier 2 High GIDA (Score 40.0–49.9)", "Tier 3 Moderate GIDA (Score &lt; 40.0)"))</f>
        <v/>
      </c>
      <c r="V545" s="26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W545" s="28" t="n">
        <v>0.083</v>
      </c>
      <c r="X545" s="14" t="n">
        <v>46.43</v>
      </c>
      <c r="Y545" s="14">
        <f>ROUND(MIN(100, (X545/69.91)*100), 2)</f>
        <v/>
      </c>
    </row>
    <row r="546">
      <c r="A546" s="10" t="n">
        <v>4</v>
      </c>
      <c r="B546" s="10" t="n">
        <v>542</v>
      </c>
      <c r="C546" s="10" t="n">
        <v>3542</v>
      </c>
      <c r="D546" s="10" t="inlineStr">
        <is>
          <t>1903610026</t>
        </is>
      </c>
      <c r="E546" s="26" t="inlineStr">
        <is>
          <t>Bangsamoro Autonomous Region In Muslim Mindanao (BARMM)</t>
        </is>
      </c>
      <c r="F546" s="26" t="inlineStr">
        <is>
          <t>Lanao del Sur</t>
        </is>
      </c>
      <c r="G546" s="26" t="inlineStr">
        <is>
          <t>Kapai</t>
        </is>
      </c>
      <c r="H546" s="26" t="inlineStr">
        <is>
          <t>Kasayanan West</t>
        </is>
      </c>
      <c r="I546" s="27" t="n">
        <v>17.254413</v>
      </c>
      <c r="J546" s="27" t="n">
        <v>122.228457</v>
      </c>
      <c r="K546" s="10" t="inlineStr">
        <is>
          <t>R</t>
        </is>
      </c>
      <c r="L546" s="12" t="n">
        <v>1171</v>
      </c>
      <c r="M546" s="14" t="n">
        <v>5.7</v>
      </c>
      <c r="N546" s="12">
        <f>ROUND(L546/M546, 0)</f>
        <v/>
      </c>
      <c r="O546" s="12">
        <f>ROUND(N546*'Methodology &amp; Assumptions'!$B$5, 0)</f>
        <v/>
      </c>
      <c r="P546" s="10" t="inlineStr">
        <is>
          <t>Single Carrier (Band n50, 100MHz TDD)</t>
        </is>
      </c>
      <c r="Q546" s="13">
        <f>ROUNDUP(O546/'Methodology &amp; Assumptions'!$B$6, 0)</f>
        <v/>
      </c>
      <c r="R546" s="13" t="n">
        <v>1</v>
      </c>
      <c r="S546" s="14" t="n">
        <v>29.35</v>
      </c>
      <c r="T546" s="14" t="n">
        <v>34.24</v>
      </c>
      <c r="U546" s="26">
        <f>IF(X546&gt;='Methodology &amp; Assumptions'!$B$7, "Tier 1 Critical GIDA (Score ≥ 50.0)", IF(X546&gt;='Methodology &amp; Assumptions'!$B$8, "Tier 2 High GIDA (Score 40.0–49.9)", "Tier 3 Moderate GIDA (Score &lt; 40.0)"))</f>
        <v/>
      </c>
      <c r="V546" s="26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W546" s="28" t="n">
        <v>0.11</v>
      </c>
      <c r="X546" s="14" t="n">
        <v>46.43</v>
      </c>
      <c r="Y546" s="14">
        <f>ROUND(MIN(100, (X546/69.91)*100), 2)</f>
        <v/>
      </c>
    </row>
    <row r="547">
      <c r="A547" s="10" t="n">
        <v>4</v>
      </c>
      <c r="B547" s="10" t="n">
        <v>543</v>
      </c>
      <c r="C547" s="10" t="n">
        <v>3543</v>
      </c>
      <c r="D547" s="10" t="inlineStr">
        <is>
          <t>1206505013</t>
        </is>
      </c>
      <c r="E547" s="26" t="inlineStr">
        <is>
          <t>Region XII (SOCCSKSARGEN)</t>
        </is>
      </c>
      <c r="F547" s="26" t="inlineStr">
        <is>
          <t>Sultan Kudarat</t>
        </is>
      </c>
      <c r="G547" s="26" t="inlineStr">
        <is>
          <t>Kalamansig</t>
        </is>
      </c>
      <c r="H547" s="26" t="inlineStr">
        <is>
          <t>Obial</t>
        </is>
      </c>
      <c r="I547" s="27" t="n">
        <v>6.578921</v>
      </c>
      <c r="J547" s="27" t="n">
        <v>124.087277</v>
      </c>
      <c r="K547" s="10" t="inlineStr">
        <is>
          <t>R</t>
        </is>
      </c>
      <c r="L547" s="12" t="n">
        <v>2464</v>
      </c>
      <c r="M547" s="14" t="n">
        <v>3.8</v>
      </c>
      <c r="N547" s="12">
        <f>ROUND(L547/M547, 0)</f>
        <v/>
      </c>
      <c r="O547" s="12">
        <f>ROUND(N547*'Methodology &amp; Assumptions'!$B$5, 0)</f>
        <v/>
      </c>
      <c r="P547" s="10" t="inlineStr">
        <is>
          <t>Single Carrier (Band n50, 100MHz TDD)</t>
        </is>
      </c>
      <c r="Q547" s="13">
        <f>ROUNDUP(O547/'Methodology &amp; Assumptions'!$B$6, 0)</f>
        <v/>
      </c>
      <c r="R547" s="13" t="n">
        <v>1</v>
      </c>
      <c r="S547" s="14" t="n">
        <v>65.91</v>
      </c>
      <c r="T547" s="14" t="n">
        <v>65.90000000000001</v>
      </c>
      <c r="U547" s="26">
        <f>IF(X547&gt;='Methodology &amp; Assumptions'!$B$7, "Tier 1 Critical GIDA (Score ≥ 50.0)", IF(X547&gt;='Methodology &amp; Assumptions'!$B$8, "Tier 2 High GIDA (Score 40.0–49.9)", "Tier 3 Moderate GIDA (Score &lt; 40.0)"))</f>
        <v/>
      </c>
      <c r="V547" s="26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W547" s="28" t="n">
        <v>0.174</v>
      </c>
      <c r="X547" s="14" t="n">
        <v>46.43</v>
      </c>
      <c r="Y547" s="14">
        <f>ROUND(MIN(100, (X547/69.91)*100), 2)</f>
        <v/>
      </c>
    </row>
    <row r="548">
      <c r="A548" s="10" t="n">
        <v>4</v>
      </c>
      <c r="B548" s="10" t="n">
        <v>544</v>
      </c>
      <c r="C548" s="10" t="n">
        <v>3544</v>
      </c>
      <c r="D548" s="10" t="inlineStr">
        <is>
          <t>PH0003544</t>
        </is>
      </c>
      <c r="E548" s="26" t="inlineStr">
        <is>
          <t>CAR</t>
        </is>
      </c>
      <c r="F548" s="26" t="inlineStr">
        <is>
          <t>Benguet</t>
        </is>
      </c>
      <c r="G548" s="26" t="inlineStr">
        <is>
          <t>Baguio City</t>
        </is>
      </c>
      <c r="H548" s="26" t="inlineStr">
        <is>
          <t>Modern Site, East</t>
        </is>
      </c>
      <c r="I548" s="27" t="n">
        <v>16.421802</v>
      </c>
      <c r="J548" s="27" t="n">
        <v>120.604951</v>
      </c>
      <c r="K548" s="10" t="inlineStr">
        <is>
          <t>R</t>
        </is>
      </c>
      <c r="L548" s="12" t="n">
        <v>2260</v>
      </c>
      <c r="M548" s="14" t="n">
        <v>3.5</v>
      </c>
      <c r="N548" s="12">
        <f>ROUND(L548/M548, 0)</f>
        <v/>
      </c>
      <c r="O548" s="12">
        <f>ROUND(N548*'Methodology &amp; Assumptions'!$B$5, 0)</f>
        <v/>
      </c>
      <c r="P548" s="10" t="inlineStr">
        <is>
          <t>Single Carrier (Band n50, 100MHz TDD)</t>
        </is>
      </c>
      <c r="Q548" s="13">
        <f>ROUNDUP(O548/'Methodology &amp; Assumptions'!$B$6, 0)</f>
        <v/>
      </c>
      <c r="R548" s="13" t="n">
        <v>1</v>
      </c>
      <c r="S548" s="14" t="n">
        <v>1.15</v>
      </c>
      <c r="T548" s="14" t="n">
        <v>1.31</v>
      </c>
      <c r="U548" s="26">
        <f>IF(X548&gt;='Methodology &amp; Assumptions'!$B$7, "Tier 1 Critical GIDA (Score ≥ 50.0)", IF(X548&gt;='Methodology &amp; Assumptions'!$B$8, "Tier 2 High GIDA (Score 40.0–49.9)", "Tier 3 Moderate GIDA (Score &lt; 40.0)"))</f>
        <v/>
      </c>
      <c r="V548" s="26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W548" s="28" t="n">
        <v>0.221</v>
      </c>
      <c r="X548" s="14" t="n">
        <v>46.42</v>
      </c>
      <c r="Y548" s="14">
        <f>ROUND(MIN(100, (X548/69.91)*100), 2)</f>
        <v/>
      </c>
    </row>
    <row r="549">
      <c r="A549" s="10" t="n">
        <v>4</v>
      </c>
      <c r="B549" s="10" t="n">
        <v>545</v>
      </c>
      <c r="C549" s="10" t="n">
        <v>3545</v>
      </c>
      <c r="D549" s="10" t="inlineStr">
        <is>
          <t>1403211019</t>
        </is>
      </c>
      <c r="E549" s="26" t="inlineStr">
        <is>
          <t>Cordillera Administrative Region (CAR)</t>
        </is>
      </c>
      <c r="F549" s="26" t="inlineStr">
        <is>
          <t>Kalinga</t>
        </is>
      </c>
      <c r="G549" s="26" t="inlineStr">
        <is>
          <t>Rizal</t>
        </is>
      </c>
      <c r="H549" s="26" t="inlineStr">
        <is>
          <t>San Pedro</t>
        </is>
      </c>
      <c r="I549" s="27" t="n">
        <v>17.5634</v>
      </c>
      <c r="J549" s="27" t="n">
        <v>121.5475</v>
      </c>
      <c r="K549" s="10" t="inlineStr">
        <is>
          <t>R</t>
        </is>
      </c>
      <c r="L549" s="12" t="n">
        <v>751</v>
      </c>
      <c r="M549" s="14" t="n">
        <v>3.6</v>
      </c>
      <c r="N549" s="12">
        <f>ROUND(L549/M549, 0)</f>
        <v/>
      </c>
      <c r="O549" s="12">
        <f>ROUND(N549*'Methodology &amp; Assumptions'!$B$5, 0)</f>
        <v/>
      </c>
      <c r="P549" s="10" t="inlineStr">
        <is>
          <t>Single Carrier (Band n50, 100MHz TDD)</t>
        </is>
      </c>
      <c r="Q549" s="13">
        <f>ROUNDUP(O549/'Methodology &amp; Assumptions'!$B$6, 0)</f>
        <v/>
      </c>
      <c r="R549" s="13" t="n">
        <v>1</v>
      </c>
      <c r="S549" s="14" t="n">
        <v>8.859999999999999</v>
      </c>
      <c r="T549" s="14" t="n">
        <v>8.81</v>
      </c>
      <c r="U549" s="26">
        <f>IF(X549&gt;='Methodology &amp; Assumptions'!$B$7, "Tier 1 Critical GIDA (Score ≥ 50.0)", IF(X549&gt;='Methodology &amp; Assumptions'!$B$8, "Tier 2 High GIDA (Score 40.0–49.9)", "Tier 3 Moderate GIDA (Score &lt; 40.0)"))</f>
        <v/>
      </c>
      <c r="V549" s="26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W549" s="28" t="n">
        <v>0.109</v>
      </c>
      <c r="X549" s="14" t="n">
        <v>46.42</v>
      </c>
      <c r="Y549" s="14">
        <f>ROUND(MIN(100, (X549/69.91)*100), 2)</f>
        <v/>
      </c>
    </row>
    <row r="550">
      <c r="A550" s="10" t="n">
        <v>4</v>
      </c>
      <c r="B550" s="10" t="n">
        <v>546</v>
      </c>
      <c r="C550" s="10" t="n">
        <v>3546</v>
      </c>
      <c r="D550" s="10" t="inlineStr">
        <is>
          <t>0405813003</t>
        </is>
      </c>
      <c r="E550" s="26" t="inlineStr">
        <is>
          <t>Region IV-A (CALABARZON)</t>
        </is>
      </c>
      <c r="F550" s="26" t="inlineStr">
        <is>
          <t>Rizal</t>
        </is>
      </c>
      <c r="G550" s="26" t="inlineStr">
        <is>
          <t>Taytay</t>
        </is>
      </c>
      <c r="H550" s="26" t="inlineStr">
        <is>
          <t>San Isidro</t>
        </is>
      </c>
      <c r="I550" s="27" t="n">
        <v>14.572829</v>
      </c>
      <c r="J550" s="27" t="n">
        <v>121.131382</v>
      </c>
      <c r="K550" s="10" t="inlineStr">
        <is>
          <t>U</t>
        </is>
      </c>
      <c r="L550" s="12" t="n">
        <v>39685</v>
      </c>
      <c r="M550" s="14" t="n">
        <v>3.6</v>
      </c>
      <c r="N550" s="12">
        <f>ROUND(L550/M550, 0)</f>
        <v/>
      </c>
      <c r="O550" s="12">
        <f>ROUND(N550*'Methodology &amp; Assumptions'!$B$5, 0)</f>
        <v/>
      </c>
      <c r="P550" s="10" t="inlineStr">
        <is>
          <t>Single Carrier (Band n50, 100MHz TDD)</t>
        </is>
      </c>
      <c r="Q550" s="13">
        <f>ROUNDUP(O550/'Methodology &amp; Assumptions'!$B$6, 0)</f>
        <v/>
      </c>
      <c r="R550" s="13" t="n">
        <v>1</v>
      </c>
      <c r="S550" s="14" t="n">
        <v>1.36</v>
      </c>
      <c r="T550" s="14" t="n">
        <v>0.31</v>
      </c>
      <c r="U550" s="26">
        <f>IF(X550&gt;='Methodology &amp; Assumptions'!$B$7, "Tier 1 Critical GIDA (Score ≥ 50.0)", IF(X550&gt;='Methodology &amp; Assumptions'!$B$8, "Tier 2 High GIDA (Score 40.0–49.9)", "Tier 3 Moderate GIDA (Score &lt; 40.0)"))</f>
        <v/>
      </c>
      <c r="V550" s="26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W550" s="28" t="n">
        <v>0.07200000000000001</v>
      </c>
      <c r="X550" s="14" t="n">
        <v>46.41</v>
      </c>
      <c r="Y550" s="14">
        <f>ROUND(MIN(100, (X550/69.91)*100), 2)</f>
        <v/>
      </c>
    </row>
    <row r="551">
      <c r="A551" s="10" t="n">
        <v>4</v>
      </c>
      <c r="B551" s="10" t="n">
        <v>547</v>
      </c>
      <c r="C551" s="10" t="n">
        <v>3547</v>
      </c>
      <c r="D551" s="10" t="inlineStr">
        <is>
          <t>PH0003547</t>
        </is>
      </c>
      <c r="E551" s="26" t="inlineStr">
        <is>
          <t>I</t>
        </is>
      </c>
      <c r="F551" s="26" t="inlineStr">
        <is>
          <t>Ilocos Norte</t>
        </is>
      </c>
      <c r="G551" s="26" t="inlineStr">
        <is>
          <t>Laoag City</t>
        </is>
      </c>
      <c r="H551" s="26" t="inlineStr">
        <is>
          <t>Bgy. No. 12, San Isidro (Pob.)</t>
        </is>
      </c>
      <c r="I551" s="27" t="n">
        <v>18.215258</v>
      </c>
      <c r="J551" s="27" t="n">
        <v>120.581742</v>
      </c>
      <c r="K551" s="10" t="inlineStr">
        <is>
          <t>R</t>
        </is>
      </c>
      <c r="L551" s="12" t="n">
        <v>2233</v>
      </c>
      <c r="M551" s="14" t="n">
        <v>3.7</v>
      </c>
      <c r="N551" s="12">
        <f>ROUND(L551/M551, 0)</f>
        <v/>
      </c>
      <c r="O551" s="12">
        <f>ROUND(N551*'Methodology &amp; Assumptions'!$B$5, 0)</f>
        <v/>
      </c>
      <c r="P551" s="10" t="inlineStr">
        <is>
          <t>Single Carrier (Band n50, 100MHz TDD)</t>
        </is>
      </c>
      <c r="Q551" s="13">
        <f>ROUNDUP(O551/'Methodology &amp; Assumptions'!$B$6, 0)</f>
        <v/>
      </c>
      <c r="R551" s="13" t="n">
        <v>1</v>
      </c>
      <c r="S551" s="14" t="n">
        <v>1.07</v>
      </c>
      <c r="T551" s="14" t="n">
        <v>1.07</v>
      </c>
      <c r="U551" s="26">
        <f>IF(X551&gt;='Methodology &amp; Assumptions'!$B$7, "Tier 1 Critical GIDA (Score ≥ 50.0)", IF(X551&gt;='Methodology &amp; Assumptions'!$B$8, "Tier 2 High GIDA (Score 40.0–49.9)", "Tier 3 Moderate GIDA (Score &lt; 40.0)"))</f>
        <v/>
      </c>
      <c r="V551" s="26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W551" s="28" t="n">
        <v>0.083</v>
      </c>
      <c r="X551" s="14" t="n">
        <v>46.41</v>
      </c>
      <c r="Y551" s="14">
        <f>ROUND(MIN(100, (X551/69.91)*100), 2)</f>
        <v/>
      </c>
    </row>
    <row r="552">
      <c r="A552" s="10" t="n">
        <v>4</v>
      </c>
      <c r="B552" s="10" t="n">
        <v>548</v>
      </c>
      <c r="C552" s="10" t="n">
        <v>3548</v>
      </c>
      <c r="D552" s="10" t="inlineStr">
        <is>
          <t>0601917005</t>
        </is>
      </c>
      <c r="E552" s="26" t="inlineStr">
        <is>
          <t>Region VI (Western Visayas)</t>
        </is>
      </c>
      <c r="F552" s="26" t="inlineStr">
        <is>
          <t>Capiz</t>
        </is>
      </c>
      <c r="G552" s="26" t="inlineStr">
        <is>
          <t>Tapaz</t>
        </is>
      </c>
      <c r="H552" s="26" t="inlineStr">
        <is>
          <t>Aglupacan</t>
        </is>
      </c>
      <c r="I552" s="27" t="n">
        <v>11.253491</v>
      </c>
      <c r="J552" s="27" t="n">
        <v>122.507565</v>
      </c>
      <c r="K552" s="10" t="inlineStr">
        <is>
          <t>R</t>
        </is>
      </c>
      <c r="L552" s="12" t="n">
        <v>182</v>
      </c>
      <c r="M552" s="14" t="n">
        <v>3.8</v>
      </c>
      <c r="N552" s="12">
        <f>ROUND(L552/M552, 0)</f>
        <v/>
      </c>
      <c r="O552" s="12">
        <f>ROUND(N552*'Methodology &amp; Assumptions'!$B$5, 0)</f>
        <v/>
      </c>
      <c r="P552" s="10" t="inlineStr">
        <is>
          <t>Single Carrier (Band n50, 100MHz TDD)</t>
        </is>
      </c>
      <c r="Q552" s="13">
        <f>ROUNDUP(O552/'Methodology &amp; Assumptions'!$B$6, 0)</f>
        <v/>
      </c>
      <c r="R552" s="13" t="n">
        <v>1</v>
      </c>
      <c r="S552" s="14" t="n">
        <v>18.45</v>
      </c>
      <c r="T552" s="14" t="n">
        <v>5.62</v>
      </c>
      <c r="U552" s="26">
        <f>IF(X552&gt;='Methodology &amp; Assumptions'!$B$7, "Tier 1 Critical GIDA (Score ≥ 50.0)", IF(X552&gt;='Methodology &amp; Assumptions'!$B$8, "Tier 2 High GIDA (Score 40.0–49.9)", "Tier 3 Moderate GIDA (Score &lt; 40.0)"))</f>
        <v/>
      </c>
      <c r="V552" s="26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W552" s="28" t="n">
        <v>0.237</v>
      </c>
      <c r="X552" s="14" t="n">
        <v>46.39</v>
      </c>
      <c r="Y552" s="14">
        <f>ROUND(MIN(100, (X552/69.91)*100), 2)</f>
        <v/>
      </c>
    </row>
    <row r="553">
      <c r="A553" s="10" t="n">
        <v>4</v>
      </c>
      <c r="B553" s="10" t="n">
        <v>549</v>
      </c>
      <c r="C553" s="10" t="n">
        <v>3549</v>
      </c>
      <c r="D553" s="10" t="inlineStr">
        <is>
          <t>1906618007</t>
        </is>
      </c>
      <c r="E553" s="26" t="inlineStr">
        <is>
          <t>Bangsamoro Autonomous Region In Muslim Mindanao (BARMM)</t>
        </is>
      </c>
      <c r="F553" s="26" t="inlineStr">
        <is>
          <t>Sulu</t>
        </is>
      </c>
      <c r="G553" s="26" t="inlineStr">
        <is>
          <t>Pandami</t>
        </is>
      </c>
      <c r="H553" s="26" t="inlineStr">
        <is>
          <t>Malanta</t>
        </is>
      </c>
      <c r="I553" s="27" t="n">
        <v>17.255631</v>
      </c>
      <c r="J553" s="27" t="n">
        <v>122.229675</v>
      </c>
      <c r="K553" s="10" t="inlineStr">
        <is>
          <t>R</t>
        </is>
      </c>
      <c r="L553" s="12" t="n">
        <v>1805</v>
      </c>
      <c r="M553" s="14" t="n">
        <v>6</v>
      </c>
      <c r="N553" s="12">
        <f>ROUND(L553/M553, 0)</f>
        <v/>
      </c>
      <c r="O553" s="12">
        <f>ROUND(N553*'Methodology &amp; Assumptions'!$B$5, 0)</f>
        <v/>
      </c>
      <c r="P553" s="10" t="inlineStr">
        <is>
          <t>Single Carrier (Band n50, 100MHz TDD)</t>
        </is>
      </c>
      <c r="Q553" s="13">
        <f>ROUNDUP(O553/'Methodology &amp; Assumptions'!$B$6, 0)</f>
        <v/>
      </c>
      <c r="R553" s="13" t="n">
        <v>1</v>
      </c>
      <c r="S553" s="14" t="n">
        <v>29.54</v>
      </c>
      <c r="T553" s="14" t="n">
        <v>34.4</v>
      </c>
      <c r="U553" s="26">
        <f>IF(X553&gt;='Methodology &amp; Assumptions'!$B$7, "Tier 1 Critical GIDA (Score ≥ 50.0)", IF(X553&gt;='Methodology &amp; Assumptions'!$B$8, "Tier 2 High GIDA (Score 40.0–49.9)", "Tier 3 Moderate GIDA (Score &lt; 40.0)"))</f>
        <v/>
      </c>
      <c r="V553" s="26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W553" s="28" t="n">
        <v>0.11</v>
      </c>
      <c r="X553" s="14" t="n">
        <v>46.38</v>
      </c>
      <c r="Y553" s="14">
        <f>ROUND(MIN(100, (X553/69.91)*100), 2)</f>
        <v/>
      </c>
    </row>
    <row r="554">
      <c r="A554" s="10" t="n">
        <v>4</v>
      </c>
      <c r="B554" s="10" t="n">
        <v>550</v>
      </c>
      <c r="C554" s="10" t="n">
        <v>3550</v>
      </c>
      <c r="D554" s="10" t="inlineStr">
        <is>
          <t>1907009021</t>
        </is>
      </c>
      <c r="E554" s="26" t="inlineStr">
        <is>
          <t>Bangsamoro Autonomous Region In Muslim Mindanao (BARMM)</t>
        </is>
      </c>
      <c r="F554" s="26" t="inlineStr">
        <is>
          <t>Tawi-Tawi</t>
        </is>
      </c>
      <c r="G554" s="26" t="inlineStr">
        <is>
          <t>Languyan</t>
        </is>
      </c>
      <c r="H554" s="26" t="inlineStr">
        <is>
          <t>Sikullis</t>
        </is>
      </c>
      <c r="I554" s="27" t="n">
        <v>17.255781</v>
      </c>
      <c r="J554" s="27" t="n">
        <v>122.229825</v>
      </c>
      <c r="K554" s="10" t="inlineStr">
        <is>
          <t>R</t>
        </is>
      </c>
      <c r="L554" s="12" t="n">
        <v>1346</v>
      </c>
      <c r="M554" s="14" t="n">
        <v>5.8</v>
      </c>
      <c r="N554" s="12">
        <f>ROUND(L554/M554, 0)</f>
        <v/>
      </c>
      <c r="O554" s="12">
        <f>ROUND(N554*'Methodology &amp; Assumptions'!$B$5, 0)</f>
        <v/>
      </c>
      <c r="P554" s="10" t="inlineStr">
        <is>
          <t>Single Carrier (Band n50, 100MHz TDD)</t>
        </is>
      </c>
      <c r="Q554" s="13">
        <f>ROUNDUP(O554/'Methodology &amp; Assumptions'!$B$6, 0)</f>
        <v/>
      </c>
      <c r="R554" s="13" t="n">
        <v>1</v>
      </c>
      <c r="S554" s="14" t="n">
        <v>29.56</v>
      </c>
      <c r="T554" s="14" t="n">
        <v>34.42</v>
      </c>
      <c r="U554" s="26">
        <f>IF(X554&gt;='Methodology &amp; Assumptions'!$B$7, "Tier 1 Critical GIDA (Score ≥ 50.0)", IF(X554&gt;='Methodology &amp; Assumptions'!$B$8, "Tier 2 High GIDA (Score 40.0–49.9)", "Tier 3 Moderate GIDA (Score &lt; 40.0)"))</f>
        <v/>
      </c>
      <c r="V554" s="26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W554" s="28" t="n">
        <v>0.11</v>
      </c>
      <c r="X554" s="14" t="n">
        <v>46.38</v>
      </c>
      <c r="Y554" s="14">
        <f>ROUND(MIN(100, (X554/69.91)*100), 2)</f>
        <v/>
      </c>
    </row>
    <row r="555">
      <c r="A555" s="10" t="n">
        <v>4</v>
      </c>
      <c r="B555" s="10" t="n">
        <v>551</v>
      </c>
      <c r="C555" s="10" t="n">
        <v>3551</v>
      </c>
      <c r="D555" s="10" t="inlineStr">
        <is>
          <t>PH0003551</t>
        </is>
      </c>
      <c r="E555" s="26" t="inlineStr">
        <is>
          <t>IV-A</t>
        </is>
      </c>
      <c r="F555" s="26" t="inlineStr">
        <is>
          <t>Cavite</t>
        </is>
      </c>
      <c r="G555" s="26" t="inlineStr">
        <is>
          <t>City of Bacoor</t>
        </is>
      </c>
      <c r="H555" s="26" t="inlineStr">
        <is>
          <t>Talaba 3</t>
        </is>
      </c>
      <c r="I555" s="27" t="n">
        <v>14.389806</v>
      </c>
      <c r="J555" s="27" t="n">
        <v>120.788456</v>
      </c>
      <c r="K555" s="10" t="inlineStr">
        <is>
          <t>R</t>
        </is>
      </c>
      <c r="L555" s="12" t="n">
        <v>9584</v>
      </c>
      <c r="M555" s="14" t="n">
        <v>3.4</v>
      </c>
      <c r="N555" s="12">
        <f>ROUND(L555/M555, 0)</f>
        <v/>
      </c>
      <c r="O555" s="12">
        <f>ROUND(N555*'Methodology &amp; Assumptions'!$B$5, 0)</f>
        <v/>
      </c>
      <c r="P555" s="10" t="inlineStr">
        <is>
          <t>Single Carrier (Band n50, 100MHz TDD)</t>
        </is>
      </c>
      <c r="Q555" s="13">
        <f>ROUNDUP(O555/'Methodology &amp; Assumptions'!$B$6, 0)</f>
        <v/>
      </c>
      <c r="R555" s="13" t="n">
        <v>1</v>
      </c>
      <c r="S555" s="14" t="n">
        <v>4.31</v>
      </c>
      <c r="T555" s="14" t="n">
        <v>4.02</v>
      </c>
      <c r="U555" s="26">
        <f>IF(X555&gt;='Methodology &amp; Assumptions'!$B$7, "Tier 1 Critical GIDA (Score ≥ 50.0)", IF(X555&gt;='Methodology &amp; Assumptions'!$B$8, "Tier 2 High GIDA (Score 40.0–49.9)", "Tier 3 Moderate GIDA (Score &lt; 40.0)"))</f>
        <v/>
      </c>
      <c r="V555" s="26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W555" s="28" t="n">
        <v>0.07200000000000001</v>
      </c>
      <c r="X555" s="14" t="n">
        <v>46.38</v>
      </c>
      <c r="Y555" s="14">
        <f>ROUND(MIN(100, (X555/69.91)*100), 2)</f>
        <v/>
      </c>
    </row>
    <row r="556">
      <c r="A556" s="10" t="n">
        <v>4</v>
      </c>
      <c r="B556" s="10" t="n">
        <v>552</v>
      </c>
      <c r="C556" s="10" t="n">
        <v>3552</v>
      </c>
      <c r="D556" s="10" t="inlineStr">
        <is>
          <t>1908705019</t>
        </is>
      </c>
      <c r="E556" s="26" t="inlineStr">
        <is>
          <t>Bangsamoro Autonomous Region In Muslim Mindanao (BARMM)</t>
        </is>
      </c>
      <c r="F556" s="26" t="inlineStr">
        <is>
          <t>Maguindanao del Norte</t>
        </is>
      </c>
      <c r="G556" s="26" t="inlineStr">
        <is>
          <t>Datu Odin Sinsuat</t>
        </is>
      </c>
      <c r="H556" s="26" t="inlineStr">
        <is>
          <t>Labungan</t>
        </is>
      </c>
      <c r="I556" s="27" t="n">
        <v>17.253902</v>
      </c>
      <c r="J556" s="27" t="n">
        <v>122.227946</v>
      </c>
      <c r="K556" s="10" t="inlineStr">
        <is>
          <t>R</t>
        </is>
      </c>
      <c r="L556" s="12" t="n">
        <v>6968</v>
      </c>
      <c r="M556" s="14" t="n">
        <v>4.3</v>
      </c>
      <c r="N556" s="12">
        <f>ROUND(L556/M556, 0)</f>
        <v/>
      </c>
      <c r="O556" s="12">
        <f>ROUND(N556*'Methodology &amp; Assumptions'!$B$5, 0)</f>
        <v/>
      </c>
      <c r="P556" s="10" t="inlineStr">
        <is>
          <t>Single Carrier (Band n50, 100MHz TDD)</t>
        </is>
      </c>
      <c r="Q556" s="13">
        <f>ROUNDUP(O556/'Methodology &amp; Assumptions'!$B$6, 0)</f>
        <v/>
      </c>
      <c r="R556" s="13" t="n">
        <v>1</v>
      </c>
      <c r="S556" s="14" t="n">
        <v>29.27</v>
      </c>
      <c r="T556" s="14" t="n">
        <v>34.17</v>
      </c>
      <c r="U556" s="26">
        <f>IF(X556&gt;='Methodology &amp; Assumptions'!$B$7, "Tier 1 Critical GIDA (Score ≥ 50.0)", IF(X556&gt;='Methodology &amp; Assumptions'!$B$8, "Tier 2 High GIDA (Score 40.0–49.9)", "Tier 3 Moderate GIDA (Score &lt; 40.0)"))</f>
        <v/>
      </c>
      <c r="V556" s="26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W556" s="28" t="n">
        <v>0.11</v>
      </c>
      <c r="X556" s="14" t="n">
        <v>46.38</v>
      </c>
      <c r="Y556" s="14">
        <f>ROUND(MIN(100, (X556/69.91)*100), 2)</f>
        <v/>
      </c>
    </row>
    <row r="557">
      <c r="A557" s="10" t="n">
        <v>4</v>
      </c>
      <c r="B557" s="10" t="n">
        <v>553</v>
      </c>
      <c r="C557" s="10" t="n">
        <v>3553</v>
      </c>
      <c r="D557" s="10" t="inlineStr">
        <is>
          <t>1903631002</t>
        </is>
      </c>
      <c r="E557" s="26" t="inlineStr">
        <is>
          <t>Bangsamoro Autonomous Region In Muslim Mindanao (BARMM)</t>
        </is>
      </c>
      <c r="F557" s="26" t="inlineStr">
        <is>
          <t>Lanao del Sur</t>
        </is>
      </c>
      <c r="G557" s="26" t="inlineStr">
        <is>
          <t>Marogong</t>
        </is>
      </c>
      <c r="H557" s="26" t="inlineStr">
        <is>
          <t>Bagumbayan</t>
        </is>
      </c>
      <c r="I557" s="27" t="n">
        <v>15.643807</v>
      </c>
      <c r="J557" s="27" t="n">
        <v>122.555258</v>
      </c>
      <c r="K557" s="10" t="inlineStr">
        <is>
          <t>R</t>
        </is>
      </c>
      <c r="L557" s="12" t="n">
        <v>1156</v>
      </c>
      <c r="M557" s="14" t="n">
        <v>5.7</v>
      </c>
      <c r="N557" s="12">
        <f>ROUND(L557/M557, 0)</f>
        <v/>
      </c>
      <c r="O557" s="12">
        <f>ROUND(N557*'Methodology &amp; Assumptions'!$B$5, 0)</f>
        <v/>
      </c>
      <c r="P557" s="10" t="inlineStr">
        <is>
          <t>Single Carrier (Band n50, 100MHz TDD)</t>
        </is>
      </c>
      <c r="Q557" s="13">
        <f>ROUNDUP(O557/'Methodology &amp; Assumptions'!$B$6, 0)</f>
        <v/>
      </c>
      <c r="R557" s="13" t="n">
        <v>1</v>
      </c>
      <c r="S557" s="14" t="n">
        <v>83.31999999999999</v>
      </c>
      <c r="T557" s="14" t="n">
        <v>82.15000000000001</v>
      </c>
      <c r="U557" s="26">
        <f>IF(X557&gt;='Methodology &amp; Assumptions'!$B$7, "Tier 1 Critical GIDA (Score ≥ 50.0)", IF(X557&gt;='Methodology &amp; Assumptions'!$B$8, "Tier 2 High GIDA (Score 40.0–49.9)", "Tier 3 Moderate GIDA (Score &lt; 40.0)"))</f>
        <v/>
      </c>
      <c r="V557" s="26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W557" s="28" t="n">
        <v>0.11</v>
      </c>
      <c r="X557" s="14" t="n">
        <v>46.38</v>
      </c>
      <c r="Y557" s="14">
        <f>ROUND(MIN(100, (X557/69.91)*100), 2)</f>
        <v/>
      </c>
    </row>
    <row r="558">
      <c r="A558" s="10" t="n">
        <v>4</v>
      </c>
      <c r="B558" s="10" t="n">
        <v>554</v>
      </c>
      <c r="C558" s="10" t="n">
        <v>3554</v>
      </c>
      <c r="D558" s="10" t="inlineStr">
        <is>
          <t>PH0003554</t>
        </is>
      </c>
      <c r="E558" s="26" t="inlineStr">
        <is>
          <t>VIII</t>
        </is>
      </c>
      <c r="F558" s="26" t="inlineStr">
        <is>
          <t>Leyte</t>
        </is>
      </c>
      <c r="G558" s="26" t="inlineStr">
        <is>
          <t>Tacloban City</t>
        </is>
      </c>
      <c r="H558" s="26" t="inlineStr">
        <is>
          <t>Barangay 49</t>
        </is>
      </c>
      <c r="I558" s="27" t="n">
        <v>11.239779</v>
      </c>
      <c r="J558" s="27" t="n">
        <v>124.99864</v>
      </c>
      <c r="K558" s="10" t="inlineStr">
        <is>
          <t>R</t>
        </is>
      </c>
      <c r="L558" s="12" t="n">
        <v>2258</v>
      </c>
      <c r="M558" s="14" t="n">
        <v>3.8</v>
      </c>
      <c r="N558" s="12">
        <f>ROUND(L558/M558, 0)</f>
        <v/>
      </c>
      <c r="O558" s="12">
        <f>ROUND(N558*'Methodology &amp; Assumptions'!$B$5, 0)</f>
        <v/>
      </c>
      <c r="P558" s="10" t="inlineStr">
        <is>
          <t>Single Carrier (Band n50, 100MHz TDD)</t>
        </is>
      </c>
      <c r="Q558" s="13">
        <f>ROUNDUP(O558/'Methodology &amp; Assumptions'!$B$6, 0)</f>
        <v/>
      </c>
      <c r="R558" s="13" t="n">
        <v>1</v>
      </c>
      <c r="S558" s="14" t="n">
        <v>0.41</v>
      </c>
      <c r="T558" s="14" t="n">
        <v>3.25</v>
      </c>
      <c r="U558" s="26">
        <f>IF(X558&gt;='Methodology &amp; Assumptions'!$B$7, "Tier 1 Critical GIDA (Score ≥ 50.0)", IF(X558&gt;='Methodology &amp; Assumptions'!$B$8, "Tier 2 High GIDA (Score 40.0–49.9)", "Tier 3 Moderate GIDA (Score &lt; 40.0)"))</f>
        <v/>
      </c>
      <c r="V558" s="26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W558" s="28" t="n">
        <v>0.222</v>
      </c>
      <c r="X558" s="14" t="n">
        <v>46.38</v>
      </c>
      <c r="Y558" s="14">
        <f>ROUND(MIN(100, (X558/69.91)*100), 2)</f>
        <v/>
      </c>
    </row>
    <row r="559">
      <c r="A559" s="10" t="n">
        <v>4</v>
      </c>
      <c r="B559" s="10" t="n">
        <v>555</v>
      </c>
      <c r="C559" s="10" t="n">
        <v>3555</v>
      </c>
      <c r="D559" s="10" t="inlineStr">
        <is>
          <t>PH0003555</t>
        </is>
      </c>
      <c r="E559" s="26" t="inlineStr">
        <is>
          <t>XI</t>
        </is>
      </c>
      <c r="F559" s="26" t="inlineStr">
        <is>
          <t>Davao Del Sur</t>
        </is>
      </c>
      <c r="G559" s="26" t="inlineStr">
        <is>
          <t>Davao City</t>
        </is>
      </c>
      <c r="H559" s="26" t="inlineStr">
        <is>
          <t>Barangay 39-D (Pob.)</t>
        </is>
      </c>
      <c r="I559" s="27" t="n">
        <v>7.172184</v>
      </c>
      <c r="J559" s="27" t="n">
        <v>125.4513</v>
      </c>
      <c r="K559" s="10" t="inlineStr">
        <is>
          <t>R</t>
        </is>
      </c>
      <c r="L559" s="12" t="n">
        <v>2280</v>
      </c>
      <c r="M559" s="14" t="n">
        <v>3.4</v>
      </c>
      <c r="N559" s="12">
        <f>ROUND(L559/M559, 0)</f>
        <v/>
      </c>
      <c r="O559" s="12">
        <f>ROUND(N559*'Methodology &amp; Assumptions'!$B$5, 0)</f>
        <v/>
      </c>
      <c r="P559" s="10" t="inlineStr">
        <is>
          <t>Single Carrier (Band n50, 100MHz TDD)</t>
        </is>
      </c>
      <c r="Q559" s="13">
        <f>ROUNDUP(O559/'Methodology &amp; Assumptions'!$B$6, 0)</f>
        <v/>
      </c>
      <c r="R559" s="13" t="n">
        <v>1</v>
      </c>
      <c r="S559" s="14" t="n">
        <v>1.59</v>
      </c>
      <c r="T559" s="14" t="n">
        <v>1.03</v>
      </c>
      <c r="U559" s="26">
        <f>IF(X559&gt;='Methodology &amp; Assumptions'!$B$7, "Tier 1 Critical GIDA (Score ≥ 50.0)", IF(X559&gt;='Methodology &amp; Assumptions'!$B$8, "Tier 2 High GIDA (Score 40.0–49.9)", "Tier 3 Moderate GIDA (Score &lt; 40.0)"))</f>
        <v/>
      </c>
      <c r="V559" s="26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W559" s="28" t="n">
        <v>0.119</v>
      </c>
      <c r="X559" s="14" t="n">
        <v>46.37</v>
      </c>
      <c r="Y559" s="14">
        <f>ROUND(MIN(100, (X559/69.91)*100), 2)</f>
        <v/>
      </c>
    </row>
    <row r="560">
      <c r="A560" s="10" t="n">
        <v>4</v>
      </c>
      <c r="B560" s="10" t="n">
        <v>556</v>
      </c>
      <c r="C560" s="10" t="n">
        <v>3556</v>
      </c>
      <c r="D560" s="10" t="inlineStr">
        <is>
          <t>1906607007</t>
        </is>
      </c>
      <c r="E560" s="26" t="inlineStr">
        <is>
          <t>Bangsamoro Autonomous Region In Muslim Mindanao (BARMM)</t>
        </is>
      </c>
      <c r="F560" s="26" t="inlineStr">
        <is>
          <t>Sulu</t>
        </is>
      </c>
      <c r="G560" s="26" t="inlineStr">
        <is>
          <t>Old Panamao</t>
        </is>
      </c>
      <c r="H560" s="26" t="inlineStr">
        <is>
          <t>Bulangsi</t>
        </is>
      </c>
      <c r="I560" s="27" t="n">
        <v>17.255564</v>
      </c>
      <c r="J560" s="27" t="n">
        <v>122.229608</v>
      </c>
      <c r="K560" s="10" t="inlineStr">
        <is>
          <t>R</t>
        </is>
      </c>
      <c r="L560" s="12" t="n">
        <v>1808</v>
      </c>
      <c r="M560" s="14" t="n">
        <v>6</v>
      </c>
      <c r="N560" s="12">
        <f>ROUND(L560/M560, 0)</f>
        <v/>
      </c>
      <c r="O560" s="12">
        <f>ROUND(N560*'Methodology &amp; Assumptions'!$B$5, 0)</f>
        <v/>
      </c>
      <c r="P560" s="10" t="inlineStr">
        <is>
          <t>Single Carrier (Band n50, 100MHz TDD)</t>
        </is>
      </c>
      <c r="Q560" s="13">
        <f>ROUNDUP(O560/'Methodology &amp; Assumptions'!$B$6, 0)</f>
        <v/>
      </c>
      <c r="R560" s="13" t="n">
        <v>1</v>
      </c>
      <c r="S560" s="14" t="n">
        <v>29.53</v>
      </c>
      <c r="T560" s="14" t="n">
        <v>34.39</v>
      </c>
      <c r="U560" s="26">
        <f>IF(X560&gt;='Methodology &amp; Assumptions'!$B$7, "Tier 1 Critical GIDA (Score ≥ 50.0)", IF(X560&gt;='Methodology &amp; Assumptions'!$B$8, "Tier 2 High GIDA (Score 40.0–49.9)", "Tier 3 Moderate GIDA (Score &lt; 40.0)"))</f>
        <v/>
      </c>
      <c r="V560" s="26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W560" s="28" t="n">
        <v>0.11</v>
      </c>
      <c r="X560" s="14" t="n">
        <v>46.36</v>
      </c>
      <c r="Y560" s="14">
        <f>ROUND(MIN(100, (X560/69.91)*100), 2)</f>
        <v/>
      </c>
    </row>
    <row r="561">
      <c r="A561" s="10" t="n">
        <v>4</v>
      </c>
      <c r="B561" s="10" t="n">
        <v>557</v>
      </c>
      <c r="C561" s="10" t="n">
        <v>3557</v>
      </c>
      <c r="D561" s="10" t="inlineStr">
        <is>
          <t>PH0003557</t>
        </is>
      </c>
      <c r="E561" s="26" t="inlineStr">
        <is>
          <t>IV-A</t>
        </is>
      </c>
      <c r="F561" s="26" t="inlineStr">
        <is>
          <t>Cavite</t>
        </is>
      </c>
      <c r="G561" s="26" t="inlineStr">
        <is>
          <t>City of Bacoor</t>
        </is>
      </c>
      <c r="H561" s="26" t="inlineStr">
        <is>
          <t>Talaba 2</t>
        </is>
      </c>
      <c r="I561" s="27" t="n">
        <v>14.18799</v>
      </c>
      <c r="J561" s="27" t="n">
        <v>120.786402</v>
      </c>
      <c r="K561" s="10" t="inlineStr">
        <is>
          <t>R</t>
        </is>
      </c>
      <c r="L561" s="12" t="n">
        <v>9584</v>
      </c>
      <c r="M561" s="14" t="n">
        <v>3.4</v>
      </c>
      <c r="N561" s="12">
        <f>ROUND(L561/M561, 0)</f>
        <v/>
      </c>
      <c r="O561" s="12">
        <f>ROUND(N561*'Methodology &amp; Assumptions'!$B$5, 0)</f>
        <v/>
      </c>
      <c r="P561" s="10" t="inlineStr">
        <is>
          <t>Single Carrier (Band n50, 100MHz TDD)</t>
        </is>
      </c>
      <c r="Q561" s="13">
        <f>ROUNDUP(O561/'Methodology &amp; Assumptions'!$B$6, 0)</f>
        <v/>
      </c>
      <c r="R561" s="13" t="n">
        <v>1</v>
      </c>
      <c r="S561" s="14" t="n">
        <v>1.13</v>
      </c>
      <c r="T561" s="14" t="n">
        <v>3.21</v>
      </c>
      <c r="U561" s="26">
        <f>IF(X561&gt;='Methodology &amp; Assumptions'!$B$7, "Tier 1 Critical GIDA (Score ≥ 50.0)", IF(X561&gt;='Methodology &amp; Assumptions'!$B$8, "Tier 2 High GIDA (Score 40.0–49.9)", "Tier 3 Moderate GIDA (Score &lt; 40.0)"))</f>
        <v/>
      </c>
      <c r="V561" s="26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W561" s="28" t="n">
        <v>0.07200000000000001</v>
      </c>
      <c r="X561" s="14" t="n">
        <v>46.36</v>
      </c>
      <c r="Y561" s="14">
        <f>ROUND(MIN(100, (X561/69.91)*100), 2)</f>
        <v/>
      </c>
    </row>
    <row r="562">
      <c r="A562" s="10" t="n">
        <v>4</v>
      </c>
      <c r="B562" s="10" t="n">
        <v>558</v>
      </c>
      <c r="C562" s="10" t="n">
        <v>3558</v>
      </c>
      <c r="D562" s="10" t="inlineStr">
        <is>
          <t>PH0003558</t>
        </is>
      </c>
      <c r="E562" s="26" t="inlineStr">
        <is>
          <t>IV-B</t>
        </is>
      </c>
      <c r="F562" s="26" t="inlineStr">
        <is>
          <t>Palawan</t>
        </is>
      </c>
      <c r="G562" s="26" t="inlineStr">
        <is>
          <t>Puerto Princesa City</t>
        </is>
      </c>
      <c r="H562" s="26" t="inlineStr">
        <is>
          <t>Liwanag (Pob.)</t>
        </is>
      </c>
      <c r="I562" s="27" t="n">
        <v>9.740358000000001</v>
      </c>
      <c r="J562" s="27" t="n">
        <v>118.729003</v>
      </c>
      <c r="K562" s="10" t="inlineStr">
        <is>
          <t>R</t>
        </is>
      </c>
      <c r="L562" s="12" t="n">
        <v>2597</v>
      </c>
      <c r="M562" s="14" t="n">
        <v>3.9</v>
      </c>
      <c r="N562" s="12">
        <f>ROUND(L562/M562, 0)</f>
        <v/>
      </c>
      <c r="O562" s="12">
        <f>ROUND(N562*'Methodology &amp; Assumptions'!$B$5, 0)</f>
        <v/>
      </c>
      <c r="P562" s="10" t="inlineStr">
        <is>
          <t>Single Carrier (Band n50, 100MHz TDD)</t>
        </is>
      </c>
      <c r="Q562" s="13">
        <f>ROUNDUP(O562/'Methodology &amp; Assumptions'!$B$6, 0)</f>
        <v/>
      </c>
      <c r="R562" s="13" t="n">
        <v>1</v>
      </c>
      <c r="S562" s="14" t="n">
        <v>0.5</v>
      </c>
      <c r="T562" s="14" t="n">
        <v>2.68</v>
      </c>
      <c r="U562" s="26">
        <f>IF(X562&gt;='Methodology &amp; Assumptions'!$B$7, "Tier 1 Critical GIDA (Score ≥ 50.0)", IF(X562&gt;='Methodology &amp; Assumptions'!$B$8, "Tier 2 High GIDA (Score 40.0–49.9)", "Tier 3 Moderate GIDA (Score &lt; 40.0)"))</f>
        <v/>
      </c>
      <c r="V562" s="26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W562" s="28" t="n">
        <v>0.109</v>
      </c>
      <c r="X562" s="14" t="n">
        <v>46.36</v>
      </c>
      <c r="Y562" s="14">
        <f>ROUND(MIN(100, (X562/69.91)*100), 2)</f>
        <v/>
      </c>
    </row>
    <row r="563">
      <c r="A563" s="10" t="n">
        <v>4</v>
      </c>
      <c r="B563" s="10" t="n">
        <v>559</v>
      </c>
      <c r="C563" s="10" t="n">
        <v>3559</v>
      </c>
      <c r="D563" s="10" t="inlineStr">
        <is>
          <t>1705322009</t>
        </is>
      </c>
      <c r="E563" s="26" t="inlineStr">
        <is>
          <t>MIMAROPA Region</t>
        </is>
      </c>
      <c r="F563" s="26" t="inlineStr">
        <is>
          <t>Palawan</t>
        </is>
      </c>
      <c r="G563" s="26" t="inlineStr">
        <is>
          <t>Culion</t>
        </is>
      </c>
      <c r="H563" s="26" t="inlineStr">
        <is>
          <t>Malaking Patag</t>
        </is>
      </c>
      <c r="I563" s="27" t="n">
        <v>11.821832</v>
      </c>
      <c r="J563" s="27" t="n">
        <v>119.946836</v>
      </c>
      <c r="K563" s="10" t="inlineStr">
        <is>
          <t>R</t>
        </is>
      </c>
      <c r="L563" s="12" t="n">
        <v>2085</v>
      </c>
      <c r="M563" s="14" t="n">
        <v>3.9</v>
      </c>
      <c r="N563" s="12">
        <f>ROUND(L563/M563, 0)</f>
        <v/>
      </c>
      <c r="O563" s="12">
        <f>ROUND(N563*'Methodology &amp; Assumptions'!$B$5, 0)</f>
        <v/>
      </c>
      <c r="P563" s="10" t="inlineStr">
        <is>
          <t>Single Carrier (Band n50, 100MHz TDD)</t>
        </is>
      </c>
      <c r="Q563" s="13">
        <f>ROUNDUP(O563/'Methodology &amp; Assumptions'!$B$6, 0)</f>
        <v/>
      </c>
      <c r="R563" s="13" t="n">
        <v>1</v>
      </c>
      <c r="S563" s="14" t="n">
        <v>32.77</v>
      </c>
      <c r="T563" s="14" t="n">
        <v>120.98</v>
      </c>
      <c r="U563" s="26">
        <f>IF(X563&gt;='Methodology &amp; Assumptions'!$B$7, "Tier 1 Critical GIDA (Score ≥ 50.0)", IF(X563&gt;='Methodology &amp; Assumptions'!$B$8, "Tier 2 High GIDA (Score 40.0–49.9)", "Tier 3 Moderate GIDA (Score &lt; 40.0)"))</f>
        <v/>
      </c>
      <c r="V563" s="26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W563" s="28" t="n">
        <v>0.15</v>
      </c>
      <c r="X563" s="14" t="n">
        <v>46.36</v>
      </c>
      <c r="Y563" s="14">
        <f>ROUND(MIN(100, (X563/69.91)*100), 2)</f>
        <v/>
      </c>
    </row>
    <row r="564">
      <c r="A564" s="10" t="n">
        <v>4</v>
      </c>
      <c r="B564" s="10" t="n">
        <v>560</v>
      </c>
      <c r="C564" s="10" t="n">
        <v>3560</v>
      </c>
      <c r="D564" s="10" t="inlineStr">
        <is>
          <t>PH0003560</t>
        </is>
      </c>
      <c r="E564" s="26" t="inlineStr">
        <is>
          <t>CAR</t>
        </is>
      </c>
      <c r="F564" s="26" t="inlineStr">
        <is>
          <t>Benguet</t>
        </is>
      </c>
      <c r="G564" s="26" t="inlineStr">
        <is>
          <t>Baguio City</t>
        </is>
      </c>
      <c r="H564" s="26" t="inlineStr">
        <is>
          <t>City Camp Central</t>
        </is>
      </c>
      <c r="I564" s="27" t="n">
        <v>16.431564</v>
      </c>
      <c r="J564" s="27" t="n">
        <v>120.656159</v>
      </c>
      <c r="K564" s="10" t="inlineStr">
        <is>
          <t>R</t>
        </is>
      </c>
      <c r="L564" s="12" t="n">
        <v>2260</v>
      </c>
      <c r="M564" s="14" t="n">
        <v>3.5</v>
      </c>
      <c r="N564" s="12">
        <f>ROUND(L564/M564, 0)</f>
        <v/>
      </c>
      <c r="O564" s="12">
        <f>ROUND(N564*'Methodology &amp; Assumptions'!$B$5, 0)</f>
        <v/>
      </c>
      <c r="P564" s="10" t="inlineStr">
        <is>
          <t>Single Carrier (Band n50, 100MHz TDD)</t>
        </is>
      </c>
      <c r="Q564" s="13">
        <f>ROUNDUP(O564/'Methodology &amp; Assumptions'!$B$6, 0)</f>
        <v/>
      </c>
      <c r="R564" s="13" t="n">
        <v>1</v>
      </c>
      <c r="S564" s="14" t="n">
        <v>2.36</v>
      </c>
      <c r="T564" s="14" t="n">
        <v>0.44</v>
      </c>
      <c r="U564" s="26">
        <f>IF(X564&gt;='Methodology &amp; Assumptions'!$B$7, "Tier 1 Critical GIDA (Score ≥ 50.0)", IF(X564&gt;='Methodology &amp; Assumptions'!$B$8, "Tier 2 High GIDA (Score 40.0–49.9)", "Tier 3 Moderate GIDA (Score &lt; 40.0)"))</f>
        <v/>
      </c>
      <c r="V564" s="26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W564" s="28" t="n">
        <v>0.221</v>
      </c>
      <c r="X564" s="14" t="n">
        <v>46.35</v>
      </c>
      <c r="Y564" s="14">
        <f>ROUND(MIN(100, (X564/69.91)*100), 2)</f>
        <v/>
      </c>
    </row>
    <row r="565">
      <c r="A565" s="10" t="n">
        <v>4</v>
      </c>
      <c r="B565" s="10" t="n">
        <v>561</v>
      </c>
      <c r="C565" s="10" t="n">
        <v>3561</v>
      </c>
      <c r="D565" s="10" t="inlineStr">
        <is>
          <t>1206509039</t>
        </is>
      </c>
      <c r="E565" s="26" t="inlineStr">
        <is>
          <t>Region XII (SOCCSKSARGEN)</t>
        </is>
      </c>
      <c r="F565" s="26" t="inlineStr">
        <is>
          <t>Sultan Kudarat</t>
        </is>
      </c>
      <c r="G565" s="26" t="inlineStr">
        <is>
          <t>Palimbang</t>
        </is>
      </c>
      <c r="H565" s="26" t="inlineStr">
        <is>
          <t>Mina</t>
        </is>
      </c>
      <c r="I565" s="27" t="n">
        <v>6.232307</v>
      </c>
      <c r="J565" s="27" t="n">
        <v>124.266242</v>
      </c>
      <c r="K565" s="10" t="inlineStr">
        <is>
          <t>R</t>
        </is>
      </c>
      <c r="L565" s="12" t="n">
        <v>966</v>
      </c>
      <c r="M565" s="14" t="n">
        <v>3.8</v>
      </c>
      <c r="N565" s="12">
        <f>ROUND(L565/M565, 0)</f>
        <v/>
      </c>
      <c r="O565" s="12">
        <f>ROUND(N565*'Methodology &amp; Assumptions'!$B$5, 0)</f>
        <v/>
      </c>
      <c r="P565" s="10" t="inlineStr">
        <is>
          <t>Single Carrier (Band n50, 100MHz TDD)</t>
        </is>
      </c>
      <c r="Q565" s="13">
        <f>ROUNDUP(O565/'Methodology &amp; Assumptions'!$B$6, 0)</f>
        <v/>
      </c>
      <c r="R565" s="13" t="n">
        <v>1</v>
      </c>
      <c r="S565" s="14" t="n">
        <v>67.90000000000001</v>
      </c>
      <c r="T565" s="14" t="n">
        <v>66.42</v>
      </c>
      <c r="U565" s="26">
        <f>IF(X565&gt;='Methodology &amp; Assumptions'!$B$7, "Tier 1 Critical GIDA (Score ≥ 50.0)", IF(X565&gt;='Methodology &amp; Assumptions'!$B$8, "Tier 2 High GIDA (Score 40.0–49.9)", "Tier 3 Moderate GIDA (Score &lt; 40.0)"))</f>
        <v/>
      </c>
      <c r="V565" s="26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W565" s="28" t="n">
        <v>0.174</v>
      </c>
      <c r="X565" s="14" t="n">
        <v>46.35</v>
      </c>
      <c r="Y565" s="14">
        <f>ROUND(MIN(100, (X565/69.91)*100), 2)</f>
        <v/>
      </c>
    </row>
    <row r="566">
      <c r="A566" s="10" t="n">
        <v>4</v>
      </c>
      <c r="B566" s="10" t="n">
        <v>562</v>
      </c>
      <c r="C566" s="10" t="n">
        <v>3562</v>
      </c>
      <c r="D566" s="10" t="inlineStr">
        <is>
          <t>1108602014</t>
        </is>
      </c>
      <c r="E566" s="26" t="inlineStr">
        <is>
          <t>Region XI (Davao Region)</t>
        </is>
      </c>
      <c r="F566" s="26" t="inlineStr">
        <is>
          <t>Davao Occidental</t>
        </is>
      </c>
      <c r="G566" s="26" t="inlineStr">
        <is>
          <t>Jose Abad Santos</t>
        </is>
      </c>
      <c r="H566" s="26" t="inlineStr">
        <is>
          <t>Culaman</t>
        </is>
      </c>
      <c r="I566" s="27" t="n">
        <v>5.959666</v>
      </c>
      <c r="J566" s="27" t="n">
        <v>125.661287</v>
      </c>
      <c r="K566" s="10" t="inlineStr">
        <is>
          <t>R</t>
        </is>
      </c>
      <c r="L566" s="12" t="n">
        <v>3519</v>
      </c>
      <c r="M566" s="14" t="n">
        <v>3.6</v>
      </c>
      <c r="N566" s="12">
        <f>ROUND(L566/M566, 0)</f>
        <v/>
      </c>
      <c r="O566" s="12">
        <f>ROUND(N566*'Methodology &amp; Assumptions'!$B$5, 0)</f>
        <v/>
      </c>
      <c r="P566" s="10" t="inlineStr">
        <is>
          <t>Single Carrier (Band n50, 100MHz TDD)</t>
        </is>
      </c>
      <c r="Q566" s="13">
        <f>ROUNDUP(O566/'Methodology &amp; Assumptions'!$B$6, 0)</f>
        <v/>
      </c>
      <c r="R566" s="13" t="n">
        <v>1</v>
      </c>
      <c r="S566" s="14" t="n">
        <v>45.36</v>
      </c>
      <c r="T566" s="14" t="n">
        <v>53.95</v>
      </c>
      <c r="U566" s="26">
        <f>IF(X566&gt;='Methodology &amp; Assumptions'!$B$7, "Tier 1 Critical GIDA (Score ≥ 50.0)", IF(X566&gt;='Methodology &amp; Assumptions'!$B$8, "Tier 2 High GIDA (Score 40.0–49.9)", "Tier 3 Moderate GIDA (Score &lt; 40.0)"))</f>
        <v/>
      </c>
      <c r="V566" s="26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W566" s="28" t="n">
        <v>0.174</v>
      </c>
      <c r="X566" s="14" t="n">
        <v>46.34</v>
      </c>
      <c r="Y566" s="14">
        <f>ROUND(MIN(100, (X566/69.91)*100), 2)</f>
        <v/>
      </c>
    </row>
    <row r="567">
      <c r="A567" s="10" t="n">
        <v>4</v>
      </c>
      <c r="B567" s="10" t="n">
        <v>563</v>
      </c>
      <c r="C567" s="10" t="n">
        <v>3563</v>
      </c>
      <c r="D567" s="10" t="inlineStr">
        <is>
          <t>1380500010</t>
        </is>
      </c>
      <c r="E567" s="26" t="inlineStr">
        <is>
          <t>National Capital Region (NCR)</t>
        </is>
      </c>
      <c r="F567" s="26" t="inlineStr">
        <is>
          <t>Second District (Not a Province)</t>
        </is>
      </c>
      <c r="G567" s="26" t="inlineStr">
        <is>
          <t>City of Mandaluyong</t>
        </is>
      </c>
      <c r="H567" s="26" t="inlineStr">
        <is>
          <t>Hagdang Bato Itaas</t>
        </is>
      </c>
      <c r="I567" s="27" t="n">
        <v>14.589627</v>
      </c>
      <c r="J567" s="27" t="n">
        <v>121.030767</v>
      </c>
      <c r="K567" s="10" t="inlineStr">
        <is>
          <t>U</t>
        </is>
      </c>
      <c r="L567" s="12" t="n">
        <v>11235</v>
      </c>
      <c r="M567" s="14" t="n">
        <v>3.3</v>
      </c>
      <c r="N567" s="12">
        <f>ROUND(L567/M567, 0)</f>
        <v/>
      </c>
      <c r="O567" s="12">
        <f>ROUND(N567*'Methodology &amp; Assumptions'!$B$5, 0)</f>
        <v/>
      </c>
      <c r="P567" s="10" t="inlineStr">
        <is>
          <t>Single Carrier (Band n50, 100MHz TDD)</t>
        </is>
      </c>
      <c r="Q567" s="13">
        <f>ROUNDUP(O567/'Methodology &amp; Assumptions'!$B$6, 0)</f>
        <v/>
      </c>
      <c r="R567" s="13" t="n">
        <v>1</v>
      </c>
      <c r="S567" s="14" t="n">
        <v>0.72</v>
      </c>
      <c r="T567" s="14" t="n">
        <v>0.23</v>
      </c>
      <c r="U567" s="26">
        <f>IF(X567&gt;='Methodology &amp; Assumptions'!$B$7, "Tier 1 Critical GIDA (Score ≥ 50.0)", IF(X567&gt;='Methodology &amp; Assumptions'!$B$8, "Tier 2 High GIDA (Score 40.0–49.9)", "Tier 3 Moderate GIDA (Score &lt; 40.0)"))</f>
        <v/>
      </c>
      <c r="V567" s="26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W567" s="28" t="n">
        <v>0.109</v>
      </c>
      <c r="X567" s="14" t="n">
        <v>46.33</v>
      </c>
      <c r="Y567" s="14">
        <f>ROUND(MIN(100, (X567/69.91)*100), 2)</f>
        <v/>
      </c>
    </row>
    <row r="568">
      <c r="A568" s="10" t="n">
        <v>4</v>
      </c>
      <c r="B568" s="10" t="n">
        <v>564</v>
      </c>
      <c r="C568" s="10" t="n">
        <v>3564</v>
      </c>
      <c r="D568" s="10" t="inlineStr">
        <is>
          <t>0504101034</t>
        </is>
      </c>
      <c r="E568" s="26" t="inlineStr">
        <is>
          <t>Region V (Bicol Region)</t>
        </is>
      </c>
      <c r="F568" s="26" t="inlineStr">
        <is>
          <t>Masbate</t>
        </is>
      </c>
      <c r="G568" s="26" t="inlineStr">
        <is>
          <t>Aroroy</t>
        </is>
      </c>
      <c r="H568" s="26" t="inlineStr">
        <is>
          <t>San Isidro</t>
        </is>
      </c>
      <c r="I568" s="27" t="n">
        <v>12.429131</v>
      </c>
      <c r="J568" s="27" t="n">
        <v>123.366678</v>
      </c>
      <c r="K568" s="10" t="inlineStr">
        <is>
          <t>R</t>
        </is>
      </c>
      <c r="L568" s="12" t="n">
        <v>1177</v>
      </c>
      <c r="M568" s="14" t="n">
        <v>4.1</v>
      </c>
      <c r="N568" s="12">
        <f>ROUND(L568/M568, 0)</f>
        <v/>
      </c>
      <c r="O568" s="12">
        <f>ROUND(N568*'Methodology &amp; Assumptions'!$B$5, 0)</f>
        <v/>
      </c>
      <c r="P568" s="10" t="inlineStr">
        <is>
          <t>Single Carrier (Band n50, 100MHz TDD)</t>
        </is>
      </c>
      <c r="Q568" s="13">
        <f>ROUNDUP(O568/'Methodology &amp; Assumptions'!$B$6, 0)</f>
        <v/>
      </c>
      <c r="R568" s="13" t="n">
        <v>1</v>
      </c>
      <c r="S568" s="14" t="n">
        <v>9.69</v>
      </c>
      <c r="T568" s="14" t="n">
        <v>12.27</v>
      </c>
      <c r="U568" s="26">
        <f>IF(X568&gt;='Methodology &amp; Assumptions'!$B$7, "Tier 1 Critical GIDA (Score ≥ 50.0)", IF(X568&gt;='Methodology &amp; Assumptions'!$B$8, "Tier 2 High GIDA (Score 40.0–49.9)", "Tier 3 Moderate GIDA (Score &lt; 40.0)"))</f>
        <v/>
      </c>
      <c r="V568" s="26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W568" s="28" t="n">
        <v>0.237</v>
      </c>
      <c r="X568" s="14" t="n">
        <v>46.32</v>
      </c>
      <c r="Y568" s="14">
        <f>ROUND(MIN(100, (X568/69.91)*100), 2)</f>
        <v/>
      </c>
    </row>
    <row r="569">
      <c r="A569" s="10" t="n">
        <v>4</v>
      </c>
      <c r="B569" s="10" t="n">
        <v>565</v>
      </c>
      <c r="C569" s="10" t="n">
        <v>3565</v>
      </c>
      <c r="D569" s="10" t="inlineStr">
        <is>
          <t>PH0003565</t>
        </is>
      </c>
      <c r="E569" s="26" t="inlineStr">
        <is>
          <t>NCR</t>
        </is>
      </c>
      <c r="F569" s="26" t="inlineStr">
        <is>
          <t>Metro Manila</t>
        </is>
      </c>
      <c r="G569" s="26" t="inlineStr">
        <is>
          <t>Caloocan City</t>
        </is>
      </c>
      <c r="H569" s="26" t="inlineStr">
        <is>
          <t>Barangay 167</t>
        </is>
      </c>
      <c r="I569" s="27" t="n">
        <v>11.895325</v>
      </c>
      <c r="J569" s="27" t="n">
        <v>122.97741</v>
      </c>
      <c r="K569" s="10" t="inlineStr">
        <is>
          <t>R</t>
        </is>
      </c>
      <c r="L569" s="12" t="n">
        <v>2279</v>
      </c>
      <c r="M569" s="14" t="n">
        <v>3.8</v>
      </c>
      <c r="N569" s="12">
        <f>ROUND(L569/M569, 0)</f>
        <v/>
      </c>
      <c r="O569" s="12">
        <f>ROUND(N569*'Methodology &amp; Assumptions'!$B$5, 0)</f>
        <v/>
      </c>
      <c r="P569" s="10" t="inlineStr">
        <is>
          <t>Single Carrier (Band n50, 100MHz TDD)</t>
        </is>
      </c>
      <c r="Q569" s="13">
        <f>ROUNDUP(O569/'Methodology &amp; Assumptions'!$B$6, 0)</f>
        <v/>
      </c>
      <c r="R569" s="13" t="n">
        <v>1</v>
      </c>
      <c r="S569" s="14" t="n">
        <v>34.52</v>
      </c>
      <c r="T569" s="14" t="n">
        <v>10.71</v>
      </c>
      <c r="U569" s="26">
        <f>IF(X569&gt;='Methodology &amp; Assumptions'!$B$7, "Tier 1 Critical GIDA (Score ≥ 50.0)", IF(X569&gt;='Methodology &amp; Assumptions'!$B$8, "Tier 2 High GIDA (Score 40.0–49.9)", "Tier 3 Moderate GIDA (Score &lt; 40.0)"))</f>
        <v/>
      </c>
      <c r="V569" s="26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W569" s="28" t="n">
        <v>0.011</v>
      </c>
      <c r="X569" s="14" t="n">
        <v>46.31</v>
      </c>
      <c r="Y569" s="14">
        <f>ROUND(MIN(100, (X569/69.91)*100), 2)</f>
        <v/>
      </c>
    </row>
    <row r="570">
      <c r="A570" s="10" t="n">
        <v>4</v>
      </c>
      <c r="B570" s="10" t="n">
        <v>566</v>
      </c>
      <c r="C570" s="10" t="n">
        <v>3566</v>
      </c>
      <c r="D570" s="10" t="inlineStr">
        <is>
          <t>1381300085</t>
        </is>
      </c>
      <c r="E570" s="26" t="inlineStr">
        <is>
          <t>National Capital Region (NCR)</t>
        </is>
      </c>
      <c r="F570" s="26" t="inlineStr">
        <is>
          <t>Second District (Not a Province)</t>
        </is>
      </c>
      <c r="G570" s="26" t="inlineStr">
        <is>
          <t>Quezon City</t>
        </is>
      </c>
      <c r="H570" s="26" t="inlineStr">
        <is>
          <t>Quirino 2-A</t>
        </is>
      </c>
      <c r="I570" s="27" t="n">
        <v>14.695309</v>
      </c>
      <c r="J570" s="27" t="n">
        <v>121.049987</v>
      </c>
      <c r="K570" s="10" t="inlineStr">
        <is>
          <t>U</t>
        </is>
      </c>
      <c r="L570" s="12" t="n">
        <v>4816</v>
      </c>
      <c r="M570" s="14" t="n">
        <v>3.8</v>
      </c>
      <c r="N570" s="12">
        <f>ROUND(L570/M570, 0)</f>
        <v/>
      </c>
      <c r="O570" s="12">
        <f>ROUND(N570*'Methodology &amp; Assumptions'!$B$5, 0)</f>
        <v/>
      </c>
      <c r="P570" s="10" t="inlineStr">
        <is>
          <t>Single Carrier (Band n50, 100MHz TDD)</t>
        </is>
      </c>
      <c r="Q570" s="13">
        <f>ROUNDUP(O570/'Methodology &amp; Assumptions'!$B$6, 0)</f>
        <v/>
      </c>
      <c r="R570" s="13" t="n">
        <v>1</v>
      </c>
      <c r="S570" s="14" t="n">
        <v>2.06</v>
      </c>
      <c r="T570" s="14" t="n">
        <v>1.67</v>
      </c>
      <c r="U570" s="26">
        <f>IF(X570&gt;='Methodology &amp; Assumptions'!$B$7, "Tier 1 Critical GIDA (Score ≥ 50.0)", IF(X570&gt;='Methodology &amp; Assumptions'!$B$8, "Tier 2 High GIDA (Score 40.0–49.9)", "Tier 3 Moderate GIDA (Score &lt; 40.0)"))</f>
        <v/>
      </c>
      <c r="V570" s="26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W570" s="28" t="n">
        <v>0.109</v>
      </c>
      <c r="X570" s="14" t="n">
        <v>46.3</v>
      </c>
      <c r="Y570" s="14">
        <f>ROUND(MIN(100, (X570/69.91)*100), 2)</f>
        <v/>
      </c>
    </row>
    <row r="571">
      <c r="A571" s="10" t="n">
        <v>4</v>
      </c>
      <c r="B571" s="10" t="n">
        <v>567</v>
      </c>
      <c r="C571" s="10" t="n">
        <v>3567</v>
      </c>
      <c r="D571" s="10" t="inlineStr">
        <is>
          <t>PH0003567</t>
        </is>
      </c>
      <c r="E571" s="26" t="inlineStr">
        <is>
          <t>IV-A</t>
        </is>
      </c>
      <c r="F571" s="26" t="inlineStr">
        <is>
          <t>Cavite</t>
        </is>
      </c>
      <c r="G571" s="26" t="inlineStr">
        <is>
          <t>Imus City</t>
        </is>
      </c>
      <c r="H571" s="26" t="inlineStr">
        <is>
          <t>Toclong I-B</t>
        </is>
      </c>
      <c r="I571" s="27" t="n">
        <v>14.276908</v>
      </c>
      <c r="J571" s="27" t="n">
        <v>120.920081</v>
      </c>
      <c r="K571" s="10" t="inlineStr">
        <is>
          <t>R</t>
        </is>
      </c>
      <c r="L571" s="12" t="n">
        <v>2316</v>
      </c>
      <c r="M571" s="14" t="n">
        <v>3.4</v>
      </c>
      <c r="N571" s="12">
        <f>ROUND(L571/M571, 0)</f>
        <v/>
      </c>
      <c r="O571" s="12">
        <f>ROUND(N571*'Methodology &amp; Assumptions'!$B$5, 0)</f>
        <v/>
      </c>
      <c r="P571" s="10" t="inlineStr">
        <is>
          <t>Single Carrier (Band n50, 100MHz TDD)</t>
        </is>
      </c>
      <c r="Q571" s="13">
        <f>ROUNDUP(O571/'Methodology &amp; Assumptions'!$B$6, 0)</f>
        <v/>
      </c>
      <c r="R571" s="13" t="n">
        <v>1</v>
      </c>
      <c r="S571" s="14" t="n">
        <v>2.21</v>
      </c>
      <c r="T571" s="14" t="n">
        <v>1.71</v>
      </c>
      <c r="U571" s="26">
        <f>IF(X571&gt;='Methodology &amp; Assumptions'!$B$7, "Tier 1 Critical GIDA (Score ≥ 50.0)", IF(X571&gt;='Methodology &amp; Assumptions'!$B$8, "Tier 2 High GIDA (Score 40.0–49.9)", "Tier 3 Moderate GIDA (Score &lt; 40.0)"))</f>
        <v/>
      </c>
      <c r="V571" s="26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W571" s="28" t="n">
        <v>0.07200000000000001</v>
      </c>
      <c r="X571" s="14" t="n">
        <v>46.3</v>
      </c>
      <c r="Y571" s="14">
        <f>ROUND(MIN(100, (X571/69.91)*100), 2)</f>
        <v/>
      </c>
    </row>
    <row r="572">
      <c r="A572" s="10" t="n">
        <v>4</v>
      </c>
      <c r="B572" s="10" t="n">
        <v>568</v>
      </c>
      <c r="C572" s="10" t="n">
        <v>3568</v>
      </c>
      <c r="D572" s="10" t="inlineStr">
        <is>
          <t>PH0003568</t>
        </is>
      </c>
      <c r="E572" s="26" t="inlineStr">
        <is>
          <t>III</t>
        </is>
      </c>
      <c r="F572" s="26" t="inlineStr">
        <is>
          <t>Pampanga</t>
        </is>
      </c>
      <c r="G572" s="26" t="inlineStr">
        <is>
          <t>Angeles City</t>
        </is>
      </c>
      <c r="H572" s="26" t="inlineStr">
        <is>
          <t>Salapungan</t>
        </is>
      </c>
      <c r="I572" s="27" t="n">
        <v>15.147979</v>
      </c>
      <c r="J572" s="27" t="n">
        <v>120.598288</v>
      </c>
      <c r="K572" s="10" t="inlineStr">
        <is>
          <t>R</t>
        </is>
      </c>
      <c r="L572" s="12" t="n">
        <v>2334</v>
      </c>
      <c r="M572" s="14" t="n">
        <v>4</v>
      </c>
      <c r="N572" s="12">
        <f>ROUND(L572/M572, 0)</f>
        <v/>
      </c>
      <c r="O572" s="12">
        <f>ROUND(N572*'Methodology &amp; Assumptions'!$B$5, 0)</f>
        <v/>
      </c>
      <c r="P572" s="10" t="inlineStr">
        <is>
          <t>Single Carrier (Band n50, 100MHz TDD)</t>
        </is>
      </c>
      <c r="Q572" s="13">
        <f>ROUNDUP(O572/'Methodology &amp; Assumptions'!$B$6, 0)</f>
        <v/>
      </c>
      <c r="R572" s="13" t="n">
        <v>1</v>
      </c>
      <c r="S572" s="14" t="n">
        <v>0.78</v>
      </c>
      <c r="T572" s="14" t="n">
        <v>0.21</v>
      </c>
      <c r="U572" s="26">
        <f>IF(X572&gt;='Methodology &amp; Assumptions'!$B$7, "Tier 1 Critical GIDA (Score ≥ 50.0)", IF(X572&gt;='Methodology &amp; Assumptions'!$B$8, "Tier 2 High GIDA (Score 40.0–49.9)", "Tier 3 Moderate GIDA (Score &lt; 40.0)"))</f>
        <v/>
      </c>
      <c r="V572" s="26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W572" s="28" t="n">
        <v>0.083</v>
      </c>
      <c r="X572" s="14" t="n">
        <v>46.29</v>
      </c>
      <c r="Y572" s="14">
        <f>ROUND(MIN(100, (X572/69.91)*100), 2)</f>
        <v/>
      </c>
    </row>
    <row r="573">
      <c r="A573" s="10" t="n">
        <v>4</v>
      </c>
      <c r="B573" s="10" t="n">
        <v>569</v>
      </c>
      <c r="C573" s="10" t="n">
        <v>3569</v>
      </c>
      <c r="D573" s="10" t="inlineStr">
        <is>
          <t>0802623002</t>
        </is>
      </c>
      <c r="E573" s="26" t="inlineStr">
        <is>
          <t>Region VIII (Eastern Visayas)</t>
        </is>
      </c>
      <c r="F573" s="26" t="inlineStr">
        <is>
          <t>Eastern Samar</t>
        </is>
      </c>
      <c r="G573" s="26" t="inlineStr">
        <is>
          <t>Taft</t>
        </is>
      </c>
      <c r="H573" s="26" t="inlineStr">
        <is>
          <t>Beto</t>
        </is>
      </c>
      <c r="I573" s="27" t="n">
        <v>11.948684</v>
      </c>
      <c r="J573" s="27" t="n">
        <v>125.383189</v>
      </c>
      <c r="K573" s="10" t="inlineStr">
        <is>
          <t>R</t>
        </is>
      </c>
      <c r="L573" s="12" t="n">
        <v>299</v>
      </c>
      <c r="M573" s="14" t="n">
        <v>3.9</v>
      </c>
      <c r="N573" s="12">
        <f>ROUND(L573/M573, 0)</f>
        <v/>
      </c>
      <c r="O573" s="12">
        <f>ROUND(N573*'Methodology &amp; Assumptions'!$B$5, 0)</f>
        <v/>
      </c>
      <c r="P573" s="10" t="inlineStr">
        <is>
          <t>Single Carrier (Band n50, 100MHz TDD)</t>
        </is>
      </c>
      <c r="Q573" s="13">
        <f>ROUNDUP(O573/'Methodology &amp; Assumptions'!$B$6, 0)</f>
        <v/>
      </c>
      <c r="R573" s="13" t="n">
        <v>1</v>
      </c>
      <c r="S573" s="14" t="n">
        <v>89.09</v>
      </c>
      <c r="T573" s="14" t="n">
        <v>91.43000000000001</v>
      </c>
      <c r="U573" s="26">
        <f>IF(X573&gt;='Methodology &amp; Assumptions'!$B$7, "Tier 1 Critical GIDA (Score ≥ 50.0)", IF(X573&gt;='Methodology &amp; Assumptions'!$B$8, "Tier 2 High GIDA (Score 40.0–49.9)", "Tier 3 Moderate GIDA (Score &lt; 40.0)"))</f>
        <v/>
      </c>
      <c r="V573" s="26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W573" s="28" t="n">
        <v>0.237</v>
      </c>
      <c r="X573" s="14" t="n">
        <v>46.28</v>
      </c>
      <c r="Y573" s="14">
        <f>ROUND(MIN(100, (X573/69.91)*100), 2)</f>
        <v/>
      </c>
    </row>
    <row r="574">
      <c r="A574" s="10" t="n">
        <v>4</v>
      </c>
      <c r="B574" s="10" t="n">
        <v>570</v>
      </c>
      <c r="C574" s="10" t="n">
        <v>3570</v>
      </c>
      <c r="D574" s="10" t="inlineStr">
        <is>
          <t>1705318017</t>
        </is>
      </c>
      <c r="E574" s="26" t="inlineStr">
        <is>
          <t>MIMAROPA Region</t>
        </is>
      </c>
      <c r="F574" s="26" t="inlineStr">
        <is>
          <t>Palawan</t>
        </is>
      </c>
      <c r="G574" s="26" t="inlineStr">
        <is>
          <t>Roxas</t>
        </is>
      </c>
      <c r="H574" s="26" t="inlineStr">
        <is>
          <t>Rizal</t>
        </is>
      </c>
      <c r="I574" s="27" t="n">
        <v>10.23297</v>
      </c>
      <c r="J574" s="27" t="n">
        <v>119.26159</v>
      </c>
      <c r="K574" s="10" t="inlineStr">
        <is>
          <t>R</t>
        </is>
      </c>
      <c r="L574" s="12" t="n">
        <v>1096</v>
      </c>
      <c r="M574" s="14" t="n">
        <v>3.9</v>
      </c>
      <c r="N574" s="12">
        <f>ROUND(L574/M574, 0)</f>
        <v/>
      </c>
      <c r="O574" s="12">
        <f>ROUND(N574*'Methodology &amp; Assumptions'!$B$5, 0)</f>
        <v/>
      </c>
      <c r="P574" s="10" t="inlineStr">
        <is>
          <t>Single Carrier (Band n50, 100MHz TDD)</t>
        </is>
      </c>
      <c r="Q574" s="13">
        <f>ROUNDUP(O574/'Methodology &amp; Assumptions'!$B$6, 0)</f>
        <v/>
      </c>
      <c r="R574" s="13" t="n">
        <v>1</v>
      </c>
      <c r="S574" s="14" t="n">
        <v>13.07</v>
      </c>
      <c r="T574" s="14" t="n">
        <v>4.76</v>
      </c>
      <c r="U574" s="26">
        <f>IF(X574&gt;='Methodology &amp; Assumptions'!$B$7, "Tier 1 Critical GIDA (Score ≥ 50.0)", IF(X574&gt;='Methodology &amp; Assumptions'!$B$8, "Tier 2 High GIDA (Score 40.0–49.9)", "Tier 3 Moderate GIDA (Score &lt; 40.0)"))</f>
        <v/>
      </c>
      <c r="V574" s="26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W574" s="28" t="n">
        <v>0.15</v>
      </c>
      <c r="X574" s="14" t="n">
        <v>46.26</v>
      </c>
      <c r="Y574" s="14">
        <f>ROUND(MIN(100, (X574/69.91)*100), 2)</f>
        <v/>
      </c>
    </row>
    <row r="575">
      <c r="A575" s="10" t="n">
        <v>4</v>
      </c>
      <c r="B575" s="10" t="n">
        <v>571</v>
      </c>
      <c r="C575" s="10" t="n">
        <v>3571</v>
      </c>
      <c r="D575" s="10" t="inlineStr">
        <is>
          <t>1380608011</t>
        </is>
      </c>
      <c r="E575" s="26" t="inlineStr">
        <is>
          <t>National Capital Region (NCR)</t>
        </is>
      </c>
      <c r="F575" s="26" t="inlineStr">
        <is>
          <t>First District (Not a Province)</t>
        </is>
      </c>
      <c r="G575" s="26" t="inlineStr">
        <is>
          <t>City of Manila</t>
        </is>
      </c>
      <c r="H575" s="26" t="inlineStr">
        <is>
          <t>Barangay 669</t>
        </is>
      </c>
      <c r="I575" s="27" t="n">
        <v>13.711387</v>
      </c>
      <c r="J575" s="27" t="n">
        <v>122.790747</v>
      </c>
      <c r="K575" s="10" t="inlineStr">
        <is>
          <t>U</t>
        </is>
      </c>
      <c r="L575" s="12" t="n">
        <v>3017</v>
      </c>
      <c r="M575" s="14" t="n">
        <v>3.9</v>
      </c>
      <c r="N575" s="12">
        <f>ROUND(L575/M575, 0)</f>
        <v/>
      </c>
      <c r="O575" s="12">
        <f>ROUND(N575*'Methodology &amp; Assumptions'!$B$5, 0)</f>
        <v/>
      </c>
      <c r="P575" s="10" t="inlineStr">
        <is>
          <t>Single Carrier (Band n50, 100MHz TDD)</t>
        </is>
      </c>
      <c r="Q575" s="13">
        <f>ROUNDUP(O575/'Methodology &amp; Assumptions'!$B$6, 0)</f>
        <v/>
      </c>
      <c r="R575" s="13" t="n">
        <v>1</v>
      </c>
      <c r="S575" s="14" t="n">
        <v>11.06</v>
      </c>
      <c r="T575" s="14" t="n">
        <v>9.32</v>
      </c>
      <c r="U575" s="26">
        <f>IF(X575&gt;='Methodology &amp; Assumptions'!$B$7, "Tier 1 Critical GIDA (Score ≥ 50.0)", IF(X575&gt;='Methodology &amp; Assumptions'!$B$8, "Tier 2 High GIDA (Score 40.0–49.9)", "Tier 3 Moderate GIDA (Score &lt; 40.0)"))</f>
        <v/>
      </c>
      <c r="V575" s="26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W575" s="28" t="n">
        <v>0.109</v>
      </c>
      <c r="X575" s="14" t="n">
        <v>46.26</v>
      </c>
      <c r="Y575" s="14">
        <f>ROUND(MIN(100, (X575/69.91)*100), 2)</f>
        <v/>
      </c>
    </row>
    <row r="576">
      <c r="A576" s="10" t="n">
        <v>4</v>
      </c>
      <c r="B576" s="10" t="n">
        <v>572</v>
      </c>
      <c r="C576" s="10" t="n">
        <v>3572</v>
      </c>
      <c r="D576" s="10" t="inlineStr">
        <is>
          <t>0402111016</t>
        </is>
      </c>
      <c r="E576" s="26" t="inlineStr">
        <is>
          <t>Region IV-A (CALABARZON)</t>
        </is>
      </c>
      <c r="F576" s="26" t="inlineStr">
        <is>
          <t>Cavite</t>
        </is>
      </c>
      <c r="G576" s="26" t="inlineStr">
        <is>
          <t>Kawit</t>
        </is>
      </c>
      <c r="H576" s="26" t="inlineStr">
        <is>
          <t>Congbalay-Legaspi</t>
        </is>
      </c>
      <c r="I576" s="27" t="n">
        <v>14.451272</v>
      </c>
      <c r="J576" s="27" t="n">
        <v>120.922575</v>
      </c>
      <c r="K576" s="10" t="inlineStr">
        <is>
          <t>R</t>
        </is>
      </c>
      <c r="L576" s="12" t="n">
        <v>4597</v>
      </c>
      <c r="M576" s="14" t="n">
        <v>3.4</v>
      </c>
      <c r="N576" s="12">
        <f>ROUND(L576/M576, 0)</f>
        <v/>
      </c>
      <c r="O576" s="12">
        <f>ROUND(N576*'Methodology &amp; Assumptions'!$B$5, 0)</f>
        <v/>
      </c>
      <c r="P576" s="10" t="inlineStr">
        <is>
          <t>Single Carrier (Band n50, 100MHz TDD)</t>
        </is>
      </c>
      <c r="Q576" s="13">
        <f>ROUNDUP(O576/'Methodology &amp; Assumptions'!$B$6, 0)</f>
        <v/>
      </c>
      <c r="R576" s="13" t="n">
        <v>1</v>
      </c>
      <c r="S576" s="14" t="n">
        <v>2.85</v>
      </c>
      <c r="T576" s="14" t="n">
        <v>0.27</v>
      </c>
      <c r="U576" s="26">
        <f>IF(X576&gt;='Methodology &amp; Assumptions'!$B$7, "Tier 1 Critical GIDA (Score ≥ 50.0)", IF(X576&gt;='Methodology &amp; Assumptions'!$B$8, "Tier 2 High GIDA (Score 40.0–49.9)", "Tier 3 Moderate GIDA (Score &lt; 40.0)"))</f>
        <v/>
      </c>
      <c r="V576" s="26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W576" s="28" t="n">
        <v>0.07200000000000001</v>
      </c>
      <c r="X576" s="14" t="n">
        <v>46.26</v>
      </c>
      <c r="Y576" s="14">
        <f>ROUND(MIN(100, (X576/69.91)*100), 2)</f>
        <v/>
      </c>
    </row>
    <row r="577">
      <c r="A577" s="10" t="n">
        <v>4</v>
      </c>
      <c r="B577" s="10" t="n">
        <v>573</v>
      </c>
      <c r="C577" s="10" t="n">
        <v>3573</v>
      </c>
      <c r="D577" s="10" t="inlineStr">
        <is>
          <t>1704005021</t>
        </is>
      </c>
      <c r="E577" s="26" t="inlineStr">
        <is>
          <t>MIMAROPA Region</t>
        </is>
      </c>
      <c r="F577" s="26" t="inlineStr">
        <is>
          <t>Marinduque</t>
        </is>
      </c>
      <c r="G577" s="26" t="inlineStr">
        <is>
          <t>Santa Cruz</t>
        </is>
      </c>
      <c r="H577" s="26" t="inlineStr">
        <is>
          <t>Kaganhao</t>
        </is>
      </c>
      <c r="I577" s="27" t="n">
        <v>13.444659</v>
      </c>
      <c r="J577" s="27" t="n">
        <v>122.02508</v>
      </c>
      <c r="K577" s="10" t="inlineStr">
        <is>
          <t>R</t>
        </is>
      </c>
      <c r="L577" s="12" t="n">
        <v>533</v>
      </c>
      <c r="M577" s="14" t="n">
        <v>3.8</v>
      </c>
      <c r="N577" s="12">
        <f>ROUND(L577/M577, 0)</f>
        <v/>
      </c>
      <c r="O577" s="12">
        <f>ROUND(N577*'Methodology &amp; Assumptions'!$B$5, 0)</f>
        <v/>
      </c>
      <c r="P577" s="10" t="inlineStr">
        <is>
          <t>Single Carrier (Band n50, 100MHz TDD)</t>
        </is>
      </c>
      <c r="Q577" s="13">
        <f>ROUNDUP(O577/'Methodology &amp; Assumptions'!$B$6, 0)</f>
        <v/>
      </c>
      <c r="R577" s="13" t="n">
        <v>1</v>
      </c>
      <c r="S577" s="14" t="n">
        <v>31.9</v>
      </c>
      <c r="T577" s="14" t="n">
        <v>30.46</v>
      </c>
      <c r="U577" s="26">
        <f>IF(X577&gt;='Methodology &amp; Assumptions'!$B$7, "Tier 1 Critical GIDA (Score ≥ 50.0)", IF(X577&gt;='Methodology &amp; Assumptions'!$B$8, "Tier 2 High GIDA (Score 40.0–49.9)", "Tier 3 Moderate GIDA (Score &lt; 40.0)"))</f>
        <v/>
      </c>
      <c r="V577" s="26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W577" s="28" t="n">
        <v>0.15</v>
      </c>
      <c r="X577" s="14" t="n">
        <v>46.26</v>
      </c>
      <c r="Y577" s="14">
        <f>ROUND(MIN(100, (X577/69.91)*100), 2)</f>
        <v/>
      </c>
    </row>
    <row r="578">
      <c r="A578" s="10" t="n">
        <v>4</v>
      </c>
      <c r="B578" s="10" t="n">
        <v>574</v>
      </c>
      <c r="C578" s="10" t="n">
        <v>3574</v>
      </c>
      <c r="D578" s="10" t="inlineStr">
        <is>
          <t>PH0003574</t>
        </is>
      </c>
      <c r="E578" s="26" t="inlineStr">
        <is>
          <t>VI</t>
        </is>
      </c>
      <c r="F578" s="26" t="inlineStr">
        <is>
          <t>Iloilo</t>
        </is>
      </c>
      <c r="G578" s="26" t="inlineStr">
        <is>
          <t>Iloilo City</t>
        </is>
      </c>
      <c r="H578" s="26" t="inlineStr">
        <is>
          <t>San Roque</t>
        </is>
      </c>
      <c r="I578" s="27" t="n">
        <v>10.717928</v>
      </c>
      <c r="J578" s="27" t="n">
        <v>122.42076</v>
      </c>
      <c r="K578" s="10" t="inlineStr">
        <is>
          <t>R</t>
        </is>
      </c>
      <c r="L578" s="12" t="n">
        <v>2230</v>
      </c>
      <c r="M578" s="14" t="n">
        <v>3.8</v>
      </c>
      <c r="N578" s="12">
        <f>ROUND(L578/M578, 0)</f>
        <v/>
      </c>
      <c r="O578" s="12">
        <f>ROUND(N578*'Methodology &amp; Assumptions'!$B$5, 0)</f>
        <v/>
      </c>
      <c r="P578" s="10" t="inlineStr">
        <is>
          <t>Single Carrier (Band n50, 100MHz TDD)</t>
        </is>
      </c>
      <c r="Q578" s="13">
        <f>ROUNDUP(O578/'Methodology &amp; Assumptions'!$B$6, 0)</f>
        <v/>
      </c>
      <c r="R578" s="13" t="n">
        <v>1</v>
      </c>
      <c r="S578" s="14" t="n">
        <v>6.1</v>
      </c>
      <c r="T578" s="14" t="n">
        <v>2.18</v>
      </c>
      <c r="U578" s="26">
        <f>IF(X578&gt;='Methodology &amp; Assumptions'!$B$7, "Tier 1 Critical GIDA (Score ≥ 50.0)", IF(X578&gt;='Methodology &amp; Assumptions'!$B$8, "Tier 2 High GIDA (Score 40.0–49.9)", "Tier 3 Moderate GIDA (Score &lt; 40.0)"))</f>
        <v/>
      </c>
      <c r="V578" s="26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W578" s="28" t="n">
        <v>0.156</v>
      </c>
      <c r="X578" s="14" t="n">
        <v>46.26</v>
      </c>
      <c r="Y578" s="14">
        <f>ROUND(MIN(100, (X578/69.91)*100), 2)</f>
        <v/>
      </c>
    </row>
    <row r="579">
      <c r="A579" s="10" t="n">
        <v>4</v>
      </c>
      <c r="B579" s="10" t="n">
        <v>575</v>
      </c>
      <c r="C579" s="10" t="n">
        <v>3575</v>
      </c>
      <c r="D579" s="10" t="inlineStr">
        <is>
          <t>1380400012</t>
        </is>
      </c>
      <c r="E579" s="26" t="inlineStr">
        <is>
          <t>National Capital Region (NCR)</t>
        </is>
      </c>
      <c r="F579" s="26" t="inlineStr">
        <is>
          <t>Third District (Not a Province)</t>
        </is>
      </c>
      <c r="G579" s="26" t="inlineStr">
        <is>
          <t>City of Malabon</t>
        </is>
      </c>
      <c r="H579" s="26" t="inlineStr">
        <is>
          <t>Muzon</t>
        </is>
      </c>
      <c r="I579" s="27" t="n">
        <v>14.676541</v>
      </c>
      <c r="J579" s="27" t="n">
        <v>120.949981</v>
      </c>
      <c r="K579" s="10" t="inlineStr">
        <is>
          <t>U</t>
        </is>
      </c>
      <c r="L579" s="12" t="n">
        <v>6054</v>
      </c>
      <c r="M579" s="14" t="n">
        <v>3.7</v>
      </c>
      <c r="N579" s="12">
        <f>ROUND(L579/M579, 0)</f>
        <v/>
      </c>
      <c r="O579" s="12">
        <f>ROUND(N579*'Methodology &amp; Assumptions'!$B$5, 0)</f>
        <v/>
      </c>
      <c r="P579" s="10" t="inlineStr">
        <is>
          <t>Single Carrier (Band n50, 100MHz TDD)</t>
        </is>
      </c>
      <c r="Q579" s="13">
        <f>ROUNDUP(O579/'Methodology &amp; Assumptions'!$B$6, 0)</f>
        <v/>
      </c>
      <c r="R579" s="13" t="n">
        <v>1</v>
      </c>
      <c r="S579" s="14" t="n">
        <v>0.64</v>
      </c>
      <c r="T579" s="14" t="n">
        <v>0.65</v>
      </c>
      <c r="U579" s="26">
        <f>IF(X579&gt;='Methodology &amp; Assumptions'!$B$7, "Tier 1 Critical GIDA (Score ≥ 50.0)", IF(X579&gt;='Methodology &amp; Assumptions'!$B$8, "Tier 2 High GIDA (Score 40.0–49.9)", "Tier 3 Moderate GIDA (Score &lt; 40.0)"))</f>
        <v/>
      </c>
      <c r="V579" s="26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W579" s="28" t="n">
        <v>0.109</v>
      </c>
      <c r="X579" s="14" t="n">
        <v>46.26</v>
      </c>
      <c r="Y579" s="14">
        <f>ROUND(MIN(100, (X579/69.91)*100), 2)</f>
        <v/>
      </c>
    </row>
    <row r="580">
      <c r="A580" s="10" t="n">
        <v>4</v>
      </c>
      <c r="B580" s="10" t="n">
        <v>576</v>
      </c>
      <c r="C580" s="10" t="n">
        <v>3576</v>
      </c>
      <c r="D580" s="10" t="inlineStr">
        <is>
          <t>1004205022</t>
        </is>
      </c>
      <c r="E580" s="26" t="inlineStr">
        <is>
          <t>Region X (Northern Mindanao)</t>
        </is>
      </c>
      <c r="F580" s="26" t="inlineStr">
        <is>
          <t>Misamis Occidental</t>
        </is>
      </c>
      <c r="G580" s="26" t="inlineStr">
        <is>
          <t>Clarin</t>
        </is>
      </c>
      <c r="H580" s="26" t="inlineStr">
        <is>
          <t>Penacio</t>
        </is>
      </c>
      <c r="I580" s="27" t="n">
        <v>8.232722000000001</v>
      </c>
      <c r="J580" s="27" t="n">
        <v>123.800278</v>
      </c>
      <c r="K580" s="10" t="inlineStr">
        <is>
          <t>R</t>
        </is>
      </c>
      <c r="L580" s="12" t="n">
        <v>397</v>
      </c>
      <c r="M580" s="14" t="n">
        <v>3.9</v>
      </c>
      <c r="N580" s="12">
        <f>ROUND(L580/M580, 0)</f>
        <v/>
      </c>
      <c r="O580" s="12">
        <f>ROUND(N580*'Methodology &amp; Assumptions'!$B$5, 0)</f>
        <v/>
      </c>
      <c r="P580" s="10" t="inlineStr">
        <is>
          <t>Single Carrier (Band n50, 100MHz TDD)</t>
        </is>
      </c>
      <c r="Q580" s="13">
        <f>ROUNDUP(O580/'Methodology &amp; Assumptions'!$B$6, 0)</f>
        <v/>
      </c>
      <c r="R580" s="13" t="n">
        <v>1</v>
      </c>
      <c r="S580" s="14" t="n">
        <v>21.1</v>
      </c>
      <c r="T580" s="14" t="n">
        <v>15.59</v>
      </c>
      <c r="U580" s="26">
        <f>IF(X580&gt;='Methodology &amp; Assumptions'!$B$7, "Tier 1 Critical GIDA (Score ≥ 50.0)", IF(X580&gt;='Methodology &amp; Assumptions'!$B$8, "Tier 2 High GIDA (Score 40.0–49.9)", "Tier 3 Moderate GIDA (Score &lt; 40.0)"))</f>
        <v/>
      </c>
      <c r="V580" s="26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W580" s="28" t="n">
        <v>0.174</v>
      </c>
      <c r="X580" s="14" t="n">
        <v>46.25</v>
      </c>
      <c r="Y580" s="14">
        <f>ROUND(MIN(100, (X580/69.91)*100), 2)</f>
        <v/>
      </c>
    </row>
    <row r="581">
      <c r="A581" s="10" t="n">
        <v>4</v>
      </c>
      <c r="B581" s="10" t="n">
        <v>577</v>
      </c>
      <c r="C581" s="10" t="n">
        <v>3577</v>
      </c>
      <c r="D581" s="10" t="inlineStr">
        <is>
          <t>0201529006</t>
        </is>
      </c>
      <c r="E581" s="26" t="inlineStr">
        <is>
          <t>Region II (Cagayan Valley)</t>
        </is>
      </c>
      <c r="F581" s="26" t="inlineStr">
        <is>
          <t>Cagayan</t>
        </is>
      </c>
      <c r="G581" s="26" t="inlineStr">
        <is>
          <t>Tuguegarao City</t>
        </is>
      </c>
      <c r="H581" s="26" t="inlineStr">
        <is>
          <t>Centro 4</t>
        </is>
      </c>
      <c r="I581" s="27" t="n">
        <v>17.621804</v>
      </c>
      <c r="J581" s="27" t="n">
        <v>121.73835</v>
      </c>
      <c r="K581" s="10" t="inlineStr">
        <is>
          <t>U</t>
        </is>
      </c>
      <c r="L581" s="12" t="n">
        <v>608</v>
      </c>
      <c r="M581" s="14" t="n">
        <v>3.9</v>
      </c>
      <c r="N581" s="12">
        <f>ROUND(L581/M581, 0)</f>
        <v/>
      </c>
      <c r="O581" s="12">
        <f>ROUND(N581*'Methodology &amp; Assumptions'!$B$5, 0)</f>
        <v/>
      </c>
      <c r="P581" s="10" t="inlineStr">
        <is>
          <t>Single Carrier (Band n50, 100MHz TDD)</t>
        </is>
      </c>
      <c r="Q581" s="13">
        <f>ROUNDUP(O581/'Methodology &amp; Assumptions'!$B$6, 0)</f>
        <v/>
      </c>
      <c r="R581" s="13" t="n">
        <v>1</v>
      </c>
      <c r="S581" s="14" t="n">
        <v>3.42</v>
      </c>
      <c r="T581" s="14" t="n">
        <v>0.79</v>
      </c>
      <c r="U581" s="26">
        <f>IF(X581&gt;='Methodology &amp; Assumptions'!$B$7, "Tier 1 Critical GIDA (Score ≥ 50.0)", IF(X581&gt;='Methodology &amp; Assumptions'!$B$8, "Tier 2 High GIDA (Score 40.0–49.9)", "Tier 3 Moderate GIDA (Score &lt; 40.0)"))</f>
        <v/>
      </c>
      <c r="V581" s="26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W581" s="28" t="n">
        <v>0.083</v>
      </c>
      <c r="X581" s="14" t="n">
        <v>46.24</v>
      </c>
      <c r="Y581" s="14">
        <f>ROUND(MIN(100, (X581/69.91)*100), 2)</f>
        <v/>
      </c>
    </row>
    <row r="582">
      <c r="A582" s="10" t="n">
        <v>4</v>
      </c>
      <c r="B582" s="10" t="n">
        <v>578</v>
      </c>
      <c r="C582" s="10" t="n">
        <v>3578</v>
      </c>
      <c r="D582" s="10" t="inlineStr">
        <is>
          <t>PH0003578</t>
        </is>
      </c>
      <c r="E582" s="26" t="inlineStr">
        <is>
          <t>VII</t>
        </is>
      </c>
      <c r="F582" s="26" t="inlineStr">
        <is>
          <t>Cebu</t>
        </is>
      </c>
      <c r="G582" s="26" t="inlineStr">
        <is>
          <t>Cebu City</t>
        </is>
      </c>
      <c r="H582" s="26" t="inlineStr">
        <is>
          <t>Bulacao</t>
        </is>
      </c>
      <c r="I582" s="27" t="n">
        <v>10.27601</v>
      </c>
      <c r="J582" s="27" t="n">
        <v>123.849719</v>
      </c>
      <c r="K582" s="10" t="inlineStr">
        <is>
          <t>R</t>
        </is>
      </c>
      <c r="L582" s="12" t="n">
        <v>2250</v>
      </c>
      <c r="M582" s="14" t="n">
        <v>3.8</v>
      </c>
      <c r="N582" s="12">
        <f>ROUND(L582/M582, 0)</f>
        <v/>
      </c>
      <c r="O582" s="12">
        <f>ROUND(N582*'Methodology &amp; Assumptions'!$B$5, 0)</f>
        <v/>
      </c>
      <c r="P582" s="10" t="inlineStr">
        <is>
          <t>Single Carrier (Band n50, 100MHz TDD)</t>
        </is>
      </c>
      <c r="Q582" s="13">
        <f>ROUNDUP(O582/'Methodology &amp; Assumptions'!$B$6, 0)</f>
        <v/>
      </c>
      <c r="R582" s="13" t="n">
        <v>1</v>
      </c>
      <c r="S582" s="14" t="n">
        <v>1.54</v>
      </c>
      <c r="T582" s="14" t="n">
        <v>0.38</v>
      </c>
      <c r="U582" s="26">
        <f>IF(X582&gt;='Methodology &amp; Assumptions'!$B$7, "Tier 1 Critical GIDA (Score ≥ 50.0)", IF(X582&gt;='Methodology &amp; Assumptions'!$B$8, "Tier 2 High GIDA (Score 40.0–49.9)", "Tier 3 Moderate GIDA (Score &lt; 40.0)"))</f>
        <v/>
      </c>
      <c r="V582" s="26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W582" s="28" t="n">
        <v>0.21</v>
      </c>
      <c r="X582" s="14" t="n">
        <v>46.24</v>
      </c>
      <c r="Y582" s="14">
        <f>ROUND(MIN(100, (X582/69.91)*100), 2)</f>
        <v/>
      </c>
    </row>
    <row r="583">
      <c r="A583" s="10" t="n">
        <v>4</v>
      </c>
      <c r="B583" s="10" t="n">
        <v>579</v>
      </c>
      <c r="C583" s="10" t="n">
        <v>3579</v>
      </c>
      <c r="D583" s="10" t="inlineStr">
        <is>
          <t>1705103002</t>
        </is>
      </c>
      <c r="E583" s="26" t="inlineStr">
        <is>
          <t>MIMAROPA Region</t>
        </is>
      </c>
      <c r="F583" s="26" t="inlineStr">
        <is>
          <t>Occidental Mindoro</t>
        </is>
      </c>
      <c r="G583" s="26" t="inlineStr">
        <is>
          <t>Looc</t>
        </is>
      </c>
      <c r="H583" s="26" t="inlineStr">
        <is>
          <t>Ambil</t>
        </is>
      </c>
      <c r="I583" s="27" t="n">
        <v>13.793072</v>
      </c>
      <c r="J583" s="27" t="n">
        <v>120.275075</v>
      </c>
      <c r="K583" s="10" t="inlineStr">
        <is>
          <t>R</t>
        </is>
      </c>
      <c r="L583" s="12" t="n">
        <v>1819</v>
      </c>
      <c r="M583" s="14" t="n">
        <v>3.9</v>
      </c>
      <c r="N583" s="12">
        <f>ROUND(L583/M583, 0)</f>
        <v/>
      </c>
      <c r="O583" s="12">
        <f>ROUND(N583*'Methodology &amp; Assumptions'!$B$5, 0)</f>
        <v/>
      </c>
      <c r="P583" s="10" t="inlineStr">
        <is>
          <t>Single Carrier (Band n50, 100MHz TDD)</t>
        </is>
      </c>
      <c r="Q583" s="13">
        <f>ROUNDUP(O583/'Methodology &amp; Assumptions'!$B$6, 0)</f>
        <v/>
      </c>
      <c r="R583" s="13" t="n">
        <v>1</v>
      </c>
      <c r="S583" s="14" t="n">
        <v>38.53</v>
      </c>
      <c r="T583" s="14" t="n">
        <v>38.6</v>
      </c>
      <c r="U583" s="26">
        <f>IF(X583&gt;='Methodology &amp; Assumptions'!$B$7, "Tier 1 Critical GIDA (Score ≥ 50.0)", IF(X583&gt;='Methodology &amp; Assumptions'!$B$8, "Tier 2 High GIDA (Score 40.0–49.9)", "Tier 3 Moderate GIDA (Score &lt; 40.0)"))</f>
        <v/>
      </c>
      <c r="V583" s="26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W583" s="28" t="n">
        <v>0.15</v>
      </c>
      <c r="X583" s="14" t="n">
        <v>46.24</v>
      </c>
      <c r="Y583" s="14">
        <f>ROUND(MIN(100, (X583/69.91)*100), 2)</f>
        <v/>
      </c>
    </row>
    <row r="584">
      <c r="A584" s="10" t="n">
        <v>4</v>
      </c>
      <c r="B584" s="10" t="n">
        <v>580</v>
      </c>
      <c r="C584" s="10" t="n">
        <v>3580</v>
      </c>
      <c r="D584" s="10" t="inlineStr">
        <is>
          <t>0403428015</t>
        </is>
      </c>
      <c r="E584" s="26" t="inlineStr">
        <is>
          <t>Region IV-A (CALABARZON)</t>
        </is>
      </c>
      <c r="F584" s="26" t="inlineStr">
        <is>
          <t>Laguna</t>
        </is>
      </c>
      <c r="G584" s="26" t="inlineStr">
        <is>
          <t>City of Santa Rosa</t>
        </is>
      </c>
      <c r="H584" s="26" t="inlineStr">
        <is>
          <t>Kanluran</t>
        </is>
      </c>
      <c r="I584" s="27" t="n">
        <v>14.291475</v>
      </c>
      <c r="J584" s="27" t="n">
        <v>121.105827</v>
      </c>
      <c r="K584" s="10" t="inlineStr">
        <is>
          <t>U</t>
        </is>
      </c>
      <c r="L584" s="12" t="n">
        <v>4643</v>
      </c>
      <c r="M584" s="14" t="n">
        <v>3.3</v>
      </c>
      <c r="N584" s="12">
        <f>ROUND(L584/M584, 0)</f>
        <v/>
      </c>
      <c r="O584" s="12">
        <f>ROUND(N584*'Methodology &amp; Assumptions'!$B$5, 0)</f>
        <v/>
      </c>
      <c r="P584" s="10" t="inlineStr">
        <is>
          <t>Single Carrier (Band n50, 100MHz TDD)</t>
        </is>
      </c>
      <c r="Q584" s="13">
        <f>ROUNDUP(O584/'Methodology &amp; Assumptions'!$B$6, 0)</f>
        <v/>
      </c>
      <c r="R584" s="13" t="n">
        <v>1</v>
      </c>
      <c r="S584" s="14" t="n">
        <v>0.8100000000000001</v>
      </c>
      <c r="T584" s="14" t="n">
        <v>0.22</v>
      </c>
      <c r="U584" s="26">
        <f>IF(X584&gt;='Methodology &amp; Assumptions'!$B$7, "Tier 1 Critical GIDA (Score ≥ 50.0)", IF(X584&gt;='Methodology &amp; Assumptions'!$B$8, "Tier 2 High GIDA (Score 40.0–49.9)", "Tier 3 Moderate GIDA (Score &lt; 40.0)"))</f>
        <v/>
      </c>
      <c r="V584" s="26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W584" s="28" t="n">
        <v>0.07200000000000001</v>
      </c>
      <c r="X584" s="14" t="n">
        <v>46.22</v>
      </c>
      <c r="Y584" s="14">
        <f>ROUND(MIN(100, (X584/69.91)*100), 2)</f>
        <v/>
      </c>
    </row>
    <row r="585">
      <c r="A585" s="10" t="n">
        <v>4</v>
      </c>
      <c r="B585" s="10" t="n">
        <v>581</v>
      </c>
      <c r="C585" s="10" t="n">
        <v>3581</v>
      </c>
      <c r="D585" s="10" t="inlineStr">
        <is>
          <t>PH0003581</t>
        </is>
      </c>
      <c r="E585" s="26" t="inlineStr">
        <is>
          <t>CAR</t>
        </is>
      </c>
      <c r="F585" s="26" t="inlineStr">
        <is>
          <t>Benguet</t>
        </is>
      </c>
      <c r="G585" s="26" t="inlineStr">
        <is>
          <t>Baguio City</t>
        </is>
      </c>
      <c r="H585" s="26" t="inlineStr">
        <is>
          <t>San Roque Village</t>
        </is>
      </c>
      <c r="I585" s="27" t="n">
        <v>16.347415</v>
      </c>
      <c r="J585" s="27" t="n">
        <v>120.565262</v>
      </c>
      <c r="K585" s="10" t="inlineStr">
        <is>
          <t>R</t>
        </is>
      </c>
      <c r="L585" s="12" t="n">
        <v>2260</v>
      </c>
      <c r="M585" s="14" t="n">
        <v>3.5</v>
      </c>
      <c r="N585" s="12">
        <f>ROUND(L585/M585, 0)</f>
        <v/>
      </c>
      <c r="O585" s="12">
        <f>ROUND(N585*'Methodology &amp; Assumptions'!$B$5, 0)</f>
        <v/>
      </c>
      <c r="P585" s="10" t="inlineStr">
        <is>
          <t>Single Carrier (Band n50, 100MHz TDD)</t>
        </is>
      </c>
      <c r="Q585" s="13">
        <f>ROUNDUP(O585/'Methodology &amp; Assumptions'!$B$6, 0)</f>
        <v/>
      </c>
      <c r="R585" s="13" t="n">
        <v>1</v>
      </c>
      <c r="S585" s="14" t="n">
        <v>6.09</v>
      </c>
      <c r="T585" s="14" t="n">
        <v>3.23</v>
      </c>
      <c r="U585" s="26">
        <f>IF(X585&gt;='Methodology &amp; Assumptions'!$B$7, "Tier 1 Critical GIDA (Score ≥ 50.0)", IF(X585&gt;='Methodology &amp; Assumptions'!$B$8, "Tier 2 High GIDA (Score 40.0–49.9)", "Tier 3 Moderate GIDA (Score &lt; 40.0)"))</f>
        <v/>
      </c>
      <c r="V585" s="26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W585" s="28" t="n">
        <v>0.221</v>
      </c>
      <c r="X585" s="14" t="n">
        <v>46.22</v>
      </c>
      <c r="Y585" s="14">
        <f>ROUND(MIN(100, (X585/69.91)*100), 2)</f>
        <v/>
      </c>
    </row>
    <row r="586">
      <c r="A586" s="10" t="n">
        <v>4</v>
      </c>
      <c r="B586" s="10" t="n">
        <v>582</v>
      </c>
      <c r="C586" s="10" t="n">
        <v>3582</v>
      </c>
      <c r="D586" s="10" t="inlineStr">
        <is>
          <t>1401114002</t>
        </is>
      </c>
      <c r="E586" s="26" t="inlineStr">
        <is>
          <t>Cordillera Administrative Region (CAR)</t>
        </is>
      </c>
      <c r="F586" s="26" t="inlineStr">
        <is>
          <t>Benguet</t>
        </is>
      </c>
      <c r="G586" s="26" t="inlineStr">
        <is>
          <t>Tublay</t>
        </is>
      </c>
      <c r="H586" s="26" t="inlineStr">
        <is>
          <t>Ambongdolan</t>
        </is>
      </c>
      <c r="I586" s="27" t="n">
        <v>16.534195</v>
      </c>
      <c r="J586" s="27" t="n">
        <v>120.603779</v>
      </c>
      <c r="K586" s="10" t="inlineStr">
        <is>
          <t>R</t>
        </is>
      </c>
      <c r="L586" s="12" t="n">
        <v>1083</v>
      </c>
      <c r="M586" s="14" t="n">
        <v>3.5</v>
      </c>
      <c r="N586" s="12">
        <f>ROUND(L586/M586, 0)</f>
        <v/>
      </c>
      <c r="O586" s="12">
        <f>ROUND(N586*'Methodology &amp; Assumptions'!$B$5, 0)</f>
        <v/>
      </c>
      <c r="P586" s="10" t="inlineStr">
        <is>
          <t>Single Carrier (Band n50, 100MHz TDD)</t>
        </is>
      </c>
      <c r="Q586" s="13">
        <f>ROUNDUP(O586/'Methodology &amp; Assumptions'!$B$6, 0)</f>
        <v/>
      </c>
      <c r="R586" s="13" t="n">
        <v>1</v>
      </c>
      <c r="S586" s="14" t="n">
        <v>4.65</v>
      </c>
      <c r="T586" s="14" t="n">
        <v>6.55</v>
      </c>
      <c r="U586" s="26">
        <f>IF(X586&gt;='Methodology &amp; Assumptions'!$B$7, "Tier 1 Critical GIDA (Score ≥ 50.0)", IF(X586&gt;='Methodology &amp; Assumptions'!$B$8, "Tier 2 High GIDA (Score 40.0–49.9)", "Tier 3 Moderate GIDA (Score &lt; 40.0)"))</f>
        <v/>
      </c>
      <c r="V586" s="26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W586" s="28" t="n">
        <v>0.109</v>
      </c>
      <c r="X586" s="14" t="n">
        <v>46.21</v>
      </c>
      <c r="Y586" s="14">
        <f>ROUND(MIN(100, (X586/69.91)*100), 2)</f>
        <v/>
      </c>
    </row>
    <row r="587">
      <c r="A587" s="10" t="n">
        <v>4</v>
      </c>
      <c r="B587" s="10" t="n">
        <v>583</v>
      </c>
      <c r="C587" s="10" t="n">
        <v>3583</v>
      </c>
      <c r="D587" s="10" t="inlineStr">
        <is>
          <t>1704005014</t>
        </is>
      </c>
      <c r="E587" s="26" t="inlineStr">
        <is>
          <t>MIMAROPA Region</t>
        </is>
      </c>
      <c r="F587" s="26" t="inlineStr">
        <is>
          <t>Marinduque</t>
        </is>
      </c>
      <c r="G587" s="26" t="inlineStr">
        <is>
          <t>Santa Cruz</t>
        </is>
      </c>
      <c r="H587" s="26" t="inlineStr">
        <is>
          <t>Dating Bayan</t>
        </is>
      </c>
      <c r="I587" s="27" t="n">
        <v>13.50769</v>
      </c>
      <c r="J587" s="27" t="n">
        <v>121.95974</v>
      </c>
      <c r="K587" s="10" t="inlineStr">
        <is>
          <t>R</t>
        </is>
      </c>
      <c r="L587" s="12" t="n">
        <v>366</v>
      </c>
      <c r="M587" s="14" t="n">
        <v>3.8</v>
      </c>
      <c r="N587" s="12">
        <f>ROUND(L587/M587, 0)</f>
        <v/>
      </c>
      <c r="O587" s="12">
        <f>ROUND(N587*'Methodology &amp; Assumptions'!$B$5, 0)</f>
        <v/>
      </c>
      <c r="P587" s="10" t="inlineStr">
        <is>
          <t>Single Carrier (Band n50, 100MHz TDD)</t>
        </is>
      </c>
      <c r="Q587" s="13">
        <f>ROUNDUP(O587/'Methodology &amp; Assumptions'!$B$6, 0)</f>
        <v/>
      </c>
      <c r="R587" s="13" t="n">
        <v>1</v>
      </c>
      <c r="S587" s="14" t="n">
        <v>30.96</v>
      </c>
      <c r="T587" s="14" t="n">
        <v>30.96</v>
      </c>
      <c r="U587" s="26">
        <f>IF(X587&gt;='Methodology &amp; Assumptions'!$B$7, "Tier 1 Critical GIDA (Score ≥ 50.0)", IF(X587&gt;='Methodology &amp; Assumptions'!$B$8, "Tier 2 High GIDA (Score 40.0–49.9)", "Tier 3 Moderate GIDA (Score &lt; 40.0)"))</f>
        <v/>
      </c>
      <c r="V587" s="26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W587" s="28" t="n">
        <v>0.15</v>
      </c>
      <c r="X587" s="14" t="n">
        <v>46.21</v>
      </c>
      <c r="Y587" s="14">
        <f>ROUND(MIN(100, (X587/69.91)*100), 2)</f>
        <v/>
      </c>
    </row>
    <row r="588">
      <c r="A588" s="10" t="n">
        <v>4</v>
      </c>
      <c r="B588" s="10" t="n">
        <v>584</v>
      </c>
      <c r="C588" s="10" t="n">
        <v>3584</v>
      </c>
      <c r="D588" s="10" t="inlineStr">
        <is>
          <t>0402103004</t>
        </is>
      </c>
      <c r="E588" s="26" t="inlineStr">
        <is>
          <t>Region IV-A (CALABARZON)</t>
        </is>
      </c>
      <c r="F588" s="26" t="inlineStr">
        <is>
          <t>Cavite</t>
        </is>
      </c>
      <c r="G588" s="26" t="inlineStr">
        <is>
          <t>City of Bacoor</t>
        </is>
      </c>
      <c r="H588" s="26" t="inlineStr">
        <is>
          <t>Bayanan</t>
        </is>
      </c>
      <c r="I588" s="27" t="n">
        <v>14.441293</v>
      </c>
      <c r="J588" s="27" t="n">
        <v>120.914743</v>
      </c>
      <c r="K588" s="10" t="inlineStr">
        <is>
          <t>U</t>
        </is>
      </c>
      <c r="L588" s="12" t="n">
        <v>11757</v>
      </c>
      <c r="M588" s="14" t="n">
        <v>3.4</v>
      </c>
      <c r="N588" s="12">
        <f>ROUND(L588/M588, 0)</f>
        <v/>
      </c>
      <c r="O588" s="12">
        <f>ROUND(N588*'Methodology &amp; Assumptions'!$B$5, 0)</f>
        <v/>
      </c>
      <c r="P588" s="10" t="inlineStr">
        <is>
          <t>Single Carrier (Band n50, 100MHz TDD)</t>
        </is>
      </c>
      <c r="Q588" s="13">
        <f>ROUNDUP(O588/'Methodology &amp; Assumptions'!$B$6, 0)</f>
        <v/>
      </c>
      <c r="R588" s="13" t="n">
        <v>1</v>
      </c>
      <c r="S588" s="14" t="n">
        <v>3.56</v>
      </c>
      <c r="T588" s="14" t="n">
        <v>0.26</v>
      </c>
      <c r="U588" s="26">
        <f>IF(X588&gt;='Methodology &amp; Assumptions'!$B$7, "Tier 1 Critical GIDA (Score ≥ 50.0)", IF(X588&gt;='Methodology &amp; Assumptions'!$B$8, "Tier 2 High GIDA (Score 40.0–49.9)", "Tier 3 Moderate GIDA (Score &lt; 40.0)"))</f>
        <v/>
      </c>
      <c r="V588" s="26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W588" s="28" t="n">
        <v>0.07200000000000001</v>
      </c>
      <c r="X588" s="14" t="n">
        <v>46.21</v>
      </c>
      <c r="Y588" s="14">
        <f>ROUND(MIN(100, (X588/69.91)*100), 2)</f>
        <v/>
      </c>
    </row>
    <row r="589">
      <c r="A589" s="10" t="n">
        <v>4</v>
      </c>
      <c r="B589" s="10" t="n">
        <v>585</v>
      </c>
      <c r="C589" s="10" t="n">
        <v>3585</v>
      </c>
      <c r="D589" s="10" t="inlineStr">
        <is>
          <t>0301407020</t>
        </is>
      </c>
      <c r="E589" s="26" t="inlineStr">
        <is>
          <t>Region III (Central Luzon)</t>
        </is>
      </c>
      <c r="F589" s="26" t="inlineStr">
        <is>
          <t>Bulacan</t>
        </is>
      </c>
      <c r="G589" s="26" t="inlineStr">
        <is>
          <t>Calumpit</t>
        </is>
      </c>
      <c r="H589" s="26" t="inlineStr">
        <is>
          <t>Pio Cruzcosa</t>
        </is>
      </c>
      <c r="I589" s="27" t="n">
        <v>14.896537</v>
      </c>
      <c r="J589" s="27" t="n">
        <v>120.763859</v>
      </c>
      <c r="K589" s="10" t="inlineStr">
        <is>
          <t>U</t>
        </is>
      </c>
      <c r="L589" s="12" t="n">
        <v>4874</v>
      </c>
      <c r="M589" s="14" t="n">
        <v>3.5</v>
      </c>
      <c r="N589" s="12">
        <f>ROUND(L589/M589, 0)</f>
        <v/>
      </c>
      <c r="O589" s="12">
        <f>ROUND(N589*'Methodology &amp; Assumptions'!$B$5, 0)</f>
        <v/>
      </c>
      <c r="P589" s="10" t="inlineStr">
        <is>
          <t>Single Carrier (Band n50, 100MHz TDD)</t>
        </is>
      </c>
      <c r="Q589" s="13">
        <f>ROUNDUP(O589/'Methodology &amp; Assumptions'!$B$6, 0)</f>
        <v/>
      </c>
      <c r="R589" s="13" t="n">
        <v>1</v>
      </c>
      <c r="S589" s="14" t="n">
        <v>1.17</v>
      </c>
      <c r="T589" s="14" t="n">
        <v>1.01</v>
      </c>
      <c r="U589" s="26">
        <f>IF(X589&gt;='Methodology &amp; Assumptions'!$B$7, "Tier 1 Critical GIDA (Score ≥ 50.0)", IF(X589&gt;='Methodology &amp; Assumptions'!$B$8, "Tier 2 High GIDA (Score 40.0–49.9)", "Tier 3 Moderate GIDA (Score &lt; 40.0)"))</f>
        <v/>
      </c>
      <c r="V589" s="26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W589" s="28" t="n">
        <v>0.083</v>
      </c>
      <c r="X589" s="14" t="n">
        <v>46.21</v>
      </c>
      <c r="Y589" s="14">
        <f>ROUND(MIN(100, (X589/69.91)*100), 2)</f>
        <v/>
      </c>
    </row>
    <row r="590">
      <c r="A590" s="10" t="n">
        <v>4</v>
      </c>
      <c r="B590" s="10" t="n">
        <v>586</v>
      </c>
      <c r="C590" s="10" t="n">
        <v>3586</v>
      </c>
      <c r="D590" s="10" t="inlineStr">
        <is>
          <t>PH0003586</t>
        </is>
      </c>
      <c r="E590" s="26" t="inlineStr">
        <is>
          <t>IV-A</t>
        </is>
      </c>
      <c r="F590" s="26" t="inlineStr">
        <is>
          <t>Cavite</t>
        </is>
      </c>
      <c r="G590" s="26" t="inlineStr">
        <is>
          <t>Imus City</t>
        </is>
      </c>
      <c r="H590" s="26" t="inlineStr">
        <is>
          <t>Tanzang Luma II</t>
        </is>
      </c>
      <c r="I590" s="27" t="n">
        <v>14.286698</v>
      </c>
      <c r="J590" s="27" t="n">
        <v>120.876672</v>
      </c>
      <c r="K590" s="10" t="inlineStr">
        <is>
          <t>R</t>
        </is>
      </c>
      <c r="L590" s="12" t="n">
        <v>2316</v>
      </c>
      <c r="M590" s="14" t="n">
        <v>3.4</v>
      </c>
      <c r="N590" s="12">
        <f>ROUND(L590/M590, 0)</f>
        <v/>
      </c>
      <c r="O590" s="12">
        <f>ROUND(N590*'Methodology &amp; Assumptions'!$B$5, 0)</f>
        <v/>
      </c>
      <c r="P590" s="10" t="inlineStr">
        <is>
          <t>Single Carrier (Band n50, 100MHz TDD)</t>
        </is>
      </c>
      <c r="Q590" s="13">
        <f>ROUNDUP(O590/'Methodology &amp; Assumptions'!$B$6, 0)</f>
        <v/>
      </c>
      <c r="R590" s="13" t="n">
        <v>1</v>
      </c>
      <c r="S590" s="14" t="n">
        <v>0.96</v>
      </c>
      <c r="T590" s="14" t="n">
        <v>0.77</v>
      </c>
      <c r="U590" s="26">
        <f>IF(X590&gt;='Methodology &amp; Assumptions'!$B$7, "Tier 1 Critical GIDA (Score ≥ 50.0)", IF(X590&gt;='Methodology &amp; Assumptions'!$B$8, "Tier 2 High GIDA (Score 40.0–49.9)", "Tier 3 Moderate GIDA (Score &lt; 40.0)"))</f>
        <v/>
      </c>
      <c r="V590" s="26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W590" s="28" t="n">
        <v>0.07200000000000001</v>
      </c>
      <c r="X590" s="14" t="n">
        <v>46.19</v>
      </c>
      <c r="Y590" s="14">
        <f>ROUND(MIN(100, (X590/69.91)*100), 2)</f>
        <v/>
      </c>
    </row>
    <row r="591">
      <c r="A591" s="10" t="n">
        <v>4</v>
      </c>
      <c r="B591" s="10" t="n">
        <v>587</v>
      </c>
      <c r="C591" s="10" t="n">
        <v>3587</v>
      </c>
      <c r="D591" s="10" t="inlineStr">
        <is>
          <t>0806020031</t>
        </is>
      </c>
      <c r="E591" s="26" t="inlineStr">
        <is>
          <t>Region VIII (Eastern Visayas)</t>
        </is>
      </c>
      <c r="F591" s="26" t="inlineStr">
        <is>
          <t>Samar</t>
        </is>
      </c>
      <c r="G591" s="26" t="inlineStr">
        <is>
          <t>Tarangnan</t>
        </is>
      </c>
      <c r="H591" s="26" t="inlineStr">
        <is>
          <t>Marabut</t>
        </is>
      </c>
      <c r="I591" s="27" t="n">
        <v>11.905027</v>
      </c>
      <c r="J591" s="27" t="n">
        <v>124.764928</v>
      </c>
      <c r="K591" s="10" t="inlineStr">
        <is>
          <t>R</t>
        </is>
      </c>
      <c r="L591" s="12" t="n">
        <v>250</v>
      </c>
      <c r="M591" s="14" t="n">
        <v>4.1</v>
      </c>
      <c r="N591" s="12">
        <f>ROUND(L591/M591, 0)</f>
        <v/>
      </c>
      <c r="O591" s="12">
        <f>ROUND(N591*'Methodology &amp; Assumptions'!$B$5, 0)</f>
        <v/>
      </c>
      <c r="P591" s="10" t="inlineStr">
        <is>
          <t>Single Carrier (Band n50, 100MHz TDD)</t>
        </is>
      </c>
      <c r="Q591" s="13">
        <f>ROUNDUP(O591/'Methodology &amp; Assumptions'!$B$6, 0)</f>
        <v/>
      </c>
      <c r="R591" s="13" t="n">
        <v>1</v>
      </c>
      <c r="S591" s="14" t="n">
        <v>67.8</v>
      </c>
      <c r="T591" s="14" t="n">
        <v>67.77</v>
      </c>
      <c r="U591" s="26">
        <f>IF(X591&gt;='Methodology &amp; Assumptions'!$B$7, "Tier 1 Critical GIDA (Score ≥ 50.0)", IF(X591&gt;='Methodology &amp; Assumptions'!$B$8, "Tier 2 High GIDA (Score 40.0–49.9)", "Tier 3 Moderate GIDA (Score &lt; 40.0)"))</f>
        <v/>
      </c>
      <c r="V591" s="26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W591" s="28" t="n">
        <v>0.237</v>
      </c>
      <c r="X591" s="14" t="n">
        <v>46.19</v>
      </c>
      <c r="Y591" s="14">
        <f>ROUND(MIN(100, (X591/69.91)*100), 2)</f>
        <v/>
      </c>
    </row>
    <row r="592">
      <c r="A592" s="10" t="n">
        <v>4</v>
      </c>
      <c r="B592" s="10" t="n">
        <v>588</v>
      </c>
      <c r="C592" s="10" t="n">
        <v>3588</v>
      </c>
      <c r="D592" s="10" t="inlineStr">
        <is>
          <t>1380200020</t>
        </is>
      </c>
      <c r="E592" s="26" t="inlineStr">
        <is>
          <t>National Capital Region (NCR)</t>
        </is>
      </c>
      <c r="F592" s="26" t="inlineStr">
        <is>
          <t>Fourth District (Not a Province)</t>
        </is>
      </c>
      <c r="G592" s="26" t="inlineStr">
        <is>
          <t>City of Las Piñas</t>
        </is>
      </c>
      <c r="H592" s="26" t="inlineStr">
        <is>
          <t>Talon Singko</t>
        </is>
      </c>
      <c r="I592" s="27" t="n">
        <v>14.42</v>
      </c>
      <c r="J592" s="27" t="n">
        <v>120.992222</v>
      </c>
      <c r="K592" s="10" t="inlineStr">
        <is>
          <t>U</t>
        </is>
      </c>
      <c r="L592" s="12" t="n">
        <v>39275</v>
      </c>
      <c r="M592" s="14" t="n">
        <v>3.8</v>
      </c>
      <c r="N592" s="12">
        <f>ROUND(L592/M592, 0)</f>
        <v/>
      </c>
      <c r="O592" s="12">
        <f>ROUND(N592*'Methodology &amp; Assumptions'!$B$5, 0)</f>
        <v/>
      </c>
      <c r="P592" s="10" t="inlineStr">
        <is>
          <t>Single Carrier (Band n50, 100MHz TDD)</t>
        </is>
      </c>
      <c r="Q592" s="13">
        <f>ROUNDUP(O592/'Methodology &amp; Assumptions'!$B$6, 0)</f>
        <v/>
      </c>
      <c r="R592" s="13" t="n">
        <v>1</v>
      </c>
      <c r="S592" s="14" t="n">
        <v>2.4</v>
      </c>
      <c r="T592" s="14" t="n">
        <v>2.4</v>
      </c>
      <c r="U592" s="26">
        <f>IF(X592&gt;='Methodology &amp; Assumptions'!$B$7, "Tier 1 Critical GIDA (Score ≥ 50.0)", IF(X592&gt;='Methodology &amp; Assumptions'!$B$8, "Tier 2 High GIDA (Score 40.0–49.9)", "Tier 3 Moderate GIDA (Score &lt; 40.0)"))</f>
        <v/>
      </c>
      <c r="V592" s="26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W592" s="28" t="n">
        <v>0.109</v>
      </c>
      <c r="X592" s="14" t="n">
        <v>46.19</v>
      </c>
      <c r="Y592" s="14">
        <f>ROUND(MIN(100, (X592/69.91)*100), 2)</f>
        <v/>
      </c>
    </row>
    <row r="593">
      <c r="A593" s="10" t="n">
        <v>4</v>
      </c>
      <c r="B593" s="10" t="n">
        <v>589</v>
      </c>
      <c r="C593" s="10" t="n">
        <v>3589</v>
      </c>
      <c r="D593" s="10" t="inlineStr">
        <is>
          <t>1381400009</t>
        </is>
      </c>
      <c r="E593" s="26" t="inlineStr">
        <is>
          <t>National Capital Region (NCR)</t>
        </is>
      </c>
      <c r="F593" s="26" t="inlineStr">
        <is>
          <t>Second District (Not a Province)</t>
        </is>
      </c>
      <c r="G593" s="26" t="inlineStr">
        <is>
          <t>City of San Juan</t>
        </is>
      </c>
      <c r="H593" s="26" t="inlineStr">
        <is>
          <t>Little Baguio</t>
        </is>
      </c>
      <c r="I593" s="27" t="n">
        <v>14.598304</v>
      </c>
      <c r="J593" s="27" t="n">
        <v>121.017772</v>
      </c>
      <c r="K593" s="10" t="inlineStr">
        <is>
          <t>U</t>
        </is>
      </c>
      <c r="L593" s="12" t="n">
        <v>6671</v>
      </c>
      <c r="M593" s="14" t="n">
        <v>3.6</v>
      </c>
      <c r="N593" s="12">
        <f>ROUND(L593/M593, 0)</f>
        <v/>
      </c>
      <c r="O593" s="12">
        <f>ROUND(N593*'Methodology &amp; Assumptions'!$B$5, 0)</f>
        <v/>
      </c>
      <c r="P593" s="10" t="inlineStr">
        <is>
          <t>Single Carrier (Band n50, 100MHz TDD)</t>
        </is>
      </c>
      <c r="Q593" s="13">
        <f>ROUNDUP(O593/'Methodology &amp; Assumptions'!$B$6, 0)</f>
        <v/>
      </c>
      <c r="R593" s="13" t="n">
        <v>1</v>
      </c>
      <c r="S593" s="14" t="n">
        <v>1.48</v>
      </c>
      <c r="T593" s="14" t="n">
        <v>0.52</v>
      </c>
      <c r="U593" s="26">
        <f>IF(X593&gt;='Methodology &amp; Assumptions'!$B$7, "Tier 1 Critical GIDA (Score ≥ 50.0)", IF(X593&gt;='Methodology &amp; Assumptions'!$B$8, "Tier 2 High GIDA (Score 40.0–49.9)", "Tier 3 Moderate GIDA (Score &lt; 40.0)"))</f>
        <v/>
      </c>
      <c r="V593" s="26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W593" s="28" t="n">
        <v>0.109</v>
      </c>
      <c r="X593" s="14" t="n">
        <v>46.18</v>
      </c>
      <c r="Y593" s="14">
        <f>ROUND(MIN(100, (X593/69.91)*100), 2)</f>
        <v/>
      </c>
    </row>
    <row r="594">
      <c r="A594" s="10" t="n">
        <v>4</v>
      </c>
      <c r="B594" s="10" t="n">
        <v>590</v>
      </c>
      <c r="C594" s="10" t="n">
        <v>3590</v>
      </c>
      <c r="D594" s="10" t="inlineStr">
        <is>
          <t>1102301009</t>
        </is>
      </c>
      <c r="E594" s="26" t="inlineStr">
        <is>
          <t>Region XI (Davao Region)</t>
        </is>
      </c>
      <c r="F594" s="26" t="inlineStr">
        <is>
          <t>Davao del Norte</t>
        </is>
      </c>
      <c r="G594" s="26" t="inlineStr">
        <is>
          <t>Asuncion</t>
        </is>
      </c>
      <c r="H594" s="26" t="inlineStr">
        <is>
          <t>Camansa</t>
        </is>
      </c>
      <c r="I594" s="27" t="n">
        <v>7.71588</v>
      </c>
      <c r="J594" s="27" t="n">
        <v>125.900597</v>
      </c>
      <c r="K594" s="10" t="inlineStr">
        <is>
          <t>R</t>
        </is>
      </c>
      <c r="L594" s="12" t="n">
        <v>1580</v>
      </c>
      <c r="M594" s="14" t="n">
        <v>3.7</v>
      </c>
      <c r="N594" s="12">
        <f>ROUND(L594/M594, 0)</f>
        <v/>
      </c>
      <c r="O594" s="12">
        <f>ROUND(N594*'Methodology &amp; Assumptions'!$B$5, 0)</f>
        <v/>
      </c>
      <c r="P594" s="10" t="inlineStr">
        <is>
          <t>Single Carrier (Band n50, 100MHz TDD)</t>
        </is>
      </c>
      <c r="Q594" s="13">
        <f>ROUNDUP(O594/'Methodology &amp; Assumptions'!$B$6, 0)</f>
        <v/>
      </c>
      <c r="R594" s="13" t="n">
        <v>1</v>
      </c>
      <c r="S594" s="14" t="n">
        <v>21.15</v>
      </c>
      <c r="T594" s="14" t="n">
        <v>9.93</v>
      </c>
      <c r="U594" s="26">
        <f>IF(X594&gt;='Methodology &amp; Assumptions'!$B$7, "Tier 1 Critical GIDA (Score ≥ 50.0)", IF(X594&gt;='Methodology &amp; Assumptions'!$B$8, "Tier 2 High GIDA (Score 40.0–49.9)", "Tier 3 Moderate GIDA (Score &lt; 40.0)"))</f>
        <v/>
      </c>
      <c r="V594" s="26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W594" s="28" t="n">
        <v>0.174</v>
      </c>
      <c r="X594" s="14" t="n">
        <v>46.18</v>
      </c>
      <c r="Y594" s="14">
        <f>ROUND(MIN(100, (X594/69.91)*100), 2)</f>
        <v/>
      </c>
    </row>
    <row r="595">
      <c r="A595" s="10" t="n">
        <v>4</v>
      </c>
      <c r="B595" s="10" t="n">
        <v>591</v>
      </c>
      <c r="C595" s="10" t="n">
        <v>3591</v>
      </c>
      <c r="D595" s="10" t="inlineStr">
        <is>
          <t>PH0003591</t>
        </is>
      </c>
      <c r="E595" s="26" t="inlineStr">
        <is>
          <t>XI</t>
        </is>
      </c>
      <c r="F595" s="26" t="inlineStr">
        <is>
          <t>Davao Del Sur</t>
        </is>
      </c>
      <c r="G595" s="26" t="inlineStr">
        <is>
          <t>Davao City</t>
        </is>
      </c>
      <c r="H595" s="26" t="inlineStr">
        <is>
          <t>Barangay 7-A (Pob.)</t>
        </is>
      </c>
      <c r="I595" s="27" t="n">
        <v>7.223517</v>
      </c>
      <c r="J595" s="27" t="n">
        <v>125.479123</v>
      </c>
      <c r="K595" s="10" t="inlineStr">
        <is>
          <t>R</t>
        </is>
      </c>
      <c r="L595" s="12" t="n">
        <v>2280</v>
      </c>
      <c r="M595" s="14" t="n">
        <v>3.4</v>
      </c>
      <c r="N595" s="12">
        <f>ROUND(L595/M595, 0)</f>
        <v/>
      </c>
      <c r="O595" s="12">
        <f>ROUND(N595*'Methodology &amp; Assumptions'!$B$5, 0)</f>
        <v/>
      </c>
      <c r="P595" s="10" t="inlineStr">
        <is>
          <t>Single Carrier (Band n50, 100MHz TDD)</t>
        </is>
      </c>
      <c r="Q595" s="13">
        <f>ROUNDUP(O595/'Methodology &amp; Assumptions'!$B$6, 0)</f>
        <v/>
      </c>
      <c r="R595" s="13" t="n">
        <v>1</v>
      </c>
      <c r="S595" s="14" t="n">
        <v>4.96</v>
      </c>
      <c r="T595" s="14" t="n">
        <v>4.39</v>
      </c>
      <c r="U595" s="26">
        <f>IF(X595&gt;='Methodology &amp; Assumptions'!$B$7, "Tier 1 Critical GIDA (Score ≥ 50.0)", IF(X595&gt;='Methodology &amp; Assumptions'!$B$8, "Tier 2 High GIDA (Score 40.0–49.9)", "Tier 3 Moderate GIDA (Score &lt; 40.0)"))</f>
        <v/>
      </c>
      <c r="V595" s="26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W595" s="28" t="n">
        <v>0.119</v>
      </c>
      <c r="X595" s="14" t="n">
        <v>46.18</v>
      </c>
      <c r="Y595" s="14">
        <f>ROUND(MIN(100, (X595/69.91)*100), 2)</f>
        <v/>
      </c>
    </row>
    <row r="596">
      <c r="A596" s="10" t="n">
        <v>4</v>
      </c>
      <c r="B596" s="10" t="n">
        <v>592</v>
      </c>
      <c r="C596" s="10" t="n">
        <v>3592</v>
      </c>
      <c r="D596" s="10" t="inlineStr">
        <is>
          <t>PH0003592</t>
        </is>
      </c>
      <c r="E596" s="26" t="inlineStr">
        <is>
          <t>VI</t>
        </is>
      </c>
      <c r="F596" s="26" t="inlineStr">
        <is>
          <t>Iloilo</t>
        </is>
      </c>
      <c r="G596" s="26" t="inlineStr">
        <is>
          <t>Iloilo City</t>
        </is>
      </c>
      <c r="H596" s="26" t="inlineStr">
        <is>
          <t>Lopez Jaena Norte</t>
        </is>
      </c>
      <c r="I596" s="27" t="n">
        <v>10.794541</v>
      </c>
      <c r="J596" s="27" t="n">
        <v>122.64891</v>
      </c>
      <c r="K596" s="10" t="inlineStr">
        <is>
          <t>R</t>
        </is>
      </c>
      <c r="L596" s="12" t="n">
        <v>2230</v>
      </c>
      <c r="M596" s="14" t="n">
        <v>3.8</v>
      </c>
      <c r="N596" s="12">
        <f>ROUND(L596/M596, 0)</f>
        <v/>
      </c>
      <c r="O596" s="12">
        <f>ROUND(N596*'Methodology &amp; Assumptions'!$B$5, 0)</f>
        <v/>
      </c>
      <c r="P596" s="10" t="inlineStr">
        <is>
          <t>Single Carrier (Band n50, 100MHz TDD)</t>
        </is>
      </c>
      <c r="Q596" s="13">
        <f>ROUNDUP(O596/'Methodology &amp; Assumptions'!$B$6, 0)</f>
        <v/>
      </c>
      <c r="R596" s="13" t="n">
        <v>1</v>
      </c>
      <c r="S596" s="14" t="n">
        <v>5.35</v>
      </c>
      <c r="T596" s="14" t="n">
        <v>3.33</v>
      </c>
      <c r="U596" s="26">
        <f>IF(X596&gt;='Methodology &amp; Assumptions'!$B$7, "Tier 1 Critical GIDA (Score ≥ 50.0)", IF(X596&gt;='Methodology &amp; Assumptions'!$B$8, "Tier 2 High GIDA (Score 40.0–49.9)", "Tier 3 Moderate GIDA (Score &lt; 40.0)"))</f>
        <v/>
      </c>
      <c r="V596" s="26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W596" s="28" t="n">
        <v>0.156</v>
      </c>
      <c r="X596" s="14" t="n">
        <v>46.17</v>
      </c>
      <c r="Y596" s="14">
        <f>ROUND(MIN(100, (X596/69.91)*100), 2)</f>
        <v/>
      </c>
    </row>
    <row r="597">
      <c r="A597" s="10" t="n">
        <v>4</v>
      </c>
      <c r="B597" s="10" t="n">
        <v>593</v>
      </c>
      <c r="C597" s="10" t="n">
        <v>3593</v>
      </c>
      <c r="D597" s="10" t="inlineStr">
        <is>
          <t>PH0003593</t>
        </is>
      </c>
      <c r="E597" s="26" t="inlineStr">
        <is>
          <t>VI</t>
        </is>
      </c>
      <c r="F597" s="26" t="inlineStr">
        <is>
          <t>Capiz</t>
        </is>
      </c>
      <c r="G597" s="26" t="inlineStr">
        <is>
          <t>Roxas City</t>
        </is>
      </c>
      <c r="H597" s="26" t="inlineStr">
        <is>
          <t>Poblacion XI</t>
        </is>
      </c>
      <c r="I597" s="27" t="n">
        <v>11.54944</v>
      </c>
      <c r="J597" s="27" t="n">
        <v>122.752934</v>
      </c>
      <c r="K597" s="10" t="inlineStr">
        <is>
          <t>R</t>
        </is>
      </c>
      <c r="L597" s="12" t="n">
        <v>2282</v>
      </c>
      <c r="M597" s="14" t="n">
        <v>3.8</v>
      </c>
      <c r="N597" s="12">
        <f>ROUND(L597/M597, 0)</f>
        <v/>
      </c>
      <c r="O597" s="12">
        <f>ROUND(N597*'Methodology &amp; Assumptions'!$B$5, 0)</f>
        <v/>
      </c>
      <c r="P597" s="10" t="inlineStr">
        <is>
          <t>Single Carrier (Band n50, 100MHz TDD)</t>
        </is>
      </c>
      <c r="Q597" s="13">
        <f>ROUNDUP(O597/'Methodology &amp; Assumptions'!$B$6, 0)</f>
        <v/>
      </c>
      <c r="R597" s="13" t="n">
        <v>1</v>
      </c>
      <c r="S597" s="14" t="n">
        <v>3.47</v>
      </c>
      <c r="T597" s="14" t="n">
        <v>0.61</v>
      </c>
      <c r="U597" s="26">
        <f>IF(X597&gt;='Methodology &amp; Assumptions'!$B$7, "Tier 1 Critical GIDA (Score ≥ 50.0)", IF(X597&gt;='Methodology &amp; Assumptions'!$B$8, "Tier 2 High GIDA (Score 40.0–49.9)", "Tier 3 Moderate GIDA (Score &lt; 40.0)"))</f>
        <v/>
      </c>
      <c r="V597" s="26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W597" s="28" t="n">
        <v>0.156</v>
      </c>
      <c r="X597" s="14" t="n">
        <v>46.17</v>
      </c>
      <c r="Y597" s="14">
        <f>ROUND(MIN(100, (X597/69.91)*100), 2)</f>
        <v/>
      </c>
    </row>
    <row r="598">
      <c r="A598" s="10" t="n">
        <v>4</v>
      </c>
      <c r="B598" s="10" t="n">
        <v>594</v>
      </c>
      <c r="C598" s="10" t="n">
        <v>3594</v>
      </c>
      <c r="D598" s="10" t="inlineStr">
        <is>
          <t>PH0003594</t>
        </is>
      </c>
      <c r="E598" s="26" t="inlineStr">
        <is>
          <t>NCR</t>
        </is>
      </c>
      <c r="F598" s="26" t="inlineStr">
        <is>
          <t>Metro Manila</t>
        </is>
      </c>
      <c r="G598" s="26" t="inlineStr">
        <is>
          <t>Caloocan City</t>
        </is>
      </c>
      <c r="H598" s="26" t="inlineStr">
        <is>
          <t>Barangay 178</t>
        </is>
      </c>
      <c r="I598" s="27" t="n">
        <v>12.812842</v>
      </c>
      <c r="J598" s="27" t="n">
        <v>120.203172</v>
      </c>
      <c r="K598" s="10" t="inlineStr">
        <is>
          <t>R</t>
        </is>
      </c>
      <c r="L598" s="12" t="n">
        <v>2279</v>
      </c>
      <c r="M598" s="14" t="n">
        <v>3.8</v>
      </c>
      <c r="N598" s="12">
        <f>ROUND(L598/M598, 0)</f>
        <v/>
      </c>
      <c r="O598" s="12">
        <f>ROUND(N598*'Methodology &amp; Assumptions'!$B$5, 0)</f>
        <v/>
      </c>
      <c r="P598" s="10" t="inlineStr">
        <is>
          <t>Single Carrier (Band n50, 100MHz TDD)</t>
        </is>
      </c>
      <c r="Q598" s="13">
        <f>ROUNDUP(O598/'Methodology &amp; Assumptions'!$B$6, 0)</f>
        <v/>
      </c>
      <c r="R598" s="13" t="n">
        <v>1</v>
      </c>
      <c r="S598" s="14" t="n">
        <v>81.08</v>
      </c>
      <c r="T598" s="14" t="n">
        <v>104.98</v>
      </c>
      <c r="U598" s="26">
        <f>IF(X598&gt;='Methodology &amp; Assumptions'!$B$7, "Tier 1 Critical GIDA (Score ≥ 50.0)", IF(X598&gt;='Methodology &amp; Assumptions'!$B$8, "Tier 2 High GIDA (Score 40.0–49.9)", "Tier 3 Moderate GIDA (Score &lt; 40.0)"))</f>
        <v/>
      </c>
      <c r="V598" s="26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W598" s="28" t="n">
        <v>0.011</v>
      </c>
      <c r="X598" s="14" t="n">
        <v>46.16</v>
      </c>
      <c r="Y598" s="14">
        <f>ROUND(MIN(100, (X598/69.91)*100), 2)</f>
        <v/>
      </c>
    </row>
    <row r="599">
      <c r="A599" s="10" t="n">
        <v>4</v>
      </c>
      <c r="B599" s="10" t="n">
        <v>595</v>
      </c>
      <c r="C599" s="10" t="n">
        <v>3595</v>
      </c>
      <c r="D599" s="10" t="inlineStr">
        <is>
          <t>0403404019</t>
        </is>
      </c>
      <c r="E599" s="26" t="inlineStr">
        <is>
          <t>Region IV-A (CALABARZON)</t>
        </is>
      </c>
      <c r="F599" s="26" t="inlineStr">
        <is>
          <t>Laguna</t>
        </is>
      </c>
      <c r="G599" s="26" t="inlineStr">
        <is>
          <t>City of Cabuyao</t>
        </is>
      </c>
      <c r="H599" s="26" t="inlineStr">
        <is>
          <t>Barangay Tres</t>
        </is>
      </c>
      <c r="I599" s="27" t="n">
        <v>14.268998</v>
      </c>
      <c r="J599" s="27" t="n">
        <v>121.31605</v>
      </c>
      <c r="K599" s="10" t="inlineStr">
        <is>
          <t>U</t>
        </is>
      </c>
      <c r="L599" s="12" t="n">
        <v>4685</v>
      </c>
      <c r="M599" s="14" t="n">
        <v>3.3</v>
      </c>
      <c r="N599" s="12">
        <f>ROUND(L599/M599, 0)</f>
        <v/>
      </c>
      <c r="O599" s="12">
        <f>ROUND(N599*'Methodology &amp; Assumptions'!$B$5, 0)</f>
        <v/>
      </c>
      <c r="P599" s="10" t="inlineStr">
        <is>
          <t>Single Carrier (Band n50, 100MHz TDD)</t>
        </is>
      </c>
      <c r="Q599" s="13">
        <f>ROUNDUP(O599/'Methodology &amp; Assumptions'!$B$6, 0)</f>
        <v/>
      </c>
      <c r="R599" s="13" t="n">
        <v>1</v>
      </c>
      <c r="S599" s="14" t="n">
        <v>6.13</v>
      </c>
      <c r="T599" s="14" t="n">
        <v>6.34</v>
      </c>
      <c r="U599" s="26">
        <f>IF(X599&gt;='Methodology &amp; Assumptions'!$B$7, "Tier 1 Critical GIDA (Score ≥ 50.0)", IF(X599&gt;='Methodology &amp; Assumptions'!$B$8, "Tier 2 High GIDA (Score 40.0–49.9)", "Tier 3 Moderate GIDA (Score &lt; 40.0)"))</f>
        <v/>
      </c>
      <c r="V599" s="26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W599" s="28" t="n">
        <v>0.07200000000000001</v>
      </c>
      <c r="X599" s="14" t="n">
        <v>46.16</v>
      </c>
      <c r="Y599" s="14">
        <f>ROUND(MIN(100, (X599/69.91)*100), 2)</f>
        <v/>
      </c>
    </row>
    <row r="600">
      <c r="A600" s="10" t="n">
        <v>4</v>
      </c>
      <c r="B600" s="10" t="n">
        <v>596</v>
      </c>
      <c r="C600" s="10" t="n">
        <v>3596</v>
      </c>
      <c r="D600" s="10" t="inlineStr">
        <is>
          <t>1705318025</t>
        </is>
      </c>
      <c r="E600" s="26" t="inlineStr">
        <is>
          <t>MIMAROPA Region</t>
        </is>
      </c>
      <c r="F600" s="26" t="inlineStr">
        <is>
          <t>Palawan</t>
        </is>
      </c>
      <c r="G600" s="26" t="inlineStr">
        <is>
          <t>Roxas</t>
        </is>
      </c>
      <c r="H600" s="26" t="inlineStr">
        <is>
          <t>Taradungan</t>
        </is>
      </c>
      <c r="I600" s="27" t="n">
        <v>10.36964</v>
      </c>
      <c r="J600" s="27" t="n">
        <v>119.53078</v>
      </c>
      <c r="K600" s="10" t="inlineStr">
        <is>
          <t>R</t>
        </is>
      </c>
      <c r="L600" s="12" t="n">
        <v>1492</v>
      </c>
      <c r="M600" s="14" t="n">
        <v>3.9</v>
      </c>
      <c r="N600" s="12">
        <f>ROUND(L600/M600, 0)</f>
        <v/>
      </c>
      <c r="O600" s="12">
        <f>ROUND(N600*'Methodology &amp; Assumptions'!$B$5, 0)</f>
        <v/>
      </c>
      <c r="P600" s="10" t="inlineStr">
        <is>
          <t>Single Carrier (Band n50, 100MHz TDD)</t>
        </is>
      </c>
      <c r="Q600" s="13">
        <f>ROUNDUP(O600/'Methodology &amp; Assumptions'!$B$6, 0)</f>
        <v/>
      </c>
      <c r="R600" s="13" t="n">
        <v>1</v>
      </c>
      <c r="S600" s="14" t="n">
        <v>21.19</v>
      </c>
      <c r="T600" s="14" t="n">
        <v>16.89</v>
      </c>
      <c r="U600" s="26">
        <f>IF(X600&gt;='Methodology &amp; Assumptions'!$B$7, "Tier 1 Critical GIDA (Score ≥ 50.0)", IF(X600&gt;='Methodology &amp; Assumptions'!$B$8, "Tier 2 High GIDA (Score 40.0–49.9)", "Tier 3 Moderate GIDA (Score &lt; 40.0)"))</f>
        <v/>
      </c>
      <c r="V600" s="26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W600" s="28" t="n">
        <v>0.15</v>
      </c>
      <c r="X600" s="14" t="n">
        <v>46.15</v>
      </c>
      <c r="Y600" s="14">
        <f>ROUND(MIN(100, (X600/69.91)*100), 2)</f>
        <v/>
      </c>
    </row>
    <row r="601">
      <c r="A601" s="10" t="n">
        <v>4</v>
      </c>
      <c r="B601" s="10" t="n">
        <v>597</v>
      </c>
      <c r="C601" s="10" t="n">
        <v>3597</v>
      </c>
      <c r="D601" s="10" t="inlineStr">
        <is>
          <t>PH0003597</t>
        </is>
      </c>
      <c r="E601" s="26" t="inlineStr">
        <is>
          <t>NCR</t>
        </is>
      </c>
      <c r="F601" s="26" t="inlineStr">
        <is>
          <t>Metro Manila</t>
        </is>
      </c>
      <c r="G601" s="26" t="inlineStr">
        <is>
          <t>Caloocan City</t>
        </is>
      </c>
      <c r="H601" s="26" t="inlineStr">
        <is>
          <t>Barangay 14</t>
        </is>
      </c>
      <c r="I601" s="27" t="n">
        <v>13.964483</v>
      </c>
      <c r="J601" s="27" t="n">
        <v>122.88678</v>
      </c>
      <c r="K601" s="10" t="inlineStr">
        <is>
          <t>R</t>
        </is>
      </c>
      <c r="L601" s="12" t="n">
        <v>2279</v>
      </c>
      <c r="M601" s="14" t="n">
        <v>3.8</v>
      </c>
      <c r="N601" s="12">
        <f>ROUND(L601/M601, 0)</f>
        <v/>
      </c>
      <c r="O601" s="12">
        <f>ROUND(N601*'Methodology &amp; Assumptions'!$B$5, 0)</f>
        <v/>
      </c>
      <c r="P601" s="10" t="inlineStr">
        <is>
          <t>Single Carrier (Band n50, 100MHz TDD)</t>
        </is>
      </c>
      <c r="Q601" s="13">
        <f>ROUNDUP(O601/'Methodology &amp; Assumptions'!$B$6, 0)</f>
        <v/>
      </c>
      <c r="R601" s="13" t="n">
        <v>1</v>
      </c>
      <c r="S601" s="14" t="n">
        <v>7.17</v>
      </c>
      <c r="T601" s="14" t="n">
        <v>6.31</v>
      </c>
      <c r="U601" s="26">
        <f>IF(X601&gt;='Methodology &amp; Assumptions'!$B$7, "Tier 1 Critical GIDA (Score ≥ 50.0)", IF(X601&gt;='Methodology &amp; Assumptions'!$B$8, "Tier 2 High GIDA (Score 40.0–49.9)", "Tier 3 Moderate GIDA (Score &lt; 40.0)"))</f>
        <v/>
      </c>
      <c r="V601" s="26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W601" s="28" t="n">
        <v>0.011</v>
      </c>
      <c r="X601" s="14" t="n">
        <v>46.15</v>
      </c>
      <c r="Y601" s="14">
        <f>ROUND(MIN(100, (X601/69.91)*100), 2)</f>
        <v/>
      </c>
    </row>
    <row r="602">
      <c r="A602" s="10" t="n">
        <v>4</v>
      </c>
      <c r="B602" s="10" t="n">
        <v>598</v>
      </c>
      <c r="C602" s="10" t="n">
        <v>3598</v>
      </c>
      <c r="D602" s="10" t="inlineStr">
        <is>
          <t>1380610014</t>
        </is>
      </c>
      <c r="E602" s="26" t="inlineStr">
        <is>
          <t>National Capital Region (NCR)</t>
        </is>
      </c>
      <c r="F602" s="26" t="inlineStr">
        <is>
          <t>First District (Not a Province)</t>
        </is>
      </c>
      <c r="G602" s="26" t="inlineStr">
        <is>
          <t>City of Manila</t>
        </is>
      </c>
      <c r="H602" s="26" t="inlineStr">
        <is>
          <t>Barangay 699</t>
        </is>
      </c>
      <c r="I602" s="27" t="n">
        <v>11.595556</v>
      </c>
      <c r="J602" s="27" t="n">
        <v>121.600576</v>
      </c>
      <c r="K602" s="10" t="inlineStr">
        <is>
          <t>U</t>
        </is>
      </c>
      <c r="L602" s="12" t="n">
        <v>3290</v>
      </c>
      <c r="M602" s="14" t="n">
        <v>3.9</v>
      </c>
      <c r="N602" s="12">
        <f>ROUND(L602/M602, 0)</f>
        <v/>
      </c>
      <c r="O602" s="12">
        <f>ROUND(N602*'Methodology &amp; Assumptions'!$B$5, 0)</f>
        <v/>
      </c>
      <c r="P602" s="10" t="inlineStr">
        <is>
          <t>Single Carrier (Band n50, 100MHz TDD)</t>
        </is>
      </c>
      <c r="Q602" s="13">
        <f>ROUNDUP(O602/'Methodology &amp; Assumptions'!$B$6, 0)</f>
        <v/>
      </c>
      <c r="R602" s="13" t="n">
        <v>1</v>
      </c>
      <c r="S602" s="14" t="n">
        <v>54.33</v>
      </c>
      <c r="T602" s="14" t="n">
        <v>52.59</v>
      </c>
      <c r="U602" s="26">
        <f>IF(X602&gt;='Methodology &amp; Assumptions'!$B$7, "Tier 1 Critical GIDA (Score ≥ 50.0)", IF(X602&gt;='Methodology &amp; Assumptions'!$B$8, "Tier 2 High GIDA (Score 40.0–49.9)", "Tier 3 Moderate GIDA (Score &lt; 40.0)"))</f>
        <v/>
      </c>
      <c r="V602" s="26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W602" s="28" t="n">
        <v>0.109</v>
      </c>
      <c r="X602" s="14" t="n">
        <v>46.15</v>
      </c>
      <c r="Y602" s="14">
        <f>ROUND(MIN(100, (X602/69.91)*100), 2)</f>
        <v/>
      </c>
    </row>
    <row r="603">
      <c r="A603" s="10" t="n">
        <v>4</v>
      </c>
      <c r="B603" s="10" t="n">
        <v>599</v>
      </c>
      <c r="C603" s="10" t="n">
        <v>3599</v>
      </c>
      <c r="D603" s="10" t="inlineStr">
        <is>
          <t>PH0003599</t>
        </is>
      </c>
      <c r="E603" s="26" t="inlineStr">
        <is>
          <t>CAR</t>
        </is>
      </c>
      <c r="F603" s="26" t="inlineStr">
        <is>
          <t>Benguet</t>
        </is>
      </c>
      <c r="G603" s="26" t="inlineStr">
        <is>
          <t>Baguio City</t>
        </is>
      </c>
      <c r="H603" s="26" t="inlineStr">
        <is>
          <t>Holy Ghost Extension</t>
        </is>
      </c>
      <c r="I603" s="27" t="n">
        <v>16.417856</v>
      </c>
      <c r="J603" s="27" t="n">
        <v>120.604567</v>
      </c>
      <c r="K603" s="10" t="inlineStr">
        <is>
          <t>R</t>
        </is>
      </c>
      <c r="L603" s="12" t="n">
        <v>2260</v>
      </c>
      <c r="M603" s="14" t="n">
        <v>3.5</v>
      </c>
      <c r="N603" s="12">
        <f>ROUND(L603/M603, 0)</f>
        <v/>
      </c>
      <c r="O603" s="12">
        <f>ROUND(N603*'Methodology &amp; Assumptions'!$B$5, 0)</f>
        <v/>
      </c>
      <c r="P603" s="10" t="inlineStr">
        <is>
          <t>Single Carrier (Band n50, 100MHz TDD)</t>
        </is>
      </c>
      <c r="Q603" s="13">
        <f>ROUNDUP(O603/'Methodology &amp; Assumptions'!$B$6, 0)</f>
        <v/>
      </c>
      <c r="R603" s="13" t="n">
        <v>1</v>
      </c>
      <c r="S603" s="14" t="n">
        <v>0.75</v>
      </c>
      <c r="T603" s="14" t="n">
        <v>0.95</v>
      </c>
      <c r="U603" s="26">
        <f>IF(X603&gt;='Methodology &amp; Assumptions'!$B$7, "Tier 1 Critical GIDA (Score ≥ 50.0)", IF(X603&gt;='Methodology &amp; Assumptions'!$B$8, "Tier 2 High GIDA (Score 40.0–49.9)", "Tier 3 Moderate GIDA (Score &lt; 40.0)"))</f>
        <v/>
      </c>
      <c r="V603" s="26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W603" s="28" t="n">
        <v>0.221</v>
      </c>
      <c r="X603" s="14" t="n">
        <v>46.15</v>
      </c>
      <c r="Y603" s="14">
        <f>ROUND(MIN(100, (X603/69.91)*100), 2)</f>
        <v/>
      </c>
    </row>
    <row r="604">
      <c r="A604" s="10" t="n">
        <v>4</v>
      </c>
      <c r="B604" s="10" t="n">
        <v>600</v>
      </c>
      <c r="C604" s="10" t="n">
        <v>3600</v>
      </c>
      <c r="D604" s="10" t="inlineStr">
        <is>
          <t>1908808004</t>
        </is>
      </c>
      <c r="E604" s="26" t="inlineStr">
        <is>
          <t>Bangsamoro Autonomous Region In Muslim Mindanao (BARMM)</t>
        </is>
      </c>
      <c r="F604" s="26" t="inlineStr">
        <is>
          <t>Maguindanao del Sur</t>
        </is>
      </c>
      <c r="G604" s="26" t="inlineStr">
        <is>
          <t>Datu Salibo</t>
        </is>
      </c>
      <c r="H604" s="26" t="inlineStr">
        <is>
          <t>Buayan</t>
        </is>
      </c>
      <c r="I604" s="27" t="n">
        <v>17.251569</v>
      </c>
      <c r="J604" s="27" t="n">
        <v>122.232763</v>
      </c>
      <c r="K604" s="10" t="inlineStr">
        <is>
          <t>R</t>
        </is>
      </c>
      <c r="L604" s="12" t="n">
        <v>1732</v>
      </c>
      <c r="M604" s="14" t="n">
        <v>4.7</v>
      </c>
      <c r="N604" s="12">
        <f>ROUND(L604/M604, 0)</f>
        <v/>
      </c>
      <c r="O604" s="12">
        <f>ROUND(N604*'Methodology &amp; Assumptions'!$B$5, 0)</f>
        <v/>
      </c>
      <c r="P604" s="10" t="inlineStr">
        <is>
          <t>Single Carrier (Band n50, 100MHz TDD)</t>
        </is>
      </c>
      <c r="Q604" s="13">
        <f>ROUNDUP(O604/'Methodology &amp; Assumptions'!$B$6, 0)</f>
        <v/>
      </c>
      <c r="R604" s="13" t="n">
        <v>1</v>
      </c>
      <c r="S604" s="14" t="n">
        <v>29.5</v>
      </c>
      <c r="T604" s="14" t="n">
        <v>34.59</v>
      </c>
      <c r="U604" s="26">
        <f>IF(X604&gt;='Methodology &amp; Assumptions'!$B$7, "Tier 1 Critical GIDA (Score ≥ 50.0)", IF(X604&gt;='Methodology &amp; Assumptions'!$B$8, "Tier 2 High GIDA (Score 40.0–49.9)", "Tier 3 Moderate GIDA (Score &lt; 40.0)"))</f>
        <v/>
      </c>
      <c r="V604" s="26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W604" s="28" t="n">
        <v>0.11</v>
      </c>
      <c r="X604" s="14" t="n">
        <v>46.14</v>
      </c>
      <c r="Y604" s="14">
        <f>ROUND(MIN(100, (X604/69.91)*100), 2)</f>
        <v/>
      </c>
    </row>
    <row r="605">
      <c r="A605" s="10" t="n">
        <v>4</v>
      </c>
      <c r="B605" s="10" t="n">
        <v>601</v>
      </c>
      <c r="C605" s="10" t="n">
        <v>3601</v>
      </c>
      <c r="D605" s="10" t="inlineStr">
        <is>
          <t>1906609012</t>
        </is>
      </c>
      <c r="E605" s="26" t="inlineStr">
        <is>
          <t>Bangsamoro Autonomous Region In Muslim Mindanao (BARMM)</t>
        </is>
      </c>
      <c r="F605" s="26" t="inlineStr">
        <is>
          <t>Sulu</t>
        </is>
      </c>
      <c r="G605" s="26" t="inlineStr">
        <is>
          <t>Parang</t>
        </is>
      </c>
      <c r="H605" s="26" t="inlineStr">
        <is>
          <t>Duyan Kabao</t>
        </is>
      </c>
      <c r="I605" s="27" t="n">
        <v>17.255932</v>
      </c>
      <c r="J605" s="27" t="n">
        <v>122.222857</v>
      </c>
      <c r="K605" s="10" t="inlineStr">
        <is>
          <t>R</t>
        </is>
      </c>
      <c r="L605" s="12" t="n">
        <v>1323</v>
      </c>
      <c r="M605" s="14" t="n">
        <v>6</v>
      </c>
      <c r="N605" s="12">
        <f>ROUND(L605/M605, 0)</f>
        <v/>
      </c>
      <c r="O605" s="12">
        <f>ROUND(N605*'Methodology &amp; Assumptions'!$B$5, 0)</f>
        <v/>
      </c>
      <c r="P605" s="10" t="inlineStr">
        <is>
          <t>Single Carrier (Band n50, 100MHz TDD)</t>
        </is>
      </c>
      <c r="Q605" s="13">
        <f>ROUNDUP(O605/'Methodology &amp; Assumptions'!$B$6, 0)</f>
        <v/>
      </c>
      <c r="R605" s="13" t="n">
        <v>1</v>
      </c>
      <c r="S605" s="14" t="n">
        <v>29</v>
      </c>
      <c r="T605" s="14" t="n">
        <v>33.72</v>
      </c>
      <c r="U605" s="26">
        <f>IF(X605&gt;='Methodology &amp; Assumptions'!$B$7, "Tier 1 Critical GIDA (Score ≥ 50.0)", IF(X605&gt;='Methodology &amp; Assumptions'!$B$8, "Tier 2 High GIDA (Score 40.0–49.9)", "Tier 3 Moderate GIDA (Score &lt; 40.0)"))</f>
        <v/>
      </c>
      <c r="V605" s="26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W605" s="28" t="n">
        <v>0.11</v>
      </c>
      <c r="X605" s="14" t="n">
        <v>46.13</v>
      </c>
      <c r="Y605" s="14">
        <f>ROUND(MIN(100, (X605/69.91)*100), 2)</f>
        <v/>
      </c>
    </row>
    <row r="606">
      <c r="A606" s="10" t="n">
        <v>4</v>
      </c>
      <c r="B606" s="10" t="n">
        <v>602</v>
      </c>
      <c r="C606" s="10" t="n">
        <v>3602</v>
      </c>
      <c r="D606" s="10" t="inlineStr">
        <is>
          <t>0702232011</t>
        </is>
      </c>
      <c r="E606" s="26" t="inlineStr">
        <is>
          <t>Region VII (Central Visayas)</t>
        </is>
      </c>
      <c r="F606" s="26" t="inlineStr">
        <is>
          <t>Cebu</t>
        </is>
      </c>
      <c r="G606" s="26" t="inlineStr">
        <is>
          <t>Minglanilla</t>
        </is>
      </c>
      <c r="H606" s="26" t="inlineStr">
        <is>
          <t>Poblacion Ward II</t>
        </is>
      </c>
      <c r="I606" s="27" t="n">
        <v>10.25915</v>
      </c>
      <c r="J606" s="27" t="n">
        <v>123.792174</v>
      </c>
      <c r="K606" s="10" t="inlineStr">
        <is>
          <t>U</t>
        </is>
      </c>
      <c r="L606" s="12" t="n">
        <v>3639</v>
      </c>
      <c r="M606" s="14" t="n">
        <v>3.8</v>
      </c>
      <c r="N606" s="12">
        <f>ROUND(L606/M606, 0)</f>
        <v/>
      </c>
      <c r="O606" s="12">
        <f>ROUND(N606*'Methodology &amp; Assumptions'!$B$5, 0)</f>
        <v/>
      </c>
      <c r="P606" s="10" t="inlineStr">
        <is>
          <t>Single Carrier (Band n50, 100MHz TDD)</t>
        </is>
      </c>
      <c r="Q606" s="13">
        <f>ROUNDUP(O606/'Methodology &amp; Assumptions'!$B$6, 0)</f>
        <v/>
      </c>
      <c r="R606" s="13" t="n">
        <v>1</v>
      </c>
      <c r="S606" s="14" t="n">
        <v>1.51</v>
      </c>
      <c r="T606" s="14" t="n">
        <v>1.58</v>
      </c>
      <c r="U606" s="26">
        <f>IF(X606&gt;='Methodology &amp; Assumptions'!$B$7, "Tier 1 Critical GIDA (Score ≥ 50.0)", IF(X606&gt;='Methodology &amp; Assumptions'!$B$8, "Tier 2 High GIDA (Score 40.0–49.9)", "Tier 3 Moderate GIDA (Score &lt; 40.0)"))</f>
        <v/>
      </c>
      <c r="V606" s="26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W606" s="28" t="n">
        <v>0.237</v>
      </c>
      <c r="X606" s="14" t="n">
        <v>46.13</v>
      </c>
      <c r="Y606" s="14">
        <f>ROUND(MIN(100, (X606/69.91)*100), 2)</f>
        <v/>
      </c>
    </row>
    <row r="607">
      <c r="A607" s="10" t="n">
        <v>4</v>
      </c>
      <c r="B607" s="10" t="n">
        <v>603</v>
      </c>
      <c r="C607" s="10" t="n">
        <v>3603</v>
      </c>
      <c r="D607" s="10" t="inlineStr">
        <is>
          <t>1908813011</t>
        </is>
      </c>
      <c r="E607" s="26" t="inlineStr">
        <is>
          <t>Bangsamoro Autonomous Region In Muslim Mindanao (BARMM)</t>
        </is>
      </c>
      <c r="F607" s="26" t="inlineStr">
        <is>
          <t>Maguindanao del Sur</t>
        </is>
      </c>
      <c r="G607" s="26" t="inlineStr">
        <is>
          <t>Mamasapano</t>
        </is>
      </c>
      <c r="H607" s="26" t="inlineStr">
        <is>
          <t>Pimbalakan</t>
        </is>
      </c>
      <c r="I607" s="27" t="n">
        <v>17.255235</v>
      </c>
      <c r="J607" s="27" t="n">
        <v>122.229279</v>
      </c>
      <c r="K607" s="10" t="inlineStr">
        <is>
          <t>R</t>
        </is>
      </c>
      <c r="L607" s="12" t="n">
        <v>1527</v>
      </c>
      <c r="M607" s="14" t="n">
        <v>4.7</v>
      </c>
      <c r="N607" s="12">
        <f>ROUND(L607/M607, 0)</f>
        <v/>
      </c>
      <c r="O607" s="12">
        <f>ROUND(N607*'Methodology &amp; Assumptions'!$B$5, 0)</f>
        <v/>
      </c>
      <c r="P607" s="10" t="inlineStr">
        <is>
          <t>Single Carrier (Band n50, 100MHz TDD)</t>
        </is>
      </c>
      <c r="Q607" s="13">
        <f>ROUNDUP(O607/'Methodology &amp; Assumptions'!$B$6, 0)</f>
        <v/>
      </c>
      <c r="R607" s="13" t="n">
        <v>1</v>
      </c>
      <c r="S607" s="14" t="n">
        <v>29.47</v>
      </c>
      <c r="T607" s="14" t="n">
        <v>34.35</v>
      </c>
      <c r="U607" s="26">
        <f>IF(X607&gt;='Methodology &amp; Assumptions'!$B$7, "Tier 1 Critical GIDA (Score ≥ 50.0)", IF(X607&gt;='Methodology &amp; Assumptions'!$B$8, "Tier 2 High GIDA (Score 40.0–49.9)", "Tier 3 Moderate GIDA (Score &lt; 40.0)"))</f>
        <v/>
      </c>
      <c r="V607" s="26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W607" s="28" t="n">
        <v>0.11</v>
      </c>
      <c r="X607" s="14" t="n">
        <v>46.13</v>
      </c>
      <c r="Y607" s="14">
        <f>ROUND(MIN(100, (X607/69.91)*100), 2)</f>
        <v/>
      </c>
    </row>
    <row r="608">
      <c r="A608" s="10" t="n">
        <v>4</v>
      </c>
      <c r="B608" s="10" t="n">
        <v>604</v>
      </c>
      <c r="C608" s="10" t="n">
        <v>3604</v>
      </c>
      <c r="D608" s="10" t="inlineStr">
        <is>
          <t>PH0003604</t>
        </is>
      </c>
      <c r="E608" s="26" t="inlineStr">
        <is>
          <t>I</t>
        </is>
      </c>
      <c r="F608" s="26" t="inlineStr">
        <is>
          <t>Ilocos Norte</t>
        </is>
      </c>
      <c r="G608" s="26" t="inlineStr">
        <is>
          <t>Laoag City</t>
        </is>
      </c>
      <c r="H608" s="26" t="inlineStr">
        <is>
          <t>Bgy. No. 17, San Francisco (Pob.)</t>
        </is>
      </c>
      <c r="I608" s="27" t="n">
        <v>18.187182</v>
      </c>
      <c r="J608" s="27" t="n">
        <v>120.582902</v>
      </c>
      <c r="K608" s="10" t="inlineStr">
        <is>
          <t>R</t>
        </is>
      </c>
      <c r="L608" s="12" t="n">
        <v>2233</v>
      </c>
      <c r="M608" s="14" t="n">
        <v>3.7</v>
      </c>
      <c r="N608" s="12">
        <f>ROUND(L608/M608, 0)</f>
        <v/>
      </c>
      <c r="O608" s="12">
        <f>ROUND(N608*'Methodology &amp; Assumptions'!$B$5, 0)</f>
        <v/>
      </c>
      <c r="P608" s="10" t="inlineStr">
        <is>
          <t>Single Carrier (Band n50, 100MHz TDD)</t>
        </is>
      </c>
      <c r="Q608" s="13">
        <f>ROUNDUP(O608/'Methodology &amp; Assumptions'!$B$6, 0)</f>
        <v/>
      </c>
      <c r="R608" s="13" t="n">
        <v>1</v>
      </c>
      <c r="S608" s="14" t="n">
        <v>2.15</v>
      </c>
      <c r="T608" s="14" t="n">
        <v>0.89</v>
      </c>
      <c r="U608" s="26">
        <f>IF(X608&gt;='Methodology &amp; Assumptions'!$B$7, "Tier 1 Critical GIDA (Score ≥ 50.0)", IF(X608&gt;='Methodology &amp; Assumptions'!$B$8, "Tier 2 High GIDA (Score 40.0–49.9)", "Tier 3 Moderate GIDA (Score &lt; 40.0)"))</f>
        <v/>
      </c>
      <c r="V608" s="26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W608" s="28" t="n">
        <v>0.083</v>
      </c>
      <c r="X608" s="14" t="n">
        <v>46.13</v>
      </c>
      <c r="Y608" s="14">
        <f>ROUND(MIN(100, (X608/69.91)*100), 2)</f>
        <v/>
      </c>
    </row>
    <row r="609">
      <c r="A609" s="10" t="n">
        <v>4</v>
      </c>
      <c r="B609" s="10" t="n">
        <v>605</v>
      </c>
      <c r="C609" s="10" t="n">
        <v>3605</v>
      </c>
      <c r="D609" s="10" t="inlineStr">
        <is>
          <t>0804815005</t>
        </is>
      </c>
      <c r="E609" s="26" t="inlineStr">
        <is>
          <t>Region VIII (Eastern Visayas)</t>
        </is>
      </c>
      <c r="F609" s="26" t="inlineStr">
        <is>
          <t>Northern Samar</t>
        </is>
      </c>
      <c r="G609" s="26" t="inlineStr">
        <is>
          <t>Pambujan</t>
        </is>
      </c>
      <c r="H609" s="26" t="inlineStr">
        <is>
          <t>Cagbigajo</t>
        </is>
      </c>
      <c r="I609" s="27" t="n">
        <v>12.417874</v>
      </c>
      <c r="J609" s="27" t="n">
        <v>124.910318</v>
      </c>
      <c r="K609" s="10" t="inlineStr">
        <is>
          <t>R</t>
        </is>
      </c>
      <c r="L609" s="12" t="n">
        <v>582</v>
      </c>
      <c r="M609" s="14" t="n">
        <v>4.3</v>
      </c>
      <c r="N609" s="12">
        <f>ROUND(L609/M609, 0)</f>
        <v/>
      </c>
      <c r="O609" s="12">
        <f>ROUND(N609*'Methodology &amp; Assumptions'!$B$5, 0)</f>
        <v/>
      </c>
      <c r="P609" s="10" t="inlineStr">
        <is>
          <t>Single Carrier (Band n50, 100MHz TDD)</t>
        </is>
      </c>
      <c r="Q609" s="13">
        <f>ROUNDUP(O609/'Methodology &amp; Assumptions'!$B$6, 0)</f>
        <v/>
      </c>
      <c r="R609" s="13" t="n">
        <v>1</v>
      </c>
      <c r="S609" s="14" t="n">
        <v>90.93000000000001</v>
      </c>
      <c r="T609" s="14" t="n">
        <v>90.20999999999999</v>
      </c>
      <c r="U609" s="26">
        <f>IF(X609&gt;='Methodology &amp; Assumptions'!$B$7, "Tier 1 Critical GIDA (Score ≥ 50.0)", IF(X609&gt;='Methodology &amp; Assumptions'!$B$8, "Tier 2 High GIDA (Score 40.0–49.9)", "Tier 3 Moderate GIDA (Score &lt; 40.0)"))</f>
        <v/>
      </c>
      <c r="V609" s="26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W609" s="28" t="n">
        <v>0.237</v>
      </c>
      <c r="X609" s="14" t="n">
        <v>46.13</v>
      </c>
      <c r="Y609" s="14">
        <f>ROUND(MIN(100, (X609/69.91)*100), 2)</f>
        <v/>
      </c>
    </row>
    <row r="610">
      <c r="A610" s="10" t="n">
        <v>4</v>
      </c>
      <c r="B610" s="10" t="n">
        <v>606</v>
      </c>
      <c r="C610" s="10" t="n">
        <v>3606</v>
      </c>
      <c r="D610" s="10" t="inlineStr">
        <is>
          <t>0806417037</t>
        </is>
      </c>
      <c r="E610" s="26" t="inlineStr">
        <is>
          <t>Region VIII (Eastern Visayas)</t>
        </is>
      </c>
      <c r="F610" s="26" t="inlineStr">
        <is>
          <t>Southern Leyte</t>
        </is>
      </c>
      <c r="G610" s="26" t="inlineStr">
        <is>
          <t>Sogod</t>
        </is>
      </c>
      <c r="H610" s="26" t="inlineStr">
        <is>
          <t>San Juan</t>
        </is>
      </c>
      <c r="I610" s="27" t="n">
        <v>10.442836</v>
      </c>
      <c r="J610" s="27" t="n">
        <v>125.028827</v>
      </c>
      <c r="K610" s="10" t="inlineStr">
        <is>
          <t>R</t>
        </is>
      </c>
      <c r="L610" s="12" t="n">
        <v>731</v>
      </c>
      <c r="M610" s="14" t="n">
        <v>4.1</v>
      </c>
      <c r="N610" s="12">
        <f>ROUND(L610/M610, 0)</f>
        <v/>
      </c>
      <c r="O610" s="12">
        <f>ROUND(N610*'Methodology &amp; Assumptions'!$B$5, 0)</f>
        <v/>
      </c>
      <c r="P610" s="10" t="inlineStr">
        <is>
          <t>Single Carrier (Band n50, 100MHz TDD)</t>
        </is>
      </c>
      <c r="Q610" s="13">
        <f>ROUNDUP(O610/'Methodology &amp; Assumptions'!$B$6, 0)</f>
        <v/>
      </c>
      <c r="R610" s="13" t="n">
        <v>1</v>
      </c>
      <c r="S610" s="14" t="n">
        <v>8.1</v>
      </c>
      <c r="T610" s="14" t="n">
        <v>2.11</v>
      </c>
      <c r="U610" s="26">
        <f>IF(X610&gt;='Methodology &amp; Assumptions'!$B$7, "Tier 1 Critical GIDA (Score ≥ 50.0)", IF(X610&gt;='Methodology &amp; Assumptions'!$B$8, "Tier 2 High GIDA (Score 40.0–49.9)", "Tier 3 Moderate GIDA (Score &lt; 40.0)"))</f>
        <v/>
      </c>
      <c r="V610" s="26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W610" s="28" t="n">
        <v>0.237</v>
      </c>
      <c r="X610" s="14" t="n">
        <v>46.12</v>
      </c>
      <c r="Y610" s="14">
        <f>ROUND(MIN(100, (X610/69.91)*100), 2)</f>
        <v/>
      </c>
    </row>
    <row r="611">
      <c r="A611" s="10" t="n">
        <v>4</v>
      </c>
      <c r="B611" s="10" t="n">
        <v>607</v>
      </c>
      <c r="C611" s="10" t="n">
        <v>3607</v>
      </c>
      <c r="D611" s="10" t="inlineStr">
        <is>
          <t>1900704008</t>
        </is>
      </c>
      <c r="E611" s="26" t="inlineStr">
        <is>
          <t>Bangsamoro Autonomous Region In Muslim Mindanao (BARMM)</t>
        </is>
      </c>
      <c r="F611" s="26" t="inlineStr">
        <is>
          <t>Basilan</t>
        </is>
      </c>
      <c r="G611" s="26" t="inlineStr">
        <is>
          <t>Maluso</t>
        </is>
      </c>
      <c r="H611" s="26" t="inlineStr">
        <is>
          <t>Muslim Area</t>
        </is>
      </c>
      <c r="I611" s="27" t="n">
        <v>7.118786</v>
      </c>
      <c r="J611" s="27" t="n">
        <v>121.9098</v>
      </c>
      <c r="K611" s="10" t="inlineStr">
        <is>
          <t>R</t>
        </is>
      </c>
      <c r="L611" s="12" t="n">
        <v>2187</v>
      </c>
      <c r="M611" s="14" t="n">
        <v>5.1</v>
      </c>
      <c r="N611" s="12">
        <f>ROUND(L611/M611, 0)</f>
        <v/>
      </c>
      <c r="O611" s="12">
        <f>ROUND(N611*'Methodology &amp; Assumptions'!$B$5, 0)</f>
        <v/>
      </c>
      <c r="P611" s="10" t="inlineStr">
        <is>
          <t>Single Carrier (Band n50, 100MHz TDD)</t>
        </is>
      </c>
      <c r="Q611" s="13">
        <f>ROUNDUP(O611/'Methodology &amp; Assumptions'!$B$6, 0)</f>
        <v/>
      </c>
      <c r="R611" s="13" t="n">
        <v>1</v>
      </c>
      <c r="S611" s="14" t="n">
        <v>29.4</v>
      </c>
      <c r="T611" s="14" t="n">
        <v>28.15</v>
      </c>
      <c r="U611" s="26">
        <f>IF(X611&gt;='Methodology &amp; Assumptions'!$B$7, "Tier 1 Critical GIDA (Score ≥ 50.0)", IF(X611&gt;='Methodology &amp; Assumptions'!$B$8, "Tier 2 High GIDA (Score 40.0–49.9)", "Tier 3 Moderate GIDA (Score &lt; 40.0)"))</f>
        <v/>
      </c>
      <c r="V611" s="26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W611" s="28" t="n">
        <v>0.11</v>
      </c>
      <c r="X611" s="14" t="n">
        <v>46.12</v>
      </c>
      <c r="Y611" s="14">
        <f>ROUND(MIN(100, (X611/69.91)*100), 2)</f>
        <v/>
      </c>
    </row>
    <row r="612">
      <c r="A612" s="10" t="n">
        <v>4</v>
      </c>
      <c r="B612" s="10" t="n">
        <v>608</v>
      </c>
      <c r="C612" s="10" t="n">
        <v>3608</v>
      </c>
      <c r="D612" s="10" t="inlineStr">
        <is>
          <t>0501714022</t>
        </is>
      </c>
      <c r="E612" s="26" t="inlineStr">
        <is>
          <t>Region V (Bicol Region)</t>
        </is>
      </c>
      <c r="F612" s="26" t="inlineStr">
        <is>
          <t>Camarines Sur</t>
        </is>
      </c>
      <c r="G612" s="26" t="inlineStr">
        <is>
          <t>Garchitorena</t>
        </is>
      </c>
      <c r="H612" s="26" t="inlineStr">
        <is>
          <t>Tamiawon</t>
        </is>
      </c>
      <c r="I612" s="27" t="n">
        <v>13.953572</v>
      </c>
      <c r="J612" s="27" t="n">
        <v>123.629307</v>
      </c>
      <c r="K612" s="10" t="inlineStr">
        <is>
          <t>R</t>
        </is>
      </c>
      <c r="L612" s="12" t="n">
        <v>850</v>
      </c>
      <c r="M612" s="14" t="n">
        <v>4.2</v>
      </c>
      <c r="N612" s="12">
        <f>ROUND(L612/M612, 0)</f>
        <v/>
      </c>
      <c r="O612" s="12">
        <f>ROUND(N612*'Methodology &amp; Assumptions'!$B$5, 0)</f>
        <v/>
      </c>
      <c r="P612" s="10" t="inlineStr">
        <is>
          <t>Single Carrier (Band n50, 100MHz TDD)</t>
        </is>
      </c>
      <c r="Q612" s="13">
        <f>ROUNDUP(O612/'Methodology &amp; Assumptions'!$B$6, 0)</f>
        <v/>
      </c>
      <c r="R612" s="13" t="n">
        <v>1</v>
      </c>
      <c r="S612" s="14" t="n">
        <v>27.07</v>
      </c>
      <c r="T612" s="14" t="n">
        <v>32.65</v>
      </c>
      <c r="U612" s="26">
        <f>IF(X612&gt;='Methodology &amp; Assumptions'!$B$7, "Tier 1 Critical GIDA (Score ≥ 50.0)", IF(X612&gt;='Methodology &amp; Assumptions'!$B$8, "Tier 2 High GIDA (Score 40.0–49.9)", "Tier 3 Moderate GIDA (Score &lt; 40.0)"))</f>
        <v/>
      </c>
      <c r="V612" s="26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W612" s="28" t="n">
        <v>0.237</v>
      </c>
      <c r="X612" s="14" t="n">
        <v>46.11</v>
      </c>
      <c r="Y612" s="14">
        <f>ROUND(MIN(100, (X612/69.91)*100), 2)</f>
        <v/>
      </c>
    </row>
    <row r="613">
      <c r="A613" s="10" t="n">
        <v>4</v>
      </c>
      <c r="B613" s="10" t="n">
        <v>609</v>
      </c>
      <c r="C613" s="10" t="n">
        <v>3609</v>
      </c>
      <c r="D613" s="10" t="inlineStr">
        <is>
          <t>1003506021</t>
        </is>
      </c>
      <c r="E613" s="26" t="inlineStr">
        <is>
          <t>Region X (Northern Mindanao)</t>
        </is>
      </c>
      <c r="F613" s="26" t="inlineStr">
        <is>
          <t>Lanao del Norte</t>
        </is>
      </c>
      <c r="G613" s="26" t="inlineStr">
        <is>
          <t>Sultan Naga Dimaporo</t>
        </is>
      </c>
      <c r="H613" s="26" t="inlineStr">
        <is>
          <t>Mahayahay</t>
        </is>
      </c>
      <c r="I613" s="27" t="n">
        <v>7.774106</v>
      </c>
      <c r="J613" s="27" t="n">
        <v>123.727888</v>
      </c>
      <c r="K613" s="10" t="inlineStr">
        <is>
          <t>R</t>
        </is>
      </c>
      <c r="L613" s="12" t="n">
        <v>446</v>
      </c>
      <c r="M613" s="14" t="n">
        <v>4.2</v>
      </c>
      <c r="N613" s="12">
        <f>ROUND(L613/M613, 0)</f>
        <v/>
      </c>
      <c r="O613" s="12">
        <f>ROUND(N613*'Methodology &amp; Assumptions'!$B$5, 0)</f>
        <v/>
      </c>
      <c r="P613" s="10" t="inlineStr">
        <is>
          <t>Single Carrier (Band n50, 100MHz TDD)</t>
        </is>
      </c>
      <c r="Q613" s="13">
        <f>ROUNDUP(O613/'Methodology &amp; Assumptions'!$B$6, 0)</f>
        <v/>
      </c>
      <c r="R613" s="13" t="n">
        <v>1</v>
      </c>
      <c r="S613" s="14" t="n">
        <v>25.24</v>
      </c>
      <c r="T613" s="14" t="n">
        <v>12.58</v>
      </c>
      <c r="U613" s="26">
        <f>IF(X613&gt;='Methodology &amp; Assumptions'!$B$7, "Tier 1 Critical GIDA (Score ≥ 50.0)", IF(X613&gt;='Methodology &amp; Assumptions'!$B$8, "Tier 2 High GIDA (Score 40.0–49.9)", "Tier 3 Moderate GIDA (Score &lt; 40.0)"))</f>
        <v/>
      </c>
      <c r="V613" s="26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W613" s="28" t="n">
        <v>0.174</v>
      </c>
      <c r="X613" s="14" t="n">
        <v>46.11</v>
      </c>
      <c r="Y613" s="14">
        <f>ROUND(MIN(100, (X613/69.91)*100), 2)</f>
        <v/>
      </c>
    </row>
    <row r="614">
      <c r="A614" s="10" t="n">
        <v>4</v>
      </c>
      <c r="B614" s="10" t="n">
        <v>610</v>
      </c>
      <c r="C614" s="10" t="n">
        <v>3610</v>
      </c>
      <c r="D614" s="10" t="inlineStr">
        <is>
          <t>0403425005</t>
        </is>
      </c>
      <c r="E614" s="26" t="inlineStr">
        <is>
          <t>Region IV-A (CALABARZON)</t>
        </is>
      </c>
      <c r="F614" s="26" t="inlineStr">
        <is>
          <t>Laguna</t>
        </is>
      </c>
      <c r="G614" s="26" t="inlineStr">
        <is>
          <t>City of San Pedro</t>
        </is>
      </c>
      <c r="H614" s="26" t="inlineStr">
        <is>
          <t>Landayan</t>
        </is>
      </c>
      <c r="I614" s="27" t="n">
        <v>14.216541</v>
      </c>
      <c r="J614" s="27" t="n">
        <v>121.301907</v>
      </c>
      <c r="K614" s="10" t="inlineStr">
        <is>
          <t>U</t>
        </is>
      </c>
      <c r="L614" s="12" t="n">
        <v>36431</v>
      </c>
      <c r="M614" s="14" t="n">
        <v>3.3</v>
      </c>
      <c r="N614" s="12">
        <f>ROUND(L614/M614, 0)</f>
        <v/>
      </c>
      <c r="O614" s="12">
        <f>ROUND(N614*'Methodology &amp; Assumptions'!$B$5, 0)</f>
        <v/>
      </c>
      <c r="P614" s="10" t="inlineStr">
        <is>
          <t>Single Carrier (Band n50, 100MHz TDD)</t>
        </is>
      </c>
      <c r="Q614" s="13">
        <f>ROUNDUP(O614/'Methodology &amp; Assumptions'!$B$6, 0)</f>
        <v/>
      </c>
      <c r="R614" s="13" t="n">
        <v>1</v>
      </c>
      <c r="S614" s="14" t="n">
        <v>4.58</v>
      </c>
      <c r="T614" s="14" t="n">
        <v>4.31</v>
      </c>
      <c r="U614" s="26">
        <f>IF(X614&gt;='Methodology &amp; Assumptions'!$B$7, "Tier 1 Critical GIDA (Score ≥ 50.0)", IF(X614&gt;='Methodology &amp; Assumptions'!$B$8, "Tier 2 High GIDA (Score 40.0–49.9)", "Tier 3 Moderate GIDA (Score &lt; 40.0)"))</f>
        <v/>
      </c>
      <c r="V614" s="26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W614" s="28" t="n">
        <v>0.07200000000000001</v>
      </c>
      <c r="X614" s="14" t="n">
        <v>46.1</v>
      </c>
      <c r="Y614" s="14">
        <f>ROUND(MIN(100, (X614/69.91)*100), 2)</f>
        <v/>
      </c>
    </row>
    <row r="615">
      <c r="A615" s="10" t="n">
        <v>4</v>
      </c>
      <c r="B615" s="10" t="n">
        <v>611</v>
      </c>
      <c r="C615" s="10" t="n">
        <v>3611</v>
      </c>
      <c r="D615" s="10" t="inlineStr">
        <is>
          <t>0201507005</t>
        </is>
      </c>
      <c r="E615" s="26" t="inlineStr">
        <is>
          <t>Region II (Cagayan Valley)</t>
        </is>
      </c>
      <c r="F615" s="26" t="inlineStr">
        <is>
          <t>Cagayan</t>
        </is>
      </c>
      <c r="G615" s="26" t="inlineStr">
        <is>
          <t>Ballesteros</t>
        </is>
      </c>
      <c r="H615" s="26" t="inlineStr">
        <is>
          <t>Cabayu</t>
        </is>
      </c>
      <c r="I615" s="27" t="n">
        <v>18.29013</v>
      </c>
      <c r="J615" s="27" t="n">
        <v>121.47847</v>
      </c>
      <c r="K615" s="10" t="inlineStr">
        <is>
          <t>R</t>
        </is>
      </c>
      <c r="L615" s="12" t="n">
        <v>942</v>
      </c>
      <c r="M615" s="14" t="n">
        <v>3.9</v>
      </c>
      <c r="N615" s="12">
        <f>ROUND(L615/M615, 0)</f>
        <v/>
      </c>
      <c r="O615" s="12">
        <f>ROUND(N615*'Methodology &amp; Assumptions'!$B$5, 0)</f>
        <v/>
      </c>
      <c r="P615" s="10" t="inlineStr">
        <is>
          <t>Single Carrier (Band n50, 100MHz TDD)</t>
        </is>
      </c>
      <c r="Q615" s="13">
        <f>ROUNDUP(O615/'Methodology &amp; Assumptions'!$B$6, 0)</f>
        <v/>
      </c>
      <c r="R615" s="13" t="n">
        <v>1</v>
      </c>
      <c r="S615" s="14" t="n">
        <v>4.25</v>
      </c>
      <c r="T615" s="14" t="n">
        <v>4.84</v>
      </c>
      <c r="U615" s="26">
        <f>IF(X615&gt;='Methodology &amp; Assumptions'!$B$7, "Tier 1 Critical GIDA (Score ≥ 50.0)", IF(X615&gt;='Methodology &amp; Assumptions'!$B$8, "Tier 2 High GIDA (Score 40.0–49.9)", "Tier 3 Moderate GIDA (Score &lt; 40.0)"))</f>
        <v/>
      </c>
      <c r="V615" s="26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W615" s="28" t="n">
        <v>0.083</v>
      </c>
      <c r="X615" s="14" t="n">
        <v>46.09</v>
      </c>
      <c r="Y615" s="14">
        <f>ROUND(MIN(100, (X615/69.91)*100), 2)</f>
        <v/>
      </c>
    </row>
    <row r="616">
      <c r="A616" s="10" t="n">
        <v>4</v>
      </c>
      <c r="B616" s="10" t="n">
        <v>612</v>
      </c>
      <c r="C616" s="10" t="n">
        <v>3612</v>
      </c>
      <c r="D616" s="10" t="inlineStr">
        <is>
          <t>PH0003612</t>
        </is>
      </c>
      <c r="E616" s="26" t="inlineStr">
        <is>
          <t>I</t>
        </is>
      </c>
      <c r="F616" s="26" t="inlineStr">
        <is>
          <t>Pangasinan</t>
        </is>
      </c>
      <c r="G616" s="26" t="inlineStr">
        <is>
          <t>Dagupan City</t>
        </is>
      </c>
      <c r="H616" s="26" t="inlineStr">
        <is>
          <t>Barangay I</t>
        </is>
      </c>
      <c r="I616" s="27" t="n">
        <v>16.040251</v>
      </c>
      <c r="J616" s="27" t="n">
        <v>120.340064</v>
      </c>
      <c r="K616" s="10" t="inlineStr">
        <is>
          <t>R</t>
        </is>
      </c>
      <c r="L616" s="12" t="n">
        <v>2218</v>
      </c>
      <c r="M616" s="14" t="n">
        <v>3.6</v>
      </c>
      <c r="N616" s="12">
        <f>ROUND(L616/M616, 0)</f>
        <v/>
      </c>
      <c r="O616" s="12">
        <f>ROUND(N616*'Methodology &amp; Assumptions'!$B$5, 0)</f>
        <v/>
      </c>
      <c r="P616" s="10" t="inlineStr">
        <is>
          <t>Single Carrier (Band n50, 100MHz TDD)</t>
        </is>
      </c>
      <c r="Q616" s="13">
        <f>ROUNDUP(O616/'Methodology &amp; Assumptions'!$B$6, 0)</f>
        <v/>
      </c>
      <c r="R616" s="13" t="n">
        <v>1</v>
      </c>
      <c r="S616" s="14" t="n">
        <v>2.39</v>
      </c>
      <c r="T616" s="14" t="n">
        <v>0.46</v>
      </c>
      <c r="U616" s="26">
        <f>IF(X616&gt;='Methodology &amp; Assumptions'!$B$7, "Tier 1 Critical GIDA (Score ≥ 50.0)", IF(X616&gt;='Methodology &amp; Assumptions'!$B$8, "Tier 2 High GIDA (Score 40.0–49.9)", "Tier 3 Moderate GIDA (Score &lt; 40.0)"))</f>
        <v/>
      </c>
      <c r="V616" s="26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W616" s="28" t="n">
        <v>0.083</v>
      </c>
      <c r="X616" s="14" t="n">
        <v>46.08</v>
      </c>
      <c r="Y616" s="14">
        <f>ROUND(MIN(100, (X616/69.91)*100), 2)</f>
        <v/>
      </c>
    </row>
    <row r="617">
      <c r="A617" s="10" t="n">
        <v>4</v>
      </c>
      <c r="B617" s="10" t="n">
        <v>613</v>
      </c>
      <c r="C617" s="10" t="n">
        <v>3613</v>
      </c>
      <c r="D617" s="10" t="inlineStr">
        <is>
          <t>0403405043</t>
        </is>
      </c>
      <c r="E617" s="26" t="inlineStr">
        <is>
          <t>Region IV-A (CALABARZON)</t>
        </is>
      </c>
      <c r="F617" s="26" t="inlineStr">
        <is>
          <t>Laguna</t>
        </is>
      </c>
      <c r="G617" s="26" t="inlineStr">
        <is>
          <t>City of Calamba</t>
        </is>
      </c>
      <c r="H617" s="26" t="inlineStr">
        <is>
          <t>Barangay 6</t>
        </is>
      </c>
      <c r="I617" s="27" t="n">
        <v>14.212063</v>
      </c>
      <c r="J617" s="27" t="n">
        <v>121.163567</v>
      </c>
      <c r="K617" s="10" t="inlineStr">
        <is>
          <t>U</t>
        </is>
      </c>
      <c r="L617" s="12" t="n">
        <v>1856</v>
      </c>
      <c r="M617" s="14" t="n">
        <v>3.3</v>
      </c>
      <c r="N617" s="12">
        <f>ROUND(L617/M617, 0)</f>
        <v/>
      </c>
      <c r="O617" s="12">
        <f>ROUND(N617*'Methodology &amp; Assumptions'!$B$5, 0)</f>
        <v/>
      </c>
      <c r="P617" s="10" t="inlineStr">
        <is>
          <t>Single Carrier (Band n50, 100MHz TDD)</t>
        </is>
      </c>
      <c r="Q617" s="13">
        <f>ROUNDUP(O617/'Methodology &amp; Assumptions'!$B$6, 0)</f>
        <v/>
      </c>
      <c r="R617" s="13" t="n">
        <v>1</v>
      </c>
      <c r="S617" s="14" t="n">
        <v>2.5</v>
      </c>
      <c r="T617" s="14" t="n">
        <v>0.24</v>
      </c>
      <c r="U617" s="26">
        <f>IF(X617&gt;='Methodology &amp; Assumptions'!$B$7, "Tier 1 Critical GIDA (Score ≥ 50.0)", IF(X617&gt;='Methodology &amp; Assumptions'!$B$8, "Tier 2 High GIDA (Score 40.0–49.9)", "Tier 3 Moderate GIDA (Score &lt; 40.0)"))</f>
        <v/>
      </c>
      <c r="V617" s="26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W617" s="28" t="n">
        <v>0.07200000000000001</v>
      </c>
      <c r="X617" s="14" t="n">
        <v>46.08</v>
      </c>
      <c r="Y617" s="14">
        <f>ROUND(MIN(100, (X617/69.91)*100), 2)</f>
        <v/>
      </c>
    </row>
    <row r="618">
      <c r="A618" s="10" t="n">
        <v>4</v>
      </c>
      <c r="B618" s="10" t="n">
        <v>614</v>
      </c>
      <c r="C618" s="10" t="n">
        <v>3614</v>
      </c>
      <c r="D618" s="10" t="inlineStr">
        <is>
          <t>PH0003614</t>
        </is>
      </c>
      <c r="E618" s="26" t="inlineStr">
        <is>
          <t>IV-A</t>
        </is>
      </c>
      <c r="F618" s="26" t="inlineStr">
        <is>
          <t>Laguna</t>
        </is>
      </c>
      <c r="G618" s="26" t="inlineStr">
        <is>
          <t>San Pablo City</t>
        </is>
      </c>
      <c r="H618" s="26" t="inlineStr">
        <is>
          <t>Barangay IV-B (Pob.)</t>
        </is>
      </c>
      <c r="I618" s="27" t="n">
        <v>14.055277</v>
      </c>
      <c r="J618" s="27" t="n">
        <v>121.297497</v>
      </c>
      <c r="K618" s="10" t="inlineStr">
        <is>
          <t>R</t>
        </is>
      </c>
      <c r="L618" s="12" t="n">
        <v>2412</v>
      </c>
      <c r="M618" s="14" t="n">
        <v>3.3</v>
      </c>
      <c r="N618" s="12">
        <f>ROUND(L618/M618, 0)</f>
        <v/>
      </c>
      <c r="O618" s="12">
        <f>ROUND(N618*'Methodology &amp; Assumptions'!$B$5, 0)</f>
        <v/>
      </c>
      <c r="P618" s="10" t="inlineStr">
        <is>
          <t>Single Carrier (Band n50, 100MHz TDD)</t>
        </is>
      </c>
      <c r="Q618" s="13">
        <f>ROUNDUP(O618/'Methodology &amp; Assumptions'!$B$6, 0)</f>
        <v/>
      </c>
      <c r="R618" s="13" t="n">
        <v>1</v>
      </c>
      <c r="S618" s="14" t="n">
        <v>3.49</v>
      </c>
      <c r="T618" s="14" t="n">
        <v>1.44</v>
      </c>
      <c r="U618" s="26">
        <f>IF(X618&gt;='Methodology &amp; Assumptions'!$B$7, "Tier 1 Critical GIDA (Score ≥ 50.0)", IF(X618&gt;='Methodology &amp; Assumptions'!$B$8, "Tier 2 High GIDA (Score 40.0–49.9)", "Tier 3 Moderate GIDA (Score &lt; 40.0)"))</f>
        <v/>
      </c>
      <c r="V618" s="26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W618" s="28" t="n">
        <v>0.07200000000000001</v>
      </c>
      <c r="X618" s="14" t="n">
        <v>46.08</v>
      </c>
      <c r="Y618" s="14">
        <f>ROUND(MIN(100, (X618/69.91)*100), 2)</f>
        <v/>
      </c>
    </row>
    <row r="619">
      <c r="A619" s="10" t="n">
        <v>4</v>
      </c>
      <c r="B619" s="10" t="n">
        <v>615</v>
      </c>
      <c r="C619" s="10" t="n">
        <v>3615</v>
      </c>
      <c r="D619" s="10" t="inlineStr">
        <is>
          <t>0102903034</t>
        </is>
      </c>
      <c r="E619" s="26" t="inlineStr">
        <is>
          <t>Region I (Ilocos Region)</t>
        </is>
      </c>
      <c r="F619" s="26" t="inlineStr">
        <is>
          <t>Ilocos Sur</t>
        </is>
      </c>
      <c r="G619" s="26" t="inlineStr">
        <is>
          <t>Bantay</t>
        </is>
      </c>
      <c r="H619" s="26" t="inlineStr">
        <is>
          <t>Barangay 5</t>
        </is>
      </c>
      <c r="I619" s="27" t="n">
        <v>17.580377</v>
      </c>
      <c r="J619" s="27" t="n">
        <v>120.390582</v>
      </c>
      <c r="K619" s="10" t="inlineStr">
        <is>
          <t>U</t>
        </is>
      </c>
      <c r="L619" s="12" t="n">
        <v>677</v>
      </c>
      <c r="M619" s="14" t="n">
        <v>3.8</v>
      </c>
      <c r="N619" s="12">
        <f>ROUND(L619/M619, 0)</f>
        <v/>
      </c>
      <c r="O619" s="12">
        <f>ROUND(N619*'Methodology &amp; Assumptions'!$B$5, 0)</f>
        <v/>
      </c>
      <c r="P619" s="10" t="inlineStr">
        <is>
          <t>Single Carrier (Band n50, 100MHz TDD)</t>
        </is>
      </c>
      <c r="Q619" s="13">
        <f>ROUNDUP(O619/'Methodology &amp; Assumptions'!$B$6, 0)</f>
        <v/>
      </c>
      <c r="R619" s="13" t="n">
        <v>1</v>
      </c>
      <c r="S619" s="14" t="n">
        <v>1.47</v>
      </c>
      <c r="T619" s="14" t="n">
        <v>0.1</v>
      </c>
      <c r="U619" s="26">
        <f>IF(X619&gt;='Methodology &amp; Assumptions'!$B$7, "Tier 1 Critical GIDA (Score ≥ 50.0)", IF(X619&gt;='Methodology &amp; Assumptions'!$B$8, "Tier 2 High GIDA (Score 40.0–49.9)", "Tier 3 Moderate GIDA (Score &lt; 40.0)"))</f>
        <v/>
      </c>
      <c r="V619" s="26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W619" s="28" t="n">
        <v>0.083</v>
      </c>
      <c r="X619" s="14" t="n">
        <v>46.08</v>
      </c>
      <c r="Y619" s="14">
        <f>ROUND(MIN(100, (X619/69.91)*100), 2)</f>
        <v/>
      </c>
    </row>
    <row r="620">
      <c r="A620" s="10" t="n">
        <v>4</v>
      </c>
      <c r="B620" s="10" t="n">
        <v>616</v>
      </c>
      <c r="C620" s="10" t="n">
        <v>3616</v>
      </c>
      <c r="D620" s="10" t="inlineStr">
        <is>
          <t>0102902008</t>
        </is>
      </c>
      <c r="E620" s="26" t="inlineStr">
        <is>
          <t>Region I (Ilocos Region)</t>
        </is>
      </c>
      <c r="F620" s="26" t="inlineStr">
        <is>
          <t>Ilocos Sur</t>
        </is>
      </c>
      <c r="G620" s="26" t="inlineStr">
        <is>
          <t>Banayoyo</t>
        </is>
      </c>
      <c r="H620" s="26" t="inlineStr">
        <is>
          <t>Elefante</t>
        </is>
      </c>
      <c r="I620" s="27" t="n">
        <v>17.234507</v>
      </c>
      <c r="J620" s="27" t="n">
        <v>120.488883</v>
      </c>
      <c r="K620" s="10" t="inlineStr">
        <is>
          <t>R</t>
        </is>
      </c>
      <c r="L620" s="12" t="n">
        <v>630</v>
      </c>
      <c r="M620" s="14" t="n">
        <v>3.8</v>
      </c>
      <c r="N620" s="12">
        <f>ROUND(L620/M620, 0)</f>
        <v/>
      </c>
      <c r="O620" s="12">
        <f>ROUND(N620*'Methodology &amp; Assumptions'!$B$5, 0)</f>
        <v/>
      </c>
      <c r="P620" s="10" t="inlineStr">
        <is>
          <t>Single Carrier (Band n50, 100MHz TDD)</t>
        </is>
      </c>
      <c r="Q620" s="13">
        <f>ROUNDUP(O620/'Methodology &amp; Assumptions'!$B$6, 0)</f>
        <v/>
      </c>
      <c r="R620" s="13" t="n">
        <v>1</v>
      </c>
      <c r="S620" s="14" t="n">
        <v>4.1</v>
      </c>
      <c r="T620" s="14" t="n">
        <v>0.36</v>
      </c>
      <c r="U620" s="26">
        <f>IF(X620&gt;='Methodology &amp; Assumptions'!$B$7, "Tier 1 Critical GIDA (Score ≥ 50.0)", IF(X620&gt;='Methodology &amp; Assumptions'!$B$8, "Tier 2 High GIDA (Score 40.0–49.9)", "Tier 3 Moderate GIDA (Score &lt; 40.0)"))</f>
        <v/>
      </c>
      <c r="V620" s="26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W620" s="28" t="n">
        <v>0.083</v>
      </c>
      <c r="X620" s="14" t="n">
        <v>46.07</v>
      </c>
      <c r="Y620" s="14">
        <f>ROUND(MIN(100, (X620/69.91)*100), 2)</f>
        <v/>
      </c>
    </row>
    <row r="621">
      <c r="A621" s="10" t="n">
        <v>4</v>
      </c>
      <c r="B621" s="10" t="n">
        <v>617</v>
      </c>
      <c r="C621" s="10" t="n">
        <v>3617</v>
      </c>
      <c r="D621" s="10" t="inlineStr">
        <is>
          <t>1004317024</t>
        </is>
      </c>
      <c r="E621" s="26" t="inlineStr">
        <is>
          <t>Region X (Northern Mindanao)</t>
        </is>
      </c>
      <c r="F621" s="26" t="inlineStr">
        <is>
          <t>Misamis Oriental</t>
        </is>
      </c>
      <c r="G621" s="26" t="inlineStr">
        <is>
          <t>Magsaysay</t>
        </is>
      </c>
      <c r="H621" s="26" t="inlineStr">
        <is>
          <t>Tama</t>
        </is>
      </c>
      <c r="I621" s="27" t="n">
        <v>8.961719</v>
      </c>
      <c r="J621" s="27" t="n">
        <v>125.208349</v>
      </c>
      <c r="K621" s="10" t="inlineStr">
        <is>
          <t>R</t>
        </is>
      </c>
      <c r="L621" s="12" t="n">
        <v>783</v>
      </c>
      <c r="M621" s="14" t="n">
        <v>3.9</v>
      </c>
      <c r="N621" s="12">
        <f>ROUND(L621/M621, 0)</f>
        <v/>
      </c>
      <c r="O621" s="12">
        <f>ROUND(N621*'Methodology &amp; Assumptions'!$B$5, 0)</f>
        <v/>
      </c>
      <c r="P621" s="10" t="inlineStr">
        <is>
          <t>Single Carrier (Band n50, 100MHz TDD)</t>
        </is>
      </c>
      <c r="Q621" s="13">
        <f>ROUNDUP(O621/'Methodology &amp; Assumptions'!$B$6, 0)</f>
        <v/>
      </c>
      <c r="R621" s="13" t="n">
        <v>1</v>
      </c>
      <c r="S621" s="14" t="n">
        <v>5.94</v>
      </c>
      <c r="T621" s="14" t="n">
        <v>2.42</v>
      </c>
      <c r="U621" s="26">
        <f>IF(X621&gt;='Methodology &amp; Assumptions'!$B$7, "Tier 1 Critical GIDA (Score ≥ 50.0)", IF(X621&gt;='Methodology &amp; Assumptions'!$B$8, "Tier 2 High GIDA (Score 40.0–49.9)", "Tier 3 Moderate GIDA (Score &lt; 40.0)"))</f>
        <v/>
      </c>
      <c r="V621" s="26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W621" s="28" t="n">
        <v>0.174</v>
      </c>
      <c r="X621" s="14" t="n">
        <v>46.07</v>
      </c>
      <c r="Y621" s="14">
        <f>ROUND(MIN(100, (X621/69.91)*100), 2)</f>
        <v/>
      </c>
    </row>
    <row r="622">
      <c r="A622" s="10" t="n">
        <v>4</v>
      </c>
      <c r="B622" s="10" t="n">
        <v>618</v>
      </c>
      <c r="C622" s="10" t="n">
        <v>3618</v>
      </c>
      <c r="D622" s="10" t="inlineStr">
        <is>
          <t>1400125002</t>
        </is>
      </c>
      <c r="E622" s="26" t="inlineStr">
        <is>
          <t>Cordillera Administrative Region (CAR)</t>
        </is>
      </c>
      <c r="F622" s="26" t="inlineStr">
        <is>
          <t>Abra</t>
        </is>
      </c>
      <c r="G622" s="26" t="inlineStr">
        <is>
          <t>Tineg</t>
        </is>
      </c>
      <c r="H622" s="26" t="inlineStr">
        <is>
          <t>Alaoa</t>
        </is>
      </c>
      <c r="I622" s="27" t="n">
        <v>17.752901</v>
      </c>
      <c r="J622" s="27" t="n">
        <v>120.82612</v>
      </c>
      <c r="K622" s="10" t="inlineStr">
        <is>
          <t>R</t>
        </is>
      </c>
      <c r="L622" s="12" t="n">
        <v>824</v>
      </c>
      <c r="M622" s="14" t="n">
        <v>3.8</v>
      </c>
      <c r="N622" s="12">
        <f>ROUND(L622/M622, 0)</f>
        <v/>
      </c>
      <c r="O622" s="12">
        <f>ROUND(N622*'Methodology &amp; Assumptions'!$B$5, 0)</f>
        <v/>
      </c>
      <c r="P622" s="10" t="inlineStr">
        <is>
          <t>Single Carrier (Band n50, 100MHz TDD)</t>
        </is>
      </c>
      <c r="Q622" s="13">
        <f>ROUNDUP(O622/'Methodology &amp; Assumptions'!$B$6, 0)</f>
        <v/>
      </c>
      <c r="R622" s="13" t="n">
        <v>1</v>
      </c>
      <c r="S622" s="14" t="n">
        <v>19.71</v>
      </c>
      <c r="T622" s="14" t="n">
        <v>15.78</v>
      </c>
      <c r="U622" s="26">
        <f>IF(X622&gt;='Methodology &amp; Assumptions'!$B$7, "Tier 1 Critical GIDA (Score ≥ 50.0)", IF(X622&gt;='Methodology &amp; Assumptions'!$B$8, "Tier 2 High GIDA (Score 40.0–49.9)", "Tier 3 Moderate GIDA (Score &lt; 40.0)"))</f>
        <v/>
      </c>
      <c r="V622" s="26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W622" s="28" t="n">
        <v>0.109</v>
      </c>
      <c r="X622" s="14" t="n">
        <v>46.07</v>
      </c>
      <c r="Y622" s="14">
        <f>ROUND(MIN(100, (X622/69.91)*100), 2)</f>
        <v/>
      </c>
    </row>
    <row r="623">
      <c r="A623" s="10" t="n">
        <v>4</v>
      </c>
      <c r="B623" s="10" t="n">
        <v>619</v>
      </c>
      <c r="C623" s="10" t="n">
        <v>3619</v>
      </c>
      <c r="D623" s="10" t="inlineStr">
        <is>
          <t>1903630010</t>
        </is>
      </c>
      <c r="E623" s="26" t="inlineStr">
        <is>
          <t>Bangsamoro Autonomous Region In Muslim Mindanao (BARMM)</t>
        </is>
      </c>
      <c r="F623" s="26" t="inlineStr">
        <is>
          <t>Lanao del Sur</t>
        </is>
      </c>
      <c r="G623" s="26" t="inlineStr">
        <is>
          <t>Wao</t>
        </is>
      </c>
      <c r="H623" s="26" t="inlineStr">
        <is>
          <t>Christian Village</t>
        </is>
      </c>
      <c r="I623" s="27" t="n">
        <v>17.254256</v>
      </c>
      <c r="J623" s="27" t="n">
        <v>122.2283</v>
      </c>
      <c r="K623" s="10" t="inlineStr">
        <is>
          <t>R</t>
        </is>
      </c>
      <c r="L623" s="12" t="n">
        <v>2097</v>
      </c>
      <c r="M623" s="14" t="n">
        <v>5.7</v>
      </c>
      <c r="N623" s="12">
        <f>ROUND(L623/M623, 0)</f>
        <v/>
      </c>
      <c r="O623" s="12">
        <f>ROUND(N623*'Methodology &amp; Assumptions'!$B$5, 0)</f>
        <v/>
      </c>
      <c r="P623" s="10" t="inlineStr">
        <is>
          <t>Single Carrier (Band n50, 100MHz TDD)</t>
        </is>
      </c>
      <c r="Q623" s="13">
        <f>ROUNDUP(O623/'Methodology &amp; Assumptions'!$B$6, 0)</f>
        <v/>
      </c>
      <c r="R623" s="13" t="n">
        <v>1</v>
      </c>
      <c r="S623" s="14" t="n">
        <v>29.33</v>
      </c>
      <c r="T623" s="14" t="n">
        <v>34.22</v>
      </c>
      <c r="U623" s="26">
        <f>IF(X623&gt;='Methodology &amp; Assumptions'!$B$7, "Tier 1 Critical GIDA (Score ≥ 50.0)", IF(X623&gt;='Methodology &amp; Assumptions'!$B$8, "Tier 2 High GIDA (Score 40.0–49.9)", "Tier 3 Moderate GIDA (Score &lt; 40.0)"))</f>
        <v/>
      </c>
      <c r="V623" s="26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W623" s="28" t="n">
        <v>0.11</v>
      </c>
      <c r="X623" s="14" t="n">
        <v>46.07</v>
      </c>
      <c r="Y623" s="14">
        <f>ROUND(MIN(100, (X623/69.91)*100), 2)</f>
        <v/>
      </c>
    </row>
    <row r="624">
      <c r="A624" s="10" t="n">
        <v>4</v>
      </c>
      <c r="B624" s="10" t="n">
        <v>620</v>
      </c>
      <c r="C624" s="10" t="n">
        <v>3620</v>
      </c>
      <c r="D624" s="10" t="inlineStr">
        <is>
          <t>1900707040</t>
        </is>
      </c>
      <c r="E624" s="26" t="inlineStr">
        <is>
          <t>Bangsamoro Autonomous Region In Muslim Mindanao (BARMM)</t>
        </is>
      </c>
      <c r="F624" s="26" t="inlineStr">
        <is>
          <t>Basilan</t>
        </is>
      </c>
      <c r="G624" s="26" t="inlineStr">
        <is>
          <t>Tuburan</t>
        </is>
      </c>
      <c r="H624" s="26" t="inlineStr">
        <is>
          <t>Katipunan</t>
        </is>
      </c>
      <c r="I624" s="27" t="n">
        <v>6.61588</v>
      </c>
      <c r="J624" s="27" t="n">
        <v>122.231685</v>
      </c>
      <c r="K624" s="10" t="inlineStr">
        <is>
          <t>R</t>
        </is>
      </c>
      <c r="L624" s="12" t="n">
        <v>2207</v>
      </c>
      <c r="M624" s="14" t="n">
        <v>5.1</v>
      </c>
      <c r="N624" s="12">
        <f>ROUND(L624/M624, 0)</f>
        <v/>
      </c>
      <c r="O624" s="12">
        <f>ROUND(N624*'Methodology &amp; Assumptions'!$B$5, 0)</f>
        <v/>
      </c>
      <c r="P624" s="10" t="inlineStr">
        <is>
          <t>Single Carrier (Band n50, 100MHz TDD)</t>
        </is>
      </c>
      <c r="Q624" s="13">
        <f>ROUNDUP(O624/'Methodology &amp; Assumptions'!$B$6, 0)</f>
        <v/>
      </c>
      <c r="R624" s="13" t="n">
        <v>1</v>
      </c>
      <c r="S624" s="14" t="n">
        <v>37.1</v>
      </c>
      <c r="T624" s="14" t="n">
        <v>37.09</v>
      </c>
      <c r="U624" s="26">
        <f>IF(X624&gt;='Methodology &amp; Assumptions'!$B$7, "Tier 1 Critical GIDA (Score ≥ 50.0)", IF(X624&gt;='Methodology &amp; Assumptions'!$B$8, "Tier 2 High GIDA (Score 40.0–49.9)", "Tier 3 Moderate GIDA (Score &lt; 40.0)"))</f>
        <v/>
      </c>
      <c r="V624" s="26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W624" s="28" t="n">
        <v>0.11</v>
      </c>
      <c r="X624" s="14" t="n">
        <v>46.06</v>
      </c>
      <c r="Y624" s="14">
        <f>ROUND(MIN(100, (X624/69.91)*100), 2)</f>
        <v/>
      </c>
    </row>
    <row r="625">
      <c r="A625" s="10" t="n">
        <v>4</v>
      </c>
      <c r="B625" s="10" t="n">
        <v>621</v>
      </c>
      <c r="C625" s="10" t="n">
        <v>3621</v>
      </c>
      <c r="D625" s="10" t="inlineStr">
        <is>
          <t>0802615016</t>
        </is>
      </c>
      <c r="E625" s="26" t="inlineStr">
        <is>
          <t>Region VIII (Eastern Visayas)</t>
        </is>
      </c>
      <c r="F625" s="26" t="inlineStr">
        <is>
          <t>Eastern Samar</t>
        </is>
      </c>
      <c r="G625" s="26" t="inlineStr">
        <is>
          <t>Maydolong</t>
        </is>
      </c>
      <c r="H625" s="26" t="inlineStr">
        <is>
          <t>Barangay Poblacion 4</t>
        </is>
      </c>
      <c r="I625" s="27" t="n">
        <v>11.504157</v>
      </c>
      <c r="J625" s="27" t="n">
        <v>125.497581</v>
      </c>
      <c r="K625" s="10" t="inlineStr">
        <is>
          <t>R</t>
        </is>
      </c>
      <c r="L625" s="12" t="n">
        <v>1706</v>
      </c>
      <c r="M625" s="14" t="n">
        <v>3.9</v>
      </c>
      <c r="N625" s="12">
        <f>ROUND(L625/M625, 0)</f>
        <v/>
      </c>
      <c r="O625" s="12">
        <f>ROUND(N625*'Methodology &amp; Assumptions'!$B$5, 0)</f>
        <v/>
      </c>
      <c r="P625" s="10" t="inlineStr">
        <is>
          <t>Single Carrier (Band n50, 100MHz TDD)</t>
        </is>
      </c>
      <c r="Q625" s="13">
        <f>ROUNDUP(O625/'Methodology &amp; Assumptions'!$B$6, 0)</f>
        <v/>
      </c>
      <c r="R625" s="13" t="n">
        <v>1</v>
      </c>
      <c r="S625" s="14" t="n">
        <v>61.47</v>
      </c>
      <c r="T625" s="14" t="n">
        <v>61.72</v>
      </c>
      <c r="U625" s="26">
        <f>IF(X625&gt;='Methodology &amp; Assumptions'!$B$7, "Tier 1 Critical GIDA (Score ≥ 50.0)", IF(X625&gt;='Methodology &amp; Assumptions'!$B$8, "Tier 2 High GIDA (Score 40.0–49.9)", "Tier 3 Moderate GIDA (Score &lt; 40.0)"))</f>
        <v/>
      </c>
      <c r="V625" s="26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W625" s="28" t="n">
        <v>0.237</v>
      </c>
      <c r="X625" s="14" t="n">
        <v>46.05</v>
      </c>
      <c r="Y625" s="14">
        <f>ROUND(MIN(100, (X625/69.91)*100), 2)</f>
        <v/>
      </c>
    </row>
    <row r="626">
      <c r="A626" s="10" t="n">
        <v>4</v>
      </c>
      <c r="B626" s="10" t="n">
        <v>622</v>
      </c>
      <c r="C626" s="10" t="n">
        <v>3622</v>
      </c>
      <c r="D626" s="10" t="inlineStr">
        <is>
          <t>PH0003622</t>
        </is>
      </c>
      <c r="E626" s="26" t="inlineStr">
        <is>
          <t>IV-A</t>
        </is>
      </c>
      <c r="F626" s="26" t="inlineStr">
        <is>
          <t>Cavite</t>
        </is>
      </c>
      <c r="G626" s="26" t="inlineStr">
        <is>
          <t>Imus City</t>
        </is>
      </c>
      <c r="H626" s="26" t="inlineStr">
        <is>
          <t>Poblacion IV-B</t>
        </is>
      </c>
      <c r="I626" s="27" t="n">
        <v>14.30911</v>
      </c>
      <c r="J626" s="27" t="n">
        <v>120.917778</v>
      </c>
      <c r="K626" s="10" t="inlineStr">
        <is>
          <t>R</t>
        </is>
      </c>
      <c r="L626" s="12" t="n">
        <v>2316</v>
      </c>
      <c r="M626" s="14" t="n">
        <v>3.4</v>
      </c>
      <c r="N626" s="12">
        <f>ROUND(L626/M626, 0)</f>
        <v/>
      </c>
      <c r="O626" s="12">
        <f>ROUND(N626*'Methodology &amp; Assumptions'!$B$5, 0)</f>
        <v/>
      </c>
      <c r="P626" s="10" t="inlineStr">
        <is>
          <t>Single Carrier (Band n50, 100MHz TDD)</t>
        </is>
      </c>
      <c r="Q626" s="13">
        <f>ROUNDUP(O626/'Methodology &amp; Assumptions'!$B$6, 0)</f>
        <v/>
      </c>
      <c r="R626" s="13" t="n">
        <v>1</v>
      </c>
      <c r="S626" s="14" t="n">
        <v>1.86</v>
      </c>
      <c r="T626" s="14" t="n">
        <v>1.87</v>
      </c>
      <c r="U626" s="26">
        <f>IF(X626&gt;='Methodology &amp; Assumptions'!$B$7, "Tier 1 Critical GIDA (Score ≥ 50.0)", IF(X626&gt;='Methodology &amp; Assumptions'!$B$8, "Tier 2 High GIDA (Score 40.0–49.9)", "Tier 3 Moderate GIDA (Score &lt; 40.0)"))</f>
        <v/>
      </c>
      <c r="V626" s="26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W626" s="28" t="n">
        <v>0.07200000000000001</v>
      </c>
      <c r="X626" s="14" t="n">
        <v>46.05</v>
      </c>
      <c r="Y626" s="14">
        <f>ROUND(MIN(100, (X626/69.91)*100), 2)</f>
        <v/>
      </c>
    </row>
    <row r="627">
      <c r="A627" s="10" t="n">
        <v>4</v>
      </c>
      <c r="B627" s="10" t="n">
        <v>623</v>
      </c>
      <c r="C627" s="10" t="n">
        <v>3623</v>
      </c>
      <c r="D627" s="10" t="inlineStr">
        <is>
          <t>PH0003623</t>
        </is>
      </c>
      <c r="E627" s="26" t="inlineStr">
        <is>
          <t>CAR</t>
        </is>
      </c>
      <c r="F627" s="26" t="inlineStr">
        <is>
          <t>Benguet</t>
        </is>
      </c>
      <c r="G627" s="26" t="inlineStr">
        <is>
          <t>Baguio City</t>
        </is>
      </c>
      <c r="H627" s="26" t="inlineStr">
        <is>
          <t>Aurora Hill, South Central</t>
        </is>
      </c>
      <c r="I627" s="27" t="n">
        <v>16.424992</v>
      </c>
      <c r="J627" s="27" t="n">
        <v>120.605097</v>
      </c>
      <c r="K627" s="10" t="inlineStr">
        <is>
          <t>R</t>
        </is>
      </c>
      <c r="L627" s="12" t="n">
        <v>2260</v>
      </c>
      <c r="M627" s="14" t="n">
        <v>3.5</v>
      </c>
      <c r="N627" s="12">
        <f>ROUND(L627/M627, 0)</f>
        <v/>
      </c>
      <c r="O627" s="12">
        <f>ROUND(N627*'Methodology &amp; Assumptions'!$B$5, 0)</f>
        <v/>
      </c>
      <c r="P627" s="10" t="inlineStr">
        <is>
          <t>Single Carrier (Band n50, 100MHz TDD)</t>
        </is>
      </c>
      <c r="Q627" s="13">
        <f>ROUNDUP(O627/'Methodology &amp; Assumptions'!$B$6, 0)</f>
        <v/>
      </c>
      <c r="R627" s="13" t="n">
        <v>1</v>
      </c>
      <c r="S627" s="14" t="n">
        <v>1.21</v>
      </c>
      <c r="T627" s="14" t="n">
        <v>1.5</v>
      </c>
      <c r="U627" s="26">
        <f>IF(X627&gt;='Methodology &amp; Assumptions'!$B$7, "Tier 1 Critical GIDA (Score ≥ 50.0)", IF(X627&gt;='Methodology &amp; Assumptions'!$B$8, "Tier 2 High GIDA (Score 40.0–49.9)", "Tier 3 Moderate GIDA (Score &lt; 40.0)"))</f>
        <v/>
      </c>
      <c r="V627" s="26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W627" s="28" t="n">
        <v>0.221</v>
      </c>
      <c r="X627" s="14" t="n">
        <v>46.04</v>
      </c>
      <c r="Y627" s="14">
        <f>ROUND(MIN(100, (X627/69.91)*100), 2)</f>
        <v/>
      </c>
    </row>
    <row r="628">
      <c r="A628" s="10" t="n">
        <v>4</v>
      </c>
      <c r="B628" s="10" t="n">
        <v>624</v>
      </c>
      <c r="C628" s="10" t="n">
        <v>3624</v>
      </c>
      <c r="D628" s="10" t="inlineStr">
        <is>
          <t>0601906002</t>
        </is>
      </c>
      <c r="E628" s="26" t="inlineStr">
        <is>
          <t>Region VI (Western Visayas)</t>
        </is>
      </c>
      <c r="F628" s="26" t="inlineStr">
        <is>
          <t>Capiz</t>
        </is>
      </c>
      <c r="G628" s="26" t="inlineStr">
        <is>
          <t>Jamindan</t>
        </is>
      </c>
      <c r="H628" s="26" t="inlineStr">
        <is>
          <t>Agbun-od</t>
        </is>
      </c>
      <c r="I628" s="27" t="n">
        <v>11.471187</v>
      </c>
      <c r="J628" s="27" t="n">
        <v>122.42759</v>
      </c>
      <c r="K628" s="10" t="inlineStr">
        <is>
          <t>R</t>
        </is>
      </c>
      <c r="L628" s="12" t="n">
        <v>988</v>
      </c>
      <c r="M628" s="14" t="n">
        <v>3.8</v>
      </c>
      <c r="N628" s="12">
        <f>ROUND(L628/M628, 0)</f>
        <v/>
      </c>
      <c r="O628" s="12">
        <f>ROUND(N628*'Methodology &amp; Assumptions'!$B$5, 0)</f>
        <v/>
      </c>
      <c r="P628" s="10" t="inlineStr">
        <is>
          <t>Single Carrier (Band n50, 100MHz TDD)</t>
        </is>
      </c>
      <c r="Q628" s="13">
        <f>ROUNDUP(O628/'Methodology &amp; Assumptions'!$B$6, 0)</f>
        <v/>
      </c>
      <c r="R628" s="13" t="n">
        <v>1</v>
      </c>
      <c r="S628" s="14" t="n">
        <v>9.51</v>
      </c>
      <c r="T628" s="14" t="n">
        <v>7.39</v>
      </c>
      <c r="U628" s="26">
        <f>IF(X628&gt;='Methodology &amp; Assumptions'!$B$7, "Tier 1 Critical GIDA (Score ≥ 50.0)", IF(X628&gt;='Methodology &amp; Assumptions'!$B$8, "Tier 2 High GIDA (Score 40.0–49.9)", "Tier 3 Moderate GIDA (Score &lt; 40.0)"))</f>
        <v/>
      </c>
      <c r="V628" s="26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W628" s="28" t="n">
        <v>0.237</v>
      </c>
      <c r="X628" s="14" t="n">
        <v>46.04</v>
      </c>
      <c r="Y628" s="14">
        <f>ROUND(MIN(100, (X628/69.91)*100), 2)</f>
        <v/>
      </c>
    </row>
    <row r="629">
      <c r="A629" s="10" t="n">
        <v>4</v>
      </c>
      <c r="B629" s="10" t="n">
        <v>625</v>
      </c>
      <c r="C629" s="10" t="n">
        <v>3625</v>
      </c>
      <c r="D629" s="10" t="inlineStr">
        <is>
          <t>PH0003625</t>
        </is>
      </c>
      <c r="E629" s="26" t="inlineStr">
        <is>
          <t>CAR</t>
        </is>
      </c>
      <c r="F629" s="26" t="inlineStr">
        <is>
          <t>Benguet</t>
        </is>
      </c>
      <c r="G629" s="26" t="inlineStr">
        <is>
          <t>Baguio City</t>
        </is>
      </c>
      <c r="H629" s="26" t="inlineStr">
        <is>
          <t>Guisad Sorong</t>
        </is>
      </c>
      <c r="I629" s="27" t="n">
        <v>16.470876</v>
      </c>
      <c r="J629" s="27" t="n">
        <v>120.573186</v>
      </c>
      <c r="K629" s="10" t="inlineStr">
        <is>
          <t>R</t>
        </is>
      </c>
      <c r="L629" s="12" t="n">
        <v>2260</v>
      </c>
      <c r="M629" s="14" t="n">
        <v>3.5</v>
      </c>
      <c r="N629" s="12">
        <f>ROUND(L629/M629, 0)</f>
        <v/>
      </c>
      <c r="O629" s="12">
        <f>ROUND(N629*'Methodology &amp; Assumptions'!$B$5, 0)</f>
        <v/>
      </c>
      <c r="P629" s="10" t="inlineStr">
        <is>
          <t>Single Carrier (Band n50, 100MHz TDD)</t>
        </is>
      </c>
      <c r="Q629" s="13">
        <f>ROUNDUP(O629/'Methodology &amp; Assumptions'!$B$6, 0)</f>
        <v/>
      </c>
      <c r="R629" s="13" t="n">
        <v>1</v>
      </c>
      <c r="S629" s="14" t="n">
        <v>2.63</v>
      </c>
      <c r="T629" s="14" t="n">
        <v>1.48</v>
      </c>
      <c r="U629" s="26">
        <f>IF(X629&gt;='Methodology &amp; Assumptions'!$B$7, "Tier 1 Critical GIDA (Score ≥ 50.0)", IF(X629&gt;='Methodology &amp; Assumptions'!$B$8, "Tier 2 High GIDA (Score 40.0–49.9)", "Tier 3 Moderate GIDA (Score &lt; 40.0)"))</f>
        <v/>
      </c>
      <c r="V629" s="26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W629" s="28" t="n">
        <v>0.221</v>
      </c>
      <c r="X629" s="14" t="n">
        <v>46.04</v>
      </c>
      <c r="Y629" s="14">
        <f>ROUND(MIN(100, (X629/69.91)*100), 2)</f>
        <v/>
      </c>
    </row>
    <row r="630">
      <c r="A630" s="10" t="n">
        <v>4</v>
      </c>
      <c r="B630" s="10" t="n">
        <v>626</v>
      </c>
      <c r="C630" s="10" t="n">
        <v>3626</v>
      </c>
      <c r="D630" s="10" t="inlineStr">
        <is>
          <t>PH0003626</t>
        </is>
      </c>
      <c r="E630" s="26" t="inlineStr">
        <is>
          <t>I</t>
        </is>
      </c>
      <c r="F630" s="26" t="inlineStr">
        <is>
          <t>Pangasinan</t>
        </is>
      </c>
      <c r="G630" s="26" t="inlineStr">
        <is>
          <t>Dagupan City</t>
        </is>
      </c>
      <c r="H630" s="26" t="inlineStr">
        <is>
          <t>Herrero</t>
        </is>
      </c>
      <c r="I630" s="27" t="n">
        <v>16.057839</v>
      </c>
      <c r="J630" s="27" t="n">
        <v>120.335904</v>
      </c>
      <c r="K630" s="10" t="inlineStr">
        <is>
          <t>R</t>
        </is>
      </c>
      <c r="L630" s="12" t="n">
        <v>2218</v>
      </c>
      <c r="M630" s="14" t="n">
        <v>3.6</v>
      </c>
      <c r="N630" s="12">
        <f>ROUND(L630/M630, 0)</f>
        <v/>
      </c>
      <c r="O630" s="12">
        <f>ROUND(N630*'Methodology &amp; Assumptions'!$B$5, 0)</f>
        <v/>
      </c>
      <c r="P630" s="10" t="inlineStr">
        <is>
          <t>Single Carrier (Band n50, 100MHz TDD)</t>
        </is>
      </c>
      <c r="Q630" s="13">
        <f>ROUNDUP(O630/'Methodology &amp; Assumptions'!$B$6, 0)</f>
        <v/>
      </c>
      <c r="R630" s="13" t="n">
        <v>1</v>
      </c>
      <c r="S630" s="14" t="n">
        <v>3.47</v>
      </c>
      <c r="T630" s="14" t="n">
        <v>1.51</v>
      </c>
      <c r="U630" s="26">
        <f>IF(X630&gt;='Methodology &amp; Assumptions'!$B$7, "Tier 1 Critical GIDA (Score ≥ 50.0)", IF(X630&gt;='Methodology &amp; Assumptions'!$B$8, "Tier 2 High GIDA (Score 40.0–49.9)", "Tier 3 Moderate GIDA (Score &lt; 40.0)"))</f>
        <v/>
      </c>
      <c r="V630" s="26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W630" s="28" t="n">
        <v>0.083</v>
      </c>
      <c r="X630" s="14" t="n">
        <v>46.04</v>
      </c>
      <c r="Y630" s="14">
        <f>ROUND(MIN(100, (X630/69.91)*100), 2)</f>
        <v/>
      </c>
    </row>
    <row r="631">
      <c r="A631" s="10" t="n">
        <v>4</v>
      </c>
      <c r="B631" s="10" t="n">
        <v>627</v>
      </c>
      <c r="C631" s="10" t="n">
        <v>3627</v>
      </c>
      <c r="D631" s="10" t="inlineStr">
        <is>
          <t>0604507012</t>
        </is>
      </c>
      <c r="E631" s="26" t="inlineStr">
        <is>
          <t>Region VI (Western Visayas)</t>
        </is>
      </c>
      <c r="F631" s="26" t="inlineStr">
        <is>
          <t>Negros Occidental</t>
        </is>
      </c>
      <c r="G631" s="26" t="inlineStr">
        <is>
          <t>Cauayan</t>
        </is>
      </c>
      <c r="H631" s="26" t="inlineStr">
        <is>
          <t>Camindangan</t>
        </is>
      </c>
      <c r="I631" s="27" t="n">
        <v>9.832774000000001</v>
      </c>
      <c r="J631" s="27" t="n">
        <v>122.572105</v>
      </c>
      <c r="K631" s="10" t="inlineStr">
        <is>
          <t>R</t>
        </is>
      </c>
      <c r="L631" s="12" t="n">
        <v>2781</v>
      </c>
      <c r="M631" s="14" t="n">
        <v>3.7</v>
      </c>
      <c r="N631" s="12">
        <f>ROUND(L631/M631, 0)</f>
        <v/>
      </c>
      <c r="O631" s="12">
        <f>ROUND(N631*'Methodology &amp; Assumptions'!$B$5, 0)</f>
        <v/>
      </c>
      <c r="P631" s="10" t="inlineStr">
        <is>
          <t>Single Carrier (Band n50, 100MHz TDD)</t>
        </is>
      </c>
      <c r="Q631" s="13">
        <f>ROUNDUP(O631/'Methodology &amp; Assumptions'!$B$6, 0)</f>
        <v/>
      </c>
      <c r="R631" s="13" t="n">
        <v>1</v>
      </c>
      <c r="S631" s="14" t="n">
        <v>20.77</v>
      </c>
      <c r="T631" s="14" t="n">
        <v>18.92</v>
      </c>
      <c r="U631" s="26">
        <f>IF(X631&gt;='Methodology &amp; Assumptions'!$B$7, "Tier 1 Critical GIDA (Score ≥ 50.0)", IF(X631&gt;='Methodology &amp; Assumptions'!$B$8, "Tier 2 High GIDA (Score 40.0–49.9)", "Tier 3 Moderate GIDA (Score &lt; 40.0)"))</f>
        <v/>
      </c>
      <c r="V631" s="26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W631" s="28" t="n">
        <v>0.237</v>
      </c>
      <c r="X631" s="14" t="n">
        <v>46.03</v>
      </c>
      <c r="Y631" s="14">
        <f>ROUND(MIN(100, (X631/69.91)*100), 2)</f>
        <v/>
      </c>
    </row>
    <row r="632">
      <c r="A632" s="10" t="n">
        <v>4</v>
      </c>
      <c r="B632" s="10" t="n">
        <v>628</v>
      </c>
      <c r="C632" s="10" t="n">
        <v>3628</v>
      </c>
      <c r="D632" s="10" t="inlineStr">
        <is>
          <t>PH0003628</t>
        </is>
      </c>
      <c r="E632" s="26" t="inlineStr">
        <is>
          <t>X</t>
        </is>
      </c>
      <c r="F632" s="26" t="inlineStr">
        <is>
          <t>Misamis Oriental</t>
        </is>
      </c>
      <c r="G632" s="26" t="inlineStr">
        <is>
          <t>Cagayan De Oro City</t>
        </is>
      </c>
      <c r="H632" s="26" t="inlineStr">
        <is>
          <t>Lapasan</t>
        </is>
      </c>
      <c r="I632" s="27" t="n">
        <v>8.481374000000001</v>
      </c>
      <c r="J632" s="27" t="n">
        <v>124.663775</v>
      </c>
      <c r="K632" s="10" t="inlineStr">
        <is>
          <t>R</t>
        </is>
      </c>
      <c r="L632" s="12" t="n">
        <v>2272</v>
      </c>
      <c r="M632" s="14" t="n">
        <v>3.9</v>
      </c>
      <c r="N632" s="12">
        <f>ROUND(L632/M632, 0)</f>
        <v/>
      </c>
      <c r="O632" s="12">
        <f>ROUND(N632*'Methodology &amp; Assumptions'!$B$5, 0)</f>
        <v/>
      </c>
      <c r="P632" s="10" t="inlineStr">
        <is>
          <t>Single Carrier (Band n50, 100MHz TDD)</t>
        </is>
      </c>
      <c r="Q632" s="13">
        <f>ROUNDUP(O632/'Methodology &amp; Assumptions'!$B$6, 0)</f>
        <v/>
      </c>
      <c r="R632" s="13" t="n">
        <v>1</v>
      </c>
      <c r="S632" s="14" t="n">
        <v>1.24</v>
      </c>
      <c r="T632" s="14" t="n">
        <v>0.19</v>
      </c>
      <c r="U632" s="26">
        <f>IF(X632&gt;='Methodology &amp; Assumptions'!$B$7, "Tier 1 Critical GIDA (Score ≥ 50.0)", IF(X632&gt;='Methodology &amp; Assumptions'!$B$8, "Tier 2 High GIDA (Score 40.0–49.9)", "Tier 3 Moderate GIDA (Score &lt; 40.0)"))</f>
        <v/>
      </c>
      <c r="V632" s="26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W632" s="28" t="n">
        <v>0.234</v>
      </c>
      <c r="X632" s="14" t="n">
        <v>46.03</v>
      </c>
      <c r="Y632" s="14">
        <f>ROUND(MIN(100, (X632/69.91)*100), 2)</f>
        <v/>
      </c>
    </row>
    <row r="633">
      <c r="A633" s="10" t="n">
        <v>4</v>
      </c>
      <c r="B633" s="10" t="n">
        <v>629</v>
      </c>
      <c r="C633" s="10" t="n">
        <v>3629</v>
      </c>
      <c r="D633" s="10" t="inlineStr">
        <is>
          <t>1907004015</t>
        </is>
      </c>
      <c r="E633" s="26" t="inlineStr">
        <is>
          <t>Bangsamoro Autonomous Region In Muslim Mindanao (BARMM)</t>
        </is>
      </c>
      <c r="F633" s="26" t="inlineStr">
        <is>
          <t>Tawi-Tawi</t>
        </is>
      </c>
      <c r="G633" s="26" t="inlineStr">
        <is>
          <t>Simunul</t>
        </is>
      </c>
      <c r="H633" s="26" t="inlineStr">
        <is>
          <t>Bagid*</t>
        </is>
      </c>
      <c r="I633" s="27" t="n">
        <v>17.255842</v>
      </c>
      <c r="J633" s="27" t="n">
        <v>122.229886</v>
      </c>
      <c r="K633" s="10" t="inlineStr">
        <is>
          <t>R</t>
        </is>
      </c>
      <c r="L633" s="12" t="n">
        <v>878</v>
      </c>
      <c r="M633" s="14" t="n">
        <v>5.8</v>
      </c>
      <c r="N633" s="12">
        <f>ROUND(L633/M633, 0)</f>
        <v/>
      </c>
      <c r="O633" s="12">
        <f>ROUND(N633*'Methodology &amp; Assumptions'!$B$5, 0)</f>
        <v/>
      </c>
      <c r="P633" s="10" t="inlineStr">
        <is>
          <t>Single Carrier (Band n50, 100MHz TDD)</t>
        </is>
      </c>
      <c r="Q633" s="13">
        <f>ROUNDUP(O633/'Methodology &amp; Assumptions'!$B$6, 0)</f>
        <v/>
      </c>
      <c r="R633" s="13" t="n">
        <v>1</v>
      </c>
      <c r="S633" s="14" t="n">
        <v>29.57</v>
      </c>
      <c r="T633" s="14" t="n">
        <v>34.43</v>
      </c>
      <c r="U633" s="26">
        <f>IF(X633&gt;='Methodology &amp; Assumptions'!$B$7, "Tier 1 Critical GIDA (Score ≥ 50.0)", IF(X633&gt;='Methodology &amp; Assumptions'!$B$8, "Tier 2 High GIDA (Score 40.0–49.9)", "Tier 3 Moderate GIDA (Score &lt; 40.0)"))</f>
        <v/>
      </c>
      <c r="V633" s="26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W633" s="28" t="n">
        <v>0.11</v>
      </c>
      <c r="X633" s="14" t="n">
        <v>46.03</v>
      </c>
      <c r="Y633" s="14">
        <f>ROUND(MIN(100, (X633/69.91)*100), 2)</f>
        <v/>
      </c>
    </row>
    <row r="634">
      <c r="A634" s="10" t="n">
        <v>4</v>
      </c>
      <c r="B634" s="10" t="n">
        <v>630</v>
      </c>
      <c r="C634" s="10" t="n">
        <v>3630</v>
      </c>
      <c r="D634" s="10" t="inlineStr">
        <is>
          <t>PH0003630</t>
        </is>
      </c>
      <c r="E634" s="26" t="inlineStr">
        <is>
          <t>IV-A</t>
        </is>
      </c>
      <c r="F634" s="26" t="inlineStr">
        <is>
          <t>Cavite</t>
        </is>
      </c>
      <c r="G634" s="26" t="inlineStr">
        <is>
          <t>Cavite City</t>
        </is>
      </c>
      <c r="H634" s="26" t="inlineStr">
        <is>
          <t>Barangay 54-A</t>
        </is>
      </c>
      <c r="I634" s="27" t="n">
        <v>14.47581</v>
      </c>
      <c r="J634" s="27" t="n">
        <v>120.900306</v>
      </c>
      <c r="K634" s="10" t="inlineStr">
        <is>
          <t>R</t>
        </is>
      </c>
      <c r="L634" s="12" t="n">
        <v>2316</v>
      </c>
      <c r="M634" s="14" t="n">
        <v>3.4</v>
      </c>
      <c r="N634" s="12">
        <f>ROUND(L634/M634, 0)</f>
        <v/>
      </c>
      <c r="O634" s="12">
        <f>ROUND(N634*'Methodology &amp; Assumptions'!$B$5, 0)</f>
        <v/>
      </c>
      <c r="P634" s="10" t="inlineStr">
        <is>
          <t>Single Carrier (Band n50, 100MHz TDD)</t>
        </is>
      </c>
      <c r="Q634" s="13">
        <f>ROUNDUP(O634/'Methodology &amp; Assumptions'!$B$6, 0)</f>
        <v/>
      </c>
      <c r="R634" s="13" t="n">
        <v>1</v>
      </c>
      <c r="S634" s="14" t="n">
        <v>1.37</v>
      </c>
      <c r="T634" s="14" t="n">
        <v>3.58</v>
      </c>
      <c r="U634" s="26">
        <f>IF(X634&gt;='Methodology &amp; Assumptions'!$B$7, "Tier 1 Critical GIDA (Score ≥ 50.0)", IF(X634&gt;='Methodology &amp; Assumptions'!$B$8, "Tier 2 High GIDA (Score 40.0–49.9)", "Tier 3 Moderate GIDA (Score &lt; 40.0)"))</f>
        <v/>
      </c>
      <c r="V634" s="26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W634" s="28" t="n">
        <v>0.07200000000000001</v>
      </c>
      <c r="X634" s="14" t="n">
        <v>46.02</v>
      </c>
      <c r="Y634" s="14">
        <f>ROUND(MIN(100, (X634/69.91)*100), 2)</f>
        <v/>
      </c>
    </row>
    <row r="635">
      <c r="A635" s="10" t="n">
        <v>4</v>
      </c>
      <c r="B635" s="10" t="n">
        <v>631</v>
      </c>
      <c r="C635" s="10" t="n">
        <v>3631</v>
      </c>
      <c r="D635" s="10" t="inlineStr">
        <is>
          <t>PH0003631</t>
        </is>
      </c>
      <c r="E635" s="26" t="inlineStr">
        <is>
          <t>I</t>
        </is>
      </c>
      <c r="F635" s="26" t="inlineStr">
        <is>
          <t>Ilocos Norte</t>
        </is>
      </c>
      <c r="G635" s="26" t="inlineStr">
        <is>
          <t>Laoag City</t>
        </is>
      </c>
      <c r="H635" s="26" t="inlineStr">
        <is>
          <t>Bgy. No. 7-B, Nstra. Sra. De Natividad (Pob.)</t>
        </is>
      </c>
      <c r="I635" s="27" t="n">
        <v>18.202872</v>
      </c>
      <c r="J635" s="27" t="n">
        <v>120.593405</v>
      </c>
      <c r="K635" s="10" t="inlineStr">
        <is>
          <t>R</t>
        </is>
      </c>
      <c r="L635" s="12" t="n">
        <v>2233</v>
      </c>
      <c r="M635" s="14" t="n">
        <v>3.7</v>
      </c>
      <c r="N635" s="12">
        <f>ROUND(L635/M635, 0)</f>
        <v/>
      </c>
      <c r="O635" s="12">
        <f>ROUND(N635*'Methodology &amp; Assumptions'!$B$5, 0)</f>
        <v/>
      </c>
      <c r="P635" s="10" t="inlineStr">
        <is>
          <t>Single Carrier (Band n50, 100MHz TDD)</t>
        </is>
      </c>
      <c r="Q635" s="13">
        <f>ROUNDUP(O635/'Methodology &amp; Assumptions'!$B$6, 0)</f>
        <v/>
      </c>
      <c r="R635" s="13" t="n">
        <v>1</v>
      </c>
      <c r="S635" s="14" t="n">
        <v>0.92</v>
      </c>
      <c r="T635" s="14" t="n">
        <v>0.14</v>
      </c>
      <c r="U635" s="26">
        <f>IF(X635&gt;='Methodology &amp; Assumptions'!$B$7, "Tier 1 Critical GIDA (Score ≥ 50.0)", IF(X635&gt;='Methodology &amp; Assumptions'!$B$8, "Tier 2 High GIDA (Score 40.0–49.9)", "Tier 3 Moderate GIDA (Score &lt; 40.0)"))</f>
        <v/>
      </c>
      <c r="V635" s="26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W635" s="28" t="n">
        <v>0.083</v>
      </c>
      <c r="X635" s="14" t="n">
        <v>46.01</v>
      </c>
      <c r="Y635" s="14">
        <f>ROUND(MIN(100, (X635/69.91)*100), 2)</f>
        <v/>
      </c>
    </row>
    <row r="636">
      <c r="A636" s="10" t="n">
        <v>4</v>
      </c>
      <c r="B636" s="10" t="n">
        <v>632</v>
      </c>
      <c r="C636" s="10" t="n">
        <v>3632</v>
      </c>
      <c r="D636" s="10" t="inlineStr">
        <is>
          <t>0402104006</t>
        </is>
      </c>
      <c r="E636" s="26" t="inlineStr">
        <is>
          <t>Region IV-A (CALABARZON)</t>
        </is>
      </c>
      <c r="F636" s="26" t="inlineStr">
        <is>
          <t>Cavite</t>
        </is>
      </c>
      <c r="G636" s="26" t="inlineStr">
        <is>
          <t>Carmona</t>
        </is>
      </c>
      <c r="H636" s="26" t="inlineStr">
        <is>
          <t>Cabilang Baybay</t>
        </is>
      </c>
      <c r="I636" s="27" t="n">
        <v>14.317734</v>
      </c>
      <c r="J636" s="27" t="n">
        <v>121.049803</v>
      </c>
      <c r="K636" s="10" t="inlineStr">
        <is>
          <t>U</t>
        </is>
      </c>
      <c r="L636" s="12" t="n">
        <v>8144</v>
      </c>
      <c r="M636" s="14" t="n">
        <v>3.4</v>
      </c>
      <c r="N636" s="12">
        <f>ROUND(L636/M636, 0)</f>
        <v/>
      </c>
      <c r="O636" s="12">
        <f>ROUND(N636*'Methodology &amp; Assumptions'!$B$5, 0)</f>
        <v/>
      </c>
      <c r="P636" s="10" t="inlineStr">
        <is>
          <t>Single Carrier (Band n50, 100MHz TDD)</t>
        </is>
      </c>
      <c r="Q636" s="13">
        <f>ROUNDUP(O636/'Methodology &amp; Assumptions'!$B$6, 0)</f>
        <v/>
      </c>
      <c r="R636" s="13" t="n">
        <v>1</v>
      </c>
      <c r="S636" s="14" t="n">
        <v>0.76</v>
      </c>
      <c r="T636" s="14" t="n">
        <v>0.76</v>
      </c>
      <c r="U636" s="26">
        <f>IF(X636&gt;='Methodology &amp; Assumptions'!$B$7, "Tier 1 Critical GIDA (Score ≥ 50.0)", IF(X636&gt;='Methodology &amp; Assumptions'!$B$8, "Tier 2 High GIDA (Score 40.0–49.9)", "Tier 3 Moderate GIDA (Score &lt; 40.0)"))</f>
        <v/>
      </c>
      <c r="V636" s="26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W636" s="28" t="n">
        <v>0.07200000000000001</v>
      </c>
      <c r="X636" s="14" t="n">
        <v>46.01</v>
      </c>
      <c r="Y636" s="14">
        <f>ROUND(MIN(100, (X636/69.91)*100), 2)</f>
        <v/>
      </c>
    </row>
    <row r="637">
      <c r="A637" s="10" t="n">
        <v>4</v>
      </c>
      <c r="B637" s="10" t="n">
        <v>633</v>
      </c>
      <c r="C637" s="10" t="n">
        <v>3633</v>
      </c>
      <c r="D637" s="10" t="inlineStr">
        <is>
          <t>PH0003633</t>
        </is>
      </c>
      <c r="E637" s="26" t="inlineStr">
        <is>
          <t>VI</t>
        </is>
      </c>
      <c r="F637" s="26" t="inlineStr">
        <is>
          <t>Iloilo</t>
        </is>
      </c>
      <c r="G637" s="26" t="inlineStr">
        <is>
          <t>Iloilo City</t>
        </is>
      </c>
      <c r="H637" s="26" t="inlineStr">
        <is>
          <t>Bolilao</t>
        </is>
      </c>
      <c r="I637" s="27" t="n">
        <v>10.710864</v>
      </c>
      <c r="J637" s="27" t="n">
        <v>122.554393</v>
      </c>
      <c r="K637" s="10" t="inlineStr">
        <is>
          <t>R</t>
        </is>
      </c>
      <c r="L637" s="12" t="n">
        <v>2230</v>
      </c>
      <c r="M637" s="14" t="n">
        <v>3.8</v>
      </c>
      <c r="N637" s="12">
        <f>ROUND(L637/M637, 0)</f>
        <v/>
      </c>
      <c r="O637" s="12">
        <f>ROUND(N637*'Methodology &amp; Assumptions'!$B$5, 0)</f>
        <v/>
      </c>
      <c r="P637" s="10" t="inlineStr">
        <is>
          <t>Single Carrier (Band n50, 100MHz TDD)</t>
        </is>
      </c>
      <c r="Q637" s="13">
        <f>ROUNDUP(O637/'Methodology &amp; Assumptions'!$B$6, 0)</f>
        <v/>
      </c>
      <c r="R637" s="13" t="n">
        <v>1</v>
      </c>
      <c r="S637" s="14" t="n">
        <v>1.52</v>
      </c>
      <c r="T637" s="14" t="n">
        <v>1.09</v>
      </c>
      <c r="U637" s="26">
        <f>IF(X637&gt;='Methodology &amp; Assumptions'!$B$7, "Tier 1 Critical GIDA (Score ≥ 50.0)", IF(X637&gt;='Methodology &amp; Assumptions'!$B$8, "Tier 2 High GIDA (Score 40.0–49.9)", "Tier 3 Moderate GIDA (Score &lt; 40.0)"))</f>
        <v/>
      </c>
      <c r="V637" s="26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W637" s="28" t="n">
        <v>0.156</v>
      </c>
      <c r="X637" s="14" t="n">
        <v>46</v>
      </c>
      <c r="Y637" s="14">
        <f>ROUND(MIN(100, (X637/69.91)*100), 2)</f>
        <v/>
      </c>
    </row>
    <row r="638">
      <c r="A638" s="10" t="n">
        <v>4</v>
      </c>
      <c r="B638" s="10" t="n">
        <v>634</v>
      </c>
      <c r="C638" s="10" t="n">
        <v>3634</v>
      </c>
      <c r="D638" s="10" t="inlineStr">
        <is>
          <t>0504106023</t>
        </is>
      </c>
      <c r="E638" s="26" t="inlineStr">
        <is>
          <t>Region V (Bicol Region)</t>
        </is>
      </c>
      <c r="F638" s="26" t="inlineStr">
        <is>
          <t>Masbate</t>
        </is>
      </c>
      <c r="G638" s="26" t="inlineStr">
        <is>
          <t>Cawayan</t>
        </is>
      </c>
      <c r="H638" s="26" t="inlineStr">
        <is>
          <t>Pulot</t>
        </is>
      </c>
      <c r="I638" s="27" t="n">
        <v>12.069368</v>
      </c>
      <c r="J638" s="27" t="n">
        <v>123.755133</v>
      </c>
      <c r="K638" s="10" t="inlineStr">
        <is>
          <t>R</t>
        </is>
      </c>
      <c r="L638" s="12" t="n">
        <v>842</v>
      </c>
      <c r="M638" s="14" t="n">
        <v>4.1</v>
      </c>
      <c r="N638" s="12">
        <f>ROUND(L638/M638, 0)</f>
        <v/>
      </c>
      <c r="O638" s="12">
        <f>ROUND(N638*'Methodology &amp; Assumptions'!$B$5, 0)</f>
        <v/>
      </c>
      <c r="P638" s="10" t="inlineStr">
        <is>
          <t>Single Carrier (Band n50, 100MHz TDD)</t>
        </is>
      </c>
      <c r="Q638" s="13">
        <f>ROUNDUP(O638/'Methodology &amp; Assumptions'!$B$6, 0)</f>
        <v/>
      </c>
      <c r="R638" s="13" t="n">
        <v>1</v>
      </c>
      <c r="S638" s="14" t="n">
        <v>18.69</v>
      </c>
      <c r="T638" s="14" t="n">
        <v>31.46</v>
      </c>
      <c r="U638" s="26">
        <f>IF(X638&gt;='Methodology &amp; Assumptions'!$B$7, "Tier 1 Critical GIDA (Score ≥ 50.0)", IF(X638&gt;='Methodology &amp; Assumptions'!$B$8, "Tier 2 High GIDA (Score 40.0–49.9)", "Tier 3 Moderate GIDA (Score &lt; 40.0)"))</f>
        <v/>
      </c>
      <c r="V638" s="26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W638" s="28" t="n">
        <v>0.237</v>
      </c>
      <c r="X638" s="14" t="n">
        <v>45.99</v>
      </c>
      <c r="Y638" s="14">
        <f>ROUND(MIN(100, (X638/69.91)*100), 2)</f>
        <v/>
      </c>
    </row>
    <row r="639">
      <c r="A639" s="10" t="n">
        <v>4</v>
      </c>
      <c r="B639" s="10" t="n">
        <v>635</v>
      </c>
      <c r="C639" s="10" t="n">
        <v>3635</v>
      </c>
      <c r="D639" s="10" t="inlineStr">
        <is>
          <t>1705309004</t>
        </is>
      </c>
      <c r="E639" s="26" t="inlineStr">
        <is>
          <t>MIMAROPA Region</t>
        </is>
      </c>
      <c r="F639" s="26" t="inlineStr">
        <is>
          <t>Palawan</t>
        </is>
      </c>
      <c r="G639" s="26" t="inlineStr">
        <is>
          <t>Coron</t>
        </is>
      </c>
      <c r="H639" s="26" t="inlineStr">
        <is>
          <t>Buenavista</t>
        </is>
      </c>
      <c r="I639" s="27" t="n">
        <v>12.163616</v>
      </c>
      <c r="J639" s="27" t="n">
        <v>120.240469</v>
      </c>
      <c r="K639" s="10" t="inlineStr">
        <is>
          <t>R</t>
        </is>
      </c>
      <c r="L639" s="12" t="n">
        <v>1512</v>
      </c>
      <c r="M639" s="14" t="n">
        <v>3.9</v>
      </c>
      <c r="N639" s="12">
        <f>ROUND(L639/M639, 0)</f>
        <v/>
      </c>
      <c r="O639" s="12">
        <f>ROUND(N639*'Methodology &amp; Assumptions'!$B$5, 0)</f>
        <v/>
      </c>
      <c r="P639" s="10" t="inlineStr">
        <is>
          <t>Single Carrier (Band n50, 100MHz TDD)</t>
        </is>
      </c>
      <c r="Q639" s="13">
        <f>ROUNDUP(O639/'Methodology &amp; Assumptions'!$B$6, 0)</f>
        <v/>
      </c>
      <c r="R639" s="13" t="n">
        <v>1</v>
      </c>
      <c r="S639" s="14" t="n">
        <v>16.87</v>
      </c>
      <c r="T639" s="14" t="n">
        <v>91.53</v>
      </c>
      <c r="U639" s="26">
        <f>IF(X639&gt;='Methodology &amp; Assumptions'!$B$7, "Tier 1 Critical GIDA (Score ≥ 50.0)", IF(X639&gt;='Methodology &amp; Assumptions'!$B$8, "Tier 2 High GIDA (Score 40.0–49.9)", "Tier 3 Moderate GIDA (Score &lt; 40.0)"))</f>
        <v/>
      </c>
      <c r="V639" s="26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W639" s="28" t="n">
        <v>0.15</v>
      </c>
      <c r="X639" s="14" t="n">
        <v>45.98</v>
      </c>
      <c r="Y639" s="14">
        <f>ROUND(MIN(100, (X639/69.91)*100), 2)</f>
        <v/>
      </c>
    </row>
    <row r="640">
      <c r="A640" s="10" t="n">
        <v>4</v>
      </c>
      <c r="B640" s="10" t="n">
        <v>636</v>
      </c>
      <c r="C640" s="10" t="n">
        <v>3636</v>
      </c>
      <c r="D640" s="10" t="inlineStr">
        <is>
          <t>0301416001</t>
        </is>
      </c>
      <c r="E640" s="26" t="inlineStr">
        <is>
          <t>Region III (Central Luzon)</t>
        </is>
      </c>
      <c r="F640" s="26" t="inlineStr">
        <is>
          <t>Bulacan</t>
        </is>
      </c>
      <c r="G640" s="26" t="inlineStr">
        <is>
          <t>Paombong</t>
        </is>
      </c>
      <c r="H640" s="26" t="inlineStr">
        <is>
          <t>Binakod</t>
        </is>
      </c>
      <c r="I640" s="27" t="n">
        <v>14.782506</v>
      </c>
      <c r="J640" s="27" t="n">
        <v>120.784958</v>
      </c>
      <c r="K640" s="10" t="inlineStr">
        <is>
          <t>R</t>
        </is>
      </c>
      <c r="L640" s="12" t="n">
        <v>1971</v>
      </c>
      <c r="M640" s="14" t="n">
        <v>3.5</v>
      </c>
      <c r="N640" s="12">
        <f>ROUND(L640/M640, 0)</f>
        <v/>
      </c>
      <c r="O640" s="12">
        <f>ROUND(N640*'Methodology &amp; Assumptions'!$B$5, 0)</f>
        <v/>
      </c>
      <c r="P640" s="10" t="inlineStr">
        <is>
          <t>Single Carrier (Band n50, 100MHz TDD)</t>
        </is>
      </c>
      <c r="Q640" s="13">
        <f>ROUNDUP(O640/'Methodology &amp; Assumptions'!$B$6, 0)</f>
        <v/>
      </c>
      <c r="R640" s="13" t="n">
        <v>1</v>
      </c>
      <c r="S640" s="14" t="n">
        <v>5.36</v>
      </c>
      <c r="T640" s="14" t="n">
        <v>8.35</v>
      </c>
      <c r="U640" s="26">
        <f>IF(X640&gt;='Methodology &amp; Assumptions'!$B$7, "Tier 1 Critical GIDA (Score ≥ 50.0)", IF(X640&gt;='Methodology &amp; Assumptions'!$B$8, "Tier 2 High GIDA (Score 40.0–49.9)", "Tier 3 Moderate GIDA (Score &lt; 40.0)"))</f>
        <v/>
      </c>
      <c r="V640" s="26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W640" s="28" t="n">
        <v>0.083</v>
      </c>
      <c r="X640" s="14" t="n">
        <v>45.98</v>
      </c>
      <c r="Y640" s="14">
        <f>ROUND(MIN(100, (X640/69.91)*100), 2)</f>
        <v/>
      </c>
    </row>
    <row r="641">
      <c r="A641" s="10" t="n">
        <v>4</v>
      </c>
      <c r="B641" s="10" t="n">
        <v>637</v>
      </c>
      <c r="C641" s="10" t="n">
        <v>3637</v>
      </c>
      <c r="D641" s="10" t="inlineStr">
        <is>
          <t>0405646033</t>
        </is>
      </c>
      <c r="E641" s="26" t="inlineStr">
        <is>
          <t>Region IV-A (CALABARZON)</t>
        </is>
      </c>
      <c r="F641" s="26" t="inlineStr">
        <is>
          <t>Quezon</t>
        </is>
      </c>
      <c r="G641" s="26" t="inlineStr">
        <is>
          <t>Tagkawayan</t>
        </is>
      </c>
      <c r="H641" s="26" t="inlineStr">
        <is>
          <t>San Francisco</t>
        </is>
      </c>
      <c r="I641" s="27" t="n">
        <v>14.015684</v>
      </c>
      <c r="J641" s="27" t="n">
        <v>122.48836</v>
      </c>
      <c r="K641" s="10" t="inlineStr">
        <is>
          <t>R</t>
        </is>
      </c>
      <c r="L641" s="12" t="n">
        <v>978</v>
      </c>
      <c r="M641" s="14" t="n">
        <v>3.8</v>
      </c>
      <c r="N641" s="12">
        <f>ROUND(L641/M641, 0)</f>
        <v/>
      </c>
      <c r="O641" s="12">
        <f>ROUND(N641*'Methodology &amp; Assumptions'!$B$5, 0)</f>
        <v/>
      </c>
      <c r="P641" s="10" t="inlineStr">
        <is>
          <t>Single Carrier (Band n50, 100MHz TDD)</t>
        </is>
      </c>
      <c r="Q641" s="13">
        <f>ROUNDUP(O641/'Methodology &amp; Assumptions'!$B$6, 0)</f>
        <v/>
      </c>
      <c r="R641" s="13" t="n">
        <v>1</v>
      </c>
      <c r="S641" s="14" t="n">
        <v>2.18</v>
      </c>
      <c r="T641" s="14" t="n">
        <v>0.06</v>
      </c>
      <c r="U641" s="26">
        <f>IF(X641&gt;='Methodology &amp; Assumptions'!$B$7, "Tier 1 Critical GIDA (Score ≥ 50.0)", IF(X641&gt;='Methodology &amp; Assumptions'!$B$8, "Tier 2 High GIDA (Score 40.0–49.9)", "Tier 3 Moderate GIDA (Score &lt; 40.0)"))</f>
        <v/>
      </c>
      <c r="V641" s="26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W641" s="28" t="n">
        <v>0.07200000000000001</v>
      </c>
      <c r="X641" s="14" t="n">
        <v>45.96</v>
      </c>
      <c r="Y641" s="14">
        <f>ROUND(MIN(100, (X641/69.91)*100), 2)</f>
        <v/>
      </c>
    </row>
    <row r="642">
      <c r="A642" s="10" t="n">
        <v>4</v>
      </c>
      <c r="B642" s="10" t="n">
        <v>638</v>
      </c>
      <c r="C642" s="10" t="n">
        <v>3638</v>
      </c>
      <c r="D642" s="10" t="inlineStr">
        <is>
          <t>0405644019</t>
        </is>
      </c>
      <c r="E642" s="26" t="inlineStr">
        <is>
          <t>Region IV-A (CALABARZON)</t>
        </is>
      </c>
      <c r="F642" s="26" t="inlineStr">
        <is>
          <t>Quezon</t>
        </is>
      </c>
      <c r="G642" s="26" t="inlineStr">
        <is>
          <t>San Narciso</t>
        </is>
      </c>
      <c r="H642" s="26" t="inlineStr">
        <is>
          <t>San Isidro</t>
        </is>
      </c>
      <c r="I642" s="27" t="n">
        <v>13.570998</v>
      </c>
      <c r="J642" s="27" t="n">
        <v>122.56277</v>
      </c>
      <c r="K642" s="10" t="inlineStr">
        <is>
          <t>R</t>
        </is>
      </c>
      <c r="L642" s="12" t="n">
        <v>1053</v>
      </c>
      <c r="M642" s="14" t="n">
        <v>3.8</v>
      </c>
      <c r="N642" s="12">
        <f>ROUND(L642/M642, 0)</f>
        <v/>
      </c>
      <c r="O642" s="12">
        <f>ROUND(N642*'Methodology &amp; Assumptions'!$B$5, 0)</f>
        <v/>
      </c>
      <c r="P642" s="10" t="inlineStr">
        <is>
          <t>Single Carrier (Band n50, 100MHz TDD)</t>
        </is>
      </c>
      <c r="Q642" s="13">
        <f>ROUNDUP(O642/'Methodology &amp; Assumptions'!$B$6, 0)</f>
        <v/>
      </c>
      <c r="R642" s="13" t="n">
        <v>1</v>
      </c>
      <c r="S642" s="14" t="n">
        <v>1.07</v>
      </c>
      <c r="T642" s="14" t="n">
        <v>1.06</v>
      </c>
      <c r="U642" s="26">
        <f>IF(X642&gt;='Methodology &amp; Assumptions'!$B$7, "Tier 1 Critical GIDA (Score ≥ 50.0)", IF(X642&gt;='Methodology &amp; Assumptions'!$B$8, "Tier 2 High GIDA (Score 40.0–49.9)", "Tier 3 Moderate GIDA (Score &lt; 40.0)"))</f>
        <v/>
      </c>
      <c r="V642" s="26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W642" s="28" t="n">
        <v>0.07200000000000001</v>
      </c>
      <c r="X642" s="14" t="n">
        <v>45.96</v>
      </c>
      <c r="Y642" s="14">
        <f>ROUND(MIN(100, (X642/69.91)*100), 2)</f>
        <v/>
      </c>
    </row>
    <row r="643">
      <c r="A643" s="10" t="n">
        <v>4</v>
      </c>
      <c r="B643" s="10" t="n">
        <v>639</v>
      </c>
      <c r="C643" s="10" t="n">
        <v>3639</v>
      </c>
      <c r="D643" s="10" t="inlineStr">
        <is>
          <t>1705309022</t>
        </is>
      </c>
      <c r="E643" s="26" t="inlineStr">
        <is>
          <t>MIMAROPA Region</t>
        </is>
      </c>
      <c r="F643" s="26" t="inlineStr">
        <is>
          <t>Palawan</t>
        </is>
      </c>
      <c r="G643" s="26" t="inlineStr">
        <is>
          <t>Coron</t>
        </is>
      </c>
      <c r="H643" s="26" t="inlineStr">
        <is>
          <t>San Jose</t>
        </is>
      </c>
      <c r="I643" s="27" t="n">
        <v>12.17676</v>
      </c>
      <c r="J643" s="27" t="n">
        <v>120.09098</v>
      </c>
      <c r="K643" s="10" t="inlineStr">
        <is>
          <t>R</t>
        </is>
      </c>
      <c r="L643" s="12" t="n">
        <v>1910</v>
      </c>
      <c r="M643" s="14" t="n">
        <v>3.9</v>
      </c>
      <c r="N643" s="12">
        <f>ROUND(L643/M643, 0)</f>
        <v/>
      </c>
      <c r="O643" s="12">
        <f>ROUND(N643*'Methodology &amp; Assumptions'!$B$5, 0)</f>
        <v/>
      </c>
      <c r="P643" s="10" t="inlineStr">
        <is>
          <t>Single Carrier (Band n50, 100MHz TDD)</t>
        </is>
      </c>
      <c r="Q643" s="13">
        <f>ROUNDUP(O643/'Methodology &amp; Assumptions'!$B$6, 0)</f>
        <v/>
      </c>
      <c r="R643" s="13" t="n">
        <v>1</v>
      </c>
      <c r="S643" s="14" t="n">
        <v>15.7</v>
      </c>
      <c r="T643" s="14" t="n">
        <v>107.08</v>
      </c>
      <c r="U643" s="26">
        <f>IF(X643&gt;='Methodology &amp; Assumptions'!$B$7, "Tier 1 Critical GIDA (Score ≥ 50.0)", IF(X643&gt;='Methodology &amp; Assumptions'!$B$8, "Tier 2 High GIDA (Score 40.0–49.9)", "Tier 3 Moderate GIDA (Score &lt; 40.0)"))</f>
        <v/>
      </c>
      <c r="V643" s="26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W643" s="28" t="n">
        <v>0.15</v>
      </c>
      <c r="X643" s="14" t="n">
        <v>45.95</v>
      </c>
      <c r="Y643" s="14">
        <f>ROUND(MIN(100, (X643/69.91)*100), 2)</f>
        <v/>
      </c>
    </row>
    <row r="644">
      <c r="A644" s="10" t="n">
        <v>4</v>
      </c>
      <c r="B644" s="10" t="n">
        <v>640</v>
      </c>
      <c r="C644" s="10" t="n">
        <v>3640</v>
      </c>
      <c r="D644" s="10" t="inlineStr">
        <is>
          <t>0704607008</t>
        </is>
      </c>
      <c r="E644" s="26" t="inlineStr">
        <is>
          <t>Region VII (Central Visayas)</t>
        </is>
      </c>
      <c r="F644" s="26" t="inlineStr">
        <is>
          <t>Negros Oriental</t>
        </is>
      </c>
      <c r="G644" s="26" t="inlineStr">
        <is>
          <t>Bindoy</t>
        </is>
      </c>
      <c r="H644" s="26" t="inlineStr">
        <is>
          <t>Danao</t>
        </is>
      </c>
      <c r="I644" s="27" t="n">
        <v>9.801764</v>
      </c>
      <c r="J644" s="27" t="n">
        <v>123.088226</v>
      </c>
      <c r="K644" s="10" t="inlineStr">
        <is>
          <t>R</t>
        </is>
      </c>
      <c r="L644" s="12" t="n">
        <v>1265</v>
      </c>
      <c r="M644" s="14" t="n">
        <v>3.8</v>
      </c>
      <c r="N644" s="12">
        <f>ROUND(L644/M644, 0)</f>
        <v/>
      </c>
      <c r="O644" s="12">
        <f>ROUND(N644*'Methodology &amp; Assumptions'!$B$5, 0)</f>
        <v/>
      </c>
      <c r="P644" s="10" t="inlineStr">
        <is>
          <t>Single Carrier (Band n50, 100MHz TDD)</t>
        </is>
      </c>
      <c r="Q644" s="13">
        <f>ROUNDUP(O644/'Methodology &amp; Assumptions'!$B$6, 0)</f>
        <v/>
      </c>
      <c r="R644" s="13" t="n">
        <v>1</v>
      </c>
      <c r="S644" s="14" t="n">
        <v>19.32</v>
      </c>
      <c r="T644" s="14" t="n">
        <v>4.97</v>
      </c>
      <c r="U644" s="26">
        <f>IF(X644&gt;='Methodology &amp; Assumptions'!$B$7, "Tier 1 Critical GIDA (Score ≥ 50.0)", IF(X644&gt;='Methodology &amp; Assumptions'!$B$8, "Tier 2 High GIDA (Score 40.0–49.9)", "Tier 3 Moderate GIDA (Score &lt; 40.0)"))</f>
        <v/>
      </c>
      <c r="V644" s="26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W644" s="28" t="n">
        <v>0.237</v>
      </c>
      <c r="X644" s="14" t="n">
        <v>45.95</v>
      </c>
      <c r="Y644" s="14">
        <f>ROUND(MIN(100, (X644/69.91)*100), 2)</f>
        <v/>
      </c>
    </row>
    <row r="645">
      <c r="A645" s="10" t="n">
        <v>4</v>
      </c>
      <c r="B645" s="10" t="n">
        <v>641</v>
      </c>
      <c r="C645" s="10" t="n">
        <v>3641</v>
      </c>
      <c r="D645" s="10" t="inlineStr">
        <is>
          <t>1907004004</t>
        </is>
      </c>
      <c r="E645" s="26" t="inlineStr">
        <is>
          <t>Bangsamoro Autonomous Region In Muslim Mindanao (BARMM)</t>
        </is>
      </c>
      <c r="F645" s="26" t="inlineStr">
        <is>
          <t>Tawi-Tawi</t>
        </is>
      </c>
      <c r="G645" s="26" t="inlineStr">
        <is>
          <t>Simunul</t>
        </is>
      </c>
      <c r="H645" s="26" t="inlineStr">
        <is>
          <t>Tampakan</t>
        </is>
      </c>
      <c r="I645" s="27" t="n">
        <v>4.918227</v>
      </c>
      <c r="J645" s="27" t="n">
        <v>119.790486</v>
      </c>
      <c r="K645" s="10" t="inlineStr">
        <is>
          <t>R</t>
        </is>
      </c>
      <c r="L645" s="12" t="n">
        <v>3019</v>
      </c>
      <c r="M645" s="14" t="n">
        <v>5.8</v>
      </c>
      <c r="N645" s="12">
        <f>ROUND(L645/M645, 0)</f>
        <v/>
      </c>
      <c r="O645" s="12">
        <f>ROUND(N645*'Methodology &amp; Assumptions'!$B$5, 0)</f>
        <v/>
      </c>
      <c r="P645" s="10" t="inlineStr">
        <is>
          <t>Single Carrier (Band n50, 100MHz TDD)</t>
        </is>
      </c>
      <c r="Q645" s="13">
        <f>ROUNDUP(O645/'Methodology &amp; Assumptions'!$B$6, 0)</f>
        <v/>
      </c>
      <c r="R645" s="13" t="n">
        <v>1</v>
      </c>
      <c r="S645" s="14" t="n">
        <v>999</v>
      </c>
      <c r="T645" s="14" t="n">
        <v>999</v>
      </c>
      <c r="U645" s="26">
        <f>IF(X645&gt;='Methodology &amp; Assumptions'!$B$7, "Tier 1 Critical GIDA (Score ≥ 50.0)", IF(X645&gt;='Methodology &amp; Assumptions'!$B$8, "Tier 2 High GIDA (Score 40.0–49.9)", "Tier 3 Moderate GIDA (Score &lt; 40.0)"))</f>
        <v/>
      </c>
      <c r="V645" s="26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W645" s="28" t="n">
        <v>0.11</v>
      </c>
      <c r="X645" s="14" t="n">
        <v>45.95</v>
      </c>
      <c r="Y645" s="14">
        <f>ROUND(MIN(100, (X645/69.91)*100), 2)</f>
        <v/>
      </c>
    </row>
    <row r="646">
      <c r="A646" s="10" t="n">
        <v>4</v>
      </c>
      <c r="B646" s="10" t="n">
        <v>642</v>
      </c>
      <c r="C646" s="10" t="n">
        <v>3642</v>
      </c>
      <c r="D646" s="10" t="inlineStr">
        <is>
          <t>0405805016</t>
        </is>
      </c>
      <c r="E646" s="26" t="inlineStr">
        <is>
          <t>Region IV-A (CALABARZON)</t>
        </is>
      </c>
      <c r="F646" s="26" t="inlineStr">
        <is>
          <t>Rizal</t>
        </is>
      </c>
      <c r="G646" s="26" t="inlineStr">
        <is>
          <t>Cainta</t>
        </is>
      </c>
      <c r="H646" s="26" t="inlineStr">
        <is>
          <t>San Juan</t>
        </is>
      </c>
      <c r="I646" s="27" t="n">
        <v>14.539798</v>
      </c>
      <c r="J646" s="27" t="n">
        <v>121.110934</v>
      </c>
      <c r="K646" s="10" t="inlineStr">
        <is>
          <t>U</t>
        </is>
      </c>
      <c r="L646" s="12" t="n">
        <v>99685</v>
      </c>
      <c r="M646" s="14" t="n">
        <v>3.6</v>
      </c>
      <c r="N646" s="12">
        <f>ROUND(L646/M646, 0)</f>
        <v/>
      </c>
      <c r="O646" s="12">
        <f>ROUND(N646*'Methodology &amp; Assumptions'!$B$5, 0)</f>
        <v/>
      </c>
      <c r="P646" s="10" t="inlineStr">
        <is>
          <t>Single Carrier (Band n50, 100MHz TDD)</t>
        </is>
      </c>
      <c r="Q646" s="13">
        <f>ROUNDUP(O646/'Methodology &amp; Assumptions'!$B$6, 0)</f>
        <v/>
      </c>
      <c r="R646" s="13" t="n">
        <v>1</v>
      </c>
      <c r="S646" s="14" t="n">
        <v>0.63</v>
      </c>
      <c r="T646" s="14" t="n">
        <v>0.27</v>
      </c>
      <c r="U646" s="26">
        <f>IF(X646&gt;='Methodology &amp; Assumptions'!$B$7, "Tier 1 Critical GIDA (Score ≥ 50.0)", IF(X646&gt;='Methodology &amp; Assumptions'!$B$8, "Tier 2 High GIDA (Score 40.0–49.9)", "Tier 3 Moderate GIDA (Score &lt; 40.0)"))</f>
        <v/>
      </c>
      <c r="V646" s="26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W646" s="28" t="n">
        <v>0.07200000000000001</v>
      </c>
      <c r="X646" s="14" t="n">
        <v>45.94</v>
      </c>
      <c r="Y646" s="14">
        <f>ROUND(MIN(100, (X646/69.91)*100), 2)</f>
        <v/>
      </c>
    </row>
    <row r="647">
      <c r="A647" s="10" t="n">
        <v>4</v>
      </c>
      <c r="B647" s="10" t="n">
        <v>643</v>
      </c>
      <c r="C647" s="10" t="n">
        <v>3643</v>
      </c>
      <c r="D647" s="10" t="inlineStr">
        <is>
          <t>0405601002</t>
        </is>
      </c>
      <c r="E647" s="26" t="inlineStr">
        <is>
          <t>Region IV-A (CALABARZON)</t>
        </is>
      </c>
      <c r="F647" s="26" t="inlineStr">
        <is>
          <t>Quezon</t>
        </is>
      </c>
      <c r="G647" s="26" t="inlineStr">
        <is>
          <t>Agdangan</t>
        </is>
      </c>
      <c r="H647" s="26" t="inlineStr">
        <is>
          <t>Dayap</t>
        </is>
      </c>
      <c r="I647" s="27" t="n">
        <v>13.91034</v>
      </c>
      <c r="J647" s="27" t="n">
        <v>121.936051</v>
      </c>
      <c r="K647" s="10" t="inlineStr">
        <is>
          <t>R</t>
        </is>
      </c>
      <c r="L647" s="12" t="n">
        <v>306</v>
      </c>
      <c r="M647" s="14" t="n">
        <v>3.8</v>
      </c>
      <c r="N647" s="12">
        <f>ROUND(L647/M647, 0)</f>
        <v/>
      </c>
      <c r="O647" s="12">
        <f>ROUND(N647*'Methodology &amp; Assumptions'!$B$5, 0)</f>
        <v/>
      </c>
      <c r="P647" s="10" t="inlineStr">
        <is>
          <t>Single Carrier (Band n50, 100MHz TDD)</t>
        </is>
      </c>
      <c r="Q647" s="13">
        <f>ROUNDUP(O647/'Methodology &amp; Assumptions'!$B$6, 0)</f>
        <v/>
      </c>
      <c r="R647" s="13" t="n">
        <v>1</v>
      </c>
      <c r="S647" s="14" t="n">
        <v>4.51</v>
      </c>
      <c r="T647" s="14" t="n">
        <v>4.21</v>
      </c>
      <c r="U647" s="26">
        <f>IF(X647&gt;='Methodology &amp; Assumptions'!$B$7, "Tier 1 Critical GIDA (Score ≥ 50.0)", IF(X647&gt;='Methodology &amp; Assumptions'!$B$8, "Tier 2 High GIDA (Score 40.0–49.9)", "Tier 3 Moderate GIDA (Score &lt; 40.0)"))</f>
        <v/>
      </c>
      <c r="V647" s="26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W647" s="28" t="n">
        <v>0.07200000000000001</v>
      </c>
      <c r="X647" s="14" t="n">
        <v>45.94</v>
      </c>
      <c r="Y647" s="14">
        <f>ROUND(MIN(100, (X647/69.91)*100), 2)</f>
        <v/>
      </c>
    </row>
    <row r="648">
      <c r="A648" s="10" t="n">
        <v>4</v>
      </c>
      <c r="B648" s="10" t="n">
        <v>644</v>
      </c>
      <c r="C648" s="10" t="n">
        <v>3644</v>
      </c>
      <c r="D648" s="10" t="inlineStr">
        <is>
          <t>PH0003644</t>
        </is>
      </c>
      <c r="E648" s="26" t="inlineStr">
        <is>
          <t>IV-A</t>
        </is>
      </c>
      <c r="F648" s="26" t="inlineStr">
        <is>
          <t>Cavite</t>
        </is>
      </c>
      <c r="G648" s="26" t="inlineStr">
        <is>
          <t>Cavite City</t>
        </is>
      </c>
      <c r="H648" s="26" t="inlineStr">
        <is>
          <t>Barangay 47-B</t>
        </is>
      </c>
      <c r="I648" s="27" t="n">
        <v>14.480008</v>
      </c>
      <c r="J648" s="27" t="n">
        <v>120.890373</v>
      </c>
      <c r="K648" s="10" t="inlineStr">
        <is>
          <t>R</t>
        </is>
      </c>
      <c r="L648" s="12" t="n">
        <v>2316</v>
      </c>
      <c r="M648" s="14" t="n">
        <v>3.4</v>
      </c>
      <c r="N648" s="12">
        <f>ROUND(L648/M648, 0)</f>
        <v/>
      </c>
      <c r="O648" s="12">
        <f>ROUND(N648*'Methodology &amp; Assumptions'!$B$5, 0)</f>
        <v/>
      </c>
      <c r="P648" s="10" t="inlineStr">
        <is>
          <t>Single Carrier (Band n50, 100MHz TDD)</t>
        </is>
      </c>
      <c r="Q648" s="13">
        <f>ROUNDUP(O648/'Methodology &amp; Assumptions'!$B$6, 0)</f>
        <v/>
      </c>
      <c r="R648" s="13" t="n">
        <v>1</v>
      </c>
      <c r="S648" s="14" t="n">
        <v>0.65</v>
      </c>
      <c r="T648" s="14" t="n">
        <v>4.54</v>
      </c>
      <c r="U648" s="26">
        <f>IF(X648&gt;='Methodology &amp; Assumptions'!$B$7, "Tier 1 Critical GIDA (Score ≥ 50.0)", IF(X648&gt;='Methodology &amp; Assumptions'!$B$8, "Tier 2 High GIDA (Score 40.0–49.9)", "Tier 3 Moderate GIDA (Score &lt; 40.0)"))</f>
        <v/>
      </c>
      <c r="V648" s="26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W648" s="28" t="n">
        <v>0.07200000000000001</v>
      </c>
      <c r="X648" s="14" t="n">
        <v>45.93</v>
      </c>
      <c r="Y648" s="14">
        <f>ROUND(MIN(100, (X648/69.91)*100), 2)</f>
        <v/>
      </c>
    </row>
    <row r="649">
      <c r="A649" s="10" t="n">
        <v>4</v>
      </c>
      <c r="B649" s="10" t="n">
        <v>645</v>
      </c>
      <c r="C649" s="10" t="n">
        <v>3645</v>
      </c>
      <c r="D649" s="10" t="inlineStr">
        <is>
          <t>0802607008</t>
        </is>
      </c>
      <c r="E649" s="26" t="inlineStr">
        <is>
          <t>Region VIII (Eastern Visayas)</t>
        </is>
      </c>
      <c r="F649" s="26" t="inlineStr">
        <is>
          <t>Eastern Samar</t>
        </is>
      </c>
      <c r="G649" s="26" t="inlineStr">
        <is>
          <t>General Macarthur</t>
        </is>
      </c>
      <c r="H649" s="26" t="inlineStr">
        <is>
          <t>Osmeña</t>
        </is>
      </c>
      <c r="I649" s="27" t="n">
        <v>11.253942</v>
      </c>
      <c r="J649" s="27" t="n">
        <v>125.511477</v>
      </c>
      <c r="K649" s="10" t="inlineStr">
        <is>
          <t>R</t>
        </is>
      </c>
      <c r="L649" s="12" t="n">
        <v>239</v>
      </c>
      <c r="M649" s="14" t="n">
        <v>3.9</v>
      </c>
      <c r="N649" s="12">
        <f>ROUND(L649/M649, 0)</f>
        <v/>
      </c>
      <c r="O649" s="12">
        <f>ROUND(N649*'Methodology &amp; Assumptions'!$B$5, 0)</f>
        <v/>
      </c>
      <c r="P649" s="10" t="inlineStr">
        <is>
          <t>Single Carrier (Band n50, 100MHz TDD)</t>
        </is>
      </c>
      <c r="Q649" s="13">
        <f>ROUNDUP(O649/'Methodology &amp; Assumptions'!$B$6, 0)</f>
        <v/>
      </c>
      <c r="R649" s="13" t="n">
        <v>1</v>
      </c>
      <c r="S649" s="14" t="n">
        <v>54.95</v>
      </c>
      <c r="T649" s="14" t="n">
        <v>53.87</v>
      </c>
      <c r="U649" s="26">
        <f>IF(X649&gt;='Methodology &amp; Assumptions'!$B$7, "Tier 1 Critical GIDA (Score ≥ 50.0)", IF(X649&gt;='Methodology &amp; Assumptions'!$B$8, "Tier 2 High GIDA (Score 40.0–49.9)", "Tier 3 Moderate GIDA (Score &lt; 40.0)"))</f>
        <v/>
      </c>
      <c r="V649" s="26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W649" s="28" t="n">
        <v>0.237</v>
      </c>
      <c r="X649" s="14" t="n">
        <v>45.93</v>
      </c>
      <c r="Y649" s="14">
        <f>ROUND(MIN(100, (X649/69.91)*100), 2)</f>
        <v/>
      </c>
    </row>
    <row r="650">
      <c r="A650" s="10" t="n">
        <v>4</v>
      </c>
      <c r="B650" s="10" t="n">
        <v>646</v>
      </c>
      <c r="C650" s="10" t="n">
        <v>3646</v>
      </c>
      <c r="D650" s="10" t="inlineStr">
        <is>
          <t>PH0003646</t>
        </is>
      </c>
      <c r="E650" s="26" t="inlineStr">
        <is>
          <t>III</t>
        </is>
      </c>
      <c r="F650" s="26" t="inlineStr">
        <is>
          <t>Pampanga</t>
        </is>
      </c>
      <c r="G650" s="26" t="inlineStr">
        <is>
          <t>Angeles City</t>
        </is>
      </c>
      <c r="H650" s="26" t="inlineStr">
        <is>
          <t>San Jose</t>
        </is>
      </c>
      <c r="I650" s="27" t="n">
        <v>15.143571</v>
      </c>
      <c r="J650" s="27" t="n">
        <v>120.586566</v>
      </c>
      <c r="K650" s="10" t="inlineStr">
        <is>
          <t>R</t>
        </is>
      </c>
      <c r="L650" s="12" t="n">
        <v>2334</v>
      </c>
      <c r="M650" s="14" t="n">
        <v>4</v>
      </c>
      <c r="N650" s="12">
        <f>ROUND(L650/M650, 0)</f>
        <v/>
      </c>
      <c r="O650" s="12">
        <f>ROUND(N650*'Methodology &amp; Assumptions'!$B$5, 0)</f>
        <v/>
      </c>
      <c r="P650" s="10" t="inlineStr">
        <is>
          <t>Single Carrier (Band n50, 100MHz TDD)</t>
        </is>
      </c>
      <c r="Q650" s="13">
        <f>ROUNDUP(O650/'Methodology &amp; Assumptions'!$B$6, 0)</f>
        <v/>
      </c>
      <c r="R650" s="13" t="n">
        <v>1</v>
      </c>
      <c r="S650" s="14" t="n">
        <v>1.06</v>
      </c>
      <c r="T650" s="14" t="n">
        <v>0.19</v>
      </c>
      <c r="U650" s="26">
        <f>IF(X650&gt;='Methodology &amp; Assumptions'!$B$7, "Tier 1 Critical GIDA (Score ≥ 50.0)", IF(X650&gt;='Methodology &amp; Assumptions'!$B$8, "Tier 2 High GIDA (Score 40.0–49.9)", "Tier 3 Moderate GIDA (Score &lt; 40.0)"))</f>
        <v/>
      </c>
      <c r="V650" s="26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W650" s="28" t="n">
        <v>0.083</v>
      </c>
      <c r="X650" s="14" t="n">
        <v>45.93</v>
      </c>
      <c r="Y650" s="14">
        <f>ROUND(MIN(100, (X650/69.91)*100), 2)</f>
        <v/>
      </c>
    </row>
    <row r="651">
      <c r="A651" s="10" t="n">
        <v>4</v>
      </c>
      <c r="B651" s="10" t="n">
        <v>647</v>
      </c>
      <c r="C651" s="10" t="n">
        <v>3647</v>
      </c>
      <c r="D651" s="10" t="inlineStr">
        <is>
          <t>PH0003647</t>
        </is>
      </c>
      <c r="E651" s="26" t="inlineStr">
        <is>
          <t>XIII</t>
        </is>
      </c>
      <c r="F651" s="26" t="inlineStr">
        <is>
          <t>Agusan Del Norte</t>
        </is>
      </c>
      <c r="G651" s="26" t="inlineStr">
        <is>
          <t>Butuan City</t>
        </is>
      </c>
      <c r="H651" s="26" t="inlineStr">
        <is>
          <t>New Society Village Pob.</t>
        </is>
      </c>
      <c r="I651" s="27" t="n">
        <v>11.166592</v>
      </c>
      <c r="J651" s="27" t="n">
        <v>124.659151</v>
      </c>
      <c r="K651" s="10" t="inlineStr">
        <is>
          <t>R</t>
        </is>
      </c>
      <c r="L651" s="12" t="n">
        <v>2294</v>
      </c>
      <c r="M651" s="14" t="n">
        <v>4.1</v>
      </c>
      <c r="N651" s="12">
        <f>ROUND(L651/M651, 0)</f>
        <v/>
      </c>
      <c r="O651" s="12">
        <f>ROUND(N651*'Methodology &amp; Assumptions'!$B$5, 0)</f>
        <v/>
      </c>
      <c r="P651" s="10" t="inlineStr">
        <is>
          <t>Single Carrier (Band n50, 100MHz TDD)</t>
        </is>
      </c>
      <c r="Q651" s="13">
        <f>ROUNDUP(O651/'Methodology &amp; Assumptions'!$B$6, 0)</f>
        <v/>
      </c>
      <c r="R651" s="13" t="n">
        <v>1</v>
      </c>
      <c r="S651" s="14" t="n">
        <v>10.86</v>
      </c>
      <c r="T651" s="14" t="n">
        <v>9.09</v>
      </c>
      <c r="U651" s="26">
        <f>IF(X651&gt;='Methodology &amp; Assumptions'!$B$7, "Tier 1 Critical GIDA (Score ≥ 50.0)", IF(X651&gt;='Methodology &amp; Assumptions'!$B$8, "Tier 2 High GIDA (Score 40.0–49.9)", "Tier 3 Moderate GIDA (Score &lt; 40.0)"))</f>
        <v/>
      </c>
      <c r="V651" s="26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W651" s="28" t="n">
        <v>0.109</v>
      </c>
      <c r="X651" s="14" t="n">
        <v>45.92</v>
      </c>
      <c r="Y651" s="14">
        <f>ROUND(MIN(100, (X651/69.91)*100), 2)</f>
        <v/>
      </c>
    </row>
    <row r="652">
      <c r="A652" s="10" t="n">
        <v>4</v>
      </c>
      <c r="B652" s="10" t="n">
        <v>648</v>
      </c>
      <c r="C652" s="10" t="n">
        <v>3648</v>
      </c>
      <c r="D652" s="10" t="inlineStr">
        <is>
          <t>0600609042</t>
        </is>
      </c>
      <c r="E652" s="26" t="inlineStr">
        <is>
          <t>Region VI (Western Visayas)</t>
        </is>
      </c>
      <c r="F652" s="26" t="inlineStr">
        <is>
          <t>Antique</t>
        </is>
      </c>
      <c r="G652" s="26" t="inlineStr">
        <is>
          <t>Laua-An</t>
        </is>
      </c>
      <c r="H652" s="26" t="inlineStr">
        <is>
          <t>Virginia</t>
        </is>
      </c>
      <c r="I652" s="27" t="n">
        <v>11.128852</v>
      </c>
      <c r="J652" s="27" t="n">
        <v>122.123627</v>
      </c>
      <c r="K652" s="10" t="inlineStr">
        <is>
          <t>R</t>
        </is>
      </c>
      <c r="L652" s="12" t="n">
        <v>247</v>
      </c>
      <c r="M652" s="14" t="n">
        <v>3.9</v>
      </c>
      <c r="N652" s="12">
        <f>ROUND(L652/M652, 0)</f>
        <v/>
      </c>
      <c r="O652" s="12">
        <f>ROUND(N652*'Methodology &amp; Assumptions'!$B$5, 0)</f>
        <v/>
      </c>
      <c r="P652" s="10" t="inlineStr">
        <is>
          <t>Single Carrier (Band n50, 100MHz TDD)</t>
        </is>
      </c>
      <c r="Q652" s="13">
        <f>ROUNDUP(O652/'Methodology &amp; Assumptions'!$B$6, 0)</f>
        <v/>
      </c>
      <c r="R652" s="13" t="n">
        <v>1</v>
      </c>
      <c r="S652" s="14" t="n">
        <v>45.52</v>
      </c>
      <c r="T652" s="14" t="n">
        <v>38.89</v>
      </c>
      <c r="U652" s="26">
        <f>IF(X652&gt;='Methodology &amp; Assumptions'!$B$7, "Tier 1 Critical GIDA (Score ≥ 50.0)", IF(X652&gt;='Methodology &amp; Assumptions'!$B$8, "Tier 2 High GIDA (Score 40.0–49.9)", "Tier 3 Moderate GIDA (Score &lt; 40.0)"))</f>
        <v/>
      </c>
      <c r="V652" s="26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W652" s="28" t="n">
        <v>0.237</v>
      </c>
      <c r="X652" s="14" t="n">
        <v>45.92</v>
      </c>
      <c r="Y652" s="14">
        <f>ROUND(MIN(100, (X652/69.91)*100), 2)</f>
        <v/>
      </c>
    </row>
    <row r="653">
      <c r="A653" s="10" t="n">
        <v>4</v>
      </c>
      <c r="B653" s="10" t="n">
        <v>649</v>
      </c>
      <c r="C653" s="10" t="n">
        <v>3649</v>
      </c>
      <c r="D653" s="10" t="inlineStr">
        <is>
          <t>0402106027</t>
        </is>
      </c>
      <c r="E653" s="26" t="inlineStr">
        <is>
          <t>Region IV-A (CALABARZON)</t>
        </is>
      </c>
      <c r="F653" s="26" t="inlineStr">
        <is>
          <t>Cavite</t>
        </is>
      </c>
      <c r="G653" s="26" t="inlineStr">
        <is>
          <t>City of Dasmariñas</t>
        </is>
      </c>
      <c r="H653" s="26" t="inlineStr">
        <is>
          <t>San Dionisio</t>
        </is>
      </c>
      <c r="I653" s="27" t="n">
        <v>14.349393</v>
      </c>
      <c r="J653" s="27" t="n">
        <v>120.943611</v>
      </c>
      <c r="K653" s="10" t="inlineStr">
        <is>
          <t>U</t>
        </is>
      </c>
      <c r="L653" s="12" t="n">
        <v>7096</v>
      </c>
      <c r="M653" s="14" t="n">
        <v>3.4</v>
      </c>
      <c r="N653" s="12">
        <f>ROUND(L653/M653, 0)</f>
        <v/>
      </c>
      <c r="O653" s="12">
        <f>ROUND(N653*'Methodology &amp; Assumptions'!$B$5, 0)</f>
        <v/>
      </c>
      <c r="P653" s="10" t="inlineStr">
        <is>
          <t>Single Carrier (Band n50, 100MHz TDD)</t>
        </is>
      </c>
      <c r="Q653" s="13">
        <f>ROUNDUP(O653/'Methodology &amp; Assumptions'!$B$6, 0)</f>
        <v/>
      </c>
      <c r="R653" s="13" t="n">
        <v>1</v>
      </c>
      <c r="S653" s="14" t="n">
        <v>0.45</v>
      </c>
      <c r="T653" s="14" t="n">
        <v>5.41</v>
      </c>
      <c r="U653" s="26">
        <f>IF(X653&gt;='Methodology &amp; Assumptions'!$B$7, "Tier 1 Critical GIDA (Score ≥ 50.0)", IF(X653&gt;='Methodology &amp; Assumptions'!$B$8, "Tier 2 High GIDA (Score 40.0–49.9)", "Tier 3 Moderate GIDA (Score &lt; 40.0)"))</f>
        <v/>
      </c>
      <c r="V653" s="26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W653" s="28" t="n">
        <v>0.07200000000000001</v>
      </c>
      <c r="X653" s="14" t="n">
        <v>45.92</v>
      </c>
      <c r="Y653" s="14">
        <f>ROUND(MIN(100, (X653/69.91)*100), 2)</f>
        <v/>
      </c>
    </row>
    <row r="654">
      <c r="A654" s="10" t="n">
        <v>4</v>
      </c>
      <c r="B654" s="10" t="n">
        <v>650</v>
      </c>
      <c r="C654" s="10" t="n">
        <v>3650</v>
      </c>
      <c r="D654" s="10" t="inlineStr">
        <is>
          <t>PH0003650</t>
        </is>
      </c>
      <c r="E654" s="26" t="inlineStr">
        <is>
          <t>IV-A</t>
        </is>
      </c>
      <c r="F654" s="26" t="inlineStr">
        <is>
          <t>Cavite</t>
        </is>
      </c>
      <c r="G654" s="26" t="inlineStr">
        <is>
          <t>Imus City</t>
        </is>
      </c>
      <c r="H654" s="26" t="inlineStr">
        <is>
          <t>Poblacion I-B</t>
        </is>
      </c>
      <c r="I654" s="27" t="n">
        <v>14.263292</v>
      </c>
      <c r="J654" s="27" t="n">
        <v>120.902261</v>
      </c>
      <c r="K654" s="10" t="inlineStr">
        <is>
          <t>R</t>
        </is>
      </c>
      <c r="L654" s="12" t="n">
        <v>2316</v>
      </c>
      <c r="M654" s="14" t="n">
        <v>3.4</v>
      </c>
      <c r="N654" s="12">
        <f>ROUND(L654/M654, 0)</f>
        <v/>
      </c>
      <c r="O654" s="12">
        <f>ROUND(N654*'Methodology &amp; Assumptions'!$B$5, 0)</f>
        <v/>
      </c>
      <c r="P654" s="10" t="inlineStr">
        <is>
          <t>Single Carrier (Band n50, 100MHz TDD)</t>
        </is>
      </c>
      <c r="Q654" s="13">
        <f>ROUNDUP(O654/'Methodology &amp; Assumptions'!$B$6, 0)</f>
        <v/>
      </c>
      <c r="R654" s="13" t="n">
        <v>1</v>
      </c>
      <c r="S654" s="14" t="n">
        <v>3.53</v>
      </c>
      <c r="T654" s="14" t="n">
        <v>2.45</v>
      </c>
      <c r="U654" s="26">
        <f>IF(X654&gt;='Methodology &amp; Assumptions'!$B$7, "Tier 1 Critical GIDA (Score ≥ 50.0)", IF(X654&gt;='Methodology &amp; Assumptions'!$B$8, "Tier 2 High GIDA (Score 40.0–49.9)", "Tier 3 Moderate GIDA (Score &lt; 40.0)"))</f>
        <v/>
      </c>
      <c r="V654" s="26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W654" s="28" t="n">
        <v>0.07200000000000001</v>
      </c>
      <c r="X654" s="14" t="n">
        <v>45.92</v>
      </c>
      <c r="Y654" s="14">
        <f>ROUND(MIN(100, (X654/69.91)*100), 2)</f>
        <v/>
      </c>
    </row>
    <row r="655">
      <c r="A655" s="10" t="n">
        <v>4</v>
      </c>
      <c r="B655" s="10" t="n">
        <v>651</v>
      </c>
      <c r="C655" s="10" t="n">
        <v>3651</v>
      </c>
      <c r="D655" s="10" t="inlineStr">
        <is>
          <t>1705305016</t>
        </is>
      </c>
      <c r="E655" s="26" t="inlineStr">
        <is>
          <t>MIMAROPA Region</t>
        </is>
      </c>
      <c r="F655" s="26" t="inlineStr">
        <is>
          <t>Palawan</t>
        </is>
      </c>
      <c r="G655" s="26" t="inlineStr">
        <is>
          <t>Bataraza</t>
        </is>
      </c>
      <c r="H655" s="26" t="inlineStr">
        <is>
          <t>Sarong</t>
        </is>
      </c>
      <c r="I655" s="27" t="n">
        <v>8.517671</v>
      </c>
      <c r="J655" s="27" t="n">
        <v>117.4838</v>
      </c>
      <c r="K655" s="10" t="inlineStr">
        <is>
          <t>R</t>
        </is>
      </c>
      <c r="L655" s="12" t="n">
        <v>2839</v>
      </c>
      <c r="M655" s="14" t="n">
        <v>3.9</v>
      </c>
      <c r="N655" s="12">
        <f>ROUND(L655/M655, 0)</f>
        <v/>
      </c>
      <c r="O655" s="12">
        <f>ROUND(N655*'Methodology &amp; Assumptions'!$B$5, 0)</f>
        <v/>
      </c>
      <c r="P655" s="10" t="inlineStr">
        <is>
          <t>Single Carrier (Band n50, 100MHz TDD)</t>
        </is>
      </c>
      <c r="Q655" s="13">
        <f>ROUNDUP(O655/'Methodology &amp; Assumptions'!$B$6, 0)</f>
        <v/>
      </c>
      <c r="R655" s="13" t="n">
        <v>1</v>
      </c>
      <c r="S655" s="14" t="n">
        <v>193.18</v>
      </c>
      <c r="T655" s="14" t="n">
        <v>195.47</v>
      </c>
      <c r="U655" s="26">
        <f>IF(X655&gt;='Methodology &amp; Assumptions'!$B$7, "Tier 1 Critical GIDA (Score ≥ 50.0)", IF(X655&gt;='Methodology &amp; Assumptions'!$B$8, "Tier 2 High GIDA (Score 40.0–49.9)", "Tier 3 Moderate GIDA (Score &lt; 40.0)"))</f>
        <v/>
      </c>
      <c r="V655" s="26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W655" s="28" t="n">
        <v>0.15</v>
      </c>
      <c r="X655" s="14" t="n">
        <v>45.91</v>
      </c>
      <c r="Y655" s="14">
        <f>ROUND(MIN(100, (X655/69.91)*100), 2)</f>
        <v/>
      </c>
    </row>
    <row r="656">
      <c r="A656" s="10" t="n">
        <v>4</v>
      </c>
      <c r="B656" s="10" t="n">
        <v>652</v>
      </c>
      <c r="C656" s="10" t="n">
        <v>3652</v>
      </c>
      <c r="D656" s="10" t="inlineStr">
        <is>
          <t>0802611007</t>
        </is>
      </c>
      <c r="E656" s="26" t="inlineStr">
        <is>
          <t>Region VIII (Eastern Visayas)</t>
        </is>
      </c>
      <c r="F656" s="26" t="inlineStr">
        <is>
          <t>Eastern Samar</t>
        </is>
      </c>
      <c r="G656" s="26" t="inlineStr">
        <is>
          <t>Jipapad</t>
        </is>
      </c>
      <c r="H656" s="26" t="inlineStr">
        <is>
          <t>Cagmanaba</t>
        </is>
      </c>
      <c r="I656" s="27" t="n">
        <v>12.2636</v>
      </c>
      <c r="J656" s="27" t="n">
        <v>125.187708</v>
      </c>
      <c r="K656" s="10" t="inlineStr">
        <is>
          <t>R</t>
        </is>
      </c>
      <c r="L656" s="12" t="n">
        <v>918</v>
      </c>
      <c r="M656" s="14" t="n">
        <v>3.9</v>
      </c>
      <c r="N656" s="12">
        <f>ROUND(L656/M656, 0)</f>
        <v/>
      </c>
      <c r="O656" s="12">
        <f>ROUND(N656*'Methodology &amp; Assumptions'!$B$5, 0)</f>
        <v/>
      </c>
      <c r="P656" s="10" t="inlineStr">
        <is>
          <t>Single Carrier (Band n50, 100MHz TDD)</t>
        </is>
      </c>
      <c r="Q656" s="13">
        <f>ROUNDUP(O656/'Methodology &amp; Assumptions'!$B$6, 0)</f>
        <v/>
      </c>
      <c r="R656" s="13" t="n">
        <v>1</v>
      </c>
      <c r="S656" s="14" t="n">
        <v>115.63</v>
      </c>
      <c r="T656" s="14" t="n">
        <v>118.48</v>
      </c>
      <c r="U656" s="26">
        <f>IF(X656&gt;='Methodology &amp; Assumptions'!$B$7, "Tier 1 Critical GIDA (Score ≥ 50.0)", IF(X656&gt;='Methodology &amp; Assumptions'!$B$8, "Tier 2 High GIDA (Score 40.0–49.9)", "Tier 3 Moderate GIDA (Score &lt; 40.0)"))</f>
        <v/>
      </c>
      <c r="V656" s="26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W656" s="28" t="n">
        <v>0.237</v>
      </c>
      <c r="X656" s="14" t="n">
        <v>45.91</v>
      </c>
      <c r="Y656" s="14">
        <f>ROUND(MIN(100, (X656/69.91)*100), 2)</f>
        <v/>
      </c>
    </row>
    <row r="657">
      <c r="A657" s="10" t="n">
        <v>4</v>
      </c>
      <c r="B657" s="10" t="n">
        <v>653</v>
      </c>
      <c r="C657" s="10" t="n">
        <v>3653</v>
      </c>
      <c r="D657" s="10" t="inlineStr">
        <is>
          <t>1381600001</t>
        </is>
      </c>
      <c r="E657" s="26" t="inlineStr">
        <is>
          <t>National Capital Region (NCR)</t>
        </is>
      </c>
      <c r="F657" s="26" t="inlineStr">
        <is>
          <t>Third District (Not a Province)</t>
        </is>
      </c>
      <c r="G657" s="26" t="inlineStr">
        <is>
          <t>City of Valenzuela</t>
        </is>
      </c>
      <c r="H657" s="26" t="inlineStr">
        <is>
          <t>Arkong Bato</t>
        </is>
      </c>
      <c r="I657" s="27" t="n">
        <v>14.698848</v>
      </c>
      <c r="J657" s="27" t="n">
        <v>120.949259</v>
      </c>
      <c r="K657" s="10" t="inlineStr">
        <is>
          <t>U</t>
        </is>
      </c>
      <c r="L657" s="12" t="n">
        <v>11520</v>
      </c>
      <c r="M657" s="14" t="n">
        <v>3.5</v>
      </c>
      <c r="N657" s="12">
        <f>ROUND(L657/M657, 0)</f>
        <v/>
      </c>
      <c r="O657" s="12">
        <f>ROUND(N657*'Methodology &amp; Assumptions'!$B$5, 0)</f>
        <v/>
      </c>
      <c r="P657" s="10" t="inlineStr">
        <is>
          <t>Single Carrier (Band n50, 100MHz TDD)</t>
        </is>
      </c>
      <c r="Q657" s="13">
        <f>ROUNDUP(O657/'Methodology &amp; Assumptions'!$B$6, 0)</f>
        <v/>
      </c>
      <c r="R657" s="13" t="n">
        <v>1</v>
      </c>
      <c r="S657" s="14" t="n">
        <v>1.58</v>
      </c>
      <c r="T657" s="14" t="n">
        <v>0.51</v>
      </c>
      <c r="U657" s="26">
        <f>IF(X657&gt;='Methodology &amp; Assumptions'!$B$7, "Tier 1 Critical GIDA (Score ≥ 50.0)", IF(X657&gt;='Methodology &amp; Assumptions'!$B$8, "Tier 2 High GIDA (Score 40.0–49.9)", "Tier 3 Moderate GIDA (Score &lt; 40.0)"))</f>
        <v/>
      </c>
      <c r="V657" s="26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W657" s="28" t="n">
        <v>0.109</v>
      </c>
      <c r="X657" s="14" t="n">
        <v>45.89</v>
      </c>
      <c r="Y657" s="14">
        <f>ROUND(MIN(100, (X657/69.91)*100), 2)</f>
        <v/>
      </c>
    </row>
    <row r="658">
      <c r="A658" s="10" t="n">
        <v>4</v>
      </c>
      <c r="B658" s="10" t="n">
        <v>654</v>
      </c>
      <c r="C658" s="10" t="n">
        <v>3654</v>
      </c>
      <c r="D658" s="10" t="inlineStr">
        <is>
          <t>1907004014</t>
        </is>
      </c>
      <c r="E658" s="26" t="inlineStr">
        <is>
          <t>Bangsamoro Autonomous Region In Muslim Mindanao (BARMM)</t>
        </is>
      </c>
      <c r="F658" s="26" t="inlineStr">
        <is>
          <t>Tawi-Tawi</t>
        </is>
      </c>
      <c r="G658" s="26" t="inlineStr">
        <is>
          <t>Simunul</t>
        </is>
      </c>
      <c r="H658" s="26" t="inlineStr">
        <is>
          <t>Timundon</t>
        </is>
      </c>
      <c r="I658" s="27" t="n">
        <v>17.255833</v>
      </c>
      <c r="J658" s="27" t="n">
        <v>122.229877</v>
      </c>
      <c r="K658" s="10" t="inlineStr">
        <is>
          <t>R</t>
        </is>
      </c>
      <c r="L658" s="12" t="n">
        <v>5264</v>
      </c>
      <c r="M658" s="14" t="n">
        <v>5.8</v>
      </c>
      <c r="N658" s="12">
        <f>ROUND(L658/M658, 0)</f>
        <v/>
      </c>
      <c r="O658" s="12">
        <f>ROUND(N658*'Methodology &amp; Assumptions'!$B$5, 0)</f>
        <v/>
      </c>
      <c r="P658" s="10" t="inlineStr">
        <is>
          <t>Single Carrier (Band n50, 100MHz TDD)</t>
        </is>
      </c>
      <c r="Q658" s="13">
        <f>ROUNDUP(O658/'Methodology &amp; Assumptions'!$B$6, 0)</f>
        <v/>
      </c>
      <c r="R658" s="13" t="n">
        <v>1</v>
      </c>
      <c r="S658" s="14" t="n">
        <v>29.57</v>
      </c>
      <c r="T658" s="14" t="n">
        <v>34.43</v>
      </c>
      <c r="U658" s="26">
        <f>IF(X658&gt;='Methodology &amp; Assumptions'!$B$7, "Tier 1 Critical GIDA (Score ≥ 50.0)", IF(X658&gt;='Methodology &amp; Assumptions'!$B$8, "Tier 2 High GIDA (Score 40.0–49.9)", "Tier 3 Moderate GIDA (Score &lt; 40.0)"))</f>
        <v/>
      </c>
      <c r="V658" s="26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W658" s="28" t="n">
        <v>0.11</v>
      </c>
      <c r="X658" s="14" t="n">
        <v>45.89</v>
      </c>
      <c r="Y658" s="14">
        <f>ROUND(MIN(100, (X658/69.91)*100), 2)</f>
        <v/>
      </c>
    </row>
    <row r="659">
      <c r="A659" s="10" t="n">
        <v>4</v>
      </c>
      <c r="B659" s="10" t="n">
        <v>655</v>
      </c>
      <c r="C659" s="10" t="n">
        <v>3655</v>
      </c>
      <c r="D659" s="10" t="inlineStr">
        <is>
          <t>1108202005</t>
        </is>
      </c>
      <c r="E659" s="26" t="inlineStr">
        <is>
          <t>Region XI (Davao Region)</t>
        </is>
      </c>
      <c r="F659" s="26" t="inlineStr">
        <is>
          <t>Davao de Oro</t>
        </is>
      </c>
      <c r="G659" s="26" t="inlineStr">
        <is>
          <t>Laak</t>
        </is>
      </c>
      <c r="H659" s="26" t="inlineStr">
        <is>
          <t>Il Papa</t>
        </is>
      </c>
      <c r="I659" s="27" t="n">
        <v>7.997952</v>
      </c>
      <c r="J659" s="27" t="n">
        <v>125.83139</v>
      </c>
      <c r="K659" s="10" t="inlineStr">
        <is>
          <t>R</t>
        </is>
      </c>
      <c r="L659" s="12" t="n">
        <v>1214</v>
      </c>
      <c r="M659" s="14" t="n">
        <v>3.7</v>
      </c>
      <c r="N659" s="12">
        <f>ROUND(L659/M659, 0)</f>
        <v/>
      </c>
      <c r="O659" s="12">
        <f>ROUND(N659*'Methodology &amp; Assumptions'!$B$5, 0)</f>
        <v/>
      </c>
      <c r="P659" s="10" t="inlineStr">
        <is>
          <t>Single Carrier (Band n50, 100MHz TDD)</t>
        </is>
      </c>
      <c r="Q659" s="13">
        <f>ROUNDUP(O659/'Methodology &amp; Assumptions'!$B$6, 0)</f>
        <v/>
      </c>
      <c r="R659" s="13" t="n">
        <v>1</v>
      </c>
      <c r="S659" s="14" t="n">
        <v>26.04</v>
      </c>
      <c r="T659" s="14" t="n">
        <v>23.91</v>
      </c>
      <c r="U659" s="26">
        <f>IF(X659&gt;='Methodology &amp; Assumptions'!$B$7, "Tier 1 Critical GIDA (Score ≥ 50.0)", IF(X659&gt;='Methodology &amp; Assumptions'!$B$8, "Tier 2 High GIDA (Score 40.0–49.9)", "Tier 3 Moderate GIDA (Score &lt; 40.0)"))</f>
        <v/>
      </c>
      <c r="V659" s="26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W659" s="28" t="n">
        <v>0.174</v>
      </c>
      <c r="X659" s="14" t="n">
        <v>45.88</v>
      </c>
      <c r="Y659" s="14">
        <f>ROUND(MIN(100, (X659/69.91)*100), 2)</f>
        <v/>
      </c>
    </row>
    <row r="660">
      <c r="A660" s="10" t="n">
        <v>4</v>
      </c>
      <c r="B660" s="10" t="n">
        <v>656</v>
      </c>
      <c r="C660" s="10" t="n">
        <v>3656</v>
      </c>
      <c r="D660" s="10" t="inlineStr">
        <is>
          <t>0403425028</t>
        </is>
      </c>
      <c r="E660" s="26" t="inlineStr">
        <is>
          <t>Region IV-A (CALABARZON)</t>
        </is>
      </c>
      <c r="F660" s="26" t="inlineStr">
        <is>
          <t>Laguna</t>
        </is>
      </c>
      <c r="G660" s="26" t="inlineStr">
        <is>
          <t>City of San Pedro</t>
        </is>
      </c>
      <c r="H660" s="26" t="inlineStr">
        <is>
          <t>Rosario</t>
        </is>
      </c>
      <c r="I660" s="27" t="n">
        <v>14.238313</v>
      </c>
      <c r="J660" s="27" t="n">
        <v>121.279706</v>
      </c>
      <c r="K660" s="10" t="inlineStr">
        <is>
          <t>U</t>
        </is>
      </c>
      <c r="L660" s="12" t="n">
        <v>6479</v>
      </c>
      <c r="M660" s="14" t="n">
        <v>3.3</v>
      </c>
      <c r="N660" s="12">
        <f>ROUND(L660/M660, 0)</f>
        <v/>
      </c>
      <c r="O660" s="12">
        <f>ROUND(N660*'Methodology &amp; Assumptions'!$B$5, 0)</f>
        <v/>
      </c>
      <c r="P660" s="10" t="inlineStr">
        <is>
          <t>Single Carrier (Band n50, 100MHz TDD)</t>
        </is>
      </c>
      <c r="Q660" s="13">
        <f>ROUNDUP(O660/'Methodology &amp; Assumptions'!$B$6, 0)</f>
        <v/>
      </c>
      <c r="R660" s="13" t="n">
        <v>1</v>
      </c>
      <c r="S660" s="14" t="n">
        <v>6.38</v>
      </c>
      <c r="T660" s="14" t="n">
        <v>6.52</v>
      </c>
      <c r="U660" s="26">
        <f>IF(X660&gt;='Methodology &amp; Assumptions'!$B$7, "Tier 1 Critical GIDA (Score ≥ 50.0)", IF(X660&gt;='Methodology &amp; Assumptions'!$B$8, "Tier 2 High GIDA (Score 40.0–49.9)", "Tier 3 Moderate GIDA (Score &lt; 40.0)"))</f>
        <v/>
      </c>
      <c r="V660" s="26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W660" s="28" t="n">
        <v>0.07200000000000001</v>
      </c>
      <c r="X660" s="14" t="n">
        <v>45.86</v>
      </c>
      <c r="Y660" s="14">
        <f>ROUND(MIN(100, (X660/69.91)*100), 2)</f>
        <v/>
      </c>
    </row>
    <row r="661">
      <c r="A661" s="10" t="n">
        <v>4</v>
      </c>
      <c r="B661" s="10" t="n">
        <v>657</v>
      </c>
      <c r="C661" s="10" t="n">
        <v>3657</v>
      </c>
      <c r="D661" s="10" t="inlineStr">
        <is>
          <t>0402106030</t>
        </is>
      </c>
      <c r="E661" s="26" t="inlineStr">
        <is>
          <t>Region IV-A (CALABARZON)</t>
        </is>
      </c>
      <c r="F661" s="26" t="inlineStr">
        <is>
          <t>Cavite</t>
        </is>
      </c>
      <c r="G661" s="26" t="inlineStr">
        <is>
          <t>City of Dasmariñas</t>
        </is>
      </c>
      <c r="H661" s="26" t="inlineStr">
        <is>
          <t>San Isidro Labrador I</t>
        </is>
      </c>
      <c r="I661" s="27" t="n">
        <v>14.340722</v>
      </c>
      <c r="J661" s="27" t="n">
        <v>120.950604</v>
      </c>
      <c r="K661" s="10" t="inlineStr">
        <is>
          <t>R</t>
        </is>
      </c>
      <c r="L661" s="12" t="n">
        <v>5089</v>
      </c>
      <c r="M661" s="14" t="n">
        <v>3.4</v>
      </c>
      <c r="N661" s="12">
        <f>ROUND(L661/M661, 0)</f>
        <v/>
      </c>
      <c r="O661" s="12">
        <f>ROUND(N661*'Methodology &amp; Assumptions'!$B$5, 0)</f>
        <v/>
      </c>
      <c r="P661" s="10" t="inlineStr">
        <is>
          <t>Single Carrier (Band n50, 100MHz TDD)</t>
        </is>
      </c>
      <c r="Q661" s="13">
        <f>ROUNDUP(O661/'Methodology &amp; Assumptions'!$B$6, 0)</f>
        <v/>
      </c>
      <c r="R661" s="13" t="n">
        <v>1</v>
      </c>
      <c r="S661" s="14" t="n">
        <v>1.61</v>
      </c>
      <c r="T661" s="14" t="n">
        <v>4.35</v>
      </c>
      <c r="U661" s="26">
        <f>IF(X661&gt;='Methodology &amp; Assumptions'!$B$7, "Tier 1 Critical GIDA (Score ≥ 50.0)", IF(X661&gt;='Methodology &amp; Assumptions'!$B$8, "Tier 2 High GIDA (Score 40.0–49.9)", "Tier 3 Moderate GIDA (Score &lt; 40.0)"))</f>
        <v/>
      </c>
      <c r="V661" s="26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W661" s="28" t="n">
        <v>0.07200000000000001</v>
      </c>
      <c r="X661" s="14" t="n">
        <v>45.85</v>
      </c>
      <c r="Y661" s="14">
        <f>ROUND(MIN(100, (X661/69.91)*100), 2)</f>
        <v/>
      </c>
    </row>
    <row r="662">
      <c r="A662" s="10" t="n">
        <v>4</v>
      </c>
      <c r="B662" s="10" t="n">
        <v>658</v>
      </c>
      <c r="C662" s="10" t="n">
        <v>3658</v>
      </c>
      <c r="D662" s="10" t="inlineStr">
        <is>
          <t>1408102012</t>
        </is>
      </c>
      <c r="E662" s="26" t="inlineStr">
        <is>
          <t>Cordillera Administrative Region (CAR)</t>
        </is>
      </c>
      <c r="F662" s="26" t="inlineStr">
        <is>
          <t>Apayao</t>
        </is>
      </c>
      <c r="G662" s="26" t="inlineStr">
        <is>
          <t>Conner</t>
        </is>
      </c>
      <c r="H662" s="26" t="inlineStr">
        <is>
          <t>Nabuangan</t>
        </is>
      </c>
      <c r="I662" s="27" t="n">
        <v>17.72575</v>
      </c>
      <c r="J662" s="27" t="n">
        <v>121.18552</v>
      </c>
      <c r="K662" s="10" t="inlineStr">
        <is>
          <t>R</t>
        </is>
      </c>
      <c r="L662" s="12" t="n">
        <v>588</v>
      </c>
      <c r="M662" s="14" t="n">
        <v>4.2</v>
      </c>
      <c r="N662" s="12">
        <f>ROUND(L662/M662, 0)</f>
        <v/>
      </c>
      <c r="O662" s="12">
        <f>ROUND(N662*'Methodology &amp; Assumptions'!$B$5, 0)</f>
        <v/>
      </c>
      <c r="P662" s="10" t="inlineStr">
        <is>
          <t>Single Carrier (Band n50, 100MHz TDD)</t>
        </is>
      </c>
      <c r="Q662" s="13">
        <f>ROUNDUP(O662/'Methodology &amp; Assumptions'!$B$6, 0)</f>
        <v/>
      </c>
      <c r="R662" s="13" t="n">
        <v>1</v>
      </c>
      <c r="S662" s="14" t="n">
        <v>16.68</v>
      </c>
      <c r="T662" s="14" t="n">
        <v>13.99</v>
      </c>
      <c r="U662" s="26">
        <f>IF(X662&gt;='Methodology &amp; Assumptions'!$B$7, "Tier 1 Critical GIDA (Score ≥ 50.0)", IF(X662&gt;='Methodology &amp; Assumptions'!$B$8, "Tier 2 High GIDA (Score 40.0–49.9)", "Tier 3 Moderate GIDA (Score &lt; 40.0)"))</f>
        <v/>
      </c>
      <c r="V662" s="26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W662" s="28" t="n">
        <v>0.109</v>
      </c>
      <c r="X662" s="14" t="n">
        <v>45.84</v>
      </c>
      <c r="Y662" s="14">
        <f>ROUND(MIN(100, (X662/69.91)*100), 2)</f>
        <v/>
      </c>
    </row>
    <row r="663">
      <c r="A663" s="10" t="n">
        <v>4</v>
      </c>
      <c r="B663" s="10" t="n">
        <v>659</v>
      </c>
      <c r="C663" s="10" t="n">
        <v>3659</v>
      </c>
      <c r="D663" s="10" t="inlineStr">
        <is>
          <t>PH0003659</t>
        </is>
      </c>
      <c r="E663" s="26" t="inlineStr">
        <is>
          <t>NCR</t>
        </is>
      </c>
      <c r="F663" s="26" t="inlineStr">
        <is>
          <t>Metro Manila</t>
        </is>
      </c>
      <c r="G663" s="26" t="inlineStr">
        <is>
          <t>Caloocan City</t>
        </is>
      </c>
      <c r="H663" s="26" t="inlineStr">
        <is>
          <t>Barangay 176</t>
        </is>
      </c>
      <c r="I663" s="27" t="n">
        <v>11.345697</v>
      </c>
      <c r="J663" s="27" t="n">
        <v>121.705295</v>
      </c>
      <c r="K663" s="10" t="inlineStr">
        <is>
          <t>R</t>
        </is>
      </c>
      <c r="L663" s="12" t="n">
        <v>2279</v>
      </c>
      <c r="M663" s="14" t="n">
        <v>3.8</v>
      </c>
      <c r="N663" s="12">
        <f>ROUND(L663/M663, 0)</f>
        <v/>
      </c>
      <c r="O663" s="12">
        <f>ROUND(N663*'Methodology &amp; Assumptions'!$B$5, 0)</f>
        <v/>
      </c>
      <c r="P663" s="10" t="inlineStr">
        <is>
          <t>Single Carrier (Band n50, 100MHz TDD)</t>
        </is>
      </c>
      <c r="Q663" s="13">
        <f>ROUNDUP(O663/'Methodology &amp; Assumptions'!$B$6, 0)</f>
        <v/>
      </c>
      <c r="R663" s="13" t="n">
        <v>1</v>
      </c>
      <c r="S663" s="14" t="n">
        <v>69.66</v>
      </c>
      <c r="T663" s="14" t="n">
        <v>66.27</v>
      </c>
      <c r="U663" s="26">
        <f>IF(X663&gt;='Methodology &amp; Assumptions'!$B$7, "Tier 1 Critical GIDA (Score ≥ 50.0)", IF(X663&gt;='Methodology &amp; Assumptions'!$B$8, "Tier 2 High GIDA (Score 40.0–49.9)", "Tier 3 Moderate GIDA (Score &lt; 40.0)"))</f>
        <v/>
      </c>
      <c r="V663" s="26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W663" s="28" t="n">
        <v>0.011</v>
      </c>
      <c r="X663" s="14" t="n">
        <v>45.84</v>
      </c>
      <c r="Y663" s="14">
        <f>ROUND(MIN(100, (X663/69.91)*100), 2)</f>
        <v/>
      </c>
    </row>
    <row r="664">
      <c r="A664" s="10" t="n">
        <v>4</v>
      </c>
      <c r="B664" s="10" t="n">
        <v>660</v>
      </c>
      <c r="C664" s="10" t="n">
        <v>3660</v>
      </c>
      <c r="D664" s="10" t="inlineStr">
        <is>
          <t>PH0003660</t>
        </is>
      </c>
      <c r="E664" s="26" t="inlineStr">
        <is>
          <t>IV-A</t>
        </is>
      </c>
      <c r="F664" s="26" t="inlineStr">
        <is>
          <t>Cavite</t>
        </is>
      </c>
      <c r="G664" s="26" t="inlineStr">
        <is>
          <t>Cavite City</t>
        </is>
      </c>
      <c r="H664" s="26" t="inlineStr">
        <is>
          <t>Barangay 56</t>
        </is>
      </c>
      <c r="I664" s="27" t="n">
        <v>14.484115</v>
      </c>
      <c r="J664" s="27" t="n">
        <v>120.90312</v>
      </c>
      <c r="K664" s="10" t="inlineStr">
        <is>
          <t>R</t>
        </is>
      </c>
      <c r="L664" s="12" t="n">
        <v>2316</v>
      </c>
      <c r="M664" s="14" t="n">
        <v>3.4</v>
      </c>
      <c r="N664" s="12">
        <f>ROUND(L664/M664, 0)</f>
        <v/>
      </c>
      <c r="O664" s="12">
        <f>ROUND(N664*'Methodology &amp; Assumptions'!$B$5, 0)</f>
        <v/>
      </c>
      <c r="P664" s="10" t="inlineStr">
        <is>
          <t>Single Carrier (Band n50, 100MHz TDD)</t>
        </is>
      </c>
      <c r="Q664" s="13">
        <f>ROUNDUP(O664/'Methodology &amp; Assumptions'!$B$6, 0)</f>
        <v/>
      </c>
      <c r="R664" s="13" t="n">
        <v>1</v>
      </c>
      <c r="S664" s="14" t="n">
        <v>1.97</v>
      </c>
      <c r="T664" s="14" t="n">
        <v>4.32</v>
      </c>
      <c r="U664" s="26">
        <f>IF(X664&gt;='Methodology &amp; Assumptions'!$B$7, "Tier 1 Critical GIDA (Score ≥ 50.0)", IF(X664&gt;='Methodology &amp; Assumptions'!$B$8, "Tier 2 High GIDA (Score 40.0–49.9)", "Tier 3 Moderate GIDA (Score &lt; 40.0)"))</f>
        <v/>
      </c>
      <c r="V664" s="26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W664" s="28" t="n">
        <v>0.07200000000000001</v>
      </c>
      <c r="X664" s="14" t="n">
        <v>45.83</v>
      </c>
      <c r="Y664" s="14">
        <f>ROUND(MIN(100, (X664/69.91)*100), 2)</f>
        <v/>
      </c>
    </row>
    <row r="665">
      <c r="A665" s="10" t="n">
        <v>4</v>
      </c>
      <c r="B665" s="10" t="n">
        <v>661</v>
      </c>
      <c r="C665" s="10" t="n">
        <v>3661</v>
      </c>
      <c r="D665" s="10" t="inlineStr">
        <is>
          <t>0403405042</t>
        </is>
      </c>
      <c r="E665" s="26" t="inlineStr">
        <is>
          <t>Region IV-A (CALABARZON)</t>
        </is>
      </c>
      <c r="F665" s="26" t="inlineStr">
        <is>
          <t>Laguna</t>
        </is>
      </c>
      <c r="G665" s="26" t="inlineStr">
        <is>
          <t>City of Calamba</t>
        </is>
      </c>
      <c r="H665" s="26" t="inlineStr">
        <is>
          <t>Barangay 5</t>
        </is>
      </c>
      <c r="I665" s="27" t="n">
        <v>14.210353</v>
      </c>
      <c r="J665" s="27" t="n">
        <v>121.167563</v>
      </c>
      <c r="K665" s="10" t="inlineStr">
        <is>
          <t>U</t>
        </is>
      </c>
      <c r="L665" s="12" t="n">
        <v>6421</v>
      </c>
      <c r="M665" s="14" t="n">
        <v>3.3</v>
      </c>
      <c r="N665" s="12">
        <f>ROUND(L665/M665, 0)</f>
        <v/>
      </c>
      <c r="O665" s="12">
        <f>ROUND(N665*'Methodology &amp; Assumptions'!$B$5, 0)</f>
        <v/>
      </c>
      <c r="P665" s="10" t="inlineStr">
        <is>
          <t>Single Carrier (Band n50, 100MHz TDD)</t>
        </is>
      </c>
      <c r="Q665" s="13">
        <f>ROUNDUP(O665/'Methodology &amp; Assumptions'!$B$6, 0)</f>
        <v/>
      </c>
      <c r="R665" s="13" t="n">
        <v>1</v>
      </c>
      <c r="S665" s="14" t="n">
        <v>2.73</v>
      </c>
      <c r="T665" s="14" t="n">
        <v>0.39</v>
      </c>
      <c r="U665" s="26">
        <f>IF(X665&gt;='Methodology &amp; Assumptions'!$B$7, "Tier 1 Critical GIDA (Score ≥ 50.0)", IF(X665&gt;='Methodology &amp; Assumptions'!$B$8, "Tier 2 High GIDA (Score 40.0–49.9)", "Tier 3 Moderate GIDA (Score &lt; 40.0)"))</f>
        <v/>
      </c>
      <c r="V665" s="26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W665" s="28" t="n">
        <v>0.07200000000000001</v>
      </c>
      <c r="X665" s="14" t="n">
        <v>45.83</v>
      </c>
      <c r="Y665" s="14">
        <f>ROUND(MIN(100, (X665/69.91)*100), 2)</f>
        <v/>
      </c>
    </row>
    <row r="666">
      <c r="A666" s="10" t="n">
        <v>4</v>
      </c>
      <c r="B666" s="10" t="n">
        <v>662</v>
      </c>
      <c r="C666" s="10" t="n">
        <v>3662</v>
      </c>
      <c r="D666" s="10" t="inlineStr">
        <is>
          <t>0402104014</t>
        </is>
      </c>
      <c r="E666" s="26" t="inlineStr">
        <is>
          <t>Region IV-A (CALABARZON)</t>
        </is>
      </c>
      <c r="F666" s="26" t="inlineStr">
        <is>
          <t>Cavite</t>
        </is>
      </c>
      <c r="G666" s="26" t="inlineStr">
        <is>
          <t>Carmona</t>
        </is>
      </c>
      <c r="H666" s="26" t="inlineStr">
        <is>
          <t>Barangay 3</t>
        </is>
      </c>
      <c r="I666" s="27" t="n">
        <v>14.307186</v>
      </c>
      <c r="J666" s="27" t="n">
        <v>121.051803</v>
      </c>
      <c r="K666" s="10" t="inlineStr">
        <is>
          <t>R</t>
        </is>
      </c>
      <c r="L666" s="12" t="n">
        <v>916</v>
      </c>
      <c r="M666" s="14" t="n">
        <v>3.4</v>
      </c>
      <c r="N666" s="12">
        <f>ROUND(L666/M666, 0)</f>
        <v/>
      </c>
      <c r="O666" s="12">
        <f>ROUND(N666*'Methodology &amp; Assumptions'!$B$5, 0)</f>
        <v/>
      </c>
      <c r="P666" s="10" t="inlineStr">
        <is>
          <t>Single Carrier (Band n50, 100MHz TDD)</t>
        </is>
      </c>
      <c r="Q666" s="13">
        <f>ROUNDUP(O666/'Methodology &amp; Assumptions'!$B$6, 0)</f>
        <v/>
      </c>
      <c r="R666" s="13" t="n">
        <v>1</v>
      </c>
      <c r="S666" s="14" t="n">
        <v>0.45</v>
      </c>
      <c r="T666" s="14" t="n">
        <v>0.46</v>
      </c>
      <c r="U666" s="26">
        <f>IF(X666&gt;='Methodology &amp; Assumptions'!$B$7, "Tier 1 Critical GIDA (Score ≥ 50.0)", IF(X666&gt;='Methodology &amp; Assumptions'!$B$8, "Tier 2 High GIDA (Score 40.0–49.9)", "Tier 3 Moderate GIDA (Score &lt; 40.0)"))</f>
        <v/>
      </c>
      <c r="V666" s="26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W666" s="28" t="n">
        <v>0.07200000000000001</v>
      </c>
      <c r="X666" s="14" t="n">
        <v>45.83</v>
      </c>
      <c r="Y666" s="14">
        <f>ROUND(MIN(100, (X666/69.91)*100), 2)</f>
        <v/>
      </c>
    </row>
    <row r="667">
      <c r="A667" s="10" t="n">
        <v>4</v>
      </c>
      <c r="B667" s="10" t="n">
        <v>663</v>
      </c>
      <c r="C667" s="10" t="n">
        <v>3663</v>
      </c>
      <c r="D667" s="10" t="inlineStr">
        <is>
          <t>0701248002</t>
        </is>
      </c>
      <c r="E667" s="26" t="inlineStr">
        <is>
          <t>Region VII (Central Visayas)</t>
        </is>
      </c>
      <c r="F667" s="26" t="inlineStr">
        <is>
          <t>Bohol</t>
        </is>
      </c>
      <c r="G667" s="26" t="inlineStr">
        <is>
          <t>Bien Unido</t>
        </is>
      </c>
      <c r="H667" s="26" t="inlineStr">
        <is>
          <t>Bilangbilangan Diot</t>
        </is>
      </c>
      <c r="I667" s="27" t="n">
        <v>10.243694</v>
      </c>
      <c r="J667" s="27" t="n">
        <v>124.465632</v>
      </c>
      <c r="K667" s="10" t="inlineStr">
        <is>
          <t>R</t>
        </is>
      </c>
      <c r="L667" s="12" t="n">
        <v>745</v>
      </c>
      <c r="M667" s="14" t="n">
        <v>4</v>
      </c>
      <c r="N667" s="12">
        <f>ROUND(L667/M667, 0)</f>
        <v/>
      </c>
      <c r="O667" s="12">
        <f>ROUND(N667*'Methodology &amp; Assumptions'!$B$5, 0)</f>
        <v/>
      </c>
      <c r="P667" s="10" t="inlineStr">
        <is>
          <t>Single Carrier (Band n50, 100MHz TDD)</t>
        </is>
      </c>
      <c r="Q667" s="13">
        <f>ROUNDUP(O667/'Methodology &amp; Assumptions'!$B$6, 0)</f>
        <v/>
      </c>
      <c r="R667" s="13" t="n">
        <v>1</v>
      </c>
      <c r="S667" s="14" t="n">
        <v>41.66</v>
      </c>
      <c r="T667" s="14" t="n">
        <v>33.43</v>
      </c>
      <c r="U667" s="26">
        <f>IF(X667&gt;='Methodology &amp; Assumptions'!$B$7, "Tier 1 Critical GIDA (Score ≥ 50.0)", IF(X667&gt;='Methodology &amp; Assumptions'!$B$8, "Tier 2 High GIDA (Score 40.0–49.9)", "Tier 3 Moderate GIDA (Score &lt; 40.0)"))</f>
        <v/>
      </c>
      <c r="V667" s="26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W667" s="28" t="n">
        <v>0.237</v>
      </c>
      <c r="X667" s="14" t="n">
        <v>45.82</v>
      </c>
      <c r="Y667" s="14">
        <f>ROUND(MIN(100, (X667/69.91)*100), 2)</f>
        <v/>
      </c>
    </row>
    <row r="668">
      <c r="A668" s="10" t="n">
        <v>4</v>
      </c>
      <c r="B668" s="10" t="n">
        <v>664</v>
      </c>
      <c r="C668" s="10" t="n">
        <v>3664</v>
      </c>
      <c r="D668" s="10" t="inlineStr">
        <is>
          <t>PH0003664</t>
        </is>
      </c>
      <c r="E668" s="26" t="inlineStr">
        <is>
          <t>I</t>
        </is>
      </c>
      <c r="F668" s="26" t="inlineStr">
        <is>
          <t>Ilocos Norte</t>
        </is>
      </c>
      <c r="G668" s="26" t="inlineStr">
        <is>
          <t>Laoag City</t>
        </is>
      </c>
      <c r="H668" s="26" t="inlineStr">
        <is>
          <t>Bgy. No. 19, Santa Marcela (Pob.)</t>
        </is>
      </c>
      <c r="I668" s="27" t="n">
        <v>18.192704</v>
      </c>
      <c r="J668" s="27" t="n">
        <v>120.597111</v>
      </c>
      <c r="K668" s="10" t="inlineStr">
        <is>
          <t>R</t>
        </is>
      </c>
      <c r="L668" s="12" t="n">
        <v>2233</v>
      </c>
      <c r="M668" s="14" t="n">
        <v>3.7</v>
      </c>
      <c r="N668" s="12">
        <f>ROUND(L668/M668, 0)</f>
        <v/>
      </c>
      <c r="O668" s="12">
        <f>ROUND(N668*'Methodology &amp; Assumptions'!$B$5, 0)</f>
        <v/>
      </c>
      <c r="P668" s="10" t="inlineStr">
        <is>
          <t>Single Carrier (Band n50, 100MHz TDD)</t>
        </is>
      </c>
      <c r="Q668" s="13">
        <f>ROUNDUP(O668/'Methodology &amp; Assumptions'!$B$6, 0)</f>
        <v/>
      </c>
      <c r="R668" s="13" t="n">
        <v>1</v>
      </c>
      <c r="S668" s="14" t="n">
        <v>1.95</v>
      </c>
      <c r="T668" s="14" t="n">
        <v>0.64</v>
      </c>
      <c r="U668" s="26">
        <f>IF(X668&gt;='Methodology &amp; Assumptions'!$B$7, "Tier 1 Critical GIDA (Score ≥ 50.0)", IF(X668&gt;='Methodology &amp; Assumptions'!$B$8, "Tier 2 High GIDA (Score 40.0–49.9)", "Tier 3 Moderate GIDA (Score &lt; 40.0)"))</f>
        <v/>
      </c>
      <c r="V668" s="26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W668" s="28" t="n">
        <v>0.083</v>
      </c>
      <c r="X668" s="14" t="n">
        <v>45.82</v>
      </c>
      <c r="Y668" s="14">
        <f>ROUND(MIN(100, (X668/69.91)*100), 2)</f>
        <v/>
      </c>
    </row>
    <row r="669">
      <c r="A669" s="10" t="n">
        <v>4</v>
      </c>
      <c r="B669" s="10" t="n">
        <v>665</v>
      </c>
      <c r="C669" s="10" t="n">
        <v>3665</v>
      </c>
      <c r="D669" s="10" t="inlineStr">
        <is>
          <t>PH0003665</t>
        </is>
      </c>
      <c r="E669" s="26" t="inlineStr">
        <is>
          <t>VIII</t>
        </is>
      </c>
      <c r="F669" s="26" t="inlineStr">
        <is>
          <t>Samar (Western Samar)</t>
        </is>
      </c>
      <c r="G669" s="26" t="inlineStr">
        <is>
          <t>Catbalogan City</t>
        </is>
      </c>
      <c r="H669" s="26" t="inlineStr">
        <is>
          <t>Poblacion 13</t>
        </is>
      </c>
      <c r="I669" s="27" t="n">
        <v>12.865153</v>
      </c>
      <c r="J669" s="27" t="n">
        <v>121.780181</v>
      </c>
      <c r="K669" s="10" t="inlineStr">
        <is>
          <t>R</t>
        </is>
      </c>
      <c r="L669" s="12" t="n">
        <v>2229</v>
      </c>
      <c r="M669" s="14" t="n">
        <v>4.1</v>
      </c>
      <c r="N669" s="12">
        <f>ROUND(L669/M669, 0)</f>
        <v/>
      </c>
      <c r="O669" s="12">
        <f>ROUND(N669*'Methodology &amp; Assumptions'!$B$5, 0)</f>
        <v/>
      </c>
      <c r="P669" s="10" t="inlineStr">
        <is>
          <t>Single Carrier (Band n50, 100MHz TDD)</t>
        </is>
      </c>
      <c r="Q669" s="13">
        <f>ROUNDUP(O669/'Methodology &amp; Assumptions'!$B$6, 0)</f>
        <v/>
      </c>
      <c r="R669" s="13" t="n">
        <v>1</v>
      </c>
      <c r="S669" s="14" t="n">
        <v>34.43</v>
      </c>
      <c r="T669" s="14" t="n">
        <v>33.92</v>
      </c>
      <c r="U669" s="26">
        <f>IF(X669&gt;='Methodology &amp; Assumptions'!$B$7, "Tier 1 Critical GIDA (Score ≥ 50.0)", IF(X669&gt;='Methodology &amp; Assumptions'!$B$8, "Tier 2 High GIDA (Score 40.0–49.9)", "Tier 3 Moderate GIDA (Score &lt; 40.0)"))</f>
        <v/>
      </c>
      <c r="V669" s="26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W669" s="28" t="n">
        <v>0.222</v>
      </c>
      <c r="X669" s="14" t="n">
        <v>45.82</v>
      </c>
      <c r="Y669" s="14">
        <f>ROUND(MIN(100, (X669/69.91)*100), 2)</f>
        <v/>
      </c>
    </row>
    <row r="670">
      <c r="A670" s="10" t="n">
        <v>4</v>
      </c>
      <c r="B670" s="10" t="n">
        <v>666</v>
      </c>
      <c r="C670" s="10" t="n">
        <v>3666</v>
      </c>
      <c r="D670" s="10" t="inlineStr">
        <is>
          <t>1004318013</t>
        </is>
      </c>
      <c r="E670" s="26" t="inlineStr">
        <is>
          <t>Region X (Northern Mindanao)</t>
        </is>
      </c>
      <c r="F670" s="26" t="inlineStr">
        <is>
          <t>Misamis Oriental</t>
        </is>
      </c>
      <c r="G670" s="26" t="inlineStr">
        <is>
          <t>Manticao</t>
        </is>
      </c>
      <c r="H670" s="26" t="inlineStr">
        <is>
          <t>Upper Malubog</t>
        </is>
      </c>
      <c r="I670" s="27" t="n">
        <v>8.364153</v>
      </c>
      <c r="J670" s="27" t="n">
        <v>124.403929</v>
      </c>
      <c r="K670" s="10" t="inlineStr">
        <is>
          <t>R</t>
        </is>
      </c>
      <c r="L670" s="12" t="n">
        <v>677</v>
      </c>
      <c r="M670" s="14" t="n">
        <v>3.9</v>
      </c>
      <c r="N670" s="12">
        <f>ROUND(L670/M670, 0)</f>
        <v/>
      </c>
      <c r="O670" s="12">
        <f>ROUND(N670*'Methodology &amp; Assumptions'!$B$5, 0)</f>
        <v/>
      </c>
      <c r="P670" s="10" t="inlineStr">
        <is>
          <t>Single Carrier (Band n50, 100MHz TDD)</t>
        </is>
      </c>
      <c r="Q670" s="13">
        <f>ROUNDUP(O670/'Methodology &amp; Assumptions'!$B$6, 0)</f>
        <v/>
      </c>
      <c r="R670" s="13" t="n">
        <v>1</v>
      </c>
      <c r="S670" s="14" t="n">
        <v>12.3</v>
      </c>
      <c r="T670" s="14" t="n">
        <v>12.86</v>
      </c>
      <c r="U670" s="26">
        <f>IF(X670&gt;='Methodology &amp; Assumptions'!$B$7, "Tier 1 Critical GIDA (Score ≥ 50.0)", IF(X670&gt;='Methodology &amp; Assumptions'!$B$8, "Tier 2 High GIDA (Score 40.0–49.9)", "Tier 3 Moderate GIDA (Score &lt; 40.0)"))</f>
        <v/>
      </c>
      <c r="V670" s="26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W670" s="28" t="n">
        <v>0.174</v>
      </c>
      <c r="X670" s="14" t="n">
        <v>45.81</v>
      </c>
      <c r="Y670" s="14">
        <f>ROUND(MIN(100, (X670/69.91)*100), 2)</f>
        <v/>
      </c>
    </row>
    <row r="671">
      <c r="A671" s="10" t="n">
        <v>4</v>
      </c>
      <c r="B671" s="10" t="n">
        <v>667</v>
      </c>
      <c r="C671" s="10" t="n">
        <v>3667</v>
      </c>
      <c r="D671" s="10" t="inlineStr">
        <is>
          <t>0402104001</t>
        </is>
      </c>
      <c r="E671" s="26" t="inlineStr">
        <is>
          <t>Region IV-A (CALABARZON)</t>
        </is>
      </c>
      <c r="F671" s="26" t="inlineStr">
        <is>
          <t>Cavite</t>
        </is>
      </c>
      <c r="G671" s="26" t="inlineStr">
        <is>
          <t>Carmona</t>
        </is>
      </c>
      <c r="H671" s="26" t="inlineStr">
        <is>
          <t>Bancal</t>
        </is>
      </c>
      <c r="I671" s="27" t="n">
        <v>14.28197</v>
      </c>
      <c r="J671" s="27" t="n">
        <v>121.007246</v>
      </c>
      <c r="K671" s="10" t="inlineStr">
        <is>
          <t>U</t>
        </is>
      </c>
      <c r="L671" s="12" t="n">
        <v>17076</v>
      </c>
      <c r="M671" s="14" t="n">
        <v>3.4</v>
      </c>
      <c r="N671" s="12">
        <f>ROUND(L671/M671, 0)</f>
        <v/>
      </c>
      <c r="O671" s="12">
        <f>ROUND(N671*'Methodology &amp; Assumptions'!$B$5, 0)</f>
        <v/>
      </c>
      <c r="P671" s="10" t="inlineStr">
        <is>
          <t>Single Carrier (Band n50, 100MHz TDD)</t>
        </is>
      </c>
      <c r="Q671" s="13">
        <f>ROUNDUP(O671/'Methodology &amp; Assumptions'!$B$6, 0)</f>
        <v/>
      </c>
      <c r="R671" s="13" t="n">
        <v>1</v>
      </c>
      <c r="S671" s="14" t="n">
        <v>0.57</v>
      </c>
      <c r="T671" s="14" t="n">
        <v>4.49</v>
      </c>
      <c r="U671" s="26">
        <f>IF(X671&gt;='Methodology &amp; Assumptions'!$B$7, "Tier 1 Critical GIDA (Score ≥ 50.0)", IF(X671&gt;='Methodology &amp; Assumptions'!$B$8, "Tier 2 High GIDA (Score 40.0–49.9)", "Tier 3 Moderate GIDA (Score &lt; 40.0)"))</f>
        <v/>
      </c>
      <c r="V671" s="26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W671" s="28" t="n">
        <v>0.07200000000000001</v>
      </c>
      <c r="X671" s="14" t="n">
        <v>45.81</v>
      </c>
      <c r="Y671" s="14">
        <f>ROUND(MIN(100, (X671/69.91)*100), 2)</f>
        <v/>
      </c>
    </row>
    <row r="672">
      <c r="A672" s="10" t="n">
        <v>4</v>
      </c>
      <c r="B672" s="10" t="n">
        <v>668</v>
      </c>
      <c r="C672" s="10" t="n">
        <v>3668</v>
      </c>
      <c r="D672" s="10" t="inlineStr">
        <is>
          <t>0201510028</t>
        </is>
      </c>
      <c r="E672" s="26" t="inlineStr">
        <is>
          <t>Region II (Cagayan Valley)</t>
        </is>
      </c>
      <c r="F672" s="26" t="inlineStr">
        <is>
          <t>Cagayan</t>
        </is>
      </c>
      <c r="G672" s="26" t="inlineStr">
        <is>
          <t>Camalaniugan</t>
        </is>
      </c>
      <c r="H672" s="26" t="inlineStr">
        <is>
          <t>Dammang Sur</t>
        </is>
      </c>
      <c r="I672" s="27" t="n">
        <v>18.248366</v>
      </c>
      <c r="J672" s="27" t="n">
        <v>121.696219</v>
      </c>
      <c r="K672" s="10" t="inlineStr">
        <is>
          <t>R</t>
        </is>
      </c>
      <c r="L672" s="12" t="n">
        <v>264</v>
      </c>
      <c r="M672" s="14" t="n">
        <v>3.9</v>
      </c>
      <c r="N672" s="12">
        <f>ROUND(L672/M672, 0)</f>
        <v/>
      </c>
      <c r="O672" s="12">
        <f>ROUND(N672*'Methodology &amp; Assumptions'!$B$5, 0)</f>
        <v/>
      </c>
      <c r="P672" s="10" t="inlineStr">
        <is>
          <t>Single Carrier (Band n50, 100MHz TDD)</t>
        </is>
      </c>
      <c r="Q672" s="13">
        <f>ROUNDUP(O672/'Methodology &amp; Assumptions'!$B$6, 0)</f>
        <v/>
      </c>
      <c r="R672" s="13" t="n">
        <v>1</v>
      </c>
      <c r="S672" s="14" t="n">
        <v>1.61</v>
      </c>
      <c r="T672" s="14" t="n">
        <v>1.15</v>
      </c>
      <c r="U672" s="26">
        <f>IF(X672&gt;='Methodology &amp; Assumptions'!$B$7, "Tier 1 Critical GIDA (Score ≥ 50.0)", IF(X672&gt;='Methodology &amp; Assumptions'!$B$8, "Tier 2 High GIDA (Score 40.0–49.9)", "Tier 3 Moderate GIDA (Score &lt; 40.0)"))</f>
        <v/>
      </c>
      <c r="V672" s="26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W672" s="28" t="n">
        <v>0.083</v>
      </c>
      <c r="X672" s="14" t="n">
        <v>45.8</v>
      </c>
      <c r="Y672" s="14">
        <f>ROUND(MIN(100, (X672/69.91)*100), 2)</f>
        <v/>
      </c>
    </row>
    <row r="673">
      <c r="A673" s="10" t="n">
        <v>4</v>
      </c>
      <c r="B673" s="10" t="n">
        <v>669</v>
      </c>
      <c r="C673" s="10" t="n">
        <v>3669</v>
      </c>
      <c r="D673" s="10" t="inlineStr">
        <is>
          <t>1380700015</t>
        </is>
      </c>
      <c r="E673" s="26" t="inlineStr">
        <is>
          <t>National Capital Region (NCR)</t>
        </is>
      </c>
      <c r="F673" s="26" t="inlineStr">
        <is>
          <t>Second District (Not a Province)</t>
        </is>
      </c>
      <c r="G673" s="26" t="inlineStr">
        <is>
          <t>City of Marikina</t>
        </is>
      </c>
      <c r="H673" s="26" t="inlineStr">
        <is>
          <t>Fortune</t>
        </is>
      </c>
      <c r="I673" s="27" t="n">
        <v>14.659207</v>
      </c>
      <c r="J673" s="27" t="n">
        <v>121.126377</v>
      </c>
      <c r="K673" s="10" t="inlineStr">
        <is>
          <t>U</t>
        </is>
      </c>
      <c r="L673" s="12" t="n">
        <v>39917</v>
      </c>
      <c r="M673" s="14" t="n">
        <v>4</v>
      </c>
      <c r="N673" s="12">
        <f>ROUND(L673/M673, 0)</f>
        <v/>
      </c>
      <c r="O673" s="12">
        <f>ROUND(N673*'Methodology &amp; Assumptions'!$B$5, 0)</f>
        <v/>
      </c>
      <c r="P673" s="10" t="inlineStr">
        <is>
          <t>Single Carrier (Band n50, 100MHz TDD)</t>
        </is>
      </c>
      <c r="Q673" s="13">
        <f>ROUNDUP(O673/'Methodology &amp; Assumptions'!$B$6, 0)</f>
        <v/>
      </c>
      <c r="R673" s="13" t="n">
        <v>1</v>
      </c>
      <c r="S673" s="14" t="n">
        <v>0.96</v>
      </c>
      <c r="T673" s="14" t="n">
        <v>0.06</v>
      </c>
      <c r="U673" s="26">
        <f>IF(X673&gt;='Methodology &amp; Assumptions'!$B$7, "Tier 1 Critical GIDA (Score ≥ 50.0)", IF(X673&gt;='Methodology &amp; Assumptions'!$B$8, "Tier 2 High GIDA (Score 40.0–49.9)", "Tier 3 Moderate GIDA (Score &lt; 40.0)"))</f>
        <v/>
      </c>
      <c r="V673" s="26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W673" s="28" t="n">
        <v>0.109</v>
      </c>
      <c r="X673" s="14" t="n">
        <v>45.8</v>
      </c>
      <c r="Y673" s="14">
        <f>ROUND(MIN(100, (X673/69.91)*100), 2)</f>
        <v/>
      </c>
    </row>
    <row r="674">
      <c r="A674" s="10" t="n">
        <v>4</v>
      </c>
      <c r="B674" s="10" t="n">
        <v>670</v>
      </c>
      <c r="C674" s="10" t="n">
        <v>3670</v>
      </c>
      <c r="D674" s="10" t="inlineStr">
        <is>
          <t>1381600006</t>
        </is>
      </c>
      <c r="E674" s="26" t="inlineStr">
        <is>
          <t>National Capital Region (NCR)</t>
        </is>
      </c>
      <c r="F674" s="26" t="inlineStr">
        <is>
          <t>Third District (Not a Province)</t>
        </is>
      </c>
      <c r="G674" s="26" t="inlineStr">
        <is>
          <t>City of Valenzuela</t>
        </is>
      </c>
      <c r="H674" s="26" t="inlineStr">
        <is>
          <t>Bisig</t>
        </is>
      </c>
      <c r="I674" s="27" t="n">
        <v>14.704367</v>
      </c>
      <c r="J674" s="27" t="n">
        <v>120.989895</v>
      </c>
      <c r="K674" s="10" t="inlineStr">
        <is>
          <t>U</t>
        </is>
      </c>
      <c r="L674" s="12" t="n">
        <v>1452</v>
      </c>
      <c r="M674" s="14" t="n">
        <v>3.5</v>
      </c>
      <c r="N674" s="12">
        <f>ROUND(L674/M674, 0)</f>
        <v/>
      </c>
      <c r="O674" s="12">
        <f>ROUND(N674*'Methodology &amp; Assumptions'!$B$5, 0)</f>
        <v/>
      </c>
      <c r="P674" s="10" t="inlineStr">
        <is>
          <t>Single Carrier (Band n50, 100MHz TDD)</t>
        </is>
      </c>
      <c r="Q674" s="13">
        <f>ROUNDUP(O674/'Methodology &amp; Assumptions'!$B$6, 0)</f>
        <v/>
      </c>
      <c r="R674" s="13" t="n">
        <v>1</v>
      </c>
      <c r="S674" s="14" t="n">
        <v>1.15</v>
      </c>
      <c r="T674" s="14" t="n">
        <v>0.34</v>
      </c>
      <c r="U674" s="26">
        <f>IF(X674&gt;='Methodology &amp; Assumptions'!$B$7, "Tier 1 Critical GIDA (Score ≥ 50.0)", IF(X674&gt;='Methodology &amp; Assumptions'!$B$8, "Tier 2 High GIDA (Score 40.0–49.9)", "Tier 3 Moderate GIDA (Score &lt; 40.0)"))</f>
        <v/>
      </c>
      <c r="V674" s="26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W674" s="28" t="n">
        <v>0.109</v>
      </c>
      <c r="X674" s="14" t="n">
        <v>45.8</v>
      </c>
      <c r="Y674" s="14">
        <f>ROUND(MIN(100, (X674/69.91)*100), 2)</f>
        <v/>
      </c>
    </row>
    <row r="675">
      <c r="A675" s="10" t="n">
        <v>4</v>
      </c>
      <c r="B675" s="10" t="n">
        <v>671</v>
      </c>
      <c r="C675" s="10" t="n">
        <v>3671</v>
      </c>
      <c r="D675" s="10" t="inlineStr">
        <is>
          <t>0504117021</t>
        </is>
      </c>
      <c r="E675" s="26" t="inlineStr">
        <is>
          <t>Region V (Bicol Region)</t>
        </is>
      </c>
      <c r="F675" s="26" t="inlineStr">
        <is>
          <t>Masbate</t>
        </is>
      </c>
      <c r="G675" s="26" t="inlineStr">
        <is>
          <t>Placer</t>
        </is>
      </c>
      <c r="H675" s="26" t="inlineStr">
        <is>
          <t>Naboctot</t>
        </is>
      </c>
      <c r="I675" s="27" t="n">
        <v>11.857771</v>
      </c>
      <c r="J675" s="27" t="n">
        <v>123.767529</v>
      </c>
      <c r="K675" s="10" t="inlineStr">
        <is>
          <t>R</t>
        </is>
      </c>
      <c r="L675" s="12" t="n">
        <v>1361</v>
      </c>
      <c r="M675" s="14" t="n">
        <v>4.1</v>
      </c>
      <c r="N675" s="12">
        <f>ROUND(L675/M675, 0)</f>
        <v/>
      </c>
      <c r="O675" s="12">
        <f>ROUND(N675*'Methodology &amp; Assumptions'!$B$5, 0)</f>
        <v/>
      </c>
      <c r="P675" s="10" t="inlineStr">
        <is>
          <t>Single Carrier (Band n50, 100MHz TDD)</t>
        </is>
      </c>
      <c r="Q675" s="13">
        <f>ROUNDUP(O675/'Methodology &amp; Assumptions'!$B$6, 0)</f>
        <v/>
      </c>
      <c r="R675" s="13" t="n">
        <v>1</v>
      </c>
      <c r="S675" s="14" t="n">
        <v>15.55</v>
      </c>
      <c r="T675" s="14" t="n">
        <v>28.62</v>
      </c>
      <c r="U675" s="26">
        <f>IF(X675&gt;='Methodology &amp; Assumptions'!$B$7, "Tier 1 Critical GIDA (Score ≥ 50.0)", IF(X675&gt;='Methodology &amp; Assumptions'!$B$8, "Tier 2 High GIDA (Score 40.0–49.9)", "Tier 3 Moderate GIDA (Score &lt; 40.0)"))</f>
        <v/>
      </c>
      <c r="V675" s="26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W675" s="28" t="n">
        <v>0.237</v>
      </c>
      <c r="X675" s="14" t="n">
        <v>45.79</v>
      </c>
      <c r="Y675" s="14">
        <f>ROUND(MIN(100, (X675/69.91)*100), 2)</f>
        <v/>
      </c>
    </row>
    <row r="676">
      <c r="A676" s="10" t="n">
        <v>4</v>
      </c>
      <c r="B676" s="10" t="n">
        <v>672</v>
      </c>
      <c r="C676" s="10" t="n">
        <v>3672</v>
      </c>
      <c r="D676" s="10" t="inlineStr">
        <is>
          <t>PH0003672</t>
        </is>
      </c>
      <c r="E676" s="26" t="inlineStr">
        <is>
          <t>VI</t>
        </is>
      </c>
      <c r="F676" s="26" t="inlineStr">
        <is>
          <t>Iloilo</t>
        </is>
      </c>
      <c r="G676" s="26" t="inlineStr">
        <is>
          <t>Iloilo City</t>
        </is>
      </c>
      <c r="H676" s="26" t="inlineStr">
        <is>
          <t>Dungon B</t>
        </is>
      </c>
      <c r="I676" s="27" t="n">
        <v>10.729718</v>
      </c>
      <c r="J676" s="27" t="n">
        <v>122.545671</v>
      </c>
      <c r="K676" s="10" t="inlineStr">
        <is>
          <t>R</t>
        </is>
      </c>
      <c r="L676" s="12" t="n">
        <v>2230</v>
      </c>
      <c r="M676" s="14" t="n">
        <v>3.8</v>
      </c>
      <c r="N676" s="12">
        <f>ROUND(L676/M676, 0)</f>
        <v/>
      </c>
      <c r="O676" s="12">
        <f>ROUND(N676*'Methodology &amp; Assumptions'!$B$5, 0)</f>
        <v/>
      </c>
      <c r="P676" s="10" t="inlineStr">
        <is>
          <t>Single Carrier (Band n50, 100MHz TDD)</t>
        </is>
      </c>
      <c r="Q676" s="13">
        <f>ROUNDUP(O676/'Methodology &amp; Assumptions'!$B$6, 0)</f>
        <v/>
      </c>
      <c r="R676" s="13" t="n">
        <v>1</v>
      </c>
      <c r="S676" s="14" t="n">
        <v>2.89</v>
      </c>
      <c r="T676" s="14" t="n">
        <v>1.35</v>
      </c>
      <c r="U676" s="26">
        <f>IF(X676&gt;='Methodology &amp; Assumptions'!$B$7, "Tier 1 Critical GIDA (Score ≥ 50.0)", IF(X676&gt;='Methodology &amp; Assumptions'!$B$8, "Tier 2 High GIDA (Score 40.0–49.9)", "Tier 3 Moderate GIDA (Score &lt; 40.0)"))</f>
        <v/>
      </c>
      <c r="V676" s="26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W676" s="28" t="n">
        <v>0.156</v>
      </c>
      <c r="X676" s="14" t="n">
        <v>45.79</v>
      </c>
      <c r="Y676" s="14">
        <f>ROUND(MIN(100, (X676/69.91)*100), 2)</f>
        <v/>
      </c>
    </row>
    <row r="677">
      <c r="A677" s="10" t="n">
        <v>4</v>
      </c>
      <c r="B677" s="10" t="n">
        <v>673</v>
      </c>
      <c r="C677" s="10" t="n">
        <v>3673</v>
      </c>
      <c r="D677" s="10" t="inlineStr">
        <is>
          <t>0402106070</t>
        </is>
      </c>
      <c r="E677" s="26" t="inlineStr">
        <is>
          <t>Region IV-A (CALABARZON)</t>
        </is>
      </c>
      <c r="F677" s="26" t="inlineStr">
        <is>
          <t>Cavite</t>
        </is>
      </c>
      <c r="G677" s="26" t="inlineStr">
        <is>
          <t>City of Dasmariñas</t>
        </is>
      </c>
      <c r="H677" s="26" t="inlineStr">
        <is>
          <t>San Isidro Labrador II</t>
        </is>
      </c>
      <c r="I677" s="27" t="n">
        <v>14.299005</v>
      </c>
      <c r="J677" s="27" t="n">
        <v>120.998663</v>
      </c>
      <c r="K677" s="10" t="inlineStr">
        <is>
          <t>R</t>
        </is>
      </c>
      <c r="L677" s="12" t="n">
        <v>2593</v>
      </c>
      <c r="M677" s="14" t="n">
        <v>3.4</v>
      </c>
      <c r="N677" s="12">
        <f>ROUND(L677/M677, 0)</f>
        <v/>
      </c>
      <c r="O677" s="12">
        <f>ROUND(N677*'Methodology &amp; Assumptions'!$B$5, 0)</f>
        <v/>
      </c>
      <c r="P677" s="10" t="inlineStr">
        <is>
          <t>Single Carrier (Band n50, 100MHz TDD)</t>
        </is>
      </c>
      <c r="Q677" s="13">
        <f>ROUNDUP(O677/'Methodology &amp; Assumptions'!$B$6, 0)</f>
        <v/>
      </c>
      <c r="R677" s="13" t="n">
        <v>1</v>
      </c>
      <c r="S677" s="14" t="n">
        <v>1.88</v>
      </c>
      <c r="T677" s="14" t="n">
        <v>4.37</v>
      </c>
      <c r="U677" s="26">
        <f>IF(X677&gt;='Methodology &amp; Assumptions'!$B$7, "Tier 1 Critical GIDA (Score ≥ 50.0)", IF(X677&gt;='Methodology &amp; Assumptions'!$B$8, "Tier 2 High GIDA (Score 40.0–49.9)", "Tier 3 Moderate GIDA (Score &lt; 40.0)"))</f>
        <v/>
      </c>
      <c r="V677" s="26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W677" s="28" t="n">
        <v>0.07200000000000001</v>
      </c>
      <c r="X677" s="14" t="n">
        <v>45.79</v>
      </c>
      <c r="Y677" s="14">
        <f>ROUND(MIN(100, (X677/69.91)*100), 2)</f>
        <v/>
      </c>
    </row>
    <row r="678">
      <c r="A678" s="10" t="n">
        <v>4</v>
      </c>
      <c r="B678" s="10" t="n">
        <v>674</v>
      </c>
      <c r="C678" s="10" t="n">
        <v>3674</v>
      </c>
      <c r="D678" s="10" t="inlineStr">
        <is>
          <t>0403403021</t>
        </is>
      </c>
      <c r="E678" s="26" t="inlineStr">
        <is>
          <t>Region IV-A (CALABARZON)</t>
        </is>
      </c>
      <c r="F678" s="26" t="inlineStr">
        <is>
          <t>Laguna</t>
        </is>
      </c>
      <c r="G678" s="26" t="inlineStr">
        <is>
          <t>City of Biñan</t>
        </is>
      </c>
      <c r="H678" s="26" t="inlineStr">
        <is>
          <t>San Vicente</t>
        </is>
      </c>
      <c r="I678" s="27" t="n">
        <v>14.329604</v>
      </c>
      <c r="J678" s="27" t="n">
        <v>121.077912</v>
      </c>
      <c r="K678" s="10" t="inlineStr">
        <is>
          <t>U</t>
        </is>
      </c>
      <c r="L678" s="12" t="n">
        <v>10124</v>
      </c>
      <c r="M678" s="14" t="n">
        <v>3.3</v>
      </c>
      <c r="N678" s="12">
        <f>ROUND(L678/M678, 0)</f>
        <v/>
      </c>
      <c r="O678" s="12">
        <f>ROUND(N678*'Methodology &amp; Assumptions'!$B$5, 0)</f>
        <v/>
      </c>
      <c r="P678" s="10" t="inlineStr">
        <is>
          <t>Single Carrier (Band n50, 100MHz TDD)</t>
        </is>
      </c>
      <c r="Q678" s="13">
        <f>ROUNDUP(O678/'Methodology &amp; Assumptions'!$B$6, 0)</f>
        <v/>
      </c>
      <c r="R678" s="13" t="n">
        <v>1</v>
      </c>
      <c r="S678" s="14" t="n">
        <v>1.03</v>
      </c>
      <c r="T678" s="14" t="n">
        <v>0.16</v>
      </c>
      <c r="U678" s="26">
        <f>IF(X678&gt;='Methodology &amp; Assumptions'!$B$7, "Tier 1 Critical GIDA (Score ≥ 50.0)", IF(X678&gt;='Methodology &amp; Assumptions'!$B$8, "Tier 2 High GIDA (Score 40.0–49.9)", "Tier 3 Moderate GIDA (Score &lt; 40.0)"))</f>
        <v/>
      </c>
      <c r="V678" s="26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W678" s="28" t="n">
        <v>0.07200000000000001</v>
      </c>
      <c r="X678" s="14" t="n">
        <v>45.78</v>
      </c>
      <c r="Y678" s="14">
        <f>ROUND(MIN(100, (X678/69.91)*100), 2)</f>
        <v/>
      </c>
    </row>
    <row r="679">
      <c r="A679" s="10" t="n">
        <v>4</v>
      </c>
      <c r="B679" s="10" t="n">
        <v>675</v>
      </c>
      <c r="C679" s="10" t="n">
        <v>3675</v>
      </c>
      <c r="D679" s="10" t="inlineStr">
        <is>
          <t>0702232012</t>
        </is>
      </c>
      <c r="E679" s="26" t="inlineStr">
        <is>
          <t>Region VII (Central Visayas)</t>
        </is>
      </c>
      <c r="F679" s="26" t="inlineStr">
        <is>
          <t>Cebu</t>
        </is>
      </c>
      <c r="G679" s="26" t="inlineStr">
        <is>
          <t>Minglanilla</t>
        </is>
      </c>
      <c r="H679" s="26" t="inlineStr">
        <is>
          <t>Poblacion Ward III</t>
        </is>
      </c>
      <c r="I679" s="27" t="n">
        <v>10.263348</v>
      </c>
      <c r="J679" s="27" t="n">
        <v>123.7824</v>
      </c>
      <c r="K679" s="10" t="inlineStr">
        <is>
          <t>U</t>
        </is>
      </c>
      <c r="L679" s="12" t="n">
        <v>2742</v>
      </c>
      <c r="M679" s="14" t="n">
        <v>3.8</v>
      </c>
      <c r="N679" s="12">
        <f>ROUND(L679/M679, 0)</f>
        <v/>
      </c>
      <c r="O679" s="12">
        <f>ROUND(N679*'Methodology &amp; Assumptions'!$B$5, 0)</f>
        <v/>
      </c>
      <c r="P679" s="10" t="inlineStr">
        <is>
          <t>Single Carrier (Band n50, 100MHz TDD)</t>
        </is>
      </c>
      <c r="Q679" s="13">
        <f>ROUNDUP(O679/'Methodology &amp; Assumptions'!$B$6, 0)</f>
        <v/>
      </c>
      <c r="R679" s="13" t="n">
        <v>1</v>
      </c>
      <c r="S679" s="14" t="n">
        <v>2.58</v>
      </c>
      <c r="T679" s="14" t="n">
        <v>2.33</v>
      </c>
      <c r="U679" s="26">
        <f>IF(X679&gt;='Methodology &amp; Assumptions'!$B$7, "Tier 1 Critical GIDA (Score ≥ 50.0)", IF(X679&gt;='Methodology &amp; Assumptions'!$B$8, "Tier 2 High GIDA (Score 40.0–49.9)", "Tier 3 Moderate GIDA (Score &lt; 40.0)"))</f>
        <v/>
      </c>
      <c r="V679" s="26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W679" s="28" t="n">
        <v>0.237</v>
      </c>
      <c r="X679" s="14" t="n">
        <v>45.78</v>
      </c>
      <c r="Y679" s="14">
        <f>ROUND(MIN(100, (X679/69.91)*100), 2)</f>
        <v/>
      </c>
    </row>
    <row r="680">
      <c r="A680" s="10" t="n">
        <v>4</v>
      </c>
      <c r="B680" s="10" t="n">
        <v>676</v>
      </c>
      <c r="C680" s="10" t="n">
        <v>3676</v>
      </c>
      <c r="D680" s="10" t="inlineStr">
        <is>
          <t>PH0003676</t>
        </is>
      </c>
      <c r="E680" s="26" t="inlineStr">
        <is>
          <t>VIII</t>
        </is>
      </c>
      <c r="F680" s="26" t="inlineStr">
        <is>
          <t>Leyte</t>
        </is>
      </c>
      <c r="G680" s="26" t="inlineStr">
        <is>
          <t>Tacloban City</t>
        </is>
      </c>
      <c r="H680" s="26" t="inlineStr">
        <is>
          <t>Barangay 51-A</t>
        </is>
      </c>
      <c r="I680" s="27" t="n">
        <v>11.201658</v>
      </c>
      <c r="J680" s="27" t="n">
        <v>124.947448</v>
      </c>
      <c r="K680" s="10" t="inlineStr">
        <is>
          <t>R</t>
        </is>
      </c>
      <c r="L680" s="12" t="n">
        <v>2258</v>
      </c>
      <c r="M680" s="14" t="n">
        <v>3.8</v>
      </c>
      <c r="N680" s="12">
        <f>ROUND(L680/M680, 0)</f>
        <v/>
      </c>
      <c r="O680" s="12">
        <f>ROUND(N680*'Methodology &amp; Assumptions'!$B$5, 0)</f>
        <v/>
      </c>
      <c r="P680" s="10" t="inlineStr">
        <is>
          <t>Single Carrier (Band n50, 100MHz TDD)</t>
        </is>
      </c>
      <c r="Q680" s="13">
        <f>ROUNDUP(O680/'Methodology &amp; Assumptions'!$B$6, 0)</f>
        <v/>
      </c>
      <c r="R680" s="13" t="n">
        <v>1</v>
      </c>
      <c r="S680" s="14" t="n">
        <v>6.87</v>
      </c>
      <c r="T680" s="14" t="n">
        <v>2.81</v>
      </c>
      <c r="U680" s="26">
        <f>IF(X680&gt;='Methodology &amp; Assumptions'!$B$7, "Tier 1 Critical GIDA (Score ≥ 50.0)", IF(X680&gt;='Methodology &amp; Assumptions'!$B$8, "Tier 2 High GIDA (Score 40.0–49.9)", "Tier 3 Moderate GIDA (Score &lt; 40.0)"))</f>
        <v/>
      </c>
      <c r="V680" s="26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W680" s="28" t="n">
        <v>0.222</v>
      </c>
      <c r="X680" s="14" t="n">
        <v>45.78</v>
      </c>
      <c r="Y680" s="14">
        <f>ROUND(MIN(100, (X680/69.91)*100), 2)</f>
        <v/>
      </c>
    </row>
    <row r="681">
      <c r="A681" s="10" t="n">
        <v>4</v>
      </c>
      <c r="B681" s="10" t="n">
        <v>677</v>
      </c>
      <c r="C681" s="10" t="n">
        <v>3677</v>
      </c>
      <c r="D681" s="10" t="inlineStr">
        <is>
          <t>PH0003677</t>
        </is>
      </c>
      <c r="E681" s="26" t="inlineStr">
        <is>
          <t>V</t>
        </is>
      </c>
      <c r="F681" s="26" t="inlineStr">
        <is>
          <t>Camarines Sur</t>
        </is>
      </c>
      <c r="G681" s="26" t="inlineStr">
        <is>
          <t>Naga City</t>
        </is>
      </c>
      <c r="H681" s="26" t="inlineStr">
        <is>
          <t>Sabang</t>
        </is>
      </c>
      <c r="I681" s="27" t="n">
        <v>13.620266</v>
      </c>
      <c r="J681" s="27" t="n">
        <v>123.180489</v>
      </c>
      <c r="K681" s="10" t="inlineStr">
        <is>
          <t>R</t>
        </is>
      </c>
      <c r="L681" s="12" t="n">
        <v>2195</v>
      </c>
      <c r="M681" s="14" t="n">
        <v>4.2</v>
      </c>
      <c r="N681" s="12">
        <f>ROUND(L681/M681, 0)</f>
        <v/>
      </c>
      <c r="O681" s="12">
        <f>ROUND(N681*'Methodology &amp; Assumptions'!$B$5, 0)</f>
        <v/>
      </c>
      <c r="P681" s="10" t="inlineStr">
        <is>
          <t>Single Carrier (Band n50, 100MHz TDD)</t>
        </is>
      </c>
      <c r="Q681" s="13">
        <f>ROUNDUP(O681/'Methodology &amp; Assumptions'!$B$6, 0)</f>
        <v/>
      </c>
      <c r="R681" s="13" t="n">
        <v>1</v>
      </c>
      <c r="S681" s="14" t="n">
        <v>0.91</v>
      </c>
      <c r="T681" s="14" t="n">
        <v>0.72</v>
      </c>
      <c r="U681" s="26">
        <f>IF(X681&gt;='Methodology &amp; Assumptions'!$B$7, "Tier 1 Critical GIDA (Score ≥ 50.0)", IF(X681&gt;='Methodology &amp; Assumptions'!$B$8, "Tier 2 High GIDA (Score 40.0–49.9)", "Tier 3 Moderate GIDA (Score &lt; 40.0)"))</f>
        <v/>
      </c>
      <c r="V681" s="26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W681" s="28" t="n">
        <v>0.07200000000000001</v>
      </c>
      <c r="X681" s="14" t="n">
        <v>45.77</v>
      </c>
      <c r="Y681" s="14">
        <f>ROUND(MIN(100, (X681/69.91)*100), 2)</f>
        <v/>
      </c>
    </row>
    <row r="682">
      <c r="A682" s="10" t="n">
        <v>4</v>
      </c>
      <c r="B682" s="10" t="n">
        <v>678</v>
      </c>
      <c r="C682" s="10" t="n">
        <v>3678</v>
      </c>
      <c r="D682" s="10" t="inlineStr">
        <is>
          <t>0806001025</t>
        </is>
      </c>
      <c r="E682" s="26" t="inlineStr">
        <is>
          <t>Region VIII (Eastern Visayas)</t>
        </is>
      </c>
      <c r="F682" s="26" t="inlineStr">
        <is>
          <t>Samar</t>
        </is>
      </c>
      <c r="G682" s="26" t="inlineStr">
        <is>
          <t>Almagro</t>
        </is>
      </c>
      <c r="H682" s="26" t="inlineStr">
        <is>
          <t>Imelda</t>
        </is>
      </c>
      <c r="I682" s="27" t="n">
        <v>11.932565</v>
      </c>
      <c r="J682" s="27" t="n">
        <v>124.298545</v>
      </c>
      <c r="K682" s="10" t="inlineStr">
        <is>
          <t>R</t>
        </is>
      </c>
      <c r="L682" s="12" t="n">
        <v>467</v>
      </c>
      <c r="M682" s="14" t="n">
        <v>4.1</v>
      </c>
      <c r="N682" s="12">
        <f>ROUND(L682/M682, 0)</f>
        <v/>
      </c>
      <c r="O682" s="12">
        <f>ROUND(N682*'Methodology &amp; Assumptions'!$B$5, 0)</f>
        <v/>
      </c>
      <c r="P682" s="10" t="inlineStr">
        <is>
          <t>Single Carrier (Band n50, 100MHz TDD)</t>
        </is>
      </c>
      <c r="Q682" s="13">
        <f>ROUNDUP(O682/'Methodology &amp; Assumptions'!$B$6, 0)</f>
        <v/>
      </c>
      <c r="R682" s="13" t="n">
        <v>1</v>
      </c>
      <c r="S682" s="14" t="n">
        <v>42.85</v>
      </c>
      <c r="T682" s="14" t="n">
        <v>75.73999999999999</v>
      </c>
      <c r="U682" s="26">
        <f>IF(X682&gt;='Methodology &amp; Assumptions'!$B$7, "Tier 1 Critical GIDA (Score ≥ 50.0)", IF(X682&gt;='Methodology &amp; Assumptions'!$B$8, "Tier 2 High GIDA (Score 40.0–49.9)", "Tier 3 Moderate GIDA (Score &lt; 40.0)"))</f>
        <v/>
      </c>
      <c r="V682" s="26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W682" s="28" t="n">
        <v>0.237</v>
      </c>
      <c r="X682" s="14" t="n">
        <v>45.77</v>
      </c>
      <c r="Y682" s="14">
        <f>ROUND(MIN(100, (X682/69.91)*100), 2)</f>
        <v/>
      </c>
    </row>
    <row r="683">
      <c r="A683" s="10" t="n">
        <v>4</v>
      </c>
      <c r="B683" s="10" t="n">
        <v>679</v>
      </c>
      <c r="C683" s="10" t="n">
        <v>3679</v>
      </c>
      <c r="D683" s="10" t="inlineStr">
        <is>
          <t>1403209015</t>
        </is>
      </c>
      <c r="E683" s="26" t="inlineStr">
        <is>
          <t>Cordillera Administrative Region (CAR)</t>
        </is>
      </c>
      <c r="F683" s="26" t="inlineStr">
        <is>
          <t>Kalinga</t>
        </is>
      </c>
      <c r="G683" s="26" t="inlineStr">
        <is>
          <t>Pinukpuk</t>
        </is>
      </c>
      <c r="H683" s="26" t="inlineStr">
        <is>
          <t>Magaogao</t>
        </is>
      </c>
      <c r="I683" s="27" t="n">
        <v>17.597369</v>
      </c>
      <c r="J683" s="27" t="n">
        <v>121.446249</v>
      </c>
      <c r="K683" s="10" t="inlineStr">
        <is>
          <t>R</t>
        </is>
      </c>
      <c r="L683" s="12" t="n">
        <v>749</v>
      </c>
      <c r="M683" s="14" t="n">
        <v>4.3</v>
      </c>
      <c r="N683" s="12">
        <f>ROUND(L683/M683, 0)</f>
        <v/>
      </c>
      <c r="O683" s="12">
        <f>ROUND(N683*'Methodology &amp; Assumptions'!$B$5, 0)</f>
        <v/>
      </c>
      <c r="P683" s="10" t="inlineStr">
        <is>
          <t>Single Carrier (Band n50, 100MHz TDD)</t>
        </is>
      </c>
      <c r="Q683" s="13">
        <f>ROUNDUP(O683/'Methodology &amp; Assumptions'!$B$6, 0)</f>
        <v/>
      </c>
      <c r="R683" s="13" t="n">
        <v>1</v>
      </c>
      <c r="S683" s="14" t="n">
        <v>3.59</v>
      </c>
      <c r="T683" s="14" t="n">
        <v>1.7</v>
      </c>
      <c r="U683" s="26">
        <f>IF(X683&gt;='Methodology &amp; Assumptions'!$B$7, "Tier 1 Critical GIDA (Score ≥ 50.0)", IF(X683&gt;='Methodology &amp; Assumptions'!$B$8, "Tier 2 High GIDA (Score 40.0–49.9)", "Tier 3 Moderate GIDA (Score &lt; 40.0)"))</f>
        <v/>
      </c>
      <c r="V683" s="26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W683" s="28" t="n">
        <v>0.109</v>
      </c>
      <c r="X683" s="14" t="n">
        <v>45.75</v>
      </c>
      <c r="Y683" s="14">
        <f>ROUND(MIN(100, (X683/69.91)*100), 2)</f>
        <v/>
      </c>
    </row>
    <row r="684">
      <c r="A684" s="10" t="n">
        <v>4</v>
      </c>
      <c r="B684" s="10" t="n">
        <v>680</v>
      </c>
      <c r="C684" s="10" t="n">
        <v>3680</v>
      </c>
      <c r="D684" s="10" t="inlineStr">
        <is>
          <t>PH0003680</t>
        </is>
      </c>
      <c r="E684" s="26" t="inlineStr">
        <is>
          <t>VII</t>
        </is>
      </c>
      <c r="F684" s="26" t="inlineStr">
        <is>
          <t>Cebu</t>
        </is>
      </c>
      <c r="G684" s="26" t="inlineStr">
        <is>
          <t>Cebu City</t>
        </is>
      </c>
      <c r="H684" s="26" t="inlineStr">
        <is>
          <t>Lorega</t>
        </is>
      </c>
      <c r="I684" s="27" t="n">
        <v>10.335618</v>
      </c>
      <c r="J684" s="27" t="n">
        <v>123.875953</v>
      </c>
      <c r="K684" s="10" t="inlineStr">
        <is>
          <t>R</t>
        </is>
      </c>
      <c r="L684" s="12" t="n">
        <v>2250</v>
      </c>
      <c r="M684" s="14" t="n">
        <v>3.8</v>
      </c>
      <c r="N684" s="12">
        <f>ROUND(L684/M684, 0)</f>
        <v/>
      </c>
      <c r="O684" s="12">
        <f>ROUND(N684*'Methodology &amp; Assumptions'!$B$5, 0)</f>
        <v/>
      </c>
      <c r="P684" s="10" t="inlineStr">
        <is>
          <t>Single Carrier (Band n50, 100MHz TDD)</t>
        </is>
      </c>
      <c r="Q684" s="13">
        <f>ROUNDUP(O684/'Methodology &amp; Assumptions'!$B$6, 0)</f>
        <v/>
      </c>
      <c r="R684" s="13" t="n">
        <v>1</v>
      </c>
      <c r="S684" s="14" t="n">
        <v>2.37</v>
      </c>
      <c r="T684" s="14" t="n">
        <v>3.57</v>
      </c>
      <c r="U684" s="26">
        <f>IF(X684&gt;='Methodology &amp; Assumptions'!$B$7, "Tier 1 Critical GIDA (Score ≥ 50.0)", IF(X684&gt;='Methodology &amp; Assumptions'!$B$8, "Tier 2 High GIDA (Score 40.0–49.9)", "Tier 3 Moderate GIDA (Score &lt; 40.0)"))</f>
        <v/>
      </c>
      <c r="V684" s="26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W684" s="28" t="n">
        <v>0.21</v>
      </c>
      <c r="X684" s="14" t="n">
        <v>45.75</v>
      </c>
      <c r="Y684" s="14">
        <f>ROUND(MIN(100, (X684/69.91)*100), 2)</f>
        <v/>
      </c>
    </row>
    <row r="685">
      <c r="A685" s="10" t="n">
        <v>4</v>
      </c>
      <c r="B685" s="10" t="n">
        <v>681</v>
      </c>
      <c r="C685" s="10" t="n">
        <v>3681</v>
      </c>
      <c r="D685" s="10" t="inlineStr">
        <is>
          <t>0405649017</t>
        </is>
      </c>
      <c r="E685" s="26" t="inlineStr">
        <is>
          <t>Region IV-A (CALABARZON)</t>
        </is>
      </c>
      <c r="F685" s="26" t="inlineStr">
        <is>
          <t>Quezon</t>
        </is>
      </c>
      <c r="G685" s="26" t="inlineStr">
        <is>
          <t>Unisan</t>
        </is>
      </c>
      <c r="H685" s="26" t="inlineStr">
        <is>
          <t>Mairok Ilaya</t>
        </is>
      </c>
      <c r="I685" s="27" t="n">
        <v>13.847113</v>
      </c>
      <c r="J685" s="27" t="n">
        <v>122.005448</v>
      </c>
      <c r="K685" s="10" t="inlineStr">
        <is>
          <t>R</t>
        </is>
      </c>
      <c r="L685" s="12" t="n">
        <v>172</v>
      </c>
      <c r="M685" s="14" t="n">
        <v>3.8</v>
      </c>
      <c r="N685" s="12">
        <f>ROUND(L685/M685, 0)</f>
        <v/>
      </c>
      <c r="O685" s="12">
        <f>ROUND(N685*'Methodology &amp; Assumptions'!$B$5, 0)</f>
        <v/>
      </c>
      <c r="P685" s="10" t="inlineStr">
        <is>
          <t>Single Carrier (Band n50, 100MHz TDD)</t>
        </is>
      </c>
      <c r="Q685" s="13">
        <f>ROUNDUP(O685/'Methodology &amp; Assumptions'!$B$6, 0)</f>
        <v/>
      </c>
      <c r="R685" s="13" t="n">
        <v>1</v>
      </c>
      <c r="S685" s="14" t="n">
        <v>2.97</v>
      </c>
      <c r="T685" s="14" t="n">
        <v>1.5</v>
      </c>
      <c r="U685" s="26">
        <f>IF(X685&gt;='Methodology &amp; Assumptions'!$B$7, "Tier 1 Critical GIDA (Score ≥ 50.0)", IF(X685&gt;='Methodology &amp; Assumptions'!$B$8, "Tier 2 High GIDA (Score 40.0–49.9)", "Tier 3 Moderate GIDA (Score &lt; 40.0)"))</f>
        <v/>
      </c>
      <c r="V685" s="26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W685" s="28" t="n">
        <v>0.07200000000000001</v>
      </c>
      <c r="X685" s="14" t="n">
        <v>45.75</v>
      </c>
      <c r="Y685" s="14">
        <f>ROUND(MIN(100, (X685/69.91)*100), 2)</f>
        <v/>
      </c>
    </row>
    <row r="686">
      <c r="A686" s="10" t="n">
        <v>4</v>
      </c>
      <c r="B686" s="10" t="n">
        <v>682</v>
      </c>
      <c r="C686" s="10" t="n">
        <v>3682</v>
      </c>
      <c r="D686" s="10" t="inlineStr">
        <is>
          <t>PH0003682</t>
        </is>
      </c>
      <c r="E686" s="26" t="inlineStr">
        <is>
          <t>NCR</t>
        </is>
      </c>
      <c r="F686" s="26" t="inlineStr">
        <is>
          <t>Metro Manila</t>
        </is>
      </c>
      <c r="G686" s="26" t="inlineStr">
        <is>
          <t>Caloocan City</t>
        </is>
      </c>
      <c r="H686" s="26" t="inlineStr">
        <is>
          <t>Barangay 169</t>
        </is>
      </c>
      <c r="I686" s="27" t="n">
        <v>14.056968</v>
      </c>
      <c r="J686" s="27" t="n">
        <v>120.760659</v>
      </c>
      <c r="K686" s="10" t="inlineStr">
        <is>
          <t>R</t>
        </is>
      </c>
      <c r="L686" s="12" t="n">
        <v>2279</v>
      </c>
      <c r="M686" s="14" t="n">
        <v>3.8</v>
      </c>
      <c r="N686" s="12">
        <f>ROUND(L686/M686, 0)</f>
        <v/>
      </c>
      <c r="O686" s="12">
        <f>ROUND(N686*'Methodology &amp; Assumptions'!$B$5, 0)</f>
        <v/>
      </c>
      <c r="P686" s="10" t="inlineStr">
        <is>
          <t>Single Carrier (Band n50, 100MHz TDD)</t>
        </is>
      </c>
      <c r="Q686" s="13">
        <f>ROUNDUP(O686/'Methodology &amp; Assumptions'!$B$6, 0)</f>
        <v/>
      </c>
      <c r="R686" s="13" t="n">
        <v>1</v>
      </c>
      <c r="S686" s="14" t="n">
        <v>2.31</v>
      </c>
      <c r="T686" s="14" t="n">
        <v>2.3</v>
      </c>
      <c r="U686" s="26">
        <f>IF(X686&gt;='Methodology &amp; Assumptions'!$B$7, "Tier 1 Critical GIDA (Score ≥ 50.0)", IF(X686&gt;='Methodology &amp; Assumptions'!$B$8, "Tier 2 High GIDA (Score 40.0–49.9)", "Tier 3 Moderate GIDA (Score &lt; 40.0)"))</f>
        <v/>
      </c>
      <c r="V686" s="26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W686" s="28" t="n">
        <v>0.011</v>
      </c>
      <c r="X686" s="14" t="n">
        <v>45.74</v>
      </c>
      <c r="Y686" s="14">
        <f>ROUND(MIN(100, (X686/69.91)*100), 2)</f>
        <v/>
      </c>
    </row>
    <row r="687">
      <c r="A687" s="10" t="n">
        <v>4</v>
      </c>
      <c r="B687" s="10" t="n">
        <v>683</v>
      </c>
      <c r="C687" s="10" t="n">
        <v>3683</v>
      </c>
      <c r="D687" s="10" t="inlineStr">
        <is>
          <t>0402103021</t>
        </is>
      </c>
      <c r="E687" s="26" t="inlineStr">
        <is>
          <t>Region IV-A (CALABARZON)</t>
        </is>
      </c>
      <c r="F687" s="26" t="inlineStr">
        <is>
          <t>Cavite</t>
        </is>
      </c>
      <c r="G687" s="26" t="inlineStr">
        <is>
          <t>City of Bacoor</t>
        </is>
      </c>
      <c r="H687" s="26" t="inlineStr">
        <is>
          <t>San Nicolas I</t>
        </is>
      </c>
      <c r="I687" s="27" t="n">
        <v>14.168101</v>
      </c>
      <c r="J687" s="27" t="n">
        <v>120.997439</v>
      </c>
      <c r="K687" s="10" t="inlineStr">
        <is>
          <t>U</t>
        </is>
      </c>
      <c r="L687" s="12" t="n">
        <v>8425</v>
      </c>
      <c r="M687" s="14" t="n">
        <v>3.4</v>
      </c>
      <c r="N687" s="12">
        <f>ROUND(L687/M687, 0)</f>
        <v/>
      </c>
      <c r="O687" s="12">
        <f>ROUND(N687*'Methodology &amp; Assumptions'!$B$5, 0)</f>
        <v/>
      </c>
      <c r="P687" s="10" t="inlineStr">
        <is>
          <t>Single Carrier (Band n50, 100MHz TDD)</t>
        </is>
      </c>
      <c r="Q687" s="13">
        <f>ROUNDUP(O687/'Methodology &amp; Assumptions'!$B$6, 0)</f>
        <v/>
      </c>
      <c r="R687" s="13" t="n">
        <v>1</v>
      </c>
      <c r="S687" s="14" t="n">
        <v>1.53</v>
      </c>
      <c r="T687" s="14" t="n">
        <v>0.4</v>
      </c>
      <c r="U687" s="26">
        <f>IF(X687&gt;='Methodology &amp; Assumptions'!$B$7, "Tier 1 Critical GIDA (Score ≥ 50.0)", IF(X687&gt;='Methodology &amp; Assumptions'!$B$8, "Tier 2 High GIDA (Score 40.0–49.9)", "Tier 3 Moderate GIDA (Score &lt; 40.0)"))</f>
        <v/>
      </c>
      <c r="V687" s="26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W687" s="28" t="n">
        <v>0.07200000000000001</v>
      </c>
      <c r="X687" s="14" t="n">
        <v>45.73</v>
      </c>
      <c r="Y687" s="14">
        <f>ROUND(MIN(100, (X687/69.91)*100), 2)</f>
        <v/>
      </c>
    </row>
    <row r="688">
      <c r="A688" s="10" t="n">
        <v>4</v>
      </c>
      <c r="B688" s="10" t="n">
        <v>684</v>
      </c>
      <c r="C688" s="10" t="n">
        <v>3684</v>
      </c>
      <c r="D688" s="10" t="inlineStr">
        <is>
          <t>1908705020</t>
        </is>
      </c>
      <c r="E688" s="26" t="inlineStr">
        <is>
          <t>Bangsamoro Autonomous Region In Muslim Mindanao (BARMM)</t>
        </is>
      </c>
      <c r="F688" s="26" t="inlineStr">
        <is>
          <t>Maguindanao del Norte</t>
        </is>
      </c>
      <c r="G688" s="26" t="inlineStr">
        <is>
          <t>Datu Odin Sinsuat</t>
        </is>
      </c>
      <c r="H688" s="26" t="inlineStr">
        <is>
          <t>Linek</t>
        </is>
      </c>
      <c r="I688" s="27" t="n">
        <v>17.253911</v>
      </c>
      <c r="J688" s="27" t="n">
        <v>122.227955</v>
      </c>
      <c r="K688" s="10" t="inlineStr">
        <is>
          <t>R</t>
        </is>
      </c>
      <c r="L688" s="12" t="n">
        <v>4505</v>
      </c>
      <c r="M688" s="14" t="n">
        <v>4.3</v>
      </c>
      <c r="N688" s="12">
        <f>ROUND(L688/M688, 0)</f>
        <v/>
      </c>
      <c r="O688" s="12">
        <f>ROUND(N688*'Methodology &amp; Assumptions'!$B$5, 0)</f>
        <v/>
      </c>
      <c r="P688" s="10" t="inlineStr">
        <is>
          <t>Single Carrier (Band n50, 100MHz TDD)</t>
        </is>
      </c>
      <c r="Q688" s="13">
        <f>ROUNDUP(O688/'Methodology &amp; Assumptions'!$B$6, 0)</f>
        <v/>
      </c>
      <c r="R688" s="13" t="n">
        <v>1</v>
      </c>
      <c r="S688" s="14" t="n">
        <v>29.27</v>
      </c>
      <c r="T688" s="14" t="n">
        <v>34.17</v>
      </c>
      <c r="U688" s="26">
        <f>IF(X688&gt;='Methodology &amp; Assumptions'!$B$7, "Tier 1 Critical GIDA (Score ≥ 50.0)", IF(X688&gt;='Methodology &amp; Assumptions'!$B$8, "Tier 2 High GIDA (Score 40.0–49.9)", "Tier 3 Moderate GIDA (Score &lt; 40.0)"))</f>
        <v/>
      </c>
      <c r="V688" s="26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W688" s="28" t="n">
        <v>0.11</v>
      </c>
      <c r="X688" s="14" t="n">
        <v>45.73</v>
      </c>
      <c r="Y688" s="14">
        <f>ROUND(MIN(100, (X688/69.91)*100), 2)</f>
        <v/>
      </c>
    </row>
    <row r="689">
      <c r="A689" s="10" t="n">
        <v>4</v>
      </c>
      <c r="B689" s="10" t="n">
        <v>685</v>
      </c>
      <c r="C689" s="10" t="n">
        <v>3685</v>
      </c>
      <c r="D689" s="10" t="inlineStr">
        <is>
          <t>PH0003685</t>
        </is>
      </c>
      <c r="E689" s="26" t="inlineStr">
        <is>
          <t>IV-A</t>
        </is>
      </c>
      <c r="F689" s="26" t="inlineStr">
        <is>
          <t>Cavite</t>
        </is>
      </c>
      <c r="G689" s="26" t="inlineStr">
        <is>
          <t>Cavite City</t>
        </is>
      </c>
      <c r="H689" s="26" t="inlineStr">
        <is>
          <t>Barangay 44</t>
        </is>
      </c>
      <c r="I689" s="27" t="n">
        <v>14.470598</v>
      </c>
      <c r="J689" s="27" t="n">
        <v>120.895239</v>
      </c>
      <c r="K689" s="10" t="inlineStr">
        <is>
          <t>R</t>
        </is>
      </c>
      <c r="L689" s="12" t="n">
        <v>2316</v>
      </c>
      <c r="M689" s="14" t="n">
        <v>3.4</v>
      </c>
      <c r="N689" s="12">
        <f>ROUND(L689/M689, 0)</f>
        <v/>
      </c>
      <c r="O689" s="12">
        <f>ROUND(N689*'Methodology &amp; Assumptions'!$B$5, 0)</f>
        <v/>
      </c>
      <c r="P689" s="10" t="inlineStr">
        <is>
          <t>Single Carrier (Band n50, 100MHz TDD)</t>
        </is>
      </c>
      <c r="Q689" s="13">
        <f>ROUNDUP(O689/'Methodology &amp; Assumptions'!$B$6, 0)</f>
        <v/>
      </c>
      <c r="R689" s="13" t="n">
        <v>1</v>
      </c>
      <c r="S689" s="14" t="n">
        <v>0.95</v>
      </c>
      <c r="T689" s="14" t="n">
        <v>3.4</v>
      </c>
      <c r="U689" s="26">
        <f>IF(X689&gt;='Methodology &amp; Assumptions'!$B$7, "Tier 1 Critical GIDA (Score ≥ 50.0)", IF(X689&gt;='Methodology &amp; Assumptions'!$B$8, "Tier 2 High GIDA (Score 40.0–49.9)", "Tier 3 Moderate GIDA (Score &lt; 40.0)"))</f>
        <v/>
      </c>
      <c r="V689" s="26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W689" s="28" t="n">
        <v>0.07200000000000001</v>
      </c>
      <c r="X689" s="14" t="n">
        <v>45.73</v>
      </c>
      <c r="Y689" s="14">
        <f>ROUND(MIN(100, (X689/69.91)*100), 2)</f>
        <v/>
      </c>
    </row>
    <row r="690">
      <c r="A690" s="10" t="n">
        <v>4</v>
      </c>
      <c r="B690" s="10" t="n">
        <v>686</v>
      </c>
      <c r="C690" s="10" t="n">
        <v>3686</v>
      </c>
      <c r="D690" s="10" t="inlineStr">
        <is>
          <t>1907003005</t>
        </is>
      </c>
      <c r="E690" s="26" t="inlineStr">
        <is>
          <t>Bangsamoro Autonomous Region In Muslim Mindanao (BARMM)</t>
        </is>
      </c>
      <c r="F690" s="26" t="inlineStr">
        <is>
          <t>Tawi-Tawi</t>
        </is>
      </c>
      <c r="G690" s="26" t="inlineStr">
        <is>
          <t>Mapun</t>
        </is>
      </c>
      <c r="H690" s="26" t="inlineStr">
        <is>
          <t>Guppah</t>
        </is>
      </c>
      <c r="I690" s="27" t="n">
        <v>17.255743</v>
      </c>
      <c r="J690" s="27" t="n">
        <v>122.229787</v>
      </c>
      <c r="K690" s="10" t="inlineStr">
        <is>
          <t>R</t>
        </is>
      </c>
      <c r="L690" s="12" t="n">
        <v>2470</v>
      </c>
      <c r="M690" s="14" t="n">
        <v>5.8</v>
      </c>
      <c r="N690" s="12">
        <f>ROUND(L690/M690, 0)</f>
        <v/>
      </c>
      <c r="O690" s="12">
        <f>ROUND(N690*'Methodology &amp; Assumptions'!$B$5, 0)</f>
        <v/>
      </c>
      <c r="P690" s="10" t="inlineStr">
        <is>
          <t>Single Carrier (Band n50, 100MHz TDD)</t>
        </is>
      </c>
      <c r="Q690" s="13">
        <f>ROUNDUP(O690/'Methodology &amp; Assumptions'!$B$6, 0)</f>
        <v/>
      </c>
      <c r="R690" s="13" t="n">
        <v>1</v>
      </c>
      <c r="S690" s="14" t="n">
        <v>29.55</v>
      </c>
      <c r="T690" s="14" t="n">
        <v>34.42</v>
      </c>
      <c r="U690" s="26">
        <f>IF(X690&gt;='Methodology &amp; Assumptions'!$B$7, "Tier 1 Critical GIDA (Score ≥ 50.0)", IF(X690&gt;='Methodology &amp; Assumptions'!$B$8, "Tier 2 High GIDA (Score 40.0–49.9)", "Tier 3 Moderate GIDA (Score &lt; 40.0)"))</f>
        <v/>
      </c>
      <c r="V690" s="26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W690" s="28" t="n">
        <v>0.11</v>
      </c>
      <c r="X690" s="14" t="n">
        <v>45.73</v>
      </c>
      <c r="Y690" s="14">
        <f>ROUND(MIN(100, (X690/69.91)*100), 2)</f>
        <v/>
      </c>
    </row>
    <row r="691">
      <c r="A691" s="10" t="n">
        <v>4</v>
      </c>
      <c r="B691" s="10" t="n">
        <v>687</v>
      </c>
      <c r="C691" s="10" t="n">
        <v>3687</v>
      </c>
      <c r="D691" s="10" t="inlineStr">
        <is>
          <t>1907004013</t>
        </is>
      </c>
      <c r="E691" s="26" t="inlineStr">
        <is>
          <t>Bangsamoro Autonomous Region In Muslim Mindanao (BARMM)</t>
        </is>
      </c>
      <c r="F691" s="26" t="inlineStr">
        <is>
          <t>Tawi-Tawi</t>
        </is>
      </c>
      <c r="G691" s="26" t="inlineStr">
        <is>
          <t>Simunul</t>
        </is>
      </c>
      <c r="H691" s="26" t="inlineStr">
        <is>
          <t>Sukah-Bulan</t>
        </is>
      </c>
      <c r="I691" s="27" t="n">
        <v>4.921712</v>
      </c>
      <c r="J691" s="27" t="n">
        <v>119.793052</v>
      </c>
      <c r="K691" s="10" t="inlineStr">
        <is>
          <t>R</t>
        </is>
      </c>
      <c r="L691" s="12" t="n">
        <v>1945</v>
      </c>
      <c r="M691" s="14" t="n">
        <v>5.8</v>
      </c>
      <c r="N691" s="12">
        <f>ROUND(L691/M691, 0)</f>
        <v/>
      </c>
      <c r="O691" s="12">
        <f>ROUND(N691*'Methodology &amp; Assumptions'!$B$5, 0)</f>
        <v/>
      </c>
      <c r="P691" s="10" t="inlineStr">
        <is>
          <t>Single Carrier (Band n50, 100MHz TDD)</t>
        </is>
      </c>
      <c r="Q691" s="13">
        <f>ROUNDUP(O691/'Methodology &amp; Assumptions'!$B$6, 0)</f>
        <v/>
      </c>
      <c r="R691" s="13" t="n">
        <v>1</v>
      </c>
      <c r="S691" s="14" t="n">
        <v>999</v>
      </c>
      <c r="T691" s="14" t="n">
        <v>999</v>
      </c>
      <c r="U691" s="26">
        <f>IF(X691&gt;='Methodology &amp; Assumptions'!$B$7, "Tier 1 Critical GIDA (Score ≥ 50.0)", IF(X691&gt;='Methodology &amp; Assumptions'!$B$8, "Tier 2 High GIDA (Score 40.0–49.9)", "Tier 3 Moderate GIDA (Score &lt; 40.0)"))</f>
        <v/>
      </c>
      <c r="V691" s="26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W691" s="28" t="n">
        <v>0.11</v>
      </c>
      <c r="X691" s="14" t="n">
        <v>45.73</v>
      </c>
      <c r="Y691" s="14">
        <f>ROUND(MIN(100, (X691/69.91)*100), 2)</f>
        <v/>
      </c>
    </row>
    <row r="692">
      <c r="A692" s="10" t="n">
        <v>4</v>
      </c>
      <c r="B692" s="10" t="n">
        <v>688</v>
      </c>
      <c r="C692" s="10" t="n">
        <v>3688</v>
      </c>
      <c r="D692" s="10" t="inlineStr">
        <is>
          <t>0806001004</t>
        </is>
      </c>
      <c r="E692" s="26" t="inlineStr">
        <is>
          <t>Region VIII (Eastern Visayas)</t>
        </is>
      </c>
      <c r="F692" s="26" t="inlineStr">
        <is>
          <t>Samar</t>
        </is>
      </c>
      <c r="G692" s="26" t="inlineStr">
        <is>
          <t>Almagro</t>
        </is>
      </c>
      <c r="H692" s="26" t="inlineStr">
        <is>
          <t>Biasong I</t>
        </is>
      </c>
      <c r="I692" s="27" t="n">
        <v>11.925461</v>
      </c>
      <c r="J692" s="27" t="n">
        <v>124.29081</v>
      </c>
      <c r="K692" s="10" t="inlineStr">
        <is>
          <t>R</t>
        </is>
      </c>
      <c r="L692" s="12" t="n">
        <v>510</v>
      </c>
      <c r="M692" s="14" t="n">
        <v>4.1</v>
      </c>
      <c r="N692" s="12">
        <f>ROUND(L692/M692, 0)</f>
        <v/>
      </c>
      <c r="O692" s="12">
        <f>ROUND(N692*'Methodology &amp; Assumptions'!$B$5, 0)</f>
        <v/>
      </c>
      <c r="P692" s="10" t="inlineStr">
        <is>
          <t>Single Carrier (Band n50, 100MHz TDD)</t>
        </is>
      </c>
      <c r="Q692" s="13">
        <f>ROUNDUP(O692/'Methodology &amp; Assumptions'!$B$6, 0)</f>
        <v/>
      </c>
      <c r="R692" s="13" t="n">
        <v>1</v>
      </c>
      <c r="S692" s="14" t="n">
        <v>41.9</v>
      </c>
      <c r="T692" s="14" t="n">
        <v>74.59</v>
      </c>
      <c r="U692" s="26">
        <f>IF(X692&gt;='Methodology &amp; Assumptions'!$B$7, "Tier 1 Critical GIDA (Score ≥ 50.0)", IF(X692&gt;='Methodology &amp; Assumptions'!$B$8, "Tier 2 High GIDA (Score 40.0–49.9)", "Tier 3 Moderate GIDA (Score &lt; 40.0)"))</f>
        <v/>
      </c>
      <c r="V692" s="26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W692" s="28" t="n">
        <v>0.237</v>
      </c>
      <c r="X692" s="14" t="n">
        <v>45.72</v>
      </c>
      <c r="Y692" s="14">
        <f>ROUND(MIN(100, (X692/69.91)*100), 2)</f>
        <v/>
      </c>
    </row>
    <row r="693">
      <c r="A693" s="10" t="n">
        <v>4</v>
      </c>
      <c r="B693" s="10" t="n">
        <v>689</v>
      </c>
      <c r="C693" s="10" t="n">
        <v>3689</v>
      </c>
      <c r="D693" s="10" t="inlineStr">
        <is>
          <t>0806001026</t>
        </is>
      </c>
      <c r="E693" s="26" t="inlineStr">
        <is>
          <t>Region VIII (Eastern Visayas)</t>
        </is>
      </c>
      <c r="F693" s="26" t="inlineStr">
        <is>
          <t>Samar</t>
        </is>
      </c>
      <c r="G693" s="26" t="inlineStr">
        <is>
          <t>Almagro</t>
        </is>
      </c>
      <c r="H693" s="26" t="inlineStr">
        <is>
          <t>Biasong II</t>
        </is>
      </c>
      <c r="I693" s="27" t="n">
        <v>11.927351</v>
      </c>
      <c r="J693" s="27" t="n">
        <v>124.322588</v>
      </c>
      <c r="K693" s="10" t="inlineStr">
        <is>
          <t>R</t>
        </is>
      </c>
      <c r="L693" s="12" t="n">
        <v>339</v>
      </c>
      <c r="M693" s="14" t="n">
        <v>4.1</v>
      </c>
      <c r="N693" s="12">
        <f>ROUND(L693/M693, 0)</f>
        <v/>
      </c>
      <c r="O693" s="12">
        <f>ROUND(N693*'Methodology &amp; Assumptions'!$B$5, 0)</f>
        <v/>
      </c>
      <c r="P693" s="10" t="inlineStr">
        <is>
          <t>Single Carrier (Band n50, 100MHz TDD)</t>
        </is>
      </c>
      <c r="Q693" s="13">
        <f>ROUNDUP(O693/'Methodology &amp; Assumptions'!$B$6, 0)</f>
        <v/>
      </c>
      <c r="R693" s="13" t="n">
        <v>1</v>
      </c>
      <c r="S693" s="14" t="n">
        <v>45.35</v>
      </c>
      <c r="T693" s="14" t="n">
        <v>74.20999999999999</v>
      </c>
      <c r="U693" s="26">
        <f>IF(X693&gt;='Methodology &amp; Assumptions'!$B$7, "Tier 1 Critical GIDA (Score ≥ 50.0)", IF(X693&gt;='Methodology &amp; Assumptions'!$B$8, "Tier 2 High GIDA (Score 40.0–49.9)", "Tier 3 Moderate GIDA (Score &lt; 40.0)"))</f>
        <v/>
      </c>
      <c r="V693" s="26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W693" s="28" t="n">
        <v>0.237</v>
      </c>
      <c r="X693" s="14" t="n">
        <v>45.72</v>
      </c>
      <c r="Y693" s="14">
        <f>ROUND(MIN(100, (X693/69.91)*100), 2)</f>
        <v/>
      </c>
    </row>
    <row r="694">
      <c r="A694" s="10" t="n">
        <v>4</v>
      </c>
      <c r="B694" s="10" t="n">
        <v>690</v>
      </c>
      <c r="C694" s="10" t="n">
        <v>3690</v>
      </c>
      <c r="D694" s="10" t="inlineStr">
        <is>
          <t>PH0003690</t>
        </is>
      </c>
      <c r="E694" s="26" t="inlineStr">
        <is>
          <t>IV-A</t>
        </is>
      </c>
      <c r="F694" s="26" t="inlineStr">
        <is>
          <t>Cavite</t>
        </is>
      </c>
      <c r="G694" s="26" t="inlineStr">
        <is>
          <t>Imus City</t>
        </is>
      </c>
      <c r="H694" s="26" t="inlineStr">
        <is>
          <t>Poblacion II-B</t>
        </is>
      </c>
      <c r="I694" s="27" t="n">
        <v>14.309533</v>
      </c>
      <c r="J694" s="27" t="n">
        <v>120.880713</v>
      </c>
      <c r="K694" s="10" t="inlineStr">
        <is>
          <t>R</t>
        </is>
      </c>
      <c r="L694" s="12" t="n">
        <v>2316</v>
      </c>
      <c r="M694" s="14" t="n">
        <v>3.4</v>
      </c>
      <c r="N694" s="12">
        <f>ROUND(L694/M694, 0)</f>
        <v/>
      </c>
      <c r="O694" s="12">
        <f>ROUND(N694*'Methodology &amp; Assumptions'!$B$5, 0)</f>
        <v/>
      </c>
      <c r="P694" s="10" t="inlineStr">
        <is>
          <t>Single Carrier (Band n50, 100MHz TDD)</t>
        </is>
      </c>
      <c r="Q694" s="13">
        <f>ROUNDUP(O694/'Methodology &amp; Assumptions'!$B$6, 0)</f>
        <v/>
      </c>
      <c r="R694" s="13" t="n">
        <v>1</v>
      </c>
      <c r="S694" s="14" t="n">
        <v>3.27</v>
      </c>
      <c r="T694" s="14" t="n">
        <v>2.45</v>
      </c>
      <c r="U694" s="26">
        <f>IF(X694&gt;='Methodology &amp; Assumptions'!$B$7, "Tier 1 Critical GIDA (Score ≥ 50.0)", IF(X694&gt;='Methodology &amp; Assumptions'!$B$8, "Tier 2 High GIDA (Score 40.0–49.9)", "Tier 3 Moderate GIDA (Score &lt; 40.0)"))</f>
        <v/>
      </c>
      <c r="V694" s="26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W694" s="28" t="n">
        <v>0.07200000000000001</v>
      </c>
      <c r="X694" s="14" t="n">
        <v>45.71</v>
      </c>
      <c r="Y694" s="14">
        <f>ROUND(MIN(100, (X694/69.91)*100), 2)</f>
        <v/>
      </c>
    </row>
    <row r="695">
      <c r="A695" s="10" t="n">
        <v>4</v>
      </c>
      <c r="B695" s="10" t="n">
        <v>691</v>
      </c>
      <c r="C695" s="10" t="n">
        <v>3691</v>
      </c>
      <c r="D695" s="10" t="inlineStr">
        <is>
          <t>1906613002</t>
        </is>
      </c>
      <c r="E695" s="26" t="inlineStr">
        <is>
          <t>Bangsamoro Autonomous Region In Muslim Mindanao (BARMM)</t>
        </is>
      </c>
      <c r="F695" s="26" t="inlineStr">
        <is>
          <t>Sulu</t>
        </is>
      </c>
      <c r="G695" s="26" t="inlineStr">
        <is>
          <t>Talipao</t>
        </is>
      </c>
      <c r="H695" s="26" t="inlineStr">
        <is>
          <t>Bagsak</t>
        </is>
      </c>
      <c r="I695" s="27" t="n">
        <v>17.255424</v>
      </c>
      <c r="J695" s="27" t="n">
        <v>122.229468</v>
      </c>
      <c r="K695" s="10" t="inlineStr">
        <is>
          <t>R</t>
        </is>
      </c>
      <c r="L695" s="12" t="n">
        <v>2454</v>
      </c>
      <c r="M695" s="14" t="n">
        <v>6</v>
      </c>
      <c r="N695" s="12">
        <f>ROUND(L695/M695, 0)</f>
        <v/>
      </c>
      <c r="O695" s="12">
        <f>ROUND(N695*'Methodology &amp; Assumptions'!$B$5, 0)</f>
        <v/>
      </c>
      <c r="P695" s="10" t="inlineStr">
        <is>
          <t>Single Carrier (Band n50, 100MHz TDD)</t>
        </is>
      </c>
      <c r="Q695" s="13">
        <f>ROUNDUP(O695/'Methodology &amp; Assumptions'!$B$6, 0)</f>
        <v/>
      </c>
      <c r="R695" s="13" t="n">
        <v>1</v>
      </c>
      <c r="S695" s="14" t="n">
        <v>29.5</v>
      </c>
      <c r="T695" s="14" t="n">
        <v>34.38</v>
      </c>
      <c r="U695" s="26">
        <f>IF(X695&gt;='Methodology &amp; Assumptions'!$B$7, "Tier 1 Critical GIDA (Score ≥ 50.0)", IF(X695&gt;='Methodology &amp; Assumptions'!$B$8, "Tier 2 High GIDA (Score 40.0–49.9)", "Tier 3 Moderate GIDA (Score &lt; 40.0)"))</f>
        <v/>
      </c>
      <c r="V695" s="26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W695" s="28" t="n">
        <v>0.11</v>
      </c>
      <c r="X695" s="14" t="n">
        <v>45.7</v>
      </c>
      <c r="Y695" s="14">
        <f>ROUND(MIN(100, (X695/69.91)*100), 2)</f>
        <v/>
      </c>
    </row>
    <row r="696">
      <c r="A696" s="10" t="n">
        <v>4</v>
      </c>
      <c r="B696" s="10" t="n">
        <v>692</v>
      </c>
      <c r="C696" s="10" t="n">
        <v>3692</v>
      </c>
      <c r="D696" s="10" t="inlineStr">
        <is>
          <t>0401019004</t>
        </is>
      </c>
      <c r="E696" s="26" t="inlineStr">
        <is>
          <t>Region IV-A (CALABARZON)</t>
        </is>
      </c>
      <c r="F696" s="26" t="inlineStr">
        <is>
          <t>Batangas</t>
        </is>
      </c>
      <c r="G696" s="26" t="inlineStr">
        <is>
          <t>Nasugbu</t>
        </is>
      </c>
      <c r="H696" s="26" t="inlineStr">
        <is>
          <t>Barangay 10</t>
        </is>
      </c>
      <c r="I696" s="27" t="n">
        <v>14.094975</v>
      </c>
      <c r="J696" s="27" t="n">
        <v>120.675826</v>
      </c>
      <c r="K696" s="10" t="inlineStr">
        <is>
          <t>U</t>
        </is>
      </c>
      <c r="L696" s="12" t="n">
        <v>935</v>
      </c>
      <c r="M696" s="14" t="n">
        <v>3.6</v>
      </c>
      <c r="N696" s="12">
        <f>ROUND(L696/M696, 0)</f>
        <v/>
      </c>
      <c r="O696" s="12">
        <f>ROUND(N696*'Methodology &amp; Assumptions'!$B$5, 0)</f>
        <v/>
      </c>
      <c r="P696" s="10" t="inlineStr">
        <is>
          <t>Single Carrier (Band n50, 100MHz TDD)</t>
        </is>
      </c>
      <c r="Q696" s="13">
        <f>ROUNDUP(O696/'Methodology &amp; Assumptions'!$B$6, 0)</f>
        <v/>
      </c>
      <c r="R696" s="13" t="n">
        <v>1</v>
      </c>
      <c r="S696" s="14" t="n">
        <v>5.25</v>
      </c>
      <c r="T696" s="14" t="n">
        <v>1.2</v>
      </c>
      <c r="U696" s="26">
        <f>IF(X696&gt;='Methodology &amp; Assumptions'!$B$7, "Tier 1 Critical GIDA (Score ≥ 50.0)", IF(X696&gt;='Methodology &amp; Assumptions'!$B$8, "Tier 2 High GIDA (Score 40.0–49.9)", "Tier 3 Moderate GIDA (Score &lt; 40.0)"))</f>
        <v/>
      </c>
      <c r="V696" s="26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W696" s="28" t="n">
        <v>0.07200000000000001</v>
      </c>
      <c r="X696" s="14" t="n">
        <v>45.7</v>
      </c>
      <c r="Y696" s="14">
        <f>ROUND(MIN(100, (X696/69.91)*100), 2)</f>
        <v/>
      </c>
    </row>
    <row r="697">
      <c r="A697" s="10" t="n">
        <v>4</v>
      </c>
      <c r="B697" s="10" t="n">
        <v>693</v>
      </c>
      <c r="C697" s="10" t="n">
        <v>3693</v>
      </c>
      <c r="D697" s="10" t="inlineStr">
        <is>
          <t>1907004011</t>
        </is>
      </c>
      <c r="E697" s="26" t="inlineStr">
        <is>
          <t>Bangsamoro Autonomous Region In Muslim Mindanao (BARMM)</t>
        </is>
      </c>
      <c r="F697" s="26" t="inlineStr">
        <is>
          <t>Tawi-Tawi</t>
        </is>
      </c>
      <c r="G697" s="26" t="inlineStr">
        <is>
          <t>Simunul</t>
        </is>
      </c>
      <c r="H697" s="26" t="inlineStr">
        <is>
          <t>Pagasinan</t>
        </is>
      </c>
      <c r="I697" s="27" t="n">
        <v>17.255841</v>
      </c>
      <c r="J697" s="27" t="n">
        <v>122.229885</v>
      </c>
      <c r="K697" s="10" t="inlineStr">
        <is>
          <t>R</t>
        </is>
      </c>
      <c r="L697" s="12" t="n">
        <v>1446</v>
      </c>
      <c r="M697" s="14" t="n">
        <v>5.8</v>
      </c>
      <c r="N697" s="12">
        <f>ROUND(L697/M697, 0)</f>
        <v/>
      </c>
      <c r="O697" s="12">
        <f>ROUND(N697*'Methodology &amp; Assumptions'!$B$5, 0)</f>
        <v/>
      </c>
      <c r="P697" s="10" t="inlineStr">
        <is>
          <t>Single Carrier (Band n50, 100MHz TDD)</t>
        </is>
      </c>
      <c r="Q697" s="13">
        <f>ROUNDUP(O697/'Methodology &amp; Assumptions'!$B$6, 0)</f>
        <v/>
      </c>
      <c r="R697" s="13" t="n">
        <v>1</v>
      </c>
      <c r="S697" s="14" t="n">
        <v>29.57</v>
      </c>
      <c r="T697" s="14" t="n">
        <v>34.43</v>
      </c>
      <c r="U697" s="26">
        <f>IF(X697&gt;='Methodology &amp; Assumptions'!$B$7, "Tier 1 Critical GIDA (Score ≥ 50.0)", IF(X697&gt;='Methodology &amp; Assumptions'!$B$8, "Tier 2 High GIDA (Score 40.0–49.9)", "Tier 3 Moderate GIDA (Score &lt; 40.0)"))</f>
        <v/>
      </c>
      <c r="V697" s="26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W697" s="28" t="n">
        <v>0.11</v>
      </c>
      <c r="X697" s="14" t="n">
        <v>45.69</v>
      </c>
      <c r="Y697" s="14">
        <f>ROUND(MIN(100, (X697/69.91)*100), 2)</f>
        <v/>
      </c>
    </row>
    <row r="698">
      <c r="A698" s="10" t="n">
        <v>4</v>
      </c>
      <c r="B698" s="10" t="n">
        <v>694</v>
      </c>
      <c r="C698" s="10" t="n">
        <v>3694</v>
      </c>
      <c r="D698" s="10" t="inlineStr">
        <is>
          <t>PH0003694</t>
        </is>
      </c>
      <c r="E698" s="26" t="inlineStr">
        <is>
          <t>IV-A</t>
        </is>
      </c>
      <c r="F698" s="26" t="inlineStr">
        <is>
          <t>Cavite</t>
        </is>
      </c>
      <c r="G698" s="26" t="inlineStr">
        <is>
          <t>Cavite City</t>
        </is>
      </c>
      <c r="H698" s="26" t="inlineStr">
        <is>
          <t>Barangay 19</t>
        </is>
      </c>
      <c r="I698" s="27" t="n">
        <v>14.488186</v>
      </c>
      <c r="J698" s="27" t="n">
        <v>120.891111</v>
      </c>
      <c r="K698" s="10" t="inlineStr">
        <is>
          <t>R</t>
        </is>
      </c>
      <c r="L698" s="12" t="n">
        <v>2316</v>
      </c>
      <c r="M698" s="14" t="n">
        <v>3.4</v>
      </c>
      <c r="N698" s="12">
        <f>ROUND(L698/M698, 0)</f>
        <v/>
      </c>
      <c r="O698" s="12">
        <f>ROUND(N698*'Methodology &amp; Assumptions'!$B$5, 0)</f>
        <v/>
      </c>
      <c r="P698" s="10" t="inlineStr">
        <is>
          <t>Single Carrier (Band n50, 100MHz TDD)</t>
        </is>
      </c>
      <c r="Q698" s="13">
        <f>ROUNDUP(O698/'Methodology &amp; Assumptions'!$B$6, 0)</f>
        <v/>
      </c>
      <c r="R698" s="13" t="n">
        <v>1</v>
      </c>
      <c r="S698" s="14" t="n">
        <v>1.54</v>
      </c>
      <c r="T698" s="14" t="n">
        <v>5.26</v>
      </c>
      <c r="U698" s="26">
        <f>IF(X698&gt;='Methodology &amp; Assumptions'!$B$7, "Tier 1 Critical GIDA (Score ≥ 50.0)", IF(X698&gt;='Methodology &amp; Assumptions'!$B$8, "Tier 2 High GIDA (Score 40.0–49.9)", "Tier 3 Moderate GIDA (Score &lt; 40.0)"))</f>
        <v/>
      </c>
      <c r="V698" s="26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W698" s="28" t="n">
        <v>0.07200000000000001</v>
      </c>
      <c r="X698" s="14" t="n">
        <v>45.69</v>
      </c>
      <c r="Y698" s="14">
        <f>ROUND(MIN(100, (X698/69.91)*100), 2)</f>
        <v/>
      </c>
    </row>
    <row r="699">
      <c r="A699" s="10" t="n">
        <v>4</v>
      </c>
      <c r="B699" s="10" t="n">
        <v>695</v>
      </c>
      <c r="C699" s="10" t="n">
        <v>3695</v>
      </c>
      <c r="D699" s="10" t="inlineStr">
        <is>
          <t>1380900009</t>
        </is>
      </c>
      <c r="E699" s="26" t="inlineStr">
        <is>
          <t>National Capital Region (NCR)</t>
        </is>
      </c>
      <c r="F699" s="26" t="inlineStr">
        <is>
          <t>Third District (Not a Province)</t>
        </is>
      </c>
      <c r="G699" s="26" t="inlineStr">
        <is>
          <t>City of Navotas</t>
        </is>
      </c>
      <c r="H699" s="26" t="inlineStr">
        <is>
          <t>NBBS Kaunlaran</t>
        </is>
      </c>
      <c r="I699" s="27" t="n">
        <v>14.652522</v>
      </c>
      <c r="J699" s="27" t="n">
        <v>120.934509</v>
      </c>
      <c r="K699" s="10" t="inlineStr">
        <is>
          <t>U</t>
        </is>
      </c>
      <c r="L699" s="12" t="n">
        <v>22388</v>
      </c>
      <c r="M699" s="14" t="n">
        <v>3.4</v>
      </c>
      <c r="N699" s="12">
        <f>ROUND(L699/M699, 0)</f>
        <v/>
      </c>
      <c r="O699" s="12">
        <f>ROUND(N699*'Methodology &amp; Assumptions'!$B$5, 0)</f>
        <v/>
      </c>
      <c r="P699" s="10" t="inlineStr">
        <is>
          <t>Single Carrier (Band n50, 100MHz TDD)</t>
        </is>
      </c>
      <c r="Q699" s="13">
        <f>ROUNDUP(O699/'Methodology &amp; Assumptions'!$B$6, 0)</f>
        <v/>
      </c>
      <c r="R699" s="13" t="n">
        <v>1</v>
      </c>
      <c r="S699" s="14" t="n">
        <v>1.35</v>
      </c>
      <c r="T699" s="14" t="n">
        <v>2.06</v>
      </c>
      <c r="U699" s="26">
        <f>IF(X699&gt;='Methodology &amp; Assumptions'!$B$7, "Tier 1 Critical GIDA (Score ≥ 50.0)", IF(X699&gt;='Methodology &amp; Assumptions'!$B$8, "Tier 2 High GIDA (Score 40.0–49.9)", "Tier 3 Moderate GIDA (Score &lt; 40.0)"))</f>
        <v/>
      </c>
      <c r="V699" s="26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W699" s="28" t="n">
        <v>0.109</v>
      </c>
      <c r="X699" s="14" t="n">
        <v>45.69</v>
      </c>
      <c r="Y699" s="14">
        <f>ROUND(MIN(100, (X699/69.91)*100), 2)</f>
        <v/>
      </c>
    </row>
    <row r="700">
      <c r="A700" s="10" t="n">
        <v>4</v>
      </c>
      <c r="B700" s="10" t="n">
        <v>696</v>
      </c>
      <c r="C700" s="10" t="n">
        <v>3696</v>
      </c>
      <c r="D700" s="10" t="inlineStr">
        <is>
          <t>1705306024</t>
        </is>
      </c>
      <c r="E700" s="26" t="inlineStr">
        <is>
          <t>MIMAROPA Region</t>
        </is>
      </c>
      <c r="F700" s="26" t="inlineStr">
        <is>
          <t>Palawan</t>
        </is>
      </c>
      <c r="G700" s="26" t="inlineStr">
        <is>
          <t>Brooke'S Point</t>
        </is>
      </c>
      <c r="H700" s="26" t="inlineStr">
        <is>
          <t>Samareñana</t>
        </is>
      </c>
      <c r="I700" s="27" t="n">
        <v>8.809611</v>
      </c>
      <c r="J700" s="27" t="n">
        <v>117.836447</v>
      </c>
      <c r="K700" s="10" t="inlineStr">
        <is>
          <t>R</t>
        </is>
      </c>
      <c r="L700" s="12" t="n">
        <v>4252</v>
      </c>
      <c r="M700" s="14" t="n">
        <v>3.9</v>
      </c>
      <c r="N700" s="12">
        <f>ROUND(L700/M700, 0)</f>
        <v/>
      </c>
      <c r="O700" s="12">
        <f>ROUND(N700*'Methodology &amp; Assumptions'!$B$5, 0)</f>
        <v/>
      </c>
      <c r="P700" s="10" t="inlineStr">
        <is>
          <t>Single Carrier (Band n50, 100MHz TDD)</t>
        </is>
      </c>
      <c r="Q700" s="13">
        <f>ROUNDUP(O700/'Methodology &amp; Assumptions'!$B$6, 0)</f>
        <v/>
      </c>
      <c r="R700" s="13" t="n">
        <v>1</v>
      </c>
      <c r="S700" s="14" t="n">
        <v>142.86</v>
      </c>
      <c r="T700" s="14" t="n">
        <v>145.16</v>
      </c>
      <c r="U700" s="26">
        <f>IF(X700&gt;='Methodology &amp; Assumptions'!$B$7, "Tier 1 Critical GIDA (Score ≥ 50.0)", IF(X700&gt;='Methodology &amp; Assumptions'!$B$8, "Tier 2 High GIDA (Score 40.0–49.9)", "Tier 3 Moderate GIDA (Score &lt; 40.0)"))</f>
        <v/>
      </c>
      <c r="V700" s="26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W700" s="28" t="n">
        <v>0.15</v>
      </c>
      <c r="X700" s="14" t="n">
        <v>45.67</v>
      </c>
      <c r="Y700" s="14">
        <f>ROUND(MIN(100, (X700/69.91)*100), 2)</f>
        <v/>
      </c>
    </row>
    <row r="701">
      <c r="A701" s="10" t="n">
        <v>4</v>
      </c>
      <c r="B701" s="10" t="n">
        <v>697</v>
      </c>
      <c r="C701" s="10" t="n">
        <v>3697</v>
      </c>
      <c r="D701" s="10" t="inlineStr">
        <is>
          <t>1907004001</t>
        </is>
      </c>
      <c r="E701" s="26" t="inlineStr">
        <is>
          <t>Bangsamoro Autonomous Region In Muslim Mindanao (BARMM)</t>
        </is>
      </c>
      <c r="F701" s="26" t="inlineStr">
        <is>
          <t>Tawi-Tawi</t>
        </is>
      </c>
      <c r="G701" s="26" t="inlineStr">
        <is>
          <t>Simunul</t>
        </is>
      </c>
      <c r="H701" s="26" t="inlineStr">
        <is>
          <t>Bakong</t>
        </is>
      </c>
      <c r="I701" s="27" t="n">
        <v>17.25584</v>
      </c>
      <c r="J701" s="27" t="n">
        <v>122.229884</v>
      </c>
      <c r="K701" s="10" t="inlineStr">
        <is>
          <t>R</t>
        </is>
      </c>
      <c r="L701" s="12" t="n">
        <v>3352</v>
      </c>
      <c r="M701" s="14" t="n">
        <v>5.8</v>
      </c>
      <c r="N701" s="12">
        <f>ROUND(L701/M701, 0)</f>
        <v/>
      </c>
      <c r="O701" s="12">
        <f>ROUND(N701*'Methodology &amp; Assumptions'!$B$5, 0)</f>
        <v/>
      </c>
      <c r="P701" s="10" t="inlineStr">
        <is>
          <t>Single Carrier (Band n50, 100MHz TDD)</t>
        </is>
      </c>
      <c r="Q701" s="13">
        <f>ROUNDUP(O701/'Methodology &amp; Assumptions'!$B$6, 0)</f>
        <v/>
      </c>
      <c r="R701" s="13" t="n">
        <v>1</v>
      </c>
      <c r="S701" s="14" t="n">
        <v>29.57</v>
      </c>
      <c r="T701" s="14" t="n">
        <v>34.43</v>
      </c>
      <c r="U701" s="26">
        <f>IF(X701&gt;='Methodology &amp; Assumptions'!$B$7, "Tier 1 Critical GIDA (Score ≥ 50.0)", IF(X701&gt;='Methodology &amp; Assumptions'!$B$8, "Tier 2 High GIDA (Score 40.0–49.9)", "Tier 3 Moderate GIDA (Score &lt; 40.0)"))</f>
        <v/>
      </c>
      <c r="V701" s="26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W701" s="28" t="n">
        <v>0.11</v>
      </c>
      <c r="X701" s="14" t="n">
        <v>45.66</v>
      </c>
      <c r="Y701" s="14">
        <f>ROUND(MIN(100, (X701/69.91)*100), 2)</f>
        <v/>
      </c>
    </row>
    <row r="702">
      <c r="A702" s="10" t="n">
        <v>4</v>
      </c>
      <c r="B702" s="10" t="n">
        <v>698</v>
      </c>
      <c r="C702" s="10" t="n">
        <v>3698</v>
      </c>
      <c r="D702" s="10" t="inlineStr">
        <is>
          <t>0200904001</t>
        </is>
      </c>
      <c r="E702" s="26" t="inlineStr">
        <is>
          <t>Region II (Cagayan Valley)</t>
        </is>
      </c>
      <c r="F702" s="26" t="inlineStr">
        <is>
          <t>Batanes</t>
        </is>
      </c>
      <c r="G702" s="26" t="inlineStr">
        <is>
          <t>Mahatao</t>
        </is>
      </c>
      <c r="H702" s="26" t="inlineStr">
        <is>
          <t>Hañib</t>
        </is>
      </c>
      <c r="I702" s="27" t="n">
        <v>20.415856</v>
      </c>
      <c r="J702" s="27" t="n">
        <v>121.947672</v>
      </c>
      <c r="K702" s="10" t="inlineStr">
        <is>
          <t>R</t>
        </is>
      </c>
      <c r="L702" s="12" t="n">
        <v>406</v>
      </c>
      <c r="M702" s="14" t="n">
        <v>3</v>
      </c>
      <c r="N702" s="12">
        <f>ROUND(L702/M702, 0)</f>
        <v/>
      </c>
      <c r="O702" s="12">
        <f>ROUND(N702*'Methodology &amp; Assumptions'!$B$5, 0)</f>
        <v/>
      </c>
      <c r="P702" s="10" t="inlineStr">
        <is>
          <t>Single Carrier (Band n50, 100MHz TDD)</t>
        </is>
      </c>
      <c r="Q702" s="13">
        <f>ROUNDUP(O702/'Methodology &amp; Assumptions'!$B$6, 0)</f>
        <v/>
      </c>
      <c r="R702" s="13" t="n">
        <v>1</v>
      </c>
      <c r="S702" s="14" t="n">
        <v>219.59</v>
      </c>
      <c r="T702" s="14" t="n">
        <v>213.88</v>
      </c>
      <c r="U702" s="26">
        <f>IF(X702&gt;='Methodology &amp; Assumptions'!$B$7, "Tier 1 Critical GIDA (Score ≥ 50.0)", IF(X702&gt;='Methodology &amp; Assumptions'!$B$8, "Tier 2 High GIDA (Score 40.0–49.9)", "Tier 3 Moderate GIDA (Score &lt; 40.0)"))</f>
        <v/>
      </c>
      <c r="V702" s="26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W702" s="28" t="n">
        <v>0.083</v>
      </c>
      <c r="X702" s="14" t="n">
        <v>45.66</v>
      </c>
      <c r="Y702" s="14">
        <f>ROUND(MIN(100, (X702/69.91)*100), 2)</f>
        <v/>
      </c>
    </row>
    <row r="703">
      <c r="A703" s="10" t="n">
        <v>4</v>
      </c>
      <c r="B703" s="10" t="n">
        <v>699</v>
      </c>
      <c r="C703" s="10" t="n">
        <v>3699</v>
      </c>
      <c r="D703" s="10" t="inlineStr">
        <is>
          <t>PH0003699</t>
        </is>
      </c>
      <c r="E703" s="26" t="inlineStr">
        <is>
          <t>IV-A</t>
        </is>
      </c>
      <c r="F703" s="26" t="inlineStr">
        <is>
          <t>Cavite</t>
        </is>
      </c>
      <c r="G703" s="26" t="inlineStr">
        <is>
          <t>Imus City</t>
        </is>
      </c>
      <c r="H703" s="26" t="inlineStr">
        <is>
          <t>Poblacion I-C</t>
        </is>
      </c>
      <c r="I703" s="27" t="n">
        <v>14.288535</v>
      </c>
      <c r="J703" s="27" t="n">
        <v>120.931214</v>
      </c>
      <c r="K703" s="10" t="inlineStr">
        <is>
          <t>R</t>
        </is>
      </c>
      <c r="L703" s="12" t="n">
        <v>2316</v>
      </c>
      <c r="M703" s="14" t="n">
        <v>3.4</v>
      </c>
      <c r="N703" s="12">
        <f>ROUND(L703/M703, 0)</f>
        <v/>
      </c>
      <c r="O703" s="12">
        <f>ROUND(N703*'Methodology &amp; Assumptions'!$B$5, 0)</f>
        <v/>
      </c>
      <c r="P703" s="10" t="inlineStr">
        <is>
          <t>Single Carrier (Band n50, 100MHz TDD)</t>
        </is>
      </c>
      <c r="Q703" s="13">
        <f>ROUNDUP(O703/'Methodology &amp; Assumptions'!$B$6, 0)</f>
        <v/>
      </c>
      <c r="R703" s="13" t="n">
        <v>1</v>
      </c>
      <c r="S703" s="14" t="n">
        <v>2.37</v>
      </c>
      <c r="T703" s="14" t="n">
        <v>0.35</v>
      </c>
      <c r="U703" s="26">
        <f>IF(X703&gt;='Methodology &amp; Assumptions'!$B$7, "Tier 1 Critical GIDA (Score ≥ 50.0)", IF(X703&gt;='Methodology &amp; Assumptions'!$B$8, "Tier 2 High GIDA (Score 40.0–49.9)", "Tier 3 Moderate GIDA (Score &lt; 40.0)"))</f>
        <v/>
      </c>
      <c r="V703" s="26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W703" s="28" t="n">
        <v>0.07200000000000001</v>
      </c>
      <c r="X703" s="14" t="n">
        <v>45.65</v>
      </c>
      <c r="Y703" s="14">
        <f>ROUND(MIN(100, (X703/69.91)*100), 2)</f>
        <v/>
      </c>
    </row>
    <row r="704">
      <c r="A704" s="10" t="n">
        <v>4</v>
      </c>
      <c r="B704" s="10" t="n">
        <v>700</v>
      </c>
      <c r="C704" s="10" t="n">
        <v>3700</v>
      </c>
      <c r="D704" s="10" t="inlineStr">
        <is>
          <t>1003514002</t>
        </is>
      </c>
      <c r="E704" s="26" t="inlineStr">
        <is>
          <t>Region X (Northern Mindanao)</t>
        </is>
      </c>
      <c r="F704" s="26" t="inlineStr">
        <is>
          <t>Lanao del Norte</t>
        </is>
      </c>
      <c r="G704" s="26" t="inlineStr">
        <is>
          <t>Munai</t>
        </is>
      </c>
      <c r="H704" s="26" t="inlineStr">
        <is>
          <t>Balabacun</t>
        </is>
      </c>
      <c r="I704" s="27" t="n">
        <v>8.044536000000001</v>
      </c>
      <c r="J704" s="27" t="n">
        <v>124.060184</v>
      </c>
      <c r="K704" s="10" t="inlineStr">
        <is>
          <t>R</t>
        </is>
      </c>
      <c r="L704" s="12" t="n">
        <v>1320</v>
      </c>
      <c r="M704" s="14" t="n">
        <v>4.2</v>
      </c>
      <c r="N704" s="12">
        <f>ROUND(L704/M704, 0)</f>
        <v/>
      </c>
      <c r="O704" s="12">
        <f>ROUND(N704*'Methodology &amp; Assumptions'!$B$5, 0)</f>
        <v/>
      </c>
      <c r="P704" s="10" t="inlineStr">
        <is>
          <t>Single Carrier (Band n50, 100MHz TDD)</t>
        </is>
      </c>
      <c r="Q704" s="13">
        <f>ROUNDUP(O704/'Methodology &amp; Assumptions'!$B$6, 0)</f>
        <v/>
      </c>
      <c r="R704" s="13" t="n">
        <v>1</v>
      </c>
      <c r="S704" s="14" t="n">
        <v>23.89</v>
      </c>
      <c r="T704" s="14" t="n">
        <v>15.61</v>
      </c>
      <c r="U704" s="26">
        <f>IF(X704&gt;='Methodology &amp; Assumptions'!$B$7, "Tier 1 Critical GIDA (Score ≥ 50.0)", IF(X704&gt;='Methodology &amp; Assumptions'!$B$8, "Tier 2 High GIDA (Score 40.0–49.9)", "Tier 3 Moderate GIDA (Score &lt; 40.0)"))</f>
        <v/>
      </c>
      <c r="V704" s="26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W704" s="28" t="n">
        <v>0.174</v>
      </c>
      <c r="X704" s="14" t="n">
        <v>45.65</v>
      </c>
      <c r="Y704" s="14">
        <f>ROUND(MIN(100, (X704/69.91)*100), 2)</f>
        <v/>
      </c>
    </row>
    <row r="705">
      <c r="A705" s="10" t="n">
        <v>4</v>
      </c>
      <c r="B705" s="10" t="n">
        <v>701</v>
      </c>
      <c r="C705" s="10" t="n">
        <v>3701</v>
      </c>
      <c r="D705" s="10" t="inlineStr">
        <is>
          <t>1907004008</t>
        </is>
      </c>
      <c r="E705" s="26" t="inlineStr">
        <is>
          <t>Bangsamoro Autonomous Region In Muslim Mindanao (BARMM)</t>
        </is>
      </c>
      <c r="F705" s="26" t="inlineStr">
        <is>
          <t>Tawi-Tawi</t>
        </is>
      </c>
      <c r="G705" s="26" t="inlineStr">
        <is>
          <t>Simunul</t>
        </is>
      </c>
      <c r="H705" s="26" t="inlineStr">
        <is>
          <t>Doh-Tong</t>
        </is>
      </c>
      <c r="I705" s="27" t="n">
        <v>17.255871</v>
      </c>
      <c r="J705" s="27" t="n">
        <v>122.229915</v>
      </c>
      <c r="K705" s="10" t="inlineStr">
        <is>
          <t>R</t>
        </is>
      </c>
      <c r="L705" s="12" t="n">
        <v>1946</v>
      </c>
      <c r="M705" s="14" t="n">
        <v>5.8</v>
      </c>
      <c r="N705" s="12">
        <f>ROUND(L705/M705, 0)</f>
        <v/>
      </c>
      <c r="O705" s="12">
        <f>ROUND(N705*'Methodology &amp; Assumptions'!$B$5, 0)</f>
        <v/>
      </c>
      <c r="P705" s="10" t="inlineStr">
        <is>
          <t>Single Carrier (Band n50, 100MHz TDD)</t>
        </is>
      </c>
      <c r="Q705" s="13">
        <f>ROUNDUP(O705/'Methodology &amp; Assumptions'!$B$6, 0)</f>
        <v/>
      </c>
      <c r="R705" s="13" t="n">
        <v>1</v>
      </c>
      <c r="S705" s="14" t="n">
        <v>29.57</v>
      </c>
      <c r="T705" s="14" t="n">
        <v>34.44</v>
      </c>
      <c r="U705" s="26">
        <f>IF(X705&gt;='Methodology &amp; Assumptions'!$B$7, "Tier 1 Critical GIDA (Score ≥ 50.0)", IF(X705&gt;='Methodology &amp; Assumptions'!$B$8, "Tier 2 High GIDA (Score 40.0–49.9)", "Tier 3 Moderate GIDA (Score &lt; 40.0)"))</f>
        <v/>
      </c>
      <c r="V705" s="26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W705" s="28" t="n">
        <v>0.11</v>
      </c>
      <c r="X705" s="14" t="n">
        <v>45.65</v>
      </c>
      <c r="Y705" s="14">
        <f>ROUND(MIN(100, (X705/69.91)*100), 2)</f>
        <v/>
      </c>
    </row>
    <row r="706">
      <c r="A706" s="10" t="n">
        <v>4</v>
      </c>
      <c r="B706" s="10" t="n">
        <v>702</v>
      </c>
      <c r="C706" s="10" t="n">
        <v>3702</v>
      </c>
      <c r="D706" s="10" t="inlineStr">
        <is>
          <t>0405801008</t>
        </is>
      </c>
      <c r="E706" s="26" t="inlineStr">
        <is>
          <t>Region IV-A (CALABARZON)</t>
        </is>
      </c>
      <c r="F706" s="26" t="inlineStr">
        <is>
          <t>Rizal</t>
        </is>
      </c>
      <c r="G706" s="26" t="inlineStr">
        <is>
          <t>Angono</t>
        </is>
      </c>
      <c r="H706" s="26" t="inlineStr">
        <is>
          <t>Poblacion Itaas</t>
        </is>
      </c>
      <c r="I706" s="27" t="n">
        <v>14.536405</v>
      </c>
      <c r="J706" s="27" t="n">
        <v>121.154489</v>
      </c>
      <c r="K706" s="10" t="inlineStr">
        <is>
          <t>R</t>
        </is>
      </c>
      <c r="L706" s="12" t="n">
        <v>538</v>
      </c>
      <c r="M706" s="14" t="n">
        <v>3.6</v>
      </c>
      <c r="N706" s="12">
        <f>ROUND(L706/M706, 0)</f>
        <v/>
      </c>
      <c r="O706" s="12">
        <f>ROUND(N706*'Methodology &amp; Assumptions'!$B$5, 0)</f>
        <v/>
      </c>
      <c r="P706" s="10" t="inlineStr">
        <is>
          <t>Single Carrier (Band n50, 100MHz TDD)</t>
        </is>
      </c>
      <c r="Q706" s="13">
        <f>ROUNDUP(O706/'Methodology &amp; Assumptions'!$B$6, 0)</f>
        <v/>
      </c>
      <c r="R706" s="13" t="n">
        <v>1</v>
      </c>
      <c r="S706" s="14" t="n">
        <v>0.99</v>
      </c>
      <c r="T706" s="14" t="n">
        <v>0.42</v>
      </c>
      <c r="U706" s="26">
        <f>IF(X706&gt;='Methodology &amp; Assumptions'!$B$7, "Tier 1 Critical GIDA (Score ≥ 50.0)", IF(X706&gt;='Methodology &amp; Assumptions'!$B$8, "Tier 2 High GIDA (Score 40.0–49.9)", "Tier 3 Moderate GIDA (Score &lt; 40.0)"))</f>
        <v/>
      </c>
      <c r="V706" s="26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W706" s="28" t="n">
        <v>0.07200000000000001</v>
      </c>
      <c r="X706" s="14" t="n">
        <v>45.65</v>
      </c>
      <c r="Y706" s="14">
        <f>ROUND(MIN(100, (X706/69.91)*100), 2)</f>
        <v/>
      </c>
    </row>
    <row r="707">
      <c r="A707" s="10" t="n">
        <v>4</v>
      </c>
      <c r="B707" s="10" t="n">
        <v>703</v>
      </c>
      <c r="C707" s="10" t="n">
        <v>3703</v>
      </c>
      <c r="D707" s="10" t="inlineStr">
        <is>
          <t>1908815006</t>
        </is>
      </c>
      <c r="E707" s="26" t="inlineStr">
        <is>
          <t>Bangsamoro Autonomous Region In Muslim Mindanao (BARMM)</t>
        </is>
      </c>
      <c r="F707" s="26" t="inlineStr">
        <is>
          <t>Maguindanao del Sur</t>
        </is>
      </c>
      <c r="G707" s="26" t="inlineStr">
        <is>
          <t>Pagagawan</t>
        </is>
      </c>
      <c r="H707" s="26" t="inlineStr">
        <is>
          <t>Maridagao</t>
        </is>
      </c>
      <c r="I707" s="27" t="n">
        <v>12.810605</v>
      </c>
      <c r="J707" s="27" t="n">
        <v>123.397389</v>
      </c>
      <c r="K707" s="10" t="inlineStr">
        <is>
          <t>R</t>
        </is>
      </c>
      <c r="L707" s="12" t="n">
        <v>3398</v>
      </c>
      <c r="M707" s="14" t="n">
        <v>4.7</v>
      </c>
      <c r="N707" s="12">
        <f>ROUND(L707/M707, 0)</f>
        <v/>
      </c>
      <c r="O707" s="12">
        <f>ROUND(N707*'Methodology &amp; Assumptions'!$B$5, 0)</f>
        <v/>
      </c>
      <c r="P707" s="10" t="inlineStr">
        <is>
          <t>Single Carrier (Band n50, 100MHz TDD)</t>
        </is>
      </c>
      <c r="Q707" s="13">
        <f>ROUNDUP(O707/'Methodology &amp; Assumptions'!$B$6, 0)</f>
        <v/>
      </c>
      <c r="R707" s="13" t="n">
        <v>1</v>
      </c>
      <c r="S707" s="14" t="n">
        <v>23.72</v>
      </c>
      <c r="T707" s="14" t="n">
        <v>32.93</v>
      </c>
      <c r="U707" s="26">
        <f>IF(X707&gt;='Methodology &amp; Assumptions'!$B$7, "Tier 1 Critical GIDA (Score ≥ 50.0)", IF(X707&gt;='Methodology &amp; Assumptions'!$B$8, "Tier 2 High GIDA (Score 40.0–49.9)", "Tier 3 Moderate GIDA (Score &lt; 40.0)"))</f>
        <v/>
      </c>
      <c r="V707" s="26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W707" s="28" t="n">
        <v>0.11</v>
      </c>
      <c r="X707" s="14" t="n">
        <v>45.65</v>
      </c>
      <c r="Y707" s="14">
        <f>ROUND(MIN(100, (X707/69.91)*100), 2)</f>
        <v/>
      </c>
    </row>
    <row r="708">
      <c r="A708" s="10" t="n">
        <v>4</v>
      </c>
      <c r="B708" s="10" t="n">
        <v>704</v>
      </c>
      <c r="C708" s="10" t="n">
        <v>3704</v>
      </c>
      <c r="D708" s="10" t="inlineStr">
        <is>
          <t>1705302007</t>
        </is>
      </c>
      <c r="E708" s="26" t="inlineStr">
        <is>
          <t>MIMAROPA Region</t>
        </is>
      </c>
      <c r="F708" s="26" t="inlineStr">
        <is>
          <t>Palawan</t>
        </is>
      </c>
      <c r="G708" s="26" t="inlineStr">
        <is>
          <t>Agutaya</t>
        </is>
      </c>
      <c r="H708" s="26" t="inlineStr">
        <is>
          <t>Abagat</t>
        </is>
      </c>
      <c r="I708" s="27" t="n">
        <v>11.241795</v>
      </c>
      <c r="J708" s="27" t="n">
        <v>120.935017</v>
      </c>
      <c r="K708" s="10" t="inlineStr">
        <is>
          <t>R</t>
        </is>
      </c>
      <c r="L708" s="12" t="n">
        <v>490</v>
      </c>
      <c r="M708" s="14" t="n">
        <v>3.9</v>
      </c>
      <c r="N708" s="12">
        <f>ROUND(L708/M708, 0)</f>
        <v/>
      </c>
      <c r="O708" s="12">
        <f>ROUND(N708*'Methodology &amp; Assumptions'!$B$5, 0)</f>
        <v/>
      </c>
      <c r="P708" s="10" t="inlineStr">
        <is>
          <t>Single Carrier (Band n50, 100MHz TDD)</t>
        </is>
      </c>
      <c r="Q708" s="13">
        <f>ROUNDUP(O708/'Methodology &amp; Assumptions'!$B$6, 0)</f>
        <v/>
      </c>
      <c r="R708" s="13" t="n">
        <v>1</v>
      </c>
      <c r="S708" s="14" t="n">
        <v>113.04</v>
      </c>
      <c r="T708" s="14" t="n">
        <v>119.51</v>
      </c>
      <c r="U708" s="26">
        <f>IF(X708&gt;='Methodology &amp; Assumptions'!$B$7, "Tier 1 Critical GIDA (Score ≥ 50.0)", IF(X708&gt;='Methodology &amp; Assumptions'!$B$8, "Tier 2 High GIDA (Score 40.0–49.9)", "Tier 3 Moderate GIDA (Score &lt; 40.0)"))</f>
        <v/>
      </c>
      <c r="V708" s="26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W708" s="28" t="n">
        <v>0.15</v>
      </c>
      <c r="X708" s="14" t="n">
        <v>45.64</v>
      </c>
      <c r="Y708" s="14">
        <f>ROUND(MIN(100, (X708/69.91)*100), 2)</f>
        <v/>
      </c>
    </row>
    <row r="709">
      <c r="A709" s="10" t="n">
        <v>4</v>
      </c>
      <c r="B709" s="10" t="n">
        <v>705</v>
      </c>
      <c r="C709" s="10" t="n">
        <v>3705</v>
      </c>
      <c r="D709" s="10" t="inlineStr">
        <is>
          <t>0403403018</t>
        </is>
      </c>
      <c r="E709" s="26" t="inlineStr">
        <is>
          <t>Region IV-A (CALABARZON)</t>
        </is>
      </c>
      <c r="F709" s="26" t="inlineStr">
        <is>
          <t>Laguna</t>
        </is>
      </c>
      <c r="G709" s="26" t="inlineStr">
        <is>
          <t>City of Biñan</t>
        </is>
      </c>
      <c r="H709" s="26" t="inlineStr">
        <is>
          <t>Santo Niño</t>
        </is>
      </c>
      <c r="I709" s="27" t="n">
        <v>14.32801</v>
      </c>
      <c r="J709" s="27" t="n">
        <v>121.082263</v>
      </c>
      <c r="K709" s="10" t="inlineStr">
        <is>
          <t>U</t>
        </is>
      </c>
      <c r="L709" s="12" t="n">
        <v>8480</v>
      </c>
      <c r="M709" s="14" t="n">
        <v>3.3</v>
      </c>
      <c r="N709" s="12">
        <f>ROUND(L709/M709, 0)</f>
        <v/>
      </c>
      <c r="O709" s="12">
        <f>ROUND(N709*'Methodology &amp; Assumptions'!$B$5, 0)</f>
        <v/>
      </c>
      <c r="P709" s="10" t="inlineStr">
        <is>
          <t>Single Carrier (Band n50, 100MHz TDD)</t>
        </is>
      </c>
      <c r="Q709" s="13">
        <f>ROUNDUP(O709/'Methodology &amp; Assumptions'!$B$6, 0)</f>
        <v/>
      </c>
      <c r="R709" s="13" t="n">
        <v>1</v>
      </c>
      <c r="S709" s="14" t="n">
        <v>1.37</v>
      </c>
      <c r="T709" s="14" t="n">
        <v>0.49</v>
      </c>
      <c r="U709" s="26">
        <f>IF(X709&gt;='Methodology &amp; Assumptions'!$B$7, "Tier 1 Critical GIDA (Score ≥ 50.0)", IF(X709&gt;='Methodology &amp; Assumptions'!$B$8, "Tier 2 High GIDA (Score 40.0–49.9)", "Tier 3 Moderate GIDA (Score &lt; 40.0)"))</f>
        <v/>
      </c>
      <c r="V709" s="26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W709" s="28" t="n">
        <v>0.07200000000000001</v>
      </c>
      <c r="X709" s="14" t="n">
        <v>45.64</v>
      </c>
      <c r="Y709" s="14">
        <f>ROUND(MIN(100, (X709/69.91)*100), 2)</f>
        <v/>
      </c>
    </row>
    <row r="710">
      <c r="A710" s="10" t="n">
        <v>4</v>
      </c>
      <c r="B710" s="10" t="n">
        <v>706</v>
      </c>
      <c r="C710" s="10" t="n">
        <v>3706</v>
      </c>
      <c r="D710" s="10" t="inlineStr">
        <is>
          <t>0600616038</t>
        </is>
      </c>
      <c r="E710" s="26" t="inlineStr">
        <is>
          <t>Region VI (Western Visayas)</t>
        </is>
      </c>
      <c r="F710" s="26" t="inlineStr">
        <is>
          <t>Antique</t>
        </is>
      </c>
      <c r="G710" s="26" t="inlineStr">
        <is>
          <t>Sibalom</t>
        </is>
      </c>
      <c r="H710" s="26" t="inlineStr">
        <is>
          <t>Indag-an</t>
        </is>
      </c>
      <c r="I710" s="27" t="n">
        <v>10.765695</v>
      </c>
      <c r="J710" s="27" t="n">
        <v>122.086404</v>
      </c>
      <c r="K710" s="10" t="inlineStr">
        <is>
          <t>R</t>
        </is>
      </c>
      <c r="L710" s="12" t="n">
        <v>324</v>
      </c>
      <c r="M710" s="14" t="n">
        <v>3.9</v>
      </c>
      <c r="N710" s="12">
        <f>ROUND(L710/M710, 0)</f>
        <v/>
      </c>
      <c r="O710" s="12">
        <f>ROUND(N710*'Methodology &amp; Assumptions'!$B$5, 0)</f>
        <v/>
      </c>
      <c r="P710" s="10" t="inlineStr">
        <is>
          <t>Single Carrier (Band n50, 100MHz TDD)</t>
        </is>
      </c>
      <c r="Q710" s="13">
        <f>ROUNDUP(O710/'Methodology &amp; Assumptions'!$B$6, 0)</f>
        <v/>
      </c>
      <c r="R710" s="13" t="n">
        <v>1</v>
      </c>
      <c r="S710" s="14" t="n">
        <v>16.22</v>
      </c>
      <c r="T710" s="14" t="n">
        <v>11.11</v>
      </c>
      <c r="U710" s="26">
        <f>IF(X710&gt;='Methodology &amp; Assumptions'!$B$7, "Tier 1 Critical GIDA (Score ≥ 50.0)", IF(X710&gt;='Methodology &amp; Assumptions'!$B$8, "Tier 2 High GIDA (Score 40.0–49.9)", "Tier 3 Moderate GIDA (Score &lt; 40.0)"))</f>
        <v/>
      </c>
      <c r="V710" s="26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W710" s="28" t="n">
        <v>0.237</v>
      </c>
      <c r="X710" s="14" t="n">
        <v>45.63</v>
      </c>
      <c r="Y710" s="14">
        <f>ROUND(MIN(100, (X710/69.91)*100), 2)</f>
        <v/>
      </c>
    </row>
    <row r="711">
      <c r="A711" s="10" t="n">
        <v>4</v>
      </c>
      <c r="B711" s="10" t="n">
        <v>707</v>
      </c>
      <c r="C711" s="10" t="n">
        <v>3707</v>
      </c>
      <c r="D711" s="10" t="inlineStr">
        <is>
          <t>1102504008</t>
        </is>
      </c>
      <c r="E711" s="26" t="inlineStr">
        <is>
          <t>Region XI (Davao Region)</t>
        </is>
      </c>
      <c r="F711" s="26" t="inlineStr">
        <is>
          <t>Davao Oriental</t>
        </is>
      </c>
      <c r="G711" s="26" t="inlineStr">
        <is>
          <t>Caraga</t>
        </is>
      </c>
      <c r="H711" s="26" t="inlineStr">
        <is>
          <t>Palma Gil</t>
        </is>
      </c>
      <c r="I711" s="27" t="n">
        <v>7.395403</v>
      </c>
      <c r="J711" s="27" t="n">
        <v>126.473946</v>
      </c>
      <c r="K711" s="10" t="inlineStr">
        <is>
          <t>R</t>
        </is>
      </c>
      <c r="L711" s="12" t="n">
        <v>1932</v>
      </c>
      <c r="M711" s="14" t="n">
        <v>3.6</v>
      </c>
      <c r="N711" s="12">
        <f>ROUND(L711/M711, 0)</f>
        <v/>
      </c>
      <c r="O711" s="12">
        <f>ROUND(N711*'Methodology &amp; Assumptions'!$B$5, 0)</f>
        <v/>
      </c>
      <c r="P711" s="10" t="inlineStr">
        <is>
          <t>Single Carrier (Band n50, 100MHz TDD)</t>
        </is>
      </c>
      <c r="Q711" s="13">
        <f>ROUNDUP(O711/'Methodology &amp; Assumptions'!$B$6, 0)</f>
        <v/>
      </c>
      <c r="R711" s="13" t="n">
        <v>1</v>
      </c>
      <c r="S711" s="14" t="n">
        <v>56.55</v>
      </c>
      <c r="T711" s="14" t="n">
        <v>56.01</v>
      </c>
      <c r="U711" s="26">
        <f>IF(X711&gt;='Methodology &amp; Assumptions'!$B$7, "Tier 1 Critical GIDA (Score ≥ 50.0)", IF(X711&gt;='Methodology &amp; Assumptions'!$B$8, "Tier 2 High GIDA (Score 40.0–49.9)", "Tier 3 Moderate GIDA (Score &lt; 40.0)"))</f>
        <v/>
      </c>
      <c r="V711" s="26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W711" s="28" t="n">
        <v>0.174</v>
      </c>
      <c r="X711" s="14" t="n">
        <v>45.62</v>
      </c>
      <c r="Y711" s="14">
        <f>ROUND(MIN(100, (X711/69.91)*100), 2)</f>
        <v/>
      </c>
    </row>
    <row r="712">
      <c r="A712" s="10" t="n">
        <v>4</v>
      </c>
      <c r="B712" s="10" t="n">
        <v>708</v>
      </c>
      <c r="C712" s="10" t="n">
        <v>3708</v>
      </c>
      <c r="D712" s="10" t="inlineStr">
        <is>
          <t>0802605001</t>
        </is>
      </c>
      <c r="E712" s="26" t="inlineStr">
        <is>
          <t>Region VIII (Eastern Visayas)</t>
        </is>
      </c>
      <c r="F712" s="26" t="inlineStr">
        <is>
          <t>Eastern Samar</t>
        </is>
      </c>
      <c r="G712" s="26" t="inlineStr">
        <is>
          <t>Can-Avid</t>
        </is>
      </c>
      <c r="H712" s="26" t="inlineStr">
        <is>
          <t>Balagon</t>
        </is>
      </c>
      <c r="I712" s="27" t="n">
        <v>11.913102</v>
      </c>
      <c r="J712" s="27" t="n">
        <v>125.252804</v>
      </c>
      <c r="K712" s="10" t="inlineStr">
        <is>
          <t>R</t>
        </is>
      </c>
      <c r="L712" s="12" t="n">
        <v>305</v>
      </c>
      <c r="M712" s="14" t="n">
        <v>3.9</v>
      </c>
      <c r="N712" s="12">
        <f>ROUND(L712/M712, 0)</f>
        <v/>
      </c>
      <c r="O712" s="12">
        <f>ROUND(N712*'Methodology &amp; Assumptions'!$B$5, 0)</f>
        <v/>
      </c>
      <c r="P712" s="10" t="inlineStr">
        <is>
          <t>Single Carrier (Band n50, 100MHz TDD)</t>
        </is>
      </c>
      <c r="Q712" s="13">
        <f>ROUNDUP(O712/'Methodology &amp; Assumptions'!$B$6, 0)</f>
        <v/>
      </c>
      <c r="R712" s="13" t="n">
        <v>1</v>
      </c>
      <c r="S712" s="14" t="n">
        <v>79.7</v>
      </c>
      <c r="T712" s="14" t="n">
        <v>82.3</v>
      </c>
      <c r="U712" s="26">
        <f>IF(X712&gt;='Methodology &amp; Assumptions'!$B$7, "Tier 1 Critical GIDA (Score ≥ 50.0)", IF(X712&gt;='Methodology &amp; Assumptions'!$B$8, "Tier 2 High GIDA (Score 40.0–49.9)", "Tier 3 Moderate GIDA (Score &lt; 40.0)"))</f>
        <v/>
      </c>
      <c r="V712" s="26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W712" s="28" t="n">
        <v>0.237</v>
      </c>
      <c r="X712" s="14" t="n">
        <v>45.62</v>
      </c>
      <c r="Y712" s="14">
        <f>ROUND(MIN(100, (X712/69.91)*100), 2)</f>
        <v/>
      </c>
    </row>
    <row r="713">
      <c r="A713" s="10" t="n">
        <v>4</v>
      </c>
      <c r="B713" s="10" t="n">
        <v>709</v>
      </c>
      <c r="C713" s="10" t="n">
        <v>3709</v>
      </c>
      <c r="D713" s="10" t="inlineStr">
        <is>
          <t>PH0003709</t>
        </is>
      </c>
      <c r="E713" s="26" t="inlineStr">
        <is>
          <t>IV-A</t>
        </is>
      </c>
      <c r="F713" s="26" t="inlineStr">
        <is>
          <t>Cavite</t>
        </is>
      </c>
      <c r="G713" s="26" t="inlineStr">
        <is>
          <t>City of Bacoor</t>
        </is>
      </c>
      <c r="H713" s="26" t="inlineStr">
        <is>
          <t>Niog</t>
        </is>
      </c>
      <c r="I713" s="27" t="n">
        <v>14.316684</v>
      </c>
      <c r="J713" s="27" t="n">
        <v>120.74379</v>
      </c>
      <c r="K713" s="10" t="inlineStr">
        <is>
          <t>R</t>
        </is>
      </c>
      <c r="L713" s="12" t="n">
        <v>9584</v>
      </c>
      <c r="M713" s="14" t="n">
        <v>3.4</v>
      </c>
      <c r="N713" s="12">
        <f>ROUND(L713/M713, 0)</f>
        <v/>
      </c>
      <c r="O713" s="12">
        <f>ROUND(N713*'Methodology &amp; Assumptions'!$B$5, 0)</f>
        <v/>
      </c>
      <c r="P713" s="10" t="inlineStr">
        <is>
          <t>Single Carrier (Band n50, 100MHz TDD)</t>
        </is>
      </c>
      <c r="Q713" s="13">
        <f>ROUNDUP(O713/'Methodology &amp; Assumptions'!$B$6, 0)</f>
        <v/>
      </c>
      <c r="R713" s="13" t="n">
        <v>1</v>
      </c>
      <c r="S713" s="14" t="n">
        <v>3.05</v>
      </c>
      <c r="T713" s="14" t="n">
        <v>2.6</v>
      </c>
      <c r="U713" s="26">
        <f>IF(X713&gt;='Methodology &amp; Assumptions'!$B$7, "Tier 1 Critical GIDA (Score ≥ 50.0)", IF(X713&gt;='Methodology &amp; Assumptions'!$B$8, "Tier 2 High GIDA (Score 40.0–49.9)", "Tier 3 Moderate GIDA (Score &lt; 40.0)"))</f>
        <v/>
      </c>
      <c r="V713" s="26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W713" s="28" t="n">
        <v>0.07200000000000001</v>
      </c>
      <c r="X713" s="14" t="n">
        <v>45.62</v>
      </c>
      <c r="Y713" s="14">
        <f>ROUND(MIN(100, (X713/69.91)*100), 2)</f>
        <v/>
      </c>
    </row>
    <row r="714">
      <c r="A714" s="10" t="n">
        <v>4</v>
      </c>
      <c r="B714" s="10" t="n">
        <v>710</v>
      </c>
      <c r="C714" s="10" t="n">
        <v>3710</v>
      </c>
      <c r="D714" s="10" t="inlineStr">
        <is>
          <t>0604513013</t>
        </is>
      </c>
      <c r="E714" s="26" t="inlineStr">
        <is>
          <t>Region VI (Western Visayas)</t>
        </is>
      </c>
      <c r="F714" s="26" t="inlineStr">
        <is>
          <t>Negros Occidental</t>
        </is>
      </c>
      <c r="G714" s="26" t="inlineStr">
        <is>
          <t>Ilog</t>
        </is>
      </c>
      <c r="H714" s="26" t="inlineStr">
        <is>
          <t>Pinggot</t>
        </is>
      </c>
      <c r="I714" s="27" t="n">
        <v>9.723947000000001</v>
      </c>
      <c r="J714" s="27" t="n">
        <v>122.67746</v>
      </c>
      <c r="K714" s="10" t="inlineStr">
        <is>
          <t>R</t>
        </is>
      </c>
      <c r="L714" s="12" t="n">
        <v>3513</v>
      </c>
      <c r="M714" s="14" t="n">
        <v>3.7</v>
      </c>
      <c r="N714" s="12">
        <f>ROUND(L714/M714, 0)</f>
        <v/>
      </c>
      <c r="O714" s="12">
        <f>ROUND(N714*'Methodology &amp; Assumptions'!$B$5, 0)</f>
        <v/>
      </c>
      <c r="P714" s="10" t="inlineStr">
        <is>
          <t>Single Carrier (Band n50, 100MHz TDD)</t>
        </is>
      </c>
      <c r="Q714" s="13">
        <f>ROUNDUP(O714/'Methodology &amp; Assumptions'!$B$6, 0)</f>
        <v/>
      </c>
      <c r="R714" s="13" t="n">
        <v>1</v>
      </c>
      <c r="S714" s="14" t="n">
        <v>27.51</v>
      </c>
      <c r="T714" s="14" t="n">
        <v>24.35</v>
      </c>
      <c r="U714" s="26">
        <f>IF(X714&gt;='Methodology &amp; Assumptions'!$B$7, "Tier 1 Critical GIDA (Score ≥ 50.0)", IF(X714&gt;='Methodology &amp; Assumptions'!$B$8, "Tier 2 High GIDA (Score 40.0–49.9)", "Tier 3 Moderate GIDA (Score &lt; 40.0)"))</f>
        <v/>
      </c>
      <c r="V714" s="26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W714" s="28" t="n">
        <v>0.237</v>
      </c>
      <c r="X714" s="14" t="n">
        <v>45.61</v>
      </c>
      <c r="Y714" s="14">
        <f>ROUND(MIN(100, (X714/69.91)*100), 2)</f>
        <v/>
      </c>
    </row>
    <row r="715">
      <c r="A715" s="10" t="n">
        <v>4</v>
      </c>
      <c r="B715" s="10" t="n">
        <v>711</v>
      </c>
      <c r="C715" s="10" t="n">
        <v>3711</v>
      </c>
      <c r="D715" s="10" t="inlineStr">
        <is>
          <t>0405636020</t>
        </is>
      </c>
      <c r="E715" s="26" t="inlineStr">
        <is>
          <t>Region IV-A (CALABARZON)</t>
        </is>
      </c>
      <c r="F715" s="26" t="inlineStr">
        <is>
          <t>Quezon</t>
        </is>
      </c>
      <c r="G715" s="26" t="inlineStr">
        <is>
          <t>Polillo</t>
        </is>
      </c>
      <c r="H715" s="26" t="inlineStr">
        <is>
          <t>Tamulaya-Anitong</t>
        </is>
      </c>
      <c r="I715" s="27" t="n">
        <v>14.775579</v>
      </c>
      <c r="J715" s="27" t="n">
        <v>121.921589</v>
      </c>
      <c r="K715" s="10" t="inlineStr">
        <is>
          <t>R</t>
        </is>
      </c>
      <c r="L715" s="12" t="n">
        <v>505</v>
      </c>
      <c r="M715" s="14" t="n">
        <v>3.8</v>
      </c>
      <c r="N715" s="12">
        <f>ROUND(L715/M715, 0)</f>
        <v/>
      </c>
      <c r="O715" s="12">
        <f>ROUND(N715*'Methodology &amp; Assumptions'!$B$5, 0)</f>
        <v/>
      </c>
      <c r="P715" s="10" t="inlineStr">
        <is>
          <t>Single Carrier (Band n50, 100MHz TDD)</t>
        </is>
      </c>
      <c r="Q715" s="13">
        <f>ROUNDUP(O715/'Methodology &amp; Assumptions'!$B$6, 0)</f>
        <v/>
      </c>
      <c r="R715" s="13" t="n">
        <v>1</v>
      </c>
      <c r="S715" s="14" t="n">
        <v>27.61</v>
      </c>
      <c r="T715" s="14" t="n">
        <v>62.56</v>
      </c>
      <c r="U715" s="26">
        <f>IF(X715&gt;='Methodology &amp; Assumptions'!$B$7, "Tier 1 Critical GIDA (Score ≥ 50.0)", IF(X715&gt;='Methodology &amp; Assumptions'!$B$8, "Tier 2 High GIDA (Score 40.0–49.9)", "Tier 3 Moderate GIDA (Score &lt; 40.0)"))</f>
        <v/>
      </c>
      <c r="V715" s="26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W715" s="28" t="n">
        <v>0.07200000000000001</v>
      </c>
      <c r="X715" s="14" t="n">
        <v>45.61</v>
      </c>
      <c r="Y715" s="14">
        <f>ROUND(MIN(100, (X715/69.91)*100), 2)</f>
        <v/>
      </c>
    </row>
    <row r="716">
      <c r="A716" s="10" t="n">
        <v>4</v>
      </c>
      <c r="B716" s="10" t="n">
        <v>712</v>
      </c>
      <c r="C716" s="10" t="n">
        <v>3712</v>
      </c>
      <c r="D716" s="10" t="inlineStr">
        <is>
          <t>0806019011</t>
        </is>
      </c>
      <c r="E716" s="26" t="inlineStr">
        <is>
          <t>Region VIII (Eastern Visayas)</t>
        </is>
      </c>
      <c r="F716" s="26" t="inlineStr">
        <is>
          <t>Samar</t>
        </is>
      </c>
      <c r="G716" s="26" t="inlineStr">
        <is>
          <t>Talalora</t>
        </is>
      </c>
      <c r="H716" s="26" t="inlineStr">
        <is>
          <t>Victory</t>
        </is>
      </c>
      <c r="I716" s="27" t="n">
        <v>11.509742</v>
      </c>
      <c r="J716" s="27" t="n">
        <v>124.830437</v>
      </c>
      <c r="K716" s="10" t="inlineStr">
        <is>
          <t>R</t>
        </is>
      </c>
      <c r="L716" s="12" t="n">
        <v>272</v>
      </c>
      <c r="M716" s="14" t="n">
        <v>4.1</v>
      </c>
      <c r="N716" s="12">
        <f>ROUND(L716/M716, 0)</f>
        <v/>
      </c>
      <c r="O716" s="12">
        <f>ROUND(N716*'Methodology &amp; Assumptions'!$B$5, 0)</f>
        <v/>
      </c>
      <c r="P716" s="10" t="inlineStr">
        <is>
          <t>Single Carrier (Band n50, 100MHz TDD)</t>
        </is>
      </c>
      <c r="Q716" s="13">
        <f>ROUNDUP(O716/'Methodology &amp; Assumptions'!$B$6, 0)</f>
        <v/>
      </c>
      <c r="R716" s="13" t="n">
        <v>1</v>
      </c>
      <c r="S716" s="14" t="n">
        <v>27.96</v>
      </c>
      <c r="T716" s="14" t="n">
        <v>27.71</v>
      </c>
      <c r="U716" s="26">
        <f>IF(X716&gt;='Methodology &amp; Assumptions'!$B$7, "Tier 1 Critical GIDA (Score ≥ 50.0)", IF(X716&gt;='Methodology &amp; Assumptions'!$B$8, "Tier 2 High GIDA (Score 40.0–49.9)", "Tier 3 Moderate GIDA (Score &lt; 40.0)"))</f>
        <v/>
      </c>
      <c r="V716" s="26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W716" s="28" t="n">
        <v>0.237</v>
      </c>
      <c r="X716" s="14" t="n">
        <v>45.61</v>
      </c>
      <c r="Y716" s="14">
        <f>ROUND(MIN(100, (X716/69.91)*100), 2)</f>
        <v/>
      </c>
    </row>
    <row r="717">
      <c r="A717" s="10" t="n">
        <v>4</v>
      </c>
      <c r="B717" s="10" t="n">
        <v>713</v>
      </c>
      <c r="C717" s="10" t="n">
        <v>3713</v>
      </c>
      <c r="D717" s="10" t="inlineStr">
        <is>
          <t>0806012019</t>
        </is>
      </c>
      <c r="E717" s="26" t="inlineStr">
        <is>
          <t>Region VIII (Eastern Visayas)</t>
        </is>
      </c>
      <c r="F717" s="26" t="inlineStr">
        <is>
          <t>Samar</t>
        </is>
      </c>
      <c r="G717" s="26" t="inlineStr">
        <is>
          <t>Motiong</t>
        </is>
      </c>
      <c r="H717" s="26" t="inlineStr">
        <is>
          <t>Inalad</t>
        </is>
      </c>
      <c r="I717" s="27" t="n">
        <v>11.82032</v>
      </c>
      <c r="J717" s="27" t="n">
        <v>125.03671</v>
      </c>
      <c r="K717" s="10" t="inlineStr">
        <is>
          <t>R</t>
        </is>
      </c>
      <c r="L717" s="12" t="n">
        <v>725</v>
      </c>
      <c r="M717" s="14" t="n">
        <v>4.1</v>
      </c>
      <c r="N717" s="12">
        <f>ROUND(L717/M717, 0)</f>
        <v/>
      </c>
      <c r="O717" s="12">
        <f>ROUND(N717*'Methodology &amp; Assumptions'!$B$5, 0)</f>
        <v/>
      </c>
      <c r="P717" s="10" t="inlineStr">
        <is>
          <t>Single Carrier (Band n50, 100MHz TDD)</t>
        </is>
      </c>
      <c r="Q717" s="13">
        <f>ROUNDUP(O717/'Methodology &amp; Assumptions'!$B$6, 0)</f>
        <v/>
      </c>
      <c r="R717" s="13" t="n">
        <v>1</v>
      </c>
      <c r="S717" s="14" t="n">
        <v>64.68000000000001</v>
      </c>
      <c r="T717" s="14" t="n">
        <v>67.66</v>
      </c>
      <c r="U717" s="26">
        <f>IF(X717&gt;='Methodology &amp; Assumptions'!$B$7, "Tier 1 Critical GIDA (Score ≥ 50.0)", IF(X717&gt;='Methodology &amp; Assumptions'!$B$8, "Tier 2 High GIDA (Score 40.0–49.9)", "Tier 3 Moderate GIDA (Score &lt; 40.0)"))</f>
        <v/>
      </c>
      <c r="V717" s="26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W717" s="28" t="n">
        <v>0.237</v>
      </c>
      <c r="X717" s="14" t="n">
        <v>45.6</v>
      </c>
      <c r="Y717" s="14">
        <f>ROUND(MIN(100, (X717/69.91)*100), 2)</f>
        <v/>
      </c>
    </row>
    <row r="718">
      <c r="A718" s="10" t="n">
        <v>4</v>
      </c>
      <c r="B718" s="10" t="n">
        <v>714</v>
      </c>
      <c r="C718" s="10" t="n">
        <v>3714</v>
      </c>
      <c r="D718" s="10" t="inlineStr">
        <is>
          <t>PH0003714</t>
        </is>
      </c>
      <c r="E718" s="26" t="inlineStr">
        <is>
          <t>CAR</t>
        </is>
      </c>
      <c r="F718" s="26" t="inlineStr">
        <is>
          <t>Benguet</t>
        </is>
      </c>
      <c r="G718" s="26" t="inlineStr">
        <is>
          <t>Baguio City</t>
        </is>
      </c>
      <c r="H718" s="26" t="inlineStr">
        <is>
          <t>Lopez Jaena</t>
        </is>
      </c>
      <c r="I718" s="27" t="n">
        <v>16.372754</v>
      </c>
      <c r="J718" s="27" t="n">
        <v>120.655934</v>
      </c>
      <c r="K718" s="10" t="inlineStr">
        <is>
          <t>R</t>
        </is>
      </c>
      <c r="L718" s="12" t="n">
        <v>2260</v>
      </c>
      <c r="M718" s="14" t="n">
        <v>3.5</v>
      </c>
      <c r="N718" s="12">
        <f>ROUND(L718/M718, 0)</f>
        <v/>
      </c>
      <c r="O718" s="12">
        <f>ROUND(N718*'Methodology &amp; Assumptions'!$B$5, 0)</f>
        <v/>
      </c>
      <c r="P718" s="10" t="inlineStr">
        <is>
          <t>Single Carrier (Band n50, 100MHz TDD)</t>
        </is>
      </c>
      <c r="Q718" s="13">
        <f>ROUNDUP(O718/'Methodology &amp; Assumptions'!$B$6, 0)</f>
        <v/>
      </c>
      <c r="R718" s="13" t="n">
        <v>1</v>
      </c>
      <c r="S718" s="14" t="n">
        <v>1.3</v>
      </c>
      <c r="T718" s="14" t="n">
        <v>5.13</v>
      </c>
      <c r="U718" s="26">
        <f>IF(X718&gt;='Methodology &amp; Assumptions'!$B$7, "Tier 1 Critical GIDA (Score ≥ 50.0)", IF(X718&gt;='Methodology &amp; Assumptions'!$B$8, "Tier 2 High GIDA (Score 40.0–49.9)", "Tier 3 Moderate GIDA (Score &lt; 40.0)"))</f>
        <v/>
      </c>
      <c r="V718" s="26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W718" s="28" t="n">
        <v>0.221</v>
      </c>
      <c r="X718" s="14" t="n">
        <v>45.6</v>
      </c>
      <c r="Y718" s="14">
        <f>ROUND(MIN(100, (X718/69.91)*100), 2)</f>
        <v/>
      </c>
    </row>
    <row r="719">
      <c r="A719" s="10" t="n">
        <v>4</v>
      </c>
      <c r="B719" s="10" t="n">
        <v>715</v>
      </c>
      <c r="C719" s="10" t="n">
        <v>3715</v>
      </c>
      <c r="D719" s="10" t="inlineStr">
        <is>
          <t>PH0003715</t>
        </is>
      </c>
      <c r="E719" s="26" t="inlineStr">
        <is>
          <t>III</t>
        </is>
      </c>
      <c r="F719" s="26" t="inlineStr">
        <is>
          <t>Pampanga</t>
        </is>
      </c>
      <c r="G719" s="26" t="inlineStr">
        <is>
          <t>Angeles City</t>
        </is>
      </c>
      <c r="H719" s="26" t="inlineStr">
        <is>
          <t>Malabañas</t>
        </is>
      </c>
      <c r="I719" s="27" t="n">
        <v>15.161159</v>
      </c>
      <c r="J719" s="27" t="n">
        <v>120.582424</v>
      </c>
      <c r="K719" s="10" t="inlineStr">
        <is>
          <t>R</t>
        </is>
      </c>
      <c r="L719" s="12" t="n">
        <v>2334</v>
      </c>
      <c r="M719" s="14" t="n">
        <v>4</v>
      </c>
      <c r="N719" s="12">
        <f>ROUND(L719/M719, 0)</f>
        <v/>
      </c>
      <c r="O719" s="12">
        <f>ROUND(N719*'Methodology &amp; Assumptions'!$B$5, 0)</f>
        <v/>
      </c>
      <c r="P719" s="10" t="inlineStr">
        <is>
          <t>Single Carrier (Band n50, 100MHz TDD)</t>
        </is>
      </c>
      <c r="Q719" s="13">
        <f>ROUNDUP(O719/'Methodology &amp; Assumptions'!$B$6, 0)</f>
        <v/>
      </c>
      <c r="R719" s="13" t="n">
        <v>1</v>
      </c>
      <c r="S719" s="14" t="n">
        <v>0.9</v>
      </c>
      <c r="T719" s="14" t="n">
        <v>0.55</v>
      </c>
      <c r="U719" s="26">
        <f>IF(X719&gt;='Methodology &amp; Assumptions'!$B$7, "Tier 1 Critical GIDA (Score ≥ 50.0)", IF(X719&gt;='Methodology &amp; Assumptions'!$B$8, "Tier 2 High GIDA (Score 40.0–49.9)", "Tier 3 Moderate GIDA (Score &lt; 40.0)"))</f>
        <v/>
      </c>
      <c r="V719" s="26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W719" s="28" t="n">
        <v>0.083</v>
      </c>
      <c r="X719" s="14" t="n">
        <v>45.6</v>
      </c>
      <c r="Y719" s="14">
        <f>ROUND(MIN(100, (X719/69.91)*100), 2)</f>
        <v/>
      </c>
    </row>
    <row r="720">
      <c r="A720" s="10" t="n">
        <v>4</v>
      </c>
      <c r="B720" s="10" t="n">
        <v>716</v>
      </c>
      <c r="C720" s="10" t="n">
        <v>3716</v>
      </c>
      <c r="D720" s="10" t="inlineStr">
        <is>
          <t>1908706010</t>
        </is>
      </c>
      <c r="E720" s="26" t="inlineStr">
        <is>
          <t>Bangsamoro Autonomous Region In Muslim Mindanao (BARMM)</t>
        </is>
      </c>
      <c r="F720" s="26" t="inlineStr">
        <is>
          <t>Maguindanao del Norte</t>
        </is>
      </c>
      <c r="G720" s="26" t="inlineStr">
        <is>
          <t>Kabuntalan</t>
        </is>
      </c>
      <c r="H720" s="26" t="inlineStr">
        <is>
          <t>Maitong</t>
        </is>
      </c>
      <c r="I720" s="27" t="n">
        <v>17.254104</v>
      </c>
      <c r="J720" s="27" t="n">
        <v>122.228148</v>
      </c>
      <c r="K720" s="10" t="inlineStr">
        <is>
          <t>R</t>
        </is>
      </c>
      <c r="L720" s="12" t="n">
        <v>3868</v>
      </c>
      <c r="M720" s="14" t="n">
        <v>4.3</v>
      </c>
      <c r="N720" s="12">
        <f>ROUND(L720/M720, 0)</f>
        <v/>
      </c>
      <c r="O720" s="12">
        <f>ROUND(N720*'Methodology &amp; Assumptions'!$B$5, 0)</f>
        <v/>
      </c>
      <c r="P720" s="10" t="inlineStr">
        <is>
          <t>Single Carrier (Band n50, 100MHz TDD)</t>
        </is>
      </c>
      <c r="Q720" s="13">
        <f>ROUNDUP(O720/'Methodology &amp; Assumptions'!$B$6, 0)</f>
        <v/>
      </c>
      <c r="R720" s="13" t="n">
        <v>1</v>
      </c>
      <c r="S720" s="14" t="n">
        <v>29.3</v>
      </c>
      <c r="T720" s="14" t="n">
        <v>34.2</v>
      </c>
      <c r="U720" s="26">
        <f>IF(X720&gt;='Methodology &amp; Assumptions'!$B$7, "Tier 1 Critical GIDA (Score ≥ 50.0)", IF(X720&gt;='Methodology &amp; Assumptions'!$B$8, "Tier 2 High GIDA (Score 40.0–49.9)", "Tier 3 Moderate GIDA (Score &lt; 40.0)"))</f>
        <v/>
      </c>
      <c r="V720" s="26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W720" s="28" t="n">
        <v>0.11</v>
      </c>
      <c r="X720" s="14" t="n">
        <v>45.6</v>
      </c>
      <c r="Y720" s="14">
        <f>ROUND(MIN(100, (X720/69.91)*100), 2)</f>
        <v/>
      </c>
    </row>
    <row r="721">
      <c r="A721" s="10" t="n">
        <v>4</v>
      </c>
      <c r="B721" s="10" t="n">
        <v>717</v>
      </c>
      <c r="C721" s="10" t="n">
        <v>3717</v>
      </c>
      <c r="D721" s="10" t="inlineStr">
        <is>
          <t>PH0003717</t>
        </is>
      </c>
      <c r="E721" s="26" t="inlineStr">
        <is>
          <t>I</t>
        </is>
      </c>
      <c r="F721" s="26" t="inlineStr">
        <is>
          <t>Ilocos Norte</t>
        </is>
      </c>
      <c r="G721" s="26" t="inlineStr">
        <is>
          <t>Laoag City</t>
        </is>
      </c>
      <c r="H721" s="26" t="inlineStr">
        <is>
          <t>Bgy. No. 21, San Pedro (Pob.)</t>
        </is>
      </c>
      <c r="I721" s="27" t="n">
        <v>18.208954</v>
      </c>
      <c r="J721" s="27" t="n">
        <v>120.560249</v>
      </c>
      <c r="K721" s="10" t="inlineStr">
        <is>
          <t>R</t>
        </is>
      </c>
      <c r="L721" s="12" t="n">
        <v>2233</v>
      </c>
      <c r="M721" s="14" t="n">
        <v>3.7</v>
      </c>
      <c r="N721" s="12">
        <f>ROUND(L721/M721, 0)</f>
        <v/>
      </c>
      <c r="O721" s="12">
        <f>ROUND(N721*'Methodology &amp; Assumptions'!$B$5, 0)</f>
        <v/>
      </c>
      <c r="P721" s="10" t="inlineStr">
        <is>
          <t>Single Carrier (Band n50, 100MHz TDD)</t>
        </is>
      </c>
      <c r="Q721" s="13">
        <f>ROUNDUP(O721/'Methodology &amp; Assumptions'!$B$6, 0)</f>
        <v/>
      </c>
      <c r="R721" s="13" t="n">
        <v>1</v>
      </c>
      <c r="S721" s="14" t="n">
        <v>2.69</v>
      </c>
      <c r="T721" s="14" t="n">
        <v>2.67</v>
      </c>
      <c r="U721" s="26">
        <f>IF(X721&gt;='Methodology &amp; Assumptions'!$B$7, "Tier 1 Critical GIDA (Score ≥ 50.0)", IF(X721&gt;='Methodology &amp; Assumptions'!$B$8, "Tier 2 High GIDA (Score 40.0–49.9)", "Tier 3 Moderate GIDA (Score &lt; 40.0)"))</f>
        <v/>
      </c>
      <c r="V721" s="26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W721" s="28" t="n">
        <v>0.083</v>
      </c>
      <c r="X721" s="14" t="n">
        <v>45.59</v>
      </c>
      <c r="Y721" s="14">
        <f>ROUND(MIN(100, (X721/69.91)*100), 2)</f>
        <v/>
      </c>
    </row>
    <row r="722">
      <c r="A722" s="10" t="n">
        <v>4</v>
      </c>
      <c r="B722" s="10" t="n">
        <v>718</v>
      </c>
      <c r="C722" s="10" t="n">
        <v>3718</v>
      </c>
      <c r="D722" s="10" t="inlineStr">
        <is>
          <t>0402106046</t>
        </is>
      </c>
      <c r="E722" s="26" t="inlineStr">
        <is>
          <t>Region IV-A (CALABARZON)</t>
        </is>
      </c>
      <c r="F722" s="26" t="inlineStr">
        <is>
          <t>Cavite</t>
        </is>
      </c>
      <c r="G722" s="26" t="inlineStr">
        <is>
          <t>City of Dasmariñas</t>
        </is>
      </c>
      <c r="H722" s="26" t="inlineStr">
        <is>
          <t>Santo Niño I</t>
        </is>
      </c>
      <c r="I722" s="27" t="n">
        <v>14.300171</v>
      </c>
      <c r="J722" s="27" t="n">
        <v>120.920346</v>
      </c>
      <c r="K722" s="10" t="inlineStr">
        <is>
          <t>R</t>
        </is>
      </c>
      <c r="L722" s="12" t="n">
        <v>3010</v>
      </c>
      <c r="M722" s="14" t="n">
        <v>3.4</v>
      </c>
      <c r="N722" s="12">
        <f>ROUND(L722/M722, 0)</f>
        <v/>
      </c>
      <c r="O722" s="12">
        <f>ROUND(N722*'Methodology &amp; Assumptions'!$B$5, 0)</f>
        <v/>
      </c>
      <c r="P722" s="10" t="inlineStr">
        <is>
          <t>Single Carrier (Band n50, 100MHz TDD)</t>
        </is>
      </c>
      <c r="Q722" s="13">
        <f>ROUNDUP(O722/'Methodology &amp; Assumptions'!$B$6, 0)</f>
        <v/>
      </c>
      <c r="R722" s="13" t="n">
        <v>1</v>
      </c>
      <c r="S722" s="14" t="n">
        <v>1.3</v>
      </c>
      <c r="T722" s="14" t="n">
        <v>0.92</v>
      </c>
      <c r="U722" s="26">
        <f>IF(X722&gt;='Methodology &amp; Assumptions'!$B$7, "Tier 1 Critical GIDA (Score ≥ 50.0)", IF(X722&gt;='Methodology &amp; Assumptions'!$B$8, "Tier 2 High GIDA (Score 40.0–49.9)", "Tier 3 Moderate GIDA (Score &lt; 40.0)"))</f>
        <v/>
      </c>
      <c r="V722" s="26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W722" s="28" t="n">
        <v>0.07200000000000001</v>
      </c>
      <c r="X722" s="14" t="n">
        <v>45.59</v>
      </c>
      <c r="Y722" s="14">
        <f>ROUND(MIN(100, (X722/69.91)*100), 2)</f>
        <v/>
      </c>
    </row>
    <row r="723">
      <c r="A723" s="10" t="n">
        <v>4</v>
      </c>
      <c r="B723" s="10" t="n">
        <v>719</v>
      </c>
      <c r="C723" s="10" t="n">
        <v>3719</v>
      </c>
      <c r="D723" s="10" t="inlineStr">
        <is>
          <t>PH0003719</t>
        </is>
      </c>
      <c r="E723" s="26" t="inlineStr">
        <is>
          <t>I</t>
        </is>
      </c>
      <c r="F723" s="26" t="inlineStr">
        <is>
          <t>Pangasinan</t>
        </is>
      </c>
      <c r="G723" s="26" t="inlineStr">
        <is>
          <t>Dagupan City</t>
        </is>
      </c>
      <c r="H723" s="26" t="inlineStr">
        <is>
          <t>Poblacion Oeste</t>
        </is>
      </c>
      <c r="I723" s="27" t="n">
        <v>16.04323</v>
      </c>
      <c r="J723" s="27" t="n">
        <v>120.3332</v>
      </c>
      <c r="K723" s="10" t="inlineStr">
        <is>
          <t>R</t>
        </is>
      </c>
      <c r="L723" s="12" t="n">
        <v>2218</v>
      </c>
      <c r="M723" s="14" t="n">
        <v>3.6</v>
      </c>
      <c r="N723" s="12">
        <f>ROUND(L723/M723, 0)</f>
        <v/>
      </c>
      <c r="O723" s="12">
        <f>ROUND(N723*'Methodology &amp; Assumptions'!$B$5, 0)</f>
        <v/>
      </c>
      <c r="P723" s="10" t="inlineStr">
        <is>
          <t>Single Carrier (Band n50, 100MHz TDD)</t>
        </is>
      </c>
      <c r="Q723" s="13">
        <f>ROUNDUP(O723/'Methodology &amp; Assumptions'!$B$6, 0)</f>
        <v/>
      </c>
      <c r="R723" s="13" t="n">
        <v>1</v>
      </c>
      <c r="S723" s="14" t="n">
        <v>2.5</v>
      </c>
      <c r="T723" s="14" t="n">
        <v>0.02</v>
      </c>
      <c r="U723" s="26">
        <f>IF(X723&gt;='Methodology &amp; Assumptions'!$B$7, "Tier 1 Critical GIDA (Score ≥ 50.0)", IF(X723&gt;='Methodology &amp; Assumptions'!$B$8, "Tier 2 High GIDA (Score 40.0–49.9)", "Tier 3 Moderate GIDA (Score &lt; 40.0)"))</f>
        <v/>
      </c>
      <c r="V723" s="26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W723" s="28" t="n">
        <v>0.083</v>
      </c>
      <c r="X723" s="14" t="n">
        <v>45.57</v>
      </c>
      <c r="Y723" s="14">
        <f>ROUND(MIN(100, (X723/69.91)*100), 2)</f>
        <v/>
      </c>
    </row>
    <row r="724">
      <c r="A724" s="10" t="n">
        <v>4</v>
      </c>
      <c r="B724" s="10" t="n">
        <v>720</v>
      </c>
      <c r="C724" s="10" t="n">
        <v>3720</v>
      </c>
      <c r="D724" s="10" t="inlineStr">
        <is>
          <t>PH0003720</t>
        </is>
      </c>
      <c r="E724" s="26" t="inlineStr">
        <is>
          <t>III</t>
        </is>
      </c>
      <c r="F724" s="26" t="inlineStr">
        <is>
          <t>Pampanga</t>
        </is>
      </c>
      <c r="G724" s="26" t="inlineStr">
        <is>
          <t>Angeles City</t>
        </is>
      </c>
      <c r="H724" s="26" t="inlineStr">
        <is>
          <t>Virgen Delos Remedios</t>
        </is>
      </c>
      <c r="I724" s="27" t="n">
        <v>15.149393</v>
      </c>
      <c r="J724" s="27" t="n">
        <v>120.592564</v>
      </c>
      <c r="K724" s="10" t="inlineStr">
        <is>
          <t>R</t>
        </is>
      </c>
      <c r="L724" s="12" t="n">
        <v>2334</v>
      </c>
      <c r="M724" s="14" t="n">
        <v>4</v>
      </c>
      <c r="N724" s="12">
        <f>ROUND(L724/M724, 0)</f>
        <v/>
      </c>
      <c r="O724" s="12">
        <f>ROUND(N724*'Methodology &amp; Assumptions'!$B$5, 0)</f>
        <v/>
      </c>
      <c r="P724" s="10" t="inlineStr">
        <is>
          <t>Single Carrier (Band n50, 100MHz TDD)</t>
        </is>
      </c>
      <c r="Q724" s="13">
        <f>ROUNDUP(O724/'Methodology &amp; Assumptions'!$B$6, 0)</f>
        <v/>
      </c>
      <c r="R724" s="13" t="n">
        <v>1</v>
      </c>
      <c r="S724" s="14" t="n">
        <v>0.25</v>
      </c>
      <c r="T724" s="14" t="n">
        <v>0.08</v>
      </c>
      <c r="U724" s="26">
        <f>IF(X724&gt;='Methodology &amp; Assumptions'!$B$7, "Tier 1 Critical GIDA (Score ≥ 50.0)", IF(X724&gt;='Methodology &amp; Assumptions'!$B$8, "Tier 2 High GIDA (Score 40.0–49.9)", "Tier 3 Moderate GIDA (Score &lt; 40.0)"))</f>
        <v/>
      </c>
      <c r="V724" s="26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W724" s="28" t="n">
        <v>0.083</v>
      </c>
      <c r="X724" s="14" t="n">
        <v>45.57</v>
      </c>
      <c r="Y724" s="14">
        <f>ROUND(MIN(100, (X724/69.91)*100), 2)</f>
        <v/>
      </c>
    </row>
    <row r="725">
      <c r="A725" s="10" t="n">
        <v>4</v>
      </c>
      <c r="B725" s="10" t="n">
        <v>721</v>
      </c>
      <c r="C725" s="10" t="n">
        <v>3721</v>
      </c>
      <c r="D725" s="10" t="inlineStr">
        <is>
          <t>0306916041</t>
        </is>
      </c>
      <c r="E725" s="26" t="inlineStr">
        <is>
          <t>Region III (Central Luzon)</t>
        </is>
      </c>
      <c r="F725" s="26" t="inlineStr">
        <is>
          <t>Tarlac</t>
        </is>
      </c>
      <c r="G725" s="26" t="inlineStr">
        <is>
          <t>City of Tarlac</t>
        </is>
      </c>
      <c r="H725" s="26" t="inlineStr">
        <is>
          <t>Ligtasan</t>
        </is>
      </c>
      <c r="I725" s="27" t="n">
        <v>15.479825</v>
      </c>
      <c r="J725" s="27" t="n">
        <v>120.598683</v>
      </c>
      <c r="K725" s="10" t="inlineStr">
        <is>
          <t>U</t>
        </is>
      </c>
      <c r="L725" s="12" t="n">
        <v>2478</v>
      </c>
      <c r="M725" s="14" t="n">
        <v>3.9</v>
      </c>
      <c r="N725" s="12">
        <f>ROUND(L725/M725, 0)</f>
        <v/>
      </c>
      <c r="O725" s="12">
        <f>ROUND(N725*'Methodology &amp; Assumptions'!$B$5, 0)</f>
        <v/>
      </c>
      <c r="P725" s="10" t="inlineStr">
        <is>
          <t>Single Carrier (Band n50, 100MHz TDD)</t>
        </is>
      </c>
      <c r="Q725" s="13">
        <f>ROUNDUP(O725/'Methodology &amp; Assumptions'!$B$6, 0)</f>
        <v/>
      </c>
      <c r="R725" s="13" t="n">
        <v>1</v>
      </c>
      <c r="S725" s="14" t="n">
        <v>1.43</v>
      </c>
      <c r="T725" s="14" t="n">
        <v>0.37</v>
      </c>
      <c r="U725" s="26">
        <f>IF(X725&gt;='Methodology &amp; Assumptions'!$B$7, "Tier 1 Critical GIDA (Score ≥ 50.0)", IF(X725&gt;='Methodology &amp; Assumptions'!$B$8, "Tier 2 High GIDA (Score 40.0–49.9)", "Tier 3 Moderate GIDA (Score &lt; 40.0)"))</f>
        <v/>
      </c>
      <c r="V725" s="26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W725" s="28" t="n">
        <v>0.083</v>
      </c>
      <c r="X725" s="14" t="n">
        <v>45.57</v>
      </c>
      <c r="Y725" s="14">
        <f>ROUND(MIN(100, (X725/69.91)*100), 2)</f>
        <v/>
      </c>
    </row>
    <row r="726">
      <c r="A726" s="10" t="n">
        <v>4</v>
      </c>
      <c r="B726" s="10" t="n">
        <v>722</v>
      </c>
      <c r="C726" s="10" t="n">
        <v>3722</v>
      </c>
      <c r="D726" s="10" t="inlineStr">
        <is>
          <t>0201509007</t>
        </is>
      </c>
      <c r="E726" s="26" t="inlineStr">
        <is>
          <t>Region II (Cagayan Valley)</t>
        </is>
      </c>
      <c r="F726" s="26" t="inlineStr">
        <is>
          <t>Cagayan</t>
        </is>
      </c>
      <c r="G726" s="26" t="inlineStr">
        <is>
          <t>Calayan</t>
        </is>
      </c>
      <c r="H726" s="26" t="inlineStr">
        <is>
          <t>Naguilian</t>
        </is>
      </c>
      <c r="I726" s="27" t="n">
        <v>18.8887</v>
      </c>
      <c r="J726" s="27" t="n">
        <v>121.87013</v>
      </c>
      <c r="K726" s="10" t="inlineStr">
        <is>
          <t>R</t>
        </is>
      </c>
      <c r="L726" s="12" t="n">
        <v>1662</v>
      </c>
      <c r="M726" s="14" t="n">
        <v>3.9</v>
      </c>
      <c r="N726" s="12">
        <f>ROUND(L726/M726, 0)</f>
        <v/>
      </c>
      <c r="O726" s="12">
        <f>ROUND(N726*'Methodology &amp; Assumptions'!$B$5, 0)</f>
        <v/>
      </c>
      <c r="P726" s="10" t="inlineStr">
        <is>
          <t>Single Carrier (Band n50, 100MHz TDD)</t>
        </is>
      </c>
      <c r="Q726" s="13">
        <f>ROUNDUP(O726/'Methodology &amp; Assumptions'!$B$6, 0)</f>
        <v/>
      </c>
      <c r="R726" s="13" t="n">
        <v>1</v>
      </c>
      <c r="S726" s="14" t="n">
        <v>54.84</v>
      </c>
      <c r="T726" s="14" t="n">
        <v>52.24</v>
      </c>
      <c r="U726" s="26">
        <f>IF(X726&gt;='Methodology &amp; Assumptions'!$B$7, "Tier 1 Critical GIDA (Score ≥ 50.0)", IF(X726&gt;='Methodology &amp; Assumptions'!$B$8, "Tier 2 High GIDA (Score 40.0–49.9)", "Tier 3 Moderate GIDA (Score &lt; 40.0)"))</f>
        <v/>
      </c>
      <c r="V726" s="26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W726" s="28" t="n">
        <v>0.083</v>
      </c>
      <c r="X726" s="14" t="n">
        <v>45.57</v>
      </c>
      <c r="Y726" s="14">
        <f>ROUND(MIN(100, (X726/69.91)*100), 2)</f>
        <v/>
      </c>
    </row>
    <row r="727">
      <c r="A727" s="10" t="n">
        <v>4</v>
      </c>
      <c r="B727" s="10" t="n">
        <v>723</v>
      </c>
      <c r="C727" s="10" t="n">
        <v>3723</v>
      </c>
      <c r="D727" s="10" t="inlineStr">
        <is>
          <t>1381100192</t>
        </is>
      </c>
      <c r="E727" s="26" t="inlineStr">
        <is>
          <t>National Capital Region (NCR)</t>
        </is>
      </c>
      <c r="F727" s="26" t="inlineStr">
        <is>
          <t>Fourth District (Not a Province)</t>
        </is>
      </c>
      <c r="G727" s="26" t="inlineStr">
        <is>
          <t>Pasay City</t>
        </is>
      </c>
      <c r="H727" s="26" t="inlineStr">
        <is>
          <t>Barangay 192</t>
        </is>
      </c>
      <c r="I727" s="27" t="n">
        <v>14.75122</v>
      </c>
      <c r="J727" s="27" t="n">
        <v>121.116812</v>
      </c>
      <c r="K727" s="10" t="inlineStr">
        <is>
          <t>U</t>
        </is>
      </c>
      <c r="L727" s="12" t="n">
        <v>4337</v>
      </c>
      <c r="M727" s="14" t="n">
        <v>3.4</v>
      </c>
      <c r="N727" s="12">
        <f>ROUND(L727/M727, 0)</f>
        <v/>
      </c>
      <c r="O727" s="12">
        <f>ROUND(N727*'Methodology &amp; Assumptions'!$B$5, 0)</f>
        <v/>
      </c>
      <c r="P727" s="10" t="inlineStr">
        <is>
          <t>Single Carrier (Band n50, 100MHz TDD)</t>
        </is>
      </c>
      <c r="Q727" s="13">
        <f>ROUNDUP(O727/'Methodology &amp; Assumptions'!$B$6, 0)</f>
        <v/>
      </c>
      <c r="R727" s="13" t="n">
        <v>1</v>
      </c>
      <c r="S727" s="14" t="n">
        <v>1.62</v>
      </c>
      <c r="T727" s="14" t="n">
        <v>1.54</v>
      </c>
      <c r="U727" s="26">
        <f>IF(X727&gt;='Methodology &amp; Assumptions'!$B$7, "Tier 1 Critical GIDA (Score ≥ 50.0)", IF(X727&gt;='Methodology &amp; Assumptions'!$B$8, "Tier 2 High GIDA (Score 40.0–49.9)", "Tier 3 Moderate GIDA (Score &lt; 40.0)"))</f>
        <v/>
      </c>
      <c r="V727" s="26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W727" s="28" t="n">
        <v>0.109</v>
      </c>
      <c r="X727" s="14" t="n">
        <v>45.56</v>
      </c>
      <c r="Y727" s="14">
        <f>ROUND(MIN(100, (X727/69.91)*100), 2)</f>
        <v/>
      </c>
    </row>
    <row r="728">
      <c r="A728" s="10" t="n">
        <v>4</v>
      </c>
      <c r="B728" s="10" t="n">
        <v>724</v>
      </c>
      <c r="C728" s="10" t="n">
        <v>3724</v>
      </c>
      <c r="D728" s="10" t="inlineStr">
        <is>
          <t>1705320031</t>
        </is>
      </c>
      <c r="E728" s="26" t="inlineStr">
        <is>
          <t>MIMAROPA Region</t>
        </is>
      </c>
      <c r="F728" s="26" t="inlineStr">
        <is>
          <t>Palawan</t>
        </is>
      </c>
      <c r="G728" s="26" t="inlineStr">
        <is>
          <t>Taytay</t>
        </is>
      </c>
      <c r="H728" s="26" t="inlineStr">
        <is>
          <t>Paglaum</t>
        </is>
      </c>
      <c r="I728" s="27" t="n">
        <v>10.65612</v>
      </c>
      <c r="J728" s="27" t="n">
        <v>119.50243</v>
      </c>
      <c r="K728" s="10" t="inlineStr">
        <is>
          <t>R</t>
        </is>
      </c>
      <c r="L728" s="12" t="n">
        <v>2532</v>
      </c>
      <c r="M728" s="14" t="n">
        <v>3.9</v>
      </c>
      <c r="N728" s="12">
        <f>ROUND(L728/M728, 0)</f>
        <v/>
      </c>
      <c r="O728" s="12">
        <f>ROUND(N728*'Methodology &amp; Assumptions'!$B$5, 0)</f>
        <v/>
      </c>
      <c r="P728" s="10" t="inlineStr">
        <is>
          <t>Single Carrier (Band n50, 100MHz TDD)</t>
        </is>
      </c>
      <c r="Q728" s="13">
        <f>ROUNDUP(O728/'Methodology &amp; Assumptions'!$B$6, 0)</f>
        <v/>
      </c>
      <c r="R728" s="13" t="n">
        <v>1</v>
      </c>
      <c r="S728" s="14" t="n">
        <v>6.41</v>
      </c>
      <c r="T728" s="14" t="n">
        <v>4.61</v>
      </c>
      <c r="U728" s="26">
        <f>IF(X728&gt;='Methodology &amp; Assumptions'!$B$7, "Tier 1 Critical GIDA (Score ≥ 50.0)", IF(X728&gt;='Methodology &amp; Assumptions'!$B$8, "Tier 2 High GIDA (Score 40.0–49.9)", "Tier 3 Moderate GIDA (Score &lt; 40.0)"))</f>
        <v/>
      </c>
      <c r="V728" s="26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W728" s="28" t="n">
        <v>0.15</v>
      </c>
      <c r="X728" s="14" t="n">
        <v>45.56</v>
      </c>
      <c r="Y728" s="14">
        <f>ROUND(MIN(100, (X728/69.91)*100), 2)</f>
        <v/>
      </c>
    </row>
    <row r="729">
      <c r="A729" s="10" t="n">
        <v>4</v>
      </c>
      <c r="B729" s="10" t="n">
        <v>725</v>
      </c>
      <c r="C729" s="10" t="n">
        <v>3725</v>
      </c>
      <c r="D729" s="10" t="inlineStr">
        <is>
          <t>1403201006</t>
        </is>
      </c>
      <c r="E729" s="26" t="inlineStr">
        <is>
          <t>Cordillera Administrative Region (CAR)</t>
        </is>
      </c>
      <c r="F729" s="26" t="inlineStr">
        <is>
          <t>Kalinga</t>
        </is>
      </c>
      <c r="G729" s="26" t="inlineStr">
        <is>
          <t>Balbalan</t>
        </is>
      </c>
      <c r="H729" s="26" t="inlineStr">
        <is>
          <t>Dao-angan</t>
        </is>
      </c>
      <c r="I729" s="27" t="n">
        <v>17.480559</v>
      </c>
      <c r="J729" s="27" t="n">
        <v>121.251268</v>
      </c>
      <c r="K729" s="10" t="inlineStr">
        <is>
          <t>R</t>
        </is>
      </c>
      <c r="L729" s="12" t="n">
        <v>569</v>
      </c>
      <c r="M729" s="14" t="n">
        <v>4.3</v>
      </c>
      <c r="N729" s="12">
        <f>ROUND(L729/M729, 0)</f>
        <v/>
      </c>
      <c r="O729" s="12">
        <f>ROUND(N729*'Methodology &amp; Assumptions'!$B$5, 0)</f>
        <v/>
      </c>
      <c r="P729" s="10" t="inlineStr">
        <is>
          <t>Single Carrier (Band n50, 100MHz TDD)</t>
        </is>
      </c>
      <c r="Q729" s="13">
        <f>ROUNDUP(O729/'Methodology &amp; Assumptions'!$B$6, 0)</f>
        <v/>
      </c>
      <c r="R729" s="13" t="n">
        <v>1</v>
      </c>
      <c r="S729" s="14" t="n">
        <v>12.74</v>
      </c>
      <c r="T729" s="14" t="n">
        <v>7.17</v>
      </c>
      <c r="U729" s="26">
        <f>IF(X729&gt;='Methodology &amp; Assumptions'!$B$7, "Tier 1 Critical GIDA (Score ≥ 50.0)", IF(X729&gt;='Methodology &amp; Assumptions'!$B$8, "Tier 2 High GIDA (Score 40.0–49.9)", "Tier 3 Moderate GIDA (Score &lt; 40.0)"))</f>
        <v/>
      </c>
      <c r="V729" s="26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W729" s="28" t="n">
        <v>0.109</v>
      </c>
      <c r="X729" s="14" t="n">
        <v>45.56</v>
      </c>
      <c r="Y729" s="14">
        <f>ROUND(MIN(100, (X729/69.91)*100), 2)</f>
        <v/>
      </c>
    </row>
    <row r="730">
      <c r="A730" s="10" t="n">
        <v>4</v>
      </c>
      <c r="B730" s="10" t="n">
        <v>726</v>
      </c>
      <c r="C730" s="10" t="n">
        <v>3726</v>
      </c>
      <c r="D730" s="10" t="inlineStr">
        <is>
          <t>PH0003726</t>
        </is>
      </c>
      <c r="E730" s="26" t="inlineStr">
        <is>
          <t>VIII</t>
        </is>
      </c>
      <c r="F730" s="26" t="inlineStr">
        <is>
          <t>Leyte</t>
        </is>
      </c>
      <c r="G730" s="26" t="inlineStr">
        <is>
          <t>Tacloban City</t>
        </is>
      </c>
      <c r="H730" s="26" t="inlineStr">
        <is>
          <t>Barangay 48-B</t>
        </is>
      </c>
      <c r="I730" s="27" t="n">
        <v>11.325118</v>
      </c>
      <c r="J730" s="27" t="n">
        <v>124.9552</v>
      </c>
      <c r="K730" s="10" t="inlineStr">
        <is>
          <t>R</t>
        </is>
      </c>
      <c r="L730" s="12" t="n">
        <v>2258</v>
      </c>
      <c r="M730" s="14" t="n">
        <v>3.8</v>
      </c>
      <c r="N730" s="12">
        <f>ROUND(L730/M730, 0)</f>
        <v/>
      </c>
      <c r="O730" s="12">
        <f>ROUND(N730*'Methodology &amp; Assumptions'!$B$5, 0)</f>
        <v/>
      </c>
      <c r="P730" s="10" t="inlineStr">
        <is>
          <t>Single Carrier (Band n50, 100MHz TDD)</t>
        </is>
      </c>
      <c r="Q730" s="13">
        <f>ROUNDUP(O730/'Methodology &amp; Assumptions'!$B$6, 0)</f>
        <v/>
      </c>
      <c r="R730" s="13" t="n">
        <v>1</v>
      </c>
      <c r="S730" s="14" t="n">
        <v>10.81</v>
      </c>
      <c r="T730" s="14" t="n">
        <v>13.85</v>
      </c>
      <c r="U730" s="26">
        <f>IF(X730&gt;='Methodology &amp; Assumptions'!$B$7, "Tier 1 Critical GIDA (Score ≥ 50.0)", IF(X730&gt;='Methodology &amp; Assumptions'!$B$8, "Tier 2 High GIDA (Score 40.0–49.9)", "Tier 3 Moderate GIDA (Score &lt; 40.0)"))</f>
        <v/>
      </c>
      <c r="V730" s="26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W730" s="28" t="n">
        <v>0.222</v>
      </c>
      <c r="X730" s="14" t="n">
        <v>45.56</v>
      </c>
      <c r="Y730" s="14">
        <f>ROUND(MIN(100, (X730/69.91)*100), 2)</f>
        <v/>
      </c>
    </row>
    <row r="731">
      <c r="A731" s="10" t="n">
        <v>4</v>
      </c>
      <c r="B731" s="10" t="n">
        <v>727</v>
      </c>
      <c r="C731" s="10" t="n">
        <v>3727</v>
      </c>
      <c r="D731" s="10" t="inlineStr">
        <is>
          <t>0403428008</t>
        </is>
      </c>
      <c r="E731" s="26" t="inlineStr">
        <is>
          <t>Region IV-A (CALABARZON)</t>
        </is>
      </c>
      <c r="F731" s="26" t="inlineStr">
        <is>
          <t>Laguna</t>
        </is>
      </c>
      <c r="G731" s="26" t="inlineStr">
        <is>
          <t>City of Santa Rosa</t>
        </is>
      </c>
      <c r="H731" s="26" t="inlineStr">
        <is>
          <t>Labas</t>
        </is>
      </c>
      <c r="I731" s="27" t="n">
        <v>14.306393</v>
      </c>
      <c r="J731" s="27" t="n">
        <v>121.11126</v>
      </c>
      <c r="K731" s="10" t="inlineStr">
        <is>
          <t>U</t>
        </is>
      </c>
      <c r="L731" s="12" t="n">
        <v>23335</v>
      </c>
      <c r="M731" s="14" t="n">
        <v>3.3</v>
      </c>
      <c r="N731" s="12">
        <f>ROUND(L731/M731, 0)</f>
        <v/>
      </c>
      <c r="O731" s="12">
        <f>ROUND(N731*'Methodology &amp; Assumptions'!$B$5, 0)</f>
        <v/>
      </c>
      <c r="P731" s="10" t="inlineStr">
        <is>
          <t>Single Carrier (Band n50, 100MHz TDD)</t>
        </is>
      </c>
      <c r="Q731" s="13">
        <f>ROUNDUP(O731/'Methodology &amp; Assumptions'!$B$6, 0)</f>
        <v/>
      </c>
      <c r="R731" s="13" t="n">
        <v>1</v>
      </c>
      <c r="S731" s="14" t="n">
        <v>1.05</v>
      </c>
      <c r="T731" s="14" t="n">
        <v>0.92</v>
      </c>
      <c r="U731" s="26">
        <f>IF(X731&gt;='Methodology &amp; Assumptions'!$B$7, "Tier 1 Critical GIDA (Score ≥ 50.0)", IF(X731&gt;='Methodology &amp; Assumptions'!$B$8, "Tier 2 High GIDA (Score 40.0–49.9)", "Tier 3 Moderate GIDA (Score &lt; 40.0)"))</f>
        <v/>
      </c>
      <c r="V731" s="26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W731" s="28" t="n">
        <v>0.07200000000000001</v>
      </c>
      <c r="X731" s="14" t="n">
        <v>45.54</v>
      </c>
      <c r="Y731" s="14">
        <f>ROUND(MIN(100, (X731/69.91)*100), 2)</f>
        <v/>
      </c>
    </row>
    <row r="732">
      <c r="A732" s="10" t="n">
        <v>4</v>
      </c>
      <c r="B732" s="10" t="n">
        <v>728</v>
      </c>
      <c r="C732" s="10" t="n">
        <v>3728</v>
      </c>
      <c r="D732" s="10" t="inlineStr">
        <is>
          <t>1908823006</t>
        </is>
      </c>
      <c r="E732" s="26" t="inlineStr">
        <is>
          <t>Bangsamoro Autonomous Region In Muslim Mindanao (BARMM)</t>
        </is>
      </c>
      <c r="F732" s="26" t="inlineStr">
        <is>
          <t>Maguindanao del Sur</t>
        </is>
      </c>
      <c r="G732" s="26" t="inlineStr">
        <is>
          <t>Sultan Sa Barongis</t>
        </is>
      </c>
      <c r="H732" s="26" t="inlineStr">
        <is>
          <t>Kulambog</t>
        </is>
      </c>
      <c r="I732" s="27" t="n">
        <v>17.25504</v>
      </c>
      <c r="J732" s="27" t="n">
        <v>122.229084</v>
      </c>
      <c r="K732" s="10" t="inlineStr">
        <is>
          <t>R</t>
        </is>
      </c>
      <c r="L732" s="12" t="n">
        <v>3701</v>
      </c>
      <c r="M732" s="14" t="n">
        <v>4.7</v>
      </c>
      <c r="N732" s="12">
        <f>ROUND(L732/M732, 0)</f>
        <v/>
      </c>
      <c r="O732" s="12">
        <f>ROUND(N732*'Methodology &amp; Assumptions'!$B$5, 0)</f>
        <v/>
      </c>
      <c r="P732" s="10" t="inlineStr">
        <is>
          <t>Single Carrier (Band n50, 100MHz TDD)</t>
        </is>
      </c>
      <c r="Q732" s="13">
        <f>ROUNDUP(O732/'Methodology &amp; Assumptions'!$B$6, 0)</f>
        <v/>
      </c>
      <c r="R732" s="13" t="n">
        <v>1</v>
      </c>
      <c r="S732" s="14" t="n">
        <v>29.45</v>
      </c>
      <c r="T732" s="14" t="n">
        <v>34.32</v>
      </c>
      <c r="U732" s="26">
        <f>IF(X732&gt;='Methodology &amp; Assumptions'!$B$7, "Tier 1 Critical GIDA (Score ≥ 50.0)", IF(X732&gt;='Methodology &amp; Assumptions'!$B$8, "Tier 2 High GIDA (Score 40.0–49.9)", "Tier 3 Moderate GIDA (Score &lt; 40.0)"))</f>
        <v/>
      </c>
      <c r="V732" s="26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W732" s="28" t="n">
        <v>0.11</v>
      </c>
      <c r="X732" s="14" t="n">
        <v>45.54</v>
      </c>
      <c r="Y732" s="14">
        <f>ROUND(MIN(100, (X732/69.91)*100), 2)</f>
        <v/>
      </c>
    </row>
    <row r="733">
      <c r="A733" s="10" t="n">
        <v>4</v>
      </c>
      <c r="B733" s="10" t="n">
        <v>729</v>
      </c>
      <c r="C733" s="10" t="n">
        <v>3729</v>
      </c>
      <c r="D733" s="10" t="inlineStr">
        <is>
          <t>PH0003729</t>
        </is>
      </c>
      <c r="E733" s="26" t="inlineStr">
        <is>
          <t>IV-A</t>
        </is>
      </c>
      <c r="F733" s="26" t="inlineStr">
        <is>
          <t>Cavite</t>
        </is>
      </c>
      <c r="G733" s="26" t="inlineStr">
        <is>
          <t>Imus City</t>
        </is>
      </c>
      <c r="H733" s="26" t="inlineStr">
        <is>
          <t>Poblacion III-B</t>
        </is>
      </c>
      <c r="I733" s="27" t="n">
        <v>14.270146</v>
      </c>
      <c r="J733" s="27" t="n">
        <v>120.876883</v>
      </c>
      <c r="K733" s="10" t="inlineStr">
        <is>
          <t>R</t>
        </is>
      </c>
      <c r="L733" s="12" t="n">
        <v>2316</v>
      </c>
      <c r="M733" s="14" t="n">
        <v>3.4</v>
      </c>
      <c r="N733" s="12">
        <f>ROUND(L733/M733, 0)</f>
        <v/>
      </c>
      <c r="O733" s="12">
        <f>ROUND(N733*'Methodology &amp; Assumptions'!$B$5, 0)</f>
        <v/>
      </c>
      <c r="P733" s="10" t="inlineStr">
        <is>
          <t>Single Carrier (Band n50, 100MHz TDD)</t>
        </is>
      </c>
      <c r="Q733" s="13">
        <f>ROUNDUP(O733/'Methodology &amp; Assumptions'!$B$6, 0)</f>
        <v/>
      </c>
      <c r="R733" s="13" t="n">
        <v>1</v>
      </c>
      <c r="S733" s="14" t="n">
        <v>1.61</v>
      </c>
      <c r="T733" s="14" t="n">
        <v>1.09</v>
      </c>
      <c r="U733" s="26">
        <f>IF(X733&gt;='Methodology &amp; Assumptions'!$B$7, "Tier 1 Critical GIDA (Score ≥ 50.0)", IF(X733&gt;='Methodology &amp; Assumptions'!$B$8, "Tier 2 High GIDA (Score 40.0–49.9)", "Tier 3 Moderate GIDA (Score &lt; 40.0)"))</f>
        <v/>
      </c>
      <c r="V733" s="26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W733" s="28" t="n">
        <v>0.07200000000000001</v>
      </c>
      <c r="X733" s="14" t="n">
        <v>45.54</v>
      </c>
      <c r="Y733" s="14">
        <f>ROUND(MIN(100, (X733/69.91)*100), 2)</f>
        <v/>
      </c>
    </row>
    <row r="734">
      <c r="A734" s="10" t="n">
        <v>4</v>
      </c>
      <c r="B734" s="10" t="n">
        <v>730</v>
      </c>
      <c r="C734" s="10" t="n">
        <v>3730</v>
      </c>
      <c r="D734" s="10" t="inlineStr">
        <is>
          <t>1903628039</t>
        </is>
      </c>
      <c r="E734" s="26" t="inlineStr">
        <is>
          <t>Bangsamoro Autonomous Region In Muslim Mindanao (BARMM)</t>
        </is>
      </c>
      <c r="F734" s="26" t="inlineStr">
        <is>
          <t>Lanao del Sur</t>
        </is>
      </c>
      <c r="G734" s="26" t="inlineStr">
        <is>
          <t>Tubaran</t>
        </is>
      </c>
      <c r="H734" s="26" t="inlineStr">
        <is>
          <t>Bagiangun</t>
        </is>
      </c>
      <c r="I734" s="27" t="n">
        <v>17.268391</v>
      </c>
      <c r="J734" s="27" t="n">
        <v>122.234062</v>
      </c>
      <c r="K734" s="10" t="inlineStr">
        <is>
          <t>R</t>
        </is>
      </c>
      <c r="L734" s="12" t="n">
        <v>748</v>
      </c>
      <c r="M734" s="14" t="n">
        <v>5.7</v>
      </c>
      <c r="N734" s="12">
        <f>ROUND(L734/M734, 0)</f>
        <v/>
      </c>
      <c r="O734" s="12">
        <f>ROUND(N734*'Methodology &amp; Assumptions'!$B$5, 0)</f>
        <v/>
      </c>
      <c r="P734" s="10" t="inlineStr">
        <is>
          <t>Single Carrier (Band n50, 100MHz TDD)</t>
        </is>
      </c>
      <c r="Q734" s="13">
        <f>ROUNDUP(O734/'Methodology &amp; Assumptions'!$B$6, 0)</f>
        <v/>
      </c>
      <c r="R734" s="13" t="n">
        <v>1</v>
      </c>
      <c r="S734" s="14" t="n">
        <v>30.81</v>
      </c>
      <c r="T734" s="14" t="n">
        <v>35.28</v>
      </c>
      <c r="U734" s="26">
        <f>IF(X734&gt;='Methodology &amp; Assumptions'!$B$7, "Tier 1 Critical GIDA (Score ≥ 50.0)", IF(X734&gt;='Methodology &amp; Assumptions'!$B$8, "Tier 2 High GIDA (Score 40.0–49.9)", "Tier 3 Moderate GIDA (Score &lt; 40.0)"))</f>
        <v/>
      </c>
      <c r="V734" s="26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W734" s="28" t="n">
        <v>0.11</v>
      </c>
      <c r="X734" s="14" t="n">
        <v>45.53</v>
      </c>
      <c r="Y734" s="14">
        <f>ROUND(MIN(100, (X734/69.91)*100), 2)</f>
        <v/>
      </c>
    </row>
    <row r="735">
      <c r="A735" s="10" t="n">
        <v>4</v>
      </c>
      <c r="B735" s="10" t="n">
        <v>731</v>
      </c>
      <c r="C735" s="10" t="n">
        <v>3731</v>
      </c>
      <c r="D735" s="10" t="inlineStr">
        <is>
          <t>PH0003731</t>
        </is>
      </c>
      <c r="E735" s="26" t="inlineStr">
        <is>
          <t>VII</t>
        </is>
      </c>
      <c r="F735" s="26" t="inlineStr">
        <is>
          <t>Cebu</t>
        </is>
      </c>
      <c r="G735" s="26" t="inlineStr">
        <is>
          <t>Cebu City</t>
        </is>
      </c>
      <c r="H735" s="26" t="inlineStr">
        <is>
          <t>Cogon Pardo</t>
        </is>
      </c>
      <c r="I735" s="27" t="n">
        <v>10.353206</v>
      </c>
      <c r="J735" s="27" t="n">
        <v>123.87189</v>
      </c>
      <c r="K735" s="10" t="inlineStr">
        <is>
          <t>R</t>
        </is>
      </c>
      <c r="L735" s="12" t="n">
        <v>2250</v>
      </c>
      <c r="M735" s="14" t="n">
        <v>3.8</v>
      </c>
      <c r="N735" s="12">
        <f>ROUND(L735/M735, 0)</f>
        <v/>
      </c>
      <c r="O735" s="12">
        <f>ROUND(N735*'Methodology &amp; Assumptions'!$B$5, 0)</f>
        <v/>
      </c>
      <c r="P735" s="10" t="inlineStr">
        <is>
          <t>Single Carrier (Band n50, 100MHz TDD)</t>
        </is>
      </c>
      <c r="Q735" s="13">
        <f>ROUNDUP(O735/'Methodology &amp; Assumptions'!$B$6, 0)</f>
        <v/>
      </c>
      <c r="R735" s="13" t="n">
        <v>1</v>
      </c>
      <c r="S735" s="14" t="n">
        <v>3.44</v>
      </c>
      <c r="T735" s="14" t="n">
        <v>5.52</v>
      </c>
      <c r="U735" s="26">
        <f>IF(X735&gt;='Methodology &amp; Assumptions'!$B$7, "Tier 1 Critical GIDA (Score ≥ 50.0)", IF(X735&gt;='Methodology &amp; Assumptions'!$B$8, "Tier 2 High GIDA (Score 40.0–49.9)", "Tier 3 Moderate GIDA (Score &lt; 40.0)"))</f>
        <v/>
      </c>
      <c r="V735" s="26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W735" s="28" t="n">
        <v>0.21</v>
      </c>
      <c r="X735" s="14" t="n">
        <v>45.53</v>
      </c>
      <c r="Y735" s="14">
        <f>ROUND(MIN(100, (X735/69.91)*100), 2)</f>
        <v/>
      </c>
    </row>
    <row r="736">
      <c r="A736" s="10" t="n">
        <v>4</v>
      </c>
      <c r="B736" s="10" t="n">
        <v>732</v>
      </c>
      <c r="C736" s="10" t="n">
        <v>3732</v>
      </c>
      <c r="D736" s="10" t="inlineStr">
        <is>
          <t>0203110006</t>
        </is>
      </c>
      <c r="E736" s="26" t="inlineStr">
        <is>
          <t>Region II (Cagayan Valley)</t>
        </is>
      </c>
      <c r="F736" s="26" t="inlineStr">
        <is>
          <t>Isabela</t>
        </is>
      </c>
      <c r="G736" s="26" t="inlineStr">
        <is>
          <t>Dinapigue</t>
        </is>
      </c>
      <c r="H736" s="26" t="inlineStr">
        <is>
          <t>Dimaluade</t>
        </is>
      </c>
      <c r="I736" s="27" t="n">
        <v>16.536057</v>
      </c>
      <c r="J736" s="27" t="n">
        <v>122.253349</v>
      </c>
      <c r="K736" s="10" t="inlineStr">
        <is>
          <t>R</t>
        </is>
      </c>
      <c r="L736" s="12" t="n">
        <v>300</v>
      </c>
      <c r="M736" s="14" t="n">
        <v>3.8</v>
      </c>
      <c r="N736" s="12">
        <f>ROUND(L736/M736, 0)</f>
        <v/>
      </c>
      <c r="O736" s="12">
        <f>ROUND(N736*'Methodology &amp; Assumptions'!$B$5, 0)</f>
        <v/>
      </c>
      <c r="P736" s="10" t="inlineStr">
        <is>
          <t>Single Carrier (Band n50, 100MHz TDD)</t>
        </is>
      </c>
      <c r="Q736" s="13">
        <f>ROUNDUP(O736/'Methodology &amp; Assumptions'!$B$6, 0)</f>
        <v/>
      </c>
      <c r="R736" s="13" t="n">
        <v>1</v>
      </c>
      <c r="S736" s="14" t="n">
        <v>1.62</v>
      </c>
      <c r="T736" s="14" t="n">
        <v>1.51</v>
      </c>
      <c r="U736" s="26">
        <f>IF(X736&gt;='Methodology &amp; Assumptions'!$B$7, "Tier 1 Critical GIDA (Score ≥ 50.0)", IF(X736&gt;='Methodology &amp; Assumptions'!$B$8, "Tier 2 High GIDA (Score 40.0–49.9)", "Tier 3 Moderate GIDA (Score &lt; 40.0)"))</f>
        <v/>
      </c>
      <c r="V736" s="26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W736" s="28" t="n">
        <v>0.083</v>
      </c>
      <c r="X736" s="14" t="n">
        <v>45.53</v>
      </c>
      <c r="Y736" s="14">
        <f>ROUND(MIN(100, (X736/69.91)*100), 2)</f>
        <v/>
      </c>
    </row>
    <row r="737">
      <c r="A737" s="10" t="n">
        <v>4</v>
      </c>
      <c r="B737" s="10" t="n">
        <v>733</v>
      </c>
      <c r="C737" s="10" t="n">
        <v>3733</v>
      </c>
      <c r="D737" s="10" t="inlineStr">
        <is>
          <t>1400114007</t>
        </is>
      </c>
      <c r="E737" s="26" t="inlineStr">
        <is>
          <t>Cordillera Administrative Region (CAR)</t>
        </is>
      </c>
      <c r="F737" s="26" t="inlineStr">
        <is>
          <t>Abra</t>
        </is>
      </c>
      <c r="G737" s="26" t="inlineStr">
        <is>
          <t>Luba</t>
        </is>
      </c>
      <c r="H737" s="26" t="inlineStr">
        <is>
          <t>Nagbukel-Tuquipa</t>
        </is>
      </c>
      <c r="I737" s="27" t="n">
        <v>17.329289</v>
      </c>
      <c r="J737" s="27" t="n">
        <v>120.65952</v>
      </c>
      <c r="K737" s="10" t="inlineStr">
        <is>
          <t>R</t>
        </is>
      </c>
      <c r="L737" s="12" t="n">
        <v>543</v>
      </c>
      <c r="M737" s="14" t="n">
        <v>3.8</v>
      </c>
      <c r="N737" s="12">
        <f>ROUND(L737/M737, 0)</f>
        <v/>
      </c>
      <c r="O737" s="12">
        <f>ROUND(N737*'Methodology &amp; Assumptions'!$B$5, 0)</f>
        <v/>
      </c>
      <c r="P737" s="10" t="inlineStr">
        <is>
          <t>Single Carrier (Band n50, 100MHz TDD)</t>
        </is>
      </c>
      <c r="Q737" s="13">
        <f>ROUNDUP(O737/'Methodology &amp; Assumptions'!$B$6, 0)</f>
        <v/>
      </c>
      <c r="R737" s="13" t="n">
        <v>1</v>
      </c>
      <c r="S737" s="14" t="n">
        <v>16.87</v>
      </c>
      <c r="T737" s="14" t="n">
        <v>12.14</v>
      </c>
      <c r="U737" s="26">
        <f>IF(X737&gt;='Methodology &amp; Assumptions'!$B$7, "Tier 1 Critical GIDA (Score ≥ 50.0)", IF(X737&gt;='Methodology &amp; Assumptions'!$B$8, "Tier 2 High GIDA (Score 40.0–49.9)", "Tier 3 Moderate GIDA (Score &lt; 40.0)"))</f>
        <v/>
      </c>
      <c r="V737" s="26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W737" s="28" t="n">
        <v>0.109</v>
      </c>
      <c r="X737" s="14" t="n">
        <v>45.52</v>
      </c>
      <c r="Y737" s="14">
        <f>ROUND(MIN(100, (X737/69.91)*100), 2)</f>
        <v/>
      </c>
    </row>
    <row r="738">
      <c r="A738" s="10" t="n">
        <v>4</v>
      </c>
      <c r="B738" s="10" t="n">
        <v>734</v>
      </c>
      <c r="C738" s="10" t="n">
        <v>3734</v>
      </c>
      <c r="D738" s="10" t="inlineStr">
        <is>
          <t>0403405053</t>
        </is>
      </c>
      <c r="E738" s="26" t="inlineStr">
        <is>
          <t>Region IV-A (CALABARZON)</t>
        </is>
      </c>
      <c r="F738" s="26" t="inlineStr">
        <is>
          <t>Laguna</t>
        </is>
      </c>
      <c r="G738" s="26" t="inlineStr">
        <is>
          <t>City of Calamba</t>
        </is>
      </c>
      <c r="H738" s="26" t="inlineStr">
        <is>
          <t>San Cristobal</t>
        </is>
      </c>
      <c r="I738" s="27" t="n">
        <v>14.222554</v>
      </c>
      <c r="J738" s="27" t="n">
        <v>121.14561</v>
      </c>
      <c r="K738" s="10" t="inlineStr">
        <is>
          <t>U</t>
        </is>
      </c>
      <c r="L738" s="12" t="n">
        <v>16312</v>
      </c>
      <c r="M738" s="14" t="n">
        <v>3.3</v>
      </c>
      <c r="N738" s="12">
        <f>ROUND(L738/M738, 0)</f>
        <v/>
      </c>
      <c r="O738" s="12">
        <f>ROUND(N738*'Methodology &amp; Assumptions'!$B$5, 0)</f>
        <v/>
      </c>
      <c r="P738" s="10" t="inlineStr">
        <is>
          <t>Single Carrier (Band n50, 100MHz TDD)</t>
        </is>
      </c>
      <c r="Q738" s="13">
        <f>ROUNDUP(O738/'Methodology &amp; Assumptions'!$B$6, 0)</f>
        <v/>
      </c>
      <c r="R738" s="13" t="n">
        <v>1</v>
      </c>
      <c r="S738" s="14" t="n">
        <v>2.78</v>
      </c>
      <c r="T738" s="14" t="n">
        <v>0.61</v>
      </c>
      <c r="U738" s="26">
        <f>IF(X738&gt;='Methodology &amp; Assumptions'!$B$7, "Tier 1 Critical GIDA (Score ≥ 50.0)", IF(X738&gt;='Methodology &amp; Assumptions'!$B$8, "Tier 2 High GIDA (Score 40.0–49.9)", "Tier 3 Moderate GIDA (Score &lt; 40.0)"))</f>
        <v/>
      </c>
      <c r="V738" s="26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W738" s="28" t="n">
        <v>0.07200000000000001</v>
      </c>
      <c r="X738" s="14" t="n">
        <v>45.52</v>
      </c>
      <c r="Y738" s="14">
        <f>ROUND(MIN(100, (X738/69.91)*100), 2)</f>
        <v/>
      </c>
    </row>
    <row r="739">
      <c r="A739" s="10" t="n">
        <v>4</v>
      </c>
      <c r="B739" s="10" t="n">
        <v>735</v>
      </c>
      <c r="C739" s="10" t="n">
        <v>3735</v>
      </c>
      <c r="D739" s="10" t="inlineStr">
        <is>
          <t>1403201003</t>
        </is>
      </c>
      <c r="E739" s="26" t="inlineStr">
        <is>
          <t>Cordillera Administrative Region (CAR)</t>
        </is>
      </c>
      <c r="F739" s="26" t="inlineStr">
        <is>
          <t>Kalinga</t>
        </is>
      </c>
      <c r="G739" s="26" t="inlineStr">
        <is>
          <t>Balbalan</t>
        </is>
      </c>
      <c r="H739" s="26" t="inlineStr">
        <is>
          <t>Balbalan Proper</t>
        </is>
      </c>
      <c r="I739" s="27" t="n">
        <v>17.44099</v>
      </c>
      <c r="J739" s="27" t="n">
        <v>121.20157</v>
      </c>
      <c r="K739" s="10" t="inlineStr">
        <is>
          <t>R</t>
        </is>
      </c>
      <c r="L739" s="12" t="n">
        <v>1040</v>
      </c>
      <c r="M739" s="14" t="n">
        <v>4.3</v>
      </c>
      <c r="N739" s="12">
        <f>ROUND(L739/M739, 0)</f>
        <v/>
      </c>
      <c r="O739" s="12">
        <f>ROUND(N739*'Methodology &amp; Assumptions'!$B$5, 0)</f>
        <v/>
      </c>
      <c r="P739" s="10" t="inlineStr">
        <is>
          <t>Single Carrier (Band n50, 100MHz TDD)</t>
        </is>
      </c>
      <c r="Q739" s="13">
        <f>ROUNDUP(O739/'Methodology &amp; Assumptions'!$B$6, 0)</f>
        <v/>
      </c>
      <c r="R739" s="13" t="n">
        <v>1</v>
      </c>
      <c r="S739" s="14" t="n">
        <v>19.61</v>
      </c>
      <c r="T739" s="14" t="n">
        <v>5.15</v>
      </c>
      <c r="U739" s="26">
        <f>IF(X739&gt;='Methodology &amp; Assumptions'!$B$7, "Tier 1 Critical GIDA (Score ≥ 50.0)", IF(X739&gt;='Methodology &amp; Assumptions'!$B$8, "Tier 2 High GIDA (Score 40.0–49.9)", "Tier 3 Moderate GIDA (Score &lt; 40.0)"))</f>
        <v/>
      </c>
      <c r="V739" s="26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W739" s="28" t="n">
        <v>0.109</v>
      </c>
      <c r="X739" s="14" t="n">
        <v>45.52</v>
      </c>
      <c r="Y739" s="14">
        <f>ROUND(MIN(100, (X739/69.91)*100), 2)</f>
        <v/>
      </c>
    </row>
    <row r="740">
      <c r="A740" s="10" t="n">
        <v>4</v>
      </c>
      <c r="B740" s="10" t="n">
        <v>736</v>
      </c>
      <c r="C740" s="10" t="n">
        <v>3736</v>
      </c>
      <c r="D740" s="10" t="inlineStr">
        <is>
          <t>PH0003736</t>
        </is>
      </c>
      <c r="E740" s="26" t="inlineStr">
        <is>
          <t>IV-A</t>
        </is>
      </c>
      <c r="F740" s="26" t="inlineStr">
        <is>
          <t>Quezon</t>
        </is>
      </c>
      <c r="G740" s="26" t="inlineStr">
        <is>
          <t>Lucena City</t>
        </is>
      </c>
      <c r="H740" s="26" t="inlineStr">
        <is>
          <t>Barangay 7 (Pob.)</t>
        </is>
      </c>
      <c r="I740" s="27" t="n">
        <v>13.932574</v>
      </c>
      <c r="J740" s="27" t="n">
        <v>121.610574</v>
      </c>
      <c r="K740" s="10" t="inlineStr">
        <is>
          <t>R</t>
        </is>
      </c>
      <c r="L740" s="12" t="n">
        <v>1964</v>
      </c>
      <c r="M740" s="14" t="n">
        <v>3.8</v>
      </c>
      <c r="N740" s="12">
        <f>ROUND(L740/M740, 0)</f>
        <v/>
      </c>
      <c r="O740" s="12">
        <f>ROUND(N740*'Methodology &amp; Assumptions'!$B$5, 0)</f>
        <v/>
      </c>
      <c r="P740" s="10" t="inlineStr">
        <is>
          <t>Single Carrier (Band n50, 100MHz TDD)</t>
        </is>
      </c>
      <c r="Q740" s="13">
        <f>ROUNDUP(O740/'Methodology &amp; Assumptions'!$B$6, 0)</f>
        <v/>
      </c>
      <c r="R740" s="13" t="n">
        <v>1</v>
      </c>
      <c r="S740" s="14" t="n">
        <v>0.12</v>
      </c>
      <c r="T740" s="14" t="n">
        <v>0.1</v>
      </c>
      <c r="U740" s="26">
        <f>IF(X740&gt;='Methodology &amp; Assumptions'!$B$7, "Tier 1 Critical GIDA (Score ≥ 50.0)", IF(X740&gt;='Methodology &amp; Assumptions'!$B$8, "Tier 2 High GIDA (Score 40.0–49.9)", "Tier 3 Moderate GIDA (Score &lt; 40.0)"))</f>
        <v/>
      </c>
      <c r="V740" s="26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W740" s="28" t="n">
        <v>0.07200000000000001</v>
      </c>
      <c r="X740" s="14" t="n">
        <v>45.52</v>
      </c>
      <c r="Y740" s="14">
        <f>ROUND(MIN(100, (X740/69.91)*100), 2)</f>
        <v/>
      </c>
    </row>
    <row r="741">
      <c r="A741" s="10" t="n">
        <v>4</v>
      </c>
      <c r="B741" s="10" t="n">
        <v>737</v>
      </c>
      <c r="C741" s="10" t="n">
        <v>3737</v>
      </c>
      <c r="D741" s="10" t="inlineStr">
        <is>
          <t>0301407018</t>
        </is>
      </c>
      <c r="E741" s="26" t="inlineStr">
        <is>
          <t>Region III (Central Luzon)</t>
        </is>
      </c>
      <c r="F741" s="26" t="inlineStr">
        <is>
          <t>Bulacan</t>
        </is>
      </c>
      <c r="G741" s="26" t="inlineStr">
        <is>
          <t>Calumpit</t>
        </is>
      </c>
      <c r="H741" s="26" t="inlineStr">
        <is>
          <t>Palimbang</t>
        </is>
      </c>
      <c r="I741" s="27" t="n">
        <v>14.900734</v>
      </c>
      <c r="J741" s="27" t="n">
        <v>120.753907</v>
      </c>
      <c r="K741" s="10" t="inlineStr">
        <is>
          <t>R</t>
        </is>
      </c>
      <c r="L741" s="12" t="n">
        <v>1760</v>
      </c>
      <c r="M741" s="14" t="n">
        <v>3.5</v>
      </c>
      <c r="N741" s="12">
        <f>ROUND(L741/M741, 0)</f>
        <v/>
      </c>
      <c r="O741" s="12">
        <f>ROUND(N741*'Methodology &amp; Assumptions'!$B$5, 0)</f>
        <v/>
      </c>
      <c r="P741" s="10" t="inlineStr">
        <is>
          <t>Single Carrier (Band n50, 100MHz TDD)</t>
        </is>
      </c>
      <c r="Q741" s="13">
        <f>ROUNDUP(O741/'Methodology &amp; Assumptions'!$B$6, 0)</f>
        <v/>
      </c>
      <c r="R741" s="13" t="n">
        <v>1</v>
      </c>
      <c r="S741" s="14" t="n">
        <v>1.62</v>
      </c>
      <c r="T741" s="14" t="n">
        <v>1.21</v>
      </c>
      <c r="U741" s="26">
        <f>IF(X741&gt;='Methodology &amp; Assumptions'!$B$7, "Tier 1 Critical GIDA (Score ≥ 50.0)", IF(X741&gt;='Methodology &amp; Assumptions'!$B$8, "Tier 2 High GIDA (Score 40.0–49.9)", "Tier 3 Moderate GIDA (Score &lt; 40.0)"))</f>
        <v/>
      </c>
      <c r="V741" s="26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W741" s="28" t="n">
        <v>0.083</v>
      </c>
      <c r="X741" s="14" t="n">
        <v>45.51</v>
      </c>
      <c r="Y741" s="14">
        <f>ROUND(MIN(100, (X741/69.91)*100), 2)</f>
        <v/>
      </c>
    </row>
    <row r="742">
      <c r="A742" s="10" t="n">
        <v>4</v>
      </c>
      <c r="B742" s="10" t="n">
        <v>738</v>
      </c>
      <c r="C742" s="10" t="n">
        <v>3738</v>
      </c>
      <c r="D742" s="10" t="inlineStr">
        <is>
          <t>PH0003738</t>
        </is>
      </c>
      <c r="E742" s="26" t="inlineStr">
        <is>
          <t>III</t>
        </is>
      </c>
      <c r="F742" s="26" t="inlineStr">
        <is>
          <t>Pampanga</t>
        </is>
      </c>
      <c r="G742" s="26" t="inlineStr">
        <is>
          <t>Angeles City</t>
        </is>
      </c>
      <c r="H742" s="26" t="inlineStr">
        <is>
          <t>Sto. Rosario (Pob.)</t>
        </is>
      </c>
      <c r="I742" s="27" t="n">
        <v>15.149405</v>
      </c>
      <c r="J742" s="27" t="n">
        <v>120.59989</v>
      </c>
      <c r="K742" s="10" t="inlineStr">
        <is>
          <t>R</t>
        </is>
      </c>
      <c r="L742" s="12" t="n">
        <v>2334</v>
      </c>
      <c r="M742" s="14" t="n">
        <v>4</v>
      </c>
      <c r="N742" s="12">
        <f>ROUND(L742/M742, 0)</f>
        <v/>
      </c>
      <c r="O742" s="12">
        <f>ROUND(N742*'Methodology &amp; Assumptions'!$B$5, 0)</f>
        <v/>
      </c>
      <c r="P742" s="10" t="inlineStr">
        <is>
          <t>Single Carrier (Band n50, 100MHz TDD)</t>
        </is>
      </c>
      <c r="Q742" s="13">
        <f>ROUNDUP(O742/'Methodology &amp; Assumptions'!$B$6, 0)</f>
        <v/>
      </c>
      <c r="R742" s="13" t="n">
        <v>1</v>
      </c>
      <c r="S742" s="14" t="n">
        <v>0.88</v>
      </c>
      <c r="T742" s="14" t="n">
        <v>0.22</v>
      </c>
      <c r="U742" s="26">
        <f>IF(X742&gt;='Methodology &amp; Assumptions'!$B$7, "Tier 1 Critical GIDA (Score ≥ 50.0)", IF(X742&gt;='Methodology &amp; Assumptions'!$B$8, "Tier 2 High GIDA (Score 40.0–49.9)", "Tier 3 Moderate GIDA (Score &lt; 40.0)"))</f>
        <v/>
      </c>
      <c r="V742" s="26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W742" s="28" t="n">
        <v>0.083</v>
      </c>
      <c r="X742" s="14" t="n">
        <v>45.5</v>
      </c>
      <c r="Y742" s="14">
        <f>ROUND(MIN(100, (X742/69.91)*100), 2)</f>
        <v/>
      </c>
    </row>
    <row r="743">
      <c r="A743" s="10" t="n">
        <v>4</v>
      </c>
      <c r="B743" s="10" t="n">
        <v>739</v>
      </c>
      <c r="C743" s="10" t="n">
        <v>3739</v>
      </c>
      <c r="D743" s="10" t="inlineStr">
        <is>
          <t>PH0003739</t>
        </is>
      </c>
      <c r="E743" s="26" t="inlineStr">
        <is>
          <t>VII</t>
        </is>
      </c>
      <c r="F743" s="26" t="inlineStr">
        <is>
          <t>Cebu</t>
        </is>
      </c>
      <c r="G743" s="26" t="inlineStr">
        <is>
          <t>Cebu City</t>
        </is>
      </c>
      <c r="H743" s="26" t="inlineStr">
        <is>
          <t>Sambag I (Pob.)</t>
        </is>
      </c>
      <c r="I743" s="27" t="n">
        <v>10.299409</v>
      </c>
      <c r="J743" s="27" t="n">
        <v>123.895647</v>
      </c>
      <c r="K743" s="10" t="inlineStr">
        <is>
          <t>R</t>
        </is>
      </c>
      <c r="L743" s="12" t="n">
        <v>2250</v>
      </c>
      <c r="M743" s="14" t="n">
        <v>3.8</v>
      </c>
      <c r="N743" s="12">
        <f>ROUND(L743/M743, 0)</f>
        <v/>
      </c>
      <c r="O743" s="12">
        <f>ROUND(N743*'Methodology &amp; Assumptions'!$B$5, 0)</f>
        <v/>
      </c>
      <c r="P743" s="10" t="inlineStr">
        <is>
          <t>Single Carrier (Band n50, 100MHz TDD)</t>
        </is>
      </c>
      <c r="Q743" s="13">
        <f>ROUNDUP(O743/'Methodology &amp; Assumptions'!$B$6, 0)</f>
        <v/>
      </c>
      <c r="R743" s="13" t="n">
        <v>1</v>
      </c>
      <c r="S743" s="14" t="n">
        <v>0.4</v>
      </c>
      <c r="T743" s="14" t="n">
        <v>0.08</v>
      </c>
      <c r="U743" s="26">
        <f>IF(X743&gt;='Methodology &amp; Assumptions'!$B$7, "Tier 1 Critical GIDA (Score ≥ 50.0)", IF(X743&gt;='Methodology &amp; Assumptions'!$B$8, "Tier 2 High GIDA (Score 40.0–49.9)", "Tier 3 Moderate GIDA (Score &lt; 40.0)"))</f>
        <v/>
      </c>
      <c r="V743" s="26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W743" s="28" t="n">
        <v>0.21</v>
      </c>
      <c r="X743" s="14" t="n">
        <v>45.5</v>
      </c>
      <c r="Y743" s="14">
        <f>ROUND(MIN(100, (X743/69.91)*100), 2)</f>
        <v/>
      </c>
    </row>
    <row r="744">
      <c r="A744" s="10" t="n">
        <v>4</v>
      </c>
      <c r="B744" s="10" t="n">
        <v>740</v>
      </c>
      <c r="C744" s="10" t="n">
        <v>3740</v>
      </c>
      <c r="D744" s="10" t="inlineStr">
        <is>
          <t>0402123008</t>
        </is>
      </c>
      <c r="E744" s="26" t="inlineStr">
        <is>
          <t>Region IV-A (CALABARZON)</t>
        </is>
      </c>
      <c r="F744" s="26" t="inlineStr">
        <is>
          <t>Cavite</t>
        </is>
      </c>
      <c r="G744" s="26" t="inlineStr">
        <is>
          <t>Gen. Mariano Alvarez</t>
        </is>
      </c>
      <c r="H744" s="26" t="inlineStr">
        <is>
          <t>Bernardo Pulido</t>
        </is>
      </c>
      <c r="I744" s="27" t="n">
        <v>14.312154</v>
      </c>
      <c r="J744" s="27" t="n">
        <v>121.020098</v>
      </c>
      <c r="K744" s="10" t="inlineStr">
        <is>
          <t>U</t>
        </is>
      </c>
      <c r="L744" s="12" t="n">
        <v>15115</v>
      </c>
      <c r="M744" s="14" t="n">
        <v>3.4</v>
      </c>
      <c r="N744" s="12">
        <f>ROUND(L744/M744, 0)</f>
        <v/>
      </c>
      <c r="O744" s="12">
        <f>ROUND(N744*'Methodology &amp; Assumptions'!$B$5, 0)</f>
        <v/>
      </c>
      <c r="P744" s="10" t="inlineStr">
        <is>
          <t>Single Carrier (Band n50, 100MHz TDD)</t>
        </is>
      </c>
      <c r="Q744" s="13">
        <f>ROUNDUP(O744/'Methodology &amp; Assumptions'!$B$6, 0)</f>
        <v/>
      </c>
      <c r="R744" s="13" t="n">
        <v>1</v>
      </c>
      <c r="S744" s="14" t="n">
        <v>2.35</v>
      </c>
      <c r="T744" s="14" t="n">
        <v>3.23</v>
      </c>
      <c r="U744" s="26">
        <f>IF(X744&gt;='Methodology &amp; Assumptions'!$B$7, "Tier 1 Critical GIDA (Score ≥ 50.0)", IF(X744&gt;='Methodology &amp; Assumptions'!$B$8, "Tier 2 High GIDA (Score 40.0–49.9)", "Tier 3 Moderate GIDA (Score &lt; 40.0)"))</f>
        <v/>
      </c>
      <c r="V744" s="26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W744" s="28" t="n">
        <v>0.07200000000000001</v>
      </c>
      <c r="X744" s="14" t="n">
        <v>45.49</v>
      </c>
      <c r="Y744" s="14">
        <f>ROUND(MIN(100, (X744/69.91)*100), 2)</f>
        <v/>
      </c>
    </row>
    <row r="745">
      <c r="A745" s="10" t="n">
        <v>4</v>
      </c>
      <c r="B745" s="10" t="n">
        <v>741</v>
      </c>
      <c r="C745" s="10" t="n">
        <v>3741</v>
      </c>
      <c r="D745" s="10" t="inlineStr">
        <is>
          <t>0301407024</t>
        </is>
      </c>
      <c r="E745" s="26" t="inlineStr">
        <is>
          <t>Region III (Central Luzon)</t>
        </is>
      </c>
      <c r="F745" s="26" t="inlineStr">
        <is>
          <t>Bulacan</t>
        </is>
      </c>
      <c r="G745" s="26" t="inlineStr">
        <is>
          <t>Calumpit</t>
        </is>
      </c>
      <c r="H745" s="26" t="inlineStr">
        <is>
          <t>San Marcos</t>
        </is>
      </c>
      <c r="I745" s="27" t="n">
        <v>14.897755</v>
      </c>
      <c r="J745" s="27" t="n">
        <v>120.778733</v>
      </c>
      <c r="K745" s="10" t="inlineStr">
        <is>
          <t>U</t>
        </is>
      </c>
      <c r="L745" s="12" t="n">
        <v>2792</v>
      </c>
      <c r="M745" s="14" t="n">
        <v>3.5</v>
      </c>
      <c r="N745" s="12">
        <f>ROUND(L745/M745, 0)</f>
        <v/>
      </c>
      <c r="O745" s="12">
        <f>ROUND(N745*'Methodology &amp; Assumptions'!$B$5, 0)</f>
        <v/>
      </c>
      <c r="P745" s="10" t="inlineStr">
        <is>
          <t>Single Carrier (Band n50, 100MHz TDD)</t>
        </is>
      </c>
      <c r="Q745" s="13">
        <f>ROUNDUP(O745/'Methodology &amp; Assumptions'!$B$6, 0)</f>
        <v/>
      </c>
      <c r="R745" s="13" t="n">
        <v>1</v>
      </c>
      <c r="S745" s="14" t="n">
        <v>1.51</v>
      </c>
      <c r="T745" s="14" t="n">
        <v>0.31</v>
      </c>
      <c r="U745" s="26">
        <f>IF(X745&gt;='Methodology &amp; Assumptions'!$B$7, "Tier 1 Critical GIDA (Score ≥ 50.0)", IF(X745&gt;='Methodology &amp; Assumptions'!$B$8, "Tier 2 High GIDA (Score 40.0–49.9)", "Tier 3 Moderate GIDA (Score &lt; 40.0)"))</f>
        <v/>
      </c>
      <c r="V745" s="26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W745" s="28" t="n">
        <v>0.083</v>
      </c>
      <c r="X745" s="14" t="n">
        <v>45.49</v>
      </c>
      <c r="Y745" s="14">
        <f>ROUND(MIN(100, (X745/69.91)*100), 2)</f>
        <v/>
      </c>
    </row>
    <row r="746">
      <c r="A746" s="10" t="n">
        <v>4</v>
      </c>
      <c r="B746" s="10" t="n">
        <v>742</v>
      </c>
      <c r="C746" s="10" t="n">
        <v>3742</v>
      </c>
      <c r="D746" s="10" t="inlineStr">
        <is>
          <t>1400126009</t>
        </is>
      </c>
      <c r="E746" s="26" t="inlineStr">
        <is>
          <t>Cordillera Administrative Region (CAR)</t>
        </is>
      </c>
      <c r="F746" s="26" t="inlineStr">
        <is>
          <t>Abra</t>
        </is>
      </c>
      <c r="G746" s="26" t="inlineStr">
        <is>
          <t>Tubo</t>
        </is>
      </c>
      <c r="H746" s="26" t="inlineStr">
        <is>
          <t>Wayangan</t>
        </is>
      </c>
      <c r="I746" s="27" t="n">
        <v>17.257001</v>
      </c>
      <c r="J746" s="27" t="n">
        <v>120.70538</v>
      </c>
      <c r="K746" s="10" t="inlineStr">
        <is>
          <t>R</t>
        </is>
      </c>
      <c r="L746" s="12" t="n">
        <v>470</v>
      </c>
      <c r="M746" s="14" t="n">
        <v>3.8</v>
      </c>
      <c r="N746" s="12">
        <f>ROUND(L746/M746, 0)</f>
        <v/>
      </c>
      <c r="O746" s="12">
        <f>ROUND(N746*'Methodology &amp; Assumptions'!$B$5, 0)</f>
        <v/>
      </c>
      <c r="P746" s="10" t="inlineStr">
        <is>
          <t>Single Carrier (Band n50, 100MHz TDD)</t>
        </is>
      </c>
      <c r="Q746" s="13">
        <f>ROUNDUP(O746/'Methodology &amp; Assumptions'!$B$6, 0)</f>
        <v/>
      </c>
      <c r="R746" s="13" t="n">
        <v>1</v>
      </c>
      <c r="S746" s="14" t="n">
        <v>13.64</v>
      </c>
      <c r="T746" s="14" t="n">
        <v>7.56</v>
      </c>
      <c r="U746" s="26">
        <f>IF(X746&gt;='Methodology &amp; Assumptions'!$B$7, "Tier 1 Critical GIDA (Score ≥ 50.0)", IF(X746&gt;='Methodology &amp; Assumptions'!$B$8, "Tier 2 High GIDA (Score 40.0–49.9)", "Tier 3 Moderate GIDA (Score &lt; 40.0)"))</f>
        <v/>
      </c>
      <c r="V746" s="26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W746" s="28" t="n">
        <v>0.109</v>
      </c>
      <c r="X746" s="14" t="n">
        <v>45.48</v>
      </c>
      <c r="Y746" s="14">
        <f>ROUND(MIN(100, (X746/69.91)*100), 2)</f>
        <v/>
      </c>
    </row>
    <row r="747">
      <c r="A747" s="10" t="n">
        <v>4</v>
      </c>
      <c r="B747" s="10" t="n">
        <v>743</v>
      </c>
      <c r="C747" s="10" t="n">
        <v>3743</v>
      </c>
      <c r="D747" s="10" t="inlineStr">
        <is>
          <t>0201509003</t>
        </is>
      </c>
      <c r="E747" s="26" t="inlineStr">
        <is>
          <t>Region II (Cagayan Valley)</t>
        </is>
      </c>
      <c r="F747" s="26" t="inlineStr">
        <is>
          <t>Cagayan</t>
        </is>
      </c>
      <c r="G747" s="26" t="inlineStr">
        <is>
          <t>Calayan</t>
        </is>
      </c>
      <c r="H747" s="26" t="inlineStr">
        <is>
          <t>Dadao</t>
        </is>
      </c>
      <c r="I747" s="27" t="n">
        <v>19.25619</v>
      </c>
      <c r="J747" s="27" t="n">
        <v>121.48854</v>
      </c>
      <c r="K747" s="10" t="inlineStr">
        <is>
          <t>R</t>
        </is>
      </c>
      <c r="L747" s="12" t="n">
        <v>2099</v>
      </c>
      <c r="M747" s="14" t="n">
        <v>3.9</v>
      </c>
      <c r="N747" s="12">
        <f>ROUND(L747/M747, 0)</f>
        <v/>
      </c>
      <c r="O747" s="12">
        <f>ROUND(N747*'Methodology &amp; Assumptions'!$B$5, 0)</f>
        <v/>
      </c>
      <c r="P747" s="10" t="inlineStr">
        <is>
          <t>Single Carrier (Band n50, 100MHz TDD)</t>
        </is>
      </c>
      <c r="Q747" s="13">
        <f>ROUNDUP(O747/'Methodology &amp; Assumptions'!$B$6, 0)</f>
        <v/>
      </c>
      <c r="R747" s="13" t="n">
        <v>1</v>
      </c>
      <c r="S747" s="14" t="n">
        <v>82.01000000000001</v>
      </c>
      <c r="T747" s="14" t="n">
        <v>79.27</v>
      </c>
      <c r="U747" s="26">
        <f>IF(X747&gt;='Methodology &amp; Assumptions'!$B$7, "Tier 1 Critical GIDA (Score ≥ 50.0)", IF(X747&gt;='Methodology &amp; Assumptions'!$B$8, "Tier 2 High GIDA (Score 40.0–49.9)", "Tier 3 Moderate GIDA (Score &lt; 40.0)"))</f>
        <v/>
      </c>
      <c r="V747" s="26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W747" s="28" t="n">
        <v>0.083</v>
      </c>
      <c r="X747" s="14" t="n">
        <v>45.48</v>
      </c>
      <c r="Y747" s="14">
        <f>ROUND(MIN(100, (X747/69.91)*100), 2)</f>
        <v/>
      </c>
    </row>
    <row r="748">
      <c r="A748" s="10" t="n">
        <v>4</v>
      </c>
      <c r="B748" s="10" t="n">
        <v>744</v>
      </c>
      <c r="C748" s="10" t="n">
        <v>3744</v>
      </c>
      <c r="D748" s="10" t="inlineStr">
        <is>
          <t>PH0003744</t>
        </is>
      </c>
      <c r="E748" s="26" t="inlineStr">
        <is>
          <t>V</t>
        </is>
      </c>
      <c r="F748" s="26" t="inlineStr">
        <is>
          <t>Camarines Sur</t>
        </is>
      </c>
      <c r="G748" s="26" t="inlineStr">
        <is>
          <t>Naga City</t>
        </is>
      </c>
      <c r="H748" s="26" t="inlineStr">
        <is>
          <t>Igualdad Interior</t>
        </is>
      </c>
      <c r="I748" s="27" t="n">
        <v>13.623619</v>
      </c>
      <c r="J748" s="27" t="n">
        <v>123.219675</v>
      </c>
      <c r="K748" s="10" t="inlineStr">
        <is>
          <t>R</t>
        </is>
      </c>
      <c r="L748" s="12" t="n">
        <v>2195</v>
      </c>
      <c r="M748" s="14" t="n">
        <v>4.2</v>
      </c>
      <c r="N748" s="12">
        <f>ROUND(L748/M748, 0)</f>
        <v/>
      </c>
      <c r="O748" s="12">
        <f>ROUND(N748*'Methodology &amp; Assumptions'!$B$5, 0)</f>
        <v/>
      </c>
      <c r="P748" s="10" t="inlineStr">
        <is>
          <t>Single Carrier (Band n50, 100MHz TDD)</t>
        </is>
      </c>
      <c r="Q748" s="13">
        <f>ROUNDUP(O748/'Methodology &amp; Assumptions'!$B$6, 0)</f>
        <v/>
      </c>
      <c r="R748" s="13" t="n">
        <v>1</v>
      </c>
      <c r="S748" s="14" t="n">
        <v>2.3</v>
      </c>
      <c r="T748" s="14" t="n">
        <v>1.15</v>
      </c>
      <c r="U748" s="26">
        <f>IF(X748&gt;='Methodology &amp; Assumptions'!$B$7, "Tier 1 Critical GIDA (Score ≥ 50.0)", IF(X748&gt;='Methodology &amp; Assumptions'!$B$8, "Tier 2 High GIDA (Score 40.0–49.9)", "Tier 3 Moderate GIDA (Score &lt; 40.0)"))</f>
        <v/>
      </c>
      <c r="V748" s="26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W748" s="28" t="n">
        <v>0.07200000000000001</v>
      </c>
      <c r="X748" s="14" t="n">
        <v>45.47</v>
      </c>
      <c r="Y748" s="14">
        <f>ROUND(MIN(100, (X748/69.91)*100), 2)</f>
        <v/>
      </c>
    </row>
    <row r="749">
      <c r="A749" s="10" t="n">
        <v>4</v>
      </c>
      <c r="B749" s="10" t="n">
        <v>745</v>
      </c>
      <c r="C749" s="10" t="n">
        <v>3745</v>
      </c>
      <c r="D749" s="10" t="inlineStr">
        <is>
          <t>0907311005</t>
        </is>
      </c>
      <c r="E749" s="26" t="inlineStr">
        <is>
          <t>Region IX (Zamboanga Peninsula)</t>
        </is>
      </c>
      <c r="F749" s="26" t="inlineStr">
        <is>
          <t>Zamboanga del Sur</t>
        </is>
      </c>
      <c r="G749" s="26" t="inlineStr">
        <is>
          <t>Kumalarang</t>
        </is>
      </c>
      <c r="H749" s="26" t="inlineStr">
        <is>
          <t>Bolisong</t>
        </is>
      </c>
      <c r="I749" s="27" t="n">
        <v>7.776589</v>
      </c>
      <c r="J749" s="27" t="n">
        <v>123.212164</v>
      </c>
      <c r="K749" s="10" t="inlineStr">
        <is>
          <t>R</t>
        </is>
      </c>
      <c r="L749" s="12" t="n">
        <v>908</v>
      </c>
      <c r="M749" s="14" t="n">
        <v>3.9</v>
      </c>
      <c r="N749" s="12">
        <f>ROUND(L749/M749, 0)</f>
        <v/>
      </c>
      <c r="O749" s="12">
        <f>ROUND(N749*'Methodology &amp; Assumptions'!$B$5, 0)</f>
        <v/>
      </c>
      <c r="P749" s="10" t="inlineStr">
        <is>
          <t>Single Carrier (Band n50, 100MHz TDD)</t>
        </is>
      </c>
      <c r="Q749" s="13">
        <f>ROUNDUP(O749/'Methodology &amp; Assumptions'!$B$6, 0)</f>
        <v/>
      </c>
      <c r="R749" s="13" t="n">
        <v>1</v>
      </c>
      <c r="S749" s="14" t="n">
        <v>18.08</v>
      </c>
      <c r="T749" s="14" t="n">
        <v>2.28</v>
      </c>
      <c r="U749" s="26">
        <f>IF(X749&gt;='Methodology &amp; Assumptions'!$B$7, "Tier 1 Critical GIDA (Score ≥ 50.0)", IF(X749&gt;='Methodology &amp; Assumptions'!$B$8, "Tier 2 High GIDA (Score 40.0–49.9)", "Tier 3 Moderate GIDA (Score &lt; 40.0)"))</f>
        <v/>
      </c>
      <c r="V749" s="26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W749" s="28" t="n">
        <v>0.11</v>
      </c>
      <c r="X749" s="14" t="n">
        <v>45.45</v>
      </c>
      <c r="Y749" s="14">
        <f>ROUND(MIN(100, (X749/69.91)*100), 2)</f>
        <v/>
      </c>
    </row>
    <row r="750">
      <c r="A750" s="10" t="n">
        <v>4</v>
      </c>
      <c r="B750" s="10" t="n">
        <v>746</v>
      </c>
      <c r="C750" s="10" t="n">
        <v>3746</v>
      </c>
      <c r="D750" s="10" t="inlineStr">
        <is>
          <t>1906612021</t>
        </is>
      </c>
      <c r="E750" s="26" t="inlineStr">
        <is>
          <t>Bangsamoro Autonomous Region In Muslim Mindanao (BARMM)</t>
        </is>
      </c>
      <c r="F750" s="26" t="inlineStr">
        <is>
          <t>Sulu</t>
        </is>
      </c>
      <c r="G750" s="26" t="inlineStr">
        <is>
          <t>Siasi</t>
        </is>
      </c>
      <c r="H750" s="26" t="inlineStr">
        <is>
          <t>Kungtad West</t>
        </is>
      </c>
      <c r="I750" s="27" t="n">
        <v>16.363004</v>
      </c>
      <c r="J750" s="27" t="n">
        <v>122.121624</v>
      </c>
      <c r="K750" s="10" t="inlineStr">
        <is>
          <t>R</t>
        </is>
      </c>
      <c r="L750" s="12" t="n">
        <v>1775</v>
      </c>
      <c r="M750" s="14" t="n">
        <v>6</v>
      </c>
      <c r="N750" s="12">
        <f>ROUND(L750/M750, 0)</f>
        <v/>
      </c>
      <c r="O750" s="12">
        <f>ROUND(N750*'Methodology &amp; Assumptions'!$B$5, 0)</f>
        <v/>
      </c>
      <c r="P750" s="10" t="inlineStr">
        <is>
          <t>Single Carrier (Band n50, 100MHz TDD)</t>
        </is>
      </c>
      <c r="Q750" s="13">
        <f>ROUNDUP(O750/'Methodology &amp; Assumptions'!$B$6, 0)</f>
        <v/>
      </c>
      <c r="R750" s="13" t="n">
        <v>1</v>
      </c>
      <c r="S750" s="14" t="n">
        <v>9.17</v>
      </c>
      <c r="T750" s="14" t="n">
        <v>1.98</v>
      </c>
      <c r="U750" s="26">
        <f>IF(X750&gt;='Methodology &amp; Assumptions'!$B$7, "Tier 1 Critical GIDA (Score ≥ 50.0)", IF(X750&gt;='Methodology &amp; Assumptions'!$B$8, "Tier 2 High GIDA (Score 40.0–49.9)", "Tier 3 Moderate GIDA (Score &lt; 40.0)"))</f>
        <v/>
      </c>
      <c r="V750" s="26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W750" s="28" t="n">
        <v>0.11</v>
      </c>
      <c r="X750" s="14" t="n">
        <v>45.45</v>
      </c>
      <c r="Y750" s="14">
        <f>ROUND(MIN(100, (X750/69.91)*100), 2)</f>
        <v/>
      </c>
    </row>
    <row r="751">
      <c r="A751" s="10" t="n">
        <v>4</v>
      </c>
      <c r="B751" s="10" t="n">
        <v>747</v>
      </c>
      <c r="C751" s="10" t="n">
        <v>3747</v>
      </c>
      <c r="D751" s="10" t="inlineStr">
        <is>
          <t>0804810029</t>
        </is>
      </c>
      <c r="E751" s="26" t="inlineStr">
        <is>
          <t>Region VIII (Eastern Visayas)</t>
        </is>
      </c>
      <c r="F751" s="26" t="inlineStr">
        <is>
          <t>Northern Samar</t>
        </is>
      </c>
      <c r="G751" s="26" t="inlineStr">
        <is>
          <t>Las Navas</t>
        </is>
      </c>
      <c r="H751" s="26" t="inlineStr">
        <is>
          <t>Palanas</t>
        </is>
      </c>
      <c r="I751" s="27" t="n">
        <v>12.291862</v>
      </c>
      <c r="J751" s="27" t="n">
        <v>124.998921</v>
      </c>
      <c r="K751" s="10" t="inlineStr">
        <is>
          <t>R</t>
        </is>
      </c>
      <c r="L751" s="12" t="n">
        <v>572</v>
      </c>
      <c r="M751" s="14" t="n">
        <v>4.3</v>
      </c>
      <c r="N751" s="12">
        <f>ROUND(L751/M751, 0)</f>
        <v/>
      </c>
      <c r="O751" s="12">
        <f>ROUND(N751*'Methodology &amp; Assumptions'!$B$5, 0)</f>
        <v/>
      </c>
      <c r="P751" s="10" t="inlineStr">
        <is>
          <t>Single Carrier (Band n50, 100MHz TDD)</t>
        </is>
      </c>
      <c r="Q751" s="13">
        <f>ROUNDUP(O751/'Methodology &amp; Assumptions'!$B$6, 0)</f>
        <v/>
      </c>
      <c r="R751" s="13" t="n">
        <v>1</v>
      </c>
      <c r="S751" s="14" t="n">
        <v>104.65</v>
      </c>
      <c r="T751" s="14" t="n">
        <v>104.07</v>
      </c>
      <c r="U751" s="26">
        <f>IF(X751&gt;='Methodology &amp; Assumptions'!$B$7, "Tier 1 Critical GIDA (Score ≥ 50.0)", IF(X751&gt;='Methodology &amp; Assumptions'!$B$8, "Tier 2 High GIDA (Score 40.0–49.9)", "Tier 3 Moderate GIDA (Score &lt; 40.0)"))</f>
        <v/>
      </c>
      <c r="V751" s="26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W751" s="28" t="n">
        <v>0.237</v>
      </c>
      <c r="X751" s="14" t="n">
        <v>45.45</v>
      </c>
      <c r="Y751" s="14">
        <f>ROUND(MIN(100, (X751/69.91)*100), 2)</f>
        <v/>
      </c>
    </row>
    <row r="752">
      <c r="A752" s="10" t="n">
        <v>4</v>
      </c>
      <c r="B752" s="10" t="n">
        <v>748</v>
      </c>
      <c r="C752" s="10" t="n">
        <v>3748</v>
      </c>
      <c r="D752" s="10" t="inlineStr">
        <is>
          <t>PH0003748</t>
        </is>
      </c>
      <c r="E752" s="26" t="inlineStr">
        <is>
          <t>NCR</t>
        </is>
      </c>
      <c r="F752" s="26" t="inlineStr">
        <is>
          <t>Metro Manila</t>
        </is>
      </c>
      <c r="G752" s="26" t="inlineStr">
        <is>
          <t>Caloocan City</t>
        </is>
      </c>
      <c r="H752" s="26" t="inlineStr">
        <is>
          <t>Barangay 175</t>
        </is>
      </c>
      <c r="I752" s="27" t="n">
        <v>12.678929</v>
      </c>
      <c r="J752" s="27" t="n">
        <v>123.338364</v>
      </c>
      <c r="K752" s="10" t="inlineStr">
        <is>
          <t>R</t>
        </is>
      </c>
      <c r="L752" s="12" t="n">
        <v>2279</v>
      </c>
      <c r="M752" s="14" t="n">
        <v>3.8</v>
      </c>
      <c r="N752" s="12">
        <f>ROUND(L752/M752, 0)</f>
        <v/>
      </c>
      <c r="O752" s="12">
        <f>ROUND(N752*'Methodology &amp; Assumptions'!$B$5, 0)</f>
        <v/>
      </c>
      <c r="P752" s="10" t="inlineStr">
        <is>
          <t>Single Carrier (Band n50, 100MHz TDD)</t>
        </is>
      </c>
      <c r="Q752" s="13">
        <f>ROUNDUP(O752/'Methodology &amp; Assumptions'!$B$6, 0)</f>
        <v/>
      </c>
      <c r="R752" s="13" t="n">
        <v>1</v>
      </c>
      <c r="S752" s="14" t="n">
        <v>19.85</v>
      </c>
      <c r="T752" s="14" t="n">
        <v>20.88</v>
      </c>
      <c r="U752" s="26">
        <f>IF(X752&gt;='Methodology &amp; Assumptions'!$B$7, "Tier 1 Critical GIDA (Score ≥ 50.0)", IF(X752&gt;='Methodology &amp; Assumptions'!$B$8, "Tier 2 High GIDA (Score 40.0–49.9)", "Tier 3 Moderate GIDA (Score &lt; 40.0)"))</f>
        <v/>
      </c>
      <c r="V752" s="26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W752" s="28" t="n">
        <v>0.011</v>
      </c>
      <c r="X752" s="14" t="n">
        <v>45.45</v>
      </c>
      <c r="Y752" s="14">
        <f>ROUND(MIN(100, (X752/69.91)*100), 2)</f>
        <v/>
      </c>
    </row>
    <row r="753">
      <c r="A753" s="10" t="n">
        <v>4</v>
      </c>
      <c r="B753" s="10" t="n">
        <v>749</v>
      </c>
      <c r="C753" s="10" t="n">
        <v>3749</v>
      </c>
      <c r="D753" s="10" t="inlineStr">
        <is>
          <t>0806025014</t>
        </is>
      </c>
      <c r="E753" s="26" t="inlineStr">
        <is>
          <t>Region VIII (Eastern Visayas)</t>
        </is>
      </c>
      <c r="F753" s="26" t="inlineStr">
        <is>
          <t>Samar</t>
        </is>
      </c>
      <c r="G753" s="26" t="inlineStr">
        <is>
          <t>San Jorge</t>
        </is>
      </c>
      <c r="H753" s="26" t="inlineStr">
        <is>
          <t>Janipon</t>
        </is>
      </c>
      <c r="I753" s="27" t="n">
        <v>11.924072</v>
      </c>
      <c r="J753" s="27" t="n">
        <v>124.889978</v>
      </c>
      <c r="K753" s="10" t="inlineStr">
        <is>
          <t>R</t>
        </is>
      </c>
      <c r="L753" s="12" t="n">
        <v>278</v>
      </c>
      <c r="M753" s="14" t="n">
        <v>4.1</v>
      </c>
      <c r="N753" s="12">
        <f>ROUND(L753/M753, 0)</f>
        <v/>
      </c>
      <c r="O753" s="12">
        <f>ROUND(N753*'Methodology &amp; Assumptions'!$B$5, 0)</f>
        <v/>
      </c>
      <c r="P753" s="10" t="inlineStr">
        <is>
          <t>Single Carrier (Band n50, 100MHz TDD)</t>
        </is>
      </c>
      <c r="Q753" s="13">
        <f>ROUNDUP(O753/'Methodology &amp; Assumptions'!$B$6, 0)</f>
        <v/>
      </c>
      <c r="R753" s="13" t="n">
        <v>1</v>
      </c>
      <c r="S753" s="14" t="n">
        <v>72.78</v>
      </c>
      <c r="T753" s="14" t="n">
        <v>72.72</v>
      </c>
      <c r="U753" s="26">
        <f>IF(X753&gt;='Methodology &amp; Assumptions'!$B$7, "Tier 1 Critical GIDA (Score ≥ 50.0)", IF(X753&gt;='Methodology &amp; Assumptions'!$B$8, "Tier 2 High GIDA (Score 40.0–49.9)", "Tier 3 Moderate GIDA (Score &lt; 40.0)"))</f>
        <v/>
      </c>
      <c r="V753" s="26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W753" s="28" t="n">
        <v>0.237</v>
      </c>
      <c r="X753" s="14" t="n">
        <v>45.44</v>
      </c>
      <c r="Y753" s="14">
        <f>ROUND(MIN(100, (X753/69.91)*100), 2)</f>
        <v/>
      </c>
    </row>
    <row r="754">
      <c r="A754" s="10" t="n">
        <v>4</v>
      </c>
      <c r="B754" s="10" t="n">
        <v>750</v>
      </c>
      <c r="C754" s="10" t="n">
        <v>3750</v>
      </c>
      <c r="D754" s="10" t="inlineStr">
        <is>
          <t>1906612046</t>
        </is>
      </c>
      <c r="E754" s="26" t="inlineStr">
        <is>
          <t>Bangsamoro Autonomous Region In Muslim Mindanao (BARMM)</t>
        </is>
      </c>
      <c r="F754" s="26" t="inlineStr">
        <is>
          <t>Sulu</t>
        </is>
      </c>
      <c r="G754" s="26" t="inlineStr">
        <is>
          <t>Siasi</t>
        </is>
      </c>
      <c r="H754" s="26" t="inlineStr">
        <is>
          <t>Pislong</t>
        </is>
      </c>
      <c r="I754" s="27" t="n">
        <v>17.255599</v>
      </c>
      <c r="J754" s="27" t="n">
        <v>122.229643</v>
      </c>
      <c r="K754" s="10" t="inlineStr">
        <is>
          <t>R</t>
        </is>
      </c>
      <c r="L754" s="12" t="n">
        <v>1178</v>
      </c>
      <c r="M754" s="14" t="n">
        <v>6</v>
      </c>
      <c r="N754" s="12">
        <f>ROUND(L754/M754, 0)</f>
        <v/>
      </c>
      <c r="O754" s="12">
        <f>ROUND(N754*'Methodology &amp; Assumptions'!$B$5, 0)</f>
        <v/>
      </c>
      <c r="P754" s="10" t="inlineStr">
        <is>
          <t>Single Carrier (Band n50, 100MHz TDD)</t>
        </is>
      </c>
      <c r="Q754" s="13">
        <f>ROUNDUP(O754/'Methodology &amp; Assumptions'!$B$6, 0)</f>
        <v/>
      </c>
      <c r="R754" s="13" t="n">
        <v>1</v>
      </c>
      <c r="S754" s="14" t="n">
        <v>29.53</v>
      </c>
      <c r="T754" s="14" t="n">
        <v>34.4</v>
      </c>
      <c r="U754" s="26">
        <f>IF(X754&gt;='Methodology &amp; Assumptions'!$B$7, "Tier 1 Critical GIDA (Score ≥ 50.0)", IF(X754&gt;='Methodology &amp; Assumptions'!$B$8, "Tier 2 High GIDA (Score 40.0–49.9)", "Tier 3 Moderate GIDA (Score &lt; 40.0)"))</f>
        <v/>
      </c>
      <c r="V754" s="26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W754" s="28" t="n">
        <v>0.11</v>
      </c>
      <c r="X754" s="14" t="n">
        <v>45.44</v>
      </c>
      <c r="Y754" s="14">
        <f>ROUND(MIN(100, (X754/69.91)*100), 2)</f>
        <v/>
      </c>
    </row>
    <row r="755">
      <c r="A755" s="10" t="n">
        <v>4</v>
      </c>
      <c r="B755" s="10" t="n">
        <v>751</v>
      </c>
      <c r="C755" s="10" t="n">
        <v>3751</v>
      </c>
      <c r="D755" s="10" t="inlineStr">
        <is>
          <t>0403405039</t>
        </is>
      </c>
      <c r="E755" s="26" t="inlineStr">
        <is>
          <t>Region IV-A (CALABARZON)</t>
        </is>
      </c>
      <c r="F755" s="26" t="inlineStr">
        <is>
          <t>Laguna</t>
        </is>
      </c>
      <c r="G755" s="26" t="inlineStr">
        <is>
          <t>City of Calamba</t>
        </is>
      </c>
      <c r="H755" s="26" t="inlineStr">
        <is>
          <t>Barangay 2</t>
        </is>
      </c>
      <c r="I755" s="27" t="n">
        <v>14.189913</v>
      </c>
      <c r="J755" s="27" t="n">
        <v>121.135361</v>
      </c>
      <c r="K755" s="10" t="inlineStr">
        <is>
          <t>U</t>
        </is>
      </c>
      <c r="L755" s="12" t="n">
        <v>11649</v>
      </c>
      <c r="M755" s="14" t="n">
        <v>3.3</v>
      </c>
      <c r="N755" s="12">
        <f>ROUND(L755/M755, 0)</f>
        <v/>
      </c>
      <c r="O755" s="12">
        <f>ROUND(N755*'Methodology &amp; Assumptions'!$B$5, 0)</f>
        <v/>
      </c>
      <c r="P755" s="10" t="inlineStr">
        <is>
          <t>Single Carrier (Band n50, 100MHz TDD)</t>
        </is>
      </c>
      <c r="Q755" s="13">
        <f>ROUNDUP(O755/'Methodology &amp; Assumptions'!$B$6, 0)</f>
        <v/>
      </c>
      <c r="R755" s="13" t="n">
        <v>1</v>
      </c>
      <c r="S755" s="14" t="n">
        <v>1.42</v>
      </c>
      <c r="T755" s="14" t="n">
        <v>0.26</v>
      </c>
      <c r="U755" s="26">
        <f>IF(X755&gt;='Methodology &amp; Assumptions'!$B$7, "Tier 1 Critical GIDA (Score ≥ 50.0)", IF(X755&gt;='Methodology &amp; Assumptions'!$B$8, "Tier 2 High GIDA (Score 40.0–49.9)", "Tier 3 Moderate GIDA (Score &lt; 40.0)"))</f>
        <v/>
      </c>
      <c r="V755" s="26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W755" s="28" t="n">
        <v>0.07200000000000001</v>
      </c>
      <c r="X755" s="14" t="n">
        <v>45.43</v>
      </c>
      <c r="Y755" s="14">
        <f>ROUND(MIN(100, (X755/69.91)*100), 2)</f>
        <v/>
      </c>
    </row>
    <row r="756">
      <c r="A756" s="10" t="n">
        <v>4</v>
      </c>
      <c r="B756" s="10" t="n">
        <v>752</v>
      </c>
      <c r="C756" s="10" t="n">
        <v>3752</v>
      </c>
      <c r="D756" s="10" t="inlineStr">
        <is>
          <t>0200904004</t>
        </is>
      </c>
      <c r="E756" s="26" t="inlineStr">
        <is>
          <t>Region II (Cagayan Valley)</t>
        </is>
      </c>
      <c r="F756" s="26" t="inlineStr">
        <is>
          <t>Batanes</t>
        </is>
      </c>
      <c r="G756" s="26" t="inlineStr">
        <is>
          <t>Mahatao</t>
        </is>
      </c>
      <c r="H756" s="26" t="inlineStr">
        <is>
          <t>Uvoy</t>
        </is>
      </c>
      <c r="I756" s="27" t="n">
        <v>20.39948</v>
      </c>
      <c r="J756" s="27" t="n">
        <v>121.9637</v>
      </c>
      <c r="K756" s="10" t="inlineStr">
        <is>
          <t>R</t>
        </is>
      </c>
      <c r="L756" s="12" t="n">
        <v>375</v>
      </c>
      <c r="M756" s="14" t="n">
        <v>3</v>
      </c>
      <c r="N756" s="12">
        <f>ROUND(L756/M756, 0)</f>
        <v/>
      </c>
      <c r="O756" s="12">
        <f>ROUND(N756*'Methodology &amp; Assumptions'!$B$5, 0)</f>
        <v/>
      </c>
      <c r="P756" s="10" t="inlineStr">
        <is>
          <t>Single Carrier (Band n50, 100MHz TDD)</t>
        </is>
      </c>
      <c r="Q756" s="13">
        <f>ROUNDUP(O756/'Methodology &amp; Assumptions'!$B$6, 0)</f>
        <v/>
      </c>
      <c r="R756" s="13" t="n">
        <v>1</v>
      </c>
      <c r="S756" s="14" t="n">
        <v>218.46</v>
      </c>
      <c r="T756" s="14" t="n">
        <v>211.91</v>
      </c>
      <c r="U756" s="26">
        <f>IF(X756&gt;='Methodology &amp; Assumptions'!$B$7, "Tier 1 Critical GIDA (Score ≥ 50.0)", IF(X756&gt;='Methodology &amp; Assumptions'!$B$8, "Tier 2 High GIDA (Score 40.0–49.9)", "Tier 3 Moderate GIDA (Score &lt; 40.0)"))</f>
        <v/>
      </c>
      <c r="V756" s="26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W756" s="28" t="n">
        <v>0.083</v>
      </c>
      <c r="X756" s="14" t="n">
        <v>45.43</v>
      </c>
      <c r="Y756" s="14">
        <f>ROUND(MIN(100, (X756/69.91)*100), 2)</f>
        <v/>
      </c>
    </row>
    <row r="757">
      <c r="A757" s="10" t="n">
        <v>4</v>
      </c>
      <c r="B757" s="10" t="n">
        <v>753</v>
      </c>
      <c r="C757" s="10" t="n">
        <v>3753</v>
      </c>
      <c r="D757" s="10" t="inlineStr">
        <is>
          <t>1401108003</t>
        </is>
      </c>
      <c r="E757" s="26" t="inlineStr">
        <is>
          <t>Cordillera Administrative Region (CAR)</t>
        </is>
      </c>
      <c r="F757" s="26" t="inlineStr">
        <is>
          <t>Benguet</t>
        </is>
      </c>
      <c r="G757" s="26" t="inlineStr">
        <is>
          <t>Kapangan</t>
        </is>
      </c>
      <c r="H757" s="26" t="inlineStr">
        <is>
          <t>Boklaoan</t>
        </is>
      </c>
      <c r="I757" s="27" t="n">
        <v>16.6236</v>
      </c>
      <c r="J757" s="27" t="n">
        <v>120.658297</v>
      </c>
      <c r="K757" s="10" t="inlineStr">
        <is>
          <t>R</t>
        </is>
      </c>
      <c r="L757" s="12" t="n">
        <v>478</v>
      </c>
      <c r="M757" s="14" t="n">
        <v>3.5</v>
      </c>
      <c r="N757" s="12">
        <f>ROUND(L757/M757, 0)</f>
        <v/>
      </c>
      <c r="O757" s="12">
        <f>ROUND(N757*'Methodology &amp; Assumptions'!$B$5, 0)</f>
        <v/>
      </c>
      <c r="P757" s="10" t="inlineStr">
        <is>
          <t>Single Carrier (Band n50, 100MHz TDD)</t>
        </is>
      </c>
      <c r="Q757" s="13">
        <f>ROUNDUP(O757/'Methodology &amp; Assumptions'!$B$6, 0)</f>
        <v/>
      </c>
      <c r="R757" s="13" t="n">
        <v>1</v>
      </c>
      <c r="S757" s="14" t="n">
        <v>7.75</v>
      </c>
      <c r="T757" s="14" t="n">
        <v>9.74</v>
      </c>
      <c r="U757" s="26">
        <f>IF(X757&gt;='Methodology &amp; Assumptions'!$B$7, "Tier 1 Critical GIDA (Score ≥ 50.0)", IF(X757&gt;='Methodology &amp; Assumptions'!$B$8, "Tier 2 High GIDA (Score 40.0–49.9)", "Tier 3 Moderate GIDA (Score &lt; 40.0)"))</f>
        <v/>
      </c>
      <c r="V757" s="26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W757" s="28" t="n">
        <v>0.109</v>
      </c>
      <c r="X757" s="14" t="n">
        <v>45.42</v>
      </c>
      <c r="Y757" s="14">
        <f>ROUND(MIN(100, (X757/69.91)*100), 2)</f>
        <v/>
      </c>
    </row>
    <row r="758">
      <c r="A758" s="10" t="n">
        <v>4</v>
      </c>
      <c r="B758" s="10" t="n">
        <v>754</v>
      </c>
      <c r="C758" s="10" t="n">
        <v>3754</v>
      </c>
      <c r="D758" s="10" t="inlineStr">
        <is>
          <t>PH0003754</t>
        </is>
      </c>
      <c r="E758" s="26" t="inlineStr">
        <is>
          <t>NCR</t>
        </is>
      </c>
      <c r="F758" s="26" t="inlineStr">
        <is>
          <t>Metro Manila</t>
        </is>
      </c>
      <c r="G758" s="26" t="inlineStr">
        <is>
          <t>Caloocan City</t>
        </is>
      </c>
      <c r="H758" s="26" t="inlineStr">
        <is>
          <t>Barangay 174</t>
        </is>
      </c>
      <c r="I758" s="27" t="n">
        <v>11.996671</v>
      </c>
      <c r="J758" s="27" t="n">
        <v>120.480357</v>
      </c>
      <c r="K758" s="10" t="inlineStr">
        <is>
          <t>R</t>
        </is>
      </c>
      <c r="L758" s="12" t="n">
        <v>2279</v>
      </c>
      <c r="M758" s="14" t="n">
        <v>3.8</v>
      </c>
      <c r="N758" s="12">
        <f>ROUND(L758/M758, 0)</f>
        <v/>
      </c>
      <c r="O758" s="12">
        <f>ROUND(N758*'Methodology &amp; Assumptions'!$B$5, 0)</f>
        <v/>
      </c>
      <c r="P758" s="10" t="inlineStr">
        <is>
          <t>Single Carrier (Band n50, 100MHz TDD)</t>
        </is>
      </c>
      <c r="Q758" s="13">
        <f>ROUNDUP(O758/'Methodology &amp; Assumptions'!$B$6, 0)</f>
        <v/>
      </c>
      <c r="R758" s="13" t="n">
        <v>1</v>
      </c>
      <c r="S758" s="14" t="n">
        <v>25.28</v>
      </c>
      <c r="T758" s="14" t="n">
        <v>74.62</v>
      </c>
      <c r="U758" s="26">
        <f>IF(X758&gt;='Methodology &amp; Assumptions'!$B$7, "Tier 1 Critical GIDA (Score ≥ 50.0)", IF(X758&gt;='Methodology &amp; Assumptions'!$B$8, "Tier 2 High GIDA (Score 40.0–49.9)", "Tier 3 Moderate GIDA (Score &lt; 40.0)"))</f>
        <v/>
      </c>
      <c r="V758" s="26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W758" s="28" t="n">
        <v>0.011</v>
      </c>
      <c r="X758" s="14" t="n">
        <v>45.42</v>
      </c>
      <c r="Y758" s="14">
        <f>ROUND(MIN(100, (X758/69.91)*100), 2)</f>
        <v/>
      </c>
    </row>
    <row r="759">
      <c r="A759" s="10" t="n">
        <v>4</v>
      </c>
      <c r="B759" s="10" t="n">
        <v>755</v>
      </c>
      <c r="C759" s="10" t="n">
        <v>3755</v>
      </c>
      <c r="D759" s="10" t="inlineStr">
        <is>
          <t>1380400004</t>
        </is>
      </c>
      <c r="E759" s="26" t="inlineStr">
        <is>
          <t>National Capital Region (NCR)</t>
        </is>
      </c>
      <c r="F759" s="26" t="inlineStr">
        <is>
          <t>Third District (Not a Province)</t>
        </is>
      </c>
      <c r="G759" s="26" t="inlineStr">
        <is>
          <t>City of Malabon</t>
        </is>
      </c>
      <c r="H759" s="26" t="inlineStr">
        <is>
          <t>Catmon</t>
        </is>
      </c>
      <c r="I759" s="27" t="n">
        <v>14.664661</v>
      </c>
      <c r="J759" s="27" t="n">
        <v>120.962262</v>
      </c>
      <c r="K759" s="10" t="inlineStr">
        <is>
          <t>U</t>
        </is>
      </c>
      <c r="L759" s="12" t="n">
        <v>45977</v>
      </c>
      <c r="M759" s="14" t="n">
        <v>3.7</v>
      </c>
      <c r="N759" s="12">
        <f>ROUND(L759/M759, 0)</f>
        <v/>
      </c>
      <c r="O759" s="12">
        <f>ROUND(N759*'Methodology &amp; Assumptions'!$B$5, 0)</f>
        <v/>
      </c>
      <c r="P759" s="10" t="inlineStr">
        <is>
          <t>Single Carrier (Band n50, 100MHz TDD)</t>
        </is>
      </c>
      <c r="Q759" s="13">
        <f>ROUNDUP(O759/'Methodology &amp; Assumptions'!$B$6, 0)</f>
        <v/>
      </c>
      <c r="R759" s="13" t="n">
        <v>1</v>
      </c>
      <c r="S759" s="14" t="n">
        <v>0.66</v>
      </c>
      <c r="T759" s="14" t="n">
        <v>0.47</v>
      </c>
      <c r="U759" s="26">
        <f>IF(X759&gt;='Methodology &amp; Assumptions'!$B$7, "Tier 1 Critical GIDA (Score ≥ 50.0)", IF(X759&gt;='Methodology &amp; Assumptions'!$B$8, "Tier 2 High GIDA (Score 40.0–49.9)", "Tier 3 Moderate GIDA (Score &lt; 40.0)"))</f>
        <v/>
      </c>
      <c r="V759" s="26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W759" s="28" t="n">
        <v>0.109</v>
      </c>
      <c r="X759" s="14" t="n">
        <v>45.42</v>
      </c>
      <c r="Y759" s="14">
        <f>ROUND(MIN(100, (X759/69.91)*100), 2)</f>
        <v/>
      </c>
    </row>
    <row r="760">
      <c r="A760" s="10" t="n">
        <v>4</v>
      </c>
      <c r="B760" s="10" t="n">
        <v>756</v>
      </c>
      <c r="C760" s="10" t="n">
        <v>3756</v>
      </c>
      <c r="D760" s="10" t="inlineStr">
        <is>
          <t>PH0003756</t>
        </is>
      </c>
      <c r="E760" s="26" t="inlineStr">
        <is>
          <t>IV-A</t>
        </is>
      </c>
      <c r="F760" s="26" t="inlineStr">
        <is>
          <t>Quezon</t>
        </is>
      </c>
      <c r="G760" s="26" t="inlineStr">
        <is>
          <t>Lucena City</t>
        </is>
      </c>
      <c r="H760" s="26" t="inlineStr">
        <is>
          <t>Barangay 5 (Pob.)</t>
        </is>
      </c>
      <c r="I760" s="27" t="n">
        <v>13.935811</v>
      </c>
      <c r="J760" s="27" t="n">
        <v>121.609484</v>
      </c>
      <c r="K760" s="10" t="inlineStr">
        <is>
          <t>R</t>
        </is>
      </c>
      <c r="L760" s="12" t="n">
        <v>1964</v>
      </c>
      <c r="M760" s="14" t="n">
        <v>3.8</v>
      </c>
      <c r="N760" s="12">
        <f>ROUND(L760/M760, 0)</f>
        <v/>
      </c>
      <c r="O760" s="12">
        <f>ROUND(N760*'Methodology &amp; Assumptions'!$B$5, 0)</f>
        <v/>
      </c>
      <c r="P760" s="10" t="inlineStr">
        <is>
          <t>Single Carrier (Band n50, 100MHz TDD)</t>
        </is>
      </c>
      <c r="Q760" s="13">
        <f>ROUNDUP(O760/'Methodology &amp; Assumptions'!$B$6, 0)</f>
        <v/>
      </c>
      <c r="R760" s="13" t="n">
        <v>1</v>
      </c>
      <c r="S760" s="14" t="n">
        <v>0.37</v>
      </c>
      <c r="T760" s="14" t="n">
        <v>0.28</v>
      </c>
      <c r="U760" s="26">
        <f>IF(X760&gt;='Methodology &amp; Assumptions'!$B$7, "Tier 1 Critical GIDA (Score ≥ 50.0)", IF(X760&gt;='Methodology &amp; Assumptions'!$B$8, "Tier 2 High GIDA (Score 40.0–49.9)", "Tier 3 Moderate GIDA (Score &lt; 40.0)"))</f>
        <v/>
      </c>
      <c r="V760" s="26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W760" s="28" t="n">
        <v>0.07200000000000001</v>
      </c>
      <c r="X760" s="14" t="n">
        <v>45.4</v>
      </c>
      <c r="Y760" s="14">
        <f>ROUND(MIN(100, (X760/69.91)*100), 2)</f>
        <v/>
      </c>
    </row>
    <row r="761">
      <c r="A761" s="10" t="n">
        <v>4</v>
      </c>
      <c r="B761" s="10" t="n">
        <v>757</v>
      </c>
      <c r="C761" s="10" t="n">
        <v>3757</v>
      </c>
      <c r="D761" s="10" t="inlineStr">
        <is>
          <t>0402111017</t>
        </is>
      </c>
      <c r="E761" s="26" t="inlineStr">
        <is>
          <t>Region IV-A (CALABARZON)</t>
        </is>
      </c>
      <c r="F761" s="26" t="inlineStr">
        <is>
          <t>Cavite</t>
        </is>
      </c>
      <c r="G761" s="26" t="inlineStr">
        <is>
          <t>Kawit</t>
        </is>
      </c>
      <c r="H761" s="26" t="inlineStr">
        <is>
          <t>Manggahan-Lawin</t>
        </is>
      </c>
      <c r="I761" s="27" t="n">
        <v>14.439507</v>
      </c>
      <c r="J761" s="27" t="n">
        <v>120.911191</v>
      </c>
      <c r="K761" s="10" t="inlineStr">
        <is>
          <t>R</t>
        </is>
      </c>
      <c r="L761" s="12" t="n">
        <v>4886</v>
      </c>
      <c r="M761" s="14" t="n">
        <v>3.4</v>
      </c>
      <c r="N761" s="12">
        <f>ROUND(L761/M761, 0)</f>
        <v/>
      </c>
      <c r="O761" s="12">
        <f>ROUND(N761*'Methodology &amp; Assumptions'!$B$5, 0)</f>
        <v/>
      </c>
      <c r="P761" s="10" t="inlineStr">
        <is>
          <t>Single Carrier (Band n50, 100MHz TDD)</t>
        </is>
      </c>
      <c r="Q761" s="13">
        <f>ROUNDUP(O761/'Methodology &amp; Assumptions'!$B$6, 0)</f>
        <v/>
      </c>
      <c r="R761" s="13" t="n">
        <v>1</v>
      </c>
      <c r="S761" s="14" t="n">
        <v>3.23</v>
      </c>
      <c r="T761" s="14" t="n">
        <v>0.09</v>
      </c>
      <c r="U761" s="26">
        <f>IF(X761&gt;='Methodology &amp; Assumptions'!$B$7, "Tier 1 Critical GIDA (Score ≥ 50.0)", IF(X761&gt;='Methodology &amp; Assumptions'!$B$8, "Tier 2 High GIDA (Score 40.0–49.9)", "Tier 3 Moderate GIDA (Score &lt; 40.0)"))</f>
        <v/>
      </c>
      <c r="V761" s="26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W761" s="28" t="n">
        <v>0.07200000000000001</v>
      </c>
      <c r="X761" s="14" t="n">
        <v>45.4</v>
      </c>
      <c r="Y761" s="14">
        <f>ROUND(MIN(100, (X761/69.91)*100), 2)</f>
        <v/>
      </c>
    </row>
    <row r="762">
      <c r="A762" s="10" t="n">
        <v>4</v>
      </c>
      <c r="B762" s="10" t="n">
        <v>758</v>
      </c>
      <c r="C762" s="10" t="n">
        <v>3758</v>
      </c>
      <c r="D762" s="10" t="inlineStr">
        <is>
          <t>1400119012</t>
        </is>
      </c>
      <c r="E762" s="26" t="inlineStr">
        <is>
          <t>Cordillera Administrative Region (CAR)</t>
        </is>
      </c>
      <c r="F762" s="26" t="inlineStr">
        <is>
          <t>Abra</t>
        </is>
      </c>
      <c r="G762" s="26" t="inlineStr">
        <is>
          <t>Pilar</t>
        </is>
      </c>
      <c r="H762" s="26" t="inlineStr">
        <is>
          <t>Narnara</t>
        </is>
      </c>
      <c r="I762" s="27" t="n">
        <v>17.376356</v>
      </c>
      <c r="J762" s="27" t="n">
        <v>120.588202</v>
      </c>
      <c r="K762" s="10" t="inlineStr">
        <is>
          <t>R</t>
        </is>
      </c>
      <c r="L762" s="12" t="n">
        <v>297</v>
      </c>
      <c r="M762" s="14" t="n">
        <v>3.8</v>
      </c>
      <c r="N762" s="12">
        <f>ROUND(L762/M762, 0)</f>
        <v/>
      </c>
      <c r="O762" s="12">
        <f>ROUND(N762*'Methodology &amp; Assumptions'!$B$5, 0)</f>
        <v/>
      </c>
      <c r="P762" s="10" t="inlineStr">
        <is>
          <t>Single Carrier (Band n50, 100MHz TDD)</t>
        </is>
      </c>
      <c r="Q762" s="13">
        <f>ROUNDUP(O762/'Methodology &amp; Assumptions'!$B$6, 0)</f>
        <v/>
      </c>
      <c r="R762" s="13" t="n">
        <v>1</v>
      </c>
      <c r="S762" s="14" t="n">
        <v>10.22</v>
      </c>
      <c r="T762" s="14" t="n">
        <v>11.15</v>
      </c>
      <c r="U762" s="26">
        <f>IF(X762&gt;='Methodology &amp; Assumptions'!$B$7, "Tier 1 Critical GIDA (Score ≥ 50.0)", IF(X762&gt;='Methodology &amp; Assumptions'!$B$8, "Tier 2 High GIDA (Score 40.0–49.9)", "Tier 3 Moderate GIDA (Score &lt; 40.0)"))</f>
        <v/>
      </c>
      <c r="V762" s="26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W762" s="28" t="n">
        <v>0.109</v>
      </c>
      <c r="X762" s="14" t="n">
        <v>45.4</v>
      </c>
      <c r="Y762" s="14">
        <f>ROUND(MIN(100, (X762/69.91)*100), 2)</f>
        <v/>
      </c>
    </row>
    <row r="763">
      <c r="A763" s="10" t="n">
        <v>4</v>
      </c>
      <c r="B763" s="10" t="n">
        <v>759</v>
      </c>
      <c r="C763" s="10" t="n">
        <v>3759</v>
      </c>
      <c r="D763" s="10" t="inlineStr">
        <is>
          <t>PH0003759</t>
        </is>
      </c>
      <c r="E763" s="26" t="inlineStr">
        <is>
          <t>CAR</t>
        </is>
      </c>
      <c r="F763" s="26" t="inlineStr">
        <is>
          <t>Benguet</t>
        </is>
      </c>
      <c r="G763" s="26" t="inlineStr">
        <is>
          <t>Baguio City</t>
        </is>
      </c>
      <c r="H763" s="26" t="inlineStr">
        <is>
          <t>Bal-Marcoville</t>
        </is>
      </c>
      <c r="I763" s="27" t="n">
        <v>16.391852</v>
      </c>
      <c r="J763" s="27" t="n">
        <v>120.52323</v>
      </c>
      <c r="K763" s="10" t="inlineStr">
        <is>
          <t>R</t>
        </is>
      </c>
      <c r="L763" s="12" t="n">
        <v>2260</v>
      </c>
      <c r="M763" s="14" t="n">
        <v>3.5</v>
      </c>
      <c r="N763" s="12">
        <f>ROUND(L763/M763, 0)</f>
        <v/>
      </c>
      <c r="O763" s="12">
        <f>ROUND(N763*'Methodology &amp; Assumptions'!$B$5, 0)</f>
        <v/>
      </c>
      <c r="P763" s="10" t="inlineStr">
        <is>
          <t>Single Carrier (Band n50, 100MHz TDD)</t>
        </is>
      </c>
      <c r="Q763" s="13">
        <f>ROUNDUP(O763/'Methodology &amp; Assumptions'!$B$6, 0)</f>
        <v/>
      </c>
      <c r="R763" s="13" t="n">
        <v>1</v>
      </c>
      <c r="S763" s="14" t="n">
        <v>0.65</v>
      </c>
      <c r="T763" s="14" t="n">
        <v>0.52</v>
      </c>
      <c r="U763" s="26">
        <f>IF(X763&gt;='Methodology &amp; Assumptions'!$B$7, "Tier 1 Critical GIDA (Score ≥ 50.0)", IF(X763&gt;='Methodology &amp; Assumptions'!$B$8, "Tier 2 High GIDA (Score 40.0–49.9)", "Tier 3 Moderate GIDA (Score &lt; 40.0)"))</f>
        <v/>
      </c>
      <c r="V763" s="26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W763" s="28" t="n">
        <v>0.221</v>
      </c>
      <c r="X763" s="14" t="n">
        <v>45.39</v>
      </c>
      <c r="Y763" s="14">
        <f>ROUND(MIN(100, (X763/69.91)*100), 2)</f>
        <v/>
      </c>
    </row>
    <row r="764">
      <c r="A764" s="10" t="n">
        <v>4</v>
      </c>
      <c r="B764" s="10" t="n">
        <v>760</v>
      </c>
      <c r="C764" s="10" t="n">
        <v>3760</v>
      </c>
      <c r="D764" s="10" t="inlineStr">
        <is>
          <t>PH0003760</t>
        </is>
      </c>
      <c r="E764" s="26" t="inlineStr">
        <is>
          <t>CAR</t>
        </is>
      </c>
      <c r="F764" s="26" t="inlineStr">
        <is>
          <t>Benguet</t>
        </is>
      </c>
      <c r="G764" s="26" t="inlineStr">
        <is>
          <t>Baguio City</t>
        </is>
      </c>
      <c r="H764" s="26" t="inlineStr">
        <is>
          <t>BGH Compound</t>
        </is>
      </c>
      <c r="I764" s="27" t="n">
        <v>16.465172</v>
      </c>
      <c r="J764" s="27" t="n">
        <v>120.636701</v>
      </c>
      <c r="K764" s="10" t="inlineStr">
        <is>
          <t>R</t>
        </is>
      </c>
      <c r="L764" s="12" t="n">
        <v>2260</v>
      </c>
      <c r="M764" s="14" t="n">
        <v>3.5</v>
      </c>
      <c r="N764" s="12">
        <f>ROUND(L764/M764, 0)</f>
        <v/>
      </c>
      <c r="O764" s="12">
        <f>ROUND(N764*'Methodology &amp; Assumptions'!$B$5, 0)</f>
        <v/>
      </c>
      <c r="P764" s="10" t="inlineStr">
        <is>
          <t>Single Carrier (Band n50, 100MHz TDD)</t>
        </is>
      </c>
      <c r="Q764" s="13">
        <f>ROUNDUP(O764/'Methodology &amp; Assumptions'!$B$6, 0)</f>
        <v/>
      </c>
      <c r="R764" s="13" t="n">
        <v>1</v>
      </c>
      <c r="S764" s="14" t="n">
        <v>1.41</v>
      </c>
      <c r="T764" s="14" t="n">
        <v>0.99</v>
      </c>
      <c r="U764" s="26">
        <f>IF(X764&gt;='Methodology &amp; Assumptions'!$B$7, "Tier 1 Critical GIDA (Score ≥ 50.0)", IF(X764&gt;='Methodology &amp; Assumptions'!$B$8, "Tier 2 High GIDA (Score 40.0–49.9)", "Tier 3 Moderate GIDA (Score &lt; 40.0)"))</f>
        <v/>
      </c>
      <c r="V764" s="26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W764" s="28" t="n">
        <v>0.221</v>
      </c>
      <c r="X764" s="14" t="n">
        <v>45.38</v>
      </c>
      <c r="Y764" s="14">
        <f>ROUND(MIN(100, (X764/69.91)*100), 2)</f>
        <v/>
      </c>
    </row>
    <row r="765">
      <c r="A765" s="10" t="n">
        <v>4</v>
      </c>
      <c r="B765" s="10" t="n">
        <v>761</v>
      </c>
      <c r="C765" s="10" t="n">
        <v>3761</v>
      </c>
      <c r="D765" s="10" t="inlineStr">
        <is>
          <t>1907011006</t>
        </is>
      </c>
      <c r="E765" s="26" t="inlineStr">
        <is>
          <t>Bangsamoro Autonomous Region In Muslim Mindanao (BARMM)</t>
        </is>
      </c>
      <c r="F765" s="26" t="inlineStr">
        <is>
          <t>Tawi-Tawi</t>
        </is>
      </c>
      <c r="G765" s="26" t="inlineStr">
        <is>
          <t>Sibutu</t>
        </is>
      </c>
      <c r="H765" s="26" t="inlineStr">
        <is>
          <t>Imam Hadji Mohammad</t>
        </is>
      </c>
      <c r="I765" s="27" t="n">
        <v>13.498619</v>
      </c>
      <c r="J765" s="27" t="n">
        <v>121.415649</v>
      </c>
      <c r="K765" s="10" t="inlineStr">
        <is>
          <t>R</t>
        </is>
      </c>
      <c r="L765" s="12" t="n">
        <v>1921</v>
      </c>
      <c r="M765" s="14" t="n">
        <v>5.8</v>
      </c>
      <c r="N765" s="12">
        <f>ROUND(L765/M765, 0)</f>
        <v/>
      </c>
      <c r="O765" s="12">
        <f>ROUND(N765*'Methodology &amp; Assumptions'!$B$5, 0)</f>
        <v/>
      </c>
      <c r="P765" s="10" t="inlineStr">
        <is>
          <t>Single Carrier (Band n50, 100MHz TDD)</t>
        </is>
      </c>
      <c r="Q765" s="13">
        <f>ROUNDUP(O765/'Methodology &amp; Assumptions'!$B$6, 0)</f>
        <v/>
      </c>
      <c r="R765" s="13" t="n">
        <v>1</v>
      </c>
      <c r="S765" s="14" t="n">
        <v>22.06</v>
      </c>
      <c r="T765" s="14" t="n">
        <v>30.06</v>
      </c>
      <c r="U765" s="26">
        <f>IF(X765&gt;='Methodology &amp; Assumptions'!$B$7, "Tier 1 Critical GIDA (Score ≥ 50.0)", IF(X765&gt;='Methodology &amp; Assumptions'!$B$8, "Tier 2 High GIDA (Score 40.0–49.9)", "Tier 3 Moderate GIDA (Score &lt; 40.0)"))</f>
        <v/>
      </c>
      <c r="V765" s="26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W765" s="28" t="n">
        <v>0.11</v>
      </c>
      <c r="X765" s="14" t="n">
        <v>45.38</v>
      </c>
      <c r="Y765" s="14">
        <f>ROUND(MIN(100, (X765/69.91)*100), 2)</f>
        <v/>
      </c>
    </row>
    <row r="766">
      <c r="A766" s="10" t="n">
        <v>4</v>
      </c>
      <c r="B766" s="10" t="n">
        <v>762</v>
      </c>
      <c r="C766" s="10" t="n">
        <v>3762</v>
      </c>
      <c r="D766" s="10" t="inlineStr">
        <is>
          <t>PH0003762</t>
        </is>
      </c>
      <c r="E766" s="26" t="inlineStr">
        <is>
          <t>IV-A</t>
        </is>
      </c>
      <c r="F766" s="26" t="inlineStr">
        <is>
          <t>Laguna</t>
        </is>
      </c>
      <c r="G766" s="26" t="inlineStr">
        <is>
          <t>San Pablo City</t>
        </is>
      </c>
      <c r="H766" s="26" t="inlineStr">
        <is>
          <t>Barangay IV-C (Pob.)</t>
        </is>
      </c>
      <c r="I766" s="27" t="n">
        <v>14.077688</v>
      </c>
      <c r="J766" s="27" t="n">
        <v>121.338561</v>
      </c>
      <c r="K766" s="10" t="inlineStr">
        <is>
          <t>R</t>
        </is>
      </c>
      <c r="L766" s="12" t="n">
        <v>2412</v>
      </c>
      <c r="M766" s="14" t="n">
        <v>3.3</v>
      </c>
      <c r="N766" s="12">
        <f>ROUND(L766/M766, 0)</f>
        <v/>
      </c>
      <c r="O766" s="12">
        <f>ROUND(N766*'Methodology &amp; Assumptions'!$B$5, 0)</f>
        <v/>
      </c>
      <c r="P766" s="10" t="inlineStr">
        <is>
          <t>Single Carrier (Band n50, 100MHz TDD)</t>
        </is>
      </c>
      <c r="Q766" s="13">
        <f>ROUNDUP(O766/'Methodology &amp; Assumptions'!$B$6, 0)</f>
        <v/>
      </c>
      <c r="R766" s="13" t="n">
        <v>1</v>
      </c>
      <c r="S766" s="14" t="n">
        <v>2.27</v>
      </c>
      <c r="T766" s="14" t="n">
        <v>0.05</v>
      </c>
      <c r="U766" s="26">
        <f>IF(X766&gt;='Methodology &amp; Assumptions'!$B$7, "Tier 1 Critical GIDA (Score ≥ 50.0)", IF(X766&gt;='Methodology &amp; Assumptions'!$B$8, "Tier 2 High GIDA (Score 40.0–49.9)", "Tier 3 Moderate GIDA (Score &lt; 40.0)"))</f>
        <v/>
      </c>
      <c r="V766" s="26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W766" s="28" t="n">
        <v>0.07200000000000001</v>
      </c>
      <c r="X766" s="14" t="n">
        <v>45.37</v>
      </c>
      <c r="Y766" s="14">
        <f>ROUND(MIN(100, (X766/69.91)*100), 2)</f>
        <v/>
      </c>
    </row>
    <row r="767">
      <c r="A767" s="10" t="n">
        <v>4</v>
      </c>
      <c r="B767" s="10" t="n">
        <v>763</v>
      </c>
      <c r="C767" s="10" t="n">
        <v>3763</v>
      </c>
      <c r="D767" s="10" t="inlineStr">
        <is>
          <t>PH0003763</t>
        </is>
      </c>
      <c r="E767" s="26" t="inlineStr">
        <is>
          <t>VIII</t>
        </is>
      </c>
      <c r="F767" s="26" t="inlineStr">
        <is>
          <t>Leyte</t>
        </is>
      </c>
      <c r="G767" s="26" t="inlineStr">
        <is>
          <t>Tacloban City</t>
        </is>
      </c>
      <c r="H767" s="26" t="inlineStr">
        <is>
          <t>Barangay 50-A</t>
        </is>
      </c>
      <c r="I767" s="27" t="n">
        <v>11.236877</v>
      </c>
      <c r="J767" s="27" t="n">
        <v>125.000623</v>
      </c>
      <c r="K767" s="10" t="inlineStr">
        <is>
          <t>R</t>
        </is>
      </c>
      <c r="L767" s="12" t="n">
        <v>2258</v>
      </c>
      <c r="M767" s="14" t="n">
        <v>3.8</v>
      </c>
      <c r="N767" s="12">
        <f>ROUND(L767/M767, 0)</f>
        <v/>
      </c>
      <c r="O767" s="12">
        <f>ROUND(N767*'Methodology &amp; Assumptions'!$B$5, 0)</f>
        <v/>
      </c>
      <c r="P767" s="10" t="inlineStr">
        <is>
          <t>Single Carrier (Band n50, 100MHz TDD)</t>
        </is>
      </c>
      <c r="Q767" s="13">
        <f>ROUNDUP(O767/'Methodology &amp; Assumptions'!$B$6, 0)</f>
        <v/>
      </c>
      <c r="R767" s="13" t="n">
        <v>1</v>
      </c>
      <c r="S767" s="14" t="n">
        <v>0.36</v>
      </c>
      <c r="T767" s="14" t="n">
        <v>2.88</v>
      </c>
      <c r="U767" s="26">
        <f>IF(X767&gt;='Methodology &amp; Assumptions'!$B$7, "Tier 1 Critical GIDA (Score ≥ 50.0)", IF(X767&gt;='Methodology &amp; Assumptions'!$B$8, "Tier 2 High GIDA (Score 40.0–49.9)", "Tier 3 Moderate GIDA (Score &lt; 40.0)"))</f>
        <v/>
      </c>
      <c r="V767" s="26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W767" s="28" t="n">
        <v>0.222</v>
      </c>
      <c r="X767" s="14" t="n">
        <v>45.37</v>
      </c>
      <c r="Y767" s="14">
        <f>ROUND(MIN(100, (X767/69.91)*100), 2)</f>
        <v/>
      </c>
    </row>
    <row r="768">
      <c r="A768" s="10" t="n">
        <v>4</v>
      </c>
      <c r="B768" s="10" t="n">
        <v>764</v>
      </c>
      <c r="C768" s="10" t="n">
        <v>3764</v>
      </c>
      <c r="D768" s="10" t="inlineStr">
        <is>
          <t>1705304005</t>
        </is>
      </c>
      <c r="E768" s="26" t="inlineStr">
        <is>
          <t>MIMAROPA Region</t>
        </is>
      </c>
      <c r="F768" s="26" t="inlineStr">
        <is>
          <t>Palawan</t>
        </is>
      </c>
      <c r="G768" s="26" t="inlineStr">
        <is>
          <t>Balabac</t>
        </is>
      </c>
      <c r="H768" s="26" t="inlineStr">
        <is>
          <t>Indalawan</t>
        </is>
      </c>
      <c r="I768" s="27" t="n">
        <v>7.846714</v>
      </c>
      <c r="J768" s="27" t="n">
        <v>117.061056</v>
      </c>
      <c r="K768" s="10" t="inlineStr">
        <is>
          <t>R</t>
        </is>
      </c>
      <c r="L768" s="12" t="n">
        <v>1323</v>
      </c>
      <c r="M768" s="14" t="n">
        <v>3.9</v>
      </c>
      <c r="N768" s="12">
        <f>ROUND(L768/M768, 0)</f>
        <v/>
      </c>
      <c r="O768" s="12">
        <f>ROUND(N768*'Methodology &amp; Assumptions'!$B$5, 0)</f>
        <v/>
      </c>
      <c r="P768" s="10" t="inlineStr">
        <is>
          <t>Single Carrier (Band n50, 100MHz TDD)</t>
        </is>
      </c>
      <c r="Q768" s="13">
        <f>ROUNDUP(O768/'Methodology &amp; Assumptions'!$B$6, 0)</f>
        <v/>
      </c>
      <c r="R768" s="13" t="n">
        <v>1</v>
      </c>
      <c r="S768" s="14" t="n">
        <v>279.51</v>
      </c>
      <c r="T768" s="14" t="n">
        <v>999</v>
      </c>
      <c r="U768" s="26">
        <f>IF(X768&gt;='Methodology &amp; Assumptions'!$B$7, "Tier 1 Critical GIDA (Score ≥ 50.0)", IF(X768&gt;='Methodology &amp; Assumptions'!$B$8, "Tier 2 High GIDA (Score 40.0–49.9)", "Tier 3 Moderate GIDA (Score &lt; 40.0)"))</f>
        <v/>
      </c>
      <c r="V768" s="26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W768" s="28" t="n">
        <v>0.15</v>
      </c>
      <c r="X768" s="14" t="n">
        <v>45.37</v>
      </c>
      <c r="Y768" s="14">
        <f>ROUND(MIN(100, (X768/69.91)*100), 2)</f>
        <v/>
      </c>
    </row>
    <row r="769">
      <c r="A769" s="10" t="n">
        <v>4</v>
      </c>
      <c r="B769" s="10" t="n">
        <v>765</v>
      </c>
      <c r="C769" s="10" t="n">
        <v>3765</v>
      </c>
      <c r="D769" s="10" t="inlineStr">
        <is>
          <t>PH0003765</t>
        </is>
      </c>
      <c r="E769" s="26" t="inlineStr">
        <is>
          <t>XI</t>
        </is>
      </c>
      <c r="F769" s="26" t="inlineStr">
        <is>
          <t>Davao Del Sur</t>
        </is>
      </c>
      <c r="G769" s="26" t="inlineStr">
        <is>
          <t>Davao City</t>
        </is>
      </c>
      <c r="H769" s="26" t="inlineStr">
        <is>
          <t>Agdao</t>
        </is>
      </c>
      <c r="I769" s="27" t="n">
        <v>7.089658</v>
      </c>
      <c r="J769" s="27" t="n">
        <v>125.627542</v>
      </c>
      <c r="K769" s="10" t="inlineStr">
        <is>
          <t>R</t>
        </is>
      </c>
      <c r="L769" s="12" t="n">
        <v>2280</v>
      </c>
      <c r="M769" s="14" t="n">
        <v>3.4</v>
      </c>
      <c r="N769" s="12">
        <f>ROUND(L769/M769, 0)</f>
        <v/>
      </c>
      <c r="O769" s="12">
        <f>ROUND(N769*'Methodology &amp; Assumptions'!$B$5, 0)</f>
        <v/>
      </c>
      <c r="P769" s="10" t="inlineStr">
        <is>
          <t>Single Carrier (Band n50, 100MHz TDD)</t>
        </is>
      </c>
      <c r="Q769" s="13">
        <f>ROUNDUP(O769/'Methodology &amp; Assumptions'!$B$6, 0)</f>
        <v/>
      </c>
      <c r="R769" s="13" t="n">
        <v>1</v>
      </c>
      <c r="S769" s="14" t="n">
        <v>2.46</v>
      </c>
      <c r="T769" s="14" t="n">
        <v>0.34</v>
      </c>
      <c r="U769" s="26">
        <f>IF(X769&gt;='Methodology &amp; Assumptions'!$B$7, "Tier 1 Critical GIDA (Score ≥ 50.0)", IF(X769&gt;='Methodology &amp; Assumptions'!$B$8, "Tier 2 High GIDA (Score 40.0–49.9)", "Tier 3 Moderate GIDA (Score &lt; 40.0)"))</f>
        <v/>
      </c>
      <c r="V769" s="26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W769" s="28" t="n">
        <v>0.119</v>
      </c>
      <c r="X769" s="14" t="n">
        <v>45.37</v>
      </c>
      <c r="Y769" s="14">
        <f>ROUND(MIN(100, (X769/69.91)*100), 2)</f>
        <v/>
      </c>
    </row>
    <row r="770">
      <c r="A770" s="10" t="n">
        <v>4</v>
      </c>
      <c r="B770" s="10" t="n">
        <v>766</v>
      </c>
      <c r="C770" s="10" t="n">
        <v>3766</v>
      </c>
      <c r="D770" s="10" t="inlineStr">
        <is>
          <t>0301416014</t>
        </is>
      </c>
      <c r="E770" s="26" t="inlineStr">
        <is>
          <t>Region III (Central Luzon)</t>
        </is>
      </c>
      <c r="F770" s="26" t="inlineStr">
        <is>
          <t>Bulacan</t>
        </is>
      </c>
      <c r="G770" s="26" t="inlineStr">
        <is>
          <t>Paombong</t>
        </is>
      </c>
      <c r="H770" s="26" t="inlineStr">
        <is>
          <t>Santa Cruz</t>
        </is>
      </c>
      <c r="I770" s="27" t="n">
        <v>14.760875</v>
      </c>
      <c r="J770" s="27" t="n">
        <v>120.791556</v>
      </c>
      <c r="K770" s="10" t="inlineStr">
        <is>
          <t>R</t>
        </is>
      </c>
      <c r="L770" s="12" t="n">
        <v>1449</v>
      </c>
      <c r="M770" s="14" t="n">
        <v>3.5</v>
      </c>
      <c r="N770" s="12">
        <f>ROUND(L770/M770, 0)</f>
        <v/>
      </c>
      <c r="O770" s="12">
        <f>ROUND(N770*'Methodology &amp; Assumptions'!$B$5, 0)</f>
        <v/>
      </c>
      <c r="P770" s="10" t="inlineStr">
        <is>
          <t>Single Carrier (Band n50, 100MHz TDD)</t>
        </is>
      </c>
      <c r="Q770" s="13">
        <f>ROUNDUP(O770/'Methodology &amp; Assumptions'!$B$6, 0)</f>
        <v/>
      </c>
      <c r="R770" s="13" t="n">
        <v>1</v>
      </c>
      <c r="S770" s="14" t="n">
        <v>7.04</v>
      </c>
      <c r="T770" s="14" t="n">
        <v>10.4</v>
      </c>
      <c r="U770" s="26">
        <f>IF(X770&gt;='Methodology &amp; Assumptions'!$B$7, "Tier 1 Critical GIDA (Score ≥ 50.0)", IF(X770&gt;='Methodology &amp; Assumptions'!$B$8, "Tier 2 High GIDA (Score 40.0–49.9)", "Tier 3 Moderate GIDA (Score &lt; 40.0)"))</f>
        <v/>
      </c>
      <c r="V770" s="26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W770" s="28" t="n">
        <v>0.083</v>
      </c>
      <c r="X770" s="14" t="n">
        <v>45.37</v>
      </c>
      <c r="Y770" s="14">
        <f>ROUND(MIN(100, (X770/69.91)*100), 2)</f>
        <v/>
      </c>
    </row>
    <row r="771">
      <c r="A771" s="10" t="n">
        <v>4</v>
      </c>
      <c r="B771" s="10" t="n">
        <v>767</v>
      </c>
      <c r="C771" s="10" t="n">
        <v>3767</v>
      </c>
      <c r="D771" s="10" t="inlineStr">
        <is>
          <t>0403404011</t>
        </is>
      </c>
      <c r="E771" s="26" t="inlineStr">
        <is>
          <t>Region IV-A (CALABARZON)</t>
        </is>
      </c>
      <c r="F771" s="26" t="inlineStr">
        <is>
          <t>Laguna</t>
        </is>
      </c>
      <c r="G771" s="26" t="inlineStr">
        <is>
          <t>City of Cabuyao</t>
        </is>
      </c>
      <c r="H771" s="26" t="inlineStr">
        <is>
          <t>Niugan</t>
        </is>
      </c>
      <c r="I771" s="27" t="n">
        <v>14.188502</v>
      </c>
      <c r="J771" s="27" t="n">
        <v>121.307463</v>
      </c>
      <c r="K771" s="10" t="inlineStr">
        <is>
          <t>U</t>
        </is>
      </c>
      <c r="L771" s="12" t="n">
        <v>42286</v>
      </c>
      <c r="M771" s="14" t="n">
        <v>3.3</v>
      </c>
      <c r="N771" s="12">
        <f>ROUND(L771/M771, 0)</f>
        <v/>
      </c>
      <c r="O771" s="12">
        <f>ROUND(N771*'Methodology &amp; Assumptions'!$B$5, 0)</f>
        <v/>
      </c>
      <c r="P771" s="10" t="inlineStr">
        <is>
          <t>Single Carrier (Band n50, 100MHz TDD)</t>
        </is>
      </c>
      <c r="Q771" s="13">
        <f>ROUNDUP(O771/'Methodology &amp; Assumptions'!$B$6, 0)</f>
        <v/>
      </c>
      <c r="R771" s="13" t="n">
        <v>1</v>
      </c>
      <c r="S771" s="14" t="n">
        <v>3.03</v>
      </c>
      <c r="T771" s="14" t="n">
        <v>1.29</v>
      </c>
      <c r="U771" s="26">
        <f>IF(X771&gt;='Methodology &amp; Assumptions'!$B$7, "Tier 1 Critical GIDA (Score ≥ 50.0)", IF(X771&gt;='Methodology &amp; Assumptions'!$B$8, "Tier 2 High GIDA (Score 40.0–49.9)", "Tier 3 Moderate GIDA (Score &lt; 40.0)"))</f>
        <v/>
      </c>
      <c r="V771" s="26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W771" s="28" t="n">
        <v>0.07200000000000001</v>
      </c>
      <c r="X771" s="14" t="n">
        <v>45.37</v>
      </c>
      <c r="Y771" s="14">
        <f>ROUND(MIN(100, (X771/69.91)*100), 2)</f>
        <v/>
      </c>
    </row>
    <row r="772">
      <c r="A772" s="10" t="n">
        <v>4</v>
      </c>
      <c r="B772" s="10" t="n">
        <v>768</v>
      </c>
      <c r="C772" s="10" t="n">
        <v>3768</v>
      </c>
      <c r="D772" s="10" t="inlineStr">
        <is>
          <t>1705318002</t>
        </is>
      </c>
      <c r="E772" s="26" t="inlineStr">
        <is>
          <t>MIMAROPA Region</t>
        </is>
      </c>
      <c r="F772" s="26" t="inlineStr">
        <is>
          <t>Palawan</t>
        </is>
      </c>
      <c r="G772" s="26" t="inlineStr">
        <is>
          <t>Roxas</t>
        </is>
      </c>
      <c r="H772" s="26" t="inlineStr">
        <is>
          <t>Antonino</t>
        </is>
      </c>
      <c r="I772" s="27" t="n">
        <v>10.43526</v>
      </c>
      <c r="J772" s="27" t="n">
        <v>119.49691</v>
      </c>
      <c r="K772" s="10" t="inlineStr">
        <is>
          <t>R</t>
        </is>
      </c>
      <c r="L772" s="12" t="n">
        <v>1499</v>
      </c>
      <c r="M772" s="14" t="n">
        <v>3.9</v>
      </c>
      <c r="N772" s="12">
        <f>ROUND(L772/M772, 0)</f>
        <v/>
      </c>
      <c r="O772" s="12">
        <f>ROUND(N772*'Methodology &amp; Assumptions'!$B$5, 0)</f>
        <v/>
      </c>
      <c r="P772" s="10" t="inlineStr">
        <is>
          <t>Single Carrier (Band n50, 100MHz TDD)</t>
        </is>
      </c>
      <c r="Q772" s="13">
        <f>ROUNDUP(O772/'Methodology &amp; Assumptions'!$B$6, 0)</f>
        <v/>
      </c>
      <c r="R772" s="13" t="n">
        <v>1</v>
      </c>
      <c r="S772" s="14" t="n">
        <v>21.19</v>
      </c>
      <c r="T772" s="14" t="n">
        <v>13.27</v>
      </c>
      <c r="U772" s="26">
        <f>IF(X772&gt;='Methodology &amp; Assumptions'!$B$7, "Tier 1 Critical GIDA (Score ≥ 50.0)", IF(X772&gt;='Methodology &amp; Assumptions'!$B$8, "Tier 2 High GIDA (Score 40.0–49.9)", "Tier 3 Moderate GIDA (Score &lt; 40.0)"))</f>
        <v/>
      </c>
      <c r="V772" s="26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W772" s="28" t="n">
        <v>0.15</v>
      </c>
      <c r="X772" s="14" t="n">
        <v>45.37</v>
      </c>
      <c r="Y772" s="14">
        <f>ROUND(MIN(100, (X772/69.91)*100), 2)</f>
        <v/>
      </c>
    </row>
    <row r="773">
      <c r="A773" s="10" t="n">
        <v>4</v>
      </c>
      <c r="B773" s="10" t="n">
        <v>769</v>
      </c>
      <c r="C773" s="10" t="n">
        <v>3769</v>
      </c>
      <c r="D773" s="10" t="inlineStr">
        <is>
          <t>PH0003769</t>
        </is>
      </c>
      <c r="E773" s="26" t="inlineStr">
        <is>
          <t>III</t>
        </is>
      </c>
      <c r="F773" s="26" t="inlineStr">
        <is>
          <t>Nueva Ecija</t>
        </is>
      </c>
      <c r="G773" s="26" t="inlineStr">
        <is>
          <t>Cabanatuan City</t>
        </is>
      </c>
      <c r="H773" s="26" t="inlineStr">
        <is>
          <t>Vijandre District (Pob.)</t>
        </is>
      </c>
      <c r="I773" s="27" t="n">
        <v>15.515944</v>
      </c>
      <c r="J773" s="27" t="n">
        <v>120.995373</v>
      </c>
      <c r="K773" s="10" t="inlineStr">
        <is>
          <t>R</t>
        </is>
      </c>
      <c r="L773" s="12" t="n">
        <v>2398</v>
      </c>
      <c r="M773" s="14" t="n">
        <v>3.5</v>
      </c>
      <c r="N773" s="12">
        <f>ROUND(L773/M773, 0)</f>
        <v/>
      </c>
      <c r="O773" s="12">
        <f>ROUND(N773*'Methodology &amp; Assumptions'!$B$5, 0)</f>
        <v/>
      </c>
      <c r="P773" s="10" t="inlineStr">
        <is>
          <t>Single Carrier (Band n50, 100MHz TDD)</t>
        </is>
      </c>
      <c r="Q773" s="13">
        <f>ROUNDUP(O773/'Methodology &amp; Assumptions'!$B$6, 0)</f>
        <v/>
      </c>
      <c r="R773" s="13" t="n">
        <v>1</v>
      </c>
      <c r="S773" s="14" t="n">
        <v>5.29</v>
      </c>
      <c r="T773" s="14" t="n">
        <v>2.62</v>
      </c>
      <c r="U773" s="26">
        <f>IF(X773&gt;='Methodology &amp; Assumptions'!$B$7, "Tier 1 Critical GIDA (Score ≥ 50.0)", IF(X773&gt;='Methodology &amp; Assumptions'!$B$8, "Tier 2 High GIDA (Score 40.0–49.9)", "Tier 3 Moderate GIDA (Score &lt; 40.0)"))</f>
        <v/>
      </c>
      <c r="V773" s="26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W773" s="28" t="n">
        <v>0.083</v>
      </c>
      <c r="X773" s="14" t="n">
        <v>45.37</v>
      </c>
      <c r="Y773" s="14">
        <f>ROUND(MIN(100, (X773/69.91)*100), 2)</f>
        <v/>
      </c>
    </row>
    <row r="774">
      <c r="A774" s="10" t="n">
        <v>4</v>
      </c>
      <c r="B774" s="10" t="n">
        <v>770</v>
      </c>
      <c r="C774" s="10" t="n">
        <v>3770</v>
      </c>
      <c r="D774" s="10" t="inlineStr">
        <is>
          <t>PH0003770</t>
        </is>
      </c>
      <c r="E774" s="26" t="inlineStr">
        <is>
          <t>III</t>
        </is>
      </c>
      <c r="F774" s="26" t="inlineStr">
        <is>
          <t>Nueva Ecija</t>
        </is>
      </c>
      <c r="G774" s="26" t="inlineStr">
        <is>
          <t>Cabanatuan City</t>
        </is>
      </c>
      <c r="H774" s="26" t="inlineStr">
        <is>
          <t>Imelda District</t>
        </is>
      </c>
      <c r="I774" s="27" t="n">
        <v>15.475462</v>
      </c>
      <c r="J774" s="27" t="n">
        <v>120.961172</v>
      </c>
      <c r="K774" s="10" t="inlineStr">
        <is>
          <t>R</t>
        </is>
      </c>
      <c r="L774" s="12" t="n">
        <v>2398</v>
      </c>
      <c r="M774" s="14" t="n">
        <v>3.5</v>
      </c>
      <c r="N774" s="12">
        <f>ROUND(L774/M774, 0)</f>
        <v/>
      </c>
      <c r="O774" s="12">
        <f>ROUND(N774*'Methodology &amp; Assumptions'!$B$5, 0)</f>
        <v/>
      </c>
      <c r="P774" s="10" t="inlineStr">
        <is>
          <t>Single Carrier (Band n50, 100MHz TDD)</t>
        </is>
      </c>
      <c r="Q774" s="13">
        <f>ROUNDUP(O774/'Methodology &amp; Assumptions'!$B$6, 0)</f>
        <v/>
      </c>
      <c r="R774" s="13" t="n">
        <v>1</v>
      </c>
      <c r="S774" s="14" t="n">
        <v>0.6899999999999999</v>
      </c>
      <c r="T774" s="14" t="n">
        <v>0.43</v>
      </c>
      <c r="U774" s="26">
        <f>IF(X774&gt;='Methodology &amp; Assumptions'!$B$7, "Tier 1 Critical GIDA (Score ≥ 50.0)", IF(X774&gt;='Methodology &amp; Assumptions'!$B$8, "Tier 2 High GIDA (Score 40.0–49.9)", "Tier 3 Moderate GIDA (Score &lt; 40.0)"))</f>
        <v/>
      </c>
      <c r="V774" s="26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W774" s="28" t="n">
        <v>0.083</v>
      </c>
      <c r="X774" s="14" t="n">
        <v>45.36</v>
      </c>
      <c r="Y774" s="14">
        <f>ROUND(MIN(100, (X774/69.91)*100), 2)</f>
        <v/>
      </c>
    </row>
    <row r="775">
      <c r="A775" s="10" t="n">
        <v>4</v>
      </c>
      <c r="B775" s="10" t="n">
        <v>771</v>
      </c>
      <c r="C775" s="10" t="n">
        <v>3771</v>
      </c>
      <c r="D775" s="10" t="inlineStr">
        <is>
          <t>0804806020</t>
        </is>
      </c>
      <c r="E775" s="26" t="inlineStr">
        <is>
          <t>Region VIII (Eastern Visayas)</t>
        </is>
      </c>
      <c r="F775" s="26" t="inlineStr">
        <is>
          <t>Northern Samar</t>
        </is>
      </c>
      <c r="G775" s="26" t="inlineStr">
        <is>
          <t>Catubig</t>
        </is>
      </c>
      <c r="H775" s="26" t="inlineStr">
        <is>
          <t>Claro M. Recto</t>
        </is>
      </c>
      <c r="I775" s="27" t="n">
        <v>12.39402</v>
      </c>
      <c r="J775" s="27" t="n">
        <v>125.09881</v>
      </c>
      <c r="K775" s="10" t="inlineStr">
        <is>
          <t>R</t>
        </is>
      </c>
      <c r="L775" s="12" t="n">
        <v>480</v>
      </c>
      <c r="M775" s="14" t="n">
        <v>4.3</v>
      </c>
      <c r="N775" s="12">
        <f>ROUND(L775/M775, 0)</f>
        <v/>
      </c>
      <c r="O775" s="12">
        <f>ROUND(N775*'Methodology &amp; Assumptions'!$B$5, 0)</f>
        <v/>
      </c>
      <c r="P775" s="10" t="inlineStr">
        <is>
          <t>Single Carrier (Band n50, 100MHz TDD)</t>
        </is>
      </c>
      <c r="Q775" s="13">
        <f>ROUNDUP(O775/'Methodology &amp; Assumptions'!$B$6, 0)</f>
        <v/>
      </c>
      <c r="R775" s="13" t="n">
        <v>1</v>
      </c>
      <c r="S775" s="14" t="n">
        <v>111.37</v>
      </c>
      <c r="T775" s="14" t="n">
        <v>110.61</v>
      </c>
      <c r="U775" s="26">
        <f>IF(X775&gt;='Methodology &amp; Assumptions'!$B$7, "Tier 1 Critical GIDA (Score ≥ 50.0)", IF(X775&gt;='Methodology &amp; Assumptions'!$B$8, "Tier 2 High GIDA (Score 40.0–49.9)", "Tier 3 Moderate GIDA (Score &lt; 40.0)"))</f>
        <v/>
      </c>
      <c r="V775" s="26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W775" s="28" t="n">
        <v>0.237</v>
      </c>
      <c r="X775" s="14" t="n">
        <v>45.35</v>
      </c>
      <c r="Y775" s="14">
        <f>ROUND(MIN(100, (X775/69.91)*100), 2)</f>
        <v/>
      </c>
    </row>
    <row r="776">
      <c r="A776" s="10" t="n">
        <v>4</v>
      </c>
      <c r="B776" s="10" t="n">
        <v>772</v>
      </c>
      <c r="C776" s="10" t="n">
        <v>3772</v>
      </c>
      <c r="D776" s="10" t="inlineStr">
        <is>
          <t>1705323007</t>
        </is>
      </c>
      <c r="E776" s="26" t="inlineStr">
        <is>
          <t>MIMAROPA Region</t>
        </is>
      </c>
      <c r="F776" s="26" t="inlineStr">
        <is>
          <t>Palawan</t>
        </is>
      </c>
      <c r="G776" s="26" t="inlineStr">
        <is>
          <t>Rizal</t>
        </is>
      </c>
      <c r="H776" s="26" t="inlineStr">
        <is>
          <t>Latud</t>
        </is>
      </c>
      <c r="I776" s="27" t="n">
        <v>8.670724999999999</v>
      </c>
      <c r="J776" s="27" t="n">
        <v>117.321733</v>
      </c>
      <c r="K776" s="10" t="inlineStr">
        <is>
          <t>R</t>
        </is>
      </c>
      <c r="L776" s="12" t="n">
        <v>2499</v>
      </c>
      <c r="M776" s="14" t="n">
        <v>3.6</v>
      </c>
      <c r="N776" s="12">
        <f>ROUND(L776/M776, 0)</f>
        <v/>
      </c>
      <c r="O776" s="12">
        <f>ROUND(N776*'Methodology &amp; Assumptions'!$B$5, 0)</f>
        <v/>
      </c>
      <c r="P776" s="10" t="inlineStr">
        <is>
          <t>Single Carrier (Band n50, 100MHz TDD)</t>
        </is>
      </c>
      <c r="Q776" s="13">
        <f>ROUNDUP(O776/'Methodology &amp; Assumptions'!$B$6, 0)</f>
        <v/>
      </c>
      <c r="R776" s="13" t="n">
        <v>1</v>
      </c>
      <c r="S776" s="14" t="n">
        <v>195.37</v>
      </c>
      <c r="T776" s="14" t="n">
        <v>197.62</v>
      </c>
      <c r="U776" s="26">
        <f>IF(X776&gt;='Methodology &amp; Assumptions'!$B$7, "Tier 1 Critical GIDA (Score ≥ 50.0)", IF(X776&gt;='Methodology &amp; Assumptions'!$B$8, "Tier 2 High GIDA (Score 40.0–49.9)", "Tier 3 Moderate GIDA (Score &lt; 40.0)"))</f>
        <v/>
      </c>
      <c r="V776" s="26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W776" s="28" t="n">
        <v>0.15</v>
      </c>
      <c r="X776" s="14" t="n">
        <v>45.35</v>
      </c>
      <c r="Y776" s="14">
        <f>ROUND(MIN(100, (X776/69.91)*100), 2)</f>
        <v/>
      </c>
    </row>
    <row r="777">
      <c r="A777" s="10" t="n">
        <v>4</v>
      </c>
      <c r="B777" s="10" t="n">
        <v>773</v>
      </c>
      <c r="C777" s="10" t="n">
        <v>3773</v>
      </c>
      <c r="D777" s="10" t="inlineStr">
        <is>
          <t>PH0003773</t>
        </is>
      </c>
      <c r="E777" s="26" t="inlineStr">
        <is>
          <t>CAR</t>
        </is>
      </c>
      <c r="F777" s="26" t="inlineStr">
        <is>
          <t>Benguet</t>
        </is>
      </c>
      <c r="G777" s="26" t="inlineStr">
        <is>
          <t>Baguio City</t>
        </is>
      </c>
      <c r="H777" s="26" t="inlineStr">
        <is>
          <t>Engineers' Hill</t>
        </is>
      </c>
      <c r="I777" s="27" t="n">
        <v>16.335133</v>
      </c>
      <c r="J777" s="27" t="n">
        <v>120.604055</v>
      </c>
      <c r="K777" s="10" t="inlineStr">
        <is>
          <t>R</t>
        </is>
      </c>
      <c r="L777" s="12" t="n">
        <v>2260</v>
      </c>
      <c r="M777" s="14" t="n">
        <v>3.5</v>
      </c>
      <c r="N777" s="12">
        <f>ROUND(L777/M777, 0)</f>
        <v/>
      </c>
      <c r="O777" s="12">
        <f>ROUND(N777*'Methodology &amp; Assumptions'!$B$5, 0)</f>
        <v/>
      </c>
      <c r="P777" s="10" t="inlineStr">
        <is>
          <t>Single Carrier (Band n50, 100MHz TDD)</t>
        </is>
      </c>
      <c r="Q777" s="13">
        <f>ROUNDUP(O777/'Methodology &amp; Assumptions'!$B$6, 0)</f>
        <v/>
      </c>
      <c r="R777" s="13" t="n">
        <v>1</v>
      </c>
      <c r="S777" s="14" t="n">
        <v>3.02</v>
      </c>
      <c r="T777" s="14" t="n">
        <v>6.74</v>
      </c>
      <c r="U777" s="26">
        <f>IF(X777&gt;='Methodology &amp; Assumptions'!$B$7, "Tier 1 Critical GIDA (Score ≥ 50.0)", IF(X777&gt;='Methodology &amp; Assumptions'!$B$8, "Tier 2 High GIDA (Score 40.0–49.9)", "Tier 3 Moderate GIDA (Score &lt; 40.0)"))</f>
        <v/>
      </c>
      <c r="V777" s="26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W777" s="28" t="n">
        <v>0.221</v>
      </c>
      <c r="X777" s="14" t="n">
        <v>45.35</v>
      </c>
      <c r="Y777" s="14">
        <f>ROUND(MIN(100, (X777/69.91)*100), 2)</f>
        <v/>
      </c>
    </row>
    <row r="778">
      <c r="A778" s="10" t="n">
        <v>4</v>
      </c>
      <c r="B778" s="10" t="n">
        <v>774</v>
      </c>
      <c r="C778" s="10" t="n">
        <v>3774</v>
      </c>
      <c r="D778" s="10" t="inlineStr">
        <is>
          <t>0200904003</t>
        </is>
      </c>
      <c r="E778" s="26" t="inlineStr">
        <is>
          <t>Region II (Cagayan Valley)</t>
        </is>
      </c>
      <c r="F778" s="26" t="inlineStr">
        <is>
          <t>Batanes</t>
        </is>
      </c>
      <c r="G778" s="26" t="inlineStr">
        <is>
          <t>Mahatao</t>
        </is>
      </c>
      <c r="H778" s="26" t="inlineStr">
        <is>
          <t>Panatayan</t>
        </is>
      </c>
      <c r="I778" s="27" t="n">
        <v>20.415354</v>
      </c>
      <c r="J778" s="27" t="n">
        <v>121.946107</v>
      </c>
      <c r="K778" s="10" t="inlineStr">
        <is>
          <t>R</t>
        </is>
      </c>
      <c r="L778" s="12" t="n">
        <v>483</v>
      </c>
      <c r="M778" s="14" t="n">
        <v>3</v>
      </c>
      <c r="N778" s="12">
        <f>ROUND(L778/M778, 0)</f>
        <v/>
      </c>
      <c r="O778" s="12">
        <f>ROUND(N778*'Methodology &amp; Assumptions'!$B$5, 0)</f>
        <v/>
      </c>
      <c r="P778" s="10" t="inlineStr">
        <is>
          <t>Single Carrier (Band n50, 100MHz TDD)</t>
        </is>
      </c>
      <c r="Q778" s="13">
        <f>ROUNDUP(O778/'Methodology &amp; Assumptions'!$B$6, 0)</f>
        <v/>
      </c>
      <c r="R778" s="13" t="n">
        <v>1</v>
      </c>
      <c r="S778" s="14" t="n">
        <v>219.48</v>
      </c>
      <c r="T778" s="14" t="n">
        <v>213.84</v>
      </c>
      <c r="U778" s="26">
        <f>IF(X778&gt;='Methodology &amp; Assumptions'!$B$7, "Tier 1 Critical GIDA (Score ≥ 50.0)", IF(X778&gt;='Methodology &amp; Assumptions'!$B$8, "Tier 2 High GIDA (Score 40.0–49.9)", "Tier 3 Moderate GIDA (Score &lt; 40.0)"))</f>
        <v/>
      </c>
      <c r="V778" s="26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W778" s="28" t="n">
        <v>0.083</v>
      </c>
      <c r="X778" s="14" t="n">
        <v>45.34</v>
      </c>
      <c r="Y778" s="14">
        <f>ROUND(MIN(100, (X778/69.91)*100), 2)</f>
        <v/>
      </c>
    </row>
    <row r="779">
      <c r="A779" s="10" t="n">
        <v>4</v>
      </c>
      <c r="B779" s="10" t="n">
        <v>775</v>
      </c>
      <c r="C779" s="10" t="n">
        <v>3775</v>
      </c>
      <c r="D779" s="10" t="inlineStr">
        <is>
          <t>1400120002</t>
        </is>
      </c>
      <c r="E779" s="26" t="inlineStr">
        <is>
          <t>Cordillera Administrative Region (CAR)</t>
        </is>
      </c>
      <c r="F779" s="26" t="inlineStr">
        <is>
          <t>Abra</t>
        </is>
      </c>
      <c r="G779" s="26" t="inlineStr">
        <is>
          <t>Sallapadan</t>
        </is>
      </c>
      <c r="H779" s="26" t="inlineStr">
        <is>
          <t>Bilabila</t>
        </is>
      </c>
      <c r="I779" s="27" t="n">
        <v>17.493395</v>
      </c>
      <c r="J779" s="27" t="n">
        <v>120.761805</v>
      </c>
      <c r="K779" s="10" t="inlineStr">
        <is>
          <t>R</t>
        </is>
      </c>
      <c r="L779" s="12" t="n">
        <v>581</v>
      </c>
      <c r="M779" s="14" t="n">
        <v>3.8</v>
      </c>
      <c r="N779" s="12">
        <f>ROUND(L779/M779, 0)</f>
        <v/>
      </c>
      <c r="O779" s="12">
        <f>ROUND(N779*'Methodology &amp; Assumptions'!$B$5, 0)</f>
        <v/>
      </c>
      <c r="P779" s="10" t="inlineStr">
        <is>
          <t>Single Carrier (Band n50, 100MHz TDD)</t>
        </is>
      </c>
      <c r="Q779" s="13">
        <f>ROUNDUP(O779/'Methodology &amp; Assumptions'!$B$6, 0)</f>
        <v/>
      </c>
      <c r="R779" s="13" t="n">
        <v>1</v>
      </c>
      <c r="S779" s="14" t="n">
        <v>18.73</v>
      </c>
      <c r="T779" s="14" t="n">
        <v>17.59</v>
      </c>
      <c r="U779" s="26">
        <f>IF(X779&gt;='Methodology &amp; Assumptions'!$B$7, "Tier 1 Critical GIDA (Score ≥ 50.0)", IF(X779&gt;='Methodology &amp; Assumptions'!$B$8, "Tier 2 High GIDA (Score 40.0–49.9)", "Tier 3 Moderate GIDA (Score &lt; 40.0)"))</f>
        <v/>
      </c>
      <c r="V779" s="26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W779" s="28" t="n">
        <v>0.109</v>
      </c>
      <c r="X779" s="14" t="n">
        <v>45.34</v>
      </c>
      <c r="Y779" s="14">
        <f>ROUND(MIN(100, (X779/69.91)*100), 2)</f>
        <v/>
      </c>
    </row>
    <row r="780">
      <c r="A780" s="10" t="n">
        <v>4</v>
      </c>
      <c r="B780" s="10" t="n">
        <v>776</v>
      </c>
      <c r="C780" s="10" t="n">
        <v>3776</v>
      </c>
      <c r="D780" s="10" t="inlineStr">
        <is>
          <t>0803710015</t>
        </is>
      </c>
      <c r="E780" s="26" t="inlineStr">
        <is>
          <t>Region VIII (Eastern Visayas)</t>
        </is>
      </c>
      <c r="F780" s="26" t="inlineStr">
        <is>
          <t>Leyte</t>
        </is>
      </c>
      <c r="G780" s="26" t="inlineStr">
        <is>
          <t>Burauen</t>
        </is>
      </c>
      <c r="H780" s="26" t="inlineStr">
        <is>
          <t>Candag-on</t>
        </is>
      </c>
      <c r="I780" s="27" t="n">
        <v>10.980902</v>
      </c>
      <c r="J780" s="27" t="n">
        <v>124.776943</v>
      </c>
      <c r="K780" s="10" t="inlineStr">
        <is>
          <t>R</t>
        </is>
      </c>
      <c r="L780" s="12" t="n">
        <v>258</v>
      </c>
      <c r="M780" s="14" t="n">
        <v>3.8</v>
      </c>
      <c r="N780" s="12">
        <f>ROUND(L780/M780, 0)</f>
        <v/>
      </c>
      <c r="O780" s="12">
        <f>ROUND(N780*'Methodology &amp; Assumptions'!$B$5, 0)</f>
        <v/>
      </c>
      <c r="P780" s="10" t="inlineStr">
        <is>
          <t>Single Carrier (Band n50, 100MHz TDD)</t>
        </is>
      </c>
      <c r="Q780" s="13">
        <f>ROUNDUP(O780/'Methodology &amp; Assumptions'!$B$6, 0)</f>
        <v/>
      </c>
      <c r="R780" s="13" t="n">
        <v>1</v>
      </c>
      <c r="S780" s="14" t="n">
        <v>12.08</v>
      </c>
      <c r="T780" s="14" t="n">
        <v>10.95</v>
      </c>
      <c r="U780" s="26">
        <f>IF(X780&gt;='Methodology &amp; Assumptions'!$B$7, "Tier 1 Critical GIDA (Score ≥ 50.0)", IF(X780&gt;='Methodology &amp; Assumptions'!$B$8, "Tier 2 High GIDA (Score 40.0–49.9)", "Tier 3 Moderate GIDA (Score &lt; 40.0)"))</f>
        <v/>
      </c>
      <c r="V780" s="26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W780" s="28" t="n">
        <v>0.237</v>
      </c>
      <c r="X780" s="14" t="n">
        <v>45.34</v>
      </c>
      <c r="Y780" s="14">
        <f>ROUND(MIN(100, (X780/69.91)*100), 2)</f>
        <v/>
      </c>
    </row>
    <row r="781">
      <c r="A781" s="10" t="n">
        <v>4</v>
      </c>
      <c r="B781" s="10" t="n">
        <v>777</v>
      </c>
      <c r="C781" s="10" t="n">
        <v>3777</v>
      </c>
      <c r="D781" s="10" t="inlineStr">
        <is>
          <t>PH0003777</t>
        </is>
      </c>
      <c r="E781" s="26" t="inlineStr">
        <is>
          <t>I</t>
        </is>
      </c>
      <c r="F781" s="26" t="inlineStr">
        <is>
          <t>Ilocos Norte</t>
        </is>
      </c>
      <c r="G781" s="26" t="inlineStr">
        <is>
          <t>Laoag City</t>
        </is>
      </c>
      <c r="H781" s="26" t="inlineStr">
        <is>
          <t>Bgy. No. 7-A, Nstra. Sra. De Natividad (Pob.)</t>
        </is>
      </c>
      <c r="I781" s="27" t="n">
        <v>18.207276</v>
      </c>
      <c r="J781" s="27" t="n">
        <v>120.595077</v>
      </c>
      <c r="K781" s="10" t="inlineStr">
        <is>
          <t>R</t>
        </is>
      </c>
      <c r="L781" s="12" t="n">
        <v>2233</v>
      </c>
      <c r="M781" s="14" t="n">
        <v>3.7</v>
      </c>
      <c r="N781" s="12">
        <f>ROUND(L781/M781, 0)</f>
        <v/>
      </c>
      <c r="O781" s="12">
        <f>ROUND(N781*'Methodology &amp; Assumptions'!$B$5, 0)</f>
        <v/>
      </c>
      <c r="P781" s="10" t="inlineStr">
        <is>
          <t>Single Carrier (Band n50, 100MHz TDD)</t>
        </is>
      </c>
      <c r="Q781" s="13">
        <f>ROUNDUP(O781/'Methodology &amp; Assumptions'!$B$6, 0)</f>
        <v/>
      </c>
      <c r="R781" s="13" t="n">
        <v>1</v>
      </c>
      <c r="S781" s="14" t="n">
        <v>1.01</v>
      </c>
      <c r="T781" s="14" t="n">
        <v>0.52</v>
      </c>
      <c r="U781" s="26">
        <f>IF(X781&gt;='Methodology &amp; Assumptions'!$B$7, "Tier 1 Critical GIDA (Score ≥ 50.0)", IF(X781&gt;='Methodology &amp; Assumptions'!$B$8, "Tier 2 High GIDA (Score 40.0–49.9)", "Tier 3 Moderate GIDA (Score &lt; 40.0)"))</f>
        <v/>
      </c>
      <c r="V781" s="26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W781" s="28" t="n">
        <v>0.083</v>
      </c>
      <c r="X781" s="14" t="n">
        <v>45.34</v>
      </c>
      <c r="Y781" s="14">
        <f>ROUND(MIN(100, (X781/69.91)*100), 2)</f>
        <v/>
      </c>
    </row>
    <row r="782">
      <c r="A782" s="10" t="n">
        <v>4</v>
      </c>
      <c r="B782" s="10" t="n">
        <v>778</v>
      </c>
      <c r="C782" s="10" t="n">
        <v>3778</v>
      </c>
      <c r="D782" s="10" t="inlineStr">
        <is>
          <t>PH0003778</t>
        </is>
      </c>
      <c r="E782" s="26" t="inlineStr">
        <is>
          <t>XIII</t>
        </is>
      </c>
      <c r="F782" s="26" t="inlineStr">
        <is>
          <t>Agusan Del Norte</t>
        </is>
      </c>
      <c r="G782" s="26" t="inlineStr">
        <is>
          <t>Butuan City</t>
        </is>
      </c>
      <c r="H782" s="26" t="inlineStr">
        <is>
          <t>Diego Silang Pob.</t>
        </is>
      </c>
      <c r="I782" s="27" t="n">
        <v>8.946111</v>
      </c>
      <c r="J782" s="27" t="n">
        <v>125.542778</v>
      </c>
      <c r="K782" s="10" t="inlineStr">
        <is>
          <t>R</t>
        </is>
      </c>
      <c r="L782" s="12" t="n">
        <v>2294</v>
      </c>
      <c r="M782" s="14" t="n">
        <v>4.1</v>
      </c>
      <c r="N782" s="12">
        <f>ROUND(L782/M782, 0)</f>
        <v/>
      </c>
      <c r="O782" s="12">
        <f>ROUND(N782*'Methodology &amp; Assumptions'!$B$5, 0)</f>
        <v/>
      </c>
      <c r="P782" s="10" t="inlineStr">
        <is>
          <t>Single Carrier (Band n50, 100MHz TDD)</t>
        </is>
      </c>
      <c r="Q782" s="13">
        <f>ROUNDUP(O782/'Methodology &amp; Assumptions'!$B$6, 0)</f>
        <v/>
      </c>
      <c r="R782" s="13" t="n">
        <v>1</v>
      </c>
      <c r="S782" s="14" t="n">
        <v>0.71</v>
      </c>
      <c r="T782" s="14" t="n">
        <v>0.14</v>
      </c>
      <c r="U782" s="26">
        <f>IF(X782&gt;='Methodology &amp; Assumptions'!$B$7, "Tier 1 Critical GIDA (Score ≥ 50.0)", IF(X782&gt;='Methodology &amp; Assumptions'!$B$8, "Tier 2 High GIDA (Score 40.0–49.9)", "Tier 3 Moderate GIDA (Score &lt; 40.0)"))</f>
        <v/>
      </c>
      <c r="V782" s="26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W782" s="28" t="n">
        <v>0.109</v>
      </c>
      <c r="X782" s="14" t="n">
        <v>45.33</v>
      </c>
      <c r="Y782" s="14">
        <f>ROUND(MIN(100, (X782/69.91)*100), 2)</f>
        <v/>
      </c>
    </row>
    <row r="783">
      <c r="A783" s="10" t="n">
        <v>4</v>
      </c>
      <c r="B783" s="10" t="n">
        <v>779</v>
      </c>
      <c r="C783" s="10" t="n">
        <v>3779</v>
      </c>
      <c r="D783" s="10" t="inlineStr">
        <is>
          <t>1380200011</t>
        </is>
      </c>
      <c r="E783" s="26" t="inlineStr">
        <is>
          <t>National Capital Region (NCR)</t>
        </is>
      </c>
      <c r="F783" s="26" t="inlineStr">
        <is>
          <t>Fourth District (Not a Province)</t>
        </is>
      </c>
      <c r="G783" s="26" t="inlineStr">
        <is>
          <t>City of Las Piñas</t>
        </is>
      </c>
      <c r="H783" s="26" t="inlineStr">
        <is>
          <t>B. F. International Village</t>
        </is>
      </c>
      <c r="I783" s="27" t="n">
        <v>14.460278</v>
      </c>
      <c r="J783" s="27" t="n">
        <v>120.998889</v>
      </c>
      <c r="K783" s="10" t="inlineStr">
        <is>
          <t>U</t>
        </is>
      </c>
      <c r="L783" s="12" t="n">
        <v>82987</v>
      </c>
      <c r="M783" s="14" t="n">
        <v>3.8</v>
      </c>
      <c r="N783" s="12">
        <f>ROUND(L783/M783, 0)</f>
        <v/>
      </c>
      <c r="O783" s="12">
        <f>ROUND(N783*'Methodology &amp; Assumptions'!$B$5, 0)</f>
        <v/>
      </c>
      <c r="P783" s="10" t="inlineStr">
        <is>
          <t>Single Carrier (Band n50, 100MHz TDD)</t>
        </is>
      </c>
      <c r="Q783" s="13">
        <f>ROUNDUP(O783/'Methodology &amp; Assumptions'!$B$6, 0)</f>
        <v/>
      </c>
      <c r="R783" s="13" t="n">
        <v>1</v>
      </c>
      <c r="S783" s="14" t="n">
        <v>0.59</v>
      </c>
      <c r="T783" s="14" t="n">
        <v>0.45</v>
      </c>
      <c r="U783" s="26">
        <f>IF(X783&gt;='Methodology &amp; Assumptions'!$B$7, "Tier 1 Critical GIDA (Score ≥ 50.0)", IF(X783&gt;='Methodology &amp; Assumptions'!$B$8, "Tier 2 High GIDA (Score 40.0–49.9)", "Tier 3 Moderate GIDA (Score &lt; 40.0)"))</f>
        <v/>
      </c>
      <c r="V783" s="26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W783" s="28" t="n">
        <v>0.109</v>
      </c>
      <c r="X783" s="14" t="n">
        <v>45.32</v>
      </c>
      <c r="Y783" s="14">
        <f>ROUND(MIN(100, (X783/69.91)*100), 2)</f>
        <v/>
      </c>
    </row>
    <row r="784">
      <c r="A784" s="10" t="n">
        <v>4</v>
      </c>
      <c r="B784" s="10" t="n">
        <v>780</v>
      </c>
      <c r="C784" s="10" t="n">
        <v>3780</v>
      </c>
      <c r="D784" s="10" t="inlineStr">
        <is>
          <t>0601917006</t>
        </is>
      </c>
      <c r="E784" s="26" t="inlineStr">
        <is>
          <t>Region VI (Western Visayas)</t>
        </is>
      </c>
      <c r="F784" s="26" t="inlineStr">
        <is>
          <t>Capiz</t>
        </is>
      </c>
      <c r="G784" s="26" t="inlineStr">
        <is>
          <t>Tapaz</t>
        </is>
      </c>
      <c r="H784" s="26" t="inlineStr">
        <is>
          <t>Agpalali</t>
        </is>
      </c>
      <c r="I784" s="27" t="n">
        <v>11.289929</v>
      </c>
      <c r="J784" s="27" t="n">
        <v>122.461864</v>
      </c>
      <c r="K784" s="10" t="inlineStr">
        <is>
          <t>R</t>
        </is>
      </c>
      <c r="L784" s="12" t="n">
        <v>719</v>
      </c>
      <c r="M784" s="14" t="n">
        <v>3.8</v>
      </c>
      <c r="N784" s="12">
        <f>ROUND(L784/M784, 0)</f>
        <v/>
      </c>
      <c r="O784" s="12">
        <f>ROUND(N784*'Methodology &amp; Assumptions'!$B$5, 0)</f>
        <v/>
      </c>
      <c r="P784" s="10" t="inlineStr">
        <is>
          <t>Single Carrier (Band n50, 100MHz TDD)</t>
        </is>
      </c>
      <c r="Q784" s="13">
        <f>ROUNDUP(O784/'Methodology &amp; Assumptions'!$B$6, 0)</f>
        <v/>
      </c>
      <c r="R784" s="13" t="n">
        <v>1</v>
      </c>
      <c r="S784" s="14" t="n">
        <v>23.72</v>
      </c>
      <c r="T784" s="14" t="n">
        <v>11.53</v>
      </c>
      <c r="U784" s="26">
        <f>IF(X784&gt;='Methodology &amp; Assumptions'!$B$7, "Tier 1 Critical GIDA (Score ≥ 50.0)", IF(X784&gt;='Methodology &amp; Assumptions'!$B$8, "Tier 2 High GIDA (Score 40.0–49.9)", "Tier 3 Moderate GIDA (Score &lt; 40.0)"))</f>
        <v/>
      </c>
      <c r="V784" s="26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W784" s="28" t="n">
        <v>0.237</v>
      </c>
      <c r="X784" s="14" t="n">
        <v>45.32</v>
      </c>
      <c r="Y784" s="14">
        <f>ROUND(MIN(100, (X784/69.91)*100), 2)</f>
        <v/>
      </c>
    </row>
    <row r="785">
      <c r="A785" s="10" t="n">
        <v>4</v>
      </c>
      <c r="B785" s="10" t="n">
        <v>781</v>
      </c>
      <c r="C785" s="10" t="n">
        <v>3781</v>
      </c>
      <c r="D785" s="10" t="inlineStr">
        <is>
          <t>1908822006</t>
        </is>
      </c>
      <c r="E785" s="26" t="inlineStr">
        <is>
          <t>Bangsamoro Autonomous Region In Muslim Mindanao (BARMM)</t>
        </is>
      </c>
      <c r="F785" s="26" t="inlineStr">
        <is>
          <t>Maguindanao del Sur</t>
        </is>
      </c>
      <c r="G785" s="26" t="inlineStr">
        <is>
          <t>South Upi</t>
        </is>
      </c>
      <c r="H785" s="26" t="inlineStr">
        <is>
          <t>Lamud</t>
        </is>
      </c>
      <c r="I785" s="27" t="n">
        <v>17.25508</v>
      </c>
      <c r="J785" s="27" t="n">
        <v>122.229124</v>
      </c>
      <c r="K785" s="10" t="inlineStr">
        <is>
          <t>R</t>
        </is>
      </c>
      <c r="L785" s="12" t="n">
        <v>2242</v>
      </c>
      <c r="M785" s="14" t="n">
        <v>4.7</v>
      </c>
      <c r="N785" s="12">
        <f>ROUND(L785/M785, 0)</f>
        <v/>
      </c>
      <c r="O785" s="12">
        <f>ROUND(N785*'Methodology &amp; Assumptions'!$B$5, 0)</f>
        <v/>
      </c>
      <c r="P785" s="10" t="inlineStr">
        <is>
          <t>Single Carrier (Band n50, 100MHz TDD)</t>
        </is>
      </c>
      <c r="Q785" s="13">
        <f>ROUNDUP(O785/'Methodology &amp; Assumptions'!$B$6, 0)</f>
        <v/>
      </c>
      <c r="R785" s="13" t="n">
        <v>1</v>
      </c>
      <c r="S785" s="14" t="n">
        <v>29.45</v>
      </c>
      <c r="T785" s="14" t="n">
        <v>34.33</v>
      </c>
      <c r="U785" s="26">
        <f>IF(X785&gt;='Methodology &amp; Assumptions'!$B$7, "Tier 1 Critical GIDA (Score ≥ 50.0)", IF(X785&gt;='Methodology &amp; Assumptions'!$B$8, "Tier 2 High GIDA (Score 40.0–49.9)", "Tier 3 Moderate GIDA (Score &lt; 40.0)"))</f>
        <v/>
      </c>
      <c r="V785" s="26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W785" s="28" t="n">
        <v>0.11</v>
      </c>
      <c r="X785" s="14" t="n">
        <v>45.32</v>
      </c>
      <c r="Y785" s="14">
        <f>ROUND(MIN(100, (X785/69.91)*100), 2)</f>
        <v/>
      </c>
    </row>
    <row r="786">
      <c r="A786" s="10" t="n">
        <v>4</v>
      </c>
      <c r="B786" s="10" t="n">
        <v>782</v>
      </c>
      <c r="C786" s="10" t="n">
        <v>3782</v>
      </c>
      <c r="D786" s="10" t="inlineStr">
        <is>
          <t>0405811010</t>
        </is>
      </c>
      <c r="E786" s="26" t="inlineStr">
        <is>
          <t>Region IV-A (CALABARZON)</t>
        </is>
      </c>
      <c r="F786" s="26" t="inlineStr">
        <is>
          <t>Rizal</t>
        </is>
      </c>
      <c r="G786" s="26" t="inlineStr">
        <is>
          <t>San Mateo</t>
        </is>
      </c>
      <c r="H786" s="26" t="inlineStr">
        <is>
          <t>Santa Ana</t>
        </is>
      </c>
      <c r="I786" s="27" t="n">
        <v>14.696335</v>
      </c>
      <c r="J786" s="27" t="n">
        <v>121.115968</v>
      </c>
      <c r="K786" s="10" t="inlineStr">
        <is>
          <t>U</t>
        </is>
      </c>
      <c r="L786" s="12" t="n">
        <v>10398</v>
      </c>
      <c r="M786" s="14" t="n">
        <v>3.6</v>
      </c>
      <c r="N786" s="12">
        <f>ROUND(L786/M786, 0)</f>
        <v/>
      </c>
      <c r="O786" s="12">
        <f>ROUND(N786*'Methodology &amp; Assumptions'!$B$5, 0)</f>
        <v/>
      </c>
      <c r="P786" s="10" t="inlineStr">
        <is>
          <t>Single Carrier (Band n50, 100MHz TDD)</t>
        </is>
      </c>
      <c r="Q786" s="13">
        <f>ROUNDUP(O786/'Methodology &amp; Assumptions'!$B$6, 0)</f>
        <v/>
      </c>
      <c r="R786" s="13" t="n">
        <v>1</v>
      </c>
      <c r="S786" s="14" t="n">
        <v>1.05</v>
      </c>
      <c r="T786" s="14" t="n">
        <v>0.58</v>
      </c>
      <c r="U786" s="26">
        <f>IF(X786&gt;='Methodology &amp; Assumptions'!$B$7, "Tier 1 Critical GIDA (Score ≥ 50.0)", IF(X786&gt;='Methodology &amp; Assumptions'!$B$8, "Tier 2 High GIDA (Score 40.0–49.9)", "Tier 3 Moderate GIDA (Score &lt; 40.0)"))</f>
        <v/>
      </c>
      <c r="V786" s="26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W786" s="28" t="n">
        <v>0.07200000000000001</v>
      </c>
      <c r="X786" s="14" t="n">
        <v>45.32</v>
      </c>
      <c r="Y786" s="14">
        <f>ROUND(MIN(100, (X786/69.91)*100), 2)</f>
        <v/>
      </c>
    </row>
    <row r="787">
      <c r="A787" s="10" t="n">
        <v>4</v>
      </c>
      <c r="B787" s="10" t="n">
        <v>783</v>
      </c>
      <c r="C787" s="10" t="n">
        <v>3783</v>
      </c>
      <c r="D787" s="10" t="inlineStr">
        <is>
          <t>0804822011</t>
        </is>
      </c>
      <c r="E787" s="26" t="inlineStr">
        <is>
          <t>Region VIII (Eastern Visayas)</t>
        </is>
      </c>
      <c r="F787" s="26" t="inlineStr">
        <is>
          <t>Northern Samar</t>
        </is>
      </c>
      <c r="G787" s="26" t="inlineStr">
        <is>
          <t>Silvino Lobos</t>
        </is>
      </c>
      <c r="H787" s="26" t="inlineStr">
        <is>
          <t>Gebolwangan</t>
        </is>
      </c>
      <c r="I787" s="27" t="n">
        <v>12.28657</v>
      </c>
      <c r="J787" s="27" t="n">
        <v>124.80567</v>
      </c>
      <c r="K787" s="10" t="inlineStr">
        <is>
          <t>R</t>
        </is>
      </c>
      <c r="L787" s="12" t="n">
        <v>805</v>
      </c>
      <c r="M787" s="14" t="n">
        <v>4.3</v>
      </c>
      <c r="N787" s="12">
        <f>ROUND(L787/M787, 0)</f>
        <v/>
      </c>
      <c r="O787" s="12">
        <f>ROUND(N787*'Methodology &amp; Assumptions'!$B$5, 0)</f>
        <v/>
      </c>
      <c r="P787" s="10" t="inlineStr">
        <is>
          <t>Single Carrier (Band n50, 100MHz TDD)</t>
        </is>
      </c>
      <c r="Q787" s="13">
        <f>ROUNDUP(O787/'Methodology &amp; Assumptions'!$B$6, 0)</f>
        <v/>
      </c>
      <c r="R787" s="13" t="n">
        <v>1</v>
      </c>
      <c r="S787" s="14" t="n">
        <v>85.40000000000001</v>
      </c>
      <c r="T787" s="14" t="n">
        <v>85.38</v>
      </c>
      <c r="U787" s="26">
        <f>IF(X787&gt;='Methodology &amp; Assumptions'!$B$7, "Tier 1 Critical GIDA (Score ≥ 50.0)", IF(X787&gt;='Methodology &amp; Assumptions'!$B$8, "Tier 2 High GIDA (Score 40.0–49.9)", "Tier 3 Moderate GIDA (Score &lt; 40.0)"))</f>
        <v/>
      </c>
      <c r="V787" s="26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W787" s="28" t="n">
        <v>0.237</v>
      </c>
      <c r="X787" s="14" t="n">
        <v>45.31</v>
      </c>
      <c r="Y787" s="14">
        <f>ROUND(MIN(100, (X787/69.91)*100), 2)</f>
        <v/>
      </c>
    </row>
    <row r="788">
      <c r="A788" s="10" t="n">
        <v>4</v>
      </c>
      <c r="B788" s="10" t="n">
        <v>784</v>
      </c>
      <c r="C788" s="10" t="n">
        <v>3784</v>
      </c>
      <c r="D788" s="10" t="inlineStr">
        <is>
          <t>1705311006</t>
        </is>
      </c>
      <c r="E788" s="26" t="inlineStr">
        <is>
          <t>MIMAROPA Region</t>
        </is>
      </c>
      <c r="F788" s="26" t="inlineStr">
        <is>
          <t>Palawan</t>
        </is>
      </c>
      <c r="G788" s="26" t="inlineStr">
        <is>
          <t>Dumaran</t>
        </is>
      </c>
      <c r="H788" s="26" t="inlineStr">
        <is>
          <t>Culasian</t>
        </is>
      </c>
      <c r="I788" s="27" t="n">
        <v>10.605</v>
      </c>
      <c r="J788" s="27" t="n">
        <v>119.653149</v>
      </c>
      <c r="K788" s="10" t="inlineStr">
        <is>
          <t>R</t>
        </is>
      </c>
      <c r="L788" s="12" t="n">
        <v>1119</v>
      </c>
      <c r="M788" s="14" t="n">
        <v>3.9</v>
      </c>
      <c r="N788" s="12">
        <f>ROUND(L788/M788, 0)</f>
        <v/>
      </c>
      <c r="O788" s="12">
        <f>ROUND(N788*'Methodology &amp; Assumptions'!$B$5, 0)</f>
        <v/>
      </c>
      <c r="P788" s="10" t="inlineStr">
        <is>
          <t>Single Carrier (Band n50, 100MHz TDD)</t>
        </is>
      </c>
      <c r="Q788" s="13">
        <f>ROUNDUP(O788/'Methodology &amp; Assumptions'!$B$6, 0)</f>
        <v/>
      </c>
      <c r="R788" s="13" t="n">
        <v>1</v>
      </c>
      <c r="S788" s="14" t="n">
        <v>12.21</v>
      </c>
      <c r="T788" s="14" t="n">
        <v>20.55</v>
      </c>
      <c r="U788" s="26">
        <f>IF(X788&gt;='Methodology &amp; Assumptions'!$B$7, "Tier 1 Critical GIDA (Score ≥ 50.0)", IF(X788&gt;='Methodology &amp; Assumptions'!$B$8, "Tier 2 High GIDA (Score 40.0–49.9)", "Tier 3 Moderate GIDA (Score &lt; 40.0)"))</f>
        <v/>
      </c>
      <c r="V788" s="26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W788" s="28" t="n">
        <v>0.15</v>
      </c>
      <c r="X788" s="14" t="n">
        <v>45.31</v>
      </c>
      <c r="Y788" s="14">
        <f>ROUND(MIN(100, (X788/69.91)*100), 2)</f>
        <v/>
      </c>
    </row>
    <row r="789">
      <c r="A789" s="10" t="n">
        <v>4</v>
      </c>
      <c r="B789" s="10" t="n">
        <v>785</v>
      </c>
      <c r="C789" s="10" t="n">
        <v>3785</v>
      </c>
      <c r="D789" s="10" t="inlineStr">
        <is>
          <t>PH0003785</t>
        </is>
      </c>
      <c r="E789" s="26" t="inlineStr">
        <is>
          <t>VI</t>
        </is>
      </c>
      <c r="F789" s="26" t="inlineStr">
        <is>
          <t>Iloilo</t>
        </is>
      </c>
      <c r="G789" s="26" t="inlineStr">
        <is>
          <t>Iloilo City</t>
        </is>
      </c>
      <c r="H789" s="26" t="inlineStr">
        <is>
          <t>Lopez Jaena</t>
        </is>
      </c>
      <c r="I789" s="27" t="n">
        <v>10.584401</v>
      </c>
      <c r="J789" s="27" t="n">
        <v>122.532146</v>
      </c>
      <c r="K789" s="10" t="inlineStr">
        <is>
          <t>R</t>
        </is>
      </c>
      <c r="L789" s="12" t="n">
        <v>2230</v>
      </c>
      <c r="M789" s="14" t="n">
        <v>3.8</v>
      </c>
      <c r="N789" s="12">
        <f>ROUND(L789/M789, 0)</f>
        <v/>
      </c>
      <c r="O789" s="12">
        <f>ROUND(N789*'Methodology &amp; Assumptions'!$B$5, 0)</f>
        <v/>
      </c>
      <c r="P789" s="10" t="inlineStr">
        <is>
          <t>Single Carrier (Band n50, 100MHz TDD)</t>
        </is>
      </c>
      <c r="Q789" s="13">
        <f>ROUNDUP(O789/'Methodology &amp; Assumptions'!$B$6, 0)</f>
        <v/>
      </c>
      <c r="R789" s="13" t="n">
        <v>1</v>
      </c>
      <c r="S789" s="14" t="n">
        <v>11.88</v>
      </c>
      <c r="T789" s="14" t="n">
        <v>12.69</v>
      </c>
      <c r="U789" s="26">
        <f>IF(X789&gt;='Methodology &amp; Assumptions'!$B$7, "Tier 1 Critical GIDA (Score ≥ 50.0)", IF(X789&gt;='Methodology &amp; Assumptions'!$B$8, "Tier 2 High GIDA (Score 40.0–49.9)", "Tier 3 Moderate GIDA (Score &lt; 40.0)"))</f>
        <v/>
      </c>
      <c r="V789" s="26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W789" s="28" t="n">
        <v>0.156</v>
      </c>
      <c r="X789" s="14" t="n">
        <v>45.31</v>
      </c>
      <c r="Y789" s="14">
        <f>ROUND(MIN(100, (X789/69.91)*100), 2)</f>
        <v/>
      </c>
    </row>
    <row r="790">
      <c r="A790" s="10" t="n">
        <v>4</v>
      </c>
      <c r="B790" s="10" t="n">
        <v>786</v>
      </c>
      <c r="C790" s="10" t="n">
        <v>3786</v>
      </c>
      <c r="D790" s="10" t="inlineStr">
        <is>
          <t>0300803021</t>
        </is>
      </c>
      <c r="E790" s="26" t="inlineStr">
        <is>
          <t>Region III (Central Luzon)</t>
        </is>
      </c>
      <c r="F790" s="26" t="inlineStr">
        <is>
          <t>Bataan</t>
        </is>
      </c>
      <c r="G790" s="26" t="inlineStr">
        <is>
          <t>City of Balanga</t>
        </is>
      </c>
      <c r="H790" s="26" t="inlineStr">
        <is>
          <t>Tenejero</t>
        </is>
      </c>
      <c r="I790" s="27" t="n">
        <v>14.678683</v>
      </c>
      <c r="J790" s="27" t="n">
        <v>120.532953</v>
      </c>
      <c r="K790" s="10" t="inlineStr">
        <is>
          <t>U</t>
        </is>
      </c>
      <c r="L790" s="12" t="n">
        <v>9639</v>
      </c>
      <c r="M790" s="14" t="n">
        <v>3.6</v>
      </c>
      <c r="N790" s="12">
        <f>ROUND(L790/M790, 0)</f>
        <v/>
      </c>
      <c r="O790" s="12">
        <f>ROUND(N790*'Methodology &amp; Assumptions'!$B$5, 0)</f>
        <v/>
      </c>
      <c r="P790" s="10" t="inlineStr">
        <is>
          <t>Single Carrier (Band n50, 100MHz TDD)</t>
        </is>
      </c>
      <c r="Q790" s="13">
        <f>ROUNDUP(O790/'Methodology &amp; Assumptions'!$B$6, 0)</f>
        <v/>
      </c>
      <c r="R790" s="13" t="n">
        <v>1</v>
      </c>
      <c r="S790" s="14" t="n">
        <v>1</v>
      </c>
      <c r="T790" s="14" t="n">
        <v>0.96</v>
      </c>
      <c r="U790" s="26">
        <f>IF(X790&gt;='Methodology &amp; Assumptions'!$B$7, "Tier 1 Critical GIDA (Score ≥ 50.0)", IF(X790&gt;='Methodology &amp; Assumptions'!$B$8, "Tier 2 High GIDA (Score 40.0–49.9)", "Tier 3 Moderate GIDA (Score &lt; 40.0)"))</f>
        <v/>
      </c>
      <c r="V790" s="26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W790" s="28" t="n">
        <v>0.083</v>
      </c>
      <c r="X790" s="14" t="n">
        <v>45.31</v>
      </c>
      <c r="Y790" s="14">
        <f>ROUND(MIN(100, (X790/69.91)*100), 2)</f>
        <v/>
      </c>
    </row>
    <row r="791">
      <c r="A791" s="10" t="n">
        <v>4</v>
      </c>
      <c r="B791" s="10" t="n">
        <v>787</v>
      </c>
      <c r="C791" s="10" t="n">
        <v>3787</v>
      </c>
      <c r="D791" s="10" t="inlineStr">
        <is>
          <t>1705320010</t>
        </is>
      </c>
      <c r="E791" s="26" t="inlineStr">
        <is>
          <t>MIMAROPA Region</t>
        </is>
      </c>
      <c r="F791" s="26" t="inlineStr">
        <is>
          <t>Palawan</t>
        </is>
      </c>
      <c r="G791" s="26" t="inlineStr">
        <is>
          <t>Taytay</t>
        </is>
      </c>
      <c r="H791" s="26" t="inlineStr">
        <is>
          <t>Cataban</t>
        </is>
      </c>
      <c r="I791" s="27" t="n">
        <v>10.985011</v>
      </c>
      <c r="J791" s="27" t="n">
        <v>119.396678</v>
      </c>
      <c r="K791" s="10" t="inlineStr">
        <is>
          <t>R</t>
        </is>
      </c>
      <c r="L791" s="12" t="n">
        <v>1482</v>
      </c>
      <c r="M791" s="14" t="n">
        <v>3.9</v>
      </c>
      <c r="N791" s="12">
        <f>ROUND(L791/M791, 0)</f>
        <v/>
      </c>
      <c r="O791" s="12">
        <f>ROUND(N791*'Methodology &amp; Assumptions'!$B$5, 0)</f>
        <v/>
      </c>
      <c r="P791" s="10" t="inlineStr">
        <is>
          <t>Single Carrier (Band n50, 100MHz TDD)</t>
        </is>
      </c>
      <c r="Q791" s="13">
        <f>ROUNDUP(O791/'Methodology &amp; Assumptions'!$B$6, 0)</f>
        <v/>
      </c>
      <c r="R791" s="13" t="n">
        <v>1</v>
      </c>
      <c r="S791" s="14" t="n">
        <v>9.789999999999999</v>
      </c>
      <c r="T791" s="14" t="n">
        <v>21.71</v>
      </c>
      <c r="U791" s="26">
        <f>IF(X791&gt;='Methodology &amp; Assumptions'!$B$7, "Tier 1 Critical GIDA (Score ≥ 50.0)", IF(X791&gt;='Methodology &amp; Assumptions'!$B$8, "Tier 2 High GIDA (Score 40.0–49.9)", "Tier 3 Moderate GIDA (Score &lt; 40.0)"))</f>
        <v/>
      </c>
      <c r="V791" s="26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W791" s="28" t="n">
        <v>0.15</v>
      </c>
      <c r="X791" s="14" t="n">
        <v>45.3</v>
      </c>
      <c r="Y791" s="14">
        <f>ROUND(MIN(100, (X791/69.91)*100), 2)</f>
        <v/>
      </c>
    </row>
    <row r="792">
      <c r="A792" s="10" t="n">
        <v>4</v>
      </c>
      <c r="B792" s="10" t="n">
        <v>788</v>
      </c>
      <c r="C792" s="10" t="n">
        <v>3788</v>
      </c>
      <c r="D792" s="10" t="inlineStr">
        <is>
          <t>0300803019</t>
        </is>
      </c>
      <c r="E792" s="26" t="inlineStr">
        <is>
          <t>Region III (Central Luzon)</t>
        </is>
      </c>
      <c r="F792" s="26" t="inlineStr">
        <is>
          <t>Bataan</t>
        </is>
      </c>
      <c r="G792" s="26" t="inlineStr">
        <is>
          <t>City of Balanga</t>
        </is>
      </c>
      <c r="H792" s="26" t="inlineStr">
        <is>
          <t>Talisay</t>
        </is>
      </c>
      <c r="I792" s="27" t="n">
        <v>14.681143</v>
      </c>
      <c r="J792" s="27" t="n">
        <v>120.545447</v>
      </c>
      <c r="K792" s="10" t="inlineStr">
        <is>
          <t>R</t>
        </is>
      </c>
      <c r="L792" s="12" t="n">
        <v>2278</v>
      </c>
      <c r="M792" s="14" t="n">
        <v>3.6</v>
      </c>
      <c r="N792" s="12">
        <f>ROUND(L792/M792, 0)</f>
        <v/>
      </c>
      <c r="O792" s="12">
        <f>ROUND(N792*'Methodology &amp; Assumptions'!$B$5, 0)</f>
        <v/>
      </c>
      <c r="P792" s="10" t="inlineStr">
        <is>
          <t>Single Carrier (Band n50, 100MHz TDD)</t>
        </is>
      </c>
      <c r="Q792" s="13">
        <f>ROUNDUP(O792/'Methodology &amp; Assumptions'!$B$6, 0)</f>
        <v/>
      </c>
      <c r="R792" s="13" t="n">
        <v>1</v>
      </c>
      <c r="S792" s="14" t="n">
        <v>0.28</v>
      </c>
      <c r="T792" s="14" t="n">
        <v>0.14</v>
      </c>
      <c r="U792" s="26">
        <f>IF(X792&gt;='Methodology &amp; Assumptions'!$B$7, "Tier 1 Critical GIDA (Score ≥ 50.0)", IF(X792&gt;='Methodology &amp; Assumptions'!$B$8, "Tier 2 High GIDA (Score 40.0–49.9)", "Tier 3 Moderate GIDA (Score &lt; 40.0)"))</f>
        <v/>
      </c>
      <c r="V792" s="26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W792" s="28" t="n">
        <v>0.083</v>
      </c>
      <c r="X792" s="14" t="n">
        <v>45.3</v>
      </c>
      <c r="Y792" s="14">
        <f>ROUND(MIN(100, (X792/69.91)*100), 2)</f>
        <v/>
      </c>
    </row>
    <row r="793">
      <c r="A793" s="10" t="n">
        <v>4</v>
      </c>
      <c r="B793" s="10" t="n">
        <v>789</v>
      </c>
      <c r="C793" s="10" t="n">
        <v>3789</v>
      </c>
      <c r="D793" s="10" t="inlineStr">
        <is>
          <t>0305412027</t>
        </is>
      </c>
      <c r="E793" s="26" t="inlineStr">
        <is>
          <t>Region III (Central Luzon)</t>
        </is>
      </c>
      <c r="F793" s="26" t="inlineStr">
        <is>
          <t>Pampanga</t>
        </is>
      </c>
      <c r="G793" s="26" t="inlineStr">
        <is>
          <t>Masantol</t>
        </is>
      </c>
      <c r="H793" s="26" t="inlineStr">
        <is>
          <t>Sapang Kawayan</t>
        </is>
      </c>
      <c r="I793" s="27" t="n">
        <v>14.805349</v>
      </c>
      <c r="J793" s="27" t="n">
        <v>120.685783</v>
      </c>
      <c r="K793" s="10" t="inlineStr">
        <is>
          <t>U</t>
        </is>
      </c>
      <c r="L793" s="12" t="n">
        <v>3449</v>
      </c>
      <c r="M793" s="14" t="n">
        <v>4</v>
      </c>
      <c r="N793" s="12">
        <f>ROUND(L793/M793, 0)</f>
        <v/>
      </c>
      <c r="O793" s="12">
        <f>ROUND(N793*'Methodology &amp; Assumptions'!$B$5, 0)</f>
        <v/>
      </c>
      <c r="P793" s="10" t="inlineStr">
        <is>
          <t>Single Carrier (Band n50, 100MHz TDD)</t>
        </is>
      </c>
      <c r="Q793" s="13">
        <f>ROUNDUP(O793/'Methodology &amp; Assumptions'!$B$6, 0)</f>
        <v/>
      </c>
      <c r="R793" s="13" t="n">
        <v>1</v>
      </c>
      <c r="S793" s="14" t="n">
        <v>8</v>
      </c>
      <c r="T793" s="14" t="n">
        <v>8.83</v>
      </c>
      <c r="U793" s="26">
        <f>IF(X793&gt;='Methodology &amp; Assumptions'!$B$7, "Tier 1 Critical GIDA (Score ≥ 50.0)", IF(X793&gt;='Methodology &amp; Assumptions'!$B$8, "Tier 2 High GIDA (Score 40.0–49.9)", "Tier 3 Moderate GIDA (Score &lt; 40.0)"))</f>
        <v/>
      </c>
      <c r="V793" s="26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W793" s="28" t="n">
        <v>0.083</v>
      </c>
      <c r="X793" s="14" t="n">
        <v>45.3</v>
      </c>
      <c r="Y793" s="14">
        <f>ROUND(MIN(100, (X793/69.91)*100), 2)</f>
        <v/>
      </c>
    </row>
    <row r="794">
      <c r="A794" s="10" t="n">
        <v>4</v>
      </c>
      <c r="B794" s="10" t="n">
        <v>790</v>
      </c>
      <c r="C794" s="10" t="n">
        <v>3790</v>
      </c>
      <c r="D794" s="10" t="inlineStr">
        <is>
          <t>0600609029</t>
        </is>
      </c>
      <c r="E794" s="26" t="inlineStr">
        <is>
          <t>Region VI (Western Visayas)</t>
        </is>
      </c>
      <c r="F794" s="26" t="inlineStr">
        <is>
          <t>Antique</t>
        </is>
      </c>
      <c r="G794" s="26" t="inlineStr">
        <is>
          <t>Laua-An</t>
        </is>
      </c>
      <c r="H794" s="26" t="inlineStr">
        <is>
          <t>Necesito</t>
        </is>
      </c>
      <c r="I794" s="27" t="n">
        <v>11.12894</v>
      </c>
      <c r="J794" s="27" t="n">
        <v>122.070346</v>
      </c>
      <c r="K794" s="10" t="inlineStr">
        <is>
          <t>R</t>
        </is>
      </c>
      <c r="L794" s="12" t="n">
        <v>276</v>
      </c>
      <c r="M794" s="14" t="n">
        <v>3.9</v>
      </c>
      <c r="N794" s="12">
        <f>ROUND(L794/M794, 0)</f>
        <v/>
      </c>
      <c r="O794" s="12">
        <f>ROUND(N794*'Methodology &amp; Assumptions'!$B$5, 0)</f>
        <v/>
      </c>
      <c r="P794" s="10" t="inlineStr">
        <is>
          <t>Single Carrier (Band n50, 100MHz TDD)</t>
        </is>
      </c>
      <c r="Q794" s="13">
        <f>ROUNDUP(O794/'Methodology &amp; Assumptions'!$B$6, 0)</f>
        <v/>
      </c>
      <c r="R794" s="13" t="n">
        <v>1</v>
      </c>
      <c r="S794" s="14" t="n">
        <v>43.25</v>
      </c>
      <c r="T794" s="14" t="n">
        <v>37.1</v>
      </c>
      <c r="U794" s="26">
        <f>IF(X794&gt;='Methodology &amp; Assumptions'!$B$7, "Tier 1 Critical GIDA (Score ≥ 50.0)", IF(X794&gt;='Methodology &amp; Assumptions'!$B$8, "Tier 2 High GIDA (Score 40.0–49.9)", "Tier 3 Moderate GIDA (Score &lt; 40.0)"))</f>
        <v/>
      </c>
      <c r="V794" s="26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W794" s="28" t="n">
        <v>0.237</v>
      </c>
      <c r="X794" s="14" t="n">
        <v>45.29</v>
      </c>
      <c r="Y794" s="14">
        <f>ROUND(MIN(100, (X794/69.91)*100), 2)</f>
        <v/>
      </c>
    </row>
    <row r="795">
      <c r="A795" s="10" t="n">
        <v>4</v>
      </c>
      <c r="B795" s="10" t="n">
        <v>791</v>
      </c>
      <c r="C795" s="10" t="n">
        <v>3791</v>
      </c>
      <c r="D795" s="10" t="inlineStr">
        <is>
          <t>0402118051</t>
        </is>
      </c>
      <c r="E795" s="26" t="inlineStr">
        <is>
          <t>Region IV-A (CALABARZON)</t>
        </is>
      </c>
      <c r="F795" s="26" t="inlineStr">
        <is>
          <t>Cavite</t>
        </is>
      </c>
      <c r="G795" s="26" t="inlineStr">
        <is>
          <t>Silang</t>
        </is>
      </c>
      <c r="H795" s="26" t="inlineStr">
        <is>
          <t>Ipil I</t>
        </is>
      </c>
      <c r="I795" s="27" t="n">
        <v>14.273925</v>
      </c>
      <c r="J795" s="27" t="n">
        <v>120.994709</v>
      </c>
      <c r="K795" s="10" t="inlineStr">
        <is>
          <t>R</t>
        </is>
      </c>
      <c r="L795" s="12" t="n">
        <v>3128</v>
      </c>
      <c r="M795" s="14" t="n">
        <v>3.4</v>
      </c>
      <c r="N795" s="12">
        <f>ROUND(L795/M795, 0)</f>
        <v/>
      </c>
      <c r="O795" s="12">
        <f>ROUND(N795*'Methodology &amp; Assumptions'!$B$5, 0)</f>
        <v/>
      </c>
      <c r="P795" s="10" t="inlineStr">
        <is>
          <t>Single Carrier (Band n50, 100MHz TDD)</t>
        </is>
      </c>
      <c r="Q795" s="13">
        <f>ROUNDUP(O795/'Methodology &amp; Assumptions'!$B$6, 0)</f>
        <v/>
      </c>
      <c r="R795" s="13" t="n">
        <v>1</v>
      </c>
      <c r="S795" s="14" t="n">
        <v>1.23</v>
      </c>
      <c r="T795" s="14" t="n">
        <v>2.95</v>
      </c>
      <c r="U795" s="26">
        <f>IF(X795&gt;='Methodology &amp; Assumptions'!$B$7, "Tier 1 Critical GIDA (Score ≥ 50.0)", IF(X795&gt;='Methodology &amp; Assumptions'!$B$8, "Tier 2 High GIDA (Score 40.0–49.9)", "Tier 3 Moderate GIDA (Score &lt; 40.0)"))</f>
        <v/>
      </c>
      <c r="V795" s="26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W795" s="28" t="n">
        <v>0.07200000000000001</v>
      </c>
      <c r="X795" s="14" t="n">
        <v>45.29</v>
      </c>
      <c r="Y795" s="14">
        <f>ROUND(MIN(100, (X795/69.91)*100), 2)</f>
        <v/>
      </c>
    </row>
    <row r="796">
      <c r="A796" s="10" t="n">
        <v>4</v>
      </c>
      <c r="B796" s="10" t="n">
        <v>792</v>
      </c>
      <c r="C796" s="10" t="n">
        <v>3792</v>
      </c>
      <c r="D796" s="10" t="inlineStr">
        <is>
          <t>0401019005</t>
        </is>
      </c>
      <c r="E796" s="26" t="inlineStr">
        <is>
          <t>Region IV-A (CALABARZON)</t>
        </is>
      </c>
      <c r="F796" s="26" t="inlineStr">
        <is>
          <t>Batangas</t>
        </is>
      </c>
      <c r="G796" s="26" t="inlineStr">
        <is>
          <t>Nasugbu</t>
        </is>
      </c>
      <c r="H796" s="26" t="inlineStr">
        <is>
          <t>Barangay 11</t>
        </is>
      </c>
      <c r="I796" s="27" t="n">
        <v>14.099082</v>
      </c>
      <c r="J796" s="27" t="n">
        <v>120.688551</v>
      </c>
      <c r="K796" s="10" t="inlineStr">
        <is>
          <t>U</t>
        </is>
      </c>
      <c r="L796" s="12" t="n">
        <v>3402</v>
      </c>
      <c r="M796" s="14" t="n">
        <v>3.6</v>
      </c>
      <c r="N796" s="12">
        <f>ROUND(L796/M796, 0)</f>
        <v/>
      </c>
      <c r="O796" s="12">
        <f>ROUND(N796*'Methodology &amp; Assumptions'!$B$5, 0)</f>
        <v/>
      </c>
      <c r="P796" s="10" t="inlineStr">
        <is>
          <t>Single Carrier (Band n50, 100MHz TDD)</t>
        </is>
      </c>
      <c r="Q796" s="13">
        <f>ROUNDUP(O796/'Methodology &amp; Assumptions'!$B$6, 0)</f>
        <v/>
      </c>
      <c r="R796" s="13" t="n">
        <v>1</v>
      </c>
      <c r="S796" s="14" t="n">
        <v>6.67</v>
      </c>
      <c r="T796" s="14" t="n">
        <v>1.99</v>
      </c>
      <c r="U796" s="26">
        <f>IF(X796&gt;='Methodology &amp; Assumptions'!$B$7, "Tier 1 Critical GIDA (Score ≥ 50.0)", IF(X796&gt;='Methodology &amp; Assumptions'!$B$8, "Tier 2 High GIDA (Score 40.0–49.9)", "Tier 3 Moderate GIDA (Score &lt; 40.0)"))</f>
        <v/>
      </c>
      <c r="V796" s="26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W796" s="28" t="n">
        <v>0.07200000000000001</v>
      </c>
      <c r="X796" s="14" t="n">
        <v>45.29</v>
      </c>
      <c r="Y796" s="14">
        <f>ROUND(MIN(100, (X796/69.91)*100), 2)</f>
        <v/>
      </c>
    </row>
    <row r="797">
      <c r="A797" s="10" t="n">
        <v>4</v>
      </c>
      <c r="B797" s="10" t="n">
        <v>793</v>
      </c>
      <c r="C797" s="10" t="n">
        <v>3793</v>
      </c>
      <c r="D797" s="10" t="inlineStr">
        <is>
          <t>PH0003793</t>
        </is>
      </c>
      <c r="E797" s="26" t="inlineStr">
        <is>
          <t>VIII</t>
        </is>
      </c>
      <c r="F797" s="26" t="inlineStr">
        <is>
          <t>Leyte</t>
        </is>
      </c>
      <c r="G797" s="26" t="inlineStr">
        <is>
          <t>Tacloban City</t>
        </is>
      </c>
      <c r="H797" s="26" t="inlineStr">
        <is>
          <t>Barangay 53</t>
        </is>
      </c>
      <c r="I797" s="27" t="n">
        <v>11.23407</v>
      </c>
      <c r="J797" s="27" t="n">
        <v>125.00341</v>
      </c>
      <c r="K797" s="10" t="inlineStr">
        <is>
          <t>R</t>
        </is>
      </c>
      <c r="L797" s="12" t="n">
        <v>2258</v>
      </c>
      <c r="M797" s="14" t="n">
        <v>3.8</v>
      </c>
      <c r="N797" s="12">
        <f>ROUND(L797/M797, 0)</f>
        <v/>
      </c>
      <c r="O797" s="12">
        <f>ROUND(N797*'Methodology &amp; Assumptions'!$B$5, 0)</f>
        <v/>
      </c>
      <c r="P797" s="10" t="inlineStr">
        <is>
          <t>Single Carrier (Band n50, 100MHz TDD)</t>
        </is>
      </c>
      <c r="Q797" s="13">
        <f>ROUNDUP(O797/'Methodology &amp; Assumptions'!$B$6, 0)</f>
        <v/>
      </c>
      <c r="R797" s="13" t="n">
        <v>1</v>
      </c>
      <c r="S797" s="14" t="n">
        <v>0.63</v>
      </c>
      <c r="T797" s="14" t="n">
        <v>2.49</v>
      </c>
      <c r="U797" s="26">
        <f>IF(X797&gt;='Methodology &amp; Assumptions'!$B$7, "Tier 1 Critical GIDA (Score ≥ 50.0)", IF(X797&gt;='Methodology &amp; Assumptions'!$B$8, "Tier 2 High GIDA (Score 40.0–49.9)", "Tier 3 Moderate GIDA (Score &lt; 40.0)"))</f>
        <v/>
      </c>
      <c r="V797" s="26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W797" s="28" t="n">
        <v>0.222</v>
      </c>
      <c r="X797" s="14" t="n">
        <v>45.28</v>
      </c>
      <c r="Y797" s="14">
        <f>ROUND(MIN(100, (X797/69.91)*100), 2)</f>
        <v/>
      </c>
    </row>
    <row r="798">
      <c r="A798" s="10" t="n">
        <v>4</v>
      </c>
      <c r="B798" s="10" t="n">
        <v>794</v>
      </c>
      <c r="C798" s="10" t="n">
        <v>3794</v>
      </c>
      <c r="D798" s="10" t="inlineStr">
        <is>
          <t>PH0003794</t>
        </is>
      </c>
      <c r="E798" s="26" t="inlineStr">
        <is>
          <t>I</t>
        </is>
      </c>
      <c r="F798" s="26" t="inlineStr">
        <is>
          <t>Pangasinan</t>
        </is>
      </c>
      <c r="G798" s="26" t="inlineStr">
        <is>
          <t>Dagupan City</t>
        </is>
      </c>
      <c r="H798" s="26" t="inlineStr">
        <is>
          <t>Pantal</t>
        </is>
      </c>
      <c r="I798" s="27" t="n">
        <v>16.049874</v>
      </c>
      <c r="J798" s="27" t="n">
        <v>120.340172</v>
      </c>
      <c r="K798" s="10" t="inlineStr">
        <is>
          <t>R</t>
        </is>
      </c>
      <c r="L798" s="12" t="n">
        <v>2218</v>
      </c>
      <c r="M798" s="14" t="n">
        <v>3.6</v>
      </c>
      <c r="N798" s="12">
        <f>ROUND(L798/M798, 0)</f>
        <v/>
      </c>
      <c r="O798" s="12">
        <f>ROUND(N798*'Methodology &amp; Assumptions'!$B$5, 0)</f>
        <v/>
      </c>
      <c r="P798" s="10" t="inlineStr">
        <is>
          <t>Single Carrier (Band n50, 100MHz TDD)</t>
        </is>
      </c>
      <c r="Q798" s="13">
        <f>ROUNDUP(O798/'Methodology &amp; Assumptions'!$B$6, 0)</f>
        <v/>
      </c>
      <c r="R798" s="13" t="n">
        <v>1</v>
      </c>
      <c r="S798" s="14" t="n">
        <v>3.39</v>
      </c>
      <c r="T798" s="14" t="n">
        <v>0.52</v>
      </c>
      <c r="U798" s="26">
        <f>IF(X798&gt;='Methodology &amp; Assumptions'!$B$7, "Tier 1 Critical GIDA (Score ≥ 50.0)", IF(X798&gt;='Methodology &amp; Assumptions'!$B$8, "Tier 2 High GIDA (Score 40.0–49.9)", "Tier 3 Moderate GIDA (Score &lt; 40.0)"))</f>
        <v/>
      </c>
      <c r="V798" s="26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W798" s="28" t="n">
        <v>0.083</v>
      </c>
      <c r="X798" s="14" t="n">
        <v>45.27</v>
      </c>
      <c r="Y798" s="14">
        <f>ROUND(MIN(100, (X798/69.91)*100), 2)</f>
        <v/>
      </c>
    </row>
    <row r="799">
      <c r="A799" s="10" t="n">
        <v>4</v>
      </c>
      <c r="B799" s="10" t="n">
        <v>795</v>
      </c>
      <c r="C799" s="10" t="n">
        <v>3795</v>
      </c>
      <c r="D799" s="10" t="inlineStr">
        <is>
          <t>PH0003795</t>
        </is>
      </c>
      <c r="E799" s="26" t="inlineStr">
        <is>
          <t>VIII</t>
        </is>
      </c>
      <c r="F799" s="26" t="inlineStr">
        <is>
          <t>Leyte</t>
        </is>
      </c>
      <c r="G799" s="26" t="inlineStr">
        <is>
          <t>Tacloban City</t>
        </is>
      </c>
      <c r="H799" s="26" t="inlineStr">
        <is>
          <t>Barangay 37</t>
        </is>
      </c>
      <c r="I799" s="27" t="n">
        <v>11.226996</v>
      </c>
      <c r="J799" s="27" t="n">
        <v>125.036136</v>
      </c>
      <c r="K799" s="10" t="inlineStr">
        <is>
          <t>R</t>
        </is>
      </c>
      <c r="L799" s="12" t="n">
        <v>2258</v>
      </c>
      <c r="M799" s="14" t="n">
        <v>3.8</v>
      </c>
      <c r="N799" s="12">
        <f>ROUND(L799/M799, 0)</f>
        <v/>
      </c>
      <c r="O799" s="12">
        <f>ROUND(N799*'Methodology &amp; Assumptions'!$B$5, 0)</f>
        <v/>
      </c>
      <c r="P799" s="10" t="inlineStr">
        <is>
          <t>Single Carrier (Band n50, 100MHz TDD)</t>
        </is>
      </c>
      <c r="Q799" s="13">
        <f>ROUNDUP(O799/'Methodology &amp; Assumptions'!$B$6, 0)</f>
        <v/>
      </c>
      <c r="R799" s="13" t="n">
        <v>1</v>
      </c>
      <c r="S799" s="14" t="n">
        <v>3.33</v>
      </c>
      <c r="T799" s="14" t="n">
        <v>2.92</v>
      </c>
      <c r="U799" s="26">
        <f>IF(X799&gt;='Methodology &amp; Assumptions'!$B$7, "Tier 1 Critical GIDA (Score ≥ 50.0)", IF(X799&gt;='Methodology &amp; Assumptions'!$B$8, "Tier 2 High GIDA (Score 40.0–49.9)", "Tier 3 Moderate GIDA (Score &lt; 40.0)"))</f>
        <v/>
      </c>
      <c r="V799" s="26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W799" s="28" t="n">
        <v>0.222</v>
      </c>
      <c r="X799" s="14" t="n">
        <v>45.27</v>
      </c>
      <c r="Y799" s="14">
        <f>ROUND(MIN(100, (X799/69.91)*100), 2)</f>
        <v/>
      </c>
    </row>
    <row r="800">
      <c r="A800" s="10" t="n">
        <v>4</v>
      </c>
      <c r="B800" s="10" t="n">
        <v>796</v>
      </c>
      <c r="C800" s="10" t="n">
        <v>3796</v>
      </c>
      <c r="D800" s="10" t="inlineStr">
        <is>
          <t>1907009018</t>
        </is>
      </c>
      <c r="E800" s="26" t="inlineStr">
        <is>
          <t>Bangsamoro Autonomous Region In Muslim Mindanao (BARMM)</t>
        </is>
      </c>
      <c r="F800" s="26" t="inlineStr">
        <is>
          <t>Tawi-Tawi</t>
        </is>
      </c>
      <c r="G800" s="26" t="inlineStr">
        <is>
          <t>Languyan</t>
        </is>
      </c>
      <c r="H800" s="26" t="inlineStr">
        <is>
          <t>Kalupag</t>
        </is>
      </c>
      <c r="I800" s="27" t="n">
        <v>17.25578</v>
      </c>
      <c r="J800" s="27" t="n">
        <v>122.229824</v>
      </c>
      <c r="K800" s="10" t="inlineStr">
        <is>
          <t>R</t>
        </is>
      </c>
      <c r="L800" s="12" t="n">
        <v>1420</v>
      </c>
      <c r="M800" s="14" t="n">
        <v>5.8</v>
      </c>
      <c r="N800" s="12">
        <f>ROUND(L800/M800, 0)</f>
        <v/>
      </c>
      <c r="O800" s="12">
        <f>ROUND(N800*'Methodology &amp; Assumptions'!$B$5, 0)</f>
        <v/>
      </c>
      <c r="P800" s="10" t="inlineStr">
        <is>
          <t>Single Carrier (Band n50, 100MHz TDD)</t>
        </is>
      </c>
      <c r="Q800" s="13">
        <f>ROUNDUP(O800/'Methodology &amp; Assumptions'!$B$6, 0)</f>
        <v/>
      </c>
      <c r="R800" s="13" t="n">
        <v>1</v>
      </c>
      <c r="S800" s="14" t="n">
        <v>29.56</v>
      </c>
      <c r="T800" s="14" t="n">
        <v>34.42</v>
      </c>
      <c r="U800" s="26">
        <f>IF(X800&gt;='Methodology &amp; Assumptions'!$B$7, "Tier 1 Critical GIDA (Score ≥ 50.0)", IF(X800&gt;='Methodology &amp; Assumptions'!$B$8, "Tier 2 High GIDA (Score 40.0–49.9)", "Tier 3 Moderate GIDA (Score &lt; 40.0)"))</f>
        <v/>
      </c>
      <c r="V800" s="26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W800" s="28" t="n">
        <v>0.11</v>
      </c>
      <c r="X800" s="14" t="n">
        <v>45.27</v>
      </c>
      <c r="Y800" s="14">
        <f>ROUND(MIN(100, (X800/69.91)*100), 2)</f>
        <v/>
      </c>
    </row>
    <row r="801">
      <c r="A801" s="10" t="n">
        <v>4</v>
      </c>
      <c r="B801" s="10" t="n">
        <v>797</v>
      </c>
      <c r="C801" s="10" t="n">
        <v>3797</v>
      </c>
      <c r="D801" s="10" t="inlineStr">
        <is>
          <t>0804806014</t>
        </is>
      </c>
      <c r="E801" s="26" t="inlineStr">
        <is>
          <t>Region VIII (Eastern Visayas)</t>
        </is>
      </c>
      <c r="F801" s="26" t="inlineStr">
        <is>
          <t>Northern Samar</t>
        </is>
      </c>
      <c r="G801" s="26" t="inlineStr">
        <is>
          <t>Catubig</t>
        </is>
      </c>
      <c r="H801" s="26" t="inlineStr">
        <is>
          <t>Hiparayan</t>
        </is>
      </c>
      <c r="I801" s="27" t="n">
        <v>12.41902</v>
      </c>
      <c r="J801" s="27" t="n">
        <v>125.03561</v>
      </c>
      <c r="K801" s="10" t="inlineStr">
        <is>
          <t>R</t>
        </is>
      </c>
      <c r="L801" s="12" t="n">
        <v>735</v>
      </c>
      <c r="M801" s="14" t="n">
        <v>4.3</v>
      </c>
      <c r="N801" s="12">
        <f>ROUND(L801/M801, 0)</f>
        <v/>
      </c>
      <c r="O801" s="12">
        <f>ROUND(N801*'Methodology &amp; Assumptions'!$B$5, 0)</f>
        <v/>
      </c>
      <c r="P801" s="10" t="inlineStr">
        <is>
          <t>Single Carrier (Band n50, 100MHz TDD)</t>
        </is>
      </c>
      <c r="Q801" s="13">
        <f>ROUNDUP(O801/'Methodology &amp; Assumptions'!$B$6, 0)</f>
        <v/>
      </c>
      <c r="R801" s="13" t="n">
        <v>1</v>
      </c>
      <c r="S801" s="14" t="n">
        <v>104.03</v>
      </c>
      <c r="T801" s="14" t="n">
        <v>103.26</v>
      </c>
      <c r="U801" s="26">
        <f>IF(X801&gt;='Methodology &amp; Assumptions'!$B$7, "Tier 1 Critical GIDA (Score ≥ 50.0)", IF(X801&gt;='Methodology &amp; Assumptions'!$B$8, "Tier 2 High GIDA (Score 40.0–49.9)", "Tier 3 Moderate GIDA (Score &lt; 40.0)"))</f>
        <v/>
      </c>
      <c r="V801" s="26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W801" s="28" t="n">
        <v>0.237</v>
      </c>
      <c r="X801" s="14" t="n">
        <v>45.26</v>
      </c>
      <c r="Y801" s="14">
        <f>ROUND(MIN(100, (X801/69.91)*100), 2)</f>
        <v/>
      </c>
    </row>
    <row r="802">
      <c r="A802" s="10" t="n">
        <v>4</v>
      </c>
      <c r="B802" s="10" t="n">
        <v>798</v>
      </c>
      <c r="C802" s="10" t="n">
        <v>3798</v>
      </c>
      <c r="D802" s="10" t="inlineStr">
        <is>
          <t>0306916078</t>
        </is>
      </c>
      <c r="E802" s="26" t="inlineStr">
        <is>
          <t>Region III (Central Luzon)</t>
        </is>
      </c>
      <c r="F802" s="26" t="inlineStr">
        <is>
          <t>Tarlac</t>
        </is>
      </c>
      <c r="G802" s="26" t="inlineStr">
        <is>
          <t>City of Tarlac</t>
        </is>
      </c>
      <c r="H802" s="26" t="inlineStr">
        <is>
          <t>Santo Cristo</t>
        </is>
      </c>
      <c r="I802" s="27" t="n">
        <v>15.488271</v>
      </c>
      <c r="J802" s="27" t="n">
        <v>120.594405</v>
      </c>
      <c r="K802" s="10" t="inlineStr">
        <is>
          <t>U</t>
        </is>
      </c>
      <c r="L802" s="12" t="n">
        <v>3012</v>
      </c>
      <c r="M802" s="14" t="n">
        <v>3.9</v>
      </c>
      <c r="N802" s="12">
        <f>ROUND(L802/M802, 0)</f>
        <v/>
      </c>
      <c r="O802" s="12">
        <f>ROUND(N802*'Methodology &amp; Assumptions'!$B$5, 0)</f>
        <v/>
      </c>
      <c r="P802" s="10" t="inlineStr">
        <is>
          <t>Single Carrier (Band n50, 100MHz TDD)</t>
        </is>
      </c>
      <c r="Q802" s="13">
        <f>ROUNDUP(O802/'Methodology &amp; Assumptions'!$B$6, 0)</f>
        <v/>
      </c>
      <c r="R802" s="13" t="n">
        <v>1</v>
      </c>
      <c r="S802" s="14" t="n">
        <v>2.05</v>
      </c>
      <c r="T802" s="14" t="n">
        <v>0.23</v>
      </c>
      <c r="U802" s="26">
        <f>IF(X802&gt;='Methodology &amp; Assumptions'!$B$7, "Tier 1 Critical GIDA (Score ≥ 50.0)", IF(X802&gt;='Methodology &amp; Assumptions'!$B$8, "Tier 2 High GIDA (Score 40.0–49.9)", "Tier 3 Moderate GIDA (Score &lt; 40.0)"))</f>
        <v/>
      </c>
      <c r="V802" s="26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W802" s="28" t="n">
        <v>0.083</v>
      </c>
      <c r="X802" s="14" t="n">
        <v>45.26</v>
      </c>
      <c r="Y802" s="14">
        <f>ROUND(MIN(100, (X802/69.91)*100), 2)</f>
        <v/>
      </c>
    </row>
    <row r="803">
      <c r="A803" s="10" t="n">
        <v>4</v>
      </c>
      <c r="B803" s="10" t="n">
        <v>799</v>
      </c>
      <c r="C803" s="10" t="n">
        <v>3799</v>
      </c>
      <c r="D803" s="10" t="inlineStr">
        <is>
          <t>0804810008</t>
        </is>
      </c>
      <c r="E803" s="26" t="inlineStr">
        <is>
          <t>Region VIII (Eastern Visayas)</t>
        </is>
      </c>
      <c r="F803" s="26" t="inlineStr">
        <is>
          <t>Northern Samar</t>
        </is>
      </c>
      <c r="G803" s="26" t="inlineStr">
        <is>
          <t>Las Navas</t>
        </is>
      </c>
      <c r="H803" s="26" t="inlineStr">
        <is>
          <t>Cuenco</t>
        </is>
      </c>
      <c r="I803" s="27" t="n">
        <v>12.24356</v>
      </c>
      <c r="J803" s="27" t="n">
        <v>124.92253</v>
      </c>
      <c r="K803" s="10" t="inlineStr">
        <is>
          <t>R</t>
        </is>
      </c>
      <c r="L803" s="12" t="n">
        <v>314</v>
      </c>
      <c r="M803" s="14" t="n">
        <v>4.3</v>
      </c>
      <c r="N803" s="12">
        <f>ROUND(L803/M803, 0)</f>
        <v/>
      </c>
      <c r="O803" s="12">
        <f>ROUND(N803*'Methodology &amp; Assumptions'!$B$5, 0)</f>
        <v/>
      </c>
      <c r="P803" s="10" t="inlineStr">
        <is>
          <t>Single Carrier (Band n50, 100MHz TDD)</t>
        </is>
      </c>
      <c r="Q803" s="13">
        <f>ROUNDUP(O803/'Methodology &amp; Assumptions'!$B$6, 0)</f>
        <v/>
      </c>
      <c r="R803" s="13" t="n">
        <v>1</v>
      </c>
      <c r="S803" s="14" t="n">
        <v>98.95999999999999</v>
      </c>
      <c r="T803" s="14" t="n">
        <v>98.86</v>
      </c>
      <c r="U803" s="26">
        <f>IF(X803&gt;='Methodology &amp; Assumptions'!$B$7, "Tier 1 Critical GIDA (Score ≥ 50.0)", IF(X803&gt;='Methodology &amp; Assumptions'!$B$8, "Tier 2 High GIDA (Score 40.0–49.9)", "Tier 3 Moderate GIDA (Score &lt; 40.0)"))</f>
        <v/>
      </c>
      <c r="V803" s="26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W803" s="28" t="n">
        <v>0.237</v>
      </c>
      <c r="X803" s="14" t="n">
        <v>45.26</v>
      </c>
      <c r="Y803" s="14">
        <f>ROUND(MIN(100, (X803/69.91)*100), 2)</f>
        <v/>
      </c>
    </row>
    <row r="804">
      <c r="A804" s="10" t="n">
        <v>4</v>
      </c>
      <c r="B804" s="10" t="n">
        <v>800</v>
      </c>
      <c r="C804" s="10" t="n">
        <v>3800</v>
      </c>
      <c r="D804" s="10" t="inlineStr">
        <is>
          <t>0804822020</t>
        </is>
      </c>
      <c r="E804" s="26" t="inlineStr">
        <is>
          <t>Region VIII (Eastern Visayas)</t>
        </is>
      </c>
      <c r="F804" s="26" t="inlineStr">
        <is>
          <t>Northern Samar</t>
        </is>
      </c>
      <c r="G804" s="26" t="inlineStr">
        <is>
          <t>Silvino Lobos</t>
        </is>
      </c>
      <c r="H804" s="26" t="inlineStr">
        <is>
          <t>San Isidro</t>
        </is>
      </c>
      <c r="I804" s="27" t="n">
        <v>12.28195</v>
      </c>
      <c r="J804" s="27" t="n">
        <v>124.849</v>
      </c>
      <c r="K804" s="10" t="inlineStr">
        <is>
          <t>R</t>
        </is>
      </c>
      <c r="L804" s="12" t="n">
        <v>409</v>
      </c>
      <c r="M804" s="14" t="n">
        <v>4.3</v>
      </c>
      <c r="N804" s="12">
        <f>ROUND(L804/M804, 0)</f>
        <v/>
      </c>
      <c r="O804" s="12">
        <f>ROUND(N804*'Methodology &amp; Assumptions'!$B$5, 0)</f>
        <v/>
      </c>
      <c r="P804" s="10" t="inlineStr">
        <is>
          <t>Single Carrier (Band n50, 100MHz TDD)</t>
        </is>
      </c>
      <c r="Q804" s="13">
        <f>ROUNDUP(O804/'Methodology &amp; Assumptions'!$B$6, 0)</f>
        <v/>
      </c>
      <c r="R804" s="13" t="n">
        <v>1</v>
      </c>
      <c r="S804" s="14" t="n">
        <v>89.94</v>
      </c>
      <c r="T804" s="14" t="n">
        <v>89.8</v>
      </c>
      <c r="U804" s="26">
        <f>IF(X804&gt;='Methodology &amp; Assumptions'!$B$7, "Tier 1 Critical GIDA (Score ≥ 50.0)", IF(X804&gt;='Methodology &amp; Assumptions'!$B$8, "Tier 2 High GIDA (Score 40.0–49.9)", "Tier 3 Moderate GIDA (Score &lt; 40.0)"))</f>
        <v/>
      </c>
      <c r="V804" s="26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W804" s="28" t="n">
        <v>0.237</v>
      </c>
      <c r="X804" s="14" t="n">
        <v>45.25</v>
      </c>
      <c r="Y804" s="14">
        <f>ROUND(MIN(100, (X804/69.91)*100), 2)</f>
        <v/>
      </c>
    </row>
    <row r="805">
      <c r="A805" s="10" t="n">
        <v>4</v>
      </c>
      <c r="B805" s="10" t="n">
        <v>801</v>
      </c>
      <c r="C805" s="10" t="n">
        <v>3801</v>
      </c>
      <c r="D805" s="10" t="inlineStr">
        <is>
          <t>0804806032</t>
        </is>
      </c>
      <c r="E805" s="26" t="inlineStr">
        <is>
          <t>Region VIII (Eastern Visayas)</t>
        </is>
      </c>
      <c r="F805" s="26" t="inlineStr">
        <is>
          <t>Northern Samar</t>
        </is>
      </c>
      <c r="G805" s="26" t="inlineStr">
        <is>
          <t>Catubig</t>
        </is>
      </c>
      <c r="H805" s="26" t="inlineStr">
        <is>
          <t>P. Rebadulla</t>
        </is>
      </c>
      <c r="I805" s="27" t="n">
        <v>12.4545</v>
      </c>
      <c r="J805" s="27" t="n">
        <v>125.08698</v>
      </c>
      <c r="K805" s="10" t="inlineStr">
        <is>
          <t>R</t>
        </is>
      </c>
      <c r="L805" s="12" t="n">
        <v>464</v>
      </c>
      <c r="M805" s="14" t="n">
        <v>4.3</v>
      </c>
      <c r="N805" s="12">
        <f>ROUND(L805/M805, 0)</f>
        <v/>
      </c>
      <c r="O805" s="12">
        <f>ROUND(N805*'Methodology &amp; Assumptions'!$B$5, 0)</f>
        <v/>
      </c>
      <c r="P805" s="10" t="inlineStr">
        <is>
          <t>Single Carrier (Band n50, 100MHz TDD)</t>
        </is>
      </c>
      <c r="Q805" s="13">
        <f>ROUNDUP(O805/'Methodology &amp; Assumptions'!$B$6, 0)</f>
        <v/>
      </c>
      <c r="R805" s="13" t="n">
        <v>1</v>
      </c>
      <c r="S805" s="14" t="n">
        <v>108.6</v>
      </c>
      <c r="T805" s="14" t="n">
        <v>107.77</v>
      </c>
      <c r="U805" s="26">
        <f>IF(X805&gt;='Methodology &amp; Assumptions'!$B$7, "Tier 1 Critical GIDA (Score ≥ 50.0)", IF(X805&gt;='Methodology &amp; Assumptions'!$B$8, "Tier 2 High GIDA (Score 40.0–49.9)", "Tier 3 Moderate GIDA (Score &lt; 40.0)"))</f>
        <v/>
      </c>
      <c r="V805" s="26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W805" s="28" t="n">
        <v>0.237</v>
      </c>
      <c r="X805" s="14" t="n">
        <v>45.25</v>
      </c>
      <c r="Y805" s="14">
        <f>ROUND(MIN(100, (X805/69.91)*100), 2)</f>
        <v/>
      </c>
    </row>
    <row r="806">
      <c r="A806" s="10" t="n">
        <v>4</v>
      </c>
      <c r="B806" s="10" t="n">
        <v>802</v>
      </c>
      <c r="C806" s="10" t="n">
        <v>3802</v>
      </c>
      <c r="D806" s="10" t="inlineStr">
        <is>
          <t>0804822001</t>
        </is>
      </c>
      <c r="E806" s="26" t="inlineStr">
        <is>
          <t>Region VIII (Eastern Visayas)</t>
        </is>
      </c>
      <c r="F806" s="26" t="inlineStr">
        <is>
          <t>Northern Samar</t>
        </is>
      </c>
      <c r="G806" s="26" t="inlineStr">
        <is>
          <t>Silvino Lobos</t>
        </is>
      </c>
      <c r="H806" s="26" t="inlineStr">
        <is>
          <t>Balud</t>
        </is>
      </c>
      <c r="I806" s="27" t="n">
        <v>12.274321</v>
      </c>
      <c r="J806" s="27" t="n">
        <v>124.810121</v>
      </c>
      <c r="K806" s="10" t="inlineStr">
        <is>
          <t>R</t>
        </is>
      </c>
      <c r="L806" s="12" t="n">
        <v>300</v>
      </c>
      <c r="M806" s="14" t="n">
        <v>4.3</v>
      </c>
      <c r="N806" s="12">
        <f>ROUND(L806/M806, 0)</f>
        <v/>
      </c>
      <c r="O806" s="12">
        <f>ROUND(N806*'Methodology &amp; Assumptions'!$B$5, 0)</f>
        <v/>
      </c>
      <c r="P806" s="10" t="inlineStr">
        <is>
          <t>Single Carrier (Band n50, 100MHz TDD)</t>
        </is>
      </c>
      <c r="Q806" s="13">
        <f>ROUNDUP(O806/'Methodology &amp; Assumptions'!$B$6, 0)</f>
        <v/>
      </c>
      <c r="R806" s="13" t="n">
        <v>1</v>
      </c>
      <c r="S806" s="14" t="n">
        <v>86.38</v>
      </c>
      <c r="T806" s="14" t="n">
        <v>86.37</v>
      </c>
      <c r="U806" s="26">
        <f>IF(X806&gt;='Methodology &amp; Assumptions'!$B$7, "Tier 1 Critical GIDA (Score ≥ 50.0)", IF(X806&gt;='Methodology &amp; Assumptions'!$B$8, "Tier 2 High GIDA (Score 40.0–49.9)", "Tier 3 Moderate GIDA (Score &lt; 40.0)"))</f>
        <v/>
      </c>
      <c r="V806" s="26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W806" s="28" t="n">
        <v>0.237</v>
      </c>
      <c r="X806" s="14" t="n">
        <v>45.25</v>
      </c>
      <c r="Y806" s="14">
        <f>ROUND(MIN(100, (X806/69.91)*100), 2)</f>
        <v/>
      </c>
    </row>
    <row r="807">
      <c r="A807" s="10" t="n">
        <v>4</v>
      </c>
      <c r="B807" s="10" t="n">
        <v>803</v>
      </c>
      <c r="C807" s="10" t="n">
        <v>3803</v>
      </c>
      <c r="D807" s="10" t="inlineStr">
        <is>
          <t>0806012012</t>
        </is>
      </c>
      <c r="E807" s="26" t="inlineStr">
        <is>
          <t>Region VIII (Eastern Visayas)</t>
        </is>
      </c>
      <c r="F807" s="26" t="inlineStr">
        <is>
          <t>Samar</t>
        </is>
      </c>
      <c r="G807" s="26" t="inlineStr">
        <is>
          <t>Motiong</t>
        </is>
      </c>
      <c r="H807" s="26" t="inlineStr">
        <is>
          <t>Canatuan</t>
        </is>
      </c>
      <c r="I807" s="27" t="n">
        <v>11.83483</v>
      </c>
      <c r="J807" s="27" t="n">
        <v>125.01457</v>
      </c>
      <c r="K807" s="10" t="inlineStr">
        <is>
          <t>R</t>
        </is>
      </c>
      <c r="L807" s="12" t="n">
        <v>254</v>
      </c>
      <c r="M807" s="14" t="n">
        <v>4.1</v>
      </c>
      <c r="N807" s="12">
        <f>ROUND(L807/M807, 0)</f>
        <v/>
      </c>
      <c r="O807" s="12">
        <f>ROUND(N807*'Methodology &amp; Assumptions'!$B$5, 0)</f>
        <v/>
      </c>
      <c r="P807" s="10" t="inlineStr">
        <is>
          <t>Single Carrier (Band n50, 100MHz TDD)</t>
        </is>
      </c>
      <c r="Q807" s="13">
        <f>ROUNDUP(O807/'Methodology &amp; Assumptions'!$B$6, 0)</f>
        <v/>
      </c>
      <c r="R807" s="13" t="n">
        <v>1</v>
      </c>
      <c r="S807" s="14" t="n">
        <v>66.2</v>
      </c>
      <c r="T807" s="14" t="n">
        <v>69.03</v>
      </c>
      <c r="U807" s="26">
        <f>IF(X807&gt;='Methodology &amp; Assumptions'!$B$7, "Tier 1 Critical GIDA (Score ≥ 50.0)", IF(X807&gt;='Methodology &amp; Assumptions'!$B$8, "Tier 2 High GIDA (Score 40.0–49.9)", "Tier 3 Moderate GIDA (Score &lt; 40.0)"))</f>
        <v/>
      </c>
      <c r="V807" s="26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W807" s="28" t="n">
        <v>0.237</v>
      </c>
      <c r="X807" s="14" t="n">
        <v>45.25</v>
      </c>
      <c r="Y807" s="14">
        <f>ROUND(MIN(100, (X807/69.91)*100), 2)</f>
        <v/>
      </c>
    </row>
    <row r="808">
      <c r="A808" s="10" t="n">
        <v>4</v>
      </c>
      <c r="B808" s="10" t="n">
        <v>804</v>
      </c>
      <c r="C808" s="10" t="n">
        <v>3804</v>
      </c>
      <c r="D808" s="10" t="inlineStr">
        <is>
          <t>0804810038</t>
        </is>
      </c>
      <c r="E808" s="26" t="inlineStr">
        <is>
          <t>Region VIII (Eastern Visayas)</t>
        </is>
      </c>
      <c r="F808" s="26" t="inlineStr">
        <is>
          <t>Northern Samar</t>
        </is>
      </c>
      <c r="G808" s="26" t="inlineStr">
        <is>
          <t>Las Navas</t>
        </is>
      </c>
      <c r="H808" s="26" t="inlineStr">
        <is>
          <t>Rufino</t>
        </is>
      </c>
      <c r="I808" s="27" t="n">
        <v>12.28415</v>
      </c>
      <c r="J808" s="27" t="n">
        <v>124.99168</v>
      </c>
      <c r="K808" s="10" t="inlineStr">
        <is>
          <t>R</t>
        </is>
      </c>
      <c r="L808" s="12" t="n">
        <v>226</v>
      </c>
      <c r="M808" s="14" t="n">
        <v>4.3</v>
      </c>
      <c r="N808" s="12">
        <f>ROUND(L808/M808, 0)</f>
        <v/>
      </c>
      <c r="O808" s="12">
        <f>ROUND(N808*'Methodology &amp; Assumptions'!$B$5, 0)</f>
        <v/>
      </c>
      <c r="P808" s="10" t="inlineStr">
        <is>
          <t>Single Carrier (Band n50, 100MHz TDD)</t>
        </is>
      </c>
      <c r="Q808" s="13">
        <f>ROUNDUP(O808/'Methodology &amp; Assumptions'!$B$6, 0)</f>
        <v/>
      </c>
      <c r="R808" s="13" t="n">
        <v>1</v>
      </c>
      <c r="S808" s="14" t="n">
        <v>104.25</v>
      </c>
      <c r="T808" s="14" t="n">
        <v>103.69</v>
      </c>
      <c r="U808" s="26">
        <f>IF(X808&gt;='Methodology &amp; Assumptions'!$B$7, "Tier 1 Critical GIDA (Score ≥ 50.0)", IF(X808&gt;='Methodology &amp; Assumptions'!$B$8, "Tier 2 High GIDA (Score 40.0–49.9)", "Tier 3 Moderate GIDA (Score &lt; 40.0)"))</f>
        <v/>
      </c>
      <c r="V808" s="26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W808" s="28" t="n">
        <v>0.237</v>
      </c>
      <c r="X808" s="14" t="n">
        <v>45.25</v>
      </c>
      <c r="Y808" s="14">
        <f>ROUND(MIN(100, (X808/69.91)*100), 2)</f>
        <v/>
      </c>
    </row>
    <row r="809">
      <c r="A809" s="10" t="n">
        <v>4</v>
      </c>
      <c r="B809" s="10" t="n">
        <v>805</v>
      </c>
      <c r="C809" s="10" t="n">
        <v>3805</v>
      </c>
      <c r="D809" s="10" t="inlineStr">
        <is>
          <t>PH0003805</t>
        </is>
      </c>
      <c r="E809" s="26" t="inlineStr">
        <is>
          <t>CAR</t>
        </is>
      </c>
      <c r="F809" s="26" t="inlineStr">
        <is>
          <t>Benguet</t>
        </is>
      </c>
      <c r="G809" s="26" t="inlineStr">
        <is>
          <t>Baguio City</t>
        </is>
      </c>
      <c r="H809" s="26" t="inlineStr">
        <is>
          <t>Ferdinand</t>
        </is>
      </c>
      <c r="I809" s="27" t="n">
        <v>16.454371</v>
      </c>
      <c r="J809" s="27" t="n">
        <v>120.53528</v>
      </c>
      <c r="K809" s="10" t="inlineStr">
        <is>
          <t>R</t>
        </is>
      </c>
      <c r="L809" s="12" t="n">
        <v>2260</v>
      </c>
      <c r="M809" s="14" t="n">
        <v>3.5</v>
      </c>
      <c r="N809" s="12">
        <f>ROUND(L809/M809, 0)</f>
        <v/>
      </c>
      <c r="O809" s="12">
        <f>ROUND(N809*'Methodology &amp; Assumptions'!$B$5, 0)</f>
        <v/>
      </c>
      <c r="P809" s="10" t="inlineStr">
        <is>
          <t>Single Carrier (Band n50, 100MHz TDD)</t>
        </is>
      </c>
      <c r="Q809" s="13">
        <f>ROUNDUP(O809/'Methodology &amp; Assumptions'!$B$6, 0)</f>
        <v/>
      </c>
      <c r="R809" s="13" t="n">
        <v>1</v>
      </c>
      <c r="S809" s="14" t="n">
        <v>5.31</v>
      </c>
      <c r="T809" s="14" t="n">
        <v>0.84</v>
      </c>
      <c r="U809" s="26">
        <f>IF(X809&gt;='Methodology &amp; Assumptions'!$B$7, "Tier 1 Critical GIDA (Score ≥ 50.0)", IF(X809&gt;='Methodology &amp; Assumptions'!$B$8, "Tier 2 High GIDA (Score 40.0–49.9)", "Tier 3 Moderate GIDA (Score &lt; 40.0)"))</f>
        <v/>
      </c>
      <c r="V809" s="26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W809" s="28" t="n">
        <v>0.221</v>
      </c>
      <c r="X809" s="14" t="n">
        <v>45.24</v>
      </c>
      <c r="Y809" s="14">
        <f>ROUND(MIN(100, (X809/69.91)*100), 2)</f>
        <v/>
      </c>
    </row>
    <row r="810">
      <c r="A810" s="10" t="n">
        <v>4</v>
      </c>
      <c r="B810" s="10" t="n">
        <v>806</v>
      </c>
      <c r="C810" s="10" t="n">
        <v>3806</v>
      </c>
      <c r="D810" s="10" t="inlineStr">
        <is>
          <t>0403426017</t>
        </is>
      </c>
      <c r="E810" s="26" t="inlineStr">
        <is>
          <t>Region IV-A (CALABARZON)</t>
        </is>
      </c>
      <c r="F810" s="26" t="inlineStr">
        <is>
          <t>Laguna</t>
        </is>
      </c>
      <c r="G810" s="26" t="inlineStr">
        <is>
          <t>Santa Cruz</t>
        </is>
      </c>
      <c r="H810" s="26" t="inlineStr">
        <is>
          <t>Barangay IV</t>
        </is>
      </c>
      <c r="I810" s="27" t="n">
        <v>14.260224</v>
      </c>
      <c r="J810" s="27" t="n">
        <v>121.410805</v>
      </c>
      <c r="K810" s="10" t="inlineStr">
        <is>
          <t>U</t>
        </is>
      </c>
      <c r="L810" s="12" t="n">
        <v>1071</v>
      </c>
      <c r="M810" s="14" t="n">
        <v>3.3</v>
      </c>
      <c r="N810" s="12">
        <f>ROUND(L810/M810, 0)</f>
        <v/>
      </c>
      <c r="O810" s="12">
        <f>ROUND(N810*'Methodology &amp; Assumptions'!$B$5, 0)</f>
        <v/>
      </c>
      <c r="P810" s="10" t="inlineStr">
        <is>
          <t>Single Carrier (Band n50, 100MHz TDD)</t>
        </is>
      </c>
      <c r="Q810" s="13">
        <f>ROUNDUP(O810/'Methodology &amp; Assumptions'!$B$6, 0)</f>
        <v/>
      </c>
      <c r="R810" s="13" t="n">
        <v>1</v>
      </c>
      <c r="S810" s="14" t="n">
        <v>2.11</v>
      </c>
      <c r="T810" s="14" t="n">
        <v>0.71</v>
      </c>
      <c r="U810" s="26">
        <f>IF(X810&gt;='Methodology &amp; Assumptions'!$B$7, "Tier 1 Critical GIDA (Score ≥ 50.0)", IF(X810&gt;='Methodology &amp; Assumptions'!$B$8, "Tier 2 High GIDA (Score 40.0–49.9)", "Tier 3 Moderate GIDA (Score &lt; 40.0)"))</f>
        <v/>
      </c>
      <c r="V810" s="26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W810" s="28" t="n">
        <v>0.07200000000000001</v>
      </c>
      <c r="X810" s="14" t="n">
        <v>45.24</v>
      </c>
      <c r="Y810" s="14">
        <f>ROUND(MIN(100, (X810/69.91)*100), 2)</f>
        <v/>
      </c>
    </row>
    <row r="811">
      <c r="A811" s="10" t="n">
        <v>4</v>
      </c>
      <c r="B811" s="10" t="n">
        <v>807</v>
      </c>
      <c r="C811" s="10" t="n">
        <v>3807</v>
      </c>
      <c r="D811" s="10" t="inlineStr">
        <is>
          <t>0702216003</t>
        </is>
      </c>
      <c r="E811" s="26" t="inlineStr">
        <is>
          <t>Region VII (Central Visayas)</t>
        </is>
      </c>
      <c r="F811" s="26" t="inlineStr">
        <is>
          <t>Cebu</t>
        </is>
      </c>
      <c r="G811" s="26" t="inlineStr">
        <is>
          <t>Catmon</t>
        </is>
      </c>
      <c r="H811" s="26" t="inlineStr">
        <is>
          <t>Anapog</t>
        </is>
      </c>
      <c r="I811" s="27" t="n">
        <v>10.661694</v>
      </c>
      <c r="J811" s="27" t="n">
        <v>123.907127</v>
      </c>
      <c r="K811" s="10" t="inlineStr">
        <is>
          <t>R</t>
        </is>
      </c>
      <c r="L811" s="12" t="n">
        <v>287</v>
      </c>
      <c r="M811" s="14" t="n">
        <v>3.8</v>
      </c>
      <c r="N811" s="12">
        <f>ROUND(L811/M811, 0)</f>
        <v/>
      </c>
      <c r="O811" s="12">
        <f>ROUND(N811*'Methodology &amp; Assumptions'!$B$5, 0)</f>
        <v/>
      </c>
      <c r="P811" s="10" t="inlineStr">
        <is>
          <t>Single Carrier (Band n50, 100MHz TDD)</t>
        </is>
      </c>
      <c r="Q811" s="13">
        <f>ROUNDUP(O811/'Methodology &amp; Assumptions'!$B$6, 0)</f>
        <v/>
      </c>
      <c r="R811" s="13" t="n">
        <v>1</v>
      </c>
      <c r="S811" s="14" t="n">
        <v>12.21</v>
      </c>
      <c r="T811" s="14" t="n">
        <v>11.03</v>
      </c>
      <c r="U811" s="26">
        <f>IF(X811&gt;='Methodology &amp; Assumptions'!$B$7, "Tier 1 Critical GIDA (Score ≥ 50.0)", IF(X811&gt;='Methodology &amp; Assumptions'!$B$8, "Tier 2 High GIDA (Score 40.0–49.9)", "Tier 3 Moderate GIDA (Score &lt; 40.0)"))</f>
        <v/>
      </c>
      <c r="V811" s="26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W811" s="28" t="n">
        <v>0.237</v>
      </c>
      <c r="X811" s="14" t="n">
        <v>45.24</v>
      </c>
      <c r="Y811" s="14">
        <f>ROUND(MIN(100, (X811/69.91)*100), 2)</f>
        <v/>
      </c>
    </row>
    <row r="812">
      <c r="A812" s="10" t="n">
        <v>4</v>
      </c>
      <c r="B812" s="10" t="n">
        <v>808</v>
      </c>
      <c r="C812" s="10" t="n">
        <v>3808</v>
      </c>
      <c r="D812" s="10" t="inlineStr">
        <is>
          <t>0504103024</t>
        </is>
      </c>
      <c r="E812" s="26" t="inlineStr">
        <is>
          <t>Region V (Bicol Region)</t>
        </is>
      </c>
      <c r="F812" s="26" t="inlineStr">
        <is>
          <t>Masbate</t>
        </is>
      </c>
      <c r="G812" s="26" t="inlineStr">
        <is>
          <t>Balud</t>
        </is>
      </c>
      <c r="H812" s="26" t="inlineStr">
        <is>
          <t>Sampad</t>
        </is>
      </c>
      <c r="I812" s="27" t="n">
        <v>11.987131</v>
      </c>
      <c r="J812" s="27" t="n">
        <v>123.212268</v>
      </c>
      <c r="K812" s="10" t="inlineStr">
        <is>
          <t>R</t>
        </is>
      </c>
      <c r="L812" s="12" t="n">
        <v>503</v>
      </c>
      <c r="M812" s="14" t="n">
        <v>4.1</v>
      </c>
      <c r="N812" s="12">
        <f>ROUND(L812/M812, 0)</f>
        <v/>
      </c>
      <c r="O812" s="12">
        <f>ROUND(N812*'Methodology &amp; Assumptions'!$B$5, 0)</f>
        <v/>
      </c>
      <c r="P812" s="10" t="inlineStr">
        <is>
          <t>Single Carrier (Band n50, 100MHz TDD)</t>
        </is>
      </c>
      <c r="Q812" s="13">
        <f>ROUNDUP(O812/'Methodology &amp; Assumptions'!$B$6, 0)</f>
        <v/>
      </c>
      <c r="R812" s="13" t="n">
        <v>1</v>
      </c>
      <c r="S812" s="14" t="n">
        <v>9.68</v>
      </c>
      <c r="T812" s="14" t="n">
        <v>10.74</v>
      </c>
      <c r="U812" s="26">
        <f>IF(X812&gt;='Methodology &amp; Assumptions'!$B$7, "Tier 1 Critical GIDA (Score ≥ 50.0)", IF(X812&gt;='Methodology &amp; Assumptions'!$B$8, "Tier 2 High GIDA (Score 40.0–49.9)", "Tier 3 Moderate GIDA (Score &lt; 40.0)"))</f>
        <v/>
      </c>
      <c r="V812" s="26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W812" s="28" t="n">
        <v>0.237</v>
      </c>
      <c r="X812" s="14" t="n">
        <v>45.23</v>
      </c>
      <c r="Y812" s="14">
        <f>ROUND(MIN(100, (X812/69.91)*100), 2)</f>
        <v/>
      </c>
    </row>
    <row r="813">
      <c r="A813" s="10" t="n">
        <v>4</v>
      </c>
      <c r="B813" s="10" t="n">
        <v>809</v>
      </c>
      <c r="C813" s="10" t="n">
        <v>3809</v>
      </c>
      <c r="D813" s="10" t="inlineStr">
        <is>
          <t>0305412021</t>
        </is>
      </c>
      <c r="E813" s="26" t="inlineStr">
        <is>
          <t>Region III (Central Luzon)</t>
        </is>
      </c>
      <c r="F813" s="26" t="inlineStr">
        <is>
          <t>Pampanga</t>
        </is>
      </c>
      <c r="G813" s="26" t="inlineStr">
        <is>
          <t>Masantol</t>
        </is>
      </c>
      <c r="H813" s="26" t="inlineStr">
        <is>
          <t>Sta. Cruz</t>
        </is>
      </c>
      <c r="I813" s="27" t="n">
        <v>14.866932</v>
      </c>
      <c r="J813" s="27" t="n">
        <v>120.694846</v>
      </c>
      <c r="K813" s="10" t="inlineStr">
        <is>
          <t>R</t>
        </is>
      </c>
      <c r="L813" s="12" t="n">
        <v>2602</v>
      </c>
      <c r="M813" s="14" t="n">
        <v>4</v>
      </c>
      <c r="N813" s="12">
        <f>ROUND(L813/M813, 0)</f>
        <v/>
      </c>
      <c r="O813" s="12">
        <f>ROUND(N813*'Methodology &amp; Assumptions'!$B$5, 0)</f>
        <v/>
      </c>
      <c r="P813" s="10" t="inlineStr">
        <is>
          <t>Single Carrier (Band n50, 100MHz TDD)</t>
        </is>
      </c>
      <c r="Q813" s="13">
        <f>ROUNDUP(O813/'Methodology &amp; Assumptions'!$B$6, 0)</f>
        <v/>
      </c>
      <c r="R813" s="13" t="n">
        <v>1</v>
      </c>
      <c r="S813" s="14" t="n">
        <v>3.01</v>
      </c>
      <c r="T813" s="14" t="n">
        <v>3.59</v>
      </c>
      <c r="U813" s="26">
        <f>IF(X813&gt;='Methodology &amp; Assumptions'!$B$7, "Tier 1 Critical GIDA (Score ≥ 50.0)", IF(X813&gt;='Methodology &amp; Assumptions'!$B$8, "Tier 2 High GIDA (Score 40.0–49.9)", "Tier 3 Moderate GIDA (Score &lt; 40.0)"))</f>
        <v/>
      </c>
      <c r="V813" s="26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W813" s="28" t="n">
        <v>0.083</v>
      </c>
      <c r="X813" s="14" t="n">
        <v>45.23</v>
      </c>
      <c r="Y813" s="14">
        <f>ROUND(MIN(100, (X813/69.91)*100), 2)</f>
        <v/>
      </c>
    </row>
    <row r="814">
      <c r="A814" s="10" t="n">
        <v>4</v>
      </c>
      <c r="B814" s="10" t="n">
        <v>810</v>
      </c>
      <c r="C814" s="10" t="n">
        <v>3810</v>
      </c>
      <c r="D814" s="10" t="inlineStr">
        <is>
          <t>1408101005</t>
        </is>
      </c>
      <c r="E814" s="26" t="inlineStr">
        <is>
          <t>Cordillera Administrative Region (CAR)</t>
        </is>
      </c>
      <c r="F814" s="26" t="inlineStr">
        <is>
          <t>Apayao</t>
        </is>
      </c>
      <c r="G814" s="26" t="inlineStr">
        <is>
          <t>Calanasan</t>
        </is>
      </c>
      <c r="H814" s="26" t="inlineStr">
        <is>
          <t>Naguilian</t>
        </is>
      </c>
      <c r="I814" s="27" t="n">
        <v>18.289575</v>
      </c>
      <c r="J814" s="27" t="n">
        <v>121.031653</v>
      </c>
      <c r="K814" s="10" t="inlineStr">
        <is>
          <t>R</t>
        </is>
      </c>
      <c r="L814" s="12" t="n">
        <v>388</v>
      </c>
      <c r="M814" s="14" t="n">
        <v>4.2</v>
      </c>
      <c r="N814" s="12">
        <f>ROUND(L814/M814, 0)</f>
        <v/>
      </c>
      <c r="O814" s="12">
        <f>ROUND(N814*'Methodology &amp; Assumptions'!$B$5, 0)</f>
        <v/>
      </c>
      <c r="P814" s="10" t="inlineStr">
        <is>
          <t>Single Carrier (Band n50, 100MHz TDD)</t>
        </is>
      </c>
      <c r="Q814" s="13">
        <f>ROUNDUP(O814/'Methodology &amp; Assumptions'!$B$6, 0)</f>
        <v/>
      </c>
      <c r="R814" s="13" t="n">
        <v>1</v>
      </c>
      <c r="S814" s="14" t="n">
        <v>30.51</v>
      </c>
      <c r="T814" s="14" t="n">
        <v>28.55</v>
      </c>
      <c r="U814" s="26">
        <f>IF(X814&gt;='Methodology &amp; Assumptions'!$B$7, "Tier 1 Critical GIDA (Score ≥ 50.0)", IF(X814&gt;='Methodology &amp; Assumptions'!$B$8, "Tier 2 High GIDA (Score 40.0–49.9)", "Tier 3 Moderate GIDA (Score &lt; 40.0)"))</f>
        <v/>
      </c>
      <c r="V814" s="26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W814" s="28" t="n">
        <v>0.109</v>
      </c>
      <c r="X814" s="14" t="n">
        <v>45.23</v>
      </c>
      <c r="Y814" s="14">
        <f>ROUND(MIN(100, (X814/69.91)*100), 2)</f>
        <v/>
      </c>
    </row>
    <row r="815">
      <c r="A815" s="10" t="n">
        <v>4</v>
      </c>
      <c r="B815" s="10" t="n">
        <v>811</v>
      </c>
      <c r="C815" s="10" t="n">
        <v>3811</v>
      </c>
      <c r="D815" s="10" t="inlineStr">
        <is>
          <t>1906612006</t>
        </is>
      </c>
      <c r="E815" s="26" t="inlineStr">
        <is>
          <t>Bangsamoro Autonomous Region In Muslim Mindanao (BARMM)</t>
        </is>
      </c>
      <c r="F815" s="26" t="inlineStr">
        <is>
          <t>Sulu</t>
        </is>
      </c>
      <c r="G815" s="26" t="inlineStr">
        <is>
          <t>Siasi</t>
        </is>
      </c>
      <c r="H815" s="26" t="inlineStr">
        <is>
          <t>Bulansing Tara</t>
        </is>
      </c>
      <c r="I815" s="27" t="n">
        <v>16.380592</v>
      </c>
      <c r="J815" s="27" t="n">
        <v>122.117458</v>
      </c>
      <c r="K815" s="10" t="inlineStr">
        <is>
          <t>R</t>
        </is>
      </c>
      <c r="L815" s="12" t="n">
        <v>866</v>
      </c>
      <c r="M815" s="14" t="n">
        <v>6</v>
      </c>
      <c r="N815" s="12">
        <f>ROUND(L815/M815, 0)</f>
        <v/>
      </c>
      <c r="O815" s="12">
        <f>ROUND(N815*'Methodology &amp; Assumptions'!$B$5, 0)</f>
        <v/>
      </c>
      <c r="P815" s="10" t="inlineStr">
        <is>
          <t>Single Carrier (Band n50, 100MHz TDD)</t>
        </is>
      </c>
      <c r="Q815" s="13">
        <f>ROUNDUP(O815/'Methodology &amp; Assumptions'!$B$6, 0)</f>
        <v/>
      </c>
      <c r="R815" s="13" t="n">
        <v>1</v>
      </c>
      <c r="S815" s="14" t="n">
        <v>8.76</v>
      </c>
      <c r="T815" s="14" t="n">
        <v>3.02</v>
      </c>
      <c r="U815" s="26">
        <f>IF(X815&gt;='Methodology &amp; Assumptions'!$B$7, "Tier 1 Critical GIDA (Score ≥ 50.0)", IF(X815&gt;='Methodology &amp; Assumptions'!$B$8, "Tier 2 High GIDA (Score 40.0–49.9)", "Tier 3 Moderate GIDA (Score &lt; 40.0)"))</f>
        <v/>
      </c>
      <c r="V815" s="26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W815" s="28" t="n">
        <v>0.11</v>
      </c>
      <c r="X815" s="14" t="n">
        <v>45.22</v>
      </c>
      <c r="Y815" s="14">
        <f>ROUND(MIN(100, (X815/69.91)*100), 2)</f>
        <v/>
      </c>
    </row>
    <row r="816">
      <c r="A816" s="10" t="n">
        <v>4</v>
      </c>
      <c r="B816" s="10" t="n">
        <v>812</v>
      </c>
      <c r="C816" s="10" t="n">
        <v>3812</v>
      </c>
      <c r="D816" s="10" t="inlineStr">
        <is>
          <t>PH0003812</t>
        </is>
      </c>
      <c r="E816" s="26" t="inlineStr">
        <is>
          <t>I</t>
        </is>
      </c>
      <c r="F816" s="26" t="inlineStr">
        <is>
          <t>Ilocos Norte</t>
        </is>
      </c>
      <c r="G816" s="26" t="inlineStr">
        <is>
          <t>Laoag City</t>
        </is>
      </c>
      <c r="H816" s="26" t="inlineStr">
        <is>
          <t>Bgy. No. 8, San Vicente (Pob.)</t>
        </is>
      </c>
      <c r="I816" s="27" t="n">
        <v>18.184587</v>
      </c>
      <c r="J816" s="27" t="n">
        <v>120.56614</v>
      </c>
      <c r="K816" s="10" t="inlineStr">
        <is>
          <t>R</t>
        </is>
      </c>
      <c r="L816" s="12" t="n">
        <v>2233</v>
      </c>
      <c r="M816" s="14" t="n">
        <v>3.7</v>
      </c>
      <c r="N816" s="12">
        <f>ROUND(L816/M816, 0)</f>
        <v/>
      </c>
      <c r="O816" s="12">
        <f>ROUND(N816*'Methodology &amp; Assumptions'!$B$5, 0)</f>
        <v/>
      </c>
      <c r="P816" s="10" t="inlineStr">
        <is>
          <t>Single Carrier (Band n50, 100MHz TDD)</t>
        </is>
      </c>
      <c r="Q816" s="13">
        <f>ROUNDUP(O816/'Methodology &amp; Assumptions'!$B$6, 0)</f>
        <v/>
      </c>
      <c r="R816" s="13" t="n">
        <v>1</v>
      </c>
      <c r="S816" s="14" t="n">
        <v>3.17</v>
      </c>
      <c r="T816" s="14" t="n">
        <v>2.5</v>
      </c>
      <c r="U816" s="26">
        <f>IF(X816&gt;='Methodology &amp; Assumptions'!$B$7, "Tier 1 Critical GIDA (Score ≥ 50.0)", IF(X816&gt;='Methodology &amp; Assumptions'!$B$8, "Tier 2 High GIDA (Score 40.0–49.9)", "Tier 3 Moderate GIDA (Score &lt; 40.0)"))</f>
        <v/>
      </c>
      <c r="V816" s="26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W816" s="28" t="n">
        <v>0.083</v>
      </c>
      <c r="X816" s="14" t="n">
        <v>45.21</v>
      </c>
      <c r="Y816" s="14">
        <f>ROUND(MIN(100, (X816/69.91)*100), 2)</f>
        <v/>
      </c>
    </row>
    <row r="817">
      <c r="A817" s="10" t="n">
        <v>4</v>
      </c>
      <c r="B817" s="10" t="n">
        <v>813</v>
      </c>
      <c r="C817" s="10" t="n">
        <v>3813</v>
      </c>
      <c r="D817" s="10" t="inlineStr">
        <is>
          <t>0804824004</t>
        </is>
      </c>
      <c r="E817" s="26" t="inlineStr">
        <is>
          <t>Region VIII (Eastern Visayas)</t>
        </is>
      </c>
      <c r="F817" s="26" t="inlineStr">
        <is>
          <t>Northern Samar</t>
        </is>
      </c>
      <c r="G817" s="26" t="inlineStr">
        <is>
          <t>Lope De Vega</t>
        </is>
      </c>
      <c r="H817" s="26" t="inlineStr">
        <is>
          <t>Cag-aguingay</t>
        </is>
      </c>
      <c r="I817" s="27" t="n">
        <v>12.35228</v>
      </c>
      <c r="J817" s="27" t="n">
        <v>124.58391</v>
      </c>
      <c r="K817" s="10" t="inlineStr">
        <is>
          <t>R</t>
        </is>
      </c>
      <c r="L817" s="12" t="n">
        <v>346</v>
      </c>
      <c r="M817" s="14" t="n">
        <v>4.3</v>
      </c>
      <c r="N817" s="12">
        <f>ROUND(L817/M817, 0)</f>
        <v/>
      </c>
      <c r="O817" s="12">
        <f>ROUND(N817*'Methodology &amp; Assumptions'!$B$5, 0)</f>
        <v/>
      </c>
      <c r="P817" s="10" t="inlineStr">
        <is>
          <t>Single Carrier (Band n50, 100MHz TDD)</t>
        </is>
      </c>
      <c r="Q817" s="13">
        <f>ROUNDUP(O817/'Methodology &amp; Assumptions'!$B$6, 0)</f>
        <v/>
      </c>
      <c r="R817" s="13" t="n">
        <v>1</v>
      </c>
      <c r="S817" s="14" t="n">
        <v>60.43</v>
      </c>
      <c r="T817" s="14" t="n">
        <v>60.42</v>
      </c>
      <c r="U817" s="26">
        <f>IF(X817&gt;='Methodology &amp; Assumptions'!$B$7, "Tier 1 Critical GIDA (Score ≥ 50.0)", IF(X817&gt;='Methodology &amp; Assumptions'!$B$8, "Tier 2 High GIDA (Score 40.0–49.9)", "Tier 3 Moderate GIDA (Score &lt; 40.0)"))</f>
        <v/>
      </c>
      <c r="V817" s="26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W817" s="28" t="n">
        <v>0.237</v>
      </c>
      <c r="X817" s="14" t="n">
        <v>45.21</v>
      </c>
      <c r="Y817" s="14">
        <f>ROUND(MIN(100, (X817/69.91)*100), 2)</f>
        <v/>
      </c>
    </row>
    <row r="818">
      <c r="A818" s="10" t="n">
        <v>4</v>
      </c>
      <c r="B818" s="10" t="n">
        <v>814</v>
      </c>
      <c r="C818" s="10" t="n">
        <v>3814</v>
      </c>
      <c r="D818" s="10" t="inlineStr">
        <is>
          <t>0402106077</t>
        </is>
      </c>
      <c r="E818" s="26" t="inlineStr">
        <is>
          <t>Region IV-A (CALABARZON)</t>
        </is>
      </c>
      <c r="F818" s="26" t="inlineStr">
        <is>
          <t>Cavite</t>
        </is>
      </c>
      <c r="G818" s="26" t="inlineStr">
        <is>
          <t>City of Dasmariñas</t>
        </is>
      </c>
      <c r="H818" s="26" t="inlineStr">
        <is>
          <t>Santa Cruz II</t>
        </is>
      </c>
      <c r="I818" s="27" t="n">
        <v>14.352238</v>
      </c>
      <c r="J818" s="27" t="n">
        <v>120.980853</v>
      </c>
      <c r="K818" s="10" t="inlineStr">
        <is>
          <t>R</t>
        </is>
      </c>
      <c r="L818" s="12" t="n">
        <v>2251</v>
      </c>
      <c r="M818" s="14" t="n">
        <v>3.4</v>
      </c>
      <c r="N818" s="12">
        <f>ROUND(L818/M818, 0)</f>
        <v/>
      </c>
      <c r="O818" s="12">
        <f>ROUND(N818*'Methodology &amp; Assumptions'!$B$5, 0)</f>
        <v/>
      </c>
      <c r="P818" s="10" t="inlineStr">
        <is>
          <t>Single Carrier (Band n50, 100MHz TDD)</t>
        </is>
      </c>
      <c r="Q818" s="13">
        <f>ROUNDUP(O818/'Methodology &amp; Assumptions'!$B$6, 0)</f>
        <v/>
      </c>
      <c r="R818" s="13" t="n">
        <v>1</v>
      </c>
      <c r="S818" s="14" t="n">
        <v>3.06</v>
      </c>
      <c r="T818" s="14" t="n">
        <v>3.06</v>
      </c>
      <c r="U818" s="26">
        <f>IF(X818&gt;='Methodology &amp; Assumptions'!$B$7, "Tier 1 Critical GIDA (Score ≥ 50.0)", IF(X818&gt;='Methodology &amp; Assumptions'!$B$8, "Tier 2 High GIDA (Score 40.0–49.9)", "Tier 3 Moderate GIDA (Score &lt; 40.0)"))</f>
        <v/>
      </c>
      <c r="V818" s="26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W818" s="28" t="n">
        <v>0.07200000000000001</v>
      </c>
      <c r="X818" s="14" t="n">
        <v>45.21</v>
      </c>
      <c r="Y818" s="14">
        <f>ROUND(MIN(100, (X818/69.91)*100), 2)</f>
        <v/>
      </c>
    </row>
    <row r="819">
      <c r="A819" s="10" t="n">
        <v>4</v>
      </c>
      <c r="B819" s="10" t="n">
        <v>815</v>
      </c>
      <c r="C819" s="10" t="n">
        <v>3815</v>
      </c>
      <c r="D819" s="10" t="inlineStr">
        <is>
          <t>0806013002</t>
        </is>
      </c>
      <c r="E819" s="26" t="inlineStr">
        <is>
          <t>Region VIII (Eastern Visayas)</t>
        </is>
      </c>
      <c r="F819" s="26" t="inlineStr">
        <is>
          <t>Samar</t>
        </is>
      </c>
      <c r="G819" s="26" t="inlineStr">
        <is>
          <t>Pinabacdao</t>
        </is>
      </c>
      <c r="H819" s="26" t="inlineStr">
        <is>
          <t>Barangay I</t>
        </is>
      </c>
      <c r="I819" s="27" t="n">
        <v>11.612744</v>
      </c>
      <c r="J819" s="27" t="n">
        <v>124.984592</v>
      </c>
      <c r="K819" s="10" t="inlineStr">
        <is>
          <t>R</t>
        </is>
      </c>
      <c r="L819" s="12" t="n">
        <v>680</v>
      </c>
      <c r="M819" s="14" t="n">
        <v>4.1</v>
      </c>
      <c r="N819" s="12">
        <f>ROUND(L819/M819, 0)</f>
        <v/>
      </c>
      <c r="O819" s="12">
        <f>ROUND(N819*'Methodology &amp; Assumptions'!$B$5, 0)</f>
        <v/>
      </c>
      <c r="P819" s="10" t="inlineStr">
        <is>
          <t>Single Carrier (Band n50, 100MHz TDD)</t>
        </is>
      </c>
      <c r="Q819" s="13">
        <f>ROUNDUP(O819/'Methodology &amp; Assumptions'!$B$6, 0)</f>
        <v/>
      </c>
      <c r="R819" s="13" t="n">
        <v>1</v>
      </c>
      <c r="S819" s="14" t="n">
        <v>41.54</v>
      </c>
      <c r="T819" s="14" t="n">
        <v>44.59</v>
      </c>
      <c r="U819" s="26">
        <f>IF(X819&gt;='Methodology &amp; Assumptions'!$B$7, "Tier 1 Critical GIDA (Score ≥ 50.0)", IF(X819&gt;='Methodology &amp; Assumptions'!$B$8, "Tier 2 High GIDA (Score 40.0–49.9)", "Tier 3 Moderate GIDA (Score &lt; 40.0)"))</f>
        <v/>
      </c>
      <c r="V819" s="26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W819" s="28" t="n">
        <v>0.237</v>
      </c>
      <c r="X819" s="14" t="n">
        <v>45.21</v>
      </c>
      <c r="Y819" s="14">
        <f>ROUND(MIN(100, (X819/69.91)*100), 2)</f>
        <v/>
      </c>
    </row>
    <row r="820">
      <c r="A820" s="10" t="n">
        <v>4</v>
      </c>
      <c r="B820" s="10" t="n">
        <v>816</v>
      </c>
      <c r="C820" s="10" t="n">
        <v>3816</v>
      </c>
      <c r="D820" s="10" t="inlineStr">
        <is>
          <t>0804806023</t>
        </is>
      </c>
      <c r="E820" s="26" t="inlineStr">
        <is>
          <t>Region VIII (Eastern Visayas)</t>
        </is>
      </c>
      <c r="F820" s="26" t="inlineStr">
        <is>
          <t>Northern Samar</t>
        </is>
      </c>
      <c r="G820" s="26" t="inlineStr">
        <is>
          <t>Catubig</t>
        </is>
      </c>
      <c r="H820" s="26" t="inlineStr">
        <is>
          <t>Magongon</t>
        </is>
      </c>
      <c r="I820" s="27" t="n">
        <v>12.370023</v>
      </c>
      <c r="J820" s="27" t="n">
        <v>125.042907</v>
      </c>
      <c r="K820" s="10" t="inlineStr">
        <is>
          <t>R</t>
        </is>
      </c>
      <c r="L820" s="12" t="n">
        <v>451</v>
      </c>
      <c r="M820" s="14" t="n">
        <v>4.3</v>
      </c>
      <c r="N820" s="12">
        <f>ROUND(L820/M820, 0)</f>
        <v/>
      </c>
      <c r="O820" s="12">
        <f>ROUND(N820*'Methodology &amp; Assumptions'!$B$5, 0)</f>
        <v/>
      </c>
      <c r="P820" s="10" t="inlineStr">
        <is>
          <t>Single Carrier (Band n50, 100MHz TDD)</t>
        </is>
      </c>
      <c r="Q820" s="13">
        <f>ROUNDUP(O820/'Methodology &amp; Assumptions'!$B$6, 0)</f>
        <v/>
      </c>
      <c r="R820" s="13" t="n">
        <v>1</v>
      </c>
      <c r="S820" s="14" t="n">
        <v>106.25</v>
      </c>
      <c r="T820" s="14" t="n">
        <v>105.54</v>
      </c>
      <c r="U820" s="26">
        <f>IF(X820&gt;='Methodology &amp; Assumptions'!$B$7, "Tier 1 Critical GIDA (Score ≥ 50.0)", IF(X820&gt;='Methodology &amp; Assumptions'!$B$8, "Tier 2 High GIDA (Score 40.0–49.9)", "Tier 3 Moderate GIDA (Score &lt; 40.0)"))</f>
        <v/>
      </c>
      <c r="V820" s="26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W820" s="28" t="n">
        <v>0.237</v>
      </c>
      <c r="X820" s="14" t="n">
        <v>45.21</v>
      </c>
      <c r="Y820" s="14">
        <f>ROUND(MIN(100, (X820/69.91)*100), 2)</f>
        <v/>
      </c>
    </row>
    <row r="821">
      <c r="A821" s="10" t="n">
        <v>4</v>
      </c>
      <c r="B821" s="10" t="n">
        <v>817</v>
      </c>
      <c r="C821" s="10" t="n">
        <v>3817</v>
      </c>
      <c r="D821" s="10" t="inlineStr">
        <is>
          <t>1003523021</t>
        </is>
      </c>
      <c r="E821" s="26" t="inlineStr">
        <is>
          <t>Region X (Northern Mindanao)</t>
        </is>
      </c>
      <c r="F821" s="26" t="inlineStr">
        <is>
          <t>Lanao del Norte</t>
        </is>
      </c>
      <c r="G821" s="26" t="inlineStr">
        <is>
          <t>Pantar</t>
        </is>
      </c>
      <c r="H821" s="26" t="inlineStr">
        <is>
          <t>Pitubo</t>
        </is>
      </c>
      <c r="I821" s="27" t="n">
        <v>8.077999</v>
      </c>
      <c r="J821" s="27" t="n">
        <v>124.258795</v>
      </c>
      <c r="K821" s="10" t="inlineStr">
        <is>
          <t>R</t>
        </is>
      </c>
      <c r="L821" s="12" t="n">
        <v>768</v>
      </c>
      <c r="M821" s="14" t="n">
        <v>4.2</v>
      </c>
      <c r="N821" s="12">
        <f>ROUND(L821/M821, 0)</f>
        <v/>
      </c>
      <c r="O821" s="12">
        <f>ROUND(N821*'Methodology &amp; Assumptions'!$B$5, 0)</f>
        <v/>
      </c>
      <c r="P821" s="10" t="inlineStr">
        <is>
          <t>Single Carrier (Band n50, 100MHz TDD)</t>
        </is>
      </c>
      <c r="Q821" s="13">
        <f>ROUNDUP(O821/'Methodology &amp; Assumptions'!$B$6, 0)</f>
        <v/>
      </c>
      <c r="R821" s="13" t="n">
        <v>1</v>
      </c>
      <c r="S821" s="14" t="n">
        <v>7.75</v>
      </c>
      <c r="T821" s="14" t="n">
        <v>0.79</v>
      </c>
      <c r="U821" s="26">
        <f>IF(X821&gt;='Methodology &amp; Assumptions'!$B$7, "Tier 1 Critical GIDA (Score ≥ 50.0)", IF(X821&gt;='Methodology &amp; Assumptions'!$B$8, "Tier 2 High GIDA (Score 40.0–49.9)", "Tier 3 Moderate GIDA (Score &lt; 40.0)"))</f>
        <v/>
      </c>
      <c r="V821" s="26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W821" s="28" t="n">
        <v>0.174</v>
      </c>
      <c r="X821" s="14" t="n">
        <v>45.2</v>
      </c>
      <c r="Y821" s="14">
        <f>ROUND(MIN(100, (X821/69.91)*100), 2)</f>
        <v/>
      </c>
    </row>
    <row r="822">
      <c r="A822" s="10" t="n">
        <v>4</v>
      </c>
      <c r="B822" s="10" t="n">
        <v>818</v>
      </c>
      <c r="C822" s="10" t="n">
        <v>3818</v>
      </c>
      <c r="D822" s="10" t="inlineStr">
        <is>
          <t>0804810047</t>
        </is>
      </c>
      <c r="E822" s="26" t="inlineStr">
        <is>
          <t>Region VIII (Eastern Visayas)</t>
        </is>
      </c>
      <c r="F822" s="26" t="inlineStr">
        <is>
          <t>Northern Samar</t>
        </is>
      </c>
      <c r="G822" s="26" t="inlineStr">
        <is>
          <t>Las Navas</t>
        </is>
      </c>
      <c r="H822" s="26" t="inlineStr">
        <is>
          <t>San Jose</t>
        </is>
      </c>
      <c r="I822" s="27" t="n">
        <v>12.26626</v>
      </c>
      <c r="J822" s="27" t="n">
        <v>125.03299</v>
      </c>
      <c r="K822" s="10" t="inlineStr">
        <is>
          <t>R</t>
        </is>
      </c>
      <c r="L822" s="12" t="n">
        <v>259</v>
      </c>
      <c r="M822" s="14" t="n">
        <v>4.3</v>
      </c>
      <c r="N822" s="12">
        <f>ROUND(L822/M822, 0)</f>
        <v/>
      </c>
      <c r="O822" s="12">
        <f>ROUND(N822*'Methodology &amp; Assumptions'!$B$5, 0)</f>
        <v/>
      </c>
      <c r="P822" s="10" t="inlineStr">
        <is>
          <t>Single Carrier (Band n50, 100MHz TDD)</t>
        </is>
      </c>
      <c r="Q822" s="13">
        <f>ROUNDUP(O822/'Methodology &amp; Assumptions'!$B$6, 0)</f>
        <v/>
      </c>
      <c r="R822" s="13" t="n">
        <v>1</v>
      </c>
      <c r="S822" s="14" t="n">
        <v>109.16</v>
      </c>
      <c r="T822" s="14" t="n">
        <v>108.6</v>
      </c>
      <c r="U822" s="26">
        <f>IF(X822&gt;='Methodology &amp; Assumptions'!$B$7, "Tier 1 Critical GIDA (Score ≥ 50.0)", IF(X822&gt;='Methodology &amp; Assumptions'!$B$8, "Tier 2 High GIDA (Score 40.0–49.9)", "Tier 3 Moderate GIDA (Score &lt; 40.0)"))</f>
        <v/>
      </c>
      <c r="V822" s="26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W822" s="28" t="n">
        <v>0.237</v>
      </c>
      <c r="X822" s="14" t="n">
        <v>45.2</v>
      </c>
      <c r="Y822" s="14">
        <f>ROUND(MIN(100, (X822/69.91)*100), 2)</f>
        <v/>
      </c>
    </row>
    <row r="823">
      <c r="A823" s="10" t="n">
        <v>4</v>
      </c>
      <c r="B823" s="10" t="n">
        <v>819</v>
      </c>
      <c r="C823" s="10" t="n">
        <v>3819</v>
      </c>
      <c r="D823" s="10" t="inlineStr">
        <is>
          <t>0804822007</t>
        </is>
      </c>
      <c r="E823" s="26" t="inlineStr">
        <is>
          <t>Region VIII (Eastern Visayas)</t>
        </is>
      </c>
      <c r="F823" s="26" t="inlineStr">
        <is>
          <t>Northern Samar</t>
        </is>
      </c>
      <c r="G823" s="26" t="inlineStr">
        <is>
          <t>Silvino Lobos</t>
        </is>
      </c>
      <c r="H823" s="26" t="inlineStr">
        <is>
          <t>Camaya-an</t>
        </is>
      </c>
      <c r="I823" s="27" t="n">
        <v>12.28975</v>
      </c>
      <c r="J823" s="27" t="n">
        <v>124.83515</v>
      </c>
      <c r="K823" s="10" t="inlineStr">
        <is>
          <t>R</t>
        </is>
      </c>
      <c r="L823" s="12" t="n">
        <v>196</v>
      </c>
      <c r="M823" s="14" t="n">
        <v>4.3</v>
      </c>
      <c r="N823" s="12">
        <f>ROUND(L823/M823, 0)</f>
        <v/>
      </c>
      <c r="O823" s="12">
        <f>ROUND(N823*'Methodology &amp; Assumptions'!$B$5, 0)</f>
        <v/>
      </c>
      <c r="P823" s="10" t="inlineStr">
        <is>
          <t>Single Carrier (Band n50, 100MHz TDD)</t>
        </is>
      </c>
      <c r="Q823" s="13">
        <f>ROUNDUP(O823/'Methodology &amp; Assumptions'!$B$6, 0)</f>
        <v/>
      </c>
      <c r="R823" s="13" t="n">
        <v>1</v>
      </c>
      <c r="S823" s="14" t="n">
        <v>88.22</v>
      </c>
      <c r="T823" s="14" t="n">
        <v>88.06999999999999</v>
      </c>
      <c r="U823" s="26">
        <f>IF(X823&gt;='Methodology &amp; Assumptions'!$B$7, "Tier 1 Critical GIDA (Score ≥ 50.0)", IF(X823&gt;='Methodology &amp; Assumptions'!$B$8, "Tier 2 High GIDA (Score 40.0–49.9)", "Tier 3 Moderate GIDA (Score &lt; 40.0)"))</f>
        <v/>
      </c>
      <c r="V823" s="26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W823" s="28" t="n">
        <v>0.237</v>
      </c>
      <c r="X823" s="14" t="n">
        <v>45.2</v>
      </c>
      <c r="Y823" s="14">
        <f>ROUND(MIN(100, (X823/69.91)*100), 2)</f>
        <v/>
      </c>
    </row>
    <row r="824">
      <c r="A824" s="10" t="n">
        <v>4</v>
      </c>
      <c r="B824" s="10" t="n">
        <v>820</v>
      </c>
      <c r="C824" s="10" t="n">
        <v>3820</v>
      </c>
      <c r="D824" s="10" t="inlineStr">
        <is>
          <t>PH0003820</t>
        </is>
      </c>
      <c r="E824" s="26" t="inlineStr">
        <is>
          <t>IV-A</t>
        </is>
      </c>
      <c r="F824" s="26" t="inlineStr">
        <is>
          <t>Quezon</t>
        </is>
      </c>
      <c r="G824" s="26" t="inlineStr">
        <is>
          <t>Lucena City</t>
        </is>
      </c>
      <c r="H824" s="26" t="inlineStr">
        <is>
          <t>Market View</t>
        </is>
      </c>
      <c r="I824" s="27" t="n">
        <v>13.933797</v>
      </c>
      <c r="J824" s="27" t="n">
        <v>121.617861</v>
      </c>
      <c r="K824" s="10" t="inlineStr">
        <is>
          <t>R</t>
        </is>
      </c>
      <c r="L824" s="12" t="n">
        <v>1964</v>
      </c>
      <c r="M824" s="14" t="n">
        <v>3.8</v>
      </c>
      <c r="N824" s="12">
        <f>ROUND(L824/M824, 0)</f>
        <v/>
      </c>
      <c r="O824" s="12">
        <f>ROUND(N824*'Methodology &amp; Assumptions'!$B$5, 0)</f>
        <v/>
      </c>
      <c r="P824" s="10" t="inlineStr">
        <is>
          <t>Single Carrier (Band n50, 100MHz TDD)</t>
        </is>
      </c>
      <c r="Q824" s="13">
        <f>ROUNDUP(O824/'Methodology &amp; Assumptions'!$B$6, 0)</f>
        <v/>
      </c>
      <c r="R824" s="13" t="n">
        <v>1</v>
      </c>
      <c r="S824" s="14" t="n">
        <v>0.6899999999999999</v>
      </c>
      <c r="T824" s="14" t="n">
        <v>0.25</v>
      </c>
      <c r="U824" s="26">
        <f>IF(X824&gt;='Methodology &amp; Assumptions'!$B$7, "Tier 1 Critical GIDA (Score ≥ 50.0)", IF(X824&gt;='Methodology &amp; Assumptions'!$B$8, "Tier 2 High GIDA (Score 40.0–49.9)", "Tier 3 Moderate GIDA (Score &lt; 40.0)"))</f>
        <v/>
      </c>
      <c r="V824" s="26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W824" s="28" t="n">
        <v>0.07200000000000001</v>
      </c>
      <c r="X824" s="14" t="n">
        <v>45.2</v>
      </c>
      <c r="Y824" s="14">
        <f>ROUND(MIN(100, (X824/69.91)*100), 2)</f>
        <v/>
      </c>
    </row>
    <row r="825">
      <c r="A825" s="10" t="n">
        <v>4</v>
      </c>
      <c r="B825" s="10" t="n">
        <v>821</v>
      </c>
      <c r="C825" s="10" t="n">
        <v>3821</v>
      </c>
      <c r="D825" s="10" t="inlineStr">
        <is>
          <t>0301414002</t>
        </is>
      </c>
      <c r="E825" s="26" t="inlineStr">
        <is>
          <t>Region III (Central Luzon)</t>
        </is>
      </c>
      <c r="F825" s="26" t="inlineStr">
        <is>
          <t>Bulacan</t>
        </is>
      </c>
      <c r="G825" s="26" t="inlineStr">
        <is>
          <t>Obando</t>
        </is>
      </c>
      <c r="H825" s="26" t="inlineStr">
        <is>
          <t>Catanghalan</t>
        </is>
      </c>
      <c r="I825" s="27" t="n">
        <v>14.706861</v>
      </c>
      <c r="J825" s="27" t="n">
        <v>120.94124</v>
      </c>
      <c r="K825" s="10" t="inlineStr">
        <is>
          <t>U</t>
        </is>
      </c>
      <c r="L825" s="12" t="n">
        <v>3385</v>
      </c>
      <c r="M825" s="14" t="n">
        <v>3.5</v>
      </c>
      <c r="N825" s="12">
        <f>ROUND(L825/M825, 0)</f>
        <v/>
      </c>
      <c r="O825" s="12">
        <f>ROUND(N825*'Methodology &amp; Assumptions'!$B$5, 0)</f>
        <v/>
      </c>
      <c r="P825" s="10" t="inlineStr">
        <is>
          <t>Single Carrier (Band n50, 100MHz TDD)</t>
        </is>
      </c>
      <c r="Q825" s="13">
        <f>ROUNDUP(O825/'Methodology &amp; Assumptions'!$B$6, 0)</f>
        <v/>
      </c>
      <c r="R825" s="13" t="n">
        <v>1</v>
      </c>
      <c r="S825" s="14" t="n">
        <v>0.57</v>
      </c>
      <c r="T825" s="14" t="n">
        <v>1.65</v>
      </c>
      <c r="U825" s="26">
        <f>IF(X825&gt;='Methodology &amp; Assumptions'!$B$7, "Tier 1 Critical GIDA (Score ≥ 50.0)", IF(X825&gt;='Methodology &amp; Assumptions'!$B$8, "Tier 2 High GIDA (Score 40.0–49.9)", "Tier 3 Moderate GIDA (Score &lt; 40.0)"))</f>
        <v/>
      </c>
      <c r="V825" s="26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W825" s="28" t="n">
        <v>0.083</v>
      </c>
      <c r="X825" s="14" t="n">
        <v>45.19</v>
      </c>
      <c r="Y825" s="14">
        <f>ROUND(MIN(100, (X825/69.91)*100), 2)</f>
        <v/>
      </c>
    </row>
    <row r="826">
      <c r="A826" s="10" t="n">
        <v>4</v>
      </c>
      <c r="B826" s="10" t="n">
        <v>822</v>
      </c>
      <c r="C826" s="10" t="n">
        <v>3822</v>
      </c>
      <c r="D826" s="10" t="inlineStr">
        <is>
          <t>1206502016</t>
        </is>
      </c>
      <c r="E826" s="26" t="inlineStr">
        <is>
          <t>Region XII (SOCCSKSARGEN)</t>
        </is>
      </c>
      <c r="F826" s="26" t="inlineStr">
        <is>
          <t>Sultan Kudarat</t>
        </is>
      </c>
      <c r="G826" s="26" t="inlineStr">
        <is>
          <t>Columbio</t>
        </is>
      </c>
      <c r="H826" s="26" t="inlineStr">
        <is>
          <t>Lomoyon</t>
        </is>
      </c>
      <c r="I826" s="27" t="n">
        <v>6.709224</v>
      </c>
      <c r="J826" s="27" t="n">
        <v>124.935505</v>
      </c>
      <c r="K826" s="10" t="inlineStr">
        <is>
          <t>R</t>
        </is>
      </c>
      <c r="L826" s="12" t="n">
        <v>1861</v>
      </c>
      <c r="M826" s="14" t="n">
        <v>3.8</v>
      </c>
      <c r="N826" s="12">
        <f>ROUND(L826/M826, 0)</f>
        <v/>
      </c>
      <c r="O826" s="12">
        <f>ROUND(N826*'Methodology &amp; Assumptions'!$B$5, 0)</f>
        <v/>
      </c>
      <c r="P826" s="10" t="inlineStr">
        <is>
          <t>Single Carrier (Band n50, 100MHz TDD)</t>
        </is>
      </c>
      <c r="Q826" s="13">
        <f>ROUNDUP(O826/'Methodology &amp; Assumptions'!$B$6, 0)</f>
        <v/>
      </c>
      <c r="R826" s="13" t="n">
        <v>1</v>
      </c>
      <c r="S826" s="14" t="n">
        <v>24.4</v>
      </c>
      <c r="T826" s="14" t="n">
        <v>8.390000000000001</v>
      </c>
      <c r="U826" s="26">
        <f>IF(X826&gt;='Methodology &amp; Assumptions'!$B$7, "Tier 1 Critical GIDA (Score ≥ 50.0)", IF(X826&gt;='Methodology &amp; Assumptions'!$B$8, "Tier 2 High GIDA (Score 40.0–49.9)", "Tier 3 Moderate GIDA (Score &lt; 40.0)"))</f>
        <v/>
      </c>
      <c r="V826" s="26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W826" s="28" t="n">
        <v>0.174</v>
      </c>
      <c r="X826" s="14" t="n">
        <v>45.18</v>
      </c>
      <c r="Y826" s="14">
        <f>ROUND(MIN(100, (X826/69.91)*100), 2)</f>
        <v/>
      </c>
    </row>
    <row r="827">
      <c r="A827" s="10" t="n">
        <v>4</v>
      </c>
      <c r="B827" s="10" t="n">
        <v>823</v>
      </c>
      <c r="C827" s="10" t="n">
        <v>3823</v>
      </c>
      <c r="D827" s="10" t="inlineStr">
        <is>
          <t>0804808030</t>
        </is>
      </c>
      <c r="E827" s="26" t="inlineStr">
        <is>
          <t>Region VIII (Eastern Visayas)</t>
        </is>
      </c>
      <c r="F827" s="26" t="inlineStr">
        <is>
          <t>Northern Samar</t>
        </is>
      </c>
      <c r="G827" s="26" t="inlineStr">
        <is>
          <t>Laoang</t>
        </is>
      </c>
      <c r="H827" s="26" t="inlineStr">
        <is>
          <t>Inamlan</t>
        </is>
      </c>
      <c r="I827" s="27" t="n">
        <v>12.609166</v>
      </c>
      <c r="J827" s="27" t="n">
        <v>124.999156</v>
      </c>
      <c r="K827" s="10" t="inlineStr">
        <is>
          <t>R</t>
        </is>
      </c>
      <c r="L827" s="12" t="n">
        <v>918</v>
      </c>
      <c r="M827" s="14" t="n">
        <v>4.3</v>
      </c>
      <c r="N827" s="12">
        <f>ROUND(L827/M827, 0)</f>
        <v/>
      </c>
      <c r="O827" s="12">
        <f>ROUND(N827*'Methodology &amp; Assumptions'!$B$5, 0)</f>
        <v/>
      </c>
      <c r="P827" s="10" t="inlineStr">
        <is>
          <t>Single Carrier (Band n50, 100MHz TDD)</t>
        </is>
      </c>
      <c r="Q827" s="13">
        <f>ROUNDUP(O827/'Methodology &amp; Assumptions'!$B$6, 0)</f>
        <v/>
      </c>
      <c r="R827" s="13" t="n">
        <v>1</v>
      </c>
      <c r="S827" s="14" t="n">
        <v>95.2</v>
      </c>
      <c r="T827" s="14" t="n">
        <v>94.09</v>
      </c>
      <c r="U827" s="26">
        <f>IF(X827&gt;='Methodology &amp; Assumptions'!$B$7, "Tier 1 Critical GIDA (Score ≥ 50.0)", IF(X827&gt;='Methodology &amp; Assumptions'!$B$8, "Tier 2 High GIDA (Score 40.0–49.9)", "Tier 3 Moderate GIDA (Score &lt; 40.0)"))</f>
        <v/>
      </c>
      <c r="V827" s="26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W827" s="28" t="n">
        <v>0.237</v>
      </c>
      <c r="X827" s="14" t="n">
        <v>45.17</v>
      </c>
      <c r="Y827" s="14">
        <f>ROUND(MIN(100, (X827/69.91)*100), 2)</f>
        <v/>
      </c>
    </row>
    <row r="828">
      <c r="A828" s="10" t="n">
        <v>4</v>
      </c>
      <c r="B828" s="10" t="n">
        <v>824</v>
      </c>
      <c r="C828" s="10" t="n">
        <v>3824</v>
      </c>
      <c r="D828" s="10" t="inlineStr">
        <is>
          <t>1381400018</t>
        </is>
      </c>
      <c r="E828" s="26" t="inlineStr">
        <is>
          <t>National Capital Region (NCR)</t>
        </is>
      </c>
      <c r="F828" s="26" t="inlineStr">
        <is>
          <t>Second District (Not a Province)</t>
        </is>
      </c>
      <c r="G828" s="26" t="inlineStr">
        <is>
          <t>City of San Juan</t>
        </is>
      </c>
      <c r="H828" s="26" t="inlineStr">
        <is>
          <t>Santa Lucia</t>
        </is>
      </c>
      <c r="I828" s="27" t="n">
        <v>14.597844</v>
      </c>
      <c r="J828" s="27" t="n">
        <v>121.035319</v>
      </c>
      <c r="K828" s="10" t="inlineStr">
        <is>
          <t>U</t>
        </is>
      </c>
      <c r="L828" s="12" t="n">
        <v>8602</v>
      </c>
      <c r="M828" s="14" t="n">
        <v>3.6</v>
      </c>
      <c r="N828" s="12">
        <f>ROUND(L828/M828, 0)</f>
        <v/>
      </c>
      <c r="O828" s="12">
        <f>ROUND(N828*'Methodology &amp; Assumptions'!$B$5, 0)</f>
        <v/>
      </c>
      <c r="P828" s="10" t="inlineStr">
        <is>
          <t>Single Carrier (Band n50, 100MHz TDD)</t>
        </is>
      </c>
      <c r="Q828" s="13">
        <f>ROUNDUP(O828/'Methodology &amp; Assumptions'!$B$6, 0)</f>
        <v/>
      </c>
      <c r="R828" s="13" t="n">
        <v>1</v>
      </c>
      <c r="S828" s="14" t="n">
        <v>0.99</v>
      </c>
      <c r="T828" s="14" t="n">
        <v>0.21</v>
      </c>
      <c r="U828" s="26">
        <f>IF(X828&gt;='Methodology &amp; Assumptions'!$B$7, "Tier 1 Critical GIDA (Score ≥ 50.0)", IF(X828&gt;='Methodology &amp; Assumptions'!$B$8, "Tier 2 High GIDA (Score 40.0–49.9)", "Tier 3 Moderate GIDA (Score &lt; 40.0)"))</f>
        <v/>
      </c>
      <c r="V828" s="26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W828" s="28" t="n">
        <v>0.109</v>
      </c>
      <c r="X828" s="14" t="n">
        <v>45.17</v>
      </c>
      <c r="Y828" s="14">
        <f>ROUND(MIN(100, (X828/69.91)*100), 2)</f>
        <v/>
      </c>
    </row>
    <row r="829">
      <c r="A829" s="10" t="n">
        <v>4</v>
      </c>
      <c r="B829" s="10" t="n">
        <v>825</v>
      </c>
      <c r="C829" s="10" t="n">
        <v>3825</v>
      </c>
      <c r="D829" s="10" t="inlineStr">
        <is>
          <t>1381300016</t>
        </is>
      </c>
      <c r="E829" s="26" t="inlineStr">
        <is>
          <t>National Capital Region (NCR)</t>
        </is>
      </c>
      <c r="F829" s="26" t="inlineStr">
        <is>
          <t>Second District (Not a Province)</t>
        </is>
      </c>
      <c r="G829" s="26" t="inlineStr">
        <is>
          <t>Quezon City</t>
        </is>
      </c>
      <c r="H829" s="26" t="inlineStr">
        <is>
          <t>Blue Ridge B</t>
        </is>
      </c>
      <c r="I829" s="27" t="n">
        <v>14.636369</v>
      </c>
      <c r="J829" s="27" t="n">
        <v>121.065416</v>
      </c>
      <c r="K829" s="10" t="inlineStr">
        <is>
          <t>U</t>
        </is>
      </c>
      <c r="L829" s="12" t="n">
        <v>1116</v>
      </c>
      <c r="M829" s="14" t="n">
        <v>3.8</v>
      </c>
      <c r="N829" s="12">
        <f>ROUND(L829/M829, 0)</f>
        <v/>
      </c>
      <c r="O829" s="12">
        <f>ROUND(N829*'Methodology &amp; Assumptions'!$B$5, 0)</f>
        <v/>
      </c>
      <c r="P829" s="10" t="inlineStr">
        <is>
          <t>Single Carrier (Band n50, 100MHz TDD)</t>
        </is>
      </c>
      <c r="Q829" s="13">
        <f>ROUNDUP(O829/'Methodology &amp; Assumptions'!$B$6, 0)</f>
        <v/>
      </c>
      <c r="R829" s="13" t="n">
        <v>1</v>
      </c>
      <c r="S829" s="14" t="n">
        <v>1.17</v>
      </c>
      <c r="T829" s="14" t="n">
        <v>0.73</v>
      </c>
      <c r="U829" s="26">
        <f>IF(X829&gt;='Methodology &amp; Assumptions'!$B$7, "Tier 1 Critical GIDA (Score ≥ 50.0)", IF(X829&gt;='Methodology &amp; Assumptions'!$B$8, "Tier 2 High GIDA (Score 40.0–49.9)", "Tier 3 Moderate GIDA (Score &lt; 40.0)"))</f>
        <v/>
      </c>
      <c r="V829" s="26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W829" s="28" t="n">
        <v>0.109</v>
      </c>
      <c r="X829" s="14" t="n">
        <v>45.17</v>
      </c>
      <c r="Y829" s="14">
        <f>ROUND(MIN(100, (X829/69.91)*100), 2)</f>
        <v/>
      </c>
    </row>
    <row r="830">
      <c r="A830" s="10" t="n">
        <v>4</v>
      </c>
      <c r="B830" s="10" t="n">
        <v>826</v>
      </c>
      <c r="C830" s="10" t="n">
        <v>3826</v>
      </c>
      <c r="D830" s="10" t="inlineStr">
        <is>
          <t>1705303008</t>
        </is>
      </c>
      <c r="E830" s="26" t="inlineStr">
        <is>
          <t>MIMAROPA Region</t>
        </is>
      </c>
      <c r="F830" s="26" t="inlineStr">
        <is>
          <t>Palawan</t>
        </is>
      </c>
      <c r="G830" s="26" t="inlineStr">
        <is>
          <t>Araceli</t>
        </is>
      </c>
      <c r="H830" s="26" t="inlineStr">
        <is>
          <t>Mauringuen</t>
        </is>
      </c>
      <c r="I830" s="27" t="n">
        <v>10.5555</v>
      </c>
      <c r="J830" s="27" t="n">
        <v>119.82388</v>
      </c>
      <c r="K830" s="10" t="inlineStr">
        <is>
          <t>R</t>
        </is>
      </c>
      <c r="L830" s="12" t="n">
        <v>1085</v>
      </c>
      <c r="M830" s="14" t="n">
        <v>3.9</v>
      </c>
      <c r="N830" s="12">
        <f>ROUND(L830/M830, 0)</f>
        <v/>
      </c>
      <c r="O830" s="12">
        <f>ROUND(N830*'Methodology &amp; Assumptions'!$B$5, 0)</f>
        <v/>
      </c>
      <c r="P830" s="10" t="inlineStr">
        <is>
          <t>Single Carrier (Band n50, 100MHz TDD)</t>
        </is>
      </c>
      <c r="Q830" s="13">
        <f>ROUNDUP(O830/'Methodology &amp; Assumptions'!$B$6, 0)</f>
        <v/>
      </c>
      <c r="R830" s="13" t="n">
        <v>1</v>
      </c>
      <c r="S830" s="14" t="n">
        <v>30.93</v>
      </c>
      <c r="T830" s="14" t="n">
        <v>39.67</v>
      </c>
      <c r="U830" s="26">
        <f>IF(X830&gt;='Methodology &amp; Assumptions'!$B$7, "Tier 1 Critical GIDA (Score ≥ 50.0)", IF(X830&gt;='Methodology &amp; Assumptions'!$B$8, "Tier 2 High GIDA (Score 40.0–49.9)", "Tier 3 Moderate GIDA (Score &lt; 40.0)"))</f>
        <v/>
      </c>
      <c r="V830" s="26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W830" s="28" t="n">
        <v>0.15</v>
      </c>
      <c r="X830" s="14" t="n">
        <v>45.17</v>
      </c>
      <c r="Y830" s="14">
        <f>ROUND(MIN(100, (X830/69.91)*100), 2)</f>
        <v/>
      </c>
    </row>
    <row r="831">
      <c r="A831" s="10" t="n">
        <v>4</v>
      </c>
      <c r="B831" s="10" t="n">
        <v>827</v>
      </c>
      <c r="C831" s="10" t="n">
        <v>3827</v>
      </c>
      <c r="D831" s="10" t="inlineStr">
        <is>
          <t>0804824019</t>
        </is>
      </c>
      <c r="E831" s="26" t="inlineStr">
        <is>
          <t>Region VIII (Eastern Visayas)</t>
        </is>
      </c>
      <c r="F831" s="26" t="inlineStr">
        <is>
          <t>Northern Samar</t>
        </is>
      </c>
      <c r="G831" s="26" t="inlineStr">
        <is>
          <t>Lope De Vega</t>
        </is>
      </c>
      <c r="H831" s="26" t="inlineStr">
        <is>
          <t>San Jose</t>
        </is>
      </c>
      <c r="I831" s="27" t="n">
        <v>12.248197</v>
      </c>
      <c r="J831" s="27" t="n">
        <v>124.656345</v>
      </c>
      <c r="K831" s="10" t="inlineStr">
        <is>
          <t>R</t>
        </is>
      </c>
      <c r="L831" s="12" t="n">
        <v>400</v>
      </c>
      <c r="M831" s="14" t="n">
        <v>4.3</v>
      </c>
      <c r="N831" s="12">
        <f>ROUND(L831/M831, 0)</f>
        <v/>
      </c>
      <c r="O831" s="12">
        <f>ROUND(N831*'Methodology &amp; Assumptions'!$B$5, 0)</f>
        <v/>
      </c>
      <c r="P831" s="10" t="inlineStr">
        <is>
          <t>Single Carrier (Band n50, 100MHz TDD)</t>
        </is>
      </c>
      <c r="Q831" s="13">
        <f>ROUNDUP(O831/'Methodology &amp; Assumptions'!$B$6, 0)</f>
        <v/>
      </c>
      <c r="R831" s="13" t="n">
        <v>1</v>
      </c>
      <c r="S831" s="14" t="n">
        <v>72.86</v>
      </c>
      <c r="T831" s="14" t="n">
        <v>72.84999999999999</v>
      </c>
      <c r="U831" s="26">
        <f>IF(X831&gt;='Methodology &amp; Assumptions'!$B$7, "Tier 1 Critical GIDA (Score ≥ 50.0)", IF(X831&gt;='Methodology &amp; Assumptions'!$B$8, "Tier 2 High GIDA (Score 40.0–49.9)", "Tier 3 Moderate GIDA (Score &lt; 40.0)"))</f>
        <v/>
      </c>
      <c r="V831" s="26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W831" s="28" t="n">
        <v>0.237</v>
      </c>
      <c r="X831" s="14" t="n">
        <v>45.16</v>
      </c>
      <c r="Y831" s="14">
        <f>ROUND(MIN(100, (X831/69.91)*100), 2)</f>
        <v/>
      </c>
    </row>
    <row r="832">
      <c r="A832" s="10" t="n">
        <v>4</v>
      </c>
      <c r="B832" s="10" t="n">
        <v>828</v>
      </c>
      <c r="C832" s="10" t="n">
        <v>3828</v>
      </c>
      <c r="D832" s="10" t="inlineStr">
        <is>
          <t>0300803001</t>
        </is>
      </c>
      <c r="E832" s="26" t="inlineStr">
        <is>
          <t>Region III (Central Luzon)</t>
        </is>
      </c>
      <c r="F832" s="26" t="inlineStr">
        <is>
          <t>Bataan</t>
        </is>
      </c>
      <c r="G832" s="26" t="inlineStr">
        <is>
          <t>City of Balanga</t>
        </is>
      </c>
      <c r="H832" s="26" t="inlineStr">
        <is>
          <t>Bagumbayan</t>
        </is>
      </c>
      <c r="I832" s="27" t="n">
        <v>14.679573</v>
      </c>
      <c r="J832" s="27" t="n">
        <v>120.546373</v>
      </c>
      <c r="K832" s="10" t="inlineStr">
        <is>
          <t>R</t>
        </is>
      </c>
      <c r="L832" s="12" t="n">
        <v>2159</v>
      </c>
      <c r="M832" s="14" t="n">
        <v>3.6</v>
      </c>
      <c r="N832" s="12">
        <f>ROUND(L832/M832, 0)</f>
        <v/>
      </c>
      <c r="O832" s="12">
        <f>ROUND(N832*'Methodology &amp; Assumptions'!$B$5, 0)</f>
        <v/>
      </c>
      <c r="P832" s="10" t="inlineStr">
        <is>
          <t>Single Carrier (Band n50, 100MHz TDD)</t>
        </is>
      </c>
      <c r="Q832" s="13">
        <f>ROUNDUP(O832/'Methodology &amp; Assumptions'!$B$6, 0)</f>
        <v/>
      </c>
      <c r="R832" s="13" t="n">
        <v>1</v>
      </c>
      <c r="S832" s="14" t="n">
        <v>0.47</v>
      </c>
      <c r="T832" s="14" t="n">
        <v>0.3</v>
      </c>
      <c r="U832" s="26">
        <f>IF(X832&gt;='Methodology &amp; Assumptions'!$B$7, "Tier 1 Critical GIDA (Score ≥ 50.0)", IF(X832&gt;='Methodology &amp; Assumptions'!$B$8, "Tier 2 High GIDA (Score 40.0–49.9)", "Tier 3 Moderate GIDA (Score &lt; 40.0)"))</f>
        <v/>
      </c>
      <c r="V832" s="26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W832" s="28" t="n">
        <v>0.083</v>
      </c>
      <c r="X832" s="14" t="n">
        <v>45.15</v>
      </c>
      <c r="Y832" s="14">
        <f>ROUND(MIN(100, (X832/69.91)*100), 2)</f>
        <v/>
      </c>
    </row>
    <row r="833">
      <c r="A833" s="10" t="n">
        <v>4</v>
      </c>
      <c r="B833" s="10" t="n">
        <v>829</v>
      </c>
      <c r="C833" s="10" t="n">
        <v>3829</v>
      </c>
      <c r="D833" s="10" t="inlineStr">
        <is>
          <t>0804810051</t>
        </is>
      </c>
      <c r="E833" s="26" t="inlineStr">
        <is>
          <t>Region VIII (Eastern Visayas)</t>
        </is>
      </c>
      <c r="F833" s="26" t="inlineStr">
        <is>
          <t>Northern Samar</t>
        </is>
      </c>
      <c r="G833" s="26" t="inlineStr">
        <is>
          <t>Las Navas</t>
        </is>
      </c>
      <c r="H833" s="26" t="inlineStr">
        <is>
          <t>Tagan-ayan</t>
        </is>
      </c>
      <c r="I833" s="27" t="n">
        <v>12.27193</v>
      </c>
      <c r="J833" s="27" t="n">
        <v>125.00755</v>
      </c>
      <c r="K833" s="10" t="inlineStr">
        <is>
          <t>R</t>
        </is>
      </c>
      <c r="L833" s="12" t="n">
        <v>341</v>
      </c>
      <c r="M833" s="14" t="n">
        <v>4.3</v>
      </c>
      <c r="N833" s="12">
        <f>ROUND(L833/M833, 0)</f>
        <v/>
      </c>
      <c r="O833" s="12">
        <f>ROUND(N833*'Methodology &amp; Assumptions'!$B$5, 0)</f>
        <v/>
      </c>
      <c r="P833" s="10" t="inlineStr">
        <is>
          <t>Single Carrier (Band n50, 100MHz TDD)</t>
        </is>
      </c>
      <c r="Q833" s="13">
        <f>ROUNDUP(O833/'Methodology &amp; Assumptions'!$B$6, 0)</f>
        <v/>
      </c>
      <c r="R833" s="13" t="n">
        <v>1</v>
      </c>
      <c r="S833" s="14" t="n">
        <v>106.37</v>
      </c>
      <c r="T833" s="14" t="n">
        <v>105.81</v>
      </c>
      <c r="U833" s="26">
        <f>IF(X833&gt;='Methodology &amp; Assumptions'!$B$7, "Tier 1 Critical GIDA (Score ≥ 50.0)", IF(X833&gt;='Methodology &amp; Assumptions'!$B$8, "Tier 2 High GIDA (Score 40.0–49.9)", "Tier 3 Moderate GIDA (Score &lt; 40.0)"))</f>
        <v/>
      </c>
      <c r="V833" s="26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W833" s="28" t="n">
        <v>0.237</v>
      </c>
      <c r="X833" s="14" t="n">
        <v>45.15</v>
      </c>
      <c r="Y833" s="14">
        <f>ROUND(MIN(100, (X833/69.91)*100), 2)</f>
        <v/>
      </c>
    </row>
    <row r="834">
      <c r="A834" s="10" t="n">
        <v>4</v>
      </c>
      <c r="B834" s="10" t="n">
        <v>830</v>
      </c>
      <c r="C834" s="10" t="n">
        <v>3830</v>
      </c>
      <c r="D834" s="10" t="inlineStr">
        <is>
          <t>0804810039</t>
        </is>
      </c>
      <c r="E834" s="26" t="inlineStr">
        <is>
          <t>Region VIII (Eastern Visayas)</t>
        </is>
      </c>
      <c r="F834" s="26" t="inlineStr">
        <is>
          <t>Northern Samar</t>
        </is>
      </c>
      <c r="G834" s="26" t="inlineStr">
        <is>
          <t>Las Navas</t>
        </is>
      </c>
      <c r="H834" s="26" t="inlineStr">
        <is>
          <t>Sag-od</t>
        </is>
      </c>
      <c r="I834" s="27" t="n">
        <v>12.25003</v>
      </c>
      <c r="J834" s="27" t="n">
        <v>125.00859</v>
      </c>
      <c r="K834" s="10" t="inlineStr">
        <is>
          <t>R</t>
        </is>
      </c>
      <c r="L834" s="12" t="n">
        <v>197</v>
      </c>
      <c r="M834" s="14" t="n">
        <v>4.3</v>
      </c>
      <c r="N834" s="12">
        <f>ROUND(L834/M834, 0)</f>
        <v/>
      </c>
      <c r="O834" s="12">
        <f>ROUND(N834*'Methodology &amp; Assumptions'!$B$5, 0)</f>
        <v/>
      </c>
      <c r="P834" s="10" t="inlineStr">
        <is>
          <t>Single Carrier (Band n50, 100MHz TDD)</t>
        </is>
      </c>
      <c r="Q834" s="13">
        <f>ROUNDUP(O834/'Methodology &amp; Assumptions'!$B$6, 0)</f>
        <v/>
      </c>
      <c r="R834" s="13" t="n">
        <v>1</v>
      </c>
      <c r="S834" s="14" t="n">
        <v>107.39</v>
      </c>
      <c r="T834" s="14" t="n">
        <v>106.92</v>
      </c>
      <c r="U834" s="26">
        <f>IF(X834&gt;='Methodology &amp; Assumptions'!$B$7, "Tier 1 Critical GIDA (Score ≥ 50.0)", IF(X834&gt;='Methodology &amp; Assumptions'!$B$8, "Tier 2 High GIDA (Score 40.0–49.9)", "Tier 3 Moderate GIDA (Score &lt; 40.0)"))</f>
        <v/>
      </c>
      <c r="V834" s="26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W834" s="28" t="n">
        <v>0.237</v>
      </c>
      <c r="X834" s="14" t="n">
        <v>45.15</v>
      </c>
      <c r="Y834" s="14">
        <f>ROUND(MIN(100, (X834/69.91)*100), 2)</f>
        <v/>
      </c>
    </row>
    <row r="835">
      <c r="A835" s="10" t="n">
        <v>4</v>
      </c>
      <c r="B835" s="10" t="n">
        <v>831</v>
      </c>
      <c r="C835" s="10" t="n">
        <v>3831</v>
      </c>
      <c r="D835" s="10" t="inlineStr">
        <is>
          <t>1600304013</t>
        </is>
      </c>
      <c r="E835" s="26" t="inlineStr">
        <is>
          <t>Region XIII (Caraga)</t>
        </is>
      </c>
      <c r="F835" s="26" t="inlineStr">
        <is>
          <t>Agusan del Sur</t>
        </is>
      </c>
      <c r="G835" s="26" t="inlineStr">
        <is>
          <t>La Paz</t>
        </is>
      </c>
      <c r="H835" s="26" t="inlineStr">
        <is>
          <t>Sabang Adgawan</t>
        </is>
      </c>
      <c r="I835" s="27" t="n">
        <v>8.308631999999999</v>
      </c>
      <c r="J835" s="27" t="n">
        <v>125.876666</v>
      </c>
      <c r="K835" s="10" t="inlineStr">
        <is>
          <t>R</t>
        </is>
      </c>
      <c r="L835" s="12" t="n">
        <v>1861</v>
      </c>
      <c r="M835" s="14" t="n">
        <v>3.9</v>
      </c>
      <c r="N835" s="12">
        <f>ROUND(L835/M835, 0)</f>
        <v/>
      </c>
      <c r="O835" s="12">
        <f>ROUND(N835*'Methodology &amp; Assumptions'!$B$5, 0)</f>
        <v/>
      </c>
      <c r="P835" s="10" t="inlineStr">
        <is>
          <t>Single Carrier (Band n50, 100MHz TDD)</t>
        </is>
      </c>
      <c r="Q835" s="13">
        <f>ROUNDUP(O835/'Methodology &amp; Assumptions'!$B$6, 0)</f>
        <v/>
      </c>
      <c r="R835" s="13" t="n">
        <v>1</v>
      </c>
      <c r="S835" s="14" t="n">
        <v>14.03</v>
      </c>
      <c r="T835" s="14" t="n">
        <v>12.64</v>
      </c>
      <c r="U835" s="26">
        <f>IF(X835&gt;='Methodology &amp; Assumptions'!$B$7, "Tier 1 Critical GIDA (Score ≥ 50.0)", IF(X835&gt;='Methodology &amp; Assumptions'!$B$8, "Tier 2 High GIDA (Score 40.0–49.9)", "Tier 3 Moderate GIDA (Score &lt; 40.0)"))</f>
        <v/>
      </c>
      <c r="V835" s="26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W835" s="28" t="n">
        <v>0.174</v>
      </c>
      <c r="X835" s="14" t="n">
        <v>45.15</v>
      </c>
      <c r="Y835" s="14">
        <f>ROUND(MIN(100, (X835/69.91)*100), 2)</f>
        <v/>
      </c>
    </row>
    <row r="836">
      <c r="A836" s="10" t="n">
        <v>4</v>
      </c>
      <c r="B836" s="10" t="n">
        <v>832</v>
      </c>
      <c r="C836" s="10" t="n">
        <v>3832</v>
      </c>
      <c r="D836" s="10" t="inlineStr">
        <is>
          <t>1906607017</t>
        </is>
      </c>
      <c r="E836" s="26" t="inlineStr">
        <is>
          <t>Bangsamoro Autonomous Region In Muslim Mindanao (BARMM)</t>
        </is>
      </c>
      <c r="F836" s="26" t="inlineStr">
        <is>
          <t>Sulu</t>
        </is>
      </c>
      <c r="G836" s="26" t="inlineStr">
        <is>
          <t>Old Panamao</t>
        </is>
      </c>
      <c r="H836" s="26" t="inlineStr">
        <is>
          <t>Kawasan</t>
        </is>
      </c>
      <c r="I836" s="27" t="n">
        <v>17.26023</v>
      </c>
      <c r="J836" s="27" t="n">
        <v>122.235972</v>
      </c>
      <c r="K836" s="10" t="inlineStr">
        <is>
          <t>R</t>
        </is>
      </c>
      <c r="L836" s="12" t="n">
        <v>980</v>
      </c>
      <c r="M836" s="14" t="n">
        <v>6</v>
      </c>
      <c r="N836" s="12">
        <f>ROUND(L836/M836, 0)</f>
        <v/>
      </c>
      <c r="O836" s="12">
        <f>ROUND(N836*'Methodology &amp; Assumptions'!$B$5, 0)</f>
        <v/>
      </c>
      <c r="P836" s="10" t="inlineStr">
        <is>
          <t>Single Carrier (Band n50, 100MHz TDD)</t>
        </is>
      </c>
      <c r="Q836" s="13">
        <f>ROUNDUP(O836/'Methodology &amp; Assumptions'!$B$6, 0)</f>
        <v/>
      </c>
      <c r="R836" s="13" t="n">
        <v>1</v>
      </c>
      <c r="S836" s="14" t="n">
        <v>30.38</v>
      </c>
      <c r="T836" s="14" t="n">
        <v>35.19</v>
      </c>
      <c r="U836" s="26">
        <f>IF(X836&gt;='Methodology &amp; Assumptions'!$B$7, "Tier 1 Critical GIDA (Score ≥ 50.0)", IF(X836&gt;='Methodology &amp; Assumptions'!$B$8, "Tier 2 High GIDA (Score 40.0–49.9)", "Tier 3 Moderate GIDA (Score &lt; 40.0)"))</f>
        <v/>
      </c>
      <c r="V836" s="26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W836" s="28" t="n">
        <v>0.11</v>
      </c>
      <c r="X836" s="14" t="n">
        <v>45.15</v>
      </c>
      <c r="Y836" s="14">
        <f>ROUND(MIN(100, (X836/69.91)*100), 2)</f>
        <v/>
      </c>
    </row>
    <row r="837">
      <c r="A837" s="10" t="n">
        <v>4</v>
      </c>
      <c r="B837" s="10" t="n">
        <v>833</v>
      </c>
      <c r="C837" s="10" t="n">
        <v>3833</v>
      </c>
      <c r="D837" s="10" t="inlineStr">
        <is>
          <t>0402103064</t>
        </is>
      </c>
      <c r="E837" s="26" t="inlineStr">
        <is>
          <t>Region IV-A (CALABARZON)</t>
        </is>
      </c>
      <c r="F837" s="26" t="inlineStr">
        <is>
          <t>Cavite</t>
        </is>
      </c>
      <c r="G837" s="26" t="inlineStr">
        <is>
          <t>City of Bacoor</t>
        </is>
      </c>
      <c r="H837" s="26" t="inlineStr">
        <is>
          <t>San Nicolas II</t>
        </is>
      </c>
      <c r="I837" s="27" t="n">
        <v>14.373688</v>
      </c>
      <c r="J837" s="27" t="n">
        <v>121.036933</v>
      </c>
      <c r="K837" s="10" t="inlineStr">
        <is>
          <t>U</t>
        </is>
      </c>
      <c r="L837" s="12" t="n">
        <v>12673</v>
      </c>
      <c r="M837" s="14" t="n">
        <v>3.4</v>
      </c>
      <c r="N837" s="12">
        <f>ROUND(L837/M837, 0)</f>
        <v/>
      </c>
      <c r="O837" s="12">
        <f>ROUND(N837*'Methodology &amp; Assumptions'!$B$5, 0)</f>
        <v/>
      </c>
      <c r="P837" s="10" t="inlineStr">
        <is>
          <t>Single Carrier (Band n50, 100MHz TDD)</t>
        </is>
      </c>
      <c r="Q837" s="13">
        <f>ROUNDUP(O837/'Methodology &amp; Assumptions'!$B$6, 0)</f>
        <v/>
      </c>
      <c r="R837" s="13" t="n">
        <v>1</v>
      </c>
      <c r="S837" s="14" t="n">
        <v>1.33</v>
      </c>
      <c r="T837" s="14" t="n">
        <v>1.11</v>
      </c>
      <c r="U837" s="26">
        <f>IF(X837&gt;='Methodology &amp; Assumptions'!$B$7, "Tier 1 Critical GIDA (Score ≥ 50.0)", IF(X837&gt;='Methodology &amp; Assumptions'!$B$8, "Tier 2 High GIDA (Score 40.0–49.9)", "Tier 3 Moderate GIDA (Score &lt; 40.0)"))</f>
        <v/>
      </c>
      <c r="V837" s="26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W837" s="28" t="n">
        <v>0.07200000000000001</v>
      </c>
      <c r="X837" s="14" t="n">
        <v>45.13</v>
      </c>
      <c r="Y837" s="14">
        <f>ROUND(MIN(100, (X837/69.91)*100), 2)</f>
        <v/>
      </c>
    </row>
    <row r="838">
      <c r="A838" s="10" t="n">
        <v>4</v>
      </c>
      <c r="B838" s="10" t="n">
        <v>834</v>
      </c>
      <c r="C838" s="10" t="n">
        <v>3834</v>
      </c>
      <c r="D838" s="10" t="inlineStr">
        <is>
          <t>1401105014</t>
        </is>
      </c>
      <c r="E838" s="26" t="inlineStr">
        <is>
          <t>Cordillera Administrative Region (CAR)</t>
        </is>
      </c>
      <c r="F838" s="26" t="inlineStr">
        <is>
          <t>Benguet</t>
        </is>
      </c>
      <c r="G838" s="26" t="inlineStr">
        <is>
          <t>Buguias</t>
        </is>
      </c>
      <c r="H838" s="26" t="inlineStr">
        <is>
          <t>Baculongan Sur</t>
        </is>
      </c>
      <c r="I838" s="27" t="n">
        <v>16.75197</v>
      </c>
      <c r="J838" s="27" t="n">
        <v>120.885943</v>
      </c>
      <c r="K838" s="10" t="inlineStr">
        <is>
          <t>R</t>
        </is>
      </c>
      <c r="L838" s="12" t="n">
        <v>3798</v>
      </c>
      <c r="M838" s="14" t="n">
        <v>3.5</v>
      </c>
      <c r="N838" s="12">
        <f>ROUND(L838/M838, 0)</f>
        <v/>
      </c>
      <c r="O838" s="12">
        <f>ROUND(N838*'Methodology &amp; Assumptions'!$B$5, 0)</f>
        <v/>
      </c>
      <c r="P838" s="10" t="inlineStr">
        <is>
          <t>Single Carrier (Band n50, 100MHz TDD)</t>
        </is>
      </c>
      <c r="Q838" s="13">
        <f>ROUNDUP(O838/'Methodology &amp; Assumptions'!$B$6, 0)</f>
        <v/>
      </c>
      <c r="R838" s="13" t="n">
        <v>1</v>
      </c>
      <c r="S838" s="14" t="n">
        <v>7.24</v>
      </c>
      <c r="T838" s="14" t="n">
        <v>5.17</v>
      </c>
      <c r="U838" s="26">
        <f>IF(X838&gt;='Methodology &amp; Assumptions'!$B$7, "Tier 1 Critical GIDA (Score ≥ 50.0)", IF(X838&gt;='Methodology &amp; Assumptions'!$B$8, "Tier 2 High GIDA (Score 40.0–49.9)", "Tier 3 Moderate GIDA (Score &lt; 40.0)"))</f>
        <v/>
      </c>
      <c r="V838" s="26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W838" s="28" t="n">
        <v>0.109</v>
      </c>
      <c r="X838" s="14" t="n">
        <v>45.13</v>
      </c>
      <c r="Y838" s="14">
        <f>ROUND(MIN(100, (X838/69.91)*100), 2)</f>
        <v/>
      </c>
    </row>
    <row r="839">
      <c r="A839" s="10" t="n">
        <v>4</v>
      </c>
      <c r="B839" s="10" t="n">
        <v>835</v>
      </c>
      <c r="C839" s="10" t="n">
        <v>3835</v>
      </c>
      <c r="D839" s="10" t="inlineStr">
        <is>
          <t>1401107014</t>
        </is>
      </c>
      <c r="E839" s="26" t="inlineStr">
        <is>
          <t>Cordillera Administrative Region (CAR)</t>
        </is>
      </c>
      <c r="F839" s="26" t="inlineStr">
        <is>
          <t>Benguet</t>
        </is>
      </c>
      <c r="G839" s="26" t="inlineStr">
        <is>
          <t>Kabayan</t>
        </is>
      </c>
      <c r="H839" s="26" t="inlineStr">
        <is>
          <t>Lusod</t>
        </is>
      </c>
      <c r="I839" s="27" t="n">
        <v>16.60139</v>
      </c>
      <c r="J839" s="27" t="n">
        <v>120.95344</v>
      </c>
      <c r="K839" s="10" t="inlineStr">
        <is>
          <t>R</t>
        </is>
      </c>
      <c r="L839" s="12" t="n">
        <v>896</v>
      </c>
      <c r="M839" s="14" t="n">
        <v>3.5</v>
      </c>
      <c r="N839" s="12">
        <f>ROUND(L839/M839, 0)</f>
        <v/>
      </c>
      <c r="O839" s="12">
        <f>ROUND(N839*'Methodology &amp; Assumptions'!$B$5, 0)</f>
        <v/>
      </c>
      <c r="P839" s="10" t="inlineStr">
        <is>
          <t>Single Carrier (Band n50, 100MHz TDD)</t>
        </is>
      </c>
      <c r="Q839" s="13">
        <f>ROUNDUP(O839/'Methodology &amp; Assumptions'!$B$6, 0)</f>
        <v/>
      </c>
      <c r="R839" s="13" t="n">
        <v>1</v>
      </c>
      <c r="S839" s="14" t="n">
        <v>12.59</v>
      </c>
      <c r="T839" s="14" t="n">
        <v>19.71</v>
      </c>
      <c r="U839" s="26">
        <f>IF(X839&gt;='Methodology &amp; Assumptions'!$B$7, "Tier 1 Critical GIDA (Score ≥ 50.0)", IF(X839&gt;='Methodology &amp; Assumptions'!$B$8, "Tier 2 High GIDA (Score 40.0–49.9)", "Tier 3 Moderate GIDA (Score &lt; 40.0)"))</f>
        <v/>
      </c>
      <c r="V839" s="26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W839" s="28" t="n">
        <v>0.109</v>
      </c>
      <c r="X839" s="14" t="n">
        <v>45.11</v>
      </c>
      <c r="Y839" s="14">
        <f>ROUND(MIN(100, (X839/69.91)*100), 2)</f>
        <v/>
      </c>
    </row>
    <row r="840">
      <c r="A840" s="10" t="n">
        <v>4</v>
      </c>
      <c r="B840" s="10" t="n">
        <v>836</v>
      </c>
      <c r="C840" s="10" t="n">
        <v>3836</v>
      </c>
      <c r="D840" s="10" t="inlineStr">
        <is>
          <t>0804810054</t>
        </is>
      </c>
      <c r="E840" s="26" t="inlineStr">
        <is>
          <t>Region VIII (Eastern Visayas)</t>
        </is>
      </c>
      <c r="F840" s="26" t="inlineStr">
        <is>
          <t>Northern Samar</t>
        </is>
      </c>
      <c r="G840" s="26" t="inlineStr">
        <is>
          <t>Las Navas</t>
        </is>
      </c>
      <c r="H840" s="26" t="inlineStr">
        <is>
          <t>H. Jolejole</t>
        </is>
      </c>
      <c r="I840" s="27" t="n">
        <v>12.29332</v>
      </c>
      <c r="J840" s="27" t="n">
        <v>125.06916</v>
      </c>
      <c r="K840" s="10" t="inlineStr">
        <is>
          <t>R</t>
        </is>
      </c>
      <c r="L840" s="12" t="n">
        <v>410</v>
      </c>
      <c r="M840" s="14" t="n">
        <v>4.3</v>
      </c>
      <c r="N840" s="12">
        <f>ROUND(L840/M840, 0)</f>
        <v/>
      </c>
      <c r="O840" s="12">
        <f>ROUND(N840*'Methodology &amp; Assumptions'!$B$5, 0)</f>
        <v/>
      </c>
      <c r="P840" s="10" t="inlineStr">
        <is>
          <t>Single Carrier (Band n50, 100MHz TDD)</t>
        </is>
      </c>
      <c r="Q840" s="13">
        <f>ROUNDUP(O840/'Methodology &amp; Assumptions'!$B$6, 0)</f>
        <v/>
      </c>
      <c r="R840" s="13" t="n">
        <v>1</v>
      </c>
      <c r="S840" s="14" t="n">
        <v>111.69</v>
      </c>
      <c r="T840" s="14" t="n">
        <v>111.08</v>
      </c>
      <c r="U840" s="26">
        <f>IF(X840&gt;='Methodology &amp; Assumptions'!$B$7, "Tier 1 Critical GIDA (Score ≥ 50.0)", IF(X840&gt;='Methodology &amp; Assumptions'!$B$8, "Tier 2 High GIDA (Score 40.0–49.9)", "Tier 3 Moderate GIDA (Score &lt; 40.0)"))</f>
        <v/>
      </c>
      <c r="V840" s="26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W840" s="28" t="n">
        <v>0.237</v>
      </c>
      <c r="X840" s="14" t="n">
        <v>45.11</v>
      </c>
      <c r="Y840" s="14">
        <f>ROUND(MIN(100, (X840/69.91)*100), 2)</f>
        <v/>
      </c>
    </row>
    <row r="841">
      <c r="A841" s="10" t="n">
        <v>4</v>
      </c>
      <c r="B841" s="10" t="n">
        <v>837</v>
      </c>
      <c r="C841" s="10" t="n">
        <v>3837</v>
      </c>
      <c r="D841" s="10" t="inlineStr">
        <is>
          <t>0804810024</t>
        </is>
      </c>
      <c r="E841" s="26" t="inlineStr">
        <is>
          <t>Region VIII (Eastern Visayas)</t>
        </is>
      </c>
      <c r="F841" s="26" t="inlineStr">
        <is>
          <t>Northern Samar</t>
        </is>
      </c>
      <c r="G841" s="26" t="inlineStr">
        <is>
          <t>Las Navas</t>
        </is>
      </c>
      <c r="H841" s="26" t="inlineStr">
        <is>
          <t>Macarthur</t>
        </is>
      </c>
      <c r="I841" s="27" t="n">
        <v>12.288702</v>
      </c>
      <c r="J841" s="27" t="n">
        <v>125.025857</v>
      </c>
      <c r="K841" s="10" t="inlineStr">
        <is>
          <t>R</t>
        </is>
      </c>
      <c r="L841" s="12" t="n">
        <v>307</v>
      </c>
      <c r="M841" s="14" t="n">
        <v>4.3</v>
      </c>
      <c r="N841" s="12">
        <f>ROUND(L841/M841, 0)</f>
        <v/>
      </c>
      <c r="O841" s="12">
        <f>ROUND(N841*'Methodology &amp; Assumptions'!$B$5, 0)</f>
        <v/>
      </c>
      <c r="P841" s="10" t="inlineStr">
        <is>
          <t>Single Carrier (Band n50, 100MHz TDD)</t>
        </is>
      </c>
      <c r="Q841" s="13">
        <f>ROUNDUP(O841/'Methodology &amp; Assumptions'!$B$6, 0)</f>
        <v/>
      </c>
      <c r="R841" s="13" t="n">
        <v>1</v>
      </c>
      <c r="S841" s="14" t="n">
        <v>107.49</v>
      </c>
      <c r="T841" s="14" t="n">
        <v>106.91</v>
      </c>
      <c r="U841" s="26">
        <f>IF(X841&gt;='Methodology &amp; Assumptions'!$B$7, "Tier 1 Critical GIDA (Score ≥ 50.0)", IF(X841&gt;='Methodology &amp; Assumptions'!$B$8, "Tier 2 High GIDA (Score 40.0–49.9)", "Tier 3 Moderate GIDA (Score &lt; 40.0)"))</f>
        <v/>
      </c>
      <c r="V841" s="26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W841" s="28" t="n">
        <v>0.237</v>
      </c>
      <c r="X841" s="14" t="n">
        <v>45.11</v>
      </c>
      <c r="Y841" s="14">
        <f>ROUND(MIN(100, (X841/69.91)*100), 2)</f>
        <v/>
      </c>
    </row>
    <row r="842">
      <c r="A842" s="10" t="n">
        <v>4</v>
      </c>
      <c r="B842" s="10" t="n">
        <v>838</v>
      </c>
      <c r="C842" s="10" t="n">
        <v>3838</v>
      </c>
      <c r="D842" s="10" t="inlineStr">
        <is>
          <t>0307702013</t>
        </is>
      </c>
      <c r="E842" s="26" t="inlineStr">
        <is>
          <t>Region III (Central Luzon)</t>
        </is>
      </c>
      <c r="F842" s="26" t="inlineStr">
        <is>
          <t>Aurora</t>
        </is>
      </c>
      <c r="G842" s="26" t="inlineStr">
        <is>
          <t>Casiguran</t>
        </is>
      </c>
      <c r="H842" s="26" t="inlineStr">
        <is>
          <t>Dibet</t>
        </is>
      </c>
      <c r="I842" s="27" t="n">
        <v>16.21497</v>
      </c>
      <c r="J842" s="27" t="n">
        <v>122.06146</v>
      </c>
      <c r="K842" s="10" t="inlineStr">
        <is>
          <t>R</t>
        </is>
      </c>
      <c r="L842" s="12" t="n">
        <v>849</v>
      </c>
      <c r="M842" s="14" t="n">
        <v>3.8</v>
      </c>
      <c r="N842" s="12">
        <f>ROUND(L842/M842, 0)</f>
        <v/>
      </c>
      <c r="O842" s="12">
        <f>ROUND(N842*'Methodology &amp; Assumptions'!$B$5, 0)</f>
        <v/>
      </c>
      <c r="P842" s="10" t="inlineStr">
        <is>
          <t>Single Carrier (Band n50, 100MHz TDD)</t>
        </is>
      </c>
      <c r="Q842" s="13">
        <f>ROUNDUP(O842/'Methodology &amp; Assumptions'!$B$6, 0)</f>
        <v/>
      </c>
      <c r="R842" s="13" t="n">
        <v>1</v>
      </c>
      <c r="S842" s="14" t="n">
        <v>2.3</v>
      </c>
      <c r="T842" s="14" t="n">
        <v>0.85</v>
      </c>
      <c r="U842" s="26">
        <f>IF(X842&gt;='Methodology &amp; Assumptions'!$B$7, "Tier 1 Critical GIDA (Score ≥ 50.0)", IF(X842&gt;='Methodology &amp; Assumptions'!$B$8, "Tier 2 High GIDA (Score 40.0–49.9)", "Tier 3 Moderate GIDA (Score &lt; 40.0)"))</f>
        <v/>
      </c>
      <c r="V842" s="26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W842" s="28" t="n">
        <v>0.083</v>
      </c>
      <c r="X842" s="14" t="n">
        <v>45.11</v>
      </c>
      <c r="Y842" s="14">
        <f>ROUND(MIN(100, (X842/69.91)*100), 2)</f>
        <v/>
      </c>
    </row>
    <row r="843">
      <c r="A843" s="10" t="n">
        <v>4</v>
      </c>
      <c r="B843" s="10" t="n">
        <v>839</v>
      </c>
      <c r="C843" s="10" t="n">
        <v>3839</v>
      </c>
      <c r="D843" s="10" t="inlineStr">
        <is>
          <t>0804822010</t>
        </is>
      </c>
      <c r="E843" s="26" t="inlineStr">
        <is>
          <t>Region VIII (Eastern Visayas)</t>
        </is>
      </c>
      <c r="F843" s="26" t="inlineStr">
        <is>
          <t>Northern Samar</t>
        </is>
      </c>
      <c r="G843" s="26" t="inlineStr">
        <is>
          <t>Silvino Lobos</t>
        </is>
      </c>
      <c r="H843" s="26" t="inlineStr">
        <is>
          <t>Gebonawan</t>
        </is>
      </c>
      <c r="I843" s="27" t="n">
        <v>12.304721</v>
      </c>
      <c r="J843" s="27" t="n">
        <v>124.836882</v>
      </c>
      <c r="K843" s="10" t="inlineStr">
        <is>
          <t>R</t>
        </is>
      </c>
      <c r="L843" s="12" t="n">
        <v>251</v>
      </c>
      <c r="M843" s="14" t="n">
        <v>4.3</v>
      </c>
      <c r="N843" s="12">
        <f>ROUND(L843/M843, 0)</f>
        <v/>
      </c>
      <c r="O843" s="12">
        <f>ROUND(N843*'Methodology &amp; Assumptions'!$B$5, 0)</f>
        <v/>
      </c>
      <c r="P843" s="10" t="inlineStr">
        <is>
          <t>Single Carrier (Band n50, 100MHz TDD)</t>
        </is>
      </c>
      <c r="Q843" s="13">
        <f>ROUNDUP(O843/'Methodology &amp; Assumptions'!$B$6, 0)</f>
        <v/>
      </c>
      <c r="R843" s="13" t="n">
        <v>1</v>
      </c>
      <c r="S843" s="14" t="n">
        <v>87.79000000000001</v>
      </c>
      <c r="T843" s="14" t="n">
        <v>87.48</v>
      </c>
      <c r="U843" s="26">
        <f>IF(X843&gt;='Methodology &amp; Assumptions'!$B$7, "Tier 1 Critical GIDA (Score ≥ 50.0)", IF(X843&gt;='Methodology &amp; Assumptions'!$B$8, "Tier 2 High GIDA (Score 40.0–49.9)", "Tier 3 Moderate GIDA (Score &lt; 40.0)"))</f>
        <v/>
      </c>
      <c r="V843" s="26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W843" s="28" t="n">
        <v>0.237</v>
      </c>
      <c r="X843" s="14" t="n">
        <v>45.11</v>
      </c>
      <c r="Y843" s="14">
        <f>ROUND(MIN(100, (X843/69.91)*100), 2)</f>
        <v/>
      </c>
    </row>
    <row r="844">
      <c r="A844" s="10" t="n">
        <v>4</v>
      </c>
      <c r="B844" s="10" t="n">
        <v>840</v>
      </c>
      <c r="C844" s="10" t="n">
        <v>3840</v>
      </c>
      <c r="D844" s="10" t="inlineStr">
        <is>
          <t>0804810006</t>
        </is>
      </c>
      <c r="E844" s="26" t="inlineStr">
        <is>
          <t>Region VIII (Eastern Visayas)</t>
        </is>
      </c>
      <c r="F844" s="26" t="inlineStr">
        <is>
          <t>Northern Samar</t>
        </is>
      </c>
      <c r="G844" s="26" t="inlineStr">
        <is>
          <t>Las Navas</t>
        </is>
      </c>
      <c r="H844" s="26" t="inlineStr">
        <is>
          <t>Caputoan</t>
        </is>
      </c>
      <c r="I844" s="27" t="n">
        <v>12.25198</v>
      </c>
      <c r="J844" s="27" t="n">
        <v>124.94599</v>
      </c>
      <c r="K844" s="10" t="inlineStr">
        <is>
          <t>R</t>
        </is>
      </c>
      <c r="L844" s="12" t="n">
        <v>335</v>
      </c>
      <c r="M844" s="14" t="n">
        <v>4.3</v>
      </c>
      <c r="N844" s="12">
        <f>ROUND(L844/M844, 0)</f>
        <v/>
      </c>
      <c r="O844" s="12">
        <f>ROUND(N844*'Methodology &amp; Assumptions'!$B$5, 0)</f>
        <v/>
      </c>
      <c r="P844" s="10" t="inlineStr">
        <is>
          <t>Single Carrier (Band n50, 100MHz TDD)</t>
        </is>
      </c>
      <c r="Q844" s="13">
        <f>ROUNDUP(O844/'Methodology &amp; Assumptions'!$B$6, 0)</f>
        <v/>
      </c>
      <c r="R844" s="13" t="n">
        <v>1</v>
      </c>
      <c r="S844" s="14" t="n">
        <v>100.96</v>
      </c>
      <c r="T844" s="14" t="n">
        <v>100.7</v>
      </c>
      <c r="U844" s="26">
        <f>IF(X844&gt;='Methodology &amp; Assumptions'!$B$7, "Tier 1 Critical GIDA (Score ≥ 50.0)", IF(X844&gt;='Methodology &amp; Assumptions'!$B$8, "Tier 2 High GIDA (Score 40.0–49.9)", "Tier 3 Moderate GIDA (Score &lt; 40.0)"))</f>
        <v/>
      </c>
      <c r="V844" s="26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W844" s="28" t="n">
        <v>0.237</v>
      </c>
      <c r="X844" s="14" t="n">
        <v>45.11</v>
      </c>
      <c r="Y844" s="14">
        <f>ROUND(MIN(100, (X844/69.91)*100), 2)</f>
        <v/>
      </c>
    </row>
    <row r="845">
      <c r="A845" s="10" t="n">
        <v>4</v>
      </c>
      <c r="B845" s="10" t="n">
        <v>841</v>
      </c>
      <c r="C845" s="10" t="n">
        <v>3841</v>
      </c>
      <c r="D845" s="10" t="inlineStr">
        <is>
          <t>0804806025</t>
        </is>
      </c>
      <c r="E845" s="26" t="inlineStr">
        <is>
          <t>Region VIII (Eastern Visayas)</t>
        </is>
      </c>
      <c r="F845" s="26" t="inlineStr">
        <is>
          <t>Northern Samar</t>
        </is>
      </c>
      <c r="G845" s="26" t="inlineStr">
        <is>
          <t>Catubig</t>
        </is>
      </c>
      <c r="H845" s="26" t="inlineStr">
        <is>
          <t>Manering</t>
        </is>
      </c>
      <c r="I845" s="27" t="n">
        <v>12.435</v>
      </c>
      <c r="J845" s="27" t="n">
        <v>125.08164</v>
      </c>
      <c r="K845" s="10" t="inlineStr">
        <is>
          <t>R</t>
        </is>
      </c>
      <c r="L845" s="12" t="n">
        <v>328</v>
      </c>
      <c r="M845" s="14" t="n">
        <v>4.3</v>
      </c>
      <c r="N845" s="12">
        <f>ROUND(L845/M845, 0)</f>
        <v/>
      </c>
      <c r="O845" s="12">
        <f>ROUND(N845*'Methodology &amp; Assumptions'!$B$5, 0)</f>
        <v/>
      </c>
      <c r="P845" s="10" t="inlineStr">
        <is>
          <t>Single Carrier (Band n50, 100MHz TDD)</t>
        </is>
      </c>
      <c r="Q845" s="13">
        <f>ROUNDUP(O845/'Methodology &amp; Assumptions'!$B$6, 0)</f>
        <v/>
      </c>
      <c r="R845" s="13" t="n">
        <v>1</v>
      </c>
      <c r="S845" s="14" t="n">
        <v>108.48</v>
      </c>
      <c r="T845" s="14" t="n">
        <v>107.68</v>
      </c>
      <c r="U845" s="26">
        <f>IF(X845&gt;='Methodology &amp; Assumptions'!$B$7, "Tier 1 Critical GIDA (Score ≥ 50.0)", IF(X845&gt;='Methodology &amp; Assumptions'!$B$8, "Tier 2 High GIDA (Score 40.0–49.9)", "Tier 3 Moderate GIDA (Score &lt; 40.0)"))</f>
        <v/>
      </c>
      <c r="V845" s="26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W845" s="28" t="n">
        <v>0.237</v>
      </c>
      <c r="X845" s="14" t="n">
        <v>45.11</v>
      </c>
      <c r="Y845" s="14">
        <f>ROUND(MIN(100, (X845/69.91)*100), 2)</f>
        <v/>
      </c>
    </row>
    <row r="846">
      <c r="A846" s="10" t="n">
        <v>4</v>
      </c>
      <c r="B846" s="10" t="n">
        <v>842</v>
      </c>
      <c r="C846" s="10" t="n">
        <v>3842</v>
      </c>
      <c r="D846" s="10" t="inlineStr">
        <is>
          <t>1004316001</t>
        </is>
      </c>
      <c r="E846" s="26" t="inlineStr">
        <is>
          <t>Region X (Northern Mindanao)</t>
        </is>
      </c>
      <c r="F846" s="26" t="inlineStr">
        <is>
          <t>Misamis Oriental</t>
        </is>
      </c>
      <c r="G846" s="26" t="inlineStr">
        <is>
          <t>Lugait</t>
        </is>
      </c>
      <c r="H846" s="26" t="inlineStr">
        <is>
          <t>Aya-aya</t>
        </is>
      </c>
      <c r="I846" s="27" t="n">
        <v>8.338744999999999</v>
      </c>
      <c r="J846" s="27" t="n">
        <v>124.308813</v>
      </c>
      <c r="K846" s="10" t="inlineStr">
        <is>
          <t>R</t>
        </is>
      </c>
      <c r="L846" s="12" t="n">
        <v>1697</v>
      </c>
      <c r="M846" s="14" t="n">
        <v>3.9</v>
      </c>
      <c r="N846" s="12">
        <f>ROUND(L846/M846, 0)</f>
        <v/>
      </c>
      <c r="O846" s="12">
        <f>ROUND(N846*'Methodology &amp; Assumptions'!$B$5, 0)</f>
        <v/>
      </c>
      <c r="P846" s="10" t="inlineStr">
        <is>
          <t>Single Carrier (Band n50, 100MHz TDD)</t>
        </is>
      </c>
      <c r="Q846" s="13">
        <f>ROUNDUP(O846/'Methodology &amp; Assumptions'!$B$6, 0)</f>
        <v/>
      </c>
      <c r="R846" s="13" t="n">
        <v>1</v>
      </c>
      <c r="S846" s="14" t="n">
        <v>7.14</v>
      </c>
      <c r="T846" s="14" t="n">
        <v>5.28</v>
      </c>
      <c r="U846" s="26">
        <f>IF(X846&gt;='Methodology &amp; Assumptions'!$B$7, "Tier 1 Critical GIDA (Score ≥ 50.0)", IF(X846&gt;='Methodology &amp; Assumptions'!$B$8, "Tier 2 High GIDA (Score 40.0–49.9)", "Tier 3 Moderate GIDA (Score &lt; 40.0)"))</f>
        <v/>
      </c>
      <c r="V846" s="26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W846" s="28" t="n">
        <v>0.174</v>
      </c>
      <c r="X846" s="14" t="n">
        <v>45.1</v>
      </c>
      <c r="Y846" s="14">
        <f>ROUND(MIN(100, (X846/69.91)*100), 2)</f>
        <v/>
      </c>
    </row>
    <row r="847">
      <c r="A847" s="10" t="n">
        <v>4</v>
      </c>
      <c r="B847" s="10" t="n">
        <v>843</v>
      </c>
      <c r="C847" s="10" t="n">
        <v>3843</v>
      </c>
      <c r="D847" s="10" t="inlineStr">
        <is>
          <t>0804822022</t>
        </is>
      </c>
      <c r="E847" s="26" t="inlineStr">
        <is>
          <t>Region VIII (Eastern Visayas)</t>
        </is>
      </c>
      <c r="F847" s="26" t="inlineStr">
        <is>
          <t>Northern Samar</t>
        </is>
      </c>
      <c r="G847" s="26" t="inlineStr">
        <is>
          <t>Silvino Lobos</t>
        </is>
      </c>
      <c r="H847" s="26" t="inlineStr">
        <is>
          <t>Tobgon</t>
        </is>
      </c>
      <c r="I847" s="27" t="n">
        <v>12.308918</v>
      </c>
      <c r="J847" s="27" t="n">
        <v>124.827038</v>
      </c>
      <c r="K847" s="10" t="inlineStr">
        <is>
          <t>R</t>
        </is>
      </c>
      <c r="L847" s="12" t="n">
        <v>126</v>
      </c>
      <c r="M847" s="14" t="n">
        <v>4.3</v>
      </c>
      <c r="N847" s="12">
        <f>ROUND(L847/M847, 0)</f>
        <v/>
      </c>
      <c r="O847" s="12">
        <f>ROUND(N847*'Methodology &amp; Assumptions'!$B$5, 0)</f>
        <v/>
      </c>
      <c r="P847" s="10" t="inlineStr">
        <is>
          <t>Single Carrier (Band n50, 100MHz TDD)</t>
        </is>
      </c>
      <c r="Q847" s="13">
        <f>ROUNDUP(O847/'Methodology &amp; Assumptions'!$B$6, 0)</f>
        <v/>
      </c>
      <c r="R847" s="13" t="n">
        <v>1</v>
      </c>
      <c r="S847" s="14" t="n">
        <v>86.62</v>
      </c>
      <c r="T847" s="14" t="n">
        <v>86.31</v>
      </c>
      <c r="U847" s="26">
        <f>IF(X847&gt;='Methodology &amp; Assumptions'!$B$7, "Tier 1 Critical GIDA (Score ≥ 50.0)", IF(X847&gt;='Methodology &amp; Assumptions'!$B$8, "Tier 2 High GIDA (Score 40.0–49.9)", "Tier 3 Moderate GIDA (Score &lt; 40.0)"))</f>
        <v/>
      </c>
      <c r="V847" s="26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W847" s="28" t="n">
        <v>0.237</v>
      </c>
      <c r="X847" s="14" t="n">
        <v>45.1</v>
      </c>
      <c r="Y847" s="14">
        <f>ROUND(MIN(100, (X847/69.91)*100), 2)</f>
        <v/>
      </c>
    </row>
    <row r="848">
      <c r="A848" s="10" t="n">
        <v>4</v>
      </c>
      <c r="B848" s="10" t="n">
        <v>844</v>
      </c>
      <c r="C848" s="10" t="n">
        <v>3844</v>
      </c>
      <c r="D848" s="10" t="inlineStr">
        <is>
          <t>0804810020</t>
        </is>
      </c>
      <c r="E848" s="26" t="inlineStr">
        <is>
          <t>Region VIII (Eastern Visayas)</t>
        </is>
      </c>
      <c r="F848" s="26" t="inlineStr">
        <is>
          <t>Northern Samar</t>
        </is>
      </c>
      <c r="G848" s="26" t="inlineStr">
        <is>
          <t>Las Navas</t>
        </is>
      </c>
      <c r="H848" s="26" t="inlineStr">
        <is>
          <t>Lakandula</t>
        </is>
      </c>
      <c r="I848" s="27" t="n">
        <v>12.27377</v>
      </c>
      <c r="J848" s="27" t="n">
        <v>124.93251</v>
      </c>
      <c r="K848" s="10" t="inlineStr">
        <is>
          <t>R</t>
        </is>
      </c>
      <c r="L848" s="12" t="n">
        <v>316</v>
      </c>
      <c r="M848" s="14" t="n">
        <v>4.3</v>
      </c>
      <c r="N848" s="12">
        <f>ROUND(L848/M848, 0)</f>
        <v/>
      </c>
      <c r="O848" s="12">
        <f>ROUND(N848*'Methodology &amp; Assumptions'!$B$5, 0)</f>
        <v/>
      </c>
      <c r="P848" s="10" t="inlineStr">
        <is>
          <t>Single Carrier (Band n50, 100MHz TDD)</t>
        </is>
      </c>
      <c r="Q848" s="13">
        <f>ROUNDUP(O848/'Methodology &amp; Assumptions'!$B$6, 0)</f>
        <v/>
      </c>
      <c r="R848" s="13" t="n">
        <v>1</v>
      </c>
      <c r="S848" s="14" t="n">
        <v>98.72</v>
      </c>
      <c r="T848" s="14" t="n">
        <v>98.31999999999999</v>
      </c>
      <c r="U848" s="26">
        <f>IF(X848&gt;='Methodology &amp; Assumptions'!$B$7, "Tier 1 Critical GIDA (Score ≥ 50.0)", IF(X848&gt;='Methodology &amp; Assumptions'!$B$8, "Tier 2 High GIDA (Score 40.0–49.9)", "Tier 3 Moderate GIDA (Score &lt; 40.0)"))</f>
        <v/>
      </c>
      <c r="V848" s="26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W848" s="28" t="n">
        <v>0.237</v>
      </c>
      <c r="X848" s="14" t="n">
        <v>45.1</v>
      </c>
      <c r="Y848" s="14">
        <f>ROUND(MIN(100, (X848/69.91)*100), 2)</f>
        <v/>
      </c>
    </row>
    <row r="849">
      <c r="A849" s="10" t="n">
        <v>4</v>
      </c>
      <c r="B849" s="10" t="n">
        <v>845</v>
      </c>
      <c r="C849" s="10" t="n">
        <v>3845</v>
      </c>
      <c r="D849" s="10" t="inlineStr">
        <is>
          <t>PH0003845</t>
        </is>
      </c>
      <c r="E849" s="26" t="inlineStr">
        <is>
          <t>VI</t>
        </is>
      </c>
      <c r="F849" s="26" t="inlineStr">
        <is>
          <t>Iloilo</t>
        </is>
      </c>
      <c r="G849" s="26" t="inlineStr">
        <is>
          <t>Iloilo City</t>
        </is>
      </c>
      <c r="H849" s="26" t="inlineStr">
        <is>
          <t>North San Jose</t>
        </is>
      </c>
      <c r="I849" s="27" t="n">
        <v>10.819286</v>
      </c>
      <c r="J849" s="27" t="n">
        <v>122.473138</v>
      </c>
      <c r="K849" s="10" t="inlineStr">
        <is>
          <t>R</t>
        </is>
      </c>
      <c r="L849" s="12" t="n">
        <v>2230</v>
      </c>
      <c r="M849" s="14" t="n">
        <v>3.8</v>
      </c>
      <c r="N849" s="12">
        <f>ROUND(L849/M849, 0)</f>
        <v/>
      </c>
      <c r="O849" s="12">
        <f>ROUND(N849*'Methodology &amp; Assumptions'!$B$5, 0)</f>
        <v/>
      </c>
      <c r="P849" s="10" t="inlineStr">
        <is>
          <t>Single Carrier (Band n50, 100MHz TDD)</t>
        </is>
      </c>
      <c r="Q849" s="13">
        <f>ROUNDUP(O849/'Methodology &amp; Assumptions'!$B$6, 0)</f>
        <v/>
      </c>
      <c r="R849" s="13" t="n">
        <v>1</v>
      </c>
      <c r="S849" s="14" t="n">
        <v>6.77</v>
      </c>
      <c r="T849" s="14" t="n">
        <v>3.07</v>
      </c>
      <c r="U849" s="26">
        <f>IF(X849&gt;='Methodology &amp; Assumptions'!$B$7, "Tier 1 Critical GIDA (Score ≥ 50.0)", IF(X849&gt;='Methodology &amp; Assumptions'!$B$8, "Tier 2 High GIDA (Score 40.0–49.9)", "Tier 3 Moderate GIDA (Score &lt; 40.0)"))</f>
        <v/>
      </c>
      <c r="V849" s="26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W849" s="28" t="n">
        <v>0.156</v>
      </c>
      <c r="X849" s="14" t="n">
        <v>45.1</v>
      </c>
      <c r="Y849" s="14">
        <f>ROUND(MIN(100, (X849/69.91)*100), 2)</f>
        <v/>
      </c>
    </row>
    <row r="850">
      <c r="A850" s="10" t="n">
        <v>4</v>
      </c>
      <c r="B850" s="10" t="n">
        <v>846</v>
      </c>
      <c r="C850" s="10" t="n">
        <v>3846</v>
      </c>
      <c r="D850" s="10" t="inlineStr">
        <is>
          <t>1908705023</t>
        </is>
      </c>
      <c r="E850" s="26" t="inlineStr">
        <is>
          <t>Bangsamoro Autonomous Region In Muslim Mindanao (BARMM)</t>
        </is>
      </c>
      <c r="F850" s="26" t="inlineStr">
        <is>
          <t>Maguindanao del Norte</t>
        </is>
      </c>
      <c r="G850" s="26" t="inlineStr">
        <is>
          <t>Datu Odin Sinsuat</t>
        </is>
      </c>
      <c r="H850" s="26" t="inlineStr">
        <is>
          <t>Mompong</t>
        </is>
      </c>
      <c r="I850" s="27" t="n">
        <v>17.253909</v>
      </c>
      <c r="J850" s="27" t="n">
        <v>122.227953</v>
      </c>
      <c r="K850" s="10" t="inlineStr">
        <is>
          <t>R</t>
        </is>
      </c>
      <c r="L850" s="12" t="n">
        <v>3495</v>
      </c>
      <c r="M850" s="14" t="n">
        <v>4.3</v>
      </c>
      <c r="N850" s="12">
        <f>ROUND(L850/M850, 0)</f>
        <v/>
      </c>
      <c r="O850" s="12">
        <f>ROUND(N850*'Methodology &amp; Assumptions'!$B$5, 0)</f>
        <v/>
      </c>
      <c r="P850" s="10" t="inlineStr">
        <is>
          <t>Single Carrier (Band n50, 100MHz TDD)</t>
        </is>
      </c>
      <c r="Q850" s="13">
        <f>ROUNDUP(O850/'Methodology &amp; Assumptions'!$B$6, 0)</f>
        <v/>
      </c>
      <c r="R850" s="13" t="n">
        <v>1</v>
      </c>
      <c r="S850" s="14" t="n">
        <v>29.27</v>
      </c>
      <c r="T850" s="14" t="n">
        <v>34.17</v>
      </c>
      <c r="U850" s="26">
        <f>IF(X850&gt;='Methodology &amp; Assumptions'!$B$7, "Tier 1 Critical GIDA (Score ≥ 50.0)", IF(X850&gt;='Methodology &amp; Assumptions'!$B$8, "Tier 2 High GIDA (Score 40.0–49.9)", "Tier 3 Moderate GIDA (Score &lt; 40.0)"))</f>
        <v/>
      </c>
      <c r="V850" s="26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W850" s="28" t="n">
        <v>0.11</v>
      </c>
      <c r="X850" s="14" t="n">
        <v>45.1</v>
      </c>
      <c r="Y850" s="14">
        <f>ROUND(MIN(100, (X850/69.91)*100), 2)</f>
        <v/>
      </c>
    </row>
    <row r="851">
      <c r="A851" s="10" t="n">
        <v>4</v>
      </c>
      <c r="B851" s="10" t="n">
        <v>847</v>
      </c>
      <c r="C851" s="10" t="n">
        <v>3847</v>
      </c>
      <c r="D851" s="10" t="inlineStr">
        <is>
          <t>1908801010</t>
        </is>
      </c>
      <c r="E851" s="26" t="inlineStr">
        <is>
          <t>Bangsamoro Autonomous Region In Muslim Mindanao (BARMM)</t>
        </is>
      </c>
      <c r="F851" s="26" t="inlineStr">
        <is>
          <t>Maguindanao del Sur</t>
        </is>
      </c>
      <c r="G851" s="26" t="inlineStr">
        <is>
          <t>Ampatuan</t>
        </is>
      </c>
      <c r="H851" s="26" t="inlineStr">
        <is>
          <t>Tubak</t>
        </is>
      </c>
      <c r="I851" s="27" t="n">
        <v>17.254935</v>
      </c>
      <c r="J851" s="27" t="n">
        <v>122.228979</v>
      </c>
      <c r="K851" s="10" t="inlineStr">
        <is>
          <t>R</t>
        </is>
      </c>
      <c r="L851" s="12" t="n">
        <v>1401</v>
      </c>
      <c r="M851" s="14" t="n">
        <v>4.7</v>
      </c>
      <c r="N851" s="12">
        <f>ROUND(L851/M851, 0)</f>
        <v/>
      </c>
      <c r="O851" s="12">
        <f>ROUND(N851*'Methodology &amp; Assumptions'!$B$5, 0)</f>
        <v/>
      </c>
      <c r="P851" s="10" t="inlineStr">
        <is>
          <t>Single Carrier (Band n50, 100MHz TDD)</t>
        </is>
      </c>
      <c r="Q851" s="13">
        <f>ROUNDUP(O851/'Methodology &amp; Assumptions'!$B$6, 0)</f>
        <v/>
      </c>
      <c r="R851" s="13" t="n">
        <v>1</v>
      </c>
      <c r="S851" s="14" t="n">
        <v>29.43</v>
      </c>
      <c r="T851" s="14" t="n">
        <v>34.31</v>
      </c>
      <c r="U851" s="26">
        <f>IF(X851&gt;='Methodology &amp; Assumptions'!$B$7, "Tier 1 Critical GIDA (Score ≥ 50.0)", IF(X851&gt;='Methodology &amp; Assumptions'!$B$8, "Tier 2 High GIDA (Score 40.0–49.9)", "Tier 3 Moderate GIDA (Score &lt; 40.0)"))</f>
        <v/>
      </c>
      <c r="V851" s="26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W851" s="28" t="n">
        <v>0.11</v>
      </c>
      <c r="X851" s="14" t="n">
        <v>45.09</v>
      </c>
      <c r="Y851" s="14">
        <f>ROUND(MIN(100, (X851/69.91)*100), 2)</f>
        <v/>
      </c>
    </row>
    <row r="852">
      <c r="A852" s="10" t="n">
        <v>4</v>
      </c>
      <c r="B852" s="10" t="n">
        <v>848</v>
      </c>
      <c r="C852" s="10" t="n">
        <v>3848</v>
      </c>
      <c r="D852" s="10" t="inlineStr">
        <is>
          <t>0102820020</t>
        </is>
      </c>
      <c r="E852" s="26" t="inlineStr">
        <is>
          <t>Region I (Ilocos Region)</t>
        </is>
      </c>
      <c r="F852" s="26" t="inlineStr">
        <is>
          <t>Ilocos Norte</t>
        </is>
      </c>
      <c r="G852" s="26" t="inlineStr">
        <is>
          <t>San Nicolas</t>
        </is>
      </c>
      <c r="H852" s="26" t="inlineStr">
        <is>
          <t>San Rufino</t>
        </is>
      </c>
      <c r="I852" s="27" t="n">
        <v>18.156692</v>
      </c>
      <c r="J852" s="27" t="n">
        <v>120.590637</v>
      </c>
      <c r="K852" s="10" t="inlineStr">
        <is>
          <t>R</t>
        </is>
      </c>
      <c r="L852" s="12" t="n">
        <v>1162</v>
      </c>
      <c r="M852" s="14" t="n">
        <v>3.7</v>
      </c>
      <c r="N852" s="12">
        <f>ROUND(L852/M852, 0)</f>
        <v/>
      </c>
      <c r="O852" s="12">
        <f>ROUND(N852*'Methodology &amp; Assumptions'!$B$5, 0)</f>
        <v/>
      </c>
      <c r="P852" s="10" t="inlineStr">
        <is>
          <t>Single Carrier (Band n50, 100MHz TDD)</t>
        </is>
      </c>
      <c r="Q852" s="13">
        <f>ROUNDUP(O852/'Methodology &amp; Assumptions'!$B$6, 0)</f>
        <v/>
      </c>
      <c r="R852" s="13" t="n">
        <v>1</v>
      </c>
      <c r="S852" s="14" t="n">
        <v>1.55</v>
      </c>
      <c r="T852" s="14" t="n">
        <v>0.38</v>
      </c>
      <c r="U852" s="26">
        <f>IF(X852&gt;='Methodology &amp; Assumptions'!$B$7, "Tier 1 Critical GIDA (Score ≥ 50.0)", IF(X852&gt;='Methodology &amp; Assumptions'!$B$8, "Tier 2 High GIDA (Score 40.0–49.9)", "Tier 3 Moderate GIDA (Score &lt; 40.0)"))</f>
        <v/>
      </c>
      <c r="V852" s="26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W852" s="28" t="n">
        <v>0.083</v>
      </c>
      <c r="X852" s="14" t="n">
        <v>45.09</v>
      </c>
      <c r="Y852" s="14">
        <f>ROUND(MIN(100, (X852/69.91)*100), 2)</f>
        <v/>
      </c>
    </row>
    <row r="853">
      <c r="A853" s="10" t="n">
        <v>4</v>
      </c>
      <c r="B853" s="10" t="n">
        <v>849</v>
      </c>
      <c r="C853" s="10" t="n">
        <v>3849</v>
      </c>
      <c r="D853" s="10" t="inlineStr">
        <is>
          <t>1381200022</t>
        </is>
      </c>
      <c r="E853" s="26" t="inlineStr">
        <is>
          <t>National Capital Region (NCR)</t>
        </is>
      </c>
      <c r="F853" s="26" t="inlineStr">
        <is>
          <t>Second District (Not a Province)</t>
        </is>
      </c>
      <c r="G853" s="26" t="inlineStr">
        <is>
          <t>City of Pasig</t>
        </is>
      </c>
      <c r="H853" s="26" t="inlineStr">
        <is>
          <t>San Miguel</t>
        </is>
      </c>
      <c r="I853" s="27" t="n">
        <v>14.566935</v>
      </c>
      <c r="J853" s="27" t="n">
        <v>121.084732</v>
      </c>
      <c r="K853" s="10" t="inlineStr">
        <is>
          <t>U</t>
        </is>
      </c>
      <c r="L853" s="12" t="n">
        <v>42696</v>
      </c>
      <c r="M853" s="14" t="n">
        <v>3.4</v>
      </c>
      <c r="N853" s="12">
        <f>ROUND(L853/M853, 0)</f>
        <v/>
      </c>
      <c r="O853" s="12">
        <f>ROUND(N853*'Methodology &amp; Assumptions'!$B$5, 0)</f>
        <v/>
      </c>
      <c r="P853" s="10" t="inlineStr">
        <is>
          <t>Single Carrier (Band n50, 100MHz TDD)</t>
        </is>
      </c>
      <c r="Q853" s="13">
        <f>ROUNDUP(O853/'Methodology &amp; Assumptions'!$B$6, 0)</f>
        <v/>
      </c>
      <c r="R853" s="13" t="n">
        <v>1</v>
      </c>
      <c r="S853" s="14" t="n">
        <v>0.34</v>
      </c>
      <c r="T853" s="14" t="n">
        <v>0.27</v>
      </c>
      <c r="U853" s="26">
        <f>IF(X853&gt;='Methodology &amp; Assumptions'!$B$7, "Tier 1 Critical GIDA (Score ≥ 50.0)", IF(X853&gt;='Methodology &amp; Assumptions'!$B$8, "Tier 2 High GIDA (Score 40.0–49.9)", "Tier 3 Moderate GIDA (Score &lt; 40.0)"))</f>
        <v/>
      </c>
      <c r="V853" s="26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W853" s="28" t="n">
        <v>0.109</v>
      </c>
      <c r="X853" s="14" t="n">
        <v>45.09</v>
      </c>
      <c r="Y853" s="14">
        <f>ROUND(MIN(100, (X853/69.91)*100), 2)</f>
        <v/>
      </c>
    </row>
    <row r="854">
      <c r="A854" s="10" t="n">
        <v>4</v>
      </c>
      <c r="B854" s="10" t="n">
        <v>850</v>
      </c>
      <c r="C854" s="10" t="n">
        <v>3850</v>
      </c>
      <c r="D854" s="10" t="inlineStr">
        <is>
          <t>PH0003850</t>
        </is>
      </c>
      <c r="E854" s="26" t="inlineStr">
        <is>
          <t>III</t>
        </is>
      </c>
      <c r="F854" s="26" t="inlineStr">
        <is>
          <t>Nueva Ecija</t>
        </is>
      </c>
      <c r="G854" s="26" t="inlineStr">
        <is>
          <t>Cabanatuan City</t>
        </is>
      </c>
      <c r="H854" s="26" t="inlineStr">
        <is>
          <t>San Juan Pob.</t>
        </is>
      </c>
      <c r="I854" s="27" t="n">
        <v>15.47175</v>
      </c>
      <c r="J854" s="27" t="n">
        <v>120.958161</v>
      </c>
      <c r="K854" s="10" t="inlineStr">
        <is>
          <t>R</t>
        </is>
      </c>
      <c r="L854" s="12" t="n">
        <v>2398</v>
      </c>
      <c r="M854" s="14" t="n">
        <v>3.5</v>
      </c>
      <c r="N854" s="12">
        <f>ROUND(L854/M854, 0)</f>
        <v/>
      </c>
      <c r="O854" s="12">
        <f>ROUND(N854*'Methodology &amp; Assumptions'!$B$5, 0)</f>
        <v/>
      </c>
      <c r="P854" s="10" t="inlineStr">
        <is>
          <t>Single Carrier (Band n50, 100MHz TDD)</t>
        </is>
      </c>
      <c r="Q854" s="13">
        <f>ROUNDUP(O854/'Methodology &amp; Assumptions'!$B$6, 0)</f>
        <v/>
      </c>
      <c r="R854" s="13" t="n">
        <v>1</v>
      </c>
      <c r="S854" s="14" t="n">
        <v>1.15</v>
      </c>
      <c r="T854" s="14" t="n">
        <v>0.3</v>
      </c>
      <c r="U854" s="26">
        <f>IF(X854&gt;='Methodology &amp; Assumptions'!$B$7, "Tier 1 Critical GIDA (Score ≥ 50.0)", IF(X854&gt;='Methodology &amp; Assumptions'!$B$8, "Tier 2 High GIDA (Score 40.0–49.9)", "Tier 3 Moderate GIDA (Score &lt; 40.0)"))</f>
        <v/>
      </c>
      <c r="V854" s="26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W854" s="28" t="n">
        <v>0.083</v>
      </c>
      <c r="X854" s="14" t="n">
        <v>45.09</v>
      </c>
      <c r="Y854" s="14">
        <f>ROUND(MIN(100, (X854/69.91)*100), 2)</f>
        <v/>
      </c>
    </row>
    <row r="855">
      <c r="A855" s="10" t="n">
        <v>4</v>
      </c>
      <c r="B855" s="10" t="n">
        <v>851</v>
      </c>
      <c r="C855" s="10" t="n">
        <v>3851</v>
      </c>
      <c r="D855" s="10" t="inlineStr">
        <is>
          <t>PH0003851</t>
        </is>
      </c>
      <c r="E855" s="26" t="inlineStr">
        <is>
          <t>VIII</t>
        </is>
      </c>
      <c r="F855" s="26" t="inlineStr">
        <is>
          <t>Samar (Western Samar)</t>
        </is>
      </c>
      <c r="G855" s="26" t="inlineStr">
        <is>
          <t>Catbalogan City</t>
        </is>
      </c>
      <c r="H855" s="26" t="inlineStr">
        <is>
          <t>Poblacion 12</t>
        </is>
      </c>
      <c r="I855" s="27" t="n">
        <v>12.886925</v>
      </c>
      <c r="J855" s="27" t="n">
        <v>121.758106</v>
      </c>
      <c r="K855" s="10" t="inlineStr">
        <is>
          <t>R</t>
        </is>
      </c>
      <c r="L855" s="12" t="n">
        <v>2229</v>
      </c>
      <c r="M855" s="14" t="n">
        <v>4.1</v>
      </c>
      <c r="N855" s="12">
        <f>ROUND(L855/M855, 0)</f>
        <v/>
      </c>
      <c r="O855" s="12">
        <f>ROUND(N855*'Methodology &amp; Assumptions'!$B$5, 0)</f>
        <v/>
      </c>
      <c r="P855" s="10" t="inlineStr">
        <is>
          <t>Single Carrier (Band n50, 100MHz TDD)</t>
        </is>
      </c>
      <c r="Q855" s="13">
        <f>ROUNDUP(O855/'Methodology &amp; Assumptions'!$B$6, 0)</f>
        <v/>
      </c>
      <c r="R855" s="13" t="n">
        <v>1</v>
      </c>
      <c r="S855" s="14" t="n">
        <v>31.46</v>
      </c>
      <c r="T855" s="14" t="n">
        <v>31.26</v>
      </c>
      <c r="U855" s="26">
        <f>IF(X855&gt;='Methodology &amp; Assumptions'!$B$7, "Tier 1 Critical GIDA (Score ≥ 50.0)", IF(X855&gt;='Methodology &amp; Assumptions'!$B$8, "Tier 2 High GIDA (Score 40.0–49.9)", "Tier 3 Moderate GIDA (Score &lt; 40.0)"))</f>
        <v/>
      </c>
      <c r="V855" s="26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W855" s="28" t="n">
        <v>0.222</v>
      </c>
      <c r="X855" s="14" t="n">
        <v>45.08</v>
      </c>
      <c r="Y855" s="14">
        <f>ROUND(MIN(100, (X855/69.91)*100), 2)</f>
        <v/>
      </c>
    </row>
    <row r="856">
      <c r="A856" s="10" t="n">
        <v>4</v>
      </c>
      <c r="B856" s="10" t="n">
        <v>852</v>
      </c>
      <c r="C856" s="10" t="n">
        <v>3852</v>
      </c>
      <c r="D856" s="10" t="inlineStr">
        <is>
          <t>1908821003</t>
        </is>
      </c>
      <c r="E856" s="26" t="inlineStr">
        <is>
          <t>Bangsamoro Autonomous Region In Muslim Mindanao (BARMM)</t>
        </is>
      </c>
      <c r="F856" s="26" t="inlineStr">
        <is>
          <t>Maguindanao del Sur</t>
        </is>
      </c>
      <c r="G856" s="26" t="inlineStr">
        <is>
          <t>Shariff Saydona Mustapha</t>
        </is>
      </c>
      <c r="H856" s="26" t="inlineStr">
        <is>
          <t>Dasawao</t>
        </is>
      </c>
      <c r="I856" s="27" t="n">
        <v>17.255206</v>
      </c>
      <c r="J856" s="27" t="n">
        <v>122.22925</v>
      </c>
      <c r="K856" s="10" t="inlineStr">
        <is>
          <t>R</t>
        </is>
      </c>
      <c r="L856" s="12" t="n">
        <v>1730</v>
      </c>
      <c r="M856" s="14" t="n">
        <v>4.7</v>
      </c>
      <c r="N856" s="12">
        <f>ROUND(L856/M856, 0)</f>
        <v/>
      </c>
      <c r="O856" s="12">
        <f>ROUND(N856*'Methodology &amp; Assumptions'!$B$5, 0)</f>
        <v/>
      </c>
      <c r="P856" s="10" t="inlineStr">
        <is>
          <t>Single Carrier (Band n50, 100MHz TDD)</t>
        </is>
      </c>
      <c r="Q856" s="13">
        <f>ROUNDUP(O856/'Methodology &amp; Assumptions'!$B$6, 0)</f>
        <v/>
      </c>
      <c r="R856" s="13" t="n">
        <v>1</v>
      </c>
      <c r="S856" s="14" t="n">
        <v>29.47</v>
      </c>
      <c r="T856" s="14" t="n">
        <v>34.35</v>
      </c>
      <c r="U856" s="26">
        <f>IF(X856&gt;='Methodology &amp; Assumptions'!$B$7, "Tier 1 Critical GIDA (Score ≥ 50.0)", IF(X856&gt;='Methodology &amp; Assumptions'!$B$8, "Tier 2 High GIDA (Score 40.0–49.9)", "Tier 3 Moderate GIDA (Score &lt; 40.0)"))</f>
        <v/>
      </c>
      <c r="V856" s="26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W856" s="28" t="n">
        <v>0.11</v>
      </c>
      <c r="X856" s="14" t="n">
        <v>45.08</v>
      </c>
      <c r="Y856" s="14">
        <f>ROUND(MIN(100, (X856/69.91)*100), 2)</f>
        <v/>
      </c>
    </row>
    <row r="857">
      <c r="A857" s="10" t="n">
        <v>4</v>
      </c>
      <c r="B857" s="10" t="n">
        <v>853</v>
      </c>
      <c r="C857" s="10" t="n">
        <v>3853</v>
      </c>
      <c r="D857" s="10" t="inlineStr">
        <is>
          <t>PH0003853</t>
        </is>
      </c>
      <c r="E857" s="26" t="inlineStr">
        <is>
          <t>IV-A</t>
        </is>
      </c>
      <c r="F857" s="26" t="inlineStr">
        <is>
          <t>Quezon</t>
        </is>
      </c>
      <c r="G857" s="26" t="inlineStr">
        <is>
          <t>Lucena City</t>
        </is>
      </c>
      <c r="H857" s="26" t="inlineStr">
        <is>
          <t>Barangay 4 (Pob.)</t>
        </is>
      </c>
      <c r="I857" s="27" t="n">
        <v>13.936564</v>
      </c>
      <c r="J857" s="27" t="n">
        <v>121.616146</v>
      </c>
      <c r="K857" s="10" t="inlineStr">
        <is>
          <t>R</t>
        </is>
      </c>
      <c r="L857" s="12" t="n">
        <v>1964</v>
      </c>
      <c r="M857" s="14" t="n">
        <v>3.8</v>
      </c>
      <c r="N857" s="12">
        <f>ROUND(L857/M857, 0)</f>
        <v/>
      </c>
      <c r="O857" s="12">
        <f>ROUND(N857*'Methodology &amp; Assumptions'!$B$5, 0)</f>
        <v/>
      </c>
      <c r="P857" s="10" t="inlineStr">
        <is>
          <t>Single Carrier (Band n50, 100MHz TDD)</t>
        </is>
      </c>
      <c r="Q857" s="13">
        <f>ROUNDUP(O857/'Methodology &amp; Assumptions'!$B$6, 0)</f>
        <v/>
      </c>
      <c r="R857" s="13" t="n">
        <v>1</v>
      </c>
      <c r="S857" s="14" t="n">
        <v>0.63</v>
      </c>
      <c r="T857" s="14" t="n">
        <v>0.13</v>
      </c>
      <c r="U857" s="26">
        <f>IF(X857&gt;='Methodology &amp; Assumptions'!$B$7, "Tier 1 Critical GIDA (Score ≥ 50.0)", IF(X857&gt;='Methodology &amp; Assumptions'!$B$8, "Tier 2 High GIDA (Score 40.0–49.9)", "Tier 3 Moderate GIDA (Score &lt; 40.0)"))</f>
        <v/>
      </c>
      <c r="V857" s="26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W857" s="28" t="n">
        <v>0.07200000000000001</v>
      </c>
      <c r="X857" s="14" t="n">
        <v>45.08</v>
      </c>
      <c r="Y857" s="14">
        <f>ROUND(MIN(100, (X857/69.91)*100), 2)</f>
        <v/>
      </c>
    </row>
    <row r="858">
      <c r="A858" s="10" t="n">
        <v>4</v>
      </c>
      <c r="B858" s="10" t="n">
        <v>854</v>
      </c>
      <c r="C858" s="10" t="n">
        <v>3854</v>
      </c>
      <c r="D858" s="10" t="inlineStr">
        <is>
          <t>1907011007</t>
        </is>
      </c>
      <c r="E858" s="26" t="inlineStr">
        <is>
          <t>Bangsamoro Autonomous Region In Muslim Mindanao (BARMM)</t>
        </is>
      </c>
      <c r="F858" s="26" t="inlineStr">
        <is>
          <t>Tawi-Tawi</t>
        </is>
      </c>
      <c r="G858" s="26" t="inlineStr">
        <is>
          <t>Sibutu</t>
        </is>
      </c>
      <c r="H858" s="26" t="inlineStr">
        <is>
          <t>Ligayan</t>
        </is>
      </c>
      <c r="I858" s="27" t="n">
        <v>17.255817</v>
      </c>
      <c r="J858" s="27" t="n">
        <v>122.229861</v>
      </c>
      <c r="K858" s="10" t="inlineStr">
        <is>
          <t>R</t>
        </is>
      </c>
      <c r="L858" s="12" t="n">
        <v>2759</v>
      </c>
      <c r="M858" s="14" t="n">
        <v>5.8</v>
      </c>
      <c r="N858" s="12">
        <f>ROUND(L858/M858, 0)</f>
        <v/>
      </c>
      <c r="O858" s="12">
        <f>ROUND(N858*'Methodology &amp; Assumptions'!$B$5, 0)</f>
        <v/>
      </c>
      <c r="P858" s="10" t="inlineStr">
        <is>
          <t>Single Carrier (Band n50, 100MHz TDD)</t>
        </is>
      </c>
      <c r="Q858" s="13">
        <f>ROUNDUP(O858/'Methodology &amp; Assumptions'!$B$6, 0)</f>
        <v/>
      </c>
      <c r="R858" s="13" t="n">
        <v>1</v>
      </c>
      <c r="S858" s="14" t="n">
        <v>29.56</v>
      </c>
      <c r="T858" s="14" t="n">
        <v>34.43</v>
      </c>
      <c r="U858" s="26">
        <f>IF(X858&gt;='Methodology &amp; Assumptions'!$B$7, "Tier 1 Critical GIDA (Score ≥ 50.0)", IF(X858&gt;='Methodology &amp; Assumptions'!$B$8, "Tier 2 High GIDA (Score 40.0–49.9)", "Tier 3 Moderate GIDA (Score &lt; 40.0)"))</f>
        <v/>
      </c>
      <c r="V858" s="26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W858" s="28" t="n">
        <v>0.11</v>
      </c>
      <c r="X858" s="14" t="n">
        <v>45.08</v>
      </c>
      <c r="Y858" s="14">
        <f>ROUND(MIN(100, (X858/69.91)*100), 2)</f>
        <v/>
      </c>
    </row>
    <row r="859">
      <c r="A859" s="10" t="n">
        <v>4</v>
      </c>
      <c r="B859" s="10" t="n">
        <v>855</v>
      </c>
      <c r="C859" s="10" t="n">
        <v>3855</v>
      </c>
      <c r="D859" s="10" t="inlineStr">
        <is>
          <t>0601917018</t>
        </is>
      </c>
      <c r="E859" s="26" t="inlineStr">
        <is>
          <t>Region VI (Western Visayas)</t>
        </is>
      </c>
      <c r="F859" s="26" t="inlineStr">
        <is>
          <t>Capiz</t>
        </is>
      </c>
      <c r="G859" s="26" t="inlineStr">
        <is>
          <t>Tapaz</t>
        </is>
      </c>
      <c r="H859" s="26" t="inlineStr">
        <is>
          <t>Da-an Sur</t>
        </is>
      </c>
      <c r="I859" s="27" t="n">
        <v>11.2622</v>
      </c>
      <c r="J859" s="27" t="n">
        <v>122.4467</v>
      </c>
      <c r="K859" s="10" t="inlineStr">
        <is>
          <t>R</t>
        </is>
      </c>
      <c r="L859" s="12" t="n">
        <v>879</v>
      </c>
      <c r="M859" s="14" t="n">
        <v>3.8</v>
      </c>
      <c r="N859" s="12">
        <f>ROUND(L859/M859, 0)</f>
        <v/>
      </c>
      <c r="O859" s="12">
        <f>ROUND(N859*'Methodology &amp; Assumptions'!$B$5, 0)</f>
        <v/>
      </c>
      <c r="P859" s="10" t="inlineStr">
        <is>
          <t>Single Carrier (Band n50, 100MHz TDD)</t>
        </is>
      </c>
      <c r="Q859" s="13">
        <f>ROUNDUP(O859/'Methodology &amp; Assumptions'!$B$6, 0)</f>
        <v/>
      </c>
      <c r="R859" s="13" t="n">
        <v>1</v>
      </c>
      <c r="S859" s="14" t="n">
        <v>25.09</v>
      </c>
      <c r="T859" s="14" t="n">
        <v>12.33</v>
      </c>
      <c r="U859" s="26">
        <f>IF(X859&gt;='Methodology &amp; Assumptions'!$B$7, "Tier 1 Critical GIDA (Score ≥ 50.0)", IF(X859&gt;='Methodology &amp; Assumptions'!$B$8, "Tier 2 High GIDA (Score 40.0–49.9)", "Tier 3 Moderate GIDA (Score &lt; 40.0)"))</f>
        <v/>
      </c>
      <c r="V859" s="26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W859" s="28" t="n">
        <v>0.237</v>
      </c>
      <c r="X859" s="14" t="n">
        <v>45.08</v>
      </c>
      <c r="Y859" s="14">
        <f>ROUND(MIN(100, (X859/69.91)*100), 2)</f>
        <v/>
      </c>
    </row>
    <row r="860">
      <c r="A860" s="10" t="n">
        <v>4</v>
      </c>
      <c r="B860" s="10" t="n">
        <v>856</v>
      </c>
      <c r="C860" s="10" t="n">
        <v>3856</v>
      </c>
      <c r="D860" s="10" t="inlineStr">
        <is>
          <t>0806013001</t>
        </is>
      </c>
      <c r="E860" s="26" t="inlineStr">
        <is>
          <t>Region VIII (Eastern Visayas)</t>
        </is>
      </c>
      <c r="F860" s="26" t="inlineStr">
        <is>
          <t>Samar</t>
        </is>
      </c>
      <c r="G860" s="26" t="inlineStr">
        <is>
          <t>Pinabacdao</t>
        </is>
      </c>
      <c r="H860" s="26" t="inlineStr">
        <is>
          <t>Bangon</t>
        </is>
      </c>
      <c r="I860" s="27" t="n">
        <v>11.5914</v>
      </c>
      <c r="J860" s="27" t="n">
        <v>124.98713</v>
      </c>
      <c r="K860" s="10" t="inlineStr">
        <is>
          <t>R</t>
        </is>
      </c>
      <c r="L860" s="12" t="n">
        <v>1494</v>
      </c>
      <c r="M860" s="14" t="n">
        <v>4.1</v>
      </c>
      <c r="N860" s="12">
        <f>ROUND(L860/M860, 0)</f>
        <v/>
      </c>
      <c r="O860" s="12">
        <f>ROUND(N860*'Methodology &amp; Assumptions'!$B$5, 0)</f>
        <v/>
      </c>
      <c r="P860" s="10" t="inlineStr">
        <is>
          <t>Single Carrier (Band n50, 100MHz TDD)</t>
        </is>
      </c>
      <c r="Q860" s="13">
        <f>ROUNDUP(O860/'Methodology &amp; Assumptions'!$B$6, 0)</f>
        <v/>
      </c>
      <c r="R860" s="13" t="n">
        <v>1</v>
      </c>
      <c r="S860" s="14" t="n">
        <v>39.15</v>
      </c>
      <c r="T860" s="14" t="n">
        <v>42.21</v>
      </c>
      <c r="U860" s="26">
        <f>IF(X860&gt;='Methodology &amp; Assumptions'!$B$7, "Tier 1 Critical GIDA (Score ≥ 50.0)", IF(X860&gt;='Methodology &amp; Assumptions'!$B$8, "Tier 2 High GIDA (Score 40.0–49.9)", "Tier 3 Moderate GIDA (Score &lt; 40.0)"))</f>
        <v/>
      </c>
      <c r="V860" s="26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W860" s="28" t="n">
        <v>0.237</v>
      </c>
      <c r="X860" s="14" t="n">
        <v>45.08</v>
      </c>
      <c r="Y860" s="14">
        <f>ROUND(MIN(100, (X860/69.91)*100), 2)</f>
        <v/>
      </c>
    </row>
    <row r="861">
      <c r="A861" s="10" t="n">
        <v>4</v>
      </c>
      <c r="B861" s="10" t="n">
        <v>857</v>
      </c>
      <c r="C861" s="10" t="n">
        <v>3857</v>
      </c>
      <c r="D861" s="10" t="inlineStr">
        <is>
          <t>0601909009</t>
        </is>
      </c>
      <c r="E861" s="26" t="inlineStr">
        <is>
          <t>Region VI (Western Visayas)</t>
        </is>
      </c>
      <c r="F861" s="26" t="inlineStr">
        <is>
          <t>Capiz</t>
        </is>
      </c>
      <c r="G861" s="26" t="inlineStr">
        <is>
          <t>Panay</t>
        </is>
      </c>
      <c r="H861" s="26" t="inlineStr">
        <is>
          <t>Bantique</t>
        </is>
      </c>
      <c r="I861" s="27" t="n">
        <v>11.493741</v>
      </c>
      <c r="J861" s="27" t="n">
        <v>122.889829</v>
      </c>
      <c r="K861" s="10" t="inlineStr">
        <is>
          <t>R</t>
        </is>
      </c>
      <c r="L861" s="12" t="n">
        <v>1408</v>
      </c>
      <c r="M861" s="14" t="n">
        <v>3.8</v>
      </c>
      <c r="N861" s="12">
        <f>ROUND(L861/M861, 0)</f>
        <v/>
      </c>
      <c r="O861" s="12">
        <f>ROUND(N861*'Methodology &amp; Assumptions'!$B$5, 0)</f>
        <v/>
      </c>
      <c r="P861" s="10" t="inlineStr">
        <is>
          <t>Single Carrier (Band n50, 100MHz TDD)</t>
        </is>
      </c>
      <c r="Q861" s="13">
        <f>ROUNDUP(O861/'Methodology &amp; Assumptions'!$B$6, 0)</f>
        <v/>
      </c>
      <c r="R861" s="13" t="n">
        <v>1</v>
      </c>
      <c r="S861" s="14" t="n">
        <v>6.34</v>
      </c>
      <c r="T861" s="14" t="n">
        <v>6.21</v>
      </c>
      <c r="U861" s="26">
        <f>IF(X861&gt;='Methodology &amp; Assumptions'!$B$7, "Tier 1 Critical GIDA (Score ≥ 50.0)", IF(X861&gt;='Methodology &amp; Assumptions'!$B$8, "Tier 2 High GIDA (Score 40.0–49.9)", "Tier 3 Moderate GIDA (Score &lt; 40.0)"))</f>
        <v/>
      </c>
      <c r="V861" s="26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W861" s="28" t="n">
        <v>0.237</v>
      </c>
      <c r="X861" s="14" t="n">
        <v>45.08</v>
      </c>
      <c r="Y861" s="14">
        <f>ROUND(MIN(100, (X861/69.91)*100), 2)</f>
        <v/>
      </c>
    </row>
    <row r="862">
      <c r="A862" s="10" t="n">
        <v>4</v>
      </c>
      <c r="B862" s="10" t="n">
        <v>858</v>
      </c>
      <c r="C862" s="10" t="n">
        <v>3858</v>
      </c>
      <c r="D862" s="10" t="inlineStr">
        <is>
          <t>1381300039</t>
        </is>
      </c>
      <c r="E862" s="26" t="inlineStr">
        <is>
          <t>National Capital Region (NCR)</t>
        </is>
      </c>
      <c r="F862" s="26" t="inlineStr">
        <is>
          <t>Second District (Not a Province)</t>
        </is>
      </c>
      <c r="G862" s="26" t="inlineStr">
        <is>
          <t>Quezon City</t>
        </is>
      </c>
      <c r="H862" s="26" t="inlineStr">
        <is>
          <t>Escopa III</t>
        </is>
      </c>
      <c r="I862" s="27" t="n">
        <v>14.671138</v>
      </c>
      <c r="J862" s="27" t="n">
        <v>121.010719</v>
      </c>
      <c r="K862" s="10" t="inlineStr">
        <is>
          <t>U</t>
        </is>
      </c>
      <c r="L862" s="12" t="n">
        <v>8320</v>
      </c>
      <c r="M862" s="14" t="n">
        <v>3.8</v>
      </c>
      <c r="N862" s="12">
        <f>ROUND(L862/M862, 0)</f>
        <v/>
      </c>
      <c r="O862" s="12">
        <f>ROUND(N862*'Methodology &amp; Assumptions'!$B$5, 0)</f>
        <v/>
      </c>
      <c r="P862" s="10" t="inlineStr">
        <is>
          <t>Single Carrier (Band n50, 100MHz TDD)</t>
        </is>
      </c>
      <c r="Q862" s="13">
        <f>ROUNDUP(O862/'Methodology &amp; Assumptions'!$B$6, 0)</f>
        <v/>
      </c>
      <c r="R862" s="13" t="n">
        <v>1</v>
      </c>
      <c r="S862" s="14" t="n">
        <v>0.08</v>
      </c>
      <c r="T862" s="14" t="n">
        <v>0.08</v>
      </c>
      <c r="U862" s="26">
        <f>IF(X862&gt;='Methodology &amp; Assumptions'!$B$7, "Tier 1 Critical GIDA (Score ≥ 50.0)", IF(X862&gt;='Methodology &amp; Assumptions'!$B$8, "Tier 2 High GIDA (Score 40.0–49.9)", "Tier 3 Moderate GIDA (Score &lt; 40.0)"))</f>
        <v/>
      </c>
      <c r="V862" s="26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W862" s="28" t="n">
        <v>0.109</v>
      </c>
      <c r="X862" s="14" t="n">
        <v>45.07</v>
      </c>
      <c r="Y862" s="14">
        <f>ROUND(MIN(100, (X862/69.91)*100), 2)</f>
        <v/>
      </c>
    </row>
    <row r="863">
      <c r="A863" s="10" t="n">
        <v>4</v>
      </c>
      <c r="B863" s="10" t="n">
        <v>859</v>
      </c>
      <c r="C863" s="10" t="n">
        <v>3859</v>
      </c>
      <c r="D863" s="10" t="inlineStr">
        <is>
          <t>PH0003859</t>
        </is>
      </c>
      <c r="E863" s="26" t="inlineStr">
        <is>
          <t>VIII</t>
        </is>
      </c>
      <c r="F863" s="26" t="inlineStr">
        <is>
          <t>Leyte</t>
        </is>
      </c>
      <c r="G863" s="26" t="inlineStr">
        <is>
          <t>Tacloban City</t>
        </is>
      </c>
      <c r="H863" s="26" t="inlineStr">
        <is>
          <t>Barangay 52</t>
        </is>
      </c>
      <c r="I863" s="27" t="n">
        <v>11.246095</v>
      </c>
      <c r="J863" s="27" t="n">
        <v>124.906336</v>
      </c>
      <c r="K863" s="10" t="inlineStr">
        <is>
          <t>R</t>
        </is>
      </c>
      <c r="L863" s="12" t="n">
        <v>2258</v>
      </c>
      <c r="M863" s="14" t="n">
        <v>3.8</v>
      </c>
      <c r="N863" s="12">
        <f>ROUND(L863/M863, 0)</f>
        <v/>
      </c>
      <c r="O863" s="12">
        <f>ROUND(N863*'Methodology &amp; Assumptions'!$B$5, 0)</f>
        <v/>
      </c>
      <c r="P863" s="10" t="inlineStr">
        <is>
          <t>Single Carrier (Band n50, 100MHz TDD)</t>
        </is>
      </c>
      <c r="Q863" s="13">
        <f>ROUNDUP(O863/'Methodology &amp; Assumptions'!$B$6, 0)</f>
        <v/>
      </c>
      <c r="R863" s="13" t="n">
        <v>1</v>
      </c>
      <c r="S863" s="14" t="n">
        <v>8.31</v>
      </c>
      <c r="T863" s="14" t="n">
        <v>6.22</v>
      </c>
      <c r="U863" s="26">
        <f>IF(X863&gt;='Methodology &amp; Assumptions'!$B$7, "Tier 1 Critical GIDA (Score ≥ 50.0)", IF(X863&gt;='Methodology &amp; Assumptions'!$B$8, "Tier 2 High GIDA (Score 40.0–49.9)", "Tier 3 Moderate GIDA (Score &lt; 40.0)"))</f>
        <v/>
      </c>
      <c r="V863" s="26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W863" s="28" t="n">
        <v>0.222</v>
      </c>
      <c r="X863" s="14" t="n">
        <v>45.07</v>
      </c>
      <c r="Y863" s="14">
        <f>ROUND(MIN(100, (X863/69.91)*100), 2)</f>
        <v/>
      </c>
    </row>
    <row r="864">
      <c r="A864" s="10" t="n">
        <v>4</v>
      </c>
      <c r="B864" s="10" t="n">
        <v>860</v>
      </c>
      <c r="C864" s="10" t="n">
        <v>3860</v>
      </c>
      <c r="D864" s="10" t="inlineStr">
        <is>
          <t>0405804002</t>
        </is>
      </c>
      <c r="E864" s="26" t="inlineStr">
        <is>
          <t>Region IV-A (CALABARZON)</t>
        </is>
      </c>
      <c r="F864" s="26" t="inlineStr">
        <is>
          <t>Rizal</t>
        </is>
      </c>
      <c r="G864" s="26" t="inlineStr">
        <is>
          <t>Binangonan</t>
        </is>
      </c>
      <c r="H864" s="26" t="inlineStr">
        <is>
          <t>Batingan</t>
        </is>
      </c>
      <c r="I864" s="27" t="n">
        <v>14.472644</v>
      </c>
      <c r="J864" s="27" t="n">
        <v>121.196799</v>
      </c>
      <c r="K864" s="10" t="inlineStr">
        <is>
          <t>U</t>
        </is>
      </c>
      <c r="L864" s="12" t="n">
        <v>15585</v>
      </c>
      <c r="M864" s="14" t="n">
        <v>3.6</v>
      </c>
      <c r="N864" s="12">
        <f>ROUND(L864/M864, 0)</f>
        <v/>
      </c>
      <c r="O864" s="12">
        <f>ROUND(N864*'Methodology &amp; Assumptions'!$B$5, 0)</f>
        <v/>
      </c>
      <c r="P864" s="10" t="inlineStr">
        <is>
          <t>Single Carrier (Band n50, 100MHz TDD)</t>
        </is>
      </c>
      <c r="Q864" s="13">
        <f>ROUNDUP(O864/'Methodology &amp; Assumptions'!$B$6, 0)</f>
        <v/>
      </c>
      <c r="R864" s="13" t="n">
        <v>1</v>
      </c>
      <c r="S864" s="14" t="n">
        <v>0.5</v>
      </c>
      <c r="T864" s="14" t="n">
        <v>0.1</v>
      </c>
      <c r="U864" s="26">
        <f>IF(X864&gt;='Methodology &amp; Assumptions'!$B$7, "Tier 1 Critical GIDA (Score ≥ 50.0)", IF(X864&gt;='Methodology &amp; Assumptions'!$B$8, "Tier 2 High GIDA (Score 40.0–49.9)", "Tier 3 Moderate GIDA (Score &lt; 40.0)"))</f>
        <v/>
      </c>
      <c r="V864" s="26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W864" s="28" t="n">
        <v>0.07200000000000001</v>
      </c>
      <c r="X864" s="14" t="n">
        <v>45.07</v>
      </c>
      <c r="Y864" s="14">
        <f>ROUND(MIN(100, (X864/69.91)*100), 2)</f>
        <v/>
      </c>
    </row>
    <row r="865">
      <c r="A865" s="10" t="n">
        <v>4</v>
      </c>
      <c r="B865" s="10" t="n">
        <v>861</v>
      </c>
      <c r="C865" s="10" t="n">
        <v>3861</v>
      </c>
      <c r="D865" s="10" t="inlineStr">
        <is>
          <t>0804822023</t>
        </is>
      </c>
      <c r="E865" s="26" t="inlineStr">
        <is>
          <t>Region VIII (Eastern Visayas)</t>
        </is>
      </c>
      <c r="F865" s="26" t="inlineStr">
        <is>
          <t>Northern Samar</t>
        </is>
      </c>
      <c r="G865" s="26" t="inlineStr">
        <is>
          <t>Silvino Lobos</t>
        </is>
      </c>
      <c r="H865" s="26" t="inlineStr">
        <is>
          <t>Victory</t>
        </is>
      </c>
      <c r="I865" s="27" t="n">
        <v>12.294615</v>
      </c>
      <c r="J865" s="27" t="n">
        <v>124.801855</v>
      </c>
      <c r="K865" s="10" t="inlineStr">
        <is>
          <t>R</t>
        </is>
      </c>
      <c r="L865" s="12" t="n">
        <v>566</v>
      </c>
      <c r="M865" s="14" t="n">
        <v>4.3</v>
      </c>
      <c r="N865" s="12">
        <f>ROUND(L865/M865, 0)</f>
        <v/>
      </c>
      <c r="O865" s="12">
        <f>ROUND(N865*'Methodology &amp; Assumptions'!$B$5, 0)</f>
        <v/>
      </c>
      <c r="P865" s="10" t="inlineStr">
        <is>
          <t>Single Carrier (Band n50, 100MHz TDD)</t>
        </is>
      </c>
      <c r="Q865" s="13">
        <f>ROUNDUP(O865/'Methodology &amp; Assumptions'!$B$6, 0)</f>
        <v/>
      </c>
      <c r="R865" s="13" t="n">
        <v>1</v>
      </c>
      <c r="S865" s="14" t="n">
        <v>84.67</v>
      </c>
      <c r="T865" s="14" t="n">
        <v>84.62</v>
      </c>
      <c r="U865" s="26">
        <f>IF(X865&gt;='Methodology &amp; Assumptions'!$B$7, "Tier 1 Critical GIDA (Score ≥ 50.0)", IF(X865&gt;='Methodology &amp; Assumptions'!$B$8, "Tier 2 High GIDA (Score 40.0–49.9)", "Tier 3 Moderate GIDA (Score &lt; 40.0)"))</f>
        <v/>
      </c>
      <c r="V865" s="26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W865" s="28" t="n">
        <v>0.237</v>
      </c>
      <c r="X865" s="14" t="n">
        <v>45.06</v>
      </c>
      <c r="Y865" s="14">
        <f>ROUND(MIN(100, (X865/69.91)*100), 2)</f>
        <v/>
      </c>
    </row>
    <row r="866">
      <c r="A866" s="10" t="n">
        <v>4</v>
      </c>
      <c r="B866" s="10" t="n">
        <v>862</v>
      </c>
      <c r="C866" s="10" t="n">
        <v>3862</v>
      </c>
      <c r="D866" s="10" t="inlineStr">
        <is>
          <t>PH0003862</t>
        </is>
      </c>
      <c r="E866" s="26" t="inlineStr">
        <is>
          <t>IV-A</t>
        </is>
      </c>
      <c r="F866" s="26" t="inlineStr">
        <is>
          <t>Quezon</t>
        </is>
      </c>
      <c r="G866" s="26" t="inlineStr">
        <is>
          <t>Lucena City</t>
        </is>
      </c>
      <c r="H866" s="26" t="inlineStr">
        <is>
          <t>Barangay 3 (Pob.)</t>
        </is>
      </c>
      <c r="I866" s="27" t="n">
        <v>13.931073</v>
      </c>
      <c r="J866" s="27" t="n">
        <v>121.617182</v>
      </c>
      <c r="K866" s="10" t="inlineStr">
        <is>
          <t>R</t>
        </is>
      </c>
      <c r="L866" s="12" t="n">
        <v>1964</v>
      </c>
      <c r="M866" s="14" t="n">
        <v>3.8</v>
      </c>
      <c r="N866" s="12">
        <f>ROUND(L866/M866, 0)</f>
        <v/>
      </c>
      <c r="O866" s="12">
        <f>ROUND(N866*'Methodology &amp; Assumptions'!$B$5, 0)</f>
        <v/>
      </c>
      <c r="P866" s="10" t="inlineStr">
        <is>
          <t>Single Carrier (Band n50, 100MHz TDD)</t>
        </is>
      </c>
      <c r="Q866" s="13">
        <f>ROUNDUP(O866/'Methodology &amp; Assumptions'!$B$6, 0)</f>
        <v/>
      </c>
      <c r="R866" s="13" t="n">
        <v>1</v>
      </c>
      <c r="S866" s="14" t="n">
        <v>0.65</v>
      </c>
      <c r="T866" s="14" t="n">
        <v>0.49</v>
      </c>
      <c r="U866" s="26">
        <f>IF(X866&gt;='Methodology &amp; Assumptions'!$B$7, "Tier 1 Critical GIDA (Score ≥ 50.0)", IF(X866&gt;='Methodology &amp; Assumptions'!$B$8, "Tier 2 High GIDA (Score 40.0–49.9)", "Tier 3 Moderate GIDA (Score &lt; 40.0)"))</f>
        <v/>
      </c>
      <c r="V866" s="26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W866" s="28" t="n">
        <v>0.07200000000000001</v>
      </c>
      <c r="X866" s="14" t="n">
        <v>45.06</v>
      </c>
      <c r="Y866" s="14">
        <f>ROUND(MIN(100, (X866/69.91)*100), 2)</f>
        <v/>
      </c>
    </row>
    <row r="867">
      <c r="A867" s="10" t="n">
        <v>4</v>
      </c>
      <c r="B867" s="10" t="n">
        <v>863</v>
      </c>
      <c r="C867" s="10" t="n">
        <v>3863</v>
      </c>
      <c r="D867" s="10" t="inlineStr">
        <is>
          <t>1908808015</t>
        </is>
      </c>
      <c r="E867" s="26" t="inlineStr">
        <is>
          <t>Bangsamoro Autonomous Region In Muslim Mindanao (BARMM)</t>
        </is>
      </c>
      <c r="F867" s="26" t="inlineStr">
        <is>
          <t>Maguindanao del Sur</t>
        </is>
      </c>
      <c r="G867" s="26" t="inlineStr">
        <is>
          <t>Datu Salibo</t>
        </is>
      </c>
      <c r="H867" s="26" t="inlineStr">
        <is>
          <t>Penditen</t>
        </is>
      </c>
      <c r="I867" s="27" t="n">
        <v>17.255215</v>
      </c>
      <c r="J867" s="27" t="n">
        <v>122.229259</v>
      </c>
      <c r="K867" s="10" t="inlineStr">
        <is>
          <t>R</t>
        </is>
      </c>
      <c r="L867" s="12" t="n">
        <v>1217</v>
      </c>
      <c r="M867" s="14" t="n">
        <v>4.7</v>
      </c>
      <c r="N867" s="12">
        <f>ROUND(L867/M867, 0)</f>
        <v/>
      </c>
      <c r="O867" s="12">
        <f>ROUND(N867*'Methodology &amp; Assumptions'!$B$5, 0)</f>
        <v/>
      </c>
      <c r="P867" s="10" t="inlineStr">
        <is>
          <t>Single Carrier (Band n50, 100MHz TDD)</t>
        </is>
      </c>
      <c r="Q867" s="13">
        <f>ROUNDUP(O867/'Methodology &amp; Assumptions'!$B$6, 0)</f>
        <v/>
      </c>
      <c r="R867" s="13" t="n">
        <v>1</v>
      </c>
      <c r="S867" s="14" t="n">
        <v>29.47</v>
      </c>
      <c r="T867" s="14" t="n">
        <v>34.35</v>
      </c>
      <c r="U867" s="26">
        <f>IF(X867&gt;='Methodology &amp; Assumptions'!$B$7, "Tier 1 Critical GIDA (Score ≥ 50.0)", IF(X867&gt;='Methodology &amp; Assumptions'!$B$8, "Tier 2 High GIDA (Score 40.0–49.9)", "Tier 3 Moderate GIDA (Score &lt; 40.0)"))</f>
        <v/>
      </c>
      <c r="V867" s="26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W867" s="28" t="n">
        <v>0.11</v>
      </c>
      <c r="X867" s="14" t="n">
        <v>45.06</v>
      </c>
      <c r="Y867" s="14">
        <f>ROUND(MIN(100, (X867/69.91)*100), 2)</f>
        <v/>
      </c>
    </row>
    <row r="868">
      <c r="A868" s="10" t="n">
        <v>4</v>
      </c>
      <c r="B868" s="10" t="n">
        <v>864</v>
      </c>
      <c r="C868" s="10" t="n">
        <v>3864</v>
      </c>
      <c r="D868" s="10" t="inlineStr">
        <is>
          <t>1908808002</t>
        </is>
      </c>
      <c r="E868" s="26" t="inlineStr">
        <is>
          <t>Bangsamoro Autonomous Region In Muslim Mindanao (BARMM)</t>
        </is>
      </c>
      <c r="F868" s="26" t="inlineStr">
        <is>
          <t>Maguindanao del Sur</t>
        </is>
      </c>
      <c r="G868" s="26" t="inlineStr">
        <is>
          <t>Datu Salibo</t>
        </is>
      </c>
      <c r="H868" s="26" t="inlineStr">
        <is>
          <t>Andavit</t>
        </is>
      </c>
      <c r="I868" s="27" t="n">
        <v>17.255217</v>
      </c>
      <c r="J868" s="27" t="n">
        <v>122.229261</v>
      </c>
      <c r="K868" s="10" t="inlineStr">
        <is>
          <t>R</t>
        </is>
      </c>
      <c r="L868" s="12" t="n">
        <v>1208</v>
      </c>
      <c r="M868" s="14" t="n">
        <v>4.7</v>
      </c>
      <c r="N868" s="12">
        <f>ROUND(L868/M868, 0)</f>
        <v/>
      </c>
      <c r="O868" s="12">
        <f>ROUND(N868*'Methodology &amp; Assumptions'!$B$5, 0)</f>
        <v/>
      </c>
      <c r="P868" s="10" t="inlineStr">
        <is>
          <t>Single Carrier (Band n50, 100MHz TDD)</t>
        </is>
      </c>
      <c r="Q868" s="13">
        <f>ROUNDUP(O868/'Methodology &amp; Assumptions'!$B$6, 0)</f>
        <v/>
      </c>
      <c r="R868" s="13" t="n">
        <v>1</v>
      </c>
      <c r="S868" s="14" t="n">
        <v>29.47</v>
      </c>
      <c r="T868" s="14" t="n">
        <v>34.35</v>
      </c>
      <c r="U868" s="26">
        <f>IF(X868&gt;='Methodology &amp; Assumptions'!$B$7, "Tier 1 Critical GIDA (Score ≥ 50.0)", IF(X868&gt;='Methodology &amp; Assumptions'!$B$8, "Tier 2 High GIDA (Score 40.0–49.9)", "Tier 3 Moderate GIDA (Score &lt; 40.0)"))</f>
        <v/>
      </c>
      <c r="V868" s="26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W868" s="28" t="n">
        <v>0.11</v>
      </c>
      <c r="X868" s="14" t="n">
        <v>45.06</v>
      </c>
      <c r="Y868" s="14">
        <f>ROUND(MIN(100, (X868/69.91)*100), 2)</f>
        <v/>
      </c>
    </row>
    <row r="869">
      <c r="A869" s="10" t="n">
        <v>4</v>
      </c>
      <c r="B869" s="10" t="n">
        <v>865</v>
      </c>
      <c r="C869" s="10" t="n">
        <v>3865</v>
      </c>
      <c r="D869" s="10" t="inlineStr">
        <is>
          <t>1380613001</t>
        </is>
      </c>
      <c r="E869" s="26" t="inlineStr">
        <is>
          <t>National Capital Region (NCR)</t>
        </is>
      </c>
      <c r="F869" s="26" t="inlineStr">
        <is>
          <t>First District (Not a Province)</t>
        </is>
      </c>
      <c r="G869" s="26" t="inlineStr">
        <is>
          <t>City of Manila</t>
        </is>
      </c>
      <c r="H869" s="26" t="inlineStr">
        <is>
          <t>Barangay 649</t>
        </is>
      </c>
      <c r="I869" s="27" t="n">
        <v>13.941792</v>
      </c>
      <c r="J869" s="27" t="n">
        <v>121.011122</v>
      </c>
      <c r="K869" s="10" t="inlineStr">
        <is>
          <t>U</t>
        </is>
      </c>
      <c r="L869" s="12" t="n">
        <v>66716</v>
      </c>
      <c r="M869" s="14" t="n">
        <v>3.9</v>
      </c>
      <c r="N869" s="12">
        <f>ROUND(L869/M869, 0)</f>
        <v/>
      </c>
      <c r="O869" s="12">
        <f>ROUND(N869*'Methodology &amp; Assumptions'!$B$5, 0)</f>
        <v/>
      </c>
      <c r="P869" s="10" t="inlineStr">
        <is>
          <t>Single Carrier (Band n50, 100MHz TDD)</t>
        </is>
      </c>
      <c r="Q869" s="13">
        <f>ROUNDUP(O869/'Methodology &amp; Assumptions'!$B$6, 0)</f>
        <v/>
      </c>
      <c r="R869" s="13" t="n">
        <v>1</v>
      </c>
      <c r="S869" s="14" t="n">
        <v>6.35</v>
      </c>
      <c r="T869" s="14" t="n">
        <v>6.39</v>
      </c>
      <c r="U869" s="26">
        <f>IF(X869&gt;='Methodology &amp; Assumptions'!$B$7, "Tier 1 Critical GIDA (Score ≥ 50.0)", IF(X869&gt;='Methodology &amp; Assumptions'!$B$8, "Tier 2 High GIDA (Score 40.0–49.9)", "Tier 3 Moderate GIDA (Score &lt; 40.0)"))</f>
        <v/>
      </c>
      <c r="V869" s="26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W869" s="28" t="n">
        <v>0.109</v>
      </c>
      <c r="X869" s="14" t="n">
        <v>45.05</v>
      </c>
      <c r="Y869" s="14">
        <f>ROUND(MIN(100, (X869/69.91)*100), 2)</f>
        <v/>
      </c>
    </row>
    <row r="870">
      <c r="A870" s="10" t="n">
        <v>4</v>
      </c>
      <c r="B870" s="10" t="n">
        <v>866</v>
      </c>
      <c r="C870" s="10" t="n">
        <v>3866</v>
      </c>
      <c r="D870" s="10" t="inlineStr">
        <is>
          <t>PH0003866</t>
        </is>
      </c>
      <c r="E870" s="26" t="inlineStr">
        <is>
          <t>IV-A</t>
        </is>
      </c>
      <c r="F870" s="26" t="inlineStr">
        <is>
          <t>Cavite</t>
        </is>
      </c>
      <c r="G870" s="26" t="inlineStr">
        <is>
          <t>Imus City</t>
        </is>
      </c>
      <c r="H870" s="26" t="inlineStr">
        <is>
          <t>Poblacion III-A (Pob.)</t>
        </is>
      </c>
      <c r="I870" s="27" t="n">
        <v>14.321479</v>
      </c>
      <c r="J870" s="27" t="n">
        <v>120.905369</v>
      </c>
      <c r="K870" s="10" t="inlineStr">
        <is>
          <t>R</t>
        </is>
      </c>
      <c r="L870" s="12" t="n">
        <v>2316</v>
      </c>
      <c r="M870" s="14" t="n">
        <v>3.4</v>
      </c>
      <c r="N870" s="12">
        <f>ROUND(L870/M870, 0)</f>
        <v/>
      </c>
      <c r="O870" s="12">
        <f>ROUND(N870*'Methodology &amp; Assumptions'!$B$5, 0)</f>
        <v/>
      </c>
      <c r="P870" s="10" t="inlineStr">
        <is>
          <t>Single Carrier (Band n50, 100MHz TDD)</t>
        </is>
      </c>
      <c r="Q870" s="13">
        <f>ROUNDUP(O870/'Methodology &amp; Assumptions'!$B$6, 0)</f>
        <v/>
      </c>
      <c r="R870" s="13" t="n">
        <v>1</v>
      </c>
      <c r="S870" s="14" t="n">
        <v>3.08</v>
      </c>
      <c r="T870" s="14" t="n">
        <v>3.06</v>
      </c>
      <c r="U870" s="26">
        <f>IF(X870&gt;='Methodology &amp; Assumptions'!$B$7, "Tier 1 Critical GIDA (Score ≥ 50.0)", IF(X870&gt;='Methodology &amp; Assumptions'!$B$8, "Tier 2 High GIDA (Score 40.0–49.9)", "Tier 3 Moderate GIDA (Score &lt; 40.0)"))</f>
        <v/>
      </c>
      <c r="V870" s="26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W870" s="28" t="n">
        <v>0.07200000000000001</v>
      </c>
      <c r="X870" s="14" t="n">
        <v>45.05</v>
      </c>
      <c r="Y870" s="14">
        <f>ROUND(MIN(100, (X870/69.91)*100), 2)</f>
        <v/>
      </c>
    </row>
    <row r="871">
      <c r="A871" s="10" t="n">
        <v>4</v>
      </c>
      <c r="B871" s="10" t="n">
        <v>867</v>
      </c>
      <c r="C871" s="10" t="n">
        <v>3867</v>
      </c>
      <c r="D871" s="10" t="inlineStr">
        <is>
          <t>0600601021</t>
        </is>
      </c>
      <c r="E871" s="26" t="inlineStr">
        <is>
          <t>Region VI (Western Visayas)</t>
        </is>
      </c>
      <c r="F871" s="26" t="inlineStr">
        <is>
          <t>Antique</t>
        </is>
      </c>
      <c r="G871" s="26" t="inlineStr">
        <is>
          <t>Anini-Y</t>
        </is>
      </c>
      <c r="H871" s="26" t="inlineStr">
        <is>
          <t>San Ramon</t>
        </is>
      </c>
      <c r="I871" s="27" t="n">
        <v>10.43933</v>
      </c>
      <c r="J871" s="27" t="n">
        <v>121.95307</v>
      </c>
      <c r="K871" s="10" t="inlineStr">
        <is>
          <t>R</t>
        </is>
      </c>
      <c r="L871" s="12" t="n">
        <v>405</v>
      </c>
      <c r="M871" s="14" t="n">
        <v>3.9</v>
      </c>
      <c r="N871" s="12">
        <f>ROUND(L871/M871, 0)</f>
        <v/>
      </c>
      <c r="O871" s="12">
        <f>ROUND(N871*'Methodology &amp; Assumptions'!$B$5, 0)</f>
        <v/>
      </c>
      <c r="P871" s="10" t="inlineStr">
        <is>
          <t>Single Carrier (Band n50, 100MHz TDD)</t>
        </is>
      </c>
      <c r="Q871" s="13">
        <f>ROUNDUP(O871/'Methodology &amp; Assumptions'!$B$6, 0)</f>
        <v/>
      </c>
      <c r="R871" s="13" t="n">
        <v>1</v>
      </c>
      <c r="S871" s="14" t="n">
        <v>35.95</v>
      </c>
      <c r="T871" s="14" t="n">
        <v>17.05</v>
      </c>
      <c r="U871" s="26">
        <f>IF(X871&gt;='Methodology &amp; Assumptions'!$B$7, "Tier 1 Critical GIDA (Score ≥ 50.0)", IF(X871&gt;='Methodology &amp; Assumptions'!$B$8, "Tier 2 High GIDA (Score 40.0–49.9)", "Tier 3 Moderate GIDA (Score &lt; 40.0)"))</f>
        <v/>
      </c>
      <c r="V871" s="26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W871" s="28" t="n">
        <v>0.237</v>
      </c>
      <c r="X871" s="14" t="n">
        <v>45.05</v>
      </c>
      <c r="Y871" s="14">
        <f>ROUND(MIN(100, (X871/69.91)*100), 2)</f>
        <v/>
      </c>
    </row>
    <row r="872">
      <c r="A872" s="10" t="n">
        <v>4</v>
      </c>
      <c r="B872" s="10" t="n">
        <v>868</v>
      </c>
      <c r="C872" s="10" t="n">
        <v>3868</v>
      </c>
      <c r="D872" s="10" t="inlineStr">
        <is>
          <t>0601917010</t>
        </is>
      </c>
      <c r="E872" s="26" t="inlineStr">
        <is>
          <t>Region VI (Western Visayas)</t>
        </is>
      </c>
      <c r="F872" s="26" t="inlineStr">
        <is>
          <t>Capiz</t>
        </is>
      </c>
      <c r="G872" s="26" t="inlineStr">
        <is>
          <t>Tapaz</t>
        </is>
      </c>
      <c r="H872" s="26" t="inlineStr">
        <is>
          <t>Bato-bato</t>
        </is>
      </c>
      <c r="I872" s="27" t="n">
        <v>11.2587</v>
      </c>
      <c r="J872" s="27" t="n">
        <v>122.3938</v>
      </c>
      <c r="K872" s="10" t="inlineStr">
        <is>
          <t>R</t>
        </is>
      </c>
      <c r="L872" s="12" t="n">
        <v>401</v>
      </c>
      <c r="M872" s="14" t="n">
        <v>3.8</v>
      </c>
      <c r="N872" s="12">
        <f>ROUND(L872/M872, 0)</f>
        <v/>
      </c>
      <c r="O872" s="12">
        <f>ROUND(N872*'Methodology &amp; Assumptions'!$B$5, 0)</f>
        <v/>
      </c>
      <c r="P872" s="10" t="inlineStr">
        <is>
          <t>Single Carrier (Band n50, 100MHz TDD)</t>
        </is>
      </c>
      <c r="Q872" s="13">
        <f>ROUNDUP(O872/'Methodology &amp; Assumptions'!$B$6, 0)</f>
        <v/>
      </c>
      <c r="R872" s="13" t="n">
        <v>1</v>
      </c>
      <c r="S872" s="14" t="n">
        <v>30.85</v>
      </c>
      <c r="T872" s="14" t="n">
        <v>18</v>
      </c>
      <c r="U872" s="26">
        <f>IF(X872&gt;='Methodology &amp; Assumptions'!$B$7, "Tier 1 Critical GIDA (Score ≥ 50.0)", IF(X872&gt;='Methodology &amp; Assumptions'!$B$8, "Tier 2 High GIDA (Score 40.0–49.9)", "Tier 3 Moderate GIDA (Score &lt; 40.0)"))</f>
        <v/>
      </c>
      <c r="V872" s="26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W872" s="28" t="n">
        <v>0.237</v>
      </c>
      <c r="X872" s="14" t="n">
        <v>45.05</v>
      </c>
      <c r="Y872" s="14">
        <f>ROUND(MIN(100, (X872/69.91)*100), 2)</f>
        <v/>
      </c>
    </row>
    <row r="873">
      <c r="A873" s="10" t="n">
        <v>4</v>
      </c>
      <c r="B873" s="10" t="n">
        <v>869</v>
      </c>
      <c r="C873" s="10" t="n">
        <v>3869</v>
      </c>
      <c r="D873" s="10" t="inlineStr">
        <is>
          <t>PH0003869</t>
        </is>
      </c>
      <c r="E873" s="26" t="inlineStr">
        <is>
          <t>VIII</t>
        </is>
      </c>
      <c r="F873" s="26" t="inlineStr">
        <is>
          <t>Leyte</t>
        </is>
      </c>
      <c r="G873" s="26" t="inlineStr">
        <is>
          <t>Tacloban City</t>
        </is>
      </c>
      <c r="H873" s="26" t="inlineStr">
        <is>
          <t>Barangay 38</t>
        </is>
      </c>
      <c r="I873" s="27" t="n">
        <v>11.319415</v>
      </c>
      <c r="J873" s="27" t="n">
        <v>125.017324</v>
      </c>
      <c r="K873" s="10" t="inlineStr">
        <is>
          <t>R</t>
        </is>
      </c>
      <c r="L873" s="12" t="n">
        <v>2258</v>
      </c>
      <c r="M873" s="14" t="n">
        <v>3.8</v>
      </c>
      <c r="N873" s="12">
        <f>ROUND(L873/M873, 0)</f>
        <v/>
      </c>
      <c r="O873" s="12">
        <f>ROUND(N873*'Methodology &amp; Assumptions'!$B$5, 0)</f>
        <v/>
      </c>
      <c r="P873" s="10" t="inlineStr">
        <is>
          <t>Single Carrier (Band n50, 100MHz TDD)</t>
        </is>
      </c>
      <c r="Q873" s="13">
        <f>ROUNDUP(O873/'Methodology &amp; Assumptions'!$B$6, 0)</f>
        <v/>
      </c>
      <c r="R873" s="13" t="n">
        <v>1</v>
      </c>
      <c r="S873" s="14" t="n">
        <v>9.02</v>
      </c>
      <c r="T873" s="14" t="n">
        <v>11.93</v>
      </c>
      <c r="U873" s="26">
        <f>IF(X873&gt;='Methodology &amp; Assumptions'!$B$7, "Tier 1 Critical GIDA (Score ≥ 50.0)", IF(X873&gt;='Methodology &amp; Assumptions'!$B$8, "Tier 2 High GIDA (Score 40.0–49.9)", "Tier 3 Moderate GIDA (Score &lt; 40.0)"))</f>
        <v/>
      </c>
      <c r="V873" s="26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W873" s="28" t="n">
        <v>0.222</v>
      </c>
      <c r="X873" s="14" t="n">
        <v>45.05</v>
      </c>
      <c r="Y873" s="14">
        <f>ROUND(MIN(100, (X873/69.91)*100), 2)</f>
        <v/>
      </c>
    </row>
    <row r="874">
      <c r="A874" s="10" t="n">
        <v>4</v>
      </c>
      <c r="B874" s="10" t="n">
        <v>870</v>
      </c>
      <c r="C874" s="10" t="n">
        <v>3870</v>
      </c>
      <c r="D874" s="10" t="inlineStr">
        <is>
          <t>PH0003870</t>
        </is>
      </c>
      <c r="E874" s="26" t="inlineStr">
        <is>
          <t>VII</t>
        </is>
      </c>
      <c r="F874" s="26" t="inlineStr">
        <is>
          <t>Cebu</t>
        </is>
      </c>
      <c r="G874" s="26" t="inlineStr">
        <is>
          <t>Talisay City</t>
        </is>
      </c>
      <c r="H874" s="26" t="inlineStr">
        <is>
          <t>Lagtang</t>
        </is>
      </c>
      <c r="I874" s="27" t="n">
        <v>10.388346</v>
      </c>
      <c r="J874" s="27" t="n">
        <v>123.78994</v>
      </c>
      <c r="K874" s="10" t="inlineStr">
        <is>
          <t>R</t>
        </is>
      </c>
      <c r="L874" s="12" t="n">
        <v>2250</v>
      </c>
      <c r="M874" s="14" t="n">
        <v>3.8</v>
      </c>
      <c r="N874" s="12">
        <f>ROUND(L874/M874, 0)</f>
        <v/>
      </c>
      <c r="O874" s="12">
        <f>ROUND(N874*'Methodology &amp; Assumptions'!$B$5, 0)</f>
        <v/>
      </c>
      <c r="P874" s="10" t="inlineStr">
        <is>
          <t>Single Carrier (Band n50, 100MHz TDD)</t>
        </is>
      </c>
      <c r="Q874" s="13">
        <f>ROUNDUP(O874/'Methodology &amp; Assumptions'!$B$6, 0)</f>
        <v/>
      </c>
      <c r="R874" s="13" t="n">
        <v>1</v>
      </c>
      <c r="S874" s="14" t="n">
        <v>7.19</v>
      </c>
      <c r="T874" s="14" t="n">
        <v>12.24</v>
      </c>
      <c r="U874" s="26">
        <f>IF(X874&gt;='Methodology &amp; Assumptions'!$B$7, "Tier 1 Critical GIDA (Score ≥ 50.0)", IF(X874&gt;='Methodology &amp; Assumptions'!$B$8, "Tier 2 High GIDA (Score 40.0–49.9)", "Tier 3 Moderate GIDA (Score &lt; 40.0)"))</f>
        <v/>
      </c>
      <c r="V874" s="26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W874" s="28" t="n">
        <v>0.21</v>
      </c>
      <c r="X874" s="14" t="n">
        <v>45.04</v>
      </c>
      <c r="Y874" s="14">
        <f>ROUND(MIN(100, (X874/69.91)*100), 2)</f>
        <v/>
      </c>
    </row>
    <row r="875">
      <c r="A875" s="10" t="n">
        <v>4</v>
      </c>
      <c r="B875" s="10" t="n">
        <v>871</v>
      </c>
      <c r="C875" s="10" t="n">
        <v>3871</v>
      </c>
      <c r="D875" s="10" t="inlineStr">
        <is>
          <t>1908705008</t>
        </is>
      </c>
      <c r="E875" s="26" t="inlineStr">
        <is>
          <t>Bangsamoro Autonomous Region In Muslim Mindanao (BARMM)</t>
        </is>
      </c>
      <c r="F875" s="26" t="inlineStr">
        <is>
          <t>Maguindanao del Norte</t>
        </is>
      </c>
      <c r="G875" s="26" t="inlineStr">
        <is>
          <t>Datu Odin Sinsuat</t>
        </is>
      </c>
      <c r="H875" s="26" t="inlineStr">
        <is>
          <t>Bongued</t>
        </is>
      </c>
      <c r="I875" s="27" t="n">
        <v>17.253929</v>
      </c>
      <c r="J875" s="27" t="n">
        <v>122.227973</v>
      </c>
      <c r="K875" s="10" t="inlineStr">
        <is>
          <t>R</t>
        </is>
      </c>
      <c r="L875" s="12" t="n">
        <v>4061</v>
      </c>
      <c r="M875" s="14" t="n">
        <v>4.3</v>
      </c>
      <c r="N875" s="12">
        <f>ROUND(L875/M875, 0)</f>
        <v/>
      </c>
      <c r="O875" s="12">
        <f>ROUND(N875*'Methodology &amp; Assumptions'!$B$5, 0)</f>
        <v/>
      </c>
      <c r="P875" s="10" t="inlineStr">
        <is>
          <t>Single Carrier (Band n50, 100MHz TDD)</t>
        </is>
      </c>
      <c r="Q875" s="13">
        <f>ROUNDUP(O875/'Methodology &amp; Assumptions'!$B$6, 0)</f>
        <v/>
      </c>
      <c r="R875" s="13" t="n">
        <v>1</v>
      </c>
      <c r="S875" s="14" t="n">
        <v>29.28</v>
      </c>
      <c r="T875" s="14" t="n">
        <v>34.18</v>
      </c>
      <c r="U875" s="26">
        <f>IF(X875&gt;='Methodology &amp; Assumptions'!$B$7, "Tier 1 Critical GIDA (Score ≥ 50.0)", IF(X875&gt;='Methodology &amp; Assumptions'!$B$8, "Tier 2 High GIDA (Score 40.0–49.9)", "Tier 3 Moderate GIDA (Score &lt; 40.0)"))</f>
        <v/>
      </c>
      <c r="V875" s="26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W875" s="28" t="n">
        <v>0.11</v>
      </c>
      <c r="X875" s="14" t="n">
        <v>45.04</v>
      </c>
      <c r="Y875" s="14">
        <f>ROUND(MIN(100, (X875/69.91)*100), 2)</f>
        <v/>
      </c>
    </row>
    <row r="876">
      <c r="A876" s="10" t="n">
        <v>4</v>
      </c>
      <c r="B876" s="10" t="n">
        <v>872</v>
      </c>
      <c r="C876" s="10" t="n">
        <v>3872</v>
      </c>
      <c r="D876" s="10" t="inlineStr">
        <is>
          <t>1900713012</t>
        </is>
      </c>
      <c r="E876" s="26" t="inlineStr">
        <is>
          <t>Bangsamoro Autonomous Region In Muslim Mindanao (BARMM)</t>
        </is>
      </c>
      <c r="F876" s="26" t="inlineStr">
        <is>
          <t>Basilan</t>
        </is>
      </c>
      <c r="G876" s="26" t="inlineStr">
        <is>
          <t>Tabuan-Lasa</t>
        </is>
      </c>
      <c r="H876" s="26" t="inlineStr">
        <is>
          <t>Tong-Umus</t>
        </is>
      </c>
      <c r="I876" s="27" t="n">
        <v>6.29701</v>
      </c>
      <c r="J876" s="27" t="n">
        <v>121.97285</v>
      </c>
      <c r="K876" s="10" t="inlineStr">
        <is>
          <t>R</t>
        </is>
      </c>
      <c r="L876" s="12" t="n">
        <v>3541</v>
      </c>
      <c r="M876" s="14" t="n">
        <v>5.1</v>
      </c>
      <c r="N876" s="12">
        <f>ROUND(L876/M876, 0)</f>
        <v/>
      </c>
      <c r="O876" s="12">
        <f>ROUND(N876*'Methodology &amp; Assumptions'!$B$5, 0)</f>
        <v/>
      </c>
      <c r="P876" s="10" t="inlineStr">
        <is>
          <t>Single Carrier (Band n50, 100MHz TDD)</t>
        </is>
      </c>
      <c r="Q876" s="13">
        <f>ROUNDUP(O876/'Methodology &amp; Assumptions'!$B$6, 0)</f>
        <v/>
      </c>
      <c r="R876" s="13" t="n">
        <v>1</v>
      </c>
      <c r="S876" s="14" t="n">
        <v>69.09999999999999</v>
      </c>
      <c r="T876" s="14" t="n">
        <v>69.09999999999999</v>
      </c>
      <c r="U876" s="26">
        <f>IF(X876&gt;='Methodology &amp; Assumptions'!$B$7, "Tier 1 Critical GIDA (Score ≥ 50.0)", IF(X876&gt;='Methodology &amp; Assumptions'!$B$8, "Tier 2 High GIDA (Score 40.0–49.9)", "Tier 3 Moderate GIDA (Score &lt; 40.0)"))</f>
        <v/>
      </c>
      <c r="V876" s="26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W876" s="28" t="n">
        <v>0.11</v>
      </c>
      <c r="X876" s="14" t="n">
        <v>45.04</v>
      </c>
      <c r="Y876" s="14">
        <f>ROUND(MIN(100, (X876/69.91)*100), 2)</f>
        <v/>
      </c>
    </row>
    <row r="877">
      <c r="A877" s="10" t="n">
        <v>4</v>
      </c>
      <c r="B877" s="10" t="n">
        <v>873</v>
      </c>
      <c r="C877" s="10" t="n">
        <v>3873</v>
      </c>
      <c r="D877" s="10" t="inlineStr">
        <is>
          <t>0305422002</t>
        </is>
      </c>
      <c r="E877" s="26" t="inlineStr">
        <is>
          <t>Region III (Central Luzon)</t>
        </is>
      </c>
      <c r="F877" s="26" t="inlineStr">
        <is>
          <t>Pampanga</t>
        </is>
      </c>
      <c r="G877" s="26" t="inlineStr">
        <is>
          <t>Sasmuan</t>
        </is>
      </c>
      <c r="H877" s="26" t="inlineStr">
        <is>
          <t>Batang 2nd</t>
        </is>
      </c>
      <c r="I877" s="27" t="n">
        <v>14.818797</v>
      </c>
      <c r="J877" s="27" t="n">
        <v>120.619304</v>
      </c>
      <c r="K877" s="10" t="inlineStr">
        <is>
          <t>R</t>
        </is>
      </c>
      <c r="L877" s="12" t="n">
        <v>1297</v>
      </c>
      <c r="M877" s="14" t="n">
        <v>4</v>
      </c>
      <c r="N877" s="12">
        <f>ROUND(L877/M877, 0)</f>
        <v/>
      </c>
      <c r="O877" s="12">
        <f>ROUND(N877*'Methodology &amp; Assumptions'!$B$5, 0)</f>
        <v/>
      </c>
      <c r="P877" s="10" t="inlineStr">
        <is>
          <t>Single Carrier (Band n50, 100MHz TDD)</t>
        </is>
      </c>
      <c r="Q877" s="13">
        <f>ROUNDUP(O877/'Methodology &amp; Assumptions'!$B$6, 0)</f>
        <v/>
      </c>
      <c r="R877" s="13" t="n">
        <v>1</v>
      </c>
      <c r="S877" s="14" t="n">
        <v>9.109999999999999</v>
      </c>
      <c r="T877" s="14" t="n">
        <v>9.119999999999999</v>
      </c>
      <c r="U877" s="26">
        <f>IF(X877&gt;='Methodology &amp; Assumptions'!$B$7, "Tier 1 Critical GIDA (Score ≥ 50.0)", IF(X877&gt;='Methodology &amp; Assumptions'!$B$8, "Tier 2 High GIDA (Score 40.0–49.9)", "Tier 3 Moderate GIDA (Score &lt; 40.0)"))</f>
        <v/>
      </c>
      <c r="V877" s="26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W877" s="28" t="n">
        <v>0.083</v>
      </c>
      <c r="X877" s="14" t="n">
        <v>45.04</v>
      </c>
      <c r="Y877" s="14">
        <f>ROUND(MIN(100, (X877/69.91)*100), 2)</f>
        <v/>
      </c>
    </row>
    <row r="878">
      <c r="A878" s="10" t="n">
        <v>4</v>
      </c>
      <c r="B878" s="10" t="n">
        <v>874</v>
      </c>
      <c r="C878" s="10" t="n">
        <v>3874</v>
      </c>
      <c r="D878" s="10" t="inlineStr">
        <is>
          <t>PH0003874</t>
        </is>
      </c>
      <c r="E878" s="26" t="inlineStr">
        <is>
          <t>BARMM (LaMa+SGA)</t>
        </is>
      </c>
      <c r="F878" s="26" t="inlineStr">
        <is>
          <t>North Cotabato</t>
        </is>
      </c>
      <c r="G878" s="26" t="inlineStr">
        <is>
          <t>Pigkawayan</t>
        </is>
      </c>
      <c r="H878" s="26" t="inlineStr">
        <is>
          <t>Libungan Torreta</t>
        </is>
      </c>
      <c r="I878" s="27" t="n">
        <v>7.167055</v>
      </c>
      <c r="J878" s="27" t="n">
        <v>124.364443</v>
      </c>
      <c r="K878" s="10" t="inlineStr">
        <is>
          <t>R</t>
        </is>
      </c>
      <c r="L878" s="12" t="n">
        <v>1951</v>
      </c>
      <c r="M878" s="14" t="n">
        <v>3.8</v>
      </c>
      <c r="N878" s="12">
        <f>ROUND(L878/M878, 0)</f>
        <v/>
      </c>
      <c r="O878" s="12">
        <f>ROUND(N878*'Methodology &amp; Assumptions'!$B$5, 0)</f>
        <v/>
      </c>
      <c r="P878" s="10" t="inlineStr">
        <is>
          <t>Single Carrier (Band n50, 100MHz TDD)</t>
        </is>
      </c>
      <c r="Q878" s="13">
        <f>ROUNDUP(O878/'Methodology &amp; Assumptions'!$B$6, 0)</f>
        <v/>
      </c>
      <c r="R878" s="13" t="n">
        <v>1</v>
      </c>
      <c r="S878" s="14" t="n">
        <v>47.86</v>
      </c>
      <c r="T878" s="14" t="n">
        <v>47.76</v>
      </c>
      <c r="U878" s="26">
        <f>IF(X878&gt;='Methodology &amp; Assumptions'!$B$7, "Tier 1 Critical GIDA (Score ≥ 50.0)", IF(X878&gt;='Methodology &amp; Assumptions'!$B$8, "Tier 2 High GIDA (Score 40.0–49.9)", "Tier 3 Moderate GIDA (Score &lt; 40.0)"))</f>
        <v/>
      </c>
      <c r="V878" s="26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W878" s="28" t="n">
        <v>0.235</v>
      </c>
      <c r="X878" s="14" t="n">
        <v>45.04</v>
      </c>
      <c r="Y878" s="14">
        <f>ROUND(MIN(100, (X878/69.91)*100), 2)</f>
        <v/>
      </c>
    </row>
    <row r="879">
      <c r="A879" s="10" t="n">
        <v>4</v>
      </c>
      <c r="B879" s="10" t="n">
        <v>875</v>
      </c>
      <c r="C879" s="10" t="n">
        <v>3875</v>
      </c>
      <c r="D879" s="10" t="inlineStr">
        <is>
          <t>1900713001</t>
        </is>
      </c>
      <c r="E879" s="26" t="inlineStr">
        <is>
          <t>Bangsamoro Autonomous Region In Muslim Mindanao (BARMM)</t>
        </is>
      </c>
      <c r="F879" s="26" t="inlineStr">
        <is>
          <t>Basilan</t>
        </is>
      </c>
      <c r="G879" s="26" t="inlineStr">
        <is>
          <t>Tabuan-Lasa</t>
        </is>
      </c>
      <c r="H879" s="26" t="inlineStr">
        <is>
          <t>Babag</t>
        </is>
      </c>
      <c r="I879" s="27" t="n">
        <v>6.341968</v>
      </c>
      <c r="J879" s="27" t="n">
        <v>121.954079</v>
      </c>
      <c r="K879" s="10" t="inlineStr">
        <is>
          <t>R</t>
        </is>
      </c>
      <c r="L879" s="12" t="n">
        <v>2870</v>
      </c>
      <c r="M879" s="14" t="n">
        <v>5.1</v>
      </c>
      <c r="N879" s="12">
        <f>ROUND(L879/M879, 0)</f>
        <v/>
      </c>
      <c r="O879" s="12">
        <f>ROUND(N879*'Methodology &amp; Assumptions'!$B$5, 0)</f>
        <v/>
      </c>
      <c r="P879" s="10" t="inlineStr">
        <is>
          <t>Single Carrier (Band n50, 100MHz TDD)</t>
        </is>
      </c>
      <c r="Q879" s="13">
        <f>ROUNDUP(O879/'Methodology &amp; Assumptions'!$B$6, 0)</f>
        <v/>
      </c>
      <c r="R879" s="13" t="n">
        <v>1</v>
      </c>
      <c r="S879" s="14" t="n">
        <v>64.56999999999999</v>
      </c>
      <c r="T879" s="14" t="n">
        <v>64.56</v>
      </c>
      <c r="U879" s="26">
        <f>IF(X879&gt;='Methodology &amp; Assumptions'!$B$7, "Tier 1 Critical GIDA (Score ≥ 50.0)", IF(X879&gt;='Methodology &amp; Assumptions'!$B$8, "Tier 2 High GIDA (Score 40.0–49.9)", "Tier 3 Moderate GIDA (Score &lt; 40.0)"))</f>
        <v/>
      </c>
      <c r="V879" s="26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W879" s="28" t="n">
        <v>0.11</v>
      </c>
      <c r="X879" s="14" t="n">
        <v>45.03</v>
      </c>
      <c r="Y879" s="14">
        <f>ROUND(MIN(100, (X879/69.91)*100), 2)</f>
        <v/>
      </c>
    </row>
    <row r="880">
      <c r="A880" s="10" t="n">
        <v>4</v>
      </c>
      <c r="B880" s="10" t="n">
        <v>876</v>
      </c>
      <c r="C880" s="10" t="n">
        <v>3876</v>
      </c>
      <c r="D880" s="10" t="inlineStr">
        <is>
          <t>1908705001</t>
        </is>
      </c>
      <c r="E880" s="26" t="inlineStr">
        <is>
          <t>Bangsamoro Autonomous Region In Muslim Mindanao (BARMM)</t>
        </is>
      </c>
      <c r="F880" s="26" t="inlineStr">
        <is>
          <t>Maguindanao del Norte</t>
        </is>
      </c>
      <c r="G880" s="26" t="inlineStr">
        <is>
          <t>Datu Odin Sinsuat</t>
        </is>
      </c>
      <c r="H880" s="26" t="inlineStr">
        <is>
          <t>Ambolodto</t>
        </is>
      </c>
      <c r="I880" s="27" t="n">
        <v>17.253924</v>
      </c>
      <c r="J880" s="27" t="n">
        <v>122.227968</v>
      </c>
      <c r="K880" s="10" t="inlineStr">
        <is>
          <t>R</t>
        </is>
      </c>
      <c r="L880" s="12" t="n">
        <v>3188</v>
      </c>
      <c r="M880" s="14" t="n">
        <v>4.3</v>
      </c>
      <c r="N880" s="12">
        <f>ROUND(L880/M880, 0)</f>
        <v/>
      </c>
      <c r="O880" s="12">
        <f>ROUND(N880*'Methodology &amp; Assumptions'!$B$5, 0)</f>
        <v/>
      </c>
      <c r="P880" s="10" t="inlineStr">
        <is>
          <t>Single Carrier (Band n50, 100MHz TDD)</t>
        </is>
      </c>
      <c r="Q880" s="13">
        <f>ROUNDUP(O880/'Methodology &amp; Assumptions'!$B$6, 0)</f>
        <v/>
      </c>
      <c r="R880" s="13" t="n">
        <v>1</v>
      </c>
      <c r="S880" s="14" t="n">
        <v>29.27</v>
      </c>
      <c r="T880" s="14" t="n">
        <v>34.18</v>
      </c>
      <c r="U880" s="26">
        <f>IF(X880&gt;='Methodology &amp; Assumptions'!$B$7, "Tier 1 Critical GIDA (Score ≥ 50.0)", IF(X880&gt;='Methodology &amp; Assumptions'!$B$8, "Tier 2 High GIDA (Score 40.0–49.9)", "Tier 3 Moderate GIDA (Score &lt; 40.0)"))</f>
        <v/>
      </c>
      <c r="V880" s="26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W880" s="28" t="n">
        <v>0.11</v>
      </c>
      <c r="X880" s="14" t="n">
        <v>45.03</v>
      </c>
      <c r="Y880" s="14">
        <f>ROUND(MIN(100, (X880/69.91)*100), 2)</f>
        <v/>
      </c>
    </row>
    <row r="881">
      <c r="A881" s="10" t="n">
        <v>4</v>
      </c>
      <c r="B881" s="10" t="n">
        <v>877</v>
      </c>
      <c r="C881" s="10" t="n">
        <v>3877</v>
      </c>
      <c r="D881" s="10" t="inlineStr">
        <is>
          <t>1908705004</t>
        </is>
      </c>
      <c r="E881" s="26" t="inlineStr">
        <is>
          <t>Bangsamoro Autonomous Region In Muslim Mindanao (BARMM)</t>
        </is>
      </c>
      <c r="F881" s="26" t="inlineStr">
        <is>
          <t>Maguindanao del Norte</t>
        </is>
      </c>
      <c r="G881" s="26" t="inlineStr">
        <is>
          <t>Datu Odin Sinsuat</t>
        </is>
      </c>
      <c r="H881" s="26" t="inlineStr">
        <is>
          <t>Bagoenged</t>
        </is>
      </c>
      <c r="I881" s="27" t="n">
        <v>17.253925</v>
      </c>
      <c r="J881" s="27" t="n">
        <v>122.227969</v>
      </c>
      <c r="K881" s="10" t="inlineStr">
        <is>
          <t>R</t>
        </is>
      </c>
      <c r="L881" s="12" t="n">
        <v>4600</v>
      </c>
      <c r="M881" s="14" t="n">
        <v>4.3</v>
      </c>
      <c r="N881" s="12">
        <f>ROUND(L881/M881, 0)</f>
        <v/>
      </c>
      <c r="O881" s="12">
        <f>ROUND(N881*'Methodology &amp; Assumptions'!$B$5, 0)</f>
        <v/>
      </c>
      <c r="P881" s="10" t="inlineStr">
        <is>
          <t>Single Carrier (Band n50, 100MHz TDD)</t>
        </is>
      </c>
      <c r="Q881" s="13">
        <f>ROUNDUP(O881/'Methodology &amp; Assumptions'!$B$6, 0)</f>
        <v/>
      </c>
      <c r="R881" s="13" t="n">
        <v>1</v>
      </c>
      <c r="S881" s="14" t="n">
        <v>29.27</v>
      </c>
      <c r="T881" s="14" t="n">
        <v>34.18</v>
      </c>
      <c r="U881" s="26">
        <f>IF(X881&gt;='Methodology &amp; Assumptions'!$B$7, "Tier 1 Critical GIDA (Score ≥ 50.0)", IF(X881&gt;='Methodology &amp; Assumptions'!$B$8, "Tier 2 High GIDA (Score 40.0–49.9)", "Tier 3 Moderate GIDA (Score &lt; 40.0)"))</f>
        <v/>
      </c>
      <c r="V881" s="26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W881" s="28" t="n">
        <v>0.11</v>
      </c>
      <c r="X881" s="14" t="n">
        <v>45.03</v>
      </c>
      <c r="Y881" s="14">
        <f>ROUND(MIN(100, (X881/69.91)*100), 2)</f>
        <v/>
      </c>
    </row>
    <row r="882">
      <c r="A882" s="10" t="n">
        <v>4</v>
      </c>
      <c r="B882" s="10" t="n">
        <v>878</v>
      </c>
      <c r="C882" s="10" t="n">
        <v>3878</v>
      </c>
      <c r="D882" s="10" t="inlineStr">
        <is>
          <t>PH0003878</t>
        </is>
      </c>
      <c r="E882" s="26" t="inlineStr">
        <is>
          <t>BARMM (LaMa+SGA)</t>
        </is>
      </c>
      <c r="F882" s="26" t="inlineStr">
        <is>
          <t>North Cotabato</t>
        </is>
      </c>
      <c r="G882" s="26" t="inlineStr">
        <is>
          <t>Pigkawayan</t>
        </is>
      </c>
      <c r="H882" s="26" t="inlineStr">
        <is>
          <t>Buricain</t>
        </is>
      </c>
      <c r="I882" s="27" t="n">
        <v>7.215384</v>
      </c>
      <c r="J882" s="27" t="n">
        <v>124.384998</v>
      </c>
      <c r="K882" s="10" t="inlineStr">
        <is>
          <t>R</t>
        </is>
      </c>
      <c r="L882" s="12" t="n">
        <v>1951</v>
      </c>
      <c r="M882" s="14" t="n">
        <v>3.8</v>
      </c>
      <c r="N882" s="12">
        <f>ROUND(L882/M882, 0)</f>
        <v/>
      </c>
      <c r="O882" s="12">
        <f>ROUND(N882*'Methodology &amp; Assumptions'!$B$5, 0)</f>
        <v/>
      </c>
      <c r="P882" s="10" t="inlineStr">
        <is>
          <t>Single Carrier (Band n50, 100MHz TDD)</t>
        </is>
      </c>
      <c r="Q882" s="13">
        <f>ROUNDUP(O882/'Methodology &amp; Assumptions'!$B$6, 0)</f>
        <v/>
      </c>
      <c r="R882" s="13" t="n">
        <v>1</v>
      </c>
      <c r="S882" s="14" t="n">
        <v>45.45</v>
      </c>
      <c r="T882" s="14" t="n">
        <v>44.88</v>
      </c>
      <c r="U882" s="26">
        <f>IF(X882&gt;='Methodology &amp; Assumptions'!$B$7, "Tier 1 Critical GIDA (Score ≥ 50.0)", IF(X882&gt;='Methodology &amp; Assumptions'!$B$8, "Tier 2 High GIDA (Score 40.0–49.9)", "Tier 3 Moderate GIDA (Score &lt; 40.0)"))</f>
        <v/>
      </c>
      <c r="V882" s="26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W882" s="28" t="n">
        <v>0.235</v>
      </c>
      <c r="X882" s="14" t="n">
        <v>45.03</v>
      </c>
      <c r="Y882" s="14">
        <f>ROUND(MIN(100, (X882/69.91)*100), 2)</f>
        <v/>
      </c>
    </row>
    <row r="883">
      <c r="A883" s="10" t="n">
        <v>4</v>
      </c>
      <c r="B883" s="10" t="n">
        <v>879</v>
      </c>
      <c r="C883" s="10" t="n">
        <v>3879</v>
      </c>
      <c r="D883" s="10" t="inlineStr">
        <is>
          <t>1908819008</t>
        </is>
      </c>
      <c r="E883" s="26" t="inlineStr">
        <is>
          <t>Bangsamoro Autonomous Region In Muslim Mindanao (BARMM)</t>
        </is>
      </c>
      <c r="F883" s="26" t="inlineStr">
        <is>
          <t>Maguindanao del Sur</t>
        </is>
      </c>
      <c r="G883" s="26" t="inlineStr">
        <is>
          <t>Rajah Buayan</t>
        </is>
      </c>
      <c r="H883" s="26" t="inlineStr">
        <is>
          <t>Pidsandawan</t>
        </is>
      </c>
      <c r="I883" s="27" t="n">
        <v>17.255172</v>
      </c>
      <c r="J883" s="27" t="n">
        <v>122.229216</v>
      </c>
      <c r="K883" s="10" t="inlineStr">
        <is>
          <t>R</t>
        </is>
      </c>
      <c r="L883" s="12" t="n">
        <v>2669</v>
      </c>
      <c r="M883" s="14" t="n">
        <v>4.7</v>
      </c>
      <c r="N883" s="12">
        <f>ROUND(L883/M883, 0)</f>
        <v/>
      </c>
      <c r="O883" s="12">
        <f>ROUND(N883*'Methodology &amp; Assumptions'!$B$5, 0)</f>
        <v/>
      </c>
      <c r="P883" s="10" t="inlineStr">
        <is>
          <t>Single Carrier (Band n50, 100MHz TDD)</t>
        </is>
      </c>
      <c r="Q883" s="13">
        <f>ROUNDUP(O883/'Methodology &amp; Assumptions'!$B$6, 0)</f>
        <v/>
      </c>
      <c r="R883" s="13" t="n">
        <v>1</v>
      </c>
      <c r="S883" s="14" t="n">
        <v>29.47</v>
      </c>
      <c r="T883" s="14" t="n">
        <v>34.34</v>
      </c>
      <c r="U883" s="26">
        <f>IF(X883&gt;='Methodology &amp; Assumptions'!$B$7, "Tier 1 Critical GIDA (Score ≥ 50.0)", IF(X883&gt;='Methodology &amp; Assumptions'!$B$8, "Tier 2 High GIDA (Score 40.0–49.9)", "Tier 3 Moderate GIDA (Score &lt; 40.0)"))</f>
        <v/>
      </c>
      <c r="V883" s="26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W883" s="28" t="n">
        <v>0.11</v>
      </c>
      <c r="X883" s="14" t="n">
        <v>45.03</v>
      </c>
      <c r="Y883" s="14">
        <f>ROUND(MIN(100, (X883/69.91)*100), 2)</f>
        <v/>
      </c>
    </row>
    <row r="884">
      <c r="A884" s="10" t="n">
        <v>4</v>
      </c>
      <c r="B884" s="10" t="n">
        <v>880</v>
      </c>
      <c r="C884" s="10" t="n">
        <v>3880</v>
      </c>
      <c r="D884" s="10" t="inlineStr">
        <is>
          <t>1903615073</t>
        </is>
      </c>
      <c r="E884" s="26" t="inlineStr">
        <is>
          <t>Bangsamoro Autonomous Region In Muslim Mindanao (BARMM)</t>
        </is>
      </c>
      <c r="F884" s="26" t="inlineStr">
        <is>
          <t>Lanao del Sur</t>
        </is>
      </c>
      <c r="G884" s="26" t="inlineStr">
        <is>
          <t>Malabang</t>
        </is>
      </c>
      <c r="H884" s="26" t="inlineStr">
        <is>
          <t>Macuranding</t>
        </is>
      </c>
      <c r="I884" s="27" t="n">
        <v>17.254635</v>
      </c>
      <c r="J884" s="27" t="n">
        <v>122.228679</v>
      </c>
      <c r="K884" s="10" t="inlineStr">
        <is>
          <t>R</t>
        </is>
      </c>
      <c r="L884" s="12" t="n">
        <v>1155</v>
      </c>
      <c r="M884" s="14" t="n">
        <v>5.7</v>
      </c>
      <c r="N884" s="12">
        <f>ROUND(L884/M884, 0)</f>
        <v/>
      </c>
      <c r="O884" s="12">
        <f>ROUND(N884*'Methodology &amp; Assumptions'!$B$5, 0)</f>
        <v/>
      </c>
      <c r="P884" s="10" t="inlineStr">
        <is>
          <t>Single Carrier (Band n50, 100MHz TDD)</t>
        </is>
      </c>
      <c r="Q884" s="13">
        <f>ROUNDUP(O884/'Methodology &amp; Assumptions'!$B$6, 0)</f>
        <v/>
      </c>
      <c r="R884" s="13" t="n">
        <v>1</v>
      </c>
      <c r="S884" s="14" t="n">
        <v>29.38</v>
      </c>
      <c r="T884" s="14" t="n">
        <v>34.27</v>
      </c>
      <c r="U884" s="26">
        <f>IF(X884&gt;='Methodology &amp; Assumptions'!$B$7, "Tier 1 Critical GIDA (Score ≥ 50.0)", IF(X884&gt;='Methodology &amp; Assumptions'!$B$8, "Tier 2 High GIDA (Score 40.0–49.9)", "Tier 3 Moderate GIDA (Score &lt; 40.0)"))</f>
        <v/>
      </c>
      <c r="V884" s="26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W884" s="28" t="n">
        <v>0.11</v>
      </c>
      <c r="X884" s="14" t="n">
        <v>45.03</v>
      </c>
      <c r="Y884" s="14">
        <f>ROUND(MIN(100, (X884/69.91)*100), 2)</f>
        <v/>
      </c>
    </row>
    <row r="885">
      <c r="A885" s="10" t="n">
        <v>4</v>
      </c>
      <c r="B885" s="10" t="n">
        <v>881</v>
      </c>
      <c r="C885" s="10" t="n">
        <v>3881</v>
      </c>
      <c r="D885" s="10" t="inlineStr">
        <is>
          <t>1908813010</t>
        </is>
      </c>
      <c r="E885" s="26" t="inlineStr">
        <is>
          <t>Bangsamoro Autonomous Region In Muslim Mindanao (BARMM)</t>
        </is>
      </c>
      <c r="F885" s="26" t="inlineStr">
        <is>
          <t>Maguindanao del Sur</t>
        </is>
      </c>
      <c r="G885" s="26" t="inlineStr">
        <is>
          <t>Mamasapano</t>
        </is>
      </c>
      <c r="H885" s="26" t="inlineStr">
        <is>
          <t>Pidsandawan</t>
        </is>
      </c>
      <c r="I885" s="27" t="n">
        <v>17.251486</v>
      </c>
      <c r="J885" s="27" t="n">
        <v>122.23268</v>
      </c>
      <c r="K885" s="10" t="inlineStr">
        <is>
          <t>R</t>
        </is>
      </c>
      <c r="L885" s="12" t="n">
        <v>998</v>
      </c>
      <c r="M885" s="14" t="n">
        <v>4.7</v>
      </c>
      <c r="N885" s="12">
        <f>ROUND(L885/M885, 0)</f>
        <v/>
      </c>
      <c r="O885" s="12">
        <f>ROUND(N885*'Methodology &amp; Assumptions'!$B$5, 0)</f>
        <v/>
      </c>
      <c r="P885" s="10" t="inlineStr">
        <is>
          <t>Single Carrier (Band n50, 100MHz TDD)</t>
        </is>
      </c>
      <c r="Q885" s="13">
        <f>ROUNDUP(O885/'Methodology &amp; Assumptions'!$B$6, 0)</f>
        <v/>
      </c>
      <c r="R885" s="13" t="n">
        <v>1</v>
      </c>
      <c r="S885" s="14" t="n">
        <v>29.49</v>
      </c>
      <c r="T885" s="14" t="n">
        <v>34.58</v>
      </c>
      <c r="U885" s="26">
        <f>IF(X885&gt;='Methodology &amp; Assumptions'!$B$7, "Tier 1 Critical GIDA (Score ≥ 50.0)", IF(X885&gt;='Methodology &amp; Assumptions'!$B$8, "Tier 2 High GIDA (Score 40.0–49.9)", "Tier 3 Moderate GIDA (Score &lt; 40.0)"))</f>
        <v/>
      </c>
      <c r="V885" s="26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W885" s="28" t="n">
        <v>0.11</v>
      </c>
      <c r="X885" s="14" t="n">
        <v>45.03</v>
      </c>
      <c r="Y885" s="14">
        <f>ROUND(MIN(100, (X885/69.91)*100), 2)</f>
        <v/>
      </c>
    </row>
    <row r="886">
      <c r="A886" s="10" t="n">
        <v>4</v>
      </c>
      <c r="B886" s="10" t="n">
        <v>882</v>
      </c>
      <c r="C886" s="10" t="n">
        <v>3882</v>
      </c>
      <c r="D886" s="10" t="inlineStr">
        <is>
          <t>1900713010</t>
        </is>
      </c>
      <c r="E886" s="26" t="inlineStr">
        <is>
          <t>Bangsamoro Autonomous Region In Muslim Mindanao (BARMM)</t>
        </is>
      </c>
      <c r="F886" s="26" t="inlineStr">
        <is>
          <t>Basilan</t>
        </is>
      </c>
      <c r="G886" s="26" t="inlineStr">
        <is>
          <t>Tabuan-Lasa</t>
        </is>
      </c>
      <c r="H886" s="26" t="inlineStr">
        <is>
          <t>Sulloh</t>
        </is>
      </c>
      <c r="I886" s="27" t="n">
        <v>6.289313</v>
      </c>
      <c r="J886" s="27" t="n">
        <v>121.962306</v>
      </c>
      <c r="K886" s="10" t="inlineStr">
        <is>
          <t>R</t>
        </is>
      </c>
      <c r="L886" s="12" t="n">
        <v>2338</v>
      </c>
      <c r="M886" s="14" t="n">
        <v>5.1</v>
      </c>
      <c r="N886" s="12">
        <f>ROUND(L886/M886, 0)</f>
        <v/>
      </c>
      <c r="O886" s="12">
        <f>ROUND(N886*'Methodology &amp; Assumptions'!$B$5, 0)</f>
        <v/>
      </c>
      <c r="P886" s="10" t="inlineStr">
        <is>
          <t>Single Carrier (Band n50, 100MHz TDD)</t>
        </is>
      </c>
      <c r="Q886" s="13">
        <f>ROUNDUP(O886/'Methodology &amp; Assumptions'!$B$6, 0)</f>
        <v/>
      </c>
      <c r="R886" s="13" t="n">
        <v>1</v>
      </c>
      <c r="S886" s="14" t="n">
        <v>70.14</v>
      </c>
      <c r="T886" s="14" t="n">
        <v>70.14</v>
      </c>
      <c r="U886" s="26">
        <f>IF(X886&gt;='Methodology &amp; Assumptions'!$B$7, "Tier 1 Critical GIDA (Score ≥ 50.0)", IF(X886&gt;='Methodology &amp; Assumptions'!$B$8, "Tier 2 High GIDA (Score 40.0–49.9)", "Tier 3 Moderate GIDA (Score &lt; 40.0)"))</f>
        <v/>
      </c>
      <c r="V886" s="26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W886" s="28" t="n">
        <v>0.11</v>
      </c>
      <c r="X886" s="14" t="n">
        <v>45.02</v>
      </c>
      <c r="Y886" s="14">
        <f>ROUND(MIN(100, (X886/69.91)*100), 2)</f>
        <v/>
      </c>
    </row>
    <row r="887">
      <c r="A887" s="10" t="n">
        <v>4</v>
      </c>
      <c r="B887" s="10" t="n">
        <v>883</v>
      </c>
      <c r="C887" s="10" t="n">
        <v>3883</v>
      </c>
      <c r="D887" s="10" t="inlineStr">
        <is>
          <t>1906609041</t>
        </is>
      </c>
      <c r="E887" s="26" t="inlineStr">
        <is>
          <t>Bangsamoro Autonomous Region In Muslim Mindanao (BARMM)</t>
        </is>
      </c>
      <c r="F887" s="26" t="inlineStr">
        <is>
          <t>Sulu</t>
        </is>
      </c>
      <c r="G887" s="26" t="inlineStr">
        <is>
          <t>Parang</t>
        </is>
      </c>
      <c r="H887" s="26" t="inlineStr">
        <is>
          <t>Tukay</t>
        </is>
      </c>
      <c r="I887" s="27" t="n">
        <v>17.25539</v>
      </c>
      <c r="J887" s="27" t="n">
        <v>122.229434</v>
      </c>
      <c r="K887" s="10" t="inlineStr">
        <is>
          <t>R</t>
        </is>
      </c>
      <c r="L887" s="12" t="n">
        <v>1763</v>
      </c>
      <c r="M887" s="14" t="n">
        <v>6</v>
      </c>
      <c r="N887" s="12">
        <f>ROUND(L887/M887, 0)</f>
        <v/>
      </c>
      <c r="O887" s="12">
        <f>ROUND(N887*'Methodology &amp; Assumptions'!$B$5, 0)</f>
        <v/>
      </c>
      <c r="P887" s="10" t="inlineStr">
        <is>
          <t>Single Carrier (Band n50, 100MHz TDD)</t>
        </is>
      </c>
      <c r="Q887" s="13">
        <f>ROUNDUP(O887/'Methodology &amp; Assumptions'!$B$6, 0)</f>
        <v/>
      </c>
      <c r="R887" s="13" t="n">
        <v>1</v>
      </c>
      <c r="S887" s="14" t="n">
        <v>29.5</v>
      </c>
      <c r="T887" s="14" t="n">
        <v>34.37</v>
      </c>
      <c r="U887" s="26">
        <f>IF(X887&gt;='Methodology &amp; Assumptions'!$B$7, "Tier 1 Critical GIDA (Score ≥ 50.0)", IF(X887&gt;='Methodology &amp; Assumptions'!$B$8, "Tier 2 High GIDA (Score 40.0–49.9)", "Tier 3 Moderate GIDA (Score &lt; 40.0)"))</f>
        <v/>
      </c>
      <c r="V887" s="26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W887" s="28" t="n">
        <v>0.11</v>
      </c>
      <c r="X887" s="14" t="n">
        <v>45.02</v>
      </c>
      <c r="Y887" s="14">
        <f>ROUND(MIN(100, (X887/69.91)*100), 2)</f>
        <v/>
      </c>
    </row>
    <row r="888">
      <c r="A888" s="10" t="n">
        <v>4</v>
      </c>
      <c r="B888" s="10" t="n">
        <v>884</v>
      </c>
      <c r="C888" s="10" t="n">
        <v>3884</v>
      </c>
      <c r="D888" s="10" t="inlineStr">
        <is>
          <t>1900713011</t>
        </is>
      </c>
      <c r="E888" s="26" t="inlineStr">
        <is>
          <t>Bangsamoro Autonomous Region In Muslim Mindanao (BARMM)</t>
        </is>
      </c>
      <c r="F888" s="26" t="inlineStr">
        <is>
          <t>Basilan</t>
        </is>
      </c>
      <c r="G888" s="26" t="inlineStr">
        <is>
          <t>Tabuan-Lasa</t>
        </is>
      </c>
      <c r="H888" s="26" t="inlineStr">
        <is>
          <t>Tambulig Buton</t>
        </is>
      </c>
      <c r="I888" s="27" t="n">
        <v>6.30996</v>
      </c>
      <c r="J888" s="27" t="n">
        <v>121.96814</v>
      </c>
      <c r="K888" s="10" t="inlineStr">
        <is>
          <t>R</t>
        </is>
      </c>
      <c r="L888" s="12" t="n">
        <v>2079</v>
      </c>
      <c r="M888" s="14" t="n">
        <v>5.1</v>
      </c>
      <c r="N888" s="12">
        <f>ROUND(L888/M888, 0)</f>
        <v/>
      </c>
      <c r="O888" s="12">
        <f>ROUND(N888*'Methodology &amp; Assumptions'!$B$5, 0)</f>
        <v/>
      </c>
      <c r="P888" s="10" t="inlineStr">
        <is>
          <t>Single Carrier (Band n50, 100MHz TDD)</t>
        </is>
      </c>
      <c r="Q888" s="13">
        <f>ROUNDUP(O888/'Methodology &amp; Assumptions'!$B$6, 0)</f>
        <v/>
      </c>
      <c r="R888" s="13" t="n">
        <v>1</v>
      </c>
      <c r="S888" s="14" t="n">
        <v>67.77</v>
      </c>
      <c r="T888" s="14" t="n">
        <v>67.76000000000001</v>
      </c>
      <c r="U888" s="26">
        <f>IF(X888&gt;='Methodology &amp; Assumptions'!$B$7, "Tier 1 Critical GIDA (Score ≥ 50.0)", IF(X888&gt;='Methodology &amp; Assumptions'!$B$8, "Tier 2 High GIDA (Score 40.0–49.9)", "Tier 3 Moderate GIDA (Score &lt; 40.0)"))</f>
        <v/>
      </c>
      <c r="V888" s="26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W888" s="28" t="n">
        <v>0.11</v>
      </c>
      <c r="X888" s="14" t="n">
        <v>45.02</v>
      </c>
      <c r="Y888" s="14">
        <f>ROUND(MIN(100, (X888/69.91)*100), 2)</f>
        <v/>
      </c>
    </row>
    <row r="889">
      <c r="A889" s="10" t="n">
        <v>4</v>
      </c>
      <c r="B889" s="10" t="n">
        <v>885</v>
      </c>
      <c r="C889" s="10" t="n">
        <v>3885</v>
      </c>
      <c r="D889" s="10" t="inlineStr">
        <is>
          <t>1903607016</t>
        </is>
      </c>
      <c r="E889" s="26" t="inlineStr">
        <is>
          <t>Bangsamoro Autonomous Region In Muslim Mindanao (BARMM)</t>
        </is>
      </c>
      <c r="F889" s="26" t="inlineStr">
        <is>
          <t>Lanao del Sur</t>
        </is>
      </c>
      <c r="G889" s="26" t="inlineStr">
        <is>
          <t>Butig</t>
        </is>
      </c>
      <c r="H889" s="26" t="inlineStr">
        <is>
          <t>Coloyan Tambo</t>
        </is>
      </c>
      <c r="I889" s="27" t="n">
        <v>17.254772</v>
      </c>
      <c r="J889" s="27" t="n">
        <v>122.228816</v>
      </c>
      <c r="K889" s="10" t="inlineStr">
        <is>
          <t>R</t>
        </is>
      </c>
      <c r="L889" s="12" t="n">
        <v>1355</v>
      </c>
      <c r="M889" s="14" t="n">
        <v>5.7</v>
      </c>
      <c r="N889" s="12">
        <f>ROUND(L889/M889, 0)</f>
        <v/>
      </c>
      <c r="O889" s="12">
        <f>ROUND(N889*'Methodology &amp; Assumptions'!$B$5, 0)</f>
        <v/>
      </c>
      <c r="P889" s="10" t="inlineStr">
        <is>
          <t>Single Carrier (Band n50, 100MHz TDD)</t>
        </is>
      </c>
      <c r="Q889" s="13">
        <f>ROUNDUP(O889/'Methodology &amp; Assumptions'!$B$6, 0)</f>
        <v/>
      </c>
      <c r="R889" s="13" t="n">
        <v>1</v>
      </c>
      <c r="S889" s="14" t="n">
        <v>29.4</v>
      </c>
      <c r="T889" s="14" t="n">
        <v>34.29</v>
      </c>
      <c r="U889" s="26">
        <f>IF(X889&gt;='Methodology &amp; Assumptions'!$B$7, "Tier 1 Critical GIDA (Score ≥ 50.0)", IF(X889&gt;='Methodology &amp; Assumptions'!$B$8, "Tier 2 High GIDA (Score 40.0–49.9)", "Tier 3 Moderate GIDA (Score &lt; 40.0)"))</f>
        <v/>
      </c>
      <c r="V889" s="26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W889" s="28" t="n">
        <v>0.11</v>
      </c>
      <c r="X889" s="14" t="n">
        <v>45.02</v>
      </c>
      <c r="Y889" s="14">
        <f>ROUND(MIN(100, (X889/69.91)*100), 2)</f>
        <v/>
      </c>
    </row>
    <row r="890">
      <c r="A890" s="10" t="n">
        <v>4</v>
      </c>
      <c r="B890" s="10" t="n">
        <v>886</v>
      </c>
      <c r="C890" s="10" t="n">
        <v>3886</v>
      </c>
      <c r="D890" s="10" t="inlineStr">
        <is>
          <t>1204711041</t>
        </is>
      </c>
      <c r="E890" s="26" t="inlineStr">
        <is>
          <t>Region XII (SOCCSKSARGEN)</t>
        </is>
      </c>
      <c r="F890" s="26" t="inlineStr">
        <is>
          <t>Cotabato</t>
        </is>
      </c>
      <c r="G890" s="26" t="inlineStr">
        <is>
          <t>Pigkawayan</t>
        </is>
      </c>
      <c r="H890" s="26" t="inlineStr">
        <is>
          <t>Cabpangi</t>
        </is>
      </c>
      <c r="I890" s="27" t="n">
        <v>7.23455</v>
      </c>
      <c r="J890" s="27" t="n">
        <v>124.437864</v>
      </c>
      <c r="K890" s="10" t="inlineStr">
        <is>
          <t>R</t>
        </is>
      </c>
      <c r="L890" s="12" t="n">
        <v>1013</v>
      </c>
      <c r="M890" s="14" t="n">
        <v>3.8</v>
      </c>
      <c r="N890" s="12">
        <f>ROUND(L890/M890, 0)</f>
        <v/>
      </c>
      <c r="O890" s="12">
        <f>ROUND(N890*'Methodology &amp; Assumptions'!$B$5, 0)</f>
        <v/>
      </c>
      <c r="P890" s="10" t="inlineStr">
        <is>
          <t>Single Carrier (Band n50, 100MHz TDD)</t>
        </is>
      </c>
      <c r="Q890" s="13">
        <f>ROUNDUP(O890/'Methodology &amp; Assumptions'!$B$6, 0)</f>
        <v/>
      </c>
      <c r="R890" s="13" t="n">
        <v>1</v>
      </c>
      <c r="S890" s="14" t="n">
        <v>39.75</v>
      </c>
      <c r="T890" s="14" t="n">
        <v>38.73</v>
      </c>
      <c r="U890" s="26">
        <f>IF(X890&gt;='Methodology &amp; Assumptions'!$B$7, "Tier 1 Critical GIDA (Score ≥ 50.0)", IF(X890&gt;='Methodology &amp; Assumptions'!$B$8, "Tier 2 High GIDA (Score 40.0–49.9)", "Tier 3 Moderate GIDA (Score &lt; 40.0)"))</f>
        <v/>
      </c>
      <c r="V890" s="26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W890" s="28" t="n">
        <v>0.174</v>
      </c>
      <c r="X890" s="14" t="n">
        <v>45.02</v>
      </c>
      <c r="Y890" s="14">
        <f>ROUND(MIN(100, (X890/69.91)*100), 2)</f>
        <v/>
      </c>
    </row>
    <row r="891">
      <c r="A891" s="10" t="n">
        <v>4</v>
      </c>
      <c r="B891" s="10" t="n">
        <v>887</v>
      </c>
      <c r="C891" s="10" t="n">
        <v>3887</v>
      </c>
      <c r="D891" s="10" t="inlineStr">
        <is>
          <t>1900705032</t>
        </is>
      </c>
      <c r="E891" s="26" t="inlineStr">
        <is>
          <t>Bangsamoro Autonomous Region In Muslim Mindanao (BARMM)</t>
        </is>
      </c>
      <c r="F891" s="26" t="inlineStr">
        <is>
          <t>Basilan</t>
        </is>
      </c>
      <c r="G891" s="26" t="inlineStr">
        <is>
          <t>Sumisip</t>
        </is>
      </c>
      <c r="H891" s="26" t="inlineStr">
        <is>
          <t>Mahatalang</t>
        </is>
      </c>
      <c r="I891" s="27" t="n">
        <v>6.50933</v>
      </c>
      <c r="J891" s="27" t="n">
        <v>122.04324</v>
      </c>
      <c r="K891" s="10" t="inlineStr">
        <is>
          <t>R</t>
        </is>
      </c>
      <c r="L891" s="12" t="n">
        <v>1639</v>
      </c>
      <c r="M891" s="14" t="n">
        <v>5.1</v>
      </c>
      <c r="N891" s="12">
        <f>ROUND(L891/M891, 0)</f>
        <v/>
      </c>
      <c r="O891" s="12">
        <f>ROUND(N891*'Methodology &amp; Assumptions'!$B$5, 0)</f>
        <v/>
      </c>
      <c r="P891" s="10" t="inlineStr">
        <is>
          <t>Single Carrier (Band n50, 100MHz TDD)</t>
        </is>
      </c>
      <c r="Q891" s="13">
        <f>ROUNDUP(O891/'Methodology &amp; Assumptions'!$B$6, 0)</f>
        <v/>
      </c>
      <c r="R891" s="13" t="n">
        <v>1</v>
      </c>
      <c r="S891" s="14" t="n">
        <v>44.72</v>
      </c>
      <c r="T891" s="14" t="n">
        <v>44.71</v>
      </c>
      <c r="U891" s="26">
        <f>IF(X891&gt;='Methodology &amp; Assumptions'!$B$7, "Tier 1 Critical GIDA (Score ≥ 50.0)", IF(X891&gt;='Methodology &amp; Assumptions'!$B$8, "Tier 2 High GIDA (Score 40.0–49.9)", "Tier 3 Moderate GIDA (Score &lt; 40.0)"))</f>
        <v/>
      </c>
      <c r="V891" s="26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W891" s="28" t="n">
        <v>0.11</v>
      </c>
      <c r="X891" s="14" t="n">
        <v>45.02</v>
      </c>
      <c r="Y891" s="14">
        <f>ROUND(MIN(100, (X891/69.91)*100), 2)</f>
        <v/>
      </c>
    </row>
    <row r="892">
      <c r="A892" s="10" t="n">
        <v>4</v>
      </c>
      <c r="B892" s="10" t="n">
        <v>888</v>
      </c>
      <c r="C892" s="10" t="n">
        <v>3888</v>
      </c>
      <c r="D892" s="10" t="inlineStr">
        <is>
          <t>PH0003888</t>
        </is>
      </c>
      <c r="E892" s="26" t="inlineStr">
        <is>
          <t>CAR</t>
        </is>
      </c>
      <c r="F892" s="26" t="inlineStr">
        <is>
          <t>Benguet</t>
        </is>
      </c>
      <c r="G892" s="26" t="inlineStr">
        <is>
          <t>Baguio City</t>
        </is>
      </c>
      <c r="H892" s="26" t="inlineStr">
        <is>
          <t>Victoria Village</t>
        </is>
      </c>
      <c r="I892" s="27" t="n">
        <v>16.410222</v>
      </c>
      <c r="J892" s="27" t="n">
        <v>120.672445</v>
      </c>
      <c r="K892" s="10" t="inlineStr">
        <is>
          <t>R</t>
        </is>
      </c>
      <c r="L892" s="12" t="n">
        <v>2260</v>
      </c>
      <c r="M892" s="14" t="n">
        <v>3.5</v>
      </c>
      <c r="N892" s="12">
        <f>ROUND(L892/M892, 0)</f>
        <v/>
      </c>
      <c r="O892" s="12">
        <f>ROUND(N892*'Methodology &amp; Assumptions'!$B$5, 0)</f>
        <v/>
      </c>
      <c r="P892" s="10" t="inlineStr">
        <is>
          <t>Single Carrier (Band n50, 100MHz TDD)</t>
        </is>
      </c>
      <c r="Q892" s="13">
        <f>ROUNDUP(O892/'Methodology &amp; Assumptions'!$B$6, 0)</f>
        <v/>
      </c>
      <c r="R892" s="13" t="n">
        <v>1</v>
      </c>
      <c r="S892" s="14" t="n">
        <v>3.42</v>
      </c>
      <c r="T892" s="14" t="n">
        <v>1.13</v>
      </c>
      <c r="U892" s="26">
        <f>IF(X892&gt;='Methodology &amp; Assumptions'!$B$7, "Tier 1 Critical GIDA (Score ≥ 50.0)", IF(X892&gt;='Methodology &amp; Assumptions'!$B$8, "Tier 2 High GIDA (Score 40.0–49.9)", "Tier 3 Moderate GIDA (Score &lt; 40.0)"))</f>
        <v/>
      </c>
      <c r="V892" s="26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W892" s="28" t="n">
        <v>0.221</v>
      </c>
      <c r="X892" s="14" t="n">
        <v>45.02</v>
      </c>
      <c r="Y892" s="14">
        <f>ROUND(MIN(100, (X892/69.91)*100), 2)</f>
        <v/>
      </c>
    </row>
    <row r="893">
      <c r="A893" s="10" t="n">
        <v>4</v>
      </c>
      <c r="B893" s="10" t="n">
        <v>889</v>
      </c>
      <c r="C893" s="10" t="n">
        <v>3889</v>
      </c>
      <c r="D893" s="10" t="inlineStr">
        <is>
          <t>1900705051</t>
        </is>
      </c>
      <c r="E893" s="26" t="inlineStr">
        <is>
          <t>Bangsamoro Autonomous Region In Muslim Mindanao (BARMM)</t>
        </is>
      </c>
      <c r="F893" s="26" t="inlineStr">
        <is>
          <t>Basilan</t>
        </is>
      </c>
      <c r="G893" s="26" t="inlineStr">
        <is>
          <t>Sumisip</t>
        </is>
      </c>
      <c r="H893" s="26" t="inlineStr">
        <is>
          <t>Kaumpamatsakem</t>
        </is>
      </c>
      <c r="I893" s="27" t="n">
        <v>6.506074</v>
      </c>
      <c r="J893" s="27" t="n">
        <v>122.029039</v>
      </c>
      <c r="K893" s="10" t="inlineStr">
        <is>
          <t>R</t>
        </is>
      </c>
      <c r="L893" s="12" t="n">
        <v>1650</v>
      </c>
      <c r="M893" s="14" t="n">
        <v>5.1</v>
      </c>
      <c r="N893" s="12">
        <f>ROUND(L893/M893, 0)</f>
        <v/>
      </c>
      <c r="O893" s="12">
        <f>ROUND(N893*'Methodology &amp; Assumptions'!$B$5, 0)</f>
        <v/>
      </c>
      <c r="P893" s="10" t="inlineStr">
        <is>
          <t>Single Carrier (Band n50, 100MHz TDD)</t>
        </is>
      </c>
      <c r="Q893" s="13">
        <f>ROUNDUP(O893/'Methodology &amp; Assumptions'!$B$6, 0)</f>
        <v/>
      </c>
      <c r="R893" s="13" t="n">
        <v>1</v>
      </c>
      <c r="S893" s="14" t="n">
        <v>45.22</v>
      </c>
      <c r="T893" s="14" t="n">
        <v>45.22</v>
      </c>
      <c r="U893" s="26">
        <f>IF(X893&gt;='Methodology &amp; Assumptions'!$B$7, "Tier 1 Critical GIDA (Score ≥ 50.0)", IF(X893&gt;='Methodology &amp; Assumptions'!$B$8, "Tier 2 High GIDA (Score 40.0–49.9)", "Tier 3 Moderate GIDA (Score &lt; 40.0)"))</f>
        <v/>
      </c>
      <c r="V893" s="26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W893" s="28" t="n">
        <v>0.11</v>
      </c>
      <c r="X893" s="14" t="n">
        <v>45.02</v>
      </c>
      <c r="Y893" s="14">
        <f>ROUND(MIN(100, (X893/69.91)*100), 2)</f>
        <v/>
      </c>
    </row>
    <row r="894">
      <c r="A894" s="10" t="n">
        <v>4</v>
      </c>
      <c r="B894" s="10" t="n">
        <v>890</v>
      </c>
      <c r="C894" s="10" t="n">
        <v>3890</v>
      </c>
      <c r="D894" s="10" t="inlineStr">
        <is>
          <t>PH0003890</t>
        </is>
      </c>
      <c r="E894" s="26" t="inlineStr">
        <is>
          <t>BARMM (LaMa+SGA)</t>
        </is>
      </c>
      <c r="F894" s="26" t="inlineStr">
        <is>
          <t>North Cotabato</t>
        </is>
      </c>
      <c r="G894" s="26" t="inlineStr">
        <is>
          <t>Pigkawayan</t>
        </is>
      </c>
      <c r="H894" s="26" t="inlineStr">
        <is>
          <t>Lower Pangangkalan</t>
        </is>
      </c>
      <c r="I894" s="27" t="n">
        <v>7.172054</v>
      </c>
      <c r="J894" s="27" t="n">
        <v>124.341943</v>
      </c>
      <c r="K894" s="10" t="inlineStr">
        <is>
          <t>R</t>
        </is>
      </c>
      <c r="L894" s="12" t="n">
        <v>1951</v>
      </c>
      <c r="M894" s="14" t="n">
        <v>3.8</v>
      </c>
      <c r="N894" s="12">
        <f>ROUND(L894/M894, 0)</f>
        <v/>
      </c>
      <c r="O894" s="12">
        <f>ROUND(N894*'Methodology &amp; Assumptions'!$B$5, 0)</f>
        <v/>
      </c>
      <c r="P894" s="10" t="inlineStr">
        <is>
          <t>Single Carrier (Band n50, 100MHz TDD)</t>
        </is>
      </c>
      <c r="Q894" s="13">
        <f>ROUNDUP(O894/'Methodology &amp; Assumptions'!$B$6, 0)</f>
        <v/>
      </c>
      <c r="R894" s="13" t="n">
        <v>1</v>
      </c>
      <c r="S894" s="14" t="n">
        <v>50.29</v>
      </c>
      <c r="T894" s="14" t="n">
        <v>50.16</v>
      </c>
      <c r="U894" s="26">
        <f>IF(X894&gt;='Methodology &amp; Assumptions'!$B$7, "Tier 1 Critical GIDA (Score ≥ 50.0)", IF(X894&gt;='Methodology &amp; Assumptions'!$B$8, "Tier 2 High GIDA (Score 40.0–49.9)", "Tier 3 Moderate GIDA (Score &lt; 40.0)"))</f>
        <v/>
      </c>
      <c r="V894" s="26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W894" s="28" t="n">
        <v>0.235</v>
      </c>
      <c r="X894" s="14" t="n">
        <v>45.02</v>
      </c>
      <c r="Y894" s="14">
        <f>ROUND(MIN(100, (X894/69.91)*100), 2)</f>
        <v/>
      </c>
    </row>
    <row r="895">
      <c r="A895" s="10" t="n">
        <v>4</v>
      </c>
      <c r="B895" s="10" t="n">
        <v>891</v>
      </c>
      <c r="C895" s="10" t="n">
        <v>3891</v>
      </c>
      <c r="D895" s="10" t="inlineStr">
        <is>
          <t>PH0003891</t>
        </is>
      </c>
      <c r="E895" s="26" t="inlineStr">
        <is>
          <t>BARMM (LaMa+SGA)</t>
        </is>
      </c>
      <c r="F895" s="26" t="inlineStr">
        <is>
          <t>North Cotabato</t>
        </is>
      </c>
      <c r="G895" s="26" t="inlineStr">
        <is>
          <t>Pigkawayan</t>
        </is>
      </c>
      <c r="H895" s="26" t="inlineStr">
        <is>
          <t>Lower Baguer</t>
        </is>
      </c>
      <c r="I895" s="27" t="n">
        <v>7.269311</v>
      </c>
      <c r="J895" s="27" t="n">
        <v>124.420533</v>
      </c>
      <c r="K895" s="10" t="inlineStr">
        <is>
          <t>R</t>
        </is>
      </c>
      <c r="L895" s="12" t="n">
        <v>1951</v>
      </c>
      <c r="M895" s="14" t="n">
        <v>3.8</v>
      </c>
      <c r="N895" s="12">
        <f>ROUND(L895/M895, 0)</f>
        <v/>
      </c>
      <c r="O895" s="12">
        <f>ROUND(N895*'Methodology &amp; Assumptions'!$B$5, 0)</f>
        <v/>
      </c>
      <c r="P895" s="10" t="inlineStr">
        <is>
          <t>Single Carrier (Band n50, 100MHz TDD)</t>
        </is>
      </c>
      <c r="Q895" s="13">
        <f>ROUNDUP(O895/'Methodology &amp; Assumptions'!$B$6, 0)</f>
        <v/>
      </c>
      <c r="R895" s="13" t="n">
        <v>1</v>
      </c>
      <c r="S895" s="14" t="n">
        <v>42.16</v>
      </c>
      <c r="T895" s="14" t="n">
        <v>39.74</v>
      </c>
      <c r="U895" s="26">
        <f>IF(X895&gt;='Methodology &amp; Assumptions'!$B$7, "Tier 1 Critical GIDA (Score ≥ 50.0)", IF(X895&gt;='Methodology &amp; Assumptions'!$B$8, "Tier 2 High GIDA (Score 40.0–49.9)", "Tier 3 Moderate GIDA (Score &lt; 40.0)"))</f>
        <v/>
      </c>
      <c r="V895" s="26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W895" s="28" t="n">
        <v>0.235</v>
      </c>
      <c r="X895" s="14" t="n">
        <v>45.02</v>
      </c>
      <c r="Y895" s="14">
        <f>ROUND(MIN(100, (X895/69.91)*100), 2)</f>
        <v/>
      </c>
    </row>
    <row r="896">
      <c r="A896" s="10" t="n">
        <v>4</v>
      </c>
      <c r="B896" s="10" t="n">
        <v>892</v>
      </c>
      <c r="C896" s="10" t="n">
        <v>3892</v>
      </c>
      <c r="D896" s="10" t="inlineStr">
        <is>
          <t>1908821008</t>
        </is>
      </c>
      <c r="E896" s="26" t="inlineStr">
        <is>
          <t>Bangsamoro Autonomous Region In Muslim Mindanao (BARMM)</t>
        </is>
      </c>
      <c r="F896" s="26" t="inlineStr">
        <is>
          <t>Maguindanao del Sur</t>
        </is>
      </c>
      <c r="G896" s="26" t="inlineStr">
        <is>
          <t>Shariff Saydona Mustapha</t>
        </is>
      </c>
      <c r="H896" s="26" t="inlineStr">
        <is>
          <t>Inaladan</t>
        </is>
      </c>
      <c r="I896" s="27" t="n">
        <v>17.251561</v>
      </c>
      <c r="J896" s="27" t="n">
        <v>122.232754</v>
      </c>
      <c r="K896" s="10" t="inlineStr">
        <is>
          <t>R</t>
        </is>
      </c>
      <c r="L896" s="12" t="n">
        <v>1306</v>
      </c>
      <c r="M896" s="14" t="n">
        <v>4.7</v>
      </c>
      <c r="N896" s="12">
        <f>ROUND(L896/M896, 0)</f>
        <v/>
      </c>
      <c r="O896" s="12">
        <f>ROUND(N896*'Methodology &amp; Assumptions'!$B$5, 0)</f>
        <v/>
      </c>
      <c r="P896" s="10" t="inlineStr">
        <is>
          <t>Single Carrier (Band n50, 100MHz TDD)</t>
        </is>
      </c>
      <c r="Q896" s="13">
        <f>ROUNDUP(O896/'Methodology &amp; Assumptions'!$B$6, 0)</f>
        <v/>
      </c>
      <c r="R896" s="13" t="n">
        <v>1</v>
      </c>
      <c r="S896" s="14" t="n">
        <v>29.5</v>
      </c>
      <c r="T896" s="14" t="n">
        <v>34.59</v>
      </c>
      <c r="U896" s="26">
        <f>IF(X896&gt;='Methodology &amp; Assumptions'!$B$7, "Tier 1 Critical GIDA (Score ≥ 50.0)", IF(X896&gt;='Methodology &amp; Assumptions'!$B$8, "Tier 2 High GIDA (Score 40.0–49.9)", "Tier 3 Moderate GIDA (Score &lt; 40.0)"))</f>
        <v/>
      </c>
      <c r="V896" s="26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W896" s="28" t="n">
        <v>0.11</v>
      </c>
      <c r="X896" s="14" t="n">
        <v>45.02</v>
      </c>
      <c r="Y896" s="14">
        <f>ROUND(MIN(100, (X896/69.91)*100), 2)</f>
        <v/>
      </c>
    </row>
    <row r="897">
      <c r="A897" s="10" t="n">
        <v>4</v>
      </c>
      <c r="B897" s="10" t="n">
        <v>893</v>
      </c>
      <c r="C897" s="10" t="n">
        <v>3893</v>
      </c>
      <c r="D897" s="10" t="inlineStr">
        <is>
          <t>1908808001</t>
        </is>
      </c>
      <c r="E897" s="26" t="inlineStr">
        <is>
          <t>Bangsamoro Autonomous Region In Muslim Mindanao (BARMM)</t>
        </is>
      </c>
      <c r="F897" s="26" t="inlineStr">
        <is>
          <t>Maguindanao del Sur</t>
        </is>
      </c>
      <c r="G897" s="26" t="inlineStr">
        <is>
          <t>Datu Salibo</t>
        </is>
      </c>
      <c r="H897" s="26" t="inlineStr">
        <is>
          <t>Alonganan</t>
        </is>
      </c>
      <c r="I897" s="27" t="n">
        <v>17.259874</v>
      </c>
      <c r="J897" s="27" t="n">
        <v>122.235616</v>
      </c>
      <c r="K897" s="10" t="inlineStr">
        <is>
          <t>R</t>
        </is>
      </c>
      <c r="L897" s="12" t="n">
        <v>733</v>
      </c>
      <c r="M897" s="14" t="n">
        <v>4.7</v>
      </c>
      <c r="N897" s="12">
        <f>ROUND(L897/M897, 0)</f>
        <v/>
      </c>
      <c r="O897" s="12">
        <f>ROUND(N897*'Methodology &amp; Assumptions'!$B$5, 0)</f>
        <v/>
      </c>
      <c r="P897" s="10" t="inlineStr">
        <is>
          <t>Single Carrier (Band n50, 100MHz TDD)</t>
        </is>
      </c>
      <c r="Q897" s="13">
        <f>ROUNDUP(O897/'Methodology &amp; Assumptions'!$B$6, 0)</f>
        <v/>
      </c>
      <c r="R897" s="13" t="n">
        <v>1</v>
      </c>
      <c r="S897" s="14" t="n">
        <v>30.32</v>
      </c>
      <c r="T897" s="14" t="n">
        <v>35.14</v>
      </c>
      <c r="U897" s="26">
        <f>IF(X897&gt;='Methodology &amp; Assumptions'!$B$7, "Tier 1 Critical GIDA (Score ≥ 50.0)", IF(X897&gt;='Methodology &amp; Assumptions'!$B$8, "Tier 2 High GIDA (Score 40.0–49.9)", "Tier 3 Moderate GIDA (Score &lt; 40.0)"))</f>
        <v/>
      </c>
      <c r="V897" s="26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W897" s="28" t="n">
        <v>0.11</v>
      </c>
      <c r="X897" s="14" t="n">
        <v>45.01</v>
      </c>
      <c r="Y897" s="14">
        <f>ROUND(MIN(100, (X897/69.91)*100), 2)</f>
        <v/>
      </c>
    </row>
    <row r="898">
      <c r="A898" s="10" t="n">
        <v>4</v>
      </c>
      <c r="B898" s="10" t="n">
        <v>894</v>
      </c>
      <c r="C898" s="10" t="n">
        <v>3894</v>
      </c>
      <c r="D898" s="10" t="inlineStr">
        <is>
          <t>0201518011</t>
        </is>
      </c>
      <c r="E898" s="26" t="inlineStr">
        <is>
          <t>Region II (Cagayan Valley)</t>
        </is>
      </c>
      <c r="F898" s="26" t="inlineStr">
        <is>
          <t>Cagayan</t>
        </is>
      </c>
      <c r="G898" s="26" t="inlineStr">
        <is>
          <t>Pamplona</t>
        </is>
      </c>
      <c r="H898" s="26" t="inlineStr">
        <is>
          <t>Gattu</t>
        </is>
      </c>
      <c r="I898" s="27" t="n">
        <v>18.467251</v>
      </c>
      <c r="J898" s="27" t="n">
        <v>121.348078</v>
      </c>
      <c r="K898" s="10" t="inlineStr">
        <is>
          <t>R</t>
        </is>
      </c>
      <c r="L898" s="12" t="n">
        <v>484</v>
      </c>
      <c r="M898" s="14" t="n">
        <v>3.9</v>
      </c>
      <c r="N898" s="12">
        <f>ROUND(L898/M898, 0)</f>
        <v/>
      </c>
      <c r="O898" s="12">
        <f>ROUND(N898*'Methodology &amp; Assumptions'!$B$5, 0)</f>
        <v/>
      </c>
      <c r="P898" s="10" t="inlineStr">
        <is>
          <t>Single Carrier (Band n50, 100MHz TDD)</t>
        </is>
      </c>
      <c r="Q898" s="13">
        <f>ROUNDUP(O898/'Methodology &amp; Assumptions'!$B$6, 0)</f>
        <v/>
      </c>
      <c r="R898" s="13" t="n">
        <v>1</v>
      </c>
      <c r="S898" s="14" t="n">
        <v>0.86</v>
      </c>
      <c r="T898" s="14" t="n">
        <v>0.44</v>
      </c>
      <c r="U898" s="26">
        <f>IF(X898&gt;='Methodology &amp; Assumptions'!$B$7, "Tier 1 Critical GIDA (Score ≥ 50.0)", IF(X898&gt;='Methodology &amp; Assumptions'!$B$8, "Tier 2 High GIDA (Score 40.0–49.9)", "Tier 3 Moderate GIDA (Score &lt; 40.0)"))</f>
        <v/>
      </c>
      <c r="V898" s="26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W898" s="28" t="n">
        <v>0.083</v>
      </c>
      <c r="X898" s="14" t="n">
        <v>45.01</v>
      </c>
      <c r="Y898" s="14">
        <f>ROUND(MIN(100, (X898/69.91)*100), 2)</f>
        <v/>
      </c>
    </row>
    <row r="899">
      <c r="A899" s="10" t="n">
        <v>4</v>
      </c>
      <c r="B899" s="10" t="n">
        <v>895</v>
      </c>
      <c r="C899" s="10" t="n">
        <v>3895</v>
      </c>
      <c r="D899" s="10" t="inlineStr">
        <is>
          <t>1903631020</t>
        </is>
      </c>
      <c r="E899" s="26" t="inlineStr">
        <is>
          <t>Bangsamoro Autonomous Region In Muslim Mindanao (BARMM)</t>
        </is>
      </c>
      <c r="F899" s="26" t="inlineStr">
        <is>
          <t>Lanao del Sur</t>
        </is>
      </c>
      <c r="G899" s="26" t="inlineStr">
        <is>
          <t>Marogong</t>
        </is>
      </c>
      <c r="H899" s="26" t="inlineStr">
        <is>
          <t>Mayaman</t>
        </is>
      </c>
      <c r="I899" s="27" t="n">
        <v>15.665579</v>
      </c>
      <c r="J899" s="27" t="n">
        <v>122.532909</v>
      </c>
      <c r="K899" s="10" t="inlineStr">
        <is>
          <t>R</t>
        </is>
      </c>
      <c r="L899" s="12" t="n">
        <v>1736</v>
      </c>
      <c r="M899" s="14" t="n">
        <v>5.7</v>
      </c>
      <c r="N899" s="12">
        <f>ROUND(L899/M899, 0)</f>
        <v/>
      </c>
      <c r="O899" s="12">
        <f>ROUND(N899*'Methodology &amp; Assumptions'!$B$5, 0)</f>
        <v/>
      </c>
      <c r="P899" s="10" t="inlineStr">
        <is>
          <t>Single Carrier (Band n50, 100MHz TDD)</t>
        </is>
      </c>
      <c r="Q899" s="13">
        <f>ROUNDUP(O899/'Methodology &amp; Assumptions'!$B$6, 0)</f>
        <v/>
      </c>
      <c r="R899" s="13" t="n">
        <v>1</v>
      </c>
      <c r="S899" s="14" t="n">
        <v>79.93000000000001</v>
      </c>
      <c r="T899" s="14" t="n">
        <v>78.75</v>
      </c>
      <c r="U899" s="26">
        <f>IF(X899&gt;='Methodology &amp; Assumptions'!$B$7, "Tier 1 Critical GIDA (Score ≥ 50.0)", IF(X899&gt;='Methodology &amp; Assumptions'!$B$8, "Tier 2 High GIDA (Score 40.0–49.9)", "Tier 3 Moderate GIDA (Score &lt; 40.0)"))</f>
        <v/>
      </c>
      <c r="V899" s="26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W899" s="28" t="n">
        <v>0.11</v>
      </c>
      <c r="X899" s="14" t="n">
        <v>45.01</v>
      </c>
      <c r="Y899" s="14">
        <f>ROUND(MIN(100, (X899/69.91)*100), 2)</f>
        <v/>
      </c>
    </row>
    <row r="900">
      <c r="A900" s="10" t="n">
        <v>4</v>
      </c>
      <c r="B900" s="10" t="n">
        <v>896</v>
      </c>
      <c r="C900" s="10" t="n">
        <v>3896</v>
      </c>
      <c r="D900" s="10" t="inlineStr">
        <is>
          <t>1903615019</t>
        </is>
      </c>
      <c r="E900" s="26" t="inlineStr">
        <is>
          <t>Bangsamoro Autonomous Region In Muslim Mindanao (BARMM)</t>
        </is>
      </c>
      <c r="F900" s="26" t="inlineStr">
        <is>
          <t>Lanao del Sur</t>
        </is>
      </c>
      <c r="G900" s="26" t="inlineStr">
        <is>
          <t>Malabang</t>
        </is>
      </c>
      <c r="H900" s="26" t="inlineStr">
        <is>
          <t>Betayan</t>
        </is>
      </c>
      <c r="I900" s="27" t="n">
        <v>16.896759</v>
      </c>
      <c r="J900" s="27" t="n">
        <v>122.307049</v>
      </c>
      <c r="K900" s="10" t="inlineStr">
        <is>
          <t>R</t>
        </is>
      </c>
      <c r="L900" s="12" t="n">
        <v>821</v>
      </c>
      <c r="M900" s="14" t="n">
        <v>5.7</v>
      </c>
      <c r="N900" s="12">
        <f>ROUND(L900/M900, 0)</f>
        <v/>
      </c>
      <c r="O900" s="12">
        <f>ROUND(N900*'Methodology &amp; Assumptions'!$B$5, 0)</f>
        <v/>
      </c>
      <c r="P900" s="10" t="inlineStr">
        <is>
          <t>Single Carrier (Band n50, 100MHz TDD)</t>
        </is>
      </c>
      <c r="Q900" s="13">
        <f>ROUNDUP(O900/'Methodology &amp; Assumptions'!$B$6, 0)</f>
        <v/>
      </c>
      <c r="R900" s="13" t="n">
        <v>1</v>
      </c>
      <c r="S900" s="14" t="n">
        <v>32.79</v>
      </c>
      <c r="T900" s="14" t="n">
        <v>41.74</v>
      </c>
      <c r="U900" s="26">
        <f>IF(X900&gt;='Methodology &amp; Assumptions'!$B$7, "Tier 1 Critical GIDA (Score ≥ 50.0)", IF(X900&gt;='Methodology &amp; Assumptions'!$B$8, "Tier 2 High GIDA (Score 40.0–49.9)", "Tier 3 Moderate GIDA (Score &lt; 40.0)"))</f>
        <v/>
      </c>
      <c r="V900" s="26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W900" s="28" t="n">
        <v>0.11</v>
      </c>
      <c r="X900" s="14" t="n">
        <v>45.01</v>
      </c>
      <c r="Y900" s="14">
        <f>ROUND(MIN(100, (X900/69.91)*100), 2)</f>
        <v/>
      </c>
    </row>
    <row r="901">
      <c r="A901" s="10" t="n">
        <v>4</v>
      </c>
      <c r="B901" s="10" t="n">
        <v>897</v>
      </c>
      <c r="C901" s="10" t="n">
        <v>3897</v>
      </c>
      <c r="D901" s="10" t="inlineStr">
        <is>
          <t>1903602051</t>
        </is>
      </c>
      <c r="E901" s="26" t="inlineStr">
        <is>
          <t>Bangsamoro Autonomous Region In Muslim Mindanao (BARMM)</t>
        </is>
      </c>
      <c r="F901" s="26" t="inlineStr">
        <is>
          <t>Lanao del Sur</t>
        </is>
      </c>
      <c r="G901" s="26" t="inlineStr">
        <is>
          <t>Balabagan</t>
        </is>
      </c>
      <c r="H901" s="26" t="inlineStr">
        <is>
          <t>Ilian</t>
        </is>
      </c>
      <c r="I901" s="27" t="n">
        <v>17.254559</v>
      </c>
      <c r="J901" s="27" t="n">
        <v>122.228603</v>
      </c>
      <c r="K901" s="10" t="inlineStr">
        <is>
          <t>R</t>
        </is>
      </c>
      <c r="L901" s="12" t="n">
        <v>826</v>
      </c>
      <c r="M901" s="14" t="n">
        <v>5.7</v>
      </c>
      <c r="N901" s="12">
        <f>ROUND(L901/M901, 0)</f>
        <v/>
      </c>
      <c r="O901" s="12">
        <f>ROUND(N901*'Methodology &amp; Assumptions'!$B$5, 0)</f>
        <v/>
      </c>
      <c r="P901" s="10" t="inlineStr">
        <is>
          <t>Single Carrier (Band n50, 100MHz TDD)</t>
        </is>
      </c>
      <c r="Q901" s="13">
        <f>ROUNDUP(O901/'Methodology &amp; Assumptions'!$B$6, 0)</f>
        <v/>
      </c>
      <c r="R901" s="13" t="n">
        <v>1</v>
      </c>
      <c r="S901" s="14" t="n">
        <v>29.37</v>
      </c>
      <c r="T901" s="14" t="n">
        <v>34.26</v>
      </c>
      <c r="U901" s="26">
        <f>IF(X901&gt;='Methodology &amp; Assumptions'!$B$7, "Tier 1 Critical GIDA (Score ≥ 50.0)", IF(X901&gt;='Methodology &amp; Assumptions'!$B$8, "Tier 2 High GIDA (Score 40.0–49.9)", "Tier 3 Moderate GIDA (Score &lt; 40.0)"))</f>
        <v/>
      </c>
      <c r="V901" s="26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W901" s="28" t="n">
        <v>0.11</v>
      </c>
      <c r="X901" s="14" t="n">
        <v>45.01</v>
      </c>
      <c r="Y901" s="14">
        <f>ROUND(MIN(100, (X901/69.91)*100), 2)</f>
        <v/>
      </c>
    </row>
    <row r="902">
      <c r="A902" s="10" t="n">
        <v>4</v>
      </c>
      <c r="B902" s="10" t="n">
        <v>898</v>
      </c>
      <c r="C902" s="10" t="n">
        <v>3898</v>
      </c>
      <c r="D902" s="10" t="inlineStr">
        <is>
          <t>1908808009</t>
        </is>
      </c>
      <c r="E902" s="26" t="inlineStr">
        <is>
          <t>Bangsamoro Autonomous Region In Muslim Mindanao (BARMM)</t>
        </is>
      </c>
      <c r="F902" s="26" t="inlineStr">
        <is>
          <t>Maguindanao del Sur</t>
        </is>
      </c>
      <c r="G902" s="26" t="inlineStr">
        <is>
          <t>Datu Salibo</t>
        </is>
      </c>
      <c r="H902" s="26" t="inlineStr">
        <is>
          <t>Kalipapa</t>
        </is>
      </c>
      <c r="I902" s="27" t="n">
        <v>17.246357</v>
      </c>
      <c r="J902" s="27" t="n">
        <v>122.227626</v>
      </c>
      <c r="K902" s="10" t="inlineStr">
        <is>
          <t>R</t>
        </is>
      </c>
      <c r="L902" s="12" t="n">
        <v>620</v>
      </c>
      <c r="M902" s="14" t="n">
        <v>4.7</v>
      </c>
      <c r="N902" s="12">
        <f>ROUND(L902/M902, 0)</f>
        <v/>
      </c>
      <c r="O902" s="12">
        <f>ROUND(N902*'Methodology &amp; Assumptions'!$B$5, 0)</f>
        <v/>
      </c>
      <c r="P902" s="10" t="inlineStr">
        <is>
          <t>Single Carrier (Band n50, 100MHz TDD)</t>
        </is>
      </c>
      <c r="Q902" s="13">
        <f>ROUNDUP(O902/'Methodology &amp; Assumptions'!$B$6, 0)</f>
        <v/>
      </c>
      <c r="R902" s="13" t="n">
        <v>1</v>
      </c>
      <c r="S902" s="14" t="n">
        <v>28.72</v>
      </c>
      <c r="T902" s="14" t="n">
        <v>33.91</v>
      </c>
      <c r="U902" s="26">
        <f>IF(X902&gt;='Methodology &amp; Assumptions'!$B$7, "Tier 1 Critical GIDA (Score ≥ 50.0)", IF(X902&gt;='Methodology &amp; Assumptions'!$B$8, "Tier 2 High GIDA (Score 40.0–49.9)", "Tier 3 Moderate GIDA (Score &lt; 40.0)"))</f>
        <v/>
      </c>
      <c r="V902" s="26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W902" s="28" t="n">
        <v>0.11</v>
      </c>
      <c r="X902" s="14" t="n">
        <v>45.01</v>
      </c>
      <c r="Y902" s="14">
        <f>ROUND(MIN(100, (X902/69.91)*100), 2)</f>
        <v/>
      </c>
    </row>
    <row r="903">
      <c r="A903" s="10" t="n">
        <v>4</v>
      </c>
      <c r="B903" s="10" t="n">
        <v>899</v>
      </c>
      <c r="C903" s="10" t="n">
        <v>3899</v>
      </c>
      <c r="D903" s="10" t="inlineStr">
        <is>
          <t>1908707001</t>
        </is>
      </c>
      <c r="E903" s="26" t="inlineStr">
        <is>
          <t>Bangsamoro Autonomous Region In Muslim Mindanao (BARMM)</t>
        </is>
      </c>
      <c r="F903" s="26" t="inlineStr">
        <is>
          <t>Maguindanao del Norte</t>
        </is>
      </c>
      <c r="G903" s="26" t="inlineStr">
        <is>
          <t>Matanog</t>
        </is>
      </c>
      <c r="H903" s="26" t="inlineStr">
        <is>
          <t>Bayanga Norte</t>
        </is>
      </c>
      <c r="I903" s="27" t="n">
        <v>17.253954</v>
      </c>
      <c r="J903" s="27" t="n">
        <v>122.227998</v>
      </c>
      <c r="K903" s="10" t="inlineStr">
        <is>
          <t>R</t>
        </is>
      </c>
      <c r="L903" s="12" t="n">
        <v>9210</v>
      </c>
      <c r="M903" s="14" t="n">
        <v>4.3</v>
      </c>
      <c r="N903" s="12">
        <f>ROUND(L903/M903, 0)</f>
        <v/>
      </c>
      <c r="O903" s="12">
        <f>ROUND(N903*'Methodology &amp; Assumptions'!$B$5, 0)</f>
        <v/>
      </c>
      <c r="P903" s="10" t="inlineStr">
        <is>
          <t>Single Carrier (Band n50, 100MHz TDD)</t>
        </is>
      </c>
      <c r="Q903" s="13">
        <f>ROUNDUP(O903/'Methodology &amp; Assumptions'!$B$6, 0)</f>
        <v/>
      </c>
      <c r="R903" s="13" t="n">
        <v>1</v>
      </c>
      <c r="S903" s="14" t="n">
        <v>29.28</v>
      </c>
      <c r="T903" s="14" t="n">
        <v>34.18</v>
      </c>
      <c r="U903" s="26">
        <f>IF(X903&gt;='Methodology &amp; Assumptions'!$B$7, "Tier 1 Critical GIDA (Score ≥ 50.0)", IF(X903&gt;='Methodology &amp; Assumptions'!$B$8, "Tier 2 High GIDA (Score 40.0–49.9)", "Tier 3 Moderate GIDA (Score &lt; 40.0)"))</f>
        <v/>
      </c>
      <c r="V903" s="26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W903" s="28" t="n">
        <v>0.11</v>
      </c>
      <c r="X903" s="14" t="n">
        <v>45.01</v>
      </c>
      <c r="Y903" s="14">
        <f>ROUND(MIN(100, (X903/69.91)*100), 2)</f>
        <v/>
      </c>
    </row>
    <row r="904">
      <c r="A904" s="10" t="n">
        <v>4</v>
      </c>
      <c r="B904" s="10" t="n">
        <v>900</v>
      </c>
      <c r="C904" s="10" t="n">
        <v>3900</v>
      </c>
      <c r="D904" s="10" t="inlineStr">
        <is>
          <t>1381600030</t>
        </is>
      </c>
      <c r="E904" s="26" t="inlineStr">
        <is>
          <t>National Capital Region (NCR)</t>
        </is>
      </c>
      <c r="F904" s="26" t="inlineStr">
        <is>
          <t>Third District (Not a Province)</t>
        </is>
      </c>
      <c r="G904" s="26" t="inlineStr">
        <is>
          <t>City of Valenzuela</t>
        </is>
      </c>
      <c r="H904" s="26" t="inlineStr">
        <is>
          <t>Ugong</t>
        </is>
      </c>
      <c r="I904" s="27" t="n">
        <v>14.695185</v>
      </c>
      <c r="J904" s="27" t="n">
        <v>121.011701</v>
      </c>
      <c r="K904" s="10" t="inlineStr">
        <is>
          <t>U</t>
        </is>
      </c>
      <c r="L904" s="12" t="n">
        <v>56285</v>
      </c>
      <c r="M904" s="14" t="n">
        <v>3.5</v>
      </c>
      <c r="N904" s="12">
        <f>ROUND(L904/M904, 0)</f>
        <v/>
      </c>
      <c r="O904" s="12">
        <f>ROUND(N904*'Methodology &amp; Assumptions'!$B$5, 0)</f>
        <v/>
      </c>
      <c r="P904" s="10" t="inlineStr">
        <is>
          <t>Single Carrier (Band n50, 100MHz TDD)</t>
        </is>
      </c>
      <c r="Q904" s="13">
        <f>ROUNDUP(O904/'Methodology &amp; Assumptions'!$B$6, 0)</f>
        <v/>
      </c>
      <c r="R904" s="13" t="n">
        <v>1</v>
      </c>
      <c r="S904" s="14" t="n">
        <v>1.22</v>
      </c>
      <c r="T904" s="14" t="n">
        <v>1.18</v>
      </c>
      <c r="U904" s="26">
        <f>IF(X904&gt;='Methodology &amp; Assumptions'!$B$7, "Tier 1 Critical GIDA (Score ≥ 50.0)", IF(X904&gt;='Methodology &amp; Assumptions'!$B$8, "Tier 2 High GIDA (Score 40.0–49.9)", "Tier 3 Moderate GIDA (Score &lt; 40.0)"))</f>
        <v/>
      </c>
      <c r="V904" s="26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W904" s="28" t="n">
        <v>0.109</v>
      </c>
      <c r="X904" s="14" t="n">
        <v>45.01</v>
      </c>
      <c r="Y904" s="14">
        <f>ROUND(MIN(100, (X904/69.91)*100), 2)</f>
        <v/>
      </c>
    </row>
    <row r="905">
      <c r="A905" s="10" t="n">
        <v>4</v>
      </c>
      <c r="B905" s="10" t="n">
        <v>901</v>
      </c>
      <c r="C905" s="10" t="n">
        <v>3901</v>
      </c>
      <c r="D905" s="10" t="inlineStr">
        <is>
          <t>0205703016</t>
        </is>
      </c>
      <c r="E905" s="26" t="inlineStr">
        <is>
          <t>Region II (Cagayan Valley)</t>
        </is>
      </c>
      <c r="F905" s="26" t="inlineStr">
        <is>
          <t>Quirino</t>
        </is>
      </c>
      <c r="G905" s="26" t="inlineStr">
        <is>
          <t>Diffun</t>
        </is>
      </c>
      <c r="H905" s="26" t="inlineStr">
        <is>
          <t>Ifugao Village</t>
        </is>
      </c>
      <c r="I905" s="27" t="n">
        <v>16.454163</v>
      </c>
      <c r="J905" s="27" t="n">
        <v>121.428344</v>
      </c>
      <c r="K905" s="10" t="inlineStr">
        <is>
          <t>R</t>
        </is>
      </c>
      <c r="L905" s="12" t="n">
        <v>1340</v>
      </c>
      <c r="M905" s="14" t="n">
        <v>3.9</v>
      </c>
      <c r="N905" s="12">
        <f>ROUND(L905/M905, 0)</f>
        <v/>
      </c>
      <c r="O905" s="12">
        <f>ROUND(N905*'Methodology &amp; Assumptions'!$B$5, 0)</f>
        <v/>
      </c>
      <c r="P905" s="10" t="inlineStr">
        <is>
          <t>Single Carrier (Band n50, 100MHz TDD)</t>
        </is>
      </c>
      <c r="Q905" s="13">
        <f>ROUNDUP(O905/'Methodology &amp; Assumptions'!$B$6, 0)</f>
        <v/>
      </c>
      <c r="R905" s="13" t="n">
        <v>1</v>
      </c>
      <c r="S905" s="14" t="n">
        <v>12.7</v>
      </c>
      <c r="T905" s="14" t="n">
        <v>14.49</v>
      </c>
      <c r="U905" s="26">
        <f>IF(X905&gt;='Methodology &amp; Assumptions'!$B$7, "Tier 1 Critical GIDA (Score ≥ 50.0)", IF(X905&gt;='Methodology &amp; Assumptions'!$B$8, "Tier 2 High GIDA (Score 40.0–49.9)", "Tier 3 Moderate GIDA (Score &lt; 40.0)"))</f>
        <v/>
      </c>
      <c r="V905" s="26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W905" s="28" t="n">
        <v>0.083</v>
      </c>
      <c r="X905" s="14" t="n">
        <v>45.01</v>
      </c>
      <c r="Y905" s="14">
        <f>ROUND(MIN(100, (X905/69.91)*100), 2)</f>
        <v/>
      </c>
    </row>
    <row r="906">
      <c r="A906" s="10" t="n">
        <v>4</v>
      </c>
      <c r="B906" s="10" t="n">
        <v>902</v>
      </c>
      <c r="C906" s="10" t="n">
        <v>3902</v>
      </c>
      <c r="D906" s="10" t="inlineStr">
        <is>
          <t>0804822004</t>
        </is>
      </c>
      <c r="E906" s="26" t="inlineStr">
        <is>
          <t>Region VIII (Eastern Visayas)</t>
        </is>
      </c>
      <c r="F906" s="26" t="inlineStr">
        <is>
          <t>Northern Samar</t>
        </is>
      </c>
      <c r="G906" s="26" t="inlineStr">
        <is>
          <t>Silvino Lobos</t>
        </is>
      </c>
      <c r="H906" s="26" t="inlineStr">
        <is>
          <t>Cagda-o</t>
        </is>
      </c>
      <c r="I906" s="27" t="n">
        <v>12.355657</v>
      </c>
      <c r="J906" s="27" t="n">
        <v>124.880186</v>
      </c>
      <c r="K906" s="10" t="inlineStr">
        <is>
          <t>R</t>
        </is>
      </c>
      <c r="L906" s="12" t="n">
        <v>273</v>
      </c>
      <c r="M906" s="14" t="n">
        <v>4.3</v>
      </c>
      <c r="N906" s="12">
        <f>ROUND(L906/M906, 0)</f>
        <v/>
      </c>
      <c r="O906" s="12">
        <f>ROUND(N906*'Methodology &amp; Assumptions'!$B$5, 0)</f>
        <v/>
      </c>
      <c r="P906" s="10" t="inlineStr">
        <is>
          <t>Single Carrier (Band n50, 100MHz TDD)</t>
        </is>
      </c>
      <c r="Q906" s="13">
        <f>ROUNDUP(O906/'Methodology &amp; Assumptions'!$B$6, 0)</f>
        <v/>
      </c>
      <c r="R906" s="13" t="n">
        <v>1</v>
      </c>
      <c r="S906" s="14" t="n">
        <v>90.04000000000001</v>
      </c>
      <c r="T906" s="14" t="n">
        <v>89.44</v>
      </c>
      <c r="U906" s="26">
        <f>IF(X906&gt;='Methodology &amp; Assumptions'!$B$7, "Tier 1 Critical GIDA (Score ≥ 50.0)", IF(X906&gt;='Methodology &amp; Assumptions'!$B$8, "Tier 2 High GIDA (Score 40.0–49.9)", "Tier 3 Moderate GIDA (Score &lt; 40.0)"))</f>
        <v/>
      </c>
      <c r="V906" s="26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W906" s="28" t="n">
        <v>0.237</v>
      </c>
      <c r="X906" s="14" t="n">
        <v>45.01</v>
      </c>
      <c r="Y906" s="14">
        <f>ROUND(MIN(100, (X906/69.91)*100), 2)</f>
        <v/>
      </c>
    </row>
    <row r="907">
      <c r="A907" s="10" t="n">
        <v>4</v>
      </c>
      <c r="B907" s="10" t="n">
        <v>903</v>
      </c>
      <c r="C907" s="10" t="n">
        <v>3903</v>
      </c>
      <c r="D907" s="10" t="inlineStr">
        <is>
          <t>1908808006</t>
        </is>
      </c>
      <c r="E907" s="26" t="inlineStr">
        <is>
          <t>Bangsamoro Autonomous Region In Muslim Mindanao (BARMM)</t>
        </is>
      </c>
      <c r="F907" s="26" t="inlineStr">
        <is>
          <t>Maguindanao del Sur</t>
        </is>
      </c>
      <c r="G907" s="26" t="inlineStr">
        <is>
          <t>Datu Salibo</t>
        </is>
      </c>
      <c r="H907" s="26" t="inlineStr">
        <is>
          <t>Dado</t>
        </is>
      </c>
      <c r="I907" s="27" t="n">
        <v>17.263945</v>
      </c>
      <c r="J907" s="27" t="n">
        <v>122.22344</v>
      </c>
      <c r="K907" s="10" t="inlineStr">
        <is>
          <t>R</t>
        </is>
      </c>
      <c r="L907" s="12" t="n">
        <v>639</v>
      </c>
      <c r="M907" s="14" t="n">
        <v>4.7</v>
      </c>
      <c r="N907" s="12">
        <f>ROUND(L907/M907, 0)</f>
        <v/>
      </c>
      <c r="O907" s="12">
        <f>ROUND(N907*'Methodology &amp; Assumptions'!$B$5, 0)</f>
        <v/>
      </c>
      <c r="P907" s="10" t="inlineStr">
        <is>
          <t>Single Carrier (Band n50, 100MHz TDD)</t>
        </is>
      </c>
      <c r="Q907" s="13">
        <f>ROUNDUP(O907/'Methodology &amp; Assumptions'!$B$6, 0)</f>
        <v/>
      </c>
      <c r="R907" s="13" t="n">
        <v>1</v>
      </c>
      <c r="S907" s="14" t="n">
        <v>29.64</v>
      </c>
      <c r="T907" s="14" t="n">
        <v>34.05</v>
      </c>
      <c r="U907" s="26">
        <f>IF(X907&gt;='Methodology &amp; Assumptions'!$B$7, "Tier 1 Critical GIDA (Score ≥ 50.0)", IF(X907&gt;='Methodology &amp; Assumptions'!$B$8, "Tier 2 High GIDA (Score 40.0–49.9)", "Tier 3 Moderate GIDA (Score &lt; 40.0)"))</f>
        <v/>
      </c>
      <c r="V907" s="26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W907" s="28" t="n">
        <v>0.11</v>
      </c>
      <c r="X907" s="14" t="n">
        <v>45.01</v>
      </c>
      <c r="Y907" s="14">
        <f>ROUND(MIN(100, (X907/69.91)*100), 2)</f>
        <v/>
      </c>
    </row>
    <row r="908">
      <c r="A908" s="10" t="n">
        <v>4</v>
      </c>
      <c r="B908" s="10" t="n">
        <v>904</v>
      </c>
      <c r="C908" s="10" t="n">
        <v>3904</v>
      </c>
      <c r="D908" s="10" t="inlineStr">
        <is>
          <t>1903615029</t>
        </is>
      </c>
      <c r="E908" s="26" t="inlineStr">
        <is>
          <t>Bangsamoro Autonomous Region In Muslim Mindanao (BARMM)</t>
        </is>
      </c>
      <c r="F908" s="26" t="inlineStr">
        <is>
          <t>Lanao del Sur</t>
        </is>
      </c>
      <c r="G908" s="26" t="inlineStr">
        <is>
          <t>Malabang</t>
        </is>
      </c>
      <c r="H908" s="26" t="inlineStr">
        <is>
          <t>Calumbog</t>
        </is>
      </c>
      <c r="I908" s="27" t="n">
        <v>17.254645</v>
      </c>
      <c r="J908" s="27" t="n">
        <v>122.228689</v>
      </c>
      <c r="K908" s="10" t="inlineStr">
        <is>
          <t>R</t>
        </is>
      </c>
      <c r="L908" s="12" t="n">
        <v>599</v>
      </c>
      <c r="M908" s="14" t="n">
        <v>5.7</v>
      </c>
      <c r="N908" s="12">
        <f>ROUND(L908/M908, 0)</f>
        <v/>
      </c>
      <c r="O908" s="12">
        <f>ROUND(N908*'Methodology &amp; Assumptions'!$B$5, 0)</f>
        <v/>
      </c>
      <c r="P908" s="10" t="inlineStr">
        <is>
          <t>Single Carrier (Band n50, 100MHz TDD)</t>
        </is>
      </c>
      <c r="Q908" s="13">
        <f>ROUNDUP(O908/'Methodology &amp; Assumptions'!$B$6, 0)</f>
        <v/>
      </c>
      <c r="R908" s="13" t="n">
        <v>1</v>
      </c>
      <c r="S908" s="14" t="n">
        <v>29.38</v>
      </c>
      <c r="T908" s="14" t="n">
        <v>34.27</v>
      </c>
      <c r="U908" s="26">
        <f>IF(X908&gt;='Methodology &amp; Assumptions'!$B$7, "Tier 1 Critical GIDA (Score ≥ 50.0)", IF(X908&gt;='Methodology &amp; Assumptions'!$B$8, "Tier 2 High GIDA (Score 40.0–49.9)", "Tier 3 Moderate GIDA (Score &lt; 40.0)"))</f>
        <v/>
      </c>
      <c r="V908" s="26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W908" s="28" t="n">
        <v>0.11</v>
      </c>
      <c r="X908" s="14" t="n">
        <v>45.01</v>
      </c>
      <c r="Y908" s="14">
        <f>ROUND(MIN(100, (X908/69.91)*100), 2)</f>
        <v/>
      </c>
    </row>
    <row r="909">
      <c r="A909" s="10" t="n">
        <v>4</v>
      </c>
      <c r="B909" s="10" t="n">
        <v>905</v>
      </c>
      <c r="C909" s="10" t="n">
        <v>3905</v>
      </c>
      <c r="D909" s="10" t="inlineStr">
        <is>
          <t>0804822006</t>
        </is>
      </c>
      <c r="E909" s="26" t="inlineStr">
        <is>
          <t>Region VIII (Eastern Visayas)</t>
        </is>
      </c>
      <c r="F909" s="26" t="inlineStr">
        <is>
          <t>Northern Samar</t>
        </is>
      </c>
      <c r="G909" s="26" t="inlineStr">
        <is>
          <t>Silvino Lobos</t>
        </is>
      </c>
      <c r="H909" s="26" t="inlineStr">
        <is>
          <t>Camanggaran</t>
        </is>
      </c>
      <c r="I909" s="27" t="n">
        <v>12.27988</v>
      </c>
      <c r="J909" s="27" t="n">
        <v>124.8361</v>
      </c>
      <c r="K909" s="10" t="inlineStr">
        <is>
          <t>R</t>
        </is>
      </c>
      <c r="L909" s="12" t="n">
        <v>195</v>
      </c>
      <c r="M909" s="14" t="n">
        <v>4.3</v>
      </c>
      <c r="N909" s="12">
        <f>ROUND(L909/M909, 0)</f>
        <v/>
      </c>
      <c r="O909" s="12">
        <f>ROUND(N909*'Methodology &amp; Assumptions'!$B$5, 0)</f>
        <v/>
      </c>
      <c r="P909" s="10" t="inlineStr">
        <is>
          <t>Single Carrier (Band n50, 100MHz TDD)</t>
        </is>
      </c>
      <c r="Q909" s="13">
        <f>ROUNDUP(O909/'Methodology &amp; Assumptions'!$B$6, 0)</f>
        <v/>
      </c>
      <c r="R909" s="13" t="n">
        <v>1</v>
      </c>
      <c r="S909" s="14" t="n">
        <v>88.73</v>
      </c>
      <c r="T909" s="14" t="n">
        <v>88.67</v>
      </c>
      <c r="U909" s="26">
        <f>IF(X909&gt;='Methodology &amp; Assumptions'!$B$7, "Tier 1 Critical GIDA (Score ≥ 50.0)", IF(X909&gt;='Methodology &amp; Assumptions'!$B$8, "Tier 2 High GIDA (Score 40.0–49.9)", "Tier 3 Moderate GIDA (Score &lt; 40.0)"))</f>
        <v/>
      </c>
      <c r="V909" s="26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W909" s="28" t="n">
        <v>0.237</v>
      </c>
      <c r="X909" s="14" t="n">
        <v>45.01</v>
      </c>
      <c r="Y909" s="14">
        <f>ROUND(MIN(100, (X909/69.91)*100), 2)</f>
        <v/>
      </c>
    </row>
    <row r="910">
      <c r="A910" s="10" t="n">
        <v>4</v>
      </c>
      <c r="B910" s="10" t="n">
        <v>906</v>
      </c>
      <c r="C910" s="10" t="n">
        <v>3906</v>
      </c>
      <c r="D910" s="10" t="inlineStr">
        <is>
          <t>1908808008</t>
        </is>
      </c>
      <c r="E910" s="26" t="inlineStr">
        <is>
          <t>Bangsamoro Autonomous Region In Muslim Mindanao (BARMM)</t>
        </is>
      </c>
      <c r="F910" s="26" t="inlineStr">
        <is>
          <t>Maguindanao del Sur</t>
        </is>
      </c>
      <c r="G910" s="26" t="inlineStr">
        <is>
          <t>Datu Salibo</t>
        </is>
      </c>
      <c r="H910" s="26" t="inlineStr">
        <is>
          <t>Duaminanga</t>
        </is>
      </c>
      <c r="I910" s="27" t="n">
        <v>17.252191</v>
      </c>
      <c r="J910" s="27" t="n">
        <v>122.241093</v>
      </c>
      <c r="K910" s="10" t="inlineStr">
        <is>
          <t>R</t>
        </is>
      </c>
      <c r="L910" s="12" t="n">
        <v>533</v>
      </c>
      <c r="M910" s="14" t="n">
        <v>4.7</v>
      </c>
      <c r="N910" s="12">
        <f>ROUND(L910/M910, 0)</f>
        <v/>
      </c>
      <c r="O910" s="12">
        <f>ROUND(N910*'Methodology &amp; Assumptions'!$B$5, 0)</f>
        <v/>
      </c>
      <c r="P910" s="10" t="inlineStr">
        <is>
          <t>Single Carrier (Band n50, 100MHz TDD)</t>
        </is>
      </c>
      <c r="Q910" s="13">
        <f>ROUNDUP(O910/'Methodology &amp; Assumptions'!$B$6, 0)</f>
        <v/>
      </c>
      <c r="R910" s="13" t="n">
        <v>1</v>
      </c>
      <c r="S910" s="14" t="n">
        <v>30.24</v>
      </c>
      <c r="T910" s="14" t="n">
        <v>35.46</v>
      </c>
      <c r="U910" s="26">
        <f>IF(X910&gt;='Methodology &amp; Assumptions'!$B$7, "Tier 1 Critical GIDA (Score ≥ 50.0)", IF(X910&gt;='Methodology &amp; Assumptions'!$B$8, "Tier 2 High GIDA (Score 40.0–49.9)", "Tier 3 Moderate GIDA (Score &lt; 40.0)"))</f>
        <v/>
      </c>
      <c r="V910" s="26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W910" s="28" t="n">
        <v>0.11</v>
      </c>
      <c r="X910" s="14" t="n">
        <v>45.01</v>
      </c>
      <c r="Y910" s="14">
        <f>ROUND(MIN(100, (X910/69.91)*100), 2)</f>
        <v/>
      </c>
    </row>
    <row r="911">
      <c r="A911" s="10" t="n">
        <v>4</v>
      </c>
      <c r="B911" s="10" t="n">
        <v>907</v>
      </c>
      <c r="C911" s="10" t="n">
        <v>3907</v>
      </c>
      <c r="D911" s="10" t="inlineStr">
        <is>
          <t>0802606005</t>
        </is>
      </c>
      <c r="E911" s="26" t="inlineStr">
        <is>
          <t>Region VIII (Eastern Visayas)</t>
        </is>
      </c>
      <c r="F911" s="26" t="inlineStr">
        <is>
          <t>Eastern Samar</t>
        </is>
      </c>
      <c r="G911" s="26" t="inlineStr">
        <is>
          <t>Dolores</t>
        </is>
      </c>
      <c r="H911" s="26" t="inlineStr">
        <is>
          <t>Caglao-an</t>
        </is>
      </c>
      <c r="I911" s="27" t="n">
        <v>12.061918</v>
      </c>
      <c r="J911" s="27" t="n">
        <v>125.376241</v>
      </c>
      <c r="K911" s="10" t="inlineStr">
        <is>
          <t>R</t>
        </is>
      </c>
      <c r="L911" s="12" t="n">
        <v>1097</v>
      </c>
      <c r="M911" s="14" t="n">
        <v>3.9</v>
      </c>
      <c r="N911" s="12">
        <f>ROUND(L911/M911, 0)</f>
        <v/>
      </c>
      <c r="O911" s="12">
        <f>ROUND(N911*'Methodology &amp; Assumptions'!$B$5, 0)</f>
        <v/>
      </c>
      <c r="P911" s="10" t="inlineStr">
        <is>
          <t>Single Carrier (Band n50, 100MHz TDD)</t>
        </is>
      </c>
      <c r="Q911" s="13">
        <f>ROUNDUP(O911/'Methodology &amp; Assumptions'!$B$6, 0)</f>
        <v/>
      </c>
      <c r="R911" s="13" t="n">
        <v>1</v>
      </c>
      <c r="S911" s="14" t="n">
        <v>100.09</v>
      </c>
      <c r="T911" s="14" t="n">
        <v>102.56</v>
      </c>
      <c r="U911" s="26">
        <f>IF(X911&gt;='Methodology &amp; Assumptions'!$B$7, "Tier 1 Critical GIDA (Score ≥ 50.0)", IF(X911&gt;='Methodology &amp; Assumptions'!$B$8, "Tier 2 High GIDA (Score 40.0–49.9)", "Tier 3 Moderate GIDA (Score &lt; 40.0)"))</f>
        <v/>
      </c>
      <c r="V911" s="26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W911" s="28" t="n">
        <v>0.237</v>
      </c>
      <c r="X911" s="14" t="n">
        <v>45.01</v>
      </c>
      <c r="Y911" s="14">
        <f>ROUND(MIN(100, (X911/69.91)*100), 2)</f>
        <v/>
      </c>
    </row>
    <row r="912">
      <c r="A912" s="10" t="n">
        <v>4</v>
      </c>
      <c r="B912" s="10" t="n">
        <v>908</v>
      </c>
      <c r="C912" s="10" t="n">
        <v>3908</v>
      </c>
      <c r="D912" s="10" t="inlineStr">
        <is>
          <t>1908808010</t>
        </is>
      </c>
      <c r="E912" s="26" t="inlineStr">
        <is>
          <t>Bangsamoro Autonomous Region In Muslim Mindanao (BARMM)</t>
        </is>
      </c>
      <c r="F912" s="26" t="inlineStr">
        <is>
          <t>Maguindanao del Sur</t>
        </is>
      </c>
      <c r="G912" s="26" t="inlineStr">
        <is>
          <t>Datu Salibo</t>
        </is>
      </c>
      <c r="H912" s="26" t="inlineStr">
        <is>
          <t>Liong</t>
        </is>
      </c>
      <c r="I912" s="27" t="n">
        <v>17.249194</v>
      </c>
      <c r="J912" s="27" t="n">
        <v>122.217144</v>
      </c>
      <c r="K912" s="10" t="inlineStr">
        <is>
          <t>R</t>
        </is>
      </c>
      <c r="L912" s="12" t="n">
        <v>233</v>
      </c>
      <c r="M912" s="14" t="n">
        <v>4.7</v>
      </c>
      <c r="N912" s="12">
        <f>ROUND(L912/M912, 0)</f>
        <v/>
      </c>
      <c r="O912" s="12">
        <f>ROUND(N912*'Methodology &amp; Assumptions'!$B$5, 0)</f>
        <v/>
      </c>
      <c r="P912" s="10" t="inlineStr">
        <is>
          <t>Single Carrier (Band n50, 100MHz TDD)</t>
        </is>
      </c>
      <c r="Q912" s="13">
        <f>ROUNDUP(O912/'Methodology &amp; Assumptions'!$B$6, 0)</f>
        <v/>
      </c>
      <c r="R912" s="13" t="n">
        <v>1</v>
      </c>
      <c r="S912" s="14" t="n">
        <v>28.06</v>
      </c>
      <c r="T912" s="14" t="n">
        <v>32.92</v>
      </c>
      <c r="U912" s="26">
        <f>IF(X912&gt;='Methodology &amp; Assumptions'!$B$7, "Tier 1 Critical GIDA (Score ≥ 50.0)", IF(X912&gt;='Methodology &amp; Assumptions'!$B$8, "Tier 2 High GIDA (Score 40.0–49.9)", "Tier 3 Moderate GIDA (Score &lt; 40.0)"))</f>
        <v/>
      </c>
      <c r="V912" s="26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W912" s="28" t="n">
        <v>0.11</v>
      </c>
      <c r="X912" s="14" t="n">
        <v>45</v>
      </c>
      <c r="Y912" s="14">
        <f>ROUND(MIN(100, (X912/69.91)*100), 2)</f>
        <v/>
      </c>
    </row>
    <row r="913">
      <c r="A913" s="10" t="n">
        <v>4</v>
      </c>
      <c r="B913" s="10" t="n">
        <v>909</v>
      </c>
      <c r="C913" s="10" t="n">
        <v>3909</v>
      </c>
      <c r="D913" s="10" t="inlineStr">
        <is>
          <t>1908808017</t>
        </is>
      </c>
      <c r="E913" s="26" t="inlineStr">
        <is>
          <t>Bangsamoro Autonomous Region In Muslim Mindanao (BARMM)</t>
        </is>
      </c>
      <c r="F913" s="26" t="inlineStr">
        <is>
          <t>Maguindanao del Sur</t>
        </is>
      </c>
      <c r="G913" s="26" t="inlineStr">
        <is>
          <t>Datu Salibo</t>
        </is>
      </c>
      <c r="H913" s="26" t="inlineStr">
        <is>
          <t>Tee</t>
        </is>
      </c>
      <c r="I913" s="27" t="n">
        <v>17.25522</v>
      </c>
      <c r="J913" s="27" t="n">
        <v>122.229264</v>
      </c>
      <c r="K913" s="10" t="inlineStr">
        <is>
          <t>R</t>
        </is>
      </c>
      <c r="L913" s="12" t="n">
        <v>487</v>
      </c>
      <c r="M913" s="14" t="n">
        <v>4.7</v>
      </c>
      <c r="N913" s="12">
        <f>ROUND(L913/M913, 0)</f>
        <v/>
      </c>
      <c r="O913" s="12">
        <f>ROUND(N913*'Methodology &amp; Assumptions'!$B$5, 0)</f>
        <v/>
      </c>
      <c r="P913" s="10" t="inlineStr">
        <is>
          <t>Single Carrier (Band n50, 100MHz TDD)</t>
        </is>
      </c>
      <c r="Q913" s="13">
        <f>ROUNDUP(O913/'Methodology &amp; Assumptions'!$B$6, 0)</f>
        <v/>
      </c>
      <c r="R913" s="13" t="n">
        <v>1</v>
      </c>
      <c r="S913" s="14" t="n">
        <v>29.47</v>
      </c>
      <c r="T913" s="14" t="n">
        <v>34.35</v>
      </c>
      <c r="U913" s="26">
        <f>IF(X913&gt;='Methodology &amp; Assumptions'!$B$7, "Tier 1 Critical GIDA (Score ≥ 50.0)", IF(X913&gt;='Methodology &amp; Assumptions'!$B$8, "Tier 2 High GIDA (Score 40.0–49.9)", "Tier 3 Moderate GIDA (Score &lt; 40.0)"))</f>
        <v/>
      </c>
      <c r="V913" s="26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W913" s="28" t="n">
        <v>0.11</v>
      </c>
      <c r="X913" s="14" t="n">
        <v>45</v>
      </c>
      <c r="Y913" s="14">
        <f>ROUND(MIN(100, (X913/69.91)*100), 2)</f>
        <v/>
      </c>
    </row>
    <row r="914">
      <c r="A914" s="10" t="n">
        <v>4</v>
      </c>
      <c r="B914" s="10" t="n">
        <v>910</v>
      </c>
      <c r="C914" s="10" t="n">
        <v>3910</v>
      </c>
      <c r="D914" s="10" t="inlineStr">
        <is>
          <t>1908808007</t>
        </is>
      </c>
      <c r="E914" s="26" t="inlineStr">
        <is>
          <t>Bangsamoro Autonomous Region In Muslim Mindanao (BARMM)</t>
        </is>
      </c>
      <c r="F914" s="26" t="inlineStr">
        <is>
          <t>Maguindanao del Sur</t>
        </is>
      </c>
      <c r="G914" s="26" t="inlineStr">
        <is>
          <t>Datu Salibo</t>
        </is>
      </c>
      <c r="H914" s="26" t="inlineStr">
        <is>
          <t>Damabalas</t>
        </is>
      </c>
      <c r="I914" s="27" t="n">
        <v>17.268746</v>
      </c>
      <c r="J914" s="27" t="n">
        <v>122.234418</v>
      </c>
      <c r="K914" s="10" t="inlineStr">
        <is>
          <t>R</t>
        </is>
      </c>
      <c r="L914" s="12" t="n">
        <v>556</v>
      </c>
      <c r="M914" s="14" t="n">
        <v>4.7</v>
      </c>
      <c r="N914" s="12">
        <f>ROUND(L914/M914, 0)</f>
        <v/>
      </c>
      <c r="O914" s="12">
        <f>ROUND(N914*'Methodology &amp; Assumptions'!$B$5, 0)</f>
        <v/>
      </c>
      <c r="P914" s="10" t="inlineStr">
        <is>
          <t>Single Carrier (Band n50, 100MHz TDD)</t>
        </is>
      </c>
      <c r="Q914" s="13">
        <f>ROUNDUP(O914/'Methodology &amp; Assumptions'!$B$6, 0)</f>
        <v/>
      </c>
      <c r="R914" s="13" t="n">
        <v>1</v>
      </c>
      <c r="S914" s="14" t="n">
        <v>30.86</v>
      </c>
      <c r="T914" s="14" t="n">
        <v>35.33</v>
      </c>
      <c r="U914" s="26">
        <f>IF(X914&gt;='Methodology &amp; Assumptions'!$B$7, "Tier 1 Critical GIDA (Score ≥ 50.0)", IF(X914&gt;='Methodology &amp; Assumptions'!$B$8, "Tier 2 High GIDA (Score 40.0–49.9)", "Tier 3 Moderate GIDA (Score &lt; 40.0)"))</f>
        <v/>
      </c>
      <c r="V914" s="26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W914" s="28" t="n">
        <v>0.11</v>
      </c>
      <c r="X914" s="14" t="n">
        <v>45</v>
      </c>
      <c r="Y914" s="14">
        <f>ROUND(MIN(100, (X914/69.91)*100), 2)</f>
        <v/>
      </c>
    </row>
    <row r="915">
      <c r="A915" s="10" t="n">
        <v>4</v>
      </c>
      <c r="B915" s="10" t="n">
        <v>911</v>
      </c>
      <c r="C915" s="10" t="n">
        <v>3911</v>
      </c>
      <c r="D915" s="10" t="inlineStr">
        <is>
          <t>0500503021</t>
        </is>
      </c>
      <c r="E915" s="26" t="inlineStr">
        <is>
          <t>Region V (Bicol Region)</t>
        </is>
      </c>
      <c r="F915" s="26" t="inlineStr">
        <is>
          <t>Albay</t>
        </is>
      </c>
      <c r="G915" s="26" t="inlineStr">
        <is>
          <t>Daraga</t>
        </is>
      </c>
      <c r="H915" s="26" t="inlineStr">
        <is>
          <t>Ibaugan</t>
        </is>
      </c>
      <c r="I915" s="27" t="n">
        <v>13.025916</v>
      </c>
      <c r="J915" s="27" t="n">
        <v>123.624049</v>
      </c>
      <c r="K915" s="10" t="inlineStr">
        <is>
          <t>R</t>
        </is>
      </c>
      <c r="L915" s="12" t="n">
        <v>727</v>
      </c>
      <c r="M915" s="14" t="n">
        <v>4.1</v>
      </c>
      <c r="N915" s="12">
        <f>ROUND(L915/M915, 0)</f>
        <v/>
      </c>
      <c r="O915" s="12">
        <f>ROUND(N915*'Methodology &amp; Assumptions'!$B$5, 0)</f>
        <v/>
      </c>
      <c r="P915" s="10" t="inlineStr">
        <is>
          <t>Single Carrier (Band n50, 100MHz TDD)</t>
        </is>
      </c>
      <c r="Q915" s="13">
        <f>ROUNDUP(O915/'Methodology &amp; Assumptions'!$B$6, 0)</f>
        <v/>
      </c>
      <c r="R915" s="13" t="n">
        <v>1</v>
      </c>
      <c r="S915" s="14" t="n">
        <v>7.75</v>
      </c>
      <c r="T915" s="14" t="n">
        <v>9.720000000000001</v>
      </c>
      <c r="U915" s="26">
        <f>IF(X915&gt;='Methodology &amp; Assumptions'!$B$7, "Tier 1 Critical GIDA (Score ≥ 50.0)", IF(X915&gt;='Methodology &amp; Assumptions'!$B$8, "Tier 2 High GIDA (Score 40.0–49.9)", "Tier 3 Moderate GIDA (Score &lt; 40.0)"))</f>
        <v/>
      </c>
      <c r="V915" s="26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W915" s="28" t="n">
        <v>0.237</v>
      </c>
      <c r="X915" s="14" t="n">
        <v>45</v>
      </c>
      <c r="Y915" s="14">
        <f>ROUND(MIN(100, (X915/69.91)*100), 2)</f>
        <v/>
      </c>
    </row>
    <row r="916">
      <c r="A916" s="10" t="n">
        <v>4</v>
      </c>
      <c r="B916" s="10" t="n">
        <v>912</v>
      </c>
      <c r="C916" s="10" t="n">
        <v>3912</v>
      </c>
      <c r="D916" s="10" t="inlineStr">
        <is>
          <t>1908808012</t>
        </is>
      </c>
      <c r="E916" s="26" t="inlineStr">
        <is>
          <t>Bangsamoro Autonomous Region In Muslim Mindanao (BARMM)</t>
        </is>
      </c>
      <c r="F916" s="26" t="inlineStr">
        <is>
          <t>Maguindanao del Sur</t>
        </is>
      </c>
      <c r="G916" s="26" t="inlineStr">
        <is>
          <t>Datu Salibo</t>
        </is>
      </c>
      <c r="H916" s="26" t="inlineStr">
        <is>
          <t>Masigay</t>
        </is>
      </c>
      <c r="I916" s="27" t="n">
        <v>17.240671</v>
      </c>
      <c r="J916" s="27" t="n">
        <v>122.235572</v>
      </c>
      <c r="K916" s="10" t="inlineStr">
        <is>
          <t>R</t>
        </is>
      </c>
      <c r="L916" s="12" t="n">
        <v>276</v>
      </c>
      <c r="M916" s="14" t="n">
        <v>4.7</v>
      </c>
      <c r="N916" s="12">
        <f>ROUND(L916/M916, 0)</f>
        <v/>
      </c>
      <c r="O916" s="12">
        <f>ROUND(N916*'Methodology &amp; Assumptions'!$B$5, 0)</f>
        <v/>
      </c>
      <c r="P916" s="10" t="inlineStr">
        <is>
          <t>Single Carrier (Band n50, 100MHz TDD)</t>
        </is>
      </c>
      <c r="Q916" s="13">
        <f>ROUNDUP(O916/'Methodology &amp; Assumptions'!$B$6, 0)</f>
        <v/>
      </c>
      <c r="R916" s="13" t="n">
        <v>1</v>
      </c>
      <c r="S916" s="14" t="n">
        <v>29</v>
      </c>
      <c r="T916" s="14" t="n">
        <v>34.57</v>
      </c>
      <c r="U916" s="26">
        <f>IF(X916&gt;='Methodology &amp; Assumptions'!$B$7, "Tier 1 Critical GIDA (Score ≥ 50.0)", IF(X916&gt;='Methodology &amp; Assumptions'!$B$8, "Tier 2 High GIDA (Score 40.0–49.9)", "Tier 3 Moderate GIDA (Score &lt; 40.0)"))</f>
        <v/>
      </c>
      <c r="V916" s="26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W916" s="28" t="n">
        <v>0.11</v>
      </c>
      <c r="X916" s="14" t="n">
        <v>45</v>
      </c>
      <c r="Y916" s="14">
        <f>ROUND(MIN(100, (X916/69.91)*100), 2)</f>
        <v/>
      </c>
    </row>
    <row r="917">
      <c r="A917" s="10" t="n">
        <v>4</v>
      </c>
      <c r="B917" s="10" t="n">
        <v>913</v>
      </c>
      <c r="C917" s="10" t="n">
        <v>3913</v>
      </c>
      <c r="D917" s="10" t="inlineStr">
        <is>
          <t>1908808003</t>
        </is>
      </c>
      <c r="E917" s="26" t="inlineStr">
        <is>
          <t>Bangsamoro Autonomous Region In Muslim Mindanao (BARMM)</t>
        </is>
      </c>
      <c r="F917" s="26" t="inlineStr">
        <is>
          <t>Maguindanao del Sur</t>
        </is>
      </c>
      <c r="G917" s="26" t="inlineStr">
        <is>
          <t>Datu Salibo</t>
        </is>
      </c>
      <c r="H917" s="26" t="inlineStr">
        <is>
          <t>Balanakan</t>
        </is>
      </c>
      <c r="I917" s="27" t="n">
        <v>17.262443</v>
      </c>
      <c r="J917" s="27" t="n">
        <v>122.213038</v>
      </c>
      <c r="K917" s="10" t="inlineStr">
        <is>
          <t>R</t>
        </is>
      </c>
      <c r="L917" s="12" t="n">
        <v>261</v>
      </c>
      <c r="M917" s="14" t="n">
        <v>4.7</v>
      </c>
      <c r="N917" s="12">
        <f>ROUND(L917/M917, 0)</f>
        <v/>
      </c>
      <c r="O917" s="12">
        <f>ROUND(N917*'Methodology &amp; Assumptions'!$B$5, 0)</f>
        <v/>
      </c>
      <c r="P917" s="10" t="inlineStr">
        <is>
          <t>Single Carrier (Band n50, 100MHz TDD)</t>
        </is>
      </c>
      <c r="Q917" s="13">
        <f>ROUNDUP(O917/'Methodology &amp; Assumptions'!$B$6, 0)</f>
        <v/>
      </c>
      <c r="R917" s="13" t="n">
        <v>1</v>
      </c>
      <c r="S917" s="14" t="n">
        <v>28.71</v>
      </c>
      <c r="T917" s="14" t="n">
        <v>32.95</v>
      </c>
      <c r="U917" s="26">
        <f>IF(X917&gt;='Methodology &amp; Assumptions'!$B$7, "Tier 1 Critical GIDA (Score ≥ 50.0)", IF(X917&gt;='Methodology &amp; Assumptions'!$B$8, "Tier 2 High GIDA (Score 40.0–49.9)", "Tier 3 Moderate GIDA (Score &lt; 40.0)"))</f>
        <v/>
      </c>
      <c r="V917" s="26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W917" s="28" t="n">
        <v>0.11</v>
      </c>
      <c r="X917" s="14" t="n">
        <v>45</v>
      </c>
      <c r="Y917" s="14">
        <f>ROUND(MIN(100, (X917/69.91)*100), 2)</f>
        <v/>
      </c>
    </row>
    <row r="918">
      <c r="A918" s="10" t="n">
        <v>4</v>
      </c>
      <c r="B918" s="10" t="n">
        <v>914</v>
      </c>
      <c r="C918" s="10" t="n">
        <v>3914</v>
      </c>
      <c r="D918" s="10" t="inlineStr">
        <is>
          <t>0305422001</t>
        </is>
      </c>
      <c r="E918" s="26" t="inlineStr">
        <is>
          <t>Region III (Central Luzon)</t>
        </is>
      </c>
      <c r="F918" s="26" t="inlineStr">
        <is>
          <t>Pampanga</t>
        </is>
      </c>
      <c r="G918" s="26" t="inlineStr">
        <is>
          <t>Sasmuan</t>
        </is>
      </c>
      <c r="H918" s="26" t="inlineStr">
        <is>
          <t>Batang 1st</t>
        </is>
      </c>
      <c r="I918" s="27" t="n">
        <v>14.889936</v>
      </c>
      <c r="J918" s="27" t="n">
        <v>120.619329</v>
      </c>
      <c r="K918" s="10" t="inlineStr">
        <is>
          <t>R</t>
        </is>
      </c>
      <c r="L918" s="12" t="n">
        <v>317</v>
      </c>
      <c r="M918" s="14" t="n">
        <v>4</v>
      </c>
      <c r="N918" s="12">
        <f>ROUND(L918/M918, 0)</f>
        <v/>
      </c>
      <c r="O918" s="12">
        <f>ROUND(N918*'Methodology &amp; Assumptions'!$B$5, 0)</f>
        <v/>
      </c>
      <c r="P918" s="10" t="inlineStr">
        <is>
          <t>Single Carrier (Band n50, 100MHz TDD)</t>
        </is>
      </c>
      <c r="Q918" s="13">
        <f>ROUNDUP(O918/'Methodology &amp; Assumptions'!$B$6, 0)</f>
        <v/>
      </c>
      <c r="R918" s="13" t="n">
        <v>1</v>
      </c>
      <c r="S918" s="14" t="n">
        <v>7.41</v>
      </c>
      <c r="T918" s="14" t="n">
        <v>5.32</v>
      </c>
      <c r="U918" s="26">
        <f>IF(X918&gt;='Methodology &amp; Assumptions'!$B$7, "Tier 1 Critical GIDA (Score ≥ 50.0)", IF(X918&gt;='Methodology &amp; Assumptions'!$B$8, "Tier 2 High GIDA (Score 40.0–49.9)", "Tier 3 Moderate GIDA (Score &lt; 40.0)"))</f>
        <v/>
      </c>
      <c r="V918" s="26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W918" s="28" t="n">
        <v>0.083</v>
      </c>
      <c r="X918" s="14" t="n">
        <v>45</v>
      </c>
      <c r="Y918" s="14">
        <f>ROUND(MIN(100, (X918/69.91)*100), 2)</f>
        <v/>
      </c>
    </row>
    <row r="919">
      <c r="A919" s="10" t="n">
        <v>4</v>
      </c>
      <c r="B919" s="10" t="n">
        <v>915</v>
      </c>
      <c r="C919" s="10" t="n">
        <v>3915</v>
      </c>
      <c r="D919" s="10" t="inlineStr">
        <is>
          <t>1908705024</t>
        </is>
      </c>
      <c r="E919" s="26" t="inlineStr">
        <is>
          <t>Bangsamoro Autonomous Region In Muslim Mindanao (BARMM)</t>
        </is>
      </c>
      <c r="F919" s="26" t="inlineStr">
        <is>
          <t>Maguindanao del Norte</t>
        </is>
      </c>
      <c r="G919" s="26" t="inlineStr">
        <is>
          <t>Datu Odin Sinsuat</t>
        </is>
      </c>
      <c r="H919" s="26" t="inlineStr">
        <is>
          <t>Nekitan</t>
        </is>
      </c>
      <c r="I919" s="27" t="n">
        <v>17.253932</v>
      </c>
      <c r="J919" s="27" t="n">
        <v>122.227976</v>
      </c>
      <c r="K919" s="10" t="inlineStr">
        <is>
          <t>R</t>
        </is>
      </c>
      <c r="L919" s="12" t="n">
        <v>4632</v>
      </c>
      <c r="M919" s="14" t="n">
        <v>4.3</v>
      </c>
      <c r="N919" s="12">
        <f>ROUND(L919/M919, 0)</f>
        <v/>
      </c>
      <c r="O919" s="12">
        <f>ROUND(N919*'Methodology &amp; Assumptions'!$B$5, 0)</f>
        <v/>
      </c>
      <c r="P919" s="10" t="inlineStr">
        <is>
          <t>Single Carrier (Band n50, 100MHz TDD)</t>
        </is>
      </c>
      <c r="Q919" s="13">
        <f>ROUNDUP(O919/'Methodology &amp; Assumptions'!$B$6, 0)</f>
        <v/>
      </c>
      <c r="R919" s="13" t="n">
        <v>1</v>
      </c>
      <c r="S919" s="14" t="n">
        <v>29.28</v>
      </c>
      <c r="T919" s="14" t="n">
        <v>34.18</v>
      </c>
      <c r="U919" s="26">
        <f>IF(X919&gt;='Methodology &amp; Assumptions'!$B$7, "Tier 1 Critical GIDA (Score ≥ 50.0)", IF(X919&gt;='Methodology &amp; Assumptions'!$B$8, "Tier 2 High GIDA (Score 40.0–49.9)", "Tier 3 Moderate GIDA (Score &lt; 40.0)"))</f>
        <v/>
      </c>
      <c r="V919" s="26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W919" s="28" t="n">
        <v>0.11</v>
      </c>
      <c r="X919" s="14" t="n">
        <v>45</v>
      </c>
      <c r="Y919" s="14">
        <f>ROUND(MIN(100, (X919/69.91)*100), 2)</f>
        <v/>
      </c>
    </row>
    <row r="920">
      <c r="A920" s="10" t="n">
        <v>4</v>
      </c>
      <c r="B920" s="10" t="n">
        <v>916</v>
      </c>
      <c r="C920" s="10" t="n">
        <v>3916</v>
      </c>
      <c r="D920" s="10" t="inlineStr">
        <is>
          <t>1907009013</t>
        </is>
      </c>
      <c r="E920" s="26" t="inlineStr">
        <is>
          <t>Bangsamoro Autonomous Region In Muslim Mindanao (BARMM)</t>
        </is>
      </c>
      <c r="F920" s="26" t="inlineStr">
        <is>
          <t>Tawi-Tawi</t>
        </is>
      </c>
      <c r="G920" s="26" t="inlineStr">
        <is>
          <t>Languyan</t>
        </is>
      </c>
      <c r="H920" s="26" t="inlineStr">
        <is>
          <t>Parang Pantay</t>
        </is>
      </c>
      <c r="I920" s="27" t="n">
        <v>17.255779</v>
      </c>
      <c r="J920" s="27" t="n">
        <v>122.229823</v>
      </c>
      <c r="K920" s="10" t="inlineStr">
        <is>
          <t>R</t>
        </is>
      </c>
      <c r="L920" s="12" t="n">
        <v>2363</v>
      </c>
      <c r="M920" s="14" t="n">
        <v>5.8</v>
      </c>
      <c r="N920" s="12">
        <f>ROUND(L920/M920, 0)</f>
        <v/>
      </c>
      <c r="O920" s="12">
        <f>ROUND(N920*'Methodology &amp; Assumptions'!$B$5, 0)</f>
        <v/>
      </c>
      <c r="P920" s="10" t="inlineStr">
        <is>
          <t>Single Carrier (Band n50, 100MHz TDD)</t>
        </is>
      </c>
      <c r="Q920" s="13">
        <f>ROUNDUP(O920/'Methodology &amp; Assumptions'!$B$6, 0)</f>
        <v/>
      </c>
      <c r="R920" s="13" t="n">
        <v>1</v>
      </c>
      <c r="S920" s="14" t="n">
        <v>29.56</v>
      </c>
      <c r="T920" s="14" t="n">
        <v>34.42</v>
      </c>
      <c r="U920" s="26">
        <f>IF(X920&gt;='Methodology &amp; Assumptions'!$B$7, "Tier 1 Critical GIDA (Score ≥ 50.0)", IF(X920&gt;='Methodology &amp; Assumptions'!$B$8, "Tier 2 High GIDA (Score 40.0–49.9)", "Tier 3 Moderate GIDA (Score &lt; 40.0)"))</f>
        <v/>
      </c>
      <c r="V920" s="26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W920" s="28" t="n">
        <v>0.11</v>
      </c>
      <c r="X920" s="14" t="n">
        <v>44.99</v>
      </c>
      <c r="Y920" s="14">
        <f>ROUND(MIN(100, (X920/69.91)*100), 2)</f>
        <v/>
      </c>
    </row>
    <row r="921">
      <c r="A921" s="10" t="n">
        <v>4</v>
      </c>
      <c r="B921" s="10" t="n">
        <v>917</v>
      </c>
      <c r="C921" s="10" t="n">
        <v>3917</v>
      </c>
      <c r="D921" s="10" t="inlineStr">
        <is>
          <t>PH0003917</t>
        </is>
      </c>
      <c r="E921" s="26" t="inlineStr">
        <is>
          <t>IX</t>
        </is>
      </c>
      <c r="F921" s="26" t="inlineStr">
        <is>
          <t>Zamboanga Del Sur</t>
        </is>
      </c>
      <c r="G921" s="26" t="inlineStr">
        <is>
          <t>Zamboanga City</t>
        </is>
      </c>
      <c r="H921" s="26" t="inlineStr">
        <is>
          <t>Baliwasan</t>
        </is>
      </c>
      <c r="I921" s="27" t="n">
        <v>6.915042</v>
      </c>
      <c r="J921" s="27" t="n">
        <v>122.060211</v>
      </c>
      <c r="K921" s="10" t="inlineStr">
        <is>
          <t>R</t>
        </is>
      </c>
      <c r="L921" s="12" t="n">
        <v>2305</v>
      </c>
      <c r="M921" s="14" t="n">
        <v>3.9</v>
      </c>
      <c r="N921" s="12">
        <f>ROUND(L921/M921, 0)</f>
        <v/>
      </c>
      <c r="O921" s="12">
        <f>ROUND(N921*'Methodology &amp; Assumptions'!$B$5, 0)</f>
        <v/>
      </c>
      <c r="P921" s="10" t="inlineStr">
        <is>
          <t>Single Carrier (Band n50, 100MHz TDD)</t>
        </is>
      </c>
      <c r="Q921" s="13">
        <f>ROUNDUP(O921/'Methodology &amp; Assumptions'!$B$6, 0)</f>
        <v/>
      </c>
      <c r="R921" s="13" t="n">
        <v>1</v>
      </c>
      <c r="S921" s="14" t="n">
        <v>1.58</v>
      </c>
      <c r="T921" s="14" t="n">
        <v>1.59</v>
      </c>
      <c r="U921" s="26">
        <f>IF(X921&gt;='Methodology &amp; Assumptions'!$B$7, "Tier 1 Critical GIDA (Score ≥ 50.0)", IF(X921&gt;='Methodology &amp; Assumptions'!$B$8, "Tier 2 High GIDA (Score 40.0–49.9)", "Tier 3 Moderate GIDA (Score &lt; 40.0)"))</f>
        <v/>
      </c>
      <c r="V921" s="26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W921" s="28" t="n">
        <v>0.234</v>
      </c>
      <c r="X921" s="14" t="n">
        <v>44.99</v>
      </c>
      <c r="Y921" s="14">
        <f>ROUND(MIN(100, (X921/69.91)*100), 2)</f>
        <v/>
      </c>
    </row>
    <row r="922">
      <c r="A922" s="10" t="n">
        <v>4</v>
      </c>
      <c r="B922" s="10" t="n">
        <v>918</v>
      </c>
      <c r="C922" s="10" t="n">
        <v>3918</v>
      </c>
      <c r="D922" s="10" t="inlineStr">
        <is>
          <t>PH0003918</t>
        </is>
      </c>
      <c r="E922" s="26" t="inlineStr">
        <is>
          <t>VII</t>
        </is>
      </c>
      <c r="F922" s="26" t="inlineStr">
        <is>
          <t>Cebu</t>
        </is>
      </c>
      <c r="G922" s="26" t="inlineStr">
        <is>
          <t>Cebu City</t>
        </is>
      </c>
      <c r="H922" s="26" t="inlineStr">
        <is>
          <t>Kinasang-an Pardo</t>
        </is>
      </c>
      <c r="I922" s="27" t="n">
        <v>10.278637</v>
      </c>
      <c r="J922" s="27" t="n">
        <v>123.85632</v>
      </c>
      <c r="K922" s="10" t="inlineStr">
        <is>
          <t>R</t>
        </is>
      </c>
      <c r="L922" s="12" t="n">
        <v>2250</v>
      </c>
      <c r="M922" s="14" t="n">
        <v>3.8</v>
      </c>
      <c r="N922" s="12">
        <f>ROUND(L922/M922, 0)</f>
        <v/>
      </c>
      <c r="O922" s="12">
        <f>ROUND(N922*'Methodology &amp; Assumptions'!$B$5, 0)</f>
        <v/>
      </c>
      <c r="P922" s="10" t="inlineStr">
        <is>
          <t>Single Carrier (Band n50, 100MHz TDD)</t>
        </is>
      </c>
      <c r="Q922" s="13">
        <f>ROUNDUP(O922/'Methodology &amp; Assumptions'!$B$6, 0)</f>
        <v/>
      </c>
      <c r="R922" s="13" t="n">
        <v>1</v>
      </c>
      <c r="S922" s="14" t="n">
        <v>0.84</v>
      </c>
      <c r="T922" s="14" t="n">
        <v>0.29</v>
      </c>
      <c r="U922" s="26">
        <f>IF(X922&gt;='Methodology &amp; Assumptions'!$B$7, "Tier 1 Critical GIDA (Score ≥ 50.0)", IF(X922&gt;='Methodology &amp; Assumptions'!$B$8, "Tier 2 High GIDA (Score 40.0–49.9)", "Tier 3 Moderate GIDA (Score &lt; 40.0)"))</f>
        <v/>
      </c>
      <c r="V922" s="26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W922" s="28" t="n">
        <v>0.21</v>
      </c>
      <c r="X922" s="14" t="n">
        <v>44.98</v>
      </c>
      <c r="Y922" s="14">
        <f>ROUND(MIN(100, (X922/69.91)*100), 2)</f>
        <v/>
      </c>
    </row>
    <row r="923">
      <c r="A923" s="10" t="n">
        <v>4</v>
      </c>
      <c r="B923" s="10" t="n">
        <v>919</v>
      </c>
      <c r="C923" s="10" t="n">
        <v>3919</v>
      </c>
      <c r="D923" s="10" t="inlineStr">
        <is>
          <t>PH0003919</t>
        </is>
      </c>
      <c r="E923" s="26" t="inlineStr">
        <is>
          <t>VI</t>
        </is>
      </c>
      <c r="F923" s="26" t="inlineStr">
        <is>
          <t>Iloilo</t>
        </is>
      </c>
      <c r="G923" s="26" t="inlineStr">
        <is>
          <t>Iloilo City</t>
        </is>
      </c>
      <c r="H923" s="26" t="inlineStr">
        <is>
          <t>Tabuc Suba</t>
        </is>
      </c>
      <c r="I923" s="27" t="n">
        <v>10.683883</v>
      </c>
      <c r="J923" s="27" t="n">
        <v>122.680273</v>
      </c>
      <c r="K923" s="10" t="inlineStr">
        <is>
          <t>R</t>
        </is>
      </c>
      <c r="L923" s="12" t="n">
        <v>2230</v>
      </c>
      <c r="M923" s="14" t="n">
        <v>3.8</v>
      </c>
      <c r="N923" s="12">
        <f>ROUND(L923/M923, 0)</f>
        <v/>
      </c>
      <c r="O923" s="12">
        <f>ROUND(N923*'Methodology &amp; Assumptions'!$B$5, 0)</f>
        <v/>
      </c>
      <c r="P923" s="10" t="inlineStr">
        <is>
          <t>Single Carrier (Band n50, 100MHz TDD)</t>
        </is>
      </c>
      <c r="Q923" s="13">
        <f>ROUNDUP(O923/'Methodology &amp; Assumptions'!$B$6, 0)</f>
        <v/>
      </c>
      <c r="R923" s="13" t="n">
        <v>1</v>
      </c>
      <c r="S923" s="14" t="n">
        <v>12.5</v>
      </c>
      <c r="T923" s="14" t="n">
        <v>9.33</v>
      </c>
      <c r="U923" s="26">
        <f>IF(X923&gt;='Methodology &amp; Assumptions'!$B$7, "Tier 1 Critical GIDA (Score ≥ 50.0)", IF(X923&gt;='Methodology &amp; Assumptions'!$B$8, "Tier 2 High GIDA (Score 40.0–49.9)", "Tier 3 Moderate GIDA (Score &lt; 40.0)"))</f>
        <v/>
      </c>
      <c r="V923" s="26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W923" s="28" t="n">
        <v>0.156</v>
      </c>
      <c r="X923" s="14" t="n">
        <v>44.98</v>
      </c>
      <c r="Y923" s="14">
        <f>ROUND(MIN(100, (X923/69.91)*100), 2)</f>
        <v/>
      </c>
    </row>
    <row r="924">
      <c r="A924" s="10" t="n">
        <v>4</v>
      </c>
      <c r="B924" s="10" t="n">
        <v>920</v>
      </c>
      <c r="C924" s="10" t="n">
        <v>3920</v>
      </c>
      <c r="D924" s="10" t="inlineStr">
        <is>
          <t>PH0003920</t>
        </is>
      </c>
      <c r="E924" s="26" t="inlineStr">
        <is>
          <t>IV-A</t>
        </is>
      </c>
      <c r="F924" s="26" t="inlineStr">
        <is>
          <t>Cavite</t>
        </is>
      </c>
      <c r="G924" s="26" t="inlineStr">
        <is>
          <t>Cavite City</t>
        </is>
      </c>
      <c r="H924" s="26" t="inlineStr">
        <is>
          <t>Barangay 25</t>
        </is>
      </c>
      <c r="I924" s="27" t="n">
        <v>14.476432</v>
      </c>
      <c r="J924" s="27" t="n">
        <v>120.908522</v>
      </c>
      <c r="K924" s="10" t="inlineStr">
        <is>
          <t>R</t>
        </is>
      </c>
      <c r="L924" s="12" t="n">
        <v>2316</v>
      </c>
      <c r="M924" s="14" t="n">
        <v>3.4</v>
      </c>
      <c r="N924" s="12">
        <f>ROUND(L924/M924, 0)</f>
        <v/>
      </c>
      <c r="O924" s="12">
        <f>ROUND(N924*'Methodology &amp; Assumptions'!$B$5, 0)</f>
        <v/>
      </c>
      <c r="P924" s="10" t="inlineStr">
        <is>
          <t>Single Carrier (Band n50, 100MHz TDD)</t>
        </is>
      </c>
      <c r="Q924" s="13">
        <f>ROUNDUP(O924/'Methodology &amp; Assumptions'!$B$6, 0)</f>
        <v/>
      </c>
      <c r="R924" s="13" t="n">
        <v>1</v>
      </c>
      <c r="S924" s="14" t="n">
        <v>2.26</v>
      </c>
      <c r="T924" s="14" t="n">
        <v>3.31</v>
      </c>
      <c r="U924" s="26">
        <f>IF(X924&gt;='Methodology &amp; Assumptions'!$B$7, "Tier 1 Critical GIDA (Score ≥ 50.0)", IF(X924&gt;='Methodology &amp; Assumptions'!$B$8, "Tier 2 High GIDA (Score 40.0–49.9)", "Tier 3 Moderate GIDA (Score &lt; 40.0)"))</f>
        <v/>
      </c>
      <c r="V924" s="26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W924" s="28" t="n">
        <v>0.07200000000000001</v>
      </c>
      <c r="X924" s="14" t="n">
        <v>44.95</v>
      </c>
      <c r="Y924" s="14">
        <f>ROUND(MIN(100, (X924/69.91)*100), 2)</f>
        <v/>
      </c>
    </row>
    <row r="925">
      <c r="A925" s="10" t="n">
        <v>4</v>
      </c>
      <c r="B925" s="10" t="n">
        <v>921</v>
      </c>
      <c r="C925" s="10" t="n">
        <v>3921</v>
      </c>
      <c r="D925" s="10" t="inlineStr">
        <is>
          <t>PH0003921</t>
        </is>
      </c>
      <c r="E925" s="26" t="inlineStr">
        <is>
          <t>I</t>
        </is>
      </c>
      <c r="F925" s="26" t="inlineStr">
        <is>
          <t>Ilocos Norte</t>
        </is>
      </c>
      <c r="G925" s="26" t="inlineStr">
        <is>
          <t>Laoag City</t>
        </is>
      </c>
      <c r="H925" s="26" t="inlineStr">
        <is>
          <t>Bgy. No. 20, San Miguel (Pob.)</t>
        </is>
      </c>
      <c r="I925" s="27" t="n">
        <v>18.222373</v>
      </c>
      <c r="J925" s="27" t="n">
        <v>120.571741</v>
      </c>
      <c r="K925" s="10" t="inlineStr">
        <is>
          <t>R</t>
        </is>
      </c>
      <c r="L925" s="12" t="n">
        <v>2233</v>
      </c>
      <c r="M925" s="14" t="n">
        <v>3.7</v>
      </c>
      <c r="N925" s="12">
        <f>ROUND(L925/M925, 0)</f>
        <v/>
      </c>
      <c r="O925" s="12">
        <f>ROUND(N925*'Methodology &amp; Assumptions'!$B$5, 0)</f>
        <v/>
      </c>
      <c r="P925" s="10" t="inlineStr">
        <is>
          <t>Single Carrier (Band n50, 100MHz TDD)</t>
        </is>
      </c>
      <c r="Q925" s="13">
        <f>ROUNDUP(O925/'Methodology &amp; Assumptions'!$B$6, 0)</f>
        <v/>
      </c>
      <c r="R925" s="13" t="n">
        <v>1</v>
      </c>
      <c r="S925" s="14" t="n">
        <v>2.3</v>
      </c>
      <c r="T925" s="14" t="n">
        <v>2.3</v>
      </c>
      <c r="U925" s="26">
        <f>IF(X925&gt;='Methodology &amp; Assumptions'!$B$7, "Tier 1 Critical GIDA (Score ≥ 50.0)", IF(X925&gt;='Methodology &amp; Assumptions'!$B$8, "Tier 2 High GIDA (Score 40.0–49.9)", "Tier 3 Moderate GIDA (Score &lt; 40.0)"))</f>
        <v/>
      </c>
      <c r="V925" s="26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W925" s="28" t="n">
        <v>0.083</v>
      </c>
      <c r="X925" s="14" t="n">
        <v>44.95</v>
      </c>
      <c r="Y925" s="14">
        <f>ROUND(MIN(100, (X925/69.91)*100), 2)</f>
        <v/>
      </c>
    </row>
    <row r="926">
      <c r="A926" s="10" t="n">
        <v>4</v>
      </c>
      <c r="B926" s="10" t="n">
        <v>922</v>
      </c>
      <c r="C926" s="10" t="n">
        <v>3922</v>
      </c>
      <c r="D926" s="10" t="inlineStr">
        <is>
          <t>0401005029</t>
        </is>
      </c>
      <c r="E926" s="26" t="inlineStr">
        <is>
          <t>Region IV-A (CALABARZON)</t>
        </is>
      </c>
      <c r="F926" s="26" t="inlineStr">
        <is>
          <t>Batangas</t>
        </is>
      </c>
      <c r="G926" s="26" t="inlineStr">
        <is>
          <t>Batangas City</t>
        </is>
      </c>
      <c r="H926" s="26" t="inlineStr">
        <is>
          <t>Gulod Labak</t>
        </is>
      </c>
      <c r="I926" s="27" t="n">
        <v>13.752858</v>
      </c>
      <c r="J926" s="27" t="n">
        <v>121.092238</v>
      </c>
      <c r="K926" s="10" t="inlineStr">
        <is>
          <t>U</t>
        </is>
      </c>
      <c r="L926" s="12" t="n">
        <v>2480</v>
      </c>
      <c r="M926" s="14" t="n">
        <v>3.6</v>
      </c>
      <c r="N926" s="12">
        <f>ROUND(L926/M926, 0)</f>
        <v/>
      </c>
      <c r="O926" s="12">
        <f>ROUND(N926*'Methodology &amp; Assumptions'!$B$5, 0)</f>
        <v/>
      </c>
      <c r="P926" s="10" t="inlineStr">
        <is>
          <t>Single Carrier (Band n50, 100MHz TDD)</t>
        </is>
      </c>
      <c r="Q926" s="13">
        <f>ROUNDUP(O926/'Methodology &amp; Assumptions'!$B$6, 0)</f>
        <v/>
      </c>
      <c r="R926" s="13" t="n">
        <v>1</v>
      </c>
      <c r="S926" s="14" t="n">
        <v>1.84</v>
      </c>
      <c r="T926" s="14" t="n">
        <v>3.17</v>
      </c>
      <c r="U926" s="26">
        <f>IF(X926&gt;='Methodology &amp; Assumptions'!$B$7, "Tier 1 Critical GIDA (Score ≥ 50.0)", IF(X926&gt;='Methodology &amp; Assumptions'!$B$8, "Tier 2 High GIDA (Score 40.0–49.9)", "Tier 3 Moderate GIDA (Score &lt; 40.0)"))</f>
        <v/>
      </c>
      <c r="V926" s="26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W926" s="28" t="n">
        <v>0.07200000000000001</v>
      </c>
      <c r="X926" s="14" t="n">
        <v>44.95</v>
      </c>
      <c r="Y926" s="14">
        <f>ROUND(MIN(100, (X926/69.91)*100), 2)</f>
        <v/>
      </c>
    </row>
    <row r="927">
      <c r="A927" s="10" t="n">
        <v>4</v>
      </c>
      <c r="B927" s="10" t="n">
        <v>923</v>
      </c>
      <c r="C927" s="10" t="n">
        <v>3923</v>
      </c>
      <c r="D927" s="10" t="inlineStr">
        <is>
          <t>0402104018</t>
        </is>
      </c>
      <c r="E927" s="26" t="inlineStr">
        <is>
          <t>Region IV-A (CALABARZON)</t>
        </is>
      </c>
      <c r="F927" s="26" t="inlineStr">
        <is>
          <t>Cavite</t>
        </is>
      </c>
      <c r="G927" s="26" t="inlineStr">
        <is>
          <t>Carmona</t>
        </is>
      </c>
      <c r="H927" s="26" t="inlineStr">
        <is>
          <t>Barangay 7</t>
        </is>
      </c>
      <c r="I927" s="27" t="n">
        <v>14.293669</v>
      </c>
      <c r="J927" s="27" t="n">
        <v>121.043929</v>
      </c>
      <c r="K927" s="10" t="inlineStr">
        <is>
          <t>R</t>
        </is>
      </c>
      <c r="L927" s="12" t="n">
        <v>746</v>
      </c>
      <c r="M927" s="14" t="n">
        <v>3.4</v>
      </c>
      <c r="N927" s="12">
        <f>ROUND(L927/M927, 0)</f>
        <v/>
      </c>
      <c r="O927" s="12">
        <f>ROUND(N927*'Methodology &amp; Assumptions'!$B$5, 0)</f>
        <v/>
      </c>
      <c r="P927" s="10" t="inlineStr">
        <is>
          <t>Single Carrier (Band n50, 100MHz TDD)</t>
        </is>
      </c>
      <c r="Q927" s="13">
        <f>ROUNDUP(O927/'Methodology &amp; Assumptions'!$B$6, 0)</f>
        <v/>
      </c>
      <c r="R927" s="13" t="n">
        <v>1</v>
      </c>
      <c r="S927" s="14" t="n">
        <v>1.65</v>
      </c>
      <c r="T927" s="14" t="n">
        <v>2.03</v>
      </c>
      <c r="U927" s="26">
        <f>IF(X927&gt;='Methodology &amp; Assumptions'!$B$7, "Tier 1 Critical GIDA (Score ≥ 50.0)", IF(X927&gt;='Methodology &amp; Assumptions'!$B$8, "Tier 2 High GIDA (Score 40.0–49.9)", "Tier 3 Moderate GIDA (Score &lt; 40.0)"))</f>
        <v/>
      </c>
      <c r="V927" s="26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W927" s="28" t="n">
        <v>0.07200000000000001</v>
      </c>
      <c r="X927" s="14" t="n">
        <v>44.95</v>
      </c>
      <c r="Y927" s="14">
        <f>ROUND(MIN(100, (X927/69.91)*100), 2)</f>
        <v/>
      </c>
    </row>
    <row r="928">
      <c r="A928" s="10" t="n">
        <v>4</v>
      </c>
      <c r="B928" s="10" t="n">
        <v>924</v>
      </c>
      <c r="C928" s="10" t="n">
        <v>3924</v>
      </c>
      <c r="D928" s="10" t="inlineStr">
        <is>
          <t>0200905002</t>
        </is>
      </c>
      <c r="E928" s="26" t="inlineStr">
        <is>
          <t>Region II (Cagayan Valley)</t>
        </is>
      </c>
      <c r="F928" s="26" t="inlineStr">
        <is>
          <t>Batanes</t>
        </is>
      </c>
      <c r="G928" s="26" t="inlineStr">
        <is>
          <t>Sabtang</t>
        </is>
      </c>
      <c r="H928" s="26" t="inlineStr">
        <is>
          <t>Malakdang</t>
        </is>
      </c>
      <c r="I928" s="27" t="n">
        <v>20.335065</v>
      </c>
      <c r="J928" s="27" t="n">
        <v>121.872032</v>
      </c>
      <c r="K928" s="10" t="inlineStr">
        <is>
          <t>R</t>
        </is>
      </c>
      <c r="L928" s="12" t="n">
        <v>279</v>
      </c>
      <c r="M928" s="14" t="n">
        <v>3</v>
      </c>
      <c r="N928" s="12">
        <f>ROUND(L928/M928, 0)</f>
        <v/>
      </c>
      <c r="O928" s="12">
        <f>ROUND(N928*'Methodology &amp; Assumptions'!$B$5, 0)</f>
        <v/>
      </c>
      <c r="P928" s="10" t="inlineStr">
        <is>
          <t>Single Carrier (Band n50, 100MHz TDD)</t>
        </is>
      </c>
      <c r="Q928" s="13">
        <f>ROUNDUP(O928/'Methodology &amp; Assumptions'!$B$6, 0)</f>
        <v/>
      </c>
      <c r="R928" s="13" t="n">
        <v>1</v>
      </c>
      <c r="S928" s="14" t="n">
        <v>208.5</v>
      </c>
      <c r="T928" s="14" t="n">
        <v>205.45</v>
      </c>
      <c r="U928" s="26">
        <f>IF(X928&gt;='Methodology &amp; Assumptions'!$B$7, "Tier 1 Critical GIDA (Score ≥ 50.0)", IF(X928&gt;='Methodology &amp; Assumptions'!$B$8, "Tier 2 High GIDA (Score 40.0–49.9)", "Tier 3 Moderate GIDA (Score &lt; 40.0)"))</f>
        <v/>
      </c>
      <c r="V928" s="26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W928" s="28" t="n">
        <v>0.083</v>
      </c>
      <c r="X928" s="14" t="n">
        <v>44.94</v>
      </c>
      <c r="Y928" s="14">
        <f>ROUND(MIN(100, (X928/69.91)*100), 2)</f>
        <v/>
      </c>
    </row>
    <row r="929">
      <c r="A929" s="10" t="n">
        <v>4</v>
      </c>
      <c r="B929" s="10" t="n">
        <v>925</v>
      </c>
      <c r="C929" s="10" t="n">
        <v>3925</v>
      </c>
      <c r="D929" s="10" t="inlineStr">
        <is>
          <t>1907006038</t>
        </is>
      </c>
      <c r="E929" s="26" t="inlineStr">
        <is>
          <t>Bangsamoro Autonomous Region In Muslim Mindanao (BARMM)</t>
        </is>
      </c>
      <c r="F929" s="26" t="inlineStr">
        <is>
          <t>Tawi-Tawi</t>
        </is>
      </c>
      <c r="G929" s="26" t="inlineStr">
        <is>
          <t>South Ubian</t>
        </is>
      </c>
      <c r="H929" s="26" t="inlineStr">
        <is>
          <t>Likud Dampong</t>
        </is>
      </c>
      <c r="I929" s="27" t="n">
        <v>15.415428</v>
      </c>
      <c r="J929" s="27" t="n">
        <v>121.995365</v>
      </c>
      <c r="K929" s="10" t="inlineStr">
        <is>
          <t>R</t>
        </is>
      </c>
      <c r="L929" s="12" t="n">
        <v>741</v>
      </c>
      <c r="M929" s="14" t="n">
        <v>5.8</v>
      </c>
      <c r="N929" s="12">
        <f>ROUND(L929/M929, 0)</f>
        <v/>
      </c>
      <c r="O929" s="12">
        <f>ROUND(N929*'Methodology &amp; Assumptions'!$B$5, 0)</f>
        <v/>
      </c>
      <c r="P929" s="10" t="inlineStr">
        <is>
          <t>Single Carrier (Band n50, 100MHz TDD)</t>
        </is>
      </c>
      <c r="Q929" s="13">
        <f>ROUNDUP(O929/'Methodology &amp; Assumptions'!$B$6, 0)</f>
        <v/>
      </c>
      <c r="R929" s="13" t="n">
        <v>1</v>
      </c>
      <c r="S929" s="14" t="n">
        <v>60.12</v>
      </c>
      <c r="T929" s="14" t="n">
        <v>59.91</v>
      </c>
      <c r="U929" s="26">
        <f>IF(X929&gt;='Methodology &amp; Assumptions'!$B$7, "Tier 1 Critical GIDA (Score ≥ 50.0)", IF(X929&gt;='Methodology &amp; Assumptions'!$B$8, "Tier 2 High GIDA (Score 40.0–49.9)", "Tier 3 Moderate GIDA (Score &lt; 40.0)"))</f>
        <v/>
      </c>
      <c r="V929" s="26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W929" s="28" t="n">
        <v>0.11</v>
      </c>
      <c r="X929" s="14" t="n">
        <v>44.93</v>
      </c>
      <c r="Y929" s="14">
        <f>ROUND(MIN(100, (X929/69.91)*100), 2)</f>
        <v/>
      </c>
    </row>
    <row r="930">
      <c r="A930" s="10" t="n">
        <v>4</v>
      </c>
      <c r="B930" s="10" t="n">
        <v>926</v>
      </c>
      <c r="C930" s="10" t="n">
        <v>3926</v>
      </c>
      <c r="D930" s="10" t="inlineStr">
        <is>
          <t>0300803025</t>
        </is>
      </c>
      <c r="E930" s="26" t="inlineStr">
        <is>
          <t>Region III (Central Luzon)</t>
        </is>
      </c>
      <c r="F930" s="26" t="inlineStr">
        <is>
          <t>Bataan</t>
        </is>
      </c>
      <c r="G930" s="26" t="inlineStr">
        <is>
          <t>City of Balanga</t>
        </is>
      </c>
      <c r="H930" s="26" t="inlineStr">
        <is>
          <t>Cupang North</t>
        </is>
      </c>
      <c r="I930" s="27" t="n">
        <v>14.680042</v>
      </c>
      <c r="J930" s="27" t="n">
        <v>120.531437</v>
      </c>
      <c r="K930" s="10" t="inlineStr">
        <is>
          <t>R</t>
        </is>
      </c>
      <c r="L930" s="12" t="n">
        <v>2656</v>
      </c>
      <c r="M930" s="14" t="n">
        <v>3.6</v>
      </c>
      <c r="N930" s="12">
        <f>ROUND(L930/M930, 0)</f>
        <v/>
      </c>
      <c r="O930" s="12">
        <f>ROUND(N930*'Methodology &amp; Assumptions'!$B$5, 0)</f>
        <v/>
      </c>
      <c r="P930" s="10" t="inlineStr">
        <is>
          <t>Single Carrier (Band n50, 100MHz TDD)</t>
        </is>
      </c>
      <c r="Q930" s="13">
        <f>ROUNDUP(O930/'Methodology &amp; Assumptions'!$B$6, 0)</f>
        <v/>
      </c>
      <c r="R930" s="13" t="n">
        <v>1</v>
      </c>
      <c r="S930" s="14" t="n">
        <v>1.04</v>
      </c>
      <c r="T930" s="14" t="n">
        <v>0.96</v>
      </c>
      <c r="U930" s="26">
        <f>IF(X930&gt;='Methodology &amp; Assumptions'!$B$7, "Tier 1 Critical GIDA (Score ≥ 50.0)", IF(X930&gt;='Methodology &amp; Assumptions'!$B$8, "Tier 2 High GIDA (Score 40.0–49.9)", "Tier 3 Moderate GIDA (Score &lt; 40.0)"))</f>
        <v/>
      </c>
      <c r="V930" s="26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W930" s="28" t="n">
        <v>0.083</v>
      </c>
      <c r="X930" s="14" t="n">
        <v>44.93</v>
      </c>
      <c r="Y930" s="14">
        <f>ROUND(MIN(100, (X930/69.91)*100), 2)</f>
        <v/>
      </c>
    </row>
    <row r="931">
      <c r="A931" s="10" t="n">
        <v>4</v>
      </c>
      <c r="B931" s="10" t="n">
        <v>927</v>
      </c>
      <c r="C931" s="10" t="n">
        <v>3927</v>
      </c>
      <c r="D931" s="10" t="inlineStr">
        <is>
          <t>0402111022</t>
        </is>
      </c>
      <c r="E931" s="26" t="inlineStr">
        <is>
          <t>Region IV-A (CALABARZON)</t>
        </is>
      </c>
      <c r="F931" s="26" t="inlineStr">
        <is>
          <t>Cavite</t>
        </is>
      </c>
      <c r="G931" s="26" t="inlineStr">
        <is>
          <t>Kawit</t>
        </is>
      </c>
      <c r="H931" s="26" t="inlineStr">
        <is>
          <t>Tramo-Bantayan</t>
        </is>
      </c>
      <c r="I931" s="27" t="n">
        <v>14.446148</v>
      </c>
      <c r="J931" s="27" t="n">
        <v>120.916195</v>
      </c>
      <c r="K931" s="10" t="inlineStr">
        <is>
          <t>U</t>
        </is>
      </c>
      <c r="L931" s="12" t="n">
        <v>3563</v>
      </c>
      <c r="M931" s="14" t="n">
        <v>3.4</v>
      </c>
      <c r="N931" s="12">
        <f>ROUND(L931/M931, 0)</f>
        <v/>
      </c>
      <c r="O931" s="12">
        <f>ROUND(N931*'Methodology &amp; Assumptions'!$B$5, 0)</f>
        <v/>
      </c>
      <c r="P931" s="10" t="inlineStr">
        <is>
          <t>Single Carrier (Band n50, 100MHz TDD)</t>
        </is>
      </c>
      <c r="Q931" s="13">
        <f>ROUNDUP(O931/'Methodology &amp; Assumptions'!$B$6, 0)</f>
        <v/>
      </c>
      <c r="R931" s="13" t="n">
        <v>1</v>
      </c>
      <c r="S931" s="14" t="n">
        <v>3.48</v>
      </c>
      <c r="T931" s="14" t="n">
        <v>0.11</v>
      </c>
      <c r="U931" s="26">
        <f>IF(X931&gt;='Methodology &amp; Assumptions'!$B$7, "Tier 1 Critical GIDA (Score ≥ 50.0)", IF(X931&gt;='Methodology &amp; Assumptions'!$B$8, "Tier 2 High GIDA (Score 40.0–49.9)", "Tier 3 Moderate GIDA (Score &lt; 40.0)"))</f>
        <v/>
      </c>
      <c r="V931" s="26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W931" s="28" t="n">
        <v>0.07200000000000001</v>
      </c>
      <c r="X931" s="14" t="n">
        <v>44.93</v>
      </c>
      <c r="Y931" s="14">
        <f>ROUND(MIN(100, (X931/69.91)*100), 2)</f>
        <v/>
      </c>
    </row>
    <row r="932">
      <c r="A932" s="10" t="n">
        <v>4</v>
      </c>
      <c r="B932" s="10" t="n">
        <v>928</v>
      </c>
      <c r="C932" s="10" t="n">
        <v>3928</v>
      </c>
      <c r="D932" s="10" t="inlineStr">
        <is>
          <t>0306916073</t>
        </is>
      </c>
      <c r="E932" s="26" t="inlineStr">
        <is>
          <t>Region III (Central Luzon)</t>
        </is>
      </c>
      <c r="F932" s="26" t="inlineStr">
        <is>
          <t>Tarlac</t>
        </is>
      </c>
      <c r="G932" s="26" t="inlineStr">
        <is>
          <t>City of Tarlac</t>
        </is>
      </c>
      <c r="H932" s="26" t="inlineStr">
        <is>
          <t>San Roque</t>
        </is>
      </c>
      <c r="I932" s="27" t="n">
        <v>15.484459</v>
      </c>
      <c r="J932" s="27" t="n">
        <v>120.589603</v>
      </c>
      <c r="K932" s="10" t="inlineStr">
        <is>
          <t>U</t>
        </is>
      </c>
      <c r="L932" s="12" t="n">
        <v>6267</v>
      </c>
      <c r="M932" s="14" t="n">
        <v>3.9</v>
      </c>
      <c r="N932" s="12">
        <f>ROUND(L932/M932, 0)</f>
        <v/>
      </c>
      <c r="O932" s="12">
        <f>ROUND(N932*'Methodology &amp; Assumptions'!$B$5, 0)</f>
        <v/>
      </c>
      <c r="P932" s="10" t="inlineStr">
        <is>
          <t>Single Carrier (Band n50, 100MHz TDD)</t>
        </is>
      </c>
      <c r="Q932" s="13">
        <f>ROUNDUP(O932/'Methodology &amp; Assumptions'!$B$6, 0)</f>
        <v/>
      </c>
      <c r="R932" s="13" t="n">
        <v>1</v>
      </c>
      <c r="S932" s="14" t="n">
        <v>2.43</v>
      </c>
      <c r="T932" s="14" t="n">
        <v>0.34</v>
      </c>
      <c r="U932" s="26">
        <f>IF(X932&gt;='Methodology &amp; Assumptions'!$B$7, "Tier 1 Critical GIDA (Score ≥ 50.0)", IF(X932&gt;='Methodology &amp; Assumptions'!$B$8, "Tier 2 High GIDA (Score 40.0–49.9)", "Tier 3 Moderate GIDA (Score &lt; 40.0)"))</f>
        <v/>
      </c>
      <c r="V932" s="26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W932" s="28" t="n">
        <v>0.083</v>
      </c>
      <c r="X932" s="14" t="n">
        <v>44.93</v>
      </c>
      <c r="Y932" s="14">
        <f>ROUND(MIN(100, (X932/69.91)*100), 2)</f>
        <v/>
      </c>
    </row>
    <row r="933">
      <c r="A933" s="10" t="n">
        <v>4</v>
      </c>
      <c r="B933" s="10" t="n">
        <v>929</v>
      </c>
      <c r="C933" s="10" t="n">
        <v>3929</v>
      </c>
      <c r="D933" s="10" t="inlineStr">
        <is>
          <t>1400111005</t>
        </is>
      </c>
      <c r="E933" s="26" t="inlineStr">
        <is>
          <t>Cordillera Administrative Region (CAR)</t>
        </is>
      </c>
      <c r="F933" s="26" t="inlineStr">
        <is>
          <t>Abra</t>
        </is>
      </c>
      <c r="G933" s="26" t="inlineStr">
        <is>
          <t>Lagayan</t>
        </is>
      </c>
      <c r="H933" s="26" t="inlineStr">
        <is>
          <t>Pang-ot</t>
        </is>
      </c>
      <c r="I933" s="27" t="n">
        <v>17.753126</v>
      </c>
      <c r="J933" s="27" t="n">
        <v>120.740189</v>
      </c>
      <c r="K933" s="10" t="inlineStr">
        <is>
          <t>R</t>
        </is>
      </c>
      <c r="L933" s="12" t="n">
        <v>320</v>
      </c>
      <c r="M933" s="14" t="n">
        <v>3.8</v>
      </c>
      <c r="N933" s="12">
        <f>ROUND(L933/M933, 0)</f>
        <v/>
      </c>
      <c r="O933" s="12">
        <f>ROUND(N933*'Methodology &amp; Assumptions'!$B$5, 0)</f>
        <v/>
      </c>
      <c r="P933" s="10" t="inlineStr">
        <is>
          <t>Single Carrier (Band n50, 100MHz TDD)</t>
        </is>
      </c>
      <c r="Q933" s="13">
        <f>ROUNDUP(O933/'Methodology &amp; Assumptions'!$B$6, 0)</f>
        <v/>
      </c>
      <c r="R933" s="13" t="n">
        <v>1</v>
      </c>
      <c r="S933" s="14" t="n">
        <v>12.81</v>
      </c>
      <c r="T933" s="14" t="n">
        <v>7.1</v>
      </c>
      <c r="U933" s="26">
        <f>IF(X933&gt;='Methodology &amp; Assumptions'!$B$7, "Tier 1 Critical GIDA (Score ≥ 50.0)", IF(X933&gt;='Methodology &amp; Assumptions'!$B$8, "Tier 2 High GIDA (Score 40.0–49.9)", "Tier 3 Moderate GIDA (Score &lt; 40.0)"))</f>
        <v/>
      </c>
      <c r="V933" s="26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W933" s="28" t="n">
        <v>0.109</v>
      </c>
      <c r="X933" s="14" t="n">
        <v>44.9</v>
      </c>
      <c r="Y933" s="14">
        <f>ROUND(MIN(100, (X933/69.91)*100), 2)</f>
        <v/>
      </c>
    </row>
    <row r="934">
      <c r="A934" s="10" t="n">
        <v>4</v>
      </c>
      <c r="B934" s="10" t="n">
        <v>930</v>
      </c>
      <c r="C934" s="10" t="n">
        <v>3930</v>
      </c>
      <c r="D934" s="10" t="inlineStr">
        <is>
          <t>PH0003930</t>
        </is>
      </c>
      <c r="E934" s="26" t="inlineStr">
        <is>
          <t>CAR</t>
        </is>
      </c>
      <c r="F934" s="26" t="inlineStr">
        <is>
          <t>Benguet</t>
        </is>
      </c>
      <c r="G934" s="26" t="inlineStr">
        <is>
          <t>Baguio City</t>
        </is>
      </c>
      <c r="H934" s="26" t="inlineStr">
        <is>
          <t>General Luna, Lower</t>
        </is>
      </c>
      <c r="I934" s="27" t="n">
        <v>16.352865</v>
      </c>
      <c r="J934" s="27" t="n">
        <v>120.537823</v>
      </c>
      <c r="K934" s="10" t="inlineStr">
        <is>
          <t>R</t>
        </is>
      </c>
      <c r="L934" s="12" t="n">
        <v>2260</v>
      </c>
      <c r="M934" s="14" t="n">
        <v>3.5</v>
      </c>
      <c r="N934" s="12">
        <f>ROUND(L934/M934, 0)</f>
        <v/>
      </c>
      <c r="O934" s="12">
        <f>ROUND(N934*'Methodology &amp; Assumptions'!$B$5, 0)</f>
        <v/>
      </c>
      <c r="P934" s="10" t="inlineStr">
        <is>
          <t>Single Carrier (Band n50, 100MHz TDD)</t>
        </is>
      </c>
      <c r="Q934" s="13">
        <f>ROUNDUP(O934/'Methodology &amp; Assumptions'!$B$6, 0)</f>
        <v/>
      </c>
      <c r="R934" s="13" t="n">
        <v>1</v>
      </c>
      <c r="S934" s="14" t="n">
        <v>3.96</v>
      </c>
      <c r="T934" s="14" t="n">
        <v>2.87</v>
      </c>
      <c r="U934" s="26">
        <f>IF(X934&gt;='Methodology &amp; Assumptions'!$B$7, "Tier 1 Critical GIDA (Score ≥ 50.0)", IF(X934&gt;='Methodology &amp; Assumptions'!$B$8, "Tier 2 High GIDA (Score 40.0–49.9)", "Tier 3 Moderate GIDA (Score &lt; 40.0)"))</f>
        <v/>
      </c>
      <c r="V934" s="26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W934" s="28" t="n">
        <v>0.221</v>
      </c>
      <c r="X934" s="14" t="n">
        <v>44.9</v>
      </c>
      <c r="Y934" s="14">
        <f>ROUND(MIN(100, (X934/69.91)*100), 2)</f>
        <v/>
      </c>
    </row>
    <row r="935">
      <c r="A935" s="10" t="n">
        <v>4</v>
      </c>
      <c r="B935" s="10" t="n">
        <v>931</v>
      </c>
      <c r="C935" s="10" t="n">
        <v>3931</v>
      </c>
      <c r="D935" s="10" t="inlineStr">
        <is>
          <t>1908713015</t>
        </is>
      </c>
      <c r="E935" s="26" t="inlineStr">
        <is>
          <t>Bangsamoro Autonomous Region In Muslim Mindanao (BARMM)</t>
        </is>
      </c>
      <c r="F935" s="26" t="inlineStr">
        <is>
          <t>Maguindanao del Norte</t>
        </is>
      </c>
      <c r="G935" s="26" t="inlineStr">
        <is>
          <t>Upi</t>
        </is>
      </c>
      <c r="H935" s="26" t="inlineStr">
        <is>
          <t>Nangi</t>
        </is>
      </c>
      <c r="I935" s="27" t="n">
        <v>17.254025</v>
      </c>
      <c r="J935" s="27" t="n">
        <v>122.228069</v>
      </c>
      <c r="K935" s="10" t="inlineStr">
        <is>
          <t>R</t>
        </is>
      </c>
      <c r="L935" s="12" t="n">
        <v>8566</v>
      </c>
      <c r="M935" s="14" t="n">
        <v>4.3</v>
      </c>
      <c r="N935" s="12">
        <f>ROUND(L935/M935, 0)</f>
        <v/>
      </c>
      <c r="O935" s="12">
        <f>ROUND(N935*'Methodology &amp; Assumptions'!$B$5, 0)</f>
        <v/>
      </c>
      <c r="P935" s="10" t="inlineStr">
        <is>
          <t>Single Carrier (Band n50, 100MHz TDD)</t>
        </is>
      </c>
      <c r="Q935" s="13">
        <f>ROUNDUP(O935/'Methodology &amp; Assumptions'!$B$6, 0)</f>
        <v/>
      </c>
      <c r="R935" s="13" t="n">
        <v>1</v>
      </c>
      <c r="S935" s="14" t="n">
        <v>29.29</v>
      </c>
      <c r="T935" s="14" t="n">
        <v>34.19</v>
      </c>
      <c r="U935" s="26">
        <f>IF(X935&gt;='Methodology &amp; Assumptions'!$B$7, "Tier 1 Critical GIDA (Score ≥ 50.0)", IF(X935&gt;='Methodology &amp; Assumptions'!$B$8, "Tier 2 High GIDA (Score 40.0–49.9)", "Tier 3 Moderate GIDA (Score &lt; 40.0)"))</f>
        <v/>
      </c>
      <c r="V935" s="26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W935" s="28" t="n">
        <v>0.11</v>
      </c>
      <c r="X935" s="14" t="n">
        <v>44.89</v>
      </c>
      <c r="Y935" s="14">
        <f>ROUND(MIN(100, (X935/69.91)*100), 2)</f>
        <v/>
      </c>
    </row>
    <row r="936">
      <c r="A936" s="10" t="n">
        <v>4</v>
      </c>
      <c r="B936" s="10" t="n">
        <v>932</v>
      </c>
      <c r="C936" s="10" t="n">
        <v>3932</v>
      </c>
      <c r="D936" s="10" t="inlineStr">
        <is>
          <t>PH0003932</t>
        </is>
      </c>
      <c r="E936" s="26" t="inlineStr">
        <is>
          <t>III</t>
        </is>
      </c>
      <c r="F936" s="26" t="inlineStr">
        <is>
          <t>Nueva Ecija</t>
        </is>
      </c>
      <c r="G936" s="26" t="inlineStr">
        <is>
          <t>Cabanatuan City</t>
        </is>
      </c>
      <c r="H936" s="26" t="inlineStr">
        <is>
          <t>Rizdelis (Pob.)</t>
        </is>
      </c>
      <c r="I936" s="27" t="n">
        <v>15.470126</v>
      </c>
      <c r="J936" s="27" t="n">
        <v>120.979769</v>
      </c>
      <c r="K936" s="10" t="inlineStr">
        <is>
          <t>R</t>
        </is>
      </c>
      <c r="L936" s="12" t="n">
        <v>2398</v>
      </c>
      <c r="M936" s="14" t="n">
        <v>3.5</v>
      </c>
      <c r="N936" s="12">
        <f>ROUND(L936/M936, 0)</f>
        <v/>
      </c>
      <c r="O936" s="12">
        <f>ROUND(N936*'Methodology &amp; Assumptions'!$B$5, 0)</f>
        <v/>
      </c>
      <c r="P936" s="10" t="inlineStr">
        <is>
          <t>Single Carrier (Band n50, 100MHz TDD)</t>
        </is>
      </c>
      <c r="Q936" s="13">
        <f>ROUNDUP(O936/'Methodology &amp; Assumptions'!$B$6, 0)</f>
        <v/>
      </c>
      <c r="R936" s="13" t="n">
        <v>1</v>
      </c>
      <c r="S936" s="14" t="n">
        <v>2.37</v>
      </c>
      <c r="T936" s="14" t="n">
        <v>2.07</v>
      </c>
      <c r="U936" s="26">
        <f>IF(X936&gt;='Methodology &amp; Assumptions'!$B$7, "Tier 1 Critical GIDA (Score ≥ 50.0)", IF(X936&gt;='Methodology &amp; Assumptions'!$B$8, "Tier 2 High GIDA (Score 40.0–49.9)", "Tier 3 Moderate GIDA (Score &lt; 40.0)"))</f>
        <v/>
      </c>
      <c r="V936" s="26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W936" s="28" t="n">
        <v>0.083</v>
      </c>
      <c r="X936" s="14" t="n">
        <v>44.87</v>
      </c>
      <c r="Y936" s="14">
        <f>ROUND(MIN(100, (X936/69.91)*100), 2)</f>
        <v/>
      </c>
    </row>
    <row r="937">
      <c r="A937" s="10" t="n">
        <v>4</v>
      </c>
      <c r="B937" s="10" t="n">
        <v>933</v>
      </c>
      <c r="C937" s="10" t="n">
        <v>3933</v>
      </c>
      <c r="D937" s="10" t="inlineStr">
        <is>
          <t>PH0003933</t>
        </is>
      </c>
      <c r="E937" s="26" t="inlineStr">
        <is>
          <t>VII</t>
        </is>
      </c>
      <c r="F937" s="26" t="inlineStr">
        <is>
          <t>Cebu</t>
        </is>
      </c>
      <c r="G937" s="26" t="inlineStr">
        <is>
          <t>Cebu City</t>
        </is>
      </c>
      <c r="H937" s="26" t="inlineStr">
        <is>
          <t>Pardo (Pob.)</t>
        </is>
      </c>
      <c r="I937" s="27" t="n">
        <v>10.277899</v>
      </c>
      <c r="J937" s="27" t="n">
        <v>123.856937</v>
      </c>
      <c r="K937" s="10" t="inlineStr">
        <is>
          <t>R</t>
        </is>
      </c>
      <c r="L937" s="12" t="n">
        <v>2250</v>
      </c>
      <c r="M937" s="14" t="n">
        <v>3.8</v>
      </c>
      <c r="N937" s="12">
        <f>ROUND(L937/M937, 0)</f>
        <v/>
      </c>
      <c r="O937" s="12">
        <f>ROUND(N937*'Methodology &amp; Assumptions'!$B$5, 0)</f>
        <v/>
      </c>
      <c r="P937" s="10" t="inlineStr">
        <is>
          <t>Single Carrier (Band n50, 100MHz TDD)</t>
        </is>
      </c>
      <c r="Q937" s="13">
        <f>ROUNDUP(O937/'Methodology &amp; Assumptions'!$B$6, 0)</f>
        <v/>
      </c>
      <c r="R937" s="13" t="n">
        <v>1</v>
      </c>
      <c r="S937" s="14" t="n">
        <v>0.87</v>
      </c>
      <c r="T937" s="14" t="n">
        <v>0.19</v>
      </c>
      <c r="U937" s="26">
        <f>IF(X937&gt;='Methodology &amp; Assumptions'!$B$7, "Tier 1 Critical GIDA (Score ≥ 50.0)", IF(X937&gt;='Methodology &amp; Assumptions'!$B$8, "Tier 2 High GIDA (Score 40.0–49.9)", "Tier 3 Moderate GIDA (Score &lt; 40.0)"))</f>
        <v/>
      </c>
      <c r="V937" s="26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W937" s="28" t="n">
        <v>0.21</v>
      </c>
      <c r="X937" s="14" t="n">
        <v>44.87</v>
      </c>
      <c r="Y937" s="14">
        <f>ROUND(MIN(100, (X937/69.91)*100), 2)</f>
        <v/>
      </c>
    </row>
    <row r="938">
      <c r="A938" s="10" t="n">
        <v>4</v>
      </c>
      <c r="B938" s="10" t="n">
        <v>934</v>
      </c>
      <c r="C938" s="10" t="n">
        <v>3934</v>
      </c>
      <c r="D938" s="10" t="inlineStr">
        <is>
          <t>PH0003934</t>
        </is>
      </c>
      <c r="E938" s="26" t="inlineStr">
        <is>
          <t>VII</t>
        </is>
      </c>
      <c r="F938" s="26" t="inlineStr">
        <is>
          <t>Cebu</t>
        </is>
      </c>
      <c r="G938" s="26" t="inlineStr">
        <is>
          <t>Cebu City</t>
        </is>
      </c>
      <c r="H938" s="26" t="inlineStr">
        <is>
          <t>Cogon Ramos (Pob.)</t>
        </is>
      </c>
      <c r="I938" s="27" t="n">
        <v>10.341451</v>
      </c>
      <c r="J938" s="27" t="n">
        <v>123.889027</v>
      </c>
      <c r="K938" s="10" t="inlineStr">
        <is>
          <t>R</t>
        </is>
      </c>
      <c r="L938" s="12" t="n">
        <v>2250</v>
      </c>
      <c r="M938" s="14" t="n">
        <v>3.8</v>
      </c>
      <c r="N938" s="12">
        <f>ROUND(L938/M938, 0)</f>
        <v/>
      </c>
      <c r="O938" s="12">
        <f>ROUND(N938*'Methodology &amp; Assumptions'!$B$5, 0)</f>
        <v/>
      </c>
      <c r="P938" s="10" t="inlineStr">
        <is>
          <t>Single Carrier (Band n50, 100MHz TDD)</t>
        </is>
      </c>
      <c r="Q938" s="13">
        <f>ROUNDUP(O938/'Methodology &amp; Assumptions'!$B$6, 0)</f>
        <v/>
      </c>
      <c r="R938" s="13" t="n">
        <v>1</v>
      </c>
      <c r="S938" s="14" t="n">
        <v>1.5</v>
      </c>
      <c r="T938" s="14" t="n">
        <v>3.92</v>
      </c>
      <c r="U938" s="26">
        <f>IF(X938&gt;='Methodology &amp; Assumptions'!$B$7, "Tier 1 Critical GIDA (Score ≥ 50.0)", IF(X938&gt;='Methodology &amp; Assumptions'!$B$8, "Tier 2 High GIDA (Score 40.0–49.9)", "Tier 3 Moderate GIDA (Score &lt; 40.0)"))</f>
        <v/>
      </c>
      <c r="V938" s="26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W938" s="28" t="n">
        <v>0.21</v>
      </c>
      <c r="X938" s="14" t="n">
        <v>44.87</v>
      </c>
      <c r="Y938" s="14">
        <f>ROUND(MIN(100, (X938/69.91)*100), 2)</f>
        <v/>
      </c>
    </row>
    <row r="939">
      <c r="A939" s="10" t="n">
        <v>4</v>
      </c>
      <c r="B939" s="10" t="n">
        <v>935</v>
      </c>
      <c r="C939" s="10" t="n">
        <v>3935</v>
      </c>
      <c r="D939" s="10" t="inlineStr">
        <is>
          <t>PH0003935</t>
        </is>
      </c>
      <c r="E939" s="26" t="inlineStr">
        <is>
          <t>VI</t>
        </is>
      </c>
      <c r="F939" s="26" t="inlineStr">
        <is>
          <t>Iloilo</t>
        </is>
      </c>
      <c r="G939" s="26" t="inlineStr">
        <is>
          <t>Iloilo City</t>
        </is>
      </c>
      <c r="H939" s="26" t="inlineStr">
        <is>
          <t>Veterans Village</t>
        </is>
      </c>
      <c r="I939" s="27" t="n">
        <v>10.64583</v>
      </c>
      <c r="J939" s="27" t="n">
        <v>122.431927</v>
      </c>
      <c r="K939" s="10" t="inlineStr">
        <is>
          <t>R</t>
        </is>
      </c>
      <c r="L939" s="12" t="n">
        <v>2230</v>
      </c>
      <c r="M939" s="14" t="n">
        <v>3.8</v>
      </c>
      <c r="N939" s="12">
        <f>ROUND(L939/M939, 0)</f>
        <v/>
      </c>
      <c r="O939" s="12">
        <f>ROUND(N939*'Methodology &amp; Assumptions'!$B$5, 0)</f>
        <v/>
      </c>
      <c r="P939" s="10" t="inlineStr">
        <is>
          <t>Single Carrier (Band n50, 100MHz TDD)</t>
        </is>
      </c>
      <c r="Q939" s="13">
        <f>ROUNDUP(O939/'Methodology &amp; Assumptions'!$B$6, 0)</f>
        <v/>
      </c>
      <c r="R939" s="13" t="n">
        <v>1</v>
      </c>
      <c r="S939" s="14" t="n">
        <v>6.68</v>
      </c>
      <c r="T939" s="14" t="n">
        <v>4.2</v>
      </c>
      <c r="U939" s="26">
        <f>IF(X939&gt;='Methodology &amp; Assumptions'!$B$7, "Tier 1 Critical GIDA (Score ≥ 50.0)", IF(X939&gt;='Methodology &amp; Assumptions'!$B$8, "Tier 2 High GIDA (Score 40.0–49.9)", "Tier 3 Moderate GIDA (Score &lt; 40.0)"))</f>
        <v/>
      </c>
      <c r="V939" s="26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W939" s="28" t="n">
        <v>0.156</v>
      </c>
      <c r="X939" s="14" t="n">
        <v>44.85</v>
      </c>
      <c r="Y939" s="14">
        <f>ROUND(MIN(100, (X939/69.91)*100), 2)</f>
        <v/>
      </c>
    </row>
    <row r="940">
      <c r="A940" s="10" t="n">
        <v>4</v>
      </c>
      <c r="B940" s="10" t="n">
        <v>936</v>
      </c>
      <c r="C940" s="10" t="n">
        <v>3936</v>
      </c>
      <c r="D940" s="10" t="inlineStr">
        <is>
          <t>PH0003936</t>
        </is>
      </c>
      <c r="E940" s="26" t="inlineStr">
        <is>
          <t>CAR</t>
        </is>
      </c>
      <c r="F940" s="26" t="inlineStr">
        <is>
          <t>Benguet</t>
        </is>
      </c>
      <c r="G940" s="26" t="inlineStr">
        <is>
          <t>Baguio City</t>
        </is>
      </c>
      <c r="H940" s="26" t="inlineStr">
        <is>
          <t>Sanitary Camp, North</t>
        </is>
      </c>
      <c r="I940" s="27" t="n">
        <v>16.484701</v>
      </c>
      <c r="J940" s="27" t="n">
        <v>120.597738</v>
      </c>
      <c r="K940" s="10" t="inlineStr">
        <is>
          <t>R</t>
        </is>
      </c>
      <c r="L940" s="12" t="n">
        <v>2260</v>
      </c>
      <c r="M940" s="14" t="n">
        <v>3.5</v>
      </c>
      <c r="N940" s="12">
        <f>ROUND(L940/M940, 0)</f>
        <v/>
      </c>
      <c r="O940" s="12">
        <f>ROUND(N940*'Methodology &amp; Assumptions'!$B$5, 0)</f>
        <v/>
      </c>
      <c r="P940" s="10" t="inlineStr">
        <is>
          <t>Single Carrier (Band n50, 100MHz TDD)</t>
        </is>
      </c>
      <c r="Q940" s="13">
        <f>ROUNDUP(O940/'Methodology &amp; Assumptions'!$B$6, 0)</f>
        <v/>
      </c>
      <c r="R940" s="13" t="n">
        <v>1</v>
      </c>
      <c r="S940" s="14" t="n">
        <v>1.79</v>
      </c>
      <c r="T940" s="14" t="n">
        <v>2.04</v>
      </c>
      <c r="U940" s="26">
        <f>IF(X940&gt;='Methodology &amp; Assumptions'!$B$7, "Tier 1 Critical GIDA (Score ≥ 50.0)", IF(X940&gt;='Methodology &amp; Assumptions'!$B$8, "Tier 2 High GIDA (Score 40.0–49.9)", "Tier 3 Moderate GIDA (Score &lt; 40.0)"))</f>
        <v/>
      </c>
      <c r="V940" s="26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W940" s="28" t="n">
        <v>0.221</v>
      </c>
      <c r="X940" s="14" t="n">
        <v>44.85</v>
      </c>
      <c r="Y940" s="14">
        <f>ROUND(MIN(100, (X940/69.91)*100), 2)</f>
        <v/>
      </c>
    </row>
    <row r="941">
      <c r="A941" s="10" t="n">
        <v>4</v>
      </c>
      <c r="B941" s="10" t="n">
        <v>937</v>
      </c>
      <c r="C941" s="10" t="n">
        <v>3937</v>
      </c>
      <c r="D941" s="10" t="inlineStr">
        <is>
          <t>1108604005</t>
        </is>
      </c>
      <c r="E941" s="26" t="inlineStr">
        <is>
          <t>Region XI (Davao Region)</t>
        </is>
      </c>
      <c r="F941" s="26" t="inlineStr">
        <is>
          <t>Davao Occidental</t>
        </is>
      </c>
      <c r="G941" s="26" t="inlineStr">
        <is>
          <t>Santa Maria</t>
        </is>
      </c>
      <c r="H941" s="26" t="inlineStr">
        <is>
          <t>Kisulad</t>
        </is>
      </c>
      <c r="I941" s="27" t="n">
        <v>6.529712</v>
      </c>
      <c r="J941" s="27" t="n">
        <v>125.562532</v>
      </c>
      <c r="K941" s="10" t="inlineStr">
        <is>
          <t>R</t>
        </is>
      </c>
      <c r="L941" s="12" t="n">
        <v>1420</v>
      </c>
      <c r="M941" s="14" t="n">
        <v>3.6</v>
      </c>
      <c r="N941" s="12">
        <f>ROUND(L941/M941, 0)</f>
        <v/>
      </c>
      <c r="O941" s="12">
        <f>ROUND(N941*'Methodology &amp; Assumptions'!$B$5, 0)</f>
        <v/>
      </c>
      <c r="P941" s="10" t="inlineStr">
        <is>
          <t>Single Carrier (Band n50, 100MHz TDD)</t>
        </is>
      </c>
      <c r="Q941" s="13">
        <f>ROUNDUP(O941/'Methodology &amp; Assumptions'!$B$6, 0)</f>
        <v/>
      </c>
      <c r="R941" s="13" t="n">
        <v>1</v>
      </c>
      <c r="S941" s="14" t="n">
        <v>18.59</v>
      </c>
      <c r="T941" s="14" t="n">
        <v>21.07</v>
      </c>
      <c r="U941" s="26">
        <f>IF(X941&gt;='Methodology &amp; Assumptions'!$B$7, "Tier 1 Critical GIDA (Score ≥ 50.0)", IF(X941&gt;='Methodology &amp; Assumptions'!$B$8, "Tier 2 High GIDA (Score 40.0–49.9)", "Tier 3 Moderate GIDA (Score &lt; 40.0)"))</f>
        <v/>
      </c>
      <c r="V941" s="26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W941" s="28" t="n">
        <v>0.174</v>
      </c>
      <c r="X941" s="14" t="n">
        <v>44.84</v>
      </c>
      <c r="Y941" s="14">
        <f>ROUND(MIN(100, (X941/69.91)*100), 2)</f>
        <v/>
      </c>
    </row>
    <row r="942">
      <c r="A942" s="10" t="n">
        <v>4</v>
      </c>
      <c r="B942" s="10" t="n">
        <v>938</v>
      </c>
      <c r="C942" s="10" t="n">
        <v>3938</v>
      </c>
      <c r="D942" s="10" t="inlineStr">
        <is>
          <t>PH0003938</t>
        </is>
      </c>
      <c r="E942" s="26" t="inlineStr">
        <is>
          <t>CAR</t>
        </is>
      </c>
      <c r="F942" s="26" t="inlineStr">
        <is>
          <t>Benguet</t>
        </is>
      </c>
      <c r="G942" s="26" t="inlineStr">
        <is>
          <t>Baguio City</t>
        </is>
      </c>
      <c r="H942" s="26" t="inlineStr">
        <is>
          <t>Salud Mitra</t>
        </is>
      </c>
      <c r="I942" s="27" t="n">
        <v>16.410435</v>
      </c>
      <c r="J942" s="27" t="n">
        <v>120.600962</v>
      </c>
      <c r="K942" s="10" t="inlineStr">
        <is>
          <t>R</t>
        </is>
      </c>
      <c r="L942" s="12" t="n">
        <v>2260</v>
      </c>
      <c r="M942" s="14" t="n">
        <v>3.5</v>
      </c>
      <c r="N942" s="12">
        <f>ROUND(L942/M942, 0)</f>
        <v/>
      </c>
      <c r="O942" s="12">
        <f>ROUND(N942*'Methodology &amp; Assumptions'!$B$5, 0)</f>
        <v/>
      </c>
      <c r="P942" s="10" t="inlineStr">
        <is>
          <t>Single Carrier (Band n50, 100MHz TDD)</t>
        </is>
      </c>
      <c r="Q942" s="13">
        <f>ROUNDUP(O942/'Methodology &amp; Assumptions'!$B$6, 0)</f>
        <v/>
      </c>
      <c r="R942" s="13" t="n">
        <v>1</v>
      </c>
      <c r="S942" s="14" t="n">
        <v>0.21</v>
      </c>
      <c r="T942" s="14" t="n">
        <v>0.15</v>
      </c>
      <c r="U942" s="26">
        <f>IF(X942&gt;='Methodology &amp; Assumptions'!$B$7, "Tier 1 Critical GIDA (Score ≥ 50.0)", IF(X942&gt;='Methodology &amp; Assumptions'!$B$8, "Tier 2 High GIDA (Score 40.0–49.9)", "Tier 3 Moderate GIDA (Score &lt; 40.0)"))</f>
        <v/>
      </c>
      <c r="V942" s="26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W942" s="28" t="n">
        <v>0.221</v>
      </c>
      <c r="X942" s="14" t="n">
        <v>44.84</v>
      </c>
      <c r="Y942" s="14">
        <f>ROUND(MIN(100, (X942/69.91)*100), 2)</f>
        <v/>
      </c>
    </row>
    <row r="943">
      <c r="A943" s="10" t="n">
        <v>4</v>
      </c>
      <c r="B943" s="10" t="n">
        <v>939</v>
      </c>
      <c r="C943" s="10" t="n">
        <v>3939</v>
      </c>
      <c r="D943" s="10" t="inlineStr">
        <is>
          <t>0806001024</t>
        </is>
      </c>
      <c r="E943" s="26" t="inlineStr">
        <is>
          <t>Region VIII (Eastern Visayas)</t>
        </is>
      </c>
      <c r="F943" s="26" t="inlineStr">
        <is>
          <t>Samar</t>
        </is>
      </c>
      <c r="G943" s="26" t="inlineStr">
        <is>
          <t>Almagro</t>
        </is>
      </c>
      <c r="H943" s="26" t="inlineStr">
        <is>
          <t>Tonga-tonga</t>
        </is>
      </c>
      <c r="I943" s="27" t="n">
        <v>11.905847</v>
      </c>
      <c r="J943" s="27" t="n">
        <v>124.311765</v>
      </c>
      <c r="K943" s="10" t="inlineStr">
        <is>
          <t>R</t>
        </is>
      </c>
      <c r="L943" s="12" t="n">
        <v>197</v>
      </c>
      <c r="M943" s="14" t="n">
        <v>4.1</v>
      </c>
      <c r="N943" s="12">
        <f>ROUND(L943/M943, 0)</f>
        <v/>
      </c>
      <c r="O943" s="12">
        <f>ROUND(N943*'Methodology &amp; Assumptions'!$B$5, 0)</f>
        <v/>
      </c>
      <c r="P943" s="10" t="inlineStr">
        <is>
          <t>Single Carrier (Band n50, 100MHz TDD)</t>
        </is>
      </c>
      <c r="Q943" s="13">
        <f>ROUNDUP(O943/'Methodology &amp; Assumptions'!$B$6, 0)</f>
        <v/>
      </c>
      <c r="R943" s="13" t="n">
        <v>1</v>
      </c>
      <c r="S943" s="14" t="n">
        <v>43.91</v>
      </c>
      <c r="T943" s="14" t="n">
        <v>72.45</v>
      </c>
      <c r="U943" s="26">
        <f>IF(X943&gt;='Methodology &amp; Assumptions'!$B$7, "Tier 1 Critical GIDA (Score ≥ 50.0)", IF(X943&gt;='Methodology &amp; Assumptions'!$B$8, "Tier 2 High GIDA (Score 40.0–49.9)", "Tier 3 Moderate GIDA (Score &lt; 40.0)"))</f>
        <v/>
      </c>
      <c r="V943" s="26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W943" s="28" t="n">
        <v>0.237</v>
      </c>
      <c r="X943" s="14" t="n">
        <v>44.84</v>
      </c>
      <c r="Y943" s="14">
        <f>ROUND(MIN(100, (X943/69.91)*100), 2)</f>
        <v/>
      </c>
    </row>
    <row r="944">
      <c r="A944" s="10" t="n">
        <v>4</v>
      </c>
      <c r="B944" s="10" t="n">
        <v>940</v>
      </c>
      <c r="C944" s="10" t="n">
        <v>3940</v>
      </c>
      <c r="D944" s="10" t="inlineStr">
        <is>
          <t>0403428002</t>
        </is>
      </c>
      <c r="E944" s="26" t="inlineStr">
        <is>
          <t>Region IV-A (CALABARZON)</t>
        </is>
      </c>
      <c r="F944" s="26" t="inlineStr">
        <is>
          <t>Laguna</t>
        </is>
      </c>
      <c r="G944" s="26" t="inlineStr">
        <is>
          <t>City of Santa Rosa</t>
        </is>
      </c>
      <c r="H944" s="26" t="inlineStr">
        <is>
          <t>Balibago</t>
        </is>
      </c>
      <c r="I944" s="27" t="n">
        <v>14.296262</v>
      </c>
      <c r="J944" s="27" t="n">
        <v>121.104531</v>
      </c>
      <c r="K944" s="10" t="inlineStr">
        <is>
          <t>U</t>
        </is>
      </c>
      <c r="L944" s="12" t="n">
        <v>23640</v>
      </c>
      <c r="M944" s="14" t="n">
        <v>3.3</v>
      </c>
      <c r="N944" s="12">
        <f>ROUND(L944/M944, 0)</f>
        <v/>
      </c>
      <c r="O944" s="12">
        <f>ROUND(N944*'Methodology &amp; Assumptions'!$B$5, 0)</f>
        <v/>
      </c>
      <c r="P944" s="10" t="inlineStr">
        <is>
          <t>Single Carrier (Band n50, 100MHz TDD)</t>
        </is>
      </c>
      <c r="Q944" s="13">
        <f>ROUNDUP(O944/'Methodology &amp; Assumptions'!$B$6, 0)</f>
        <v/>
      </c>
      <c r="R944" s="13" t="n">
        <v>1</v>
      </c>
      <c r="S944" s="14" t="n">
        <v>0.28</v>
      </c>
      <c r="T944" s="14" t="n">
        <v>0.12</v>
      </c>
      <c r="U944" s="26">
        <f>IF(X944&gt;='Methodology &amp; Assumptions'!$B$7, "Tier 1 Critical GIDA (Score ≥ 50.0)", IF(X944&gt;='Methodology &amp; Assumptions'!$B$8, "Tier 2 High GIDA (Score 40.0–49.9)", "Tier 3 Moderate GIDA (Score &lt; 40.0)"))</f>
        <v/>
      </c>
      <c r="V944" s="26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W944" s="28" t="n">
        <v>0.07200000000000001</v>
      </c>
      <c r="X944" s="14" t="n">
        <v>44.84</v>
      </c>
      <c r="Y944" s="14">
        <f>ROUND(MIN(100, (X944/69.91)*100), 2)</f>
        <v/>
      </c>
    </row>
    <row r="945">
      <c r="A945" s="10" t="n">
        <v>4</v>
      </c>
      <c r="B945" s="10" t="n">
        <v>941</v>
      </c>
      <c r="C945" s="10" t="n">
        <v>3941</v>
      </c>
      <c r="D945" s="10" t="inlineStr">
        <is>
          <t>0501711036</t>
        </is>
      </c>
      <c r="E945" s="26" t="inlineStr">
        <is>
          <t>Region V (Bicol Region)</t>
        </is>
      </c>
      <c r="F945" s="26" t="inlineStr">
        <is>
          <t>Camarines Sur</t>
        </is>
      </c>
      <c r="G945" s="26" t="inlineStr">
        <is>
          <t>Caramoan</t>
        </is>
      </c>
      <c r="H945" s="26" t="inlineStr">
        <is>
          <t>Patag-Belen</t>
        </is>
      </c>
      <c r="I945" s="27" t="n">
        <v>13.805279</v>
      </c>
      <c r="J945" s="27" t="n">
        <v>123.833869</v>
      </c>
      <c r="K945" s="10" t="inlineStr">
        <is>
          <t>R</t>
        </is>
      </c>
      <c r="L945" s="12" t="n">
        <v>470</v>
      </c>
      <c r="M945" s="14" t="n">
        <v>4.2</v>
      </c>
      <c r="N945" s="12">
        <f>ROUND(L945/M945, 0)</f>
        <v/>
      </c>
      <c r="O945" s="12">
        <f>ROUND(N945*'Methodology &amp; Assumptions'!$B$5, 0)</f>
        <v/>
      </c>
      <c r="P945" s="10" t="inlineStr">
        <is>
          <t>Single Carrier (Band n50, 100MHz TDD)</t>
        </is>
      </c>
      <c r="Q945" s="13">
        <f>ROUNDUP(O945/'Methodology &amp; Assumptions'!$B$6, 0)</f>
        <v/>
      </c>
      <c r="R945" s="13" t="n">
        <v>1</v>
      </c>
      <c r="S945" s="14" t="n">
        <v>4.7</v>
      </c>
      <c r="T945" s="14" t="n">
        <v>38.84</v>
      </c>
      <c r="U945" s="26">
        <f>IF(X945&gt;='Methodology &amp; Assumptions'!$B$7, "Tier 1 Critical GIDA (Score ≥ 50.0)", IF(X945&gt;='Methodology &amp; Assumptions'!$B$8, "Tier 2 High GIDA (Score 40.0–49.9)", "Tier 3 Moderate GIDA (Score &lt; 40.0)"))</f>
        <v/>
      </c>
      <c r="V945" s="26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W945" s="28" t="n">
        <v>0.237</v>
      </c>
      <c r="X945" s="14" t="n">
        <v>44.83</v>
      </c>
      <c r="Y945" s="14">
        <f>ROUND(MIN(100, (X945/69.91)*100), 2)</f>
        <v/>
      </c>
    </row>
    <row r="946">
      <c r="A946" s="10" t="n">
        <v>4</v>
      </c>
      <c r="B946" s="10" t="n">
        <v>942</v>
      </c>
      <c r="C946" s="10" t="n">
        <v>3942</v>
      </c>
      <c r="D946" s="10" t="inlineStr">
        <is>
          <t>0301412010</t>
        </is>
      </c>
      <c r="E946" s="26" t="inlineStr">
        <is>
          <t>Region III (Central Luzon)</t>
        </is>
      </c>
      <c r="F946" s="26" t="inlineStr">
        <is>
          <t>Bulacan</t>
        </is>
      </c>
      <c r="G946" s="26" t="inlineStr">
        <is>
          <t>City of Meycauayan</t>
        </is>
      </c>
      <c r="H946" s="26" t="inlineStr">
        <is>
          <t>Langka</t>
        </is>
      </c>
      <c r="I946" s="27" t="n">
        <v>14.739487</v>
      </c>
      <c r="J946" s="27" t="n">
        <v>120.980556</v>
      </c>
      <c r="K946" s="10" t="inlineStr">
        <is>
          <t>U</t>
        </is>
      </c>
      <c r="L946" s="12" t="n">
        <v>4515</v>
      </c>
      <c r="M946" s="14" t="n">
        <v>3.5</v>
      </c>
      <c r="N946" s="12">
        <f>ROUND(L946/M946, 0)</f>
        <v/>
      </c>
      <c r="O946" s="12">
        <f>ROUND(N946*'Methodology &amp; Assumptions'!$B$5, 0)</f>
        <v/>
      </c>
      <c r="P946" s="10" t="inlineStr">
        <is>
          <t>Single Carrier (Band n50, 100MHz TDD)</t>
        </is>
      </c>
      <c r="Q946" s="13">
        <f>ROUNDUP(O946/'Methodology &amp; Assumptions'!$B$6, 0)</f>
        <v/>
      </c>
      <c r="R946" s="13" t="n">
        <v>1</v>
      </c>
      <c r="S946" s="14" t="n">
        <v>1.31</v>
      </c>
      <c r="T946" s="14" t="n">
        <v>0.93</v>
      </c>
      <c r="U946" s="26">
        <f>IF(X946&gt;='Methodology &amp; Assumptions'!$B$7, "Tier 1 Critical GIDA (Score ≥ 50.0)", IF(X946&gt;='Methodology &amp; Assumptions'!$B$8, "Tier 2 High GIDA (Score 40.0–49.9)", "Tier 3 Moderate GIDA (Score &lt; 40.0)"))</f>
        <v/>
      </c>
      <c r="V946" s="26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W946" s="28" t="n">
        <v>0.083</v>
      </c>
      <c r="X946" s="14" t="n">
        <v>44.82</v>
      </c>
      <c r="Y946" s="14">
        <f>ROUND(MIN(100, (X946/69.91)*100), 2)</f>
        <v/>
      </c>
    </row>
    <row r="947">
      <c r="A947" s="10" t="n">
        <v>4</v>
      </c>
      <c r="B947" s="10" t="n">
        <v>943</v>
      </c>
      <c r="C947" s="10" t="n">
        <v>3943</v>
      </c>
      <c r="D947" s="10" t="inlineStr">
        <is>
          <t>0702232009</t>
        </is>
      </c>
      <c r="E947" s="26" t="inlineStr">
        <is>
          <t>Region VII (Central Visayas)</t>
        </is>
      </c>
      <c r="F947" s="26" t="inlineStr">
        <is>
          <t>Cebu</t>
        </is>
      </c>
      <c r="G947" s="26" t="inlineStr">
        <is>
          <t>Minglanilla</t>
        </is>
      </c>
      <c r="H947" s="26" t="inlineStr">
        <is>
          <t>Pakigne</t>
        </is>
      </c>
      <c r="I947" s="27" t="n">
        <v>10.267454</v>
      </c>
      <c r="J947" s="27" t="n">
        <v>123.794943</v>
      </c>
      <c r="K947" s="10" t="inlineStr">
        <is>
          <t>U</t>
        </is>
      </c>
      <c r="L947" s="12" t="n">
        <v>14675</v>
      </c>
      <c r="M947" s="14" t="n">
        <v>3.8</v>
      </c>
      <c r="N947" s="12">
        <f>ROUND(L947/M947, 0)</f>
        <v/>
      </c>
      <c r="O947" s="12">
        <f>ROUND(N947*'Methodology &amp; Assumptions'!$B$5, 0)</f>
        <v/>
      </c>
      <c r="P947" s="10" t="inlineStr">
        <is>
          <t>Single Carrier (Band n50, 100MHz TDD)</t>
        </is>
      </c>
      <c r="Q947" s="13">
        <f>ROUNDUP(O947/'Methodology &amp; Assumptions'!$B$6, 0)</f>
        <v/>
      </c>
      <c r="R947" s="13" t="n">
        <v>1</v>
      </c>
      <c r="S947" s="14" t="n">
        <v>2.23</v>
      </c>
      <c r="T947" s="14" t="n">
        <v>2.13</v>
      </c>
      <c r="U947" s="26">
        <f>IF(X947&gt;='Methodology &amp; Assumptions'!$B$7, "Tier 1 Critical GIDA (Score ≥ 50.0)", IF(X947&gt;='Methodology &amp; Assumptions'!$B$8, "Tier 2 High GIDA (Score 40.0–49.9)", "Tier 3 Moderate GIDA (Score &lt; 40.0)"))</f>
        <v/>
      </c>
      <c r="V947" s="26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W947" s="28" t="n">
        <v>0.237</v>
      </c>
      <c r="X947" s="14" t="n">
        <v>44.82</v>
      </c>
      <c r="Y947" s="14">
        <f>ROUND(MIN(100, (X947/69.91)*100), 2)</f>
        <v/>
      </c>
    </row>
    <row r="948">
      <c r="A948" s="10" t="n">
        <v>4</v>
      </c>
      <c r="B948" s="10" t="n">
        <v>944</v>
      </c>
      <c r="C948" s="10" t="n">
        <v>3944</v>
      </c>
      <c r="D948" s="10" t="inlineStr">
        <is>
          <t>0405637006</t>
        </is>
      </c>
      <c r="E948" s="26" t="inlineStr">
        <is>
          <t>Region IV-A (CALABARZON)</t>
        </is>
      </c>
      <c r="F948" s="26" t="inlineStr">
        <is>
          <t>Quezon</t>
        </is>
      </c>
      <c r="G948" s="26" t="inlineStr">
        <is>
          <t>Quezon</t>
        </is>
      </c>
      <c r="H948" s="26" t="inlineStr">
        <is>
          <t>Del Pilar</t>
        </is>
      </c>
      <c r="I948" s="27" t="n">
        <v>14.092326</v>
      </c>
      <c r="J948" s="27" t="n">
        <v>122.115147</v>
      </c>
      <c r="K948" s="10" t="inlineStr">
        <is>
          <t>R</t>
        </is>
      </c>
      <c r="L948" s="12" t="n">
        <v>395</v>
      </c>
      <c r="M948" s="14" t="n">
        <v>3.8</v>
      </c>
      <c r="N948" s="12">
        <f>ROUND(L948/M948, 0)</f>
        <v/>
      </c>
      <c r="O948" s="12">
        <f>ROUND(N948*'Methodology &amp; Assumptions'!$B$5, 0)</f>
        <v/>
      </c>
      <c r="P948" s="10" t="inlineStr">
        <is>
          <t>Single Carrier (Band n50, 100MHz TDD)</t>
        </is>
      </c>
      <c r="Q948" s="13">
        <f>ROUNDUP(O948/'Methodology &amp; Assumptions'!$B$6, 0)</f>
        <v/>
      </c>
      <c r="R948" s="13" t="n">
        <v>1</v>
      </c>
      <c r="S948" s="14" t="n">
        <v>10.81</v>
      </c>
      <c r="T948" s="14" t="n">
        <v>17.73</v>
      </c>
      <c r="U948" s="26">
        <f>IF(X948&gt;='Methodology &amp; Assumptions'!$B$7, "Tier 1 Critical GIDA (Score ≥ 50.0)", IF(X948&gt;='Methodology &amp; Assumptions'!$B$8, "Tier 2 High GIDA (Score 40.0–49.9)", "Tier 3 Moderate GIDA (Score &lt; 40.0)"))</f>
        <v/>
      </c>
      <c r="V948" s="26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W948" s="28" t="n">
        <v>0.07200000000000001</v>
      </c>
      <c r="X948" s="14" t="n">
        <v>44.82</v>
      </c>
      <c r="Y948" s="14">
        <f>ROUND(MIN(100, (X948/69.91)*100), 2)</f>
        <v/>
      </c>
    </row>
    <row r="949">
      <c r="A949" s="10" t="n">
        <v>4</v>
      </c>
      <c r="B949" s="10" t="n">
        <v>945</v>
      </c>
      <c r="C949" s="10" t="n">
        <v>3945</v>
      </c>
      <c r="D949" s="10" t="inlineStr">
        <is>
          <t>1401112002</t>
        </is>
      </c>
      <c r="E949" s="26" t="inlineStr">
        <is>
          <t>Cordillera Administrative Region (CAR)</t>
        </is>
      </c>
      <c r="F949" s="26" t="inlineStr">
        <is>
          <t>Benguet</t>
        </is>
      </c>
      <c r="G949" s="26" t="inlineStr">
        <is>
          <t>Sablan</t>
        </is>
      </c>
      <c r="H949" s="26" t="inlineStr">
        <is>
          <t>Bagong</t>
        </is>
      </c>
      <c r="I949" s="27" t="n">
        <v>16.533243</v>
      </c>
      <c r="J949" s="27" t="n">
        <v>120.551916</v>
      </c>
      <c r="K949" s="10" t="inlineStr">
        <is>
          <t>R</t>
        </is>
      </c>
      <c r="L949" s="12" t="n">
        <v>739</v>
      </c>
      <c r="M949" s="14" t="n">
        <v>3.5</v>
      </c>
      <c r="N949" s="12">
        <f>ROUND(L949/M949, 0)</f>
        <v/>
      </c>
      <c r="O949" s="12">
        <f>ROUND(N949*'Methodology &amp; Assumptions'!$B$5, 0)</f>
        <v/>
      </c>
      <c r="P949" s="10" t="inlineStr">
        <is>
          <t>Single Carrier (Band n50, 100MHz TDD)</t>
        </is>
      </c>
      <c r="Q949" s="13">
        <f>ROUNDUP(O949/'Methodology &amp; Assumptions'!$B$6, 0)</f>
        <v/>
      </c>
      <c r="R949" s="13" t="n">
        <v>1</v>
      </c>
      <c r="S949" s="14" t="n">
        <v>7.41</v>
      </c>
      <c r="T949" s="14" t="n">
        <v>7.21</v>
      </c>
      <c r="U949" s="26">
        <f>IF(X949&gt;='Methodology &amp; Assumptions'!$B$7, "Tier 1 Critical GIDA (Score ≥ 50.0)", IF(X949&gt;='Methodology &amp; Assumptions'!$B$8, "Tier 2 High GIDA (Score 40.0–49.9)", "Tier 3 Moderate GIDA (Score &lt; 40.0)"))</f>
        <v/>
      </c>
      <c r="V949" s="26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W949" s="28" t="n">
        <v>0.109</v>
      </c>
      <c r="X949" s="14" t="n">
        <v>44.82</v>
      </c>
      <c r="Y949" s="14">
        <f>ROUND(MIN(100, (X949/69.91)*100), 2)</f>
        <v/>
      </c>
    </row>
    <row r="950">
      <c r="A950" s="10" t="n">
        <v>4</v>
      </c>
      <c r="B950" s="10" t="n">
        <v>946</v>
      </c>
      <c r="C950" s="10" t="n">
        <v>3946</v>
      </c>
      <c r="D950" s="10" t="inlineStr">
        <is>
          <t>1907009015</t>
        </is>
      </c>
      <c r="E950" s="26" t="inlineStr">
        <is>
          <t>Bangsamoro Autonomous Region In Muslim Mindanao (BARMM)</t>
        </is>
      </c>
      <c r="F950" s="26" t="inlineStr">
        <is>
          <t>Tawi-Tawi</t>
        </is>
      </c>
      <c r="G950" s="26" t="inlineStr">
        <is>
          <t>Languyan</t>
        </is>
      </c>
      <c r="H950" s="26" t="inlineStr">
        <is>
          <t>Bakaw-bakaw</t>
        </is>
      </c>
      <c r="I950" s="27" t="n">
        <v>17.255765</v>
      </c>
      <c r="J950" s="27" t="n">
        <v>122.229809</v>
      </c>
      <c r="K950" s="10" t="inlineStr">
        <is>
          <t>R</t>
        </is>
      </c>
      <c r="L950" s="12" t="n">
        <v>1420</v>
      </c>
      <c r="M950" s="14" t="n">
        <v>5.8</v>
      </c>
      <c r="N950" s="12">
        <f>ROUND(L950/M950, 0)</f>
        <v/>
      </c>
      <c r="O950" s="12">
        <f>ROUND(N950*'Methodology &amp; Assumptions'!$B$5, 0)</f>
        <v/>
      </c>
      <c r="P950" s="10" t="inlineStr">
        <is>
          <t>Single Carrier (Band n50, 100MHz TDD)</t>
        </is>
      </c>
      <c r="Q950" s="13">
        <f>ROUNDUP(O950/'Methodology &amp; Assumptions'!$B$6, 0)</f>
        <v/>
      </c>
      <c r="R950" s="13" t="n">
        <v>1</v>
      </c>
      <c r="S950" s="14" t="n">
        <v>29.56</v>
      </c>
      <c r="T950" s="14" t="n">
        <v>34.42</v>
      </c>
      <c r="U950" s="26">
        <f>IF(X950&gt;='Methodology &amp; Assumptions'!$B$7, "Tier 1 Critical GIDA (Score ≥ 50.0)", IF(X950&gt;='Methodology &amp; Assumptions'!$B$8, "Tier 2 High GIDA (Score 40.0–49.9)", "Tier 3 Moderate GIDA (Score &lt; 40.0)"))</f>
        <v/>
      </c>
      <c r="V950" s="26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W950" s="28" t="n">
        <v>0.11</v>
      </c>
      <c r="X950" s="14" t="n">
        <v>44.81</v>
      </c>
      <c r="Y950" s="14">
        <f>ROUND(MIN(100, (X950/69.91)*100), 2)</f>
        <v/>
      </c>
    </row>
    <row r="951">
      <c r="A951" s="10" t="n">
        <v>4</v>
      </c>
      <c r="B951" s="10" t="n">
        <v>947</v>
      </c>
      <c r="C951" s="10" t="n">
        <v>3947</v>
      </c>
      <c r="D951" s="10" t="inlineStr">
        <is>
          <t>1705320028</t>
        </is>
      </c>
      <c r="E951" s="26" t="inlineStr">
        <is>
          <t>MIMAROPA Region</t>
        </is>
      </c>
      <c r="F951" s="26" t="inlineStr">
        <is>
          <t>Palawan</t>
        </is>
      </c>
      <c r="G951" s="26" t="inlineStr">
        <is>
          <t>Taytay</t>
        </is>
      </c>
      <c r="H951" s="26" t="inlineStr">
        <is>
          <t>Minapla</t>
        </is>
      </c>
      <c r="I951" s="27" t="n">
        <v>10.834739</v>
      </c>
      <c r="J951" s="27" t="n">
        <v>119.260614</v>
      </c>
      <c r="K951" s="10" t="inlineStr">
        <is>
          <t>R</t>
        </is>
      </c>
      <c r="L951" s="12" t="n">
        <v>765</v>
      </c>
      <c r="M951" s="14" t="n">
        <v>3.9</v>
      </c>
      <c r="N951" s="12">
        <f>ROUND(L951/M951, 0)</f>
        <v/>
      </c>
      <c r="O951" s="12">
        <f>ROUND(N951*'Methodology &amp; Assumptions'!$B$5, 0)</f>
        <v/>
      </c>
      <c r="P951" s="10" t="inlineStr">
        <is>
          <t>Single Carrier (Band n50, 100MHz TDD)</t>
        </is>
      </c>
      <c r="Q951" s="13">
        <f>ROUNDUP(O951/'Methodology &amp; Assumptions'!$B$6, 0)</f>
        <v/>
      </c>
      <c r="R951" s="13" t="n">
        <v>1</v>
      </c>
      <c r="S951" s="14" t="n">
        <v>17.57</v>
      </c>
      <c r="T951" s="14" t="n">
        <v>26.02</v>
      </c>
      <c r="U951" s="26">
        <f>IF(X951&gt;='Methodology &amp; Assumptions'!$B$7, "Tier 1 Critical GIDA (Score ≥ 50.0)", IF(X951&gt;='Methodology &amp; Assumptions'!$B$8, "Tier 2 High GIDA (Score 40.0–49.9)", "Tier 3 Moderate GIDA (Score &lt; 40.0)"))</f>
        <v/>
      </c>
      <c r="V951" s="26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W951" s="28" t="n">
        <v>0.15</v>
      </c>
      <c r="X951" s="14" t="n">
        <v>44.81</v>
      </c>
      <c r="Y951" s="14">
        <f>ROUND(MIN(100, (X951/69.91)*100), 2)</f>
        <v/>
      </c>
    </row>
    <row r="952">
      <c r="A952" s="10" t="n">
        <v>4</v>
      </c>
      <c r="B952" s="10" t="n">
        <v>948</v>
      </c>
      <c r="C952" s="10" t="n">
        <v>3948</v>
      </c>
      <c r="D952" s="10" t="inlineStr">
        <is>
          <t>0403428009</t>
        </is>
      </c>
      <c r="E952" s="26" t="inlineStr">
        <is>
          <t>Region IV-A (CALABARZON)</t>
        </is>
      </c>
      <c r="F952" s="26" t="inlineStr">
        <is>
          <t>Laguna</t>
        </is>
      </c>
      <c r="G952" s="26" t="inlineStr">
        <is>
          <t>City of Santa Rosa</t>
        </is>
      </c>
      <c r="H952" s="26" t="inlineStr">
        <is>
          <t>Macabling</t>
        </is>
      </c>
      <c r="I952" s="27" t="n">
        <v>14.298639</v>
      </c>
      <c r="J952" s="27" t="n">
        <v>121.097547</v>
      </c>
      <c r="K952" s="10" t="inlineStr">
        <is>
          <t>U</t>
        </is>
      </c>
      <c r="L952" s="12" t="n">
        <v>22368</v>
      </c>
      <c r="M952" s="14" t="n">
        <v>3.3</v>
      </c>
      <c r="N952" s="12">
        <f>ROUND(L952/M952, 0)</f>
        <v/>
      </c>
      <c r="O952" s="12">
        <f>ROUND(N952*'Methodology &amp; Assumptions'!$B$5, 0)</f>
        <v/>
      </c>
      <c r="P952" s="10" t="inlineStr">
        <is>
          <t>Single Carrier (Band n50, 100MHz TDD)</t>
        </is>
      </c>
      <c r="Q952" s="13">
        <f>ROUNDUP(O952/'Methodology &amp; Assumptions'!$B$6, 0)</f>
        <v/>
      </c>
      <c r="R952" s="13" t="n">
        <v>1</v>
      </c>
      <c r="S952" s="14" t="n">
        <v>0.8100000000000001</v>
      </c>
      <c r="T952" s="14" t="n">
        <v>0.76</v>
      </c>
      <c r="U952" s="26">
        <f>IF(X952&gt;='Methodology &amp; Assumptions'!$B$7, "Tier 1 Critical GIDA (Score ≥ 50.0)", IF(X952&gt;='Methodology &amp; Assumptions'!$B$8, "Tier 2 High GIDA (Score 40.0–49.9)", "Tier 3 Moderate GIDA (Score &lt; 40.0)"))</f>
        <v/>
      </c>
      <c r="V952" s="26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W952" s="28" t="n">
        <v>0.07200000000000001</v>
      </c>
      <c r="X952" s="14" t="n">
        <v>44.79</v>
      </c>
      <c r="Y952" s="14">
        <f>ROUND(MIN(100, (X952/69.91)*100), 2)</f>
        <v/>
      </c>
    </row>
    <row r="953">
      <c r="A953" s="10" t="n">
        <v>4</v>
      </c>
      <c r="B953" s="10" t="n">
        <v>949</v>
      </c>
      <c r="C953" s="10" t="n">
        <v>3949</v>
      </c>
      <c r="D953" s="10" t="inlineStr">
        <is>
          <t>1380800007</t>
        </is>
      </c>
      <c r="E953" s="26" t="inlineStr">
        <is>
          <t>National Capital Region (NCR)</t>
        </is>
      </c>
      <c r="F953" s="26" t="inlineStr">
        <is>
          <t>Fourth District (Not a Province)</t>
        </is>
      </c>
      <c r="G953" s="26" t="inlineStr">
        <is>
          <t>City of Muntinlupa</t>
        </is>
      </c>
      <c r="H953" s="26" t="inlineStr">
        <is>
          <t>Sucat</t>
        </is>
      </c>
      <c r="I953" s="27" t="n">
        <v>14.44417</v>
      </c>
      <c r="J953" s="27" t="n">
        <v>121.04207</v>
      </c>
      <c r="K953" s="10" t="inlineStr">
        <is>
          <t>U</t>
        </is>
      </c>
      <c r="L953" s="12" t="n">
        <v>57264</v>
      </c>
      <c r="M953" s="14" t="n">
        <v>3.8</v>
      </c>
      <c r="N953" s="12">
        <f>ROUND(L953/M953, 0)</f>
        <v/>
      </c>
      <c r="O953" s="12">
        <f>ROUND(N953*'Methodology &amp; Assumptions'!$B$5, 0)</f>
        <v/>
      </c>
      <c r="P953" s="10" t="inlineStr">
        <is>
          <t>Single Carrier (Band n50, 100MHz TDD)</t>
        </is>
      </c>
      <c r="Q953" s="13">
        <f>ROUNDUP(O953/'Methodology &amp; Assumptions'!$B$6, 0)</f>
        <v/>
      </c>
      <c r="R953" s="13" t="n">
        <v>1</v>
      </c>
      <c r="S953" s="14" t="n">
        <v>1.43</v>
      </c>
      <c r="T953" s="14" t="n">
        <v>0.4</v>
      </c>
      <c r="U953" s="26">
        <f>IF(X953&gt;='Methodology &amp; Assumptions'!$B$7, "Tier 1 Critical GIDA (Score ≥ 50.0)", IF(X953&gt;='Methodology &amp; Assumptions'!$B$8, "Tier 2 High GIDA (Score 40.0–49.9)", "Tier 3 Moderate GIDA (Score &lt; 40.0)"))</f>
        <v/>
      </c>
      <c r="V953" s="26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W953" s="28" t="n">
        <v>0.109</v>
      </c>
      <c r="X953" s="14" t="n">
        <v>44.79</v>
      </c>
      <c r="Y953" s="14">
        <f>ROUND(MIN(100, (X953/69.91)*100), 2)</f>
        <v/>
      </c>
    </row>
    <row r="954">
      <c r="A954" s="10" t="n">
        <v>4</v>
      </c>
      <c r="B954" s="10" t="n">
        <v>950</v>
      </c>
      <c r="C954" s="10" t="n">
        <v>3950</v>
      </c>
      <c r="D954" s="10" t="inlineStr">
        <is>
          <t>1907009011</t>
        </is>
      </c>
      <c r="E954" s="26" t="inlineStr">
        <is>
          <t>Bangsamoro Autonomous Region In Muslim Mindanao (BARMM)</t>
        </is>
      </c>
      <c r="F954" s="26" t="inlineStr">
        <is>
          <t>Tawi-Tawi</t>
        </is>
      </c>
      <c r="G954" s="26" t="inlineStr">
        <is>
          <t>Languyan</t>
        </is>
      </c>
      <c r="H954" s="26" t="inlineStr">
        <is>
          <t>Tumahubong</t>
        </is>
      </c>
      <c r="I954" s="27" t="n">
        <v>17.255773</v>
      </c>
      <c r="J954" s="27" t="n">
        <v>122.229817</v>
      </c>
      <c r="K954" s="10" t="inlineStr">
        <is>
          <t>R</t>
        </is>
      </c>
      <c r="L954" s="12" t="n">
        <v>1342</v>
      </c>
      <c r="M954" s="14" t="n">
        <v>5.8</v>
      </c>
      <c r="N954" s="12">
        <f>ROUND(L954/M954, 0)</f>
        <v/>
      </c>
      <c r="O954" s="12">
        <f>ROUND(N954*'Methodology &amp; Assumptions'!$B$5, 0)</f>
        <v/>
      </c>
      <c r="P954" s="10" t="inlineStr">
        <is>
          <t>Single Carrier (Band n50, 100MHz TDD)</t>
        </is>
      </c>
      <c r="Q954" s="13">
        <f>ROUNDUP(O954/'Methodology &amp; Assumptions'!$B$6, 0)</f>
        <v/>
      </c>
      <c r="R954" s="13" t="n">
        <v>1</v>
      </c>
      <c r="S954" s="14" t="n">
        <v>29.56</v>
      </c>
      <c r="T954" s="14" t="n">
        <v>34.42</v>
      </c>
      <c r="U954" s="26">
        <f>IF(X954&gt;='Methodology &amp; Assumptions'!$B$7, "Tier 1 Critical GIDA (Score ≥ 50.0)", IF(X954&gt;='Methodology &amp; Assumptions'!$B$8, "Tier 2 High GIDA (Score 40.0–49.9)", "Tier 3 Moderate GIDA (Score &lt; 40.0)"))</f>
        <v/>
      </c>
      <c r="V954" s="26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W954" s="28" t="n">
        <v>0.11</v>
      </c>
      <c r="X954" s="14" t="n">
        <v>44.79</v>
      </c>
      <c r="Y954" s="14">
        <f>ROUND(MIN(100, (X954/69.91)*100), 2)</f>
        <v/>
      </c>
    </row>
    <row r="955">
      <c r="A955" s="10" t="n">
        <v>4</v>
      </c>
      <c r="B955" s="10" t="n">
        <v>951</v>
      </c>
      <c r="C955" s="10" t="n">
        <v>3951</v>
      </c>
      <c r="D955" s="10" t="inlineStr">
        <is>
          <t>1381100200</t>
        </is>
      </c>
      <c r="E955" s="26" t="inlineStr">
        <is>
          <t>National Capital Region (NCR)</t>
        </is>
      </c>
      <c r="F955" s="26" t="inlineStr">
        <is>
          <t>Fourth District (Not a Province)</t>
        </is>
      </c>
      <c r="G955" s="26" t="inlineStr">
        <is>
          <t>Pasay City</t>
        </is>
      </c>
      <c r="H955" s="26" t="inlineStr">
        <is>
          <t>Barangay 200</t>
        </is>
      </c>
      <c r="I955" s="27" t="n">
        <v>14.508211</v>
      </c>
      <c r="J955" s="27" t="n">
        <v>121.001261</v>
      </c>
      <c r="K955" s="10" t="inlineStr">
        <is>
          <t>U</t>
        </is>
      </c>
      <c r="L955" s="12" t="n">
        <v>611</v>
      </c>
      <c r="M955" s="14" t="n">
        <v>3.4</v>
      </c>
      <c r="N955" s="12">
        <f>ROUND(L955/M955, 0)</f>
        <v/>
      </c>
      <c r="O955" s="12">
        <f>ROUND(N955*'Methodology &amp; Assumptions'!$B$5, 0)</f>
        <v/>
      </c>
      <c r="P955" s="10" t="inlineStr">
        <is>
          <t>Single Carrier (Band n50, 100MHz TDD)</t>
        </is>
      </c>
      <c r="Q955" s="13">
        <f>ROUNDUP(O955/'Methodology &amp; Assumptions'!$B$6, 0)</f>
        <v/>
      </c>
      <c r="R955" s="13" t="n">
        <v>1</v>
      </c>
      <c r="S955" s="14" t="n">
        <v>0.96</v>
      </c>
      <c r="T955" s="14" t="n">
        <v>0.26</v>
      </c>
      <c r="U955" s="26">
        <f>IF(X955&gt;='Methodology &amp; Assumptions'!$B$7, "Tier 1 Critical GIDA (Score ≥ 50.0)", IF(X955&gt;='Methodology &amp; Assumptions'!$B$8, "Tier 2 High GIDA (Score 40.0–49.9)", "Tier 3 Moderate GIDA (Score &lt; 40.0)"))</f>
        <v/>
      </c>
      <c r="V955" s="26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W955" s="28" t="n">
        <v>0.109</v>
      </c>
      <c r="X955" s="14" t="n">
        <v>44.78</v>
      </c>
      <c r="Y955" s="14">
        <f>ROUND(MIN(100, (X955/69.91)*100), 2)</f>
        <v/>
      </c>
    </row>
    <row r="956">
      <c r="A956" s="10" t="n">
        <v>4</v>
      </c>
      <c r="B956" s="10" t="n">
        <v>952</v>
      </c>
      <c r="C956" s="10" t="n">
        <v>3952</v>
      </c>
      <c r="D956" s="10" t="inlineStr">
        <is>
          <t>0102820004</t>
        </is>
      </c>
      <c r="E956" s="26" t="inlineStr">
        <is>
          <t>Region I (Ilocos Region)</t>
        </is>
      </c>
      <c r="F956" s="26" t="inlineStr">
        <is>
          <t>Ilocos Norte</t>
        </is>
      </c>
      <c r="G956" s="26" t="inlineStr">
        <is>
          <t>San Nicolas</t>
        </is>
      </c>
      <c r="H956" s="26" t="inlineStr">
        <is>
          <t>San Baltazar</t>
        </is>
      </c>
      <c r="I956" s="27" t="n">
        <v>18.160799</v>
      </c>
      <c r="J956" s="27" t="n">
        <v>120.603626</v>
      </c>
      <c r="K956" s="10" t="inlineStr">
        <is>
          <t>U</t>
        </is>
      </c>
      <c r="L956" s="12" t="n">
        <v>816</v>
      </c>
      <c r="M956" s="14" t="n">
        <v>3.7</v>
      </c>
      <c r="N956" s="12">
        <f>ROUND(L956/M956, 0)</f>
        <v/>
      </c>
      <c r="O956" s="12">
        <f>ROUND(N956*'Methodology &amp; Assumptions'!$B$5, 0)</f>
        <v/>
      </c>
      <c r="P956" s="10" t="inlineStr">
        <is>
          <t>Single Carrier (Band n50, 100MHz TDD)</t>
        </is>
      </c>
      <c r="Q956" s="13">
        <f>ROUNDUP(O956/'Methodology &amp; Assumptions'!$B$6, 0)</f>
        <v/>
      </c>
      <c r="R956" s="13" t="n">
        <v>1</v>
      </c>
      <c r="S956" s="14" t="n">
        <v>1.52</v>
      </c>
      <c r="T956" s="14" t="n">
        <v>1.48</v>
      </c>
      <c r="U956" s="26">
        <f>IF(X956&gt;='Methodology &amp; Assumptions'!$B$7, "Tier 1 Critical GIDA (Score ≥ 50.0)", IF(X956&gt;='Methodology &amp; Assumptions'!$B$8, "Tier 2 High GIDA (Score 40.0–49.9)", "Tier 3 Moderate GIDA (Score &lt; 40.0)"))</f>
        <v/>
      </c>
      <c r="V956" s="26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W956" s="28" t="n">
        <v>0.083</v>
      </c>
      <c r="X956" s="14" t="n">
        <v>44.78</v>
      </c>
      <c r="Y956" s="14">
        <f>ROUND(MIN(100, (X956/69.91)*100), 2)</f>
        <v/>
      </c>
    </row>
    <row r="957">
      <c r="A957" s="10" t="n">
        <v>4</v>
      </c>
      <c r="B957" s="10" t="n">
        <v>953</v>
      </c>
      <c r="C957" s="10" t="n">
        <v>3953</v>
      </c>
      <c r="D957" s="10" t="inlineStr">
        <is>
          <t>PH0003953</t>
        </is>
      </c>
      <c r="E957" s="26" t="inlineStr">
        <is>
          <t>VIII</t>
        </is>
      </c>
      <c r="F957" s="26" t="inlineStr">
        <is>
          <t>Samar (Western Samar)</t>
        </is>
      </c>
      <c r="G957" s="26" t="inlineStr">
        <is>
          <t>Catbalogan City</t>
        </is>
      </c>
      <c r="H957" s="26" t="inlineStr">
        <is>
          <t>Poblacion 11</t>
        </is>
      </c>
      <c r="I957" s="27" t="n">
        <v>12.885247</v>
      </c>
      <c r="J957" s="27" t="n">
        <v>121.792046</v>
      </c>
      <c r="K957" s="10" t="inlineStr">
        <is>
          <t>R</t>
        </is>
      </c>
      <c r="L957" s="12" t="n">
        <v>2229</v>
      </c>
      <c r="M957" s="14" t="n">
        <v>4.1</v>
      </c>
      <c r="N957" s="12">
        <f>ROUND(L957/M957, 0)</f>
        <v/>
      </c>
      <c r="O957" s="12">
        <f>ROUND(N957*'Methodology &amp; Assumptions'!$B$5, 0)</f>
        <v/>
      </c>
      <c r="P957" s="10" t="inlineStr">
        <is>
          <t>Single Carrier (Band n50, 100MHz TDD)</t>
        </is>
      </c>
      <c r="Q957" s="13">
        <f>ROUNDUP(O957/'Methodology &amp; Assumptions'!$B$6, 0)</f>
        <v/>
      </c>
      <c r="R957" s="13" t="n">
        <v>1</v>
      </c>
      <c r="S957" s="14" t="n">
        <v>35.07</v>
      </c>
      <c r="T957" s="14" t="n">
        <v>34.89</v>
      </c>
      <c r="U957" s="26">
        <f>IF(X957&gt;='Methodology &amp; Assumptions'!$B$7, "Tier 1 Critical GIDA (Score ≥ 50.0)", IF(X957&gt;='Methodology &amp; Assumptions'!$B$8, "Tier 2 High GIDA (Score 40.0–49.9)", "Tier 3 Moderate GIDA (Score &lt; 40.0)"))</f>
        <v/>
      </c>
      <c r="V957" s="26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W957" s="28" t="n">
        <v>0.222</v>
      </c>
      <c r="X957" s="14" t="n">
        <v>44.78</v>
      </c>
      <c r="Y957" s="14">
        <f>ROUND(MIN(100, (X957/69.91)*100), 2)</f>
        <v/>
      </c>
    </row>
    <row r="958">
      <c r="A958" s="10" t="n">
        <v>4</v>
      </c>
      <c r="B958" s="10" t="n">
        <v>954</v>
      </c>
      <c r="C958" s="10" t="n">
        <v>3954</v>
      </c>
      <c r="D958" s="10" t="inlineStr">
        <is>
          <t>0701243017</t>
        </is>
      </c>
      <c r="E958" s="26" t="inlineStr">
        <is>
          <t>Region VII (Central Visayas)</t>
        </is>
      </c>
      <c r="F958" s="26" t="inlineStr">
        <is>
          <t>Bohol</t>
        </is>
      </c>
      <c r="G958" s="26" t="inlineStr">
        <is>
          <t>Talibon</t>
        </is>
      </c>
      <c r="H958" s="26" t="inlineStr">
        <is>
          <t>Nocnocan</t>
        </is>
      </c>
      <c r="I958" s="27" t="n">
        <v>10.245921</v>
      </c>
      <c r="J958" s="27" t="n">
        <v>124.404901</v>
      </c>
      <c r="K958" s="10" t="inlineStr">
        <is>
          <t>R</t>
        </is>
      </c>
      <c r="L958" s="12" t="n">
        <v>1809</v>
      </c>
      <c r="M958" s="14" t="n">
        <v>4</v>
      </c>
      <c r="N958" s="12">
        <f>ROUND(L958/M958, 0)</f>
        <v/>
      </c>
      <c r="O958" s="12">
        <f>ROUND(N958*'Methodology &amp; Assumptions'!$B$5, 0)</f>
        <v/>
      </c>
      <c r="P958" s="10" t="inlineStr">
        <is>
          <t>Single Carrier (Band n50, 100MHz TDD)</t>
        </is>
      </c>
      <c r="Q958" s="13">
        <f>ROUNDUP(O958/'Methodology &amp; Assumptions'!$B$6, 0)</f>
        <v/>
      </c>
      <c r="R958" s="13" t="n">
        <v>1</v>
      </c>
      <c r="S958" s="14" t="n">
        <v>44.49</v>
      </c>
      <c r="T958" s="14" t="n">
        <v>40.06</v>
      </c>
      <c r="U958" s="26">
        <f>IF(X958&gt;='Methodology &amp; Assumptions'!$B$7, "Tier 1 Critical GIDA (Score ≥ 50.0)", IF(X958&gt;='Methodology &amp; Assumptions'!$B$8, "Tier 2 High GIDA (Score 40.0–49.9)", "Tier 3 Moderate GIDA (Score &lt; 40.0)"))</f>
        <v/>
      </c>
      <c r="V958" s="26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W958" s="28" t="n">
        <v>0.237</v>
      </c>
      <c r="X958" s="14" t="n">
        <v>44.78</v>
      </c>
      <c r="Y958" s="14">
        <f>ROUND(MIN(100, (X958/69.91)*100), 2)</f>
        <v/>
      </c>
    </row>
    <row r="959">
      <c r="A959" s="10" t="n">
        <v>4</v>
      </c>
      <c r="B959" s="10" t="n">
        <v>955</v>
      </c>
      <c r="C959" s="10" t="n">
        <v>3955</v>
      </c>
      <c r="D959" s="10" t="inlineStr">
        <is>
          <t>PH0003955</t>
        </is>
      </c>
      <c r="E959" s="26" t="inlineStr">
        <is>
          <t>IV-A</t>
        </is>
      </c>
      <c r="F959" s="26" t="inlineStr">
        <is>
          <t>Quezon</t>
        </is>
      </c>
      <c r="G959" s="26" t="inlineStr">
        <is>
          <t>Lucena City</t>
        </is>
      </c>
      <c r="H959" s="26" t="inlineStr">
        <is>
          <t>Barangay 6 (Pob.)</t>
        </is>
      </c>
      <c r="I959" s="27" t="n">
        <v>13.934726</v>
      </c>
      <c r="J959" s="27" t="n">
        <v>121.61567</v>
      </c>
      <c r="K959" s="10" t="inlineStr">
        <is>
          <t>R</t>
        </is>
      </c>
      <c r="L959" s="12" t="n">
        <v>1964</v>
      </c>
      <c r="M959" s="14" t="n">
        <v>3.8</v>
      </c>
      <c r="N959" s="12">
        <f>ROUND(L959/M959, 0)</f>
        <v/>
      </c>
      <c r="O959" s="12">
        <f>ROUND(N959*'Methodology &amp; Assumptions'!$B$5, 0)</f>
        <v/>
      </c>
      <c r="P959" s="10" t="inlineStr">
        <is>
          <t>Single Carrier (Band n50, 100MHz TDD)</t>
        </is>
      </c>
      <c r="Q959" s="13">
        <f>ROUNDUP(O959/'Methodology &amp; Assumptions'!$B$6, 0)</f>
        <v/>
      </c>
      <c r="R959" s="13" t="n">
        <v>1</v>
      </c>
      <c r="S959" s="14" t="n">
        <v>0.48</v>
      </c>
      <c r="T959" s="14" t="n">
        <v>0.1</v>
      </c>
      <c r="U959" s="26">
        <f>IF(X959&gt;='Methodology &amp; Assumptions'!$B$7, "Tier 1 Critical GIDA (Score ≥ 50.0)", IF(X959&gt;='Methodology &amp; Assumptions'!$B$8, "Tier 2 High GIDA (Score 40.0–49.9)", "Tier 3 Moderate GIDA (Score &lt; 40.0)"))</f>
        <v/>
      </c>
      <c r="V959" s="26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W959" s="28" t="n">
        <v>0.07200000000000001</v>
      </c>
      <c r="X959" s="14" t="n">
        <v>44.77</v>
      </c>
      <c r="Y959" s="14">
        <f>ROUND(MIN(100, (X959/69.91)*100), 2)</f>
        <v/>
      </c>
    </row>
    <row r="960">
      <c r="A960" s="10" t="n">
        <v>4</v>
      </c>
      <c r="B960" s="10" t="n">
        <v>956</v>
      </c>
      <c r="C960" s="10" t="n">
        <v>3956</v>
      </c>
      <c r="D960" s="10" t="inlineStr">
        <is>
          <t>0205006018</t>
        </is>
      </c>
      <c r="E960" s="26" t="inlineStr">
        <is>
          <t>Region II (Cagayan Valley)</t>
        </is>
      </c>
      <c r="F960" s="26" t="inlineStr">
        <is>
          <t>Nueva Vizcaya</t>
        </is>
      </c>
      <c r="G960" s="26" t="inlineStr">
        <is>
          <t>Diadi</t>
        </is>
      </c>
      <c r="H960" s="26" t="inlineStr">
        <is>
          <t>Villa Aurora</t>
        </is>
      </c>
      <c r="I960" s="27" t="n">
        <v>16.63075</v>
      </c>
      <c r="J960" s="27" t="n">
        <v>121.40122</v>
      </c>
      <c r="K960" s="10" t="inlineStr">
        <is>
          <t>R</t>
        </is>
      </c>
      <c r="L960" s="12" t="n">
        <v>592</v>
      </c>
      <c r="M960" s="14" t="n">
        <v>3.8</v>
      </c>
      <c r="N960" s="12">
        <f>ROUND(L960/M960, 0)</f>
        <v/>
      </c>
      <c r="O960" s="12">
        <f>ROUND(N960*'Methodology &amp; Assumptions'!$B$5, 0)</f>
        <v/>
      </c>
      <c r="P960" s="10" t="inlineStr">
        <is>
          <t>Single Carrier (Band n50, 100MHz TDD)</t>
        </is>
      </c>
      <c r="Q960" s="13">
        <f>ROUNDUP(O960/'Methodology &amp; Assumptions'!$B$6, 0)</f>
        <v/>
      </c>
      <c r="R960" s="13" t="n">
        <v>1</v>
      </c>
      <c r="S960" s="14" t="n">
        <v>4.73</v>
      </c>
      <c r="T960" s="14" t="n">
        <v>2.16</v>
      </c>
      <c r="U960" s="26">
        <f>IF(X960&gt;='Methodology &amp; Assumptions'!$B$7, "Tier 1 Critical GIDA (Score ≥ 50.0)", IF(X960&gt;='Methodology &amp; Assumptions'!$B$8, "Tier 2 High GIDA (Score 40.0–49.9)", "Tier 3 Moderate GIDA (Score &lt; 40.0)"))</f>
        <v/>
      </c>
      <c r="V960" s="26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W960" s="28" t="n">
        <v>0.083</v>
      </c>
      <c r="X960" s="14" t="n">
        <v>44.77</v>
      </c>
      <c r="Y960" s="14">
        <f>ROUND(MIN(100, (X960/69.91)*100), 2)</f>
        <v/>
      </c>
    </row>
    <row r="961">
      <c r="A961" s="10" t="n">
        <v>4</v>
      </c>
      <c r="B961" s="10" t="n">
        <v>957</v>
      </c>
      <c r="C961" s="10" t="n">
        <v>3957</v>
      </c>
      <c r="D961" s="10" t="inlineStr">
        <is>
          <t>0405637023</t>
        </is>
      </c>
      <c r="E961" s="26" t="inlineStr">
        <is>
          <t>Region IV-A (CALABARZON)</t>
        </is>
      </c>
      <c r="F961" s="26" t="inlineStr">
        <is>
          <t>Quezon</t>
        </is>
      </c>
      <c r="G961" s="26" t="inlineStr">
        <is>
          <t>Quezon</t>
        </is>
      </c>
      <c r="H961" s="26" t="inlineStr">
        <is>
          <t>Villa Gomez</t>
        </is>
      </c>
      <c r="I961" s="27" t="n">
        <v>14.078162</v>
      </c>
      <c r="J961" s="27" t="n">
        <v>122.131984</v>
      </c>
      <c r="K961" s="10" t="inlineStr">
        <is>
          <t>R</t>
        </is>
      </c>
      <c r="L961" s="12" t="n">
        <v>434</v>
      </c>
      <c r="M961" s="14" t="n">
        <v>3.8</v>
      </c>
      <c r="N961" s="12">
        <f>ROUND(L961/M961, 0)</f>
        <v/>
      </c>
      <c r="O961" s="12">
        <f>ROUND(N961*'Methodology &amp; Assumptions'!$B$5, 0)</f>
        <v/>
      </c>
      <c r="P961" s="10" t="inlineStr">
        <is>
          <t>Single Carrier (Band n50, 100MHz TDD)</t>
        </is>
      </c>
      <c r="Q961" s="13">
        <f>ROUNDUP(O961/'Methodology &amp; Assumptions'!$B$6, 0)</f>
        <v/>
      </c>
      <c r="R961" s="13" t="n">
        <v>1</v>
      </c>
      <c r="S961" s="14" t="n">
        <v>9.130000000000001</v>
      </c>
      <c r="T961" s="14" t="n">
        <v>16.66</v>
      </c>
      <c r="U961" s="26">
        <f>IF(X961&gt;='Methodology &amp; Assumptions'!$B$7, "Tier 1 Critical GIDA (Score ≥ 50.0)", IF(X961&gt;='Methodology &amp; Assumptions'!$B$8, "Tier 2 High GIDA (Score 40.0–49.9)", "Tier 3 Moderate GIDA (Score &lt; 40.0)"))</f>
        <v/>
      </c>
      <c r="V961" s="26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W961" s="28" t="n">
        <v>0.07200000000000001</v>
      </c>
      <c r="X961" s="14" t="n">
        <v>44.77</v>
      </c>
      <c r="Y961" s="14">
        <f>ROUND(MIN(100, (X961/69.91)*100), 2)</f>
        <v/>
      </c>
    </row>
    <row r="962">
      <c r="A962" s="10" t="n">
        <v>4</v>
      </c>
      <c r="B962" s="10" t="n">
        <v>958</v>
      </c>
      <c r="C962" s="10" t="n">
        <v>3958</v>
      </c>
      <c r="D962" s="10" t="inlineStr">
        <is>
          <t>PH0003958</t>
        </is>
      </c>
      <c r="E962" s="26" t="inlineStr">
        <is>
          <t>XI</t>
        </is>
      </c>
      <c r="F962" s="26" t="inlineStr">
        <is>
          <t>Davao Del Sur</t>
        </is>
      </c>
      <c r="G962" s="26" t="inlineStr">
        <is>
          <t>Davao City</t>
        </is>
      </c>
      <c r="H962" s="26" t="inlineStr">
        <is>
          <t>Bucana</t>
        </is>
      </c>
      <c r="I962" s="27" t="n">
        <v>7.056964</v>
      </c>
      <c r="J962" s="27" t="n">
        <v>125.610742</v>
      </c>
      <c r="K962" s="10" t="inlineStr">
        <is>
          <t>R</t>
        </is>
      </c>
      <c r="L962" s="12" t="n">
        <v>2280</v>
      </c>
      <c r="M962" s="14" t="n">
        <v>3.4</v>
      </c>
      <c r="N962" s="12">
        <f>ROUND(L962/M962, 0)</f>
        <v/>
      </c>
      <c r="O962" s="12">
        <f>ROUND(N962*'Methodology &amp; Assumptions'!$B$5, 0)</f>
        <v/>
      </c>
      <c r="P962" s="10" t="inlineStr">
        <is>
          <t>Single Carrier (Band n50, 100MHz TDD)</t>
        </is>
      </c>
      <c r="Q962" s="13">
        <f>ROUNDUP(O962/'Methodology &amp; Assumptions'!$B$6, 0)</f>
        <v/>
      </c>
      <c r="R962" s="13" t="n">
        <v>1</v>
      </c>
      <c r="S962" s="14" t="n">
        <v>1.26</v>
      </c>
      <c r="T962" s="14" t="n">
        <v>0.51</v>
      </c>
      <c r="U962" s="26">
        <f>IF(X962&gt;='Methodology &amp; Assumptions'!$B$7, "Tier 1 Critical GIDA (Score ≥ 50.0)", IF(X962&gt;='Methodology &amp; Assumptions'!$B$8, "Tier 2 High GIDA (Score 40.0–49.9)", "Tier 3 Moderate GIDA (Score &lt; 40.0)"))</f>
        <v/>
      </c>
      <c r="V962" s="26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W962" s="28" t="n">
        <v>0.119</v>
      </c>
      <c r="X962" s="14" t="n">
        <v>44.77</v>
      </c>
      <c r="Y962" s="14">
        <f>ROUND(MIN(100, (X962/69.91)*100), 2)</f>
        <v/>
      </c>
    </row>
    <row r="963">
      <c r="A963" s="10" t="n">
        <v>4</v>
      </c>
      <c r="B963" s="10" t="n">
        <v>959</v>
      </c>
      <c r="C963" s="10" t="n">
        <v>3959</v>
      </c>
      <c r="D963" s="10" t="inlineStr">
        <is>
          <t>PH0003959</t>
        </is>
      </c>
      <c r="E963" s="26" t="inlineStr">
        <is>
          <t>VI</t>
        </is>
      </c>
      <c r="F963" s="26" t="inlineStr">
        <is>
          <t>Iloilo</t>
        </is>
      </c>
      <c r="G963" s="26" t="inlineStr">
        <is>
          <t>Iloilo City</t>
        </is>
      </c>
      <c r="H963" s="26" t="inlineStr">
        <is>
          <t>San Juan</t>
        </is>
      </c>
      <c r="I963" s="27" t="n">
        <v>10.6849</v>
      </c>
      <c r="J963" s="27" t="n">
        <v>122.545302</v>
      </c>
      <c r="K963" s="10" t="inlineStr">
        <is>
          <t>R</t>
        </is>
      </c>
      <c r="L963" s="12" t="n">
        <v>2230</v>
      </c>
      <c r="M963" s="14" t="n">
        <v>3.8</v>
      </c>
      <c r="N963" s="12">
        <f>ROUND(L963/M963, 0)</f>
        <v/>
      </c>
      <c r="O963" s="12">
        <f>ROUND(N963*'Methodology &amp; Assumptions'!$B$5, 0)</f>
        <v/>
      </c>
      <c r="P963" s="10" t="inlineStr">
        <is>
          <t>Single Carrier (Band n50, 100MHz TDD)</t>
        </is>
      </c>
      <c r="Q963" s="13">
        <f>ROUNDUP(O963/'Methodology &amp; Assumptions'!$B$6, 0)</f>
        <v/>
      </c>
      <c r="R963" s="13" t="n">
        <v>1</v>
      </c>
      <c r="S963" s="14" t="n">
        <v>0.7</v>
      </c>
      <c r="T963" s="14" t="n">
        <v>3.16</v>
      </c>
      <c r="U963" s="26">
        <f>IF(X963&gt;='Methodology &amp; Assumptions'!$B$7, "Tier 1 Critical GIDA (Score ≥ 50.0)", IF(X963&gt;='Methodology &amp; Assumptions'!$B$8, "Tier 2 High GIDA (Score 40.0–49.9)", "Tier 3 Moderate GIDA (Score &lt; 40.0)"))</f>
        <v/>
      </c>
      <c r="V963" s="26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W963" s="28" t="n">
        <v>0.156</v>
      </c>
      <c r="X963" s="14" t="n">
        <v>44.77</v>
      </c>
      <c r="Y963" s="14">
        <f>ROUND(MIN(100, (X963/69.91)*100), 2)</f>
        <v/>
      </c>
    </row>
    <row r="964">
      <c r="A964" s="10" t="n">
        <v>4</v>
      </c>
      <c r="B964" s="10" t="n">
        <v>960</v>
      </c>
      <c r="C964" s="10" t="n">
        <v>3960</v>
      </c>
      <c r="D964" s="10" t="inlineStr">
        <is>
          <t>0806020028</t>
        </is>
      </c>
      <c r="E964" s="26" t="inlineStr">
        <is>
          <t>Region VIII (Eastern Visayas)</t>
        </is>
      </c>
      <c r="F964" s="26" t="inlineStr">
        <is>
          <t>Samar</t>
        </is>
      </c>
      <c r="G964" s="26" t="inlineStr">
        <is>
          <t>Tarangnan</t>
        </is>
      </c>
      <c r="H964" s="26" t="inlineStr">
        <is>
          <t>Libucan Gote</t>
        </is>
      </c>
      <c r="I964" s="27" t="n">
        <v>11.912427</v>
      </c>
      <c r="J964" s="27" t="n">
        <v>124.629897</v>
      </c>
      <c r="K964" s="10" t="inlineStr">
        <is>
          <t>R</t>
        </is>
      </c>
      <c r="L964" s="12" t="n">
        <v>407</v>
      </c>
      <c r="M964" s="14" t="n">
        <v>4.1</v>
      </c>
      <c r="N964" s="12">
        <f>ROUND(L964/M964, 0)</f>
        <v/>
      </c>
      <c r="O964" s="12">
        <f>ROUND(N964*'Methodology &amp; Assumptions'!$B$5, 0)</f>
        <v/>
      </c>
      <c r="P964" s="10" t="inlineStr">
        <is>
          <t>Single Carrier (Band n50, 100MHz TDD)</t>
        </is>
      </c>
      <c r="Q964" s="13">
        <f>ROUNDUP(O964/'Methodology &amp; Assumptions'!$B$6, 0)</f>
        <v/>
      </c>
      <c r="R964" s="13" t="n">
        <v>1</v>
      </c>
      <c r="S964" s="14" t="n">
        <v>68.43000000000001</v>
      </c>
      <c r="T964" s="14" t="n">
        <v>67.31999999999999</v>
      </c>
      <c r="U964" s="26">
        <f>IF(X964&gt;='Methodology &amp; Assumptions'!$B$7, "Tier 1 Critical GIDA (Score ≥ 50.0)", IF(X964&gt;='Methodology &amp; Assumptions'!$B$8, "Tier 2 High GIDA (Score 40.0–49.9)", "Tier 3 Moderate GIDA (Score &lt; 40.0)"))</f>
        <v/>
      </c>
      <c r="V964" s="26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W964" s="28" t="n">
        <v>0.237</v>
      </c>
      <c r="X964" s="14" t="n">
        <v>44.75</v>
      </c>
      <c r="Y964" s="14">
        <f>ROUND(MIN(100, (X964/69.91)*100), 2)</f>
        <v/>
      </c>
    </row>
    <row r="965">
      <c r="A965" s="10" t="n">
        <v>4</v>
      </c>
      <c r="B965" s="10" t="n">
        <v>961</v>
      </c>
      <c r="C965" s="10" t="n">
        <v>3961</v>
      </c>
      <c r="D965" s="10" t="inlineStr">
        <is>
          <t>1381300131</t>
        </is>
      </c>
      <c r="E965" s="26" t="inlineStr">
        <is>
          <t>National Capital Region (NCR)</t>
        </is>
      </c>
      <c r="F965" s="26" t="inlineStr">
        <is>
          <t>Second District (Not a Province)</t>
        </is>
      </c>
      <c r="G965" s="26" t="inlineStr">
        <is>
          <t>Quezon City</t>
        </is>
      </c>
      <c r="H965" s="26" t="inlineStr">
        <is>
          <t>Villa Maria Clara</t>
        </is>
      </c>
      <c r="I965" s="27" t="n">
        <v>14.681636</v>
      </c>
      <c r="J965" s="27" t="n">
        <v>121.077896</v>
      </c>
      <c r="K965" s="10" t="inlineStr">
        <is>
          <t>U</t>
        </is>
      </c>
      <c r="L965" s="12" t="n">
        <v>2544</v>
      </c>
      <c r="M965" s="14" t="n">
        <v>3.8</v>
      </c>
      <c r="N965" s="12">
        <f>ROUND(L965/M965, 0)</f>
        <v/>
      </c>
      <c r="O965" s="12">
        <f>ROUND(N965*'Methodology &amp; Assumptions'!$B$5, 0)</f>
        <v/>
      </c>
      <c r="P965" s="10" t="inlineStr">
        <is>
          <t>Single Carrier (Band n50, 100MHz TDD)</t>
        </is>
      </c>
      <c r="Q965" s="13">
        <f>ROUNDUP(O965/'Methodology &amp; Assumptions'!$B$6, 0)</f>
        <v/>
      </c>
      <c r="R965" s="13" t="n">
        <v>1</v>
      </c>
      <c r="S965" s="14" t="n">
        <v>0.91</v>
      </c>
      <c r="T965" s="14" t="n">
        <v>0.64</v>
      </c>
      <c r="U965" s="26">
        <f>IF(X965&gt;='Methodology &amp; Assumptions'!$B$7, "Tier 1 Critical GIDA (Score ≥ 50.0)", IF(X965&gt;='Methodology &amp; Assumptions'!$B$8, "Tier 2 High GIDA (Score 40.0–49.9)", "Tier 3 Moderate GIDA (Score &lt; 40.0)"))</f>
        <v/>
      </c>
      <c r="V965" s="26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W965" s="28" t="n">
        <v>0.109</v>
      </c>
      <c r="X965" s="14" t="n">
        <v>44.75</v>
      </c>
      <c r="Y965" s="14">
        <f>ROUND(MIN(100, (X965/69.91)*100), 2)</f>
        <v/>
      </c>
    </row>
    <row r="966">
      <c r="A966" s="10" t="n">
        <v>4</v>
      </c>
      <c r="B966" s="10" t="n">
        <v>962</v>
      </c>
      <c r="C966" s="10" t="n">
        <v>3962</v>
      </c>
      <c r="D966" s="10" t="inlineStr">
        <is>
          <t>1907011012</t>
        </is>
      </c>
      <c r="E966" s="26" t="inlineStr">
        <is>
          <t>Bangsamoro Autonomous Region In Muslim Mindanao (BARMM)</t>
        </is>
      </c>
      <c r="F966" s="26" t="inlineStr">
        <is>
          <t>Tawi-Tawi</t>
        </is>
      </c>
      <c r="G966" s="26" t="inlineStr">
        <is>
          <t>Sibutu</t>
        </is>
      </c>
      <c r="H966" s="26" t="inlineStr">
        <is>
          <t>Tandu Banak</t>
        </is>
      </c>
      <c r="I966" s="27" t="n">
        <v>4.718211</v>
      </c>
      <c r="J966" s="27" t="n">
        <v>119.496092</v>
      </c>
      <c r="K966" s="10" t="inlineStr">
        <is>
          <t>R</t>
        </is>
      </c>
      <c r="L966" s="12" t="n">
        <v>3003</v>
      </c>
      <c r="M966" s="14" t="n">
        <v>5.8</v>
      </c>
      <c r="N966" s="12">
        <f>ROUND(L966/M966, 0)</f>
        <v/>
      </c>
      <c r="O966" s="12">
        <f>ROUND(N966*'Methodology &amp; Assumptions'!$B$5, 0)</f>
        <v/>
      </c>
      <c r="P966" s="10" t="inlineStr">
        <is>
          <t>Single Carrier (Band n50, 100MHz TDD)</t>
        </is>
      </c>
      <c r="Q966" s="13">
        <f>ROUNDUP(O966/'Methodology &amp; Assumptions'!$B$6, 0)</f>
        <v/>
      </c>
      <c r="R966" s="13" t="n">
        <v>1</v>
      </c>
      <c r="S966" s="14" t="n">
        <v>999</v>
      </c>
      <c r="T966" s="14" t="n">
        <v>999</v>
      </c>
      <c r="U966" s="26">
        <f>IF(X966&gt;='Methodology &amp; Assumptions'!$B$7, "Tier 1 Critical GIDA (Score ≥ 50.0)", IF(X966&gt;='Methodology &amp; Assumptions'!$B$8, "Tier 2 High GIDA (Score 40.0–49.9)", "Tier 3 Moderate GIDA (Score &lt; 40.0)"))</f>
        <v/>
      </c>
      <c r="V966" s="26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W966" s="28" t="n">
        <v>0.11</v>
      </c>
      <c r="X966" s="14" t="n">
        <v>44.74</v>
      </c>
      <c r="Y966" s="14">
        <f>ROUND(MIN(100, (X966/69.91)*100), 2)</f>
        <v/>
      </c>
    </row>
    <row r="967">
      <c r="A967" s="10" t="n">
        <v>4</v>
      </c>
      <c r="B967" s="10" t="n">
        <v>963</v>
      </c>
      <c r="C967" s="10" t="n">
        <v>3963</v>
      </c>
      <c r="D967" s="10" t="inlineStr">
        <is>
          <t>1004211013</t>
        </is>
      </c>
      <c r="E967" s="26" t="inlineStr">
        <is>
          <t>Region X (Northern Mindanao)</t>
        </is>
      </c>
      <c r="F967" s="26" t="inlineStr">
        <is>
          <t>Misamis Occidental</t>
        </is>
      </c>
      <c r="G967" s="26" t="inlineStr">
        <is>
          <t>Panaon</t>
        </is>
      </c>
      <c r="H967" s="26" t="inlineStr">
        <is>
          <t>San Juan</t>
        </is>
      </c>
      <c r="I967" s="27" t="n">
        <v>8.363503</v>
      </c>
      <c r="J967" s="27" t="n">
        <v>123.816683</v>
      </c>
      <c r="K967" s="10" t="inlineStr">
        <is>
          <t>R</t>
        </is>
      </c>
      <c r="L967" s="12" t="n">
        <v>760</v>
      </c>
      <c r="M967" s="14" t="n">
        <v>3.9</v>
      </c>
      <c r="N967" s="12">
        <f>ROUND(L967/M967, 0)</f>
        <v/>
      </c>
      <c r="O967" s="12">
        <f>ROUND(N967*'Methodology &amp; Assumptions'!$B$5, 0)</f>
        <v/>
      </c>
      <c r="P967" s="10" t="inlineStr">
        <is>
          <t>Single Carrier (Band n50, 100MHz TDD)</t>
        </is>
      </c>
      <c r="Q967" s="13">
        <f>ROUNDUP(O967/'Methodology &amp; Assumptions'!$B$6, 0)</f>
        <v/>
      </c>
      <c r="R967" s="13" t="n">
        <v>1</v>
      </c>
      <c r="S967" s="14" t="n">
        <v>35.7</v>
      </c>
      <c r="T967" s="14" t="n">
        <v>27.53</v>
      </c>
      <c r="U967" s="26">
        <f>IF(X967&gt;='Methodology &amp; Assumptions'!$B$7, "Tier 1 Critical GIDA (Score ≥ 50.0)", IF(X967&gt;='Methodology &amp; Assumptions'!$B$8, "Tier 2 High GIDA (Score 40.0–49.9)", "Tier 3 Moderate GIDA (Score &lt; 40.0)"))</f>
        <v/>
      </c>
      <c r="V967" s="26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W967" s="28" t="n">
        <v>0.174</v>
      </c>
      <c r="X967" s="14" t="n">
        <v>44.74</v>
      </c>
      <c r="Y967" s="14">
        <f>ROUND(MIN(100, (X967/69.91)*100), 2)</f>
        <v/>
      </c>
    </row>
    <row r="968">
      <c r="A968" s="10" t="n">
        <v>4</v>
      </c>
      <c r="B968" s="10" t="n">
        <v>964</v>
      </c>
      <c r="C968" s="10" t="n">
        <v>3964</v>
      </c>
      <c r="D968" s="10" t="inlineStr">
        <is>
          <t>0405811003</t>
        </is>
      </c>
      <c r="E968" s="26" t="inlineStr">
        <is>
          <t>Region IV-A (CALABARZON)</t>
        </is>
      </c>
      <c r="F968" s="26" t="inlineStr">
        <is>
          <t>Rizal</t>
        </is>
      </c>
      <c r="G968" s="26" t="inlineStr">
        <is>
          <t>San Mateo</t>
        </is>
      </c>
      <c r="H968" s="26" t="inlineStr">
        <is>
          <t>Dulong Bayan 2</t>
        </is>
      </c>
      <c r="I968" s="27" t="n">
        <v>14.685021</v>
      </c>
      <c r="J968" s="27" t="n">
        <v>121.127059</v>
      </c>
      <c r="K968" s="10" t="inlineStr">
        <is>
          <t>U</t>
        </is>
      </c>
      <c r="L968" s="12" t="n">
        <v>12514</v>
      </c>
      <c r="M968" s="14" t="n">
        <v>3.6</v>
      </c>
      <c r="N968" s="12">
        <f>ROUND(L968/M968, 0)</f>
        <v/>
      </c>
      <c r="O968" s="12">
        <f>ROUND(N968*'Methodology &amp; Assumptions'!$B$5, 0)</f>
        <v/>
      </c>
      <c r="P968" s="10" t="inlineStr">
        <is>
          <t>Single Carrier (Band n50, 100MHz TDD)</t>
        </is>
      </c>
      <c r="Q968" s="13">
        <f>ROUNDUP(O968/'Methodology &amp; Assumptions'!$B$6, 0)</f>
        <v/>
      </c>
      <c r="R968" s="13" t="n">
        <v>1</v>
      </c>
      <c r="S968" s="14" t="n">
        <v>1.19</v>
      </c>
      <c r="T968" s="14" t="n">
        <v>0.75</v>
      </c>
      <c r="U968" s="26">
        <f>IF(X968&gt;='Methodology &amp; Assumptions'!$B$7, "Tier 1 Critical GIDA (Score ≥ 50.0)", IF(X968&gt;='Methodology &amp; Assumptions'!$B$8, "Tier 2 High GIDA (Score 40.0–49.9)", "Tier 3 Moderate GIDA (Score &lt; 40.0)"))</f>
        <v/>
      </c>
      <c r="V968" s="26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W968" s="28" t="n">
        <v>0.07200000000000001</v>
      </c>
      <c r="X968" s="14" t="n">
        <v>44.73</v>
      </c>
      <c r="Y968" s="14">
        <f>ROUND(MIN(100, (X968/69.91)*100), 2)</f>
        <v/>
      </c>
    </row>
    <row r="969">
      <c r="A969" s="10" t="n">
        <v>4</v>
      </c>
      <c r="B969" s="10" t="n">
        <v>965</v>
      </c>
      <c r="C969" s="10" t="n">
        <v>3965</v>
      </c>
      <c r="D969" s="10" t="inlineStr">
        <is>
          <t>PH0003965</t>
        </is>
      </c>
      <c r="E969" s="26" t="inlineStr">
        <is>
          <t>NIR</t>
        </is>
      </c>
      <c r="F969" s="26" t="inlineStr">
        <is>
          <t>Negros Occidental</t>
        </is>
      </c>
      <c r="G969" s="26" t="inlineStr">
        <is>
          <t>Bacolod City</t>
        </is>
      </c>
      <c r="H969" s="26" t="inlineStr">
        <is>
          <t>Barangay 6 (Pob.)</t>
        </is>
      </c>
      <c r="I969" s="27" t="n">
        <v>10.687762</v>
      </c>
      <c r="J969" s="27" t="n">
        <v>122.955698</v>
      </c>
      <c r="K969" s="10" t="inlineStr">
        <is>
          <t>R</t>
        </is>
      </c>
      <c r="L969" s="12" t="n">
        <v>2279</v>
      </c>
      <c r="M969" s="14" t="n">
        <v>3.8</v>
      </c>
      <c r="N969" s="12">
        <f>ROUND(L969/M969, 0)</f>
        <v/>
      </c>
      <c r="O969" s="12">
        <f>ROUND(N969*'Methodology &amp; Assumptions'!$B$5, 0)</f>
        <v/>
      </c>
      <c r="P969" s="10" t="inlineStr">
        <is>
          <t>Single Carrier (Band n50, 100MHz TDD)</t>
        </is>
      </c>
      <c r="Q969" s="13">
        <f>ROUNDUP(O969/'Methodology &amp; Assumptions'!$B$6, 0)</f>
        <v/>
      </c>
      <c r="R969" s="13" t="n">
        <v>1</v>
      </c>
      <c r="S969" s="14" t="n">
        <v>2.35</v>
      </c>
      <c r="T969" s="14" t="n">
        <v>0.22</v>
      </c>
      <c r="U969" s="26">
        <f>IF(X969&gt;='Methodology &amp; Assumptions'!$B$7, "Tier 1 Critical GIDA (Score ≥ 50.0)", IF(X969&gt;='Methodology &amp; Assumptions'!$B$8, "Tier 2 High GIDA (Score 40.0–49.9)", "Tier 3 Moderate GIDA (Score &lt; 40.0)"))</f>
        <v/>
      </c>
      <c r="V969" s="26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W969" s="28" t="n">
        <v>0.109</v>
      </c>
      <c r="X969" s="14" t="n">
        <v>44.73</v>
      </c>
      <c r="Y969" s="14">
        <f>ROUND(MIN(100, (X969/69.91)*100), 2)</f>
        <v/>
      </c>
    </row>
    <row r="970">
      <c r="A970" s="10" t="n">
        <v>4</v>
      </c>
      <c r="B970" s="10" t="n">
        <v>966</v>
      </c>
      <c r="C970" s="10" t="n">
        <v>3966</v>
      </c>
      <c r="D970" s="10" t="inlineStr">
        <is>
          <t>PH0003966</t>
        </is>
      </c>
      <c r="E970" s="26" t="inlineStr">
        <is>
          <t>IV-A</t>
        </is>
      </c>
      <c r="F970" s="26" t="inlineStr">
        <is>
          <t>Cavite</t>
        </is>
      </c>
      <c r="G970" s="26" t="inlineStr">
        <is>
          <t>Cavite City</t>
        </is>
      </c>
      <c r="H970" s="26" t="inlineStr">
        <is>
          <t>Barangay 16</t>
        </is>
      </c>
      <c r="I970" s="27" t="n">
        <v>14.473435</v>
      </c>
      <c r="J970" s="27" t="n">
        <v>120.884901</v>
      </c>
      <c r="K970" s="10" t="inlineStr">
        <is>
          <t>R</t>
        </is>
      </c>
      <c r="L970" s="12" t="n">
        <v>2316</v>
      </c>
      <c r="M970" s="14" t="n">
        <v>3.4</v>
      </c>
      <c r="N970" s="12">
        <f>ROUND(L970/M970, 0)</f>
        <v/>
      </c>
      <c r="O970" s="12">
        <f>ROUND(N970*'Methodology &amp; Assumptions'!$B$5, 0)</f>
        <v/>
      </c>
      <c r="P970" s="10" t="inlineStr">
        <is>
          <t>Single Carrier (Band n50, 100MHz TDD)</t>
        </is>
      </c>
      <c r="Q970" s="13">
        <f>ROUNDUP(O970/'Methodology &amp; Assumptions'!$B$6, 0)</f>
        <v/>
      </c>
      <c r="R970" s="13" t="n">
        <v>1</v>
      </c>
      <c r="S970" s="14" t="n">
        <v>0.33</v>
      </c>
      <c r="T970" s="14" t="n">
        <v>4.4</v>
      </c>
      <c r="U970" s="26">
        <f>IF(X970&gt;='Methodology &amp; Assumptions'!$B$7, "Tier 1 Critical GIDA (Score ≥ 50.0)", IF(X970&gt;='Methodology &amp; Assumptions'!$B$8, "Tier 2 High GIDA (Score 40.0–49.9)", "Tier 3 Moderate GIDA (Score &lt; 40.0)"))</f>
        <v/>
      </c>
      <c r="V970" s="26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W970" s="28" t="n">
        <v>0.07200000000000001</v>
      </c>
      <c r="X970" s="14" t="n">
        <v>44.73</v>
      </c>
      <c r="Y970" s="14">
        <f>ROUND(MIN(100, (X970/69.91)*100), 2)</f>
        <v/>
      </c>
    </row>
    <row r="971">
      <c r="A971" s="10" t="n">
        <v>4</v>
      </c>
      <c r="B971" s="10" t="n">
        <v>967</v>
      </c>
      <c r="C971" s="10" t="n">
        <v>3967</v>
      </c>
      <c r="D971" s="10" t="inlineStr">
        <is>
          <t>0403404015</t>
        </is>
      </c>
      <c r="E971" s="26" t="inlineStr">
        <is>
          <t>Region IV-A (CALABARZON)</t>
        </is>
      </c>
      <c r="F971" s="26" t="inlineStr">
        <is>
          <t>Laguna</t>
        </is>
      </c>
      <c r="G971" s="26" t="inlineStr">
        <is>
          <t>City of Cabuyao</t>
        </is>
      </c>
      <c r="H971" s="26" t="inlineStr">
        <is>
          <t>San Isidro</t>
        </is>
      </c>
      <c r="I971" s="27" t="n">
        <v>14.255502</v>
      </c>
      <c r="J971" s="27" t="n">
        <v>121.256155</v>
      </c>
      <c r="K971" s="10" t="inlineStr">
        <is>
          <t>U</t>
        </is>
      </c>
      <c r="L971" s="12" t="n">
        <v>25567</v>
      </c>
      <c r="M971" s="14" t="n">
        <v>3.3</v>
      </c>
      <c r="N971" s="12">
        <f>ROUND(L971/M971, 0)</f>
        <v/>
      </c>
      <c r="O971" s="12">
        <f>ROUND(N971*'Methodology &amp; Assumptions'!$B$5, 0)</f>
        <v/>
      </c>
      <c r="P971" s="10" t="inlineStr">
        <is>
          <t>Single Carrier (Band n50, 100MHz TDD)</t>
        </is>
      </c>
      <c r="Q971" s="13">
        <f>ROUNDUP(O971/'Methodology &amp; Assumptions'!$B$6, 0)</f>
        <v/>
      </c>
      <c r="R971" s="13" t="n">
        <v>1</v>
      </c>
      <c r="S971" s="14" t="n">
        <v>8.619999999999999</v>
      </c>
      <c r="T971" s="14" t="n">
        <v>8.6</v>
      </c>
      <c r="U971" s="26">
        <f>IF(X971&gt;='Methodology &amp; Assumptions'!$B$7, "Tier 1 Critical GIDA (Score ≥ 50.0)", IF(X971&gt;='Methodology &amp; Assumptions'!$B$8, "Tier 2 High GIDA (Score 40.0–49.9)", "Tier 3 Moderate GIDA (Score &lt; 40.0)"))</f>
        <v/>
      </c>
      <c r="V971" s="26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W971" s="28" t="n">
        <v>0.07200000000000001</v>
      </c>
      <c r="X971" s="14" t="n">
        <v>44.73</v>
      </c>
      <c r="Y971" s="14">
        <f>ROUND(MIN(100, (X971/69.91)*100), 2)</f>
        <v/>
      </c>
    </row>
    <row r="972">
      <c r="A972" s="10" t="n">
        <v>4</v>
      </c>
      <c r="B972" s="10" t="n">
        <v>968</v>
      </c>
      <c r="C972" s="10" t="n">
        <v>3968</v>
      </c>
      <c r="D972" s="10" t="inlineStr">
        <is>
          <t>1404401006</t>
        </is>
      </c>
      <c r="E972" s="26" t="inlineStr">
        <is>
          <t>Cordillera Administrative Region (CAR)</t>
        </is>
      </c>
      <c r="F972" s="26" t="inlineStr">
        <is>
          <t>Mountain Province</t>
        </is>
      </c>
      <c r="G972" s="26" t="inlineStr">
        <is>
          <t>Barlig</t>
        </is>
      </c>
      <c r="H972" s="26" t="inlineStr">
        <is>
          <t>Lias Kanluran</t>
        </is>
      </c>
      <c r="I972" s="27" t="n">
        <v>17.083903</v>
      </c>
      <c r="J972" s="27" t="n">
        <v>121.143329</v>
      </c>
      <c r="K972" s="10" t="inlineStr">
        <is>
          <t>R</t>
        </is>
      </c>
      <c r="L972" s="12" t="n">
        <v>306</v>
      </c>
      <c r="M972" s="14" t="n">
        <v>3.7</v>
      </c>
      <c r="N972" s="12">
        <f>ROUND(L972/M972, 0)</f>
        <v/>
      </c>
      <c r="O972" s="12">
        <f>ROUND(N972*'Methodology &amp; Assumptions'!$B$5, 0)</f>
        <v/>
      </c>
      <c r="P972" s="10" t="inlineStr">
        <is>
          <t>Single Carrier (Band n50, 100MHz TDD)</t>
        </is>
      </c>
      <c r="Q972" s="13">
        <f>ROUNDUP(O972/'Methodology &amp; Assumptions'!$B$6, 0)</f>
        <v/>
      </c>
      <c r="R972" s="13" t="n">
        <v>1</v>
      </c>
      <c r="S972" s="14" t="n">
        <v>13.99</v>
      </c>
      <c r="T972" s="14" t="n">
        <v>10.8</v>
      </c>
      <c r="U972" s="26">
        <f>IF(X972&gt;='Methodology &amp; Assumptions'!$B$7, "Tier 1 Critical GIDA (Score ≥ 50.0)", IF(X972&gt;='Methodology &amp; Assumptions'!$B$8, "Tier 2 High GIDA (Score 40.0–49.9)", "Tier 3 Moderate GIDA (Score &lt; 40.0)"))</f>
        <v/>
      </c>
      <c r="V972" s="26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W972" s="28" t="n">
        <v>0.109</v>
      </c>
      <c r="X972" s="14" t="n">
        <v>44.72</v>
      </c>
      <c r="Y972" s="14">
        <f>ROUND(MIN(100, (X972/69.91)*100), 2)</f>
        <v/>
      </c>
    </row>
    <row r="973">
      <c r="A973" s="10" t="n">
        <v>4</v>
      </c>
      <c r="B973" s="10" t="n">
        <v>969</v>
      </c>
      <c r="C973" s="10" t="n">
        <v>3969</v>
      </c>
      <c r="D973" s="10" t="inlineStr">
        <is>
          <t>PH0003969</t>
        </is>
      </c>
      <c r="E973" s="26" t="inlineStr">
        <is>
          <t>III</t>
        </is>
      </c>
      <c r="F973" s="26" t="inlineStr">
        <is>
          <t>Pampanga</t>
        </is>
      </c>
      <c r="G973" s="26" t="inlineStr">
        <is>
          <t>Angeles City</t>
        </is>
      </c>
      <c r="H973" s="26" t="inlineStr">
        <is>
          <t>Lourdes North West</t>
        </is>
      </c>
      <c r="I973" s="27" t="n">
        <v>15.145377</v>
      </c>
      <c r="J973" s="27" t="n">
        <v>120.584709</v>
      </c>
      <c r="K973" s="10" t="inlineStr">
        <is>
          <t>R</t>
        </is>
      </c>
      <c r="L973" s="12" t="n">
        <v>2334</v>
      </c>
      <c r="M973" s="14" t="n">
        <v>4</v>
      </c>
      <c r="N973" s="12">
        <f>ROUND(L973/M973, 0)</f>
        <v/>
      </c>
      <c r="O973" s="12">
        <f>ROUND(N973*'Methodology &amp; Assumptions'!$B$5, 0)</f>
        <v/>
      </c>
      <c r="P973" s="10" t="inlineStr">
        <is>
          <t>Single Carrier (Band n50, 100MHz TDD)</t>
        </is>
      </c>
      <c r="Q973" s="13">
        <f>ROUNDUP(O973/'Methodology &amp; Assumptions'!$B$6, 0)</f>
        <v/>
      </c>
      <c r="R973" s="13" t="n">
        <v>1</v>
      </c>
      <c r="S973" s="14" t="n">
        <v>1.04</v>
      </c>
      <c r="T973" s="14" t="n">
        <v>0.07000000000000001</v>
      </c>
      <c r="U973" s="26">
        <f>IF(X973&gt;='Methodology &amp; Assumptions'!$B$7, "Tier 1 Critical GIDA (Score ≥ 50.0)", IF(X973&gt;='Methodology &amp; Assumptions'!$B$8, "Tier 2 High GIDA (Score 40.0–49.9)", "Tier 3 Moderate GIDA (Score &lt; 40.0)"))</f>
        <v/>
      </c>
      <c r="V973" s="26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W973" s="28" t="n">
        <v>0.083</v>
      </c>
      <c r="X973" s="14" t="n">
        <v>44.72</v>
      </c>
      <c r="Y973" s="14">
        <f>ROUND(MIN(100, (X973/69.91)*100), 2)</f>
        <v/>
      </c>
    </row>
    <row r="974">
      <c r="A974" s="10" t="n">
        <v>4</v>
      </c>
      <c r="B974" s="10" t="n">
        <v>970</v>
      </c>
      <c r="C974" s="10" t="n">
        <v>3970</v>
      </c>
      <c r="D974" s="10" t="inlineStr">
        <is>
          <t>1381300006</t>
        </is>
      </c>
      <c r="E974" s="26" t="inlineStr">
        <is>
          <t>National Capital Region (NCR)</t>
        </is>
      </c>
      <c r="F974" s="26" t="inlineStr">
        <is>
          <t>Second District (Not a Province)</t>
        </is>
      </c>
      <c r="G974" s="26" t="inlineStr">
        <is>
          <t>Quezon City</t>
        </is>
      </c>
      <c r="H974" s="26" t="inlineStr">
        <is>
          <t>Bagbag</t>
        </is>
      </c>
      <c r="I974" s="27" t="n">
        <v>14.690919</v>
      </c>
      <c r="J974" s="27" t="n">
        <v>121.031742</v>
      </c>
      <c r="K974" s="10" t="inlineStr">
        <is>
          <t>U</t>
        </is>
      </c>
      <c r="L974" s="12" t="n">
        <v>67366</v>
      </c>
      <c r="M974" s="14" t="n">
        <v>3.8</v>
      </c>
      <c r="N974" s="12">
        <f>ROUND(L974/M974, 0)</f>
        <v/>
      </c>
      <c r="O974" s="12">
        <f>ROUND(N974*'Methodology &amp; Assumptions'!$B$5, 0)</f>
        <v/>
      </c>
      <c r="P974" s="10" t="inlineStr">
        <is>
          <t>Single Carrier (Band n50, 100MHz TDD)</t>
        </is>
      </c>
      <c r="Q974" s="13">
        <f>ROUNDUP(O974/'Methodology &amp; Assumptions'!$B$6, 0)</f>
        <v/>
      </c>
      <c r="R974" s="13" t="n">
        <v>1</v>
      </c>
      <c r="S974" s="14" t="n">
        <v>0.4</v>
      </c>
      <c r="T974" s="14" t="n">
        <v>0.31</v>
      </c>
      <c r="U974" s="26">
        <f>IF(X974&gt;='Methodology &amp; Assumptions'!$B$7, "Tier 1 Critical GIDA (Score ≥ 50.0)", IF(X974&gt;='Methodology &amp; Assumptions'!$B$8, "Tier 2 High GIDA (Score 40.0–49.9)", "Tier 3 Moderate GIDA (Score &lt; 40.0)"))</f>
        <v/>
      </c>
      <c r="V974" s="26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W974" s="28" t="n">
        <v>0.109</v>
      </c>
      <c r="X974" s="14" t="n">
        <v>44.72</v>
      </c>
      <c r="Y974" s="14">
        <f>ROUND(MIN(100, (X974/69.91)*100), 2)</f>
        <v/>
      </c>
    </row>
    <row r="975">
      <c r="A975" s="10" t="n">
        <v>4</v>
      </c>
      <c r="B975" s="10" t="n">
        <v>971</v>
      </c>
      <c r="C975" s="10" t="n">
        <v>3971</v>
      </c>
      <c r="D975" s="10" t="inlineStr">
        <is>
          <t>0600616003</t>
        </is>
      </c>
      <c r="E975" s="26" t="inlineStr">
        <is>
          <t>Region VI (Western Visayas)</t>
        </is>
      </c>
      <c r="F975" s="26" t="inlineStr">
        <is>
          <t>Antique</t>
        </is>
      </c>
      <c r="G975" s="26" t="inlineStr">
        <is>
          <t>Sibalom</t>
        </is>
      </c>
      <c r="H975" s="26" t="inlineStr">
        <is>
          <t>Valentin Grasparil</t>
        </is>
      </c>
      <c r="I975" s="27" t="n">
        <v>10.711332</v>
      </c>
      <c r="J975" s="27" t="n">
        <v>122.105324</v>
      </c>
      <c r="K975" s="10" t="inlineStr">
        <is>
          <t>R</t>
        </is>
      </c>
      <c r="L975" s="12" t="n">
        <v>539</v>
      </c>
      <c r="M975" s="14" t="n">
        <v>3.9</v>
      </c>
      <c r="N975" s="12">
        <f>ROUND(L975/M975, 0)</f>
        <v/>
      </c>
      <c r="O975" s="12">
        <f>ROUND(N975*'Methodology &amp; Assumptions'!$B$5, 0)</f>
        <v/>
      </c>
      <c r="P975" s="10" t="inlineStr">
        <is>
          <t>Single Carrier (Band n50, 100MHz TDD)</t>
        </is>
      </c>
      <c r="Q975" s="13">
        <f>ROUNDUP(O975/'Methodology &amp; Assumptions'!$B$6, 0)</f>
        <v/>
      </c>
      <c r="R975" s="13" t="n">
        <v>1</v>
      </c>
      <c r="S975" s="14" t="n">
        <v>19.14</v>
      </c>
      <c r="T975" s="14" t="n">
        <v>12.78</v>
      </c>
      <c r="U975" s="26">
        <f>IF(X975&gt;='Methodology &amp; Assumptions'!$B$7, "Tier 1 Critical GIDA (Score ≥ 50.0)", IF(X975&gt;='Methodology &amp; Assumptions'!$B$8, "Tier 2 High GIDA (Score 40.0–49.9)", "Tier 3 Moderate GIDA (Score &lt; 40.0)"))</f>
        <v/>
      </c>
      <c r="V975" s="26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W975" s="28" t="n">
        <v>0.237</v>
      </c>
      <c r="X975" s="14" t="n">
        <v>44.72</v>
      </c>
      <c r="Y975" s="14">
        <f>ROUND(MIN(100, (X975/69.91)*100), 2)</f>
        <v/>
      </c>
    </row>
    <row r="976">
      <c r="A976" s="10" t="n">
        <v>4</v>
      </c>
      <c r="B976" s="10" t="n">
        <v>972</v>
      </c>
      <c r="C976" s="10" t="n">
        <v>3972</v>
      </c>
      <c r="D976" s="10" t="inlineStr">
        <is>
          <t>0806011009</t>
        </is>
      </c>
      <c r="E976" s="26" t="inlineStr">
        <is>
          <t>Region VIII (Eastern Visayas)</t>
        </is>
      </c>
      <c r="F976" s="26" t="inlineStr">
        <is>
          <t>Samar</t>
        </is>
      </c>
      <c r="G976" s="26" t="inlineStr">
        <is>
          <t>Matuguinao</t>
        </is>
      </c>
      <c r="H976" s="26" t="inlineStr">
        <is>
          <t>Libertad</t>
        </is>
      </c>
      <c r="I976" s="27" t="n">
        <v>12.149845</v>
      </c>
      <c r="J976" s="27" t="n">
        <v>124.872178</v>
      </c>
      <c r="K976" s="10" t="inlineStr">
        <is>
          <t>R</t>
        </is>
      </c>
      <c r="L976" s="12" t="n">
        <v>218</v>
      </c>
      <c r="M976" s="14" t="n">
        <v>4.1</v>
      </c>
      <c r="N976" s="12">
        <f>ROUND(L976/M976, 0)</f>
        <v/>
      </c>
      <c r="O976" s="12">
        <f>ROUND(N976*'Methodology &amp; Assumptions'!$B$5, 0)</f>
        <v/>
      </c>
      <c r="P976" s="10" t="inlineStr">
        <is>
          <t>Single Carrier (Band n50, 100MHz TDD)</t>
        </is>
      </c>
      <c r="Q976" s="13">
        <f>ROUNDUP(O976/'Methodology &amp; Assumptions'!$B$6, 0)</f>
        <v/>
      </c>
      <c r="R976" s="13" t="n">
        <v>1</v>
      </c>
      <c r="S976" s="14" t="n">
        <v>96.59999999999999</v>
      </c>
      <c r="T976" s="14" t="n">
        <v>96.56</v>
      </c>
      <c r="U976" s="26">
        <f>IF(X976&gt;='Methodology &amp; Assumptions'!$B$7, "Tier 1 Critical GIDA (Score ≥ 50.0)", IF(X976&gt;='Methodology &amp; Assumptions'!$B$8, "Tier 2 High GIDA (Score 40.0–49.9)", "Tier 3 Moderate GIDA (Score &lt; 40.0)"))</f>
        <v/>
      </c>
      <c r="V976" s="26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W976" s="28" t="n">
        <v>0.237</v>
      </c>
      <c r="X976" s="14" t="n">
        <v>44.71</v>
      </c>
      <c r="Y976" s="14">
        <f>ROUND(MIN(100, (X976/69.91)*100), 2)</f>
        <v/>
      </c>
    </row>
    <row r="977">
      <c r="A977" s="10" t="n">
        <v>4</v>
      </c>
      <c r="B977" s="10" t="n">
        <v>973</v>
      </c>
      <c r="C977" s="10" t="n">
        <v>3973</v>
      </c>
      <c r="D977" s="10" t="inlineStr">
        <is>
          <t>PH0003973</t>
        </is>
      </c>
      <c r="E977" s="26" t="inlineStr">
        <is>
          <t>XI</t>
        </is>
      </c>
      <c r="F977" s="26" t="inlineStr">
        <is>
          <t>Davao Del Sur</t>
        </is>
      </c>
      <c r="G977" s="26" t="inlineStr">
        <is>
          <t>Davao City</t>
        </is>
      </c>
      <c r="H977" s="26" t="inlineStr">
        <is>
          <t>Barangay 11-B (Pob.)</t>
        </is>
      </c>
      <c r="I977" s="27" t="n">
        <v>7.164578</v>
      </c>
      <c r="J977" s="27" t="n">
        <v>125.494167</v>
      </c>
      <c r="K977" s="10" t="inlineStr">
        <is>
          <t>R</t>
        </is>
      </c>
      <c r="L977" s="12" t="n">
        <v>2280</v>
      </c>
      <c r="M977" s="14" t="n">
        <v>3.4</v>
      </c>
      <c r="N977" s="12">
        <f>ROUND(L977/M977, 0)</f>
        <v/>
      </c>
      <c r="O977" s="12">
        <f>ROUND(N977*'Methodology &amp; Assumptions'!$B$5, 0)</f>
        <v/>
      </c>
      <c r="P977" s="10" t="inlineStr">
        <is>
          <t>Single Carrier (Band n50, 100MHz TDD)</t>
        </is>
      </c>
      <c r="Q977" s="13">
        <f>ROUNDUP(O977/'Methodology &amp; Assumptions'!$B$6, 0)</f>
        <v/>
      </c>
      <c r="R977" s="13" t="n">
        <v>1</v>
      </c>
      <c r="S977" s="14" t="n">
        <v>4.95</v>
      </c>
      <c r="T977" s="14" t="n">
        <v>2.18</v>
      </c>
      <c r="U977" s="26">
        <f>IF(X977&gt;='Methodology &amp; Assumptions'!$B$7, "Tier 1 Critical GIDA (Score ≥ 50.0)", IF(X977&gt;='Methodology &amp; Assumptions'!$B$8, "Tier 2 High GIDA (Score 40.0–49.9)", "Tier 3 Moderate GIDA (Score &lt; 40.0)"))</f>
        <v/>
      </c>
      <c r="V977" s="26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W977" s="28" t="n">
        <v>0.119</v>
      </c>
      <c r="X977" s="14" t="n">
        <v>44.71</v>
      </c>
      <c r="Y977" s="14">
        <f>ROUND(MIN(100, (X977/69.91)*100), 2)</f>
        <v/>
      </c>
    </row>
    <row r="978">
      <c r="A978" s="10" t="n">
        <v>4</v>
      </c>
      <c r="B978" s="10" t="n">
        <v>974</v>
      </c>
      <c r="C978" s="10" t="n">
        <v>3974</v>
      </c>
      <c r="D978" s="10" t="inlineStr">
        <is>
          <t>1408104006</t>
        </is>
      </c>
      <c r="E978" s="26" t="inlineStr">
        <is>
          <t>Cordillera Administrative Region (CAR)</t>
        </is>
      </c>
      <c r="F978" s="26" t="inlineStr">
        <is>
          <t>Apayao</t>
        </is>
      </c>
      <c r="G978" s="26" t="inlineStr">
        <is>
          <t>Kabugao</t>
        </is>
      </c>
      <c r="H978" s="26" t="inlineStr">
        <is>
          <t>Dibagat</t>
        </is>
      </c>
      <c r="I978" s="27" t="n">
        <v>18.078377</v>
      </c>
      <c r="J978" s="27" t="n">
        <v>121.100627</v>
      </c>
      <c r="K978" s="10" t="inlineStr">
        <is>
          <t>R</t>
        </is>
      </c>
      <c r="L978" s="12" t="n">
        <v>627</v>
      </c>
      <c r="M978" s="14" t="n">
        <v>4.2</v>
      </c>
      <c r="N978" s="12">
        <f>ROUND(L978/M978, 0)</f>
        <v/>
      </c>
      <c r="O978" s="12">
        <f>ROUND(N978*'Methodology &amp; Assumptions'!$B$5, 0)</f>
        <v/>
      </c>
      <c r="P978" s="10" t="inlineStr">
        <is>
          <t>Single Carrier (Band n50, 100MHz TDD)</t>
        </is>
      </c>
      <c r="Q978" s="13">
        <f>ROUNDUP(O978/'Methodology &amp; Assumptions'!$B$6, 0)</f>
        <v/>
      </c>
      <c r="R978" s="13" t="n">
        <v>1</v>
      </c>
      <c r="S978" s="14" t="n">
        <v>10.73</v>
      </c>
      <c r="T978" s="14" t="n">
        <v>19.6</v>
      </c>
      <c r="U978" s="26">
        <f>IF(X978&gt;='Methodology &amp; Assumptions'!$B$7, "Tier 1 Critical GIDA (Score ≥ 50.0)", IF(X978&gt;='Methodology &amp; Assumptions'!$B$8, "Tier 2 High GIDA (Score 40.0–49.9)", "Tier 3 Moderate GIDA (Score &lt; 40.0)"))</f>
        <v/>
      </c>
      <c r="V978" s="26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W978" s="28" t="n">
        <v>0.109</v>
      </c>
      <c r="X978" s="14" t="n">
        <v>44.7</v>
      </c>
      <c r="Y978" s="14">
        <f>ROUND(MIN(100, (X978/69.91)*100), 2)</f>
        <v/>
      </c>
    </row>
    <row r="979">
      <c r="A979" s="10" t="n">
        <v>4</v>
      </c>
      <c r="B979" s="10" t="n">
        <v>975</v>
      </c>
      <c r="C979" s="10" t="n">
        <v>3975</v>
      </c>
      <c r="D979" s="10" t="inlineStr">
        <is>
          <t>1705917006</t>
        </is>
      </c>
      <c r="E979" s="26" t="inlineStr">
        <is>
          <t>MIMAROPA Region</t>
        </is>
      </c>
      <c r="F979" s="26" t="inlineStr">
        <is>
          <t>Romblon</t>
        </is>
      </c>
      <c r="G979" s="26" t="inlineStr">
        <is>
          <t>Santa Maria</t>
        </is>
      </c>
      <c r="H979" s="26" t="inlineStr">
        <is>
          <t>San Isidro</t>
        </is>
      </c>
      <c r="I979" s="27" t="n">
        <v>12.397996</v>
      </c>
      <c r="J979" s="27" t="n">
        <v>122.07644</v>
      </c>
      <c r="K979" s="10" t="inlineStr">
        <is>
          <t>R</t>
        </is>
      </c>
      <c r="L979" s="12" t="n">
        <v>559</v>
      </c>
      <c r="M979" s="14" t="n">
        <v>3.7</v>
      </c>
      <c r="N979" s="12">
        <f>ROUND(L979/M979, 0)</f>
        <v/>
      </c>
      <c r="O979" s="12">
        <f>ROUND(N979*'Methodology &amp; Assumptions'!$B$5, 0)</f>
        <v/>
      </c>
      <c r="P979" s="10" t="inlineStr">
        <is>
          <t>Single Carrier (Band n50, 100MHz TDD)</t>
        </is>
      </c>
      <c r="Q979" s="13">
        <f>ROUNDUP(O979/'Methodology &amp; Assumptions'!$B$6, 0)</f>
        <v/>
      </c>
      <c r="R979" s="13" t="n">
        <v>1</v>
      </c>
      <c r="S979" s="14" t="n">
        <v>51.98</v>
      </c>
      <c r="T979" s="14" t="n">
        <v>31.68</v>
      </c>
      <c r="U979" s="26">
        <f>IF(X979&gt;='Methodology &amp; Assumptions'!$B$7, "Tier 1 Critical GIDA (Score ≥ 50.0)", IF(X979&gt;='Methodology &amp; Assumptions'!$B$8, "Tier 2 High GIDA (Score 40.0–49.9)", "Tier 3 Moderate GIDA (Score &lt; 40.0)"))</f>
        <v/>
      </c>
      <c r="V979" s="26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W979" s="28" t="n">
        <v>0.15</v>
      </c>
      <c r="X979" s="14" t="n">
        <v>44.69</v>
      </c>
      <c r="Y979" s="14">
        <f>ROUND(MIN(100, (X979/69.91)*100), 2)</f>
        <v/>
      </c>
    </row>
    <row r="980">
      <c r="A980" s="10" t="n">
        <v>4</v>
      </c>
      <c r="B980" s="10" t="n">
        <v>976</v>
      </c>
      <c r="C980" s="10" t="n">
        <v>3976</v>
      </c>
      <c r="D980" s="10" t="inlineStr">
        <is>
          <t>0600616071</t>
        </is>
      </c>
      <c r="E980" s="26" t="inlineStr">
        <is>
          <t>Region VI (Western Visayas)</t>
        </is>
      </c>
      <c r="F980" s="26" t="inlineStr">
        <is>
          <t>Antique</t>
        </is>
      </c>
      <c r="G980" s="26" t="inlineStr">
        <is>
          <t>Sibalom</t>
        </is>
      </c>
      <c r="H980" s="26" t="inlineStr">
        <is>
          <t>Tig-Ohot</t>
        </is>
      </c>
      <c r="I980" s="27" t="n">
        <v>10.719865</v>
      </c>
      <c r="J980" s="27" t="n">
        <v>122.042237</v>
      </c>
      <c r="K980" s="10" t="inlineStr">
        <is>
          <t>R</t>
        </is>
      </c>
      <c r="L980" s="12" t="n">
        <v>544</v>
      </c>
      <c r="M980" s="14" t="n">
        <v>3.9</v>
      </c>
      <c r="N980" s="12">
        <f>ROUND(L980/M980, 0)</f>
        <v/>
      </c>
      <c r="O980" s="12">
        <f>ROUND(N980*'Methodology &amp; Assumptions'!$B$5, 0)</f>
        <v/>
      </c>
      <c r="P980" s="10" t="inlineStr">
        <is>
          <t>Single Carrier (Band n50, 100MHz TDD)</t>
        </is>
      </c>
      <c r="Q980" s="13">
        <f>ROUNDUP(O980/'Methodology &amp; Assumptions'!$B$6, 0)</f>
        <v/>
      </c>
      <c r="R980" s="13" t="n">
        <v>1</v>
      </c>
      <c r="S980" s="14" t="n">
        <v>12.33</v>
      </c>
      <c r="T980" s="14" t="n">
        <v>7.01</v>
      </c>
      <c r="U980" s="26">
        <f>IF(X980&gt;='Methodology &amp; Assumptions'!$B$7, "Tier 1 Critical GIDA (Score ≥ 50.0)", IF(X980&gt;='Methodology &amp; Assumptions'!$B$8, "Tier 2 High GIDA (Score 40.0–49.9)", "Tier 3 Moderate GIDA (Score &lt; 40.0)"))</f>
        <v/>
      </c>
      <c r="V980" s="26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W980" s="28" t="n">
        <v>0.237</v>
      </c>
      <c r="X980" s="14" t="n">
        <v>44.69</v>
      </c>
      <c r="Y980" s="14">
        <f>ROUND(MIN(100, (X980/69.91)*100), 2)</f>
        <v/>
      </c>
    </row>
    <row r="981">
      <c r="A981" s="10" t="n">
        <v>4</v>
      </c>
      <c r="B981" s="10" t="n">
        <v>977</v>
      </c>
      <c r="C981" s="10" t="n">
        <v>3977</v>
      </c>
      <c r="D981" s="10" t="inlineStr">
        <is>
          <t>PH0003977</t>
        </is>
      </c>
      <c r="E981" s="26" t="inlineStr">
        <is>
          <t>IV-A</t>
        </is>
      </c>
      <c r="F981" s="26" t="inlineStr">
        <is>
          <t>Cavite</t>
        </is>
      </c>
      <c r="G981" s="26" t="inlineStr">
        <is>
          <t>Imus City</t>
        </is>
      </c>
      <c r="H981" s="26" t="inlineStr">
        <is>
          <t>Bayan Luma II</t>
        </is>
      </c>
      <c r="I981" s="27" t="n">
        <v>14.262539</v>
      </c>
      <c r="J981" s="27" t="n">
        <v>120.920771</v>
      </c>
      <c r="K981" s="10" t="inlineStr">
        <is>
          <t>R</t>
        </is>
      </c>
      <c r="L981" s="12" t="n">
        <v>2316</v>
      </c>
      <c r="M981" s="14" t="n">
        <v>3.4</v>
      </c>
      <c r="N981" s="12">
        <f>ROUND(L981/M981, 0)</f>
        <v/>
      </c>
      <c r="O981" s="12">
        <f>ROUND(N981*'Methodology &amp; Assumptions'!$B$5, 0)</f>
        <v/>
      </c>
      <c r="P981" s="10" t="inlineStr">
        <is>
          <t>Single Carrier (Band n50, 100MHz TDD)</t>
        </is>
      </c>
      <c r="Q981" s="13">
        <f>ROUNDUP(O981/'Methodology &amp; Assumptions'!$B$6, 0)</f>
        <v/>
      </c>
      <c r="R981" s="13" t="n">
        <v>1</v>
      </c>
      <c r="S981" s="14" t="n">
        <v>3.7</v>
      </c>
      <c r="T981" s="14" t="n">
        <v>3.27</v>
      </c>
      <c r="U981" s="26">
        <f>IF(X981&gt;='Methodology &amp; Assumptions'!$B$7, "Tier 1 Critical GIDA (Score ≥ 50.0)", IF(X981&gt;='Methodology &amp; Assumptions'!$B$8, "Tier 2 High GIDA (Score 40.0–49.9)", "Tier 3 Moderate GIDA (Score &lt; 40.0)"))</f>
        <v/>
      </c>
      <c r="V981" s="26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W981" s="28" t="n">
        <v>0.07200000000000001</v>
      </c>
      <c r="X981" s="14" t="n">
        <v>44.69</v>
      </c>
      <c r="Y981" s="14">
        <f>ROUND(MIN(100, (X981/69.91)*100), 2)</f>
        <v/>
      </c>
    </row>
    <row r="982">
      <c r="A982" s="10" t="n">
        <v>4</v>
      </c>
      <c r="B982" s="10" t="n">
        <v>978</v>
      </c>
      <c r="C982" s="10" t="n">
        <v>3978</v>
      </c>
      <c r="D982" s="10" t="inlineStr">
        <is>
          <t>0402111014</t>
        </is>
      </c>
      <c r="E982" s="26" t="inlineStr">
        <is>
          <t>Region IV-A (CALABARZON)</t>
        </is>
      </c>
      <c r="F982" s="26" t="inlineStr">
        <is>
          <t>Cavite</t>
        </is>
      </c>
      <c r="G982" s="26" t="inlineStr">
        <is>
          <t>Kawit</t>
        </is>
      </c>
      <c r="H982" s="26" t="inlineStr">
        <is>
          <t>Balsahan-Bisita</t>
        </is>
      </c>
      <c r="I982" s="27" t="n">
        <v>14.443705</v>
      </c>
      <c r="J982" s="27" t="n">
        <v>120.90126</v>
      </c>
      <c r="K982" s="10" t="inlineStr">
        <is>
          <t>U</t>
        </is>
      </c>
      <c r="L982" s="12" t="n">
        <v>2024</v>
      </c>
      <c r="M982" s="14" t="n">
        <v>3.4</v>
      </c>
      <c r="N982" s="12">
        <f>ROUND(L982/M982, 0)</f>
        <v/>
      </c>
      <c r="O982" s="12">
        <f>ROUND(N982*'Methodology &amp; Assumptions'!$B$5, 0)</f>
        <v/>
      </c>
      <c r="P982" s="10" t="inlineStr">
        <is>
          <t>Single Carrier (Band n50, 100MHz TDD)</t>
        </is>
      </c>
      <c r="Q982" s="13">
        <f>ROUNDUP(O982/'Methodology &amp; Assumptions'!$B$6, 0)</f>
        <v/>
      </c>
      <c r="R982" s="13" t="n">
        <v>1</v>
      </c>
      <c r="S982" s="14" t="n">
        <v>2.52</v>
      </c>
      <c r="T982" s="14" t="n">
        <v>0.96</v>
      </c>
      <c r="U982" s="26">
        <f>IF(X982&gt;='Methodology &amp; Assumptions'!$B$7, "Tier 1 Critical GIDA (Score ≥ 50.0)", IF(X982&gt;='Methodology &amp; Assumptions'!$B$8, "Tier 2 High GIDA (Score 40.0–49.9)", "Tier 3 Moderate GIDA (Score &lt; 40.0)"))</f>
        <v/>
      </c>
      <c r="V982" s="26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W982" s="28" t="n">
        <v>0.07200000000000001</v>
      </c>
      <c r="X982" s="14" t="n">
        <v>44.69</v>
      </c>
      <c r="Y982" s="14">
        <f>ROUND(MIN(100, (X982/69.91)*100), 2)</f>
        <v/>
      </c>
    </row>
    <row r="983">
      <c r="A983" s="10" t="n">
        <v>4</v>
      </c>
      <c r="B983" s="10" t="n">
        <v>979</v>
      </c>
      <c r="C983" s="10" t="n">
        <v>3979</v>
      </c>
      <c r="D983" s="10" t="inlineStr">
        <is>
          <t>0601917027</t>
        </is>
      </c>
      <c r="E983" s="26" t="inlineStr">
        <is>
          <t>Region VI (Western Visayas)</t>
        </is>
      </c>
      <c r="F983" s="26" t="inlineStr">
        <is>
          <t>Capiz</t>
        </is>
      </c>
      <c r="G983" s="26" t="inlineStr">
        <is>
          <t>Tapaz</t>
        </is>
      </c>
      <c r="H983" s="26" t="inlineStr">
        <is>
          <t>Mabini</t>
        </is>
      </c>
      <c r="I983" s="27" t="n">
        <v>11.266515</v>
      </c>
      <c r="J983" s="27" t="n">
        <v>122.533319</v>
      </c>
      <c r="K983" s="10" t="inlineStr">
        <is>
          <t>R</t>
        </is>
      </c>
      <c r="L983" s="12" t="n">
        <v>294</v>
      </c>
      <c r="M983" s="14" t="n">
        <v>3.8</v>
      </c>
      <c r="N983" s="12">
        <f>ROUND(L983/M983, 0)</f>
        <v/>
      </c>
      <c r="O983" s="12">
        <f>ROUND(N983*'Methodology &amp; Assumptions'!$B$5, 0)</f>
        <v/>
      </c>
      <c r="P983" s="10" t="inlineStr">
        <is>
          <t>Single Carrier (Band n50, 100MHz TDD)</t>
        </is>
      </c>
      <c r="Q983" s="13">
        <f>ROUNDUP(O983/'Methodology &amp; Assumptions'!$B$6, 0)</f>
        <v/>
      </c>
      <c r="R983" s="13" t="n">
        <v>1</v>
      </c>
      <c r="S983" s="14" t="n">
        <v>15.67</v>
      </c>
      <c r="T983" s="14" t="n">
        <v>3.42</v>
      </c>
      <c r="U983" s="26">
        <f>IF(X983&gt;='Methodology &amp; Assumptions'!$B$7, "Tier 1 Critical GIDA (Score ≥ 50.0)", IF(X983&gt;='Methodology &amp; Assumptions'!$B$8, "Tier 2 High GIDA (Score 40.0–49.9)", "Tier 3 Moderate GIDA (Score &lt; 40.0)"))</f>
        <v/>
      </c>
      <c r="V983" s="26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W983" s="28" t="n">
        <v>0.237</v>
      </c>
      <c r="X983" s="14" t="n">
        <v>44.68</v>
      </c>
      <c r="Y983" s="14">
        <f>ROUND(MIN(100, (X983/69.91)*100), 2)</f>
        <v/>
      </c>
    </row>
    <row r="984">
      <c r="A984" s="10" t="n">
        <v>4</v>
      </c>
      <c r="B984" s="10" t="n">
        <v>980</v>
      </c>
      <c r="C984" s="10" t="n">
        <v>3980</v>
      </c>
      <c r="D984" s="10" t="inlineStr">
        <is>
          <t>1381100193</t>
        </is>
      </c>
      <c r="E984" s="26" t="inlineStr">
        <is>
          <t>National Capital Region (NCR)</t>
        </is>
      </c>
      <c r="F984" s="26" t="inlineStr">
        <is>
          <t>Fourth District (Not a Province)</t>
        </is>
      </c>
      <c r="G984" s="26" t="inlineStr">
        <is>
          <t>Pasay City</t>
        </is>
      </c>
      <c r="H984" s="26" t="inlineStr">
        <is>
          <t>Barangay 193</t>
        </is>
      </c>
      <c r="I984" s="27" t="n">
        <v>14.310603</v>
      </c>
      <c r="J984" s="27" t="n">
        <v>121.067468</v>
      </c>
      <c r="K984" s="10" t="inlineStr">
        <is>
          <t>U</t>
        </is>
      </c>
      <c r="L984" s="12" t="n">
        <v>7641</v>
      </c>
      <c r="M984" s="14" t="n">
        <v>3.4</v>
      </c>
      <c r="N984" s="12">
        <f>ROUND(L984/M984, 0)</f>
        <v/>
      </c>
      <c r="O984" s="12">
        <f>ROUND(N984*'Methodology &amp; Assumptions'!$B$5, 0)</f>
        <v/>
      </c>
      <c r="P984" s="10" t="inlineStr">
        <is>
          <t>Single Carrier (Band n50, 100MHz TDD)</t>
        </is>
      </c>
      <c r="Q984" s="13">
        <f>ROUNDUP(O984/'Methodology &amp; Assumptions'!$B$6, 0)</f>
        <v/>
      </c>
      <c r="R984" s="13" t="n">
        <v>1</v>
      </c>
      <c r="S984" s="14" t="n">
        <v>0.44</v>
      </c>
      <c r="T984" s="14" t="n">
        <v>0.23</v>
      </c>
      <c r="U984" s="26">
        <f>IF(X984&gt;='Methodology &amp; Assumptions'!$B$7, "Tier 1 Critical GIDA (Score ≥ 50.0)", IF(X984&gt;='Methodology &amp; Assumptions'!$B$8, "Tier 2 High GIDA (Score 40.0–49.9)", "Tier 3 Moderate GIDA (Score &lt; 40.0)"))</f>
        <v/>
      </c>
      <c r="V984" s="26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W984" s="28" t="n">
        <v>0.109</v>
      </c>
      <c r="X984" s="14" t="n">
        <v>44.68</v>
      </c>
      <c r="Y984" s="14">
        <f>ROUND(MIN(100, (X984/69.91)*100), 2)</f>
        <v/>
      </c>
    </row>
    <row r="985">
      <c r="A985" s="10" t="n">
        <v>4</v>
      </c>
      <c r="B985" s="10" t="n">
        <v>981</v>
      </c>
      <c r="C985" s="10" t="n">
        <v>3981</v>
      </c>
      <c r="D985" s="10" t="inlineStr">
        <is>
          <t>PH0003981</t>
        </is>
      </c>
      <c r="E985" s="26" t="inlineStr">
        <is>
          <t>VII</t>
        </is>
      </c>
      <c r="F985" s="26" t="inlineStr">
        <is>
          <t>Cebu</t>
        </is>
      </c>
      <c r="G985" s="26" t="inlineStr">
        <is>
          <t>Cebu City</t>
        </is>
      </c>
      <c r="H985" s="26" t="inlineStr">
        <is>
          <t>T. Padilla</t>
        </is>
      </c>
      <c r="I985" s="27" t="n">
        <v>10.338454</v>
      </c>
      <c r="J985" s="27" t="n">
        <v>123.865778</v>
      </c>
      <c r="K985" s="10" t="inlineStr">
        <is>
          <t>R</t>
        </is>
      </c>
      <c r="L985" s="12" t="n">
        <v>2250</v>
      </c>
      <c r="M985" s="14" t="n">
        <v>3.8</v>
      </c>
      <c r="N985" s="12">
        <f>ROUND(L985/M985, 0)</f>
        <v/>
      </c>
      <c r="O985" s="12">
        <f>ROUND(N985*'Methodology &amp; Assumptions'!$B$5, 0)</f>
        <v/>
      </c>
      <c r="P985" s="10" t="inlineStr">
        <is>
          <t>Single Carrier (Band n50, 100MHz TDD)</t>
        </is>
      </c>
      <c r="Q985" s="13">
        <f>ROUNDUP(O985/'Methodology &amp; Assumptions'!$B$6, 0)</f>
        <v/>
      </c>
      <c r="R985" s="13" t="n">
        <v>1</v>
      </c>
      <c r="S985" s="14" t="n">
        <v>3.52</v>
      </c>
      <c r="T985" s="14" t="n">
        <v>4.34</v>
      </c>
      <c r="U985" s="26">
        <f>IF(X985&gt;='Methodology &amp; Assumptions'!$B$7, "Tier 1 Critical GIDA (Score ≥ 50.0)", IF(X985&gt;='Methodology &amp; Assumptions'!$B$8, "Tier 2 High GIDA (Score 40.0–49.9)", "Tier 3 Moderate GIDA (Score &lt; 40.0)"))</f>
        <v/>
      </c>
      <c r="V985" s="26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W985" s="28" t="n">
        <v>0.21</v>
      </c>
      <c r="X985" s="14" t="n">
        <v>44.66</v>
      </c>
      <c r="Y985" s="14">
        <f>ROUND(MIN(100, (X985/69.91)*100), 2)</f>
        <v/>
      </c>
    </row>
    <row r="986">
      <c r="A986" s="10" t="n">
        <v>4</v>
      </c>
      <c r="B986" s="10" t="n">
        <v>982</v>
      </c>
      <c r="C986" s="10" t="n">
        <v>3982</v>
      </c>
      <c r="D986" s="10" t="inlineStr">
        <is>
          <t>0804815010</t>
        </is>
      </c>
      <c r="E986" s="26" t="inlineStr">
        <is>
          <t>Region VIII (Eastern Visayas)</t>
        </is>
      </c>
      <c r="F986" s="26" t="inlineStr">
        <is>
          <t>Northern Samar</t>
        </is>
      </c>
      <c r="G986" s="26" t="inlineStr">
        <is>
          <t>Pambujan</t>
        </is>
      </c>
      <c r="H986" s="26" t="inlineStr">
        <is>
          <t>Ge-adgawan</t>
        </is>
      </c>
      <c r="I986" s="27" t="n">
        <v>12.424724</v>
      </c>
      <c r="J986" s="27" t="n">
        <v>124.926639</v>
      </c>
      <c r="K986" s="10" t="inlineStr">
        <is>
          <t>R</t>
        </is>
      </c>
      <c r="L986" s="12" t="n">
        <v>807</v>
      </c>
      <c r="M986" s="14" t="n">
        <v>4.3</v>
      </c>
      <c r="N986" s="12">
        <f>ROUND(L986/M986, 0)</f>
        <v/>
      </c>
      <c r="O986" s="12">
        <f>ROUND(N986*'Methodology &amp; Assumptions'!$B$5, 0)</f>
        <v/>
      </c>
      <c r="P986" s="10" t="inlineStr">
        <is>
          <t>Single Carrier (Band n50, 100MHz TDD)</t>
        </is>
      </c>
      <c r="Q986" s="13">
        <f>ROUNDUP(O986/'Methodology &amp; Assumptions'!$B$6, 0)</f>
        <v/>
      </c>
      <c r="R986" s="13" t="n">
        <v>1</v>
      </c>
      <c r="S986" s="14" t="n">
        <v>92.43000000000001</v>
      </c>
      <c r="T986" s="14" t="n">
        <v>91.69</v>
      </c>
      <c r="U986" s="26">
        <f>IF(X986&gt;='Methodology &amp; Assumptions'!$B$7, "Tier 1 Critical GIDA (Score ≥ 50.0)", IF(X986&gt;='Methodology &amp; Assumptions'!$B$8, "Tier 2 High GIDA (Score 40.0–49.9)", "Tier 3 Moderate GIDA (Score &lt; 40.0)"))</f>
        <v/>
      </c>
      <c r="V986" s="26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W986" s="28" t="n">
        <v>0.237</v>
      </c>
      <c r="X986" s="14" t="n">
        <v>44.66</v>
      </c>
      <c r="Y986" s="14">
        <f>ROUND(MIN(100, (X986/69.91)*100), 2)</f>
        <v/>
      </c>
    </row>
    <row r="987">
      <c r="A987" s="10" t="n">
        <v>4</v>
      </c>
      <c r="B987" s="10" t="n">
        <v>983</v>
      </c>
      <c r="C987" s="10" t="n">
        <v>3983</v>
      </c>
      <c r="D987" s="10" t="inlineStr">
        <is>
          <t>1381600031</t>
        </is>
      </c>
      <c r="E987" s="26" t="inlineStr">
        <is>
          <t>National Capital Region (NCR)</t>
        </is>
      </c>
      <c r="F987" s="26" t="inlineStr">
        <is>
          <t>Third District (Not a Province)</t>
        </is>
      </c>
      <c r="G987" s="26" t="inlineStr">
        <is>
          <t>City of Valenzuela</t>
        </is>
      </c>
      <c r="H987" s="26" t="inlineStr">
        <is>
          <t>Viente Reales</t>
        </is>
      </c>
      <c r="I987" s="27" t="n">
        <v>14.708997</v>
      </c>
      <c r="J987" s="27" t="n">
        <v>120.965416</v>
      </c>
      <c r="K987" s="10" t="inlineStr">
        <is>
          <t>U</t>
        </is>
      </c>
      <c r="L987" s="12" t="n">
        <v>24747</v>
      </c>
      <c r="M987" s="14" t="n">
        <v>3.5</v>
      </c>
      <c r="N987" s="12">
        <f>ROUND(L987/M987, 0)</f>
        <v/>
      </c>
      <c r="O987" s="12">
        <f>ROUND(N987*'Methodology &amp; Assumptions'!$B$5, 0)</f>
        <v/>
      </c>
      <c r="P987" s="10" t="inlineStr">
        <is>
          <t>Single Carrier (Band n50, 100MHz TDD)</t>
        </is>
      </c>
      <c r="Q987" s="13">
        <f>ROUNDUP(O987/'Methodology &amp; Assumptions'!$B$6, 0)</f>
        <v/>
      </c>
      <c r="R987" s="13" t="n">
        <v>1</v>
      </c>
      <c r="S987" s="14" t="n">
        <v>0.6</v>
      </c>
      <c r="T987" s="14" t="n">
        <v>0.42</v>
      </c>
      <c r="U987" s="26">
        <f>IF(X987&gt;='Methodology &amp; Assumptions'!$B$7, "Tier 1 Critical GIDA (Score ≥ 50.0)", IF(X987&gt;='Methodology &amp; Assumptions'!$B$8, "Tier 2 High GIDA (Score 40.0–49.9)", "Tier 3 Moderate GIDA (Score &lt; 40.0)"))</f>
        <v/>
      </c>
      <c r="V987" s="26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W987" s="28" t="n">
        <v>0.109</v>
      </c>
      <c r="X987" s="14" t="n">
        <v>44.66</v>
      </c>
      <c r="Y987" s="14">
        <f>ROUND(MIN(100, (X987/69.91)*100), 2)</f>
        <v/>
      </c>
    </row>
    <row r="988">
      <c r="A988" s="10" t="n">
        <v>4</v>
      </c>
      <c r="B988" s="10" t="n">
        <v>984</v>
      </c>
      <c r="C988" s="10" t="n">
        <v>3984</v>
      </c>
      <c r="D988" s="10" t="inlineStr">
        <is>
          <t>1908804006</t>
        </is>
      </c>
      <c r="E988" s="26" t="inlineStr">
        <is>
          <t>Bangsamoro Autonomous Region In Muslim Mindanao (BARMM)</t>
        </is>
      </c>
      <c r="F988" s="26" t="inlineStr">
        <is>
          <t>Maguindanao del Sur</t>
        </is>
      </c>
      <c r="G988" s="26" t="inlineStr">
        <is>
          <t>Datu Anggal Midtimbang</t>
        </is>
      </c>
      <c r="H988" s="26" t="inlineStr">
        <is>
          <t>Tugal</t>
        </is>
      </c>
      <c r="I988" s="27" t="n">
        <v>17.255187</v>
      </c>
      <c r="J988" s="27" t="n">
        <v>122.229231</v>
      </c>
      <c r="K988" s="10" t="inlineStr">
        <is>
          <t>R</t>
        </is>
      </c>
      <c r="L988" s="12" t="n">
        <v>4470</v>
      </c>
      <c r="M988" s="14" t="n">
        <v>4.7</v>
      </c>
      <c r="N988" s="12">
        <f>ROUND(L988/M988, 0)</f>
        <v/>
      </c>
      <c r="O988" s="12">
        <f>ROUND(N988*'Methodology &amp; Assumptions'!$B$5, 0)</f>
        <v/>
      </c>
      <c r="P988" s="10" t="inlineStr">
        <is>
          <t>Single Carrier (Band n50, 100MHz TDD)</t>
        </is>
      </c>
      <c r="Q988" s="13">
        <f>ROUNDUP(O988/'Methodology &amp; Assumptions'!$B$6, 0)</f>
        <v/>
      </c>
      <c r="R988" s="13" t="n">
        <v>1</v>
      </c>
      <c r="S988" s="14" t="n">
        <v>29.47</v>
      </c>
      <c r="T988" s="14" t="n">
        <v>34.34</v>
      </c>
      <c r="U988" s="26">
        <f>IF(X988&gt;='Methodology &amp; Assumptions'!$B$7, "Tier 1 Critical GIDA (Score ≥ 50.0)", IF(X988&gt;='Methodology &amp; Assumptions'!$B$8, "Tier 2 High GIDA (Score 40.0–49.9)", "Tier 3 Moderate GIDA (Score &lt; 40.0)"))</f>
        <v/>
      </c>
      <c r="V988" s="26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W988" s="28" t="n">
        <v>0.11</v>
      </c>
      <c r="X988" s="14" t="n">
        <v>44.66</v>
      </c>
      <c r="Y988" s="14">
        <f>ROUND(MIN(100, (X988/69.91)*100), 2)</f>
        <v/>
      </c>
    </row>
    <row r="989">
      <c r="A989" s="10" t="n">
        <v>4</v>
      </c>
      <c r="B989" s="10" t="n">
        <v>985</v>
      </c>
      <c r="C989" s="10" t="n">
        <v>3985</v>
      </c>
      <c r="D989" s="10" t="inlineStr">
        <is>
          <t>0200905003</t>
        </is>
      </c>
      <c r="E989" s="26" t="inlineStr">
        <is>
          <t>Region II (Cagayan Valley)</t>
        </is>
      </c>
      <c r="F989" s="26" t="inlineStr">
        <is>
          <t>Batanes</t>
        </is>
      </c>
      <c r="G989" s="26" t="inlineStr">
        <is>
          <t>Sabtang</t>
        </is>
      </c>
      <c r="H989" s="26" t="inlineStr">
        <is>
          <t>Nakanmuan</t>
        </is>
      </c>
      <c r="I989" s="27" t="n">
        <v>20.325194</v>
      </c>
      <c r="J989" s="27" t="n">
        <v>121.838773</v>
      </c>
      <c r="K989" s="10" t="inlineStr">
        <is>
          <t>R</t>
        </is>
      </c>
      <c r="L989" s="12" t="n">
        <v>135</v>
      </c>
      <c r="M989" s="14" t="n">
        <v>3</v>
      </c>
      <c r="N989" s="12">
        <f>ROUND(L989/M989, 0)</f>
        <v/>
      </c>
      <c r="O989" s="12">
        <f>ROUND(N989*'Methodology &amp; Assumptions'!$B$5, 0)</f>
        <v/>
      </c>
      <c r="P989" s="10" t="inlineStr">
        <is>
          <t>Single Carrier (Band n50, 100MHz TDD)</t>
        </is>
      </c>
      <c r="Q989" s="13">
        <f>ROUNDUP(O989/'Methodology &amp; Assumptions'!$B$6, 0)</f>
        <v/>
      </c>
      <c r="R989" s="13" t="n">
        <v>1</v>
      </c>
      <c r="S989" s="14" t="n">
        <v>206.37</v>
      </c>
      <c r="T989" s="14" t="n">
        <v>203.19</v>
      </c>
      <c r="U989" s="26">
        <f>IF(X989&gt;='Methodology &amp; Assumptions'!$B$7, "Tier 1 Critical GIDA (Score ≥ 50.0)", IF(X989&gt;='Methodology &amp; Assumptions'!$B$8, "Tier 2 High GIDA (Score 40.0–49.9)", "Tier 3 Moderate GIDA (Score &lt; 40.0)"))</f>
        <v/>
      </c>
      <c r="V989" s="26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W989" s="28" t="n">
        <v>0.083</v>
      </c>
      <c r="X989" s="14" t="n">
        <v>44.66</v>
      </c>
      <c r="Y989" s="14">
        <f>ROUND(MIN(100, (X989/69.91)*100), 2)</f>
        <v/>
      </c>
    </row>
    <row r="990">
      <c r="A990" s="10" t="n">
        <v>4</v>
      </c>
      <c r="B990" s="10" t="n">
        <v>986</v>
      </c>
      <c r="C990" s="10" t="n">
        <v>3986</v>
      </c>
      <c r="D990" s="10" t="inlineStr">
        <is>
          <t>1903604041</t>
        </is>
      </c>
      <c r="E990" s="26" t="inlineStr">
        <is>
          <t>Bangsamoro Autonomous Region In Muslim Mindanao (BARMM)</t>
        </is>
      </c>
      <c r="F990" s="26" t="inlineStr">
        <is>
          <t>Lanao del Sur</t>
        </is>
      </c>
      <c r="G990" s="26" t="inlineStr">
        <is>
          <t>Bayang</t>
        </is>
      </c>
      <c r="H990" s="26" t="inlineStr">
        <is>
          <t>Samporna</t>
        </is>
      </c>
      <c r="I990" s="27" t="n">
        <v>17.254747</v>
      </c>
      <c r="J990" s="27" t="n">
        <v>122.228791</v>
      </c>
      <c r="K990" s="10" t="inlineStr">
        <is>
          <t>R</t>
        </is>
      </c>
      <c r="L990" s="12" t="n">
        <v>633</v>
      </c>
      <c r="M990" s="14" t="n">
        <v>5.7</v>
      </c>
      <c r="N990" s="12">
        <f>ROUND(L990/M990, 0)</f>
        <v/>
      </c>
      <c r="O990" s="12">
        <f>ROUND(N990*'Methodology &amp; Assumptions'!$B$5, 0)</f>
        <v/>
      </c>
      <c r="P990" s="10" t="inlineStr">
        <is>
          <t>Single Carrier (Band n50, 100MHz TDD)</t>
        </is>
      </c>
      <c r="Q990" s="13">
        <f>ROUNDUP(O990/'Methodology &amp; Assumptions'!$B$6, 0)</f>
        <v/>
      </c>
      <c r="R990" s="13" t="n">
        <v>1</v>
      </c>
      <c r="S990" s="14" t="n">
        <v>29.4</v>
      </c>
      <c r="T990" s="14" t="n">
        <v>34.28</v>
      </c>
      <c r="U990" s="26">
        <f>IF(X990&gt;='Methodology &amp; Assumptions'!$B$7, "Tier 1 Critical GIDA (Score ≥ 50.0)", IF(X990&gt;='Methodology &amp; Assumptions'!$B$8, "Tier 2 High GIDA (Score 40.0–49.9)", "Tier 3 Moderate GIDA (Score &lt; 40.0)"))</f>
        <v/>
      </c>
      <c r="V990" s="26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W990" s="28" t="n">
        <v>0.11</v>
      </c>
      <c r="X990" s="14" t="n">
        <v>44.66</v>
      </c>
      <c r="Y990" s="14">
        <f>ROUND(MIN(100, (X990/69.91)*100), 2)</f>
        <v/>
      </c>
    </row>
    <row r="991">
      <c r="A991" s="10" t="n">
        <v>4</v>
      </c>
      <c r="B991" s="10" t="n">
        <v>987</v>
      </c>
      <c r="C991" s="10" t="n">
        <v>3987</v>
      </c>
      <c r="D991" s="10" t="inlineStr">
        <is>
          <t>PH0003987</t>
        </is>
      </c>
      <c r="E991" s="26" t="inlineStr">
        <is>
          <t>IV-A</t>
        </is>
      </c>
      <c r="F991" s="26" t="inlineStr">
        <is>
          <t>Laguna</t>
        </is>
      </c>
      <c r="G991" s="26" t="inlineStr">
        <is>
          <t>San Pablo City</t>
        </is>
      </c>
      <c r="H991" s="26" t="inlineStr">
        <is>
          <t>Barangay III-E (Pob.)</t>
        </is>
      </c>
      <c r="I991" s="27" t="n">
        <v>14.031871</v>
      </c>
      <c r="J991" s="27" t="n">
        <v>121.323061</v>
      </c>
      <c r="K991" s="10" t="inlineStr">
        <is>
          <t>R</t>
        </is>
      </c>
      <c r="L991" s="12" t="n">
        <v>2412</v>
      </c>
      <c r="M991" s="14" t="n">
        <v>3.3</v>
      </c>
      <c r="N991" s="12">
        <f>ROUND(L991/M991, 0)</f>
        <v/>
      </c>
      <c r="O991" s="12">
        <f>ROUND(N991*'Methodology &amp; Assumptions'!$B$5, 0)</f>
        <v/>
      </c>
      <c r="P991" s="10" t="inlineStr">
        <is>
          <t>Single Carrier (Band n50, 100MHz TDD)</t>
        </is>
      </c>
      <c r="Q991" s="13">
        <f>ROUNDUP(O991/'Methodology &amp; Assumptions'!$B$6, 0)</f>
        <v/>
      </c>
      <c r="R991" s="13" t="n">
        <v>1</v>
      </c>
      <c r="S991" s="14" t="n">
        <v>3.13</v>
      </c>
      <c r="T991" s="14" t="n">
        <v>2.05</v>
      </c>
      <c r="U991" s="26">
        <f>IF(X991&gt;='Methodology &amp; Assumptions'!$B$7, "Tier 1 Critical GIDA (Score ≥ 50.0)", IF(X991&gt;='Methodology &amp; Assumptions'!$B$8, "Tier 2 High GIDA (Score 40.0–49.9)", "Tier 3 Moderate GIDA (Score &lt; 40.0)"))</f>
        <v/>
      </c>
      <c r="V991" s="26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W991" s="28" t="n">
        <v>0.07200000000000001</v>
      </c>
      <c r="X991" s="14" t="n">
        <v>44.65</v>
      </c>
      <c r="Y991" s="14">
        <f>ROUND(MIN(100, (X991/69.91)*100), 2)</f>
        <v/>
      </c>
    </row>
    <row r="992">
      <c r="A992" s="10" t="n">
        <v>4</v>
      </c>
      <c r="B992" s="10" t="n">
        <v>988</v>
      </c>
      <c r="C992" s="10" t="n">
        <v>3988</v>
      </c>
      <c r="D992" s="10" t="inlineStr">
        <is>
          <t>1907009009</t>
        </is>
      </c>
      <c r="E992" s="26" t="inlineStr">
        <is>
          <t>Bangsamoro Autonomous Region In Muslim Mindanao (BARMM)</t>
        </is>
      </c>
      <c r="F992" s="26" t="inlineStr">
        <is>
          <t>Tawi-Tawi</t>
        </is>
      </c>
      <c r="G992" s="26" t="inlineStr">
        <is>
          <t>Languyan</t>
        </is>
      </c>
      <c r="H992" s="26" t="inlineStr">
        <is>
          <t>Simalak</t>
        </is>
      </c>
      <c r="I992" s="27" t="n">
        <v>5.245623</v>
      </c>
      <c r="J992" s="27" t="n">
        <v>119.962104</v>
      </c>
      <c r="K992" s="10" t="inlineStr">
        <is>
          <t>R</t>
        </is>
      </c>
      <c r="L992" s="12" t="n">
        <v>1825</v>
      </c>
      <c r="M992" s="14" t="n">
        <v>5.8</v>
      </c>
      <c r="N992" s="12">
        <f>ROUND(L992/M992, 0)</f>
        <v/>
      </c>
      <c r="O992" s="12">
        <f>ROUND(N992*'Methodology &amp; Assumptions'!$B$5, 0)</f>
        <v/>
      </c>
      <c r="P992" s="10" t="inlineStr">
        <is>
          <t>Single Carrier (Band n50, 100MHz TDD)</t>
        </is>
      </c>
      <c r="Q992" s="13">
        <f>ROUNDUP(O992/'Methodology &amp; Assumptions'!$B$6, 0)</f>
        <v/>
      </c>
      <c r="R992" s="13" t="n">
        <v>1</v>
      </c>
      <c r="S992" s="14" t="n">
        <v>999</v>
      </c>
      <c r="T992" s="14" t="n">
        <v>999</v>
      </c>
      <c r="U992" s="26">
        <f>IF(X992&gt;='Methodology &amp; Assumptions'!$B$7, "Tier 1 Critical GIDA (Score ≥ 50.0)", IF(X992&gt;='Methodology &amp; Assumptions'!$B$8, "Tier 2 High GIDA (Score 40.0–49.9)", "Tier 3 Moderate GIDA (Score &lt; 40.0)"))</f>
        <v/>
      </c>
      <c r="V992" s="26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W992" s="28" t="n">
        <v>0.11</v>
      </c>
      <c r="X992" s="14" t="n">
        <v>44.65</v>
      </c>
      <c r="Y992" s="14">
        <f>ROUND(MIN(100, (X992/69.91)*100), 2)</f>
        <v/>
      </c>
    </row>
    <row r="993">
      <c r="A993" s="10" t="n">
        <v>4</v>
      </c>
      <c r="B993" s="10" t="n">
        <v>989</v>
      </c>
      <c r="C993" s="10" t="n">
        <v>3989</v>
      </c>
      <c r="D993" s="10" t="inlineStr">
        <is>
          <t>0600606034</t>
        </is>
      </c>
      <c r="E993" s="26" t="inlineStr">
        <is>
          <t>Region VI (Western Visayas)</t>
        </is>
      </c>
      <c r="F993" s="26" t="inlineStr">
        <is>
          <t>Antique</t>
        </is>
      </c>
      <c r="G993" s="26" t="inlineStr">
        <is>
          <t>Culasi</t>
        </is>
      </c>
      <c r="H993" s="26" t="inlineStr">
        <is>
          <t>Salde</t>
        </is>
      </c>
      <c r="I993" s="27" t="n">
        <v>11.425211</v>
      </c>
      <c r="J993" s="27" t="n">
        <v>122.042445</v>
      </c>
      <c r="K993" s="10" t="inlineStr">
        <is>
          <t>R</t>
        </is>
      </c>
      <c r="L993" s="12" t="n">
        <v>143</v>
      </c>
      <c r="M993" s="14" t="n">
        <v>3.9</v>
      </c>
      <c r="N993" s="12">
        <f>ROUND(L993/M993, 0)</f>
        <v/>
      </c>
      <c r="O993" s="12">
        <f>ROUND(N993*'Methodology &amp; Assumptions'!$B$5, 0)</f>
        <v/>
      </c>
      <c r="P993" s="10" t="inlineStr">
        <is>
          <t>Single Carrier (Band n50, 100MHz TDD)</t>
        </is>
      </c>
      <c r="Q993" s="13">
        <f>ROUNDUP(O993/'Methodology &amp; Assumptions'!$B$6, 0)</f>
        <v/>
      </c>
      <c r="R993" s="13" t="n">
        <v>1</v>
      </c>
      <c r="S993" s="14" t="n">
        <v>35.37</v>
      </c>
      <c r="T993" s="14" t="n">
        <v>38.34</v>
      </c>
      <c r="U993" s="26">
        <f>IF(X993&gt;='Methodology &amp; Assumptions'!$B$7, "Tier 1 Critical GIDA (Score ≥ 50.0)", IF(X993&gt;='Methodology &amp; Assumptions'!$B$8, "Tier 2 High GIDA (Score 40.0–49.9)", "Tier 3 Moderate GIDA (Score &lt; 40.0)"))</f>
        <v/>
      </c>
      <c r="V993" s="26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W993" s="28" t="n">
        <v>0.237</v>
      </c>
      <c r="X993" s="14" t="n">
        <v>44.65</v>
      </c>
      <c r="Y993" s="14">
        <f>ROUND(MIN(100, (X993/69.91)*100), 2)</f>
        <v/>
      </c>
    </row>
    <row r="994">
      <c r="A994" s="10" t="n">
        <v>4</v>
      </c>
      <c r="B994" s="10" t="n">
        <v>990</v>
      </c>
      <c r="C994" s="10" t="n">
        <v>3990</v>
      </c>
      <c r="D994" s="10" t="inlineStr">
        <is>
          <t>0403428011</t>
        </is>
      </c>
      <c r="E994" s="26" t="inlineStr">
        <is>
          <t>Region IV-A (CALABARZON)</t>
        </is>
      </c>
      <c r="F994" s="26" t="inlineStr">
        <is>
          <t>Laguna</t>
        </is>
      </c>
      <c r="G994" s="26" t="inlineStr">
        <is>
          <t>City of Santa Rosa</t>
        </is>
      </c>
      <c r="H994" s="26" t="inlineStr">
        <is>
          <t>Malusak</t>
        </is>
      </c>
      <c r="I994" s="27" t="n">
        <v>14.314171</v>
      </c>
      <c r="J994" s="27" t="n">
        <v>121.112577</v>
      </c>
      <c r="K994" s="10" t="inlineStr">
        <is>
          <t>U</t>
        </is>
      </c>
      <c r="L994" s="12" t="n">
        <v>3185</v>
      </c>
      <c r="M994" s="14" t="n">
        <v>3.3</v>
      </c>
      <c r="N994" s="12">
        <f>ROUND(L994/M994, 0)</f>
        <v/>
      </c>
      <c r="O994" s="12">
        <f>ROUND(N994*'Methodology &amp; Assumptions'!$B$5, 0)</f>
        <v/>
      </c>
      <c r="P994" s="10" t="inlineStr">
        <is>
          <t>Single Carrier (Band n50, 100MHz TDD)</t>
        </is>
      </c>
      <c r="Q994" s="13">
        <f>ROUNDUP(O994/'Methodology &amp; Assumptions'!$B$6, 0)</f>
        <v/>
      </c>
      <c r="R994" s="13" t="n">
        <v>1</v>
      </c>
      <c r="S994" s="14" t="n">
        <v>1.02</v>
      </c>
      <c r="T994" s="14" t="n">
        <v>1.36</v>
      </c>
      <c r="U994" s="26">
        <f>IF(X994&gt;='Methodology &amp; Assumptions'!$B$7, "Tier 1 Critical GIDA (Score ≥ 50.0)", IF(X994&gt;='Methodology &amp; Assumptions'!$B$8, "Tier 2 High GIDA (Score 40.0–49.9)", "Tier 3 Moderate GIDA (Score &lt; 40.0)"))</f>
        <v/>
      </c>
      <c r="V994" s="26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W994" s="28" t="n">
        <v>0.07200000000000001</v>
      </c>
      <c r="X994" s="14" t="n">
        <v>44.65</v>
      </c>
      <c r="Y994" s="14">
        <f>ROUND(MIN(100, (X994/69.91)*100), 2)</f>
        <v/>
      </c>
    </row>
    <row r="995">
      <c r="A995" s="10" t="n">
        <v>4</v>
      </c>
      <c r="B995" s="10" t="n">
        <v>991</v>
      </c>
      <c r="C995" s="10" t="n">
        <v>3991</v>
      </c>
      <c r="D995" s="10" t="inlineStr">
        <is>
          <t>1908710029</t>
        </is>
      </c>
      <c r="E995" s="26" t="inlineStr">
        <is>
          <t>Bangsamoro Autonomous Region In Muslim Mindanao (BARMM)</t>
        </is>
      </c>
      <c r="F995" s="26" t="inlineStr">
        <is>
          <t>Maguindanao del Norte</t>
        </is>
      </c>
      <c r="G995" s="26" t="inlineStr">
        <is>
          <t>Sultan Kudarat</t>
        </is>
      </c>
      <c r="H995" s="26" t="inlineStr">
        <is>
          <t>Panatan</t>
        </is>
      </c>
      <c r="I995" s="27" t="n">
        <v>17.254002</v>
      </c>
      <c r="J995" s="27" t="n">
        <v>122.228046</v>
      </c>
      <c r="K995" s="10" t="inlineStr">
        <is>
          <t>R</t>
        </is>
      </c>
      <c r="L995" s="12" t="n">
        <v>2317</v>
      </c>
      <c r="M995" s="14" t="n">
        <v>3.8</v>
      </c>
      <c r="N995" s="12">
        <f>ROUND(L995/M995, 0)</f>
        <v/>
      </c>
      <c r="O995" s="12">
        <f>ROUND(N995*'Methodology &amp; Assumptions'!$B$5, 0)</f>
        <v/>
      </c>
      <c r="P995" s="10" t="inlineStr">
        <is>
          <t>Single Carrier (Band n50, 100MHz TDD)</t>
        </is>
      </c>
      <c r="Q995" s="13">
        <f>ROUNDUP(O995/'Methodology &amp; Assumptions'!$B$6, 0)</f>
        <v/>
      </c>
      <c r="R995" s="13" t="n">
        <v>1</v>
      </c>
      <c r="S995" s="14" t="n">
        <v>29.29</v>
      </c>
      <c r="T995" s="14" t="n">
        <v>34.19</v>
      </c>
      <c r="U995" s="26">
        <f>IF(X995&gt;='Methodology &amp; Assumptions'!$B$7, "Tier 1 Critical GIDA (Score ≥ 50.0)", IF(X995&gt;='Methodology &amp; Assumptions'!$B$8, "Tier 2 High GIDA (Score 40.0–49.9)", "Tier 3 Moderate GIDA (Score &lt; 40.0)"))</f>
        <v/>
      </c>
      <c r="V995" s="26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W995" s="28" t="n">
        <v>0.11</v>
      </c>
      <c r="X995" s="14" t="n">
        <v>44.63</v>
      </c>
      <c r="Y995" s="14">
        <f>ROUND(MIN(100, (X995/69.91)*100), 2)</f>
        <v/>
      </c>
    </row>
    <row r="996">
      <c r="A996" s="10" t="n">
        <v>4</v>
      </c>
      <c r="B996" s="10" t="n">
        <v>992</v>
      </c>
      <c r="C996" s="10" t="n">
        <v>3992</v>
      </c>
      <c r="D996" s="10" t="inlineStr">
        <is>
          <t>1705309023</t>
        </is>
      </c>
      <c r="E996" s="26" t="inlineStr">
        <is>
          <t>MIMAROPA Region</t>
        </is>
      </c>
      <c r="F996" s="26" t="inlineStr">
        <is>
          <t>Palawan</t>
        </is>
      </c>
      <c r="G996" s="26" t="inlineStr">
        <is>
          <t>Coron</t>
        </is>
      </c>
      <c r="H996" s="26" t="inlineStr">
        <is>
          <t>San Nicolas</t>
        </is>
      </c>
      <c r="I996" s="27" t="n">
        <v>12.079813</v>
      </c>
      <c r="J996" s="27" t="n">
        <v>120.193102</v>
      </c>
      <c r="K996" s="10" t="inlineStr">
        <is>
          <t>R</t>
        </is>
      </c>
      <c r="L996" s="12" t="n">
        <v>3804</v>
      </c>
      <c r="M996" s="14" t="n">
        <v>3.9</v>
      </c>
      <c r="N996" s="12">
        <f>ROUND(L996/M996, 0)</f>
        <v/>
      </c>
      <c r="O996" s="12">
        <f>ROUND(N996*'Methodology &amp; Assumptions'!$B$5, 0)</f>
        <v/>
      </c>
      <c r="P996" s="10" t="inlineStr">
        <is>
          <t>Single Carrier (Band n50, 100MHz TDD)</t>
        </is>
      </c>
      <c r="Q996" s="13">
        <f>ROUNDUP(O996/'Methodology &amp; Assumptions'!$B$6, 0)</f>
        <v/>
      </c>
      <c r="R996" s="13" t="n">
        <v>1</v>
      </c>
      <c r="S996" s="14" t="n">
        <v>6.64</v>
      </c>
      <c r="T996" s="14" t="n">
        <v>99.08</v>
      </c>
      <c r="U996" s="26">
        <f>IF(X996&gt;='Methodology &amp; Assumptions'!$B$7, "Tier 1 Critical GIDA (Score ≥ 50.0)", IF(X996&gt;='Methodology &amp; Assumptions'!$B$8, "Tier 2 High GIDA (Score 40.0–49.9)", "Tier 3 Moderate GIDA (Score &lt; 40.0)"))</f>
        <v/>
      </c>
      <c r="V996" s="26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W996" s="28" t="n">
        <v>0.15</v>
      </c>
      <c r="X996" s="14" t="n">
        <v>44.63</v>
      </c>
      <c r="Y996" s="14">
        <f>ROUND(MIN(100, (X996/69.91)*100), 2)</f>
        <v/>
      </c>
    </row>
    <row r="997">
      <c r="A997" s="10" t="n">
        <v>4</v>
      </c>
      <c r="B997" s="10" t="n">
        <v>993</v>
      </c>
      <c r="C997" s="10" t="n">
        <v>3993</v>
      </c>
      <c r="D997" s="10" t="inlineStr">
        <is>
          <t>1381100199</t>
        </is>
      </c>
      <c r="E997" s="26" t="inlineStr">
        <is>
          <t>National Capital Region (NCR)</t>
        </is>
      </c>
      <c r="F997" s="26" t="inlineStr">
        <is>
          <t>Fourth District (Not a Province)</t>
        </is>
      </c>
      <c r="G997" s="26" t="inlineStr">
        <is>
          <t>Pasay City</t>
        </is>
      </c>
      <c r="H997" s="26" t="inlineStr">
        <is>
          <t>Barangay 199</t>
        </is>
      </c>
      <c r="I997" s="27" t="n">
        <v>14.669757</v>
      </c>
      <c r="J997" s="27" t="n">
        <v>120.794784</v>
      </c>
      <c r="K997" s="10" t="inlineStr">
        <is>
          <t>U</t>
        </is>
      </c>
      <c r="L997" s="12" t="n">
        <v>2102</v>
      </c>
      <c r="M997" s="14" t="n">
        <v>3.4</v>
      </c>
      <c r="N997" s="12">
        <f>ROUND(L997/M997, 0)</f>
        <v/>
      </c>
      <c r="O997" s="12">
        <f>ROUND(N997*'Methodology &amp; Assumptions'!$B$5, 0)</f>
        <v/>
      </c>
      <c r="P997" s="10" t="inlineStr">
        <is>
          <t>Single Carrier (Band n50, 100MHz TDD)</t>
        </is>
      </c>
      <c r="Q997" s="13">
        <f>ROUNDUP(O997/'Methodology &amp; Assumptions'!$B$6, 0)</f>
        <v/>
      </c>
      <c r="R997" s="13" t="n">
        <v>1</v>
      </c>
      <c r="S997" s="14" t="n">
        <v>15.85</v>
      </c>
      <c r="T997" s="14" t="n">
        <v>15.84</v>
      </c>
      <c r="U997" s="26">
        <f>IF(X997&gt;='Methodology &amp; Assumptions'!$B$7, "Tier 1 Critical GIDA (Score ≥ 50.0)", IF(X997&gt;='Methodology &amp; Assumptions'!$B$8, "Tier 2 High GIDA (Score 40.0–49.9)", "Tier 3 Moderate GIDA (Score &lt; 40.0)"))</f>
        <v/>
      </c>
      <c r="V997" s="26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W997" s="28" t="n">
        <v>0.109</v>
      </c>
      <c r="X997" s="14" t="n">
        <v>44.63</v>
      </c>
      <c r="Y997" s="14">
        <f>ROUND(MIN(100, (X997/69.91)*100), 2)</f>
        <v/>
      </c>
    </row>
    <row r="998">
      <c r="A998" s="10" t="n">
        <v>4</v>
      </c>
      <c r="B998" s="10" t="n">
        <v>994</v>
      </c>
      <c r="C998" s="10" t="n">
        <v>3994</v>
      </c>
      <c r="D998" s="10" t="inlineStr">
        <is>
          <t>1907011013</t>
        </is>
      </c>
      <c r="E998" s="26" t="inlineStr">
        <is>
          <t>Bangsamoro Autonomous Region In Muslim Mindanao (BARMM)</t>
        </is>
      </c>
      <c r="F998" s="26" t="inlineStr">
        <is>
          <t>Tawi-Tawi</t>
        </is>
      </c>
      <c r="G998" s="26" t="inlineStr">
        <is>
          <t>Sibutu</t>
        </is>
      </c>
      <c r="H998" s="26" t="inlineStr">
        <is>
          <t>Taungoh</t>
        </is>
      </c>
      <c r="I998" s="27" t="n">
        <v>4.706311</v>
      </c>
      <c r="J998" s="27" t="n">
        <v>119.492008</v>
      </c>
      <c r="K998" s="10" t="inlineStr">
        <is>
          <t>R</t>
        </is>
      </c>
      <c r="L998" s="12" t="n">
        <v>3655</v>
      </c>
      <c r="M998" s="14" t="n">
        <v>5.8</v>
      </c>
      <c r="N998" s="12">
        <f>ROUND(L998/M998, 0)</f>
        <v/>
      </c>
      <c r="O998" s="12">
        <f>ROUND(N998*'Methodology &amp; Assumptions'!$B$5, 0)</f>
        <v/>
      </c>
      <c r="P998" s="10" t="inlineStr">
        <is>
          <t>Single Carrier (Band n50, 100MHz TDD)</t>
        </is>
      </c>
      <c r="Q998" s="13">
        <f>ROUNDUP(O998/'Methodology &amp; Assumptions'!$B$6, 0)</f>
        <v/>
      </c>
      <c r="R998" s="13" t="n">
        <v>1</v>
      </c>
      <c r="S998" s="14" t="n">
        <v>999</v>
      </c>
      <c r="T998" s="14" t="n">
        <v>999</v>
      </c>
      <c r="U998" s="26">
        <f>IF(X998&gt;='Methodology &amp; Assumptions'!$B$7, "Tier 1 Critical GIDA (Score ≥ 50.0)", IF(X998&gt;='Methodology &amp; Assumptions'!$B$8, "Tier 2 High GIDA (Score 40.0–49.9)", "Tier 3 Moderate GIDA (Score &lt; 40.0)"))</f>
        <v/>
      </c>
      <c r="V998" s="26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W998" s="28" t="n">
        <v>0.11</v>
      </c>
      <c r="X998" s="14" t="n">
        <v>44.62</v>
      </c>
      <c r="Y998" s="14">
        <f>ROUND(MIN(100, (X998/69.91)*100), 2)</f>
        <v/>
      </c>
    </row>
    <row r="999">
      <c r="A999" s="10" t="n">
        <v>4</v>
      </c>
      <c r="B999" s="10" t="n">
        <v>995</v>
      </c>
      <c r="C999" s="10" t="n">
        <v>3995</v>
      </c>
      <c r="D999" s="10" t="inlineStr">
        <is>
          <t>PH0003995</t>
        </is>
      </c>
      <c r="E999" s="26" t="inlineStr">
        <is>
          <t>VIII</t>
        </is>
      </c>
      <c r="F999" s="26" t="inlineStr">
        <is>
          <t>Leyte</t>
        </is>
      </c>
      <c r="G999" s="26" t="inlineStr">
        <is>
          <t>Tacloban City</t>
        </is>
      </c>
      <c r="H999" s="26" t="inlineStr">
        <is>
          <t>Barangay 57</t>
        </is>
      </c>
      <c r="I999" s="27" t="n">
        <v>11.189375</v>
      </c>
      <c r="J999" s="27" t="n">
        <v>124.985392</v>
      </c>
      <c r="K999" s="10" t="inlineStr">
        <is>
          <t>R</t>
        </is>
      </c>
      <c r="L999" s="12" t="n">
        <v>2258</v>
      </c>
      <c r="M999" s="14" t="n">
        <v>3.8</v>
      </c>
      <c r="N999" s="12">
        <f>ROUND(L999/M999, 0)</f>
        <v/>
      </c>
      <c r="O999" s="12">
        <f>ROUND(N999*'Methodology &amp; Assumptions'!$B$5, 0)</f>
        <v/>
      </c>
      <c r="P999" s="10" t="inlineStr">
        <is>
          <t>Single Carrier (Band n50, 100MHz TDD)</t>
        </is>
      </c>
      <c r="Q999" s="13">
        <f>ROUNDUP(O999/'Methodology &amp; Assumptions'!$B$6, 0)</f>
        <v/>
      </c>
      <c r="R999" s="13" t="n">
        <v>1</v>
      </c>
      <c r="S999" s="14" t="n">
        <v>3.67</v>
      </c>
      <c r="T999" s="14" t="n">
        <v>1.94</v>
      </c>
      <c r="U999" s="26">
        <f>IF(X999&gt;='Methodology &amp; Assumptions'!$B$7, "Tier 1 Critical GIDA (Score ≥ 50.0)", IF(X999&gt;='Methodology &amp; Assumptions'!$B$8, "Tier 2 High GIDA (Score 40.0–49.9)", "Tier 3 Moderate GIDA (Score &lt; 40.0)"))</f>
        <v/>
      </c>
      <c r="V999" s="26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W999" s="28" t="n">
        <v>0.222</v>
      </c>
      <c r="X999" s="14" t="n">
        <v>44.62</v>
      </c>
      <c r="Y999" s="14">
        <f>ROUND(MIN(100, (X999/69.91)*100), 2)</f>
        <v/>
      </c>
    </row>
    <row r="1000">
      <c r="A1000" s="10" t="n">
        <v>4</v>
      </c>
      <c r="B1000" s="10" t="n">
        <v>996</v>
      </c>
      <c r="C1000" s="10" t="n">
        <v>3996</v>
      </c>
      <c r="D1000" s="10" t="inlineStr">
        <is>
          <t>PH0003996</t>
        </is>
      </c>
      <c r="E1000" s="26" t="inlineStr">
        <is>
          <t>I</t>
        </is>
      </c>
      <c r="F1000" s="26" t="inlineStr">
        <is>
          <t>Ilocos Norte</t>
        </is>
      </c>
      <c r="G1000" s="26" t="inlineStr">
        <is>
          <t>Laoag City</t>
        </is>
      </c>
      <c r="H1000" s="26" t="inlineStr">
        <is>
          <t>Bgy. No. 5, San Pedro (Pob.)</t>
        </is>
      </c>
      <c r="I1000" s="27" t="n">
        <v>18.188827</v>
      </c>
      <c r="J1000" s="27" t="n">
        <v>120.595956</v>
      </c>
      <c r="K1000" s="10" t="inlineStr">
        <is>
          <t>R</t>
        </is>
      </c>
      <c r="L1000" s="12" t="n">
        <v>2233</v>
      </c>
      <c r="M1000" s="14" t="n">
        <v>3.7</v>
      </c>
      <c r="N1000" s="12">
        <f>ROUND(L1000/M1000, 0)</f>
        <v/>
      </c>
      <c r="O1000" s="12">
        <f>ROUND(N1000*'Methodology &amp; Assumptions'!$B$5, 0)</f>
        <v/>
      </c>
      <c r="P1000" s="10" t="inlineStr">
        <is>
          <t>Single Carrier (Band n50, 100MHz TDD)</t>
        </is>
      </c>
      <c r="Q1000" s="13">
        <f>ROUNDUP(O1000/'Methodology &amp; Assumptions'!$B$6, 0)</f>
        <v/>
      </c>
      <c r="R1000" s="13" t="n">
        <v>1</v>
      </c>
      <c r="S1000" s="14" t="n">
        <v>2.07</v>
      </c>
      <c r="T1000" s="14" t="n">
        <v>0.59</v>
      </c>
      <c r="U1000" s="26">
        <f>IF(X1000&gt;='Methodology &amp; Assumptions'!$B$7, "Tier 1 Critical GIDA (Score ≥ 50.0)", IF(X1000&gt;='Methodology &amp; Assumptions'!$B$8, "Tier 2 High GIDA (Score 40.0–49.9)", "Tier 3 Moderate GIDA (Score &lt; 40.0)"))</f>
        <v/>
      </c>
      <c r="V1000" s="26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W1000" s="28" t="n">
        <v>0.083</v>
      </c>
      <c r="X1000" s="14" t="n">
        <v>44.62</v>
      </c>
      <c r="Y1000" s="14">
        <f>ROUND(MIN(100, (X1000/69.91)*100), 2)</f>
        <v/>
      </c>
    </row>
    <row r="1001">
      <c r="A1001" s="10" t="n">
        <v>4</v>
      </c>
      <c r="B1001" s="10" t="n">
        <v>997</v>
      </c>
      <c r="C1001" s="10" t="n">
        <v>3997</v>
      </c>
      <c r="D1001" s="10" t="inlineStr">
        <is>
          <t>PH0003997</t>
        </is>
      </c>
      <c r="E1001" s="26" t="inlineStr">
        <is>
          <t>IV-A</t>
        </is>
      </c>
      <c r="F1001" s="26" t="inlineStr">
        <is>
          <t>Laguna</t>
        </is>
      </c>
      <c r="G1001" s="26" t="inlineStr">
        <is>
          <t>San Pablo City</t>
        </is>
      </c>
      <c r="H1001" s="26" t="inlineStr">
        <is>
          <t>Barangay V-A (Pob.)</t>
        </is>
      </c>
      <c r="I1001" s="27" t="n">
        <v>14.078112</v>
      </c>
      <c r="J1001" s="27" t="n">
        <v>121.301535</v>
      </c>
      <c r="K1001" s="10" t="inlineStr">
        <is>
          <t>R</t>
        </is>
      </c>
      <c r="L1001" s="12" t="n">
        <v>2412</v>
      </c>
      <c r="M1001" s="14" t="n">
        <v>3.3</v>
      </c>
      <c r="N1001" s="12">
        <f>ROUND(L1001/M1001, 0)</f>
        <v/>
      </c>
      <c r="O1001" s="12">
        <f>ROUND(N1001*'Methodology &amp; Assumptions'!$B$5, 0)</f>
        <v/>
      </c>
      <c r="P1001" s="10" t="inlineStr">
        <is>
          <t>Single Carrier (Band n50, 100MHz TDD)</t>
        </is>
      </c>
      <c r="Q1001" s="13">
        <f>ROUNDUP(O1001/'Methodology &amp; Assumptions'!$B$6, 0)</f>
        <v/>
      </c>
      <c r="R1001" s="13" t="n">
        <v>1</v>
      </c>
      <c r="S1001" s="14" t="n">
        <v>1.64</v>
      </c>
      <c r="T1001" s="14" t="n">
        <v>0.85</v>
      </c>
      <c r="U1001" s="26">
        <f>IF(X1001&gt;='Methodology &amp; Assumptions'!$B$7, "Tier 1 Critical GIDA (Score ≥ 50.0)", IF(X1001&gt;='Methodology &amp; Assumptions'!$B$8, "Tier 2 High GIDA (Score 40.0–49.9)", "Tier 3 Moderate GIDA (Score &lt; 40.0)"))</f>
        <v/>
      </c>
      <c r="V1001" s="26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W1001" s="28" t="n">
        <v>0.07200000000000001</v>
      </c>
      <c r="X1001" s="14" t="n">
        <v>44.62</v>
      </c>
      <c r="Y1001" s="14">
        <f>ROUND(MIN(100, (X1001/69.91)*100), 2)</f>
        <v/>
      </c>
    </row>
    <row r="1002">
      <c r="A1002" s="10" t="n">
        <v>4</v>
      </c>
      <c r="B1002" s="10" t="n">
        <v>998</v>
      </c>
      <c r="C1002" s="10" t="n">
        <v>3998</v>
      </c>
      <c r="D1002" s="10" t="inlineStr">
        <is>
          <t>0403403006</t>
        </is>
      </c>
      <c r="E1002" s="26" t="inlineStr">
        <is>
          <t>Region IV-A (CALABARZON)</t>
        </is>
      </c>
      <c r="F1002" s="26" t="inlineStr">
        <is>
          <t>Laguna</t>
        </is>
      </c>
      <c r="G1002" s="26" t="inlineStr">
        <is>
          <t>City of Biñan</t>
        </is>
      </c>
      <c r="H1002" s="26" t="inlineStr">
        <is>
          <t>De La Paz</t>
        </is>
      </c>
      <c r="I1002" s="27" t="n">
        <v>14.348217</v>
      </c>
      <c r="J1002" s="27" t="n">
        <v>121.084984</v>
      </c>
      <c r="K1002" s="10" t="inlineStr">
        <is>
          <t>U</t>
        </is>
      </c>
      <c r="L1002" s="12" t="n">
        <v>35999</v>
      </c>
      <c r="M1002" s="14" t="n">
        <v>3.3</v>
      </c>
      <c r="N1002" s="12">
        <f>ROUND(L1002/M1002, 0)</f>
        <v/>
      </c>
      <c r="O1002" s="12">
        <f>ROUND(N1002*'Methodology &amp; Assumptions'!$B$5, 0)</f>
        <v/>
      </c>
      <c r="P1002" s="10" t="inlineStr">
        <is>
          <t>Single Carrier (Band n50, 100MHz TDD)</t>
        </is>
      </c>
      <c r="Q1002" s="13">
        <f>ROUNDUP(O1002/'Methodology &amp; Assumptions'!$B$6, 0)</f>
        <v/>
      </c>
      <c r="R1002" s="13" t="n">
        <v>1</v>
      </c>
      <c r="S1002" s="14" t="n">
        <v>1.46</v>
      </c>
      <c r="T1002" s="14" t="n">
        <v>1.02</v>
      </c>
      <c r="U1002" s="26">
        <f>IF(X1002&gt;='Methodology &amp; Assumptions'!$B$7, "Tier 1 Critical GIDA (Score ≥ 50.0)", IF(X1002&gt;='Methodology &amp; Assumptions'!$B$8, "Tier 2 High GIDA (Score 40.0–49.9)", "Tier 3 Moderate GIDA (Score &lt; 40.0)"))</f>
        <v/>
      </c>
      <c r="V1002" s="26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W1002" s="28" t="n">
        <v>0.07200000000000001</v>
      </c>
      <c r="X1002" s="14" t="n">
        <v>44.61</v>
      </c>
      <c r="Y1002" s="14">
        <f>ROUND(MIN(100, (X1002/69.91)*100), 2)</f>
        <v/>
      </c>
    </row>
    <row r="1003">
      <c r="A1003" s="10" t="n">
        <v>4</v>
      </c>
      <c r="B1003" s="10" t="n">
        <v>999</v>
      </c>
      <c r="C1003" s="10" t="n">
        <v>3999</v>
      </c>
      <c r="D1003" s="10" t="inlineStr">
        <is>
          <t>0403405020</t>
        </is>
      </c>
      <c r="E1003" s="26" t="inlineStr">
        <is>
          <t>Region IV-A (CALABARZON)</t>
        </is>
      </c>
      <c r="F1003" s="26" t="inlineStr">
        <is>
          <t>Laguna</t>
        </is>
      </c>
      <c r="G1003" s="26" t="inlineStr">
        <is>
          <t>City of Calamba</t>
        </is>
      </c>
      <c r="H1003" s="26" t="inlineStr">
        <is>
          <t>Lecheria</t>
        </is>
      </c>
      <c r="I1003" s="27" t="n">
        <v>14.203262</v>
      </c>
      <c r="J1003" s="27" t="n">
        <v>121.161429</v>
      </c>
      <c r="K1003" s="10" t="inlineStr">
        <is>
          <t>U</t>
        </is>
      </c>
      <c r="L1003" s="12" t="n">
        <v>11956</v>
      </c>
      <c r="M1003" s="14" t="n">
        <v>3.3</v>
      </c>
      <c r="N1003" s="12">
        <f>ROUND(L1003/M1003, 0)</f>
        <v/>
      </c>
      <c r="O1003" s="12">
        <f>ROUND(N1003*'Methodology &amp; Assumptions'!$B$5, 0)</f>
        <v/>
      </c>
      <c r="P1003" s="10" t="inlineStr">
        <is>
          <t>Single Carrier (Band n50, 100MHz TDD)</t>
        </is>
      </c>
      <c r="Q1003" s="13">
        <f>ROUNDUP(O1003/'Methodology &amp; Assumptions'!$B$6, 0)</f>
        <v/>
      </c>
      <c r="R1003" s="13" t="n">
        <v>1</v>
      </c>
      <c r="S1003" s="14" t="n">
        <v>1.78</v>
      </c>
      <c r="T1003" s="14" t="n">
        <v>0.21</v>
      </c>
      <c r="U1003" s="26">
        <f>IF(X1003&gt;='Methodology &amp; Assumptions'!$B$7, "Tier 1 Critical GIDA (Score ≥ 50.0)", IF(X1003&gt;='Methodology &amp; Assumptions'!$B$8, "Tier 2 High GIDA (Score 40.0–49.9)", "Tier 3 Moderate GIDA (Score &lt; 40.0)"))</f>
        <v/>
      </c>
      <c r="V1003" s="26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W1003" s="28" t="n">
        <v>0.07200000000000001</v>
      </c>
      <c r="X1003" s="14" t="n">
        <v>44.61</v>
      </c>
      <c r="Y1003" s="14">
        <f>ROUND(MIN(100, (X1003/69.91)*100), 2)</f>
        <v/>
      </c>
    </row>
    <row r="1004">
      <c r="A1004" s="10" t="n">
        <v>4</v>
      </c>
      <c r="B1004" s="10" t="n">
        <v>1000</v>
      </c>
      <c r="C1004" s="10" t="n">
        <v>4000</v>
      </c>
      <c r="D1004" s="10" t="inlineStr">
        <is>
          <t>1102501003</t>
        </is>
      </c>
      <c r="E1004" s="26" t="inlineStr">
        <is>
          <t>Region XI (Davao Region)</t>
        </is>
      </c>
      <c r="F1004" s="26" t="inlineStr">
        <is>
          <t>Davao Oriental</t>
        </is>
      </c>
      <c r="G1004" s="26" t="inlineStr">
        <is>
          <t>Baganga</t>
        </is>
      </c>
      <c r="H1004" s="26" t="inlineStr">
        <is>
          <t>Batawan</t>
        </is>
      </c>
      <c r="I1004" s="27" t="n">
        <v>7.478428</v>
      </c>
      <c r="J1004" s="27" t="n">
        <v>126.542603</v>
      </c>
      <c r="K1004" s="10" t="inlineStr">
        <is>
          <t>R</t>
        </is>
      </c>
      <c r="L1004" s="12" t="n">
        <v>734</v>
      </c>
      <c r="M1004" s="14" t="n">
        <v>3.6</v>
      </c>
      <c r="N1004" s="12">
        <f>ROUND(L1004/M1004, 0)</f>
        <v/>
      </c>
      <c r="O1004" s="12">
        <f>ROUND(N1004*'Methodology &amp; Assumptions'!$B$5, 0)</f>
        <v/>
      </c>
      <c r="P1004" s="10" t="inlineStr">
        <is>
          <t>Single Carrier (Band n50, 100MHz TDD)</t>
        </is>
      </c>
      <c r="Q1004" s="13">
        <f>ROUNDUP(O1004/'Methodology &amp; Assumptions'!$B$6, 0)</f>
        <v/>
      </c>
      <c r="R1004" s="13" t="n">
        <v>1</v>
      </c>
      <c r="S1004" s="14" t="n">
        <v>66.17</v>
      </c>
      <c r="T1004" s="14" t="n">
        <v>64.5</v>
      </c>
      <c r="U1004" s="26">
        <f>IF(X1004&gt;='Methodology &amp; Assumptions'!$B$7, "Tier 1 Critical GIDA (Score ≥ 50.0)", IF(X1004&gt;='Methodology &amp; Assumptions'!$B$8, "Tier 2 High GIDA (Score 40.0–49.9)", "Tier 3 Moderate GIDA (Score &lt; 40.0)"))</f>
        <v/>
      </c>
      <c r="V1004" s="26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W1004" s="28" t="n">
        <v>0.174</v>
      </c>
      <c r="X1004" s="14" t="n">
        <v>44.6</v>
      </c>
      <c r="Y1004" s="14">
        <f>ROUND(MIN(100, (X1004/69.91)*100), 2)</f>
        <v/>
      </c>
    </row>
    <row r="1005">
      <c r="A1005" s="10" t="n">
        <v>5</v>
      </c>
      <c r="B1005" s="10" t="n">
        <v>1</v>
      </c>
      <c r="C1005" s="10" t="n">
        <v>4001</v>
      </c>
      <c r="D1005" s="10" t="inlineStr">
        <is>
          <t>PH0004001</t>
        </is>
      </c>
      <c r="E1005" s="26" t="inlineStr">
        <is>
          <t>NCR</t>
        </is>
      </c>
      <c r="F1005" s="26" t="inlineStr">
        <is>
          <t>Metro Manila</t>
        </is>
      </c>
      <c r="G1005" s="26" t="inlineStr">
        <is>
          <t>Taguig City</t>
        </is>
      </c>
      <c r="H1005" s="26" t="inlineStr">
        <is>
          <t>Post Proper Northside</t>
        </is>
      </c>
      <c r="I1005" s="27" t="n">
        <v>14.512786</v>
      </c>
      <c r="J1005" s="27" t="n">
        <v>121.053076</v>
      </c>
      <c r="K1005" s="10" t="inlineStr">
        <is>
          <t>R</t>
        </is>
      </c>
      <c r="L1005" s="12" t="n">
        <v>2279</v>
      </c>
      <c r="M1005" s="14" t="n">
        <v>3.8</v>
      </c>
      <c r="N1005" s="12">
        <f>ROUND(L1005/M1005, 0)</f>
        <v/>
      </c>
      <c r="O1005" s="12">
        <f>ROUND(N1005*'Methodology &amp; Assumptions'!$B$5, 0)</f>
        <v/>
      </c>
      <c r="P1005" s="10" t="inlineStr">
        <is>
          <t>Single Carrier (Band n50, 100MHz TDD)</t>
        </is>
      </c>
      <c r="Q1005" s="13">
        <f>ROUNDUP(O1005/'Methodology &amp; Assumptions'!$B$6, 0)</f>
        <v/>
      </c>
      <c r="R1005" s="13" t="n">
        <v>1</v>
      </c>
      <c r="S1005" s="14" t="n">
        <v>0.42</v>
      </c>
      <c r="T1005" s="14" t="n">
        <v>0.1</v>
      </c>
      <c r="U1005" s="26">
        <f>IF(X1005&gt;='Methodology &amp; Assumptions'!$B$7, "Tier 1 Critical GIDA (Score ≥ 50.0)", IF(X1005&gt;='Methodology &amp; Assumptions'!$B$8, "Tier 2 High GIDA (Score 40.0–49.9)", "Tier 3 Moderate GIDA (Score &lt; 40.0)"))</f>
        <v/>
      </c>
      <c r="V1005" s="26">
        <f>IF(S1005&lt;='Methodology &amp; Assumptions'!$B$10, "Direct Optical Drop (&lt;3km)", IF(S1005&lt;='Methodology &amp; Assumptions'!$B$9, "Near Optical / Microwave (&lt;5km)", "Starlink Business LEO Satellite Backhaul (&gt;5km)"))</f>
        <v/>
      </c>
      <c r="W1005" s="28" t="n">
        <v>0.011</v>
      </c>
      <c r="X1005" s="14" t="n">
        <v>44.59</v>
      </c>
      <c r="Y1005" s="14">
        <f>ROUND(MIN(100, (X1005/69.91)*100), 2)</f>
        <v/>
      </c>
    </row>
    <row r="1006">
      <c r="A1006" s="10" t="n">
        <v>5</v>
      </c>
      <c r="B1006" s="10" t="n">
        <v>2</v>
      </c>
      <c r="C1006" s="10" t="n">
        <v>4002</v>
      </c>
      <c r="D1006" s="10" t="inlineStr">
        <is>
          <t>0405646035</t>
        </is>
      </c>
      <c r="E1006" s="26" t="inlineStr">
        <is>
          <t>Region IV-A (CALABARZON)</t>
        </is>
      </c>
      <c r="F1006" s="26" t="inlineStr">
        <is>
          <t>Quezon</t>
        </is>
      </c>
      <c r="G1006" s="26" t="inlineStr">
        <is>
          <t>Tagkawayan</t>
        </is>
      </c>
      <c r="H1006" s="26" t="inlineStr">
        <is>
          <t>San Roque</t>
        </is>
      </c>
      <c r="I1006" s="27" t="n">
        <v>13.981831</v>
      </c>
      <c r="J1006" s="27" t="n">
        <v>122.43314</v>
      </c>
      <c r="K1006" s="10" t="inlineStr">
        <is>
          <t>R</t>
        </is>
      </c>
      <c r="L1006" s="12" t="n">
        <v>305</v>
      </c>
      <c r="M1006" s="14" t="n">
        <v>3.8</v>
      </c>
      <c r="N1006" s="12">
        <f>ROUND(L1006/M1006, 0)</f>
        <v/>
      </c>
      <c r="O1006" s="12">
        <f>ROUND(N1006*'Methodology &amp; Assumptions'!$B$5, 0)</f>
        <v/>
      </c>
      <c r="P1006" s="10" t="inlineStr">
        <is>
          <t>Single Carrier (Band n50, 100MHz TDD)</t>
        </is>
      </c>
      <c r="Q1006" s="13">
        <f>ROUNDUP(O1006/'Methodology &amp; Assumptions'!$B$6, 0)</f>
        <v/>
      </c>
      <c r="R1006" s="13" t="n">
        <v>1</v>
      </c>
      <c r="S1006" s="14" t="n">
        <v>5.13</v>
      </c>
      <c r="T1006" s="14" t="n">
        <v>5.11</v>
      </c>
      <c r="U1006" s="26">
        <f>IF(X1006&gt;='Methodology &amp; Assumptions'!$B$7, "Tier 1 Critical GIDA (Score ≥ 50.0)", IF(X1006&gt;='Methodology &amp; Assumptions'!$B$8, "Tier 2 High GIDA (Score 40.0–49.9)", "Tier 3 Moderate GIDA (Score &lt; 40.0)"))</f>
        <v/>
      </c>
      <c r="V1006" s="26">
        <f>IF(S1006&lt;='Methodology &amp; Assumptions'!$B$10, "Direct Optical Drop (&lt;3km)", IF(S1006&lt;='Methodology &amp; Assumptions'!$B$9, "Near Optical / Microwave (&lt;5km)", "Starlink Business LEO Satellite Backhaul (&gt;5km)"))</f>
        <v/>
      </c>
      <c r="W1006" s="28" t="n">
        <v>0.07200000000000001</v>
      </c>
      <c r="X1006" s="14" t="n">
        <v>44.59</v>
      </c>
      <c r="Y1006" s="14">
        <f>ROUND(MIN(100, (X1006/69.91)*100), 2)</f>
        <v/>
      </c>
    </row>
    <row r="1007">
      <c r="A1007" s="10" t="n">
        <v>5</v>
      </c>
      <c r="B1007" s="10" t="n">
        <v>3</v>
      </c>
      <c r="C1007" s="10" t="n">
        <v>4003</v>
      </c>
      <c r="D1007" s="10" t="inlineStr">
        <is>
          <t>1003503004</t>
        </is>
      </c>
      <c r="E1007" s="26" t="inlineStr">
        <is>
          <t>Region X (Northern Mindanao)</t>
        </is>
      </c>
      <c r="F1007" s="26" t="inlineStr">
        <is>
          <t>Lanao del Norte</t>
        </is>
      </c>
      <c r="G1007" s="26" t="inlineStr">
        <is>
          <t>Baroy</t>
        </is>
      </c>
      <c r="H1007" s="26" t="inlineStr">
        <is>
          <t>Bato</t>
        </is>
      </c>
      <c r="I1007" s="27" t="n">
        <v>7.979542</v>
      </c>
      <c r="J1007" s="27" t="n">
        <v>123.814932</v>
      </c>
      <c r="K1007" s="10" t="inlineStr">
        <is>
          <t>R</t>
        </is>
      </c>
      <c r="L1007" s="12" t="n">
        <v>419</v>
      </c>
      <c r="M1007" s="14" t="n">
        <v>4.2</v>
      </c>
      <c r="N1007" s="12">
        <f>ROUND(L1007/M1007, 0)</f>
        <v/>
      </c>
      <c r="O1007" s="12">
        <f>ROUND(N1007*'Methodology &amp; Assumptions'!$B$5, 0)</f>
        <v/>
      </c>
      <c r="P1007" s="10" t="inlineStr">
        <is>
          <t>Single Carrier (Band n50, 100MHz TDD)</t>
        </is>
      </c>
      <c r="Q1007" s="13">
        <f>ROUNDUP(O1007/'Methodology &amp; Assumptions'!$B$6, 0)</f>
        <v/>
      </c>
      <c r="R1007" s="13" t="n">
        <v>1</v>
      </c>
      <c r="S1007" s="14" t="n">
        <v>7.26</v>
      </c>
      <c r="T1007" s="14" t="n">
        <v>4.02</v>
      </c>
      <c r="U1007" s="26">
        <f>IF(X1007&gt;='Methodology &amp; Assumptions'!$B$7, "Tier 1 Critical GIDA (Score ≥ 50.0)", IF(X1007&gt;='Methodology &amp; Assumptions'!$B$8, "Tier 2 High GIDA (Score 40.0–49.9)", "Tier 3 Moderate GIDA (Score &lt; 40.0)"))</f>
        <v/>
      </c>
      <c r="V1007" s="26">
        <f>IF(S1007&lt;='Methodology &amp; Assumptions'!$B$10, "Direct Optical Drop (&lt;3km)", IF(S1007&lt;='Methodology &amp; Assumptions'!$B$9, "Near Optical / Microwave (&lt;5km)", "Starlink Business LEO Satellite Backhaul (&gt;5km)"))</f>
        <v/>
      </c>
      <c r="W1007" s="28" t="n">
        <v>0.174</v>
      </c>
      <c r="X1007" s="14" t="n">
        <v>44.59</v>
      </c>
      <c r="Y1007" s="14">
        <f>ROUND(MIN(100, (X1007/69.91)*100), 2)</f>
        <v/>
      </c>
    </row>
    <row r="1008">
      <c r="A1008" s="10" t="n">
        <v>5</v>
      </c>
      <c r="B1008" s="10" t="n">
        <v>4</v>
      </c>
      <c r="C1008" s="10" t="n">
        <v>4004</v>
      </c>
      <c r="D1008" s="10" t="inlineStr">
        <is>
          <t>0405802018</t>
        </is>
      </c>
      <c r="E1008" s="26" t="inlineStr">
        <is>
          <t>Region IV-A (CALABARZON)</t>
        </is>
      </c>
      <c r="F1008" s="26" t="inlineStr">
        <is>
          <t>Rizal</t>
        </is>
      </c>
      <c r="G1008" s="26" t="inlineStr">
        <is>
          <t>City of Antipolo</t>
        </is>
      </c>
      <c r="H1008" s="26" t="inlineStr">
        <is>
          <t>Muntingdilaw</t>
        </is>
      </c>
      <c r="I1008" s="27" t="n">
        <v>14.597354</v>
      </c>
      <c r="J1008" s="27" t="n">
        <v>121.12624</v>
      </c>
      <c r="K1008" s="10" t="inlineStr">
        <is>
          <t>U</t>
        </is>
      </c>
      <c r="L1008" s="12" t="n">
        <v>12938</v>
      </c>
      <c r="M1008" s="14" t="n">
        <v>3.6</v>
      </c>
      <c r="N1008" s="12">
        <f>ROUND(L1008/M1008, 0)</f>
        <v/>
      </c>
      <c r="O1008" s="12">
        <f>ROUND(N1008*'Methodology &amp; Assumptions'!$B$5, 0)</f>
        <v/>
      </c>
      <c r="P1008" s="10" t="inlineStr">
        <is>
          <t>Single Carrier (Band n50, 100MHz TDD)</t>
        </is>
      </c>
      <c r="Q1008" s="13">
        <f>ROUNDUP(O1008/'Methodology &amp; Assumptions'!$B$6, 0)</f>
        <v/>
      </c>
      <c r="R1008" s="13" t="n">
        <v>1</v>
      </c>
      <c r="S1008" s="14" t="n">
        <v>1.57</v>
      </c>
      <c r="T1008" s="14" t="n">
        <v>1.53</v>
      </c>
      <c r="U1008" s="26">
        <f>IF(X1008&gt;='Methodology &amp; Assumptions'!$B$7, "Tier 1 Critical GIDA (Score ≥ 50.0)", IF(X1008&gt;='Methodology &amp; Assumptions'!$B$8, "Tier 2 High GIDA (Score 40.0–49.9)", "Tier 3 Moderate GIDA (Score &lt; 40.0)"))</f>
        <v/>
      </c>
      <c r="V1008" s="26">
        <f>IF(S1008&lt;='Methodology &amp; Assumptions'!$B$10, "Direct Optical Drop (&lt;3km)", IF(S1008&lt;='Methodology &amp; Assumptions'!$B$9, "Near Optical / Microwave (&lt;5km)", "Starlink Business LEO Satellite Backhaul (&gt;5km)"))</f>
        <v/>
      </c>
      <c r="W1008" s="28" t="n">
        <v>0.07200000000000001</v>
      </c>
      <c r="X1008" s="14" t="n">
        <v>44.58</v>
      </c>
      <c r="Y1008" s="14">
        <f>ROUND(MIN(100, (X1008/69.91)*100), 2)</f>
        <v/>
      </c>
    </row>
    <row r="1009">
      <c r="A1009" s="10" t="n">
        <v>5</v>
      </c>
      <c r="B1009" s="10" t="n">
        <v>5</v>
      </c>
      <c r="C1009" s="10" t="n">
        <v>4005</v>
      </c>
      <c r="D1009" s="10" t="inlineStr">
        <is>
          <t>1903609052</t>
        </is>
      </c>
      <c r="E1009" s="26" t="inlineStr">
        <is>
          <t>Bangsamoro Autonomous Region In Muslim Mindanao (BARMM)</t>
        </is>
      </c>
      <c r="F1009" s="26" t="inlineStr">
        <is>
          <t>Lanao del Sur</t>
        </is>
      </c>
      <c r="G1009" s="26" t="inlineStr">
        <is>
          <t>Ganassi</t>
        </is>
      </c>
      <c r="H1009" s="26" t="inlineStr">
        <is>
          <t>Pantaon</t>
        </is>
      </c>
      <c r="I1009" s="27" t="n">
        <v>17.254705</v>
      </c>
      <c r="J1009" s="27" t="n">
        <v>122.228749</v>
      </c>
      <c r="K1009" s="10" t="inlineStr">
        <is>
          <t>R</t>
        </is>
      </c>
      <c r="L1009" s="12" t="n">
        <v>850</v>
      </c>
      <c r="M1009" s="14" t="n">
        <v>5.7</v>
      </c>
      <c r="N1009" s="12">
        <f>ROUND(L1009/M1009, 0)</f>
        <v/>
      </c>
      <c r="O1009" s="12">
        <f>ROUND(N1009*'Methodology &amp; Assumptions'!$B$5, 0)</f>
        <v/>
      </c>
      <c r="P1009" s="10" t="inlineStr">
        <is>
          <t>Single Carrier (Band n50, 100MHz TDD)</t>
        </is>
      </c>
      <c r="Q1009" s="13">
        <f>ROUNDUP(O1009/'Methodology &amp; Assumptions'!$B$6, 0)</f>
        <v/>
      </c>
      <c r="R1009" s="13" t="n">
        <v>1</v>
      </c>
      <c r="S1009" s="14" t="n">
        <v>29.39</v>
      </c>
      <c r="T1009" s="14" t="n">
        <v>34.28</v>
      </c>
      <c r="U1009" s="26">
        <f>IF(X1009&gt;='Methodology &amp; Assumptions'!$B$7, "Tier 1 Critical GIDA (Score ≥ 50.0)", IF(X1009&gt;='Methodology &amp; Assumptions'!$B$8, "Tier 2 High GIDA (Score 40.0–49.9)", "Tier 3 Moderate GIDA (Score &lt; 40.0)"))</f>
        <v/>
      </c>
      <c r="V1009" s="26">
        <f>IF(S1009&lt;='Methodology &amp; Assumptions'!$B$10, "Direct Optical Drop (&lt;3km)", IF(S1009&lt;='Methodology &amp; Assumptions'!$B$9, "Near Optical / Microwave (&lt;5km)", "Starlink Business LEO Satellite Backhaul (&gt;5km)"))</f>
        <v/>
      </c>
      <c r="W1009" s="28" t="n">
        <v>0.11</v>
      </c>
      <c r="X1009" s="14" t="n">
        <v>44.58</v>
      </c>
      <c r="Y1009" s="14">
        <f>ROUND(MIN(100, (X1009/69.91)*100), 2)</f>
        <v/>
      </c>
    </row>
    <row r="1010">
      <c r="A1010" s="10" t="n">
        <v>5</v>
      </c>
      <c r="B1010" s="10" t="n">
        <v>6</v>
      </c>
      <c r="C1010" s="10" t="n">
        <v>4006</v>
      </c>
      <c r="D1010" s="10" t="inlineStr">
        <is>
          <t>PH0004006</t>
        </is>
      </c>
      <c r="E1010" s="26" t="inlineStr">
        <is>
          <t>IV-A</t>
        </is>
      </c>
      <c r="F1010" s="26" t="inlineStr">
        <is>
          <t>Cavite</t>
        </is>
      </c>
      <c r="G1010" s="26" t="inlineStr">
        <is>
          <t>Cavite City</t>
        </is>
      </c>
      <c r="H1010" s="26" t="inlineStr">
        <is>
          <t>Barangay 9</t>
        </is>
      </c>
      <c r="I1010" s="27" t="n">
        <v>14.492987</v>
      </c>
      <c r="J1010" s="27" t="n">
        <v>120.901938</v>
      </c>
      <c r="K1010" s="10" t="inlineStr">
        <is>
          <t>R</t>
        </is>
      </c>
      <c r="L1010" s="12" t="n">
        <v>2316</v>
      </c>
      <c r="M1010" s="14" t="n">
        <v>3.4</v>
      </c>
      <c r="N1010" s="12">
        <f>ROUND(L1010/M1010, 0)</f>
        <v/>
      </c>
      <c r="O1010" s="12">
        <f>ROUND(N1010*'Methodology &amp; Assumptions'!$B$5, 0)</f>
        <v/>
      </c>
      <c r="P1010" s="10" t="inlineStr">
        <is>
          <t>Single Carrier (Band n50, 100MHz TDD)</t>
        </is>
      </c>
      <c r="Q1010" s="13">
        <f>ROUNDUP(O1010/'Methodology &amp; Assumptions'!$B$6, 0)</f>
        <v/>
      </c>
      <c r="R1010" s="13" t="n">
        <v>1</v>
      </c>
      <c r="S1010" s="14" t="n">
        <v>2.55</v>
      </c>
      <c r="T1010" s="14" t="n">
        <v>5.28</v>
      </c>
      <c r="U1010" s="26">
        <f>IF(X1010&gt;='Methodology &amp; Assumptions'!$B$7, "Tier 1 Critical GIDA (Score ≥ 50.0)", IF(X1010&gt;='Methodology &amp; Assumptions'!$B$8, "Tier 2 High GIDA (Score 40.0–49.9)", "Tier 3 Moderate GIDA (Score &lt; 40.0)"))</f>
        <v/>
      </c>
      <c r="V1010" s="26">
        <f>IF(S1010&lt;='Methodology &amp; Assumptions'!$B$10, "Direct Optical Drop (&lt;3km)", IF(S1010&lt;='Methodology &amp; Assumptions'!$B$9, "Near Optical / Microwave (&lt;5km)", "Starlink Business LEO Satellite Backhaul (&gt;5km)"))</f>
        <v/>
      </c>
      <c r="W1010" s="28" t="n">
        <v>0.07200000000000001</v>
      </c>
      <c r="X1010" s="14" t="n">
        <v>44.57</v>
      </c>
      <c r="Y1010" s="14">
        <f>ROUND(MIN(100, (X1010/69.91)*100), 2)</f>
        <v/>
      </c>
    </row>
    <row r="1011">
      <c r="A1011" s="10" t="n">
        <v>5</v>
      </c>
      <c r="B1011" s="10" t="n">
        <v>7</v>
      </c>
      <c r="C1011" s="10" t="n">
        <v>4007</v>
      </c>
      <c r="D1011" s="10" t="inlineStr">
        <is>
          <t>PH0004007</t>
        </is>
      </c>
      <c r="E1011" s="26" t="inlineStr">
        <is>
          <t>NCR</t>
        </is>
      </c>
      <c r="F1011" s="26" t="inlineStr">
        <is>
          <t>Metro Manila</t>
        </is>
      </c>
      <c r="G1011" s="26" t="inlineStr">
        <is>
          <t>Caloocan City</t>
        </is>
      </c>
      <c r="H1011" s="26" t="inlineStr">
        <is>
          <t>Barangay 173</t>
        </is>
      </c>
      <c r="I1011" s="27" t="n">
        <v>14.384039</v>
      </c>
      <c r="J1011" s="27" t="n">
        <v>122.116111</v>
      </c>
      <c r="K1011" s="10" t="inlineStr">
        <is>
          <t>R</t>
        </is>
      </c>
      <c r="L1011" s="12" t="n">
        <v>2279</v>
      </c>
      <c r="M1011" s="14" t="n">
        <v>3.8</v>
      </c>
      <c r="N1011" s="12">
        <f>ROUND(L1011/M1011, 0)</f>
        <v/>
      </c>
      <c r="O1011" s="12">
        <f>ROUND(N1011*'Methodology &amp; Assumptions'!$B$5, 0)</f>
        <v/>
      </c>
      <c r="P1011" s="10" t="inlineStr">
        <is>
          <t>Single Carrier (Band n50, 100MHz TDD)</t>
        </is>
      </c>
      <c r="Q1011" s="13">
        <f>ROUNDUP(O1011/'Methodology &amp; Assumptions'!$B$6, 0)</f>
        <v/>
      </c>
      <c r="R1011" s="13" t="n">
        <v>1</v>
      </c>
      <c r="S1011" s="14" t="n">
        <v>32.57</v>
      </c>
      <c r="T1011" s="14" t="n">
        <v>36.85</v>
      </c>
      <c r="U1011" s="26">
        <f>IF(X1011&gt;='Methodology &amp; Assumptions'!$B$7, "Tier 1 Critical GIDA (Score ≥ 50.0)", IF(X1011&gt;='Methodology &amp; Assumptions'!$B$8, "Tier 2 High GIDA (Score 40.0–49.9)", "Tier 3 Moderate GIDA (Score &lt; 40.0)"))</f>
        <v/>
      </c>
      <c r="V1011" s="26">
        <f>IF(S1011&lt;='Methodology &amp; Assumptions'!$B$10, "Direct Optical Drop (&lt;3km)", IF(S1011&lt;='Methodology &amp; Assumptions'!$B$9, "Near Optical / Microwave (&lt;5km)", "Starlink Business LEO Satellite Backhaul (&gt;5km)"))</f>
        <v/>
      </c>
      <c r="W1011" s="28" t="n">
        <v>0.011</v>
      </c>
      <c r="X1011" s="14" t="n">
        <v>44.57</v>
      </c>
      <c r="Y1011" s="14">
        <f>ROUND(MIN(100, (X1011/69.91)*100), 2)</f>
        <v/>
      </c>
    </row>
    <row r="1012">
      <c r="A1012" s="10" t="n">
        <v>5</v>
      </c>
      <c r="B1012" s="10" t="n">
        <v>8</v>
      </c>
      <c r="C1012" s="10" t="n">
        <v>4008</v>
      </c>
      <c r="D1012" s="10" t="inlineStr">
        <is>
          <t>1381300014</t>
        </is>
      </c>
      <c r="E1012" s="26" t="inlineStr">
        <is>
          <t>National Capital Region (NCR)</t>
        </is>
      </c>
      <c r="F1012" s="26" t="inlineStr">
        <is>
          <t>Second District (Not a Province)</t>
        </is>
      </c>
      <c r="G1012" s="26" t="inlineStr">
        <is>
          <t>Quezon City</t>
        </is>
      </c>
      <c r="H1012" s="26" t="inlineStr">
        <is>
          <t>Bayanihan</t>
        </is>
      </c>
      <c r="I1012" s="27" t="n">
        <v>14.628028</v>
      </c>
      <c r="J1012" s="27" t="n">
        <v>121.034071</v>
      </c>
      <c r="K1012" s="10" t="inlineStr">
        <is>
          <t>U</t>
        </is>
      </c>
      <c r="L1012" s="12" t="n">
        <v>639</v>
      </c>
      <c r="M1012" s="14" t="n">
        <v>3.8</v>
      </c>
      <c r="N1012" s="12">
        <f>ROUND(L1012/M1012, 0)</f>
        <v/>
      </c>
      <c r="O1012" s="12">
        <f>ROUND(N1012*'Methodology &amp; Assumptions'!$B$5, 0)</f>
        <v/>
      </c>
      <c r="P1012" s="10" t="inlineStr">
        <is>
          <t>Single Carrier (Band n50, 100MHz TDD)</t>
        </is>
      </c>
      <c r="Q1012" s="13">
        <f>ROUNDUP(O1012/'Methodology &amp; Assumptions'!$B$6, 0)</f>
        <v/>
      </c>
      <c r="R1012" s="13" t="n">
        <v>1</v>
      </c>
      <c r="S1012" s="14" t="n">
        <v>1.16</v>
      </c>
      <c r="T1012" s="14" t="n">
        <v>0.49</v>
      </c>
      <c r="U1012" s="26">
        <f>IF(X1012&gt;='Methodology &amp; Assumptions'!$B$7, "Tier 1 Critical GIDA (Score ≥ 50.0)", IF(X1012&gt;='Methodology &amp; Assumptions'!$B$8, "Tier 2 High GIDA (Score 40.0–49.9)", "Tier 3 Moderate GIDA (Score &lt; 40.0)"))</f>
        <v/>
      </c>
      <c r="V1012" s="26">
        <f>IF(S1012&lt;='Methodology &amp; Assumptions'!$B$10, "Direct Optical Drop (&lt;3km)", IF(S1012&lt;='Methodology &amp; Assumptions'!$B$9, "Near Optical / Microwave (&lt;5km)", "Starlink Business LEO Satellite Backhaul (&gt;5km)"))</f>
        <v/>
      </c>
      <c r="W1012" s="28" t="n">
        <v>0.109</v>
      </c>
      <c r="X1012" s="14" t="n">
        <v>44.57</v>
      </c>
      <c r="Y1012" s="14">
        <f>ROUND(MIN(100, (X1012/69.91)*100), 2)</f>
        <v/>
      </c>
    </row>
    <row r="1013">
      <c r="A1013" s="10" t="n">
        <v>5</v>
      </c>
      <c r="B1013" s="10" t="n">
        <v>9</v>
      </c>
      <c r="C1013" s="10" t="n">
        <v>4009</v>
      </c>
      <c r="D1013" s="10" t="inlineStr">
        <is>
          <t>0504103011</t>
        </is>
      </c>
      <c r="E1013" s="26" t="inlineStr">
        <is>
          <t>Region V (Bicol Region)</t>
        </is>
      </c>
      <c r="F1013" s="26" t="inlineStr">
        <is>
          <t>Masbate</t>
        </is>
      </c>
      <c r="G1013" s="26" t="inlineStr">
        <is>
          <t>Balud</t>
        </is>
      </c>
      <c r="H1013" s="26" t="inlineStr">
        <is>
          <t>Jangan</t>
        </is>
      </c>
      <c r="I1013" s="27" t="n">
        <v>12.016182</v>
      </c>
      <c r="J1013" s="27" t="n">
        <v>123.273842</v>
      </c>
      <c r="K1013" s="10" t="inlineStr">
        <is>
          <t>R</t>
        </is>
      </c>
      <c r="L1013" s="12" t="n">
        <v>866</v>
      </c>
      <c r="M1013" s="14" t="n">
        <v>4.1</v>
      </c>
      <c r="N1013" s="12">
        <f>ROUND(L1013/M1013, 0)</f>
        <v/>
      </c>
      <c r="O1013" s="12">
        <f>ROUND(N1013*'Methodology &amp; Assumptions'!$B$5, 0)</f>
        <v/>
      </c>
      <c r="P1013" s="10" t="inlineStr">
        <is>
          <t>Single Carrier (Band n50, 100MHz TDD)</t>
        </is>
      </c>
      <c r="Q1013" s="13">
        <f>ROUNDUP(O1013/'Methodology &amp; Assumptions'!$B$6, 0)</f>
        <v/>
      </c>
      <c r="R1013" s="13" t="n">
        <v>1</v>
      </c>
      <c r="S1013" s="14" t="n">
        <v>7.02</v>
      </c>
      <c r="T1013" s="14" t="n">
        <v>8.58</v>
      </c>
      <c r="U1013" s="26">
        <f>IF(X1013&gt;='Methodology &amp; Assumptions'!$B$7, "Tier 1 Critical GIDA (Score ≥ 50.0)", IF(X1013&gt;='Methodology &amp; Assumptions'!$B$8, "Tier 2 High GIDA (Score 40.0–49.9)", "Tier 3 Moderate GIDA (Score &lt; 40.0)"))</f>
        <v/>
      </c>
      <c r="V1013" s="26">
        <f>IF(S1013&lt;='Methodology &amp; Assumptions'!$B$10, "Direct Optical Drop (&lt;3km)", IF(S1013&lt;='Methodology &amp; Assumptions'!$B$9, "Near Optical / Microwave (&lt;5km)", "Starlink Business LEO Satellite Backhaul (&gt;5km)"))</f>
        <v/>
      </c>
      <c r="W1013" s="28" t="n">
        <v>0.237</v>
      </c>
      <c r="X1013" s="14" t="n">
        <v>44.56</v>
      </c>
      <c r="Y1013" s="14">
        <f>ROUND(MIN(100, (X1013/69.91)*100), 2)</f>
        <v/>
      </c>
    </row>
    <row r="1014">
      <c r="A1014" s="10" t="n">
        <v>5</v>
      </c>
      <c r="B1014" s="10" t="n">
        <v>10</v>
      </c>
      <c r="C1014" s="10" t="n">
        <v>4010</v>
      </c>
      <c r="D1014" s="10" t="inlineStr">
        <is>
          <t>0702234019</t>
        </is>
      </c>
      <c r="E1014" s="26" t="inlineStr">
        <is>
          <t>Region VII (Central Visayas)</t>
        </is>
      </c>
      <c r="F1014" s="26" t="inlineStr">
        <is>
          <t>Cebu</t>
        </is>
      </c>
      <c r="G1014" s="26" t="inlineStr">
        <is>
          <t>City of Naga</t>
        </is>
      </c>
      <c r="H1014" s="26" t="inlineStr">
        <is>
          <t>North Poblacion</t>
        </is>
      </c>
      <c r="I1014" s="27" t="n">
        <v>10.233154</v>
      </c>
      <c r="J1014" s="27" t="n">
        <v>123.736481</v>
      </c>
      <c r="K1014" s="10" t="inlineStr">
        <is>
          <t>R</t>
        </is>
      </c>
      <c r="L1014" s="12" t="n">
        <v>3151</v>
      </c>
      <c r="M1014" s="14" t="n">
        <v>3.8</v>
      </c>
      <c r="N1014" s="12">
        <f>ROUND(L1014/M1014, 0)</f>
        <v/>
      </c>
      <c r="O1014" s="12">
        <f>ROUND(N1014*'Methodology &amp; Assumptions'!$B$5, 0)</f>
        <v/>
      </c>
      <c r="P1014" s="10" t="inlineStr">
        <is>
          <t>Single Carrier (Band n50, 100MHz TDD)</t>
        </is>
      </c>
      <c r="Q1014" s="13">
        <f>ROUNDUP(O1014/'Methodology &amp; Assumptions'!$B$6, 0)</f>
        <v/>
      </c>
      <c r="R1014" s="13" t="n">
        <v>1</v>
      </c>
      <c r="S1014" s="14" t="n">
        <v>3.78</v>
      </c>
      <c r="T1014" s="14" t="n">
        <v>0.72</v>
      </c>
      <c r="U1014" s="26">
        <f>IF(X1014&gt;='Methodology &amp; Assumptions'!$B$7, "Tier 1 Critical GIDA (Score ≥ 50.0)", IF(X1014&gt;='Methodology &amp; Assumptions'!$B$8, "Tier 2 High GIDA (Score 40.0–49.9)", "Tier 3 Moderate GIDA (Score &lt; 40.0)"))</f>
        <v/>
      </c>
      <c r="V1014" s="26">
        <f>IF(S1014&lt;='Methodology &amp; Assumptions'!$B$10, "Direct Optical Drop (&lt;3km)", IF(S1014&lt;='Methodology &amp; Assumptions'!$B$9, "Near Optical / Microwave (&lt;5km)", "Starlink Business LEO Satellite Backhaul (&gt;5km)"))</f>
        <v/>
      </c>
      <c r="W1014" s="28" t="n">
        <v>0.237</v>
      </c>
      <c r="X1014" s="14" t="n">
        <v>44.56</v>
      </c>
      <c r="Y1014" s="14">
        <f>ROUND(MIN(100, (X1014/69.91)*100), 2)</f>
        <v/>
      </c>
    </row>
    <row r="1015">
      <c r="A1015" s="10" t="n">
        <v>5</v>
      </c>
      <c r="B1015" s="10" t="n">
        <v>11</v>
      </c>
      <c r="C1015" s="10" t="n">
        <v>4011</v>
      </c>
      <c r="D1015" s="10" t="inlineStr">
        <is>
          <t>1903639006</t>
        </is>
      </c>
      <c r="E1015" s="26" t="inlineStr">
        <is>
          <t>Bangsamoro Autonomous Region In Muslim Mindanao (BARMM)</t>
        </is>
      </c>
      <c r="F1015" s="26" t="inlineStr">
        <is>
          <t>Lanao del Sur</t>
        </is>
      </c>
      <c r="G1015" s="26" t="inlineStr">
        <is>
          <t>Kapatagan</t>
        </is>
      </c>
      <c r="H1015" s="26" t="inlineStr">
        <is>
          <t>Kabaniakawan</t>
        </is>
      </c>
      <c r="I1015" s="27" t="n">
        <v>17.250929</v>
      </c>
      <c r="J1015" s="27" t="n">
        <v>122.232123</v>
      </c>
      <c r="K1015" s="10" t="inlineStr">
        <is>
          <t>R</t>
        </is>
      </c>
      <c r="L1015" s="12" t="n">
        <v>705</v>
      </c>
      <c r="M1015" s="14" t="n">
        <v>5.7</v>
      </c>
      <c r="N1015" s="12">
        <f>ROUND(L1015/M1015, 0)</f>
        <v/>
      </c>
      <c r="O1015" s="12">
        <f>ROUND(N1015*'Methodology &amp; Assumptions'!$B$5, 0)</f>
        <v/>
      </c>
      <c r="P1015" s="10" t="inlineStr">
        <is>
          <t>Single Carrier (Band n50, 100MHz TDD)</t>
        </is>
      </c>
      <c r="Q1015" s="13">
        <f>ROUNDUP(O1015/'Methodology &amp; Assumptions'!$B$6, 0)</f>
        <v/>
      </c>
      <c r="R1015" s="13" t="n">
        <v>1</v>
      </c>
      <c r="S1015" s="14" t="n">
        <v>29.41</v>
      </c>
      <c r="T1015" s="14" t="n">
        <v>34.51</v>
      </c>
      <c r="U1015" s="26">
        <f>IF(X1015&gt;='Methodology &amp; Assumptions'!$B$7, "Tier 1 Critical GIDA (Score ≥ 50.0)", IF(X1015&gt;='Methodology &amp; Assumptions'!$B$8, "Tier 2 High GIDA (Score 40.0–49.9)", "Tier 3 Moderate GIDA (Score &lt; 40.0)"))</f>
        <v/>
      </c>
      <c r="V1015" s="26">
        <f>IF(S1015&lt;='Methodology &amp; Assumptions'!$B$10, "Direct Optical Drop (&lt;3km)", IF(S1015&lt;='Methodology &amp; Assumptions'!$B$9, "Near Optical / Microwave (&lt;5km)", "Starlink Business LEO Satellite Backhaul (&gt;5km)"))</f>
        <v/>
      </c>
      <c r="W1015" s="28" t="n">
        <v>0.11</v>
      </c>
      <c r="X1015" s="14" t="n">
        <v>44.55</v>
      </c>
      <c r="Y1015" s="14">
        <f>ROUND(MIN(100, (X1015/69.91)*100), 2)</f>
        <v/>
      </c>
    </row>
    <row r="1016">
      <c r="A1016" s="10" t="n">
        <v>5</v>
      </c>
      <c r="B1016" s="10" t="n">
        <v>12</v>
      </c>
      <c r="C1016" s="10" t="n">
        <v>4012</v>
      </c>
      <c r="D1016" s="10" t="inlineStr">
        <is>
          <t>PH0004012</t>
        </is>
      </c>
      <c r="E1016" s="26" t="inlineStr">
        <is>
          <t>VIII</t>
        </is>
      </c>
      <c r="F1016" s="26" t="inlineStr">
        <is>
          <t>Leyte</t>
        </is>
      </c>
      <c r="G1016" s="26" t="inlineStr">
        <is>
          <t>Tacloban City</t>
        </is>
      </c>
      <c r="H1016" s="26" t="inlineStr">
        <is>
          <t>Barangay 51</t>
        </is>
      </c>
      <c r="I1016" s="27" t="n">
        <v>11.308613</v>
      </c>
      <c r="J1016" s="27" t="n">
        <v>124.918123</v>
      </c>
      <c r="K1016" s="10" t="inlineStr">
        <is>
          <t>R</t>
        </is>
      </c>
      <c r="L1016" s="12" t="n">
        <v>2258</v>
      </c>
      <c r="M1016" s="14" t="n">
        <v>3.8</v>
      </c>
      <c r="N1016" s="12">
        <f>ROUND(L1016/M1016, 0)</f>
        <v/>
      </c>
      <c r="O1016" s="12">
        <f>ROUND(N1016*'Methodology &amp; Assumptions'!$B$5, 0)</f>
        <v/>
      </c>
      <c r="P1016" s="10" t="inlineStr">
        <is>
          <t>Single Carrier (Band n50, 100MHz TDD)</t>
        </is>
      </c>
      <c r="Q1016" s="13">
        <f>ROUNDUP(O1016/'Methodology &amp; Assumptions'!$B$6, 0)</f>
        <v/>
      </c>
      <c r="R1016" s="13" t="n">
        <v>1</v>
      </c>
      <c r="S1016" s="14" t="n">
        <v>11.97</v>
      </c>
      <c r="T1016" s="14" t="n">
        <v>13.28</v>
      </c>
      <c r="U1016" s="26">
        <f>IF(X1016&gt;='Methodology &amp; Assumptions'!$B$7, "Tier 1 Critical GIDA (Score ≥ 50.0)", IF(X1016&gt;='Methodology &amp; Assumptions'!$B$8, "Tier 2 High GIDA (Score 40.0–49.9)", "Tier 3 Moderate GIDA (Score &lt; 40.0)"))</f>
        <v/>
      </c>
      <c r="V1016" s="26">
        <f>IF(S1016&lt;='Methodology &amp; Assumptions'!$B$10, "Direct Optical Drop (&lt;3km)", IF(S1016&lt;='Methodology &amp; Assumptions'!$B$9, "Near Optical / Microwave (&lt;5km)", "Starlink Business LEO Satellite Backhaul (&gt;5km)"))</f>
        <v/>
      </c>
      <c r="W1016" s="28" t="n">
        <v>0.222</v>
      </c>
      <c r="X1016" s="14" t="n">
        <v>44.55</v>
      </c>
      <c r="Y1016" s="14">
        <f>ROUND(MIN(100, (X1016/69.91)*100), 2)</f>
        <v/>
      </c>
    </row>
    <row r="1017">
      <c r="A1017" s="10" t="n">
        <v>5</v>
      </c>
      <c r="B1017" s="10" t="n">
        <v>13</v>
      </c>
      <c r="C1017" s="10" t="n">
        <v>4013</v>
      </c>
      <c r="D1017" s="10" t="inlineStr">
        <is>
          <t>0702252011</t>
        </is>
      </c>
      <c r="E1017" s="26" t="inlineStr">
        <is>
          <t>Region VII (Central Visayas)</t>
        </is>
      </c>
      <c r="F1017" s="26" t="inlineStr">
        <is>
          <t>Cebu</t>
        </is>
      </c>
      <c r="G1017" s="26" t="inlineStr">
        <is>
          <t>Tuburan</t>
        </is>
      </c>
      <c r="H1017" s="26" t="inlineStr">
        <is>
          <t>Kamansi</t>
        </is>
      </c>
      <c r="I1017" s="27" t="n">
        <v>10.645276</v>
      </c>
      <c r="J1017" s="27" t="n">
        <v>123.901338</v>
      </c>
      <c r="K1017" s="10" t="inlineStr">
        <is>
          <t>R</t>
        </is>
      </c>
      <c r="L1017" s="12" t="n">
        <v>578</v>
      </c>
      <c r="M1017" s="14" t="n">
        <v>3.8</v>
      </c>
      <c r="N1017" s="12">
        <f>ROUND(L1017/M1017, 0)</f>
        <v/>
      </c>
      <c r="O1017" s="12">
        <f>ROUND(N1017*'Methodology &amp; Assumptions'!$B$5, 0)</f>
        <v/>
      </c>
      <c r="P1017" s="10" t="inlineStr">
        <is>
          <t>Single Carrier (Band n50, 100MHz TDD)</t>
        </is>
      </c>
      <c r="Q1017" s="13">
        <f>ROUNDUP(O1017/'Methodology &amp; Assumptions'!$B$6, 0)</f>
        <v/>
      </c>
      <c r="R1017" s="13" t="n">
        <v>1</v>
      </c>
      <c r="S1017" s="14" t="n">
        <v>13.45</v>
      </c>
      <c r="T1017" s="14" t="n">
        <v>10.91</v>
      </c>
      <c r="U1017" s="26">
        <f>IF(X1017&gt;='Methodology &amp; Assumptions'!$B$7, "Tier 1 Critical GIDA (Score ≥ 50.0)", IF(X1017&gt;='Methodology &amp; Assumptions'!$B$8, "Tier 2 High GIDA (Score 40.0–49.9)", "Tier 3 Moderate GIDA (Score &lt; 40.0)"))</f>
        <v/>
      </c>
      <c r="V1017" s="26">
        <f>IF(S1017&lt;='Methodology &amp; Assumptions'!$B$10, "Direct Optical Drop (&lt;3km)", IF(S1017&lt;='Methodology &amp; Assumptions'!$B$9, "Near Optical / Microwave (&lt;5km)", "Starlink Business LEO Satellite Backhaul (&gt;5km)"))</f>
        <v/>
      </c>
      <c r="W1017" s="28" t="n">
        <v>0.237</v>
      </c>
      <c r="X1017" s="14" t="n">
        <v>44.55</v>
      </c>
      <c r="Y1017" s="14">
        <f>ROUND(MIN(100, (X1017/69.91)*100), 2)</f>
        <v/>
      </c>
    </row>
    <row r="1018">
      <c r="A1018" s="10" t="n">
        <v>5</v>
      </c>
      <c r="B1018" s="10" t="n">
        <v>14</v>
      </c>
      <c r="C1018" s="10" t="n">
        <v>4014</v>
      </c>
      <c r="D1018" s="10" t="inlineStr">
        <is>
          <t>PH0004014</t>
        </is>
      </c>
      <c r="E1018" s="26" t="inlineStr">
        <is>
          <t>VIII</t>
        </is>
      </c>
      <c r="F1018" s="26" t="inlineStr">
        <is>
          <t>Leyte</t>
        </is>
      </c>
      <c r="G1018" s="26" t="inlineStr">
        <is>
          <t>Tacloban City</t>
        </is>
      </c>
      <c r="H1018" s="26" t="inlineStr">
        <is>
          <t>Barangay 36</t>
        </is>
      </c>
      <c r="I1018" s="27" t="n">
        <v>11.264465</v>
      </c>
      <c r="J1018" s="27" t="n">
        <v>125.052286</v>
      </c>
      <c r="K1018" s="10" t="inlineStr">
        <is>
          <t>R</t>
        </is>
      </c>
      <c r="L1018" s="12" t="n">
        <v>2258</v>
      </c>
      <c r="M1018" s="14" t="n">
        <v>3.8</v>
      </c>
      <c r="N1018" s="12">
        <f>ROUND(L1018/M1018, 0)</f>
        <v/>
      </c>
      <c r="O1018" s="12">
        <f>ROUND(N1018*'Methodology &amp; Assumptions'!$B$5, 0)</f>
        <v/>
      </c>
      <c r="P1018" s="10" t="inlineStr">
        <is>
          <t>Single Carrier (Band n50, 100MHz TDD)</t>
        </is>
      </c>
      <c r="Q1018" s="13">
        <f>ROUNDUP(O1018/'Methodology &amp; Assumptions'!$B$6, 0)</f>
        <v/>
      </c>
      <c r="R1018" s="13" t="n">
        <v>1</v>
      </c>
      <c r="S1018" s="14" t="n">
        <v>6.1</v>
      </c>
      <c r="T1018" s="14" t="n">
        <v>7.32</v>
      </c>
      <c r="U1018" s="26">
        <f>IF(X1018&gt;='Methodology &amp; Assumptions'!$B$7, "Tier 1 Critical GIDA (Score ≥ 50.0)", IF(X1018&gt;='Methodology &amp; Assumptions'!$B$8, "Tier 2 High GIDA (Score 40.0–49.9)", "Tier 3 Moderate GIDA (Score &lt; 40.0)"))</f>
        <v/>
      </c>
      <c r="V1018" s="26">
        <f>IF(S1018&lt;='Methodology &amp; Assumptions'!$B$10, "Direct Optical Drop (&lt;3km)", IF(S1018&lt;='Methodology &amp; Assumptions'!$B$9, "Near Optical / Microwave (&lt;5km)", "Starlink Business LEO Satellite Backhaul (&gt;5km)"))</f>
        <v/>
      </c>
      <c r="W1018" s="28" t="n">
        <v>0.222</v>
      </c>
      <c r="X1018" s="14" t="n">
        <v>44.54</v>
      </c>
      <c r="Y1018" s="14">
        <f>ROUND(MIN(100, (X1018/69.91)*100), 2)</f>
        <v/>
      </c>
    </row>
    <row r="1019">
      <c r="A1019" s="10" t="n">
        <v>5</v>
      </c>
      <c r="B1019" s="10" t="n">
        <v>15</v>
      </c>
      <c r="C1019" s="10" t="n">
        <v>4015</v>
      </c>
      <c r="D1019" s="10" t="inlineStr">
        <is>
          <t>1908702015</t>
        </is>
      </c>
      <c r="E1019" s="26" t="inlineStr">
        <is>
          <t>Bangsamoro Autonomous Region In Muslim Mindanao (BARMM)</t>
        </is>
      </c>
      <c r="F1019" s="26" t="inlineStr">
        <is>
          <t>Maguindanao del Norte</t>
        </is>
      </c>
      <c r="G1019" s="26" t="inlineStr">
        <is>
          <t>Buldon</t>
        </is>
      </c>
      <c r="H1019" s="26" t="inlineStr">
        <is>
          <t>Rumidas</t>
        </is>
      </c>
      <c r="I1019" s="27" t="n">
        <v>17.253891</v>
      </c>
      <c r="J1019" s="27" t="n">
        <v>122.227935</v>
      </c>
      <c r="K1019" s="10" t="inlineStr">
        <is>
          <t>R</t>
        </is>
      </c>
      <c r="L1019" s="12" t="n">
        <v>4409</v>
      </c>
      <c r="M1019" s="14" t="n">
        <v>4.3</v>
      </c>
      <c r="N1019" s="12">
        <f>ROUND(L1019/M1019, 0)</f>
        <v/>
      </c>
      <c r="O1019" s="12">
        <f>ROUND(N1019*'Methodology &amp; Assumptions'!$B$5, 0)</f>
        <v/>
      </c>
      <c r="P1019" s="10" t="inlineStr">
        <is>
          <t>Single Carrier (Band n50, 100MHz TDD)</t>
        </is>
      </c>
      <c r="Q1019" s="13">
        <f>ROUNDUP(O1019/'Methodology &amp; Assumptions'!$B$6, 0)</f>
        <v/>
      </c>
      <c r="R1019" s="13" t="n">
        <v>1</v>
      </c>
      <c r="S1019" s="14" t="n">
        <v>29.27</v>
      </c>
      <c r="T1019" s="14" t="n">
        <v>34.17</v>
      </c>
      <c r="U1019" s="26">
        <f>IF(X1019&gt;='Methodology &amp; Assumptions'!$B$7, "Tier 1 Critical GIDA (Score ≥ 50.0)", IF(X1019&gt;='Methodology &amp; Assumptions'!$B$8, "Tier 2 High GIDA (Score 40.0–49.9)", "Tier 3 Moderate GIDA (Score &lt; 40.0)"))</f>
        <v/>
      </c>
      <c r="V1019" s="26">
        <f>IF(S1019&lt;='Methodology &amp; Assumptions'!$B$10, "Direct Optical Drop (&lt;3km)", IF(S1019&lt;='Methodology &amp; Assumptions'!$B$9, "Near Optical / Microwave (&lt;5km)", "Starlink Business LEO Satellite Backhaul (&gt;5km)"))</f>
        <v/>
      </c>
      <c r="W1019" s="28" t="n">
        <v>0.11</v>
      </c>
      <c r="X1019" s="14" t="n">
        <v>44.54</v>
      </c>
      <c r="Y1019" s="14">
        <f>ROUND(MIN(100, (X1019/69.91)*100), 2)</f>
        <v/>
      </c>
    </row>
    <row r="1020">
      <c r="A1020" s="10" t="n">
        <v>5</v>
      </c>
      <c r="B1020" s="10" t="n">
        <v>16</v>
      </c>
      <c r="C1020" s="10" t="n">
        <v>4016</v>
      </c>
      <c r="D1020" s="10" t="inlineStr">
        <is>
          <t>PH0004016</t>
        </is>
      </c>
      <c r="E1020" s="26" t="inlineStr">
        <is>
          <t>VII</t>
        </is>
      </c>
      <c r="F1020" s="26" t="inlineStr">
        <is>
          <t>Cebu</t>
        </is>
      </c>
      <c r="G1020" s="26" t="inlineStr">
        <is>
          <t>Cebu City</t>
        </is>
      </c>
      <c r="H1020" s="26" t="inlineStr">
        <is>
          <t>San Antonio (Pob.)</t>
        </is>
      </c>
      <c r="I1020" s="27" t="n">
        <v>10.358007</v>
      </c>
      <c r="J1020" s="27" t="n">
        <v>123.882547</v>
      </c>
      <c r="K1020" s="10" t="inlineStr">
        <is>
          <t>R</t>
        </is>
      </c>
      <c r="L1020" s="12" t="n">
        <v>2250</v>
      </c>
      <c r="M1020" s="14" t="n">
        <v>3.8</v>
      </c>
      <c r="N1020" s="12">
        <f>ROUND(L1020/M1020, 0)</f>
        <v/>
      </c>
      <c r="O1020" s="12">
        <f>ROUND(N1020*'Methodology &amp; Assumptions'!$B$5, 0)</f>
        <v/>
      </c>
      <c r="P1020" s="10" t="inlineStr">
        <is>
          <t>Single Carrier (Band n50, 100MHz TDD)</t>
        </is>
      </c>
      <c r="Q1020" s="13">
        <f>ROUNDUP(O1020/'Methodology &amp; Assumptions'!$B$6, 0)</f>
        <v/>
      </c>
      <c r="R1020" s="13" t="n">
        <v>1</v>
      </c>
      <c r="S1020" s="14" t="n">
        <v>3.44</v>
      </c>
      <c r="T1020" s="14" t="n">
        <v>4.24</v>
      </c>
      <c r="U1020" s="26">
        <f>IF(X1020&gt;='Methodology &amp; Assumptions'!$B$7, "Tier 1 Critical GIDA (Score ≥ 50.0)", IF(X1020&gt;='Methodology &amp; Assumptions'!$B$8, "Tier 2 High GIDA (Score 40.0–49.9)", "Tier 3 Moderate GIDA (Score &lt; 40.0)"))</f>
        <v/>
      </c>
      <c r="V1020" s="26">
        <f>IF(S1020&lt;='Methodology &amp; Assumptions'!$B$10, "Direct Optical Drop (&lt;3km)", IF(S1020&lt;='Methodology &amp; Assumptions'!$B$9, "Near Optical / Microwave (&lt;5km)", "Starlink Business LEO Satellite Backhaul (&gt;5km)"))</f>
        <v/>
      </c>
      <c r="W1020" s="28" t="n">
        <v>0.21</v>
      </c>
      <c r="X1020" s="14" t="n">
        <v>44.54</v>
      </c>
      <c r="Y1020" s="14">
        <f>ROUND(MIN(100, (X1020/69.91)*100), 2)</f>
        <v/>
      </c>
    </row>
    <row r="1021">
      <c r="A1021" s="10" t="n">
        <v>5</v>
      </c>
      <c r="B1021" s="10" t="n">
        <v>17</v>
      </c>
      <c r="C1021" s="10" t="n">
        <v>4017</v>
      </c>
      <c r="D1021" s="10" t="inlineStr">
        <is>
          <t>1705307010</t>
        </is>
      </c>
      <c r="E1021" s="26" t="inlineStr">
        <is>
          <t>MIMAROPA Region</t>
        </is>
      </c>
      <c r="F1021" s="26" t="inlineStr">
        <is>
          <t>Palawan</t>
        </is>
      </c>
      <c r="G1021" s="26" t="inlineStr">
        <is>
          <t>Busuanga</t>
        </is>
      </c>
      <c r="H1021" s="26" t="inlineStr">
        <is>
          <t>Quezon</t>
        </is>
      </c>
      <c r="I1021" s="27" t="n">
        <v>12.266252</v>
      </c>
      <c r="J1021" s="27" t="n">
        <v>119.935718</v>
      </c>
      <c r="K1021" s="10" t="inlineStr">
        <is>
          <t>R</t>
        </is>
      </c>
      <c r="L1021" s="12" t="n">
        <v>1189</v>
      </c>
      <c r="M1021" s="14" t="n">
        <v>3.9</v>
      </c>
      <c r="N1021" s="12">
        <f>ROUND(L1021/M1021, 0)</f>
        <v/>
      </c>
      <c r="O1021" s="12">
        <f>ROUND(N1021*'Methodology &amp; Assumptions'!$B$5, 0)</f>
        <v/>
      </c>
      <c r="P1021" s="10" t="inlineStr">
        <is>
          <t>Single Carrier (Band n50, 100MHz TDD)</t>
        </is>
      </c>
      <c r="Q1021" s="13">
        <f>ROUNDUP(O1021/'Methodology &amp; Assumptions'!$B$6, 0)</f>
        <v/>
      </c>
      <c r="R1021" s="13" t="n">
        <v>1</v>
      </c>
      <c r="S1021" s="14" t="n">
        <v>14.98</v>
      </c>
      <c r="T1021" s="14" t="n">
        <v>122.41</v>
      </c>
      <c r="U1021" s="26">
        <f>IF(X1021&gt;='Methodology &amp; Assumptions'!$B$7, "Tier 1 Critical GIDA (Score ≥ 50.0)", IF(X1021&gt;='Methodology &amp; Assumptions'!$B$8, "Tier 2 High GIDA (Score 40.0–49.9)", "Tier 3 Moderate GIDA (Score &lt; 40.0)"))</f>
        <v/>
      </c>
      <c r="V1021" s="26">
        <f>IF(S1021&lt;='Methodology &amp; Assumptions'!$B$10, "Direct Optical Drop (&lt;3km)", IF(S1021&lt;='Methodology &amp; Assumptions'!$B$9, "Near Optical / Microwave (&lt;5km)", "Starlink Business LEO Satellite Backhaul (&gt;5km)"))</f>
        <v/>
      </c>
      <c r="W1021" s="28" t="n">
        <v>0.15</v>
      </c>
      <c r="X1021" s="14" t="n">
        <v>44.51</v>
      </c>
      <c r="Y1021" s="14">
        <f>ROUND(MIN(100, (X1021/69.91)*100), 2)</f>
        <v/>
      </c>
    </row>
    <row r="1022">
      <c r="A1022" s="10" t="n">
        <v>5</v>
      </c>
      <c r="B1022" s="10" t="n">
        <v>18</v>
      </c>
      <c r="C1022" s="10" t="n">
        <v>4018</v>
      </c>
      <c r="D1022" s="10" t="inlineStr">
        <is>
          <t>1606803016</t>
        </is>
      </c>
      <c r="E1022" s="26" t="inlineStr">
        <is>
          <t>Region XIII (Caraga)</t>
        </is>
      </c>
      <c r="F1022" s="26" t="inlineStr">
        <is>
          <t>Surigao del Sur</t>
        </is>
      </c>
      <c r="G1022" s="26" t="inlineStr">
        <is>
          <t>City of Bislig</t>
        </is>
      </c>
      <c r="H1022" s="26" t="inlineStr">
        <is>
          <t>San Jose</t>
        </is>
      </c>
      <c r="I1022" s="27" t="n">
        <v>8.1454</v>
      </c>
      <c r="J1022" s="27" t="n">
        <v>126.333</v>
      </c>
      <c r="K1022" s="10" t="inlineStr">
        <is>
          <t>R</t>
        </is>
      </c>
      <c r="L1022" s="12" t="n">
        <v>4834</v>
      </c>
      <c r="M1022" s="14" t="n">
        <v>4.1</v>
      </c>
      <c r="N1022" s="12">
        <f>ROUND(L1022/M1022, 0)</f>
        <v/>
      </c>
      <c r="O1022" s="12">
        <f>ROUND(N1022*'Methodology &amp; Assumptions'!$B$5, 0)</f>
        <v/>
      </c>
      <c r="P1022" s="10" t="inlineStr">
        <is>
          <t>Single Carrier (Band n50, 100MHz TDD)</t>
        </is>
      </c>
      <c r="Q1022" s="13">
        <f>ROUNDUP(O1022/'Methodology &amp; Assumptions'!$B$6, 0)</f>
        <v/>
      </c>
      <c r="R1022" s="13" t="n">
        <v>1</v>
      </c>
      <c r="S1022" s="14" t="n">
        <v>31.74</v>
      </c>
      <c r="T1022" s="14" t="n">
        <v>31.66</v>
      </c>
      <c r="U1022" s="26">
        <f>IF(X1022&gt;='Methodology &amp; Assumptions'!$B$7, "Tier 1 Critical GIDA (Score ≥ 50.0)", IF(X1022&gt;='Methodology &amp; Assumptions'!$B$8, "Tier 2 High GIDA (Score 40.0–49.9)", "Tier 3 Moderate GIDA (Score &lt; 40.0)"))</f>
        <v/>
      </c>
      <c r="V1022" s="26">
        <f>IF(S1022&lt;='Methodology &amp; Assumptions'!$B$10, "Direct Optical Drop (&lt;3km)", IF(S1022&lt;='Methodology &amp; Assumptions'!$B$9, "Near Optical / Microwave (&lt;5km)", "Starlink Business LEO Satellite Backhaul (&gt;5km)"))</f>
        <v/>
      </c>
      <c r="W1022" s="28" t="n">
        <v>0.174</v>
      </c>
      <c r="X1022" s="14" t="n">
        <v>44.5</v>
      </c>
      <c r="Y1022" s="14">
        <f>ROUND(MIN(100, (X1022/69.91)*100), 2)</f>
        <v/>
      </c>
    </row>
    <row r="1023">
      <c r="A1023" s="10" t="n">
        <v>5</v>
      </c>
      <c r="B1023" s="10" t="n">
        <v>19</v>
      </c>
      <c r="C1023" s="10" t="n">
        <v>4019</v>
      </c>
      <c r="D1023" s="10" t="inlineStr">
        <is>
          <t>0402116003</t>
        </is>
      </c>
      <c r="E1023" s="26" t="inlineStr">
        <is>
          <t>Region IV-A (CALABARZON)</t>
        </is>
      </c>
      <c r="F1023" s="26" t="inlineStr">
        <is>
          <t>Cavite</t>
        </is>
      </c>
      <c r="G1023" s="26" t="inlineStr">
        <is>
          <t>Noveleta</t>
        </is>
      </c>
      <c r="H1023" s="26" t="inlineStr">
        <is>
          <t>Salcedo I</t>
        </is>
      </c>
      <c r="I1023" s="27" t="n">
        <v>14.428454</v>
      </c>
      <c r="J1023" s="27" t="n">
        <v>120.876282</v>
      </c>
      <c r="K1023" s="10" t="inlineStr">
        <is>
          <t>R</t>
        </is>
      </c>
      <c r="L1023" s="12" t="n">
        <v>1999</v>
      </c>
      <c r="M1023" s="14" t="n">
        <v>3.4</v>
      </c>
      <c r="N1023" s="12">
        <f>ROUND(L1023/M1023, 0)</f>
        <v/>
      </c>
      <c r="O1023" s="12">
        <f>ROUND(N1023*'Methodology &amp; Assumptions'!$B$5, 0)</f>
        <v/>
      </c>
      <c r="P1023" s="10" t="inlineStr">
        <is>
          <t>Single Carrier (Band n50, 100MHz TDD)</t>
        </is>
      </c>
      <c r="Q1023" s="13">
        <f>ROUNDUP(O1023/'Methodology &amp; Assumptions'!$B$6, 0)</f>
        <v/>
      </c>
      <c r="R1023" s="13" t="n">
        <v>1</v>
      </c>
      <c r="S1023" s="14" t="n">
        <v>0.73</v>
      </c>
      <c r="T1023" s="14" t="n">
        <v>0.7</v>
      </c>
      <c r="U1023" s="26">
        <f>IF(X1023&gt;='Methodology &amp; Assumptions'!$B$7, "Tier 1 Critical GIDA (Score ≥ 50.0)", IF(X1023&gt;='Methodology &amp; Assumptions'!$B$8, "Tier 2 High GIDA (Score 40.0–49.9)", "Tier 3 Moderate GIDA (Score &lt; 40.0)"))</f>
        <v/>
      </c>
      <c r="V1023" s="26">
        <f>IF(S1023&lt;='Methodology &amp; Assumptions'!$B$10, "Direct Optical Drop (&lt;3km)", IF(S1023&lt;='Methodology &amp; Assumptions'!$B$9, "Near Optical / Microwave (&lt;5km)", "Starlink Business LEO Satellite Backhaul (&gt;5km)"))</f>
        <v/>
      </c>
      <c r="W1023" s="28" t="n">
        <v>0.07200000000000001</v>
      </c>
      <c r="X1023" s="14" t="n">
        <v>44.5</v>
      </c>
      <c r="Y1023" s="14">
        <f>ROUND(MIN(100, (X1023/69.91)*100), 2)</f>
        <v/>
      </c>
    </row>
    <row r="1024">
      <c r="A1024" s="10" t="n">
        <v>5</v>
      </c>
      <c r="B1024" s="10" t="n">
        <v>20</v>
      </c>
      <c r="C1024" s="10" t="n">
        <v>4020</v>
      </c>
      <c r="D1024" s="10" t="inlineStr">
        <is>
          <t>0301412012</t>
        </is>
      </c>
      <c r="E1024" s="26" t="inlineStr">
        <is>
          <t>Region III (Central Luzon)</t>
        </is>
      </c>
      <c r="F1024" s="26" t="inlineStr">
        <is>
          <t>Bulacan</t>
        </is>
      </c>
      <c r="G1024" s="26" t="inlineStr">
        <is>
          <t>City of Meycauayan</t>
        </is>
      </c>
      <c r="H1024" s="26" t="inlineStr">
        <is>
          <t>Libtong</t>
        </is>
      </c>
      <c r="I1024" s="27" t="n">
        <v>14.744205</v>
      </c>
      <c r="J1024" s="27" t="n">
        <v>120.980446</v>
      </c>
      <c r="K1024" s="10" t="inlineStr">
        <is>
          <t>U</t>
        </is>
      </c>
      <c r="L1024" s="12" t="n">
        <v>13319</v>
      </c>
      <c r="M1024" s="14" t="n">
        <v>3.5</v>
      </c>
      <c r="N1024" s="12">
        <f>ROUND(L1024/M1024, 0)</f>
        <v/>
      </c>
      <c r="O1024" s="12">
        <f>ROUND(N1024*'Methodology &amp; Assumptions'!$B$5, 0)</f>
        <v/>
      </c>
      <c r="P1024" s="10" t="inlineStr">
        <is>
          <t>Single Carrier (Band n50, 100MHz TDD)</t>
        </is>
      </c>
      <c r="Q1024" s="13">
        <f>ROUNDUP(O1024/'Methodology &amp; Assumptions'!$B$6, 0)</f>
        <v/>
      </c>
      <c r="R1024" s="13" t="n">
        <v>1</v>
      </c>
      <c r="S1024" s="14" t="n">
        <v>1.45</v>
      </c>
      <c r="T1024" s="14" t="n">
        <v>1.05</v>
      </c>
      <c r="U1024" s="26">
        <f>IF(X1024&gt;='Methodology &amp; Assumptions'!$B$7, "Tier 1 Critical GIDA (Score ≥ 50.0)", IF(X1024&gt;='Methodology &amp; Assumptions'!$B$8, "Tier 2 High GIDA (Score 40.0–49.9)", "Tier 3 Moderate GIDA (Score &lt; 40.0)"))</f>
        <v/>
      </c>
      <c r="V1024" s="26">
        <f>IF(S1024&lt;='Methodology &amp; Assumptions'!$B$10, "Direct Optical Drop (&lt;3km)", IF(S1024&lt;='Methodology &amp; Assumptions'!$B$9, "Near Optical / Microwave (&lt;5km)", "Starlink Business LEO Satellite Backhaul (&gt;5km)"))</f>
        <v/>
      </c>
      <c r="W1024" s="28" t="n">
        <v>0.083</v>
      </c>
      <c r="X1024" s="14" t="n">
        <v>44.5</v>
      </c>
      <c r="Y1024" s="14">
        <f>ROUND(MIN(100, (X1024/69.91)*100), 2)</f>
        <v/>
      </c>
    </row>
    <row r="1025">
      <c r="A1025" s="10" t="n">
        <v>5</v>
      </c>
      <c r="B1025" s="10" t="n">
        <v>21</v>
      </c>
      <c r="C1025" s="10" t="n">
        <v>4021</v>
      </c>
      <c r="D1025" s="10" t="inlineStr">
        <is>
          <t>PH0004021</t>
        </is>
      </c>
      <c r="E1025" s="26" t="inlineStr">
        <is>
          <t>VII</t>
        </is>
      </c>
      <c r="F1025" s="26" t="inlineStr">
        <is>
          <t>Cebu</t>
        </is>
      </c>
      <c r="G1025" s="26" t="inlineStr">
        <is>
          <t>Cebu City</t>
        </is>
      </c>
      <c r="H1025" s="26" t="inlineStr">
        <is>
          <t>Quiot Pardo</t>
        </is>
      </c>
      <c r="I1025" s="27" t="n">
        <v>10.28805</v>
      </c>
      <c r="J1025" s="27" t="n">
        <v>123.85625</v>
      </c>
      <c r="K1025" s="10" t="inlineStr">
        <is>
          <t>R</t>
        </is>
      </c>
      <c r="L1025" s="12" t="n">
        <v>2250</v>
      </c>
      <c r="M1025" s="14" t="n">
        <v>3.8</v>
      </c>
      <c r="N1025" s="12">
        <f>ROUND(L1025/M1025, 0)</f>
        <v/>
      </c>
      <c r="O1025" s="12">
        <f>ROUND(N1025*'Methodology &amp; Assumptions'!$B$5, 0)</f>
        <v/>
      </c>
      <c r="P1025" s="10" t="inlineStr">
        <is>
          <t>Single Carrier (Band n50, 100MHz TDD)</t>
        </is>
      </c>
      <c r="Q1025" s="13">
        <f>ROUNDUP(O1025/'Methodology &amp; Assumptions'!$B$6, 0)</f>
        <v/>
      </c>
      <c r="R1025" s="13" t="n">
        <v>1</v>
      </c>
      <c r="S1025" s="14" t="n">
        <v>0.5600000000000001</v>
      </c>
      <c r="T1025" s="14" t="n">
        <v>0.62</v>
      </c>
      <c r="U1025" s="26">
        <f>IF(X1025&gt;='Methodology &amp; Assumptions'!$B$7, "Tier 1 Critical GIDA (Score ≥ 50.0)", IF(X1025&gt;='Methodology &amp; Assumptions'!$B$8, "Tier 2 High GIDA (Score 40.0–49.9)", "Tier 3 Moderate GIDA (Score &lt; 40.0)"))</f>
        <v/>
      </c>
      <c r="V1025" s="26">
        <f>IF(S1025&lt;='Methodology &amp; Assumptions'!$B$10, "Direct Optical Drop (&lt;3km)", IF(S1025&lt;='Methodology &amp; Assumptions'!$B$9, "Near Optical / Microwave (&lt;5km)", "Starlink Business LEO Satellite Backhaul (&gt;5km)"))</f>
        <v/>
      </c>
      <c r="W1025" s="28" t="n">
        <v>0.21</v>
      </c>
      <c r="X1025" s="14" t="n">
        <v>44.5</v>
      </c>
      <c r="Y1025" s="14">
        <f>ROUND(MIN(100, (X1025/69.91)*100), 2)</f>
        <v/>
      </c>
    </row>
    <row r="1026">
      <c r="A1026" s="10" t="n">
        <v>5</v>
      </c>
      <c r="B1026" s="10" t="n">
        <v>22</v>
      </c>
      <c r="C1026" s="10" t="n">
        <v>4022</v>
      </c>
      <c r="D1026" s="10" t="inlineStr">
        <is>
          <t>1907005001</t>
        </is>
      </c>
      <c r="E1026" s="26" t="inlineStr">
        <is>
          <t>Bangsamoro Autonomous Region In Muslim Mindanao (BARMM)</t>
        </is>
      </c>
      <c r="F1026" s="26" t="inlineStr">
        <is>
          <t>Tawi-Tawi</t>
        </is>
      </c>
      <c r="G1026" s="26" t="inlineStr">
        <is>
          <t>Sitangkai</t>
        </is>
      </c>
      <c r="H1026" s="26" t="inlineStr">
        <is>
          <t>South Larap</t>
        </is>
      </c>
      <c r="I1026" s="27" t="n">
        <v>17.255825</v>
      </c>
      <c r="J1026" s="27" t="n">
        <v>122.229869</v>
      </c>
      <c r="K1026" s="10" t="inlineStr">
        <is>
          <t>R</t>
        </is>
      </c>
      <c r="L1026" s="12" t="n">
        <v>2177</v>
      </c>
      <c r="M1026" s="14" t="n">
        <v>5.8</v>
      </c>
      <c r="N1026" s="12">
        <f>ROUND(L1026/M1026, 0)</f>
        <v/>
      </c>
      <c r="O1026" s="12">
        <f>ROUND(N1026*'Methodology &amp; Assumptions'!$B$5, 0)</f>
        <v/>
      </c>
      <c r="P1026" s="10" t="inlineStr">
        <is>
          <t>Single Carrier (Band n50, 100MHz TDD)</t>
        </is>
      </c>
      <c r="Q1026" s="13">
        <f>ROUNDUP(O1026/'Methodology &amp; Assumptions'!$B$6, 0)</f>
        <v/>
      </c>
      <c r="R1026" s="13" t="n">
        <v>1</v>
      </c>
      <c r="S1026" s="14" t="n">
        <v>29.57</v>
      </c>
      <c r="T1026" s="14" t="n">
        <v>34.43</v>
      </c>
      <c r="U1026" s="26">
        <f>IF(X1026&gt;='Methodology &amp; Assumptions'!$B$7, "Tier 1 Critical GIDA (Score ≥ 50.0)", IF(X1026&gt;='Methodology &amp; Assumptions'!$B$8, "Tier 2 High GIDA (Score 40.0–49.9)", "Tier 3 Moderate GIDA (Score &lt; 40.0)"))</f>
        <v/>
      </c>
      <c r="V1026" s="26">
        <f>IF(S1026&lt;='Methodology &amp; Assumptions'!$B$10, "Direct Optical Drop (&lt;3km)", IF(S1026&lt;='Methodology &amp; Assumptions'!$B$9, "Near Optical / Microwave (&lt;5km)", "Starlink Business LEO Satellite Backhaul (&gt;5km)"))</f>
        <v/>
      </c>
      <c r="W1026" s="28" t="n">
        <v>0.11</v>
      </c>
      <c r="X1026" s="14" t="n">
        <v>44.49</v>
      </c>
      <c r="Y1026" s="14">
        <f>ROUND(MIN(100, (X1026/69.91)*100), 2)</f>
        <v/>
      </c>
    </row>
    <row r="1027">
      <c r="A1027" s="10" t="n">
        <v>5</v>
      </c>
      <c r="B1027" s="10" t="n">
        <v>23</v>
      </c>
      <c r="C1027" s="10" t="n">
        <v>4023</v>
      </c>
      <c r="D1027" s="10" t="inlineStr">
        <is>
          <t>1381300113</t>
        </is>
      </c>
      <c r="E1027" s="26" t="inlineStr">
        <is>
          <t>National Capital Region (NCR)</t>
        </is>
      </c>
      <c r="F1027" s="26" t="inlineStr">
        <is>
          <t>Second District (Not a Province)</t>
        </is>
      </c>
      <c r="G1027" s="26" t="inlineStr">
        <is>
          <t>Quezon City</t>
        </is>
      </c>
      <c r="H1027" s="26" t="inlineStr">
        <is>
          <t>Sikatuna Village</t>
        </is>
      </c>
      <c r="I1027" s="27" t="n">
        <v>14.698705</v>
      </c>
      <c r="J1027" s="27" t="n">
        <v>121.028776</v>
      </c>
      <c r="K1027" s="10" t="inlineStr">
        <is>
          <t>U</t>
        </is>
      </c>
      <c r="L1027" s="12" t="n">
        <v>6378</v>
      </c>
      <c r="M1027" s="14" t="n">
        <v>3.8</v>
      </c>
      <c r="N1027" s="12">
        <f>ROUND(L1027/M1027, 0)</f>
        <v/>
      </c>
      <c r="O1027" s="12">
        <f>ROUND(N1027*'Methodology &amp; Assumptions'!$B$5, 0)</f>
        <v/>
      </c>
      <c r="P1027" s="10" t="inlineStr">
        <is>
          <t>Single Carrier (Band n50, 100MHz TDD)</t>
        </is>
      </c>
      <c r="Q1027" s="13">
        <f>ROUNDUP(O1027/'Methodology &amp; Assumptions'!$B$6, 0)</f>
        <v/>
      </c>
      <c r="R1027" s="13" t="n">
        <v>1</v>
      </c>
      <c r="S1027" s="14" t="n">
        <v>0.52</v>
      </c>
      <c r="T1027" s="14" t="n">
        <v>0.45</v>
      </c>
      <c r="U1027" s="26">
        <f>IF(X1027&gt;='Methodology &amp; Assumptions'!$B$7, "Tier 1 Critical GIDA (Score ≥ 50.0)", IF(X1027&gt;='Methodology &amp; Assumptions'!$B$8, "Tier 2 High GIDA (Score 40.0–49.9)", "Tier 3 Moderate GIDA (Score &lt; 40.0)"))</f>
        <v/>
      </c>
      <c r="V1027" s="26">
        <f>IF(S1027&lt;='Methodology &amp; Assumptions'!$B$10, "Direct Optical Drop (&lt;3km)", IF(S1027&lt;='Methodology &amp; Assumptions'!$B$9, "Near Optical / Microwave (&lt;5km)", "Starlink Business LEO Satellite Backhaul (&gt;5km)"))</f>
        <v/>
      </c>
      <c r="W1027" s="28" t="n">
        <v>0.109</v>
      </c>
      <c r="X1027" s="14" t="n">
        <v>44.49</v>
      </c>
      <c r="Y1027" s="14">
        <f>ROUND(MIN(100, (X1027/69.91)*100), 2)</f>
        <v/>
      </c>
    </row>
    <row r="1028">
      <c r="A1028" s="10" t="n">
        <v>5</v>
      </c>
      <c r="B1028" s="10" t="n">
        <v>24</v>
      </c>
      <c r="C1028" s="10" t="n">
        <v>4024</v>
      </c>
      <c r="D1028" s="10" t="inlineStr">
        <is>
          <t>1004318002</t>
        </is>
      </c>
      <c r="E1028" s="26" t="inlineStr">
        <is>
          <t>Region X (Northern Mindanao)</t>
        </is>
      </c>
      <c r="F1028" s="26" t="inlineStr">
        <is>
          <t>Misamis Oriental</t>
        </is>
      </c>
      <c r="G1028" s="26" t="inlineStr">
        <is>
          <t>Manticao</t>
        </is>
      </c>
      <c r="H1028" s="26" t="inlineStr">
        <is>
          <t>Balintad</t>
        </is>
      </c>
      <c r="I1028" s="27" t="n">
        <v>8.369878999999999</v>
      </c>
      <c r="J1028" s="27" t="n">
        <v>124.378429</v>
      </c>
      <c r="K1028" s="10" t="inlineStr">
        <is>
          <t>R</t>
        </is>
      </c>
      <c r="L1028" s="12" t="n">
        <v>631</v>
      </c>
      <c r="M1028" s="14" t="n">
        <v>3.9</v>
      </c>
      <c r="N1028" s="12">
        <f>ROUND(L1028/M1028, 0)</f>
        <v/>
      </c>
      <c r="O1028" s="12">
        <f>ROUND(N1028*'Methodology &amp; Assumptions'!$B$5, 0)</f>
        <v/>
      </c>
      <c r="P1028" s="10" t="inlineStr">
        <is>
          <t>Single Carrier (Band n50, 100MHz TDD)</t>
        </is>
      </c>
      <c r="Q1028" s="13">
        <f>ROUNDUP(O1028/'Methodology &amp; Assumptions'!$B$6, 0)</f>
        <v/>
      </c>
      <c r="R1028" s="13" t="n">
        <v>1</v>
      </c>
      <c r="S1028" s="14" t="n">
        <v>10.42</v>
      </c>
      <c r="T1028" s="14" t="n">
        <v>10.01</v>
      </c>
      <c r="U1028" s="26">
        <f>IF(X1028&gt;='Methodology &amp; Assumptions'!$B$7, "Tier 1 Critical GIDA (Score ≥ 50.0)", IF(X1028&gt;='Methodology &amp; Assumptions'!$B$8, "Tier 2 High GIDA (Score 40.0–49.9)", "Tier 3 Moderate GIDA (Score &lt; 40.0)"))</f>
        <v/>
      </c>
      <c r="V1028" s="26">
        <f>IF(S1028&lt;='Methodology &amp; Assumptions'!$B$10, "Direct Optical Drop (&lt;3km)", IF(S1028&lt;='Methodology &amp; Assumptions'!$B$9, "Near Optical / Microwave (&lt;5km)", "Starlink Business LEO Satellite Backhaul (&gt;5km)"))</f>
        <v/>
      </c>
      <c r="W1028" s="28" t="n">
        <v>0.174</v>
      </c>
      <c r="X1028" s="14" t="n">
        <v>44.48</v>
      </c>
      <c r="Y1028" s="14">
        <f>ROUND(MIN(100, (X1028/69.91)*100), 2)</f>
        <v/>
      </c>
    </row>
    <row r="1029">
      <c r="A1029" s="10" t="n">
        <v>5</v>
      </c>
      <c r="B1029" s="10" t="n">
        <v>25</v>
      </c>
      <c r="C1029" s="10" t="n">
        <v>4025</v>
      </c>
      <c r="D1029" s="10" t="inlineStr">
        <is>
          <t>0806007006</t>
        </is>
      </c>
      <c r="E1029" s="26" t="inlineStr">
        <is>
          <t>Region VIII (Eastern Visayas)</t>
        </is>
      </c>
      <c r="F1029" s="26" t="inlineStr">
        <is>
          <t>Samar</t>
        </is>
      </c>
      <c r="G1029" s="26" t="inlineStr">
        <is>
          <t>Gandara</t>
        </is>
      </c>
      <c r="H1029" s="26" t="inlineStr">
        <is>
          <t>Beslig</t>
        </is>
      </c>
      <c r="I1029" s="27" t="n">
        <v>12.11958</v>
      </c>
      <c r="J1029" s="27" t="n">
        <v>124.76758</v>
      </c>
      <c r="K1029" s="10" t="inlineStr">
        <is>
          <t>R</t>
        </is>
      </c>
      <c r="L1029" s="12" t="n">
        <v>161</v>
      </c>
      <c r="M1029" s="14" t="n">
        <v>4.1</v>
      </c>
      <c r="N1029" s="12">
        <f>ROUND(L1029/M1029, 0)</f>
        <v/>
      </c>
      <c r="O1029" s="12">
        <f>ROUND(N1029*'Methodology &amp; Assumptions'!$B$5, 0)</f>
        <v/>
      </c>
      <c r="P1029" s="10" t="inlineStr">
        <is>
          <t>Single Carrier (Band n50, 100MHz TDD)</t>
        </is>
      </c>
      <c r="Q1029" s="13">
        <f>ROUNDUP(O1029/'Methodology &amp; Assumptions'!$B$6, 0)</f>
        <v/>
      </c>
      <c r="R1029" s="13" t="n">
        <v>1</v>
      </c>
      <c r="S1029" s="14" t="n">
        <v>90.81</v>
      </c>
      <c r="T1029" s="14" t="n">
        <v>90.8</v>
      </c>
      <c r="U1029" s="26">
        <f>IF(X1029&gt;='Methodology &amp; Assumptions'!$B$7, "Tier 1 Critical GIDA (Score ≥ 50.0)", IF(X1029&gt;='Methodology &amp; Assumptions'!$B$8, "Tier 2 High GIDA (Score 40.0–49.9)", "Tier 3 Moderate GIDA (Score &lt; 40.0)"))</f>
        <v/>
      </c>
      <c r="V1029" s="26">
        <f>IF(S1029&lt;='Methodology &amp; Assumptions'!$B$10, "Direct Optical Drop (&lt;3km)", IF(S1029&lt;='Methodology &amp; Assumptions'!$B$9, "Near Optical / Microwave (&lt;5km)", "Starlink Business LEO Satellite Backhaul (&gt;5km)"))</f>
        <v/>
      </c>
      <c r="W1029" s="28" t="n">
        <v>0.237</v>
      </c>
      <c r="X1029" s="14" t="n">
        <v>44.48</v>
      </c>
      <c r="Y1029" s="14">
        <f>ROUND(MIN(100, (X1029/69.91)*100), 2)</f>
        <v/>
      </c>
    </row>
    <row r="1030">
      <c r="A1030" s="10" t="n">
        <v>5</v>
      </c>
      <c r="B1030" s="10" t="n">
        <v>26</v>
      </c>
      <c r="C1030" s="10" t="n">
        <v>4026</v>
      </c>
      <c r="D1030" s="10" t="inlineStr">
        <is>
          <t>PH0004026</t>
        </is>
      </c>
      <c r="E1030" s="26" t="inlineStr">
        <is>
          <t>VII</t>
        </is>
      </c>
      <c r="F1030" s="26" t="inlineStr">
        <is>
          <t>Cebu</t>
        </is>
      </c>
      <c r="G1030" s="26" t="inlineStr">
        <is>
          <t>Talisay City</t>
        </is>
      </c>
      <c r="H1030" s="26" t="inlineStr">
        <is>
          <t>Lawaan II</t>
        </is>
      </c>
      <c r="I1030" s="27" t="n">
        <v>10.360271</v>
      </c>
      <c r="J1030" s="27" t="n">
        <v>123.79106</v>
      </c>
      <c r="K1030" s="10" t="inlineStr">
        <is>
          <t>R</t>
        </is>
      </c>
      <c r="L1030" s="12" t="n">
        <v>2250</v>
      </c>
      <c r="M1030" s="14" t="n">
        <v>3.8</v>
      </c>
      <c r="N1030" s="12">
        <f>ROUND(L1030/M1030, 0)</f>
        <v/>
      </c>
      <c r="O1030" s="12">
        <f>ROUND(N1030*'Methodology &amp; Assumptions'!$B$5, 0)</f>
        <v/>
      </c>
      <c r="P1030" s="10" t="inlineStr">
        <is>
          <t>Single Carrier (Band n50, 100MHz TDD)</t>
        </is>
      </c>
      <c r="Q1030" s="13">
        <f>ROUNDUP(O1030/'Methodology &amp; Assumptions'!$B$6, 0)</f>
        <v/>
      </c>
      <c r="R1030" s="13" t="n">
        <v>1</v>
      </c>
      <c r="S1030" s="14" t="n">
        <v>7.31</v>
      </c>
      <c r="T1030" s="14" t="n">
        <v>10.11</v>
      </c>
      <c r="U1030" s="26">
        <f>IF(X1030&gt;='Methodology &amp; Assumptions'!$B$7, "Tier 1 Critical GIDA (Score ≥ 50.0)", IF(X1030&gt;='Methodology &amp; Assumptions'!$B$8, "Tier 2 High GIDA (Score 40.0–49.9)", "Tier 3 Moderate GIDA (Score &lt; 40.0)"))</f>
        <v/>
      </c>
      <c r="V1030" s="26">
        <f>IF(S1030&lt;='Methodology &amp; Assumptions'!$B$10, "Direct Optical Drop (&lt;3km)", IF(S1030&lt;='Methodology &amp; Assumptions'!$B$9, "Near Optical / Microwave (&lt;5km)", "Starlink Business LEO Satellite Backhaul (&gt;5km)"))</f>
        <v/>
      </c>
      <c r="W1030" s="28" t="n">
        <v>0.21</v>
      </c>
      <c r="X1030" s="14" t="n">
        <v>44.47</v>
      </c>
      <c r="Y1030" s="14">
        <f>ROUND(MIN(100, (X1030/69.91)*100), 2)</f>
        <v/>
      </c>
    </row>
    <row r="1031">
      <c r="A1031" s="10" t="n">
        <v>5</v>
      </c>
      <c r="B1031" s="10" t="n">
        <v>27</v>
      </c>
      <c r="C1031" s="10" t="n">
        <v>4027</v>
      </c>
      <c r="D1031" s="10" t="inlineStr">
        <is>
          <t>PH0004027</t>
        </is>
      </c>
      <c r="E1031" s="26" t="inlineStr">
        <is>
          <t>IV-A</t>
        </is>
      </c>
      <c r="F1031" s="26" t="inlineStr">
        <is>
          <t>Cavite</t>
        </is>
      </c>
      <c r="G1031" s="26" t="inlineStr">
        <is>
          <t>Imus City</t>
        </is>
      </c>
      <c r="H1031" s="26" t="inlineStr">
        <is>
          <t>Medicion I-A</t>
        </is>
      </c>
      <c r="I1031" s="27" t="n">
        <v>14.297308</v>
      </c>
      <c r="J1031" s="27" t="n">
        <v>120.866166</v>
      </c>
      <c r="K1031" s="10" t="inlineStr">
        <is>
          <t>R</t>
        </is>
      </c>
      <c r="L1031" s="12" t="n">
        <v>2316</v>
      </c>
      <c r="M1031" s="14" t="n">
        <v>3.4</v>
      </c>
      <c r="N1031" s="12">
        <f>ROUND(L1031/M1031, 0)</f>
        <v/>
      </c>
      <c r="O1031" s="12">
        <f>ROUND(N1031*'Methodology &amp; Assumptions'!$B$5, 0)</f>
        <v/>
      </c>
      <c r="P1031" s="10" t="inlineStr">
        <is>
          <t>Single Carrier (Band n50, 100MHz TDD)</t>
        </is>
      </c>
      <c r="Q1031" s="13">
        <f>ROUNDUP(O1031/'Methodology &amp; Assumptions'!$B$6, 0)</f>
        <v/>
      </c>
      <c r="R1031" s="13" t="n">
        <v>1</v>
      </c>
      <c r="S1031" s="14" t="n">
        <v>1.68</v>
      </c>
      <c r="T1031" s="14" t="n">
        <v>1.44</v>
      </c>
      <c r="U1031" s="26">
        <f>IF(X1031&gt;='Methodology &amp; Assumptions'!$B$7, "Tier 1 Critical GIDA (Score ≥ 50.0)", IF(X1031&gt;='Methodology &amp; Assumptions'!$B$8, "Tier 2 High GIDA (Score 40.0–49.9)", "Tier 3 Moderate GIDA (Score &lt; 40.0)"))</f>
        <v/>
      </c>
      <c r="V1031" s="26">
        <f>IF(S1031&lt;='Methodology &amp; Assumptions'!$B$10, "Direct Optical Drop (&lt;3km)", IF(S1031&lt;='Methodology &amp; Assumptions'!$B$9, "Near Optical / Microwave (&lt;5km)", "Starlink Business LEO Satellite Backhaul (&gt;5km)"))</f>
        <v/>
      </c>
      <c r="W1031" s="28" t="n">
        <v>0.07200000000000001</v>
      </c>
      <c r="X1031" s="14" t="n">
        <v>44.47</v>
      </c>
      <c r="Y1031" s="14">
        <f>ROUND(MIN(100, (X1031/69.91)*100), 2)</f>
        <v/>
      </c>
    </row>
    <row r="1032">
      <c r="A1032" s="10" t="n">
        <v>5</v>
      </c>
      <c r="B1032" s="10" t="n">
        <v>28</v>
      </c>
      <c r="C1032" s="10" t="n">
        <v>4028</v>
      </c>
      <c r="D1032" s="10" t="inlineStr">
        <is>
          <t>1908810001</t>
        </is>
      </c>
      <c r="E1032" s="26" t="inlineStr">
        <is>
          <t>Bangsamoro Autonomous Region In Muslim Mindanao (BARMM)</t>
        </is>
      </c>
      <c r="F1032" s="26" t="inlineStr">
        <is>
          <t>Maguindanao del Sur</t>
        </is>
      </c>
      <c r="G1032" s="26" t="inlineStr">
        <is>
          <t>Datu Unsay</t>
        </is>
      </c>
      <c r="H1032" s="26" t="inlineStr">
        <is>
          <t>Bulayan</t>
        </is>
      </c>
      <c r="I1032" s="27" t="n">
        <v>15.523618</v>
      </c>
      <c r="J1032" s="27" t="n">
        <v>122.600068</v>
      </c>
      <c r="K1032" s="10" t="inlineStr">
        <is>
          <t>R</t>
        </is>
      </c>
      <c r="L1032" s="12" t="n">
        <v>776</v>
      </c>
      <c r="M1032" s="14" t="n">
        <v>4.7</v>
      </c>
      <c r="N1032" s="12">
        <f>ROUND(L1032/M1032, 0)</f>
        <v/>
      </c>
      <c r="O1032" s="12">
        <f>ROUND(N1032*'Methodology &amp; Assumptions'!$B$5, 0)</f>
        <v/>
      </c>
      <c r="P1032" s="10" t="inlineStr">
        <is>
          <t>Single Carrier (Band n50, 100MHz TDD)</t>
        </is>
      </c>
      <c r="Q1032" s="13">
        <f>ROUNDUP(O1032/'Methodology &amp; Assumptions'!$B$6, 0)</f>
        <v/>
      </c>
      <c r="R1032" s="13" t="n">
        <v>1</v>
      </c>
      <c r="S1032" s="14" t="n">
        <v>96.68000000000001</v>
      </c>
      <c r="T1032" s="14" t="n">
        <v>95.34999999999999</v>
      </c>
      <c r="U1032" s="26">
        <f>IF(X1032&gt;='Methodology &amp; Assumptions'!$B$7, "Tier 1 Critical GIDA (Score ≥ 50.0)", IF(X1032&gt;='Methodology &amp; Assumptions'!$B$8, "Tier 2 High GIDA (Score 40.0–49.9)", "Tier 3 Moderate GIDA (Score &lt; 40.0)"))</f>
        <v/>
      </c>
      <c r="V1032" s="26">
        <f>IF(S1032&lt;='Methodology &amp; Assumptions'!$B$10, "Direct Optical Drop (&lt;3km)", IF(S1032&lt;='Methodology &amp; Assumptions'!$B$9, "Near Optical / Microwave (&lt;5km)", "Starlink Business LEO Satellite Backhaul (&gt;5km)"))</f>
        <v/>
      </c>
      <c r="W1032" s="28" t="n">
        <v>0.11</v>
      </c>
      <c r="X1032" s="14" t="n">
        <v>44.47</v>
      </c>
      <c r="Y1032" s="14">
        <f>ROUND(MIN(100, (X1032/69.91)*100), 2)</f>
        <v/>
      </c>
    </row>
    <row r="1033">
      <c r="A1033" s="10" t="n">
        <v>5</v>
      </c>
      <c r="B1033" s="10" t="n">
        <v>29</v>
      </c>
      <c r="C1033" s="10" t="n">
        <v>4029</v>
      </c>
      <c r="D1033" s="10" t="inlineStr">
        <is>
          <t>PH0004029</t>
        </is>
      </c>
      <c r="E1033" s="26" t="inlineStr">
        <is>
          <t>NCR</t>
        </is>
      </c>
      <c r="F1033" s="26" t="inlineStr">
        <is>
          <t>Metro Manila</t>
        </is>
      </c>
      <c r="G1033" s="26" t="inlineStr">
        <is>
          <t>Caloocan City</t>
        </is>
      </c>
      <c r="H1033" s="26" t="inlineStr">
        <is>
          <t>Barangay 171</t>
        </is>
      </c>
      <c r="I1033" s="27" t="n">
        <v>11.544104</v>
      </c>
      <c r="J1033" s="27" t="n">
        <v>122.565008</v>
      </c>
      <c r="K1033" s="10" t="inlineStr">
        <is>
          <t>R</t>
        </is>
      </c>
      <c r="L1033" s="12" t="n">
        <v>2279</v>
      </c>
      <c r="M1033" s="14" t="n">
        <v>3.8</v>
      </c>
      <c r="N1033" s="12">
        <f>ROUND(L1033/M1033, 0)</f>
        <v/>
      </c>
      <c r="O1033" s="12">
        <f>ROUND(N1033*'Methodology &amp; Assumptions'!$B$5, 0)</f>
        <v/>
      </c>
      <c r="P1033" s="10" t="inlineStr">
        <is>
          <t>Single Carrier (Band n50, 100MHz TDD)</t>
        </is>
      </c>
      <c r="Q1033" s="13">
        <f>ROUNDUP(O1033/'Methodology &amp; Assumptions'!$B$6, 0)</f>
        <v/>
      </c>
      <c r="R1033" s="13" t="n">
        <v>1</v>
      </c>
      <c r="S1033" s="14" t="n">
        <v>7.11</v>
      </c>
      <c r="T1033" s="14" t="n">
        <v>5.48</v>
      </c>
      <c r="U1033" s="26">
        <f>IF(X1033&gt;='Methodology &amp; Assumptions'!$B$7, "Tier 1 Critical GIDA (Score ≥ 50.0)", IF(X1033&gt;='Methodology &amp; Assumptions'!$B$8, "Tier 2 High GIDA (Score 40.0–49.9)", "Tier 3 Moderate GIDA (Score &lt; 40.0)"))</f>
        <v/>
      </c>
      <c r="V1033" s="26">
        <f>IF(S1033&lt;='Methodology &amp; Assumptions'!$B$10, "Direct Optical Drop (&lt;3km)", IF(S1033&lt;='Methodology &amp; Assumptions'!$B$9, "Near Optical / Microwave (&lt;5km)", "Starlink Business LEO Satellite Backhaul (&gt;5km)"))</f>
        <v/>
      </c>
      <c r="W1033" s="28" t="n">
        <v>0.011</v>
      </c>
      <c r="X1033" s="14" t="n">
        <v>44.45</v>
      </c>
      <c r="Y1033" s="14">
        <f>ROUND(MIN(100, (X1033/69.91)*100), 2)</f>
        <v/>
      </c>
    </row>
    <row r="1034">
      <c r="A1034" s="10" t="n">
        <v>5</v>
      </c>
      <c r="B1034" s="10" t="n">
        <v>30</v>
      </c>
      <c r="C1034" s="10" t="n">
        <v>4030</v>
      </c>
      <c r="D1034" s="10" t="inlineStr">
        <is>
          <t>PH0004030</t>
        </is>
      </c>
      <c r="E1034" s="26" t="inlineStr">
        <is>
          <t>IV-A</t>
        </is>
      </c>
      <c r="F1034" s="26" t="inlineStr">
        <is>
          <t>Cavite</t>
        </is>
      </c>
      <c r="G1034" s="26" t="inlineStr">
        <is>
          <t>Cavite City</t>
        </is>
      </c>
      <c r="H1034" s="26" t="inlineStr">
        <is>
          <t>Barangay 55</t>
        </is>
      </c>
      <c r="I1034" s="27" t="n">
        <v>14.464912</v>
      </c>
      <c r="J1034" s="27" t="n">
        <v>120.903076</v>
      </c>
      <c r="K1034" s="10" t="inlineStr">
        <is>
          <t>R</t>
        </is>
      </c>
      <c r="L1034" s="12" t="n">
        <v>2316</v>
      </c>
      <c r="M1034" s="14" t="n">
        <v>3.4</v>
      </c>
      <c r="N1034" s="12">
        <f>ROUND(L1034/M1034, 0)</f>
        <v/>
      </c>
      <c r="O1034" s="12">
        <f>ROUND(N1034*'Methodology &amp; Assumptions'!$B$5, 0)</f>
        <v/>
      </c>
      <c r="P1034" s="10" t="inlineStr">
        <is>
          <t>Single Carrier (Band n50, 100MHz TDD)</t>
        </is>
      </c>
      <c r="Q1034" s="13">
        <f>ROUNDUP(O1034/'Methodology &amp; Assumptions'!$B$6, 0)</f>
        <v/>
      </c>
      <c r="R1034" s="13" t="n">
        <v>1</v>
      </c>
      <c r="S1034" s="14" t="n">
        <v>2</v>
      </c>
      <c r="T1034" s="14" t="n">
        <v>2.38</v>
      </c>
      <c r="U1034" s="26">
        <f>IF(X1034&gt;='Methodology &amp; Assumptions'!$B$7, "Tier 1 Critical GIDA (Score ≥ 50.0)", IF(X1034&gt;='Methodology &amp; Assumptions'!$B$8, "Tier 2 High GIDA (Score 40.0–49.9)", "Tier 3 Moderate GIDA (Score &lt; 40.0)"))</f>
        <v/>
      </c>
      <c r="V1034" s="26">
        <f>IF(S1034&lt;='Methodology &amp; Assumptions'!$B$10, "Direct Optical Drop (&lt;3km)", IF(S1034&lt;='Methodology &amp; Assumptions'!$B$9, "Near Optical / Microwave (&lt;5km)", "Starlink Business LEO Satellite Backhaul (&gt;5km)"))</f>
        <v/>
      </c>
      <c r="W1034" s="28" t="n">
        <v>0.07200000000000001</v>
      </c>
      <c r="X1034" s="14" t="n">
        <v>44.45</v>
      </c>
      <c r="Y1034" s="14">
        <f>ROUND(MIN(100, (X1034/69.91)*100), 2)</f>
        <v/>
      </c>
    </row>
    <row r="1035">
      <c r="A1035" s="10" t="n">
        <v>5</v>
      </c>
      <c r="B1035" s="10" t="n">
        <v>31</v>
      </c>
      <c r="C1035" s="10" t="n">
        <v>4031</v>
      </c>
      <c r="D1035" s="10" t="inlineStr">
        <is>
          <t>0401003012</t>
        </is>
      </c>
      <c r="E1035" s="26" t="inlineStr">
        <is>
          <t>Region IV-A (CALABARZON)</t>
        </is>
      </c>
      <c r="F1035" s="26" t="inlineStr">
        <is>
          <t>Batangas</t>
        </is>
      </c>
      <c r="G1035" s="26" t="inlineStr">
        <is>
          <t>Balayan</t>
        </is>
      </c>
      <c r="H1035" s="26" t="inlineStr">
        <is>
          <t>Barangay 7</t>
        </is>
      </c>
      <c r="I1035" s="27" t="n">
        <v>13.953965</v>
      </c>
      <c r="J1035" s="27" t="n">
        <v>120.733464</v>
      </c>
      <c r="K1035" s="10" t="inlineStr">
        <is>
          <t>R</t>
        </is>
      </c>
      <c r="L1035" s="12" t="n">
        <v>340</v>
      </c>
      <c r="M1035" s="14" t="n">
        <v>3.6</v>
      </c>
      <c r="N1035" s="12">
        <f>ROUND(L1035/M1035, 0)</f>
        <v/>
      </c>
      <c r="O1035" s="12">
        <f>ROUND(N1035*'Methodology &amp; Assumptions'!$B$5, 0)</f>
        <v/>
      </c>
      <c r="P1035" s="10" t="inlineStr">
        <is>
          <t>Single Carrier (Band n50, 100MHz TDD)</t>
        </is>
      </c>
      <c r="Q1035" s="13">
        <f>ROUNDUP(O1035/'Methodology &amp; Assumptions'!$B$6, 0)</f>
        <v/>
      </c>
      <c r="R1035" s="13" t="n">
        <v>1</v>
      </c>
      <c r="S1035" s="14" t="n">
        <v>1.3</v>
      </c>
      <c r="T1035" s="14" t="n">
        <v>0.5</v>
      </c>
      <c r="U1035" s="26">
        <f>IF(X1035&gt;='Methodology &amp; Assumptions'!$B$7, "Tier 1 Critical GIDA (Score ≥ 50.0)", IF(X1035&gt;='Methodology &amp; Assumptions'!$B$8, "Tier 2 High GIDA (Score 40.0–49.9)", "Tier 3 Moderate GIDA (Score &lt; 40.0)"))</f>
        <v/>
      </c>
      <c r="V1035" s="26">
        <f>IF(S1035&lt;='Methodology &amp; Assumptions'!$B$10, "Direct Optical Drop (&lt;3km)", IF(S1035&lt;='Methodology &amp; Assumptions'!$B$9, "Near Optical / Microwave (&lt;5km)", "Starlink Business LEO Satellite Backhaul (&gt;5km)"))</f>
        <v/>
      </c>
      <c r="W1035" s="28" t="n">
        <v>0.07200000000000001</v>
      </c>
      <c r="X1035" s="14" t="n">
        <v>44.45</v>
      </c>
      <c r="Y1035" s="14">
        <f>ROUND(MIN(100, (X1035/69.91)*100), 2)</f>
        <v/>
      </c>
    </row>
    <row r="1036">
      <c r="A1036" s="10" t="n">
        <v>5</v>
      </c>
      <c r="B1036" s="10" t="n">
        <v>32</v>
      </c>
      <c r="C1036" s="10" t="n">
        <v>4032</v>
      </c>
      <c r="D1036" s="10" t="inlineStr">
        <is>
          <t>1400112001</t>
        </is>
      </c>
      <c r="E1036" s="26" t="inlineStr">
        <is>
          <t>Cordillera Administrative Region (CAR)</t>
        </is>
      </c>
      <c r="F1036" s="26" t="inlineStr">
        <is>
          <t>Abra</t>
        </is>
      </c>
      <c r="G1036" s="26" t="inlineStr">
        <is>
          <t>Langiden</t>
        </is>
      </c>
      <c r="H1036" s="26" t="inlineStr">
        <is>
          <t>Baac</t>
        </is>
      </c>
      <c r="I1036" s="27" t="n">
        <v>17.601139</v>
      </c>
      <c r="J1036" s="27" t="n">
        <v>120.576381</v>
      </c>
      <c r="K1036" s="10" t="inlineStr">
        <is>
          <t>R</t>
        </is>
      </c>
      <c r="L1036" s="12" t="n">
        <v>362</v>
      </c>
      <c r="M1036" s="14" t="n">
        <v>3.8</v>
      </c>
      <c r="N1036" s="12">
        <f>ROUND(L1036/M1036, 0)</f>
        <v/>
      </c>
      <c r="O1036" s="12">
        <f>ROUND(N1036*'Methodology &amp; Assumptions'!$B$5, 0)</f>
        <v/>
      </c>
      <c r="P1036" s="10" t="inlineStr">
        <is>
          <t>Single Carrier (Band n50, 100MHz TDD)</t>
        </is>
      </c>
      <c r="Q1036" s="13">
        <f>ROUNDUP(O1036/'Methodology &amp; Assumptions'!$B$6, 0)</f>
        <v/>
      </c>
      <c r="R1036" s="13" t="n">
        <v>1</v>
      </c>
      <c r="S1036" s="14" t="n">
        <v>4.63</v>
      </c>
      <c r="T1036" s="14" t="n">
        <v>4.23</v>
      </c>
      <c r="U1036" s="26">
        <f>IF(X1036&gt;='Methodology &amp; Assumptions'!$B$7, "Tier 1 Critical GIDA (Score ≥ 50.0)", IF(X1036&gt;='Methodology &amp; Assumptions'!$B$8, "Tier 2 High GIDA (Score 40.0–49.9)", "Tier 3 Moderate GIDA (Score &lt; 40.0)"))</f>
        <v/>
      </c>
      <c r="V1036" s="26">
        <f>IF(S1036&lt;='Methodology &amp; Assumptions'!$B$10, "Direct Optical Drop (&lt;3km)", IF(S1036&lt;='Methodology &amp; Assumptions'!$B$9, "Near Optical / Microwave (&lt;5km)", "Starlink Business LEO Satellite Backhaul (&gt;5km)"))</f>
        <v/>
      </c>
      <c r="W1036" s="28" t="n">
        <v>0.109</v>
      </c>
      <c r="X1036" s="14" t="n">
        <v>44.45</v>
      </c>
      <c r="Y1036" s="14">
        <f>ROUND(MIN(100, (X1036/69.91)*100), 2)</f>
        <v/>
      </c>
    </row>
    <row r="1037">
      <c r="A1037" s="10" t="n">
        <v>5</v>
      </c>
      <c r="B1037" s="10" t="n">
        <v>33</v>
      </c>
      <c r="C1037" s="10" t="n">
        <v>4033</v>
      </c>
      <c r="D1037" s="10" t="inlineStr">
        <is>
          <t>0806023020</t>
        </is>
      </c>
      <c r="E1037" s="26" t="inlineStr">
        <is>
          <t>Region VIII (Eastern Visayas)</t>
        </is>
      </c>
      <c r="F1037" s="26" t="inlineStr">
        <is>
          <t>Samar</t>
        </is>
      </c>
      <c r="G1037" s="26" t="inlineStr">
        <is>
          <t>Zumarraga</t>
        </is>
      </c>
      <c r="H1037" s="26" t="inlineStr">
        <is>
          <t>San Isidro</t>
        </is>
      </c>
      <c r="I1037" s="27" t="n">
        <v>11.684831</v>
      </c>
      <c r="J1037" s="27" t="n">
        <v>124.828453</v>
      </c>
      <c r="K1037" s="10" t="inlineStr">
        <is>
          <t>R</t>
        </is>
      </c>
      <c r="L1037" s="12" t="n">
        <v>1432</v>
      </c>
      <c r="M1037" s="14" t="n">
        <v>4.1</v>
      </c>
      <c r="N1037" s="12">
        <f>ROUND(L1037/M1037, 0)</f>
        <v/>
      </c>
      <c r="O1037" s="12">
        <f>ROUND(N1037*'Methodology &amp; Assumptions'!$B$5, 0)</f>
        <v/>
      </c>
      <c r="P1037" s="10" t="inlineStr">
        <is>
          <t>Single Carrier (Band n50, 100MHz TDD)</t>
        </is>
      </c>
      <c r="Q1037" s="13">
        <f>ROUNDUP(O1037/'Methodology &amp; Assumptions'!$B$6, 0)</f>
        <v/>
      </c>
      <c r="R1037" s="13" t="n">
        <v>1</v>
      </c>
      <c r="S1037" s="14" t="n">
        <v>45.42</v>
      </c>
      <c r="T1037" s="14" t="n">
        <v>45.36</v>
      </c>
      <c r="U1037" s="26">
        <f>IF(X1037&gt;='Methodology &amp; Assumptions'!$B$7, "Tier 1 Critical GIDA (Score ≥ 50.0)", IF(X1037&gt;='Methodology &amp; Assumptions'!$B$8, "Tier 2 High GIDA (Score 40.0–49.9)", "Tier 3 Moderate GIDA (Score &lt; 40.0)"))</f>
        <v/>
      </c>
      <c r="V1037" s="26">
        <f>IF(S1037&lt;='Methodology &amp; Assumptions'!$B$10, "Direct Optical Drop (&lt;3km)", IF(S1037&lt;='Methodology &amp; Assumptions'!$B$9, "Near Optical / Microwave (&lt;5km)", "Starlink Business LEO Satellite Backhaul (&gt;5km)"))</f>
        <v/>
      </c>
      <c r="W1037" s="28" t="n">
        <v>0.237</v>
      </c>
      <c r="X1037" s="14" t="n">
        <v>44.45</v>
      </c>
      <c r="Y1037" s="14">
        <f>ROUND(MIN(100, (X1037/69.91)*100), 2)</f>
        <v/>
      </c>
    </row>
    <row r="1038">
      <c r="A1038" s="10" t="n">
        <v>5</v>
      </c>
      <c r="B1038" s="10" t="n">
        <v>34</v>
      </c>
      <c r="C1038" s="10" t="n">
        <v>4034</v>
      </c>
      <c r="D1038" s="10" t="inlineStr">
        <is>
          <t>0201529009</t>
        </is>
      </c>
      <c r="E1038" s="26" t="inlineStr">
        <is>
          <t>Region II (Cagayan Valley)</t>
        </is>
      </c>
      <c r="F1038" s="26" t="inlineStr">
        <is>
          <t>Cagayan</t>
        </is>
      </c>
      <c r="G1038" s="26" t="inlineStr">
        <is>
          <t>Tuguegarao City</t>
        </is>
      </c>
      <c r="H1038" s="26" t="inlineStr">
        <is>
          <t>Centro 7</t>
        </is>
      </c>
      <c r="I1038" s="27" t="n">
        <v>17.608287</v>
      </c>
      <c r="J1038" s="27" t="n">
        <v>121.730344</v>
      </c>
      <c r="K1038" s="10" t="inlineStr">
        <is>
          <t>U</t>
        </is>
      </c>
      <c r="L1038" s="12" t="n">
        <v>320</v>
      </c>
      <c r="M1038" s="14" t="n">
        <v>3.9</v>
      </c>
      <c r="N1038" s="12">
        <f>ROUND(L1038/M1038, 0)</f>
        <v/>
      </c>
      <c r="O1038" s="12">
        <f>ROUND(N1038*'Methodology &amp; Assumptions'!$B$5, 0)</f>
        <v/>
      </c>
      <c r="P1038" s="10" t="inlineStr">
        <is>
          <t>Single Carrier (Band n50, 100MHz TDD)</t>
        </is>
      </c>
      <c r="Q1038" s="13">
        <f>ROUNDUP(O1038/'Methodology &amp; Assumptions'!$B$6, 0)</f>
        <v/>
      </c>
      <c r="R1038" s="13" t="n">
        <v>1</v>
      </c>
      <c r="S1038" s="14" t="n">
        <v>5.11</v>
      </c>
      <c r="T1038" s="14" t="n">
        <v>0.72</v>
      </c>
      <c r="U1038" s="26">
        <f>IF(X1038&gt;='Methodology &amp; Assumptions'!$B$7, "Tier 1 Critical GIDA (Score ≥ 50.0)", IF(X1038&gt;='Methodology &amp; Assumptions'!$B$8, "Tier 2 High GIDA (Score 40.0–49.9)", "Tier 3 Moderate GIDA (Score &lt; 40.0)"))</f>
        <v/>
      </c>
      <c r="V1038" s="26">
        <f>IF(S1038&lt;='Methodology &amp; Assumptions'!$B$10, "Direct Optical Drop (&lt;3km)", IF(S1038&lt;='Methodology &amp; Assumptions'!$B$9, "Near Optical / Microwave (&lt;5km)", "Starlink Business LEO Satellite Backhaul (&gt;5km)"))</f>
        <v/>
      </c>
      <c r="W1038" s="28" t="n">
        <v>0.083</v>
      </c>
      <c r="X1038" s="14" t="n">
        <v>44.45</v>
      </c>
      <c r="Y1038" s="14">
        <f>ROUND(MIN(100, (X1038/69.91)*100), 2)</f>
        <v/>
      </c>
    </row>
    <row r="1039">
      <c r="A1039" s="10" t="n">
        <v>5</v>
      </c>
      <c r="B1039" s="10" t="n">
        <v>35</v>
      </c>
      <c r="C1039" s="10" t="n">
        <v>4035</v>
      </c>
      <c r="D1039" s="10" t="inlineStr">
        <is>
          <t>PH0004035</t>
        </is>
      </c>
      <c r="E1039" s="26" t="inlineStr">
        <is>
          <t>CAR</t>
        </is>
      </c>
      <c r="F1039" s="26" t="inlineStr">
        <is>
          <t>Benguet</t>
        </is>
      </c>
      <c r="G1039" s="26" t="inlineStr">
        <is>
          <t>Baguio City</t>
        </is>
      </c>
      <c r="H1039" s="26" t="inlineStr">
        <is>
          <t>Lourdes Subdivision, Proper</t>
        </is>
      </c>
      <c r="I1039" s="27" t="n">
        <v>16.346289</v>
      </c>
      <c r="J1039" s="27" t="n">
        <v>120.647256</v>
      </c>
      <c r="K1039" s="10" t="inlineStr">
        <is>
          <t>R</t>
        </is>
      </c>
      <c r="L1039" s="12" t="n">
        <v>2260</v>
      </c>
      <c r="M1039" s="14" t="n">
        <v>3.5</v>
      </c>
      <c r="N1039" s="12">
        <f>ROUND(L1039/M1039, 0)</f>
        <v/>
      </c>
      <c r="O1039" s="12">
        <f>ROUND(N1039*'Methodology &amp; Assumptions'!$B$5, 0)</f>
        <v/>
      </c>
      <c r="P1039" s="10" t="inlineStr">
        <is>
          <t>Single Carrier (Band n50, 100MHz TDD)</t>
        </is>
      </c>
      <c r="Q1039" s="13">
        <f>ROUNDUP(O1039/'Methodology &amp; Assumptions'!$B$6, 0)</f>
        <v/>
      </c>
      <c r="R1039" s="13" t="n">
        <v>1</v>
      </c>
      <c r="S1039" s="14" t="n">
        <v>2.46</v>
      </c>
      <c r="T1039" s="14" t="n">
        <v>7.82</v>
      </c>
      <c r="U1039" s="26">
        <f>IF(X1039&gt;='Methodology &amp; Assumptions'!$B$7, "Tier 1 Critical GIDA (Score ≥ 50.0)", IF(X1039&gt;='Methodology &amp; Assumptions'!$B$8, "Tier 2 High GIDA (Score 40.0–49.9)", "Tier 3 Moderate GIDA (Score &lt; 40.0)"))</f>
        <v/>
      </c>
      <c r="V1039" s="26">
        <f>IF(S1039&lt;='Methodology &amp; Assumptions'!$B$10, "Direct Optical Drop (&lt;3km)", IF(S1039&lt;='Methodology &amp; Assumptions'!$B$9, "Near Optical / Microwave (&lt;5km)", "Starlink Business LEO Satellite Backhaul (&gt;5km)"))</f>
        <v/>
      </c>
      <c r="W1039" s="28" t="n">
        <v>0.221</v>
      </c>
      <c r="X1039" s="14" t="n">
        <v>44.44</v>
      </c>
      <c r="Y1039" s="14">
        <f>ROUND(MIN(100, (X1039/69.91)*100), 2)</f>
        <v/>
      </c>
    </row>
    <row r="1040">
      <c r="A1040" s="10" t="n">
        <v>5</v>
      </c>
      <c r="B1040" s="10" t="n">
        <v>36</v>
      </c>
      <c r="C1040" s="10" t="n">
        <v>4036</v>
      </c>
      <c r="D1040" s="10" t="inlineStr">
        <is>
          <t>1903601020</t>
        </is>
      </c>
      <c r="E1040" s="26" t="inlineStr">
        <is>
          <t>Bangsamoro Autonomous Region In Muslim Mindanao (BARMM)</t>
        </is>
      </c>
      <c r="F1040" s="26" t="inlineStr">
        <is>
          <t>Lanao del Sur</t>
        </is>
      </c>
      <c r="G1040" s="26" t="inlineStr">
        <is>
          <t>Bacolod-Kalawi</t>
        </is>
      </c>
      <c r="H1040" s="26" t="inlineStr">
        <is>
          <t>Pindolonan</t>
        </is>
      </c>
      <c r="I1040" s="27" t="n">
        <v>17.254723</v>
      </c>
      <c r="J1040" s="27" t="n">
        <v>122.228767</v>
      </c>
      <c r="K1040" s="10" t="inlineStr">
        <is>
          <t>R</t>
        </is>
      </c>
      <c r="L1040" s="12" t="n">
        <v>571</v>
      </c>
      <c r="M1040" s="14" t="n">
        <v>5.7</v>
      </c>
      <c r="N1040" s="12">
        <f>ROUND(L1040/M1040, 0)</f>
        <v/>
      </c>
      <c r="O1040" s="12">
        <f>ROUND(N1040*'Methodology &amp; Assumptions'!$B$5, 0)</f>
        <v/>
      </c>
      <c r="P1040" s="10" t="inlineStr">
        <is>
          <t>Single Carrier (Band n50, 100MHz TDD)</t>
        </is>
      </c>
      <c r="Q1040" s="13">
        <f>ROUNDUP(O1040/'Methodology &amp; Assumptions'!$B$6, 0)</f>
        <v/>
      </c>
      <c r="R1040" s="13" t="n">
        <v>1</v>
      </c>
      <c r="S1040" s="14" t="n">
        <v>29.4</v>
      </c>
      <c r="T1040" s="14" t="n">
        <v>34.28</v>
      </c>
      <c r="U1040" s="26">
        <f>IF(X1040&gt;='Methodology &amp; Assumptions'!$B$7, "Tier 1 Critical GIDA (Score ≥ 50.0)", IF(X1040&gt;='Methodology &amp; Assumptions'!$B$8, "Tier 2 High GIDA (Score 40.0–49.9)", "Tier 3 Moderate GIDA (Score &lt; 40.0)"))</f>
        <v/>
      </c>
      <c r="V1040" s="26">
        <f>IF(S1040&lt;='Methodology &amp; Assumptions'!$B$10, "Direct Optical Drop (&lt;3km)", IF(S1040&lt;='Methodology &amp; Assumptions'!$B$9, "Near Optical / Microwave (&lt;5km)", "Starlink Business LEO Satellite Backhaul (&gt;5km)"))</f>
        <v/>
      </c>
      <c r="W1040" s="28" t="n">
        <v>0.11</v>
      </c>
      <c r="X1040" s="14" t="n">
        <v>44.44</v>
      </c>
      <c r="Y1040" s="14">
        <f>ROUND(MIN(100, (X1040/69.91)*100), 2)</f>
        <v/>
      </c>
    </row>
    <row r="1041">
      <c r="A1041" s="10" t="n">
        <v>5</v>
      </c>
      <c r="B1041" s="10" t="n">
        <v>37</v>
      </c>
      <c r="C1041" s="10" t="n">
        <v>4037</v>
      </c>
      <c r="D1041" s="10" t="inlineStr">
        <is>
          <t>1381300057</t>
        </is>
      </c>
      <c r="E1041" s="26" t="inlineStr">
        <is>
          <t>National Capital Region (NCR)</t>
        </is>
      </c>
      <c r="F1041" s="26" t="inlineStr">
        <is>
          <t>Second District (Not a Province)</t>
        </is>
      </c>
      <c r="G1041" s="26" t="inlineStr">
        <is>
          <t>Quezon City</t>
        </is>
      </c>
      <c r="H1041" s="26" t="inlineStr">
        <is>
          <t>Malaya</t>
        </is>
      </c>
      <c r="I1041" s="27" t="n">
        <v>14.63467</v>
      </c>
      <c r="J1041" s="27" t="n">
        <v>121.056889</v>
      </c>
      <c r="K1041" s="10" t="inlineStr">
        <is>
          <t>U</t>
        </is>
      </c>
      <c r="L1041" s="12" t="n">
        <v>2714</v>
      </c>
      <c r="M1041" s="14" t="n">
        <v>3.8</v>
      </c>
      <c r="N1041" s="12">
        <f>ROUND(L1041/M1041, 0)</f>
        <v/>
      </c>
      <c r="O1041" s="12">
        <f>ROUND(N1041*'Methodology &amp; Assumptions'!$B$5, 0)</f>
        <v/>
      </c>
      <c r="P1041" s="10" t="inlineStr">
        <is>
          <t>Single Carrier (Band n50, 100MHz TDD)</t>
        </is>
      </c>
      <c r="Q1041" s="13">
        <f>ROUNDUP(O1041/'Methodology &amp; Assumptions'!$B$6, 0)</f>
        <v/>
      </c>
      <c r="R1041" s="13" t="n">
        <v>1</v>
      </c>
      <c r="S1041" s="14" t="n">
        <v>1.2</v>
      </c>
      <c r="T1041" s="14" t="n">
        <v>0.21</v>
      </c>
      <c r="U1041" s="26">
        <f>IF(X1041&gt;='Methodology &amp; Assumptions'!$B$7, "Tier 1 Critical GIDA (Score ≥ 50.0)", IF(X1041&gt;='Methodology &amp; Assumptions'!$B$8, "Tier 2 High GIDA (Score 40.0–49.9)", "Tier 3 Moderate GIDA (Score &lt; 40.0)"))</f>
        <v/>
      </c>
      <c r="V1041" s="26">
        <f>IF(S1041&lt;='Methodology &amp; Assumptions'!$B$10, "Direct Optical Drop (&lt;3km)", IF(S1041&lt;='Methodology &amp; Assumptions'!$B$9, "Near Optical / Microwave (&lt;5km)", "Starlink Business LEO Satellite Backhaul (&gt;5km)"))</f>
        <v/>
      </c>
      <c r="W1041" s="28" t="n">
        <v>0.109</v>
      </c>
      <c r="X1041" s="14" t="n">
        <v>44.44</v>
      </c>
      <c r="Y1041" s="14">
        <f>ROUND(MIN(100, (X1041/69.91)*100), 2)</f>
        <v/>
      </c>
    </row>
    <row r="1042">
      <c r="A1042" s="10" t="n">
        <v>5</v>
      </c>
      <c r="B1042" s="10" t="n">
        <v>38</v>
      </c>
      <c r="C1042" s="10" t="n">
        <v>4038</v>
      </c>
      <c r="D1042" s="10" t="inlineStr">
        <is>
          <t>1907010003</t>
        </is>
      </c>
      <c r="E1042" s="26" t="inlineStr">
        <is>
          <t>Bangsamoro Autonomous Region In Muslim Mindanao (BARMM)</t>
        </is>
      </c>
      <c r="F1042" s="26" t="inlineStr">
        <is>
          <t>Tawi-Tawi</t>
        </is>
      </c>
      <c r="G1042" s="26" t="inlineStr">
        <is>
          <t>Sapa-Sapa</t>
        </is>
      </c>
      <c r="H1042" s="26" t="inlineStr">
        <is>
          <t>Tonggusong Banaran</t>
        </is>
      </c>
      <c r="I1042" s="27" t="n">
        <v>17.255812</v>
      </c>
      <c r="J1042" s="27" t="n">
        <v>122.229856</v>
      </c>
      <c r="K1042" s="10" t="inlineStr">
        <is>
          <t>U</t>
        </is>
      </c>
      <c r="L1042" s="12" t="n">
        <v>6606</v>
      </c>
      <c r="M1042" s="14" t="n">
        <v>5.8</v>
      </c>
      <c r="N1042" s="12">
        <f>ROUND(L1042/M1042, 0)</f>
        <v/>
      </c>
      <c r="O1042" s="12">
        <f>ROUND(N1042*'Methodology &amp; Assumptions'!$B$5, 0)</f>
        <v/>
      </c>
      <c r="P1042" s="10" t="inlineStr">
        <is>
          <t>Single Carrier (Band n50, 100MHz TDD)</t>
        </is>
      </c>
      <c r="Q1042" s="13">
        <f>ROUNDUP(O1042/'Methodology &amp; Assumptions'!$B$6, 0)</f>
        <v/>
      </c>
      <c r="R1042" s="13" t="n">
        <v>1</v>
      </c>
      <c r="S1042" s="14" t="n">
        <v>29.56</v>
      </c>
      <c r="T1042" s="14" t="n">
        <v>34.43</v>
      </c>
      <c r="U1042" s="26">
        <f>IF(X1042&gt;='Methodology &amp; Assumptions'!$B$7, "Tier 1 Critical GIDA (Score ≥ 50.0)", IF(X1042&gt;='Methodology &amp; Assumptions'!$B$8, "Tier 2 High GIDA (Score 40.0–49.9)", "Tier 3 Moderate GIDA (Score &lt; 40.0)"))</f>
        <v/>
      </c>
      <c r="V1042" s="26">
        <f>IF(S1042&lt;='Methodology &amp; Assumptions'!$B$10, "Direct Optical Drop (&lt;3km)", IF(S1042&lt;='Methodology &amp; Assumptions'!$B$9, "Near Optical / Microwave (&lt;5km)", "Starlink Business LEO Satellite Backhaul (&gt;5km)"))</f>
        <v/>
      </c>
      <c r="W1042" s="28" t="n">
        <v>0.11</v>
      </c>
      <c r="X1042" s="14" t="n">
        <v>44.44</v>
      </c>
      <c r="Y1042" s="14">
        <f>ROUND(MIN(100, (X1042/69.91)*100), 2)</f>
        <v/>
      </c>
    </row>
    <row r="1043">
      <c r="A1043" s="10" t="n">
        <v>5</v>
      </c>
      <c r="B1043" s="10" t="n">
        <v>39</v>
      </c>
      <c r="C1043" s="10" t="n">
        <v>4039</v>
      </c>
      <c r="D1043" s="10" t="inlineStr">
        <is>
          <t>PH0004039</t>
        </is>
      </c>
      <c r="E1043" s="26" t="inlineStr">
        <is>
          <t>IV-A</t>
        </is>
      </c>
      <c r="F1043" s="26" t="inlineStr">
        <is>
          <t>Cavite</t>
        </is>
      </c>
      <c r="G1043" s="26" t="inlineStr">
        <is>
          <t>Cavite City</t>
        </is>
      </c>
      <c r="H1043" s="26" t="inlineStr">
        <is>
          <t>Barangay 45-A</t>
        </is>
      </c>
      <c r="I1043" s="27" t="n">
        <v>14.486684</v>
      </c>
      <c r="J1043" s="27" t="n">
        <v>120.880851</v>
      </c>
      <c r="K1043" s="10" t="inlineStr">
        <is>
          <t>R</t>
        </is>
      </c>
      <c r="L1043" s="12" t="n">
        <v>2316</v>
      </c>
      <c r="M1043" s="14" t="n">
        <v>3.4</v>
      </c>
      <c r="N1043" s="12">
        <f>ROUND(L1043/M1043, 0)</f>
        <v/>
      </c>
      <c r="O1043" s="12">
        <f>ROUND(N1043*'Methodology &amp; Assumptions'!$B$5, 0)</f>
        <v/>
      </c>
      <c r="P1043" s="10" t="inlineStr">
        <is>
          <t>Single Carrier (Band n50, 100MHz TDD)</t>
        </is>
      </c>
      <c r="Q1043" s="13">
        <f>ROUNDUP(O1043/'Methodology &amp; Assumptions'!$B$6, 0)</f>
        <v/>
      </c>
      <c r="R1043" s="13" t="n">
        <v>1</v>
      </c>
      <c r="S1043" s="14" t="n">
        <v>1.51</v>
      </c>
      <c r="T1043" s="14" t="n">
        <v>5.76</v>
      </c>
      <c r="U1043" s="26">
        <f>IF(X1043&gt;='Methodology &amp; Assumptions'!$B$7, "Tier 1 Critical GIDA (Score ≥ 50.0)", IF(X1043&gt;='Methodology &amp; Assumptions'!$B$8, "Tier 2 High GIDA (Score 40.0–49.9)", "Tier 3 Moderate GIDA (Score &lt; 40.0)"))</f>
        <v/>
      </c>
      <c r="V1043" s="26">
        <f>IF(S1043&lt;='Methodology &amp; Assumptions'!$B$10, "Direct Optical Drop (&lt;3km)", IF(S1043&lt;='Methodology &amp; Assumptions'!$B$9, "Near Optical / Microwave (&lt;5km)", "Starlink Business LEO Satellite Backhaul (&gt;5km)"))</f>
        <v/>
      </c>
      <c r="W1043" s="28" t="n">
        <v>0.07200000000000001</v>
      </c>
      <c r="X1043" s="14" t="n">
        <v>44.44</v>
      </c>
      <c r="Y1043" s="14">
        <f>ROUND(MIN(100, (X1043/69.91)*100), 2)</f>
        <v/>
      </c>
    </row>
    <row r="1044">
      <c r="A1044" s="10" t="n">
        <v>5</v>
      </c>
      <c r="B1044" s="10" t="n">
        <v>40</v>
      </c>
      <c r="C1044" s="10" t="n">
        <v>4040</v>
      </c>
      <c r="D1044" s="10" t="inlineStr">
        <is>
          <t>PH0004040</t>
        </is>
      </c>
      <c r="E1044" s="26" t="inlineStr">
        <is>
          <t>IV-A</t>
        </is>
      </c>
      <c r="F1044" s="26" t="inlineStr">
        <is>
          <t>Cavite</t>
        </is>
      </c>
      <c r="G1044" s="26" t="inlineStr">
        <is>
          <t>Cavite City</t>
        </is>
      </c>
      <c r="H1044" s="26" t="inlineStr">
        <is>
          <t>Barangay 14</t>
        </is>
      </c>
      <c r="I1044" s="27" t="n">
        <v>14.485006</v>
      </c>
      <c r="J1044" s="27" t="n">
        <v>120.915022</v>
      </c>
      <c r="K1044" s="10" t="inlineStr">
        <is>
          <t>R</t>
        </is>
      </c>
      <c r="L1044" s="12" t="n">
        <v>2316</v>
      </c>
      <c r="M1044" s="14" t="n">
        <v>3.4</v>
      </c>
      <c r="N1044" s="12">
        <f>ROUND(L1044/M1044, 0)</f>
        <v/>
      </c>
      <c r="O1044" s="12">
        <f>ROUND(N1044*'Methodology &amp; Assumptions'!$B$5, 0)</f>
        <v/>
      </c>
      <c r="P1044" s="10" t="inlineStr">
        <is>
          <t>Single Carrier (Band n50, 100MHz TDD)</t>
        </is>
      </c>
      <c r="Q1044" s="13">
        <f>ROUNDUP(O1044/'Methodology &amp; Assumptions'!$B$6, 0)</f>
        <v/>
      </c>
      <c r="R1044" s="13" t="n">
        <v>1</v>
      </c>
      <c r="S1044" s="14" t="n">
        <v>3.17</v>
      </c>
      <c r="T1044" s="14" t="n">
        <v>4.03</v>
      </c>
      <c r="U1044" s="26">
        <f>IF(X1044&gt;='Methodology &amp; Assumptions'!$B$7, "Tier 1 Critical GIDA (Score ≥ 50.0)", IF(X1044&gt;='Methodology &amp; Assumptions'!$B$8, "Tier 2 High GIDA (Score 40.0–49.9)", "Tier 3 Moderate GIDA (Score &lt; 40.0)"))</f>
        <v/>
      </c>
      <c r="V1044" s="26">
        <f>IF(S1044&lt;='Methodology &amp; Assumptions'!$B$10, "Direct Optical Drop (&lt;3km)", IF(S1044&lt;='Methodology &amp; Assumptions'!$B$9, "Near Optical / Microwave (&lt;5km)", "Starlink Business LEO Satellite Backhaul (&gt;5km)"))</f>
        <v/>
      </c>
      <c r="W1044" s="28" t="n">
        <v>0.07200000000000001</v>
      </c>
      <c r="X1044" s="14" t="n">
        <v>44.43</v>
      </c>
      <c r="Y1044" s="14">
        <f>ROUND(MIN(100, (X1044/69.91)*100), 2)</f>
        <v/>
      </c>
    </row>
    <row r="1045">
      <c r="A1045" s="10" t="n">
        <v>5</v>
      </c>
      <c r="B1045" s="10" t="n">
        <v>41</v>
      </c>
      <c r="C1045" s="10" t="n">
        <v>4041</v>
      </c>
      <c r="D1045" s="10" t="inlineStr">
        <is>
          <t>1400126008</t>
        </is>
      </c>
      <c r="E1045" s="26" t="inlineStr">
        <is>
          <t>Cordillera Administrative Region (CAR)</t>
        </is>
      </c>
      <c r="F1045" s="26" t="inlineStr">
        <is>
          <t>Abra</t>
        </is>
      </c>
      <c r="G1045" s="26" t="inlineStr">
        <is>
          <t>Tubo</t>
        </is>
      </c>
      <c r="H1045" s="26" t="inlineStr">
        <is>
          <t>Tubtuba</t>
        </is>
      </c>
      <c r="I1045" s="27" t="n">
        <v>17.167698</v>
      </c>
      <c r="J1045" s="27" t="n">
        <v>120.744567</v>
      </c>
      <c r="K1045" s="10" t="inlineStr">
        <is>
          <t>R</t>
        </is>
      </c>
      <c r="L1045" s="12" t="n">
        <v>424</v>
      </c>
      <c r="M1045" s="14" t="n">
        <v>3.8</v>
      </c>
      <c r="N1045" s="12">
        <f>ROUND(L1045/M1045, 0)</f>
        <v/>
      </c>
      <c r="O1045" s="12">
        <f>ROUND(N1045*'Methodology &amp; Assumptions'!$B$5, 0)</f>
        <v/>
      </c>
      <c r="P1045" s="10" t="inlineStr">
        <is>
          <t>Single Carrier (Band n50, 100MHz TDD)</t>
        </is>
      </c>
      <c r="Q1045" s="13">
        <f>ROUNDUP(O1045/'Methodology &amp; Assumptions'!$B$6, 0)</f>
        <v/>
      </c>
      <c r="R1045" s="13" t="n">
        <v>1</v>
      </c>
      <c r="S1045" s="14" t="n">
        <v>7.8</v>
      </c>
      <c r="T1045" s="14" t="n">
        <v>7.7</v>
      </c>
      <c r="U1045" s="26">
        <f>IF(X1045&gt;='Methodology &amp; Assumptions'!$B$7, "Tier 1 Critical GIDA (Score ≥ 50.0)", IF(X1045&gt;='Methodology &amp; Assumptions'!$B$8, "Tier 2 High GIDA (Score 40.0–49.9)", "Tier 3 Moderate GIDA (Score &lt; 40.0)"))</f>
        <v/>
      </c>
      <c r="V1045" s="26">
        <f>IF(S1045&lt;='Methodology &amp; Assumptions'!$B$10, "Direct Optical Drop (&lt;3km)", IF(S1045&lt;='Methodology &amp; Assumptions'!$B$9, "Near Optical / Microwave (&lt;5km)", "Starlink Business LEO Satellite Backhaul (&gt;5km)"))</f>
        <v/>
      </c>
      <c r="W1045" s="28" t="n">
        <v>0.109</v>
      </c>
      <c r="X1045" s="14" t="n">
        <v>44.43</v>
      </c>
      <c r="Y1045" s="14">
        <f>ROUND(MIN(100, (X1045/69.91)*100), 2)</f>
        <v/>
      </c>
    </row>
    <row r="1046">
      <c r="A1046" s="10" t="n">
        <v>5</v>
      </c>
      <c r="B1046" s="10" t="n">
        <v>42</v>
      </c>
      <c r="C1046" s="10" t="n">
        <v>4042</v>
      </c>
      <c r="D1046" s="10" t="inlineStr">
        <is>
          <t>1108603001</t>
        </is>
      </c>
      <c r="E1046" s="26" t="inlineStr">
        <is>
          <t>Region XI (Davao Region)</t>
        </is>
      </c>
      <c r="F1046" s="26" t="inlineStr">
        <is>
          <t>Davao Occidental</t>
        </is>
      </c>
      <c r="G1046" s="26" t="inlineStr">
        <is>
          <t>Malita</t>
        </is>
      </c>
      <c r="H1046" s="26" t="inlineStr">
        <is>
          <t>Bito</t>
        </is>
      </c>
      <c r="I1046" s="27" t="n">
        <v>6.337165</v>
      </c>
      <c r="J1046" s="27" t="n">
        <v>125.59566</v>
      </c>
      <c r="K1046" s="10" t="inlineStr">
        <is>
          <t>R</t>
        </is>
      </c>
      <c r="L1046" s="12" t="n">
        <v>2033</v>
      </c>
      <c r="M1046" s="14" t="n">
        <v>3.6</v>
      </c>
      <c r="N1046" s="12">
        <f>ROUND(L1046/M1046, 0)</f>
        <v/>
      </c>
      <c r="O1046" s="12">
        <f>ROUND(N1046*'Methodology &amp; Assumptions'!$B$5, 0)</f>
        <v/>
      </c>
      <c r="P1046" s="10" t="inlineStr">
        <is>
          <t>Single Carrier (Band n50, 100MHz TDD)</t>
        </is>
      </c>
      <c r="Q1046" s="13">
        <f>ROUNDUP(O1046/'Methodology &amp; Assumptions'!$B$6, 0)</f>
        <v/>
      </c>
      <c r="R1046" s="13" t="n">
        <v>1</v>
      </c>
      <c r="S1046" s="14" t="n">
        <v>34.06</v>
      </c>
      <c r="T1046" s="14" t="n">
        <v>32.04</v>
      </c>
      <c r="U1046" s="26">
        <f>IF(X1046&gt;='Methodology &amp; Assumptions'!$B$7, "Tier 1 Critical GIDA (Score ≥ 50.0)", IF(X1046&gt;='Methodology &amp; Assumptions'!$B$8, "Tier 2 High GIDA (Score 40.0–49.9)", "Tier 3 Moderate GIDA (Score &lt; 40.0)"))</f>
        <v/>
      </c>
      <c r="V1046" s="26">
        <f>IF(S1046&lt;='Methodology &amp; Assumptions'!$B$10, "Direct Optical Drop (&lt;3km)", IF(S1046&lt;='Methodology &amp; Assumptions'!$B$9, "Near Optical / Microwave (&lt;5km)", "Starlink Business LEO Satellite Backhaul (&gt;5km)"))</f>
        <v/>
      </c>
      <c r="W1046" s="28" t="n">
        <v>0.174</v>
      </c>
      <c r="X1046" s="14" t="n">
        <v>44.43</v>
      </c>
      <c r="Y1046" s="14">
        <f>ROUND(MIN(100, (X1046/69.91)*100), 2)</f>
        <v/>
      </c>
    </row>
    <row r="1047">
      <c r="A1047" s="10" t="n">
        <v>5</v>
      </c>
      <c r="B1047" s="10" t="n">
        <v>43</v>
      </c>
      <c r="C1047" s="10" t="n">
        <v>4043</v>
      </c>
      <c r="D1047" s="10" t="inlineStr">
        <is>
          <t>0300803012</t>
        </is>
      </c>
      <c r="E1047" s="26" t="inlineStr">
        <is>
          <t>Region III (Central Luzon)</t>
        </is>
      </c>
      <c r="F1047" s="26" t="inlineStr">
        <is>
          <t>Bataan</t>
        </is>
      </c>
      <c r="G1047" s="26" t="inlineStr">
        <is>
          <t>City of Balanga</t>
        </is>
      </c>
      <c r="H1047" s="26" t="inlineStr">
        <is>
          <t>Malabia</t>
        </is>
      </c>
      <c r="I1047" s="27" t="n">
        <v>14.666526</v>
      </c>
      <c r="J1047" s="27" t="n">
        <v>120.52355</v>
      </c>
      <c r="K1047" s="10" t="inlineStr">
        <is>
          <t>R</t>
        </is>
      </c>
      <c r="L1047" s="12" t="n">
        <v>757</v>
      </c>
      <c r="M1047" s="14" t="n">
        <v>3.6</v>
      </c>
      <c r="N1047" s="12">
        <f>ROUND(L1047/M1047, 0)</f>
        <v/>
      </c>
      <c r="O1047" s="12">
        <f>ROUND(N1047*'Methodology &amp; Assumptions'!$B$5, 0)</f>
        <v/>
      </c>
      <c r="P1047" s="10" t="inlineStr">
        <is>
          <t>Single Carrier (Band n50, 100MHz TDD)</t>
        </is>
      </c>
      <c r="Q1047" s="13">
        <f>ROUNDUP(O1047/'Methodology &amp; Assumptions'!$B$6, 0)</f>
        <v/>
      </c>
      <c r="R1047" s="13" t="n">
        <v>1</v>
      </c>
      <c r="S1047" s="14" t="n">
        <v>2.67</v>
      </c>
      <c r="T1047" s="14" t="n">
        <v>1.72</v>
      </c>
      <c r="U1047" s="26">
        <f>IF(X1047&gt;='Methodology &amp; Assumptions'!$B$7, "Tier 1 Critical GIDA (Score ≥ 50.0)", IF(X1047&gt;='Methodology &amp; Assumptions'!$B$8, "Tier 2 High GIDA (Score 40.0–49.9)", "Tier 3 Moderate GIDA (Score &lt; 40.0)"))</f>
        <v/>
      </c>
      <c r="V1047" s="26">
        <f>IF(S1047&lt;='Methodology &amp; Assumptions'!$B$10, "Direct Optical Drop (&lt;3km)", IF(S1047&lt;='Methodology &amp; Assumptions'!$B$9, "Near Optical / Microwave (&lt;5km)", "Starlink Business LEO Satellite Backhaul (&gt;5km)"))</f>
        <v/>
      </c>
      <c r="W1047" s="28" t="n">
        <v>0.083</v>
      </c>
      <c r="X1047" s="14" t="n">
        <v>44.41</v>
      </c>
      <c r="Y1047" s="14">
        <f>ROUND(MIN(100, (X1047/69.91)*100), 2)</f>
        <v/>
      </c>
    </row>
    <row r="1048">
      <c r="A1048" s="10" t="n">
        <v>5</v>
      </c>
      <c r="B1048" s="10" t="n">
        <v>44</v>
      </c>
      <c r="C1048" s="10" t="n">
        <v>4044</v>
      </c>
      <c r="D1048" s="10" t="inlineStr">
        <is>
          <t>PH0004044</t>
        </is>
      </c>
      <c r="E1048" s="26" t="inlineStr">
        <is>
          <t>VI</t>
        </is>
      </c>
      <c r="F1048" s="26" t="inlineStr">
        <is>
          <t>Capiz</t>
        </is>
      </c>
      <c r="G1048" s="26" t="inlineStr">
        <is>
          <t>Roxas City</t>
        </is>
      </c>
      <c r="H1048" s="26" t="inlineStr">
        <is>
          <t>Poblacion I</t>
        </is>
      </c>
      <c r="I1048" s="27" t="n">
        <v>11.567028</v>
      </c>
      <c r="J1048" s="27" t="n">
        <v>122.748854</v>
      </c>
      <c r="K1048" s="10" t="inlineStr">
        <is>
          <t>R</t>
        </is>
      </c>
      <c r="L1048" s="12" t="n">
        <v>2282</v>
      </c>
      <c r="M1048" s="14" t="n">
        <v>3.8</v>
      </c>
      <c r="N1048" s="12">
        <f>ROUND(L1048/M1048, 0)</f>
        <v/>
      </c>
      <c r="O1048" s="12">
        <f>ROUND(N1048*'Methodology &amp; Assumptions'!$B$5, 0)</f>
        <v/>
      </c>
      <c r="P1048" s="10" t="inlineStr">
        <is>
          <t>Single Carrier (Band n50, 100MHz TDD)</t>
        </is>
      </c>
      <c r="Q1048" s="13">
        <f>ROUNDUP(O1048/'Methodology &amp; Assumptions'!$B$6, 0)</f>
        <v/>
      </c>
      <c r="R1048" s="13" t="n">
        <v>1</v>
      </c>
      <c r="S1048" s="14" t="n">
        <v>2.43</v>
      </c>
      <c r="T1048" s="14" t="n">
        <v>0.58</v>
      </c>
      <c r="U1048" s="26">
        <f>IF(X1048&gt;='Methodology &amp; Assumptions'!$B$7, "Tier 1 Critical GIDA (Score ≥ 50.0)", IF(X1048&gt;='Methodology &amp; Assumptions'!$B$8, "Tier 2 High GIDA (Score 40.0–49.9)", "Tier 3 Moderate GIDA (Score &lt; 40.0)"))</f>
        <v/>
      </c>
      <c r="V1048" s="26">
        <f>IF(S1048&lt;='Methodology &amp; Assumptions'!$B$10, "Direct Optical Drop (&lt;3km)", IF(S1048&lt;='Methodology &amp; Assumptions'!$B$9, "Near Optical / Microwave (&lt;5km)", "Starlink Business LEO Satellite Backhaul (&gt;5km)"))</f>
        <v/>
      </c>
      <c r="W1048" s="28" t="n">
        <v>0.156</v>
      </c>
      <c r="X1048" s="14" t="n">
        <v>44.41</v>
      </c>
      <c r="Y1048" s="14">
        <f>ROUND(MIN(100, (X1048/69.91)*100), 2)</f>
        <v/>
      </c>
    </row>
    <row r="1049">
      <c r="A1049" s="10" t="n">
        <v>5</v>
      </c>
      <c r="B1049" s="10" t="n">
        <v>45</v>
      </c>
      <c r="C1049" s="10" t="n">
        <v>4045</v>
      </c>
      <c r="D1049" s="10" t="inlineStr">
        <is>
          <t>0702252027</t>
        </is>
      </c>
      <c r="E1049" s="26" t="inlineStr">
        <is>
          <t>Region VII (Central Visayas)</t>
        </is>
      </c>
      <c r="F1049" s="26" t="inlineStr">
        <is>
          <t>Cebu</t>
        </is>
      </c>
      <c r="G1049" s="26" t="inlineStr">
        <is>
          <t>Tuburan</t>
        </is>
      </c>
      <c r="H1049" s="26" t="inlineStr">
        <is>
          <t>Kaorasan</t>
        </is>
      </c>
      <c r="I1049" s="27" t="n">
        <v>10.62084</v>
      </c>
      <c r="J1049" s="27" t="n">
        <v>123.91202</v>
      </c>
      <c r="K1049" s="10" t="inlineStr">
        <is>
          <t>R</t>
        </is>
      </c>
      <c r="L1049" s="12" t="n">
        <v>237</v>
      </c>
      <c r="M1049" s="14" t="n">
        <v>3.8</v>
      </c>
      <c r="N1049" s="12">
        <f>ROUND(L1049/M1049, 0)</f>
        <v/>
      </c>
      <c r="O1049" s="12">
        <f>ROUND(N1049*'Methodology &amp; Assumptions'!$B$5, 0)</f>
        <v/>
      </c>
      <c r="P1049" s="10" t="inlineStr">
        <is>
          <t>Single Carrier (Band n50, 100MHz TDD)</t>
        </is>
      </c>
      <c r="Q1049" s="13">
        <f>ROUNDUP(O1049/'Methodology &amp; Assumptions'!$B$6, 0)</f>
        <v/>
      </c>
      <c r="R1049" s="13" t="n">
        <v>1</v>
      </c>
      <c r="S1049" s="14" t="n">
        <v>12.69</v>
      </c>
      <c r="T1049" s="14" t="n">
        <v>12.04</v>
      </c>
      <c r="U1049" s="26">
        <f>IF(X1049&gt;='Methodology &amp; Assumptions'!$B$7, "Tier 1 Critical GIDA (Score ≥ 50.0)", IF(X1049&gt;='Methodology &amp; Assumptions'!$B$8, "Tier 2 High GIDA (Score 40.0–49.9)", "Tier 3 Moderate GIDA (Score &lt; 40.0)"))</f>
        <v/>
      </c>
      <c r="V1049" s="26">
        <f>IF(S1049&lt;='Methodology &amp; Assumptions'!$B$10, "Direct Optical Drop (&lt;3km)", IF(S1049&lt;='Methodology &amp; Assumptions'!$B$9, "Near Optical / Microwave (&lt;5km)", "Starlink Business LEO Satellite Backhaul (&gt;5km)"))</f>
        <v/>
      </c>
      <c r="W1049" s="28" t="n">
        <v>0.237</v>
      </c>
      <c r="X1049" s="14" t="n">
        <v>44.4</v>
      </c>
      <c r="Y1049" s="14">
        <f>ROUND(MIN(100, (X1049/69.91)*100), 2)</f>
        <v/>
      </c>
    </row>
    <row r="1050">
      <c r="A1050" s="10" t="n">
        <v>5</v>
      </c>
      <c r="B1050" s="10" t="n">
        <v>46</v>
      </c>
      <c r="C1050" s="10" t="n">
        <v>4046</v>
      </c>
      <c r="D1050" s="10" t="inlineStr">
        <is>
          <t>0401019049</t>
        </is>
      </c>
      <c r="E1050" s="26" t="inlineStr">
        <is>
          <t>Region IV-A (CALABARZON)</t>
        </is>
      </c>
      <c r="F1050" s="26" t="inlineStr">
        <is>
          <t>Batangas</t>
        </is>
      </c>
      <c r="G1050" s="26" t="inlineStr">
        <is>
          <t>Nasugbu</t>
        </is>
      </c>
      <c r="H1050" s="26" t="inlineStr">
        <is>
          <t>Barangay 1</t>
        </is>
      </c>
      <c r="I1050" s="27" t="n">
        <v>14.085565</v>
      </c>
      <c r="J1050" s="27" t="n">
        <v>120.680684</v>
      </c>
      <c r="K1050" s="10" t="inlineStr">
        <is>
          <t>R</t>
        </is>
      </c>
      <c r="L1050" s="12" t="n">
        <v>1440</v>
      </c>
      <c r="M1050" s="14" t="n">
        <v>3.6</v>
      </c>
      <c r="N1050" s="12">
        <f>ROUND(L1050/M1050, 0)</f>
        <v/>
      </c>
      <c r="O1050" s="12">
        <f>ROUND(N1050*'Methodology &amp; Assumptions'!$B$5, 0)</f>
        <v/>
      </c>
      <c r="P1050" s="10" t="inlineStr">
        <is>
          <t>Single Carrier (Band n50, 100MHz TDD)</t>
        </is>
      </c>
      <c r="Q1050" s="13">
        <f>ROUNDUP(O1050/'Methodology &amp; Assumptions'!$B$6, 0)</f>
        <v/>
      </c>
      <c r="R1050" s="13" t="n">
        <v>1</v>
      </c>
      <c r="S1050" s="14" t="n">
        <v>5.29</v>
      </c>
      <c r="T1050" s="14" t="n">
        <v>1.97</v>
      </c>
      <c r="U1050" s="26">
        <f>IF(X1050&gt;='Methodology &amp; Assumptions'!$B$7, "Tier 1 Critical GIDA (Score ≥ 50.0)", IF(X1050&gt;='Methodology &amp; Assumptions'!$B$8, "Tier 2 High GIDA (Score 40.0–49.9)", "Tier 3 Moderate GIDA (Score &lt; 40.0)"))</f>
        <v/>
      </c>
      <c r="V1050" s="26">
        <f>IF(S1050&lt;='Methodology &amp; Assumptions'!$B$10, "Direct Optical Drop (&lt;3km)", IF(S1050&lt;='Methodology &amp; Assumptions'!$B$9, "Near Optical / Microwave (&lt;5km)", "Starlink Business LEO Satellite Backhaul (&gt;5km)"))</f>
        <v/>
      </c>
      <c r="W1050" s="28" t="n">
        <v>0.07200000000000001</v>
      </c>
      <c r="X1050" s="14" t="n">
        <v>44.4</v>
      </c>
      <c r="Y1050" s="14">
        <f>ROUND(MIN(100, (X1050/69.91)*100), 2)</f>
        <v/>
      </c>
    </row>
    <row r="1051">
      <c r="A1051" s="10" t="n">
        <v>5</v>
      </c>
      <c r="B1051" s="10" t="n">
        <v>47</v>
      </c>
      <c r="C1051" s="10" t="n">
        <v>4047</v>
      </c>
      <c r="D1051" s="10" t="inlineStr">
        <is>
          <t>1381300035</t>
        </is>
      </c>
      <c r="E1051" s="26" t="inlineStr">
        <is>
          <t>National Capital Region (NCR)</t>
        </is>
      </c>
      <c r="F1051" s="26" t="inlineStr">
        <is>
          <t>Second District (Not a Province)</t>
        </is>
      </c>
      <c r="G1051" s="26" t="inlineStr">
        <is>
          <t>Quezon City</t>
        </is>
      </c>
      <c r="H1051" s="26" t="inlineStr">
        <is>
          <t>E. Rodriguez</t>
        </is>
      </c>
      <c r="I1051" s="27" t="n">
        <v>14.622538</v>
      </c>
      <c r="J1051" s="27" t="n">
        <v>121.051043</v>
      </c>
      <c r="K1051" s="10" t="inlineStr">
        <is>
          <t>U</t>
        </is>
      </c>
      <c r="L1051" s="12" t="n">
        <v>18092</v>
      </c>
      <c r="M1051" s="14" t="n">
        <v>3.8</v>
      </c>
      <c r="N1051" s="12">
        <f>ROUND(L1051/M1051, 0)</f>
        <v/>
      </c>
      <c r="O1051" s="12">
        <f>ROUND(N1051*'Methodology &amp; Assumptions'!$B$5, 0)</f>
        <v/>
      </c>
      <c r="P1051" s="10" t="inlineStr">
        <is>
          <t>Single Carrier (Band n50, 100MHz TDD)</t>
        </is>
      </c>
      <c r="Q1051" s="13">
        <f>ROUNDUP(O1051/'Methodology &amp; Assumptions'!$B$6, 0)</f>
        <v/>
      </c>
      <c r="R1051" s="13" t="n">
        <v>1</v>
      </c>
      <c r="S1051" s="14" t="n">
        <v>0.77</v>
      </c>
      <c r="T1051" s="14" t="n">
        <v>0.1</v>
      </c>
      <c r="U1051" s="26">
        <f>IF(X1051&gt;='Methodology &amp; Assumptions'!$B$7, "Tier 1 Critical GIDA (Score ≥ 50.0)", IF(X1051&gt;='Methodology &amp; Assumptions'!$B$8, "Tier 2 High GIDA (Score 40.0–49.9)", "Tier 3 Moderate GIDA (Score &lt; 40.0)"))</f>
        <v/>
      </c>
      <c r="V1051" s="26">
        <f>IF(S1051&lt;='Methodology &amp; Assumptions'!$B$10, "Direct Optical Drop (&lt;3km)", IF(S1051&lt;='Methodology &amp; Assumptions'!$B$9, "Near Optical / Microwave (&lt;5km)", "Starlink Business LEO Satellite Backhaul (&gt;5km)"))</f>
        <v/>
      </c>
      <c r="W1051" s="28" t="n">
        <v>0.109</v>
      </c>
      <c r="X1051" s="14" t="n">
        <v>44.4</v>
      </c>
      <c r="Y1051" s="14">
        <f>ROUND(MIN(100, (X1051/69.91)*100), 2)</f>
        <v/>
      </c>
    </row>
    <row r="1052">
      <c r="A1052" s="10" t="n">
        <v>5</v>
      </c>
      <c r="B1052" s="10" t="n">
        <v>48</v>
      </c>
      <c r="C1052" s="10" t="n">
        <v>4048</v>
      </c>
      <c r="D1052" s="10" t="inlineStr">
        <is>
          <t>1906613032</t>
        </is>
      </c>
      <c r="E1052" s="26" t="inlineStr">
        <is>
          <t>Bangsamoro Autonomous Region In Muslim Mindanao (BARMM)</t>
        </is>
      </c>
      <c r="F1052" s="26" t="inlineStr">
        <is>
          <t>Sulu</t>
        </is>
      </c>
      <c r="G1052" s="26" t="inlineStr">
        <is>
          <t>Talipao</t>
        </is>
      </c>
      <c r="H1052" s="26" t="inlineStr">
        <is>
          <t>Lower Sinumaan</t>
        </is>
      </c>
      <c r="I1052" s="27" t="n">
        <v>17.251791</v>
      </c>
      <c r="J1052" s="27" t="n">
        <v>122.232985</v>
      </c>
      <c r="K1052" s="10" t="inlineStr">
        <is>
          <t>R</t>
        </is>
      </c>
      <c r="L1052" s="12" t="n">
        <v>2367</v>
      </c>
      <c r="M1052" s="14" t="n">
        <v>6</v>
      </c>
      <c r="N1052" s="12">
        <f>ROUND(L1052/M1052, 0)</f>
        <v/>
      </c>
      <c r="O1052" s="12">
        <f>ROUND(N1052*'Methodology &amp; Assumptions'!$B$5, 0)</f>
        <v/>
      </c>
      <c r="P1052" s="10" t="inlineStr">
        <is>
          <t>Single Carrier (Band n50, 100MHz TDD)</t>
        </is>
      </c>
      <c r="Q1052" s="13">
        <f>ROUNDUP(O1052/'Methodology &amp; Assumptions'!$B$6, 0)</f>
        <v/>
      </c>
      <c r="R1052" s="13" t="n">
        <v>1</v>
      </c>
      <c r="S1052" s="14" t="n">
        <v>29.54</v>
      </c>
      <c r="T1052" s="14" t="n">
        <v>34.62</v>
      </c>
      <c r="U1052" s="26">
        <f>IF(X1052&gt;='Methodology &amp; Assumptions'!$B$7, "Tier 1 Critical GIDA (Score ≥ 50.0)", IF(X1052&gt;='Methodology &amp; Assumptions'!$B$8, "Tier 2 High GIDA (Score 40.0–49.9)", "Tier 3 Moderate GIDA (Score &lt; 40.0)"))</f>
        <v/>
      </c>
      <c r="V1052" s="26">
        <f>IF(S1052&lt;='Methodology &amp; Assumptions'!$B$10, "Direct Optical Drop (&lt;3km)", IF(S1052&lt;='Methodology &amp; Assumptions'!$B$9, "Near Optical / Microwave (&lt;5km)", "Starlink Business LEO Satellite Backhaul (&gt;5km)"))</f>
        <v/>
      </c>
      <c r="W1052" s="28" t="n">
        <v>0.11</v>
      </c>
      <c r="X1052" s="14" t="n">
        <v>44.4</v>
      </c>
      <c r="Y1052" s="14">
        <f>ROUND(MIN(100, (X1052/69.91)*100), 2)</f>
        <v/>
      </c>
    </row>
    <row r="1053">
      <c r="A1053" s="10" t="n">
        <v>5</v>
      </c>
      <c r="B1053" s="10" t="n">
        <v>49</v>
      </c>
      <c r="C1053" s="10" t="n">
        <v>4049</v>
      </c>
      <c r="D1053" s="10" t="inlineStr">
        <is>
          <t>1403206009</t>
        </is>
      </c>
      <c r="E1053" s="26" t="inlineStr">
        <is>
          <t>Cordillera Administrative Region (CAR)</t>
        </is>
      </c>
      <c r="F1053" s="26" t="inlineStr">
        <is>
          <t>Kalinga</t>
        </is>
      </c>
      <c r="G1053" s="26" t="inlineStr">
        <is>
          <t>Lubuagan</t>
        </is>
      </c>
      <c r="H1053" s="26" t="inlineStr">
        <is>
          <t>Uma del Norte</t>
        </is>
      </c>
      <c r="I1053" s="27" t="n">
        <v>17.349482</v>
      </c>
      <c r="J1053" s="27" t="n">
        <v>121.134338</v>
      </c>
      <c r="K1053" s="10" t="inlineStr">
        <is>
          <t>R</t>
        </is>
      </c>
      <c r="L1053" s="12" t="n">
        <v>1145</v>
      </c>
      <c r="M1053" s="14" t="n">
        <v>4.3</v>
      </c>
      <c r="N1053" s="12">
        <f>ROUND(L1053/M1053, 0)</f>
        <v/>
      </c>
      <c r="O1053" s="12">
        <f>ROUND(N1053*'Methodology &amp; Assumptions'!$B$5, 0)</f>
        <v/>
      </c>
      <c r="P1053" s="10" t="inlineStr">
        <is>
          <t>Single Carrier (Band n50, 100MHz TDD)</t>
        </is>
      </c>
      <c r="Q1053" s="13">
        <f>ROUNDUP(O1053/'Methodology &amp; Assumptions'!$B$6, 0)</f>
        <v/>
      </c>
      <c r="R1053" s="13" t="n">
        <v>1</v>
      </c>
      <c r="S1053" s="14" t="n">
        <v>9.65</v>
      </c>
      <c r="T1053" s="14" t="n">
        <v>3.49</v>
      </c>
      <c r="U1053" s="26">
        <f>IF(X1053&gt;='Methodology &amp; Assumptions'!$B$7, "Tier 1 Critical GIDA (Score ≥ 50.0)", IF(X1053&gt;='Methodology &amp; Assumptions'!$B$8, "Tier 2 High GIDA (Score 40.0–49.9)", "Tier 3 Moderate GIDA (Score &lt; 40.0)"))</f>
        <v/>
      </c>
      <c r="V1053" s="26">
        <f>IF(S1053&lt;='Methodology &amp; Assumptions'!$B$10, "Direct Optical Drop (&lt;3km)", IF(S1053&lt;='Methodology &amp; Assumptions'!$B$9, "Near Optical / Microwave (&lt;5km)", "Starlink Business LEO Satellite Backhaul (&gt;5km)"))</f>
        <v/>
      </c>
      <c r="W1053" s="28" t="n">
        <v>0.109</v>
      </c>
      <c r="X1053" s="14" t="n">
        <v>44.39</v>
      </c>
      <c r="Y1053" s="14">
        <f>ROUND(MIN(100, (X1053/69.91)*100), 2)</f>
        <v/>
      </c>
    </row>
    <row r="1054">
      <c r="A1054" s="10" t="n">
        <v>5</v>
      </c>
      <c r="B1054" s="10" t="n">
        <v>50</v>
      </c>
      <c r="C1054" s="10" t="n">
        <v>4050</v>
      </c>
      <c r="D1054" s="10" t="inlineStr">
        <is>
          <t>PH0004050</t>
        </is>
      </c>
      <c r="E1054" s="26" t="inlineStr">
        <is>
          <t>XIII</t>
        </is>
      </c>
      <c r="F1054" s="26" t="inlineStr">
        <is>
          <t>Agusan Del Norte</t>
        </is>
      </c>
      <c r="G1054" s="26" t="inlineStr">
        <is>
          <t>Butuan City</t>
        </is>
      </c>
      <c r="H1054" s="26" t="inlineStr">
        <is>
          <t>Lapu-lapu Pob.</t>
        </is>
      </c>
      <c r="I1054" s="27" t="n">
        <v>11.17079</v>
      </c>
      <c r="J1054" s="27" t="n">
        <v>124.649348</v>
      </c>
      <c r="K1054" s="10" t="inlineStr">
        <is>
          <t>R</t>
        </is>
      </c>
      <c r="L1054" s="12" t="n">
        <v>2294</v>
      </c>
      <c r="M1054" s="14" t="n">
        <v>4.1</v>
      </c>
      <c r="N1054" s="12">
        <f>ROUND(L1054/M1054, 0)</f>
        <v/>
      </c>
      <c r="O1054" s="12">
        <f>ROUND(N1054*'Methodology &amp; Assumptions'!$B$5, 0)</f>
        <v/>
      </c>
      <c r="P1054" s="10" t="inlineStr">
        <is>
          <t>Single Carrier (Band n50, 100MHz TDD)</t>
        </is>
      </c>
      <c r="Q1054" s="13">
        <f>ROUNDUP(O1054/'Methodology &amp; Assumptions'!$B$6, 0)</f>
        <v/>
      </c>
      <c r="R1054" s="13" t="n">
        <v>1</v>
      </c>
      <c r="S1054" s="14" t="n">
        <v>9.720000000000001</v>
      </c>
      <c r="T1054" s="14" t="n">
        <v>8.449999999999999</v>
      </c>
      <c r="U1054" s="26">
        <f>IF(X1054&gt;='Methodology &amp; Assumptions'!$B$7, "Tier 1 Critical GIDA (Score ≥ 50.0)", IF(X1054&gt;='Methodology &amp; Assumptions'!$B$8, "Tier 2 High GIDA (Score 40.0–49.9)", "Tier 3 Moderate GIDA (Score &lt; 40.0)"))</f>
        <v/>
      </c>
      <c r="V1054" s="26">
        <f>IF(S1054&lt;='Methodology &amp; Assumptions'!$B$10, "Direct Optical Drop (&lt;3km)", IF(S1054&lt;='Methodology &amp; Assumptions'!$B$9, "Near Optical / Microwave (&lt;5km)", "Starlink Business LEO Satellite Backhaul (&gt;5km)"))</f>
        <v/>
      </c>
      <c r="W1054" s="28" t="n">
        <v>0.109</v>
      </c>
      <c r="X1054" s="14" t="n">
        <v>44.39</v>
      </c>
      <c r="Y1054" s="14">
        <f>ROUND(MIN(100, (X1054/69.91)*100), 2)</f>
        <v/>
      </c>
    </row>
    <row r="1055">
      <c r="A1055" s="10" t="n">
        <v>5</v>
      </c>
      <c r="B1055" s="10" t="n">
        <v>51</v>
      </c>
      <c r="C1055" s="10" t="n">
        <v>4051</v>
      </c>
      <c r="D1055" s="10" t="inlineStr">
        <is>
          <t>0401003045</t>
        </is>
      </c>
      <c r="E1055" s="26" t="inlineStr">
        <is>
          <t>Region IV-A (CALABARZON)</t>
        </is>
      </c>
      <c r="F1055" s="26" t="inlineStr">
        <is>
          <t>Batangas</t>
        </is>
      </c>
      <c r="G1055" s="26" t="inlineStr">
        <is>
          <t>Balayan</t>
        </is>
      </c>
      <c r="H1055" s="26" t="inlineStr">
        <is>
          <t>San Juan</t>
        </is>
      </c>
      <c r="I1055" s="27" t="n">
        <v>13.958163</v>
      </c>
      <c r="J1055" s="27" t="n">
        <v>120.723554</v>
      </c>
      <c r="K1055" s="10" t="inlineStr">
        <is>
          <t>R</t>
        </is>
      </c>
      <c r="L1055" s="12" t="n">
        <v>2013</v>
      </c>
      <c r="M1055" s="14" t="n">
        <v>3.6</v>
      </c>
      <c r="N1055" s="12">
        <f>ROUND(L1055/M1055, 0)</f>
        <v/>
      </c>
      <c r="O1055" s="12">
        <f>ROUND(N1055*'Methodology &amp; Assumptions'!$B$5, 0)</f>
        <v/>
      </c>
      <c r="P1055" s="10" t="inlineStr">
        <is>
          <t>Single Carrier (Band n50, 100MHz TDD)</t>
        </is>
      </c>
      <c r="Q1055" s="13">
        <f>ROUNDUP(O1055/'Methodology &amp; Assumptions'!$B$6, 0)</f>
        <v/>
      </c>
      <c r="R1055" s="13" t="n">
        <v>1</v>
      </c>
      <c r="S1055" s="14" t="n">
        <v>1.7</v>
      </c>
      <c r="T1055" s="14" t="n">
        <v>0.51</v>
      </c>
      <c r="U1055" s="26">
        <f>IF(X1055&gt;='Methodology &amp; Assumptions'!$B$7, "Tier 1 Critical GIDA (Score ≥ 50.0)", IF(X1055&gt;='Methodology &amp; Assumptions'!$B$8, "Tier 2 High GIDA (Score 40.0–49.9)", "Tier 3 Moderate GIDA (Score &lt; 40.0)"))</f>
        <v/>
      </c>
      <c r="V1055" s="26">
        <f>IF(S1055&lt;='Methodology &amp; Assumptions'!$B$10, "Direct Optical Drop (&lt;3km)", IF(S1055&lt;='Methodology &amp; Assumptions'!$B$9, "Near Optical / Microwave (&lt;5km)", "Starlink Business LEO Satellite Backhaul (&gt;5km)"))</f>
        <v/>
      </c>
      <c r="W1055" s="28" t="n">
        <v>0.07200000000000001</v>
      </c>
      <c r="X1055" s="14" t="n">
        <v>44.39</v>
      </c>
      <c r="Y1055" s="14">
        <f>ROUND(MIN(100, (X1055/69.91)*100), 2)</f>
        <v/>
      </c>
    </row>
    <row r="1056">
      <c r="A1056" s="10" t="n">
        <v>5</v>
      </c>
      <c r="B1056" s="10" t="n">
        <v>52</v>
      </c>
      <c r="C1056" s="10" t="n">
        <v>4052</v>
      </c>
      <c r="D1056" s="10" t="inlineStr">
        <is>
          <t>0405627002</t>
        </is>
      </c>
      <c r="E1056" s="26" t="inlineStr">
        <is>
          <t>Region IV-A (CALABARZON)</t>
        </is>
      </c>
      <c r="F1056" s="26" t="inlineStr">
        <is>
          <t>Quezon</t>
        </is>
      </c>
      <c r="G1056" s="26" t="inlineStr">
        <is>
          <t>Mauban</t>
        </is>
      </c>
      <c r="H1056" s="26" t="inlineStr">
        <is>
          <t>Alitap</t>
        </is>
      </c>
      <c r="I1056" s="27" t="n">
        <v>14.133749</v>
      </c>
      <c r="J1056" s="27" t="n">
        <v>121.750633</v>
      </c>
      <c r="K1056" s="10" t="inlineStr">
        <is>
          <t>R</t>
        </is>
      </c>
      <c r="L1056" s="12" t="n">
        <v>520</v>
      </c>
      <c r="M1056" s="14" t="n">
        <v>3.8</v>
      </c>
      <c r="N1056" s="12">
        <f>ROUND(L1056/M1056, 0)</f>
        <v/>
      </c>
      <c r="O1056" s="12">
        <f>ROUND(N1056*'Methodology &amp; Assumptions'!$B$5, 0)</f>
        <v/>
      </c>
      <c r="P1056" s="10" t="inlineStr">
        <is>
          <t>Single Carrier (Band n50, 100MHz TDD)</t>
        </is>
      </c>
      <c r="Q1056" s="13">
        <f>ROUNDUP(O1056/'Methodology &amp; Assumptions'!$B$6, 0)</f>
        <v/>
      </c>
      <c r="R1056" s="13" t="n">
        <v>1</v>
      </c>
      <c r="S1056" s="14" t="n">
        <v>6</v>
      </c>
      <c r="T1056" s="14" t="n">
        <v>14.54</v>
      </c>
      <c r="U1056" s="26">
        <f>IF(X1056&gt;='Methodology &amp; Assumptions'!$B$7, "Tier 1 Critical GIDA (Score ≥ 50.0)", IF(X1056&gt;='Methodology &amp; Assumptions'!$B$8, "Tier 2 High GIDA (Score 40.0–49.9)", "Tier 3 Moderate GIDA (Score &lt; 40.0)"))</f>
        <v/>
      </c>
      <c r="V1056" s="26">
        <f>IF(S1056&lt;='Methodology &amp; Assumptions'!$B$10, "Direct Optical Drop (&lt;3km)", IF(S1056&lt;='Methodology &amp; Assumptions'!$B$9, "Near Optical / Microwave (&lt;5km)", "Starlink Business LEO Satellite Backhaul (&gt;5km)"))</f>
        <v/>
      </c>
      <c r="W1056" s="28" t="n">
        <v>0.07200000000000001</v>
      </c>
      <c r="X1056" s="14" t="n">
        <v>44.38</v>
      </c>
      <c r="Y1056" s="14">
        <f>ROUND(MIN(100, (X1056/69.91)*100), 2)</f>
        <v/>
      </c>
    </row>
    <row r="1057">
      <c r="A1057" s="10" t="n">
        <v>5</v>
      </c>
      <c r="B1057" s="10" t="n">
        <v>53</v>
      </c>
      <c r="C1057" s="10" t="n">
        <v>4053</v>
      </c>
      <c r="D1057" s="10" t="inlineStr">
        <is>
          <t>0200905005</t>
        </is>
      </c>
      <c r="E1057" s="26" t="inlineStr">
        <is>
          <t>Region II (Cagayan Valley)</t>
        </is>
      </c>
      <c r="F1057" s="26" t="inlineStr">
        <is>
          <t>Batanes</t>
        </is>
      </c>
      <c r="G1057" s="26" t="inlineStr">
        <is>
          <t>Sabtang</t>
        </is>
      </c>
      <c r="H1057" s="26" t="inlineStr">
        <is>
          <t>Sinakan</t>
        </is>
      </c>
      <c r="I1057" s="27" t="n">
        <v>20.333925</v>
      </c>
      <c r="J1057" s="27" t="n">
        <v>121.873323</v>
      </c>
      <c r="K1057" s="10" t="inlineStr">
        <is>
          <t>R</t>
        </is>
      </c>
      <c r="L1057" s="12" t="n">
        <v>566</v>
      </c>
      <c r="M1057" s="14" t="n">
        <v>3</v>
      </c>
      <c r="N1057" s="12">
        <f>ROUND(L1057/M1057, 0)</f>
        <v/>
      </c>
      <c r="O1057" s="12">
        <f>ROUND(N1057*'Methodology &amp; Assumptions'!$B$5, 0)</f>
        <v/>
      </c>
      <c r="P1057" s="10" t="inlineStr">
        <is>
          <t>Single Carrier (Band n50, 100MHz TDD)</t>
        </is>
      </c>
      <c r="Q1057" s="13">
        <f>ROUNDUP(O1057/'Methodology &amp; Assumptions'!$B$6, 0)</f>
        <v/>
      </c>
      <c r="R1057" s="13" t="n">
        <v>1</v>
      </c>
      <c r="S1057" s="14" t="n">
        <v>208.42</v>
      </c>
      <c r="T1057" s="14" t="n">
        <v>205.38</v>
      </c>
      <c r="U1057" s="26">
        <f>IF(X1057&gt;='Methodology &amp; Assumptions'!$B$7, "Tier 1 Critical GIDA (Score ≥ 50.0)", IF(X1057&gt;='Methodology &amp; Assumptions'!$B$8, "Tier 2 High GIDA (Score 40.0–49.9)", "Tier 3 Moderate GIDA (Score &lt; 40.0)"))</f>
        <v/>
      </c>
      <c r="V1057" s="26">
        <f>IF(S1057&lt;='Methodology &amp; Assumptions'!$B$10, "Direct Optical Drop (&lt;3km)", IF(S1057&lt;='Methodology &amp; Assumptions'!$B$9, "Near Optical / Microwave (&lt;5km)", "Starlink Business LEO Satellite Backhaul (&gt;5km)"))</f>
        <v/>
      </c>
      <c r="W1057" s="28" t="n">
        <v>0.083</v>
      </c>
      <c r="X1057" s="14" t="n">
        <v>44.38</v>
      </c>
      <c r="Y1057" s="14">
        <f>ROUND(MIN(100, (X1057/69.91)*100), 2)</f>
        <v/>
      </c>
    </row>
    <row r="1058">
      <c r="A1058" s="10" t="n">
        <v>5</v>
      </c>
      <c r="B1058" s="10" t="n">
        <v>54</v>
      </c>
      <c r="C1058" s="10" t="n">
        <v>4054</v>
      </c>
      <c r="D1058" s="10" t="inlineStr">
        <is>
          <t>0601912006</t>
        </is>
      </c>
      <c r="E1058" s="26" t="inlineStr">
        <is>
          <t>Region VI (Western Visayas)</t>
        </is>
      </c>
      <c r="F1058" s="26" t="inlineStr">
        <is>
          <t>Capiz</t>
        </is>
      </c>
      <c r="G1058" s="26" t="inlineStr">
        <is>
          <t>Pontevedra</t>
        </is>
      </c>
      <c r="H1058" s="26" t="inlineStr">
        <is>
          <t>Bantigue</t>
        </is>
      </c>
      <c r="I1058" s="27" t="n">
        <v>11.444939</v>
      </c>
      <c r="J1058" s="27" t="n">
        <v>122.860302</v>
      </c>
      <c r="K1058" s="10" t="inlineStr">
        <is>
          <t>R</t>
        </is>
      </c>
      <c r="L1058" s="12" t="n">
        <v>515</v>
      </c>
      <c r="M1058" s="14" t="n">
        <v>3.8</v>
      </c>
      <c r="N1058" s="12">
        <f>ROUND(L1058/M1058, 0)</f>
        <v/>
      </c>
      <c r="O1058" s="12">
        <f>ROUND(N1058*'Methodology &amp; Assumptions'!$B$5, 0)</f>
        <v/>
      </c>
      <c r="P1058" s="10" t="inlineStr">
        <is>
          <t>Single Carrier (Band n50, 100MHz TDD)</t>
        </is>
      </c>
      <c r="Q1058" s="13">
        <f>ROUNDUP(O1058/'Methodology &amp; Assumptions'!$B$6, 0)</f>
        <v/>
      </c>
      <c r="R1058" s="13" t="n">
        <v>1</v>
      </c>
      <c r="S1058" s="14" t="n">
        <v>4.66</v>
      </c>
      <c r="T1058" s="14" t="n">
        <v>2.45</v>
      </c>
      <c r="U1058" s="26">
        <f>IF(X1058&gt;='Methodology &amp; Assumptions'!$B$7, "Tier 1 Critical GIDA (Score ≥ 50.0)", IF(X1058&gt;='Methodology &amp; Assumptions'!$B$8, "Tier 2 High GIDA (Score 40.0–49.9)", "Tier 3 Moderate GIDA (Score &lt; 40.0)"))</f>
        <v/>
      </c>
      <c r="V1058" s="26">
        <f>IF(S1058&lt;='Methodology &amp; Assumptions'!$B$10, "Direct Optical Drop (&lt;3km)", IF(S1058&lt;='Methodology &amp; Assumptions'!$B$9, "Near Optical / Microwave (&lt;5km)", "Starlink Business LEO Satellite Backhaul (&gt;5km)"))</f>
        <v/>
      </c>
      <c r="W1058" s="28" t="n">
        <v>0.237</v>
      </c>
      <c r="X1058" s="14" t="n">
        <v>44.38</v>
      </c>
      <c r="Y1058" s="14">
        <f>ROUND(MIN(100, (X1058/69.91)*100), 2)</f>
        <v/>
      </c>
    </row>
    <row r="1059">
      <c r="A1059" s="10" t="n">
        <v>5</v>
      </c>
      <c r="B1059" s="10" t="n">
        <v>55</v>
      </c>
      <c r="C1059" s="10" t="n">
        <v>4055</v>
      </c>
      <c r="D1059" s="10" t="inlineStr">
        <is>
          <t>0601912001</t>
        </is>
      </c>
      <c r="E1059" s="26" t="inlineStr">
        <is>
          <t>Region VI (Western Visayas)</t>
        </is>
      </c>
      <c r="F1059" s="26" t="inlineStr">
        <is>
          <t>Capiz</t>
        </is>
      </c>
      <c r="G1059" s="26" t="inlineStr">
        <is>
          <t>Pontevedra</t>
        </is>
      </c>
      <c r="H1059" s="26" t="inlineStr">
        <is>
          <t>Agbanog</t>
        </is>
      </c>
      <c r="I1059" s="27" t="n">
        <v>11.471667</v>
      </c>
      <c r="J1059" s="27" t="n">
        <v>122.863333</v>
      </c>
      <c r="K1059" s="10" t="inlineStr">
        <is>
          <t>R</t>
        </is>
      </c>
      <c r="L1059" s="12" t="n">
        <v>963</v>
      </c>
      <c r="M1059" s="14" t="n">
        <v>3.8</v>
      </c>
      <c r="N1059" s="12">
        <f>ROUND(L1059/M1059, 0)</f>
        <v/>
      </c>
      <c r="O1059" s="12">
        <f>ROUND(N1059*'Methodology &amp; Assumptions'!$B$5, 0)</f>
        <v/>
      </c>
      <c r="P1059" s="10" t="inlineStr">
        <is>
          <t>Single Carrier (Band n50, 100MHz TDD)</t>
        </is>
      </c>
      <c r="Q1059" s="13">
        <f>ROUNDUP(O1059/'Methodology &amp; Assumptions'!$B$6, 0)</f>
        <v/>
      </c>
      <c r="R1059" s="13" t="n">
        <v>1</v>
      </c>
      <c r="S1059" s="14" t="n">
        <v>3.28</v>
      </c>
      <c r="T1059" s="14" t="n">
        <v>3.05</v>
      </c>
      <c r="U1059" s="26">
        <f>IF(X1059&gt;='Methodology &amp; Assumptions'!$B$7, "Tier 1 Critical GIDA (Score ≥ 50.0)", IF(X1059&gt;='Methodology &amp; Assumptions'!$B$8, "Tier 2 High GIDA (Score 40.0–49.9)", "Tier 3 Moderate GIDA (Score &lt; 40.0)"))</f>
        <v/>
      </c>
      <c r="V1059" s="26">
        <f>IF(S1059&lt;='Methodology &amp; Assumptions'!$B$10, "Direct Optical Drop (&lt;3km)", IF(S1059&lt;='Methodology &amp; Assumptions'!$B$9, "Near Optical / Microwave (&lt;5km)", "Starlink Business LEO Satellite Backhaul (&gt;5km)"))</f>
        <v/>
      </c>
      <c r="W1059" s="28" t="n">
        <v>0.237</v>
      </c>
      <c r="X1059" s="14" t="n">
        <v>44.38</v>
      </c>
      <c r="Y1059" s="14">
        <f>ROUND(MIN(100, (X1059/69.91)*100), 2)</f>
        <v/>
      </c>
    </row>
    <row r="1060">
      <c r="A1060" s="10" t="n">
        <v>5</v>
      </c>
      <c r="B1060" s="10" t="n">
        <v>56</v>
      </c>
      <c r="C1060" s="10" t="n">
        <v>4056</v>
      </c>
      <c r="D1060" s="10" t="inlineStr">
        <is>
          <t>0205010024</t>
        </is>
      </c>
      <c r="E1060" s="26" t="inlineStr">
        <is>
          <t>Region II (Cagayan Valley)</t>
        </is>
      </c>
      <c r="F1060" s="26" t="inlineStr">
        <is>
          <t>Nueva Vizcaya</t>
        </is>
      </c>
      <c r="G1060" s="26" t="inlineStr">
        <is>
          <t>Kayapa</t>
        </is>
      </c>
      <c r="H1060" s="26" t="inlineStr">
        <is>
          <t>Balete</t>
        </is>
      </c>
      <c r="I1060" s="27" t="n">
        <v>16.550321</v>
      </c>
      <c r="J1060" s="27" t="n">
        <v>120.944595</v>
      </c>
      <c r="K1060" s="10" t="inlineStr">
        <is>
          <t>R</t>
        </is>
      </c>
      <c r="L1060" s="12" t="n">
        <v>1143</v>
      </c>
      <c r="M1060" s="14" t="n">
        <v>3.8</v>
      </c>
      <c r="N1060" s="12">
        <f>ROUND(L1060/M1060, 0)</f>
        <v/>
      </c>
      <c r="O1060" s="12">
        <f>ROUND(N1060*'Methodology &amp; Assumptions'!$B$5, 0)</f>
        <v/>
      </c>
      <c r="P1060" s="10" t="inlineStr">
        <is>
          <t>Single Carrier (Band n50, 100MHz TDD)</t>
        </is>
      </c>
      <c r="Q1060" s="13">
        <f>ROUNDUP(O1060/'Methodology &amp; Assumptions'!$B$6, 0)</f>
        <v/>
      </c>
      <c r="R1060" s="13" t="n">
        <v>1</v>
      </c>
      <c r="S1060" s="14" t="n">
        <v>14.13</v>
      </c>
      <c r="T1060" s="14" t="n">
        <v>15.75</v>
      </c>
      <c r="U1060" s="26">
        <f>IF(X1060&gt;='Methodology &amp; Assumptions'!$B$7, "Tier 1 Critical GIDA (Score ≥ 50.0)", IF(X1060&gt;='Methodology &amp; Assumptions'!$B$8, "Tier 2 High GIDA (Score 40.0–49.9)", "Tier 3 Moderate GIDA (Score &lt; 40.0)"))</f>
        <v/>
      </c>
      <c r="V1060" s="26">
        <f>IF(S1060&lt;='Methodology &amp; Assumptions'!$B$10, "Direct Optical Drop (&lt;3km)", IF(S1060&lt;='Methodology &amp; Assumptions'!$B$9, "Near Optical / Microwave (&lt;5km)", "Starlink Business LEO Satellite Backhaul (&gt;5km)"))</f>
        <v/>
      </c>
      <c r="W1060" s="28" t="n">
        <v>0.083</v>
      </c>
      <c r="X1060" s="14" t="n">
        <v>44.38</v>
      </c>
      <c r="Y1060" s="14">
        <f>ROUND(MIN(100, (X1060/69.91)*100), 2)</f>
        <v/>
      </c>
    </row>
    <row r="1061">
      <c r="A1061" s="10" t="n">
        <v>5</v>
      </c>
      <c r="B1061" s="10" t="n">
        <v>57</v>
      </c>
      <c r="C1061" s="10" t="n">
        <v>4057</v>
      </c>
      <c r="D1061" s="10" t="inlineStr">
        <is>
          <t>0402106071</t>
        </is>
      </c>
      <c r="E1061" s="26" t="inlineStr">
        <is>
          <t>Region IV-A (CALABARZON)</t>
        </is>
      </c>
      <c r="F1061" s="26" t="inlineStr">
        <is>
          <t>Cavite</t>
        </is>
      </c>
      <c r="G1061" s="26" t="inlineStr">
        <is>
          <t>City of Dasmariñas</t>
        </is>
      </c>
      <c r="H1061" s="26" t="inlineStr">
        <is>
          <t>San Lorenzo Ruiz II</t>
        </is>
      </c>
      <c r="I1061" s="27" t="n">
        <v>14.271741</v>
      </c>
      <c r="J1061" s="27" t="n">
        <v>120.972263</v>
      </c>
      <c r="K1061" s="10" t="inlineStr">
        <is>
          <t>R</t>
        </is>
      </c>
      <c r="L1061" s="12" t="n">
        <v>4500</v>
      </c>
      <c r="M1061" s="14" t="n">
        <v>3.4</v>
      </c>
      <c r="N1061" s="12">
        <f>ROUND(L1061/M1061, 0)</f>
        <v/>
      </c>
      <c r="O1061" s="12">
        <f>ROUND(N1061*'Methodology &amp; Assumptions'!$B$5, 0)</f>
        <v/>
      </c>
      <c r="P1061" s="10" t="inlineStr">
        <is>
          <t>Single Carrier (Band n50, 100MHz TDD)</t>
        </is>
      </c>
      <c r="Q1061" s="13">
        <f>ROUNDUP(O1061/'Methodology &amp; Assumptions'!$B$6, 0)</f>
        <v/>
      </c>
      <c r="R1061" s="13" t="n">
        <v>1</v>
      </c>
      <c r="S1061" s="14" t="n">
        <v>3.42</v>
      </c>
      <c r="T1061" s="14" t="n">
        <v>0.5600000000000001</v>
      </c>
      <c r="U1061" s="26">
        <f>IF(X1061&gt;='Methodology &amp; Assumptions'!$B$7, "Tier 1 Critical GIDA (Score ≥ 50.0)", IF(X1061&gt;='Methodology &amp; Assumptions'!$B$8, "Tier 2 High GIDA (Score 40.0–49.9)", "Tier 3 Moderate GIDA (Score &lt; 40.0)"))</f>
        <v/>
      </c>
      <c r="V1061" s="26">
        <f>IF(S1061&lt;='Methodology &amp; Assumptions'!$B$10, "Direct Optical Drop (&lt;3km)", IF(S1061&lt;='Methodology &amp; Assumptions'!$B$9, "Near Optical / Microwave (&lt;5km)", "Starlink Business LEO Satellite Backhaul (&gt;5km)"))</f>
        <v/>
      </c>
      <c r="W1061" s="28" t="n">
        <v>0.07200000000000001</v>
      </c>
      <c r="X1061" s="14" t="n">
        <v>44.37</v>
      </c>
      <c r="Y1061" s="14">
        <f>ROUND(MIN(100, (X1061/69.91)*100), 2)</f>
        <v/>
      </c>
    </row>
    <row r="1062">
      <c r="A1062" s="10" t="n">
        <v>5</v>
      </c>
      <c r="B1062" s="10" t="n">
        <v>58</v>
      </c>
      <c r="C1062" s="10" t="n">
        <v>4058</v>
      </c>
      <c r="D1062" s="10" t="inlineStr">
        <is>
          <t>1381300114</t>
        </is>
      </c>
      <c r="E1062" s="26" t="inlineStr">
        <is>
          <t>National Capital Region (NCR)</t>
        </is>
      </c>
      <c r="F1062" s="26" t="inlineStr">
        <is>
          <t>Second District (Not a Province)</t>
        </is>
      </c>
      <c r="G1062" s="26" t="inlineStr">
        <is>
          <t>Quezon City</t>
        </is>
      </c>
      <c r="H1062" s="26" t="inlineStr">
        <is>
          <t>Silangan</t>
        </is>
      </c>
      <c r="I1062" s="27" t="n">
        <v>14.648317</v>
      </c>
      <c r="J1062" s="27" t="n">
        <v>121.083915</v>
      </c>
      <c r="K1062" s="10" t="inlineStr">
        <is>
          <t>U</t>
        </is>
      </c>
      <c r="L1062" s="12" t="n">
        <v>5034</v>
      </c>
      <c r="M1062" s="14" t="n">
        <v>3.8</v>
      </c>
      <c r="N1062" s="12">
        <f>ROUND(L1062/M1062, 0)</f>
        <v/>
      </c>
      <c r="O1062" s="12">
        <f>ROUND(N1062*'Methodology &amp; Assumptions'!$B$5, 0)</f>
        <v/>
      </c>
      <c r="P1062" s="10" t="inlineStr">
        <is>
          <t>Single Carrier (Band n50, 100MHz TDD)</t>
        </is>
      </c>
      <c r="Q1062" s="13">
        <f>ROUNDUP(O1062/'Methodology &amp; Assumptions'!$B$6, 0)</f>
        <v/>
      </c>
      <c r="R1062" s="13" t="n">
        <v>1</v>
      </c>
      <c r="S1062" s="14" t="n">
        <v>1.67</v>
      </c>
      <c r="T1062" s="14" t="n">
        <v>1.02</v>
      </c>
      <c r="U1062" s="26">
        <f>IF(X1062&gt;='Methodology &amp; Assumptions'!$B$7, "Tier 1 Critical GIDA (Score ≥ 50.0)", IF(X1062&gt;='Methodology &amp; Assumptions'!$B$8, "Tier 2 High GIDA (Score 40.0–49.9)", "Tier 3 Moderate GIDA (Score &lt; 40.0)"))</f>
        <v/>
      </c>
      <c r="V1062" s="26">
        <f>IF(S1062&lt;='Methodology &amp; Assumptions'!$B$10, "Direct Optical Drop (&lt;3km)", IF(S1062&lt;='Methodology &amp; Assumptions'!$B$9, "Near Optical / Microwave (&lt;5km)", "Starlink Business LEO Satellite Backhaul (&gt;5km)"))</f>
        <v/>
      </c>
      <c r="W1062" s="28" t="n">
        <v>0.109</v>
      </c>
      <c r="X1062" s="14" t="n">
        <v>44.36</v>
      </c>
      <c r="Y1062" s="14">
        <f>ROUND(MIN(100, (X1062/69.91)*100), 2)</f>
        <v/>
      </c>
    </row>
    <row r="1063">
      <c r="A1063" s="10" t="n">
        <v>5</v>
      </c>
      <c r="B1063" s="10" t="n">
        <v>59</v>
      </c>
      <c r="C1063" s="10" t="n">
        <v>4059</v>
      </c>
      <c r="D1063" s="10" t="inlineStr">
        <is>
          <t>1906611019</t>
        </is>
      </c>
      <c r="E1063" s="26" t="inlineStr">
        <is>
          <t>Bangsamoro Autonomous Region In Muslim Mindanao (BARMM)</t>
        </is>
      </c>
      <c r="F1063" s="26" t="inlineStr">
        <is>
          <t>Sulu</t>
        </is>
      </c>
      <c r="G1063" s="26" t="inlineStr">
        <is>
          <t>Patikul</t>
        </is>
      </c>
      <c r="H1063" s="26" t="inlineStr">
        <is>
          <t>Panglayahan</t>
        </is>
      </c>
      <c r="I1063" s="27" t="n">
        <v>16.807737</v>
      </c>
      <c r="J1063" s="27" t="n">
        <v>122.17505</v>
      </c>
      <c r="K1063" s="10" t="inlineStr">
        <is>
          <t>R</t>
        </is>
      </c>
      <c r="L1063" s="12" t="n">
        <v>764</v>
      </c>
      <c r="M1063" s="14" t="n">
        <v>6</v>
      </c>
      <c r="N1063" s="12">
        <f>ROUND(L1063/M1063, 0)</f>
        <v/>
      </c>
      <c r="O1063" s="12">
        <f>ROUND(N1063*'Methodology &amp; Assumptions'!$B$5, 0)</f>
        <v/>
      </c>
      <c r="P1063" s="10" t="inlineStr">
        <is>
          <t>Single Carrier (Band n50, 100MHz TDD)</t>
        </is>
      </c>
      <c r="Q1063" s="13">
        <f>ROUNDUP(O1063/'Methodology &amp; Assumptions'!$B$6, 0)</f>
        <v/>
      </c>
      <c r="R1063" s="13" t="n">
        <v>1</v>
      </c>
      <c r="S1063" s="14" t="n">
        <v>26.21</v>
      </c>
      <c r="T1063" s="14" t="n">
        <v>32.82</v>
      </c>
      <c r="U1063" s="26">
        <f>IF(X1063&gt;='Methodology &amp; Assumptions'!$B$7, "Tier 1 Critical GIDA (Score ≥ 50.0)", IF(X1063&gt;='Methodology &amp; Assumptions'!$B$8, "Tier 2 High GIDA (Score 40.0–49.9)", "Tier 3 Moderate GIDA (Score &lt; 40.0)"))</f>
        <v/>
      </c>
      <c r="V1063" s="26">
        <f>IF(S1063&lt;='Methodology &amp; Assumptions'!$B$10, "Direct Optical Drop (&lt;3km)", IF(S1063&lt;='Methodology &amp; Assumptions'!$B$9, "Near Optical / Microwave (&lt;5km)", "Starlink Business LEO Satellite Backhaul (&gt;5km)"))</f>
        <v/>
      </c>
      <c r="W1063" s="28" t="n">
        <v>0.11</v>
      </c>
      <c r="X1063" s="14" t="n">
        <v>44.35</v>
      </c>
      <c r="Y1063" s="14">
        <f>ROUND(MIN(100, (X1063/69.91)*100), 2)</f>
        <v/>
      </c>
    </row>
    <row r="1064">
      <c r="A1064" s="10" t="n">
        <v>5</v>
      </c>
      <c r="B1064" s="10" t="n">
        <v>60</v>
      </c>
      <c r="C1064" s="10" t="n">
        <v>4060</v>
      </c>
      <c r="D1064" s="10" t="inlineStr">
        <is>
          <t>0307702005</t>
        </is>
      </c>
      <c r="E1064" s="26" t="inlineStr">
        <is>
          <t>Region III (Central Luzon)</t>
        </is>
      </c>
      <c r="F1064" s="26" t="inlineStr">
        <is>
          <t>Aurora</t>
        </is>
      </c>
      <c r="G1064" s="26" t="inlineStr">
        <is>
          <t>Casiguran</t>
        </is>
      </c>
      <c r="H1064" s="26" t="inlineStr">
        <is>
          <t>Barangay 5</t>
        </is>
      </c>
      <c r="I1064" s="27" t="n">
        <v>16.243085</v>
      </c>
      <c r="J1064" s="27" t="n">
        <v>122.103249</v>
      </c>
      <c r="K1064" s="10" t="inlineStr">
        <is>
          <t>R</t>
        </is>
      </c>
      <c r="L1064" s="12" t="n">
        <v>324</v>
      </c>
      <c r="M1064" s="14" t="n">
        <v>3.8</v>
      </c>
      <c r="N1064" s="12">
        <f>ROUND(L1064/M1064, 0)</f>
        <v/>
      </c>
      <c r="O1064" s="12">
        <f>ROUND(N1064*'Methodology &amp; Assumptions'!$B$5, 0)</f>
        <v/>
      </c>
      <c r="P1064" s="10" t="inlineStr">
        <is>
          <t>Single Carrier (Band n50, 100MHz TDD)</t>
        </is>
      </c>
      <c r="Q1064" s="13">
        <f>ROUNDUP(O1064/'Methodology &amp; Assumptions'!$B$6, 0)</f>
        <v/>
      </c>
      <c r="R1064" s="13" t="n">
        <v>1</v>
      </c>
      <c r="S1064" s="14" t="n">
        <v>4.6</v>
      </c>
      <c r="T1064" s="14" t="n">
        <v>2.32</v>
      </c>
      <c r="U1064" s="26">
        <f>IF(X1064&gt;='Methodology &amp; Assumptions'!$B$7, "Tier 1 Critical GIDA (Score ≥ 50.0)", IF(X1064&gt;='Methodology &amp; Assumptions'!$B$8, "Tier 2 High GIDA (Score 40.0–49.9)", "Tier 3 Moderate GIDA (Score &lt; 40.0)"))</f>
        <v/>
      </c>
      <c r="V1064" s="26">
        <f>IF(S1064&lt;='Methodology &amp; Assumptions'!$B$10, "Direct Optical Drop (&lt;3km)", IF(S1064&lt;='Methodology &amp; Assumptions'!$B$9, "Near Optical / Microwave (&lt;5km)", "Starlink Business LEO Satellite Backhaul (&gt;5km)"))</f>
        <v/>
      </c>
      <c r="W1064" s="28" t="n">
        <v>0.083</v>
      </c>
      <c r="X1064" s="14" t="n">
        <v>44.34</v>
      </c>
      <c r="Y1064" s="14">
        <f>ROUND(MIN(100, (X1064/69.91)*100), 2)</f>
        <v/>
      </c>
    </row>
    <row r="1065">
      <c r="A1065" s="10" t="n">
        <v>5</v>
      </c>
      <c r="B1065" s="10" t="n">
        <v>61</v>
      </c>
      <c r="C1065" s="10" t="n">
        <v>4061</v>
      </c>
      <c r="D1065" s="10" t="inlineStr">
        <is>
          <t>1208004015</t>
        </is>
      </c>
      <c r="E1065" s="26" t="inlineStr">
        <is>
          <t>Region XII (SOCCSKSARGEN)</t>
        </is>
      </c>
      <c r="F1065" s="26" t="inlineStr">
        <is>
          <t>Sarangani</t>
        </is>
      </c>
      <c r="G1065" s="26" t="inlineStr">
        <is>
          <t>Maasim</t>
        </is>
      </c>
      <c r="H1065" s="26" t="inlineStr">
        <is>
          <t>Seven Hills</t>
        </is>
      </c>
      <c r="I1065" s="27" t="n">
        <v>5.871508</v>
      </c>
      <c r="J1065" s="27" t="n">
        <v>125.029927</v>
      </c>
      <c r="K1065" s="10" t="inlineStr">
        <is>
          <t>R</t>
        </is>
      </c>
      <c r="L1065" s="12" t="n">
        <v>515</v>
      </c>
      <c r="M1065" s="14" t="n">
        <v>3.9</v>
      </c>
      <c r="N1065" s="12">
        <f>ROUND(L1065/M1065, 0)</f>
        <v/>
      </c>
      <c r="O1065" s="12">
        <f>ROUND(N1065*'Methodology &amp; Assumptions'!$B$5, 0)</f>
        <v/>
      </c>
      <c r="P1065" s="10" t="inlineStr">
        <is>
          <t>Single Carrier (Band n50, 100MHz TDD)</t>
        </is>
      </c>
      <c r="Q1065" s="13">
        <f>ROUNDUP(O1065/'Methodology &amp; Assumptions'!$B$6, 0)</f>
        <v/>
      </c>
      <c r="R1065" s="13" t="n">
        <v>1</v>
      </c>
      <c r="S1065" s="14" t="n">
        <v>25.42</v>
      </c>
      <c r="T1065" s="14" t="n">
        <v>30.31</v>
      </c>
      <c r="U1065" s="26">
        <f>IF(X1065&gt;='Methodology &amp; Assumptions'!$B$7, "Tier 1 Critical GIDA (Score ≥ 50.0)", IF(X1065&gt;='Methodology &amp; Assumptions'!$B$8, "Tier 2 High GIDA (Score 40.0–49.9)", "Tier 3 Moderate GIDA (Score &lt; 40.0)"))</f>
        <v/>
      </c>
      <c r="V1065" s="26">
        <f>IF(S1065&lt;='Methodology &amp; Assumptions'!$B$10, "Direct Optical Drop (&lt;3km)", IF(S1065&lt;='Methodology &amp; Assumptions'!$B$9, "Near Optical / Microwave (&lt;5km)", "Starlink Business LEO Satellite Backhaul (&gt;5km)"))</f>
        <v/>
      </c>
      <c r="W1065" s="28" t="n">
        <v>0.174</v>
      </c>
      <c r="X1065" s="14" t="n">
        <v>44.33</v>
      </c>
      <c r="Y1065" s="14">
        <f>ROUND(MIN(100, (X1065/69.91)*100), 2)</f>
        <v/>
      </c>
    </row>
    <row r="1066">
      <c r="A1066" s="10" t="n">
        <v>5</v>
      </c>
      <c r="B1066" s="10" t="n">
        <v>62</v>
      </c>
      <c r="C1066" s="10" t="n">
        <v>4062</v>
      </c>
      <c r="D1066" s="10" t="inlineStr">
        <is>
          <t>0307702004</t>
        </is>
      </c>
      <c r="E1066" s="26" t="inlineStr">
        <is>
          <t>Region III (Central Luzon)</t>
        </is>
      </c>
      <c r="F1066" s="26" t="inlineStr">
        <is>
          <t>Aurora</t>
        </is>
      </c>
      <c r="G1066" s="26" t="inlineStr">
        <is>
          <t>Casiguran</t>
        </is>
      </c>
      <c r="H1066" s="26" t="inlineStr">
        <is>
          <t>Barangay 4</t>
        </is>
      </c>
      <c r="I1066" s="27" t="n">
        <v>16.229568</v>
      </c>
      <c r="J1066" s="27" t="n">
        <v>122.095301</v>
      </c>
      <c r="K1066" s="10" t="inlineStr">
        <is>
          <t>R</t>
        </is>
      </c>
      <c r="L1066" s="12" t="n">
        <v>232</v>
      </c>
      <c r="M1066" s="14" t="n">
        <v>3.8</v>
      </c>
      <c r="N1066" s="12">
        <f>ROUND(L1066/M1066, 0)</f>
        <v/>
      </c>
      <c r="O1066" s="12">
        <f>ROUND(N1066*'Methodology &amp; Assumptions'!$B$5, 0)</f>
        <v/>
      </c>
      <c r="P1066" s="10" t="inlineStr">
        <is>
          <t>Single Carrier (Band n50, 100MHz TDD)</t>
        </is>
      </c>
      <c r="Q1066" s="13">
        <f>ROUNDUP(O1066/'Methodology &amp; Assumptions'!$B$6, 0)</f>
        <v/>
      </c>
      <c r="R1066" s="13" t="n">
        <v>1</v>
      </c>
      <c r="S1066" s="14" t="n">
        <v>6.26</v>
      </c>
      <c r="T1066" s="14" t="n">
        <v>2.48</v>
      </c>
      <c r="U1066" s="26">
        <f>IF(X1066&gt;='Methodology &amp; Assumptions'!$B$7, "Tier 1 Critical GIDA (Score ≥ 50.0)", IF(X1066&gt;='Methodology &amp; Assumptions'!$B$8, "Tier 2 High GIDA (Score 40.0–49.9)", "Tier 3 Moderate GIDA (Score &lt; 40.0)"))</f>
        <v/>
      </c>
      <c r="V1066" s="26">
        <f>IF(S1066&lt;='Methodology &amp; Assumptions'!$B$10, "Direct Optical Drop (&lt;3km)", IF(S1066&lt;='Methodology &amp; Assumptions'!$B$9, "Near Optical / Microwave (&lt;5km)", "Starlink Business LEO Satellite Backhaul (&gt;5km)"))</f>
        <v/>
      </c>
      <c r="W1066" s="28" t="n">
        <v>0.083</v>
      </c>
      <c r="X1066" s="14" t="n">
        <v>44.32</v>
      </c>
      <c r="Y1066" s="14">
        <f>ROUND(MIN(100, (X1066/69.91)*100), 2)</f>
        <v/>
      </c>
    </row>
    <row r="1067">
      <c r="A1067" s="10" t="n">
        <v>5</v>
      </c>
      <c r="B1067" s="10" t="n">
        <v>63</v>
      </c>
      <c r="C1067" s="10" t="n">
        <v>4063</v>
      </c>
      <c r="D1067" s="10" t="inlineStr">
        <is>
          <t>1903601026</t>
        </is>
      </c>
      <c r="E1067" s="26" t="inlineStr">
        <is>
          <t>Bangsamoro Autonomous Region In Muslim Mindanao (BARMM)</t>
        </is>
      </c>
      <c r="F1067" s="26" t="inlineStr">
        <is>
          <t>Lanao del Sur</t>
        </is>
      </c>
      <c r="G1067" s="26" t="inlineStr">
        <is>
          <t>Bacolod-Kalawi</t>
        </is>
      </c>
      <c r="H1067" s="26" t="inlineStr">
        <is>
          <t>Tambo</t>
        </is>
      </c>
      <c r="I1067" s="27" t="n">
        <v>17.254712</v>
      </c>
      <c r="J1067" s="27" t="n">
        <v>122.228756</v>
      </c>
      <c r="K1067" s="10" t="inlineStr">
        <is>
          <t>R</t>
        </is>
      </c>
      <c r="L1067" s="12" t="n">
        <v>922</v>
      </c>
      <c r="M1067" s="14" t="n">
        <v>5.7</v>
      </c>
      <c r="N1067" s="12">
        <f>ROUND(L1067/M1067, 0)</f>
        <v/>
      </c>
      <c r="O1067" s="12">
        <f>ROUND(N1067*'Methodology &amp; Assumptions'!$B$5, 0)</f>
        <v/>
      </c>
      <c r="P1067" s="10" t="inlineStr">
        <is>
          <t>Single Carrier (Band n50, 100MHz TDD)</t>
        </is>
      </c>
      <c r="Q1067" s="13">
        <f>ROUNDUP(O1067/'Methodology &amp; Assumptions'!$B$6, 0)</f>
        <v/>
      </c>
      <c r="R1067" s="13" t="n">
        <v>1</v>
      </c>
      <c r="S1067" s="14" t="n">
        <v>29.4</v>
      </c>
      <c r="T1067" s="14" t="n">
        <v>34.28</v>
      </c>
      <c r="U1067" s="26">
        <f>IF(X1067&gt;='Methodology &amp; Assumptions'!$B$7, "Tier 1 Critical GIDA (Score ≥ 50.0)", IF(X1067&gt;='Methodology &amp; Assumptions'!$B$8, "Tier 2 High GIDA (Score 40.0–49.9)", "Tier 3 Moderate GIDA (Score &lt; 40.0)"))</f>
        <v/>
      </c>
      <c r="V1067" s="26">
        <f>IF(S1067&lt;='Methodology &amp; Assumptions'!$B$10, "Direct Optical Drop (&lt;3km)", IF(S1067&lt;='Methodology &amp; Assumptions'!$B$9, "Near Optical / Microwave (&lt;5km)", "Starlink Business LEO Satellite Backhaul (&gt;5km)"))</f>
        <v/>
      </c>
      <c r="W1067" s="28" t="n">
        <v>0.11</v>
      </c>
      <c r="X1067" s="14" t="n">
        <v>44.31</v>
      </c>
      <c r="Y1067" s="14">
        <f>ROUND(MIN(100, (X1067/69.91)*100), 2)</f>
        <v/>
      </c>
    </row>
    <row r="1068">
      <c r="A1068" s="10" t="n">
        <v>5</v>
      </c>
      <c r="B1068" s="10" t="n">
        <v>64</v>
      </c>
      <c r="C1068" s="10" t="n">
        <v>4064</v>
      </c>
      <c r="D1068" s="10" t="inlineStr">
        <is>
          <t>1705320016</t>
        </is>
      </c>
      <c r="E1068" s="26" t="inlineStr">
        <is>
          <t>MIMAROPA Region</t>
        </is>
      </c>
      <c r="F1068" s="26" t="inlineStr">
        <is>
          <t>Palawan</t>
        </is>
      </c>
      <c r="G1068" s="26" t="inlineStr">
        <is>
          <t>Taytay</t>
        </is>
      </c>
      <c r="H1068" s="26" t="inlineStr">
        <is>
          <t>Old Guinlo</t>
        </is>
      </c>
      <c r="I1068" s="27" t="n">
        <v>10.79926</v>
      </c>
      <c r="J1068" s="27" t="n">
        <v>119.43632</v>
      </c>
      <c r="K1068" s="10" t="inlineStr">
        <is>
          <t>R</t>
        </is>
      </c>
      <c r="L1068" s="12" t="n">
        <v>1229</v>
      </c>
      <c r="M1068" s="14" t="n">
        <v>3.9</v>
      </c>
      <c r="N1068" s="12">
        <f>ROUND(L1068/M1068, 0)</f>
        <v/>
      </c>
      <c r="O1068" s="12">
        <f>ROUND(N1068*'Methodology &amp; Assumptions'!$B$5, 0)</f>
        <v/>
      </c>
      <c r="P1068" s="10" t="inlineStr">
        <is>
          <t>Single Carrier (Band n50, 100MHz TDD)</t>
        </is>
      </c>
      <c r="Q1068" s="13">
        <f>ROUNDUP(O1068/'Methodology &amp; Assumptions'!$B$6, 0)</f>
        <v/>
      </c>
      <c r="R1068" s="13" t="n">
        <v>1</v>
      </c>
      <c r="S1068" s="14" t="n">
        <v>8.199999999999999</v>
      </c>
      <c r="T1068" s="14" t="n">
        <v>6.78</v>
      </c>
      <c r="U1068" s="26">
        <f>IF(X1068&gt;='Methodology &amp; Assumptions'!$B$7, "Tier 1 Critical GIDA (Score ≥ 50.0)", IF(X1068&gt;='Methodology &amp; Assumptions'!$B$8, "Tier 2 High GIDA (Score 40.0–49.9)", "Tier 3 Moderate GIDA (Score &lt; 40.0)"))</f>
        <v/>
      </c>
      <c r="V1068" s="26">
        <f>IF(S1068&lt;='Methodology &amp; Assumptions'!$B$10, "Direct Optical Drop (&lt;3km)", IF(S1068&lt;='Methodology &amp; Assumptions'!$B$9, "Near Optical / Microwave (&lt;5km)", "Starlink Business LEO Satellite Backhaul (&gt;5km)"))</f>
        <v/>
      </c>
      <c r="W1068" s="28" t="n">
        <v>0.15</v>
      </c>
      <c r="X1068" s="14" t="n">
        <v>44.31</v>
      </c>
      <c r="Y1068" s="14">
        <f>ROUND(MIN(100, (X1068/69.91)*100), 2)</f>
        <v/>
      </c>
    </row>
    <row r="1069">
      <c r="A1069" s="10" t="n">
        <v>5</v>
      </c>
      <c r="B1069" s="10" t="n">
        <v>65</v>
      </c>
      <c r="C1069" s="10" t="n">
        <v>4065</v>
      </c>
      <c r="D1069" s="10" t="inlineStr">
        <is>
          <t>1400113007</t>
        </is>
      </c>
      <c r="E1069" s="26" t="inlineStr">
        <is>
          <t>Cordillera Administrative Region (CAR)</t>
        </is>
      </c>
      <c r="F1069" s="26" t="inlineStr">
        <is>
          <t>Abra</t>
        </is>
      </c>
      <c r="G1069" s="26" t="inlineStr">
        <is>
          <t>Licuan-Baay</t>
        </is>
      </c>
      <c r="H1069" s="26" t="inlineStr">
        <is>
          <t>Mogao</t>
        </is>
      </c>
      <c r="I1069" s="27" t="n">
        <v>17.61215</v>
      </c>
      <c r="J1069" s="27" t="n">
        <v>120.925987</v>
      </c>
      <c r="K1069" s="10" t="inlineStr">
        <is>
          <t>R</t>
        </is>
      </c>
      <c r="L1069" s="12" t="n">
        <v>261</v>
      </c>
      <c r="M1069" s="14" t="n">
        <v>3.8</v>
      </c>
      <c r="N1069" s="12">
        <f>ROUND(L1069/M1069, 0)</f>
        <v/>
      </c>
      <c r="O1069" s="12">
        <f>ROUND(N1069*'Methodology &amp; Assumptions'!$B$5, 0)</f>
        <v/>
      </c>
      <c r="P1069" s="10" t="inlineStr">
        <is>
          <t>Single Carrier (Band n50, 100MHz TDD)</t>
        </is>
      </c>
      <c r="Q1069" s="13">
        <f>ROUNDUP(O1069/'Methodology &amp; Assumptions'!$B$6, 0)</f>
        <v/>
      </c>
      <c r="R1069" s="13" t="n">
        <v>1</v>
      </c>
      <c r="S1069" s="14" t="n">
        <v>28.05</v>
      </c>
      <c r="T1069" s="14" t="n">
        <v>28.02</v>
      </c>
      <c r="U1069" s="26">
        <f>IF(X1069&gt;='Methodology &amp; Assumptions'!$B$7, "Tier 1 Critical GIDA (Score ≥ 50.0)", IF(X1069&gt;='Methodology &amp; Assumptions'!$B$8, "Tier 2 High GIDA (Score 40.0–49.9)", "Tier 3 Moderate GIDA (Score &lt; 40.0)"))</f>
        <v/>
      </c>
      <c r="V1069" s="26">
        <f>IF(S1069&lt;='Methodology &amp; Assumptions'!$B$10, "Direct Optical Drop (&lt;3km)", IF(S1069&lt;='Methodology &amp; Assumptions'!$B$9, "Near Optical / Microwave (&lt;5km)", "Starlink Business LEO Satellite Backhaul (&gt;5km)"))</f>
        <v/>
      </c>
      <c r="W1069" s="28" t="n">
        <v>0.109</v>
      </c>
      <c r="X1069" s="14" t="n">
        <v>44.31</v>
      </c>
      <c r="Y1069" s="14">
        <f>ROUND(MIN(100, (X1069/69.91)*100), 2)</f>
        <v/>
      </c>
    </row>
    <row r="1070">
      <c r="A1070" s="10" t="n">
        <v>5</v>
      </c>
      <c r="B1070" s="10" t="n">
        <v>66</v>
      </c>
      <c r="C1070" s="10" t="n">
        <v>4066</v>
      </c>
      <c r="D1070" s="10" t="inlineStr">
        <is>
          <t>PH0004066</t>
        </is>
      </c>
      <c r="E1070" s="26" t="inlineStr">
        <is>
          <t>CAR</t>
        </is>
      </c>
      <c r="F1070" s="26" t="inlineStr">
        <is>
          <t>Benguet</t>
        </is>
      </c>
      <c r="G1070" s="26" t="inlineStr">
        <is>
          <t>Baguio City</t>
        </is>
      </c>
      <c r="H1070" s="26" t="inlineStr">
        <is>
          <t>Holy Ghost Proper</t>
        </is>
      </c>
      <c r="I1070" s="27" t="n">
        <v>16.417456</v>
      </c>
      <c r="J1070" s="27" t="n">
        <v>120.510969</v>
      </c>
      <c r="K1070" s="10" t="inlineStr">
        <is>
          <t>R</t>
        </is>
      </c>
      <c r="L1070" s="12" t="n">
        <v>2260</v>
      </c>
      <c r="M1070" s="14" t="n">
        <v>3.5</v>
      </c>
      <c r="N1070" s="12">
        <f>ROUND(L1070/M1070, 0)</f>
        <v/>
      </c>
      <c r="O1070" s="12">
        <f>ROUND(N1070*'Methodology &amp; Assumptions'!$B$5, 0)</f>
        <v/>
      </c>
      <c r="P1070" s="10" t="inlineStr">
        <is>
          <t>Single Carrier (Band n50, 100MHz TDD)</t>
        </is>
      </c>
      <c r="Q1070" s="13">
        <f>ROUNDUP(O1070/'Methodology &amp; Assumptions'!$B$6, 0)</f>
        <v/>
      </c>
      <c r="R1070" s="13" t="n">
        <v>1</v>
      </c>
      <c r="S1070" s="14" t="n">
        <v>3.78</v>
      </c>
      <c r="T1070" s="14" t="n">
        <v>3.57</v>
      </c>
      <c r="U1070" s="26">
        <f>IF(X1070&gt;='Methodology &amp; Assumptions'!$B$7, "Tier 1 Critical GIDA (Score ≥ 50.0)", IF(X1070&gt;='Methodology &amp; Assumptions'!$B$8, "Tier 2 High GIDA (Score 40.0–49.9)", "Tier 3 Moderate GIDA (Score &lt; 40.0)"))</f>
        <v/>
      </c>
      <c r="V1070" s="26">
        <f>IF(S1070&lt;='Methodology &amp; Assumptions'!$B$10, "Direct Optical Drop (&lt;3km)", IF(S1070&lt;='Methodology &amp; Assumptions'!$B$9, "Near Optical / Microwave (&lt;5km)", "Starlink Business LEO Satellite Backhaul (&gt;5km)"))</f>
        <v/>
      </c>
      <c r="W1070" s="28" t="n">
        <v>0.221</v>
      </c>
      <c r="X1070" s="14" t="n">
        <v>44.31</v>
      </c>
      <c r="Y1070" s="14">
        <f>ROUND(MIN(100, (X1070/69.91)*100), 2)</f>
        <v/>
      </c>
    </row>
    <row r="1071">
      <c r="A1071" s="10" t="n">
        <v>5</v>
      </c>
      <c r="B1071" s="10" t="n">
        <v>67</v>
      </c>
      <c r="C1071" s="10" t="n">
        <v>4067</v>
      </c>
      <c r="D1071" s="10" t="inlineStr">
        <is>
          <t>1381200005</t>
        </is>
      </c>
      <c r="E1071" s="26" t="inlineStr">
        <is>
          <t>National Capital Region (NCR)</t>
        </is>
      </c>
      <c r="F1071" s="26" t="inlineStr">
        <is>
          <t>Second District (Not a Province)</t>
        </is>
      </c>
      <c r="G1071" s="26" t="inlineStr">
        <is>
          <t>City of Pasig</t>
        </is>
      </c>
      <c r="H1071" s="26" t="inlineStr">
        <is>
          <t>Caniogan</t>
        </is>
      </c>
      <c r="I1071" s="27" t="n">
        <v>14.571771</v>
      </c>
      <c r="J1071" s="27" t="n">
        <v>121.078524</v>
      </c>
      <c r="K1071" s="10" t="inlineStr">
        <is>
          <t>U</t>
        </is>
      </c>
      <c r="L1071" s="12" t="n">
        <v>29831</v>
      </c>
      <c r="M1071" s="14" t="n">
        <v>3.4</v>
      </c>
      <c r="N1071" s="12">
        <f>ROUND(L1071/M1071, 0)</f>
        <v/>
      </c>
      <c r="O1071" s="12">
        <f>ROUND(N1071*'Methodology &amp; Assumptions'!$B$5, 0)</f>
        <v/>
      </c>
      <c r="P1071" s="10" t="inlineStr">
        <is>
          <t>Single Carrier (Band n50, 100MHz TDD)</t>
        </is>
      </c>
      <c r="Q1071" s="13">
        <f>ROUNDUP(O1071/'Methodology &amp; Assumptions'!$B$6, 0)</f>
        <v/>
      </c>
      <c r="R1071" s="13" t="n">
        <v>1</v>
      </c>
      <c r="S1071" s="14" t="n">
        <v>0.8100000000000001</v>
      </c>
      <c r="T1071" s="14" t="n">
        <v>0.46</v>
      </c>
      <c r="U1071" s="26">
        <f>IF(X1071&gt;='Methodology &amp; Assumptions'!$B$7, "Tier 1 Critical GIDA (Score ≥ 50.0)", IF(X1071&gt;='Methodology &amp; Assumptions'!$B$8, "Tier 2 High GIDA (Score 40.0–49.9)", "Tier 3 Moderate GIDA (Score &lt; 40.0)"))</f>
        <v/>
      </c>
      <c r="V1071" s="26">
        <f>IF(S1071&lt;='Methodology &amp; Assumptions'!$B$10, "Direct Optical Drop (&lt;3km)", IF(S1071&lt;='Methodology &amp; Assumptions'!$B$9, "Near Optical / Microwave (&lt;5km)", "Starlink Business LEO Satellite Backhaul (&gt;5km)"))</f>
        <v/>
      </c>
      <c r="W1071" s="28" t="n">
        <v>0.109</v>
      </c>
      <c r="X1071" s="14" t="n">
        <v>44.3</v>
      </c>
      <c r="Y1071" s="14">
        <f>ROUND(MIN(100, (X1071/69.91)*100), 2)</f>
        <v/>
      </c>
    </row>
    <row r="1072">
      <c r="A1072" s="10" t="n">
        <v>5</v>
      </c>
      <c r="B1072" s="10" t="n">
        <v>68</v>
      </c>
      <c r="C1072" s="10" t="n">
        <v>4068</v>
      </c>
      <c r="D1072" s="10" t="inlineStr">
        <is>
          <t>PH0004068</t>
        </is>
      </c>
      <c r="E1072" s="26" t="inlineStr">
        <is>
          <t>IV-B</t>
        </is>
      </c>
      <c r="F1072" s="26" t="inlineStr">
        <is>
          <t>Palawan</t>
        </is>
      </c>
      <c r="G1072" s="26" t="inlineStr">
        <is>
          <t>Puerto Princesa City</t>
        </is>
      </c>
      <c r="H1072" s="26" t="inlineStr">
        <is>
          <t>Masipag (Pob.)</t>
        </is>
      </c>
      <c r="I1072" s="27" t="n">
        <v>9.883566</v>
      </c>
      <c r="J1072" s="27" t="n">
        <v>118.784021</v>
      </c>
      <c r="K1072" s="10" t="inlineStr">
        <is>
          <t>R</t>
        </is>
      </c>
      <c r="L1072" s="12" t="n">
        <v>2597</v>
      </c>
      <c r="M1072" s="14" t="n">
        <v>3.9</v>
      </c>
      <c r="N1072" s="12">
        <f>ROUND(L1072/M1072, 0)</f>
        <v/>
      </c>
      <c r="O1072" s="12">
        <f>ROUND(N1072*'Methodology &amp; Assumptions'!$B$5, 0)</f>
        <v/>
      </c>
      <c r="P1072" s="10" t="inlineStr">
        <is>
          <t>Single Carrier (Band n50, 100MHz TDD)</t>
        </is>
      </c>
      <c r="Q1072" s="13">
        <f>ROUNDUP(O1072/'Methodology &amp; Assumptions'!$B$6, 0)</f>
        <v/>
      </c>
      <c r="R1072" s="13" t="n">
        <v>1</v>
      </c>
      <c r="S1072" s="14" t="n">
        <v>7.14</v>
      </c>
      <c r="T1072" s="14" t="n">
        <v>5.76</v>
      </c>
      <c r="U1072" s="26">
        <f>IF(X1072&gt;='Methodology &amp; Assumptions'!$B$7, "Tier 1 Critical GIDA (Score ≥ 50.0)", IF(X1072&gt;='Methodology &amp; Assumptions'!$B$8, "Tier 2 High GIDA (Score 40.0–49.9)", "Tier 3 Moderate GIDA (Score &lt; 40.0)"))</f>
        <v/>
      </c>
      <c r="V1072" s="26">
        <f>IF(S1072&lt;='Methodology &amp; Assumptions'!$B$10, "Direct Optical Drop (&lt;3km)", IF(S1072&lt;='Methodology &amp; Assumptions'!$B$9, "Near Optical / Microwave (&lt;5km)", "Starlink Business LEO Satellite Backhaul (&gt;5km)"))</f>
        <v/>
      </c>
      <c r="W1072" s="28" t="n">
        <v>0.109</v>
      </c>
      <c r="X1072" s="14" t="n">
        <v>44.3</v>
      </c>
      <c r="Y1072" s="14">
        <f>ROUND(MIN(100, (X1072/69.91)*100), 2)</f>
        <v/>
      </c>
    </row>
    <row r="1073">
      <c r="A1073" s="10" t="n">
        <v>5</v>
      </c>
      <c r="B1073" s="10" t="n">
        <v>69</v>
      </c>
      <c r="C1073" s="10" t="n">
        <v>4069</v>
      </c>
      <c r="D1073" s="10" t="inlineStr">
        <is>
          <t>1908810007</t>
        </is>
      </c>
      <c r="E1073" s="26" t="inlineStr">
        <is>
          <t>Bangsamoro Autonomous Region In Muslim Mindanao (BARMM)</t>
        </is>
      </c>
      <c r="F1073" s="26" t="inlineStr">
        <is>
          <t>Maguindanao del Sur</t>
        </is>
      </c>
      <c r="G1073" s="26" t="inlineStr">
        <is>
          <t>Datu Unsay</t>
        </is>
      </c>
      <c r="H1073" s="26" t="inlineStr">
        <is>
          <t>Panangeti</t>
        </is>
      </c>
      <c r="I1073" s="27" t="n">
        <v>15.527815</v>
      </c>
      <c r="J1073" s="27" t="n">
        <v>122.590086</v>
      </c>
      <c r="K1073" s="10" t="inlineStr">
        <is>
          <t>R</t>
        </is>
      </c>
      <c r="L1073" s="12" t="n">
        <v>1076</v>
      </c>
      <c r="M1073" s="14" t="n">
        <v>4.7</v>
      </c>
      <c r="N1073" s="12">
        <f>ROUND(L1073/M1073, 0)</f>
        <v/>
      </c>
      <c r="O1073" s="12">
        <f>ROUND(N1073*'Methodology &amp; Assumptions'!$B$5, 0)</f>
        <v/>
      </c>
      <c r="P1073" s="10" t="inlineStr">
        <is>
          <t>Single Carrier (Band n50, 100MHz TDD)</t>
        </is>
      </c>
      <c r="Q1073" s="13">
        <f>ROUNDUP(O1073/'Methodology &amp; Assumptions'!$B$6, 0)</f>
        <v/>
      </c>
      <c r="R1073" s="13" t="n">
        <v>1</v>
      </c>
      <c r="S1073" s="14" t="n">
        <v>95.66</v>
      </c>
      <c r="T1073" s="14" t="n">
        <v>94.31</v>
      </c>
      <c r="U1073" s="26">
        <f>IF(X1073&gt;='Methodology &amp; Assumptions'!$B$7, "Tier 1 Critical GIDA (Score ≥ 50.0)", IF(X1073&gt;='Methodology &amp; Assumptions'!$B$8, "Tier 2 High GIDA (Score 40.0–49.9)", "Tier 3 Moderate GIDA (Score &lt; 40.0)"))</f>
        <v/>
      </c>
      <c r="V1073" s="26">
        <f>IF(S1073&lt;='Methodology &amp; Assumptions'!$B$10, "Direct Optical Drop (&lt;3km)", IF(S1073&lt;='Methodology &amp; Assumptions'!$B$9, "Near Optical / Microwave (&lt;5km)", "Starlink Business LEO Satellite Backhaul (&gt;5km)"))</f>
        <v/>
      </c>
      <c r="W1073" s="28" t="n">
        <v>0.11</v>
      </c>
      <c r="X1073" s="14" t="n">
        <v>44.3</v>
      </c>
      <c r="Y1073" s="14">
        <f>ROUND(MIN(100, (X1073/69.91)*100), 2)</f>
        <v/>
      </c>
    </row>
    <row r="1074">
      <c r="A1074" s="10" t="n">
        <v>5</v>
      </c>
      <c r="B1074" s="10" t="n">
        <v>70</v>
      </c>
      <c r="C1074" s="10" t="n">
        <v>4070</v>
      </c>
      <c r="D1074" s="10" t="inlineStr">
        <is>
          <t>PH0004070</t>
        </is>
      </c>
      <c r="E1074" s="26" t="inlineStr">
        <is>
          <t>I</t>
        </is>
      </c>
      <c r="F1074" s="26" t="inlineStr">
        <is>
          <t>Ilocos Norte</t>
        </is>
      </c>
      <c r="G1074" s="26" t="inlineStr">
        <is>
          <t>Laoag City</t>
        </is>
      </c>
      <c r="H1074" s="26" t="inlineStr">
        <is>
          <t>Bgy. No. 6, San Agustin (Pob.)</t>
        </is>
      </c>
      <c r="I1074" s="27" t="n">
        <v>18.198617</v>
      </c>
      <c r="J1074" s="27" t="n">
        <v>120.551673</v>
      </c>
      <c r="K1074" s="10" t="inlineStr">
        <is>
          <t>R</t>
        </is>
      </c>
      <c r="L1074" s="12" t="n">
        <v>2233</v>
      </c>
      <c r="M1074" s="14" t="n">
        <v>3.7</v>
      </c>
      <c r="N1074" s="12">
        <f>ROUND(L1074/M1074, 0)</f>
        <v/>
      </c>
      <c r="O1074" s="12">
        <f>ROUND(N1074*'Methodology &amp; Assumptions'!$B$5, 0)</f>
        <v/>
      </c>
      <c r="P1074" s="10" t="inlineStr">
        <is>
          <t>Single Carrier (Band n50, 100MHz TDD)</t>
        </is>
      </c>
      <c r="Q1074" s="13">
        <f>ROUNDUP(O1074/'Methodology &amp; Assumptions'!$B$6, 0)</f>
        <v/>
      </c>
      <c r="R1074" s="13" t="n">
        <v>1</v>
      </c>
      <c r="S1074" s="14" t="n">
        <v>3.68</v>
      </c>
      <c r="T1074" s="14" t="n">
        <v>3.64</v>
      </c>
      <c r="U1074" s="26">
        <f>IF(X1074&gt;='Methodology &amp; Assumptions'!$B$7, "Tier 1 Critical GIDA (Score ≥ 50.0)", IF(X1074&gt;='Methodology &amp; Assumptions'!$B$8, "Tier 2 High GIDA (Score 40.0–49.9)", "Tier 3 Moderate GIDA (Score &lt; 40.0)"))</f>
        <v/>
      </c>
      <c r="V1074" s="26">
        <f>IF(S1074&lt;='Methodology &amp; Assumptions'!$B$10, "Direct Optical Drop (&lt;3km)", IF(S1074&lt;='Methodology &amp; Assumptions'!$B$9, "Near Optical / Microwave (&lt;5km)", "Starlink Business LEO Satellite Backhaul (&gt;5km)"))</f>
        <v/>
      </c>
      <c r="W1074" s="28" t="n">
        <v>0.083</v>
      </c>
      <c r="X1074" s="14" t="n">
        <v>44.3</v>
      </c>
      <c r="Y1074" s="14">
        <f>ROUND(MIN(100, (X1074/69.91)*100), 2)</f>
        <v/>
      </c>
    </row>
    <row r="1075">
      <c r="A1075" s="10" t="n">
        <v>5</v>
      </c>
      <c r="B1075" s="10" t="n">
        <v>71</v>
      </c>
      <c r="C1075" s="10" t="n">
        <v>4071</v>
      </c>
      <c r="D1075" s="10" t="inlineStr">
        <is>
          <t>PH0004071</t>
        </is>
      </c>
      <c r="E1075" s="26" t="inlineStr">
        <is>
          <t>XI</t>
        </is>
      </c>
      <c r="F1075" s="26" t="inlineStr">
        <is>
          <t>Davao Del Sur</t>
        </is>
      </c>
      <c r="G1075" s="26" t="inlineStr">
        <is>
          <t>Davao City</t>
        </is>
      </c>
      <c r="H1075" s="26" t="inlineStr">
        <is>
          <t>Barangay 13-B (Pob.)</t>
        </is>
      </c>
      <c r="I1075" s="27" t="n">
        <v>7.199346</v>
      </c>
      <c r="J1075" s="27" t="n">
        <v>125.440832</v>
      </c>
      <c r="K1075" s="10" t="inlineStr">
        <is>
          <t>R</t>
        </is>
      </c>
      <c r="L1075" s="12" t="n">
        <v>2280</v>
      </c>
      <c r="M1075" s="14" t="n">
        <v>3.4</v>
      </c>
      <c r="N1075" s="12">
        <f>ROUND(L1075/M1075, 0)</f>
        <v/>
      </c>
      <c r="O1075" s="12">
        <f>ROUND(N1075*'Methodology &amp; Assumptions'!$B$5, 0)</f>
        <v/>
      </c>
      <c r="P1075" s="10" t="inlineStr">
        <is>
          <t>Single Carrier (Band n50, 100MHz TDD)</t>
        </is>
      </c>
      <c r="Q1075" s="13">
        <f>ROUNDUP(O1075/'Methodology &amp; Assumptions'!$B$6, 0)</f>
        <v/>
      </c>
      <c r="R1075" s="13" t="n">
        <v>1</v>
      </c>
      <c r="S1075" s="14" t="n">
        <v>2.14</v>
      </c>
      <c r="T1075" s="14" t="n">
        <v>0.64</v>
      </c>
      <c r="U1075" s="26">
        <f>IF(X1075&gt;='Methodology &amp; Assumptions'!$B$7, "Tier 1 Critical GIDA (Score ≥ 50.0)", IF(X1075&gt;='Methodology &amp; Assumptions'!$B$8, "Tier 2 High GIDA (Score 40.0–49.9)", "Tier 3 Moderate GIDA (Score &lt; 40.0)"))</f>
        <v/>
      </c>
      <c r="V1075" s="26">
        <f>IF(S1075&lt;='Methodology &amp; Assumptions'!$B$10, "Direct Optical Drop (&lt;3km)", IF(S1075&lt;='Methodology &amp; Assumptions'!$B$9, "Near Optical / Microwave (&lt;5km)", "Starlink Business LEO Satellite Backhaul (&gt;5km)"))</f>
        <v/>
      </c>
      <c r="W1075" s="28" t="n">
        <v>0.119</v>
      </c>
      <c r="X1075" s="14" t="n">
        <v>44.29</v>
      </c>
      <c r="Y1075" s="14">
        <f>ROUND(MIN(100, (X1075/69.91)*100), 2)</f>
        <v/>
      </c>
    </row>
    <row r="1076">
      <c r="A1076" s="10" t="n">
        <v>5</v>
      </c>
      <c r="B1076" s="10" t="n">
        <v>72</v>
      </c>
      <c r="C1076" s="10" t="n">
        <v>4072</v>
      </c>
      <c r="D1076" s="10" t="inlineStr">
        <is>
          <t>0200905001</t>
        </is>
      </c>
      <c r="E1076" s="26" t="inlineStr">
        <is>
          <t>Region II (Cagayan Valley)</t>
        </is>
      </c>
      <c r="F1076" s="26" t="inlineStr">
        <is>
          <t>Batanes</t>
        </is>
      </c>
      <c r="G1076" s="26" t="inlineStr">
        <is>
          <t>Sabtang</t>
        </is>
      </c>
      <c r="H1076" s="26" t="inlineStr">
        <is>
          <t>Chavayan</t>
        </is>
      </c>
      <c r="I1076" s="27" t="n">
        <v>20.283895</v>
      </c>
      <c r="J1076" s="27" t="n">
        <v>121.870412</v>
      </c>
      <c r="K1076" s="10" t="inlineStr">
        <is>
          <t>R</t>
        </is>
      </c>
      <c r="L1076" s="12" t="n">
        <v>162</v>
      </c>
      <c r="M1076" s="14" t="n">
        <v>3</v>
      </c>
      <c r="N1076" s="12">
        <f>ROUND(L1076/M1076, 0)</f>
        <v/>
      </c>
      <c r="O1076" s="12">
        <f>ROUND(N1076*'Methodology &amp; Assumptions'!$B$5, 0)</f>
        <v/>
      </c>
      <c r="P1076" s="10" t="inlineStr">
        <is>
          <t>Single Carrier (Band n50, 100MHz TDD)</t>
        </is>
      </c>
      <c r="Q1076" s="13">
        <f>ROUNDUP(O1076/'Methodology &amp; Assumptions'!$B$6, 0)</f>
        <v/>
      </c>
      <c r="R1076" s="13" t="n">
        <v>1</v>
      </c>
      <c r="S1076" s="14" t="n">
        <v>203.07</v>
      </c>
      <c r="T1076" s="14" t="n">
        <v>200.1</v>
      </c>
      <c r="U1076" s="26">
        <f>IF(X1076&gt;='Methodology &amp; Assumptions'!$B$7, "Tier 1 Critical GIDA (Score ≥ 50.0)", IF(X1076&gt;='Methodology &amp; Assumptions'!$B$8, "Tier 2 High GIDA (Score 40.0–49.9)", "Tier 3 Moderate GIDA (Score &lt; 40.0)"))</f>
        <v/>
      </c>
      <c r="V1076" s="26">
        <f>IF(S1076&lt;='Methodology &amp; Assumptions'!$B$10, "Direct Optical Drop (&lt;3km)", IF(S1076&lt;='Methodology &amp; Assumptions'!$B$9, "Near Optical / Microwave (&lt;5km)", "Starlink Business LEO Satellite Backhaul (&gt;5km)"))</f>
        <v/>
      </c>
      <c r="W1076" s="28" t="n">
        <v>0.083</v>
      </c>
      <c r="X1076" s="14" t="n">
        <v>44.29</v>
      </c>
      <c r="Y1076" s="14">
        <f>ROUND(MIN(100, (X1076/69.91)*100), 2)</f>
        <v/>
      </c>
    </row>
    <row r="1077">
      <c r="A1077" s="10" t="n">
        <v>5</v>
      </c>
      <c r="B1077" s="10" t="n">
        <v>73</v>
      </c>
      <c r="C1077" s="10" t="n">
        <v>4073</v>
      </c>
      <c r="D1077" s="10" t="inlineStr">
        <is>
          <t>PH0004073</t>
        </is>
      </c>
      <c r="E1077" s="26" t="inlineStr">
        <is>
          <t>NCR</t>
        </is>
      </c>
      <c r="F1077" s="26" t="inlineStr">
        <is>
          <t>Metro Manila</t>
        </is>
      </c>
      <c r="G1077" s="26" t="inlineStr">
        <is>
          <t>Taguig City</t>
        </is>
      </c>
      <c r="H1077" s="26" t="inlineStr">
        <is>
          <t>Lower Bicutan</t>
        </is>
      </c>
      <c r="I1077" s="27" t="n">
        <v>14.4992</v>
      </c>
      <c r="J1077" s="27" t="n">
        <v>121.060539</v>
      </c>
      <c r="K1077" s="10" t="inlineStr">
        <is>
          <t>R</t>
        </is>
      </c>
      <c r="L1077" s="12" t="n">
        <v>2279</v>
      </c>
      <c r="M1077" s="14" t="n">
        <v>3.8</v>
      </c>
      <c r="N1077" s="12">
        <f>ROUND(L1077/M1077, 0)</f>
        <v/>
      </c>
      <c r="O1077" s="12">
        <f>ROUND(N1077*'Methodology &amp; Assumptions'!$B$5, 0)</f>
        <v/>
      </c>
      <c r="P1077" s="10" t="inlineStr">
        <is>
          <t>Single Carrier (Band n50, 100MHz TDD)</t>
        </is>
      </c>
      <c r="Q1077" s="13">
        <f>ROUNDUP(O1077/'Methodology &amp; Assumptions'!$B$6, 0)</f>
        <v/>
      </c>
      <c r="R1077" s="13" t="n">
        <v>1</v>
      </c>
      <c r="S1077" s="14" t="n">
        <v>0.87</v>
      </c>
      <c r="T1077" s="14" t="n">
        <v>0.32</v>
      </c>
      <c r="U1077" s="26">
        <f>IF(X1077&gt;='Methodology &amp; Assumptions'!$B$7, "Tier 1 Critical GIDA (Score ≥ 50.0)", IF(X1077&gt;='Methodology &amp; Assumptions'!$B$8, "Tier 2 High GIDA (Score 40.0–49.9)", "Tier 3 Moderate GIDA (Score &lt; 40.0)"))</f>
        <v/>
      </c>
      <c r="V1077" s="26">
        <f>IF(S1077&lt;='Methodology &amp; Assumptions'!$B$10, "Direct Optical Drop (&lt;3km)", IF(S1077&lt;='Methodology &amp; Assumptions'!$B$9, "Near Optical / Microwave (&lt;5km)", "Starlink Business LEO Satellite Backhaul (&gt;5km)"))</f>
        <v/>
      </c>
      <c r="W1077" s="28" t="n">
        <v>0.011</v>
      </c>
      <c r="X1077" s="14" t="n">
        <v>44.29</v>
      </c>
      <c r="Y1077" s="14">
        <f>ROUND(MIN(100, (X1077/69.91)*100), 2)</f>
        <v/>
      </c>
    </row>
    <row r="1078">
      <c r="A1078" s="10" t="n">
        <v>5</v>
      </c>
      <c r="B1078" s="10" t="n">
        <v>74</v>
      </c>
      <c r="C1078" s="10" t="n">
        <v>4074</v>
      </c>
      <c r="D1078" s="10" t="inlineStr">
        <is>
          <t>1907003008</t>
        </is>
      </c>
      <c r="E1078" s="26" t="inlineStr">
        <is>
          <t>Bangsamoro Autonomous Region In Muslim Mindanao (BARMM)</t>
        </is>
      </c>
      <c r="F1078" s="26" t="inlineStr">
        <is>
          <t>Tawi-Tawi</t>
        </is>
      </c>
      <c r="G1078" s="26" t="inlineStr">
        <is>
          <t>Mapun</t>
        </is>
      </c>
      <c r="H1078" s="26" t="inlineStr">
        <is>
          <t>Sikub</t>
        </is>
      </c>
      <c r="I1078" s="27" t="n">
        <v>17.255758</v>
      </c>
      <c r="J1078" s="27" t="n">
        <v>122.229802</v>
      </c>
      <c r="K1078" s="10" t="inlineStr">
        <is>
          <t>R</t>
        </is>
      </c>
      <c r="L1078" s="12" t="n">
        <v>1690</v>
      </c>
      <c r="M1078" s="14" t="n">
        <v>5.8</v>
      </c>
      <c r="N1078" s="12">
        <f>ROUND(L1078/M1078, 0)</f>
        <v/>
      </c>
      <c r="O1078" s="12">
        <f>ROUND(N1078*'Methodology &amp; Assumptions'!$B$5, 0)</f>
        <v/>
      </c>
      <c r="P1078" s="10" t="inlineStr">
        <is>
          <t>Single Carrier (Band n50, 100MHz TDD)</t>
        </is>
      </c>
      <c r="Q1078" s="13">
        <f>ROUNDUP(O1078/'Methodology &amp; Assumptions'!$B$6, 0)</f>
        <v/>
      </c>
      <c r="R1078" s="13" t="n">
        <v>1</v>
      </c>
      <c r="S1078" s="14" t="n">
        <v>29.55</v>
      </c>
      <c r="T1078" s="14" t="n">
        <v>34.42</v>
      </c>
      <c r="U1078" s="26">
        <f>IF(X1078&gt;='Methodology &amp; Assumptions'!$B$7, "Tier 1 Critical GIDA (Score ≥ 50.0)", IF(X1078&gt;='Methodology &amp; Assumptions'!$B$8, "Tier 2 High GIDA (Score 40.0–49.9)", "Tier 3 Moderate GIDA (Score &lt; 40.0)"))</f>
        <v/>
      </c>
      <c r="V1078" s="26">
        <f>IF(S1078&lt;='Methodology &amp; Assumptions'!$B$10, "Direct Optical Drop (&lt;3km)", IF(S1078&lt;='Methodology &amp; Assumptions'!$B$9, "Near Optical / Microwave (&lt;5km)", "Starlink Business LEO Satellite Backhaul (&gt;5km)"))</f>
        <v/>
      </c>
      <c r="W1078" s="28" t="n">
        <v>0.11</v>
      </c>
      <c r="X1078" s="14" t="n">
        <v>44.28</v>
      </c>
      <c r="Y1078" s="14">
        <f>ROUND(MIN(100, (X1078/69.91)*100), 2)</f>
        <v/>
      </c>
    </row>
    <row r="1079">
      <c r="A1079" s="10" t="n">
        <v>5</v>
      </c>
      <c r="B1079" s="10" t="n">
        <v>75</v>
      </c>
      <c r="C1079" s="10" t="n">
        <v>4075</v>
      </c>
      <c r="D1079" s="10" t="inlineStr">
        <is>
          <t>0402106075</t>
        </is>
      </c>
      <c r="E1079" s="26" t="inlineStr">
        <is>
          <t>Region IV-A (CALABARZON)</t>
        </is>
      </c>
      <c r="F1079" s="26" t="inlineStr">
        <is>
          <t>Cavite</t>
        </is>
      </c>
      <c r="G1079" s="26" t="inlineStr">
        <is>
          <t>City of Dasmariñas</t>
        </is>
      </c>
      <c r="H1079" s="26" t="inlineStr">
        <is>
          <t>San Nicolas II</t>
        </is>
      </c>
      <c r="I1079" s="27" t="n">
        <v>14.338742</v>
      </c>
      <c r="J1079" s="27" t="n">
        <v>120.920936</v>
      </c>
      <c r="K1079" s="10" t="inlineStr">
        <is>
          <t>R</t>
        </is>
      </c>
      <c r="L1079" s="12" t="n">
        <v>4817</v>
      </c>
      <c r="M1079" s="14" t="n">
        <v>3.4</v>
      </c>
      <c r="N1079" s="12">
        <f>ROUND(L1079/M1079, 0)</f>
        <v/>
      </c>
      <c r="O1079" s="12">
        <f>ROUND(N1079*'Methodology &amp; Assumptions'!$B$5, 0)</f>
        <v/>
      </c>
      <c r="P1079" s="10" t="inlineStr">
        <is>
          <t>Single Carrier (Band n50, 100MHz TDD)</t>
        </is>
      </c>
      <c r="Q1079" s="13">
        <f>ROUNDUP(O1079/'Methodology &amp; Assumptions'!$B$6, 0)</f>
        <v/>
      </c>
      <c r="R1079" s="13" t="n">
        <v>1</v>
      </c>
      <c r="S1079" s="14" t="n">
        <v>2.4</v>
      </c>
      <c r="T1079" s="14" t="n">
        <v>5.09</v>
      </c>
      <c r="U1079" s="26">
        <f>IF(X1079&gt;='Methodology &amp; Assumptions'!$B$7, "Tier 1 Critical GIDA (Score ≥ 50.0)", IF(X1079&gt;='Methodology &amp; Assumptions'!$B$8, "Tier 2 High GIDA (Score 40.0–49.9)", "Tier 3 Moderate GIDA (Score &lt; 40.0)"))</f>
        <v/>
      </c>
      <c r="V1079" s="26">
        <f>IF(S1079&lt;='Methodology &amp; Assumptions'!$B$10, "Direct Optical Drop (&lt;3km)", IF(S1079&lt;='Methodology &amp; Assumptions'!$B$9, "Near Optical / Microwave (&lt;5km)", "Starlink Business LEO Satellite Backhaul (&gt;5km)"))</f>
        <v/>
      </c>
      <c r="W1079" s="28" t="n">
        <v>0.07200000000000001</v>
      </c>
      <c r="X1079" s="14" t="n">
        <v>44.28</v>
      </c>
      <c r="Y1079" s="14">
        <f>ROUND(MIN(100, (X1079/69.91)*100), 2)</f>
        <v/>
      </c>
    </row>
    <row r="1080">
      <c r="A1080" s="10" t="n">
        <v>5</v>
      </c>
      <c r="B1080" s="10" t="n">
        <v>76</v>
      </c>
      <c r="C1080" s="10" t="n">
        <v>4076</v>
      </c>
      <c r="D1080" s="10" t="inlineStr">
        <is>
          <t>1903639003</t>
        </is>
      </c>
      <c r="E1080" s="26" t="inlineStr">
        <is>
          <t>Bangsamoro Autonomous Region In Muslim Mindanao (BARMM)</t>
        </is>
      </c>
      <c r="F1080" s="26" t="inlineStr">
        <is>
          <t>Lanao del Sur</t>
        </is>
      </c>
      <c r="G1080" s="26" t="inlineStr">
        <is>
          <t>Kapatagan</t>
        </is>
      </c>
      <c r="H1080" s="26" t="inlineStr">
        <is>
          <t>Bongabong</t>
        </is>
      </c>
      <c r="I1080" s="27" t="n">
        <v>17.254579</v>
      </c>
      <c r="J1080" s="27" t="n">
        <v>122.228623</v>
      </c>
      <c r="K1080" s="10" t="inlineStr">
        <is>
          <t>R</t>
        </is>
      </c>
      <c r="L1080" s="12" t="n">
        <v>1520</v>
      </c>
      <c r="M1080" s="14" t="n">
        <v>5.7</v>
      </c>
      <c r="N1080" s="12">
        <f>ROUND(L1080/M1080, 0)</f>
        <v/>
      </c>
      <c r="O1080" s="12">
        <f>ROUND(N1080*'Methodology &amp; Assumptions'!$B$5, 0)</f>
        <v/>
      </c>
      <c r="P1080" s="10" t="inlineStr">
        <is>
          <t>Single Carrier (Band n50, 100MHz TDD)</t>
        </is>
      </c>
      <c r="Q1080" s="13">
        <f>ROUNDUP(O1080/'Methodology &amp; Assumptions'!$B$6, 0)</f>
        <v/>
      </c>
      <c r="R1080" s="13" t="n">
        <v>1</v>
      </c>
      <c r="S1080" s="14" t="n">
        <v>29.37</v>
      </c>
      <c r="T1080" s="14" t="n">
        <v>34.26</v>
      </c>
      <c r="U1080" s="26">
        <f>IF(X1080&gt;='Methodology &amp; Assumptions'!$B$7, "Tier 1 Critical GIDA (Score ≥ 50.0)", IF(X1080&gt;='Methodology &amp; Assumptions'!$B$8, "Tier 2 High GIDA (Score 40.0–49.9)", "Tier 3 Moderate GIDA (Score &lt; 40.0)"))</f>
        <v/>
      </c>
      <c r="V1080" s="26">
        <f>IF(S1080&lt;='Methodology &amp; Assumptions'!$B$10, "Direct Optical Drop (&lt;3km)", IF(S1080&lt;='Methodology &amp; Assumptions'!$B$9, "Near Optical / Microwave (&lt;5km)", "Starlink Business LEO Satellite Backhaul (&gt;5km)"))</f>
        <v/>
      </c>
      <c r="W1080" s="28" t="n">
        <v>0.11</v>
      </c>
      <c r="X1080" s="14" t="n">
        <v>44.28</v>
      </c>
      <c r="Y1080" s="14">
        <f>ROUND(MIN(100, (X1080/69.91)*100), 2)</f>
        <v/>
      </c>
    </row>
    <row r="1081">
      <c r="A1081" s="10" t="n">
        <v>5</v>
      </c>
      <c r="B1081" s="10" t="n">
        <v>77</v>
      </c>
      <c r="C1081" s="10" t="n">
        <v>4077</v>
      </c>
      <c r="D1081" s="10" t="inlineStr">
        <is>
          <t>PH0004077</t>
        </is>
      </c>
      <c r="E1081" s="26" t="inlineStr">
        <is>
          <t>VII</t>
        </is>
      </c>
      <c r="F1081" s="26" t="inlineStr">
        <is>
          <t>Cebu</t>
        </is>
      </c>
      <c r="G1081" s="26" t="inlineStr">
        <is>
          <t>Cebu City</t>
        </is>
      </c>
      <c r="H1081" s="26" t="inlineStr">
        <is>
          <t>Pari-an</t>
        </is>
      </c>
      <c r="I1081" s="27" t="n">
        <v>10.329931</v>
      </c>
      <c r="J1081" s="27" t="n">
        <v>123.883667</v>
      </c>
      <c r="K1081" s="10" t="inlineStr">
        <is>
          <t>R</t>
        </is>
      </c>
      <c r="L1081" s="12" t="n">
        <v>2250</v>
      </c>
      <c r="M1081" s="14" t="n">
        <v>3.8</v>
      </c>
      <c r="N1081" s="12">
        <f>ROUND(L1081/M1081, 0)</f>
        <v/>
      </c>
      <c r="O1081" s="12">
        <f>ROUND(N1081*'Methodology &amp; Assumptions'!$B$5, 0)</f>
        <v/>
      </c>
      <c r="P1081" s="10" t="inlineStr">
        <is>
          <t>Single Carrier (Band n50, 100MHz TDD)</t>
        </is>
      </c>
      <c r="Q1081" s="13">
        <f>ROUNDUP(O1081/'Methodology &amp; Assumptions'!$B$6, 0)</f>
        <v/>
      </c>
      <c r="R1081" s="13" t="n">
        <v>1</v>
      </c>
      <c r="S1081" s="14" t="n">
        <v>1.45</v>
      </c>
      <c r="T1081" s="14" t="n">
        <v>2.76</v>
      </c>
      <c r="U1081" s="26">
        <f>IF(X1081&gt;='Methodology &amp; Assumptions'!$B$7, "Tier 1 Critical GIDA (Score ≥ 50.0)", IF(X1081&gt;='Methodology &amp; Assumptions'!$B$8, "Tier 2 High GIDA (Score 40.0–49.9)", "Tier 3 Moderate GIDA (Score &lt; 40.0)"))</f>
        <v/>
      </c>
      <c r="V1081" s="26">
        <f>IF(S1081&lt;='Methodology &amp; Assumptions'!$B$10, "Direct Optical Drop (&lt;3km)", IF(S1081&lt;='Methodology &amp; Assumptions'!$B$9, "Near Optical / Microwave (&lt;5km)", "Starlink Business LEO Satellite Backhaul (&gt;5km)"))</f>
        <v/>
      </c>
      <c r="W1081" s="28" t="n">
        <v>0.21</v>
      </c>
      <c r="X1081" s="14" t="n">
        <v>44.27</v>
      </c>
      <c r="Y1081" s="14">
        <f>ROUND(MIN(100, (X1081/69.91)*100), 2)</f>
        <v/>
      </c>
    </row>
    <row r="1082">
      <c r="A1082" s="10" t="n">
        <v>5</v>
      </c>
      <c r="B1082" s="10" t="n">
        <v>78</v>
      </c>
      <c r="C1082" s="10" t="n">
        <v>4078</v>
      </c>
      <c r="D1082" s="10" t="inlineStr">
        <is>
          <t>0600601010</t>
        </is>
      </c>
      <c r="E1082" s="26" t="inlineStr">
        <is>
          <t>Region VI (Western Visayas)</t>
        </is>
      </c>
      <c r="F1082" s="26" t="inlineStr">
        <is>
          <t>Antique</t>
        </is>
      </c>
      <c r="G1082" s="26" t="inlineStr">
        <is>
          <t>Anini-Y</t>
        </is>
      </c>
      <c r="H1082" s="26" t="inlineStr">
        <is>
          <t>Igtumarom</t>
        </is>
      </c>
      <c r="I1082" s="27" t="n">
        <v>10.454051</v>
      </c>
      <c r="J1082" s="27" t="n">
        <v>121.958347</v>
      </c>
      <c r="K1082" s="10" t="inlineStr">
        <is>
          <t>R</t>
        </is>
      </c>
      <c r="L1082" s="12" t="n">
        <v>470</v>
      </c>
      <c r="M1082" s="14" t="n">
        <v>3.9</v>
      </c>
      <c r="N1082" s="12">
        <f>ROUND(L1082/M1082, 0)</f>
        <v/>
      </c>
      <c r="O1082" s="12">
        <f>ROUND(N1082*'Methodology &amp; Assumptions'!$B$5, 0)</f>
        <v/>
      </c>
      <c r="P1082" s="10" t="inlineStr">
        <is>
          <t>Single Carrier (Band n50, 100MHz TDD)</t>
        </is>
      </c>
      <c r="Q1082" s="13">
        <f>ROUNDUP(O1082/'Methodology &amp; Assumptions'!$B$6, 0)</f>
        <v/>
      </c>
      <c r="R1082" s="13" t="n">
        <v>1</v>
      </c>
      <c r="S1082" s="14" t="n">
        <v>34.35</v>
      </c>
      <c r="T1082" s="14" t="n">
        <v>15.37</v>
      </c>
      <c r="U1082" s="26">
        <f>IF(X1082&gt;='Methodology &amp; Assumptions'!$B$7, "Tier 1 Critical GIDA (Score ≥ 50.0)", IF(X1082&gt;='Methodology &amp; Assumptions'!$B$8, "Tier 2 High GIDA (Score 40.0–49.9)", "Tier 3 Moderate GIDA (Score &lt; 40.0)"))</f>
        <v/>
      </c>
      <c r="V1082" s="26">
        <f>IF(S1082&lt;='Methodology &amp; Assumptions'!$B$10, "Direct Optical Drop (&lt;3km)", IF(S1082&lt;='Methodology &amp; Assumptions'!$B$9, "Near Optical / Microwave (&lt;5km)", "Starlink Business LEO Satellite Backhaul (&gt;5km)"))</f>
        <v/>
      </c>
      <c r="W1082" s="28" t="n">
        <v>0.237</v>
      </c>
      <c r="X1082" s="14" t="n">
        <v>44.27</v>
      </c>
      <c r="Y1082" s="14">
        <f>ROUND(MIN(100, (X1082/69.91)*100), 2)</f>
        <v/>
      </c>
    </row>
    <row r="1083">
      <c r="A1083" s="10" t="n">
        <v>5</v>
      </c>
      <c r="B1083" s="10" t="n">
        <v>79</v>
      </c>
      <c r="C1083" s="10" t="n">
        <v>4079</v>
      </c>
      <c r="D1083" s="10" t="inlineStr">
        <is>
          <t>PH0004079</t>
        </is>
      </c>
      <c r="E1083" s="26" t="inlineStr">
        <is>
          <t>VIII</t>
        </is>
      </c>
      <c r="F1083" s="26" t="inlineStr">
        <is>
          <t>Samar (Western Samar)</t>
        </is>
      </c>
      <c r="G1083" s="26" t="inlineStr">
        <is>
          <t>Catbalogan City</t>
        </is>
      </c>
      <c r="H1083" s="26" t="inlineStr">
        <is>
          <t>Poblacion 10</t>
        </is>
      </c>
      <c r="I1083" s="27" t="n">
        <v>12.862557</v>
      </c>
      <c r="J1083" s="27" t="n">
        <v>121.763847</v>
      </c>
      <c r="K1083" s="10" t="inlineStr">
        <is>
          <t>R</t>
        </is>
      </c>
      <c r="L1083" s="12" t="n">
        <v>2229</v>
      </c>
      <c r="M1083" s="14" t="n">
        <v>4.1</v>
      </c>
      <c r="N1083" s="12">
        <f>ROUND(L1083/M1083, 0)</f>
        <v/>
      </c>
      <c r="O1083" s="12">
        <f>ROUND(N1083*'Methodology &amp; Assumptions'!$B$5, 0)</f>
        <v/>
      </c>
      <c r="P1083" s="10" t="inlineStr">
        <is>
          <t>Single Carrier (Band n50, 100MHz TDD)</t>
        </is>
      </c>
      <c r="Q1083" s="13">
        <f>ROUNDUP(O1083/'Methodology &amp; Assumptions'!$B$6, 0)</f>
        <v/>
      </c>
      <c r="R1083" s="13" t="n">
        <v>1</v>
      </c>
      <c r="S1083" s="14" t="n">
        <v>32.75</v>
      </c>
      <c r="T1083" s="14" t="n">
        <v>32.14</v>
      </c>
      <c r="U1083" s="26">
        <f>IF(X1083&gt;='Methodology &amp; Assumptions'!$B$7, "Tier 1 Critical GIDA (Score ≥ 50.0)", IF(X1083&gt;='Methodology &amp; Assumptions'!$B$8, "Tier 2 High GIDA (Score 40.0–49.9)", "Tier 3 Moderate GIDA (Score &lt; 40.0)"))</f>
        <v/>
      </c>
      <c r="V1083" s="26">
        <f>IF(S1083&lt;='Methodology &amp; Assumptions'!$B$10, "Direct Optical Drop (&lt;3km)", IF(S1083&lt;='Methodology &amp; Assumptions'!$B$9, "Near Optical / Microwave (&lt;5km)", "Starlink Business LEO Satellite Backhaul (&gt;5km)"))</f>
        <v/>
      </c>
      <c r="W1083" s="28" t="n">
        <v>0.222</v>
      </c>
      <c r="X1083" s="14" t="n">
        <v>44.25</v>
      </c>
      <c r="Y1083" s="14">
        <f>ROUND(MIN(100, (X1083/69.91)*100), 2)</f>
        <v/>
      </c>
    </row>
    <row r="1084">
      <c r="A1084" s="10" t="n">
        <v>5</v>
      </c>
      <c r="B1084" s="10" t="n">
        <v>80</v>
      </c>
      <c r="C1084" s="10" t="n">
        <v>4080</v>
      </c>
      <c r="D1084" s="10" t="inlineStr">
        <is>
          <t>1380700014</t>
        </is>
      </c>
      <c r="E1084" s="26" t="inlineStr">
        <is>
          <t>National Capital Region (NCR)</t>
        </is>
      </c>
      <c r="F1084" s="26" t="inlineStr">
        <is>
          <t>Second District (Not a Province)</t>
        </is>
      </c>
      <c r="G1084" s="26" t="inlineStr">
        <is>
          <t>City of Marikina</t>
        </is>
      </c>
      <c r="H1084" s="26" t="inlineStr">
        <is>
          <t>Industrial Valley</t>
        </is>
      </c>
      <c r="I1084" s="27" t="n">
        <v>14.621645</v>
      </c>
      <c r="J1084" s="27" t="n">
        <v>121.080365</v>
      </c>
      <c r="K1084" s="10" t="inlineStr">
        <is>
          <t>U</t>
        </is>
      </c>
      <c r="L1084" s="12" t="n">
        <v>17012</v>
      </c>
      <c r="M1084" s="14" t="n">
        <v>4</v>
      </c>
      <c r="N1084" s="12">
        <f>ROUND(L1084/M1084, 0)</f>
        <v/>
      </c>
      <c r="O1084" s="12">
        <f>ROUND(N1084*'Methodology &amp; Assumptions'!$B$5, 0)</f>
        <v/>
      </c>
      <c r="P1084" s="10" t="inlineStr">
        <is>
          <t>Single Carrier (Band n50, 100MHz TDD)</t>
        </is>
      </c>
      <c r="Q1084" s="13">
        <f>ROUNDUP(O1084/'Methodology &amp; Assumptions'!$B$6, 0)</f>
        <v/>
      </c>
      <c r="R1084" s="13" t="n">
        <v>1</v>
      </c>
      <c r="S1084" s="14" t="n">
        <v>1.32</v>
      </c>
      <c r="T1084" s="14" t="n">
        <v>1.31</v>
      </c>
      <c r="U1084" s="26">
        <f>IF(X1084&gt;='Methodology &amp; Assumptions'!$B$7, "Tier 1 Critical GIDA (Score ≥ 50.0)", IF(X1084&gt;='Methodology &amp; Assumptions'!$B$8, "Tier 2 High GIDA (Score 40.0–49.9)", "Tier 3 Moderate GIDA (Score &lt; 40.0)"))</f>
        <v/>
      </c>
      <c r="V1084" s="26">
        <f>IF(S1084&lt;='Methodology &amp; Assumptions'!$B$10, "Direct Optical Drop (&lt;3km)", IF(S1084&lt;='Methodology &amp; Assumptions'!$B$9, "Near Optical / Microwave (&lt;5km)", "Starlink Business LEO Satellite Backhaul (&gt;5km)"))</f>
        <v/>
      </c>
      <c r="W1084" s="28" t="n">
        <v>0.109</v>
      </c>
      <c r="X1084" s="14" t="n">
        <v>44.23</v>
      </c>
      <c r="Y1084" s="14">
        <f>ROUND(MIN(100, (X1084/69.91)*100), 2)</f>
        <v/>
      </c>
    </row>
    <row r="1085">
      <c r="A1085" s="10" t="n">
        <v>5</v>
      </c>
      <c r="B1085" s="10" t="n">
        <v>81</v>
      </c>
      <c r="C1085" s="10" t="n">
        <v>4081</v>
      </c>
      <c r="D1085" s="10" t="inlineStr">
        <is>
          <t>0403428012</t>
        </is>
      </c>
      <c r="E1085" s="26" t="inlineStr">
        <is>
          <t>Region IV-A (CALABARZON)</t>
        </is>
      </c>
      <c r="F1085" s="26" t="inlineStr">
        <is>
          <t>Laguna</t>
        </is>
      </c>
      <c r="G1085" s="26" t="inlineStr">
        <is>
          <t>City of Santa Rosa</t>
        </is>
      </c>
      <c r="H1085" s="26" t="inlineStr">
        <is>
          <t>Market Area</t>
        </is>
      </c>
      <c r="I1085" s="27" t="n">
        <v>14.31508</v>
      </c>
      <c r="J1085" s="27" t="n">
        <v>121.11136</v>
      </c>
      <c r="K1085" s="10" t="inlineStr">
        <is>
          <t>U</t>
        </is>
      </c>
      <c r="L1085" s="12" t="n">
        <v>17557</v>
      </c>
      <c r="M1085" s="14" t="n">
        <v>3.3</v>
      </c>
      <c r="N1085" s="12">
        <f>ROUND(L1085/M1085, 0)</f>
        <v/>
      </c>
      <c r="O1085" s="12">
        <f>ROUND(N1085*'Methodology &amp; Assumptions'!$B$5, 0)</f>
        <v/>
      </c>
      <c r="P1085" s="10" t="inlineStr">
        <is>
          <t>Single Carrier (Band n50, 100MHz TDD)</t>
        </is>
      </c>
      <c r="Q1085" s="13">
        <f>ROUNDUP(O1085/'Methodology &amp; Assumptions'!$B$6, 0)</f>
        <v/>
      </c>
      <c r="R1085" s="13" t="n">
        <v>1</v>
      </c>
      <c r="S1085" s="14" t="n">
        <v>1.18</v>
      </c>
      <c r="T1085" s="14" t="n">
        <v>1.25</v>
      </c>
      <c r="U1085" s="26">
        <f>IF(X1085&gt;='Methodology &amp; Assumptions'!$B$7, "Tier 1 Critical GIDA (Score ≥ 50.0)", IF(X1085&gt;='Methodology &amp; Assumptions'!$B$8, "Tier 2 High GIDA (Score 40.0–49.9)", "Tier 3 Moderate GIDA (Score &lt; 40.0)"))</f>
        <v/>
      </c>
      <c r="V1085" s="26">
        <f>IF(S1085&lt;='Methodology &amp; Assumptions'!$B$10, "Direct Optical Drop (&lt;3km)", IF(S1085&lt;='Methodology &amp; Assumptions'!$B$9, "Near Optical / Microwave (&lt;5km)", "Starlink Business LEO Satellite Backhaul (&gt;5km)"))</f>
        <v/>
      </c>
      <c r="W1085" s="28" t="n">
        <v>0.07200000000000001</v>
      </c>
      <c r="X1085" s="14" t="n">
        <v>44.22</v>
      </c>
      <c r="Y1085" s="14">
        <f>ROUND(MIN(100, (X1085/69.91)*100), 2)</f>
        <v/>
      </c>
    </row>
    <row r="1086">
      <c r="A1086" s="10" t="n">
        <v>5</v>
      </c>
      <c r="B1086" s="10" t="n">
        <v>82</v>
      </c>
      <c r="C1086" s="10" t="n">
        <v>4082</v>
      </c>
      <c r="D1086" s="10" t="inlineStr">
        <is>
          <t>0403403012</t>
        </is>
      </c>
      <c r="E1086" s="26" t="inlineStr">
        <is>
          <t>Region IV-A (CALABARZON)</t>
        </is>
      </c>
      <c r="F1086" s="26" t="inlineStr">
        <is>
          <t>Laguna</t>
        </is>
      </c>
      <c r="G1086" s="26" t="inlineStr">
        <is>
          <t>City of Biñan</t>
        </is>
      </c>
      <c r="H1086" s="26" t="inlineStr">
        <is>
          <t>Malaban</t>
        </is>
      </c>
      <c r="I1086" s="27" t="n">
        <v>14.346077</v>
      </c>
      <c r="J1086" s="27" t="n">
        <v>121.088822</v>
      </c>
      <c r="K1086" s="10" t="inlineStr">
        <is>
          <t>U</t>
        </is>
      </c>
      <c r="L1086" s="12" t="n">
        <v>39450</v>
      </c>
      <c r="M1086" s="14" t="n">
        <v>3.3</v>
      </c>
      <c r="N1086" s="12">
        <f>ROUND(L1086/M1086, 0)</f>
        <v/>
      </c>
      <c r="O1086" s="12">
        <f>ROUND(N1086*'Methodology &amp; Assumptions'!$B$5, 0)</f>
        <v/>
      </c>
      <c r="P1086" s="10" t="inlineStr">
        <is>
          <t>Single Carrier (Band n50, 100MHz TDD)</t>
        </is>
      </c>
      <c r="Q1086" s="13">
        <f>ROUNDUP(O1086/'Methodology &amp; Assumptions'!$B$6, 0)</f>
        <v/>
      </c>
      <c r="R1086" s="13" t="n">
        <v>1</v>
      </c>
      <c r="S1086" s="14" t="n">
        <v>1.63</v>
      </c>
      <c r="T1086" s="14" t="n">
        <v>0.85</v>
      </c>
      <c r="U1086" s="26">
        <f>IF(X1086&gt;='Methodology &amp; Assumptions'!$B$7, "Tier 1 Critical GIDA (Score ≥ 50.0)", IF(X1086&gt;='Methodology &amp; Assumptions'!$B$8, "Tier 2 High GIDA (Score 40.0–49.9)", "Tier 3 Moderate GIDA (Score &lt; 40.0)"))</f>
        <v/>
      </c>
      <c r="V1086" s="26">
        <f>IF(S1086&lt;='Methodology &amp; Assumptions'!$B$10, "Direct Optical Drop (&lt;3km)", IF(S1086&lt;='Methodology &amp; Assumptions'!$B$9, "Near Optical / Microwave (&lt;5km)", "Starlink Business LEO Satellite Backhaul (&gt;5km)"))</f>
        <v/>
      </c>
      <c r="W1086" s="28" t="n">
        <v>0.07200000000000001</v>
      </c>
      <c r="X1086" s="14" t="n">
        <v>44.22</v>
      </c>
      <c r="Y1086" s="14">
        <f>ROUND(MIN(100, (X1086/69.91)*100), 2)</f>
        <v/>
      </c>
    </row>
    <row r="1087">
      <c r="A1087" s="10" t="n">
        <v>5</v>
      </c>
      <c r="B1087" s="10" t="n">
        <v>83</v>
      </c>
      <c r="C1087" s="10" t="n">
        <v>4083</v>
      </c>
      <c r="D1087" s="10" t="inlineStr">
        <is>
          <t>PH0004083</t>
        </is>
      </c>
      <c r="E1087" s="26" t="inlineStr">
        <is>
          <t>CAR</t>
        </is>
      </c>
      <c r="F1087" s="26" t="inlineStr">
        <is>
          <t>Benguet</t>
        </is>
      </c>
      <c r="G1087" s="26" t="inlineStr">
        <is>
          <t>Baguio City</t>
        </is>
      </c>
      <c r="H1087" s="26" t="inlineStr">
        <is>
          <t>Camp 8</t>
        </is>
      </c>
      <c r="I1087" s="27" t="n">
        <v>16.425034</v>
      </c>
      <c r="J1087" s="27" t="n">
        <v>120.604664</v>
      </c>
      <c r="K1087" s="10" t="inlineStr">
        <is>
          <t>R</t>
        </is>
      </c>
      <c r="L1087" s="12" t="n">
        <v>2260</v>
      </c>
      <c r="M1087" s="14" t="n">
        <v>3.5</v>
      </c>
      <c r="N1087" s="12">
        <f>ROUND(L1087/M1087, 0)</f>
        <v/>
      </c>
      <c r="O1087" s="12">
        <f>ROUND(N1087*'Methodology &amp; Assumptions'!$B$5, 0)</f>
        <v/>
      </c>
      <c r="P1087" s="10" t="inlineStr">
        <is>
          <t>Single Carrier (Band n50, 100MHz TDD)</t>
        </is>
      </c>
      <c r="Q1087" s="13">
        <f>ROUNDUP(O1087/'Methodology &amp; Assumptions'!$B$6, 0)</f>
        <v/>
      </c>
      <c r="R1087" s="13" t="n">
        <v>1</v>
      </c>
      <c r="S1087" s="14" t="n">
        <v>1.17</v>
      </c>
      <c r="T1087" s="14" t="n">
        <v>1.54</v>
      </c>
      <c r="U1087" s="26">
        <f>IF(X1087&gt;='Methodology &amp; Assumptions'!$B$7, "Tier 1 Critical GIDA (Score ≥ 50.0)", IF(X1087&gt;='Methodology &amp; Assumptions'!$B$8, "Tier 2 High GIDA (Score 40.0–49.9)", "Tier 3 Moderate GIDA (Score &lt; 40.0)"))</f>
        <v/>
      </c>
      <c r="V1087" s="26">
        <f>IF(S1087&lt;='Methodology &amp; Assumptions'!$B$10, "Direct Optical Drop (&lt;3km)", IF(S1087&lt;='Methodology &amp; Assumptions'!$B$9, "Near Optical / Microwave (&lt;5km)", "Starlink Business LEO Satellite Backhaul (&gt;5km)"))</f>
        <v/>
      </c>
      <c r="W1087" s="28" t="n">
        <v>0.221</v>
      </c>
      <c r="X1087" s="14" t="n">
        <v>44.22</v>
      </c>
      <c r="Y1087" s="14">
        <f>ROUND(MIN(100, (X1087/69.91)*100), 2)</f>
        <v/>
      </c>
    </row>
    <row r="1088">
      <c r="A1088" s="10" t="n">
        <v>5</v>
      </c>
      <c r="B1088" s="10" t="n">
        <v>84</v>
      </c>
      <c r="C1088" s="10" t="n">
        <v>4084</v>
      </c>
      <c r="D1088" s="10" t="inlineStr">
        <is>
          <t>0403405041</t>
        </is>
      </c>
      <c r="E1088" s="26" t="inlineStr">
        <is>
          <t>Region IV-A (CALABARZON)</t>
        </is>
      </c>
      <c r="F1088" s="26" t="inlineStr">
        <is>
          <t>Laguna</t>
        </is>
      </c>
      <c r="G1088" s="26" t="inlineStr">
        <is>
          <t>City of Calamba</t>
        </is>
      </c>
      <c r="H1088" s="26" t="inlineStr">
        <is>
          <t>Barangay 4</t>
        </is>
      </c>
      <c r="I1088" s="27" t="n">
        <v>14.19411</v>
      </c>
      <c r="J1088" s="27" t="n">
        <v>121.12544</v>
      </c>
      <c r="K1088" s="10" t="inlineStr">
        <is>
          <t>R</t>
        </is>
      </c>
      <c r="L1088" s="12" t="n">
        <v>3618</v>
      </c>
      <c r="M1088" s="14" t="n">
        <v>3.3</v>
      </c>
      <c r="N1088" s="12">
        <f>ROUND(L1088/M1088, 0)</f>
        <v/>
      </c>
      <c r="O1088" s="12">
        <f>ROUND(N1088*'Methodology &amp; Assumptions'!$B$5, 0)</f>
        <v/>
      </c>
      <c r="P1088" s="10" t="inlineStr">
        <is>
          <t>Single Carrier (Band n50, 100MHz TDD)</t>
        </is>
      </c>
      <c r="Q1088" s="13">
        <f>ROUNDUP(O1088/'Methodology &amp; Assumptions'!$B$6, 0)</f>
        <v/>
      </c>
      <c r="R1088" s="13" t="n">
        <v>1</v>
      </c>
      <c r="S1088" s="14" t="n">
        <v>1.92</v>
      </c>
      <c r="T1088" s="14" t="n">
        <v>0.86</v>
      </c>
      <c r="U1088" s="26">
        <f>IF(X1088&gt;='Methodology &amp; Assumptions'!$B$7, "Tier 1 Critical GIDA (Score ≥ 50.0)", IF(X1088&gt;='Methodology &amp; Assumptions'!$B$8, "Tier 2 High GIDA (Score 40.0–49.9)", "Tier 3 Moderate GIDA (Score &lt; 40.0)"))</f>
        <v/>
      </c>
      <c r="V1088" s="26">
        <f>IF(S1088&lt;='Methodology &amp; Assumptions'!$B$10, "Direct Optical Drop (&lt;3km)", IF(S1088&lt;='Methodology &amp; Assumptions'!$B$9, "Near Optical / Microwave (&lt;5km)", "Starlink Business LEO Satellite Backhaul (&gt;5km)"))</f>
        <v/>
      </c>
      <c r="W1088" s="28" t="n">
        <v>0.07200000000000001</v>
      </c>
      <c r="X1088" s="14" t="n">
        <v>44.22</v>
      </c>
      <c r="Y1088" s="14">
        <f>ROUND(MIN(100, (X1088/69.91)*100), 2)</f>
        <v/>
      </c>
    </row>
    <row r="1089">
      <c r="A1089" s="10" t="n">
        <v>5</v>
      </c>
      <c r="B1089" s="10" t="n">
        <v>85</v>
      </c>
      <c r="C1089" s="10" t="n">
        <v>4085</v>
      </c>
      <c r="D1089" s="10" t="inlineStr">
        <is>
          <t>0701247027</t>
        </is>
      </c>
      <c r="E1089" s="26" t="inlineStr">
        <is>
          <t>Region VII (Central Visayas)</t>
        </is>
      </c>
      <c r="F1089" s="26" t="inlineStr">
        <is>
          <t>Bohol</t>
        </is>
      </c>
      <c r="G1089" s="26" t="inlineStr">
        <is>
          <t>Valencia</t>
        </is>
      </c>
      <c r="H1089" s="26" t="inlineStr">
        <is>
          <t>Pangi-an</t>
        </is>
      </c>
      <c r="I1089" s="27" t="n">
        <v>9.656129</v>
      </c>
      <c r="J1089" s="27" t="n">
        <v>124.258064</v>
      </c>
      <c r="K1089" s="10" t="inlineStr">
        <is>
          <t>R</t>
        </is>
      </c>
      <c r="L1089" s="12" t="n">
        <v>404</v>
      </c>
      <c r="M1089" s="14" t="n">
        <v>4</v>
      </c>
      <c r="N1089" s="12">
        <f>ROUND(L1089/M1089, 0)</f>
        <v/>
      </c>
      <c r="O1089" s="12">
        <f>ROUND(N1089*'Methodology &amp; Assumptions'!$B$5, 0)</f>
        <v/>
      </c>
      <c r="P1089" s="10" t="inlineStr">
        <is>
          <t>Single Carrier (Band n50, 100MHz TDD)</t>
        </is>
      </c>
      <c r="Q1089" s="13">
        <f>ROUNDUP(O1089/'Methodology &amp; Assumptions'!$B$6, 0)</f>
        <v/>
      </c>
      <c r="R1089" s="13" t="n">
        <v>1</v>
      </c>
      <c r="S1089" s="14" t="n">
        <v>35.45</v>
      </c>
      <c r="T1089" s="14" t="n">
        <v>17.39</v>
      </c>
      <c r="U1089" s="26">
        <f>IF(X1089&gt;='Methodology &amp; Assumptions'!$B$7, "Tier 1 Critical GIDA (Score ≥ 50.0)", IF(X1089&gt;='Methodology &amp; Assumptions'!$B$8, "Tier 2 High GIDA (Score 40.0–49.9)", "Tier 3 Moderate GIDA (Score &lt; 40.0)"))</f>
        <v/>
      </c>
      <c r="V1089" s="26">
        <f>IF(S1089&lt;='Methodology &amp; Assumptions'!$B$10, "Direct Optical Drop (&lt;3km)", IF(S1089&lt;='Methodology &amp; Assumptions'!$B$9, "Near Optical / Microwave (&lt;5km)", "Starlink Business LEO Satellite Backhaul (&gt;5km)"))</f>
        <v/>
      </c>
      <c r="W1089" s="28" t="n">
        <v>0.237</v>
      </c>
      <c r="X1089" s="14" t="n">
        <v>44.22</v>
      </c>
      <c r="Y1089" s="14">
        <f>ROUND(MIN(100, (X1089/69.91)*100), 2)</f>
        <v/>
      </c>
    </row>
    <row r="1090">
      <c r="A1090" s="10" t="n">
        <v>5</v>
      </c>
      <c r="B1090" s="10" t="n">
        <v>86</v>
      </c>
      <c r="C1090" s="10" t="n">
        <v>4086</v>
      </c>
      <c r="D1090" s="10" t="inlineStr">
        <is>
          <t>PH0004086</t>
        </is>
      </c>
      <c r="E1090" s="26" t="inlineStr">
        <is>
          <t>I</t>
        </is>
      </c>
      <c r="F1090" s="26" t="inlineStr">
        <is>
          <t>Pangasinan</t>
        </is>
      </c>
      <c r="G1090" s="26" t="inlineStr">
        <is>
          <t>Dagupan City</t>
        </is>
      </c>
      <c r="H1090" s="26" t="inlineStr">
        <is>
          <t>Pogo Grande</t>
        </is>
      </c>
      <c r="I1090" s="27" t="n">
        <v>16.033711</v>
      </c>
      <c r="J1090" s="27" t="n">
        <v>120.338292</v>
      </c>
      <c r="K1090" s="10" t="inlineStr">
        <is>
          <t>R</t>
        </is>
      </c>
      <c r="L1090" s="12" t="n">
        <v>2218</v>
      </c>
      <c r="M1090" s="14" t="n">
        <v>3.6</v>
      </c>
      <c r="N1090" s="12">
        <f>ROUND(L1090/M1090, 0)</f>
        <v/>
      </c>
      <c r="O1090" s="12">
        <f>ROUND(N1090*'Methodology &amp; Assumptions'!$B$5, 0)</f>
        <v/>
      </c>
      <c r="P1090" s="10" t="inlineStr">
        <is>
          <t>Single Carrier (Band n50, 100MHz TDD)</t>
        </is>
      </c>
      <c r="Q1090" s="13">
        <f>ROUNDUP(O1090/'Methodology &amp; Assumptions'!$B$6, 0)</f>
        <v/>
      </c>
      <c r="R1090" s="13" t="n">
        <v>1</v>
      </c>
      <c r="S1090" s="14" t="n">
        <v>1.66</v>
      </c>
      <c r="T1090" s="14" t="n">
        <v>0.73</v>
      </c>
      <c r="U1090" s="26">
        <f>IF(X1090&gt;='Methodology &amp; Assumptions'!$B$7, "Tier 1 Critical GIDA (Score ≥ 50.0)", IF(X1090&gt;='Methodology &amp; Assumptions'!$B$8, "Tier 2 High GIDA (Score 40.0–49.9)", "Tier 3 Moderate GIDA (Score &lt; 40.0)"))</f>
        <v/>
      </c>
      <c r="V1090" s="26">
        <f>IF(S1090&lt;='Methodology &amp; Assumptions'!$B$10, "Direct Optical Drop (&lt;3km)", IF(S1090&lt;='Methodology &amp; Assumptions'!$B$9, "Near Optical / Microwave (&lt;5km)", "Starlink Business LEO Satellite Backhaul (&gt;5km)"))</f>
        <v/>
      </c>
      <c r="W1090" s="28" t="n">
        <v>0.083</v>
      </c>
      <c r="X1090" s="14" t="n">
        <v>44.21</v>
      </c>
      <c r="Y1090" s="14">
        <f>ROUND(MIN(100, (X1090/69.91)*100), 2)</f>
        <v/>
      </c>
    </row>
    <row r="1091">
      <c r="A1091" s="10" t="n">
        <v>5</v>
      </c>
      <c r="B1091" s="10" t="n">
        <v>87</v>
      </c>
      <c r="C1091" s="10" t="n">
        <v>4087</v>
      </c>
      <c r="D1091" s="10" t="inlineStr">
        <is>
          <t>0604528038</t>
        </is>
      </c>
      <c r="E1091" s="26" t="inlineStr">
        <is>
          <t>Region VI (Western Visayas)</t>
        </is>
      </c>
      <c r="F1091" s="26" t="inlineStr">
        <is>
          <t>Negros Occidental</t>
        </is>
      </c>
      <c r="G1091" s="26" t="inlineStr">
        <is>
          <t>City of Talisay</t>
        </is>
      </c>
      <c r="H1091" s="26" t="inlineStr">
        <is>
          <t>Zone 12</t>
        </is>
      </c>
      <c r="I1091" s="27" t="n">
        <v>10.739444</v>
      </c>
      <c r="J1091" s="27" t="n">
        <v>122.968611</v>
      </c>
      <c r="K1091" s="10" t="inlineStr">
        <is>
          <t>R</t>
        </is>
      </c>
      <c r="L1091" s="12" t="n">
        <v>2653</v>
      </c>
      <c r="M1091" s="14" t="n">
        <v>3.7</v>
      </c>
      <c r="N1091" s="12">
        <f>ROUND(L1091/M1091, 0)</f>
        <v/>
      </c>
      <c r="O1091" s="12">
        <f>ROUND(N1091*'Methodology &amp; Assumptions'!$B$5, 0)</f>
        <v/>
      </c>
      <c r="P1091" s="10" t="inlineStr">
        <is>
          <t>Single Carrier (Band n50, 100MHz TDD)</t>
        </is>
      </c>
      <c r="Q1091" s="13">
        <f>ROUNDUP(O1091/'Methodology &amp; Assumptions'!$B$6, 0)</f>
        <v/>
      </c>
      <c r="R1091" s="13" t="n">
        <v>1</v>
      </c>
      <c r="S1091" s="14" t="n">
        <v>0.17</v>
      </c>
      <c r="T1091" s="14" t="n">
        <v>0.11</v>
      </c>
      <c r="U1091" s="26">
        <f>IF(X1091&gt;='Methodology &amp; Assumptions'!$B$7, "Tier 1 Critical GIDA (Score ≥ 50.0)", IF(X1091&gt;='Methodology &amp; Assumptions'!$B$8, "Tier 2 High GIDA (Score 40.0–49.9)", "Tier 3 Moderate GIDA (Score &lt; 40.0)"))</f>
        <v/>
      </c>
      <c r="V1091" s="26">
        <f>IF(S1091&lt;='Methodology &amp; Assumptions'!$B$10, "Direct Optical Drop (&lt;3km)", IF(S1091&lt;='Methodology &amp; Assumptions'!$B$9, "Near Optical / Microwave (&lt;5km)", "Starlink Business LEO Satellite Backhaul (&gt;5km)"))</f>
        <v/>
      </c>
      <c r="W1091" s="28" t="n">
        <v>0.237</v>
      </c>
      <c r="X1091" s="14" t="n">
        <v>44.21</v>
      </c>
      <c r="Y1091" s="14">
        <f>ROUND(MIN(100, (X1091/69.91)*100), 2)</f>
        <v/>
      </c>
    </row>
    <row r="1092">
      <c r="A1092" s="10" t="n">
        <v>5</v>
      </c>
      <c r="B1092" s="10" t="n">
        <v>88</v>
      </c>
      <c r="C1092" s="10" t="n">
        <v>4088</v>
      </c>
      <c r="D1092" s="10" t="inlineStr">
        <is>
          <t>1906601028</t>
        </is>
      </c>
      <c r="E1092" s="26" t="inlineStr">
        <is>
          <t>Bangsamoro Autonomous Region In Muslim Mindanao (BARMM)</t>
        </is>
      </c>
      <c r="F1092" s="26" t="inlineStr">
        <is>
          <t>Sulu</t>
        </is>
      </c>
      <c r="G1092" s="26" t="inlineStr">
        <is>
          <t>Indanan</t>
        </is>
      </c>
      <c r="H1092" s="26" t="inlineStr">
        <is>
          <t>Panglima Misuari</t>
        </is>
      </c>
      <c r="I1092" s="27" t="n">
        <v>17.255269</v>
      </c>
      <c r="J1092" s="27" t="n">
        <v>122.229313</v>
      </c>
      <c r="K1092" s="10" t="inlineStr">
        <is>
          <t>R</t>
        </is>
      </c>
      <c r="L1092" s="12" t="n">
        <v>1833</v>
      </c>
      <c r="M1092" s="14" t="n">
        <v>6</v>
      </c>
      <c r="N1092" s="12">
        <f>ROUND(L1092/M1092, 0)</f>
        <v/>
      </c>
      <c r="O1092" s="12">
        <f>ROUND(N1092*'Methodology &amp; Assumptions'!$B$5, 0)</f>
        <v/>
      </c>
      <c r="P1092" s="10" t="inlineStr">
        <is>
          <t>Single Carrier (Band n50, 100MHz TDD)</t>
        </is>
      </c>
      <c r="Q1092" s="13">
        <f>ROUNDUP(O1092/'Methodology &amp; Assumptions'!$B$6, 0)</f>
        <v/>
      </c>
      <c r="R1092" s="13" t="n">
        <v>1</v>
      </c>
      <c r="S1092" s="14" t="n">
        <v>29.48</v>
      </c>
      <c r="T1092" s="14" t="n">
        <v>34.35</v>
      </c>
      <c r="U1092" s="26">
        <f>IF(X1092&gt;='Methodology &amp; Assumptions'!$B$7, "Tier 1 Critical GIDA (Score ≥ 50.0)", IF(X1092&gt;='Methodology &amp; Assumptions'!$B$8, "Tier 2 High GIDA (Score 40.0–49.9)", "Tier 3 Moderate GIDA (Score &lt; 40.0)"))</f>
        <v/>
      </c>
      <c r="V1092" s="26">
        <f>IF(S1092&lt;='Methodology &amp; Assumptions'!$B$10, "Direct Optical Drop (&lt;3km)", IF(S1092&lt;='Methodology &amp; Assumptions'!$B$9, "Near Optical / Microwave (&lt;5km)", "Starlink Business LEO Satellite Backhaul (&gt;5km)"))</f>
        <v/>
      </c>
      <c r="W1092" s="28" t="n">
        <v>0.11</v>
      </c>
      <c r="X1092" s="14" t="n">
        <v>44.21</v>
      </c>
      <c r="Y1092" s="14">
        <f>ROUND(MIN(100, (X1092/69.91)*100), 2)</f>
        <v/>
      </c>
    </row>
    <row r="1093">
      <c r="A1093" s="10" t="n">
        <v>5</v>
      </c>
      <c r="B1093" s="10" t="n">
        <v>89</v>
      </c>
      <c r="C1093" s="10" t="n">
        <v>4089</v>
      </c>
      <c r="D1093" s="10" t="inlineStr">
        <is>
          <t>1380700010</t>
        </is>
      </c>
      <c r="E1093" s="26" t="inlineStr">
        <is>
          <t>National Capital Region (NCR)</t>
        </is>
      </c>
      <c r="F1093" s="26" t="inlineStr">
        <is>
          <t>Second District (Not a Province)</t>
        </is>
      </c>
      <c r="G1093" s="26" t="inlineStr">
        <is>
          <t>City of Marikina</t>
        </is>
      </c>
      <c r="H1093" s="26" t="inlineStr">
        <is>
          <t>Santo Niño</t>
        </is>
      </c>
      <c r="I1093" s="27" t="n">
        <v>14.639048</v>
      </c>
      <c r="J1093" s="27" t="n">
        <v>121.095812</v>
      </c>
      <c r="K1093" s="10" t="inlineStr">
        <is>
          <t>U</t>
        </is>
      </c>
      <c r="L1093" s="12" t="n">
        <v>29815</v>
      </c>
      <c r="M1093" s="14" t="n">
        <v>4</v>
      </c>
      <c r="N1093" s="12">
        <f>ROUND(L1093/M1093, 0)</f>
        <v/>
      </c>
      <c r="O1093" s="12">
        <f>ROUND(N1093*'Methodology &amp; Assumptions'!$B$5, 0)</f>
        <v/>
      </c>
      <c r="P1093" s="10" t="inlineStr">
        <is>
          <t>Single Carrier (Band n50, 100MHz TDD)</t>
        </is>
      </c>
      <c r="Q1093" s="13">
        <f>ROUNDUP(O1093/'Methodology &amp; Assumptions'!$B$6, 0)</f>
        <v/>
      </c>
      <c r="R1093" s="13" t="n">
        <v>1</v>
      </c>
      <c r="S1093" s="14" t="n">
        <v>0.28</v>
      </c>
      <c r="T1093" s="14" t="n">
        <v>0.17</v>
      </c>
      <c r="U1093" s="26">
        <f>IF(X1093&gt;='Methodology &amp; Assumptions'!$B$7, "Tier 1 Critical GIDA (Score ≥ 50.0)", IF(X1093&gt;='Methodology &amp; Assumptions'!$B$8, "Tier 2 High GIDA (Score 40.0–49.9)", "Tier 3 Moderate GIDA (Score &lt; 40.0)"))</f>
        <v/>
      </c>
      <c r="V1093" s="26">
        <f>IF(S1093&lt;='Methodology &amp; Assumptions'!$B$10, "Direct Optical Drop (&lt;3km)", IF(S1093&lt;='Methodology &amp; Assumptions'!$B$9, "Near Optical / Microwave (&lt;5km)", "Starlink Business LEO Satellite Backhaul (&gt;5km)"))</f>
        <v/>
      </c>
      <c r="W1093" s="28" t="n">
        <v>0.109</v>
      </c>
      <c r="X1093" s="14" t="n">
        <v>44.21</v>
      </c>
      <c r="Y1093" s="14">
        <f>ROUND(MIN(100, (X1093/69.91)*100), 2)</f>
        <v/>
      </c>
    </row>
    <row r="1094">
      <c r="A1094" s="10" t="n">
        <v>5</v>
      </c>
      <c r="B1094" s="10" t="n">
        <v>90</v>
      </c>
      <c r="C1094" s="10" t="n">
        <v>4090</v>
      </c>
      <c r="D1094" s="10" t="inlineStr">
        <is>
          <t>1380400017</t>
        </is>
      </c>
      <c r="E1094" s="26" t="inlineStr">
        <is>
          <t>National Capital Region (NCR)</t>
        </is>
      </c>
      <c r="F1094" s="26" t="inlineStr">
        <is>
          <t>Third District (Not a Province)</t>
        </is>
      </c>
      <c r="G1094" s="26" t="inlineStr">
        <is>
          <t>City of Malabon</t>
        </is>
      </c>
      <c r="H1094" s="26" t="inlineStr">
        <is>
          <t>Santolan</t>
        </is>
      </c>
      <c r="I1094" s="27" t="n">
        <v>14.685401</v>
      </c>
      <c r="J1094" s="27" t="n">
        <v>120.958943</v>
      </c>
      <c r="K1094" s="10" t="inlineStr">
        <is>
          <t>U</t>
        </is>
      </c>
      <c r="L1094" s="12" t="n">
        <v>13794</v>
      </c>
      <c r="M1094" s="14" t="n">
        <v>3.7</v>
      </c>
      <c r="N1094" s="12">
        <f>ROUND(L1094/M1094, 0)</f>
        <v/>
      </c>
      <c r="O1094" s="12">
        <f>ROUND(N1094*'Methodology &amp; Assumptions'!$B$5, 0)</f>
        <v/>
      </c>
      <c r="P1094" s="10" t="inlineStr">
        <is>
          <t>Single Carrier (Band n50, 100MHz TDD)</t>
        </is>
      </c>
      <c r="Q1094" s="13">
        <f>ROUNDUP(O1094/'Methodology &amp; Assumptions'!$B$6, 0)</f>
        <v/>
      </c>
      <c r="R1094" s="13" t="n">
        <v>1</v>
      </c>
      <c r="S1094" s="14" t="n">
        <v>0.4</v>
      </c>
      <c r="T1094" s="14" t="n">
        <v>0.19</v>
      </c>
      <c r="U1094" s="26">
        <f>IF(X1094&gt;='Methodology &amp; Assumptions'!$B$7, "Tier 1 Critical GIDA (Score ≥ 50.0)", IF(X1094&gt;='Methodology &amp; Assumptions'!$B$8, "Tier 2 High GIDA (Score 40.0–49.9)", "Tier 3 Moderate GIDA (Score &lt; 40.0)"))</f>
        <v/>
      </c>
      <c r="V1094" s="26">
        <f>IF(S1094&lt;='Methodology &amp; Assumptions'!$B$10, "Direct Optical Drop (&lt;3km)", IF(S1094&lt;='Methodology &amp; Assumptions'!$B$9, "Near Optical / Microwave (&lt;5km)", "Starlink Business LEO Satellite Backhaul (&gt;5km)"))</f>
        <v/>
      </c>
      <c r="W1094" s="28" t="n">
        <v>0.109</v>
      </c>
      <c r="X1094" s="14" t="n">
        <v>44.21</v>
      </c>
      <c r="Y1094" s="14">
        <f>ROUND(MIN(100, (X1094/69.91)*100), 2)</f>
        <v/>
      </c>
    </row>
    <row r="1095">
      <c r="A1095" s="10" t="n">
        <v>5</v>
      </c>
      <c r="B1095" s="10" t="n">
        <v>91</v>
      </c>
      <c r="C1095" s="10" t="n">
        <v>4091</v>
      </c>
      <c r="D1095" s="10" t="inlineStr">
        <is>
          <t>1380700008</t>
        </is>
      </c>
      <c r="E1095" s="26" t="inlineStr">
        <is>
          <t>National Capital Region (NCR)</t>
        </is>
      </c>
      <c r="F1095" s="26" t="inlineStr">
        <is>
          <t>Second District (Not a Province)</t>
        </is>
      </c>
      <c r="G1095" s="26" t="inlineStr">
        <is>
          <t>City of Marikina</t>
        </is>
      </c>
      <c r="H1095" s="26" t="inlineStr">
        <is>
          <t>San Roque</t>
        </is>
      </c>
      <c r="I1095" s="27" t="n">
        <v>14.622818</v>
      </c>
      <c r="J1095" s="27" t="n">
        <v>121.097124</v>
      </c>
      <c r="K1095" s="10" t="inlineStr">
        <is>
          <t>U</t>
        </is>
      </c>
      <c r="L1095" s="12" t="n">
        <v>17516</v>
      </c>
      <c r="M1095" s="14" t="n">
        <v>4</v>
      </c>
      <c r="N1095" s="12">
        <f>ROUND(L1095/M1095, 0)</f>
        <v/>
      </c>
      <c r="O1095" s="12">
        <f>ROUND(N1095*'Methodology &amp; Assumptions'!$B$5, 0)</f>
        <v/>
      </c>
      <c r="P1095" s="10" t="inlineStr">
        <is>
          <t>Single Carrier (Band n50, 100MHz TDD)</t>
        </is>
      </c>
      <c r="Q1095" s="13">
        <f>ROUNDUP(O1095/'Methodology &amp; Assumptions'!$B$6, 0)</f>
        <v/>
      </c>
      <c r="R1095" s="13" t="n">
        <v>1</v>
      </c>
      <c r="S1095" s="14" t="n">
        <v>1.62</v>
      </c>
      <c r="T1095" s="14" t="n">
        <v>0.27</v>
      </c>
      <c r="U1095" s="26">
        <f>IF(X1095&gt;='Methodology &amp; Assumptions'!$B$7, "Tier 1 Critical GIDA (Score ≥ 50.0)", IF(X1095&gt;='Methodology &amp; Assumptions'!$B$8, "Tier 2 High GIDA (Score 40.0–49.9)", "Tier 3 Moderate GIDA (Score &lt; 40.0)"))</f>
        <v/>
      </c>
      <c r="V1095" s="26">
        <f>IF(S1095&lt;='Methodology &amp; Assumptions'!$B$10, "Direct Optical Drop (&lt;3km)", IF(S1095&lt;='Methodology &amp; Assumptions'!$B$9, "Near Optical / Microwave (&lt;5km)", "Starlink Business LEO Satellite Backhaul (&gt;5km)"))</f>
        <v/>
      </c>
      <c r="W1095" s="28" t="n">
        <v>0.109</v>
      </c>
      <c r="X1095" s="14" t="n">
        <v>44.21</v>
      </c>
      <c r="Y1095" s="14">
        <f>ROUND(MIN(100, (X1095/69.91)*100), 2)</f>
        <v/>
      </c>
    </row>
    <row r="1096">
      <c r="A1096" s="10" t="n">
        <v>5</v>
      </c>
      <c r="B1096" s="10" t="n">
        <v>92</v>
      </c>
      <c r="C1096" s="10" t="n">
        <v>4092</v>
      </c>
      <c r="D1096" s="10" t="inlineStr">
        <is>
          <t>1907005016</t>
        </is>
      </c>
      <c r="E1096" s="26" t="inlineStr">
        <is>
          <t>Bangsamoro Autonomous Region In Muslim Mindanao (BARMM)</t>
        </is>
      </c>
      <c r="F1096" s="26" t="inlineStr">
        <is>
          <t>Tawi-Tawi</t>
        </is>
      </c>
      <c r="G1096" s="26" t="inlineStr">
        <is>
          <t>Sitangkai</t>
        </is>
      </c>
      <c r="H1096" s="26" t="inlineStr">
        <is>
          <t>Datu Baguinda Putih</t>
        </is>
      </c>
      <c r="I1096" s="27" t="n">
        <v>17.255823</v>
      </c>
      <c r="J1096" s="27" t="n">
        <v>122.229867</v>
      </c>
      <c r="K1096" s="10" t="inlineStr">
        <is>
          <t>R</t>
        </is>
      </c>
      <c r="L1096" s="12" t="n">
        <v>3403</v>
      </c>
      <c r="M1096" s="14" t="n">
        <v>5.8</v>
      </c>
      <c r="N1096" s="12">
        <f>ROUND(L1096/M1096, 0)</f>
        <v/>
      </c>
      <c r="O1096" s="12">
        <f>ROUND(N1096*'Methodology &amp; Assumptions'!$B$5, 0)</f>
        <v/>
      </c>
      <c r="P1096" s="10" t="inlineStr">
        <is>
          <t>Single Carrier (Band n50, 100MHz TDD)</t>
        </is>
      </c>
      <c r="Q1096" s="13">
        <f>ROUNDUP(O1096/'Methodology &amp; Assumptions'!$B$6, 0)</f>
        <v/>
      </c>
      <c r="R1096" s="13" t="n">
        <v>1</v>
      </c>
      <c r="S1096" s="14" t="n">
        <v>29.56</v>
      </c>
      <c r="T1096" s="14" t="n">
        <v>34.43</v>
      </c>
      <c r="U1096" s="26">
        <f>IF(X1096&gt;='Methodology &amp; Assumptions'!$B$7, "Tier 1 Critical GIDA (Score ≥ 50.0)", IF(X1096&gt;='Methodology &amp; Assumptions'!$B$8, "Tier 2 High GIDA (Score 40.0–49.9)", "Tier 3 Moderate GIDA (Score &lt; 40.0)"))</f>
        <v/>
      </c>
      <c r="V1096" s="26">
        <f>IF(S1096&lt;='Methodology &amp; Assumptions'!$B$10, "Direct Optical Drop (&lt;3km)", IF(S1096&lt;='Methodology &amp; Assumptions'!$B$9, "Near Optical / Microwave (&lt;5km)", "Starlink Business LEO Satellite Backhaul (&gt;5km)"))</f>
        <v/>
      </c>
      <c r="W1096" s="28" t="n">
        <v>0.11</v>
      </c>
      <c r="X1096" s="14" t="n">
        <v>44.2</v>
      </c>
      <c r="Y1096" s="14">
        <f>ROUND(MIN(100, (X1096/69.91)*100), 2)</f>
        <v/>
      </c>
    </row>
    <row r="1097">
      <c r="A1097" s="10" t="n">
        <v>5</v>
      </c>
      <c r="B1097" s="10" t="n">
        <v>93</v>
      </c>
      <c r="C1097" s="10" t="n">
        <v>4093</v>
      </c>
      <c r="D1097" s="10" t="inlineStr">
        <is>
          <t>0201505032</t>
        </is>
      </c>
      <c r="E1097" s="26" t="inlineStr">
        <is>
          <t>Region II (Cagayan Valley)</t>
        </is>
      </c>
      <c r="F1097" s="26" t="inlineStr">
        <is>
          <t>Cagayan</t>
        </is>
      </c>
      <c r="G1097" s="26" t="inlineStr">
        <is>
          <t>Aparri</t>
        </is>
      </c>
      <c r="H1097" s="26" t="inlineStr">
        <is>
          <t>Navagan</t>
        </is>
      </c>
      <c r="I1097" s="27" t="n">
        <v>18.355404</v>
      </c>
      <c r="J1097" s="27" t="n">
        <v>121.570452</v>
      </c>
      <c r="K1097" s="10" t="inlineStr">
        <is>
          <t>R</t>
        </is>
      </c>
      <c r="L1097" s="12" t="n">
        <v>1184</v>
      </c>
      <c r="M1097" s="14" t="n">
        <v>3.9</v>
      </c>
      <c r="N1097" s="12">
        <f>ROUND(L1097/M1097, 0)</f>
        <v/>
      </c>
      <c r="O1097" s="12">
        <f>ROUND(N1097*'Methodology &amp; Assumptions'!$B$5, 0)</f>
        <v/>
      </c>
      <c r="P1097" s="10" t="inlineStr">
        <is>
          <t>Single Carrier (Band n50, 100MHz TDD)</t>
        </is>
      </c>
      <c r="Q1097" s="13">
        <f>ROUNDUP(O1097/'Methodology &amp; Assumptions'!$B$6, 0)</f>
        <v/>
      </c>
      <c r="R1097" s="13" t="n">
        <v>1</v>
      </c>
      <c r="S1097" s="14" t="n">
        <v>6.62</v>
      </c>
      <c r="T1097" s="14" t="n">
        <v>4.97</v>
      </c>
      <c r="U1097" s="26">
        <f>IF(X1097&gt;='Methodology &amp; Assumptions'!$B$7, "Tier 1 Critical GIDA (Score ≥ 50.0)", IF(X1097&gt;='Methodology &amp; Assumptions'!$B$8, "Tier 2 High GIDA (Score 40.0–49.9)", "Tier 3 Moderate GIDA (Score &lt; 40.0)"))</f>
        <v/>
      </c>
      <c r="V1097" s="26">
        <f>IF(S1097&lt;='Methodology &amp; Assumptions'!$B$10, "Direct Optical Drop (&lt;3km)", IF(S1097&lt;='Methodology &amp; Assumptions'!$B$9, "Near Optical / Microwave (&lt;5km)", "Starlink Business LEO Satellite Backhaul (&gt;5km)"))</f>
        <v/>
      </c>
      <c r="W1097" s="28" t="n">
        <v>0.083</v>
      </c>
      <c r="X1097" s="14" t="n">
        <v>44.2</v>
      </c>
      <c r="Y1097" s="14">
        <f>ROUND(MIN(100, (X1097/69.91)*100), 2)</f>
        <v/>
      </c>
    </row>
    <row r="1098">
      <c r="A1098" s="10" t="n">
        <v>5</v>
      </c>
      <c r="B1098" s="10" t="n">
        <v>94</v>
      </c>
      <c r="C1098" s="10" t="n">
        <v>4094</v>
      </c>
      <c r="D1098" s="10" t="inlineStr">
        <is>
          <t>PH0004094</t>
        </is>
      </c>
      <c r="E1098" s="26" t="inlineStr">
        <is>
          <t>IV-A</t>
        </is>
      </c>
      <c r="F1098" s="26" t="inlineStr">
        <is>
          <t>Cavite</t>
        </is>
      </c>
      <c r="G1098" s="26" t="inlineStr">
        <is>
          <t>Cavite City</t>
        </is>
      </c>
      <c r="H1098" s="26" t="inlineStr">
        <is>
          <t>Barangay 24</t>
        </is>
      </c>
      <c r="I1098" s="27" t="n">
        <v>14.462316</v>
      </c>
      <c r="J1098" s="27" t="n">
        <v>120.886631</v>
      </c>
      <c r="K1098" s="10" t="inlineStr">
        <is>
          <t>R</t>
        </is>
      </c>
      <c r="L1098" s="12" t="n">
        <v>2316</v>
      </c>
      <c r="M1098" s="14" t="n">
        <v>3.4</v>
      </c>
      <c r="N1098" s="12">
        <f>ROUND(L1098/M1098, 0)</f>
        <v/>
      </c>
      <c r="O1098" s="12">
        <f>ROUND(N1098*'Methodology &amp; Assumptions'!$B$5, 0)</f>
        <v/>
      </c>
      <c r="P1098" s="10" t="inlineStr">
        <is>
          <t>Single Carrier (Band n50, 100MHz TDD)</t>
        </is>
      </c>
      <c r="Q1098" s="13">
        <f>ROUNDUP(O1098/'Methodology &amp; Assumptions'!$B$6, 0)</f>
        <v/>
      </c>
      <c r="R1098" s="13" t="n">
        <v>1</v>
      </c>
      <c r="S1098" s="14" t="n">
        <v>1.39</v>
      </c>
      <c r="T1098" s="14" t="n">
        <v>3.44</v>
      </c>
      <c r="U1098" s="26">
        <f>IF(X1098&gt;='Methodology &amp; Assumptions'!$B$7, "Tier 1 Critical GIDA (Score ≥ 50.0)", IF(X1098&gt;='Methodology &amp; Assumptions'!$B$8, "Tier 2 High GIDA (Score 40.0–49.9)", "Tier 3 Moderate GIDA (Score &lt; 40.0)"))</f>
        <v/>
      </c>
      <c r="V1098" s="26">
        <f>IF(S1098&lt;='Methodology &amp; Assumptions'!$B$10, "Direct Optical Drop (&lt;3km)", IF(S1098&lt;='Methodology &amp; Assumptions'!$B$9, "Near Optical / Microwave (&lt;5km)", "Starlink Business LEO Satellite Backhaul (&gt;5km)"))</f>
        <v/>
      </c>
      <c r="W1098" s="28" t="n">
        <v>0.07200000000000001</v>
      </c>
      <c r="X1098" s="14" t="n">
        <v>44.2</v>
      </c>
      <c r="Y1098" s="14">
        <f>ROUND(MIN(100, (X1098/69.91)*100), 2)</f>
        <v/>
      </c>
    </row>
    <row r="1099">
      <c r="A1099" s="10" t="n">
        <v>5</v>
      </c>
      <c r="B1099" s="10" t="n">
        <v>95</v>
      </c>
      <c r="C1099" s="10" t="n">
        <v>4095</v>
      </c>
      <c r="D1099" s="10" t="inlineStr">
        <is>
          <t>1400113005</t>
        </is>
      </c>
      <c r="E1099" s="26" t="inlineStr">
        <is>
          <t>Cordillera Administrative Region (CAR)</t>
        </is>
      </c>
      <c r="F1099" s="26" t="inlineStr">
        <is>
          <t>Abra</t>
        </is>
      </c>
      <c r="G1099" s="26" t="inlineStr">
        <is>
          <t>Licuan-Baay</t>
        </is>
      </c>
      <c r="H1099" s="26" t="inlineStr">
        <is>
          <t>Lenneng</t>
        </is>
      </c>
      <c r="I1099" s="27" t="n">
        <v>17.649569</v>
      </c>
      <c r="J1099" s="27" t="n">
        <v>120.858164</v>
      </c>
      <c r="K1099" s="10" t="inlineStr">
        <is>
          <t>R</t>
        </is>
      </c>
      <c r="L1099" s="12" t="n">
        <v>327</v>
      </c>
      <c r="M1099" s="14" t="n">
        <v>3.8</v>
      </c>
      <c r="N1099" s="12">
        <f>ROUND(L1099/M1099, 0)</f>
        <v/>
      </c>
      <c r="O1099" s="12">
        <f>ROUND(N1099*'Methodology &amp; Assumptions'!$B$5, 0)</f>
        <v/>
      </c>
      <c r="P1099" s="10" t="inlineStr">
        <is>
          <t>Single Carrier (Band n50, 100MHz TDD)</t>
        </is>
      </c>
      <c r="Q1099" s="13">
        <f>ROUNDUP(O1099/'Methodology &amp; Assumptions'!$B$6, 0)</f>
        <v/>
      </c>
      <c r="R1099" s="13" t="n">
        <v>1</v>
      </c>
      <c r="S1099" s="14" t="n">
        <v>20.35</v>
      </c>
      <c r="T1099" s="14" t="n">
        <v>20.33</v>
      </c>
      <c r="U1099" s="26">
        <f>IF(X1099&gt;='Methodology &amp; Assumptions'!$B$7, "Tier 1 Critical GIDA (Score ≥ 50.0)", IF(X1099&gt;='Methodology &amp; Assumptions'!$B$8, "Tier 2 High GIDA (Score 40.0–49.9)", "Tier 3 Moderate GIDA (Score &lt; 40.0)"))</f>
        <v/>
      </c>
      <c r="V1099" s="26">
        <f>IF(S1099&lt;='Methodology &amp; Assumptions'!$B$10, "Direct Optical Drop (&lt;3km)", IF(S1099&lt;='Methodology &amp; Assumptions'!$B$9, "Near Optical / Microwave (&lt;5km)", "Starlink Business LEO Satellite Backhaul (&gt;5km)"))</f>
        <v/>
      </c>
      <c r="W1099" s="28" t="n">
        <v>0.109</v>
      </c>
      <c r="X1099" s="14" t="n">
        <v>44.2</v>
      </c>
      <c r="Y1099" s="14">
        <f>ROUND(MIN(100, (X1099/69.91)*100), 2)</f>
        <v/>
      </c>
    </row>
    <row r="1100">
      <c r="A1100" s="10" t="n">
        <v>5</v>
      </c>
      <c r="B1100" s="10" t="n">
        <v>96</v>
      </c>
      <c r="C1100" s="10" t="n">
        <v>4096</v>
      </c>
      <c r="D1100" s="10" t="inlineStr">
        <is>
          <t>0806415010</t>
        </is>
      </c>
      <c r="E1100" s="26" t="inlineStr">
        <is>
          <t>Region VIII (Eastern Visayas)</t>
        </is>
      </c>
      <c r="F1100" s="26" t="inlineStr">
        <is>
          <t>Southern Leyte</t>
        </is>
      </c>
      <c r="G1100" s="26" t="inlineStr">
        <is>
          <t>San Ricardo</t>
        </is>
      </c>
      <c r="H1100" s="26" t="inlineStr">
        <is>
          <t>San Ramon</t>
        </is>
      </c>
      <c r="I1100" s="27" t="n">
        <v>10.043336</v>
      </c>
      <c r="J1100" s="27" t="n">
        <v>125.243175</v>
      </c>
      <c r="K1100" s="10" t="inlineStr">
        <is>
          <t>R</t>
        </is>
      </c>
      <c r="L1100" s="12" t="n">
        <v>423</v>
      </c>
      <c r="M1100" s="14" t="n">
        <v>4.1</v>
      </c>
      <c r="N1100" s="12">
        <f>ROUND(L1100/M1100, 0)</f>
        <v/>
      </c>
      <c r="O1100" s="12">
        <f>ROUND(N1100*'Methodology &amp; Assumptions'!$B$5, 0)</f>
        <v/>
      </c>
      <c r="P1100" s="10" t="inlineStr">
        <is>
          <t>Single Carrier (Band n50, 100MHz TDD)</t>
        </is>
      </c>
      <c r="Q1100" s="13">
        <f>ROUNDUP(O1100/'Methodology &amp; Assumptions'!$B$6, 0)</f>
        <v/>
      </c>
      <c r="R1100" s="13" t="n">
        <v>1</v>
      </c>
      <c r="S1100" s="14" t="n">
        <v>38.5</v>
      </c>
      <c r="T1100" s="14" t="n">
        <v>23.72</v>
      </c>
      <c r="U1100" s="26">
        <f>IF(X1100&gt;='Methodology &amp; Assumptions'!$B$7, "Tier 1 Critical GIDA (Score ≥ 50.0)", IF(X1100&gt;='Methodology &amp; Assumptions'!$B$8, "Tier 2 High GIDA (Score 40.0–49.9)", "Tier 3 Moderate GIDA (Score &lt; 40.0)"))</f>
        <v/>
      </c>
      <c r="V1100" s="26">
        <f>IF(S1100&lt;='Methodology &amp; Assumptions'!$B$10, "Direct Optical Drop (&lt;3km)", IF(S1100&lt;='Methodology &amp; Assumptions'!$B$9, "Near Optical / Microwave (&lt;5km)", "Starlink Business LEO Satellite Backhaul (&gt;5km)"))</f>
        <v/>
      </c>
      <c r="W1100" s="28" t="n">
        <v>0.237</v>
      </c>
      <c r="X1100" s="14" t="n">
        <v>44.2</v>
      </c>
      <c r="Y1100" s="14">
        <f>ROUND(MIN(100, (X1100/69.91)*100), 2)</f>
        <v/>
      </c>
    </row>
    <row r="1101">
      <c r="A1101" s="10" t="n">
        <v>5</v>
      </c>
      <c r="B1101" s="10" t="n">
        <v>97</v>
      </c>
      <c r="C1101" s="10" t="n">
        <v>4097</v>
      </c>
      <c r="D1101" s="10" t="inlineStr">
        <is>
          <t>1403213020</t>
        </is>
      </c>
      <c r="E1101" s="26" t="inlineStr">
        <is>
          <t>Cordillera Administrative Region (CAR)</t>
        </is>
      </c>
      <c r="F1101" s="26" t="inlineStr">
        <is>
          <t>Kalinga</t>
        </is>
      </c>
      <c r="G1101" s="26" t="inlineStr">
        <is>
          <t>City of Tabuk</t>
        </is>
      </c>
      <c r="H1101" s="26" t="inlineStr">
        <is>
          <t>Lucog</t>
        </is>
      </c>
      <c r="I1101" s="27" t="n">
        <v>17.399069</v>
      </c>
      <c r="J1101" s="27" t="n">
        <v>121.299371</v>
      </c>
      <c r="K1101" s="10" t="inlineStr">
        <is>
          <t>R</t>
        </is>
      </c>
      <c r="L1101" s="12" t="n">
        <v>1575</v>
      </c>
      <c r="M1101" s="14" t="n">
        <v>4.3</v>
      </c>
      <c r="N1101" s="12">
        <f>ROUND(L1101/M1101, 0)</f>
        <v/>
      </c>
      <c r="O1101" s="12">
        <f>ROUND(N1101*'Methodology &amp; Assumptions'!$B$5, 0)</f>
        <v/>
      </c>
      <c r="P1101" s="10" t="inlineStr">
        <is>
          <t>Single Carrier (Band n50, 100MHz TDD)</t>
        </is>
      </c>
      <c r="Q1101" s="13">
        <f>ROUNDUP(O1101/'Methodology &amp; Assumptions'!$B$6, 0)</f>
        <v/>
      </c>
      <c r="R1101" s="13" t="n">
        <v>1</v>
      </c>
      <c r="S1101" s="14" t="n">
        <v>15.26</v>
      </c>
      <c r="T1101" s="14" t="n">
        <v>0.63</v>
      </c>
      <c r="U1101" s="26">
        <f>IF(X1101&gt;='Methodology &amp; Assumptions'!$B$7, "Tier 1 Critical GIDA (Score ≥ 50.0)", IF(X1101&gt;='Methodology &amp; Assumptions'!$B$8, "Tier 2 High GIDA (Score 40.0–49.9)", "Tier 3 Moderate GIDA (Score &lt; 40.0)"))</f>
        <v/>
      </c>
      <c r="V1101" s="26">
        <f>IF(S1101&lt;='Methodology &amp; Assumptions'!$B$10, "Direct Optical Drop (&lt;3km)", IF(S1101&lt;='Methodology &amp; Assumptions'!$B$9, "Near Optical / Microwave (&lt;5km)", "Starlink Business LEO Satellite Backhaul (&gt;5km)"))</f>
        <v/>
      </c>
      <c r="W1101" s="28" t="n">
        <v>0.109</v>
      </c>
      <c r="X1101" s="14" t="n">
        <v>44.19</v>
      </c>
      <c r="Y1101" s="14">
        <f>ROUND(MIN(100, (X1101/69.91)*100), 2)</f>
        <v/>
      </c>
    </row>
    <row r="1102">
      <c r="A1102" s="10" t="n">
        <v>5</v>
      </c>
      <c r="B1102" s="10" t="n">
        <v>98</v>
      </c>
      <c r="C1102" s="10" t="n">
        <v>4098</v>
      </c>
      <c r="D1102" s="10" t="inlineStr">
        <is>
          <t>1003515019</t>
        </is>
      </c>
      <c r="E1102" s="26" t="inlineStr">
        <is>
          <t>Region X (Northern Mindanao)</t>
        </is>
      </c>
      <c r="F1102" s="26" t="inlineStr">
        <is>
          <t>Lanao del Norte</t>
        </is>
      </c>
      <c r="G1102" s="26" t="inlineStr">
        <is>
          <t>Nunungan</t>
        </is>
      </c>
      <c r="H1102" s="26" t="inlineStr">
        <is>
          <t>Petadun</t>
        </is>
      </c>
      <c r="I1102" s="27" t="n">
        <v>7.787527</v>
      </c>
      <c r="J1102" s="27" t="n">
        <v>123.909986</v>
      </c>
      <c r="K1102" s="10" t="inlineStr">
        <is>
          <t>R</t>
        </is>
      </c>
      <c r="L1102" s="12" t="n">
        <v>1244</v>
      </c>
      <c r="M1102" s="14" t="n">
        <v>4.2</v>
      </c>
      <c r="N1102" s="12">
        <f>ROUND(L1102/M1102, 0)</f>
        <v/>
      </c>
      <c r="O1102" s="12">
        <f>ROUND(N1102*'Methodology &amp; Assumptions'!$B$5, 0)</f>
        <v/>
      </c>
      <c r="P1102" s="10" t="inlineStr">
        <is>
          <t>Single Carrier (Band n50, 100MHz TDD)</t>
        </is>
      </c>
      <c r="Q1102" s="13">
        <f>ROUNDUP(O1102/'Methodology &amp; Assumptions'!$B$6, 0)</f>
        <v/>
      </c>
      <c r="R1102" s="13" t="n">
        <v>1</v>
      </c>
      <c r="S1102" s="14" t="n">
        <v>30.91</v>
      </c>
      <c r="T1102" s="14" t="n">
        <v>19.71</v>
      </c>
      <c r="U1102" s="26">
        <f>IF(X1102&gt;='Methodology &amp; Assumptions'!$B$7, "Tier 1 Critical GIDA (Score ≥ 50.0)", IF(X1102&gt;='Methodology &amp; Assumptions'!$B$8, "Tier 2 High GIDA (Score 40.0–49.9)", "Tier 3 Moderate GIDA (Score &lt; 40.0)"))</f>
        <v/>
      </c>
      <c r="V1102" s="26">
        <f>IF(S1102&lt;='Methodology &amp; Assumptions'!$B$10, "Direct Optical Drop (&lt;3km)", IF(S1102&lt;='Methodology &amp; Assumptions'!$B$9, "Near Optical / Microwave (&lt;5km)", "Starlink Business LEO Satellite Backhaul (&gt;5km)"))</f>
        <v/>
      </c>
      <c r="W1102" s="28" t="n">
        <v>0.174</v>
      </c>
      <c r="X1102" s="14" t="n">
        <v>44.19</v>
      </c>
      <c r="Y1102" s="14">
        <f>ROUND(MIN(100, (X1102/69.91)*100), 2)</f>
        <v/>
      </c>
    </row>
    <row r="1103">
      <c r="A1103" s="10" t="n">
        <v>5</v>
      </c>
      <c r="B1103" s="10" t="n">
        <v>99</v>
      </c>
      <c r="C1103" s="10" t="n">
        <v>4099</v>
      </c>
      <c r="D1103" s="10" t="inlineStr">
        <is>
          <t>PH0004099</t>
        </is>
      </c>
      <c r="E1103" s="26" t="inlineStr">
        <is>
          <t>XIII</t>
        </is>
      </c>
      <c r="F1103" s="26" t="inlineStr">
        <is>
          <t>Surigao Del Norte</t>
        </is>
      </c>
      <c r="G1103" s="26" t="inlineStr">
        <is>
          <t>Surigao City</t>
        </is>
      </c>
      <c r="H1103" s="26" t="inlineStr">
        <is>
          <t>Bilabid</t>
        </is>
      </c>
      <c r="I1103" s="27" t="n">
        <v>9.756111000000001</v>
      </c>
      <c r="J1103" s="27" t="n">
        <v>125.633331</v>
      </c>
      <c r="K1103" s="10" t="inlineStr">
        <is>
          <t>R</t>
        </is>
      </c>
      <c r="L1103" s="12" t="n">
        <v>2328</v>
      </c>
      <c r="M1103" s="14" t="n">
        <v>4.1</v>
      </c>
      <c r="N1103" s="12">
        <f>ROUND(L1103/M1103, 0)</f>
        <v/>
      </c>
      <c r="O1103" s="12">
        <f>ROUND(N1103*'Methodology &amp; Assumptions'!$B$5, 0)</f>
        <v/>
      </c>
      <c r="P1103" s="10" t="inlineStr">
        <is>
          <t>Single Carrier (Band n50, 100MHz TDD)</t>
        </is>
      </c>
      <c r="Q1103" s="13">
        <f>ROUNDUP(O1103/'Methodology &amp; Assumptions'!$B$6, 0)</f>
        <v/>
      </c>
      <c r="R1103" s="13" t="n">
        <v>1</v>
      </c>
      <c r="S1103" s="14" t="n">
        <v>15.59</v>
      </c>
      <c r="T1103" s="14" t="n">
        <v>7.84</v>
      </c>
      <c r="U1103" s="26">
        <f>IF(X1103&gt;='Methodology &amp; Assumptions'!$B$7, "Tier 1 Critical GIDA (Score ≥ 50.0)", IF(X1103&gt;='Methodology &amp; Assumptions'!$B$8, "Tier 2 High GIDA (Score 40.0–49.9)", "Tier 3 Moderate GIDA (Score &lt; 40.0)"))</f>
        <v/>
      </c>
      <c r="V1103" s="26">
        <f>IF(S1103&lt;='Methodology &amp; Assumptions'!$B$10, "Direct Optical Drop (&lt;3km)", IF(S1103&lt;='Methodology &amp; Assumptions'!$B$9, "Near Optical / Microwave (&lt;5km)", "Starlink Business LEO Satellite Backhaul (&gt;5km)"))</f>
        <v/>
      </c>
      <c r="W1103" s="28" t="n">
        <v>0.109</v>
      </c>
      <c r="X1103" s="14" t="n">
        <v>44.19</v>
      </c>
      <c r="Y1103" s="14">
        <f>ROUND(MIN(100, (X1103/69.91)*100), 2)</f>
        <v/>
      </c>
    </row>
    <row r="1104">
      <c r="A1104" s="10" t="n">
        <v>5</v>
      </c>
      <c r="B1104" s="10" t="n">
        <v>100</v>
      </c>
      <c r="C1104" s="10" t="n">
        <v>4100</v>
      </c>
      <c r="D1104" s="10" t="inlineStr">
        <is>
          <t>0501711041</t>
        </is>
      </c>
      <c r="E1104" s="26" t="inlineStr">
        <is>
          <t>Region V (Bicol Region)</t>
        </is>
      </c>
      <c r="F1104" s="26" t="inlineStr">
        <is>
          <t>Camarines Sur</t>
        </is>
      </c>
      <c r="G1104" s="26" t="inlineStr">
        <is>
          <t>Caramoan</t>
        </is>
      </c>
      <c r="H1104" s="26" t="inlineStr">
        <is>
          <t>San Roque</t>
        </is>
      </c>
      <c r="I1104" s="27" t="n">
        <v>13.752546</v>
      </c>
      <c r="J1104" s="27" t="n">
        <v>123.843653</v>
      </c>
      <c r="K1104" s="10" t="inlineStr">
        <is>
          <t>R</t>
        </is>
      </c>
      <c r="L1104" s="12" t="n">
        <v>772</v>
      </c>
      <c r="M1104" s="14" t="n">
        <v>4.2</v>
      </c>
      <c r="N1104" s="12">
        <f>ROUND(L1104/M1104, 0)</f>
        <v/>
      </c>
      <c r="O1104" s="12">
        <f>ROUND(N1104*'Methodology &amp; Assumptions'!$B$5, 0)</f>
        <v/>
      </c>
      <c r="P1104" s="10" t="inlineStr">
        <is>
          <t>Single Carrier (Band n50, 100MHz TDD)</t>
        </is>
      </c>
      <c r="Q1104" s="13">
        <f>ROUNDUP(O1104/'Methodology &amp; Assumptions'!$B$6, 0)</f>
        <v/>
      </c>
      <c r="R1104" s="13" t="n">
        <v>1</v>
      </c>
      <c r="S1104" s="14" t="n">
        <v>3.22</v>
      </c>
      <c r="T1104" s="14" t="n">
        <v>35.81</v>
      </c>
      <c r="U1104" s="26">
        <f>IF(X1104&gt;='Methodology &amp; Assumptions'!$B$7, "Tier 1 Critical GIDA (Score ≥ 50.0)", IF(X1104&gt;='Methodology &amp; Assumptions'!$B$8, "Tier 2 High GIDA (Score 40.0–49.9)", "Tier 3 Moderate GIDA (Score &lt; 40.0)"))</f>
        <v/>
      </c>
      <c r="V1104" s="26">
        <f>IF(S1104&lt;='Methodology &amp; Assumptions'!$B$10, "Direct Optical Drop (&lt;3km)", IF(S1104&lt;='Methodology &amp; Assumptions'!$B$9, "Near Optical / Microwave (&lt;5km)", "Starlink Business LEO Satellite Backhaul (&gt;5km)"))</f>
        <v/>
      </c>
      <c r="W1104" s="28" t="n">
        <v>0.237</v>
      </c>
      <c r="X1104" s="14" t="n">
        <v>44.19</v>
      </c>
      <c r="Y1104" s="14">
        <f>ROUND(MIN(100, (X1104/69.91)*100), 2)</f>
        <v/>
      </c>
    </row>
    <row r="1105">
      <c r="A1105" s="10" t="n">
        <v>5</v>
      </c>
      <c r="B1105" s="10" t="n">
        <v>101</v>
      </c>
      <c r="C1105" s="10" t="n">
        <v>4101</v>
      </c>
      <c r="D1105" s="10" t="inlineStr">
        <is>
          <t>0501737006</t>
        </is>
      </c>
      <c r="E1105" s="26" t="inlineStr">
        <is>
          <t>Region V (Bicol Region)</t>
        </is>
      </c>
      <c r="F1105" s="26" t="inlineStr">
        <is>
          <t>Camarines Sur</t>
        </is>
      </c>
      <c r="G1105" s="26" t="inlineStr">
        <is>
          <t>Tinambac</t>
        </is>
      </c>
      <c r="H1105" s="26" t="inlineStr">
        <is>
          <t>Bani</t>
        </is>
      </c>
      <c r="I1105" s="27" t="n">
        <v>13.96444</v>
      </c>
      <c r="J1105" s="27" t="n">
        <v>123.328758</v>
      </c>
      <c r="K1105" s="10" t="inlineStr">
        <is>
          <t>R</t>
        </is>
      </c>
      <c r="L1105" s="12" t="n">
        <v>592</v>
      </c>
      <c r="M1105" s="14" t="n">
        <v>4.2</v>
      </c>
      <c r="N1105" s="12">
        <f>ROUND(L1105/M1105, 0)</f>
        <v/>
      </c>
      <c r="O1105" s="12">
        <f>ROUND(N1105*'Methodology &amp; Assumptions'!$B$5, 0)</f>
        <v/>
      </c>
      <c r="P1105" s="10" t="inlineStr">
        <is>
          <t>Single Carrier (Band n50, 100MHz TDD)</t>
        </is>
      </c>
      <c r="Q1105" s="13">
        <f>ROUNDUP(O1105/'Methodology &amp; Assumptions'!$B$6, 0)</f>
        <v/>
      </c>
      <c r="R1105" s="13" t="n">
        <v>1</v>
      </c>
      <c r="S1105" s="14" t="n">
        <v>10.37</v>
      </c>
      <c r="T1105" s="14" t="n">
        <v>16.31</v>
      </c>
      <c r="U1105" s="26">
        <f>IF(X1105&gt;='Methodology &amp; Assumptions'!$B$7, "Tier 1 Critical GIDA (Score ≥ 50.0)", IF(X1105&gt;='Methodology &amp; Assumptions'!$B$8, "Tier 2 High GIDA (Score 40.0–49.9)", "Tier 3 Moderate GIDA (Score &lt; 40.0)"))</f>
        <v/>
      </c>
      <c r="V1105" s="26">
        <f>IF(S1105&lt;='Methodology &amp; Assumptions'!$B$10, "Direct Optical Drop (&lt;3km)", IF(S1105&lt;='Methodology &amp; Assumptions'!$B$9, "Near Optical / Microwave (&lt;5km)", "Starlink Business LEO Satellite Backhaul (&gt;5km)"))</f>
        <v/>
      </c>
      <c r="W1105" s="28" t="n">
        <v>0.237</v>
      </c>
      <c r="X1105" s="14" t="n">
        <v>44.18</v>
      </c>
      <c r="Y1105" s="14">
        <f>ROUND(MIN(100, (X1105/69.91)*100), 2)</f>
        <v/>
      </c>
    </row>
    <row r="1106">
      <c r="A1106" s="10" t="n">
        <v>5</v>
      </c>
      <c r="B1106" s="10" t="n">
        <v>102</v>
      </c>
      <c r="C1106" s="10" t="n">
        <v>4102</v>
      </c>
      <c r="D1106" s="10" t="inlineStr">
        <is>
          <t>0803728004</t>
        </is>
      </c>
      <c r="E1106" s="26" t="inlineStr">
        <is>
          <t>Region VIII (Eastern Visayas)</t>
        </is>
      </c>
      <c r="F1106" s="26" t="inlineStr">
        <is>
          <t>Leyte</t>
        </is>
      </c>
      <c r="G1106" s="26" t="inlineStr">
        <is>
          <t>La Paz</t>
        </is>
      </c>
      <c r="H1106" s="26" t="inlineStr">
        <is>
          <t>Bocawon</t>
        </is>
      </c>
      <c r="I1106" s="27" t="n">
        <v>10.89788</v>
      </c>
      <c r="J1106" s="27" t="n">
        <v>124.932965</v>
      </c>
      <c r="K1106" s="10" t="inlineStr">
        <is>
          <t>R</t>
        </is>
      </c>
      <c r="L1106" s="12" t="n">
        <v>256</v>
      </c>
      <c r="M1106" s="14" t="n">
        <v>3.8</v>
      </c>
      <c r="N1106" s="12">
        <f>ROUND(L1106/M1106, 0)</f>
        <v/>
      </c>
      <c r="O1106" s="12">
        <f>ROUND(N1106*'Methodology &amp; Assumptions'!$B$5, 0)</f>
        <v/>
      </c>
      <c r="P1106" s="10" t="inlineStr">
        <is>
          <t>Single Carrier (Band n50, 100MHz TDD)</t>
        </is>
      </c>
      <c r="Q1106" s="13">
        <f>ROUNDUP(O1106/'Methodology &amp; Assumptions'!$B$6, 0)</f>
        <v/>
      </c>
      <c r="R1106" s="13" t="n">
        <v>1</v>
      </c>
      <c r="S1106" s="14" t="n">
        <v>24.51</v>
      </c>
      <c r="T1106" s="14" t="n">
        <v>7.33</v>
      </c>
      <c r="U1106" s="26">
        <f>IF(X1106&gt;='Methodology &amp; Assumptions'!$B$7, "Tier 1 Critical GIDA (Score ≥ 50.0)", IF(X1106&gt;='Methodology &amp; Assumptions'!$B$8, "Tier 2 High GIDA (Score 40.0–49.9)", "Tier 3 Moderate GIDA (Score &lt; 40.0)"))</f>
        <v/>
      </c>
      <c r="V1106" s="26">
        <f>IF(S1106&lt;='Methodology &amp; Assumptions'!$B$10, "Direct Optical Drop (&lt;3km)", IF(S1106&lt;='Methodology &amp; Assumptions'!$B$9, "Near Optical / Microwave (&lt;5km)", "Starlink Business LEO Satellite Backhaul (&gt;5km)"))</f>
        <v/>
      </c>
      <c r="W1106" s="28" t="n">
        <v>0.237</v>
      </c>
      <c r="X1106" s="14" t="n">
        <v>44.18</v>
      </c>
      <c r="Y1106" s="14">
        <f>ROUND(MIN(100, (X1106/69.91)*100), 2)</f>
        <v/>
      </c>
    </row>
    <row r="1107">
      <c r="A1107" s="10" t="n">
        <v>5</v>
      </c>
      <c r="B1107" s="10" t="n">
        <v>103</v>
      </c>
      <c r="C1107" s="10" t="n">
        <v>4103</v>
      </c>
      <c r="D1107" s="10" t="inlineStr">
        <is>
          <t>1903615043</t>
        </is>
      </c>
      <c r="E1107" s="26" t="inlineStr">
        <is>
          <t>Bangsamoro Autonomous Region In Muslim Mindanao (BARMM)</t>
        </is>
      </c>
      <c r="F1107" s="26" t="inlineStr">
        <is>
          <t>Lanao del Sur</t>
        </is>
      </c>
      <c r="G1107" s="26" t="inlineStr">
        <is>
          <t>Malabang</t>
        </is>
      </c>
      <c r="H1107" s="26" t="inlineStr">
        <is>
          <t>Mananayo</t>
        </is>
      </c>
      <c r="I1107" s="27" t="n">
        <v>17.254637</v>
      </c>
      <c r="J1107" s="27" t="n">
        <v>122.228681</v>
      </c>
      <c r="K1107" s="10" t="inlineStr">
        <is>
          <t>R</t>
        </is>
      </c>
      <c r="L1107" s="12" t="n">
        <v>1227</v>
      </c>
      <c r="M1107" s="14" t="n">
        <v>5.7</v>
      </c>
      <c r="N1107" s="12">
        <f>ROUND(L1107/M1107, 0)</f>
        <v/>
      </c>
      <c r="O1107" s="12">
        <f>ROUND(N1107*'Methodology &amp; Assumptions'!$B$5, 0)</f>
        <v/>
      </c>
      <c r="P1107" s="10" t="inlineStr">
        <is>
          <t>Single Carrier (Band n50, 100MHz TDD)</t>
        </is>
      </c>
      <c r="Q1107" s="13">
        <f>ROUNDUP(O1107/'Methodology &amp; Assumptions'!$B$6, 0)</f>
        <v/>
      </c>
      <c r="R1107" s="13" t="n">
        <v>1</v>
      </c>
      <c r="S1107" s="14" t="n">
        <v>29.38</v>
      </c>
      <c r="T1107" s="14" t="n">
        <v>34.27</v>
      </c>
      <c r="U1107" s="26">
        <f>IF(X1107&gt;='Methodology &amp; Assumptions'!$B$7, "Tier 1 Critical GIDA (Score ≥ 50.0)", IF(X1107&gt;='Methodology &amp; Assumptions'!$B$8, "Tier 2 High GIDA (Score 40.0–49.9)", "Tier 3 Moderate GIDA (Score &lt; 40.0)"))</f>
        <v/>
      </c>
      <c r="V1107" s="26">
        <f>IF(S1107&lt;='Methodology &amp; Assumptions'!$B$10, "Direct Optical Drop (&lt;3km)", IF(S1107&lt;='Methodology &amp; Assumptions'!$B$9, "Near Optical / Microwave (&lt;5km)", "Starlink Business LEO Satellite Backhaul (&gt;5km)"))</f>
        <v/>
      </c>
      <c r="W1107" s="28" t="n">
        <v>0.11</v>
      </c>
      <c r="X1107" s="14" t="n">
        <v>44.18</v>
      </c>
      <c r="Y1107" s="14">
        <f>ROUND(MIN(100, (X1107/69.91)*100), 2)</f>
        <v/>
      </c>
    </row>
    <row r="1108">
      <c r="A1108" s="10" t="n">
        <v>5</v>
      </c>
      <c r="B1108" s="10" t="n">
        <v>104</v>
      </c>
      <c r="C1108" s="10" t="n">
        <v>4104</v>
      </c>
      <c r="D1108" s="10" t="inlineStr">
        <is>
          <t>0402106032</t>
        </is>
      </c>
      <c r="E1108" s="26" t="inlineStr">
        <is>
          <t>Region IV-A (CALABARZON)</t>
        </is>
      </c>
      <c r="F1108" s="26" t="inlineStr">
        <is>
          <t>Cavite</t>
        </is>
      </c>
      <c r="G1108" s="26" t="inlineStr">
        <is>
          <t>City of Dasmariñas</t>
        </is>
      </c>
      <c r="H1108" s="26" t="inlineStr">
        <is>
          <t>San Lorenzo Ruiz I</t>
        </is>
      </c>
      <c r="I1108" s="27" t="n">
        <v>14.322452</v>
      </c>
      <c r="J1108" s="27" t="n">
        <v>121.00804</v>
      </c>
      <c r="K1108" s="10" t="inlineStr">
        <is>
          <t>R</t>
        </is>
      </c>
      <c r="L1108" s="12" t="n">
        <v>3486</v>
      </c>
      <c r="M1108" s="14" t="n">
        <v>3.4</v>
      </c>
      <c r="N1108" s="12">
        <f>ROUND(L1108/M1108, 0)</f>
        <v/>
      </c>
      <c r="O1108" s="12">
        <f>ROUND(N1108*'Methodology &amp; Assumptions'!$B$5, 0)</f>
        <v/>
      </c>
      <c r="P1108" s="10" t="inlineStr">
        <is>
          <t>Single Carrier (Band n50, 100MHz TDD)</t>
        </is>
      </c>
      <c r="Q1108" s="13">
        <f>ROUNDUP(O1108/'Methodology &amp; Assumptions'!$B$6, 0)</f>
        <v/>
      </c>
      <c r="R1108" s="13" t="n">
        <v>1</v>
      </c>
      <c r="S1108" s="14" t="n">
        <v>2.67</v>
      </c>
      <c r="T1108" s="14" t="n">
        <v>3.33</v>
      </c>
      <c r="U1108" s="26">
        <f>IF(X1108&gt;='Methodology &amp; Assumptions'!$B$7, "Tier 1 Critical GIDA (Score ≥ 50.0)", IF(X1108&gt;='Methodology &amp; Assumptions'!$B$8, "Tier 2 High GIDA (Score 40.0–49.9)", "Tier 3 Moderate GIDA (Score &lt; 40.0)"))</f>
        <v/>
      </c>
      <c r="V1108" s="26">
        <f>IF(S1108&lt;='Methodology &amp; Assumptions'!$B$10, "Direct Optical Drop (&lt;3km)", IF(S1108&lt;='Methodology &amp; Assumptions'!$B$9, "Near Optical / Microwave (&lt;5km)", "Starlink Business LEO Satellite Backhaul (&gt;5km)"))</f>
        <v/>
      </c>
      <c r="W1108" s="28" t="n">
        <v>0.07200000000000001</v>
      </c>
      <c r="X1108" s="14" t="n">
        <v>44.18</v>
      </c>
      <c r="Y1108" s="14">
        <f>ROUND(MIN(100, (X1108/69.91)*100), 2)</f>
        <v/>
      </c>
    </row>
    <row r="1109">
      <c r="A1109" s="10" t="n">
        <v>5</v>
      </c>
      <c r="B1109" s="10" t="n">
        <v>105</v>
      </c>
      <c r="C1109" s="10" t="n">
        <v>4105</v>
      </c>
      <c r="D1109" s="10" t="inlineStr">
        <is>
          <t>1906611002</t>
        </is>
      </c>
      <c r="E1109" s="26" t="inlineStr">
        <is>
          <t>Bangsamoro Autonomous Region In Muslim Mindanao (BARMM)</t>
        </is>
      </c>
      <c r="F1109" s="26" t="inlineStr">
        <is>
          <t>Sulu</t>
        </is>
      </c>
      <c r="G1109" s="26" t="inlineStr">
        <is>
          <t>Patikul</t>
        </is>
      </c>
      <c r="H1109" s="26" t="inlineStr">
        <is>
          <t>Bakong</t>
        </is>
      </c>
      <c r="I1109" s="27" t="n">
        <v>16.811844</v>
      </c>
      <c r="J1109" s="27" t="n">
        <v>122.187942</v>
      </c>
      <c r="K1109" s="10" t="inlineStr">
        <is>
          <t>R</t>
        </is>
      </c>
      <c r="L1109" s="12" t="n">
        <v>882</v>
      </c>
      <c r="M1109" s="14" t="n">
        <v>6</v>
      </c>
      <c r="N1109" s="12">
        <f>ROUND(L1109/M1109, 0)</f>
        <v/>
      </c>
      <c r="O1109" s="12">
        <f>ROUND(N1109*'Methodology &amp; Assumptions'!$B$5, 0)</f>
        <v/>
      </c>
      <c r="P1109" s="10" t="inlineStr">
        <is>
          <t>Single Carrier (Band n50, 100MHz TDD)</t>
        </is>
      </c>
      <c r="Q1109" s="13">
        <f>ROUNDUP(O1109/'Methodology &amp; Assumptions'!$B$6, 0)</f>
        <v/>
      </c>
      <c r="R1109" s="13" t="n">
        <v>1</v>
      </c>
      <c r="S1109" s="14" t="n">
        <v>26.8</v>
      </c>
      <c r="T1109" s="14" t="n">
        <v>32.91</v>
      </c>
      <c r="U1109" s="26">
        <f>IF(X1109&gt;='Methodology &amp; Assumptions'!$B$7, "Tier 1 Critical GIDA (Score ≥ 50.0)", IF(X1109&gt;='Methodology &amp; Assumptions'!$B$8, "Tier 2 High GIDA (Score 40.0–49.9)", "Tier 3 Moderate GIDA (Score &lt; 40.0)"))</f>
        <v/>
      </c>
      <c r="V1109" s="26">
        <f>IF(S1109&lt;='Methodology &amp; Assumptions'!$B$10, "Direct Optical Drop (&lt;3km)", IF(S1109&lt;='Methodology &amp; Assumptions'!$B$9, "Near Optical / Microwave (&lt;5km)", "Starlink Business LEO Satellite Backhaul (&gt;5km)"))</f>
        <v/>
      </c>
      <c r="W1109" s="28" t="n">
        <v>0.11</v>
      </c>
      <c r="X1109" s="14" t="n">
        <v>44.18</v>
      </c>
      <c r="Y1109" s="14">
        <f>ROUND(MIN(100, (X1109/69.91)*100), 2)</f>
        <v/>
      </c>
    </row>
    <row r="1110">
      <c r="A1110" s="10" t="n">
        <v>5</v>
      </c>
      <c r="B1110" s="10" t="n">
        <v>106</v>
      </c>
      <c r="C1110" s="10" t="n">
        <v>4106</v>
      </c>
      <c r="D1110" s="10" t="inlineStr">
        <is>
          <t>1907011002</t>
        </is>
      </c>
      <c r="E1110" s="26" t="inlineStr">
        <is>
          <t>Bangsamoro Autonomous Region In Muslim Mindanao (BARMM)</t>
        </is>
      </c>
      <c r="F1110" s="26" t="inlineStr">
        <is>
          <t>Tawi-Tawi</t>
        </is>
      </c>
      <c r="G1110" s="26" t="inlineStr">
        <is>
          <t>Sibutu</t>
        </is>
      </c>
      <c r="H1110" s="26" t="inlineStr">
        <is>
          <t>Datu Amilhamja Jaafar</t>
        </is>
      </c>
      <c r="I1110" s="27" t="n">
        <v>17.255813</v>
      </c>
      <c r="J1110" s="27" t="n">
        <v>122.229857</v>
      </c>
      <c r="K1110" s="10" t="inlineStr">
        <is>
          <t>R</t>
        </is>
      </c>
      <c r="L1110" s="12" t="n">
        <v>1688</v>
      </c>
      <c r="M1110" s="14" t="n">
        <v>5.8</v>
      </c>
      <c r="N1110" s="12">
        <f>ROUND(L1110/M1110, 0)</f>
        <v/>
      </c>
      <c r="O1110" s="12">
        <f>ROUND(N1110*'Methodology &amp; Assumptions'!$B$5, 0)</f>
        <v/>
      </c>
      <c r="P1110" s="10" t="inlineStr">
        <is>
          <t>Single Carrier (Band n50, 100MHz TDD)</t>
        </is>
      </c>
      <c r="Q1110" s="13">
        <f>ROUNDUP(O1110/'Methodology &amp; Assumptions'!$B$6, 0)</f>
        <v/>
      </c>
      <c r="R1110" s="13" t="n">
        <v>1</v>
      </c>
      <c r="S1110" s="14" t="n">
        <v>29.56</v>
      </c>
      <c r="T1110" s="14" t="n">
        <v>34.43</v>
      </c>
      <c r="U1110" s="26">
        <f>IF(X1110&gt;='Methodology &amp; Assumptions'!$B$7, "Tier 1 Critical GIDA (Score ≥ 50.0)", IF(X1110&gt;='Methodology &amp; Assumptions'!$B$8, "Tier 2 High GIDA (Score 40.0–49.9)", "Tier 3 Moderate GIDA (Score &lt; 40.0)"))</f>
        <v/>
      </c>
      <c r="V1110" s="26">
        <f>IF(S1110&lt;='Methodology &amp; Assumptions'!$B$10, "Direct Optical Drop (&lt;3km)", IF(S1110&lt;='Methodology &amp; Assumptions'!$B$9, "Near Optical / Microwave (&lt;5km)", "Starlink Business LEO Satellite Backhaul (&gt;5km)"))</f>
        <v/>
      </c>
      <c r="W1110" s="28" t="n">
        <v>0.11</v>
      </c>
      <c r="X1110" s="14" t="n">
        <v>44.16</v>
      </c>
      <c r="Y1110" s="14">
        <f>ROUND(MIN(100, (X1110/69.91)*100), 2)</f>
        <v/>
      </c>
    </row>
    <row r="1111">
      <c r="A1111" s="10" t="n">
        <v>5</v>
      </c>
      <c r="B1111" s="10" t="n">
        <v>107</v>
      </c>
      <c r="C1111" s="10" t="n">
        <v>4107</v>
      </c>
      <c r="D1111" s="10" t="inlineStr">
        <is>
          <t>1400125001</t>
        </is>
      </c>
      <c r="E1111" s="26" t="inlineStr">
        <is>
          <t>Cordillera Administrative Region (CAR)</t>
        </is>
      </c>
      <c r="F1111" s="26" t="inlineStr">
        <is>
          <t>Abra</t>
        </is>
      </c>
      <c r="G1111" s="26" t="inlineStr">
        <is>
          <t>Tineg</t>
        </is>
      </c>
      <c r="H1111" s="26" t="inlineStr">
        <is>
          <t>Poblacion</t>
        </is>
      </c>
      <c r="I1111" s="27" t="n">
        <v>17.782515</v>
      </c>
      <c r="J1111" s="27" t="n">
        <v>120.943482</v>
      </c>
      <c r="K1111" s="10" t="inlineStr">
        <is>
          <t>R</t>
        </is>
      </c>
      <c r="L1111" s="12" t="n">
        <v>701</v>
      </c>
      <c r="M1111" s="14" t="n">
        <v>3.8</v>
      </c>
      <c r="N1111" s="12">
        <f>ROUND(L1111/M1111, 0)</f>
        <v/>
      </c>
      <c r="O1111" s="12">
        <f>ROUND(N1111*'Methodology &amp; Assumptions'!$B$5, 0)</f>
        <v/>
      </c>
      <c r="P1111" s="10" t="inlineStr">
        <is>
          <t>Single Carrier (Band n50, 100MHz TDD)</t>
        </is>
      </c>
      <c r="Q1111" s="13">
        <f>ROUNDUP(O1111/'Methodology &amp; Assumptions'!$B$6, 0)</f>
        <v/>
      </c>
      <c r="R1111" s="13" t="n">
        <v>1</v>
      </c>
      <c r="S1111" s="14" t="n">
        <v>32.26</v>
      </c>
      <c r="T1111" s="14" t="n">
        <v>27.59</v>
      </c>
      <c r="U1111" s="26">
        <f>IF(X1111&gt;='Methodology &amp; Assumptions'!$B$7, "Tier 1 Critical GIDA (Score ≥ 50.0)", IF(X1111&gt;='Methodology &amp; Assumptions'!$B$8, "Tier 2 High GIDA (Score 40.0–49.9)", "Tier 3 Moderate GIDA (Score &lt; 40.0)"))</f>
        <v/>
      </c>
      <c r="V1111" s="26">
        <f>IF(S1111&lt;='Methodology &amp; Assumptions'!$B$10, "Direct Optical Drop (&lt;3km)", IF(S1111&lt;='Methodology &amp; Assumptions'!$B$9, "Near Optical / Microwave (&lt;5km)", "Starlink Business LEO Satellite Backhaul (&gt;5km)"))</f>
        <v/>
      </c>
      <c r="W1111" s="28" t="n">
        <v>0.109</v>
      </c>
      <c r="X1111" s="14" t="n">
        <v>44.15</v>
      </c>
      <c r="Y1111" s="14">
        <f>ROUND(MIN(100, (X1111/69.91)*100), 2)</f>
        <v/>
      </c>
    </row>
    <row r="1112">
      <c r="A1112" s="10" t="n">
        <v>5</v>
      </c>
      <c r="B1112" s="10" t="n">
        <v>108</v>
      </c>
      <c r="C1112" s="10" t="n">
        <v>4108</v>
      </c>
      <c r="D1112" s="10" t="inlineStr">
        <is>
          <t>0405646006</t>
        </is>
      </c>
      <c r="E1112" s="26" t="inlineStr">
        <is>
          <t>Region IV-A (CALABARZON)</t>
        </is>
      </c>
      <c r="F1112" s="26" t="inlineStr">
        <is>
          <t>Quezon</t>
        </is>
      </c>
      <c r="G1112" s="26" t="inlineStr">
        <is>
          <t>Tagkawayan</t>
        </is>
      </c>
      <c r="H1112" s="26" t="inlineStr">
        <is>
          <t>Bukal</t>
        </is>
      </c>
      <c r="I1112" s="27" t="n">
        <v>13.972779</v>
      </c>
      <c r="J1112" s="27" t="n">
        <v>122.589692</v>
      </c>
      <c r="K1112" s="10" t="inlineStr">
        <is>
          <t>R</t>
        </is>
      </c>
      <c r="L1112" s="12" t="n">
        <v>521</v>
      </c>
      <c r="M1112" s="14" t="n">
        <v>3.8</v>
      </c>
      <c r="N1112" s="12">
        <f>ROUND(L1112/M1112, 0)</f>
        <v/>
      </c>
      <c r="O1112" s="12">
        <f>ROUND(N1112*'Methodology &amp; Assumptions'!$B$5, 0)</f>
        <v/>
      </c>
      <c r="P1112" s="10" t="inlineStr">
        <is>
          <t>Single Carrier (Band n50, 100MHz TDD)</t>
        </is>
      </c>
      <c r="Q1112" s="13">
        <f>ROUNDUP(O1112/'Methodology &amp; Assumptions'!$B$6, 0)</f>
        <v/>
      </c>
      <c r="R1112" s="13" t="n">
        <v>1</v>
      </c>
      <c r="S1112" s="14" t="n">
        <v>5.16</v>
      </c>
      <c r="T1112" s="14" t="n">
        <v>3.74</v>
      </c>
      <c r="U1112" s="26">
        <f>IF(X1112&gt;='Methodology &amp; Assumptions'!$B$7, "Tier 1 Critical GIDA (Score ≥ 50.0)", IF(X1112&gt;='Methodology &amp; Assumptions'!$B$8, "Tier 2 High GIDA (Score 40.0–49.9)", "Tier 3 Moderate GIDA (Score &lt; 40.0)"))</f>
        <v/>
      </c>
      <c r="V1112" s="26">
        <f>IF(S1112&lt;='Methodology &amp; Assumptions'!$B$10, "Direct Optical Drop (&lt;3km)", IF(S1112&lt;='Methodology &amp; Assumptions'!$B$9, "Near Optical / Microwave (&lt;5km)", "Starlink Business LEO Satellite Backhaul (&gt;5km)"))</f>
        <v/>
      </c>
      <c r="W1112" s="28" t="n">
        <v>0.07200000000000001</v>
      </c>
      <c r="X1112" s="14" t="n">
        <v>44.15</v>
      </c>
      <c r="Y1112" s="14">
        <f>ROUND(MIN(100, (X1112/69.91)*100), 2)</f>
        <v/>
      </c>
    </row>
    <row r="1113">
      <c r="A1113" s="10" t="n">
        <v>5</v>
      </c>
      <c r="B1113" s="10" t="n">
        <v>109</v>
      </c>
      <c r="C1113" s="10" t="n">
        <v>4109</v>
      </c>
      <c r="D1113" s="10" t="inlineStr">
        <is>
          <t>1908822001</t>
        </is>
      </c>
      <c r="E1113" s="26" t="inlineStr">
        <is>
          <t>Bangsamoro Autonomous Region In Muslim Mindanao (BARMM)</t>
        </is>
      </c>
      <c r="F1113" s="26" t="inlineStr">
        <is>
          <t>Maguindanao del Sur</t>
        </is>
      </c>
      <c r="G1113" s="26" t="inlineStr">
        <is>
          <t>South Upi</t>
        </is>
      </c>
      <c r="H1113" s="26" t="inlineStr">
        <is>
          <t>Biarong</t>
        </is>
      </c>
      <c r="I1113" s="27" t="n">
        <v>17.255097</v>
      </c>
      <c r="J1113" s="27" t="n">
        <v>122.229141</v>
      </c>
      <c r="K1113" s="10" t="inlineStr">
        <is>
          <t>R</t>
        </is>
      </c>
      <c r="L1113" s="12" t="n">
        <v>1530</v>
      </c>
      <c r="M1113" s="14" t="n">
        <v>4.7</v>
      </c>
      <c r="N1113" s="12">
        <f>ROUND(L1113/M1113, 0)</f>
        <v/>
      </c>
      <c r="O1113" s="12">
        <f>ROUND(N1113*'Methodology &amp; Assumptions'!$B$5, 0)</f>
        <v/>
      </c>
      <c r="P1113" s="10" t="inlineStr">
        <is>
          <t>Single Carrier (Band n50, 100MHz TDD)</t>
        </is>
      </c>
      <c r="Q1113" s="13">
        <f>ROUNDUP(O1113/'Methodology &amp; Assumptions'!$B$6, 0)</f>
        <v/>
      </c>
      <c r="R1113" s="13" t="n">
        <v>1</v>
      </c>
      <c r="S1113" s="14" t="n">
        <v>29.45</v>
      </c>
      <c r="T1113" s="14" t="n">
        <v>34.33</v>
      </c>
      <c r="U1113" s="26">
        <f>IF(X1113&gt;='Methodology &amp; Assumptions'!$B$7, "Tier 1 Critical GIDA (Score ≥ 50.0)", IF(X1113&gt;='Methodology &amp; Assumptions'!$B$8, "Tier 2 High GIDA (Score 40.0–49.9)", "Tier 3 Moderate GIDA (Score &lt; 40.0)"))</f>
        <v/>
      </c>
      <c r="V1113" s="26">
        <f>IF(S1113&lt;='Methodology &amp; Assumptions'!$B$10, "Direct Optical Drop (&lt;3km)", IF(S1113&lt;='Methodology &amp; Assumptions'!$B$9, "Near Optical / Microwave (&lt;5km)", "Starlink Business LEO Satellite Backhaul (&gt;5km)"))</f>
        <v/>
      </c>
      <c r="W1113" s="28" t="n">
        <v>0.11</v>
      </c>
      <c r="X1113" s="14" t="n">
        <v>44.14</v>
      </c>
      <c r="Y1113" s="14">
        <f>ROUND(MIN(100, (X1113/69.91)*100), 2)</f>
        <v/>
      </c>
    </row>
    <row r="1114">
      <c r="A1114" s="10" t="n">
        <v>5</v>
      </c>
      <c r="B1114" s="10" t="n">
        <v>110</v>
      </c>
      <c r="C1114" s="10" t="n">
        <v>4110</v>
      </c>
      <c r="D1114" s="10" t="inlineStr">
        <is>
          <t>PH0004110</t>
        </is>
      </c>
      <c r="E1114" s="26" t="inlineStr">
        <is>
          <t>XIII</t>
        </is>
      </c>
      <c r="F1114" s="26" t="inlineStr">
        <is>
          <t>Surigao Del Norte</t>
        </is>
      </c>
      <c r="G1114" s="26" t="inlineStr">
        <is>
          <t>Surigao City</t>
        </is>
      </c>
      <c r="H1114" s="26" t="inlineStr">
        <is>
          <t>Alegria</t>
        </is>
      </c>
      <c r="I1114" s="27" t="n">
        <v>9.536320999999999</v>
      </c>
      <c r="J1114" s="27" t="n">
        <v>125.558525</v>
      </c>
      <c r="K1114" s="10" t="inlineStr">
        <is>
          <t>R</t>
        </is>
      </c>
      <c r="L1114" s="12" t="n">
        <v>2328</v>
      </c>
      <c r="M1114" s="14" t="n">
        <v>4.1</v>
      </c>
      <c r="N1114" s="12">
        <f>ROUND(L1114/M1114, 0)</f>
        <v/>
      </c>
      <c r="O1114" s="12">
        <f>ROUND(N1114*'Methodology &amp; Assumptions'!$B$5, 0)</f>
        <v/>
      </c>
      <c r="P1114" s="10" t="inlineStr">
        <is>
          <t>Single Carrier (Band n50, 100MHz TDD)</t>
        </is>
      </c>
      <c r="Q1114" s="13">
        <f>ROUNDUP(O1114/'Methodology &amp; Assumptions'!$B$6, 0)</f>
        <v/>
      </c>
      <c r="R1114" s="13" t="n">
        <v>1</v>
      </c>
      <c r="S1114" s="14" t="n">
        <v>8.9</v>
      </c>
      <c r="T1114" s="14" t="n">
        <v>0.45</v>
      </c>
      <c r="U1114" s="26">
        <f>IF(X1114&gt;='Methodology &amp; Assumptions'!$B$7, "Tier 1 Critical GIDA (Score ≥ 50.0)", IF(X1114&gt;='Methodology &amp; Assumptions'!$B$8, "Tier 2 High GIDA (Score 40.0–49.9)", "Tier 3 Moderate GIDA (Score &lt; 40.0)"))</f>
        <v/>
      </c>
      <c r="V1114" s="26">
        <f>IF(S1114&lt;='Methodology &amp; Assumptions'!$B$10, "Direct Optical Drop (&lt;3km)", IF(S1114&lt;='Methodology &amp; Assumptions'!$B$9, "Near Optical / Microwave (&lt;5km)", "Starlink Business LEO Satellite Backhaul (&gt;5km)"))</f>
        <v/>
      </c>
      <c r="W1114" s="28" t="n">
        <v>0.109</v>
      </c>
      <c r="X1114" s="14" t="n">
        <v>44.14</v>
      </c>
      <c r="Y1114" s="14">
        <f>ROUND(MIN(100, (X1114/69.91)*100), 2)</f>
        <v/>
      </c>
    </row>
    <row r="1115">
      <c r="A1115" s="10" t="n">
        <v>5</v>
      </c>
      <c r="B1115" s="10" t="n">
        <v>111</v>
      </c>
      <c r="C1115" s="10" t="n">
        <v>4111</v>
      </c>
      <c r="D1115" s="10" t="inlineStr">
        <is>
          <t>0603046009</t>
        </is>
      </c>
      <c r="E1115" s="26" t="inlineStr">
        <is>
          <t>Region VI (Western Visayas)</t>
        </is>
      </c>
      <c r="F1115" s="26" t="inlineStr">
        <is>
          <t>Iloilo</t>
        </is>
      </c>
      <c r="G1115" s="26" t="inlineStr">
        <is>
          <t>Tubungan</t>
        </is>
      </c>
      <c r="H1115" s="26" t="inlineStr">
        <is>
          <t>Bantayanan</t>
        </is>
      </c>
      <c r="I1115" s="27" t="n">
        <v>10.78815</v>
      </c>
      <c r="J1115" s="27" t="n">
        <v>122.303561</v>
      </c>
      <c r="K1115" s="10" t="inlineStr">
        <is>
          <t>R</t>
        </is>
      </c>
      <c r="L1115" s="12" t="n">
        <v>391</v>
      </c>
      <c r="M1115" s="14" t="n">
        <v>3.8</v>
      </c>
      <c r="N1115" s="12">
        <f>ROUND(L1115/M1115, 0)</f>
        <v/>
      </c>
      <c r="O1115" s="12">
        <f>ROUND(N1115*'Methodology &amp; Assumptions'!$B$5, 0)</f>
        <v/>
      </c>
      <c r="P1115" s="10" t="inlineStr">
        <is>
          <t>Single Carrier (Band n50, 100MHz TDD)</t>
        </is>
      </c>
      <c r="Q1115" s="13">
        <f>ROUNDUP(O1115/'Methodology &amp; Assumptions'!$B$6, 0)</f>
        <v/>
      </c>
      <c r="R1115" s="13" t="n">
        <v>1</v>
      </c>
      <c r="S1115" s="14" t="n">
        <v>14.78</v>
      </c>
      <c r="T1115" s="14" t="n">
        <v>11.29</v>
      </c>
      <c r="U1115" s="26">
        <f>IF(X1115&gt;='Methodology &amp; Assumptions'!$B$7, "Tier 1 Critical GIDA (Score ≥ 50.0)", IF(X1115&gt;='Methodology &amp; Assumptions'!$B$8, "Tier 2 High GIDA (Score 40.0–49.9)", "Tier 3 Moderate GIDA (Score &lt; 40.0)"))</f>
        <v/>
      </c>
      <c r="V1115" s="26">
        <f>IF(S1115&lt;='Methodology &amp; Assumptions'!$B$10, "Direct Optical Drop (&lt;3km)", IF(S1115&lt;='Methodology &amp; Assumptions'!$B$9, "Near Optical / Microwave (&lt;5km)", "Starlink Business LEO Satellite Backhaul (&gt;5km)"))</f>
        <v/>
      </c>
      <c r="W1115" s="28" t="n">
        <v>0.237</v>
      </c>
      <c r="X1115" s="14" t="n">
        <v>44.14</v>
      </c>
      <c r="Y1115" s="14">
        <f>ROUND(MIN(100, (X1115/69.91)*100), 2)</f>
        <v/>
      </c>
    </row>
    <row r="1116">
      <c r="A1116" s="10" t="n">
        <v>5</v>
      </c>
      <c r="B1116" s="10" t="n">
        <v>112</v>
      </c>
      <c r="C1116" s="10" t="n">
        <v>4112</v>
      </c>
      <c r="D1116" s="10" t="inlineStr">
        <is>
          <t>0907344013</t>
        </is>
      </c>
      <c r="E1116" s="26" t="inlineStr">
        <is>
          <t>Region IX (Zamboanga Peninsula)</t>
        </is>
      </c>
      <c r="F1116" s="26" t="inlineStr">
        <is>
          <t>Zamboanga del Sur</t>
        </is>
      </c>
      <c r="G1116" s="26" t="inlineStr">
        <is>
          <t>Tigbao</t>
        </is>
      </c>
      <c r="H1116" s="26" t="inlineStr">
        <is>
          <t>Nangan-nangan</t>
        </is>
      </c>
      <c r="I1116" s="27" t="n">
        <v>7.915998</v>
      </c>
      <c r="J1116" s="27" t="n">
        <v>123.204445</v>
      </c>
      <c r="K1116" s="10" t="inlineStr">
        <is>
          <t>R</t>
        </is>
      </c>
      <c r="L1116" s="12" t="n">
        <v>732</v>
      </c>
      <c r="M1116" s="14" t="n">
        <v>3.9</v>
      </c>
      <c r="N1116" s="12">
        <f>ROUND(L1116/M1116, 0)</f>
        <v/>
      </c>
      <c r="O1116" s="12">
        <f>ROUND(N1116*'Methodology &amp; Assumptions'!$B$5, 0)</f>
        <v/>
      </c>
      <c r="P1116" s="10" t="inlineStr">
        <is>
          <t>Single Carrier (Band n50, 100MHz TDD)</t>
        </is>
      </c>
      <c r="Q1116" s="13">
        <f>ROUNDUP(O1116/'Methodology &amp; Assumptions'!$B$6, 0)</f>
        <v/>
      </c>
      <c r="R1116" s="13" t="n">
        <v>1</v>
      </c>
      <c r="S1116" s="14" t="n">
        <v>26.45</v>
      </c>
      <c r="T1116" s="14" t="n">
        <v>9.300000000000001</v>
      </c>
      <c r="U1116" s="26">
        <f>IF(X1116&gt;='Methodology &amp; Assumptions'!$B$7, "Tier 1 Critical GIDA (Score ≥ 50.0)", IF(X1116&gt;='Methodology &amp; Assumptions'!$B$8, "Tier 2 High GIDA (Score 40.0–49.9)", "Tier 3 Moderate GIDA (Score &lt; 40.0)"))</f>
        <v/>
      </c>
      <c r="V1116" s="26">
        <f>IF(S1116&lt;='Methodology &amp; Assumptions'!$B$10, "Direct Optical Drop (&lt;3km)", IF(S1116&lt;='Methodology &amp; Assumptions'!$B$9, "Near Optical / Microwave (&lt;5km)", "Starlink Business LEO Satellite Backhaul (&gt;5km)"))</f>
        <v/>
      </c>
      <c r="W1116" s="28" t="n">
        <v>0.11</v>
      </c>
      <c r="X1116" s="14" t="n">
        <v>44.14</v>
      </c>
      <c r="Y1116" s="14">
        <f>ROUND(MIN(100, (X1116/69.91)*100), 2)</f>
        <v/>
      </c>
    </row>
    <row r="1117">
      <c r="A1117" s="10" t="n">
        <v>5</v>
      </c>
      <c r="B1117" s="10" t="n">
        <v>113</v>
      </c>
      <c r="C1117" s="10" t="n">
        <v>4113</v>
      </c>
      <c r="D1117" s="10" t="inlineStr">
        <is>
          <t>0803721005</t>
        </is>
      </c>
      <c r="E1117" s="26" t="inlineStr">
        <is>
          <t>Region VIII (Eastern Visayas)</t>
        </is>
      </c>
      <c r="F1117" s="26" t="inlineStr">
        <is>
          <t>Leyte</t>
        </is>
      </c>
      <c r="G1117" s="26" t="inlineStr">
        <is>
          <t>Inopacan</t>
        </is>
      </c>
      <c r="H1117" s="26" t="inlineStr">
        <is>
          <t>Caulisihan</t>
        </is>
      </c>
      <c r="I1117" s="27" t="n">
        <v>10.540754</v>
      </c>
      <c r="J1117" s="27" t="n">
        <v>124.881375</v>
      </c>
      <c r="K1117" s="10" t="inlineStr">
        <is>
          <t>R</t>
        </is>
      </c>
      <c r="L1117" s="12" t="n">
        <v>352</v>
      </c>
      <c r="M1117" s="14" t="n">
        <v>3.8</v>
      </c>
      <c r="N1117" s="12">
        <f>ROUND(L1117/M1117, 0)</f>
        <v/>
      </c>
      <c r="O1117" s="12">
        <f>ROUND(N1117*'Methodology &amp; Assumptions'!$B$5, 0)</f>
        <v/>
      </c>
      <c r="P1117" s="10" t="inlineStr">
        <is>
          <t>Single Carrier (Band n50, 100MHz TDD)</t>
        </is>
      </c>
      <c r="Q1117" s="13">
        <f>ROUNDUP(O1117/'Methodology &amp; Assumptions'!$B$6, 0)</f>
        <v/>
      </c>
      <c r="R1117" s="13" t="n">
        <v>1</v>
      </c>
      <c r="S1117" s="14" t="n">
        <v>17.71</v>
      </c>
      <c r="T1117" s="14" t="n">
        <v>8.19</v>
      </c>
      <c r="U1117" s="26">
        <f>IF(X1117&gt;='Methodology &amp; Assumptions'!$B$7, "Tier 1 Critical GIDA (Score ≥ 50.0)", IF(X1117&gt;='Methodology &amp; Assumptions'!$B$8, "Tier 2 High GIDA (Score 40.0–49.9)", "Tier 3 Moderate GIDA (Score &lt; 40.0)"))</f>
        <v/>
      </c>
      <c r="V1117" s="26">
        <f>IF(S1117&lt;='Methodology &amp; Assumptions'!$B$10, "Direct Optical Drop (&lt;3km)", IF(S1117&lt;='Methodology &amp; Assumptions'!$B$9, "Near Optical / Microwave (&lt;5km)", "Starlink Business LEO Satellite Backhaul (&gt;5km)"))</f>
        <v/>
      </c>
      <c r="W1117" s="28" t="n">
        <v>0.237</v>
      </c>
      <c r="X1117" s="14" t="n">
        <v>44.14</v>
      </c>
      <c r="Y1117" s="14">
        <f>ROUND(MIN(100, (X1117/69.91)*100), 2)</f>
        <v/>
      </c>
    </row>
    <row r="1118">
      <c r="A1118" s="10" t="n">
        <v>5</v>
      </c>
      <c r="B1118" s="10" t="n">
        <v>114</v>
      </c>
      <c r="C1118" s="10" t="n">
        <v>4114</v>
      </c>
      <c r="D1118" s="10" t="inlineStr">
        <is>
          <t>PH0004114</t>
        </is>
      </c>
      <c r="E1118" s="26" t="inlineStr">
        <is>
          <t>NCR</t>
        </is>
      </c>
      <c r="F1118" s="26" t="inlineStr">
        <is>
          <t>Metro Manila</t>
        </is>
      </c>
      <c r="G1118" s="26" t="inlineStr">
        <is>
          <t>Taguig City</t>
        </is>
      </c>
      <c r="H1118" s="26" t="inlineStr">
        <is>
          <t>East Rembo</t>
        </is>
      </c>
      <c r="I1118" s="27" t="n">
        <v>14.516893</v>
      </c>
      <c r="J1118" s="27" t="n">
        <v>121.065825</v>
      </c>
      <c r="K1118" s="10" t="inlineStr">
        <is>
          <t>R</t>
        </is>
      </c>
      <c r="L1118" s="12" t="n">
        <v>2279</v>
      </c>
      <c r="M1118" s="14" t="n">
        <v>3.8</v>
      </c>
      <c r="N1118" s="12">
        <f>ROUND(L1118/M1118, 0)</f>
        <v/>
      </c>
      <c r="O1118" s="12">
        <f>ROUND(N1118*'Methodology &amp; Assumptions'!$B$5, 0)</f>
        <v/>
      </c>
      <c r="P1118" s="10" t="inlineStr">
        <is>
          <t>Single Carrier (Band n50, 100MHz TDD)</t>
        </is>
      </c>
      <c r="Q1118" s="13">
        <f>ROUNDUP(O1118/'Methodology &amp; Assumptions'!$B$6, 0)</f>
        <v/>
      </c>
      <c r="R1118" s="13" t="n">
        <v>1</v>
      </c>
      <c r="S1118" s="14" t="n">
        <v>0.91</v>
      </c>
      <c r="T1118" s="14" t="n">
        <v>0.62</v>
      </c>
      <c r="U1118" s="26">
        <f>IF(X1118&gt;='Methodology &amp; Assumptions'!$B$7, "Tier 1 Critical GIDA (Score ≥ 50.0)", IF(X1118&gt;='Methodology &amp; Assumptions'!$B$8, "Tier 2 High GIDA (Score 40.0–49.9)", "Tier 3 Moderate GIDA (Score &lt; 40.0)"))</f>
        <v/>
      </c>
      <c r="V1118" s="26">
        <f>IF(S1118&lt;='Methodology &amp; Assumptions'!$B$10, "Direct Optical Drop (&lt;3km)", IF(S1118&lt;='Methodology &amp; Assumptions'!$B$9, "Near Optical / Microwave (&lt;5km)", "Starlink Business LEO Satellite Backhaul (&gt;5km)"))</f>
        <v/>
      </c>
      <c r="W1118" s="28" t="n">
        <v>0.011</v>
      </c>
      <c r="X1118" s="14" t="n">
        <v>44.14</v>
      </c>
      <c r="Y1118" s="14">
        <f>ROUND(MIN(100, (X1118/69.91)*100), 2)</f>
        <v/>
      </c>
    </row>
    <row r="1119">
      <c r="A1119" s="10" t="n">
        <v>5</v>
      </c>
      <c r="B1119" s="10" t="n">
        <v>115</v>
      </c>
      <c r="C1119" s="10" t="n">
        <v>4115</v>
      </c>
      <c r="D1119" s="10" t="inlineStr">
        <is>
          <t>0203104023</t>
        </is>
      </c>
      <c r="E1119" s="26" t="inlineStr">
        <is>
          <t>Region II (Cagayan Valley)</t>
        </is>
      </c>
      <c r="F1119" s="26" t="inlineStr">
        <is>
          <t>Isabela</t>
        </is>
      </c>
      <c r="G1119" s="26" t="inlineStr">
        <is>
          <t>Benito Soliven</t>
        </is>
      </c>
      <c r="H1119" s="26" t="inlineStr">
        <is>
          <t>Sinipit</t>
        </is>
      </c>
      <c r="I1119" s="27" t="n">
        <v>16.87709</v>
      </c>
      <c r="J1119" s="27" t="n">
        <v>121.94748</v>
      </c>
      <c r="K1119" s="10" t="inlineStr">
        <is>
          <t>R</t>
        </is>
      </c>
      <c r="L1119" s="12" t="n">
        <v>501</v>
      </c>
      <c r="M1119" s="14" t="n">
        <v>3.8</v>
      </c>
      <c r="N1119" s="12">
        <f>ROUND(L1119/M1119, 0)</f>
        <v/>
      </c>
      <c r="O1119" s="12">
        <f>ROUND(N1119*'Methodology &amp; Assumptions'!$B$5, 0)</f>
        <v/>
      </c>
      <c r="P1119" s="10" t="inlineStr">
        <is>
          <t>Single Carrier (Band n50, 100MHz TDD)</t>
        </is>
      </c>
      <c r="Q1119" s="13">
        <f>ROUNDUP(O1119/'Methodology &amp; Assumptions'!$B$6, 0)</f>
        <v/>
      </c>
      <c r="R1119" s="13" t="n">
        <v>1</v>
      </c>
      <c r="S1119" s="14" t="n">
        <v>12.05</v>
      </c>
      <c r="T1119" s="14" t="n">
        <v>18.37</v>
      </c>
      <c r="U1119" s="26">
        <f>IF(X1119&gt;='Methodology &amp; Assumptions'!$B$7, "Tier 1 Critical GIDA (Score ≥ 50.0)", IF(X1119&gt;='Methodology &amp; Assumptions'!$B$8, "Tier 2 High GIDA (Score 40.0–49.9)", "Tier 3 Moderate GIDA (Score &lt; 40.0)"))</f>
        <v/>
      </c>
      <c r="V1119" s="26">
        <f>IF(S1119&lt;='Methodology &amp; Assumptions'!$B$10, "Direct Optical Drop (&lt;3km)", IF(S1119&lt;='Methodology &amp; Assumptions'!$B$9, "Near Optical / Microwave (&lt;5km)", "Starlink Business LEO Satellite Backhaul (&gt;5km)"))</f>
        <v/>
      </c>
      <c r="W1119" s="28" t="n">
        <v>0.083</v>
      </c>
      <c r="X1119" s="14" t="n">
        <v>44.13</v>
      </c>
      <c r="Y1119" s="14">
        <f>ROUND(MIN(100, (X1119/69.91)*100), 2)</f>
        <v/>
      </c>
    </row>
    <row r="1120">
      <c r="A1120" s="10" t="n">
        <v>5</v>
      </c>
      <c r="B1120" s="10" t="n">
        <v>116</v>
      </c>
      <c r="C1120" s="10" t="n">
        <v>4116</v>
      </c>
      <c r="D1120" s="10" t="inlineStr">
        <is>
          <t>PH0004116</t>
        </is>
      </c>
      <c r="E1120" s="26" t="inlineStr">
        <is>
          <t>XI</t>
        </is>
      </c>
      <c r="F1120" s="26" t="inlineStr">
        <is>
          <t>Davao Del Sur</t>
        </is>
      </c>
      <c r="G1120" s="26" t="inlineStr">
        <is>
          <t>Davao City</t>
        </is>
      </c>
      <c r="H1120" s="26" t="inlineStr">
        <is>
          <t>Barangay 16-B (Pob.)</t>
        </is>
      </c>
      <c r="I1120" s="27" t="n">
        <v>7.209844</v>
      </c>
      <c r="J1120" s="27" t="n">
        <v>125.506337</v>
      </c>
      <c r="K1120" s="10" t="inlineStr">
        <is>
          <t>R</t>
        </is>
      </c>
      <c r="L1120" s="12" t="n">
        <v>2280</v>
      </c>
      <c r="M1120" s="14" t="n">
        <v>3.4</v>
      </c>
      <c r="N1120" s="12">
        <f>ROUND(L1120/M1120, 0)</f>
        <v/>
      </c>
      <c r="O1120" s="12">
        <f>ROUND(N1120*'Methodology &amp; Assumptions'!$B$5, 0)</f>
        <v/>
      </c>
      <c r="P1120" s="10" t="inlineStr">
        <is>
          <t>Single Carrier (Band n50, 100MHz TDD)</t>
        </is>
      </c>
      <c r="Q1120" s="13">
        <f>ROUNDUP(O1120/'Methodology &amp; Assumptions'!$B$6, 0)</f>
        <v/>
      </c>
      <c r="R1120" s="13" t="n">
        <v>1</v>
      </c>
      <c r="S1120" s="14" t="n">
        <v>6.27</v>
      </c>
      <c r="T1120" s="14" t="n">
        <v>5.59</v>
      </c>
      <c r="U1120" s="26">
        <f>IF(X1120&gt;='Methodology &amp; Assumptions'!$B$7, "Tier 1 Critical GIDA (Score ≥ 50.0)", IF(X1120&gt;='Methodology &amp; Assumptions'!$B$8, "Tier 2 High GIDA (Score 40.0–49.9)", "Tier 3 Moderate GIDA (Score &lt; 40.0)"))</f>
        <v/>
      </c>
      <c r="V1120" s="26">
        <f>IF(S1120&lt;='Methodology &amp; Assumptions'!$B$10, "Direct Optical Drop (&lt;3km)", IF(S1120&lt;='Methodology &amp; Assumptions'!$B$9, "Near Optical / Microwave (&lt;5km)", "Starlink Business LEO Satellite Backhaul (&gt;5km)"))</f>
        <v/>
      </c>
      <c r="W1120" s="28" t="n">
        <v>0.119</v>
      </c>
      <c r="X1120" s="14" t="n">
        <v>44.13</v>
      </c>
      <c r="Y1120" s="14">
        <f>ROUND(MIN(100, (X1120/69.91)*100), 2)</f>
        <v/>
      </c>
    </row>
    <row r="1121">
      <c r="A1121" s="10" t="n">
        <v>5</v>
      </c>
      <c r="B1121" s="10" t="n">
        <v>117</v>
      </c>
      <c r="C1121" s="10" t="n">
        <v>4117</v>
      </c>
      <c r="D1121" s="10" t="inlineStr">
        <is>
          <t>PH0004117</t>
        </is>
      </c>
      <c r="E1121" s="26" t="inlineStr">
        <is>
          <t>CAR</t>
        </is>
      </c>
      <c r="F1121" s="26" t="inlineStr">
        <is>
          <t>Benguet</t>
        </is>
      </c>
      <c r="G1121" s="26" t="inlineStr">
        <is>
          <t>Baguio City</t>
        </is>
      </c>
      <c r="H1121" s="26" t="inlineStr">
        <is>
          <t>Imelda Village</t>
        </is>
      </c>
      <c r="I1121" s="27" t="n">
        <v>16.453909</v>
      </c>
      <c r="J1121" s="27" t="n">
        <v>120.664118</v>
      </c>
      <c r="K1121" s="10" t="inlineStr">
        <is>
          <t>R</t>
        </is>
      </c>
      <c r="L1121" s="12" t="n">
        <v>2260</v>
      </c>
      <c r="M1121" s="14" t="n">
        <v>3.5</v>
      </c>
      <c r="N1121" s="12">
        <f>ROUND(L1121/M1121, 0)</f>
        <v/>
      </c>
      <c r="O1121" s="12">
        <f>ROUND(N1121*'Methodology &amp; Assumptions'!$B$5, 0)</f>
        <v/>
      </c>
      <c r="P1121" s="10" t="inlineStr">
        <is>
          <t>Single Carrier (Band n50, 100MHz TDD)</t>
        </is>
      </c>
      <c r="Q1121" s="13">
        <f>ROUNDUP(O1121/'Methodology &amp; Assumptions'!$B$6, 0)</f>
        <v/>
      </c>
      <c r="R1121" s="13" t="n">
        <v>1</v>
      </c>
      <c r="S1121" s="14" t="n">
        <v>3.91</v>
      </c>
      <c r="T1121" s="14" t="n">
        <v>2.9</v>
      </c>
      <c r="U1121" s="26">
        <f>IF(X1121&gt;='Methodology &amp; Assumptions'!$B$7, "Tier 1 Critical GIDA (Score ≥ 50.0)", IF(X1121&gt;='Methodology &amp; Assumptions'!$B$8, "Tier 2 High GIDA (Score 40.0–49.9)", "Tier 3 Moderate GIDA (Score &lt; 40.0)"))</f>
        <v/>
      </c>
      <c r="V1121" s="26">
        <f>IF(S1121&lt;='Methodology &amp; Assumptions'!$B$10, "Direct Optical Drop (&lt;3km)", IF(S1121&lt;='Methodology &amp; Assumptions'!$B$9, "Near Optical / Microwave (&lt;5km)", "Starlink Business LEO Satellite Backhaul (&gt;5km)"))</f>
        <v/>
      </c>
      <c r="W1121" s="28" t="n">
        <v>0.221</v>
      </c>
      <c r="X1121" s="14" t="n">
        <v>44.13</v>
      </c>
      <c r="Y1121" s="14">
        <f>ROUND(MIN(100, (X1121/69.91)*100), 2)</f>
        <v/>
      </c>
    </row>
    <row r="1122">
      <c r="A1122" s="10" t="n">
        <v>5</v>
      </c>
      <c r="B1122" s="10" t="n">
        <v>118</v>
      </c>
      <c r="C1122" s="10" t="n">
        <v>4118</v>
      </c>
      <c r="D1122" s="10" t="inlineStr">
        <is>
          <t>0600601023</t>
        </is>
      </c>
      <c r="E1122" s="26" t="inlineStr">
        <is>
          <t>Region VI (Western Visayas)</t>
        </is>
      </c>
      <c r="F1122" s="26" t="inlineStr">
        <is>
          <t>Antique</t>
        </is>
      </c>
      <c r="G1122" s="26" t="inlineStr">
        <is>
          <t>Anini-Y</t>
        </is>
      </c>
      <c r="H1122" s="26" t="inlineStr">
        <is>
          <t>Tagaytay</t>
        </is>
      </c>
      <c r="I1122" s="27" t="n">
        <v>10.461357</v>
      </c>
      <c r="J1122" s="27" t="n">
        <v>121.943116</v>
      </c>
      <c r="K1122" s="10" t="inlineStr">
        <is>
          <t>R</t>
        </is>
      </c>
      <c r="L1122" s="12" t="n">
        <v>369</v>
      </c>
      <c r="M1122" s="14" t="n">
        <v>3.9</v>
      </c>
      <c r="N1122" s="12">
        <f>ROUND(L1122/M1122, 0)</f>
        <v/>
      </c>
      <c r="O1122" s="12">
        <f>ROUND(N1122*'Methodology &amp; Assumptions'!$B$5, 0)</f>
        <v/>
      </c>
      <c r="P1122" s="10" t="inlineStr">
        <is>
          <t>Single Carrier (Band n50, 100MHz TDD)</t>
        </is>
      </c>
      <c r="Q1122" s="13">
        <f>ROUNDUP(O1122/'Methodology &amp; Assumptions'!$B$6, 0)</f>
        <v/>
      </c>
      <c r="R1122" s="13" t="n">
        <v>1</v>
      </c>
      <c r="S1122" s="14" t="n">
        <v>33.47</v>
      </c>
      <c r="T1122" s="14" t="n">
        <v>15.75</v>
      </c>
      <c r="U1122" s="26">
        <f>IF(X1122&gt;='Methodology &amp; Assumptions'!$B$7, "Tier 1 Critical GIDA (Score ≥ 50.0)", IF(X1122&gt;='Methodology &amp; Assumptions'!$B$8, "Tier 2 High GIDA (Score 40.0–49.9)", "Tier 3 Moderate GIDA (Score &lt; 40.0)"))</f>
        <v/>
      </c>
      <c r="V1122" s="26">
        <f>IF(S1122&lt;='Methodology &amp; Assumptions'!$B$10, "Direct Optical Drop (&lt;3km)", IF(S1122&lt;='Methodology &amp; Assumptions'!$B$9, "Near Optical / Microwave (&lt;5km)", "Starlink Business LEO Satellite Backhaul (&gt;5km)"))</f>
        <v/>
      </c>
      <c r="W1122" s="28" t="n">
        <v>0.237</v>
      </c>
      <c r="X1122" s="14" t="n">
        <v>44.13</v>
      </c>
      <c r="Y1122" s="14">
        <f>ROUND(MIN(100, (X1122/69.91)*100), 2)</f>
        <v/>
      </c>
    </row>
    <row r="1123">
      <c r="A1123" s="10" t="n">
        <v>5</v>
      </c>
      <c r="B1123" s="10" t="n">
        <v>119</v>
      </c>
      <c r="C1123" s="10" t="n">
        <v>4119</v>
      </c>
      <c r="D1123" s="10" t="inlineStr">
        <is>
          <t>0702232015</t>
        </is>
      </c>
      <c r="E1123" s="26" t="inlineStr">
        <is>
          <t>Region VII (Central Visayas)</t>
        </is>
      </c>
      <c r="F1123" s="26" t="inlineStr">
        <is>
          <t>Cebu</t>
        </is>
      </c>
      <c r="G1123" s="26" t="inlineStr">
        <is>
          <t>Minglanilla</t>
        </is>
      </c>
      <c r="H1123" s="26" t="inlineStr">
        <is>
          <t>Tulay</t>
        </is>
      </c>
      <c r="I1123" s="27" t="n">
        <v>10.239071</v>
      </c>
      <c r="J1123" s="27" t="n">
        <v>123.792724</v>
      </c>
      <c r="K1123" s="10" t="inlineStr">
        <is>
          <t>U</t>
        </is>
      </c>
      <c r="L1123" s="12" t="n">
        <v>12101</v>
      </c>
      <c r="M1123" s="14" t="n">
        <v>3.8</v>
      </c>
      <c r="N1123" s="12">
        <f>ROUND(L1123/M1123, 0)</f>
        <v/>
      </c>
      <c r="O1123" s="12">
        <f>ROUND(N1123*'Methodology &amp; Assumptions'!$B$5, 0)</f>
        <v/>
      </c>
      <c r="P1123" s="10" t="inlineStr">
        <is>
          <t>Single Carrier (Band n50, 100MHz TDD)</t>
        </is>
      </c>
      <c r="Q1123" s="13">
        <f>ROUNDUP(O1123/'Methodology &amp; Assumptions'!$B$6, 0)</f>
        <v/>
      </c>
      <c r="R1123" s="13" t="n">
        <v>1</v>
      </c>
      <c r="S1123" s="14" t="n">
        <v>1.28</v>
      </c>
      <c r="T1123" s="14" t="n">
        <v>0.21</v>
      </c>
      <c r="U1123" s="26">
        <f>IF(X1123&gt;='Methodology &amp; Assumptions'!$B$7, "Tier 1 Critical GIDA (Score ≥ 50.0)", IF(X1123&gt;='Methodology &amp; Assumptions'!$B$8, "Tier 2 High GIDA (Score 40.0–49.9)", "Tier 3 Moderate GIDA (Score &lt; 40.0)"))</f>
        <v/>
      </c>
      <c r="V1123" s="26">
        <f>IF(S1123&lt;='Methodology &amp; Assumptions'!$B$10, "Direct Optical Drop (&lt;3km)", IF(S1123&lt;='Methodology &amp; Assumptions'!$B$9, "Near Optical / Microwave (&lt;5km)", "Starlink Business LEO Satellite Backhaul (&gt;5km)"))</f>
        <v/>
      </c>
      <c r="W1123" s="28" t="n">
        <v>0.237</v>
      </c>
      <c r="X1123" s="14" t="n">
        <v>44.13</v>
      </c>
      <c r="Y1123" s="14">
        <f>ROUND(MIN(100, (X1123/69.91)*100), 2)</f>
        <v/>
      </c>
    </row>
    <row r="1124">
      <c r="A1124" s="10" t="n">
        <v>5</v>
      </c>
      <c r="B1124" s="10" t="n">
        <v>120</v>
      </c>
      <c r="C1124" s="10" t="n">
        <v>4120</v>
      </c>
      <c r="D1124" s="10" t="inlineStr">
        <is>
          <t>0301412009</t>
        </is>
      </c>
      <c r="E1124" s="26" t="inlineStr">
        <is>
          <t>Region III (Central Luzon)</t>
        </is>
      </c>
      <c r="F1124" s="26" t="inlineStr">
        <is>
          <t>Bulacan</t>
        </is>
      </c>
      <c r="G1124" s="26" t="inlineStr">
        <is>
          <t>City of Meycauayan</t>
        </is>
      </c>
      <c r="H1124" s="26" t="inlineStr">
        <is>
          <t>Iba</t>
        </is>
      </c>
      <c r="I1124" s="27" t="n">
        <v>14.753868</v>
      </c>
      <c r="J1124" s="27" t="n">
        <v>120.981834</v>
      </c>
      <c r="K1124" s="10" t="inlineStr">
        <is>
          <t>U</t>
        </is>
      </c>
      <c r="L1124" s="12" t="n">
        <v>9791</v>
      </c>
      <c r="M1124" s="14" t="n">
        <v>3.5</v>
      </c>
      <c r="N1124" s="12">
        <f>ROUND(L1124/M1124, 0)</f>
        <v/>
      </c>
      <c r="O1124" s="12">
        <f>ROUND(N1124*'Methodology &amp; Assumptions'!$B$5, 0)</f>
        <v/>
      </c>
      <c r="P1124" s="10" t="inlineStr">
        <is>
          <t>Single Carrier (Band n50, 100MHz TDD)</t>
        </is>
      </c>
      <c r="Q1124" s="13">
        <f>ROUNDUP(O1124/'Methodology &amp; Assumptions'!$B$6, 0)</f>
        <v/>
      </c>
      <c r="R1124" s="13" t="n">
        <v>1</v>
      </c>
      <c r="S1124" s="14" t="n">
        <v>0.91</v>
      </c>
      <c r="T1124" s="14" t="n">
        <v>1.48</v>
      </c>
      <c r="U1124" s="26">
        <f>IF(X1124&gt;='Methodology &amp; Assumptions'!$B$7, "Tier 1 Critical GIDA (Score ≥ 50.0)", IF(X1124&gt;='Methodology &amp; Assumptions'!$B$8, "Tier 2 High GIDA (Score 40.0–49.9)", "Tier 3 Moderate GIDA (Score &lt; 40.0)"))</f>
        <v/>
      </c>
      <c r="V1124" s="26">
        <f>IF(S1124&lt;='Methodology &amp; Assumptions'!$B$10, "Direct Optical Drop (&lt;3km)", IF(S1124&lt;='Methodology &amp; Assumptions'!$B$9, "Near Optical / Microwave (&lt;5km)", "Starlink Business LEO Satellite Backhaul (&gt;5km)"))</f>
        <v/>
      </c>
      <c r="W1124" s="28" t="n">
        <v>0.083</v>
      </c>
      <c r="X1124" s="14" t="n">
        <v>44.13</v>
      </c>
      <c r="Y1124" s="14">
        <f>ROUND(MIN(100, (X1124/69.91)*100), 2)</f>
        <v/>
      </c>
    </row>
    <row r="1125">
      <c r="A1125" s="10" t="n">
        <v>5</v>
      </c>
      <c r="B1125" s="10" t="n">
        <v>121</v>
      </c>
      <c r="C1125" s="10" t="n">
        <v>4121</v>
      </c>
      <c r="D1125" s="10" t="inlineStr">
        <is>
          <t>0401003013</t>
        </is>
      </c>
      <c r="E1125" s="26" t="inlineStr">
        <is>
          <t>Region IV-A (CALABARZON)</t>
        </is>
      </c>
      <c r="F1125" s="26" t="inlineStr">
        <is>
          <t>Batangas</t>
        </is>
      </c>
      <c r="G1125" s="26" t="inlineStr">
        <is>
          <t>Balayan</t>
        </is>
      </c>
      <c r="H1125" s="26" t="inlineStr">
        <is>
          <t>Barangay 8</t>
        </is>
      </c>
      <c r="I1125" s="27" t="n">
        <v>13.962269</v>
      </c>
      <c r="J1125" s="27" t="n">
        <v>120.736272</v>
      </c>
      <c r="K1125" s="10" t="inlineStr">
        <is>
          <t>R</t>
        </is>
      </c>
      <c r="L1125" s="12" t="n">
        <v>2164</v>
      </c>
      <c r="M1125" s="14" t="n">
        <v>3.6</v>
      </c>
      <c r="N1125" s="12">
        <f>ROUND(L1125/M1125, 0)</f>
        <v/>
      </c>
      <c r="O1125" s="12">
        <f>ROUND(N1125*'Methodology &amp; Assumptions'!$B$5, 0)</f>
        <v/>
      </c>
      <c r="P1125" s="10" t="inlineStr">
        <is>
          <t>Single Carrier (Band n50, 100MHz TDD)</t>
        </is>
      </c>
      <c r="Q1125" s="13">
        <f>ROUNDUP(O1125/'Methodology &amp; Assumptions'!$B$6, 0)</f>
        <v/>
      </c>
      <c r="R1125" s="13" t="n">
        <v>1</v>
      </c>
      <c r="S1125" s="14" t="n">
        <v>2.27</v>
      </c>
      <c r="T1125" s="14" t="n">
        <v>0.98</v>
      </c>
      <c r="U1125" s="26">
        <f>IF(X1125&gt;='Methodology &amp; Assumptions'!$B$7, "Tier 1 Critical GIDA (Score ≥ 50.0)", IF(X1125&gt;='Methodology &amp; Assumptions'!$B$8, "Tier 2 High GIDA (Score 40.0–49.9)", "Tier 3 Moderate GIDA (Score &lt; 40.0)"))</f>
        <v/>
      </c>
      <c r="V1125" s="26">
        <f>IF(S1125&lt;='Methodology &amp; Assumptions'!$B$10, "Direct Optical Drop (&lt;3km)", IF(S1125&lt;='Methodology &amp; Assumptions'!$B$9, "Near Optical / Microwave (&lt;5km)", "Starlink Business LEO Satellite Backhaul (&gt;5km)"))</f>
        <v/>
      </c>
      <c r="W1125" s="28" t="n">
        <v>0.07200000000000001</v>
      </c>
      <c r="X1125" s="14" t="n">
        <v>44.11</v>
      </c>
      <c r="Y1125" s="14">
        <f>ROUND(MIN(100, (X1125/69.91)*100), 2)</f>
        <v/>
      </c>
    </row>
    <row r="1126">
      <c r="A1126" s="10" t="n">
        <v>5</v>
      </c>
      <c r="B1126" s="10" t="n">
        <v>122</v>
      </c>
      <c r="C1126" s="10" t="n">
        <v>4122</v>
      </c>
      <c r="D1126" s="10" t="inlineStr">
        <is>
          <t>0704602002</t>
        </is>
      </c>
      <c r="E1126" s="26" t="inlineStr">
        <is>
          <t>Region VII (Central Visayas)</t>
        </is>
      </c>
      <c r="F1126" s="26" t="inlineStr">
        <is>
          <t>Negros Oriental</t>
        </is>
      </c>
      <c r="G1126" s="26" t="inlineStr">
        <is>
          <t>Ayungon</t>
        </is>
      </c>
      <c r="H1126" s="26" t="inlineStr">
        <is>
          <t>Jandalamanon</t>
        </is>
      </c>
      <c r="I1126" s="27" t="n">
        <v>9.844132</v>
      </c>
      <c r="J1126" s="27" t="n">
        <v>123.086456</v>
      </c>
      <c r="K1126" s="10" t="inlineStr">
        <is>
          <t>R</t>
        </is>
      </c>
      <c r="L1126" s="12" t="n">
        <v>1153</v>
      </c>
      <c r="M1126" s="14" t="n">
        <v>3.8</v>
      </c>
      <c r="N1126" s="12">
        <f>ROUND(L1126/M1126, 0)</f>
        <v/>
      </c>
      <c r="O1126" s="12">
        <f>ROUND(N1126*'Methodology &amp; Assumptions'!$B$5, 0)</f>
        <v/>
      </c>
      <c r="P1126" s="10" t="inlineStr">
        <is>
          <t>Single Carrier (Band n50, 100MHz TDD)</t>
        </is>
      </c>
      <c r="Q1126" s="13">
        <f>ROUNDUP(O1126/'Methodology &amp; Assumptions'!$B$6, 0)</f>
        <v/>
      </c>
      <c r="R1126" s="13" t="n">
        <v>1</v>
      </c>
      <c r="S1126" s="14" t="n">
        <v>21.58</v>
      </c>
      <c r="T1126" s="14" t="n">
        <v>4.98</v>
      </c>
      <c r="U1126" s="26">
        <f>IF(X1126&gt;='Methodology &amp; Assumptions'!$B$7, "Tier 1 Critical GIDA (Score ≥ 50.0)", IF(X1126&gt;='Methodology &amp; Assumptions'!$B$8, "Tier 2 High GIDA (Score 40.0–49.9)", "Tier 3 Moderate GIDA (Score &lt; 40.0)"))</f>
        <v/>
      </c>
      <c r="V1126" s="26">
        <f>IF(S1126&lt;='Methodology &amp; Assumptions'!$B$10, "Direct Optical Drop (&lt;3km)", IF(S1126&lt;='Methodology &amp; Assumptions'!$B$9, "Near Optical / Microwave (&lt;5km)", "Starlink Business LEO Satellite Backhaul (&gt;5km)"))</f>
        <v/>
      </c>
      <c r="W1126" s="28" t="n">
        <v>0.237</v>
      </c>
      <c r="X1126" s="14" t="n">
        <v>44.11</v>
      </c>
      <c r="Y1126" s="14">
        <f>ROUND(MIN(100, (X1126/69.91)*100), 2)</f>
        <v/>
      </c>
    </row>
    <row r="1127">
      <c r="A1127" s="10" t="n">
        <v>5</v>
      </c>
      <c r="B1127" s="10" t="n">
        <v>123</v>
      </c>
      <c r="C1127" s="10" t="n">
        <v>4123</v>
      </c>
      <c r="D1127" s="10" t="inlineStr">
        <is>
          <t>PH0004123</t>
        </is>
      </c>
      <c r="E1127" s="26" t="inlineStr">
        <is>
          <t>IV-A</t>
        </is>
      </c>
      <c r="F1127" s="26" t="inlineStr">
        <is>
          <t>Cavite</t>
        </is>
      </c>
      <c r="G1127" s="26" t="inlineStr">
        <is>
          <t>City of Bacoor</t>
        </is>
      </c>
      <c r="H1127" s="26" t="inlineStr">
        <is>
          <t>Mambog 1</t>
        </is>
      </c>
      <c r="I1127" s="27" t="n">
        <v>14.137715</v>
      </c>
      <c r="J1127" s="27" t="n">
        <v>120.859011</v>
      </c>
      <c r="K1127" s="10" t="inlineStr">
        <is>
          <t>R</t>
        </is>
      </c>
      <c r="L1127" s="12" t="n">
        <v>9584</v>
      </c>
      <c r="M1127" s="14" t="n">
        <v>3.4</v>
      </c>
      <c r="N1127" s="12">
        <f>ROUND(L1127/M1127, 0)</f>
        <v/>
      </c>
      <c r="O1127" s="12">
        <f>ROUND(N1127*'Methodology &amp; Assumptions'!$B$5, 0)</f>
        <v/>
      </c>
      <c r="P1127" s="10" t="inlineStr">
        <is>
          <t>Single Carrier (Band n50, 100MHz TDD)</t>
        </is>
      </c>
      <c r="Q1127" s="13">
        <f>ROUNDUP(O1127/'Methodology &amp; Assumptions'!$B$6, 0)</f>
        <v/>
      </c>
      <c r="R1127" s="13" t="n">
        <v>1</v>
      </c>
      <c r="S1127" s="14" t="n">
        <v>0.33</v>
      </c>
      <c r="T1127" s="14" t="n">
        <v>5.98</v>
      </c>
      <c r="U1127" s="26">
        <f>IF(X1127&gt;='Methodology &amp; Assumptions'!$B$7, "Tier 1 Critical GIDA (Score ≥ 50.0)", IF(X1127&gt;='Methodology &amp; Assumptions'!$B$8, "Tier 2 High GIDA (Score 40.0–49.9)", "Tier 3 Moderate GIDA (Score &lt; 40.0)"))</f>
        <v/>
      </c>
      <c r="V1127" s="26">
        <f>IF(S1127&lt;='Methodology &amp; Assumptions'!$B$10, "Direct Optical Drop (&lt;3km)", IF(S1127&lt;='Methodology &amp; Assumptions'!$B$9, "Near Optical / Microwave (&lt;5km)", "Starlink Business LEO Satellite Backhaul (&gt;5km)"))</f>
        <v/>
      </c>
      <c r="W1127" s="28" t="n">
        <v>0.07200000000000001</v>
      </c>
      <c r="X1127" s="14" t="n">
        <v>44.1</v>
      </c>
      <c r="Y1127" s="14">
        <f>ROUND(MIN(100, (X1127/69.91)*100), 2)</f>
        <v/>
      </c>
    </row>
    <row r="1128">
      <c r="A1128" s="10" t="n">
        <v>5</v>
      </c>
      <c r="B1128" s="10" t="n">
        <v>124</v>
      </c>
      <c r="C1128" s="10" t="n">
        <v>4124</v>
      </c>
      <c r="D1128" s="10" t="inlineStr">
        <is>
          <t>1402702004</t>
        </is>
      </c>
      <c r="E1128" s="26" t="inlineStr">
        <is>
          <t>Cordillera Administrative Region (CAR)</t>
        </is>
      </c>
      <c r="F1128" s="26" t="inlineStr">
        <is>
          <t>Ifugao</t>
        </is>
      </c>
      <c r="G1128" s="26" t="inlineStr">
        <is>
          <t>Hungduan</t>
        </is>
      </c>
      <c r="H1128" s="26" t="inlineStr">
        <is>
          <t>Bangbang</t>
        </is>
      </c>
      <c r="I1128" s="27" t="n">
        <v>16.83191</v>
      </c>
      <c r="J1128" s="27" t="n">
        <v>121.02532</v>
      </c>
      <c r="K1128" s="10" t="inlineStr">
        <is>
          <t>R</t>
        </is>
      </c>
      <c r="L1128" s="12" t="n">
        <v>603</v>
      </c>
      <c r="M1128" s="14" t="n">
        <v>3.9</v>
      </c>
      <c r="N1128" s="12">
        <f>ROUND(L1128/M1128, 0)</f>
        <v/>
      </c>
      <c r="O1128" s="12">
        <f>ROUND(N1128*'Methodology &amp; Assumptions'!$B$5, 0)</f>
        <v/>
      </c>
      <c r="P1128" s="10" t="inlineStr">
        <is>
          <t>Single Carrier (Band n50, 100MHz TDD)</t>
        </is>
      </c>
      <c r="Q1128" s="13">
        <f>ROUNDUP(O1128/'Methodology &amp; Assumptions'!$B$6, 0)</f>
        <v/>
      </c>
      <c r="R1128" s="13" t="n">
        <v>1</v>
      </c>
      <c r="S1128" s="14" t="n">
        <v>7.03</v>
      </c>
      <c r="T1128" s="14" t="n">
        <v>5.22</v>
      </c>
      <c r="U1128" s="26">
        <f>IF(X1128&gt;='Methodology &amp; Assumptions'!$B$7, "Tier 1 Critical GIDA (Score ≥ 50.0)", IF(X1128&gt;='Methodology &amp; Assumptions'!$B$8, "Tier 2 High GIDA (Score 40.0–49.9)", "Tier 3 Moderate GIDA (Score &lt; 40.0)"))</f>
        <v/>
      </c>
      <c r="V1128" s="26">
        <f>IF(S1128&lt;='Methodology &amp; Assumptions'!$B$10, "Direct Optical Drop (&lt;3km)", IF(S1128&lt;='Methodology &amp; Assumptions'!$B$9, "Near Optical / Microwave (&lt;5km)", "Starlink Business LEO Satellite Backhaul (&gt;5km)"))</f>
        <v/>
      </c>
      <c r="W1128" s="28" t="n">
        <v>0.109</v>
      </c>
      <c r="X1128" s="14" t="n">
        <v>44.1</v>
      </c>
      <c r="Y1128" s="14">
        <f>ROUND(MIN(100, (X1128/69.91)*100), 2)</f>
        <v/>
      </c>
    </row>
    <row r="1129">
      <c r="A1129" s="10" t="n">
        <v>5</v>
      </c>
      <c r="B1129" s="10" t="n">
        <v>125</v>
      </c>
      <c r="C1129" s="10" t="n">
        <v>4125</v>
      </c>
      <c r="D1129" s="10" t="inlineStr">
        <is>
          <t>0300809022</t>
        </is>
      </c>
      <c r="E1129" s="26" t="inlineStr">
        <is>
          <t>Region III (Central Luzon)</t>
        </is>
      </c>
      <c r="F1129" s="26" t="inlineStr">
        <is>
          <t>Bataan</t>
        </is>
      </c>
      <c r="G1129" s="26" t="inlineStr">
        <is>
          <t>Orani</t>
        </is>
      </c>
      <c r="H1129" s="26" t="inlineStr">
        <is>
          <t>Tenejero</t>
        </is>
      </c>
      <c r="I1129" s="27" t="n">
        <v>14.792827</v>
      </c>
      <c r="J1129" s="27" t="n">
        <v>120.510067</v>
      </c>
      <c r="K1129" s="10" t="inlineStr">
        <is>
          <t>R</t>
        </is>
      </c>
      <c r="L1129" s="12" t="n">
        <v>1747</v>
      </c>
      <c r="M1129" s="14" t="n">
        <v>3.6</v>
      </c>
      <c r="N1129" s="12">
        <f>ROUND(L1129/M1129, 0)</f>
        <v/>
      </c>
      <c r="O1129" s="12">
        <f>ROUND(N1129*'Methodology &amp; Assumptions'!$B$5, 0)</f>
        <v/>
      </c>
      <c r="P1129" s="10" t="inlineStr">
        <is>
          <t>Single Carrier (Band n50, 100MHz TDD)</t>
        </is>
      </c>
      <c r="Q1129" s="13">
        <f>ROUNDUP(O1129/'Methodology &amp; Assumptions'!$B$6, 0)</f>
        <v/>
      </c>
      <c r="R1129" s="13" t="n">
        <v>1</v>
      </c>
      <c r="S1129" s="14" t="n">
        <v>3.01</v>
      </c>
      <c r="T1129" s="14" t="n">
        <v>0.42</v>
      </c>
      <c r="U1129" s="26">
        <f>IF(X1129&gt;='Methodology &amp; Assumptions'!$B$7, "Tier 1 Critical GIDA (Score ≥ 50.0)", IF(X1129&gt;='Methodology &amp; Assumptions'!$B$8, "Tier 2 High GIDA (Score 40.0–49.9)", "Tier 3 Moderate GIDA (Score &lt; 40.0)"))</f>
        <v/>
      </c>
      <c r="V1129" s="26">
        <f>IF(S1129&lt;='Methodology &amp; Assumptions'!$B$10, "Direct Optical Drop (&lt;3km)", IF(S1129&lt;='Methodology &amp; Assumptions'!$B$9, "Near Optical / Microwave (&lt;5km)", "Starlink Business LEO Satellite Backhaul (&gt;5km)"))</f>
        <v/>
      </c>
      <c r="W1129" s="28" t="n">
        <v>0.083</v>
      </c>
      <c r="X1129" s="14" t="n">
        <v>44.1</v>
      </c>
      <c r="Y1129" s="14">
        <f>ROUND(MIN(100, (X1129/69.91)*100), 2)</f>
        <v/>
      </c>
    </row>
    <row r="1130">
      <c r="A1130" s="10" t="n">
        <v>5</v>
      </c>
      <c r="B1130" s="10" t="n">
        <v>126</v>
      </c>
      <c r="C1130" s="10" t="n">
        <v>4126</v>
      </c>
      <c r="D1130" s="10" t="inlineStr">
        <is>
          <t>PH0004126</t>
        </is>
      </c>
      <c r="E1130" s="26" t="inlineStr">
        <is>
          <t>V</t>
        </is>
      </c>
      <c r="F1130" s="26" t="inlineStr">
        <is>
          <t>Camarines Sur</t>
        </is>
      </c>
      <c r="G1130" s="26" t="inlineStr">
        <is>
          <t>Naga City</t>
        </is>
      </c>
      <c r="H1130" s="26" t="inlineStr">
        <is>
          <t>Santa Cruz</t>
        </is>
      </c>
      <c r="I1130" s="27" t="n">
        <v>13.626276</v>
      </c>
      <c r="J1130" s="27" t="n">
        <v>123.181992</v>
      </c>
      <c r="K1130" s="10" t="inlineStr">
        <is>
          <t>R</t>
        </is>
      </c>
      <c r="L1130" s="12" t="n">
        <v>2195</v>
      </c>
      <c r="M1130" s="14" t="n">
        <v>4.2</v>
      </c>
      <c r="N1130" s="12">
        <f>ROUND(L1130/M1130, 0)</f>
        <v/>
      </c>
      <c r="O1130" s="12">
        <f>ROUND(N1130*'Methodology &amp; Assumptions'!$B$5, 0)</f>
        <v/>
      </c>
      <c r="P1130" s="10" t="inlineStr">
        <is>
          <t>Single Carrier (Band n50, 100MHz TDD)</t>
        </is>
      </c>
      <c r="Q1130" s="13">
        <f>ROUNDUP(O1130/'Methodology &amp; Assumptions'!$B$6, 0)</f>
        <v/>
      </c>
      <c r="R1130" s="13" t="n">
        <v>1</v>
      </c>
      <c r="S1130" s="14" t="n">
        <v>1.29</v>
      </c>
      <c r="T1130" s="14" t="n">
        <v>1.06</v>
      </c>
      <c r="U1130" s="26">
        <f>IF(X1130&gt;='Methodology &amp; Assumptions'!$B$7, "Tier 1 Critical GIDA (Score ≥ 50.0)", IF(X1130&gt;='Methodology &amp; Assumptions'!$B$8, "Tier 2 High GIDA (Score 40.0–49.9)", "Tier 3 Moderate GIDA (Score &lt; 40.0)"))</f>
        <v/>
      </c>
      <c r="V1130" s="26">
        <f>IF(S1130&lt;='Methodology &amp; Assumptions'!$B$10, "Direct Optical Drop (&lt;3km)", IF(S1130&lt;='Methodology &amp; Assumptions'!$B$9, "Near Optical / Microwave (&lt;5km)", "Starlink Business LEO Satellite Backhaul (&gt;5km)"))</f>
        <v/>
      </c>
      <c r="W1130" s="28" t="n">
        <v>0.07200000000000001</v>
      </c>
      <c r="X1130" s="14" t="n">
        <v>44.09</v>
      </c>
      <c r="Y1130" s="14">
        <f>ROUND(MIN(100, (X1130/69.91)*100), 2)</f>
        <v/>
      </c>
    </row>
    <row r="1131">
      <c r="A1131" s="10" t="n">
        <v>5</v>
      </c>
      <c r="B1131" s="10" t="n">
        <v>127</v>
      </c>
      <c r="C1131" s="10" t="n">
        <v>4127</v>
      </c>
      <c r="D1131" s="10" t="inlineStr">
        <is>
          <t>PH0004127</t>
        </is>
      </c>
      <c r="E1131" s="26" t="inlineStr">
        <is>
          <t>IX</t>
        </is>
      </c>
      <c r="F1131" s="26" t="inlineStr">
        <is>
          <t>Zamboanga Del Sur</t>
        </is>
      </c>
      <c r="G1131" s="26" t="inlineStr">
        <is>
          <t>Zamboanga City</t>
        </is>
      </c>
      <c r="H1131" s="26" t="inlineStr">
        <is>
          <t>Tumitus</t>
        </is>
      </c>
      <c r="I1131" s="27" t="n">
        <v>7.390366</v>
      </c>
      <c r="J1131" s="27" t="n">
        <v>122.377785</v>
      </c>
      <c r="K1131" s="10" t="inlineStr">
        <is>
          <t>R</t>
        </is>
      </c>
      <c r="L1131" s="12" t="n">
        <v>2305</v>
      </c>
      <c r="M1131" s="14" t="n">
        <v>3.9</v>
      </c>
      <c r="N1131" s="12">
        <f>ROUND(L1131/M1131, 0)</f>
        <v/>
      </c>
      <c r="O1131" s="12">
        <f>ROUND(N1131*'Methodology &amp; Assumptions'!$B$5, 0)</f>
        <v/>
      </c>
      <c r="P1131" s="10" t="inlineStr">
        <is>
          <t>Single Carrier (Band n50, 100MHz TDD)</t>
        </is>
      </c>
      <c r="Q1131" s="13">
        <f>ROUNDUP(O1131/'Methodology &amp; Assumptions'!$B$6, 0)</f>
        <v/>
      </c>
      <c r="R1131" s="13" t="n">
        <v>1</v>
      </c>
      <c r="S1131" s="14" t="n">
        <v>21.06</v>
      </c>
      <c r="T1131" s="14" t="n">
        <v>6.52</v>
      </c>
      <c r="U1131" s="26">
        <f>IF(X1131&gt;='Methodology &amp; Assumptions'!$B$7, "Tier 1 Critical GIDA (Score ≥ 50.0)", IF(X1131&gt;='Methodology &amp; Assumptions'!$B$8, "Tier 2 High GIDA (Score 40.0–49.9)", "Tier 3 Moderate GIDA (Score &lt; 40.0)"))</f>
        <v/>
      </c>
      <c r="V1131" s="26">
        <f>IF(S1131&lt;='Methodology &amp; Assumptions'!$B$10, "Direct Optical Drop (&lt;3km)", IF(S1131&lt;='Methodology &amp; Assumptions'!$B$9, "Near Optical / Microwave (&lt;5km)", "Starlink Business LEO Satellite Backhaul (&gt;5km)"))</f>
        <v/>
      </c>
      <c r="W1131" s="28" t="n">
        <v>0.234</v>
      </c>
      <c r="X1131" s="14" t="n">
        <v>44.09</v>
      </c>
      <c r="Y1131" s="14">
        <f>ROUND(MIN(100, (X1131/69.91)*100), 2)</f>
        <v/>
      </c>
    </row>
    <row r="1132">
      <c r="A1132" s="10" t="n">
        <v>5</v>
      </c>
      <c r="B1132" s="10" t="n">
        <v>128</v>
      </c>
      <c r="C1132" s="10" t="n">
        <v>4128</v>
      </c>
      <c r="D1132" s="10" t="inlineStr">
        <is>
          <t>0405801011</t>
        </is>
      </c>
      <c r="E1132" s="26" t="inlineStr">
        <is>
          <t>Region IV-A (CALABARZON)</t>
        </is>
      </c>
      <c r="F1132" s="26" t="inlineStr">
        <is>
          <t>Rizal</t>
        </is>
      </c>
      <c r="G1132" s="26" t="inlineStr">
        <is>
          <t>Angono</t>
        </is>
      </c>
      <c r="H1132" s="26" t="inlineStr">
        <is>
          <t>San Roque</t>
        </is>
      </c>
      <c r="I1132" s="27" t="n">
        <v>14.532458</v>
      </c>
      <c r="J1132" s="27" t="n">
        <v>121.161439</v>
      </c>
      <c r="K1132" s="10" t="inlineStr">
        <is>
          <t>U</t>
        </is>
      </c>
      <c r="L1132" s="12" t="n">
        <v>12209</v>
      </c>
      <c r="M1132" s="14" t="n">
        <v>3.6</v>
      </c>
      <c r="N1132" s="12">
        <f>ROUND(L1132/M1132, 0)</f>
        <v/>
      </c>
      <c r="O1132" s="12">
        <f>ROUND(N1132*'Methodology &amp; Assumptions'!$B$5, 0)</f>
        <v/>
      </c>
      <c r="P1132" s="10" t="inlineStr">
        <is>
          <t>Single Carrier (Band n50, 100MHz TDD)</t>
        </is>
      </c>
      <c r="Q1132" s="13">
        <f>ROUNDUP(O1132/'Methodology &amp; Assumptions'!$B$6, 0)</f>
        <v/>
      </c>
      <c r="R1132" s="13" t="n">
        <v>1</v>
      </c>
      <c r="S1132" s="14" t="n">
        <v>0.91</v>
      </c>
      <c r="T1132" s="14" t="n">
        <v>0.87</v>
      </c>
      <c r="U1132" s="26">
        <f>IF(X1132&gt;='Methodology &amp; Assumptions'!$B$7, "Tier 1 Critical GIDA (Score ≥ 50.0)", IF(X1132&gt;='Methodology &amp; Assumptions'!$B$8, "Tier 2 High GIDA (Score 40.0–49.9)", "Tier 3 Moderate GIDA (Score &lt; 40.0)"))</f>
        <v/>
      </c>
      <c r="V1132" s="26">
        <f>IF(S1132&lt;='Methodology &amp; Assumptions'!$B$10, "Direct Optical Drop (&lt;3km)", IF(S1132&lt;='Methodology &amp; Assumptions'!$B$9, "Near Optical / Microwave (&lt;5km)", "Starlink Business LEO Satellite Backhaul (&gt;5km)"))</f>
        <v/>
      </c>
      <c r="W1132" s="28" t="n">
        <v>0.07200000000000001</v>
      </c>
      <c r="X1132" s="14" t="n">
        <v>44.09</v>
      </c>
      <c r="Y1132" s="14">
        <f>ROUND(MIN(100, (X1132/69.91)*100), 2)</f>
        <v/>
      </c>
    </row>
    <row r="1133">
      <c r="A1133" s="10" t="n">
        <v>5</v>
      </c>
      <c r="B1133" s="10" t="n">
        <v>129</v>
      </c>
      <c r="C1133" s="10" t="n">
        <v>4129</v>
      </c>
      <c r="D1133" s="10" t="inlineStr">
        <is>
          <t>0200905004</t>
        </is>
      </c>
      <c r="E1133" s="26" t="inlineStr">
        <is>
          <t>Region II (Cagayan Valley)</t>
        </is>
      </c>
      <c r="F1133" s="26" t="inlineStr">
        <is>
          <t>Batanes</t>
        </is>
      </c>
      <c r="G1133" s="26" t="inlineStr">
        <is>
          <t>Sabtang</t>
        </is>
      </c>
      <c r="H1133" s="26" t="inlineStr">
        <is>
          <t>Savidug</t>
        </is>
      </c>
      <c r="I1133" s="27" t="n">
        <v>20.30984</v>
      </c>
      <c r="J1133" s="27" t="n">
        <v>121.887872</v>
      </c>
      <c r="K1133" s="10" t="inlineStr">
        <is>
          <t>R</t>
        </is>
      </c>
      <c r="L1133" s="12" t="n">
        <v>202</v>
      </c>
      <c r="M1133" s="14" t="n">
        <v>3</v>
      </c>
      <c r="N1133" s="12">
        <f>ROUND(L1133/M1133, 0)</f>
        <v/>
      </c>
      <c r="O1133" s="12">
        <f>ROUND(N1133*'Methodology &amp; Assumptions'!$B$5, 0)</f>
        <v/>
      </c>
      <c r="P1133" s="10" t="inlineStr">
        <is>
          <t>Single Carrier (Band n50, 100MHz TDD)</t>
        </is>
      </c>
      <c r="Q1133" s="13">
        <f>ROUNDUP(O1133/'Methodology &amp; Assumptions'!$B$6, 0)</f>
        <v/>
      </c>
      <c r="R1133" s="13" t="n">
        <v>1</v>
      </c>
      <c r="S1133" s="14" t="n">
        <v>206.39</v>
      </c>
      <c r="T1133" s="14" t="n">
        <v>202.92</v>
      </c>
      <c r="U1133" s="26">
        <f>IF(X1133&gt;='Methodology &amp; Assumptions'!$B$7, "Tier 1 Critical GIDA (Score ≥ 50.0)", IF(X1133&gt;='Methodology &amp; Assumptions'!$B$8, "Tier 2 High GIDA (Score 40.0–49.9)", "Tier 3 Moderate GIDA (Score &lt; 40.0)"))</f>
        <v/>
      </c>
      <c r="V1133" s="26">
        <f>IF(S1133&lt;='Methodology &amp; Assumptions'!$B$10, "Direct Optical Drop (&lt;3km)", IF(S1133&lt;='Methodology &amp; Assumptions'!$B$9, "Near Optical / Microwave (&lt;5km)", "Starlink Business LEO Satellite Backhaul (&gt;5km)"))</f>
        <v/>
      </c>
      <c r="W1133" s="28" t="n">
        <v>0.083</v>
      </c>
      <c r="X1133" s="14" t="n">
        <v>44.08</v>
      </c>
      <c r="Y1133" s="14">
        <f>ROUND(MIN(100, (X1133/69.91)*100), 2)</f>
        <v/>
      </c>
    </row>
    <row r="1134">
      <c r="A1134" s="10" t="n">
        <v>5</v>
      </c>
      <c r="B1134" s="10" t="n">
        <v>130</v>
      </c>
      <c r="C1134" s="10" t="n">
        <v>4130</v>
      </c>
      <c r="D1134" s="10" t="inlineStr">
        <is>
          <t>1208002016</t>
        </is>
      </c>
      <c r="E1134" s="26" t="inlineStr">
        <is>
          <t>Region XII (SOCCSKSARGEN)</t>
        </is>
      </c>
      <c r="F1134" s="26" t="inlineStr">
        <is>
          <t>Sarangani</t>
        </is>
      </c>
      <c r="G1134" s="26" t="inlineStr">
        <is>
          <t>Glan</t>
        </is>
      </c>
      <c r="H1134" s="26" t="inlineStr">
        <is>
          <t>Kaltuad</t>
        </is>
      </c>
      <c r="I1134" s="27" t="n">
        <v>5.736001</v>
      </c>
      <c r="J1134" s="27" t="n">
        <v>125.353248</v>
      </c>
      <c r="K1134" s="10" t="inlineStr">
        <is>
          <t>R</t>
        </is>
      </c>
      <c r="L1134" s="12" t="n">
        <v>2318</v>
      </c>
      <c r="M1134" s="14" t="n">
        <v>3.9</v>
      </c>
      <c r="N1134" s="12">
        <f>ROUND(L1134/M1134, 0)</f>
        <v/>
      </c>
      <c r="O1134" s="12">
        <f>ROUND(N1134*'Methodology &amp; Assumptions'!$B$5, 0)</f>
        <v/>
      </c>
      <c r="P1134" s="10" t="inlineStr">
        <is>
          <t>Single Carrier (Band n50, 100MHz TDD)</t>
        </is>
      </c>
      <c r="Q1134" s="13">
        <f>ROUNDUP(O1134/'Methodology &amp; Assumptions'!$B$6, 0)</f>
        <v/>
      </c>
      <c r="R1134" s="13" t="n">
        <v>1</v>
      </c>
      <c r="S1134" s="14" t="n">
        <v>41.86</v>
      </c>
      <c r="T1134" s="14" t="n">
        <v>46.39</v>
      </c>
      <c r="U1134" s="26">
        <f>IF(X1134&gt;='Methodology &amp; Assumptions'!$B$7, "Tier 1 Critical GIDA (Score ≥ 50.0)", IF(X1134&gt;='Methodology &amp; Assumptions'!$B$8, "Tier 2 High GIDA (Score 40.0–49.9)", "Tier 3 Moderate GIDA (Score &lt; 40.0)"))</f>
        <v/>
      </c>
      <c r="V1134" s="26">
        <f>IF(S1134&lt;='Methodology &amp; Assumptions'!$B$10, "Direct Optical Drop (&lt;3km)", IF(S1134&lt;='Methodology &amp; Assumptions'!$B$9, "Near Optical / Microwave (&lt;5km)", "Starlink Business LEO Satellite Backhaul (&gt;5km)"))</f>
        <v/>
      </c>
      <c r="W1134" s="28" t="n">
        <v>0.174</v>
      </c>
      <c r="X1134" s="14" t="n">
        <v>44.08</v>
      </c>
      <c r="Y1134" s="14">
        <f>ROUND(MIN(100, (X1134/69.91)*100), 2)</f>
        <v/>
      </c>
    </row>
    <row r="1135">
      <c r="A1135" s="10" t="n">
        <v>5</v>
      </c>
      <c r="B1135" s="10" t="n">
        <v>131</v>
      </c>
      <c r="C1135" s="10" t="n">
        <v>4131</v>
      </c>
      <c r="D1135" s="10" t="inlineStr">
        <is>
          <t>PH0004131</t>
        </is>
      </c>
      <c r="E1135" s="26" t="inlineStr">
        <is>
          <t>IX</t>
        </is>
      </c>
      <c r="F1135" s="26" t="inlineStr">
        <is>
          <t>Zamboanga Del Sur</t>
        </is>
      </c>
      <c r="G1135" s="26" t="inlineStr">
        <is>
          <t>Zamboanga City</t>
        </is>
      </c>
      <c r="H1135" s="26" t="inlineStr">
        <is>
          <t>San Jose Cawa-cawa</t>
        </is>
      </c>
      <c r="I1135" s="27" t="n">
        <v>7.07404</v>
      </c>
      <c r="J1135" s="27" t="n">
        <v>122.143713</v>
      </c>
      <c r="K1135" s="10" t="inlineStr">
        <is>
          <t>R</t>
        </is>
      </c>
      <c r="L1135" s="12" t="n">
        <v>2305</v>
      </c>
      <c r="M1135" s="14" t="n">
        <v>3.9</v>
      </c>
      <c r="N1135" s="12">
        <f>ROUND(L1135/M1135, 0)</f>
        <v/>
      </c>
      <c r="O1135" s="12">
        <f>ROUND(N1135*'Methodology &amp; Assumptions'!$B$5, 0)</f>
        <v/>
      </c>
      <c r="P1135" s="10" t="inlineStr">
        <is>
          <t>Single Carrier (Band n50, 100MHz TDD)</t>
        </is>
      </c>
      <c r="Q1135" s="13">
        <f>ROUNDUP(O1135/'Methodology &amp; Assumptions'!$B$6, 0)</f>
        <v/>
      </c>
      <c r="R1135" s="13" t="n">
        <v>1</v>
      </c>
      <c r="S1135" s="14" t="n">
        <v>19.77</v>
      </c>
      <c r="T1135" s="14" t="n">
        <v>5.97</v>
      </c>
      <c r="U1135" s="26">
        <f>IF(X1135&gt;='Methodology &amp; Assumptions'!$B$7, "Tier 1 Critical GIDA (Score ≥ 50.0)", IF(X1135&gt;='Methodology &amp; Assumptions'!$B$8, "Tier 2 High GIDA (Score 40.0–49.9)", "Tier 3 Moderate GIDA (Score &lt; 40.0)"))</f>
        <v/>
      </c>
      <c r="V1135" s="26">
        <f>IF(S1135&lt;='Methodology &amp; Assumptions'!$B$10, "Direct Optical Drop (&lt;3km)", IF(S1135&lt;='Methodology &amp; Assumptions'!$B$9, "Near Optical / Microwave (&lt;5km)", "Starlink Business LEO Satellite Backhaul (&gt;5km)"))</f>
        <v/>
      </c>
      <c r="W1135" s="28" t="n">
        <v>0.234</v>
      </c>
      <c r="X1135" s="14" t="n">
        <v>44.07</v>
      </c>
      <c r="Y1135" s="14">
        <f>ROUND(MIN(100, (X1135/69.91)*100), 2)</f>
        <v/>
      </c>
    </row>
    <row r="1136">
      <c r="A1136" s="10" t="n">
        <v>5</v>
      </c>
      <c r="B1136" s="10" t="n">
        <v>132</v>
      </c>
      <c r="C1136" s="10" t="n">
        <v>4132</v>
      </c>
      <c r="D1136" s="10" t="inlineStr">
        <is>
          <t>1906613031</t>
        </is>
      </c>
      <c r="E1136" s="26" t="inlineStr">
        <is>
          <t>Bangsamoro Autonomous Region In Muslim Mindanao (BARMM)</t>
        </is>
      </c>
      <c r="F1136" s="26" t="inlineStr">
        <is>
          <t>Sulu</t>
        </is>
      </c>
      <c r="G1136" s="26" t="inlineStr">
        <is>
          <t>Talipao</t>
        </is>
      </c>
      <c r="H1136" s="26" t="inlineStr">
        <is>
          <t>Lower Laus</t>
        </is>
      </c>
      <c r="I1136" s="27" t="n">
        <v>17.255438</v>
      </c>
      <c r="J1136" s="27" t="n">
        <v>122.229482</v>
      </c>
      <c r="K1136" s="10" t="inlineStr">
        <is>
          <t>R</t>
        </is>
      </c>
      <c r="L1136" s="12" t="n">
        <v>1645</v>
      </c>
      <c r="M1136" s="14" t="n">
        <v>6</v>
      </c>
      <c r="N1136" s="12">
        <f>ROUND(L1136/M1136, 0)</f>
        <v/>
      </c>
      <c r="O1136" s="12">
        <f>ROUND(N1136*'Methodology &amp; Assumptions'!$B$5, 0)</f>
        <v/>
      </c>
      <c r="P1136" s="10" t="inlineStr">
        <is>
          <t>Single Carrier (Band n50, 100MHz TDD)</t>
        </is>
      </c>
      <c r="Q1136" s="13">
        <f>ROUNDUP(O1136/'Methodology &amp; Assumptions'!$B$6, 0)</f>
        <v/>
      </c>
      <c r="R1136" s="13" t="n">
        <v>1</v>
      </c>
      <c r="S1136" s="14" t="n">
        <v>29.51</v>
      </c>
      <c r="T1136" s="14" t="n">
        <v>34.38</v>
      </c>
      <c r="U1136" s="26">
        <f>IF(X1136&gt;='Methodology &amp; Assumptions'!$B$7, "Tier 1 Critical GIDA (Score ≥ 50.0)", IF(X1136&gt;='Methodology &amp; Assumptions'!$B$8, "Tier 2 High GIDA (Score 40.0–49.9)", "Tier 3 Moderate GIDA (Score &lt; 40.0)"))</f>
        <v/>
      </c>
      <c r="V1136" s="26">
        <f>IF(S1136&lt;='Methodology &amp; Assumptions'!$B$10, "Direct Optical Drop (&lt;3km)", IF(S1136&lt;='Methodology &amp; Assumptions'!$B$9, "Near Optical / Microwave (&lt;5km)", "Starlink Business LEO Satellite Backhaul (&gt;5km)"))</f>
        <v/>
      </c>
      <c r="W1136" s="28" t="n">
        <v>0.11</v>
      </c>
      <c r="X1136" s="14" t="n">
        <v>44.06</v>
      </c>
      <c r="Y1136" s="14">
        <f>ROUND(MIN(100, (X1136/69.91)*100), 2)</f>
        <v/>
      </c>
    </row>
    <row r="1137">
      <c r="A1137" s="10" t="n">
        <v>5</v>
      </c>
      <c r="B1137" s="10" t="n">
        <v>133</v>
      </c>
      <c r="C1137" s="10" t="n">
        <v>4133</v>
      </c>
      <c r="D1137" s="10" t="inlineStr">
        <is>
          <t>1906618006</t>
        </is>
      </c>
      <c r="E1137" s="26" t="inlineStr">
        <is>
          <t>Bangsamoro Autonomous Region In Muslim Mindanao (BARMM)</t>
        </is>
      </c>
      <c r="F1137" s="26" t="inlineStr">
        <is>
          <t>Sulu</t>
        </is>
      </c>
      <c r="G1137" s="26" t="inlineStr">
        <is>
          <t>Pandami</t>
        </is>
      </c>
      <c r="H1137" s="26" t="inlineStr">
        <is>
          <t>Lapak</t>
        </is>
      </c>
      <c r="I1137" s="27" t="n">
        <v>17.255634</v>
      </c>
      <c r="J1137" s="27" t="n">
        <v>122.229678</v>
      </c>
      <c r="K1137" s="10" t="inlineStr">
        <is>
          <t>R</t>
        </is>
      </c>
      <c r="L1137" s="12" t="n">
        <v>2754</v>
      </c>
      <c r="M1137" s="14" t="n">
        <v>6</v>
      </c>
      <c r="N1137" s="12">
        <f>ROUND(L1137/M1137, 0)</f>
        <v/>
      </c>
      <c r="O1137" s="12">
        <f>ROUND(N1137*'Methodology &amp; Assumptions'!$B$5, 0)</f>
        <v/>
      </c>
      <c r="P1137" s="10" t="inlineStr">
        <is>
          <t>Single Carrier (Band n50, 100MHz TDD)</t>
        </is>
      </c>
      <c r="Q1137" s="13">
        <f>ROUNDUP(O1137/'Methodology &amp; Assumptions'!$B$6, 0)</f>
        <v/>
      </c>
      <c r="R1137" s="13" t="n">
        <v>1</v>
      </c>
      <c r="S1137" s="14" t="n">
        <v>29.54</v>
      </c>
      <c r="T1137" s="14" t="n">
        <v>34.4</v>
      </c>
      <c r="U1137" s="26">
        <f>IF(X1137&gt;='Methodology &amp; Assumptions'!$B$7, "Tier 1 Critical GIDA (Score ≥ 50.0)", IF(X1137&gt;='Methodology &amp; Assumptions'!$B$8, "Tier 2 High GIDA (Score 40.0–49.9)", "Tier 3 Moderate GIDA (Score &lt; 40.0)"))</f>
        <v/>
      </c>
      <c r="V1137" s="26">
        <f>IF(S1137&lt;='Methodology &amp; Assumptions'!$B$10, "Direct Optical Drop (&lt;3km)", IF(S1137&lt;='Methodology &amp; Assumptions'!$B$9, "Near Optical / Microwave (&lt;5km)", "Starlink Business LEO Satellite Backhaul (&gt;5km)"))</f>
        <v/>
      </c>
      <c r="W1137" s="28" t="n">
        <v>0.11</v>
      </c>
      <c r="X1137" s="14" t="n">
        <v>44.06</v>
      </c>
      <c r="Y1137" s="14">
        <f>ROUND(MIN(100, (X1137/69.91)*100), 2)</f>
        <v/>
      </c>
    </row>
    <row r="1138">
      <c r="A1138" s="10" t="n">
        <v>5</v>
      </c>
      <c r="B1138" s="10" t="n">
        <v>134</v>
      </c>
      <c r="C1138" s="10" t="n">
        <v>4134</v>
      </c>
      <c r="D1138" s="10" t="inlineStr">
        <is>
          <t>1903614004</t>
        </is>
      </c>
      <c r="E1138" s="26" t="inlineStr">
        <is>
          <t>Bangsamoro Autonomous Region In Muslim Mindanao (BARMM)</t>
        </is>
      </c>
      <c r="F1138" s="26" t="inlineStr">
        <is>
          <t>Lanao del Sur</t>
        </is>
      </c>
      <c r="G1138" s="26" t="inlineStr">
        <is>
          <t>Madamba</t>
        </is>
      </c>
      <c r="H1138" s="26" t="inlineStr">
        <is>
          <t>Balagunun</t>
        </is>
      </c>
      <c r="I1138" s="27" t="n">
        <v>17.250975</v>
      </c>
      <c r="J1138" s="27" t="n">
        <v>122.232169</v>
      </c>
      <c r="K1138" s="10" t="inlineStr">
        <is>
          <t>R</t>
        </is>
      </c>
      <c r="L1138" s="12" t="n">
        <v>1284</v>
      </c>
      <c r="M1138" s="14" t="n">
        <v>5.7</v>
      </c>
      <c r="N1138" s="12">
        <f>ROUND(L1138/M1138, 0)</f>
        <v/>
      </c>
      <c r="O1138" s="12">
        <f>ROUND(N1138*'Methodology &amp; Assumptions'!$B$5, 0)</f>
        <v/>
      </c>
      <c r="P1138" s="10" t="inlineStr">
        <is>
          <t>Single Carrier (Band n50, 100MHz TDD)</t>
        </is>
      </c>
      <c r="Q1138" s="13">
        <f>ROUNDUP(O1138/'Methodology &amp; Assumptions'!$B$6, 0)</f>
        <v/>
      </c>
      <c r="R1138" s="13" t="n">
        <v>1</v>
      </c>
      <c r="S1138" s="14" t="n">
        <v>29.41</v>
      </c>
      <c r="T1138" s="14" t="n">
        <v>34.51</v>
      </c>
      <c r="U1138" s="26">
        <f>IF(X1138&gt;='Methodology &amp; Assumptions'!$B$7, "Tier 1 Critical GIDA (Score ≥ 50.0)", IF(X1138&gt;='Methodology &amp; Assumptions'!$B$8, "Tier 2 High GIDA (Score 40.0–49.9)", "Tier 3 Moderate GIDA (Score &lt; 40.0)"))</f>
        <v/>
      </c>
      <c r="V1138" s="26">
        <f>IF(S1138&lt;='Methodology &amp; Assumptions'!$B$10, "Direct Optical Drop (&lt;3km)", IF(S1138&lt;='Methodology &amp; Assumptions'!$B$9, "Near Optical / Microwave (&lt;5km)", "Starlink Business LEO Satellite Backhaul (&gt;5km)"))</f>
        <v/>
      </c>
      <c r="W1138" s="28" t="n">
        <v>0.11</v>
      </c>
      <c r="X1138" s="14" t="n">
        <v>44.06</v>
      </c>
      <c r="Y1138" s="14">
        <f>ROUND(MIN(100, (X1138/69.91)*100), 2)</f>
        <v/>
      </c>
    </row>
    <row r="1139">
      <c r="A1139" s="10" t="n">
        <v>5</v>
      </c>
      <c r="B1139" s="10" t="n">
        <v>135</v>
      </c>
      <c r="C1139" s="10" t="n">
        <v>4135</v>
      </c>
      <c r="D1139" s="10" t="inlineStr">
        <is>
          <t>PH0004135</t>
        </is>
      </c>
      <c r="E1139" s="26" t="inlineStr">
        <is>
          <t>IV-A</t>
        </is>
      </c>
      <c r="F1139" s="26" t="inlineStr">
        <is>
          <t>Cavite</t>
        </is>
      </c>
      <c r="G1139" s="26" t="inlineStr">
        <is>
          <t>Cavite City</t>
        </is>
      </c>
      <c r="H1139" s="26" t="inlineStr">
        <is>
          <t>Barangay 47-A</t>
        </is>
      </c>
      <c r="I1139" s="27" t="n">
        <v>14.500103</v>
      </c>
      <c r="J1139" s="27" t="n">
        <v>120.892126</v>
      </c>
      <c r="K1139" s="10" t="inlineStr">
        <is>
          <t>R</t>
        </is>
      </c>
      <c r="L1139" s="12" t="n">
        <v>2316</v>
      </c>
      <c r="M1139" s="14" t="n">
        <v>3.4</v>
      </c>
      <c r="N1139" s="12">
        <f>ROUND(L1139/M1139, 0)</f>
        <v/>
      </c>
      <c r="O1139" s="12">
        <f>ROUND(N1139*'Methodology &amp; Assumptions'!$B$5, 0)</f>
        <v/>
      </c>
      <c r="P1139" s="10" t="inlineStr">
        <is>
          <t>Single Carrier (Band n50, 100MHz TDD)</t>
        </is>
      </c>
      <c r="Q1139" s="13">
        <f>ROUNDUP(O1139/'Methodology &amp; Assumptions'!$B$6, 0)</f>
        <v/>
      </c>
      <c r="R1139" s="13" t="n">
        <v>1</v>
      </c>
      <c r="S1139" s="14" t="n">
        <v>2.86</v>
      </c>
      <c r="T1139" s="14" t="n">
        <v>6.4</v>
      </c>
      <c r="U1139" s="26">
        <f>IF(X1139&gt;='Methodology &amp; Assumptions'!$B$7, "Tier 1 Critical GIDA (Score ≥ 50.0)", IF(X1139&gt;='Methodology &amp; Assumptions'!$B$8, "Tier 2 High GIDA (Score 40.0–49.9)", "Tier 3 Moderate GIDA (Score &lt; 40.0)"))</f>
        <v/>
      </c>
      <c r="V1139" s="26">
        <f>IF(S1139&lt;='Methodology &amp; Assumptions'!$B$10, "Direct Optical Drop (&lt;3km)", IF(S1139&lt;='Methodology &amp; Assumptions'!$B$9, "Near Optical / Microwave (&lt;5km)", "Starlink Business LEO Satellite Backhaul (&gt;5km)"))</f>
        <v/>
      </c>
      <c r="W1139" s="28" t="n">
        <v>0.07200000000000001</v>
      </c>
      <c r="X1139" s="14" t="n">
        <v>44.06</v>
      </c>
      <c r="Y1139" s="14">
        <f>ROUND(MIN(100, (X1139/69.91)*100), 2)</f>
        <v/>
      </c>
    </row>
    <row r="1140">
      <c r="A1140" s="10" t="n">
        <v>5</v>
      </c>
      <c r="B1140" s="10" t="n">
        <v>136</v>
      </c>
      <c r="C1140" s="10" t="n">
        <v>4136</v>
      </c>
      <c r="D1140" s="10" t="inlineStr">
        <is>
          <t>1705205051</t>
        </is>
      </c>
      <c r="E1140" s="26" t="inlineStr">
        <is>
          <t>MIMAROPA Region</t>
        </is>
      </c>
      <c r="F1140" s="26" t="inlineStr">
        <is>
          <t>Oriental Mindoro</t>
        </is>
      </c>
      <c r="G1140" s="26" t="inlineStr">
        <is>
          <t>City of Calapan</t>
        </is>
      </c>
      <c r="H1140" s="26" t="inlineStr">
        <is>
          <t>San Vicente East</t>
        </is>
      </c>
      <c r="I1140" s="27" t="n">
        <v>13.408547</v>
      </c>
      <c r="J1140" s="27" t="n">
        <v>121.180345</v>
      </c>
      <c r="K1140" s="10" t="inlineStr">
        <is>
          <t>U</t>
        </is>
      </c>
      <c r="L1140" s="12" t="n">
        <v>586</v>
      </c>
      <c r="M1140" s="14" t="n">
        <v>3.9</v>
      </c>
      <c r="N1140" s="12">
        <f>ROUND(L1140/M1140, 0)</f>
        <v/>
      </c>
      <c r="O1140" s="12">
        <f>ROUND(N1140*'Methodology &amp; Assumptions'!$B$5, 0)</f>
        <v/>
      </c>
      <c r="P1140" s="10" t="inlineStr">
        <is>
          <t>Single Carrier (Band n50, 100MHz TDD)</t>
        </is>
      </c>
      <c r="Q1140" s="13">
        <f>ROUNDUP(O1140/'Methodology &amp; Assumptions'!$B$6, 0)</f>
        <v/>
      </c>
      <c r="R1140" s="13" t="n">
        <v>1</v>
      </c>
      <c r="S1140" s="14" t="n">
        <v>2.3</v>
      </c>
      <c r="T1140" s="14" t="n">
        <v>3.9</v>
      </c>
      <c r="U1140" s="26">
        <f>IF(X1140&gt;='Methodology &amp; Assumptions'!$B$7, "Tier 1 Critical GIDA (Score ≥ 50.0)", IF(X1140&gt;='Methodology &amp; Assumptions'!$B$8, "Tier 2 High GIDA (Score 40.0–49.9)", "Tier 3 Moderate GIDA (Score &lt; 40.0)"))</f>
        <v/>
      </c>
      <c r="V1140" s="26">
        <f>IF(S1140&lt;='Methodology &amp; Assumptions'!$B$10, "Direct Optical Drop (&lt;3km)", IF(S1140&lt;='Methodology &amp; Assumptions'!$B$9, "Near Optical / Microwave (&lt;5km)", "Starlink Business LEO Satellite Backhaul (&gt;5km)"))</f>
        <v/>
      </c>
      <c r="W1140" s="28" t="n">
        <v>0.15</v>
      </c>
      <c r="X1140" s="14" t="n">
        <v>44.06</v>
      </c>
      <c r="Y1140" s="14">
        <f>ROUND(MIN(100, (X1140/69.91)*100), 2)</f>
        <v/>
      </c>
    </row>
    <row r="1141">
      <c r="A1141" s="10" t="n">
        <v>5</v>
      </c>
      <c r="B1141" s="10" t="n">
        <v>137</v>
      </c>
      <c r="C1141" s="10" t="n">
        <v>4137</v>
      </c>
      <c r="D1141" s="10" t="inlineStr">
        <is>
          <t>1705303001</t>
        </is>
      </c>
      <c r="E1141" s="26" t="inlineStr">
        <is>
          <t>MIMAROPA Region</t>
        </is>
      </c>
      <c r="F1141" s="26" t="inlineStr">
        <is>
          <t>Palawan</t>
        </is>
      </c>
      <c r="G1141" s="26" t="inlineStr">
        <is>
          <t>Araceli</t>
        </is>
      </c>
      <c r="H1141" s="26" t="inlineStr">
        <is>
          <t>Balogo</t>
        </is>
      </c>
      <c r="I1141" s="27" t="n">
        <v>10.5538</v>
      </c>
      <c r="J1141" s="27" t="n">
        <v>119.85236</v>
      </c>
      <c r="K1141" s="10" t="inlineStr">
        <is>
          <t>R</t>
        </is>
      </c>
      <c r="L1141" s="12" t="n">
        <v>882</v>
      </c>
      <c r="M1141" s="14" t="n">
        <v>3.9</v>
      </c>
      <c r="N1141" s="12">
        <f>ROUND(L1141/M1141, 0)</f>
        <v/>
      </c>
      <c r="O1141" s="12">
        <f>ROUND(N1141*'Methodology &amp; Assumptions'!$B$5, 0)</f>
        <v/>
      </c>
      <c r="P1141" s="10" t="inlineStr">
        <is>
          <t>Single Carrier (Band n50, 100MHz TDD)</t>
        </is>
      </c>
      <c r="Q1141" s="13">
        <f>ROUNDUP(O1141/'Methodology &amp; Assumptions'!$B$6, 0)</f>
        <v/>
      </c>
      <c r="R1141" s="13" t="n">
        <v>1</v>
      </c>
      <c r="S1141" s="14" t="n">
        <v>33.83</v>
      </c>
      <c r="T1141" s="14" t="n">
        <v>42.61</v>
      </c>
      <c r="U1141" s="26">
        <f>IF(X1141&gt;='Methodology &amp; Assumptions'!$B$7, "Tier 1 Critical GIDA (Score ≥ 50.0)", IF(X1141&gt;='Methodology &amp; Assumptions'!$B$8, "Tier 2 High GIDA (Score 40.0–49.9)", "Tier 3 Moderate GIDA (Score &lt; 40.0)"))</f>
        <v/>
      </c>
      <c r="V1141" s="26">
        <f>IF(S1141&lt;='Methodology &amp; Assumptions'!$B$10, "Direct Optical Drop (&lt;3km)", IF(S1141&lt;='Methodology &amp; Assumptions'!$B$9, "Near Optical / Microwave (&lt;5km)", "Starlink Business LEO Satellite Backhaul (&gt;5km)"))</f>
        <v/>
      </c>
      <c r="W1141" s="28" t="n">
        <v>0.15</v>
      </c>
      <c r="X1141" s="14" t="n">
        <v>44.03</v>
      </c>
      <c r="Y1141" s="14">
        <f>ROUND(MIN(100, (X1141/69.91)*100), 2)</f>
        <v/>
      </c>
    </row>
    <row r="1142">
      <c r="A1142" s="10" t="n">
        <v>5</v>
      </c>
      <c r="B1142" s="10" t="n">
        <v>138</v>
      </c>
      <c r="C1142" s="10" t="n">
        <v>4138</v>
      </c>
      <c r="D1142" s="10" t="inlineStr">
        <is>
          <t>0301412011</t>
        </is>
      </c>
      <c r="E1142" s="26" t="inlineStr">
        <is>
          <t>Region III (Central Luzon)</t>
        </is>
      </c>
      <c r="F1142" s="26" t="inlineStr">
        <is>
          <t>Bulacan</t>
        </is>
      </c>
      <c r="G1142" s="26" t="inlineStr">
        <is>
          <t>City of Meycauayan</t>
        </is>
      </c>
      <c r="H1142" s="26" t="inlineStr">
        <is>
          <t>Lawa</t>
        </is>
      </c>
      <c r="I1142" s="27" t="n">
        <v>14.734847</v>
      </c>
      <c r="J1142" s="27" t="n">
        <v>120.9778</v>
      </c>
      <c r="K1142" s="10" t="inlineStr">
        <is>
          <t>U</t>
        </is>
      </c>
      <c r="L1142" s="12" t="n">
        <v>16298</v>
      </c>
      <c r="M1142" s="14" t="n">
        <v>3.5</v>
      </c>
      <c r="N1142" s="12">
        <f>ROUND(L1142/M1142, 0)</f>
        <v/>
      </c>
      <c r="O1142" s="12">
        <f>ROUND(N1142*'Methodology &amp; Assumptions'!$B$5, 0)</f>
        <v/>
      </c>
      <c r="P1142" s="10" t="inlineStr">
        <is>
          <t>Single Carrier (Band n50, 100MHz TDD)</t>
        </is>
      </c>
      <c r="Q1142" s="13">
        <f>ROUNDUP(O1142/'Methodology &amp; Assumptions'!$B$6, 0)</f>
        <v/>
      </c>
      <c r="R1142" s="13" t="n">
        <v>1</v>
      </c>
      <c r="S1142" s="14" t="n">
        <v>1.08</v>
      </c>
      <c r="T1142" s="14" t="n">
        <v>1.34</v>
      </c>
      <c r="U1142" s="26">
        <f>IF(X1142&gt;='Methodology &amp; Assumptions'!$B$7, "Tier 1 Critical GIDA (Score ≥ 50.0)", IF(X1142&gt;='Methodology &amp; Assumptions'!$B$8, "Tier 2 High GIDA (Score 40.0–49.9)", "Tier 3 Moderate GIDA (Score &lt; 40.0)"))</f>
        <v/>
      </c>
      <c r="V1142" s="26">
        <f>IF(S1142&lt;='Methodology &amp; Assumptions'!$B$10, "Direct Optical Drop (&lt;3km)", IF(S1142&lt;='Methodology &amp; Assumptions'!$B$9, "Near Optical / Microwave (&lt;5km)", "Starlink Business LEO Satellite Backhaul (&gt;5km)"))</f>
        <v/>
      </c>
      <c r="W1142" s="28" t="n">
        <v>0.083</v>
      </c>
      <c r="X1142" s="14" t="n">
        <v>44.03</v>
      </c>
      <c r="Y1142" s="14">
        <f>ROUND(MIN(100, (X1142/69.91)*100), 2)</f>
        <v/>
      </c>
    </row>
    <row r="1143">
      <c r="A1143" s="10" t="n">
        <v>5</v>
      </c>
      <c r="B1143" s="10" t="n">
        <v>139</v>
      </c>
      <c r="C1143" s="10" t="n">
        <v>4139</v>
      </c>
      <c r="D1143" s="10" t="inlineStr">
        <is>
          <t>PH0004139</t>
        </is>
      </c>
      <c r="E1143" s="26" t="inlineStr">
        <is>
          <t>IV-A</t>
        </is>
      </c>
      <c r="F1143" s="26" t="inlineStr">
        <is>
          <t>Laguna</t>
        </is>
      </c>
      <c r="G1143" s="26" t="inlineStr">
        <is>
          <t>San Pablo City</t>
        </is>
      </c>
      <c r="H1143" s="26" t="inlineStr">
        <is>
          <t>Barangay III-D (Pob.)</t>
        </is>
      </c>
      <c r="I1143" s="27" t="n">
        <v>14.069765</v>
      </c>
      <c r="J1143" s="27" t="n">
        <v>121.330483</v>
      </c>
      <c r="K1143" s="10" t="inlineStr">
        <is>
          <t>R</t>
        </is>
      </c>
      <c r="L1143" s="12" t="n">
        <v>2412</v>
      </c>
      <c r="M1143" s="14" t="n">
        <v>3.3</v>
      </c>
      <c r="N1143" s="12">
        <f>ROUND(L1143/M1143, 0)</f>
        <v/>
      </c>
      <c r="O1143" s="12">
        <f>ROUND(N1143*'Methodology &amp; Assumptions'!$B$5, 0)</f>
        <v/>
      </c>
      <c r="P1143" s="10" t="inlineStr">
        <is>
          <t>Single Carrier (Band n50, 100MHz TDD)</t>
        </is>
      </c>
      <c r="Q1143" s="13">
        <f>ROUNDUP(O1143/'Methodology &amp; Assumptions'!$B$6, 0)</f>
        <v/>
      </c>
      <c r="R1143" s="13" t="n">
        <v>1</v>
      </c>
      <c r="S1143" s="14" t="n">
        <v>1.17</v>
      </c>
      <c r="T1143" s="14" t="n">
        <v>0.1</v>
      </c>
      <c r="U1143" s="26">
        <f>IF(X1143&gt;='Methodology &amp; Assumptions'!$B$7, "Tier 1 Critical GIDA (Score ≥ 50.0)", IF(X1143&gt;='Methodology &amp; Assumptions'!$B$8, "Tier 2 High GIDA (Score 40.0–49.9)", "Tier 3 Moderate GIDA (Score &lt; 40.0)"))</f>
        <v/>
      </c>
      <c r="V1143" s="26">
        <f>IF(S1143&lt;='Methodology &amp; Assumptions'!$B$10, "Direct Optical Drop (&lt;3km)", IF(S1143&lt;='Methodology &amp; Assumptions'!$B$9, "Near Optical / Microwave (&lt;5km)", "Starlink Business LEO Satellite Backhaul (&gt;5km)"))</f>
        <v/>
      </c>
      <c r="W1143" s="28" t="n">
        <v>0.07200000000000001</v>
      </c>
      <c r="X1143" s="14" t="n">
        <v>44.03</v>
      </c>
      <c r="Y1143" s="14">
        <f>ROUND(MIN(100, (X1143/69.91)*100), 2)</f>
        <v/>
      </c>
    </row>
    <row r="1144">
      <c r="A1144" s="10" t="n">
        <v>5</v>
      </c>
      <c r="B1144" s="10" t="n">
        <v>140</v>
      </c>
      <c r="C1144" s="10" t="n">
        <v>4140</v>
      </c>
      <c r="D1144" s="10" t="inlineStr">
        <is>
          <t>PH0004140</t>
        </is>
      </c>
      <c r="E1144" s="26" t="inlineStr">
        <is>
          <t>IV-A</t>
        </is>
      </c>
      <c r="F1144" s="26" t="inlineStr">
        <is>
          <t>Quezon</t>
        </is>
      </c>
      <c r="G1144" s="26" t="inlineStr">
        <is>
          <t>Lucena City</t>
        </is>
      </c>
      <c r="H1144" s="26" t="inlineStr">
        <is>
          <t>Barangay 9 (Pob.)</t>
        </is>
      </c>
      <c r="I1144" s="27" t="n">
        <v>13.935271</v>
      </c>
      <c r="J1144" s="27" t="n">
        <v>121.607272</v>
      </c>
      <c r="K1144" s="10" t="inlineStr">
        <is>
          <t>R</t>
        </is>
      </c>
      <c r="L1144" s="12" t="n">
        <v>1964</v>
      </c>
      <c r="M1144" s="14" t="n">
        <v>3.8</v>
      </c>
      <c r="N1144" s="12">
        <f>ROUND(L1144/M1144, 0)</f>
        <v/>
      </c>
      <c r="O1144" s="12">
        <f>ROUND(N1144*'Methodology &amp; Assumptions'!$B$5, 0)</f>
        <v/>
      </c>
      <c r="P1144" s="10" t="inlineStr">
        <is>
          <t>Single Carrier (Band n50, 100MHz TDD)</t>
        </is>
      </c>
      <c r="Q1144" s="13">
        <f>ROUNDUP(O1144/'Methodology &amp; Assumptions'!$B$6, 0)</f>
        <v/>
      </c>
      <c r="R1144" s="13" t="n">
        <v>1</v>
      </c>
      <c r="S1144" s="14" t="n">
        <v>0.52</v>
      </c>
      <c r="T1144" s="14" t="n">
        <v>0.14</v>
      </c>
      <c r="U1144" s="26">
        <f>IF(X1144&gt;='Methodology &amp; Assumptions'!$B$7, "Tier 1 Critical GIDA (Score ≥ 50.0)", IF(X1144&gt;='Methodology &amp; Assumptions'!$B$8, "Tier 2 High GIDA (Score 40.0–49.9)", "Tier 3 Moderate GIDA (Score &lt; 40.0)"))</f>
        <v/>
      </c>
      <c r="V1144" s="26">
        <f>IF(S1144&lt;='Methodology &amp; Assumptions'!$B$10, "Direct Optical Drop (&lt;3km)", IF(S1144&lt;='Methodology &amp; Assumptions'!$B$9, "Near Optical / Microwave (&lt;5km)", "Starlink Business LEO Satellite Backhaul (&gt;5km)"))</f>
        <v/>
      </c>
      <c r="W1144" s="28" t="n">
        <v>0.07200000000000001</v>
      </c>
      <c r="X1144" s="14" t="n">
        <v>44.02</v>
      </c>
      <c r="Y1144" s="14">
        <f>ROUND(MIN(100, (X1144/69.91)*100), 2)</f>
        <v/>
      </c>
    </row>
    <row r="1145">
      <c r="A1145" s="10" t="n">
        <v>5</v>
      </c>
      <c r="B1145" s="10" t="n">
        <v>141</v>
      </c>
      <c r="C1145" s="10" t="n">
        <v>4141</v>
      </c>
      <c r="D1145" s="10" t="inlineStr">
        <is>
          <t>1705323004</t>
        </is>
      </c>
      <c r="E1145" s="26" t="inlineStr">
        <is>
          <t>MIMAROPA Region</t>
        </is>
      </c>
      <c r="F1145" s="26" t="inlineStr">
        <is>
          <t>Palawan</t>
        </is>
      </c>
      <c r="G1145" s="26" t="inlineStr">
        <is>
          <t>Rizal</t>
        </is>
      </c>
      <c r="H1145" s="26" t="inlineStr">
        <is>
          <t>Canipaan</t>
        </is>
      </c>
      <c r="I1145" s="27" t="n">
        <v>8.574301999999999</v>
      </c>
      <c r="J1145" s="27" t="n">
        <v>117.265824</v>
      </c>
      <c r="K1145" s="10" t="inlineStr">
        <is>
          <t>R</t>
        </is>
      </c>
      <c r="L1145" s="12" t="n">
        <v>2842</v>
      </c>
      <c r="M1145" s="14" t="n">
        <v>3.6</v>
      </c>
      <c r="N1145" s="12">
        <f>ROUND(L1145/M1145, 0)</f>
        <v/>
      </c>
      <c r="O1145" s="12">
        <f>ROUND(N1145*'Methodology &amp; Assumptions'!$B$5, 0)</f>
        <v/>
      </c>
      <c r="P1145" s="10" t="inlineStr">
        <is>
          <t>Single Carrier (Band n50, 100MHz TDD)</t>
        </is>
      </c>
      <c r="Q1145" s="13">
        <f>ROUNDUP(O1145/'Methodology &amp; Assumptions'!$B$6, 0)</f>
        <v/>
      </c>
      <c r="R1145" s="13" t="n">
        <v>1</v>
      </c>
      <c r="S1145" s="14" t="n">
        <v>206.83</v>
      </c>
      <c r="T1145" s="14" t="n">
        <v>209.1</v>
      </c>
      <c r="U1145" s="26">
        <f>IF(X1145&gt;='Methodology &amp; Assumptions'!$B$7, "Tier 1 Critical GIDA (Score ≥ 50.0)", IF(X1145&gt;='Methodology &amp; Assumptions'!$B$8, "Tier 2 High GIDA (Score 40.0–49.9)", "Tier 3 Moderate GIDA (Score &lt; 40.0)"))</f>
        <v/>
      </c>
      <c r="V1145" s="26">
        <f>IF(S1145&lt;='Methodology &amp; Assumptions'!$B$10, "Direct Optical Drop (&lt;3km)", IF(S1145&lt;='Methodology &amp; Assumptions'!$B$9, "Near Optical / Microwave (&lt;5km)", "Starlink Business LEO Satellite Backhaul (&gt;5km)"))</f>
        <v/>
      </c>
      <c r="W1145" s="28" t="n">
        <v>0.15</v>
      </c>
      <c r="X1145" s="14" t="n">
        <v>44.02</v>
      </c>
      <c r="Y1145" s="14">
        <f>ROUND(MIN(100, (X1145/69.91)*100), 2)</f>
        <v/>
      </c>
    </row>
    <row r="1146">
      <c r="A1146" s="10" t="n">
        <v>5</v>
      </c>
      <c r="B1146" s="10" t="n">
        <v>142</v>
      </c>
      <c r="C1146" s="10" t="n">
        <v>4142</v>
      </c>
      <c r="D1146" s="10" t="inlineStr">
        <is>
          <t>PH0004142</t>
        </is>
      </c>
      <c r="E1146" s="26" t="inlineStr">
        <is>
          <t>BARMM (LaMa+SGA)</t>
        </is>
      </c>
      <c r="F1146" s="26" t="inlineStr">
        <is>
          <t>Maguindanao del Norte</t>
        </is>
      </c>
      <c r="G1146" s="26" t="inlineStr">
        <is>
          <t>Cotabato City</t>
        </is>
      </c>
      <c r="H1146" s="26" t="inlineStr">
        <is>
          <t>Poblacion V</t>
        </is>
      </c>
      <c r="I1146" s="27" t="n">
        <v>7.90718</v>
      </c>
      <c r="J1146" s="27" t="n">
        <v>124.094309</v>
      </c>
      <c r="K1146" s="10" t="inlineStr">
        <is>
          <t>R</t>
        </is>
      </c>
      <c r="L1146" s="12" t="n">
        <v>2279</v>
      </c>
      <c r="M1146" s="14" t="n">
        <v>3.8</v>
      </c>
      <c r="N1146" s="12">
        <f>ROUND(L1146/M1146, 0)</f>
        <v/>
      </c>
      <c r="O1146" s="12">
        <f>ROUND(N1146*'Methodology &amp; Assumptions'!$B$5, 0)</f>
        <v/>
      </c>
      <c r="P1146" s="10" t="inlineStr">
        <is>
          <t>Single Carrier (Band n50, 100MHz TDD)</t>
        </is>
      </c>
      <c r="Q1146" s="13">
        <f>ROUNDUP(O1146/'Methodology &amp; Assumptions'!$B$6, 0)</f>
        <v/>
      </c>
      <c r="R1146" s="13" t="n">
        <v>1</v>
      </c>
      <c r="S1146" s="14" t="n">
        <v>22.88</v>
      </c>
      <c r="T1146" s="14" t="n">
        <v>21.01</v>
      </c>
      <c r="U1146" s="26">
        <f>IF(X1146&gt;='Methodology &amp; Assumptions'!$B$7, "Tier 1 Critical GIDA (Score ≥ 50.0)", IF(X1146&gt;='Methodology &amp; Assumptions'!$B$8, "Tier 2 High GIDA (Score 40.0–49.9)", "Tier 3 Moderate GIDA (Score &lt; 40.0)"))</f>
        <v/>
      </c>
      <c r="V1146" s="26">
        <f>IF(S1146&lt;='Methodology &amp; Assumptions'!$B$10, "Direct Optical Drop (&lt;3km)", IF(S1146&lt;='Methodology &amp; Assumptions'!$B$9, "Near Optical / Microwave (&lt;5km)", "Starlink Business LEO Satellite Backhaul (&gt;5km)"))</f>
        <v/>
      </c>
      <c r="W1146" s="28" t="n">
        <v>0.235</v>
      </c>
      <c r="X1146" s="14" t="n">
        <v>44.02</v>
      </c>
      <c r="Y1146" s="14">
        <f>ROUND(MIN(100, (X1146/69.91)*100), 2)</f>
        <v/>
      </c>
    </row>
    <row r="1147">
      <c r="A1147" s="10" t="n">
        <v>5</v>
      </c>
      <c r="B1147" s="10" t="n">
        <v>143</v>
      </c>
      <c r="C1147" s="10" t="n">
        <v>4143</v>
      </c>
      <c r="D1147" s="10" t="inlineStr">
        <is>
          <t>PH0004143</t>
        </is>
      </c>
      <c r="E1147" s="26" t="inlineStr">
        <is>
          <t>IV-A</t>
        </is>
      </c>
      <c r="F1147" s="26" t="inlineStr">
        <is>
          <t>Cavite</t>
        </is>
      </c>
      <c r="G1147" s="26" t="inlineStr">
        <is>
          <t>City of Bacoor</t>
        </is>
      </c>
      <c r="H1147" s="26" t="inlineStr">
        <is>
          <t>P.F. Espiritu 6</t>
        </is>
      </c>
      <c r="I1147" s="27" t="n">
        <v>14.430676</v>
      </c>
      <c r="J1147" s="27" t="n">
        <v>120.825395</v>
      </c>
      <c r="K1147" s="10" t="inlineStr">
        <is>
          <t>R</t>
        </is>
      </c>
      <c r="L1147" s="12" t="n">
        <v>9584</v>
      </c>
      <c r="M1147" s="14" t="n">
        <v>3.4</v>
      </c>
      <c r="N1147" s="12">
        <f>ROUND(L1147/M1147, 0)</f>
        <v/>
      </c>
      <c r="O1147" s="12">
        <f>ROUND(N1147*'Methodology &amp; Assumptions'!$B$5, 0)</f>
        <v/>
      </c>
      <c r="P1147" s="10" t="inlineStr">
        <is>
          <t>Single Carrier (Band n50, 100MHz TDD)</t>
        </is>
      </c>
      <c r="Q1147" s="13">
        <f>ROUNDUP(O1147/'Methodology &amp; Assumptions'!$B$6, 0)</f>
        <v/>
      </c>
      <c r="R1147" s="13" t="n">
        <v>1</v>
      </c>
      <c r="S1147" s="14" t="n">
        <v>5.35</v>
      </c>
      <c r="T1147" s="14" t="n">
        <v>5.17</v>
      </c>
      <c r="U1147" s="26">
        <f>IF(X1147&gt;='Methodology &amp; Assumptions'!$B$7, "Tier 1 Critical GIDA (Score ≥ 50.0)", IF(X1147&gt;='Methodology &amp; Assumptions'!$B$8, "Tier 2 High GIDA (Score 40.0–49.9)", "Tier 3 Moderate GIDA (Score &lt; 40.0)"))</f>
        <v/>
      </c>
      <c r="V1147" s="26">
        <f>IF(S1147&lt;='Methodology &amp; Assumptions'!$B$10, "Direct Optical Drop (&lt;3km)", IF(S1147&lt;='Methodology &amp; Assumptions'!$B$9, "Near Optical / Microwave (&lt;5km)", "Starlink Business LEO Satellite Backhaul (&gt;5km)"))</f>
        <v/>
      </c>
      <c r="W1147" s="28" t="n">
        <v>0.07200000000000001</v>
      </c>
      <c r="X1147" s="14" t="n">
        <v>44.01</v>
      </c>
      <c r="Y1147" s="14">
        <f>ROUND(MIN(100, (X1147/69.91)*100), 2)</f>
        <v/>
      </c>
    </row>
    <row r="1148">
      <c r="A1148" s="10" t="n">
        <v>5</v>
      </c>
      <c r="B1148" s="10" t="n">
        <v>144</v>
      </c>
      <c r="C1148" s="10" t="n">
        <v>4144</v>
      </c>
      <c r="D1148" s="10" t="inlineStr">
        <is>
          <t>0405811007</t>
        </is>
      </c>
      <c r="E1148" s="26" t="inlineStr">
        <is>
          <t>Region IV-A (CALABARZON)</t>
        </is>
      </c>
      <c r="F1148" s="26" t="inlineStr">
        <is>
          <t>Rizal</t>
        </is>
      </c>
      <c r="G1148" s="26" t="inlineStr">
        <is>
          <t>San Mateo</t>
        </is>
      </c>
      <c r="H1148" s="26" t="inlineStr">
        <is>
          <t>Malanday</t>
        </is>
      </c>
      <c r="I1148" s="27" t="n">
        <v>14.704619</v>
      </c>
      <c r="J1148" s="27" t="n">
        <v>121.124982</v>
      </c>
      <c r="K1148" s="10" t="inlineStr">
        <is>
          <t>U</t>
        </is>
      </c>
      <c r="L1148" s="12" t="n">
        <v>13906</v>
      </c>
      <c r="M1148" s="14" t="n">
        <v>3.6</v>
      </c>
      <c r="N1148" s="12">
        <f>ROUND(L1148/M1148, 0)</f>
        <v/>
      </c>
      <c r="O1148" s="12">
        <f>ROUND(N1148*'Methodology &amp; Assumptions'!$B$5, 0)</f>
        <v/>
      </c>
      <c r="P1148" s="10" t="inlineStr">
        <is>
          <t>Single Carrier (Band n50, 100MHz TDD)</t>
        </is>
      </c>
      <c r="Q1148" s="13">
        <f>ROUNDUP(O1148/'Methodology &amp; Assumptions'!$B$6, 0)</f>
        <v/>
      </c>
      <c r="R1148" s="13" t="n">
        <v>1</v>
      </c>
      <c r="S1148" s="14" t="n">
        <v>2.1</v>
      </c>
      <c r="T1148" s="14" t="n">
        <v>0.44</v>
      </c>
      <c r="U1148" s="26">
        <f>IF(X1148&gt;='Methodology &amp; Assumptions'!$B$7, "Tier 1 Critical GIDA (Score ≥ 50.0)", IF(X1148&gt;='Methodology &amp; Assumptions'!$B$8, "Tier 2 High GIDA (Score 40.0–49.9)", "Tier 3 Moderate GIDA (Score &lt; 40.0)"))</f>
        <v/>
      </c>
      <c r="V1148" s="26">
        <f>IF(S1148&lt;='Methodology &amp; Assumptions'!$B$10, "Direct Optical Drop (&lt;3km)", IF(S1148&lt;='Methodology &amp; Assumptions'!$B$9, "Near Optical / Microwave (&lt;5km)", "Starlink Business LEO Satellite Backhaul (&gt;5km)"))</f>
        <v/>
      </c>
      <c r="W1148" s="28" t="n">
        <v>0.07200000000000001</v>
      </c>
      <c r="X1148" s="14" t="n">
        <v>44.01</v>
      </c>
      <c r="Y1148" s="14">
        <f>ROUND(MIN(100, (X1148/69.91)*100), 2)</f>
        <v/>
      </c>
    </row>
    <row r="1149">
      <c r="A1149" s="10" t="n">
        <v>5</v>
      </c>
      <c r="B1149" s="10" t="n">
        <v>145</v>
      </c>
      <c r="C1149" s="10" t="n">
        <v>4145</v>
      </c>
      <c r="D1149" s="10" t="inlineStr">
        <is>
          <t>1705313008</t>
        </is>
      </c>
      <c r="E1149" s="26" t="inlineStr">
        <is>
          <t>MIMAROPA Region</t>
        </is>
      </c>
      <c r="F1149" s="26" t="inlineStr">
        <is>
          <t>Palawan</t>
        </is>
      </c>
      <c r="G1149" s="26" t="inlineStr">
        <is>
          <t>Linapacan</t>
        </is>
      </c>
      <c r="H1149" s="26" t="inlineStr">
        <is>
          <t>New Culaylayan</t>
        </is>
      </c>
      <c r="I1149" s="27" t="n">
        <v>11.422574</v>
      </c>
      <c r="J1149" s="27" t="n">
        <v>119.758366</v>
      </c>
      <c r="K1149" s="10" t="inlineStr">
        <is>
          <t>R</t>
        </is>
      </c>
      <c r="L1149" s="12" t="n">
        <v>1692</v>
      </c>
      <c r="M1149" s="14" t="n">
        <v>3.9</v>
      </c>
      <c r="N1149" s="12">
        <f>ROUND(L1149/M1149, 0)</f>
        <v/>
      </c>
      <c r="O1149" s="12">
        <f>ROUND(N1149*'Methodology &amp; Assumptions'!$B$5, 0)</f>
        <v/>
      </c>
      <c r="P1149" s="10" t="inlineStr">
        <is>
          <t>Single Carrier (Band n50, 100MHz TDD)</t>
        </is>
      </c>
      <c r="Q1149" s="13">
        <f>ROUNDUP(O1149/'Methodology &amp; Assumptions'!$B$6, 0)</f>
        <v/>
      </c>
      <c r="R1149" s="13" t="n">
        <v>1</v>
      </c>
      <c r="S1149" s="14" t="n">
        <v>25.59</v>
      </c>
      <c r="T1149" s="14" t="n">
        <v>72.09</v>
      </c>
      <c r="U1149" s="26">
        <f>IF(X1149&gt;='Methodology &amp; Assumptions'!$B$7, "Tier 1 Critical GIDA (Score ≥ 50.0)", IF(X1149&gt;='Methodology &amp; Assumptions'!$B$8, "Tier 2 High GIDA (Score 40.0–49.9)", "Tier 3 Moderate GIDA (Score &lt; 40.0)"))</f>
        <v/>
      </c>
      <c r="V1149" s="26">
        <f>IF(S1149&lt;='Methodology &amp; Assumptions'!$B$10, "Direct Optical Drop (&lt;3km)", IF(S1149&lt;='Methodology &amp; Assumptions'!$B$9, "Near Optical / Microwave (&lt;5km)", "Starlink Business LEO Satellite Backhaul (&gt;5km)"))</f>
        <v/>
      </c>
      <c r="W1149" s="28" t="n">
        <v>0.15</v>
      </c>
      <c r="X1149" s="14" t="n">
        <v>44.01</v>
      </c>
      <c r="Y1149" s="14">
        <f>ROUND(MIN(100, (X1149/69.91)*100), 2)</f>
        <v/>
      </c>
    </row>
    <row r="1150">
      <c r="A1150" s="10" t="n">
        <v>5</v>
      </c>
      <c r="B1150" s="10" t="n">
        <v>146</v>
      </c>
      <c r="C1150" s="10" t="n">
        <v>4146</v>
      </c>
      <c r="D1150" s="10" t="inlineStr">
        <is>
          <t>0203121001</t>
        </is>
      </c>
      <c r="E1150" s="26" t="inlineStr">
        <is>
          <t>Region II (Cagayan Valley)</t>
        </is>
      </c>
      <c r="F1150" s="26" t="inlineStr">
        <is>
          <t>Isabela</t>
        </is>
      </c>
      <c r="G1150" s="26" t="inlineStr">
        <is>
          <t>Palanan</t>
        </is>
      </c>
      <c r="H1150" s="26" t="inlineStr">
        <is>
          <t>Bisag</t>
        </is>
      </c>
      <c r="I1150" s="27" t="n">
        <v>17.012295</v>
      </c>
      <c r="J1150" s="27" t="n">
        <v>122.382536</v>
      </c>
      <c r="K1150" s="10" t="inlineStr">
        <is>
          <t>R</t>
        </is>
      </c>
      <c r="L1150" s="12" t="n">
        <v>909</v>
      </c>
      <c r="M1150" s="14" t="n">
        <v>3.8</v>
      </c>
      <c r="N1150" s="12">
        <f>ROUND(L1150/M1150, 0)</f>
        <v/>
      </c>
      <c r="O1150" s="12">
        <f>ROUND(N1150*'Methodology &amp; Assumptions'!$B$5, 0)</f>
        <v/>
      </c>
      <c r="P1150" s="10" t="inlineStr">
        <is>
          <t>Single Carrier (Band n50, 100MHz TDD)</t>
        </is>
      </c>
      <c r="Q1150" s="13">
        <f>ROUNDUP(O1150/'Methodology &amp; Assumptions'!$B$6, 0)</f>
        <v/>
      </c>
      <c r="R1150" s="13" t="n">
        <v>1</v>
      </c>
      <c r="S1150" s="14" t="n">
        <v>39.41</v>
      </c>
      <c r="T1150" s="14" t="n">
        <v>51.04</v>
      </c>
      <c r="U1150" s="26">
        <f>IF(X1150&gt;='Methodology &amp; Assumptions'!$B$7, "Tier 1 Critical GIDA (Score ≥ 50.0)", IF(X1150&gt;='Methodology &amp; Assumptions'!$B$8, "Tier 2 High GIDA (Score 40.0–49.9)", "Tier 3 Moderate GIDA (Score &lt; 40.0)"))</f>
        <v/>
      </c>
      <c r="V1150" s="26">
        <f>IF(S1150&lt;='Methodology &amp; Assumptions'!$B$10, "Direct Optical Drop (&lt;3km)", IF(S1150&lt;='Methodology &amp; Assumptions'!$B$9, "Near Optical / Microwave (&lt;5km)", "Starlink Business LEO Satellite Backhaul (&gt;5km)"))</f>
        <v/>
      </c>
      <c r="W1150" s="28" t="n">
        <v>0.083</v>
      </c>
      <c r="X1150" s="14" t="n">
        <v>44.01</v>
      </c>
      <c r="Y1150" s="14">
        <f>ROUND(MIN(100, (X1150/69.91)*100), 2)</f>
        <v/>
      </c>
    </row>
    <row r="1151">
      <c r="A1151" s="10" t="n">
        <v>5</v>
      </c>
      <c r="B1151" s="10" t="n">
        <v>147</v>
      </c>
      <c r="C1151" s="10" t="n">
        <v>4147</v>
      </c>
      <c r="D1151" s="10" t="inlineStr">
        <is>
          <t>1380800002</t>
        </is>
      </c>
      <c r="E1151" s="26" t="inlineStr">
        <is>
          <t>National Capital Region (NCR)</t>
        </is>
      </c>
      <c r="F1151" s="26" t="inlineStr">
        <is>
          <t>Fourth District (Not a Province)</t>
        </is>
      </c>
      <c r="G1151" s="26" t="inlineStr">
        <is>
          <t>City of Muntinlupa</t>
        </is>
      </c>
      <c r="H1151" s="26" t="inlineStr">
        <is>
          <t>Bayanan</t>
        </is>
      </c>
      <c r="I1151" s="27" t="n">
        <v>14.40703</v>
      </c>
      <c r="J1151" s="27" t="n">
        <v>121.04527</v>
      </c>
      <c r="K1151" s="10" t="inlineStr">
        <is>
          <t>U</t>
        </is>
      </c>
      <c r="L1151" s="12" t="n">
        <v>39783</v>
      </c>
      <c r="M1151" s="14" t="n">
        <v>3.8</v>
      </c>
      <c r="N1151" s="12">
        <f>ROUND(L1151/M1151, 0)</f>
        <v/>
      </c>
      <c r="O1151" s="12">
        <f>ROUND(N1151*'Methodology &amp; Assumptions'!$B$5, 0)</f>
        <v/>
      </c>
      <c r="P1151" s="10" t="inlineStr">
        <is>
          <t>Single Carrier (Band n50, 100MHz TDD)</t>
        </is>
      </c>
      <c r="Q1151" s="13">
        <f>ROUNDUP(O1151/'Methodology &amp; Assumptions'!$B$6, 0)</f>
        <v/>
      </c>
      <c r="R1151" s="13" t="n">
        <v>1</v>
      </c>
      <c r="S1151" s="14" t="n">
        <v>1.13</v>
      </c>
      <c r="T1151" s="14" t="n">
        <v>0.35</v>
      </c>
      <c r="U1151" s="26">
        <f>IF(X1151&gt;='Methodology &amp; Assumptions'!$B$7, "Tier 1 Critical GIDA (Score ≥ 50.0)", IF(X1151&gt;='Methodology &amp; Assumptions'!$B$8, "Tier 2 High GIDA (Score 40.0–49.9)", "Tier 3 Moderate GIDA (Score &lt; 40.0)"))</f>
        <v/>
      </c>
      <c r="V1151" s="26">
        <f>IF(S1151&lt;='Methodology &amp; Assumptions'!$B$10, "Direct Optical Drop (&lt;3km)", IF(S1151&lt;='Methodology &amp; Assumptions'!$B$9, "Near Optical / Microwave (&lt;5km)", "Starlink Business LEO Satellite Backhaul (&gt;5km)"))</f>
        <v/>
      </c>
      <c r="W1151" s="28" t="n">
        <v>0.109</v>
      </c>
      <c r="X1151" s="14" t="n">
        <v>44</v>
      </c>
      <c r="Y1151" s="14">
        <f>ROUND(MIN(100, (X1151/69.91)*100), 2)</f>
        <v/>
      </c>
    </row>
    <row r="1152">
      <c r="A1152" s="10" t="n">
        <v>5</v>
      </c>
      <c r="B1152" s="10" t="n">
        <v>148</v>
      </c>
      <c r="C1152" s="10" t="n">
        <v>4148</v>
      </c>
      <c r="D1152" s="10" t="inlineStr">
        <is>
          <t>1380900016</t>
        </is>
      </c>
      <c r="E1152" s="26" t="inlineStr">
        <is>
          <t>National Capital Region (NCR)</t>
        </is>
      </c>
      <c r="F1152" s="26" t="inlineStr">
        <is>
          <t>Third District (Not a Province)</t>
        </is>
      </c>
      <c r="G1152" s="26" t="inlineStr">
        <is>
          <t>City of Navotas</t>
        </is>
      </c>
      <c r="H1152" s="26" t="inlineStr">
        <is>
          <t>NBBS Proper</t>
        </is>
      </c>
      <c r="I1152" s="27" t="n">
        <v>14.672075</v>
      </c>
      <c r="J1152" s="27" t="n">
        <v>120.951561</v>
      </c>
      <c r="K1152" s="10" t="inlineStr">
        <is>
          <t>U</t>
        </is>
      </c>
      <c r="L1152" s="12" t="n">
        <v>18610</v>
      </c>
      <c r="M1152" s="14" t="n">
        <v>3.4</v>
      </c>
      <c r="N1152" s="12">
        <f>ROUND(L1152/M1152, 0)</f>
        <v/>
      </c>
      <c r="O1152" s="12">
        <f>ROUND(N1152*'Methodology &amp; Assumptions'!$B$5, 0)</f>
        <v/>
      </c>
      <c r="P1152" s="10" t="inlineStr">
        <is>
          <t>Single Carrier (Band n50, 100MHz TDD)</t>
        </is>
      </c>
      <c r="Q1152" s="13">
        <f>ROUNDUP(O1152/'Methodology &amp; Assumptions'!$B$6, 0)</f>
        <v/>
      </c>
      <c r="R1152" s="13" t="n">
        <v>1</v>
      </c>
      <c r="S1152" s="14" t="n">
        <v>0.71</v>
      </c>
      <c r="T1152" s="14" t="n">
        <v>0.14</v>
      </c>
      <c r="U1152" s="26">
        <f>IF(X1152&gt;='Methodology &amp; Assumptions'!$B$7, "Tier 1 Critical GIDA (Score ≥ 50.0)", IF(X1152&gt;='Methodology &amp; Assumptions'!$B$8, "Tier 2 High GIDA (Score 40.0–49.9)", "Tier 3 Moderate GIDA (Score &lt; 40.0)"))</f>
        <v/>
      </c>
      <c r="V1152" s="26">
        <f>IF(S1152&lt;='Methodology &amp; Assumptions'!$B$10, "Direct Optical Drop (&lt;3km)", IF(S1152&lt;='Methodology &amp; Assumptions'!$B$9, "Near Optical / Microwave (&lt;5km)", "Starlink Business LEO Satellite Backhaul (&gt;5km)"))</f>
        <v/>
      </c>
      <c r="W1152" s="28" t="n">
        <v>0.109</v>
      </c>
      <c r="X1152" s="14" t="n">
        <v>44</v>
      </c>
      <c r="Y1152" s="14">
        <f>ROUND(MIN(100, (X1152/69.91)*100), 2)</f>
        <v/>
      </c>
    </row>
    <row r="1153">
      <c r="A1153" s="10" t="n">
        <v>5</v>
      </c>
      <c r="B1153" s="10" t="n">
        <v>149</v>
      </c>
      <c r="C1153" s="10" t="n">
        <v>4149</v>
      </c>
      <c r="D1153" s="10" t="inlineStr">
        <is>
          <t>1204712004</t>
        </is>
      </c>
      <c r="E1153" s="26" t="inlineStr">
        <is>
          <t>Region XII (SOCCSKSARGEN)</t>
        </is>
      </c>
      <c r="F1153" s="26" t="inlineStr">
        <is>
          <t>Cotabato</t>
        </is>
      </c>
      <c r="G1153" s="26" t="inlineStr">
        <is>
          <t>Pikit</t>
        </is>
      </c>
      <c r="H1153" s="26" t="inlineStr">
        <is>
          <t>Balatican</t>
        </is>
      </c>
      <c r="I1153" s="27" t="n">
        <v>7.089935</v>
      </c>
      <c r="J1153" s="27" t="n">
        <v>124.684242</v>
      </c>
      <c r="K1153" s="10" t="inlineStr">
        <is>
          <t>R</t>
        </is>
      </c>
      <c r="L1153" s="12" t="n">
        <v>2019</v>
      </c>
      <c r="M1153" s="14" t="n">
        <v>3.8</v>
      </c>
      <c r="N1153" s="12">
        <f>ROUND(L1153/M1153, 0)</f>
        <v/>
      </c>
      <c r="O1153" s="12">
        <f>ROUND(N1153*'Methodology &amp; Assumptions'!$B$5, 0)</f>
        <v/>
      </c>
      <c r="P1153" s="10" t="inlineStr">
        <is>
          <t>Single Carrier (Band n50, 100MHz TDD)</t>
        </is>
      </c>
      <c r="Q1153" s="13">
        <f>ROUNDUP(O1153/'Methodology &amp; Assumptions'!$B$6, 0)</f>
        <v/>
      </c>
      <c r="R1153" s="13" t="n">
        <v>1</v>
      </c>
      <c r="S1153" s="14" t="n">
        <v>17.65</v>
      </c>
      <c r="T1153" s="14" t="n">
        <v>13.75</v>
      </c>
      <c r="U1153" s="26">
        <f>IF(X1153&gt;='Methodology &amp; Assumptions'!$B$7, "Tier 1 Critical GIDA (Score ≥ 50.0)", IF(X1153&gt;='Methodology &amp; Assumptions'!$B$8, "Tier 2 High GIDA (Score 40.0–49.9)", "Tier 3 Moderate GIDA (Score &lt; 40.0)"))</f>
        <v/>
      </c>
      <c r="V1153" s="26">
        <f>IF(S1153&lt;='Methodology &amp; Assumptions'!$B$10, "Direct Optical Drop (&lt;3km)", IF(S1153&lt;='Methodology &amp; Assumptions'!$B$9, "Near Optical / Microwave (&lt;5km)", "Starlink Business LEO Satellite Backhaul (&gt;5km)"))</f>
        <v/>
      </c>
      <c r="W1153" s="28" t="n">
        <v>0.174</v>
      </c>
      <c r="X1153" s="14" t="n">
        <v>44</v>
      </c>
      <c r="Y1153" s="14">
        <f>ROUND(MIN(100, (X1153/69.91)*100), 2)</f>
        <v/>
      </c>
    </row>
    <row r="1154">
      <c r="A1154" s="10" t="n">
        <v>5</v>
      </c>
      <c r="B1154" s="10" t="n">
        <v>150</v>
      </c>
      <c r="C1154" s="10" t="n">
        <v>4150</v>
      </c>
      <c r="D1154" s="10" t="inlineStr">
        <is>
          <t>0403403025</t>
        </is>
      </c>
      <c r="E1154" s="26" t="inlineStr">
        <is>
          <t>Region IV-A (CALABARZON)</t>
        </is>
      </c>
      <c r="F1154" s="26" t="inlineStr">
        <is>
          <t>Laguna</t>
        </is>
      </c>
      <c r="G1154" s="26" t="inlineStr">
        <is>
          <t>City of Biñan</t>
        </is>
      </c>
      <c r="H1154" s="26" t="inlineStr">
        <is>
          <t>Tubigan</t>
        </is>
      </c>
      <c r="I1154" s="27" t="n">
        <v>14.328847</v>
      </c>
      <c r="J1154" s="27" t="n">
        <v>121.069984</v>
      </c>
      <c r="K1154" s="10" t="inlineStr">
        <is>
          <t>U</t>
        </is>
      </c>
      <c r="L1154" s="12" t="n">
        <v>6848</v>
      </c>
      <c r="M1154" s="14" t="n">
        <v>3.3</v>
      </c>
      <c r="N1154" s="12">
        <f>ROUND(L1154/M1154, 0)</f>
        <v/>
      </c>
      <c r="O1154" s="12">
        <f>ROUND(N1154*'Methodology &amp; Assumptions'!$B$5, 0)</f>
        <v/>
      </c>
      <c r="P1154" s="10" t="inlineStr">
        <is>
          <t>Single Carrier (Band n50, 100MHz TDD)</t>
        </is>
      </c>
      <c r="Q1154" s="13">
        <f>ROUNDUP(O1154/'Methodology &amp; Assumptions'!$B$6, 0)</f>
        <v/>
      </c>
      <c r="R1154" s="13" t="n">
        <v>1</v>
      </c>
      <c r="S1154" s="14" t="n">
        <v>1.25</v>
      </c>
      <c r="T1154" s="14" t="n">
        <v>0.65</v>
      </c>
      <c r="U1154" s="26">
        <f>IF(X1154&gt;='Methodology &amp; Assumptions'!$B$7, "Tier 1 Critical GIDA (Score ≥ 50.0)", IF(X1154&gt;='Methodology &amp; Assumptions'!$B$8, "Tier 2 High GIDA (Score 40.0–49.9)", "Tier 3 Moderate GIDA (Score &lt; 40.0)"))</f>
        <v/>
      </c>
      <c r="V1154" s="26">
        <f>IF(S1154&lt;='Methodology &amp; Assumptions'!$B$10, "Direct Optical Drop (&lt;3km)", IF(S1154&lt;='Methodology &amp; Assumptions'!$B$9, "Near Optical / Microwave (&lt;5km)", "Starlink Business LEO Satellite Backhaul (&gt;5km)"))</f>
        <v/>
      </c>
      <c r="W1154" s="28" t="n">
        <v>0.07200000000000001</v>
      </c>
      <c r="X1154" s="14" t="n">
        <v>43.99</v>
      </c>
      <c r="Y1154" s="14">
        <f>ROUND(MIN(100, (X1154/69.91)*100), 2)</f>
        <v/>
      </c>
    </row>
    <row r="1155">
      <c r="A1155" s="10" t="n">
        <v>5</v>
      </c>
      <c r="B1155" s="10" t="n">
        <v>151</v>
      </c>
      <c r="C1155" s="10" t="n">
        <v>4151</v>
      </c>
      <c r="D1155" s="10" t="inlineStr">
        <is>
          <t>0402111015</t>
        </is>
      </c>
      <c r="E1155" s="26" t="inlineStr">
        <is>
          <t>Region IV-A (CALABARZON)</t>
        </is>
      </c>
      <c r="F1155" s="26" t="inlineStr">
        <is>
          <t>Cavite</t>
        </is>
      </c>
      <c r="G1155" s="26" t="inlineStr">
        <is>
          <t>Kawit</t>
        </is>
      </c>
      <c r="H1155" s="26" t="inlineStr">
        <is>
          <t>Binakayan-Aplaya</t>
        </is>
      </c>
      <c r="I1155" s="27" t="n">
        <v>14.447812</v>
      </c>
      <c r="J1155" s="27" t="n">
        <v>120.914005</v>
      </c>
      <c r="K1155" s="10" t="inlineStr">
        <is>
          <t>R</t>
        </is>
      </c>
      <c r="L1155" s="12" t="n">
        <v>3521</v>
      </c>
      <c r="M1155" s="14" t="n">
        <v>3.4</v>
      </c>
      <c r="N1155" s="12">
        <f>ROUND(L1155/M1155, 0)</f>
        <v/>
      </c>
      <c r="O1155" s="12">
        <f>ROUND(N1155*'Methodology &amp; Assumptions'!$B$5, 0)</f>
        <v/>
      </c>
      <c r="P1155" s="10" t="inlineStr">
        <is>
          <t>Single Carrier (Band n50, 100MHz TDD)</t>
        </is>
      </c>
      <c r="Q1155" s="13">
        <f>ROUNDUP(O1155/'Methodology &amp; Assumptions'!$B$6, 0)</f>
        <v/>
      </c>
      <c r="R1155" s="13" t="n">
        <v>1</v>
      </c>
      <c r="S1155" s="14" t="n">
        <v>3.72</v>
      </c>
      <c r="T1155" s="14" t="n">
        <v>0.17</v>
      </c>
      <c r="U1155" s="26">
        <f>IF(X1155&gt;='Methodology &amp; Assumptions'!$B$7, "Tier 1 Critical GIDA (Score ≥ 50.0)", IF(X1155&gt;='Methodology &amp; Assumptions'!$B$8, "Tier 2 High GIDA (Score 40.0–49.9)", "Tier 3 Moderate GIDA (Score &lt; 40.0)"))</f>
        <v/>
      </c>
      <c r="V1155" s="26">
        <f>IF(S1155&lt;='Methodology &amp; Assumptions'!$B$10, "Direct Optical Drop (&lt;3km)", IF(S1155&lt;='Methodology &amp; Assumptions'!$B$9, "Near Optical / Microwave (&lt;5km)", "Starlink Business LEO Satellite Backhaul (&gt;5km)"))</f>
        <v/>
      </c>
      <c r="W1155" s="28" t="n">
        <v>0.07200000000000001</v>
      </c>
      <c r="X1155" s="14" t="n">
        <v>43.99</v>
      </c>
      <c r="Y1155" s="14">
        <f>ROUND(MIN(100, (X1155/69.91)*100), 2)</f>
        <v/>
      </c>
    </row>
    <row r="1156">
      <c r="A1156" s="10" t="n">
        <v>5</v>
      </c>
      <c r="B1156" s="10" t="n">
        <v>152</v>
      </c>
      <c r="C1156" s="10" t="n">
        <v>4152</v>
      </c>
      <c r="D1156" s="10" t="inlineStr">
        <is>
          <t>0504104015</t>
        </is>
      </c>
      <c r="E1156" s="26" t="inlineStr">
        <is>
          <t>Region V (Bicol Region)</t>
        </is>
      </c>
      <c r="F1156" s="26" t="inlineStr">
        <is>
          <t>Masbate</t>
        </is>
      </c>
      <c r="G1156" s="26" t="inlineStr">
        <is>
          <t>Batuan</t>
        </is>
      </c>
      <c r="H1156" s="26" t="inlineStr">
        <is>
          <t>Sawang</t>
        </is>
      </c>
      <c r="I1156" s="27" t="n">
        <v>12.367246</v>
      </c>
      <c r="J1156" s="27" t="n">
        <v>123.766993</v>
      </c>
      <c r="K1156" s="10" t="inlineStr">
        <is>
          <t>R</t>
        </is>
      </c>
      <c r="L1156" s="12" t="n">
        <v>1008</v>
      </c>
      <c r="M1156" s="14" t="n">
        <v>4.1</v>
      </c>
      <c r="N1156" s="12">
        <f>ROUND(L1156/M1156, 0)</f>
        <v/>
      </c>
      <c r="O1156" s="12">
        <f>ROUND(N1156*'Methodology &amp; Assumptions'!$B$5, 0)</f>
        <v/>
      </c>
      <c r="P1156" s="10" t="inlineStr">
        <is>
          <t>Single Carrier (Band n50, 100MHz TDD)</t>
        </is>
      </c>
      <c r="Q1156" s="13">
        <f>ROUNDUP(O1156/'Methodology &amp; Assumptions'!$B$6, 0)</f>
        <v/>
      </c>
      <c r="R1156" s="13" t="n">
        <v>1</v>
      </c>
      <c r="S1156" s="14" t="n">
        <v>12.25</v>
      </c>
      <c r="T1156" s="14" t="n">
        <v>14.5</v>
      </c>
      <c r="U1156" s="26">
        <f>IF(X1156&gt;='Methodology &amp; Assumptions'!$B$7, "Tier 1 Critical GIDA (Score ≥ 50.0)", IF(X1156&gt;='Methodology &amp; Assumptions'!$B$8, "Tier 2 High GIDA (Score 40.0–49.9)", "Tier 3 Moderate GIDA (Score &lt; 40.0)"))</f>
        <v/>
      </c>
      <c r="V1156" s="26">
        <f>IF(S1156&lt;='Methodology &amp; Assumptions'!$B$10, "Direct Optical Drop (&lt;3km)", IF(S1156&lt;='Methodology &amp; Assumptions'!$B$9, "Near Optical / Microwave (&lt;5km)", "Starlink Business LEO Satellite Backhaul (&gt;5km)"))</f>
        <v/>
      </c>
      <c r="W1156" s="28" t="n">
        <v>0.237</v>
      </c>
      <c r="X1156" s="14" t="n">
        <v>43.99</v>
      </c>
      <c r="Y1156" s="14">
        <f>ROUND(MIN(100, (X1156/69.91)*100), 2)</f>
        <v/>
      </c>
    </row>
    <row r="1157">
      <c r="A1157" s="10" t="n">
        <v>5</v>
      </c>
      <c r="B1157" s="10" t="n">
        <v>153</v>
      </c>
      <c r="C1157" s="10" t="n">
        <v>4153</v>
      </c>
      <c r="D1157" s="10" t="inlineStr">
        <is>
          <t>1705313011</t>
        </is>
      </c>
      <c r="E1157" s="26" t="inlineStr">
        <is>
          <t>MIMAROPA Region</t>
        </is>
      </c>
      <c r="F1157" s="26" t="inlineStr">
        <is>
          <t>Palawan</t>
        </is>
      </c>
      <c r="G1157" s="26" t="inlineStr">
        <is>
          <t>Linapacan</t>
        </is>
      </c>
      <c r="H1157" s="26" t="inlineStr">
        <is>
          <t>San Nicolas</t>
        </is>
      </c>
      <c r="I1157" s="27" t="n">
        <v>11.384845</v>
      </c>
      <c r="J1157" s="27" t="n">
        <v>119.812468</v>
      </c>
      <c r="K1157" s="10" t="inlineStr">
        <is>
          <t>R</t>
        </is>
      </c>
      <c r="L1157" s="12" t="n">
        <v>1263</v>
      </c>
      <c r="M1157" s="14" t="n">
        <v>3.9</v>
      </c>
      <c r="N1157" s="12">
        <f>ROUND(L1157/M1157, 0)</f>
        <v/>
      </c>
      <c r="O1157" s="12">
        <f>ROUND(N1157*'Methodology &amp; Assumptions'!$B$5, 0)</f>
        <v/>
      </c>
      <c r="P1157" s="10" t="inlineStr">
        <is>
          <t>Single Carrier (Band n50, 100MHz TDD)</t>
        </is>
      </c>
      <c r="Q1157" s="13">
        <f>ROUNDUP(O1157/'Methodology &amp; Assumptions'!$B$6, 0)</f>
        <v/>
      </c>
      <c r="R1157" s="13" t="n">
        <v>1</v>
      </c>
      <c r="S1157" s="14" t="n">
        <v>29.28</v>
      </c>
      <c r="T1157" s="14" t="n">
        <v>70.81</v>
      </c>
      <c r="U1157" s="26">
        <f>IF(X1157&gt;='Methodology &amp; Assumptions'!$B$7, "Tier 1 Critical GIDA (Score ≥ 50.0)", IF(X1157&gt;='Methodology &amp; Assumptions'!$B$8, "Tier 2 High GIDA (Score 40.0–49.9)", "Tier 3 Moderate GIDA (Score &lt; 40.0)"))</f>
        <v/>
      </c>
      <c r="V1157" s="26">
        <f>IF(S1157&lt;='Methodology &amp; Assumptions'!$B$10, "Direct Optical Drop (&lt;3km)", IF(S1157&lt;='Methodology &amp; Assumptions'!$B$9, "Near Optical / Microwave (&lt;5km)", "Starlink Business LEO Satellite Backhaul (&gt;5km)"))</f>
        <v/>
      </c>
      <c r="W1157" s="28" t="n">
        <v>0.15</v>
      </c>
      <c r="X1157" s="14" t="n">
        <v>43.97</v>
      </c>
      <c r="Y1157" s="14">
        <f>ROUND(MIN(100, (X1157/69.91)*100), 2)</f>
        <v/>
      </c>
    </row>
    <row r="1158">
      <c r="A1158" s="10" t="n">
        <v>5</v>
      </c>
      <c r="B1158" s="10" t="n">
        <v>154</v>
      </c>
      <c r="C1158" s="10" t="n">
        <v>4154</v>
      </c>
      <c r="D1158" s="10" t="inlineStr">
        <is>
          <t>PH0004154</t>
        </is>
      </c>
      <c r="E1158" s="26" t="inlineStr">
        <is>
          <t>II</t>
        </is>
      </c>
      <c r="F1158" s="26" t="inlineStr">
        <is>
          <t>Nueva Vizcaya</t>
        </is>
      </c>
      <c r="G1158" s="26" t="inlineStr">
        <is>
          <t>Kayapa</t>
        </is>
      </c>
      <c r="H1158" s="26" t="inlineStr">
        <is>
          <t>Amilong Labeng</t>
        </is>
      </c>
      <c r="I1158" s="27" t="n">
        <v>16.29899</v>
      </c>
      <c r="J1158" s="27" t="n">
        <v>120.88552</v>
      </c>
      <c r="K1158" s="10" t="inlineStr">
        <is>
          <t>R</t>
        </is>
      </c>
      <c r="L1158" s="12" t="n">
        <v>988</v>
      </c>
      <c r="M1158" s="14" t="n">
        <v>3.8</v>
      </c>
      <c r="N1158" s="12">
        <f>ROUND(L1158/M1158, 0)</f>
        <v/>
      </c>
      <c r="O1158" s="12">
        <f>ROUND(N1158*'Methodology &amp; Assumptions'!$B$5, 0)</f>
        <v/>
      </c>
      <c r="P1158" s="10" t="inlineStr">
        <is>
          <t>Single Carrier (Band n50, 100MHz TDD)</t>
        </is>
      </c>
      <c r="Q1158" s="13">
        <f>ROUNDUP(O1158/'Methodology &amp; Assumptions'!$B$6, 0)</f>
        <v/>
      </c>
      <c r="R1158" s="13" t="n">
        <v>1</v>
      </c>
      <c r="S1158" s="14" t="n">
        <v>6.52</v>
      </c>
      <c r="T1158" s="14" t="n">
        <v>6.04</v>
      </c>
      <c r="U1158" s="26">
        <f>IF(X1158&gt;='Methodology &amp; Assumptions'!$B$7, "Tier 1 Critical GIDA (Score ≥ 50.0)", IF(X1158&gt;='Methodology &amp; Assumptions'!$B$8, "Tier 2 High GIDA (Score 40.0–49.9)", "Tier 3 Moderate GIDA (Score &lt; 40.0)"))</f>
        <v/>
      </c>
      <c r="V1158" s="26">
        <f>IF(S1158&lt;='Methodology &amp; Assumptions'!$B$10, "Direct Optical Drop (&lt;3km)", IF(S1158&lt;='Methodology &amp; Assumptions'!$B$9, "Near Optical / Microwave (&lt;5km)", "Starlink Business LEO Satellite Backhaul (&gt;5km)"))</f>
        <v/>
      </c>
      <c r="W1158" s="28" t="n">
        <v>0.083</v>
      </c>
      <c r="X1158" s="14" t="n">
        <v>43.97</v>
      </c>
      <c r="Y1158" s="14">
        <f>ROUND(MIN(100, (X1158/69.91)*100), 2)</f>
        <v/>
      </c>
    </row>
    <row r="1159">
      <c r="A1159" s="10" t="n">
        <v>5</v>
      </c>
      <c r="B1159" s="10" t="n">
        <v>155</v>
      </c>
      <c r="C1159" s="10" t="n">
        <v>4155</v>
      </c>
      <c r="D1159" s="10" t="inlineStr">
        <is>
          <t>0405622078</t>
        </is>
      </c>
      <c r="E1159" s="26" t="inlineStr">
        <is>
          <t>Region IV-A (CALABARZON)</t>
        </is>
      </c>
      <c r="F1159" s="26" t="inlineStr">
        <is>
          <t>Quezon</t>
        </is>
      </c>
      <c r="G1159" s="26" t="inlineStr">
        <is>
          <t>Lopez</t>
        </is>
      </c>
      <c r="H1159" s="26" t="inlineStr">
        <is>
          <t>Santo Niño Ibaba</t>
        </is>
      </c>
      <c r="I1159" s="27" t="n">
        <v>13.884814</v>
      </c>
      <c r="J1159" s="27" t="n">
        <v>122.265191</v>
      </c>
      <c r="K1159" s="10" t="inlineStr">
        <is>
          <t>R</t>
        </is>
      </c>
      <c r="L1159" s="12" t="n">
        <v>552</v>
      </c>
      <c r="M1159" s="14" t="n">
        <v>3.8</v>
      </c>
      <c r="N1159" s="12">
        <f>ROUND(L1159/M1159, 0)</f>
        <v/>
      </c>
      <c r="O1159" s="12">
        <f>ROUND(N1159*'Methodology &amp; Assumptions'!$B$5, 0)</f>
        <v/>
      </c>
      <c r="P1159" s="10" t="inlineStr">
        <is>
          <t>Single Carrier (Band n50, 100MHz TDD)</t>
        </is>
      </c>
      <c r="Q1159" s="13">
        <f>ROUNDUP(O1159/'Methodology &amp; Assumptions'!$B$6, 0)</f>
        <v/>
      </c>
      <c r="R1159" s="13" t="n">
        <v>1</v>
      </c>
      <c r="S1159" s="14" t="n">
        <v>0.42</v>
      </c>
      <c r="T1159" s="14" t="n">
        <v>0.21</v>
      </c>
      <c r="U1159" s="26">
        <f>IF(X1159&gt;='Methodology &amp; Assumptions'!$B$7, "Tier 1 Critical GIDA (Score ≥ 50.0)", IF(X1159&gt;='Methodology &amp; Assumptions'!$B$8, "Tier 2 High GIDA (Score 40.0–49.9)", "Tier 3 Moderate GIDA (Score &lt; 40.0)"))</f>
        <v/>
      </c>
      <c r="V1159" s="26">
        <f>IF(S1159&lt;='Methodology &amp; Assumptions'!$B$10, "Direct Optical Drop (&lt;3km)", IF(S1159&lt;='Methodology &amp; Assumptions'!$B$9, "Near Optical / Microwave (&lt;5km)", "Starlink Business LEO Satellite Backhaul (&gt;5km)"))</f>
        <v/>
      </c>
      <c r="W1159" s="28" t="n">
        <v>0.07200000000000001</v>
      </c>
      <c r="X1159" s="14" t="n">
        <v>43.97</v>
      </c>
      <c r="Y1159" s="14">
        <f>ROUND(MIN(100, (X1159/69.91)*100), 2)</f>
        <v/>
      </c>
    </row>
    <row r="1160">
      <c r="A1160" s="10" t="n">
        <v>5</v>
      </c>
      <c r="B1160" s="10" t="n">
        <v>156</v>
      </c>
      <c r="C1160" s="10" t="n">
        <v>4156</v>
      </c>
      <c r="D1160" s="10" t="inlineStr">
        <is>
          <t>0300803022</t>
        </is>
      </c>
      <c r="E1160" s="26" t="inlineStr">
        <is>
          <t>Region III (Central Luzon)</t>
        </is>
      </c>
      <c r="F1160" s="26" t="inlineStr">
        <is>
          <t>Bataan</t>
        </is>
      </c>
      <c r="G1160" s="26" t="inlineStr">
        <is>
          <t>City of Balanga</t>
        </is>
      </c>
      <c r="H1160" s="26" t="inlineStr">
        <is>
          <t>Tortugas</t>
        </is>
      </c>
      <c r="I1160" s="27" t="n">
        <v>14.692848</v>
      </c>
      <c r="J1160" s="27" t="n">
        <v>120.560115</v>
      </c>
      <c r="K1160" s="10" t="inlineStr">
        <is>
          <t>R</t>
        </is>
      </c>
      <c r="L1160" s="12" t="n">
        <v>2979</v>
      </c>
      <c r="M1160" s="14" t="n">
        <v>3.6</v>
      </c>
      <c r="N1160" s="12">
        <f>ROUND(L1160/M1160, 0)</f>
        <v/>
      </c>
      <c r="O1160" s="12">
        <f>ROUND(N1160*'Methodology &amp; Assumptions'!$B$5, 0)</f>
        <v/>
      </c>
      <c r="P1160" s="10" t="inlineStr">
        <is>
          <t>Single Carrier (Band n50, 100MHz TDD)</t>
        </is>
      </c>
      <c r="Q1160" s="13">
        <f>ROUNDUP(O1160/'Methodology &amp; Assumptions'!$B$6, 0)</f>
        <v/>
      </c>
      <c r="R1160" s="13" t="n">
        <v>1</v>
      </c>
      <c r="S1160" s="14" t="n">
        <v>1.89</v>
      </c>
      <c r="T1160" s="14" t="n">
        <v>1.65</v>
      </c>
      <c r="U1160" s="26">
        <f>IF(X1160&gt;='Methodology &amp; Assumptions'!$B$7, "Tier 1 Critical GIDA (Score ≥ 50.0)", IF(X1160&gt;='Methodology &amp; Assumptions'!$B$8, "Tier 2 High GIDA (Score 40.0–49.9)", "Tier 3 Moderate GIDA (Score &lt; 40.0)"))</f>
        <v/>
      </c>
      <c r="V1160" s="26">
        <f>IF(S1160&lt;='Methodology &amp; Assumptions'!$B$10, "Direct Optical Drop (&lt;3km)", IF(S1160&lt;='Methodology &amp; Assumptions'!$B$9, "Near Optical / Microwave (&lt;5km)", "Starlink Business LEO Satellite Backhaul (&gt;5km)"))</f>
        <v/>
      </c>
      <c r="W1160" s="28" t="n">
        <v>0.083</v>
      </c>
      <c r="X1160" s="14" t="n">
        <v>43.97</v>
      </c>
      <c r="Y1160" s="14">
        <f>ROUND(MIN(100, (X1160/69.91)*100), 2)</f>
        <v/>
      </c>
    </row>
    <row r="1161">
      <c r="A1161" s="10" t="n">
        <v>5</v>
      </c>
      <c r="B1161" s="10" t="n">
        <v>157</v>
      </c>
      <c r="C1161" s="10" t="n">
        <v>4157</v>
      </c>
      <c r="D1161" s="10" t="inlineStr">
        <is>
          <t>0402106065</t>
        </is>
      </c>
      <c r="E1161" s="26" t="inlineStr">
        <is>
          <t>Region IV-A (CALABARZON)</t>
        </is>
      </c>
      <c r="F1161" s="26" t="inlineStr">
        <is>
          <t>Cavite</t>
        </is>
      </c>
      <c r="G1161" s="26" t="inlineStr">
        <is>
          <t>City of Dasmariñas</t>
        </is>
      </c>
      <c r="H1161" s="26" t="inlineStr">
        <is>
          <t>San Agustin II</t>
        </is>
      </c>
      <c r="I1161" s="27" t="n">
        <v>14.318018</v>
      </c>
      <c r="J1161" s="27" t="n">
        <v>120.952387</v>
      </c>
      <c r="K1161" s="10" t="inlineStr">
        <is>
          <t>U</t>
        </is>
      </c>
      <c r="L1161" s="12" t="n">
        <v>12308</v>
      </c>
      <c r="M1161" s="14" t="n">
        <v>3.4</v>
      </c>
      <c r="N1161" s="12">
        <f>ROUND(L1161/M1161, 0)</f>
        <v/>
      </c>
      <c r="O1161" s="12">
        <f>ROUND(N1161*'Methodology &amp; Assumptions'!$B$5, 0)</f>
        <v/>
      </c>
      <c r="P1161" s="10" t="inlineStr">
        <is>
          <t>Single Carrier (Band n50, 100MHz TDD)</t>
        </is>
      </c>
      <c r="Q1161" s="13">
        <f>ROUNDUP(O1161/'Methodology &amp; Assumptions'!$B$6, 0)</f>
        <v/>
      </c>
      <c r="R1161" s="13" t="n">
        <v>1</v>
      </c>
      <c r="S1161" s="14" t="n">
        <v>1.56</v>
      </c>
      <c r="T1161" s="14" t="n">
        <v>1.82</v>
      </c>
      <c r="U1161" s="26">
        <f>IF(X1161&gt;='Methodology &amp; Assumptions'!$B$7, "Tier 1 Critical GIDA (Score ≥ 50.0)", IF(X1161&gt;='Methodology &amp; Assumptions'!$B$8, "Tier 2 High GIDA (Score 40.0–49.9)", "Tier 3 Moderate GIDA (Score &lt; 40.0)"))</f>
        <v/>
      </c>
      <c r="V1161" s="26">
        <f>IF(S1161&lt;='Methodology &amp; Assumptions'!$B$10, "Direct Optical Drop (&lt;3km)", IF(S1161&lt;='Methodology &amp; Assumptions'!$B$9, "Near Optical / Microwave (&lt;5km)", "Starlink Business LEO Satellite Backhaul (&gt;5km)"))</f>
        <v/>
      </c>
      <c r="W1161" s="28" t="n">
        <v>0.07200000000000001</v>
      </c>
      <c r="X1161" s="14" t="n">
        <v>43.97</v>
      </c>
      <c r="Y1161" s="14">
        <f>ROUND(MIN(100, (X1161/69.91)*100), 2)</f>
        <v/>
      </c>
    </row>
    <row r="1162">
      <c r="A1162" s="10" t="n">
        <v>5</v>
      </c>
      <c r="B1162" s="10" t="n">
        <v>158</v>
      </c>
      <c r="C1162" s="10" t="n">
        <v>4158</v>
      </c>
      <c r="D1162" s="10" t="inlineStr">
        <is>
          <t>PH0004158</t>
        </is>
      </c>
      <c r="E1162" s="26" t="inlineStr">
        <is>
          <t>NCR</t>
        </is>
      </c>
      <c r="F1162" s="26" t="inlineStr">
        <is>
          <t>Metro Manila</t>
        </is>
      </c>
      <c r="G1162" s="26" t="inlineStr">
        <is>
          <t>Caloocan City</t>
        </is>
      </c>
      <c r="H1162" s="26" t="inlineStr">
        <is>
          <t>Barangay 164</t>
        </is>
      </c>
      <c r="I1162" s="27" t="n">
        <v>13.343858</v>
      </c>
      <c r="J1162" s="27" t="n">
        <v>120.263884</v>
      </c>
      <c r="K1162" s="10" t="inlineStr">
        <is>
          <t>R</t>
        </is>
      </c>
      <c r="L1162" s="12" t="n">
        <v>2279</v>
      </c>
      <c r="M1162" s="14" t="n">
        <v>3.8</v>
      </c>
      <c r="N1162" s="12">
        <f>ROUND(L1162/M1162, 0)</f>
        <v/>
      </c>
      <c r="O1162" s="12">
        <f>ROUND(N1162*'Methodology &amp; Assumptions'!$B$5, 0)</f>
        <v/>
      </c>
      <c r="P1162" s="10" t="inlineStr">
        <is>
          <t>Single Carrier (Band n50, 100MHz TDD)</t>
        </is>
      </c>
      <c r="Q1162" s="13">
        <f>ROUNDUP(O1162/'Methodology &amp; Assumptions'!$B$6, 0)</f>
        <v/>
      </c>
      <c r="R1162" s="13" t="n">
        <v>1</v>
      </c>
      <c r="S1162" s="14" t="n">
        <v>66.84999999999999</v>
      </c>
      <c r="T1162" s="14" t="n">
        <v>66.91</v>
      </c>
      <c r="U1162" s="26">
        <f>IF(X1162&gt;='Methodology &amp; Assumptions'!$B$7, "Tier 1 Critical GIDA (Score ≥ 50.0)", IF(X1162&gt;='Methodology &amp; Assumptions'!$B$8, "Tier 2 High GIDA (Score 40.0–49.9)", "Tier 3 Moderate GIDA (Score &lt; 40.0)"))</f>
        <v/>
      </c>
      <c r="V1162" s="26">
        <f>IF(S1162&lt;='Methodology &amp; Assumptions'!$B$10, "Direct Optical Drop (&lt;3km)", IF(S1162&lt;='Methodology &amp; Assumptions'!$B$9, "Near Optical / Microwave (&lt;5km)", "Starlink Business LEO Satellite Backhaul (&gt;5km)"))</f>
        <v/>
      </c>
      <c r="W1162" s="28" t="n">
        <v>0.011</v>
      </c>
      <c r="X1162" s="14" t="n">
        <v>43.96</v>
      </c>
      <c r="Y1162" s="14">
        <f>ROUND(MIN(100, (X1162/69.91)*100), 2)</f>
        <v/>
      </c>
    </row>
    <row r="1163">
      <c r="A1163" s="10" t="n">
        <v>5</v>
      </c>
      <c r="B1163" s="10" t="n">
        <v>159</v>
      </c>
      <c r="C1163" s="10" t="n">
        <v>4159</v>
      </c>
      <c r="D1163" s="10" t="inlineStr">
        <is>
          <t>0401029023</t>
        </is>
      </c>
      <c r="E1163" s="26" t="inlineStr">
        <is>
          <t>Region IV-A (CALABARZON)</t>
        </is>
      </c>
      <c r="F1163" s="26" t="inlineStr">
        <is>
          <t>Batangas</t>
        </is>
      </c>
      <c r="G1163" s="26" t="inlineStr">
        <is>
          <t>Taal</t>
        </is>
      </c>
      <c r="H1163" s="26" t="inlineStr">
        <is>
          <t>Poblacion 1</t>
        </is>
      </c>
      <c r="I1163" s="27" t="n">
        <v>13.878788</v>
      </c>
      <c r="J1163" s="27" t="n">
        <v>120.919233</v>
      </c>
      <c r="K1163" s="10" t="inlineStr">
        <is>
          <t>R</t>
        </is>
      </c>
      <c r="L1163" s="12" t="n">
        <v>392</v>
      </c>
      <c r="M1163" s="14" t="n">
        <v>3.6</v>
      </c>
      <c r="N1163" s="12">
        <f>ROUND(L1163/M1163, 0)</f>
        <v/>
      </c>
      <c r="O1163" s="12">
        <f>ROUND(N1163*'Methodology &amp; Assumptions'!$B$5, 0)</f>
        <v/>
      </c>
      <c r="P1163" s="10" t="inlineStr">
        <is>
          <t>Single Carrier (Band n50, 100MHz TDD)</t>
        </is>
      </c>
      <c r="Q1163" s="13">
        <f>ROUNDUP(O1163/'Methodology &amp; Assumptions'!$B$6, 0)</f>
        <v/>
      </c>
      <c r="R1163" s="13" t="n">
        <v>1</v>
      </c>
      <c r="S1163" s="14" t="n">
        <v>0.41</v>
      </c>
      <c r="T1163" s="14" t="n">
        <v>1.98</v>
      </c>
      <c r="U1163" s="26">
        <f>IF(X1163&gt;='Methodology &amp; Assumptions'!$B$7, "Tier 1 Critical GIDA (Score ≥ 50.0)", IF(X1163&gt;='Methodology &amp; Assumptions'!$B$8, "Tier 2 High GIDA (Score 40.0–49.9)", "Tier 3 Moderate GIDA (Score &lt; 40.0)"))</f>
        <v/>
      </c>
      <c r="V1163" s="26">
        <f>IF(S1163&lt;='Methodology &amp; Assumptions'!$B$10, "Direct Optical Drop (&lt;3km)", IF(S1163&lt;='Methodology &amp; Assumptions'!$B$9, "Near Optical / Microwave (&lt;5km)", "Starlink Business LEO Satellite Backhaul (&gt;5km)"))</f>
        <v/>
      </c>
      <c r="W1163" s="28" t="n">
        <v>0.07200000000000001</v>
      </c>
      <c r="X1163" s="14" t="n">
        <v>43.96</v>
      </c>
      <c r="Y1163" s="14">
        <f>ROUND(MIN(100, (X1163/69.91)*100), 2)</f>
        <v/>
      </c>
    </row>
    <row r="1164">
      <c r="A1164" s="10" t="n">
        <v>5</v>
      </c>
      <c r="B1164" s="10" t="n">
        <v>160</v>
      </c>
      <c r="C1164" s="10" t="n">
        <v>4160</v>
      </c>
      <c r="D1164" s="10" t="inlineStr">
        <is>
          <t>1381701006</t>
        </is>
      </c>
      <c r="E1164" s="26" t="inlineStr">
        <is>
          <t>National Capital Region (NCR)</t>
        </is>
      </c>
      <c r="F1164" s="26" t="inlineStr">
        <is>
          <t>Fourth District (Not a Province)</t>
        </is>
      </c>
      <c r="G1164" s="26" t="inlineStr">
        <is>
          <t>Pateros</t>
        </is>
      </c>
      <c r="H1164" s="26" t="inlineStr">
        <is>
          <t>San Roque</t>
        </is>
      </c>
      <c r="I1164" s="27" t="n">
        <v>14.542144</v>
      </c>
      <c r="J1164" s="27" t="n">
        <v>121.070679</v>
      </c>
      <c r="K1164" s="10" t="inlineStr">
        <is>
          <t>U</t>
        </is>
      </c>
      <c r="L1164" s="12" t="n">
        <v>4901</v>
      </c>
      <c r="M1164" s="14" t="n">
        <v>3.8</v>
      </c>
      <c r="N1164" s="12">
        <f>ROUND(L1164/M1164, 0)</f>
        <v/>
      </c>
      <c r="O1164" s="12">
        <f>ROUND(N1164*'Methodology &amp; Assumptions'!$B$5, 0)</f>
        <v/>
      </c>
      <c r="P1164" s="10" t="inlineStr">
        <is>
          <t>Single Carrier (Band n50, 100MHz TDD)</t>
        </is>
      </c>
      <c r="Q1164" s="13">
        <f>ROUNDUP(O1164/'Methodology &amp; Assumptions'!$B$6, 0)</f>
        <v/>
      </c>
      <c r="R1164" s="13" t="n">
        <v>1</v>
      </c>
      <c r="S1164" s="14" t="n">
        <v>0.38</v>
      </c>
      <c r="T1164" s="14" t="n">
        <v>0.38</v>
      </c>
      <c r="U1164" s="26">
        <f>IF(X1164&gt;='Methodology &amp; Assumptions'!$B$7, "Tier 1 Critical GIDA (Score ≥ 50.0)", IF(X1164&gt;='Methodology &amp; Assumptions'!$B$8, "Tier 2 High GIDA (Score 40.0–49.9)", "Tier 3 Moderate GIDA (Score &lt; 40.0)"))</f>
        <v/>
      </c>
      <c r="V1164" s="26">
        <f>IF(S1164&lt;='Methodology &amp; Assumptions'!$B$10, "Direct Optical Drop (&lt;3km)", IF(S1164&lt;='Methodology &amp; Assumptions'!$B$9, "Near Optical / Microwave (&lt;5km)", "Starlink Business LEO Satellite Backhaul (&gt;5km)"))</f>
        <v/>
      </c>
      <c r="W1164" s="28" t="n">
        <v>0.109</v>
      </c>
      <c r="X1164" s="14" t="n">
        <v>43.96</v>
      </c>
      <c r="Y1164" s="14">
        <f>ROUND(MIN(100, (X1164/69.91)*100), 2)</f>
        <v/>
      </c>
    </row>
    <row r="1165">
      <c r="A1165" s="10" t="n">
        <v>5</v>
      </c>
      <c r="B1165" s="10" t="n">
        <v>161</v>
      </c>
      <c r="C1165" s="10" t="n">
        <v>4161</v>
      </c>
      <c r="D1165" s="10" t="inlineStr">
        <is>
          <t>PH0004161</t>
        </is>
      </c>
      <c r="E1165" s="26" t="inlineStr">
        <is>
          <t>IX</t>
        </is>
      </c>
      <c r="F1165" s="26" t="inlineStr">
        <is>
          <t>Zamboanga Del Sur</t>
        </is>
      </c>
      <c r="G1165" s="26" t="inlineStr">
        <is>
          <t>Zamboanga City</t>
        </is>
      </c>
      <c r="H1165" s="26" t="inlineStr">
        <is>
          <t>Taguiti</t>
        </is>
      </c>
      <c r="I1165" s="27" t="n">
        <v>7.306318</v>
      </c>
      <c r="J1165" s="27" t="n">
        <v>122.282099</v>
      </c>
      <c r="K1165" s="10" t="inlineStr">
        <is>
          <t>R</t>
        </is>
      </c>
      <c r="L1165" s="12" t="n">
        <v>2305</v>
      </c>
      <c r="M1165" s="14" t="n">
        <v>3.9</v>
      </c>
      <c r="N1165" s="12">
        <f>ROUND(L1165/M1165, 0)</f>
        <v/>
      </c>
      <c r="O1165" s="12">
        <f>ROUND(N1165*'Methodology &amp; Assumptions'!$B$5, 0)</f>
        <v/>
      </c>
      <c r="P1165" s="10" t="inlineStr">
        <is>
          <t>Single Carrier (Band n50, 100MHz TDD)</t>
        </is>
      </c>
      <c r="Q1165" s="13">
        <f>ROUNDUP(O1165/'Methodology &amp; Assumptions'!$B$6, 0)</f>
        <v/>
      </c>
      <c r="R1165" s="13" t="n">
        <v>1</v>
      </c>
      <c r="S1165" s="14" t="n">
        <v>7.67</v>
      </c>
      <c r="T1165" s="14" t="n">
        <v>2.01</v>
      </c>
      <c r="U1165" s="26">
        <f>IF(X1165&gt;='Methodology &amp; Assumptions'!$B$7, "Tier 1 Critical GIDA (Score ≥ 50.0)", IF(X1165&gt;='Methodology &amp; Assumptions'!$B$8, "Tier 2 High GIDA (Score 40.0–49.9)", "Tier 3 Moderate GIDA (Score &lt; 40.0)"))</f>
        <v/>
      </c>
      <c r="V1165" s="26">
        <f>IF(S1165&lt;='Methodology &amp; Assumptions'!$B$10, "Direct Optical Drop (&lt;3km)", IF(S1165&lt;='Methodology &amp; Assumptions'!$B$9, "Near Optical / Microwave (&lt;5km)", "Starlink Business LEO Satellite Backhaul (&gt;5km)"))</f>
        <v/>
      </c>
      <c r="W1165" s="28" t="n">
        <v>0.234</v>
      </c>
      <c r="X1165" s="14" t="n">
        <v>43.96</v>
      </c>
      <c r="Y1165" s="14">
        <f>ROUND(MIN(100, (X1165/69.91)*100), 2)</f>
        <v/>
      </c>
    </row>
    <row r="1166">
      <c r="A1166" s="10" t="n">
        <v>5</v>
      </c>
      <c r="B1166" s="10" t="n">
        <v>162</v>
      </c>
      <c r="C1166" s="10" t="n">
        <v>4162</v>
      </c>
      <c r="D1166" s="10" t="inlineStr">
        <is>
          <t>0402103049</t>
        </is>
      </c>
      <c r="E1166" s="26" t="inlineStr">
        <is>
          <t>Region IV-A (CALABARZON)</t>
        </is>
      </c>
      <c r="F1166" s="26" t="inlineStr">
        <is>
          <t>Cavite</t>
        </is>
      </c>
      <c r="G1166" s="26" t="inlineStr">
        <is>
          <t>City of Bacoor</t>
        </is>
      </c>
      <c r="H1166" s="26" t="inlineStr">
        <is>
          <t>Molino VI</t>
        </is>
      </c>
      <c r="I1166" s="27" t="n">
        <v>14.235032</v>
      </c>
      <c r="J1166" s="27" t="n">
        <v>121.056373</v>
      </c>
      <c r="K1166" s="10" t="inlineStr">
        <is>
          <t>U</t>
        </is>
      </c>
      <c r="L1166" s="12" t="n">
        <v>21186</v>
      </c>
      <c r="M1166" s="14" t="n">
        <v>3.4</v>
      </c>
      <c r="N1166" s="12">
        <f>ROUND(L1166/M1166, 0)</f>
        <v/>
      </c>
      <c r="O1166" s="12">
        <f>ROUND(N1166*'Methodology &amp; Assumptions'!$B$5, 0)</f>
        <v/>
      </c>
      <c r="P1166" s="10" t="inlineStr">
        <is>
          <t>Single Carrier (Band n50, 100MHz TDD)</t>
        </is>
      </c>
      <c r="Q1166" s="13">
        <f>ROUNDUP(O1166/'Methodology &amp; Assumptions'!$B$6, 0)</f>
        <v/>
      </c>
      <c r="R1166" s="13" t="n">
        <v>1</v>
      </c>
      <c r="S1166" s="14" t="n">
        <v>1.89</v>
      </c>
      <c r="T1166" s="14" t="n">
        <v>0.39</v>
      </c>
      <c r="U1166" s="26">
        <f>IF(X1166&gt;='Methodology &amp; Assumptions'!$B$7, "Tier 1 Critical GIDA (Score ≥ 50.0)", IF(X1166&gt;='Methodology &amp; Assumptions'!$B$8, "Tier 2 High GIDA (Score 40.0–49.9)", "Tier 3 Moderate GIDA (Score &lt; 40.0)"))</f>
        <v/>
      </c>
      <c r="V1166" s="26">
        <f>IF(S1166&lt;='Methodology &amp; Assumptions'!$B$10, "Direct Optical Drop (&lt;3km)", IF(S1166&lt;='Methodology &amp; Assumptions'!$B$9, "Near Optical / Microwave (&lt;5km)", "Starlink Business LEO Satellite Backhaul (&gt;5km)"))</f>
        <v/>
      </c>
      <c r="W1166" s="28" t="n">
        <v>0.07200000000000001</v>
      </c>
      <c r="X1166" s="14" t="n">
        <v>43.95</v>
      </c>
      <c r="Y1166" s="14">
        <f>ROUND(MIN(100, (X1166/69.91)*100), 2)</f>
        <v/>
      </c>
    </row>
    <row r="1167">
      <c r="A1167" s="10" t="n">
        <v>5</v>
      </c>
      <c r="B1167" s="10" t="n">
        <v>163</v>
      </c>
      <c r="C1167" s="10" t="n">
        <v>4163</v>
      </c>
      <c r="D1167" s="10" t="inlineStr">
        <is>
          <t>1003506035</t>
        </is>
      </c>
      <c r="E1167" s="26" t="inlineStr">
        <is>
          <t>Region X (Northern Mindanao)</t>
        </is>
      </c>
      <c r="F1167" s="26" t="inlineStr">
        <is>
          <t>Lanao del Norte</t>
        </is>
      </c>
      <c r="G1167" s="26" t="inlineStr">
        <is>
          <t>Sultan Naga Dimaporo</t>
        </is>
      </c>
      <c r="H1167" s="26" t="inlineStr">
        <is>
          <t>Topocon</t>
        </is>
      </c>
      <c r="I1167" s="27" t="n">
        <v>7.791694</v>
      </c>
      <c r="J1167" s="27" t="n">
        <v>123.723854</v>
      </c>
      <c r="K1167" s="10" t="inlineStr">
        <is>
          <t>R</t>
        </is>
      </c>
      <c r="L1167" s="12" t="n">
        <v>998</v>
      </c>
      <c r="M1167" s="14" t="n">
        <v>4.2</v>
      </c>
      <c r="N1167" s="12">
        <f>ROUND(L1167/M1167, 0)</f>
        <v/>
      </c>
      <c r="O1167" s="12">
        <f>ROUND(N1167*'Methodology &amp; Assumptions'!$B$5, 0)</f>
        <v/>
      </c>
      <c r="P1167" s="10" t="inlineStr">
        <is>
          <t>Single Carrier (Band n50, 100MHz TDD)</t>
        </is>
      </c>
      <c r="Q1167" s="13">
        <f>ROUNDUP(O1167/'Methodology &amp; Assumptions'!$B$6, 0)</f>
        <v/>
      </c>
      <c r="R1167" s="13" t="n">
        <v>1</v>
      </c>
      <c r="S1167" s="14" t="n">
        <v>23.44</v>
      </c>
      <c r="T1167" s="14" t="n">
        <v>10.7</v>
      </c>
      <c r="U1167" s="26">
        <f>IF(X1167&gt;='Methodology &amp; Assumptions'!$B$7, "Tier 1 Critical GIDA (Score ≥ 50.0)", IF(X1167&gt;='Methodology &amp; Assumptions'!$B$8, "Tier 2 High GIDA (Score 40.0–49.9)", "Tier 3 Moderate GIDA (Score &lt; 40.0)"))</f>
        <v/>
      </c>
      <c r="V1167" s="26">
        <f>IF(S1167&lt;='Methodology &amp; Assumptions'!$B$10, "Direct Optical Drop (&lt;3km)", IF(S1167&lt;='Methodology &amp; Assumptions'!$B$9, "Near Optical / Microwave (&lt;5km)", "Starlink Business LEO Satellite Backhaul (&gt;5km)"))</f>
        <v/>
      </c>
      <c r="W1167" s="28" t="n">
        <v>0.174</v>
      </c>
      <c r="X1167" s="14" t="n">
        <v>43.94</v>
      </c>
      <c r="Y1167" s="14">
        <f>ROUND(MIN(100, (X1167/69.91)*100), 2)</f>
        <v/>
      </c>
    </row>
    <row r="1168">
      <c r="A1168" s="10" t="n">
        <v>5</v>
      </c>
      <c r="B1168" s="10" t="n">
        <v>164</v>
      </c>
      <c r="C1168" s="10" t="n">
        <v>4164</v>
      </c>
      <c r="D1168" s="10" t="inlineStr">
        <is>
          <t>1381000007</t>
        </is>
      </c>
      <c r="E1168" s="26" t="inlineStr">
        <is>
          <t>National Capital Region (NCR)</t>
        </is>
      </c>
      <c r="F1168" s="26" t="inlineStr">
        <is>
          <t>Fourth District (Not a Province)</t>
        </is>
      </c>
      <c r="G1168" s="26" t="inlineStr">
        <is>
          <t>City of Parañaque</t>
        </is>
      </c>
      <c r="H1168" s="26" t="inlineStr">
        <is>
          <t>B. F. Homes</t>
        </is>
      </c>
      <c r="I1168" s="27" t="n">
        <v>14.451957</v>
      </c>
      <c r="J1168" s="27" t="n">
        <v>121.040629</v>
      </c>
      <c r="K1168" s="10" t="inlineStr">
        <is>
          <t>U</t>
        </is>
      </c>
      <c r="L1168" s="12" t="n">
        <v>94534</v>
      </c>
      <c r="M1168" s="14" t="n">
        <v>3.2</v>
      </c>
      <c r="N1168" s="12">
        <f>ROUND(L1168/M1168, 0)</f>
        <v/>
      </c>
      <c r="O1168" s="12">
        <f>ROUND(N1168*'Methodology &amp; Assumptions'!$B$5, 0)</f>
        <v/>
      </c>
      <c r="P1168" s="10" t="inlineStr">
        <is>
          <t>Single Carrier (Band n50, 100MHz TDD)</t>
        </is>
      </c>
      <c r="Q1168" s="13">
        <f>ROUNDUP(O1168/'Methodology &amp; Assumptions'!$B$6, 0)</f>
        <v/>
      </c>
      <c r="R1168" s="13" t="n">
        <v>1</v>
      </c>
      <c r="S1168" s="14" t="n">
        <v>0.62</v>
      </c>
      <c r="T1168" s="14" t="n">
        <v>0.37</v>
      </c>
      <c r="U1168" s="26">
        <f>IF(X1168&gt;='Methodology &amp; Assumptions'!$B$7, "Tier 1 Critical GIDA (Score ≥ 50.0)", IF(X1168&gt;='Methodology &amp; Assumptions'!$B$8, "Tier 2 High GIDA (Score 40.0–49.9)", "Tier 3 Moderate GIDA (Score &lt; 40.0)"))</f>
        <v/>
      </c>
      <c r="V1168" s="26">
        <f>IF(S1168&lt;='Methodology &amp; Assumptions'!$B$10, "Direct Optical Drop (&lt;3km)", IF(S1168&lt;='Methodology &amp; Assumptions'!$B$9, "Near Optical / Microwave (&lt;5km)", "Starlink Business LEO Satellite Backhaul (&gt;5km)"))</f>
        <v/>
      </c>
      <c r="W1168" s="28" t="n">
        <v>0.109</v>
      </c>
      <c r="X1168" s="14" t="n">
        <v>43.94</v>
      </c>
      <c r="Y1168" s="14">
        <f>ROUND(MIN(100, (X1168/69.91)*100), 2)</f>
        <v/>
      </c>
    </row>
    <row r="1169">
      <c r="A1169" s="10" t="n">
        <v>5</v>
      </c>
      <c r="B1169" s="10" t="n">
        <v>165</v>
      </c>
      <c r="C1169" s="10" t="n">
        <v>4165</v>
      </c>
      <c r="D1169" s="10" t="inlineStr">
        <is>
          <t>0500504011</t>
        </is>
      </c>
      <c r="E1169" s="26" t="inlineStr">
        <is>
          <t>Region V (Bicol Region)</t>
        </is>
      </c>
      <c r="F1169" s="26" t="inlineStr">
        <is>
          <t>Albay</t>
        </is>
      </c>
      <c r="G1169" s="26" t="inlineStr">
        <is>
          <t>Guinobatan</t>
        </is>
      </c>
      <c r="H1169" s="26" t="inlineStr">
        <is>
          <t>Doña Mercedes</t>
        </is>
      </c>
      <c r="I1169" s="27" t="n">
        <v>13.168926</v>
      </c>
      <c r="J1169" s="27" t="n">
        <v>123.569498</v>
      </c>
      <c r="K1169" s="10" t="inlineStr">
        <is>
          <t>R</t>
        </is>
      </c>
      <c r="L1169" s="12" t="n">
        <v>1476</v>
      </c>
      <c r="M1169" s="14" t="n">
        <v>4.1</v>
      </c>
      <c r="N1169" s="12">
        <f>ROUND(L1169/M1169, 0)</f>
        <v/>
      </c>
      <c r="O1169" s="12">
        <f>ROUND(N1169*'Methodology &amp; Assumptions'!$B$5, 0)</f>
        <v/>
      </c>
      <c r="P1169" s="10" t="inlineStr">
        <is>
          <t>Single Carrier (Band n50, 100MHz TDD)</t>
        </is>
      </c>
      <c r="Q1169" s="13">
        <f>ROUNDUP(O1169/'Methodology &amp; Assumptions'!$B$6, 0)</f>
        <v/>
      </c>
      <c r="R1169" s="13" t="n">
        <v>1</v>
      </c>
      <c r="S1169" s="14" t="n">
        <v>4.31</v>
      </c>
      <c r="T1169" s="14" t="n">
        <v>3.98</v>
      </c>
      <c r="U1169" s="26">
        <f>IF(X1169&gt;='Methodology &amp; Assumptions'!$B$7, "Tier 1 Critical GIDA (Score ≥ 50.0)", IF(X1169&gt;='Methodology &amp; Assumptions'!$B$8, "Tier 2 High GIDA (Score 40.0–49.9)", "Tier 3 Moderate GIDA (Score &lt; 40.0)"))</f>
        <v/>
      </c>
      <c r="V1169" s="26">
        <f>IF(S1169&lt;='Methodology &amp; Assumptions'!$B$10, "Direct Optical Drop (&lt;3km)", IF(S1169&lt;='Methodology &amp; Assumptions'!$B$9, "Near Optical / Microwave (&lt;5km)", "Starlink Business LEO Satellite Backhaul (&gt;5km)"))</f>
        <v/>
      </c>
      <c r="W1169" s="28" t="n">
        <v>0.237</v>
      </c>
      <c r="X1169" s="14" t="n">
        <v>43.94</v>
      </c>
      <c r="Y1169" s="14">
        <f>ROUND(MIN(100, (X1169/69.91)*100), 2)</f>
        <v/>
      </c>
    </row>
    <row r="1170">
      <c r="A1170" s="10" t="n">
        <v>5</v>
      </c>
      <c r="B1170" s="10" t="n">
        <v>166</v>
      </c>
      <c r="C1170" s="10" t="n">
        <v>4166</v>
      </c>
      <c r="D1170" s="10" t="inlineStr">
        <is>
          <t>0301412005</t>
        </is>
      </c>
      <c r="E1170" s="26" t="inlineStr">
        <is>
          <t>Region III (Central Luzon)</t>
        </is>
      </c>
      <c r="F1170" s="26" t="inlineStr">
        <is>
          <t>Bulacan</t>
        </is>
      </c>
      <c r="G1170" s="26" t="inlineStr">
        <is>
          <t>City of Meycauayan</t>
        </is>
      </c>
      <c r="H1170" s="26" t="inlineStr">
        <is>
          <t>Bayugo</t>
        </is>
      </c>
      <c r="I1170" s="27" t="n">
        <v>14.732892</v>
      </c>
      <c r="J1170" s="27" t="n">
        <v>120.953586</v>
      </c>
      <c r="K1170" s="10" t="inlineStr">
        <is>
          <t>U</t>
        </is>
      </c>
      <c r="L1170" s="12" t="n">
        <v>20064</v>
      </c>
      <c r="M1170" s="14" t="n">
        <v>3.5</v>
      </c>
      <c r="N1170" s="12">
        <f>ROUND(L1170/M1170, 0)</f>
        <v/>
      </c>
      <c r="O1170" s="12">
        <f>ROUND(N1170*'Methodology &amp; Assumptions'!$B$5, 0)</f>
        <v/>
      </c>
      <c r="P1170" s="10" t="inlineStr">
        <is>
          <t>Single Carrier (Band n50, 100MHz TDD)</t>
        </is>
      </c>
      <c r="Q1170" s="13">
        <f>ROUNDUP(O1170/'Methodology &amp; Assumptions'!$B$6, 0)</f>
        <v/>
      </c>
      <c r="R1170" s="13" t="n">
        <v>1</v>
      </c>
      <c r="S1170" s="14" t="n">
        <v>1.71</v>
      </c>
      <c r="T1170" s="14" t="n">
        <v>0.85</v>
      </c>
      <c r="U1170" s="26">
        <f>IF(X1170&gt;='Methodology &amp; Assumptions'!$B$7, "Tier 1 Critical GIDA (Score ≥ 50.0)", IF(X1170&gt;='Methodology &amp; Assumptions'!$B$8, "Tier 2 High GIDA (Score 40.0–49.9)", "Tier 3 Moderate GIDA (Score &lt; 40.0)"))</f>
        <v/>
      </c>
      <c r="V1170" s="26">
        <f>IF(S1170&lt;='Methodology &amp; Assumptions'!$B$10, "Direct Optical Drop (&lt;3km)", IF(S1170&lt;='Methodology &amp; Assumptions'!$B$9, "Near Optical / Microwave (&lt;5km)", "Starlink Business LEO Satellite Backhaul (&gt;5km)"))</f>
        <v/>
      </c>
      <c r="W1170" s="28" t="n">
        <v>0.083</v>
      </c>
      <c r="X1170" s="14" t="n">
        <v>43.94</v>
      </c>
      <c r="Y1170" s="14">
        <f>ROUND(MIN(100, (X1170/69.91)*100), 2)</f>
        <v/>
      </c>
    </row>
    <row r="1171">
      <c r="A1171" s="10" t="n">
        <v>5</v>
      </c>
      <c r="B1171" s="10" t="n">
        <v>167</v>
      </c>
      <c r="C1171" s="10" t="n">
        <v>4167</v>
      </c>
      <c r="D1171" s="10" t="inlineStr">
        <is>
          <t>1908803001</t>
        </is>
      </c>
      <c r="E1171" s="26" t="inlineStr">
        <is>
          <t>Bangsamoro Autonomous Region In Muslim Mindanao (BARMM)</t>
        </is>
      </c>
      <c r="F1171" s="26" t="inlineStr">
        <is>
          <t>Maguindanao del Sur</t>
        </is>
      </c>
      <c r="G1171" s="26" t="inlineStr">
        <is>
          <t>Datu Abdullah Sangki</t>
        </is>
      </c>
      <c r="H1171" s="26" t="inlineStr">
        <is>
          <t>Banaba</t>
        </is>
      </c>
      <c r="I1171" s="27" t="n">
        <v>17.255153</v>
      </c>
      <c r="J1171" s="27" t="n">
        <v>122.229197</v>
      </c>
      <c r="K1171" s="10" t="inlineStr">
        <is>
          <t>R</t>
        </is>
      </c>
      <c r="L1171" s="12" t="n">
        <v>4337</v>
      </c>
      <c r="M1171" s="14" t="n">
        <v>4.7</v>
      </c>
      <c r="N1171" s="12">
        <f>ROUND(L1171/M1171, 0)</f>
        <v/>
      </c>
      <c r="O1171" s="12">
        <f>ROUND(N1171*'Methodology &amp; Assumptions'!$B$5, 0)</f>
        <v/>
      </c>
      <c r="P1171" s="10" t="inlineStr">
        <is>
          <t>Single Carrier (Band n50, 100MHz TDD)</t>
        </is>
      </c>
      <c r="Q1171" s="13">
        <f>ROUNDUP(O1171/'Methodology &amp; Assumptions'!$B$6, 0)</f>
        <v/>
      </c>
      <c r="R1171" s="13" t="n">
        <v>1</v>
      </c>
      <c r="S1171" s="14" t="n">
        <v>29.46</v>
      </c>
      <c r="T1171" s="14" t="n">
        <v>34.34</v>
      </c>
      <c r="U1171" s="26">
        <f>IF(X1171&gt;='Methodology &amp; Assumptions'!$B$7, "Tier 1 Critical GIDA (Score ≥ 50.0)", IF(X1171&gt;='Methodology &amp; Assumptions'!$B$8, "Tier 2 High GIDA (Score 40.0–49.9)", "Tier 3 Moderate GIDA (Score &lt; 40.0)"))</f>
        <v/>
      </c>
      <c r="V1171" s="26">
        <f>IF(S1171&lt;='Methodology &amp; Assumptions'!$B$10, "Direct Optical Drop (&lt;3km)", IF(S1171&lt;='Methodology &amp; Assumptions'!$B$9, "Near Optical / Microwave (&lt;5km)", "Starlink Business LEO Satellite Backhaul (&gt;5km)"))</f>
        <v/>
      </c>
      <c r="W1171" s="28" t="n">
        <v>0.11</v>
      </c>
      <c r="X1171" s="14" t="n">
        <v>43.93</v>
      </c>
      <c r="Y1171" s="14">
        <f>ROUND(MIN(100, (X1171/69.91)*100), 2)</f>
        <v/>
      </c>
    </row>
    <row r="1172">
      <c r="A1172" s="10" t="n">
        <v>5</v>
      </c>
      <c r="B1172" s="10" t="n">
        <v>168</v>
      </c>
      <c r="C1172" s="10" t="n">
        <v>4168</v>
      </c>
      <c r="D1172" s="10" t="inlineStr">
        <is>
          <t>1705311004</t>
        </is>
      </c>
      <c r="E1172" s="26" t="inlineStr">
        <is>
          <t>MIMAROPA Region</t>
        </is>
      </c>
      <c r="F1172" s="26" t="inlineStr">
        <is>
          <t>Palawan</t>
        </is>
      </c>
      <c r="G1172" s="26" t="inlineStr">
        <is>
          <t>Dumaran</t>
        </is>
      </c>
      <c r="H1172" s="26" t="inlineStr">
        <is>
          <t>Capayas</t>
        </is>
      </c>
      <c r="I1172" s="27" t="n">
        <v>10.4472</v>
      </c>
      <c r="J1172" s="27" t="n">
        <v>119.62513</v>
      </c>
      <c r="K1172" s="10" t="inlineStr">
        <is>
          <t>R</t>
        </is>
      </c>
      <c r="L1172" s="12" t="n">
        <v>1668</v>
      </c>
      <c r="M1172" s="14" t="n">
        <v>3.9</v>
      </c>
      <c r="N1172" s="12">
        <f>ROUND(L1172/M1172, 0)</f>
        <v/>
      </c>
      <c r="O1172" s="12">
        <f>ROUND(N1172*'Methodology &amp; Assumptions'!$B$5, 0)</f>
        <v/>
      </c>
      <c r="P1172" s="10" t="inlineStr">
        <is>
          <t>Single Carrier (Band n50, 100MHz TDD)</t>
        </is>
      </c>
      <c r="Q1172" s="13">
        <f>ROUNDUP(O1172/'Methodology &amp; Assumptions'!$B$6, 0)</f>
        <v/>
      </c>
      <c r="R1172" s="13" t="n">
        <v>1</v>
      </c>
      <c r="S1172" s="14" t="n">
        <v>26.38</v>
      </c>
      <c r="T1172" s="14" t="n">
        <v>27.3</v>
      </c>
      <c r="U1172" s="26">
        <f>IF(X1172&gt;='Methodology &amp; Assumptions'!$B$7, "Tier 1 Critical GIDA (Score ≥ 50.0)", IF(X1172&gt;='Methodology &amp; Assumptions'!$B$8, "Tier 2 High GIDA (Score 40.0–49.9)", "Tier 3 Moderate GIDA (Score &lt; 40.0)"))</f>
        <v/>
      </c>
      <c r="V1172" s="26">
        <f>IF(S1172&lt;='Methodology &amp; Assumptions'!$B$10, "Direct Optical Drop (&lt;3km)", IF(S1172&lt;='Methodology &amp; Assumptions'!$B$9, "Near Optical / Microwave (&lt;5km)", "Starlink Business LEO Satellite Backhaul (&gt;5km)"))</f>
        <v/>
      </c>
      <c r="W1172" s="28" t="n">
        <v>0.15</v>
      </c>
      <c r="X1172" s="14" t="n">
        <v>43.93</v>
      </c>
      <c r="Y1172" s="14">
        <f>ROUND(MIN(100, (X1172/69.91)*100), 2)</f>
        <v/>
      </c>
    </row>
    <row r="1173">
      <c r="A1173" s="10" t="n">
        <v>5</v>
      </c>
      <c r="B1173" s="10" t="n">
        <v>169</v>
      </c>
      <c r="C1173" s="10" t="n">
        <v>4169</v>
      </c>
      <c r="D1173" s="10" t="inlineStr">
        <is>
          <t>1381300102</t>
        </is>
      </c>
      <c r="E1173" s="26" t="inlineStr">
        <is>
          <t>National Capital Region (NCR)</t>
        </is>
      </c>
      <c r="F1173" s="26" t="inlineStr">
        <is>
          <t>Second District (Not a Province)</t>
        </is>
      </c>
      <c r="G1173" s="26" t="inlineStr">
        <is>
          <t>Quezon City</t>
        </is>
      </c>
      <c r="H1173" s="26" t="inlineStr">
        <is>
          <t>San Roque</t>
        </is>
      </c>
      <c r="I1173" s="27" t="n">
        <v>14.61712</v>
      </c>
      <c r="J1173" s="27" t="n">
        <v>121.063179</v>
      </c>
      <c r="K1173" s="10" t="inlineStr">
        <is>
          <t>U</t>
        </is>
      </c>
      <c r="L1173" s="12" t="n">
        <v>19894</v>
      </c>
      <c r="M1173" s="14" t="n">
        <v>3.8</v>
      </c>
      <c r="N1173" s="12">
        <f>ROUND(L1173/M1173, 0)</f>
        <v/>
      </c>
      <c r="O1173" s="12">
        <f>ROUND(N1173*'Methodology &amp; Assumptions'!$B$5, 0)</f>
        <v/>
      </c>
      <c r="P1173" s="10" t="inlineStr">
        <is>
          <t>Single Carrier (Band n50, 100MHz TDD)</t>
        </is>
      </c>
      <c r="Q1173" s="13">
        <f>ROUNDUP(O1173/'Methodology &amp; Assumptions'!$B$6, 0)</f>
        <v/>
      </c>
      <c r="R1173" s="13" t="n">
        <v>1</v>
      </c>
      <c r="S1173" s="14" t="n">
        <v>0.67</v>
      </c>
      <c r="T1173" s="14" t="n">
        <v>0.28</v>
      </c>
      <c r="U1173" s="26">
        <f>IF(X1173&gt;='Methodology &amp; Assumptions'!$B$7, "Tier 1 Critical GIDA (Score ≥ 50.0)", IF(X1173&gt;='Methodology &amp; Assumptions'!$B$8, "Tier 2 High GIDA (Score 40.0–49.9)", "Tier 3 Moderate GIDA (Score &lt; 40.0)"))</f>
        <v/>
      </c>
      <c r="V1173" s="26">
        <f>IF(S1173&lt;='Methodology &amp; Assumptions'!$B$10, "Direct Optical Drop (&lt;3km)", IF(S1173&lt;='Methodology &amp; Assumptions'!$B$9, "Near Optical / Microwave (&lt;5km)", "Starlink Business LEO Satellite Backhaul (&gt;5km)"))</f>
        <v/>
      </c>
      <c r="W1173" s="28" t="n">
        <v>0.109</v>
      </c>
      <c r="X1173" s="14" t="n">
        <v>43.92</v>
      </c>
      <c r="Y1173" s="14">
        <f>ROUND(MIN(100, (X1173/69.91)*100), 2)</f>
        <v/>
      </c>
    </row>
    <row r="1174">
      <c r="A1174" s="10" t="n">
        <v>5</v>
      </c>
      <c r="B1174" s="10" t="n">
        <v>170</v>
      </c>
      <c r="C1174" s="10" t="n">
        <v>4170</v>
      </c>
      <c r="D1174" s="10" t="inlineStr">
        <is>
          <t>1906601033</t>
        </is>
      </c>
      <c r="E1174" s="26" t="inlineStr">
        <is>
          <t>Bangsamoro Autonomous Region In Muslim Mindanao (BARMM)</t>
        </is>
      </c>
      <c r="F1174" s="26" t="inlineStr">
        <is>
          <t>Sulu</t>
        </is>
      </c>
      <c r="G1174" s="26" t="inlineStr">
        <is>
          <t>Indanan</t>
        </is>
      </c>
      <c r="H1174" s="26" t="inlineStr">
        <is>
          <t>Tubig Parang</t>
        </is>
      </c>
      <c r="I1174" s="27" t="n">
        <v>17.251615</v>
      </c>
      <c r="J1174" s="27" t="n">
        <v>122.232808</v>
      </c>
      <c r="K1174" s="10" t="inlineStr">
        <is>
          <t>R</t>
        </is>
      </c>
      <c r="L1174" s="12" t="n">
        <v>2371</v>
      </c>
      <c r="M1174" s="14" t="n">
        <v>6</v>
      </c>
      <c r="N1174" s="12">
        <f>ROUND(L1174/M1174, 0)</f>
        <v/>
      </c>
      <c r="O1174" s="12">
        <f>ROUND(N1174*'Methodology &amp; Assumptions'!$B$5, 0)</f>
        <v/>
      </c>
      <c r="P1174" s="10" t="inlineStr">
        <is>
          <t>Single Carrier (Band n50, 100MHz TDD)</t>
        </is>
      </c>
      <c r="Q1174" s="13">
        <f>ROUNDUP(O1174/'Methodology &amp; Assumptions'!$B$6, 0)</f>
        <v/>
      </c>
      <c r="R1174" s="13" t="n">
        <v>1</v>
      </c>
      <c r="S1174" s="14" t="n">
        <v>29.51</v>
      </c>
      <c r="T1174" s="14" t="n">
        <v>34.6</v>
      </c>
      <c r="U1174" s="26">
        <f>IF(X1174&gt;='Methodology &amp; Assumptions'!$B$7, "Tier 1 Critical GIDA (Score ≥ 50.0)", IF(X1174&gt;='Methodology &amp; Assumptions'!$B$8, "Tier 2 High GIDA (Score 40.0–49.9)", "Tier 3 Moderate GIDA (Score &lt; 40.0)"))</f>
        <v/>
      </c>
      <c r="V1174" s="26">
        <f>IF(S1174&lt;='Methodology &amp; Assumptions'!$B$10, "Direct Optical Drop (&lt;3km)", IF(S1174&lt;='Methodology &amp; Assumptions'!$B$9, "Near Optical / Microwave (&lt;5km)", "Starlink Business LEO Satellite Backhaul (&gt;5km)"))</f>
        <v/>
      </c>
      <c r="W1174" s="28" t="n">
        <v>0.11</v>
      </c>
      <c r="X1174" s="14" t="n">
        <v>43.92</v>
      </c>
      <c r="Y1174" s="14">
        <f>ROUND(MIN(100, (X1174/69.91)*100), 2)</f>
        <v/>
      </c>
    </row>
    <row r="1175">
      <c r="A1175" s="10" t="n">
        <v>5</v>
      </c>
      <c r="B1175" s="10" t="n">
        <v>171</v>
      </c>
      <c r="C1175" s="10" t="n">
        <v>4171</v>
      </c>
      <c r="D1175" s="10" t="inlineStr">
        <is>
          <t>1102315034</t>
        </is>
      </c>
      <c r="E1175" s="26" t="inlineStr">
        <is>
          <t>Region XI (Davao Region)</t>
        </is>
      </c>
      <c r="F1175" s="26" t="inlineStr">
        <is>
          <t>Davao del Norte</t>
        </is>
      </c>
      <c r="G1175" s="26" t="inlineStr">
        <is>
          <t>City of Panabo</t>
        </is>
      </c>
      <c r="H1175" s="26" t="inlineStr">
        <is>
          <t>Santo Niño</t>
        </is>
      </c>
      <c r="I1175" s="27" t="n">
        <v>7.316393</v>
      </c>
      <c r="J1175" s="27" t="n">
        <v>125.629308</v>
      </c>
      <c r="K1175" s="10" t="inlineStr">
        <is>
          <t>U</t>
        </is>
      </c>
      <c r="L1175" s="12" t="n">
        <v>5242</v>
      </c>
      <c r="M1175" s="14" t="n">
        <v>3.7</v>
      </c>
      <c r="N1175" s="12">
        <f>ROUND(L1175/M1175, 0)</f>
        <v/>
      </c>
      <c r="O1175" s="12">
        <f>ROUND(N1175*'Methodology &amp; Assumptions'!$B$5, 0)</f>
        <v/>
      </c>
      <c r="P1175" s="10" t="inlineStr">
        <is>
          <t>Single Carrier (Band n50, 100MHz TDD)</t>
        </is>
      </c>
      <c r="Q1175" s="13">
        <f>ROUNDUP(O1175/'Methodology &amp; Assumptions'!$B$6, 0)</f>
        <v/>
      </c>
      <c r="R1175" s="13" t="n">
        <v>1</v>
      </c>
      <c r="S1175" s="14" t="n">
        <v>5.89</v>
      </c>
      <c r="T1175" s="14" t="n">
        <v>5.88</v>
      </c>
      <c r="U1175" s="26">
        <f>IF(X1175&gt;='Methodology &amp; Assumptions'!$B$7, "Tier 1 Critical GIDA (Score ≥ 50.0)", IF(X1175&gt;='Methodology &amp; Assumptions'!$B$8, "Tier 2 High GIDA (Score 40.0–49.9)", "Tier 3 Moderate GIDA (Score &lt; 40.0)"))</f>
        <v/>
      </c>
      <c r="V1175" s="26">
        <f>IF(S1175&lt;='Methodology &amp; Assumptions'!$B$10, "Direct Optical Drop (&lt;3km)", IF(S1175&lt;='Methodology &amp; Assumptions'!$B$9, "Near Optical / Microwave (&lt;5km)", "Starlink Business LEO Satellite Backhaul (&gt;5km)"))</f>
        <v/>
      </c>
      <c r="W1175" s="28" t="n">
        <v>0.174</v>
      </c>
      <c r="X1175" s="14" t="n">
        <v>43.92</v>
      </c>
      <c r="Y1175" s="14">
        <f>ROUND(MIN(100, (X1175/69.91)*100), 2)</f>
        <v/>
      </c>
    </row>
    <row r="1176">
      <c r="A1176" s="10" t="n">
        <v>5</v>
      </c>
      <c r="B1176" s="10" t="n">
        <v>172</v>
      </c>
      <c r="C1176" s="10" t="n">
        <v>4172</v>
      </c>
      <c r="D1176" s="10" t="inlineStr">
        <is>
          <t>1003508004</t>
        </is>
      </c>
      <c r="E1176" s="26" t="inlineStr">
        <is>
          <t>Region X (Northern Mindanao)</t>
        </is>
      </c>
      <c r="F1176" s="26" t="inlineStr">
        <is>
          <t>Lanao del Norte</t>
        </is>
      </c>
      <c r="G1176" s="26" t="inlineStr">
        <is>
          <t>Kolambugan</t>
        </is>
      </c>
      <c r="H1176" s="26" t="inlineStr">
        <is>
          <t>Bubong</t>
        </is>
      </c>
      <c r="I1176" s="27" t="n">
        <v>8.107830999999999</v>
      </c>
      <c r="J1176" s="27" t="n">
        <v>123.881796</v>
      </c>
      <c r="K1176" s="10" t="inlineStr">
        <is>
          <t>R</t>
        </is>
      </c>
      <c r="L1176" s="12" t="n">
        <v>196</v>
      </c>
      <c r="M1176" s="14" t="n">
        <v>4.2</v>
      </c>
      <c r="N1176" s="12">
        <f>ROUND(L1176/M1176, 0)</f>
        <v/>
      </c>
      <c r="O1176" s="12">
        <f>ROUND(N1176*'Methodology &amp; Assumptions'!$B$5, 0)</f>
        <v/>
      </c>
      <c r="P1176" s="10" t="inlineStr">
        <is>
          <t>Single Carrier (Band n50, 100MHz TDD)</t>
        </is>
      </c>
      <c r="Q1176" s="13">
        <f>ROUNDUP(O1176/'Methodology &amp; Assumptions'!$B$6, 0)</f>
        <v/>
      </c>
      <c r="R1176" s="13" t="n">
        <v>1</v>
      </c>
      <c r="S1176" s="14" t="n">
        <v>11.61</v>
      </c>
      <c r="T1176" s="14" t="n">
        <v>0.33</v>
      </c>
      <c r="U1176" s="26">
        <f>IF(X1176&gt;='Methodology &amp; Assumptions'!$B$7, "Tier 1 Critical GIDA (Score ≥ 50.0)", IF(X1176&gt;='Methodology &amp; Assumptions'!$B$8, "Tier 2 High GIDA (Score 40.0–49.9)", "Tier 3 Moderate GIDA (Score &lt; 40.0)"))</f>
        <v/>
      </c>
      <c r="V1176" s="26">
        <f>IF(S1176&lt;='Methodology &amp; Assumptions'!$B$10, "Direct Optical Drop (&lt;3km)", IF(S1176&lt;='Methodology &amp; Assumptions'!$B$9, "Near Optical / Microwave (&lt;5km)", "Starlink Business LEO Satellite Backhaul (&gt;5km)"))</f>
        <v/>
      </c>
      <c r="W1176" s="28" t="n">
        <v>0.174</v>
      </c>
      <c r="X1176" s="14" t="n">
        <v>43.92</v>
      </c>
      <c r="Y1176" s="14">
        <f>ROUND(MIN(100, (X1176/69.91)*100), 2)</f>
        <v/>
      </c>
    </row>
    <row r="1177">
      <c r="A1177" s="10" t="n">
        <v>5</v>
      </c>
      <c r="B1177" s="10" t="n">
        <v>173</v>
      </c>
      <c r="C1177" s="10" t="n">
        <v>4173</v>
      </c>
      <c r="D1177" s="10" t="inlineStr">
        <is>
          <t>1381300128</t>
        </is>
      </c>
      <c r="E1177" s="26" t="inlineStr">
        <is>
          <t>National Capital Region (NCR)</t>
        </is>
      </c>
      <c r="F1177" s="26" t="inlineStr">
        <is>
          <t>Second District (Not a Province)</t>
        </is>
      </c>
      <c r="G1177" s="26" t="inlineStr">
        <is>
          <t>Quezon City</t>
        </is>
      </c>
      <c r="H1177" s="26" t="inlineStr">
        <is>
          <t>Valencia</t>
        </is>
      </c>
      <c r="I1177" s="27" t="n">
        <v>14.649484</v>
      </c>
      <c r="J1177" s="27" t="n">
        <v>121.005475</v>
      </c>
      <c r="K1177" s="10" t="inlineStr">
        <is>
          <t>U</t>
        </is>
      </c>
      <c r="L1177" s="12" t="n">
        <v>11357</v>
      </c>
      <c r="M1177" s="14" t="n">
        <v>3.8</v>
      </c>
      <c r="N1177" s="12">
        <f>ROUND(L1177/M1177, 0)</f>
        <v/>
      </c>
      <c r="O1177" s="12">
        <f>ROUND(N1177*'Methodology &amp; Assumptions'!$B$5, 0)</f>
        <v/>
      </c>
      <c r="P1177" s="10" t="inlineStr">
        <is>
          <t>Single Carrier (Band n50, 100MHz TDD)</t>
        </is>
      </c>
      <c r="Q1177" s="13">
        <f>ROUNDUP(O1177/'Methodology &amp; Assumptions'!$B$6, 0)</f>
        <v/>
      </c>
      <c r="R1177" s="13" t="n">
        <v>1</v>
      </c>
      <c r="S1177" s="14" t="n">
        <v>1.14</v>
      </c>
      <c r="T1177" s="14" t="n">
        <v>1.15</v>
      </c>
      <c r="U1177" s="26">
        <f>IF(X1177&gt;='Methodology &amp; Assumptions'!$B$7, "Tier 1 Critical GIDA (Score ≥ 50.0)", IF(X1177&gt;='Methodology &amp; Assumptions'!$B$8, "Tier 2 High GIDA (Score 40.0–49.9)", "Tier 3 Moderate GIDA (Score &lt; 40.0)"))</f>
        <v/>
      </c>
      <c r="V1177" s="26">
        <f>IF(S1177&lt;='Methodology &amp; Assumptions'!$B$10, "Direct Optical Drop (&lt;3km)", IF(S1177&lt;='Methodology &amp; Assumptions'!$B$9, "Near Optical / Microwave (&lt;5km)", "Starlink Business LEO Satellite Backhaul (&gt;5km)"))</f>
        <v/>
      </c>
      <c r="W1177" s="28" t="n">
        <v>0.109</v>
      </c>
      <c r="X1177" s="14" t="n">
        <v>43.92</v>
      </c>
      <c r="Y1177" s="14">
        <f>ROUND(MIN(100, (X1177/69.91)*100), 2)</f>
        <v/>
      </c>
    </row>
    <row r="1178">
      <c r="A1178" s="10" t="n">
        <v>5</v>
      </c>
      <c r="B1178" s="10" t="n">
        <v>174</v>
      </c>
      <c r="C1178" s="10" t="n">
        <v>4174</v>
      </c>
      <c r="D1178" s="10" t="inlineStr">
        <is>
          <t>PH0004174</t>
        </is>
      </c>
      <c r="E1178" s="26" t="inlineStr">
        <is>
          <t>CAR</t>
        </is>
      </c>
      <c r="F1178" s="26" t="inlineStr">
        <is>
          <t>Benguet</t>
        </is>
      </c>
      <c r="G1178" s="26" t="inlineStr">
        <is>
          <t>Baguio City</t>
        </is>
      </c>
      <c r="H1178" s="26" t="inlineStr">
        <is>
          <t>Cabinet Hill-Teacher's Camp</t>
        </is>
      </c>
      <c r="I1178" s="27" t="n">
        <v>16.325689</v>
      </c>
      <c r="J1178" s="27" t="n">
        <v>120.57542</v>
      </c>
      <c r="K1178" s="10" t="inlineStr">
        <is>
          <t>R</t>
        </is>
      </c>
      <c r="L1178" s="12" t="n">
        <v>2260</v>
      </c>
      <c r="M1178" s="14" t="n">
        <v>3.5</v>
      </c>
      <c r="N1178" s="12">
        <f>ROUND(L1178/M1178, 0)</f>
        <v/>
      </c>
      <c r="O1178" s="12">
        <f>ROUND(N1178*'Methodology &amp; Assumptions'!$B$5, 0)</f>
        <v/>
      </c>
      <c r="P1178" s="10" t="inlineStr">
        <is>
          <t>Single Carrier (Band n50, 100MHz TDD)</t>
        </is>
      </c>
      <c r="Q1178" s="13">
        <f>ROUNDUP(O1178/'Methodology &amp; Assumptions'!$B$6, 0)</f>
        <v/>
      </c>
      <c r="R1178" s="13" t="n">
        <v>1</v>
      </c>
      <c r="S1178" s="14" t="n">
        <v>4.53</v>
      </c>
      <c r="T1178" s="14" t="n">
        <v>5.86</v>
      </c>
      <c r="U1178" s="26">
        <f>IF(X1178&gt;='Methodology &amp; Assumptions'!$B$7, "Tier 1 Critical GIDA (Score ≥ 50.0)", IF(X1178&gt;='Methodology &amp; Assumptions'!$B$8, "Tier 2 High GIDA (Score 40.0–49.9)", "Tier 3 Moderate GIDA (Score &lt; 40.0)"))</f>
        <v/>
      </c>
      <c r="V1178" s="26">
        <f>IF(S1178&lt;='Methodology &amp; Assumptions'!$B$10, "Direct Optical Drop (&lt;3km)", IF(S1178&lt;='Methodology &amp; Assumptions'!$B$9, "Near Optical / Microwave (&lt;5km)", "Starlink Business LEO Satellite Backhaul (&gt;5km)"))</f>
        <v/>
      </c>
      <c r="W1178" s="28" t="n">
        <v>0.221</v>
      </c>
      <c r="X1178" s="14" t="n">
        <v>43.92</v>
      </c>
      <c r="Y1178" s="14">
        <f>ROUND(MIN(100, (X1178/69.91)*100), 2)</f>
        <v/>
      </c>
    </row>
    <row r="1179">
      <c r="A1179" s="10" t="n">
        <v>5</v>
      </c>
      <c r="B1179" s="10" t="n">
        <v>175</v>
      </c>
      <c r="C1179" s="10" t="n">
        <v>4175</v>
      </c>
      <c r="D1179" s="10" t="inlineStr">
        <is>
          <t>0102805017</t>
        </is>
      </c>
      <c r="E1179" s="26" t="inlineStr">
        <is>
          <t>Region I (Ilocos Region)</t>
        </is>
      </c>
      <c r="F1179" s="26" t="inlineStr">
        <is>
          <t>Ilocos Norte</t>
        </is>
      </c>
      <c r="G1179" s="26" t="inlineStr">
        <is>
          <t>City of Batac</t>
        </is>
      </c>
      <c r="H1179" s="26" t="inlineStr">
        <is>
          <t>Caunayan</t>
        </is>
      </c>
      <c r="I1179" s="27" t="n">
        <v>18.048625</v>
      </c>
      <c r="J1179" s="27" t="n">
        <v>120.580384</v>
      </c>
      <c r="K1179" s="10" t="inlineStr">
        <is>
          <t>U</t>
        </is>
      </c>
      <c r="L1179" s="12" t="n">
        <v>1122</v>
      </c>
      <c r="M1179" s="14" t="n">
        <v>3.7</v>
      </c>
      <c r="N1179" s="12">
        <f>ROUND(L1179/M1179, 0)</f>
        <v/>
      </c>
      <c r="O1179" s="12">
        <f>ROUND(N1179*'Methodology &amp; Assumptions'!$B$5, 0)</f>
        <v/>
      </c>
      <c r="P1179" s="10" t="inlineStr">
        <is>
          <t>Single Carrier (Band n50, 100MHz TDD)</t>
        </is>
      </c>
      <c r="Q1179" s="13">
        <f>ROUNDUP(O1179/'Methodology &amp; Assumptions'!$B$6, 0)</f>
        <v/>
      </c>
      <c r="R1179" s="13" t="n">
        <v>1</v>
      </c>
      <c r="S1179" s="14" t="n">
        <v>3.1</v>
      </c>
      <c r="T1179" s="14" t="n">
        <v>2.55</v>
      </c>
      <c r="U1179" s="26">
        <f>IF(X1179&gt;='Methodology &amp; Assumptions'!$B$7, "Tier 1 Critical GIDA (Score ≥ 50.0)", IF(X1179&gt;='Methodology &amp; Assumptions'!$B$8, "Tier 2 High GIDA (Score 40.0–49.9)", "Tier 3 Moderate GIDA (Score &lt; 40.0)"))</f>
        <v/>
      </c>
      <c r="V1179" s="26">
        <f>IF(S1179&lt;='Methodology &amp; Assumptions'!$B$10, "Direct Optical Drop (&lt;3km)", IF(S1179&lt;='Methodology &amp; Assumptions'!$B$9, "Near Optical / Microwave (&lt;5km)", "Starlink Business LEO Satellite Backhaul (&gt;5km)"))</f>
        <v/>
      </c>
      <c r="W1179" s="28" t="n">
        <v>0.083</v>
      </c>
      <c r="X1179" s="14" t="n">
        <v>43.91</v>
      </c>
      <c r="Y1179" s="14">
        <f>ROUND(MIN(100, (X1179/69.91)*100), 2)</f>
        <v/>
      </c>
    </row>
    <row r="1180">
      <c r="A1180" s="10" t="n">
        <v>5</v>
      </c>
      <c r="B1180" s="10" t="n">
        <v>176</v>
      </c>
      <c r="C1180" s="10" t="n">
        <v>4176</v>
      </c>
      <c r="D1180" s="10" t="inlineStr">
        <is>
          <t>0300811003</t>
        </is>
      </c>
      <c r="E1180" s="26" t="inlineStr">
        <is>
          <t>Region III (Central Luzon)</t>
        </is>
      </c>
      <c r="F1180" s="26" t="inlineStr">
        <is>
          <t>Bataan</t>
        </is>
      </c>
      <c r="G1180" s="26" t="inlineStr">
        <is>
          <t>Pilar</t>
        </is>
      </c>
      <c r="H1180" s="26" t="inlineStr">
        <is>
          <t>Bagumbayan</t>
        </is>
      </c>
      <c r="I1180" s="27" t="n">
        <v>14.666022</v>
      </c>
      <c r="J1180" s="27" t="n">
        <v>120.564487</v>
      </c>
      <c r="K1180" s="10" t="inlineStr">
        <is>
          <t>R</t>
        </is>
      </c>
      <c r="L1180" s="12" t="n">
        <v>1531</v>
      </c>
      <c r="M1180" s="14" t="n">
        <v>3.6</v>
      </c>
      <c r="N1180" s="12">
        <f>ROUND(L1180/M1180, 0)</f>
        <v/>
      </c>
      <c r="O1180" s="12">
        <f>ROUND(N1180*'Methodology &amp; Assumptions'!$B$5, 0)</f>
        <v/>
      </c>
      <c r="P1180" s="10" t="inlineStr">
        <is>
          <t>Single Carrier (Band n50, 100MHz TDD)</t>
        </is>
      </c>
      <c r="Q1180" s="13">
        <f>ROUNDUP(O1180/'Methodology &amp; Assumptions'!$B$6, 0)</f>
        <v/>
      </c>
      <c r="R1180" s="13" t="n">
        <v>1</v>
      </c>
      <c r="S1180" s="14" t="n">
        <v>2.85</v>
      </c>
      <c r="T1180" s="14" t="n">
        <v>0.55</v>
      </c>
      <c r="U1180" s="26">
        <f>IF(X1180&gt;='Methodology &amp; Assumptions'!$B$7, "Tier 1 Critical GIDA (Score ≥ 50.0)", IF(X1180&gt;='Methodology &amp; Assumptions'!$B$8, "Tier 2 High GIDA (Score 40.0–49.9)", "Tier 3 Moderate GIDA (Score &lt; 40.0)"))</f>
        <v/>
      </c>
      <c r="V1180" s="26">
        <f>IF(S1180&lt;='Methodology &amp; Assumptions'!$B$10, "Direct Optical Drop (&lt;3km)", IF(S1180&lt;='Methodology &amp; Assumptions'!$B$9, "Near Optical / Microwave (&lt;5km)", "Starlink Business LEO Satellite Backhaul (&gt;5km)"))</f>
        <v/>
      </c>
      <c r="W1180" s="28" t="n">
        <v>0.083</v>
      </c>
      <c r="X1180" s="14" t="n">
        <v>43.91</v>
      </c>
      <c r="Y1180" s="14">
        <f>ROUND(MIN(100, (X1180/69.91)*100), 2)</f>
        <v/>
      </c>
    </row>
    <row r="1181">
      <c r="A1181" s="10" t="n">
        <v>5</v>
      </c>
      <c r="B1181" s="10" t="n">
        <v>177</v>
      </c>
      <c r="C1181" s="10" t="n">
        <v>4177</v>
      </c>
      <c r="D1181" s="10" t="inlineStr">
        <is>
          <t>1003502012</t>
        </is>
      </c>
      <c r="E1181" s="26" t="inlineStr">
        <is>
          <t>Region X (Northern Mindanao)</t>
        </is>
      </c>
      <c r="F1181" s="26" t="inlineStr">
        <is>
          <t>Lanao del Norte</t>
        </is>
      </c>
      <c r="G1181" s="26" t="inlineStr">
        <is>
          <t>Baloi</t>
        </is>
      </c>
      <c r="H1181" s="26" t="inlineStr">
        <is>
          <t>Landa</t>
        </is>
      </c>
      <c r="I1181" s="27" t="n">
        <v>8.106884000000001</v>
      </c>
      <c r="J1181" s="27" t="n">
        <v>124.216867</v>
      </c>
      <c r="K1181" s="10" t="inlineStr">
        <is>
          <t>R</t>
        </is>
      </c>
      <c r="L1181" s="12" t="n">
        <v>3451</v>
      </c>
      <c r="M1181" s="14" t="n">
        <v>4.2</v>
      </c>
      <c r="N1181" s="12">
        <f>ROUND(L1181/M1181, 0)</f>
        <v/>
      </c>
      <c r="O1181" s="12">
        <f>ROUND(N1181*'Methodology &amp; Assumptions'!$B$5, 0)</f>
        <v/>
      </c>
      <c r="P1181" s="10" t="inlineStr">
        <is>
          <t>Single Carrier (Band n50, 100MHz TDD)</t>
        </is>
      </c>
      <c r="Q1181" s="13">
        <f>ROUNDUP(O1181/'Methodology &amp; Assumptions'!$B$6, 0)</f>
        <v/>
      </c>
      <c r="R1181" s="13" t="n">
        <v>1</v>
      </c>
      <c r="S1181" s="14" t="n">
        <v>12.49</v>
      </c>
      <c r="T1181" s="14" t="n">
        <v>1.02</v>
      </c>
      <c r="U1181" s="26">
        <f>IF(X1181&gt;='Methodology &amp; Assumptions'!$B$7, "Tier 1 Critical GIDA (Score ≥ 50.0)", IF(X1181&gt;='Methodology &amp; Assumptions'!$B$8, "Tier 2 High GIDA (Score 40.0–49.9)", "Tier 3 Moderate GIDA (Score &lt; 40.0)"))</f>
        <v/>
      </c>
      <c r="V1181" s="26">
        <f>IF(S1181&lt;='Methodology &amp; Assumptions'!$B$10, "Direct Optical Drop (&lt;3km)", IF(S1181&lt;='Methodology &amp; Assumptions'!$B$9, "Near Optical / Microwave (&lt;5km)", "Starlink Business LEO Satellite Backhaul (&gt;5km)"))</f>
        <v/>
      </c>
      <c r="W1181" s="28" t="n">
        <v>0.174</v>
      </c>
      <c r="X1181" s="14" t="n">
        <v>43.91</v>
      </c>
      <c r="Y1181" s="14">
        <f>ROUND(MIN(100, (X1181/69.91)*100), 2)</f>
        <v/>
      </c>
    </row>
    <row r="1182">
      <c r="A1182" s="10" t="n">
        <v>5</v>
      </c>
      <c r="B1182" s="10" t="n">
        <v>178</v>
      </c>
      <c r="C1182" s="10" t="n">
        <v>4178</v>
      </c>
      <c r="D1182" s="10" t="inlineStr">
        <is>
          <t>PH0004178</t>
        </is>
      </c>
      <c r="E1182" s="26" t="inlineStr">
        <is>
          <t>X</t>
        </is>
      </c>
      <c r="F1182" s="26" t="inlineStr">
        <is>
          <t>Misamis Oriental</t>
        </is>
      </c>
      <c r="G1182" s="26" t="inlineStr">
        <is>
          <t>Cagayan De Oro City</t>
        </is>
      </c>
      <c r="H1182" s="26" t="inlineStr">
        <is>
          <t>Kauswagan</t>
        </is>
      </c>
      <c r="I1182" s="27" t="n">
        <v>8.501172</v>
      </c>
      <c r="J1182" s="27" t="n">
        <v>124.630923</v>
      </c>
      <c r="K1182" s="10" t="inlineStr">
        <is>
          <t>R</t>
        </is>
      </c>
      <c r="L1182" s="12" t="n">
        <v>2272</v>
      </c>
      <c r="M1182" s="14" t="n">
        <v>3.9</v>
      </c>
      <c r="N1182" s="12">
        <f>ROUND(L1182/M1182, 0)</f>
        <v/>
      </c>
      <c r="O1182" s="12">
        <f>ROUND(N1182*'Methodology &amp; Assumptions'!$B$5, 0)</f>
        <v/>
      </c>
      <c r="P1182" s="10" t="inlineStr">
        <is>
          <t>Single Carrier (Band n50, 100MHz TDD)</t>
        </is>
      </c>
      <c r="Q1182" s="13">
        <f>ROUNDUP(O1182/'Methodology &amp; Assumptions'!$B$6, 0)</f>
        <v/>
      </c>
      <c r="R1182" s="13" t="n">
        <v>1</v>
      </c>
      <c r="S1182" s="14" t="n">
        <v>0.88</v>
      </c>
      <c r="T1182" s="14" t="n">
        <v>0.22</v>
      </c>
      <c r="U1182" s="26">
        <f>IF(X1182&gt;='Methodology &amp; Assumptions'!$B$7, "Tier 1 Critical GIDA (Score ≥ 50.0)", IF(X1182&gt;='Methodology &amp; Assumptions'!$B$8, "Tier 2 High GIDA (Score 40.0–49.9)", "Tier 3 Moderate GIDA (Score &lt; 40.0)"))</f>
        <v/>
      </c>
      <c r="V1182" s="26">
        <f>IF(S1182&lt;='Methodology &amp; Assumptions'!$B$10, "Direct Optical Drop (&lt;3km)", IF(S1182&lt;='Methodology &amp; Assumptions'!$B$9, "Near Optical / Microwave (&lt;5km)", "Starlink Business LEO Satellite Backhaul (&gt;5km)"))</f>
        <v/>
      </c>
      <c r="W1182" s="28" t="n">
        <v>0.234</v>
      </c>
      <c r="X1182" s="14" t="n">
        <v>43.91</v>
      </c>
      <c r="Y1182" s="14">
        <f>ROUND(MIN(100, (X1182/69.91)*100), 2)</f>
        <v/>
      </c>
    </row>
    <row r="1183">
      <c r="A1183" s="10" t="n">
        <v>5</v>
      </c>
      <c r="B1183" s="10" t="n">
        <v>179</v>
      </c>
      <c r="C1183" s="10" t="n">
        <v>4179</v>
      </c>
      <c r="D1183" s="10" t="inlineStr">
        <is>
          <t>PH0004179</t>
        </is>
      </c>
      <c r="E1183" s="26" t="inlineStr">
        <is>
          <t>X</t>
        </is>
      </c>
      <c r="F1183" s="26" t="inlineStr">
        <is>
          <t>Misamis Oriental</t>
        </is>
      </c>
      <c r="G1183" s="26" t="inlineStr">
        <is>
          <t>Cagayan De Oro City</t>
        </is>
      </c>
      <c r="H1183" s="26" t="inlineStr">
        <is>
          <t>Camaman-an</t>
        </is>
      </c>
      <c r="I1183" s="27" t="n">
        <v>8.472918</v>
      </c>
      <c r="J1183" s="27" t="n">
        <v>124.659034</v>
      </c>
      <c r="K1183" s="10" t="inlineStr">
        <is>
          <t>R</t>
        </is>
      </c>
      <c r="L1183" s="12" t="n">
        <v>2272</v>
      </c>
      <c r="M1183" s="14" t="n">
        <v>3.9</v>
      </c>
      <c r="N1183" s="12">
        <f>ROUND(L1183/M1183, 0)</f>
        <v/>
      </c>
      <c r="O1183" s="12">
        <f>ROUND(N1183*'Methodology &amp; Assumptions'!$B$5, 0)</f>
        <v/>
      </c>
      <c r="P1183" s="10" t="inlineStr">
        <is>
          <t>Single Carrier (Band n50, 100MHz TDD)</t>
        </is>
      </c>
      <c r="Q1183" s="13">
        <f>ROUNDUP(O1183/'Methodology &amp; Assumptions'!$B$6, 0)</f>
        <v/>
      </c>
      <c r="R1183" s="13" t="n">
        <v>1</v>
      </c>
      <c r="S1183" s="14" t="n">
        <v>1.61</v>
      </c>
      <c r="T1183" s="14" t="n">
        <v>1.24</v>
      </c>
      <c r="U1183" s="26">
        <f>IF(X1183&gt;='Methodology &amp; Assumptions'!$B$7, "Tier 1 Critical GIDA (Score ≥ 50.0)", IF(X1183&gt;='Methodology &amp; Assumptions'!$B$8, "Tier 2 High GIDA (Score 40.0–49.9)", "Tier 3 Moderate GIDA (Score &lt; 40.0)"))</f>
        <v/>
      </c>
      <c r="V1183" s="26">
        <f>IF(S1183&lt;='Methodology &amp; Assumptions'!$B$10, "Direct Optical Drop (&lt;3km)", IF(S1183&lt;='Methodology &amp; Assumptions'!$B$9, "Near Optical / Microwave (&lt;5km)", "Starlink Business LEO Satellite Backhaul (&gt;5km)"))</f>
        <v/>
      </c>
      <c r="W1183" s="28" t="n">
        <v>0.234</v>
      </c>
      <c r="X1183" s="14" t="n">
        <v>43.9</v>
      </c>
      <c r="Y1183" s="14">
        <f>ROUND(MIN(100, (X1183/69.91)*100), 2)</f>
        <v/>
      </c>
    </row>
    <row r="1184">
      <c r="A1184" s="10" t="n">
        <v>5</v>
      </c>
      <c r="B1184" s="10" t="n">
        <v>180</v>
      </c>
      <c r="C1184" s="10" t="n">
        <v>4180</v>
      </c>
      <c r="D1184" s="10" t="inlineStr">
        <is>
          <t>1906607042</t>
        </is>
      </c>
      <c r="E1184" s="26" t="inlineStr">
        <is>
          <t>Bangsamoro Autonomous Region In Muslim Mindanao (BARMM)</t>
        </is>
      </c>
      <c r="F1184" s="26" t="inlineStr">
        <is>
          <t>Sulu</t>
        </is>
      </c>
      <c r="G1184" s="26" t="inlineStr">
        <is>
          <t>Old Panamao</t>
        </is>
      </c>
      <c r="H1184" s="26" t="inlineStr">
        <is>
          <t>Tubig Gantang</t>
        </is>
      </c>
      <c r="I1184" s="27" t="n">
        <v>17.246713</v>
      </c>
      <c r="J1184" s="27" t="n">
        <v>122.227982</v>
      </c>
      <c r="K1184" s="10" t="inlineStr">
        <is>
          <t>R</t>
        </is>
      </c>
      <c r="L1184" s="12" t="n">
        <v>1575</v>
      </c>
      <c r="M1184" s="14" t="n">
        <v>6</v>
      </c>
      <c r="N1184" s="12">
        <f>ROUND(L1184/M1184, 0)</f>
        <v/>
      </c>
      <c r="O1184" s="12">
        <f>ROUND(N1184*'Methodology &amp; Assumptions'!$B$5, 0)</f>
        <v/>
      </c>
      <c r="P1184" s="10" t="inlineStr">
        <is>
          <t>Single Carrier (Band n50, 100MHz TDD)</t>
        </is>
      </c>
      <c r="Q1184" s="13">
        <f>ROUNDUP(O1184/'Methodology &amp; Assumptions'!$B$6, 0)</f>
        <v/>
      </c>
      <c r="R1184" s="13" t="n">
        <v>1</v>
      </c>
      <c r="S1184" s="14" t="n">
        <v>28.77</v>
      </c>
      <c r="T1184" s="14" t="n">
        <v>33.96</v>
      </c>
      <c r="U1184" s="26">
        <f>IF(X1184&gt;='Methodology &amp; Assumptions'!$B$7, "Tier 1 Critical GIDA (Score ≥ 50.0)", IF(X1184&gt;='Methodology &amp; Assumptions'!$B$8, "Tier 2 High GIDA (Score 40.0–49.9)", "Tier 3 Moderate GIDA (Score &lt; 40.0)"))</f>
        <v/>
      </c>
      <c r="V1184" s="26">
        <f>IF(S1184&lt;='Methodology &amp; Assumptions'!$B$10, "Direct Optical Drop (&lt;3km)", IF(S1184&lt;='Methodology &amp; Assumptions'!$B$9, "Near Optical / Microwave (&lt;5km)", "Starlink Business LEO Satellite Backhaul (&gt;5km)"))</f>
        <v/>
      </c>
      <c r="W1184" s="28" t="n">
        <v>0.11</v>
      </c>
      <c r="X1184" s="14" t="n">
        <v>43.89</v>
      </c>
      <c r="Y1184" s="14">
        <f>ROUND(MIN(100, (X1184/69.91)*100), 2)</f>
        <v/>
      </c>
    </row>
    <row r="1185">
      <c r="A1185" s="10" t="n">
        <v>5</v>
      </c>
      <c r="B1185" s="10" t="n">
        <v>181</v>
      </c>
      <c r="C1185" s="10" t="n">
        <v>4181</v>
      </c>
      <c r="D1185" s="10" t="inlineStr">
        <is>
          <t>1381300036</t>
        </is>
      </c>
      <c r="E1185" s="26" t="inlineStr">
        <is>
          <t>National Capital Region (NCR)</t>
        </is>
      </c>
      <c r="F1185" s="26" t="inlineStr">
        <is>
          <t>Second District (Not a Province)</t>
        </is>
      </c>
      <c r="G1185" s="26" t="inlineStr">
        <is>
          <t>Quezon City</t>
        </is>
      </c>
      <c r="H1185" s="26" t="inlineStr">
        <is>
          <t>East Kamias</t>
        </is>
      </c>
      <c r="I1185" s="27" t="n">
        <v>14.70155</v>
      </c>
      <c r="J1185" s="27" t="n">
        <v>121.066077</v>
      </c>
      <c r="K1185" s="10" t="inlineStr">
        <is>
          <t>U</t>
        </is>
      </c>
      <c r="L1185" s="12" t="n">
        <v>6663</v>
      </c>
      <c r="M1185" s="14" t="n">
        <v>3.8</v>
      </c>
      <c r="N1185" s="12">
        <f>ROUND(L1185/M1185, 0)</f>
        <v/>
      </c>
      <c r="O1185" s="12">
        <f>ROUND(N1185*'Methodology &amp; Assumptions'!$B$5, 0)</f>
        <v/>
      </c>
      <c r="P1185" s="10" t="inlineStr">
        <is>
          <t>Single Carrier (Band n50, 100MHz TDD)</t>
        </is>
      </c>
      <c r="Q1185" s="13">
        <f>ROUNDUP(O1185/'Methodology &amp; Assumptions'!$B$6, 0)</f>
        <v/>
      </c>
      <c r="R1185" s="13" t="n">
        <v>1</v>
      </c>
      <c r="S1185" s="14" t="n">
        <v>1.22</v>
      </c>
      <c r="T1185" s="14" t="n">
        <v>0.54</v>
      </c>
      <c r="U1185" s="26">
        <f>IF(X1185&gt;='Methodology &amp; Assumptions'!$B$7, "Tier 1 Critical GIDA (Score ≥ 50.0)", IF(X1185&gt;='Methodology &amp; Assumptions'!$B$8, "Tier 2 High GIDA (Score 40.0–49.9)", "Tier 3 Moderate GIDA (Score &lt; 40.0)"))</f>
        <v/>
      </c>
      <c r="V1185" s="26">
        <f>IF(S1185&lt;='Methodology &amp; Assumptions'!$B$10, "Direct Optical Drop (&lt;3km)", IF(S1185&lt;='Methodology &amp; Assumptions'!$B$9, "Near Optical / Microwave (&lt;5km)", "Starlink Business LEO Satellite Backhaul (&gt;5km)"))</f>
        <v/>
      </c>
      <c r="W1185" s="28" t="n">
        <v>0.109</v>
      </c>
      <c r="X1185" s="14" t="n">
        <v>43.89</v>
      </c>
      <c r="Y1185" s="14">
        <f>ROUND(MIN(100, (X1185/69.91)*100), 2)</f>
        <v/>
      </c>
    </row>
    <row r="1186">
      <c r="A1186" s="10" t="n">
        <v>5</v>
      </c>
      <c r="B1186" s="10" t="n">
        <v>182</v>
      </c>
      <c r="C1186" s="10" t="n">
        <v>4182</v>
      </c>
      <c r="D1186" s="10" t="inlineStr">
        <is>
          <t>1380700005</t>
        </is>
      </c>
      <c r="E1186" s="26" t="inlineStr">
        <is>
          <t>National Capital Region (NCR)</t>
        </is>
      </c>
      <c r="F1186" s="26" t="inlineStr">
        <is>
          <t>Second District (Not a Province)</t>
        </is>
      </c>
      <c r="G1186" s="26" t="inlineStr">
        <is>
          <t>City of Marikina</t>
        </is>
      </c>
      <c r="H1186" s="26" t="inlineStr">
        <is>
          <t>Malanday</t>
        </is>
      </c>
      <c r="I1186" s="27" t="n">
        <v>14.650244</v>
      </c>
      <c r="J1186" s="27" t="n">
        <v>121.094366</v>
      </c>
      <c r="K1186" s="10" t="inlineStr">
        <is>
          <t>U</t>
        </is>
      </c>
      <c r="L1186" s="12" t="n">
        <v>55690</v>
      </c>
      <c r="M1186" s="14" t="n">
        <v>4</v>
      </c>
      <c r="N1186" s="12">
        <f>ROUND(L1186/M1186, 0)</f>
        <v/>
      </c>
      <c r="O1186" s="12">
        <f>ROUND(N1186*'Methodology &amp; Assumptions'!$B$5, 0)</f>
        <v/>
      </c>
      <c r="P1186" s="10" t="inlineStr">
        <is>
          <t>Single Carrier (Band n50, 100MHz TDD)</t>
        </is>
      </c>
      <c r="Q1186" s="13">
        <f>ROUNDUP(O1186/'Methodology &amp; Assumptions'!$B$6, 0)</f>
        <v/>
      </c>
      <c r="R1186" s="13" t="n">
        <v>1</v>
      </c>
      <c r="S1186" s="14" t="n">
        <v>1.15</v>
      </c>
      <c r="T1186" s="14" t="n">
        <v>0.38</v>
      </c>
      <c r="U1186" s="26">
        <f>IF(X1186&gt;='Methodology &amp; Assumptions'!$B$7, "Tier 1 Critical GIDA (Score ≥ 50.0)", IF(X1186&gt;='Methodology &amp; Assumptions'!$B$8, "Tier 2 High GIDA (Score 40.0–49.9)", "Tier 3 Moderate GIDA (Score &lt; 40.0)"))</f>
        <v/>
      </c>
      <c r="V1186" s="26">
        <f>IF(S1186&lt;='Methodology &amp; Assumptions'!$B$10, "Direct Optical Drop (&lt;3km)", IF(S1186&lt;='Methodology &amp; Assumptions'!$B$9, "Near Optical / Microwave (&lt;5km)", "Starlink Business LEO Satellite Backhaul (&gt;5km)"))</f>
        <v/>
      </c>
      <c r="W1186" s="28" t="n">
        <v>0.109</v>
      </c>
      <c r="X1186" s="14" t="n">
        <v>43.88</v>
      </c>
      <c r="Y1186" s="14">
        <f>ROUND(MIN(100, (X1186/69.91)*100), 2)</f>
        <v/>
      </c>
    </row>
    <row r="1187">
      <c r="A1187" s="10" t="n">
        <v>5</v>
      </c>
      <c r="B1187" s="10" t="n">
        <v>183</v>
      </c>
      <c r="C1187" s="10" t="n">
        <v>4183</v>
      </c>
      <c r="D1187" s="10" t="inlineStr">
        <is>
          <t>0201501015</t>
        </is>
      </c>
      <c r="E1187" s="26" t="inlineStr">
        <is>
          <t>Region II (Cagayan Valley)</t>
        </is>
      </c>
      <c r="F1187" s="26" t="inlineStr">
        <is>
          <t>Cagayan</t>
        </is>
      </c>
      <c r="G1187" s="26" t="inlineStr">
        <is>
          <t>Abulug</t>
        </is>
      </c>
      <c r="H1187" s="26" t="inlineStr">
        <is>
          <t>Siguiran</t>
        </is>
      </c>
      <c r="I1187" s="27" t="n">
        <v>18.4704</v>
      </c>
      <c r="J1187" s="27" t="n">
        <v>121.416331</v>
      </c>
      <c r="K1187" s="10" t="inlineStr">
        <is>
          <t>R</t>
        </is>
      </c>
      <c r="L1187" s="12" t="n">
        <v>1415</v>
      </c>
      <c r="M1187" s="14" t="n">
        <v>3.9</v>
      </c>
      <c r="N1187" s="12">
        <f>ROUND(L1187/M1187, 0)</f>
        <v/>
      </c>
      <c r="O1187" s="12">
        <f>ROUND(N1187*'Methodology &amp; Assumptions'!$B$5, 0)</f>
        <v/>
      </c>
      <c r="P1187" s="10" t="inlineStr">
        <is>
          <t>Single Carrier (Band n50, 100MHz TDD)</t>
        </is>
      </c>
      <c r="Q1187" s="13">
        <f>ROUNDUP(O1187/'Methodology &amp; Assumptions'!$B$6, 0)</f>
        <v/>
      </c>
      <c r="R1187" s="13" t="n">
        <v>1</v>
      </c>
      <c r="S1187" s="14" t="n">
        <v>8.039999999999999</v>
      </c>
      <c r="T1187" s="14" t="n">
        <v>7.41</v>
      </c>
      <c r="U1187" s="26">
        <f>IF(X1187&gt;='Methodology &amp; Assumptions'!$B$7, "Tier 1 Critical GIDA (Score ≥ 50.0)", IF(X1187&gt;='Methodology &amp; Assumptions'!$B$8, "Tier 2 High GIDA (Score 40.0–49.9)", "Tier 3 Moderate GIDA (Score &lt; 40.0)"))</f>
        <v/>
      </c>
      <c r="V1187" s="26">
        <f>IF(S1187&lt;='Methodology &amp; Assumptions'!$B$10, "Direct Optical Drop (&lt;3km)", IF(S1187&lt;='Methodology &amp; Assumptions'!$B$9, "Near Optical / Microwave (&lt;5km)", "Starlink Business LEO Satellite Backhaul (&gt;5km)"))</f>
        <v/>
      </c>
      <c r="W1187" s="28" t="n">
        <v>0.083</v>
      </c>
      <c r="X1187" s="14" t="n">
        <v>43.87</v>
      </c>
      <c r="Y1187" s="14">
        <f>ROUND(MIN(100, (X1187/69.91)*100), 2)</f>
        <v/>
      </c>
    </row>
    <row r="1188">
      <c r="A1188" s="10" t="n">
        <v>5</v>
      </c>
      <c r="B1188" s="10" t="n">
        <v>184</v>
      </c>
      <c r="C1188" s="10" t="n">
        <v>4184</v>
      </c>
      <c r="D1188" s="10" t="inlineStr">
        <is>
          <t>0501714012</t>
        </is>
      </c>
      <c r="E1188" s="26" t="inlineStr">
        <is>
          <t>Region V (Bicol Region)</t>
        </is>
      </c>
      <c r="F1188" s="26" t="inlineStr">
        <is>
          <t>Camarines Sur</t>
        </is>
      </c>
      <c r="G1188" s="26" t="inlineStr">
        <is>
          <t>Garchitorena</t>
        </is>
      </c>
      <c r="H1188" s="26" t="inlineStr">
        <is>
          <t>Mansangat</t>
        </is>
      </c>
      <c r="I1188" s="27" t="n">
        <v>13.956839</v>
      </c>
      <c r="J1188" s="27" t="n">
        <v>123.647707</v>
      </c>
      <c r="K1188" s="10" t="inlineStr">
        <is>
          <t>R</t>
        </is>
      </c>
      <c r="L1188" s="12" t="n">
        <v>820</v>
      </c>
      <c r="M1188" s="14" t="n">
        <v>4.2</v>
      </c>
      <c r="N1188" s="12">
        <f>ROUND(L1188/M1188, 0)</f>
        <v/>
      </c>
      <c r="O1188" s="12">
        <f>ROUND(N1188*'Methodology &amp; Assumptions'!$B$5, 0)</f>
        <v/>
      </c>
      <c r="P1188" s="10" t="inlineStr">
        <is>
          <t>Single Carrier (Band n50, 100MHz TDD)</t>
        </is>
      </c>
      <c r="Q1188" s="13">
        <f>ROUNDUP(O1188/'Methodology &amp; Assumptions'!$B$6, 0)</f>
        <v/>
      </c>
      <c r="R1188" s="13" t="n">
        <v>1</v>
      </c>
      <c r="S1188" s="14" t="n">
        <v>28.48</v>
      </c>
      <c r="T1188" s="14" t="n">
        <v>33.94</v>
      </c>
      <c r="U1188" s="26">
        <f>IF(X1188&gt;='Methodology &amp; Assumptions'!$B$7, "Tier 1 Critical GIDA (Score ≥ 50.0)", IF(X1188&gt;='Methodology &amp; Assumptions'!$B$8, "Tier 2 High GIDA (Score 40.0–49.9)", "Tier 3 Moderate GIDA (Score &lt; 40.0)"))</f>
        <v/>
      </c>
      <c r="V1188" s="26">
        <f>IF(S1188&lt;='Methodology &amp; Assumptions'!$B$10, "Direct Optical Drop (&lt;3km)", IF(S1188&lt;='Methodology &amp; Assumptions'!$B$9, "Near Optical / Microwave (&lt;5km)", "Starlink Business LEO Satellite Backhaul (&gt;5km)"))</f>
        <v/>
      </c>
      <c r="W1188" s="28" t="n">
        <v>0.237</v>
      </c>
      <c r="X1188" s="14" t="n">
        <v>43.87</v>
      </c>
      <c r="Y1188" s="14">
        <f>ROUND(MIN(100, (X1188/69.91)*100), 2)</f>
        <v/>
      </c>
    </row>
    <row r="1189">
      <c r="A1189" s="10" t="n">
        <v>5</v>
      </c>
      <c r="B1189" s="10" t="n">
        <v>185</v>
      </c>
      <c r="C1189" s="10" t="n">
        <v>4185</v>
      </c>
      <c r="D1189" s="10" t="inlineStr">
        <is>
          <t>1704001059</t>
        </is>
      </c>
      <c r="E1189" s="26" t="inlineStr">
        <is>
          <t>MIMAROPA Region</t>
        </is>
      </c>
      <c r="F1189" s="26" t="inlineStr">
        <is>
          <t>Marinduque</t>
        </is>
      </c>
      <c r="G1189" s="26" t="inlineStr">
        <is>
          <t>Boac</t>
        </is>
      </c>
      <c r="H1189" s="26" t="inlineStr">
        <is>
          <t>Tumagabok</t>
        </is>
      </c>
      <c r="I1189" s="27" t="n">
        <v>13.358621</v>
      </c>
      <c r="J1189" s="27" t="n">
        <v>121.997136</v>
      </c>
      <c r="K1189" s="10" t="inlineStr">
        <is>
          <t>R</t>
        </is>
      </c>
      <c r="L1189" s="12" t="n">
        <v>403</v>
      </c>
      <c r="M1189" s="14" t="n">
        <v>3.8</v>
      </c>
      <c r="N1189" s="12">
        <f>ROUND(L1189/M1189, 0)</f>
        <v/>
      </c>
      <c r="O1189" s="12">
        <f>ROUND(N1189*'Methodology &amp; Assumptions'!$B$5, 0)</f>
        <v/>
      </c>
      <c r="P1189" s="10" t="inlineStr">
        <is>
          <t>Single Carrier (Band n50, 100MHz TDD)</t>
        </is>
      </c>
      <c r="Q1189" s="13">
        <f>ROUNDUP(O1189/'Methodology &amp; Assumptions'!$B$6, 0)</f>
        <v/>
      </c>
      <c r="R1189" s="13" t="n">
        <v>1</v>
      </c>
      <c r="S1189" s="14" t="n">
        <v>40.79</v>
      </c>
      <c r="T1189" s="14" t="n">
        <v>39.64</v>
      </c>
      <c r="U1189" s="26">
        <f>IF(X1189&gt;='Methodology &amp; Assumptions'!$B$7, "Tier 1 Critical GIDA (Score ≥ 50.0)", IF(X1189&gt;='Methodology &amp; Assumptions'!$B$8, "Tier 2 High GIDA (Score 40.0–49.9)", "Tier 3 Moderate GIDA (Score &lt; 40.0)"))</f>
        <v/>
      </c>
      <c r="V1189" s="26">
        <f>IF(S1189&lt;='Methodology &amp; Assumptions'!$B$10, "Direct Optical Drop (&lt;3km)", IF(S1189&lt;='Methodology &amp; Assumptions'!$B$9, "Near Optical / Microwave (&lt;5km)", "Starlink Business LEO Satellite Backhaul (&gt;5km)"))</f>
        <v/>
      </c>
      <c r="W1189" s="28" t="n">
        <v>0.15</v>
      </c>
      <c r="X1189" s="14" t="n">
        <v>43.86</v>
      </c>
      <c r="Y1189" s="14">
        <f>ROUND(MIN(100, (X1189/69.91)*100), 2)</f>
        <v/>
      </c>
    </row>
    <row r="1190">
      <c r="A1190" s="10" t="n">
        <v>5</v>
      </c>
      <c r="B1190" s="10" t="n">
        <v>186</v>
      </c>
      <c r="C1190" s="10" t="n">
        <v>4186</v>
      </c>
      <c r="D1190" s="10" t="inlineStr">
        <is>
          <t>0402117008</t>
        </is>
      </c>
      <c r="E1190" s="26" t="inlineStr">
        <is>
          <t>Region IV-A (CALABARZON)</t>
        </is>
      </c>
      <c r="F1190" s="26" t="inlineStr">
        <is>
          <t>Cavite</t>
        </is>
      </c>
      <c r="G1190" s="26" t="inlineStr">
        <is>
          <t>Rosario</t>
        </is>
      </c>
      <c r="H1190" s="26" t="inlineStr">
        <is>
          <t>Poblacion</t>
        </is>
      </c>
      <c r="I1190" s="27" t="n">
        <v>14.417159</v>
      </c>
      <c r="J1190" s="27" t="n">
        <v>120.855924</v>
      </c>
      <c r="K1190" s="10" t="inlineStr">
        <is>
          <t>U</t>
        </is>
      </c>
      <c r="L1190" s="12" t="n">
        <v>2210</v>
      </c>
      <c r="M1190" s="14" t="n">
        <v>3.4</v>
      </c>
      <c r="N1190" s="12">
        <f>ROUND(L1190/M1190, 0)</f>
        <v/>
      </c>
      <c r="O1190" s="12">
        <f>ROUND(N1190*'Methodology &amp; Assumptions'!$B$5, 0)</f>
        <v/>
      </c>
      <c r="P1190" s="10" t="inlineStr">
        <is>
          <t>Single Carrier (Band n50, 100MHz TDD)</t>
        </is>
      </c>
      <c r="Q1190" s="13">
        <f>ROUNDUP(O1190/'Methodology &amp; Assumptions'!$B$6, 0)</f>
        <v/>
      </c>
      <c r="R1190" s="13" t="n">
        <v>1</v>
      </c>
      <c r="S1190" s="14" t="n">
        <v>2.21</v>
      </c>
      <c r="T1190" s="14" t="n">
        <v>2.44</v>
      </c>
      <c r="U1190" s="26">
        <f>IF(X1190&gt;='Methodology &amp; Assumptions'!$B$7, "Tier 1 Critical GIDA (Score ≥ 50.0)", IF(X1190&gt;='Methodology &amp; Assumptions'!$B$8, "Tier 2 High GIDA (Score 40.0–49.9)", "Tier 3 Moderate GIDA (Score &lt; 40.0)"))</f>
        <v/>
      </c>
      <c r="V1190" s="26">
        <f>IF(S1190&lt;='Methodology &amp; Assumptions'!$B$10, "Direct Optical Drop (&lt;3km)", IF(S1190&lt;='Methodology &amp; Assumptions'!$B$9, "Near Optical / Microwave (&lt;5km)", "Starlink Business LEO Satellite Backhaul (&gt;5km)"))</f>
        <v/>
      </c>
      <c r="W1190" s="28" t="n">
        <v>0.07200000000000001</v>
      </c>
      <c r="X1190" s="14" t="n">
        <v>43.86</v>
      </c>
      <c r="Y1190" s="14">
        <f>ROUND(MIN(100, (X1190/69.91)*100), 2)</f>
        <v/>
      </c>
    </row>
    <row r="1191">
      <c r="A1191" s="10" t="n">
        <v>5</v>
      </c>
      <c r="B1191" s="10" t="n">
        <v>187</v>
      </c>
      <c r="C1191" s="10" t="n">
        <v>4187</v>
      </c>
      <c r="D1191" s="10" t="inlineStr">
        <is>
          <t>1381300041</t>
        </is>
      </c>
      <c r="E1191" s="26" t="inlineStr">
        <is>
          <t>National Capital Region (NCR)</t>
        </is>
      </c>
      <c r="F1191" s="26" t="inlineStr">
        <is>
          <t>Second District (Not a Province)</t>
        </is>
      </c>
      <c r="G1191" s="26" t="inlineStr">
        <is>
          <t>Quezon City</t>
        </is>
      </c>
      <c r="H1191" s="26" t="inlineStr">
        <is>
          <t>Fairview</t>
        </is>
      </c>
      <c r="I1191" s="27" t="n">
        <v>14.710173</v>
      </c>
      <c r="J1191" s="27" t="n">
        <v>121.065231</v>
      </c>
      <c r="K1191" s="10" t="inlineStr">
        <is>
          <t>U</t>
        </is>
      </c>
      <c r="L1191" s="12" t="n">
        <v>64407</v>
      </c>
      <c r="M1191" s="14" t="n">
        <v>3.8</v>
      </c>
      <c r="N1191" s="12">
        <f>ROUND(L1191/M1191, 0)</f>
        <v/>
      </c>
      <c r="O1191" s="12">
        <f>ROUND(N1191*'Methodology &amp; Assumptions'!$B$5, 0)</f>
        <v/>
      </c>
      <c r="P1191" s="10" t="inlineStr">
        <is>
          <t>Single Carrier (Band n50, 100MHz TDD)</t>
        </is>
      </c>
      <c r="Q1191" s="13">
        <f>ROUNDUP(O1191/'Methodology &amp; Assumptions'!$B$6, 0)</f>
        <v/>
      </c>
      <c r="R1191" s="13" t="n">
        <v>1</v>
      </c>
      <c r="S1191" s="14" t="n">
        <v>1.35</v>
      </c>
      <c r="T1191" s="14" t="n">
        <v>0.42</v>
      </c>
      <c r="U1191" s="26">
        <f>IF(X1191&gt;='Methodology &amp; Assumptions'!$B$7, "Tier 1 Critical GIDA (Score ≥ 50.0)", IF(X1191&gt;='Methodology &amp; Assumptions'!$B$8, "Tier 2 High GIDA (Score 40.0–49.9)", "Tier 3 Moderate GIDA (Score &lt; 40.0)"))</f>
        <v/>
      </c>
      <c r="V1191" s="26">
        <f>IF(S1191&lt;='Methodology &amp; Assumptions'!$B$10, "Direct Optical Drop (&lt;3km)", IF(S1191&lt;='Methodology &amp; Assumptions'!$B$9, "Near Optical / Microwave (&lt;5km)", "Starlink Business LEO Satellite Backhaul (&gt;5km)"))</f>
        <v/>
      </c>
      <c r="W1191" s="28" t="n">
        <v>0.109</v>
      </c>
      <c r="X1191" s="14" t="n">
        <v>43.85</v>
      </c>
      <c r="Y1191" s="14">
        <f>ROUND(MIN(100, (X1191/69.91)*100), 2)</f>
        <v/>
      </c>
    </row>
    <row r="1192">
      <c r="A1192" s="10" t="n">
        <v>5</v>
      </c>
      <c r="B1192" s="10" t="n">
        <v>188</v>
      </c>
      <c r="C1192" s="10" t="n">
        <v>4188</v>
      </c>
      <c r="D1192" s="10" t="inlineStr">
        <is>
          <t>PH0004188</t>
        </is>
      </c>
      <c r="E1192" s="26" t="inlineStr">
        <is>
          <t>III</t>
        </is>
      </c>
      <c r="F1192" s="26" t="inlineStr">
        <is>
          <t>Pampanga</t>
        </is>
      </c>
      <c r="G1192" s="26" t="inlineStr">
        <is>
          <t>San Fernando City</t>
        </is>
      </c>
      <c r="H1192" s="26" t="inlineStr">
        <is>
          <t>Santa Teresita</t>
        </is>
      </c>
      <c r="I1192" s="27" t="n">
        <v>15.046404</v>
      </c>
      <c r="J1192" s="27" t="n">
        <v>120.658765</v>
      </c>
      <c r="K1192" s="10" t="inlineStr">
        <is>
          <t>R</t>
        </is>
      </c>
      <c r="L1192" s="12" t="n">
        <v>2334</v>
      </c>
      <c r="M1192" s="14" t="n">
        <v>4</v>
      </c>
      <c r="N1192" s="12">
        <f>ROUND(L1192/M1192, 0)</f>
        <v/>
      </c>
      <c r="O1192" s="12">
        <f>ROUND(N1192*'Methodology &amp; Assumptions'!$B$5, 0)</f>
        <v/>
      </c>
      <c r="P1192" s="10" t="inlineStr">
        <is>
          <t>Single Carrier (Band n50, 100MHz TDD)</t>
        </is>
      </c>
      <c r="Q1192" s="13">
        <f>ROUNDUP(O1192/'Methodology &amp; Assumptions'!$B$6, 0)</f>
        <v/>
      </c>
      <c r="R1192" s="13" t="n">
        <v>1</v>
      </c>
      <c r="S1192" s="14" t="n">
        <v>2.34</v>
      </c>
      <c r="T1192" s="14" t="n">
        <v>0.8</v>
      </c>
      <c r="U1192" s="26">
        <f>IF(X1192&gt;='Methodology &amp; Assumptions'!$B$7, "Tier 1 Critical GIDA (Score ≥ 50.0)", IF(X1192&gt;='Methodology &amp; Assumptions'!$B$8, "Tier 2 High GIDA (Score 40.0–49.9)", "Tier 3 Moderate GIDA (Score &lt; 40.0)"))</f>
        <v/>
      </c>
      <c r="V1192" s="26">
        <f>IF(S1192&lt;='Methodology &amp; Assumptions'!$B$10, "Direct Optical Drop (&lt;3km)", IF(S1192&lt;='Methodology &amp; Assumptions'!$B$9, "Near Optical / Microwave (&lt;5km)", "Starlink Business LEO Satellite Backhaul (&gt;5km)"))</f>
        <v/>
      </c>
      <c r="W1192" s="28" t="n">
        <v>0.083</v>
      </c>
      <c r="X1192" s="14" t="n">
        <v>43.85</v>
      </c>
      <c r="Y1192" s="14">
        <f>ROUND(MIN(100, (X1192/69.91)*100), 2)</f>
        <v/>
      </c>
    </row>
    <row r="1193">
      <c r="A1193" s="10" t="n">
        <v>5</v>
      </c>
      <c r="B1193" s="10" t="n">
        <v>189</v>
      </c>
      <c r="C1193" s="10" t="n">
        <v>4189</v>
      </c>
      <c r="D1193" s="10" t="inlineStr">
        <is>
          <t>0103314007</t>
        </is>
      </c>
      <c r="E1193" s="26" t="inlineStr">
        <is>
          <t>Region I (Ilocos Region)</t>
        </is>
      </c>
      <c r="F1193" s="26" t="inlineStr">
        <is>
          <t>La Union</t>
        </is>
      </c>
      <c r="G1193" s="26" t="inlineStr">
        <is>
          <t>City of San Fernando</t>
        </is>
      </c>
      <c r="H1193" s="26" t="inlineStr">
        <is>
          <t>Barangay II</t>
        </is>
      </c>
      <c r="I1193" s="27" t="n">
        <v>16.605819</v>
      </c>
      <c r="J1193" s="27" t="n">
        <v>120.351964</v>
      </c>
      <c r="K1193" s="10" t="inlineStr">
        <is>
          <t>U</t>
        </is>
      </c>
      <c r="L1193" s="12" t="n">
        <v>443</v>
      </c>
      <c r="M1193" s="14" t="n">
        <v>3.7</v>
      </c>
      <c r="N1193" s="12">
        <f>ROUND(L1193/M1193, 0)</f>
        <v/>
      </c>
      <c r="O1193" s="12">
        <f>ROUND(N1193*'Methodology &amp; Assumptions'!$B$5, 0)</f>
        <v/>
      </c>
      <c r="P1193" s="10" t="inlineStr">
        <is>
          <t>Single Carrier (Band n50, 100MHz TDD)</t>
        </is>
      </c>
      <c r="Q1193" s="13">
        <f>ROUNDUP(O1193/'Methodology &amp; Assumptions'!$B$6, 0)</f>
        <v/>
      </c>
      <c r="R1193" s="13" t="n">
        <v>1</v>
      </c>
      <c r="S1193" s="14" t="n">
        <v>3.66</v>
      </c>
      <c r="T1193" s="14" t="n">
        <v>3.43</v>
      </c>
      <c r="U1193" s="26">
        <f>IF(X1193&gt;='Methodology &amp; Assumptions'!$B$7, "Tier 1 Critical GIDA (Score ≥ 50.0)", IF(X1193&gt;='Methodology &amp; Assumptions'!$B$8, "Tier 2 High GIDA (Score 40.0–49.9)", "Tier 3 Moderate GIDA (Score &lt; 40.0)"))</f>
        <v/>
      </c>
      <c r="V1193" s="26">
        <f>IF(S1193&lt;='Methodology &amp; Assumptions'!$B$10, "Direct Optical Drop (&lt;3km)", IF(S1193&lt;='Methodology &amp; Assumptions'!$B$9, "Near Optical / Microwave (&lt;5km)", "Starlink Business LEO Satellite Backhaul (&gt;5km)"))</f>
        <v/>
      </c>
      <c r="W1193" s="28" t="n">
        <v>0.083</v>
      </c>
      <c r="X1193" s="14" t="n">
        <v>43.84</v>
      </c>
      <c r="Y1193" s="14">
        <f>ROUND(MIN(100, (X1193/69.91)*100), 2)</f>
        <v/>
      </c>
    </row>
    <row r="1194">
      <c r="A1194" s="10" t="n">
        <v>5</v>
      </c>
      <c r="B1194" s="10" t="n">
        <v>190</v>
      </c>
      <c r="C1194" s="10" t="n">
        <v>4190</v>
      </c>
      <c r="D1194" s="10" t="inlineStr">
        <is>
          <t>1001313007</t>
        </is>
      </c>
      <c r="E1194" s="26" t="inlineStr">
        <is>
          <t>Region X (Northern Mindanao)</t>
        </is>
      </c>
      <c r="F1194" s="26" t="inlineStr">
        <is>
          <t>Bukidnon</t>
        </is>
      </c>
      <c r="G1194" s="26" t="inlineStr">
        <is>
          <t>Malitbog</t>
        </is>
      </c>
      <c r="H1194" s="26" t="inlineStr">
        <is>
          <t>Sampiano</t>
        </is>
      </c>
      <c r="I1194" s="27" t="n">
        <v>8.489767000000001</v>
      </c>
      <c r="J1194" s="27" t="n">
        <v>124.870449</v>
      </c>
      <c r="K1194" s="10" t="inlineStr">
        <is>
          <t>R</t>
        </is>
      </c>
      <c r="L1194" s="12" t="n">
        <v>1406</v>
      </c>
      <c r="M1194" s="14" t="n">
        <v>3.8</v>
      </c>
      <c r="N1194" s="12">
        <f>ROUND(L1194/M1194, 0)</f>
        <v/>
      </c>
      <c r="O1194" s="12">
        <f>ROUND(N1194*'Methodology &amp; Assumptions'!$B$5, 0)</f>
        <v/>
      </c>
      <c r="P1194" s="10" t="inlineStr">
        <is>
          <t>Single Carrier (Band n50, 100MHz TDD)</t>
        </is>
      </c>
      <c r="Q1194" s="13">
        <f>ROUNDUP(O1194/'Methodology &amp; Assumptions'!$B$6, 0)</f>
        <v/>
      </c>
      <c r="R1194" s="13" t="n">
        <v>1</v>
      </c>
      <c r="S1194" s="14" t="n">
        <v>13.06</v>
      </c>
      <c r="T1194" s="14" t="n">
        <v>9.24</v>
      </c>
      <c r="U1194" s="26">
        <f>IF(X1194&gt;='Methodology &amp; Assumptions'!$B$7, "Tier 1 Critical GIDA (Score ≥ 50.0)", IF(X1194&gt;='Methodology &amp; Assumptions'!$B$8, "Tier 2 High GIDA (Score 40.0–49.9)", "Tier 3 Moderate GIDA (Score &lt; 40.0)"))</f>
        <v/>
      </c>
      <c r="V1194" s="26">
        <f>IF(S1194&lt;='Methodology &amp; Assumptions'!$B$10, "Direct Optical Drop (&lt;3km)", IF(S1194&lt;='Methodology &amp; Assumptions'!$B$9, "Near Optical / Microwave (&lt;5km)", "Starlink Business LEO Satellite Backhaul (&gt;5km)"))</f>
        <v/>
      </c>
      <c r="W1194" s="28" t="n">
        <v>0.174</v>
      </c>
      <c r="X1194" s="14" t="n">
        <v>43.84</v>
      </c>
      <c r="Y1194" s="14">
        <f>ROUND(MIN(100, (X1194/69.91)*100), 2)</f>
        <v/>
      </c>
    </row>
    <row r="1195">
      <c r="A1195" s="10" t="n">
        <v>5</v>
      </c>
      <c r="B1195" s="10" t="n">
        <v>191</v>
      </c>
      <c r="C1195" s="10" t="n">
        <v>4191</v>
      </c>
      <c r="D1195" s="10" t="inlineStr">
        <is>
          <t>PH0004191</t>
        </is>
      </c>
      <c r="E1195" s="26" t="inlineStr">
        <is>
          <t>III</t>
        </is>
      </c>
      <c r="F1195" s="26" t="inlineStr">
        <is>
          <t>Nueva Ecija</t>
        </is>
      </c>
      <c r="G1195" s="26" t="inlineStr">
        <is>
          <t>Cabanatuan City</t>
        </is>
      </c>
      <c r="H1195" s="26" t="inlineStr">
        <is>
          <t>Magsaysay South</t>
        </is>
      </c>
      <c r="I1195" s="27" t="n">
        <v>15.516368</v>
      </c>
      <c r="J1195" s="27" t="n">
        <v>120.9581</v>
      </c>
      <c r="K1195" s="10" t="inlineStr">
        <is>
          <t>R</t>
        </is>
      </c>
      <c r="L1195" s="12" t="n">
        <v>2398</v>
      </c>
      <c r="M1195" s="14" t="n">
        <v>3.5</v>
      </c>
      <c r="N1195" s="12">
        <f>ROUND(L1195/M1195, 0)</f>
        <v/>
      </c>
      <c r="O1195" s="12">
        <f>ROUND(N1195*'Methodology &amp; Assumptions'!$B$5, 0)</f>
        <v/>
      </c>
      <c r="P1195" s="10" t="inlineStr">
        <is>
          <t>Single Carrier (Band n50, 100MHz TDD)</t>
        </is>
      </c>
      <c r="Q1195" s="13">
        <f>ROUNDUP(O1195/'Methodology &amp; Assumptions'!$B$6, 0)</f>
        <v/>
      </c>
      <c r="R1195" s="13" t="n">
        <v>1</v>
      </c>
      <c r="S1195" s="14" t="n">
        <v>3.87</v>
      </c>
      <c r="T1195" s="14" t="n">
        <v>0.3</v>
      </c>
      <c r="U1195" s="26">
        <f>IF(X1195&gt;='Methodology &amp; Assumptions'!$B$7, "Tier 1 Critical GIDA (Score ≥ 50.0)", IF(X1195&gt;='Methodology &amp; Assumptions'!$B$8, "Tier 2 High GIDA (Score 40.0–49.9)", "Tier 3 Moderate GIDA (Score &lt; 40.0)"))</f>
        <v/>
      </c>
      <c r="V1195" s="26">
        <f>IF(S1195&lt;='Methodology &amp; Assumptions'!$B$10, "Direct Optical Drop (&lt;3km)", IF(S1195&lt;='Methodology &amp; Assumptions'!$B$9, "Near Optical / Microwave (&lt;5km)", "Starlink Business LEO Satellite Backhaul (&gt;5km)"))</f>
        <v/>
      </c>
      <c r="W1195" s="28" t="n">
        <v>0.083</v>
      </c>
      <c r="X1195" s="14" t="n">
        <v>43.84</v>
      </c>
      <c r="Y1195" s="14">
        <f>ROUND(MIN(100, (X1195/69.91)*100), 2)</f>
        <v/>
      </c>
    </row>
    <row r="1196">
      <c r="A1196" s="10" t="n">
        <v>5</v>
      </c>
      <c r="B1196" s="10" t="n">
        <v>192</v>
      </c>
      <c r="C1196" s="10" t="n">
        <v>4192</v>
      </c>
      <c r="D1196" s="10" t="inlineStr">
        <is>
          <t>0102805018</t>
        </is>
      </c>
      <c r="E1196" s="26" t="inlineStr">
        <is>
          <t>Region I (Ilocos Region)</t>
        </is>
      </c>
      <c r="F1196" s="26" t="inlineStr">
        <is>
          <t>Ilocos Norte</t>
        </is>
      </c>
      <c r="G1196" s="26" t="inlineStr">
        <is>
          <t>City of Batac</t>
        </is>
      </c>
      <c r="H1196" s="26" t="inlineStr">
        <is>
          <t>Valdez Pob.</t>
        </is>
      </c>
      <c r="I1196" s="27" t="n">
        <v>18.053024</v>
      </c>
      <c r="J1196" s="27" t="n">
        <v>120.565079</v>
      </c>
      <c r="K1196" s="10" t="inlineStr">
        <is>
          <t>R</t>
        </is>
      </c>
      <c r="L1196" s="12" t="n">
        <v>820</v>
      </c>
      <c r="M1196" s="14" t="n">
        <v>3.7</v>
      </c>
      <c r="N1196" s="12">
        <f>ROUND(L1196/M1196, 0)</f>
        <v/>
      </c>
      <c r="O1196" s="12">
        <f>ROUND(N1196*'Methodology &amp; Assumptions'!$B$5, 0)</f>
        <v/>
      </c>
      <c r="P1196" s="10" t="inlineStr">
        <is>
          <t>Single Carrier (Band n50, 100MHz TDD)</t>
        </is>
      </c>
      <c r="Q1196" s="13">
        <f>ROUNDUP(O1196/'Methodology &amp; Assumptions'!$B$6, 0)</f>
        <v/>
      </c>
      <c r="R1196" s="13" t="n">
        <v>1</v>
      </c>
      <c r="S1196" s="14" t="n">
        <v>1.41</v>
      </c>
      <c r="T1196" s="14" t="n">
        <v>0.86</v>
      </c>
      <c r="U1196" s="26">
        <f>IF(X1196&gt;='Methodology &amp; Assumptions'!$B$7, "Tier 1 Critical GIDA (Score ≥ 50.0)", IF(X1196&gt;='Methodology &amp; Assumptions'!$B$8, "Tier 2 High GIDA (Score 40.0–49.9)", "Tier 3 Moderate GIDA (Score &lt; 40.0)"))</f>
        <v/>
      </c>
      <c r="V1196" s="26">
        <f>IF(S1196&lt;='Methodology &amp; Assumptions'!$B$10, "Direct Optical Drop (&lt;3km)", IF(S1196&lt;='Methodology &amp; Assumptions'!$B$9, "Near Optical / Microwave (&lt;5km)", "Starlink Business LEO Satellite Backhaul (&gt;5km)"))</f>
        <v/>
      </c>
      <c r="W1196" s="28" t="n">
        <v>0.083</v>
      </c>
      <c r="X1196" s="14" t="n">
        <v>43.83</v>
      </c>
      <c r="Y1196" s="14">
        <f>ROUND(MIN(100, (X1196/69.91)*100), 2)</f>
        <v/>
      </c>
    </row>
    <row r="1197">
      <c r="A1197" s="10" t="n">
        <v>5</v>
      </c>
      <c r="B1197" s="10" t="n">
        <v>193</v>
      </c>
      <c r="C1197" s="10" t="n">
        <v>4193</v>
      </c>
      <c r="D1197" s="10" t="inlineStr">
        <is>
          <t>0203102037</t>
        </is>
      </c>
      <c r="E1197" s="26" t="inlineStr">
        <is>
          <t>Region II (Cagayan Valley)</t>
        </is>
      </c>
      <c r="F1197" s="26" t="inlineStr">
        <is>
          <t>Isabela</t>
        </is>
      </c>
      <c r="G1197" s="26" t="inlineStr">
        <is>
          <t>Angadanan</t>
        </is>
      </c>
      <c r="H1197" s="26" t="inlineStr">
        <is>
          <t>Macaniao</t>
        </is>
      </c>
      <c r="I1197" s="27" t="n">
        <v>16.80788</v>
      </c>
      <c r="J1197" s="27" t="n">
        <v>121.881467</v>
      </c>
      <c r="K1197" s="10" t="inlineStr">
        <is>
          <t>R</t>
        </is>
      </c>
      <c r="L1197" s="12" t="n">
        <v>627</v>
      </c>
      <c r="M1197" s="14" t="n">
        <v>3.8</v>
      </c>
      <c r="N1197" s="12">
        <f>ROUND(L1197/M1197, 0)</f>
        <v/>
      </c>
      <c r="O1197" s="12">
        <f>ROUND(N1197*'Methodology &amp; Assumptions'!$B$5, 0)</f>
        <v/>
      </c>
      <c r="P1197" s="10" t="inlineStr">
        <is>
          <t>Single Carrier (Band n50, 100MHz TDD)</t>
        </is>
      </c>
      <c r="Q1197" s="13">
        <f>ROUNDUP(O1197/'Methodology &amp; Assumptions'!$B$6, 0)</f>
        <v/>
      </c>
      <c r="R1197" s="13" t="n">
        <v>1</v>
      </c>
      <c r="S1197" s="14" t="n">
        <v>12.9</v>
      </c>
      <c r="T1197" s="14" t="n">
        <v>14.5</v>
      </c>
      <c r="U1197" s="26">
        <f>IF(X1197&gt;='Methodology &amp; Assumptions'!$B$7, "Tier 1 Critical GIDA (Score ≥ 50.0)", IF(X1197&gt;='Methodology &amp; Assumptions'!$B$8, "Tier 2 High GIDA (Score 40.0–49.9)", "Tier 3 Moderate GIDA (Score &lt; 40.0)"))</f>
        <v/>
      </c>
      <c r="V1197" s="26">
        <f>IF(S1197&lt;='Methodology &amp; Assumptions'!$B$10, "Direct Optical Drop (&lt;3km)", IF(S1197&lt;='Methodology &amp; Assumptions'!$B$9, "Near Optical / Microwave (&lt;5km)", "Starlink Business LEO Satellite Backhaul (&gt;5km)"))</f>
        <v/>
      </c>
      <c r="W1197" s="28" t="n">
        <v>0.083</v>
      </c>
      <c r="X1197" s="14" t="n">
        <v>43.82</v>
      </c>
      <c r="Y1197" s="14">
        <f>ROUND(MIN(100, (X1197/69.91)*100), 2)</f>
        <v/>
      </c>
    </row>
    <row r="1198">
      <c r="A1198" s="10" t="n">
        <v>5</v>
      </c>
      <c r="B1198" s="10" t="n">
        <v>194</v>
      </c>
      <c r="C1198" s="10" t="n">
        <v>4194</v>
      </c>
      <c r="D1198" s="10" t="inlineStr">
        <is>
          <t>0103311003</t>
        </is>
      </c>
      <c r="E1198" s="26" t="inlineStr">
        <is>
          <t>Region I (Ilocos Region)</t>
        </is>
      </c>
      <c r="F1198" s="26" t="inlineStr">
        <is>
          <t>La Union</t>
        </is>
      </c>
      <c r="G1198" s="26" t="inlineStr">
        <is>
          <t>Naguilian</t>
        </is>
      </c>
      <c r="H1198" s="26" t="inlineStr">
        <is>
          <t>Al-alinao Sur</t>
        </is>
      </c>
      <c r="I1198" s="27" t="n">
        <v>16.503621</v>
      </c>
      <c r="J1198" s="27" t="n">
        <v>120.42252</v>
      </c>
      <c r="K1198" s="10" t="inlineStr">
        <is>
          <t>R</t>
        </is>
      </c>
      <c r="L1198" s="12" t="n">
        <v>1000</v>
      </c>
      <c r="M1198" s="14" t="n">
        <v>3.7</v>
      </c>
      <c r="N1198" s="12">
        <f>ROUND(L1198/M1198, 0)</f>
        <v/>
      </c>
      <c r="O1198" s="12">
        <f>ROUND(N1198*'Methodology &amp; Assumptions'!$B$5, 0)</f>
        <v/>
      </c>
      <c r="P1198" s="10" t="inlineStr">
        <is>
          <t>Single Carrier (Band n50, 100MHz TDD)</t>
        </is>
      </c>
      <c r="Q1198" s="13">
        <f>ROUNDUP(O1198/'Methodology &amp; Assumptions'!$B$6, 0)</f>
        <v/>
      </c>
      <c r="R1198" s="13" t="n">
        <v>1</v>
      </c>
      <c r="S1198" s="14" t="n">
        <v>3.72</v>
      </c>
      <c r="T1198" s="14" t="n">
        <v>1.12</v>
      </c>
      <c r="U1198" s="26">
        <f>IF(X1198&gt;='Methodology &amp; Assumptions'!$B$7, "Tier 1 Critical GIDA (Score ≥ 50.0)", IF(X1198&gt;='Methodology &amp; Assumptions'!$B$8, "Tier 2 High GIDA (Score 40.0–49.9)", "Tier 3 Moderate GIDA (Score &lt; 40.0)"))</f>
        <v/>
      </c>
      <c r="V1198" s="26">
        <f>IF(S1198&lt;='Methodology &amp; Assumptions'!$B$10, "Direct Optical Drop (&lt;3km)", IF(S1198&lt;='Methodology &amp; Assumptions'!$B$9, "Near Optical / Microwave (&lt;5km)", "Starlink Business LEO Satellite Backhaul (&gt;5km)"))</f>
        <v/>
      </c>
      <c r="W1198" s="28" t="n">
        <v>0.083</v>
      </c>
      <c r="X1198" s="14" t="n">
        <v>43.82</v>
      </c>
      <c r="Y1198" s="14">
        <f>ROUND(MIN(100, (X1198/69.91)*100), 2)</f>
        <v/>
      </c>
    </row>
    <row r="1199">
      <c r="A1199" s="10" t="n">
        <v>5</v>
      </c>
      <c r="B1199" s="10" t="n">
        <v>195</v>
      </c>
      <c r="C1199" s="10" t="n">
        <v>4195</v>
      </c>
      <c r="D1199" s="10" t="inlineStr">
        <is>
          <t>1003515017</t>
        </is>
      </c>
      <c r="E1199" s="26" t="inlineStr">
        <is>
          <t>Region X (Northern Mindanao)</t>
        </is>
      </c>
      <c r="F1199" s="26" t="inlineStr">
        <is>
          <t>Lanao del Norte</t>
        </is>
      </c>
      <c r="G1199" s="26" t="inlineStr">
        <is>
          <t>Nunungan</t>
        </is>
      </c>
      <c r="H1199" s="26" t="inlineStr">
        <is>
          <t>Poblacion</t>
        </is>
      </c>
      <c r="I1199" s="27" t="n">
        <v>7.762934</v>
      </c>
      <c r="J1199" s="27" t="n">
        <v>123.910495</v>
      </c>
      <c r="K1199" s="10" t="inlineStr">
        <is>
          <t>R</t>
        </is>
      </c>
      <c r="L1199" s="12" t="n">
        <v>1071</v>
      </c>
      <c r="M1199" s="14" t="n">
        <v>4.2</v>
      </c>
      <c r="N1199" s="12">
        <f>ROUND(L1199/M1199, 0)</f>
        <v/>
      </c>
      <c r="O1199" s="12">
        <f>ROUND(N1199*'Methodology &amp; Assumptions'!$B$5, 0)</f>
        <v/>
      </c>
      <c r="P1199" s="10" t="inlineStr">
        <is>
          <t>Single Carrier (Band n50, 100MHz TDD)</t>
        </is>
      </c>
      <c r="Q1199" s="13">
        <f>ROUNDUP(O1199/'Methodology &amp; Assumptions'!$B$6, 0)</f>
        <v/>
      </c>
      <c r="R1199" s="13" t="n">
        <v>1</v>
      </c>
      <c r="S1199" s="14" t="n">
        <v>33.46</v>
      </c>
      <c r="T1199" s="14" t="n">
        <v>21.48</v>
      </c>
      <c r="U1199" s="26">
        <f>IF(X1199&gt;='Methodology &amp; Assumptions'!$B$7, "Tier 1 Critical GIDA (Score ≥ 50.0)", IF(X1199&gt;='Methodology &amp; Assumptions'!$B$8, "Tier 2 High GIDA (Score 40.0–49.9)", "Tier 3 Moderate GIDA (Score &lt; 40.0)"))</f>
        <v/>
      </c>
      <c r="V1199" s="26">
        <f>IF(S1199&lt;='Methodology &amp; Assumptions'!$B$10, "Direct Optical Drop (&lt;3km)", IF(S1199&lt;='Methodology &amp; Assumptions'!$B$9, "Near Optical / Microwave (&lt;5km)", "Starlink Business LEO Satellite Backhaul (&gt;5km)"))</f>
        <v/>
      </c>
      <c r="W1199" s="28" t="n">
        <v>0.174</v>
      </c>
      <c r="X1199" s="14" t="n">
        <v>43.82</v>
      </c>
      <c r="Y1199" s="14">
        <f>ROUND(MIN(100, (X1199/69.91)*100), 2)</f>
        <v/>
      </c>
    </row>
    <row r="1200">
      <c r="A1200" s="10" t="n">
        <v>5</v>
      </c>
      <c r="B1200" s="10" t="n">
        <v>196</v>
      </c>
      <c r="C1200" s="10" t="n">
        <v>4196</v>
      </c>
      <c r="D1200" s="10" t="inlineStr">
        <is>
          <t>PH0004196</t>
        </is>
      </c>
      <c r="E1200" s="26" t="inlineStr">
        <is>
          <t>VIII</t>
        </is>
      </c>
      <c r="F1200" s="26" t="inlineStr">
        <is>
          <t>Leyte</t>
        </is>
      </c>
      <c r="G1200" s="26" t="inlineStr">
        <is>
          <t>Tacloban City</t>
        </is>
      </c>
      <c r="H1200" s="26" t="inlineStr">
        <is>
          <t>Barangay 50-B</t>
        </is>
      </c>
      <c r="I1200" s="27" t="n">
        <v>11.207107</v>
      </c>
      <c r="J1200" s="27" t="n">
        <v>124.920611</v>
      </c>
      <c r="K1200" s="10" t="inlineStr">
        <is>
          <t>R</t>
        </is>
      </c>
      <c r="L1200" s="12" t="n">
        <v>2258</v>
      </c>
      <c r="M1200" s="14" t="n">
        <v>3.8</v>
      </c>
      <c r="N1200" s="12">
        <f>ROUND(L1200/M1200, 0)</f>
        <v/>
      </c>
      <c r="O1200" s="12">
        <f>ROUND(N1200*'Methodology &amp; Assumptions'!$B$5, 0)</f>
        <v/>
      </c>
      <c r="P1200" s="10" t="inlineStr">
        <is>
          <t>Single Carrier (Band n50, 100MHz TDD)</t>
        </is>
      </c>
      <c r="Q1200" s="13">
        <f>ROUNDUP(O1200/'Methodology &amp; Assumptions'!$B$6, 0)</f>
        <v/>
      </c>
      <c r="R1200" s="13" t="n">
        <v>1</v>
      </c>
      <c r="S1200" s="14" t="n">
        <v>8.77</v>
      </c>
      <c r="T1200" s="14" t="n">
        <v>2.37</v>
      </c>
      <c r="U1200" s="26">
        <f>IF(X1200&gt;='Methodology &amp; Assumptions'!$B$7, "Tier 1 Critical GIDA (Score ≥ 50.0)", IF(X1200&gt;='Methodology &amp; Assumptions'!$B$8, "Tier 2 High GIDA (Score 40.0–49.9)", "Tier 3 Moderate GIDA (Score &lt; 40.0)"))</f>
        <v/>
      </c>
      <c r="V1200" s="26">
        <f>IF(S1200&lt;='Methodology &amp; Assumptions'!$B$10, "Direct Optical Drop (&lt;3km)", IF(S1200&lt;='Methodology &amp; Assumptions'!$B$9, "Near Optical / Microwave (&lt;5km)", "Starlink Business LEO Satellite Backhaul (&gt;5km)"))</f>
        <v/>
      </c>
      <c r="W1200" s="28" t="n">
        <v>0.222</v>
      </c>
      <c r="X1200" s="14" t="n">
        <v>43.82</v>
      </c>
      <c r="Y1200" s="14">
        <f>ROUND(MIN(100, (X1200/69.91)*100), 2)</f>
        <v/>
      </c>
    </row>
    <row r="1201">
      <c r="A1201" s="10" t="n">
        <v>5</v>
      </c>
      <c r="B1201" s="10" t="n">
        <v>197</v>
      </c>
      <c r="C1201" s="10" t="n">
        <v>4197</v>
      </c>
      <c r="D1201" s="10" t="inlineStr">
        <is>
          <t>0501734038</t>
        </is>
      </c>
      <c r="E1201" s="26" t="inlineStr">
        <is>
          <t>Region V (Bicol Region)</t>
        </is>
      </c>
      <c r="F1201" s="26" t="inlineStr">
        <is>
          <t>Camarines Sur</t>
        </is>
      </c>
      <c r="G1201" s="26" t="inlineStr">
        <is>
          <t>Sipocot</t>
        </is>
      </c>
      <c r="H1201" s="26" t="inlineStr">
        <is>
          <t>San Vicente</t>
        </is>
      </c>
      <c r="I1201" s="27" t="n">
        <v>13.76409</v>
      </c>
      <c r="J1201" s="27" t="n">
        <v>122.975498</v>
      </c>
      <c r="K1201" s="10" t="inlineStr">
        <is>
          <t>R</t>
        </is>
      </c>
      <c r="L1201" s="12" t="n">
        <v>1166</v>
      </c>
      <c r="M1201" s="14" t="n">
        <v>4.2</v>
      </c>
      <c r="N1201" s="12">
        <f>ROUND(L1201/M1201, 0)</f>
        <v/>
      </c>
      <c r="O1201" s="12">
        <f>ROUND(N1201*'Methodology &amp; Assumptions'!$B$5, 0)</f>
        <v/>
      </c>
      <c r="P1201" s="10" t="inlineStr">
        <is>
          <t>Single Carrier (Band n50, 100MHz TDD)</t>
        </is>
      </c>
      <c r="Q1201" s="13">
        <f>ROUNDUP(O1201/'Methodology &amp; Assumptions'!$B$6, 0)</f>
        <v/>
      </c>
      <c r="R1201" s="13" t="n">
        <v>1</v>
      </c>
      <c r="S1201" s="14" t="n">
        <v>0.23</v>
      </c>
      <c r="T1201" s="14" t="n">
        <v>1</v>
      </c>
      <c r="U1201" s="26">
        <f>IF(X1201&gt;='Methodology &amp; Assumptions'!$B$7, "Tier 1 Critical GIDA (Score ≥ 50.0)", IF(X1201&gt;='Methodology &amp; Assumptions'!$B$8, "Tier 2 High GIDA (Score 40.0–49.9)", "Tier 3 Moderate GIDA (Score &lt; 40.0)"))</f>
        <v/>
      </c>
      <c r="V1201" s="26">
        <f>IF(S1201&lt;='Methodology &amp; Assumptions'!$B$10, "Direct Optical Drop (&lt;3km)", IF(S1201&lt;='Methodology &amp; Assumptions'!$B$9, "Near Optical / Microwave (&lt;5km)", "Starlink Business LEO Satellite Backhaul (&gt;5km)"))</f>
        <v/>
      </c>
      <c r="W1201" s="28" t="n">
        <v>0.237</v>
      </c>
      <c r="X1201" s="14" t="n">
        <v>43.81</v>
      </c>
      <c r="Y1201" s="14">
        <f>ROUND(MIN(100, (X1201/69.91)*100), 2)</f>
        <v/>
      </c>
    </row>
    <row r="1202">
      <c r="A1202" s="10" t="n">
        <v>5</v>
      </c>
      <c r="B1202" s="10" t="n">
        <v>198</v>
      </c>
      <c r="C1202" s="10" t="n">
        <v>4198</v>
      </c>
      <c r="D1202" s="10" t="inlineStr">
        <is>
          <t>1903634024</t>
        </is>
      </c>
      <c r="E1202" s="26" t="inlineStr">
        <is>
          <t>Bangsamoro Autonomous Region In Muslim Mindanao (BARMM)</t>
        </is>
      </c>
      <c r="F1202" s="26" t="inlineStr">
        <is>
          <t>Lanao del Sur</t>
        </is>
      </c>
      <c r="G1202" s="26" t="inlineStr">
        <is>
          <t>Maguing</t>
        </is>
      </c>
      <c r="H1202" s="26" t="inlineStr">
        <is>
          <t>Ilalag</t>
        </is>
      </c>
      <c r="I1202" s="27" t="n">
        <v>17.258908</v>
      </c>
      <c r="J1202" s="27" t="n">
        <v>122.234649</v>
      </c>
      <c r="K1202" s="10" t="inlineStr">
        <is>
          <t>R</t>
        </is>
      </c>
      <c r="L1202" s="12" t="n">
        <v>1019</v>
      </c>
      <c r="M1202" s="14" t="n">
        <v>5.7</v>
      </c>
      <c r="N1202" s="12">
        <f>ROUND(L1202/M1202, 0)</f>
        <v/>
      </c>
      <c r="O1202" s="12">
        <f>ROUND(N1202*'Methodology &amp; Assumptions'!$B$5, 0)</f>
        <v/>
      </c>
      <c r="P1202" s="10" t="inlineStr">
        <is>
          <t>Single Carrier (Band n50, 100MHz TDD)</t>
        </is>
      </c>
      <c r="Q1202" s="13">
        <f>ROUNDUP(O1202/'Methodology &amp; Assumptions'!$B$6, 0)</f>
        <v/>
      </c>
      <c r="R1202" s="13" t="n">
        <v>1</v>
      </c>
      <c r="S1202" s="14" t="n">
        <v>30.17</v>
      </c>
      <c r="T1202" s="14" t="n">
        <v>35.01</v>
      </c>
      <c r="U1202" s="26">
        <f>IF(X1202&gt;='Methodology &amp; Assumptions'!$B$7, "Tier 1 Critical GIDA (Score ≥ 50.0)", IF(X1202&gt;='Methodology &amp; Assumptions'!$B$8, "Tier 2 High GIDA (Score 40.0–49.9)", "Tier 3 Moderate GIDA (Score &lt; 40.0)"))</f>
        <v/>
      </c>
      <c r="V1202" s="26">
        <f>IF(S1202&lt;='Methodology &amp; Assumptions'!$B$10, "Direct Optical Drop (&lt;3km)", IF(S1202&lt;='Methodology &amp; Assumptions'!$B$9, "Near Optical / Microwave (&lt;5km)", "Starlink Business LEO Satellite Backhaul (&gt;5km)"))</f>
        <v/>
      </c>
      <c r="W1202" s="28" t="n">
        <v>0.11</v>
      </c>
      <c r="X1202" s="14" t="n">
        <v>43.81</v>
      </c>
      <c r="Y1202" s="14">
        <f>ROUND(MIN(100, (X1202/69.91)*100), 2)</f>
        <v/>
      </c>
    </row>
    <row r="1203">
      <c r="A1203" s="10" t="n">
        <v>5</v>
      </c>
      <c r="B1203" s="10" t="n">
        <v>199</v>
      </c>
      <c r="C1203" s="10" t="n">
        <v>4199</v>
      </c>
      <c r="D1203" s="10" t="inlineStr">
        <is>
          <t>1705202003</t>
        </is>
      </c>
      <c r="E1203" s="26" t="inlineStr">
        <is>
          <t>MIMAROPA Region</t>
        </is>
      </c>
      <c r="F1203" s="26" t="inlineStr">
        <is>
          <t>Oriental Mindoro</t>
        </is>
      </c>
      <c r="G1203" s="26" t="inlineStr">
        <is>
          <t>Bansud</t>
        </is>
      </c>
      <c r="H1203" s="26" t="inlineStr">
        <is>
          <t>Bato</t>
        </is>
      </c>
      <c r="I1203" s="27" t="n">
        <v>12.750744</v>
      </c>
      <c r="J1203" s="27" t="n">
        <v>121.317452</v>
      </c>
      <c r="K1203" s="10" t="inlineStr">
        <is>
          <t>R</t>
        </is>
      </c>
      <c r="L1203" s="12" t="n">
        <v>885</v>
      </c>
      <c r="M1203" s="14" t="n">
        <v>3.9</v>
      </c>
      <c r="N1203" s="12">
        <f>ROUND(L1203/M1203, 0)</f>
        <v/>
      </c>
      <c r="O1203" s="12">
        <f>ROUND(N1203*'Methodology &amp; Assumptions'!$B$5, 0)</f>
        <v/>
      </c>
      <c r="P1203" s="10" t="inlineStr">
        <is>
          <t>Single Carrier (Band n50, 100MHz TDD)</t>
        </is>
      </c>
      <c r="Q1203" s="13">
        <f>ROUNDUP(O1203/'Methodology &amp; Assumptions'!$B$6, 0)</f>
        <v/>
      </c>
      <c r="R1203" s="13" t="n">
        <v>1</v>
      </c>
      <c r="S1203" s="14" t="n">
        <v>18.06</v>
      </c>
      <c r="T1203" s="14" t="n">
        <v>16.24</v>
      </c>
      <c r="U1203" s="26">
        <f>IF(X1203&gt;='Methodology &amp; Assumptions'!$B$7, "Tier 1 Critical GIDA (Score ≥ 50.0)", IF(X1203&gt;='Methodology &amp; Assumptions'!$B$8, "Tier 2 High GIDA (Score 40.0–49.9)", "Tier 3 Moderate GIDA (Score &lt; 40.0)"))</f>
        <v/>
      </c>
      <c r="V1203" s="26">
        <f>IF(S1203&lt;='Methodology &amp; Assumptions'!$B$10, "Direct Optical Drop (&lt;3km)", IF(S1203&lt;='Methodology &amp; Assumptions'!$B$9, "Near Optical / Microwave (&lt;5km)", "Starlink Business LEO Satellite Backhaul (&gt;5km)"))</f>
        <v/>
      </c>
      <c r="W1203" s="28" t="n">
        <v>0.15</v>
      </c>
      <c r="X1203" s="14" t="n">
        <v>43.81</v>
      </c>
      <c r="Y1203" s="14">
        <f>ROUND(MIN(100, (X1203/69.91)*100), 2)</f>
        <v/>
      </c>
    </row>
    <row r="1204">
      <c r="A1204" s="10" t="n">
        <v>5</v>
      </c>
      <c r="B1204" s="10" t="n">
        <v>200</v>
      </c>
      <c r="C1204" s="10" t="n">
        <v>4200</v>
      </c>
      <c r="D1204" s="10" t="inlineStr">
        <is>
          <t>PH0004200</t>
        </is>
      </c>
      <c r="E1204" s="26" t="inlineStr">
        <is>
          <t>NIR</t>
        </is>
      </c>
      <c r="F1204" s="26" t="inlineStr">
        <is>
          <t>Negros Occidental</t>
        </is>
      </c>
      <c r="G1204" s="26" t="inlineStr">
        <is>
          <t>Bacolod City</t>
        </is>
      </c>
      <c r="H1204" s="26" t="inlineStr">
        <is>
          <t>Barangay 39 (Pob.)</t>
        </is>
      </c>
      <c r="I1204" s="27" t="n">
        <v>10.637374</v>
      </c>
      <c r="J1204" s="27" t="n">
        <v>123.009976</v>
      </c>
      <c r="K1204" s="10" t="inlineStr">
        <is>
          <t>R</t>
        </is>
      </c>
      <c r="L1204" s="12" t="n">
        <v>2279</v>
      </c>
      <c r="M1204" s="14" t="n">
        <v>3.8</v>
      </c>
      <c r="N1204" s="12">
        <f>ROUND(L1204/M1204, 0)</f>
        <v/>
      </c>
      <c r="O1204" s="12">
        <f>ROUND(N1204*'Methodology &amp; Assumptions'!$B$5, 0)</f>
        <v/>
      </c>
      <c r="P1204" s="10" t="inlineStr">
        <is>
          <t>Single Carrier (Band n50, 100MHz TDD)</t>
        </is>
      </c>
      <c r="Q1204" s="13">
        <f>ROUNDUP(O1204/'Methodology &amp; Assumptions'!$B$6, 0)</f>
        <v/>
      </c>
      <c r="R1204" s="13" t="n">
        <v>1</v>
      </c>
      <c r="S1204" s="14" t="n">
        <v>4.01</v>
      </c>
      <c r="T1204" s="14" t="n">
        <v>1.72</v>
      </c>
      <c r="U1204" s="26">
        <f>IF(X1204&gt;='Methodology &amp; Assumptions'!$B$7, "Tier 1 Critical GIDA (Score ≥ 50.0)", IF(X1204&gt;='Methodology &amp; Assumptions'!$B$8, "Tier 2 High GIDA (Score 40.0–49.9)", "Tier 3 Moderate GIDA (Score &lt; 40.0)"))</f>
        <v/>
      </c>
      <c r="V1204" s="26">
        <f>IF(S1204&lt;='Methodology &amp; Assumptions'!$B$10, "Direct Optical Drop (&lt;3km)", IF(S1204&lt;='Methodology &amp; Assumptions'!$B$9, "Near Optical / Microwave (&lt;5km)", "Starlink Business LEO Satellite Backhaul (&gt;5km)"))</f>
        <v/>
      </c>
      <c r="W1204" s="28" t="n">
        <v>0.109</v>
      </c>
      <c r="X1204" s="14" t="n">
        <v>43.81</v>
      </c>
      <c r="Y1204" s="14">
        <f>ROUND(MIN(100, (X1204/69.91)*100), 2)</f>
        <v/>
      </c>
    </row>
    <row r="1205">
      <c r="A1205" s="10" t="n">
        <v>5</v>
      </c>
      <c r="B1205" s="10" t="n">
        <v>201</v>
      </c>
      <c r="C1205" s="10" t="n">
        <v>4201</v>
      </c>
      <c r="D1205" s="10" t="inlineStr">
        <is>
          <t>0201506049</t>
        </is>
      </c>
      <c r="E1205" s="26" t="inlineStr">
        <is>
          <t>Region II (Cagayan Valley)</t>
        </is>
      </c>
      <c r="F1205" s="26" t="inlineStr">
        <is>
          <t>Cagayan</t>
        </is>
      </c>
      <c r="G1205" s="26" t="inlineStr">
        <is>
          <t>Baggao</t>
        </is>
      </c>
      <c r="H1205" s="26" t="inlineStr">
        <is>
          <t>C. Verzosa</t>
        </is>
      </c>
      <c r="I1205" s="27" t="n">
        <v>17.994844</v>
      </c>
      <c r="J1205" s="27" t="n">
        <v>121.934465</v>
      </c>
      <c r="K1205" s="10" t="inlineStr">
        <is>
          <t>R</t>
        </is>
      </c>
      <c r="L1205" s="12" t="n">
        <v>767</v>
      </c>
      <c r="M1205" s="14" t="n">
        <v>3.9</v>
      </c>
      <c r="N1205" s="12">
        <f>ROUND(L1205/M1205, 0)</f>
        <v/>
      </c>
      <c r="O1205" s="12">
        <f>ROUND(N1205*'Methodology &amp; Assumptions'!$B$5, 0)</f>
        <v/>
      </c>
      <c r="P1205" s="10" t="inlineStr">
        <is>
          <t>Single Carrier (Band n50, 100MHz TDD)</t>
        </is>
      </c>
      <c r="Q1205" s="13">
        <f>ROUNDUP(O1205/'Methodology &amp; Assumptions'!$B$6, 0)</f>
        <v/>
      </c>
      <c r="R1205" s="13" t="n">
        <v>1</v>
      </c>
      <c r="S1205" s="14" t="n">
        <v>6.49</v>
      </c>
      <c r="T1205" s="14" t="n">
        <v>25.75</v>
      </c>
      <c r="U1205" s="26">
        <f>IF(X1205&gt;='Methodology &amp; Assumptions'!$B$7, "Tier 1 Critical GIDA (Score ≥ 50.0)", IF(X1205&gt;='Methodology &amp; Assumptions'!$B$8, "Tier 2 High GIDA (Score 40.0–49.9)", "Tier 3 Moderate GIDA (Score &lt; 40.0)"))</f>
        <v/>
      </c>
      <c r="V1205" s="26">
        <f>IF(S1205&lt;='Methodology &amp; Assumptions'!$B$10, "Direct Optical Drop (&lt;3km)", IF(S1205&lt;='Methodology &amp; Assumptions'!$B$9, "Near Optical / Microwave (&lt;5km)", "Starlink Business LEO Satellite Backhaul (&gt;5km)"))</f>
        <v/>
      </c>
      <c r="W1205" s="28" t="n">
        <v>0.083</v>
      </c>
      <c r="X1205" s="14" t="n">
        <v>43.8</v>
      </c>
      <c r="Y1205" s="14">
        <f>ROUND(MIN(100, (X1205/69.91)*100), 2)</f>
        <v/>
      </c>
    </row>
    <row r="1206">
      <c r="A1206" s="10" t="n">
        <v>5</v>
      </c>
      <c r="B1206" s="10" t="n">
        <v>202</v>
      </c>
      <c r="C1206" s="10" t="n">
        <v>4202</v>
      </c>
      <c r="D1206" s="10" t="inlineStr">
        <is>
          <t>0907319005</t>
        </is>
      </c>
      <c r="E1206" s="26" t="inlineStr">
        <is>
          <t>Region IX (Zamboanga Peninsula)</t>
        </is>
      </c>
      <c r="F1206" s="26" t="inlineStr">
        <is>
          <t>Zamboanga del Sur</t>
        </is>
      </c>
      <c r="G1206" s="26" t="inlineStr">
        <is>
          <t>Molave</t>
        </is>
      </c>
      <c r="H1206" s="26" t="inlineStr">
        <is>
          <t>Bagong Gutlang</t>
        </is>
      </c>
      <c r="I1206" s="27" t="n">
        <v>8.238667</v>
      </c>
      <c r="J1206" s="27" t="n">
        <v>123.462012</v>
      </c>
      <c r="K1206" s="10" t="inlineStr">
        <is>
          <t>R</t>
        </is>
      </c>
      <c r="L1206" s="12" t="n">
        <v>851</v>
      </c>
      <c r="M1206" s="14" t="n">
        <v>3.9</v>
      </c>
      <c r="N1206" s="12">
        <f>ROUND(L1206/M1206, 0)</f>
        <v/>
      </c>
      <c r="O1206" s="12">
        <f>ROUND(N1206*'Methodology &amp; Assumptions'!$B$5, 0)</f>
        <v/>
      </c>
      <c r="P1206" s="10" t="inlineStr">
        <is>
          <t>Single Carrier (Band n50, 100MHz TDD)</t>
        </is>
      </c>
      <c r="Q1206" s="13">
        <f>ROUNDUP(O1206/'Methodology &amp; Assumptions'!$B$6, 0)</f>
        <v/>
      </c>
      <c r="R1206" s="13" t="n">
        <v>1</v>
      </c>
      <c r="S1206" s="14" t="n">
        <v>34.62</v>
      </c>
      <c r="T1206" s="14" t="n">
        <v>34.5</v>
      </c>
      <c r="U1206" s="26">
        <f>IF(X1206&gt;='Methodology &amp; Assumptions'!$B$7, "Tier 1 Critical GIDA (Score ≥ 50.0)", IF(X1206&gt;='Methodology &amp; Assumptions'!$B$8, "Tier 2 High GIDA (Score 40.0–49.9)", "Tier 3 Moderate GIDA (Score &lt; 40.0)"))</f>
        <v/>
      </c>
      <c r="V1206" s="26">
        <f>IF(S1206&lt;='Methodology &amp; Assumptions'!$B$10, "Direct Optical Drop (&lt;3km)", IF(S1206&lt;='Methodology &amp; Assumptions'!$B$9, "Near Optical / Microwave (&lt;5km)", "Starlink Business LEO Satellite Backhaul (&gt;5km)"))</f>
        <v/>
      </c>
      <c r="W1206" s="28" t="n">
        <v>0.11</v>
      </c>
      <c r="X1206" s="14" t="n">
        <v>43.8</v>
      </c>
      <c r="Y1206" s="14">
        <f>ROUND(MIN(100, (X1206/69.91)*100), 2)</f>
        <v/>
      </c>
    </row>
    <row r="1207">
      <c r="A1207" s="10" t="n">
        <v>5</v>
      </c>
      <c r="B1207" s="10" t="n">
        <v>203</v>
      </c>
      <c r="C1207" s="10" t="n">
        <v>4203</v>
      </c>
      <c r="D1207" s="10" t="inlineStr">
        <is>
          <t>0603027010</t>
        </is>
      </c>
      <c r="E1207" s="26" t="inlineStr">
        <is>
          <t>Region VI (Western Visayas)</t>
        </is>
      </c>
      <c r="F1207" s="26" t="inlineStr">
        <is>
          <t>Iloilo</t>
        </is>
      </c>
      <c r="G1207" s="26" t="inlineStr">
        <is>
          <t>Lemery</t>
        </is>
      </c>
      <c r="H1207" s="26" t="inlineStr">
        <is>
          <t>Dapdapan</t>
        </is>
      </c>
      <c r="I1207" s="27" t="n">
        <v>11.222184</v>
      </c>
      <c r="J1207" s="27" t="n">
        <v>122.980957</v>
      </c>
      <c r="K1207" s="10" t="inlineStr">
        <is>
          <t>R</t>
        </is>
      </c>
      <c r="L1207" s="12" t="n">
        <v>587</v>
      </c>
      <c r="M1207" s="14" t="n">
        <v>3.8</v>
      </c>
      <c r="N1207" s="12">
        <f>ROUND(L1207/M1207, 0)</f>
        <v/>
      </c>
      <c r="O1207" s="12">
        <f>ROUND(N1207*'Methodology &amp; Assumptions'!$B$5, 0)</f>
        <v/>
      </c>
      <c r="P1207" s="10" t="inlineStr">
        <is>
          <t>Single Carrier (Band n50, 100MHz TDD)</t>
        </is>
      </c>
      <c r="Q1207" s="13">
        <f>ROUNDUP(O1207/'Methodology &amp; Assumptions'!$B$6, 0)</f>
        <v/>
      </c>
      <c r="R1207" s="13" t="n">
        <v>1</v>
      </c>
      <c r="S1207" s="14" t="n">
        <v>5.38</v>
      </c>
      <c r="T1207" s="14" t="n">
        <v>2.53</v>
      </c>
      <c r="U1207" s="26">
        <f>IF(X1207&gt;='Methodology &amp; Assumptions'!$B$7, "Tier 1 Critical GIDA (Score ≥ 50.0)", IF(X1207&gt;='Methodology &amp; Assumptions'!$B$8, "Tier 2 High GIDA (Score 40.0–49.9)", "Tier 3 Moderate GIDA (Score &lt; 40.0)"))</f>
        <v/>
      </c>
      <c r="V1207" s="26">
        <f>IF(S1207&lt;='Methodology &amp; Assumptions'!$B$10, "Direct Optical Drop (&lt;3km)", IF(S1207&lt;='Methodology &amp; Assumptions'!$B$9, "Near Optical / Microwave (&lt;5km)", "Starlink Business LEO Satellite Backhaul (&gt;5km)"))</f>
        <v/>
      </c>
      <c r="W1207" s="28" t="n">
        <v>0.237</v>
      </c>
      <c r="X1207" s="14" t="n">
        <v>43.79</v>
      </c>
      <c r="Y1207" s="14">
        <f>ROUND(MIN(100, (X1207/69.91)*100), 2)</f>
        <v/>
      </c>
    </row>
    <row r="1208">
      <c r="A1208" s="10" t="n">
        <v>5</v>
      </c>
      <c r="B1208" s="10" t="n">
        <v>204</v>
      </c>
      <c r="C1208" s="10" t="n">
        <v>4204</v>
      </c>
      <c r="D1208" s="10" t="inlineStr">
        <is>
          <t>1381600017</t>
        </is>
      </c>
      <c r="E1208" s="26" t="inlineStr">
        <is>
          <t>National Capital Region (NCR)</t>
        </is>
      </c>
      <c r="F1208" s="26" t="inlineStr">
        <is>
          <t>Third District (Not a Province)</t>
        </is>
      </c>
      <c r="G1208" s="26" t="inlineStr">
        <is>
          <t>City of Valenzuela</t>
        </is>
      </c>
      <c r="H1208" s="26" t="inlineStr">
        <is>
          <t>Malinta</t>
        </is>
      </c>
      <c r="I1208" s="27" t="n">
        <v>14.691111</v>
      </c>
      <c r="J1208" s="27" t="n">
        <v>120.965833</v>
      </c>
      <c r="K1208" s="10" t="inlineStr">
        <is>
          <t>U</t>
        </is>
      </c>
      <c r="L1208" s="12" t="n">
        <v>52850</v>
      </c>
      <c r="M1208" s="14" t="n">
        <v>3.5</v>
      </c>
      <c r="N1208" s="12">
        <f>ROUND(L1208/M1208, 0)</f>
        <v/>
      </c>
      <c r="O1208" s="12">
        <f>ROUND(N1208*'Methodology &amp; Assumptions'!$B$5, 0)</f>
        <v/>
      </c>
      <c r="P1208" s="10" t="inlineStr">
        <is>
          <t>Single Carrier (Band n50, 100MHz TDD)</t>
        </is>
      </c>
      <c r="Q1208" s="13">
        <f>ROUNDUP(O1208/'Methodology &amp; Assumptions'!$B$6, 0)</f>
        <v/>
      </c>
      <c r="R1208" s="13" t="n">
        <v>1</v>
      </c>
      <c r="S1208" s="14" t="n">
        <v>1.2</v>
      </c>
      <c r="T1208" s="14" t="n">
        <v>0.18</v>
      </c>
      <c r="U1208" s="26">
        <f>IF(X1208&gt;='Methodology &amp; Assumptions'!$B$7, "Tier 1 Critical GIDA (Score ≥ 50.0)", IF(X1208&gt;='Methodology &amp; Assumptions'!$B$8, "Tier 2 High GIDA (Score 40.0–49.9)", "Tier 3 Moderate GIDA (Score &lt; 40.0)"))</f>
        <v/>
      </c>
      <c r="V1208" s="26">
        <f>IF(S1208&lt;='Methodology &amp; Assumptions'!$B$10, "Direct Optical Drop (&lt;3km)", IF(S1208&lt;='Methodology &amp; Assumptions'!$B$9, "Near Optical / Microwave (&lt;5km)", "Starlink Business LEO Satellite Backhaul (&gt;5km)"))</f>
        <v/>
      </c>
      <c r="W1208" s="28" t="n">
        <v>0.109</v>
      </c>
      <c r="X1208" s="14" t="n">
        <v>43.78</v>
      </c>
      <c r="Y1208" s="14">
        <f>ROUND(MIN(100, (X1208/69.91)*100), 2)</f>
        <v/>
      </c>
    </row>
    <row r="1209">
      <c r="A1209" s="10" t="n">
        <v>5</v>
      </c>
      <c r="B1209" s="10" t="n">
        <v>205</v>
      </c>
      <c r="C1209" s="10" t="n">
        <v>4205</v>
      </c>
      <c r="D1209" s="10" t="inlineStr">
        <is>
          <t>0806408004</t>
        </is>
      </c>
      <c r="E1209" s="26" t="inlineStr">
        <is>
          <t>Region VIII (Eastern Visayas)</t>
        </is>
      </c>
      <c r="F1209" s="26" t="inlineStr">
        <is>
          <t>Southern Leyte</t>
        </is>
      </c>
      <c r="G1209" s="26" t="inlineStr">
        <is>
          <t>Macrohon</t>
        </is>
      </c>
      <c r="H1209" s="26" t="inlineStr">
        <is>
          <t>Cambaro</t>
        </is>
      </c>
      <c r="I1209" s="27" t="n">
        <v>10.094004</v>
      </c>
      <c r="J1209" s="27" t="n">
        <v>124.961097</v>
      </c>
      <c r="K1209" s="10" t="inlineStr">
        <is>
          <t>R</t>
        </is>
      </c>
      <c r="L1209" s="12" t="n">
        <v>382</v>
      </c>
      <c r="M1209" s="14" t="n">
        <v>4.1</v>
      </c>
      <c r="N1209" s="12">
        <f>ROUND(L1209/M1209, 0)</f>
        <v/>
      </c>
      <c r="O1209" s="12">
        <f>ROUND(N1209*'Methodology &amp; Assumptions'!$B$5, 0)</f>
        <v/>
      </c>
      <c r="P1209" s="10" t="inlineStr">
        <is>
          <t>Single Carrier (Band n50, 100MHz TDD)</t>
        </is>
      </c>
      <c r="Q1209" s="13">
        <f>ROUNDUP(O1209/'Methodology &amp; Assumptions'!$B$6, 0)</f>
        <v/>
      </c>
      <c r="R1209" s="13" t="n">
        <v>1</v>
      </c>
      <c r="S1209" s="14" t="n">
        <v>7.13</v>
      </c>
      <c r="T1209" s="14" t="n">
        <v>2.88</v>
      </c>
      <c r="U1209" s="26">
        <f>IF(X1209&gt;='Methodology &amp; Assumptions'!$B$7, "Tier 1 Critical GIDA (Score ≥ 50.0)", IF(X1209&gt;='Methodology &amp; Assumptions'!$B$8, "Tier 2 High GIDA (Score 40.0–49.9)", "Tier 3 Moderate GIDA (Score &lt; 40.0)"))</f>
        <v/>
      </c>
      <c r="V1209" s="26">
        <f>IF(S1209&lt;='Methodology &amp; Assumptions'!$B$10, "Direct Optical Drop (&lt;3km)", IF(S1209&lt;='Methodology &amp; Assumptions'!$B$9, "Near Optical / Microwave (&lt;5km)", "Starlink Business LEO Satellite Backhaul (&gt;5km)"))</f>
        <v/>
      </c>
      <c r="W1209" s="28" t="n">
        <v>0.237</v>
      </c>
      <c r="X1209" s="14" t="n">
        <v>43.78</v>
      </c>
      <c r="Y1209" s="14">
        <f>ROUND(MIN(100, (X1209/69.91)*100), 2)</f>
        <v/>
      </c>
    </row>
    <row r="1210">
      <c r="A1210" s="10" t="n">
        <v>5</v>
      </c>
      <c r="B1210" s="10" t="n">
        <v>206</v>
      </c>
      <c r="C1210" s="10" t="n">
        <v>4206</v>
      </c>
      <c r="D1210" s="10" t="inlineStr">
        <is>
          <t>PH0004206</t>
        </is>
      </c>
      <c r="E1210" s="26" t="inlineStr">
        <is>
          <t>XI</t>
        </is>
      </c>
      <c r="F1210" s="26" t="inlineStr">
        <is>
          <t>Davao Del Sur</t>
        </is>
      </c>
      <c r="G1210" s="26" t="inlineStr">
        <is>
          <t>Davao City</t>
        </is>
      </c>
      <c r="H1210" s="26" t="inlineStr">
        <is>
          <t>Pandaitan</t>
        </is>
      </c>
      <c r="I1210" s="27" t="n">
        <v>7.384969</v>
      </c>
      <c r="J1210" s="27" t="n">
        <v>125.540654</v>
      </c>
      <c r="K1210" s="10" t="inlineStr">
        <is>
          <t>R</t>
        </is>
      </c>
      <c r="L1210" s="12" t="n">
        <v>2280</v>
      </c>
      <c r="M1210" s="14" t="n">
        <v>3.4</v>
      </c>
      <c r="N1210" s="12">
        <f>ROUND(L1210/M1210, 0)</f>
        <v/>
      </c>
      <c r="O1210" s="12">
        <f>ROUND(N1210*'Methodology &amp; Assumptions'!$B$5, 0)</f>
        <v/>
      </c>
      <c r="P1210" s="10" t="inlineStr">
        <is>
          <t>Single Carrier (Band n50, 100MHz TDD)</t>
        </is>
      </c>
      <c r="Q1210" s="13">
        <f>ROUNDUP(O1210/'Methodology &amp; Assumptions'!$B$6, 0)</f>
        <v/>
      </c>
      <c r="R1210" s="13" t="n">
        <v>1</v>
      </c>
      <c r="S1210" s="14" t="n">
        <v>18.03</v>
      </c>
      <c r="T1210" s="14" t="n">
        <v>17.87</v>
      </c>
      <c r="U1210" s="26">
        <f>IF(X1210&gt;='Methodology &amp; Assumptions'!$B$7, "Tier 1 Critical GIDA (Score ≥ 50.0)", IF(X1210&gt;='Methodology &amp; Assumptions'!$B$8, "Tier 2 High GIDA (Score 40.0–49.9)", "Tier 3 Moderate GIDA (Score &lt; 40.0)"))</f>
        <v/>
      </c>
      <c r="V1210" s="26">
        <f>IF(S1210&lt;='Methodology &amp; Assumptions'!$B$10, "Direct Optical Drop (&lt;3km)", IF(S1210&lt;='Methodology &amp; Assumptions'!$B$9, "Near Optical / Microwave (&lt;5km)", "Starlink Business LEO Satellite Backhaul (&gt;5km)"))</f>
        <v/>
      </c>
      <c r="W1210" s="28" t="n">
        <v>0.119</v>
      </c>
      <c r="X1210" s="14" t="n">
        <v>43.78</v>
      </c>
      <c r="Y1210" s="14">
        <f>ROUND(MIN(100, (X1210/69.91)*100), 2)</f>
        <v/>
      </c>
    </row>
    <row r="1211">
      <c r="A1211" s="10" t="n">
        <v>5</v>
      </c>
      <c r="B1211" s="10" t="n">
        <v>207</v>
      </c>
      <c r="C1211" s="10" t="n">
        <v>4207</v>
      </c>
      <c r="D1211" s="10" t="inlineStr">
        <is>
          <t>0402106049</t>
        </is>
      </c>
      <c r="E1211" s="26" t="inlineStr">
        <is>
          <t>Region IV-A (CALABARZON)</t>
        </is>
      </c>
      <c r="F1211" s="26" t="inlineStr">
        <is>
          <t>Cavite</t>
        </is>
      </c>
      <c r="G1211" s="26" t="inlineStr">
        <is>
          <t>City of Dasmariñas</t>
        </is>
      </c>
      <c r="H1211" s="26" t="inlineStr">
        <is>
          <t>Burol III</t>
        </is>
      </c>
      <c r="I1211" s="27" t="n">
        <v>14.276137</v>
      </c>
      <c r="J1211" s="27" t="n">
        <v>120.930242</v>
      </c>
      <c r="K1211" s="10" t="inlineStr">
        <is>
          <t>U</t>
        </is>
      </c>
      <c r="L1211" s="12" t="n">
        <v>11497</v>
      </c>
      <c r="M1211" s="14" t="n">
        <v>3.4</v>
      </c>
      <c r="N1211" s="12">
        <f>ROUND(L1211/M1211, 0)</f>
        <v/>
      </c>
      <c r="O1211" s="12">
        <f>ROUND(N1211*'Methodology &amp; Assumptions'!$B$5, 0)</f>
        <v/>
      </c>
      <c r="P1211" s="10" t="inlineStr">
        <is>
          <t>Single Carrier (Band n50, 100MHz TDD)</t>
        </is>
      </c>
      <c r="Q1211" s="13">
        <f>ROUNDUP(O1211/'Methodology &amp; Assumptions'!$B$6, 0)</f>
        <v/>
      </c>
      <c r="R1211" s="13" t="n">
        <v>1</v>
      </c>
      <c r="S1211" s="14" t="n">
        <v>2.97</v>
      </c>
      <c r="T1211" s="14" t="n">
        <v>1.72</v>
      </c>
      <c r="U1211" s="26">
        <f>IF(X1211&gt;='Methodology &amp; Assumptions'!$B$7, "Tier 1 Critical GIDA (Score ≥ 50.0)", IF(X1211&gt;='Methodology &amp; Assumptions'!$B$8, "Tier 2 High GIDA (Score 40.0–49.9)", "Tier 3 Moderate GIDA (Score &lt; 40.0)"))</f>
        <v/>
      </c>
      <c r="V1211" s="26">
        <f>IF(S1211&lt;='Methodology &amp; Assumptions'!$B$10, "Direct Optical Drop (&lt;3km)", IF(S1211&lt;='Methodology &amp; Assumptions'!$B$9, "Near Optical / Microwave (&lt;5km)", "Starlink Business LEO Satellite Backhaul (&gt;5km)"))</f>
        <v/>
      </c>
      <c r="W1211" s="28" t="n">
        <v>0.07200000000000001</v>
      </c>
      <c r="X1211" s="14" t="n">
        <v>43.76</v>
      </c>
      <c r="Y1211" s="14">
        <f>ROUND(MIN(100, (X1211/69.91)*100), 2)</f>
        <v/>
      </c>
    </row>
    <row r="1212">
      <c r="A1212" s="10" t="n">
        <v>5</v>
      </c>
      <c r="B1212" s="10" t="n">
        <v>208</v>
      </c>
      <c r="C1212" s="10" t="n">
        <v>4208</v>
      </c>
      <c r="D1212" s="10" t="inlineStr">
        <is>
          <t>0102805023</t>
        </is>
      </c>
      <c r="E1212" s="26" t="inlineStr">
        <is>
          <t>Region I (Ilocos Region)</t>
        </is>
      </c>
      <c r="F1212" s="26" t="inlineStr">
        <is>
          <t>Ilocos Norte</t>
        </is>
      </c>
      <c r="G1212" s="26" t="inlineStr">
        <is>
          <t>City of Batac</t>
        </is>
      </c>
      <c r="H1212" s="26" t="inlineStr">
        <is>
          <t>Ablan Pob.</t>
        </is>
      </c>
      <c r="I1212" s="27" t="n">
        <v>18.052823</v>
      </c>
      <c r="J1212" s="27" t="n">
        <v>120.570268</v>
      </c>
      <c r="K1212" s="10" t="inlineStr">
        <is>
          <t>R</t>
        </is>
      </c>
      <c r="L1212" s="12" t="n">
        <v>751</v>
      </c>
      <c r="M1212" s="14" t="n">
        <v>3.7</v>
      </c>
      <c r="N1212" s="12">
        <f>ROUND(L1212/M1212, 0)</f>
        <v/>
      </c>
      <c r="O1212" s="12">
        <f>ROUND(N1212*'Methodology &amp; Assumptions'!$B$5, 0)</f>
        <v/>
      </c>
      <c r="P1212" s="10" t="inlineStr">
        <is>
          <t>Single Carrier (Band n50, 100MHz TDD)</t>
        </is>
      </c>
      <c r="Q1212" s="13">
        <f>ROUNDUP(O1212/'Methodology &amp; Assumptions'!$B$6, 0)</f>
        <v/>
      </c>
      <c r="R1212" s="13" t="n">
        <v>1</v>
      </c>
      <c r="S1212" s="14" t="n">
        <v>1.95</v>
      </c>
      <c r="T1212" s="14" t="n">
        <v>1.39</v>
      </c>
      <c r="U1212" s="26">
        <f>IF(X1212&gt;='Methodology &amp; Assumptions'!$B$7, "Tier 1 Critical GIDA (Score ≥ 50.0)", IF(X1212&gt;='Methodology &amp; Assumptions'!$B$8, "Tier 2 High GIDA (Score 40.0–49.9)", "Tier 3 Moderate GIDA (Score &lt; 40.0)"))</f>
        <v/>
      </c>
      <c r="V1212" s="26">
        <f>IF(S1212&lt;='Methodology &amp; Assumptions'!$B$10, "Direct Optical Drop (&lt;3km)", IF(S1212&lt;='Methodology &amp; Assumptions'!$B$9, "Near Optical / Microwave (&lt;5km)", "Starlink Business LEO Satellite Backhaul (&gt;5km)"))</f>
        <v/>
      </c>
      <c r="W1212" s="28" t="n">
        <v>0.083</v>
      </c>
      <c r="X1212" s="14" t="n">
        <v>43.76</v>
      </c>
      <c r="Y1212" s="14">
        <f>ROUND(MIN(100, (X1212/69.91)*100), 2)</f>
        <v/>
      </c>
    </row>
    <row r="1213">
      <c r="A1213" s="10" t="n">
        <v>5</v>
      </c>
      <c r="B1213" s="10" t="n">
        <v>209</v>
      </c>
      <c r="C1213" s="10" t="n">
        <v>4209</v>
      </c>
      <c r="D1213" s="10" t="inlineStr">
        <is>
          <t>PH0004209</t>
        </is>
      </c>
      <c r="E1213" s="26" t="inlineStr">
        <is>
          <t>VII</t>
        </is>
      </c>
      <c r="F1213" s="26" t="inlineStr">
        <is>
          <t>Cebu</t>
        </is>
      </c>
      <c r="G1213" s="26" t="inlineStr">
        <is>
          <t>Talisay City</t>
        </is>
      </c>
      <c r="H1213" s="26" t="inlineStr">
        <is>
          <t>Poblacion</t>
        </is>
      </c>
      <c r="I1213" s="27" t="n">
        <v>10.382043</v>
      </c>
      <c r="J1213" s="27" t="n">
        <v>123.769183</v>
      </c>
      <c r="K1213" s="10" t="inlineStr">
        <is>
          <t>R</t>
        </is>
      </c>
      <c r="L1213" s="12" t="n">
        <v>2250</v>
      </c>
      <c r="M1213" s="14" t="n">
        <v>3.8</v>
      </c>
      <c r="N1213" s="12">
        <f>ROUND(L1213/M1213, 0)</f>
        <v/>
      </c>
      <c r="O1213" s="12">
        <f>ROUND(N1213*'Methodology &amp; Assumptions'!$B$5, 0)</f>
        <v/>
      </c>
      <c r="P1213" s="10" t="inlineStr">
        <is>
          <t>Single Carrier (Band n50, 100MHz TDD)</t>
        </is>
      </c>
      <c r="Q1213" s="13">
        <f>ROUNDUP(O1213/'Methodology &amp; Assumptions'!$B$6, 0)</f>
        <v/>
      </c>
      <c r="R1213" s="13" t="n">
        <v>1</v>
      </c>
      <c r="S1213" s="14" t="n">
        <v>9.4</v>
      </c>
      <c r="T1213" s="14" t="n">
        <v>10.34</v>
      </c>
      <c r="U1213" s="26">
        <f>IF(X1213&gt;='Methodology &amp; Assumptions'!$B$7, "Tier 1 Critical GIDA (Score ≥ 50.0)", IF(X1213&gt;='Methodology &amp; Assumptions'!$B$8, "Tier 2 High GIDA (Score 40.0–49.9)", "Tier 3 Moderate GIDA (Score &lt; 40.0)"))</f>
        <v/>
      </c>
      <c r="V1213" s="26">
        <f>IF(S1213&lt;='Methodology &amp; Assumptions'!$B$10, "Direct Optical Drop (&lt;3km)", IF(S1213&lt;='Methodology &amp; Assumptions'!$B$9, "Near Optical / Microwave (&lt;5km)", "Starlink Business LEO Satellite Backhaul (&gt;5km)"))</f>
        <v/>
      </c>
      <c r="W1213" s="28" t="n">
        <v>0.21</v>
      </c>
      <c r="X1213" s="14" t="n">
        <v>43.76</v>
      </c>
      <c r="Y1213" s="14">
        <f>ROUND(MIN(100, (X1213/69.91)*100), 2)</f>
        <v/>
      </c>
    </row>
    <row r="1214">
      <c r="A1214" s="10" t="n">
        <v>5</v>
      </c>
      <c r="B1214" s="10" t="n">
        <v>210</v>
      </c>
      <c r="C1214" s="10" t="n">
        <v>4210</v>
      </c>
      <c r="D1214" s="10" t="inlineStr">
        <is>
          <t>1381100194</t>
        </is>
      </c>
      <c r="E1214" s="26" t="inlineStr">
        <is>
          <t>National Capital Region (NCR)</t>
        </is>
      </c>
      <c r="F1214" s="26" t="inlineStr">
        <is>
          <t>Fourth District (Not a Province)</t>
        </is>
      </c>
      <c r="G1214" s="26" t="inlineStr">
        <is>
          <t>Pasay City</t>
        </is>
      </c>
      <c r="H1214" s="26" t="inlineStr">
        <is>
          <t>Barangay 194</t>
        </is>
      </c>
      <c r="I1214" s="27" t="n">
        <v>14.582791</v>
      </c>
      <c r="J1214" s="27" t="n">
        <v>121.249047</v>
      </c>
      <c r="K1214" s="10" t="inlineStr">
        <is>
          <t>U</t>
        </is>
      </c>
      <c r="L1214" s="12" t="n">
        <v>4652</v>
      </c>
      <c r="M1214" s="14" t="n">
        <v>3.4</v>
      </c>
      <c r="N1214" s="12">
        <f>ROUND(L1214/M1214, 0)</f>
        <v/>
      </c>
      <c r="O1214" s="12">
        <f>ROUND(N1214*'Methodology &amp; Assumptions'!$B$5, 0)</f>
        <v/>
      </c>
      <c r="P1214" s="10" t="inlineStr">
        <is>
          <t>Single Carrier (Band n50, 100MHz TDD)</t>
        </is>
      </c>
      <c r="Q1214" s="13">
        <f>ROUNDUP(O1214/'Methodology &amp; Assumptions'!$B$6, 0)</f>
        <v/>
      </c>
      <c r="R1214" s="13" t="n">
        <v>1</v>
      </c>
      <c r="S1214" s="14" t="n">
        <v>2.17</v>
      </c>
      <c r="T1214" s="14" t="n">
        <v>4.77</v>
      </c>
      <c r="U1214" s="26">
        <f>IF(X1214&gt;='Methodology &amp; Assumptions'!$B$7, "Tier 1 Critical GIDA (Score ≥ 50.0)", IF(X1214&gt;='Methodology &amp; Assumptions'!$B$8, "Tier 2 High GIDA (Score 40.0–49.9)", "Tier 3 Moderate GIDA (Score &lt; 40.0)"))</f>
        <v/>
      </c>
      <c r="V1214" s="26">
        <f>IF(S1214&lt;='Methodology &amp; Assumptions'!$B$10, "Direct Optical Drop (&lt;3km)", IF(S1214&lt;='Methodology &amp; Assumptions'!$B$9, "Near Optical / Microwave (&lt;5km)", "Starlink Business LEO Satellite Backhaul (&gt;5km)"))</f>
        <v/>
      </c>
      <c r="W1214" s="28" t="n">
        <v>0.109</v>
      </c>
      <c r="X1214" s="14" t="n">
        <v>43.76</v>
      </c>
      <c r="Y1214" s="14">
        <f>ROUND(MIN(100, (X1214/69.91)*100), 2)</f>
        <v/>
      </c>
    </row>
    <row r="1215">
      <c r="A1215" s="10" t="n">
        <v>5</v>
      </c>
      <c r="B1215" s="10" t="n">
        <v>211</v>
      </c>
      <c r="C1215" s="10" t="n">
        <v>4211</v>
      </c>
      <c r="D1215" s="10" t="inlineStr">
        <is>
          <t>PH0004211</t>
        </is>
      </c>
      <c r="E1215" s="26" t="inlineStr">
        <is>
          <t>VII</t>
        </is>
      </c>
      <c r="F1215" s="26" t="inlineStr">
        <is>
          <t>Cebu</t>
        </is>
      </c>
      <c r="G1215" s="26" t="inlineStr">
        <is>
          <t>Cebu City</t>
        </is>
      </c>
      <c r="H1215" s="26" t="inlineStr">
        <is>
          <t>Zapatera</t>
        </is>
      </c>
      <c r="I1215" s="27" t="n">
        <v>10.303603</v>
      </c>
      <c r="J1215" s="27" t="n">
        <v>123.902142</v>
      </c>
      <c r="K1215" s="10" t="inlineStr">
        <is>
          <t>R</t>
        </is>
      </c>
      <c r="L1215" s="12" t="n">
        <v>2250</v>
      </c>
      <c r="M1215" s="14" t="n">
        <v>3.8</v>
      </c>
      <c r="N1215" s="12">
        <f>ROUND(L1215/M1215, 0)</f>
        <v/>
      </c>
      <c r="O1215" s="12">
        <f>ROUND(N1215*'Methodology &amp; Assumptions'!$B$5, 0)</f>
        <v/>
      </c>
      <c r="P1215" s="10" t="inlineStr">
        <is>
          <t>Single Carrier (Band n50, 100MHz TDD)</t>
        </is>
      </c>
      <c r="Q1215" s="13">
        <f>ROUNDUP(O1215/'Methodology &amp; Assumptions'!$B$6, 0)</f>
        <v/>
      </c>
      <c r="R1215" s="13" t="n">
        <v>1</v>
      </c>
      <c r="S1215" s="14" t="n">
        <v>0.47</v>
      </c>
      <c r="T1215" s="14" t="n">
        <v>0.1</v>
      </c>
      <c r="U1215" s="26">
        <f>IF(X1215&gt;='Methodology &amp; Assumptions'!$B$7, "Tier 1 Critical GIDA (Score ≥ 50.0)", IF(X1215&gt;='Methodology &amp; Assumptions'!$B$8, "Tier 2 High GIDA (Score 40.0–49.9)", "Tier 3 Moderate GIDA (Score &lt; 40.0)"))</f>
        <v/>
      </c>
      <c r="V1215" s="26">
        <f>IF(S1215&lt;='Methodology &amp; Assumptions'!$B$10, "Direct Optical Drop (&lt;3km)", IF(S1215&lt;='Methodology &amp; Assumptions'!$B$9, "Near Optical / Microwave (&lt;5km)", "Starlink Business LEO Satellite Backhaul (&gt;5km)"))</f>
        <v/>
      </c>
      <c r="W1215" s="28" t="n">
        <v>0.21</v>
      </c>
      <c r="X1215" s="14" t="n">
        <v>43.76</v>
      </c>
      <c r="Y1215" s="14">
        <f>ROUND(MIN(100, (X1215/69.91)*100), 2)</f>
        <v/>
      </c>
    </row>
    <row r="1216">
      <c r="A1216" s="10" t="n">
        <v>5</v>
      </c>
      <c r="B1216" s="10" t="n">
        <v>212</v>
      </c>
      <c r="C1216" s="10" t="n">
        <v>4212</v>
      </c>
      <c r="D1216" s="10" t="inlineStr">
        <is>
          <t>PH0004212</t>
        </is>
      </c>
      <c r="E1216" s="26" t="inlineStr">
        <is>
          <t>IV-A</t>
        </is>
      </c>
      <c r="F1216" s="26" t="inlineStr">
        <is>
          <t>Cavite</t>
        </is>
      </c>
      <c r="G1216" s="26" t="inlineStr">
        <is>
          <t>Cavite City</t>
        </is>
      </c>
      <c r="H1216" s="26" t="inlineStr">
        <is>
          <t>Barangay 42-B</t>
        </is>
      </c>
      <c r="I1216" s="27" t="n">
        <v>14.466557</v>
      </c>
      <c r="J1216" s="27" t="n">
        <v>120.915884</v>
      </c>
      <c r="K1216" s="10" t="inlineStr">
        <is>
          <t>R</t>
        </is>
      </c>
      <c r="L1216" s="12" t="n">
        <v>2316</v>
      </c>
      <c r="M1216" s="14" t="n">
        <v>3.4</v>
      </c>
      <c r="N1216" s="12">
        <f>ROUND(L1216/M1216, 0)</f>
        <v/>
      </c>
      <c r="O1216" s="12">
        <f>ROUND(N1216*'Methodology &amp; Assumptions'!$B$5, 0)</f>
        <v/>
      </c>
      <c r="P1216" s="10" t="inlineStr">
        <is>
          <t>Single Carrier (Band n50, 100MHz TDD)</t>
        </is>
      </c>
      <c r="Q1216" s="13">
        <f>ROUNDUP(O1216/'Methodology &amp; Assumptions'!$B$6, 0)</f>
        <v/>
      </c>
      <c r="R1216" s="13" t="n">
        <v>1</v>
      </c>
      <c r="S1216" s="14" t="n">
        <v>3.18</v>
      </c>
      <c r="T1216" s="14" t="n">
        <v>2</v>
      </c>
      <c r="U1216" s="26">
        <f>IF(X1216&gt;='Methodology &amp; Assumptions'!$B$7, "Tier 1 Critical GIDA (Score ≥ 50.0)", IF(X1216&gt;='Methodology &amp; Assumptions'!$B$8, "Tier 2 High GIDA (Score 40.0–49.9)", "Tier 3 Moderate GIDA (Score &lt; 40.0)"))</f>
        <v/>
      </c>
      <c r="V1216" s="26">
        <f>IF(S1216&lt;='Methodology &amp; Assumptions'!$B$10, "Direct Optical Drop (&lt;3km)", IF(S1216&lt;='Methodology &amp; Assumptions'!$B$9, "Near Optical / Microwave (&lt;5km)", "Starlink Business LEO Satellite Backhaul (&gt;5km)"))</f>
        <v/>
      </c>
      <c r="W1216" s="28" t="n">
        <v>0.07200000000000001</v>
      </c>
      <c r="X1216" s="14" t="n">
        <v>43.75</v>
      </c>
      <c r="Y1216" s="14">
        <f>ROUND(MIN(100, (X1216/69.91)*100), 2)</f>
        <v/>
      </c>
    </row>
    <row r="1217">
      <c r="A1217" s="10" t="n">
        <v>5</v>
      </c>
      <c r="B1217" s="10" t="n">
        <v>213</v>
      </c>
      <c r="C1217" s="10" t="n">
        <v>4213</v>
      </c>
      <c r="D1217" s="10" t="inlineStr">
        <is>
          <t>0405622070</t>
        </is>
      </c>
      <c r="E1217" s="26" t="inlineStr">
        <is>
          <t>Region IV-A (CALABARZON)</t>
        </is>
      </c>
      <c r="F1217" s="26" t="inlineStr">
        <is>
          <t>Quezon</t>
        </is>
      </c>
      <c r="G1217" s="26" t="inlineStr">
        <is>
          <t>Lopez</t>
        </is>
      </c>
      <c r="H1217" s="26" t="inlineStr">
        <is>
          <t>San Rafael</t>
        </is>
      </c>
      <c r="I1217" s="27" t="n">
        <v>13.848276</v>
      </c>
      <c r="J1217" s="27" t="n">
        <v>122.223899</v>
      </c>
      <c r="K1217" s="10" t="inlineStr">
        <is>
          <t>R</t>
        </is>
      </c>
      <c r="L1217" s="12" t="n">
        <v>323</v>
      </c>
      <c r="M1217" s="14" t="n">
        <v>3.8</v>
      </c>
      <c r="N1217" s="12">
        <f>ROUND(L1217/M1217, 0)</f>
        <v/>
      </c>
      <c r="O1217" s="12">
        <f>ROUND(N1217*'Methodology &amp; Assumptions'!$B$5, 0)</f>
        <v/>
      </c>
      <c r="P1217" s="10" t="inlineStr">
        <is>
          <t>Single Carrier (Band n50, 100MHz TDD)</t>
        </is>
      </c>
      <c r="Q1217" s="13">
        <f>ROUNDUP(O1217/'Methodology &amp; Assumptions'!$B$6, 0)</f>
        <v/>
      </c>
      <c r="R1217" s="13" t="n">
        <v>1</v>
      </c>
      <c r="S1217" s="14" t="n">
        <v>5.99</v>
      </c>
      <c r="T1217" s="14" t="n">
        <v>4.41</v>
      </c>
      <c r="U1217" s="26">
        <f>IF(X1217&gt;='Methodology &amp; Assumptions'!$B$7, "Tier 1 Critical GIDA (Score ≥ 50.0)", IF(X1217&gt;='Methodology &amp; Assumptions'!$B$8, "Tier 2 High GIDA (Score 40.0–49.9)", "Tier 3 Moderate GIDA (Score &lt; 40.0)"))</f>
        <v/>
      </c>
      <c r="V1217" s="26">
        <f>IF(S1217&lt;='Methodology &amp; Assumptions'!$B$10, "Direct Optical Drop (&lt;3km)", IF(S1217&lt;='Methodology &amp; Assumptions'!$B$9, "Near Optical / Microwave (&lt;5km)", "Starlink Business LEO Satellite Backhaul (&gt;5km)"))</f>
        <v/>
      </c>
      <c r="W1217" s="28" t="n">
        <v>0.07200000000000001</v>
      </c>
      <c r="X1217" s="14" t="n">
        <v>43.75</v>
      </c>
      <c r="Y1217" s="14">
        <f>ROUND(MIN(100, (X1217/69.91)*100), 2)</f>
        <v/>
      </c>
    </row>
    <row r="1218">
      <c r="A1218" s="10" t="n">
        <v>5</v>
      </c>
      <c r="B1218" s="10" t="n">
        <v>214</v>
      </c>
      <c r="C1218" s="10" t="n">
        <v>4214</v>
      </c>
      <c r="D1218" s="10" t="inlineStr">
        <is>
          <t>1403214017</t>
        </is>
      </c>
      <c r="E1218" s="26" t="inlineStr">
        <is>
          <t>Cordillera Administrative Region (CAR)</t>
        </is>
      </c>
      <c r="F1218" s="26" t="inlineStr">
        <is>
          <t>Kalinga</t>
        </is>
      </c>
      <c r="G1218" s="26" t="inlineStr">
        <is>
          <t>Tanudan</t>
        </is>
      </c>
      <c r="H1218" s="26" t="inlineStr">
        <is>
          <t>Mangali Centro</t>
        </is>
      </c>
      <c r="I1218" s="27" t="n">
        <v>17.300835</v>
      </c>
      <c r="J1218" s="27" t="n">
        <v>121.237234</v>
      </c>
      <c r="K1218" s="10" t="inlineStr">
        <is>
          <t>R</t>
        </is>
      </c>
      <c r="L1218" s="12" t="n">
        <v>265</v>
      </c>
      <c r="M1218" s="14" t="n">
        <v>4.3</v>
      </c>
      <c r="N1218" s="12">
        <f>ROUND(L1218/M1218, 0)</f>
        <v/>
      </c>
      <c r="O1218" s="12">
        <f>ROUND(N1218*'Methodology &amp; Assumptions'!$B$5, 0)</f>
        <v/>
      </c>
      <c r="P1218" s="10" t="inlineStr">
        <is>
          <t>Single Carrier (Band n50, 100MHz TDD)</t>
        </is>
      </c>
      <c r="Q1218" s="13">
        <f>ROUNDUP(O1218/'Methodology &amp; Assumptions'!$B$6, 0)</f>
        <v/>
      </c>
      <c r="R1218" s="13" t="n">
        <v>1</v>
      </c>
      <c r="S1218" s="14" t="n">
        <v>10.25</v>
      </c>
      <c r="T1218" s="14" t="n">
        <v>7.81</v>
      </c>
      <c r="U1218" s="26">
        <f>IF(X1218&gt;='Methodology &amp; Assumptions'!$B$7, "Tier 1 Critical GIDA (Score ≥ 50.0)", IF(X1218&gt;='Methodology &amp; Assumptions'!$B$8, "Tier 2 High GIDA (Score 40.0–49.9)", "Tier 3 Moderate GIDA (Score &lt; 40.0)"))</f>
        <v/>
      </c>
      <c r="V1218" s="26">
        <f>IF(S1218&lt;='Methodology &amp; Assumptions'!$B$10, "Direct Optical Drop (&lt;3km)", IF(S1218&lt;='Methodology &amp; Assumptions'!$B$9, "Near Optical / Microwave (&lt;5km)", "Starlink Business LEO Satellite Backhaul (&gt;5km)"))</f>
        <v/>
      </c>
      <c r="W1218" s="28" t="n">
        <v>0.109</v>
      </c>
      <c r="X1218" s="14" t="n">
        <v>43.74</v>
      </c>
      <c r="Y1218" s="14">
        <f>ROUND(MIN(100, (X1218/69.91)*100), 2)</f>
        <v/>
      </c>
    </row>
    <row r="1219">
      <c r="A1219" s="10" t="n">
        <v>5</v>
      </c>
      <c r="B1219" s="10" t="n">
        <v>215</v>
      </c>
      <c r="C1219" s="10" t="n">
        <v>4215</v>
      </c>
      <c r="D1219" s="10" t="inlineStr">
        <is>
          <t>1908707002</t>
        </is>
      </c>
      <c r="E1219" s="26" t="inlineStr">
        <is>
          <t>Bangsamoro Autonomous Region In Muslim Mindanao (BARMM)</t>
        </is>
      </c>
      <c r="F1219" s="26" t="inlineStr">
        <is>
          <t>Maguindanao del Norte</t>
        </is>
      </c>
      <c r="G1219" s="26" t="inlineStr">
        <is>
          <t>Matanog</t>
        </is>
      </c>
      <c r="H1219" s="26" t="inlineStr">
        <is>
          <t>Bayanga Sur</t>
        </is>
      </c>
      <c r="I1219" s="27" t="n">
        <v>17.253955</v>
      </c>
      <c r="J1219" s="27" t="n">
        <v>122.227999</v>
      </c>
      <c r="K1219" s="10" t="inlineStr">
        <is>
          <t>R</t>
        </is>
      </c>
      <c r="L1219" s="12" t="n">
        <v>9894</v>
      </c>
      <c r="M1219" s="14" t="n">
        <v>4.3</v>
      </c>
      <c r="N1219" s="12">
        <f>ROUND(L1219/M1219, 0)</f>
        <v/>
      </c>
      <c r="O1219" s="12">
        <f>ROUND(N1219*'Methodology &amp; Assumptions'!$B$5, 0)</f>
        <v/>
      </c>
      <c r="P1219" s="10" t="inlineStr">
        <is>
          <t>Single Carrier (Band n50, 100MHz TDD)</t>
        </is>
      </c>
      <c r="Q1219" s="13">
        <f>ROUNDUP(O1219/'Methodology &amp; Assumptions'!$B$6, 0)</f>
        <v/>
      </c>
      <c r="R1219" s="13" t="n">
        <v>1</v>
      </c>
      <c r="S1219" s="14" t="n">
        <v>29.28</v>
      </c>
      <c r="T1219" s="14" t="n">
        <v>34.18</v>
      </c>
      <c r="U1219" s="26">
        <f>IF(X1219&gt;='Methodology &amp; Assumptions'!$B$7, "Tier 1 Critical GIDA (Score ≥ 50.0)", IF(X1219&gt;='Methodology &amp; Assumptions'!$B$8, "Tier 2 High GIDA (Score 40.0–49.9)", "Tier 3 Moderate GIDA (Score &lt; 40.0)"))</f>
        <v/>
      </c>
      <c r="V1219" s="26">
        <f>IF(S1219&lt;='Methodology &amp; Assumptions'!$B$10, "Direct Optical Drop (&lt;3km)", IF(S1219&lt;='Methodology &amp; Assumptions'!$B$9, "Near Optical / Microwave (&lt;5km)", "Starlink Business LEO Satellite Backhaul (&gt;5km)"))</f>
        <v/>
      </c>
      <c r="W1219" s="28" t="n">
        <v>0.11</v>
      </c>
      <c r="X1219" s="14" t="n">
        <v>43.73</v>
      </c>
      <c r="Y1219" s="14">
        <f>ROUND(MIN(100, (X1219/69.91)*100), 2)</f>
        <v/>
      </c>
    </row>
    <row r="1220">
      <c r="A1220" s="10" t="n">
        <v>5</v>
      </c>
      <c r="B1220" s="10" t="n">
        <v>216</v>
      </c>
      <c r="C1220" s="10" t="n">
        <v>4216</v>
      </c>
      <c r="D1220" s="10" t="inlineStr">
        <is>
          <t>0603023003</t>
        </is>
      </c>
      <c r="E1220" s="26" t="inlineStr">
        <is>
          <t>Region VI (Western Visayas)</t>
        </is>
      </c>
      <c r="F1220" s="26" t="inlineStr">
        <is>
          <t>Iloilo</t>
        </is>
      </c>
      <c r="G1220" s="26" t="inlineStr">
        <is>
          <t>Janiuay</t>
        </is>
      </c>
      <c r="H1220" s="26" t="inlineStr">
        <is>
          <t>Aglobong</t>
        </is>
      </c>
      <c r="I1220" s="27" t="n">
        <v>11.046977</v>
      </c>
      <c r="J1220" s="27" t="n">
        <v>122.379337</v>
      </c>
      <c r="K1220" s="10" t="inlineStr">
        <is>
          <t>R</t>
        </is>
      </c>
      <c r="L1220" s="12" t="n">
        <v>798</v>
      </c>
      <c r="M1220" s="14" t="n">
        <v>3.8</v>
      </c>
      <c r="N1220" s="12">
        <f>ROUND(L1220/M1220, 0)</f>
        <v/>
      </c>
      <c r="O1220" s="12">
        <f>ROUND(N1220*'Methodology &amp; Assumptions'!$B$5, 0)</f>
        <v/>
      </c>
      <c r="P1220" s="10" t="inlineStr">
        <is>
          <t>Single Carrier (Band n50, 100MHz TDD)</t>
        </is>
      </c>
      <c r="Q1220" s="13">
        <f>ROUNDUP(O1220/'Methodology &amp; Assumptions'!$B$6, 0)</f>
        <v/>
      </c>
      <c r="R1220" s="13" t="n">
        <v>1</v>
      </c>
      <c r="S1220" s="14" t="n">
        <v>18.48</v>
      </c>
      <c r="T1220" s="14" t="n">
        <v>17.3</v>
      </c>
      <c r="U1220" s="26">
        <f>IF(X1220&gt;='Methodology &amp; Assumptions'!$B$7, "Tier 1 Critical GIDA (Score ≥ 50.0)", IF(X1220&gt;='Methodology &amp; Assumptions'!$B$8, "Tier 2 High GIDA (Score 40.0–49.9)", "Tier 3 Moderate GIDA (Score &lt; 40.0)"))</f>
        <v/>
      </c>
      <c r="V1220" s="26">
        <f>IF(S1220&lt;='Methodology &amp; Assumptions'!$B$10, "Direct Optical Drop (&lt;3km)", IF(S1220&lt;='Methodology &amp; Assumptions'!$B$9, "Near Optical / Microwave (&lt;5km)", "Starlink Business LEO Satellite Backhaul (&gt;5km)"))</f>
        <v/>
      </c>
      <c r="W1220" s="28" t="n">
        <v>0.237</v>
      </c>
      <c r="X1220" s="14" t="n">
        <v>43.73</v>
      </c>
      <c r="Y1220" s="14">
        <f>ROUND(MIN(100, (X1220/69.91)*100), 2)</f>
        <v/>
      </c>
    </row>
    <row r="1221">
      <c r="A1221" s="10" t="n">
        <v>5</v>
      </c>
      <c r="B1221" s="10" t="n">
        <v>217</v>
      </c>
      <c r="C1221" s="10" t="n">
        <v>4217</v>
      </c>
      <c r="D1221" s="10" t="inlineStr">
        <is>
          <t>0802608017</t>
        </is>
      </c>
      <c r="E1221" s="26" t="inlineStr">
        <is>
          <t>Region VIII (Eastern Visayas)</t>
        </is>
      </c>
      <c r="F1221" s="26" t="inlineStr">
        <is>
          <t>Eastern Samar</t>
        </is>
      </c>
      <c r="G1221" s="26" t="inlineStr">
        <is>
          <t>Giporlos</t>
        </is>
      </c>
      <c r="H1221" s="26" t="inlineStr">
        <is>
          <t>San Miguel</t>
        </is>
      </c>
      <c r="I1221" s="27" t="n">
        <v>11.17542</v>
      </c>
      <c r="J1221" s="27" t="n">
        <v>125.466363</v>
      </c>
      <c r="K1221" s="10" t="inlineStr">
        <is>
          <t>R</t>
        </is>
      </c>
      <c r="L1221" s="12" t="n">
        <v>134</v>
      </c>
      <c r="M1221" s="14" t="n">
        <v>3.9</v>
      </c>
      <c r="N1221" s="12">
        <f>ROUND(L1221/M1221, 0)</f>
        <v/>
      </c>
      <c r="O1221" s="12">
        <f>ROUND(N1221*'Methodology &amp; Assumptions'!$B$5, 0)</f>
        <v/>
      </c>
      <c r="P1221" s="10" t="inlineStr">
        <is>
          <t>Single Carrier (Band n50, 100MHz TDD)</t>
        </is>
      </c>
      <c r="Q1221" s="13">
        <f>ROUNDUP(O1221/'Methodology &amp; Assumptions'!$B$6, 0)</f>
        <v/>
      </c>
      <c r="R1221" s="13" t="n">
        <v>1</v>
      </c>
      <c r="S1221" s="14" t="n">
        <v>49.33</v>
      </c>
      <c r="T1221" s="14" t="n">
        <v>48.56</v>
      </c>
      <c r="U1221" s="26">
        <f>IF(X1221&gt;='Methodology &amp; Assumptions'!$B$7, "Tier 1 Critical GIDA (Score ≥ 50.0)", IF(X1221&gt;='Methodology &amp; Assumptions'!$B$8, "Tier 2 High GIDA (Score 40.0–49.9)", "Tier 3 Moderate GIDA (Score &lt; 40.0)"))</f>
        <v/>
      </c>
      <c r="V1221" s="26">
        <f>IF(S1221&lt;='Methodology &amp; Assumptions'!$B$10, "Direct Optical Drop (&lt;3km)", IF(S1221&lt;='Methodology &amp; Assumptions'!$B$9, "Near Optical / Microwave (&lt;5km)", "Starlink Business LEO Satellite Backhaul (&gt;5km)"))</f>
        <v/>
      </c>
      <c r="W1221" s="28" t="n">
        <v>0.237</v>
      </c>
      <c r="X1221" s="14" t="n">
        <v>43.73</v>
      </c>
      <c r="Y1221" s="14">
        <f>ROUND(MIN(100, (X1221/69.91)*100), 2)</f>
        <v/>
      </c>
    </row>
    <row r="1222">
      <c r="A1222" s="10" t="n">
        <v>5</v>
      </c>
      <c r="B1222" s="10" t="n">
        <v>218</v>
      </c>
      <c r="C1222" s="10" t="n">
        <v>4218</v>
      </c>
      <c r="D1222" s="10" t="inlineStr">
        <is>
          <t>PH0004218</t>
        </is>
      </c>
      <c r="E1222" s="26" t="inlineStr">
        <is>
          <t>IV-A</t>
        </is>
      </c>
      <c r="F1222" s="26" t="inlineStr">
        <is>
          <t>Laguna</t>
        </is>
      </c>
      <c r="G1222" s="26" t="inlineStr">
        <is>
          <t>San Pablo City</t>
        </is>
      </c>
      <c r="H1222" s="26" t="inlineStr">
        <is>
          <t>Bagong Pook VI-C (Pob.)</t>
        </is>
      </c>
      <c r="I1222" s="27" t="n">
        <v>14.073049</v>
      </c>
      <c r="J1222" s="27" t="n">
        <v>121.321187</v>
      </c>
      <c r="K1222" s="10" t="inlineStr">
        <is>
          <t>R</t>
        </is>
      </c>
      <c r="L1222" s="12" t="n">
        <v>2412</v>
      </c>
      <c r="M1222" s="14" t="n">
        <v>3.3</v>
      </c>
      <c r="N1222" s="12">
        <f>ROUND(L1222/M1222, 0)</f>
        <v/>
      </c>
      <c r="O1222" s="12">
        <f>ROUND(N1222*'Methodology &amp; Assumptions'!$B$5, 0)</f>
        <v/>
      </c>
      <c r="P1222" s="10" t="inlineStr">
        <is>
          <t>Single Carrier (Band n50, 100MHz TDD)</t>
        </is>
      </c>
      <c r="Q1222" s="13">
        <f>ROUNDUP(O1222/'Methodology &amp; Assumptions'!$B$6, 0)</f>
        <v/>
      </c>
      <c r="R1222" s="13" t="n">
        <v>1</v>
      </c>
      <c r="S1222" s="14" t="n">
        <v>1.03</v>
      </c>
      <c r="T1222" s="14" t="n">
        <v>0.11</v>
      </c>
      <c r="U1222" s="26">
        <f>IF(X1222&gt;='Methodology &amp; Assumptions'!$B$7, "Tier 1 Critical GIDA (Score ≥ 50.0)", IF(X1222&gt;='Methodology &amp; Assumptions'!$B$8, "Tier 2 High GIDA (Score 40.0–49.9)", "Tier 3 Moderate GIDA (Score &lt; 40.0)"))</f>
        <v/>
      </c>
      <c r="V1222" s="26">
        <f>IF(S1222&lt;='Methodology &amp; Assumptions'!$B$10, "Direct Optical Drop (&lt;3km)", IF(S1222&lt;='Methodology &amp; Assumptions'!$B$9, "Near Optical / Microwave (&lt;5km)", "Starlink Business LEO Satellite Backhaul (&gt;5km)"))</f>
        <v/>
      </c>
      <c r="W1222" s="28" t="n">
        <v>0.07200000000000001</v>
      </c>
      <c r="X1222" s="14" t="n">
        <v>43.73</v>
      </c>
      <c r="Y1222" s="14">
        <f>ROUND(MIN(100, (X1222/69.91)*100), 2)</f>
        <v/>
      </c>
    </row>
    <row r="1223">
      <c r="A1223" s="10" t="n">
        <v>5</v>
      </c>
      <c r="B1223" s="10" t="n">
        <v>219</v>
      </c>
      <c r="C1223" s="10" t="n">
        <v>4219</v>
      </c>
      <c r="D1223" s="10" t="inlineStr">
        <is>
          <t>0804805020</t>
        </is>
      </c>
      <c r="E1223" s="26" t="inlineStr">
        <is>
          <t>Region VIII (Eastern Visayas)</t>
        </is>
      </c>
      <c r="F1223" s="26" t="inlineStr">
        <is>
          <t>Northern Samar</t>
        </is>
      </c>
      <c r="G1223" s="26" t="inlineStr">
        <is>
          <t>Catarman</t>
        </is>
      </c>
      <c r="H1223" s="26" t="inlineStr">
        <is>
          <t>Guba</t>
        </is>
      </c>
      <c r="I1223" s="27" t="n">
        <v>12.42918</v>
      </c>
      <c r="J1223" s="27" t="n">
        <v>124.557463</v>
      </c>
      <c r="K1223" s="10" t="inlineStr">
        <is>
          <t>R</t>
        </is>
      </c>
      <c r="L1223" s="12" t="n">
        <v>518</v>
      </c>
      <c r="M1223" s="14" t="n">
        <v>4.3</v>
      </c>
      <c r="N1223" s="12">
        <f>ROUND(L1223/M1223, 0)</f>
        <v/>
      </c>
      <c r="O1223" s="12">
        <f>ROUND(N1223*'Methodology &amp; Assumptions'!$B$5, 0)</f>
        <v/>
      </c>
      <c r="P1223" s="10" t="inlineStr">
        <is>
          <t>Single Carrier (Band n50, 100MHz TDD)</t>
        </is>
      </c>
      <c r="Q1223" s="13">
        <f>ROUNDUP(O1223/'Methodology &amp; Assumptions'!$B$6, 0)</f>
        <v/>
      </c>
      <c r="R1223" s="13" t="n">
        <v>1</v>
      </c>
      <c r="S1223" s="14" t="n">
        <v>54.53</v>
      </c>
      <c r="T1223" s="14" t="n">
        <v>54.15</v>
      </c>
      <c r="U1223" s="26">
        <f>IF(X1223&gt;='Methodology &amp; Assumptions'!$B$7, "Tier 1 Critical GIDA (Score ≥ 50.0)", IF(X1223&gt;='Methodology &amp; Assumptions'!$B$8, "Tier 2 High GIDA (Score 40.0–49.9)", "Tier 3 Moderate GIDA (Score &lt; 40.0)"))</f>
        <v/>
      </c>
      <c r="V1223" s="26">
        <f>IF(S1223&lt;='Methodology &amp; Assumptions'!$B$10, "Direct Optical Drop (&lt;3km)", IF(S1223&lt;='Methodology &amp; Assumptions'!$B$9, "Near Optical / Microwave (&lt;5km)", "Starlink Business LEO Satellite Backhaul (&gt;5km)"))</f>
        <v/>
      </c>
      <c r="W1223" s="28" t="n">
        <v>0.237</v>
      </c>
      <c r="X1223" s="14" t="n">
        <v>43.73</v>
      </c>
      <c r="Y1223" s="14">
        <f>ROUND(MIN(100, (X1223/69.91)*100), 2)</f>
        <v/>
      </c>
    </row>
    <row r="1224">
      <c r="A1224" s="10" t="n">
        <v>5</v>
      </c>
      <c r="B1224" s="10" t="n">
        <v>220</v>
      </c>
      <c r="C1224" s="10" t="n">
        <v>4220</v>
      </c>
      <c r="D1224" s="10" t="inlineStr">
        <is>
          <t>0405605023</t>
        </is>
      </c>
      <c r="E1224" s="26" t="inlineStr">
        <is>
          <t>Region IV-A (CALABARZON)</t>
        </is>
      </c>
      <c r="F1224" s="26" t="inlineStr">
        <is>
          <t>Quezon</t>
        </is>
      </c>
      <c r="G1224" s="26" t="inlineStr">
        <is>
          <t>Buenavista</t>
        </is>
      </c>
      <c r="H1224" s="26" t="inlineStr">
        <is>
          <t>Maligaya</t>
        </is>
      </c>
      <c r="I1224" s="27" t="n">
        <v>13.706976</v>
      </c>
      <c r="J1224" s="27" t="n">
        <v>122.393635</v>
      </c>
      <c r="K1224" s="10" t="inlineStr">
        <is>
          <t>R</t>
        </is>
      </c>
      <c r="L1224" s="12" t="n">
        <v>876</v>
      </c>
      <c r="M1224" s="14" t="n">
        <v>3.8</v>
      </c>
      <c r="N1224" s="12">
        <f>ROUND(L1224/M1224, 0)</f>
        <v/>
      </c>
      <c r="O1224" s="12">
        <f>ROUND(N1224*'Methodology &amp; Assumptions'!$B$5, 0)</f>
        <v/>
      </c>
      <c r="P1224" s="10" t="inlineStr">
        <is>
          <t>Single Carrier (Band n50, 100MHz TDD)</t>
        </is>
      </c>
      <c r="Q1224" s="13">
        <f>ROUNDUP(O1224/'Methodology &amp; Assumptions'!$B$6, 0)</f>
        <v/>
      </c>
      <c r="R1224" s="13" t="n">
        <v>1</v>
      </c>
      <c r="S1224" s="14" t="n">
        <v>8.130000000000001</v>
      </c>
      <c r="T1224" s="14" t="n">
        <v>7.86</v>
      </c>
      <c r="U1224" s="26">
        <f>IF(X1224&gt;='Methodology &amp; Assumptions'!$B$7, "Tier 1 Critical GIDA (Score ≥ 50.0)", IF(X1224&gt;='Methodology &amp; Assumptions'!$B$8, "Tier 2 High GIDA (Score 40.0–49.9)", "Tier 3 Moderate GIDA (Score &lt; 40.0)"))</f>
        <v/>
      </c>
      <c r="V1224" s="26">
        <f>IF(S1224&lt;='Methodology &amp; Assumptions'!$B$10, "Direct Optical Drop (&lt;3km)", IF(S1224&lt;='Methodology &amp; Assumptions'!$B$9, "Near Optical / Microwave (&lt;5km)", "Starlink Business LEO Satellite Backhaul (&gt;5km)"))</f>
        <v/>
      </c>
      <c r="W1224" s="28" t="n">
        <v>0.07200000000000001</v>
      </c>
      <c r="X1224" s="14" t="n">
        <v>43.73</v>
      </c>
      <c r="Y1224" s="14">
        <f>ROUND(MIN(100, (X1224/69.91)*100), 2)</f>
        <v/>
      </c>
    </row>
    <row r="1225">
      <c r="A1225" s="10" t="n">
        <v>5</v>
      </c>
      <c r="B1225" s="10" t="n">
        <v>221</v>
      </c>
      <c r="C1225" s="10" t="n">
        <v>4221</v>
      </c>
      <c r="D1225" s="10" t="inlineStr">
        <is>
          <t>1380300026</t>
        </is>
      </c>
      <c r="E1225" s="26" t="inlineStr">
        <is>
          <t>National Capital Region (NCR)</t>
        </is>
      </c>
      <c r="F1225" s="26" t="inlineStr">
        <is>
          <t>Fourth District (Not a Province)</t>
        </is>
      </c>
      <c r="G1225" s="26" t="inlineStr">
        <is>
          <t>City of Makati</t>
        </is>
      </c>
      <c r="H1225" s="26" t="inlineStr">
        <is>
          <t>Santa Cruz</t>
        </is>
      </c>
      <c r="I1225" s="27" t="n">
        <v>14.567935</v>
      </c>
      <c r="J1225" s="27" t="n">
        <v>121.017212</v>
      </c>
      <c r="K1225" s="10" t="inlineStr">
        <is>
          <t>U</t>
        </is>
      </c>
      <c r="L1225" s="12" t="n">
        <v>3116</v>
      </c>
      <c r="M1225" s="14" t="n">
        <v>3.5</v>
      </c>
      <c r="N1225" s="12">
        <f>ROUND(L1225/M1225, 0)</f>
        <v/>
      </c>
      <c r="O1225" s="12">
        <f>ROUND(N1225*'Methodology &amp; Assumptions'!$B$5, 0)</f>
        <v/>
      </c>
      <c r="P1225" s="10" t="inlineStr">
        <is>
          <t>Single Carrier (Band n50, 100MHz TDD)</t>
        </is>
      </c>
      <c r="Q1225" s="13">
        <f>ROUNDUP(O1225/'Methodology &amp; Assumptions'!$B$6, 0)</f>
        <v/>
      </c>
      <c r="R1225" s="13" t="n">
        <v>1</v>
      </c>
      <c r="S1225" s="14" t="n">
        <v>1.07</v>
      </c>
      <c r="T1225" s="14" t="n">
        <v>0.34</v>
      </c>
      <c r="U1225" s="26">
        <f>IF(X1225&gt;='Methodology &amp; Assumptions'!$B$7, "Tier 1 Critical GIDA (Score ≥ 50.0)", IF(X1225&gt;='Methodology &amp; Assumptions'!$B$8, "Tier 2 High GIDA (Score 40.0–49.9)", "Tier 3 Moderate GIDA (Score &lt; 40.0)"))</f>
        <v/>
      </c>
      <c r="V1225" s="26">
        <f>IF(S1225&lt;='Methodology &amp; Assumptions'!$B$10, "Direct Optical Drop (&lt;3km)", IF(S1225&lt;='Methodology &amp; Assumptions'!$B$9, "Near Optical / Microwave (&lt;5km)", "Starlink Business LEO Satellite Backhaul (&gt;5km)"))</f>
        <v/>
      </c>
      <c r="W1225" s="28" t="n">
        <v>0.109</v>
      </c>
      <c r="X1225" s="14" t="n">
        <v>43.73</v>
      </c>
      <c r="Y1225" s="14">
        <f>ROUND(MIN(100, (X1225/69.91)*100), 2)</f>
        <v/>
      </c>
    </row>
    <row r="1226">
      <c r="A1226" s="10" t="n">
        <v>5</v>
      </c>
      <c r="B1226" s="10" t="n">
        <v>222</v>
      </c>
      <c r="C1226" s="10" t="n">
        <v>4222</v>
      </c>
      <c r="D1226" s="10" t="inlineStr">
        <is>
          <t>0600402005</t>
        </is>
      </c>
      <c r="E1226" s="26" t="inlineStr">
        <is>
          <t>Region VI (Western Visayas)</t>
        </is>
      </c>
      <c r="F1226" s="26" t="inlineStr">
        <is>
          <t>Aklan</t>
        </is>
      </c>
      <c r="G1226" s="26" t="inlineStr">
        <is>
          <t>Balete</t>
        </is>
      </c>
      <c r="H1226" s="26" t="inlineStr">
        <is>
          <t>Cortes</t>
        </is>
      </c>
      <c r="I1226" s="27" t="n">
        <v>11.528565</v>
      </c>
      <c r="J1226" s="27" t="n">
        <v>122.397382</v>
      </c>
      <c r="K1226" s="10" t="inlineStr">
        <is>
          <t>R</t>
        </is>
      </c>
      <c r="L1226" s="12" t="n">
        <v>3645</v>
      </c>
      <c r="M1226" s="14" t="n">
        <v>3.9</v>
      </c>
      <c r="N1226" s="12">
        <f>ROUND(L1226/M1226, 0)</f>
        <v/>
      </c>
      <c r="O1226" s="12">
        <f>ROUND(N1226*'Methodology &amp; Assumptions'!$B$5, 0)</f>
        <v/>
      </c>
      <c r="P1226" s="10" t="inlineStr">
        <is>
          <t>Single Carrier (Band n50, 100MHz TDD)</t>
        </is>
      </c>
      <c r="Q1226" s="13">
        <f>ROUNDUP(O1226/'Methodology &amp; Assumptions'!$B$6, 0)</f>
        <v/>
      </c>
      <c r="R1226" s="13" t="n">
        <v>1</v>
      </c>
      <c r="S1226" s="14" t="n">
        <v>3.98</v>
      </c>
      <c r="T1226" s="14" t="n">
        <v>3.39</v>
      </c>
      <c r="U1226" s="26">
        <f>IF(X1226&gt;='Methodology &amp; Assumptions'!$B$7, "Tier 1 Critical GIDA (Score ≥ 50.0)", IF(X1226&gt;='Methodology &amp; Assumptions'!$B$8, "Tier 2 High GIDA (Score 40.0–49.9)", "Tier 3 Moderate GIDA (Score &lt; 40.0)"))</f>
        <v/>
      </c>
      <c r="V1226" s="26">
        <f>IF(S1226&lt;='Methodology &amp; Assumptions'!$B$10, "Direct Optical Drop (&lt;3km)", IF(S1226&lt;='Methodology &amp; Assumptions'!$B$9, "Near Optical / Microwave (&lt;5km)", "Starlink Business LEO Satellite Backhaul (&gt;5km)"))</f>
        <v/>
      </c>
      <c r="W1226" s="28" t="n">
        <v>0.237</v>
      </c>
      <c r="X1226" s="14" t="n">
        <v>43.72</v>
      </c>
      <c r="Y1226" s="14">
        <f>ROUND(MIN(100, (X1226/69.91)*100), 2)</f>
        <v/>
      </c>
    </row>
    <row r="1227">
      <c r="A1227" s="10" t="n">
        <v>5</v>
      </c>
      <c r="B1227" s="10" t="n">
        <v>223</v>
      </c>
      <c r="C1227" s="10" t="n">
        <v>4223</v>
      </c>
      <c r="D1227" s="10" t="inlineStr">
        <is>
          <t>1401106002</t>
        </is>
      </c>
      <c r="E1227" s="26" t="inlineStr">
        <is>
          <t>Cordillera Administrative Region (CAR)</t>
        </is>
      </c>
      <c r="F1227" s="26" t="inlineStr">
        <is>
          <t>Benguet</t>
        </is>
      </c>
      <c r="G1227" s="26" t="inlineStr">
        <is>
          <t>Itogon</t>
        </is>
      </c>
      <c r="H1227" s="26" t="inlineStr">
        <is>
          <t>Dalupirip</t>
        </is>
      </c>
      <c r="I1227" s="27" t="n">
        <v>16.323255</v>
      </c>
      <c r="J1227" s="27" t="n">
        <v>120.722761</v>
      </c>
      <c r="K1227" s="10" t="inlineStr">
        <is>
          <t>R</t>
        </is>
      </c>
      <c r="L1227" s="12" t="n">
        <v>2940</v>
      </c>
      <c r="M1227" s="14" t="n">
        <v>3.5</v>
      </c>
      <c r="N1227" s="12">
        <f>ROUND(L1227/M1227, 0)</f>
        <v/>
      </c>
      <c r="O1227" s="12">
        <f>ROUND(N1227*'Methodology &amp; Assumptions'!$B$5, 0)</f>
        <v/>
      </c>
      <c r="P1227" s="10" t="inlineStr">
        <is>
          <t>Single Carrier (Band n50, 100MHz TDD)</t>
        </is>
      </c>
      <c r="Q1227" s="13">
        <f>ROUNDUP(O1227/'Methodology &amp; Assumptions'!$B$6, 0)</f>
        <v/>
      </c>
      <c r="R1227" s="13" t="n">
        <v>1</v>
      </c>
      <c r="S1227" s="14" t="n">
        <v>5.87</v>
      </c>
      <c r="T1227" s="14" t="n">
        <v>10.18</v>
      </c>
      <c r="U1227" s="26">
        <f>IF(X1227&gt;='Methodology &amp; Assumptions'!$B$7, "Tier 1 Critical GIDA (Score ≥ 50.0)", IF(X1227&gt;='Methodology &amp; Assumptions'!$B$8, "Tier 2 High GIDA (Score 40.0–49.9)", "Tier 3 Moderate GIDA (Score &lt; 40.0)"))</f>
        <v/>
      </c>
      <c r="V1227" s="26">
        <f>IF(S1227&lt;='Methodology &amp; Assumptions'!$B$10, "Direct Optical Drop (&lt;3km)", IF(S1227&lt;='Methodology &amp; Assumptions'!$B$9, "Near Optical / Microwave (&lt;5km)", "Starlink Business LEO Satellite Backhaul (&gt;5km)"))</f>
        <v/>
      </c>
      <c r="W1227" s="28" t="n">
        <v>0.109</v>
      </c>
      <c r="X1227" s="14" t="n">
        <v>43.72</v>
      </c>
      <c r="Y1227" s="14">
        <f>ROUND(MIN(100, (X1227/69.91)*100), 2)</f>
        <v/>
      </c>
    </row>
    <row r="1228">
      <c r="A1228" s="10" t="n">
        <v>5</v>
      </c>
      <c r="B1228" s="10" t="n">
        <v>224</v>
      </c>
      <c r="C1228" s="10" t="n">
        <v>4224</v>
      </c>
      <c r="D1228" s="10" t="inlineStr">
        <is>
          <t>PH0004224</t>
        </is>
      </c>
      <c r="E1228" s="26" t="inlineStr">
        <is>
          <t>VI</t>
        </is>
      </c>
      <c r="F1228" s="26" t="inlineStr">
        <is>
          <t>Iloilo</t>
        </is>
      </c>
      <c r="G1228" s="26" t="inlineStr">
        <is>
          <t>Iloilo City</t>
        </is>
      </c>
      <c r="H1228" s="26" t="inlineStr">
        <is>
          <t>Abeto Mirasol Taft South</t>
        </is>
      </c>
      <c r="I1228" s="27" t="n">
        <v>10.71848</v>
      </c>
      <c r="J1228" s="27" t="n">
        <v>122.543373</v>
      </c>
      <c r="K1228" s="10" t="inlineStr">
        <is>
          <t>R</t>
        </is>
      </c>
      <c r="L1228" s="12" t="n">
        <v>2230</v>
      </c>
      <c r="M1228" s="14" t="n">
        <v>3.8</v>
      </c>
      <c r="N1228" s="12">
        <f>ROUND(L1228/M1228, 0)</f>
        <v/>
      </c>
      <c r="O1228" s="12">
        <f>ROUND(N1228*'Methodology &amp; Assumptions'!$B$5, 0)</f>
        <v/>
      </c>
      <c r="P1228" s="10" t="inlineStr">
        <is>
          <t>Single Carrier (Band n50, 100MHz TDD)</t>
        </is>
      </c>
      <c r="Q1228" s="13">
        <f>ROUNDUP(O1228/'Methodology &amp; Assumptions'!$B$6, 0)</f>
        <v/>
      </c>
      <c r="R1228" s="13" t="n">
        <v>1</v>
      </c>
      <c r="S1228" s="14" t="n">
        <v>2.74</v>
      </c>
      <c r="T1228" s="14" t="n">
        <v>1.7</v>
      </c>
      <c r="U1228" s="26">
        <f>IF(X1228&gt;='Methodology &amp; Assumptions'!$B$7, "Tier 1 Critical GIDA (Score ≥ 50.0)", IF(X1228&gt;='Methodology &amp; Assumptions'!$B$8, "Tier 2 High GIDA (Score 40.0–49.9)", "Tier 3 Moderate GIDA (Score &lt; 40.0)"))</f>
        <v/>
      </c>
      <c r="V1228" s="26">
        <f>IF(S1228&lt;='Methodology &amp; Assumptions'!$B$10, "Direct Optical Drop (&lt;3km)", IF(S1228&lt;='Methodology &amp; Assumptions'!$B$9, "Near Optical / Microwave (&lt;5km)", "Starlink Business LEO Satellite Backhaul (&gt;5km)"))</f>
        <v/>
      </c>
      <c r="W1228" s="28" t="n">
        <v>0.156</v>
      </c>
      <c r="X1228" s="14" t="n">
        <v>43.72</v>
      </c>
      <c r="Y1228" s="14">
        <f>ROUND(MIN(100, (X1228/69.91)*100), 2)</f>
        <v/>
      </c>
    </row>
    <row r="1229">
      <c r="A1229" s="10" t="n">
        <v>5</v>
      </c>
      <c r="B1229" s="10" t="n">
        <v>225</v>
      </c>
      <c r="C1229" s="10" t="n">
        <v>4225</v>
      </c>
      <c r="D1229" s="10" t="inlineStr">
        <is>
          <t>1903607046</t>
        </is>
      </c>
      <c r="E1229" s="26" t="inlineStr">
        <is>
          <t>Bangsamoro Autonomous Region In Muslim Mindanao (BARMM)</t>
        </is>
      </c>
      <c r="F1229" s="26" t="inlineStr">
        <is>
          <t>Lanao del Sur</t>
        </is>
      </c>
      <c r="G1229" s="26" t="inlineStr">
        <is>
          <t>Butig</t>
        </is>
      </c>
      <c r="H1229" s="26" t="inlineStr">
        <is>
          <t>Ragayan</t>
        </is>
      </c>
      <c r="I1229" s="27" t="n">
        <v>17.254782</v>
      </c>
      <c r="J1229" s="27" t="n">
        <v>122.228826</v>
      </c>
      <c r="K1229" s="10" t="inlineStr">
        <is>
          <t>R</t>
        </is>
      </c>
      <c r="L1229" s="12" t="n">
        <v>1319</v>
      </c>
      <c r="M1229" s="14" t="n">
        <v>5.7</v>
      </c>
      <c r="N1229" s="12">
        <f>ROUND(L1229/M1229, 0)</f>
        <v/>
      </c>
      <c r="O1229" s="12">
        <f>ROUND(N1229*'Methodology &amp; Assumptions'!$B$5, 0)</f>
        <v/>
      </c>
      <c r="P1229" s="10" t="inlineStr">
        <is>
          <t>Single Carrier (Band n50, 100MHz TDD)</t>
        </is>
      </c>
      <c r="Q1229" s="13">
        <f>ROUNDUP(O1229/'Methodology &amp; Assumptions'!$B$6, 0)</f>
        <v/>
      </c>
      <c r="R1229" s="13" t="n">
        <v>1</v>
      </c>
      <c r="S1229" s="14" t="n">
        <v>29.41</v>
      </c>
      <c r="T1229" s="14" t="n">
        <v>34.29</v>
      </c>
      <c r="U1229" s="26">
        <f>IF(X1229&gt;='Methodology &amp; Assumptions'!$B$7, "Tier 1 Critical GIDA (Score ≥ 50.0)", IF(X1229&gt;='Methodology &amp; Assumptions'!$B$8, "Tier 2 High GIDA (Score 40.0–49.9)", "Tier 3 Moderate GIDA (Score &lt; 40.0)"))</f>
        <v/>
      </c>
      <c r="V1229" s="26">
        <f>IF(S1229&lt;='Methodology &amp; Assumptions'!$B$10, "Direct Optical Drop (&lt;3km)", IF(S1229&lt;='Methodology &amp; Assumptions'!$B$9, "Near Optical / Microwave (&lt;5km)", "Starlink Business LEO Satellite Backhaul (&gt;5km)"))</f>
        <v/>
      </c>
      <c r="W1229" s="28" t="n">
        <v>0.11</v>
      </c>
      <c r="X1229" s="14" t="n">
        <v>43.7</v>
      </c>
      <c r="Y1229" s="14">
        <f>ROUND(MIN(100, (X1229/69.91)*100), 2)</f>
        <v/>
      </c>
    </row>
    <row r="1230">
      <c r="A1230" s="10" t="n">
        <v>5</v>
      </c>
      <c r="B1230" s="10" t="n">
        <v>226</v>
      </c>
      <c r="C1230" s="10" t="n">
        <v>4226</v>
      </c>
      <c r="D1230" s="10" t="inlineStr">
        <is>
          <t>1102504004</t>
        </is>
      </c>
      <c r="E1230" s="26" t="inlineStr">
        <is>
          <t>Region XI (Davao Region)</t>
        </is>
      </c>
      <c r="F1230" s="26" t="inlineStr">
        <is>
          <t>Davao Oriental</t>
        </is>
      </c>
      <c r="G1230" s="26" t="inlineStr">
        <is>
          <t>Caraga</t>
        </is>
      </c>
      <c r="H1230" s="26" t="inlineStr">
        <is>
          <t>Don Leon Balante</t>
        </is>
      </c>
      <c r="I1230" s="27" t="n">
        <v>7.32976</v>
      </c>
      <c r="J1230" s="27" t="n">
        <v>126.517069</v>
      </c>
      <c r="K1230" s="10" t="inlineStr">
        <is>
          <t>R</t>
        </is>
      </c>
      <c r="L1230" s="12" t="n">
        <v>1059</v>
      </c>
      <c r="M1230" s="14" t="n">
        <v>3.6</v>
      </c>
      <c r="N1230" s="12">
        <f>ROUND(L1230/M1230, 0)</f>
        <v/>
      </c>
      <c r="O1230" s="12">
        <f>ROUND(N1230*'Methodology &amp; Assumptions'!$B$5, 0)</f>
        <v/>
      </c>
      <c r="P1230" s="10" t="inlineStr">
        <is>
          <t>Single Carrier (Band n50, 100MHz TDD)</t>
        </is>
      </c>
      <c r="Q1230" s="13">
        <f>ROUNDUP(O1230/'Methodology &amp; Assumptions'!$B$6, 0)</f>
        <v/>
      </c>
      <c r="R1230" s="13" t="n">
        <v>1</v>
      </c>
      <c r="S1230" s="14" t="n">
        <v>53.33</v>
      </c>
      <c r="T1230" s="14" t="n">
        <v>52.11</v>
      </c>
      <c r="U1230" s="26">
        <f>IF(X1230&gt;='Methodology &amp; Assumptions'!$B$7, "Tier 1 Critical GIDA (Score ≥ 50.0)", IF(X1230&gt;='Methodology &amp; Assumptions'!$B$8, "Tier 2 High GIDA (Score 40.0–49.9)", "Tier 3 Moderate GIDA (Score &lt; 40.0)"))</f>
        <v/>
      </c>
      <c r="V1230" s="26">
        <f>IF(S1230&lt;='Methodology &amp; Assumptions'!$B$10, "Direct Optical Drop (&lt;3km)", IF(S1230&lt;='Methodology &amp; Assumptions'!$B$9, "Near Optical / Microwave (&lt;5km)", "Starlink Business LEO Satellite Backhaul (&gt;5km)"))</f>
        <v/>
      </c>
      <c r="W1230" s="28" t="n">
        <v>0.174</v>
      </c>
      <c r="X1230" s="14" t="n">
        <v>43.69</v>
      </c>
      <c r="Y1230" s="14">
        <f>ROUND(MIN(100, (X1230/69.91)*100), 2)</f>
        <v/>
      </c>
    </row>
    <row r="1231">
      <c r="A1231" s="10" t="n">
        <v>5</v>
      </c>
      <c r="B1231" s="10" t="n">
        <v>227</v>
      </c>
      <c r="C1231" s="10" t="n">
        <v>4227</v>
      </c>
      <c r="D1231" s="10" t="inlineStr">
        <is>
          <t>0102934035</t>
        </is>
      </c>
      <c r="E1231" s="26" t="inlineStr">
        <is>
          <t>Region I (Ilocos Region)</t>
        </is>
      </c>
      <c r="F1231" s="26" t="inlineStr">
        <is>
          <t>Ilocos Sur</t>
        </is>
      </c>
      <c r="G1231" s="26" t="inlineStr">
        <is>
          <t>City of Vigan</t>
        </is>
      </c>
      <c r="H1231" s="26" t="inlineStr">
        <is>
          <t>San Julian Sur</t>
        </is>
      </c>
      <c r="I1231" s="27" t="n">
        <v>17.578816</v>
      </c>
      <c r="J1231" s="27" t="n">
        <v>120.390108</v>
      </c>
      <c r="K1231" s="10" t="inlineStr">
        <is>
          <t>R</t>
        </is>
      </c>
      <c r="L1231" s="12" t="n">
        <v>1387</v>
      </c>
      <c r="M1231" s="14" t="n">
        <v>3.8</v>
      </c>
      <c r="N1231" s="12">
        <f>ROUND(L1231/M1231, 0)</f>
        <v/>
      </c>
      <c r="O1231" s="12">
        <f>ROUND(N1231*'Methodology &amp; Assumptions'!$B$5, 0)</f>
        <v/>
      </c>
      <c r="P1231" s="10" t="inlineStr">
        <is>
          <t>Single Carrier (Band n50, 100MHz TDD)</t>
        </is>
      </c>
      <c r="Q1231" s="13">
        <f>ROUNDUP(O1231/'Methodology &amp; Assumptions'!$B$6, 0)</f>
        <v/>
      </c>
      <c r="R1231" s="13" t="n">
        <v>1</v>
      </c>
      <c r="S1231" s="14" t="n">
        <v>1.64</v>
      </c>
      <c r="T1231" s="14" t="n">
        <v>0.23</v>
      </c>
      <c r="U1231" s="26">
        <f>IF(X1231&gt;='Methodology &amp; Assumptions'!$B$7, "Tier 1 Critical GIDA (Score ≥ 50.0)", IF(X1231&gt;='Methodology &amp; Assumptions'!$B$8, "Tier 2 High GIDA (Score 40.0–49.9)", "Tier 3 Moderate GIDA (Score &lt; 40.0)"))</f>
        <v/>
      </c>
      <c r="V1231" s="26">
        <f>IF(S1231&lt;='Methodology &amp; Assumptions'!$B$10, "Direct Optical Drop (&lt;3km)", IF(S1231&lt;='Methodology &amp; Assumptions'!$B$9, "Near Optical / Microwave (&lt;5km)", "Starlink Business LEO Satellite Backhaul (&gt;5km)"))</f>
        <v/>
      </c>
      <c r="W1231" s="28" t="n">
        <v>0.083</v>
      </c>
      <c r="X1231" s="14" t="n">
        <v>43.68</v>
      </c>
      <c r="Y1231" s="14">
        <f>ROUND(MIN(100, (X1231/69.91)*100), 2)</f>
        <v/>
      </c>
    </row>
    <row r="1232">
      <c r="A1232" s="10" t="n">
        <v>5</v>
      </c>
      <c r="B1232" s="10" t="n">
        <v>228</v>
      </c>
      <c r="C1232" s="10" t="n">
        <v>4228</v>
      </c>
      <c r="D1232" s="10" t="inlineStr">
        <is>
          <t>1400113003</t>
        </is>
      </c>
      <c r="E1232" s="26" t="inlineStr">
        <is>
          <t>Cordillera Administrative Region (CAR)</t>
        </is>
      </c>
      <c r="F1232" s="26" t="inlineStr">
        <is>
          <t>Abra</t>
        </is>
      </c>
      <c r="G1232" s="26" t="inlineStr">
        <is>
          <t>Licuan-Baay</t>
        </is>
      </c>
      <c r="H1232" s="26" t="inlineStr">
        <is>
          <t>Cawayan</t>
        </is>
      </c>
      <c r="I1232" s="27" t="n">
        <v>17.597281</v>
      </c>
      <c r="J1232" s="27" t="n">
        <v>120.909634</v>
      </c>
      <c r="K1232" s="10" t="inlineStr">
        <is>
          <t>R</t>
        </is>
      </c>
      <c r="L1232" s="12" t="n">
        <v>419</v>
      </c>
      <c r="M1232" s="14" t="n">
        <v>3.8</v>
      </c>
      <c r="N1232" s="12">
        <f>ROUND(L1232/M1232, 0)</f>
        <v/>
      </c>
      <c r="O1232" s="12">
        <f>ROUND(N1232*'Methodology &amp; Assumptions'!$B$5, 0)</f>
        <v/>
      </c>
      <c r="P1232" s="10" t="inlineStr">
        <is>
          <t>Single Carrier (Band n50, 100MHz TDD)</t>
        </is>
      </c>
      <c r="Q1232" s="13">
        <f>ROUNDUP(O1232/'Methodology &amp; Assumptions'!$B$6, 0)</f>
        <v/>
      </c>
      <c r="R1232" s="13" t="n">
        <v>1</v>
      </c>
      <c r="S1232" s="14" t="n">
        <v>26.74</v>
      </c>
      <c r="T1232" s="14" t="n">
        <v>26.72</v>
      </c>
      <c r="U1232" s="26">
        <f>IF(X1232&gt;='Methodology &amp; Assumptions'!$B$7, "Tier 1 Critical GIDA (Score ≥ 50.0)", IF(X1232&gt;='Methodology &amp; Assumptions'!$B$8, "Tier 2 High GIDA (Score 40.0–49.9)", "Tier 3 Moderate GIDA (Score &lt; 40.0)"))</f>
        <v/>
      </c>
      <c r="V1232" s="26">
        <f>IF(S1232&lt;='Methodology &amp; Assumptions'!$B$10, "Direct Optical Drop (&lt;3km)", IF(S1232&lt;='Methodology &amp; Assumptions'!$B$9, "Near Optical / Microwave (&lt;5km)", "Starlink Business LEO Satellite Backhaul (&gt;5km)"))</f>
        <v/>
      </c>
      <c r="W1232" s="28" t="n">
        <v>0.109</v>
      </c>
      <c r="X1232" s="14" t="n">
        <v>43.68</v>
      </c>
      <c r="Y1232" s="14">
        <f>ROUND(MIN(100, (X1232/69.91)*100), 2)</f>
        <v/>
      </c>
    </row>
    <row r="1233">
      <c r="A1233" s="10" t="n">
        <v>5</v>
      </c>
      <c r="B1233" s="10" t="n">
        <v>229</v>
      </c>
      <c r="C1233" s="10" t="n">
        <v>4229</v>
      </c>
      <c r="D1233" s="10" t="inlineStr">
        <is>
          <t>PH0004229</t>
        </is>
      </c>
      <c r="E1233" s="26" t="inlineStr">
        <is>
          <t>IV-A</t>
        </is>
      </c>
      <c r="F1233" s="26" t="inlineStr">
        <is>
          <t>Laguna</t>
        </is>
      </c>
      <c r="G1233" s="26" t="inlineStr">
        <is>
          <t>San Pablo City</t>
        </is>
      </c>
      <c r="H1233" s="26" t="inlineStr">
        <is>
          <t>Barangay II-F (Pob.)</t>
        </is>
      </c>
      <c r="I1233" s="27" t="n">
        <v>14.060079</v>
      </c>
      <c r="J1233" s="27" t="n">
        <v>121.322992</v>
      </c>
      <c r="K1233" s="10" t="inlineStr">
        <is>
          <t>R</t>
        </is>
      </c>
      <c r="L1233" s="12" t="n">
        <v>2412</v>
      </c>
      <c r="M1233" s="14" t="n">
        <v>3.3</v>
      </c>
      <c r="N1233" s="12">
        <f>ROUND(L1233/M1233, 0)</f>
        <v/>
      </c>
      <c r="O1233" s="12">
        <f>ROUND(N1233*'Methodology &amp; Assumptions'!$B$5, 0)</f>
        <v/>
      </c>
      <c r="P1233" s="10" t="inlineStr">
        <is>
          <t>Single Carrier (Band n50, 100MHz TDD)</t>
        </is>
      </c>
      <c r="Q1233" s="13">
        <f>ROUNDUP(O1233/'Methodology &amp; Assumptions'!$B$6, 0)</f>
        <v/>
      </c>
      <c r="R1233" s="13" t="n">
        <v>1</v>
      </c>
      <c r="S1233" s="14" t="n">
        <v>0.71</v>
      </c>
      <c r="T1233" s="14" t="n">
        <v>0.47</v>
      </c>
      <c r="U1233" s="26">
        <f>IF(X1233&gt;='Methodology &amp; Assumptions'!$B$7, "Tier 1 Critical GIDA (Score ≥ 50.0)", IF(X1233&gt;='Methodology &amp; Assumptions'!$B$8, "Tier 2 High GIDA (Score 40.0–49.9)", "Tier 3 Moderate GIDA (Score &lt; 40.0)"))</f>
        <v/>
      </c>
      <c r="V1233" s="26">
        <f>IF(S1233&lt;='Methodology &amp; Assumptions'!$B$10, "Direct Optical Drop (&lt;3km)", IF(S1233&lt;='Methodology &amp; Assumptions'!$B$9, "Near Optical / Microwave (&lt;5km)", "Starlink Business LEO Satellite Backhaul (&gt;5km)"))</f>
        <v/>
      </c>
      <c r="W1233" s="28" t="n">
        <v>0.07200000000000001</v>
      </c>
      <c r="X1233" s="14" t="n">
        <v>43.68</v>
      </c>
      <c r="Y1233" s="14">
        <f>ROUND(MIN(100, (X1233/69.91)*100), 2)</f>
        <v/>
      </c>
    </row>
    <row r="1234">
      <c r="A1234" s="10" t="n">
        <v>5</v>
      </c>
      <c r="B1234" s="10" t="n">
        <v>230</v>
      </c>
      <c r="C1234" s="10" t="n">
        <v>4230</v>
      </c>
      <c r="D1234" s="10" t="inlineStr">
        <is>
          <t>PH0004230</t>
        </is>
      </c>
      <c r="E1234" s="26" t="inlineStr">
        <is>
          <t>VII</t>
        </is>
      </c>
      <c r="F1234" s="26" t="inlineStr">
        <is>
          <t>Cebu</t>
        </is>
      </c>
      <c r="G1234" s="26" t="inlineStr">
        <is>
          <t>Cebu City</t>
        </is>
      </c>
      <c r="H1234" s="26" t="inlineStr">
        <is>
          <t>Santa Cruz (Pob.)</t>
        </is>
      </c>
      <c r="I1234" s="27" t="n">
        <v>10.351704</v>
      </c>
      <c r="J1234" s="27" t="n">
        <v>123.861792</v>
      </c>
      <c r="K1234" s="10" t="inlineStr">
        <is>
          <t>R</t>
        </is>
      </c>
      <c r="L1234" s="12" t="n">
        <v>2250</v>
      </c>
      <c r="M1234" s="14" t="n">
        <v>3.8</v>
      </c>
      <c r="N1234" s="12">
        <f>ROUND(L1234/M1234, 0)</f>
        <v/>
      </c>
      <c r="O1234" s="12">
        <f>ROUND(N1234*'Methodology &amp; Assumptions'!$B$5, 0)</f>
        <v/>
      </c>
      <c r="P1234" s="10" t="inlineStr">
        <is>
          <t>Single Carrier (Band n50, 100MHz TDD)</t>
        </is>
      </c>
      <c r="Q1234" s="13">
        <f>ROUNDUP(O1234/'Methodology &amp; Assumptions'!$B$6, 0)</f>
        <v/>
      </c>
      <c r="R1234" s="13" t="n">
        <v>1</v>
      </c>
      <c r="S1234" s="14" t="n">
        <v>3.15</v>
      </c>
      <c r="T1234" s="14" t="n">
        <v>5.83</v>
      </c>
      <c r="U1234" s="26">
        <f>IF(X1234&gt;='Methodology &amp; Assumptions'!$B$7, "Tier 1 Critical GIDA (Score ≥ 50.0)", IF(X1234&gt;='Methodology &amp; Assumptions'!$B$8, "Tier 2 High GIDA (Score 40.0–49.9)", "Tier 3 Moderate GIDA (Score &lt; 40.0)"))</f>
        <v/>
      </c>
      <c r="V1234" s="26">
        <f>IF(S1234&lt;='Methodology &amp; Assumptions'!$B$10, "Direct Optical Drop (&lt;3km)", IF(S1234&lt;='Methodology &amp; Assumptions'!$B$9, "Near Optical / Microwave (&lt;5km)", "Starlink Business LEO Satellite Backhaul (&gt;5km)"))</f>
        <v/>
      </c>
      <c r="W1234" s="28" t="n">
        <v>0.21</v>
      </c>
      <c r="X1234" s="14" t="n">
        <v>43.68</v>
      </c>
      <c r="Y1234" s="14">
        <f>ROUND(MIN(100, (X1234/69.91)*100), 2)</f>
        <v/>
      </c>
    </row>
    <row r="1235">
      <c r="A1235" s="10" t="n">
        <v>5</v>
      </c>
      <c r="B1235" s="10" t="n">
        <v>231</v>
      </c>
      <c r="C1235" s="10" t="n">
        <v>4231</v>
      </c>
      <c r="D1235" s="10" t="inlineStr">
        <is>
          <t>0401029028</t>
        </is>
      </c>
      <c r="E1235" s="26" t="inlineStr">
        <is>
          <t>Region IV-A (CALABARZON)</t>
        </is>
      </c>
      <c r="F1235" s="26" t="inlineStr">
        <is>
          <t>Batangas</t>
        </is>
      </c>
      <c r="G1235" s="26" t="inlineStr">
        <is>
          <t>Taal</t>
        </is>
      </c>
      <c r="H1235" s="26" t="inlineStr">
        <is>
          <t>Poblacion 4</t>
        </is>
      </c>
      <c r="I1235" s="27" t="n">
        <v>13.884524</v>
      </c>
      <c r="J1235" s="27" t="n">
        <v>120.936289</v>
      </c>
      <c r="K1235" s="10" t="inlineStr">
        <is>
          <t>R</t>
        </is>
      </c>
      <c r="L1235" s="12" t="n">
        <v>309</v>
      </c>
      <c r="M1235" s="14" t="n">
        <v>3.6</v>
      </c>
      <c r="N1235" s="12">
        <f>ROUND(L1235/M1235, 0)</f>
        <v/>
      </c>
      <c r="O1235" s="12">
        <f>ROUND(N1235*'Methodology &amp; Assumptions'!$B$5, 0)</f>
        <v/>
      </c>
      <c r="P1235" s="10" t="inlineStr">
        <is>
          <t>Single Carrier (Band n50, 100MHz TDD)</t>
        </is>
      </c>
      <c r="Q1235" s="13">
        <f>ROUNDUP(O1235/'Methodology &amp; Assumptions'!$B$6, 0)</f>
        <v/>
      </c>
      <c r="R1235" s="13" t="n">
        <v>1</v>
      </c>
      <c r="S1235" s="14" t="n">
        <v>1.93</v>
      </c>
      <c r="T1235" s="14" t="n">
        <v>0.37</v>
      </c>
      <c r="U1235" s="26">
        <f>IF(X1235&gt;='Methodology &amp; Assumptions'!$B$7, "Tier 1 Critical GIDA (Score ≥ 50.0)", IF(X1235&gt;='Methodology &amp; Assumptions'!$B$8, "Tier 2 High GIDA (Score 40.0–49.9)", "Tier 3 Moderate GIDA (Score &lt; 40.0)"))</f>
        <v/>
      </c>
      <c r="V1235" s="26">
        <f>IF(S1235&lt;='Methodology &amp; Assumptions'!$B$10, "Direct Optical Drop (&lt;3km)", IF(S1235&lt;='Methodology &amp; Assumptions'!$B$9, "Near Optical / Microwave (&lt;5km)", "Starlink Business LEO Satellite Backhaul (&gt;5km)"))</f>
        <v/>
      </c>
      <c r="W1235" s="28" t="n">
        <v>0.07200000000000001</v>
      </c>
      <c r="X1235" s="14" t="n">
        <v>43.67</v>
      </c>
      <c r="Y1235" s="14">
        <f>ROUND(MIN(100, (X1235/69.91)*100), 2)</f>
        <v/>
      </c>
    </row>
    <row r="1236">
      <c r="A1236" s="10" t="n">
        <v>5</v>
      </c>
      <c r="B1236" s="10" t="n">
        <v>232</v>
      </c>
      <c r="C1236" s="10" t="n">
        <v>4232</v>
      </c>
      <c r="D1236" s="10" t="inlineStr">
        <is>
          <t>0601901015</t>
        </is>
      </c>
      <c r="E1236" s="26" t="inlineStr">
        <is>
          <t>Region VI (Western Visayas)</t>
        </is>
      </c>
      <c r="F1236" s="26" t="inlineStr">
        <is>
          <t>Capiz</t>
        </is>
      </c>
      <c r="G1236" s="26" t="inlineStr">
        <is>
          <t>Cuartero</t>
        </is>
      </c>
      <c r="H1236" s="26" t="inlineStr">
        <is>
          <t>Malagab-i</t>
        </is>
      </c>
      <c r="I1236" s="27" t="n">
        <v>11.325</v>
      </c>
      <c r="J1236" s="27" t="n">
        <v>122.6921</v>
      </c>
      <c r="K1236" s="10" t="inlineStr">
        <is>
          <t>R</t>
        </is>
      </c>
      <c r="L1236" s="12" t="n">
        <v>1776</v>
      </c>
      <c r="M1236" s="14" t="n">
        <v>3.8</v>
      </c>
      <c r="N1236" s="12">
        <f>ROUND(L1236/M1236, 0)</f>
        <v/>
      </c>
      <c r="O1236" s="12">
        <f>ROUND(N1236*'Methodology &amp; Assumptions'!$B$5, 0)</f>
        <v/>
      </c>
      <c r="P1236" s="10" t="inlineStr">
        <is>
          <t>Single Carrier (Band n50, 100MHz TDD)</t>
        </is>
      </c>
      <c r="Q1236" s="13">
        <f>ROUNDUP(O1236/'Methodology &amp; Assumptions'!$B$6, 0)</f>
        <v/>
      </c>
      <c r="R1236" s="13" t="n">
        <v>1</v>
      </c>
      <c r="S1236" s="14" t="n">
        <v>7.78</v>
      </c>
      <c r="T1236" s="14" t="n">
        <v>2.34</v>
      </c>
      <c r="U1236" s="26">
        <f>IF(X1236&gt;='Methodology &amp; Assumptions'!$B$7, "Tier 1 Critical GIDA (Score ≥ 50.0)", IF(X1236&gt;='Methodology &amp; Assumptions'!$B$8, "Tier 2 High GIDA (Score 40.0–49.9)", "Tier 3 Moderate GIDA (Score &lt; 40.0)"))</f>
        <v/>
      </c>
      <c r="V1236" s="26">
        <f>IF(S1236&lt;='Methodology &amp; Assumptions'!$B$10, "Direct Optical Drop (&lt;3km)", IF(S1236&lt;='Methodology &amp; Assumptions'!$B$9, "Near Optical / Microwave (&lt;5km)", "Starlink Business LEO Satellite Backhaul (&gt;5km)"))</f>
        <v/>
      </c>
      <c r="W1236" s="28" t="n">
        <v>0.237</v>
      </c>
      <c r="X1236" s="14" t="n">
        <v>43.67</v>
      </c>
      <c r="Y1236" s="14">
        <f>ROUND(MIN(100, (X1236/69.91)*100), 2)</f>
        <v/>
      </c>
    </row>
    <row r="1237">
      <c r="A1237" s="10" t="n">
        <v>5</v>
      </c>
      <c r="B1237" s="10" t="n">
        <v>233</v>
      </c>
      <c r="C1237" s="10" t="n">
        <v>4233</v>
      </c>
      <c r="D1237" s="10" t="inlineStr">
        <is>
          <t>1907011015</t>
        </is>
      </c>
      <c r="E1237" s="26" t="inlineStr">
        <is>
          <t>Bangsamoro Autonomous Region In Muslim Mindanao (BARMM)</t>
        </is>
      </c>
      <c r="F1237" s="26" t="inlineStr">
        <is>
          <t>Tawi-Tawi</t>
        </is>
      </c>
      <c r="G1237" s="26" t="inlineStr">
        <is>
          <t>Sibutu</t>
        </is>
      </c>
      <c r="H1237" s="26" t="inlineStr">
        <is>
          <t>Tongsibalo</t>
        </is>
      </c>
      <c r="I1237" s="27" t="n">
        <v>17.25582</v>
      </c>
      <c r="J1237" s="27" t="n">
        <v>122.229864</v>
      </c>
      <c r="K1237" s="10" t="inlineStr">
        <is>
          <t>R</t>
        </is>
      </c>
      <c r="L1237" s="12" t="n">
        <v>2530</v>
      </c>
      <c r="M1237" s="14" t="n">
        <v>5.8</v>
      </c>
      <c r="N1237" s="12">
        <f>ROUND(L1237/M1237, 0)</f>
        <v/>
      </c>
      <c r="O1237" s="12">
        <f>ROUND(N1237*'Methodology &amp; Assumptions'!$B$5, 0)</f>
        <v/>
      </c>
      <c r="P1237" s="10" t="inlineStr">
        <is>
          <t>Single Carrier (Band n50, 100MHz TDD)</t>
        </is>
      </c>
      <c r="Q1237" s="13">
        <f>ROUNDUP(O1237/'Methodology &amp; Assumptions'!$B$6, 0)</f>
        <v/>
      </c>
      <c r="R1237" s="13" t="n">
        <v>1</v>
      </c>
      <c r="S1237" s="14" t="n">
        <v>29.56</v>
      </c>
      <c r="T1237" s="14" t="n">
        <v>34.43</v>
      </c>
      <c r="U1237" s="26">
        <f>IF(X1237&gt;='Methodology &amp; Assumptions'!$B$7, "Tier 1 Critical GIDA (Score ≥ 50.0)", IF(X1237&gt;='Methodology &amp; Assumptions'!$B$8, "Tier 2 High GIDA (Score 40.0–49.9)", "Tier 3 Moderate GIDA (Score &lt; 40.0)"))</f>
        <v/>
      </c>
      <c r="V1237" s="26">
        <f>IF(S1237&lt;='Methodology &amp; Assumptions'!$B$10, "Direct Optical Drop (&lt;3km)", IF(S1237&lt;='Methodology &amp; Assumptions'!$B$9, "Near Optical / Microwave (&lt;5km)", "Starlink Business LEO Satellite Backhaul (&gt;5km)"))</f>
        <v/>
      </c>
      <c r="W1237" s="28" t="n">
        <v>0.11</v>
      </c>
      <c r="X1237" s="14" t="n">
        <v>43.67</v>
      </c>
      <c r="Y1237" s="14">
        <f>ROUND(MIN(100, (X1237/69.91)*100), 2)</f>
        <v/>
      </c>
    </row>
    <row r="1238">
      <c r="A1238" s="10" t="n">
        <v>5</v>
      </c>
      <c r="B1238" s="10" t="n">
        <v>234</v>
      </c>
      <c r="C1238" s="10" t="n">
        <v>4234</v>
      </c>
      <c r="D1238" s="10" t="inlineStr">
        <is>
          <t>PH0004234</t>
        </is>
      </c>
      <c r="E1238" s="26" t="inlineStr">
        <is>
          <t>VIII</t>
        </is>
      </c>
      <c r="F1238" s="26" t="inlineStr">
        <is>
          <t>Leyte</t>
        </is>
      </c>
      <c r="G1238" s="26" t="inlineStr">
        <is>
          <t>Tacloban City</t>
        </is>
      </c>
      <c r="H1238" s="26" t="inlineStr">
        <is>
          <t>Barangay 56</t>
        </is>
      </c>
      <c r="I1238" s="27" t="n">
        <v>11.338944</v>
      </c>
      <c r="J1238" s="27" t="n">
        <v>124.979214</v>
      </c>
      <c r="K1238" s="10" t="inlineStr">
        <is>
          <t>R</t>
        </is>
      </c>
      <c r="L1238" s="12" t="n">
        <v>2258</v>
      </c>
      <c r="M1238" s="14" t="n">
        <v>3.8</v>
      </c>
      <c r="N1238" s="12">
        <f>ROUND(L1238/M1238, 0)</f>
        <v/>
      </c>
      <c r="O1238" s="12">
        <f>ROUND(N1238*'Methodology &amp; Assumptions'!$B$5, 0)</f>
        <v/>
      </c>
      <c r="P1238" s="10" t="inlineStr">
        <is>
          <t>Single Carrier (Band n50, 100MHz TDD)</t>
        </is>
      </c>
      <c r="Q1238" s="13">
        <f>ROUNDUP(O1238/'Methodology &amp; Assumptions'!$B$6, 0)</f>
        <v/>
      </c>
      <c r="R1238" s="13" t="n">
        <v>1</v>
      </c>
      <c r="S1238" s="14" t="n">
        <v>11.33</v>
      </c>
      <c r="T1238" s="14" t="n">
        <v>14.44</v>
      </c>
      <c r="U1238" s="26">
        <f>IF(X1238&gt;='Methodology &amp; Assumptions'!$B$7, "Tier 1 Critical GIDA (Score ≥ 50.0)", IF(X1238&gt;='Methodology &amp; Assumptions'!$B$8, "Tier 2 High GIDA (Score 40.0–49.9)", "Tier 3 Moderate GIDA (Score &lt; 40.0)"))</f>
        <v/>
      </c>
      <c r="V1238" s="26">
        <f>IF(S1238&lt;='Methodology &amp; Assumptions'!$B$10, "Direct Optical Drop (&lt;3km)", IF(S1238&lt;='Methodology &amp; Assumptions'!$B$9, "Near Optical / Microwave (&lt;5km)", "Starlink Business LEO Satellite Backhaul (&gt;5km)"))</f>
        <v/>
      </c>
      <c r="W1238" s="28" t="n">
        <v>0.222</v>
      </c>
      <c r="X1238" s="14" t="n">
        <v>43.67</v>
      </c>
      <c r="Y1238" s="14">
        <f>ROUND(MIN(100, (X1238/69.91)*100), 2)</f>
        <v/>
      </c>
    </row>
    <row r="1239">
      <c r="A1239" s="10" t="n">
        <v>5</v>
      </c>
      <c r="B1239" s="10" t="n">
        <v>235</v>
      </c>
      <c r="C1239" s="10" t="n">
        <v>4235</v>
      </c>
      <c r="D1239" s="10" t="inlineStr">
        <is>
          <t>0806403009</t>
        </is>
      </c>
      <c r="E1239" s="26" t="inlineStr">
        <is>
          <t>Region VIII (Eastern Visayas)</t>
        </is>
      </c>
      <c r="F1239" s="26" t="inlineStr">
        <is>
          <t>Southern Leyte</t>
        </is>
      </c>
      <c r="G1239" s="26" t="inlineStr">
        <is>
          <t>Hinunangan</t>
        </is>
      </c>
      <c r="H1239" s="26" t="inlineStr">
        <is>
          <t>Calinao</t>
        </is>
      </c>
      <c r="I1239" s="27" t="n">
        <v>10.381015</v>
      </c>
      <c r="J1239" s="27" t="n">
        <v>125.124578</v>
      </c>
      <c r="K1239" s="10" t="inlineStr">
        <is>
          <t>R</t>
        </is>
      </c>
      <c r="L1239" s="12" t="n">
        <v>220</v>
      </c>
      <c r="M1239" s="14" t="n">
        <v>4.1</v>
      </c>
      <c r="N1239" s="12">
        <f>ROUND(L1239/M1239, 0)</f>
        <v/>
      </c>
      <c r="O1239" s="12">
        <f>ROUND(N1239*'Methodology &amp; Assumptions'!$B$5, 0)</f>
        <v/>
      </c>
      <c r="P1239" s="10" t="inlineStr">
        <is>
          <t>Single Carrier (Band n50, 100MHz TDD)</t>
        </is>
      </c>
      <c r="Q1239" s="13">
        <f>ROUNDUP(O1239/'Methodology &amp; Assumptions'!$B$6, 0)</f>
        <v/>
      </c>
      <c r="R1239" s="13" t="n">
        <v>1</v>
      </c>
      <c r="S1239" s="14" t="n">
        <v>15.57</v>
      </c>
      <c r="T1239" s="14" t="n">
        <v>13.6</v>
      </c>
      <c r="U1239" s="26">
        <f>IF(X1239&gt;='Methodology &amp; Assumptions'!$B$7, "Tier 1 Critical GIDA (Score ≥ 50.0)", IF(X1239&gt;='Methodology &amp; Assumptions'!$B$8, "Tier 2 High GIDA (Score 40.0–49.9)", "Tier 3 Moderate GIDA (Score &lt; 40.0)"))</f>
        <v/>
      </c>
      <c r="V1239" s="26">
        <f>IF(S1239&lt;='Methodology &amp; Assumptions'!$B$10, "Direct Optical Drop (&lt;3km)", IF(S1239&lt;='Methodology &amp; Assumptions'!$B$9, "Near Optical / Microwave (&lt;5km)", "Starlink Business LEO Satellite Backhaul (&gt;5km)"))</f>
        <v/>
      </c>
      <c r="W1239" s="28" t="n">
        <v>0.237</v>
      </c>
      <c r="X1239" s="14" t="n">
        <v>43.67</v>
      </c>
      <c r="Y1239" s="14">
        <f>ROUND(MIN(100, (X1239/69.91)*100), 2)</f>
        <v/>
      </c>
    </row>
    <row r="1240">
      <c r="A1240" s="10" t="n">
        <v>5</v>
      </c>
      <c r="B1240" s="10" t="n">
        <v>236</v>
      </c>
      <c r="C1240" s="10" t="n">
        <v>4236</v>
      </c>
      <c r="D1240" s="10" t="inlineStr">
        <is>
          <t>1705318006</t>
        </is>
      </c>
      <c r="E1240" s="26" t="inlineStr">
        <is>
          <t>MIMAROPA Region</t>
        </is>
      </c>
      <c r="F1240" s="26" t="inlineStr">
        <is>
          <t>Palawan</t>
        </is>
      </c>
      <c r="G1240" s="26" t="inlineStr">
        <is>
          <t>Roxas</t>
        </is>
      </c>
      <c r="H1240" s="26" t="inlineStr">
        <is>
          <t>Iraan</t>
        </is>
      </c>
      <c r="I1240" s="27" t="n">
        <v>10.43864</v>
      </c>
      <c r="J1240" s="27" t="n">
        <v>119.35772</v>
      </c>
      <c r="K1240" s="10" t="inlineStr">
        <is>
          <t>R</t>
        </is>
      </c>
      <c r="L1240" s="12" t="n">
        <v>774</v>
      </c>
      <c r="M1240" s="14" t="n">
        <v>3.9</v>
      </c>
      <c r="N1240" s="12">
        <f>ROUND(L1240/M1240, 0)</f>
        <v/>
      </c>
      <c r="O1240" s="12">
        <f>ROUND(N1240*'Methodology &amp; Assumptions'!$B$5, 0)</f>
        <v/>
      </c>
      <c r="P1240" s="10" t="inlineStr">
        <is>
          <t>Single Carrier (Band n50, 100MHz TDD)</t>
        </is>
      </c>
      <c r="Q1240" s="13">
        <f>ROUNDUP(O1240/'Methodology &amp; Assumptions'!$B$6, 0)</f>
        <v/>
      </c>
      <c r="R1240" s="13" t="n">
        <v>1</v>
      </c>
      <c r="S1240" s="14" t="n">
        <v>13.52</v>
      </c>
      <c r="T1240" s="14" t="n">
        <v>1.71</v>
      </c>
      <c r="U1240" s="26">
        <f>IF(X1240&gt;='Methodology &amp; Assumptions'!$B$7, "Tier 1 Critical GIDA (Score ≥ 50.0)", IF(X1240&gt;='Methodology &amp; Assumptions'!$B$8, "Tier 2 High GIDA (Score 40.0–49.9)", "Tier 3 Moderate GIDA (Score &lt; 40.0)"))</f>
        <v/>
      </c>
      <c r="V1240" s="26">
        <f>IF(S1240&lt;='Methodology &amp; Assumptions'!$B$10, "Direct Optical Drop (&lt;3km)", IF(S1240&lt;='Methodology &amp; Assumptions'!$B$9, "Near Optical / Microwave (&lt;5km)", "Starlink Business LEO Satellite Backhaul (&gt;5km)"))</f>
        <v/>
      </c>
      <c r="W1240" s="28" t="n">
        <v>0.15</v>
      </c>
      <c r="X1240" s="14" t="n">
        <v>43.66</v>
      </c>
      <c r="Y1240" s="14">
        <f>ROUND(MIN(100, (X1240/69.91)*100), 2)</f>
        <v/>
      </c>
    </row>
    <row r="1241">
      <c r="A1241" s="10" t="n">
        <v>5</v>
      </c>
      <c r="B1241" s="10" t="n">
        <v>237</v>
      </c>
      <c r="C1241" s="10" t="n">
        <v>4237</v>
      </c>
      <c r="D1241" s="10" t="inlineStr">
        <is>
          <t>1403211017</t>
        </is>
      </c>
      <c r="E1241" s="26" t="inlineStr">
        <is>
          <t>Cordillera Administrative Region (CAR)</t>
        </is>
      </c>
      <c r="F1241" s="26" t="inlineStr">
        <is>
          <t>Kalinga</t>
        </is>
      </c>
      <c r="G1241" s="26" t="inlineStr">
        <is>
          <t>Rizal</t>
        </is>
      </c>
      <c r="H1241" s="26" t="inlineStr">
        <is>
          <t>Romualdez</t>
        </is>
      </c>
      <c r="I1241" s="27" t="n">
        <v>17.431764</v>
      </c>
      <c r="J1241" s="27" t="n">
        <v>121.615442</v>
      </c>
      <c r="K1241" s="10" t="inlineStr">
        <is>
          <t>R</t>
        </is>
      </c>
      <c r="L1241" s="12" t="n">
        <v>834</v>
      </c>
      <c r="M1241" s="14" t="n">
        <v>3.6</v>
      </c>
      <c r="N1241" s="12">
        <f>ROUND(L1241/M1241, 0)</f>
        <v/>
      </c>
      <c r="O1241" s="12">
        <f>ROUND(N1241*'Methodology &amp; Assumptions'!$B$5, 0)</f>
        <v/>
      </c>
      <c r="P1241" s="10" t="inlineStr">
        <is>
          <t>Single Carrier (Band n50, 100MHz TDD)</t>
        </is>
      </c>
      <c r="Q1241" s="13">
        <f>ROUNDUP(O1241/'Methodology &amp; Assumptions'!$B$6, 0)</f>
        <v/>
      </c>
      <c r="R1241" s="13" t="n">
        <v>1</v>
      </c>
      <c r="S1241" s="14" t="n">
        <v>7.65</v>
      </c>
      <c r="T1241" s="14" t="n">
        <v>0.14</v>
      </c>
      <c r="U1241" s="26">
        <f>IF(X1241&gt;='Methodology &amp; Assumptions'!$B$7, "Tier 1 Critical GIDA (Score ≥ 50.0)", IF(X1241&gt;='Methodology &amp; Assumptions'!$B$8, "Tier 2 High GIDA (Score 40.0–49.9)", "Tier 3 Moderate GIDA (Score &lt; 40.0)"))</f>
        <v/>
      </c>
      <c r="V1241" s="26">
        <f>IF(S1241&lt;='Methodology &amp; Assumptions'!$B$10, "Direct Optical Drop (&lt;3km)", IF(S1241&lt;='Methodology &amp; Assumptions'!$B$9, "Near Optical / Microwave (&lt;5km)", "Starlink Business LEO Satellite Backhaul (&gt;5km)"))</f>
        <v/>
      </c>
      <c r="W1241" s="28" t="n">
        <v>0.109</v>
      </c>
      <c r="X1241" s="14" t="n">
        <v>43.65</v>
      </c>
      <c r="Y1241" s="14">
        <f>ROUND(MIN(100, (X1241/69.91)*100), 2)</f>
        <v/>
      </c>
    </row>
    <row r="1242">
      <c r="A1242" s="10" t="n">
        <v>5</v>
      </c>
      <c r="B1242" s="10" t="n">
        <v>238</v>
      </c>
      <c r="C1242" s="10" t="n">
        <v>4238</v>
      </c>
      <c r="D1242" s="10" t="inlineStr">
        <is>
          <t>1003514019</t>
        </is>
      </c>
      <c r="E1242" s="26" t="inlineStr">
        <is>
          <t>Region X (Northern Mindanao)</t>
        </is>
      </c>
      <c r="F1242" s="26" t="inlineStr">
        <is>
          <t>Lanao del Norte</t>
        </is>
      </c>
      <c r="G1242" s="26" t="inlineStr">
        <is>
          <t>Munai</t>
        </is>
      </c>
      <c r="H1242" s="26" t="inlineStr">
        <is>
          <t>Matampay</t>
        </is>
      </c>
      <c r="I1242" s="27" t="n">
        <v>8.042858000000001</v>
      </c>
      <c r="J1242" s="27" t="n">
        <v>124.093598</v>
      </c>
      <c r="K1242" s="10" t="inlineStr">
        <is>
          <t>R</t>
        </is>
      </c>
      <c r="L1242" s="12" t="n">
        <v>1649</v>
      </c>
      <c r="M1242" s="14" t="n">
        <v>4.2</v>
      </c>
      <c r="N1242" s="12">
        <f>ROUND(L1242/M1242, 0)</f>
        <v/>
      </c>
      <c r="O1242" s="12">
        <f>ROUND(N1242*'Methodology &amp; Assumptions'!$B$5, 0)</f>
        <v/>
      </c>
      <c r="P1242" s="10" t="inlineStr">
        <is>
          <t>Single Carrier (Band n50, 100MHz TDD)</t>
        </is>
      </c>
      <c r="Q1242" s="13">
        <f>ROUNDUP(O1242/'Methodology &amp; Assumptions'!$B$6, 0)</f>
        <v/>
      </c>
      <c r="R1242" s="13" t="n">
        <v>1</v>
      </c>
      <c r="S1242" s="14" t="n">
        <v>20.23</v>
      </c>
      <c r="T1242" s="14" t="n">
        <v>15.76</v>
      </c>
      <c r="U1242" s="26">
        <f>IF(X1242&gt;='Methodology &amp; Assumptions'!$B$7, "Tier 1 Critical GIDA (Score ≥ 50.0)", IF(X1242&gt;='Methodology &amp; Assumptions'!$B$8, "Tier 2 High GIDA (Score 40.0–49.9)", "Tier 3 Moderate GIDA (Score &lt; 40.0)"))</f>
        <v/>
      </c>
      <c r="V1242" s="26">
        <f>IF(S1242&lt;='Methodology &amp; Assumptions'!$B$10, "Direct Optical Drop (&lt;3km)", IF(S1242&lt;='Methodology &amp; Assumptions'!$B$9, "Near Optical / Microwave (&lt;5km)", "Starlink Business LEO Satellite Backhaul (&gt;5km)"))</f>
        <v/>
      </c>
      <c r="W1242" s="28" t="n">
        <v>0.174</v>
      </c>
      <c r="X1242" s="14" t="n">
        <v>43.65</v>
      </c>
      <c r="Y1242" s="14">
        <f>ROUND(MIN(100, (X1242/69.91)*100), 2)</f>
        <v/>
      </c>
    </row>
    <row r="1243">
      <c r="A1243" s="10" t="n">
        <v>5</v>
      </c>
      <c r="B1243" s="10" t="n">
        <v>239</v>
      </c>
      <c r="C1243" s="10" t="n">
        <v>4239</v>
      </c>
      <c r="D1243" s="10" t="inlineStr">
        <is>
          <t>1381100198</t>
        </is>
      </c>
      <c r="E1243" s="26" t="inlineStr">
        <is>
          <t>National Capital Region (NCR)</t>
        </is>
      </c>
      <c r="F1243" s="26" t="inlineStr">
        <is>
          <t>Fourth District (Not a Province)</t>
        </is>
      </c>
      <c r="G1243" s="26" t="inlineStr">
        <is>
          <t>Pasay City</t>
        </is>
      </c>
      <c r="H1243" s="26" t="inlineStr">
        <is>
          <t>Barangay 198</t>
        </is>
      </c>
      <c r="I1243" s="27" t="n">
        <v>14.348539</v>
      </c>
      <c r="J1243" s="27" t="n">
        <v>120.85121</v>
      </c>
      <c r="K1243" s="10" t="inlineStr">
        <is>
          <t>U</t>
        </is>
      </c>
      <c r="L1243" s="12" t="n">
        <v>1958</v>
      </c>
      <c r="M1243" s="14" t="n">
        <v>3.4</v>
      </c>
      <c r="N1243" s="12">
        <f>ROUND(L1243/M1243, 0)</f>
        <v/>
      </c>
      <c r="O1243" s="12">
        <f>ROUND(N1243*'Methodology &amp; Assumptions'!$B$5, 0)</f>
        <v/>
      </c>
      <c r="P1243" s="10" t="inlineStr">
        <is>
          <t>Single Carrier (Band n50, 100MHz TDD)</t>
        </is>
      </c>
      <c r="Q1243" s="13">
        <f>ROUNDUP(O1243/'Methodology &amp; Assumptions'!$B$6, 0)</f>
        <v/>
      </c>
      <c r="R1243" s="13" t="n">
        <v>1</v>
      </c>
      <c r="S1243" s="14" t="n">
        <v>2.26</v>
      </c>
      <c r="T1243" s="14" t="n">
        <v>3.3</v>
      </c>
      <c r="U1243" s="26">
        <f>IF(X1243&gt;='Methodology &amp; Assumptions'!$B$7, "Tier 1 Critical GIDA (Score ≥ 50.0)", IF(X1243&gt;='Methodology &amp; Assumptions'!$B$8, "Tier 2 High GIDA (Score 40.0–49.9)", "Tier 3 Moderate GIDA (Score &lt; 40.0)"))</f>
        <v/>
      </c>
      <c r="V1243" s="26">
        <f>IF(S1243&lt;='Methodology &amp; Assumptions'!$B$10, "Direct Optical Drop (&lt;3km)", IF(S1243&lt;='Methodology &amp; Assumptions'!$B$9, "Near Optical / Microwave (&lt;5km)", "Starlink Business LEO Satellite Backhaul (&gt;5km)"))</f>
        <v/>
      </c>
      <c r="W1243" s="28" t="n">
        <v>0.109</v>
      </c>
      <c r="X1243" s="14" t="n">
        <v>43.65</v>
      </c>
      <c r="Y1243" s="14">
        <f>ROUND(MIN(100, (X1243/69.91)*100), 2)</f>
        <v/>
      </c>
    </row>
    <row r="1244">
      <c r="A1244" s="10" t="n">
        <v>5</v>
      </c>
      <c r="B1244" s="10" t="n">
        <v>240</v>
      </c>
      <c r="C1244" s="10" t="n">
        <v>4240</v>
      </c>
      <c r="D1244" s="10" t="inlineStr">
        <is>
          <t>0907308017</t>
        </is>
      </c>
      <c r="E1244" s="26" t="inlineStr">
        <is>
          <t>Region IX (Zamboanga Peninsula)</t>
        </is>
      </c>
      <c r="F1244" s="26" t="inlineStr">
        <is>
          <t>Zamboanga del Sur</t>
        </is>
      </c>
      <c r="G1244" s="26" t="inlineStr">
        <is>
          <t>Dumingag</t>
        </is>
      </c>
      <c r="H1244" s="26" t="inlineStr">
        <is>
          <t>Licabang</t>
        </is>
      </c>
      <c r="I1244" s="27" t="n">
        <v>8.201700000000001</v>
      </c>
      <c r="J1244" s="27" t="n">
        <v>123.25479</v>
      </c>
      <c r="K1244" s="10" t="inlineStr">
        <is>
          <t>R</t>
        </is>
      </c>
      <c r="L1244" s="12" t="n">
        <v>1335</v>
      </c>
      <c r="M1244" s="14" t="n">
        <v>3.9</v>
      </c>
      <c r="N1244" s="12">
        <f>ROUND(L1244/M1244, 0)</f>
        <v/>
      </c>
      <c r="O1244" s="12">
        <f>ROUND(N1244*'Methodology &amp; Assumptions'!$B$5, 0)</f>
        <v/>
      </c>
      <c r="P1244" s="10" t="inlineStr">
        <is>
          <t>Single Carrier (Band n50, 100MHz TDD)</t>
        </is>
      </c>
      <c r="Q1244" s="13">
        <f>ROUNDUP(O1244/'Methodology &amp; Assumptions'!$B$6, 0)</f>
        <v/>
      </c>
      <c r="R1244" s="13" t="n">
        <v>1</v>
      </c>
      <c r="S1244" s="14" t="n">
        <v>45.82</v>
      </c>
      <c r="T1244" s="14" t="n">
        <v>39.07</v>
      </c>
      <c r="U1244" s="26">
        <f>IF(X1244&gt;='Methodology &amp; Assumptions'!$B$7, "Tier 1 Critical GIDA (Score ≥ 50.0)", IF(X1244&gt;='Methodology &amp; Assumptions'!$B$8, "Tier 2 High GIDA (Score 40.0–49.9)", "Tier 3 Moderate GIDA (Score &lt; 40.0)"))</f>
        <v/>
      </c>
      <c r="V1244" s="26">
        <f>IF(S1244&lt;='Methodology &amp; Assumptions'!$B$10, "Direct Optical Drop (&lt;3km)", IF(S1244&lt;='Methodology &amp; Assumptions'!$B$9, "Near Optical / Microwave (&lt;5km)", "Starlink Business LEO Satellite Backhaul (&gt;5km)"))</f>
        <v/>
      </c>
      <c r="W1244" s="28" t="n">
        <v>0.11</v>
      </c>
      <c r="X1244" s="14" t="n">
        <v>43.65</v>
      </c>
      <c r="Y1244" s="14">
        <f>ROUND(MIN(100, (X1244/69.91)*100), 2)</f>
        <v/>
      </c>
    </row>
    <row r="1245">
      <c r="A1245" s="10" t="n">
        <v>5</v>
      </c>
      <c r="B1245" s="10" t="n">
        <v>241</v>
      </c>
      <c r="C1245" s="10" t="n">
        <v>4241</v>
      </c>
      <c r="D1245" s="10" t="inlineStr">
        <is>
          <t>PH0004241</t>
        </is>
      </c>
      <c r="E1245" s="26" t="inlineStr">
        <is>
          <t>VII</t>
        </is>
      </c>
      <c r="F1245" s="26" t="inlineStr">
        <is>
          <t>Cebu</t>
        </is>
      </c>
      <c r="G1245" s="26" t="inlineStr">
        <is>
          <t>Talisay City</t>
        </is>
      </c>
      <c r="H1245" s="26" t="inlineStr">
        <is>
          <t>Dumlog</t>
        </is>
      </c>
      <c r="I1245" s="27" t="n">
        <v>10.380365</v>
      </c>
      <c r="J1245" s="27" t="n">
        <v>123.802818</v>
      </c>
      <c r="K1245" s="10" t="inlineStr">
        <is>
          <t>R</t>
        </is>
      </c>
      <c r="L1245" s="12" t="n">
        <v>2250</v>
      </c>
      <c r="M1245" s="14" t="n">
        <v>3.8</v>
      </c>
      <c r="N1245" s="12">
        <f>ROUND(L1245/M1245, 0)</f>
        <v/>
      </c>
      <c r="O1245" s="12">
        <f>ROUND(N1245*'Methodology &amp; Assumptions'!$B$5, 0)</f>
        <v/>
      </c>
      <c r="P1245" s="10" t="inlineStr">
        <is>
          <t>Single Carrier (Band n50, 100MHz TDD)</t>
        </is>
      </c>
      <c r="Q1245" s="13">
        <f>ROUNDUP(O1245/'Methodology &amp; Assumptions'!$B$6, 0)</f>
        <v/>
      </c>
      <c r="R1245" s="13" t="n">
        <v>1</v>
      </c>
      <c r="S1245" s="14" t="n">
        <v>5.71</v>
      </c>
      <c r="T1245" s="14" t="n">
        <v>12.23</v>
      </c>
      <c r="U1245" s="26">
        <f>IF(X1245&gt;='Methodology &amp; Assumptions'!$B$7, "Tier 1 Critical GIDA (Score ≥ 50.0)", IF(X1245&gt;='Methodology &amp; Assumptions'!$B$8, "Tier 2 High GIDA (Score 40.0–49.9)", "Tier 3 Moderate GIDA (Score &lt; 40.0)"))</f>
        <v/>
      </c>
      <c r="V1245" s="26">
        <f>IF(S1245&lt;='Methodology &amp; Assumptions'!$B$10, "Direct Optical Drop (&lt;3km)", IF(S1245&lt;='Methodology &amp; Assumptions'!$B$9, "Near Optical / Microwave (&lt;5km)", "Starlink Business LEO Satellite Backhaul (&gt;5km)"))</f>
        <v/>
      </c>
      <c r="W1245" s="28" t="n">
        <v>0.21</v>
      </c>
      <c r="X1245" s="14" t="n">
        <v>43.64</v>
      </c>
      <c r="Y1245" s="14">
        <f>ROUND(MIN(100, (X1245/69.91)*100), 2)</f>
        <v/>
      </c>
    </row>
    <row r="1246">
      <c r="A1246" s="10" t="n">
        <v>5</v>
      </c>
      <c r="B1246" s="10" t="n">
        <v>242</v>
      </c>
      <c r="C1246" s="10" t="n">
        <v>4242</v>
      </c>
      <c r="D1246" s="10" t="inlineStr">
        <is>
          <t>1903620029</t>
        </is>
      </c>
      <c r="E1246" s="26" t="inlineStr">
        <is>
          <t>Bangsamoro Autonomous Region In Muslim Mindanao (BARMM)</t>
        </is>
      </c>
      <c r="F1246" s="26" t="inlineStr">
        <is>
          <t>Lanao del Sur</t>
        </is>
      </c>
      <c r="G1246" s="26" t="inlineStr">
        <is>
          <t>Pagayawan</t>
        </is>
      </c>
      <c r="H1246" s="26" t="inlineStr">
        <is>
          <t>Madang</t>
        </is>
      </c>
      <c r="I1246" s="27" t="n">
        <v>17.259326</v>
      </c>
      <c r="J1246" s="27" t="n">
        <v>122.235068</v>
      </c>
      <c r="K1246" s="10" t="inlineStr">
        <is>
          <t>R</t>
        </is>
      </c>
      <c r="L1246" s="12" t="n">
        <v>946</v>
      </c>
      <c r="M1246" s="14" t="n">
        <v>5.7</v>
      </c>
      <c r="N1246" s="12">
        <f>ROUND(L1246/M1246, 0)</f>
        <v/>
      </c>
      <c r="O1246" s="12">
        <f>ROUND(N1246*'Methodology &amp; Assumptions'!$B$5, 0)</f>
        <v/>
      </c>
      <c r="P1246" s="10" t="inlineStr">
        <is>
          <t>Single Carrier (Band n50, 100MHz TDD)</t>
        </is>
      </c>
      <c r="Q1246" s="13">
        <f>ROUNDUP(O1246/'Methodology &amp; Assumptions'!$B$6, 0)</f>
        <v/>
      </c>
      <c r="R1246" s="13" t="n">
        <v>1</v>
      </c>
      <c r="S1246" s="14" t="n">
        <v>30.24</v>
      </c>
      <c r="T1246" s="14" t="n">
        <v>35.07</v>
      </c>
      <c r="U1246" s="26">
        <f>IF(X1246&gt;='Methodology &amp; Assumptions'!$B$7, "Tier 1 Critical GIDA (Score ≥ 50.0)", IF(X1246&gt;='Methodology &amp; Assumptions'!$B$8, "Tier 2 High GIDA (Score 40.0–49.9)", "Tier 3 Moderate GIDA (Score &lt; 40.0)"))</f>
        <v/>
      </c>
      <c r="V1246" s="26">
        <f>IF(S1246&lt;='Methodology &amp; Assumptions'!$B$10, "Direct Optical Drop (&lt;3km)", IF(S1246&lt;='Methodology &amp; Assumptions'!$B$9, "Near Optical / Microwave (&lt;5km)", "Starlink Business LEO Satellite Backhaul (&gt;5km)"))</f>
        <v/>
      </c>
      <c r="W1246" s="28" t="n">
        <v>0.11</v>
      </c>
      <c r="X1246" s="14" t="n">
        <v>43.64</v>
      </c>
      <c r="Y1246" s="14">
        <f>ROUND(MIN(100, (X1246/69.91)*100), 2)</f>
        <v/>
      </c>
    </row>
    <row r="1247">
      <c r="A1247" s="10" t="n">
        <v>5</v>
      </c>
      <c r="B1247" s="10" t="n">
        <v>243</v>
      </c>
      <c r="C1247" s="10" t="n">
        <v>4243</v>
      </c>
      <c r="D1247" s="10" t="inlineStr">
        <is>
          <t>PH0004243</t>
        </is>
      </c>
      <c r="E1247" s="26" t="inlineStr">
        <is>
          <t>CAR</t>
        </is>
      </c>
      <c r="F1247" s="26" t="inlineStr">
        <is>
          <t>Benguet</t>
        </is>
      </c>
      <c r="G1247" s="26" t="inlineStr">
        <is>
          <t>Baguio City</t>
        </is>
      </c>
      <c r="H1247" s="26" t="inlineStr">
        <is>
          <t>General Luna, Upper</t>
        </is>
      </c>
      <c r="I1247" s="27" t="n">
        <v>16.480192</v>
      </c>
      <c r="J1247" s="27" t="n">
        <v>120.550115</v>
      </c>
      <c r="K1247" s="10" t="inlineStr">
        <is>
          <t>R</t>
        </is>
      </c>
      <c r="L1247" s="12" t="n">
        <v>2260</v>
      </c>
      <c r="M1247" s="14" t="n">
        <v>3.5</v>
      </c>
      <c r="N1247" s="12">
        <f>ROUND(L1247/M1247, 0)</f>
        <v/>
      </c>
      <c r="O1247" s="12">
        <f>ROUND(N1247*'Methodology &amp; Assumptions'!$B$5, 0)</f>
        <v/>
      </c>
      <c r="P1247" s="10" t="inlineStr">
        <is>
          <t>Single Carrier (Band n50, 100MHz TDD)</t>
        </is>
      </c>
      <c r="Q1247" s="13">
        <f>ROUNDUP(O1247/'Methodology &amp; Assumptions'!$B$6, 0)</f>
        <v/>
      </c>
      <c r="R1247" s="13" t="n">
        <v>1</v>
      </c>
      <c r="S1247" s="14" t="n">
        <v>5.23</v>
      </c>
      <c r="T1247" s="14" t="n">
        <v>3.15</v>
      </c>
      <c r="U1247" s="26">
        <f>IF(X1247&gt;='Methodology &amp; Assumptions'!$B$7, "Tier 1 Critical GIDA (Score ≥ 50.0)", IF(X1247&gt;='Methodology &amp; Assumptions'!$B$8, "Tier 2 High GIDA (Score 40.0–49.9)", "Tier 3 Moderate GIDA (Score &lt; 40.0)"))</f>
        <v/>
      </c>
      <c r="V1247" s="26">
        <f>IF(S1247&lt;='Methodology &amp; Assumptions'!$B$10, "Direct Optical Drop (&lt;3km)", IF(S1247&lt;='Methodology &amp; Assumptions'!$B$9, "Near Optical / Microwave (&lt;5km)", "Starlink Business LEO Satellite Backhaul (&gt;5km)"))</f>
        <v/>
      </c>
      <c r="W1247" s="28" t="n">
        <v>0.221</v>
      </c>
      <c r="X1247" s="14" t="n">
        <v>43.63</v>
      </c>
      <c r="Y1247" s="14">
        <f>ROUND(MIN(100, (X1247/69.91)*100), 2)</f>
        <v/>
      </c>
    </row>
    <row r="1248">
      <c r="A1248" s="10" t="n">
        <v>5</v>
      </c>
      <c r="B1248" s="10" t="n">
        <v>244</v>
      </c>
      <c r="C1248" s="10" t="n">
        <v>4244</v>
      </c>
      <c r="D1248" s="10" t="inlineStr">
        <is>
          <t>0200905006</t>
        </is>
      </c>
      <c r="E1248" s="26" t="inlineStr">
        <is>
          <t>Region II (Cagayan Valley)</t>
        </is>
      </c>
      <c r="F1248" s="26" t="inlineStr">
        <is>
          <t>Batanes</t>
        </is>
      </c>
      <c r="G1248" s="26" t="inlineStr">
        <is>
          <t>Sabtang</t>
        </is>
      </c>
      <c r="H1248" s="26" t="inlineStr">
        <is>
          <t>Sumnanga</t>
        </is>
      </c>
      <c r="I1248" s="27" t="n">
        <v>20.300446</v>
      </c>
      <c r="J1248" s="27" t="n">
        <v>121.843663</v>
      </c>
      <c r="K1248" s="10" t="inlineStr">
        <is>
          <t>R</t>
        </is>
      </c>
      <c r="L1248" s="12" t="n">
        <v>362</v>
      </c>
      <c r="M1248" s="14" t="n">
        <v>3</v>
      </c>
      <c r="N1248" s="12">
        <f>ROUND(L1248/M1248, 0)</f>
        <v/>
      </c>
      <c r="O1248" s="12">
        <f>ROUND(N1248*'Methodology &amp; Assumptions'!$B$5, 0)</f>
        <v/>
      </c>
      <c r="P1248" s="10" t="inlineStr">
        <is>
          <t>Single Carrier (Band n50, 100MHz TDD)</t>
        </is>
      </c>
      <c r="Q1248" s="13">
        <f>ROUNDUP(O1248/'Methodology &amp; Assumptions'!$B$6, 0)</f>
        <v/>
      </c>
      <c r="R1248" s="13" t="n">
        <v>1</v>
      </c>
      <c r="S1248" s="14" t="n">
        <v>203.91</v>
      </c>
      <c r="T1248" s="14" t="n">
        <v>200.8</v>
      </c>
      <c r="U1248" s="26">
        <f>IF(X1248&gt;='Methodology &amp; Assumptions'!$B$7, "Tier 1 Critical GIDA (Score ≥ 50.0)", IF(X1248&gt;='Methodology &amp; Assumptions'!$B$8, "Tier 2 High GIDA (Score 40.0–49.9)", "Tier 3 Moderate GIDA (Score &lt; 40.0)"))</f>
        <v/>
      </c>
      <c r="V1248" s="26">
        <f>IF(S1248&lt;='Methodology &amp; Assumptions'!$B$10, "Direct Optical Drop (&lt;3km)", IF(S1248&lt;='Methodology &amp; Assumptions'!$B$9, "Near Optical / Microwave (&lt;5km)", "Starlink Business LEO Satellite Backhaul (&gt;5km)"))</f>
        <v/>
      </c>
      <c r="W1248" s="28" t="n">
        <v>0.083</v>
      </c>
      <c r="X1248" s="14" t="n">
        <v>43.62</v>
      </c>
      <c r="Y1248" s="14">
        <f>ROUND(MIN(100, (X1248/69.91)*100), 2)</f>
        <v/>
      </c>
    </row>
    <row r="1249">
      <c r="A1249" s="10" t="n">
        <v>5</v>
      </c>
      <c r="B1249" s="10" t="n">
        <v>245</v>
      </c>
      <c r="C1249" s="10" t="n">
        <v>4245</v>
      </c>
      <c r="D1249" s="10" t="inlineStr">
        <is>
          <t>0402116002</t>
        </is>
      </c>
      <c r="E1249" s="26" t="inlineStr">
        <is>
          <t>Region IV-A (CALABARZON)</t>
        </is>
      </c>
      <c r="F1249" s="26" t="inlineStr">
        <is>
          <t>Cavite</t>
        </is>
      </c>
      <c r="G1249" s="26" t="inlineStr">
        <is>
          <t>Noveleta</t>
        </is>
      </c>
      <c r="H1249" s="26" t="inlineStr">
        <is>
          <t>Poblacion</t>
        </is>
      </c>
      <c r="I1249" s="27" t="n">
        <v>14.426402</v>
      </c>
      <c r="J1249" s="27" t="n">
        <v>120.880157</v>
      </c>
      <c r="K1249" s="10" t="inlineStr">
        <is>
          <t>R</t>
        </is>
      </c>
      <c r="L1249" s="12" t="n">
        <v>2291</v>
      </c>
      <c r="M1249" s="14" t="n">
        <v>3.4</v>
      </c>
      <c r="N1249" s="12">
        <f>ROUND(L1249/M1249, 0)</f>
        <v/>
      </c>
      <c r="O1249" s="12">
        <f>ROUND(N1249*'Methodology &amp; Assumptions'!$B$5, 0)</f>
        <v/>
      </c>
      <c r="P1249" s="10" t="inlineStr">
        <is>
          <t>Single Carrier (Band n50, 100MHz TDD)</t>
        </is>
      </c>
      <c r="Q1249" s="13">
        <f>ROUNDUP(O1249/'Methodology &amp; Assumptions'!$B$6, 0)</f>
        <v/>
      </c>
      <c r="R1249" s="13" t="n">
        <v>1</v>
      </c>
      <c r="S1249" s="14" t="n">
        <v>0.46</v>
      </c>
      <c r="T1249" s="14" t="n">
        <v>0.45</v>
      </c>
      <c r="U1249" s="26">
        <f>IF(X1249&gt;='Methodology &amp; Assumptions'!$B$7, "Tier 1 Critical GIDA (Score ≥ 50.0)", IF(X1249&gt;='Methodology &amp; Assumptions'!$B$8, "Tier 2 High GIDA (Score 40.0–49.9)", "Tier 3 Moderate GIDA (Score &lt; 40.0)"))</f>
        <v/>
      </c>
      <c r="V1249" s="26">
        <f>IF(S1249&lt;='Methodology &amp; Assumptions'!$B$10, "Direct Optical Drop (&lt;3km)", IF(S1249&lt;='Methodology &amp; Assumptions'!$B$9, "Near Optical / Microwave (&lt;5km)", "Starlink Business LEO Satellite Backhaul (&gt;5km)"))</f>
        <v/>
      </c>
      <c r="W1249" s="28" t="n">
        <v>0.07200000000000001</v>
      </c>
      <c r="X1249" s="14" t="n">
        <v>43.61</v>
      </c>
      <c r="Y1249" s="14">
        <f>ROUND(MIN(100, (X1249/69.91)*100), 2)</f>
        <v/>
      </c>
    </row>
    <row r="1250">
      <c r="A1250" s="10" t="n">
        <v>5</v>
      </c>
      <c r="B1250" s="10" t="n">
        <v>246</v>
      </c>
      <c r="C1250" s="10" t="n">
        <v>4246</v>
      </c>
      <c r="D1250" s="10" t="inlineStr">
        <is>
          <t>0201512001</t>
        </is>
      </c>
      <c r="E1250" s="26" t="inlineStr">
        <is>
          <t>Region II (Cagayan Valley)</t>
        </is>
      </c>
      <c r="F1250" s="26" t="inlineStr">
        <is>
          <t>Cagayan</t>
        </is>
      </c>
      <c r="G1250" s="26" t="inlineStr">
        <is>
          <t>Enrile</t>
        </is>
      </c>
      <c r="H1250" s="26" t="inlineStr">
        <is>
          <t>Alibago</t>
        </is>
      </c>
      <c r="I1250" s="27" t="n">
        <v>17.57271</v>
      </c>
      <c r="J1250" s="27" t="n">
        <v>121.742767</v>
      </c>
      <c r="K1250" s="10" t="inlineStr">
        <is>
          <t>R</t>
        </is>
      </c>
      <c r="L1250" s="12" t="n">
        <v>2285</v>
      </c>
      <c r="M1250" s="14" t="n">
        <v>3.9</v>
      </c>
      <c r="N1250" s="12">
        <f>ROUND(L1250/M1250, 0)</f>
        <v/>
      </c>
      <c r="O1250" s="12">
        <f>ROUND(N1250*'Methodology &amp; Assumptions'!$B$5, 0)</f>
        <v/>
      </c>
      <c r="P1250" s="10" t="inlineStr">
        <is>
          <t>Single Carrier (Band n50, 100MHz TDD)</t>
        </is>
      </c>
      <c r="Q1250" s="13">
        <f>ROUNDUP(O1250/'Methodology &amp; Assumptions'!$B$6, 0)</f>
        <v/>
      </c>
      <c r="R1250" s="13" t="n">
        <v>1</v>
      </c>
      <c r="S1250" s="14" t="n">
        <v>5.09</v>
      </c>
      <c r="T1250" s="14" t="n">
        <v>2.47</v>
      </c>
      <c r="U1250" s="26">
        <f>IF(X1250&gt;='Methodology &amp; Assumptions'!$B$7, "Tier 1 Critical GIDA (Score ≥ 50.0)", IF(X1250&gt;='Methodology &amp; Assumptions'!$B$8, "Tier 2 High GIDA (Score 40.0–49.9)", "Tier 3 Moderate GIDA (Score &lt; 40.0)"))</f>
        <v/>
      </c>
      <c r="V1250" s="26">
        <f>IF(S1250&lt;='Methodology &amp; Assumptions'!$B$10, "Direct Optical Drop (&lt;3km)", IF(S1250&lt;='Methodology &amp; Assumptions'!$B$9, "Near Optical / Microwave (&lt;5km)", "Starlink Business LEO Satellite Backhaul (&gt;5km)"))</f>
        <v/>
      </c>
      <c r="W1250" s="28" t="n">
        <v>0.083</v>
      </c>
      <c r="X1250" s="14" t="n">
        <v>43.61</v>
      </c>
      <c r="Y1250" s="14">
        <f>ROUND(MIN(100, (X1250/69.91)*100), 2)</f>
        <v/>
      </c>
    </row>
    <row r="1251">
      <c r="A1251" s="10" t="n">
        <v>5</v>
      </c>
      <c r="B1251" s="10" t="n">
        <v>247</v>
      </c>
      <c r="C1251" s="10" t="n">
        <v>4247</v>
      </c>
      <c r="D1251" s="10" t="inlineStr">
        <is>
          <t>PH0004247</t>
        </is>
      </c>
      <c r="E1251" s="26" t="inlineStr">
        <is>
          <t>VI</t>
        </is>
      </c>
      <c r="F1251" s="26" t="inlineStr">
        <is>
          <t>Capiz</t>
        </is>
      </c>
      <c r="G1251" s="26" t="inlineStr">
        <is>
          <t>Roxas City</t>
        </is>
      </c>
      <c r="H1251" s="26" t="inlineStr">
        <is>
          <t>Poblacion VI</t>
        </is>
      </c>
      <c r="I1251" s="27" t="n">
        <v>11.555273</v>
      </c>
      <c r="J1251" s="27" t="n">
        <v>122.766061</v>
      </c>
      <c r="K1251" s="10" t="inlineStr">
        <is>
          <t>R</t>
        </is>
      </c>
      <c r="L1251" s="12" t="n">
        <v>2282</v>
      </c>
      <c r="M1251" s="14" t="n">
        <v>3.8</v>
      </c>
      <c r="N1251" s="12">
        <f>ROUND(L1251/M1251, 0)</f>
        <v/>
      </c>
      <c r="O1251" s="12">
        <f>ROUND(N1251*'Methodology &amp; Assumptions'!$B$5, 0)</f>
        <v/>
      </c>
      <c r="P1251" s="10" t="inlineStr">
        <is>
          <t>Single Carrier (Band n50, 100MHz TDD)</t>
        </is>
      </c>
      <c r="Q1251" s="13">
        <f>ROUNDUP(O1251/'Methodology &amp; Assumptions'!$B$6, 0)</f>
        <v/>
      </c>
      <c r="R1251" s="13" t="n">
        <v>1</v>
      </c>
      <c r="S1251" s="14" t="n">
        <v>3.21</v>
      </c>
      <c r="T1251" s="14" t="n">
        <v>0.84</v>
      </c>
      <c r="U1251" s="26">
        <f>IF(X1251&gt;='Methodology &amp; Assumptions'!$B$7, "Tier 1 Critical GIDA (Score ≥ 50.0)", IF(X1251&gt;='Methodology &amp; Assumptions'!$B$8, "Tier 2 High GIDA (Score 40.0–49.9)", "Tier 3 Moderate GIDA (Score &lt; 40.0)"))</f>
        <v/>
      </c>
      <c r="V1251" s="26">
        <f>IF(S1251&lt;='Methodology &amp; Assumptions'!$B$10, "Direct Optical Drop (&lt;3km)", IF(S1251&lt;='Methodology &amp; Assumptions'!$B$9, "Near Optical / Microwave (&lt;5km)", "Starlink Business LEO Satellite Backhaul (&gt;5km)"))</f>
        <v/>
      </c>
      <c r="W1251" s="28" t="n">
        <v>0.156</v>
      </c>
      <c r="X1251" s="14" t="n">
        <v>43.61</v>
      </c>
      <c r="Y1251" s="14">
        <f>ROUND(MIN(100, (X1251/69.91)*100), 2)</f>
        <v/>
      </c>
    </row>
    <row r="1252">
      <c r="A1252" s="10" t="n">
        <v>5</v>
      </c>
      <c r="B1252" s="10" t="n">
        <v>248</v>
      </c>
      <c r="C1252" s="10" t="n">
        <v>4248</v>
      </c>
      <c r="D1252" s="10" t="inlineStr">
        <is>
          <t>PH0004248</t>
        </is>
      </c>
      <c r="E1252" s="26" t="inlineStr">
        <is>
          <t>VII</t>
        </is>
      </c>
      <c r="F1252" s="26" t="inlineStr">
        <is>
          <t>Cebu</t>
        </is>
      </c>
      <c r="G1252" s="26" t="inlineStr">
        <is>
          <t>Talisay City</t>
        </is>
      </c>
      <c r="H1252" s="26" t="inlineStr">
        <is>
          <t>Lawaan I</t>
        </is>
      </c>
      <c r="I1252" s="27" t="n">
        <v>10.357675</v>
      </c>
      <c r="J1252" s="27" t="n">
        <v>123.774872</v>
      </c>
      <c r="K1252" s="10" t="inlineStr">
        <is>
          <t>R</t>
        </is>
      </c>
      <c r="L1252" s="12" t="n">
        <v>2250</v>
      </c>
      <c r="M1252" s="14" t="n">
        <v>3.8</v>
      </c>
      <c r="N1252" s="12">
        <f>ROUND(L1252/M1252, 0)</f>
        <v/>
      </c>
      <c r="O1252" s="12">
        <f>ROUND(N1252*'Methodology &amp; Assumptions'!$B$5, 0)</f>
        <v/>
      </c>
      <c r="P1252" s="10" t="inlineStr">
        <is>
          <t>Single Carrier (Band n50, 100MHz TDD)</t>
        </is>
      </c>
      <c r="Q1252" s="13">
        <f>ROUNDUP(O1252/'Methodology &amp; Assumptions'!$B$6, 0)</f>
        <v/>
      </c>
      <c r="R1252" s="13" t="n">
        <v>1</v>
      </c>
      <c r="S1252" s="14" t="n">
        <v>9.09</v>
      </c>
      <c r="T1252" s="14" t="n">
        <v>8.6</v>
      </c>
      <c r="U1252" s="26">
        <f>IF(X1252&gt;='Methodology &amp; Assumptions'!$B$7, "Tier 1 Critical GIDA (Score ≥ 50.0)", IF(X1252&gt;='Methodology &amp; Assumptions'!$B$8, "Tier 2 High GIDA (Score 40.0–49.9)", "Tier 3 Moderate GIDA (Score &lt; 40.0)"))</f>
        <v/>
      </c>
      <c r="V1252" s="26">
        <f>IF(S1252&lt;='Methodology &amp; Assumptions'!$B$10, "Direct Optical Drop (&lt;3km)", IF(S1252&lt;='Methodology &amp; Assumptions'!$B$9, "Near Optical / Microwave (&lt;5km)", "Starlink Business LEO Satellite Backhaul (&gt;5km)"))</f>
        <v/>
      </c>
      <c r="W1252" s="28" t="n">
        <v>0.21</v>
      </c>
      <c r="X1252" s="14" t="n">
        <v>43.61</v>
      </c>
      <c r="Y1252" s="14">
        <f>ROUND(MIN(100, (X1252/69.91)*100), 2)</f>
        <v/>
      </c>
    </row>
    <row r="1253">
      <c r="A1253" s="10" t="n">
        <v>5</v>
      </c>
      <c r="B1253" s="10" t="n">
        <v>249</v>
      </c>
      <c r="C1253" s="10" t="n">
        <v>4249</v>
      </c>
      <c r="D1253" s="10" t="inlineStr">
        <is>
          <t>1380300010</t>
        </is>
      </c>
      <c r="E1253" s="26" t="inlineStr">
        <is>
          <t>National Capital Region (NCR)</t>
        </is>
      </c>
      <c r="F1253" s="26" t="inlineStr">
        <is>
          <t>Fourth District (Not a Province)</t>
        </is>
      </c>
      <c r="G1253" s="26" t="inlineStr">
        <is>
          <t>City of Makati</t>
        </is>
      </c>
      <c r="H1253" s="26" t="inlineStr">
        <is>
          <t>Guadalupe Viejo</t>
        </is>
      </c>
      <c r="I1253" s="27" t="n">
        <v>14.567251</v>
      </c>
      <c r="J1253" s="27" t="n">
        <v>121.04026</v>
      </c>
      <c r="K1253" s="10" t="inlineStr">
        <is>
          <t>U</t>
        </is>
      </c>
      <c r="L1253" s="12" t="n">
        <v>6347</v>
      </c>
      <c r="M1253" s="14" t="n">
        <v>3.5</v>
      </c>
      <c r="N1253" s="12">
        <f>ROUND(L1253/M1253, 0)</f>
        <v/>
      </c>
      <c r="O1253" s="12">
        <f>ROUND(N1253*'Methodology &amp; Assumptions'!$B$5, 0)</f>
        <v/>
      </c>
      <c r="P1253" s="10" t="inlineStr">
        <is>
          <t>Single Carrier (Band n50, 100MHz TDD)</t>
        </is>
      </c>
      <c r="Q1253" s="13">
        <f>ROUNDUP(O1253/'Methodology &amp; Assumptions'!$B$6, 0)</f>
        <v/>
      </c>
      <c r="R1253" s="13" t="n">
        <v>1</v>
      </c>
      <c r="S1253" s="14" t="n">
        <v>1.25</v>
      </c>
      <c r="T1253" s="14" t="n">
        <v>0.08</v>
      </c>
      <c r="U1253" s="26">
        <f>IF(X1253&gt;='Methodology &amp; Assumptions'!$B$7, "Tier 1 Critical GIDA (Score ≥ 50.0)", IF(X1253&gt;='Methodology &amp; Assumptions'!$B$8, "Tier 2 High GIDA (Score 40.0–49.9)", "Tier 3 Moderate GIDA (Score &lt; 40.0)"))</f>
        <v/>
      </c>
      <c r="V1253" s="26">
        <f>IF(S1253&lt;='Methodology &amp; Assumptions'!$B$10, "Direct Optical Drop (&lt;3km)", IF(S1253&lt;='Methodology &amp; Assumptions'!$B$9, "Near Optical / Microwave (&lt;5km)", "Starlink Business LEO Satellite Backhaul (&gt;5km)"))</f>
        <v/>
      </c>
      <c r="W1253" s="28" t="n">
        <v>0.109</v>
      </c>
      <c r="X1253" s="14" t="n">
        <v>43.61</v>
      </c>
      <c r="Y1253" s="14">
        <f>ROUND(MIN(100, (X1253/69.91)*100), 2)</f>
        <v/>
      </c>
    </row>
    <row r="1254">
      <c r="A1254" s="10" t="n">
        <v>5</v>
      </c>
      <c r="B1254" s="10" t="n">
        <v>250</v>
      </c>
      <c r="C1254" s="10" t="n">
        <v>4250</v>
      </c>
      <c r="D1254" s="10" t="inlineStr">
        <is>
          <t>0403405037</t>
        </is>
      </c>
      <c r="E1254" s="26" t="inlineStr">
        <is>
          <t>Region IV-A (CALABARZON)</t>
        </is>
      </c>
      <c r="F1254" s="26" t="inlineStr">
        <is>
          <t>Laguna</t>
        </is>
      </c>
      <c r="G1254" s="26" t="inlineStr">
        <is>
          <t>City of Calamba</t>
        </is>
      </c>
      <c r="H1254" s="26" t="inlineStr">
        <is>
          <t>Parian</t>
        </is>
      </c>
      <c r="I1254" s="27" t="n">
        <v>14.214189</v>
      </c>
      <c r="J1254" s="27" t="n">
        <v>121.151506</v>
      </c>
      <c r="K1254" s="10" t="inlineStr">
        <is>
          <t>U</t>
        </is>
      </c>
      <c r="L1254" s="12" t="n">
        <v>28016</v>
      </c>
      <c r="M1254" s="14" t="n">
        <v>3.3</v>
      </c>
      <c r="N1254" s="12">
        <f>ROUND(L1254/M1254, 0)</f>
        <v/>
      </c>
      <c r="O1254" s="12">
        <f>ROUND(N1254*'Methodology &amp; Assumptions'!$B$5, 0)</f>
        <v/>
      </c>
      <c r="P1254" s="10" t="inlineStr">
        <is>
          <t>Single Carrier (Band n50, 100MHz TDD)</t>
        </is>
      </c>
      <c r="Q1254" s="13">
        <f>ROUNDUP(O1254/'Methodology &amp; Assumptions'!$B$6, 0)</f>
        <v/>
      </c>
      <c r="R1254" s="13" t="n">
        <v>1</v>
      </c>
      <c r="S1254" s="14" t="n">
        <v>1.97</v>
      </c>
      <c r="T1254" s="14" t="n">
        <v>0.08</v>
      </c>
      <c r="U1254" s="26">
        <f>IF(X1254&gt;='Methodology &amp; Assumptions'!$B$7, "Tier 1 Critical GIDA (Score ≥ 50.0)", IF(X1254&gt;='Methodology &amp; Assumptions'!$B$8, "Tier 2 High GIDA (Score 40.0–49.9)", "Tier 3 Moderate GIDA (Score &lt; 40.0)"))</f>
        <v/>
      </c>
      <c r="V1254" s="26">
        <f>IF(S1254&lt;='Methodology &amp; Assumptions'!$B$10, "Direct Optical Drop (&lt;3km)", IF(S1254&lt;='Methodology &amp; Assumptions'!$B$9, "Near Optical / Microwave (&lt;5km)", "Starlink Business LEO Satellite Backhaul (&gt;5km)"))</f>
        <v/>
      </c>
      <c r="W1254" s="28" t="n">
        <v>0.07200000000000001</v>
      </c>
      <c r="X1254" s="14" t="n">
        <v>43.6</v>
      </c>
      <c r="Y1254" s="14">
        <f>ROUND(MIN(100, (X1254/69.91)*100), 2)</f>
        <v/>
      </c>
    </row>
    <row r="1255">
      <c r="A1255" s="10" t="n">
        <v>5</v>
      </c>
      <c r="B1255" s="10" t="n">
        <v>251</v>
      </c>
      <c r="C1255" s="10" t="n">
        <v>4251</v>
      </c>
      <c r="D1255" s="10" t="inlineStr">
        <is>
          <t>1704004035</t>
        </is>
      </c>
      <c r="E1255" s="26" t="inlineStr">
        <is>
          <t>MIMAROPA Region</t>
        </is>
      </c>
      <c r="F1255" s="26" t="inlineStr">
        <is>
          <t>Marinduque</t>
        </is>
      </c>
      <c r="G1255" s="26" t="inlineStr">
        <is>
          <t>Mogpog</t>
        </is>
      </c>
      <c r="H1255" s="26" t="inlineStr">
        <is>
          <t>Silangan</t>
        </is>
      </c>
      <c r="I1255" s="27" t="n">
        <v>13.563915</v>
      </c>
      <c r="J1255" s="27" t="n">
        <v>121.855895</v>
      </c>
      <c r="K1255" s="10" t="inlineStr">
        <is>
          <t>R</t>
        </is>
      </c>
      <c r="L1255" s="12" t="n">
        <v>625</v>
      </c>
      <c r="M1255" s="14" t="n">
        <v>3.8</v>
      </c>
      <c r="N1255" s="12">
        <f>ROUND(L1255/M1255, 0)</f>
        <v/>
      </c>
      <c r="O1255" s="12">
        <f>ROUND(N1255*'Methodology &amp; Assumptions'!$B$5, 0)</f>
        <v/>
      </c>
      <c r="P1255" s="10" t="inlineStr">
        <is>
          <t>Single Carrier (Band n50, 100MHz TDD)</t>
        </is>
      </c>
      <c r="Q1255" s="13">
        <f>ROUNDUP(O1255/'Methodology &amp; Assumptions'!$B$6, 0)</f>
        <v/>
      </c>
      <c r="R1255" s="13" t="n">
        <v>1</v>
      </c>
      <c r="S1255" s="14" t="n">
        <v>33.36</v>
      </c>
      <c r="T1255" s="14" t="n">
        <v>32.89</v>
      </c>
      <c r="U1255" s="26">
        <f>IF(X1255&gt;='Methodology &amp; Assumptions'!$B$7, "Tier 1 Critical GIDA (Score ≥ 50.0)", IF(X1255&gt;='Methodology &amp; Assumptions'!$B$8, "Tier 2 High GIDA (Score 40.0–49.9)", "Tier 3 Moderate GIDA (Score &lt; 40.0)"))</f>
        <v/>
      </c>
      <c r="V1255" s="26">
        <f>IF(S1255&lt;='Methodology &amp; Assumptions'!$B$10, "Direct Optical Drop (&lt;3km)", IF(S1255&lt;='Methodology &amp; Assumptions'!$B$9, "Near Optical / Microwave (&lt;5km)", "Starlink Business LEO Satellite Backhaul (&gt;5km)"))</f>
        <v/>
      </c>
      <c r="W1255" s="28" t="n">
        <v>0.15</v>
      </c>
      <c r="X1255" s="14" t="n">
        <v>43.6</v>
      </c>
      <c r="Y1255" s="14">
        <f>ROUND(MIN(100, (X1255/69.91)*100), 2)</f>
        <v/>
      </c>
    </row>
    <row r="1256">
      <c r="A1256" s="10" t="n">
        <v>5</v>
      </c>
      <c r="B1256" s="10" t="n">
        <v>252</v>
      </c>
      <c r="C1256" s="10" t="n">
        <v>4252</v>
      </c>
      <c r="D1256" s="10" t="inlineStr">
        <is>
          <t>0500517026</t>
        </is>
      </c>
      <c r="E1256" s="26" t="inlineStr">
        <is>
          <t>Region V (Bicol Region)</t>
        </is>
      </c>
      <c r="F1256" s="26" t="inlineStr">
        <is>
          <t>Albay</t>
        </is>
      </c>
      <c r="G1256" s="26" t="inlineStr">
        <is>
          <t>City of Tabaco</t>
        </is>
      </c>
      <c r="H1256" s="26" t="inlineStr">
        <is>
          <t>Oson</t>
        </is>
      </c>
      <c r="I1256" s="27" t="n">
        <v>13.320515</v>
      </c>
      <c r="J1256" s="27" t="n">
        <v>123.683524</v>
      </c>
      <c r="K1256" s="10" t="inlineStr">
        <is>
          <t>R</t>
        </is>
      </c>
      <c r="L1256" s="12" t="n">
        <v>1266</v>
      </c>
      <c r="M1256" s="14" t="n">
        <v>4.1</v>
      </c>
      <c r="N1256" s="12">
        <f>ROUND(L1256/M1256, 0)</f>
        <v/>
      </c>
      <c r="O1256" s="12">
        <f>ROUND(N1256*'Methodology &amp; Assumptions'!$B$5, 0)</f>
        <v/>
      </c>
      <c r="P1256" s="10" t="inlineStr">
        <is>
          <t>Single Carrier (Band n50, 100MHz TDD)</t>
        </is>
      </c>
      <c r="Q1256" s="13">
        <f>ROUNDUP(O1256/'Methodology &amp; Assumptions'!$B$6, 0)</f>
        <v/>
      </c>
      <c r="R1256" s="13" t="n">
        <v>1</v>
      </c>
      <c r="S1256" s="14" t="n">
        <v>3.25</v>
      </c>
      <c r="T1256" s="14" t="n">
        <v>3.08</v>
      </c>
      <c r="U1256" s="26">
        <f>IF(X1256&gt;='Methodology &amp; Assumptions'!$B$7, "Tier 1 Critical GIDA (Score ≥ 50.0)", IF(X1256&gt;='Methodology &amp; Assumptions'!$B$8, "Tier 2 High GIDA (Score 40.0–49.9)", "Tier 3 Moderate GIDA (Score &lt; 40.0)"))</f>
        <v/>
      </c>
      <c r="V1256" s="26">
        <f>IF(S1256&lt;='Methodology &amp; Assumptions'!$B$10, "Direct Optical Drop (&lt;3km)", IF(S1256&lt;='Methodology &amp; Assumptions'!$B$9, "Near Optical / Microwave (&lt;5km)", "Starlink Business LEO Satellite Backhaul (&gt;5km)"))</f>
        <v/>
      </c>
      <c r="W1256" s="28" t="n">
        <v>0.237</v>
      </c>
      <c r="X1256" s="14" t="n">
        <v>43.59</v>
      </c>
      <c r="Y1256" s="14">
        <f>ROUND(MIN(100, (X1256/69.91)*100), 2)</f>
        <v/>
      </c>
    </row>
    <row r="1257">
      <c r="A1257" s="10" t="n">
        <v>5</v>
      </c>
      <c r="B1257" s="10" t="n">
        <v>253</v>
      </c>
      <c r="C1257" s="10" t="n">
        <v>4253</v>
      </c>
      <c r="D1257" s="10" t="inlineStr">
        <is>
          <t>1903613028</t>
        </is>
      </c>
      <c r="E1257" s="26" t="inlineStr">
        <is>
          <t>Bangsamoro Autonomous Region In Muslim Mindanao (BARMM)</t>
        </is>
      </c>
      <c r="F1257" s="26" t="inlineStr">
        <is>
          <t>Lanao del Sur</t>
        </is>
      </c>
      <c r="G1257" s="26" t="inlineStr">
        <is>
          <t>Madalum</t>
        </is>
      </c>
      <c r="H1257" s="26" t="inlineStr">
        <is>
          <t>Punud</t>
        </is>
      </c>
      <c r="I1257" s="27" t="n">
        <v>17.263356</v>
      </c>
      <c r="J1257" s="27" t="n">
        <v>122.222851</v>
      </c>
      <c r="K1257" s="10" t="inlineStr">
        <is>
          <t>R</t>
        </is>
      </c>
      <c r="L1257" s="12" t="n">
        <v>596</v>
      </c>
      <c r="M1257" s="14" t="n">
        <v>5.7</v>
      </c>
      <c r="N1257" s="12">
        <f>ROUND(L1257/M1257, 0)</f>
        <v/>
      </c>
      <c r="O1257" s="12">
        <f>ROUND(N1257*'Methodology &amp; Assumptions'!$B$5, 0)</f>
        <v/>
      </c>
      <c r="P1257" s="10" t="inlineStr">
        <is>
          <t>Single Carrier (Band n50, 100MHz TDD)</t>
        </is>
      </c>
      <c r="Q1257" s="13">
        <f>ROUNDUP(O1257/'Methodology &amp; Assumptions'!$B$6, 0)</f>
        <v/>
      </c>
      <c r="R1257" s="13" t="n">
        <v>1</v>
      </c>
      <c r="S1257" s="14" t="n">
        <v>29.55</v>
      </c>
      <c r="T1257" s="14" t="n">
        <v>33.97</v>
      </c>
      <c r="U1257" s="26">
        <f>IF(X1257&gt;='Methodology &amp; Assumptions'!$B$7, "Tier 1 Critical GIDA (Score ≥ 50.0)", IF(X1257&gt;='Methodology &amp; Assumptions'!$B$8, "Tier 2 High GIDA (Score 40.0–49.9)", "Tier 3 Moderate GIDA (Score &lt; 40.0)"))</f>
        <v/>
      </c>
      <c r="V1257" s="26">
        <f>IF(S1257&lt;='Methodology &amp; Assumptions'!$B$10, "Direct Optical Drop (&lt;3km)", IF(S1257&lt;='Methodology &amp; Assumptions'!$B$9, "Near Optical / Microwave (&lt;5km)", "Starlink Business LEO Satellite Backhaul (&gt;5km)"))</f>
        <v/>
      </c>
      <c r="W1257" s="28" t="n">
        <v>0.11</v>
      </c>
      <c r="X1257" s="14" t="n">
        <v>43.59</v>
      </c>
      <c r="Y1257" s="14">
        <f>ROUND(MIN(100, (X1257/69.91)*100), 2)</f>
        <v/>
      </c>
    </row>
    <row r="1258">
      <c r="A1258" s="10" t="n">
        <v>5</v>
      </c>
      <c r="B1258" s="10" t="n">
        <v>254</v>
      </c>
      <c r="C1258" s="10" t="n">
        <v>4254</v>
      </c>
      <c r="D1258" s="10" t="inlineStr">
        <is>
          <t>1705305014</t>
        </is>
      </c>
      <c r="E1258" s="26" t="inlineStr">
        <is>
          <t>MIMAROPA Region</t>
        </is>
      </c>
      <c r="F1258" s="26" t="inlineStr">
        <is>
          <t>Palawan</t>
        </is>
      </c>
      <c r="G1258" s="26" t="inlineStr">
        <is>
          <t>Bataraza</t>
        </is>
      </c>
      <c r="H1258" s="26" t="inlineStr">
        <is>
          <t>Sandoval</t>
        </is>
      </c>
      <c r="I1258" s="27" t="n">
        <v>8.594849999999999</v>
      </c>
      <c r="J1258" s="27" t="n">
        <v>117.4538</v>
      </c>
      <c r="K1258" s="10" t="inlineStr">
        <is>
          <t>R</t>
        </is>
      </c>
      <c r="L1258" s="12" t="n">
        <v>4111</v>
      </c>
      <c r="M1258" s="14" t="n">
        <v>3.9</v>
      </c>
      <c r="N1258" s="12">
        <f>ROUND(L1258/M1258, 0)</f>
        <v/>
      </c>
      <c r="O1258" s="12">
        <f>ROUND(N1258*'Methodology &amp; Assumptions'!$B$5, 0)</f>
        <v/>
      </c>
      <c r="P1258" s="10" t="inlineStr">
        <is>
          <t>Single Carrier (Band n50, 100MHz TDD)</t>
        </is>
      </c>
      <c r="Q1258" s="13">
        <f>ROUNDUP(O1258/'Methodology &amp; Assumptions'!$B$6, 0)</f>
        <v/>
      </c>
      <c r="R1258" s="13" t="n">
        <v>1</v>
      </c>
      <c r="S1258" s="14" t="n">
        <v>189.65</v>
      </c>
      <c r="T1258" s="14" t="n">
        <v>191.94</v>
      </c>
      <c r="U1258" s="26">
        <f>IF(X1258&gt;='Methodology &amp; Assumptions'!$B$7, "Tier 1 Critical GIDA (Score ≥ 50.0)", IF(X1258&gt;='Methodology &amp; Assumptions'!$B$8, "Tier 2 High GIDA (Score 40.0–49.9)", "Tier 3 Moderate GIDA (Score &lt; 40.0)"))</f>
        <v/>
      </c>
      <c r="V1258" s="26">
        <f>IF(S1258&lt;='Methodology &amp; Assumptions'!$B$10, "Direct Optical Drop (&lt;3km)", IF(S1258&lt;='Methodology &amp; Assumptions'!$B$9, "Near Optical / Microwave (&lt;5km)", "Starlink Business LEO Satellite Backhaul (&gt;5km)"))</f>
        <v/>
      </c>
      <c r="W1258" s="28" t="n">
        <v>0.15</v>
      </c>
      <c r="X1258" s="14" t="n">
        <v>43.59</v>
      </c>
      <c r="Y1258" s="14">
        <f>ROUND(MIN(100, (X1258/69.91)*100), 2)</f>
        <v/>
      </c>
    </row>
    <row r="1259">
      <c r="A1259" s="10" t="n">
        <v>5</v>
      </c>
      <c r="B1259" s="10" t="n">
        <v>255</v>
      </c>
      <c r="C1259" s="10" t="n">
        <v>4255</v>
      </c>
      <c r="D1259" s="10" t="inlineStr">
        <is>
          <t>0702252047</t>
        </is>
      </c>
      <c r="E1259" s="26" t="inlineStr">
        <is>
          <t>Region VII (Central Visayas)</t>
        </is>
      </c>
      <c r="F1259" s="26" t="inlineStr">
        <is>
          <t>Cebu</t>
        </is>
      </c>
      <c r="G1259" s="26" t="inlineStr">
        <is>
          <t>Tuburan</t>
        </is>
      </c>
      <c r="H1259" s="26" t="inlineStr">
        <is>
          <t>Tomugpa</t>
        </is>
      </c>
      <c r="I1259" s="27" t="n">
        <v>10.62734</v>
      </c>
      <c r="J1259" s="27" t="n">
        <v>123.89213</v>
      </c>
      <c r="K1259" s="10" t="inlineStr">
        <is>
          <t>R</t>
        </is>
      </c>
      <c r="L1259" s="12" t="n">
        <v>293</v>
      </c>
      <c r="M1259" s="14" t="n">
        <v>3.8</v>
      </c>
      <c r="N1259" s="12">
        <f>ROUND(L1259/M1259, 0)</f>
        <v/>
      </c>
      <c r="O1259" s="12">
        <f>ROUND(N1259*'Methodology &amp; Assumptions'!$B$5, 0)</f>
        <v/>
      </c>
      <c r="P1259" s="10" t="inlineStr">
        <is>
          <t>Single Carrier (Band n50, 100MHz TDD)</t>
        </is>
      </c>
      <c r="Q1259" s="13">
        <f>ROUNDUP(O1259/'Methodology &amp; Assumptions'!$B$6, 0)</f>
        <v/>
      </c>
      <c r="R1259" s="13" t="n">
        <v>1</v>
      </c>
      <c r="S1259" s="14" t="n">
        <v>14.97</v>
      </c>
      <c r="T1259" s="14" t="n">
        <v>10.84</v>
      </c>
      <c r="U1259" s="26">
        <f>IF(X1259&gt;='Methodology &amp; Assumptions'!$B$7, "Tier 1 Critical GIDA (Score ≥ 50.0)", IF(X1259&gt;='Methodology &amp; Assumptions'!$B$8, "Tier 2 High GIDA (Score 40.0–49.9)", "Tier 3 Moderate GIDA (Score &lt; 40.0)"))</f>
        <v/>
      </c>
      <c r="V1259" s="26">
        <f>IF(S1259&lt;='Methodology &amp; Assumptions'!$B$10, "Direct Optical Drop (&lt;3km)", IF(S1259&lt;='Methodology &amp; Assumptions'!$B$9, "Near Optical / Microwave (&lt;5km)", "Starlink Business LEO Satellite Backhaul (&gt;5km)"))</f>
        <v/>
      </c>
      <c r="W1259" s="28" t="n">
        <v>0.237</v>
      </c>
      <c r="X1259" s="14" t="n">
        <v>43.59</v>
      </c>
      <c r="Y1259" s="14">
        <f>ROUND(MIN(100, (X1259/69.91)*100), 2)</f>
        <v/>
      </c>
    </row>
    <row r="1260">
      <c r="A1260" s="10" t="n">
        <v>5</v>
      </c>
      <c r="B1260" s="10" t="n">
        <v>256</v>
      </c>
      <c r="C1260" s="10" t="n">
        <v>4256</v>
      </c>
      <c r="D1260" s="10" t="inlineStr">
        <is>
          <t>0600402007</t>
        </is>
      </c>
      <c r="E1260" s="26" t="inlineStr">
        <is>
          <t>Region VI (Western Visayas)</t>
        </is>
      </c>
      <c r="F1260" s="26" t="inlineStr">
        <is>
          <t>Aklan</t>
        </is>
      </c>
      <c r="G1260" s="26" t="inlineStr">
        <is>
          <t>Balete</t>
        </is>
      </c>
      <c r="H1260" s="26" t="inlineStr">
        <is>
          <t>Fulgencio</t>
        </is>
      </c>
      <c r="I1260" s="27" t="n">
        <v>11.588174</v>
      </c>
      <c r="J1260" s="27" t="n">
        <v>122.36872</v>
      </c>
      <c r="K1260" s="10" t="inlineStr">
        <is>
          <t>R</t>
        </is>
      </c>
      <c r="L1260" s="12" t="n">
        <v>3736</v>
      </c>
      <c r="M1260" s="14" t="n">
        <v>3.9</v>
      </c>
      <c r="N1260" s="12">
        <f>ROUND(L1260/M1260, 0)</f>
        <v/>
      </c>
      <c r="O1260" s="12">
        <f>ROUND(N1260*'Methodology &amp; Assumptions'!$B$5, 0)</f>
        <v/>
      </c>
      <c r="P1260" s="10" t="inlineStr">
        <is>
          <t>Single Carrier (Band n50, 100MHz TDD)</t>
        </is>
      </c>
      <c r="Q1260" s="13">
        <f>ROUNDUP(O1260/'Methodology &amp; Assumptions'!$B$6, 0)</f>
        <v/>
      </c>
      <c r="R1260" s="13" t="n">
        <v>1</v>
      </c>
      <c r="S1260" s="14" t="n">
        <v>2.77</v>
      </c>
      <c r="T1260" s="14" t="n">
        <v>1.24</v>
      </c>
      <c r="U1260" s="26">
        <f>IF(X1260&gt;='Methodology &amp; Assumptions'!$B$7, "Tier 1 Critical GIDA (Score ≥ 50.0)", IF(X1260&gt;='Methodology &amp; Assumptions'!$B$8, "Tier 2 High GIDA (Score 40.0–49.9)", "Tier 3 Moderate GIDA (Score &lt; 40.0)"))</f>
        <v/>
      </c>
      <c r="V1260" s="26">
        <f>IF(S1260&lt;='Methodology &amp; Assumptions'!$B$10, "Direct Optical Drop (&lt;3km)", IF(S1260&lt;='Methodology &amp; Assumptions'!$B$9, "Near Optical / Microwave (&lt;5km)", "Starlink Business LEO Satellite Backhaul (&gt;5km)"))</f>
        <v/>
      </c>
      <c r="W1260" s="28" t="n">
        <v>0.237</v>
      </c>
      <c r="X1260" s="14" t="n">
        <v>43.58</v>
      </c>
      <c r="Y1260" s="14">
        <f>ROUND(MIN(100, (X1260/69.91)*100), 2)</f>
        <v/>
      </c>
    </row>
    <row r="1261">
      <c r="A1261" s="10" t="n">
        <v>5</v>
      </c>
      <c r="B1261" s="10" t="n">
        <v>257</v>
      </c>
      <c r="C1261" s="10" t="n">
        <v>4257</v>
      </c>
      <c r="D1261" s="10" t="inlineStr">
        <is>
          <t>1380609004</t>
        </is>
      </c>
      <c r="E1261" s="26" t="inlineStr">
        <is>
          <t>National Capital Region (NCR)</t>
        </is>
      </c>
      <c r="F1261" s="26" t="inlineStr">
        <is>
          <t>First District (Not a Province)</t>
        </is>
      </c>
      <c r="G1261" s="26" t="inlineStr">
        <is>
          <t>City of Manila</t>
        </is>
      </c>
      <c r="H1261" s="26" t="inlineStr">
        <is>
          <t>Barangay 657</t>
        </is>
      </c>
      <c r="I1261" s="27" t="n">
        <v>12.598778</v>
      </c>
      <c r="J1261" s="27" t="n">
        <v>123.073862</v>
      </c>
      <c r="K1261" s="10" t="inlineStr">
        <is>
          <t>U</t>
        </is>
      </c>
      <c r="L1261" s="12" t="n">
        <v>1012</v>
      </c>
      <c r="M1261" s="14" t="n">
        <v>3.9</v>
      </c>
      <c r="N1261" s="12">
        <f>ROUND(L1261/M1261, 0)</f>
        <v/>
      </c>
      <c r="O1261" s="12">
        <f>ROUND(N1261*'Methodology &amp; Assumptions'!$B$5, 0)</f>
        <v/>
      </c>
      <c r="P1261" s="10" t="inlineStr">
        <is>
          <t>Single Carrier (Band n50, 100MHz TDD)</t>
        </is>
      </c>
      <c r="Q1261" s="13">
        <f>ROUNDUP(O1261/'Methodology &amp; Assumptions'!$B$6, 0)</f>
        <v/>
      </c>
      <c r="R1261" s="13" t="n">
        <v>1</v>
      </c>
      <c r="S1261" s="14" t="n">
        <v>36.61</v>
      </c>
      <c r="T1261" s="14" t="n">
        <v>40.29</v>
      </c>
      <c r="U1261" s="26">
        <f>IF(X1261&gt;='Methodology &amp; Assumptions'!$B$7, "Tier 1 Critical GIDA (Score ≥ 50.0)", IF(X1261&gt;='Methodology &amp; Assumptions'!$B$8, "Tier 2 High GIDA (Score 40.0–49.9)", "Tier 3 Moderate GIDA (Score &lt; 40.0)"))</f>
        <v/>
      </c>
      <c r="V1261" s="26">
        <f>IF(S1261&lt;='Methodology &amp; Assumptions'!$B$10, "Direct Optical Drop (&lt;3km)", IF(S1261&lt;='Methodology &amp; Assumptions'!$B$9, "Near Optical / Microwave (&lt;5km)", "Starlink Business LEO Satellite Backhaul (&gt;5km)"))</f>
        <v/>
      </c>
      <c r="W1261" s="28" t="n">
        <v>0.109</v>
      </c>
      <c r="X1261" s="14" t="n">
        <v>43.57</v>
      </c>
      <c r="Y1261" s="14">
        <f>ROUND(MIN(100, (X1261/69.91)*100), 2)</f>
        <v/>
      </c>
    </row>
    <row r="1262">
      <c r="A1262" s="10" t="n">
        <v>5</v>
      </c>
      <c r="B1262" s="10" t="n">
        <v>258</v>
      </c>
      <c r="C1262" s="10" t="n">
        <v>4258</v>
      </c>
      <c r="D1262" s="10" t="inlineStr">
        <is>
          <t>0600402006</t>
        </is>
      </c>
      <c r="E1262" s="26" t="inlineStr">
        <is>
          <t>Region VI (Western Visayas)</t>
        </is>
      </c>
      <c r="F1262" s="26" t="inlineStr">
        <is>
          <t>Aklan</t>
        </is>
      </c>
      <c r="G1262" s="26" t="inlineStr">
        <is>
          <t>Balete</t>
        </is>
      </c>
      <c r="H1262" s="26" t="inlineStr">
        <is>
          <t>Feliciano</t>
        </is>
      </c>
      <c r="I1262" s="27" t="n">
        <v>11.583465</v>
      </c>
      <c r="J1262" s="27" t="n">
        <v>122.357225</v>
      </c>
      <c r="K1262" s="10" t="inlineStr">
        <is>
          <t>U</t>
        </is>
      </c>
      <c r="L1262" s="12" t="n">
        <v>2950</v>
      </c>
      <c r="M1262" s="14" t="n">
        <v>3.9</v>
      </c>
      <c r="N1262" s="12">
        <f>ROUND(L1262/M1262, 0)</f>
        <v/>
      </c>
      <c r="O1262" s="12">
        <f>ROUND(N1262*'Methodology &amp; Assumptions'!$B$5, 0)</f>
        <v/>
      </c>
      <c r="P1262" s="10" t="inlineStr">
        <is>
          <t>Single Carrier (Band n50, 100MHz TDD)</t>
        </is>
      </c>
      <c r="Q1262" s="13">
        <f>ROUNDUP(O1262/'Methodology &amp; Assumptions'!$B$6, 0)</f>
        <v/>
      </c>
      <c r="R1262" s="13" t="n">
        <v>1</v>
      </c>
      <c r="S1262" s="14" t="n">
        <v>2.74</v>
      </c>
      <c r="T1262" s="14" t="n">
        <v>0.17</v>
      </c>
      <c r="U1262" s="26">
        <f>IF(X1262&gt;='Methodology &amp; Assumptions'!$B$7, "Tier 1 Critical GIDA (Score ≥ 50.0)", IF(X1262&gt;='Methodology &amp; Assumptions'!$B$8, "Tier 2 High GIDA (Score 40.0–49.9)", "Tier 3 Moderate GIDA (Score &lt; 40.0)"))</f>
        <v/>
      </c>
      <c r="V1262" s="26">
        <f>IF(S1262&lt;='Methodology &amp; Assumptions'!$B$10, "Direct Optical Drop (&lt;3km)", IF(S1262&lt;='Methodology &amp; Assumptions'!$B$9, "Near Optical / Microwave (&lt;5km)", "Starlink Business LEO Satellite Backhaul (&gt;5km)"))</f>
        <v/>
      </c>
      <c r="W1262" s="28" t="n">
        <v>0.237</v>
      </c>
      <c r="X1262" s="14" t="n">
        <v>43.56</v>
      </c>
      <c r="Y1262" s="14">
        <f>ROUND(MIN(100, (X1262/69.91)*100), 2)</f>
        <v/>
      </c>
    </row>
    <row r="1263">
      <c r="A1263" s="10" t="n">
        <v>5</v>
      </c>
      <c r="B1263" s="10" t="n">
        <v>259</v>
      </c>
      <c r="C1263" s="10" t="n">
        <v>4259</v>
      </c>
      <c r="D1263" s="10" t="inlineStr">
        <is>
          <t>PH0004259</t>
        </is>
      </c>
      <c r="E1263" s="26" t="inlineStr">
        <is>
          <t>VIII</t>
        </is>
      </c>
      <c r="F1263" s="26" t="inlineStr">
        <is>
          <t>Leyte</t>
        </is>
      </c>
      <c r="G1263" s="26" t="inlineStr">
        <is>
          <t>Tacloban City</t>
        </is>
      </c>
      <c r="H1263" s="26" t="inlineStr">
        <is>
          <t>El Reposo</t>
        </is>
      </c>
      <c r="I1263" s="27" t="n">
        <v>11.200532</v>
      </c>
      <c r="J1263" s="27" t="n">
        <v>125.027648</v>
      </c>
      <c r="K1263" s="10" t="inlineStr">
        <is>
          <t>R</t>
        </is>
      </c>
      <c r="L1263" s="12" t="n">
        <v>2258</v>
      </c>
      <c r="M1263" s="14" t="n">
        <v>3.8</v>
      </c>
      <c r="N1263" s="12">
        <f>ROUND(L1263/M1263, 0)</f>
        <v/>
      </c>
      <c r="O1263" s="12">
        <f>ROUND(N1263*'Methodology &amp; Assumptions'!$B$5, 0)</f>
        <v/>
      </c>
      <c r="P1263" s="10" t="inlineStr">
        <is>
          <t>Single Carrier (Band n50, 100MHz TDD)</t>
        </is>
      </c>
      <c r="Q1263" s="13">
        <f>ROUNDUP(O1263/'Methodology &amp; Assumptions'!$B$6, 0)</f>
        <v/>
      </c>
      <c r="R1263" s="13" t="n">
        <v>1</v>
      </c>
      <c r="S1263" s="14" t="n">
        <v>2.39</v>
      </c>
      <c r="T1263" s="14" t="n">
        <v>0.91</v>
      </c>
      <c r="U1263" s="26">
        <f>IF(X1263&gt;='Methodology &amp; Assumptions'!$B$7, "Tier 1 Critical GIDA (Score ≥ 50.0)", IF(X1263&gt;='Methodology &amp; Assumptions'!$B$8, "Tier 2 High GIDA (Score 40.0–49.9)", "Tier 3 Moderate GIDA (Score &lt; 40.0)"))</f>
        <v/>
      </c>
      <c r="V1263" s="26">
        <f>IF(S1263&lt;='Methodology &amp; Assumptions'!$B$10, "Direct Optical Drop (&lt;3km)", IF(S1263&lt;='Methodology &amp; Assumptions'!$B$9, "Near Optical / Microwave (&lt;5km)", "Starlink Business LEO Satellite Backhaul (&gt;5km)"))</f>
        <v/>
      </c>
      <c r="W1263" s="28" t="n">
        <v>0.222</v>
      </c>
      <c r="X1263" s="14" t="n">
        <v>43.56</v>
      </c>
      <c r="Y1263" s="14">
        <f>ROUND(MIN(100, (X1263/69.91)*100), 2)</f>
        <v/>
      </c>
    </row>
    <row r="1264">
      <c r="A1264" s="10" t="n">
        <v>5</v>
      </c>
      <c r="B1264" s="10" t="n">
        <v>260</v>
      </c>
      <c r="C1264" s="10" t="n">
        <v>4260</v>
      </c>
      <c r="D1264" s="10" t="inlineStr">
        <is>
          <t>0405646008</t>
        </is>
      </c>
      <c r="E1264" s="26" t="inlineStr">
        <is>
          <t>Region IV-A (CALABARZON)</t>
        </is>
      </c>
      <c r="F1264" s="26" t="inlineStr">
        <is>
          <t>Quezon</t>
        </is>
      </c>
      <c r="G1264" s="26" t="inlineStr">
        <is>
          <t>Tagkawayan</t>
        </is>
      </c>
      <c r="H1264" s="26" t="inlineStr">
        <is>
          <t>Cagascas</t>
        </is>
      </c>
      <c r="I1264" s="27" t="n">
        <v>13.995524</v>
      </c>
      <c r="J1264" s="27" t="n">
        <v>122.504524</v>
      </c>
      <c r="K1264" s="10" t="inlineStr">
        <is>
          <t>R</t>
        </is>
      </c>
      <c r="L1264" s="12" t="n">
        <v>181</v>
      </c>
      <c r="M1264" s="14" t="n">
        <v>3.8</v>
      </c>
      <c r="N1264" s="12">
        <f>ROUND(L1264/M1264, 0)</f>
        <v/>
      </c>
      <c r="O1264" s="12">
        <f>ROUND(N1264*'Methodology &amp; Assumptions'!$B$5, 0)</f>
        <v/>
      </c>
      <c r="P1264" s="10" t="inlineStr">
        <is>
          <t>Single Carrier (Band n50, 100MHz TDD)</t>
        </is>
      </c>
      <c r="Q1264" s="13">
        <f>ROUNDUP(O1264/'Methodology &amp; Assumptions'!$B$6, 0)</f>
        <v/>
      </c>
      <c r="R1264" s="13" t="n">
        <v>1</v>
      </c>
      <c r="S1264" s="14" t="n">
        <v>4.35</v>
      </c>
      <c r="T1264" s="14" t="n">
        <v>2.25</v>
      </c>
      <c r="U1264" s="26">
        <f>IF(X1264&gt;='Methodology &amp; Assumptions'!$B$7, "Tier 1 Critical GIDA (Score ≥ 50.0)", IF(X1264&gt;='Methodology &amp; Assumptions'!$B$8, "Tier 2 High GIDA (Score 40.0–49.9)", "Tier 3 Moderate GIDA (Score &lt; 40.0)"))</f>
        <v/>
      </c>
      <c r="V1264" s="26">
        <f>IF(S1264&lt;='Methodology &amp; Assumptions'!$B$10, "Direct Optical Drop (&lt;3km)", IF(S1264&lt;='Methodology &amp; Assumptions'!$B$9, "Near Optical / Microwave (&lt;5km)", "Starlink Business LEO Satellite Backhaul (&gt;5km)"))</f>
        <v/>
      </c>
      <c r="W1264" s="28" t="n">
        <v>0.07200000000000001</v>
      </c>
      <c r="X1264" s="14" t="n">
        <v>43.56</v>
      </c>
      <c r="Y1264" s="14">
        <f>ROUND(MIN(100, (X1264/69.91)*100), 2)</f>
        <v/>
      </c>
    </row>
    <row r="1265">
      <c r="A1265" s="10" t="n">
        <v>5</v>
      </c>
      <c r="B1265" s="10" t="n">
        <v>261</v>
      </c>
      <c r="C1265" s="10" t="n">
        <v>4261</v>
      </c>
      <c r="D1265" s="10" t="inlineStr">
        <is>
          <t>1705205053</t>
        </is>
      </c>
      <c r="E1265" s="26" t="inlineStr">
        <is>
          <t>MIMAROPA Region</t>
        </is>
      </c>
      <c r="F1265" s="26" t="inlineStr">
        <is>
          <t>Oriental Mindoro</t>
        </is>
      </c>
      <c r="G1265" s="26" t="inlineStr">
        <is>
          <t>City of Calapan</t>
        </is>
      </c>
      <c r="H1265" s="26" t="inlineStr">
        <is>
          <t>San Vicente South</t>
        </is>
      </c>
      <c r="I1265" s="27" t="n">
        <v>13.410644</v>
      </c>
      <c r="J1265" s="27" t="n">
        <v>121.177421</v>
      </c>
      <c r="K1265" s="10" t="inlineStr">
        <is>
          <t>U</t>
        </is>
      </c>
      <c r="L1265" s="12" t="n">
        <v>465</v>
      </c>
      <c r="M1265" s="14" t="n">
        <v>3.9</v>
      </c>
      <c r="N1265" s="12">
        <f>ROUND(L1265/M1265, 0)</f>
        <v/>
      </c>
      <c r="O1265" s="12">
        <f>ROUND(N1265*'Methodology &amp; Assumptions'!$B$5, 0)</f>
        <v/>
      </c>
      <c r="P1265" s="10" t="inlineStr">
        <is>
          <t>Single Carrier (Band n50, 100MHz TDD)</t>
        </is>
      </c>
      <c r="Q1265" s="13">
        <f>ROUNDUP(O1265/'Methodology &amp; Assumptions'!$B$6, 0)</f>
        <v/>
      </c>
      <c r="R1265" s="13" t="n">
        <v>1</v>
      </c>
      <c r="S1265" s="14" t="n">
        <v>2.38</v>
      </c>
      <c r="T1265" s="14" t="n">
        <v>3.99</v>
      </c>
      <c r="U1265" s="26">
        <f>IF(X1265&gt;='Methodology &amp; Assumptions'!$B$7, "Tier 1 Critical GIDA (Score ≥ 50.0)", IF(X1265&gt;='Methodology &amp; Assumptions'!$B$8, "Tier 2 High GIDA (Score 40.0–49.9)", "Tier 3 Moderate GIDA (Score &lt; 40.0)"))</f>
        <v/>
      </c>
      <c r="V1265" s="26">
        <f>IF(S1265&lt;='Methodology &amp; Assumptions'!$B$10, "Direct Optical Drop (&lt;3km)", IF(S1265&lt;='Methodology &amp; Assumptions'!$B$9, "Near Optical / Microwave (&lt;5km)", "Starlink Business LEO Satellite Backhaul (&gt;5km)"))</f>
        <v/>
      </c>
      <c r="W1265" s="28" t="n">
        <v>0.15</v>
      </c>
      <c r="X1265" s="14" t="n">
        <v>43.56</v>
      </c>
      <c r="Y1265" s="14">
        <f>ROUND(MIN(100, (X1265/69.91)*100), 2)</f>
        <v/>
      </c>
    </row>
    <row r="1266">
      <c r="A1266" s="10" t="n">
        <v>5</v>
      </c>
      <c r="B1266" s="10" t="n">
        <v>262</v>
      </c>
      <c r="C1266" s="10" t="n">
        <v>4262</v>
      </c>
      <c r="D1266" s="10" t="inlineStr">
        <is>
          <t>1381200012</t>
        </is>
      </c>
      <c r="E1266" s="26" t="inlineStr">
        <is>
          <t>National Capital Region (NCR)</t>
        </is>
      </c>
      <c r="F1266" s="26" t="inlineStr">
        <is>
          <t>Second District (Not a Province)</t>
        </is>
      </c>
      <c r="G1266" s="26" t="inlineStr">
        <is>
          <t>City of Pasig</t>
        </is>
      </c>
      <c r="H1266" s="26" t="inlineStr">
        <is>
          <t>Maybunga</t>
        </is>
      </c>
      <c r="I1266" s="27" t="n">
        <v>14.578594</v>
      </c>
      <c r="J1266" s="27" t="n">
        <v>121.083667</v>
      </c>
      <c r="K1266" s="10" t="inlineStr">
        <is>
          <t>U</t>
        </is>
      </c>
      <c r="L1266" s="12" t="n">
        <v>48385</v>
      </c>
      <c r="M1266" s="14" t="n">
        <v>3.4</v>
      </c>
      <c r="N1266" s="12">
        <f>ROUND(L1266/M1266, 0)</f>
        <v/>
      </c>
      <c r="O1266" s="12">
        <f>ROUND(N1266*'Methodology &amp; Assumptions'!$B$5, 0)</f>
        <v/>
      </c>
      <c r="P1266" s="10" t="inlineStr">
        <is>
          <t>Single Carrier (Band n50, 100MHz TDD)</t>
        </is>
      </c>
      <c r="Q1266" s="13">
        <f>ROUNDUP(O1266/'Methodology &amp; Assumptions'!$B$6, 0)</f>
        <v/>
      </c>
      <c r="R1266" s="13" t="n">
        <v>1</v>
      </c>
      <c r="S1266" s="14" t="n">
        <v>0.31</v>
      </c>
      <c r="T1266" s="14" t="n">
        <v>0.24</v>
      </c>
      <c r="U1266" s="26">
        <f>IF(X1266&gt;='Methodology &amp; Assumptions'!$B$7, "Tier 1 Critical GIDA (Score ≥ 50.0)", IF(X1266&gt;='Methodology &amp; Assumptions'!$B$8, "Tier 2 High GIDA (Score 40.0–49.9)", "Tier 3 Moderate GIDA (Score &lt; 40.0)"))</f>
        <v/>
      </c>
      <c r="V1266" s="26">
        <f>IF(S1266&lt;='Methodology &amp; Assumptions'!$B$10, "Direct Optical Drop (&lt;3km)", IF(S1266&lt;='Methodology &amp; Assumptions'!$B$9, "Near Optical / Microwave (&lt;5km)", "Starlink Business LEO Satellite Backhaul (&gt;5km)"))</f>
        <v/>
      </c>
      <c r="W1266" s="28" t="n">
        <v>0.109</v>
      </c>
      <c r="X1266" s="14" t="n">
        <v>43.56</v>
      </c>
      <c r="Y1266" s="14">
        <f>ROUND(MIN(100, (X1266/69.91)*100), 2)</f>
        <v/>
      </c>
    </row>
    <row r="1267">
      <c r="A1267" s="10" t="n">
        <v>5</v>
      </c>
      <c r="B1267" s="10" t="n">
        <v>263</v>
      </c>
      <c r="C1267" s="10" t="n">
        <v>4263</v>
      </c>
      <c r="D1267" s="10" t="inlineStr">
        <is>
          <t>0405619031</t>
        </is>
      </c>
      <c r="E1267" s="26" t="inlineStr">
        <is>
          <t>Region IV-A (CALABARZON)</t>
        </is>
      </c>
      <c r="F1267" s="26" t="inlineStr">
        <is>
          <t>Quezon</t>
        </is>
      </c>
      <c r="G1267" s="26" t="inlineStr">
        <is>
          <t>Gumaca</t>
        </is>
      </c>
      <c r="H1267" s="26" t="inlineStr">
        <is>
          <t>Mataas Na Bundok</t>
        </is>
      </c>
      <c r="I1267" s="27" t="n">
        <v>13.901354</v>
      </c>
      <c r="J1267" s="27" t="n">
        <v>122.117273</v>
      </c>
      <c r="K1267" s="10" t="inlineStr">
        <is>
          <t>R</t>
        </is>
      </c>
      <c r="L1267" s="12" t="n">
        <v>170</v>
      </c>
      <c r="M1267" s="14" t="n">
        <v>3.8</v>
      </c>
      <c r="N1267" s="12">
        <f>ROUND(L1267/M1267, 0)</f>
        <v/>
      </c>
      <c r="O1267" s="12">
        <f>ROUND(N1267*'Methodology &amp; Assumptions'!$B$5, 0)</f>
        <v/>
      </c>
      <c r="P1267" s="10" t="inlineStr">
        <is>
          <t>Single Carrier (Band n50, 100MHz TDD)</t>
        </is>
      </c>
      <c r="Q1267" s="13">
        <f>ROUNDUP(O1267/'Methodology &amp; Assumptions'!$B$6, 0)</f>
        <v/>
      </c>
      <c r="R1267" s="13" t="n">
        <v>1</v>
      </c>
      <c r="S1267" s="14" t="n">
        <v>2.6</v>
      </c>
      <c r="T1267" s="14" t="n">
        <v>1.83</v>
      </c>
      <c r="U1267" s="26">
        <f>IF(X1267&gt;='Methodology &amp; Assumptions'!$B$7, "Tier 1 Critical GIDA (Score ≥ 50.0)", IF(X1267&gt;='Methodology &amp; Assumptions'!$B$8, "Tier 2 High GIDA (Score 40.0–49.9)", "Tier 3 Moderate GIDA (Score &lt; 40.0)"))</f>
        <v/>
      </c>
      <c r="V1267" s="26">
        <f>IF(S1267&lt;='Methodology &amp; Assumptions'!$B$10, "Direct Optical Drop (&lt;3km)", IF(S1267&lt;='Methodology &amp; Assumptions'!$B$9, "Near Optical / Microwave (&lt;5km)", "Starlink Business LEO Satellite Backhaul (&gt;5km)"))</f>
        <v/>
      </c>
      <c r="W1267" s="28" t="n">
        <v>0.07200000000000001</v>
      </c>
      <c r="X1267" s="14" t="n">
        <v>43.55</v>
      </c>
      <c r="Y1267" s="14">
        <f>ROUND(MIN(100, (X1267/69.91)*100), 2)</f>
        <v/>
      </c>
    </row>
    <row r="1268">
      <c r="A1268" s="10" t="n">
        <v>5</v>
      </c>
      <c r="B1268" s="10" t="n">
        <v>264</v>
      </c>
      <c r="C1268" s="10" t="n">
        <v>4264</v>
      </c>
      <c r="D1268" s="10" t="inlineStr">
        <is>
          <t>0806409009</t>
        </is>
      </c>
      <c r="E1268" s="26" t="inlineStr">
        <is>
          <t>Region VIII (Eastern Visayas)</t>
        </is>
      </c>
      <c r="F1268" s="26" t="inlineStr">
        <is>
          <t>Southern Leyte</t>
        </is>
      </c>
      <c r="G1268" s="26" t="inlineStr">
        <is>
          <t>Malitbog</t>
        </is>
      </c>
      <c r="H1268" s="26" t="inlineStr">
        <is>
          <t>Caraatan</t>
        </is>
      </c>
      <c r="I1268" s="27" t="n">
        <v>10.114083</v>
      </c>
      <c r="J1268" s="27" t="n">
        <v>124.971943</v>
      </c>
      <c r="K1268" s="10" t="inlineStr">
        <is>
          <t>R</t>
        </is>
      </c>
      <c r="L1268" s="12" t="n">
        <v>243</v>
      </c>
      <c r="M1268" s="14" t="n">
        <v>4.1</v>
      </c>
      <c r="N1268" s="12">
        <f>ROUND(L1268/M1268, 0)</f>
        <v/>
      </c>
      <c r="O1268" s="12">
        <f>ROUND(N1268*'Methodology &amp; Assumptions'!$B$5, 0)</f>
        <v/>
      </c>
      <c r="P1268" s="10" t="inlineStr">
        <is>
          <t>Single Carrier (Band n50, 100MHz TDD)</t>
        </is>
      </c>
      <c r="Q1268" s="13">
        <f>ROUNDUP(O1268/'Methodology &amp; Assumptions'!$B$6, 0)</f>
        <v/>
      </c>
      <c r="R1268" s="13" t="n">
        <v>1</v>
      </c>
      <c r="S1268" s="14" t="n">
        <v>8.08</v>
      </c>
      <c r="T1268" s="14" t="n">
        <v>3.96</v>
      </c>
      <c r="U1268" s="26">
        <f>IF(X1268&gt;='Methodology &amp; Assumptions'!$B$7, "Tier 1 Critical GIDA (Score ≥ 50.0)", IF(X1268&gt;='Methodology &amp; Assumptions'!$B$8, "Tier 2 High GIDA (Score 40.0–49.9)", "Tier 3 Moderate GIDA (Score &lt; 40.0)"))</f>
        <v/>
      </c>
      <c r="V1268" s="26">
        <f>IF(S1268&lt;='Methodology &amp; Assumptions'!$B$10, "Direct Optical Drop (&lt;3km)", IF(S1268&lt;='Methodology &amp; Assumptions'!$B$9, "Near Optical / Microwave (&lt;5km)", "Starlink Business LEO Satellite Backhaul (&gt;5km)"))</f>
        <v/>
      </c>
      <c r="W1268" s="28" t="n">
        <v>0.237</v>
      </c>
      <c r="X1268" s="14" t="n">
        <v>43.55</v>
      </c>
      <c r="Y1268" s="14">
        <f>ROUND(MIN(100, (X1268/69.91)*100), 2)</f>
        <v/>
      </c>
    </row>
    <row r="1269">
      <c r="A1269" s="10" t="n">
        <v>5</v>
      </c>
      <c r="B1269" s="10" t="n">
        <v>265</v>
      </c>
      <c r="C1269" s="10" t="n">
        <v>4265</v>
      </c>
      <c r="D1269" s="10" t="inlineStr">
        <is>
          <t>1906609024</t>
        </is>
      </c>
      <c r="E1269" s="26" t="inlineStr">
        <is>
          <t>Bangsamoro Autonomous Region In Muslim Mindanao (BARMM)</t>
        </is>
      </c>
      <c r="F1269" s="26" t="inlineStr">
        <is>
          <t>Sulu</t>
        </is>
      </c>
      <c r="G1269" s="26" t="inlineStr">
        <is>
          <t>Parang</t>
        </is>
      </c>
      <c r="H1269" s="26" t="inlineStr">
        <is>
          <t>Alu Layag-Layag</t>
        </is>
      </c>
      <c r="I1269" s="27" t="n">
        <v>17.255369</v>
      </c>
      <c r="J1269" s="27" t="n">
        <v>122.229413</v>
      </c>
      <c r="K1269" s="10" t="inlineStr">
        <is>
          <t>R</t>
        </is>
      </c>
      <c r="L1269" s="12" t="n">
        <v>5473</v>
      </c>
      <c r="M1269" s="14" t="n">
        <v>6</v>
      </c>
      <c r="N1269" s="12">
        <f>ROUND(L1269/M1269, 0)</f>
        <v/>
      </c>
      <c r="O1269" s="12">
        <f>ROUND(N1269*'Methodology &amp; Assumptions'!$B$5, 0)</f>
        <v/>
      </c>
      <c r="P1269" s="10" t="inlineStr">
        <is>
          <t>Single Carrier (Band n50, 100MHz TDD)</t>
        </is>
      </c>
      <c r="Q1269" s="13">
        <f>ROUNDUP(O1269/'Methodology &amp; Assumptions'!$B$6, 0)</f>
        <v/>
      </c>
      <c r="R1269" s="13" t="n">
        <v>1</v>
      </c>
      <c r="S1269" s="14" t="n">
        <v>29.5</v>
      </c>
      <c r="T1269" s="14" t="n">
        <v>34.37</v>
      </c>
      <c r="U1269" s="26">
        <f>IF(X1269&gt;='Methodology &amp; Assumptions'!$B$7, "Tier 1 Critical GIDA (Score ≥ 50.0)", IF(X1269&gt;='Methodology &amp; Assumptions'!$B$8, "Tier 2 High GIDA (Score 40.0–49.9)", "Tier 3 Moderate GIDA (Score &lt; 40.0)"))</f>
        <v/>
      </c>
      <c r="V1269" s="26">
        <f>IF(S1269&lt;='Methodology &amp; Assumptions'!$B$10, "Direct Optical Drop (&lt;3km)", IF(S1269&lt;='Methodology &amp; Assumptions'!$B$9, "Near Optical / Microwave (&lt;5km)", "Starlink Business LEO Satellite Backhaul (&gt;5km)"))</f>
        <v/>
      </c>
      <c r="W1269" s="28" t="n">
        <v>0.11</v>
      </c>
      <c r="X1269" s="14" t="n">
        <v>43.55</v>
      </c>
      <c r="Y1269" s="14">
        <f>ROUND(MIN(100, (X1269/69.91)*100), 2)</f>
        <v/>
      </c>
    </row>
    <row r="1270">
      <c r="A1270" s="10" t="n">
        <v>5</v>
      </c>
      <c r="B1270" s="10" t="n">
        <v>266</v>
      </c>
      <c r="C1270" s="10" t="n">
        <v>4266</v>
      </c>
      <c r="D1270" s="10" t="inlineStr">
        <is>
          <t>PH0004266</t>
        </is>
      </c>
      <c r="E1270" s="26" t="inlineStr">
        <is>
          <t>VII</t>
        </is>
      </c>
      <c r="F1270" s="26" t="inlineStr">
        <is>
          <t>Cebu</t>
        </is>
      </c>
      <c r="G1270" s="26" t="inlineStr">
        <is>
          <t>Cebu City</t>
        </is>
      </c>
      <c r="H1270" s="26" t="inlineStr">
        <is>
          <t>Basak Pardo</t>
        </is>
      </c>
      <c r="I1270" s="27" t="n">
        <v>10.290885</v>
      </c>
      <c r="J1270" s="27" t="n">
        <v>123.865565</v>
      </c>
      <c r="K1270" s="10" t="inlineStr">
        <is>
          <t>R</t>
        </is>
      </c>
      <c r="L1270" s="12" t="n">
        <v>2250</v>
      </c>
      <c r="M1270" s="14" t="n">
        <v>3.8</v>
      </c>
      <c r="N1270" s="12">
        <f>ROUND(L1270/M1270, 0)</f>
        <v/>
      </c>
      <c r="O1270" s="12">
        <f>ROUND(N1270*'Methodology &amp; Assumptions'!$B$5, 0)</f>
        <v/>
      </c>
      <c r="P1270" s="10" t="inlineStr">
        <is>
          <t>Single Carrier (Band n50, 100MHz TDD)</t>
        </is>
      </c>
      <c r="Q1270" s="13">
        <f>ROUNDUP(O1270/'Methodology &amp; Assumptions'!$B$6, 0)</f>
        <v/>
      </c>
      <c r="R1270" s="13" t="n">
        <v>1</v>
      </c>
      <c r="S1270" s="14" t="n">
        <v>0.87</v>
      </c>
      <c r="T1270" s="14" t="n">
        <v>0.24</v>
      </c>
      <c r="U1270" s="26">
        <f>IF(X1270&gt;='Methodology &amp; Assumptions'!$B$7, "Tier 1 Critical GIDA (Score ≥ 50.0)", IF(X1270&gt;='Methodology &amp; Assumptions'!$B$8, "Tier 2 High GIDA (Score 40.0–49.9)", "Tier 3 Moderate GIDA (Score &lt; 40.0)"))</f>
        <v/>
      </c>
      <c r="V1270" s="26">
        <f>IF(S1270&lt;='Methodology &amp; Assumptions'!$B$10, "Direct Optical Drop (&lt;3km)", IF(S1270&lt;='Methodology &amp; Assumptions'!$B$9, "Near Optical / Microwave (&lt;5km)", "Starlink Business LEO Satellite Backhaul (&gt;5km)"))</f>
        <v/>
      </c>
      <c r="W1270" s="28" t="n">
        <v>0.21</v>
      </c>
      <c r="X1270" s="14" t="n">
        <v>43.55</v>
      </c>
      <c r="Y1270" s="14">
        <f>ROUND(MIN(100, (X1270/69.91)*100), 2)</f>
        <v/>
      </c>
    </row>
    <row r="1271">
      <c r="A1271" s="10" t="n">
        <v>5</v>
      </c>
      <c r="B1271" s="10" t="n">
        <v>267</v>
      </c>
      <c r="C1271" s="10" t="n">
        <v>4267</v>
      </c>
      <c r="D1271" s="10" t="inlineStr">
        <is>
          <t>0501705010</t>
        </is>
      </c>
      <c r="E1271" s="26" t="inlineStr">
        <is>
          <t>Region V (Bicol Region)</t>
        </is>
      </c>
      <c r="F1271" s="26" t="inlineStr">
        <is>
          <t>Camarines Sur</t>
        </is>
      </c>
      <c r="G1271" s="26" t="inlineStr">
        <is>
          <t>Buhi</t>
        </is>
      </c>
      <c r="H1271" s="26" t="inlineStr">
        <is>
          <t>Ipil</t>
        </is>
      </c>
      <c r="I1271" s="27" t="n">
        <v>13.45297</v>
      </c>
      <c r="J1271" s="27" t="n">
        <v>123.53419</v>
      </c>
      <c r="K1271" s="10" t="inlineStr">
        <is>
          <t>R</t>
        </is>
      </c>
      <c r="L1271" s="12" t="n">
        <v>1529</v>
      </c>
      <c r="M1271" s="14" t="n">
        <v>4.2</v>
      </c>
      <c r="N1271" s="12">
        <f>ROUND(L1271/M1271, 0)</f>
        <v/>
      </c>
      <c r="O1271" s="12">
        <f>ROUND(N1271*'Methodology &amp; Assumptions'!$B$5, 0)</f>
        <v/>
      </c>
      <c r="P1271" s="10" t="inlineStr">
        <is>
          <t>Single Carrier (Band n50, 100MHz TDD)</t>
        </is>
      </c>
      <c r="Q1271" s="13">
        <f>ROUNDUP(O1271/'Methodology &amp; Assumptions'!$B$6, 0)</f>
        <v/>
      </c>
      <c r="R1271" s="13" t="n">
        <v>1</v>
      </c>
      <c r="S1271" s="14" t="n">
        <v>4.64</v>
      </c>
      <c r="T1271" s="14" t="n">
        <v>4.89</v>
      </c>
      <c r="U1271" s="26">
        <f>IF(X1271&gt;='Methodology &amp; Assumptions'!$B$7, "Tier 1 Critical GIDA (Score ≥ 50.0)", IF(X1271&gt;='Methodology &amp; Assumptions'!$B$8, "Tier 2 High GIDA (Score 40.0–49.9)", "Tier 3 Moderate GIDA (Score &lt; 40.0)"))</f>
        <v/>
      </c>
      <c r="V1271" s="26">
        <f>IF(S1271&lt;='Methodology &amp; Assumptions'!$B$10, "Direct Optical Drop (&lt;3km)", IF(S1271&lt;='Methodology &amp; Assumptions'!$B$9, "Near Optical / Microwave (&lt;5km)", "Starlink Business LEO Satellite Backhaul (&gt;5km)"))</f>
        <v/>
      </c>
      <c r="W1271" s="28" t="n">
        <v>0.237</v>
      </c>
      <c r="X1271" s="14" t="n">
        <v>43.55</v>
      </c>
      <c r="Y1271" s="14">
        <f>ROUND(MIN(100, (X1271/69.91)*100), 2)</f>
        <v/>
      </c>
    </row>
    <row r="1272">
      <c r="A1272" s="10" t="n">
        <v>5</v>
      </c>
      <c r="B1272" s="10" t="n">
        <v>268</v>
      </c>
      <c r="C1272" s="10" t="n">
        <v>4268</v>
      </c>
      <c r="D1272" s="10" t="inlineStr">
        <is>
          <t>0405619011</t>
        </is>
      </c>
      <c r="E1272" s="26" t="inlineStr">
        <is>
          <t>Region IV-A (CALABARZON)</t>
        </is>
      </c>
      <c r="F1272" s="26" t="inlineStr">
        <is>
          <t>Quezon</t>
        </is>
      </c>
      <c r="G1272" s="26" t="inlineStr">
        <is>
          <t>Gumaca</t>
        </is>
      </c>
      <c r="H1272" s="26" t="inlineStr">
        <is>
          <t>Bungahan</t>
        </is>
      </c>
      <c r="I1272" s="27" t="n">
        <v>13.8896</v>
      </c>
      <c r="J1272" s="27" t="n">
        <v>122.134639</v>
      </c>
      <c r="K1272" s="10" t="inlineStr">
        <is>
          <t>R</t>
        </is>
      </c>
      <c r="L1272" s="12" t="n">
        <v>221</v>
      </c>
      <c r="M1272" s="14" t="n">
        <v>3.8</v>
      </c>
      <c r="N1272" s="12">
        <f>ROUND(L1272/M1272, 0)</f>
        <v/>
      </c>
      <c r="O1272" s="12">
        <f>ROUND(N1272*'Methodology &amp; Assumptions'!$B$5, 0)</f>
        <v/>
      </c>
      <c r="P1272" s="10" t="inlineStr">
        <is>
          <t>Single Carrier (Band n50, 100MHz TDD)</t>
        </is>
      </c>
      <c r="Q1272" s="13">
        <f>ROUNDUP(O1272/'Methodology &amp; Assumptions'!$B$6, 0)</f>
        <v/>
      </c>
      <c r="R1272" s="13" t="n">
        <v>1</v>
      </c>
      <c r="S1272" s="14" t="n">
        <v>4.7</v>
      </c>
      <c r="T1272" s="14" t="n">
        <v>2.4</v>
      </c>
      <c r="U1272" s="26">
        <f>IF(X1272&gt;='Methodology &amp; Assumptions'!$B$7, "Tier 1 Critical GIDA (Score ≥ 50.0)", IF(X1272&gt;='Methodology &amp; Assumptions'!$B$8, "Tier 2 High GIDA (Score 40.0–49.9)", "Tier 3 Moderate GIDA (Score &lt; 40.0)"))</f>
        <v/>
      </c>
      <c r="V1272" s="26">
        <f>IF(S1272&lt;='Methodology &amp; Assumptions'!$B$10, "Direct Optical Drop (&lt;3km)", IF(S1272&lt;='Methodology &amp; Assumptions'!$B$9, "Near Optical / Microwave (&lt;5km)", "Starlink Business LEO Satellite Backhaul (&gt;5km)"))</f>
        <v/>
      </c>
      <c r="W1272" s="28" t="n">
        <v>0.07200000000000001</v>
      </c>
      <c r="X1272" s="14" t="n">
        <v>43.54</v>
      </c>
      <c r="Y1272" s="14">
        <f>ROUND(MIN(100, (X1272/69.91)*100), 2)</f>
        <v/>
      </c>
    </row>
    <row r="1273">
      <c r="A1273" s="10" t="n">
        <v>5</v>
      </c>
      <c r="B1273" s="10" t="n">
        <v>269</v>
      </c>
      <c r="C1273" s="10" t="n">
        <v>4269</v>
      </c>
      <c r="D1273" s="10" t="inlineStr">
        <is>
          <t>1003521021</t>
        </is>
      </c>
      <c r="E1273" s="26" t="inlineStr">
        <is>
          <t>Region X (Northern Mindanao)</t>
        </is>
      </c>
      <c r="F1273" s="26" t="inlineStr">
        <is>
          <t>Lanao del Norte</t>
        </is>
      </c>
      <c r="G1273" s="26" t="inlineStr">
        <is>
          <t>Tangcal</t>
        </is>
      </c>
      <c r="H1273" s="26" t="inlineStr">
        <is>
          <t>Somiorang</t>
        </is>
      </c>
      <c r="I1273" s="27" t="n">
        <v>8.011797</v>
      </c>
      <c r="J1273" s="27" t="n">
        <v>124.002942</v>
      </c>
      <c r="K1273" s="10" t="inlineStr">
        <is>
          <t>R</t>
        </is>
      </c>
      <c r="L1273" s="12" t="n">
        <v>733</v>
      </c>
      <c r="M1273" s="14" t="n">
        <v>4.2</v>
      </c>
      <c r="N1273" s="12">
        <f>ROUND(L1273/M1273, 0)</f>
        <v/>
      </c>
      <c r="O1273" s="12">
        <f>ROUND(N1273*'Methodology &amp; Assumptions'!$B$5, 0)</f>
        <v/>
      </c>
      <c r="P1273" s="10" t="inlineStr">
        <is>
          <t>Single Carrier (Band n50, 100MHz TDD)</t>
        </is>
      </c>
      <c r="Q1273" s="13">
        <f>ROUNDUP(O1273/'Methodology &amp; Assumptions'!$B$6, 0)</f>
        <v/>
      </c>
      <c r="R1273" s="13" t="n">
        <v>1</v>
      </c>
      <c r="S1273" s="14" t="n">
        <v>22.7</v>
      </c>
      <c r="T1273" s="14" t="n">
        <v>15.54</v>
      </c>
      <c r="U1273" s="26">
        <f>IF(X1273&gt;='Methodology &amp; Assumptions'!$B$7, "Tier 1 Critical GIDA (Score ≥ 50.0)", IF(X1273&gt;='Methodology &amp; Assumptions'!$B$8, "Tier 2 High GIDA (Score 40.0–49.9)", "Tier 3 Moderate GIDA (Score &lt; 40.0)"))</f>
        <v/>
      </c>
      <c r="V1273" s="26">
        <f>IF(S1273&lt;='Methodology &amp; Assumptions'!$B$10, "Direct Optical Drop (&lt;3km)", IF(S1273&lt;='Methodology &amp; Assumptions'!$B$9, "Near Optical / Microwave (&lt;5km)", "Starlink Business LEO Satellite Backhaul (&gt;5km)"))</f>
        <v/>
      </c>
      <c r="W1273" s="28" t="n">
        <v>0.174</v>
      </c>
      <c r="X1273" s="14" t="n">
        <v>43.54</v>
      </c>
      <c r="Y1273" s="14">
        <f>ROUND(MIN(100, (X1273/69.91)*100), 2)</f>
        <v/>
      </c>
    </row>
    <row r="1274">
      <c r="A1274" s="10" t="n">
        <v>5</v>
      </c>
      <c r="B1274" s="10" t="n">
        <v>270</v>
      </c>
      <c r="C1274" s="10" t="n">
        <v>4270</v>
      </c>
      <c r="D1274" s="10" t="inlineStr">
        <is>
          <t>0907222011</t>
        </is>
      </c>
      <c r="E1274" s="26" t="inlineStr">
        <is>
          <t>Region IX (Zamboanga Peninsula)</t>
        </is>
      </c>
      <c r="F1274" s="26" t="inlineStr">
        <is>
          <t>Zamboanga del Norte</t>
        </is>
      </c>
      <c r="G1274" s="26" t="inlineStr">
        <is>
          <t>Jose Dalman</t>
        </is>
      </c>
      <c r="H1274" s="26" t="inlineStr">
        <is>
          <t>Labakid</t>
        </is>
      </c>
      <c r="I1274" s="27" t="n">
        <v>8.388030000000001</v>
      </c>
      <c r="J1274" s="27" t="n">
        <v>123.02605</v>
      </c>
      <c r="K1274" s="10" t="inlineStr">
        <is>
          <t>R</t>
        </is>
      </c>
      <c r="L1274" s="12" t="n">
        <v>1218</v>
      </c>
      <c r="M1274" s="14" t="n">
        <v>3.6</v>
      </c>
      <c r="N1274" s="12">
        <f>ROUND(L1274/M1274, 0)</f>
        <v/>
      </c>
      <c r="O1274" s="12">
        <f>ROUND(N1274*'Methodology &amp; Assumptions'!$B$5, 0)</f>
        <v/>
      </c>
      <c r="P1274" s="10" t="inlineStr">
        <is>
          <t>Single Carrier (Band n50, 100MHz TDD)</t>
        </is>
      </c>
      <c r="Q1274" s="13">
        <f>ROUNDUP(O1274/'Methodology &amp; Assumptions'!$B$6, 0)</f>
        <v/>
      </c>
      <c r="R1274" s="13" t="n">
        <v>1</v>
      </c>
      <c r="S1274" s="14" t="n">
        <v>73.26000000000001</v>
      </c>
      <c r="T1274" s="14" t="n">
        <v>65.06999999999999</v>
      </c>
      <c r="U1274" s="26">
        <f>IF(X1274&gt;='Methodology &amp; Assumptions'!$B$7, "Tier 1 Critical GIDA (Score ≥ 50.0)", IF(X1274&gt;='Methodology &amp; Assumptions'!$B$8, "Tier 2 High GIDA (Score 40.0–49.9)", "Tier 3 Moderate GIDA (Score &lt; 40.0)"))</f>
        <v/>
      </c>
      <c r="V1274" s="26">
        <f>IF(S1274&lt;='Methodology &amp; Assumptions'!$B$10, "Direct Optical Drop (&lt;3km)", IF(S1274&lt;='Methodology &amp; Assumptions'!$B$9, "Near Optical / Microwave (&lt;5km)", "Starlink Business LEO Satellite Backhaul (&gt;5km)"))</f>
        <v/>
      </c>
      <c r="W1274" s="28" t="n">
        <v>0.11</v>
      </c>
      <c r="X1274" s="14" t="n">
        <v>43.54</v>
      </c>
      <c r="Y1274" s="14">
        <f>ROUND(MIN(100, (X1274/69.91)*100), 2)</f>
        <v/>
      </c>
    </row>
    <row r="1275">
      <c r="A1275" s="10" t="n">
        <v>5</v>
      </c>
      <c r="B1275" s="10" t="n">
        <v>271</v>
      </c>
      <c r="C1275" s="10" t="n">
        <v>4271</v>
      </c>
      <c r="D1275" s="10" t="inlineStr">
        <is>
          <t>PH0004271</t>
        </is>
      </c>
      <c r="E1275" s="26" t="inlineStr">
        <is>
          <t>VIII</t>
        </is>
      </c>
      <c r="F1275" s="26" t="inlineStr">
        <is>
          <t>Leyte</t>
        </is>
      </c>
      <c r="G1275" s="26" t="inlineStr">
        <is>
          <t>Tacloban City</t>
        </is>
      </c>
      <c r="H1275" s="26" t="inlineStr">
        <is>
          <t>Barangay 54</t>
        </is>
      </c>
      <c r="I1275" s="27" t="n">
        <v>11.271699</v>
      </c>
      <c r="J1275" s="27" t="n">
        <v>124.894344</v>
      </c>
      <c r="K1275" s="10" t="inlineStr">
        <is>
          <t>R</t>
        </is>
      </c>
      <c r="L1275" s="12" t="n">
        <v>2258</v>
      </c>
      <c r="M1275" s="14" t="n">
        <v>3.8</v>
      </c>
      <c r="N1275" s="12">
        <f>ROUND(L1275/M1275, 0)</f>
        <v/>
      </c>
      <c r="O1275" s="12">
        <f>ROUND(N1275*'Methodology &amp; Assumptions'!$B$5, 0)</f>
        <v/>
      </c>
      <c r="P1275" s="10" t="inlineStr">
        <is>
          <t>Single Carrier (Band n50, 100MHz TDD)</t>
        </is>
      </c>
      <c r="Q1275" s="13">
        <f>ROUNDUP(O1275/'Methodology &amp; Assumptions'!$B$6, 0)</f>
        <v/>
      </c>
      <c r="R1275" s="13" t="n">
        <v>1</v>
      </c>
      <c r="S1275" s="14" t="n">
        <v>9.140000000000001</v>
      </c>
      <c r="T1275" s="14" t="n">
        <v>8.539999999999999</v>
      </c>
      <c r="U1275" s="26">
        <f>IF(X1275&gt;='Methodology &amp; Assumptions'!$B$7, "Tier 1 Critical GIDA (Score ≥ 50.0)", IF(X1275&gt;='Methodology &amp; Assumptions'!$B$8, "Tier 2 High GIDA (Score 40.0–49.9)", "Tier 3 Moderate GIDA (Score &lt; 40.0)"))</f>
        <v/>
      </c>
      <c r="V1275" s="26">
        <f>IF(S1275&lt;='Methodology &amp; Assumptions'!$B$10, "Direct Optical Drop (&lt;3km)", IF(S1275&lt;='Methodology &amp; Assumptions'!$B$9, "Near Optical / Microwave (&lt;5km)", "Starlink Business LEO Satellite Backhaul (&gt;5km)"))</f>
        <v/>
      </c>
      <c r="W1275" s="28" t="n">
        <v>0.222</v>
      </c>
      <c r="X1275" s="14" t="n">
        <v>43.54</v>
      </c>
      <c r="Y1275" s="14">
        <f>ROUND(MIN(100, (X1275/69.91)*100), 2)</f>
        <v/>
      </c>
    </row>
    <row r="1276">
      <c r="A1276" s="10" t="n">
        <v>5</v>
      </c>
      <c r="B1276" s="10" t="n">
        <v>272</v>
      </c>
      <c r="C1276" s="10" t="n">
        <v>4272</v>
      </c>
      <c r="D1276" s="10" t="inlineStr">
        <is>
          <t>PH0004272</t>
        </is>
      </c>
      <c r="E1276" s="26" t="inlineStr">
        <is>
          <t>NCR</t>
        </is>
      </c>
      <c r="F1276" s="26" t="inlineStr">
        <is>
          <t>Metro Manila</t>
        </is>
      </c>
      <c r="G1276" s="26" t="inlineStr">
        <is>
          <t>Caloocan City</t>
        </is>
      </c>
      <c r="H1276" s="26" t="inlineStr">
        <is>
          <t>Barangay 187</t>
        </is>
      </c>
      <c r="I1276" s="27" t="n">
        <v>13.532608</v>
      </c>
      <c r="J1276" s="27" t="n">
        <v>123.210303</v>
      </c>
      <c r="K1276" s="10" t="inlineStr">
        <is>
          <t>R</t>
        </is>
      </c>
      <c r="L1276" s="12" t="n">
        <v>2279</v>
      </c>
      <c r="M1276" s="14" t="n">
        <v>3.8</v>
      </c>
      <c r="N1276" s="12">
        <f>ROUND(L1276/M1276, 0)</f>
        <v/>
      </c>
      <c r="O1276" s="12">
        <f>ROUND(N1276*'Methodology &amp; Assumptions'!$B$5, 0)</f>
        <v/>
      </c>
      <c r="P1276" s="10" t="inlineStr">
        <is>
          <t>Single Carrier (Band n50, 100MHz TDD)</t>
        </is>
      </c>
      <c r="Q1276" s="13">
        <f>ROUNDUP(O1276/'Methodology &amp; Assumptions'!$B$6, 0)</f>
        <v/>
      </c>
      <c r="R1276" s="13" t="n">
        <v>1</v>
      </c>
      <c r="S1276" s="14" t="n">
        <v>5.29</v>
      </c>
      <c r="T1276" s="14" t="n">
        <v>1.93</v>
      </c>
      <c r="U1276" s="26">
        <f>IF(X1276&gt;='Methodology &amp; Assumptions'!$B$7, "Tier 1 Critical GIDA (Score ≥ 50.0)", IF(X1276&gt;='Methodology &amp; Assumptions'!$B$8, "Tier 2 High GIDA (Score 40.0–49.9)", "Tier 3 Moderate GIDA (Score &lt; 40.0)"))</f>
        <v/>
      </c>
      <c r="V1276" s="26">
        <f>IF(S1276&lt;='Methodology &amp; Assumptions'!$B$10, "Direct Optical Drop (&lt;3km)", IF(S1276&lt;='Methodology &amp; Assumptions'!$B$9, "Near Optical / Microwave (&lt;5km)", "Starlink Business LEO Satellite Backhaul (&gt;5km)"))</f>
        <v/>
      </c>
      <c r="W1276" s="28" t="n">
        <v>0.011</v>
      </c>
      <c r="X1276" s="14" t="n">
        <v>43.53</v>
      </c>
      <c r="Y1276" s="14">
        <f>ROUND(MIN(100, (X1276/69.91)*100), 2)</f>
        <v/>
      </c>
    </row>
    <row r="1277">
      <c r="A1277" s="10" t="n">
        <v>5</v>
      </c>
      <c r="B1277" s="10" t="n">
        <v>273</v>
      </c>
      <c r="C1277" s="10" t="n">
        <v>4273</v>
      </c>
      <c r="D1277" s="10" t="inlineStr">
        <is>
          <t>1408106024</t>
        </is>
      </c>
      <c r="E1277" s="26" t="inlineStr">
        <is>
          <t>Cordillera Administrative Region (CAR)</t>
        </is>
      </c>
      <c r="F1277" s="26" t="inlineStr">
        <is>
          <t>Apayao</t>
        </is>
      </c>
      <c r="G1277" s="26" t="inlineStr">
        <is>
          <t>Pudtol</t>
        </is>
      </c>
      <c r="H1277" s="26" t="inlineStr">
        <is>
          <t>Doña Loreta</t>
        </is>
      </c>
      <c r="I1277" s="27" t="n">
        <v>18.179098</v>
      </c>
      <c r="J1277" s="27" t="n">
        <v>121.357037</v>
      </c>
      <c r="K1277" s="10" t="inlineStr">
        <is>
          <t>R</t>
        </is>
      </c>
      <c r="L1277" s="12" t="n">
        <v>758</v>
      </c>
      <c r="M1277" s="14" t="n">
        <v>4.2</v>
      </c>
      <c r="N1277" s="12">
        <f>ROUND(L1277/M1277, 0)</f>
        <v/>
      </c>
      <c r="O1277" s="12">
        <f>ROUND(N1277*'Methodology &amp; Assumptions'!$B$5, 0)</f>
        <v/>
      </c>
      <c r="P1277" s="10" t="inlineStr">
        <is>
          <t>Single Carrier (Band n50, 100MHz TDD)</t>
        </is>
      </c>
      <c r="Q1277" s="13">
        <f>ROUNDUP(O1277/'Methodology &amp; Assumptions'!$B$6, 0)</f>
        <v/>
      </c>
      <c r="R1277" s="13" t="n">
        <v>1</v>
      </c>
      <c r="S1277" s="14" t="n">
        <v>5.99</v>
      </c>
      <c r="T1277" s="14" t="n">
        <v>0.28</v>
      </c>
      <c r="U1277" s="26">
        <f>IF(X1277&gt;='Methodology &amp; Assumptions'!$B$7, "Tier 1 Critical GIDA (Score ≥ 50.0)", IF(X1277&gt;='Methodology &amp; Assumptions'!$B$8, "Tier 2 High GIDA (Score 40.0–49.9)", "Tier 3 Moderate GIDA (Score &lt; 40.0)"))</f>
        <v/>
      </c>
      <c r="V1277" s="26">
        <f>IF(S1277&lt;='Methodology &amp; Assumptions'!$B$10, "Direct Optical Drop (&lt;3km)", IF(S1277&lt;='Methodology &amp; Assumptions'!$B$9, "Near Optical / Microwave (&lt;5km)", "Starlink Business LEO Satellite Backhaul (&gt;5km)"))</f>
        <v/>
      </c>
      <c r="W1277" s="28" t="n">
        <v>0.109</v>
      </c>
      <c r="X1277" s="14" t="n">
        <v>43.53</v>
      </c>
      <c r="Y1277" s="14">
        <f>ROUND(MIN(100, (X1277/69.91)*100), 2)</f>
        <v/>
      </c>
    </row>
    <row r="1278">
      <c r="A1278" s="10" t="n">
        <v>5</v>
      </c>
      <c r="B1278" s="10" t="n">
        <v>274</v>
      </c>
      <c r="C1278" s="10" t="n">
        <v>4274</v>
      </c>
      <c r="D1278" s="10" t="inlineStr">
        <is>
          <t>1381300030</t>
        </is>
      </c>
      <c r="E1278" s="26" t="inlineStr">
        <is>
          <t>National Capital Region (NCR)</t>
        </is>
      </c>
      <c r="F1278" s="26" t="inlineStr">
        <is>
          <t>Second District (Not a Province)</t>
        </is>
      </c>
      <c r="G1278" s="26" t="inlineStr">
        <is>
          <t>Quezon City</t>
        </is>
      </c>
      <c r="H1278" s="26" t="inlineStr">
        <is>
          <t>Dioquino Zobel</t>
        </is>
      </c>
      <c r="I1278" s="27" t="n">
        <v>14.621053</v>
      </c>
      <c r="J1278" s="27" t="n">
        <v>121.057473</v>
      </c>
      <c r="K1278" s="10" t="inlineStr">
        <is>
          <t>U</t>
        </is>
      </c>
      <c r="L1278" s="12" t="n">
        <v>1881</v>
      </c>
      <c r="M1278" s="14" t="n">
        <v>3.8</v>
      </c>
      <c r="N1278" s="12">
        <f>ROUND(L1278/M1278, 0)</f>
        <v/>
      </c>
      <c r="O1278" s="12">
        <f>ROUND(N1278*'Methodology &amp; Assumptions'!$B$5, 0)</f>
        <v/>
      </c>
      <c r="P1278" s="10" t="inlineStr">
        <is>
          <t>Single Carrier (Band n50, 100MHz TDD)</t>
        </is>
      </c>
      <c r="Q1278" s="13">
        <f>ROUNDUP(O1278/'Methodology &amp; Assumptions'!$B$6, 0)</f>
        <v/>
      </c>
      <c r="R1278" s="13" t="n">
        <v>1</v>
      </c>
      <c r="S1278" s="14" t="n">
        <v>0.12</v>
      </c>
      <c r="T1278" s="14" t="n">
        <v>0.18</v>
      </c>
      <c r="U1278" s="26">
        <f>IF(X1278&gt;='Methodology &amp; Assumptions'!$B$7, "Tier 1 Critical GIDA (Score ≥ 50.0)", IF(X1278&gt;='Methodology &amp; Assumptions'!$B$8, "Tier 2 High GIDA (Score 40.0–49.9)", "Tier 3 Moderate GIDA (Score &lt; 40.0)"))</f>
        <v/>
      </c>
      <c r="V1278" s="26">
        <f>IF(S1278&lt;='Methodology &amp; Assumptions'!$B$10, "Direct Optical Drop (&lt;3km)", IF(S1278&lt;='Methodology &amp; Assumptions'!$B$9, "Near Optical / Microwave (&lt;5km)", "Starlink Business LEO Satellite Backhaul (&gt;5km)"))</f>
        <v/>
      </c>
      <c r="W1278" s="28" t="n">
        <v>0.109</v>
      </c>
      <c r="X1278" s="14" t="n">
        <v>43.53</v>
      </c>
      <c r="Y1278" s="14">
        <f>ROUND(MIN(100, (X1278/69.91)*100), 2)</f>
        <v/>
      </c>
    </row>
    <row r="1279">
      <c r="A1279" s="10" t="n">
        <v>5</v>
      </c>
      <c r="B1279" s="10" t="n">
        <v>275</v>
      </c>
      <c r="C1279" s="10" t="n">
        <v>4275</v>
      </c>
      <c r="D1279" s="10" t="inlineStr">
        <is>
          <t>1001805006</t>
        </is>
      </c>
      <c r="E1279" s="26" t="inlineStr">
        <is>
          <t>Region X (Northern Mindanao)</t>
        </is>
      </c>
      <c r="F1279" s="26" t="inlineStr">
        <is>
          <t>Camiguin</t>
        </is>
      </c>
      <c r="G1279" s="26" t="inlineStr">
        <is>
          <t>Sagay</t>
        </is>
      </c>
      <c r="H1279" s="26" t="inlineStr">
        <is>
          <t>Cuna</t>
        </is>
      </c>
      <c r="I1279" s="27" t="n">
        <v>9.125275999999999</v>
      </c>
      <c r="J1279" s="27" t="n">
        <v>124.744643</v>
      </c>
      <c r="K1279" s="10" t="inlineStr">
        <is>
          <t>R</t>
        </is>
      </c>
      <c r="L1279" s="12" t="n">
        <v>896</v>
      </c>
      <c r="M1279" s="14" t="n">
        <v>3.9</v>
      </c>
      <c r="N1279" s="12">
        <f>ROUND(L1279/M1279, 0)</f>
        <v/>
      </c>
      <c r="O1279" s="12">
        <f>ROUND(N1279*'Methodology &amp; Assumptions'!$B$5, 0)</f>
        <v/>
      </c>
      <c r="P1279" s="10" t="inlineStr">
        <is>
          <t>Single Carrier (Band n50, 100MHz TDD)</t>
        </is>
      </c>
      <c r="Q1279" s="13">
        <f>ROUNDUP(O1279/'Methodology &amp; Assumptions'!$B$6, 0)</f>
        <v/>
      </c>
      <c r="R1279" s="13" t="n">
        <v>1</v>
      </c>
      <c r="S1279" s="14" t="n">
        <v>16.64</v>
      </c>
      <c r="T1279" s="14" t="n">
        <v>15.79</v>
      </c>
      <c r="U1279" s="26">
        <f>IF(X1279&gt;='Methodology &amp; Assumptions'!$B$7, "Tier 1 Critical GIDA (Score ≥ 50.0)", IF(X1279&gt;='Methodology &amp; Assumptions'!$B$8, "Tier 2 High GIDA (Score 40.0–49.9)", "Tier 3 Moderate GIDA (Score &lt; 40.0)"))</f>
        <v/>
      </c>
      <c r="V1279" s="26">
        <f>IF(S1279&lt;='Methodology &amp; Assumptions'!$B$10, "Direct Optical Drop (&lt;3km)", IF(S1279&lt;='Methodology &amp; Assumptions'!$B$9, "Near Optical / Microwave (&lt;5km)", "Starlink Business LEO Satellite Backhaul (&gt;5km)"))</f>
        <v/>
      </c>
      <c r="W1279" s="28" t="n">
        <v>0.174</v>
      </c>
      <c r="X1279" s="14" t="n">
        <v>43.52</v>
      </c>
      <c r="Y1279" s="14">
        <f>ROUND(MIN(100, (X1279/69.91)*100), 2)</f>
        <v/>
      </c>
    </row>
    <row r="1280">
      <c r="A1280" s="10" t="n">
        <v>5</v>
      </c>
      <c r="B1280" s="10" t="n">
        <v>276</v>
      </c>
      <c r="C1280" s="10" t="n">
        <v>4276</v>
      </c>
      <c r="D1280" s="10" t="inlineStr">
        <is>
          <t>1705915008</t>
        </is>
      </c>
      <c r="E1280" s="26" t="inlineStr">
        <is>
          <t>MIMAROPA Region</t>
        </is>
      </c>
      <c r="F1280" s="26" t="inlineStr">
        <is>
          <t>Romblon</t>
        </is>
      </c>
      <c r="G1280" s="26" t="inlineStr">
        <is>
          <t>Santa Fe</t>
        </is>
      </c>
      <c r="H1280" s="26" t="inlineStr">
        <is>
          <t>Mat-i</t>
        </is>
      </c>
      <c r="I1280" s="27" t="n">
        <v>12.186972</v>
      </c>
      <c r="J1280" s="27" t="n">
        <v>121.985071</v>
      </c>
      <c r="K1280" s="10" t="inlineStr">
        <is>
          <t>R</t>
        </is>
      </c>
      <c r="L1280" s="12" t="n">
        <v>1249</v>
      </c>
      <c r="M1280" s="14" t="n">
        <v>3.7</v>
      </c>
      <c r="N1280" s="12">
        <f>ROUND(L1280/M1280, 0)</f>
        <v/>
      </c>
      <c r="O1280" s="12">
        <f>ROUND(N1280*'Methodology &amp; Assumptions'!$B$5, 0)</f>
        <v/>
      </c>
      <c r="P1280" s="10" t="inlineStr">
        <is>
          <t>Single Carrier (Band n50, 100MHz TDD)</t>
        </is>
      </c>
      <c r="Q1280" s="13">
        <f>ROUNDUP(O1280/'Methodology &amp; Assumptions'!$B$6, 0)</f>
        <v/>
      </c>
      <c r="R1280" s="13" t="n">
        <v>1</v>
      </c>
      <c r="S1280" s="14" t="n">
        <v>26.88</v>
      </c>
      <c r="T1280" s="14" t="n">
        <v>6.36</v>
      </c>
      <c r="U1280" s="26">
        <f>IF(X1280&gt;='Methodology &amp; Assumptions'!$B$7, "Tier 1 Critical GIDA (Score ≥ 50.0)", IF(X1280&gt;='Methodology &amp; Assumptions'!$B$8, "Tier 2 High GIDA (Score 40.0–49.9)", "Tier 3 Moderate GIDA (Score &lt; 40.0)"))</f>
        <v/>
      </c>
      <c r="V1280" s="26">
        <f>IF(S1280&lt;='Methodology &amp; Assumptions'!$B$10, "Direct Optical Drop (&lt;3km)", IF(S1280&lt;='Methodology &amp; Assumptions'!$B$9, "Near Optical / Microwave (&lt;5km)", "Starlink Business LEO Satellite Backhaul (&gt;5km)"))</f>
        <v/>
      </c>
      <c r="W1280" s="28" t="n">
        <v>0.15</v>
      </c>
      <c r="X1280" s="14" t="n">
        <v>43.52</v>
      </c>
      <c r="Y1280" s="14">
        <f>ROUND(MIN(100, (X1280/69.91)*100), 2)</f>
        <v/>
      </c>
    </row>
    <row r="1281">
      <c r="A1281" s="10" t="n">
        <v>5</v>
      </c>
      <c r="B1281" s="10" t="n">
        <v>277</v>
      </c>
      <c r="C1281" s="10" t="n">
        <v>4277</v>
      </c>
      <c r="D1281" s="10" t="inlineStr">
        <is>
          <t>PH0004277</t>
        </is>
      </c>
      <c r="E1281" s="26" t="inlineStr">
        <is>
          <t>IV-A</t>
        </is>
      </c>
      <c r="F1281" s="26" t="inlineStr">
        <is>
          <t>Cavite</t>
        </is>
      </c>
      <c r="G1281" s="26" t="inlineStr">
        <is>
          <t>Imus City</t>
        </is>
      </c>
      <c r="H1281" s="26" t="inlineStr">
        <is>
          <t>Poblacion IV-A (Pob.)</t>
        </is>
      </c>
      <c r="I1281" s="27" t="n">
        <v>14.307806</v>
      </c>
      <c r="J1281" s="27" t="n">
        <v>120.933231</v>
      </c>
      <c r="K1281" s="10" t="inlineStr">
        <is>
          <t>R</t>
        </is>
      </c>
      <c r="L1281" s="12" t="n">
        <v>2316</v>
      </c>
      <c r="M1281" s="14" t="n">
        <v>3.4</v>
      </c>
      <c r="N1281" s="12">
        <f>ROUND(L1281/M1281, 0)</f>
        <v/>
      </c>
      <c r="O1281" s="12">
        <f>ROUND(N1281*'Methodology &amp; Assumptions'!$B$5, 0)</f>
        <v/>
      </c>
      <c r="P1281" s="10" t="inlineStr">
        <is>
          <t>Single Carrier (Band n50, 100MHz TDD)</t>
        </is>
      </c>
      <c r="Q1281" s="13">
        <f>ROUNDUP(O1281/'Methodology &amp; Assumptions'!$B$6, 0)</f>
        <v/>
      </c>
      <c r="R1281" s="13" t="n">
        <v>1</v>
      </c>
      <c r="S1281" s="14" t="n">
        <v>2.88</v>
      </c>
      <c r="T1281" s="14" t="n">
        <v>1.63</v>
      </c>
      <c r="U1281" s="26">
        <f>IF(X1281&gt;='Methodology &amp; Assumptions'!$B$7, "Tier 1 Critical GIDA (Score ≥ 50.0)", IF(X1281&gt;='Methodology &amp; Assumptions'!$B$8, "Tier 2 High GIDA (Score 40.0–49.9)", "Tier 3 Moderate GIDA (Score &lt; 40.0)"))</f>
        <v/>
      </c>
      <c r="V1281" s="26">
        <f>IF(S1281&lt;='Methodology &amp; Assumptions'!$B$10, "Direct Optical Drop (&lt;3km)", IF(S1281&lt;='Methodology &amp; Assumptions'!$B$9, "Near Optical / Microwave (&lt;5km)", "Starlink Business LEO Satellite Backhaul (&gt;5km)"))</f>
        <v/>
      </c>
      <c r="W1281" s="28" t="n">
        <v>0.07200000000000001</v>
      </c>
      <c r="X1281" s="14" t="n">
        <v>43.52</v>
      </c>
      <c r="Y1281" s="14">
        <f>ROUND(MIN(100, (X1281/69.91)*100), 2)</f>
        <v/>
      </c>
    </row>
    <row r="1282">
      <c r="A1282" s="10" t="n">
        <v>5</v>
      </c>
      <c r="B1282" s="10" t="n">
        <v>278</v>
      </c>
      <c r="C1282" s="10" t="n">
        <v>4278</v>
      </c>
      <c r="D1282" s="10" t="inlineStr">
        <is>
          <t>1903604055</t>
        </is>
      </c>
      <c r="E1282" s="26" t="inlineStr">
        <is>
          <t>Bangsamoro Autonomous Region In Muslim Mindanao (BARMM)</t>
        </is>
      </c>
      <c r="F1282" s="26" t="inlineStr">
        <is>
          <t>Lanao del Sur</t>
        </is>
      </c>
      <c r="G1282" s="26" t="inlineStr">
        <is>
          <t>Bayang</t>
        </is>
      </c>
      <c r="H1282" s="26" t="inlineStr">
        <is>
          <t>Bubong Raya</t>
        </is>
      </c>
      <c r="I1282" s="27" t="n">
        <v>17.254741</v>
      </c>
      <c r="J1282" s="27" t="n">
        <v>122.228785</v>
      </c>
      <c r="K1282" s="10" t="inlineStr">
        <is>
          <t>R</t>
        </is>
      </c>
      <c r="L1282" s="12" t="n">
        <v>421</v>
      </c>
      <c r="M1282" s="14" t="n">
        <v>5.7</v>
      </c>
      <c r="N1282" s="12">
        <f>ROUND(L1282/M1282, 0)</f>
        <v/>
      </c>
      <c r="O1282" s="12">
        <f>ROUND(N1282*'Methodology &amp; Assumptions'!$B$5, 0)</f>
        <v/>
      </c>
      <c r="P1282" s="10" t="inlineStr">
        <is>
          <t>Single Carrier (Band n50, 100MHz TDD)</t>
        </is>
      </c>
      <c r="Q1282" s="13">
        <f>ROUNDUP(O1282/'Methodology &amp; Assumptions'!$B$6, 0)</f>
        <v/>
      </c>
      <c r="R1282" s="13" t="n">
        <v>1</v>
      </c>
      <c r="S1282" s="14" t="n">
        <v>29.4</v>
      </c>
      <c r="T1282" s="14" t="n">
        <v>34.28</v>
      </c>
      <c r="U1282" s="26">
        <f>IF(X1282&gt;='Methodology &amp; Assumptions'!$B$7, "Tier 1 Critical GIDA (Score ≥ 50.0)", IF(X1282&gt;='Methodology &amp; Assumptions'!$B$8, "Tier 2 High GIDA (Score 40.0–49.9)", "Tier 3 Moderate GIDA (Score &lt; 40.0)"))</f>
        <v/>
      </c>
      <c r="V1282" s="26">
        <f>IF(S1282&lt;='Methodology &amp; Assumptions'!$B$10, "Direct Optical Drop (&lt;3km)", IF(S1282&lt;='Methodology &amp; Assumptions'!$B$9, "Near Optical / Microwave (&lt;5km)", "Starlink Business LEO Satellite Backhaul (&gt;5km)"))</f>
        <v/>
      </c>
      <c r="W1282" s="28" t="n">
        <v>0.11</v>
      </c>
      <c r="X1282" s="14" t="n">
        <v>43.52</v>
      </c>
      <c r="Y1282" s="14">
        <f>ROUND(MIN(100, (X1282/69.91)*100), 2)</f>
        <v/>
      </c>
    </row>
    <row r="1283">
      <c r="A1283" s="10" t="n">
        <v>5</v>
      </c>
      <c r="B1283" s="10" t="n">
        <v>279</v>
      </c>
      <c r="C1283" s="10" t="n">
        <v>4279</v>
      </c>
      <c r="D1283" s="10" t="inlineStr">
        <is>
          <t>1903621038</t>
        </is>
      </c>
      <c r="E1283" s="26" t="inlineStr">
        <is>
          <t>Bangsamoro Autonomous Region In Muslim Mindanao (BARMM)</t>
        </is>
      </c>
      <c r="F1283" s="26" t="inlineStr">
        <is>
          <t>Lanao del Sur</t>
        </is>
      </c>
      <c r="G1283" s="26" t="inlineStr">
        <is>
          <t>Piagapo</t>
        </is>
      </c>
      <c r="H1283" s="26" t="inlineStr">
        <is>
          <t>Udalo</t>
        </is>
      </c>
      <c r="I1283" s="27" t="n">
        <v>17.254454</v>
      </c>
      <c r="J1283" s="27" t="n">
        <v>122.228498</v>
      </c>
      <c r="K1283" s="10" t="inlineStr">
        <is>
          <t>R</t>
        </is>
      </c>
      <c r="L1283" s="12" t="n">
        <v>1591</v>
      </c>
      <c r="M1283" s="14" t="n">
        <v>5.7</v>
      </c>
      <c r="N1283" s="12">
        <f>ROUND(L1283/M1283, 0)</f>
        <v/>
      </c>
      <c r="O1283" s="12">
        <f>ROUND(N1283*'Methodology &amp; Assumptions'!$B$5, 0)</f>
        <v/>
      </c>
      <c r="P1283" s="10" t="inlineStr">
        <is>
          <t>Single Carrier (Band n50, 100MHz TDD)</t>
        </is>
      </c>
      <c r="Q1283" s="13">
        <f>ROUNDUP(O1283/'Methodology &amp; Assumptions'!$B$6, 0)</f>
        <v/>
      </c>
      <c r="R1283" s="13" t="n">
        <v>1</v>
      </c>
      <c r="S1283" s="14" t="n">
        <v>29.36</v>
      </c>
      <c r="T1283" s="14" t="n">
        <v>34.25</v>
      </c>
      <c r="U1283" s="26">
        <f>IF(X1283&gt;='Methodology &amp; Assumptions'!$B$7, "Tier 1 Critical GIDA (Score ≥ 50.0)", IF(X1283&gt;='Methodology &amp; Assumptions'!$B$8, "Tier 2 High GIDA (Score 40.0–49.9)", "Tier 3 Moderate GIDA (Score &lt; 40.0)"))</f>
        <v/>
      </c>
      <c r="V1283" s="26">
        <f>IF(S1283&lt;='Methodology &amp; Assumptions'!$B$10, "Direct Optical Drop (&lt;3km)", IF(S1283&lt;='Methodology &amp; Assumptions'!$B$9, "Near Optical / Microwave (&lt;5km)", "Starlink Business LEO Satellite Backhaul (&gt;5km)"))</f>
        <v/>
      </c>
      <c r="W1283" s="28" t="n">
        <v>0.11</v>
      </c>
      <c r="X1283" s="14" t="n">
        <v>43.52</v>
      </c>
      <c r="Y1283" s="14">
        <f>ROUND(MIN(100, (X1283/69.91)*100), 2)</f>
        <v/>
      </c>
    </row>
    <row r="1284">
      <c r="A1284" s="10" t="n">
        <v>5</v>
      </c>
      <c r="B1284" s="10" t="n">
        <v>280</v>
      </c>
      <c r="C1284" s="10" t="n">
        <v>4280</v>
      </c>
      <c r="D1284" s="10" t="inlineStr">
        <is>
          <t>PH0004280</t>
        </is>
      </c>
      <c r="E1284" s="26" t="inlineStr">
        <is>
          <t>VI</t>
        </is>
      </c>
      <c r="F1284" s="26" t="inlineStr">
        <is>
          <t>Iloilo</t>
        </is>
      </c>
      <c r="G1284" s="26" t="inlineStr">
        <is>
          <t>Iloilo City</t>
        </is>
      </c>
      <c r="H1284" s="26" t="inlineStr">
        <is>
          <t>General Hughes-Montes</t>
        </is>
      </c>
      <c r="I1284" s="27" t="n">
        <v>10.840704</v>
      </c>
      <c r="J1284" s="27" t="n">
        <v>122.590465</v>
      </c>
      <c r="K1284" s="10" t="inlineStr">
        <is>
          <t>R</t>
        </is>
      </c>
      <c r="L1284" s="12" t="n">
        <v>2230</v>
      </c>
      <c r="M1284" s="14" t="n">
        <v>3.8</v>
      </c>
      <c r="N1284" s="12">
        <f>ROUND(L1284/M1284, 0)</f>
        <v/>
      </c>
      <c r="O1284" s="12">
        <f>ROUND(N1284*'Methodology &amp; Assumptions'!$B$5, 0)</f>
        <v/>
      </c>
      <c r="P1284" s="10" t="inlineStr">
        <is>
          <t>Single Carrier (Band n50, 100MHz TDD)</t>
        </is>
      </c>
      <c r="Q1284" s="13">
        <f>ROUNDUP(O1284/'Methodology &amp; Assumptions'!$B$6, 0)</f>
        <v/>
      </c>
      <c r="R1284" s="13" t="n">
        <v>1</v>
      </c>
      <c r="S1284" s="14" t="n">
        <v>2.38</v>
      </c>
      <c r="T1284" s="14" t="n">
        <v>2.14</v>
      </c>
      <c r="U1284" s="26">
        <f>IF(X1284&gt;='Methodology &amp; Assumptions'!$B$7, "Tier 1 Critical GIDA (Score ≥ 50.0)", IF(X1284&gt;='Methodology &amp; Assumptions'!$B$8, "Tier 2 High GIDA (Score 40.0–49.9)", "Tier 3 Moderate GIDA (Score &lt; 40.0)"))</f>
        <v/>
      </c>
      <c r="V1284" s="26">
        <f>IF(S1284&lt;='Methodology &amp; Assumptions'!$B$10, "Direct Optical Drop (&lt;3km)", IF(S1284&lt;='Methodology &amp; Assumptions'!$B$9, "Near Optical / Microwave (&lt;5km)", "Starlink Business LEO Satellite Backhaul (&gt;5km)"))</f>
        <v/>
      </c>
      <c r="W1284" s="28" t="n">
        <v>0.156</v>
      </c>
      <c r="X1284" s="14" t="n">
        <v>43.51</v>
      </c>
      <c r="Y1284" s="14">
        <f>ROUND(MIN(100, (X1284/69.91)*100), 2)</f>
        <v/>
      </c>
    </row>
    <row r="1285">
      <c r="A1285" s="10" t="n">
        <v>5</v>
      </c>
      <c r="B1285" s="10" t="n">
        <v>281</v>
      </c>
      <c r="C1285" s="10" t="n">
        <v>4281</v>
      </c>
      <c r="D1285" s="10" t="inlineStr">
        <is>
          <t>0405804037</t>
        </is>
      </c>
      <c r="E1285" s="26" t="inlineStr">
        <is>
          <t>Region IV-A (CALABARZON)</t>
        </is>
      </c>
      <c r="F1285" s="26" t="inlineStr">
        <is>
          <t>Rizal</t>
        </is>
      </c>
      <c r="G1285" s="26" t="inlineStr">
        <is>
          <t>Binangonan</t>
        </is>
      </c>
      <c r="H1285" s="26" t="inlineStr">
        <is>
          <t>Layunan</t>
        </is>
      </c>
      <c r="I1285" s="27" t="n">
        <v>14.469542</v>
      </c>
      <c r="J1285" s="27" t="n">
        <v>121.193376</v>
      </c>
      <c r="K1285" s="10" t="inlineStr">
        <is>
          <t>U</t>
        </is>
      </c>
      <c r="L1285" s="12" t="n">
        <v>2465</v>
      </c>
      <c r="M1285" s="14" t="n">
        <v>3.6</v>
      </c>
      <c r="N1285" s="12">
        <f>ROUND(L1285/M1285, 0)</f>
        <v/>
      </c>
      <c r="O1285" s="12">
        <f>ROUND(N1285*'Methodology &amp; Assumptions'!$B$5, 0)</f>
        <v/>
      </c>
      <c r="P1285" s="10" t="inlineStr">
        <is>
          <t>Single Carrier (Band n50, 100MHz TDD)</t>
        </is>
      </c>
      <c r="Q1285" s="13">
        <f>ROUNDUP(O1285/'Methodology &amp; Assumptions'!$B$6, 0)</f>
        <v/>
      </c>
      <c r="R1285" s="13" t="n">
        <v>1</v>
      </c>
      <c r="S1285" s="14" t="n">
        <v>1.01</v>
      </c>
      <c r="T1285" s="14" t="n">
        <v>0.15</v>
      </c>
      <c r="U1285" s="26">
        <f>IF(X1285&gt;='Methodology &amp; Assumptions'!$B$7, "Tier 1 Critical GIDA (Score ≥ 50.0)", IF(X1285&gt;='Methodology &amp; Assumptions'!$B$8, "Tier 2 High GIDA (Score 40.0–49.9)", "Tier 3 Moderate GIDA (Score &lt; 40.0)"))</f>
        <v/>
      </c>
      <c r="V1285" s="26">
        <f>IF(S1285&lt;='Methodology &amp; Assumptions'!$B$10, "Direct Optical Drop (&lt;3km)", IF(S1285&lt;='Methodology &amp; Assumptions'!$B$9, "Near Optical / Microwave (&lt;5km)", "Starlink Business LEO Satellite Backhaul (&gt;5km)"))</f>
        <v/>
      </c>
      <c r="W1285" s="28" t="n">
        <v>0.07200000000000001</v>
      </c>
      <c r="X1285" s="14" t="n">
        <v>43.51</v>
      </c>
      <c r="Y1285" s="14">
        <f>ROUND(MIN(100, (X1285/69.91)*100), 2)</f>
        <v/>
      </c>
    </row>
    <row r="1286">
      <c r="A1286" s="10" t="n">
        <v>5</v>
      </c>
      <c r="B1286" s="10" t="n">
        <v>282</v>
      </c>
      <c r="C1286" s="10" t="n">
        <v>4282</v>
      </c>
      <c r="D1286" s="10" t="inlineStr">
        <is>
          <t>0501711046</t>
        </is>
      </c>
      <c r="E1286" s="26" t="inlineStr">
        <is>
          <t>Region V (Bicol Region)</t>
        </is>
      </c>
      <c r="F1286" s="26" t="inlineStr">
        <is>
          <t>Camarines Sur</t>
        </is>
      </c>
      <c r="G1286" s="26" t="inlineStr">
        <is>
          <t>Caramoan</t>
        </is>
      </c>
      <c r="H1286" s="26" t="inlineStr">
        <is>
          <t>Tabiguian</t>
        </is>
      </c>
      <c r="I1286" s="27" t="n">
        <v>13.835027</v>
      </c>
      <c r="J1286" s="27" t="n">
        <v>123.795201</v>
      </c>
      <c r="K1286" s="10" t="inlineStr">
        <is>
          <t>R</t>
        </is>
      </c>
      <c r="L1286" s="12" t="n">
        <v>1020</v>
      </c>
      <c r="M1286" s="14" t="n">
        <v>4.2</v>
      </c>
      <c r="N1286" s="12">
        <f>ROUND(L1286/M1286, 0)</f>
        <v/>
      </c>
      <c r="O1286" s="12">
        <f>ROUND(N1286*'Methodology &amp; Assumptions'!$B$5, 0)</f>
        <v/>
      </c>
      <c r="P1286" s="10" t="inlineStr">
        <is>
          <t>Single Carrier (Band n50, 100MHz TDD)</t>
        </is>
      </c>
      <c r="Q1286" s="13">
        <f>ROUNDUP(O1286/'Methodology &amp; Assumptions'!$B$6, 0)</f>
        <v/>
      </c>
      <c r="R1286" s="13" t="n">
        <v>1</v>
      </c>
      <c r="S1286" s="14" t="n">
        <v>10</v>
      </c>
      <c r="T1286" s="14" t="n">
        <v>36.49</v>
      </c>
      <c r="U1286" s="26">
        <f>IF(X1286&gt;='Methodology &amp; Assumptions'!$B$7, "Tier 1 Critical GIDA (Score ≥ 50.0)", IF(X1286&gt;='Methodology &amp; Assumptions'!$B$8, "Tier 2 High GIDA (Score 40.0–49.9)", "Tier 3 Moderate GIDA (Score &lt; 40.0)"))</f>
        <v/>
      </c>
      <c r="V1286" s="26">
        <f>IF(S1286&lt;='Methodology &amp; Assumptions'!$B$10, "Direct Optical Drop (&lt;3km)", IF(S1286&lt;='Methodology &amp; Assumptions'!$B$9, "Near Optical / Microwave (&lt;5km)", "Starlink Business LEO Satellite Backhaul (&gt;5km)"))</f>
        <v/>
      </c>
      <c r="W1286" s="28" t="n">
        <v>0.237</v>
      </c>
      <c r="X1286" s="14" t="n">
        <v>43.51</v>
      </c>
      <c r="Y1286" s="14">
        <f>ROUND(MIN(100, (X1286/69.91)*100), 2)</f>
        <v/>
      </c>
    </row>
    <row r="1287">
      <c r="A1287" s="10" t="n">
        <v>5</v>
      </c>
      <c r="B1287" s="10" t="n">
        <v>283</v>
      </c>
      <c r="C1287" s="10" t="n">
        <v>4283</v>
      </c>
      <c r="D1287" s="10" t="inlineStr">
        <is>
          <t>1606812006</t>
        </is>
      </c>
      <c r="E1287" s="26" t="inlineStr">
        <is>
          <t>Region XIII (Caraga)</t>
        </is>
      </c>
      <c r="F1287" s="26" t="inlineStr">
        <is>
          <t>Surigao del Sur</t>
        </is>
      </c>
      <c r="G1287" s="26" t="inlineStr">
        <is>
          <t>Lingig</t>
        </is>
      </c>
      <c r="H1287" s="26" t="inlineStr">
        <is>
          <t>Mahayahay</t>
        </is>
      </c>
      <c r="I1287" s="27" t="n">
        <v>8.088367999999999</v>
      </c>
      <c r="J1287" s="27" t="n">
        <v>126.391942</v>
      </c>
      <c r="K1287" s="10" t="inlineStr">
        <is>
          <t>R</t>
        </is>
      </c>
      <c r="L1287" s="12" t="n">
        <v>2595</v>
      </c>
      <c r="M1287" s="14" t="n">
        <v>4.1</v>
      </c>
      <c r="N1287" s="12">
        <f>ROUND(L1287/M1287, 0)</f>
        <v/>
      </c>
      <c r="O1287" s="12">
        <f>ROUND(N1287*'Methodology &amp; Assumptions'!$B$5, 0)</f>
        <v/>
      </c>
      <c r="P1287" s="10" t="inlineStr">
        <is>
          <t>Single Carrier (Band n50, 100MHz TDD)</t>
        </is>
      </c>
      <c r="Q1287" s="13">
        <f>ROUNDUP(O1287/'Methodology &amp; Assumptions'!$B$6, 0)</f>
        <v/>
      </c>
      <c r="R1287" s="13" t="n">
        <v>1</v>
      </c>
      <c r="S1287" s="14" t="n">
        <v>36.53</v>
      </c>
      <c r="T1287" s="14" t="n">
        <v>35.8</v>
      </c>
      <c r="U1287" s="26">
        <f>IF(X1287&gt;='Methodology &amp; Assumptions'!$B$7, "Tier 1 Critical GIDA (Score ≥ 50.0)", IF(X1287&gt;='Methodology &amp; Assumptions'!$B$8, "Tier 2 High GIDA (Score 40.0–49.9)", "Tier 3 Moderate GIDA (Score &lt; 40.0)"))</f>
        <v/>
      </c>
      <c r="V1287" s="26">
        <f>IF(S1287&lt;='Methodology &amp; Assumptions'!$B$10, "Direct Optical Drop (&lt;3km)", IF(S1287&lt;='Methodology &amp; Assumptions'!$B$9, "Near Optical / Microwave (&lt;5km)", "Starlink Business LEO Satellite Backhaul (&gt;5km)"))</f>
        <v/>
      </c>
      <c r="W1287" s="28" t="n">
        <v>0.174</v>
      </c>
      <c r="X1287" s="14" t="n">
        <v>43.49</v>
      </c>
      <c r="Y1287" s="14">
        <f>ROUND(MIN(100, (X1287/69.91)*100), 2)</f>
        <v/>
      </c>
    </row>
    <row r="1288">
      <c r="A1288" s="10" t="n">
        <v>5</v>
      </c>
      <c r="B1288" s="10" t="n">
        <v>284</v>
      </c>
      <c r="C1288" s="10" t="n">
        <v>4284</v>
      </c>
      <c r="D1288" s="10" t="inlineStr">
        <is>
          <t>0402103065</t>
        </is>
      </c>
      <c r="E1288" s="26" t="inlineStr">
        <is>
          <t>Region IV-A (CALABARZON)</t>
        </is>
      </c>
      <c r="F1288" s="26" t="inlineStr">
        <is>
          <t>Cavite</t>
        </is>
      </c>
      <c r="G1288" s="26" t="inlineStr">
        <is>
          <t>City of Bacoor</t>
        </is>
      </c>
      <c r="H1288" s="26" t="inlineStr">
        <is>
          <t>San Nicolas III</t>
        </is>
      </c>
      <c r="I1288" s="27" t="n">
        <v>14.228003</v>
      </c>
      <c r="J1288" s="27" t="n">
        <v>120.747087</v>
      </c>
      <c r="K1288" s="10" t="inlineStr">
        <is>
          <t>U</t>
        </is>
      </c>
      <c r="L1288" s="12" t="n">
        <v>39437</v>
      </c>
      <c r="M1288" s="14" t="n">
        <v>3.4</v>
      </c>
      <c r="N1288" s="12">
        <f>ROUND(L1288/M1288, 0)</f>
        <v/>
      </c>
      <c r="O1288" s="12">
        <f>ROUND(N1288*'Methodology &amp; Assumptions'!$B$5, 0)</f>
        <v/>
      </c>
      <c r="P1288" s="10" t="inlineStr">
        <is>
          <t>Single Carrier (Band n50, 100MHz TDD)</t>
        </is>
      </c>
      <c r="Q1288" s="13">
        <f>ROUNDUP(O1288/'Methodology &amp; Assumptions'!$B$6, 0)</f>
        <v/>
      </c>
      <c r="R1288" s="13" t="n">
        <v>1</v>
      </c>
      <c r="S1288" s="14" t="n">
        <v>5.35</v>
      </c>
      <c r="T1288" s="14" t="n">
        <v>1.8</v>
      </c>
      <c r="U1288" s="26">
        <f>IF(X1288&gt;='Methodology &amp; Assumptions'!$B$7, "Tier 1 Critical GIDA (Score ≥ 50.0)", IF(X1288&gt;='Methodology &amp; Assumptions'!$B$8, "Tier 2 High GIDA (Score 40.0–49.9)", "Tier 3 Moderate GIDA (Score &lt; 40.0)"))</f>
        <v/>
      </c>
      <c r="V1288" s="26">
        <f>IF(S1288&lt;='Methodology &amp; Assumptions'!$B$10, "Direct Optical Drop (&lt;3km)", IF(S1288&lt;='Methodology &amp; Assumptions'!$B$9, "Near Optical / Microwave (&lt;5km)", "Starlink Business LEO Satellite Backhaul (&gt;5km)"))</f>
        <v/>
      </c>
      <c r="W1288" s="28" t="n">
        <v>0.07200000000000001</v>
      </c>
      <c r="X1288" s="14" t="n">
        <v>43.49</v>
      </c>
      <c r="Y1288" s="14">
        <f>ROUND(MIN(100, (X1288/69.91)*100), 2)</f>
        <v/>
      </c>
    </row>
    <row r="1289">
      <c r="A1289" s="10" t="n">
        <v>5</v>
      </c>
      <c r="B1289" s="10" t="n">
        <v>285</v>
      </c>
      <c r="C1289" s="10" t="n">
        <v>4285</v>
      </c>
      <c r="D1289" s="10" t="inlineStr">
        <is>
          <t>1402709005</t>
        </is>
      </c>
      <c r="E1289" s="26" t="inlineStr">
        <is>
          <t>Cordillera Administrative Region (CAR)</t>
        </is>
      </c>
      <c r="F1289" s="26" t="inlineStr">
        <is>
          <t>Ifugao</t>
        </is>
      </c>
      <c r="G1289" s="26" t="inlineStr">
        <is>
          <t>Hingyon</t>
        </is>
      </c>
      <c r="H1289" s="26" t="inlineStr">
        <is>
          <t>Mompolia</t>
        </is>
      </c>
      <c r="I1289" s="27" t="n">
        <v>16.872068</v>
      </c>
      <c r="J1289" s="27" t="n">
        <v>121.144679</v>
      </c>
      <c r="K1289" s="10" t="inlineStr">
        <is>
          <t>R</t>
        </is>
      </c>
      <c r="L1289" s="12" t="n">
        <v>1271</v>
      </c>
      <c r="M1289" s="14" t="n">
        <v>3.9</v>
      </c>
      <c r="N1289" s="12">
        <f>ROUND(L1289/M1289, 0)</f>
        <v/>
      </c>
      <c r="O1289" s="12">
        <f>ROUND(N1289*'Methodology &amp; Assumptions'!$B$5, 0)</f>
        <v/>
      </c>
      <c r="P1289" s="10" t="inlineStr">
        <is>
          <t>Single Carrier (Band n50, 100MHz TDD)</t>
        </is>
      </c>
      <c r="Q1289" s="13">
        <f>ROUNDUP(O1289/'Methodology &amp; Assumptions'!$B$6, 0)</f>
        <v/>
      </c>
      <c r="R1289" s="13" t="n">
        <v>1</v>
      </c>
      <c r="S1289" s="14" t="n">
        <v>4.31</v>
      </c>
      <c r="T1289" s="14" t="n">
        <v>6.73</v>
      </c>
      <c r="U1289" s="26">
        <f>IF(X1289&gt;='Methodology &amp; Assumptions'!$B$7, "Tier 1 Critical GIDA (Score ≥ 50.0)", IF(X1289&gt;='Methodology &amp; Assumptions'!$B$8, "Tier 2 High GIDA (Score 40.0–49.9)", "Tier 3 Moderate GIDA (Score &lt; 40.0)"))</f>
        <v/>
      </c>
      <c r="V1289" s="26">
        <f>IF(S1289&lt;='Methodology &amp; Assumptions'!$B$10, "Direct Optical Drop (&lt;3km)", IF(S1289&lt;='Methodology &amp; Assumptions'!$B$9, "Near Optical / Microwave (&lt;5km)", "Starlink Business LEO Satellite Backhaul (&gt;5km)"))</f>
        <v/>
      </c>
      <c r="W1289" s="28" t="n">
        <v>0.109</v>
      </c>
      <c r="X1289" s="14" t="n">
        <v>43.48</v>
      </c>
      <c r="Y1289" s="14">
        <f>ROUND(MIN(100, (X1289/69.91)*100), 2)</f>
        <v/>
      </c>
    </row>
    <row r="1290">
      <c r="A1290" s="10" t="n">
        <v>5</v>
      </c>
      <c r="B1290" s="10" t="n">
        <v>286</v>
      </c>
      <c r="C1290" s="10" t="n">
        <v>4286</v>
      </c>
      <c r="D1290" s="10" t="inlineStr">
        <is>
          <t>0405801010</t>
        </is>
      </c>
      <c r="E1290" s="26" t="inlineStr">
        <is>
          <t>Region IV-A (CALABARZON)</t>
        </is>
      </c>
      <c r="F1290" s="26" t="inlineStr">
        <is>
          <t>Rizal</t>
        </is>
      </c>
      <c r="G1290" s="26" t="inlineStr">
        <is>
          <t>Angono</t>
        </is>
      </c>
      <c r="H1290" s="26" t="inlineStr">
        <is>
          <t>San Pedro</t>
        </is>
      </c>
      <c r="I1290" s="27" t="n">
        <v>14.540512</v>
      </c>
      <c r="J1290" s="27" t="n">
        <v>121.167239</v>
      </c>
      <c r="K1290" s="10" t="inlineStr">
        <is>
          <t>U</t>
        </is>
      </c>
      <c r="L1290" s="12" t="n">
        <v>1739</v>
      </c>
      <c r="M1290" s="14" t="n">
        <v>3.6</v>
      </c>
      <c r="N1290" s="12">
        <f>ROUND(L1290/M1290, 0)</f>
        <v/>
      </c>
      <c r="O1290" s="12">
        <f>ROUND(N1290*'Methodology &amp; Assumptions'!$B$5, 0)</f>
        <v/>
      </c>
      <c r="P1290" s="10" t="inlineStr">
        <is>
          <t>Single Carrier (Band n50, 100MHz TDD)</t>
        </is>
      </c>
      <c r="Q1290" s="13">
        <f>ROUNDUP(O1290/'Methodology &amp; Assumptions'!$B$6, 0)</f>
        <v/>
      </c>
      <c r="R1290" s="13" t="n">
        <v>1</v>
      </c>
      <c r="S1290" s="14" t="n">
        <v>1.98</v>
      </c>
      <c r="T1290" s="14" t="n">
        <v>1.83</v>
      </c>
      <c r="U1290" s="26">
        <f>IF(X1290&gt;='Methodology &amp; Assumptions'!$B$7, "Tier 1 Critical GIDA (Score ≥ 50.0)", IF(X1290&gt;='Methodology &amp; Assumptions'!$B$8, "Tier 2 High GIDA (Score 40.0–49.9)", "Tier 3 Moderate GIDA (Score &lt; 40.0)"))</f>
        <v/>
      </c>
      <c r="V1290" s="26">
        <f>IF(S1290&lt;='Methodology &amp; Assumptions'!$B$10, "Direct Optical Drop (&lt;3km)", IF(S1290&lt;='Methodology &amp; Assumptions'!$B$9, "Near Optical / Microwave (&lt;5km)", "Starlink Business LEO Satellite Backhaul (&gt;5km)"))</f>
        <v/>
      </c>
      <c r="W1290" s="28" t="n">
        <v>0.07200000000000001</v>
      </c>
      <c r="X1290" s="14" t="n">
        <v>43.48</v>
      </c>
      <c r="Y1290" s="14">
        <f>ROUND(MIN(100, (X1290/69.91)*100), 2)</f>
        <v/>
      </c>
    </row>
    <row r="1291">
      <c r="A1291" s="10" t="n">
        <v>5</v>
      </c>
      <c r="B1291" s="10" t="n">
        <v>287</v>
      </c>
      <c r="C1291" s="10" t="n">
        <v>4287</v>
      </c>
      <c r="D1291" s="10" t="inlineStr">
        <is>
          <t>0401006037</t>
        </is>
      </c>
      <c r="E1291" s="26" t="inlineStr">
        <is>
          <t>Region IV-A (CALABARZON)</t>
        </is>
      </c>
      <c r="F1291" s="26" t="inlineStr">
        <is>
          <t>Batangas</t>
        </is>
      </c>
      <c r="G1291" s="26" t="inlineStr">
        <is>
          <t>Bauan</t>
        </is>
      </c>
      <c r="H1291" s="26" t="inlineStr">
        <is>
          <t>San Roque</t>
        </is>
      </c>
      <c r="I1291" s="27" t="n">
        <v>13.794288</v>
      </c>
      <c r="J1291" s="27" t="n">
        <v>120.985117</v>
      </c>
      <c r="K1291" s="10" t="inlineStr">
        <is>
          <t>U</t>
        </is>
      </c>
      <c r="L1291" s="12" t="n">
        <v>6537</v>
      </c>
      <c r="M1291" s="14" t="n">
        <v>3.6</v>
      </c>
      <c r="N1291" s="12">
        <f>ROUND(L1291/M1291, 0)</f>
        <v/>
      </c>
      <c r="O1291" s="12">
        <f>ROUND(N1291*'Methodology &amp; Assumptions'!$B$5, 0)</f>
        <v/>
      </c>
      <c r="P1291" s="10" t="inlineStr">
        <is>
          <t>Single Carrier (Band n50, 100MHz TDD)</t>
        </is>
      </c>
      <c r="Q1291" s="13">
        <f>ROUNDUP(O1291/'Methodology &amp; Assumptions'!$B$6, 0)</f>
        <v/>
      </c>
      <c r="R1291" s="13" t="n">
        <v>1</v>
      </c>
      <c r="S1291" s="14" t="n">
        <v>1.92</v>
      </c>
      <c r="T1291" s="14" t="n">
        <v>1.53</v>
      </c>
      <c r="U1291" s="26">
        <f>IF(X1291&gt;='Methodology &amp; Assumptions'!$B$7, "Tier 1 Critical GIDA (Score ≥ 50.0)", IF(X1291&gt;='Methodology &amp; Assumptions'!$B$8, "Tier 2 High GIDA (Score 40.0–49.9)", "Tier 3 Moderate GIDA (Score &lt; 40.0)"))</f>
        <v/>
      </c>
      <c r="V1291" s="26">
        <f>IF(S1291&lt;='Methodology &amp; Assumptions'!$B$10, "Direct Optical Drop (&lt;3km)", IF(S1291&lt;='Methodology &amp; Assumptions'!$B$9, "Near Optical / Microwave (&lt;5km)", "Starlink Business LEO Satellite Backhaul (&gt;5km)"))</f>
        <v/>
      </c>
      <c r="W1291" s="28" t="n">
        <v>0.07200000000000001</v>
      </c>
      <c r="X1291" s="14" t="n">
        <v>43.47</v>
      </c>
      <c r="Y1291" s="14">
        <f>ROUND(MIN(100, (X1291/69.91)*100), 2)</f>
        <v/>
      </c>
    </row>
    <row r="1292">
      <c r="A1292" s="10" t="n">
        <v>5</v>
      </c>
      <c r="B1292" s="10" t="n">
        <v>288</v>
      </c>
      <c r="C1292" s="10" t="n">
        <v>4288</v>
      </c>
      <c r="D1292" s="10" t="inlineStr">
        <is>
          <t>0702234009</t>
        </is>
      </c>
      <c r="E1292" s="26" t="inlineStr">
        <is>
          <t>Region VII (Central Visayas)</t>
        </is>
      </c>
      <c r="F1292" s="26" t="inlineStr">
        <is>
          <t>Cebu</t>
        </is>
      </c>
      <c r="G1292" s="26" t="inlineStr">
        <is>
          <t>City of Naga</t>
        </is>
      </c>
      <c r="H1292" s="26" t="inlineStr">
        <is>
          <t>East Poblacion</t>
        </is>
      </c>
      <c r="I1292" s="27" t="n">
        <v>10.237352</v>
      </c>
      <c r="J1292" s="27" t="n">
        <v>123.726707</v>
      </c>
      <c r="K1292" s="10" t="inlineStr">
        <is>
          <t>U</t>
        </is>
      </c>
      <c r="L1292" s="12" t="n">
        <v>415</v>
      </c>
      <c r="M1292" s="14" t="n">
        <v>3.8</v>
      </c>
      <c r="N1292" s="12">
        <f>ROUND(L1292/M1292, 0)</f>
        <v/>
      </c>
      <c r="O1292" s="12">
        <f>ROUND(N1292*'Methodology &amp; Assumptions'!$B$5, 0)</f>
        <v/>
      </c>
      <c r="P1292" s="10" t="inlineStr">
        <is>
          <t>Single Carrier (Band n50, 100MHz TDD)</t>
        </is>
      </c>
      <c r="Q1292" s="13">
        <f>ROUNDUP(O1292/'Methodology &amp; Assumptions'!$B$6, 0)</f>
        <v/>
      </c>
      <c r="R1292" s="13" t="n">
        <v>1</v>
      </c>
      <c r="S1292" s="14" t="n">
        <v>2.69</v>
      </c>
      <c r="T1292" s="14" t="n">
        <v>0.45</v>
      </c>
      <c r="U1292" s="26">
        <f>IF(X1292&gt;='Methodology &amp; Assumptions'!$B$7, "Tier 1 Critical GIDA (Score ≥ 50.0)", IF(X1292&gt;='Methodology &amp; Assumptions'!$B$8, "Tier 2 High GIDA (Score 40.0–49.9)", "Tier 3 Moderate GIDA (Score &lt; 40.0)"))</f>
        <v/>
      </c>
      <c r="V1292" s="26">
        <f>IF(S1292&lt;='Methodology &amp; Assumptions'!$B$10, "Direct Optical Drop (&lt;3km)", IF(S1292&lt;='Methodology &amp; Assumptions'!$B$9, "Near Optical / Microwave (&lt;5km)", "Starlink Business LEO Satellite Backhaul (&gt;5km)"))</f>
        <v/>
      </c>
      <c r="W1292" s="28" t="n">
        <v>0.237</v>
      </c>
      <c r="X1292" s="14" t="n">
        <v>43.47</v>
      </c>
      <c r="Y1292" s="14">
        <f>ROUND(MIN(100, (X1292/69.91)*100), 2)</f>
        <v/>
      </c>
    </row>
    <row r="1293">
      <c r="A1293" s="10" t="n">
        <v>5</v>
      </c>
      <c r="B1293" s="10" t="n">
        <v>289</v>
      </c>
      <c r="C1293" s="10" t="n">
        <v>4289</v>
      </c>
      <c r="D1293" s="10" t="inlineStr">
        <is>
          <t>0401033001</t>
        </is>
      </c>
      <c r="E1293" s="26" t="inlineStr">
        <is>
          <t>Region IV-A (CALABARZON)</t>
        </is>
      </c>
      <c r="F1293" s="26" t="inlineStr">
        <is>
          <t>Batangas</t>
        </is>
      </c>
      <c r="G1293" s="26" t="inlineStr">
        <is>
          <t>Tingloy</t>
        </is>
      </c>
      <c r="H1293" s="26" t="inlineStr">
        <is>
          <t>Corona</t>
        </is>
      </c>
      <c r="I1293" s="27" t="n">
        <v>13.630756</v>
      </c>
      <c r="J1293" s="27" t="n">
        <v>120.929263</v>
      </c>
      <c r="K1293" s="10" t="inlineStr">
        <is>
          <t>R</t>
        </is>
      </c>
      <c r="L1293" s="12" t="n">
        <v>1033</v>
      </c>
      <c r="M1293" s="14" t="n">
        <v>3.6</v>
      </c>
      <c r="N1293" s="12">
        <f>ROUND(L1293/M1293, 0)</f>
        <v/>
      </c>
      <c r="O1293" s="12">
        <f>ROUND(N1293*'Methodology &amp; Assumptions'!$B$5, 0)</f>
        <v/>
      </c>
      <c r="P1293" s="10" t="inlineStr">
        <is>
          <t>Single Carrier (Band n50, 100MHz TDD)</t>
        </is>
      </c>
      <c r="Q1293" s="13">
        <f>ROUNDUP(O1293/'Methodology &amp; Assumptions'!$B$6, 0)</f>
        <v/>
      </c>
      <c r="R1293" s="13" t="n">
        <v>1</v>
      </c>
      <c r="S1293" s="14" t="n">
        <v>7.5</v>
      </c>
      <c r="T1293" s="14" t="n">
        <v>13.83</v>
      </c>
      <c r="U1293" s="26">
        <f>IF(X1293&gt;='Methodology &amp; Assumptions'!$B$7, "Tier 1 Critical GIDA (Score ≥ 50.0)", IF(X1293&gt;='Methodology &amp; Assumptions'!$B$8, "Tier 2 High GIDA (Score 40.0–49.9)", "Tier 3 Moderate GIDA (Score &lt; 40.0)"))</f>
        <v/>
      </c>
      <c r="V1293" s="26">
        <f>IF(S1293&lt;='Methodology &amp; Assumptions'!$B$10, "Direct Optical Drop (&lt;3km)", IF(S1293&lt;='Methodology &amp; Assumptions'!$B$9, "Near Optical / Microwave (&lt;5km)", "Starlink Business LEO Satellite Backhaul (&gt;5km)"))</f>
        <v/>
      </c>
      <c r="W1293" s="28" t="n">
        <v>0.07200000000000001</v>
      </c>
      <c r="X1293" s="14" t="n">
        <v>43.47</v>
      </c>
      <c r="Y1293" s="14">
        <f>ROUND(MIN(100, (X1293/69.91)*100), 2)</f>
        <v/>
      </c>
    </row>
    <row r="1294">
      <c r="A1294" s="10" t="n">
        <v>5</v>
      </c>
      <c r="B1294" s="10" t="n">
        <v>290</v>
      </c>
      <c r="C1294" s="10" t="n">
        <v>4290</v>
      </c>
      <c r="D1294" s="10" t="inlineStr">
        <is>
          <t>0304928003</t>
        </is>
      </c>
      <c r="E1294" s="26" t="inlineStr">
        <is>
          <t>Region III (Central Luzon)</t>
        </is>
      </c>
      <c r="F1294" s="26" t="inlineStr">
        <is>
          <t>Nueva Ecija</t>
        </is>
      </c>
      <c r="G1294" s="26" t="inlineStr">
        <is>
          <t>Santa Rosa</t>
        </is>
      </c>
      <c r="H1294" s="26" t="inlineStr">
        <is>
          <t>Liwayway</t>
        </is>
      </c>
      <c r="I1294" s="27" t="n">
        <v>15.443489</v>
      </c>
      <c r="J1294" s="27" t="n">
        <v>121.065079</v>
      </c>
      <c r="K1294" s="10" t="inlineStr">
        <is>
          <t>R</t>
        </is>
      </c>
      <c r="L1294" s="12" t="n">
        <v>4402</v>
      </c>
      <c r="M1294" s="14" t="n">
        <v>3.5</v>
      </c>
      <c r="N1294" s="12">
        <f>ROUND(L1294/M1294, 0)</f>
        <v/>
      </c>
      <c r="O1294" s="12">
        <f>ROUND(N1294*'Methodology &amp; Assumptions'!$B$5, 0)</f>
        <v/>
      </c>
      <c r="P1294" s="10" t="inlineStr">
        <is>
          <t>Single Carrier (Band n50, 100MHz TDD)</t>
        </is>
      </c>
      <c r="Q1294" s="13">
        <f>ROUNDUP(O1294/'Methodology &amp; Assumptions'!$B$6, 0)</f>
        <v/>
      </c>
      <c r="R1294" s="13" t="n">
        <v>1</v>
      </c>
      <c r="S1294" s="14" t="n">
        <v>0.07000000000000001</v>
      </c>
      <c r="T1294" s="14" t="n">
        <v>0.09</v>
      </c>
      <c r="U1294" s="26">
        <f>IF(X1294&gt;='Methodology &amp; Assumptions'!$B$7, "Tier 1 Critical GIDA (Score ≥ 50.0)", IF(X1294&gt;='Methodology &amp; Assumptions'!$B$8, "Tier 2 High GIDA (Score 40.0–49.9)", "Tier 3 Moderate GIDA (Score &lt; 40.0)"))</f>
        <v/>
      </c>
      <c r="V1294" s="26">
        <f>IF(S1294&lt;='Methodology &amp; Assumptions'!$B$10, "Direct Optical Drop (&lt;3km)", IF(S1294&lt;='Methodology &amp; Assumptions'!$B$9, "Near Optical / Microwave (&lt;5km)", "Starlink Business LEO Satellite Backhaul (&gt;5km)"))</f>
        <v/>
      </c>
      <c r="W1294" s="28" t="n">
        <v>0.083</v>
      </c>
      <c r="X1294" s="14" t="n">
        <v>43.46</v>
      </c>
      <c r="Y1294" s="14">
        <f>ROUND(MIN(100, (X1294/69.91)*100), 2)</f>
        <v/>
      </c>
    </row>
    <row r="1295">
      <c r="A1295" s="10" t="n">
        <v>5</v>
      </c>
      <c r="B1295" s="10" t="n">
        <v>291</v>
      </c>
      <c r="C1295" s="10" t="n">
        <v>4291</v>
      </c>
      <c r="D1295" s="10" t="inlineStr">
        <is>
          <t>PH0004291</t>
        </is>
      </c>
      <c r="E1295" s="26" t="inlineStr">
        <is>
          <t>CAR</t>
        </is>
      </c>
      <c r="F1295" s="26" t="inlineStr">
        <is>
          <t>Benguet</t>
        </is>
      </c>
      <c r="G1295" s="26" t="inlineStr">
        <is>
          <t>Baguio City</t>
        </is>
      </c>
      <c r="H1295" s="26" t="inlineStr">
        <is>
          <t>Quirino Hill, East</t>
        </is>
      </c>
      <c r="I1295" s="27" t="n">
        <v>16.381106</v>
      </c>
      <c r="J1295" s="27" t="n">
        <v>120.679629</v>
      </c>
      <c r="K1295" s="10" t="inlineStr">
        <is>
          <t>R</t>
        </is>
      </c>
      <c r="L1295" s="12" t="n">
        <v>2260</v>
      </c>
      <c r="M1295" s="14" t="n">
        <v>3.5</v>
      </c>
      <c r="N1295" s="12">
        <f>ROUND(L1295/M1295, 0)</f>
        <v/>
      </c>
      <c r="O1295" s="12">
        <f>ROUND(N1295*'Methodology &amp; Assumptions'!$B$5, 0)</f>
        <v/>
      </c>
      <c r="P1295" s="10" t="inlineStr">
        <is>
          <t>Single Carrier (Band n50, 100MHz TDD)</t>
        </is>
      </c>
      <c r="Q1295" s="13">
        <f>ROUNDUP(O1295/'Methodology &amp; Assumptions'!$B$6, 0)</f>
        <v/>
      </c>
      <c r="R1295" s="13" t="n">
        <v>1</v>
      </c>
      <c r="S1295" s="14" t="n">
        <v>2.73</v>
      </c>
      <c r="T1295" s="14" t="n">
        <v>3.66</v>
      </c>
      <c r="U1295" s="26">
        <f>IF(X1295&gt;='Methodology &amp; Assumptions'!$B$7, "Tier 1 Critical GIDA (Score ≥ 50.0)", IF(X1295&gt;='Methodology &amp; Assumptions'!$B$8, "Tier 2 High GIDA (Score 40.0–49.9)", "Tier 3 Moderate GIDA (Score &lt; 40.0)"))</f>
        <v/>
      </c>
      <c r="V1295" s="26">
        <f>IF(S1295&lt;='Methodology &amp; Assumptions'!$B$10, "Direct Optical Drop (&lt;3km)", IF(S1295&lt;='Methodology &amp; Assumptions'!$B$9, "Near Optical / Microwave (&lt;5km)", "Starlink Business LEO Satellite Backhaul (&gt;5km)"))</f>
        <v/>
      </c>
      <c r="W1295" s="28" t="n">
        <v>0.221</v>
      </c>
      <c r="X1295" s="14" t="n">
        <v>43.46</v>
      </c>
      <c r="Y1295" s="14">
        <f>ROUND(MIN(100, (X1295/69.91)*100), 2)</f>
        <v/>
      </c>
    </row>
    <row r="1296">
      <c r="A1296" s="10" t="n">
        <v>5</v>
      </c>
      <c r="B1296" s="10" t="n">
        <v>292</v>
      </c>
      <c r="C1296" s="10" t="n">
        <v>4292</v>
      </c>
      <c r="D1296" s="10" t="inlineStr">
        <is>
          <t>0300804044</t>
        </is>
      </c>
      <c r="E1296" s="26" t="inlineStr">
        <is>
          <t>Region III (Central Luzon)</t>
        </is>
      </c>
      <c r="F1296" s="26" t="inlineStr">
        <is>
          <t>Bataan</t>
        </is>
      </c>
      <c r="G1296" s="26" t="inlineStr">
        <is>
          <t>Dinalupihan</t>
        </is>
      </c>
      <c r="H1296" s="26" t="inlineStr">
        <is>
          <t>Aquino</t>
        </is>
      </c>
      <c r="I1296" s="27" t="n">
        <v>14.863457</v>
      </c>
      <c r="J1296" s="27" t="n">
        <v>120.437196</v>
      </c>
      <c r="K1296" s="10" t="inlineStr">
        <is>
          <t>R</t>
        </is>
      </c>
      <c r="L1296" s="12" t="n">
        <v>119</v>
      </c>
      <c r="M1296" s="14" t="n">
        <v>3.6</v>
      </c>
      <c r="N1296" s="12">
        <f>ROUND(L1296/M1296, 0)</f>
        <v/>
      </c>
      <c r="O1296" s="12">
        <f>ROUND(N1296*'Methodology &amp; Assumptions'!$B$5, 0)</f>
        <v/>
      </c>
      <c r="P1296" s="10" t="inlineStr">
        <is>
          <t>Single Carrier (Band n50, 100MHz TDD)</t>
        </is>
      </c>
      <c r="Q1296" s="13">
        <f>ROUNDUP(O1296/'Methodology &amp; Assumptions'!$B$6, 0)</f>
        <v/>
      </c>
      <c r="R1296" s="13" t="n">
        <v>1</v>
      </c>
      <c r="S1296" s="14" t="n">
        <v>2.11</v>
      </c>
      <c r="T1296" s="14" t="n">
        <v>0.43</v>
      </c>
      <c r="U1296" s="26">
        <f>IF(X1296&gt;='Methodology &amp; Assumptions'!$B$7, "Tier 1 Critical GIDA (Score ≥ 50.0)", IF(X1296&gt;='Methodology &amp; Assumptions'!$B$8, "Tier 2 High GIDA (Score 40.0–49.9)", "Tier 3 Moderate GIDA (Score &lt; 40.0)"))</f>
        <v/>
      </c>
      <c r="V1296" s="26">
        <f>IF(S1296&lt;='Methodology &amp; Assumptions'!$B$10, "Direct Optical Drop (&lt;3km)", IF(S1296&lt;='Methodology &amp; Assumptions'!$B$9, "Near Optical / Microwave (&lt;5km)", "Starlink Business LEO Satellite Backhaul (&gt;5km)"))</f>
        <v/>
      </c>
      <c r="W1296" s="28" t="n">
        <v>0.083</v>
      </c>
      <c r="X1296" s="14" t="n">
        <v>43.45</v>
      </c>
      <c r="Y1296" s="14">
        <f>ROUND(MIN(100, (X1296/69.91)*100), 2)</f>
        <v/>
      </c>
    </row>
    <row r="1297">
      <c r="A1297" s="10" t="n">
        <v>5</v>
      </c>
      <c r="B1297" s="10" t="n">
        <v>293</v>
      </c>
      <c r="C1297" s="10" t="n">
        <v>4293</v>
      </c>
      <c r="D1297" s="10" t="inlineStr">
        <is>
          <t>0600406018</t>
        </is>
      </c>
      <c r="E1297" s="26" t="inlineStr">
        <is>
          <t>Region VI (Western Visayas)</t>
        </is>
      </c>
      <c r="F1297" s="26" t="inlineStr">
        <is>
          <t>Aklan</t>
        </is>
      </c>
      <c r="G1297" s="26" t="inlineStr">
        <is>
          <t>Ibajay</t>
        </is>
      </c>
      <c r="H1297" s="26" t="inlineStr">
        <is>
          <t>Mina-a</t>
        </is>
      </c>
      <c r="I1297" s="27" t="n">
        <v>11.661651</v>
      </c>
      <c r="J1297" s="27" t="n">
        <v>122.177582</v>
      </c>
      <c r="K1297" s="10" t="inlineStr">
        <is>
          <t>R</t>
        </is>
      </c>
      <c r="L1297" s="12" t="n">
        <v>730</v>
      </c>
      <c r="M1297" s="14" t="n">
        <v>3.9</v>
      </c>
      <c r="N1297" s="12">
        <f>ROUND(L1297/M1297, 0)</f>
        <v/>
      </c>
      <c r="O1297" s="12">
        <f>ROUND(N1297*'Methodology &amp; Assumptions'!$B$5, 0)</f>
        <v/>
      </c>
      <c r="P1297" s="10" t="inlineStr">
        <is>
          <t>Single Carrier (Band n50, 100MHz TDD)</t>
        </is>
      </c>
      <c r="Q1297" s="13">
        <f>ROUNDUP(O1297/'Methodology &amp; Assumptions'!$B$6, 0)</f>
        <v/>
      </c>
      <c r="R1297" s="13" t="n">
        <v>1</v>
      </c>
      <c r="S1297" s="14" t="n">
        <v>13.69</v>
      </c>
      <c r="T1297" s="14" t="n">
        <v>12.09</v>
      </c>
      <c r="U1297" s="26">
        <f>IF(X1297&gt;='Methodology &amp; Assumptions'!$B$7, "Tier 1 Critical GIDA (Score ≥ 50.0)", IF(X1297&gt;='Methodology &amp; Assumptions'!$B$8, "Tier 2 High GIDA (Score 40.0–49.9)", "Tier 3 Moderate GIDA (Score &lt; 40.0)"))</f>
        <v/>
      </c>
      <c r="V1297" s="26">
        <f>IF(S1297&lt;='Methodology &amp; Assumptions'!$B$10, "Direct Optical Drop (&lt;3km)", IF(S1297&lt;='Methodology &amp; Assumptions'!$B$9, "Near Optical / Microwave (&lt;5km)", "Starlink Business LEO Satellite Backhaul (&gt;5km)"))</f>
        <v/>
      </c>
      <c r="W1297" s="28" t="n">
        <v>0.237</v>
      </c>
      <c r="X1297" s="14" t="n">
        <v>43.45</v>
      </c>
      <c r="Y1297" s="14">
        <f>ROUND(MIN(100, (X1297/69.91)*100), 2)</f>
        <v/>
      </c>
    </row>
    <row r="1298">
      <c r="A1298" s="10" t="n">
        <v>5</v>
      </c>
      <c r="B1298" s="10" t="n">
        <v>294</v>
      </c>
      <c r="C1298" s="10" t="n">
        <v>4294</v>
      </c>
      <c r="D1298" s="10" t="inlineStr">
        <is>
          <t>PH0004294</t>
        </is>
      </c>
      <c r="E1298" s="26" t="inlineStr">
        <is>
          <t>XI</t>
        </is>
      </c>
      <c r="F1298" s="26" t="inlineStr">
        <is>
          <t>Davao Del Sur</t>
        </is>
      </c>
      <c r="G1298" s="26" t="inlineStr">
        <is>
          <t>Davao City</t>
        </is>
      </c>
      <c r="H1298" s="26" t="inlineStr">
        <is>
          <t>Barangay 12-B (Pob.)</t>
        </is>
      </c>
      <c r="I1298" s="27" t="n">
        <v>7.080908</v>
      </c>
      <c r="J1298" s="27" t="n">
        <v>125.612507</v>
      </c>
      <c r="K1298" s="10" t="inlineStr">
        <is>
          <t>R</t>
        </is>
      </c>
      <c r="L1298" s="12" t="n">
        <v>2280</v>
      </c>
      <c r="M1298" s="14" t="n">
        <v>3.4</v>
      </c>
      <c r="N1298" s="12">
        <f>ROUND(L1298/M1298, 0)</f>
        <v/>
      </c>
      <c r="O1298" s="12">
        <f>ROUND(N1298*'Methodology &amp; Assumptions'!$B$5, 0)</f>
        <v/>
      </c>
      <c r="P1298" s="10" t="inlineStr">
        <is>
          <t>Single Carrier (Band n50, 100MHz TDD)</t>
        </is>
      </c>
      <c r="Q1298" s="13">
        <f>ROUNDUP(O1298/'Methodology &amp; Assumptions'!$B$6, 0)</f>
        <v/>
      </c>
      <c r="R1298" s="13" t="n">
        <v>1</v>
      </c>
      <c r="S1298" s="14" t="n">
        <v>1.42</v>
      </c>
      <c r="T1298" s="14" t="n">
        <v>0.24</v>
      </c>
      <c r="U1298" s="26">
        <f>IF(X1298&gt;='Methodology &amp; Assumptions'!$B$7, "Tier 1 Critical GIDA (Score ≥ 50.0)", IF(X1298&gt;='Methodology &amp; Assumptions'!$B$8, "Tier 2 High GIDA (Score 40.0–49.9)", "Tier 3 Moderate GIDA (Score &lt; 40.0)"))</f>
        <v/>
      </c>
      <c r="V1298" s="26">
        <f>IF(S1298&lt;='Methodology &amp; Assumptions'!$B$10, "Direct Optical Drop (&lt;3km)", IF(S1298&lt;='Methodology &amp; Assumptions'!$B$9, "Near Optical / Microwave (&lt;5km)", "Starlink Business LEO Satellite Backhaul (&gt;5km)"))</f>
        <v/>
      </c>
      <c r="W1298" s="28" t="n">
        <v>0.119</v>
      </c>
      <c r="X1298" s="14" t="n">
        <v>43.45</v>
      </c>
      <c r="Y1298" s="14">
        <f>ROUND(MIN(100, (X1298/69.91)*100), 2)</f>
        <v/>
      </c>
    </row>
    <row r="1299">
      <c r="A1299" s="10" t="n">
        <v>5</v>
      </c>
      <c r="B1299" s="10" t="n">
        <v>295</v>
      </c>
      <c r="C1299" s="10" t="n">
        <v>4295</v>
      </c>
      <c r="D1299" s="10" t="inlineStr">
        <is>
          <t>0402118054</t>
        </is>
      </c>
      <c r="E1299" s="26" t="inlineStr">
        <is>
          <t>Region IV-A (CALABARZON)</t>
        </is>
      </c>
      <c r="F1299" s="26" t="inlineStr">
        <is>
          <t>Cavite</t>
        </is>
      </c>
      <c r="G1299" s="26" t="inlineStr">
        <is>
          <t>Silang</t>
        </is>
      </c>
      <c r="H1299" s="26" t="inlineStr">
        <is>
          <t>Anahaw II</t>
        </is>
      </c>
      <c r="I1299" s="27" t="n">
        <v>14.209002</v>
      </c>
      <c r="J1299" s="27" t="n">
        <v>120.994749</v>
      </c>
      <c r="K1299" s="10" t="inlineStr">
        <is>
          <t>R</t>
        </is>
      </c>
      <c r="L1299" s="12" t="n">
        <v>3770</v>
      </c>
      <c r="M1299" s="14" t="n">
        <v>3.4</v>
      </c>
      <c r="N1299" s="12">
        <f>ROUND(L1299/M1299, 0)</f>
        <v/>
      </c>
      <c r="O1299" s="12">
        <f>ROUND(N1299*'Methodology &amp; Assumptions'!$B$5, 0)</f>
        <v/>
      </c>
      <c r="P1299" s="10" t="inlineStr">
        <is>
          <t>Single Carrier (Band n50, 100MHz TDD)</t>
        </is>
      </c>
      <c r="Q1299" s="13">
        <f>ROUNDUP(O1299/'Methodology &amp; Assumptions'!$B$6, 0)</f>
        <v/>
      </c>
      <c r="R1299" s="13" t="n">
        <v>1</v>
      </c>
      <c r="S1299" s="14" t="n">
        <v>3.05</v>
      </c>
      <c r="T1299" s="14" t="n">
        <v>2.62</v>
      </c>
      <c r="U1299" s="26">
        <f>IF(X1299&gt;='Methodology &amp; Assumptions'!$B$7, "Tier 1 Critical GIDA (Score ≥ 50.0)", IF(X1299&gt;='Methodology &amp; Assumptions'!$B$8, "Tier 2 High GIDA (Score 40.0–49.9)", "Tier 3 Moderate GIDA (Score &lt; 40.0)"))</f>
        <v/>
      </c>
      <c r="V1299" s="26">
        <f>IF(S1299&lt;='Methodology &amp; Assumptions'!$B$10, "Direct Optical Drop (&lt;3km)", IF(S1299&lt;='Methodology &amp; Assumptions'!$B$9, "Near Optical / Microwave (&lt;5km)", "Starlink Business LEO Satellite Backhaul (&gt;5km)"))</f>
        <v/>
      </c>
      <c r="W1299" s="28" t="n">
        <v>0.07200000000000001</v>
      </c>
      <c r="X1299" s="14" t="n">
        <v>43.45</v>
      </c>
      <c r="Y1299" s="14">
        <f>ROUND(MIN(100, (X1299/69.91)*100), 2)</f>
        <v/>
      </c>
    </row>
    <row r="1300">
      <c r="A1300" s="10" t="n">
        <v>5</v>
      </c>
      <c r="B1300" s="10" t="n">
        <v>296</v>
      </c>
      <c r="C1300" s="10" t="n">
        <v>4296</v>
      </c>
      <c r="D1300" s="10" t="inlineStr">
        <is>
          <t>0401032005</t>
        </is>
      </c>
      <c r="E1300" s="26" t="inlineStr">
        <is>
          <t>Region IV-A (CALABARZON)</t>
        </is>
      </c>
      <c r="F1300" s="26" t="inlineStr">
        <is>
          <t>Batangas</t>
        </is>
      </c>
      <c r="G1300" s="26" t="inlineStr">
        <is>
          <t>Taysan</t>
        </is>
      </c>
      <c r="H1300" s="26" t="inlineStr">
        <is>
          <t>Guinhawa</t>
        </is>
      </c>
      <c r="I1300" s="27" t="n">
        <v>13.721219</v>
      </c>
      <c r="J1300" s="27" t="n">
        <v>121.262785</v>
      </c>
      <c r="K1300" s="10" t="inlineStr">
        <is>
          <t>R</t>
        </is>
      </c>
      <c r="L1300" s="12" t="n">
        <v>1433</v>
      </c>
      <c r="M1300" s="14" t="n">
        <v>3.6</v>
      </c>
      <c r="N1300" s="12">
        <f>ROUND(L1300/M1300, 0)</f>
        <v/>
      </c>
      <c r="O1300" s="12">
        <f>ROUND(N1300*'Methodology &amp; Assumptions'!$B$5, 0)</f>
        <v/>
      </c>
      <c r="P1300" s="10" t="inlineStr">
        <is>
          <t>Single Carrier (Band n50, 100MHz TDD)</t>
        </is>
      </c>
      <c r="Q1300" s="13">
        <f>ROUNDUP(O1300/'Methodology &amp; Assumptions'!$B$6, 0)</f>
        <v/>
      </c>
      <c r="R1300" s="13" t="n">
        <v>1</v>
      </c>
      <c r="S1300" s="14" t="n">
        <v>6.99</v>
      </c>
      <c r="T1300" s="14" t="n">
        <v>12.38</v>
      </c>
      <c r="U1300" s="26">
        <f>IF(X1300&gt;='Methodology &amp; Assumptions'!$B$7, "Tier 1 Critical GIDA (Score ≥ 50.0)", IF(X1300&gt;='Methodology &amp; Assumptions'!$B$8, "Tier 2 High GIDA (Score 40.0–49.9)", "Tier 3 Moderate GIDA (Score &lt; 40.0)"))</f>
        <v/>
      </c>
      <c r="V1300" s="26">
        <f>IF(S1300&lt;='Methodology &amp; Assumptions'!$B$10, "Direct Optical Drop (&lt;3km)", IF(S1300&lt;='Methodology &amp; Assumptions'!$B$9, "Near Optical / Microwave (&lt;5km)", "Starlink Business LEO Satellite Backhaul (&gt;5km)"))</f>
        <v/>
      </c>
      <c r="W1300" s="28" t="n">
        <v>0.07200000000000001</v>
      </c>
      <c r="X1300" s="14" t="n">
        <v>43.44</v>
      </c>
      <c r="Y1300" s="14">
        <f>ROUND(MIN(100, (X1300/69.91)*100), 2)</f>
        <v/>
      </c>
    </row>
    <row r="1301">
      <c r="A1301" s="10" t="n">
        <v>5</v>
      </c>
      <c r="B1301" s="10" t="n">
        <v>297</v>
      </c>
      <c r="C1301" s="10" t="n">
        <v>4297</v>
      </c>
      <c r="D1301" s="10" t="inlineStr">
        <is>
          <t>1003521009</t>
        </is>
      </c>
      <c r="E1301" s="26" t="inlineStr">
        <is>
          <t>Region X (Northern Mindanao)</t>
        </is>
      </c>
      <c r="F1301" s="26" t="inlineStr">
        <is>
          <t>Lanao del Norte</t>
        </is>
      </c>
      <c r="G1301" s="26" t="inlineStr">
        <is>
          <t>Tangcal</t>
        </is>
      </c>
      <c r="H1301" s="26" t="inlineStr">
        <is>
          <t>Linao</t>
        </is>
      </c>
      <c r="I1301" s="27" t="n">
        <v>8.042702</v>
      </c>
      <c r="J1301" s="27" t="n">
        <v>123.958631</v>
      </c>
      <c r="K1301" s="10" t="inlineStr">
        <is>
          <t>R</t>
        </is>
      </c>
      <c r="L1301" s="12" t="n">
        <v>786</v>
      </c>
      <c r="M1301" s="14" t="n">
        <v>4.2</v>
      </c>
      <c r="N1301" s="12">
        <f>ROUND(L1301/M1301, 0)</f>
        <v/>
      </c>
      <c r="O1301" s="12">
        <f>ROUND(N1301*'Methodology &amp; Assumptions'!$B$5, 0)</f>
        <v/>
      </c>
      <c r="P1301" s="10" t="inlineStr">
        <is>
          <t>Single Carrier (Band n50, 100MHz TDD)</t>
        </is>
      </c>
      <c r="Q1301" s="13">
        <f>ROUNDUP(O1301/'Methodology &amp; Assumptions'!$B$6, 0)</f>
        <v/>
      </c>
      <c r="R1301" s="13" t="n">
        <v>1</v>
      </c>
      <c r="S1301" s="14" t="n">
        <v>17.56</v>
      </c>
      <c r="T1301" s="14" t="n">
        <v>10.21</v>
      </c>
      <c r="U1301" s="26">
        <f>IF(X1301&gt;='Methodology &amp; Assumptions'!$B$7, "Tier 1 Critical GIDA (Score ≥ 50.0)", IF(X1301&gt;='Methodology &amp; Assumptions'!$B$8, "Tier 2 High GIDA (Score 40.0–49.9)", "Tier 3 Moderate GIDA (Score &lt; 40.0)"))</f>
        <v/>
      </c>
      <c r="V1301" s="26">
        <f>IF(S1301&lt;='Methodology &amp; Assumptions'!$B$10, "Direct Optical Drop (&lt;3km)", IF(S1301&lt;='Methodology &amp; Assumptions'!$B$9, "Near Optical / Microwave (&lt;5km)", "Starlink Business LEO Satellite Backhaul (&gt;5km)"))</f>
        <v/>
      </c>
      <c r="W1301" s="28" t="n">
        <v>0.174</v>
      </c>
      <c r="X1301" s="14" t="n">
        <v>43.44</v>
      </c>
      <c r="Y1301" s="14">
        <f>ROUND(MIN(100, (X1301/69.91)*100), 2)</f>
        <v/>
      </c>
    </row>
    <row r="1302">
      <c r="A1302" s="10" t="n">
        <v>5</v>
      </c>
      <c r="B1302" s="10" t="n">
        <v>298</v>
      </c>
      <c r="C1302" s="10" t="n">
        <v>4298</v>
      </c>
      <c r="D1302" s="10" t="inlineStr">
        <is>
          <t>1704006003</t>
        </is>
      </c>
      <c r="E1302" s="26" t="inlineStr">
        <is>
          <t>MIMAROPA Region</t>
        </is>
      </c>
      <c r="F1302" s="26" t="inlineStr">
        <is>
          <t>Marinduque</t>
        </is>
      </c>
      <c r="G1302" s="26" t="inlineStr">
        <is>
          <t>Torrijos</t>
        </is>
      </c>
      <c r="H1302" s="26" t="inlineStr">
        <is>
          <t>Bolo</t>
        </is>
      </c>
      <c r="I1302" s="27" t="n">
        <v>13.37996</v>
      </c>
      <c r="J1302" s="27" t="n">
        <v>122.093751</v>
      </c>
      <c r="K1302" s="10" t="inlineStr">
        <is>
          <t>R</t>
        </is>
      </c>
      <c r="L1302" s="12" t="n">
        <v>443</v>
      </c>
      <c r="M1302" s="14" t="n">
        <v>3.8</v>
      </c>
      <c r="N1302" s="12">
        <f>ROUND(L1302/M1302, 0)</f>
        <v/>
      </c>
      <c r="O1302" s="12">
        <f>ROUND(N1302*'Methodology &amp; Assumptions'!$B$5, 0)</f>
        <v/>
      </c>
      <c r="P1302" s="10" t="inlineStr">
        <is>
          <t>Single Carrier (Band n50, 100MHz TDD)</t>
        </is>
      </c>
      <c r="Q1302" s="13">
        <f>ROUNDUP(O1302/'Methodology &amp; Assumptions'!$B$6, 0)</f>
        <v/>
      </c>
      <c r="R1302" s="13" t="n">
        <v>1</v>
      </c>
      <c r="S1302" s="14" t="n">
        <v>32.55</v>
      </c>
      <c r="T1302" s="14" t="n">
        <v>31.85</v>
      </c>
      <c r="U1302" s="26">
        <f>IF(X1302&gt;='Methodology &amp; Assumptions'!$B$7, "Tier 1 Critical GIDA (Score ≥ 50.0)", IF(X1302&gt;='Methodology &amp; Assumptions'!$B$8, "Tier 2 High GIDA (Score 40.0–49.9)", "Tier 3 Moderate GIDA (Score &lt; 40.0)"))</f>
        <v/>
      </c>
      <c r="V1302" s="26">
        <f>IF(S1302&lt;='Methodology &amp; Assumptions'!$B$10, "Direct Optical Drop (&lt;3km)", IF(S1302&lt;='Methodology &amp; Assumptions'!$B$9, "Near Optical / Microwave (&lt;5km)", "Starlink Business LEO Satellite Backhaul (&gt;5km)"))</f>
        <v/>
      </c>
      <c r="W1302" s="28" t="n">
        <v>0.15</v>
      </c>
      <c r="X1302" s="14" t="n">
        <v>43.44</v>
      </c>
      <c r="Y1302" s="14">
        <f>ROUND(MIN(100, (X1302/69.91)*100), 2)</f>
        <v/>
      </c>
    </row>
    <row r="1303">
      <c r="A1303" s="10" t="n">
        <v>5</v>
      </c>
      <c r="B1303" s="10" t="n">
        <v>299</v>
      </c>
      <c r="C1303" s="10" t="n">
        <v>4299</v>
      </c>
      <c r="D1303" s="10" t="inlineStr">
        <is>
          <t>1381200029</t>
        </is>
      </c>
      <c r="E1303" s="26" t="inlineStr">
        <is>
          <t>National Capital Region (NCR)</t>
        </is>
      </c>
      <c r="F1303" s="26" t="inlineStr">
        <is>
          <t>Second District (Not a Province)</t>
        </is>
      </c>
      <c r="G1303" s="26" t="inlineStr">
        <is>
          <t>City of Pasig</t>
        </is>
      </c>
      <c r="H1303" s="26" t="inlineStr">
        <is>
          <t>Ugong</t>
        </is>
      </c>
      <c r="I1303" s="27" t="n">
        <v>14.579139</v>
      </c>
      <c r="J1303" s="27" t="n">
        <v>121.078659</v>
      </c>
      <c r="K1303" s="10" t="inlineStr">
        <is>
          <t>U</t>
        </is>
      </c>
      <c r="L1303" s="12" t="n">
        <v>30522</v>
      </c>
      <c r="M1303" s="14" t="n">
        <v>3.4</v>
      </c>
      <c r="N1303" s="12">
        <f>ROUND(L1303/M1303, 0)</f>
        <v/>
      </c>
      <c r="O1303" s="12">
        <f>ROUND(N1303*'Methodology &amp; Assumptions'!$B$5, 0)</f>
        <v/>
      </c>
      <c r="P1303" s="10" t="inlineStr">
        <is>
          <t>Single Carrier (Band n50, 100MHz TDD)</t>
        </is>
      </c>
      <c r="Q1303" s="13">
        <f>ROUNDUP(O1303/'Methodology &amp; Assumptions'!$B$6, 0)</f>
        <v/>
      </c>
      <c r="R1303" s="13" t="n">
        <v>1</v>
      </c>
      <c r="S1303" s="14" t="n">
        <v>0.53</v>
      </c>
      <c r="T1303" s="14" t="n">
        <v>0.38</v>
      </c>
      <c r="U1303" s="26">
        <f>IF(X1303&gt;='Methodology &amp; Assumptions'!$B$7, "Tier 1 Critical GIDA (Score ≥ 50.0)", IF(X1303&gt;='Methodology &amp; Assumptions'!$B$8, "Tier 2 High GIDA (Score 40.0–49.9)", "Tier 3 Moderate GIDA (Score &lt; 40.0)"))</f>
        <v/>
      </c>
      <c r="V1303" s="26">
        <f>IF(S1303&lt;='Methodology &amp; Assumptions'!$B$10, "Direct Optical Drop (&lt;3km)", IF(S1303&lt;='Methodology &amp; Assumptions'!$B$9, "Near Optical / Microwave (&lt;5km)", "Starlink Business LEO Satellite Backhaul (&gt;5km)"))</f>
        <v/>
      </c>
      <c r="W1303" s="28" t="n">
        <v>0.109</v>
      </c>
      <c r="X1303" s="14" t="n">
        <v>43.44</v>
      </c>
      <c r="Y1303" s="14">
        <f>ROUND(MIN(100, (X1303/69.91)*100), 2)</f>
        <v/>
      </c>
    </row>
    <row r="1304">
      <c r="A1304" s="10" t="n">
        <v>5</v>
      </c>
      <c r="B1304" s="10" t="n">
        <v>300</v>
      </c>
      <c r="C1304" s="10" t="n">
        <v>4300</v>
      </c>
      <c r="D1304" s="10" t="inlineStr">
        <is>
          <t>PH0004300</t>
        </is>
      </c>
      <c r="E1304" s="26" t="inlineStr">
        <is>
          <t>IV-A</t>
        </is>
      </c>
      <c r="F1304" s="26" t="inlineStr">
        <is>
          <t>Cavite</t>
        </is>
      </c>
      <c r="G1304" s="26" t="inlineStr">
        <is>
          <t>Imus City</t>
        </is>
      </c>
      <c r="H1304" s="26" t="inlineStr">
        <is>
          <t>Carsadang Bago I</t>
        </is>
      </c>
      <c r="I1304" s="27" t="n">
        <v>14.254198</v>
      </c>
      <c r="J1304" s="27" t="n">
        <v>120.889479</v>
      </c>
      <c r="K1304" s="10" t="inlineStr">
        <is>
          <t>R</t>
        </is>
      </c>
      <c r="L1304" s="12" t="n">
        <v>2316</v>
      </c>
      <c r="M1304" s="14" t="n">
        <v>3.4</v>
      </c>
      <c r="N1304" s="12">
        <f>ROUND(L1304/M1304, 0)</f>
        <v/>
      </c>
      <c r="O1304" s="12">
        <f>ROUND(N1304*'Methodology &amp; Assumptions'!$B$5, 0)</f>
        <v/>
      </c>
      <c r="P1304" s="10" t="inlineStr">
        <is>
          <t>Single Carrier (Band n50, 100MHz TDD)</t>
        </is>
      </c>
      <c r="Q1304" s="13">
        <f>ROUNDUP(O1304/'Methodology &amp; Assumptions'!$B$6, 0)</f>
        <v/>
      </c>
      <c r="R1304" s="13" t="n">
        <v>1</v>
      </c>
      <c r="S1304" s="14" t="n">
        <v>3.84</v>
      </c>
      <c r="T1304" s="14" t="n">
        <v>2.93</v>
      </c>
      <c r="U1304" s="26">
        <f>IF(X1304&gt;='Methodology &amp; Assumptions'!$B$7, "Tier 1 Critical GIDA (Score ≥ 50.0)", IF(X1304&gt;='Methodology &amp; Assumptions'!$B$8, "Tier 2 High GIDA (Score 40.0–49.9)", "Tier 3 Moderate GIDA (Score &lt; 40.0)"))</f>
        <v/>
      </c>
      <c r="V1304" s="26">
        <f>IF(S1304&lt;='Methodology &amp; Assumptions'!$B$10, "Direct Optical Drop (&lt;3km)", IF(S1304&lt;='Methodology &amp; Assumptions'!$B$9, "Near Optical / Microwave (&lt;5km)", "Starlink Business LEO Satellite Backhaul (&gt;5km)"))</f>
        <v/>
      </c>
      <c r="W1304" s="28" t="n">
        <v>0.07200000000000001</v>
      </c>
      <c r="X1304" s="14" t="n">
        <v>43.44</v>
      </c>
      <c r="Y1304" s="14">
        <f>ROUND(MIN(100, (X1304/69.91)*100), 2)</f>
        <v/>
      </c>
    </row>
    <row r="1305">
      <c r="A1305" s="10" t="n">
        <v>5</v>
      </c>
      <c r="B1305" s="10" t="n">
        <v>301</v>
      </c>
      <c r="C1305" s="10" t="n">
        <v>4301</v>
      </c>
      <c r="D1305" s="10" t="inlineStr">
        <is>
          <t>PH0004301</t>
        </is>
      </c>
      <c r="E1305" s="26" t="inlineStr">
        <is>
          <t>IV-A</t>
        </is>
      </c>
      <c r="F1305" s="26" t="inlineStr">
        <is>
          <t>Cavite</t>
        </is>
      </c>
      <c r="G1305" s="26" t="inlineStr">
        <is>
          <t>Cavite City</t>
        </is>
      </c>
      <c r="H1305" s="26" t="inlineStr">
        <is>
          <t>Barangay 38-A</t>
        </is>
      </c>
      <c r="I1305" s="27" t="n">
        <v>14.476347</v>
      </c>
      <c r="J1305" s="27" t="n">
        <v>120.872437</v>
      </c>
      <c r="K1305" s="10" t="inlineStr">
        <is>
          <t>R</t>
        </is>
      </c>
      <c r="L1305" s="12" t="n">
        <v>2316</v>
      </c>
      <c r="M1305" s="14" t="n">
        <v>3.4</v>
      </c>
      <c r="N1305" s="12">
        <f>ROUND(L1305/M1305, 0)</f>
        <v/>
      </c>
      <c r="O1305" s="12">
        <f>ROUND(N1305*'Methodology &amp; Assumptions'!$B$5, 0)</f>
        <v/>
      </c>
      <c r="P1305" s="10" t="inlineStr">
        <is>
          <t>Single Carrier (Band n50, 100MHz TDD)</t>
        </is>
      </c>
      <c r="Q1305" s="13">
        <f>ROUNDUP(O1305/'Methodology &amp; Assumptions'!$B$6, 0)</f>
        <v/>
      </c>
      <c r="R1305" s="13" t="n">
        <v>1</v>
      </c>
      <c r="S1305" s="14" t="n">
        <v>1.64</v>
      </c>
      <c r="T1305" s="14" t="n">
        <v>5.17</v>
      </c>
      <c r="U1305" s="26">
        <f>IF(X1305&gt;='Methodology &amp; Assumptions'!$B$7, "Tier 1 Critical GIDA (Score ≥ 50.0)", IF(X1305&gt;='Methodology &amp; Assumptions'!$B$8, "Tier 2 High GIDA (Score 40.0–49.9)", "Tier 3 Moderate GIDA (Score &lt; 40.0)"))</f>
        <v/>
      </c>
      <c r="V1305" s="26">
        <f>IF(S1305&lt;='Methodology &amp; Assumptions'!$B$10, "Direct Optical Drop (&lt;3km)", IF(S1305&lt;='Methodology &amp; Assumptions'!$B$9, "Near Optical / Microwave (&lt;5km)", "Starlink Business LEO Satellite Backhaul (&gt;5km)"))</f>
        <v/>
      </c>
      <c r="W1305" s="28" t="n">
        <v>0.07200000000000001</v>
      </c>
      <c r="X1305" s="14" t="n">
        <v>43.43</v>
      </c>
      <c r="Y1305" s="14">
        <f>ROUND(MIN(100, (X1305/69.91)*100), 2)</f>
        <v/>
      </c>
    </row>
    <row r="1306">
      <c r="A1306" s="10" t="n">
        <v>5</v>
      </c>
      <c r="B1306" s="10" t="n">
        <v>302</v>
      </c>
      <c r="C1306" s="10" t="n">
        <v>4302</v>
      </c>
      <c r="D1306" s="10" t="inlineStr">
        <is>
          <t>1600303030</t>
        </is>
      </c>
      <c r="E1306" s="26" t="inlineStr">
        <is>
          <t>Region XIII (Caraga)</t>
        </is>
      </c>
      <c r="F1306" s="26" t="inlineStr">
        <is>
          <t>Agusan del Sur</t>
        </is>
      </c>
      <c r="G1306" s="26" t="inlineStr">
        <is>
          <t>Esperanza</t>
        </is>
      </c>
      <c r="H1306" s="26" t="inlineStr">
        <is>
          <t>Tandang Sora</t>
        </is>
      </c>
      <c r="I1306" s="27" t="n">
        <v>8.576491000000001</v>
      </c>
      <c r="J1306" s="27" t="n">
        <v>125.700889</v>
      </c>
      <c r="K1306" s="10" t="inlineStr">
        <is>
          <t>R</t>
        </is>
      </c>
      <c r="L1306" s="12" t="n">
        <v>855</v>
      </c>
      <c r="M1306" s="14" t="n">
        <v>3.9</v>
      </c>
      <c r="N1306" s="12">
        <f>ROUND(L1306/M1306, 0)</f>
        <v/>
      </c>
      <c r="O1306" s="12">
        <f>ROUND(N1306*'Methodology &amp; Assumptions'!$B$5, 0)</f>
        <v/>
      </c>
      <c r="P1306" s="10" t="inlineStr">
        <is>
          <t>Single Carrier (Band n50, 100MHz TDD)</t>
        </is>
      </c>
      <c r="Q1306" s="13">
        <f>ROUNDUP(O1306/'Methodology &amp; Assumptions'!$B$6, 0)</f>
        <v/>
      </c>
      <c r="R1306" s="13" t="n">
        <v>1</v>
      </c>
      <c r="S1306" s="14" t="n">
        <v>16.42</v>
      </c>
      <c r="T1306" s="14" t="n">
        <v>9.960000000000001</v>
      </c>
      <c r="U1306" s="26">
        <f>IF(X1306&gt;='Methodology &amp; Assumptions'!$B$7, "Tier 1 Critical GIDA (Score ≥ 50.0)", IF(X1306&gt;='Methodology &amp; Assumptions'!$B$8, "Tier 2 High GIDA (Score 40.0–49.9)", "Tier 3 Moderate GIDA (Score &lt; 40.0)"))</f>
        <v/>
      </c>
      <c r="V1306" s="26">
        <f>IF(S1306&lt;='Methodology &amp; Assumptions'!$B$10, "Direct Optical Drop (&lt;3km)", IF(S1306&lt;='Methodology &amp; Assumptions'!$B$9, "Near Optical / Microwave (&lt;5km)", "Starlink Business LEO Satellite Backhaul (&gt;5km)"))</f>
        <v/>
      </c>
      <c r="W1306" s="28" t="n">
        <v>0.174</v>
      </c>
      <c r="X1306" s="14" t="n">
        <v>43.43</v>
      </c>
      <c r="Y1306" s="14">
        <f>ROUND(MIN(100, (X1306/69.91)*100), 2)</f>
        <v/>
      </c>
    </row>
    <row r="1307">
      <c r="A1307" s="10" t="n">
        <v>5</v>
      </c>
      <c r="B1307" s="10" t="n">
        <v>303</v>
      </c>
      <c r="C1307" s="10" t="n">
        <v>4303</v>
      </c>
      <c r="D1307" s="10" t="inlineStr">
        <is>
          <t>PH0004303</t>
        </is>
      </c>
      <c r="E1307" s="26" t="inlineStr">
        <is>
          <t>VIII</t>
        </is>
      </c>
      <c r="F1307" s="26" t="inlineStr">
        <is>
          <t>Samar (Western Samar)</t>
        </is>
      </c>
      <c r="G1307" s="26" t="inlineStr">
        <is>
          <t>Catbalogan City</t>
        </is>
      </c>
      <c r="H1307" s="26" t="inlineStr">
        <is>
          <t>Palanyogon</t>
        </is>
      </c>
      <c r="I1307" s="27" t="n">
        <v>12.900343</v>
      </c>
      <c r="J1307" s="27" t="n">
        <v>121.769305</v>
      </c>
      <c r="K1307" s="10" t="inlineStr">
        <is>
          <t>R</t>
        </is>
      </c>
      <c r="L1307" s="12" t="n">
        <v>2229</v>
      </c>
      <c r="M1307" s="14" t="n">
        <v>4.1</v>
      </c>
      <c r="N1307" s="12">
        <f>ROUND(L1307/M1307, 0)</f>
        <v/>
      </c>
      <c r="O1307" s="12">
        <f>ROUND(N1307*'Methodology &amp; Assumptions'!$B$5, 0)</f>
        <v/>
      </c>
      <c r="P1307" s="10" t="inlineStr">
        <is>
          <t>Single Carrier (Band n50, 100MHz TDD)</t>
        </is>
      </c>
      <c r="Q1307" s="13">
        <f>ROUNDUP(O1307/'Methodology &amp; Assumptions'!$B$6, 0)</f>
        <v/>
      </c>
      <c r="R1307" s="13" t="n">
        <v>1</v>
      </c>
      <c r="S1307" s="14" t="n">
        <v>32.29</v>
      </c>
      <c r="T1307" s="14" t="n">
        <v>32.15</v>
      </c>
      <c r="U1307" s="26">
        <f>IF(X1307&gt;='Methodology &amp; Assumptions'!$B$7, "Tier 1 Critical GIDA (Score ≥ 50.0)", IF(X1307&gt;='Methodology &amp; Assumptions'!$B$8, "Tier 2 High GIDA (Score 40.0–49.9)", "Tier 3 Moderate GIDA (Score &lt; 40.0)"))</f>
        <v/>
      </c>
      <c r="V1307" s="26">
        <f>IF(S1307&lt;='Methodology &amp; Assumptions'!$B$10, "Direct Optical Drop (&lt;3km)", IF(S1307&lt;='Methodology &amp; Assumptions'!$B$9, "Near Optical / Microwave (&lt;5km)", "Starlink Business LEO Satellite Backhaul (&gt;5km)"))</f>
        <v/>
      </c>
      <c r="W1307" s="28" t="n">
        <v>0.222</v>
      </c>
      <c r="X1307" s="14" t="n">
        <v>43.42</v>
      </c>
      <c r="Y1307" s="14">
        <f>ROUND(MIN(100, (X1307/69.91)*100), 2)</f>
        <v/>
      </c>
    </row>
    <row r="1308">
      <c r="A1308" s="10" t="n">
        <v>5</v>
      </c>
      <c r="B1308" s="10" t="n">
        <v>304</v>
      </c>
      <c r="C1308" s="10" t="n">
        <v>4304</v>
      </c>
      <c r="D1308" s="10" t="inlineStr">
        <is>
          <t>0702252007</t>
        </is>
      </c>
      <c r="E1308" s="26" t="inlineStr">
        <is>
          <t>Region VII (Central Visayas)</t>
        </is>
      </c>
      <c r="F1308" s="26" t="inlineStr">
        <is>
          <t>Cebu</t>
        </is>
      </c>
      <c r="G1308" s="26" t="inlineStr">
        <is>
          <t>Tuburan</t>
        </is>
      </c>
      <c r="H1308" s="26" t="inlineStr">
        <is>
          <t>Bangkito</t>
        </is>
      </c>
      <c r="I1308" s="27" t="n">
        <v>10.601515</v>
      </c>
      <c r="J1308" s="27" t="n">
        <v>123.899836</v>
      </c>
      <c r="K1308" s="10" t="inlineStr">
        <is>
          <t>R</t>
        </is>
      </c>
      <c r="L1308" s="12" t="n">
        <v>283</v>
      </c>
      <c r="M1308" s="14" t="n">
        <v>3.8</v>
      </c>
      <c r="N1308" s="12">
        <f>ROUND(L1308/M1308, 0)</f>
        <v/>
      </c>
      <c r="O1308" s="12">
        <f>ROUND(N1308*'Methodology &amp; Assumptions'!$B$5, 0)</f>
        <v/>
      </c>
      <c r="P1308" s="10" t="inlineStr">
        <is>
          <t>Single Carrier (Band n50, 100MHz TDD)</t>
        </is>
      </c>
      <c r="Q1308" s="13">
        <f>ROUNDUP(O1308/'Methodology &amp; Assumptions'!$B$6, 0)</f>
        <v/>
      </c>
      <c r="R1308" s="13" t="n">
        <v>1</v>
      </c>
      <c r="S1308" s="14" t="n">
        <v>13.32</v>
      </c>
      <c r="T1308" s="14" t="n">
        <v>12.98</v>
      </c>
      <c r="U1308" s="26">
        <f>IF(X1308&gt;='Methodology &amp; Assumptions'!$B$7, "Tier 1 Critical GIDA (Score ≥ 50.0)", IF(X1308&gt;='Methodology &amp; Assumptions'!$B$8, "Tier 2 High GIDA (Score 40.0–49.9)", "Tier 3 Moderate GIDA (Score &lt; 40.0)"))</f>
        <v/>
      </c>
      <c r="V1308" s="26">
        <f>IF(S1308&lt;='Methodology &amp; Assumptions'!$B$10, "Direct Optical Drop (&lt;3km)", IF(S1308&lt;='Methodology &amp; Assumptions'!$B$9, "Near Optical / Microwave (&lt;5km)", "Starlink Business LEO Satellite Backhaul (&gt;5km)"))</f>
        <v/>
      </c>
      <c r="W1308" s="28" t="n">
        <v>0.237</v>
      </c>
      <c r="X1308" s="14" t="n">
        <v>43.42</v>
      </c>
      <c r="Y1308" s="14">
        <f>ROUND(MIN(100, (X1308/69.91)*100), 2)</f>
        <v/>
      </c>
    </row>
    <row r="1309">
      <c r="A1309" s="10" t="n">
        <v>5</v>
      </c>
      <c r="B1309" s="10" t="n">
        <v>305</v>
      </c>
      <c r="C1309" s="10" t="n">
        <v>4305</v>
      </c>
      <c r="D1309" s="10" t="inlineStr">
        <is>
          <t>0201528029</t>
        </is>
      </c>
      <c r="E1309" s="26" t="inlineStr">
        <is>
          <t>Region II (Cagayan Valley)</t>
        </is>
      </c>
      <c r="F1309" s="26" t="inlineStr">
        <is>
          <t>Cagayan</t>
        </is>
      </c>
      <c r="G1309" s="26" t="inlineStr">
        <is>
          <t>Tuao</t>
        </is>
      </c>
      <c r="H1309" s="26" t="inlineStr">
        <is>
          <t>Taribubu</t>
        </is>
      </c>
      <c r="I1309" s="27" t="n">
        <v>17.604328</v>
      </c>
      <c r="J1309" s="27" t="n">
        <v>121.509078</v>
      </c>
      <c r="K1309" s="10" t="inlineStr">
        <is>
          <t>R</t>
        </is>
      </c>
      <c r="L1309" s="12" t="n">
        <v>1697</v>
      </c>
      <c r="M1309" s="14" t="n">
        <v>3.9</v>
      </c>
      <c r="N1309" s="12">
        <f>ROUND(L1309/M1309, 0)</f>
        <v/>
      </c>
      <c r="O1309" s="12">
        <f>ROUND(N1309*'Methodology &amp; Assumptions'!$B$5, 0)</f>
        <v/>
      </c>
      <c r="P1309" s="10" t="inlineStr">
        <is>
          <t>Single Carrier (Band n50, 100MHz TDD)</t>
        </is>
      </c>
      <c r="Q1309" s="13">
        <f>ROUNDUP(O1309/'Methodology &amp; Assumptions'!$B$6, 0)</f>
        <v/>
      </c>
      <c r="R1309" s="13" t="n">
        <v>1</v>
      </c>
      <c r="S1309" s="14" t="n">
        <v>7.39</v>
      </c>
      <c r="T1309" s="14" t="n">
        <v>8.35</v>
      </c>
      <c r="U1309" s="26">
        <f>IF(X1309&gt;='Methodology &amp; Assumptions'!$B$7, "Tier 1 Critical GIDA (Score ≥ 50.0)", IF(X1309&gt;='Methodology &amp; Assumptions'!$B$8, "Tier 2 High GIDA (Score 40.0–49.9)", "Tier 3 Moderate GIDA (Score &lt; 40.0)"))</f>
        <v/>
      </c>
      <c r="V1309" s="26">
        <f>IF(S1309&lt;='Methodology &amp; Assumptions'!$B$10, "Direct Optical Drop (&lt;3km)", IF(S1309&lt;='Methodology &amp; Assumptions'!$B$9, "Near Optical / Microwave (&lt;5km)", "Starlink Business LEO Satellite Backhaul (&gt;5km)"))</f>
        <v/>
      </c>
      <c r="W1309" s="28" t="n">
        <v>0.083</v>
      </c>
      <c r="X1309" s="14" t="n">
        <v>43.41</v>
      </c>
      <c r="Y1309" s="14">
        <f>ROUND(MIN(100, (X1309/69.91)*100), 2)</f>
        <v/>
      </c>
    </row>
    <row r="1310">
      <c r="A1310" s="10" t="n">
        <v>5</v>
      </c>
      <c r="B1310" s="10" t="n">
        <v>306</v>
      </c>
      <c r="C1310" s="10" t="n">
        <v>4306</v>
      </c>
      <c r="D1310" s="10" t="inlineStr">
        <is>
          <t>PH0004306</t>
        </is>
      </c>
      <c r="E1310" s="26" t="inlineStr">
        <is>
          <t>XIII</t>
        </is>
      </c>
      <c r="F1310" s="26" t="inlineStr">
        <is>
          <t>Agusan Del Norte</t>
        </is>
      </c>
      <c r="G1310" s="26" t="inlineStr">
        <is>
          <t>Butuan City</t>
        </is>
      </c>
      <c r="H1310" s="26" t="inlineStr">
        <is>
          <t>Mandamo</t>
        </is>
      </c>
      <c r="I1310" s="27" t="n">
        <v>8.760818</v>
      </c>
      <c r="J1310" s="27" t="n">
        <v>125.603195</v>
      </c>
      <c r="K1310" s="10" t="inlineStr">
        <is>
          <t>R</t>
        </is>
      </c>
      <c r="L1310" s="12" t="n">
        <v>2294</v>
      </c>
      <c r="M1310" s="14" t="n">
        <v>4.1</v>
      </c>
      <c r="N1310" s="12">
        <f>ROUND(L1310/M1310, 0)</f>
        <v/>
      </c>
      <c r="O1310" s="12">
        <f>ROUND(N1310*'Methodology &amp; Assumptions'!$B$5, 0)</f>
        <v/>
      </c>
      <c r="P1310" s="10" t="inlineStr">
        <is>
          <t>Single Carrier (Band n50, 100MHz TDD)</t>
        </is>
      </c>
      <c r="Q1310" s="13">
        <f>ROUNDUP(O1310/'Methodology &amp; Assumptions'!$B$6, 0)</f>
        <v/>
      </c>
      <c r="R1310" s="13" t="n">
        <v>1</v>
      </c>
      <c r="S1310" s="14" t="n">
        <v>12.37</v>
      </c>
      <c r="T1310" s="14" t="n">
        <v>2.04</v>
      </c>
      <c r="U1310" s="26">
        <f>IF(X1310&gt;='Methodology &amp; Assumptions'!$B$7, "Tier 1 Critical GIDA (Score ≥ 50.0)", IF(X1310&gt;='Methodology &amp; Assumptions'!$B$8, "Tier 2 High GIDA (Score 40.0–49.9)", "Tier 3 Moderate GIDA (Score &lt; 40.0)"))</f>
        <v/>
      </c>
      <c r="V1310" s="26">
        <f>IF(S1310&lt;='Methodology &amp; Assumptions'!$B$10, "Direct Optical Drop (&lt;3km)", IF(S1310&lt;='Methodology &amp; Assumptions'!$B$9, "Near Optical / Microwave (&lt;5km)", "Starlink Business LEO Satellite Backhaul (&gt;5km)"))</f>
        <v/>
      </c>
      <c r="W1310" s="28" t="n">
        <v>0.109</v>
      </c>
      <c r="X1310" s="14" t="n">
        <v>43.41</v>
      </c>
      <c r="Y1310" s="14">
        <f>ROUND(MIN(100, (X1310/69.91)*100), 2)</f>
        <v/>
      </c>
    </row>
    <row r="1311">
      <c r="A1311" s="10" t="n">
        <v>5</v>
      </c>
      <c r="B1311" s="10" t="n">
        <v>307</v>
      </c>
      <c r="C1311" s="10" t="n">
        <v>4307</v>
      </c>
      <c r="D1311" s="10" t="inlineStr">
        <is>
          <t>0804822009</t>
        </is>
      </c>
      <c r="E1311" s="26" t="inlineStr">
        <is>
          <t>Region VIII (Eastern Visayas)</t>
        </is>
      </c>
      <c r="F1311" s="26" t="inlineStr">
        <is>
          <t>Northern Samar</t>
        </is>
      </c>
      <c r="G1311" s="26" t="inlineStr">
        <is>
          <t>Silvino Lobos</t>
        </is>
      </c>
      <c r="H1311" s="26" t="inlineStr">
        <is>
          <t>Deit De Turag</t>
        </is>
      </c>
      <c r="I1311" s="27" t="n">
        <v>12.34242</v>
      </c>
      <c r="J1311" s="27" t="n">
        <v>124.90937</v>
      </c>
      <c r="K1311" s="10" t="inlineStr">
        <is>
          <t>R</t>
        </is>
      </c>
      <c r="L1311" s="12" t="n">
        <v>610</v>
      </c>
      <c r="M1311" s="14" t="n">
        <v>4.3</v>
      </c>
      <c r="N1311" s="12">
        <f>ROUND(L1311/M1311, 0)</f>
        <v/>
      </c>
      <c r="O1311" s="12">
        <f>ROUND(N1311*'Methodology &amp; Assumptions'!$B$5, 0)</f>
        <v/>
      </c>
      <c r="P1311" s="10" t="inlineStr">
        <is>
          <t>Single Carrier (Band n50, 100MHz TDD)</t>
        </is>
      </c>
      <c r="Q1311" s="13">
        <f>ROUNDUP(O1311/'Methodology &amp; Assumptions'!$B$6, 0)</f>
        <v/>
      </c>
      <c r="R1311" s="13" t="n">
        <v>1</v>
      </c>
      <c r="S1311" s="14" t="n">
        <v>93.53</v>
      </c>
      <c r="T1311" s="14" t="n">
        <v>92.93000000000001</v>
      </c>
      <c r="U1311" s="26">
        <f>IF(X1311&gt;='Methodology &amp; Assumptions'!$B$7, "Tier 1 Critical GIDA (Score ≥ 50.0)", IF(X1311&gt;='Methodology &amp; Assumptions'!$B$8, "Tier 2 High GIDA (Score 40.0–49.9)", "Tier 3 Moderate GIDA (Score &lt; 40.0)"))</f>
        <v/>
      </c>
      <c r="V1311" s="26">
        <f>IF(S1311&lt;='Methodology &amp; Assumptions'!$B$10, "Direct Optical Drop (&lt;3km)", IF(S1311&lt;='Methodology &amp; Assumptions'!$B$9, "Near Optical / Microwave (&lt;5km)", "Starlink Business LEO Satellite Backhaul (&gt;5km)"))</f>
        <v/>
      </c>
      <c r="W1311" s="28" t="n">
        <v>0.237</v>
      </c>
      <c r="X1311" s="14" t="n">
        <v>43.41</v>
      </c>
      <c r="Y1311" s="14">
        <f>ROUND(MIN(100, (X1311/69.91)*100), 2)</f>
        <v/>
      </c>
    </row>
    <row r="1312">
      <c r="A1312" s="10" t="n">
        <v>5</v>
      </c>
      <c r="B1312" s="10" t="n">
        <v>308</v>
      </c>
      <c r="C1312" s="10" t="n">
        <v>4308</v>
      </c>
      <c r="D1312" s="10" t="inlineStr">
        <is>
          <t>PH0004308</t>
        </is>
      </c>
      <c r="E1312" s="26" t="inlineStr">
        <is>
          <t>III</t>
        </is>
      </c>
      <c r="F1312" s="26" t="inlineStr">
        <is>
          <t>Pampanga</t>
        </is>
      </c>
      <c r="G1312" s="26" t="inlineStr">
        <is>
          <t>Angeles City</t>
        </is>
      </c>
      <c r="H1312" s="26" t="inlineStr">
        <is>
          <t>Sta. Teresita</t>
        </is>
      </c>
      <c r="I1312" s="27" t="n">
        <v>15.146408</v>
      </c>
      <c r="J1312" s="27" t="n">
        <v>120.576195</v>
      </c>
      <c r="K1312" s="10" t="inlineStr">
        <is>
          <t>R</t>
        </is>
      </c>
      <c r="L1312" s="12" t="n">
        <v>2334</v>
      </c>
      <c r="M1312" s="14" t="n">
        <v>4</v>
      </c>
      <c r="N1312" s="12">
        <f>ROUND(L1312/M1312, 0)</f>
        <v/>
      </c>
      <c r="O1312" s="12">
        <f>ROUND(N1312*'Methodology &amp; Assumptions'!$B$5, 0)</f>
        <v/>
      </c>
      <c r="P1312" s="10" t="inlineStr">
        <is>
          <t>Single Carrier (Band n50, 100MHz TDD)</t>
        </is>
      </c>
      <c r="Q1312" s="13">
        <f>ROUNDUP(O1312/'Methodology &amp; Assumptions'!$B$6, 0)</f>
        <v/>
      </c>
      <c r="R1312" s="13" t="n">
        <v>1</v>
      </c>
      <c r="S1312" s="14" t="n">
        <v>1.79</v>
      </c>
      <c r="T1312" s="14" t="n">
        <v>0.26</v>
      </c>
      <c r="U1312" s="26">
        <f>IF(X1312&gt;='Methodology &amp; Assumptions'!$B$7, "Tier 1 Critical GIDA (Score ≥ 50.0)", IF(X1312&gt;='Methodology &amp; Assumptions'!$B$8, "Tier 2 High GIDA (Score 40.0–49.9)", "Tier 3 Moderate GIDA (Score &lt; 40.0)"))</f>
        <v/>
      </c>
      <c r="V1312" s="26">
        <f>IF(S1312&lt;='Methodology &amp; Assumptions'!$B$10, "Direct Optical Drop (&lt;3km)", IF(S1312&lt;='Methodology &amp; Assumptions'!$B$9, "Near Optical / Microwave (&lt;5km)", "Starlink Business LEO Satellite Backhaul (&gt;5km)"))</f>
        <v/>
      </c>
      <c r="W1312" s="28" t="n">
        <v>0.083</v>
      </c>
      <c r="X1312" s="14" t="n">
        <v>43.41</v>
      </c>
      <c r="Y1312" s="14">
        <f>ROUND(MIN(100, (X1312/69.91)*100), 2)</f>
        <v/>
      </c>
    </row>
    <row r="1313">
      <c r="A1313" s="10" t="n">
        <v>5</v>
      </c>
      <c r="B1313" s="10" t="n">
        <v>309</v>
      </c>
      <c r="C1313" s="10" t="n">
        <v>4309</v>
      </c>
      <c r="D1313" s="10" t="inlineStr">
        <is>
          <t>0401019007</t>
        </is>
      </c>
      <c r="E1313" s="26" t="inlineStr">
        <is>
          <t>Region IV-A (CALABARZON)</t>
        </is>
      </c>
      <c r="F1313" s="26" t="inlineStr">
        <is>
          <t>Batangas</t>
        </is>
      </c>
      <c r="G1313" s="26" t="inlineStr">
        <is>
          <t>Nasugbu</t>
        </is>
      </c>
      <c r="H1313" s="26" t="inlineStr">
        <is>
          <t>Barangay 2</t>
        </is>
      </c>
      <c r="I1313" s="27" t="n">
        <v>14.103153</v>
      </c>
      <c r="J1313" s="27" t="n">
        <v>120.676563</v>
      </c>
      <c r="K1313" s="10" t="inlineStr">
        <is>
          <t>U</t>
        </is>
      </c>
      <c r="L1313" s="12" t="n">
        <v>1477</v>
      </c>
      <c r="M1313" s="14" t="n">
        <v>3.6</v>
      </c>
      <c r="N1313" s="12">
        <f>ROUND(L1313/M1313, 0)</f>
        <v/>
      </c>
      <c r="O1313" s="12">
        <f>ROUND(N1313*'Methodology &amp; Assumptions'!$B$5, 0)</f>
        <v/>
      </c>
      <c r="P1313" s="10" t="inlineStr">
        <is>
          <t>Single Carrier (Band n50, 100MHz TDD)</t>
        </is>
      </c>
      <c r="Q1313" s="13">
        <f>ROUNDUP(O1313/'Methodology &amp; Assumptions'!$B$6, 0)</f>
        <v/>
      </c>
      <c r="R1313" s="13" t="n">
        <v>1</v>
      </c>
      <c r="S1313" s="14" t="n">
        <v>5.83</v>
      </c>
      <c r="T1313" s="14" t="n">
        <v>0.6899999999999999</v>
      </c>
      <c r="U1313" s="26">
        <f>IF(X1313&gt;='Methodology &amp; Assumptions'!$B$7, "Tier 1 Critical GIDA (Score ≥ 50.0)", IF(X1313&gt;='Methodology &amp; Assumptions'!$B$8, "Tier 2 High GIDA (Score 40.0–49.9)", "Tier 3 Moderate GIDA (Score &lt; 40.0)"))</f>
        <v/>
      </c>
      <c r="V1313" s="26">
        <f>IF(S1313&lt;='Methodology &amp; Assumptions'!$B$10, "Direct Optical Drop (&lt;3km)", IF(S1313&lt;='Methodology &amp; Assumptions'!$B$9, "Near Optical / Microwave (&lt;5km)", "Starlink Business LEO Satellite Backhaul (&gt;5km)"))</f>
        <v/>
      </c>
      <c r="W1313" s="28" t="n">
        <v>0.07200000000000001</v>
      </c>
      <c r="X1313" s="14" t="n">
        <v>43.41</v>
      </c>
      <c r="Y1313" s="14">
        <f>ROUND(MIN(100, (X1313/69.91)*100), 2)</f>
        <v/>
      </c>
    </row>
    <row r="1314">
      <c r="A1314" s="10" t="n">
        <v>5</v>
      </c>
      <c r="B1314" s="10" t="n">
        <v>310</v>
      </c>
      <c r="C1314" s="10" t="n">
        <v>4310</v>
      </c>
      <c r="D1314" s="10" t="inlineStr">
        <is>
          <t>1908708008</t>
        </is>
      </c>
      <c r="E1314" s="26" t="inlineStr">
        <is>
          <t>Bangsamoro Autonomous Region In Muslim Mindanao (BARMM)</t>
        </is>
      </c>
      <c r="F1314" s="26" t="inlineStr">
        <is>
          <t>Maguindanao del Norte</t>
        </is>
      </c>
      <c r="G1314" s="26" t="inlineStr">
        <is>
          <t>Northern Kabuntalan</t>
        </is>
      </c>
      <c r="H1314" s="26" t="inlineStr">
        <is>
          <t>Montay</t>
        </is>
      </c>
      <c r="I1314" s="27" t="n">
        <v>17.247929</v>
      </c>
      <c r="J1314" s="27" t="n">
        <v>122.215879</v>
      </c>
      <c r="K1314" s="10" t="inlineStr">
        <is>
          <t>R</t>
        </is>
      </c>
      <c r="L1314" s="12" t="n">
        <v>4773</v>
      </c>
      <c r="M1314" s="14" t="n">
        <v>4.3</v>
      </c>
      <c r="N1314" s="12">
        <f>ROUND(L1314/M1314, 0)</f>
        <v/>
      </c>
      <c r="O1314" s="12">
        <f>ROUND(N1314*'Methodology &amp; Assumptions'!$B$5, 0)</f>
        <v/>
      </c>
      <c r="P1314" s="10" t="inlineStr">
        <is>
          <t>Single Carrier (Band n50, 100MHz TDD)</t>
        </is>
      </c>
      <c r="Q1314" s="13">
        <f>ROUNDUP(O1314/'Methodology &amp; Assumptions'!$B$6, 0)</f>
        <v/>
      </c>
      <c r="R1314" s="13" t="n">
        <v>1</v>
      </c>
      <c r="S1314" s="14" t="n">
        <v>27.86</v>
      </c>
      <c r="T1314" s="14" t="n">
        <v>32.76</v>
      </c>
      <c r="U1314" s="26">
        <f>IF(X1314&gt;='Methodology &amp; Assumptions'!$B$7, "Tier 1 Critical GIDA (Score ≥ 50.0)", IF(X1314&gt;='Methodology &amp; Assumptions'!$B$8, "Tier 2 High GIDA (Score 40.0–49.9)", "Tier 3 Moderate GIDA (Score &lt; 40.0)"))</f>
        <v/>
      </c>
      <c r="V1314" s="26">
        <f>IF(S1314&lt;='Methodology &amp; Assumptions'!$B$10, "Direct Optical Drop (&lt;3km)", IF(S1314&lt;='Methodology &amp; Assumptions'!$B$9, "Near Optical / Microwave (&lt;5km)", "Starlink Business LEO Satellite Backhaul (&gt;5km)"))</f>
        <v/>
      </c>
      <c r="W1314" s="28" t="n">
        <v>0.11</v>
      </c>
      <c r="X1314" s="14" t="n">
        <v>43.41</v>
      </c>
      <c r="Y1314" s="14">
        <f>ROUND(MIN(100, (X1314/69.91)*100), 2)</f>
        <v/>
      </c>
    </row>
    <row r="1315">
      <c r="A1315" s="10" t="n">
        <v>5</v>
      </c>
      <c r="B1315" s="10" t="n">
        <v>311</v>
      </c>
      <c r="C1315" s="10" t="n">
        <v>4311</v>
      </c>
      <c r="D1315" s="10" t="inlineStr">
        <is>
          <t>0403404003</t>
        </is>
      </c>
      <c r="E1315" s="26" t="inlineStr">
        <is>
          <t>Region IV-A (CALABARZON)</t>
        </is>
      </c>
      <c r="F1315" s="26" t="inlineStr">
        <is>
          <t>Laguna</t>
        </is>
      </c>
      <c r="G1315" s="26" t="inlineStr">
        <is>
          <t>City of Cabuyao</t>
        </is>
      </c>
      <c r="H1315" s="26" t="inlineStr">
        <is>
          <t>Banlic</t>
        </is>
      </c>
      <c r="I1315" s="27" t="n">
        <v>14.239213</v>
      </c>
      <c r="J1315" s="27" t="n">
        <v>121.343227</v>
      </c>
      <c r="K1315" s="10" t="inlineStr">
        <is>
          <t>U</t>
        </is>
      </c>
      <c r="L1315" s="12" t="n">
        <v>22631</v>
      </c>
      <c r="M1315" s="14" t="n">
        <v>3.3</v>
      </c>
      <c r="N1315" s="12">
        <f>ROUND(L1315/M1315, 0)</f>
        <v/>
      </c>
      <c r="O1315" s="12">
        <f>ROUND(N1315*'Methodology &amp; Assumptions'!$B$5, 0)</f>
        <v/>
      </c>
      <c r="P1315" s="10" t="inlineStr">
        <is>
          <t>Single Carrier (Band n50, 100MHz TDD)</t>
        </is>
      </c>
      <c r="Q1315" s="13">
        <f>ROUNDUP(O1315/'Methodology &amp; Assumptions'!$B$6, 0)</f>
        <v/>
      </c>
      <c r="R1315" s="13" t="n">
        <v>1</v>
      </c>
      <c r="S1315" s="14" t="n">
        <v>2.45</v>
      </c>
      <c r="T1315" s="14" t="n">
        <v>2.4</v>
      </c>
      <c r="U1315" s="26">
        <f>IF(X1315&gt;='Methodology &amp; Assumptions'!$B$7, "Tier 1 Critical GIDA (Score ≥ 50.0)", IF(X1315&gt;='Methodology &amp; Assumptions'!$B$8, "Tier 2 High GIDA (Score 40.0–49.9)", "Tier 3 Moderate GIDA (Score &lt; 40.0)"))</f>
        <v/>
      </c>
      <c r="V1315" s="26">
        <f>IF(S1315&lt;='Methodology &amp; Assumptions'!$B$10, "Direct Optical Drop (&lt;3km)", IF(S1315&lt;='Methodology &amp; Assumptions'!$B$9, "Near Optical / Microwave (&lt;5km)", "Starlink Business LEO Satellite Backhaul (&gt;5km)"))</f>
        <v/>
      </c>
      <c r="W1315" s="28" t="n">
        <v>0.07200000000000001</v>
      </c>
      <c r="X1315" s="14" t="n">
        <v>43.4</v>
      </c>
      <c r="Y1315" s="14">
        <f>ROUND(MIN(100, (X1315/69.91)*100), 2)</f>
        <v/>
      </c>
    </row>
    <row r="1316">
      <c r="A1316" s="10" t="n">
        <v>5</v>
      </c>
      <c r="B1316" s="10" t="n">
        <v>312</v>
      </c>
      <c r="C1316" s="10" t="n">
        <v>4312</v>
      </c>
      <c r="D1316" s="10" t="inlineStr">
        <is>
          <t>PH0004312</t>
        </is>
      </c>
      <c r="E1316" s="26" t="inlineStr">
        <is>
          <t>IV-A</t>
        </is>
      </c>
      <c r="F1316" s="26" t="inlineStr">
        <is>
          <t>Cavite</t>
        </is>
      </c>
      <c r="G1316" s="26" t="inlineStr">
        <is>
          <t>Imus City</t>
        </is>
      </c>
      <c r="H1316" s="26" t="inlineStr">
        <is>
          <t>Medicion II-C</t>
        </is>
      </c>
      <c r="I1316" s="27" t="n">
        <v>14.324875</v>
      </c>
      <c r="J1316" s="27" t="n">
        <v>120.884193</v>
      </c>
      <c r="K1316" s="10" t="inlineStr">
        <is>
          <t>R</t>
        </is>
      </c>
      <c r="L1316" s="12" t="n">
        <v>2316</v>
      </c>
      <c r="M1316" s="14" t="n">
        <v>3.4</v>
      </c>
      <c r="N1316" s="12">
        <f>ROUND(L1316/M1316, 0)</f>
        <v/>
      </c>
      <c r="O1316" s="12">
        <f>ROUND(N1316*'Methodology &amp; Assumptions'!$B$5, 0)</f>
        <v/>
      </c>
      <c r="P1316" s="10" t="inlineStr">
        <is>
          <t>Single Carrier (Band n50, 100MHz TDD)</t>
        </is>
      </c>
      <c r="Q1316" s="13">
        <f>ROUNDUP(O1316/'Methodology &amp; Assumptions'!$B$6, 0)</f>
        <v/>
      </c>
      <c r="R1316" s="13" t="n">
        <v>1</v>
      </c>
      <c r="S1316" s="14" t="n">
        <v>4.4</v>
      </c>
      <c r="T1316" s="14" t="n">
        <v>2.56</v>
      </c>
      <c r="U1316" s="26">
        <f>IF(X1316&gt;='Methodology &amp; Assumptions'!$B$7, "Tier 1 Critical GIDA (Score ≥ 50.0)", IF(X1316&gt;='Methodology &amp; Assumptions'!$B$8, "Tier 2 High GIDA (Score 40.0–49.9)", "Tier 3 Moderate GIDA (Score &lt; 40.0)"))</f>
        <v/>
      </c>
      <c r="V1316" s="26">
        <f>IF(S1316&lt;='Methodology &amp; Assumptions'!$B$10, "Direct Optical Drop (&lt;3km)", IF(S1316&lt;='Methodology &amp; Assumptions'!$B$9, "Near Optical / Microwave (&lt;5km)", "Starlink Business LEO Satellite Backhaul (&gt;5km)"))</f>
        <v/>
      </c>
      <c r="W1316" s="28" t="n">
        <v>0.07200000000000001</v>
      </c>
      <c r="X1316" s="14" t="n">
        <v>43.4</v>
      </c>
      <c r="Y1316" s="14">
        <f>ROUND(MIN(100, (X1316/69.91)*100), 2)</f>
        <v/>
      </c>
    </row>
    <row r="1317">
      <c r="A1317" s="10" t="n">
        <v>5</v>
      </c>
      <c r="B1317" s="10" t="n">
        <v>313</v>
      </c>
      <c r="C1317" s="10" t="n">
        <v>4313</v>
      </c>
      <c r="D1317" s="10" t="inlineStr">
        <is>
          <t>1907011001</t>
        </is>
      </c>
      <c r="E1317" s="26" t="inlineStr">
        <is>
          <t>Bangsamoro Autonomous Region In Muslim Mindanao (BARMM)</t>
        </is>
      </c>
      <c r="F1317" s="26" t="inlineStr">
        <is>
          <t>Tawi-Tawi</t>
        </is>
      </c>
      <c r="G1317" s="26" t="inlineStr">
        <is>
          <t>Sibutu</t>
        </is>
      </c>
      <c r="H1317" s="26" t="inlineStr">
        <is>
          <t>Ambulong Sapal</t>
        </is>
      </c>
      <c r="I1317" s="27" t="n">
        <v>13.485102</v>
      </c>
      <c r="J1317" s="27" t="n">
        <v>121.407803</v>
      </c>
      <c r="K1317" s="10" t="inlineStr">
        <is>
          <t>R</t>
        </is>
      </c>
      <c r="L1317" s="12" t="n">
        <v>2209</v>
      </c>
      <c r="M1317" s="14" t="n">
        <v>5.8</v>
      </c>
      <c r="N1317" s="12">
        <f>ROUND(L1317/M1317, 0)</f>
        <v/>
      </c>
      <c r="O1317" s="12">
        <f>ROUND(N1317*'Methodology &amp; Assumptions'!$B$5, 0)</f>
        <v/>
      </c>
      <c r="P1317" s="10" t="inlineStr">
        <is>
          <t>Single Carrier (Band n50, 100MHz TDD)</t>
        </is>
      </c>
      <c r="Q1317" s="13">
        <f>ROUNDUP(O1317/'Methodology &amp; Assumptions'!$B$6, 0)</f>
        <v/>
      </c>
      <c r="R1317" s="13" t="n">
        <v>1</v>
      </c>
      <c r="S1317" s="14" t="n">
        <v>21.49</v>
      </c>
      <c r="T1317" s="14" t="n">
        <v>28.34</v>
      </c>
      <c r="U1317" s="26">
        <f>IF(X1317&gt;='Methodology &amp; Assumptions'!$B$7, "Tier 1 Critical GIDA (Score ≥ 50.0)", IF(X1317&gt;='Methodology &amp; Assumptions'!$B$8, "Tier 2 High GIDA (Score 40.0–49.9)", "Tier 3 Moderate GIDA (Score &lt; 40.0)"))</f>
        <v/>
      </c>
      <c r="V1317" s="26">
        <f>IF(S1317&lt;='Methodology &amp; Assumptions'!$B$10, "Direct Optical Drop (&lt;3km)", IF(S1317&lt;='Methodology &amp; Assumptions'!$B$9, "Near Optical / Microwave (&lt;5km)", "Starlink Business LEO Satellite Backhaul (&gt;5km)"))</f>
        <v/>
      </c>
      <c r="W1317" s="28" t="n">
        <v>0.11</v>
      </c>
      <c r="X1317" s="14" t="n">
        <v>43.4</v>
      </c>
      <c r="Y1317" s="14">
        <f>ROUND(MIN(100, (X1317/69.91)*100), 2)</f>
        <v/>
      </c>
    </row>
    <row r="1318">
      <c r="A1318" s="10" t="n">
        <v>5</v>
      </c>
      <c r="B1318" s="10" t="n">
        <v>314</v>
      </c>
      <c r="C1318" s="10" t="n">
        <v>4314</v>
      </c>
      <c r="D1318" s="10" t="inlineStr">
        <is>
          <t>0804810012</t>
        </is>
      </c>
      <c r="E1318" s="26" t="inlineStr">
        <is>
          <t>Region VIII (Eastern Visayas)</t>
        </is>
      </c>
      <c r="F1318" s="26" t="inlineStr">
        <is>
          <t>Northern Samar</t>
        </is>
      </c>
      <c r="G1318" s="26" t="inlineStr">
        <is>
          <t>Las Navas</t>
        </is>
      </c>
      <c r="H1318" s="26" t="inlineStr">
        <is>
          <t>Epaw</t>
        </is>
      </c>
      <c r="I1318" s="27" t="n">
        <v>12.27003</v>
      </c>
      <c r="J1318" s="27" t="n">
        <v>125.03886</v>
      </c>
      <c r="K1318" s="10" t="inlineStr">
        <is>
          <t>R</t>
        </is>
      </c>
      <c r="L1318" s="12" t="n">
        <v>303</v>
      </c>
      <c r="M1318" s="14" t="n">
        <v>4.3</v>
      </c>
      <c r="N1318" s="12">
        <f>ROUND(L1318/M1318, 0)</f>
        <v/>
      </c>
      <c r="O1318" s="12">
        <f>ROUND(N1318*'Methodology &amp; Assumptions'!$B$5, 0)</f>
        <v/>
      </c>
      <c r="P1318" s="10" t="inlineStr">
        <is>
          <t>Single Carrier (Band n50, 100MHz TDD)</t>
        </is>
      </c>
      <c r="Q1318" s="13">
        <f>ROUNDUP(O1318/'Methodology &amp; Assumptions'!$B$6, 0)</f>
        <v/>
      </c>
      <c r="R1318" s="13" t="n">
        <v>1</v>
      </c>
      <c r="S1318" s="14" t="n">
        <v>109.58</v>
      </c>
      <c r="T1318" s="14" t="n">
        <v>109.01</v>
      </c>
      <c r="U1318" s="26">
        <f>IF(X1318&gt;='Methodology &amp; Assumptions'!$B$7, "Tier 1 Critical GIDA (Score ≥ 50.0)", IF(X1318&gt;='Methodology &amp; Assumptions'!$B$8, "Tier 2 High GIDA (Score 40.0–49.9)", "Tier 3 Moderate GIDA (Score &lt; 40.0)"))</f>
        <v/>
      </c>
      <c r="V1318" s="26">
        <f>IF(S1318&lt;='Methodology &amp; Assumptions'!$B$10, "Direct Optical Drop (&lt;3km)", IF(S1318&lt;='Methodology &amp; Assumptions'!$B$9, "Near Optical / Microwave (&lt;5km)", "Starlink Business LEO Satellite Backhaul (&gt;5km)"))</f>
        <v/>
      </c>
      <c r="W1318" s="28" t="n">
        <v>0.237</v>
      </c>
      <c r="X1318" s="14" t="n">
        <v>43.4</v>
      </c>
      <c r="Y1318" s="14">
        <f>ROUND(MIN(100, (X1318/69.91)*100), 2)</f>
        <v/>
      </c>
    </row>
    <row r="1319">
      <c r="A1319" s="10" t="n">
        <v>5</v>
      </c>
      <c r="B1319" s="10" t="n">
        <v>315</v>
      </c>
      <c r="C1319" s="10" t="n">
        <v>4315</v>
      </c>
      <c r="D1319" s="10" t="inlineStr">
        <is>
          <t>1408101012</t>
        </is>
      </c>
      <c r="E1319" s="26" t="inlineStr">
        <is>
          <t>Cordillera Administrative Region (CAR)</t>
        </is>
      </c>
      <c r="F1319" s="26" t="inlineStr">
        <is>
          <t>Apayao</t>
        </is>
      </c>
      <c r="G1319" s="26" t="inlineStr">
        <is>
          <t>Calanasan</t>
        </is>
      </c>
      <c r="H1319" s="26" t="inlineStr">
        <is>
          <t>Tubang</t>
        </is>
      </c>
      <c r="I1319" s="27" t="n">
        <v>18.202923</v>
      </c>
      <c r="J1319" s="27" t="n">
        <v>121.063496</v>
      </c>
      <c r="K1319" s="10" t="inlineStr">
        <is>
          <t>R</t>
        </is>
      </c>
      <c r="L1319" s="12" t="n">
        <v>476</v>
      </c>
      <c r="M1319" s="14" t="n">
        <v>4.2</v>
      </c>
      <c r="N1319" s="12">
        <f>ROUND(L1319/M1319, 0)</f>
        <v/>
      </c>
      <c r="O1319" s="12">
        <f>ROUND(N1319*'Methodology &amp; Assumptions'!$B$5, 0)</f>
        <v/>
      </c>
      <c r="P1319" s="10" t="inlineStr">
        <is>
          <t>Single Carrier (Band n50, 100MHz TDD)</t>
        </is>
      </c>
      <c r="Q1319" s="13">
        <f>ROUNDUP(O1319/'Methodology &amp; Assumptions'!$B$6, 0)</f>
        <v/>
      </c>
      <c r="R1319" s="13" t="n">
        <v>1</v>
      </c>
      <c r="S1319" s="14" t="n">
        <v>23.88</v>
      </c>
      <c r="T1319" s="14" t="n">
        <v>28.21</v>
      </c>
      <c r="U1319" s="26">
        <f>IF(X1319&gt;='Methodology &amp; Assumptions'!$B$7, "Tier 1 Critical GIDA (Score ≥ 50.0)", IF(X1319&gt;='Methodology &amp; Assumptions'!$B$8, "Tier 2 High GIDA (Score 40.0–49.9)", "Tier 3 Moderate GIDA (Score &lt; 40.0)"))</f>
        <v/>
      </c>
      <c r="V1319" s="26">
        <f>IF(S1319&lt;='Methodology &amp; Assumptions'!$B$10, "Direct Optical Drop (&lt;3km)", IF(S1319&lt;='Methodology &amp; Assumptions'!$B$9, "Near Optical / Microwave (&lt;5km)", "Starlink Business LEO Satellite Backhaul (&gt;5km)"))</f>
        <v/>
      </c>
      <c r="W1319" s="28" t="n">
        <v>0.109</v>
      </c>
      <c r="X1319" s="14" t="n">
        <v>43.39</v>
      </c>
      <c r="Y1319" s="14">
        <f>ROUND(MIN(100, (X1319/69.91)*100), 2)</f>
        <v/>
      </c>
    </row>
    <row r="1320">
      <c r="A1320" s="10" t="n">
        <v>5</v>
      </c>
      <c r="B1320" s="10" t="n">
        <v>316</v>
      </c>
      <c r="C1320" s="10" t="n">
        <v>4316</v>
      </c>
      <c r="D1320" s="10" t="inlineStr">
        <is>
          <t>PH0004316</t>
        </is>
      </c>
      <c r="E1320" s="26" t="inlineStr">
        <is>
          <t>CAR</t>
        </is>
      </c>
      <c r="F1320" s="26" t="inlineStr">
        <is>
          <t>Benguet</t>
        </is>
      </c>
      <c r="G1320" s="26" t="inlineStr">
        <is>
          <t>Baguio City</t>
        </is>
      </c>
      <c r="H1320" s="26" t="inlineStr">
        <is>
          <t>DPS Area</t>
        </is>
      </c>
      <c r="I1320" s="27" t="n">
        <v>16.37006</v>
      </c>
      <c r="J1320" s="27" t="n">
        <v>120.51174</v>
      </c>
      <c r="K1320" s="10" t="inlineStr">
        <is>
          <t>R</t>
        </is>
      </c>
      <c r="L1320" s="12" t="n">
        <v>2260</v>
      </c>
      <c r="M1320" s="14" t="n">
        <v>3.5</v>
      </c>
      <c r="N1320" s="12">
        <f>ROUND(L1320/M1320, 0)</f>
        <v/>
      </c>
      <c r="O1320" s="12">
        <f>ROUND(N1320*'Methodology &amp; Assumptions'!$B$5, 0)</f>
        <v/>
      </c>
      <c r="P1320" s="10" t="inlineStr">
        <is>
          <t>Single Carrier (Band n50, 100MHz TDD)</t>
        </is>
      </c>
      <c r="Q1320" s="13">
        <f>ROUNDUP(O1320/'Methodology &amp; Assumptions'!$B$6, 0)</f>
        <v/>
      </c>
      <c r="R1320" s="13" t="n">
        <v>1</v>
      </c>
      <c r="S1320" s="14" t="n">
        <v>2.29</v>
      </c>
      <c r="T1320" s="14" t="n">
        <v>0.74</v>
      </c>
      <c r="U1320" s="26">
        <f>IF(X1320&gt;='Methodology &amp; Assumptions'!$B$7, "Tier 1 Critical GIDA (Score ≥ 50.0)", IF(X1320&gt;='Methodology &amp; Assumptions'!$B$8, "Tier 2 High GIDA (Score 40.0–49.9)", "Tier 3 Moderate GIDA (Score &lt; 40.0)"))</f>
        <v/>
      </c>
      <c r="V1320" s="26">
        <f>IF(S1320&lt;='Methodology &amp; Assumptions'!$B$10, "Direct Optical Drop (&lt;3km)", IF(S1320&lt;='Methodology &amp; Assumptions'!$B$9, "Near Optical / Microwave (&lt;5km)", "Starlink Business LEO Satellite Backhaul (&gt;5km)"))</f>
        <v/>
      </c>
      <c r="W1320" s="28" t="n">
        <v>0.221</v>
      </c>
      <c r="X1320" s="14" t="n">
        <v>43.39</v>
      </c>
      <c r="Y1320" s="14">
        <f>ROUND(MIN(100, (X1320/69.91)*100), 2)</f>
        <v/>
      </c>
    </row>
    <row r="1321">
      <c r="A1321" s="10" t="n">
        <v>5</v>
      </c>
      <c r="B1321" s="10" t="n">
        <v>317</v>
      </c>
      <c r="C1321" s="10" t="n">
        <v>4317</v>
      </c>
      <c r="D1321" s="10" t="inlineStr">
        <is>
          <t>1907011010</t>
        </is>
      </c>
      <c r="E1321" s="26" t="inlineStr">
        <is>
          <t>Bangsamoro Autonomous Region In Muslim Mindanao (BARMM)</t>
        </is>
      </c>
      <c r="F1321" s="26" t="inlineStr">
        <is>
          <t>Tawi-Tawi</t>
        </is>
      </c>
      <c r="G1321" s="26" t="inlineStr">
        <is>
          <t>Sibutu</t>
        </is>
      </c>
      <c r="H1321" s="26" t="inlineStr">
        <is>
          <t>Sibutu</t>
        </is>
      </c>
      <c r="I1321" s="27" t="n">
        <v>13.50269</v>
      </c>
      <c r="J1321" s="27" t="n">
        <v>121.403692</v>
      </c>
      <c r="K1321" s="10" t="inlineStr">
        <is>
          <t>R</t>
        </is>
      </c>
      <c r="L1321" s="12" t="n">
        <v>1211</v>
      </c>
      <c r="M1321" s="14" t="n">
        <v>5.8</v>
      </c>
      <c r="N1321" s="12">
        <f>ROUND(L1321/M1321, 0)</f>
        <v/>
      </c>
      <c r="O1321" s="12">
        <f>ROUND(N1321*'Methodology &amp; Assumptions'!$B$5, 0)</f>
        <v/>
      </c>
      <c r="P1321" s="10" t="inlineStr">
        <is>
          <t>Single Carrier (Band n50, 100MHz TDD)</t>
        </is>
      </c>
      <c r="Q1321" s="13">
        <f>ROUNDUP(O1321/'Methodology &amp; Assumptions'!$B$6, 0)</f>
        <v/>
      </c>
      <c r="R1321" s="13" t="n">
        <v>1</v>
      </c>
      <c r="S1321" s="14" t="n">
        <v>21.76</v>
      </c>
      <c r="T1321" s="14" t="n">
        <v>29.39</v>
      </c>
      <c r="U1321" s="26">
        <f>IF(X1321&gt;='Methodology &amp; Assumptions'!$B$7, "Tier 1 Critical GIDA (Score ≥ 50.0)", IF(X1321&gt;='Methodology &amp; Assumptions'!$B$8, "Tier 2 High GIDA (Score 40.0–49.9)", "Tier 3 Moderate GIDA (Score &lt; 40.0)"))</f>
        <v/>
      </c>
      <c r="V1321" s="26">
        <f>IF(S1321&lt;='Methodology &amp; Assumptions'!$B$10, "Direct Optical Drop (&lt;3km)", IF(S1321&lt;='Methodology &amp; Assumptions'!$B$9, "Near Optical / Microwave (&lt;5km)", "Starlink Business LEO Satellite Backhaul (&gt;5km)"))</f>
        <v/>
      </c>
      <c r="W1321" s="28" t="n">
        <v>0.11</v>
      </c>
      <c r="X1321" s="14" t="n">
        <v>43.39</v>
      </c>
      <c r="Y1321" s="14">
        <f>ROUND(MIN(100, (X1321/69.91)*100), 2)</f>
        <v/>
      </c>
    </row>
    <row r="1322">
      <c r="A1322" s="10" t="n">
        <v>5</v>
      </c>
      <c r="B1322" s="10" t="n">
        <v>318</v>
      </c>
      <c r="C1322" s="10" t="n">
        <v>4318</v>
      </c>
      <c r="D1322" s="10" t="inlineStr">
        <is>
          <t>0806022023</t>
        </is>
      </c>
      <c r="E1322" s="26" t="inlineStr">
        <is>
          <t>Region VIII (Eastern Visayas)</t>
        </is>
      </c>
      <c r="F1322" s="26" t="inlineStr">
        <is>
          <t>Samar</t>
        </is>
      </c>
      <c r="G1322" s="26" t="inlineStr">
        <is>
          <t>Paranas</t>
        </is>
      </c>
      <c r="H1322" s="26" t="inlineStr">
        <is>
          <t>Paco</t>
        </is>
      </c>
      <c r="I1322" s="27" t="n">
        <v>11.91171</v>
      </c>
      <c r="J1322" s="27" t="n">
        <v>125.04068</v>
      </c>
      <c r="K1322" s="10" t="inlineStr">
        <is>
          <t>R</t>
        </is>
      </c>
      <c r="L1322" s="12" t="n">
        <v>247</v>
      </c>
      <c r="M1322" s="14" t="n">
        <v>4.1</v>
      </c>
      <c r="N1322" s="12">
        <f>ROUND(L1322/M1322, 0)</f>
        <v/>
      </c>
      <c r="O1322" s="12">
        <f>ROUND(N1322*'Methodology &amp; Assumptions'!$B$5, 0)</f>
        <v/>
      </c>
      <c r="P1322" s="10" t="inlineStr">
        <is>
          <t>Single Carrier (Band n50, 100MHz TDD)</t>
        </is>
      </c>
      <c r="Q1322" s="13">
        <f>ROUNDUP(O1322/'Methodology &amp; Assumptions'!$B$6, 0)</f>
        <v/>
      </c>
      <c r="R1322" s="13" t="n">
        <v>1</v>
      </c>
      <c r="S1322" s="14" t="n">
        <v>74.84999999999999</v>
      </c>
      <c r="T1322" s="14" t="n">
        <v>77.83</v>
      </c>
      <c r="U1322" s="26">
        <f>IF(X1322&gt;='Methodology &amp; Assumptions'!$B$7, "Tier 1 Critical GIDA (Score ≥ 50.0)", IF(X1322&gt;='Methodology &amp; Assumptions'!$B$8, "Tier 2 High GIDA (Score 40.0–49.9)", "Tier 3 Moderate GIDA (Score &lt; 40.0)"))</f>
        <v/>
      </c>
      <c r="V1322" s="26">
        <f>IF(S1322&lt;='Methodology &amp; Assumptions'!$B$10, "Direct Optical Drop (&lt;3km)", IF(S1322&lt;='Methodology &amp; Assumptions'!$B$9, "Near Optical / Microwave (&lt;5km)", "Starlink Business LEO Satellite Backhaul (&gt;5km)"))</f>
        <v/>
      </c>
      <c r="W1322" s="28" t="n">
        <v>0.237</v>
      </c>
      <c r="X1322" s="14" t="n">
        <v>43.39</v>
      </c>
      <c r="Y1322" s="14">
        <f>ROUND(MIN(100, (X1322/69.91)*100), 2)</f>
        <v/>
      </c>
    </row>
    <row r="1323">
      <c r="A1323" s="10" t="n">
        <v>5</v>
      </c>
      <c r="B1323" s="10" t="n">
        <v>319</v>
      </c>
      <c r="C1323" s="10" t="n">
        <v>4319</v>
      </c>
      <c r="D1323" s="10" t="inlineStr">
        <is>
          <t>1705320014</t>
        </is>
      </c>
      <c r="E1323" s="26" t="inlineStr">
        <is>
          <t>MIMAROPA Region</t>
        </is>
      </c>
      <c r="F1323" s="26" t="inlineStr">
        <is>
          <t>Palawan</t>
        </is>
      </c>
      <c r="G1323" s="26" t="inlineStr">
        <is>
          <t>Taytay</t>
        </is>
      </c>
      <c r="H1323" s="26" t="inlineStr">
        <is>
          <t>Meytegued</t>
        </is>
      </c>
      <c r="I1323" s="27" t="n">
        <v>11.028349</v>
      </c>
      <c r="J1323" s="27" t="n">
        <v>119.598172</v>
      </c>
      <c r="K1323" s="10" t="inlineStr">
        <is>
          <t>R</t>
        </is>
      </c>
      <c r="L1323" s="12" t="n">
        <v>1162</v>
      </c>
      <c r="M1323" s="14" t="n">
        <v>3.9</v>
      </c>
      <c r="N1323" s="12">
        <f>ROUND(L1323/M1323, 0)</f>
        <v/>
      </c>
      <c r="O1323" s="12">
        <f>ROUND(N1323*'Methodology &amp; Assumptions'!$B$5, 0)</f>
        <v/>
      </c>
      <c r="P1323" s="10" t="inlineStr">
        <is>
          <t>Single Carrier (Band n50, 100MHz TDD)</t>
        </is>
      </c>
      <c r="Q1323" s="13">
        <f>ROUNDUP(O1323/'Methodology &amp; Assumptions'!$B$6, 0)</f>
        <v/>
      </c>
      <c r="R1323" s="13" t="n">
        <v>1</v>
      </c>
      <c r="S1323" s="14" t="n">
        <v>9.300000000000001</v>
      </c>
      <c r="T1323" s="14" t="n">
        <v>24.91</v>
      </c>
      <c r="U1323" s="26">
        <f>IF(X1323&gt;='Methodology &amp; Assumptions'!$B$7, "Tier 1 Critical GIDA (Score ≥ 50.0)", IF(X1323&gt;='Methodology &amp; Assumptions'!$B$8, "Tier 2 High GIDA (Score 40.0–49.9)", "Tier 3 Moderate GIDA (Score &lt; 40.0)"))</f>
        <v/>
      </c>
      <c r="V1323" s="26">
        <f>IF(S1323&lt;='Methodology &amp; Assumptions'!$B$10, "Direct Optical Drop (&lt;3km)", IF(S1323&lt;='Methodology &amp; Assumptions'!$B$9, "Near Optical / Microwave (&lt;5km)", "Starlink Business LEO Satellite Backhaul (&gt;5km)"))</f>
        <v/>
      </c>
      <c r="W1323" s="28" t="n">
        <v>0.15</v>
      </c>
      <c r="X1323" s="14" t="n">
        <v>43.38</v>
      </c>
      <c r="Y1323" s="14">
        <f>ROUND(MIN(100, (X1323/69.91)*100), 2)</f>
        <v/>
      </c>
    </row>
    <row r="1324">
      <c r="A1324" s="10" t="n">
        <v>5</v>
      </c>
      <c r="B1324" s="10" t="n">
        <v>320</v>
      </c>
      <c r="C1324" s="10" t="n">
        <v>4320</v>
      </c>
      <c r="D1324" s="10" t="inlineStr">
        <is>
          <t>1381300087</t>
        </is>
      </c>
      <c r="E1324" s="26" t="inlineStr">
        <is>
          <t>National Capital Region (NCR)</t>
        </is>
      </c>
      <c r="F1324" s="26" t="inlineStr">
        <is>
          <t>Second District (Not a Province)</t>
        </is>
      </c>
      <c r="G1324" s="26" t="inlineStr">
        <is>
          <t>Quezon City</t>
        </is>
      </c>
      <c r="H1324" s="26" t="inlineStr">
        <is>
          <t>Quirino 2-C</t>
        </is>
      </c>
      <c r="I1324" s="27" t="n">
        <v>14.688054</v>
      </c>
      <c r="J1324" s="27" t="n">
        <v>121.006065</v>
      </c>
      <c r="K1324" s="10" t="inlineStr">
        <is>
          <t>U</t>
        </is>
      </c>
      <c r="L1324" s="12" t="n">
        <v>3323</v>
      </c>
      <c r="M1324" s="14" t="n">
        <v>3.8</v>
      </c>
      <c r="N1324" s="12">
        <f>ROUND(L1324/M1324, 0)</f>
        <v/>
      </c>
      <c r="O1324" s="12">
        <f>ROUND(N1324*'Methodology &amp; Assumptions'!$B$5, 0)</f>
        <v/>
      </c>
      <c r="P1324" s="10" t="inlineStr">
        <is>
          <t>Single Carrier (Band n50, 100MHz TDD)</t>
        </is>
      </c>
      <c r="Q1324" s="13">
        <f>ROUNDUP(O1324/'Methodology &amp; Assumptions'!$B$6, 0)</f>
        <v/>
      </c>
      <c r="R1324" s="13" t="n">
        <v>1</v>
      </c>
      <c r="S1324" s="14" t="n">
        <v>0.88</v>
      </c>
      <c r="T1324" s="14" t="n">
        <v>0.45</v>
      </c>
      <c r="U1324" s="26">
        <f>IF(X1324&gt;='Methodology &amp; Assumptions'!$B$7, "Tier 1 Critical GIDA (Score ≥ 50.0)", IF(X1324&gt;='Methodology &amp; Assumptions'!$B$8, "Tier 2 High GIDA (Score 40.0–49.9)", "Tier 3 Moderate GIDA (Score &lt; 40.0)"))</f>
        <v/>
      </c>
      <c r="V1324" s="26">
        <f>IF(S1324&lt;='Methodology &amp; Assumptions'!$B$10, "Direct Optical Drop (&lt;3km)", IF(S1324&lt;='Methodology &amp; Assumptions'!$B$9, "Near Optical / Microwave (&lt;5km)", "Starlink Business LEO Satellite Backhaul (&gt;5km)"))</f>
        <v/>
      </c>
      <c r="W1324" s="28" t="n">
        <v>0.109</v>
      </c>
      <c r="X1324" s="14" t="n">
        <v>43.38</v>
      </c>
      <c r="Y1324" s="14">
        <f>ROUND(MIN(100, (X1324/69.91)*100), 2)</f>
        <v/>
      </c>
    </row>
    <row r="1325">
      <c r="A1325" s="10" t="n">
        <v>5</v>
      </c>
      <c r="B1325" s="10" t="n">
        <v>321</v>
      </c>
      <c r="C1325" s="10" t="n">
        <v>4321</v>
      </c>
      <c r="D1325" s="10" t="inlineStr">
        <is>
          <t>1903631009</t>
        </is>
      </c>
      <c r="E1325" s="26" t="inlineStr">
        <is>
          <t>Bangsamoro Autonomous Region In Muslim Mindanao (BARMM)</t>
        </is>
      </c>
      <c r="F1325" s="26" t="inlineStr">
        <is>
          <t>Lanao del Sur</t>
        </is>
      </c>
      <c r="G1325" s="26" t="inlineStr">
        <is>
          <t>Marogong</t>
        </is>
      </c>
      <c r="H1325" s="26" t="inlineStr">
        <is>
          <t>Cahera</t>
        </is>
      </c>
      <c r="I1325" s="27" t="n">
        <v>17.254828</v>
      </c>
      <c r="J1325" s="27" t="n">
        <v>122.228872</v>
      </c>
      <c r="K1325" s="10" t="inlineStr">
        <is>
          <t>R</t>
        </is>
      </c>
      <c r="L1325" s="12" t="n">
        <v>935</v>
      </c>
      <c r="M1325" s="14" t="n">
        <v>5.7</v>
      </c>
      <c r="N1325" s="12">
        <f>ROUND(L1325/M1325, 0)</f>
        <v/>
      </c>
      <c r="O1325" s="12">
        <f>ROUND(N1325*'Methodology &amp; Assumptions'!$B$5, 0)</f>
        <v/>
      </c>
      <c r="P1325" s="10" t="inlineStr">
        <is>
          <t>Single Carrier (Band n50, 100MHz TDD)</t>
        </is>
      </c>
      <c r="Q1325" s="13">
        <f>ROUNDUP(O1325/'Methodology &amp; Assumptions'!$B$6, 0)</f>
        <v/>
      </c>
      <c r="R1325" s="13" t="n">
        <v>1</v>
      </c>
      <c r="S1325" s="14" t="n">
        <v>29.41</v>
      </c>
      <c r="T1325" s="14" t="n">
        <v>34.3</v>
      </c>
      <c r="U1325" s="26">
        <f>IF(X1325&gt;='Methodology &amp; Assumptions'!$B$7, "Tier 1 Critical GIDA (Score ≥ 50.0)", IF(X1325&gt;='Methodology &amp; Assumptions'!$B$8, "Tier 2 High GIDA (Score 40.0–49.9)", "Tier 3 Moderate GIDA (Score &lt; 40.0)"))</f>
        <v/>
      </c>
      <c r="V1325" s="26">
        <f>IF(S1325&lt;='Methodology &amp; Assumptions'!$B$10, "Direct Optical Drop (&lt;3km)", IF(S1325&lt;='Methodology &amp; Assumptions'!$B$9, "Near Optical / Microwave (&lt;5km)", "Starlink Business LEO Satellite Backhaul (&gt;5km)"))</f>
        <v/>
      </c>
      <c r="W1325" s="28" t="n">
        <v>0.11</v>
      </c>
      <c r="X1325" s="14" t="n">
        <v>43.38</v>
      </c>
      <c r="Y1325" s="14">
        <f>ROUND(MIN(100, (X1325/69.91)*100), 2)</f>
        <v/>
      </c>
    </row>
    <row r="1326">
      <c r="A1326" s="10" t="n">
        <v>5</v>
      </c>
      <c r="B1326" s="10" t="n">
        <v>322</v>
      </c>
      <c r="C1326" s="10" t="n">
        <v>4322</v>
      </c>
      <c r="D1326" s="10" t="inlineStr">
        <is>
          <t>0403403015</t>
        </is>
      </c>
      <c r="E1326" s="26" t="inlineStr">
        <is>
          <t>Region IV-A (CALABARZON)</t>
        </is>
      </c>
      <c r="F1326" s="26" t="inlineStr">
        <is>
          <t>Laguna</t>
        </is>
      </c>
      <c r="G1326" s="26" t="inlineStr">
        <is>
          <t>City of Biñan</t>
        </is>
      </c>
      <c r="H1326" s="26" t="inlineStr">
        <is>
          <t>Platero</t>
        </is>
      </c>
      <c r="I1326" s="27" t="n">
        <v>14.320544</v>
      </c>
      <c r="J1326" s="27" t="n">
        <v>121.091582</v>
      </c>
      <c r="K1326" s="10" t="inlineStr">
        <is>
          <t>U</t>
        </is>
      </c>
      <c r="L1326" s="12" t="n">
        <v>16227</v>
      </c>
      <c r="M1326" s="14" t="n">
        <v>3.3</v>
      </c>
      <c r="N1326" s="12">
        <f>ROUND(L1326/M1326, 0)</f>
        <v/>
      </c>
      <c r="O1326" s="12">
        <f>ROUND(N1326*'Methodology &amp; Assumptions'!$B$5, 0)</f>
        <v/>
      </c>
      <c r="P1326" s="10" t="inlineStr">
        <is>
          <t>Single Carrier (Band n50, 100MHz TDD)</t>
        </is>
      </c>
      <c r="Q1326" s="13">
        <f>ROUNDUP(O1326/'Methodology &amp; Assumptions'!$B$6, 0)</f>
        <v/>
      </c>
      <c r="R1326" s="13" t="n">
        <v>1</v>
      </c>
      <c r="S1326" s="14" t="n">
        <v>2.64</v>
      </c>
      <c r="T1326" s="14" t="n">
        <v>0.5600000000000001</v>
      </c>
      <c r="U1326" s="26">
        <f>IF(X1326&gt;='Methodology &amp; Assumptions'!$B$7, "Tier 1 Critical GIDA (Score ≥ 50.0)", IF(X1326&gt;='Methodology &amp; Assumptions'!$B$8, "Tier 2 High GIDA (Score 40.0–49.9)", "Tier 3 Moderate GIDA (Score &lt; 40.0)"))</f>
        <v/>
      </c>
      <c r="V1326" s="26">
        <f>IF(S1326&lt;='Methodology &amp; Assumptions'!$B$10, "Direct Optical Drop (&lt;3km)", IF(S1326&lt;='Methodology &amp; Assumptions'!$B$9, "Near Optical / Microwave (&lt;5km)", "Starlink Business LEO Satellite Backhaul (&gt;5km)"))</f>
        <v/>
      </c>
      <c r="W1326" s="28" t="n">
        <v>0.07200000000000001</v>
      </c>
      <c r="X1326" s="14" t="n">
        <v>43.38</v>
      </c>
      <c r="Y1326" s="14">
        <f>ROUND(MIN(100, (X1326/69.91)*100), 2)</f>
        <v/>
      </c>
    </row>
    <row r="1327">
      <c r="A1327" s="10" t="n">
        <v>5</v>
      </c>
      <c r="B1327" s="10" t="n">
        <v>323</v>
      </c>
      <c r="C1327" s="10" t="n">
        <v>4323</v>
      </c>
      <c r="D1327" s="10" t="inlineStr">
        <is>
          <t>1606807002</t>
        </is>
      </c>
      <c r="E1327" s="26" t="inlineStr">
        <is>
          <t>Region XIII (Caraga)</t>
        </is>
      </c>
      <c r="F1327" s="26" t="inlineStr">
        <is>
          <t>Surigao del Sur</t>
        </is>
      </c>
      <c r="G1327" s="26" t="inlineStr">
        <is>
          <t>Carrascal</t>
        </is>
      </c>
      <c r="H1327" s="26" t="inlineStr">
        <is>
          <t>Babuyan</t>
        </is>
      </c>
      <c r="I1327" s="27" t="n">
        <v>9.346613</v>
      </c>
      <c r="J1327" s="27" t="n">
        <v>125.900003</v>
      </c>
      <c r="K1327" s="10" t="inlineStr">
        <is>
          <t>R</t>
        </is>
      </c>
      <c r="L1327" s="12" t="n">
        <v>768</v>
      </c>
      <c r="M1327" s="14" t="n">
        <v>4.1</v>
      </c>
      <c r="N1327" s="12">
        <f>ROUND(L1327/M1327, 0)</f>
        <v/>
      </c>
      <c r="O1327" s="12">
        <f>ROUND(N1327*'Methodology &amp; Assumptions'!$B$5, 0)</f>
        <v/>
      </c>
      <c r="P1327" s="10" t="inlineStr">
        <is>
          <t>Single Carrier (Band n50, 100MHz TDD)</t>
        </is>
      </c>
      <c r="Q1327" s="13">
        <f>ROUNDUP(O1327/'Methodology &amp; Assumptions'!$B$6, 0)</f>
        <v/>
      </c>
      <c r="R1327" s="13" t="n">
        <v>1</v>
      </c>
      <c r="S1327" s="14" t="n">
        <v>5.84</v>
      </c>
      <c r="T1327" s="14" t="n">
        <v>4.47</v>
      </c>
      <c r="U1327" s="26">
        <f>IF(X1327&gt;='Methodology &amp; Assumptions'!$B$7, "Tier 1 Critical GIDA (Score ≥ 50.0)", IF(X1327&gt;='Methodology &amp; Assumptions'!$B$8, "Tier 2 High GIDA (Score 40.0–49.9)", "Tier 3 Moderate GIDA (Score &lt; 40.0)"))</f>
        <v/>
      </c>
      <c r="V1327" s="26">
        <f>IF(S1327&lt;='Methodology &amp; Assumptions'!$B$10, "Direct Optical Drop (&lt;3km)", IF(S1327&lt;='Methodology &amp; Assumptions'!$B$9, "Near Optical / Microwave (&lt;5km)", "Starlink Business LEO Satellite Backhaul (&gt;5km)"))</f>
        <v/>
      </c>
      <c r="W1327" s="28" t="n">
        <v>0.174</v>
      </c>
      <c r="X1327" s="14" t="n">
        <v>43.37</v>
      </c>
      <c r="Y1327" s="14">
        <f>ROUND(MIN(100, (X1327/69.91)*100), 2)</f>
        <v/>
      </c>
    </row>
    <row r="1328">
      <c r="A1328" s="10" t="n">
        <v>5</v>
      </c>
      <c r="B1328" s="10" t="n">
        <v>324</v>
      </c>
      <c r="C1328" s="10" t="n">
        <v>4324</v>
      </c>
      <c r="D1328" s="10" t="inlineStr">
        <is>
          <t>PH0004324</t>
        </is>
      </c>
      <c r="E1328" s="26" t="inlineStr">
        <is>
          <t>IV-A</t>
        </is>
      </c>
      <c r="F1328" s="26" t="inlineStr">
        <is>
          <t>Quezon</t>
        </is>
      </c>
      <c r="G1328" s="26" t="inlineStr">
        <is>
          <t>Lucena City</t>
        </is>
      </c>
      <c r="H1328" s="26" t="inlineStr">
        <is>
          <t>Barangay 8 (Pob.)</t>
        </is>
      </c>
      <c r="I1328" s="27" t="n">
        <v>13.930123</v>
      </c>
      <c r="J1328" s="27" t="n">
        <v>121.611448</v>
      </c>
      <c r="K1328" s="10" t="inlineStr">
        <is>
          <t>R</t>
        </is>
      </c>
      <c r="L1328" s="12" t="n">
        <v>1964</v>
      </c>
      <c r="M1328" s="14" t="n">
        <v>3.8</v>
      </c>
      <c r="N1328" s="12">
        <f>ROUND(L1328/M1328, 0)</f>
        <v/>
      </c>
      <c r="O1328" s="12">
        <f>ROUND(N1328*'Methodology &amp; Assumptions'!$B$5, 0)</f>
        <v/>
      </c>
      <c r="P1328" s="10" t="inlineStr">
        <is>
          <t>Single Carrier (Band n50, 100MHz TDD)</t>
        </is>
      </c>
      <c r="Q1328" s="13">
        <f>ROUNDUP(O1328/'Methodology &amp; Assumptions'!$B$6, 0)</f>
        <v/>
      </c>
      <c r="R1328" s="13" t="n">
        <v>1</v>
      </c>
      <c r="S1328" s="14" t="n">
        <v>0.34</v>
      </c>
      <c r="T1328" s="14" t="n">
        <v>0.32</v>
      </c>
      <c r="U1328" s="26">
        <f>IF(X1328&gt;='Methodology &amp; Assumptions'!$B$7, "Tier 1 Critical GIDA (Score ≥ 50.0)", IF(X1328&gt;='Methodology &amp; Assumptions'!$B$8, "Tier 2 High GIDA (Score 40.0–49.9)", "Tier 3 Moderate GIDA (Score &lt; 40.0)"))</f>
        <v/>
      </c>
      <c r="V1328" s="26">
        <f>IF(S1328&lt;='Methodology &amp; Assumptions'!$B$10, "Direct Optical Drop (&lt;3km)", IF(S1328&lt;='Methodology &amp; Assumptions'!$B$9, "Near Optical / Microwave (&lt;5km)", "Starlink Business LEO Satellite Backhaul (&gt;5km)"))</f>
        <v/>
      </c>
      <c r="W1328" s="28" t="n">
        <v>0.07200000000000001</v>
      </c>
      <c r="X1328" s="14" t="n">
        <v>43.36</v>
      </c>
      <c r="Y1328" s="14">
        <f>ROUND(MIN(100, (X1328/69.91)*100), 2)</f>
        <v/>
      </c>
    </row>
    <row r="1329">
      <c r="A1329" s="10" t="n">
        <v>5</v>
      </c>
      <c r="B1329" s="10" t="n">
        <v>325</v>
      </c>
      <c r="C1329" s="10" t="n">
        <v>4325</v>
      </c>
      <c r="D1329" s="10" t="inlineStr">
        <is>
          <t>0102802046</t>
        </is>
      </c>
      <c r="E1329" s="26" t="inlineStr">
        <is>
          <t>Region I (Ilocos Region)</t>
        </is>
      </c>
      <c r="F1329" s="26" t="inlineStr">
        <is>
          <t>Ilocos Norte</t>
        </is>
      </c>
      <c r="G1329" s="26" t="inlineStr">
        <is>
          <t>Bacarra</t>
        </is>
      </c>
      <c r="H1329" s="26" t="inlineStr">
        <is>
          <t>Santa Rita</t>
        </is>
      </c>
      <c r="I1329" s="27" t="n">
        <v>18.251327</v>
      </c>
      <c r="J1329" s="27" t="n">
        <v>120.609274</v>
      </c>
      <c r="K1329" s="10" t="inlineStr">
        <is>
          <t>R</t>
        </is>
      </c>
      <c r="L1329" s="12" t="n">
        <v>1136</v>
      </c>
      <c r="M1329" s="14" t="n">
        <v>3.7</v>
      </c>
      <c r="N1329" s="12">
        <f>ROUND(L1329/M1329, 0)</f>
        <v/>
      </c>
      <c r="O1329" s="12">
        <f>ROUND(N1329*'Methodology &amp; Assumptions'!$B$5, 0)</f>
        <v/>
      </c>
      <c r="P1329" s="10" t="inlineStr">
        <is>
          <t>Single Carrier (Band n50, 100MHz TDD)</t>
        </is>
      </c>
      <c r="Q1329" s="13">
        <f>ROUNDUP(O1329/'Methodology &amp; Assumptions'!$B$6, 0)</f>
        <v/>
      </c>
      <c r="R1329" s="13" t="n">
        <v>1</v>
      </c>
      <c r="S1329" s="14" t="n">
        <v>5.14</v>
      </c>
      <c r="T1329" s="14" t="n">
        <v>0.72</v>
      </c>
      <c r="U1329" s="26">
        <f>IF(X1329&gt;='Methodology &amp; Assumptions'!$B$7, "Tier 1 Critical GIDA (Score ≥ 50.0)", IF(X1329&gt;='Methodology &amp; Assumptions'!$B$8, "Tier 2 High GIDA (Score 40.0–49.9)", "Tier 3 Moderate GIDA (Score &lt; 40.0)"))</f>
        <v/>
      </c>
      <c r="V1329" s="26">
        <f>IF(S1329&lt;='Methodology &amp; Assumptions'!$B$10, "Direct Optical Drop (&lt;3km)", IF(S1329&lt;='Methodology &amp; Assumptions'!$B$9, "Near Optical / Microwave (&lt;5km)", "Starlink Business LEO Satellite Backhaul (&gt;5km)"))</f>
        <v/>
      </c>
      <c r="W1329" s="28" t="n">
        <v>0.083</v>
      </c>
      <c r="X1329" s="14" t="n">
        <v>43.35</v>
      </c>
      <c r="Y1329" s="14">
        <f>ROUND(MIN(100, (X1329/69.91)*100), 2)</f>
        <v/>
      </c>
    </row>
    <row r="1330">
      <c r="A1330" s="10" t="n">
        <v>5</v>
      </c>
      <c r="B1330" s="10" t="n">
        <v>326</v>
      </c>
      <c r="C1330" s="10" t="n">
        <v>4326</v>
      </c>
      <c r="D1330" s="10" t="inlineStr">
        <is>
          <t>PH0004326</t>
        </is>
      </c>
      <c r="E1330" s="26" t="inlineStr">
        <is>
          <t>IV-A</t>
        </is>
      </c>
      <c r="F1330" s="26" t="inlineStr">
        <is>
          <t>Cavite</t>
        </is>
      </c>
      <c r="G1330" s="26" t="inlineStr">
        <is>
          <t>Cavite City</t>
        </is>
      </c>
      <c r="H1330" s="26" t="inlineStr">
        <is>
          <t>Barangay 10</t>
        </is>
      </c>
      <c r="I1330" s="27" t="n">
        <v>14.498759</v>
      </c>
      <c r="J1330" s="27" t="n">
        <v>120.913578</v>
      </c>
      <c r="K1330" s="10" t="inlineStr">
        <is>
          <t>R</t>
        </is>
      </c>
      <c r="L1330" s="12" t="n">
        <v>2316</v>
      </c>
      <c r="M1330" s="14" t="n">
        <v>3.4</v>
      </c>
      <c r="N1330" s="12">
        <f>ROUND(L1330/M1330, 0)</f>
        <v/>
      </c>
      <c r="O1330" s="12">
        <f>ROUND(N1330*'Methodology &amp; Assumptions'!$B$5, 0)</f>
        <v/>
      </c>
      <c r="P1330" s="10" t="inlineStr">
        <is>
          <t>Single Carrier (Band n50, 100MHz TDD)</t>
        </is>
      </c>
      <c r="Q1330" s="13">
        <f>ROUNDUP(O1330/'Methodology &amp; Assumptions'!$B$6, 0)</f>
        <v/>
      </c>
      <c r="R1330" s="13" t="n">
        <v>1</v>
      </c>
      <c r="S1330" s="14" t="n">
        <v>3.86</v>
      </c>
      <c r="T1330" s="14" t="n">
        <v>5.54</v>
      </c>
      <c r="U1330" s="26">
        <f>IF(X1330&gt;='Methodology &amp; Assumptions'!$B$7, "Tier 1 Critical GIDA (Score ≥ 50.0)", IF(X1330&gt;='Methodology &amp; Assumptions'!$B$8, "Tier 2 High GIDA (Score 40.0–49.9)", "Tier 3 Moderate GIDA (Score &lt; 40.0)"))</f>
        <v/>
      </c>
      <c r="V1330" s="26">
        <f>IF(S1330&lt;='Methodology &amp; Assumptions'!$B$10, "Direct Optical Drop (&lt;3km)", IF(S1330&lt;='Methodology &amp; Assumptions'!$B$9, "Near Optical / Microwave (&lt;5km)", "Starlink Business LEO Satellite Backhaul (&gt;5km)"))</f>
        <v/>
      </c>
      <c r="W1330" s="28" t="n">
        <v>0.07200000000000001</v>
      </c>
      <c r="X1330" s="14" t="n">
        <v>43.35</v>
      </c>
      <c r="Y1330" s="14">
        <f>ROUND(MIN(100, (X1330/69.91)*100), 2)</f>
        <v/>
      </c>
    </row>
    <row r="1331">
      <c r="A1331" s="10" t="n">
        <v>5</v>
      </c>
      <c r="B1331" s="10" t="n">
        <v>327</v>
      </c>
      <c r="C1331" s="10" t="n">
        <v>4327</v>
      </c>
      <c r="D1331" s="10" t="inlineStr">
        <is>
          <t>0600402011</t>
        </is>
      </c>
      <c r="E1331" s="26" t="inlineStr">
        <is>
          <t>Region VI (Western Visayas)</t>
        </is>
      </c>
      <c r="F1331" s="26" t="inlineStr">
        <is>
          <t>Aklan</t>
        </is>
      </c>
      <c r="G1331" s="26" t="inlineStr">
        <is>
          <t>Balete</t>
        </is>
      </c>
      <c r="H1331" s="26" t="inlineStr">
        <is>
          <t>Poblacion</t>
        </is>
      </c>
      <c r="I1331" s="27" t="n">
        <v>11.557289</v>
      </c>
      <c r="J1331" s="27" t="n">
        <v>122.378333</v>
      </c>
      <c r="K1331" s="10" t="inlineStr">
        <is>
          <t>R</t>
        </is>
      </c>
      <c r="L1331" s="12" t="n">
        <v>899</v>
      </c>
      <c r="M1331" s="14" t="n">
        <v>3.9</v>
      </c>
      <c r="N1331" s="12">
        <f>ROUND(L1331/M1331, 0)</f>
        <v/>
      </c>
      <c r="O1331" s="12">
        <f>ROUND(N1331*'Methodology &amp; Assumptions'!$B$5, 0)</f>
        <v/>
      </c>
      <c r="P1331" s="10" t="inlineStr">
        <is>
          <t>Single Carrier (Band n50, 100MHz TDD)</t>
        </is>
      </c>
      <c r="Q1331" s="13">
        <f>ROUNDUP(O1331/'Methodology &amp; Assumptions'!$B$6, 0)</f>
        <v/>
      </c>
      <c r="R1331" s="13" t="n">
        <v>1</v>
      </c>
      <c r="S1331" s="14" t="n">
        <v>0.31</v>
      </c>
      <c r="T1331" s="14" t="n">
        <v>0.25</v>
      </c>
      <c r="U1331" s="26">
        <f>IF(X1331&gt;='Methodology &amp; Assumptions'!$B$7, "Tier 1 Critical GIDA (Score ≥ 50.0)", IF(X1331&gt;='Methodology &amp; Assumptions'!$B$8, "Tier 2 High GIDA (Score 40.0–49.9)", "Tier 3 Moderate GIDA (Score &lt; 40.0)"))</f>
        <v/>
      </c>
      <c r="V1331" s="26">
        <f>IF(S1331&lt;='Methodology &amp; Assumptions'!$B$10, "Direct Optical Drop (&lt;3km)", IF(S1331&lt;='Methodology &amp; Assumptions'!$B$9, "Near Optical / Microwave (&lt;5km)", "Starlink Business LEO Satellite Backhaul (&gt;5km)"))</f>
        <v/>
      </c>
      <c r="W1331" s="28" t="n">
        <v>0.237</v>
      </c>
      <c r="X1331" s="14" t="n">
        <v>43.35</v>
      </c>
      <c r="Y1331" s="14">
        <f>ROUND(MIN(100, (X1331/69.91)*100), 2)</f>
        <v/>
      </c>
    </row>
    <row r="1332">
      <c r="A1332" s="10" t="n">
        <v>5</v>
      </c>
      <c r="B1332" s="10" t="n">
        <v>328</v>
      </c>
      <c r="C1332" s="10" t="n">
        <v>4328</v>
      </c>
      <c r="D1332" s="10" t="inlineStr">
        <is>
          <t>PH0004328</t>
        </is>
      </c>
      <c r="E1332" s="26" t="inlineStr">
        <is>
          <t>IV-A</t>
        </is>
      </c>
      <c r="F1332" s="26" t="inlineStr">
        <is>
          <t>Cavite</t>
        </is>
      </c>
      <c r="G1332" s="26" t="inlineStr">
        <is>
          <t>Cavite City</t>
        </is>
      </c>
      <c r="H1332" s="26" t="inlineStr">
        <is>
          <t>Barangay 60</t>
        </is>
      </c>
      <c r="I1332" s="27" t="n">
        <v>14.452941</v>
      </c>
      <c r="J1332" s="27" t="n">
        <v>120.898049</v>
      </c>
      <c r="K1332" s="10" t="inlineStr">
        <is>
          <t>R</t>
        </is>
      </c>
      <c r="L1332" s="12" t="n">
        <v>2316</v>
      </c>
      <c r="M1332" s="14" t="n">
        <v>3.4</v>
      </c>
      <c r="N1332" s="12">
        <f>ROUND(L1332/M1332, 0)</f>
        <v/>
      </c>
      <c r="O1332" s="12">
        <f>ROUND(N1332*'Methodology &amp; Assumptions'!$B$5, 0)</f>
        <v/>
      </c>
      <c r="P1332" s="10" t="inlineStr">
        <is>
          <t>Single Carrier (Band n50, 100MHz TDD)</t>
        </is>
      </c>
      <c r="Q1332" s="13">
        <f>ROUNDUP(O1332/'Methodology &amp; Assumptions'!$B$6, 0)</f>
        <v/>
      </c>
      <c r="R1332" s="13" t="n">
        <v>1</v>
      </c>
      <c r="S1332" s="14" t="n">
        <v>2.68</v>
      </c>
      <c r="T1332" s="14" t="n">
        <v>1.96</v>
      </c>
      <c r="U1332" s="26">
        <f>IF(X1332&gt;='Methodology &amp; Assumptions'!$B$7, "Tier 1 Critical GIDA (Score ≥ 50.0)", IF(X1332&gt;='Methodology &amp; Assumptions'!$B$8, "Tier 2 High GIDA (Score 40.0–49.9)", "Tier 3 Moderate GIDA (Score &lt; 40.0)"))</f>
        <v/>
      </c>
      <c r="V1332" s="26">
        <f>IF(S1332&lt;='Methodology &amp; Assumptions'!$B$10, "Direct Optical Drop (&lt;3km)", IF(S1332&lt;='Methodology &amp; Assumptions'!$B$9, "Near Optical / Microwave (&lt;5km)", "Starlink Business LEO Satellite Backhaul (&gt;5km)"))</f>
        <v/>
      </c>
      <c r="W1332" s="28" t="n">
        <v>0.07200000000000001</v>
      </c>
      <c r="X1332" s="14" t="n">
        <v>43.34</v>
      </c>
      <c r="Y1332" s="14">
        <f>ROUND(MIN(100, (X1332/69.91)*100), 2)</f>
        <v/>
      </c>
    </row>
    <row r="1333">
      <c r="A1333" s="10" t="n">
        <v>5</v>
      </c>
      <c r="B1333" s="10" t="n">
        <v>329</v>
      </c>
      <c r="C1333" s="10" t="n">
        <v>4329</v>
      </c>
      <c r="D1333" s="10" t="inlineStr">
        <is>
          <t>1906608006</t>
        </is>
      </c>
      <c r="E1333" s="26" t="inlineStr">
        <is>
          <t>Bangsamoro Autonomous Region In Muslim Mindanao (BARMM)</t>
        </is>
      </c>
      <c r="F1333" s="26" t="inlineStr">
        <is>
          <t>Sulu</t>
        </is>
      </c>
      <c r="G1333" s="26" t="inlineStr">
        <is>
          <t>Pangutaran</t>
        </is>
      </c>
      <c r="H1333" s="26" t="inlineStr">
        <is>
          <t>Lantong Babag</t>
        </is>
      </c>
      <c r="I1333" s="27" t="n">
        <v>17.255343</v>
      </c>
      <c r="J1333" s="27" t="n">
        <v>122.229387</v>
      </c>
      <c r="K1333" s="10" t="inlineStr">
        <is>
          <t>R</t>
        </is>
      </c>
      <c r="L1333" s="12" t="n">
        <v>2410</v>
      </c>
      <c r="M1333" s="14" t="n">
        <v>6</v>
      </c>
      <c r="N1333" s="12">
        <f>ROUND(L1333/M1333, 0)</f>
        <v/>
      </c>
      <c r="O1333" s="12">
        <f>ROUND(N1333*'Methodology &amp; Assumptions'!$B$5, 0)</f>
        <v/>
      </c>
      <c r="P1333" s="10" t="inlineStr">
        <is>
          <t>Single Carrier (Band n50, 100MHz TDD)</t>
        </is>
      </c>
      <c r="Q1333" s="13">
        <f>ROUNDUP(O1333/'Methodology &amp; Assumptions'!$B$6, 0)</f>
        <v/>
      </c>
      <c r="R1333" s="13" t="n">
        <v>1</v>
      </c>
      <c r="S1333" s="14" t="n">
        <v>29.49</v>
      </c>
      <c r="T1333" s="14" t="n">
        <v>34.36</v>
      </c>
      <c r="U1333" s="26">
        <f>IF(X1333&gt;='Methodology &amp; Assumptions'!$B$7, "Tier 1 Critical GIDA (Score ≥ 50.0)", IF(X1333&gt;='Methodology &amp; Assumptions'!$B$8, "Tier 2 High GIDA (Score 40.0–49.9)", "Tier 3 Moderate GIDA (Score &lt; 40.0)"))</f>
        <v/>
      </c>
      <c r="V1333" s="26">
        <f>IF(S1333&lt;='Methodology &amp; Assumptions'!$B$10, "Direct Optical Drop (&lt;3km)", IF(S1333&lt;='Methodology &amp; Assumptions'!$B$9, "Near Optical / Microwave (&lt;5km)", "Starlink Business LEO Satellite Backhaul (&gt;5km)"))</f>
        <v/>
      </c>
      <c r="W1333" s="28" t="n">
        <v>0.11</v>
      </c>
      <c r="X1333" s="14" t="n">
        <v>43.34</v>
      </c>
      <c r="Y1333" s="14">
        <f>ROUND(MIN(100, (X1333/69.91)*100), 2)</f>
        <v/>
      </c>
    </row>
    <row r="1334">
      <c r="A1334" s="10" t="n">
        <v>5</v>
      </c>
      <c r="B1334" s="10" t="n">
        <v>330</v>
      </c>
      <c r="C1334" s="10" t="n">
        <v>4330</v>
      </c>
      <c r="D1334" s="10" t="inlineStr">
        <is>
          <t>0907215006</t>
        </is>
      </c>
      <c r="E1334" s="26" t="inlineStr">
        <is>
          <t>Region IX (Zamboanga Peninsula)</t>
        </is>
      </c>
      <c r="F1334" s="26" t="inlineStr">
        <is>
          <t>Zamboanga del Norte</t>
        </is>
      </c>
      <c r="G1334" s="26" t="inlineStr">
        <is>
          <t>Siayan</t>
        </is>
      </c>
      <c r="H1334" s="26" t="inlineStr">
        <is>
          <t>Domogok</t>
        </is>
      </c>
      <c r="I1334" s="27" t="n">
        <v>8.27786</v>
      </c>
      <c r="J1334" s="27" t="n">
        <v>123.1576</v>
      </c>
      <c r="K1334" s="10" t="inlineStr">
        <is>
          <t>R</t>
        </is>
      </c>
      <c r="L1334" s="12" t="n">
        <v>1494</v>
      </c>
      <c r="M1334" s="14" t="n">
        <v>3.6</v>
      </c>
      <c r="N1334" s="12">
        <f>ROUND(L1334/M1334, 0)</f>
        <v/>
      </c>
      <c r="O1334" s="12">
        <f>ROUND(N1334*'Methodology &amp; Assumptions'!$B$5, 0)</f>
        <v/>
      </c>
      <c r="P1334" s="10" t="inlineStr">
        <is>
          <t>Single Carrier (Band n50, 100MHz TDD)</t>
        </is>
      </c>
      <c r="Q1334" s="13">
        <f>ROUNDUP(O1334/'Methodology &amp; Assumptions'!$B$6, 0)</f>
        <v/>
      </c>
      <c r="R1334" s="13" t="n">
        <v>1</v>
      </c>
      <c r="S1334" s="14" t="n">
        <v>58.59</v>
      </c>
      <c r="T1334" s="14" t="n">
        <v>48.86</v>
      </c>
      <c r="U1334" s="26">
        <f>IF(X1334&gt;='Methodology &amp; Assumptions'!$B$7, "Tier 1 Critical GIDA (Score ≥ 50.0)", IF(X1334&gt;='Methodology &amp; Assumptions'!$B$8, "Tier 2 High GIDA (Score 40.0–49.9)", "Tier 3 Moderate GIDA (Score &lt; 40.0)"))</f>
        <v/>
      </c>
      <c r="V1334" s="26">
        <f>IF(S1334&lt;='Methodology &amp; Assumptions'!$B$10, "Direct Optical Drop (&lt;3km)", IF(S1334&lt;='Methodology &amp; Assumptions'!$B$9, "Near Optical / Microwave (&lt;5km)", "Starlink Business LEO Satellite Backhaul (&gt;5km)"))</f>
        <v/>
      </c>
      <c r="W1334" s="28" t="n">
        <v>0.11</v>
      </c>
      <c r="X1334" s="14" t="n">
        <v>43.34</v>
      </c>
      <c r="Y1334" s="14">
        <f>ROUND(MIN(100, (X1334/69.91)*100), 2)</f>
        <v/>
      </c>
    </row>
    <row r="1335">
      <c r="A1335" s="10" t="n">
        <v>5</v>
      </c>
      <c r="B1335" s="10" t="n">
        <v>331</v>
      </c>
      <c r="C1335" s="10" t="n">
        <v>4331</v>
      </c>
      <c r="D1335" s="10" t="inlineStr">
        <is>
          <t>0600609007</t>
        </is>
      </c>
      <c r="E1335" s="26" t="inlineStr">
        <is>
          <t>Region VI (Western Visayas)</t>
        </is>
      </c>
      <c r="F1335" s="26" t="inlineStr">
        <is>
          <t>Antique</t>
        </is>
      </c>
      <c r="G1335" s="26" t="inlineStr">
        <is>
          <t>Laua-An</t>
        </is>
      </c>
      <c r="H1335" s="26" t="inlineStr">
        <is>
          <t>Capnayan</t>
        </is>
      </c>
      <c r="I1335" s="27" t="n">
        <v>11.08984</v>
      </c>
      <c r="J1335" s="27" t="n">
        <v>122.105017</v>
      </c>
      <c r="K1335" s="10" t="inlineStr">
        <is>
          <t>R</t>
        </is>
      </c>
      <c r="L1335" s="12" t="n">
        <v>376</v>
      </c>
      <c r="M1335" s="14" t="n">
        <v>3.9</v>
      </c>
      <c r="N1335" s="12">
        <f>ROUND(L1335/M1335, 0)</f>
        <v/>
      </c>
      <c r="O1335" s="12">
        <f>ROUND(N1335*'Methodology &amp; Assumptions'!$B$5, 0)</f>
        <v/>
      </c>
      <c r="P1335" s="10" t="inlineStr">
        <is>
          <t>Single Carrier (Band n50, 100MHz TDD)</t>
        </is>
      </c>
      <c r="Q1335" s="13">
        <f>ROUNDUP(O1335/'Methodology &amp; Assumptions'!$B$6, 0)</f>
        <v/>
      </c>
      <c r="R1335" s="13" t="n">
        <v>1</v>
      </c>
      <c r="S1335" s="14" t="n">
        <v>40.73</v>
      </c>
      <c r="T1335" s="14" t="n">
        <v>34.11</v>
      </c>
      <c r="U1335" s="26">
        <f>IF(X1335&gt;='Methodology &amp; Assumptions'!$B$7, "Tier 1 Critical GIDA (Score ≥ 50.0)", IF(X1335&gt;='Methodology &amp; Assumptions'!$B$8, "Tier 2 High GIDA (Score 40.0–49.9)", "Tier 3 Moderate GIDA (Score &lt; 40.0)"))</f>
        <v/>
      </c>
      <c r="V1335" s="26">
        <f>IF(S1335&lt;='Methodology &amp; Assumptions'!$B$10, "Direct Optical Drop (&lt;3km)", IF(S1335&lt;='Methodology &amp; Assumptions'!$B$9, "Near Optical / Microwave (&lt;5km)", "Starlink Business LEO Satellite Backhaul (&gt;5km)"))</f>
        <v/>
      </c>
      <c r="W1335" s="28" t="n">
        <v>0.237</v>
      </c>
      <c r="X1335" s="14" t="n">
        <v>43.34</v>
      </c>
      <c r="Y1335" s="14">
        <f>ROUND(MIN(100, (X1335/69.91)*100), 2)</f>
        <v/>
      </c>
    </row>
    <row r="1336">
      <c r="A1336" s="10" t="n">
        <v>5</v>
      </c>
      <c r="B1336" s="10" t="n">
        <v>332</v>
      </c>
      <c r="C1336" s="10" t="n">
        <v>4332</v>
      </c>
      <c r="D1336" s="10" t="inlineStr">
        <is>
          <t>0402123023</t>
        </is>
      </c>
      <c r="E1336" s="26" t="inlineStr">
        <is>
          <t>Region IV-A (CALABARZON)</t>
        </is>
      </c>
      <c r="F1336" s="26" t="inlineStr">
        <is>
          <t>Cavite</t>
        </is>
      </c>
      <c r="G1336" s="26" t="inlineStr">
        <is>
          <t>Gen. Mariano Alvarez</t>
        </is>
      </c>
      <c r="H1336" s="26" t="inlineStr">
        <is>
          <t>Ramon Cruz</t>
        </is>
      </c>
      <c r="I1336" s="27" t="n">
        <v>14.30117</v>
      </c>
      <c r="J1336" s="27" t="n">
        <v>121.003327</v>
      </c>
      <c r="K1336" s="10" t="inlineStr">
        <is>
          <t>U</t>
        </is>
      </c>
      <c r="L1336" s="12" t="n">
        <v>8083</v>
      </c>
      <c r="M1336" s="14" t="n">
        <v>3.4</v>
      </c>
      <c r="N1336" s="12">
        <f>ROUND(L1336/M1336, 0)</f>
        <v/>
      </c>
      <c r="O1336" s="12">
        <f>ROUND(N1336*'Methodology &amp; Assumptions'!$B$5, 0)</f>
        <v/>
      </c>
      <c r="P1336" s="10" t="inlineStr">
        <is>
          <t>Single Carrier (Band n50, 100MHz TDD)</t>
        </is>
      </c>
      <c r="Q1336" s="13">
        <f>ROUNDUP(O1336/'Methodology &amp; Assumptions'!$B$6, 0)</f>
        <v/>
      </c>
      <c r="R1336" s="13" t="n">
        <v>1</v>
      </c>
      <c r="S1336" s="14" t="n">
        <v>2.09</v>
      </c>
      <c r="T1336" s="14" t="n">
        <v>4.91</v>
      </c>
      <c r="U1336" s="26">
        <f>IF(X1336&gt;='Methodology &amp; Assumptions'!$B$7, "Tier 1 Critical GIDA (Score ≥ 50.0)", IF(X1336&gt;='Methodology &amp; Assumptions'!$B$8, "Tier 2 High GIDA (Score 40.0–49.9)", "Tier 3 Moderate GIDA (Score &lt; 40.0)"))</f>
        <v/>
      </c>
      <c r="V1336" s="26">
        <f>IF(S1336&lt;='Methodology &amp; Assumptions'!$B$10, "Direct Optical Drop (&lt;3km)", IF(S1336&lt;='Methodology &amp; Assumptions'!$B$9, "Near Optical / Microwave (&lt;5km)", "Starlink Business LEO Satellite Backhaul (&gt;5km)"))</f>
        <v/>
      </c>
      <c r="W1336" s="28" t="n">
        <v>0.07200000000000001</v>
      </c>
      <c r="X1336" s="14" t="n">
        <v>43.33</v>
      </c>
      <c r="Y1336" s="14">
        <f>ROUND(MIN(100, (X1336/69.91)*100), 2)</f>
        <v/>
      </c>
    </row>
    <row r="1337">
      <c r="A1337" s="10" t="n">
        <v>5</v>
      </c>
      <c r="B1337" s="10" t="n">
        <v>333</v>
      </c>
      <c r="C1337" s="10" t="n">
        <v>4333</v>
      </c>
      <c r="D1337" s="10" t="inlineStr">
        <is>
          <t>0403425015</t>
        </is>
      </c>
      <c r="E1337" s="26" t="inlineStr">
        <is>
          <t>Region IV-A (CALABARZON)</t>
        </is>
      </c>
      <c r="F1337" s="26" t="inlineStr">
        <is>
          <t>Laguna</t>
        </is>
      </c>
      <c r="G1337" s="26" t="inlineStr">
        <is>
          <t>City of San Pedro</t>
        </is>
      </c>
      <c r="H1337" s="26" t="inlineStr">
        <is>
          <t>San Roque</t>
        </is>
      </c>
      <c r="I1337" s="27" t="n">
        <v>14.236635</v>
      </c>
      <c r="J1337" s="27" t="n">
        <v>121.313839</v>
      </c>
      <c r="K1337" s="10" t="inlineStr">
        <is>
          <t>U</t>
        </is>
      </c>
      <c r="L1337" s="12" t="n">
        <v>7850</v>
      </c>
      <c r="M1337" s="14" t="n">
        <v>3.3</v>
      </c>
      <c r="N1337" s="12">
        <f>ROUND(L1337/M1337, 0)</f>
        <v/>
      </c>
      <c r="O1337" s="12">
        <f>ROUND(N1337*'Methodology &amp; Assumptions'!$B$5, 0)</f>
        <v/>
      </c>
      <c r="P1337" s="10" t="inlineStr">
        <is>
          <t>Single Carrier (Band n50, 100MHz TDD)</t>
        </is>
      </c>
      <c r="Q1337" s="13">
        <f>ROUNDUP(O1337/'Methodology &amp; Assumptions'!$B$6, 0)</f>
        <v/>
      </c>
      <c r="R1337" s="13" t="n">
        <v>1</v>
      </c>
      <c r="S1337" s="14" t="n">
        <v>4.87</v>
      </c>
      <c r="T1337" s="14" t="n">
        <v>5.06</v>
      </c>
      <c r="U1337" s="26">
        <f>IF(X1337&gt;='Methodology &amp; Assumptions'!$B$7, "Tier 1 Critical GIDA (Score ≥ 50.0)", IF(X1337&gt;='Methodology &amp; Assumptions'!$B$8, "Tier 2 High GIDA (Score 40.0–49.9)", "Tier 3 Moderate GIDA (Score &lt; 40.0)"))</f>
        <v/>
      </c>
      <c r="V1337" s="26">
        <f>IF(S1337&lt;='Methodology &amp; Assumptions'!$B$10, "Direct Optical Drop (&lt;3km)", IF(S1337&lt;='Methodology &amp; Assumptions'!$B$9, "Near Optical / Microwave (&lt;5km)", "Starlink Business LEO Satellite Backhaul (&gt;5km)"))</f>
        <v/>
      </c>
      <c r="W1337" s="28" t="n">
        <v>0.07200000000000001</v>
      </c>
      <c r="X1337" s="14" t="n">
        <v>43.33</v>
      </c>
      <c r="Y1337" s="14">
        <f>ROUND(MIN(100, (X1337/69.91)*100), 2)</f>
        <v/>
      </c>
    </row>
    <row r="1338">
      <c r="A1338" s="10" t="n">
        <v>5</v>
      </c>
      <c r="B1338" s="10" t="n">
        <v>334</v>
      </c>
      <c r="C1338" s="10" t="n">
        <v>4334</v>
      </c>
      <c r="D1338" s="10" t="inlineStr">
        <is>
          <t>PH0004334</t>
        </is>
      </c>
      <c r="E1338" s="26" t="inlineStr">
        <is>
          <t>CAR</t>
        </is>
      </c>
      <c r="F1338" s="26" t="inlineStr">
        <is>
          <t>Benguet</t>
        </is>
      </c>
      <c r="G1338" s="26" t="inlineStr">
        <is>
          <t>Baguio City</t>
        </is>
      </c>
      <c r="H1338" s="26" t="inlineStr">
        <is>
          <t>Quirino Hill, Middle</t>
        </is>
      </c>
      <c r="I1338" s="27" t="n">
        <v>16.43017</v>
      </c>
      <c r="J1338" s="27" t="n">
        <v>120.59065</v>
      </c>
      <c r="K1338" s="10" t="inlineStr">
        <is>
          <t>R</t>
        </is>
      </c>
      <c r="L1338" s="12" t="n">
        <v>2260</v>
      </c>
      <c r="M1338" s="14" t="n">
        <v>3.5</v>
      </c>
      <c r="N1338" s="12">
        <f>ROUND(L1338/M1338, 0)</f>
        <v/>
      </c>
      <c r="O1338" s="12">
        <f>ROUND(N1338*'Methodology &amp; Assumptions'!$B$5, 0)</f>
        <v/>
      </c>
      <c r="P1338" s="10" t="inlineStr">
        <is>
          <t>Single Carrier (Band n50, 100MHz TDD)</t>
        </is>
      </c>
      <c r="Q1338" s="13">
        <f>ROUNDUP(O1338/'Methodology &amp; Assumptions'!$B$6, 0)</f>
        <v/>
      </c>
      <c r="R1338" s="13" t="n">
        <v>1</v>
      </c>
      <c r="S1338" s="14" t="n">
        <v>0.61</v>
      </c>
      <c r="T1338" s="14" t="n">
        <v>1.7</v>
      </c>
      <c r="U1338" s="26">
        <f>IF(X1338&gt;='Methodology &amp; Assumptions'!$B$7, "Tier 1 Critical GIDA (Score ≥ 50.0)", IF(X1338&gt;='Methodology &amp; Assumptions'!$B$8, "Tier 2 High GIDA (Score 40.0–49.9)", "Tier 3 Moderate GIDA (Score &lt; 40.0)"))</f>
        <v/>
      </c>
      <c r="V1338" s="26">
        <f>IF(S1338&lt;='Methodology &amp; Assumptions'!$B$10, "Direct Optical Drop (&lt;3km)", IF(S1338&lt;='Methodology &amp; Assumptions'!$B$9, "Near Optical / Microwave (&lt;5km)", "Starlink Business LEO Satellite Backhaul (&gt;5km)"))</f>
        <v/>
      </c>
      <c r="W1338" s="28" t="n">
        <v>0.221</v>
      </c>
      <c r="X1338" s="14" t="n">
        <v>43.33</v>
      </c>
      <c r="Y1338" s="14">
        <f>ROUND(MIN(100, (X1338/69.91)*100), 2)</f>
        <v/>
      </c>
    </row>
    <row r="1339">
      <c r="A1339" s="10" t="n">
        <v>5</v>
      </c>
      <c r="B1339" s="10" t="n">
        <v>335</v>
      </c>
      <c r="C1339" s="10" t="n">
        <v>4335</v>
      </c>
      <c r="D1339" s="10" t="inlineStr">
        <is>
          <t>0702207030</t>
        </is>
      </c>
      <c r="E1339" s="26" t="inlineStr">
        <is>
          <t>Region VII (Central Visayas)</t>
        </is>
      </c>
      <c r="F1339" s="26" t="inlineStr">
        <is>
          <t>Cebu</t>
        </is>
      </c>
      <c r="G1339" s="26" t="inlineStr">
        <is>
          <t>Badian</t>
        </is>
      </c>
      <c r="H1339" s="26" t="inlineStr">
        <is>
          <t>Zaragosa</t>
        </is>
      </c>
      <c r="I1339" s="27" t="n">
        <v>9.881999</v>
      </c>
      <c r="J1339" s="27" t="n">
        <v>123.382461</v>
      </c>
      <c r="K1339" s="10" t="inlineStr">
        <is>
          <t>R</t>
        </is>
      </c>
      <c r="L1339" s="12" t="n">
        <v>2105</v>
      </c>
      <c r="M1339" s="14" t="n">
        <v>3.8</v>
      </c>
      <c r="N1339" s="12">
        <f>ROUND(L1339/M1339, 0)</f>
        <v/>
      </c>
      <c r="O1339" s="12">
        <f>ROUND(N1339*'Methodology &amp; Assumptions'!$B$5, 0)</f>
        <v/>
      </c>
      <c r="P1339" s="10" t="inlineStr">
        <is>
          <t>Single Carrier (Band n50, 100MHz TDD)</t>
        </is>
      </c>
      <c r="Q1339" s="13">
        <f>ROUNDUP(O1339/'Methodology &amp; Assumptions'!$B$6, 0)</f>
        <v/>
      </c>
      <c r="R1339" s="13" t="n">
        <v>1</v>
      </c>
      <c r="S1339" s="14" t="n">
        <v>6.44</v>
      </c>
      <c r="T1339" s="14" t="n">
        <v>1.94</v>
      </c>
      <c r="U1339" s="26">
        <f>IF(X1339&gt;='Methodology &amp; Assumptions'!$B$7, "Tier 1 Critical GIDA (Score ≥ 50.0)", IF(X1339&gt;='Methodology &amp; Assumptions'!$B$8, "Tier 2 High GIDA (Score 40.0–49.9)", "Tier 3 Moderate GIDA (Score &lt; 40.0)"))</f>
        <v/>
      </c>
      <c r="V1339" s="26">
        <f>IF(S1339&lt;='Methodology &amp; Assumptions'!$B$10, "Direct Optical Drop (&lt;3km)", IF(S1339&lt;='Methodology &amp; Assumptions'!$B$9, "Near Optical / Microwave (&lt;5km)", "Starlink Business LEO Satellite Backhaul (&gt;5km)"))</f>
        <v/>
      </c>
      <c r="W1339" s="28" t="n">
        <v>0.237</v>
      </c>
      <c r="X1339" s="14" t="n">
        <v>43.33</v>
      </c>
      <c r="Y1339" s="14">
        <f>ROUND(MIN(100, (X1339/69.91)*100), 2)</f>
        <v/>
      </c>
    </row>
    <row r="1340">
      <c r="A1340" s="10" t="n">
        <v>5</v>
      </c>
      <c r="B1340" s="10" t="n">
        <v>336</v>
      </c>
      <c r="C1340" s="10" t="n">
        <v>4336</v>
      </c>
      <c r="D1340" s="10" t="inlineStr">
        <is>
          <t>1381200014</t>
        </is>
      </c>
      <c r="E1340" s="26" t="inlineStr">
        <is>
          <t>National Capital Region (NCR)</t>
        </is>
      </c>
      <c r="F1340" s="26" t="inlineStr">
        <is>
          <t>Second District (Not a Province)</t>
        </is>
      </c>
      <c r="G1340" s="26" t="inlineStr">
        <is>
          <t>City of Pasig</t>
        </is>
      </c>
      <c r="H1340" s="26" t="inlineStr">
        <is>
          <t>Palatiw</t>
        </is>
      </c>
      <c r="I1340" s="27" t="n">
        <v>14.564555</v>
      </c>
      <c r="J1340" s="27" t="n">
        <v>121.083018</v>
      </c>
      <c r="K1340" s="10" t="inlineStr">
        <is>
          <t>U</t>
        </is>
      </c>
      <c r="L1340" s="12" t="n">
        <v>29207</v>
      </c>
      <c r="M1340" s="14" t="n">
        <v>3.4</v>
      </c>
      <c r="N1340" s="12">
        <f>ROUND(L1340/M1340, 0)</f>
        <v/>
      </c>
      <c r="O1340" s="12">
        <f>ROUND(N1340*'Methodology &amp; Assumptions'!$B$5, 0)</f>
        <v/>
      </c>
      <c r="P1340" s="10" t="inlineStr">
        <is>
          <t>Single Carrier (Band n50, 100MHz TDD)</t>
        </is>
      </c>
      <c r="Q1340" s="13">
        <f>ROUNDUP(O1340/'Methodology &amp; Assumptions'!$B$6, 0)</f>
        <v/>
      </c>
      <c r="R1340" s="13" t="n">
        <v>1</v>
      </c>
      <c r="S1340" s="14" t="n">
        <v>0.24</v>
      </c>
      <c r="T1340" s="14" t="n">
        <v>0.21</v>
      </c>
      <c r="U1340" s="26">
        <f>IF(X1340&gt;='Methodology &amp; Assumptions'!$B$7, "Tier 1 Critical GIDA (Score ≥ 50.0)", IF(X1340&gt;='Methodology &amp; Assumptions'!$B$8, "Tier 2 High GIDA (Score 40.0–49.9)", "Tier 3 Moderate GIDA (Score &lt; 40.0)"))</f>
        <v/>
      </c>
      <c r="V1340" s="26">
        <f>IF(S1340&lt;='Methodology &amp; Assumptions'!$B$10, "Direct Optical Drop (&lt;3km)", IF(S1340&lt;='Methodology &amp; Assumptions'!$B$9, "Near Optical / Microwave (&lt;5km)", "Starlink Business LEO Satellite Backhaul (&gt;5km)"))</f>
        <v/>
      </c>
      <c r="W1340" s="28" t="n">
        <v>0.109</v>
      </c>
      <c r="X1340" s="14" t="n">
        <v>43.33</v>
      </c>
      <c r="Y1340" s="14">
        <f>ROUND(MIN(100, (X1340/69.91)*100), 2)</f>
        <v/>
      </c>
    </row>
    <row r="1341">
      <c r="A1341" s="10" t="n">
        <v>5</v>
      </c>
      <c r="B1341" s="10" t="n">
        <v>337</v>
      </c>
      <c r="C1341" s="10" t="n">
        <v>4337</v>
      </c>
      <c r="D1341" s="10" t="inlineStr">
        <is>
          <t>1003515010</t>
        </is>
      </c>
      <c r="E1341" s="26" t="inlineStr">
        <is>
          <t>Region X (Northern Mindanao)</t>
        </is>
      </c>
      <c r="F1341" s="26" t="inlineStr">
        <is>
          <t>Lanao del Norte</t>
        </is>
      </c>
      <c r="G1341" s="26" t="inlineStr">
        <is>
          <t>Nunungan</t>
        </is>
      </c>
      <c r="H1341" s="26" t="inlineStr">
        <is>
          <t>Katubuan</t>
        </is>
      </c>
      <c r="I1341" s="27" t="n">
        <v>7.782615</v>
      </c>
      <c r="J1341" s="27" t="n">
        <v>123.888029</v>
      </c>
      <c r="K1341" s="10" t="inlineStr">
        <is>
          <t>R</t>
        </is>
      </c>
      <c r="L1341" s="12" t="n">
        <v>881</v>
      </c>
      <c r="M1341" s="14" t="n">
        <v>4.2</v>
      </c>
      <c r="N1341" s="12">
        <f>ROUND(L1341/M1341, 0)</f>
        <v/>
      </c>
      <c r="O1341" s="12">
        <f>ROUND(N1341*'Methodology &amp; Assumptions'!$B$5, 0)</f>
        <v/>
      </c>
      <c r="P1341" s="10" t="inlineStr">
        <is>
          <t>Single Carrier (Band n50, 100MHz TDD)</t>
        </is>
      </c>
      <c r="Q1341" s="13">
        <f>ROUNDUP(O1341/'Methodology &amp; Assumptions'!$B$6, 0)</f>
        <v/>
      </c>
      <c r="R1341" s="13" t="n">
        <v>1</v>
      </c>
      <c r="S1341" s="14" t="n">
        <v>30.56</v>
      </c>
      <c r="T1341" s="14" t="n">
        <v>18.18</v>
      </c>
      <c r="U1341" s="26">
        <f>IF(X1341&gt;='Methodology &amp; Assumptions'!$B$7, "Tier 1 Critical GIDA (Score ≥ 50.0)", IF(X1341&gt;='Methodology &amp; Assumptions'!$B$8, "Tier 2 High GIDA (Score 40.0–49.9)", "Tier 3 Moderate GIDA (Score &lt; 40.0)"))</f>
        <v/>
      </c>
      <c r="V1341" s="26">
        <f>IF(S1341&lt;='Methodology &amp; Assumptions'!$B$10, "Direct Optical Drop (&lt;3km)", IF(S1341&lt;='Methodology &amp; Assumptions'!$B$9, "Near Optical / Microwave (&lt;5km)", "Starlink Business LEO Satellite Backhaul (&gt;5km)"))</f>
        <v/>
      </c>
      <c r="W1341" s="28" t="n">
        <v>0.174</v>
      </c>
      <c r="X1341" s="14" t="n">
        <v>43.32</v>
      </c>
      <c r="Y1341" s="14">
        <f>ROUND(MIN(100, (X1341/69.91)*100), 2)</f>
        <v/>
      </c>
    </row>
    <row r="1342">
      <c r="A1342" s="10" t="n">
        <v>5</v>
      </c>
      <c r="B1342" s="10" t="n">
        <v>338</v>
      </c>
      <c r="C1342" s="10" t="n">
        <v>4338</v>
      </c>
      <c r="D1342" s="10" t="inlineStr">
        <is>
          <t>1907011005</t>
        </is>
      </c>
      <c r="E1342" s="26" t="inlineStr">
        <is>
          <t>Bangsamoro Autonomous Region In Muslim Mindanao (BARMM)</t>
        </is>
      </c>
      <c r="F1342" s="26" t="inlineStr">
        <is>
          <t>Tawi-Tawi</t>
        </is>
      </c>
      <c r="G1342" s="26" t="inlineStr">
        <is>
          <t>Sibutu</t>
        </is>
      </c>
      <c r="H1342" s="26" t="inlineStr">
        <is>
          <t>Hadji Taha</t>
        </is>
      </c>
      <c r="I1342" s="27" t="n">
        <v>13.490936</v>
      </c>
      <c r="J1342" s="27" t="n">
        <v>121.421029</v>
      </c>
      <c r="K1342" s="10" t="inlineStr">
        <is>
          <t>R</t>
        </is>
      </c>
      <c r="L1342" s="12" t="n">
        <v>2008</v>
      </c>
      <c r="M1342" s="14" t="n">
        <v>5.8</v>
      </c>
      <c r="N1342" s="12">
        <f>ROUND(L1342/M1342, 0)</f>
        <v/>
      </c>
      <c r="O1342" s="12">
        <f>ROUND(N1342*'Methodology &amp; Assumptions'!$B$5, 0)</f>
        <v/>
      </c>
      <c r="P1342" s="10" t="inlineStr">
        <is>
          <t>Single Carrier (Band n50, 100MHz TDD)</t>
        </is>
      </c>
      <c r="Q1342" s="13">
        <f>ROUNDUP(O1342/'Methodology &amp; Assumptions'!$B$6, 0)</f>
        <v/>
      </c>
      <c r="R1342" s="13" t="n">
        <v>1</v>
      </c>
      <c r="S1342" s="14" t="n">
        <v>22.81</v>
      </c>
      <c r="T1342" s="14" t="n">
        <v>29.69</v>
      </c>
      <c r="U1342" s="26">
        <f>IF(X1342&gt;='Methodology &amp; Assumptions'!$B$7, "Tier 1 Critical GIDA (Score ≥ 50.0)", IF(X1342&gt;='Methodology &amp; Assumptions'!$B$8, "Tier 2 High GIDA (Score 40.0–49.9)", "Tier 3 Moderate GIDA (Score &lt; 40.0)"))</f>
        <v/>
      </c>
      <c r="V1342" s="26">
        <f>IF(S1342&lt;='Methodology &amp; Assumptions'!$B$10, "Direct Optical Drop (&lt;3km)", IF(S1342&lt;='Methodology &amp; Assumptions'!$B$9, "Near Optical / Microwave (&lt;5km)", "Starlink Business LEO Satellite Backhaul (&gt;5km)"))</f>
        <v/>
      </c>
      <c r="W1342" s="28" t="n">
        <v>0.11</v>
      </c>
      <c r="X1342" s="14" t="n">
        <v>43.31</v>
      </c>
      <c r="Y1342" s="14">
        <f>ROUND(MIN(100, (X1342/69.91)*100), 2)</f>
        <v/>
      </c>
    </row>
    <row r="1343">
      <c r="A1343" s="10" t="n">
        <v>5</v>
      </c>
      <c r="B1343" s="10" t="n">
        <v>339</v>
      </c>
      <c r="C1343" s="10" t="n">
        <v>4339</v>
      </c>
      <c r="D1343" s="10" t="inlineStr">
        <is>
          <t>0401019019</t>
        </is>
      </c>
      <c r="E1343" s="26" t="inlineStr">
        <is>
          <t>Region IV-A (CALABARZON)</t>
        </is>
      </c>
      <c r="F1343" s="26" t="inlineStr">
        <is>
          <t>Batangas</t>
        </is>
      </c>
      <c r="G1343" s="26" t="inlineStr">
        <is>
          <t>Nasugbu</t>
        </is>
      </c>
      <c r="H1343" s="26" t="inlineStr">
        <is>
          <t>Butucan</t>
        </is>
      </c>
      <c r="I1343" s="27" t="n">
        <v>14.113058</v>
      </c>
      <c r="J1343" s="27" t="n">
        <v>120.674273</v>
      </c>
      <c r="K1343" s="10" t="inlineStr">
        <is>
          <t>R</t>
        </is>
      </c>
      <c r="L1343" s="12" t="n">
        <v>2609</v>
      </c>
      <c r="M1343" s="14" t="n">
        <v>3.6</v>
      </c>
      <c r="N1343" s="12">
        <f>ROUND(L1343/M1343, 0)</f>
        <v/>
      </c>
      <c r="O1343" s="12">
        <f>ROUND(N1343*'Methodology &amp; Assumptions'!$B$5, 0)</f>
        <v/>
      </c>
      <c r="P1343" s="10" t="inlineStr">
        <is>
          <t>Single Carrier (Band n50, 100MHz TDD)</t>
        </is>
      </c>
      <c r="Q1343" s="13">
        <f>ROUNDUP(O1343/'Methodology &amp; Assumptions'!$B$6, 0)</f>
        <v/>
      </c>
      <c r="R1343" s="13" t="n">
        <v>1</v>
      </c>
      <c r="S1343" s="14" t="n">
        <v>6.4</v>
      </c>
      <c r="T1343" s="14" t="n">
        <v>0.13</v>
      </c>
      <c r="U1343" s="26">
        <f>IF(X1343&gt;='Methodology &amp; Assumptions'!$B$7, "Tier 1 Critical GIDA (Score ≥ 50.0)", IF(X1343&gt;='Methodology &amp; Assumptions'!$B$8, "Tier 2 High GIDA (Score 40.0–49.9)", "Tier 3 Moderate GIDA (Score &lt; 40.0)"))</f>
        <v/>
      </c>
      <c r="V1343" s="26">
        <f>IF(S1343&lt;='Methodology &amp; Assumptions'!$B$10, "Direct Optical Drop (&lt;3km)", IF(S1343&lt;='Methodology &amp; Assumptions'!$B$9, "Near Optical / Microwave (&lt;5km)", "Starlink Business LEO Satellite Backhaul (&gt;5km)"))</f>
        <v/>
      </c>
      <c r="W1343" s="28" t="n">
        <v>0.07200000000000001</v>
      </c>
      <c r="X1343" s="14" t="n">
        <v>43.31</v>
      </c>
      <c r="Y1343" s="14">
        <f>ROUND(MIN(100, (X1343/69.91)*100), 2)</f>
        <v/>
      </c>
    </row>
    <row r="1344">
      <c r="A1344" s="10" t="n">
        <v>5</v>
      </c>
      <c r="B1344" s="10" t="n">
        <v>340</v>
      </c>
      <c r="C1344" s="10" t="n">
        <v>4340</v>
      </c>
      <c r="D1344" s="10" t="inlineStr">
        <is>
          <t>PH0004340</t>
        </is>
      </c>
      <c r="E1344" s="26" t="inlineStr">
        <is>
          <t>IV-A</t>
        </is>
      </c>
      <c r="F1344" s="26" t="inlineStr">
        <is>
          <t>Quezon</t>
        </is>
      </c>
      <c r="G1344" s="26" t="inlineStr">
        <is>
          <t>Lucena City</t>
        </is>
      </c>
      <c r="H1344" s="26" t="inlineStr">
        <is>
          <t>Barangay 2 (Pob.)</t>
        </is>
      </c>
      <c r="I1344" s="27" t="n">
        <v>13.938389</v>
      </c>
      <c r="J1344" s="27" t="n">
        <v>121.615958</v>
      </c>
      <c r="K1344" s="10" t="inlineStr">
        <is>
          <t>R</t>
        </is>
      </c>
      <c r="L1344" s="12" t="n">
        <v>1964</v>
      </c>
      <c r="M1344" s="14" t="n">
        <v>3.8</v>
      </c>
      <c r="N1344" s="12">
        <f>ROUND(L1344/M1344, 0)</f>
        <v/>
      </c>
      <c r="O1344" s="12">
        <f>ROUND(N1344*'Methodology &amp; Assumptions'!$B$5, 0)</f>
        <v/>
      </c>
      <c r="P1344" s="10" t="inlineStr">
        <is>
          <t>Single Carrier (Band n50, 100MHz TDD)</t>
        </is>
      </c>
      <c r="Q1344" s="13">
        <f>ROUNDUP(O1344/'Methodology &amp; Assumptions'!$B$6, 0)</f>
        <v/>
      </c>
      <c r="R1344" s="13" t="n">
        <v>1</v>
      </c>
      <c r="S1344" s="14" t="n">
        <v>0.75</v>
      </c>
      <c r="T1344" s="14" t="n">
        <v>0.27</v>
      </c>
      <c r="U1344" s="26">
        <f>IF(X1344&gt;='Methodology &amp; Assumptions'!$B$7, "Tier 1 Critical GIDA (Score ≥ 50.0)", IF(X1344&gt;='Methodology &amp; Assumptions'!$B$8, "Tier 2 High GIDA (Score 40.0–49.9)", "Tier 3 Moderate GIDA (Score &lt; 40.0)"))</f>
        <v/>
      </c>
      <c r="V1344" s="26">
        <f>IF(S1344&lt;='Methodology &amp; Assumptions'!$B$10, "Direct Optical Drop (&lt;3km)", IF(S1344&lt;='Methodology &amp; Assumptions'!$B$9, "Near Optical / Microwave (&lt;5km)", "Starlink Business LEO Satellite Backhaul (&gt;5km)"))</f>
        <v/>
      </c>
      <c r="W1344" s="28" t="n">
        <v>0.07200000000000001</v>
      </c>
      <c r="X1344" s="14" t="n">
        <v>43.31</v>
      </c>
      <c r="Y1344" s="14">
        <f>ROUND(MIN(100, (X1344/69.91)*100), 2)</f>
        <v/>
      </c>
    </row>
    <row r="1345">
      <c r="A1345" s="10" t="n">
        <v>5</v>
      </c>
      <c r="B1345" s="10" t="n">
        <v>341</v>
      </c>
      <c r="C1345" s="10" t="n">
        <v>4341</v>
      </c>
      <c r="D1345" s="10" t="inlineStr">
        <is>
          <t>1404404004</t>
        </is>
      </c>
      <c r="E1345" s="26" t="inlineStr">
        <is>
          <t>Cordillera Administrative Region (CAR)</t>
        </is>
      </c>
      <c r="F1345" s="26" t="inlineStr">
        <is>
          <t>Mountain Province</t>
        </is>
      </c>
      <c r="G1345" s="26" t="inlineStr">
        <is>
          <t>Bontoc</t>
        </is>
      </c>
      <c r="H1345" s="26" t="inlineStr">
        <is>
          <t>Bayyo</t>
        </is>
      </c>
      <c r="I1345" s="27" t="n">
        <v>17.006889</v>
      </c>
      <c r="J1345" s="27" t="n">
        <v>121.016527</v>
      </c>
      <c r="K1345" s="10" t="inlineStr">
        <is>
          <t>R</t>
        </is>
      </c>
      <c r="L1345" s="12" t="n">
        <v>323</v>
      </c>
      <c r="M1345" s="14" t="n">
        <v>3.7</v>
      </c>
      <c r="N1345" s="12">
        <f>ROUND(L1345/M1345, 0)</f>
        <v/>
      </c>
      <c r="O1345" s="12">
        <f>ROUND(N1345*'Methodology &amp; Assumptions'!$B$5, 0)</f>
        <v/>
      </c>
      <c r="P1345" s="10" t="inlineStr">
        <is>
          <t>Single Carrier (Band n50, 100MHz TDD)</t>
        </is>
      </c>
      <c r="Q1345" s="13">
        <f>ROUNDUP(O1345/'Methodology &amp; Assumptions'!$B$6, 0)</f>
        <v/>
      </c>
      <c r="R1345" s="13" t="n">
        <v>1</v>
      </c>
      <c r="S1345" s="14" t="n">
        <v>9.69</v>
      </c>
      <c r="T1345" s="14" t="n">
        <v>0.4</v>
      </c>
      <c r="U1345" s="26">
        <f>IF(X1345&gt;='Methodology &amp; Assumptions'!$B$7, "Tier 1 Critical GIDA (Score ≥ 50.0)", IF(X1345&gt;='Methodology &amp; Assumptions'!$B$8, "Tier 2 High GIDA (Score 40.0–49.9)", "Tier 3 Moderate GIDA (Score &lt; 40.0)"))</f>
        <v/>
      </c>
      <c r="V1345" s="26">
        <f>IF(S1345&lt;='Methodology &amp; Assumptions'!$B$10, "Direct Optical Drop (&lt;3km)", IF(S1345&lt;='Methodology &amp; Assumptions'!$B$9, "Near Optical / Microwave (&lt;5km)", "Starlink Business LEO Satellite Backhaul (&gt;5km)"))</f>
        <v/>
      </c>
      <c r="W1345" s="28" t="n">
        <v>0.109</v>
      </c>
      <c r="X1345" s="14" t="n">
        <v>43.31</v>
      </c>
      <c r="Y1345" s="14">
        <f>ROUND(MIN(100, (X1345/69.91)*100), 2)</f>
        <v/>
      </c>
    </row>
    <row r="1346">
      <c r="A1346" s="10" t="n">
        <v>5</v>
      </c>
      <c r="B1346" s="10" t="n">
        <v>342</v>
      </c>
      <c r="C1346" s="10" t="n">
        <v>4342</v>
      </c>
      <c r="D1346" s="10" t="inlineStr">
        <is>
          <t>0604503001</t>
        </is>
      </c>
      <c r="E1346" s="26" t="inlineStr">
        <is>
          <t>Region VI (Western Visayas)</t>
        </is>
      </c>
      <c r="F1346" s="26" t="inlineStr">
        <is>
          <t>Negros Occidental</t>
        </is>
      </c>
      <c r="G1346" s="26" t="inlineStr">
        <is>
          <t>Binalbagan</t>
        </is>
      </c>
      <c r="H1346" s="26" t="inlineStr">
        <is>
          <t>Amontay</t>
        </is>
      </c>
      <c r="I1346" s="27" t="n">
        <v>10.128569</v>
      </c>
      <c r="J1346" s="27" t="n">
        <v>123.07959</v>
      </c>
      <c r="K1346" s="10" t="inlineStr">
        <is>
          <t>R</t>
        </is>
      </c>
      <c r="L1346" s="12" t="n">
        <v>3162</v>
      </c>
      <c r="M1346" s="14" t="n">
        <v>3.7</v>
      </c>
      <c r="N1346" s="12">
        <f>ROUND(L1346/M1346, 0)</f>
        <v/>
      </c>
      <c r="O1346" s="12">
        <f>ROUND(N1346*'Methodology &amp; Assumptions'!$B$5, 0)</f>
        <v/>
      </c>
      <c r="P1346" s="10" t="inlineStr">
        <is>
          <t>Single Carrier (Band n50, 100MHz TDD)</t>
        </is>
      </c>
      <c r="Q1346" s="13">
        <f>ROUNDUP(O1346/'Methodology &amp; Assumptions'!$B$6, 0)</f>
        <v/>
      </c>
      <c r="R1346" s="13" t="n">
        <v>1</v>
      </c>
      <c r="S1346" s="14" t="n">
        <v>20.89</v>
      </c>
      <c r="T1346" s="14" t="n">
        <v>15.51</v>
      </c>
      <c r="U1346" s="26">
        <f>IF(X1346&gt;='Methodology &amp; Assumptions'!$B$7, "Tier 1 Critical GIDA (Score ≥ 50.0)", IF(X1346&gt;='Methodology &amp; Assumptions'!$B$8, "Tier 2 High GIDA (Score 40.0–49.9)", "Tier 3 Moderate GIDA (Score &lt; 40.0)"))</f>
        <v/>
      </c>
      <c r="V1346" s="26">
        <f>IF(S1346&lt;='Methodology &amp; Assumptions'!$B$10, "Direct Optical Drop (&lt;3km)", IF(S1346&lt;='Methodology &amp; Assumptions'!$B$9, "Near Optical / Microwave (&lt;5km)", "Starlink Business LEO Satellite Backhaul (&gt;5km)"))</f>
        <v/>
      </c>
      <c r="W1346" s="28" t="n">
        <v>0.237</v>
      </c>
      <c r="X1346" s="14" t="n">
        <v>43.3</v>
      </c>
      <c r="Y1346" s="14">
        <f>ROUND(MIN(100, (X1346/69.91)*100), 2)</f>
        <v/>
      </c>
    </row>
    <row r="1347">
      <c r="A1347" s="10" t="n">
        <v>5</v>
      </c>
      <c r="B1347" s="10" t="n">
        <v>343</v>
      </c>
      <c r="C1347" s="10" t="n">
        <v>4343</v>
      </c>
      <c r="D1347" s="10" t="inlineStr">
        <is>
          <t>1206502028</t>
        </is>
      </c>
      <c r="E1347" s="26" t="inlineStr">
        <is>
          <t>Region XII (SOCCSKSARGEN)</t>
        </is>
      </c>
      <c r="F1347" s="26" t="inlineStr">
        <is>
          <t>Sultan Kudarat</t>
        </is>
      </c>
      <c r="G1347" s="26" t="inlineStr">
        <is>
          <t>Columbio</t>
        </is>
      </c>
      <c r="H1347" s="26" t="inlineStr">
        <is>
          <t>Sucob</t>
        </is>
      </c>
      <c r="I1347" s="27" t="n">
        <v>6.671878</v>
      </c>
      <c r="J1347" s="27" t="n">
        <v>125.027884</v>
      </c>
      <c r="K1347" s="10" t="inlineStr">
        <is>
          <t>R</t>
        </is>
      </c>
      <c r="L1347" s="12" t="n">
        <v>1323</v>
      </c>
      <c r="M1347" s="14" t="n">
        <v>3.8</v>
      </c>
      <c r="N1347" s="12">
        <f>ROUND(L1347/M1347, 0)</f>
        <v/>
      </c>
      <c r="O1347" s="12">
        <f>ROUND(N1347*'Methodology &amp; Assumptions'!$B$5, 0)</f>
        <v/>
      </c>
      <c r="P1347" s="10" t="inlineStr">
        <is>
          <t>Single Carrier (Band n50, 100MHz TDD)</t>
        </is>
      </c>
      <c r="Q1347" s="13">
        <f>ROUNDUP(O1347/'Methodology &amp; Assumptions'!$B$6, 0)</f>
        <v/>
      </c>
      <c r="R1347" s="13" t="n">
        <v>1</v>
      </c>
      <c r="S1347" s="14" t="n">
        <v>16.42</v>
      </c>
      <c r="T1347" s="14" t="n">
        <v>19.31</v>
      </c>
      <c r="U1347" s="26">
        <f>IF(X1347&gt;='Methodology &amp; Assumptions'!$B$7, "Tier 1 Critical GIDA (Score ≥ 50.0)", IF(X1347&gt;='Methodology &amp; Assumptions'!$B$8, "Tier 2 High GIDA (Score 40.0–49.9)", "Tier 3 Moderate GIDA (Score &lt; 40.0)"))</f>
        <v/>
      </c>
      <c r="V1347" s="26">
        <f>IF(S1347&lt;='Methodology &amp; Assumptions'!$B$10, "Direct Optical Drop (&lt;3km)", IF(S1347&lt;='Methodology &amp; Assumptions'!$B$9, "Near Optical / Microwave (&lt;5km)", "Starlink Business LEO Satellite Backhaul (&gt;5km)"))</f>
        <v/>
      </c>
      <c r="W1347" s="28" t="n">
        <v>0.174</v>
      </c>
      <c r="X1347" s="14" t="n">
        <v>43.3</v>
      </c>
      <c r="Y1347" s="14">
        <f>ROUND(MIN(100, (X1347/69.91)*100), 2)</f>
        <v/>
      </c>
    </row>
    <row r="1348">
      <c r="A1348" s="10" t="n">
        <v>5</v>
      </c>
      <c r="B1348" s="10" t="n">
        <v>344</v>
      </c>
      <c r="C1348" s="10" t="n">
        <v>4344</v>
      </c>
      <c r="D1348" s="10" t="inlineStr">
        <is>
          <t>PH0004344</t>
        </is>
      </c>
      <c r="E1348" s="26" t="inlineStr">
        <is>
          <t>I</t>
        </is>
      </c>
      <c r="F1348" s="26" t="inlineStr">
        <is>
          <t>Ilocos Norte</t>
        </is>
      </c>
      <c r="G1348" s="26" t="inlineStr">
        <is>
          <t>Laoag City</t>
        </is>
      </c>
      <c r="H1348" s="26" t="inlineStr">
        <is>
          <t>Bgy. No. 3, Nstra. Sra. Del Rosario (Pob.)</t>
        </is>
      </c>
      <c r="I1348" s="27" t="n">
        <v>18.221029</v>
      </c>
      <c r="J1348" s="27" t="n">
        <v>120.593606</v>
      </c>
      <c r="K1348" s="10" t="inlineStr">
        <is>
          <t>R</t>
        </is>
      </c>
      <c r="L1348" s="12" t="n">
        <v>2233</v>
      </c>
      <c r="M1348" s="14" t="n">
        <v>3.7</v>
      </c>
      <c r="N1348" s="12">
        <f>ROUND(L1348/M1348, 0)</f>
        <v/>
      </c>
      <c r="O1348" s="12">
        <f>ROUND(N1348*'Methodology &amp; Assumptions'!$B$5, 0)</f>
        <v/>
      </c>
      <c r="P1348" s="10" t="inlineStr">
        <is>
          <t>Single Carrier (Band n50, 100MHz TDD)</t>
        </is>
      </c>
      <c r="Q1348" s="13">
        <f>ROUNDUP(O1348/'Methodology &amp; Assumptions'!$B$6, 0)</f>
        <v/>
      </c>
      <c r="R1348" s="13" t="n">
        <v>1</v>
      </c>
      <c r="S1348" s="14" t="n">
        <v>1.84</v>
      </c>
      <c r="T1348" s="14" t="n">
        <v>1.25</v>
      </c>
      <c r="U1348" s="26">
        <f>IF(X1348&gt;='Methodology &amp; Assumptions'!$B$7, "Tier 1 Critical GIDA (Score ≥ 50.0)", IF(X1348&gt;='Methodology &amp; Assumptions'!$B$8, "Tier 2 High GIDA (Score 40.0–49.9)", "Tier 3 Moderate GIDA (Score &lt; 40.0)"))</f>
        <v/>
      </c>
      <c r="V1348" s="26">
        <f>IF(S1348&lt;='Methodology &amp; Assumptions'!$B$10, "Direct Optical Drop (&lt;3km)", IF(S1348&lt;='Methodology &amp; Assumptions'!$B$9, "Near Optical / Microwave (&lt;5km)", "Starlink Business LEO Satellite Backhaul (&gt;5km)"))</f>
        <v/>
      </c>
      <c r="W1348" s="28" t="n">
        <v>0.083</v>
      </c>
      <c r="X1348" s="14" t="n">
        <v>43.29</v>
      </c>
      <c r="Y1348" s="14">
        <f>ROUND(MIN(100, (X1348/69.91)*100), 2)</f>
        <v/>
      </c>
    </row>
    <row r="1349">
      <c r="A1349" s="10" t="n">
        <v>5</v>
      </c>
      <c r="B1349" s="10" t="n">
        <v>345</v>
      </c>
      <c r="C1349" s="10" t="n">
        <v>4345</v>
      </c>
      <c r="D1349" s="10" t="inlineStr">
        <is>
          <t>PH0004345</t>
        </is>
      </c>
      <c r="E1349" s="26" t="inlineStr">
        <is>
          <t>VIII</t>
        </is>
      </c>
      <c r="F1349" s="26" t="inlineStr">
        <is>
          <t>Leyte</t>
        </is>
      </c>
      <c r="G1349" s="26" t="inlineStr">
        <is>
          <t>Tacloban City</t>
        </is>
      </c>
      <c r="H1349" s="26" t="inlineStr">
        <is>
          <t>Barangay 36-A</t>
        </is>
      </c>
      <c r="I1349" s="27" t="n">
        <v>11.308152</v>
      </c>
      <c r="J1349" s="27" t="n">
        <v>125.044141</v>
      </c>
      <c r="K1349" s="10" t="inlineStr">
        <is>
          <t>R</t>
        </is>
      </c>
      <c r="L1349" s="12" t="n">
        <v>2258</v>
      </c>
      <c r="M1349" s="14" t="n">
        <v>3.8</v>
      </c>
      <c r="N1349" s="12">
        <f>ROUND(L1349/M1349, 0)</f>
        <v/>
      </c>
      <c r="O1349" s="12">
        <f>ROUND(N1349*'Methodology &amp; Assumptions'!$B$5, 0)</f>
        <v/>
      </c>
      <c r="P1349" s="10" t="inlineStr">
        <is>
          <t>Single Carrier (Band n50, 100MHz TDD)</t>
        </is>
      </c>
      <c r="Q1349" s="13">
        <f>ROUNDUP(O1349/'Methodology &amp; Assumptions'!$B$6, 0)</f>
        <v/>
      </c>
      <c r="R1349" s="13" t="n">
        <v>1</v>
      </c>
      <c r="S1349" s="14" t="n">
        <v>8.880000000000001</v>
      </c>
      <c r="T1349" s="14" t="n">
        <v>11.3</v>
      </c>
      <c r="U1349" s="26">
        <f>IF(X1349&gt;='Methodology &amp; Assumptions'!$B$7, "Tier 1 Critical GIDA (Score ≥ 50.0)", IF(X1349&gt;='Methodology &amp; Assumptions'!$B$8, "Tier 2 High GIDA (Score 40.0–49.9)", "Tier 3 Moderate GIDA (Score &lt; 40.0)"))</f>
        <v/>
      </c>
      <c r="V1349" s="26">
        <f>IF(S1349&lt;='Methodology &amp; Assumptions'!$B$10, "Direct Optical Drop (&lt;3km)", IF(S1349&lt;='Methodology &amp; Assumptions'!$B$9, "Near Optical / Microwave (&lt;5km)", "Starlink Business LEO Satellite Backhaul (&gt;5km)"))</f>
        <v/>
      </c>
      <c r="W1349" s="28" t="n">
        <v>0.222</v>
      </c>
      <c r="X1349" s="14" t="n">
        <v>43.29</v>
      </c>
      <c r="Y1349" s="14">
        <f>ROUND(MIN(100, (X1349/69.91)*100), 2)</f>
        <v/>
      </c>
    </row>
    <row r="1350">
      <c r="A1350" s="10" t="n">
        <v>5</v>
      </c>
      <c r="B1350" s="10" t="n">
        <v>346</v>
      </c>
      <c r="C1350" s="10" t="n">
        <v>4346</v>
      </c>
      <c r="D1350" s="10" t="inlineStr">
        <is>
          <t>PH0004346</t>
        </is>
      </c>
      <c r="E1350" s="26" t="inlineStr">
        <is>
          <t>NIR</t>
        </is>
      </c>
      <c r="F1350" s="26" t="inlineStr">
        <is>
          <t>Negros Oriental</t>
        </is>
      </c>
      <c r="G1350" s="26" t="inlineStr">
        <is>
          <t>Dumaguete City</t>
        </is>
      </c>
      <c r="H1350" s="26" t="inlineStr">
        <is>
          <t>Poblacion No. 2</t>
        </is>
      </c>
      <c r="I1350" s="27" t="n">
        <v>9.302099999999999</v>
      </c>
      <c r="J1350" s="27" t="n">
        <v>123.293162</v>
      </c>
      <c r="K1350" s="10" t="inlineStr">
        <is>
          <t>R</t>
        </is>
      </c>
      <c r="L1350" s="12" t="n">
        <v>2279</v>
      </c>
      <c r="M1350" s="14" t="n">
        <v>3.8</v>
      </c>
      <c r="N1350" s="12">
        <f>ROUND(L1350/M1350, 0)</f>
        <v/>
      </c>
      <c r="O1350" s="12">
        <f>ROUND(N1350*'Methodology &amp; Assumptions'!$B$5, 0)</f>
        <v/>
      </c>
      <c r="P1350" s="10" t="inlineStr">
        <is>
          <t>Single Carrier (Band n50, 100MHz TDD)</t>
        </is>
      </c>
      <c r="Q1350" s="13">
        <f>ROUNDUP(O1350/'Methodology &amp; Assumptions'!$B$6, 0)</f>
        <v/>
      </c>
      <c r="R1350" s="13" t="n">
        <v>1</v>
      </c>
      <c r="S1350" s="14" t="n">
        <v>1.27</v>
      </c>
      <c r="T1350" s="14" t="n">
        <v>1.05</v>
      </c>
      <c r="U1350" s="26">
        <f>IF(X1350&gt;='Methodology &amp; Assumptions'!$B$7, "Tier 1 Critical GIDA (Score ≥ 50.0)", IF(X1350&gt;='Methodology &amp; Assumptions'!$B$8, "Tier 2 High GIDA (Score 40.0–49.9)", "Tier 3 Moderate GIDA (Score &lt; 40.0)"))</f>
        <v/>
      </c>
      <c r="V1350" s="26">
        <f>IF(S1350&lt;='Methodology &amp; Assumptions'!$B$10, "Direct Optical Drop (&lt;3km)", IF(S1350&lt;='Methodology &amp; Assumptions'!$B$9, "Near Optical / Microwave (&lt;5km)", "Starlink Business LEO Satellite Backhaul (&gt;5km)"))</f>
        <v/>
      </c>
      <c r="W1350" s="28" t="n">
        <v>0.109</v>
      </c>
      <c r="X1350" s="14" t="n">
        <v>43.29</v>
      </c>
      <c r="Y1350" s="14">
        <f>ROUND(MIN(100, (X1350/69.91)*100), 2)</f>
        <v/>
      </c>
    </row>
    <row r="1351">
      <c r="A1351" s="10" t="n">
        <v>5</v>
      </c>
      <c r="B1351" s="10" t="n">
        <v>347</v>
      </c>
      <c r="C1351" s="10" t="n">
        <v>4347</v>
      </c>
      <c r="D1351" s="10" t="inlineStr">
        <is>
          <t>PH0004347</t>
        </is>
      </c>
      <c r="E1351" s="26" t="inlineStr">
        <is>
          <t>CAR</t>
        </is>
      </c>
      <c r="F1351" s="26" t="inlineStr">
        <is>
          <t>Benguet</t>
        </is>
      </c>
      <c r="G1351" s="26" t="inlineStr">
        <is>
          <t>Baguio City</t>
        </is>
      </c>
      <c r="H1351" s="26" t="inlineStr">
        <is>
          <t>Dominican Hill-Mirador</t>
        </is>
      </c>
      <c r="I1351" s="27" t="n">
        <v>16.406577</v>
      </c>
      <c r="J1351" s="27" t="n">
        <v>120.58333</v>
      </c>
      <c r="K1351" s="10" t="inlineStr">
        <is>
          <t>R</t>
        </is>
      </c>
      <c r="L1351" s="12" t="n">
        <v>2260</v>
      </c>
      <c r="M1351" s="14" t="n">
        <v>3.5</v>
      </c>
      <c r="N1351" s="12">
        <f>ROUND(L1351/M1351, 0)</f>
        <v/>
      </c>
      <c r="O1351" s="12">
        <f>ROUND(N1351*'Methodology &amp; Assumptions'!$B$5, 0)</f>
        <v/>
      </c>
      <c r="P1351" s="10" t="inlineStr">
        <is>
          <t>Single Carrier (Band n50, 100MHz TDD)</t>
        </is>
      </c>
      <c r="Q1351" s="13">
        <f>ROUNDUP(O1351/'Methodology &amp; Assumptions'!$B$6, 0)</f>
        <v/>
      </c>
      <c r="R1351" s="13" t="n">
        <v>1</v>
      </c>
      <c r="S1351" s="14" t="n">
        <v>0.95</v>
      </c>
      <c r="T1351" s="14" t="n">
        <v>0.24</v>
      </c>
      <c r="U1351" s="26">
        <f>IF(X1351&gt;='Methodology &amp; Assumptions'!$B$7, "Tier 1 Critical GIDA (Score ≥ 50.0)", IF(X1351&gt;='Methodology &amp; Assumptions'!$B$8, "Tier 2 High GIDA (Score 40.0–49.9)", "Tier 3 Moderate GIDA (Score &lt; 40.0)"))</f>
        <v/>
      </c>
      <c r="V1351" s="26">
        <f>IF(S1351&lt;='Methodology &amp; Assumptions'!$B$10, "Direct Optical Drop (&lt;3km)", IF(S1351&lt;='Methodology &amp; Assumptions'!$B$9, "Near Optical / Microwave (&lt;5km)", "Starlink Business LEO Satellite Backhaul (&gt;5km)"))</f>
        <v/>
      </c>
      <c r="W1351" s="28" t="n">
        <v>0.221</v>
      </c>
      <c r="X1351" s="14" t="n">
        <v>43.27</v>
      </c>
      <c r="Y1351" s="14">
        <f>ROUND(MIN(100, (X1351/69.91)*100), 2)</f>
        <v/>
      </c>
    </row>
    <row r="1352">
      <c r="A1352" s="10" t="n">
        <v>5</v>
      </c>
      <c r="B1352" s="10" t="n">
        <v>348</v>
      </c>
      <c r="C1352" s="10" t="n">
        <v>4348</v>
      </c>
      <c r="D1352" s="10" t="inlineStr">
        <is>
          <t>PH0004348</t>
        </is>
      </c>
      <c r="E1352" s="26" t="inlineStr">
        <is>
          <t>IV-A</t>
        </is>
      </c>
      <c r="F1352" s="26" t="inlineStr">
        <is>
          <t>Cavite</t>
        </is>
      </c>
      <c r="G1352" s="26" t="inlineStr">
        <is>
          <t>City of Bacoor</t>
        </is>
      </c>
      <c r="H1352" s="26" t="inlineStr">
        <is>
          <t>P.F. Espiritu 1</t>
        </is>
      </c>
      <c r="I1352" s="27" t="n">
        <v>14.437411</v>
      </c>
      <c r="J1352" s="27" t="n">
        <v>120.972091</v>
      </c>
      <c r="K1352" s="10" t="inlineStr">
        <is>
          <t>R</t>
        </is>
      </c>
      <c r="L1352" s="12" t="n">
        <v>9584</v>
      </c>
      <c r="M1352" s="14" t="n">
        <v>3.4</v>
      </c>
      <c r="N1352" s="12">
        <f>ROUND(L1352/M1352, 0)</f>
        <v/>
      </c>
      <c r="O1352" s="12">
        <f>ROUND(N1352*'Methodology &amp; Assumptions'!$B$5, 0)</f>
        <v/>
      </c>
      <c r="P1352" s="10" t="inlineStr">
        <is>
          <t>Single Carrier (Band n50, 100MHz TDD)</t>
        </is>
      </c>
      <c r="Q1352" s="13">
        <f>ROUNDUP(O1352/'Methodology &amp; Assumptions'!$B$6, 0)</f>
        <v/>
      </c>
      <c r="R1352" s="13" t="n">
        <v>1</v>
      </c>
      <c r="S1352" s="14" t="n">
        <v>1.57</v>
      </c>
      <c r="T1352" s="14" t="n">
        <v>1.7</v>
      </c>
      <c r="U1352" s="26">
        <f>IF(X1352&gt;='Methodology &amp; Assumptions'!$B$7, "Tier 1 Critical GIDA (Score ≥ 50.0)", IF(X1352&gt;='Methodology &amp; Assumptions'!$B$8, "Tier 2 High GIDA (Score 40.0–49.9)", "Tier 3 Moderate GIDA (Score &lt; 40.0)"))</f>
        <v/>
      </c>
      <c r="V1352" s="26">
        <f>IF(S1352&lt;='Methodology &amp; Assumptions'!$B$10, "Direct Optical Drop (&lt;3km)", IF(S1352&lt;='Methodology &amp; Assumptions'!$B$9, "Near Optical / Microwave (&lt;5km)", "Starlink Business LEO Satellite Backhaul (&gt;5km)"))</f>
        <v/>
      </c>
      <c r="W1352" s="28" t="n">
        <v>0.07200000000000001</v>
      </c>
      <c r="X1352" s="14" t="n">
        <v>43.27</v>
      </c>
      <c r="Y1352" s="14">
        <f>ROUND(MIN(100, (X1352/69.91)*100), 2)</f>
        <v/>
      </c>
    </row>
    <row r="1353">
      <c r="A1353" s="10" t="n">
        <v>5</v>
      </c>
      <c r="B1353" s="10" t="n">
        <v>349</v>
      </c>
      <c r="C1353" s="10" t="n">
        <v>4349</v>
      </c>
      <c r="D1353" s="10" t="inlineStr">
        <is>
          <t>0300809010</t>
        </is>
      </c>
      <c r="E1353" s="26" t="inlineStr">
        <is>
          <t>Region III (Central Luzon)</t>
        </is>
      </c>
      <c r="F1353" s="26" t="inlineStr">
        <is>
          <t>Bataan</t>
        </is>
      </c>
      <c r="G1353" s="26" t="inlineStr">
        <is>
          <t>Orani</t>
        </is>
      </c>
      <c r="H1353" s="26" t="inlineStr">
        <is>
          <t>Mulawin</t>
        </is>
      </c>
      <c r="I1353" s="27" t="n">
        <v>14.797025</v>
      </c>
      <c r="J1353" s="27" t="n">
        <v>120.50012</v>
      </c>
      <c r="K1353" s="10" t="inlineStr">
        <is>
          <t>R</t>
        </is>
      </c>
      <c r="L1353" s="12" t="n">
        <v>4958</v>
      </c>
      <c r="M1353" s="14" t="n">
        <v>3.6</v>
      </c>
      <c r="N1353" s="12">
        <f>ROUND(L1353/M1353, 0)</f>
        <v/>
      </c>
      <c r="O1353" s="12">
        <f>ROUND(N1353*'Methodology &amp; Assumptions'!$B$5, 0)</f>
        <v/>
      </c>
      <c r="P1353" s="10" t="inlineStr">
        <is>
          <t>Single Carrier (Band n50, 100MHz TDD)</t>
        </is>
      </c>
      <c r="Q1353" s="13">
        <f>ROUNDUP(O1353/'Methodology &amp; Assumptions'!$B$6, 0)</f>
        <v/>
      </c>
      <c r="R1353" s="13" t="n">
        <v>1</v>
      </c>
      <c r="S1353" s="14" t="n">
        <v>3.94</v>
      </c>
      <c r="T1353" s="14" t="n">
        <v>0.24</v>
      </c>
      <c r="U1353" s="26">
        <f>IF(X1353&gt;='Methodology &amp; Assumptions'!$B$7, "Tier 1 Critical GIDA (Score ≥ 50.0)", IF(X1353&gt;='Methodology &amp; Assumptions'!$B$8, "Tier 2 High GIDA (Score 40.0–49.9)", "Tier 3 Moderate GIDA (Score &lt; 40.0)"))</f>
        <v/>
      </c>
      <c r="V1353" s="26">
        <f>IF(S1353&lt;='Methodology &amp; Assumptions'!$B$10, "Direct Optical Drop (&lt;3km)", IF(S1353&lt;='Methodology &amp; Assumptions'!$B$9, "Near Optical / Microwave (&lt;5km)", "Starlink Business LEO Satellite Backhaul (&gt;5km)"))</f>
        <v/>
      </c>
      <c r="W1353" s="28" t="n">
        <v>0.083</v>
      </c>
      <c r="X1353" s="14" t="n">
        <v>43.27</v>
      </c>
      <c r="Y1353" s="14">
        <f>ROUND(MIN(100, (X1353/69.91)*100), 2)</f>
        <v/>
      </c>
    </row>
    <row r="1354">
      <c r="A1354" s="10" t="n">
        <v>5</v>
      </c>
      <c r="B1354" s="10" t="n">
        <v>350</v>
      </c>
      <c r="C1354" s="10" t="n">
        <v>4350</v>
      </c>
      <c r="D1354" s="10" t="inlineStr">
        <is>
          <t>0403405019</t>
        </is>
      </c>
      <c r="E1354" s="26" t="inlineStr">
        <is>
          <t>Region IV-A (CALABARZON)</t>
        </is>
      </c>
      <c r="F1354" s="26" t="inlineStr">
        <is>
          <t>Laguna</t>
        </is>
      </c>
      <c r="G1354" s="26" t="inlineStr">
        <is>
          <t>City of Calamba</t>
        </is>
      </c>
      <c r="H1354" s="26" t="inlineStr">
        <is>
          <t>Lawa</t>
        </is>
      </c>
      <c r="I1354" s="27" t="n">
        <v>14.206953</v>
      </c>
      <c r="J1354" s="27" t="n">
        <v>121.145267</v>
      </c>
      <c r="K1354" s="10" t="inlineStr">
        <is>
          <t>U</t>
        </is>
      </c>
      <c r="L1354" s="12" t="n">
        <v>13423</v>
      </c>
      <c r="M1354" s="14" t="n">
        <v>3.3</v>
      </c>
      <c r="N1354" s="12">
        <f>ROUND(L1354/M1354, 0)</f>
        <v/>
      </c>
      <c r="O1354" s="12">
        <f>ROUND(N1354*'Methodology &amp; Assumptions'!$B$5, 0)</f>
        <v/>
      </c>
      <c r="P1354" s="10" t="inlineStr">
        <is>
          <t>Single Carrier (Band n50, 100MHz TDD)</t>
        </is>
      </c>
      <c r="Q1354" s="13">
        <f>ROUNDUP(O1354/'Methodology &amp; Assumptions'!$B$6, 0)</f>
        <v/>
      </c>
      <c r="R1354" s="13" t="n">
        <v>1</v>
      </c>
      <c r="S1354" s="14" t="n">
        <v>1.08</v>
      </c>
      <c r="T1354" s="14" t="n">
        <v>0.37</v>
      </c>
      <c r="U1354" s="26">
        <f>IF(X1354&gt;='Methodology &amp; Assumptions'!$B$7, "Tier 1 Critical GIDA (Score ≥ 50.0)", IF(X1354&gt;='Methodology &amp; Assumptions'!$B$8, "Tier 2 High GIDA (Score 40.0–49.9)", "Tier 3 Moderate GIDA (Score &lt; 40.0)"))</f>
        <v/>
      </c>
      <c r="V1354" s="26">
        <f>IF(S1354&lt;='Methodology &amp; Assumptions'!$B$10, "Direct Optical Drop (&lt;3km)", IF(S1354&lt;='Methodology &amp; Assumptions'!$B$9, "Near Optical / Microwave (&lt;5km)", "Starlink Business LEO Satellite Backhaul (&gt;5km)"))</f>
        <v/>
      </c>
      <c r="W1354" s="28" t="n">
        <v>0.07200000000000001</v>
      </c>
      <c r="X1354" s="14" t="n">
        <v>43.27</v>
      </c>
      <c r="Y1354" s="14">
        <f>ROUND(MIN(100, (X1354/69.91)*100), 2)</f>
        <v/>
      </c>
    </row>
    <row r="1355">
      <c r="A1355" s="10" t="n">
        <v>5</v>
      </c>
      <c r="B1355" s="10" t="n">
        <v>351</v>
      </c>
      <c r="C1355" s="10" t="n">
        <v>4351</v>
      </c>
      <c r="D1355" s="10" t="inlineStr">
        <is>
          <t>1903621023</t>
        </is>
      </c>
      <c r="E1355" s="26" t="inlineStr">
        <is>
          <t>Bangsamoro Autonomous Region In Muslim Mindanao (BARMM)</t>
        </is>
      </c>
      <c r="F1355" s="26" t="inlineStr">
        <is>
          <t>Lanao del Sur</t>
        </is>
      </c>
      <c r="G1355" s="26" t="inlineStr">
        <is>
          <t>Piagapo</t>
        </is>
      </c>
      <c r="H1355" s="26" t="inlineStr">
        <is>
          <t>Palao</t>
        </is>
      </c>
      <c r="I1355" s="27" t="n">
        <v>17.25452</v>
      </c>
      <c r="J1355" s="27" t="n">
        <v>122.228564</v>
      </c>
      <c r="K1355" s="10" t="inlineStr">
        <is>
          <t>R</t>
        </is>
      </c>
      <c r="L1355" s="12" t="n">
        <v>813</v>
      </c>
      <c r="M1355" s="14" t="n">
        <v>5.7</v>
      </c>
      <c r="N1355" s="12">
        <f>ROUND(L1355/M1355, 0)</f>
        <v/>
      </c>
      <c r="O1355" s="12">
        <f>ROUND(N1355*'Methodology &amp; Assumptions'!$B$5, 0)</f>
        <v/>
      </c>
      <c r="P1355" s="10" t="inlineStr">
        <is>
          <t>Single Carrier (Band n50, 100MHz TDD)</t>
        </is>
      </c>
      <c r="Q1355" s="13">
        <f>ROUNDUP(O1355/'Methodology &amp; Assumptions'!$B$6, 0)</f>
        <v/>
      </c>
      <c r="R1355" s="13" t="n">
        <v>1</v>
      </c>
      <c r="S1355" s="14" t="n">
        <v>29.37</v>
      </c>
      <c r="T1355" s="14" t="n">
        <v>34.25</v>
      </c>
      <c r="U1355" s="26">
        <f>IF(X1355&gt;='Methodology &amp; Assumptions'!$B$7, "Tier 1 Critical GIDA (Score ≥ 50.0)", IF(X1355&gt;='Methodology &amp; Assumptions'!$B$8, "Tier 2 High GIDA (Score 40.0–49.9)", "Tier 3 Moderate GIDA (Score &lt; 40.0)"))</f>
        <v/>
      </c>
      <c r="V1355" s="26">
        <f>IF(S1355&lt;='Methodology &amp; Assumptions'!$B$10, "Direct Optical Drop (&lt;3km)", IF(S1355&lt;='Methodology &amp; Assumptions'!$B$9, "Near Optical / Microwave (&lt;5km)", "Starlink Business LEO Satellite Backhaul (&gt;5km)"))</f>
        <v/>
      </c>
      <c r="W1355" s="28" t="n">
        <v>0.11</v>
      </c>
      <c r="X1355" s="14" t="n">
        <v>43.26</v>
      </c>
      <c r="Y1355" s="14">
        <f>ROUND(MIN(100, (X1355/69.91)*100), 2)</f>
        <v/>
      </c>
    </row>
    <row r="1356">
      <c r="A1356" s="10" t="n">
        <v>5</v>
      </c>
      <c r="B1356" s="10" t="n">
        <v>352</v>
      </c>
      <c r="C1356" s="10" t="n">
        <v>4352</v>
      </c>
      <c r="D1356" s="10" t="inlineStr">
        <is>
          <t>PH0004352</t>
        </is>
      </c>
      <c r="E1356" s="26" t="inlineStr">
        <is>
          <t>IV-A</t>
        </is>
      </c>
      <c r="F1356" s="26" t="inlineStr">
        <is>
          <t>Cavite</t>
        </is>
      </c>
      <c r="G1356" s="26" t="inlineStr">
        <is>
          <t>Cavite City</t>
        </is>
      </c>
      <c r="H1356" s="26" t="inlineStr">
        <is>
          <t>Barangay 11</t>
        </is>
      </c>
      <c r="I1356" s="27" t="n">
        <v>14.499182</v>
      </c>
      <c r="J1356" s="27" t="n">
        <v>120.876483</v>
      </c>
      <c r="K1356" s="10" t="inlineStr">
        <is>
          <t>R</t>
        </is>
      </c>
      <c r="L1356" s="12" t="n">
        <v>2316</v>
      </c>
      <c r="M1356" s="14" t="n">
        <v>3.4</v>
      </c>
      <c r="N1356" s="12">
        <f>ROUND(L1356/M1356, 0)</f>
        <v/>
      </c>
      <c r="O1356" s="12">
        <f>ROUND(N1356*'Methodology &amp; Assumptions'!$B$5, 0)</f>
        <v/>
      </c>
      <c r="P1356" s="10" t="inlineStr">
        <is>
          <t>Single Carrier (Band n50, 100MHz TDD)</t>
        </is>
      </c>
      <c r="Q1356" s="13">
        <f>ROUNDUP(O1356/'Methodology &amp; Assumptions'!$B$6, 0)</f>
        <v/>
      </c>
      <c r="R1356" s="13" t="n">
        <v>1</v>
      </c>
      <c r="S1356" s="14" t="n">
        <v>2.96</v>
      </c>
      <c r="T1356" s="14" t="n">
        <v>7.15</v>
      </c>
      <c r="U1356" s="26">
        <f>IF(X1356&gt;='Methodology &amp; Assumptions'!$B$7, "Tier 1 Critical GIDA (Score ≥ 50.0)", IF(X1356&gt;='Methodology &amp; Assumptions'!$B$8, "Tier 2 High GIDA (Score 40.0–49.9)", "Tier 3 Moderate GIDA (Score &lt; 40.0)"))</f>
        <v/>
      </c>
      <c r="V1356" s="26">
        <f>IF(S1356&lt;='Methodology &amp; Assumptions'!$B$10, "Direct Optical Drop (&lt;3km)", IF(S1356&lt;='Methodology &amp; Assumptions'!$B$9, "Near Optical / Microwave (&lt;5km)", "Starlink Business LEO Satellite Backhaul (&gt;5km)"))</f>
        <v/>
      </c>
      <c r="W1356" s="28" t="n">
        <v>0.07200000000000001</v>
      </c>
      <c r="X1356" s="14" t="n">
        <v>43.26</v>
      </c>
      <c r="Y1356" s="14">
        <f>ROUND(MIN(100, (X1356/69.91)*100), 2)</f>
        <v/>
      </c>
    </row>
    <row r="1357">
      <c r="A1357" s="10" t="n">
        <v>5</v>
      </c>
      <c r="B1357" s="10" t="n">
        <v>353</v>
      </c>
      <c r="C1357" s="10" t="n">
        <v>4353</v>
      </c>
      <c r="D1357" s="10" t="inlineStr">
        <is>
          <t>0501711004</t>
        </is>
      </c>
      <c r="E1357" s="26" t="inlineStr">
        <is>
          <t>Region V (Bicol Region)</t>
        </is>
      </c>
      <c r="F1357" s="26" t="inlineStr">
        <is>
          <t>Camarines Sur</t>
        </is>
      </c>
      <c r="G1357" s="26" t="inlineStr">
        <is>
          <t>Caramoan</t>
        </is>
      </c>
      <c r="H1357" s="26" t="inlineStr">
        <is>
          <t>Bahay</t>
        </is>
      </c>
      <c r="I1357" s="27" t="n">
        <v>13.810414</v>
      </c>
      <c r="J1357" s="27" t="n">
        <v>123.809132</v>
      </c>
      <c r="K1357" s="10" t="inlineStr">
        <is>
          <t>R</t>
        </is>
      </c>
      <c r="L1357" s="12" t="n">
        <v>546</v>
      </c>
      <c r="M1357" s="14" t="n">
        <v>4.2</v>
      </c>
      <c r="N1357" s="12">
        <f>ROUND(L1357/M1357, 0)</f>
        <v/>
      </c>
      <c r="O1357" s="12">
        <f>ROUND(N1357*'Methodology &amp; Assumptions'!$B$5, 0)</f>
        <v/>
      </c>
      <c r="P1357" s="10" t="inlineStr">
        <is>
          <t>Single Carrier (Band n50, 100MHz TDD)</t>
        </is>
      </c>
      <c r="Q1357" s="13">
        <f>ROUNDUP(O1357/'Methodology &amp; Assumptions'!$B$6, 0)</f>
        <v/>
      </c>
      <c r="R1357" s="13" t="n">
        <v>1</v>
      </c>
      <c r="S1357" s="14" t="n">
        <v>7.11</v>
      </c>
      <c r="T1357" s="14" t="n">
        <v>36.65</v>
      </c>
      <c r="U1357" s="26">
        <f>IF(X1357&gt;='Methodology &amp; Assumptions'!$B$7, "Tier 1 Critical GIDA (Score ≥ 50.0)", IF(X1357&gt;='Methodology &amp; Assumptions'!$B$8, "Tier 2 High GIDA (Score 40.0–49.9)", "Tier 3 Moderate GIDA (Score &lt; 40.0)"))</f>
        <v/>
      </c>
      <c r="V1357" s="26">
        <f>IF(S1357&lt;='Methodology &amp; Assumptions'!$B$10, "Direct Optical Drop (&lt;3km)", IF(S1357&lt;='Methodology &amp; Assumptions'!$B$9, "Near Optical / Microwave (&lt;5km)", "Starlink Business LEO Satellite Backhaul (&gt;5km)"))</f>
        <v/>
      </c>
      <c r="W1357" s="28" t="n">
        <v>0.237</v>
      </c>
      <c r="X1357" s="14" t="n">
        <v>43.26</v>
      </c>
      <c r="Y1357" s="14">
        <f>ROUND(MIN(100, (X1357/69.91)*100), 2)</f>
        <v/>
      </c>
    </row>
    <row r="1358">
      <c r="A1358" s="10" t="n">
        <v>5</v>
      </c>
      <c r="B1358" s="10" t="n">
        <v>354</v>
      </c>
      <c r="C1358" s="10" t="n">
        <v>4354</v>
      </c>
      <c r="D1358" s="10" t="inlineStr">
        <is>
          <t>PH0004354</t>
        </is>
      </c>
      <c r="E1358" s="26" t="inlineStr">
        <is>
          <t>II</t>
        </is>
      </c>
      <c r="F1358" s="26" t="inlineStr">
        <is>
          <t>Nueva Vizcaya</t>
        </is>
      </c>
      <c r="G1358" s="26" t="inlineStr">
        <is>
          <t>Santa Fe N Vizcaya</t>
        </is>
      </c>
      <c r="H1358" s="26" t="inlineStr">
        <is>
          <t>Atbu</t>
        </is>
      </c>
      <c r="I1358" s="27" t="n">
        <v>16.374272</v>
      </c>
      <c r="J1358" s="27" t="n">
        <v>121.170975</v>
      </c>
      <c r="K1358" s="10" t="inlineStr">
        <is>
          <t>R</t>
        </is>
      </c>
      <c r="L1358" s="12" t="n">
        <v>2464</v>
      </c>
      <c r="M1358" s="14" t="n">
        <v>3.8</v>
      </c>
      <c r="N1358" s="12">
        <f>ROUND(L1358/M1358, 0)</f>
        <v/>
      </c>
      <c r="O1358" s="12">
        <f>ROUND(N1358*'Methodology &amp; Assumptions'!$B$5, 0)</f>
        <v/>
      </c>
      <c r="P1358" s="10" t="inlineStr">
        <is>
          <t>Single Carrier (Band n50, 100MHz TDD)</t>
        </is>
      </c>
      <c r="Q1358" s="13">
        <f>ROUNDUP(O1358/'Methodology &amp; Assumptions'!$B$6, 0)</f>
        <v/>
      </c>
      <c r="R1358" s="13" t="n">
        <v>1</v>
      </c>
      <c r="S1358" s="14" t="n">
        <v>7.24</v>
      </c>
      <c r="T1358" s="14" t="n">
        <v>6.7</v>
      </c>
      <c r="U1358" s="26">
        <f>IF(X1358&gt;='Methodology &amp; Assumptions'!$B$7, "Tier 1 Critical GIDA (Score ≥ 50.0)", IF(X1358&gt;='Methodology &amp; Assumptions'!$B$8, "Tier 2 High GIDA (Score 40.0–49.9)", "Tier 3 Moderate GIDA (Score &lt; 40.0)"))</f>
        <v/>
      </c>
      <c r="V1358" s="26">
        <f>IF(S1358&lt;='Methodology &amp; Assumptions'!$B$10, "Direct Optical Drop (&lt;3km)", IF(S1358&lt;='Methodology &amp; Assumptions'!$B$9, "Near Optical / Microwave (&lt;5km)", "Starlink Business LEO Satellite Backhaul (&gt;5km)"))</f>
        <v/>
      </c>
      <c r="W1358" s="28" t="n">
        <v>0.083</v>
      </c>
      <c r="X1358" s="14" t="n">
        <v>43.24</v>
      </c>
      <c r="Y1358" s="14">
        <f>ROUND(MIN(100, (X1358/69.91)*100), 2)</f>
        <v/>
      </c>
    </row>
    <row r="1359">
      <c r="A1359" s="10" t="n">
        <v>5</v>
      </c>
      <c r="B1359" s="10" t="n">
        <v>355</v>
      </c>
      <c r="C1359" s="10" t="n">
        <v>4355</v>
      </c>
      <c r="D1359" s="10" t="inlineStr">
        <is>
          <t>0102803007</t>
        </is>
      </c>
      <c r="E1359" s="26" t="inlineStr">
        <is>
          <t>Region I (Ilocos Region)</t>
        </is>
      </c>
      <c r="F1359" s="26" t="inlineStr">
        <is>
          <t>Ilocos Norte</t>
        </is>
      </c>
      <c r="G1359" s="26" t="inlineStr">
        <is>
          <t>Badoc</t>
        </is>
      </c>
      <c r="H1359" s="26" t="inlineStr">
        <is>
          <t>Camanga</t>
        </is>
      </c>
      <c r="I1359" s="27" t="n">
        <v>17.907443</v>
      </c>
      <c r="J1359" s="27" t="n">
        <v>120.570966</v>
      </c>
      <c r="K1359" s="10" t="inlineStr">
        <is>
          <t>R</t>
        </is>
      </c>
      <c r="L1359" s="12" t="n">
        <v>1231</v>
      </c>
      <c r="M1359" s="14" t="n">
        <v>3.7</v>
      </c>
      <c r="N1359" s="12">
        <f>ROUND(L1359/M1359, 0)</f>
        <v/>
      </c>
      <c r="O1359" s="12">
        <f>ROUND(N1359*'Methodology &amp; Assumptions'!$B$5, 0)</f>
        <v/>
      </c>
      <c r="P1359" s="10" t="inlineStr">
        <is>
          <t>Single Carrier (Band n50, 100MHz TDD)</t>
        </is>
      </c>
      <c r="Q1359" s="13">
        <f>ROUNDUP(O1359/'Methodology &amp; Assumptions'!$B$6, 0)</f>
        <v/>
      </c>
      <c r="R1359" s="13" t="n">
        <v>1</v>
      </c>
      <c r="S1359" s="14" t="n">
        <v>6.6</v>
      </c>
      <c r="T1359" s="14" t="n">
        <v>8.51</v>
      </c>
      <c r="U1359" s="26">
        <f>IF(X1359&gt;='Methodology &amp; Assumptions'!$B$7, "Tier 1 Critical GIDA (Score ≥ 50.0)", IF(X1359&gt;='Methodology &amp; Assumptions'!$B$8, "Tier 2 High GIDA (Score 40.0–49.9)", "Tier 3 Moderate GIDA (Score &lt; 40.0)"))</f>
        <v/>
      </c>
      <c r="V1359" s="26">
        <f>IF(S1359&lt;='Methodology &amp; Assumptions'!$B$10, "Direct Optical Drop (&lt;3km)", IF(S1359&lt;='Methodology &amp; Assumptions'!$B$9, "Near Optical / Microwave (&lt;5km)", "Starlink Business LEO Satellite Backhaul (&gt;5km)"))</f>
        <v/>
      </c>
      <c r="W1359" s="28" t="n">
        <v>0.083</v>
      </c>
      <c r="X1359" s="14" t="n">
        <v>43.24</v>
      </c>
      <c r="Y1359" s="14">
        <f>ROUND(MIN(100, (X1359/69.91)*100), 2)</f>
        <v/>
      </c>
    </row>
    <row r="1360">
      <c r="A1360" s="10" t="n">
        <v>5</v>
      </c>
      <c r="B1360" s="10" t="n">
        <v>356</v>
      </c>
      <c r="C1360" s="10" t="n">
        <v>4356</v>
      </c>
      <c r="D1360" s="10" t="inlineStr">
        <is>
          <t>1381300017</t>
        </is>
      </c>
      <c r="E1360" s="26" t="inlineStr">
        <is>
          <t>National Capital Region (NCR)</t>
        </is>
      </c>
      <c r="F1360" s="26" t="inlineStr">
        <is>
          <t>Second District (Not a Province)</t>
        </is>
      </c>
      <c r="G1360" s="26" t="inlineStr">
        <is>
          <t>Quezon City</t>
        </is>
      </c>
      <c r="H1360" s="26" t="inlineStr">
        <is>
          <t>Botocan</t>
        </is>
      </c>
      <c r="I1360" s="27" t="n">
        <v>14.671765</v>
      </c>
      <c r="J1360" s="27" t="n">
        <v>121.093306</v>
      </c>
      <c r="K1360" s="10" t="inlineStr">
        <is>
          <t>U</t>
        </is>
      </c>
      <c r="L1360" s="12" t="n">
        <v>7816</v>
      </c>
      <c r="M1360" s="14" t="n">
        <v>3.8</v>
      </c>
      <c r="N1360" s="12">
        <f>ROUND(L1360/M1360, 0)</f>
        <v/>
      </c>
      <c r="O1360" s="12">
        <f>ROUND(N1360*'Methodology &amp; Assumptions'!$B$5, 0)</f>
        <v/>
      </c>
      <c r="P1360" s="10" t="inlineStr">
        <is>
          <t>Single Carrier (Band n50, 100MHz TDD)</t>
        </is>
      </c>
      <c r="Q1360" s="13">
        <f>ROUNDUP(O1360/'Methodology &amp; Assumptions'!$B$6, 0)</f>
        <v/>
      </c>
      <c r="R1360" s="13" t="n">
        <v>1</v>
      </c>
      <c r="S1360" s="14" t="n">
        <v>1.38</v>
      </c>
      <c r="T1360" s="14" t="n">
        <v>1.24</v>
      </c>
      <c r="U1360" s="26">
        <f>IF(X1360&gt;='Methodology &amp; Assumptions'!$B$7, "Tier 1 Critical GIDA (Score ≥ 50.0)", IF(X1360&gt;='Methodology &amp; Assumptions'!$B$8, "Tier 2 High GIDA (Score 40.0–49.9)", "Tier 3 Moderate GIDA (Score &lt; 40.0)"))</f>
        <v/>
      </c>
      <c r="V1360" s="26">
        <f>IF(S1360&lt;='Methodology &amp; Assumptions'!$B$10, "Direct Optical Drop (&lt;3km)", IF(S1360&lt;='Methodology &amp; Assumptions'!$B$9, "Near Optical / Microwave (&lt;5km)", "Starlink Business LEO Satellite Backhaul (&gt;5km)"))</f>
        <v/>
      </c>
      <c r="W1360" s="28" t="n">
        <v>0.109</v>
      </c>
      <c r="X1360" s="14" t="n">
        <v>43.23</v>
      </c>
      <c r="Y1360" s="14">
        <f>ROUND(MIN(100, (X1360/69.91)*100), 2)</f>
        <v/>
      </c>
    </row>
    <row r="1361">
      <c r="A1361" s="10" t="n">
        <v>5</v>
      </c>
      <c r="B1361" s="10" t="n">
        <v>357</v>
      </c>
      <c r="C1361" s="10" t="n">
        <v>4357</v>
      </c>
      <c r="D1361" s="10" t="inlineStr">
        <is>
          <t>PH0004357</t>
        </is>
      </c>
      <c r="E1361" s="26" t="inlineStr">
        <is>
          <t>IV-A</t>
        </is>
      </c>
      <c r="F1361" s="26" t="inlineStr">
        <is>
          <t>Cavite</t>
        </is>
      </c>
      <c r="G1361" s="26" t="inlineStr">
        <is>
          <t>Imus City</t>
        </is>
      </c>
      <c r="H1361" s="26" t="inlineStr">
        <is>
          <t>Toclong I-C</t>
        </is>
      </c>
      <c r="I1361" s="27" t="n">
        <v>14.274487</v>
      </c>
      <c r="J1361" s="27" t="n">
        <v>120.93924</v>
      </c>
      <c r="K1361" s="10" t="inlineStr">
        <is>
          <t>R</t>
        </is>
      </c>
      <c r="L1361" s="12" t="n">
        <v>2316</v>
      </c>
      <c r="M1361" s="14" t="n">
        <v>3.4</v>
      </c>
      <c r="N1361" s="12">
        <f>ROUND(L1361/M1361, 0)</f>
        <v/>
      </c>
      <c r="O1361" s="12">
        <f>ROUND(N1361*'Methodology &amp; Assumptions'!$B$5, 0)</f>
        <v/>
      </c>
      <c r="P1361" s="10" t="inlineStr">
        <is>
          <t>Single Carrier (Band n50, 100MHz TDD)</t>
        </is>
      </c>
      <c r="Q1361" s="13">
        <f>ROUNDUP(O1361/'Methodology &amp; Assumptions'!$B$6, 0)</f>
        <v/>
      </c>
      <c r="R1361" s="13" t="n">
        <v>1</v>
      </c>
      <c r="S1361" s="14" t="n">
        <v>3.54</v>
      </c>
      <c r="T1361" s="14" t="n">
        <v>2.07</v>
      </c>
      <c r="U1361" s="26">
        <f>IF(X1361&gt;='Methodology &amp; Assumptions'!$B$7, "Tier 1 Critical GIDA (Score ≥ 50.0)", IF(X1361&gt;='Methodology &amp; Assumptions'!$B$8, "Tier 2 High GIDA (Score 40.0–49.9)", "Tier 3 Moderate GIDA (Score &lt; 40.0)"))</f>
        <v/>
      </c>
      <c r="V1361" s="26">
        <f>IF(S1361&lt;='Methodology &amp; Assumptions'!$B$10, "Direct Optical Drop (&lt;3km)", IF(S1361&lt;='Methodology &amp; Assumptions'!$B$9, "Near Optical / Microwave (&lt;5km)", "Starlink Business LEO Satellite Backhaul (&gt;5km)"))</f>
        <v/>
      </c>
      <c r="W1361" s="28" t="n">
        <v>0.07200000000000001</v>
      </c>
      <c r="X1361" s="14" t="n">
        <v>43.23</v>
      </c>
      <c r="Y1361" s="14">
        <f>ROUND(MIN(100, (X1361/69.91)*100), 2)</f>
        <v/>
      </c>
    </row>
    <row r="1362">
      <c r="A1362" s="10" t="n">
        <v>5</v>
      </c>
      <c r="B1362" s="10" t="n">
        <v>358</v>
      </c>
      <c r="C1362" s="10" t="n">
        <v>4358</v>
      </c>
      <c r="D1362" s="10" t="inlineStr">
        <is>
          <t>PH0004358</t>
        </is>
      </c>
      <c r="E1362" s="26" t="inlineStr">
        <is>
          <t>IV-A</t>
        </is>
      </c>
      <c r="F1362" s="26" t="inlineStr">
        <is>
          <t>Laguna</t>
        </is>
      </c>
      <c r="G1362" s="26" t="inlineStr">
        <is>
          <t>San Pablo City</t>
        </is>
      </c>
      <c r="H1362" s="26" t="inlineStr">
        <is>
          <t>Barangay IV-A (Pob.)</t>
        </is>
      </c>
      <c r="I1362" s="27" t="n">
        <v>14.057113</v>
      </c>
      <c r="J1362" s="27" t="n">
        <v>121.351984</v>
      </c>
      <c r="K1362" s="10" t="inlineStr">
        <is>
          <t>R</t>
        </is>
      </c>
      <c r="L1362" s="12" t="n">
        <v>2412</v>
      </c>
      <c r="M1362" s="14" t="n">
        <v>3.3</v>
      </c>
      <c r="N1362" s="12">
        <f>ROUND(L1362/M1362, 0)</f>
        <v/>
      </c>
      <c r="O1362" s="12">
        <f>ROUND(N1362*'Methodology &amp; Assumptions'!$B$5, 0)</f>
        <v/>
      </c>
      <c r="P1362" s="10" t="inlineStr">
        <is>
          <t>Single Carrier (Band n50, 100MHz TDD)</t>
        </is>
      </c>
      <c r="Q1362" s="13">
        <f>ROUNDUP(O1362/'Methodology &amp; Assumptions'!$B$6, 0)</f>
        <v/>
      </c>
      <c r="R1362" s="13" t="n">
        <v>1</v>
      </c>
      <c r="S1362" s="14" t="n">
        <v>2.43</v>
      </c>
      <c r="T1362" s="14" t="n">
        <v>1.45</v>
      </c>
      <c r="U1362" s="26">
        <f>IF(X1362&gt;='Methodology &amp; Assumptions'!$B$7, "Tier 1 Critical GIDA (Score ≥ 50.0)", IF(X1362&gt;='Methodology &amp; Assumptions'!$B$8, "Tier 2 High GIDA (Score 40.0–49.9)", "Tier 3 Moderate GIDA (Score &lt; 40.0)"))</f>
        <v/>
      </c>
      <c r="V1362" s="26">
        <f>IF(S1362&lt;='Methodology &amp; Assumptions'!$B$10, "Direct Optical Drop (&lt;3km)", IF(S1362&lt;='Methodology &amp; Assumptions'!$B$9, "Near Optical / Microwave (&lt;5km)", "Starlink Business LEO Satellite Backhaul (&gt;5km)"))</f>
        <v/>
      </c>
      <c r="W1362" s="28" t="n">
        <v>0.07200000000000001</v>
      </c>
      <c r="X1362" s="14" t="n">
        <v>43.23</v>
      </c>
      <c r="Y1362" s="14">
        <f>ROUND(MIN(100, (X1362/69.91)*100), 2)</f>
        <v/>
      </c>
    </row>
    <row r="1363">
      <c r="A1363" s="10" t="n">
        <v>5</v>
      </c>
      <c r="B1363" s="10" t="n">
        <v>359</v>
      </c>
      <c r="C1363" s="10" t="n">
        <v>4359</v>
      </c>
      <c r="D1363" s="10" t="inlineStr">
        <is>
          <t>0803708030</t>
        </is>
      </c>
      <c r="E1363" s="26" t="inlineStr">
        <is>
          <t>Region VIII (Eastern Visayas)</t>
        </is>
      </c>
      <c r="F1363" s="26" t="inlineStr">
        <is>
          <t>Leyte</t>
        </is>
      </c>
      <c r="G1363" s="26" t="inlineStr">
        <is>
          <t>City of Baybay</t>
        </is>
      </c>
      <c r="H1363" s="26" t="inlineStr">
        <is>
          <t>Kabungaan</t>
        </is>
      </c>
      <c r="I1363" s="27" t="n">
        <v>10.575611</v>
      </c>
      <c r="J1363" s="27" t="n">
        <v>124.890101</v>
      </c>
      <c r="K1363" s="10" t="inlineStr">
        <is>
          <t>R</t>
        </is>
      </c>
      <c r="L1363" s="12" t="n">
        <v>865</v>
      </c>
      <c r="M1363" s="14" t="n">
        <v>3.8</v>
      </c>
      <c r="N1363" s="12">
        <f>ROUND(L1363/M1363, 0)</f>
        <v/>
      </c>
      <c r="O1363" s="12">
        <f>ROUND(N1363*'Methodology &amp; Assumptions'!$B$5, 0)</f>
        <v/>
      </c>
      <c r="P1363" s="10" t="inlineStr">
        <is>
          <t>Single Carrier (Band n50, 100MHz TDD)</t>
        </is>
      </c>
      <c r="Q1363" s="13">
        <f>ROUNDUP(O1363/'Methodology &amp; Assumptions'!$B$6, 0)</f>
        <v/>
      </c>
      <c r="R1363" s="13" t="n">
        <v>1</v>
      </c>
      <c r="S1363" s="14" t="n">
        <v>15.06</v>
      </c>
      <c r="T1363" s="14" t="n">
        <v>6.51</v>
      </c>
      <c r="U1363" s="26">
        <f>IF(X1363&gt;='Methodology &amp; Assumptions'!$B$7, "Tier 1 Critical GIDA (Score ≥ 50.0)", IF(X1363&gt;='Methodology &amp; Assumptions'!$B$8, "Tier 2 High GIDA (Score 40.0–49.9)", "Tier 3 Moderate GIDA (Score &lt; 40.0)"))</f>
        <v/>
      </c>
      <c r="V1363" s="26">
        <f>IF(S1363&lt;='Methodology &amp; Assumptions'!$B$10, "Direct Optical Drop (&lt;3km)", IF(S1363&lt;='Methodology &amp; Assumptions'!$B$9, "Near Optical / Microwave (&lt;5km)", "Starlink Business LEO Satellite Backhaul (&gt;5km)"))</f>
        <v/>
      </c>
      <c r="W1363" s="28" t="n">
        <v>0.237</v>
      </c>
      <c r="X1363" s="14" t="n">
        <v>43.22</v>
      </c>
      <c r="Y1363" s="14">
        <f>ROUND(MIN(100, (X1363/69.91)*100), 2)</f>
        <v/>
      </c>
    </row>
    <row r="1364">
      <c r="A1364" s="10" t="n">
        <v>5</v>
      </c>
      <c r="B1364" s="10" t="n">
        <v>360</v>
      </c>
      <c r="C1364" s="10" t="n">
        <v>4360</v>
      </c>
      <c r="D1364" s="10" t="inlineStr">
        <is>
          <t>1907011011</t>
        </is>
      </c>
      <c r="E1364" s="26" t="inlineStr">
        <is>
          <t>Bangsamoro Autonomous Region In Muslim Mindanao (BARMM)</t>
        </is>
      </c>
      <c r="F1364" s="26" t="inlineStr">
        <is>
          <t>Tawi-Tawi</t>
        </is>
      </c>
      <c r="G1364" s="26" t="inlineStr">
        <is>
          <t>Sibutu</t>
        </is>
      </c>
      <c r="H1364" s="26" t="inlineStr">
        <is>
          <t>Talisay</t>
        </is>
      </c>
      <c r="I1364" s="27" t="n">
        <v>17.255816</v>
      </c>
      <c r="J1364" s="27" t="n">
        <v>122.22986</v>
      </c>
      <c r="K1364" s="10" t="inlineStr">
        <is>
          <t>R</t>
        </is>
      </c>
      <c r="L1364" s="12" t="n">
        <v>2013</v>
      </c>
      <c r="M1364" s="14" t="n">
        <v>5.8</v>
      </c>
      <c r="N1364" s="12">
        <f>ROUND(L1364/M1364, 0)</f>
        <v/>
      </c>
      <c r="O1364" s="12">
        <f>ROUND(N1364*'Methodology &amp; Assumptions'!$B$5, 0)</f>
        <v/>
      </c>
      <c r="P1364" s="10" t="inlineStr">
        <is>
          <t>Single Carrier (Band n50, 100MHz TDD)</t>
        </is>
      </c>
      <c r="Q1364" s="13">
        <f>ROUNDUP(O1364/'Methodology &amp; Assumptions'!$B$6, 0)</f>
        <v/>
      </c>
      <c r="R1364" s="13" t="n">
        <v>1</v>
      </c>
      <c r="S1364" s="14" t="n">
        <v>29.56</v>
      </c>
      <c r="T1364" s="14" t="n">
        <v>34.43</v>
      </c>
      <c r="U1364" s="26">
        <f>IF(X1364&gt;='Methodology &amp; Assumptions'!$B$7, "Tier 1 Critical GIDA (Score ≥ 50.0)", IF(X1364&gt;='Methodology &amp; Assumptions'!$B$8, "Tier 2 High GIDA (Score 40.0–49.9)", "Tier 3 Moderate GIDA (Score &lt; 40.0)"))</f>
        <v/>
      </c>
      <c r="V1364" s="26">
        <f>IF(S1364&lt;='Methodology &amp; Assumptions'!$B$10, "Direct Optical Drop (&lt;3km)", IF(S1364&lt;='Methodology &amp; Assumptions'!$B$9, "Near Optical / Microwave (&lt;5km)", "Starlink Business LEO Satellite Backhaul (&gt;5km)"))</f>
        <v/>
      </c>
      <c r="W1364" s="28" t="n">
        <v>0.11</v>
      </c>
      <c r="X1364" s="14" t="n">
        <v>43.22</v>
      </c>
      <c r="Y1364" s="14">
        <f>ROUND(MIN(100, (X1364/69.91)*100), 2)</f>
        <v/>
      </c>
    </row>
    <row r="1365">
      <c r="A1365" s="10" t="n">
        <v>5</v>
      </c>
      <c r="B1365" s="10" t="n">
        <v>361</v>
      </c>
      <c r="C1365" s="10" t="n">
        <v>4361</v>
      </c>
      <c r="D1365" s="10" t="inlineStr">
        <is>
          <t>PH0004361</t>
        </is>
      </c>
      <c r="E1365" s="26" t="inlineStr">
        <is>
          <t>IV-A</t>
        </is>
      </c>
      <c r="F1365" s="26" t="inlineStr">
        <is>
          <t>Cavite</t>
        </is>
      </c>
      <c r="G1365" s="26" t="inlineStr">
        <is>
          <t>Imus City</t>
        </is>
      </c>
      <c r="H1365" s="26" t="inlineStr">
        <is>
          <t>Bayan Luma III</t>
        </is>
      </c>
      <c r="I1365" s="27" t="n">
        <v>14.275654</v>
      </c>
      <c r="J1365" s="27" t="n">
        <v>120.860931</v>
      </c>
      <c r="K1365" s="10" t="inlineStr">
        <is>
          <t>R</t>
        </is>
      </c>
      <c r="L1365" s="12" t="n">
        <v>2316</v>
      </c>
      <c r="M1365" s="14" t="n">
        <v>3.4</v>
      </c>
      <c r="N1365" s="12">
        <f>ROUND(L1365/M1365, 0)</f>
        <v/>
      </c>
      <c r="O1365" s="12">
        <f>ROUND(N1365*'Methodology &amp; Assumptions'!$B$5, 0)</f>
        <v/>
      </c>
      <c r="P1365" s="10" t="inlineStr">
        <is>
          <t>Single Carrier (Band n50, 100MHz TDD)</t>
        </is>
      </c>
      <c r="Q1365" s="13">
        <f>ROUNDUP(O1365/'Methodology &amp; Assumptions'!$B$6, 0)</f>
        <v/>
      </c>
      <c r="R1365" s="13" t="n">
        <v>1</v>
      </c>
      <c r="S1365" s="14" t="n">
        <v>1.14</v>
      </c>
      <c r="T1365" s="14" t="n">
        <v>1.01</v>
      </c>
      <c r="U1365" s="26">
        <f>IF(X1365&gt;='Methodology &amp; Assumptions'!$B$7, "Tier 1 Critical GIDA (Score ≥ 50.0)", IF(X1365&gt;='Methodology &amp; Assumptions'!$B$8, "Tier 2 High GIDA (Score 40.0–49.9)", "Tier 3 Moderate GIDA (Score &lt; 40.0)"))</f>
        <v/>
      </c>
      <c r="V1365" s="26">
        <f>IF(S1365&lt;='Methodology &amp; Assumptions'!$B$10, "Direct Optical Drop (&lt;3km)", IF(S1365&lt;='Methodology &amp; Assumptions'!$B$9, "Near Optical / Microwave (&lt;5km)", "Starlink Business LEO Satellite Backhaul (&gt;5km)"))</f>
        <v/>
      </c>
      <c r="W1365" s="28" t="n">
        <v>0.07200000000000001</v>
      </c>
      <c r="X1365" s="14" t="n">
        <v>43.22</v>
      </c>
      <c r="Y1365" s="14">
        <f>ROUND(MIN(100, (X1365/69.91)*100), 2)</f>
        <v/>
      </c>
    </row>
    <row r="1366">
      <c r="A1366" s="10" t="n">
        <v>5</v>
      </c>
      <c r="B1366" s="10" t="n">
        <v>362</v>
      </c>
      <c r="C1366" s="10" t="n">
        <v>4362</v>
      </c>
      <c r="D1366" s="10" t="inlineStr">
        <is>
          <t>0802613007</t>
        </is>
      </c>
      <c r="E1366" s="26" t="inlineStr">
        <is>
          <t>Region VIII (Eastern Visayas)</t>
        </is>
      </c>
      <c r="F1366" s="26" t="inlineStr">
        <is>
          <t>Eastern Samar</t>
        </is>
      </c>
      <c r="G1366" s="26" t="inlineStr">
        <is>
          <t>Llorente</t>
        </is>
      </c>
      <c r="H1366" s="26" t="inlineStr">
        <is>
          <t>Candoros</t>
        </is>
      </c>
      <c r="I1366" s="27" t="n">
        <v>11.352572</v>
      </c>
      <c r="J1366" s="27" t="n">
        <v>125.458567</v>
      </c>
      <c r="K1366" s="10" t="inlineStr">
        <is>
          <t>R</t>
        </is>
      </c>
      <c r="L1366" s="12" t="n">
        <v>574</v>
      </c>
      <c r="M1366" s="14" t="n">
        <v>3.9</v>
      </c>
      <c r="N1366" s="12">
        <f>ROUND(L1366/M1366, 0)</f>
        <v/>
      </c>
      <c r="O1366" s="12">
        <f>ROUND(N1366*'Methodology &amp; Assumptions'!$B$5, 0)</f>
        <v/>
      </c>
      <c r="P1366" s="10" t="inlineStr">
        <is>
          <t>Single Carrier (Band n50, 100MHz TDD)</t>
        </is>
      </c>
      <c r="Q1366" s="13">
        <f>ROUNDUP(O1366/'Methodology &amp; Assumptions'!$B$6, 0)</f>
        <v/>
      </c>
      <c r="R1366" s="13" t="n">
        <v>1</v>
      </c>
      <c r="S1366" s="14" t="n">
        <v>51.3</v>
      </c>
      <c r="T1366" s="14" t="n">
        <v>50.53</v>
      </c>
      <c r="U1366" s="26">
        <f>IF(X1366&gt;='Methodology &amp; Assumptions'!$B$7, "Tier 1 Critical GIDA (Score ≥ 50.0)", IF(X1366&gt;='Methodology &amp; Assumptions'!$B$8, "Tier 2 High GIDA (Score 40.0–49.9)", "Tier 3 Moderate GIDA (Score &lt; 40.0)"))</f>
        <v/>
      </c>
      <c r="V1366" s="26">
        <f>IF(S1366&lt;='Methodology &amp; Assumptions'!$B$10, "Direct Optical Drop (&lt;3km)", IF(S1366&lt;='Methodology &amp; Assumptions'!$B$9, "Near Optical / Microwave (&lt;5km)", "Starlink Business LEO Satellite Backhaul (&gt;5km)"))</f>
        <v/>
      </c>
      <c r="W1366" s="28" t="n">
        <v>0.237</v>
      </c>
      <c r="X1366" s="14" t="n">
        <v>43.21</v>
      </c>
      <c r="Y1366" s="14">
        <f>ROUND(MIN(100, (X1366/69.91)*100), 2)</f>
        <v/>
      </c>
    </row>
    <row r="1367">
      <c r="A1367" s="10" t="n">
        <v>5</v>
      </c>
      <c r="B1367" s="10" t="n">
        <v>363</v>
      </c>
      <c r="C1367" s="10" t="n">
        <v>4363</v>
      </c>
      <c r="D1367" s="10" t="inlineStr">
        <is>
          <t>1102506011</t>
        </is>
      </c>
      <c r="E1367" s="26" t="inlineStr">
        <is>
          <t>Region XI (Davao Region)</t>
        </is>
      </c>
      <c r="F1367" s="26" t="inlineStr">
        <is>
          <t>Davao Oriental</t>
        </is>
      </c>
      <c r="G1367" s="26" t="inlineStr">
        <is>
          <t>Governor Generoso</t>
        </is>
      </c>
      <c r="H1367" s="26" t="inlineStr">
        <is>
          <t>Pundaguitan</t>
        </is>
      </c>
      <c r="I1367" s="27" t="n">
        <v>6.376775</v>
      </c>
      <c r="J1367" s="27" t="n">
        <v>126.164777</v>
      </c>
      <c r="K1367" s="10" t="inlineStr">
        <is>
          <t>R</t>
        </is>
      </c>
      <c r="L1367" s="12" t="n">
        <v>2544</v>
      </c>
      <c r="M1367" s="14" t="n">
        <v>3.6</v>
      </c>
      <c r="N1367" s="12">
        <f>ROUND(L1367/M1367, 0)</f>
        <v/>
      </c>
      <c r="O1367" s="12">
        <f>ROUND(N1367*'Methodology &amp; Assumptions'!$B$5, 0)</f>
        <v/>
      </c>
      <c r="P1367" s="10" t="inlineStr">
        <is>
          <t>Single Carrier (Band n50, 100MHz TDD)</t>
        </is>
      </c>
      <c r="Q1367" s="13">
        <f>ROUNDUP(O1367/'Methodology &amp; Assumptions'!$B$6, 0)</f>
        <v/>
      </c>
      <c r="R1367" s="13" t="n">
        <v>1</v>
      </c>
      <c r="S1367" s="14" t="n">
        <v>60.17</v>
      </c>
      <c r="T1367" s="14" t="n">
        <v>56.1</v>
      </c>
      <c r="U1367" s="26">
        <f>IF(X1367&gt;='Methodology &amp; Assumptions'!$B$7, "Tier 1 Critical GIDA (Score ≥ 50.0)", IF(X1367&gt;='Methodology &amp; Assumptions'!$B$8, "Tier 2 High GIDA (Score 40.0–49.9)", "Tier 3 Moderate GIDA (Score &lt; 40.0)"))</f>
        <v/>
      </c>
      <c r="V1367" s="26">
        <f>IF(S1367&lt;='Methodology &amp; Assumptions'!$B$10, "Direct Optical Drop (&lt;3km)", IF(S1367&lt;='Methodology &amp; Assumptions'!$B$9, "Near Optical / Microwave (&lt;5km)", "Starlink Business LEO Satellite Backhaul (&gt;5km)"))</f>
        <v/>
      </c>
      <c r="W1367" s="28" t="n">
        <v>0.174</v>
      </c>
      <c r="X1367" s="14" t="n">
        <v>43.21</v>
      </c>
      <c r="Y1367" s="14">
        <f>ROUND(MIN(100, (X1367/69.91)*100), 2)</f>
        <v/>
      </c>
    </row>
    <row r="1368">
      <c r="A1368" s="10" t="n">
        <v>5</v>
      </c>
      <c r="B1368" s="10" t="n">
        <v>364</v>
      </c>
      <c r="C1368" s="10" t="n">
        <v>4364</v>
      </c>
      <c r="D1368" s="10" t="inlineStr">
        <is>
          <t>PH0004364</t>
        </is>
      </c>
      <c r="E1368" s="26" t="inlineStr">
        <is>
          <t>VIII</t>
        </is>
      </c>
      <c r="F1368" s="26" t="inlineStr">
        <is>
          <t>Leyte</t>
        </is>
      </c>
      <c r="G1368" s="26" t="inlineStr">
        <is>
          <t>Tacloban City</t>
        </is>
      </c>
      <c r="H1368" s="26" t="inlineStr">
        <is>
          <t>Barangay 65</t>
        </is>
      </c>
      <c r="I1368" s="27" t="n">
        <v>11.179931</v>
      </c>
      <c r="J1368" s="27" t="n">
        <v>124.957385</v>
      </c>
      <c r="K1368" s="10" t="inlineStr">
        <is>
          <t>R</t>
        </is>
      </c>
      <c r="L1368" s="12" t="n">
        <v>2258</v>
      </c>
      <c r="M1368" s="14" t="n">
        <v>3.8</v>
      </c>
      <c r="N1368" s="12">
        <f>ROUND(L1368/M1368, 0)</f>
        <v/>
      </c>
      <c r="O1368" s="12">
        <f>ROUND(N1368*'Methodology &amp; Assumptions'!$B$5, 0)</f>
        <v/>
      </c>
      <c r="P1368" s="10" t="inlineStr">
        <is>
          <t>Single Carrier (Band n50, 100MHz TDD)</t>
        </is>
      </c>
      <c r="Q1368" s="13">
        <f>ROUNDUP(O1368/'Methodology &amp; Assumptions'!$B$6, 0)</f>
        <v/>
      </c>
      <c r="R1368" s="13" t="n">
        <v>1</v>
      </c>
      <c r="S1368" s="14" t="n">
        <v>5.76</v>
      </c>
      <c r="T1368" s="14" t="n">
        <v>0.6899999999999999</v>
      </c>
      <c r="U1368" s="26">
        <f>IF(X1368&gt;='Methodology &amp; Assumptions'!$B$7, "Tier 1 Critical GIDA (Score ≥ 50.0)", IF(X1368&gt;='Methodology &amp; Assumptions'!$B$8, "Tier 2 High GIDA (Score 40.0–49.9)", "Tier 3 Moderate GIDA (Score &lt; 40.0)"))</f>
        <v/>
      </c>
      <c r="V1368" s="26">
        <f>IF(S1368&lt;='Methodology &amp; Assumptions'!$B$10, "Direct Optical Drop (&lt;3km)", IF(S1368&lt;='Methodology &amp; Assumptions'!$B$9, "Near Optical / Microwave (&lt;5km)", "Starlink Business LEO Satellite Backhaul (&gt;5km)"))</f>
        <v/>
      </c>
      <c r="W1368" s="28" t="n">
        <v>0.222</v>
      </c>
      <c r="X1368" s="14" t="n">
        <v>43.2</v>
      </c>
      <c r="Y1368" s="14">
        <f>ROUND(MIN(100, (X1368/69.91)*100), 2)</f>
        <v/>
      </c>
    </row>
    <row r="1369">
      <c r="A1369" s="10" t="n">
        <v>5</v>
      </c>
      <c r="B1369" s="10" t="n">
        <v>365</v>
      </c>
      <c r="C1369" s="10" t="n">
        <v>4365</v>
      </c>
      <c r="D1369" s="10" t="inlineStr">
        <is>
          <t>1600309004</t>
        </is>
      </c>
      <c r="E1369" s="26" t="inlineStr">
        <is>
          <t>Region XIII (Caraga)</t>
        </is>
      </c>
      <c r="F1369" s="26" t="inlineStr">
        <is>
          <t>Agusan del Sur</t>
        </is>
      </c>
      <c r="G1369" s="26" t="inlineStr">
        <is>
          <t>San Luis</t>
        </is>
      </c>
      <c r="H1369" s="26" t="inlineStr">
        <is>
          <t>Culi</t>
        </is>
      </c>
      <c r="I1369" s="27" t="n">
        <v>8.498341</v>
      </c>
      <c r="J1369" s="27" t="n">
        <v>125.766111</v>
      </c>
      <c r="K1369" s="10" t="inlineStr">
        <is>
          <t>R</t>
        </is>
      </c>
      <c r="L1369" s="12" t="n">
        <v>1144</v>
      </c>
      <c r="M1369" s="14" t="n">
        <v>3.9</v>
      </c>
      <c r="N1369" s="12">
        <f>ROUND(L1369/M1369, 0)</f>
        <v/>
      </c>
      <c r="O1369" s="12">
        <f>ROUND(N1369*'Methodology &amp; Assumptions'!$B$5, 0)</f>
        <v/>
      </c>
      <c r="P1369" s="10" t="inlineStr">
        <is>
          <t>Single Carrier (Band n50, 100MHz TDD)</t>
        </is>
      </c>
      <c r="Q1369" s="13">
        <f>ROUNDUP(O1369/'Methodology &amp; Assumptions'!$B$6, 0)</f>
        <v/>
      </c>
      <c r="R1369" s="13" t="n">
        <v>1</v>
      </c>
      <c r="S1369" s="14" t="n">
        <v>20.52</v>
      </c>
      <c r="T1369" s="14" t="n">
        <v>19.39</v>
      </c>
      <c r="U1369" s="26">
        <f>IF(X1369&gt;='Methodology &amp; Assumptions'!$B$7, "Tier 1 Critical GIDA (Score ≥ 50.0)", IF(X1369&gt;='Methodology &amp; Assumptions'!$B$8, "Tier 2 High GIDA (Score 40.0–49.9)", "Tier 3 Moderate GIDA (Score &lt; 40.0)"))</f>
        <v/>
      </c>
      <c r="V1369" s="26">
        <f>IF(S1369&lt;='Methodology &amp; Assumptions'!$B$10, "Direct Optical Drop (&lt;3km)", IF(S1369&lt;='Methodology &amp; Assumptions'!$B$9, "Near Optical / Microwave (&lt;5km)", "Starlink Business LEO Satellite Backhaul (&gt;5km)"))</f>
        <v/>
      </c>
      <c r="W1369" s="28" t="n">
        <v>0.174</v>
      </c>
      <c r="X1369" s="14" t="n">
        <v>43.2</v>
      </c>
      <c r="Y1369" s="14">
        <f>ROUND(MIN(100, (X1369/69.91)*100), 2)</f>
        <v/>
      </c>
    </row>
    <row r="1370">
      <c r="A1370" s="10" t="n">
        <v>5</v>
      </c>
      <c r="B1370" s="10" t="n">
        <v>366</v>
      </c>
      <c r="C1370" s="10" t="n">
        <v>4366</v>
      </c>
      <c r="D1370" s="10" t="inlineStr">
        <is>
          <t>0405631008</t>
        </is>
      </c>
      <c r="E1370" s="26" t="inlineStr">
        <is>
          <t>Region IV-A (CALABARZON)</t>
        </is>
      </c>
      <c r="F1370" s="26" t="inlineStr">
        <is>
          <t>Quezon</t>
        </is>
      </c>
      <c r="G1370" s="26" t="inlineStr">
        <is>
          <t>Panukulan</t>
        </is>
      </c>
      <c r="H1370" s="26" t="inlineStr">
        <is>
          <t>Matangkap</t>
        </is>
      </c>
      <c r="I1370" s="27" t="n">
        <v>15.030574</v>
      </c>
      <c r="J1370" s="27" t="n">
        <v>121.881377</v>
      </c>
      <c r="K1370" s="10" t="inlineStr">
        <is>
          <t>R</t>
        </is>
      </c>
      <c r="L1370" s="12" t="n">
        <v>820</v>
      </c>
      <c r="M1370" s="14" t="n">
        <v>3.8</v>
      </c>
      <c r="N1370" s="12">
        <f>ROUND(L1370/M1370, 0)</f>
        <v/>
      </c>
      <c r="O1370" s="12">
        <f>ROUND(N1370*'Methodology &amp; Assumptions'!$B$5, 0)</f>
        <v/>
      </c>
      <c r="P1370" s="10" t="inlineStr">
        <is>
          <t>Single Carrier (Band n50, 100MHz TDD)</t>
        </is>
      </c>
      <c r="Q1370" s="13">
        <f>ROUNDUP(O1370/'Methodology &amp; Assumptions'!$B$6, 0)</f>
        <v/>
      </c>
      <c r="R1370" s="13" t="n">
        <v>1</v>
      </c>
      <c r="S1370" s="14" t="n">
        <v>38.56</v>
      </c>
      <c r="T1370" s="14" t="n">
        <v>80.61</v>
      </c>
      <c r="U1370" s="26">
        <f>IF(X1370&gt;='Methodology &amp; Assumptions'!$B$7, "Tier 1 Critical GIDA (Score ≥ 50.0)", IF(X1370&gt;='Methodology &amp; Assumptions'!$B$8, "Tier 2 High GIDA (Score 40.0–49.9)", "Tier 3 Moderate GIDA (Score &lt; 40.0)"))</f>
        <v/>
      </c>
      <c r="V1370" s="26">
        <f>IF(S1370&lt;='Methodology &amp; Assumptions'!$B$10, "Direct Optical Drop (&lt;3km)", IF(S1370&lt;='Methodology &amp; Assumptions'!$B$9, "Near Optical / Microwave (&lt;5km)", "Starlink Business LEO Satellite Backhaul (&gt;5km)"))</f>
        <v/>
      </c>
      <c r="W1370" s="28" t="n">
        <v>0.07200000000000001</v>
      </c>
      <c r="X1370" s="14" t="n">
        <v>43.2</v>
      </c>
      <c r="Y1370" s="14">
        <f>ROUND(MIN(100, (X1370/69.91)*100), 2)</f>
        <v/>
      </c>
    </row>
    <row r="1371">
      <c r="A1371" s="10" t="n">
        <v>5</v>
      </c>
      <c r="B1371" s="10" t="n">
        <v>367</v>
      </c>
      <c r="C1371" s="10" t="n">
        <v>4367</v>
      </c>
      <c r="D1371" s="10" t="inlineStr">
        <is>
          <t>0806016021</t>
        </is>
      </c>
      <c r="E1371" s="26" t="inlineStr">
        <is>
          <t>Region VIII (Eastern Visayas)</t>
        </is>
      </c>
      <c r="F1371" s="26" t="inlineStr">
        <is>
          <t>Samar</t>
        </is>
      </c>
      <c r="G1371" s="26" t="inlineStr">
        <is>
          <t>Santa Margarita</t>
        </is>
      </c>
      <c r="H1371" s="26" t="inlineStr">
        <is>
          <t>Jolacao</t>
        </is>
      </c>
      <c r="I1371" s="27" t="n">
        <v>12.058764</v>
      </c>
      <c r="J1371" s="27" t="n">
        <v>124.709172</v>
      </c>
      <c r="K1371" s="10" t="inlineStr">
        <is>
          <t>R</t>
        </is>
      </c>
      <c r="L1371" s="12" t="n">
        <v>107</v>
      </c>
      <c r="M1371" s="14" t="n">
        <v>4.1</v>
      </c>
      <c r="N1371" s="12">
        <f>ROUND(L1371/M1371, 0)</f>
        <v/>
      </c>
      <c r="O1371" s="12">
        <f>ROUND(N1371*'Methodology &amp; Assumptions'!$B$5, 0)</f>
        <v/>
      </c>
      <c r="P1371" s="10" t="inlineStr">
        <is>
          <t>Single Carrier (Band n50, 100MHz TDD)</t>
        </is>
      </c>
      <c r="Q1371" s="13">
        <f>ROUNDUP(O1371/'Methodology &amp; Assumptions'!$B$6, 0)</f>
        <v/>
      </c>
      <c r="R1371" s="13" t="n">
        <v>1</v>
      </c>
      <c r="S1371" s="14" t="n">
        <v>84.42</v>
      </c>
      <c r="T1371" s="14" t="n">
        <v>84.39</v>
      </c>
      <c r="U1371" s="26">
        <f>IF(X1371&gt;='Methodology &amp; Assumptions'!$B$7, "Tier 1 Critical GIDA (Score ≥ 50.0)", IF(X1371&gt;='Methodology &amp; Assumptions'!$B$8, "Tier 2 High GIDA (Score 40.0–49.9)", "Tier 3 Moderate GIDA (Score &lt; 40.0)"))</f>
        <v/>
      </c>
      <c r="V1371" s="26">
        <f>IF(S1371&lt;='Methodology &amp; Assumptions'!$B$10, "Direct Optical Drop (&lt;3km)", IF(S1371&lt;='Methodology &amp; Assumptions'!$B$9, "Near Optical / Microwave (&lt;5km)", "Starlink Business LEO Satellite Backhaul (&gt;5km)"))</f>
        <v/>
      </c>
      <c r="W1371" s="28" t="n">
        <v>0.237</v>
      </c>
      <c r="X1371" s="14" t="n">
        <v>43.2</v>
      </c>
      <c r="Y1371" s="14">
        <f>ROUND(MIN(100, (X1371/69.91)*100), 2)</f>
        <v/>
      </c>
    </row>
    <row r="1372">
      <c r="A1372" s="10" t="n">
        <v>5</v>
      </c>
      <c r="B1372" s="10" t="n">
        <v>368</v>
      </c>
      <c r="C1372" s="10" t="n">
        <v>4368</v>
      </c>
      <c r="D1372" s="10" t="inlineStr">
        <is>
          <t>0806020022</t>
        </is>
      </c>
      <c r="E1372" s="26" t="inlineStr">
        <is>
          <t>Region VIII (Eastern Visayas)</t>
        </is>
      </c>
      <c r="F1372" s="26" t="inlineStr">
        <is>
          <t>Samar</t>
        </is>
      </c>
      <c r="G1372" s="26" t="inlineStr">
        <is>
          <t>Tarangnan</t>
        </is>
      </c>
      <c r="H1372" s="26" t="inlineStr">
        <is>
          <t>Dapdap</t>
        </is>
      </c>
      <c r="I1372" s="27" t="n">
        <v>11.946198</v>
      </c>
      <c r="J1372" s="27" t="n">
        <v>124.747859</v>
      </c>
      <c r="K1372" s="10" t="inlineStr">
        <is>
          <t>R</t>
        </is>
      </c>
      <c r="L1372" s="12" t="n">
        <v>706</v>
      </c>
      <c r="M1372" s="14" t="n">
        <v>4.1</v>
      </c>
      <c r="N1372" s="12">
        <f>ROUND(L1372/M1372, 0)</f>
        <v/>
      </c>
      <c r="O1372" s="12">
        <f>ROUND(N1372*'Methodology &amp; Assumptions'!$B$5, 0)</f>
        <v/>
      </c>
      <c r="P1372" s="10" t="inlineStr">
        <is>
          <t>Single Carrier (Band n50, 100MHz TDD)</t>
        </is>
      </c>
      <c r="Q1372" s="13">
        <f>ROUNDUP(O1372/'Methodology &amp; Assumptions'!$B$6, 0)</f>
        <v/>
      </c>
      <c r="R1372" s="13" t="n">
        <v>1</v>
      </c>
      <c r="S1372" s="14" t="n">
        <v>72.16</v>
      </c>
      <c r="T1372" s="14" t="n">
        <v>72.13</v>
      </c>
      <c r="U1372" s="26">
        <f>IF(X1372&gt;='Methodology &amp; Assumptions'!$B$7, "Tier 1 Critical GIDA (Score ≥ 50.0)", IF(X1372&gt;='Methodology &amp; Assumptions'!$B$8, "Tier 2 High GIDA (Score 40.0–49.9)", "Tier 3 Moderate GIDA (Score &lt; 40.0)"))</f>
        <v/>
      </c>
      <c r="V1372" s="26">
        <f>IF(S1372&lt;='Methodology &amp; Assumptions'!$B$10, "Direct Optical Drop (&lt;3km)", IF(S1372&lt;='Methodology &amp; Assumptions'!$B$9, "Near Optical / Microwave (&lt;5km)", "Starlink Business LEO Satellite Backhaul (&gt;5km)"))</f>
        <v/>
      </c>
      <c r="W1372" s="28" t="n">
        <v>0.237</v>
      </c>
      <c r="X1372" s="14" t="n">
        <v>43.2</v>
      </c>
      <c r="Y1372" s="14">
        <f>ROUND(MIN(100, (X1372/69.91)*100), 2)</f>
        <v/>
      </c>
    </row>
    <row r="1373">
      <c r="A1373" s="10" t="n">
        <v>5</v>
      </c>
      <c r="B1373" s="10" t="n">
        <v>369</v>
      </c>
      <c r="C1373" s="10" t="n">
        <v>4369</v>
      </c>
      <c r="D1373" s="10" t="inlineStr">
        <is>
          <t>0402123026</t>
        </is>
      </c>
      <c r="E1373" s="26" t="inlineStr">
        <is>
          <t>Region IV-A (CALABARZON)</t>
        </is>
      </c>
      <c r="F1373" s="26" t="inlineStr">
        <is>
          <t>Cavite</t>
        </is>
      </c>
      <c r="G1373" s="26" t="inlineStr">
        <is>
          <t>Gen. Mariano Alvarez</t>
        </is>
      </c>
      <c r="H1373" s="26" t="inlineStr">
        <is>
          <t>Severino De Las Alas</t>
        </is>
      </c>
      <c r="I1373" s="27" t="n">
        <v>14.320723</v>
      </c>
      <c r="J1373" s="27" t="n">
        <v>121.020352</v>
      </c>
      <c r="K1373" s="10" t="inlineStr">
        <is>
          <t>U</t>
        </is>
      </c>
      <c r="L1373" s="12" t="n">
        <v>8000</v>
      </c>
      <c r="M1373" s="14" t="n">
        <v>3.4</v>
      </c>
      <c r="N1373" s="12">
        <f>ROUND(L1373/M1373, 0)</f>
        <v/>
      </c>
      <c r="O1373" s="12">
        <f>ROUND(N1373*'Methodology &amp; Assumptions'!$B$5, 0)</f>
        <v/>
      </c>
      <c r="P1373" s="10" t="inlineStr">
        <is>
          <t>Single Carrier (Band n50, 100MHz TDD)</t>
        </is>
      </c>
      <c r="Q1373" s="13">
        <f>ROUNDUP(O1373/'Methodology &amp; Assumptions'!$B$6, 0)</f>
        <v/>
      </c>
      <c r="R1373" s="13" t="n">
        <v>1</v>
      </c>
      <c r="S1373" s="14" t="n">
        <v>2.56</v>
      </c>
      <c r="T1373" s="14" t="n">
        <v>3.38</v>
      </c>
      <c r="U1373" s="26">
        <f>IF(X1373&gt;='Methodology &amp; Assumptions'!$B$7, "Tier 1 Critical GIDA (Score ≥ 50.0)", IF(X1373&gt;='Methodology &amp; Assumptions'!$B$8, "Tier 2 High GIDA (Score 40.0–49.9)", "Tier 3 Moderate GIDA (Score &lt; 40.0)"))</f>
        <v/>
      </c>
      <c r="V1373" s="26">
        <f>IF(S1373&lt;='Methodology &amp; Assumptions'!$B$10, "Direct Optical Drop (&lt;3km)", IF(S1373&lt;='Methodology &amp; Assumptions'!$B$9, "Near Optical / Microwave (&lt;5km)", "Starlink Business LEO Satellite Backhaul (&gt;5km)"))</f>
        <v/>
      </c>
      <c r="W1373" s="28" t="n">
        <v>0.07200000000000001</v>
      </c>
      <c r="X1373" s="14" t="n">
        <v>43.2</v>
      </c>
      <c r="Y1373" s="14">
        <f>ROUND(MIN(100, (X1373/69.91)*100), 2)</f>
        <v/>
      </c>
    </row>
    <row r="1374">
      <c r="A1374" s="10" t="n">
        <v>5</v>
      </c>
      <c r="B1374" s="10" t="n">
        <v>370</v>
      </c>
      <c r="C1374" s="10" t="n">
        <v>4370</v>
      </c>
      <c r="D1374" s="10" t="inlineStr">
        <is>
          <t>0403404013</t>
        </is>
      </c>
      <c r="E1374" s="26" t="inlineStr">
        <is>
          <t>Region IV-A (CALABARZON)</t>
        </is>
      </c>
      <c r="F1374" s="26" t="inlineStr">
        <is>
          <t>Laguna</t>
        </is>
      </c>
      <c r="G1374" s="26" t="inlineStr">
        <is>
          <t>City of Cabuyao</t>
        </is>
      </c>
      <c r="H1374" s="26" t="inlineStr">
        <is>
          <t>Pulo</t>
        </is>
      </c>
      <c r="I1374" s="27" t="n">
        <v>14.192898</v>
      </c>
      <c r="J1374" s="27" t="n">
        <v>121.265458</v>
      </c>
      <c r="K1374" s="10" t="inlineStr">
        <is>
          <t>U</t>
        </is>
      </c>
      <c r="L1374" s="12" t="n">
        <v>38490</v>
      </c>
      <c r="M1374" s="14" t="n">
        <v>3.3</v>
      </c>
      <c r="N1374" s="12">
        <f>ROUND(L1374/M1374, 0)</f>
        <v/>
      </c>
      <c r="O1374" s="12">
        <f>ROUND(N1374*'Methodology &amp; Assumptions'!$B$5, 0)</f>
        <v/>
      </c>
      <c r="P1374" s="10" t="inlineStr">
        <is>
          <t>Single Carrier (Band n50, 100MHz TDD)</t>
        </is>
      </c>
      <c r="Q1374" s="13">
        <f>ROUNDUP(O1374/'Methodology &amp; Assumptions'!$B$6, 0)</f>
        <v/>
      </c>
      <c r="R1374" s="13" t="n">
        <v>1</v>
      </c>
      <c r="S1374" s="14" t="n">
        <v>1.88</v>
      </c>
      <c r="T1374" s="14" t="n">
        <v>1.88</v>
      </c>
      <c r="U1374" s="26">
        <f>IF(X1374&gt;='Methodology &amp; Assumptions'!$B$7, "Tier 1 Critical GIDA (Score ≥ 50.0)", IF(X1374&gt;='Methodology &amp; Assumptions'!$B$8, "Tier 2 High GIDA (Score 40.0–49.9)", "Tier 3 Moderate GIDA (Score &lt; 40.0)"))</f>
        <v/>
      </c>
      <c r="V1374" s="26">
        <f>IF(S1374&lt;='Methodology &amp; Assumptions'!$B$10, "Direct Optical Drop (&lt;3km)", IF(S1374&lt;='Methodology &amp; Assumptions'!$B$9, "Near Optical / Microwave (&lt;5km)", "Starlink Business LEO Satellite Backhaul (&gt;5km)"))</f>
        <v/>
      </c>
      <c r="W1374" s="28" t="n">
        <v>0.07200000000000001</v>
      </c>
      <c r="X1374" s="14" t="n">
        <v>43.19</v>
      </c>
      <c r="Y1374" s="14">
        <f>ROUND(MIN(100, (X1374/69.91)*100), 2)</f>
        <v/>
      </c>
    </row>
    <row r="1375">
      <c r="A1375" s="10" t="n">
        <v>5</v>
      </c>
      <c r="B1375" s="10" t="n">
        <v>371</v>
      </c>
      <c r="C1375" s="10" t="n">
        <v>4371</v>
      </c>
      <c r="D1375" s="10" t="inlineStr">
        <is>
          <t>0702236001</t>
        </is>
      </c>
      <c r="E1375" s="26" t="inlineStr">
        <is>
          <t>Region VII (Central Visayas)</t>
        </is>
      </c>
      <c r="F1375" s="26" t="inlineStr">
        <is>
          <t>Cebu</t>
        </is>
      </c>
      <c r="G1375" s="26" t="inlineStr">
        <is>
          <t>Pilar</t>
        </is>
      </c>
      <c r="H1375" s="26" t="inlineStr">
        <is>
          <t>Biasong</t>
        </is>
      </c>
      <c r="I1375" s="27" t="n">
        <v>10.755445</v>
      </c>
      <c r="J1375" s="27" t="n">
        <v>124.517585</v>
      </c>
      <c r="K1375" s="10" t="inlineStr">
        <is>
          <t>R</t>
        </is>
      </c>
      <c r="L1375" s="12" t="n">
        <v>415</v>
      </c>
      <c r="M1375" s="14" t="n">
        <v>3.8</v>
      </c>
      <c r="N1375" s="12">
        <f>ROUND(L1375/M1375, 0)</f>
        <v/>
      </c>
      <c r="O1375" s="12">
        <f>ROUND(N1375*'Methodology &amp; Assumptions'!$B$5, 0)</f>
        <v/>
      </c>
      <c r="P1375" s="10" t="inlineStr">
        <is>
          <t>Single Carrier (Band n50, 100MHz TDD)</t>
        </is>
      </c>
      <c r="Q1375" s="13">
        <f>ROUNDUP(O1375/'Methodology &amp; Assumptions'!$B$6, 0)</f>
        <v/>
      </c>
      <c r="R1375" s="13" t="n">
        <v>1</v>
      </c>
      <c r="S1375" s="14" t="n">
        <v>20.84</v>
      </c>
      <c r="T1375" s="14" t="n">
        <v>8.619999999999999</v>
      </c>
      <c r="U1375" s="26">
        <f>IF(X1375&gt;='Methodology &amp; Assumptions'!$B$7, "Tier 1 Critical GIDA (Score ≥ 50.0)", IF(X1375&gt;='Methodology &amp; Assumptions'!$B$8, "Tier 2 High GIDA (Score 40.0–49.9)", "Tier 3 Moderate GIDA (Score &lt; 40.0)"))</f>
        <v/>
      </c>
      <c r="V1375" s="26">
        <f>IF(S1375&lt;='Methodology &amp; Assumptions'!$B$10, "Direct Optical Drop (&lt;3km)", IF(S1375&lt;='Methodology &amp; Assumptions'!$B$9, "Near Optical / Microwave (&lt;5km)", "Starlink Business LEO Satellite Backhaul (&gt;5km)"))</f>
        <v/>
      </c>
      <c r="W1375" s="28" t="n">
        <v>0.237</v>
      </c>
      <c r="X1375" s="14" t="n">
        <v>43.19</v>
      </c>
      <c r="Y1375" s="14">
        <f>ROUND(MIN(100, (X1375/69.91)*100), 2)</f>
        <v/>
      </c>
    </row>
    <row r="1376">
      <c r="A1376" s="10" t="n">
        <v>5</v>
      </c>
      <c r="B1376" s="10" t="n">
        <v>372</v>
      </c>
      <c r="C1376" s="10" t="n">
        <v>4372</v>
      </c>
      <c r="D1376" s="10" t="inlineStr">
        <is>
          <t>1606722003</t>
        </is>
      </c>
      <c r="E1376" s="26" t="inlineStr">
        <is>
          <t>Region XIII (Caraga)</t>
        </is>
      </c>
      <c r="F1376" s="26" t="inlineStr">
        <is>
          <t>Surigao del Norte</t>
        </is>
      </c>
      <c r="G1376" s="26" t="inlineStr">
        <is>
          <t>Sison</t>
        </is>
      </c>
      <c r="H1376" s="26" t="inlineStr">
        <is>
          <t>Gacepan</t>
        </is>
      </c>
      <c r="I1376" s="27" t="n">
        <v>9.680484</v>
      </c>
      <c r="J1376" s="27" t="n">
        <v>125.492638</v>
      </c>
      <c r="K1376" s="10" t="inlineStr">
        <is>
          <t>R</t>
        </is>
      </c>
      <c r="L1376" s="12" t="n">
        <v>488</v>
      </c>
      <c r="M1376" s="14" t="n">
        <v>4.1</v>
      </c>
      <c r="N1376" s="12">
        <f>ROUND(L1376/M1376, 0)</f>
        <v/>
      </c>
      <c r="O1376" s="12">
        <f>ROUND(N1376*'Methodology &amp; Assumptions'!$B$5, 0)</f>
        <v/>
      </c>
      <c r="P1376" s="10" t="inlineStr">
        <is>
          <t>Single Carrier (Band n50, 100MHz TDD)</t>
        </is>
      </c>
      <c r="Q1376" s="13">
        <f>ROUNDUP(O1376/'Methodology &amp; Assumptions'!$B$6, 0)</f>
        <v/>
      </c>
      <c r="R1376" s="13" t="n">
        <v>1</v>
      </c>
      <c r="S1376" s="14" t="n">
        <v>11.96</v>
      </c>
      <c r="T1376" s="14" t="n">
        <v>1.97</v>
      </c>
      <c r="U1376" s="26">
        <f>IF(X1376&gt;='Methodology &amp; Assumptions'!$B$7, "Tier 1 Critical GIDA (Score ≥ 50.0)", IF(X1376&gt;='Methodology &amp; Assumptions'!$B$8, "Tier 2 High GIDA (Score 40.0–49.9)", "Tier 3 Moderate GIDA (Score &lt; 40.0)"))</f>
        <v/>
      </c>
      <c r="V1376" s="26">
        <f>IF(S1376&lt;='Methodology &amp; Assumptions'!$B$10, "Direct Optical Drop (&lt;3km)", IF(S1376&lt;='Methodology &amp; Assumptions'!$B$9, "Near Optical / Microwave (&lt;5km)", "Starlink Business LEO Satellite Backhaul (&gt;5km)"))</f>
        <v/>
      </c>
      <c r="W1376" s="28" t="n">
        <v>0.174</v>
      </c>
      <c r="X1376" s="14" t="n">
        <v>43.18</v>
      </c>
      <c r="Y1376" s="14">
        <f>ROUND(MIN(100, (X1376/69.91)*100), 2)</f>
        <v/>
      </c>
    </row>
    <row r="1377">
      <c r="A1377" s="10" t="n">
        <v>5</v>
      </c>
      <c r="B1377" s="10" t="n">
        <v>373</v>
      </c>
      <c r="C1377" s="10" t="n">
        <v>4373</v>
      </c>
      <c r="D1377" s="10" t="inlineStr">
        <is>
          <t>0702232013</t>
        </is>
      </c>
      <c r="E1377" s="26" t="inlineStr">
        <is>
          <t>Region VII (Central Visayas)</t>
        </is>
      </c>
      <c r="F1377" s="26" t="inlineStr">
        <is>
          <t>Cebu</t>
        </is>
      </c>
      <c r="G1377" s="26" t="inlineStr">
        <is>
          <t>Minglanilla</t>
        </is>
      </c>
      <c r="H1377" s="26" t="inlineStr">
        <is>
          <t>Poblacion Ward IV</t>
        </is>
      </c>
      <c r="I1377" s="27" t="n">
        <v>10.253938</v>
      </c>
      <c r="J1377" s="27" t="n">
        <v>123.787189</v>
      </c>
      <c r="K1377" s="10" t="inlineStr">
        <is>
          <t>U</t>
        </is>
      </c>
      <c r="L1377" s="12" t="n">
        <v>4414</v>
      </c>
      <c r="M1377" s="14" t="n">
        <v>3.8</v>
      </c>
      <c r="N1377" s="12">
        <f>ROUND(L1377/M1377, 0)</f>
        <v/>
      </c>
      <c r="O1377" s="12">
        <f>ROUND(N1377*'Methodology &amp; Assumptions'!$B$5, 0)</f>
        <v/>
      </c>
      <c r="P1377" s="10" t="inlineStr">
        <is>
          <t>Single Carrier (Band n50, 100MHz TDD)</t>
        </is>
      </c>
      <c r="Q1377" s="13">
        <f>ROUNDUP(O1377/'Methodology &amp; Assumptions'!$B$6, 0)</f>
        <v/>
      </c>
      <c r="R1377" s="13" t="n">
        <v>1</v>
      </c>
      <c r="S1377" s="14" t="n">
        <v>1.55</v>
      </c>
      <c r="T1377" s="14" t="n">
        <v>1.17</v>
      </c>
      <c r="U1377" s="26">
        <f>IF(X1377&gt;='Methodology &amp; Assumptions'!$B$7, "Tier 1 Critical GIDA (Score ≥ 50.0)", IF(X1377&gt;='Methodology &amp; Assumptions'!$B$8, "Tier 2 High GIDA (Score 40.0–49.9)", "Tier 3 Moderate GIDA (Score &lt; 40.0)"))</f>
        <v/>
      </c>
      <c r="V1377" s="26">
        <f>IF(S1377&lt;='Methodology &amp; Assumptions'!$B$10, "Direct Optical Drop (&lt;3km)", IF(S1377&lt;='Methodology &amp; Assumptions'!$B$9, "Near Optical / Microwave (&lt;5km)", "Starlink Business LEO Satellite Backhaul (&gt;5km)"))</f>
        <v/>
      </c>
      <c r="W1377" s="28" t="n">
        <v>0.237</v>
      </c>
      <c r="X1377" s="14" t="n">
        <v>43.18</v>
      </c>
      <c r="Y1377" s="14">
        <f>ROUND(MIN(100, (X1377/69.91)*100), 2)</f>
        <v/>
      </c>
    </row>
    <row r="1378">
      <c r="A1378" s="10" t="n">
        <v>5</v>
      </c>
      <c r="B1378" s="10" t="n">
        <v>374</v>
      </c>
      <c r="C1378" s="10" t="n">
        <v>4374</v>
      </c>
      <c r="D1378" s="10" t="inlineStr">
        <is>
          <t>0600607015</t>
        </is>
      </c>
      <c r="E1378" s="26" t="inlineStr">
        <is>
          <t>Region VI (Western Visayas)</t>
        </is>
      </c>
      <c r="F1378" s="26" t="inlineStr">
        <is>
          <t>Antique</t>
        </is>
      </c>
      <c r="G1378" s="26" t="inlineStr">
        <is>
          <t>Tobias Fornier</t>
        </is>
      </c>
      <c r="H1378" s="26" t="inlineStr">
        <is>
          <t>Danawan</t>
        </is>
      </c>
      <c r="I1378" s="27" t="n">
        <v>10.481549</v>
      </c>
      <c r="J1378" s="27" t="n">
        <v>121.955014</v>
      </c>
      <c r="K1378" s="10" t="inlineStr">
        <is>
          <t>R</t>
        </is>
      </c>
      <c r="L1378" s="12" t="n">
        <v>526</v>
      </c>
      <c r="M1378" s="14" t="n">
        <v>3.9</v>
      </c>
      <c r="N1378" s="12">
        <f>ROUND(L1378/M1378, 0)</f>
        <v/>
      </c>
      <c r="O1378" s="12">
        <f>ROUND(N1378*'Methodology &amp; Assumptions'!$B$5, 0)</f>
        <v/>
      </c>
      <c r="P1378" s="10" t="inlineStr">
        <is>
          <t>Single Carrier (Band n50, 100MHz TDD)</t>
        </is>
      </c>
      <c r="Q1378" s="13">
        <f>ROUNDUP(O1378/'Methodology &amp; Assumptions'!$B$6, 0)</f>
        <v/>
      </c>
      <c r="R1378" s="13" t="n">
        <v>1</v>
      </c>
      <c r="S1378" s="14" t="n">
        <v>31.27</v>
      </c>
      <c r="T1378" s="14" t="n">
        <v>13.21</v>
      </c>
      <c r="U1378" s="26">
        <f>IF(X1378&gt;='Methodology &amp; Assumptions'!$B$7, "Tier 1 Critical GIDA (Score ≥ 50.0)", IF(X1378&gt;='Methodology &amp; Assumptions'!$B$8, "Tier 2 High GIDA (Score 40.0–49.9)", "Tier 3 Moderate GIDA (Score &lt; 40.0)"))</f>
        <v/>
      </c>
      <c r="V1378" s="26">
        <f>IF(S1378&lt;='Methodology &amp; Assumptions'!$B$10, "Direct Optical Drop (&lt;3km)", IF(S1378&lt;='Methodology &amp; Assumptions'!$B$9, "Near Optical / Microwave (&lt;5km)", "Starlink Business LEO Satellite Backhaul (&gt;5km)"))</f>
        <v/>
      </c>
      <c r="W1378" s="28" t="n">
        <v>0.237</v>
      </c>
      <c r="X1378" s="14" t="n">
        <v>43.18</v>
      </c>
      <c r="Y1378" s="14">
        <f>ROUND(MIN(100, (X1378/69.91)*100), 2)</f>
        <v/>
      </c>
    </row>
    <row r="1379">
      <c r="A1379" s="10" t="n">
        <v>5</v>
      </c>
      <c r="B1379" s="10" t="n">
        <v>375</v>
      </c>
      <c r="C1379" s="10" t="n">
        <v>4375</v>
      </c>
      <c r="D1379" s="10" t="inlineStr">
        <is>
          <t>0601904003</t>
        </is>
      </c>
      <c r="E1379" s="26" t="inlineStr">
        <is>
          <t>Region VI (Western Visayas)</t>
        </is>
      </c>
      <c r="F1379" s="26" t="inlineStr">
        <is>
          <t>Capiz</t>
        </is>
      </c>
      <c r="G1379" s="26" t="inlineStr">
        <is>
          <t>Dumarao</t>
        </is>
      </c>
      <c r="H1379" s="26" t="inlineStr">
        <is>
          <t>Aglanot</t>
        </is>
      </c>
      <c r="I1379" s="27" t="n">
        <v>11.239612</v>
      </c>
      <c r="J1379" s="27" t="n">
        <v>122.840125</v>
      </c>
      <c r="K1379" s="10" t="inlineStr">
        <is>
          <t>R</t>
        </is>
      </c>
      <c r="L1379" s="12" t="n">
        <v>1928</v>
      </c>
      <c r="M1379" s="14" t="n">
        <v>3.8</v>
      </c>
      <c r="N1379" s="12">
        <f>ROUND(L1379/M1379, 0)</f>
        <v/>
      </c>
      <c r="O1379" s="12">
        <f>ROUND(N1379*'Methodology &amp; Assumptions'!$B$5, 0)</f>
        <v/>
      </c>
      <c r="P1379" s="10" t="inlineStr">
        <is>
          <t>Single Carrier (Band n50, 100MHz TDD)</t>
        </is>
      </c>
      <c r="Q1379" s="13">
        <f>ROUNDUP(O1379/'Methodology &amp; Assumptions'!$B$6, 0)</f>
        <v/>
      </c>
      <c r="R1379" s="13" t="n">
        <v>1</v>
      </c>
      <c r="S1379" s="14" t="n">
        <v>6.79</v>
      </c>
      <c r="T1379" s="14" t="n">
        <v>6.51</v>
      </c>
      <c r="U1379" s="26">
        <f>IF(X1379&gt;='Methodology &amp; Assumptions'!$B$7, "Tier 1 Critical GIDA (Score ≥ 50.0)", IF(X1379&gt;='Methodology &amp; Assumptions'!$B$8, "Tier 2 High GIDA (Score 40.0–49.9)", "Tier 3 Moderate GIDA (Score &lt; 40.0)"))</f>
        <v/>
      </c>
      <c r="V1379" s="26">
        <f>IF(S1379&lt;='Methodology &amp; Assumptions'!$B$10, "Direct Optical Drop (&lt;3km)", IF(S1379&lt;='Methodology &amp; Assumptions'!$B$9, "Near Optical / Microwave (&lt;5km)", "Starlink Business LEO Satellite Backhaul (&gt;5km)"))</f>
        <v/>
      </c>
      <c r="W1379" s="28" t="n">
        <v>0.237</v>
      </c>
      <c r="X1379" s="14" t="n">
        <v>43.18</v>
      </c>
      <c r="Y1379" s="14">
        <f>ROUND(MIN(100, (X1379/69.91)*100), 2)</f>
        <v/>
      </c>
    </row>
    <row r="1380">
      <c r="A1380" s="10" t="n">
        <v>5</v>
      </c>
      <c r="B1380" s="10" t="n">
        <v>376</v>
      </c>
      <c r="C1380" s="10" t="n">
        <v>4376</v>
      </c>
      <c r="D1380" s="10" t="inlineStr">
        <is>
          <t>1381300053</t>
        </is>
      </c>
      <c r="E1380" s="26" t="inlineStr">
        <is>
          <t>National Capital Region (NCR)</t>
        </is>
      </c>
      <c r="F1380" s="26" t="inlineStr">
        <is>
          <t>Second District (Not a Province)</t>
        </is>
      </c>
      <c r="G1380" s="26" t="inlineStr">
        <is>
          <t>Quezon City</t>
        </is>
      </c>
      <c r="H1380" s="26" t="inlineStr">
        <is>
          <t>Libis</t>
        </is>
      </c>
      <c r="I1380" s="27" t="n">
        <v>14.616902</v>
      </c>
      <c r="J1380" s="27" t="n">
        <v>121.071465</v>
      </c>
      <c r="K1380" s="10" t="inlineStr">
        <is>
          <t>U</t>
        </is>
      </c>
      <c r="L1380" s="12" t="n">
        <v>4385</v>
      </c>
      <c r="M1380" s="14" t="n">
        <v>3.8</v>
      </c>
      <c r="N1380" s="12">
        <f>ROUND(L1380/M1380, 0)</f>
        <v/>
      </c>
      <c r="O1380" s="12">
        <f>ROUND(N1380*'Methodology &amp; Assumptions'!$B$5, 0)</f>
        <v/>
      </c>
      <c r="P1380" s="10" t="inlineStr">
        <is>
          <t>Single Carrier (Band n50, 100MHz TDD)</t>
        </is>
      </c>
      <c r="Q1380" s="13">
        <f>ROUNDUP(O1380/'Methodology &amp; Assumptions'!$B$6, 0)</f>
        <v/>
      </c>
      <c r="R1380" s="13" t="n">
        <v>1</v>
      </c>
      <c r="S1380" s="14" t="n">
        <v>1.1</v>
      </c>
      <c r="T1380" s="14" t="n">
        <v>0.3</v>
      </c>
      <c r="U1380" s="26">
        <f>IF(X1380&gt;='Methodology &amp; Assumptions'!$B$7, "Tier 1 Critical GIDA (Score ≥ 50.0)", IF(X1380&gt;='Methodology &amp; Assumptions'!$B$8, "Tier 2 High GIDA (Score 40.0–49.9)", "Tier 3 Moderate GIDA (Score &lt; 40.0)"))</f>
        <v/>
      </c>
      <c r="V1380" s="26">
        <f>IF(S1380&lt;='Methodology &amp; Assumptions'!$B$10, "Direct Optical Drop (&lt;3km)", IF(S1380&lt;='Methodology &amp; Assumptions'!$B$9, "Near Optical / Microwave (&lt;5km)", "Starlink Business LEO Satellite Backhaul (&gt;5km)"))</f>
        <v/>
      </c>
      <c r="W1380" s="28" t="n">
        <v>0.109</v>
      </c>
      <c r="X1380" s="14" t="n">
        <v>43.17</v>
      </c>
      <c r="Y1380" s="14">
        <f>ROUND(MIN(100, (X1380/69.91)*100), 2)</f>
        <v/>
      </c>
    </row>
    <row r="1381">
      <c r="A1381" s="10" t="n">
        <v>5</v>
      </c>
      <c r="B1381" s="10" t="n">
        <v>377</v>
      </c>
      <c r="C1381" s="10" t="n">
        <v>4377</v>
      </c>
      <c r="D1381" s="10" t="inlineStr">
        <is>
          <t>1903614016</t>
        </is>
      </c>
      <c r="E1381" s="26" t="inlineStr">
        <is>
          <t>Bangsamoro Autonomous Region In Muslim Mindanao (BARMM)</t>
        </is>
      </c>
      <c r="F1381" s="26" t="inlineStr">
        <is>
          <t>Lanao del Sur</t>
        </is>
      </c>
      <c r="G1381" s="26" t="inlineStr">
        <is>
          <t>Madamba</t>
        </is>
      </c>
      <c r="H1381" s="26" t="inlineStr">
        <is>
          <t>Palao</t>
        </is>
      </c>
      <c r="I1381" s="27" t="n">
        <v>17.254619</v>
      </c>
      <c r="J1381" s="27" t="n">
        <v>122.228663</v>
      </c>
      <c r="K1381" s="10" t="inlineStr">
        <is>
          <t>R</t>
        </is>
      </c>
      <c r="L1381" s="12" t="n">
        <v>890</v>
      </c>
      <c r="M1381" s="14" t="n">
        <v>5.7</v>
      </c>
      <c r="N1381" s="12">
        <f>ROUND(L1381/M1381, 0)</f>
        <v/>
      </c>
      <c r="O1381" s="12">
        <f>ROUND(N1381*'Methodology &amp; Assumptions'!$B$5, 0)</f>
        <v/>
      </c>
      <c r="P1381" s="10" t="inlineStr">
        <is>
          <t>Single Carrier (Band n50, 100MHz TDD)</t>
        </is>
      </c>
      <c r="Q1381" s="13">
        <f>ROUNDUP(O1381/'Methodology &amp; Assumptions'!$B$6, 0)</f>
        <v/>
      </c>
      <c r="R1381" s="13" t="n">
        <v>1</v>
      </c>
      <c r="S1381" s="14" t="n">
        <v>29.38</v>
      </c>
      <c r="T1381" s="14" t="n">
        <v>34.27</v>
      </c>
      <c r="U1381" s="26">
        <f>IF(X1381&gt;='Methodology &amp; Assumptions'!$B$7, "Tier 1 Critical GIDA (Score ≥ 50.0)", IF(X1381&gt;='Methodology &amp; Assumptions'!$B$8, "Tier 2 High GIDA (Score 40.0–49.9)", "Tier 3 Moderate GIDA (Score &lt; 40.0)"))</f>
        <v/>
      </c>
      <c r="V1381" s="26">
        <f>IF(S1381&lt;='Methodology &amp; Assumptions'!$B$10, "Direct Optical Drop (&lt;3km)", IF(S1381&lt;='Methodology &amp; Assumptions'!$B$9, "Near Optical / Microwave (&lt;5km)", "Starlink Business LEO Satellite Backhaul (&gt;5km)"))</f>
        <v/>
      </c>
      <c r="W1381" s="28" t="n">
        <v>0.11</v>
      </c>
      <c r="X1381" s="14" t="n">
        <v>43.17</v>
      </c>
      <c r="Y1381" s="14">
        <f>ROUND(MIN(100, (X1381/69.91)*100), 2)</f>
        <v/>
      </c>
    </row>
    <row r="1382">
      <c r="A1382" s="10" t="n">
        <v>5</v>
      </c>
      <c r="B1382" s="10" t="n">
        <v>378</v>
      </c>
      <c r="C1382" s="10" t="n">
        <v>4378</v>
      </c>
      <c r="D1382" s="10" t="inlineStr">
        <is>
          <t>0301412004</t>
        </is>
      </c>
      <c r="E1382" s="26" t="inlineStr">
        <is>
          <t>Region III (Central Luzon)</t>
        </is>
      </c>
      <c r="F1382" s="26" t="inlineStr">
        <is>
          <t>Bulacan</t>
        </is>
      </c>
      <c r="G1382" s="26" t="inlineStr">
        <is>
          <t>City of Meycauayan</t>
        </is>
      </c>
      <c r="H1382" s="26" t="inlineStr">
        <is>
          <t>Banga</t>
        </is>
      </c>
      <c r="I1382" s="27" t="n">
        <v>14.727493</v>
      </c>
      <c r="J1382" s="27" t="n">
        <v>120.960667</v>
      </c>
      <c r="K1382" s="10" t="inlineStr">
        <is>
          <t>U</t>
        </is>
      </c>
      <c r="L1382" s="12" t="n">
        <v>2638</v>
      </c>
      <c r="M1382" s="14" t="n">
        <v>3.5</v>
      </c>
      <c r="N1382" s="12">
        <f>ROUND(L1382/M1382, 0)</f>
        <v/>
      </c>
      <c r="O1382" s="12">
        <f>ROUND(N1382*'Methodology &amp; Assumptions'!$B$5, 0)</f>
        <v/>
      </c>
      <c r="P1382" s="10" t="inlineStr">
        <is>
          <t>Single Carrier (Band n50, 100MHz TDD)</t>
        </is>
      </c>
      <c r="Q1382" s="13">
        <f>ROUNDUP(O1382/'Methodology &amp; Assumptions'!$B$6, 0)</f>
        <v/>
      </c>
      <c r="R1382" s="13" t="n">
        <v>1</v>
      </c>
      <c r="S1382" s="14" t="n">
        <v>1.47</v>
      </c>
      <c r="T1382" s="14" t="n">
        <v>0.06</v>
      </c>
      <c r="U1382" s="26">
        <f>IF(X1382&gt;='Methodology &amp; Assumptions'!$B$7, "Tier 1 Critical GIDA (Score ≥ 50.0)", IF(X1382&gt;='Methodology &amp; Assumptions'!$B$8, "Tier 2 High GIDA (Score 40.0–49.9)", "Tier 3 Moderate GIDA (Score &lt; 40.0)"))</f>
        <v/>
      </c>
      <c r="V1382" s="26">
        <f>IF(S1382&lt;='Methodology &amp; Assumptions'!$B$10, "Direct Optical Drop (&lt;3km)", IF(S1382&lt;='Methodology &amp; Assumptions'!$B$9, "Near Optical / Microwave (&lt;5km)", "Starlink Business LEO Satellite Backhaul (&gt;5km)"))</f>
        <v/>
      </c>
      <c r="W1382" s="28" t="n">
        <v>0.083</v>
      </c>
      <c r="X1382" s="14" t="n">
        <v>43.17</v>
      </c>
      <c r="Y1382" s="14">
        <f>ROUND(MIN(100, (X1382/69.91)*100), 2)</f>
        <v/>
      </c>
    </row>
    <row r="1383">
      <c r="A1383" s="10" t="n">
        <v>5</v>
      </c>
      <c r="B1383" s="10" t="n">
        <v>379</v>
      </c>
      <c r="C1383" s="10" t="n">
        <v>4379</v>
      </c>
      <c r="D1383" s="10" t="inlineStr">
        <is>
          <t>1705318018</t>
        </is>
      </c>
      <c r="E1383" s="26" t="inlineStr">
        <is>
          <t>MIMAROPA Region</t>
        </is>
      </c>
      <c r="F1383" s="26" t="inlineStr">
        <is>
          <t>Palawan</t>
        </is>
      </c>
      <c r="G1383" s="26" t="inlineStr">
        <is>
          <t>Roxas</t>
        </is>
      </c>
      <c r="H1383" s="26" t="inlineStr">
        <is>
          <t>Salvacion</t>
        </is>
      </c>
      <c r="I1383" s="27" t="n">
        <v>10.21478</v>
      </c>
      <c r="J1383" s="27" t="n">
        <v>119.22125</v>
      </c>
      <c r="K1383" s="10" t="inlineStr">
        <is>
          <t>R</t>
        </is>
      </c>
      <c r="L1383" s="12" t="n">
        <v>892</v>
      </c>
      <c r="M1383" s="14" t="n">
        <v>3.9</v>
      </c>
      <c r="N1383" s="12">
        <f>ROUND(L1383/M1383, 0)</f>
        <v/>
      </c>
      <c r="O1383" s="12">
        <f>ROUND(N1383*'Methodology &amp; Assumptions'!$B$5, 0)</f>
        <v/>
      </c>
      <c r="P1383" s="10" t="inlineStr">
        <is>
          <t>Single Carrier (Band n50, 100MHz TDD)</t>
        </is>
      </c>
      <c r="Q1383" s="13">
        <f>ROUNDUP(O1383/'Methodology &amp; Assumptions'!$B$6, 0)</f>
        <v/>
      </c>
      <c r="R1383" s="13" t="n">
        <v>1</v>
      </c>
      <c r="S1383" s="14" t="n">
        <v>17.68</v>
      </c>
      <c r="T1383" s="14" t="n">
        <v>0.06</v>
      </c>
      <c r="U1383" s="26">
        <f>IF(X1383&gt;='Methodology &amp; Assumptions'!$B$7, "Tier 1 Critical GIDA (Score ≥ 50.0)", IF(X1383&gt;='Methodology &amp; Assumptions'!$B$8, "Tier 2 High GIDA (Score 40.0–49.9)", "Tier 3 Moderate GIDA (Score &lt; 40.0)"))</f>
        <v/>
      </c>
      <c r="V1383" s="26">
        <f>IF(S1383&lt;='Methodology &amp; Assumptions'!$B$10, "Direct Optical Drop (&lt;3km)", IF(S1383&lt;='Methodology &amp; Assumptions'!$B$9, "Near Optical / Microwave (&lt;5km)", "Starlink Business LEO Satellite Backhaul (&gt;5km)"))</f>
        <v/>
      </c>
      <c r="W1383" s="28" t="n">
        <v>0.15</v>
      </c>
      <c r="X1383" s="14" t="n">
        <v>43.17</v>
      </c>
      <c r="Y1383" s="14">
        <f>ROUND(MIN(100, (X1383/69.91)*100), 2)</f>
        <v/>
      </c>
    </row>
    <row r="1384">
      <c r="A1384" s="10" t="n">
        <v>5</v>
      </c>
      <c r="B1384" s="10" t="n">
        <v>380</v>
      </c>
      <c r="C1384" s="10" t="n">
        <v>4380</v>
      </c>
      <c r="D1384" s="10" t="inlineStr">
        <is>
          <t>PH0004380</t>
        </is>
      </c>
      <c r="E1384" s="26" t="inlineStr">
        <is>
          <t>III</t>
        </is>
      </c>
      <c r="F1384" s="26" t="inlineStr">
        <is>
          <t>Nueva Ecija</t>
        </is>
      </c>
      <c r="G1384" s="26" t="inlineStr">
        <is>
          <t>Cabanatuan City</t>
        </is>
      </c>
      <c r="H1384" s="26" t="inlineStr">
        <is>
          <t>Bantug Bulalo</t>
        </is>
      </c>
      <c r="I1384" s="27" t="n">
        <v>15.489941</v>
      </c>
      <c r="J1384" s="27" t="n">
        <v>120.975806</v>
      </c>
      <c r="K1384" s="10" t="inlineStr">
        <is>
          <t>R</t>
        </is>
      </c>
      <c r="L1384" s="12" t="n">
        <v>2398</v>
      </c>
      <c r="M1384" s="14" t="n">
        <v>3.5</v>
      </c>
      <c r="N1384" s="12">
        <f>ROUND(L1384/M1384, 0)</f>
        <v/>
      </c>
      <c r="O1384" s="12">
        <f>ROUND(N1384*'Methodology &amp; Assumptions'!$B$5, 0)</f>
        <v/>
      </c>
      <c r="P1384" s="10" t="inlineStr">
        <is>
          <t>Single Carrier (Band n50, 100MHz TDD)</t>
        </is>
      </c>
      <c r="Q1384" s="13">
        <f>ROUNDUP(O1384/'Methodology &amp; Assumptions'!$B$6, 0)</f>
        <v/>
      </c>
      <c r="R1384" s="13" t="n">
        <v>1</v>
      </c>
      <c r="S1384" s="14" t="n">
        <v>1.82</v>
      </c>
      <c r="T1384" s="14" t="n">
        <v>0.17</v>
      </c>
      <c r="U1384" s="26">
        <f>IF(X1384&gt;='Methodology &amp; Assumptions'!$B$7, "Tier 1 Critical GIDA (Score ≥ 50.0)", IF(X1384&gt;='Methodology &amp; Assumptions'!$B$8, "Tier 2 High GIDA (Score 40.0–49.9)", "Tier 3 Moderate GIDA (Score &lt; 40.0)"))</f>
        <v/>
      </c>
      <c r="V1384" s="26">
        <f>IF(S1384&lt;='Methodology &amp; Assumptions'!$B$10, "Direct Optical Drop (&lt;3km)", IF(S1384&lt;='Methodology &amp; Assumptions'!$B$9, "Near Optical / Microwave (&lt;5km)", "Starlink Business LEO Satellite Backhaul (&gt;5km)"))</f>
        <v/>
      </c>
      <c r="W1384" s="28" t="n">
        <v>0.083</v>
      </c>
      <c r="X1384" s="14" t="n">
        <v>43.17</v>
      </c>
      <c r="Y1384" s="14">
        <f>ROUND(MIN(100, (X1384/69.91)*100), 2)</f>
        <v/>
      </c>
    </row>
    <row r="1385">
      <c r="A1385" s="10" t="n">
        <v>5</v>
      </c>
      <c r="B1385" s="10" t="n">
        <v>381</v>
      </c>
      <c r="C1385" s="10" t="n">
        <v>4381</v>
      </c>
      <c r="D1385" s="10" t="inlineStr">
        <is>
          <t>1380700002</t>
        </is>
      </c>
      <c r="E1385" s="26" t="inlineStr">
        <is>
          <t>National Capital Region (NCR)</t>
        </is>
      </c>
      <c r="F1385" s="26" t="inlineStr">
        <is>
          <t>Second District (Not a Province)</t>
        </is>
      </c>
      <c r="G1385" s="26" t="inlineStr">
        <is>
          <t>City of Marikina</t>
        </is>
      </c>
      <c r="H1385" s="26" t="inlineStr">
        <is>
          <t>Calumpang</t>
        </is>
      </c>
      <c r="I1385" s="27" t="n">
        <v>14.622164</v>
      </c>
      <c r="J1385" s="27" t="n">
        <v>121.090322</v>
      </c>
      <c r="K1385" s="10" t="inlineStr">
        <is>
          <t>U</t>
        </is>
      </c>
      <c r="L1385" s="12" t="n">
        <v>16124</v>
      </c>
      <c r="M1385" s="14" t="n">
        <v>4</v>
      </c>
      <c r="N1385" s="12">
        <f>ROUND(L1385/M1385, 0)</f>
        <v/>
      </c>
      <c r="O1385" s="12">
        <f>ROUND(N1385*'Methodology &amp; Assumptions'!$B$5, 0)</f>
        <v/>
      </c>
      <c r="P1385" s="10" t="inlineStr">
        <is>
          <t>Single Carrier (Band n50, 100MHz TDD)</t>
        </is>
      </c>
      <c r="Q1385" s="13">
        <f>ROUNDUP(O1385/'Methodology &amp; Assumptions'!$B$6, 0)</f>
        <v/>
      </c>
      <c r="R1385" s="13" t="n">
        <v>1</v>
      </c>
      <c r="S1385" s="14" t="n">
        <v>1.71</v>
      </c>
      <c r="T1385" s="14" t="n">
        <v>0.82</v>
      </c>
      <c r="U1385" s="26">
        <f>IF(X1385&gt;='Methodology &amp; Assumptions'!$B$7, "Tier 1 Critical GIDA (Score ≥ 50.0)", IF(X1385&gt;='Methodology &amp; Assumptions'!$B$8, "Tier 2 High GIDA (Score 40.0–49.9)", "Tier 3 Moderate GIDA (Score &lt; 40.0)"))</f>
        <v/>
      </c>
      <c r="V1385" s="26">
        <f>IF(S1385&lt;='Methodology &amp; Assumptions'!$B$10, "Direct Optical Drop (&lt;3km)", IF(S1385&lt;='Methodology &amp; Assumptions'!$B$9, "Near Optical / Microwave (&lt;5km)", "Starlink Business LEO Satellite Backhaul (&gt;5km)"))</f>
        <v/>
      </c>
      <c r="W1385" s="28" t="n">
        <v>0.109</v>
      </c>
      <c r="X1385" s="14" t="n">
        <v>43.17</v>
      </c>
      <c r="Y1385" s="14">
        <f>ROUND(MIN(100, (X1385/69.91)*100), 2)</f>
        <v/>
      </c>
    </row>
    <row r="1386">
      <c r="A1386" s="10" t="n">
        <v>5</v>
      </c>
      <c r="B1386" s="10" t="n">
        <v>382</v>
      </c>
      <c r="C1386" s="10" t="n">
        <v>4382</v>
      </c>
      <c r="D1386" s="10" t="inlineStr">
        <is>
          <t>PH0004382</t>
        </is>
      </c>
      <c r="E1386" s="26" t="inlineStr">
        <is>
          <t>XII</t>
        </is>
      </c>
      <c r="F1386" s="26" t="inlineStr">
        <is>
          <t>South Cotabato</t>
        </is>
      </c>
      <c r="G1386" s="26" t="inlineStr">
        <is>
          <t>General Santos City (Dadiangas)</t>
        </is>
      </c>
      <c r="H1386" s="26" t="inlineStr">
        <is>
          <t>Dadiangas West</t>
        </is>
      </c>
      <c r="I1386" s="27" t="n">
        <v>6.109692</v>
      </c>
      <c r="J1386" s="27" t="n">
        <v>125.169046</v>
      </c>
      <c r="K1386" s="10" t="inlineStr">
        <is>
          <t>R</t>
        </is>
      </c>
      <c r="L1386" s="12" t="n">
        <v>2278</v>
      </c>
      <c r="M1386" s="14" t="n">
        <v>3.6</v>
      </c>
      <c r="N1386" s="12">
        <f>ROUND(L1386/M1386, 0)</f>
        <v/>
      </c>
      <c r="O1386" s="12">
        <f>ROUND(N1386*'Methodology &amp; Assumptions'!$B$5, 0)</f>
        <v/>
      </c>
      <c r="P1386" s="10" t="inlineStr">
        <is>
          <t>Single Carrier (Band n50, 100MHz TDD)</t>
        </is>
      </c>
      <c r="Q1386" s="13">
        <f>ROUNDUP(O1386/'Methodology &amp; Assumptions'!$B$6, 0)</f>
        <v/>
      </c>
      <c r="R1386" s="13" t="n">
        <v>1</v>
      </c>
      <c r="S1386" s="14" t="n">
        <v>1.61</v>
      </c>
      <c r="T1386" s="14" t="n">
        <v>1.04</v>
      </c>
      <c r="U1386" s="26">
        <f>IF(X1386&gt;='Methodology &amp; Assumptions'!$B$7, "Tier 1 Critical GIDA (Score ≥ 50.0)", IF(X1386&gt;='Methodology &amp; Assumptions'!$B$8, "Tier 2 High GIDA (Score 40.0–49.9)", "Tier 3 Moderate GIDA (Score &lt; 40.0)"))</f>
        <v/>
      </c>
      <c r="V1386" s="26">
        <f>IF(S1386&lt;='Methodology &amp; Assumptions'!$B$10, "Direct Optical Drop (&lt;3km)", IF(S1386&lt;='Methodology &amp; Assumptions'!$B$9, "Near Optical / Microwave (&lt;5km)", "Starlink Business LEO Satellite Backhaul (&gt;5km)"))</f>
        <v/>
      </c>
      <c r="W1386" s="28" t="n">
        <v>0.197</v>
      </c>
      <c r="X1386" s="14" t="n">
        <v>43.17</v>
      </c>
      <c r="Y1386" s="14">
        <f>ROUND(MIN(100, (X1386/69.91)*100), 2)</f>
        <v/>
      </c>
    </row>
    <row r="1387">
      <c r="A1387" s="10" t="n">
        <v>5</v>
      </c>
      <c r="B1387" s="10" t="n">
        <v>383</v>
      </c>
      <c r="C1387" s="10" t="n">
        <v>4383</v>
      </c>
      <c r="D1387" s="10" t="inlineStr">
        <is>
          <t>1381300093</t>
        </is>
      </c>
      <c r="E1387" s="26" t="inlineStr">
        <is>
          <t>National Capital Region (NCR)</t>
        </is>
      </c>
      <c r="F1387" s="26" t="inlineStr">
        <is>
          <t>Second District (Not a Province)</t>
        </is>
      </c>
      <c r="G1387" s="26" t="inlineStr">
        <is>
          <t>Quezon City</t>
        </is>
      </c>
      <c r="H1387" s="26" t="inlineStr">
        <is>
          <t>Saint Peter</t>
        </is>
      </c>
      <c r="I1387" s="27" t="n">
        <v>14.62545</v>
      </c>
      <c r="J1387" s="27" t="n">
        <v>121.015387</v>
      </c>
      <c r="K1387" s="10" t="inlineStr">
        <is>
          <t>U</t>
        </is>
      </c>
      <c r="L1387" s="12" t="n">
        <v>4219</v>
      </c>
      <c r="M1387" s="14" t="n">
        <v>3.8</v>
      </c>
      <c r="N1387" s="12">
        <f>ROUND(L1387/M1387, 0)</f>
        <v/>
      </c>
      <c r="O1387" s="12">
        <f>ROUND(N1387*'Methodology &amp; Assumptions'!$B$5, 0)</f>
        <v/>
      </c>
      <c r="P1387" s="10" t="inlineStr">
        <is>
          <t>Single Carrier (Band n50, 100MHz TDD)</t>
        </is>
      </c>
      <c r="Q1387" s="13">
        <f>ROUNDUP(O1387/'Methodology &amp; Assumptions'!$B$6, 0)</f>
        <v/>
      </c>
      <c r="R1387" s="13" t="n">
        <v>1</v>
      </c>
      <c r="S1387" s="14" t="n">
        <v>0.9</v>
      </c>
      <c r="T1387" s="14" t="n">
        <v>0.74</v>
      </c>
      <c r="U1387" s="26">
        <f>IF(X1387&gt;='Methodology &amp; Assumptions'!$B$7, "Tier 1 Critical GIDA (Score ≥ 50.0)", IF(X1387&gt;='Methodology &amp; Assumptions'!$B$8, "Tier 2 High GIDA (Score 40.0–49.9)", "Tier 3 Moderate GIDA (Score &lt; 40.0)"))</f>
        <v/>
      </c>
      <c r="V1387" s="26">
        <f>IF(S1387&lt;='Methodology &amp; Assumptions'!$B$10, "Direct Optical Drop (&lt;3km)", IF(S1387&lt;='Methodology &amp; Assumptions'!$B$9, "Near Optical / Microwave (&lt;5km)", "Starlink Business LEO Satellite Backhaul (&gt;5km)"))</f>
        <v/>
      </c>
      <c r="W1387" s="28" t="n">
        <v>0.109</v>
      </c>
      <c r="X1387" s="14" t="n">
        <v>43.16</v>
      </c>
      <c r="Y1387" s="14">
        <f>ROUND(MIN(100, (X1387/69.91)*100), 2)</f>
        <v/>
      </c>
    </row>
    <row r="1388">
      <c r="A1388" s="10" t="n">
        <v>5</v>
      </c>
      <c r="B1388" s="10" t="n">
        <v>384</v>
      </c>
      <c r="C1388" s="10" t="n">
        <v>4384</v>
      </c>
      <c r="D1388" s="10" t="inlineStr">
        <is>
          <t>1108209026</t>
        </is>
      </c>
      <c r="E1388" s="26" t="inlineStr">
        <is>
          <t>Region XI (Davao Region)</t>
        </is>
      </c>
      <c r="F1388" s="26" t="inlineStr">
        <is>
          <t>Davao de Oro</t>
        </is>
      </c>
      <c r="G1388" s="26" t="inlineStr">
        <is>
          <t>Nabunturan</t>
        </is>
      </c>
      <c r="H1388" s="26" t="inlineStr">
        <is>
          <t>Tagnocon</t>
        </is>
      </c>
      <c r="I1388" s="27" t="n">
        <v>7.514875</v>
      </c>
      <c r="J1388" s="27" t="n">
        <v>126.036537</v>
      </c>
      <c r="K1388" s="10" t="inlineStr">
        <is>
          <t>R</t>
        </is>
      </c>
      <c r="L1388" s="12" t="n">
        <v>2988</v>
      </c>
      <c r="M1388" s="14" t="n">
        <v>3.7</v>
      </c>
      <c r="N1388" s="12">
        <f>ROUND(L1388/M1388, 0)</f>
        <v/>
      </c>
      <c r="O1388" s="12">
        <f>ROUND(N1388*'Methodology &amp; Assumptions'!$B$5, 0)</f>
        <v/>
      </c>
      <c r="P1388" s="10" t="inlineStr">
        <is>
          <t>Single Carrier (Band n50, 100MHz TDD)</t>
        </is>
      </c>
      <c r="Q1388" s="13">
        <f>ROUNDUP(O1388/'Methodology &amp; Assumptions'!$B$6, 0)</f>
        <v/>
      </c>
      <c r="R1388" s="13" t="n">
        <v>1</v>
      </c>
      <c r="S1388" s="14" t="n">
        <v>24.62</v>
      </c>
      <c r="T1388" s="14" t="n">
        <v>12.5</v>
      </c>
      <c r="U1388" s="26">
        <f>IF(X1388&gt;='Methodology &amp; Assumptions'!$B$7, "Tier 1 Critical GIDA (Score ≥ 50.0)", IF(X1388&gt;='Methodology &amp; Assumptions'!$B$8, "Tier 2 High GIDA (Score 40.0–49.9)", "Tier 3 Moderate GIDA (Score &lt; 40.0)"))</f>
        <v/>
      </c>
      <c r="V1388" s="26">
        <f>IF(S1388&lt;='Methodology &amp; Assumptions'!$B$10, "Direct Optical Drop (&lt;3km)", IF(S1388&lt;='Methodology &amp; Assumptions'!$B$9, "Near Optical / Microwave (&lt;5km)", "Starlink Business LEO Satellite Backhaul (&gt;5km)"))</f>
        <v/>
      </c>
      <c r="W1388" s="28" t="n">
        <v>0.174</v>
      </c>
      <c r="X1388" s="14" t="n">
        <v>43.16</v>
      </c>
      <c r="Y1388" s="14">
        <f>ROUND(MIN(100, (X1388/69.91)*100), 2)</f>
        <v/>
      </c>
    </row>
    <row r="1389">
      <c r="A1389" s="10" t="n">
        <v>5</v>
      </c>
      <c r="B1389" s="10" t="n">
        <v>385</v>
      </c>
      <c r="C1389" s="10" t="n">
        <v>4385</v>
      </c>
      <c r="D1389" s="10" t="inlineStr">
        <is>
          <t>PH0004385</t>
        </is>
      </c>
      <c r="E1389" s="26" t="inlineStr">
        <is>
          <t>IV-A</t>
        </is>
      </c>
      <c r="F1389" s="26" t="inlineStr">
        <is>
          <t>Cavite</t>
        </is>
      </c>
      <c r="G1389" s="26" t="inlineStr">
        <is>
          <t>Cavite City</t>
        </is>
      </c>
      <c r="H1389" s="26" t="inlineStr">
        <is>
          <t>Barangay 5</t>
        </is>
      </c>
      <c r="I1389" s="27" t="n">
        <v>14.478183</v>
      </c>
      <c r="J1389" s="27" t="n">
        <v>120.927026</v>
      </c>
      <c r="K1389" s="10" t="inlineStr">
        <is>
          <t>R</t>
        </is>
      </c>
      <c r="L1389" s="12" t="n">
        <v>2316</v>
      </c>
      <c r="M1389" s="14" t="n">
        <v>3.4</v>
      </c>
      <c r="N1389" s="12">
        <f>ROUND(L1389/M1389, 0)</f>
        <v/>
      </c>
      <c r="O1389" s="12">
        <f>ROUND(N1389*'Methodology &amp; Assumptions'!$B$5, 0)</f>
        <v/>
      </c>
      <c r="P1389" s="10" t="inlineStr">
        <is>
          <t>Single Carrier (Band n50, 100MHz TDD)</t>
        </is>
      </c>
      <c r="Q1389" s="13">
        <f>ROUNDUP(O1389/'Methodology &amp; Assumptions'!$B$6, 0)</f>
        <v/>
      </c>
      <c r="R1389" s="13" t="n">
        <v>1</v>
      </c>
      <c r="S1389" s="14" t="n">
        <v>4.13</v>
      </c>
      <c r="T1389" s="14" t="n">
        <v>3.06</v>
      </c>
      <c r="U1389" s="26">
        <f>IF(X1389&gt;='Methodology &amp; Assumptions'!$B$7, "Tier 1 Critical GIDA (Score ≥ 50.0)", IF(X1389&gt;='Methodology &amp; Assumptions'!$B$8, "Tier 2 High GIDA (Score 40.0–49.9)", "Tier 3 Moderate GIDA (Score &lt; 40.0)"))</f>
        <v/>
      </c>
      <c r="V1389" s="26">
        <f>IF(S1389&lt;='Methodology &amp; Assumptions'!$B$10, "Direct Optical Drop (&lt;3km)", IF(S1389&lt;='Methodology &amp; Assumptions'!$B$9, "Near Optical / Microwave (&lt;5km)", "Starlink Business LEO Satellite Backhaul (&gt;5km)"))</f>
        <v/>
      </c>
      <c r="W1389" s="28" t="n">
        <v>0.07200000000000001</v>
      </c>
      <c r="X1389" s="14" t="n">
        <v>43.15</v>
      </c>
      <c r="Y1389" s="14">
        <f>ROUND(MIN(100, (X1389/69.91)*100), 2)</f>
        <v/>
      </c>
    </row>
    <row r="1390">
      <c r="A1390" s="10" t="n">
        <v>5</v>
      </c>
      <c r="B1390" s="10" t="n">
        <v>386</v>
      </c>
      <c r="C1390" s="10" t="n">
        <v>4386</v>
      </c>
      <c r="D1390" s="10" t="inlineStr">
        <is>
          <t>1906609003</t>
        </is>
      </c>
      <c r="E1390" s="26" t="inlineStr">
        <is>
          <t>Bangsamoro Autonomous Region In Muslim Mindanao (BARMM)</t>
        </is>
      </c>
      <c r="F1390" s="26" t="inlineStr">
        <is>
          <t>Sulu</t>
        </is>
      </c>
      <c r="G1390" s="26" t="inlineStr">
        <is>
          <t>Parang</t>
        </is>
      </c>
      <c r="H1390" s="26" t="inlineStr">
        <is>
          <t>Bagsak</t>
        </is>
      </c>
      <c r="I1390" s="27" t="n">
        <v>17.255371</v>
      </c>
      <c r="J1390" s="27" t="n">
        <v>122.229415</v>
      </c>
      <c r="K1390" s="10" t="inlineStr">
        <is>
          <t>R</t>
        </is>
      </c>
      <c r="L1390" s="12" t="n">
        <v>2545</v>
      </c>
      <c r="M1390" s="14" t="n">
        <v>6</v>
      </c>
      <c r="N1390" s="12">
        <f>ROUND(L1390/M1390, 0)</f>
        <v/>
      </c>
      <c r="O1390" s="12">
        <f>ROUND(N1390*'Methodology &amp; Assumptions'!$B$5, 0)</f>
        <v/>
      </c>
      <c r="P1390" s="10" t="inlineStr">
        <is>
          <t>Single Carrier (Band n50, 100MHz TDD)</t>
        </is>
      </c>
      <c r="Q1390" s="13">
        <f>ROUNDUP(O1390/'Methodology &amp; Assumptions'!$B$6, 0)</f>
        <v/>
      </c>
      <c r="R1390" s="13" t="n">
        <v>1</v>
      </c>
      <c r="S1390" s="14" t="n">
        <v>29.5</v>
      </c>
      <c r="T1390" s="14" t="n">
        <v>34.37</v>
      </c>
      <c r="U1390" s="26">
        <f>IF(X1390&gt;='Methodology &amp; Assumptions'!$B$7, "Tier 1 Critical GIDA (Score ≥ 50.0)", IF(X1390&gt;='Methodology &amp; Assumptions'!$B$8, "Tier 2 High GIDA (Score 40.0–49.9)", "Tier 3 Moderate GIDA (Score &lt; 40.0)"))</f>
        <v/>
      </c>
      <c r="V1390" s="26">
        <f>IF(S1390&lt;='Methodology &amp; Assumptions'!$B$10, "Direct Optical Drop (&lt;3km)", IF(S1390&lt;='Methodology &amp; Assumptions'!$B$9, "Near Optical / Microwave (&lt;5km)", "Starlink Business LEO Satellite Backhaul (&gt;5km)"))</f>
        <v/>
      </c>
      <c r="W1390" s="28" t="n">
        <v>0.11</v>
      </c>
      <c r="X1390" s="14" t="n">
        <v>43.15</v>
      </c>
      <c r="Y1390" s="14">
        <f>ROUND(MIN(100, (X1390/69.91)*100), 2)</f>
        <v/>
      </c>
    </row>
    <row r="1391">
      <c r="A1391" s="10" t="n">
        <v>5</v>
      </c>
      <c r="B1391" s="10" t="n">
        <v>387</v>
      </c>
      <c r="C1391" s="10" t="n">
        <v>4387</v>
      </c>
      <c r="D1391" s="10" t="inlineStr">
        <is>
          <t>1906613020</t>
        </is>
      </c>
      <c r="E1391" s="26" t="inlineStr">
        <is>
          <t>Bangsamoro Autonomous Region In Muslim Mindanao (BARMM)</t>
        </is>
      </c>
      <c r="F1391" s="26" t="inlineStr">
        <is>
          <t>Sulu</t>
        </is>
      </c>
      <c r="G1391" s="26" t="inlineStr">
        <is>
          <t>Talipao</t>
        </is>
      </c>
      <c r="H1391" s="26" t="inlineStr">
        <is>
          <t>Kiutaan</t>
        </is>
      </c>
      <c r="I1391" s="27" t="n">
        <v>17.255989</v>
      </c>
      <c r="J1391" s="27" t="n">
        <v>122.222914</v>
      </c>
      <c r="K1391" s="10" t="inlineStr">
        <is>
          <t>R</t>
        </is>
      </c>
      <c r="L1391" s="12" t="n">
        <v>2074</v>
      </c>
      <c r="M1391" s="14" t="n">
        <v>6</v>
      </c>
      <c r="N1391" s="12">
        <f>ROUND(L1391/M1391, 0)</f>
        <v/>
      </c>
      <c r="O1391" s="12">
        <f>ROUND(N1391*'Methodology &amp; Assumptions'!$B$5, 0)</f>
        <v/>
      </c>
      <c r="P1391" s="10" t="inlineStr">
        <is>
          <t>Single Carrier (Band n50, 100MHz TDD)</t>
        </is>
      </c>
      <c r="Q1391" s="13">
        <f>ROUNDUP(O1391/'Methodology &amp; Assumptions'!$B$6, 0)</f>
        <v/>
      </c>
      <c r="R1391" s="13" t="n">
        <v>1</v>
      </c>
      <c r="S1391" s="14" t="n">
        <v>29.01</v>
      </c>
      <c r="T1391" s="14" t="n">
        <v>33.73</v>
      </c>
      <c r="U1391" s="26">
        <f>IF(X1391&gt;='Methodology &amp; Assumptions'!$B$7, "Tier 1 Critical GIDA (Score ≥ 50.0)", IF(X1391&gt;='Methodology &amp; Assumptions'!$B$8, "Tier 2 High GIDA (Score 40.0–49.9)", "Tier 3 Moderate GIDA (Score &lt; 40.0)"))</f>
        <v/>
      </c>
      <c r="V1391" s="26">
        <f>IF(S1391&lt;='Methodology &amp; Assumptions'!$B$10, "Direct Optical Drop (&lt;3km)", IF(S1391&lt;='Methodology &amp; Assumptions'!$B$9, "Near Optical / Microwave (&lt;5km)", "Starlink Business LEO Satellite Backhaul (&gt;5km)"))</f>
        <v/>
      </c>
      <c r="W1391" s="28" t="n">
        <v>0.11</v>
      </c>
      <c r="X1391" s="14" t="n">
        <v>43.15</v>
      </c>
      <c r="Y1391" s="14">
        <f>ROUND(MIN(100, (X1391/69.91)*100), 2)</f>
        <v/>
      </c>
    </row>
    <row r="1392">
      <c r="A1392" s="10" t="n">
        <v>5</v>
      </c>
      <c r="B1392" s="10" t="n">
        <v>388</v>
      </c>
      <c r="C1392" s="10" t="n">
        <v>4388</v>
      </c>
      <c r="D1392" s="10" t="inlineStr">
        <is>
          <t>1381200027</t>
        </is>
      </c>
      <c r="E1392" s="26" t="inlineStr">
        <is>
          <t>National Capital Region (NCR)</t>
        </is>
      </c>
      <c r="F1392" s="26" t="inlineStr">
        <is>
          <t>Second District (Not a Province)</t>
        </is>
      </c>
      <c r="G1392" s="26" t="inlineStr">
        <is>
          <t>City of Pasig</t>
        </is>
      </c>
      <c r="H1392" s="26" t="inlineStr">
        <is>
          <t>Santolan</t>
        </is>
      </c>
      <c r="I1392" s="27" t="n">
        <v>14.615001</v>
      </c>
      <c r="J1392" s="27" t="n">
        <v>121.082339</v>
      </c>
      <c r="K1392" s="10" t="inlineStr">
        <is>
          <t>U</t>
        </is>
      </c>
      <c r="L1392" s="12" t="n">
        <v>61532</v>
      </c>
      <c r="M1392" s="14" t="n">
        <v>3.4</v>
      </c>
      <c r="N1392" s="12">
        <f>ROUND(L1392/M1392, 0)</f>
        <v/>
      </c>
      <c r="O1392" s="12">
        <f>ROUND(N1392*'Methodology &amp; Assumptions'!$B$5, 0)</f>
        <v/>
      </c>
      <c r="P1392" s="10" t="inlineStr">
        <is>
          <t>Single Carrier (Band n50, 100MHz TDD)</t>
        </is>
      </c>
      <c r="Q1392" s="13">
        <f>ROUNDUP(O1392/'Methodology &amp; Assumptions'!$B$6, 0)</f>
        <v/>
      </c>
      <c r="R1392" s="13" t="n">
        <v>1</v>
      </c>
      <c r="S1392" s="14" t="n">
        <v>0.73</v>
      </c>
      <c r="T1392" s="14" t="n">
        <v>1.08</v>
      </c>
      <c r="U1392" s="26">
        <f>IF(X1392&gt;='Methodology &amp; Assumptions'!$B$7, "Tier 1 Critical GIDA (Score ≥ 50.0)", IF(X1392&gt;='Methodology &amp; Assumptions'!$B$8, "Tier 2 High GIDA (Score 40.0–49.9)", "Tier 3 Moderate GIDA (Score &lt; 40.0)"))</f>
        <v/>
      </c>
      <c r="V1392" s="26">
        <f>IF(S1392&lt;='Methodology &amp; Assumptions'!$B$10, "Direct Optical Drop (&lt;3km)", IF(S1392&lt;='Methodology &amp; Assumptions'!$B$9, "Near Optical / Microwave (&lt;5km)", "Starlink Business LEO Satellite Backhaul (&gt;5km)"))</f>
        <v/>
      </c>
      <c r="W1392" s="28" t="n">
        <v>0.109</v>
      </c>
      <c r="X1392" s="14" t="n">
        <v>43.15</v>
      </c>
      <c r="Y1392" s="14">
        <f>ROUND(MIN(100, (X1392/69.91)*100), 2)</f>
        <v/>
      </c>
    </row>
    <row r="1393">
      <c r="A1393" s="10" t="n">
        <v>5</v>
      </c>
      <c r="B1393" s="10" t="n">
        <v>389</v>
      </c>
      <c r="C1393" s="10" t="n">
        <v>4389</v>
      </c>
      <c r="D1393" s="10" t="inlineStr">
        <is>
          <t>PH0004389</t>
        </is>
      </c>
      <c r="E1393" s="26" t="inlineStr">
        <is>
          <t>IV-A</t>
        </is>
      </c>
      <c r="F1393" s="26" t="inlineStr">
        <is>
          <t>Cavite</t>
        </is>
      </c>
      <c r="G1393" s="26" t="inlineStr">
        <is>
          <t>City of Bacoor</t>
        </is>
      </c>
      <c r="H1393" s="26" t="inlineStr">
        <is>
          <t>P.F. Espiritu 3</t>
        </is>
      </c>
      <c r="I1393" s="27" t="n">
        <v>14.133201</v>
      </c>
      <c r="J1393" s="27" t="n">
        <v>120.952021</v>
      </c>
      <c r="K1393" s="10" t="inlineStr">
        <is>
          <t>R</t>
        </is>
      </c>
      <c r="L1393" s="12" t="n">
        <v>9584</v>
      </c>
      <c r="M1393" s="14" t="n">
        <v>3.4</v>
      </c>
      <c r="N1393" s="12">
        <f>ROUND(L1393/M1393, 0)</f>
        <v/>
      </c>
      <c r="O1393" s="12">
        <f>ROUND(N1393*'Methodology &amp; Assumptions'!$B$5, 0)</f>
        <v/>
      </c>
      <c r="P1393" s="10" t="inlineStr">
        <is>
          <t>Single Carrier (Band n50, 100MHz TDD)</t>
        </is>
      </c>
      <c r="Q1393" s="13">
        <f>ROUNDUP(O1393/'Methodology &amp; Assumptions'!$B$6, 0)</f>
        <v/>
      </c>
      <c r="R1393" s="13" t="n">
        <v>1</v>
      </c>
      <c r="S1393" s="14" t="n">
        <v>3.11</v>
      </c>
      <c r="T1393" s="14" t="n">
        <v>1.08</v>
      </c>
      <c r="U1393" s="26">
        <f>IF(X1393&gt;='Methodology &amp; Assumptions'!$B$7, "Tier 1 Critical GIDA (Score ≥ 50.0)", IF(X1393&gt;='Methodology &amp; Assumptions'!$B$8, "Tier 2 High GIDA (Score 40.0–49.9)", "Tier 3 Moderate GIDA (Score &lt; 40.0)"))</f>
        <v/>
      </c>
      <c r="V1393" s="26">
        <f>IF(S1393&lt;='Methodology &amp; Assumptions'!$B$10, "Direct Optical Drop (&lt;3km)", IF(S1393&lt;='Methodology &amp; Assumptions'!$B$9, "Near Optical / Microwave (&lt;5km)", "Starlink Business LEO Satellite Backhaul (&gt;5km)"))</f>
        <v/>
      </c>
      <c r="W1393" s="28" t="n">
        <v>0.07200000000000001</v>
      </c>
      <c r="X1393" s="14" t="n">
        <v>43.14</v>
      </c>
      <c r="Y1393" s="14">
        <f>ROUND(MIN(100, (X1393/69.91)*100), 2)</f>
        <v/>
      </c>
    </row>
    <row r="1394">
      <c r="A1394" s="10" t="n">
        <v>5</v>
      </c>
      <c r="B1394" s="10" t="n">
        <v>390</v>
      </c>
      <c r="C1394" s="10" t="n">
        <v>4390</v>
      </c>
      <c r="D1394" s="10" t="inlineStr">
        <is>
          <t>0401029029</t>
        </is>
      </c>
      <c r="E1394" s="26" t="inlineStr">
        <is>
          <t>Region IV-A (CALABARZON)</t>
        </is>
      </c>
      <c r="F1394" s="26" t="inlineStr">
        <is>
          <t>Batangas</t>
        </is>
      </c>
      <c r="G1394" s="26" t="inlineStr">
        <is>
          <t>Taal</t>
        </is>
      </c>
      <c r="H1394" s="26" t="inlineStr">
        <is>
          <t>Poblacion 5</t>
        </is>
      </c>
      <c r="I1394" s="27" t="n">
        <v>13.888721</v>
      </c>
      <c r="J1394" s="27" t="n">
        <v>120.926382</v>
      </c>
      <c r="K1394" s="10" t="inlineStr">
        <is>
          <t>R</t>
        </is>
      </c>
      <c r="L1394" s="12" t="n">
        <v>2093</v>
      </c>
      <c r="M1394" s="14" t="n">
        <v>3.6</v>
      </c>
      <c r="N1394" s="12">
        <f>ROUND(L1394/M1394, 0)</f>
        <v/>
      </c>
      <c r="O1394" s="12">
        <f>ROUND(N1394*'Methodology &amp; Assumptions'!$B$5, 0)</f>
        <v/>
      </c>
      <c r="P1394" s="10" t="inlineStr">
        <is>
          <t>Single Carrier (Band n50, 100MHz TDD)</t>
        </is>
      </c>
      <c r="Q1394" s="13">
        <f>ROUNDUP(O1394/'Methodology &amp; Assumptions'!$B$6, 0)</f>
        <v/>
      </c>
      <c r="R1394" s="13" t="n">
        <v>1</v>
      </c>
      <c r="S1394" s="14" t="n">
        <v>0.99</v>
      </c>
      <c r="T1394" s="14" t="n">
        <v>0.7</v>
      </c>
      <c r="U1394" s="26">
        <f>IF(X1394&gt;='Methodology &amp; Assumptions'!$B$7, "Tier 1 Critical GIDA (Score ≥ 50.0)", IF(X1394&gt;='Methodology &amp; Assumptions'!$B$8, "Tier 2 High GIDA (Score 40.0–49.9)", "Tier 3 Moderate GIDA (Score &lt; 40.0)"))</f>
        <v/>
      </c>
      <c r="V1394" s="26">
        <f>IF(S1394&lt;='Methodology &amp; Assumptions'!$B$10, "Direct Optical Drop (&lt;3km)", IF(S1394&lt;='Methodology &amp; Assumptions'!$B$9, "Near Optical / Microwave (&lt;5km)", "Starlink Business LEO Satellite Backhaul (&gt;5km)"))</f>
        <v/>
      </c>
      <c r="W1394" s="28" t="n">
        <v>0.07200000000000001</v>
      </c>
      <c r="X1394" s="14" t="n">
        <v>43.14</v>
      </c>
      <c r="Y1394" s="14">
        <f>ROUND(MIN(100, (X1394/69.91)*100), 2)</f>
        <v/>
      </c>
    </row>
    <row r="1395">
      <c r="A1395" s="10" t="n">
        <v>5</v>
      </c>
      <c r="B1395" s="10" t="n">
        <v>391</v>
      </c>
      <c r="C1395" s="10" t="n">
        <v>4391</v>
      </c>
      <c r="D1395" s="10" t="inlineStr">
        <is>
          <t>1903607022</t>
        </is>
      </c>
      <c r="E1395" s="26" t="inlineStr">
        <is>
          <t>Bangsamoro Autonomous Region In Muslim Mindanao (BARMM)</t>
        </is>
      </c>
      <c r="F1395" s="26" t="inlineStr">
        <is>
          <t>Lanao del Sur</t>
        </is>
      </c>
      <c r="G1395" s="26" t="inlineStr">
        <is>
          <t>Butig</t>
        </is>
      </c>
      <c r="H1395" s="26" t="inlineStr">
        <is>
          <t>Dolangan</t>
        </is>
      </c>
      <c r="I1395" s="27" t="n">
        <v>17.254775</v>
      </c>
      <c r="J1395" s="27" t="n">
        <v>122.228819</v>
      </c>
      <c r="K1395" s="10" t="inlineStr">
        <is>
          <t>R</t>
        </is>
      </c>
      <c r="L1395" s="12" t="n">
        <v>921</v>
      </c>
      <c r="M1395" s="14" t="n">
        <v>5.7</v>
      </c>
      <c r="N1395" s="12">
        <f>ROUND(L1395/M1395, 0)</f>
        <v/>
      </c>
      <c r="O1395" s="12">
        <f>ROUND(N1395*'Methodology &amp; Assumptions'!$B$5, 0)</f>
        <v/>
      </c>
      <c r="P1395" s="10" t="inlineStr">
        <is>
          <t>Single Carrier (Band n50, 100MHz TDD)</t>
        </is>
      </c>
      <c r="Q1395" s="13">
        <f>ROUNDUP(O1395/'Methodology &amp; Assumptions'!$B$6, 0)</f>
        <v/>
      </c>
      <c r="R1395" s="13" t="n">
        <v>1</v>
      </c>
      <c r="S1395" s="14" t="n">
        <v>29.4</v>
      </c>
      <c r="T1395" s="14" t="n">
        <v>34.29</v>
      </c>
      <c r="U1395" s="26">
        <f>IF(X1395&gt;='Methodology &amp; Assumptions'!$B$7, "Tier 1 Critical GIDA (Score ≥ 50.0)", IF(X1395&gt;='Methodology &amp; Assumptions'!$B$8, "Tier 2 High GIDA (Score 40.0–49.9)", "Tier 3 Moderate GIDA (Score &lt; 40.0)"))</f>
        <v/>
      </c>
      <c r="V1395" s="26">
        <f>IF(S1395&lt;='Methodology &amp; Assumptions'!$B$10, "Direct Optical Drop (&lt;3km)", IF(S1395&lt;='Methodology &amp; Assumptions'!$B$9, "Near Optical / Microwave (&lt;5km)", "Starlink Business LEO Satellite Backhaul (&gt;5km)"))</f>
        <v/>
      </c>
      <c r="W1395" s="28" t="n">
        <v>0.11</v>
      </c>
      <c r="X1395" s="14" t="n">
        <v>43.14</v>
      </c>
      <c r="Y1395" s="14">
        <f>ROUND(MIN(100, (X1395/69.91)*100), 2)</f>
        <v/>
      </c>
    </row>
    <row r="1396">
      <c r="A1396" s="10" t="n">
        <v>5</v>
      </c>
      <c r="B1396" s="10" t="n">
        <v>392</v>
      </c>
      <c r="C1396" s="10" t="n">
        <v>4392</v>
      </c>
      <c r="D1396" s="10" t="inlineStr">
        <is>
          <t>1380500005</t>
        </is>
      </c>
      <c r="E1396" s="26" t="inlineStr">
        <is>
          <t>National Capital Region (NCR)</t>
        </is>
      </c>
      <c r="F1396" s="26" t="inlineStr">
        <is>
          <t>Second District (Not a Province)</t>
        </is>
      </c>
      <c r="G1396" s="26" t="inlineStr">
        <is>
          <t>City of Mandaluyong</t>
        </is>
      </c>
      <c r="H1396" s="26" t="inlineStr">
        <is>
          <t>Barangka Ilaya</t>
        </is>
      </c>
      <c r="I1396" s="27" t="n">
        <v>14.571619</v>
      </c>
      <c r="J1396" s="27" t="n">
        <v>121.044736</v>
      </c>
      <c r="K1396" s="10" t="inlineStr">
        <is>
          <t>U</t>
        </is>
      </c>
      <c r="L1396" s="12" t="n">
        <v>24440</v>
      </c>
      <c r="M1396" s="14" t="n">
        <v>3.3</v>
      </c>
      <c r="N1396" s="12">
        <f>ROUND(L1396/M1396, 0)</f>
        <v/>
      </c>
      <c r="O1396" s="12">
        <f>ROUND(N1396*'Methodology &amp; Assumptions'!$B$5, 0)</f>
        <v/>
      </c>
      <c r="P1396" s="10" t="inlineStr">
        <is>
          <t>Single Carrier (Band n50, 100MHz TDD)</t>
        </is>
      </c>
      <c r="Q1396" s="13">
        <f>ROUNDUP(O1396/'Methodology &amp; Assumptions'!$B$6, 0)</f>
        <v/>
      </c>
      <c r="R1396" s="13" t="n">
        <v>1</v>
      </c>
      <c r="S1396" s="14" t="n">
        <v>1.39</v>
      </c>
      <c r="T1396" s="14" t="n">
        <v>0.05</v>
      </c>
      <c r="U1396" s="26">
        <f>IF(X1396&gt;='Methodology &amp; Assumptions'!$B$7, "Tier 1 Critical GIDA (Score ≥ 50.0)", IF(X1396&gt;='Methodology &amp; Assumptions'!$B$8, "Tier 2 High GIDA (Score 40.0–49.9)", "Tier 3 Moderate GIDA (Score &lt; 40.0)"))</f>
        <v/>
      </c>
      <c r="V1396" s="26">
        <f>IF(S1396&lt;='Methodology &amp; Assumptions'!$B$10, "Direct Optical Drop (&lt;3km)", IF(S1396&lt;='Methodology &amp; Assumptions'!$B$9, "Near Optical / Microwave (&lt;5km)", "Starlink Business LEO Satellite Backhaul (&gt;5km)"))</f>
        <v/>
      </c>
      <c r="W1396" s="28" t="n">
        <v>0.109</v>
      </c>
      <c r="X1396" s="14" t="n">
        <v>43.13</v>
      </c>
      <c r="Y1396" s="14">
        <f>ROUND(MIN(100, (X1396/69.91)*100), 2)</f>
        <v/>
      </c>
    </row>
    <row r="1397">
      <c r="A1397" s="10" t="n">
        <v>5</v>
      </c>
      <c r="B1397" s="10" t="n">
        <v>393</v>
      </c>
      <c r="C1397" s="10" t="n">
        <v>4393</v>
      </c>
      <c r="D1397" s="10" t="inlineStr">
        <is>
          <t>1380500022</t>
        </is>
      </c>
      <c r="E1397" s="26" t="inlineStr">
        <is>
          <t>National Capital Region (NCR)</t>
        </is>
      </c>
      <c r="F1397" s="26" t="inlineStr">
        <is>
          <t>Second District (Not a Province)</t>
        </is>
      </c>
      <c r="G1397" s="26" t="inlineStr">
        <is>
          <t>City of Mandaluyong</t>
        </is>
      </c>
      <c r="H1397" s="26" t="inlineStr">
        <is>
          <t>Plainview</t>
        </is>
      </c>
      <c r="I1397" s="27" t="n">
        <v>14.578217</v>
      </c>
      <c r="J1397" s="27" t="n">
        <v>121.029672</v>
      </c>
      <c r="K1397" s="10" t="inlineStr">
        <is>
          <t>U</t>
        </is>
      </c>
      <c r="L1397" s="12" t="n">
        <v>32148</v>
      </c>
      <c r="M1397" s="14" t="n">
        <v>3.3</v>
      </c>
      <c r="N1397" s="12">
        <f>ROUND(L1397/M1397, 0)</f>
        <v/>
      </c>
      <c r="O1397" s="12">
        <f>ROUND(N1397*'Methodology &amp; Assumptions'!$B$5, 0)</f>
        <v/>
      </c>
      <c r="P1397" s="10" t="inlineStr">
        <is>
          <t>Single Carrier (Band n50, 100MHz TDD)</t>
        </is>
      </c>
      <c r="Q1397" s="13">
        <f>ROUNDUP(O1397/'Methodology &amp; Assumptions'!$B$6, 0)</f>
        <v/>
      </c>
      <c r="R1397" s="13" t="n">
        <v>1</v>
      </c>
      <c r="S1397" s="14" t="n">
        <v>0.63</v>
      </c>
      <c r="T1397" s="14" t="n">
        <v>0.26</v>
      </c>
      <c r="U1397" s="26">
        <f>IF(X1397&gt;='Methodology &amp; Assumptions'!$B$7, "Tier 1 Critical GIDA (Score ≥ 50.0)", IF(X1397&gt;='Methodology &amp; Assumptions'!$B$8, "Tier 2 High GIDA (Score 40.0–49.9)", "Tier 3 Moderate GIDA (Score &lt; 40.0)"))</f>
        <v/>
      </c>
      <c r="V1397" s="26">
        <f>IF(S1397&lt;='Methodology &amp; Assumptions'!$B$10, "Direct Optical Drop (&lt;3km)", IF(S1397&lt;='Methodology &amp; Assumptions'!$B$9, "Near Optical / Microwave (&lt;5km)", "Starlink Business LEO Satellite Backhaul (&gt;5km)"))</f>
        <v/>
      </c>
      <c r="W1397" s="28" t="n">
        <v>0.109</v>
      </c>
      <c r="X1397" s="14" t="n">
        <v>43.12</v>
      </c>
      <c r="Y1397" s="14">
        <f>ROUND(MIN(100, (X1397/69.91)*100), 2)</f>
        <v/>
      </c>
    </row>
    <row r="1398">
      <c r="A1398" s="10" t="n">
        <v>5</v>
      </c>
      <c r="B1398" s="10" t="n">
        <v>394</v>
      </c>
      <c r="C1398" s="10" t="n">
        <v>4394</v>
      </c>
      <c r="D1398" s="10" t="inlineStr">
        <is>
          <t>0804805028</t>
        </is>
      </c>
      <c r="E1398" s="26" t="inlineStr">
        <is>
          <t>Region VIII (Eastern Visayas)</t>
        </is>
      </c>
      <c r="F1398" s="26" t="inlineStr">
        <is>
          <t>Northern Samar</t>
        </is>
      </c>
      <c r="G1398" s="26" t="inlineStr">
        <is>
          <t>Catarman</t>
        </is>
      </c>
      <c r="H1398" s="26" t="inlineStr">
        <is>
          <t>Liberty</t>
        </is>
      </c>
      <c r="I1398" s="27" t="n">
        <v>12.36265</v>
      </c>
      <c r="J1398" s="27" t="n">
        <v>124.622839</v>
      </c>
      <c r="K1398" s="10" t="inlineStr">
        <is>
          <t>R</t>
        </is>
      </c>
      <c r="L1398" s="12" t="n">
        <v>625</v>
      </c>
      <c r="M1398" s="14" t="n">
        <v>4.3</v>
      </c>
      <c r="N1398" s="12">
        <f>ROUND(L1398/M1398, 0)</f>
        <v/>
      </c>
      <c r="O1398" s="12">
        <f>ROUND(N1398*'Methodology &amp; Assumptions'!$B$5, 0)</f>
        <v/>
      </c>
      <c r="P1398" s="10" t="inlineStr">
        <is>
          <t>Single Carrier (Band n50, 100MHz TDD)</t>
        </is>
      </c>
      <c r="Q1398" s="13">
        <f>ROUNDUP(O1398/'Methodology &amp; Assumptions'!$B$6, 0)</f>
        <v/>
      </c>
      <c r="R1398" s="13" t="n">
        <v>1</v>
      </c>
      <c r="S1398" s="14" t="n">
        <v>63.81</v>
      </c>
      <c r="T1398" s="14" t="n">
        <v>63.8</v>
      </c>
      <c r="U1398" s="26">
        <f>IF(X1398&gt;='Methodology &amp; Assumptions'!$B$7, "Tier 1 Critical GIDA (Score ≥ 50.0)", IF(X1398&gt;='Methodology &amp; Assumptions'!$B$8, "Tier 2 High GIDA (Score 40.0–49.9)", "Tier 3 Moderate GIDA (Score &lt; 40.0)"))</f>
        <v/>
      </c>
      <c r="V1398" s="26">
        <f>IF(S1398&lt;='Methodology &amp; Assumptions'!$B$10, "Direct Optical Drop (&lt;3km)", IF(S1398&lt;='Methodology &amp; Assumptions'!$B$9, "Near Optical / Microwave (&lt;5km)", "Starlink Business LEO Satellite Backhaul (&gt;5km)"))</f>
        <v/>
      </c>
      <c r="W1398" s="28" t="n">
        <v>0.237</v>
      </c>
      <c r="X1398" s="14" t="n">
        <v>43.12</v>
      </c>
      <c r="Y1398" s="14">
        <f>ROUND(MIN(100, (X1398/69.91)*100), 2)</f>
        <v/>
      </c>
    </row>
    <row r="1399">
      <c r="A1399" s="10" t="n">
        <v>5</v>
      </c>
      <c r="B1399" s="10" t="n">
        <v>395</v>
      </c>
      <c r="C1399" s="10" t="n">
        <v>4395</v>
      </c>
      <c r="D1399" s="10" t="inlineStr">
        <is>
          <t>1381100195</t>
        </is>
      </c>
      <c r="E1399" s="26" t="inlineStr">
        <is>
          <t>National Capital Region (NCR)</t>
        </is>
      </c>
      <c r="F1399" s="26" t="inlineStr">
        <is>
          <t>Fourth District (Not a Province)</t>
        </is>
      </c>
      <c r="G1399" s="26" t="inlineStr">
        <is>
          <t>Pasay City</t>
        </is>
      </c>
      <c r="H1399" s="26" t="inlineStr">
        <is>
          <t>Barangay 195</t>
        </is>
      </c>
      <c r="I1399" s="27" t="n">
        <v>14.783829</v>
      </c>
      <c r="J1399" s="27" t="n">
        <v>120.981758</v>
      </c>
      <c r="K1399" s="10" t="inlineStr">
        <is>
          <t>U</t>
        </is>
      </c>
      <c r="L1399" s="12" t="n">
        <v>2519</v>
      </c>
      <c r="M1399" s="14" t="n">
        <v>3.4</v>
      </c>
      <c r="N1399" s="12">
        <f>ROUND(L1399/M1399, 0)</f>
        <v/>
      </c>
      <c r="O1399" s="12">
        <f>ROUND(N1399*'Methodology &amp; Assumptions'!$B$5, 0)</f>
        <v/>
      </c>
      <c r="P1399" s="10" t="inlineStr">
        <is>
          <t>Single Carrier (Band n50, 100MHz TDD)</t>
        </is>
      </c>
      <c r="Q1399" s="13">
        <f>ROUNDUP(O1399/'Methodology &amp; Assumptions'!$B$6, 0)</f>
        <v/>
      </c>
      <c r="R1399" s="13" t="n">
        <v>1</v>
      </c>
      <c r="S1399" s="14" t="n">
        <v>2.54</v>
      </c>
      <c r="T1399" s="14" t="n">
        <v>1.16</v>
      </c>
      <c r="U1399" s="26">
        <f>IF(X1399&gt;='Methodology &amp; Assumptions'!$B$7, "Tier 1 Critical GIDA (Score ≥ 50.0)", IF(X1399&gt;='Methodology &amp; Assumptions'!$B$8, "Tier 2 High GIDA (Score 40.0–49.9)", "Tier 3 Moderate GIDA (Score &lt; 40.0)"))</f>
        <v/>
      </c>
      <c r="V1399" s="26">
        <f>IF(S1399&lt;='Methodology &amp; Assumptions'!$B$10, "Direct Optical Drop (&lt;3km)", IF(S1399&lt;='Methodology &amp; Assumptions'!$B$9, "Near Optical / Microwave (&lt;5km)", "Starlink Business LEO Satellite Backhaul (&gt;5km)"))</f>
        <v/>
      </c>
      <c r="W1399" s="28" t="n">
        <v>0.109</v>
      </c>
      <c r="X1399" s="14" t="n">
        <v>43.11</v>
      </c>
      <c r="Y1399" s="14">
        <f>ROUND(MIN(100, (X1399/69.91)*100), 2)</f>
        <v/>
      </c>
    </row>
    <row r="1400">
      <c r="A1400" s="10" t="n">
        <v>5</v>
      </c>
      <c r="B1400" s="10" t="n">
        <v>396</v>
      </c>
      <c r="C1400" s="10" t="n">
        <v>4396</v>
      </c>
      <c r="D1400" s="10" t="inlineStr">
        <is>
          <t>1906613023</t>
        </is>
      </c>
      <c r="E1400" s="26" t="inlineStr">
        <is>
          <t>Bangsamoro Autonomous Region In Muslim Mindanao (BARMM)</t>
        </is>
      </c>
      <c r="F1400" s="26" t="inlineStr">
        <is>
          <t>Sulu</t>
        </is>
      </c>
      <c r="G1400" s="26" t="inlineStr">
        <is>
          <t>Talipao</t>
        </is>
      </c>
      <c r="H1400" s="26" t="inlineStr">
        <is>
          <t>Kulamboh</t>
        </is>
      </c>
      <c r="I1400" s="27" t="n">
        <v>17.260096</v>
      </c>
      <c r="J1400" s="27" t="n">
        <v>122.235838</v>
      </c>
      <c r="K1400" s="10" t="inlineStr">
        <is>
          <t>R</t>
        </is>
      </c>
      <c r="L1400" s="12" t="n">
        <v>1802</v>
      </c>
      <c r="M1400" s="14" t="n">
        <v>6</v>
      </c>
      <c r="N1400" s="12">
        <f>ROUND(L1400/M1400, 0)</f>
        <v/>
      </c>
      <c r="O1400" s="12">
        <f>ROUND(N1400*'Methodology &amp; Assumptions'!$B$5, 0)</f>
        <v/>
      </c>
      <c r="P1400" s="10" t="inlineStr">
        <is>
          <t>Single Carrier (Band n50, 100MHz TDD)</t>
        </is>
      </c>
      <c r="Q1400" s="13">
        <f>ROUNDUP(O1400/'Methodology &amp; Assumptions'!$B$6, 0)</f>
        <v/>
      </c>
      <c r="R1400" s="13" t="n">
        <v>1</v>
      </c>
      <c r="S1400" s="14" t="n">
        <v>30.36</v>
      </c>
      <c r="T1400" s="14" t="n">
        <v>35.17</v>
      </c>
      <c r="U1400" s="26">
        <f>IF(X1400&gt;='Methodology &amp; Assumptions'!$B$7, "Tier 1 Critical GIDA (Score ≥ 50.0)", IF(X1400&gt;='Methodology &amp; Assumptions'!$B$8, "Tier 2 High GIDA (Score 40.0–49.9)", "Tier 3 Moderate GIDA (Score &lt; 40.0)"))</f>
        <v/>
      </c>
      <c r="V1400" s="26">
        <f>IF(S1400&lt;='Methodology &amp; Assumptions'!$B$10, "Direct Optical Drop (&lt;3km)", IF(S1400&lt;='Methodology &amp; Assumptions'!$B$9, "Near Optical / Microwave (&lt;5km)", "Starlink Business LEO Satellite Backhaul (&gt;5km)"))</f>
        <v/>
      </c>
      <c r="W1400" s="28" t="n">
        <v>0.11</v>
      </c>
      <c r="X1400" s="14" t="n">
        <v>43.11</v>
      </c>
      <c r="Y1400" s="14">
        <f>ROUND(MIN(100, (X1400/69.91)*100), 2)</f>
        <v/>
      </c>
    </row>
    <row r="1401">
      <c r="A1401" s="10" t="n">
        <v>5</v>
      </c>
      <c r="B1401" s="10" t="n">
        <v>397</v>
      </c>
      <c r="C1401" s="10" t="n">
        <v>4397</v>
      </c>
      <c r="D1401" s="10" t="inlineStr">
        <is>
          <t>0403405013</t>
        </is>
      </c>
      <c r="E1401" s="26" t="inlineStr">
        <is>
          <t>Region IV-A (CALABARZON)</t>
        </is>
      </c>
      <c r="F1401" s="26" t="inlineStr">
        <is>
          <t>Laguna</t>
        </is>
      </c>
      <c r="G1401" s="26" t="inlineStr">
        <is>
          <t>City of Calamba</t>
        </is>
      </c>
      <c r="H1401" s="26" t="inlineStr">
        <is>
          <t>Halang</t>
        </is>
      </c>
      <c r="I1401" s="27" t="n">
        <v>14.197802</v>
      </c>
      <c r="J1401" s="27" t="n">
        <v>121.160284</v>
      </c>
      <c r="K1401" s="10" t="inlineStr">
        <is>
          <t>U</t>
        </is>
      </c>
      <c r="L1401" s="12" t="n">
        <v>9407</v>
      </c>
      <c r="M1401" s="14" t="n">
        <v>3.3</v>
      </c>
      <c r="N1401" s="12">
        <f>ROUND(L1401/M1401, 0)</f>
        <v/>
      </c>
      <c r="O1401" s="12">
        <f>ROUND(N1401*'Methodology &amp; Assumptions'!$B$5, 0)</f>
        <v/>
      </c>
      <c r="P1401" s="10" t="inlineStr">
        <is>
          <t>Single Carrier (Band n50, 100MHz TDD)</t>
        </is>
      </c>
      <c r="Q1401" s="13">
        <f>ROUNDUP(O1401/'Methodology &amp; Assumptions'!$B$6, 0)</f>
        <v/>
      </c>
      <c r="R1401" s="13" t="n">
        <v>1</v>
      </c>
      <c r="S1401" s="14" t="n">
        <v>1.52</v>
      </c>
      <c r="T1401" s="14" t="n">
        <v>0.27</v>
      </c>
      <c r="U1401" s="26">
        <f>IF(X1401&gt;='Methodology &amp; Assumptions'!$B$7, "Tier 1 Critical GIDA (Score ≥ 50.0)", IF(X1401&gt;='Methodology &amp; Assumptions'!$B$8, "Tier 2 High GIDA (Score 40.0–49.9)", "Tier 3 Moderate GIDA (Score &lt; 40.0)"))</f>
        <v/>
      </c>
      <c r="V1401" s="26">
        <f>IF(S1401&lt;='Methodology &amp; Assumptions'!$B$10, "Direct Optical Drop (&lt;3km)", IF(S1401&lt;='Methodology &amp; Assumptions'!$B$9, "Near Optical / Microwave (&lt;5km)", "Starlink Business LEO Satellite Backhaul (&gt;5km)"))</f>
        <v/>
      </c>
      <c r="W1401" s="28" t="n">
        <v>0.07200000000000001</v>
      </c>
      <c r="X1401" s="14" t="n">
        <v>43.1</v>
      </c>
      <c r="Y1401" s="14">
        <f>ROUND(MIN(100, (X1401/69.91)*100), 2)</f>
        <v/>
      </c>
    </row>
    <row r="1402">
      <c r="A1402" s="10" t="n">
        <v>5</v>
      </c>
      <c r="B1402" s="10" t="n">
        <v>398</v>
      </c>
      <c r="C1402" s="10" t="n">
        <v>4398</v>
      </c>
      <c r="D1402" s="10" t="inlineStr">
        <is>
          <t>1907011009</t>
        </is>
      </c>
      <c r="E1402" s="26" t="inlineStr">
        <is>
          <t>Bangsamoro Autonomous Region In Muslim Mindanao (BARMM)</t>
        </is>
      </c>
      <c r="F1402" s="26" t="inlineStr">
        <is>
          <t>Tawi-Tawi</t>
        </is>
      </c>
      <c r="G1402" s="26" t="inlineStr">
        <is>
          <t>Sibutu</t>
        </is>
      </c>
      <c r="H1402" s="26" t="inlineStr">
        <is>
          <t>Sheik Makdum</t>
        </is>
      </c>
      <c r="I1402" s="27" t="n">
        <v>4.724386</v>
      </c>
      <c r="J1402" s="27" t="n">
        <v>119.496961</v>
      </c>
      <c r="K1402" s="10" t="inlineStr">
        <is>
          <t>R</t>
        </is>
      </c>
      <c r="L1402" s="12" t="n">
        <v>3381</v>
      </c>
      <c r="M1402" s="14" t="n">
        <v>5.8</v>
      </c>
      <c r="N1402" s="12">
        <f>ROUND(L1402/M1402, 0)</f>
        <v/>
      </c>
      <c r="O1402" s="12">
        <f>ROUND(N1402*'Methodology &amp; Assumptions'!$B$5, 0)</f>
        <v/>
      </c>
      <c r="P1402" s="10" t="inlineStr">
        <is>
          <t>Single Carrier (Band n50, 100MHz TDD)</t>
        </is>
      </c>
      <c r="Q1402" s="13">
        <f>ROUNDUP(O1402/'Methodology &amp; Assumptions'!$B$6, 0)</f>
        <v/>
      </c>
      <c r="R1402" s="13" t="n">
        <v>1</v>
      </c>
      <c r="S1402" s="14" t="n">
        <v>999</v>
      </c>
      <c r="T1402" s="14" t="n">
        <v>999</v>
      </c>
      <c r="U1402" s="26">
        <f>IF(X1402&gt;='Methodology &amp; Assumptions'!$B$7, "Tier 1 Critical GIDA (Score ≥ 50.0)", IF(X1402&gt;='Methodology &amp; Assumptions'!$B$8, "Tier 2 High GIDA (Score 40.0–49.9)", "Tier 3 Moderate GIDA (Score &lt; 40.0)"))</f>
        <v/>
      </c>
      <c r="V1402" s="26">
        <f>IF(S1402&lt;='Methodology &amp; Assumptions'!$B$10, "Direct Optical Drop (&lt;3km)", IF(S1402&lt;='Methodology &amp; Assumptions'!$B$9, "Near Optical / Microwave (&lt;5km)", "Starlink Business LEO Satellite Backhaul (&gt;5km)"))</f>
        <v/>
      </c>
      <c r="W1402" s="28" t="n">
        <v>0.11</v>
      </c>
      <c r="X1402" s="14" t="n">
        <v>43.1</v>
      </c>
      <c r="Y1402" s="14">
        <f>ROUND(MIN(100, (X1402/69.91)*100), 2)</f>
        <v/>
      </c>
    </row>
    <row r="1403">
      <c r="A1403" s="10" t="n">
        <v>5</v>
      </c>
      <c r="B1403" s="10" t="n">
        <v>399</v>
      </c>
      <c r="C1403" s="10" t="n">
        <v>4399</v>
      </c>
      <c r="D1403" s="10" t="inlineStr">
        <is>
          <t>1381200015</t>
        </is>
      </c>
      <c r="E1403" s="26" t="inlineStr">
        <is>
          <t>National Capital Region (NCR)</t>
        </is>
      </c>
      <c r="F1403" s="26" t="inlineStr">
        <is>
          <t>Second District (Not a Province)</t>
        </is>
      </c>
      <c r="G1403" s="26" t="inlineStr">
        <is>
          <t>City of Pasig</t>
        </is>
      </c>
      <c r="H1403" s="26" t="inlineStr">
        <is>
          <t>Pinagbuhatan</t>
        </is>
      </c>
      <c r="I1403" s="27" t="n">
        <v>14.552478</v>
      </c>
      <c r="J1403" s="27" t="n">
        <v>121.099453</v>
      </c>
      <c r="K1403" s="10" t="inlineStr">
        <is>
          <t>U</t>
        </is>
      </c>
      <c r="L1403" s="12" t="n">
        <v>173760</v>
      </c>
      <c r="M1403" s="14" t="n">
        <v>3.4</v>
      </c>
      <c r="N1403" s="12">
        <f>ROUND(L1403/M1403, 0)</f>
        <v/>
      </c>
      <c r="O1403" s="12">
        <f>ROUND(N1403*'Methodology &amp; Assumptions'!$B$5, 0)</f>
        <v/>
      </c>
      <c r="P1403" s="10" t="inlineStr">
        <is>
          <t>Single Carrier (Band n50, 100MHz TDD)</t>
        </is>
      </c>
      <c r="Q1403" s="13">
        <f>ROUNDUP(O1403/'Methodology &amp; Assumptions'!$B$6, 0)</f>
        <v/>
      </c>
      <c r="R1403" s="13" t="n">
        <v>1</v>
      </c>
      <c r="S1403" s="14" t="n">
        <v>1.33</v>
      </c>
      <c r="T1403" s="14" t="n">
        <v>0.3</v>
      </c>
      <c r="U1403" s="26">
        <f>IF(X1403&gt;='Methodology &amp; Assumptions'!$B$7, "Tier 1 Critical GIDA (Score ≥ 50.0)", IF(X1403&gt;='Methodology &amp; Assumptions'!$B$8, "Tier 2 High GIDA (Score 40.0–49.9)", "Tier 3 Moderate GIDA (Score &lt; 40.0)"))</f>
        <v/>
      </c>
      <c r="V1403" s="26">
        <f>IF(S1403&lt;='Methodology &amp; Assumptions'!$B$10, "Direct Optical Drop (&lt;3km)", IF(S1403&lt;='Methodology &amp; Assumptions'!$B$9, "Near Optical / Microwave (&lt;5km)", "Starlink Business LEO Satellite Backhaul (&gt;5km)"))</f>
        <v/>
      </c>
      <c r="W1403" s="28" t="n">
        <v>0.109</v>
      </c>
      <c r="X1403" s="14" t="n">
        <v>43.1</v>
      </c>
      <c r="Y1403" s="14">
        <f>ROUND(MIN(100, (X1403/69.91)*100), 2)</f>
        <v/>
      </c>
    </row>
    <row r="1404">
      <c r="A1404" s="10" t="n">
        <v>5</v>
      </c>
      <c r="B1404" s="10" t="n">
        <v>400</v>
      </c>
      <c r="C1404" s="10" t="n">
        <v>4400</v>
      </c>
      <c r="D1404" s="10" t="inlineStr">
        <is>
          <t>1401109004</t>
        </is>
      </c>
      <c r="E1404" s="26" t="inlineStr">
        <is>
          <t>Cordillera Administrative Region (CAR)</t>
        </is>
      </c>
      <c r="F1404" s="26" t="inlineStr">
        <is>
          <t>Benguet</t>
        </is>
      </c>
      <c r="G1404" s="26" t="inlineStr">
        <is>
          <t>Kibungan</t>
        </is>
      </c>
      <c r="H1404" s="26" t="inlineStr">
        <is>
          <t>Palina</t>
        </is>
      </c>
      <c r="I1404" s="27" t="n">
        <v>16.75282</v>
      </c>
      <c r="J1404" s="27" t="n">
        <v>120.699793</v>
      </c>
      <c r="K1404" s="10" t="inlineStr">
        <is>
          <t>R</t>
        </is>
      </c>
      <c r="L1404" s="12" t="n">
        <v>1481</v>
      </c>
      <c r="M1404" s="14" t="n">
        <v>3.5</v>
      </c>
      <c r="N1404" s="12">
        <f>ROUND(L1404/M1404, 0)</f>
        <v/>
      </c>
      <c r="O1404" s="12">
        <f>ROUND(N1404*'Methodology &amp; Assumptions'!$B$5, 0)</f>
        <v/>
      </c>
      <c r="P1404" s="10" t="inlineStr">
        <is>
          <t>Single Carrier (Band n50, 100MHz TDD)</t>
        </is>
      </c>
      <c r="Q1404" s="13">
        <f>ROUNDUP(O1404/'Methodology &amp; Assumptions'!$B$6, 0)</f>
        <v/>
      </c>
      <c r="R1404" s="13" t="n">
        <v>1</v>
      </c>
      <c r="S1404" s="14" t="n">
        <v>0.66</v>
      </c>
      <c r="T1404" s="14" t="n">
        <v>8.220000000000001</v>
      </c>
      <c r="U1404" s="26">
        <f>IF(X1404&gt;='Methodology &amp; Assumptions'!$B$7, "Tier 1 Critical GIDA (Score ≥ 50.0)", IF(X1404&gt;='Methodology &amp; Assumptions'!$B$8, "Tier 2 High GIDA (Score 40.0–49.9)", "Tier 3 Moderate GIDA (Score &lt; 40.0)"))</f>
        <v/>
      </c>
      <c r="V1404" s="26">
        <f>IF(S1404&lt;='Methodology &amp; Assumptions'!$B$10, "Direct Optical Drop (&lt;3km)", IF(S1404&lt;='Methodology &amp; Assumptions'!$B$9, "Near Optical / Microwave (&lt;5km)", "Starlink Business LEO Satellite Backhaul (&gt;5km)"))</f>
        <v/>
      </c>
      <c r="W1404" s="28" t="n">
        <v>0.109</v>
      </c>
      <c r="X1404" s="14" t="n">
        <v>43.09</v>
      </c>
      <c r="Y1404" s="14">
        <f>ROUND(MIN(100, (X1404/69.91)*100), 2)</f>
        <v/>
      </c>
    </row>
    <row r="1405">
      <c r="A1405" s="10" t="n">
        <v>5</v>
      </c>
      <c r="B1405" s="10" t="n">
        <v>401</v>
      </c>
      <c r="C1405" s="10" t="n">
        <v>4401</v>
      </c>
      <c r="D1405" s="10" t="inlineStr">
        <is>
          <t>1003511003</t>
        </is>
      </c>
      <c r="E1405" s="26" t="inlineStr">
        <is>
          <t>Region X (Northern Mindanao)</t>
        </is>
      </c>
      <c r="F1405" s="26" t="inlineStr">
        <is>
          <t>Lanao del Norte</t>
        </is>
      </c>
      <c r="G1405" s="26" t="inlineStr">
        <is>
          <t>Magsaysay</t>
        </is>
      </c>
      <c r="H1405" s="26" t="inlineStr">
        <is>
          <t>Daan Campo</t>
        </is>
      </c>
      <c r="I1405" s="27" t="n">
        <v>8.00938</v>
      </c>
      <c r="J1405" s="27" t="n">
        <v>123.892811</v>
      </c>
      <c r="K1405" s="10" t="inlineStr">
        <is>
          <t>R</t>
        </is>
      </c>
      <c r="L1405" s="12" t="n">
        <v>780</v>
      </c>
      <c r="M1405" s="14" t="n">
        <v>4.2</v>
      </c>
      <c r="N1405" s="12">
        <f>ROUND(L1405/M1405, 0)</f>
        <v/>
      </c>
      <c r="O1405" s="12">
        <f>ROUND(N1405*'Methodology &amp; Assumptions'!$B$5, 0)</f>
        <v/>
      </c>
      <c r="P1405" s="10" t="inlineStr">
        <is>
          <t>Single Carrier (Band n50, 100MHz TDD)</t>
        </is>
      </c>
      <c r="Q1405" s="13">
        <f>ROUNDUP(O1405/'Methodology &amp; Assumptions'!$B$6, 0)</f>
        <v/>
      </c>
      <c r="R1405" s="13" t="n">
        <v>1</v>
      </c>
      <c r="S1405" s="14" t="n">
        <v>10.97</v>
      </c>
      <c r="T1405" s="14" t="n">
        <v>10.35</v>
      </c>
      <c r="U1405" s="26">
        <f>IF(X1405&gt;='Methodology &amp; Assumptions'!$B$7, "Tier 1 Critical GIDA (Score ≥ 50.0)", IF(X1405&gt;='Methodology &amp; Assumptions'!$B$8, "Tier 2 High GIDA (Score 40.0–49.9)", "Tier 3 Moderate GIDA (Score &lt; 40.0)"))</f>
        <v/>
      </c>
      <c r="V1405" s="26">
        <f>IF(S1405&lt;='Methodology &amp; Assumptions'!$B$10, "Direct Optical Drop (&lt;3km)", IF(S1405&lt;='Methodology &amp; Assumptions'!$B$9, "Near Optical / Microwave (&lt;5km)", "Starlink Business LEO Satellite Backhaul (&gt;5km)"))</f>
        <v/>
      </c>
      <c r="W1405" s="28" t="n">
        <v>0.174</v>
      </c>
      <c r="X1405" s="14" t="n">
        <v>43.09</v>
      </c>
      <c r="Y1405" s="14">
        <f>ROUND(MIN(100, (X1405/69.91)*100), 2)</f>
        <v/>
      </c>
    </row>
    <row r="1406">
      <c r="A1406" s="10" t="n">
        <v>5</v>
      </c>
      <c r="B1406" s="10" t="n">
        <v>402</v>
      </c>
      <c r="C1406" s="10" t="n">
        <v>4402</v>
      </c>
      <c r="D1406" s="10" t="inlineStr">
        <is>
          <t>1381200006</t>
        </is>
      </c>
      <c r="E1406" s="26" t="inlineStr">
        <is>
          <t>National Capital Region (NCR)</t>
        </is>
      </c>
      <c r="F1406" s="26" t="inlineStr">
        <is>
          <t>Second District (Not a Province)</t>
        </is>
      </c>
      <c r="G1406" s="26" t="inlineStr">
        <is>
          <t>City of Pasig</t>
        </is>
      </c>
      <c r="H1406" s="26" t="inlineStr">
        <is>
          <t>Dela Paz</t>
        </is>
      </c>
      <c r="I1406" s="27" t="n">
        <v>14.614959</v>
      </c>
      <c r="J1406" s="27" t="n">
        <v>121.0953</v>
      </c>
      <c r="K1406" s="10" t="inlineStr">
        <is>
          <t>U</t>
        </is>
      </c>
      <c r="L1406" s="12" t="n">
        <v>21034</v>
      </c>
      <c r="M1406" s="14" t="n">
        <v>3.4</v>
      </c>
      <c r="N1406" s="12">
        <f>ROUND(L1406/M1406, 0)</f>
        <v/>
      </c>
      <c r="O1406" s="12">
        <f>ROUND(N1406*'Methodology &amp; Assumptions'!$B$5, 0)</f>
        <v/>
      </c>
      <c r="P1406" s="10" t="inlineStr">
        <is>
          <t>Single Carrier (Band n50, 100MHz TDD)</t>
        </is>
      </c>
      <c r="Q1406" s="13">
        <f>ROUNDUP(O1406/'Methodology &amp; Assumptions'!$B$6, 0)</f>
        <v/>
      </c>
      <c r="R1406" s="13" t="n">
        <v>1</v>
      </c>
      <c r="S1406" s="14" t="n">
        <v>1.64</v>
      </c>
      <c r="T1406" s="14" t="n">
        <v>0.15</v>
      </c>
      <c r="U1406" s="26">
        <f>IF(X1406&gt;='Methodology &amp; Assumptions'!$B$7, "Tier 1 Critical GIDA (Score ≥ 50.0)", IF(X1406&gt;='Methodology &amp; Assumptions'!$B$8, "Tier 2 High GIDA (Score 40.0–49.9)", "Tier 3 Moderate GIDA (Score &lt; 40.0)"))</f>
        <v/>
      </c>
      <c r="V1406" s="26">
        <f>IF(S1406&lt;='Methodology &amp; Assumptions'!$B$10, "Direct Optical Drop (&lt;3km)", IF(S1406&lt;='Methodology &amp; Assumptions'!$B$9, "Near Optical / Microwave (&lt;5km)", "Starlink Business LEO Satellite Backhaul (&gt;5km)"))</f>
        <v/>
      </c>
      <c r="W1406" s="28" t="n">
        <v>0.109</v>
      </c>
      <c r="X1406" s="14" t="n">
        <v>43.08</v>
      </c>
      <c r="Y1406" s="14">
        <f>ROUND(MIN(100, (X1406/69.91)*100), 2)</f>
        <v/>
      </c>
    </row>
    <row r="1407">
      <c r="A1407" s="10" t="n">
        <v>5</v>
      </c>
      <c r="B1407" s="10" t="n">
        <v>403</v>
      </c>
      <c r="C1407" s="10" t="n">
        <v>4403</v>
      </c>
      <c r="D1407" s="10" t="inlineStr">
        <is>
          <t>1903633037</t>
        </is>
      </c>
      <c r="E1407" s="26" t="inlineStr">
        <is>
          <t>Bangsamoro Autonomous Region In Muslim Mindanao (BARMM)</t>
        </is>
      </c>
      <c r="F1407" s="26" t="inlineStr">
        <is>
          <t>Lanao del Sur</t>
        </is>
      </c>
      <c r="G1407" s="26" t="inlineStr">
        <is>
          <t>Buadiposo-Buntong</t>
        </is>
      </c>
      <c r="H1407" s="26" t="inlineStr">
        <is>
          <t>Lunduban</t>
        </is>
      </c>
      <c r="I1407" s="27" t="n">
        <v>17.254919</v>
      </c>
      <c r="J1407" s="27" t="n">
        <v>122.221844</v>
      </c>
      <c r="K1407" s="10" t="inlineStr">
        <is>
          <t>R</t>
        </is>
      </c>
      <c r="L1407" s="12" t="n">
        <v>374</v>
      </c>
      <c r="M1407" s="14" t="n">
        <v>5.7</v>
      </c>
      <c r="N1407" s="12">
        <f>ROUND(L1407/M1407, 0)</f>
        <v/>
      </c>
      <c r="O1407" s="12">
        <f>ROUND(N1407*'Methodology &amp; Assumptions'!$B$5, 0)</f>
        <v/>
      </c>
      <c r="P1407" s="10" t="inlineStr">
        <is>
          <t>Single Carrier (Band n50, 100MHz TDD)</t>
        </is>
      </c>
      <c r="Q1407" s="13">
        <f>ROUNDUP(O1407/'Methodology &amp; Assumptions'!$B$6, 0)</f>
        <v/>
      </c>
      <c r="R1407" s="13" t="n">
        <v>1</v>
      </c>
      <c r="S1407" s="14" t="n">
        <v>28.85</v>
      </c>
      <c r="T1407" s="14" t="n">
        <v>33.58</v>
      </c>
      <c r="U1407" s="26">
        <f>IF(X1407&gt;='Methodology &amp; Assumptions'!$B$7, "Tier 1 Critical GIDA (Score ≥ 50.0)", IF(X1407&gt;='Methodology &amp; Assumptions'!$B$8, "Tier 2 High GIDA (Score 40.0–49.9)", "Tier 3 Moderate GIDA (Score &lt; 40.0)"))</f>
        <v/>
      </c>
      <c r="V1407" s="26">
        <f>IF(S1407&lt;='Methodology &amp; Assumptions'!$B$10, "Direct Optical Drop (&lt;3km)", IF(S1407&lt;='Methodology &amp; Assumptions'!$B$9, "Near Optical / Microwave (&lt;5km)", "Starlink Business LEO Satellite Backhaul (&gt;5km)"))</f>
        <v/>
      </c>
      <c r="W1407" s="28" t="n">
        <v>0.11</v>
      </c>
      <c r="X1407" s="14" t="n">
        <v>43.08</v>
      </c>
      <c r="Y1407" s="14">
        <f>ROUND(MIN(100, (X1407/69.91)*100), 2)</f>
        <v/>
      </c>
    </row>
    <row r="1408">
      <c r="A1408" s="10" t="n">
        <v>5</v>
      </c>
      <c r="B1408" s="10" t="n">
        <v>404</v>
      </c>
      <c r="C1408" s="10" t="n">
        <v>4404</v>
      </c>
      <c r="D1408" s="10" t="inlineStr">
        <is>
          <t>1908712008</t>
        </is>
      </c>
      <c r="E1408" s="26" t="inlineStr">
        <is>
          <t>Bangsamoro Autonomous Region In Muslim Mindanao (BARMM)</t>
        </is>
      </c>
      <c r="F1408" s="26" t="inlineStr">
        <is>
          <t>Maguindanao del Norte</t>
        </is>
      </c>
      <c r="G1408" s="26" t="inlineStr">
        <is>
          <t>Talitay</t>
        </is>
      </c>
      <c r="H1408" s="26" t="inlineStr">
        <is>
          <t>Pageda</t>
        </is>
      </c>
      <c r="I1408" s="27" t="n">
        <v>17.255063</v>
      </c>
      <c r="J1408" s="27" t="n">
        <v>122.229107</v>
      </c>
      <c r="K1408" s="10" t="inlineStr">
        <is>
          <t>R</t>
        </is>
      </c>
      <c r="L1408" s="12" t="n">
        <v>4332</v>
      </c>
      <c r="M1408" s="14" t="n">
        <v>4.3</v>
      </c>
      <c r="N1408" s="12">
        <f>ROUND(L1408/M1408, 0)</f>
        <v/>
      </c>
      <c r="O1408" s="12">
        <f>ROUND(N1408*'Methodology &amp; Assumptions'!$B$5, 0)</f>
        <v/>
      </c>
      <c r="P1408" s="10" t="inlineStr">
        <is>
          <t>Single Carrier (Band n50, 100MHz TDD)</t>
        </is>
      </c>
      <c r="Q1408" s="13">
        <f>ROUNDUP(O1408/'Methodology &amp; Assumptions'!$B$6, 0)</f>
        <v/>
      </c>
      <c r="R1408" s="13" t="n">
        <v>1</v>
      </c>
      <c r="S1408" s="14" t="n">
        <v>29.45</v>
      </c>
      <c r="T1408" s="14" t="n">
        <v>34.33</v>
      </c>
      <c r="U1408" s="26">
        <f>IF(X1408&gt;='Methodology &amp; Assumptions'!$B$7, "Tier 1 Critical GIDA (Score ≥ 50.0)", IF(X1408&gt;='Methodology &amp; Assumptions'!$B$8, "Tier 2 High GIDA (Score 40.0–49.9)", "Tier 3 Moderate GIDA (Score &lt; 40.0)"))</f>
        <v/>
      </c>
      <c r="V1408" s="26">
        <f>IF(S1408&lt;='Methodology &amp; Assumptions'!$B$10, "Direct Optical Drop (&lt;3km)", IF(S1408&lt;='Methodology &amp; Assumptions'!$B$9, "Near Optical / Microwave (&lt;5km)", "Starlink Business LEO Satellite Backhaul (&gt;5km)"))</f>
        <v/>
      </c>
      <c r="W1408" s="28" t="n">
        <v>0.11</v>
      </c>
      <c r="X1408" s="14" t="n">
        <v>43.07</v>
      </c>
      <c r="Y1408" s="14">
        <f>ROUND(MIN(100, (X1408/69.91)*100), 2)</f>
        <v/>
      </c>
    </row>
    <row r="1409">
      <c r="A1409" s="10" t="n">
        <v>5</v>
      </c>
      <c r="B1409" s="10" t="n">
        <v>405</v>
      </c>
      <c r="C1409" s="10" t="n">
        <v>4405</v>
      </c>
      <c r="D1409" s="10" t="inlineStr">
        <is>
          <t>0102820002</t>
        </is>
      </c>
      <c r="E1409" s="26" t="inlineStr">
        <is>
          <t>Region I (Ilocos Region)</t>
        </is>
      </c>
      <c r="F1409" s="26" t="inlineStr">
        <is>
          <t>Ilocos Norte</t>
        </is>
      </c>
      <c r="G1409" s="26" t="inlineStr">
        <is>
          <t>San Nicolas</t>
        </is>
      </c>
      <c r="H1409" s="26" t="inlineStr">
        <is>
          <t>San Ildefonso</t>
        </is>
      </c>
      <c r="I1409" s="27" t="n">
        <v>18.172798</v>
      </c>
      <c r="J1409" s="27" t="n">
        <v>120.594616</v>
      </c>
      <c r="K1409" s="10" t="inlineStr">
        <is>
          <t>R</t>
        </is>
      </c>
      <c r="L1409" s="12" t="n">
        <v>1769</v>
      </c>
      <c r="M1409" s="14" t="n">
        <v>3.7</v>
      </c>
      <c r="N1409" s="12">
        <f>ROUND(L1409/M1409, 0)</f>
        <v/>
      </c>
      <c r="O1409" s="12">
        <f>ROUND(N1409*'Methodology &amp; Assumptions'!$B$5, 0)</f>
        <v/>
      </c>
      <c r="P1409" s="10" t="inlineStr">
        <is>
          <t>Single Carrier (Band n50, 100MHz TDD)</t>
        </is>
      </c>
      <c r="Q1409" s="13">
        <f>ROUNDUP(O1409/'Methodology &amp; Assumptions'!$B$6, 0)</f>
        <v/>
      </c>
      <c r="R1409" s="13" t="n">
        <v>1</v>
      </c>
      <c r="S1409" s="14" t="n">
        <v>0.3</v>
      </c>
      <c r="T1409" s="14" t="n">
        <v>0.15</v>
      </c>
      <c r="U1409" s="26">
        <f>IF(X1409&gt;='Methodology &amp; Assumptions'!$B$7, "Tier 1 Critical GIDA (Score ≥ 50.0)", IF(X1409&gt;='Methodology &amp; Assumptions'!$B$8, "Tier 2 High GIDA (Score 40.0–49.9)", "Tier 3 Moderate GIDA (Score &lt; 40.0)"))</f>
        <v/>
      </c>
      <c r="V1409" s="26">
        <f>IF(S1409&lt;='Methodology &amp; Assumptions'!$B$10, "Direct Optical Drop (&lt;3km)", IF(S1409&lt;='Methodology &amp; Assumptions'!$B$9, "Near Optical / Microwave (&lt;5km)", "Starlink Business LEO Satellite Backhaul (&gt;5km)"))</f>
        <v/>
      </c>
      <c r="W1409" s="28" t="n">
        <v>0.083</v>
      </c>
      <c r="X1409" s="14" t="n">
        <v>43.06</v>
      </c>
      <c r="Y1409" s="14">
        <f>ROUND(MIN(100, (X1409/69.91)*100), 2)</f>
        <v/>
      </c>
    </row>
    <row r="1410">
      <c r="A1410" s="10" t="n">
        <v>5</v>
      </c>
      <c r="B1410" s="10" t="n">
        <v>406</v>
      </c>
      <c r="C1410" s="10" t="n">
        <v>4406</v>
      </c>
      <c r="D1410" s="10" t="inlineStr">
        <is>
          <t>1907011003</t>
        </is>
      </c>
      <c r="E1410" s="26" t="inlineStr">
        <is>
          <t>Bangsamoro Autonomous Region In Muslim Mindanao (BARMM)</t>
        </is>
      </c>
      <c r="F1410" s="26" t="inlineStr">
        <is>
          <t>Tawi-Tawi</t>
        </is>
      </c>
      <c r="G1410" s="26" t="inlineStr">
        <is>
          <t>Sibutu</t>
        </is>
      </c>
      <c r="H1410" s="26" t="inlineStr">
        <is>
          <t>Hadji Imam Bidin</t>
        </is>
      </c>
      <c r="I1410" s="27" t="n">
        <v>13.487939</v>
      </c>
      <c r="J1410" s="27" t="n">
        <v>121.397508</v>
      </c>
      <c r="K1410" s="10" t="inlineStr">
        <is>
          <t>R</t>
        </is>
      </c>
      <c r="L1410" s="12" t="n">
        <v>1486</v>
      </c>
      <c r="M1410" s="14" t="n">
        <v>5.8</v>
      </c>
      <c r="N1410" s="12">
        <f>ROUND(L1410/M1410, 0)</f>
        <v/>
      </c>
      <c r="O1410" s="12">
        <f>ROUND(N1410*'Methodology &amp; Assumptions'!$B$5, 0)</f>
        <v/>
      </c>
      <c r="P1410" s="10" t="inlineStr">
        <is>
          <t>Single Carrier (Band n50, 100MHz TDD)</t>
        </is>
      </c>
      <c r="Q1410" s="13">
        <f>ROUNDUP(O1410/'Methodology &amp; Assumptions'!$B$6, 0)</f>
        <v/>
      </c>
      <c r="R1410" s="13" t="n">
        <v>1</v>
      </c>
      <c r="S1410" s="14" t="n">
        <v>21.19</v>
      </c>
      <c r="T1410" s="14" t="n">
        <v>27.99</v>
      </c>
      <c r="U1410" s="26">
        <f>IF(X1410&gt;='Methodology &amp; Assumptions'!$B$7, "Tier 1 Critical GIDA (Score ≥ 50.0)", IF(X1410&gt;='Methodology &amp; Assumptions'!$B$8, "Tier 2 High GIDA (Score 40.0–49.9)", "Tier 3 Moderate GIDA (Score &lt; 40.0)"))</f>
        <v/>
      </c>
      <c r="V1410" s="26">
        <f>IF(S1410&lt;='Methodology &amp; Assumptions'!$B$10, "Direct Optical Drop (&lt;3km)", IF(S1410&lt;='Methodology &amp; Assumptions'!$B$9, "Near Optical / Microwave (&lt;5km)", "Starlink Business LEO Satellite Backhaul (&gt;5km)"))</f>
        <v/>
      </c>
      <c r="W1410" s="28" t="n">
        <v>0.11</v>
      </c>
      <c r="X1410" s="14" t="n">
        <v>43.06</v>
      </c>
      <c r="Y1410" s="14">
        <f>ROUND(MIN(100, (X1410/69.91)*100), 2)</f>
        <v/>
      </c>
    </row>
    <row r="1411">
      <c r="A1411" s="10" t="n">
        <v>5</v>
      </c>
      <c r="B1411" s="10" t="n">
        <v>407</v>
      </c>
      <c r="C1411" s="10" t="n">
        <v>4407</v>
      </c>
      <c r="D1411" s="10" t="inlineStr">
        <is>
          <t>0806019010</t>
        </is>
      </c>
      <c r="E1411" s="26" t="inlineStr">
        <is>
          <t>Region VIII (Eastern Visayas)</t>
        </is>
      </c>
      <c r="F1411" s="26" t="inlineStr">
        <is>
          <t>Samar</t>
        </is>
      </c>
      <c r="G1411" s="26" t="inlineStr">
        <is>
          <t>Talalora</t>
        </is>
      </c>
      <c r="H1411" s="26" t="inlineStr">
        <is>
          <t>Tatabunan</t>
        </is>
      </c>
      <c r="I1411" s="27" t="n">
        <v>11.4955</v>
      </c>
      <c r="J1411" s="27" t="n">
        <v>124.83181</v>
      </c>
      <c r="K1411" s="10" t="inlineStr">
        <is>
          <t>R</t>
        </is>
      </c>
      <c r="L1411" s="12" t="n">
        <v>1124</v>
      </c>
      <c r="M1411" s="14" t="n">
        <v>4.1</v>
      </c>
      <c r="N1411" s="12">
        <f>ROUND(L1411/M1411, 0)</f>
        <v/>
      </c>
      <c r="O1411" s="12">
        <f>ROUND(N1411*'Methodology &amp; Assumptions'!$B$5, 0)</f>
        <v/>
      </c>
      <c r="P1411" s="10" t="inlineStr">
        <is>
          <t>Single Carrier (Band n50, 100MHz TDD)</t>
        </is>
      </c>
      <c r="Q1411" s="13">
        <f>ROUNDUP(O1411/'Methodology &amp; Assumptions'!$B$6, 0)</f>
        <v/>
      </c>
      <c r="R1411" s="13" t="n">
        <v>1</v>
      </c>
      <c r="S1411" s="14" t="n">
        <v>26.73</v>
      </c>
      <c r="T1411" s="14" t="n">
        <v>26.38</v>
      </c>
      <c r="U1411" s="26">
        <f>IF(X1411&gt;='Methodology &amp; Assumptions'!$B$7, "Tier 1 Critical GIDA (Score ≥ 50.0)", IF(X1411&gt;='Methodology &amp; Assumptions'!$B$8, "Tier 2 High GIDA (Score 40.0–49.9)", "Tier 3 Moderate GIDA (Score &lt; 40.0)"))</f>
        <v/>
      </c>
      <c r="V1411" s="26">
        <f>IF(S1411&lt;='Methodology &amp; Assumptions'!$B$10, "Direct Optical Drop (&lt;3km)", IF(S1411&lt;='Methodology &amp; Assumptions'!$B$9, "Near Optical / Microwave (&lt;5km)", "Starlink Business LEO Satellite Backhaul (&gt;5km)"))</f>
        <v/>
      </c>
      <c r="W1411" s="28" t="n">
        <v>0.237</v>
      </c>
      <c r="X1411" s="14" t="n">
        <v>43.05</v>
      </c>
      <c r="Y1411" s="14">
        <f>ROUND(MIN(100, (X1411/69.91)*100), 2)</f>
        <v/>
      </c>
    </row>
    <row r="1412">
      <c r="A1412" s="10" t="n">
        <v>5</v>
      </c>
      <c r="B1412" s="10" t="n">
        <v>408</v>
      </c>
      <c r="C1412" s="10" t="n">
        <v>4408</v>
      </c>
      <c r="D1412" s="10" t="inlineStr">
        <is>
          <t>0401019008</t>
        </is>
      </c>
      <c r="E1412" s="26" t="inlineStr">
        <is>
          <t>Region IV-A (CALABARZON)</t>
        </is>
      </c>
      <c r="F1412" s="26" t="inlineStr">
        <is>
          <t>Batangas</t>
        </is>
      </c>
      <c r="G1412" s="26" t="inlineStr">
        <is>
          <t>Nasugbu</t>
        </is>
      </c>
      <c r="H1412" s="26" t="inlineStr">
        <is>
          <t>Barangay 3</t>
        </is>
      </c>
      <c r="I1412" s="27" t="n">
        <v>14.091399</v>
      </c>
      <c r="J1412" s="27" t="n">
        <v>120.693944</v>
      </c>
      <c r="K1412" s="10" t="inlineStr">
        <is>
          <t>U</t>
        </is>
      </c>
      <c r="L1412" s="12" t="n">
        <v>1150</v>
      </c>
      <c r="M1412" s="14" t="n">
        <v>3.6</v>
      </c>
      <c r="N1412" s="12">
        <f>ROUND(L1412/M1412, 0)</f>
        <v/>
      </c>
      <c r="O1412" s="12">
        <f>ROUND(N1412*'Methodology &amp; Assumptions'!$B$5, 0)</f>
        <v/>
      </c>
      <c r="P1412" s="10" t="inlineStr">
        <is>
          <t>Single Carrier (Band n50, 100MHz TDD)</t>
        </is>
      </c>
      <c r="Q1412" s="13">
        <f>ROUNDUP(O1412/'Methodology &amp; Assumptions'!$B$6, 0)</f>
        <v/>
      </c>
      <c r="R1412" s="13" t="n">
        <v>1</v>
      </c>
      <c r="S1412" s="14" t="n">
        <v>6.44</v>
      </c>
      <c r="T1412" s="14" t="n">
        <v>2.96</v>
      </c>
      <c r="U1412" s="26">
        <f>IF(X1412&gt;='Methodology &amp; Assumptions'!$B$7, "Tier 1 Critical GIDA (Score ≥ 50.0)", IF(X1412&gt;='Methodology &amp; Assumptions'!$B$8, "Tier 2 High GIDA (Score 40.0–49.9)", "Tier 3 Moderate GIDA (Score &lt; 40.0)"))</f>
        <v/>
      </c>
      <c r="V1412" s="26">
        <f>IF(S1412&lt;='Methodology &amp; Assumptions'!$B$10, "Direct Optical Drop (&lt;3km)", IF(S1412&lt;='Methodology &amp; Assumptions'!$B$9, "Near Optical / Microwave (&lt;5km)", "Starlink Business LEO Satellite Backhaul (&gt;5km)"))</f>
        <v/>
      </c>
      <c r="W1412" s="28" t="n">
        <v>0.07200000000000001</v>
      </c>
      <c r="X1412" s="14" t="n">
        <v>43.05</v>
      </c>
      <c r="Y1412" s="14">
        <f>ROUND(MIN(100, (X1412/69.91)*100), 2)</f>
        <v/>
      </c>
    </row>
    <row r="1413">
      <c r="A1413" s="10" t="n">
        <v>5</v>
      </c>
      <c r="B1413" s="10" t="n">
        <v>409</v>
      </c>
      <c r="C1413" s="10" t="n">
        <v>4409</v>
      </c>
      <c r="D1413" s="10" t="inlineStr">
        <is>
          <t>1908709010</t>
        </is>
      </c>
      <c r="E1413" s="26" t="inlineStr">
        <is>
          <t>Bangsamoro Autonomous Region In Muslim Mindanao (BARMM)</t>
        </is>
      </c>
      <c r="F1413" s="26" t="inlineStr">
        <is>
          <t>Maguindanao del Norte</t>
        </is>
      </c>
      <c r="G1413" s="26" t="inlineStr">
        <is>
          <t>Parang</t>
        </is>
      </c>
      <c r="H1413" s="26" t="inlineStr">
        <is>
          <t>Landasan</t>
        </is>
      </c>
      <c r="I1413" s="27" t="n">
        <v>7.340638</v>
      </c>
      <c r="J1413" s="27" t="n">
        <v>124.249138</v>
      </c>
      <c r="K1413" s="10" t="inlineStr">
        <is>
          <t>U</t>
        </is>
      </c>
      <c r="L1413" s="12" t="n">
        <v>38559</v>
      </c>
      <c r="M1413" s="14" t="n">
        <v>4.3</v>
      </c>
      <c r="N1413" s="12">
        <f>ROUND(L1413/M1413, 0)</f>
        <v/>
      </c>
      <c r="O1413" s="12">
        <f>ROUND(N1413*'Methodology &amp; Assumptions'!$B$5, 0)</f>
        <v/>
      </c>
      <c r="P1413" s="10" t="inlineStr">
        <is>
          <t>Single Carrier (Band n50, 100MHz TDD)</t>
        </is>
      </c>
      <c r="Q1413" s="13">
        <f>ROUNDUP(O1413/'Methodology &amp; Assumptions'!$B$6, 0)</f>
        <v/>
      </c>
      <c r="R1413" s="13" t="n">
        <v>1</v>
      </c>
      <c r="S1413" s="14" t="n">
        <v>62.32</v>
      </c>
      <c r="T1413" s="14" t="n">
        <v>58.09</v>
      </c>
      <c r="U1413" s="26">
        <f>IF(X1413&gt;='Methodology &amp; Assumptions'!$B$7, "Tier 1 Critical GIDA (Score ≥ 50.0)", IF(X1413&gt;='Methodology &amp; Assumptions'!$B$8, "Tier 2 High GIDA (Score 40.0–49.9)", "Tier 3 Moderate GIDA (Score &lt; 40.0)"))</f>
        <v/>
      </c>
      <c r="V1413" s="26">
        <f>IF(S1413&lt;='Methodology &amp; Assumptions'!$B$10, "Direct Optical Drop (&lt;3km)", IF(S1413&lt;='Methodology &amp; Assumptions'!$B$9, "Near Optical / Microwave (&lt;5km)", "Starlink Business LEO Satellite Backhaul (&gt;5km)"))</f>
        <v/>
      </c>
      <c r="W1413" s="28" t="n">
        <v>0.11</v>
      </c>
      <c r="X1413" s="14" t="n">
        <v>43.05</v>
      </c>
      <c r="Y1413" s="14">
        <f>ROUND(MIN(100, (X1413/69.91)*100), 2)</f>
        <v/>
      </c>
    </row>
    <row r="1414">
      <c r="A1414" s="10" t="n">
        <v>5</v>
      </c>
      <c r="B1414" s="10" t="n">
        <v>410</v>
      </c>
      <c r="C1414" s="10" t="n">
        <v>4410</v>
      </c>
      <c r="D1414" s="10" t="inlineStr">
        <is>
          <t>0205009024</t>
        </is>
      </c>
      <c r="E1414" s="26" t="inlineStr">
        <is>
          <t>Region II (Cagayan Valley)</t>
        </is>
      </c>
      <c r="F1414" s="26" t="inlineStr">
        <is>
          <t>Nueva Vizcaya</t>
        </is>
      </c>
      <c r="G1414" s="26" t="inlineStr">
        <is>
          <t>Kasibu</t>
        </is>
      </c>
      <c r="H1414" s="26" t="inlineStr">
        <is>
          <t>Wangal</t>
        </is>
      </c>
      <c r="I1414" s="27" t="n">
        <v>16.34179</v>
      </c>
      <c r="J1414" s="27" t="n">
        <v>121.39143</v>
      </c>
      <c r="K1414" s="10" t="inlineStr">
        <is>
          <t>R</t>
        </is>
      </c>
      <c r="L1414" s="12" t="n">
        <v>1418</v>
      </c>
      <c r="M1414" s="14" t="n">
        <v>3.8</v>
      </c>
      <c r="N1414" s="12">
        <f>ROUND(L1414/M1414, 0)</f>
        <v/>
      </c>
      <c r="O1414" s="12">
        <f>ROUND(N1414*'Methodology &amp; Assumptions'!$B$5, 0)</f>
        <v/>
      </c>
      <c r="P1414" s="10" t="inlineStr">
        <is>
          <t>Single Carrier (Band n50, 100MHz TDD)</t>
        </is>
      </c>
      <c r="Q1414" s="13">
        <f>ROUNDUP(O1414/'Methodology &amp; Assumptions'!$B$6, 0)</f>
        <v/>
      </c>
      <c r="R1414" s="13" t="n">
        <v>1</v>
      </c>
      <c r="S1414" s="14" t="n">
        <v>10.74</v>
      </c>
      <c r="T1414" s="14" t="n">
        <v>25.57</v>
      </c>
      <c r="U1414" s="26">
        <f>IF(X1414&gt;='Methodology &amp; Assumptions'!$B$7, "Tier 1 Critical GIDA (Score ≥ 50.0)", IF(X1414&gt;='Methodology &amp; Assumptions'!$B$8, "Tier 2 High GIDA (Score 40.0–49.9)", "Tier 3 Moderate GIDA (Score &lt; 40.0)"))</f>
        <v/>
      </c>
      <c r="V1414" s="26">
        <f>IF(S1414&lt;='Methodology &amp; Assumptions'!$B$10, "Direct Optical Drop (&lt;3km)", IF(S1414&lt;='Methodology &amp; Assumptions'!$B$9, "Near Optical / Microwave (&lt;5km)", "Starlink Business LEO Satellite Backhaul (&gt;5km)"))</f>
        <v/>
      </c>
      <c r="W1414" s="28" t="n">
        <v>0.083</v>
      </c>
      <c r="X1414" s="14" t="n">
        <v>43.05</v>
      </c>
      <c r="Y1414" s="14">
        <f>ROUND(MIN(100, (X1414/69.91)*100), 2)</f>
        <v/>
      </c>
    </row>
    <row r="1415">
      <c r="A1415" s="10" t="n">
        <v>5</v>
      </c>
      <c r="B1415" s="10" t="n">
        <v>411</v>
      </c>
      <c r="C1415" s="10" t="n">
        <v>4411</v>
      </c>
      <c r="D1415" s="10" t="inlineStr">
        <is>
          <t>0405647005</t>
        </is>
      </c>
      <c r="E1415" s="26" t="inlineStr">
        <is>
          <t>Region IV-A (CALABARZON)</t>
        </is>
      </c>
      <c r="F1415" s="26" t="inlineStr">
        <is>
          <t>Quezon</t>
        </is>
      </c>
      <c r="G1415" s="26" t="inlineStr">
        <is>
          <t>City of Tayabas</t>
        </is>
      </c>
      <c r="H1415" s="26" t="inlineStr">
        <is>
          <t>Angeles Zone III</t>
        </is>
      </c>
      <c r="I1415" s="27" t="n">
        <v>14.024818</v>
      </c>
      <c r="J1415" s="27" t="n">
        <v>121.614911</v>
      </c>
      <c r="K1415" s="10" t="inlineStr">
        <is>
          <t>R</t>
        </is>
      </c>
      <c r="L1415" s="12" t="n">
        <v>187</v>
      </c>
      <c r="M1415" s="14" t="n">
        <v>3.8</v>
      </c>
      <c r="N1415" s="12">
        <f>ROUND(L1415/M1415, 0)</f>
        <v/>
      </c>
      <c r="O1415" s="12">
        <f>ROUND(N1415*'Methodology &amp; Assumptions'!$B$5, 0)</f>
        <v/>
      </c>
      <c r="P1415" s="10" t="inlineStr">
        <is>
          <t>Single Carrier (Band n50, 100MHz TDD)</t>
        </is>
      </c>
      <c r="Q1415" s="13">
        <f>ROUNDUP(O1415/'Methodology &amp; Assumptions'!$B$6, 0)</f>
        <v/>
      </c>
      <c r="R1415" s="13" t="n">
        <v>1</v>
      </c>
      <c r="S1415" s="14" t="n">
        <v>2.31</v>
      </c>
      <c r="T1415" s="14" t="n">
        <v>1.75</v>
      </c>
      <c r="U1415" s="26">
        <f>IF(X1415&gt;='Methodology &amp; Assumptions'!$B$7, "Tier 1 Critical GIDA (Score ≥ 50.0)", IF(X1415&gt;='Methodology &amp; Assumptions'!$B$8, "Tier 2 High GIDA (Score 40.0–49.9)", "Tier 3 Moderate GIDA (Score &lt; 40.0)"))</f>
        <v/>
      </c>
      <c r="V1415" s="26">
        <f>IF(S1415&lt;='Methodology &amp; Assumptions'!$B$10, "Direct Optical Drop (&lt;3km)", IF(S1415&lt;='Methodology &amp; Assumptions'!$B$9, "Near Optical / Microwave (&lt;5km)", "Starlink Business LEO Satellite Backhaul (&gt;5km)"))</f>
        <v/>
      </c>
      <c r="W1415" s="28" t="n">
        <v>0.07200000000000001</v>
      </c>
      <c r="X1415" s="14" t="n">
        <v>43.04</v>
      </c>
      <c r="Y1415" s="14">
        <f>ROUND(MIN(100, (X1415/69.91)*100), 2)</f>
        <v/>
      </c>
    </row>
    <row r="1416">
      <c r="A1416" s="10" t="n">
        <v>5</v>
      </c>
      <c r="B1416" s="10" t="n">
        <v>412</v>
      </c>
      <c r="C1416" s="10" t="n">
        <v>4412</v>
      </c>
      <c r="D1416" s="10" t="inlineStr">
        <is>
          <t>PH0004412</t>
        </is>
      </c>
      <c r="E1416" s="26" t="inlineStr">
        <is>
          <t>VII</t>
        </is>
      </c>
      <c r="F1416" s="26" t="inlineStr">
        <is>
          <t>Cebu</t>
        </is>
      </c>
      <c r="G1416" s="26" t="inlineStr">
        <is>
          <t>Cebu City</t>
        </is>
      </c>
      <c r="H1416" s="26" t="inlineStr">
        <is>
          <t>Tejero</t>
        </is>
      </c>
      <c r="I1416" s="27" t="n">
        <v>10.300688</v>
      </c>
      <c r="J1416" s="27" t="n">
        <v>123.90664</v>
      </c>
      <c r="K1416" s="10" t="inlineStr">
        <is>
          <t>R</t>
        </is>
      </c>
      <c r="L1416" s="12" t="n">
        <v>2250</v>
      </c>
      <c r="M1416" s="14" t="n">
        <v>3.8</v>
      </c>
      <c r="N1416" s="12">
        <f>ROUND(L1416/M1416, 0)</f>
        <v/>
      </c>
      <c r="O1416" s="12">
        <f>ROUND(N1416*'Methodology &amp; Assumptions'!$B$5, 0)</f>
        <v/>
      </c>
      <c r="P1416" s="10" t="inlineStr">
        <is>
          <t>Single Carrier (Band n50, 100MHz TDD)</t>
        </is>
      </c>
      <c r="Q1416" s="13">
        <f>ROUNDUP(O1416/'Methodology &amp; Assumptions'!$B$6, 0)</f>
        <v/>
      </c>
      <c r="R1416" s="13" t="n">
        <v>1</v>
      </c>
      <c r="S1416" s="14" t="n">
        <v>0.82</v>
      </c>
      <c r="T1416" s="14" t="n">
        <v>0.5</v>
      </c>
      <c r="U1416" s="26">
        <f>IF(X1416&gt;='Methodology &amp; Assumptions'!$B$7, "Tier 1 Critical GIDA (Score ≥ 50.0)", IF(X1416&gt;='Methodology &amp; Assumptions'!$B$8, "Tier 2 High GIDA (Score 40.0–49.9)", "Tier 3 Moderate GIDA (Score &lt; 40.0)"))</f>
        <v/>
      </c>
      <c r="V1416" s="26">
        <f>IF(S1416&lt;='Methodology &amp; Assumptions'!$B$10, "Direct Optical Drop (&lt;3km)", IF(S1416&lt;='Methodology &amp; Assumptions'!$B$9, "Near Optical / Microwave (&lt;5km)", "Starlink Business LEO Satellite Backhaul (&gt;5km)"))</f>
        <v/>
      </c>
      <c r="W1416" s="28" t="n">
        <v>0.21</v>
      </c>
      <c r="X1416" s="14" t="n">
        <v>43.04</v>
      </c>
      <c r="Y1416" s="14">
        <f>ROUND(MIN(100, (X1416/69.91)*100), 2)</f>
        <v/>
      </c>
    </row>
    <row r="1417">
      <c r="A1417" s="10" t="n">
        <v>5</v>
      </c>
      <c r="B1417" s="10" t="n">
        <v>413</v>
      </c>
      <c r="C1417" s="10" t="n">
        <v>4413</v>
      </c>
      <c r="D1417" s="10" t="inlineStr">
        <is>
          <t>1003521011</t>
        </is>
      </c>
      <c r="E1417" s="26" t="inlineStr">
        <is>
          <t>Region X (Northern Mindanao)</t>
        </is>
      </c>
      <c r="F1417" s="26" t="inlineStr">
        <is>
          <t>Lanao del Norte</t>
        </is>
      </c>
      <c r="G1417" s="26" t="inlineStr">
        <is>
          <t>Tangcal</t>
        </is>
      </c>
      <c r="H1417" s="26" t="inlineStr">
        <is>
          <t>Lingco-an</t>
        </is>
      </c>
      <c r="I1417" s="27" t="n">
        <v>8.030948</v>
      </c>
      <c r="J1417" s="27" t="n">
        <v>123.975656</v>
      </c>
      <c r="K1417" s="10" t="inlineStr">
        <is>
          <t>R</t>
        </is>
      </c>
      <c r="L1417" s="12" t="n">
        <v>661</v>
      </c>
      <c r="M1417" s="14" t="n">
        <v>4.2</v>
      </c>
      <c r="N1417" s="12">
        <f>ROUND(L1417/M1417, 0)</f>
        <v/>
      </c>
      <c r="O1417" s="12">
        <f>ROUND(N1417*'Methodology &amp; Assumptions'!$B$5, 0)</f>
        <v/>
      </c>
      <c r="P1417" s="10" t="inlineStr">
        <is>
          <t>Single Carrier (Band n50, 100MHz TDD)</t>
        </is>
      </c>
      <c r="Q1417" s="13">
        <f>ROUNDUP(O1417/'Methodology &amp; Assumptions'!$B$6, 0)</f>
        <v/>
      </c>
      <c r="R1417" s="13" t="n">
        <v>1</v>
      </c>
      <c r="S1417" s="14" t="n">
        <v>19.48</v>
      </c>
      <c r="T1417" s="14" t="n">
        <v>12.24</v>
      </c>
      <c r="U1417" s="26">
        <f>IF(X1417&gt;='Methodology &amp; Assumptions'!$B$7, "Tier 1 Critical GIDA (Score ≥ 50.0)", IF(X1417&gt;='Methodology &amp; Assumptions'!$B$8, "Tier 2 High GIDA (Score 40.0–49.9)", "Tier 3 Moderate GIDA (Score &lt; 40.0)"))</f>
        <v/>
      </c>
      <c r="V1417" s="26">
        <f>IF(S1417&lt;='Methodology &amp; Assumptions'!$B$10, "Direct Optical Drop (&lt;3km)", IF(S1417&lt;='Methodology &amp; Assumptions'!$B$9, "Near Optical / Microwave (&lt;5km)", "Starlink Business LEO Satellite Backhaul (&gt;5km)"))</f>
        <v/>
      </c>
      <c r="W1417" s="28" t="n">
        <v>0.174</v>
      </c>
      <c r="X1417" s="14" t="n">
        <v>43.04</v>
      </c>
      <c r="Y1417" s="14">
        <f>ROUND(MIN(100, (X1417/69.91)*100), 2)</f>
        <v/>
      </c>
    </row>
    <row r="1418">
      <c r="A1418" s="10" t="n">
        <v>5</v>
      </c>
      <c r="B1418" s="10" t="n">
        <v>414</v>
      </c>
      <c r="C1418" s="10" t="n">
        <v>4414</v>
      </c>
      <c r="D1418" s="10" t="inlineStr">
        <is>
          <t>1381400012</t>
        </is>
      </c>
      <c r="E1418" s="26" t="inlineStr">
        <is>
          <t>National Capital Region (NCR)</t>
        </is>
      </c>
      <c r="F1418" s="26" t="inlineStr">
        <is>
          <t>Second District (Not a Province)</t>
        </is>
      </c>
      <c r="G1418" s="26" t="inlineStr">
        <is>
          <t>City of San Juan</t>
        </is>
      </c>
      <c r="H1418" s="26" t="inlineStr">
        <is>
          <t>Pasadeña</t>
        </is>
      </c>
      <c r="I1418" s="27" t="n">
        <v>14.617856</v>
      </c>
      <c r="J1418" s="27" t="n">
        <v>121.03482</v>
      </c>
      <c r="K1418" s="10" t="inlineStr">
        <is>
          <t>U</t>
        </is>
      </c>
      <c r="L1418" s="12" t="n">
        <v>4695</v>
      </c>
      <c r="M1418" s="14" t="n">
        <v>3.6</v>
      </c>
      <c r="N1418" s="12">
        <f>ROUND(L1418/M1418, 0)</f>
        <v/>
      </c>
      <c r="O1418" s="12">
        <f>ROUND(N1418*'Methodology &amp; Assumptions'!$B$5, 0)</f>
        <v/>
      </c>
      <c r="P1418" s="10" t="inlineStr">
        <is>
          <t>Single Carrier (Band n50, 100MHz TDD)</t>
        </is>
      </c>
      <c r="Q1418" s="13">
        <f>ROUNDUP(O1418/'Methodology &amp; Assumptions'!$B$6, 0)</f>
        <v/>
      </c>
      <c r="R1418" s="13" t="n">
        <v>1</v>
      </c>
      <c r="S1418" s="14" t="n">
        <v>2.04</v>
      </c>
      <c r="T1418" s="14" t="n">
        <v>0.37</v>
      </c>
      <c r="U1418" s="26">
        <f>IF(X1418&gt;='Methodology &amp; Assumptions'!$B$7, "Tier 1 Critical GIDA (Score ≥ 50.0)", IF(X1418&gt;='Methodology &amp; Assumptions'!$B$8, "Tier 2 High GIDA (Score 40.0–49.9)", "Tier 3 Moderate GIDA (Score &lt; 40.0)"))</f>
        <v/>
      </c>
      <c r="V1418" s="26">
        <f>IF(S1418&lt;='Methodology &amp; Assumptions'!$B$10, "Direct Optical Drop (&lt;3km)", IF(S1418&lt;='Methodology &amp; Assumptions'!$B$9, "Near Optical / Microwave (&lt;5km)", "Starlink Business LEO Satellite Backhaul (&gt;5km)"))</f>
        <v/>
      </c>
      <c r="W1418" s="28" t="n">
        <v>0.109</v>
      </c>
      <c r="X1418" s="14" t="n">
        <v>43.04</v>
      </c>
      <c r="Y1418" s="14">
        <f>ROUND(MIN(100, (X1418/69.91)*100), 2)</f>
        <v/>
      </c>
    </row>
    <row r="1419">
      <c r="A1419" s="10" t="n">
        <v>5</v>
      </c>
      <c r="B1419" s="10" t="n">
        <v>415</v>
      </c>
      <c r="C1419" s="10" t="n">
        <v>4415</v>
      </c>
      <c r="D1419" s="10" t="inlineStr">
        <is>
          <t>1003502003</t>
        </is>
      </c>
      <c r="E1419" s="26" t="inlineStr">
        <is>
          <t>Region X (Northern Mindanao)</t>
        </is>
      </c>
      <c r="F1419" s="26" t="inlineStr">
        <is>
          <t>Lanao del Norte</t>
        </is>
      </c>
      <c r="G1419" s="26" t="inlineStr">
        <is>
          <t>Baloi</t>
        </is>
      </c>
      <c r="H1419" s="26" t="inlineStr">
        <is>
          <t>Angandog</t>
        </is>
      </c>
      <c r="I1419" s="27" t="n">
        <v>8.106629999999999</v>
      </c>
      <c r="J1419" s="27" t="n">
        <v>124.192194</v>
      </c>
      <c r="K1419" s="10" t="inlineStr">
        <is>
          <t>R</t>
        </is>
      </c>
      <c r="L1419" s="12" t="n">
        <v>1597</v>
      </c>
      <c r="M1419" s="14" t="n">
        <v>4.2</v>
      </c>
      <c r="N1419" s="12">
        <f>ROUND(L1419/M1419, 0)</f>
        <v/>
      </c>
      <c r="O1419" s="12">
        <f>ROUND(N1419*'Methodology &amp; Assumptions'!$B$5, 0)</f>
        <v/>
      </c>
      <c r="P1419" s="10" t="inlineStr">
        <is>
          <t>Single Carrier (Band n50, 100MHz TDD)</t>
        </is>
      </c>
      <c r="Q1419" s="13">
        <f>ROUNDUP(O1419/'Methodology &amp; Assumptions'!$B$6, 0)</f>
        <v/>
      </c>
      <c r="R1419" s="13" t="n">
        <v>1</v>
      </c>
      <c r="S1419" s="14" t="n">
        <v>14.04</v>
      </c>
      <c r="T1419" s="14" t="n">
        <v>3</v>
      </c>
      <c r="U1419" s="26">
        <f>IF(X1419&gt;='Methodology &amp; Assumptions'!$B$7, "Tier 1 Critical GIDA (Score ≥ 50.0)", IF(X1419&gt;='Methodology &amp; Assumptions'!$B$8, "Tier 2 High GIDA (Score 40.0–49.9)", "Tier 3 Moderate GIDA (Score &lt; 40.0)"))</f>
        <v/>
      </c>
      <c r="V1419" s="26">
        <f>IF(S1419&lt;='Methodology &amp; Assumptions'!$B$10, "Direct Optical Drop (&lt;3km)", IF(S1419&lt;='Methodology &amp; Assumptions'!$B$9, "Near Optical / Microwave (&lt;5km)", "Starlink Business LEO Satellite Backhaul (&gt;5km)"))</f>
        <v/>
      </c>
      <c r="W1419" s="28" t="n">
        <v>0.174</v>
      </c>
      <c r="X1419" s="14" t="n">
        <v>43.03</v>
      </c>
      <c r="Y1419" s="14">
        <f>ROUND(MIN(100, (X1419/69.91)*100), 2)</f>
        <v/>
      </c>
    </row>
    <row r="1420">
      <c r="A1420" s="10" t="n">
        <v>5</v>
      </c>
      <c r="B1420" s="10" t="n">
        <v>416</v>
      </c>
      <c r="C1420" s="10" t="n">
        <v>4416</v>
      </c>
      <c r="D1420" s="10" t="inlineStr">
        <is>
          <t>0806013025</t>
        </is>
      </c>
      <c r="E1420" s="26" t="inlineStr">
        <is>
          <t>Region VIII (Eastern Visayas)</t>
        </is>
      </c>
      <c r="F1420" s="26" t="inlineStr">
        <is>
          <t>Samar</t>
        </is>
      </c>
      <c r="G1420" s="26" t="inlineStr">
        <is>
          <t>Pinabacdao</t>
        </is>
      </c>
      <c r="H1420" s="26" t="inlineStr">
        <is>
          <t>San Isidro</t>
        </is>
      </c>
      <c r="I1420" s="27" t="n">
        <v>11.600725</v>
      </c>
      <c r="J1420" s="27" t="n">
        <v>124.967967</v>
      </c>
      <c r="K1420" s="10" t="inlineStr">
        <is>
          <t>R</t>
        </is>
      </c>
      <c r="L1420" s="12" t="n">
        <v>393</v>
      </c>
      <c r="M1420" s="14" t="n">
        <v>4.1</v>
      </c>
      <c r="N1420" s="12">
        <f>ROUND(L1420/M1420, 0)</f>
        <v/>
      </c>
      <c r="O1420" s="12">
        <f>ROUND(N1420*'Methodology &amp; Assumptions'!$B$5, 0)</f>
        <v/>
      </c>
      <c r="P1420" s="10" t="inlineStr">
        <is>
          <t>Single Carrier (Band n50, 100MHz TDD)</t>
        </is>
      </c>
      <c r="Q1420" s="13">
        <f>ROUNDUP(O1420/'Methodology &amp; Assumptions'!$B$6, 0)</f>
        <v/>
      </c>
      <c r="R1420" s="13" t="n">
        <v>1</v>
      </c>
      <c r="S1420" s="14" t="n">
        <v>40.33</v>
      </c>
      <c r="T1420" s="14" t="n">
        <v>43.41</v>
      </c>
      <c r="U1420" s="26">
        <f>IF(X1420&gt;='Methodology &amp; Assumptions'!$B$7, "Tier 1 Critical GIDA (Score ≥ 50.0)", IF(X1420&gt;='Methodology &amp; Assumptions'!$B$8, "Tier 2 High GIDA (Score 40.0–49.9)", "Tier 3 Moderate GIDA (Score &lt; 40.0)"))</f>
        <v/>
      </c>
      <c r="V1420" s="26">
        <f>IF(S1420&lt;='Methodology &amp; Assumptions'!$B$10, "Direct Optical Drop (&lt;3km)", IF(S1420&lt;='Methodology &amp; Assumptions'!$B$9, "Near Optical / Microwave (&lt;5km)", "Starlink Business LEO Satellite Backhaul (&gt;5km)"))</f>
        <v/>
      </c>
      <c r="W1420" s="28" t="n">
        <v>0.237</v>
      </c>
      <c r="X1420" s="14" t="n">
        <v>43.03</v>
      </c>
      <c r="Y1420" s="14">
        <f>ROUND(MIN(100, (X1420/69.91)*100), 2)</f>
        <v/>
      </c>
    </row>
    <row r="1421">
      <c r="A1421" s="10" t="n">
        <v>5</v>
      </c>
      <c r="B1421" s="10" t="n">
        <v>417</v>
      </c>
      <c r="C1421" s="10" t="n">
        <v>4417</v>
      </c>
      <c r="D1421" s="10" t="inlineStr">
        <is>
          <t>1908816011</t>
        </is>
      </c>
      <c r="E1421" s="26" t="inlineStr">
        <is>
          <t>Bangsamoro Autonomous Region In Muslim Mindanao (BARMM)</t>
        </is>
      </c>
      <c r="F1421" s="26" t="inlineStr">
        <is>
          <t>Maguindanao del Sur</t>
        </is>
      </c>
      <c r="G1421" s="26" t="inlineStr">
        <is>
          <t>Pagalungan</t>
        </is>
      </c>
      <c r="H1421" s="26" t="inlineStr">
        <is>
          <t>Linandangan</t>
        </is>
      </c>
      <c r="I1421" s="27" t="n">
        <v>17.254991</v>
      </c>
      <c r="J1421" s="27" t="n">
        <v>122.229035</v>
      </c>
      <c r="K1421" s="10" t="inlineStr">
        <is>
          <t>R</t>
        </is>
      </c>
      <c r="L1421" s="12" t="n">
        <v>2770</v>
      </c>
      <c r="M1421" s="14" t="n">
        <v>4.7</v>
      </c>
      <c r="N1421" s="12">
        <f>ROUND(L1421/M1421, 0)</f>
        <v/>
      </c>
      <c r="O1421" s="12">
        <f>ROUND(N1421*'Methodology &amp; Assumptions'!$B$5, 0)</f>
        <v/>
      </c>
      <c r="P1421" s="10" t="inlineStr">
        <is>
          <t>Single Carrier (Band n50, 100MHz TDD)</t>
        </is>
      </c>
      <c r="Q1421" s="13">
        <f>ROUNDUP(O1421/'Methodology &amp; Assumptions'!$B$6, 0)</f>
        <v/>
      </c>
      <c r="R1421" s="13" t="n">
        <v>1</v>
      </c>
      <c r="S1421" s="14" t="n">
        <v>29.44</v>
      </c>
      <c r="T1421" s="14" t="n">
        <v>34.32</v>
      </c>
      <c r="U1421" s="26">
        <f>IF(X1421&gt;='Methodology &amp; Assumptions'!$B$7, "Tier 1 Critical GIDA (Score ≥ 50.0)", IF(X1421&gt;='Methodology &amp; Assumptions'!$B$8, "Tier 2 High GIDA (Score 40.0–49.9)", "Tier 3 Moderate GIDA (Score &lt; 40.0)"))</f>
        <v/>
      </c>
      <c r="V1421" s="26">
        <f>IF(S1421&lt;='Methodology &amp; Assumptions'!$B$10, "Direct Optical Drop (&lt;3km)", IF(S1421&lt;='Methodology &amp; Assumptions'!$B$9, "Near Optical / Microwave (&lt;5km)", "Starlink Business LEO Satellite Backhaul (&gt;5km)"))</f>
        <v/>
      </c>
      <c r="W1421" s="28" t="n">
        <v>0.11</v>
      </c>
      <c r="X1421" s="14" t="n">
        <v>43.03</v>
      </c>
      <c r="Y1421" s="14">
        <f>ROUND(MIN(100, (X1421/69.91)*100), 2)</f>
        <v/>
      </c>
    </row>
    <row r="1422">
      <c r="A1422" s="10" t="n">
        <v>5</v>
      </c>
      <c r="B1422" s="10" t="n">
        <v>418</v>
      </c>
      <c r="C1422" s="10" t="n">
        <v>4418</v>
      </c>
      <c r="D1422" s="10" t="inlineStr">
        <is>
          <t>0701230013</t>
        </is>
      </c>
      <c r="E1422" s="26" t="inlineStr">
        <is>
          <t>Region VII (Central Visayas)</t>
        </is>
      </c>
      <c r="F1422" s="26" t="inlineStr">
        <is>
          <t>Bohol</t>
        </is>
      </c>
      <c r="G1422" s="26" t="inlineStr">
        <is>
          <t>Loon</t>
        </is>
      </c>
      <c r="H1422" s="26" t="inlineStr">
        <is>
          <t>Bugho</t>
        </is>
      </c>
      <c r="I1422" s="27" t="n">
        <v>9.79369</v>
      </c>
      <c r="J1422" s="27" t="n">
        <v>123.83322</v>
      </c>
      <c r="K1422" s="10" t="inlineStr">
        <is>
          <t>R</t>
        </is>
      </c>
      <c r="L1422" s="12" t="n">
        <v>212</v>
      </c>
      <c r="M1422" s="14" t="n">
        <v>4</v>
      </c>
      <c r="N1422" s="12">
        <f>ROUND(L1422/M1422, 0)</f>
        <v/>
      </c>
      <c r="O1422" s="12">
        <f>ROUND(N1422*'Methodology &amp; Assumptions'!$B$5, 0)</f>
        <v/>
      </c>
      <c r="P1422" s="10" t="inlineStr">
        <is>
          <t>Single Carrier (Band n50, 100MHz TDD)</t>
        </is>
      </c>
      <c r="Q1422" s="13">
        <f>ROUNDUP(O1422/'Methodology &amp; Assumptions'!$B$6, 0)</f>
        <v/>
      </c>
      <c r="R1422" s="13" t="n">
        <v>1</v>
      </c>
      <c r="S1422" s="14" t="n">
        <v>4.06</v>
      </c>
      <c r="T1422" s="14" t="n">
        <v>4.03</v>
      </c>
      <c r="U1422" s="26">
        <f>IF(X1422&gt;='Methodology &amp; Assumptions'!$B$7, "Tier 1 Critical GIDA (Score ≥ 50.0)", IF(X1422&gt;='Methodology &amp; Assumptions'!$B$8, "Tier 2 High GIDA (Score 40.0–49.9)", "Tier 3 Moderate GIDA (Score &lt; 40.0)"))</f>
        <v/>
      </c>
      <c r="V1422" s="26">
        <f>IF(S1422&lt;='Methodology &amp; Assumptions'!$B$10, "Direct Optical Drop (&lt;3km)", IF(S1422&lt;='Methodology &amp; Assumptions'!$B$9, "Near Optical / Microwave (&lt;5km)", "Starlink Business LEO Satellite Backhaul (&gt;5km)"))</f>
        <v/>
      </c>
      <c r="W1422" s="28" t="n">
        <v>0.237</v>
      </c>
      <c r="X1422" s="14" t="n">
        <v>43.03</v>
      </c>
      <c r="Y1422" s="14">
        <f>ROUND(MIN(100, (X1422/69.91)*100), 2)</f>
        <v/>
      </c>
    </row>
    <row r="1423">
      <c r="A1423" s="10" t="n">
        <v>5</v>
      </c>
      <c r="B1423" s="10" t="n">
        <v>419</v>
      </c>
      <c r="C1423" s="10" t="n">
        <v>4419</v>
      </c>
      <c r="D1423" s="10" t="inlineStr">
        <is>
          <t>1381200011</t>
        </is>
      </c>
      <c r="E1423" s="26" t="inlineStr">
        <is>
          <t>National Capital Region (NCR)</t>
        </is>
      </c>
      <c r="F1423" s="26" t="inlineStr">
        <is>
          <t>Second District (Not a Province)</t>
        </is>
      </c>
      <c r="G1423" s="26" t="inlineStr">
        <is>
          <t>City of Pasig</t>
        </is>
      </c>
      <c r="H1423" s="26" t="inlineStr">
        <is>
          <t>Manggahan</t>
        </is>
      </c>
      <c r="I1423" s="27" t="n">
        <v>14.600227</v>
      </c>
      <c r="J1423" s="27" t="n">
        <v>121.094944</v>
      </c>
      <c r="K1423" s="10" t="inlineStr">
        <is>
          <t>U</t>
        </is>
      </c>
      <c r="L1423" s="12" t="n">
        <v>93549</v>
      </c>
      <c r="M1423" s="14" t="n">
        <v>3.4</v>
      </c>
      <c r="N1423" s="12">
        <f>ROUND(L1423/M1423, 0)</f>
        <v/>
      </c>
      <c r="O1423" s="12">
        <f>ROUND(N1423*'Methodology &amp; Assumptions'!$B$5, 0)</f>
        <v/>
      </c>
      <c r="P1423" s="10" t="inlineStr">
        <is>
          <t>Single Carrier (Band n50, 100MHz TDD)</t>
        </is>
      </c>
      <c r="Q1423" s="13">
        <f>ROUNDUP(O1423/'Methodology &amp; Assumptions'!$B$6, 0)</f>
        <v/>
      </c>
      <c r="R1423" s="13" t="n">
        <v>1</v>
      </c>
      <c r="S1423" s="14" t="n">
        <v>0.37</v>
      </c>
      <c r="T1423" s="14" t="n">
        <v>0.33</v>
      </c>
      <c r="U1423" s="26">
        <f>IF(X1423&gt;='Methodology &amp; Assumptions'!$B$7, "Tier 1 Critical GIDA (Score ≥ 50.0)", IF(X1423&gt;='Methodology &amp; Assumptions'!$B$8, "Tier 2 High GIDA (Score 40.0–49.9)", "Tier 3 Moderate GIDA (Score &lt; 40.0)"))</f>
        <v/>
      </c>
      <c r="V1423" s="26">
        <f>IF(S1423&lt;='Methodology &amp; Assumptions'!$B$10, "Direct Optical Drop (&lt;3km)", IF(S1423&lt;='Methodology &amp; Assumptions'!$B$9, "Near Optical / Microwave (&lt;5km)", "Starlink Business LEO Satellite Backhaul (&gt;5km)"))</f>
        <v/>
      </c>
      <c r="W1423" s="28" t="n">
        <v>0.109</v>
      </c>
      <c r="X1423" s="14" t="n">
        <v>43.03</v>
      </c>
      <c r="Y1423" s="14">
        <f>ROUND(MIN(100, (X1423/69.91)*100), 2)</f>
        <v/>
      </c>
    </row>
    <row r="1424">
      <c r="A1424" s="10" t="n">
        <v>5</v>
      </c>
      <c r="B1424" s="10" t="n">
        <v>420</v>
      </c>
      <c r="C1424" s="10" t="n">
        <v>4420</v>
      </c>
      <c r="D1424" s="10" t="inlineStr">
        <is>
          <t>1380609005</t>
        </is>
      </c>
      <c r="E1424" s="26" t="inlineStr">
        <is>
          <t>National Capital Region (NCR)</t>
        </is>
      </c>
      <c r="F1424" s="26" t="inlineStr">
        <is>
          <t>First District (Not a Province)</t>
        </is>
      </c>
      <c r="G1424" s="26" t="inlineStr">
        <is>
          <t>City of Manila</t>
        </is>
      </c>
      <c r="H1424" s="26" t="inlineStr">
        <is>
          <t>Barangay 658</t>
        </is>
      </c>
      <c r="I1424" s="27" t="n">
        <v>12.230063</v>
      </c>
      <c r="J1424" s="27" t="n">
        <v>120.619755</v>
      </c>
      <c r="K1424" s="10" t="inlineStr">
        <is>
          <t>U</t>
        </is>
      </c>
      <c r="L1424" s="12" t="n">
        <v>2172</v>
      </c>
      <c r="M1424" s="14" t="n">
        <v>3.9</v>
      </c>
      <c r="N1424" s="12">
        <f>ROUND(L1424/M1424, 0)</f>
        <v/>
      </c>
      <c r="O1424" s="12">
        <f>ROUND(N1424*'Methodology &amp; Assumptions'!$B$5, 0)</f>
        <v/>
      </c>
      <c r="P1424" s="10" t="inlineStr">
        <is>
          <t>Single Carrier (Band n50, 100MHz TDD)</t>
        </is>
      </c>
      <c r="Q1424" s="13">
        <f>ROUNDUP(O1424/'Methodology &amp; Assumptions'!$B$6, 0)</f>
        <v/>
      </c>
      <c r="R1424" s="13" t="n">
        <v>1</v>
      </c>
      <c r="S1424" s="14" t="n">
        <v>47.6</v>
      </c>
      <c r="T1424" s="14" t="n">
        <v>49.82</v>
      </c>
      <c r="U1424" s="26">
        <f>IF(X1424&gt;='Methodology &amp; Assumptions'!$B$7, "Tier 1 Critical GIDA (Score ≥ 50.0)", IF(X1424&gt;='Methodology &amp; Assumptions'!$B$8, "Tier 2 High GIDA (Score 40.0–49.9)", "Tier 3 Moderate GIDA (Score &lt; 40.0)"))</f>
        <v/>
      </c>
      <c r="V1424" s="26">
        <f>IF(S1424&lt;='Methodology &amp; Assumptions'!$B$10, "Direct Optical Drop (&lt;3km)", IF(S1424&lt;='Methodology &amp; Assumptions'!$B$9, "Near Optical / Microwave (&lt;5km)", "Starlink Business LEO Satellite Backhaul (&gt;5km)"))</f>
        <v/>
      </c>
      <c r="W1424" s="28" t="n">
        <v>0.109</v>
      </c>
      <c r="X1424" s="14" t="n">
        <v>43.03</v>
      </c>
      <c r="Y1424" s="14">
        <f>ROUND(MIN(100, (X1424/69.91)*100), 2)</f>
        <v/>
      </c>
    </row>
    <row r="1425">
      <c r="A1425" s="10" t="n">
        <v>5</v>
      </c>
      <c r="B1425" s="10" t="n">
        <v>421</v>
      </c>
      <c r="C1425" s="10" t="n">
        <v>4421</v>
      </c>
      <c r="D1425" s="10" t="inlineStr">
        <is>
          <t>1380500016</t>
        </is>
      </c>
      <c r="E1425" s="26" t="inlineStr">
        <is>
          <t>National Capital Region (NCR)</t>
        </is>
      </c>
      <c r="F1425" s="26" t="inlineStr">
        <is>
          <t>Second District (Not a Province)</t>
        </is>
      </c>
      <c r="G1425" s="26" t="inlineStr">
        <is>
          <t>City of Mandaluyong</t>
        </is>
      </c>
      <c r="H1425" s="26" t="inlineStr">
        <is>
          <t>Malamig</t>
        </is>
      </c>
      <c r="I1425" s="27" t="n">
        <v>14.594029</v>
      </c>
      <c r="J1425" s="27" t="n">
        <v>121.039618</v>
      </c>
      <c r="K1425" s="10" t="inlineStr">
        <is>
          <t>U</t>
        </is>
      </c>
      <c r="L1425" s="12" t="n">
        <v>13191</v>
      </c>
      <c r="M1425" s="14" t="n">
        <v>3.3</v>
      </c>
      <c r="N1425" s="12">
        <f>ROUND(L1425/M1425, 0)</f>
        <v/>
      </c>
      <c r="O1425" s="12">
        <f>ROUND(N1425*'Methodology &amp; Assumptions'!$B$5, 0)</f>
        <v/>
      </c>
      <c r="P1425" s="10" t="inlineStr">
        <is>
          <t>Single Carrier (Band n50, 100MHz TDD)</t>
        </is>
      </c>
      <c r="Q1425" s="13">
        <f>ROUNDUP(O1425/'Methodology &amp; Assumptions'!$B$6, 0)</f>
        <v/>
      </c>
      <c r="R1425" s="13" t="n">
        <v>1</v>
      </c>
      <c r="S1425" s="14" t="n">
        <v>0.58</v>
      </c>
      <c r="T1425" s="14" t="n">
        <v>0.11</v>
      </c>
      <c r="U1425" s="26">
        <f>IF(X1425&gt;='Methodology &amp; Assumptions'!$B$7, "Tier 1 Critical GIDA (Score ≥ 50.0)", IF(X1425&gt;='Methodology &amp; Assumptions'!$B$8, "Tier 2 High GIDA (Score 40.0–49.9)", "Tier 3 Moderate GIDA (Score &lt; 40.0)"))</f>
        <v/>
      </c>
      <c r="V1425" s="26">
        <f>IF(S1425&lt;='Methodology &amp; Assumptions'!$B$10, "Direct Optical Drop (&lt;3km)", IF(S1425&lt;='Methodology &amp; Assumptions'!$B$9, "Near Optical / Microwave (&lt;5km)", "Starlink Business LEO Satellite Backhaul (&gt;5km)"))</f>
        <v/>
      </c>
      <c r="W1425" s="28" t="n">
        <v>0.109</v>
      </c>
      <c r="X1425" s="14" t="n">
        <v>43.02</v>
      </c>
      <c r="Y1425" s="14">
        <f>ROUND(MIN(100, (X1425/69.91)*100), 2)</f>
        <v/>
      </c>
    </row>
    <row r="1426">
      <c r="A1426" s="10" t="n">
        <v>5</v>
      </c>
      <c r="B1426" s="10" t="n">
        <v>422</v>
      </c>
      <c r="C1426" s="10" t="n">
        <v>4422</v>
      </c>
      <c r="D1426" s="10" t="inlineStr">
        <is>
          <t>0402103034</t>
        </is>
      </c>
      <c r="E1426" s="26" t="inlineStr">
        <is>
          <t>Region IV-A (CALABARZON)</t>
        </is>
      </c>
      <c r="F1426" s="26" t="inlineStr">
        <is>
          <t>Cavite</t>
        </is>
      </c>
      <c r="G1426" s="26" t="inlineStr">
        <is>
          <t>City of Bacoor</t>
        </is>
      </c>
      <c r="H1426" s="26" t="inlineStr">
        <is>
          <t>Habay II</t>
        </is>
      </c>
      <c r="I1426" s="27" t="n">
        <v>14.372589</v>
      </c>
      <c r="J1426" s="27" t="n">
        <v>120.753111</v>
      </c>
      <c r="K1426" s="10" t="inlineStr">
        <is>
          <t>U</t>
        </is>
      </c>
      <c r="L1426" s="12" t="n">
        <v>12515</v>
      </c>
      <c r="M1426" s="14" t="n">
        <v>3.4</v>
      </c>
      <c r="N1426" s="12">
        <f>ROUND(L1426/M1426, 0)</f>
        <v/>
      </c>
      <c r="O1426" s="12">
        <f>ROUND(N1426*'Methodology &amp; Assumptions'!$B$5, 0)</f>
        <v/>
      </c>
      <c r="P1426" s="10" t="inlineStr">
        <is>
          <t>Single Carrier (Band n50, 100MHz TDD)</t>
        </is>
      </c>
      <c r="Q1426" s="13">
        <f>ROUNDUP(O1426/'Methodology &amp; Assumptions'!$B$6, 0)</f>
        <v/>
      </c>
      <c r="R1426" s="13" t="n">
        <v>1</v>
      </c>
      <c r="S1426" s="14" t="n">
        <v>6.01</v>
      </c>
      <c r="T1426" s="14" t="n">
        <v>5.13</v>
      </c>
      <c r="U1426" s="26">
        <f>IF(X1426&gt;='Methodology &amp; Assumptions'!$B$7, "Tier 1 Critical GIDA (Score ≥ 50.0)", IF(X1426&gt;='Methodology &amp; Assumptions'!$B$8, "Tier 2 High GIDA (Score 40.0–49.9)", "Tier 3 Moderate GIDA (Score &lt; 40.0)"))</f>
        <v/>
      </c>
      <c r="V1426" s="26">
        <f>IF(S1426&lt;='Methodology &amp; Assumptions'!$B$10, "Direct Optical Drop (&lt;3km)", IF(S1426&lt;='Methodology &amp; Assumptions'!$B$9, "Near Optical / Microwave (&lt;5km)", "Starlink Business LEO Satellite Backhaul (&gt;5km)"))</f>
        <v/>
      </c>
      <c r="W1426" s="28" t="n">
        <v>0.07200000000000001</v>
      </c>
      <c r="X1426" s="14" t="n">
        <v>43.02</v>
      </c>
      <c r="Y1426" s="14">
        <f>ROUND(MIN(100, (X1426/69.91)*100), 2)</f>
        <v/>
      </c>
    </row>
    <row r="1427">
      <c r="A1427" s="10" t="n">
        <v>5</v>
      </c>
      <c r="B1427" s="10" t="n">
        <v>423</v>
      </c>
      <c r="C1427" s="10" t="n">
        <v>4423</v>
      </c>
      <c r="D1427" s="10" t="inlineStr">
        <is>
          <t>1380700004</t>
        </is>
      </c>
      <c r="E1427" s="26" t="inlineStr">
        <is>
          <t>National Capital Region (NCR)</t>
        </is>
      </c>
      <c r="F1427" s="26" t="inlineStr">
        <is>
          <t>Second District (Not a Province)</t>
        </is>
      </c>
      <c r="G1427" s="26" t="inlineStr">
        <is>
          <t>City of Marikina</t>
        </is>
      </c>
      <c r="H1427" s="26" t="inlineStr">
        <is>
          <t>Jesus De La Peña</t>
        </is>
      </c>
      <c r="I1427" s="27" t="n">
        <v>14.643801</v>
      </c>
      <c r="J1427" s="27" t="n">
        <v>121.094915</v>
      </c>
      <c r="K1427" s="10" t="inlineStr">
        <is>
          <t>U</t>
        </is>
      </c>
      <c r="L1427" s="12" t="n">
        <v>10542</v>
      </c>
      <c r="M1427" s="14" t="n">
        <v>4</v>
      </c>
      <c r="N1427" s="12">
        <f>ROUND(L1427/M1427, 0)</f>
        <v/>
      </c>
      <c r="O1427" s="12">
        <f>ROUND(N1427*'Methodology &amp; Assumptions'!$B$5, 0)</f>
        <v/>
      </c>
      <c r="P1427" s="10" t="inlineStr">
        <is>
          <t>Single Carrier (Band n50, 100MHz TDD)</t>
        </is>
      </c>
      <c r="Q1427" s="13">
        <f>ROUNDUP(O1427/'Methodology &amp; Assumptions'!$B$6, 0)</f>
        <v/>
      </c>
      <c r="R1427" s="13" t="n">
        <v>1</v>
      </c>
      <c r="S1427" s="14" t="n">
        <v>0.75</v>
      </c>
      <c r="T1427" s="14" t="n">
        <v>0.06</v>
      </c>
      <c r="U1427" s="26">
        <f>IF(X1427&gt;='Methodology &amp; Assumptions'!$B$7, "Tier 1 Critical GIDA (Score ≥ 50.0)", IF(X1427&gt;='Methodology &amp; Assumptions'!$B$8, "Tier 2 High GIDA (Score 40.0–49.9)", "Tier 3 Moderate GIDA (Score &lt; 40.0)"))</f>
        <v/>
      </c>
      <c r="V1427" s="26">
        <f>IF(S1427&lt;='Methodology &amp; Assumptions'!$B$10, "Direct Optical Drop (&lt;3km)", IF(S1427&lt;='Methodology &amp; Assumptions'!$B$9, "Near Optical / Microwave (&lt;5km)", "Starlink Business LEO Satellite Backhaul (&gt;5km)"))</f>
        <v/>
      </c>
      <c r="W1427" s="28" t="n">
        <v>0.109</v>
      </c>
      <c r="X1427" s="14" t="n">
        <v>43.02</v>
      </c>
      <c r="Y1427" s="14">
        <f>ROUND(MIN(100, (X1427/69.91)*100), 2)</f>
        <v/>
      </c>
    </row>
    <row r="1428">
      <c r="A1428" s="10" t="n">
        <v>5</v>
      </c>
      <c r="B1428" s="10" t="n">
        <v>424</v>
      </c>
      <c r="C1428" s="10" t="n">
        <v>4424</v>
      </c>
      <c r="D1428" s="10" t="inlineStr">
        <is>
          <t>1380900013</t>
        </is>
      </c>
      <c r="E1428" s="26" t="inlineStr">
        <is>
          <t>National Capital Region (NCR)</t>
        </is>
      </c>
      <c r="F1428" s="26" t="inlineStr">
        <is>
          <t>Third District (Not a Province)</t>
        </is>
      </c>
      <c r="G1428" s="26" t="inlineStr">
        <is>
          <t>City of Navotas</t>
        </is>
      </c>
      <c r="H1428" s="26" t="inlineStr">
        <is>
          <t>Tangos South</t>
        </is>
      </c>
      <c r="I1428" s="27" t="n">
        <v>14.643999</v>
      </c>
      <c r="J1428" s="27" t="n">
        <v>120.9527</v>
      </c>
      <c r="K1428" s="10" t="inlineStr">
        <is>
          <t>U</t>
        </is>
      </c>
      <c r="L1428" s="12" t="n">
        <v>18755</v>
      </c>
      <c r="M1428" s="14" t="n">
        <v>3.4</v>
      </c>
      <c r="N1428" s="12">
        <f>ROUND(L1428/M1428, 0)</f>
        <v/>
      </c>
      <c r="O1428" s="12">
        <f>ROUND(N1428*'Methodology &amp; Assumptions'!$B$5, 0)</f>
        <v/>
      </c>
      <c r="P1428" s="10" t="inlineStr">
        <is>
          <t>Single Carrier (Band n50, 100MHz TDD)</t>
        </is>
      </c>
      <c r="Q1428" s="13">
        <f>ROUNDUP(O1428/'Methodology &amp; Assumptions'!$B$6, 0)</f>
        <v/>
      </c>
      <c r="R1428" s="13" t="n">
        <v>1</v>
      </c>
      <c r="S1428" s="14" t="n">
        <v>1.49</v>
      </c>
      <c r="T1428" s="14" t="n">
        <v>0.65</v>
      </c>
      <c r="U1428" s="26">
        <f>IF(X1428&gt;='Methodology &amp; Assumptions'!$B$7, "Tier 1 Critical GIDA (Score ≥ 50.0)", IF(X1428&gt;='Methodology &amp; Assumptions'!$B$8, "Tier 2 High GIDA (Score 40.0–49.9)", "Tier 3 Moderate GIDA (Score &lt; 40.0)"))</f>
        <v/>
      </c>
      <c r="V1428" s="26">
        <f>IF(S1428&lt;='Methodology &amp; Assumptions'!$B$10, "Direct Optical Drop (&lt;3km)", IF(S1428&lt;='Methodology &amp; Assumptions'!$B$9, "Near Optical / Microwave (&lt;5km)", "Starlink Business LEO Satellite Backhaul (&gt;5km)"))</f>
        <v/>
      </c>
      <c r="W1428" s="28" t="n">
        <v>0.109</v>
      </c>
      <c r="X1428" s="14" t="n">
        <v>43.01</v>
      </c>
      <c r="Y1428" s="14">
        <f>ROUND(MIN(100, (X1428/69.91)*100), 2)</f>
        <v/>
      </c>
    </row>
    <row r="1429">
      <c r="A1429" s="10" t="n">
        <v>5</v>
      </c>
      <c r="B1429" s="10" t="n">
        <v>425</v>
      </c>
      <c r="C1429" s="10" t="n">
        <v>4425</v>
      </c>
      <c r="D1429" s="10" t="inlineStr">
        <is>
          <t>1380300031</t>
        </is>
      </c>
      <c r="E1429" s="26" t="inlineStr">
        <is>
          <t>National Capital Region (NCR)</t>
        </is>
      </c>
      <c r="F1429" s="26" t="inlineStr">
        <is>
          <t>Fourth District (Not a Province)</t>
        </is>
      </c>
      <c r="G1429" s="26" t="inlineStr">
        <is>
          <t>City of Makati</t>
        </is>
      </c>
      <c r="H1429" s="26" t="inlineStr">
        <is>
          <t>Valenzuela</t>
        </is>
      </c>
      <c r="I1429" s="27" t="n">
        <v>14.550727</v>
      </c>
      <c r="J1429" s="27" t="n">
        <v>121.032194</v>
      </c>
      <c r="K1429" s="10" t="inlineStr">
        <is>
          <t>U</t>
        </is>
      </c>
      <c r="L1429" s="12" t="n">
        <v>2642</v>
      </c>
      <c r="M1429" s="14" t="n">
        <v>3.5</v>
      </c>
      <c r="N1429" s="12">
        <f>ROUND(L1429/M1429, 0)</f>
        <v/>
      </c>
      <c r="O1429" s="12">
        <f>ROUND(N1429*'Methodology &amp; Assumptions'!$B$5, 0)</f>
        <v/>
      </c>
      <c r="P1429" s="10" t="inlineStr">
        <is>
          <t>Single Carrier (Band n50, 100MHz TDD)</t>
        </is>
      </c>
      <c r="Q1429" s="13">
        <f>ROUNDUP(O1429/'Methodology &amp; Assumptions'!$B$6, 0)</f>
        <v/>
      </c>
      <c r="R1429" s="13" t="n">
        <v>1</v>
      </c>
      <c r="S1429" s="14" t="n">
        <v>1.26</v>
      </c>
      <c r="T1429" s="14" t="n">
        <v>0.29</v>
      </c>
      <c r="U1429" s="26">
        <f>IF(X1429&gt;='Methodology &amp; Assumptions'!$B$7, "Tier 1 Critical GIDA (Score ≥ 50.0)", IF(X1429&gt;='Methodology &amp; Assumptions'!$B$8, "Tier 2 High GIDA (Score 40.0–49.9)", "Tier 3 Moderate GIDA (Score &lt; 40.0)"))</f>
        <v/>
      </c>
      <c r="V1429" s="26">
        <f>IF(S1429&lt;='Methodology &amp; Assumptions'!$B$10, "Direct Optical Drop (&lt;3km)", IF(S1429&lt;='Methodology &amp; Assumptions'!$B$9, "Near Optical / Microwave (&lt;5km)", "Starlink Business LEO Satellite Backhaul (&gt;5km)"))</f>
        <v/>
      </c>
      <c r="W1429" s="28" t="n">
        <v>0.109</v>
      </c>
      <c r="X1429" s="14" t="n">
        <v>43</v>
      </c>
      <c r="Y1429" s="14">
        <f>ROUND(MIN(100, (X1429/69.91)*100), 2)</f>
        <v/>
      </c>
    </row>
    <row r="1430">
      <c r="A1430" s="10" t="n">
        <v>5</v>
      </c>
      <c r="B1430" s="10" t="n">
        <v>426</v>
      </c>
      <c r="C1430" s="10" t="n">
        <v>4426</v>
      </c>
      <c r="D1430" s="10" t="inlineStr">
        <is>
          <t>1907010018</t>
        </is>
      </c>
      <c r="E1430" s="26" t="inlineStr">
        <is>
          <t>Bangsamoro Autonomous Region In Muslim Mindanao (BARMM)</t>
        </is>
      </c>
      <c r="F1430" s="26" t="inlineStr">
        <is>
          <t>Tawi-Tawi</t>
        </is>
      </c>
      <c r="G1430" s="26" t="inlineStr">
        <is>
          <t>Sapa-Sapa</t>
        </is>
      </c>
      <c r="H1430" s="26" t="inlineStr">
        <is>
          <t>Nunuk Likud Sikubong</t>
        </is>
      </c>
      <c r="I1430" s="27" t="n">
        <v>16.3056</v>
      </c>
      <c r="J1430" s="27" t="n">
        <v>122.069683</v>
      </c>
      <c r="K1430" s="10" t="inlineStr">
        <is>
          <t>R</t>
        </is>
      </c>
      <c r="L1430" s="12" t="n">
        <v>1007</v>
      </c>
      <c r="M1430" s="14" t="n">
        <v>5.8</v>
      </c>
      <c r="N1430" s="12">
        <f>ROUND(L1430/M1430, 0)</f>
        <v/>
      </c>
      <c r="O1430" s="12">
        <f>ROUND(N1430*'Methodology &amp; Assumptions'!$B$5, 0)</f>
        <v/>
      </c>
      <c r="P1430" s="10" t="inlineStr">
        <is>
          <t>Single Carrier (Band n50, 100MHz TDD)</t>
        </is>
      </c>
      <c r="Q1430" s="13">
        <f>ROUNDUP(O1430/'Methodology &amp; Assumptions'!$B$6, 0)</f>
        <v/>
      </c>
      <c r="R1430" s="13" t="n">
        <v>1</v>
      </c>
      <c r="S1430" s="14" t="n">
        <v>6.6</v>
      </c>
      <c r="T1430" s="14" t="n">
        <v>4.82</v>
      </c>
      <c r="U1430" s="26">
        <f>IF(X1430&gt;='Methodology &amp; Assumptions'!$B$7, "Tier 1 Critical GIDA (Score ≥ 50.0)", IF(X1430&gt;='Methodology &amp; Assumptions'!$B$8, "Tier 2 High GIDA (Score 40.0–49.9)", "Tier 3 Moderate GIDA (Score &lt; 40.0)"))</f>
        <v/>
      </c>
      <c r="V1430" s="26">
        <f>IF(S1430&lt;='Methodology &amp; Assumptions'!$B$10, "Direct Optical Drop (&lt;3km)", IF(S1430&lt;='Methodology &amp; Assumptions'!$B$9, "Near Optical / Microwave (&lt;5km)", "Starlink Business LEO Satellite Backhaul (&gt;5km)"))</f>
        <v/>
      </c>
      <c r="W1430" s="28" t="n">
        <v>0.11</v>
      </c>
      <c r="X1430" s="14" t="n">
        <v>43</v>
      </c>
      <c r="Y1430" s="14">
        <f>ROUND(MIN(100, (X1430/69.91)*100), 2)</f>
        <v/>
      </c>
    </row>
    <row r="1431">
      <c r="A1431" s="10" t="n">
        <v>5</v>
      </c>
      <c r="B1431" s="10" t="n">
        <v>427</v>
      </c>
      <c r="C1431" s="10" t="n">
        <v>4427</v>
      </c>
      <c r="D1431" s="10" t="inlineStr">
        <is>
          <t>PH0004427</t>
        </is>
      </c>
      <c r="E1431" s="26" t="inlineStr">
        <is>
          <t>XIII</t>
        </is>
      </c>
      <c r="F1431" s="26" t="inlineStr">
        <is>
          <t>Agusan Del Norte</t>
        </is>
      </c>
      <c r="G1431" s="26" t="inlineStr">
        <is>
          <t>Butuan City</t>
        </is>
      </c>
      <c r="H1431" s="26" t="inlineStr">
        <is>
          <t>Sikatuna Pob.</t>
        </is>
      </c>
      <c r="I1431" s="27" t="n">
        <v>11.174897</v>
      </c>
      <c r="J1431" s="27" t="n">
        <v>124.661928</v>
      </c>
      <c r="K1431" s="10" t="inlineStr">
        <is>
          <t>R</t>
        </is>
      </c>
      <c r="L1431" s="12" t="n">
        <v>2294</v>
      </c>
      <c r="M1431" s="14" t="n">
        <v>4.1</v>
      </c>
      <c r="N1431" s="12">
        <f>ROUND(L1431/M1431, 0)</f>
        <v/>
      </c>
      <c r="O1431" s="12">
        <f>ROUND(N1431*'Methodology &amp; Assumptions'!$B$5, 0)</f>
        <v/>
      </c>
      <c r="P1431" s="10" t="inlineStr">
        <is>
          <t>Single Carrier (Band n50, 100MHz TDD)</t>
        </is>
      </c>
      <c r="Q1431" s="13">
        <f>ROUNDUP(O1431/'Methodology &amp; Assumptions'!$B$6, 0)</f>
        <v/>
      </c>
      <c r="R1431" s="13" t="n">
        <v>1</v>
      </c>
      <c r="S1431" s="14" t="n">
        <v>11.02</v>
      </c>
      <c r="T1431" s="14" t="n">
        <v>9.84</v>
      </c>
      <c r="U1431" s="26">
        <f>IF(X1431&gt;='Methodology &amp; Assumptions'!$B$7, "Tier 1 Critical GIDA (Score ≥ 50.0)", IF(X1431&gt;='Methodology &amp; Assumptions'!$B$8, "Tier 2 High GIDA (Score 40.0–49.9)", "Tier 3 Moderate GIDA (Score &lt; 40.0)"))</f>
        <v/>
      </c>
      <c r="V1431" s="26">
        <f>IF(S1431&lt;='Methodology &amp; Assumptions'!$B$10, "Direct Optical Drop (&lt;3km)", IF(S1431&lt;='Methodology &amp; Assumptions'!$B$9, "Near Optical / Microwave (&lt;5km)", "Starlink Business LEO Satellite Backhaul (&gt;5km)"))</f>
        <v/>
      </c>
      <c r="W1431" s="28" t="n">
        <v>0.109</v>
      </c>
      <c r="X1431" s="14" t="n">
        <v>43</v>
      </c>
      <c r="Y1431" s="14">
        <f>ROUND(MIN(100, (X1431/69.91)*100), 2)</f>
        <v/>
      </c>
    </row>
    <row r="1432">
      <c r="A1432" s="10" t="n">
        <v>5</v>
      </c>
      <c r="B1432" s="10" t="n">
        <v>428</v>
      </c>
      <c r="C1432" s="10" t="n">
        <v>4428</v>
      </c>
      <c r="D1432" s="10" t="inlineStr">
        <is>
          <t>1906609006</t>
        </is>
      </c>
      <c r="E1432" s="26" t="inlineStr">
        <is>
          <t>Bangsamoro Autonomous Region In Muslim Mindanao (BARMM)</t>
        </is>
      </c>
      <c r="F1432" s="26" t="inlineStr">
        <is>
          <t>Sulu</t>
        </is>
      </c>
      <c r="G1432" s="26" t="inlineStr">
        <is>
          <t>Parang</t>
        </is>
      </c>
      <c r="H1432" s="26" t="inlineStr">
        <is>
          <t>Bukid</t>
        </is>
      </c>
      <c r="I1432" s="27" t="n">
        <v>17.260039</v>
      </c>
      <c r="J1432" s="27" t="n">
        <v>122.235781</v>
      </c>
      <c r="K1432" s="10" t="inlineStr">
        <is>
          <t>R</t>
        </is>
      </c>
      <c r="L1432" s="12" t="n">
        <v>1062</v>
      </c>
      <c r="M1432" s="14" t="n">
        <v>6</v>
      </c>
      <c r="N1432" s="12">
        <f>ROUND(L1432/M1432, 0)</f>
        <v/>
      </c>
      <c r="O1432" s="12">
        <f>ROUND(N1432*'Methodology &amp; Assumptions'!$B$5, 0)</f>
        <v/>
      </c>
      <c r="P1432" s="10" t="inlineStr">
        <is>
          <t>Single Carrier (Band n50, 100MHz TDD)</t>
        </is>
      </c>
      <c r="Q1432" s="13">
        <f>ROUNDUP(O1432/'Methodology &amp; Assumptions'!$B$6, 0)</f>
        <v/>
      </c>
      <c r="R1432" s="13" t="n">
        <v>1</v>
      </c>
      <c r="S1432" s="14" t="n">
        <v>30.35</v>
      </c>
      <c r="T1432" s="14" t="n">
        <v>35.17</v>
      </c>
      <c r="U1432" s="26">
        <f>IF(X1432&gt;='Methodology &amp; Assumptions'!$B$7, "Tier 1 Critical GIDA (Score ≥ 50.0)", IF(X1432&gt;='Methodology &amp; Assumptions'!$B$8, "Tier 2 High GIDA (Score 40.0–49.9)", "Tier 3 Moderate GIDA (Score &lt; 40.0)"))</f>
        <v/>
      </c>
      <c r="V1432" s="26">
        <f>IF(S1432&lt;='Methodology &amp; Assumptions'!$B$10, "Direct Optical Drop (&lt;3km)", IF(S1432&lt;='Methodology &amp; Assumptions'!$B$9, "Near Optical / Microwave (&lt;5km)", "Starlink Business LEO Satellite Backhaul (&gt;5km)"))</f>
        <v/>
      </c>
      <c r="W1432" s="28" t="n">
        <v>0.11</v>
      </c>
      <c r="X1432" s="14" t="n">
        <v>43</v>
      </c>
      <c r="Y1432" s="14">
        <f>ROUND(MIN(100, (X1432/69.91)*100), 2)</f>
        <v/>
      </c>
    </row>
    <row r="1433">
      <c r="A1433" s="10" t="n">
        <v>5</v>
      </c>
      <c r="B1433" s="10" t="n">
        <v>429</v>
      </c>
      <c r="C1433" s="10" t="n">
        <v>4429</v>
      </c>
      <c r="D1433" s="10" t="inlineStr">
        <is>
          <t>PH0004429</t>
        </is>
      </c>
      <c r="E1433" s="26" t="inlineStr">
        <is>
          <t>VIII</t>
        </is>
      </c>
      <c r="F1433" s="26" t="inlineStr">
        <is>
          <t>Samar (Western Samar)</t>
        </is>
      </c>
      <c r="G1433" s="26" t="inlineStr">
        <is>
          <t>Catbalogan City</t>
        </is>
      </c>
      <c r="H1433" s="26" t="inlineStr">
        <is>
          <t>Basiao</t>
        </is>
      </c>
      <c r="I1433" s="27" t="n">
        <v>12.866798</v>
      </c>
      <c r="J1433" s="27" t="n">
        <v>121.792902</v>
      </c>
      <c r="K1433" s="10" t="inlineStr">
        <is>
          <t>R</t>
        </is>
      </c>
      <c r="L1433" s="12" t="n">
        <v>2229</v>
      </c>
      <c r="M1433" s="14" t="n">
        <v>4.1</v>
      </c>
      <c r="N1433" s="12">
        <f>ROUND(L1433/M1433, 0)</f>
        <v/>
      </c>
      <c r="O1433" s="12">
        <f>ROUND(N1433*'Methodology &amp; Assumptions'!$B$5, 0)</f>
        <v/>
      </c>
      <c r="P1433" s="10" t="inlineStr">
        <is>
          <t>Single Carrier (Band n50, 100MHz TDD)</t>
        </is>
      </c>
      <c r="Q1433" s="13">
        <f>ROUNDUP(O1433/'Methodology &amp; Assumptions'!$B$6, 0)</f>
        <v/>
      </c>
      <c r="R1433" s="13" t="n">
        <v>1</v>
      </c>
      <c r="S1433" s="14" t="n">
        <v>35.7</v>
      </c>
      <c r="T1433" s="14" t="n">
        <v>35.31</v>
      </c>
      <c r="U1433" s="26">
        <f>IF(X1433&gt;='Methodology &amp; Assumptions'!$B$7, "Tier 1 Critical GIDA (Score ≥ 50.0)", IF(X1433&gt;='Methodology &amp; Assumptions'!$B$8, "Tier 2 High GIDA (Score 40.0–49.9)", "Tier 3 Moderate GIDA (Score &lt; 40.0)"))</f>
        <v/>
      </c>
      <c r="V1433" s="26">
        <f>IF(S1433&lt;='Methodology &amp; Assumptions'!$B$10, "Direct Optical Drop (&lt;3km)", IF(S1433&lt;='Methodology &amp; Assumptions'!$B$9, "Near Optical / Microwave (&lt;5km)", "Starlink Business LEO Satellite Backhaul (&gt;5km)"))</f>
        <v/>
      </c>
      <c r="W1433" s="28" t="n">
        <v>0.222</v>
      </c>
      <c r="X1433" s="14" t="n">
        <v>42.99</v>
      </c>
      <c r="Y1433" s="14">
        <f>ROUND(MIN(100, (X1433/69.91)*100), 2)</f>
        <v/>
      </c>
    </row>
    <row r="1434">
      <c r="A1434" s="10" t="n">
        <v>5</v>
      </c>
      <c r="B1434" s="10" t="n">
        <v>430</v>
      </c>
      <c r="C1434" s="10" t="n">
        <v>4430</v>
      </c>
      <c r="D1434" s="10" t="inlineStr">
        <is>
          <t>0802609026</t>
        </is>
      </c>
      <c r="E1434" s="26" t="inlineStr">
        <is>
          <t>Region VIII (Eastern Visayas)</t>
        </is>
      </c>
      <c r="F1434" s="26" t="inlineStr">
        <is>
          <t>Eastern Samar</t>
        </is>
      </c>
      <c r="G1434" s="26" t="inlineStr">
        <is>
          <t>Guiuan</t>
        </is>
      </c>
      <c r="H1434" s="26" t="inlineStr">
        <is>
          <t>Inapulangan</t>
        </is>
      </c>
      <c r="I1434" s="27" t="n">
        <v>10.77313</v>
      </c>
      <c r="J1434" s="27" t="n">
        <v>125.66331</v>
      </c>
      <c r="K1434" s="10" t="inlineStr">
        <is>
          <t>R</t>
        </is>
      </c>
      <c r="L1434" s="12" t="n">
        <v>543</v>
      </c>
      <c r="M1434" s="14" t="n">
        <v>3.9</v>
      </c>
      <c r="N1434" s="12">
        <f>ROUND(L1434/M1434, 0)</f>
        <v/>
      </c>
      <c r="O1434" s="12">
        <f>ROUND(N1434*'Methodology &amp; Assumptions'!$B$5, 0)</f>
        <v/>
      </c>
      <c r="P1434" s="10" t="inlineStr">
        <is>
          <t>Single Carrier (Band n50, 100MHz TDD)</t>
        </is>
      </c>
      <c r="Q1434" s="13">
        <f>ROUNDUP(O1434/'Methodology &amp; Assumptions'!$B$6, 0)</f>
        <v/>
      </c>
      <c r="R1434" s="13" t="n">
        <v>1</v>
      </c>
      <c r="S1434" s="14" t="n">
        <v>79.36</v>
      </c>
      <c r="T1434" s="14" t="n">
        <v>71.95999999999999</v>
      </c>
      <c r="U1434" s="26">
        <f>IF(X1434&gt;='Methodology &amp; Assumptions'!$B$7, "Tier 1 Critical GIDA (Score ≥ 50.0)", IF(X1434&gt;='Methodology &amp; Assumptions'!$B$8, "Tier 2 High GIDA (Score 40.0–49.9)", "Tier 3 Moderate GIDA (Score &lt; 40.0)"))</f>
        <v/>
      </c>
      <c r="V1434" s="26">
        <f>IF(S1434&lt;='Methodology &amp; Assumptions'!$B$10, "Direct Optical Drop (&lt;3km)", IF(S1434&lt;='Methodology &amp; Assumptions'!$B$9, "Near Optical / Microwave (&lt;5km)", "Starlink Business LEO Satellite Backhaul (&gt;5km)"))</f>
        <v/>
      </c>
      <c r="W1434" s="28" t="n">
        <v>0.237</v>
      </c>
      <c r="X1434" s="14" t="n">
        <v>42.99</v>
      </c>
      <c r="Y1434" s="14">
        <f>ROUND(MIN(100, (X1434/69.91)*100), 2)</f>
        <v/>
      </c>
    </row>
    <row r="1435">
      <c r="A1435" s="10" t="n">
        <v>5</v>
      </c>
      <c r="B1435" s="10" t="n">
        <v>431</v>
      </c>
      <c r="C1435" s="10" t="n">
        <v>4431</v>
      </c>
      <c r="D1435" s="10" t="inlineStr">
        <is>
          <t>0403404002</t>
        </is>
      </c>
      <c r="E1435" s="26" t="inlineStr">
        <is>
          <t>Region IV-A (CALABARZON)</t>
        </is>
      </c>
      <c r="F1435" s="26" t="inlineStr">
        <is>
          <t>Laguna</t>
        </is>
      </c>
      <c r="G1435" s="26" t="inlineStr">
        <is>
          <t>City of Cabuyao</t>
        </is>
      </c>
      <c r="H1435" s="26" t="inlineStr">
        <is>
          <t>Banaybanay</t>
        </is>
      </c>
      <c r="I1435" s="27" t="n">
        <v>14.280387</v>
      </c>
      <c r="J1435" s="27" t="n">
        <v>121.291241</v>
      </c>
      <c r="K1435" s="10" t="inlineStr">
        <is>
          <t>U</t>
        </is>
      </c>
      <c r="L1435" s="12" t="n">
        <v>37555</v>
      </c>
      <c r="M1435" s="14" t="n">
        <v>3.3</v>
      </c>
      <c r="N1435" s="12">
        <f>ROUND(L1435/M1435, 0)</f>
        <v/>
      </c>
      <c r="O1435" s="12">
        <f>ROUND(N1435*'Methodology &amp; Assumptions'!$B$5, 0)</f>
        <v/>
      </c>
      <c r="P1435" s="10" t="inlineStr">
        <is>
          <t>Single Carrier (Band n50, 100MHz TDD)</t>
        </is>
      </c>
      <c r="Q1435" s="13">
        <f>ROUNDUP(O1435/'Methodology &amp; Assumptions'!$B$6, 0)</f>
        <v/>
      </c>
      <c r="R1435" s="13" t="n">
        <v>1</v>
      </c>
      <c r="S1435" s="14" t="n">
        <v>6.86</v>
      </c>
      <c r="T1435" s="14" t="n">
        <v>9.300000000000001</v>
      </c>
      <c r="U1435" s="26">
        <f>IF(X1435&gt;='Methodology &amp; Assumptions'!$B$7, "Tier 1 Critical GIDA (Score ≥ 50.0)", IF(X1435&gt;='Methodology &amp; Assumptions'!$B$8, "Tier 2 High GIDA (Score 40.0–49.9)", "Tier 3 Moderate GIDA (Score &lt; 40.0)"))</f>
        <v/>
      </c>
      <c r="V1435" s="26">
        <f>IF(S1435&lt;='Methodology &amp; Assumptions'!$B$10, "Direct Optical Drop (&lt;3km)", IF(S1435&lt;='Methodology &amp; Assumptions'!$B$9, "Near Optical / Microwave (&lt;5km)", "Starlink Business LEO Satellite Backhaul (&gt;5km)"))</f>
        <v/>
      </c>
      <c r="W1435" s="28" t="n">
        <v>0.07200000000000001</v>
      </c>
      <c r="X1435" s="14" t="n">
        <v>42.99</v>
      </c>
      <c r="Y1435" s="14">
        <f>ROUND(MIN(100, (X1435/69.91)*100), 2)</f>
        <v/>
      </c>
    </row>
    <row r="1436">
      <c r="A1436" s="10" t="n">
        <v>5</v>
      </c>
      <c r="B1436" s="10" t="n">
        <v>432</v>
      </c>
      <c r="C1436" s="10" t="n">
        <v>4432</v>
      </c>
      <c r="D1436" s="10" t="inlineStr">
        <is>
          <t>1907002019</t>
        </is>
      </c>
      <c r="E1436" s="26" t="inlineStr">
        <is>
          <t>Bangsamoro Autonomous Region In Muslim Mindanao (BARMM)</t>
        </is>
      </c>
      <c r="F1436" s="26" t="inlineStr">
        <is>
          <t>Tawi-Tawi</t>
        </is>
      </c>
      <c r="G1436" s="26" t="inlineStr">
        <is>
          <t>Bongao</t>
        </is>
      </c>
      <c r="H1436" s="26" t="inlineStr">
        <is>
          <t>Montay Montay</t>
        </is>
      </c>
      <c r="I1436" s="27" t="n">
        <v>14.49707</v>
      </c>
      <c r="J1436" s="27" t="n">
        <v>121.669232</v>
      </c>
      <c r="K1436" s="10" t="inlineStr">
        <is>
          <t>R</t>
        </is>
      </c>
      <c r="L1436" s="12" t="n">
        <v>1812</v>
      </c>
      <c r="M1436" s="14" t="n">
        <v>5.8</v>
      </c>
      <c r="N1436" s="12">
        <f>ROUND(L1436/M1436, 0)</f>
        <v/>
      </c>
      <c r="O1436" s="12">
        <f>ROUND(N1436*'Methodology &amp; Assumptions'!$B$5, 0)</f>
        <v/>
      </c>
      <c r="P1436" s="10" t="inlineStr">
        <is>
          <t>Single Carrier (Band n50, 100MHz TDD)</t>
        </is>
      </c>
      <c r="Q1436" s="13">
        <f>ROUNDUP(O1436/'Methodology &amp; Assumptions'!$B$6, 0)</f>
        <v/>
      </c>
      <c r="R1436" s="13" t="n">
        <v>1</v>
      </c>
      <c r="S1436" s="14" t="n">
        <v>4.45</v>
      </c>
      <c r="T1436" s="14" t="n">
        <v>23.33</v>
      </c>
      <c r="U1436" s="26">
        <f>IF(X1436&gt;='Methodology &amp; Assumptions'!$B$7, "Tier 1 Critical GIDA (Score ≥ 50.0)", IF(X1436&gt;='Methodology &amp; Assumptions'!$B$8, "Tier 2 High GIDA (Score 40.0–49.9)", "Tier 3 Moderate GIDA (Score &lt; 40.0)"))</f>
        <v/>
      </c>
      <c r="V1436" s="26">
        <f>IF(S1436&lt;='Methodology &amp; Assumptions'!$B$10, "Direct Optical Drop (&lt;3km)", IF(S1436&lt;='Methodology &amp; Assumptions'!$B$9, "Near Optical / Microwave (&lt;5km)", "Starlink Business LEO Satellite Backhaul (&gt;5km)"))</f>
        <v/>
      </c>
      <c r="W1436" s="28" t="n">
        <v>0.11</v>
      </c>
      <c r="X1436" s="14" t="n">
        <v>42.97</v>
      </c>
      <c r="Y1436" s="14">
        <f>ROUND(MIN(100, (X1436/69.91)*100), 2)</f>
        <v/>
      </c>
    </row>
    <row r="1437">
      <c r="A1437" s="10" t="n">
        <v>5</v>
      </c>
      <c r="B1437" s="10" t="n">
        <v>433</v>
      </c>
      <c r="C1437" s="10" t="n">
        <v>4433</v>
      </c>
      <c r="D1437" s="10" t="inlineStr">
        <is>
          <t>0301412003</t>
        </is>
      </c>
      <c r="E1437" s="26" t="inlineStr">
        <is>
          <t>Region III (Central Luzon)</t>
        </is>
      </c>
      <c r="F1437" s="26" t="inlineStr">
        <is>
          <t>Bulacan</t>
        </is>
      </c>
      <c r="G1437" s="26" t="inlineStr">
        <is>
          <t>City of Meycauayan</t>
        </is>
      </c>
      <c r="H1437" s="26" t="inlineStr">
        <is>
          <t>Bancal</t>
        </is>
      </c>
      <c r="I1437" s="27" t="n">
        <v>14.720653</v>
      </c>
      <c r="J1437" s="27" t="n">
        <v>120.961758</v>
      </c>
      <c r="K1437" s="10" t="inlineStr">
        <is>
          <t>U</t>
        </is>
      </c>
      <c r="L1437" s="12" t="n">
        <v>13261</v>
      </c>
      <c r="M1437" s="14" t="n">
        <v>3.5</v>
      </c>
      <c r="N1437" s="12">
        <f>ROUND(L1437/M1437, 0)</f>
        <v/>
      </c>
      <c r="O1437" s="12">
        <f>ROUND(N1437*'Methodology &amp; Assumptions'!$B$5, 0)</f>
        <v/>
      </c>
      <c r="P1437" s="10" t="inlineStr">
        <is>
          <t>Single Carrier (Band n50, 100MHz TDD)</t>
        </is>
      </c>
      <c r="Q1437" s="13">
        <f>ROUNDUP(O1437/'Methodology &amp; Assumptions'!$B$6, 0)</f>
        <v/>
      </c>
      <c r="R1437" s="13" t="n">
        <v>1</v>
      </c>
      <c r="S1437" s="14" t="n">
        <v>1.35</v>
      </c>
      <c r="T1437" s="14" t="n">
        <v>0.3</v>
      </c>
      <c r="U1437" s="26">
        <f>IF(X1437&gt;='Methodology &amp; Assumptions'!$B$7, "Tier 1 Critical GIDA (Score ≥ 50.0)", IF(X1437&gt;='Methodology &amp; Assumptions'!$B$8, "Tier 2 High GIDA (Score 40.0–49.9)", "Tier 3 Moderate GIDA (Score &lt; 40.0)"))</f>
        <v/>
      </c>
      <c r="V1437" s="26">
        <f>IF(S1437&lt;='Methodology &amp; Assumptions'!$B$10, "Direct Optical Drop (&lt;3km)", IF(S1437&lt;='Methodology &amp; Assumptions'!$B$9, "Near Optical / Microwave (&lt;5km)", "Starlink Business LEO Satellite Backhaul (&gt;5km)"))</f>
        <v/>
      </c>
      <c r="W1437" s="28" t="n">
        <v>0.083</v>
      </c>
      <c r="X1437" s="14" t="n">
        <v>42.97</v>
      </c>
      <c r="Y1437" s="14">
        <f>ROUND(MIN(100, (X1437/69.91)*100), 2)</f>
        <v/>
      </c>
    </row>
    <row r="1438">
      <c r="A1438" s="10" t="n">
        <v>5</v>
      </c>
      <c r="B1438" s="10" t="n">
        <v>434</v>
      </c>
      <c r="C1438" s="10" t="n">
        <v>4434</v>
      </c>
      <c r="D1438" s="10" t="inlineStr">
        <is>
          <t>1381200007</t>
        </is>
      </c>
      <c r="E1438" s="26" t="inlineStr">
        <is>
          <t>National Capital Region (NCR)</t>
        </is>
      </c>
      <c r="F1438" s="26" t="inlineStr">
        <is>
          <t>Second District (Not a Province)</t>
        </is>
      </c>
      <c r="G1438" s="26" t="inlineStr">
        <is>
          <t>City of Pasig</t>
        </is>
      </c>
      <c r="H1438" s="26" t="inlineStr">
        <is>
          <t>Kalawaan</t>
        </is>
      </c>
      <c r="I1438" s="27" t="n">
        <v>14.551424</v>
      </c>
      <c r="J1438" s="27" t="n">
        <v>121.083745</v>
      </c>
      <c r="K1438" s="10" t="inlineStr">
        <is>
          <t>U</t>
        </is>
      </c>
      <c r="L1438" s="12" t="n">
        <v>34142</v>
      </c>
      <c r="M1438" s="14" t="n">
        <v>3.4</v>
      </c>
      <c r="N1438" s="12">
        <f>ROUND(L1438/M1438, 0)</f>
        <v/>
      </c>
      <c r="O1438" s="12">
        <f>ROUND(N1438*'Methodology &amp; Assumptions'!$B$5, 0)</f>
        <v/>
      </c>
      <c r="P1438" s="10" t="inlineStr">
        <is>
          <t>Single Carrier (Band n50, 100MHz TDD)</t>
        </is>
      </c>
      <c r="Q1438" s="13">
        <f>ROUNDUP(O1438/'Methodology &amp; Assumptions'!$B$6, 0)</f>
        <v/>
      </c>
      <c r="R1438" s="13" t="n">
        <v>1</v>
      </c>
      <c r="S1438" s="14" t="n">
        <v>1.08</v>
      </c>
      <c r="T1438" s="14" t="n">
        <v>0.24</v>
      </c>
      <c r="U1438" s="26">
        <f>IF(X1438&gt;='Methodology &amp; Assumptions'!$B$7, "Tier 1 Critical GIDA (Score ≥ 50.0)", IF(X1438&gt;='Methodology &amp; Assumptions'!$B$8, "Tier 2 High GIDA (Score 40.0–49.9)", "Tier 3 Moderate GIDA (Score &lt; 40.0)"))</f>
        <v/>
      </c>
      <c r="V1438" s="26">
        <f>IF(S1438&lt;='Methodology &amp; Assumptions'!$B$10, "Direct Optical Drop (&lt;3km)", IF(S1438&lt;='Methodology &amp; Assumptions'!$B$9, "Near Optical / Microwave (&lt;5km)", "Starlink Business LEO Satellite Backhaul (&gt;5km)"))</f>
        <v/>
      </c>
      <c r="W1438" s="28" t="n">
        <v>0.109</v>
      </c>
      <c r="X1438" s="14" t="n">
        <v>42.97</v>
      </c>
      <c r="Y1438" s="14">
        <f>ROUND(MIN(100, (X1438/69.91)*100), 2)</f>
        <v/>
      </c>
    </row>
    <row r="1439">
      <c r="A1439" s="10" t="n">
        <v>5</v>
      </c>
      <c r="B1439" s="10" t="n">
        <v>435</v>
      </c>
      <c r="C1439" s="10" t="n">
        <v>4435</v>
      </c>
      <c r="D1439" s="10" t="inlineStr">
        <is>
          <t>1906618002</t>
        </is>
      </c>
      <c r="E1439" s="26" t="inlineStr">
        <is>
          <t>Bangsamoro Autonomous Region In Muslim Mindanao (BARMM)</t>
        </is>
      </c>
      <c r="F1439" s="26" t="inlineStr">
        <is>
          <t>Sulu</t>
        </is>
      </c>
      <c r="G1439" s="26" t="inlineStr">
        <is>
          <t>Pandami</t>
        </is>
      </c>
      <c r="H1439" s="26" t="inlineStr">
        <is>
          <t>Bud Sibaud</t>
        </is>
      </c>
      <c r="I1439" s="27" t="n">
        <v>17.255639</v>
      </c>
      <c r="J1439" s="27" t="n">
        <v>122.229683</v>
      </c>
      <c r="K1439" s="10" t="inlineStr">
        <is>
          <t>R</t>
        </is>
      </c>
      <c r="L1439" s="12" t="n">
        <v>1484</v>
      </c>
      <c r="M1439" s="14" t="n">
        <v>6</v>
      </c>
      <c r="N1439" s="12">
        <f>ROUND(L1439/M1439, 0)</f>
        <v/>
      </c>
      <c r="O1439" s="12">
        <f>ROUND(N1439*'Methodology &amp; Assumptions'!$B$5, 0)</f>
        <v/>
      </c>
      <c r="P1439" s="10" t="inlineStr">
        <is>
          <t>Single Carrier (Band n50, 100MHz TDD)</t>
        </is>
      </c>
      <c r="Q1439" s="13">
        <f>ROUNDUP(O1439/'Methodology &amp; Assumptions'!$B$6, 0)</f>
        <v/>
      </c>
      <c r="R1439" s="13" t="n">
        <v>1</v>
      </c>
      <c r="S1439" s="14" t="n">
        <v>29.54</v>
      </c>
      <c r="T1439" s="14" t="n">
        <v>34.4</v>
      </c>
      <c r="U1439" s="26">
        <f>IF(X1439&gt;='Methodology &amp; Assumptions'!$B$7, "Tier 1 Critical GIDA (Score ≥ 50.0)", IF(X1439&gt;='Methodology &amp; Assumptions'!$B$8, "Tier 2 High GIDA (Score 40.0–49.9)", "Tier 3 Moderate GIDA (Score &lt; 40.0)"))</f>
        <v/>
      </c>
      <c r="V1439" s="26">
        <f>IF(S1439&lt;='Methodology &amp; Assumptions'!$B$10, "Direct Optical Drop (&lt;3km)", IF(S1439&lt;='Methodology &amp; Assumptions'!$B$9, "Near Optical / Microwave (&lt;5km)", "Starlink Business LEO Satellite Backhaul (&gt;5km)"))</f>
        <v/>
      </c>
      <c r="W1439" s="28" t="n">
        <v>0.11</v>
      </c>
      <c r="X1439" s="14" t="n">
        <v>42.97</v>
      </c>
      <c r="Y1439" s="14">
        <f>ROUND(MIN(100, (X1439/69.91)*100), 2)</f>
        <v/>
      </c>
    </row>
    <row r="1440">
      <c r="A1440" s="10" t="n">
        <v>5</v>
      </c>
      <c r="B1440" s="10" t="n">
        <v>436</v>
      </c>
      <c r="C1440" s="10" t="n">
        <v>4436</v>
      </c>
      <c r="D1440" s="10" t="inlineStr">
        <is>
          <t>0401033007</t>
        </is>
      </c>
      <c r="E1440" s="26" t="inlineStr">
        <is>
          <t>Region IV-A (CALABARZON)</t>
        </is>
      </c>
      <c r="F1440" s="26" t="inlineStr">
        <is>
          <t>Batangas</t>
        </is>
      </c>
      <c r="G1440" s="26" t="inlineStr">
        <is>
          <t>Tingloy</t>
        </is>
      </c>
      <c r="H1440" s="26" t="inlineStr">
        <is>
          <t>Pisa</t>
        </is>
      </c>
      <c r="I1440" s="27" t="n">
        <v>13.634167</v>
      </c>
      <c r="J1440" s="27" t="n">
        <v>120.939167</v>
      </c>
      <c r="K1440" s="10" t="inlineStr">
        <is>
          <t>R</t>
        </is>
      </c>
      <c r="L1440" s="12" t="n">
        <v>704</v>
      </c>
      <c r="M1440" s="14" t="n">
        <v>3.6</v>
      </c>
      <c r="N1440" s="12">
        <f>ROUND(L1440/M1440, 0)</f>
        <v/>
      </c>
      <c r="O1440" s="12">
        <f>ROUND(N1440*'Methodology &amp; Assumptions'!$B$5, 0)</f>
        <v/>
      </c>
      <c r="P1440" s="10" t="inlineStr">
        <is>
          <t>Single Carrier (Band n50, 100MHz TDD)</t>
        </is>
      </c>
      <c r="Q1440" s="13">
        <f>ROUNDUP(O1440/'Methodology &amp; Assumptions'!$B$6, 0)</f>
        <v/>
      </c>
      <c r="R1440" s="13" t="n">
        <v>1</v>
      </c>
      <c r="S1440" s="14" t="n">
        <v>7.79</v>
      </c>
      <c r="T1440" s="14" t="n">
        <v>14.27</v>
      </c>
      <c r="U1440" s="26">
        <f>IF(X1440&gt;='Methodology &amp; Assumptions'!$B$7, "Tier 1 Critical GIDA (Score ≥ 50.0)", IF(X1440&gt;='Methodology &amp; Assumptions'!$B$8, "Tier 2 High GIDA (Score 40.0–49.9)", "Tier 3 Moderate GIDA (Score &lt; 40.0)"))</f>
        <v/>
      </c>
      <c r="V1440" s="26">
        <f>IF(S1440&lt;='Methodology &amp; Assumptions'!$B$10, "Direct Optical Drop (&lt;3km)", IF(S1440&lt;='Methodology &amp; Assumptions'!$B$9, "Near Optical / Microwave (&lt;5km)", "Starlink Business LEO Satellite Backhaul (&gt;5km)"))</f>
        <v/>
      </c>
      <c r="W1440" s="28" t="n">
        <v>0.07200000000000001</v>
      </c>
      <c r="X1440" s="14" t="n">
        <v>42.97</v>
      </c>
      <c r="Y1440" s="14">
        <f>ROUND(MIN(100, (X1440/69.91)*100), 2)</f>
        <v/>
      </c>
    </row>
    <row r="1441">
      <c r="A1441" s="10" t="n">
        <v>5</v>
      </c>
      <c r="B1441" s="10" t="n">
        <v>437</v>
      </c>
      <c r="C1441" s="10" t="n">
        <v>4437</v>
      </c>
      <c r="D1441" s="10" t="inlineStr">
        <is>
          <t>1906618011</t>
        </is>
      </c>
      <c r="E1441" s="26" t="inlineStr">
        <is>
          <t>Bangsamoro Autonomous Region In Muslim Mindanao (BARMM)</t>
        </is>
      </c>
      <c r="F1441" s="26" t="inlineStr">
        <is>
          <t>Sulu</t>
        </is>
      </c>
      <c r="G1441" s="26" t="inlineStr">
        <is>
          <t>Pandami</t>
        </is>
      </c>
      <c r="H1441" s="26" t="inlineStr">
        <is>
          <t>Sibaud Proper</t>
        </is>
      </c>
      <c r="I1441" s="27" t="n">
        <v>17.255636</v>
      </c>
      <c r="J1441" s="27" t="n">
        <v>122.22968</v>
      </c>
      <c r="K1441" s="10" t="inlineStr">
        <is>
          <t>R</t>
        </is>
      </c>
      <c r="L1441" s="12" t="n">
        <v>1298</v>
      </c>
      <c r="M1441" s="14" t="n">
        <v>6</v>
      </c>
      <c r="N1441" s="12">
        <f>ROUND(L1441/M1441, 0)</f>
        <v/>
      </c>
      <c r="O1441" s="12">
        <f>ROUND(N1441*'Methodology &amp; Assumptions'!$B$5, 0)</f>
        <v/>
      </c>
      <c r="P1441" s="10" t="inlineStr">
        <is>
          <t>Single Carrier (Band n50, 100MHz TDD)</t>
        </is>
      </c>
      <c r="Q1441" s="13">
        <f>ROUNDUP(O1441/'Methodology &amp; Assumptions'!$B$6, 0)</f>
        <v/>
      </c>
      <c r="R1441" s="13" t="n">
        <v>1</v>
      </c>
      <c r="S1441" s="14" t="n">
        <v>29.54</v>
      </c>
      <c r="T1441" s="14" t="n">
        <v>34.4</v>
      </c>
      <c r="U1441" s="26">
        <f>IF(X1441&gt;='Methodology &amp; Assumptions'!$B$7, "Tier 1 Critical GIDA (Score ≥ 50.0)", IF(X1441&gt;='Methodology &amp; Assumptions'!$B$8, "Tier 2 High GIDA (Score 40.0–49.9)", "Tier 3 Moderate GIDA (Score &lt; 40.0)"))</f>
        <v/>
      </c>
      <c r="V1441" s="26">
        <f>IF(S1441&lt;='Methodology &amp; Assumptions'!$B$10, "Direct Optical Drop (&lt;3km)", IF(S1441&lt;='Methodology &amp; Assumptions'!$B$9, "Near Optical / Microwave (&lt;5km)", "Starlink Business LEO Satellite Backhaul (&gt;5km)"))</f>
        <v/>
      </c>
      <c r="W1441" s="28" t="n">
        <v>0.11</v>
      </c>
      <c r="X1441" s="14" t="n">
        <v>42.96</v>
      </c>
      <c r="Y1441" s="14">
        <f>ROUND(MIN(100, (X1441/69.91)*100), 2)</f>
        <v/>
      </c>
    </row>
    <row r="1442">
      <c r="A1442" s="10" t="n">
        <v>5</v>
      </c>
      <c r="B1442" s="10" t="n">
        <v>438</v>
      </c>
      <c r="C1442" s="10" t="n">
        <v>4438</v>
      </c>
      <c r="D1442" s="10" t="inlineStr">
        <is>
          <t>1381200017</t>
        </is>
      </c>
      <c r="E1442" s="26" t="inlineStr">
        <is>
          <t>National Capital Region (NCR)</t>
        </is>
      </c>
      <c r="F1442" s="26" t="inlineStr">
        <is>
          <t>Second District (Not a Province)</t>
        </is>
      </c>
      <c r="G1442" s="26" t="inlineStr">
        <is>
          <t>City of Pasig</t>
        </is>
      </c>
      <c r="H1442" s="26" t="inlineStr">
        <is>
          <t>Rosario</t>
        </is>
      </c>
      <c r="I1442" s="27" t="n">
        <v>14.584383</v>
      </c>
      <c r="J1442" s="27" t="n">
        <v>121.085</v>
      </c>
      <c r="K1442" s="10" t="inlineStr">
        <is>
          <t>U</t>
        </is>
      </c>
      <c r="L1442" s="12" t="n">
        <v>78574</v>
      </c>
      <c r="M1442" s="14" t="n">
        <v>3.4</v>
      </c>
      <c r="N1442" s="12">
        <f>ROUND(L1442/M1442, 0)</f>
        <v/>
      </c>
      <c r="O1442" s="12">
        <f>ROUND(N1442*'Methodology &amp; Assumptions'!$B$5, 0)</f>
        <v/>
      </c>
      <c r="P1442" s="10" t="inlineStr">
        <is>
          <t>Single Carrier (Band n50, 100MHz TDD)</t>
        </is>
      </c>
      <c r="Q1442" s="13">
        <f>ROUNDUP(O1442/'Methodology &amp; Assumptions'!$B$6, 0)</f>
        <v/>
      </c>
      <c r="R1442" s="13" t="n">
        <v>1</v>
      </c>
      <c r="S1442" s="14" t="n">
        <v>0.93</v>
      </c>
      <c r="T1442" s="14" t="n">
        <v>0.34</v>
      </c>
      <c r="U1442" s="26">
        <f>IF(X1442&gt;='Methodology &amp; Assumptions'!$B$7, "Tier 1 Critical GIDA (Score ≥ 50.0)", IF(X1442&gt;='Methodology &amp; Assumptions'!$B$8, "Tier 2 High GIDA (Score 40.0–49.9)", "Tier 3 Moderate GIDA (Score &lt; 40.0)"))</f>
        <v/>
      </c>
      <c r="V1442" s="26">
        <f>IF(S1442&lt;='Methodology &amp; Assumptions'!$B$10, "Direct Optical Drop (&lt;3km)", IF(S1442&lt;='Methodology &amp; Assumptions'!$B$9, "Near Optical / Microwave (&lt;5km)", "Starlink Business LEO Satellite Backhaul (&gt;5km)"))</f>
        <v/>
      </c>
      <c r="W1442" s="28" t="n">
        <v>0.109</v>
      </c>
      <c r="X1442" s="14" t="n">
        <v>42.96</v>
      </c>
      <c r="Y1442" s="14">
        <f>ROUND(MIN(100, (X1442/69.91)*100), 2)</f>
        <v/>
      </c>
    </row>
    <row r="1443">
      <c r="A1443" s="10" t="n">
        <v>5</v>
      </c>
      <c r="B1443" s="10" t="n">
        <v>439</v>
      </c>
      <c r="C1443" s="10" t="n">
        <v>4439</v>
      </c>
      <c r="D1443" s="10" t="inlineStr">
        <is>
          <t>0907303013</t>
        </is>
      </c>
      <c r="E1443" s="26" t="inlineStr">
        <is>
          <t>Region IX (Zamboanga Peninsula)</t>
        </is>
      </c>
      <c r="F1443" s="26" t="inlineStr">
        <is>
          <t>Zamboanga del Sur</t>
        </is>
      </c>
      <c r="G1443" s="26" t="inlineStr">
        <is>
          <t>Bayog</t>
        </is>
      </c>
      <c r="H1443" s="26" t="inlineStr">
        <is>
          <t>Deporehan</t>
        </is>
      </c>
      <c r="I1443" s="27" t="n">
        <v>7.957893</v>
      </c>
      <c r="J1443" s="27" t="n">
        <v>123.051366</v>
      </c>
      <c r="K1443" s="10" t="inlineStr">
        <is>
          <t>R</t>
        </is>
      </c>
      <c r="L1443" s="12" t="n">
        <v>730</v>
      </c>
      <c r="M1443" s="14" t="n">
        <v>3.9</v>
      </c>
      <c r="N1443" s="12">
        <f>ROUND(L1443/M1443, 0)</f>
        <v/>
      </c>
      <c r="O1443" s="12">
        <f>ROUND(N1443*'Methodology &amp; Assumptions'!$B$5, 0)</f>
        <v/>
      </c>
      <c r="P1443" s="10" t="inlineStr">
        <is>
          <t>Single Carrier (Band n50, 100MHz TDD)</t>
        </is>
      </c>
      <c r="Q1443" s="13">
        <f>ROUNDUP(O1443/'Methodology &amp; Assumptions'!$B$6, 0)</f>
        <v/>
      </c>
      <c r="R1443" s="13" t="n">
        <v>1</v>
      </c>
      <c r="S1443" s="14" t="n">
        <v>25.37</v>
      </c>
      <c r="T1443" s="14" t="n">
        <v>20.94</v>
      </c>
      <c r="U1443" s="26">
        <f>IF(X1443&gt;='Methodology &amp; Assumptions'!$B$7, "Tier 1 Critical GIDA (Score ≥ 50.0)", IF(X1443&gt;='Methodology &amp; Assumptions'!$B$8, "Tier 2 High GIDA (Score 40.0–49.9)", "Tier 3 Moderate GIDA (Score &lt; 40.0)"))</f>
        <v/>
      </c>
      <c r="V1443" s="26">
        <f>IF(S1443&lt;='Methodology &amp; Assumptions'!$B$10, "Direct Optical Drop (&lt;3km)", IF(S1443&lt;='Methodology &amp; Assumptions'!$B$9, "Near Optical / Microwave (&lt;5km)", "Starlink Business LEO Satellite Backhaul (&gt;5km)"))</f>
        <v/>
      </c>
      <c r="W1443" s="28" t="n">
        <v>0.11</v>
      </c>
      <c r="X1443" s="14" t="n">
        <v>42.96</v>
      </c>
      <c r="Y1443" s="14">
        <f>ROUND(MIN(100, (X1443/69.91)*100), 2)</f>
        <v/>
      </c>
    </row>
    <row r="1444">
      <c r="A1444" s="10" t="n">
        <v>5</v>
      </c>
      <c r="B1444" s="10" t="n">
        <v>440</v>
      </c>
      <c r="C1444" s="10" t="n">
        <v>4440</v>
      </c>
      <c r="D1444" s="10" t="inlineStr">
        <is>
          <t>1903639002</t>
        </is>
      </c>
      <c r="E1444" s="26" t="inlineStr">
        <is>
          <t>Bangsamoro Autonomous Region In Muslim Mindanao (BARMM)</t>
        </is>
      </c>
      <c r="F1444" s="26" t="inlineStr">
        <is>
          <t>Lanao del Sur</t>
        </is>
      </c>
      <c r="G1444" s="26" t="inlineStr">
        <is>
          <t>Kapatagan</t>
        </is>
      </c>
      <c r="H1444" s="26" t="inlineStr">
        <is>
          <t>Barao</t>
        </is>
      </c>
      <c r="I1444" s="27" t="n">
        <v>17.255127</v>
      </c>
      <c r="J1444" s="27" t="n">
        <v>122.222052</v>
      </c>
      <c r="K1444" s="10" t="inlineStr">
        <is>
          <t>R</t>
        </is>
      </c>
      <c r="L1444" s="12" t="n">
        <v>1036</v>
      </c>
      <c r="M1444" s="14" t="n">
        <v>5.7</v>
      </c>
      <c r="N1444" s="12">
        <f>ROUND(L1444/M1444, 0)</f>
        <v/>
      </c>
      <c r="O1444" s="12">
        <f>ROUND(N1444*'Methodology &amp; Assumptions'!$B$5, 0)</f>
        <v/>
      </c>
      <c r="P1444" s="10" t="inlineStr">
        <is>
          <t>Single Carrier (Band n50, 100MHz TDD)</t>
        </is>
      </c>
      <c r="Q1444" s="13">
        <f>ROUNDUP(O1444/'Methodology &amp; Assumptions'!$B$6, 0)</f>
        <v/>
      </c>
      <c r="R1444" s="13" t="n">
        <v>1</v>
      </c>
      <c r="S1444" s="14" t="n">
        <v>28.88</v>
      </c>
      <c r="T1444" s="14" t="n">
        <v>33.61</v>
      </c>
      <c r="U1444" s="26">
        <f>IF(X1444&gt;='Methodology &amp; Assumptions'!$B$7, "Tier 1 Critical GIDA (Score ≥ 50.0)", IF(X1444&gt;='Methodology &amp; Assumptions'!$B$8, "Tier 2 High GIDA (Score 40.0–49.9)", "Tier 3 Moderate GIDA (Score &lt; 40.0)"))</f>
        <v/>
      </c>
      <c r="V1444" s="26">
        <f>IF(S1444&lt;='Methodology &amp; Assumptions'!$B$10, "Direct Optical Drop (&lt;3km)", IF(S1444&lt;='Methodology &amp; Assumptions'!$B$9, "Near Optical / Microwave (&lt;5km)", "Starlink Business LEO Satellite Backhaul (&gt;5km)"))</f>
        <v/>
      </c>
      <c r="W1444" s="28" t="n">
        <v>0.11</v>
      </c>
      <c r="X1444" s="14" t="n">
        <v>42.95</v>
      </c>
      <c r="Y1444" s="14">
        <f>ROUND(MIN(100, (X1444/69.91)*100), 2)</f>
        <v/>
      </c>
    </row>
    <row r="1445">
      <c r="A1445" s="10" t="n">
        <v>5</v>
      </c>
      <c r="B1445" s="10" t="n">
        <v>441</v>
      </c>
      <c r="C1445" s="10" t="n">
        <v>4441</v>
      </c>
      <c r="D1445" s="10" t="inlineStr">
        <is>
          <t>1381200009</t>
        </is>
      </c>
      <c r="E1445" s="26" t="inlineStr">
        <is>
          <t>National Capital Region (NCR)</t>
        </is>
      </c>
      <c r="F1445" s="26" t="inlineStr">
        <is>
          <t>Second District (Not a Province)</t>
        </is>
      </c>
      <c r="G1445" s="26" t="inlineStr">
        <is>
          <t>City of Pasig</t>
        </is>
      </c>
      <c r="H1445" s="26" t="inlineStr">
        <is>
          <t>Kapitolyo</t>
        </is>
      </c>
      <c r="I1445" s="27" t="n">
        <v>14.567778</v>
      </c>
      <c r="J1445" s="27" t="n">
        <v>121.063056</v>
      </c>
      <c r="K1445" s="10" t="inlineStr">
        <is>
          <t>U</t>
        </is>
      </c>
      <c r="L1445" s="12" t="n">
        <v>9775</v>
      </c>
      <c r="M1445" s="14" t="n">
        <v>3.4</v>
      </c>
      <c r="N1445" s="12">
        <f>ROUND(L1445/M1445, 0)</f>
        <v/>
      </c>
      <c r="O1445" s="12">
        <f>ROUND(N1445*'Methodology &amp; Assumptions'!$B$5, 0)</f>
        <v/>
      </c>
      <c r="P1445" s="10" t="inlineStr">
        <is>
          <t>Single Carrier (Band n50, 100MHz TDD)</t>
        </is>
      </c>
      <c r="Q1445" s="13">
        <f>ROUNDUP(O1445/'Methodology &amp; Assumptions'!$B$6, 0)</f>
        <v/>
      </c>
      <c r="R1445" s="13" t="n">
        <v>1</v>
      </c>
      <c r="S1445" s="14" t="n">
        <v>1.61</v>
      </c>
      <c r="T1445" s="14" t="n">
        <v>0.52</v>
      </c>
      <c r="U1445" s="26">
        <f>IF(X1445&gt;='Methodology &amp; Assumptions'!$B$7, "Tier 1 Critical GIDA (Score ≥ 50.0)", IF(X1445&gt;='Methodology &amp; Assumptions'!$B$8, "Tier 2 High GIDA (Score 40.0–49.9)", "Tier 3 Moderate GIDA (Score &lt; 40.0)"))</f>
        <v/>
      </c>
      <c r="V1445" s="26">
        <f>IF(S1445&lt;='Methodology &amp; Assumptions'!$B$10, "Direct Optical Drop (&lt;3km)", IF(S1445&lt;='Methodology &amp; Assumptions'!$B$9, "Near Optical / Microwave (&lt;5km)", "Starlink Business LEO Satellite Backhaul (&gt;5km)"))</f>
        <v/>
      </c>
      <c r="W1445" s="28" t="n">
        <v>0.109</v>
      </c>
      <c r="X1445" s="14" t="n">
        <v>42.95</v>
      </c>
      <c r="Y1445" s="14">
        <f>ROUND(MIN(100, (X1445/69.91)*100), 2)</f>
        <v/>
      </c>
    </row>
    <row r="1446">
      <c r="A1446" s="10" t="n">
        <v>5</v>
      </c>
      <c r="B1446" s="10" t="n">
        <v>442</v>
      </c>
      <c r="C1446" s="10" t="n">
        <v>4442</v>
      </c>
      <c r="D1446" s="10" t="inlineStr">
        <is>
          <t>PH0004442</t>
        </is>
      </c>
      <c r="E1446" s="26" t="inlineStr">
        <is>
          <t>CAR</t>
        </is>
      </c>
      <c r="F1446" s="26" t="inlineStr">
        <is>
          <t>Benguet</t>
        </is>
      </c>
      <c r="G1446" s="26" t="inlineStr">
        <is>
          <t>Baguio City</t>
        </is>
      </c>
      <c r="H1446" s="26" t="inlineStr">
        <is>
          <t>Bayan Park Village</t>
        </is>
      </c>
      <c r="I1446" s="27" t="n">
        <v>16.488826</v>
      </c>
      <c r="J1446" s="27" t="n">
        <v>120.629555</v>
      </c>
      <c r="K1446" s="10" t="inlineStr">
        <is>
          <t>R</t>
        </is>
      </c>
      <c r="L1446" s="12" t="n">
        <v>2260</v>
      </c>
      <c r="M1446" s="14" t="n">
        <v>3.5</v>
      </c>
      <c r="N1446" s="12">
        <f>ROUND(L1446/M1446, 0)</f>
        <v/>
      </c>
      <c r="O1446" s="12">
        <f>ROUND(N1446*'Methodology &amp; Assumptions'!$B$5, 0)</f>
        <v/>
      </c>
      <c r="P1446" s="10" t="inlineStr">
        <is>
          <t>Single Carrier (Band n50, 100MHz TDD)</t>
        </is>
      </c>
      <c r="Q1446" s="13">
        <f>ROUNDUP(O1446/'Methodology &amp; Assumptions'!$B$6, 0)</f>
        <v/>
      </c>
      <c r="R1446" s="13" t="n">
        <v>1</v>
      </c>
      <c r="S1446" s="14" t="n">
        <v>1.33</v>
      </c>
      <c r="T1446" s="14" t="n">
        <v>1.2</v>
      </c>
      <c r="U1446" s="26">
        <f>IF(X1446&gt;='Methodology &amp; Assumptions'!$B$7, "Tier 1 Critical GIDA (Score ≥ 50.0)", IF(X1446&gt;='Methodology &amp; Assumptions'!$B$8, "Tier 2 High GIDA (Score 40.0–49.9)", "Tier 3 Moderate GIDA (Score &lt; 40.0)"))</f>
        <v/>
      </c>
      <c r="V1446" s="26">
        <f>IF(S1446&lt;='Methodology &amp; Assumptions'!$B$10, "Direct Optical Drop (&lt;3km)", IF(S1446&lt;='Methodology &amp; Assumptions'!$B$9, "Near Optical / Microwave (&lt;5km)", "Starlink Business LEO Satellite Backhaul (&gt;5km)"))</f>
        <v/>
      </c>
      <c r="W1446" s="28" t="n">
        <v>0.221</v>
      </c>
      <c r="X1446" s="14" t="n">
        <v>42.95</v>
      </c>
      <c r="Y1446" s="14">
        <f>ROUND(MIN(100, (X1446/69.91)*100), 2)</f>
        <v/>
      </c>
    </row>
    <row r="1447">
      <c r="A1447" s="10" t="n">
        <v>5</v>
      </c>
      <c r="B1447" s="10" t="n">
        <v>443</v>
      </c>
      <c r="C1447" s="10" t="n">
        <v>4443</v>
      </c>
      <c r="D1447" s="10" t="inlineStr">
        <is>
          <t>0806001027</t>
        </is>
      </c>
      <c r="E1447" s="26" t="inlineStr">
        <is>
          <t>Region VIII (Eastern Visayas)</t>
        </is>
      </c>
      <c r="F1447" s="26" t="inlineStr">
        <is>
          <t>Samar</t>
        </is>
      </c>
      <c r="G1447" s="26" t="inlineStr">
        <is>
          <t>Almagro</t>
        </is>
      </c>
      <c r="H1447" s="26" t="inlineStr">
        <is>
          <t>Costa Rica II</t>
        </is>
      </c>
      <c r="I1447" s="27" t="n">
        <v>11.931549</v>
      </c>
      <c r="J1447" s="27" t="n">
        <v>124.312758</v>
      </c>
      <c r="K1447" s="10" t="inlineStr">
        <is>
          <t>R</t>
        </is>
      </c>
      <c r="L1447" s="12" t="n">
        <v>300</v>
      </c>
      <c r="M1447" s="14" t="n">
        <v>4.1</v>
      </c>
      <c r="N1447" s="12">
        <f>ROUND(L1447/M1447, 0)</f>
        <v/>
      </c>
      <c r="O1447" s="12">
        <f>ROUND(N1447*'Methodology &amp; Assumptions'!$B$5, 0)</f>
        <v/>
      </c>
      <c r="P1447" s="10" t="inlineStr">
        <is>
          <t>Single Carrier (Band n50, 100MHz TDD)</t>
        </is>
      </c>
      <c r="Q1447" s="13">
        <f>ROUNDUP(O1447/'Methodology &amp; Assumptions'!$B$6, 0)</f>
        <v/>
      </c>
      <c r="R1447" s="13" t="n">
        <v>1</v>
      </c>
      <c r="S1447" s="14" t="n">
        <v>44.36</v>
      </c>
      <c r="T1447" s="14" t="n">
        <v>75.04000000000001</v>
      </c>
      <c r="U1447" s="26">
        <f>IF(X1447&gt;='Methodology &amp; Assumptions'!$B$7, "Tier 1 Critical GIDA (Score ≥ 50.0)", IF(X1447&gt;='Methodology &amp; Assumptions'!$B$8, "Tier 2 High GIDA (Score 40.0–49.9)", "Tier 3 Moderate GIDA (Score &lt; 40.0)"))</f>
        <v/>
      </c>
      <c r="V1447" s="26">
        <f>IF(S1447&lt;='Methodology &amp; Assumptions'!$B$10, "Direct Optical Drop (&lt;3km)", IF(S1447&lt;='Methodology &amp; Assumptions'!$B$9, "Near Optical / Microwave (&lt;5km)", "Starlink Business LEO Satellite Backhaul (&gt;5km)"))</f>
        <v/>
      </c>
      <c r="W1447" s="28" t="n">
        <v>0.237</v>
      </c>
      <c r="X1447" s="14" t="n">
        <v>42.94</v>
      </c>
      <c r="Y1447" s="14">
        <f>ROUND(MIN(100, (X1447/69.91)*100), 2)</f>
        <v/>
      </c>
    </row>
    <row r="1448">
      <c r="A1448" s="10" t="n">
        <v>5</v>
      </c>
      <c r="B1448" s="10" t="n">
        <v>444</v>
      </c>
      <c r="C1448" s="10" t="n">
        <v>4444</v>
      </c>
      <c r="D1448" s="10" t="inlineStr">
        <is>
          <t>PH0004444</t>
        </is>
      </c>
      <c r="E1448" s="26" t="inlineStr">
        <is>
          <t>IV-A</t>
        </is>
      </c>
      <c r="F1448" s="26" t="inlineStr">
        <is>
          <t>Cavite</t>
        </is>
      </c>
      <c r="G1448" s="26" t="inlineStr">
        <is>
          <t>Imus City</t>
        </is>
      </c>
      <c r="H1448" s="26" t="inlineStr">
        <is>
          <t>Medicion I-C</t>
        </is>
      </c>
      <c r="I1448" s="27" t="n">
        <v>14.32772</v>
      </c>
      <c r="J1448" s="27" t="n">
        <v>120.921431</v>
      </c>
      <c r="K1448" s="10" t="inlineStr">
        <is>
          <t>R</t>
        </is>
      </c>
      <c r="L1448" s="12" t="n">
        <v>2316</v>
      </c>
      <c r="M1448" s="14" t="n">
        <v>3.4</v>
      </c>
      <c r="N1448" s="12">
        <f>ROUND(L1448/M1448, 0)</f>
        <v/>
      </c>
      <c r="O1448" s="12">
        <f>ROUND(N1448*'Methodology &amp; Assumptions'!$B$5, 0)</f>
        <v/>
      </c>
      <c r="P1448" s="10" t="inlineStr">
        <is>
          <t>Single Carrier (Band n50, 100MHz TDD)</t>
        </is>
      </c>
      <c r="Q1448" s="13">
        <f>ROUNDUP(O1448/'Methodology &amp; Assumptions'!$B$6, 0)</f>
        <v/>
      </c>
      <c r="R1448" s="13" t="n">
        <v>1</v>
      </c>
      <c r="S1448" s="14" t="n">
        <v>3.21</v>
      </c>
      <c r="T1448" s="14" t="n">
        <v>3.93</v>
      </c>
      <c r="U1448" s="26">
        <f>IF(X1448&gt;='Methodology &amp; Assumptions'!$B$7, "Tier 1 Critical GIDA (Score ≥ 50.0)", IF(X1448&gt;='Methodology &amp; Assumptions'!$B$8, "Tier 2 High GIDA (Score 40.0–49.9)", "Tier 3 Moderate GIDA (Score &lt; 40.0)"))</f>
        <v/>
      </c>
      <c r="V1448" s="26">
        <f>IF(S1448&lt;='Methodology &amp; Assumptions'!$B$10, "Direct Optical Drop (&lt;3km)", IF(S1448&lt;='Methodology &amp; Assumptions'!$B$9, "Near Optical / Microwave (&lt;5km)", "Starlink Business LEO Satellite Backhaul (&gt;5km)"))</f>
        <v/>
      </c>
      <c r="W1448" s="28" t="n">
        <v>0.07200000000000001</v>
      </c>
      <c r="X1448" s="14" t="n">
        <v>42.94</v>
      </c>
      <c r="Y1448" s="14">
        <f>ROUND(MIN(100, (X1448/69.91)*100), 2)</f>
        <v/>
      </c>
    </row>
    <row r="1449">
      <c r="A1449" s="10" t="n">
        <v>5</v>
      </c>
      <c r="B1449" s="10" t="n">
        <v>445</v>
      </c>
      <c r="C1449" s="10" t="n">
        <v>4445</v>
      </c>
      <c r="D1449" s="10" t="inlineStr">
        <is>
          <t>0907216023</t>
        </is>
      </c>
      <c r="E1449" s="26" t="inlineStr">
        <is>
          <t>Region IX (Zamboanga Peninsula)</t>
        </is>
      </c>
      <c r="F1449" s="26" t="inlineStr">
        <is>
          <t>Zamboanga del Norte</t>
        </is>
      </c>
      <c r="G1449" s="26" t="inlineStr">
        <is>
          <t>Sibuco</t>
        </is>
      </c>
      <c r="H1449" s="26" t="inlineStr">
        <is>
          <t>Culaguan</t>
        </is>
      </c>
      <c r="I1449" s="27" t="n">
        <v>7.29509</v>
      </c>
      <c r="J1449" s="27" t="n">
        <v>122.09884</v>
      </c>
      <c r="K1449" s="10" t="inlineStr">
        <is>
          <t>R</t>
        </is>
      </c>
      <c r="L1449" s="12" t="n">
        <v>479</v>
      </c>
      <c r="M1449" s="14" t="n">
        <v>3.6</v>
      </c>
      <c r="N1449" s="12">
        <f>ROUND(L1449/M1449, 0)</f>
        <v/>
      </c>
      <c r="O1449" s="12">
        <f>ROUND(N1449*'Methodology &amp; Assumptions'!$B$5, 0)</f>
        <v/>
      </c>
      <c r="P1449" s="10" t="inlineStr">
        <is>
          <t>Single Carrier (Band n50, 100MHz TDD)</t>
        </is>
      </c>
      <c r="Q1449" s="13">
        <f>ROUNDUP(O1449/'Methodology &amp; Assumptions'!$B$6, 0)</f>
        <v/>
      </c>
      <c r="R1449" s="13" t="n">
        <v>1</v>
      </c>
      <c r="S1449" s="14" t="n">
        <v>18.85</v>
      </c>
      <c r="T1449" s="14" t="n">
        <v>17.39</v>
      </c>
      <c r="U1449" s="26">
        <f>IF(X1449&gt;='Methodology &amp; Assumptions'!$B$7, "Tier 1 Critical GIDA (Score ≥ 50.0)", IF(X1449&gt;='Methodology &amp; Assumptions'!$B$8, "Tier 2 High GIDA (Score 40.0–49.9)", "Tier 3 Moderate GIDA (Score &lt; 40.0)"))</f>
        <v/>
      </c>
      <c r="V1449" s="26">
        <f>IF(S1449&lt;='Methodology &amp; Assumptions'!$B$10, "Direct Optical Drop (&lt;3km)", IF(S1449&lt;='Methodology &amp; Assumptions'!$B$9, "Near Optical / Microwave (&lt;5km)", "Starlink Business LEO Satellite Backhaul (&gt;5km)"))</f>
        <v/>
      </c>
      <c r="W1449" s="28" t="n">
        <v>0.11</v>
      </c>
      <c r="X1449" s="14" t="n">
        <v>42.94</v>
      </c>
      <c r="Y1449" s="14">
        <f>ROUND(MIN(100, (X1449/69.91)*100), 2)</f>
        <v/>
      </c>
    </row>
    <row r="1450">
      <c r="A1450" s="10" t="n">
        <v>5</v>
      </c>
      <c r="B1450" s="10" t="n">
        <v>446</v>
      </c>
      <c r="C1450" s="10" t="n">
        <v>4446</v>
      </c>
      <c r="D1450" s="10" t="inlineStr">
        <is>
          <t>PH0004446</t>
        </is>
      </c>
      <c r="E1450" s="26" t="inlineStr">
        <is>
          <t>III</t>
        </is>
      </c>
      <c r="F1450" s="26" t="inlineStr">
        <is>
          <t>Nueva Ecija</t>
        </is>
      </c>
      <c r="G1450" s="26" t="inlineStr">
        <is>
          <t>Cabanatuan City</t>
        </is>
      </c>
      <c r="H1450" s="26" t="inlineStr">
        <is>
          <t>Kapitan Pepe (Pob.)</t>
        </is>
      </c>
      <c r="I1450" s="27" t="n">
        <v>15.495369</v>
      </c>
      <c r="J1450" s="27" t="n">
        <v>121.008884</v>
      </c>
      <c r="K1450" s="10" t="inlineStr">
        <is>
          <t>R</t>
        </is>
      </c>
      <c r="L1450" s="12" t="n">
        <v>2398</v>
      </c>
      <c r="M1450" s="14" t="n">
        <v>3.5</v>
      </c>
      <c r="N1450" s="12">
        <f>ROUND(L1450/M1450, 0)</f>
        <v/>
      </c>
      <c r="O1450" s="12">
        <f>ROUND(N1450*'Methodology &amp; Assumptions'!$B$5, 0)</f>
        <v/>
      </c>
      <c r="P1450" s="10" t="inlineStr">
        <is>
          <t>Single Carrier (Band n50, 100MHz TDD)</t>
        </is>
      </c>
      <c r="Q1450" s="13">
        <f>ROUNDUP(O1450/'Methodology &amp; Assumptions'!$B$6, 0)</f>
        <v/>
      </c>
      <c r="R1450" s="13" t="n">
        <v>1</v>
      </c>
      <c r="S1450" s="14" t="n">
        <v>5.34</v>
      </c>
      <c r="T1450" s="14" t="n">
        <v>3.06</v>
      </c>
      <c r="U1450" s="26">
        <f>IF(X1450&gt;='Methodology &amp; Assumptions'!$B$7, "Tier 1 Critical GIDA (Score ≥ 50.0)", IF(X1450&gt;='Methodology &amp; Assumptions'!$B$8, "Tier 2 High GIDA (Score 40.0–49.9)", "Tier 3 Moderate GIDA (Score &lt; 40.0)"))</f>
        <v/>
      </c>
      <c r="V1450" s="26">
        <f>IF(S1450&lt;='Methodology &amp; Assumptions'!$B$10, "Direct Optical Drop (&lt;3km)", IF(S1450&lt;='Methodology &amp; Assumptions'!$B$9, "Near Optical / Microwave (&lt;5km)", "Starlink Business LEO Satellite Backhaul (&gt;5km)"))</f>
        <v/>
      </c>
      <c r="W1450" s="28" t="n">
        <v>0.083</v>
      </c>
      <c r="X1450" s="14" t="n">
        <v>42.93</v>
      </c>
      <c r="Y1450" s="14">
        <f>ROUND(MIN(100, (X1450/69.91)*100), 2)</f>
        <v/>
      </c>
    </row>
    <row r="1451">
      <c r="A1451" s="10" t="n">
        <v>5</v>
      </c>
      <c r="B1451" s="10" t="n">
        <v>447</v>
      </c>
      <c r="C1451" s="10" t="n">
        <v>4447</v>
      </c>
      <c r="D1451" s="10" t="inlineStr">
        <is>
          <t>1380700009</t>
        </is>
      </c>
      <c r="E1451" s="26" t="inlineStr">
        <is>
          <t>National Capital Region (NCR)</t>
        </is>
      </c>
      <c r="F1451" s="26" t="inlineStr">
        <is>
          <t>Second District (Not a Province)</t>
        </is>
      </c>
      <c r="G1451" s="26" t="inlineStr">
        <is>
          <t>City of Marikina</t>
        </is>
      </c>
      <c r="H1451" s="26" t="inlineStr">
        <is>
          <t>Santa Elena</t>
        </is>
      </c>
      <c r="I1451" s="27" t="n">
        <v>14.63118</v>
      </c>
      <c r="J1451" s="27" t="n">
        <v>121.097595</v>
      </c>
      <c r="K1451" s="10" t="inlineStr">
        <is>
          <t>U</t>
        </is>
      </c>
      <c r="L1451" s="12" t="n">
        <v>7651</v>
      </c>
      <c r="M1451" s="14" t="n">
        <v>4</v>
      </c>
      <c r="N1451" s="12">
        <f>ROUND(L1451/M1451, 0)</f>
        <v/>
      </c>
      <c r="O1451" s="12">
        <f>ROUND(N1451*'Methodology &amp; Assumptions'!$B$5, 0)</f>
        <v/>
      </c>
      <c r="P1451" s="10" t="inlineStr">
        <is>
          <t>Single Carrier (Band n50, 100MHz TDD)</t>
        </is>
      </c>
      <c r="Q1451" s="13">
        <f>ROUNDUP(O1451/'Methodology &amp; Assumptions'!$B$6, 0)</f>
        <v/>
      </c>
      <c r="R1451" s="13" t="n">
        <v>1</v>
      </c>
      <c r="S1451" s="14" t="n">
        <v>0.75</v>
      </c>
      <c r="T1451" s="14" t="n">
        <v>0.3</v>
      </c>
      <c r="U1451" s="26">
        <f>IF(X1451&gt;='Methodology &amp; Assumptions'!$B$7, "Tier 1 Critical GIDA (Score ≥ 50.0)", IF(X1451&gt;='Methodology &amp; Assumptions'!$B$8, "Tier 2 High GIDA (Score 40.0–49.9)", "Tier 3 Moderate GIDA (Score &lt; 40.0)"))</f>
        <v/>
      </c>
      <c r="V1451" s="26">
        <f>IF(S1451&lt;='Methodology &amp; Assumptions'!$B$10, "Direct Optical Drop (&lt;3km)", IF(S1451&lt;='Methodology &amp; Assumptions'!$B$9, "Near Optical / Microwave (&lt;5km)", "Starlink Business LEO Satellite Backhaul (&gt;5km)"))</f>
        <v/>
      </c>
      <c r="W1451" s="28" t="n">
        <v>0.109</v>
      </c>
      <c r="X1451" s="14" t="n">
        <v>42.93</v>
      </c>
      <c r="Y1451" s="14">
        <f>ROUND(MIN(100, (X1451/69.91)*100), 2)</f>
        <v/>
      </c>
    </row>
    <row r="1452">
      <c r="A1452" s="10" t="n">
        <v>5</v>
      </c>
      <c r="B1452" s="10" t="n">
        <v>448</v>
      </c>
      <c r="C1452" s="10" t="n">
        <v>4448</v>
      </c>
      <c r="D1452" s="10" t="inlineStr">
        <is>
          <t>0401019006</t>
        </is>
      </c>
      <c r="E1452" s="26" t="inlineStr">
        <is>
          <t>Region IV-A (CALABARZON)</t>
        </is>
      </c>
      <c r="F1452" s="26" t="inlineStr">
        <is>
          <t>Batangas</t>
        </is>
      </c>
      <c r="G1452" s="26" t="inlineStr">
        <is>
          <t>Nasugbu</t>
        </is>
      </c>
      <c r="H1452" s="26" t="inlineStr">
        <is>
          <t>Barangay 12</t>
        </is>
      </c>
      <c r="I1452" s="27" t="n">
        <v>14.088402</v>
      </c>
      <c r="J1452" s="27" t="n">
        <v>120.670363</v>
      </c>
      <c r="K1452" s="10" t="inlineStr">
        <is>
          <t>R</t>
        </is>
      </c>
      <c r="L1452" s="12" t="n">
        <v>2376</v>
      </c>
      <c r="M1452" s="14" t="n">
        <v>3.6</v>
      </c>
      <c r="N1452" s="12">
        <f>ROUND(L1452/M1452, 0)</f>
        <v/>
      </c>
      <c r="O1452" s="12">
        <f>ROUND(N1452*'Methodology &amp; Assumptions'!$B$5, 0)</f>
        <v/>
      </c>
      <c r="P1452" s="10" t="inlineStr">
        <is>
          <t>Single Carrier (Band n50, 100MHz TDD)</t>
        </is>
      </c>
      <c r="Q1452" s="13">
        <f>ROUNDUP(O1452/'Methodology &amp; Assumptions'!$B$6, 0)</f>
        <v/>
      </c>
      <c r="R1452" s="13" t="n">
        <v>1</v>
      </c>
      <c r="S1452" s="14" t="n">
        <v>4.38</v>
      </c>
      <c r="T1452" s="14" t="n">
        <v>0.82</v>
      </c>
      <c r="U1452" s="26">
        <f>IF(X1452&gt;='Methodology &amp; Assumptions'!$B$7, "Tier 1 Critical GIDA (Score ≥ 50.0)", IF(X1452&gt;='Methodology &amp; Assumptions'!$B$8, "Tier 2 High GIDA (Score 40.0–49.9)", "Tier 3 Moderate GIDA (Score &lt; 40.0)"))</f>
        <v/>
      </c>
      <c r="V1452" s="26">
        <f>IF(S1452&lt;='Methodology &amp; Assumptions'!$B$10, "Direct Optical Drop (&lt;3km)", IF(S1452&lt;='Methodology &amp; Assumptions'!$B$9, "Near Optical / Microwave (&lt;5km)", "Starlink Business LEO Satellite Backhaul (&gt;5km)"))</f>
        <v/>
      </c>
      <c r="W1452" s="28" t="n">
        <v>0.07200000000000001</v>
      </c>
      <c r="X1452" s="14" t="n">
        <v>42.93</v>
      </c>
      <c r="Y1452" s="14">
        <f>ROUND(MIN(100, (X1452/69.91)*100), 2)</f>
        <v/>
      </c>
    </row>
    <row r="1453">
      <c r="A1453" s="10" t="n">
        <v>5</v>
      </c>
      <c r="B1453" s="10" t="n">
        <v>449</v>
      </c>
      <c r="C1453" s="10" t="n">
        <v>4449</v>
      </c>
      <c r="D1453" s="10" t="inlineStr">
        <is>
          <t>PH0004449</t>
        </is>
      </c>
      <c r="E1453" s="26" t="inlineStr">
        <is>
          <t>VII</t>
        </is>
      </c>
      <c r="F1453" s="26" t="inlineStr">
        <is>
          <t>Cebu</t>
        </is>
      </c>
      <c r="G1453" s="26" t="inlineStr">
        <is>
          <t>Cebu City</t>
        </is>
      </c>
      <c r="H1453" s="26" t="inlineStr">
        <is>
          <t>San Nicolas Central</t>
        </is>
      </c>
      <c r="I1453" s="27" t="n">
        <v>10.293991</v>
      </c>
      <c r="J1453" s="27" t="n">
        <v>123.890256</v>
      </c>
      <c r="K1453" s="10" t="inlineStr">
        <is>
          <t>R</t>
        </is>
      </c>
      <c r="L1453" s="12" t="n">
        <v>2250</v>
      </c>
      <c r="M1453" s="14" t="n">
        <v>3.8</v>
      </c>
      <c r="N1453" s="12">
        <f>ROUND(L1453/M1453, 0)</f>
        <v/>
      </c>
      <c r="O1453" s="12">
        <f>ROUND(N1453*'Methodology &amp; Assumptions'!$B$5, 0)</f>
        <v/>
      </c>
      <c r="P1453" s="10" t="inlineStr">
        <is>
          <t>Single Carrier (Band n50, 100MHz TDD)</t>
        </is>
      </c>
      <c r="Q1453" s="13">
        <f>ROUNDUP(O1453/'Methodology &amp; Assumptions'!$B$6, 0)</f>
        <v/>
      </c>
      <c r="R1453" s="13" t="n">
        <v>1</v>
      </c>
      <c r="S1453" s="14" t="n">
        <v>1.22</v>
      </c>
      <c r="T1453" s="14" t="n">
        <v>0.46</v>
      </c>
      <c r="U1453" s="26">
        <f>IF(X1453&gt;='Methodology &amp; Assumptions'!$B$7, "Tier 1 Critical GIDA (Score ≥ 50.0)", IF(X1453&gt;='Methodology &amp; Assumptions'!$B$8, "Tier 2 High GIDA (Score 40.0–49.9)", "Tier 3 Moderate GIDA (Score &lt; 40.0)"))</f>
        <v/>
      </c>
      <c r="V1453" s="26">
        <f>IF(S1453&lt;='Methodology &amp; Assumptions'!$B$10, "Direct Optical Drop (&lt;3km)", IF(S1453&lt;='Methodology &amp; Assumptions'!$B$9, "Near Optical / Microwave (&lt;5km)", "Starlink Business LEO Satellite Backhaul (&gt;5km)"))</f>
        <v/>
      </c>
      <c r="W1453" s="28" t="n">
        <v>0.21</v>
      </c>
      <c r="X1453" s="14" t="n">
        <v>42.92</v>
      </c>
      <c r="Y1453" s="14">
        <f>ROUND(MIN(100, (X1453/69.91)*100), 2)</f>
        <v/>
      </c>
    </row>
    <row r="1454">
      <c r="A1454" s="10" t="n">
        <v>5</v>
      </c>
      <c r="B1454" s="10" t="n">
        <v>450</v>
      </c>
      <c r="C1454" s="10" t="n">
        <v>4450</v>
      </c>
      <c r="D1454" s="10" t="inlineStr">
        <is>
          <t>PH0004450</t>
        </is>
      </c>
      <c r="E1454" s="26" t="inlineStr">
        <is>
          <t>VIII</t>
        </is>
      </c>
      <c r="F1454" s="26" t="inlineStr">
        <is>
          <t>Leyte</t>
        </is>
      </c>
      <c r="G1454" s="26" t="inlineStr">
        <is>
          <t>Tacloban City</t>
        </is>
      </c>
      <c r="H1454" s="26" t="inlineStr">
        <is>
          <t>Barangay 59-A</t>
        </is>
      </c>
      <c r="I1454" s="27" t="n">
        <v>11.334435</v>
      </c>
      <c r="J1454" s="27" t="n">
        <v>124.932633</v>
      </c>
      <c r="K1454" s="10" t="inlineStr">
        <is>
          <t>R</t>
        </is>
      </c>
      <c r="L1454" s="12" t="n">
        <v>2258</v>
      </c>
      <c r="M1454" s="14" t="n">
        <v>3.8</v>
      </c>
      <c r="N1454" s="12">
        <f>ROUND(L1454/M1454, 0)</f>
        <v/>
      </c>
      <c r="O1454" s="12">
        <f>ROUND(N1454*'Methodology &amp; Assumptions'!$B$5, 0)</f>
        <v/>
      </c>
      <c r="P1454" s="10" t="inlineStr">
        <is>
          <t>Single Carrier (Band n50, 100MHz TDD)</t>
        </is>
      </c>
      <c r="Q1454" s="13">
        <f>ROUNDUP(O1454/'Methodology &amp; Assumptions'!$B$6, 0)</f>
        <v/>
      </c>
      <c r="R1454" s="13" t="n">
        <v>1</v>
      </c>
      <c r="S1454" s="14" t="n">
        <v>13</v>
      </c>
      <c r="T1454" s="14" t="n">
        <v>15.94</v>
      </c>
      <c r="U1454" s="26">
        <f>IF(X1454&gt;='Methodology &amp; Assumptions'!$B$7, "Tier 1 Critical GIDA (Score ≥ 50.0)", IF(X1454&gt;='Methodology &amp; Assumptions'!$B$8, "Tier 2 High GIDA (Score 40.0–49.9)", "Tier 3 Moderate GIDA (Score &lt; 40.0)"))</f>
        <v/>
      </c>
      <c r="V1454" s="26">
        <f>IF(S1454&lt;='Methodology &amp; Assumptions'!$B$10, "Direct Optical Drop (&lt;3km)", IF(S1454&lt;='Methodology &amp; Assumptions'!$B$9, "Near Optical / Microwave (&lt;5km)", "Starlink Business LEO Satellite Backhaul (&gt;5km)"))</f>
        <v/>
      </c>
      <c r="W1454" s="28" t="n">
        <v>0.222</v>
      </c>
      <c r="X1454" s="14" t="n">
        <v>42.92</v>
      </c>
      <c r="Y1454" s="14">
        <f>ROUND(MIN(100, (X1454/69.91)*100), 2)</f>
        <v/>
      </c>
    </row>
    <row r="1455">
      <c r="A1455" s="10" t="n">
        <v>5</v>
      </c>
      <c r="B1455" s="10" t="n">
        <v>451</v>
      </c>
      <c r="C1455" s="10" t="n">
        <v>4451</v>
      </c>
      <c r="D1455" s="10" t="inlineStr">
        <is>
          <t>PH0004451</t>
        </is>
      </c>
      <c r="E1455" s="26" t="inlineStr">
        <is>
          <t>NCR</t>
        </is>
      </c>
      <c r="F1455" s="26" t="inlineStr">
        <is>
          <t>Metro Manila</t>
        </is>
      </c>
      <c r="G1455" s="26" t="inlineStr">
        <is>
          <t>Caloocan City</t>
        </is>
      </c>
      <c r="H1455" s="26" t="inlineStr">
        <is>
          <t>Barangay 188</t>
        </is>
      </c>
      <c r="I1455" s="27" t="n">
        <v>11.45114</v>
      </c>
      <c r="J1455" s="27" t="n">
        <v>121.166999</v>
      </c>
      <c r="K1455" s="10" t="inlineStr">
        <is>
          <t>R</t>
        </is>
      </c>
      <c r="L1455" s="12" t="n">
        <v>2279</v>
      </c>
      <c r="M1455" s="14" t="n">
        <v>3.8</v>
      </c>
      <c r="N1455" s="12">
        <f>ROUND(L1455/M1455, 0)</f>
        <v/>
      </c>
      <c r="O1455" s="12">
        <f>ROUND(N1455*'Methodology &amp; Assumptions'!$B$5, 0)</f>
        <v/>
      </c>
      <c r="P1455" s="10" t="inlineStr">
        <is>
          <t>Single Carrier (Band n50, 100MHz TDD)</t>
        </is>
      </c>
      <c r="Q1455" s="13">
        <f>ROUNDUP(O1455/'Methodology &amp; Assumptions'!$B$6, 0)</f>
        <v/>
      </c>
      <c r="R1455" s="13" t="n">
        <v>1</v>
      </c>
      <c r="S1455" s="14" t="n">
        <v>95.40000000000001</v>
      </c>
      <c r="T1455" s="14" t="n">
        <v>92.81</v>
      </c>
      <c r="U1455" s="26">
        <f>IF(X1455&gt;='Methodology &amp; Assumptions'!$B$7, "Tier 1 Critical GIDA (Score ≥ 50.0)", IF(X1455&gt;='Methodology &amp; Assumptions'!$B$8, "Tier 2 High GIDA (Score 40.0–49.9)", "Tier 3 Moderate GIDA (Score &lt; 40.0)"))</f>
        <v/>
      </c>
      <c r="V1455" s="26">
        <f>IF(S1455&lt;='Methodology &amp; Assumptions'!$B$10, "Direct Optical Drop (&lt;3km)", IF(S1455&lt;='Methodology &amp; Assumptions'!$B$9, "Near Optical / Microwave (&lt;5km)", "Starlink Business LEO Satellite Backhaul (&gt;5km)"))</f>
        <v/>
      </c>
      <c r="W1455" s="28" t="n">
        <v>0.011</v>
      </c>
      <c r="X1455" s="14" t="n">
        <v>42.92</v>
      </c>
      <c r="Y1455" s="14">
        <f>ROUND(MIN(100, (X1455/69.91)*100), 2)</f>
        <v/>
      </c>
    </row>
    <row r="1456">
      <c r="A1456" s="10" t="n">
        <v>5</v>
      </c>
      <c r="B1456" s="10" t="n">
        <v>452</v>
      </c>
      <c r="C1456" s="10" t="n">
        <v>4452</v>
      </c>
      <c r="D1456" s="10" t="inlineStr">
        <is>
          <t>1206302013</t>
        </is>
      </c>
      <c r="E1456" s="26" t="inlineStr">
        <is>
          <t>Region XII (SOCCSKSARGEN)</t>
        </is>
      </c>
      <c r="F1456" s="26" t="inlineStr">
        <is>
          <t>South Cotabato</t>
        </is>
      </c>
      <c r="G1456" s="26" t="inlineStr">
        <is>
          <t>Banga</t>
        </is>
      </c>
      <c r="H1456" s="26" t="inlineStr">
        <is>
          <t>Lampari</t>
        </is>
      </c>
      <c r="I1456" s="27" t="n">
        <v>6.290747</v>
      </c>
      <c r="J1456" s="27" t="n">
        <v>124.889696</v>
      </c>
      <c r="K1456" s="10" t="inlineStr">
        <is>
          <t>R</t>
        </is>
      </c>
      <c r="L1456" s="12" t="n">
        <v>2769</v>
      </c>
      <c r="M1456" s="14" t="n">
        <v>3.6</v>
      </c>
      <c r="N1456" s="12">
        <f>ROUND(L1456/M1456, 0)</f>
        <v/>
      </c>
      <c r="O1456" s="12">
        <f>ROUND(N1456*'Methodology &amp; Assumptions'!$B$5, 0)</f>
        <v/>
      </c>
      <c r="P1456" s="10" t="inlineStr">
        <is>
          <t>Single Carrier (Band n50, 100MHz TDD)</t>
        </is>
      </c>
      <c r="Q1456" s="13">
        <f>ROUNDUP(O1456/'Methodology &amp; Assumptions'!$B$6, 0)</f>
        <v/>
      </c>
      <c r="R1456" s="13" t="n">
        <v>1</v>
      </c>
      <c r="S1456" s="14" t="n">
        <v>7.93</v>
      </c>
      <c r="T1456" s="14" t="n">
        <v>10.59</v>
      </c>
      <c r="U1456" s="26">
        <f>IF(X1456&gt;='Methodology &amp; Assumptions'!$B$7, "Tier 1 Critical GIDA (Score ≥ 50.0)", IF(X1456&gt;='Methodology &amp; Assumptions'!$B$8, "Tier 2 High GIDA (Score 40.0–49.9)", "Tier 3 Moderate GIDA (Score &lt; 40.0)"))</f>
        <v/>
      </c>
      <c r="V1456" s="26">
        <f>IF(S1456&lt;='Methodology &amp; Assumptions'!$B$10, "Direct Optical Drop (&lt;3km)", IF(S1456&lt;='Methodology &amp; Assumptions'!$B$9, "Near Optical / Microwave (&lt;5km)", "Starlink Business LEO Satellite Backhaul (&gt;5km)"))</f>
        <v/>
      </c>
      <c r="W1456" s="28" t="n">
        <v>0.174</v>
      </c>
      <c r="X1456" s="14" t="n">
        <v>42.92</v>
      </c>
      <c r="Y1456" s="14">
        <f>ROUND(MIN(100, (X1456/69.91)*100), 2)</f>
        <v/>
      </c>
    </row>
    <row r="1457">
      <c r="A1457" s="10" t="n">
        <v>5</v>
      </c>
      <c r="B1457" s="10" t="n">
        <v>453</v>
      </c>
      <c r="C1457" s="10" t="n">
        <v>4453</v>
      </c>
      <c r="D1457" s="10" t="inlineStr">
        <is>
          <t>PH0004453</t>
        </is>
      </c>
      <c r="E1457" s="26" t="inlineStr">
        <is>
          <t>VI</t>
        </is>
      </c>
      <c r="F1457" s="26" t="inlineStr">
        <is>
          <t>Capiz</t>
        </is>
      </c>
      <c r="G1457" s="26" t="inlineStr">
        <is>
          <t>Roxas City</t>
        </is>
      </c>
      <c r="H1457" s="26" t="inlineStr">
        <is>
          <t>Poblacion VII</t>
        </is>
      </c>
      <c r="I1457" s="27" t="n">
        <v>11.582532</v>
      </c>
      <c r="J1457" s="27" t="n">
        <v>122.747142</v>
      </c>
      <c r="K1457" s="10" t="inlineStr">
        <is>
          <t>R</t>
        </is>
      </c>
      <c r="L1457" s="12" t="n">
        <v>2282</v>
      </c>
      <c r="M1457" s="14" t="n">
        <v>3.8</v>
      </c>
      <c r="N1457" s="12">
        <f>ROUND(L1457/M1457, 0)</f>
        <v/>
      </c>
      <c r="O1457" s="12">
        <f>ROUND(N1457*'Methodology &amp; Assumptions'!$B$5, 0)</f>
        <v/>
      </c>
      <c r="P1457" s="10" t="inlineStr">
        <is>
          <t>Single Carrier (Band n50, 100MHz TDD)</t>
        </is>
      </c>
      <c r="Q1457" s="13">
        <f>ROUNDUP(O1457/'Methodology &amp; Assumptions'!$B$6, 0)</f>
        <v/>
      </c>
      <c r="R1457" s="13" t="n">
        <v>1</v>
      </c>
      <c r="S1457" s="14" t="n">
        <v>0.72</v>
      </c>
      <c r="T1457" s="14" t="n">
        <v>0.03</v>
      </c>
      <c r="U1457" s="26">
        <f>IF(X1457&gt;='Methodology &amp; Assumptions'!$B$7, "Tier 1 Critical GIDA (Score ≥ 50.0)", IF(X1457&gt;='Methodology &amp; Assumptions'!$B$8, "Tier 2 High GIDA (Score 40.0–49.9)", "Tier 3 Moderate GIDA (Score &lt; 40.0)"))</f>
        <v/>
      </c>
      <c r="V1457" s="26">
        <f>IF(S1457&lt;='Methodology &amp; Assumptions'!$B$10, "Direct Optical Drop (&lt;3km)", IF(S1457&lt;='Methodology &amp; Assumptions'!$B$9, "Near Optical / Microwave (&lt;5km)", "Starlink Business LEO Satellite Backhaul (&gt;5km)"))</f>
        <v/>
      </c>
      <c r="W1457" s="28" t="n">
        <v>0.156</v>
      </c>
      <c r="X1457" s="14" t="n">
        <v>42.91</v>
      </c>
      <c r="Y1457" s="14">
        <f>ROUND(MIN(100, (X1457/69.91)*100), 2)</f>
        <v/>
      </c>
    </row>
    <row r="1458">
      <c r="A1458" s="10" t="n">
        <v>5</v>
      </c>
      <c r="B1458" s="10" t="n">
        <v>454</v>
      </c>
      <c r="C1458" s="10" t="n">
        <v>4454</v>
      </c>
      <c r="D1458" s="10" t="inlineStr">
        <is>
          <t>1906611009</t>
        </is>
      </c>
      <c r="E1458" s="26" t="inlineStr">
        <is>
          <t>Bangsamoro Autonomous Region In Muslim Mindanao (BARMM)</t>
        </is>
      </c>
      <c r="F1458" s="26" t="inlineStr">
        <is>
          <t>Sulu</t>
        </is>
      </c>
      <c r="G1458" s="26" t="inlineStr">
        <is>
          <t>Patikul</t>
        </is>
      </c>
      <c r="H1458" s="26" t="inlineStr">
        <is>
          <t>Kabbon Takas</t>
        </is>
      </c>
      <c r="I1458" s="27" t="n">
        <v>17.255419</v>
      </c>
      <c r="J1458" s="27" t="n">
        <v>122.229463</v>
      </c>
      <c r="K1458" s="10" t="inlineStr">
        <is>
          <t>R</t>
        </is>
      </c>
      <c r="L1458" s="12" t="n">
        <v>1141</v>
      </c>
      <c r="M1458" s="14" t="n">
        <v>6</v>
      </c>
      <c r="N1458" s="12">
        <f>ROUND(L1458/M1458, 0)</f>
        <v/>
      </c>
      <c r="O1458" s="12">
        <f>ROUND(N1458*'Methodology &amp; Assumptions'!$B$5, 0)</f>
        <v/>
      </c>
      <c r="P1458" s="10" t="inlineStr">
        <is>
          <t>Single Carrier (Band n50, 100MHz TDD)</t>
        </is>
      </c>
      <c r="Q1458" s="13">
        <f>ROUNDUP(O1458/'Methodology &amp; Assumptions'!$B$6, 0)</f>
        <v/>
      </c>
      <c r="R1458" s="13" t="n">
        <v>1</v>
      </c>
      <c r="S1458" s="14" t="n">
        <v>29.5</v>
      </c>
      <c r="T1458" s="14" t="n">
        <v>34.37</v>
      </c>
      <c r="U1458" s="26">
        <f>IF(X1458&gt;='Methodology &amp; Assumptions'!$B$7, "Tier 1 Critical GIDA (Score ≥ 50.0)", IF(X1458&gt;='Methodology &amp; Assumptions'!$B$8, "Tier 2 High GIDA (Score 40.0–49.9)", "Tier 3 Moderate GIDA (Score &lt; 40.0)"))</f>
        <v/>
      </c>
      <c r="V1458" s="26">
        <f>IF(S1458&lt;='Methodology &amp; Assumptions'!$B$10, "Direct Optical Drop (&lt;3km)", IF(S1458&lt;='Methodology &amp; Assumptions'!$B$9, "Near Optical / Microwave (&lt;5km)", "Starlink Business LEO Satellite Backhaul (&gt;5km)"))</f>
        <v/>
      </c>
      <c r="W1458" s="28" t="n">
        <v>0.11</v>
      </c>
      <c r="X1458" s="14" t="n">
        <v>42.91</v>
      </c>
      <c r="Y1458" s="14">
        <f>ROUND(MIN(100, (X1458/69.91)*100), 2)</f>
        <v/>
      </c>
    </row>
    <row r="1459">
      <c r="A1459" s="10" t="n">
        <v>5</v>
      </c>
      <c r="B1459" s="10" t="n">
        <v>455</v>
      </c>
      <c r="C1459" s="10" t="n">
        <v>4455</v>
      </c>
      <c r="D1459" s="10" t="inlineStr">
        <is>
          <t>1705308007</t>
        </is>
      </c>
      <c r="E1459" s="26" t="inlineStr">
        <is>
          <t>MIMAROPA Region</t>
        </is>
      </c>
      <c r="F1459" s="26" t="inlineStr">
        <is>
          <t>Palawan</t>
        </is>
      </c>
      <c r="G1459" s="26" t="inlineStr">
        <is>
          <t>Cagayancillo</t>
        </is>
      </c>
      <c r="H1459" s="26" t="inlineStr">
        <is>
          <t>Mampio</t>
        </is>
      </c>
      <c r="I1459" s="27" t="n">
        <v>9.634964999999999</v>
      </c>
      <c r="J1459" s="27" t="n">
        <v>121.226044</v>
      </c>
      <c r="K1459" s="10" t="inlineStr">
        <is>
          <t>R</t>
        </is>
      </c>
      <c r="L1459" s="12" t="n">
        <v>976</v>
      </c>
      <c r="M1459" s="14" t="n">
        <v>3.9</v>
      </c>
      <c r="N1459" s="12">
        <f>ROUND(L1459/M1459, 0)</f>
        <v/>
      </c>
      <c r="O1459" s="12">
        <f>ROUND(N1459*'Methodology &amp; Assumptions'!$B$5, 0)</f>
        <v/>
      </c>
      <c r="P1459" s="10" t="inlineStr">
        <is>
          <t>Single Carrier (Band n50, 100MHz TDD)</t>
        </is>
      </c>
      <c r="Q1459" s="13">
        <f>ROUNDUP(O1459/'Methodology &amp; Assumptions'!$B$6, 0)</f>
        <v/>
      </c>
      <c r="R1459" s="13" t="n">
        <v>1</v>
      </c>
      <c r="S1459" s="14" t="n">
        <v>129.61</v>
      </c>
      <c r="T1459" s="14" t="n">
        <v>129.68</v>
      </c>
      <c r="U1459" s="26">
        <f>IF(X1459&gt;='Methodology &amp; Assumptions'!$B$7, "Tier 1 Critical GIDA (Score ≥ 50.0)", IF(X1459&gt;='Methodology &amp; Assumptions'!$B$8, "Tier 2 High GIDA (Score 40.0–49.9)", "Tier 3 Moderate GIDA (Score &lt; 40.0)"))</f>
        <v/>
      </c>
      <c r="V1459" s="26">
        <f>IF(S1459&lt;='Methodology &amp; Assumptions'!$B$10, "Direct Optical Drop (&lt;3km)", IF(S1459&lt;='Methodology &amp; Assumptions'!$B$9, "Near Optical / Microwave (&lt;5km)", "Starlink Business LEO Satellite Backhaul (&gt;5km)"))</f>
        <v/>
      </c>
      <c r="W1459" s="28" t="n">
        <v>0.15</v>
      </c>
      <c r="X1459" s="14" t="n">
        <v>42.91</v>
      </c>
      <c r="Y1459" s="14">
        <f>ROUND(MIN(100, (X1459/69.91)*100), 2)</f>
        <v/>
      </c>
    </row>
    <row r="1460">
      <c r="A1460" s="10" t="n">
        <v>5</v>
      </c>
      <c r="B1460" s="10" t="n">
        <v>456</v>
      </c>
      <c r="C1460" s="10" t="n">
        <v>4456</v>
      </c>
      <c r="D1460" s="10" t="inlineStr">
        <is>
          <t>PH0004456</t>
        </is>
      </c>
      <c r="E1460" s="26" t="inlineStr">
        <is>
          <t>VIII</t>
        </is>
      </c>
      <c r="F1460" s="26" t="inlineStr">
        <is>
          <t>Leyte</t>
        </is>
      </c>
      <c r="G1460" s="26" t="inlineStr">
        <is>
          <t>Tacloban City</t>
        </is>
      </c>
      <c r="H1460" s="26" t="inlineStr">
        <is>
          <t>Libertad</t>
        </is>
      </c>
      <c r="I1460" s="27" t="n">
        <v>11.235348</v>
      </c>
      <c r="J1460" s="27" t="n">
        <v>125.059313</v>
      </c>
      <c r="K1460" s="10" t="inlineStr">
        <is>
          <t>R</t>
        </is>
      </c>
      <c r="L1460" s="12" t="n">
        <v>2258</v>
      </c>
      <c r="M1460" s="14" t="n">
        <v>3.8</v>
      </c>
      <c r="N1460" s="12">
        <f>ROUND(L1460/M1460, 0)</f>
        <v/>
      </c>
      <c r="O1460" s="12">
        <f>ROUND(N1460*'Methodology &amp; Assumptions'!$B$5, 0)</f>
        <v/>
      </c>
      <c r="P1460" s="10" t="inlineStr">
        <is>
          <t>Single Carrier (Band n50, 100MHz TDD)</t>
        </is>
      </c>
      <c r="Q1460" s="13">
        <f>ROUNDUP(O1460/'Methodology &amp; Assumptions'!$B$6, 0)</f>
        <v/>
      </c>
      <c r="R1460" s="13" t="n">
        <v>1</v>
      </c>
      <c r="S1460" s="14" t="n">
        <v>6.01</v>
      </c>
      <c r="T1460" s="14" t="n">
        <v>5.39</v>
      </c>
      <c r="U1460" s="26">
        <f>IF(X1460&gt;='Methodology &amp; Assumptions'!$B$7, "Tier 1 Critical GIDA (Score ≥ 50.0)", IF(X1460&gt;='Methodology &amp; Assumptions'!$B$8, "Tier 2 High GIDA (Score 40.0–49.9)", "Tier 3 Moderate GIDA (Score &lt; 40.0)"))</f>
        <v/>
      </c>
      <c r="V1460" s="26">
        <f>IF(S1460&lt;='Methodology &amp; Assumptions'!$B$10, "Direct Optical Drop (&lt;3km)", IF(S1460&lt;='Methodology &amp; Assumptions'!$B$9, "Near Optical / Microwave (&lt;5km)", "Starlink Business LEO Satellite Backhaul (&gt;5km)"))</f>
        <v/>
      </c>
      <c r="W1460" s="28" t="n">
        <v>0.222</v>
      </c>
      <c r="X1460" s="14" t="n">
        <v>42.91</v>
      </c>
      <c r="Y1460" s="14">
        <f>ROUND(MIN(100, (X1460/69.91)*100), 2)</f>
        <v/>
      </c>
    </row>
    <row r="1461">
      <c r="A1461" s="10" t="n">
        <v>5</v>
      </c>
      <c r="B1461" s="10" t="n">
        <v>457</v>
      </c>
      <c r="C1461" s="10" t="n">
        <v>4457</v>
      </c>
      <c r="D1461" s="10" t="inlineStr">
        <is>
          <t>1400115011</t>
        </is>
      </c>
      <c r="E1461" s="26" t="inlineStr">
        <is>
          <t>Cordillera Administrative Region (CAR)</t>
        </is>
      </c>
      <c r="F1461" s="26" t="inlineStr">
        <is>
          <t>Abra</t>
        </is>
      </c>
      <c r="G1461" s="26" t="inlineStr">
        <is>
          <t>Malibcong</t>
        </is>
      </c>
      <c r="H1461" s="26" t="inlineStr">
        <is>
          <t>Taripan</t>
        </is>
      </c>
      <c r="I1461" s="27" t="n">
        <v>17.574734</v>
      </c>
      <c r="J1461" s="27" t="n">
        <v>121.007707</v>
      </c>
      <c r="K1461" s="10" t="inlineStr">
        <is>
          <t>R</t>
        </is>
      </c>
      <c r="L1461" s="12" t="n">
        <v>207</v>
      </c>
      <c r="M1461" s="14" t="n">
        <v>3.8</v>
      </c>
      <c r="N1461" s="12">
        <f>ROUND(L1461/M1461, 0)</f>
        <v/>
      </c>
      <c r="O1461" s="12">
        <f>ROUND(N1461*'Methodology &amp; Assumptions'!$B$5, 0)</f>
        <v/>
      </c>
      <c r="P1461" s="10" t="inlineStr">
        <is>
          <t>Single Carrier (Band n50, 100MHz TDD)</t>
        </is>
      </c>
      <c r="Q1461" s="13">
        <f>ROUNDUP(O1461/'Methodology &amp; Assumptions'!$B$6, 0)</f>
        <v/>
      </c>
      <c r="R1461" s="13" t="n">
        <v>1</v>
      </c>
      <c r="S1461" s="14" t="n">
        <v>35.35</v>
      </c>
      <c r="T1461" s="14" t="n">
        <v>28.88</v>
      </c>
      <c r="U1461" s="26">
        <f>IF(X1461&gt;='Methodology &amp; Assumptions'!$B$7, "Tier 1 Critical GIDA (Score ≥ 50.0)", IF(X1461&gt;='Methodology &amp; Assumptions'!$B$8, "Tier 2 High GIDA (Score 40.0–49.9)", "Tier 3 Moderate GIDA (Score &lt; 40.0)"))</f>
        <v/>
      </c>
      <c r="V1461" s="26">
        <f>IF(S1461&lt;='Methodology &amp; Assumptions'!$B$10, "Direct Optical Drop (&lt;3km)", IF(S1461&lt;='Methodology &amp; Assumptions'!$B$9, "Near Optical / Microwave (&lt;5km)", "Starlink Business LEO Satellite Backhaul (&gt;5km)"))</f>
        <v/>
      </c>
      <c r="W1461" s="28" t="n">
        <v>0.109</v>
      </c>
      <c r="X1461" s="14" t="n">
        <v>42.91</v>
      </c>
      <c r="Y1461" s="14">
        <f>ROUND(MIN(100, (X1461/69.91)*100), 2)</f>
        <v/>
      </c>
    </row>
    <row r="1462">
      <c r="A1462" s="10" t="n">
        <v>5</v>
      </c>
      <c r="B1462" s="10" t="n">
        <v>458</v>
      </c>
      <c r="C1462" s="10" t="n">
        <v>4458</v>
      </c>
      <c r="D1462" s="10" t="inlineStr">
        <is>
          <t>1906611016</t>
        </is>
      </c>
      <c r="E1462" s="26" t="inlineStr">
        <is>
          <t>Bangsamoro Autonomous Region In Muslim Mindanao (BARMM)</t>
        </is>
      </c>
      <c r="F1462" s="26" t="inlineStr">
        <is>
          <t>Sulu</t>
        </is>
      </c>
      <c r="G1462" s="26" t="inlineStr">
        <is>
          <t>Patikul</t>
        </is>
      </c>
      <c r="H1462" s="26" t="inlineStr">
        <is>
          <t>Maligay</t>
        </is>
      </c>
      <c r="I1462" s="27" t="n">
        <v>16.798327</v>
      </c>
      <c r="J1462" s="27" t="n">
        <v>122.179972</v>
      </c>
      <c r="K1462" s="10" t="inlineStr">
        <is>
          <t>R</t>
        </is>
      </c>
      <c r="L1462" s="12" t="n">
        <v>1026</v>
      </c>
      <c r="M1462" s="14" t="n">
        <v>6</v>
      </c>
      <c r="N1462" s="12">
        <f>ROUND(L1462/M1462, 0)</f>
        <v/>
      </c>
      <c r="O1462" s="12">
        <f>ROUND(N1462*'Methodology &amp; Assumptions'!$B$5, 0)</f>
        <v/>
      </c>
      <c r="P1462" s="10" t="inlineStr">
        <is>
          <t>Single Carrier (Band n50, 100MHz TDD)</t>
        </is>
      </c>
      <c r="Q1462" s="13">
        <f>ROUNDUP(O1462/'Methodology &amp; Assumptions'!$B$6, 0)</f>
        <v/>
      </c>
      <c r="R1462" s="13" t="n">
        <v>1</v>
      </c>
      <c r="S1462" s="14" t="n">
        <v>27.34</v>
      </c>
      <c r="T1462" s="14" t="n">
        <v>31.67</v>
      </c>
      <c r="U1462" s="26">
        <f>IF(X1462&gt;='Methodology &amp; Assumptions'!$B$7, "Tier 1 Critical GIDA (Score ≥ 50.0)", IF(X1462&gt;='Methodology &amp; Assumptions'!$B$8, "Tier 2 High GIDA (Score 40.0–49.9)", "Tier 3 Moderate GIDA (Score &lt; 40.0)"))</f>
        <v/>
      </c>
      <c r="V1462" s="26">
        <f>IF(S1462&lt;='Methodology &amp; Assumptions'!$B$10, "Direct Optical Drop (&lt;3km)", IF(S1462&lt;='Methodology &amp; Assumptions'!$B$9, "Near Optical / Microwave (&lt;5km)", "Starlink Business LEO Satellite Backhaul (&gt;5km)"))</f>
        <v/>
      </c>
      <c r="W1462" s="28" t="n">
        <v>0.11</v>
      </c>
      <c r="X1462" s="14" t="n">
        <v>42.91</v>
      </c>
      <c r="Y1462" s="14">
        <f>ROUND(MIN(100, (X1462/69.91)*100), 2)</f>
        <v/>
      </c>
    </row>
    <row r="1463">
      <c r="A1463" s="10" t="n">
        <v>5</v>
      </c>
      <c r="B1463" s="10" t="n">
        <v>459</v>
      </c>
      <c r="C1463" s="10" t="n">
        <v>4459</v>
      </c>
      <c r="D1463" s="10" t="inlineStr">
        <is>
          <t>1705904004</t>
        </is>
      </c>
      <c r="E1463" s="26" t="inlineStr">
        <is>
          <t>MIMAROPA Region</t>
        </is>
      </c>
      <c r="F1463" s="26" t="inlineStr">
        <is>
          <t>Romblon</t>
        </is>
      </c>
      <c r="G1463" s="26" t="inlineStr">
        <is>
          <t>Calatrava</t>
        </is>
      </c>
      <c r="H1463" s="26" t="inlineStr">
        <is>
          <t>Pagsangahan</t>
        </is>
      </c>
      <c r="I1463" s="27" t="n">
        <v>12.600333</v>
      </c>
      <c r="J1463" s="27" t="n">
        <v>122.074717</v>
      </c>
      <c r="K1463" s="10" t="inlineStr">
        <is>
          <t>R</t>
        </is>
      </c>
      <c r="L1463" s="12" t="n">
        <v>862</v>
      </c>
      <c r="M1463" s="14" t="n">
        <v>3.7</v>
      </c>
      <c r="N1463" s="12">
        <f>ROUND(L1463/M1463, 0)</f>
        <v/>
      </c>
      <c r="O1463" s="12">
        <f>ROUND(N1463*'Methodology &amp; Assumptions'!$B$5, 0)</f>
        <v/>
      </c>
      <c r="P1463" s="10" t="inlineStr">
        <is>
          <t>Single Carrier (Band n50, 100MHz TDD)</t>
        </is>
      </c>
      <c r="Q1463" s="13">
        <f>ROUNDUP(O1463/'Methodology &amp; Assumptions'!$B$6, 0)</f>
        <v/>
      </c>
      <c r="R1463" s="13" t="n">
        <v>1</v>
      </c>
      <c r="S1463" s="14" t="n">
        <v>56.76</v>
      </c>
      <c r="T1463" s="14" t="n">
        <v>45.78</v>
      </c>
      <c r="U1463" s="26">
        <f>IF(X1463&gt;='Methodology &amp; Assumptions'!$B$7, "Tier 1 Critical GIDA (Score ≥ 50.0)", IF(X1463&gt;='Methodology &amp; Assumptions'!$B$8, "Tier 2 High GIDA (Score 40.0–49.9)", "Tier 3 Moderate GIDA (Score &lt; 40.0)"))</f>
        <v/>
      </c>
      <c r="V1463" s="26">
        <f>IF(S1463&lt;='Methodology &amp; Assumptions'!$B$10, "Direct Optical Drop (&lt;3km)", IF(S1463&lt;='Methodology &amp; Assumptions'!$B$9, "Near Optical / Microwave (&lt;5km)", "Starlink Business LEO Satellite Backhaul (&gt;5km)"))</f>
        <v/>
      </c>
      <c r="W1463" s="28" t="n">
        <v>0.15</v>
      </c>
      <c r="X1463" s="14" t="n">
        <v>42.91</v>
      </c>
      <c r="Y1463" s="14">
        <f>ROUND(MIN(100, (X1463/69.91)*100), 2)</f>
        <v/>
      </c>
    </row>
    <row r="1464">
      <c r="A1464" s="10" t="n">
        <v>5</v>
      </c>
      <c r="B1464" s="10" t="n">
        <v>460</v>
      </c>
      <c r="C1464" s="10" t="n">
        <v>4460</v>
      </c>
      <c r="D1464" s="10" t="inlineStr">
        <is>
          <t>0402111019</t>
        </is>
      </c>
      <c r="E1464" s="26" t="inlineStr">
        <is>
          <t>Region IV-A (CALABARZON)</t>
        </is>
      </c>
      <c r="F1464" s="26" t="inlineStr">
        <is>
          <t>Cavite</t>
        </is>
      </c>
      <c r="G1464" s="26" t="inlineStr">
        <is>
          <t>Kawit</t>
        </is>
      </c>
      <c r="H1464" s="26" t="inlineStr">
        <is>
          <t>Samala-Marquez</t>
        </is>
      </c>
      <c r="I1464" s="27" t="n">
        <v>14.434295</v>
      </c>
      <c r="J1464" s="27" t="n">
        <v>120.906126</v>
      </c>
      <c r="K1464" s="10" t="inlineStr">
        <is>
          <t>U</t>
        </is>
      </c>
      <c r="L1464" s="12" t="n">
        <v>6789</v>
      </c>
      <c r="M1464" s="14" t="n">
        <v>3.4</v>
      </c>
      <c r="N1464" s="12">
        <f>ROUND(L1464/M1464, 0)</f>
        <v/>
      </c>
      <c r="O1464" s="12">
        <f>ROUND(N1464*'Methodology &amp; Assumptions'!$B$5, 0)</f>
        <v/>
      </c>
      <c r="P1464" s="10" t="inlineStr">
        <is>
          <t>Single Carrier (Band n50, 100MHz TDD)</t>
        </is>
      </c>
      <c r="Q1464" s="13">
        <f>ROUNDUP(O1464/'Methodology &amp; Assumptions'!$B$6, 0)</f>
        <v/>
      </c>
      <c r="R1464" s="13" t="n">
        <v>1</v>
      </c>
      <c r="S1464" s="14" t="n">
        <v>2.54</v>
      </c>
      <c r="T1464" s="14" t="n">
        <v>0.44</v>
      </c>
      <c r="U1464" s="26">
        <f>IF(X1464&gt;='Methodology &amp; Assumptions'!$B$7, "Tier 1 Critical GIDA (Score ≥ 50.0)", IF(X1464&gt;='Methodology &amp; Assumptions'!$B$8, "Tier 2 High GIDA (Score 40.0–49.9)", "Tier 3 Moderate GIDA (Score &lt; 40.0)"))</f>
        <v/>
      </c>
      <c r="V1464" s="26">
        <f>IF(S1464&lt;='Methodology &amp; Assumptions'!$B$10, "Direct Optical Drop (&lt;3km)", IF(S1464&lt;='Methodology &amp; Assumptions'!$B$9, "Near Optical / Microwave (&lt;5km)", "Starlink Business LEO Satellite Backhaul (&gt;5km)"))</f>
        <v/>
      </c>
      <c r="W1464" s="28" t="n">
        <v>0.07200000000000001</v>
      </c>
      <c r="X1464" s="14" t="n">
        <v>42.9</v>
      </c>
      <c r="Y1464" s="14">
        <f>ROUND(MIN(100, (X1464/69.91)*100), 2)</f>
        <v/>
      </c>
    </row>
    <row r="1465">
      <c r="A1465" s="10" t="n">
        <v>5</v>
      </c>
      <c r="B1465" s="10" t="n">
        <v>461</v>
      </c>
      <c r="C1465" s="10" t="n">
        <v>4461</v>
      </c>
      <c r="D1465" s="10" t="inlineStr">
        <is>
          <t>1380400019</t>
        </is>
      </c>
      <c r="E1465" s="26" t="inlineStr">
        <is>
          <t>National Capital Region (NCR)</t>
        </is>
      </c>
      <c r="F1465" s="26" t="inlineStr">
        <is>
          <t>Third District (Not a Province)</t>
        </is>
      </c>
      <c r="G1465" s="26" t="inlineStr">
        <is>
          <t>City of Malabon</t>
        </is>
      </c>
      <c r="H1465" s="26" t="inlineStr">
        <is>
          <t>Tinajeros</t>
        </is>
      </c>
      <c r="I1465" s="27" t="n">
        <v>14.671264</v>
      </c>
      <c r="J1465" s="27" t="n">
        <v>120.969903</v>
      </c>
      <c r="K1465" s="10" t="inlineStr">
        <is>
          <t>U</t>
        </is>
      </c>
      <c r="L1465" s="12" t="n">
        <v>18866</v>
      </c>
      <c r="M1465" s="14" t="n">
        <v>3.7</v>
      </c>
      <c r="N1465" s="12">
        <f>ROUND(L1465/M1465, 0)</f>
        <v/>
      </c>
      <c r="O1465" s="12">
        <f>ROUND(N1465*'Methodology &amp; Assumptions'!$B$5, 0)</f>
        <v/>
      </c>
      <c r="P1465" s="10" t="inlineStr">
        <is>
          <t>Single Carrier (Band n50, 100MHz TDD)</t>
        </is>
      </c>
      <c r="Q1465" s="13">
        <f>ROUNDUP(O1465/'Methodology &amp; Assumptions'!$B$6, 0)</f>
        <v/>
      </c>
      <c r="R1465" s="13" t="n">
        <v>1</v>
      </c>
      <c r="S1465" s="14" t="n">
        <v>0.45</v>
      </c>
      <c r="T1465" s="14" t="n">
        <v>0.22</v>
      </c>
      <c r="U1465" s="26">
        <f>IF(X1465&gt;='Methodology &amp; Assumptions'!$B$7, "Tier 1 Critical GIDA (Score ≥ 50.0)", IF(X1465&gt;='Methodology &amp; Assumptions'!$B$8, "Tier 2 High GIDA (Score 40.0–49.9)", "Tier 3 Moderate GIDA (Score &lt; 40.0)"))</f>
        <v/>
      </c>
      <c r="V1465" s="26">
        <f>IF(S1465&lt;='Methodology &amp; Assumptions'!$B$10, "Direct Optical Drop (&lt;3km)", IF(S1465&lt;='Methodology &amp; Assumptions'!$B$9, "Near Optical / Microwave (&lt;5km)", "Starlink Business LEO Satellite Backhaul (&gt;5km)"))</f>
        <v/>
      </c>
      <c r="W1465" s="28" t="n">
        <v>0.109</v>
      </c>
      <c r="X1465" s="14" t="n">
        <v>42.9</v>
      </c>
      <c r="Y1465" s="14">
        <f>ROUND(MIN(100, (X1465/69.91)*100), 2)</f>
        <v/>
      </c>
    </row>
    <row r="1466">
      <c r="A1466" s="10" t="n">
        <v>5</v>
      </c>
      <c r="B1466" s="10" t="n">
        <v>462</v>
      </c>
      <c r="C1466" s="10" t="n">
        <v>4462</v>
      </c>
      <c r="D1466" s="10" t="inlineStr">
        <is>
          <t>0405802003</t>
        </is>
      </c>
      <c r="E1466" s="26" t="inlineStr">
        <is>
          <t>Region IV-A (CALABARZON)</t>
        </is>
      </c>
      <c r="F1466" s="26" t="inlineStr">
        <is>
          <t>Rizal</t>
        </is>
      </c>
      <c r="G1466" s="26" t="inlineStr">
        <is>
          <t>City of Antipolo</t>
        </is>
      </c>
      <c r="H1466" s="26" t="inlineStr">
        <is>
          <t>Dela Paz</t>
        </is>
      </c>
      <c r="I1466" s="27" t="n">
        <v>14.597466</v>
      </c>
      <c r="J1466" s="27" t="n">
        <v>121.172621</v>
      </c>
      <c r="K1466" s="10" t="inlineStr">
        <is>
          <t>U</t>
        </is>
      </c>
      <c r="L1466" s="12" t="n">
        <v>73910</v>
      </c>
      <c r="M1466" s="14" t="n">
        <v>3.6</v>
      </c>
      <c r="N1466" s="12">
        <f>ROUND(L1466/M1466, 0)</f>
        <v/>
      </c>
      <c r="O1466" s="12">
        <f>ROUND(N1466*'Methodology &amp; Assumptions'!$B$5, 0)</f>
        <v/>
      </c>
      <c r="P1466" s="10" t="inlineStr">
        <is>
          <t>Single Carrier (Band n50, 100MHz TDD)</t>
        </is>
      </c>
      <c r="Q1466" s="13">
        <f>ROUNDUP(O1466/'Methodology &amp; Assumptions'!$B$6, 0)</f>
        <v/>
      </c>
      <c r="R1466" s="13" t="n">
        <v>1</v>
      </c>
      <c r="S1466" s="14" t="n">
        <v>1.12</v>
      </c>
      <c r="T1466" s="14" t="n">
        <v>0.08</v>
      </c>
      <c r="U1466" s="26">
        <f>IF(X1466&gt;='Methodology &amp; Assumptions'!$B$7, "Tier 1 Critical GIDA (Score ≥ 50.0)", IF(X1466&gt;='Methodology &amp; Assumptions'!$B$8, "Tier 2 High GIDA (Score 40.0–49.9)", "Tier 3 Moderate GIDA (Score &lt; 40.0)"))</f>
        <v/>
      </c>
      <c r="V1466" s="26">
        <f>IF(S1466&lt;='Methodology &amp; Assumptions'!$B$10, "Direct Optical Drop (&lt;3km)", IF(S1466&lt;='Methodology &amp; Assumptions'!$B$9, "Near Optical / Microwave (&lt;5km)", "Starlink Business LEO Satellite Backhaul (&gt;5km)"))</f>
        <v/>
      </c>
      <c r="W1466" s="28" t="n">
        <v>0.07200000000000001</v>
      </c>
      <c r="X1466" s="14" t="n">
        <v>42.9</v>
      </c>
      <c r="Y1466" s="14">
        <f>ROUND(MIN(100, (X1466/69.91)*100), 2)</f>
        <v/>
      </c>
    </row>
    <row r="1467">
      <c r="A1467" s="10" t="n">
        <v>5</v>
      </c>
      <c r="B1467" s="10" t="n">
        <v>463</v>
      </c>
      <c r="C1467" s="10" t="n">
        <v>4463</v>
      </c>
      <c r="D1467" s="10" t="inlineStr">
        <is>
          <t>PH0004463</t>
        </is>
      </c>
      <c r="E1467" s="26" t="inlineStr">
        <is>
          <t>CAR</t>
        </is>
      </c>
      <c r="F1467" s="26" t="inlineStr">
        <is>
          <t>Benguet</t>
        </is>
      </c>
      <c r="G1467" s="26" t="inlineStr">
        <is>
          <t>Baguio City</t>
        </is>
      </c>
      <c r="H1467" s="26" t="inlineStr">
        <is>
          <t>Pinget</t>
        </is>
      </c>
      <c r="I1467" s="27" t="n">
        <v>16.43192</v>
      </c>
      <c r="J1467" s="27" t="n">
        <v>120.583497</v>
      </c>
      <c r="K1467" s="10" t="inlineStr">
        <is>
          <t>R</t>
        </is>
      </c>
      <c r="L1467" s="12" t="n">
        <v>2260</v>
      </c>
      <c r="M1467" s="14" t="n">
        <v>3.5</v>
      </c>
      <c r="N1467" s="12">
        <f>ROUND(L1467/M1467, 0)</f>
        <v/>
      </c>
      <c r="O1467" s="12">
        <f>ROUND(N1467*'Methodology &amp; Assumptions'!$B$5, 0)</f>
        <v/>
      </c>
      <c r="P1467" s="10" t="inlineStr">
        <is>
          <t>Single Carrier (Band n50, 100MHz TDD)</t>
        </is>
      </c>
      <c r="Q1467" s="13">
        <f>ROUNDUP(O1467/'Methodology &amp; Assumptions'!$B$6, 0)</f>
        <v/>
      </c>
      <c r="R1467" s="13" t="n">
        <v>1</v>
      </c>
      <c r="S1467" s="14" t="n">
        <v>1.3</v>
      </c>
      <c r="T1467" s="14" t="n">
        <v>1.45</v>
      </c>
      <c r="U1467" s="26">
        <f>IF(X1467&gt;='Methodology &amp; Assumptions'!$B$7, "Tier 1 Critical GIDA (Score ≥ 50.0)", IF(X1467&gt;='Methodology &amp; Assumptions'!$B$8, "Tier 2 High GIDA (Score 40.0–49.9)", "Tier 3 Moderate GIDA (Score &lt; 40.0)"))</f>
        <v/>
      </c>
      <c r="V1467" s="26">
        <f>IF(S1467&lt;='Methodology &amp; Assumptions'!$B$10, "Direct Optical Drop (&lt;3km)", IF(S1467&lt;='Methodology &amp; Assumptions'!$B$9, "Near Optical / Microwave (&lt;5km)", "Starlink Business LEO Satellite Backhaul (&gt;5km)"))</f>
        <v/>
      </c>
      <c r="W1467" s="28" t="n">
        <v>0.221</v>
      </c>
      <c r="X1467" s="14" t="n">
        <v>42.9</v>
      </c>
      <c r="Y1467" s="14">
        <f>ROUND(MIN(100, (X1467/69.91)*100), 2)</f>
        <v/>
      </c>
    </row>
    <row r="1468">
      <c r="A1468" s="10" t="n">
        <v>5</v>
      </c>
      <c r="B1468" s="10" t="n">
        <v>464</v>
      </c>
      <c r="C1468" s="10" t="n">
        <v>4464</v>
      </c>
      <c r="D1468" s="10" t="inlineStr">
        <is>
          <t>0600607020</t>
        </is>
      </c>
      <c r="E1468" s="26" t="inlineStr">
        <is>
          <t>Region VI (Western Visayas)</t>
        </is>
      </c>
      <c r="F1468" s="26" t="inlineStr">
        <is>
          <t>Antique</t>
        </is>
      </c>
      <c r="G1468" s="26" t="inlineStr">
        <is>
          <t>Tobias Fornier</t>
        </is>
      </c>
      <c r="H1468" s="26" t="inlineStr">
        <is>
          <t>Igbangcal-A</t>
        </is>
      </c>
      <c r="I1468" s="27" t="n">
        <v>10.516352</v>
      </c>
      <c r="J1468" s="27" t="n">
        <v>121.977988</v>
      </c>
      <c r="K1468" s="10" t="inlineStr">
        <is>
          <t>R</t>
        </is>
      </c>
      <c r="L1468" s="12" t="n">
        <v>509</v>
      </c>
      <c r="M1468" s="14" t="n">
        <v>3.9</v>
      </c>
      <c r="N1468" s="12">
        <f>ROUND(L1468/M1468, 0)</f>
        <v/>
      </c>
      <c r="O1468" s="12">
        <f>ROUND(N1468*'Methodology &amp; Assumptions'!$B$5, 0)</f>
        <v/>
      </c>
      <c r="P1468" s="10" t="inlineStr">
        <is>
          <t>Single Carrier (Band n50, 100MHz TDD)</t>
        </is>
      </c>
      <c r="Q1468" s="13">
        <f>ROUNDUP(O1468/'Methodology &amp; Assumptions'!$B$6, 0)</f>
        <v/>
      </c>
      <c r="R1468" s="13" t="n">
        <v>1</v>
      </c>
      <c r="S1468" s="14" t="n">
        <v>27.7</v>
      </c>
      <c r="T1468" s="14" t="n">
        <v>8.619999999999999</v>
      </c>
      <c r="U1468" s="26">
        <f>IF(X1468&gt;='Methodology &amp; Assumptions'!$B$7, "Tier 1 Critical GIDA (Score ≥ 50.0)", IF(X1468&gt;='Methodology &amp; Assumptions'!$B$8, "Tier 2 High GIDA (Score 40.0–49.9)", "Tier 3 Moderate GIDA (Score &lt; 40.0)"))</f>
        <v/>
      </c>
      <c r="V1468" s="26">
        <f>IF(S1468&lt;='Methodology &amp; Assumptions'!$B$10, "Direct Optical Drop (&lt;3km)", IF(S1468&lt;='Methodology &amp; Assumptions'!$B$9, "Near Optical / Microwave (&lt;5km)", "Starlink Business LEO Satellite Backhaul (&gt;5km)"))</f>
        <v/>
      </c>
      <c r="W1468" s="28" t="n">
        <v>0.237</v>
      </c>
      <c r="X1468" s="14" t="n">
        <v>42.9</v>
      </c>
      <c r="Y1468" s="14">
        <f>ROUND(MIN(100, (X1468/69.91)*100), 2)</f>
        <v/>
      </c>
    </row>
    <row r="1469">
      <c r="A1469" s="10" t="n">
        <v>5</v>
      </c>
      <c r="B1469" s="10" t="n">
        <v>465</v>
      </c>
      <c r="C1469" s="10" t="n">
        <v>4465</v>
      </c>
      <c r="D1469" s="10" t="inlineStr">
        <is>
          <t>1380400001</t>
        </is>
      </c>
      <c r="E1469" s="26" t="inlineStr">
        <is>
          <t>National Capital Region (NCR)</t>
        </is>
      </c>
      <c r="F1469" s="26" t="inlineStr">
        <is>
          <t>Third District (Not a Province)</t>
        </is>
      </c>
      <c r="G1469" s="26" t="inlineStr">
        <is>
          <t>City of Malabon</t>
        </is>
      </c>
      <c r="H1469" s="26" t="inlineStr">
        <is>
          <t>Acacia</t>
        </is>
      </c>
      <c r="I1469" s="27" t="n">
        <v>14.667458</v>
      </c>
      <c r="J1469" s="27" t="n">
        <v>120.968864</v>
      </c>
      <c r="K1469" s="10" t="inlineStr">
        <is>
          <t>U</t>
        </is>
      </c>
      <c r="L1469" s="12" t="n">
        <v>5082</v>
      </c>
      <c r="M1469" s="14" t="n">
        <v>3.7</v>
      </c>
      <c r="N1469" s="12">
        <f>ROUND(L1469/M1469, 0)</f>
        <v/>
      </c>
      <c r="O1469" s="12">
        <f>ROUND(N1469*'Methodology &amp; Assumptions'!$B$5, 0)</f>
        <v/>
      </c>
      <c r="P1469" s="10" t="inlineStr">
        <is>
          <t>Single Carrier (Band n50, 100MHz TDD)</t>
        </is>
      </c>
      <c r="Q1469" s="13">
        <f>ROUNDUP(O1469/'Methodology &amp; Assumptions'!$B$6, 0)</f>
        <v/>
      </c>
      <c r="R1469" s="13" t="n">
        <v>1</v>
      </c>
      <c r="S1469" s="14" t="n">
        <v>0.23</v>
      </c>
      <c r="T1469" s="14" t="n">
        <v>0.23</v>
      </c>
      <c r="U1469" s="26">
        <f>IF(X1469&gt;='Methodology &amp; Assumptions'!$B$7, "Tier 1 Critical GIDA (Score ≥ 50.0)", IF(X1469&gt;='Methodology &amp; Assumptions'!$B$8, "Tier 2 High GIDA (Score 40.0–49.9)", "Tier 3 Moderate GIDA (Score &lt; 40.0)"))</f>
        <v/>
      </c>
      <c r="V1469" s="26">
        <f>IF(S1469&lt;='Methodology &amp; Assumptions'!$B$10, "Direct Optical Drop (&lt;3km)", IF(S1469&lt;='Methodology &amp; Assumptions'!$B$9, "Near Optical / Microwave (&lt;5km)", "Starlink Business LEO Satellite Backhaul (&gt;5km)"))</f>
        <v/>
      </c>
      <c r="W1469" s="28" t="n">
        <v>0.109</v>
      </c>
      <c r="X1469" s="14" t="n">
        <v>42.89</v>
      </c>
      <c r="Y1469" s="14">
        <f>ROUND(MIN(100, (X1469/69.91)*100), 2)</f>
        <v/>
      </c>
    </row>
    <row r="1470">
      <c r="A1470" s="10" t="n">
        <v>5</v>
      </c>
      <c r="B1470" s="10" t="n">
        <v>466</v>
      </c>
      <c r="C1470" s="10" t="n">
        <v>4466</v>
      </c>
      <c r="D1470" s="10" t="inlineStr">
        <is>
          <t>1380200014</t>
        </is>
      </c>
      <c r="E1470" s="26" t="inlineStr">
        <is>
          <t>National Capital Region (NCR)</t>
        </is>
      </c>
      <c r="F1470" s="26" t="inlineStr">
        <is>
          <t>Fourth District (Not a Province)</t>
        </is>
      </c>
      <c r="G1470" s="26" t="inlineStr">
        <is>
          <t>City of Las Piñas</t>
        </is>
      </c>
      <c r="H1470" s="26" t="inlineStr">
        <is>
          <t>Pamplona Tres</t>
        </is>
      </c>
      <c r="I1470" s="27" t="n">
        <v>14.453915</v>
      </c>
      <c r="J1470" s="27" t="n">
        <v>120.979395</v>
      </c>
      <c r="K1470" s="10" t="inlineStr">
        <is>
          <t>U</t>
        </is>
      </c>
      <c r="L1470" s="12" t="n">
        <v>35634</v>
      </c>
      <c r="M1470" s="14" t="n">
        <v>3.8</v>
      </c>
      <c r="N1470" s="12">
        <f>ROUND(L1470/M1470, 0)</f>
        <v/>
      </c>
      <c r="O1470" s="12">
        <f>ROUND(N1470*'Methodology &amp; Assumptions'!$B$5, 0)</f>
        <v/>
      </c>
      <c r="P1470" s="10" t="inlineStr">
        <is>
          <t>Single Carrier (Band n50, 100MHz TDD)</t>
        </is>
      </c>
      <c r="Q1470" s="13">
        <f>ROUNDUP(O1470/'Methodology &amp; Assumptions'!$B$6, 0)</f>
        <v/>
      </c>
      <c r="R1470" s="13" t="n">
        <v>1</v>
      </c>
      <c r="S1470" s="14" t="n">
        <v>1.34</v>
      </c>
      <c r="T1470" s="14" t="n">
        <v>0.42</v>
      </c>
      <c r="U1470" s="26">
        <f>IF(X1470&gt;='Methodology &amp; Assumptions'!$B$7, "Tier 1 Critical GIDA (Score ≥ 50.0)", IF(X1470&gt;='Methodology &amp; Assumptions'!$B$8, "Tier 2 High GIDA (Score 40.0–49.9)", "Tier 3 Moderate GIDA (Score &lt; 40.0)"))</f>
        <v/>
      </c>
      <c r="V1470" s="26">
        <f>IF(S1470&lt;='Methodology &amp; Assumptions'!$B$10, "Direct Optical Drop (&lt;3km)", IF(S1470&lt;='Methodology &amp; Assumptions'!$B$9, "Near Optical / Microwave (&lt;5km)", "Starlink Business LEO Satellite Backhaul (&gt;5km)"))</f>
        <v/>
      </c>
      <c r="W1470" s="28" t="n">
        <v>0.109</v>
      </c>
      <c r="X1470" s="14" t="n">
        <v>42.89</v>
      </c>
      <c r="Y1470" s="14">
        <f>ROUND(MIN(100, (X1470/69.91)*100), 2)</f>
        <v/>
      </c>
    </row>
    <row r="1471">
      <c r="A1471" s="10" t="n">
        <v>5</v>
      </c>
      <c r="B1471" s="10" t="n">
        <v>467</v>
      </c>
      <c r="C1471" s="10" t="n">
        <v>4467</v>
      </c>
      <c r="D1471" s="10" t="inlineStr">
        <is>
          <t>1906612038</t>
        </is>
      </c>
      <c r="E1471" s="26" t="inlineStr">
        <is>
          <t>Bangsamoro Autonomous Region In Muslim Mindanao (BARMM)</t>
        </is>
      </c>
      <c r="F1471" s="26" t="inlineStr">
        <is>
          <t>Sulu</t>
        </is>
      </c>
      <c r="G1471" s="26" t="inlineStr">
        <is>
          <t>Siasi</t>
        </is>
      </c>
      <c r="H1471" s="26" t="inlineStr">
        <is>
          <t>North Manta</t>
        </is>
      </c>
      <c r="I1471" s="27" t="n">
        <v>16.368837</v>
      </c>
      <c r="J1471" s="27" t="n">
        <v>122.135029</v>
      </c>
      <c r="K1471" s="10" t="inlineStr">
        <is>
          <t>R</t>
        </is>
      </c>
      <c r="L1471" s="12" t="n">
        <v>894</v>
      </c>
      <c r="M1471" s="14" t="n">
        <v>6</v>
      </c>
      <c r="N1471" s="12">
        <f>ROUND(L1471/M1471, 0)</f>
        <v/>
      </c>
      <c r="O1471" s="12">
        <f>ROUND(N1471*'Methodology &amp; Assumptions'!$B$5, 0)</f>
        <v/>
      </c>
      <c r="P1471" s="10" t="inlineStr">
        <is>
          <t>Single Carrier (Band n50, 100MHz TDD)</t>
        </is>
      </c>
      <c r="Q1471" s="13">
        <f>ROUNDUP(O1471/'Methodology &amp; Assumptions'!$B$6, 0)</f>
        <v/>
      </c>
      <c r="R1471" s="13" t="n">
        <v>1</v>
      </c>
      <c r="S1471" s="14" t="n">
        <v>7.61</v>
      </c>
      <c r="T1471" s="14" t="n">
        <v>0.76</v>
      </c>
      <c r="U1471" s="26">
        <f>IF(X1471&gt;='Methodology &amp; Assumptions'!$B$7, "Tier 1 Critical GIDA (Score ≥ 50.0)", IF(X1471&gt;='Methodology &amp; Assumptions'!$B$8, "Tier 2 High GIDA (Score 40.0–49.9)", "Tier 3 Moderate GIDA (Score &lt; 40.0)"))</f>
        <v/>
      </c>
      <c r="V1471" s="26">
        <f>IF(S1471&lt;='Methodology &amp; Assumptions'!$B$10, "Direct Optical Drop (&lt;3km)", IF(S1471&lt;='Methodology &amp; Assumptions'!$B$9, "Near Optical / Microwave (&lt;5km)", "Starlink Business LEO Satellite Backhaul (&gt;5km)"))</f>
        <v/>
      </c>
      <c r="W1471" s="28" t="n">
        <v>0.11</v>
      </c>
      <c r="X1471" s="14" t="n">
        <v>42.89</v>
      </c>
      <c r="Y1471" s="14">
        <f>ROUND(MIN(100, (X1471/69.91)*100), 2)</f>
        <v/>
      </c>
    </row>
    <row r="1472">
      <c r="A1472" s="10" t="n">
        <v>5</v>
      </c>
      <c r="B1472" s="10" t="n">
        <v>468</v>
      </c>
      <c r="C1472" s="10" t="n">
        <v>4468</v>
      </c>
      <c r="D1472" s="10" t="inlineStr">
        <is>
          <t>0601911022</t>
        </is>
      </c>
      <c r="E1472" s="26" t="inlineStr">
        <is>
          <t>Region VI (Western Visayas)</t>
        </is>
      </c>
      <c r="F1472" s="26" t="inlineStr">
        <is>
          <t>Capiz</t>
        </is>
      </c>
      <c r="G1472" s="26" t="inlineStr">
        <is>
          <t>Pilar</t>
        </is>
      </c>
      <c r="H1472" s="26" t="inlineStr">
        <is>
          <t>San Silvestre</t>
        </is>
      </c>
      <c r="I1472" s="27" t="n">
        <v>11.4428</v>
      </c>
      <c r="J1472" s="27" t="n">
        <v>123.0425</v>
      </c>
      <c r="K1472" s="10" t="inlineStr">
        <is>
          <t>R</t>
        </is>
      </c>
      <c r="L1472" s="12" t="n">
        <v>824</v>
      </c>
      <c r="M1472" s="14" t="n">
        <v>3.8</v>
      </c>
      <c r="N1472" s="12">
        <f>ROUND(L1472/M1472, 0)</f>
        <v/>
      </c>
      <c r="O1472" s="12">
        <f>ROUND(N1472*'Methodology &amp; Assumptions'!$B$5, 0)</f>
        <v/>
      </c>
      <c r="P1472" s="10" t="inlineStr">
        <is>
          <t>Single Carrier (Band n50, 100MHz TDD)</t>
        </is>
      </c>
      <c r="Q1472" s="13">
        <f>ROUNDUP(O1472/'Methodology &amp; Assumptions'!$B$6, 0)</f>
        <v/>
      </c>
      <c r="R1472" s="13" t="n">
        <v>1</v>
      </c>
      <c r="S1472" s="14" t="n">
        <v>6.02</v>
      </c>
      <c r="T1472" s="14" t="n">
        <v>4.74</v>
      </c>
      <c r="U1472" s="26">
        <f>IF(X1472&gt;='Methodology &amp; Assumptions'!$B$7, "Tier 1 Critical GIDA (Score ≥ 50.0)", IF(X1472&gt;='Methodology &amp; Assumptions'!$B$8, "Tier 2 High GIDA (Score 40.0–49.9)", "Tier 3 Moderate GIDA (Score &lt; 40.0)"))</f>
        <v/>
      </c>
      <c r="V1472" s="26">
        <f>IF(S1472&lt;='Methodology &amp; Assumptions'!$B$10, "Direct Optical Drop (&lt;3km)", IF(S1472&lt;='Methodology &amp; Assumptions'!$B$9, "Near Optical / Microwave (&lt;5km)", "Starlink Business LEO Satellite Backhaul (&gt;5km)"))</f>
        <v/>
      </c>
      <c r="W1472" s="28" t="n">
        <v>0.237</v>
      </c>
      <c r="X1472" s="14" t="n">
        <v>42.89</v>
      </c>
      <c r="Y1472" s="14">
        <f>ROUND(MIN(100, (X1472/69.91)*100), 2)</f>
        <v/>
      </c>
    </row>
    <row r="1473">
      <c r="A1473" s="10" t="n">
        <v>5</v>
      </c>
      <c r="B1473" s="10" t="n">
        <v>469</v>
      </c>
      <c r="C1473" s="10" t="n">
        <v>4469</v>
      </c>
      <c r="D1473" s="10" t="inlineStr">
        <is>
          <t>1204712057</t>
        </is>
      </c>
      <c r="E1473" s="26" t="inlineStr">
        <is>
          <t>Region XII (SOCCSKSARGEN)</t>
        </is>
      </c>
      <c r="F1473" s="26" t="inlineStr">
        <is>
          <t>Cotabato</t>
        </is>
      </c>
      <c r="G1473" s="26" t="inlineStr">
        <is>
          <t>Pikit</t>
        </is>
      </c>
      <c r="H1473" s="26" t="inlineStr">
        <is>
          <t>Talitay</t>
        </is>
      </c>
      <c r="I1473" s="27" t="n">
        <v>7.02602</v>
      </c>
      <c r="J1473" s="27" t="n">
        <v>124.705848</v>
      </c>
      <c r="K1473" s="10" t="inlineStr">
        <is>
          <t>R</t>
        </is>
      </c>
      <c r="L1473" s="12" t="n">
        <v>2002</v>
      </c>
      <c r="M1473" s="14" t="n">
        <v>3.8</v>
      </c>
      <c r="N1473" s="12">
        <f>ROUND(L1473/M1473, 0)</f>
        <v/>
      </c>
      <c r="O1473" s="12">
        <f>ROUND(N1473*'Methodology &amp; Assumptions'!$B$5, 0)</f>
        <v/>
      </c>
      <c r="P1473" s="10" t="inlineStr">
        <is>
          <t>Single Carrier (Band n50, 100MHz TDD)</t>
        </is>
      </c>
      <c r="Q1473" s="13">
        <f>ROUNDUP(O1473/'Methodology &amp; Assumptions'!$B$6, 0)</f>
        <v/>
      </c>
      <c r="R1473" s="13" t="n">
        <v>1</v>
      </c>
      <c r="S1473" s="14" t="n">
        <v>22.06</v>
      </c>
      <c r="T1473" s="14" t="n">
        <v>14.87</v>
      </c>
      <c r="U1473" s="26">
        <f>IF(X1473&gt;='Methodology &amp; Assumptions'!$B$7, "Tier 1 Critical GIDA (Score ≥ 50.0)", IF(X1473&gt;='Methodology &amp; Assumptions'!$B$8, "Tier 2 High GIDA (Score 40.0–49.9)", "Tier 3 Moderate GIDA (Score &lt; 40.0)"))</f>
        <v/>
      </c>
      <c r="V1473" s="26">
        <f>IF(S1473&lt;='Methodology &amp; Assumptions'!$B$10, "Direct Optical Drop (&lt;3km)", IF(S1473&lt;='Methodology &amp; Assumptions'!$B$9, "Near Optical / Microwave (&lt;5km)", "Starlink Business LEO Satellite Backhaul (&gt;5km)"))</f>
        <v/>
      </c>
      <c r="W1473" s="28" t="n">
        <v>0.174</v>
      </c>
      <c r="X1473" s="14" t="n">
        <v>42.88</v>
      </c>
      <c r="Y1473" s="14">
        <f>ROUND(MIN(100, (X1473/69.91)*100), 2)</f>
        <v/>
      </c>
    </row>
    <row r="1474">
      <c r="A1474" s="10" t="n">
        <v>5</v>
      </c>
      <c r="B1474" s="10" t="n">
        <v>470</v>
      </c>
      <c r="C1474" s="10" t="n">
        <v>4470</v>
      </c>
      <c r="D1474" s="10" t="inlineStr">
        <is>
          <t>0907225006</t>
        </is>
      </c>
      <c r="E1474" s="26" t="inlineStr">
        <is>
          <t>Region IX (Zamboanga Peninsula)</t>
        </is>
      </c>
      <c r="F1474" s="26" t="inlineStr">
        <is>
          <t>Zamboanga del Norte</t>
        </is>
      </c>
      <c r="G1474" s="26" t="inlineStr">
        <is>
          <t>Godod</t>
        </is>
      </c>
      <c r="H1474" s="26" t="inlineStr">
        <is>
          <t>Guisapong</t>
        </is>
      </c>
      <c r="I1474" s="27" t="n">
        <v>8.03307</v>
      </c>
      <c r="J1474" s="27" t="n">
        <v>122.77592</v>
      </c>
      <c r="K1474" s="10" t="inlineStr">
        <is>
          <t>R</t>
        </is>
      </c>
      <c r="L1474" s="12" t="n">
        <v>622</v>
      </c>
      <c r="M1474" s="14" t="n">
        <v>3.6</v>
      </c>
      <c r="N1474" s="12">
        <f>ROUND(L1474/M1474, 0)</f>
        <v/>
      </c>
      <c r="O1474" s="12">
        <f>ROUND(N1474*'Methodology &amp; Assumptions'!$B$5, 0)</f>
        <v/>
      </c>
      <c r="P1474" s="10" t="inlineStr">
        <is>
          <t>Single Carrier (Band n50, 100MHz TDD)</t>
        </is>
      </c>
      <c r="Q1474" s="13">
        <f>ROUNDUP(O1474/'Methodology &amp; Assumptions'!$B$6, 0)</f>
        <v/>
      </c>
      <c r="R1474" s="13" t="n">
        <v>1</v>
      </c>
      <c r="S1474" s="14" t="n">
        <v>35.21</v>
      </c>
      <c r="T1474" s="14" t="n">
        <v>25.15</v>
      </c>
      <c r="U1474" s="26">
        <f>IF(X1474&gt;='Methodology &amp; Assumptions'!$B$7, "Tier 1 Critical GIDA (Score ≥ 50.0)", IF(X1474&gt;='Methodology &amp; Assumptions'!$B$8, "Tier 2 High GIDA (Score 40.0–49.9)", "Tier 3 Moderate GIDA (Score &lt; 40.0)"))</f>
        <v/>
      </c>
      <c r="V1474" s="26">
        <f>IF(S1474&lt;='Methodology &amp; Assumptions'!$B$10, "Direct Optical Drop (&lt;3km)", IF(S1474&lt;='Methodology &amp; Assumptions'!$B$9, "Near Optical / Microwave (&lt;5km)", "Starlink Business LEO Satellite Backhaul (&gt;5km)"))</f>
        <v/>
      </c>
      <c r="W1474" s="28" t="n">
        <v>0.11</v>
      </c>
      <c r="X1474" s="14" t="n">
        <v>42.88</v>
      </c>
      <c r="Y1474" s="14">
        <f>ROUND(MIN(100, (X1474/69.91)*100), 2)</f>
        <v/>
      </c>
    </row>
    <row r="1475">
      <c r="A1475" s="10" t="n">
        <v>5</v>
      </c>
      <c r="B1475" s="10" t="n">
        <v>471</v>
      </c>
      <c r="C1475" s="10" t="n">
        <v>4471</v>
      </c>
      <c r="D1475" s="10" t="inlineStr">
        <is>
          <t>PH0004471</t>
        </is>
      </c>
      <c r="E1475" s="26" t="inlineStr">
        <is>
          <t>IV-A</t>
        </is>
      </c>
      <c r="F1475" s="26" t="inlineStr">
        <is>
          <t>Cavite</t>
        </is>
      </c>
      <c r="G1475" s="26" t="inlineStr">
        <is>
          <t>Cavite City</t>
        </is>
      </c>
      <c r="H1475" s="26" t="inlineStr">
        <is>
          <t>Barangay 17</t>
        </is>
      </c>
      <c r="I1475" s="27" t="n">
        <v>14.459795</v>
      </c>
      <c r="J1475" s="27" t="n">
        <v>120.872649</v>
      </c>
      <c r="K1475" s="10" t="inlineStr">
        <is>
          <t>R</t>
        </is>
      </c>
      <c r="L1475" s="12" t="n">
        <v>2316</v>
      </c>
      <c r="M1475" s="14" t="n">
        <v>3.4</v>
      </c>
      <c r="N1475" s="12">
        <f>ROUND(L1475/M1475, 0)</f>
        <v/>
      </c>
      <c r="O1475" s="12">
        <f>ROUND(N1475*'Methodology &amp; Assumptions'!$B$5, 0)</f>
        <v/>
      </c>
      <c r="P1475" s="10" t="inlineStr">
        <is>
          <t>Single Carrier (Band n50, 100MHz TDD)</t>
        </is>
      </c>
      <c r="Q1475" s="13">
        <f>ROUNDUP(O1475/'Methodology &amp; Assumptions'!$B$6, 0)</f>
        <v/>
      </c>
      <c r="R1475" s="13" t="n">
        <v>1</v>
      </c>
      <c r="S1475" s="14" t="n">
        <v>2.32</v>
      </c>
      <c r="T1475" s="14" t="n">
        <v>3.41</v>
      </c>
      <c r="U1475" s="26">
        <f>IF(X1475&gt;='Methodology &amp; Assumptions'!$B$7, "Tier 1 Critical GIDA (Score ≥ 50.0)", IF(X1475&gt;='Methodology &amp; Assumptions'!$B$8, "Tier 2 High GIDA (Score 40.0–49.9)", "Tier 3 Moderate GIDA (Score &lt; 40.0)"))</f>
        <v/>
      </c>
      <c r="V1475" s="26">
        <f>IF(S1475&lt;='Methodology &amp; Assumptions'!$B$10, "Direct Optical Drop (&lt;3km)", IF(S1475&lt;='Methodology &amp; Assumptions'!$B$9, "Near Optical / Microwave (&lt;5km)", "Starlink Business LEO Satellite Backhaul (&gt;5km)"))</f>
        <v/>
      </c>
      <c r="W1475" s="28" t="n">
        <v>0.07200000000000001</v>
      </c>
      <c r="X1475" s="14" t="n">
        <v>42.88</v>
      </c>
      <c r="Y1475" s="14">
        <f>ROUND(MIN(100, (X1475/69.91)*100), 2)</f>
        <v/>
      </c>
    </row>
    <row r="1476">
      <c r="A1476" s="10" t="n">
        <v>5</v>
      </c>
      <c r="B1476" s="10" t="n">
        <v>472</v>
      </c>
      <c r="C1476" s="10" t="n">
        <v>4472</v>
      </c>
      <c r="D1476" s="10" t="inlineStr">
        <is>
          <t>1606813011</t>
        </is>
      </c>
      <c r="E1476" s="26" t="inlineStr">
        <is>
          <t>Region XIII (Caraga)</t>
        </is>
      </c>
      <c r="F1476" s="26" t="inlineStr">
        <is>
          <t>Surigao del Sur</t>
        </is>
      </c>
      <c r="G1476" s="26" t="inlineStr">
        <is>
          <t>Madrid</t>
        </is>
      </c>
      <c r="H1476" s="26" t="inlineStr">
        <is>
          <t>San Vicente</t>
        </is>
      </c>
      <c r="I1476" s="27" t="n">
        <v>9.272760999999999</v>
      </c>
      <c r="J1476" s="27" t="n">
        <v>126.005199</v>
      </c>
      <c r="K1476" s="10" t="inlineStr">
        <is>
          <t>R</t>
        </is>
      </c>
      <c r="L1476" s="12" t="n">
        <v>766</v>
      </c>
      <c r="M1476" s="14" t="n">
        <v>4.1</v>
      </c>
      <c r="N1476" s="12">
        <f>ROUND(L1476/M1476, 0)</f>
        <v/>
      </c>
      <c r="O1476" s="12">
        <f>ROUND(N1476*'Methodology &amp; Assumptions'!$B$5, 0)</f>
        <v/>
      </c>
      <c r="P1476" s="10" t="inlineStr">
        <is>
          <t>Single Carrier (Band n50, 100MHz TDD)</t>
        </is>
      </c>
      <c r="Q1476" s="13">
        <f>ROUNDUP(O1476/'Methodology &amp; Assumptions'!$B$6, 0)</f>
        <v/>
      </c>
      <c r="R1476" s="13" t="n">
        <v>1</v>
      </c>
      <c r="S1476" s="14" t="n">
        <v>12.27</v>
      </c>
      <c r="T1476" s="14" t="n">
        <v>4.11</v>
      </c>
      <c r="U1476" s="26">
        <f>IF(X1476&gt;='Methodology &amp; Assumptions'!$B$7, "Tier 1 Critical GIDA (Score ≥ 50.0)", IF(X1476&gt;='Methodology &amp; Assumptions'!$B$8, "Tier 2 High GIDA (Score 40.0–49.9)", "Tier 3 Moderate GIDA (Score &lt; 40.0)"))</f>
        <v/>
      </c>
      <c r="V1476" s="26">
        <f>IF(S1476&lt;='Methodology &amp; Assumptions'!$B$10, "Direct Optical Drop (&lt;3km)", IF(S1476&lt;='Methodology &amp; Assumptions'!$B$9, "Near Optical / Microwave (&lt;5km)", "Starlink Business LEO Satellite Backhaul (&gt;5km)"))</f>
        <v/>
      </c>
      <c r="W1476" s="28" t="n">
        <v>0.174</v>
      </c>
      <c r="X1476" s="14" t="n">
        <v>42.88</v>
      </c>
      <c r="Y1476" s="14">
        <f>ROUND(MIN(100, (X1476/69.91)*100), 2)</f>
        <v/>
      </c>
    </row>
    <row r="1477">
      <c r="A1477" s="10" t="n">
        <v>5</v>
      </c>
      <c r="B1477" s="10" t="n">
        <v>473</v>
      </c>
      <c r="C1477" s="10" t="n">
        <v>4473</v>
      </c>
      <c r="D1477" s="10" t="inlineStr">
        <is>
          <t>1600303039</t>
        </is>
      </c>
      <c r="E1477" s="26" t="inlineStr">
        <is>
          <t>Region XIII (Caraga)</t>
        </is>
      </c>
      <c r="F1477" s="26" t="inlineStr">
        <is>
          <t>Agusan del Sur</t>
        </is>
      </c>
      <c r="G1477" s="26" t="inlineStr">
        <is>
          <t>Esperanza</t>
        </is>
      </c>
      <c r="H1477" s="26" t="inlineStr">
        <is>
          <t>Kinamaybay</t>
        </is>
      </c>
      <c r="I1477" s="27" t="n">
        <v>8.601111</v>
      </c>
      <c r="J1477" s="27" t="n">
        <v>125.915278</v>
      </c>
      <c r="K1477" s="10" t="inlineStr">
        <is>
          <t>R</t>
        </is>
      </c>
      <c r="L1477" s="12" t="n">
        <v>886</v>
      </c>
      <c r="M1477" s="14" t="n">
        <v>3.9</v>
      </c>
      <c r="N1477" s="12">
        <f>ROUND(L1477/M1477, 0)</f>
        <v/>
      </c>
      <c r="O1477" s="12">
        <f>ROUND(N1477*'Methodology &amp; Assumptions'!$B$5, 0)</f>
        <v/>
      </c>
      <c r="P1477" s="10" t="inlineStr">
        <is>
          <t>Single Carrier (Band n50, 100MHz TDD)</t>
        </is>
      </c>
      <c r="Q1477" s="13">
        <f>ROUNDUP(O1477/'Methodology &amp; Assumptions'!$B$6, 0)</f>
        <v/>
      </c>
      <c r="R1477" s="13" t="n">
        <v>1</v>
      </c>
      <c r="S1477" s="14" t="n">
        <v>0.88</v>
      </c>
      <c r="T1477" s="14" t="n">
        <v>0.27</v>
      </c>
      <c r="U1477" s="26">
        <f>IF(X1477&gt;='Methodology &amp; Assumptions'!$B$7, "Tier 1 Critical GIDA (Score ≥ 50.0)", IF(X1477&gt;='Methodology &amp; Assumptions'!$B$8, "Tier 2 High GIDA (Score 40.0–49.9)", "Tier 3 Moderate GIDA (Score &lt; 40.0)"))</f>
        <v/>
      </c>
      <c r="V1477" s="26">
        <f>IF(S1477&lt;='Methodology &amp; Assumptions'!$B$10, "Direct Optical Drop (&lt;3km)", IF(S1477&lt;='Methodology &amp; Assumptions'!$B$9, "Near Optical / Microwave (&lt;5km)", "Starlink Business LEO Satellite Backhaul (&gt;5km)"))</f>
        <v/>
      </c>
      <c r="W1477" s="28" t="n">
        <v>0.174</v>
      </c>
      <c r="X1477" s="14" t="n">
        <v>42.88</v>
      </c>
      <c r="Y1477" s="14">
        <f>ROUND(MIN(100, (X1477/69.91)*100), 2)</f>
        <v/>
      </c>
    </row>
    <row r="1478">
      <c r="A1478" s="10" t="n">
        <v>5</v>
      </c>
      <c r="B1478" s="10" t="n">
        <v>474</v>
      </c>
      <c r="C1478" s="10" t="n">
        <v>4474</v>
      </c>
      <c r="D1478" s="10" t="inlineStr">
        <is>
          <t>0203112027</t>
        </is>
      </c>
      <c r="E1478" s="26" t="inlineStr">
        <is>
          <t>Region II (Cagayan Valley)</t>
        </is>
      </c>
      <c r="F1478" s="26" t="inlineStr">
        <is>
          <t>Isabela</t>
        </is>
      </c>
      <c r="G1478" s="26" t="inlineStr">
        <is>
          <t>Echague</t>
        </is>
      </c>
      <c r="H1478" s="26" t="inlineStr">
        <is>
          <t>Madadamian</t>
        </is>
      </c>
      <c r="I1478" s="27" t="n">
        <v>16.63191</v>
      </c>
      <c r="J1478" s="27" t="n">
        <v>121.84009</v>
      </c>
      <c r="K1478" s="10" t="inlineStr">
        <is>
          <t>R</t>
        </is>
      </c>
      <c r="L1478" s="12" t="n">
        <v>995</v>
      </c>
      <c r="M1478" s="14" t="n">
        <v>3.8</v>
      </c>
      <c r="N1478" s="12">
        <f>ROUND(L1478/M1478, 0)</f>
        <v/>
      </c>
      <c r="O1478" s="12">
        <f>ROUND(N1478*'Methodology &amp; Assumptions'!$B$5, 0)</f>
        <v/>
      </c>
      <c r="P1478" s="10" t="inlineStr">
        <is>
          <t>Single Carrier (Band n50, 100MHz TDD)</t>
        </is>
      </c>
      <c r="Q1478" s="13">
        <f>ROUNDUP(O1478/'Methodology &amp; Assumptions'!$B$6, 0)</f>
        <v/>
      </c>
      <c r="R1478" s="13" t="n">
        <v>1</v>
      </c>
      <c r="S1478" s="14" t="n">
        <v>14.65</v>
      </c>
      <c r="T1478" s="14" t="n">
        <v>19.25</v>
      </c>
      <c r="U1478" s="26">
        <f>IF(X1478&gt;='Methodology &amp; Assumptions'!$B$7, "Tier 1 Critical GIDA (Score ≥ 50.0)", IF(X1478&gt;='Methodology &amp; Assumptions'!$B$8, "Tier 2 High GIDA (Score 40.0–49.9)", "Tier 3 Moderate GIDA (Score &lt; 40.0)"))</f>
        <v/>
      </c>
      <c r="V1478" s="26">
        <f>IF(S1478&lt;='Methodology &amp; Assumptions'!$B$10, "Direct Optical Drop (&lt;3km)", IF(S1478&lt;='Methodology &amp; Assumptions'!$B$9, "Near Optical / Microwave (&lt;5km)", "Starlink Business LEO Satellite Backhaul (&gt;5km)"))</f>
        <v/>
      </c>
      <c r="W1478" s="28" t="n">
        <v>0.083</v>
      </c>
      <c r="X1478" s="14" t="n">
        <v>42.87</v>
      </c>
      <c r="Y1478" s="14">
        <f>ROUND(MIN(100, (X1478/69.91)*100), 2)</f>
        <v/>
      </c>
    </row>
    <row r="1479">
      <c r="A1479" s="10" t="n">
        <v>5</v>
      </c>
      <c r="B1479" s="10" t="n">
        <v>475</v>
      </c>
      <c r="C1479" s="10" t="n">
        <v>4475</v>
      </c>
      <c r="D1479" s="10" t="inlineStr">
        <is>
          <t>PH0004475</t>
        </is>
      </c>
      <c r="E1479" s="26" t="inlineStr">
        <is>
          <t>VIII</t>
        </is>
      </c>
      <c r="F1479" s="26" t="inlineStr">
        <is>
          <t>Samar (Western Samar)</t>
        </is>
      </c>
      <c r="G1479" s="26" t="inlineStr">
        <is>
          <t>Catbalogan City</t>
        </is>
      </c>
      <c r="H1479" s="26" t="inlineStr">
        <is>
          <t>Poblacion 3</t>
        </is>
      </c>
      <c r="I1479" s="27" t="n">
        <v>12.876588</v>
      </c>
      <c r="J1479" s="27" t="n">
        <v>121.74975</v>
      </c>
      <c r="K1479" s="10" t="inlineStr">
        <is>
          <t>R</t>
        </is>
      </c>
      <c r="L1479" s="12" t="n">
        <v>2229</v>
      </c>
      <c r="M1479" s="14" t="n">
        <v>4.1</v>
      </c>
      <c r="N1479" s="12">
        <f>ROUND(L1479/M1479, 0)</f>
        <v/>
      </c>
      <c r="O1479" s="12">
        <f>ROUND(N1479*'Methodology &amp; Assumptions'!$B$5, 0)</f>
        <v/>
      </c>
      <c r="P1479" s="10" t="inlineStr">
        <is>
          <t>Single Carrier (Band n50, 100MHz TDD)</t>
        </is>
      </c>
      <c r="Q1479" s="13">
        <f>ROUNDUP(O1479/'Methodology &amp; Assumptions'!$B$6, 0)</f>
        <v/>
      </c>
      <c r="R1479" s="13" t="n">
        <v>1</v>
      </c>
      <c r="S1479" s="14" t="n">
        <v>30.91</v>
      </c>
      <c r="T1479" s="14" t="n">
        <v>30.67</v>
      </c>
      <c r="U1479" s="26">
        <f>IF(X1479&gt;='Methodology &amp; Assumptions'!$B$7, "Tier 1 Critical GIDA (Score ≥ 50.0)", IF(X1479&gt;='Methodology &amp; Assumptions'!$B$8, "Tier 2 High GIDA (Score 40.0–49.9)", "Tier 3 Moderate GIDA (Score &lt; 40.0)"))</f>
        <v/>
      </c>
      <c r="V1479" s="26">
        <f>IF(S1479&lt;='Methodology &amp; Assumptions'!$B$10, "Direct Optical Drop (&lt;3km)", IF(S1479&lt;='Methodology &amp; Assumptions'!$B$9, "Near Optical / Microwave (&lt;5km)", "Starlink Business LEO Satellite Backhaul (&gt;5km)"))</f>
        <v/>
      </c>
      <c r="W1479" s="28" t="n">
        <v>0.222</v>
      </c>
      <c r="X1479" s="14" t="n">
        <v>42.86</v>
      </c>
      <c r="Y1479" s="14">
        <f>ROUND(MIN(100, (X1479/69.91)*100), 2)</f>
        <v/>
      </c>
    </row>
    <row r="1480">
      <c r="A1480" s="10" t="n">
        <v>5</v>
      </c>
      <c r="B1480" s="10" t="n">
        <v>476</v>
      </c>
      <c r="C1480" s="10" t="n">
        <v>4476</v>
      </c>
      <c r="D1480" s="10" t="inlineStr">
        <is>
          <t>0907318042</t>
        </is>
      </c>
      <c r="E1480" s="26" t="inlineStr">
        <is>
          <t>Region IX (Zamboanga Peninsula)</t>
        </is>
      </c>
      <c r="F1480" s="26" t="inlineStr">
        <is>
          <t>Zamboanga del Sur</t>
        </is>
      </c>
      <c r="G1480" s="26" t="inlineStr">
        <is>
          <t>Midsalip</t>
        </is>
      </c>
      <c r="H1480" s="26" t="inlineStr">
        <is>
          <t>Pili</t>
        </is>
      </c>
      <c r="I1480" s="27" t="n">
        <v>8.076241</v>
      </c>
      <c r="J1480" s="27" t="n">
        <v>123.177611</v>
      </c>
      <c r="K1480" s="10" t="inlineStr">
        <is>
          <t>R</t>
        </is>
      </c>
      <c r="L1480" s="12" t="n">
        <v>530</v>
      </c>
      <c r="M1480" s="14" t="n">
        <v>3.9</v>
      </c>
      <c r="N1480" s="12">
        <f>ROUND(L1480/M1480, 0)</f>
        <v/>
      </c>
      <c r="O1480" s="12">
        <f>ROUND(N1480*'Methodology &amp; Assumptions'!$B$5, 0)</f>
        <v/>
      </c>
      <c r="P1480" s="10" t="inlineStr">
        <is>
          <t>Single Carrier (Band n50, 100MHz TDD)</t>
        </is>
      </c>
      <c r="Q1480" s="13">
        <f>ROUNDUP(O1480/'Methodology &amp; Assumptions'!$B$6, 0)</f>
        <v/>
      </c>
      <c r="R1480" s="13" t="n">
        <v>1</v>
      </c>
      <c r="S1480" s="14" t="n">
        <v>39.69</v>
      </c>
      <c r="T1480" s="14" t="n">
        <v>26.71</v>
      </c>
      <c r="U1480" s="26">
        <f>IF(X1480&gt;='Methodology &amp; Assumptions'!$B$7, "Tier 1 Critical GIDA (Score ≥ 50.0)", IF(X1480&gt;='Methodology &amp; Assumptions'!$B$8, "Tier 2 High GIDA (Score 40.0–49.9)", "Tier 3 Moderate GIDA (Score &lt; 40.0)"))</f>
        <v/>
      </c>
      <c r="V1480" s="26">
        <f>IF(S1480&lt;='Methodology &amp; Assumptions'!$B$10, "Direct Optical Drop (&lt;3km)", IF(S1480&lt;='Methodology &amp; Assumptions'!$B$9, "Near Optical / Microwave (&lt;5km)", "Starlink Business LEO Satellite Backhaul (&gt;5km)"))</f>
        <v/>
      </c>
      <c r="W1480" s="28" t="n">
        <v>0.11</v>
      </c>
      <c r="X1480" s="14" t="n">
        <v>42.86</v>
      </c>
      <c r="Y1480" s="14">
        <f>ROUND(MIN(100, (X1480/69.91)*100), 2)</f>
        <v/>
      </c>
    </row>
    <row r="1481">
      <c r="A1481" s="10" t="n">
        <v>5</v>
      </c>
      <c r="B1481" s="10" t="n">
        <v>477</v>
      </c>
      <c r="C1481" s="10" t="n">
        <v>4477</v>
      </c>
      <c r="D1481" s="10" t="inlineStr">
        <is>
          <t>0402104017</t>
        </is>
      </c>
      <c r="E1481" s="26" t="inlineStr">
        <is>
          <t>Region IV-A (CALABARZON)</t>
        </is>
      </c>
      <c r="F1481" s="26" t="inlineStr">
        <is>
          <t>Cavite</t>
        </is>
      </c>
      <c r="G1481" s="26" t="inlineStr">
        <is>
          <t>Carmona</t>
        </is>
      </c>
      <c r="H1481" s="26" t="inlineStr">
        <is>
          <t>Barangay 6</t>
        </is>
      </c>
      <c r="I1481" s="27" t="n">
        <v>14.311257</v>
      </c>
      <c r="J1481" s="27" t="n">
        <v>121.039804</v>
      </c>
      <c r="K1481" s="10" t="inlineStr">
        <is>
          <t>R</t>
        </is>
      </c>
      <c r="L1481" s="12" t="n">
        <v>767</v>
      </c>
      <c r="M1481" s="14" t="n">
        <v>3.4</v>
      </c>
      <c r="N1481" s="12">
        <f>ROUND(L1481/M1481, 0)</f>
        <v/>
      </c>
      <c r="O1481" s="12">
        <f>ROUND(N1481*'Methodology &amp; Assumptions'!$B$5, 0)</f>
        <v/>
      </c>
      <c r="P1481" s="10" t="inlineStr">
        <is>
          <t>Single Carrier (Band n50, 100MHz TDD)</t>
        </is>
      </c>
      <c r="Q1481" s="13">
        <f>ROUNDUP(O1481/'Methodology &amp; Assumptions'!$B$6, 0)</f>
        <v/>
      </c>
      <c r="R1481" s="13" t="n">
        <v>1</v>
      </c>
      <c r="S1481" s="14" t="n">
        <v>0.22</v>
      </c>
      <c r="T1481" s="14" t="n">
        <v>1.1</v>
      </c>
      <c r="U1481" s="26">
        <f>IF(X1481&gt;='Methodology &amp; Assumptions'!$B$7, "Tier 1 Critical GIDA (Score ≥ 50.0)", IF(X1481&gt;='Methodology &amp; Assumptions'!$B$8, "Tier 2 High GIDA (Score 40.0–49.9)", "Tier 3 Moderate GIDA (Score &lt; 40.0)"))</f>
        <v/>
      </c>
      <c r="V1481" s="26">
        <f>IF(S1481&lt;='Methodology &amp; Assumptions'!$B$10, "Direct Optical Drop (&lt;3km)", IF(S1481&lt;='Methodology &amp; Assumptions'!$B$9, "Near Optical / Microwave (&lt;5km)", "Starlink Business LEO Satellite Backhaul (&gt;5km)"))</f>
        <v/>
      </c>
      <c r="W1481" s="28" t="n">
        <v>0.07200000000000001</v>
      </c>
      <c r="X1481" s="14" t="n">
        <v>42.86</v>
      </c>
      <c r="Y1481" s="14">
        <f>ROUND(MIN(100, (X1481/69.91)*100), 2)</f>
        <v/>
      </c>
    </row>
    <row r="1482">
      <c r="A1482" s="10" t="n">
        <v>5</v>
      </c>
      <c r="B1482" s="10" t="n">
        <v>478</v>
      </c>
      <c r="C1482" s="10" t="n">
        <v>4478</v>
      </c>
      <c r="D1482" s="10" t="inlineStr">
        <is>
          <t>0405607041</t>
        </is>
      </c>
      <c r="E1482" s="26" t="inlineStr">
        <is>
          <t>Region IV-A (CALABARZON)</t>
        </is>
      </c>
      <c r="F1482" s="26" t="inlineStr">
        <is>
          <t>Quezon</t>
        </is>
      </c>
      <c r="G1482" s="26" t="inlineStr">
        <is>
          <t>Calauag</t>
        </is>
      </c>
      <c r="H1482" s="26" t="inlineStr">
        <is>
          <t>Kuyaoyao</t>
        </is>
      </c>
      <c r="I1482" s="27" t="n">
        <v>14.048904</v>
      </c>
      <c r="J1482" s="27" t="n">
        <v>122.272632</v>
      </c>
      <c r="K1482" s="10" t="inlineStr">
        <is>
          <t>R</t>
        </is>
      </c>
      <c r="L1482" s="12" t="n">
        <v>425</v>
      </c>
      <c r="M1482" s="14" t="n">
        <v>3.8</v>
      </c>
      <c r="N1482" s="12">
        <f>ROUND(L1482/M1482, 0)</f>
        <v/>
      </c>
      <c r="O1482" s="12">
        <f>ROUND(N1482*'Methodology &amp; Assumptions'!$B$5, 0)</f>
        <v/>
      </c>
      <c r="P1482" s="10" t="inlineStr">
        <is>
          <t>Single Carrier (Band n50, 100MHz TDD)</t>
        </is>
      </c>
      <c r="Q1482" s="13">
        <f>ROUNDUP(O1482/'Methodology &amp; Assumptions'!$B$6, 0)</f>
        <v/>
      </c>
      <c r="R1482" s="13" t="n">
        <v>1</v>
      </c>
      <c r="S1482" s="14" t="n">
        <v>7.31</v>
      </c>
      <c r="T1482" s="14" t="n">
        <v>7.13</v>
      </c>
      <c r="U1482" s="26">
        <f>IF(X1482&gt;='Methodology &amp; Assumptions'!$B$7, "Tier 1 Critical GIDA (Score ≥ 50.0)", IF(X1482&gt;='Methodology &amp; Assumptions'!$B$8, "Tier 2 High GIDA (Score 40.0–49.9)", "Tier 3 Moderate GIDA (Score &lt; 40.0)"))</f>
        <v/>
      </c>
      <c r="V1482" s="26">
        <f>IF(S1482&lt;='Methodology &amp; Assumptions'!$B$10, "Direct Optical Drop (&lt;3km)", IF(S1482&lt;='Methodology &amp; Assumptions'!$B$9, "Near Optical / Microwave (&lt;5km)", "Starlink Business LEO Satellite Backhaul (&gt;5km)"))</f>
        <v/>
      </c>
      <c r="W1482" s="28" t="n">
        <v>0.07200000000000001</v>
      </c>
      <c r="X1482" s="14" t="n">
        <v>42.86</v>
      </c>
      <c r="Y1482" s="14">
        <f>ROUND(MIN(100, (X1482/69.91)*100), 2)</f>
        <v/>
      </c>
    </row>
    <row r="1483">
      <c r="A1483" s="10" t="n">
        <v>5</v>
      </c>
      <c r="B1483" s="10" t="n">
        <v>479</v>
      </c>
      <c r="C1483" s="10" t="n">
        <v>4479</v>
      </c>
      <c r="D1483" s="10" t="inlineStr">
        <is>
          <t>1606819009</t>
        </is>
      </c>
      <c r="E1483" s="26" t="inlineStr">
        <is>
          <t>Region XIII (Caraga)</t>
        </is>
      </c>
      <c r="F1483" s="26" t="inlineStr">
        <is>
          <t>Surigao del Sur</t>
        </is>
      </c>
      <c r="G1483" s="26" t="inlineStr">
        <is>
          <t>City of Tandag</t>
        </is>
      </c>
      <c r="H1483" s="26" t="inlineStr">
        <is>
          <t>Mabuhay</t>
        </is>
      </c>
      <c r="I1483" s="27" t="n">
        <v>17.105088</v>
      </c>
      <c r="J1483" s="27" t="n">
        <v>122.274258</v>
      </c>
      <c r="K1483" s="10" t="inlineStr">
        <is>
          <t>R</t>
        </is>
      </c>
      <c r="L1483" s="12" t="n">
        <v>821</v>
      </c>
      <c r="M1483" s="14" t="n">
        <v>4.1</v>
      </c>
      <c r="N1483" s="12">
        <f>ROUND(L1483/M1483, 0)</f>
        <v/>
      </c>
      <c r="O1483" s="12">
        <f>ROUND(N1483*'Methodology &amp; Assumptions'!$B$5, 0)</f>
        <v/>
      </c>
      <c r="P1483" s="10" t="inlineStr">
        <is>
          <t>Single Carrier (Band n50, 100MHz TDD)</t>
        </is>
      </c>
      <c r="Q1483" s="13">
        <f>ROUNDUP(O1483/'Methodology &amp; Assumptions'!$B$6, 0)</f>
        <v/>
      </c>
      <c r="R1483" s="13" t="n">
        <v>1</v>
      </c>
      <c r="S1483" s="14" t="n">
        <v>27.55</v>
      </c>
      <c r="T1483" s="14" t="n">
        <v>37.63</v>
      </c>
      <c r="U1483" s="26">
        <f>IF(X1483&gt;='Methodology &amp; Assumptions'!$B$7, "Tier 1 Critical GIDA (Score ≥ 50.0)", IF(X1483&gt;='Methodology &amp; Assumptions'!$B$8, "Tier 2 High GIDA (Score 40.0–49.9)", "Tier 3 Moderate GIDA (Score &lt; 40.0)"))</f>
        <v/>
      </c>
      <c r="V1483" s="26">
        <f>IF(S1483&lt;='Methodology &amp; Assumptions'!$B$10, "Direct Optical Drop (&lt;3km)", IF(S1483&lt;='Methodology &amp; Assumptions'!$B$9, "Near Optical / Microwave (&lt;5km)", "Starlink Business LEO Satellite Backhaul (&gt;5km)"))</f>
        <v/>
      </c>
      <c r="W1483" s="28" t="n">
        <v>0.174</v>
      </c>
      <c r="X1483" s="14" t="n">
        <v>42.85</v>
      </c>
      <c r="Y1483" s="14">
        <f>ROUND(MIN(100, (X1483/69.91)*100), 2)</f>
        <v/>
      </c>
    </row>
    <row r="1484">
      <c r="A1484" s="10" t="n">
        <v>5</v>
      </c>
      <c r="B1484" s="10" t="n">
        <v>480</v>
      </c>
      <c r="C1484" s="10" t="n">
        <v>4480</v>
      </c>
      <c r="D1484" s="10" t="inlineStr">
        <is>
          <t>PH0004480</t>
        </is>
      </c>
      <c r="E1484" s="26" t="inlineStr">
        <is>
          <t>II</t>
        </is>
      </c>
      <c r="F1484" s="26" t="inlineStr">
        <is>
          <t>Isabela</t>
        </is>
      </c>
      <c r="G1484" s="26" t="inlineStr">
        <is>
          <t>Ilagan City</t>
        </is>
      </c>
      <c r="H1484" s="26" t="inlineStr">
        <is>
          <t>Cabeseria 3</t>
        </is>
      </c>
      <c r="I1484" s="27" t="n">
        <v>17.05591</v>
      </c>
      <c r="J1484" s="27" t="n">
        <v>121.94955</v>
      </c>
      <c r="K1484" s="10" t="inlineStr">
        <is>
          <t>R</t>
        </is>
      </c>
      <c r="L1484" s="12" t="n">
        <v>2276</v>
      </c>
      <c r="M1484" s="14" t="n">
        <v>3.8</v>
      </c>
      <c r="N1484" s="12">
        <f>ROUND(L1484/M1484, 0)</f>
        <v/>
      </c>
      <c r="O1484" s="12">
        <f>ROUND(N1484*'Methodology &amp; Assumptions'!$B$5, 0)</f>
        <v/>
      </c>
      <c r="P1484" s="10" t="inlineStr">
        <is>
          <t>Single Carrier (Band n50, 100MHz TDD)</t>
        </is>
      </c>
      <c r="Q1484" s="13">
        <f>ROUNDUP(O1484/'Methodology &amp; Assumptions'!$B$6, 0)</f>
        <v/>
      </c>
      <c r="R1484" s="13" t="n">
        <v>1</v>
      </c>
      <c r="S1484" s="14" t="n">
        <v>4.3</v>
      </c>
      <c r="T1484" s="14" t="n">
        <v>8.51</v>
      </c>
      <c r="U1484" s="26">
        <f>IF(X1484&gt;='Methodology &amp; Assumptions'!$B$7, "Tier 1 Critical GIDA (Score ≥ 50.0)", IF(X1484&gt;='Methodology &amp; Assumptions'!$B$8, "Tier 2 High GIDA (Score 40.0–49.9)", "Tier 3 Moderate GIDA (Score &lt; 40.0)"))</f>
        <v/>
      </c>
      <c r="V1484" s="26">
        <f>IF(S1484&lt;='Methodology &amp; Assumptions'!$B$10, "Direct Optical Drop (&lt;3km)", IF(S1484&lt;='Methodology &amp; Assumptions'!$B$9, "Near Optical / Microwave (&lt;5km)", "Starlink Business LEO Satellite Backhaul (&gt;5km)"))</f>
        <v/>
      </c>
      <c r="W1484" s="28" t="n">
        <v>0.083</v>
      </c>
      <c r="X1484" s="14" t="n">
        <v>42.83</v>
      </c>
      <c r="Y1484" s="14">
        <f>ROUND(MIN(100, (X1484/69.91)*100), 2)</f>
        <v/>
      </c>
    </row>
    <row r="1485">
      <c r="A1485" s="10" t="n">
        <v>5</v>
      </c>
      <c r="B1485" s="10" t="n">
        <v>481</v>
      </c>
      <c r="C1485" s="10" t="n">
        <v>4481</v>
      </c>
      <c r="D1485" s="10" t="inlineStr">
        <is>
          <t>PH0004481</t>
        </is>
      </c>
      <c r="E1485" s="26" t="inlineStr">
        <is>
          <t>VIII</t>
        </is>
      </c>
      <c r="F1485" s="26" t="inlineStr">
        <is>
          <t>Leyte</t>
        </is>
      </c>
      <c r="G1485" s="26" t="inlineStr">
        <is>
          <t>Tacloban City</t>
        </is>
      </c>
      <c r="H1485" s="26" t="inlineStr">
        <is>
          <t>Barangay 60</t>
        </is>
      </c>
      <c r="I1485" s="27" t="n">
        <v>11.224302</v>
      </c>
      <c r="J1485" s="27" t="n">
        <v>124.895099</v>
      </c>
      <c r="K1485" s="10" t="inlineStr">
        <is>
          <t>R</t>
        </is>
      </c>
      <c r="L1485" s="12" t="n">
        <v>2258</v>
      </c>
      <c r="M1485" s="14" t="n">
        <v>3.8</v>
      </c>
      <c r="N1485" s="12">
        <f>ROUND(L1485/M1485, 0)</f>
        <v/>
      </c>
      <c r="O1485" s="12">
        <f>ROUND(N1485*'Methodology &amp; Assumptions'!$B$5, 0)</f>
        <v/>
      </c>
      <c r="P1485" s="10" t="inlineStr">
        <is>
          <t>Single Carrier (Band n50, 100MHz TDD)</t>
        </is>
      </c>
      <c r="Q1485" s="13">
        <f>ROUNDUP(O1485/'Methodology &amp; Assumptions'!$B$6, 0)</f>
        <v/>
      </c>
      <c r="R1485" s="13" t="n">
        <v>1</v>
      </c>
      <c r="S1485" s="14" t="n">
        <v>6.22</v>
      </c>
      <c r="T1485" s="14" t="n">
        <v>3.64</v>
      </c>
      <c r="U1485" s="26">
        <f>IF(X1485&gt;='Methodology &amp; Assumptions'!$B$7, "Tier 1 Critical GIDA (Score ≥ 50.0)", IF(X1485&gt;='Methodology &amp; Assumptions'!$B$8, "Tier 2 High GIDA (Score 40.0–49.9)", "Tier 3 Moderate GIDA (Score &lt; 40.0)"))</f>
        <v/>
      </c>
      <c r="V1485" s="26">
        <f>IF(S1485&lt;='Methodology &amp; Assumptions'!$B$10, "Direct Optical Drop (&lt;3km)", IF(S1485&lt;='Methodology &amp; Assumptions'!$B$9, "Near Optical / Microwave (&lt;5km)", "Starlink Business LEO Satellite Backhaul (&gt;5km)"))</f>
        <v/>
      </c>
      <c r="W1485" s="28" t="n">
        <v>0.222</v>
      </c>
      <c r="X1485" s="14" t="n">
        <v>42.83</v>
      </c>
      <c r="Y1485" s="14">
        <f>ROUND(MIN(100, (X1485/69.91)*100), 2)</f>
        <v/>
      </c>
    </row>
    <row r="1486">
      <c r="A1486" s="10" t="n">
        <v>5</v>
      </c>
      <c r="B1486" s="10" t="n">
        <v>482</v>
      </c>
      <c r="C1486" s="10" t="n">
        <v>4482</v>
      </c>
      <c r="D1486" s="10" t="inlineStr">
        <is>
          <t>PH0004482</t>
        </is>
      </c>
      <c r="E1486" s="26" t="inlineStr">
        <is>
          <t>XI</t>
        </is>
      </c>
      <c r="F1486" s="26" t="inlineStr">
        <is>
          <t>Davao Del Sur</t>
        </is>
      </c>
      <c r="G1486" s="26" t="inlineStr">
        <is>
          <t>Davao City</t>
        </is>
      </c>
      <c r="H1486" s="26" t="inlineStr">
        <is>
          <t>Barangay 1-A (Pob.)</t>
        </is>
      </c>
      <c r="I1486" s="27" t="n">
        <v>7.063723</v>
      </c>
      <c r="J1486" s="27" t="n">
        <v>125.607409</v>
      </c>
      <c r="K1486" s="10" t="inlineStr">
        <is>
          <t>R</t>
        </is>
      </c>
      <c r="L1486" s="12" t="n">
        <v>2280</v>
      </c>
      <c r="M1486" s="14" t="n">
        <v>3.4</v>
      </c>
      <c r="N1486" s="12">
        <f>ROUND(L1486/M1486, 0)</f>
        <v/>
      </c>
      <c r="O1486" s="12">
        <f>ROUND(N1486*'Methodology &amp; Assumptions'!$B$5, 0)</f>
        <v/>
      </c>
      <c r="P1486" s="10" t="inlineStr">
        <is>
          <t>Single Carrier (Band n50, 100MHz TDD)</t>
        </is>
      </c>
      <c r="Q1486" s="13">
        <f>ROUNDUP(O1486/'Methodology &amp; Assumptions'!$B$6, 0)</f>
        <v/>
      </c>
      <c r="R1486" s="13" t="n">
        <v>1</v>
      </c>
      <c r="S1486" s="14" t="n">
        <v>0.75</v>
      </c>
      <c r="T1486" s="14" t="n">
        <v>0.4</v>
      </c>
      <c r="U1486" s="26">
        <f>IF(X1486&gt;='Methodology &amp; Assumptions'!$B$7, "Tier 1 Critical GIDA (Score ≥ 50.0)", IF(X1486&gt;='Methodology &amp; Assumptions'!$B$8, "Tier 2 High GIDA (Score 40.0–49.9)", "Tier 3 Moderate GIDA (Score &lt; 40.0)"))</f>
        <v/>
      </c>
      <c r="V1486" s="26">
        <f>IF(S1486&lt;='Methodology &amp; Assumptions'!$B$10, "Direct Optical Drop (&lt;3km)", IF(S1486&lt;='Methodology &amp; Assumptions'!$B$9, "Near Optical / Microwave (&lt;5km)", "Starlink Business LEO Satellite Backhaul (&gt;5km)"))</f>
        <v/>
      </c>
      <c r="W1486" s="28" t="n">
        <v>0.119</v>
      </c>
      <c r="X1486" s="14" t="n">
        <v>42.83</v>
      </c>
      <c r="Y1486" s="14">
        <f>ROUND(MIN(100, (X1486/69.91)*100), 2)</f>
        <v/>
      </c>
    </row>
    <row r="1487">
      <c r="A1487" s="10" t="n">
        <v>5</v>
      </c>
      <c r="B1487" s="10" t="n">
        <v>483</v>
      </c>
      <c r="C1487" s="10" t="n">
        <v>4483</v>
      </c>
      <c r="D1487" s="10" t="inlineStr">
        <is>
          <t>PH0004483</t>
        </is>
      </c>
      <c r="E1487" s="26" t="inlineStr">
        <is>
          <t>CAR</t>
        </is>
      </c>
      <c r="F1487" s="26" t="inlineStr">
        <is>
          <t>Benguet</t>
        </is>
      </c>
      <c r="G1487" s="26" t="inlineStr">
        <is>
          <t>Baguio City</t>
        </is>
      </c>
      <c r="H1487" s="26" t="inlineStr">
        <is>
          <t>Santa Escolastica</t>
        </is>
      </c>
      <c r="I1487" s="27" t="n">
        <v>16.322394</v>
      </c>
      <c r="J1487" s="27" t="n">
        <v>120.626279</v>
      </c>
      <c r="K1487" s="10" t="inlineStr">
        <is>
          <t>R</t>
        </is>
      </c>
      <c r="L1487" s="12" t="n">
        <v>2260</v>
      </c>
      <c r="M1487" s="14" t="n">
        <v>3.5</v>
      </c>
      <c r="N1487" s="12">
        <f>ROUND(L1487/M1487, 0)</f>
        <v/>
      </c>
      <c r="O1487" s="12">
        <f>ROUND(N1487*'Methodology &amp; Assumptions'!$B$5, 0)</f>
        <v/>
      </c>
      <c r="P1487" s="10" t="inlineStr">
        <is>
          <t>Single Carrier (Band n50, 100MHz TDD)</t>
        </is>
      </c>
      <c r="Q1487" s="13">
        <f>ROUNDUP(O1487/'Methodology &amp; Assumptions'!$B$6, 0)</f>
        <v/>
      </c>
      <c r="R1487" s="13" t="n">
        <v>1</v>
      </c>
      <c r="S1487" s="14" t="n">
        <v>1.86</v>
      </c>
      <c r="T1487" s="14" t="n">
        <v>9.16</v>
      </c>
      <c r="U1487" s="26">
        <f>IF(X1487&gt;='Methodology &amp; Assumptions'!$B$7, "Tier 1 Critical GIDA (Score ≥ 50.0)", IF(X1487&gt;='Methodology &amp; Assumptions'!$B$8, "Tier 2 High GIDA (Score 40.0–49.9)", "Tier 3 Moderate GIDA (Score &lt; 40.0)"))</f>
        <v/>
      </c>
      <c r="V1487" s="26">
        <f>IF(S1487&lt;='Methodology &amp; Assumptions'!$B$10, "Direct Optical Drop (&lt;3km)", IF(S1487&lt;='Methodology &amp; Assumptions'!$B$9, "Near Optical / Microwave (&lt;5km)", "Starlink Business LEO Satellite Backhaul (&gt;5km)"))</f>
        <v/>
      </c>
      <c r="W1487" s="28" t="n">
        <v>0.221</v>
      </c>
      <c r="X1487" s="14" t="n">
        <v>42.82</v>
      </c>
      <c r="Y1487" s="14">
        <f>ROUND(MIN(100, (X1487/69.91)*100), 2)</f>
        <v/>
      </c>
    </row>
    <row r="1488">
      <c r="A1488" s="10" t="n">
        <v>5</v>
      </c>
      <c r="B1488" s="10" t="n">
        <v>484</v>
      </c>
      <c r="C1488" s="10" t="n">
        <v>4484</v>
      </c>
      <c r="D1488" s="10" t="inlineStr">
        <is>
          <t>0405631009</t>
        </is>
      </c>
      <c r="E1488" s="26" t="inlineStr">
        <is>
          <t>Region IV-A (CALABARZON)</t>
        </is>
      </c>
      <c r="F1488" s="26" t="inlineStr">
        <is>
          <t>Quezon</t>
        </is>
      </c>
      <c r="G1488" s="26" t="inlineStr">
        <is>
          <t>Panukulan</t>
        </is>
      </c>
      <c r="H1488" s="26" t="inlineStr">
        <is>
          <t>Milawid</t>
        </is>
      </c>
      <c r="I1488" s="27" t="n">
        <v>14.927453</v>
      </c>
      <c r="J1488" s="27" t="n">
        <v>121.844656</v>
      </c>
      <c r="K1488" s="10" t="inlineStr">
        <is>
          <t>R</t>
        </is>
      </c>
      <c r="L1488" s="12" t="n">
        <v>741</v>
      </c>
      <c r="M1488" s="14" t="n">
        <v>3.8</v>
      </c>
      <c r="N1488" s="12">
        <f>ROUND(L1488/M1488, 0)</f>
        <v/>
      </c>
      <c r="O1488" s="12">
        <f>ROUND(N1488*'Methodology &amp; Assumptions'!$B$5, 0)</f>
        <v/>
      </c>
      <c r="P1488" s="10" t="inlineStr">
        <is>
          <t>Single Carrier (Band n50, 100MHz TDD)</t>
        </is>
      </c>
      <c r="Q1488" s="13">
        <f>ROUNDUP(O1488/'Methodology &amp; Assumptions'!$B$6, 0)</f>
        <v/>
      </c>
      <c r="R1488" s="13" t="n">
        <v>1</v>
      </c>
      <c r="S1488" s="14" t="n">
        <v>27.28</v>
      </c>
      <c r="T1488" s="14" t="n">
        <v>68.95999999999999</v>
      </c>
      <c r="U1488" s="26">
        <f>IF(X1488&gt;='Methodology &amp; Assumptions'!$B$7, "Tier 1 Critical GIDA (Score ≥ 50.0)", IF(X1488&gt;='Methodology &amp; Assumptions'!$B$8, "Tier 2 High GIDA (Score 40.0–49.9)", "Tier 3 Moderate GIDA (Score &lt; 40.0)"))</f>
        <v/>
      </c>
      <c r="V1488" s="26">
        <f>IF(S1488&lt;='Methodology &amp; Assumptions'!$B$10, "Direct Optical Drop (&lt;3km)", IF(S1488&lt;='Methodology &amp; Assumptions'!$B$9, "Near Optical / Microwave (&lt;5km)", "Starlink Business LEO Satellite Backhaul (&gt;5km)"))</f>
        <v/>
      </c>
      <c r="W1488" s="28" t="n">
        <v>0.07200000000000001</v>
      </c>
      <c r="X1488" s="14" t="n">
        <v>42.82</v>
      </c>
      <c r="Y1488" s="14">
        <f>ROUND(MIN(100, (X1488/69.91)*100), 2)</f>
        <v/>
      </c>
    </row>
    <row r="1489">
      <c r="A1489" s="10" t="n">
        <v>5</v>
      </c>
      <c r="B1489" s="10" t="n">
        <v>485</v>
      </c>
      <c r="C1489" s="10" t="n">
        <v>4485</v>
      </c>
      <c r="D1489" s="10" t="inlineStr">
        <is>
          <t>0502010014</t>
        </is>
      </c>
      <c r="E1489" s="26" t="inlineStr">
        <is>
          <t>Region V (Bicol Region)</t>
        </is>
      </c>
      <c r="F1489" s="26" t="inlineStr">
        <is>
          <t>Catanduanes</t>
        </is>
      </c>
      <c r="G1489" s="26" t="inlineStr">
        <is>
          <t>Viga</t>
        </is>
      </c>
      <c r="H1489" s="26" t="inlineStr">
        <is>
          <t>Pedro Vera</t>
        </is>
      </c>
      <c r="I1489" s="27" t="n">
        <v>13.810758</v>
      </c>
      <c r="J1489" s="27" t="n">
        <v>124.263659</v>
      </c>
      <c r="K1489" s="10" t="inlineStr">
        <is>
          <t>R</t>
        </is>
      </c>
      <c r="L1489" s="12" t="n">
        <v>1577</v>
      </c>
      <c r="M1489" s="14" t="n">
        <v>4.2</v>
      </c>
      <c r="N1489" s="12">
        <f>ROUND(L1489/M1489, 0)</f>
        <v/>
      </c>
      <c r="O1489" s="12">
        <f>ROUND(N1489*'Methodology &amp; Assumptions'!$B$5, 0)</f>
        <v/>
      </c>
      <c r="P1489" s="10" t="inlineStr">
        <is>
          <t>Single Carrier (Band n50, 100MHz TDD)</t>
        </is>
      </c>
      <c r="Q1489" s="13">
        <f>ROUNDUP(O1489/'Methodology &amp; Assumptions'!$B$6, 0)</f>
        <v/>
      </c>
      <c r="R1489" s="13" t="n">
        <v>1</v>
      </c>
      <c r="S1489" s="14" t="n">
        <v>43.41</v>
      </c>
      <c r="T1489" s="14" t="n">
        <v>73.97</v>
      </c>
      <c r="U1489" s="26">
        <f>IF(X1489&gt;='Methodology &amp; Assumptions'!$B$7, "Tier 1 Critical GIDA (Score ≥ 50.0)", IF(X1489&gt;='Methodology &amp; Assumptions'!$B$8, "Tier 2 High GIDA (Score 40.0–49.9)", "Tier 3 Moderate GIDA (Score &lt; 40.0)"))</f>
        <v/>
      </c>
      <c r="V1489" s="26">
        <f>IF(S1489&lt;='Methodology &amp; Assumptions'!$B$10, "Direct Optical Drop (&lt;3km)", IF(S1489&lt;='Methodology &amp; Assumptions'!$B$9, "Near Optical / Microwave (&lt;5km)", "Starlink Business LEO Satellite Backhaul (&gt;5km)"))</f>
        <v/>
      </c>
      <c r="W1489" s="28" t="n">
        <v>0.237</v>
      </c>
      <c r="X1489" s="14" t="n">
        <v>42.81</v>
      </c>
      <c r="Y1489" s="14">
        <f>ROUND(MIN(100, (X1489/69.91)*100), 2)</f>
        <v/>
      </c>
    </row>
    <row r="1490">
      <c r="A1490" s="10" t="n">
        <v>5</v>
      </c>
      <c r="B1490" s="10" t="n">
        <v>486</v>
      </c>
      <c r="C1490" s="10" t="n">
        <v>4486</v>
      </c>
      <c r="D1490" s="10" t="inlineStr">
        <is>
          <t>PH0004486</t>
        </is>
      </c>
      <c r="E1490" s="26" t="inlineStr">
        <is>
          <t>IV-A</t>
        </is>
      </c>
      <c r="F1490" s="26" t="inlineStr">
        <is>
          <t>Cavite</t>
        </is>
      </c>
      <c r="G1490" s="26" t="inlineStr">
        <is>
          <t>Cavite City</t>
        </is>
      </c>
      <c r="H1490" s="26" t="inlineStr">
        <is>
          <t>Barangay 58-A</t>
        </is>
      </c>
      <c r="I1490" s="27" t="n">
        <v>14.511128</v>
      </c>
      <c r="J1490" s="27" t="n">
        <v>120.901159</v>
      </c>
      <c r="K1490" s="10" t="inlineStr">
        <is>
          <t>R</t>
        </is>
      </c>
      <c r="L1490" s="12" t="n">
        <v>2316</v>
      </c>
      <c r="M1490" s="14" t="n">
        <v>3.4</v>
      </c>
      <c r="N1490" s="12">
        <f>ROUND(L1490/M1490, 0)</f>
        <v/>
      </c>
      <c r="O1490" s="12">
        <f>ROUND(N1490*'Methodology &amp; Assumptions'!$B$5, 0)</f>
        <v/>
      </c>
      <c r="P1490" s="10" t="inlineStr">
        <is>
          <t>Single Carrier (Band n50, 100MHz TDD)</t>
        </is>
      </c>
      <c r="Q1490" s="13">
        <f>ROUNDUP(O1490/'Methodology &amp; Assumptions'!$B$6, 0)</f>
        <v/>
      </c>
      <c r="R1490" s="13" t="n">
        <v>1</v>
      </c>
      <c r="S1490" s="14" t="n">
        <v>4.3</v>
      </c>
      <c r="T1490" s="14" t="n">
        <v>7.21</v>
      </c>
      <c r="U1490" s="26">
        <f>IF(X1490&gt;='Methodology &amp; Assumptions'!$B$7, "Tier 1 Critical GIDA (Score ≥ 50.0)", IF(X1490&gt;='Methodology &amp; Assumptions'!$B$8, "Tier 2 High GIDA (Score 40.0–49.9)", "Tier 3 Moderate GIDA (Score &lt; 40.0)"))</f>
        <v/>
      </c>
      <c r="V1490" s="26">
        <f>IF(S1490&lt;='Methodology &amp; Assumptions'!$B$10, "Direct Optical Drop (&lt;3km)", IF(S1490&lt;='Methodology &amp; Assumptions'!$B$9, "Near Optical / Microwave (&lt;5km)", "Starlink Business LEO Satellite Backhaul (&gt;5km)"))</f>
        <v/>
      </c>
      <c r="W1490" s="28" t="n">
        <v>0.07200000000000001</v>
      </c>
      <c r="X1490" s="14" t="n">
        <v>42.81</v>
      </c>
      <c r="Y1490" s="14">
        <f>ROUND(MIN(100, (X1490/69.91)*100), 2)</f>
        <v/>
      </c>
    </row>
    <row r="1491">
      <c r="A1491" s="10" t="n">
        <v>5</v>
      </c>
      <c r="B1491" s="10" t="n">
        <v>487</v>
      </c>
      <c r="C1491" s="10" t="n">
        <v>4487</v>
      </c>
      <c r="D1491" s="10" t="inlineStr">
        <is>
          <t>0908310014</t>
        </is>
      </c>
      <c r="E1491" s="26" t="inlineStr">
        <is>
          <t>Region IX (Zamboanga Peninsula)</t>
        </is>
      </c>
      <c r="F1491" s="26" t="inlineStr">
        <is>
          <t>Zamboanga Sibugay</t>
        </is>
      </c>
      <c r="G1491" s="26" t="inlineStr">
        <is>
          <t>Olutanga</t>
        </is>
      </c>
      <c r="H1491" s="26" t="inlineStr">
        <is>
          <t>Matim</t>
        </is>
      </c>
      <c r="I1491" s="27" t="n">
        <v>7.318852</v>
      </c>
      <c r="J1491" s="27" t="n">
        <v>122.853799</v>
      </c>
      <c r="K1491" s="10" t="inlineStr">
        <is>
          <t>R</t>
        </is>
      </c>
      <c r="L1491" s="12" t="n">
        <v>1033</v>
      </c>
      <c r="M1491" s="14" t="n">
        <v>4.2</v>
      </c>
      <c r="N1491" s="12">
        <f>ROUND(L1491/M1491, 0)</f>
        <v/>
      </c>
      <c r="O1491" s="12">
        <f>ROUND(N1491*'Methodology &amp; Assumptions'!$B$5, 0)</f>
        <v/>
      </c>
      <c r="P1491" s="10" t="inlineStr">
        <is>
          <t>Single Carrier (Band n50, 100MHz TDD)</t>
        </is>
      </c>
      <c r="Q1491" s="13">
        <f>ROUNDUP(O1491/'Methodology &amp; Assumptions'!$B$6, 0)</f>
        <v/>
      </c>
      <c r="R1491" s="13" t="n">
        <v>1</v>
      </c>
      <c r="S1491" s="14" t="n">
        <v>50.8</v>
      </c>
      <c r="T1491" s="14" t="n">
        <v>37.04</v>
      </c>
      <c r="U1491" s="26">
        <f>IF(X1491&gt;='Methodology &amp; Assumptions'!$B$7, "Tier 1 Critical GIDA (Score ≥ 50.0)", IF(X1491&gt;='Methodology &amp; Assumptions'!$B$8, "Tier 2 High GIDA (Score 40.0–49.9)", "Tier 3 Moderate GIDA (Score &lt; 40.0)"))</f>
        <v/>
      </c>
      <c r="V1491" s="26">
        <f>IF(S1491&lt;='Methodology &amp; Assumptions'!$B$10, "Direct Optical Drop (&lt;3km)", IF(S1491&lt;='Methodology &amp; Assumptions'!$B$9, "Near Optical / Microwave (&lt;5km)", "Starlink Business LEO Satellite Backhaul (&gt;5km)"))</f>
        <v/>
      </c>
      <c r="W1491" s="28" t="n">
        <v>0.11</v>
      </c>
      <c r="X1491" s="14" t="n">
        <v>42.81</v>
      </c>
      <c r="Y1491" s="14">
        <f>ROUND(MIN(100, (X1491/69.91)*100), 2)</f>
        <v/>
      </c>
    </row>
    <row r="1492">
      <c r="A1492" s="10" t="n">
        <v>5</v>
      </c>
      <c r="B1492" s="10" t="n">
        <v>488</v>
      </c>
      <c r="C1492" s="10" t="n">
        <v>4488</v>
      </c>
      <c r="D1492" s="10" t="inlineStr">
        <is>
          <t>1907005012</t>
        </is>
      </c>
      <c r="E1492" s="26" t="inlineStr">
        <is>
          <t>Bangsamoro Autonomous Region In Muslim Mindanao (BARMM)</t>
        </is>
      </c>
      <c r="F1492" s="26" t="inlineStr">
        <is>
          <t>Tawi-Tawi</t>
        </is>
      </c>
      <c r="G1492" s="26" t="inlineStr">
        <is>
          <t>Sitangkai</t>
        </is>
      </c>
      <c r="H1492" s="26" t="inlineStr">
        <is>
          <t>Tongusong</t>
        </is>
      </c>
      <c r="I1492" s="27" t="n">
        <v>17.25583</v>
      </c>
      <c r="J1492" s="27" t="n">
        <v>122.229874</v>
      </c>
      <c r="K1492" s="10" t="inlineStr">
        <is>
          <t>R</t>
        </is>
      </c>
      <c r="L1492" s="12" t="n">
        <v>3615</v>
      </c>
      <c r="M1492" s="14" t="n">
        <v>5.8</v>
      </c>
      <c r="N1492" s="12">
        <f>ROUND(L1492/M1492, 0)</f>
        <v/>
      </c>
      <c r="O1492" s="12">
        <f>ROUND(N1492*'Methodology &amp; Assumptions'!$B$5, 0)</f>
        <v/>
      </c>
      <c r="P1492" s="10" t="inlineStr">
        <is>
          <t>Single Carrier (Band n50, 100MHz TDD)</t>
        </is>
      </c>
      <c r="Q1492" s="13">
        <f>ROUNDUP(O1492/'Methodology &amp; Assumptions'!$B$6, 0)</f>
        <v/>
      </c>
      <c r="R1492" s="13" t="n">
        <v>1</v>
      </c>
      <c r="S1492" s="14" t="n">
        <v>29.57</v>
      </c>
      <c r="T1492" s="14" t="n">
        <v>34.43</v>
      </c>
      <c r="U1492" s="26">
        <f>IF(X1492&gt;='Methodology &amp; Assumptions'!$B$7, "Tier 1 Critical GIDA (Score ≥ 50.0)", IF(X1492&gt;='Methodology &amp; Assumptions'!$B$8, "Tier 2 High GIDA (Score 40.0–49.9)", "Tier 3 Moderate GIDA (Score &lt; 40.0)"))</f>
        <v/>
      </c>
      <c r="V1492" s="26">
        <f>IF(S1492&lt;='Methodology &amp; Assumptions'!$B$10, "Direct Optical Drop (&lt;3km)", IF(S1492&lt;='Methodology &amp; Assumptions'!$B$9, "Near Optical / Microwave (&lt;5km)", "Starlink Business LEO Satellite Backhaul (&gt;5km)"))</f>
        <v/>
      </c>
      <c r="W1492" s="28" t="n">
        <v>0.11</v>
      </c>
      <c r="X1492" s="14" t="n">
        <v>42.81</v>
      </c>
      <c r="Y1492" s="14">
        <f>ROUND(MIN(100, (X1492/69.91)*100), 2)</f>
        <v/>
      </c>
    </row>
    <row r="1493">
      <c r="A1493" s="10" t="n">
        <v>5</v>
      </c>
      <c r="B1493" s="10" t="n">
        <v>489</v>
      </c>
      <c r="C1493" s="10" t="n">
        <v>4489</v>
      </c>
      <c r="D1493" s="10" t="inlineStr">
        <is>
          <t>PH0004489</t>
        </is>
      </c>
      <c r="E1493" s="26" t="inlineStr">
        <is>
          <t>VII</t>
        </is>
      </c>
      <c r="F1493" s="26" t="inlineStr">
        <is>
          <t>Cebu</t>
        </is>
      </c>
      <c r="G1493" s="26" t="inlineStr">
        <is>
          <t>Cebu City</t>
        </is>
      </c>
      <c r="H1493" s="26" t="inlineStr">
        <is>
          <t>Pahina Central (Pob.)</t>
        </is>
      </c>
      <c r="I1493" s="27" t="n">
        <v>10.297565</v>
      </c>
      <c r="J1493" s="27" t="n">
        <v>123.892375</v>
      </c>
      <c r="K1493" s="10" t="inlineStr">
        <is>
          <t>R</t>
        </is>
      </c>
      <c r="L1493" s="12" t="n">
        <v>2250</v>
      </c>
      <c r="M1493" s="14" t="n">
        <v>3.8</v>
      </c>
      <c r="N1493" s="12">
        <f>ROUND(L1493/M1493, 0)</f>
        <v/>
      </c>
      <c r="O1493" s="12">
        <f>ROUND(N1493*'Methodology &amp; Assumptions'!$B$5, 0)</f>
        <v/>
      </c>
      <c r="P1493" s="10" t="inlineStr">
        <is>
          <t>Single Carrier (Band n50, 100MHz TDD)</t>
        </is>
      </c>
      <c r="Q1493" s="13">
        <f>ROUNDUP(O1493/'Methodology &amp; Assumptions'!$B$6, 0)</f>
        <v/>
      </c>
      <c r="R1493" s="13" t="n">
        <v>1</v>
      </c>
      <c r="S1493" s="14" t="n">
        <v>0.8100000000000001</v>
      </c>
      <c r="T1493" s="14" t="n">
        <v>0.11</v>
      </c>
      <c r="U1493" s="26">
        <f>IF(X1493&gt;='Methodology &amp; Assumptions'!$B$7, "Tier 1 Critical GIDA (Score ≥ 50.0)", IF(X1493&gt;='Methodology &amp; Assumptions'!$B$8, "Tier 2 High GIDA (Score 40.0–49.9)", "Tier 3 Moderate GIDA (Score &lt; 40.0)"))</f>
        <v/>
      </c>
      <c r="V1493" s="26">
        <f>IF(S1493&lt;='Methodology &amp; Assumptions'!$B$10, "Direct Optical Drop (&lt;3km)", IF(S1493&lt;='Methodology &amp; Assumptions'!$B$9, "Near Optical / Microwave (&lt;5km)", "Starlink Business LEO Satellite Backhaul (&gt;5km)"))</f>
        <v/>
      </c>
      <c r="W1493" s="28" t="n">
        <v>0.21</v>
      </c>
      <c r="X1493" s="14" t="n">
        <v>42.81</v>
      </c>
      <c r="Y1493" s="14">
        <f>ROUND(MIN(100, (X1493/69.91)*100), 2)</f>
        <v/>
      </c>
    </row>
    <row r="1494">
      <c r="A1494" s="10" t="n">
        <v>5</v>
      </c>
      <c r="B1494" s="10" t="n">
        <v>490</v>
      </c>
      <c r="C1494" s="10" t="n">
        <v>4490</v>
      </c>
      <c r="D1494" s="10" t="inlineStr">
        <is>
          <t>0102805030</t>
        </is>
      </c>
      <c r="E1494" s="26" t="inlineStr">
        <is>
          <t>Region I (Ilocos Region)</t>
        </is>
      </c>
      <c r="F1494" s="26" t="inlineStr">
        <is>
          <t>Ilocos Norte</t>
        </is>
      </c>
      <c r="G1494" s="26" t="inlineStr">
        <is>
          <t>City of Batac</t>
        </is>
      </c>
      <c r="H1494" s="26" t="inlineStr">
        <is>
          <t>Ricarte Pob.</t>
        </is>
      </c>
      <c r="I1494" s="27" t="n">
        <v>18.05693</v>
      </c>
      <c r="J1494" s="27" t="n">
        <v>120.58325</v>
      </c>
      <c r="K1494" s="10" t="inlineStr">
        <is>
          <t>U</t>
        </is>
      </c>
      <c r="L1494" s="12" t="n">
        <v>777</v>
      </c>
      <c r="M1494" s="14" t="n">
        <v>3.7</v>
      </c>
      <c r="N1494" s="12">
        <f>ROUND(L1494/M1494, 0)</f>
        <v/>
      </c>
      <c r="O1494" s="12">
        <f>ROUND(N1494*'Methodology &amp; Assumptions'!$B$5, 0)</f>
        <v/>
      </c>
      <c r="P1494" s="10" t="inlineStr">
        <is>
          <t>Single Carrier (Band n50, 100MHz TDD)</t>
        </is>
      </c>
      <c r="Q1494" s="13">
        <f>ROUNDUP(O1494/'Methodology &amp; Assumptions'!$B$6, 0)</f>
        <v/>
      </c>
      <c r="R1494" s="13" t="n">
        <v>1</v>
      </c>
      <c r="S1494" s="14" t="n">
        <v>3.28</v>
      </c>
      <c r="T1494" s="14" t="n">
        <v>2.59</v>
      </c>
      <c r="U1494" s="26">
        <f>IF(X1494&gt;='Methodology &amp; Assumptions'!$B$7, "Tier 1 Critical GIDA (Score ≥ 50.0)", IF(X1494&gt;='Methodology &amp; Assumptions'!$B$8, "Tier 2 High GIDA (Score 40.0–49.9)", "Tier 3 Moderate GIDA (Score &lt; 40.0)"))</f>
        <v/>
      </c>
      <c r="V1494" s="26">
        <f>IF(S1494&lt;='Methodology &amp; Assumptions'!$B$10, "Direct Optical Drop (&lt;3km)", IF(S1494&lt;='Methodology &amp; Assumptions'!$B$9, "Near Optical / Microwave (&lt;5km)", "Starlink Business LEO Satellite Backhaul (&gt;5km)"))</f>
        <v/>
      </c>
      <c r="W1494" s="28" t="n">
        <v>0.083</v>
      </c>
      <c r="X1494" s="14" t="n">
        <v>42.79</v>
      </c>
      <c r="Y1494" s="14">
        <f>ROUND(MIN(100, (X1494/69.91)*100), 2)</f>
        <v/>
      </c>
    </row>
    <row r="1495">
      <c r="A1495" s="10" t="n">
        <v>5</v>
      </c>
      <c r="B1495" s="10" t="n">
        <v>491</v>
      </c>
      <c r="C1495" s="10" t="n">
        <v>4491</v>
      </c>
      <c r="D1495" s="10" t="inlineStr">
        <is>
          <t>0806015015</t>
        </is>
      </c>
      <c r="E1495" s="26" t="inlineStr">
        <is>
          <t>Region VIII (Eastern Visayas)</t>
        </is>
      </c>
      <c r="F1495" s="26" t="inlineStr">
        <is>
          <t>Samar</t>
        </is>
      </c>
      <c r="G1495" s="26" t="inlineStr">
        <is>
          <t>San Sebastian</t>
        </is>
      </c>
      <c r="H1495" s="26" t="inlineStr">
        <is>
          <t>Hita-asan II</t>
        </is>
      </c>
      <c r="I1495" s="27" t="n">
        <v>11.688372</v>
      </c>
      <c r="J1495" s="27" t="n">
        <v>125.030163</v>
      </c>
      <c r="K1495" s="10" t="inlineStr">
        <is>
          <t>R</t>
        </is>
      </c>
      <c r="L1495" s="12" t="n">
        <v>421</v>
      </c>
      <c r="M1495" s="14" t="n">
        <v>4.1</v>
      </c>
      <c r="N1495" s="12">
        <f>ROUND(L1495/M1495, 0)</f>
        <v/>
      </c>
      <c r="O1495" s="12">
        <f>ROUND(N1495*'Methodology &amp; Assumptions'!$B$5, 0)</f>
        <v/>
      </c>
      <c r="P1495" s="10" t="inlineStr">
        <is>
          <t>Single Carrier (Band n50, 100MHz TDD)</t>
        </is>
      </c>
      <c r="Q1495" s="13">
        <f>ROUNDUP(O1495/'Methodology &amp; Assumptions'!$B$6, 0)</f>
        <v/>
      </c>
      <c r="R1495" s="13" t="n">
        <v>1</v>
      </c>
      <c r="S1495" s="14" t="n">
        <v>49.99</v>
      </c>
      <c r="T1495" s="14" t="n">
        <v>52.97</v>
      </c>
      <c r="U1495" s="26">
        <f>IF(X1495&gt;='Methodology &amp; Assumptions'!$B$7, "Tier 1 Critical GIDA (Score ≥ 50.0)", IF(X1495&gt;='Methodology &amp; Assumptions'!$B$8, "Tier 2 High GIDA (Score 40.0–49.9)", "Tier 3 Moderate GIDA (Score &lt; 40.0)"))</f>
        <v/>
      </c>
      <c r="V1495" s="26">
        <f>IF(S1495&lt;='Methodology &amp; Assumptions'!$B$10, "Direct Optical Drop (&lt;3km)", IF(S1495&lt;='Methodology &amp; Assumptions'!$B$9, "Near Optical / Microwave (&lt;5km)", "Starlink Business LEO Satellite Backhaul (&gt;5km)"))</f>
        <v/>
      </c>
      <c r="W1495" s="28" t="n">
        <v>0.237</v>
      </c>
      <c r="X1495" s="14" t="n">
        <v>42.79</v>
      </c>
      <c r="Y1495" s="14">
        <f>ROUND(MIN(100, (X1495/69.91)*100), 2)</f>
        <v/>
      </c>
    </row>
    <row r="1496">
      <c r="A1496" s="10" t="n">
        <v>5</v>
      </c>
      <c r="B1496" s="10" t="n">
        <v>492</v>
      </c>
      <c r="C1496" s="10" t="n">
        <v>4492</v>
      </c>
      <c r="D1496" s="10" t="inlineStr">
        <is>
          <t>1907005010</t>
        </is>
      </c>
      <c r="E1496" s="26" t="inlineStr">
        <is>
          <t>Bangsamoro Autonomous Region In Muslim Mindanao (BARMM)</t>
        </is>
      </c>
      <c r="F1496" s="26" t="inlineStr">
        <is>
          <t>Tawi-Tawi</t>
        </is>
      </c>
      <c r="G1496" s="26" t="inlineStr">
        <is>
          <t>Sitangkai</t>
        </is>
      </c>
      <c r="H1496" s="26" t="inlineStr">
        <is>
          <t>Tongmageng</t>
        </is>
      </c>
      <c r="I1496" s="27" t="n">
        <v>17.255829</v>
      </c>
      <c r="J1496" s="27" t="n">
        <v>122.229873</v>
      </c>
      <c r="K1496" s="10" t="inlineStr">
        <is>
          <t>R</t>
        </is>
      </c>
      <c r="L1496" s="12" t="n">
        <v>2639</v>
      </c>
      <c r="M1496" s="14" t="n">
        <v>5.8</v>
      </c>
      <c r="N1496" s="12">
        <f>ROUND(L1496/M1496, 0)</f>
        <v/>
      </c>
      <c r="O1496" s="12">
        <f>ROUND(N1496*'Methodology &amp; Assumptions'!$B$5, 0)</f>
        <v/>
      </c>
      <c r="P1496" s="10" t="inlineStr">
        <is>
          <t>Single Carrier (Band n50, 100MHz TDD)</t>
        </is>
      </c>
      <c r="Q1496" s="13">
        <f>ROUNDUP(O1496/'Methodology &amp; Assumptions'!$B$6, 0)</f>
        <v/>
      </c>
      <c r="R1496" s="13" t="n">
        <v>1</v>
      </c>
      <c r="S1496" s="14" t="n">
        <v>29.57</v>
      </c>
      <c r="T1496" s="14" t="n">
        <v>34.43</v>
      </c>
      <c r="U1496" s="26">
        <f>IF(X1496&gt;='Methodology &amp; Assumptions'!$B$7, "Tier 1 Critical GIDA (Score ≥ 50.0)", IF(X1496&gt;='Methodology &amp; Assumptions'!$B$8, "Tier 2 High GIDA (Score 40.0–49.9)", "Tier 3 Moderate GIDA (Score &lt; 40.0)"))</f>
        <v/>
      </c>
      <c r="V1496" s="26">
        <f>IF(S1496&lt;='Methodology &amp; Assumptions'!$B$10, "Direct Optical Drop (&lt;3km)", IF(S1496&lt;='Methodology &amp; Assumptions'!$B$9, "Near Optical / Microwave (&lt;5km)", "Starlink Business LEO Satellite Backhaul (&gt;5km)"))</f>
        <v/>
      </c>
      <c r="W1496" s="28" t="n">
        <v>0.11</v>
      </c>
      <c r="X1496" s="14" t="n">
        <v>42.78</v>
      </c>
      <c r="Y1496" s="14">
        <f>ROUND(MIN(100, (X1496/69.91)*100), 2)</f>
        <v/>
      </c>
    </row>
    <row r="1497">
      <c r="A1497" s="10" t="n">
        <v>5</v>
      </c>
      <c r="B1497" s="10" t="n">
        <v>493</v>
      </c>
      <c r="C1497" s="10" t="n">
        <v>4493</v>
      </c>
      <c r="D1497" s="10" t="inlineStr">
        <is>
          <t>0300809018</t>
        </is>
      </c>
      <c r="E1497" s="26" t="inlineStr">
        <is>
          <t>Region III (Central Luzon)</t>
        </is>
      </c>
      <c r="F1497" s="26" t="inlineStr">
        <is>
          <t>Bataan</t>
        </is>
      </c>
      <c r="G1497" s="26" t="inlineStr">
        <is>
          <t>Orani</t>
        </is>
      </c>
      <c r="H1497" s="26" t="inlineStr">
        <is>
          <t>Silahis</t>
        </is>
      </c>
      <c r="I1497" s="27" t="n">
        <v>14.801132</v>
      </c>
      <c r="J1497" s="27" t="n">
        <v>120.512885</v>
      </c>
      <c r="K1497" s="10" t="inlineStr">
        <is>
          <t>R</t>
        </is>
      </c>
      <c r="L1497" s="12" t="n">
        <v>609</v>
      </c>
      <c r="M1497" s="14" t="n">
        <v>3.6</v>
      </c>
      <c r="N1497" s="12">
        <f>ROUND(L1497/M1497, 0)</f>
        <v/>
      </c>
      <c r="O1497" s="12">
        <f>ROUND(N1497*'Methodology &amp; Assumptions'!$B$5, 0)</f>
        <v/>
      </c>
      <c r="P1497" s="10" t="inlineStr">
        <is>
          <t>Single Carrier (Band n50, 100MHz TDD)</t>
        </is>
      </c>
      <c r="Q1497" s="13">
        <f>ROUNDUP(O1497/'Methodology &amp; Assumptions'!$B$6, 0)</f>
        <v/>
      </c>
      <c r="R1497" s="13" t="n">
        <v>1</v>
      </c>
      <c r="S1497" s="14" t="n">
        <v>2.53</v>
      </c>
      <c r="T1497" s="14" t="n">
        <v>0.39</v>
      </c>
      <c r="U1497" s="26">
        <f>IF(X1497&gt;='Methodology &amp; Assumptions'!$B$7, "Tier 1 Critical GIDA (Score ≥ 50.0)", IF(X1497&gt;='Methodology &amp; Assumptions'!$B$8, "Tier 2 High GIDA (Score 40.0–49.9)", "Tier 3 Moderate GIDA (Score &lt; 40.0)"))</f>
        <v/>
      </c>
      <c r="V1497" s="26">
        <f>IF(S1497&lt;='Methodology &amp; Assumptions'!$B$10, "Direct Optical Drop (&lt;3km)", IF(S1497&lt;='Methodology &amp; Assumptions'!$B$9, "Near Optical / Microwave (&lt;5km)", "Starlink Business LEO Satellite Backhaul (&gt;5km)"))</f>
        <v/>
      </c>
      <c r="W1497" s="28" t="n">
        <v>0.083</v>
      </c>
      <c r="X1497" s="14" t="n">
        <v>42.78</v>
      </c>
      <c r="Y1497" s="14">
        <f>ROUND(MIN(100, (X1497/69.91)*100), 2)</f>
        <v/>
      </c>
    </row>
    <row r="1498">
      <c r="A1498" s="10" t="n">
        <v>5</v>
      </c>
      <c r="B1498" s="10" t="n">
        <v>494</v>
      </c>
      <c r="C1498" s="10" t="n">
        <v>4494</v>
      </c>
      <c r="D1498" s="10" t="inlineStr">
        <is>
          <t>1381300090</t>
        </is>
      </c>
      <c r="E1498" s="26" t="inlineStr">
        <is>
          <t>National Capital Region (NCR)</t>
        </is>
      </c>
      <c r="F1498" s="26" t="inlineStr">
        <is>
          <t>Second District (Not a Province)</t>
        </is>
      </c>
      <c r="G1498" s="26" t="inlineStr">
        <is>
          <t>Quezon City</t>
        </is>
      </c>
      <c r="H1498" s="26" t="inlineStr">
        <is>
          <t>Roxas</t>
        </is>
      </c>
      <c r="I1498" s="27" t="n">
        <v>14.627965</v>
      </c>
      <c r="J1498" s="27" t="n">
        <v>121.022603</v>
      </c>
      <c r="K1498" s="10" t="inlineStr">
        <is>
          <t>U</t>
        </is>
      </c>
      <c r="L1498" s="12" t="n">
        <v>11118</v>
      </c>
      <c r="M1498" s="14" t="n">
        <v>3.8</v>
      </c>
      <c r="N1498" s="12">
        <f>ROUND(L1498/M1498, 0)</f>
        <v/>
      </c>
      <c r="O1498" s="12">
        <f>ROUND(N1498*'Methodology &amp; Assumptions'!$B$5, 0)</f>
        <v/>
      </c>
      <c r="P1498" s="10" t="inlineStr">
        <is>
          <t>Single Carrier (Band n50, 100MHz TDD)</t>
        </is>
      </c>
      <c r="Q1498" s="13">
        <f>ROUNDUP(O1498/'Methodology &amp; Assumptions'!$B$6, 0)</f>
        <v/>
      </c>
      <c r="R1498" s="13" t="n">
        <v>1</v>
      </c>
      <c r="S1498" s="14" t="n">
        <v>1.27</v>
      </c>
      <c r="T1498" s="14" t="n">
        <v>1.14</v>
      </c>
      <c r="U1498" s="26">
        <f>IF(X1498&gt;='Methodology &amp; Assumptions'!$B$7, "Tier 1 Critical GIDA (Score ≥ 50.0)", IF(X1498&gt;='Methodology &amp; Assumptions'!$B$8, "Tier 2 High GIDA (Score 40.0–49.9)", "Tier 3 Moderate GIDA (Score &lt; 40.0)"))</f>
        <v/>
      </c>
      <c r="V1498" s="26">
        <f>IF(S1498&lt;='Methodology &amp; Assumptions'!$B$10, "Direct Optical Drop (&lt;3km)", IF(S1498&lt;='Methodology &amp; Assumptions'!$B$9, "Near Optical / Microwave (&lt;5km)", "Starlink Business LEO Satellite Backhaul (&gt;5km)"))</f>
        <v/>
      </c>
      <c r="W1498" s="28" t="n">
        <v>0.109</v>
      </c>
      <c r="X1498" s="14" t="n">
        <v>42.78</v>
      </c>
      <c r="Y1498" s="14">
        <f>ROUND(MIN(100, (X1498/69.91)*100), 2)</f>
        <v/>
      </c>
    </row>
    <row r="1499">
      <c r="A1499" s="10" t="n">
        <v>5</v>
      </c>
      <c r="B1499" s="10" t="n">
        <v>495</v>
      </c>
      <c r="C1499" s="10" t="n">
        <v>4495</v>
      </c>
      <c r="D1499" s="10" t="inlineStr">
        <is>
          <t>0603040004</t>
        </is>
      </c>
      <c r="E1499" s="26" t="inlineStr">
        <is>
          <t>Region VI (Western Visayas)</t>
        </is>
      </c>
      <c r="F1499" s="26" t="inlineStr">
        <is>
          <t>Iloilo</t>
        </is>
      </c>
      <c r="G1499" s="26" t="inlineStr">
        <is>
          <t>San Joaquin</t>
        </is>
      </c>
      <c r="H1499" s="26" t="inlineStr">
        <is>
          <t>Bad-as</t>
        </is>
      </c>
      <c r="I1499" s="27" t="n">
        <v>10.705429</v>
      </c>
      <c r="J1499" s="27" t="n">
        <v>122.08822</v>
      </c>
      <c r="K1499" s="10" t="inlineStr">
        <is>
          <t>R</t>
        </is>
      </c>
      <c r="L1499" s="12" t="n">
        <v>268</v>
      </c>
      <c r="M1499" s="14" t="n">
        <v>3.8</v>
      </c>
      <c r="N1499" s="12">
        <f>ROUND(L1499/M1499, 0)</f>
        <v/>
      </c>
      <c r="O1499" s="12">
        <f>ROUND(N1499*'Methodology &amp; Assumptions'!$B$5, 0)</f>
        <v/>
      </c>
      <c r="P1499" s="10" t="inlineStr">
        <is>
          <t>Single Carrier (Band n50, 100MHz TDD)</t>
        </is>
      </c>
      <c r="Q1499" s="13">
        <f>ROUNDUP(O1499/'Methodology &amp; Assumptions'!$B$6, 0)</f>
        <v/>
      </c>
      <c r="R1499" s="13" t="n">
        <v>1</v>
      </c>
      <c r="S1499" s="14" t="n">
        <v>17.59</v>
      </c>
      <c r="T1499" s="14" t="n">
        <v>11.62</v>
      </c>
      <c r="U1499" s="26">
        <f>IF(X1499&gt;='Methodology &amp; Assumptions'!$B$7, "Tier 1 Critical GIDA (Score ≥ 50.0)", IF(X1499&gt;='Methodology &amp; Assumptions'!$B$8, "Tier 2 High GIDA (Score 40.0–49.9)", "Tier 3 Moderate GIDA (Score &lt; 40.0)"))</f>
        <v/>
      </c>
      <c r="V1499" s="26">
        <f>IF(S1499&lt;='Methodology &amp; Assumptions'!$B$10, "Direct Optical Drop (&lt;3km)", IF(S1499&lt;='Methodology &amp; Assumptions'!$B$9, "Near Optical / Microwave (&lt;5km)", "Starlink Business LEO Satellite Backhaul (&gt;5km)"))</f>
        <v/>
      </c>
      <c r="W1499" s="28" t="n">
        <v>0.237</v>
      </c>
      <c r="X1499" s="14" t="n">
        <v>42.78</v>
      </c>
      <c r="Y1499" s="14">
        <f>ROUND(MIN(100, (X1499/69.91)*100), 2)</f>
        <v/>
      </c>
    </row>
    <row r="1500">
      <c r="A1500" s="10" t="n">
        <v>5</v>
      </c>
      <c r="B1500" s="10" t="n">
        <v>496</v>
      </c>
      <c r="C1500" s="10" t="n">
        <v>4496</v>
      </c>
      <c r="D1500" s="10" t="inlineStr">
        <is>
          <t>0205006019</t>
        </is>
      </c>
      <c r="E1500" s="26" t="inlineStr">
        <is>
          <t>Region II (Cagayan Valley)</t>
        </is>
      </c>
      <c r="F1500" s="26" t="inlineStr">
        <is>
          <t>Nueva Vizcaya</t>
        </is>
      </c>
      <c r="G1500" s="26" t="inlineStr">
        <is>
          <t>Diadi</t>
        </is>
      </c>
      <c r="H1500" s="26" t="inlineStr">
        <is>
          <t>Villa Florentino</t>
        </is>
      </c>
      <c r="I1500" s="27" t="n">
        <v>16.631628</v>
      </c>
      <c r="J1500" s="27" t="n">
        <v>121.430616</v>
      </c>
      <c r="K1500" s="10" t="inlineStr">
        <is>
          <t>R</t>
        </is>
      </c>
      <c r="L1500" s="12" t="n">
        <v>738</v>
      </c>
      <c r="M1500" s="14" t="n">
        <v>3.8</v>
      </c>
      <c r="N1500" s="12">
        <f>ROUND(L1500/M1500, 0)</f>
        <v/>
      </c>
      <c r="O1500" s="12">
        <f>ROUND(N1500*'Methodology &amp; Assumptions'!$B$5, 0)</f>
        <v/>
      </c>
      <c r="P1500" s="10" t="inlineStr">
        <is>
          <t>Single Carrier (Band n50, 100MHz TDD)</t>
        </is>
      </c>
      <c r="Q1500" s="13">
        <f>ROUNDUP(O1500/'Methodology &amp; Assumptions'!$B$6, 0)</f>
        <v/>
      </c>
      <c r="R1500" s="13" t="n">
        <v>1</v>
      </c>
      <c r="S1500" s="14" t="n">
        <v>7.29</v>
      </c>
      <c r="T1500" s="14" t="n">
        <v>2.51</v>
      </c>
      <c r="U1500" s="26">
        <f>IF(X1500&gt;='Methodology &amp; Assumptions'!$B$7, "Tier 1 Critical GIDA (Score ≥ 50.0)", IF(X1500&gt;='Methodology &amp; Assumptions'!$B$8, "Tier 2 High GIDA (Score 40.0–49.9)", "Tier 3 Moderate GIDA (Score &lt; 40.0)"))</f>
        <v/>
      </c>
      <c r="V1500" s="26">
        <f>IF(S1500&lt;='Methodology &amp; Assumptions'!$B$10, "Direct Optical Drop (&lt;3km)", IF(S1500&lt;='Methodology &amp; Assumptions'!$B$9, "Near Optical / Microwave (&lt;5km)", "Starlink Business LEO Satellite Backhaul (&gt;5km)"))</f>
        <v/>
      </c>
      <c r="W1500" s="28" t="n">
        <v>0.083</v>
      </c>
      <c r="X1500" s="14" t="n">
        <v>42.78</v>
      </c>
      <c r="Y1500" s="14">
        <f>ROUND(MIN(100, (X1500/69.91)*100), 2)</f>
        <v/>
      </c>
    </row>
    <row r="1501">
      <c r="A1501" s="10" t="n">
        <v>5</v>
      </c>
      <c r="B1501" s="10" t="n">
        <v>497</v>
      </c>
      <c r="C1501" s="10" t="n">
        <v>4497</v>
      </c>
      <c r="D1501" s="10" t="inlineStr">
        <is>
          <t>0102906041</t>
        </is>
      </c>
      <c r="E1501" s="26" t="inlineStr">
        <is>
          <t>Region I (Ilocos Region)</t>
        </is>
      </c>
      <c r="F1501" s="26" t="inlineStr">
        <is>
          <t>Ilocos Sur</t>
        </is>
      </c>
      <c r="G1501" s="26" t="inlineStr">
        <is>
          <t>City of Candon</t>
        </is>
      </c>
      <c r="H1501" s="26" t="inlineStr">
        <is>
          <t>San Pedro</t>
        </is>
      </c>
      <c r="I1501" s="27" t="n">
        <v>17.187236</v>
      </c>
      <c r="J1501" s="27" t="n">
        <v>120.455715</v>
      </c>
      <c r="K1501" s="10" t="inlineStr">
        <is>
          <t>R</t>
        </is>
      </c>
      <c r="L1501" s="12" t="n">
        <v>731</v>
      </c>
      <c r="M1501" s="14" t="n">
        <v>3.8</v>
      </c>
      <c r="N1501" s="12">
        <f>ROUND(L1501/M1501, 0)</f>
        <v/>
      </c>
      <c r="O1501" s="12">
        <f>ROUND(N1501*'Methodology &amp; Assumptions'!$B$5, 0)</f>
        <v/>
      </c>
      <c r="P1501" s="10" t="inlineStr">
        <is>
          <t>Single Carrier (Band n50, 100MHz TDD)</t>
        </is>
      </c>
      <c r="Q1501" s="13">
        <f>ROUNDUP(O1501/'Methodology &amp; Assumptions'!$B$6, 0)</f>
        <v/>
      </c>
      <c r="R1501" s="13" t="n">
        <v>1</v>
      </c>
      <c r="S1501" s="14" t="n">
        <v>1.09</v>
      </c>
      <c r="T1501" s="14" t="n">
        <v>0.9399999999999999</v>
      </c>
      <c r="U1501" s="26">
        <f>IF(X1501&gt;='Methodology &amp; Assumptions'!$B$7, "Tier 1 Critical GIDA (Score ≥ 50.0)", IF(X1501&gt;='Methodology &amp; Assumptions'!$B$8, "Tier 2 High GIDA (Score 40.0–49.9)", "Tier 3 Moderate GIDA (Score &lt; 40.0)"))</f>
        <v/>
      </c>
      <c r="V1501" s="26">
        <f>IF(S1501&lt;='Methodology &amp; Assumptions'!$B$10, "Direct Optical Drop (&lt;3km)", IF(S1501&lt;='Methodology &amp; Assumptions'!$B$9, "Near Optical / Microwave (&lt;5km)", "Starlink Business LEO Satellite Backhaul (&gt;5km)"))</f>
        <v/>
      </c>
      <c r="W1501" s="28" t="n">
        <v>0.083</v>
      </c>
      <c r="X1501" s="14" t="n">
        <v>42.76</v>
      </c>
      <c r="Y1501" s="14">
        <f>ROUND(MIN(100, (X1501/69.91)*100), 2)</f>
        <v/>
      </c>
    </row>
    <row r="1502">
      <c r="A1502" s="10" t="n">
        <v>5</v>
      </c>
      <c r="B1502" s="10" t="n">
        <v>498</v>
      </c>
      <c r="C1502" s="10" t="n">
        <v>4498</v>
      </c>
      <c r="D1502" s="10" t="inlineStr">
        <is>
          <t>1400102001</t>
        </is>
      </c>
      <c r="E1502" s="26" t="inlineStr">
        <is>
          <t>Cordillera Administrative Region (CAR)</t>
        </is>
      </c>
      <c r="F1502" s="26" t="inlineStr">
        <is>
          <t>Abra</t>
        </is>
      </c>
      <c r="G1502" s="26" t="inlineStr">
        <is>
          <t>Boliney</t>
        </is>
      </c>
      <c r="H1502" s="26" t="inlineStr">
        <is>
          <t>Amti</t>
        </is>
      </c>
      <c r="I1502" s="27" t="n">
        <v>17.390546</v>
      </c>
      <c r="J1502" s="27" t="n">
        <v>120.902721</v>
      </c>
      <c r="K1502" s="10" t="inlineStr">
        <is>
          <t>R</t>
        </is>
      </c>
      <c r="L1502" s="12" t="n">
        <v>452</v>
      </c>
      <c r="M1502" s="14" t="n">
        <v>3.8</v>
      </c>
      <c r="N1502" s="12">
        <f>ROUND(L1502/M1502, 0)</f>
        <v/>
      </c>
      <c r="O1502" s="12">
        <f>ROUND(N1502*'Methodology &amp; Assumptions'!$B$5, 0)</f>
        <v/>
      </c>
      <c r="P1502" s="10" t="inlineStr">
        <is>
          <t>Single Carrier (Band n50, 100MHz TDD)</t>
        </is>
      </c>
      <c r="Q1502" s="13">
        <f>ROUNDUP(O1502/'Methodology &amp; Assumptions'!$B$6, 0)</f>
        <v/>
      </c>
      <c r="R1502" s="13" t="n">
        <v>1</v>
      </c>
      <c r="S1502" s="14" t="n">
        <v>29.06</v>
      </c>
      <c r="T1502" s="14" t="n">
        <v>27.49</v>
      </c>
      <c r="U1502" s="26">
        <f>IF(X1502&gt;='Methodology &amp; Assumptions'!$B$7, "Tier 1 Critical GIDA (Score ≥ 50.0)", IF(X1502&gt;='Methodology &amp; Assumptions'!$B$8, "Tier 2 High GIDA (Score 40.0–49.9)", "Tier 3 Moderate GIDA (Score &lt; 40.0)"))</f>
        <v/>
      </c>
      <c r="V1502" s="26">
        <f>IF(S1502&lt;='Methodology &amp; Assumptions'!$B$10, "Direct Optical Drop (&lt;3km)", IF(S1502&lt;='Methodology &amp; Assumptions'!$B$9, "Near Optical / Microwave (&lt;5km)", "Starlink Business LEO Satellite Backhaul (&gt;5km)"))</f>
        <v/>
      </c>
      <c r="W1502" s="28" t="n">
        <v>0.109</v>
      </c>
      <c r="X1502" s="14" t="n">
        <v>42.76</v>
      </c>
      <c r="Y1502" s="14">
        <f>ROUND(MIN(100, (X1502/69.91)*100), 2)</f>
        <v/>
      </c>
    </row>
    <row r="1503">
      <c r="A1503" s="10" t="n">
        <v>5</v>
      </c>
      <c r="B1503" s="10" t="n">
        <v>499</v>
      </c>
      <c r="C1503" s="10" t="n">
        <v>4499</v>
      </c>
      <c r="D1503" s="10" t="inlineStr">
        <is>
          <t>1108604002</t>
        </is>
      </c>
      <c r="E1503" s="26" t="inlineStr">
        <is>
          <t>Region XI (Davao Region)</t>
        </is>
      </c>
      <c r="F1503" s="26" t="inlineStr">
        <is>
          <t>Davao Occidental</t>
        </is>
      </c>
      <c r="G1503" s="26" t="inlineStr">
        <is>
          <t>Santa Maria</t>
        </is>
      </c>
      <c r="H1503" s="26" t="inlineStr">
        <is>
          <t>Buca</t>
        </is>
      </c>
      <c r="I1503" s="27" t="n">
        <v>6.461773</v>
      </c>
      <c r="J1503" s="27" t="n">
        <v>125.47862</v>
      </c>
      <c r="K1503" s="10" t="inlineStr">
        <is>
          <t>R</t>
        </is>
      </c>
      <c r="L1503" s="12" t="n">
        <v>2611</v>
      </c>
      <c r="M1503" s="14" t="n">
        <v>3.6</v>
      </c>
      <c r="N1503" s="12">
        <f>ROUND(L1503/M1503, 0)</f>
        <v/>
      </c>
      <c r="O1503" s="12">
        <f>ROUND(N1503*'Methodology &amp; Assumptions'!$B$5, 0)</f>
        <v/>
      </c>
      <c r="P1503" s="10" t="inlineStr">
        <is>
          <t>Single Carrier (Band n50, 100MHz TDD)</t>
        </is>
      </c>
      <c r="Q1503" s="13">
        <f>ROUNDUP(O1503/'Methodology &amp; Assumptions'!$B$6, 0)</f>
        <v/>
      </c>
      <c r="R1503" s="13" t="n">
        <v>1</v>
      </c>
      <c r="S1503" s="14" t="n">
        <v>16.25</v>
      </c>
      <c r="T1503" s="14" t="n">
        <v>14.52</v>
      </c>
      <c r="U1503" s="26">
        <f>IF(X1503&gt;='Methodology &amp; Assumptions'!$B$7, "Tier 1 Critical GIDA (Score ≥ 50.0)", IF(X1503&gt;='Methodology &amp; Assumptions'!$B$8, "Tier 2 High GIDA (Score 40.0–49.9)", "Tier 3 Moderate GIDA (Score &lt; 40.0)"))</f>
        <v/>
      </c>
      <c r="V1503" s="26">
        <f>IF(S1503&lt;='Methodology &amp; Assumptions'!$B$10, "Direct Optical Drop (&lt;3km)", IF(S1503&lt;='Methodology &amp; Assumptions'!$B$9, "Near Optical / Microwave (&lt;5km)", "Starlink Business LEO Satellite Backhaul (&gt;5km)"))</f>
        <v/>
      </c>
      <c r="W1503" s="28" t="n">
        <v>0.174</v>
      </c>
      <c r="X1503" s="14" t="n">
        <v>42.75</v>
      </c>
      <c r="Y1503" s="14">
        <f>ROUND(MIN(100, (X1503/69.91)*100), 2)</f>
        <v/>
      </c>
    </row>
    <row r="1504">
      <c r="A1504" s="10" t="n">
        <v>5</v>
      </c>
      <c r="B1504" s="10" t="n">
        <v>500</v>
      </c>
      <c r="C1504" s="10" t="n">
        <v>4500</v>
      </c>
      <c r="D1504" s="10" t="inlineStr">
        <is>
          <t>1908710017</t>
        </is>
      </c>
      <c r="E1504" s="26" t="inlineStr">
        <is>
          <t>Bangsamoro Autonomous Region In Muslim Mindanao (BARMM)</t>
        </is>
      </c>
      <c r="F1504" s="26" t="inlineStr">
        <is>
          <t>Maguindanao del Norte</t>
        </is>
      </c>
      <c r="G1504" s="26" t="inlineStr">
        <is>
          <t>Sultan Kudarat</t>
        </is>
      </c>
      <c r="H1504" s="26" t="inlineStr">
        <is>
          <t>Katidtuan</t>
        </is>
      </c>
      <c r="I1504" s="27" t="n">
        <v>17.25401</v>
      </c>
      <c r="J1504" s="27" t="n">
        <v>122.228054</v>
      </c>
      <c r="K1504" s="10" t="inlineStr">
        <is>
          <t>R</t>
        </is>
      </c>
      <c r="L1504" s="12" t="n">
        <v>2978</v>
      </c>
      <c r="M1504" s="14" t="n">
        <v>3.8</v>
      </c>
      <c r="N1504" s="12">
        <f>ROUND(L1504/M1504, 0)</f>
        <v/>
      </c>
      <c r="O1504" s="12">
        <f>ROUND(N1504*'Methodology &amp; Assumptions'!$B$5, 0)</f>
        <v/>
      </c>
      <c r="P1504" s="10" t="inlineStr">
        <is>
          <t>Single Carrier (Band n50, 100MHz TDD)</t>
        </is>
      </c>
      <c r="Q1504" s="13">
        <f>ROUNDUP(O1504/'Methodology &amp; Assumptions'!$B$6, 0)</f>
        <v/>
      </c>
      <c r="R1504" s="13" t="n">
        <v>1</v>
      </c>
      <c r="S1504" s="14" t="n">
        <v>29.29</v>
      </c>
      <c r="T1504" s="14" t="n">
        <v>34.19</v>
      </c>
      <c r="U1504" s="26">
        <f>IF(X1504&gt;='Methodology &amp; Assumptions'!$B$7, "Tier 1 Critical GIDA (Score ≥ 50.0)", IF(X1504&gt;='Methodology &amp; Assumptions'!$B$8, "Tier 2 High GIDA (Score 40.0–49.9)", "Tier 3 Moderate GIDA (Score &lt; 40.0)"))</f>
        <v/>
      </c>
      <c r="V1504" s="26">
        <f>IF(S1504&lt;='Methodology &amp; Assumptions'!$B$10, "Direct Optical Drop (&lt;3km)", IF(S1504&lt;='Methodology &amp; Assumptions'!$B$9, "Near Optical / Microwave (&lt;5km)", "Starlink Business LEO Satellite Backhaul (&gt;5km)"))</f>
        <v/>
      </c>
      <c r="W1504" s="28" t="n">
        <v>0.11</v>
      </c>
      <c r="X1504" s="14" t="n">
        <v>42.75</v>
      </c>
      <c r="Y1504" s="14">
        <f>ROUND(MIN(100, (X1504/69.91)*100), 2)</f>
        <v/>
      </c>
    </row>
    <row r="1505">
      <c r="A1505" s="10" t="n">
        <v>5</v>
      </c>
      <c r="B1505" s="10" t="n">
        <v>501</v>
      </c>
      <c r="C1505" s="10" t="n">
        <v>4501</v>
      </c>
      <c r="D1505" s="10" t="inlineStr">
        <is>
          <t>PH0004501</t>
        </is>
      </c>
      <c r="E1505" s="26" t="inlineStr">
        <is>
          <t>IV-A</t>
        </is>
      </c>
      <c r="F1505" s="26" t="inlineStr">
        <is>
          <t>Cavite</t>
        </is>
      </c>
      <c r="G1505" s="26" t="inlineStr">
        <is>
          <t>Cavite City</t>
        </is>
      </c>
      <c r="H1505" s="26" t="inlineStr">
        <is>
          <t>Barangay 34</t>
        </is>
      </c>
      <c r="I1505" s="27" t="n">
        <v>14.452188</v>
      </c>
      <c r="J1505" s="27" t="n">
        <v>120.916575</v>
      </c>
      <c r="K1505" s="10" t="inlineStr">
        <is>
          <t>R</t>
        </is>
      </c>
      <c r="L1505" s="12" t="n">
        <v>2316</v>
      </c>
      <c r="M1505" s="14" t="n">
        <v>3.4</v>
      </c>
      <c r="N1505" s="12">
        <f>ROUND(L1505/M1505, 0)</f>
        <v/>
      </c>
      <c r="O1505" s="12">
        <f>ROUND(N1505*'Methodology &amp; Assumptions'!$B$5, 0)</f>
        <v/>
      </c>
      <c r="P1505" s="10" t="inlineStr">
        <is>
          <t>Single Carrier (Band n50, 100MHz TDD)</t>
        </is>
      </c>
      <c r="Q1505" s="13">
        <f>ROUNDUP(O1505/'Methodology &amp; Assumptions'!$B$6, 0)</f>
        <v/>
      </c>
      <c r="R1505" s="13" t="n">
        <v>1</v>
      </c>
      <c r="S1505" s="14" t="n">
        <v>3.5</v>
      </c>
      <c r="T1505" s="14" t="n">
        <v>0.5600000000000001</v>
      </c>
      <c r="U1505" s="26">
        <f>IF(X1505&gt;='Methodology &amp; Assumptions'!$B$7, "Tier 1 Critical GIDA (Score ≥ 50.0)", IF(X1505&gt;='Methodology &amp; Assumptions'!$B$8, "Tier 2 High GIDA (Score 40.0–49.9)", "Tier 3 Moderate GIDA (Score &lt; 40.0)"))</f>
        <v/>
      </c>
      <c r="V1505" s="26">
        <f>IF(S1505&lt;='Methodology &amp; Assumptions'!$B$10, "Direct Optical Drop (&lt;3km)", IF(S1505&lt;='Methodology &amp; Assumptions'!$B$9, "Near Optical / Microwave (&lt;5km)", "Starlink Business LEO Satellite Backhaul (&gt;5km)"))</f>
        <v/>
      </c>
      <c r="W1505" s="28" t="n">
        <v>0.07200000000000001</v>
      </c>
      <c r="X1505" s="14" t="n">
        <v>42.75</v>
      </c>
      <c r="Y1505" s="14">
        <f>ROUND(MIN(100, (X1505/69.91)*100), 2)</f>
        <v/>
      </c>
    </row>
    <row r="1506">
      <c r="A1506" s="10" t="n">
        <v>5</v>
      </c>
      <c r="B1506" s="10" t="n">
        <v>502</v>
      </c>
      <c r="C1506" s="10" t="n">
        <v>4502</v>
      </c>
      <c r="D1506" s="10" t="inlineStr">
        <is>
          <t>PH0004502</t>
        </is>
      </c>
      <c r="E1506" s="26" t="inlineStr">
        <is>
          <t>IV-A</t>
        </is>
      </c>
      <c r="F1506" s="26" t="inlineStr">
        <is>
          <t>Cavite</t>
        </is>
      </c>
      <c r="G1506" s="26" t="inlineStr">
        <is>
          <t>Cavite City</t>
        </is>
      </c>
      <c r="H1506" s="26" t="inlineStr">
        <is>
          <t>Barangay 42-A</t>
        </is>
      </c>
      <c r="I1506" s="27" t="n">
        <v>14.486957</v>
      </c>
      <c r="J1506" s="27" t="n">
        <v>120.861923</v>
      </c>
      <c r="K1506" s="10" t="inlineStr">
        <is>
          <t>R</t>
        </is>
      </c>
      <c r="L1506" s="12" t="n">
        <v>2316</v>
      </c>
      <c r="M1506" s="14" t="n">
        <v>3.4</v>
      </c>
      <c r="N1506" s="12">
        <f>ROUND(L1506/M1506, 0)</f>
        <v/>
      </c>
      <c r="O1506" s="12">
        <f>ROUND(N1506*'Methodology &amp; Assumptions'!$B$5, 0)</f>
        <v/>
      </c>
      <c r="P1506" s="10" t="inlineStr">
        <is>
          <t>Single Carrier (Band n50, 100MHz TDD)</t>
        </is>
      </c>
      <c r="Q1506" s="13">
        <f>ROUNDUP(O1506/'Methodology &amp; Assumptions'!$B$6, 0)</f>
        <v/>
      </c>
      <c r="R1506" s="13" t="n">
        <v>1</v>
      </c>
      <c r="S1506" s="14" t="n">
        <v>3.08</v>
      </c>
      <c r="T1506" s="14" t="n">
        <v>6.65</v>
      </c>
      <c r="U1506" s="26">
        <f>IF(X1506&gt;='Methodology &amp; Assumptions'!$B$7, "Tier 1 Critical GIDA (Score ≥ 50.0)", IF(X1506&gt;='Methodology &amp; Assumptions'!$B$8, "Tier 2 High GIDA (Score 40.0–49.9)", "Tier 3 Moderate GIDA (Score &lt; 40.0)"))</f>
        <v/>
      </c>
      <c r="V1506" s="26">
        <f>IF(S1506&lt;='Methodology &amp; Assumptions'!$B$10, "Direct Optical Drop (&lt;3km)", IF(S1506&lt;='Methodology &amp; Assumptions'!$B$9, "Near Optical / Microwave (&lt;5km)", "Starlink Business LEO Satellite Backhaul (&gt;5km)"))</f>
        <v/>
      </c>
      <c r="W1506" s="28" t="n">
        <v>0.07200000000000001</v>
      </c>
      <c r="X1506" s="14" t="n">
        <v>42.75</v>
      </c>
      <c r="Y1506" s="14">
        <f>ROUND(MIN(100, (X1506/69.91)*100), 2)</f>
        <v/>
      </c>
    </row>
    <row r="1507">
      <c r="A1507" s="10" t="n">
        <v>5</v>
      </c>
      <c r="B1507" s="10" t="n">
        <v>503</v>
      </c>
      <c r="C1507" s="10" t="n">
        <v>4503</v>
      </c>
      <c r="D1507" s="10" t="inlineStr">
        <is>
          <t>PH0004503</t>
        </is>
      </c>
      <c r="E1507" s="26" t="inlineStr">
        <is>
          <t>IV-A</t>
        </is>
      </c>
      <c r="F1507" s="26" t="inlineStr">
        <is>
          <t>Cavite</t>
        </is>
      </c>
      <c r="G1507" s="26" t="inlineStr">
        <is>
          <t>Cavite City</t>
        </is>
      </c>
      <c r="H1507" s="26" t="inlineStr">
        <is>
          <t>Barangay 37-A</t>
        </is>
      </c>
      <c r="I1507" s="27" t="n">
        <v>14.497455</v>
      </c>
      <c r="J1507" s="27" t="n">
        <v>120.929045</v>
      </c>
      <c r="K1507" s="10" t="inlineStr">
        <is>
          <t>R</t>
        </is>
      </c>
      <c r="L1507" s="12" t="n">
        <v>2316</v>
      </c>
      <c r="M1507" s="14" t="n">
        <v>3.4</v>
      </c>
      <c r="N1507" s="12">
        <f>ROUND(L1507/M1507, 0)</f>
        <v/>
      </c>
      <c r="O1507" s="12">
        <f>ROUND(N1507*'Methodology &amp; Assumptions'!$B$5, 0)</f>
        <v/>
      </c>
      <c r="P1507" s="10" t="inlineStr">
        <is>
          <t>Single Carrier (Band n50, 100MHz TDD)</t>
        </is>
      </c>
      <c r="Q1507" s="13">
        <f>ROUNDUP(O1507/'Methodology &amp; Assumptions'!$B$6, 0)</f>
        <v/>
      </c>
      <c r="R1507" s="13" t="n">
        <v>1</v>
      </c>
      <c r="S1507" s="14" t="n">
        <v>5.13</v>
      </c>
      <c r="T1507" s="14" t="n">
        <v>5.21</v>
      </c>
      <c r="U1507" s="26">
        <f>IF(X1507&gt;='Methodology &amp; Assumptions'!$B$7, "Tier 1 Critical GIDA (Score ≥ 50.0)", IF(X1507&gt;='Methodology &amp; Assumptions'!$B$8, "Tier 2 High GIDA (Score 40.0–49.9)", "Tier 3 Moderate GIDA (Score &lt; 40.0)"))</f>
        <v/>
      </c>
      <c r="V1507" s="26">
        <f>IF(S1507&lt;='Methodology &amp; Assumptions'!$B$10, "Direct Optical Drop (&lt;3km)", IF(S1507&lt;='Methodology &amp; Assumptions'!$B$9, "Near Optical / Microwave (&lt;5km)", "Starlink Business LEO Satellite Backhaul (&gt;5km)"))</f>
        <v/>
      </c>
      <c r="W1507" s="28" t="n">
        <v>0.07200000000000001</v>
      </c>
      <c r="X1507" s="14" t="n">
        <v>42.74</v>
      </c>
      <c r="Y1507" s="14">
        <f>ROUND(MIN(100, (X1507/69.91)*100), 2)</f>
        <v/>
      </c>
    </row>
    <row r="1508">
      <c r="A1508" s="10" t="n">
        <v>5</v>
      </c>
      <c r="B1508" s="10" t="n">
        <v>504</v>
      </c>
      <c r="C1508" s="10" t="n">
        <v>4504</v>
      </c>
      <c r="D1508" s="10" t="inlineStr">
        <is>
          <t>1381100197</t>
        </is>
      </c>
      <c r="E1508" s="26" t="inlineStr">
        <is>
          <t>National Capital Region (NCR)</t>
        </is>
      </c>
      <c r="F1508" s="26" t="inlineStr">
        <is>
          <t>Fourth District (Not a Province)</t>
        </is>
      </c>
      <c r="G1508" s="26" t="inlineStr">
        <is>
          <t>Pasay City</t>
        </is>
      </c>
      <c r="H1508" s="26" t="inlineStr">
        <is>
          <t>Barangay 197</t>
        </is>
      </c>
      <c r="I1508" s="27" t="n">
        <v>14.375271</v>
      </c>
      <c r="J1508" s="27" t="n">
        <v>121.190467</v>
      </c>
      <c r="K1508" s="10" t="inlineStr">
        <is>
          <t>U</t>
        </is>
      </c>
      <c r="L1508" s="12" t="n">
        <v>3964</v>
      </c>
      <c r="M1508" s="14" t="n">
        <v>3.4</v>
      </c>
      <c r="N1508" s="12">
        <f>ROUND(L1508/M1508, 0)</f>
        <v/>
      </c>
      <c r="O1508" s="12">
        <f>ROUND(N1508*'Methodology &amp; Assumptions'!$B$5, 0)</f>
        <v/>
      </c>
      <c r="P1508" s="10" t="inlineStr">
        <is>
          <t>Single Carrier (Band n50, 100MHz TDD)</t>
        </is>
      </c>
      <c r="Q1508" s="13">
        <f>ROUNDUP(O1508/'Methodology &amp; Assumptions'!$B$6, 0)</f>
        <v/>
      </c>
      <c r="R1508" s="13" t="n">
        <v>1</v>
      </c>
      <c r="S1508" s="14" t="n">
        <v>7.86</v>
      </c>
      <c r="T1508" s="14" t="n">
        <v>10.23</v>
      </c>
      <c r="U1508" s="26">
        <f>IF(X1508&gt;='Methodology &amp; Assumptions'!$B$7, "Tier 1 Critical GIDA (Score ≥ 50.0)", IF(X1508&gt;='Methodology &amp; Assumptions'!$B$8, "Tier 2 High GIDA (Score 40.0–49.9)", "Tier 3 Moderate GIDA (Score &lt; 40.0)"))</f>
        <v/>
      </c>
      <c r="V1508" s="26">
        <f>IF(S1508&lt;='Methodology &amp; Assumptions'!$B$10, "Direct Optical Drop (&lt;3km)", IF(S1508&lt;='Methodology &amp; Assumptions'!$B$9, "Near Optical / Microwave (&lt;5km)", "Starlink Business LEO Satellite Backhaul (&gt;5km)"))</f>
        <v/>
      </c>
      <c r="W1508" s="28" t="n">
        <v>0.109</v>
      </c>
      <c r="X1508" s="14" t="n">
        <v>42.74</v>
      </c>
      <c r="Y1508" s="14">
        <f>ROUND(MIN(100, (X1508/69.91)*100), 2)</f>
        <v/>
      </c>
    </row>
    <row r="1509">
      <c r="A1509" s="10" t="n">
        <v>5</v>
      </c>
      <c r="B1509" s="10" t="n">
        <v>505</v>
      </c>
      <c r="C1509" s="10" t="n">
        <v>4505</v>
      </c>
      <c r="D1509" s="10" t="inlineStr">
        <is>
          <t>0803710071</t>
        </is>
      </c>
      <c r="E1509" s="26" t="inlineStr">
        <is>
          <t>Region VIII (Eastern Visayas)</t>
        </is>
      </c>
      <c r="F1509" s="26" t="inlineStr">
        <is>
          <t>Leyte</t>
        </is>
      </c>
      <c r="G1509" s="26" t="inlineStr">
        <is>
          <t>Burauen</t>
        </is>
      </c>
      <c r="H1509" s="26" t="inlineStr">
        <is>
          <t>Villa Aurora</t>
        </is>
      </c>
      <c r="I1509" s="27" t="n">
        <v>10.9851</v>
      </c>
      <c r="J1509" s="27" t="n">
        <v>124.767145</v>
      </c>
      <c r="K1509" s="10" t="inlineStr">
        <is>
          <t>R</t>
        </is>
      </c>
      <c r="L1509" s="12" t="n">
        <v>625</v>
      </c>
      <c r="M1509" s="14" t="n">
        <v>3.8</v>
      </c>
      <c r="N1509" s="12">
        <f>ROUND(L1509/M1509, 0)</f>
        <v/>
      </c>
      <c r="O1509" s="12">
        <f>ROUND(N1509*'Methodology &amp; Assumptions'!$B$5, 0)</f>
        <v/>
      </c>
      <c r="P1509" s="10" t="inlineStr">
        <is>
          <t>Single Carrier (Band n50, 100MHz TDD)</t>
        </is>
      </c>
      <c r="Q1509" s="13">
        <f>ROUNDUP(O1509/'Methodology &amp; Assumptions'!$B$6, 0)</f>
        <v/>
      </c>
      <c r="R1509" s="13" t="n">
        <v>1</v>
      </c>
      <c r="S1509" s="14" t="n">
        <v>11.84</v>
      </c>
      <c r="T1509" s="14" t="n">
        <v>10.29</v>
      </c>
      <c r="U1509" s="26">
        <f>IF(X1509&gt;='Methodology &amp; Assumptions'!$B$7, "Tier 1 Critical GIDA (Score ≥ 50.0)", IF(X1509&gt;='Methodology &amp; Assumptions'!$B$8, "Tier 2 High GIDA (Score 40.0–49.9)", "Tier 3 Moderate GIDA (Score &lt; 40.0)"))</f>
        <v/>
      </c>
      <c r="V1509" s="26">
        <f>IF(S1509&lt;='Methodology &amp; Assumptions'!$B$10, "Direct Optical Drop (&lt;3km)", IF(S1509&lt;='Methodology &amp; Assumptions'!$B$9, "Near Optical / Microwave (&lt;5km)", "Starlink Business LEO Satellite Backhaul (&gt;5km)"))</f>
        <v/>
      </c>
      <c r="W1509" s="28" t="n">
        <v>0.237</v>
      </c>
      <c r="X1509" s="14" t="n">
        <v>42.74</v>
      </c>
      <c r="Y1509" s="14">
        <f>ROUND(MIN(100, (X1509/69.91)*100), 2)</f>
        <v/>
      </c>
    </row>
    <row r="1510">
      <c r="A1510" s="10" t="n">
        <v>5</v>
      </c>
      <c r="B1510" s="10" t="n">
        <v>506</v>
      </c>
      <c r="C1510" s="10" t="n">
        <v>4506</v>
      </c>
      <c r="D1510" s="10" t="inlineStr">
        <is>
          <t>0401029033</t>
        </is>
      </c>
      <c r="E1510" s="26" t="inlineStr">
        <is>
          <t>Region IV-A (CALABARZON)</t>
        </is>
      </c>
      <c r="F1510" s="26" t="inlineStr">
        <is>
          <t>Batangas</t>
        </is>
      </c>
      <c r="G1510" s="26" t="inlineStr">
        <is>
          <t>Taal</t>
        </is>
      </c>
      <c r="H1510" s="26" t="inlineStr">
        <is>
          <t>Poblacion 9</t>
        </is>
      </c>
      <c r="I1510" s="27" t="n">
        <v>13.892828</v>
      </c>
      <c r="J1510" s="27" t="n">
        <v>120.939096</v>
      </c>
      <c r="K1510" s="10" t="inlineStr">
        <is>
          <t>R</t>
        </is>
      </c>
      <c r="L1510" s="12" t="n">
        <v>860</v>
      </c>
      <c r="M1510" s="14" t="n">
        <v>3.6</v>
      </c>
      <c r="N1510" s="12">
        <f>ROUND(L1510/M1510, 0)</f>
        <v/>
      </c>
      <c r="O1510" s="12">
        <f>ROUND(N1510*'Methodology &amp; Assumptions'!$B$5, 0)</f>
        <v/>
      </c>
      <c r="P1510" s="10" t="inlineStr">
        <is>
          <t>Single Carrier (Band n50, 100MHz TDD)</t>
        </is>
      </c>
      <c r="Q1510" s="13">
        <f>ROUNDUP(O1510/'Methodology &amp; Assumptions'!$B$6, 0)</f>
        <v/>
      </c>
      <c r="R1510" s="13" t="n">
        <v>1</v>
      </c>
      <c r="S1510" s="14" t="n">
        <v>1.67</v>
      </c>
      <c r="T1510" s="14" t="n">
        <v>0.59</v>
      </c>
      <c r="U1510" s="26">
        <f>IF(X1510&gt;='Methodology &amp; Assumptions'!$B$7, "Tier 1 Critical GIDA (Score ≥ 50.0)", IF(X1510&gt;='Methodology &amp; Assumptions'!$B$8, "Tier 2 High GIDA (Score 40.0–49.9)", "Tier 3 Moderate GIDA (Score &lt; 40.0)"))</f>
        <v/>
      </c>
      <c r="V1510" s="26">
        <f>IF(S1510&lt;='Methodology &amp; Assumptions'!$B$10, "Direct Optical Drop (&lt;3km)", IF(S1510&lt;='Methodology &amp; Assumptions'!$B$9, "Near Optical / Microwave (&lt;5km)", "Starlink Business LEO Satellite Backhaul (&gt;5km)"))</f>
        <v/>
      </c>
      <c r="W1510" s="28" t="n">
        <v>0.07200000000000001</v>
      </c>
      <c r="X1510" s="14" t="n">
        <v>42.74</v>
      </c>
      <c r="Y1510" s="14">
        <f>ROUND(MIN(100, (X1510/69.91)*100), 2)</f>
        <v/>
      </c>
    </row>
    <row r="1511">
      <c r="A1511" s="10" t="n">
        <v>5</v>
      </c>
      <c r="B1511" s="10" t="n">
        <v>507</v>
      </c>
      <c r="C1511" s="10" t="n">
        <v>4507</v>
      </c>
      <c r="D1511" s="10" t="inlineStr">
        <is>
          <t>0600607021</t>
        </is>
      </c>
      <c r="E1511" s="26" t="inlineStr">
        <is>
          <t>Region VI (Western Visayas)</t>
        </is>
      </c>
      <c r="F1511" s="26" t="inlineStr">
        <is>
          <t>Antique</t>
        </is>
      </c>
      <c r="G1511" s="26" t="inlineStr">
        <is>
          <t>Tobias Fornier</t>
        </is>
      </c>
      <c r="H1511" s="26" t="inlineStr">
        <is>
          <t>Igbangcal-B</t>
        </is>
      </c>
      <c r="I1511" s="27" t="n">
        <v>10.470994</v>
      </c>
      <c r="J1511" s="27" t="n">
        <v>121.952792</v>
      </c>
      <c r="K1511" s="10" t="inlineStr">
        <is>
          <t>R</t>
        </is>
      </c>
      <c r="L1511" s="12" t="n">
        <v>565</v>
      </c>
      <c r="M1511" s="14" t="n">
        <v>3.9</v>
      </c>
      <c r="N1511" s="12">
        <f>ROUND(L1511/M1511, 0)</f>
        <v/>
      </c>
      <c r="O1511" s="12">
        <f>ROUND(N1511*'Methodology &amp; Assumptions'!$B$5, 0)</f>
        <v/>
      </c>
      <c r="P1511" s="10" t="inlineStr">
        <is>
          <t>Single Carrier (Band n50, 100MHz TDD)</t>
        </is>
      </c>
      <c r="Q1511" s="13">
        <f>ROUNDUP(O1511/'Methodology &amp; Assumptions'!$B$6, 0)</f>
        <v/>
      </c>
      <c r="R1511" s="13" t="n">
        <v>1</v>
      </c>
      <c r="S1511" s="14" t="n">
        <v>32.43</v>
      </c>
      <c r="T1511" s="14" t="n">
        <v>14.24</v>
      </c>
      <c r="U1511" s="26">
        <f>IF(X1511&gt;='Methodology &amp; Assumptions'!$B$7, "Tier 1 Critical GIDA (Score ≥ 50.0)", IF(X1511&gt;='Methodology &amp; Assumptions'!$B$8, "Tier 2 High GIDA (Score 40.0–49.9)", "Tier 3 Moderate GIDA (Score &lt; 40.0)"))</f>
        <v/>
      </c>
      <c r="V1511" s="26">
        <f>IF(S1511&lt;='Methodology &amp; Assumptions'!$B$10, "Direct Optical Drop (&lt;3km)", IF(S1511&lt;='Methodology &amp; Assumptions'!$B$9, "Near Optical / Microwave (&lt;5km)", "Starlink Business LEO Satellite Backhaul (&gt;5km)"))</f>
        <v/>
      </c>
      <c r="W1511" s="28" t="n">
        <v>0.237</v>
      </c>
      <c r="X1511" s="14" t="n">
        <v>42.74</v>
      </c>
      <c r="Y1511" s="14">
        <f>ROUND(MIN(100, (X1511/69.91)*100), 2)</f>
        <v/>
      </c>
    </row>
    <row r="1512">
      <c r="A1512" s="10" t="n">
        <v>5</v>
      </c>
      <c r="B1512" s="10" t="n">
        <v>508</v>
      </c>
      <c r="C1512" s="10" t="n">
        <v>4508</v>
      </c>
      <c r="D1512" s="10" t="inlineStr">
        <is>
          <t>1404401012</t>
        </is>
      </c>
      <c r="E1512" s="26" t="inlineStr">
        <is>
          <t>Cordillera Administrative Region (CAR)</t>
        </is>
      </c>
      <c r="F1512" s="26" t="inlineStr">
        <is>
          <t>Mountain Province</t>
        </is>
      </c>
      <c r="G1512" s="26" t="inlineStr">
        <is>
          <t>Barlig</t>
        </is>
      </c>
      <c r="H1512" s="26" t="inlineStr">
        <is>
          <t>Lias Silangan</t>
        </is>
      </c>
      <c r="I1512" s="27" t="n">
        <v>17.084068</v>
      </c>
      <c r="J1512" s="27" t="n">
        <v>121.143748</v>
      </c>
      <c r="K1512" s="10" t="inlineStr">
        <is>
          <t>R</t>
        </is>
      </c>
      <c r="L1512" s="12" t="n">
        <v>354</v>
      </c>
      <c r="M1512" s="14" t="n">
        <v>3.7</v>
      </c>
      <c r="N1512" s="12">
        <f>ROUND(L1512/M1512, 0)</f>
        <v/>
      </c>
      <c r="O1512" s="12">
        <f>ROUND(N1512*'Methodology &amp; Assumptions'!$B$5, 0)</f>
        <v/>
      </c>
      <c r="P1512" s="10" t="inlineStr">
        <is>
          <t>Single Carrier (Band n50, 100MHz TDD)</t>
        </is>
      </c>
      <c r="Q1512" s="13">
        <f>ROUNDUP(O1512/'Methodology &amp; Assumptions'!$B$6, 0)</f>
        <v/>
      </c>
      <c r="R1512" s="13" t="n">
        <v>1</v>
      </c>
      <c r="S1512" s="14" t="n">
        <v>14.01</v>
      </c>
      <c r="T1512" s="14" t="n">
        <v>10.83</v>
      </c>
      <c r="U1512" s="26">
        <f>IF(X1512&gt;='Methodology &amp; Assumptions'!$B$7, "Tier 1 Critical GIDA (Score ≥ 50.0)", IF(X1512&gt;='Methodology &amp; Assumptions'!$B$8, "Tier 2 High GIDA (Score 40.0–49.9)", "Tier 3 Moderate GIDA (Score &lt; 40.0)"))</f>
        <v/>
      </c>
      <c r="V1512" s="26">
        <f>IF(S1512&lt;='Methodology &amp; Assumptions'!$B$10, "Direct Optical Drop (&lt;3km)", IF(S1512&lt;='Methodology &amp; Assumptions'!$B$9, "Near Optical / Microwave (&lt;5km)", "Starlink Business LEO Satellite Backhaul (&gt;5km)"))</f>
        <v/>
      </c>
      <c r="W1512" s="28" t="n">
        <v>0.109</v>
      </c>
      <c r="X1512" s="14" t="n">
        <v>42.74</v>
      </c>
      <c r="Y1512" s="14">
        <f>ROUND(MIN(100, (X1512/69.91)*100), 2)</f>
        <v/>
      </c>
    </row>
    <row r="1513">
      <c r="A1513" s="10" t="n">
        <v>5</v>
      </c>
      <c r="B1513" s="10" t="n">
        <v>509</v>
      </c>
      <c r="C1513" s="10" t="n">
        <v>4509</v>
      </c>
      <c r="D1513" s="10" t="inlineStr">
        <is>
          <t>PH0004509</t>
        </is>
      </c>
      <c r="E1513" s="26" t="inlineStr">
        <is>
          <t>VIII</t>
        </is>
      </c>
      <c r="F1513" s="26" t="inlineStr">
        <is>
          <t>Samar (Western Samar)</t>
        </is>
      </c>
      <c r="G1513" s="26" t="inlineStr">
        <is>
          <t>Catbalogan City</t>
        </is>
      </c>
      <c r="H1513" s="26" t="inlineStr">
        <is>
          <t>Poblacion 4</t>
        </is>
      </c>
      <c r="I1513" s="27" t="n">
        <v>12.898999</v>
      </c>
      <c r="J1513" s="27" t="n">
        <v>121.790612</v>
      </c>
      <c r="K1513" s="10" t="inlineStr">
        <is>
          <t>R</t>
        </is>
      </c>
      <c r="L1513" s="12" t="n">
        <v>2229</v>
      </c>
      <c r="M1513" s="14" t="n">
        <v>4.1</v>
      </c>
      <c r="N1513" s="12">
        <f>ROUND(L1513/M1513, 0)</f>
        <v/>
      </c>
      <c r="O1513" s="12">
        <f>ROUND(N1513*'Methodology &amp; Assumptions'!$B$5, 0)</f>
        <v/>
      </c>
      <c r="P1513" s="10" t="inlineStr">
        <is>
          <t>Single Carrier (Band n50, 100MHz TDD)</t>
        </is>
      </c>
      <c r="Q1513" s="13">
        <f>ROUNDUP(O1513/'Methodology &amp; Assumptions'!$B$6, 0)</f>
        <v/>
      </c>
      <c r="R1513" s="13" t="n">
        <v>1</v>
      </c>
      <c r="S1513" s="14" t="n">
        <v>34.59</v>
      </c>
      <c r="T1513" s="14" t="n">
        <v>34.45</v>
      </c>
      <c r="U1513" s="26">
        <f>IF(X1513&gt;='Methodology &amp; Assumptions'!$B$7, "Tier 1 Critical GIDA (Score ≥ 50.0)", IF(X1513&gt;='Methodology &amp; Assumptions'!$B$8, "Tier 2 High GIDA (Score 40.0–49.9)", "Tier 3 Moderate GIDA (Score &lt; 40.0)"))</f>
        <v/>
      </c>
      <c r="V1513" s="26">
        <f>IF(S1513&lt;='Methodology &amp; Assumptions'!$B$10, "Direct Optical Drop (&lt;3km)", IF(S1513&lt;='Methodology &amp; Assumptions'!$B$9, "Near Optical / Microwave (&lt;5km)", "Starlink Business LEO Satellite Backhaul (&gt;5km)"))</f>
        <v/>
      </c>
      <c r="W1513" s="28" t="n">
        <v>0.222</v>
      </c>
      <c r="X1513" s="14" t="n">
        <v>42.74</v>
      </c>
      <c r="Y1513" s="14">
        <f>ROUND(MIN(100, (X1513/69.91)*100), 2)</f>
        <v/>
      </c>
    </row>
    <row r="1514">
      <c r="A1514" s="10" t="n">
        <v>5</v>
      </c>
      <c r="B1514" s="10" t="n">
        <v>510</v>
      </c>
      <c r="C1514" s="10" t="n">
        <v>4510</v>
      </c>
      <c r="D1514" s="10" t="inlineStr">
        <is>
          <t>1003515001</t>
        </is>
      </c>
      <c r="E1514" s="26" t="inlineStr">
        <is>
          <t>Region X (Northern Mindanao)</t>
        </is>
      </c>
      <c r="F1514" s="26" t="inlineStr">
        <is>
          <t>Lanao del Norte</t>
        </is>
      </c>
      <c r="G1514" s="26" t="inlineStr">
        <is>
          <t>Nunungan</t>
        </is>
      </c>
      <c r="H1514" s="26" t="inlineStr">
        <is>
          <t>Abaga</t>
        </is>
      </c>
      <c r="I1514" s="27" t="n">
        <v>7.809176</v>
      </c>
      <c r="J1514" s="27" t="n">
        <v>123.889419</v>
      </c>
      <c r="K1514" s="10" t="inlineStr">
        <is>
          <t>R</t>
        </is>
      </c>
      <c r="L1514" s="12" t="n">
        <v>550</v>
      </c>
      <c r="M1514" s="14" t="n">
        <v>4.2</v>
      </c>
      <c r="N1514" s="12">
        <f>ROUND(L1514/M1514, 0)</f>
        <v/>
      </c>
      <c r="O1514" s="12">
        <f>ROUND(N1514*'Methodology &amp; Assumptions'!$B$5, 0)</f>
        <v/>
      </c>
      <c r="P1514" s="10" t="inlineStr">
        <is>
          <t>Single Carrier (Band n50, 100MHz TDD)</t>
        </is>
      </c>
      <c r="Q1514" s="13">
        <f>ROUNDUP(O1514/'Methodology &amp; Assumptions'!$B$6, 0)</f>
        <v/>
      </c>
      <c r="R1514" s="13" t="n">
        <v>1</v>
      </c>
      <c r="S1514" s="14" t="n">
        <v>27.83</v>
      </c>
      <c r="T1514" s="14" t="n">
        <v>16.46</v>
      </c>
      <c r="U1514" s="26">
        <f>IF(X1514&gt;='Methodology &amp; Assumptions'!$B$7, "Tier 1 Critical GIDA (Score ≥ 50.0)", IF(X1514&gt;='Methodology &amp; Assumptions'!$B$8, "Tier 2 High GIDA (Score 40.0–49.9)", "Tier 3 Moderate GIDA (Score &lt; 40.0)"))</f>
        <v/>
      </c>
      <c r="V1514" s="26">
        <f>IF(S1514&lt;='Methodology &amp; Assumptions'!$B$10, "Direct Optical Drop (&lt;3km)", IF(S1514&lt;='Methodology &amp; Assumptions'!$B$9, "Near Optical / Microwave (&lt;5km)", "Starlink Business LEO Satellite Backhaul (&gt;5km)"))</f>
        <v/>
      </c>
      <c r="W1514" s="28" t="n">
        <v>0.174</v>
      </c>
      <c r="X1514" s="14" t="n">
        <v>42.73</v>
      </c>
      <c r="Y1514" s="14">
        <f>ROUND(MIN(100, (X1514/69.91)*100), 2)</f>
        <v/>
      </c>
    </row>
    <row r="1515">
      <c r="A1515" s="10" t="n">
        <v>5</v>
      </c>
      <c r="B1515" s="10" t="n">
        <v>511</v>
      </c>
      <c r="C1515" s="10" t="n">
        <v>4511</v>
      </c>
      <c r="D1515" s="10" t="inlineStr">
        <is>
          <t>1907002014</t>
        </is>
      </c>
      <c r="E1515" s="26" t="inlineStr">
        <is>
          <t>Bangsamoro Autonomous Region In Muslim Mindanao (BARMM)</t>
        </is>
      </c>
      <c r="F1515" s="26" t="inlineStr">
        <is>
          <t>Tawi-Tawi</t>
        </is>
      </c>
      <c r="G1515" s="26" t="inlineStr">
        <is>
          <t>Bongao</t>
        </is>
      </c>
      <c r="H1515" s="26" t="inlineStr">
        <is>
          <t>Luuk Pandan</t>
        </is>
      </c>
      <c r="I1515" s="27" t="n">
        <v>14.501177</v>
      </c>
      <c r="J1515" s="27" t="n">
        <v>121.68198</v>
      </c>
      <c r="K1515" s="10" t="inlineStr">
        <is>
          <t>R</t>
        </is>
      </c>
      <c r="L1515" s="12" t="n">
        <v>3101</v>
      </c>
      <c r="M1515" s="14" t="n">
        <v>5.8</v>
      </c>
      <c r="N1515" s="12">
        <f>ROUND(L1515/M1515, 0)</f>
        <v/>
      </c>
      <c r="O1515" s="12">
        <f>ROUND(N1515*'Methodology &amp; Assumptions'!$B$5, 0)</f>
        <v/>
      </c>
      <c r="P1515" s="10" t="inlineStr">
        <is>
          <t>Single Carrier (Band n50, 100MHz TDD)</t>
        </is>
      </c>
      <c r="Q1515" s="13">
        <f>ROUNDUP(O1515/'Methodology &amp; Assumptions'!$B$6, 0)</f>
        <v/>
      </c>
      <c r="R1515" s="13" t="n">
        <v>1</v>
      </c>
      <c r="S1515" s="14" t="n">
        <v>5.74</v>
      </c>
      <c r="T1515" s="14" t="n">
        <v>24.78</v>
      </c>
      <c r="U1515" s="26">
        <f>IF(X1515&gt;='Methodology &amp; Assumptions'!$B$7, "Tier 1 Critical GIDA (Score ≥ 50.0)", IF(X1515&gt;='Methodology &amp; Assumptions'!$B$8, "Tier 2 High GIDA (Score 40.0–49.9)", "Tier 3 Moderate GIDA (Score &lt; 40.0)"))</f>
        <v/>
      </c>
      <c r="V1515" s="26">
        <f>IF(S1515&lt;='Methodology &amp; Assumptions'!$B$10, "Direct Optical Drop (&lt;3km)", IF(S1515&lt;='Methodology &amp; Assumptions'!$B$9, "Near Optical / Microwave (&lt;5km)", "Starlink Business LEO Satellite Backhaul (&gt;5km)"))</f>
        <v/>
      </c>
      <c r="W1515" s="28" t="n">
        <v>0.11</v>
      </c>
      <c r="X1515" s="14" t="n">
        <v>42.73</v>
      </c>
      <c r="Y1515" s="14">
        <f>ROUND(MIN(100, (X1515/69.91)*100), 2)</f>
        <v/>
      </c>
    </row>
    <row r="1516">
      <c r="A1516" s="10" t="n">
        <v>5</v>
      </c>
      <c r="B1516" s="10" t="n">
        <v>512</v>
      </c>
      <c r="C1516" s="10" t="n">
        <v>4512</v>
      </c>
      <c r="D1516" s="10" t="inlineStr">
        <is>
          <t>1004208027</t>
        </is>
      </c>
      <c r="E1516" s="26" t="inlineStr">
        <is>
          <t>Region X (Northern Mindanao)</t>
        </is>
      </c>
      <c r="F1516" s="26" t="inlineStr">
        <is>
          <t>Misamis Occidental</t>
        </is>
      </c>
      <c r="G1516" s="26" t="inlineStr">
        <is>
          <t>Lopez Jaena</t>
        </is>
      </c>
      <c r="H1516" s="26" t="inlineStr">
        <is>
          <t>Don Andres Soriano</t>
        </is>
      </c>
      <c r="I1516" s="27" t="n">
        <v>8.472690999999999</v>
      </c>
      <c r="J1516" s="27" t="n">
        <v>123.668841</v>
      </c>
      <c r="K1516" s="10" t="inlineStr">
        <is>
          <t>R</t>
        </is>
      </c>
      <c r="L1516" s="12" t="n">
        <v>309</v>
      </c>
      <c r="M1516" s="14" t="n">
        <v>3.9</v>
      </c>
      <c r="N1516" s="12">
        <f>ROUND(L1516/M1516, 0)</f>
        <v/>
      </c>
      <c r="O1516" s="12">
        <f>ROUND(N1516*'Methodology &amp; Assumptions'!$B$5, 0)</f>
        <v/>
      </c>
      <c r="P1516" s="10" t="inlineStr">
        <is>
          <t>Single Carrier (Band n50, 100MHz TDD)</t>
        </is>
      </c>
      <c r="Q1516" s="13">
        <f>ROUNDUP(O1516/'Methodology &amp; Assumptions'!$B$6, 0)</f>
        <v/>
      </c>
      <c r="R1516" s="13" t="n">
        <v>1</v>
      </c>
      <c r="S1516" s="14" t="n">
        <v>49.89</v>
      </c>
      <c r="T1516" s="14" t="n">
        <v>45.75</v>
      </c>
      <c r="U1516" s="26">
        <f>IF(X1516&gt;='Methodology &amp; Assumptions'!$B$7, "Tier 1 Critical GIDA (Score ≥ 50.0)", IF(X1516&gt;='Methodology &amp; Assumptions'!$B$8, "Tier 2 High GIDA (Score 40.0–49.9)", "Tier 3 Moderate GIDA (Score &lt; 40.0)"))</f>
        <v/>
      </c>
      <c r="V1516" s="26">
        <f>IF(S1516&lt;='Methodology &amp; Assumptions'!$B$10, "Direct Optical Drop (&lt;3km)", IF(S1516&lt;='Methodology &amp; Assumptions'!$B$9, "Near Optical / Microwave (&lt;5km)", "Starlink Business LEO Satellite Backhaul (&gt;5km)"))</f>
        <v/>
      </c>
      <c r="W1516" s="28" t="n">
        <v>0.174</v>
      </c>
      <c r="X1516" s="14" t="n">
        <v>42.72</v>
      </c>
      <c r="Y1516" s="14">
        <f>ROUND(MIN(100, (X1516/69.91)*100), 2)</f>
        <v/>
      </c>
    </row>
    <row r="1517">
      <c r="A1517" s="10" t="n">
        <v>5</v>
      </c>
      <c r="B1517" s="10" t="n">
        <v>513</v>
      </c>
      <c r="C1517" s="10" t="n">
        <v>4513</v>
      </c>
      <c r="D1517" s="10" t="inlineStr">
        <is>
          <t>1908814007</t>
        </is>
      </c>
      <c r="E1517" s="26" t="inlineStr">
        <is>
          <t>Bangsamoro Autonomous Region In Muslim Mindanao (BARMM)</t>
        </is>
      </c>
      <c r="F1517" s="26" t="inlineStr">
        <is>
          <t>Maguindanao del Sur</t>
        </is>
      </c>
      <c r="G1517" s="26" t="inlineStr">
        <is>
          <t>Mangudadatu</t>
        </is>
      </c>
      <c r="H1517" s="26" t="inlineStr">
        <is>
          <t>Tinambulan</t>
        </is>
      </c>
      <c r="I1517" s="27" t="n">
        <v>17.251547</v>
      </c>
      <c r="J1517" s="27" t="n">
        <v>122.232741</v>
      </c>
      <c r="K1517" s="10" t="inlineStr">
        <is>
          <t>R</t>
        </is>
      </c>
      <c r="L1517" s="12" t="n">
        <v>2730</v>
      </c>
      <c r="M1517" s="14" t="n">
        <v>4.7</v>
      </c>
      <c r="N1517" s="12">
        <f>ROUND(L1517/M1517, 0)</f>
        <v/>
      </c>
      <c r="O1517" s="12">
        <f>ROUND(N1517*'Methodology &amp; Assumptions'!$B$5, 0)</f>
        <v/>
      </c>
      <c r="P1517" s="10" t="inlineStr">
        <is>
          <t>Single Carrier (Band n50, 100MHz TDD)</t>
        </is>
      </c>
      <c r="Q1517" s="13">
        <f>ROUNDUP(O1517/'Methodology &amp; Assumptions'!$B$6, 0)</f>
        <v/>
      </c>
      <c r="R1517" s="13" t="n">
        <v>1</v>
      </c>
      <c r="S1517" s="14" t="n">
        <v>29.5</v>
      </c>
      <c r="T1517" s="14" t="n">
        <v>34.59</v>
      </c>
      <c r="U1517" s="26">
        <f>IF(X1517&gt;='Methodology &amp; Assumptions'!$B$7, "Tier 1 Critical GIDA (Score ≥ 50.0)", IF(X1517&gt;='Methodology &amp; Assumptions'!$B$8, "Tier 2 High GIDA (Score 40.0–49.9)", "Tier 3 Moderate GIDA (Score &lt; 40.0)"))</f>
        <v/>
      </c>
      <c r="V1517" s="26">
        <f>IF(S1517&lt;='Methodology &amp; Assumptions'!$B$10, "Direct Optical Drop (&lt;3km)", IF(S1517&lt;='Methodology &amp; Assumptions'!$B$9, "Near Optical / Microwave (&lt;5km)", "Starlink Business LEO Satellite Backhaul (&gt;5km)"))</f>
        <v/>
      </c>
      <c r="W1517" s="28" t="n">
        <v>0.11</v>
      </c>
      <c r="X1517" s="14" t="n">
        <v>42.72</v>
      </c>
      <c r="Y1517" s="14">
        <f>ROUND(MIN(100, (X1517/69.91)*100), 2)</f>
        <v/>
      </c>
    </row>
    <row r="1518">
      <c r="A1518" s="10" t="n">
        <v>5</v>
      </c>
      <c r="B1518" s="10" t="n">
        <v>514</v>
      </c>
      <c r="C1518" s="10" t="n">
        <v>4514</v>
      </c>
      <c r="D1518" s="10" t="inlineStr">
        <is>
          <t>0402106078</t>
        </is>
      </c>
      <c r="E1518" s="26" t="inlineStr">
        <is>
          <t>Region IV-A (CALABARZON)</t>
        </is>
      </c>
      <c r="F1518" s="26" t="inlineStr">
        <is>
          <t>Cavite</t>
        </is>
      </c>
      <c r="G1518" s="26" t="inlineStr">
        <is>
          <t>City of Dasmariñas</t>
        </is>
      </c>
      <c r="H1518" s="26" t="inlineStr">
        <is>
          <t>Santo Niño II</t>
        </is>
      </c>
      <c r="I1518" s="27" t="n">
        <v>14.363627</v>
      </c>
      <c r="J1518" s="27" t="n">
        <v>120.956035</v>
      </c>
      <c r="K1518" s="10" t="inlineStr">
        <is>
          <t>R</t>
        </is>
      </c>
      <c r="L1518" s="12" t="n">
        <v>2881</v>
      </c>
      <c r="M1518" s="14" t="n">
        <v>3.4</v>
      </c>
      <c r="N1518" s="12">
        <f>ROUND(L1518/M1518, 0)</f>
        <v/>
      </c>
      <c r="O1518" s="12">
        <f>ROUND(N1518*'Methodology &amp; Assumptions'!$B$5, 0)</f>
        <v/>
      </c>
      <c r="P1518" s="10" t="inlineStr">
        <is>
          <t>Single Carrier (Band n50, 100MHz TDD)</t>
        </is>
      </c>
      <c r="Q1518" s="13">
        <f>ROUNDUP(O1518/'Methodology &amp; Assumptions'!$B$6, 0)</f>
        <v/>
      </c>
      <c r="R1518" s="13" t="n">
        <v>1</v>
      </c>
      <c r="S1518" s="14" t="n">
        <v>2.29</v>
      </c>
      <c r="T1518" s="14" t="n">
        <v>5.84</v>
      </c>
      <c r="U1518" s="26">
        <f>IF(X1518&gt;='Methodology &amp; Assumptions'!$B$7, "Tier 1 Critical GIDA (Score ≥ 50.0)", IF(X1518&gt;='Methodology &amp; Assumptions'!$B$8, "Tier 2 High GIDA (Score 40.0–49.9)", "Tier 3 Moderate GIDA (Score &lt; 40.0)"))</f>
        <v/>
      </c>
      <c r="V1518" s="26">
        <f>IF(S1518&lt;='Methodology &amp; Assumptions'!$B$10, "Direct Optical Drop (&lt;3km)", IF(S1518&lt;='Methodology &amp; Assumptions'!$B$9, "Near Optical / Microwave (&lt;5km)", "Starlink Business LEO Satellite Backhaul (&gt;5km)"))</f>
        <v/>
      </c>
      <c r="W1518" s="28" t="n">
        <v>0.07200000000000001</v>
      </c>
      <c r="X1518" s="14" t="n">
        <v>42.71</v>
      </c>
      <c r="Y1518" s="14">
        <f>ROUND(MIN(100, (X1518/69.91)*100), 2)</f>
        <v/>
      </c>
    </row>
    <row r="1519">
      <c r="A1519" s="10" t="n">
        <v>5</v>
      </c>
      <c r="B1519" s="10" t="n">
        <v>515</v>
      </c>
      <c r="C1519" s="10" t="n">
        <v>4515</v>
      </c>
      <c r="D1519" s="10" t="inlineStr">
        <is>
          <t>1908706005</t>
        </is>
      </c>
      <c r="E1519" s="26" t="inlineStr">
        <is>
          <t>Bangsamoro Autonomous Region In Muslim Mindanao (BARMM)</t>
        </is>
      </c>
      <c r="F1519" s="26" t="inlineStr">
        <is>
          <t>Maguindanao del Norte</t>
        </is>
      </c>
      <c r="G1519" s="26" t="inlineStr">
        <is>
          <t>Kabuntalan</t>
        </is>
      </c>
      <c r="H1519" s="26" t="inlineStr">
        <is>
          <t>Ganta</t>
        </is>
      </c>
      <c r="I1519" s="27" t="n">
        <v>17.2541</v>
      </c>
      <c r="J1519" s="27" t="n">
        <v>122.228144</v>
      </c>
      <c r="K1519" s="10" t="inlineStr">
        <is>
          <t>R</t>
        </is>
      </c>
      <c r="L1519" s="12" t="n">
        <v>2917</v>
      </c>
      <c r="M1519" s="14" t="n">
        <v>4.3</v>
      </c>
      <c r="N1519" s="12">
        <f>ROUND(L1519/M1519, 0)</f>
        <v/>
      </c>
      <c r="O1519" s="12">
        <f>ROUND(N1519*'Methodology &amp; Assumptions'!$B$5, 0)</f>
        <v/>
      </c>
      <c r="P1519" s="10" t="inlineStr">
        <is>
          <t>Single Carrier (Band n50, 100MHz TDD)</t>
        </is>
      </c>
      <c r="Q1519" s="13">
        <f>ROUNDUP(O1519/'Methodology &amp; Assumptions'!$B$6, 0)</f>
        <v/>
      </c>
      <c r="R1519" s="13" t="n">
        <v>1</v>
      </c>
      <c r="S1519" s="14" t="n">
        <v>29.3</v>
      </c>
      <c r="T1519" s="14" t="n">
        <v>34.2</v>
      </c>
      <c r="U1519" s="26">
        <f>IF(X1519&gt;='Methodology &amp; Assumptions'!$B$7, "Tier 1 Critical GIDA (Score ≥ 50.0)", IF(X1519&gt;='Methodology &amp; Assumptions'!$B$8, "Tier 2 High GIDA (Score 40.0–49.9)", "Tier 3 Moderate GIDA (Score &lt; 40.0)"))</f>
        <v/>
      </c>
      <c r="V1519" s="26">
        <f>IF(S1519&lt;='Methodology &amp; Assumptions'!$B$10, "Direct Optical Drop (&lt;3km)", IF(S1519&lt;='Methodology &amp; Assumptions'!$B$9, "Near Optical / Microwave (&lt;5km)", "Starlink Business LEO Satellite Backhaul (&gt;5km)"))</f>
        <v/>
      </c>
      <c r="W1519" s="28" t="n">
        <v>0.11</v>
      </c>
      <c r="X1519" s="14" t="n">
        <v>42.71</v>
      </c>
      <c r="Y1519" s="14">
        <f>ROUND(MIN(100, (X1519/69.91)*100), 2)</f>
        <v/>
      </c>
    </row>
    <row r="1520">
      <c r="A1520" s="10" t="n">
        <v>5</v>
      </c>
      <c r="B1520" s="10" t="n">
        <v>516</v>
      </c>
      <c r="C1520" s="10" t="n">
        <v>4516</v>
      </c>
      <c r="D1520" s="10" t="inlineStr">
        <is>
          <t>PH0004516</t>
        </is>
      </c>
      <c r="E1520" s="26" t="inlineStr">
        <is>
          <t>XIII</t>
        </is>
      </c>
      <c r="F1520" s="26" t="inlineStr">
        <is>
          <t>Surigao Del Norte</t>
        </is>
      </c>
      <c r="G1520" s="26" t="inlineStr">
        <is>
          <t>Surigao City</t>
        </is>
      </c>
      <c r="H1520" s="26" t="inlineStr">
        <is>
          <t>Baybay</t>
        </is>
      </c>
      <c r="I1520" s="27" t="n">
        <v>9.757133</v>
      </c>
      <c r="J1520" s="27" t="n">
        <v>125.514244</v>
      </c>
      <c r="K1520" s="10" t="inlineStr">
        <is>
          <t>R</t>
        </is>
      </c>
      <c r="L1520" s="12" t="n">
        <v>2328</v>
      </c>
      <c r="M1520" s="14" t="n">
        <v>4.1</v>
      </c>
      <c r="N1520" s="12">
        <f>ROUND(L1520/M1520, 0)</f>
        <v/>
      </c>
      <c r="O1520" s="12">
        <f>ROUND(N1520*'Methodology &amp; Assumptions'!$B$5, 0)</f>
        <v/>
      </c>
      <c r="P1520" s="10" t="inlineStr">
        <is>
          <t>Single Carrier (Band n50, 100MHz TDD)</t>
        </is>
      </c>
      <c r="Q1520" s="13">
        <f>ROUNDUP(O1520/'Methodology &amp; Assumptions'!$B$6, 0)</f>
        <v/>
      </c>
      <c r="R1520" s="13" t="n">
        <v>1</v>
      </c>
      <c r="S1520" s="14" t="n">
        <v>4.04</v>
      </c>
      <c r="T1520" s="14" t="n">
        <v>0.06</v>
      </c>
      <c r="U1520" s="26">
        <f>IF(X1520&gt;='Methodology &amp; Assumptions'!$B$7, "Tier 1 Critical GIDA (Score ≥ 50.0)", IF(X1520&gt;='Methodology &amp; Assumptions'!$B$8, "Tier 2 High GIDA (Score 40.0–49.9)", "Tier 3 Moderate GIDA (Score &lt; 40.0)"))</f>
        <v/>
      </c>
      <c r="V1520" s="26">
        <f>IF(S1520&lt;='Methodology &amp; Assumptions'!$B$10, "Direct Optical Drop (&lt;3km)", IF(S1520&lt;='Methodology &amp; Assumptions'!$B$9, "Near Optical / Microwave (&lt;5km)", "Starlink Business LEO Satellite Backhaul (&gt;5km)"))</f>
        <v/>
      </c>
      <c r="W1520" s="28" t="n">
        <v>0.109</v>
      </c>
      <c r="X1520" s="14" t="n">
        <v>42.71</v>
      </c>
      <c r="Y1520" s="14">
        <f>ROUND(MIN(100, (X1520/69.91)*100), 2)</f>
        <v/>
      </c>
    </row>
    <row r="1521">
      <c r="A1521" s="10" t="n">
        <v>5</v>
      </c>
      <c r="B1521" s="10" t="n">
        <v>517</v>
      </c>
      <c r="C1521" s="10" t="n">
        <v>4517</v>
      </c>
      <c r="D1521" s="10" t="inlineStr">
        <is>
          <t>1402708010</t>
        </is>
      </c>
      <c r="E1521" s="26" t="inlineStr">
        <is>
          <t>Cordillera Administrative Region (CAR)</t>
        </is>
      </c>
      <c r="F1521" s="26" t="inlineStr">
        <is>
          <t>Ifugao</t>
        </is>
      </c>
      <c r="G1521" s="26" t="inlineStr">
        <is>
          <t>Aguinaldo</t>
        </is>
      </c>
      <c r="H1521" s="26" t="inlineStr">
        <is>
          <t>Majlong</t>
        </is>
      </c>
      <c r="I1521" s="27" t="n">
        <v>16.963853</v>
      </c>
      <c r="J1521" s="27" t="n">
        <v>121.313835</v>
      </c>
      <c r="K1521" s="10" t="inlineStr">
        <is>
          <t>R</t>
        </is>
      </c>
      <c r="L1521" s="12" t="n">
        <v>532</v>
      </c>
      <c r="M1521" s="14" t="n">
        <v>3.9</v>
      </c>
      <c r="N1521" s="12">
        <f>ROUND(L1521/M1521, 0)</f>
        <v/>
      </c>
      <c r="O1521" s="12">
        <f>ROUND(N1521*'Methodology &amp; Assumptions'!$B$5, 0)</f>
        <v/>
      </c>
      <c r="P1521" s="10" t="inlineStr">
        <is>
          <t>Single Carrier (Band n50, 100MHz TDD)</t>
        </is>
      </c>
      <c r="Q1521" s="13">
        <f>ROUNDUP(O1521/'Methodology &amp; Assumptions'!$B$6, 0)</f>
        <v/>
      </c>
      <c r="R1521" s="13" t="n">
        <v>1</v>
      </c>
      <c r="S1521" s="14" t="n">
        <v>2.32</v>
      </c>
      <c r="T1521" s="14" t="n">
        <v>27.35</v>
      </c>
      <c r="U1521" s="26">
        <f>IF(X1521&gt;='Methodology &amp; Assumptions'!$B$7, "Tier 1 Critical GIDA (Score ≥ 50.0)", IF(X1521&gt;='Methodology &amp; Assumptions'!$B$8, "Tier 2 High GIDA (Score 40.0–49.9)", "Tier 3 Moderate GIDA (Score &lt; 40.0)"))</f>
        <v/>
      </c>
      <c r="V1521" s="26">
        <f>IF(S1521&lt;='Methodology &amp; Assumptions'!$B$10, "Direct Optical Drop (&lt;3km)", IF(S1521&lt;='Methodology &amp; Assumptions'!$B$9, "Near Optical / Microwave (&lt;5km)", "Starlink Business LEO Satellite Backhaul (&gt;5km)"))</f>
        <v/>
      </c>
      <c r="W1521" s="28" t="n">
        <v>0.109</v>
      </c>
      <c r="X1521" s="14" t="n">
        <v>42.7</v>
      </c>
      <c r="Y1521" s="14">
        <f>ROUND(MIN(100, (X1521/69.91)*100), 2)</f>
        <v/>
      </c>
    </row>
    <row r="1522">
      <c r="A1522" s="10" t="n">
        <v>5</v>
      </c>
      <c r="B1522" s="10" t="n">
        <v>518</v>
      </c>
      <c r="C1522" s="10" t="n">
        <v>4518</v>
      </c>
      <c r="D1522" s="10" t="inlineStr">
        <is>
          <t>1381300054</t>
        </is>
      </c>
      <c r="E1522" s="26" t="inlineStr">
        <is>
          <t>National Capital Region (NCR)</t>
        </is>
      </c>
      <c r="F1522" s="26" t="inlineStr">
        <is>
          <t>Second District (Not a Province)</t>
        </is>
      </c>
      <c r="G1522" s="26" t="inlineStr">
        <is>
          <t>Quezon City</t>
        </is>
      </c>
      <c r="H1522" s="26" t="inlineStr">
        <is>
          <t>Lourdes</t>
        </is>
      </c>
      <c r="I1522" s="27" t="n">
        <v>14.629809</v>
      </c>
      <c r="J1522" s="27" t="n">
        <v>120.999257</v>
      </c>
      <c r="K1522" s="10" t="inlineStr">
        <is>
          <t>U</t>
        </is>
      </c>
      <c r="L1522" s="12" t="n">
        <v>4713</v>
      </c>
      <c r="M1522" s="14" t="n">
        <v>3.8</v>
      </c>
      <c r="N1522" s="12">
        <f>ROUND(L1522/M1522, 0)</f>
        <v/>
      </c>
      <c r="O1522" s="12">
        <f>ROUND(N1522*'Methodology &amp; Assumptions'!$B$5, 0)</f>
        <v/>
      </c>
      <c r="P1522" s="10" t="inlineStr">
        <is>
          <t>Single Carrier (Band n50, 100MHz TDD)</t>
        </is>
      </c>
      <c r="Q1522" s="13">
        <f>ROUNDUP(O1522/'Methodology &amp; Assumptions'!$B$6, 0)</f>
        <v/>
      </c>
      <c r="R1522" s="13" t="n">
        <v>1</v>
      </c>
      <c r="S1522" s="14" t="n">
        <v>0.93</v>
      </c>
      <c r="T1522" s="14" t="n">
        <v>0.6</v>
      </c>
      <c r="U1522" s="26">
        <f>IF(X1522&gt;='Methodology &amp; Assumptions'!$B$7, "Tier 1 Critical GIDA (Score ≥ 50.0)", IF(X1522&gt;='Methodology &amp; Assumptions'!$B$8, "Tier 2 High GIDA (Score 40.0–49.9)", "Tier 3 Moderate GIDA (Score &lt; 40.0)"))</f>
        <v/>
      </c>
      <c r="V1522" s="26">
        <f>IF(S1522&lt;='Methodology &amp; Assumptions'!$B$10, "Direct Optical Drop (&lt;3km)", IF(S1522&lt;='Methodology &amp; Assumptions'!$B$9, "Near Optical / Microwave (&lt;5km)", "Starlink Business LEO Satellite Backhaul (&gt;5km)"))</f>
        <v/>
      </c>
      <c r="W1522" s="28" t="n">
        <v>0.109</v>
      </c>
      <c r="X1522" s="14" t="n">
        <v>42.7</v>
      </c>
      <c r="Y1522" s="14">
        <f>ROUND(MIN(100, (X1522/69.91)*100), 2)</f>
        <v/>
      </c>
    </row>
    <row r="1523">
      <c r="A1523" s="10" t="n">
        <v>5</v>
      </c>
      <c r="B1523" s="10" t="n">
        <v>519</v>
      </c>
      <c r="C1523" s="10" t="n">
        <v>4519</v>
      </c>
      <c r="D1523" s="10" t="inlineStr">
        <is>
          <t>PH0004519</t>
        </is>
      </c>
      <c r="E1523" s="26" t="inlineStr">
        <is>
          <t>VIII</t>
        </is>
      </c>
      <c r="F1523" s="26" t="inlineStr">
        <is>
          <t>Samar (Western Samar)</t>
        </is>
      </c>
      <c r="G1523" s="26" t="inlineStr">
        <is>
          <t>Catbalogan City</t>
        </is>
      </c>
      <c r="H1523" s="26" t="inlineStr">
        <is>
          <t>Poblacion 2</t>
        </is>
      </c>
      <c r="I1523" s="27" t="n">
        <v>12.853182</v>
      </c>
      <c r="J1523" s="27" t="n">
        <v>121.775188</v>
      </c>
      <c r="K1523" s="10" t="inlineStr">
        <is>
          <t>R</t>
        </is>
      </c>
      <c r="L1523" s="12" t="n">
        <v>2229</v>
      </c>
      <c r="M1523" s="14" t="n">
        <v>4.1</v>
      </c>
      <c r="N1523" s="12">
        <f>ROUND(L1523/M1523, 0)</f>
        <v/>
      </c>
      <c r="O1523" s="12">
        <f>ROUND(N1523*'Methodology &amp; Assumptions'!$B$5, 0)</f>
        <v/>
      </c>
      <c r="P1523" s="10" t="inlineStr">
        <is>
          <t>Single Carrier (Band n50, 100MHz TDD)</t>
        </is>
      </c>
      <c r="Q1523" s="13">
        <f>ROUNDUP(O1523/'Methodology &amp; Assumptions'!$B$6, 0)</f>
        <v/>
      </c>
      <c r="R1523" s="13" t="n">
        <v>1</v>
      </c>
      <c r="S1523" s="14" t="n">
        <v>33.49</v>
      </c>
      <c r="T1523" s="14" t="n">
        <v>33.09</v>
      </c>
      <c r="U1523" s="26">
        <f>IF(X1523&gt;='Methodology &amp; Assumptions'!$B$7, "Tier 1 Critical GIDA (Score ≥ 50.0)", IF(X1523&gt;='Methodology &amp; Assumptions'!$B$8, "Tier 2 High GIDA (Score 40.0–49.9)", "Tier 3 Moderate GIDA (Score &lt; 40.0)"))</f>
        <v/>
      </c>
      <c r="V1523" s="26">
        <f>IF(S1523&lt;='Methodology &amp; Assumptions'!$B$10, "Direct Optical Drop (&lt;3km)", IF(S1523&lt;='Methodology &amp; Assumptions'!$B$9, "Near Optical / Microwave (&lt;5km)", "Starlink Business LEO Satellite Backhaul (&gt;5km)"))</f>
        <v/>
      </c>
      <c r="W1523" s="28" t="n">
        <v>0.222</v>
      </c>
      <c r="X1523" s="14" t="n">
        <v>42.68</v>
      </c>
      <c r="Y1523" s="14">
        <f>ROUND(MIN(100, (X1523/69.91)*100), 2)</f>
        <v/>
      </c>
    </row>
    <row r="1524">
      <c r="A1524" s="10" t="n">
        <v>5</v>
      </c>
      <c r="B1524" s="10" t="n">
        <v>520</v>
      </c>
      <c r="C1524" s="10" t="n">
        <v>4520</v>
      </c>
      <c r="D1524" s="10" t="inlineStr">
        <is>
          <t>0702244011</t>
        </is>
      </c>
      <c r="E1524" s="26" t="inlineStr">
        <is>
          <t>Region VII (Central Visayas)</t>
        </is>
      </c>
      <c r="F1524" s="26" t="inlineStr">
        <is>
          <t>Cebu</t>
        </is>
      </c>
      <c r="G1524" s="26" t="inlineStr">
        <is>
          <t>Santa Fe</t>
        </is>
      </c>
      <c r="H1524" s="26" t="inlineStr">
        <is>
          <t>Talisay</t>
        </is>
      </c>
      <c r="I1524" s="27" t="n">
        <v>11.165912</v>
      </c>
      <c r="J1524" s="27" t="n">
        <v>123.805216</v>
      </c>
      <c r="K1524" s="10" t="inlineStr">
        <is>
          <t>U</t>
        </is>
      </c>
      <c r="L1524" s="12" t="n">
        <v>3232</v>
      </c>
      <c r="M1524" s="14" t="n">
        <v>3.8</v>
      </c>
      <c r="N1524" s="12">
        <f>ROUND(L1524/M1524, 0)</f>
        <v/>
      </c>
      <c r="O1524" s="12">
        <f>ROUND(N1524*'Methodology &amp; Assumptions'!$B$5, 0)</f>
        <v/>
      </c>
      <c r="P1524" s="10" t="inlineStr">
        <is>
          <t>Single Carrier (Band n50, 100MHz TDD)</t>
        </is>
      </c>
      <c r="Q1524" s="13">
        <f>ROUNDUP(O1524/'Methodology &amp; Assumptions'!$B$6, 0)</f>
        <v/>
      </c>
      <c r="R1524" s="13" t="n">
        <v>1</v>
      </c>
      <c r="S1524" s="14" t="n">
        <v>16.96</v>
      </c>
      <c r="T1524" s="14" t="n">
        <v>5.41</v>
      </c>
      <c r="U1524" s="26">
        <f>IF(X1524&gt;='Methodology &amp; Assumptions'!$B$7, "Tier 1 Critical GIDA (Score ≥ 50.0)", IF(X1524&gt;='Methodology &amp; Assumptions'!$B$8, "Tier 2 High GIDA (Score 40.0–49.9)", "Tier 3 Moderate GIDA (Score &lt; 40.0)"))</f>
        <v/>
      </c>
      <c r="V1524" s="26">
        <f>IF(S1524&lt;='Methodology &amp; Assumptions'!$B$10, "Direct Optical Drop (&lt;3km)", IF(S1524&lt;='Methodology &amp; Assumptions'!$B$9, "Near Optical / Microwave (&lt;5km)", "Starlink Business LEO Satellite Backhaul (&gt;5km)"))</f>
        <v/>
      </c>
      <c r="W1524" s="28" t="n">
        <v>0.237</v>
      </c>
      <c r="X1524" s="14" t="n">
        <v>42.68</v>
      </c>
      <c r="Y1524" s="14">
        <f>ROUND(MIN(100, (X1524/69.91)*100), 2)</f>
        <v/>
      </c>
    </row>
    <row r="1525">
      <c r="A1525" s="10" t="n">
        <v>5</v>
      </c>
      <c r="B1525" s="10" t="n">
        <v>521</v>
      </c>
      <c r="C1525" s="10" t="n">
        <v>4521</v>
      </c>
      <c r="D1525" s="10" t="inlineStr">
        <is>
          <t>1908813007</t>
        </is>
      </c>
      <c r="E1525" s="26" t="inlineStr">
        <is>
          <t>Bangsamoro Autonomous Region In Muslim Mindanao (BARMM)</t>
        </is>
      </c>
      <c r="F1525" s="26" t="inlineStr">
        <is>
          <t>Maguindanao del Sur</t>
        </is>
      </c>
      <c r="G1525" s="26" t="inlineStr">
        <is>
          <t>Mamasapano</t>
        </is>
      </c>
      <c r="H1525" s="26" t="inlineStr">
        <is>
          <t>Lusay</t>
        </is>
      </c>
      <c r="I1525" s="27" t="n">
        <v>17.255231</v>
      </c>
      <c r="J1525" s="27" t="n">
        <v>122.229275</v>
      </c>
      <c r="K1525" s="10" t="inlineStr">
        <is>
          <t>R</t>
        </is>
      </c>
      <c r="L1525" s="12" t="n">
        <v>1000</v>
      </c>
      <c r="M1525" s="14" t="n">
        <v>4.7</v>
      </c>
      <c r="N1525" s="12">
        <f>ROUND(L1525/M1525, 0)</f>
        <v/>
      </c>
      <c r="O1525" s="12">
        <f>ROUND(N1525*'Methodology &amp; Assumptions'!$B$5, 0)</f>
        <v/>
      </c>
      <c r="P1525" s="10" t="inlineStr">
        <is>
          <t>Single Carrier (Band n50, 100MHz TDD)</t>
        </is>
      </c>
      <c r="Q1525" s="13">
        <f>ROUNDUP(O1525/'Methodology &amp; Assumptions'!$B$6, 0)</f>
        <v/>
      </c>
      <c r="R1525" s="13" t="n">
        <v>1</v>
      </c>
      <c r="S1525" s="14" t="n">
        <v>29.47</v>
      </c>
      <c r="T1525" s="14" t="n">
        <v>34.35</v>
      </c>
      <c r="U1525" s="26">
        <f>IF(X1525&gt;='Methodology &amp; Assumptions'!$B$7, "Tier 1 Critical GIDA (Score ≥ 50.0)", IF(X1525&gt;='Methodology &amp; Assumptions'!$B$8, "Tier 2 High GIDA (Score 40.0–49.9)", "Tier 3 Moderate GIDA (Score &lt; 40.0)"))</f>
        <v/>
      </c>
      <c r="V1525" s="26">
        <f>IF(S1525&lt;='Methodology &amp; Assumptions'!$B$10, "Direct Optical Drop (&lt;3km)", IF(S1525&lt;='Methodology &amp; Assumptions'!$B$9, "Near Optical / Microwave (&lt;5km)", "Starlink Business LEO Satellite Backhaul (&gt;5km)"))</f>
        <v/>
      </c>
      <c r="W1525" s="28" t="n">
        <v>0.11</v>
      </c>
      <c r="X1525" s="14" t="n">
        <v>42.67</v>
      </c>
      <c r="Y1525" s="14">
        <f>ROUND(MIN(100, (X1525/69.91)*100), 2)</f>
        <v/>
      </c>
    </row>
    <row r="1526">
      <c r="A1526" s="10" t="n">
        <v>5</v>
      </c>
      <c r="B1526" s="10" t="n">
        <v>522</v>
      </c>
      <c r="C1526" s="10" t="n">
        <v>4522</v>
      </c>
      <c r="D1526" s="10" t="inlineStr">
        <is>
          <t>PH0004522</t>
        </is>
      </c>
      <c r="E1526" s="26" t="inlineStr">
        <is>
          <t>II</t>
        </is>
      </c>
      <c r="F1526" s="26" t="inlineStr">
        <is>
          <t>Isabela</t>
        </is>
      </c>
      <c r="G1526" s="26" t="inlineStr">
        <is>
          <t>Ilagan City</t>
        </is>
      </c>
      <c r="H1526" s="26" t="inlineStr">
        <is>
          <t>Salindingan</t>
        </is>
      </c>
      <c r="I1526" s="27" t="n">
        <v>17.07105</v>
      </c>
      <c r="J1526" s="27" t="n">
        <v>121.90876</v>
      </c>
      <c r="K1526" s="10" t="inlineStr">
        <is>
          <t>R</t>
        </is>
      </c>
      <c r="L1526" s="12" t="n">
        <v>2276</v>
      </c>
      <c r="M1526" s="14" t="n">
        <v>3.8</v>
      </c>
      <c r="N1526" s="12">
        <f>ROUND(L1526/M1526, 0)</f>
        <v/>
      </c>
      <c r="O1526" s="12">
        <f>ROUND(N1526*'Methodology &amp; Assumptions'!$B$5, 0)</f>
        <v/>
      </c>
      <c r="P1526" s="10" t="inlineStr">
        <is>
          <t>Single Carrier (Band n50, 100MHz TDD)</t>
        </is>
      </c>
      <c r="Q1526" s="13">
        <f>ROUNDUP(O1526/'Methodology &amp; Assumptions'!$B$6, 0)</f>
        <v/>
      </c>
      <c r="R1526" s="13" t="n">
        <v>1</v>
      </c>
      <c r="S1526" s="14" t="n">
        <v>6.17</v>
      </c>
      <c r="T1526" s="14" t="n">
        <v>5.35</v>
      </c>
      <c r="U1526" s="26">
        <f>IF(X1526&gt;='Methodology &amp; Assumptions'!$B$7, "Tier 1 Critical GIDA (Score ≥ 50.0)", IF(X1526&gt;='Methodology &amp; Assumptions'!$B$8, "Tier 2 High GIDA (Score 40.0–49.9)", "Tier 3 Moderate GIDA (Score &lt; 40.0)"))</f>
        <v/>
      </c>
      <c r="V1526" s="26">
        <f>IF(S1526&lt;='Methodology &amp; Assumptions'!$B$10, "Direct Optical Drop (&lt;3km)", IF(S1526&lt;='Methodology &amp; Assumptions'!$B$9, "Near Optical / Microwave (&lt;5km)", "Starlink Business LEO Satellite Backhaul (&gt;5km)"))</f>
        <v/>
      </c>
      <c r="W1526" s="28" t="n">
        <v>0.083</v>
      </c>
      <c r="X1526" s="14" t="n">
        <v>42.67</v>
      </c>
      <c r="Y1526" s="14">
        <f>ROUND(MIN(100, (X1526/69.91)*100), 2)</f>
        <v/>
      </c>
    </row>
    <row r="1527">
      <c r="A1527" s="10" t="n">
        <v>5</v>
      </c>
      <c r="B1527" s="10" t="n">
        <v>523</v>
      </c>
      <c r="C1527" s="10" t="n">
        <v>4523</v>
      </c>
      <c r="D1527" s="10" t="inlineStr">
        <is>
          <t>1408104011</t>
        </is>
      </c>
      <c r="E1527" s="26" t="inlineStr">
        <is>
          <t>Cordillera Administrative Region (CAR)</t>
        </is>
      </c>
      <c r="F1527" s="26" t="inlineStr">
        <is>
          <t>Apayao</t>
        </is>
      </c>
      <c r="G1527" s="26" t="inlineStr">
        <is>
          <t>Kabugao</t>
        </is>
      </c>
      <c r="H1527" s="26" t="inlineStr">
        <is>
          <t>Lenneng</t>
        </is>
      </c>
      <c r="I1527" s="27" t="n">
        <v>17.92352</v>
      </c>
      <c r="J1527" s="27" t="n">
        <v>121.214682</v>
      </c>
      <c r="K1527" s="10" t="inlineStr">
        <is>
          <t>R</t>
        </is>
      </c>
      <c r="L1527" s="12" t="n">
        <v>2618</v>
      </c>
      <c r="M1527" s="14" t="n">
        <v>4.2</v>
      </c>
      <c r="N1527" s="12">
        <f>ROUND(L1527/M1527, 0)</f>
        <v/>
      </c>
      <c r="O1527" s="12">
        <f>ROUND(N1527*'Methodology &amp; Assumptions'!$B$5, 0)</f>
        <v/>
      </c>
      <c r="P1527" s="10" t="inlineStr">
        <is>
          <t>Single Carrier (Band n50, 100MHz TDD)</t>
        </is>
      </c>
      <c r="Q1527" s="13">
        <f>ROUNDUP(O1527/'Methodology &amp; Assumptions'!$B$6, 0)</f>
        <v/>
      </c>
      <c r="R1527" s="13" t="n">
        <v>1</v>
      </c>
      <c r="S1527" s="14" t="n">
        <v>11.25</v>
      </c>
      <c r="T1527" s="14" t="n">
        <v>0.26</v>
      </c>
      <c r="U1527" s="26">
        <f>IF(X1527&gt;='Methodology &amp; Assumptions'!$B$7, "Tier 1 Critical GIDA (Score ≥ 50.0)", IF(X1527&gt;='Methodology &amp; Assumptions'!$B$8, "Tier 2 High GIDA (Score 40.0–49.9)", "Tier 3 Moderate GIDA (Score &lt; 40.0)"))</f>
        <v/>
      </c>
      <c r="V1527" s="26">
        <f>IF(S1527&lt;='Methodology &amp; Assumptions'!$B$10, "Direct Optical Drop (&lt;3km)", IF(S1527&lt;='Methodology &amp; Assumptions'!$B$9, "Near Optical / Microwave (&lt;5km)", "Starlink Business LEO Satellite Backhaul (&gt;5km)"))</f>
        <v/>
      </c>
      <c r="W1527" s="28" t="n">
        <v>0.109</v>
      </c>
      <c r="X1527" s="14" t="n">
        <v>42.67</v>
      </c>
      <c r="Y1527" s="14">
        <f>ROUND(MIN(100, (X1527/69.91)*100), 2)</f>
        <v/>
      </c>
    </row>
    <row r="1528">
      <c r="A1528" s="10" t="n">
        <v>5</v>
      </c>
      <c r="B1528" s="10" t="n">
        <v>524</v>
      </c>
      <c r="C1528" s="10" t="n">
        <v>4524</v>
      </c>
      <c r="D1528" s="10" t="inlineStr">
        <is>
          <t>PH0004524</t>
        </is>
      </c>
      <c r="E1528" s="26" t="inlineStr">
        <is>
          <t>VII</t>
        </is>
      </c>
      <c r="F1528" s="26" t="inlineStr">
        <is>
          <t>Cebu</t>
        </is>
      </c>
      <c r="G1528" s="26" t="inlineStr">
        <is>
          <t>Cebu City</t>
        </is>
      </c>
      <c r="H1528" s="26" t="inlineStr">
        <is>
          <t>Sawang Calero (Pob.)</t>
        </is>
      </c>
      <c r="I1528" s="27" t="n">
        <v>10.29068</v>
      </c>
      <c r="J1528" s="27" t="n">
        <v>123.890915</v>
      </c>
      <c r="K1528" s="10" t="inlineStr">
        <is>
          <t>R</t>
        </is>
      </c>
      <c r="L1528" s="12" t="n">
        <v>2250</v>
      </c>
      <c r="M1528" s="14" t="n">
        <v>3.8</v>
      </c>
      <c r="N1528" s="12">
        <f>ROUND(L1528/M1528, 0)</f>
        <v/>
      </c>
      <c r="O1528" s="12">
        <f>ROUND(N1528*'Methodology &amp; Assumptions'!$B$5, 0)</f>
        <v/>
      </c>
      <c r="P1528" s="10" t="inlineStr">
        <is>
          <t>Single Carrier (Band n50, 100MHz TDD)</t>
        </is>
      </c>
      <c r="Q1528" s="13">
        <f>ROUNDUP(O1528/'Methodology &amp; Assumptions'!$B$6, 0)</f>
        <v/>
      </c>
      <c r="R1528" s="13" t="n">
        <v>1</v>
      </c>
      <c r="S1528" s="14" t="n">
        <v>1.43</v>
      </c>
      <c r="T1528" s="14" t="n">
        <v>0.8100000000000001</v>
      </c>
      <c r="U1528" s="26">
        <f>IF(X1528&gt;='Methodology &amp; Assumptions'!$B$7, "Tier 1 Critical GIDA (Score ≥ 50.0)", IF(X1528&gt;='Methodology &amp; Assumptions'!$B$8, "Tier 2 High GIDA (Score 40.0–49.9)", "Tier 3 Moderate GIDA (Score &lt; 40.0)"))</f>
        <v/>
      </c>
      <c r="V1528" s="26">
        <f>IF(S1528&lt;='Methodology &amp; Assumptions'!$B$10, "Direct Optical Drop (&lt;3km)", IF(S1528&lt;='Methodology &amp; Assumptions'!$B$9, "Near Optical / Microwave (&lt;5km)", "Starlink Business LEO Satellite Backhaul (&gt;5km)"))</f>
        <v/>
      </c>
      <c r="W1528" s="28" t="n">
        <v>0.21</v>
      </c>
      <c r="X1528" s="14" t="n">
        <v>42.67</v>
      </c>
      <c r="Y1528" s="14">
        <f>ROUND(MIN(100, (X1528/69.91)*100), 2)</f>
        <v/>
      </c>
    </row>
    <row r="1529">
      <c r="A1529" s="10" t="n">
        <v>5</v>
      </c>
      <c r="B1529" s="10" t="n">
        <v>525</v>
      </c>
      <c r="C1529" s="10" t="n">
        <v>4525</v>
      </c>
      <c r="D1529" s="10" t="inlineStr">
        <is>
          <t>1906604007</t>
        </is>
      </c>
      <c r="E1529" s="26" t="inlineStr">
        <is>
          <t>Bangsamoro Autonomous Region In Muslim Mindanao (BARMM)</t>
        </is>
      </c>
      <c r="F1529" s="26" t="inlineStr">
        <is>
          <t>Sulu</t>
        </is>
      </c>
      <c r="G1529" s="26" t="inlineStr">
        <is>
          <t>Luuk</t>
        </is>
      </c>
      <c r="H1529" s="26" t="inlineStr">
        <is>
          <t>Kan-Bulak</t>
        </is>
      </c>
      <c r="I1529" s="27" t="n">
        <v>17.255526</v>
      </c>
      <c r="J1529" s="27" t="n">
        <v>122.22957</v>
      </c>
      <c r="K1529" s="10" t="inlineStr">
        <is>
          <t>R</t>
        </is>
      </c>
      <c r="L1529" s="12" t="n">
        <v>2403</v>
      </c>
      <c r="M1529" s="14" t="n">
        <v>6</v>
      </c>
      <c r="N1529" s="12">
        <f>ROUND(L1529/M1529, 0)</f>
        <v/>
      </c>
      <c r="O1529" s="12">
        <f>ROUND(N1529*'Methodology &amp; Assumptions'!$B$5, 0)</f>
        <v/>
      </c>
      <c r="P1529" s="10" t="inlineStr">
        <is>
          <t>Single Carrier (Band n50, 100MHz TDD)</t>
        </is>
      </c>
      <c r="Q1529" s="13">
        <f>ROUNDUP(O1529/'Methodology &amp; Assumptions'!$B$6, 0)</f>
        <v/>
      </c>
      <c r="R1529" s="13" t="n">
        <v>1</v>
      </c>
      <c r="S1529" s="14" t="n">
        <v>29.52</v>
      </c>
      <c r="T1529" s="14" t="n">
        <v>34.39</v>
      </c>
      <c r="U1529" s="26">
        <f>IF(X1529&gt;='Methodology &amp; Assumptions'!$B$7, "Tier 1 Critical GIDA (Score ≥ 50.0)", IF(X1529&gt;='Methodology &amp; Assumptions'!$B$8, "Tier 2 High GIDA (Score 40.0–49.9)", "Tier 3 Moderate GIDA (Score &lt; 40.0)"))</f>
        <v/>
      </c>
      <c r="V1529" s="26">
        <f>IF(S1529&lt;='Methodology &amp; Assumptions'!$B$10, "Direct Optical Drop (&lt;3km)", IF(S1529&lt;='Methodology &amp; Assumptions'!$B$9, "Near Optical / Microwave (&lt;5km)", "Starlink Business LEO Satellite Backhaul (&gt;5km)"))</f>
        <v/>
      </c>
      <c r="W1529" s="28" t="n">
        <v>0.11</v>
      </c>
      <c r="X1529" s="14" t="n">
        <v>42.67</v>
      </c>
      <c r="Y1529" s="14">
        <f>ROUND(MIN(100, (X1529/69.91)*100), 2)</f>
        <v/>
      </c>
    </row>
    <row r="1530">
      <c r="A1530" s="10" t="n">
        <v>5</v>
      </c>
      <c r="B1530" s="10" t="n">
        <v>526</v>
      </c>
      <c r="C1530" s="10" t="n">
        <v>4526</v>
      </c>
      <c r="D1530" s="10" t="inlineStr">
        <is>
          <t>1906617003</t>
        </is>
      </c>
      <c r="E1530" s="26" t="inlineStr">
        <is>
          <t>Bangsamoro Autonomous Region In Muslim Mindanao (BARMM)</t>
        </is>
      </c>
      <c r="F1530" s="26" t="inlineStr">
        <is>
          <t>Sulu</t>
        </is>
      </c>
      <c r="G1530" s="26" t="inlineStr">
        <is>
          <t>Lugus</t>
        </is>
      </c>
      <c r="H1530" s="26" t="inlineStr">
        <is>
          <t>Bas Lugus</t>
        </is>
      </c>
      <c r="I1530" s="27" t="n">
        <v>17.255496</v>
      </c>
      <c r="J1530" s="27" t="n">
        <v>122.22954</v>
      </c>
      <c r="K1530" s="10" t="inlineStr">
        <is>
          <t>R</t>
        </is>
      </c>
      <c r="L1530" s="12" t="n">
        <v>1174</v>
      </c>
      <c r="M1530" s="14" t="n">
        <v>6</v>
      </c>
      <c r="N1530" s="12">
        <f>ROUND(L1530/M1530, 0)</f>
        <v/>
      </c>
      <c r="O1530" s="12">
        <f>ROUND(N1530*'Methodology &amp; Assumptions'!$B$5, 0)</f>
        <v/>
      </c>
      <c r="P1530" s="10" t="inlineStr">
        <is>
          <t>Single Carrier (Band n50, 100MHz TDD)</t>
        </is>
      </c>
      <c r="Q1530" s="13">
        <f>ROUNDUP(O1530/'Methodology &amp; Assumptions'!$B$6, 0)</f>
        <v/>
      </c>
      <c r="R1530" s="13" t="n">
        <v>1</v>
      </c>
      <c r="S1530" s="14" t="n">
        <v>29.51</v>
      </c>
      <c r="T1530" s="14" t="n">
        <v>34.39</v>
      </c>
      <c r="U1530" s="26">
        <f>IF(X1530&gt;='Methodology &amp; Assumptions'!$B$7, "Tier 1 Critical GIDA (Score ≥ 50.0)", IF(X1530&gt;='Methodology &amp; Assumptions'!$B$8, "Tier 2 High GIDA (Score 40.0–49.9)", "Tier 3 Moderate GIDA (Score &lt; 40.0)"))</f>
        <v/>
      </c>
      <c r="V1530" s="26">
        <f>IF(S1530&lt;='Methodology &amp; Assumptions'!$B$10, "Direct Optical Drop (&lt;3km)", IF(S1530&lt;='Methodology &amp; Assumptions'!$B$9, "Near Optical / Microwave (&lt;5km)", "Starlink Business LEO Satellite Backhaul (&gt;5km)"))</f>
        <v/>
      </c>
      <c r="W1530" s="28" t="n">
        <v>0.11</v>
      </c>
      <c r="X1530" s="14" t="n">
        <v>42.66</v>
      </c>
      <c r="Y1530" s="14">
        <f>ROUND(MIN(100, (X1530/69.91)*100), 2)</f>
        <v/>
      </c>
    </row>
    <row r="1531">
      <c r="A1531" s="10" t="n">
        <v>5</v>
      </c>
      <c r="B1531" s="10" t="n">
        <v>527</v>
      </c>
      <c r="C1531" s="10" t="n">
        <v>4527</v>
      </c>
      <c r="D1531" s="10" t="inlineStr">
        <is>
          <t>0405813002</t>
        </is>
      </c>
      <c r="E1531" s="26" t="inlineStr">
        <is>
          <t>Region IV-A (CALABARZON)</t>
        </is>
      </c>
      <c r="F1531" s="26" t="inlineStr">
        <is>
          <t>Rizal</t>
        </is>
      </c>
      <c r="G1531" s="26" t="inlineStr">
        <is>
          <t>Taytay</t>
        </is>
      </c>
      <c r="H1531" s="26" t="inlineStr">
        <is>
          <t>Muzon</t>
        </is>
      </c>
      <c r="I1531" s="27" t="n">
        <v>14.543232</v>
      </c>
      <c r="J1531" s="27" t="n">
        <v>121.144372</v>
      </c>
      <c r="K1531" s="10" t="inlineStr">
        <is>
          <t>U</t>
        </is>
      </c>
      <c r="L1531" s="12" t="n">
        <v>32623</v>
      </c>
      <c r="M1531" s="14" t="n">
        <v>3.6</v>
      </c>
      <c r="N1531" s="12">
        <f>ROUND(L1531/M1531, 0)</f>
        <v/>
      </c>
      <c r="O1531" s="12">
        <f>ROUND(N1531*'Methodology &amp; Assumptions'!$B$5, 0)</f>
        <v/>
      </c>
      <c r="P1531" s="10" t="inlineStr">
        <is>
          <t>Single Carrier (Band n50, 100MHz TDD)</t>
        </is>
      </c>
      <c r="Q1531" s="13">
        <f>ROUNDUP(O1531/'Methodology &amp; Assumptions'!$B$6, 0)</f>
        <v/>
      </c>
      <c r="R1531" s="13" t="n">
        <v>1</v>
      </c>
      <c r="S1531" s="14" t="n">
        <v>1.97</v>
      </c>
      <c r="T1531" s="14" t="n">
        <v>0.03</v>
      </c>
      <c r="U1531" s="26">
        <f>IF(X1531&gt;='Methodology &amp; Assumptions'!$B$7, "Tier 1 Critical GIDA (Score ≥ 50.0)", IF(X1531&gt;='Methodology &amp; Assumptions'!$B$8, "Tier 2 High GIDA (Score 40.0–49.9)", "Tier 3 Moderate GIDA (Score &lt; 40.0)"))</f>
        <v/>
      </c>
      <c r="V1531" s="26">
        <f>IF(S1531&lt;='Methodology &amp; Assumptions'!$B$10, "Direct Optical Drop (&lt;3km)", IF(S1531&lt;='Methodology &amp; Assumptions'!$B$9, "Near Optical / Microwave (&lt;5km)", "Starlink Business LEO Satellite Backhaul (&gt;5km)"))</f>
        <v/>
      </c>
      <c r="W1531" s="28" t="n">
        <v>0.07200000000000001</v>
      </c>
      <c r="X1531" s="14" t="n">
        <v>42.66</v>
      </c>
      <c r="Y1531" s="14">
        <f>ROUND(MIN(100, (X1531/69.91)*100), 2)</f>
        <v/>
      </c>
    </row>
    <row r="1532">
      <c r="A1532" s="10" t="n">
        <v>5</v>
      </c>
      <c r="B1532" s="10" t="n">
        <v>528</v>
      </c>
      <c r="C1532" s="10" t="n">
        <v>4528</v>
      </c>
      <c r="D1532" s="10" t="inlineStr">
        <is>
          <t>PH0004528</t>
        </is>
      </c>
      <c r="E1532" s="26" t="inlineStr">
        <is>
          <t>IV-A</t>
        </is>
      </c>
      <c r="F1532" s="26" t="inlineStr">
        <is>
          <t>Quezon</t>
        </is>
      </c>
      <c r="G1532" s="26" t="inlineStr">
        <is>
          <t>Lucena City</t>
        </is>
      </c>
      <c r="H1532" s="26" t="inlineStr">
        <is>
          <t>Barangay 1 (Pob.)</t>
        </is>
      </c>
      <c r="I1532" s="27" t="n">
        <v>13.939057</v>
      </c>
      <c r="J1532" s="27" t="n">
        <v>121.610668</v>
      </c>
      <c r="K1532" s="10" t="inlineStr">
        <is>
          <t>R</t>
        </is>
      </c>
      <c r="L1532" s="12" t="n">
        <v>1964</v>
      </c>
      <c r="M1532" s="14" t="n">
        <v>3.8</v>
      </c>
      <c r="N1532" s="12">
        <f>ROUND(L1532/M1532, 0)</f>
        <v/>
      </c>
      <c r="O1532" s="12">
        <f>ROUND(N1532*'Methodology &amp; Assumptions'!$B$5, 0)</f>
        <v/>
      </c>
      <c r="P1532" s="10" t="inlineStr">
        <is>
          <t>Single Carrier (Band n50, 100MHz TDD)</t>
        </is>
      </c>
      <c r="Q1532" s="13">
        <f>ROUNDUP(O1532/'Methodology &amp; Assumptions'!$B$6, 0)</f>
        <v/>
      </c>
      <c r="R1532" s="13" t="n">
        <v>1</v>
      </c>
      <c r="S1532" s="14" t="n">
        <v>0.66</v>
      </c>
      <c r="T1532" s="14" t="n">
        <v>0.08</v>
      </c>
      <c r="U1532" s="26">
        <f>IF(X1532&gt;='Methodology &amp; Assumptions'!$B$7, "Tier 1 Critical GIDA (Score ≥ 50.0)", IF(X1532&gt;='Methodology &amp; Assumptions'!$B$8, "Tier 2 High GIDA (Score 40.0–49.9)", "Tier 3 Moderate GIDA (Score &lt; 40.0)"))</f>
        <v/>
      </c>
      <c r="V1532" s="26">
        <f>IF(S1532&lt;='Methodology &amp; Assumptions'!$B$10, "Direct Optical Drop (&lt;3km)", IF(S1532&lt;='Methodology &amp; Assumptions'!$B$9, "Near Optical / Microwave (&lt;5km)", "Starlink Business LEO Satellite Backhaul (&gt;5km)"))</f>
        <v/>
      </c>
      <c r="W1532" s="28" t="n">
        <v>0.07200000000000001</v>
      </c>
      <c r="X1532" s="14" t="n">
        <v>42.65</v>
      </c>
      <c r="Y1532" s="14">
        <f>ROUND(MIN(100, (X1532/69.91)*100), 2)</f>
        <v/>
      </c>
    </row>
    <row r="1533">
      <c r="A1533" s="10" t="n">
        <v>5</v>
      </c>
      <c r="B1533" s="10" t="n">
        <v>529</v>
      </c>
      <c r="C1533" s="10" t="n">
        <v>4529</v>
      </c>
      <c r="D1533" s="10" t="inlineStr">
        <is>
          <t>1906618014</t>
        </is>
      </c>
      <c r="E1533" s="26" t="inlineStr">
        <is>
          <t>Bangsamoro Autonomous Region In Muslim Mindanao (BARMM)</t>
        </is>
      </c>
      <c r="F1533" s="26" t="inlineStr">
        <is>
          <t>Sulu</t>
        </is>
      </c>
      <c r="G1533" s="26" t="inlineStr">
        <is>
          <t>Pandami</t>
        </is>
      </c>
      <c r="H1533" s="26" t="inlineStr">
        <is>
          <t>Suba-suba</t>
        </is>
      </c>
      <c r="I1533" s="27" t="n">
        <v>17.255621</v>
      </c>
      <c r="J1533" s="27" t="n">
        <v>122.229665</v>
      </c>
      <c r="K1533" s="10" t="inlineStr">
        <is>
          <t>R</t>
        </is>
      </c>
      <c r="L1533" s="12" t="n">
        <v>2477</v>
      </c>
      <c r="M1533" s="14" t="n">
        <v>6</v>
      </c>
      <c r="N1533" s="12">
        <f>ROUND(L1533/M1533, 0)</f>
        <v/>
      </c>
      <c r="O1533" s="12">
        <f>ROUND(N1533*'Methodology &amp; Assumptions'!$B$5, 0)</f>
        <v/>
      </c>
      <c r="P1533" s="10" t="inlineStr">
        <is>
          <t>Single Carrier (Band n50, 100MHz TDD)</t>
        </is>
      </c>
      <c r="Q1533" s="13">
        <f>ROUNDUP(O1533/'Methodology &amp; Assumptions'!$B$6, 0)</f>
        <v/>
      </c>
      <c r="R1533" s="13" t="n">
        <v>1</v>
      </c>
      <c r="S1533" s="14" t="n">
        <v>29.53</v>
      </c>
      <c r="T1533" s="14" t="n">
        <v>34.4</v>
      </c>
      <c r="U1533" s="26">
        <f>IF(X1533&gt;='Methodology &amp; Assumptions'!$B$7, "Tier 1 Critical GIDA (Score ≥ 50.0)", IF(X1533&gt;='Methodology &amp; Assumptions'!$B$8, "Tier 2 High GIDA (Score 40.0–49.9)", "Tier 3 Moderate GIDA (Score &lt; 40.0)"))</f>
        <v/>
      </c>
      <c r="V1533" s="26">
        <f>IF(S1533&lt;='Methodology &amp; Assumptions'!$B$10, "Direct Optical Drop (&lt;3km)", IF(S1533&lt;='Methodology &amp; Assumptions'!$B$9, "Near Optical / Microwave (&lt;5km)", "Starlink Business LEO Satellite Backhaul (&gt;5km)"))</f>
        <v/>
      </c>
      <c r="W1533" s="28" t="n">
        <v>0.11</v>
      </c>
      <c r="X1533" s="14" t="n">
        <v>42.65</v>
      </c>
      <c r="Y1533" s="14">
        <f>ROUND(MIN(100, (X1533/69.91)*100), 2)</f>
        <v/>
      </c>
    </row>
    <row r="1534">
      <c r="A1534" s="10" t="n">
        <v>5</v>
      </c>
      <c r="B1534" s="10" t="n">
        <v>530</v>
      </c>
      <c r="C1534" s="10" t="n">
        <v>4530</v>
      </c>
      <c r="D1534" s="10" t="inlineStr">
        <is>
          <t>1381600014</t>
        </is>
      </c>
      <c r="E1534" s="26" t="inlineStr">
        <is>
          <t>National Capital Region (NCR)</t>
        </is>
      </c>
      <c r="F1534" s="26" t="inlineStr">
        <is>
          <t>Third District (Not a Province)</t>
        </is>
      </c>
      <c r="G1534" s="26" t="inlineStr">
        <is>
          <t>City of Valenzuela</t>
        </is>
      </c>
      <c r="H1534" s="26" t="inlineStr">
        <is>
          <t>Lingunan</t>
        </is>
      </c>
      <c r="I1534" s="27" t="n">
        <v>14.720142</v>
      </c>
      <c r="J1534" s="27" t="n">
        <v>120.975695</v>
      </c>
      <c r="K1534" s="10" t="inlineStr">
        <is>
          <t>U</t>
        </is>
      </c>
      <c r="L1534" s="12" t="n">
        <v>24431</v>
      </c>
      <c r="M1534" s="14" t="n">
        <v>3.5</v>
      </c>
      <c r="N1534" s="12">
        <f>ROUND(L1534/M1534, 0)</f>
        <v/>
      </c>
      <c r="O1534" s="12">
        <f>ROUND(N1534*'Methodology &amp; Assumptions'!$B$5, 0)</f>
        <v/>
      </c>
      <c r="P1534" s="10" t="inlineStr">
        <is>
          <t>Single Carrier (Band n50, 100MHz TDD)</t>
        </is>
      </c>
      <c r="Q1534" s="13">
        <f>ROUNDUP(O1534/'Methodology &amp; Assumptions'!$B$6, 0)</f>
        <v/>
      </c>
      <c r="R1534" s="13" t="n">
        <v>1</v>
      </c>
      <c r="S1534" s="14" t="n">
        <v>2.13</v>
      </c>
      <c r="T1534" s="14" t="n">
        <v>0.49</v>
      </c>
      <c r="U1534" s="26">
        <f>IF(X1534&gt;='Methodology &amp; Assumptions'!$B$7, "Tier 1 Critical GIDA (Score ≥ 50.0)", IF(X1534&gt;='Methodology &amp; Assumptions'!$B$8, "Tier 2 High GIDA (Score 40.0–49.9)", "Tier 3 Moderate GIDA (Score &lt; 40.0)"))</f>
        <v/>
      </c>
      <c r="V1534" s="26">
        <f>IF(S1534&lt;='Methodology &amp; Assumptions'!$B$10, "Direct Optical Drop (&lt;3km)", IF(S1534&lt;='Methodology &amp; Assumptions'!$B$9, "Near Optical / Microwave (&lt;5km)", "Starlink Business LEO Satellite Backhaul (&gt;5km)"))</f>
        <v/>
      </c>
      <c r="W1534" s="28" t="n">
        <v>0.109</v>
      </c>
      <c r="X1534" s="14" t="n">
        <v>42.64</v>
      </c>
      <c r="Y1534" s="14">
        <f>ROUND(MIN(100, (X1534/69.91)*100), 2)</f>
        <v/>
      </c>
    </row>
    <row r="1535">
      <c r="A1535" s="10" t="n">
        <v>5</v>
      </c>
      <c r="B1535" s="10" t="n">
        <v>531</v>
      </c>
      <c r="C1535" s="10" t="n">
        <v>4531</v>
      </c>
      <c r="D1535" s="10" t="inlineStr">
        <is>
          <t>PH0004531</t>
        </is>
      </c>
      <c r="E1535" s="26" t="inlineStr">
        <is>
          <t>XI</t>
        </is>
      </c>
      <c r="F1535" s="26" t="inlineStr">
        <is>
          <t>Davao Del Sur</t>
        </is>
      </c>
      <c r="G1535" s="26" t="inlineStr">
        <is>
          <t>Davao City</t>
        </is>
      </c>
      <c r="H1535" s="26" t="inlineStr">
        <is>
          <t>San Antonio</t>
        </is>
      </c>
      <c r="I1535" s="27" t="n">
        <v>7.156236</v>
      </c>
      <c r="J1535" s="27" t="n">
        <v>125.463603</v>
      </c>
      <c r="K1535" s="10" t="inlineStr">
        <is>
          <t>R</t>
        </is>
      </c>
      <c r="L1535" s="12" t="n">
        <v>2280</v>
      </c>
      <c r="M1535" s="14" t="n">
        <v>3.4</v>
      </c>
      <c r="N1535" s="12">
        <f>ROUND(L1535/M1535, 0)</f>
        <v/>
      </c>
      <c r="O1535" s="12">
        <f>ROUND(N1535*'Methodology &amp; Assumptions'!$B$5, 0)</f>
        <v/>
      </c>
      <c r="P1535" s="10" t="inlineStr">
        <is>
          <t>Single Carrier (Band n50, 100MHz TDD)</t>
        </is>
      </c>
      <c r="Q1535" s="13">
        <f>ROUNDUP(O1535/'Methodology &amp; Assumptions'!$B$6, 0)</f>
        <v/>
      </c>
      <c r="R1535" s="13" t="n">
        <v>1</v>
      </c>
      <c r="S1535" s="14" t="n">
        <v>3.45</v>
      </c>
      <c r="T1535" s="14" t="n">
        <v>1.32</v>
      </c>
      <c r="U1535" s="26">
        <f>IF(X1535&gt;='Methodology &amp; Assumptions'!$B$7, "Tier 1 Critical GIDA (Score ≥ 50.0)", IF(X1535&gt;='Methodology &amp; Assumptions'!$B$8, "Tier 2 High GIDA (Score 40.0–49.9)", "Tier 3 Moderate GIDA (Score &lt; 40.0)"))</f>
        <v/>
      </c>
      <c r="V1535" s="26">
        <f>IF(S1535&lt;='Methodology &amp; Assumptions'!$B$10, "Direct Optical Drop (&lt;3km)", IF(S1535&lt;='Methodology &amp; Assumptions'!$B$9, "Near Optical / Microwave (&lt;5km)", "Starlink Business LEO Satellite Backhaul (&gt;5km)"))</f>
        <v/>
      </c>
      <c r="W1535" s="28" t="n">
        <v>0.119</v>
      </c>
      <c r="X1535" s="14" t="n">
        <v>42.64</v>
      </c>
      <c r="Y1535" s="14">
        <f>ROUND(MIN(100, (X1535/69.91)*100), 2)</f>
        <v/>
      </c>
    </row>
    <row r="1536">
      <c r="A1536" s="10" t="n">
        <v>5</v>
      </c>
      <c r="B1536" s="10" t="n">
        <v>532</v>
      </c>
      <c r="C1536" s="10" t="n">
        <v>4532</v>
      </c>
      <c r="D1536" s="10" t="inlineStr">
        <is>
          <t>1381600023</t>
        </is>
      </c>
      <c r="E1536" s="26" t="inlineStr">
        <is>
          <t>National Capital Region (NCR)</t>
        </is>
      </c>
      <c r="F1536" s="26" t="inlineStr">
        <is>
          <t>Third District (Not a Province)</t>
        </is>
      </c>
      <c r="G1536" s="26" t="inlineStr">
        <is>
          <t>City of Valenzuela</t>
        </is>
      </c>
      <c r="H1536" s="26" t="inlineStr">
        <is>
          <t>Paso De Blas</t>
        </is>
      </c>
      <c r="I1536" s="27" t="n">
        <v>14.705448</v>
      </c>
      <c r="J1536" s="27" t="n">
        <v>120.991101</v>
      </c>
      <c r="K1536" s="10" t="inlineStr">
        <is>
          <t>U</t>
        </is>
      </c>
      <c r="L1536" s="12" t="n">
        <v>12709</v>
      </c>
      <c r="M1536" s="14" t="n">
        <v>3.5</v>
      </c>
      <c r="N1536" s="12">
        <f>ROUND(L1536/M1536, 0)</f>
        <v/>
      </c>
      <c r="O1536" s="12">
        <f>ROUND(N1536*'Methodology &amp; Assumptions'!$B$5, 0)</f>
        <v/>
      </c>
      <c r="P1536" s="10" t="inlineStr">
        <is>
          <t>Single Carrier (Band n50, 100MHz TDD)</t>
        </is>
      </c>
      <c r="Q1536" s="13">
        <f>ROUNDUP(O1536/'Methodology &amp; Assumptions'!$B$6, 0)</f>
        <v/>
      </c>
      <c r="R1536" s="13" t="n">
        <v>1</v>
      </c>
      <c r="S1536" s="14" t="n">
        <v>1.32</v>
      </c>
      <c r="T1536" s="14" t="n">
        <v>0.19</v>
      </c>
      <c r="U1536" s="26">
        <f>IF(X1536&gt;='Methodology &amp; Assumptions'!$B$7, "Tier 1 Critical GIDA (Score ≥ 50.0)", IF(X1536&gt;='Methodology &amp; Assumptions'!$B$8, "Tier 2 High GIDA (Score 40.0–49.9)", "Tier 3 Moderate GIDA (Score &lt; 40.0)"))</f>
        <v/>
      </c>
      <c r="V1536" s="26">
        <f>IF(S1536&lt;='Methodology &amp; Assumptions'!$B$10, "Direct Optical Drop (&lt;3km)", IF(S1536&lt;='Methodology &amp; Assumptions'!$B$9, "Near Optical / Microwave (&lt;5km)", "Starlink Business LEO Satellite Backhaul (&gt;5km)"))</f>
        <v/>
      </c>
      <c r="W1536" s="28" t="n">
        <v>0.109</v>
      </c>
      <c r="X1536" s="14" t="n">
        <v>42.64</v>
      </c>
      <c r="Y1536" s="14">
        <f>ROUND(MIN(100, (X1536/69.91)*100), 2)</f>
        <v/>
      </c>
    </row>
    <row r="1537">
      <c r="A1537" s="10" t="n">
        <v>5</v>
      </c>
      <c r="B1537" s="10" t="n">
        <v>533</v>
      </c>
      <c r="C1537" s="10" t="n">
        <v>4533</v>
      </c>
      <c r="D1537" s="10" t="inlineStr">
        <is>
          <t>1380300009</t>
        </is>
      </c>
      <c r="E1537" s="26" t="inlineStr">
        <is>
          <t>National Capital Region (NCR)</t>
        </is>
      </c>
      <c r="F1537" s="26" t="inlineStr">
        <is>
          <t>Fourth District (Not a Province)</t>
        </is>
      </c>
      <c r="G1537" s="26" t="inlineStr">
        <is>
          <t>City of Makati</t>
        </is>
      </c>
      <c r="H1537" s="26" t="inlineStr">
        <is>
          <t>Guadalupe Nuevo</t>
        </is>
      </c>
      <c r="I1537" s="27" t="n">
        <v>14.564351</v>
      </c>
      <c r="J1537" s="27" t="n">
        <v>121.047851</v>
      </c>
      <c r="K1537" s="10" t="inlineStr">
        <is>
          <t>U</t>
        </is>
      </c>
      <c r="L1537" s="12" t="n">
        <v>10102</v>
      </c>
      <c r="M1537" s="14" t="n">
        <v>3.5</v>
      </c>
      <c r="N1537" s="12">
        <f>ROUND(L1537/M1537, 0)</f>
        <v/>
      </c>
      <c r="O1537" s="12">
        <f>ROUND(N1537*'Methodology &amp; Assumptions'!$B$5, 0)</f>
        <v/>
      </c>
      <c r="P1537" s="10" t="inlineStr">
        <is>
          <t>Single Carrier (Band n50, 100MHz TDD)</t>
        </is>
      </c>
      <c r="Q1537" s="13">
        <f>ROUNDUP(O1537/'Methodology &amp; Assumptions'!$B$6, 0)</f>
        <v/>
      </c>
      <c r="R1537" s="13" t="n">
        <v>1</v>
      </c>
      <c r="S1537" s="14" t="n">
        <v>2.04</v>
      </c>
      <c r="T1537" s="14" t="n">
        <v>0.37</v>
      </c>
      <c r="U1537" s="26">
        <f>IF(X1537&gt;='Methodology &amp; Assumptions'!$B$7, "Tier 1 Critical GIDA (Score ≥ 50.0)", IF(X1537&gt;='Methodology &amp; Assumptions'!$B$8, "Tier 2 High GIDA (Score 40.0–49.9)", "Tier 3 Moderate GIDA (Score &lt; 40.0)"))</f>
        <v/>
      </c>
      <c r="V1537" s="26">
        <f>IF(S1537&lt;='Methodology &amp; Assumptions'!$B$10, "Direct Optical Drop (&lt;3km)", IF(S1537&lt;='Methodology &amp; Assumptions'!$B$9, "Near Optical / Microwave (&lt;5km)", "Starlink Business LEO Satellite Backhaul (&gt;5km)"))</f>
        <v/>
      </c>
      <c r="W1537" s="28" t="n">
        <v>0.109</v>
      </c>
      <c r="X1537" s="14" t="n">
        <v>42.64</v>
      </c>
      <c r="Y1537" s="14">
        <f>ROUND(MIN(100, (X1537/69.91)*100), 2)</f>
        <v/>
      </c>
    </row>
    <row r="1538">
      <c r="A1538" s="10" t="n">
        <v>5</v>
      </c>
      <c r="B1538" s="10" t="n">
        <v>534</v>
      </c>
      <c r="C1538" s="10" t="n">
        <v>4534</v>
      </c>
      <c r="D1538" s="10" t="inlineStr">
        <is>
          <t>PH0004534</t>
        </is>
      </c>
      <c r="E1538" s="26" t="inlineStr">
        <is>
          <t>IV-B</t>
        </is>
      </c>
      <c r="F1538" s="26" t="inlineStr">
        <is>
          <t>Palawan</t>
        </is>
      </c>
      <c r="G1538" s="26" t="inlineStr">
        <is>
          <t>Puerto Princesa City</t>
        </is>
      </c>
      <c r="H1538" s="26" t="inlineStr">
        <is>
          <t>Marufinas</t>
        </is>
      </c>
      <c r="I1538" s="27" t="n">
        <v>10.240768</v>
      </c>
      <c r="J1538" s="27" t="n">
        <v>118.956591</v>
      </c>
      <c r="K1538" s="10" t="inlineStr">
        <is>
          <t>R</t>
        </is>
      </c>
      <c r="L1538" s="12" t="n">
        <v>2597</v>
      </c>
      <c r="M1538" s="14" t="n">
        <v>3.9</v>
      </c>
      <c r="N1538" s="12">
        <f>ROUND(L1538/M1538, 0)</f>
        <v/>
      </c>
      <c r="O1538" s="12">
        <f>ROUND(N1538*'Methodology &amp; Assumptions'!$B$5, 0)</f>
        <v/>
      </c>
      <c r="P1538" s="10" t="inlineStr">
        <is>
          <t>Single Carrier (Band n50, 100MHz TDD)</t>
        </is>
      </c>
      <c r="Q1538" s="13">
        <f>ROUNDUP(O1538/'Methodology &amp; Assumptions'!$B$6, 0)</f>
        <v/>
      </c>
      <c r="R1538" s="13" t="n">
        <v>1</v>
      </c>
      <c r="S1538" s="14" t="n">
        <v>28.1</v>
      </c>
      <c r="T1538" s="14" t="n">
        <v>27.3</v>
      </c>
      <c r="U1538" s="26">
        <f>IF(X1538&gt;='Methodology &amp; Assumptions'!$B$7, "Tier 1 Critical GIDA (Score ≥ 50.0)", IF(X1538&gt;='Methodology &amp; Assumptions'!$B$8, "Tier 2 High GIDA (Score 40.0–49.9)", "Tier 3 Moderate GIDA (Score &lt; 40.0)"))</f>
        <v/>
      </c>
      <c r="V1538" s="26">
        <f>IF(S1538&lt;='Methodology &amp; Assumptions'!$B$10, "Direct Optical Drop (&lt;3km)", IF(S1538&lt;='Methodology &amp; Assumptions'!$B$9, "Near Optical / Microwave (&lt;5km)", "Starlink Business LEO Satellite Backhaul (&gt;5km)"))</f>
        <v/>
      </c>
      <c r="W1538" s="28" t="n">
        <v>0.109</v>
      </c>
      <c r="X1538" s="14" t="n">
        <v>42.64</v>
      </c>
      <c r="Y1538" s="14">
        <f>ROUND(MIN(100, (X1538/69.91)*100), 2)</f>
        <v/>
      </c>
    </row>
    <row r="1539">
      <c r="A1539" s="10" t="n">
        <v>5</v>
      </c>
      <c r="B1539" s="10" t="n">
        <v>535</v>
      </c>
      <c r="C1539" s="10" t="n">
        <v>4535</v>
      </c>
      <c r="D1539" s="10" t="inlineStr">
        <is>
          <t>0403428004</t>
        </is>
      </c>
      <c r="E1539" s="26" t="inlineStr">
        <is>
          <t>Region IV-A (CALABARZON)</t>
        </is>
      </c>
      <c r="F1539" s="26" t="inlineStr">
        <is>
          <t>Laguna</t>
        </is>
      </c>
      <c r="G1539" s="26" t="inlineStr">
        <is>
          <t>City of Santa Rosa</t>
        </is>
      </c>
      <c r="H1539" s="26" t="inlineStr">
        <is>
          <t>Dila</t>
        </is>
      </c>
      <c r="I1539" s="27" t="n">
        <v>14.28948</v>
      </c>
      <c r="J1539" s="27" t="n">
        <v>121.109097</v>
      </c>
      <c r="K1539" s="10" t="inlineStr">
        <is>
          <t>U</t>
        </is>
      </c>
      <c r="L1539" s="12" t="n">
        <v>43294</v>
      </c>
      <c r="M1539" s="14" t="n">
        <v>3.3</v>
      </c>
      <c r="N1539" s="12">
        <f>ROUND(L1539/M1539, 0)</f>
        <v/>
      </c>
      <c r="O1539" s="12">
        <f>ROUND(N1539*'Methodology &amp; Assumptions'!$B$5, 0)</f>
        <v/>
      </c>
      <c r="P1539" s="10" t="inlineStr">
        <is>
          <t>Single Carrier (Band n50, 100MHz TDD)</t>
        </is>
      </c>
      <c r="Q1539" s="13">
        <f>ROUNDUP(O1539/'Methodology &amp; Assumptions'!$B$6, 0)</f>
        <v/>
      </c>
      <c r="R1539" s="13" t="n">
        <v>1</v>
      </c>
      <c r="S1539" s="14" t="n">
        <v>0.85</v>
      </c>
      <c r="T1539" s="14" t="n">
        <v>0.22</v>
      </c>
      <c r="U1539" s="26">
        <f>IF(X1539&gt;='Methodology &amp; Assumptions'!$B$7, "Tier 1 Critical GIDA (Score ≥ 50.0)", IF(X1539&gt;='Methodology &amp; Assumptions'!$B$8, "Tier 2 High GIDA (Score 40.0–49.9)", "Tier 3 Moderate GIDA (Score &lt; 40.0)"))</f>
        <v/>
      </c>
      <c r="V1539" s="26">
        <f>IF(S1539&lt;='Methodology &amp; Assumptions'!$B$10, "Direct Optical Drop (&lt;3km)", IF(S1539&lt;='Methodology &amp; Assumptions'!$B$9, "Near Optical / Microwave (&lt;5km)", "Starlink Business LEO Satellite Backhaul (&gt;5km)"))</f>
        <v/>
      </c>
      <c r="W1539" s="28" t="n">
        <v>0.07200000000000001</v>
      </c>
      <c r="X1539" s="14" t="n">
        <v>42.63</v>
      </c>
      <c r="Y1539" s="14">
        <f>ROUND(MIN(100, (X1539/69.91)*100), 2)</f>
        <v/>
      </c>
    </row>
    <row r="1540">
      <c r="A1540" s="10" t="n">
        <v>5</v>
      </c>
      <c r="B1540" s="10" t="n">
        <v>536</v>
      </c>
      <c r="C1540" s="10" t="n">
        <v>4536</v>
      </c>
      <c r="D1540" s="10" t="inlineStr">
        <is>
          <t>1381100196</t>
        </is>
      </c>
      <c r="E1540" s="26" t="inlineStr">
        <is>
          <t>National Capital Region (NCR)</t>
        </is>
      </c>
      <c r="F1540" s="26" t="inlineStr">
        <is>
          <t>Fourth District (Not a Province)</t>
        </is>
      </c>
      <c r="G1540" s="26" t="inlineStr">
        <is>
          <t>Pasay City</t>
        </is>
      </c>
      <c r="H1540" s="26" t="inlineStr">
        <is>
          <t>Barangay 196</t>
        </is>
      </c>
      <c r="I1540" s="27" t="n">
        <v>14.708389</v>
      </c>
      <c r="J1540" s="27" t="n">
        <v>121.192523</v>
      </c>
      <c r="K1540" s="10" t="inlineStr">
        <is>
          <t>U</t>
        </is>
      </c>
      <c r="L1540" s="12" t="n">
        <v>1542</v>
      </c>
      <c r="M1540" s="14" t="n">
        <v>3.4</v>
      </c>
      <c r="N1540" s="12">
        <f>ROUND(L1540/M1540, 0)</f>
        <v/>
      </c>
      <c r="O1540" s="12">
        <f>ROUND(N1540*'Methodology &amp; Assumptions'!$B$5, 0)</f>
        <v/>
      </c>
      <c r="P1540" s="10" t="inlineStr">
        <is>
          <t>Single Carrier (Band n50, 100MHz TDD)</t>
        </is>
      </c>
      <c r="Q1540" s="13">
        <f>ROUNDUP(O1540/'Methodology &amp; Assumptions'!$B$6, 0)</f>
        <v/>
      </c>
      <c r="R1540" s="13" t="n">
        <v>1</v>
      </c>
      <c r="S1540" s="14" t="n">
        <v>4.92</v>
      </c>
      <c r="T1540" s="14" t="n">
        <v>5.06</v>
      </c>
      <c r="U1540" s="26">
        <f>IF(X1540&gt;='Methodology &amp; Assumptions'!$B$7, "Tier 1 Critical GIDA (Score ≥ 50.0)", IF(X1540&gt;='Methodology &amp; Assumptions'!$B$8, "Tier 2 High GIDA (Score 40.0–49.9)", "Tier 3 Moderate GIDA (Score &lt; 40.0)"))</f>
        <v/>
      </c>
      <c r="V1540" s="26">
        <f>IF(S1540&lt;='Methodology &amp; Assumptions'!$B$10, "Direct Optical Drop (&lt;3km)", IF(S1540&lt;='Methodology &amp; Assumptions'!$B$9, "Near Optical / Microwave (&lt;5km)", "Starlink Business LEO Satellite Backhaul (&gt;5km)"))</f>
        <v/>
      </c>
      <c r="W1540" s="28" t="n">
        <v>0.109</v>
      </c>
      <c r="X1540" s="14" t="n">
        <v>42.63</v>
      </c>
      <c r="Y1540" s="14">
        <f>ROUND(MIN(100, (X1540/69.91)*100), 2)</f>
        <v/>
      </c>
    </row>
    <row r="1541">
      <c r="A1541" s="10" t="n">
        <v>5</v>
      </c>
      <c r="B1541" s="10" t="n">
        <v>537</v>
      </c>
      <c r="C1541" s="10" t="n">
        <v>4537</v>
      </c>
      <c r="D1541" s="10" t="inlineStr">
        <is>
          <t>1380500020</t>
        </is>
      </c>
      <c r="E1541" s="26" t="inlineStr">
        <is>
          <t>National Capital Region (NCR)</t>
        </is>
      </c>
      <c r="F1541" s="26" t="inlineStr">
        <is>
          <t>Second District (Not a Province)</t>
        </is>
      </c>
      <c r="G1541" s="26" t="inlineStr">
        <is>
          <t>City of Mandaluyong</t>
        </is>
      </c>
      <c r="H1541" s="26" t="inlineStr">
        <is>
          <t>Old Zañiga</t>
        </is>
      </c>
      <c r="I1541" s="27" t="n">
        <v>14.565953</v>
      </c>
      <c r="J1541" s="27" t="n">
        <v>121.040757</v>
      </c>
      <c r="K1541" s="10" t="inlineStr">
        <is>
          <t>U</t>
        </is>
      </c>
      <c r="L1541" s="12" t="n">
        <v>7262</v>
      </c>
      <c r="M1541" s="14" t="n">
        <v>3.3</v>
      </c>
      <c r="N1541" s="12">
        <f>ROUND(L1541/M1541, 0)</f>
        <v/>
      </c>
      <c r="O1541" s="12">
        <f>ROUND(N1541*'Methodology &amp; Assumptions'!$B$5, 0)</f>
        <v/>
      </c>
      <c r="P1541" s="10" t="inlineStr">
        <is>
          <t>Single Carrier (Band n50, 100MHz TDD)</t>
        </is>
      </c>
      <c r="Q1541" s="13">
        <f>ROUNDUP(O1541/'Methodology &amp; Assumptions'!$B$6, 0)</f>
        <v/>
      </c>
      <c r="R1541" s="13" t="n">
        <v>1</v>
      </c>
      <c r="S1541" s="14" t="n">
        <v>1.3</v>
      </c>
      <c r="T1541" s="14" t="n">
        <v>0.16</v>
      </c>
      <c r="U1541" s="26">
        <f>IF(X1541&gt;='Methodology &amp; Assumptions'!$B$7, "Tier 1 Critical GIDA (Score ≥ 50.0)", IF(X1541&gt;='Methodology &amp; Assumptions'!$B$8, "Tier 2 High GIDA (Score 40.0–49.9)", "Tier 3 Moderate GIDA (Score &lt; 40.0)"))</f>
        <v/>
      </c>
      <c r="V1541" s="26">
        <f>IF(S1541&lt;='Methodology &amp; Assumptions'!$B$10, "Direct Optical Drop (&lt;3km)", IF(S1541&lt;='Methodology &amp; Assumptions'!$B$9, "Near Optical / Microwave (&lt;5km)", "Starlink Business LEO Satellite Backhaul (&gt;5km)"))</f>
        <v/>
      </c>
      <c r="W1541" s="28" t="n">
        <v>0.109</v>
      </c>
      <c r="X1541" s="14" t="n">
        <v>42.63</v>
      </c>
      <c r="Y1541" s="14">
        <f>ROUND(MIN(100, (X1541/69.91)*100), 2)</f>
        <v/>
      </c>
    </row>
    <row r="1542">
      <c r="A1542" s="10" t="n">
        <v>5</v>
      </c>
      <c r="B1542" s="10" t="n">
        <v>538</v>
      </c>
      <c r="C1542" s="10" t="n">
        <v>4538</v>
      </c>
      <c r="D1542" s="10" t="inlineStr">
        <is>
          <t>1004212027</t>
        </is>
      </c>
      <c r="E1542" s="26" t="inlineStr">
        <is>
          <t>Region X (Northern Mindanao)</t>
        </is>
      </c>
      <c r="F1542" s="26" t="inlineStr">
        <is>
          <t>Misamis Occidental</t>
        </is>
      </c>
      <c r="G1542" s="26" t="inlineStr">
        <is>
          <t>Plaridel</t>
        </is>
      </c>
      <c r="H1542" s="26" t="inlineStr">
        <is>
          <t>Quirino</t>
        </is>
      </c>
      <c r="I1542" s="27" t="n">
        <v>8.531383</v>
      </c>
      <c r="J1542" s="27" t="n">
        <v>123.67433</v>
      </c>
      <c r="K1542" s="10" t="inlineStr">
        <is>
          <t>R</t>
        </is>
      </c>
      <c r="L1542" s="12" t="n">
        <v>394</v>
      </c>
      <c r="M1542" s="14" t="n">
        <v>3.9</v>
      </c>
      <c r="N1542" s="12">
        <f>ROUND(L1542/M1542, 0)</f>
        <v/>
      </c>
      <c r="O1542" s="12">
        <f>ROUND(N1542*'Methodology &amp; Assumptions'!$B$5, 0)</f>
        <v/>
      </c>
      <c r="P1542" s="10" t="inlineStr">
        <is>
          <t>Single Carrier (Band n50, 100MHz TDD)</t>
        </is>
      </c>
      <c r="Q1542" s="13">
        <f>ROUNDUP(O1542/'Methodology &amp; Assumptions'!$B$6, 0)</f>
        <v/>
      </c>
      <c r="R1542" s="13" t="n">
        <v>1</v>
      </c>
      <c r="S1542" s="14" t="n">
        <v>56.02</v>
      </c>
      <c r="T1542" s="14" t="n">
        <v>47.05</v>
      </c>
      <c r="U1542" s="26">
        <f>IF(X1542&gt;='Methodology &amp; Assumptions'!$B$7, "Tier 1 Critical GIDA (Score ≥ 50.0)", IF(X1542&gt;='Methodology &amp; Assumptions'!$B$8, "Tier 2 High GIDA (Score 40.0–49.9)", "Tier 3 Moderate GIDA (Score &lt; 40.0)"))</f>
        <v/>
      </c>
      <c r="V1542" s="26">
        <f>IF(S1542&lt;='Methodology &amp; Assumptions'!$B$10, "Direct Optical Drop (&lt;3km)", IF(S1542&lt;='Methodology &amp; Assumptions'!$B$9, "Near Optical / Microwave (&lt;5km)", "Starlink Business LEO Satellite Backhaul (&gt;5km)"))</f>
        <v/>
      </c>
      <c r="W1542" s="28" t="n">
        <v>0.174</v>
      </c>
      <c r="X1542" s="14" t="n">
        <v>42.63</v>
      </c>
      <c r="Y1542" s="14">
        <f>ROUND(MIN(100, (X1542/69.91)*100), 2)</f>
        <v/>
      </c>
    </row>
    <row r="1543">
      <c r="A1543" s="10" t="n">
        <v>5</v>
      </c>
      <c r="B1543" s="10" t="n">
        <v>539</v>
      </c>
      <c r="C1543" s="10" t="n">
        <v>4539</v>
      </c>
      <c r="D1543" s="10" t="inlineStr">
        <is>
          <t>1705320022</t>
        </is>
      </c>
      <c r="E1543" s="26" t="inlineStr">
        <is>
          <t>MIMAROPA Region</t>
        </is>
      </c>
      <c r="F1543" s="26" t="inlineStr">
        <is>
          <t>Palawan</t>
        </is>
      </c>
      <c r="G1543" s="26" t="inlineStr">
        <is>
          <t>Taytay</t>
        </is>
      </c>
      <c r="H1543" s="26" t="inlineStr">
        <is>
          <t>San Jose</t>
        </is>
      </c>
      <c r="I1543" s="27" t="n">
        <v>10.930907</v>
      </c>
      <c r="J1543" s="27" t="n">
        <v>119.251797</v>
      </c>
      <c r="K1543" s="10" t="inlineStr">
        <is>
          <t>R</t>
        </is>
      </c>
      <c r="L1543" s="12" t="n">
        <v>2951</v>
      </c>
      <c r="M1543" s="14" t="n">
        <v>3.9</v>
      </c>
      <c r="N1543" s="12">
        <f>ROUND(L1543/M1543, 0)</f>
        <v/>
      </c>
      <c r="O1543" s="12">
        <f>ROUND(N1543*'Methodology &amp; Assumptions'!$B$5, 0)</f>
        <v/>
      </c>
      <c r="P1543" s="10" t="inlineStr">
        <is>
          <t>Single Carrier (Band n50, 100MHz TDD)</t>
        </is>
      </c>
      <c r="Q1543" s="13">
        <f>ROUNDUP(O1543/'Methodology &amp; Assumptions'!$B$6, 0)</f>
        <v/>
      </c>
      <c r="R1543" s="13" t="n">
        <v>1</v>
      </c>
      <c r="S1543" s="14" t="n">
        <v>19.13</v>
      </c>
      <c r="T1543" s="14" t="n">
        <v>29.79</v>
      </c>
      <c r="U1543" s="26">
        <f>IF(X1543&gt;='Methodology &amp; Assumptions'!$B$7, "Tier 1 Critical GIDA (Score ≥ 50.0)", IF(X1543&gt;='Methodology &amp; Assumptions'!$B$8, "Tier 2 High GIDA (Score 40.0–49.9)", "Tier 3 Moderate GIDA (Score &lt; 40.0)"))</f>
        <v/>
      </c>
      <c r="V1543" s="26">
        <f>IF(S1543&lt;='Methodology &amp; Assumptions'!$B$10, "Direct Optical Drop (&lt;3km)", IF(S1543&lt;='Methodology &amp; Assumptions'!$B$9, "Near Optical / Microwave (&lt;5km)", "Starlink Business LEO Satellite Backhaul (&gt;5km)"))</f>
        <v/>
      </c>
      <c r="W1543" s="28" t="n">
        <v>0.15</v>
      </c>
      <c r="X1543" s="14" t="n">
        <v>42.62</v>
      </c>
      <c r="Y1543" s="14">
        <f>ROUND(MIN(100, (X1543/69.91)*100), 2)</f>
        <v/>
      </c>
    </row>
    <row r="1544">
      <c r="A1544" s="10" t="n">
        <v>5</v>
      </c>
      <c r="B1544" s="10" t="n">
        <v>540</v>
      </c>
      <c r="C1544" s="10" t="n">
        <v>4540</v>
      </c>
      <c r="D1544" s="10" t="inlineStr">
        <is>
          <t>PH0004540</t>
        </is>
      </c>
      <c r="E1544" s="26" t="inlineStr">
        <is>
          <t>XI</t>
        </is>
      </c>
      <c r="F1544" s="26" t="inlineStr">
        <is>
          <t>Davao Del Sur</t>
        </is>
      </c>
      <c r="G1544" s="26" t="inlineStr">
        <is>
          <t>Davao City</t>
        </is>
      </c>
      <c r="H1544" s="26" t="inlineStr">
        <is>
          <t>Barangay 17-B (Pob.)</t>
        </is>
      </c>
      <c r="I1544" s="27" t="n">
        <v>7.226914</v>
      </c>
      <c r="J1544" s="27" t="n">
        <v>125.45844</v>
      </c>
      <c r="K1544" s="10" t="inlineStr">
        <is>
          <t>R</t>
        </is>
      </c>
      <c r="L1544" s="12" t="n">
        <v>2280</v>
      </c>
      <c r="M1544" s="14" t="n">
        <v>3.4</v>
      </c>
      <c r="N1544" s="12">
        <f>ROUND(L1544/M1544, 0)</f>
        <v/>
      </c>
      <c r="O1544" s="12">
        <f>ROUND(N1544*'Methodology &amp; Assumptions'!$B$5, 0)</f>
        <v/>
      </c>
      <c r="P1544" s="10" t="inlineStr">
        <is>
          <t>Single Carrier (Band n50, 100MHz TDD)</t>
        </is>
      </c>
      <c r="Q1544" s="13">
        <f>ROUNDUP(O1544/'Methodology &amp; Assumptions'!$B$6, 0)</f>
        <v/>
      </c>
      <c r="R1544" s="13" t="n">
        <v>1</v>
      </c>
      <c r="S1544" s="14" t="n">
        <v>4.57</v>
      </c>
      <c r="T1544" s="14" t="n">
        <v>2.95</v>
      </c>
      <c r="U1544" s="26">
        <f>IF(X1544&gt;='Methodology &amp; Assumptions'!$B$7, "Tier 1 Critical GIDA (Score ≥ 50.0)", IF(X1544&gt;='Methodology &amp; Assumptions'!$B$8, "Tier 2 High GIDA (Score 40.0–49.9)", "Tier 3 Moderate GIDA (Score &lt; 40.0)"))</f>
        <v/>
      </c>
      <c r="V1544" s="26">
        <f>IF(S1544&lt;='Methodology &amp; Assumptions'!$B$10, "Direct Optical Drop (&lt;3km)", IF(S1544&lt;='Methodology &amp; Assumptions'!$B$9, "Near Optical / Microwave (&lt;5km)", "Starlink Business LEO Satellite Backhaul (&gt;5km)"))</f>
        <v/>
      </c>
      <c r="W1544" s="28" t="n">
        <v>0.119</v>
      </c>
      <c r="X1544" s="14" t="n">
        <v>42.61</v>
      </c>
      <c r="Y1544" s="14">
        <f>ROUND(MIN(100, (X1544/69.91)*100), 2)</f>
        <v/>
      </c>
    </row>
    <row r="1545">
      <c r="A1545" s="10" t="n">
        <v>5</v>
      </c>
      <c r="B1545" s="10" t="n">
        <v>541</v>
      </c>
      <c r="C1545" s="10" t="n">
        <v>4541</v>
      </c>
      <c r="D1545" s="10" t="inlineStr">
        <is>
          <t>PH0004541</t>
        </is>
      </c>
      <c r="E1545" s="26" t="inlineStr">
        <is>
          <t>NCR</t>
        </is>
      </c>
      <c r="F1545" s="26" t="inlineStr">
        <is>
          <t>Metro Manila</t>
        </is>
      </c>
      <c r="G1545" s="26" t="inlineStr">
        <is>
          <t>Caloocan City</t>
        </is>
      </c>
      <c r="H1545" s="26" t="inlineStr">
        <is>
          <t>Barangay 158</t>
        </is>
      </c>
      <c r="I1545" s="27" t="n">
        <v>14.333979</v>
      </c>
      <c r="J1545" s="27" t="n">
        <v>121.231025</v>
      </c>
      <c r="K1545" s="10" t="inlineStr">
        <is>
          <t>R</t>
        </is>
      </c>
      <c r="L1545" s="12" t="n">
        <v>2279</v>
      </c>
      <c r="M1545" s="14" t="n">
        <v>3.8</v>
      </c>
      <c r="N1545" s="12">
        <f>ROUND(L1545/M1545, 0)</f>
        <v/>
      </c>
      <c r="O1545" s="12">
        <f>ROUND(N1545*'Methodology &amp; Assumptions'!$B$5, 0)</f>
        <v/>
      </c>
      <c r="P1545" s="10" t="inlineStr">
        <is>
          <t>Single Carrier (Band n50, 100MHz TDD)</t>
        </is>
      </c>
      <c r="Q1545" s="13">
        <f>ROUNDUP(O1545/'Methodology &amp; Assumptions'!$B$6, 0)</f>
        <v/>
      </c>
      <c r="R1545" s="13" t="n">
        <v>1</v>
      </c>
      <c r="S1545" s="14" t="n">
        <v>10.49</v>
      </c>
      <c r="T1545" s="14" t="n">
        <v>13.43</v>
      </c>
      <c r="U1545" s="26">
        <f>IF(X1545&gt;='Methodology &amp; Assumptions'!$B$7, "Tier 1 Critical GIDA (Score ≥ 50.0)", IF(X1545&gt;='Methodology &amp; Assumptions'!$B$8, "Tier 2 High GIDA (Score 40.0–49.9)", "Tier 3 Moderate GIDA (Score &lt; 40.0)"))</f>
        <v/>
      </c>
      <c r="V1545" s="26">
        <f>IF(S1545&lt;='Methodology &amp; Assumptions'!$B$10, "Direct Optical Drop (&lt;3km)", IF(S1545&lt;='Methodology &amp; Assumptions'!$B$9, "Near Optical / Microwave (&lt;5km)", "Starlink Business LEO Satellite Backhaul (&gt;5km)"))</f>
        <v/>
      </c>
      <c r="W1545" s="28" t="n">
        <v>0.011</v>
      </c>
      <c r="X1545" s="14" t="n">
        <v>42.61</v>
      </c>
      <c r="Y1545" s="14">
        <f>ROUND(MIN(100, (X1545/69.91)*100), 2)</f>
        <v/>
      </c>
    </row>
    <row r="1546">
      <c r="A1546" s="10" t="n">
        <v>5</v>
      </c>
      <c r="B1546" s="10" t="n">
        <v>542</v>
      </c>
      <c r="C1546" s="10" t="n">
        <v>4542</v>
      </c>
      <c r="D1546" s="10" t="inlineStr">
        <is>
          <t>0806017034</t>
        </is>
      </c>
      <c r="E1546" s="26" t="inlineStr">
        <is>
          <t>Region VIII (Eastern Visayas)</t>
        </is>
      </c>
      <c r="F1546" s="26" t="inlineStr">
        <is>
          <t>Samar</t>
        </is>
      </c>
      <c r="G1546" s="26" t="inlineStr">
        <is>
          <t>Santa Rita</t>
        </is>
      </c>
      <c r="H1546" s="26" t="inlineStr">
        <is>
          <t>Union</t>
        </is>
      </c>
      <c r="I1546" s="27" t="n">
        <v>11.463008</v>
      </c>
      <c r="J1546" s="27" t="n">
        <v>125.056978</v>
      </c>
      <c r="K1546" s="10" t="inlineStr">
        <is>
          <t>R</t>
        </is>
      </c>
      <c r="L1546" s="12" t="n">
        <v>2533</v>
      </c>
      <c r="M1546" s="14" t="n">
        <v>4.1</v>
      </c>
      <c r="N1546" s="12">
        <f>ROUND(L1546/M1546, 0)</f>
        <v/>
      </c>
      <c r="O1546" s="12">
        <f>ROUND(N1546*'Methodology &amp; Assumptions'!$B$5, 0)</f>
        <v/>
      </c>
      <c r="P1546" s="10" t="inlineStr">
        <is>
          <t>Single Carrier (Band n50, 100MHz TDD)</t>
        </is>
      </c>
      <c r="Q1546" s="13">
        <f>ROUNDUP(O1546/'Methodology &amp; Assumptions'!$B$6, 0)</f>
        <v/>
      </c>
      <c r="R1546" s="13" t="n">
        <v>1</v>
      </c>
      <c r="S1546" s="14" t="n">
        <v>25.54</v>
      </c>
      <c r="T1546" s="14" t="n">
        <v>28.34</v>
      </c>
      <c r="U1546" s="26">
        <f>IF(X1546&gt;='Methodology &amp; Assumptions'!$B$7, "Tier 1 Critical GIDA (Score ≥ 50.0)", IF(X1546&gt;='Methodology &amp; Assumptions'!$B$8, "Tier 2 High GIDA (Score 40.0–49.9)", "Tier 3 Moderate GIDA (Score &lt; 40.0)"))</f>
        <v/>
      </c>
      <c r="V1546" s="26">
        <f>IF(S1546&lt;='Methodology &amp; Assumptions'!$B$10, "Direct Optical Drop (&lt;3km)", IF(S1546&lt;='Methodology &amp; Assumptions'!$B$9, "Near Optical / Microwave (&lt;5km)", "Starlink Business LEO Satellite Backhaul (&gt;5km)"))</f>
        <v/>
      </c>
      <c r="W1546" s="28" t="n">
        <v>0.237</v>
      </c>
      <c r="X1546" s="14" t="n">
        <v>42.61</v>
      </c>
      <c r="Y1546" s="14">
        <f>ROUND(MIN(100, (X1546/69.91)*100), 2)</f>
        <v/>
      </c>
    </row>
    <row r="1547">
      <c r="A1547" s="10" t="n">
        <v>5</v>
      </c>
      <c r="B1547" s="10" t="n">
        <v>543</v>
      </c>
      <c r="C1547" s="10" t="n">
        <v>4543</v>
      </c>
      <c r="D1547" s="10" t="inlineStr">
        <is>
          <t>0403404018</t>
        </is>
      </c>
      <c r="E1547" s="26" t="inlineStr">
        <is>
          <t>Region IV-A (CALABARZON)</t>
        </is>
      </c>
      <c r="F1547" s="26" t="inlineStr">
        <is>
          <t>Laguna</t>
        </is>
      </c>
      <c r="G1547" s="26" t="inlineStr">
        <is>
          <t>City of Cabuyao</t>
        </is>
      </c>
      <c r="H1547" s="26" t="inlineStr">
        <is>
          <t>Barangay Dos</t>
        </is>
      </c>
      <c r="I1547" s="27" t="n">
        <v>14.196743</v>
      </c>
      <c r="J1547" s="27" t="n">
        <v>121.334358</v>
      </c>
      <c r="K1547" s="10" t="inlineStr">
        <is>
          <t>U</t>
        </is>
      </c>
      <c r="L1547" s="12" t="n">
        <v>1724</v>
      </c>
      <c r="M1547" s="14" t="n">
        <v>3.3</v>
      </c>
      <c r="N1547" s="12">
        <f>ROUND(L1547/M1547, 0)</f>
        <v/>
      </c>
      <c r="O1547" s="12">
        <f>ROUND(N1547*'Methodology &amp; Assumptions'!$B$5, 0)</f>
        <v/>
      </c>
      <c r="P1547" s="10" t="inlineStr">
        <is>
          <t>Single Carrier (Band n50, 100MHz TDD)</t>
        </is>
      </c>
      <c r="Q1547" s="13">
        <f>ROUNDUP(O1547/'Methodology &amp; Assumptions'!$B$6, 0)</f>
        <v/>
      </c>
      <c r="R1547" s="13" t="n">
        <v>1</v>
      </c>
      <c r="S1547" s="14" t="n">
        <v>2.25</v>
      </c>
      <c r="T1547" s="14" t="n">
        <v>0.67</v>
      </c>
      <c r="U1547" s="26">
        <f>IF(X1547&gt;='Methodology &amp; Assumptions'!$B$7, "Tier 1 Critical GIDA (Score ≥ 50.0)", IF(X1547&gt;='Methodology &amp; Assumptions'!$B$8, "Tier 2 High GIDA (Score 40.0–49.9)", "Tier 3 Moderate GIDA (Score &lt; 40.0)"))</f>
        <v/>
      </c>
      <c r="V1547" s="26">
        <f>IF(S1547&lt;='Methodology &amp; Assumptions'!$B$10, "Direct Optical Drop (&lt;3km)", IF(S1547&lt;='Methodology &amp; Assumptions'!$B$9, "Near Optical / Microwave (&lt;5km)", "Starlink Business LEO Satellite Backhaul (&gt;5km)"))</f>
        <v/>
      </c>
      <c r="W1547" s="28" t="n">
        <v>0.07200000000000001</v>
      </c>
      <c r="X1547" s="14" t="n">
        <v>42.61</v>
      </c>
      <c r="Y1547" s="14">
        <f>ROUND(MIN(100, (X1547/69.91)*100), 2)</f>
        <v/>
      </c>
    </row>
    <row r="1548">
      <c r="A1548" s="10" t="n">
        <v>5</v>
      </c>
      <c r="B1548" s="10" t="n">
        <v>544</v>
      </c>
      <c r="C1548" s="10" t="n">
        <v>4544</v>
      </c>
      <c r="D1548" s="10" t="inlineStr">
        <is>
          <t>0405605031</t>
        </is>
      </c>
      <c r="E1548" s="26" t="inlineStr">
        <is>
          <t>Region IV-A (CALABARZON)</t>
        </is>
      </c>
      <c r="F1548" s="26" t="inlineStr">
        <is>
          <t>Quezon</t>
        </is>
      </c>
      <c r="G1548" s="26" t="inlineStr">
        <is>
          <t>Buenavista</t>
        </is>
      </c>
      <c r="H1548" s="26" t="inlineStr">
        <is>
          <t>San Isidro Ibaba</t>
        </is>
      </c>
      <c r="I1548" s="27" t="n">
        <v>13.745305</v>
      </c>
      <c r="J1548" s="27" t="n">
        <v>122.43075</v>
      </c>
      <c r="K1548" s="10" t="inlineStr">
        <is>
          <t>R</t>
        </is>
      </c>
      <c r="L1548" s="12" t="n">
        <v>409</v>
      </c>
      <c r="M1548" s="14" t="n">
        <v>3.8</v>
      </c>
      <c r="N1548" s="12">
        <f>ROUND(L1548/M1548, 0)</f>
        <v/>
      </c>
      <c r="O1548" s="12">
        <f>ROUND(N1548*'Methodology &amp; Assumptions'!$B$5, 0)</f>
        <v/>
      </c>
      <c r="P1548" s="10" t="inlineStr">
        <is>
          <t>Single Carrier (Band n50, 100MHz TDD)</t>
        </is>
      </c>
      <c r="Q1548" s="13">
        <f>ROUNDUP(O1548/'Methodology &amp; Assumptions'!$B$6, 0)</f>
        <v/>
      </c>
      <c r="R1548" s="13" t="n">
        <v>1</v>
      </c>
      <c r="S1548" s="14" t="n">
        <v>3</v>
      </c>
      <c r="T1548" s="14" t="n">
        <v>2.19</v>
      </c>
      <c r="U1548" s="26">
        <f>IF(X1548&gt;='Methodology &amp; Assumptions'!$B$7, "Tier 1 Critical GIDA (Score ≥ 50.0)", IF(X1548&gt;='Methodology &amp; Assumptions'!$B$8, "Tier 2 High GIDA (Score 40.0–49.9)", "Tier 3 Moderate GIDA (Score &lt; 40.0)"))</f>
        <v/>
      </c>
      <c r="V1548" s="26">
        <f>IF(S1548&lt;='Methodology &amp; Assumptions'!$B$10, "Direct Optical Drop (&lt;3km)", IF(S1548&lt;='Methodology &amp; Assumptions'!$B$9, "Near Optical / Microwave (&lt;5km)", "Starlink Business LEO Satellite Backhaul (&gt;5km)"))</f>
        <v/>
      </c>
      <c r="W1548" s="28" t="n">
        <v>0.07200000000000001</v>
      </c>
      <c r="X1548" s="14" t="n">
        <v>42.61</v>
      </c>
      <c r="Y1548" s="14">
        <f>ROUND(MIN(100, (X1548/69.91)*100), 2)</f>
        <v/>
      </c>
    </row>
    <row r="1549">
      <c r="A1549" s="10" t="n">
        <v>5</v>
      </c>
      <c r="B1549" s="10" t="n">
        <v>545</v>
      </c>
      <c r="C1549" s="10" t="n">
        <v>4545</v>
      </c>
      <c r="D1549" s="10" t="inlineStr">
        <is>
          <t>1381300061</t>
        </is>
      </c>
      <c r="E1549" s="26" t="inlineStr">
        <is>
          <t>National Capital Region (NCR)</t>
        </is>
      </c>
      <c r="F1549" s="26" t="inlineStr">
        <is>
          <t>Second District (Not a Province)</t>
        </is>
      </c>
      <c r="G1549" s="26" t="inlineStr">
        <is>
          <t>Quezon City</t>
        </is>
      </c>
      <c r="H1549" s="26" t="inlineStr">
        <is>
          <t>Mariblo</t>
        </is>
      </c>
      <c r="I1549" s="27" t="n">
        <v>14.712939</v>
      </c>
      <c r="J1549" s="27" t="n">
        <v>121.041219</v>
      </c>
      <c r="K1549" s="10" t="inlineStr">
        <is>
          <t>U</t>
        </is>
      </c>
      <c r="L1549" s="12" t="n">
        <v>3577</v>
      </c>
      <c r="M1549" s="14" t="n">
        <v>3.8</v>
      </c>
      <c r="N1549" s="12">
        <f>ROUND(L1549/M1549, 0)</f>
        <v/>
      </c>
      <c r="O1549" s="12">
        <f>ROUND(N1549*'Methodology &amp; Assumptions'!$B$5, 0)</f>
        <v/>
      </c>
      <c r="P1549" s="10" t="inlineStr">
        <is>
          <t>Single Carrier (Band n50, 100MHz TDD)</t>
        </is>
      </c>
      <c r="Q1549" s="13">
        <f>ROUNDUP(O1549/'Methodology &amp; Assumptions'!$B$6, 0)</f>
        <v/>
      </c>
      <c r="R1549" s="13" t="n">
        <v>1</v>
      </c>
      <c r="S1549" s="14" t="n">
        <v>0.96</v>
      </c>
      <c r="T1549" s="14" t="n">
        <v>0.19</v>
      </c>
      <c r="U1549" s="26">
        <f>IF(X1549&gt;='Methodology &amp; Assumptions'!$B$7, "Tier 1 Critical GIDA (Score ≥ 50.0)", IF(X1549&gt;='Methodology &amp; Assumptions'!$B$8, "Tier 2 High GIDA (Score 40.0–49.9)", "Tier 3 Moderate GIDA (Score &lt; 40.0)"))</f>
        <v/>
      </c>
      <c r="V1549" s="26">
        <f>IF(S1549&lt;='Methodology &amp; Assumptions'!$B$10, "Direct Optical Drop (&lt;3km)", IF(S1549&lt;='Methodology &amp; Assumptions'!$B$9, "Near Optical / Microwave (&lt;5km)", "Starlink Business LEO Satellite Backhaul (&gt;5km)"))</f>
        <v/>
      </c>
      <c r="W1549" s="28" t="n">
        <v>0.109</v>
      </c>
      <c r="X1549" s="14" t="n">
        <v>42.6</v>
      </c>
      <c r="Y1549" s="14">
        <f>ROUND(MIN(100, (X1549/69.91)*100), 2)</f>
        <v/>
      </c>
    </row>
    <row r="1550">
      <c r="A1550" s="10" t="n">
        <v>5</v>
      </c>
      <c r="B1550" s="10" t="n">
        <v>546</v>
      </c>
      <c r="C1550" s="10" t="n">
        <v>4546</v>
      </c>
      <c r="D1550" s="10" t="inlineStr">
        <is>
          <t>0301409006</t>
        </is>
      </c>
      <c r="E1550" s="26" t="inlineStr">
        <is>
          <t>Region III (Central Luzon)</t>
        </is>
      </c>
      <c r="F1550" s="26" t="inlineStr">
        <is>
          <t>Bulacan</t>
        </is>
      </c>
      <c r="G1550" s="26" t="inlineStr">
        <is>
          <t>Hagonoy</t>
        </is>
      </c>
      <c r="H1550" s="26" t="inlineStr">
        <is>
          <t>Pugad</t>
        </is>
      </c>
      <c r="I1550" s="27" t="n">
        <v>14.76794</v>
      </c>
      <c r="J1550" s="27" t="n">
        <v>120.743203</v>
      </c>
      <c r="K1550" s="10" t="inlineStr">
        <is>
          <t>R</t>
        </is>
      </c>
      <c r="L1550" s="12" t="n">
        <v>1710</v>
      </c>
      <c r="M1550" s="14" t="n">
        <v>3.5</v>
      </c>
      <c r="N1550" s="12">
        <f>ROUND(L1550/M1550, 0)</f>
        <v/>
      </c>
      <c r="O1550" s="12">
        <f>ROUND(N1550*'Methodology &amp; Assumptions'!$B$5, 0)</f>
        <v/>
      </c>
      <c r="P1550" s="10" t="inlineStr">
        <is>
          <t>Single Carrier (Band n50, 100MHz TDD)</t>
        </is>
      </c>
      <c r="Q1550" s="13">
        <f>ROUNDUP(O1550/'Methodology &amp; Assumptions'!$B$6, 0)</f>
        <v/>
      </c>
      <c r="R1550" s="13" t="n">
        <v>1</v>
      </c>
      <c r="S1550" s="14" t="n">
        <v>7.98</v>
      </c>
      <c r="T1550" s="14" t="n">
        <v>10.37</v>
      </c>
      <c r="U1550" s="26">
        <f>IF(X1550&gt;='Methodology &amp; Assumptions'!$B$7, "Tier 1 Critical GIDA (Score ≥ 50.0)", IF(X1550&gt;='Methodology &amp; Assumptions'!$B$8, "Tier 2 High GIDA (Score 40.0–49.9)", "Tier 3 Moderate GIDA (Score &lt; 40.0)"))</f>
        <v/>
      </c>
      <c r="V1550" s="26">
        <f>IF(S1550&lt;='Methodology &amp; Assumptions'!$B$10, "Direct Optical Drop (&lt;3km)", IF(S1550&lt;='Methodology &amp; Assumptions'!$B$9, "Near Optical / Microwave (&lt;5km)", "Starlink Business LEO Satellite Backhaul (&gt;5km)"))</f>
        <v/>
      </c>
      <c r="W1550" s="28" t="n">
        <v>0.083</v>
      </c>
      <c r="X1550" s="14" t="n">
        <v>42.6</v>
      </c>
      <c r="Y1550" s="14">
        <f>ROUND(MIN(100, (X1550/69.91)*100), 2)</f>
        <v/>
      </c>
    </row>
    <row r="1551">
      <c r="A1551" s="10" t="n">
        <v>5</v>
      </c>
      <c r="B1551" s="10" t="n">
        <v>547</v>
      </c>
      <c r="C1551" s="10" t="n">
        <v>4547</v>
      </c>
      <c r="D1551" s="10" t="inlineStr">
        <is>
          <t>1908702014</t>
        </is>
      </c>
      <c r="E1551" s="26" t="inlineStr">
        <is>
          <t>Bangsamoro Autonomous Region In Muslim Mindanao (BARMM)</t>
        </is>
      </c>
      <c r="F1551" s="26" t="inlineStr">
        <is>
          <t>Maguindanao del Norte</t>
        </is>
      </c>
      <c r="G1551" s="26" t="inlineStr">
        <is>
          <t>Buldon</t>
        </is>
      </c>
      <c r="H1551" s="26" t="inlineStr">
        <is>
          <t>Piers</t>
        </is>
      </c>
      <c r="I1551" s="27" t="n">
        <v>17.253889</v>
      </c>
      <c r="J1551" s="27" t="n">
        <v>122.227933</v>
      </c>
      <c r="K1551" s="10" t="inlineStr">
        <is>
          <t>R</t>
        </is>
      </c>
      <c r="L1551" s="12" t="n">
        <v>3123</v>
      </c>
      <c r="M1551" s="14" t="n">
        <v>4.3</v>
      </c>
      <c r="N1551" s="12">
        <f>ROUND(L1551/M1551, 0)</f>
        <v/>
      </c>
      <c r="O1551" s="12">
        <f>ROUND(N1551*'Methodology &amp; Assumptions'!$B$5, 0)</f>
        <v/>
      </c>
      <c r="P1551" s="10" t="inlineStr">
        <is>
          <t>Single Carrier (Band n50, 100MHz TDD)</t>
        </is>
      </c>
      <c r="Q1551" s="13">
        <f>ROUNDUP(O1551/'Methodology &amp; Assumptions'!$B$6, 0)</f>
        <v/>
      </c>
      <c r="R1551" s="13" t="n">
        <v>1</v>
      </c>
      <c r="S1551" s="14" t="n">
        <v>29.27</v>
      </c>
      <c r="T1551" s="14" t="n">
        <v>34.17</v>
      </c>
      <c r="U1551" s="26">
        <f>IF(X1551&gt;='Methodology &amp; Assumptions'!$B$7, "Tier 1 Critical GIDA (Score ≥ 50.0)", IF(X1551&gt;='Methodology &amp; Assumptions'!$B$8, "Tier 2 High GIDA (Score 40.0–49.9)", "Tier 3 Moderate GIDA (Score &lt; 40.0)"))</f>
        <v/>
      </c>
      <c r="V1551" s="26">
        <f>IF(S1551&lt;='Methodology &amp; Assumptions'!$B$10, "Direct Optical Drop (&lt;3km)", IF(S1551&lt;='Methodology &amp; Assumptions'!$B$9, "Near Optical / Microwave (&lt;5km)", "Starlink Business LEO Satellite Backhaul (&gt;5km)"))</f>
        <v/>
      </c>
      <c r="W1551" s="28" t="n">
        <v>0.11</v>
      </c>
      <c r="X1551" s="14" t="n">
        <v>42.6</v>
      </c>
      <c r="Y1551" s="14">
        <f>ROUND(MIN(100, (X1551/69.91)*100), 2)</f>
        <v/>
      </c>
    </row>
    <row r="1552">
      <c r="A1552" s="10" t="n">
        <v>5</v>
      </c>
      <c r="B1552" s="10" t="n">
        <v>548</v>
      </c>
      <c r="C1552" s="10" t="n">
        <v>4548</v>
      </c>
      <c r="D1552" s="10" t="inlineStr">
        <is>
          <t>0502006018</t>
        </is>
      </c>
      <c r="E1552" s="26" t="inlineStr">
        <is>
          <t>Region V (Bicol Region)</t>
        </is>
      </c>
      <c r="F1552" s="26" t="inlineStr">
        <is>
          <t>Catanduanes</t>
        </is>
      </c>
      <c r="G1552" s="26" t="inlineStr">
        <is>
          <t>Pandan</t>
        </is>
      </c>
      <c r="H1552" s="26" t="inlineStr">
        <is>
          <t>Panuto</t>
        </is>
      </c>
      <c r="I1552" s="27" t="n">
        <v>14.002448</v>
      </c>
      <c r="J1552" s="27" t="n">
        <v>124.170372</v>
      </c>
      <c r="K1552" s="10" t="inlineStr">
        <is>
          <t>R</t>
        </is>
      </c>
      <c r="L1552" s="12" t="n">
        <v>388</v>
      </c>
      <c r="M1552" s="14" t="n">
        <v>4.2</v>
      </c>
      <c r="N1552" s="12">
        <f>ROUND(L1552/M1552, 0)</f>
        <v/>
      </c>
      <c r="O1552" s="12">
        <f>ROUND(N1552*'Methodology &amp; Assumptions'!$B$5, 0)</f>
        <v/>
      </c>
      <c r="P1552" s="10" t="inlineStr">
        <is>
          <t>Single Carrier (Band n50, 100MHz TDD)</t>
        </is>
      </c>
      <c r="Q1552" s="13">
        <f>ROUNDUP(O1552/'Methodology &amp; Assumptions'!$B$6, 0)</f>
        <v/>
      </c>
      <c r="R1552" s="13" t="n">
        <v>1</v>
      </c>
      <c r="S1552" s="14" t="n">
        <v>41.73</v>
      </c>
      <c r="T1552" s="14" t="n">
        <v>80.18000000000001</v>
      </c>
      <c r="U1552" s="26">
        <f>IF(X1552&gt;='Methodology &amp; Assumptions'!$B$7, "Tier 1 Critical GIDA (Score ≥ 50.0)", IF(X1552&gt;='Methodology &amp; Assumptions'!$B$8, "Tier 2 High GIDA (Score 40.0–49.9)", "Tier 3 Moderate GIDA (Score &lt; 40.0)"))</f>
        <v/>
      </c>
      <c r="V1552" s="26">
        <f>IF(S1552&lt;='Methodology &amp; Assumptions'!$B$10, "Direct Optical Drop (&lt;3km)", IF(S1552&lt;='Methodology &amp; Assumptions'!$B$9, "Near Optical / Microwave (&lt;5km)", "Starlink Business LEO Satellite Backhaul (&gt;5km)"))</f>
        <v/>
      </c>
      <c r="W1552" s="28" t="n">
        <v>0.237</v>
      </c>
      <c r="X1552" s="14" t="n">
        <v>42.6</v>
      </c>
      <c r="Y1552" s="14">
        <f>ROUND(MIN(100, (X1552/69.91)*100), 2)</f>
        <v/>
      </c>
    </row>
    <row r="1553">
      <c r="A1553" s="10" t="n">
        <v>5</v>
      </c>
      <c r="B1553" s="10" t="n">
        <v>549</v>
      </c>
      <c r="C1553" s="10" t="n">
        <v>4549</v>
      </c>
      <c r="D1553" s="10" t="inlineStr">
        <is>
          <t>0803739026</t>
        </is>
      </c>
      <c r="E1553" s="26" t="inlineStr">
        <is>
          <t>Region VIII (Eastern Visayas)</t>
        </is>
      </c>
      <c r="F1553" s="26" t="inlineStr">
        <is>
          <t>Leyte</t>
        </is>
      </c>
      <c r="G1553" s="26" t="inlineStr">
        <is>
          <t>Palo</t>
        </is>
      </c>
      <c r="H1553" s="26" t="inlineStr">
        <is>
          <t>San Agustin</t>
        </is>
      </c>
      <c r="I1553" s="27" t="n">
        <v>11.127455</v>
      </c>
      <c r="J1553" s="27" t="n">
        <v>124.937133</v>
      </c>
      <c r="K1553" s="10" t="inlineStr">
        <is>
          <t>R</t>
        </is>
      </c>
      <c r="L1553" s="12" t="n">
        <v>1190</v>
      </c>
      <c r="M1553" s="14" t="n">
        <v>3.8</v>
      </c>
      <c r="N1553" s="12">
        <f>ROUND(L1553/M1553, 0)</f>
        <v/>
      </c>
      <c r="O1553" s="12">
        <f>ROUND(N1553*'Methodology &amp; Assumptions'!$B$5, 0)</f>
        <v/>
      </c>
      <c r="P1553" s="10" t="inlineStr">
        <is>
          <t>Single Carrier (Band n50, 100MHz TDD)</t>
        </is>
      </c>
      <c r="Q1553" s="13">
        <f>ROUNDUP(O1553/'Methodology &amp; Assumptions'!$B$6, 0)</f>
        <v/>
      </c>
      <c r="R1553" s="13" t="n">
        <v>1</v>
      </c>
      <c r="S1553" s="14" t="n">
        <v>7.34</v>
      </c>
      <c r="T1553" s="14" t="n">
        <v>5.43</v>
      </c>
      <c r="U1553" s="26">
        <f>IF(X1553&gt;='Methodology &amp; Assumptions'!$B$7, "Tier 1 Critical GIDA (Score ≥ 50.0)", IF(X1553&gt;='Methodology &amp; Assumptions'!$B$8, "Tier 2 High GIDA (Score 40.0–49.9)", "Tier 3 Moderate GIDA (Score &lt; 40.0)"))</f>
        <v/>
      </c>
      <c r="V1553" s="26">
        <f>IF(S1553&lt;='Methodology &amp; Assumptions'!$B$10, "Direct Optical Drop (&lt;3km)", IF(S1553&lt;='Methodology &amp; Assumptions'!$B$9, "Near Optical / Microwave (&lt;5km)", "Starlink Business LEO Satellite Backhaul (&gt;5km)"))</f>
        <v/>
      </c>
      <c r="W1553" s="28" t="n">
        <v>0.237</v>
      </c>
      <c r="X1553" s="14" t="n">
        <v>42.59</v>
      </c>
      <c r="Y1553" s="14">
        <f>ROUND(MIN(100, (X1553/69.91)*100), 2)</f>
        <v/>
      </c>
    </row>
    <row r="1554">
      <c r="A1554" s="10" t="n">
        <v>5</v>
      </c>
      <c r="B1554" s="10" t="n">
        <v>550</v>
      </c>
      <c r="C1554" s="10" t="n">
        <v>4550</v>
      </c>
      <c r="D1554" s="10" t="inlineStr">
        <is>
          <t>0504113007</t>
        </is>
      </c>
      <c r="E1554" s="26" t="inlineStr">
        <is>
          <t>Region V (Bicol Region)</t>
        </is>
      </c>
      <c r="F1554" s="26" t="inlineStr">
        <is>
          <t>Masbate</t>
        </is>
      </c>
      <c r="G1554" s="26" t="inlineStr">
        <is>
          <t>Mobo</t>
        </is>
      </c>
      <c r="H1554" s="26" t="inlineStr">
        <is>
          <t>Guintorelan</t>
        </is>
      </c>
      <c r="I1554" s="27" t="n">
        <v>12.2488</v>
      </c>
      <c r="J1554" s="27" t="n">
        <v>123.60779</v>
      </c>
      <c r="K1554" s="10" t="inlineStr">
        <is>
          <t>R</t>
        </is>
      </c>
      <c r="L1554" s="12" t="n">
        <v>420</v>
      </c>
      <c r="M1554" s="14" t="n">
        <v>4.1</v>
      </c>
      <c r="N1554" s="12">
        <f>ROUND(L1554/M1554, 0)</f>
        <v/>
      </c>
      <c r="O1554" s="12">
        <f>ROUND(N1554*'Methodology &amp; Assumptions'!$B$5, 0)</f>
        <v/>
      </c>
      <c r="P1554" s="10" t="inlineStr">
        <is>
          <t>Single Carrier (Band n50, 100MHz TDD)</t>
        </is>
      </c>
      <c r="Q1554" s="13">
        <f>ROUNDUP(O1554/'Methodology &amp; Assumptions'!$B$6, 0)</f>
        <v/>
      </c>
      <c r="R1554" s="13" t="n">
        <v>1</v>
      </c>
      <c r="S1554" s="14" t="n">
        <v>11.16</v>
      </c>
      <c r="T1554" s="14" t="n">
        <v>7.39</v>
      </c>
      <c r="U1554" s="26">
        <f>IF(X1554&gt;='Methodology &amp; Assumptions'!$B$7, "Tier 1 Critical GIDA (Score ≥ 50.0)", IF(X1554&gt;='Methodology &amp; Assumptions'!$B$8, "Tier 2 High GIDA (Score 40.0–49.9)", "Tier 3 Moderate GIDA (Score &lt; 40.0)"))</f>
        <v/>
      </c>
      <c r="V1554" s="26">
        <f>IF(S1554&lt;='Methodology &amp; Assumptions'!$B$10, "Direct Optical Drop (&lt;3km)", IF(S1554&lt;='Methodology &amp; Assumptions'!$B$9, "Near Optical / Microwave (&lt;5km)", "Starlink Business LEO Satellite Backhaul (&gt;5km)"))</f>
        <v/>
      </c>
      <c r="W1554" s="28" t="n">
        <v>0.237</v>
      </c>
      <c r="X1554" s="14" t="n">
        <v>42.58</v>
      </c>
      <c r="Y1554" s="14">
        <f>ROUND(MIN(100, (X1554/69.91)*100), 2)</f>
        <v/>
      </c>
    </row>
    <row r="1555">
      <c r="A1555" s="10" t="n">
        <v>5</v>
      </c>
      <c r="B1555" s="10" t="n">
        <v>551</v>
      </c>
      <c r="C1555" s="10" t="n">
        <v>4551</v>
      </c>
      <c r="D1555" s="10" t="inlineStr">
        <is>
          <t>PH0004551</t>
        </is>
      </c>
      <c r="E1555" s="26" t="inlineStr">
        <is>
          <t>VII</t>
        </is>
      </c>
      <c r="F1555" s="26" t="inlineStr">
        <is>
          <t>Cebu</t>
        </is>
      </c>
      <c r="G1555" s="26" t="inlineStr">
        <is>
          <t>Cebu City</t>
        </is>
      </c>
      <c r="H1555" s="26" t="inlineStr">
        <is>
          <t>Ermita (Pob.)</t>
        </is>
      </c>
      <c r="I1555" s="27" t="n">
        <v>10.350025</v>
      </c>
      <c r="J1555" s="27" t="n">
        <v>123.895424</v>
      </c>
      <c r="K1555" s="10" t="inlineStr">
        <is>
          <t>R</t>
        </is>
      </c>
      <c r="L1555" s="12" t="n">
        <v>2250</v>
      </c>
      <c r="M1555" s="14" t="n">
        <v>3.8</v>
      </c>
      <c r="N1555" s="12">
        <f>ROUND(L1555/M1555, 0)</f>
        <v/>
      </c>
      <c r="O1555" s="12">
        <f>ROUND(N1555*'Methodology &amp; Assumptions'!$B$5, 0)</f>
        <v/>
      </c>
      <c r="P1555" s="10" t="inlineStr">
        <is>
          <t>Single Carrier (Band n50, 100MHz TDD)</t>
        </is>
      </c>
      <c r="Q1555" s="13">
        <f>ROUNDUP(O1555/'Methodology &amp; Assumptions'!$B$6, 0)</f>
        <v/>
      </c>
      <c r="R1555" s="13" t="n">
        <v>1</v>
      </c>
      <c r="S1555" s="14" t="n">
        <v>2.18</v>
      </c>
      <c r="T1555" s="14" t="n">
        <v>3.41</v>
      </c>
      <c r="U1555" s="26">
        <f>IF(X1555&gt;='Methodology &amp; Assumptions'!$B$7, "Tier 1 Critical GIDA (Score ≥ 50.0)", IF(X1555&gt;='Methodology &amp; Assumptions'!$B$8, "Tier 2 High GIDA (Score 40.0–49.9)", "Tier 3 Moderate GIDA (Score &lt; 40.0)"))</f>
        <v/>
      </c>
      <c r="V1555" s="26">
        <f>IF(S1555&lt;='Methodology &amp; Assumptions'!$B$10, "Direct Optical Drop (&lt;3km)", IF(S1555&lt;='Methodology &amp; Assumptions'!$B$9, "Near Optical / Microwave (&lt;5km)", "Starlink Business LEO Satellite Backhaul (&gt;5km)"))</f>
        <v/>
      </c>
      <c r="W1555" s="28" t="n">
        <v>0.21</v>
      </c>
      <c r="X1555" s="14" t="n">
        <v>42.58</v>
      </c>
      <c r="Y1555" s="14">
        <f>ROUND(MIN(100, (X1555/69.91)*100), 2)</f>
        <v/>
      </c>
    </row>
    <row r="1556">
      <c r="A1556" s="10" t="n">
        <v>5</v>
      </c>
      <c r="B1556" s="10" t="n">
        <v>552</v>
      </c>
      <c r="C1556" s="10" t="n">
        <v>4552</v>
      </c>
      <c r="D1556" s="10" t="inlineStr">
        <is>
          <t>PH0004552</t>
        </is>
      </c>
      <c r="E1556" s="26" t="inlineStr">
        <is>
          <t>VII</t>
        </is>
      </c>
      <c r="F1556" s="26" t="inlineStr">
        <is>
          <t>Cebu</t>
        </is>
      </c>
      <c r="G1556" s="26" t="inlineStr">
        <is>
          <t>Cebu City</t>
        </is>
      </c>
      <c r="H1556" s="26" t="inlineStr">
        <is>
          <t>Central (Pob.)</t>
        </is>
      </c>
      <c r="I1556" s="27" t="n">
        <v>10.327336</v>
      </c>
      <c r="J1556" s="27" t="n">
        <v>123.86748</v>
      </c>
      <c r="K1556" s="10" t="inlineStr">
        <is>
          <t>R</t>
        </is>
      </c>
      <c r="L1556" s="12" t="n">
        <v>2250</v>
      </c>
      <c r="M1556" s="14" t="n">
        <v>3.8</v>
      </c>
      <c r="N1556" s="12">
        <f>ROUND(L1556/M1556, 0)</f>
        <v/>
      </c>
      <c r="O1556" s="12">
        <f>ROUND(N1556*'Methodology &amp; Assumptions'!$B$5, 0)</f>
        <v/>
      </c>
      <c r="P1556" s="10" t="inlineStr">
        <is>
          <t>Single Carrier (Band n50, 100MHz TDD)</t>
        </is>
      </c>
      <c r="Q1556" s="13">
        <f>ROUNDUP(O1556/'Methodology &amp; Assumptions'!$B$6, 0)</f>
        <v/>
      </c>
      <c r="R1556" s="13" t="n">
        <v>1</v>
      </c>
      <c r="S1556" s="14" t="n">
        <v>3.24</v>
      </c>
      <c r="T1556" s="14" t="n">
        <v>3.23</v>
      </c>
      <c r="U1556" s="26">
        <f>IF(X1556&gt;='Methodology &amp; Assumptions'!$B$7, "Tier 1 Critical GIDA (Score ≥ 50.0)", IF(X1556&gt;='Methodology &amp; Assumptions'!$B$8, "Tier 2 High GIDA (Score 40.0–49.9)", "Tier 3 Moderate GIDA (Score &lt; 40.0)"))</f>
        <v/>
      </c>
      <c r="V1556" s="26">
        <f>IF(S1556&lt;='Methodology &amp; Assumptions'!$B$10, "Direct Optical Drop (&lt;3km)", IF(S1556&lt;='Methodology &amp; Assumptions'!$B$9, "Near Optical / Microwave (&lt;5km)", "Starlink Business LEO Satellite Backhaul (&gt;5km)"))</f>
        <v/>
      </c>
      <c r="W1556" s="28" t="n">
        <v>0.21</v>
      </c>
      <c r="X1556" s="14" t="n">
        <v>42.58</v>
      </c>
      <c r="Y1556" s="14">
        <f>ROUND(MIN(100, (X1556/69.91)*100), 2)</f>
        <v/>
      </c>
    </row>
    <row r="1557">
      <c r="A1557" s="10" t="n">
        <v>5</v>
      </c>
      <c r="B1557" s="10" t="n">
        <v>553</v>
      </c>
      <c r="C1557" s="10" t="n">
        <v>4553</v>
      </c>
      <c r="D1557" s="10" t="inlineStr">
        <is>
          <t>1004208021</t>
        </is>
      </c>
      <c r="E1557" s="26" t="inlineStr">
        <is>
          <t>Region X (Northern Mindanao)</t>
        </is>
      </c>
      <c r="F1557" s="26" t="inlineStr">
        <is>
          <t>Misamis Occidental</t>
        </is>
      </c>
      <c r="G1557" s="26" t="inlineStr">
        <is>
          <t>Lopez Jaena</t>
        </is>
      </c>
      <c r="H1557" s="26" t="inlineStr">
        <is>
          <t>Peniel</t>
        </is>
      </c>
      <c r="I1557" s="27" t="n">
        <v>8.416195</v>
      </c>
      <c r="J1557" s="27" t="n">
        <v>123.649827</v>
      </c>
      <c r="K1557" s="10" t="inlineStr">
        <is>
          <t>R</t>
        </is>
      </c>
      <c r="L1557" s="12" t="n">
        <v>164</v>
      </c>
      <c r="M1557" s="14" t="n">
        <v>3.9</v>
      </c>
      <c r="N1557" s="12">
        <f>ROUND(L1557/M1557, 0)</f>
        <v/>
      </c>
      <c r="O1557" s="12">
        <f>ROUND(N1557*'Methodology &amp; Assumptions'!$B$5, 0)</f>
        <v/>
      </c>
      <c r="P1557" s="10" t="inlineStr">
        <is>
          <t>Single Carrier (Band n50, 100MHz TDD)</t>
        </is>
      </c>
      <c r="Q1557" s="13">
        <f>ROUNDUP(O1557/'Methodology &amp; Assumptions'!$B$6, 0)</f>
        <v/>
      </c>
      <c r="R1557" s="13" t="n">
        <v>1</v>
      </c>
      <c r="S1557" s="14" t="n">
        <v>44.64</v>
      </c>
      <c r="T1557" s="14" t="n">
        <v>41.17</v>
      </c>
      <c r="U1557" s="26">
        <f>IF(X1557&gt;='Methodology &amp; Assumptions'!$B$7, "Tier 1 Critical GIDA (Score ≥ 50.0)", IF(X1557&gt;='Methodology &amp; Assumptions'!$B$8, "Tier 2 High GIDA (Score 40.0–49.9)", "Tier 3 Moderate GIDA (Score &lt; 40.0)"))</f>
        <v/>
      </c>
      <c r="V1557" s="26">
        <f>IF(S1557&lt;='Methodology &amp; Assumptions'!$B$10, "Direct Optical Drop (&lt;3km)", IF(S1557&lt;='Methodology &amp; Assumptions'!$B$9, "Near Optical / Microwave (&lt;5km)", "Starlink Business LEO Satellite Backhaul (&gt;5km)"))</f>
        <v/>
      </c>
      <c r="W1557" s="28" t="n">
        <v>0.174</v>
      </c>
      <c r="X1557" s="14" t="n">
        <v>42.58</v>
      </c>
      <c r="Y1557" s="14">
        <f>ROUND(MIN(100, (X1557/69.91)*100), 2)</f>
        <v/>
      </c>
    </row>
    <row r="1558">
      <c r="A1558" s="10" t="n">
        <v>5</v>
      </c>
      <c r="B1558" s="10" t="n">
        <v>554</v>
      </c>
      <c r="C1558" s="10" t="n">
        <v>4554</v>
      </c>
      <c r="D1558" s="10" t="inlineStr">
        <is>
          <t>PH0004554</t>
        </is>
      </c>
      <c r="E1558" s="26" t="inlineStr">
        <is>
          <t>XI</t>
        </is>
      </c>
      <c r="F1558" s="26" t="inlineStr">
        <is>
          <t>Davao Del Sur</t>
        </is>
      </c>
      <c r="G1558" s="26" t="inlineStr">
        <is>
          <t>Davao City</t>
        </is>
      </c>
      <c r="H1558" s="26" t="inlineStr">
        <is>
          <t>Kap. Tomas Monteverde, Sr.</t>
        </is>
      </c>
      <c r="I1558" s="27" t="n">
        <v>7.176526</v>
      </c>
      <c r="J1558" s="27" t="n">
        <v>125.512206</v>
      </c>
      <c r="K1558" s="10" t="inlineStr">
        <is>
          <t>R</t>
        </is>
      </c>
      <c r="L1558" s="12" t="n">
        <v>2280</v>
      </c>
      <c r="M1558" s="14" t="n">
        <v>3.4</v>
      </c>
      <c r="N1558" s="12">
        <f>ROUND(L1558/M1558, 0)</f>
        <v/>
      </c>
      <c r="O1558" s="12">
        <f>ROUND(N1558*'Methodology &amp; Assumptions'!$B$5, 0)</f>
        <v/>
      </c>
      <c r="P1558" s="10" t="inlineStr">
        <is>
          <t>Single Carrier (Band n50, 100MHz TDD)</t>
        </is>
      </c>
      <c r="Q1558" s="13">
        <f>ROUNDUP(O1558/'Methodology &amp; Assumptions'!$B$6, 0)</f>
        <v/>
      </c>
      <c r="R1558" s="13" t="n">
        <v>1</v>
      </c>
      <c r="S1558" s="14" t="n">
        <v>6.42</v>
      </c>
      <c r="T1558" s="14" t="n">
        <v>4.43</v>
      </c>
      <c r="U1558" s="26">
        <f>IF(X1558&gt;='Methodology &amp; Assumptions'!$B$7, "Tier 1 Critical GIDA (Score ≥ 50.0)", IF(X1558&gt;='Methodology &amp; Assumptions'!$B$8, "Tier 2 High GIDA (Score 40.0–49.9)", "Tier 3 Moderate GIDA (Score &lt; 40.0)"))</f>
        <v/>
      </c>
      <c r="V1558" s="26">
        <f>IF(S1558&lt;='Methodology &amp; Assumptions'!$B$10, "Direct Optical Drop (&lt;3km)", IF(S1558&lt;='Methodology &amp; Assumptions'!$B$9, "Near Optical / Microwave (&lt;5km)", "Starlink Business LEO Satellite Backhaul (&gt;5km)"))</f>
        <v/>
      </c>
      <c r="W1558" s="28" t="n">
        <v>0.119</v>
      </c>
      <c r="X1558" s="14" t="n">
        <v>42.57</v>
      </c>
      <c r="Y1558" s="14">
        <f>ROUND(MIN(100, (X1558/69.91)*100), 2)</f>
        <v/>
      </c>
    </row>
    <row r="1559">
      <c r="A1559" s="10" t="n">
        <v>5</v>
      </c>
      <c r="B1559" s="10" t="n">
        <v>555</v>
      </c>
      <c r="C1559" s="10" t="n">
        <v>4555</v>
      </c>
      <c r="D1559" s="10" t="inlineStr">
        <is>
          <t>1906616003</t>
        </is>
      </c>
      <c r="E1559" s="26" t="inlineStr">
        <is>
          <t>Bangsamoro Autonomous Region In Muslim Mindanao (BARMM)</t>
        </is>
      </c>
      <c r="F1559" s="26" t="inlineStr">
        <is>
          <t>Sulu</t>
        </is>
      </c>
      <c r="G1559" s="26" t="inlineStr">
        <is>
          <t>Panglima Estino</t>
        </is>
      </c>
      <c r="H1559" s="26" t="inlineStr">
        <is>
          <t>Kamih-Pungud</t>
        </is>
      </c>
      <c r="I1559" s="27" t="n">
        <v>17.25558</v>
      </c>
      <c r="J1559" s="27" t="n">
        <v>122.229624</v>
      </c>
      <c r="K1559" s="10" t="inlineStr">
        <is>
          <t>R</t>
        </is>
      </c>
      <c r="L1559" s="12" t="n">
        <v>1962</v>
      </c>
      <c r="M1559" s="14" t="n">
        <v>6</v>
      </c>
      <c r="N1559" s="12">
        <f>ROUND(L1559/M1559, 0)</f>
        <v/>
      </c>
      <c r="O1559" s="12">
        <f>ROUND(N1559*'Methodology &amp; Assumptions'!$B$5, 0)</f>
        <v/>
      </c>
      <c r="P1559" s="10" t="inlineStr">
        <is>
          <t>Single Carrier (Band n50, 100MHz TDD)</t>
        </is>
      </c>
      <c r="Q1559" s="13">
        <f>ROUNDUP(O1559/'Methodology &amp; Assumptions'!$B$6, 0)</f>
        <v/>
      </c>
      <c r="R1559" s="13" t="n">
        <v>1</v>
      </c>
      <c r="S1559" s="14" t="n">
        <v>29.53</v>
      </c>
      <c r="T1559" s="14" t="n">
        <v>34.4</v>
      </c>
      <c r="U1559" s="26">
        <f>IF(X1559&gt;='Methodology &amp; Assumptions'!$B$7, "Tier 1 Critical GIDA (Score ≥ 50.0)", IF(X1559&gt;='Methodology &amp; Assumptions'!$B$8, "Tier 2 High GIDA (Score 40.0–49.9)", "Tier 3 Moderate GIDA (Score &lt; 40.0)"))</f>
        <v/>
      </c>
      <c r="V1559" s="26">
        <f>IF(S1559&lt;='Methodology &amp; Assumptions'!$B$10, "Direct Optical Drop (&lt;3km)", IF(S1559&lt;='Methodology &amp; Assumptions'!$B$9, "Near Optical / Microwave (&lt;5km)", "Starlink Business LEO Satellite Backhaul (&gt;5km)"))</f>
        <v/>
      </c>
      <c r="W1559" s="28" t="n">
        <v>0.11</v>
      </c>
      <c r="X1559" s="14" t="n">
        <v>42.57</v>
      </c>
      <c r="Y1559" s="14">
        <f>ROUND(MIN(100, (X1559/69.91)*100), 2)</f>
        <v/>
      </c>
    </row>
    <row r="1560">
      <c r="A1560" s="10" t="n">
        <v>5</v>
      </c>
      <c r="B1560" s="10" t="n">
        <v>556</v>
      </c>
      <c r="C1560" s="10" t="n">
        <v>4556</v>
      </c>
      <c r="D1560" s="10" t="inlineStr">
        <is>
          <t>0600607022</t>
        </is>
      </c>
      <c r="E1560" s="26" t="inlineStr">
        <is>
          <t>Region VI (Western Visayas)</t>
        </is>
      </c>
      <c r="F1560" s="26" t="inlineStr">
        <is>
          <t>Antique</t>
        </is>
      </c>
      <c r="G1560" s="26" t="inlineStr">
        <is>
          <t>Tobias Fornier</t>
        </is>
      </c>
      <c r="H1560" s="26" t="inlineStr">
        <is>
          <t>Igbangcal-C</t>
        </is>
      </c>
      <c r="I1560" s="27" t="n">
        <v>10.52055</v>
      </c>
      <c r="J1560" s="27" t="n">
        <v>121.968206</v>
      </c>
      <c r="K1560" s="10" t="inlineStr">
        <is>
          <t>R</t>
        </is>
      </c>
      <c r="L1560" s="12" t="n">
        <v>298</v>
      </c>
      <c r="M1560" s="14" t="n">
        <v>3.9</v>
      </c>
      <c r="N1560" s="12">
        <f>ROUND(L1560/M1560, 0)</f>
        <v/>
      </c>
      <c r="O1560" s="12">
        <f>ROUND(N1560*'Methodology &amp; Assumptions'!$B$5, 0)</f>
        <v/>
      </c>
      <c r="P1560" s="10" t="inlineStr">
        <is>
          <t>Single Carrier (Band n50, 100MHz TDD)</t>
        </is>
      </c>
      <c r="Q1560" s="13">
        <f>ROUNDUP(O1560/'Methodology &amp; Assumptions'!$B$6, 0)</f>
        <v/>
      </c>
      <c r="R1560" s="13" t="n">
        <v>1</v>
      </c>
      <c r="S1560" s="14" t="n">
        <v>27.08</v>
      </c>
      <c r="T1560" s="14" t="n">
        <v>8.98</v>
      </c>
      <c r="U1560" s="26">
        <f>IF(X1560&gt;='Methodology &amp; Assumptions'!$B$7, "Tier 1 Critical GIDA (Score ≥ 50.0)", IF(X1560&gt;='Methodology &amp; Assumptions'!$B$8, "Tier 2 High GIDA (Score 40.0–49.9)", "Tier 3 Moderate GIDA (Score &lt; 40.0)"))</f>
        <v/>
      </c>
      <c r="V1560" s="26">
        <f>IF(S1560&lt;='Methodology &amp; Assumptions'!$B$10, "Direct Optical Drop (&lt;3km)", IF(S1560&lt;='Methodology &amp; Assumptions'!$B$9, "Near Optical / Microwave (&lt;5km)", "Starlink Business LEO Satellite Backhaul (&gt;5km)"))</f>
        <v/>
      </c>
      <c r="W1560" s="28" t="n">
        <v>0.237</v>
      </c>
      <c r="X1560" s="14" t="n">
        <v>42.57</v>
      </c>
      <c r="Y1560" s="14">
        <f>ROUND(MIN(100, (X1560/69.91)*100), 2)</f>
        <v/>
      </c>
    </row>
    <row r="1561">
      <c r="A1561" s="10" t="n">
        <v>5</v>
      </c>
      <c r="B1561" s="10" t="n">
        <v>557</v>
      </c>
      <c r="C1561" s="10" t="n">
        <v>4557</v>
      </c>
      <c r="D1561" s="10" t="inlineStr">
        <is>
          <t>PH0004557</t>
        </is>
      </c>
      <c r="E1561" s="26" t="inlineStr">
        <is>
          <t>IV-A</t>
        </is>
      </c>
      <c r="F1561" s="26" t="inlineStr">
        <is>
          <t>Cavite</t>
        </is>
      </c>
      <c r="G1561" s="26" t="inlineStr">
        <is>
          <t>Cavite City</t>
        </is>
      </c>
      <c r="H1561" s="26" t="inlineStr">
        <is>
          <t>Barangay 61</t>
        </is>
      </c>
      <c r="I1561" s="27" t="n">
        <v>14.481832</v>
      </c>
      <c r="J1561" s="27" t="n">
        <v>120.905779</v>
      </c>
      <c r="K1561" s="10" t="inlineStr">
        <is>
          <t>R</t>
        </is>
      </c>
      <c r="L1561" s="12" t="n">
        <v>2316</v>
      </c>
      <c r="M1561" s="14" t="n">
        <v>3.4</v>
      </c>
      <c r="N1561" s="12">
        <f>ROUND(L1561/M1561, 0)</f>
        <v/>
      </c>
      <c r="O1561" s="12">
        <f>ROUND(N1561*'Methodology &amp; Assumptions'!$B$5, 0)</f>
        <v/>
      </c>
      <c r="P1561" s="10" t="inlineStr">
        <is>
          <t>Single Carrier (Band n50, 100MHz TDD)</t>
        </is>
      </c>
      <c r="Q1561" s="13">
        <f>ROUNDUP(O1561/'Methodology &amp; Assumptions'!$B$6, 0)</f>
        <v/>
      </c>
      <c r="R1561" s="13" t="n">
        <v>1</v>
      </c>
      <c r="S1561" s="14" t="n">
        <v>2.11</v>
      </c>
      <c r="T1561" s="14" t="n">
        <v>3.98</v>
      </c>
      <c r="U1561" s="26">
        <f>IF(X1561&gt;='Methodology &amp; Assumptions'!$B$7, "Tier 1 Critical GIDA (Score ≥ 50.0)", IF(X1561&gt;='Methodology &amp; Assumptions'!$B$8, "Tier 2 High GIDA (Score 40.0–49.9)", "Tier 3 Moderate GIDA (Score &lt; 40.0)"))</f>
        <v/>
      </c>
      <c r="V1561" s="26">
        <f>IF(S1561&lt;='Methodology &amp; Assumptions'!$B$10, "Direct Optical Drop (&lt;3km)", IF(S1561&lt;='Methodology &amp; Assumptions'!$B$9, "Near Optical / Microwave (&lt;5km)", "Starlink Business LEO Satellite Backhaul (&gt;5km)"))</f>
        <v/>
      </c>
      <c r="W1561" s="28" t="n">
        <v>0.07200000000000001</v>
      </c>
      <c r="X1561" s="14" t="n">
        <v>42.57</v>
      </c>
      <c r="Y1561" s="14">
        <f>ROUND(MIN(100, (X1561/69.91)*100), 2)</f>
        <v/>
      </c>
    </row>
    <row r="1562">
      <c r="A1562" s="10" t="n">
        <v>5</v>
      </c>
      <c r="B1562" s="10" t="n">
        <v>558</v>
      </c>
      <c r="C1562" s="10" t="n">
        <v>4558</v>
      </c>
      <c r="D1562" s="10" t="inlineStr">
        <is>
          <t>PH0004558</t>
        </is>
      </c>
      <c r="E1562" s="26" t="inlineStr">
        <is>
          <t>IV-A</t>
        </is>
      </c>
      <c r="F1562" s="26" t="inlineStr">
        <is>
          <t>Cavite</t>
        </is>
      </c>
      <c r="G1562" s="26" t="inlineStr">
        <is>
          <t>City of Bacoor</t>
        </is>
      </c>
      <c r="H1562" s="26" t="inlineStr">
        <is>
          <t>P.F. Espiritu 4</t>
        </is>
      </c>
      <c r="I1562" s="27" t="n">
        <v>14.325936</v>
      </c>
      <c r="J1562" s="27" t="n">
        <v>121.069221</v>
      </c>
      <c r="K1562" s="10" t="inlineStr">
        <is>
          <t>R</t>
        </is>
      </c>
      <c r="L1562" s="12" t="n">
        <v>9584</v>
      </c>
      <c r="M1562" s="14" t="n">
        <v>3.4</v>
      </c>
      <c r="N1562" s="12">
        <f>ROUND(L1562/M1562, 0)</f>
        <v/>
      </c>
      <c r="O1562" s="12">
        <f>ROUND(N1562*'Methodology &amp; Assumptions'!$B$5, 0)</f>
        <v/>
      </c>
      <c r="P1562" s="10" t="inlineStr">
        <is>
          <t>Single Carrier (Band n50, 100MHz TDD)</t>
        </is>
      </c>
      <c r="Q1562" s="13">
        <f>ROUNDUP(O1562/'Methodology &amp; Assumptions'!$B$6, 0)</f>
        <v/>
      </c>
      <c r="R1562" s="13" t="n">
        <v>1</v>
      </c>
      <c r="S1562" s="14" t="n">
        <v>1.58</v>
      </c>
      <c r="T1562" s="14" t="n">
        <v>0.36</v>
      </c>
      <c r="U1562" s="26">
        <f>IF(X1562&gt;='Methodology &amp; Assumptions'!$B$7, "Tier 1 Critical GIDA (Score ≥ 50.0)", IF(X1562&gt;='Methodology &amp; Assumptions'!$B$8, "Tier 2 High GIDA (Score 40.0–49.9)", "Tier 3 Moderate GIDA (Score &lt; 40.0)"))</f>
        <v/>
      </c>
      <c r="V1562" s="26">
        <f>IF(S1562&lt;='Methodology &amp; Assumptions'!$B$10, "Direct Optical Drop (&lt;3km)", IF(S1562&lt;='Methodology &amp; Assumptions'!$B$9, "Near Optical / Microwave (&lt;5km)", "Starlink Business LEO Satellite Backhaul (&gt;5km)"))</f>
        <v/>
      </c>
      <c r="W1562" s="28" t="n">
        <v>0.07200000000000001</v>
      </c>
      <c r="X1562" s="14" t="n">
        <v>42.56</v>
      </c>
      <c r="Y1562" s="14">
        <f>ROUND(MIN(100, (X1562/69.91)*100), 2)</f>
        <v/>
      </c>
    </row>
    <row r="1563">
      <c r="A1563" s="10" t="n">
        <v>5</v>
      </c>
      <c r="B1563" s="10" t="n">
        <v>559</v>
      </c>
      <c r="C1563" s="10" t="n">
        <v>4559</v>
      </c>
      <c r="D1563" s="10" t="inlineStr">
        <is>
          <t>1381300002</t>
        </is>
      </c>
      <c r="E1563" s="26" t="inlineStr">
        <is>
          <t>National Capital Region (NCR)</t>
        </is>
      </c>
      <c r="F1563" s="26" t="inlineStr">
        <is>
          <t>Second District (Not a Province)</t>
        </is>
      </c>
      <c r="G1563" s="26" t="inlineStr">
        <is>
          <t>Quezon City</t>
        </is>
      </c>
      <c r="H1563" s="26" t="inlineStr">
        <is>
          <t>Amihan</t>
        </is>
      </c>
      <c r="I1563" s="27" t="n">
        <v>14.632358</v>
      </c>
      <c r="J1563" s="27" t="n">
        <v>121.070505</v>
      </c>
      <c r="K1563" s="10" t="inlineStr">
        <is>
          <t>U</t>
        </is>
      </c>
      <c r="L1563" s="12" t="n">
        <v>3660</v>
      </c>
      <c r="M1563" s="14" t="n">
        <v>3.8</v>
      </c>
      <c r="N1563" s="12">
        <f>ROUND(L1563/M1563, 0)</f>
        <v/>
      </c>
      <c r="O1563" s="12">
        <f>ROUND(N1563*'Methodology &amp; Assumptions'!$B$5, 0)</f>
        <v/>
      </c>
      <c r="P1563" s="10" t="inlineStr">
        <is>
          <t>Single Carrier (Band n50, 100MHz TDD)</t>
        </is>
      </c>
      <c r="Q1563" s="13">
        <f>ROUNDUP(O1563/'Methodology &amp; Assumptions'!$B$6, 0)</f>
        <v/>
      </c>
      <c r="R1563" s="13" t="n">
        <v>1</v>
      </c>
      <c r="S1563" s="14" t="n">
        <v>0.67</v>
      </c>
      <c r="T1563" s="14" t="n">
        <v>0.24</v>
      </c>
      <c r="U1563" s="26">
        <f>IF(X1563&gt;='Methodology &amp; Assumptions'!$B$7, "Tier 1 Critical GIDA (Score ≥ 50.0)", IF(X1563&gt;='Methodology &amp; Assumptions'!$B$8, "Tier 2 High GIDA (Score 40.0–49.9)", "Tier 3 Moderate GIDA (Score &lt; 40.0)"))</f>
        <v/>
      </c>
      <c r="V1563" s="26">
        <f>IF(S1563&lt;='Methodology &amp; Assumptions'!$B$10, "Direct Optical Drop (&lt;3km)", IF(S1563&lt;='Methodology &amp; Assumptions'!$B$9, "Near Optical / Microwave (&lt;5km)", "Starlink Business LEO Satellite Backhaul (&gt;5km)"))</f>
        <v/>
      </c>
      <c r="W1563" s="28" t="n">
        <v>0.109</v>
      </c>
      <c r="X1563" s="14" t="n">
        <v>42.56</v>
      </c>
      <c r="Y1563" s="14">
        <f>ROUND(MIN(100, (X1563/69.91)*100), 2)</f>
        <v/>
      </c>
    </row>
    <row r="1564">
      <c r="A1564" s="10" t="n">
        <v>5</v>
      </c>
      <c r="B1564" s="10" t="n">
        <v>560</v>
      </c>
      <c r="C1564" s="10" t="n">
        <v>4560</v>
      </c>
      <c r="D1564" s="10" t="inlineStr">
        <is>
          <t>0300809005</t>
        </is>
      </c>
      <c r="E1564" s="26" t="inlineStr">
        <is>
          <t>Region III (Central Luzon)</t>
        </is>
      </c>
      <c r="F1564" s="26" t="inlineStr">
        <is>
          <t>Bataan</t>
        </is>
      </c>
      <c r="G1564" s="26" t="inlineStr">
        <is>
          <t>Orani</t>
        </is>
      </c>
      <c r="H1564" s="26" t="inlineStr">
        <is>
          <t>Paking-Carbonero</t>
        </is>
      </c>
      <c r="I1564" s="27" t="n">
        <v>14.787615</v>
      </c>
      <c r="J1564" s="27" t="n">
        <v>120.504993</v>
      </c>
      <c r="K1564" s="10" t="inlineStr">
        <is>
          <t>R</t>
        </is>
      </c>
      <c r="L1564" s="12" t="n">
        <v>968</v>
      </c>
      <c r="M1564" s="14" t="n">
        <v>3.6</v>
      </c>
      <c r="N1564" s="12">
        <f>ROUND(L1564/M1564, 0)</f>
        <v/>
      </c>
      <c r="O1564" s="12">
        <f>ROUND(N1564*'Methodology &amp; Assumptions'!$B$5, 0)</f>
        <v/>
      </c>
      <c r="P1564" s="10" t="inlineStr">
        <is>
          <t>Single Carrier (Band n50, 100MHz TDD)</t>
        </is>
      </c>
      <c r="Q1564" s="13">
        <f>ROUNDUP(O1564/'Methodology &amp; Assumptions'!$B$6, 0)</f>
        <v/>
      </c>
      <c r="R1564" s="13" t="n">
        <v>1</v>
      </c>
      <c r="S1564" s="14" t="n">
        <v>3.74</v>
      </c>
      <c r="T1564" s="14" t="n">
        <v>0.88</v>
      </c>
      <c r="U1564" s="26">
        <f>IF(X1564&gt;='Methodology &amp; Assumptions'!$B$7, "Tier 1 Critical GIDA (Score ≥ 50.0)", IF(X1564&gt;='Methodology &amp; Assumptions'!$B$8, "Tier 2 High GIDA (Score 40.0–49.9)", "Tier 3 Moderate GIDA (Score &lt; 40.0)"))</f>
        <v/>
      </c>
      <c r="V1564" s="26">
        <f>IF(S1564&lt;='Methodology &amp; Assumptions'!$B$10, "Direct Optical Drop (&lt;3km)", IF(S1564&lt;='Methodology &amp; Assumptions'!$B$9, "Near Optical / Microwave (&lt;5km)", "Starlink Business LEO Satellite Backhaul (&gt;5km)"))</f>
        <v/>
      </c>
      <c r="W1564" s="28" t="n">
        <v>0.083</v>
      </c>
      <c r="X1564" s="14" t="n">
        <v>42.56</v>
      </c>
      <c r="Y1564" s="14">
        <f>ROUND(MIN(100, (X1564/69.91)*100), 2)</f>
        <v/>
      </c>
    </row>
    <row r="1565">
      <c r="A1565" s="10" t="n">
        <v>5</v>
      </c>
      <c r="B1565" s="10" t="n">
        <v>561</v>
      </c>
      <c r="C1565" s="10" t="n">
        <v>4561</v>
      </c>
      <c r="D1565" s="10" t="inlineStr">
        <is>
          <t>PH0004561</t>
        </is>
      </c>
      <c r="E1565" s="26" t="inlineStr">
        <is>
          <t>IV-A</t>
        </is>
      </c>
      <c r="F1565" s="26" t="inlineStr">
        <is>
          <t>Cavite</t>
        </is>
      </c>
      <c r="G1565" s="26" t="inlineStr">
        <is>
          <t>Cavite City</t>
        </is>
      </c>
      <c r="H1565" s="26" t="inlineStr">
        <is>
          <t>Barangay 21</t>
        </is>
      </c>
      <c r="I1565" s="27" t="n">
        <v>14.443847</v>
      </c>
      <c r="J1565" s="27" t="n">
        <v>120.885256</v>
      </c>
      <c r="K1565" s="10" t="inlineStr">
        <is>
          <t>R</t>
        </is>
      </c>
      <c r="L1565" s="12" t="n">
        <v>2316</v>
      </c>
      <c r="M1565" s="14" t="n">
        <v>3.4</v>
      </c>
      <c r="N1565" s="12">
        <f>ROUND(L1565/M1565, 0)</f>
        <v/>
      </c>
      <c r="O1565" s="12">
        <f>ROUND(N1565*'Methodology &amp; Assumptions'!$B$5, 0)</f>
        <v/>
      </c>
      <c r="P1565" s="10" t="inlineStr">
        <is>
          <t>Single Carrier (Band n50, 100MHz TDD)</t>
        </is>
      </c>
      <c r="Q1565" s="13">
        <f>ROUNDUP(O1565/'Methodology &amp; Assumptions'!$B$6, 0)</f>
        <v/>
      </c>
      <c r="R1565" s="13" t="n">
        <v>1</v>
      </c>
      <c r="S1565" s="14" t="n">
        <v>1.61</v>
      </c>
      <c r="T1565" s="14" t="n">
        <v>1.39</v>
      </c>
      <c r="U1565" s="26">
        <f>IF(X1565&gt;='Methodology &amp; Assumptions'!$B$7, "Tier 1 Critical GIDA (Score ≥ 50.0)", IF(X1565&gt;='Methodology &amp; Assumptions'!$B$8, "Tier 2 High GIDA (Score 40.0–49.9)", "Tier 3 Moderate GIDA (Score &lt; 40.0)"))</f>
        <v/>
      </c>
      <c r="V1565" s="26">
        <f>IF(S1565&lt;='Methodology &amp; Assumptions'!$B$10, "Direct Optical Drop (&lt;3km)", IF(S1565&lt;='Methodology &amp; Assumptions'!$B$9, "Near Optical / Microwave (&lt;5km)", "Starlink Business LEO Satellite Backhaul (&gt;5km)"))</f>
        <v/>
      </c>
      <c r="W1565" s="28" t="n">
        <v>0.07200000000000001</v>
      </c>
      <c r="X1565" s="14" t="n">
        <v>42.55</v>
      </c>
      <c r="Y1565" s="14">
        <f>ROUND(MIN(100, (X1565/69.91)*100), 2)</f>
        <v/>
      </c>
    </row>
    <row r="1566">
      <c r="A1566" s="10" t="n">
        <v>5</v>
      </c>
      <c r="B1566" s="10" t="n">
        <v>562</v>
      </c>
      <c r="C1566" s="10" t="n">
        <v>4562</v>
      </c>
      <c r="D1566" s="10" t="inlineStr">
        <is>
          <t>PH0004562</t>
        </is>
      </c>
      <c r="E1566" s="26" t="inlineStr">
        <is>
          <t>XII</t>
        </is>
      </c>
      <c r="F1566" s="26" t="inlineStr">
        <is>
          <t>South Cotabato</t>
        </is>
      </c>
      <c r="G1566" s="26" t="inlineStr">
        <is>
          <t>General Santos City (Dadiangas)</t>
        </is>
      </c>
      <c r="H1566" s="26" t="inlineStr">
        <is>
          <t>Dadiangas East (Pob.)</t>
        </is>
      </c>
      <c r="I1566" s="27" t="n">
        <v>6.115916</v>
      </c>
      <c r="J1566" s="27" t="n">
        <v>125.177084</v>
      </c>
      <c r="K1566" s="10" t="inlineStr">
        <is>
          <t>R</t>
        </is>
      </c>
      <c r="L1566" s="12" t="n">
        <v>2278</v>
      </c>
      <c r="M1566" s="14" t="n">
        <v>3.6</v>
      </c>
      <c r="N1566" s="12">
        <f>ROUND(L1566/M1566, 0)</f>
        <v/>
      </c>
      <c r="O1566" s="12">
        <f>ROUND(N1566*'Methodology &amp; Assumptions'!$B$5, 0)</f>
        <v/>
      </c>
      <c r="P1566" s="10" t="inlineStr">
        <is>
          <t>Single Carrier (Band n50, 100MHz TDD)</t>
        </is>
      </c>
      <c r="Q1566" s="13">
        <f>ROUNDUP(O1566/'Methodology &amp; Assumptions'!$B$6, 0)</f>
        <v/>
      </c>
      <c r="R1566" s="13" t="n">
        <v>1</v>
      </c>
      <c r="S1566" s="14" t="n">
        <v>1.11</v>
      </c>
      <c r="T1566" s="14" t="n">
        <v>0.43</v>
      </c>
      <c r="U1566" s="26">
        <f>IF(X1566&gt;='Methodology &amp; Assumptions'!$B$7, "Tier 1 Critical GIDA (Score ≥ 50.0)", IF(X1566&gt;='Methodology &amp; Assumptions'!$B$8, "Tier 2 High GIDA (Score 40.0–49.9)", "Tier 3 Moderate GIDA (Score &lt; 40.0)"))</f>
        <v/>
      </c>
      <c r="V1566" s="26">
        <f>IF(S1566&lt;='Methodology &amp; Assumptions'!$B$10, "Direct Optical Drop (&lt;3km)", IF(S1566&lt;='Methodology &amp; Assumptions'!$B$9, "Near Optical / Microwave (&lt;5km)", "Starlink Business LEO Satellite Backhaul (&gt;5km)"))</f>
        <v/>
      </c>
      <c r="W1566" s="28" t="n">
        <v>0.197</v>
      </c>
      <c r="X1566" s="14" t="n">
        <v>42.55</v>
      </c>
      <c r="Y1566" s="14">
        <f>ROUND(MIN(100, (X1566/69.91)*100), 2)</f>
        <v/>
      </c>
    </row>
    <row r="1567">
      <c r="A1567" s="10" t="n">
        <v>5</v>
      </c>
      <c r="B1567" s="10" t="n">
        <v>563</v>
      </c>
      <c r="C1567" s="10" t="n">
        <v>4563</v>
      </c>
      <c r="D1567" s="10" t="inlineStr">
        <is>
          <t>1381200020</t>
        </is>
      </c>
      <c r="E1567" s="26" t="inlineStr">
        <is>
          <t>National Capital Region (NCR)</t>
        </is>
      </c>
      <c r="F1567" s="26" t="inlineStr">
        <is>
          <t>Second District (Not a Province)</t>
        </is>
      </c>
      <c r="G1567" s="26" t="inlineStr">
        <is>
          <t>City of Pasig</t>
        </is>
      </c>
      <c r="H1567" s="26" t="inlineStr">
        <is>
          <t>San Joaquin</t>
        </is>
      </c>
      <c r="I1567" s="27" t="n">
        <v>14.551435</v>
      </c>
      <c r="J1567" s="27" t="n">
        <v>121.075859</v>
      </c>
      <c r="K1567" s="10" t="inlineStr">
        <is>
          <t>U</t>
        </is>
      </c>
      <c r="L1567" s="12" t="n">
        <v>14682</v>
      </c>
      <c r="M1567" s="14" t="n">
        <v>3.4</v>
      </c>
      <c r="N1567" s="12">
        <f>ROUND(L1567/M1567, 0)</f>
        <v/>
      </c>
      <c r="O1567" s="12">
        <f>ROUND(N1567*'Methodology &amp; Assumptions'!$B$5, 0)</f>
        <v/>
      </c>
      <c r="P1567" s="10" t="inlineStr">
        <is>
          <t>Single Carrier (Band n50, 100MHz TDD)</t>
        </is>
      </c>
      <c r="Q1567" s="13">
        <f>ROUNDUP(O1567/'Methodology &amp; Assumptions'!$B$6, 0)</f>
        <v/>
      </c>
      <c r="R1567" s="13" t="n">
        <v>1</v>
      </c>
      <c r="S1567" s="14" t="n">
        <v>1.11</v>
      </c>
      <c r="T1567" s="14" t="n">
        <v>0.03</v>
      </c>
      <c r="U1567" s="26">
        <f>IF(X1567&gt;='Methodology &amp; Assumptions'!$B$7, "Tier 1 Critical GIDA (Score ≥ 50.0)", IF(X1567&gt;='Methodology &amp; Assumptions'!$B$8, "Tier 2 High GIDA (Score 40.0–49.9)", "Tier 3 Moderate GIDA (Score &lt; 40.0)"))</f>
        <v/>
      </c>
      <c r="V1567" s="26">
        <f>IF(S1567&lt;='Methodology &amp; Assumptions'!$B$10, "Direct Optical Drop (&lt;3km)", IF(S1567&lt;='Methodology &amp; Assumptions'!$B$9, "Near Optical / Microwave (&lt;5km)", "Starlink Business LEO Satellite Backhaul (&gt;5km)"))</f>
        <v/>
      </c>
      <c r="W1567" s="28" t="n">
        <v>0.109</v>
      </c>
      <c r="X1567" s="14" t="n">
        <v>42.54</v>
      </c>
      <c r="Y1567" s="14">
        <f>ROUND(MIN(100, (X1567/69.91)*100), 2)</f>
        <v/>
      </c>
    </row>
    <row r="1568">
      <c r="A1568" s="10" t="n">
        <v>5</v>
      </c>
      <c r="B1568" s="10" t="n">
        <v>564</v>
      </c>
      <c r="C1568" s="10" t="n">
        <v>4564</v>
      </c>
      <c r="D1568" s="10" t="inlineStr">
        <is>
          <t>0907214021</t>
        </is>
      </c>
      <c r="E1568" s="26" t="inlineStr">
        <is>
          <t>Region IX (Zamboanga Peninsula)</t>
        </is>
      </c>
      <c r="F1568" s="26" t="inlineStr">
        <is>
          <t>Zamboanga del Norte</t>
        </is>
      </c>
      <c r="G1568" s="26" t="inlineStr">
        <is>
          <t>Sergio Osmeña Sr.</t>
        </is>
      </c>
      <c r="H1568" s="26" t="inlineStr">
        <is>
          <t>Pedagan</t>
        </is>
      </c>
      <c r="I1568" s="27" t="n">
        <v>8.240180000000001</v>
      </c>
      <c r="J1568" s="27" t="n">
        <v>123.41515</v>
      </c>
      <c r="K1568" s="10" t="inlineStr">
        <is>
          <t>R</t>
        </is>
      </c>
      <c r="L1568" s="12" t="n">
        <v>589</v>
      </c>
      <c r="M1568" s="14" t="n">
        <v>3.6</v>
      </c>
      <c r="N1568" s="12">
        <f>ROUND(L1568/M1568, 0)</f>
        <v/>
      </c>
      <c r="O1568" s="12">
        <f>ROUND(N1568*'Methodology &amp; Assumptions'!$B$5, 0)</f>
        <v/>
      </c>
      <c r="P1568" s="10" t="inlineStr">
        <is>
          <t>Single Carrier (Band n50, 100MHz TDD)</t>
        </is>
      </c>
      <c r="Q1568" s="13">
        <f>ROUNDUP(O1568/'Methodology &amp; Assumptions'!$B$6, 0)</f>
        <v/>
      </c>
      <c r="R1568" s="13" t="n">
        <v>1</v>
      </c>
      <c r="S1568" s="14" t="n">
        <v>37.11</v>
      </c>
      <c r="T1568" s="14" t="n">
        <v>36.98</v>
      </c>
      <c r="U1568" s="26">
        <f>IF(X1568&gt;='Methodology &amp; Assumptions'!$B$7, "Tier 1 Critical GIDA (Score ≥ 50.0)", IF(X1568&gt;='Methodology &amp; Assumptions'!$B$8, "Tier 2 High GIDA (Score 40.0–49.9)", "Tier 3 Moderate GIDA (Score &lt; 40.0)"))</f>
        <v/>
      </c>
      <c r="V1568" s="26">
        <f>IF(S1568&lt;='Methodology &amp; Assumptions'!$B$10, "Direct Optical Drop (&lt;3km)", IF(S1568&lt;='Methodology &amp; Assumptions'!$B$9, "Near Optical / Microwave (&lt;5km)", "Starlink Business LEO Satellite Backhaul (&gt;5km)"))</f>
        <v/>
      </c>
      <c r="W1568" s="28" t="n">
        <v>0.11</v>
      </c>
      <c r="X1568" s="14" t="n">
        <v>42.54</v>
      </c>
      <c r="Y1568" s="14">
        <f>ROUND(MIN(100, (X1568/69.91)*100), 2)</f>
        <v/>
      </c>
    </row>
    <row r="1569">
      <c r="A1569" s="10" t="n">
        <v>5</v>
      </c>
      <c r="B1569" s="10" t="n">
        <v>565</v>
      </c>
      <c r="C1569" s="10" t="n">
        <v>4565</v>
      </c>
      <c r="D1569" s="10" t="inlineStr">
        <is>
          <t>0401019013</t>
        </is>
      </c>
      <c r="E1569" s="26" t="inlineStr">
        <is>
          <t>Region IV-A (CALABARZON)</t>
        </is>
      </c>
      <c r="F1569" s="26" t="inlineStr">
        <is>
          <t>Batangas</t>
        </is>
      </c>
      <c r="G1569" s="26" t="inlineStr">
        <is>
          <t>Nasugbu</t>
        </is>
      </c>
      <c r="H1569" s="26" t="inlineStr">
        <is>
          <t>Barangay 8</t>
        </is>
      </c>
      <c r="I1569" s="27" t="n">
        <v>14.107954</v>
      </c>
      <c r="J1569" s="27" t="n">
        <v>120.687372</v>
      </c>
      <c r="K1569" s="10" t="inlineStr">
        <is>
          <t>R</t>
        </is>
      </c>
      <c r="L1569" s="12" t="n">
        <v>1115</v>
      </c>
      <c r="M1569" s="14" t="n">
        <v>3.6</v>
      </c>
      <c r="N1569" s="12">
        <f>ROUND(L1569/M1569, 0)</f>
        <v/>
      </c>
      <c r="O1569" s="12">
        <f>ROUND(N1569*'Methodology &amp; Assumptions'!$B$5, 0)</f>
        <v/>
      </c>
      <c r="P1569" s="10" t="inlineStr">
        <is>
          <t>Single Carrier (Band n50, 100MHz TDD)</t>
        </is>
      </c>
      <c r="Q1569" s="13">
        <f>ROUNDUP(O1569/'Methodology &amp; Assumptions'!$B$6, 0)</f>
        <v/>
      </c>
      <c r="R1569" s="13" t="n">
        <v>1</v>
      </c>
      <c r="S1569" s="14" t="n">
        <v>7.09</v>
      </c>
      <c r="T1569" s="14" t="n">
        <v>1.6</v>
      </c>
      <c r="U1569" s="26">
        <f>IF(X1569&gt;='Methodology &amp; Assumptions'!$B$7, "Tier 1 Critical GIDA (Score ≥ 50.0)", IF(X1569&gt;='Methodology &amp; Assumptions'!$B$8, "Tier 2 High GIDA (Score 40.0–49.9)", "Tier 3 Moderate GIDA (Score &lt; 40.0)"))</f>
        <v/>
      </c>
      <c r="V1569" s="26">
        <f>IF(S1569&lt;='Methodology &amp; Assumptions'!$B$10, "Direct Optical Drop (&lt;3km)", IF(S1569&lt;='Methodology &amp; Assumptions'!$B$9, "Near Optical / Microwave (&lt;5km)", "Starlink Business LEO Satellite Backhaul (&gt;5km)"))</f>
        <v/>
      </c>
      <c r="W1569" s="28" t="n">
        <v>0.07200000000000001</v>
      </c>
      <c r="X1569" s="14" t="n">
        <v>42.54</v>
      </c>
      <c r="Y1569" s="14">
        <f>ROUND(MIN(100, (X1569/69.91)*100), 2)</f>
        <v/>
      </c>
    </row>
    <row r="1570">
      <c r="A1570" s="10" t="n">
        <v>5</v>
      </c>
      <c r="B1570" s="10" t="n">
        <v>566</v>
      </c>
      <c r="C1570" s="10" t="n">
        <v>4566</v>
      </c>
      <c r="D1570" s="10" t="inlineStr">
        <is>
          <t>0403426018</t>
        </is>
      </c>
      <c r="E1570" s="26" t="inlineStr">
        <is>
          <t>Region IV-A (CALABARZON)</t>
        </is>
      </c>
      <c r="F1570" s="26" t="inlineStr">
        <is>
          <t>Laguna</t>
        </is>
      </c>
      <c r="G1570" s="26" t="inlineStr">
        <is>
          <t>Santa Cruz</t>
        </is>
      </c>
      <c r="H1570" s="26" t="inlineStr">
        <is>
          <t>Barangay V</t>
        </is>
      </c>
      <c r="I1570" s="27" t="n">
        <v>14.264421</v>
      </c>
      <c r="J1570" s="27" t="n">
        <v>121.400882</v>
      </c>
      <c r="K1570" s="10" t="inlineStr">
        <is>
          <t>U</t>
        </is>
      </c>
      <c r="L1570" s="12" t="n">
        <v>425</v>
      </c>
      <c r="M1570" s="14" t="n">
        <v>3.3</v>
      </c>
      <c r="N1570" s="12">
        <f>ROUND(L1570/M1570, 0)</f>
        <v/>
      </c>
      <c r="O1570" s="12">
        <f>ROUND(N1570*'Methodology &amp; Assumptions'!$B$5, 0)</f>
        <v/>
      </c>
      <c r="P1570" s="10" t="inlineStr">
        <is>
          <t>Single Carrier (Band n50, 100MHz TDD)</t>
        </is>
      </c>
      <c r="Q1570" s="13">
        <f>ROUNDUP(O1570/'Methodology &amp; Assumptions'!$B$6, 0)</f>
        <v/>
      </c>
      <c r="R1570" s="13" t="n">
        <v>1</v>
      </c>
      <c r="S1570" s="14" t="n">
        <v>2.1</v>
      </c>
      <c r="T1570" s="14" t="n">
        <v>0.32</v>
      </c>
      <c r="U1570" s="26">
        <f>IF(X1570&gt;='Methodology &amp; Assumptions'!$B$7, "Tier 1 Critical GIDA (Score ≥ 50.0)", IF(X1570&gt;='Methodology &amp; Assumptions'!$B$8, "Tier 2 High GIDA (Score 40.0–49.9)", "Tier 3 Moderate GIDA (Score &lt; 40.0)"))</f>
        <v/>
      </c>
      <c r="V1570" s="26">
        <f>IF(S1570&lt;='Methodology &amp; Assumptions'!$B$10, "Direct Optical Drop (&lt;3km)", IF(S1570&lt;='Methodology &amp; Assumptions'!$B$9, "Near Optical / Microwave (&lt;5km)", "Starlink Business LEO Satellite Backhaul (&gt;5km)"))</f>
        <v/>
      </c>
      <c r="W1570" s="28" t="n">
        <v>0.07200000000000001</v>
      </c>
      <c r="X1570" s="14" t="n">
        <v>42.54</v>
      </c>
      <c r="Y1570" s="14">
        <f>ROUND(MIN(100, (X1570/69.91)*100), 2)</f>
        <v/>
      </c>
    </row>
    <row r="1571">
      <c r="A1571" s="10" t="n">
        <v>5</v>
      </c>
      <c r="B1571" s="10" t="n">
        <v>567</v>
      </c>
      <c r="C1571" s="10" t="n">
        <v>4567</v>
      </c>
      <c r="D1571" s="10" t="inlineStr">
        <is>
          <t>PH0004567</t>
        </is>
      </c>
      <c r="E1571" s="26" t="inlineStr">
        <is>
          <t>XII</t>
        </is>
      </c>
      <c r="F1571" s="26" t="inlineStr">
        <is>
          <t>South Cotabato</t>
        </is>
      </c>
      <c r="G1571" s="26" t="inlineStr">
        <is>
          <t>General Santos City (Dadiangas)</t>
        </is>
      </c>
      <c r="H1571" s="26" t="inlineStr">
        <is>
          <t>Dadiangas North</t>
        </is>
      </c>
      <c r="I1571" s="27" t="n">
        <v>6.115603</v>
      </c>
      <c r="J1571" s="27" t="n">
        <v>125.16692</v>
      </c>
      <c r="K1571" s="10" t="inlineStr">
        <is>
          <t>R</t>
        </is>
      </c>
      <c r="L1571" s="12" t="n">
        <v>2278</v>
      </c>
      <c r="M1571" s="14" t="n">
        <v>3.6</v>
      </c>
      <c r="N1571" s="12">
        <f>ROUND(L1571/M1571, 0)</f>
        <v/>
      </c>
      <c r="O1571" s="12">
        <f>ROUND(N1571*'Methodology &amp; Assumptions'!$B$5, 0)</f>
        <v/>
      </c>
      <c r="P1571" s="10" t="inlineStr">
        <is>
          <t>Single Carrier (Band n50, 100MHz TDD)</t>
        </is>
      </c>
      <c r="Q1571" s="13">
        <f>ROUNDUP(O1571/'Methodology &amp; Assumptions'!$B$6, 0)</f>
        <v/>
      </c>
      <c r="R1571" s="13" t="n">
        <v>1</v>
      </c>
      <c r="S1571" s="14" t="n">
        <v>1.05</v>
      </c>
      <c r="T1571" s="14" t="n">
        <v>0.38</v>
      </c>
      <c r="U1571" s="26">
        <f>IF(X1571&gt;='Methodology &amp; Assumptions'!$B$7, "Tier 1 Critical GIDA (Score ≥ 50.0)", IF(X1571&gt;='Methodology &amp; Assumptions'!$B$8, "Tier 2 High GIDA (Score 40.0–49.9)", "Tier 3 Moderate GIDA (Score &lt; 40.0)"))</f>
        <v/>
      </c>
      <c r="V1571" s="26">
        <f>IF(S1571&lt;='Methodology &amp; Assumptions'!$B$10, "Direct Optical Drop (&lt;3km)", IF(S1571&lt;='Methodology &amp; Assumptions'!$B$9, "Near Optical / Microwave (&lt;5km)", "Starlink Business LEO Satellite Backhaul (&gt;5km)"))</f>
        <v/>
      </c>
      <c r="W1571" s="28" t="n">
        <v>0.197</v>
      </c>
      <c r="X1571" s="14" t="n">
        <v>42.54</v>
      </c>
      <c r="Y1571" s="14">
        <f>ROUND(MIN(100, (X1571/69.91)*100), 2)</f>
        <v/>
      </c>
    </row>
    <row r="1572">
      <c r="A1572" s="10" t="n">
        <v>5</v>
      </c>
      <c r="B1572" s="10" t="n">
        <v>568</v>
      </c>
      <c r="C1572" s="10" t="n">
        <v>4568</v>
      </c>
      <c r="D1572" s="10" t="inlineStr">
        <is>
          <t>1381300132</t>
        </is>
      </c>
      <c r="E1572" s="26" t="inlineStr">
        <is>
          <t>National Capital Region (NCR)</t>
        </is>
      </c>
      <c r="F1572" s="26" t="inlineStr">
        <is>
          <t>Second District (Not a Province)</t>
        </is>
      </c>
      <c r="G1572" s="26" t="inlineStr">
        <is>
          <t>Quezon City</t>
        </is>
      </c>
      <c r="H1572" s="26" t="inlineStr">
        <is>
          <t>West Kamias</t>
        </is>
      </c>
      <c r="I1572" s="27" t="n">
        <v>14.629295</v>
      </c>
      <c r="J1572" s="27" t="n">
        <v>121.084421</v>
      </c>
      <c r="K1572" s="10" t="inlineStr">
        <is>
          <t>U</t>
        </is>
      </c>
      <c r="L1572" s="12" t="n">
        <v>4225</v>
      </c>
      <c r="M1572" s="14" t="n">
        <v>3.8</v>
      </c>
      <c r="N1572" s="12">
        <f>ROUND(L1572/M1572, 0)</f>
        <v/>
      </c>
      <c r="O1572" s="12">
        <f>ROUND(N1572*'Methodology &amp; Assumptions'!$B$5, 0)</f>
        <v/>
      </c>
      <c r="P1572" s="10" t="inlineStr">
        <is>
          <t>Single Carrier (Band n50, 100MHz TDD)</t>
        </is>
      </c>
      <c r="Q1572" s="13">
        <f>ROUNDUP(O1572/'Methodology &amp; Assumptions'!$B$6, 0)</f>
        <v/>
      </c>
      <c r="R1572" s="13" t="n">
        <v>1</v>
      </c>
      <c r="S1572" s="14" t="n">
        <v>1.36</v>
      </c>
      <c r="T1572" s="14" t="n">
        <v>1.15</v>
      </c>
      <c r="U1572" s="26">
        <f>IF(X1572&gt;='Methodology &amp; Assumptions'!$B$7, "Tier 1 Critical GIDA (Score ≥ 50.0)", IF(X1572&gt;='Methodology &amp; Assumptions'!$B$8, "Tier 2 High GIDA (Score 40.0–49.9)", "Tier 3 Moderate GIDA (Score &lt; 40.0)"))</f>
        <v/>
      </c>
      <c r="V1572" s="26">
        <f>IF(S1572&lt;='Methodology &amp; Assumptions'!$B$10, "Direct Optical Drop (&lt;3km)", IF(S1572&lt;='Methodology &amp; Assumptions'!$B$9, "Near Optical / Microwave (&lt;5km)", "Starlink Business LEO Satellite Backhaul (&gt;5km)"))</f>
        <v/>
      </c>
      <c r="W1572" s="28" t="n">
        <v>0.109</v>
      </c>
      <c r="X1572" s="14" t="n">
        <v>42.53</v>
      </c>
      <c r="Y1572" s="14">
        <f>ROUND(MIN(100, (X1572/69.91)*100), 2)</f>
        <v/>
      </c>
    </row>
    <row r="1573">
      <c r="A1573" s="10" t="n">
        <v>5</v>
      </c>
      <c r="B1573" s="10" t="n">
        <v>569</v>
      </c>
      <c r="C1573" s="10" t="n">
        <v>4569</v>
      </c>
      <c r="D1573" s="10" t="inlineStr">
        <is>
          <t>PH0004569</t>
        </is>
      </c>
      <c r="E1573" s="26" t="inlineStr">
        <is>
          <t>III</t>
        </is>
      </c>
      <c r="F1573" s="26" t="inlineStr">
        <is>
          <t>Nueva Ecija</t>
        </is>
      </c>
      <c r="G1573" s="26" t="inlineStr">
        <is>
          <t>Cabanatuan City</t>
        </is>
      </c>
      <c r="H1573" s="26" t="inlineStr">
        <is>
          <t>Bonifacio District (Pob.)</t>
        </is>
      </c>
      <c r="I1573" s="27" t="n">
        <v>15.47698</v>
      </c>
      <c r="J1573" s="27" t="n">
        <v>120.954248</v>
      </c>
      <c r="K1573" s="10" t="inlineStr">
        <is>
          <t>R</t>
        </is>
      </c>
      <c r="L1573" s="12" t="n">
        <v>2398</v>
      </c>
      <c r="M1573" s="14" t="n">
        <v>3.5</v>
      </c>
      <c r="N1573" s="12">
        <f>ROUND(L1573/M1573, 0)</f>
        <v/>
      </c>
      <c r="O1573" s="12">
        <f>ROUND(N1573*'Methodology &amp; Assumptions'!$B$5, 0)</f>
        <v/>
      </c>
      <c r="P1573" s="10" t="inlineStr">
        <is>
          <t>Single Carrier (Band n50, 100MHz TDD)</t>
        </is>
      </c>
      <c r="Q1573" s="13">
        <f>ROUNDUP(O1573/'Methodology &amp; Assumptions'!$B$6, 0)</f>
        <v/>
      </c>
      <c r="R1573" s="13" t="n">
        <v>1</v>
      </c>
      <c r="S1573" s="14" t="n">
        <v>0.91</v>
      </c>
      <c r="T1573" s="14" t="n">
        <v>0.44</v>
      </c>
      <c r="U1573" s="26">
        <f>IF(X1573&gt;='Methodology &amp; Assumptions'!$B$7, "Tier 1 Critical GIDA (Score ≥ 50.0)", IF(X1573&gt;='Methodology &amp; Assumptions'!$B$8, "Tier 2 High GIDA (Score 40.0–49.9)", "Tier 3 Moderate GIDA (Score &lt; 40.0)"))</f>
        <v/>
      </c>
      <c r="V1573" s="26">
        <f>IF(S1573&lt;='Methodology &amp; Assumptions'!$B$10, "Direct Optical Drop (&lt;3km)", IF(S1573&lt;='Methodology &amp; Assumptions'!$B$9, "Near Optical / Microwave (&lt;5km)", "Starlink Business LEO Satellite Backhaul (&gt;5km)"))</f>
        <v/>
      </c>
      <c r="W1573" s="28" t="n">
        <v>0.083</v>
      </c>
      <c r="X1573" s="14" t="n">
        <v>42.53</v>
      </c>
      <c r="Y1573" s="14">
        <f>ROUND(MIN(100, (X1573/69.91)*100), 2)</f>
        <v/>
      </c>
    </row>
    <row r="1574">
      <c r="A1574" s="10" t="n">
        <v>5</v>
      </c>
      <c r="B1574" s="10" t="n">
        <v>570</v>
      </c>
      <c r="C1574" s="10" t="n">
        <v>4570</v>
      </c>
      <c r="D1574" s="10" t="inlineStr">
        <is>
          <t>1381300078</t>
        </is>
      </c>
      <c r="E1574" s="26" t="inlineStr">
        <is>
          <t>National Capital Region (NCR)</t>
        </is>
      </c>
      <c r="F1574" s="26" t="inlineStr">
        <is>
          <t>Second District (Not a Province)</t>
        </is>
      </c>
      <c r="G1574" s="26" t="inlineStr">
        <is>
          <t>Quezon City</t>
        </is>
      </c>
      <c r="H1574" s="26" t="inlineStr">
        <is>
          <t>Paraiso</t>
        </is>
      </c>
      <c r="I1574" s="27" t="n">
        <v>14.66364</v>
      </c>
      <c r="J1574" s="27" t="n">
        <v>120.991734</v>
      </c>
      <c r="K1574" s="10" t="inlineStr">
        <is>
          <t>U</t>
        </is>
      </c>
      <c r="L1574" s="12" t="n">
        <v>3685</v>
      </c>
      <c r="M1574" s="14" t="n">
        <v>3.8</v>
      </c>
      <c r="N1574" s="12">
        <f>ROUND(L1574/M1574, 0)</f>
        <v/>
      </c>
      <c r="O1574" s="12">
        <f>ROUND(N1574*'Methodology &amp; Assumptions'!$B$5, 0)</f>
        <v/>
      </c>
      <c r="P1574" s="10" t="inlineStr">
        <is>
          <t>Single Carrier (Band n50, 100MHz TDD)</t>
        </is>
      </c>
      <c r="Q1574" s="13">
        <f>ROUNDUP(O1574/'Methodology &amp; Assumptions'!$B$6, 0)</f>
        <v/>
      </c>
      <c r="R1574" s="13" t="n">
        <v>1</v>
      </c>
      <c r="S1574" s="14" t="n">
        <v>0.37</v>
      </c>
      <c r="T1574" s="14" t="n">
        <v>0.25</v>
      </c>
      <c r="U1574" s="26">
        <f>IF(X1574&gt;='Methodology &amp; Assumptions'!$B$7, "Tier 1 Critical GIDA (Score ≥ 50.0)", IF(X1574&gt;='Methodology &amp; Assumptions'!$B$8, "Tier 2 High GIDA (Score 40.0–49.9)", "Tier 3 Moderate GIDA (Score &lt; 40.0)"))</f>
        <v/>
      </c>
      <c r="V1574" s="26">
        <f>IF(S1574&lt;='Methodology &amp; Assumptions'!$B$10, "Direct Optical Drop (&lt;3km)", IF(S1574&lt;='Methodology &amp; Assumptions'!$B$9, "Near Optical / Microwave (&lt;5km)", "Starlink Business LEO Satellite Backhaul (&gt;5km)"))</f>
        <v/>
      </c>
      <c r="W1574" s="28" t="n">
        <v>0.109</v>
      </c>
      <c r="X1574" s="14" t="n">
        <v>42.53</v>
      </c>
      <c r="Y1574" s="14">
        <f>ROUND(MIN(100, (X1574/69.91)*100), 2)</f>
        <v/>
      </c>
    </row>
    <row r="1575">
      <c r="A1575" s="10" t="n">
        <v>5</v>
      </c>
      <c r="B1575" s="10" t="n">
        <v>571</v>
      </c>
      <c r="C1575" s="10" t="n">
        <v>4571</v>
      </c>
      <c r="D1575" s="10" t="inlineStr">
        <is>
          <t>0802621008</t>
        </is>
      </c>
      <c r="E1575" s="26" t="inlineStr">
        <is>
          <t>Region VIII (Eastern Visayas)</t>
        </is>
      </c>
      <c r="F1575" s="26" t="inlineStr">
        <is>
          <t>Eastern Samar</t>
        </is>
      </c>
      <c r="G1575" s="26" t="inlineStr">
        <is>
          <t>San Policarpo</t>
        </is>
      </c>
      <c r="H1575" s="26" t="inlineStr">
        <is>
          <t>Natividad</t>
        </is>
      </c>
      <c r="I1575" s="27" t="n">
        <v>12.260435</v>
      </c>
      <c r="J1575" s="27" t="n">
        <v>125.434971</v>
      </c>
      <c r="K1575" s="10" t="inlineStr">
        <is>
          <t>R</t>
        </is>
      </c>
      <c r="L1575" s="12" t="n">
        <v>618</v>
      </c>
      <c r="M1575" s="14" t="n">
        <v>3.9</v>
      </c>
      <c r="N1575" s="12">
        <f>ROUND(L1575/M1575, 0)</f>
        <v/>
      </c>
      <c r="O1575" s="12">
        <f>ROUND(N1575*'Methodology &amp; Assumptions'!$B$5, 0)</f>
        <v/>
      </c>
      <c r="P1575" s="10" t="inlineStr">
        <is>
          <t>Single Carrier (Band n50, 100MHz TDD)</t>
        </is>
      </c>
      <c r="Q1575" s="13">
        <f>ROUNDUP(O1575/'Methodology &amp; Assumptions'!$B$6, 0)</f>
        <v/>
      </c>
      <c r="R1575" s="13" t="n">
        <v>1</v>
      </c>
      <c r="S1575" s="14" t="n">
        <v>122.89</v>
      </c>
      <c r="T1575" s="14" t="n">
        <v>125.41</v>
      </c>
      <c r="U1575" s="26">
        <f>IF(X1575&gt;='Methodology &amp; Assumptions'!$B$7, "Tier 1 Critical GIDA (Score ≥ 50.0)", IF(X1575&gt;='Methodology &amp; Assumptions'!$B$8, "Tier 2 High GIDA (Score 40.0–49.9)", "Tier 3 Moderate GIDA (Score &lt; 40.0)"))</f>
        <v/>
      </c>
      <c r="V1575" s="26">
        <f>IF(S1575&lt;='Methodology &amp; Assumptions'!$B$10, "Direct Optical Drop (&lt;3km)", IF(S1575&lt;='Methodology &amp; Assumptions'!$B$9, "Near Optical / Microwave (&lt;5km)", "Starlink Business LEO Satellite Backhaul (&gt;5km)"))</f>
        <v/>
      </c>
      <c r="W1575" s="28" t="n">
        <v>0.237</v>
      </c>
      <c r="X1575" s="14" t="n">
        <v>42.52</v>
      </c>
      <c r="Y1575" s="14">
        <f>ROUND(MIN(100, (X1575/69.91)*100), 2)</f>
        <v/>
      </c>
    </row>
    <row r="1576">
      <c r="A1576" s="10" t="n">
        <v>5</v>
      </c>
      <c r="B1576" s="10" t="n">
        <v>572</v>
      </c>
      <c r="C1576" s="10" t="n">
        <v>4572</v>
      </c>
      <c r="D1576" s="10" t="inlineStr">
        <is>
          <t>0802603010</t>
        </is>
      </c>
      <c r="E1576" s="26" t="inlineStr">
        <is>
          <t>Region VIII (Eastern Visayas)</t>
        </is>
      </c>
      <c r="F1576" s="26" t="inlineStr">
        <is>
          <t>Eastern Samar</t>
        </is>
      </c>
      <c r="G1576" s="26" t="inlineStr">
        <is>
          <t>Balangkayan</t>
        </is>
      </c>
      <c r="H1576" s="26" t="inlineStr">
        <is>
          <t>General Malvar</t>
        </is>
      </c>
      <c r="I1576" s="27" t="n">
        <v>11.432345</v>
      </c>
      <c r="J1576" s="27" t="n">
        <v>125.423711</v>
      </c>
      <c r="K1576" s="10" t="inlineStr">
        <is>
          <t>R</t>
        </is>
      </c>
      <c r="L1576" s="12" t="n">
        <v>104</v>
      </c>
      <c r="M1576" s="14" t="n">
        <v>3.9</v>
      </c>
      <c r="N1576" s="12">
        <f>ROUND(L1576/M1576, 0)</f>
        <v/>
      </c>
      <c r="O1576" s="12">
        <f>ROUND(N1576*'Methodology &amp; Assumptions'!$B$5, 0)</f>
        <v/>
      </c>
      <c r="P1576" s="10" t="inlineStr">
        <is>
          <t>Single Carrier (Band n50, 100MHz TDD)</t>
        </is>
      </c>
      <c r="Q1576" s="13">
        <f>ROUNDUP(O1576/'Methodology &amp; Assumptions'!$B$6, 0)</f>
        <v/>
      </c>
      <c r="R1576" s="13" t="n">
        <v>1</v>
      </c>
      <c r="S1576" s="14" t="n">
        <v>50.68</v>
      </c>
      <c r="T1576" s="14" t="n">
        <v>50.71</v>
      </c>
      <c r="U1576" s="26">
        <f>IF(X1576&gt;='Methodology &amp; Assumptions'!$B$7, "Tier 1 Critical GIDA (Score ≥ 50.0)", IF(X1576&gt;='Methodology &amp; Assumptions'!$B$8, "Tier 2 High GIDA (Score 40.0–49.9)", "Tier 3 Moderate GIDA (Score &lt; 40.0)"))</f>
        <v/>
      </c>
      <c r="V1576" s="26">
        <f>IF(S1576&lt;='Methodology &amp; Assumptions'!$B$10, "Direct Optical Drop (&lt;3km)", IF(S1576&lt;='Methodology &amp; Assumptions'!$B$9, "Near Optical / Microwave (&lt;5km)", "Starlink Business LEO Satellite Backhaul (&gt;5km)"))</f>
        <v/>
      </c>
      <c r="W1576" s="28" t="n">
        <v>0.237</v>
      </c>
      <c r="X1576" s="14" t="n">
        <v>42.52</v>
      </c>
      <c r="Y1576" s="14">
        <f>ROUND(MIN(100, (X1576/69.91)*100), 2)</f>
        <v/>
      </c>
    </row>
    <row r="1577">
      <c r="A1577" s="10" t="n">
        <v>5</v>
      </c>
      <c r="B1577" s="10" t="n">
        <v>573</v>
      </c>
      <c r="C1577" s="10" t="n">
        <v>4573</v>
      </c>
      <c r="D1577" s="10" t="inlineStr">
        <is>
          <t>0907313033</t>
        </is>
      </c>
      <c r="E1577" s="26" t="inlineStr">
        <is>
          <t>Region IX (Zamboanga Peninsula)</t>
        </is>
      </c>
      <c r="F1577" s="26" t="inlineStr">
        <is>
          <t>Zamboanga del Sur</t>
        </is>
      </c>
      <c r="G1577" s="26" t="inlineStr">
        <is>
          <t>Lapuyan</t>
        </is>
      </c>
      <c r="H1577" s="26" t="inlineStr">
        <is>
          <t>Tugaya</t>
        </is>
      </c>
      <c r="I1577" s="27" t="n">
        <v>7.692855</v>
      </c>
      <c r="J1577" s="27" t="n">
        <v>123.169165</v>
      </c>
      <c r="K1577" s="10" t="inlineStr">
        <is>
          <t>R</t>
        </is>
      </c>
      <c r="L1577" s="12" t="n">
        <v>431</v>
      </c>
      <c r="M1577" s="14" t="n">
        <v>3.9</v>
      </c>
      <c r="N1577" s="12">
        <f>ROUND(L1577/M1577, 0)</f>
        <v/>
      </c>
      <c r="O1577" s="12">
        <f>ROUND(N1577*'Methodology &amp; Assumptions'!$B$5, 0)</f>
        <v/>
      </c>
      <c r="P1577" s="10" t="inlineStr">
        <is>
          <t>Single Carrier (Band n50, 100MHz TDD)</t>
        </is>
      </c>
      <c r="Q1577" s="13">
        <f>ROUNDUP(O1577/'Methodology &amp; Assumptions'!$B$6, 0)</f>
        <v/>
      </c>
      <c r="R1577" s="13" t="n">
        <v>1</v>
      </c>
      <c r="S1577" s="14" t="n">
        <v>13.23</v>
      </c>
      <c r="T1577" s="14" t="n">
        <v>7.72</v>
      </c>
      <c r="U1577" s="26">
        <f>IF(X1577&gt;='Methodology &amp; Assumptions'!$B$7, "Tier 1 Critical GIDA (Score ≥ 50.0)", IF(X1577&gt;='Methodology &amp; Assumptions'!$B$8, "Tier 2 High GIDA (Score 40.0–49.9)", "Tier 3 Moderate GIDA (Score &lt; 40.0)"))</f>
        <v/>
      </c>
      <c r="V1577" s="26">
        <f>IF(S1577&lt;='Methodology &amp; Assumptions'!$B$10, "Direct Optical Drop (&lt;3km)", IF(S1577&lt;='Methodology &amp; Assumptions'!$B$9, "Near Optical / Microwave (&lt;5km)", "Starlink Business LEO Satellite Backhaul (&gt;5km)"))</f>
        <v/>
      </c>
      <c r="W1577" s="28" t="n">
        <v>0.11</v>
      </c>
      <c r="X1577" s="14" t="n">
        <v>42.52</v>
      </c>
      <c r="Y1577" s="14">
        <f>ROUND(MIN(100, (X1577/69.91)*100), 2)</f>
        <v/>
      </c>
    </row>
    <row r="1578">
      <c r="A1578" s="10" t="n">
        <v>5</v>
      </c>
      <c r="B1578" s="10" t="n">
        <v>574</v>
      </c>
      <c r="C1578" s="10" t="n">
        <v>4574</v>
      </c>
      <c r="D1578" s="10" t="inlineStr">
        <is>
          <t>0907317010</t>
        </is>
      </c>
      <c r="E1578" s="26" t="inlineStr">
        <is>
          <t>Region IX (Zamboanga Peninsula)</t>
        </is>
      </c>
      <c r="F1578" s="26" t="inlineStr">
        <is>
          <t>Zamboanga del Sur</t>
        </is>
      </c>
      <c r="G1578" s="26" t="inlineStr">
        <is>
          <t>Margosatubig</t>
        </is>
      </c>
      <c r="H1578" s="26" t="inlineStr">
        <is>
          <t>Digon</t>
        </is>
      </c>
      <c r="I1578" s="27" t="n">
        <v>7.565596</v>
      </c>
      <c r="J1578" s="27" t="n">
        <v>123.135883</v>
      </c>
      <c r="K1578" s="10" t="inlineStr">
        <is>
          <t>R</t>
        </is>
      </c>
      <c r="L1578" s="12" t="n">
        <v>1523</v>
      </c>
      <c r="M1578" s="14" t="n">
        <v>3.9</v>
      </c>
      <c r="N1578" s="12">
        <f>ROUND(L1578/M1578, 0)</f>
        <v/>
      </c>
      <c r="O1578" s="12">
        <f>ROUND(N1578*'Methodology &amp; Assumptions'!$B$5, 0)</f>
        <v/>
      </c>
      <c r="P1578" s="10" t="inlineStr">
        <is>
          <t>Single Carrier (Band n50, 100MHz TDD)</t>
        </is>
      </c>
      <c r="Q1578" s="13">
        <f>ROUNDUP(O1578/'Methodology &amp; Assumptions'!$B$6, 0)</f>
        <v/>
      </c>
      <c r="R1578" s="13" t="n">
        <v>1</v>
      </c>
      <c r="S1578" s="14" t="n">
        <v>20.31</v>
      </c>
      <c r="T1578" s="14" t="n">
        <v>19.74</v>
      </c>
      <c r="U1578" s="26">
        <f>IF(X1578&gt;='Methodology &amp; Assumptions'!$B$7, "Tier 1 Critical GIDA (Score ≥ 50.0)", IF(X1578&gt;='Methodology &amp; Assumptions'!$B$8, "Tier 2 High GIDA (Score 40.0–49.9)", "Tier 3 Moderate GIDA (Score &lt; 40.0)"))</f>
        <v/>
      </c>
      <c r="V1578" s="26">
        <f>IF(S1578&lt;='Methodology &amp; Assumptions'!$B$10, "Direct Optical Drop (&lt;3km)", IF(S1578&lt;='Methodology &amp; Assumptions'!$B$9, "Near Optical / Microwave (&lt;5km)", "Starlink Business LEO Satellite Backhaul (&gt;5km)"))</f>
        <v/>
      </c>
      <c r="W1578" s="28" t="n">
        <v>0.11</v>
      </c>
      <c r="X1578" s="14" t="n">
        <v>42.51</v>
      </c>
      <c r="Y1578" s="14">
        <f>ROUND(MIN(100, (X1578/69.91)*100), 2)</f>
        <v/>
      </c>
    </row>
    <row r="1579">
      <c r="A1579" s="10" t="n">
        <v>5</v>
      </c>
      <c r="B1579" s="10" t="n">
        <v>575</v>
      </c>
      <c r="C1579" s="10" t="n">
        <v>4575</v>
      </c>
      <c r="D1579" s="10" t="inlineStr">
        <is>
          <t>1400112008</t>
        </is>
      </c>
      <c r="E1579" s="26" t="inlineStr">
        <is>
          <t>Cordillera Administrative Region (CAR)</t>
        </is>
      </c>
      <c r="F1579" s="26" t="inlineStr">
        <is>
          <t>Abra</t>
        </is>
      </c>
      <c r="G1579" s="26" t="inlineStr">
        <is>
          <t>Langiden</t>
        </is>
      </c>
      <c r="H1579" s="26" t="inlineStr">
        <is>
          <t>Quillat</t>
        </is>
      </c>
      <c r="I1579" s="27" t="n">
        <v>17.58716</v>
      </c>
      <c r="J1579" s="27" t="n">
        <v>120.584693</v>
      </c>
      <c r="K1579" s="10" t="inlineStr">
        <is>
          <t>R</t>
        </is>
      </c>
      <c r="L1579" s="12" t="n">
        <v>866</v>
      </c>
      <c r="M1579" s="14" t="n">
        <v>3.8</v>
      </c>
      <c r="N1579" s="12">
        <f>ROUND(L1579/M1579, 0)</f>
        <v/>
      </c>
      <c r="O1579" s="12">
        <f>ROUND(N1579*'Methodology &amp; Assumptions'!$B$5, 0)</f>
        <v/>
      </c>
      <c r="P1579" s="10" t="inlineStr">
        <is>
          <t>Single Carrier (Band n50, 100MHz TDD)</t>
        </is>
      </c>
      <c r="Q1579" s="13">
        <f>ROUNDUP(O1579/'Methodology &amp; Assumptions'!$B$6, 0)</f>
        <v/>
      </c>
      <c r="R1579" s="13" t="n">
        <v>1</v>
      </c>
      <c r="S1579" s="14" t="n">
        <v>3.7</v>
      </c>
      <c r="T1579" s="14" t="n">
        <v>2.57</v>
      </c>
      <c r="U1579" s="26">
        <f>IF(X1579&gt;='Methodology &amp; Assumptions'!$B$7, "Tier 1 Critical GIDA (Score ≥ 50.0)", IF(X1579&gt;='Methodology &amp; Assumptions'!$B$8, "Tier 2 High GIDA (Score 40.0–49.9)", "Tier 3 Moderate GIDA (Score &lt; 40.0)"))</f>
        <v/>
      </c>
      <c r="V1579" s="26">
        <f>IF(S1579&lt;='Methodology &amp; Assumptions'!$B$10, "Direct Optical Drop (&lt;3km)", IF(S1579&lt;='Methodology &amp; Assumptions'!$B$9, "Near Optical / Microwave (&lt;5km)", "Starlink Business LEO Satellite Backhaul (&gt;5km)"))</f>
        <v/>
      </c>
      <c r="W1579" s="28" t="n">
        <v>0.109</v>
      </c>
      <c r="X1579" s="14" t="n">
        <v>42.51</v>
      </c>
      <c r="Y1579" s="14">
        <f>ROUND(MIN(100, (X1579/69.91)*100), 2)</f>
        <v/>
      </c>
    </row>
    <row r="1580">
      <c r="A1580" s="10" t="n">
        <v>5</v>
      </c>
      <c r="B1580" s="10" t="n">
        <v>576</v>
      </c>
      <c r="C1580" s="10" t="n">
        <v>4576</v>
      </c>
      <c r="D1580" s="10" t="inlineStr">
        <is>
          <t>0600611001</t>
        </is>
      </c>
      <c r="E1580" s="26" t="inlineStr">
        <is>
          <t>Region VI (Western Visayas)</t>
        </is>
      </c>
      <c r="F1580" s="26" t="inlineStr">
        <is>
          <t>Antique</t>
        </is>
      </c>
      <c r="G1580" s="26" t="inlineStr">
        <is>
          <t>Pandan</t>
        </is>
      </c>
      <c r="H1580" s="26" t="inlineStr">
        <is>
          <t>Aracay</t>
        </is>
      </c>
      <c r="I1580" s="27" t="n">
        <v>11.718963</v>
      </c>
      <c r="J1580" s="27" t="n">
        <v>122.158353</v>
      </c>
      <c r="K1580" s="10" t="inlineStr">
        <is>
          <t>R</t>
        </is>
      </c>
      <c r="L1580" s="12" t="n">
        <v>211</v>
      </c>
      <c r="M1580" s="14" t="n">
        <v>3.9</v>
      </c>
      <c r="N1580" s="12">
        <f>ROUND(L1580/M1580, 0)</f>
        <v/>
      </c>
      <c r="O1580" s="12">
        <f>ROUND(N1580*'Methodology &amp; Assumptions'!$B$5, 0)</f>
        <v/>
      </c>
      <c r="P1580" s="10" t="inlineStr">
        <is>
          <t>Single Carrier (Band n50, 100MHz TDD)</t>
        </is>
      </c>
      <c r="Q1580" s="13">
        <f>ROUNDUP(O1580/'Methodology &amp; Assumptions'!$B$6, 0)</f>
        <v/>
      </c>
      <c r="R1580" s="13" t="n">
        <v>1</v>
      </c>
      <c r="S1580" s="14" t="n">
        <v>14.71</v>
      </c>
      <c r="T1580" s="14" t="n">
        <v>7.75</v>
      </c>
      <c r="U1580" s="26">
        <f>IF(X1580&gt;='Methodology &amp; Assumptions'!$B$7, "Tier 1 Critical GIDA (Score ≥ 50.0)", IF(X1580&gt;='Methodology &amp; Assumptions'!$B$8, "Tier 2 High GIDA (Score 40.0–49.9)", "Tier 3 Moderate GIDA (Score &lt; 40.0)"))</f>
        <v/>
      </c>
      <c r="V1580" s="26">
        <f>IF(S1580&lt;='Methodology &amp; Assumptions'!$B$10, "Direct Optical Drop (&lt;3km)", IF(S1580&lt;='Methodology &amp; Assumptions'!$B$9, "Near Optical / Microwave (&lt;5km)", "Starlink Business LEO Satellite Backhaul (&gt;5km)"))</f>
        <v/>
      </c>
      <c r="W1580" s="28" t="n">
        <v>0.237</v>
      </c>
      <c r="X1580" s="14" t="n">
        <v>42.51</v>
      </c>
      <c r="Y1580" s="14">
        <f>ROUND(MIN(100, (X1580/69.91)*100), 2)</f>
        <v/>
      </c>
    </row>
    <row r="1581">
      <c r="A1581" s="10" t="n">
        <v>5</v>
      </c>
      <c r="B1581" s="10" t="n">
        <v>577</v>
      </c>
      <c r="C1581" s="10" t="n">
        <v>4577</v>
      </c>
      <c r="D1581" s="10" t="inlineStr">
        <is>
          <t>0806016002</t>
        </is>
      </c>
      <c r="E1581" s="26" t="inlineStr">
        <is>
          <t>Region VIII (Eastern Visayas)</t>
        </is>
      </c>
      <c r="F1581" s="26" t="inlineStr">
        <is>
          <t>Samar</t>
        </is>
      </c>
      <c r="G1581" s="26" t="inlineStr">
        <is>
          <t>Santa Margarita</t>
        </is>
      </c>
      <c r="H1581" s="26" t="inlineStr">
        <is>
          <t>Arapison</t>
        </is>
      </c>
      <c r="I1581" s="27" t="n">
        <v>12.05722</v>
      </c>
      <c r="J1581" s="27" t="n">
        <v>124.67705</v>
      </c>
      <c r="K1581" s="10" t="inlineStr">
        <is>
          <t>R</t>
        </is>
      </c>
      <c r="L1581" s="12" t="n">
        <v>223</v>
      </c>
      <c r="M1581" s="14" t="n">
        <v>4.1</v>
      </c>
      <c r="N1581" s="12">
        <f>ROUND(L1581/M1581, 0)</f>
        <v/>
      </c>
      <c r="O1581" s="12">
        <f>ROUND(N1581*'Methodology &amp; Assumptions'!$B$5, 0)</f>
        <v/>
      </c>
      <c r="P1581" s="10" t="inlineStr">
        <is>
          <t>Single Carrier (Band n50, 100MHz TDD)</t>
        </is>
      </c>
      <c r="Q1581" s="13">
        <f>ROUNDUP(O1581/'Methodology &amp; Assumptions'!$B$6, 0)</f>
        <v/>
      </c>
      <c r="R1581" s="13" t="n">
        <v>1</v>
      </c>
      <c r="S1581" s="14" t="n">
        <v>84.23999999999999</v>
      </c>
      <c r="T1581" s="14" t="n">
        <v>83.84</v>
      </c>
      <c r="U1581" s="26">
        <f>IF(X1581&gt;='Methodology &amp; Assumptions'!$B$7, "Tier 1 Critical GIDA (Score ≥ 50.0)", IF(X1581&gt;='Methodology &amp; Assumptions'!$B$8, "Tier 2 High GIDA (Score 40.0–49.9)", "Tier 3 Moderate GIDA (Score &lt; 40.0)"))</f>
        <v/>
      </c>
      <c r="V1581" s="26">
        <f>IF(S1581&lt;='Methodology &amp; Assumptions'!$B$10, "Direct Optical Drop (&lt;3km)", IF(S1581&lt;='Methodology &amp; Assumptions'!$B$9, "Near Optical / Microwave (&lt;5km)", "Starlink Business LEO Satellite Backhaul (&gt;5km)"))</f>
        <v/>
      </c>
      <c r="W1581" s="28" t="n">
        <v>0.237</v>
      </c>
      <c r="X1581" s="14" t="n">
        <v>42.5</v>
      </c>
      <c r="Y1581" s="14">
        <f>ROUND(MIN(100, (X1581/69.91)*100), 2)</f>
        <v/>
      </c>
    </row>
    <row r="1582">
      <c r="A1582" s="10" t="n">
        <v>5</v>
      </c>
      <c r="B1582" s="10" t="n">
        <v>578</v>
      </c>
      <c r="C1582" s="10" t="n">
        <v>4578</v>
      </c>
      <c r="D1582" s="10" t="inlineStr">
        <is>
          <t>0806016017</t>
        </is>
      </c>
      <c r="E1582" s="26" t="inlineStr">
        <is>
          <t>Region VIII (Eastern Visayas)</t>
        </is>
      </c>
      <c r="F1582" s="26" t="inlineStr">
        <is>
          <t>Samar</t>
        </is>
      </c>
      <c r="G1582" s="26" t="inlineStr">
        <is>
          <t>Santa Margarita</t>
        </is>
      </c>
      <c r="H1582" s="26" t="inlineStr">
        <is>
          <t>Hindang</t>
        </is>
      </c>
      <c r="I1582" s="27" t="n">
        <v>12.078753</v>
      </c>
      <c r="J1582" s="27" t="n">
        <v>124.688879</v>
      </c>
      <c r="K1582" s="10" t="inlineStr">
        <is>
          <t>R</t>
        </is>
      </c>
      <c r="L1582" s="12" t="n">
        <v>83</v>
      </c>
      <c r="M1582" s="14" t="n">
        <v>4.1</v>
      </c>
      <c r="N1582" s="12">
        <f>ROUND(L1582/M1582, 0)</f>
        <v/>
      </c>
      <c r="O1582" s="12">
        <f>ROUND(N1582*'Methodology &amp; Assumptions'!$B$5, 0)</f>
        <v/>
      </c>
      <c r="P1582" s="10" t="inlineStr">
        <is>
          <t>Single Carrier (Band n50, 100MHz TDD)</t>
        </is>
      </c>
      <c r="Q1582" s="13">
        <f>ROUNDUP(O1582/'Methodology &amp; Assumptions'!$B$6, 0)</f>
        <v/>
      </c>
      <c r="R1582" s="13" t="n">
        <v>1</v>
      </c>
      <c r="S1582" s="14" t="n">
        <v>86.62</v>
      </c>
      <c r="T1582" s="14" t="n">
        <v>86.34999999999999</v>
      </c>
      <c r="U1582" s="26">
        <f>IF(X1582&gt;='Methodology &amp; Assumptions'!$B$7, "Tier 1 Critical GIDA (Score ≥ 50.0)", IF(X1582&gt;='Methodology &amp; Assumptions'!$B$8, "Tier 2 High GIDA (Score 40.0–49.9)", "Tier 3 Moderate GIDA (Score &lt; 40.0)"))</f>
        <v/>
      </c>
      <c r="V1582" s="26">
        <f>IF(S1582&lt;='Methodology &amp; Assumptions'!$B$10, "Direct Optical Drop (&lt;3km)", IF(S1582&lt;='Methodology &amp; Assumptions'!$B$9, "Near Optical / Microwave (&lt;5km)", "Starlink Business LEO Satellite Backhaul (&gt;5km)"))</f>
        <v/>
      </c>
      <c r="W1582" s="28" t="n">
        <v>0.237</v>
      </c>
      <c r="X1582" s="14" t="n">
        <v>42.48</v>
      </c>
      <c r="Y1582" s="14">
        <f>ROUND(MIN(100, (X1582/69.91)*100), 2)</f>
        <v/>
      </c>
    </row>
    <row r="1583">
      <c r="A1583" s="10" t="n">
        <v>5</v>
      </c>
      <c r="B1583" s="10" t="n">
        <v>579</v>
      </c>
      <c r="C1583" s="10" t="n">
        <v>4579</v>
      </c>
      <c r="D1583" s="10" t="inlineStr">
        <is>
          <t>PH0004579</t>
        </is>
      </c>
      <c r="E1583" s="26" t="inlineStr">
        <is>
          <t>IV-A</t>
        </is>
      </c>
      <c r="F1583" s="26" t="inlineStr">
        <is>
          <t>Batangas</t>
        </is>
      </c>
      <c r="G1583" s="26" t="inlineStr">
        <is>
          <t>Lipa City</t>
        </is>
      </c>
      <c r="H1583" s="26" t="inlineStr">
        <is>
          <t>Balintawak</t>
        </is>
      </c>
      <c r="I1583" s="27" t="n">
        <v>13.954017</v>
      </c>
      <c r="J1583" s="27" t="n">
        <v>121.160984</v>
      </c>
      <c r="K1583" s="10" t="inlineStr">
        <is>
          <t>R</t>
        </is>
      </c>
      <c r="L1583" s="12" t="n">
        <v>2259</v>
      </c>
      <c r="M1583" s="14" t="n">
        <v>3.6</v>
      </c>
      <c r="N1583" s="12">
        <f>ROUND(L1583/M1583, 0)</f>
        <v/>
      </c>
      <c r="O1583" s="12">
        <f>ROUND(N1583*'Methodology &amp; Assumptions'!$B$5, 0)</f>
        <v/>
      </c>
      <c r="P1583" s="10" t="inlineStr">
        <is>
          <t>Single Carrier (Band n50, 100MHz TDD)</t>
        </is>
      </c>
      <c r="Q1583" s="13">
        <f>ROUNDUP(O1583/'Methodology &amp; Assumptions'!$B$6, 0)</f>
        <v/>
      </c>
      <c r="R1583" s="13" t="n">
        <v>1</v>
      </c>
      <c r="S1583" s="14" t="n">
        <v>1.24</v>
      </c>
      <c r="T1583" s="14" t="n">
        <v>0.35</v>
      </c>
      <c r="U1583" s="26">
        <f>IF(X1583&gt;='Methodology &amp; Assumptions'!$B$7, "Tier 1 Critical GIDA (Score ≥ 50.0)", IF(X1583&gt;='Methodology &amp; Assumptions'!$B$8, "Tier 2 High GIDA (Score 40.0–49.9)", "Tier 3 Moderate GIDA (Score &lt; 40.0)"))</f>
        <v/>
      </c>
      <c r="V1583" s="26">
        <f>IF(S1583&lt;='Methodology &amp; Assumptions'!$B$10, "Direct Optical Drop (&lt;3km)", IF(S1583&lt;='Methodology &amp; Assumptions'!$B$9, "Near Optical / Microwave (&lt;5km)", "Starlink Business LEO Satellite Backhaul (&gt;5km)"))</f>
        <v/>
      </c>
      <c r="W1583" s="28" t="n">
        <v>0.07200000000000001</v>
      </c>
      <c r="X1583" s="14" t="n">
        <v>42.47</v>
      </c>
      <c r="Y1583" s="14">
        <f>ROUND(MIN(100, (X1583/69.91)*100), 2)</f>
        <v/>
      </c>
    </row>
    <row r="1584">
      <c r="A1584" s="10" t="n">
        <v>5</v>
      </c>
      <c r="B1584" s="10" t="n">
        <v>580</v>
      </c>
      <c r="C1584" s="10" t="n">
        <v>4580</v>
      </c>
      <c r="D1584" s="10" t="inlineStr">
        <is>
          <t>1906610012</t>
        </is>
      </c>
      <c r="E1584" s="26" t="inlineStr">
        <is>
          <t>Bangsamoro Autonomous Region In Muslim Mindanao (BARMM)</t>
        </is>
      </c>
      <c r="F1584" s="26" t="inlineStr">
        <is>
          <t>Sulu</t>
        </is>
      </c>
      <c r="G1584" s="26" t="inlineStr">
        <is>
          <t>Pata</t>
        </is>
      </c>
      <c r="H1584" s="26" t="inlineStr">
        <is>
          <t>Pisak-pisak</t>
        </is>
      </c>
      <c r="I1584" s="27" t="n">
        <v>17.255551</v>
      </c>
      <c r="J1584" s="27" t="n">
        <v>122.229595</v>
      </c>
      <c r="K1584" s="10" t="inlineStr">
        <is>
          <t>R</t>
        </is>
      </c>
      <c r="L1584" s="12" t="n">
        <v>2561</v>
      </c>
      <c r="M1584" s="14" t="n">
        <v>6</v>
      </c>
      <c r="N1584" s="12">
        <f>ROUND(L1584/M1584, 0)</f>
        <v/>
      </c>
      <c r="O1584" s="12">
        <f>ROUND(N1584*'Methodology &amp; Assumptions'!$B$5, 0)</f>
        <v/>
      </c>
      <c r="P1584" s="10" t="inlineStr">
        <is>
          <t>Single Carrier (Band n50, 100MHz TDD)</t>
        </is>
      </c>
      <c r="Q1584" s="13">
        <f>ROUNDUP(O1584/'Methodology &amp; Assumptions'!$B$6, 0)</f>
        <v/>
      </c>
      <c r="R1584" s="13" t="n">
        <v>1</v>
      </c>
      <c r="S1584" s="14" t="n">
        <v>29.52</v>
      </c>
      <c r="T1584" s="14" t="n">
        <v>34.39</v>
      </c>
      <c r="U1584" s="26">
        <f>IF(X1584&gt;='Methodology &amp; Assumptions'!$B$7, "Tier 1 Critical GIDA (Score ≥ 50.0)", IF(X1584&gt;='Methodology &amp; Assumptions'!$B$8, "Tier 2 High GIDA (Score 40.0–49.9)", "Tier 3 Moderate GIDA (Score &lt; 40.0)"))</f>
        <v/>
      </c>
      <c r="V1584" s="26">
        <f>IF(S1584&lt;='Methodology &amp; Assumptions'!$B$10, "Direct Optical Drop (&lt;3km)", IF(S1584&lt;='Methodology &amp; Assumptions'!$B$9, "Near Optical / Microwave (&lt;5km)", "Starlink Business LEO Satellite Backhaul (&gt;5km)"))</f>
        <v/>
      </c>
      <c r="W1584" s="28" t="n">
        <v>0.11</v>
      </c>
      <c r="X1584" s="14" t="n">
        <v>42.47</v>
      </c>
      <c r="Y1584" s="14">
        <f>ROUND(MIN(100, (X1584/69.91)*100), 2)</f>
        <v/>
      </c>
    </row>
    <row r="1585">
      <c r="A1585" s="10" t="n">
        <v>5</v>
      </c>
      <c r="B1585" s="10" t="n">
        <v>581</v>
      </c>
      <c r="C1585" s="10" t="n">
        <v>4581</v>
      </c>
      <c r="D1585" s="10" t="inlineStr">
        <is>
          <t>0405802002</t>
        </is>
      </c>
      <c r="E1585" s="26" t="inlineStr">
        <is>
          <t>Region IV-A (CALABARZON)</t>
        </is>
      </c>
      <c r="F1585" s="26" t="inlineStr">
        <is>
          <t>Rizal</t>
        </is>
      </c>
      <c r="G1585" s="26" t="inlineStr">
        <is>
          <t>City of Antipolo</t>
        </is>
      </c>
      <c r="H1585" s="26" t="inlineStr">
        <is>
          <t>Cupang</t>
        </is>
      </c>
      <c r="I1585" s="27" t="n">
        <v>14.63881</v>
      </c>
      <c r="J1585" s="27" t="n">
        <v>121.13311</v>
      </c>
      <c r="K1585" s="10" t="inlineStr">
        <is>
          <t>U</t>
        </is>
      </c>
      <c r="L1585" s="12" t="n">
        <v>129296</v>
      </c>
      <c r="M1585" s="14" t="n">
        <v>3.6</v>
      </c>
      <c r="N1585" s="12">
        <f>ROUND(L1585/M1585, 0)</f>
        <v/>
      </c>
      <c r="O1585" s="12">
        <f>ROUND(N1585*'Methodology &amp; Assumptions'!$B$5, 0)</f>
        <v/>
      </c>
      <c r="P1585" s="10" t="inlineStr">
        <is>
          <t>Single Carrier (Band n50, 100MHz TDD)</t>
        </is>
      </c>
      <c r="Q1585" s="13">
        <f>ROUNDUP(O1585/'Methodology &amp; Assumptions'!$B$6, 0)</f>
        <v/>
      </c>
      <c r="R1585" s="13" t="n">
        <v>1</v>
      </c>
      <c r="S1585" s="14" t="n">
        <v>1.51</v>
      </c>
      <c r="T1585" s="14" t="n">
        <v>1.22</v>
      </c>
      <c r="U1585" s="26">
        <f>IF(X1585&gt;='Methodology &amp; Assumptions'!$B$7, "Tier 1 Critical GIDA (Score ≥ 50.0)", IF(X1585&gt;='Methodology &amp; Assumptions'!$B$8, "Tier 2 High GIDA (Score 40.0–49.9)", "Tier 3 Moderate GIDA (Score &lt; 40.0)"))</f>
        <v/>
      </c>
      <c r="V1585" s="26">
        <f>IF(S1585&lt;='Methodology &amp; Assumptions'!$B$10, "Direct Optical Drop (&lt;3km)", IF(S1585&lt;='Methodology &amp; Assumptions'!$B$9, "Near Optical / Microwave (&lt;5km)", "Starlink Business LEO Satellite Backhaul (&gt;5km)"))</f>
        <v/>
      </c>
      <c r="W1585" s="28" t="n">
        <v>0.07200000000000001</v>
      </c>
      <c r="X1585" s="14" t="n">
        <v>42.46</v>
      </c>
      <c r="Y1585" s="14">
        <f>ROUND(MIN(100, (X1585/69.91)*100), 2)</f>
        <v/>
      </c>
    </row>
    <row r="1586">
      <c r="A1586" s="10" t="n">
        <v>5</v>
      </c>
      <c r="B1586" s="10" t="n">
        <v>582</v>
      </c>
      <c r="C1586" s="10" t="n">
        <v>4582</v>
      </c>
      <c r="D1586" s="10" t="inlineStr">
        <is>
          <t>1903621005</t>
        </is>
      </c>
      <c r="E1586" s="26" t="inlineStr">
        <is>
          <t>Bangsamoro Autonomous Region In Muslim Mindanao (BARMM)</t>
        </is>
      </c>
      <c r="F1586" s="26" t="inlineStr">
        <is>
          <t>Lanao del Sur</t>
        </is>
      </c>
      <c r="G1586" s="26" t="inlineStr">
        <is>
          <t>Piagapo</t>
        </is>
      </c>
      <c r="H1586" s="26" t="inlineStr">
        <is>
          <t>Basak</t>
        </is>
      </c>
      <c r="I1586" s="27" t="n">
        <v>17.254449</v>
      </c>
      <c r="J1586" s="27" t="n">
        <v>122.228493</v>
      </c>
      <c r="K1586" s="10" t="inlineStr">
        <is>
          <t>R</t>
        </is>
      </c>
      <c r="L1586" s="12" t="n">
        <v>1125</v>
      </c>
      <c r="M1586" s="14" t="n">
        <v>5.7</v>
      </c>
      <c r="N1586" s="12">
        <f>ROUND(L1586/M1586, 0)</f>
        <v/>
      </c>
      <c r="O1586" s="12">
        <f>ROUND(N1586*'Methodology &amp; Assumptions'!$B$5, 0)</f>
        <v/>
      </c>
      <c r="P1586" s="10" t="inlineStr">
        <is>
          <t>Single Carrier (Band n50, 100MHz TDD)</t>
        </is>
      </c>
      <c r="Q1586" s="13">
        <f>ROUNDUP(O1586/'Methodology &amp; Assumptions'!$B$6, 0)</f>
        <v/>
      </c>
      <c r="R1586" s="13" t="n">
        <v>1</v>
      </c>
      <c r="S1586" s="14" t="n">
        <v>29.35</v>
      </c>
      <c r="T1586" s="14" t="n">
        <v>34.25</v>
      </c>
      <c r="U1586" s="26">
        <f>IF(X1586&gt;='Methodology &amp; Assumptions'!$B$7, "Tier 1 Critical GIDA (Score ≥ 50.0)", IF(X1586&gt;='Methodology &amp; Assumptions'!$B$8, "Tier 2 High GIDA (Score 40.0–49.9)", "Tier 3 Moderate GIDA (Score &lt; 40.0)"))</f>
        <v/>
      </c>
      <c r="V1586" s="26">
        <f>IF(S1586&lt;='Methodology &amp; Assumptions'!$B$10, "Direct Optical Drop (&lt;3km)", IF(S1586&lt;='Methodology &amp; Assumptions'!$B$9, "Near Optical / Microwave (&lt;5km)", "Starlink Business LEO Satellite Backhaul (&gt;5km)"))</f>
        <v/>
      </c>
      <c r="W1586" s="28" t="n">
        <v>0.11</v>
      </c>
      <c r="X1586" s="14" t="n">
        <v>42.46</v>
      </c>
      <c r="Y1586" s="14">
        <f>ROUND(MIN(100, (X1586/69.91)*100), 2)</f>
        <v/>
      </c>
    </row>
    <row r="1587">
      <c r="A1587" s="10" t="n">
        <v>5</v>
      </c>
      <c r="B1587" s="10" t="n">
        <v>583</v>
      </c>
      <c r="C1587" s="10" t="n">
        <v>4583</v>
      </c>
      <c r="D1587" s="10" t="inlineStr">
        <is>
          <t>PH0004583</t>
        </is>
      </c>
      <c r="E1587" s="26" t="inlineStr">
        <is>
          <t>BARMM (LaMa+SGA)</t>
        </is>
      </c>
      <c r="F1587" s="26" t="inlineStr">
        <is>
          <t>Lanao Del Sur</t>
        </is>
      </c>
      <c r="G1587" s="26" t="inlineStr">
        <is>
          <t>Bumbaran</t>
        </is>
      </c>
      <c r="H1587" s="26" t="inlineStr">
        <is>
          <t>Mansilano</t>
        </is>
      </c>
      <c r="I1587" s="27" t="n">
        <v>15.881304</v>
      </c>
      <c r="J1587" s="27" t="n">
        <v>122.582473</v>
      </c>
      <c r="K1587" s="10" t="inlineStr">
        <is>
          <t>R</t>
        </is>
      </c>
      <c r="L1587" s="12" t="n">
        <v>2518</v>
      </c>
      <c r="M1587" s="14" t="n">
        <v>5.7</v>
      </c>
      <c r="N1587" s="12">
        <f>ROUND(L1587/M1587, 0)</f>
        <v/>
      </c>
      <c r="O1587" s="12">
        <f>ROUND(N1587*'Methodology &amp; Assumptions'!$B$5, 0)</f>
        <v/>
      </c>
      <c r="P1587" s="10" t="inlineStr">
        <is>
          <t>Single Carrier (Band n50, 100MHz TDD)</t>
        </is>
      </c>
      <c r="Q1587" s="13">
        <f>ROUNDUP(O1587/'Methodology &amp; Assumptions'!$B$6, 0)</f>
        <v/>
      </c>
      <c r="R1587" s="13" t="n">
        <v>1</v>
      </c>
      <c r="S1587" s="14" t="n">
        <v>65.91</v>
      </c>
      <c r="T1587" s="14" t="n">
        <v>65.92</v>
      </c>
      <c r="U1587" s="26">
        <f>IF(X1587&gt;='Methodology &amp; Assumptions'!$B$7, "Tier 1 Critical GIDA (Score ≥ 50.0)", IF(X1587&gt;='Methodology &amp; Assumptions'!$B$8, "Tier 2 High GIDA (Score 40.0–49.9)", "Tier 3 Moderate GIDA (Score &lt; 40.0)"))</f>
        <v/>
      </c>
      <c r="V1587" s="26">
        <f>IF(S1587&lt;='Methodology &amp; Assumptions'!$B$10, "Direct Optical Drop (&lt;3km)", IF(S1587&lt;='Methodology &amp; Assumptions'!$B$9, "Near Optical / Microwave (&lt;5km)", "Starlink Business LEO Satellite Backhaul (&gt;5km)"))</f>
        <v/>
      </c>
      <c r="W1587" s="28" t="n">
        <v>0.235</v>
      </c>
      <c r="X1587" s="14" t="n">
        <v>42.46</v>
      </c>
      <c r="Y1587" s="14">
        <f>ROUND(MIN(100, (X1587/69.91)*100), 2)</f>
        <v/>
      </c>
    </row>
    <row r="1588">
      <c r="A1588" s="10" t="n">
        <v>5</v>
      </c>
      <c r="B1588" s="10" t="n">
        <v>584</v>
      </c>
      <c r="C1588" s="10" t="n">
        <v>4584</v>
      </c>
      <c r="D1588" s="10" t="inlineStr">
        <is>
          <t>0603040046</t>
        </is>
      </c>
      <c r="E1588" s="26" t="inlineStr">
        <is>
          <t>Region VI (Western Visayas)</t>
        </is>
      </c>
      <c r="F1588" s="26" t="inlineStr">
        <is>
          <t>Iloilo</t>
        </is>
      </c>
      <c r="G1588" s="26" t="inlineStr">
        <is>
          <t>San Joaquin</t>
        </is>
      </c>
      <c r="H1588" s="26" t="inlineStr">
        <is>
          <t>Languanan</t>
        </is>
      </c>
      <c r="I1588" s="27" t="n">
        <v>10.592328</v>
      </c>
      <c r="J1588" s="27" t="n">
        <v>122.110751</v>
      </c>
      <c r="K1588" s="10" t="inlineStr">
        <is>
          <t>R</t>
        </is>
      </c>
      <c r="L1588" s="12" t="n">
        <v>286</v>
      </c>
      <c r="M1588" s="14" t="n">
        <v>3.8</v>
      </c>
      <c r="N1588" s="12">
        <f>ROUND(L1588/M1588, 0)</f>
        <v/>
      </c>
      <c r="O1588" s="12">
        <f>ROUND(N1588*'Methodology &amp; Assumptions'!$B$5, 0)</f>
        <v/>
      </c>
      <c r="P1588" s="10" t="inlineStr">
        <is>
          <t>Single Carrier (Band n50, 100MHz TDD)</t>
        </is>
      </c>
      <c r="Q1588" s="13">
        <f>ROUNDUP(O1588/'Methodology &amp; Assumptions'!$B$6, 0)</f>
        <v/>
      </c>
      <c r="R1588" s="13" t="n">
        <v>1</v>
      </c>
      <c r="S1588" s="14" t="n">
        <v>26.71</v>
      </c>
      <c r="T1588" s="14" t="n">
        <v>0.84</v>
      </c>
      <c r="U1588" s="26">
        <f>IF(X1588&gt;='Methodology &amp; Assumptions'!$B$7, "Tier 1 Critical GIDA (Score ≥ 50.0)", IF(X1588&gt;='Methodology &amp; Assumptions'!$B$8, "Tier 2 High GIDA (Score 40.0–49.9)", "Tier 3 Moderate GIDA (Score &lt; 40.0)"))</f>
        <v/>
      </c>
      <c r="V1588" s="26">
        <f>IF(S1588&lt;='Methodology &amp; Assumptions'!$B$10, "Direct Optical Drop (&lt;3km)", IF(S1588&lt;='Methodology &amp; Assumptions'!$B$9, "Near Optical / Microwave (&lt;5km)", "Starlink Business LEO Satellite Backhaul (&gt;5km)"))</f>
        <v/>
      </c>
      <c r="W1588" s="28" t="n">
        <v>0.237</v>
      </c>
      <c r="X1588" s="14" t="n">
        <v>42.46</v>
      </c>
      <c r="Y1588" s="14">
        <f>ROUND(MIN(100, (X1588/69.91)*100), 2)</f>
        <v/>
      </c>
    </row>
    <row r="1589">
      <c r="A1589" s="10" t="n">
        <v>5</v>
      </c>
      <c r="B1589" s="10" t="n">
        <v>585</v>
      </c>
      <c r="C1589" s="10" t="n">
        <v>4585</v>
      </c>
      <c r="D1589" s="10" t="inlineStr">
        <is>
          <t>0501712003</t>
        </is>
      </c>
      <c r="E1589" s="26" t="inlineStr">
        <is>
          <t>Region V (Bicol Region)</t>
        </is>
      </c>
      <c r="F1589" s="26" t="inlineStr">
        <is>
          <t>Camarines Sur</t>
        </is>
      </c>
      <c r="G1589" s="26" t="inlineStr">
        <is>
          <t>Del Gallego</t>
        </is>
      </c>
      <c r="H1589" s="26" t="inlineStr">
        <is>
          <t>Cabasag</t>
        </is>
      </c>
      <c r="I1589" s="27" t="n">
        <v>13.925393</v>
      </c>
      <c r="J1589" s="27" t="n">
        <v>122.605189</v>
      </c>
      <c r="K1589" s="10" t="inlineStr">
        <is>
          <t>R</t>
        </is>
      </c>
      <c r="L1589" s="12" t="n">
        <v>892</v>
      </c>
      <c r="M1589" s="14" t="n">
        <v>4.2</v>
      </c>
      <c r="N1589" s="12">
        <f>ROUND(L1589/M1589, 0)</f>
        <v/>
      </c>
      <c r="O1589" s="12">
        <f>ROUND(N1589*'Methodology &amp; Assumptions'!$B$5, 0)</f>
        <v/>
      </c>
      <c r="P1589" s="10" t="inlineStr">
        <is>
          <t>Single Carrier (Band n50, 100MHz TDD)</t>
        </is>
      </c>
      <c r="Q1589" s="13">
        <f>ROUNDUP(O1589/'Methodology &amp; Assumptions'!$B$6, 0)</f>
        <v/>
      </c>
      <c r="R1589" s="13" t="n">
        <v>1</v>
      </c>
      <c r="S1589" s="14" t="n">
        <v>0.74</v>
      </c>
      <c r="T1589" s="14" t="n">
        <v>0.33</v>
      </c>
      <c r="U1589" s="26">
        <f>IF(X1589&gt;='Methodology &amp; Assumptions'!$B$7, "Tier 1 Critical GIDA (Score ≥ 50.0)", IF(X1589&gt;='Methodology &amp; Assumptions'!$B$8, "Tier 2 High GIDA (Score 40.0–49.9)", "Tier 3 Moderate GIDA (Score &lt; 40.0)"))</f>
        <v/>
      </c>
      <c r="V1589" s="26">
        <f>IF(S1589&lt;='Methodology &amp; Assumptions'!$B$10, "Direct Optical Drop (&lt;3km)", IF(S1589&lt;='Methodology &amp; Assumptions'!$B$9, "Near Optical / Microwave (&lt;5km)", "Starlink Business LEO Satellite Backhaul (&gt;5km)"))</f>
        <v/>
      </c>
      <c r="W1589" s="28" t="n">
        <v>0.237</v>
      </c>
      <c r="X1589" s="14" t="n">
        <v>42.45</v>
      </c>
      <c r="Y1589" s="14">
        <f>ROUND(MIN(100, (X1589/69.91)*100), 2)</f>
        <v/>
      </c>
    </row>
    <row r="1590">
      <c r="A1590" s="10" t="n">
        <v>5</v>
      </c>
      <c r="B1590" s="10" t="n">
        <v>586</v>
      </c>
      <c r="C1590" s="10" t="n">
        <v>4586</v>
      </c>
      <c r="D1590" s="10" t="inlineStr">
        <is>
          <t>0806022025</t>
        </is>
      </c>
      <c r="E1590" s="26" t="inlineStr">
        <is>
          <t>Region VIII (Eastern Visayas)</t>
        </is>
      </c>
      <c r="F1590" s="26" t="inlineStr">
        <is>
          <t>Samar</t>
        </is>
      </c>
      <c r="G1590" s="26" t="inlineStr">
        <is>
          <t>Paranas</t>
        </is>
      </c>
      <c r="H1590" s="26" t="inlineStr">
        <is>
          <t>Pagsanjan</t>
        </is>
      </c>
      <c r="I1590" s="27" t="n">
        <v>11.92596</v>
      </c>
      <c r="J1590" s="27" t="n">
        <v>125.07813</v>
      </c>
      <c r="K1590" s="10" t="inlineStr">
        <is>
          <t>R</t>
        </is>
      </c>
      <c r="L1590" s="12" t="n">
        <v>264</v>
      </c>
      <c r="M1590" s="14" t="n">
        <v>4.1</v>
      </c>
      <c r="N1590" s="12">
        <f>ROUND(L1590/M1590, 0)</f>
        <v/>
      </c>
      <c r="O1590" s="12">
        <f>ROUND(N1590*'Methodology &amp; Assumptions'!$B$5, 0)</f>
        <v/>
      </c>
      <c r="P1590" s="10" t="inlineStr">
        <is>
          <t>Single Carrier (Band n50, 100MHz TDD)</t>
        </is>
      </c>
      <c r="Q1590" s="13">
        <f>ROUNDUP(O1590/'Methodology &amp; Assumptions'!$B$6, 0)</f>
        <v/>
      </c>
      <c r="R1590" s="13" t="n">
        <v>1</v>
      </c>
      <c r="S1590" s="14" t="n">
        <v>76.76000000000001</v>
      </c>
      <c r="T1590" s="14" t="n">
        <v>79.69</v>
      </c>
      <c r="U1590" s="26">
        <f>IF(X1590&gt;='Methodology &amp; Assumptions'!$B$7, "Tier 1 Critical GIDA (Score ≥ 50.0)", IF(X1590&gt;='Methodology &amp; Assumptions'!$B$8, "Tier 2 High GIDA (Score 40.0–49.9)", "Tier 3 Moderate GIDA (Score &lt; 40.0)"))</f>
        <v/>
      </c>
      <c r="V1590" s="26">
        <f>IF(S1590&lt;='Methodology &amp; Assumptions'!$B$10, "Direct Optical Drop (&lt;3km)", IF(S1590&lt;='Methodology &amp; Assumptions'!$B$9, "Near Optical / Microwave (&lt;5km)", "Starlink Business LEO Satellite Backhaul (&gt;5km)"))</f>
        <v/>
      </c>
      <c r="W1590" s="28" t="n">
        <v>0.237</v>
      </c>
      <c r="X1590" s="14" t="n">
        <v>42.45</v>
      </c>
      <c r="Y1590" s="14">
        <f>ROUND(MIN(100, (X1590/69.91)*100), 2)</f>
        <v/>
      </c>
    </row>
    <row r="1591">
      <c r="A1591" s="10" t="n">
        <v>5</v>
      </c>
      <c r="B1591" s="10" t="n">
        <v>587</v>
      </c>
      <c r="C1591" s="10" t="n">
        <v>4587</v>
      </c>
      <c r="D1591" s="10" t="inlineStr">
        <is>
          <t>PH0004587</t>
        </is>
      </c>
      <c r="E1591" s="26" t="inlineStr">
        <is>
          <t>IV-B</t>
        </is>
      </c>
      <c r="F1591" s="26" t="inlineStr">
        <is>
          <t>Palawan</t>
        </is>
      </c>
      <c r="G1591" s="26" t="inlineStr">
        <is>
          <t>Puerto Princesa City</t>
        </is>
      </c>
      <c r="H1591" s="26" t="inlineStr">
        <is>
          <t>New Panggangan</t>
        </is>
      </c>
      <c r="I1591" s="27" t="n">
        <v>10.27272</v>
      </c>
      <c r="J1591" s="27" t="n">
        <v>118.96231</v>
      </c>
      <c r="K1591" s="10" t="inlineStr">
        <is>
          <t>R</t>
        </is>
      </c>
      <c r="L1591" s="12" t="n">
        <v>2597</v>
      </c>
      <c r="M1591" s="14" t="n">
        <v>3.9</v>
      </c>
      <c r="N1591" s="12">
        <f>ROUND(L1591/M1591, 0)</f>
        <v/>
      </c>
      <c r="O1591" s="12">
        <f>ROUND(N1591*'Methodology &amp; Assumptions'!$B$5, 0)</f>
        <v/>
      </c>
      <c r="P1591" s="10" t="inlineStr">
        <is>
          <t>Single Carrier (Band n50, 100MHz TDD)</t>
        </is>
      </c>
      <c r="Q1591" s="13">
        <f>ROUNDUP(O1591/'Methodology &amp; Assumptions'!$B$6, 0)</f>
        <v/>
      </c>
      <c r="R1591" s="13" t="n">
        <v>1</v>
      </c>
      <c r="S1591" s="14" t="n">
        <v>31.08</v>
      </c>
      <c r="T1591" s="14" t="n">
        <v>26.84</v>
      </c>
      <c r="U1591" s="26">
        <f>IF(X1591&gt;='Methodology &amp; Assumptions'!$B$7, "Tier 1 Critical GIDA (Score ≥ 50.0)", IF(X1591&gt;='Methodology &amp; Assumptions'!$B$8, "Tier 2 High GIDA (Score 40.0–49.9)", "Tier 3 Moderate GIDA (Score &lt; 40.0)"))</f>
        <v/>
      </c>
      <c r="V1591" s="26">
        <f>IF(S1591&lt;='Methodology &amp; Assumptions'!$B$10, "Direct Optical Drop (&lt;3km)", IF(S1591&lt;='Methodology &amp; Assumptions'!$B$9, "Near Optical / Microwave (&lt;5km)", "Starlink Business LEO Satellite Backhaul (&gt;5km)"))</f>
        <v/>
      </c>
      <c r="W1591" s="28" t="n">
        <v>0.109</v>
      </c>
      <c r="X1591" s="14" t="n">
        <v>42.44</v>
      </c>
      <c r="Y1591" s="14">
        <f>ROUND(MIN(100, (X1591/69.91)*100), 2)</f>
        <v/>
      </c>
    </row>
    <row r="1592">
      <c r="A1592" s="10" t="n">
        <v>5</v>
      </c>
      <c r="B1592" s="10" t="n">
        <v>588</v>
      </c>
      <c r="C1592" s="10" t="n">
        <v>4588</v>
      </c>
      <c r="D1592" s="10" t="inlineStr">
        <is>
          <t>0201509001</t>
        </is>
      </c>
      <c r="E1592" s="26" t="inlineStr">
        <is>
          <t>Region II (Cagayan Valley)</t>
        </is>
      </c>
      <c r="F1592" s="26" t="inlineStr">
        <is>
          <t>Cagayan</t>
        </is>
      </c>
      <c r="G1592" s="26" t="inlineStr">
        <is>
          <t>Calayan</t>
        </is>
      </c>
      <c r="H1592" s="26" t="inlineStr">
        <is>
          <t>Cabudadan</t>
        </is>
      </c>
      <c r="I1592" s="27" t="n">
        <v>19.27225</v>
      </c>
      <c r="J1592" s="27" t="n">
        <v>121.473546</v>
      </c>
      <c r="K1592" s="10" t="inlineStr">
        <is>
          <t>R</t>
        </is>
      </c>
      <c r="L1592" s="12" t="n">
        <v>815</v>
      </c>
      <c r="M1592" s="14" t="n">
        <v>3.9</v>
      </c>
      <c r="N1592" s="12">
        <f>ROUND(L1592/M1592, 0)</f>
        <v/>
      </c>
      <c r="O1592" s="12">
        <f>ROUND(N1592*'Methodology &amp; Assumptions'!$B$5, 0)</f>
        <v/>
      </c>
      <c r="P1592" s="10" t="inlineStr">
        <is>
          <t>Single Carrier (Band n50, 100MHz TDD)</t>
        </is>
      </c>
      <c r="Q1592" s="13">
        <f>ROUNDUP(O1592/'Methodology &amp; Assumptions'!$B$6, 0)</f>
        <v/>
      </c>
      <c r="R1592" s="13" t="n">
        <v>1</v>
      </c>
      <c r="S1592" s="14" t="n">
        <v>83.20999999999999</v>
      </c>
      <c r="T1592" s="14" t="n">
        <v>80.3</v>
      </c>
      <c r="U1592" s="26">
        <f>IF(X1592&gt;='Methodology &amp; Assumptions'!$B$7, "Tier 1 Critical GIDA (Score ≥ 50.0)", IF(X1592&gt;='Methodology &amp; Assumptions'!$B$8, "Tier 2 High GIDA (Score 40.0–49.9)", "Tier 3 Moderate GIDA (Score &lt; 40.0)"))</f>
        <v/>
      </c>
      <c r="V1592" s="26">
        <f>IF(S1592&lt;='Methodology &amp; Assumptions'!$B$10, "Direct Optical Drop (&lt;3km)", IF(S1592&lt;='Methodology &amp; Assumptions'!$B$9, "Near Optical / Microwave (&lt;5km)", "Starlink Business LEO Satellite Backhaul (&gt;5km)"))</f>
        <v/>
      </c>
      <c r="W1592" s="28" t="n">
        <v>0.083</v>
      </c>
      <c r="X1592" s="14" t="n">
        <v>42.43</v>
      </c>
      <c r="Y1592" s="14">
        <f>ROUND(MIN(100, (X1592/69.91)*100), 2)</f>
        <v/>
      </c>
    </row>
    <row r="1593">
      <c r="A1593" s="10" t="n">
        <v>5</v>
      </c>
      <c r="B1593" s="10" t="n">
        <v>589</v>
      </c>
      <c r="C1593" s="10" t="n">
        <v>4589</v>
      </c>
      <c r="D1593" s="10" t="inlineStr">
        <is>
          <t>1102412019</t>
        </is>
      </c>
      <c r="E1593" s="26" t="inlineStr">
        <is>
          <t>Region XI (Davao Region)</t>
        </is>
      </c>
      <c r="F1593" s="26" t="inlineStr">
        <is>
          <t>Davao del Sur</t>
        </is>
      </c>
      <c r="G1593" s="26" t="inlineStr">
        <is>
          <t>Santa Cruz</t>
        </is>
      </c>
      <c r="H1593" s="26" t="inlineStr">
        <is>
          <t>Zone II</t>
        </is>
      </c>
      <c r="I1593" s="27" t="n">
        <v>6.852053</v>
      </c>
      <c r="J1593" s="27" t="n">
        <v>125.396431</v>
      </c>
      <c r="K1593" s="10" t="inlineStr">
        <is>
          <t>U</t>
        </is>
      </c>
      <c r="L1593" s="12" t="n">
        <v>6310</v>
      </c>
      <c r="M1593" s="14" t="n">
        <v>3.4</v>
      </c>
      <c r="N1593" s="12">
        <f>ROUND(L1593/M1593, 0)</f>
        <v/>
      </c>
      <c r="O1593" s="12">
        <f>ROUND(N1593*'Methodology &amp; Assumptions'!$B$5, 0)</f>
        <v/>
      </c>
      <c r="P1593" s="10" t="inlineStr">
        <is>
          <t>Single Carrier (Band n50, 100MHz TDD)</t>
        </is>
      </c>
      <c r="Q1593" s="13">
        <f>ROUNDUP(O1593/'Methodology &amp; Assumptions'!$B$6, 0)</f>
        <v/>
      </c>
      <c r="R1593" s="13" t="n">
        <v>1</v>
      </c>
      <c r="S1593" s="14" t="n">
        <v>1.87</v>
      </c>
      <c r="T1593" s="14" t="n">
        <v>1.85</v>
      </c>
      <c r="U1593" s="26">
        <f>IF(X1593&gt;='Methodology &amp; Assumptions'!$B$7, "Tier 1 Critical GIDA (Score ≥ 50.0)", IF(X1593&gt;='Methodology &amp; Assumptions'!$B$8, "Tier 2 High GIDA (Score 40.0–49.9)", "Tier 3 Moderate GIDA (Score &lt; 40.0)"))</f>
        <v/>
      </c>
      <c r="V1593" s="26">
        <f>IF(S1593&lt;='Methodology &amp; Assumptions'!$B$10, "Direct Optical Drop (&lt;3km)", IF(S1593&lt;='Methodology &amp; Assumptions'!$B$9, "Near Optical / Microwave (&lt;5km)", "Starlink Business LEO Satellite Backhaul (&gt;5km)"))</f>
        <v/>
      </c>
      <c r="W1593" s="28" t="n">
        <v>0.174</v>
      </c>
      <c r="X1593" s="14" t="n">
        <v>42.43</v>
      </c>
      <c r="Y1593" s="14">
        <f>ROUND(MIN(100, (X1593/69.91)*100), 2)</f>
        <v/>
      </c>
    </row>
    <row r="1594">
      <c r="A1594" s="10" t="n">
        <v>5</v>
      </c>
      <c r="B1594" s="10" t="n">
        <v>590</v>
      </c>
      <c r="C1594" s="10" t="n">
        <v>4590</v>
      </c>
      <c r="D1594" s="10" t="inlineStr">
        <is>
          <t>PH0004590</t>
        </is>
      </c>
      <c r="E1594" s="26" t="inlineStr">
        <is>
          <t>VI</t>
        </is>
      </c>
      <c r="F1594" s="26" t="inlineStr">
        <is>
          <t>Iloilo</t>
        </is>
      </c>
      <c r="G1594" s="26" t="inlineStr">
        <is>
          <t>Iloilo City</t>
        </is>
      </c>
      <c r="H1594" s="26" t="inlineStr">
        <is>
          <t>PHHC Block 22 NHA</t>
        </is>
      </c>
      <c r="I1594" s="27" t="n">
        <v>10.589277</v>
      </c>
      <c r="J1594" s="27" t="n">
        <v>122.607736</v>
      </c>
      <c r="K1594" s="10" t="inlineStr">
        <is>
          <t>R</t>
        </is>
      </c>
      <c r="L1594" s="12" t="n">
        <v>2230</v>
      </c>
      <c r="M1594" s="14" t="n">
        <v>3.8</v>
      </c>
      <c r="N1594" s="12">
        <f>ROUND(L1594/M1594, 0)</f>
        <v/>
      </c>
      <c r="O1594" s="12">
        <f>ROUND(N1594*'Methodology &amp; Assumptions'!$B$5, 0)</f>
        <v/>
      </c>
      <c r="P1594" s="10" t="inlineStr">
        <is>
          <t>Single Carrier (Band n50, 100MHz TDD)</t>
        </is>
      </c>
      <c r="Q1594" s="13">
        <f>ROUNDUP(O1594/'Methodology &amp; Assumptions'!$B$6, 0)</f>
        <v/>
      </c>
      <c r="R1594" s="13" t="n">
        <v>1</v>
      </c>
      <c r="S1594" s="14" t="n">
        <v>13.33</v>
      </c>
      <c r="T1594" s="14" t="n">
        <v>13.18</v>
      </c>
      <c r="U1594" s="26">
        <f>IF(X1594&gt;='Methodology &amp; Assumptions'!$B$7, "Tier 1 Critical GIDA (Score ≥ 50.0)", IF(X1594&gt;='Methodology &amp; Assumptions'!$B$8, "Tier 2 High GIDA (Score 40.0–49.9)", "Tier 3 Moderate GIDA (Score &lt; 40.0)"))</f>
        <v/>
      </c>
      <c r="V1594" s="26">
        <f>IF(S1594&lt;='Methodology &amp; Assumptions'!$B$10, "Direct Optical Drop (&lt;3km)", IF(S1594&lt;='Methodology &amp; Assumptions'!$B$9, "Near Optical / Microwave (&lt;5km)", "Starlink Business LEO Satellite Backhaul (&gt;5km)"))</f>
        <v/>
      </c>
      <c r="W1594" s="28" t="n">
        <v>0.156</v>
      </c>
      <c r="X1594" s="14" t="n">
        <v>42.43</v>
      </c>
      <c r="Y1594" s="14">
        <f>ROUND(MIN(100, (X1594/69.91)*100), 2)</f>
        <v/>
      </c>
    </row>
    <row r="1595">
      <c r="A1595" s="10" t="n">
        <v>5</v>
      </c>
      <c r="B1595" s="10" t="n">
        <v>591</v>
      </c>
      <c r="C1595" s="10" t="n">
        <v>4591</v>
      </c>
      <c r="D1595" s="10" t="inlineStr">
        <is>
          <t>0200902010</t>
        </is>
      </c>
      <c r="E1595" s="26" t="inlineStr">
        <is>
          <t>Region II (Cagayan Valley)</t>
        </is>
      </c>
      <c r="F1595" s="26" t="inlineStr">
        <is>
          <t>Batanes</t>
        </is>
      </c>
      <c r="G1595" s="26" t="inlineStr">
        <is>
          <t>Itbayat</t>
        </is>
      </c>
      <c r="H1595" s="26" t="inlineStr">
        <is>
          <t>Santa Rosa</t>
        </is>
      </c>
      <c r="I1595" s="27" t="n">
        <v>20.763208</v>
      </c>
      <c r="J1595" s="27" t="n">
        <v>121.832914</v>
      </c>
      <c r="K1595" s="10" t="inlineStr">
        <is>
          <t>R</t>
        </is>
      </c>
      <c r="L1595" s="12" t="n">
        <v>838</v>
      </c>
      <c r="M1595" s="14" t="n">
        <v>3</v>
      </c>
      <c r="N1595" s="12">
        <f>ROUND(L1595/M1595, 0)</f>
        <v/>
      </c>
      <c r="O1595" s="12">
        <f>ROUND(N1595*'Methodology &amp; Assumptions'!$B$5, 0)</f>
        <v/>
      </c>
      <c r="P1595" s="10" t="inlineStr">
        <is>
          <t>Single Carrier (Band n50, 100MHz TDD)</t>
        </is>
      </c>
      <c r="Q1595" s="13">
        <f>ROUNDUP(O1595/'Methodology &amp; Assumptions'!$B$6, 0)</f>
        <v/>
      </c>
      <c r="R1595" s="13" t="n">
        <v>1</v>
      </c>
      <c r="S1595" s="14" t="n">
        <v>999</v>
      </c>
      <c r="T1595" s="14" t="n">
        <v>999</v>
      </c>
      <c r="U1595" s="26">
        <f>IF(X1595&gt;='Methodology &amp; Assumptions'!$B$7, "Tier 1 Critical GIDA (Score ≥ 50.0)", IF(X1595&gt;='Methodology &amp; Assumptions'!$B$8, "Tier 2 High GIDA (Score 40.0–49.9)", "Tier 3 Moderate GIDA (Score &lt; 40.0)"))</f>
        <v/>
      </c>
      <c r="V1595" s="26">
        <f>IF(S1595&lt;='Methodology &amp; Assumptions'!$B$10, "Direct Optical Drop (&lt;3km)", IF(S1595&lt;='Methodology &amp; Assumptions'!$B$9, "Near Optical / Microwave (&lt;5km)", "Starlink Business LEO Satellite Backhaul (&gt;5km)"))</f>
        <v/>
      </c>
      <c r="W1595" s="28" t="n">
        <v>0.083</v>
      </c>
      <c r="X1595" s="14" t="n">
        <v>42.43</v>
      </c>
      <c r="Y1595" s="14">
        <f>ROUND(MIN(100, (X1595/69.91)*100), 2)</f>
        <v/>
      </c>
    </row>
    <row r="1596">
      <c r="A1596" s="10" t="n">
        <v>5</v>
      </c>
      <c r="B1596" s="10" t="n">
        <v>592</v>
      </c>
      <c r="C1596" s="10" t="n">
        <v>4592</v>
      </c>
      <c r="D1596" s="10" t="inlineStr">
        <is>
          <t>0402104011</t>
        </is>
      </c>
      <c r="E1596" s="26" t="inlineStr">
        <is>
          <t>Region IV-A (CALABARZON)</t>
        </is>
      </c>
      <c r="F1596" s="26" t="inlineStr">
        <is>
          <t>Cavite</t>
        </is>
      </c>
      <c r="G1596" s="26" t="inlineStr">
        <is>
          <t>Carmona</t>
        </is>
      </c>
      <c r="H1596" s="26" t="inlineStr">
        <is>
          <t>Milagrosa</t>
        </is>
      </c>
      <c r="I1596" s="27" t="n">
        <v>14.308333</v>
      </c>
      <c r="J1596" s="27" t="n">
        <v>121.049444</v>
      </c>
      <c r="K1596" s="10" t="inlineStr">
        <is>
          <t>U</t>
        </is>
      </c>
      <c r="L1596" s="12" t="n">
        <v>25103</v>
      </c>
      <c r="M1596" s="14" t="n">
        <v>3.4</v>
      </c>
      <c r="N1596" s="12">
        <f>ROUND(L1596/M1596, 0)</f>
        <v/>
      </c>
      <c r="O1596" s="12">
        <f>ROUND(N1596*'Methodology &amp; Assumptions'!$B$5, 0)</f>
        <v/>
      </c>
      <c r="P1596" s="10" t="inlineStr">
        <is>
          <t>Single Carrier (Band n50, 100MHz TDD)</t>
        </is>
      </c>
      <c r="Q1596" s="13">
        <f>ROUNDUP(O1596/'Methodology &amp; Assumptions'!$B$6, 0)</f>
        <v/>
      </c>
      <c r="R1596" s="13" t="n">
        <v>1</v>
      </c>
      <c r="S1596" s="14" t="n">
        <v>0.29</v>
      </c>
      <c r="T1596" s="14" t="n">
        <v>0.29</v>
      </c>
      <c r="U1596" s="26">
        <f>IF(X1596&gt;='Methodology &amp; Assumptions'!$B$7, "Tier 1 Critical GIDA (Score ≥ 50.0)", IF(X1596&gt;='Methodology &amp; Assumptions'!$B$8, "Tier 2 High GIDA (Score 40.0–49.9)", "Tier 3 Moderate GIDA (Score &lt; 40.0)"))</f>
        <v/>
      </c>
      <c r="V1596" s="26">
        <f>IF(S1596&lt;='Methodology &amp; Assumptions'!$B$10, "Direct Optical Drop (&lt;3km)", IF(S1596&lt;='Methodology &amp; Assumptions'!$B$9, "Near Optical / Microwave (&lt;5km)", "Starlink Business LEO Satellite Backhaul (&gt;5km)"))</f>
        <v/>
      </c>
      <c r="W1596" s="28" t="n">
        <v>0.07200000000000001</v>
      </c>
      <c r="X1596" s="14" t="n">
        <v>42.42</v>
      </c>
      <c r="Y1596" s="14">
        <f>ROUND(MIN(100, (X1596/69.91)*100), 2)</f>
        <v/>
      </c>
    </row>
    <row r="1597">
      <c r="A1597" s="10" t="n">
        <v>5</v>
      </c>
      <c r="B1597" s="10" t="n">
        <v>593</v>
      </c>
      <c r="C1597" s="10" t="n">
        <v>4593</v>
      </c>
      <c r="D1597" s="10" t="inlineStr">
        <is>
          <t>1907002025</t>
        </is>
      </c>
      <c r="E1597" s="26" t="inlineStr">
        <is>
          <t>Bangsamoro Autonomous Region In Muslim Mindanao (BARMM)</t>
        </is>
      </c>
      <c r="F1597" s="26" t="inlineStr">
        <is>
          <t>Tawi-Tawi</t>
        </is>
      </c>
      <c r="G1597" s="26" t="inlineStr">
        <is>
          <t>Bongao</t>
        </is>
      </c>
      <c r="H1597" s="26" t="inlineStr">
        <is>
          <t>Paniongan</t>
        </is>
      </c>
      <c r="I1597" s="27" t="n">
        <v>14.48766</v>
      </c>
      <c r="J1597" s="27" t="n">
        <v>121.674099</v>
      </c>
      <c r="K1597" s="10" t="inlineStr">
        <is>
          <t>R</t>
        </is>
      </c>
      <c r="L1597" s="12" t="n">
        <v>1210</v>
      </c>
      <c r="M1597" s="14" t="n">
        <v>5.8</v>
      </c>
      <c r="N1597" s="12">
        <f>ROUND(L1597/M1597, 0)</f>
        <v/>
      </c>
      <c r="O1597" s="12">
        <f>ROUND(N1597*'Methodology &amp; Assumptions'!$B$5, 0)</f>
        <v/>
      </c>
      <c r="P1597" s="10" t="inlineStr">
        <is>
          <t>Single Carrier (Band n50, 100MHz TDD)</t>
        </is>
      </c>
      <c r="Q1597" s="13">
        <f>ROUNDUP(O1597/'Methodology &amp; Assumptions'!$B$6, 0)</f>
        <v/>
      </c>
      <c r="R1597" s="13" t="n">
        <v>1</v>
      </c>
      <c r="S1597" s="14" t="n">
        <v>5.26</v>
      </c>
      <c r="T1597" s="14" t="n">
        <v>23.51</v>
      </c>
      <c r="U1597" s="26">
        <f>IF(X1597&gt;='Methodology &amp; Assumptions'!$B$7, "Tier 1 Critical GIDA (Score ≥ 50.0)", IF(X1597&gt;='Methodology &amp; Assumptions'!$B$8, "Tier 2 High GIDA (Score 40.0–49.9)", "Tier 3 Moderate GIDA (Score &lt; 40.0)"))</f>
        <v/>
      </c>
      <c r="V1597" s="26">
        <f>IF(S1597&lt;='Methodology &amp; Assumptions'!$B$10, "Direct Optical Drop (&lt;3km)", IF(S1597&lt;='Methodology &amp; Assumptions'!$B$9, "Near Optical / Microwave (&lt;5km)", "Starlink Business LEO Satellite Backhaul (&gt;5km)"))</f>
        <v/>
      </c>
      <c r="W1597" s="28" t="n">
        <v>0.11</v>
      </c>
      <c r="X1597" s="14" t="n">
        <v>42.42</v>
      </c>
      <c r="Y1597" s="14">
        <f>ROUND(MIN(100, (X1597/69.91)*100), 2)</f>
        <v/>
      </c>
    </row>
    <row r="1598">
      <c r="A1598" s="10" t="n">
        <v>5</v>
      </c>
      <c r="B1598" s="10" t="n">
        <v>594</v>
      </c>
      <c r="C1598" s="10" t="n">
        <v>4594</v>
      </c>
      <c r="D1598" s="10" t="inlineStr">
        <is>
          <t>0402123007</t>
        </is>
      </c>
      <c r="E1598" s="26" t="inlineStr">
        <is>
          <t>Region IV-A (CALABARZON)</t>
        </is>
      </c>
      <c r="F1598" s="26" t="inlineStr">
        <is>
          <t>Cavite</t>
        </is>
      </c>
      <c r="G1598" s="26" t="inlineStr">
        <is>
          <t>Gen. Mariano Alvarez</t>
        </is>
      </c>
      <c r="H1598" s="26" t="inlineStr">
        <is>
          <t>Benjamin Tirona</t>
        </is>
      </c>
      <c r="I1598" s="27" t="n">
        <v>14.292647</v>
      </c>
      <c r="J1598" s="27" t="n">
        <v>121.021489</v>
      </c>
      <c r="K1598" s="10" t="inlineStr">
        <is>
          <t>R</t>
        </is>
      </c>
      <c r="L1598" s="12" t="n">
        <v>3078</v>
      </c>
      <c r="M1598" s="14" t="n">
        <v>3.4</v>
      </c>
      <c r="N1598" s="12">
        <f>ROUND(L1598/M1598, 0)</f>
        <v/>
      </c>
      <c r="O1598" s="12">
        <f>ROUND(N1598*'Methodology &amp; Assumptions'!$B$5, 0)</f>
        <v/>
      </c>
      <c r="P1598" s="10" t="inlineStr">
        <is>
          <t>Single Carrier (Band n50, 100MHz TDD)</t>
        </is>
      </c>
      <c r="Q1598" s="13">
        <f>ROUNDUP(O1598/'Methodology &amp; Assumptions'!$B$6, 0)</f>
        <v/>
      </c>
      <c r="R1598" s="13" t="n">
        <v>1</v>
      </c>
      <c r="S1598" s="14" t="n">
        <v>2.38</v>
      </c>
      <c r="T1598" s="14" t="n">
        <v>3.69</v>
      </c>
      <c r="U1598" s="26">
        <f>IF(X1598&gt;='Methodology &amp; Assumptions'!$B$7, "Tier 1 Critical GIDA (Score ≥ 50.0)", IF(X1598&gt;='Methodology &amp; Assumptions'!$B$8, "Tier 2 High GIDA (Score 40.0–49.9)", "Tier 3 Moderate GIDA (Score &lt; 40.0)"))</f>
        <v/>
      </c>
      <c r="V1598" s="26">
        <f>IF(S1598&lt;='Methodology &amp; Assumptions'!$B$10, "Direct Optical Drop (&lt;3km)", IF(S1598&lt;='Methodology &amp; Assumptions'!$B$9, "Near Optical / Microwave (&lt;5km)", "Starlink Business LEO Satellite Backhaul (&gt;5km)"))</f>
        <v/>
      </c>
      <c r="W1598" s="28" t="n">
        <v>0.07200000000000001</v>
      </c>
      <c r="X1598" s="14" t="n">
        <v>42.42</v>
      </c>
      <c r="Y1598" s="14">
        <f>ROUND(MIN(100, (X1598/69.91)*100), 2)</f>
        <v/>
      </c>
    </row>
    <row r="1599">
      <c r="A1599" s="10" t="n">
        <v>5</v>
      </c>
      <c r="B1599" s="10" t="n">
        <v>595</v>
      </c>
      <c r="C1599" s="10" t="n">
        <v>4595</v>
      </c>
      <c r="D1599" s="10" t="inlineStr">
        <is>
          <t>PH0004595</t>
        </is>
      </c>
      <c r="E1599" s="26" t="inlineStr">
        <is>
          <t>VII</t>
        </is>
      </c>
      <c r="F1599" s="26" t="inlineStr">
        <is>
          <t>Cebu</t>
        </is>
      </c>
      <c r="G1599" s="26" t="inlineStr">
        <is>
          <t>Lapu-Lapu City (Opon)</t>
        </is>
      </c>
      <c r="H1599" s="26" t="inlineStr">
        <is>
          <t>Basak</t>
        </is>
      </c>
      <c r="I1599" s="27" t="n">
        <v>10.296039</v>
      </c>
      <c r="J1599" s="27" t="n">
        <v>123.962697</v>
      </c>
      <c r="K1599" s="10" t="inlineStr">
        <is>
          <t>R</t>
        </is>
      </c>
      <c r="L1599" s="12" t="n">
        <v>2250</v>
      </c>
      <c r="M1599" s="14" t="n">
        <v>3.8</v>
      </c>
      <c r="N1599" s="12">
        <f>ROUND(L1599/M1599, 0)</f>
        <v/>
      </c>
      <c r="O1599" s="12">
        <f>ROUND(N1599*'Methodology &amp; Assumptions'!$B$5, 0)</f>
        <v/>
      </c>
      <c r="P1599" s="10" t="inlineStr">
        <is>
          <t>Single Carrier (Band n50, 100MHz TDD)</t>
        </is>
      </c>
      <c r="Q1599" s="13">
        <f>ROUNDUP(O1599/'Methodology &amp; Assumptions'!$B$6, 0)</f>
        <v/>
      </c>
      <c r="R1599" s="13" t="n">
        <v>1</v>
      </c>
      <c r="S1599" s="14" t="n">
        <v>1.9</v>
      </c>
      <c r="T1599" s="14" t="n">
        <v>5.01</v>
      </c>
      <c r="U1599" s="26">
        <f>IF(X1599&gt;='Methodology &amp; Assumptions'!$B$7, "Tier 1 Critical GIDA (Score ≥ 50.0)", IF(X1599&gt;='Methodology &amp; Assumptions'!$B$8, "Tier 2 High GIDA (Score 40.0–49.9)", "Tier 3 Moderate GIDA (Score &lt; 40.0)"))</f>
        <v/>
      </c>
      <c r="V1599" s="26">
        <f>IF(S1599&lt;='Methodology &amp; Assumptions'!$B$10, "Direct Optical Drop (&lt;3km)", IF(S1599&lt;='Methodology &amp; Assumptions'!$B$9, "Near Optical / Microwave (&lt;5km)", "Starlink Business LEO Satellite Backhaul (&gt;5km)"))</f>
        <v/>
      </c>
      <c r="W1599" s="28" t="n">
        <v>0.21</v>
      </c>
      <c r="X1599" s="14" t="n">
        <v>42.41</v>
      </c>
      <c r="Y1599" s="14">
        <f>ROUND(MIN(100, (X1599/69.91)*100), 2)</f>
        <v/>
      </c>
    </row>
    <row r="1600">
      <c r="A1600" s="10" t="n">
        <v>5</v>
      </c>
      <c r="B1600" s="10" t="n">
        <v>596</v>
      </c>
      <c r="C1600" s="10" t="n">
        <v>4596</v>
      </c>
      <c r="D1600" s="10" t="inlineStr">
        <is>
          <t>0201529035</t>
        </is>
      </c>
      <c r="E1600" s="26" t="inlineStr">
        <is>
          <t>Region II (Cagayan Valley)</t>
        </is>
      </c>
      <c r="F1600" s="26" t="inlineStr">
        <is>
          <t>Cagayan</t>
        </is>
      </c>
      <c r="G1600" s="26" t="inlineStr">
        <is>
          <t>Tuguegarao City</t>
        </is>
      </c>
      <c r="H1600" s="26" t="inlineStr">
        <is>
          <t>Centro 2</t>
        </is>
      </c>
      <c r="I1600" s="27" t="n">
        <v>17.625875</v>
      </c>
      <c r="J1600" s="27" t="n">
        <v>121.72615</v>
      </c>
      <c r="K1600" s="10" t="inlineStr">
        <is>
          <t>U</t>
        </is>
      </c>
      <c r="L1600" s="12" t="n">
        <v>609</v>
      </c>
      <c r="M1600" s="14" t="n">
        <v>3.9</v>
      </c>
      <c r="N1600" s="12">
        <f>ROUND(L1600/M1600, 0)</f>
        <v/>
      </c>
      <c r="O1600" s="12">
        <f>ROUND(N1600*'Methodology &amp; Assumptions'!$B$5, 0)</f>
        <v/>
      </c>
      <c r="P1600" s="10" t="inlineStr">
        <is>
          <t>Single Carrier (Band n50, 100MHz TDD)</t>
        </is>
      </c>
      <c r="Q1600" s="13">
        <f>ROUNDUP(O1600/'Methodology &amp; Assumptions'!$B$6, 0)</f>
        <v/>
      </c>
      <c r="R1600" s="13" t="n">
        <v>1</v>
      </c>
      <c r="S1600" s="14" t="n">
        <v>3.61</v>
      </c>
      <c r="T1600" s="14" t="n">
        <v>0.17</v>
      </c>
      <c r="U1600" s="26">
        <f>IF(X1600&gt;='Methodology &amp; Assumptions'!$B$7, "Tier 1 Critical GIDA (Score ≥ 50.0)", IF(X1600&gt;='Methodology &amp; Assumptions'!$B$8, "Tier 2 High GIDA (Score 40.0–49.9)", "Tier 3 Moderate GIDA (Score &lt; 40.0)"))</f>
        <v/>
      </c>
      <c r="V1600" s="26">
        <f>IF(S1600&lt;='Methodology &amp; Assumptions'!$B$10, "Direct Optical Drop (&lt;3km)", IF(S1600&lt;='Methodology &amp; Assumptions'!$B$9, "Near Optical / Microwave (&lt;5km)", "Starlink Business LEO Satellite Backhaul (&gt;5km)"))</f>
        <v/>
      </c>
      <c r="W1600" s="28" t="n">
        <v>0.083</v>
      </c>
      <c r="X1600" s="14" t="n">
        <v>42.41</v>
      </c>
      <c r="Y1600" s="14">
        <f>ROUND(MIN(100, (X1600/69.91)*100), 2)</f>
        <v/>
      </c>
    </row>
    <row r="1601">
      <c r="A1601" s="10" t="n">
        <v>5</v>
      </c>
      <c r="B1601" s="10" t="n">
        <v>597</v>
      </c>
      <c r="C1601" s="10" t="n">
        <v>4597</v>
      </c>
      <c r="D1601" s="10" t="inlineStr">
        <is>
          <t>1408102018</t>
        </is>
      </c>
      <c r="E1601" s="26" t="inlineStr">
        <is>
          <t>Cordillera Administrative Region (CAR)</t>
        </is>
      </c>
      <c r="F1601" s="26" t="inlineStr">
        <is>
          <t>Apayao</t>
        </is>
      </c>
      <c r="G1601" s="26" t="inlineStr">
        <is>
          <t>Conner</t>
        </is>
      </c>
      <c r="H1601" s="26" t="inlineStr">
        <is>
          <t>Banban</t>
        </is>
      </c>
      <c r="I1601" s="27" t="n">
        <v>17.704346</v>
      </c>
      <c r="J1601" s="27" t="n">
        <v>121.392261</v>
      </c>
      <c r="K1601" s="10" t="inlineStr">
        <is>
          <t>R</t>
        </is>
      </c>
      <c r="L1601" s="12" t="n">
        <v>1199</v>
      </c>
      <c r="M1601" s="14" t="n">
        <v>4.2</v>
      </c>
      <c r="N1601" s="12">
        <f>ROUND(L1601/M1601, 0)</f>
        <v/>
      </c>
      <c r="O1601" s="12">
        <f>ROUND(N1601*'Methodology &amp; Assumptions'!$B$5, 0)</f>
        <v/>
      </c>
      <c r="P1601" s="10" t="inlineStr">
        <is>
          <t>Single Carrier (Band n50, 100MHz TDD)</t>
        </is>
      </c>
      <c r="Q1601" s="13">
        <f>ROUNDUP(O1601/'Methodology &amp; Assumptions'!$B$6, 0)</f>
        <v/>
      </c>
      <c r="R1601" s="13" t="n">
        <v>1</v>
      </c>
      <c r="S1601" s="14" t="n">
        <v>6.6</v>
      </c>
      <c r="T1601" s="14" t="n">
        <v>3.68</v>
      </c>
      <c r="U1601" s="26">
        <f>IF(X1601&gt;='Methodology &amp; Assumptions'!$B$7, "Tier 1 Critical GIDA (Score ≥ 50.0)", IF(X1601&gt;='Methodology &amp; Assumptions'!$B$8, "Tier 2 High GIDA (Score 40.0–49.9)", "Tier 3 Moderate GIDA (Score &lt; 40.0)"))</f>
        <v/>
      </c>
      <c r="V1601" s="26">
        <f>IF(S1601&lt;='Methodology &amp; Assumptions'!$B$10, "Direct Optical Drop (&lt;3km)", IF(S1601&lt;='Methodology &amp; Assumptions'!$B$9, "Near Optical / Microwave (&lt;5km)", "Starlink Business LEO Satellite Backhaul (&gt;5km)"))</f>
        <v/>
      </c>
      <c r="W1601" s="28" t="n">
        <v>0.109</v>
      </c>
      <c r="X1601" s="14" t="n">
        <v>42.41</v>
      </c>
      <c r="Y1601" s="14">
        <f>ROUND(MIN(100, (X1601/69.91)*100), 2)</f>
        <v/>
      </c>
    </row>
    <row r="1602">
      <c r="A1602" s="10" t="n">
        <v>5</v>
      </c>
      <c r="B1602" s="10" t="n">
        <v>598</v>
      </c>
      <c r="C1602" s="10" t="n">
        <v>4598</v>
      </c>
      <c r="D1602" s="10" t="inlineStr">
        <is>
          <t>1102414015</t>
        </is>
      </c>
      <c r="E1602" s="26" t="inlineStr">
        <is>
          <t>Region XI (Davao Region)</t>
        </is>
      </c>
      <c r="F1602" s="26" t="inlineStr">
        <is>
          <t>Davao del Sur</t>
        </is>
      </c>
      <c r="G1602" s="26" t="inlineStr">
        <is>
          <t>Sulop</t>
        </is>
      </c>
      <c r="H1602" s="26" t="inlineStr">
        <is>
          <t>Osmeña</t>
        </is>
      </c>
      <c r="I1602" s="27" t="n">
        <v>6.583242</v>
      </c>
      <c r="J1602" s="27" t="n">
        <v>125.314446</v>
      </c>
      <c r="K1602" s="10" t="inlineStr">
        <is>
          <t>R</t>
        </is>
      </c>
      <c r="L1602" s="12" t="n">
        <v>631</v>
      </c>
      <c r="M1602" s="14" t="n">
        <v>3.4</v>
      </c>
      <c r="N1602" s="12">
        <f>ROUND(L1602/M1602, 0)</f>
        <v/>
      </c>
      <c r="O1602" s="12">
        <f>ROUND(N1602*'Methodology &amp; Assumptions'!$B$5, 0)</f>
        <v/>
      </c>
      <c r="P1602" s="10" t="inlineStr">
        <is>
          <t>Single Carrier (Band n50, 100MHz TDD)</t>
        </is>
      </c>
      <c r="Q1602" s="13">
        <f>ROUNDUP(O1602/'Methodology &amp; Assumptions'!$B$6, 0)</f>
        <v/>
      </c>
      <c r="R1602" s="13" t="n">
        <v>1</v>
      </c>
      <c r="S1602" s="14" t="n">
        <v>3.68</v>
      </c>
      <c r="T1602" s="14" t="n">
        <v>3.7</v>
      </c>
      <c r="U1602" s="26">
        <f>IF(X1602&gt;='Methodology &amp; Assumptions'!$B$7, "Tier 1 Critical GIDA (Score ≥ 50.0)", IF(X1602&gt;='Methodology &amp; Assumptions'!$B$8, "Tier 2 High GIDA (Score 40.0–49.9)", "Tier 3 Moderate GIDA (Score &lt; 40.0)"))</f>
        <v/>
      </c>
      <c r="V1602" s="26">
        <f>IF(S1602&lt;='Methodology &amp; Assumptions'!$B$10, "Direct Optical Drop (&lt;3km)", IF(S1602&lt;='Methodology &amp; Assumptions'!$B$9, "Near Optical / Microwave (&lt;5km)", "Starlink Business LEO Satellite Backhaul (&gt;5km)"))</f>
        <v/>
      </c>
      <c r="W1602" s="28" t="n">
        <v>0.174</v>
      </c>
      <c r="X1602" s="14" t="n">
        <v>42.41</v>
      </c>
      <c r="Y1602" s="14">
        <f>ROUND(MIN(100, (X1602/69.91)*100), 2)</f>
        <v/>
      </c>
    </row>
    <row r="1603">
      <c r="A1603" s="10" t="n">
        <v>5</v>
      </c>
      <c r="B1603" s="10" t="n">
        <v>599</v>
      </c>
      <c r="C1603" s="10" t="n">
        <v>4599</v>
      </c>
      <c r="D1603" s="10" t="inlineStr">
        <is>
          <t>0102916006</t>
        </is>
      </c>
      <c r="E1603" s="26" t="inlineStr">
        <is>
          <t>Region I (Ilocos Region)</t>
        </is>
      </c>
      <c r="F1603" s="26" t="inlineStr">
        <is>
          <t>Ilocos Sur</t>
        </is>
      </c>
      <c r="G1603" s="26" t="inlineStr">
        <is>
          <t>Salcedo</t>
        </is>
      </c>
      <c r="H1603" s="26" t="inlineStr">
        <is>
          <t>Boguibog</t>
        </is>
      </c>
      <c r="I1603" s="27" t="n">
        <v>17.076669</v>
      </c>
      <c r="J1603" s="27" t="n">
        <v>120.533573</v>
      </c>
      <c r="K1603" s="10" t="inlineStr">
        <is>
          <t>R</t>
        </is>
      </c>
      <c r="L1603" s="12" t="n">
        <v>660</v>
      </c>
      <c r="M1603" s="14" t="n">
        <v>3.8</v>
      </c>
      <c r="N1603" s="12">
        <f>ROUND(L1603/M1603, 0)</f>
        <v/>
      </c>
      <c r="O1603" s="12">
        <f>ROUND(N1603*'Methodology &amp; Assumptions'!$B$5, 0)</f>
        <v/>
      </c>
      <c r="P1603" s="10" t="inlineStr">
        <is>
          <t>Single Carrier (Band n50, 100MHz TDD)</t>
        </is>
      </c>
      <c r="Q1603" s="13">
        <f>ROUNDUP(O1603/'Methodology &amp; Assumptions'!$B$6, 0)</f>
        <v/>
      </c>
      <c r="R1603" s="13" t="n">
        <v>1</v>
      </c>
      <c r="S1603" s="14" t="n">
        <v>8.140000000000001</v>
      </c>
      <c r="T1603" s="14" t="n">
        <v>8.050000000000001</v>
      </c>
      <c r="U1603" s="26">
        <f>IF(X1603&gt;='Methodology &amp; Assumptions'!$B$7, "Tier 1 Critical GIDA (Score ≥ 50.0)", IF(X1603&gt;='Methodology &amp; Assumptions'!$B$8, "Tier 2 High GIDA (Score 40.0–49.9)", "Tier 3 Moderate GIDA (Score &lt; 40.0)"))</f>
        <v/>
      </c>
      <c r="V1603" s="26">
        <f>IF(S1603&lt;='Methodology &amp; Assumptions'!$B$10, "Direct Optical Drop (&lt;3km)", IF(S1603&lt;='Methodology &amp; Assumptions'!$B$9, "Near Optical / Microwave (&lt;5km)", "Starlink Business LEO Satellite Backhaul (&gt;5km)"))</f>
        <v/>
      </c>
      <c r="W1603" s="28" t="n">
        <v>0.083</v>
      </c>
      <c r="X1603" s="14" t="n">
        <v>42.4</v>
      </c>
      <c r="Y1603" s="14">
        <f>ROUND(MIN(100, (X1603/69.91)*100), 2)</f>
        <v/>
      </c>
    </row>
    <row r="1604">
      <c r="A1604" s="10" t="n">
        <v>5</v>
      </c>
      <c r="B1604" s="10" t="n">
        <v>600</v>
      </c>
      <c r="C1604" s="10" t="n">
        <v>4600</v>
      </c>
      <c r="D1604" s="10" t="inlineStr">
        <is>
          <t>0201508023</t>
        </is>
      </c>
      <c r="E1604" s="26" t="inlineStr">
        <is>
          <t>Region II (Cagayan Valley)</t>
        </is>
      </c>
      <c r="F1604" s="26" t="inlineStr">
        <is>
          <t>Cagayan</t>
        </is>
      </c>
      <c r="G1604" s="26" t="inlineStr">
        <is>
          <t>Buguey</t>
        </is>
      </c>
      <c r="H1604" s="26" t="inlineStr">
        <is>
          <t>Tabbac</t>
        </is>
      </c>
      <c r="I1604" s="27" t="n">
        <v>18.230653</v>
      </c>
      <c r="J1604" s="27" t="n">
        <v>121.799171</v>
      </c>
      <c r="K1604" s="10" t="inlineStr">
        <is>
          <t>R</t>
        </is>
      </c>
      <c r="L1604" s="12" t="n">
        <v>1146</v>
      </c>
      <c r="M1604" s="14" t="n">
        <v>3.9</v>
      </c>
      <c r="N1604" s="12">
        <f>ROUND(L1604/M1604, 0)</f>
        <v/>
      </c>
      <c r="O1604" s="12">
        <f>ROUND(N1604*'Methodology &amp; Assumptions'!$B$5, 0)</f>
        <v/>
      </c>
      <c r="P1604" s="10" t="inlineStr">
        <is>
          <t>Single Carrier (Band n50, 100MHz TDD)</t>
        </is>
      </c>
      <c r="Q1604" s="13">
        <f>ROUNDUP(O1604/'Methodology &amp; Assumptions'!$B$6, 0)</f>
        <v/>
      </c>
      <c r="R1604" s="13" t="n">
        <v>1</v>
      </c>
      <c r="S1604" s="14" t="n">
        <v>2.83</v>
      </c>
      <c r="T1604" s="14" t="n">
        <v>2.38</v>
      </c>
      <c r="U1604" s="26">
        <f>IF(X1604&gt;='Methodology &amp; Assumptions'!$B$7, "Tier 1 Critical GIDA (Score ≥ 50.0)", IF(X1604&gt;='Methodology &amp; Assumptions'!$B$8, "Tier 2 High GIDA (Score 40.0–49.9)", "Tier 3 Moderate GIDA (Score &lt; 40.0)"))</f>
        <v/>
      </c>
      <c r="V1604" s="26">
        <f>IF(S1604&lt;='Methodology &amp; Assumptions'!$B$10, "Direct Optical Drop (&lt;3km)", IF(S1604&lt;='Methodology &amp; Assumptions'!$B$9, "Near Optical / Microwave (&lt;5km)", "Starlink Business LEO Satellite Backhaul (&gt;5km)"))</f>
        <v/>
      </c>
      <c r="W1604" s="28" t="n">
        <v>0.083</v>
      </c>
      <c r="X1604" s="14" t="n">
        <v>42.39</v>
      </c>
      <c r="Y1604" s="14">
        <f>ROUND(MIN(100, (X1604/69.91)*100), 2)</f>
        <v/>
      </c>
    </row>
    <row r="1605">
      <c r="A1605" s="10" t="n">
        <v>5</v>
      </c>
      <c r="B1605" s="10" t="n">
        <v>601</v>
      </c>
      <c r="C1605" s="10" t="n">
        <v>4601</v>
      </c>
      <c r="D1605" s="10" t="inlineStr">
        <is>
          <t>1908806003</t>
        </is>
      </c>
      <c r="E1605" s="26" t="inlineStr">
        <is>
          <t>Bangsamoro Autonomous Region In Muslim Mindanao (BARMM)</t>
        </is>
      </c>
      <c r="F1605" s="26" t="inlineStr">
        <is>
          <t>Maguindanao del Sur</t>
        </is>
      </c>
      <c r="G1605" s="26" t="inlineStr">
        <is>
          <t>Datu Paglas</t>
        </is>
      </c>
      <c r="H1605" s="26" t="inlineStr">
        <is>
          <t>Bulod</t>
        </is>
      </c>
      <c r="I1605" s="27" t="n">
        <v>17.255125</v>
      </c>
      <c r="J1605" s="27" t="n">
        <v>122.229169</v>
      </c>
      <c r="K1605" s="10" t="inlineStr">
        <is>
          <t>R</t>
        </is>
      </c>
      <c r="L1605" s="12" t="n">
        <v>1281</v>
      </c>
      <c r="M1605" s="14" t="n">
        <v>4.7</v>
      </c>
      <c r="N1605" s="12">
        <f>ROUND(L1605/M1605, 0)</f>
        <v/>
      </c>
      <c r="O1605" s="12">
        <f>ROUND(N1605*'Methodology &amp; Assumptions'!$B$5, 0)</f>
        <v/>
      </c>
      <c r="P1605" s="10" t="inlineStr">
        <is>
          <t>Single Carrier (Band n50, 100MHz TDD)</t>
        </is>
      </c>
      <c r="Q1605" s="13">
        <f>ROUNDUP(O1605/'Methodology &amp; Assumptions'!$B$6, 0)</f>
        <v/>
      </c>
      <c r="R1605" s="13" t="n">
        <v>1</v>
      </c>
      <c r="S1605" s="14" t="n">
        <v>29.46</v>
      </c>
      <c r="T1605" s="14" t="n">
        <v>34.34</v>
      </c>
      <c r="U1605" s="26">
        <f>IF(X1605&gt;='Methodology &amp; Assumptions'!$B$7, "Tier 1 Critical GIDA (Score ≥ 50.0)", IF(X1605&gt;='Methodology &amp; Assumptions'!$B$8, "Tier 2 High GIDA (Score 40.0–49.9)", "Tier 3 Moderate GIDA (Score &lt; 40.0)"))</f>
        <v/>
      </c>
      <c r="V1605" s="26">
        <f>IF(S1605&lt;='Methodology &amp; Assumptions'!$B$10, "Direct Optical Drop (&lt;3km)", IF(S1605&lt;='Methodology &amp; Assumptions'!$B$9, "Near Optical / Microwave (&lt;5km)", "Starlink Business LEO Satellite Backhaul (&gt;5km)"))</f>
        <v/>
      </c>
      <c r="W1605" s="28" t="n">
        <v>0.11</v>
      </c>
      <c r="X1605" s="14" t="n">
        <v>42.38</v>
      </c>
      <c r="Y1605" s="14">
        <f>ROUND(MIN(100, (X1605/69.91)*100), 2)</f>
        <v/>
      </c>
    </row>
    <row r="1606">
      <c r="A1606" s="10" t="n">
        <v>5</v>
      </c>
      <c r="B1606" s="10" t="n">
        <v>602</v>
      </c>
      <c r="C1606" s="10" t="n">
        <v>4602</v>
      </c>
      <c r="D1606" s="10" t="inlineStr">
        <is>
          <t>PH0004602</t>
        </is>
      </c>
      <c r="E1606" s="26" t="inlineStr">
        <is>
          <t>IV-A</t>
        </is>
      </c>
      <c r="F1606" s="26" t="inlineStr">
        <is>
          <t>Cavite</t>
        </is>
      </c>
      <c r="G1606" s="26" t="inlineStr">
        <is>
          <t>Cavite City</t>
        </is>
      </c>
      <c r="H1606" s="26" t="inlineStr">
        <is>
          <t>Barangay 47</t>
        </is>
      </c>
      <c r="I1606" s="27" t="n">
        <v>14.514524</v>
      </c>
      <c r="J1606" s="27" t="n">
        <v>120.879965</v>
      </c>
      <c r="K1606" s="10" t="inlineStr">
        <is>
          <t>R</t>
        </is>
      </c>
      <c r="L1606" s="12" t="n">
        <v>2316</v>
      </c>
      <c r="M1606" s="14" t="n">
        <v>3.4</v>
      </c>
      <c r="N1606" s="12">
        <f>ROUND(L1606/M1606, 0)</f>
        <v/>
      </c>
      <c r="O1606" s="12">
        <f>ROUND(N1606*'Methodology &amp; Assumptions'!$B$5, 0)</f>
        <v/>
      </c>
      <c r="P1606" s="10" t="inlineStr">
        <is>
          <t>Single Carrier (Band n50, 100MHz TDD)</t>
        </is>
      </c>
      <c r="Q1606" s="13">
        <f>ROUNDUP(O1606/'Methodology &amp; Assumptions'!$B$6, 0)</f>
        <v/>
      </c>
      <c r="R1606" s="13" t="n">
        <v>1</v>
      </c>
      <c r="S1606" s="14" t="n">
        <v>4.49</v>
      </c>
      <c r="T1606" s="14" t="n">
        <v>8.41</v>
      </c>
      <c r="U1606" s="26">
        <f>IF(X1606&gt;='Methodology &amp; Assumptions'!$B$7, "Tier 1 Critical GIDA (Score ≥ 50.0)", IF(X1606&gt;='Methodology &amp; Assumptions'!$B$8, "Tier 2 High GIDA (Score 40.0–49.9)", "Tier 3 Moderate GIDA (Score &lt; 40.0)"))</f>
        <v/>
      </c>
      <c r="V1606" s="26">
        <f>IF(S1606&lt;='Methodology &amp; Assumptions'!$B$10, "Direct Optical Drop (&lt;3km)", IF(S1606&lt;='Methodology &amp; Assumptions'!$B$9, "Near Optical / Microwave (&lt;5km)", "Starlink Business LEO Satellite Backhaul (&gt;5km)"))</f>
        <v/>
      </c>
      <c r="W1606" s="28" t="n">
        <v>0.07200000000000001</v>
      </c>
      <c r="X1606" s="14" t="n">
        <v>42.38</v>
      </c>
      <c r="Y1606" s="14">
        <f>ROUND(MIN(100, (X1606/69.91)*100), 2)</f>
        <v/>
      </c>
    </row>
    <row r="1607">
      <c r="A1607" s="10" t="n">
        <v>5</v>
      </c>
      <c r="B1607" s="10" t="n">
        <v>603</v>
      </c>
      <c r="C1607" s="10" t="n">
        <v>4603</v>
      </c>
      <c r="D1607" s="10" t="inlineStr">
        <is>
          <t>PH0004603</t>
        </is>
      </c>
      <c r="E1607" s="26" t="inlineStr">
        <is>
          <t>CAR</t>
        </is>
      </c>
      <c r="F1607" s="26" t="inlineStr">
        <is>
          <t>Benguet</t>
        </is>
      </c>
      <c r="G1607" s="26" t="inlineStr">
        <is>
          <t>Baguio City</t>
        </is>
      </c>
      <c r="H1607" s="26" t="inlineStr">
        <is>
          <t>Aurora Hill, North Central</t>
        </is>
      </c>
      <c r="I1607" s="27" t="n">
        <v>16.449115</v>
      </c>
      <c r="J1607" s="27" t="n">
        <v>120.509752</v>
      </c>
      <c r="K1607" s="10" t="inlineStr">
        <is>
          <t>R</t>
        </is>
      </c>
      <c r="L1607" s="12" t="n">
        <v>2260</v>
      </c>
      <c r="M1607" s="14" t="n">
        <v>3.5</v>
      </c>
      <c r="N1607" s="12">
        <f>ROUND(L1607/M1607, 0)</f>
        <v/>
      </c>
      <c r="O1607" s="12">
        <f>ROUND(N1607*'Methodology &amp; Assumptions'!$B$5, 0)</f>
        <v/>
      </c>
      <c r="P1607" s="10" t="inlineStr">
        <is>
          <t>Single Carrier (Band n50, 100MHz TDD)</t>
        </is>
      </c>
      <c r="Q1607" s="13">
        <f>ROUNDUP(O1607/'Methodology &amp; Assumptions'!$B$6, 0)</f>
        <v/>
      </c>
      <c r="R1607" s="13" t="n">
        <v>1</v>
      </c>
      <c r="S1607" s="14" t="n">
        <v>6.08</v>
      </c>
      <c r="T1607" s="14" t="n">
        <v>1.74</v>
      </c>
      <c r="U1607" s="26">
        <f>IF(X1607&gt;='Methodology &amp; Assumptions'!$B$7, "Tier 1 Critical GIDA (Score ≥ 50.0)", IF(X1607&gt;='Methodology &amp; Assumptions'!$B$8, "Tier 2 High GIDA (Score 40.0–49.9)", "Tier 3 Moderate GIDA (Score &lt; 40.0)"))</f>
        <v/>
      </c>
      <c r="V1607" s="26">
        <f>IF(S1607&lt;='Methodology &amp; Assumptions'!$B$10, "Direct Optical Drop (&lt;3km)", IF(S1607&lt;='Methodology &amp; Assumptions'!$B$9, "Near Optical / Microwave (&lt;5km)", "Starlink Business LEO Satellite Backhaul (&gt;5km)"))</f>
        <v/>
      </c>
      <c r="W1607" s="28" t="n">
        <v>0.221</v>
      </c>
      <c r="X1607" s="14" t="n">
        <v>42.37</v>
      </c>
      <c r="Y1607" s="14">
        <f>ROUND(MIN(100, (X1607/69.91)*100), 2)</f>
        <v/>
      </c>
    </row>
    <row r="1608">
      <c r="A1608" s="10" t="n">
        <v>5</v>
      </c>
      <c r="B1608" s="10" t="n">
        <v>604</v>
      </c>
      <c r="C1608" s="10" t="n">
        <v>4604</v>
      </c>
      <c r="D1608" s="10" t="inlineStr">
        <is>
          <t>PH0004604</t>
        </is>
      </c>
      <c r="E1608" s="26" t="inlineStr">
        <is>
          <t>XI</t>
        </is>
      </c>
      <c r="F1608" s="26" t="inlineStr">
        <is>
          <t>Davao Del Sur</t>
        </is>
      </c>
      <c r="G1608" s="26" t="inlineStr">
        <is>
          <t>Davao City</t>
        </is>
      </c>
      <c r="H1608" s="26" t="inlineStr">
        <is>
          <t>Wilfredo Aquino</t>
        </is>
      </c>
      <c r="I1608" s="27" t="n">
        <v>7.090693</v>
      </c>
      <c r="J1608" s="27" t="n">
        <v>125.625944</v>
      </c>
      <c r="K1608" s="10" t="inlineStr">
        <is>
          <t>R</t>
        </is>
      </c>
      <c r="L1608" s="12" t="n">
        <v>2280</v>
      </c>
      <c r="M1608" s="14" t="n">
        <v>3.4</v>
      </c>
      <c r="N1608" s="12">
        <f>ROUND(L1608/M1608, 0)</f>
        <v/>
      </c>
      <c r="O1608" s="12">
        <f>ROUND(N1608*'Methodology &amp; Assumptions'!$B$5, 0)</f>
        <v/>
      </c>
      <c r="P1608" s="10" t="inlineStr">
        <is>
          <t>Single Carrier (Band n50, 100MHz TDD)</t>
        </is>
      </c>
      <c r="Q1608" s="13">
        <f>ROUNDUP(O1608/'Methodology &amp; Assumptions'!$B$6, 0)</f>
        <v/>
      </c>
      <c r="R1608" s="13" t="n">
        <v>1</v>
      </c>
      <c r="S1608" s="14" t="n">
        <v>2.27</v>
      </c>
      <c r="T1608" s="14" t="n">
        <v>0.53</v>
      </c>
      <c r="U1608" s="26">
        <f>IF(X1608&gt;='Methodology &amp; Assumptions'!$B$7, "Tier 1 Critical GIDA (Score ≥ 50.0)", IF(X1608&gt;='Methodology &amp; Assumptions'!$B$8, "Tier 2 High GIDA (Score 40.0–49.9)", "Tier 3 Moderate GIDA (Score &lt; 40.0)"))</f>
        <v/>
      </c>
      <c r="V1608" s="26">
        <f>IF(S1608&lt;='Methodology &amp; Assumptions'!$B$10, "Direct Optical Drop (&lt;3km)", IF(S1608&lt;='Methodology &amp; Assumptions'!$B$9, "Near Optical / Microwave (&lt;5km)", "Starlink Business LEO Satellite Backhaul (&gt;5km)"))</f>
        <v/>
      </c>
      <c r="W1608" s="28" t="n">
        <v>0.119</v>
      </c>
      <c r="X1608" s="14" t="n">
        <v>42.37</v>
      </c>
      <c r="Y1608" s="14">
        <f>ROUND(MIN(100, (X1608/69.91)*100), 2)</f>
        <v/>
      </c>
    </row>
    <row r="1609">
      <c r="A1609" s="10" t="n">
        <v>5</v>
      </c>
      <c r="B1609" s="10" t="n">
        <v>605</v>
      </c>
      <c r="C1609" s="10" t="n">
        <v>4605</v>
      </c>
      <c r="D1609" s="10" t="inlineStr">
        <is>
          <t>0405647050</t>
        </is>
      </c>
      <c r="E1609" s="26" t="inlineStr">
        <is>
          <t>Region IV-A (CALABARZON)</t>
        </is>
      </c>
      <c r="F1609" s="26" t="inlineStr">
        <is>
          <t>Quezon</t>
        </is>
      </c>
      <c r="G1609" s="26" t="inlineStr">
        <is>
          <t>City of Tayabas</t>
        </is>
      </c>
      <c r="H1609" s="26" t="inlineStr">
        <is>
          <t>San Diego Zone II</t>
        </is>
      </c>
      <c r="I1609" s="27" t="n">
        <v>14.011301</v>
      </c>
      <c r="J1609" s="27" t="n">
        <v>121.607046</v>
      </c>
      <c r="K1609" s="10" t="inlineStr">
        <is>
          <t>R</t>
        </is>
      </c>
      <c r="L1609" s="12" t="n">
        <v>366</v>
      </c>
      <c r="M1609" s="14" t="n">
        <v>3.8</v>
      </c>
      <c r="N1609" s="12">
        <f>ROUND(L1609/M1609, 0)</f>
        <v/>
      </c>
      <c r="O1609" s="12">
        <f>ROUND(N1609*'Methodology &amp; Assumptions'!$B$5, 0)</f>
        <v/>
      </c>
      <c r="P1609" s="10" t="inlineStr">
        <is>
          <t>Single Carrier (Band n50, 100MHz TDD)</t>
        </is>
      </c>
      <c r="Q1609" s="13">
        <f>ROUNDUP(O1609/'Methodology &amp; Assumptions'!$B$6, 0)</f>
        <v/>
      </c>
      <c r="R1609" s="13" t="n">
        <v>1</v>
      </c>
      <c r="S1609" s="14" t="n">
        <v>2.01</v>
      </c>
      <c r="T1609" s="14" t="n">
        <v>0.18</v>
      </c>
      <c r="U1609" s="26">
        <f>IF(X1609&gt;='Methodology &amp; Assumptions'!$B$7, "Tier 1 Critical GIDA (Score ≥ 50.0)", IF(X1609&gt;='Methodology &amp; Assumptions'!$B$8, "Tier 2 High GIDA (Score 40.0–49.9)", "Tier 3 Moderate GIDA (Score &lt; 40.0)"))</f>
        <v/>
      </c>
      <c r="V1609" s="26">
        <f>IF(S1609&lt;='Methodology &amp; Assumptions'!$B$10, "Direct Optical Drop (&lt;3km)", IF(S1609&lt;='Methodology &amp; Assumptions'!$B$9, "Near Optical / Microwave (&lt;5km)", "Starlink Business LEO Satellite Backhaul (&gt;5km)"))</f>
        <v/>
      </c>
      <c r="W1609" s="28" t="n">
        <v>0.07200000000000001</v>
      </c>
      <c r="X1609" s="14" t="n">
        <v>42.36</v>
      </c>
      <c r="Y1609" s="14">
        <f>ROUND(MIN(100, (X1609/69.91)*100), 2)</f>
        <v/>
      </c>
    </row>
    <row r="1610">
      <c r="A1610" s="10" t="n">
        <v>5</v>
      </c>
      <c r="B1610" s="10" t="n">
        <v>606</v>
      </c>
      <c r="C1610" s="10" t="n">
        <v>4606</v>
      </c>
      <c r="D1610" s="10" t="inlineStr">
        <is>
          <t>PH0004606</t>
        </is>
      </c>
      <c r="E1610" s="26" t="inlineStr">
        <is>
          <t>CAR</t>
        </is>
      </c>
      <c r="F1610" s="26" t="inlineStr">
        <is>
          <t>Benguet</t>
        </is>
      </c>
      <c r="G1610" s="26" t="inlineStr">
        <is>
          <t>Baguio City</t>
        </is>
      </c>
      <c r="H1610" s="26" t="inlineStr">
        <is>
          <t>Santo Rosario</t>
        </is>
      </c>
      <c r="I1610" s="27" t="n">
        <v>16.400166</v>
      </c>
      <c r="J1610" s="27" t="n">
        <v>120.586938</v>
      </c>
      <c r="K1610" s="10" t="inlineStr">
        <is>
          <t>R</t>
        </is>
      </c>
      <c r="L1610" s="12" t="n">
        <v>2260</v>
      </c>
      <c r="M1610" s="14" t="n">
        <v>3.5</v>
      </c>
      <c r="N1610" s="12">
        <f>ROUND(L1610/M1610, 0)</f>
        <v/>
      </c>
      <c r="O1610" s="12">
        <f>ROUND(N1610*'Methodology &amp; Assumptions'!$B$5, 0)</f>
        <v/>
      </c>
      <c r="P1610" s="10" t="inlineStr">
        <is>
          <t>Single Carrier (Band n50, 100MHz TDD)</t>
        </is>
      </c>
      <c r="Q1610" s="13">
        <f>ROUNDUP(O1610/'Methodology &amp; Assumptions'!$B$6, 0)</f>
        <v/>
      </c>
      <c r="R1610" s="13" t="n">
        <v>1</v>
      </c>
      <c r="S1610" s="14" t="n">
        <v>1.09</v>
      </c>
      <c r="T1610" s="14" t="n">
        <v>0.23</v>
      </c>
      <c r="U1610" s="26">
        <f>IF(X1610&gt;='Methodology &amp; Assumptions'!$B$7, "Tier 1 Critical GIDA (Score ≥ 50.0)", IF(X1610&gt;='Methodology &amp; Assumptions'!$B$8, "Tier 2 High GIDA (Score 40.0–49.9)", "Tier 3 Moderate GIDA (Score &lt; 40.0)"))</f>
        <v/>
      </c>
      <c r="V1610" s="26">
        <f>IF(S1610&lt;='Methodology &amp; Assumptions'!$B$10, "Direct Optical Drop (&lt;3km)", IF(S1610&lt;='Methodology &amp; Assumptions'!$B$9, "Near Optical / Microwave (&lt;5km)", "Starlink Business LEO Satellite Backhaul (&gt;5km)"))</f>
        <v/>
      </c>
      <c r="W1610" s="28" t="n">
        <v>0.221</v>
      </c>
      <c r="X1610" s="14" t="n">
        <v>42.36</v>
      </c>
      <c r="Y1610" s="14">
        <f>ROUND(MIN(100, (X1610/69.91)*100), 2)</f>
        <v/>
      </c>
    </row>
    <row r="1611">
      <c r="A1611" s="10" t="n">
        <v>5</v>
      </c>
      <c r="B1611" s="10" t="n">
        <v>607</v>
      </c>
      <c r="C1611" s="10" t="n">
        <v>4607</v>
      </c>
      <c r="D1611" s="10" t="inlineStr">
        <is>
          <t>PH0004607</t>
        </is>
      </c>
      <c r="E1611" s="26" t="inlineStr">
        <is>
          <t>XI</t>
        </is>
      </c>
      <c r="F1611" s="26" t="inlineStr">
        <is>
          <t>Davao Del Sur</t>
        </is>
      </c>
      <c r="G1611" s="26" t="inlineStr">
        <is>
          <t>Davao City</t>
        </is>
      </c>
      <c r="H1611" s="26" t="inlineStr">
        <is>
          <t>Barangay 18-B (Pob.)</t>
        </is>
      </c>
      <c r="I1611" s="27" t="n">
        <v>7.177693</v>
      </c>
      <c r="J1611" s="27" t="n">
        <v>125.435719</v>
      </c>
      <c r="K1611" s="10" t="inlineStr">
        <is>
          <t>R</t>
        </is>
      </c>
      <c r="L1611" s="12" t="n">
        <v>2280</v>
      </c>
      <c r="M1611" s="14" t="n">
        <v>3.4</v>
      </c>
      <c r="N1611" s="12">
        <f>ROUND(L1611/M1611, 0)</f>
        <v/>
      </c>
      <c r="O1611" s="12">
        <f>ROUND(N1611*'Methodology &amp; Assumptions'!$B$5, 0)</f>
        <v/>
      </c>
      <c r="P1611" s="10" t="inlineStr">
        <is>
          <t>Single Carrier (Band n50, 100MHz TDD)</t>
        </is>
      </c>
      <c r="Q1611" s="13">
        <f>ROUNDUP(O1611/'Methodology &amp; Assumptions'!$B$6, 0)</f>
        <v/>
      </c>
      <c r="R1611" s="13" t="n">
        <v>1</v>
      </c>
      <c r="S1611" s="14" t="n">
        <v>2.3</v>
      </c>
      <c r="T1611" s="14" t="n">
        <v>0.85</v>
      </c>
      <c r="U1611" s="26">
        <f>IF(X1611&gt;='Methodology &amp; Assumptions'!$B$7, "Tier 1 Critical GIDA (Score ≥ 50.0)", IF(X1611&gt;='Methodology &amp; Assumptions'!$B$8, "Tier 2 High GIDA (Score 40.0–49.9)", "Tier 3 Moderate GIDA (Score &lt; 40.0)"))</f>
        <v/>
      </c>
      <c r="V1611" s="26">
        <f>IF(S1611&lt;='Methodology &amp; Assumptions'!$B$10, "Direct Optical Drop (&lt;3km)", IF(S1611&lt;='Methodology &amp; Assumptions'!$B$9, "Near Optical / Microwave (&lt;5km)", "Starlink Business LEO Satellite Backhaul (&gt;5km)"))</f>
        <v/>
      </c>
      <c r="W1611" s="28" t="n">
        <v>0.119</v>
      </c>
      <c r="X1611" s="14" t="n">
        <v>42.36</v>
      </c>
      <c r="Y1611" s="14">
        <f>ROUND(MIN(100, (X1611/69.91)*100), 2)</f>
        <v/>
      </c>
    </row>
    <row r="1612">
      <c r="A1612" s="10" t="n">
        <v>5</v>
      </c>
      <c r="B1612" s="10" t="n">
        <v>608</v>
      </c>
      <c r="C1612" s="10" t="n">
        <v>4608</v>
      </c>
      <c r="D1612" s="10" t="inlineStr">
        <is>
          <t>0402104010</t>
        </is>
      </c>
      <c r="E1612" s="26" t="inlineStr">
        <is>
          <t>Region IV-A (CALABARZON)</t>
        </is>
      </c>
      <c r="F1612" s="26" t="inlineStr">
        <is>
          <t>Cavite</t>
        </is>
      </c>
      <c r="G1612" s="26" t="inlineStr">
        <is>
          <t>Carmona</t>
        </is>
      </c>
      <c r="H1612" s="26" t="inlineStr">
        <is>
          <t>Maduya</t>
        </is>
      </c>
      <c r="I1612" s="27" t="n">
        <v>14.316918</v>
      </c>
      <c r="J1612" s="27" t="n">
        <v>121.060834</v>
      </c>
      <c r="K1612" s="10" t="inlineStr">
        <is>
          <t>U</t>
        </is>
      </c>
      <c r="L1612" s="12" t="n">
        <v>11154</v>
      </c>
      <c r="M1612" s="14" t="n">
        <v>3.4</v>
      </c>
      <c r="N1612" s="12">
        <f>ROUND(L1612/M1612, 0)</f>
        <v/>
      </c>
      <c r="O1612" s="12">
        <f>ROUND(N1612*'Methodology &amp; Assumptions'!$B$5, 0)</f>
        <v/>
      </c>
      <c r="P1612" s="10" t="inlineStr">
        <is>
          <t>Single Carrier (Band n50, 100MHz TDD)</t>
        </is>
      </c>
      <c r="Q1612" s="13">
        <f>ROUNDUP(O1612/'Methodology &amp; Assumptions'!$B$6, 0)</f>
        <v/>
      </c>
      <c r="R1612" s="13" t="n">
        <v>1</v>
      </c>
      <c r="S1612" s="14" t="n">
        <v>0.64</v>
      </c>
      <c r="T1612" s="14" t="n">
        <v>0.21</v>
      </c>
      <c r="U1612" s="26">
        <f>IF(X1612&gt;='Methodology &amp; Assumptions'!$B$7, "Tier 1 Critical GIDA (Score ≥ 50.0)", IF(X1612&gt;='Methodology &amp; Assumptions'!$B$8, "Tier 2 High GIDA (Score 40.0–49.9)", "Tier 3 Moderate GIDA (Score &lt; 40.0)"))</f>
        <v/>
      </c>
      <c r="V1612" s="26">
        <f>IF(S1612&lt;='Methodology &amp; Assumptions'!$B$10, "Direct Optical Drop (&lt;3km)", IF(S1612&lt;='Methodology &amp; Assumptions'!$B$9, "Near Optical / Microwave (&lt;5km)", "Starlink Business LEO Satellite Backhaul (&gt;5km)"))</f>
        <v/>
      </c>
      <c r="W1612" s="28" t="n">
        <v>0.07200000000000001</v>
      </c>
      <c r="X1612" s="14" t="n">
        <v>42.36</v>
      </c>
      <c r="Y1612" s="14">
        <f>ROUND(MIN(100, (X1612/69.91)*100), 2)</f>
        <v/>
      </c>
    </row>
    <row r="1613">
      <c r="A1613" s="10" t="n">
        <v>5</v>
      </c>
      <c r="B1613" s="10" t="n">
        <v>609</v>
      </c>
      <c r="C1613" s="10" t="n">
        <v>4609</v>
      </c>
      <c r="D1613" s="10" t="inlineStr">
        <is>
          <t>PH0004609</t>
        </is>
      </c>
      <c r="E1613" s="26" t="inlineStr">
        <is>
          <t>IV-A</t>
        </is>
      </c>
      <c r="F1613" s="26" t="inlineStr">
        <is>
          <t>Cavite</t>
        </is>
      </c>
      <c r="G1613" s="26" t="inlineStr">
        <is>
          <t>Cavite City</t>
        </is>
      </c>
      <c r="H1613" s="26" t="inlineStr">
        <is>
          <t>Barangay 45</t>
        </is>
      </c>
      <c r="I1613" s="27" t="n">
        <v>14.464136</v>
      </c>
      <c r="J1613" s="27" t="n">
        <v>120.935059</v>
      </c>
      <c r="K1613" s="10" t="inlineStr">
        <is>
          <t>R</t>
        </is>
      </c>
      <c r="L1613" s="12" t="n">
        <v>2316</v>
      </c>
      <c r="M1613" s="14" t="n">
        <v>3.4</v>
      </c>
      <c r="N1613" s="12">
        <f>ROUND(L1613/M1613, 0)</f>
        <v/>
      </c>
      <c r="O1613" s="12">
        <f>ROUND(N1613*'Methodology &amp; Assumptions'!$B$5, 0)</f>
        <v/>
      </c>
      <c r="P1613" s="10" t="inlineStr">
        <is>
          <t>Single Carrier (Band n50, 100MHz TDD)</t>
        </is>
      </c>
      <c r="Q1613" s="13">
        <f>ROUNDUP(O1613/'Methodology &amp; Assumptions'!$B$6, 0)</f>
        <v/>
      </c>
      <c r="R1613" s="13" t="n">
        <v>1</v>
      </c>
      <c r="S1613" s="14" t="n">
        <v>2.47</v>
      </c>
      <c r="T1613" s="14" t="n">
        <v>1.65</v>
      </c>
      <c r="U1613" s="26">
        <f>IF(X1613&gt;='Methodology &amp; Assumptions'!$B$7, "Tier 1 Critical GIDA (Score ≥ 50.0)", IF(X1613&gt;='Methodology &amp; Assumptions'!$B$8, "Tier 2 High GIDA (Score 40.0–49.9)", "Tier 3 Moderate GIDA (Score &lt; 40.0)"))</f>
        <v/>
      </c>
      <c r="V1613" s="26">
        <f>IF(S1613&lt;='Methodology &amp; Assumptions'!$B$10, "Direct Optical Drop (&lt;3km)", IF(S1613&lt;='Methodology &amp; Assumptions'!$B$9, "Near Optical / Microwave (&lt;5km)", "Starlink Business LEO Satellite Backhaul (&gt;5km)"))</f>
        <v/>
      </c>
      <c r="W1613" s="28" t="n">
        <v>0.07200000000000001</v>
      </c>
      <c r="X1613" s="14" t="n">
        <v>42.34</v>
      </c>
      <c r="Y1613" s="14">
        <f>ROUND(MIN(100, (X1613/69.91)*100), 2)</f>
        <v/>
      </c>
    </row>
    <row r="1614">
      <c r="A1614" s="10" t="n">
        <v>5</v>
      </c>
      <c r="B1614" s="10" t="n">
        <v>610</v>
      </c>
      <c r="C1614" s="10" t="n">
        <v>4610</v>
      </c>
      <c r="D1614" s="10" t="inlineStr">
        <is>
          <t>1380900015</t>
        </is>
      </c>
      <c r="E1614" s="26" t="inlineStr">
        <is>
          <t>National Capital Region (NCR)</t>
        </is>
      </c>
      <c r="F1614" s="26" t="inlineStr">
        <is>
          <t>Third District (Not a Province)</t>
        </is>
      </c>
      <c r="G1614" s="26" t="inlineStr">
        <is>
          <t>City of Navotas</t>
        </is>
      </c>
      <c r="H1614" s="26" t="inlineStr">
        <is>
          <t>NBBS Dagat-dagatan</t>
        </is>
      </c>
      <c r="I1614" s="27" t="n">
        <v>14.665772</v>
      </c>
      <c r="J1614" s="27" t="n">
        <v>120.930456</v>
      </c>
      <c r="K1614" s="10" t="inlineStr">
        <is>
          <t>U</t>
        </is>
      </c>
      <c r="L1614" s="12" t="n">
        <v>33385</v>
      </c>
      <c r="M1614" s="14" t="n">
        <v>3.4</v>
      </c>
      <c r="N1614" s="12">
        <f>ROUND(L1614/M1614, 0)</f>
        <v/>
      </c>
      <c r="O1614" s="12">
        <f>ROUND(N1614*'Methodology &amp; Assumptions'!$B$5, 0)</f>
        <v/>
      </c>
      <c r="P1614" s="10" t="inlineStr">
        <is>
          <t>Single Carrier (Band n50, 100MHz TDD)</t>
        </is>
      </c>
      <c r="Q1614" s="13">
        <f>ROUNDUP(O1614/'Methodology &amp; Assumptions'!$B$6, 0)</f>
        <v/>
      </c>
      <c r="R1614" s="13" t="n">
        <v>1</v>
      </c>
      <c r="S1614" s="14" t="n">
        <v>1.67</v>
      </c>
      <c r="T1614" s="14" t="n">
        <v>1.67</v>
      </c>
      <c r="U1614" s="26">
        <f>IF(X1614&gt;='Methodology &amp; Assumptions'!$B$7, "Tier 1 Critical GIDA (Score ≥ 50.0)", IF(X1614&gt;='Methodology &amp; Assumptions'!$B$8, "Tier 2 High GIDA (Score 40.0–49.9)", "Tier 3 Moderate GIDA (Score &lt; 40.0)"))</f>
        <v/>
      </c>
      <c r="V1614" s="26">
        <f>IF(S1614&lt;='Methodology &amp; Assumptions'!$B$10, "Direct Optical Drop (&lt;3km)", IF(S1614&lt;='Methodology &amp; Assumptions'!$B$9, "Near Optical / Microwave (&lt;5km)", "Starlink Business LEO Satellite Backhaul (&gt;5km)"))</f>
        <v/>
      </c>
      <c r="W1614" s="28" t="n">
        <v>0.109</v>
      </c>
      <c r="X1614" s="14" t="n">
        <v>42.34</v>
      </c>
      <c r="Y1614" s="14">
        <f>ROUND(MIN(100, (X1614/69.91)*100), 2)</f>
        <v/>
      </c>
    </row>
    <row r="1615">
      <c r="A1615" s="10" t="n">
        <v>5</v>
      </c>
      <c r="B1615" s="10" t="n">
        <v>611</v>
      </c>
      <c r="C1615" s="10" t="n">
        <v>4611</v>
      </c>
      <c r="D1615" s="10" t="inlineStr">
        <is>
          <t>PH0004611</t>
        </is>
      </c>
      <c r="E1615" s="26" t="inlineStr">
        <is>
          <t>IV-A</t>
        </is>
      </c>
      <c r="F1615" s="26" t="inlineStr">
        <is>
          <t>Cavite</t>
        </is>
      </c>
      <c r="G1615" s="26" t="inlineStr">
        <is>
          <t>Cavite City</t>
        </is>
      </c>
      <c r="H1615" s="26" t="inlineStr">
        <is>
          <t>Barangay 27</t>
        </is>
      </c>
      <c r="I1615" s="27" t="n">
        <v>14.465303</v>
      </c>
      <c r="J1615" s="27" t="n">
        <v>120.856684</v>
      </c>
      <c r="K1615" s="10" t="inlineStr">
        <is>
          <t>R</t>
        </is>
      </c>
      <c r="L1615" s="12" t="n">
        <v>2316</v>
      </c>
      <c r="M1615" s="14" t="n">
        <v>3.4</v>
      </c>
      <c r="N1615" s="12">
        <f>ROUND(L1615/M1615, 0)</f>
        <v/>
      </c>
      <c r="O1615" s="12">
        <f>ROUND(N1615*'Methodology &amp; Assumptions'!$B$5, 0)</f>
        <v/>
      </c>
      <c r="P1615" s="10" t="inlineStr">
        <is>
          <t>Single Carrier (Band n50, 100MHz TDD)</t>
        </is>
      </c>
      <c r="Q1615" s="13">
        <f>ROUNDUP(O1615/'Methodology &amp; Assumptions'!$B$6, 0)</f>
        <v/>
      </c>
      <c r="R1615" s="13" t="n">
        <v>1</v>
      </c>
      <c r="S1615" s="14" t="n">
        <v>3.49</v>
      </c>
      <c r="T1615" s="14" t="n">
        <v>4.83</v>
      </c>
      <c r="U1615" s="26">
        <f>IF(X1615&gt;='Methodology &amp; Assumptions'!$B$7, "Tier 1 Critical GIDA (Score ≥ 50.0)", IF(X1615&gt;='Methodology &amp; Assumptions'!$B$8, "Tier 2 High GIDA (Score 40.0–49.9)", "Tier 3 Moderate GIDA (Score &lt; 40.0)"))</f>
        <v/>
      </c>
      <c r="V1615" s="26">
        <f>IF(S1615&lt;='Methodology &amp; Assumptions'!$B$10, "Direct Optical Drop (&lt;3km)", IF(S1615&lt;='Methodology &amp; Assumptions'!$B$9, "Near Optical / Microwave (&lt;5km)", "Starlink Business LEO Satellite Backhaul (&gt;5km)"))</f>
        <v/>
      </c>
      <c r="W1615" s="28" t="n">
        <v>0.07200000000000001</v>
      </c>
      <c r="X1615" s="14" t="n">
        <v>42.34</v>
      </c>
      <c r="Y1615" s="14">
        <f>ROUND(MIN(100, (X1615/69.91)*100), 2)</f>
        <v/>
      </c>
    </row>
    <row r="1616">
      <c r="A1616" s="10" t="n">
        <v>5</v>
      </c>
      <c r="B1616" s="10" t="n">
        <v>612</v>
      </c>
      <c r="C1616" s="10" t="n">
        <v>4612</v>
      </c>
      <c r="D1616" s="10" t="inlineStr">
        <is>
          <t>1400121001</t>
        </is>
      </c>
      <c r="E1616" s="26" t="inlineStr">
        <is>
          <t>Cordillera Administrative Region (CAR)</t>
        </is>
      </c>
      <c r="F1616" s="26" t="inlineStr">
        <is>
          <t>Abra</t>
        </is>
      </c>
      <c r="G1616" s="26" t="inlineStr">
        <is>
          <t>San Isidro</t>
        </is>
      </c>
      <c r="H1616" s="26" t="inlineStr">
        <is>
          <t>Cabayogan</t>
        </is>
      </c>
      <c r="I1616" s="27" t="n">
        <v>17.495332</v>
      </c>
      <c r="J1616" s="27" t="n">
        <v>120.596718</v>
      </c>
      <c r="K1616" s="10" t="inlineStr">
        <is>
          <t>R</t>
        </is>
      </c>
      <c r="L1616" s="12" t="n">
        <v>336</v>
      </c>
      <c r="M1616" s="14" t="n">
        <v>3.8</v>
      </c>
      <c r="N1616" s="12">
        <f>ROUND(L1616/M1616, 0)</f>
        <v/>
      </c>
      <c r="O1616" s="12">
        <f>ROUND(N1616*'Methodology &amp; Assumptions'!$B$5, 0)</f>
        <v/>
      </c>
      <c r="P1616" s="10" t="inlineStr">
        <is>
          <t>Single Carrier (Band n50, 100MHz TDD)</t>
        </is>
      </c>
      <c r="Q1616" s="13">
        <f>ROUNDUP(O1616/'Methodology &amp; Assumptions'!$B$6, 0)</f>
        <v/>
      </c>
      <c r="R1616" s="13" t="n">
        <v>1</v>
      </c>
      <c r="S1616" s="14" t="n">
        <v>7.69</v>
      </c>
      <c r="T1616" s="14" t="n">
        <v>6.52</v>
      </c>
      <c r="U1616" s="26">
        <f>IF(X1616&gt;='Methodology &amp; Assumptions'!$B$7, "Tier 1 Critical GIDA (Score ≥ 50.0)", IF(X1616&gt;='Methodology &amp; Assumptions'!$B$8, "Tier 2 High GIDA (Score 40.0–49.9)", "Tier 3 Moderate GIDA (Score &lt; 40.0)"))</f>
        <v/>
      </c>
      <c r="V1616" s="26">
        <f>IF(S1616&lt;='Methodology &amp; Assumptions'!$B$10, "Direct Optical Drop (&lt;3km)", IF(S1616&lt;='Methodology &amp; Assumptions'!$B$9, "Near Optical / Microwave (&lt;5km)", "Starlink Business LEO Satellite Backhaul (&gt;5km)"))</f>
        <v/>
      </c>
      <c r="W1616" s="28" t="n">
        <v>0.109</v>
      </c>
      <c r="X1616" s="14" t="n">
        <v>42.34</v>
      </c>
      <c r="Y1616" s="14">
        <f>ROUND(MIN(100, (X1616/69.91)*100), 2)</f>
        <v/>
      </c>
    </row>
    <row r="1617">
      <c r="A1617" s="10" t="n">
        <v>5</v>
      </c>
      <c r="B1617" s="10" t="n">
        <v>613</v>
      </c>
      <c r="C1617" s="10" t="n">
        <v>4613</v>
      </c>
      <c r="D1617" s="10" t="inlineStr">
        <is>
          <t>1003502026</t>
        </is>
      </c>
      <c r="E1617" s="26" t="inlineStr">
        <is>
          <t>Region X (Northern Mindanao)</t>
        </is>
      </c>
      <c r="F1617" s="26" t="inlineStr">
        <is>
          <t>Lanao del Norte</t>
        </is>
      </c>
      <c r="G1617" s="26" t="inlineStr">
        <is>
          <t>Baloi</t>
        </is>
      </c>
      <c r="H1617" s="26" t="inlineStr">
        <is>
          <t>Sangcad</t>
        </is>
      </c>
      <c r="I1617" s="27" t="n">
        <v>8.132941000000001</v>
      </c>
      <c r="J1617" s="27" t="n">
        <v>124.241895</v>
      </c>
      <c r="K1617" s="10" t="inlineStr">
        <is>
          <t>R</t>
        </is>
      </c>
      <c r="L1617" s="12" t="n">
        <v>1848</v>
      </c>
      <c r="M1617" s="14" t="n">
        <v>4.2</v>
      </c>
      <c r="N1617" s="12">
        <f>ROUND(L1617/M1617, 0)</f>
        <v/>
      </c>
      <c r="O1617" s="12">
        <f>ROUND(N1617*'Methodology &amp; Assumptions'!$B$5, 0)</f>
        <v/>
      </c>
      <c r="P1617" s="10" t="inlineStr">
        <is>
          <t>Single Carrier (Band n50, 100MHz TDD)</t>
        </is>
      </c>
      <c r="Q1617" s="13">
        <f>ROUNDUP(O1617/'Methodology &amp; Assumptions'!$B$6, 0)</f>
        <v/>
      </c>
      <c r="R1617" s="13" t="n">
        <v>1</v>
      </c>
      <c r="S1617" s="14" t="n">
        <v>10.61</v>
      </c>
      <c r="T1617" s="14" t="n">
        <v>2.89</v>
      </c>
      <c r="U1617" s="26">
        <f>IF(X1617&gt;='Methodology &amp; Assumptions'!$B$7, "Tier 1 Critical GIDA (Score ≥ 50.0)", IF(X1617&gt;='Methodology &amp; Assumptions'!$B$8, "Tier 2 High GIDA (Score 40.0–49.9)", "Tier 3 Moderate GIDA (Score &lt; 40.0)"))</f>
        <v/>
      </c>
      <c r="V1617" s="26">
        <f>IF(S1617&lt;='Methodology &amp; Assumptions'!$B$10, "Direct Optical Drop (&lt;3km)", IF(S1617&lt;='Methodology &amp; Assumptions'!$B$9, "Near Optical / Microwave (&lt;5km)", "Starlink Business LEO Satellite Backhaul (&gt;5km)"))</f>
        <v/>
      </c>
      <c r="W1617" s="28" t="n">
        <v>0.174</v>
      </c>
      <c r="X1617" s="14" t="n">
        <v>42.34</v>
      </c>
      <c r="Y1617" s="14">
        <f>ROUND(MIN(100, (X1617/69.91)*100), 2)</f>
        <v/>
      </c>
    </row>
    <row r="1618">
      <c r="A1618" s="10" t="n">
        <v>5</v>
      </c>
      <c r="B1618" s="10" t="n">
        <v>614</v>
      </c>
      <c r="C1618" s="10" t="n">
        <v>4614</v>
      </c>
      <c r="D1618" s="10" t="inlineStr">
        <is>
          <t>PH0004614</t>
        </is>
      </c>
      <c r="E1618" s="26" t="inlineStr">
        <is>
          <t>VIII</t>
        </is>
      </c>
      <c r="F1618" s="26" t="inlineStr">
        <is>
          <t>Samar (Western Samar)</t>
        </is>
      </c>
      <c r="G1618" s="26" t="inlineStr">
        <is>
          <t>Catbalogan City</t>
        </is>
      </c>
      <c r="H1618" s="26" t="inlineStr">
        <is>
          <t>Poblacion 7</t>
        </is>
      </c>
      <c r="I1618" s="27" t="n">
        <v>12.899423</v>
      </c>
      <c r="J1618" s="27" t="n">
        <v>121.753768</v>
      </c>
      <c r="K1618" s="10" t="inlineStr">
        <is>
          <t>R</t>
        </is>
      </c>
      <c r="L1618" s="12" t="n">
        <v>2229</v>
      </c>
      <c r="M1618" s="14" t="n">
        <v>4.1</v>
      </c>
      <c r="N1618" s="12">
        <f>ROUND(L1618/M1618, 0)</f>
        <v/>
      </c>
      <c r="O1618" s="12">
        <f>ROUND(N1618*'Methodology &amp; Assumptions'!$B$5, 0)</f>
        <v/>
      </c>
      <c r="P1618" s="10" t="inlineStr">
        <is>
          <t>Single Carrier (Band n50, 100MHz TDD)</t>
        </is>
      </c>
      <c r="Q1618" s="13">
        <f>ROUNDUP(O1618/'Methodology &amp; Assumptions'!$B$6, 0)</f>
        <v/>
      </c>
      <c r="R1618" s="13" t="n">
        <v>1</v>
      </c>
      <c r="S1618" s="14" t="n">
        <v>30.67</v>
      </c>
      <c r="T1618" s="14" t="n">
        <v>30.51</v>
      </c>
      <c r="U1618" s="26">
        <f>IF(X1618&gt;='Methodology &amp; Assumptions'!$B$7, "Tier 1 Critical GIDA (Score ≥ 50.0)", IF(X1618&gt;='Methodology &amp; Assumptions'!$B$8, "Tier 2 High GIDA (Score 40.0–49.9)", "Tier 3 Moderate GIDA (Score &lt; 40.0)"))</f>
        <v/>
      </c>
      <c r="V1618" s="26">
        <f>IF(S1618&lt;='Methodology &amp; Assumptions'!$B$10, "Direct Optical Drop (&lt;3km)", IF(S1618&lt;='Methodology &amp; Assumptions'!$B$9, "Near Optical / Microwave (&lt;5km)", "Starlink Business LEO Satellite Backhaul (&gt;5km)"))</f>
        <v/>
      </c>
      <c r="W1618" s="28" t="n">
        <v>0.222</v>
      </c>
      <c r="X1618" s="14" t="n">
        <v>42.33</v>
      </c>
      <c r="Y1618" s="14">
        <f>ROUND(MIN(100, (X1618/69.91)*100), 2)</f>
        <v/>
      </c>
    </row>
    <row r="1619">
      <c r="A1619" s="10" t="n">
        <v>5</v>
      </c>
      <c r="B1619" s="10" t="n">
        <v>615</v>
      </c>
      <c r="C1619" s="10" t="n">
        <v>4615</v>
      </c>
      <c r="D1619" s="10" t="inlineStr">
        <is>
          <t>0402111001</t>
        </is>
      </c>
      <c r="E1619" s="26" t="inlineStr">
        <is>
          <t>Region IV-A (CALABARZON)</t>
        </is>
      </c>
      <c r="F1619" s="26" t="inlineStr">
        <is>
          <t>Cavite</t>
        </is>
      </c>
      <c r="G1619" s="26" t="inlineStr">
        <is>
          <t>Kawit</t>
        </is>
      </c>
      <c r="H1619" s="26" t="inlineStr">
        <is>
          <t>Binakayan-Kanluran</t>
        </is>
      </c>
      <c r="I1619" s="27" t="n">
        <v>14.451883</v>
      </c>
      <c r="J1619" s="27" t="n">
        <v>120.901998</v>
      </c>
      <c r="K1619" s="10" t="inlineStr">
        <is>
          <t>R</t>
        </is>
      </c>
      <c r="L1619" s="12" t="n">
        <v>2655</v>
      </c>
      <c r="M1619" s="14" t="n">
        <v>3.4</v>
      </c>
      <c r="N1619" s="12">
        <f>ROUND(L1619/M1619, 0)</f>
        <v/>
      </c>
      <c r="O1619" s="12">
        <f>ROUND(N1619*'Methodology &amp; Assumptions'!$B$5, 0)</f>
        <v/>
      </c>
      <c r="P1619" s="10" t="inlineStr">
        <is>
          <t>Single Carrier (Band n50, 100MHz TDD)</t>
        </is>
      </c>
      <c r="Q1619" s="13">
        <f>ROUNDUP(O1619/'Methodology &amp; Assumptions'!$B$6, 0)</f>
        <v/>
      </c>
      <c r="R1619" s="13" t="n">
        <v>1</v>
      </c>
      <c r="S1619" s="14" t="n">
        <v>2.98</v>
      </c>
      <c r="T1619" s="14" t="n">
        <v>1.54</v>
      </c>
      <c r="U1619" s="26">
        <f>IF(X1619&gt;='Methodology &amp; Assumptions'!$B$7, "Tier 1 Critical GIDA (Score ≥ 50.0)", IF(X1619&gt;='Methodology &amp; Assumptions'!$B$8, "Tier 2 High GIDA (Score 40.0–49.9)", "Tier 3 Moderate GIDA (Score &lt; 40.0)"))</f>
        <v/>
      </c>
      <c r="V1619" s="26">
        <f>IF(S1619&lt;='Methodology &amp; Assumptions'!$B$10, "Direct Optical Drop (&lt;3km)", IF(S1619&lt;='Methodology &amp; Assumptions'!$B$9, "Near Optical / Microwave (&lt;5km)", "Starlink Business LEO Satellite Backhaul (&gt;5km)"))</f>
        <v/>
      </c>
      <c r="W1619" s="28" t="n">
        <v>0.07200000000000001</v>
      </c>
      <c r="X1619" s="14" t="n">
        <v>42.33</v>
      </c>
      <c r="Y1619" s="14">
        <f>ROUND(MIN(100, (X1619/69.91)*100), 2)</f>
        <v/>
      </c>
    </row>
    <row r="1620">
      <c r="A1620" s="10" t="n">
        <v>5</v>
      </c>
      <c r="B1620" s="10" t="n">
        <v>616</v>
      </c>
      <c r="C1620" s="10" t="n">
        <v>4616</v>
      </c>
      <c r="D1620" s="10" t="inlineStr">
        <is>
          <t>0102820018</t>
        </is>
      </c>
      <c r="E1620" s="26" t="inlineStr">
        <is>
          <t>Region I (Ilocos Region)</t>
        </is>
      </c>
      <c r="F1620" s="26" t="inlineStr">
        <is>
          <t>Ilocos Norte</t>
        </is>
      </c>
      <c r="G1620" s="26" t="inlineStr">
        <is>
          <t>San Nicolas</t>
        </is>
      </c>
      <c r="H1620" s="26" t="inlineStr">
        <is>
          <t>San Paulo</t>
        </is>
      </c>
      <c r="I1620" s="27" t="n">
        <v>18.147282</v>
      </c>
      <c r="J1620" s="27" t="n">
        <v>120.595596</v>
      </c>
      <c r="K1620" s="10" t="inlineStr">
        <is>
          <t>R</t>
        </is>
      </c>
      <c r="L1620" s="12" t="n">
        <v>959</v>
      </c>
      <c r="M1620" s="14" t="n">
        <v>3.7</v>
      </c>
      <c r="N1620" s="12">
        <f>ROUND(L1620/M1620, 0)</f>
        <v/>
      </c>
      <c r="O1620" s="12">
        <f>ROUND(N1620*'Methodology &amp; Assumptions'!$B$5, 0)</f>
        <v/>
      </c>
      <c r="P1620" s="10" t="inlineStr">
        <is>
          <t>Single Carrier (Band n50, 100MHz TDD)</t>
        </is>
      </c>
      <c r="Q1620" s="13">
        <f>ROUNDUP(O1620/'Methodology &amp; Assumptions'!$B$6, 0)</f>
        <v/>
      </c>
      <c r="R1620" s="13" t="n">
        <v>1</v>
      </c>
      <c r="S1620" s="14" t="n">
        <v>2.58</v>
      </c>
      <c r="T1620" s="14" t="n">
        <v>1.23</v>
      </c>
      <c r="U1620" s="26">
        <f>IF(X1620&gt;='Methodology &amp; Assumptions'!$B$7, "Tier 1 Critical GIDA (Score ≥ 50.0)", IF(X1620&gt;='Methodology &amp; Assumptions'!$B$8, "Tier 2 High GIDA (Score 40.0–49.9)", "Tier 3 Moderate GIDA (Score &lt; 40.0)"))</f>
        <v/>
      </c>
      <c r="V1620" s="26">
        <f>IF(S1620&lt;='Methodology &amp; Assumptions'!$B$10, "Direct Optical Drop (&lt;3km)", IF(S1620&lt;='Methodology &amp; Assumptions'!$B$9, "Near Optical / Microwave (&lt;5km)", "Starlink Business LEO Satellite Backhaul (&gt;5km)"))</f>
        <v/>
      </c>
      <c r="W1620" s="28" t="n">
        <v>0.083</v>
      </c>
      <c r="X1620" s="14" t="n">
        <v>42.32</v>
      </c>
      <c r="Y1620" s="14">
        <f>ROUND(MIN(100, (X1620/69.91)*100), 2)</f>
        <v/>
      </c>
    </row>
    <row r="1621">
      <c r="A1621" s="10" t="n">
        <v>5</v>
      </c>
      <c r="B1621" s="10" t="n">
        <v>617</v>
      </c>
      <c r="C1621" s="10" t="n">
        <v>4617</v>
      </c>
      <c r="D1621" s="10" t="inlineStr">
        <is>
          <t>0403428016</t>
        </is>
      </c>
      <c r="E1621" s="26" t="inlineStr">
        <is>
          <t>Region IV-A (CALABARZON)</t>
        </is>
      </c>
      <c r="F1621" s="26" t="inlineStr">
        <is>
          <t>Laguna</t>
        </is>
      </c>
      <c r="G1621" s="26" t="inlineStr">
        <is>
          <t>City of Santa Rosa</t>
        </is>
      </c>
      <c r="H1621" s="26" t="inlineStr">
        <is>
          <t>Pook</t>
        </is>
      </c>
      <c r="I1621" s="27" t="n">
        <v>14.302413</v>
      </c>
      <c r="J1621" s="27" t="n">
        <v>121.109597</v>
      </c>
      <c r="K1621" s="10" t="inlineStr">
        <is>
          <t>U</t>
        </is>
      </c>
      <c r="L1621" s="12" t="n">
        <v>61062</v>
      </c>
      <c r="M1621" s="14" t="n">
        <v>3.3</v>
      </c>
      <c r="N1621" s="12">
        <f>ROUND(L1621/M1621, 0)</f>
        <v/>
      </c>
      <c r="O1621" s="12">
        <f>ROUND(N1621*'Methodology &amp; Assumptions'!$B$5, 0)</f>
        <v/>
      </c>
      <c r="P1621" s="10" t="inlineStr">
        <is>
          <t>Single Carrier (Band n50, 100MHz TDD)</t>
        </is>
      </c>
      <c r="Q1621" s="13">
        <f>ROUNDUP(O1621/'Methodology &amp; Assumptions'!$B$6, 0)</f>
        <v/>
      </c>
      <c r="R1621" s="13" t="n">
        <v>1</v>
      </c>
      <c r="S1621" s="14" t="n">
        <v>0.64</v>
      </c>
      <c r="T1621" s="14" t="n">
        <v>0.59</v>
      </c>
      <c r="U1621" s="26">
        <f>IF(X1621&gt;='Methodology &amp; Assumptions'!$B$7, "Tier 1 Critical GIDA (Score ≥ 50.0)", IF(X1621&gt;='Methodology &amp; Assumptions'!$B$8, "Tier 2 High GIDA (Score 40.0–49.9)", "Tier 3 Moderate GIDA (Score &lt; 40.0)"))</f>
        <v/>
      </c>
      <c r="V1621" s="26">
        <f>IF(S1621&lt;='Methodology &amp; Assumptions'!$B$10, "Direct Optical Drop (&lt;3km)", IF(S1621&lt;='Methodology &amp; Assumptions'!$B$9, "Near Optical / Microwave (&lt;5km)", "Starlink Business LEO Satellite Backhaul (&gt;5km)"))</f>
        <v/>
      </c>
      <c r="W1621" s="28" t="n">
        <v>0.07200000000000001</v>
      </c>
      <c r="X1621" s="14" t="n">
        <v>42.3</v>
      </c>
      <c r="Y1621" s="14">
        <f>ROUND(MIN(100, (X1621/69.91)*100), 2)</f>
        <v/>
      </c>
    </row>
    <row r="1622">
      <c r="A1622" s="10" t="n">
        <v>5</v>
      </c>
      <c r="B1622" s="10" t="n">
        <v>618</v>
      </c>
      <c r="C1622" s="10" t="n">
        <v>4618</v>
      </c>
      <c r="D1622" s="10" t="inlineStr">
        <is>
          <t>0203117001</t>
        </is>
      </c>
      <c r="E1622" s="26" t="inlineStr">
        <is>
          <t>Region II (Cagayan Valley)</t>
        </is>
      </c>
      <c r="F1622" s="26" t="inlineStr">
        <is>
          <t>Isabela</t>
        </is>
      </c>
      <c r="G1622" s="26" t="inlineStr">
        <is>
          <t>Maconacon</t>
        </is>
      </c>
      <c r="H1622" s="26" t="inlineStr">
        <is>
          <t>Diana</t>
        </is>
      </c>
      <c r="I1622" s="27" t="n">
        <v>17.425734</v>
      </c>
      <c r="J1622" s="27" t="n">
        <v>122.221023</v>
      </c>
      <c r="K1622" s="10" t="inlineStr">
        <is>
          <t>R</t>
        </is>
      </c>
      <c r="L1622" s="12" t="n">
        <v>199</v>
      </c>
      <c r="M1622" s="14" t="n">
        <v>3.8</v>
      </c>
      <c r="N1622" s="12">
        <f>ROUND(L1622/M1622, 0)</f>
        <v/>
      </c>
      <c r="O1622" s="12">
        <f>ROUND(N1622*'Methodology &amp; Assumptions'!$B$5, 0)</f>
        <v/>
      </c>
      <c r="P1622" s="10" t="inlineStr">
        <is>
          <t>Single Carrier (Band n50, 100MHz TDD)</t>
        </is>
      </c>
      <c r="Q1622" s="13">
        <f>ROUNDUP(O1622/'Methodology &amp; Assumptions'!$B$6, 0)</f>
        <v/>
      </c>
      <c r="R1622" s="13" t="n">
        <v>1</v>
      </c>
      <c r="S1622" s="14" t="n">
        <v>40.21</v>
      </c>
      <c r="T1622" s="14" t="n">
        <v>42.82</v>
      </c>
      <c r="U1622" s="26">
        <f>IF(X1622&gt;='Methodology &amp; Assumptions'!$B$7, "Tier 1 Critical GIDA (Score ≥ 50.0)", IF(X1622&gt;='Methodology &amp; Assumptions'!$B$8, "Tier 2 High GIDA (Score 40.0–49.9)", "Tier 3 Moderate GIDA (Score &lt; 40.0)"))</f>
        <v/>
      </c>
      <c r="V1622" s="26">
        <f>IF(S1622&lt;='Methodology &amp; Assumptions'!$B$10, "Direct Optical Drop (&lt;3km)", IF(S1622&lt;='Methodology &amp; Assumptions'!$B$9, "Near Optical / Microwave (&lt;5km)", "Starlink Business LEO Satellite Backhaul (&gt;5km)"))</f>
        <v/>
      </c>
      <c r="W1622" s="28" t="n">
        <v>0.083</v>
      </c>
      <c r="X1622" s="14" t="n">
        <v>42.3</v>
      </c>
      <c r="Y1622" s="14">
        <f>ROUND(MIN(100, (X1622/69.91)*100), 2)</f>
        <v/>
      </c>
    </row>
    <row r="1623">
      <c r="A1623" s="10" t="n">
        <v>5</v>
      </c>
      <c r="B1623" s="10" t="n">
        <v>619</v>
      </c>
      <c r="C1623" s="10" t="n">
        <v>4619</v>
      </c>
      <c r="D1623" s="10" t="inlineStr">
        <is>
          <t>0907311006</t>
        </is>
      </c>
      <c r="E1623" s="26" t="inlineStr">
        <is>
          <t>Region IX (Zamboanga Peninsula)</t>
        </is>
      </c>
      <c r="F1623" s="26" t="inlineStr">
        <is>
          <t>Zamboanga del Sur</t>
        </is>
      </c>
      <c r="G1623" s="26" t="inlineStr">
        <is>
          <t>Kumalarang</t>
        </is>
      </c>
      <c r="H1623" s="26" t="inlineStr">
        <is>
          <t>Bualan</t>
        </is>
      </c>
      <c r="I1623" s="27" t="n">
        <v>7.71309</v>
      </c>
      <c r="J1623" s="27" t="n">
        <v>123.13971</v>
      </c>
      <c r="K1623" s="10" t="inlineStr">
        <is>
          <t>R</t>
        </is>
      </c>
      <c r="L1623" s="12" t="n">
        <v>1007</v>
      </c>
      <c r="M1623" s="14" t="n">
        <v>3.9</v>
      </c>
      <c r="N1623" s="12">
        <f>ROUND(L1623/M1623, 0)</f>
        <v/>
      </c>
      <c r="O1623" s="12">
        <f>ROUND(N1623*'Methodology &amp; Assumptions'!$B$5, 0)</f>
        <v/>
      </c>
      <c r="P1623" s="10" t="inlineStr">
        <is>
          <t>Single Carrier (Band n50, 100MHz TDD)</t>
        </is>
      </c>
      <c r="Q1623" s="13">
        <f>ROUNDUP(O1623/'Methodology &amp; Assumptions'!$B$6, 0)</f>
        <v/>
      </c>
      <c r="R1623" s="13" t="n">
        <v>1</v>
      </c>
      <c r="S1623" s="14" t="n">
        <v>9.51</v>
      </c>
      <c r="T1623" s="14" t="n">
        <v>5.03</v>
      </c>
      <c r="U1623" s="26">
        <f>IF(X1623&gt;='Methodology &amp; Assumptions'!$B$7, "Tier 1 Critical GIDA (Score ≥ 50.0)", IF(X1623&gt;='Methodology &amp; Assumptions'!$B$8, "Tier 2 High GIDA (Score 40.0–49.9)", "Tier 3 Moderate GIDA (Score &lt; 40.0)"))</f>
        <v/>
      </c>
      <c r="V1623" s="26">
        <f>IF(S1623&lt;='Methodology &amp; Assumptions'!$B$10, "Direct Optical Drop (&lt;3km)", IF(S1623&lt;='Methodology &amp; Assumptions'!$B$9, "Near Optical / Microwave (&lt;5km)", "Starlink Business LEO Satellite Backhaul (&gt;5km)"))</f>
        <v/>
      </c>
      <c r="W1623" s="28" t="n">
        <v>0.11</v>
      </c>
      <c r="X1623" s="14" t="n">
        <v>42.3</v>
      </c>
      <c r="Y1623" s="14">
        <f>ROUND(MIN(100, (X1623/69.91)*100), 2)</f>
        <v/>
      </c>
    </row>
    <row r="1624">
      <c r="A1624" s="10" t="n">
        <v>5</v>
      </c>
      <c r="B1624" s="10" t="n">
        <v>620</v>
      </c>
      <c r="C1624" s="10" t="n">
        <v>4620</v>
      </c>
      <c r="D1624" s="10" t="inlineStr">
        <is>
          <t>0405647057</t>
        </is>
      </c>
      <c r="E1624" s="26" t="inlineStr">
        <is>
          <t>Region IV-A (CALABARZON)</t>
        </is>
      </c>
      <c r="F1624" s="26" t="inlineStr">
        <is>
          <t>Quezon</t>
        </is>
      </c>
      <c r="G1624" s="26" t="inlineStr">
        <is>
          <t>City of Tayabas</t>
        </is>
      </c>
      <c r="H1624" s="26" t="inlineStr">
        <is>
          <t>San Roque Zone I</t>
        </is>
      </c>
      <c r="I1624" s="27" t="n">
        <v>14.028889</v>
      </c>
      <c r="J1624" s="27" t="n">
        <v>121.602926</v>
      </c>
      <c r="K1624" s="10" t="inlineStr">
        <is>
          <t>R</t>
        </is>
      </c>
      <c r="L1624" s="12" t="n">
        <v>145</v>
      </c>
      <c r="M1624" s="14" t="n">
        <v>3.8</v>
      </c>
      <c r="N1624" s="12">
        <f>ROUND(L1624/M1624, 0)</f>
        <v/>
      </c>
      <c r="O1624" s="12">
        <f>ROUND(N1624*'Methodology &amp; Assumptions'!$B$5, 0)</f>
        <v/>
      </c>
      <c r="P1624" s="10" t="inlineStr">
        <is>
          <t>Single Carrier (Band n50, 100MHz TDD)</t>
        </is>
      </c>
      <c r="Q1624" s="13">
        <f>ROUNDUP(O1624/'Methodology &amp; Assumptions'!$B$6, 0)</f>
        <v/>
      </c>
      <c r="R1624" s="13" t="n">
        <v>1</v>
      </c>
      <c r="S1624" s="14" t="n">
        <v>1.17</v>
      </c>
      <c r="T1624" s="14" t="n">
        <v>0.96</v>
      </c>
      <c r="U1624" s="26">
        <f>IF(X1624&gt;='Methodology &amp; Assumptions'!$B$7, "Tier 1 Critical GIDA (Score ≥ 50.0)", IF(X1624&gt;='Methodology &amp; Assumptions'!$B$8, "Tier 2 High GIDA (Score 40.0–49.9)", "Tier 3 Moderate GIDA (Score &lt; 40.0)"))</f>
        <v/>
      </c>
      <c r="V1624" s="26">
        <f>IF(S1624&lt;='Methodology &amp; Assumptions'!$B$10, "Direct Optical Drop (&lt;3km)", IF(S1624&lt;='Methodology &amp; Assumptions'!$B$9, "Near Optical / Microwave (&lt;5km)", "Starlink Business LEO Satellite Backhaul (&gt;5km)"))</f>
        <v/>
      </c>
      <c r="W1624" s="28" t="n">
        <v>0.07200000000000001</v>
      </c>
      <c r="X1624" s="14" t="n">
        <v>42.29</v>
      </c>
      <c r="Y1624" s="14">
        <f>ROUND(MIN(100, (X1624/69.91)*100), 2)</f>
        <v/>
      </c>
    </row>
    <row r="1625">
      <c r="A1625" s="10" t="n">
        <v>5</v>
      </c>
      <c r="B1625" s="10" t="n">
        <v>621</v>
      </c>
      <c r="C1625" s="10" t="n">
        <v>4621</v>
      </c>
      <c r="D1625" s="10" t="inlineStr">
        <is>
          <t>PH0004621</t>
        </is>
      </c>
      <c r="E1625" s="26" t="inlineStr">
        <is>
          <t>III</t>
        </is>
      </c>
      <c r="F1625" s="26" t="inlineStr">
        <is>
          <t>Nueva Ecija</t>
        </is>
      </c>
      <c r="G1625" s="26" t="inlineStr">
        <is>
          <t>Cabanatuan City</t>
        </is>
      </c>
      <c r="H1625" s="26" t="inlineStr">
        <is>
          <t>Aduas Sur</t>
        </is>
      </c>
      <c r="I1625" s="27" t="n">
        <v>15.496408</v>
      </c>
      <c r="J1625" s="27" t="n">
        <v>120.967192</v>
      </c>
      <c r="K1625" s="10" t="inlineStr">
        <is>
          <t>R</t>
        </is>
      </c>
      <c r="L1625" s="12" t="n">
        <v>2398</v>
      </c>
      <c r="M1625" s="14" t="n">
        <v>3.5</v>
      </c>
      <c r="N1625" s="12">
        <f>ROUND(L1625/M1625, 0)</f>
        <v/>
      </c>
      <c r="O1625" s="12">
        <f>ROUND(N1625*'Methodology &amp; Assumptions'!$B$5, 0)</f>
        <v/>
      </c>
      <c r="P1625" s="10" t="inlineStr">
        <is>
          <t>Single Carrier (Band n50, 100MHz TDD)</t>
        </is>
      </c>
      <c r="Q1625" s="13">
        <f>ROUNDUP(O1625/'Methodology &amp; Assumptions'!$B$6, 0)</f>
        <v/>
      </c>
      <c r="R1625" s="13" t="n">
        <v>1</v>
      </c>
      <c r="S1625" s="14" t="n">
        <v>1.76</v>
      </c>
      <c r="T1625" s="14" t="n">
        <v>0.97</v>
      </c>
      <c r="U1625" s="26">
        <f>IF(X1625&gt;='Methodology &amp; Assumptions'!$B$7, "Tier 1 Critical GIDA (Score ≥ 50.0)", IF(X1625&gt;='Methodology &amp; Assumptions'!$B$8, "Tier 2 High GIDA (Score 40.0–49.9)", "Tier 3 Moderate GIDA (Score &lt; 40.0)"))</f>
        <v/>
      </c>
      <c r="V1625" s="26">
        <f>IF(S1625&lt;='Methodology &amp; Assumptions'!$B$10, "Direct Optical Drop (&lt;3km)", IF(S1625&lt;='Methodology &amp; Assumptions'!$B$9, "Near Optical / Microwave (&lt;5km)", "Starlink Business LEO Satellite Backhaul (&gt;5km)"))</f>
        <v/>
      </c>
      <c r="W1625" s="28" t="n">
        <v>0.083</v>
      </c>
      <c r="X1625" s="14" t="n">
        <v>42.29</v>
      </c>
      <c r="Y1625" s="14">
        <f>ROUND(MIN(100, (X1625/69.91)*100), 2)</f>
        <v/>
      </c>
    </row>
    <row r="1626">
      <c r="A1626" s="10" t="n">
        <v>5</v>
      </c>
      <c r="B1626" s="10" t="n">
        <v>622</v>
      </c>
      <c r="C1626" s="10" t="n">
        <v>4622</v>
      </c>
      <c r="D1626" s="10" t="inlineStr">
        <is>
          <t>1403208002</t>
        </is>
      </c>
      <c r="E1626" s="26" t="inlineStr">
        <is>
          <t>Cordillera Administrative Region (CAR)</t>
        </is>
      </c>
      <c r="F1626" s="26" t="inlineStr">
        <is>
          <t>Kalinga</t>
        </is>
      </c>
      <c r="G1626" s="26" t="inlineStr">
        <is>
          <t>Pasil</t>
        </is>
      </c>
      <c r="H1626" s="26" t="inlineStr">
        <is>
          <t>Balatoc</t>
        </is>
      </c>
      <c r="I1626" s="27" t="n">
        <v>17.355837</v>
      </c>
      <c r="J1626" s="27" t="n">
        <v>121.092782</v>
      </c>
      <c r="K1626" s="10" t="inlineStr">
        <is>
          <t>R</t>
        </is>
      </c>
      <c r="L1626" s="12" t="n">
        <v>1621</v>
      </c>
      <c r="M1626" s="14" t="n">
        <v>4.3</v>
      </c>
      <c r="N1626" s="12">
        <f>ROUND(L1626/M1626, 0)</f>
        <v/>
      </c>
      <c r="O1626" s="12">
        <f>ROUND(N1626*'Methodology &amp; Assumptions'!$B$5, 0)</f>
        <v/>
      </c>
      <c r="P1626" s="10" t="inlineStr">
        <is>
          <t>Single Carrier (Band n50, 100MHz TDD)</t>
        </is>
      </c>
      <c r="Q1626" s="13">
        <f>ROUNDUP(O1626/'Methodology &amp; Assumptions'!$B$6, 0)</f>
        <v/>
      </c>
      <c r="R1626" s="13" t="n">
        <v>1</v>
      </c>
      <c r="S1626" s="14" t="n">
        <v>11.84</v>
      </c>
      <c r="T1626" s="14" t="n">
        <v>7.37</v>
      </c>
      <c r="U1626" s="26">
        <f>IF(X1626&gt;='Methodology &amp; Assumptions'!$B$7, "Tier 1 Critical GIDA (Score ≥ 50.0)", IF(X1626&gt;='Methodology &amp; Assumptions'!$B$8, "Tier 2 High GIDA (Score 40.0–49.9)", "Tier 3 Moderate GIDA (Score &lt; 40.0)"))</f>
        <v/>
      </c>
      <c r="V1626" s="26">
        <f>IF(S1626&lt;='Methodology &amp; Assumptions'!$B$10, "Direct Optical Drop (&lt;3km)", IF(S1626&lt;='Methodology &amp; Assumptions'!$B$9, "Near Optical / Microwave (&lt;5km)", "Starlink Business LEO Satellite Backhaul (&gt;5km)"))</f>
        <v/>
      </c>
      <c r="W1626" s="28" t="n">
        <v>0.109</v>
      </c>
      <c r="X1626" s="14" t="n">
        <v>42.29</v>
      </c>
      <c r="Y1626" s="14">
        <f>ROUND(MIN(100, (X1626/69.91)*100), 2)</f>
        <v/>
      </c>
    </row>
    <row r="1627">
      <c r="A1627" s="10" t="n">
        <v>5</v>
      </c>
      <c r="B1627" s="10" t="n">
        <v>623</v>
      </c>
      <c r="C1627" s="10" t="n">
        <v>4623</v>
      </c>
      <c r="D1627" s="10" t="inlineStr">
        <is>
          <t>0401005101</t>
        </is>
      </c>
      <c r="E1627" s="26" t="inlineStr">
        <is>
          <t>Region IV-A (CALABARZON)</t>
        </is>
      </c>
      <c r="F1627" s="26" t="inlineStr">
        <is>
          <t>Batangas</t>
        </is>
      </c>
      <c r="G1627" s="26" t="inlineStr">
        <is>
          <t>Batangas City</t>
        </is>
      </c>
      <c r="H1627" s="26" t="inlineStr">
        <is>
          <t>Simlong</t>
        </is>
      </c>
      <c r="I1627" s="27" t="n">
        <v>13.667084</v>
      </c>
      <c r="J1627" s="27" t="n">
        <v>121.054368</v>
      </c>
      <c r="K1627" s="10" t="inlineStr">
        <is>
          <t>U</t>
        </is>
      </c>
      <c r="L1627" s="12" t="n">
        <v>4301</v>
      </c>
      <c r="M1627" s="14" t="n">
        <v>3.6</v>
      </c>
      <c r="N1627" s="12">
        <f>ROUND(L1627/M1627, 0)</f>
        <v/>
      </c>
      <c r="O1627" s="12">
        <f>ROUND(N1627*'Methodology &amp; Assumptions'!$B$5, 0)</f>
        <v/>
      </c>
      <c r="P1627" s="10" t="inlineStr">
        <is>
          <t>Single Carrier (Band n50, 100MHz TDD)</t>
        </is>
      </c>
      <c r="Q1627" s="13">
        <f>ROUNDUP(O1627/'Methodology &amp; Assumptions'!$B$6, 0)</f>
        <v/>
      </c>
      <c r="R1627" s="13" t="n">
        <v>1</v>
      </c>
      <c r="S1627" s="14" t="n">
        <v>2.39</v>
      </c>
      <c r="T1627" s="14" t="n">
        <v>9.91</v>
      </c>
      <c r="U1627" s="26">
        <f>IF(X1627&gt;='Methodology &amp; Assumptions'!$B$7, "Tier 1 Critical GIDA (Score ≥ 50.0)", IF(X1627&gt;='Methodology &amp; Assumptions'!$B$8, "Tier 2 High GIDA (Score 40.0–49.9)", "Tier 3 Moderate GIDA (Score &lt; 40.0)"))</f>
        <v/>
      </c>
      <c r="V1627" s="26">
        <f>IF(S1627&lt;='Methodology &amp; Assumptions'!$B$10, "Direct Optical Drop (&lt;3km)", IF(S1627&lt;='Methodology &amp; Assumptions'!$B$9, "Near Optical / Microwave (&lt;5km)", "Starlink Business LEO Satellite Backhaul (&gt;5km)"))</f>
        <v/>
      </c>
      <c r="W1627" s="28" t="n">
        <v>0.07200000000000001</v>
      </c>
      <c r="X1627" s="14" t="n">
        <v>42.29</v>
      </c>
      <c r="Y1627" s="14">
        <f>ROUND(MIN(100, (X1627/69.91)*100), 2)</f>
        <v/>
      </c>
    </row>
    <row r="1628">
      <c r="A1628" s="10" t="n">
        <v>5</v>
      </c>
      <c r="B1628" s="10" t="n">
        <v>624</v>
      </c>
      <c r="C1628" s="10" t="n">
        <v>4624</v>
      </c>
      <c r="D1628" s="10" t="inlineStr">
        <is>
          <t>PH0004624</t>
        </is>
      </c>
      <c r="E1628" s="26" t="inlineStr">
        <is>
          <t>III</t>
        </is>
      </c>
      <c r="F1628" s="26" t="inlineStr">
        <is>
          <t>Pampanga</t>
        </is>
      </c>
      <c r="G1628" s="26" t="inlineStr">
        <is>
          <t>Angeles City</t>
        </is>
      </c>
      <c r="H1628" s="26" t="inlineStr">
        <is>
          <t>Sto. Cristo</t>
        </is>
      </c>
      <c r="I1628" s="27" t="n">
        <v>15.16596</v>
      </c>
      <c r="J1628" s="27" t="n">
        <v>120.593285</v>
      </c>
      <c r="K1628" s="10" t="inlineStr">
        <is>
          <t>R</t>
        </is>
      </c>
      <c r="L1628" s="12" t="n">
        <v>2334</v>
      </c>
      <c r="M1628" s="14" t="n">
        <v>4</v>
      </c>
      <c r="N1628" s="12">
        <f>ROUND(L1628/M1628, 0)</f>
        <v/>
      </c>
      <c r="O1628" s="12">
        <f>ROUND(N1628*'Methodology &amp; Assumptions'!$B$5, 0)</f>
        <v/>
      </c>
      <c r="P1628" s="10" t="inlineStr">
        <is>
          <t>Single Carrier (Band n50, 100MHz TDD)</t>
        </is>
      </c>
      <c r="Q1628" s="13">
        <f>ROUNDUP(O1628/'Methodology &amp; Assumptions'!$B$6, 0)</f>
        <v/>
      </c>
      <c r="R1628" s="13" t="n">
        <v>1</v>
      </c>
      <c r="S1628" s="14" t="n">
        <v>0.19</v>
      </c>
      <c r="T1628" s="14" t="n">
        <v>0.18</v>
      </c>
      <c r="U1628" s="26">
        <f>IF(X1628&gt;='Methodology &amp; Assumptions'!$B$7, "Tier 1 Critical GIDA (Score ≥ 50.0)", IF(X1628&gt;='Methodology &amp; Assumptions'!$B$8, "Tier 2 High GIDA (Score 40.0–49.9)", "Tier 3 Moderate GIDA (Score &lt; 40.0)"))</f>
        <v/>
      </c>
      <c r="V1628" s="26">
        <f>IF(S1628&lt;='Methodology &amp; Assumptions'!$B$10, "Direct Optical Drop (&lt;3km)", IF(S1628&lt;='Methodology &amp; Assumptions'!$B$9, "Near Optical / Microwave (&lt;5km)", "Starlink Business LEO Satellite Backhaul (&gt;5km)"))</f>
        <v/>
      </c>
      <c r="W1628" s="28" t="n">
        <v>0.083</v>
      </c>
      <c r="X1628" s="14" t="n">
        <v>42.28</v>
      </c>
      <c r="Y1628" s="14">
        <f>ROUND(MIN(100, (X1628/69.91)*100), 2)</f>
        <v/>
      </c>
    </row>
    <row r="1629">
      <c r="A1629" s="10" t="n">
        <v>5</v>
      </c>
      <c r="B1629" s="10" t="n">
        <v>625</v>
      </c>
      <c r="C1629" s="10" t="n">
        <v>4625</v>
      </c>
      <c r="D1629" s="10" t="inlineStr">
        <is>
          <t>1001301001</t>
        </is>
      </c>
      <c r="E1629" s="26" t="inlineStr">
        <is>
          <t>Region X (Northern Mindanao)</t>
        </is>
      </c>
      <c r="F1629" s="26" t="inlineStr">
        <is>
          <t>Bukidnon</t>
        </is>
      </c>
      <c r="G1629" s="26" t="inlineStr">
        <is>
          <t>Baungon</t>
        </is>
      </c>
      <c r="H1629" s="26" t="inlineStr">
        <is>
          <t>Balintad</t>
        </is>
      </c>
      <c r="I1629" s="27" t="n">
        <v>8.247226</v>
      </c>
      <c r="J1629" s="27" t="n">
        <v>124.698281</v>
      </c>
      <c r="K1629" s="10" t="inlineStr">
        <is>
          <t>R</t>
        </is>
      </c>
      <c r="L1629" s="12" t="n">
        <v>732</v>
      </c>
      <c r="M1629" s="14" t="n">
        <v>3.8</v>
      </c>
      <c r="N1629" s="12">
        <f>ROUND(L1629/M1629, 0)</f>
        <v/>
      </c>
      <c r="O1629" s="12">
        <f>ROUND(N1629*'Methodology &amp; Assumptions'!$B$5, 0)</f>
        <v/>
      </c>
      <c r="P1629" s="10" t="inlineStr">
        <is>
          <t>Single Carrier (Band n50, 100MHz TDD)</t>
        </is>
      </c>
      <c r="Q1629" s="13">
        <f>ROUNDUP(O1629/'Methodology &amp; Assumptions'!$B$6, 0)</f>
        <v/>
      </c>
      <c r="R1629" s="13" t="n">
        <v>1</v>
      </c>
      <c r="S1629" s="14" t="n">
        <v>10.77</v>
      </c>
      <c r="T1629" s="14" t="n">
        <v>10.67</v>
      </c>
      <c r="U1629" s="26">
        <f>IF(X1629&gt;='Methodology &amp; Assumptions'!$B$7, "Tier 1 Critical GIDA (Score ≥ 50.0)", IF(X1629&gt;='Methodology &amp; Assumptions'!$B$8, "Tier 2 High GIDA (Score 40.0–49.9)", "Tier 3 Moderate GIDA (Score &lt; 40.0)"))</f>
        <v/>
      </c>
      <c r="V1629" s="26">
        <f>IF(S1629&lt;='Methodology &amp; Assumptions'!$B$10, "Direct Optical Drop (&lt;3km)", IF(S1629&lt;='Methodology &amp; Assumptions'!$B$9, "Near Optical / Microwave (&lt;5km)", "Starlink Business LEO Satellite Backhaul (&gt;5km)"))</f>
        <v/>
      </c>
      <c r="W1629" s="28" t="n">
        <v>0.174</v>
      </c>
      <c r="X1629" s="14" t="n">
        <v>42.28</v>
      </c>
      <c r="Y1629" s="14">
        <f>ROUND(MIN(100, (X1629/69.91)*100), 2)</f>
        <v/>
      </c>
    </row>
    <row r="1630">
      <c r="A1630" s="10" t="n">
        <v>5</v>
      </c>
      <c r="B1630" s="10" t="n">
        <v>626</v>
      </c>
      <c r="C1630" s="10" t="n">
        <v>4626</v>
      </c>
      <c r="D1630" s="10" t="inlineStr">
        <is>
          <t>PH0004626</t>
        </is>
      </c>
      <c r="E1630" s="26" t="inlineStr">
        <is>
          <t>IV-A</t>
        </is>
      </c>
      <c r="F1630" s="26" t="inlineStr">
        <is>
          <t>Cavite</t>
        </is>
      </c>
      <c r="G1630" s="26" t="inlineStr">
        <is>
          <t>Cavite City</t>
        </is>
      </c>
      <c r="H1630" s="26" t="inlineStr">
        <is>
          <t>Barangay 23</t>
        </is>
      </c>
      <c r="I1630" s="27" t="n">
        <v>14.517369</v>
      </c>
      <c r="J1630" s="27" t="n">
        <v>120.917235</v>
      </c>
      <c r="K1630" s="10" t="inlineStr">
        <is>
          <t>R</t>
        </is>
      </c>
      <c r="L1630" s="12" t="n">
        <v>2316</v>
      </c>
      <c r="M1630" s="14" t="n">
        <v>3.4</v>
      </c>
      <c r="N1630" s="12">
        <f>ROUND(L1630/M1630, 0)</f>
        <v/>
      </c>
      <c r="O1630" s="12">
        <f>ROUND(N1630*'Methodology &amp; Assumptions'!$B$5, 0)</f>
        <v/>
      </c>
      <c r="P1630" s="10" t="inlineStr">
        <is>
          <t>Single Carrier (Band n50, 100MHz TDD)</t>
        </is>
      </c>
      <c r="Q1630" s="13">
        <f>ROUNDUP(O1630/'Methodology &amp; Assumptions'!$B$6, 0)</f>
        <v/>
      </c>
      <c r="R1630" s="13" t="n">
        <v>1</v>
      </c>
      <c r="S1630" s="14" t="n">
        <v>5.71</v>
      </c>
      <c r="T1630" s="14" t="n">
        <v>7.49</v>
      </c>
      <c r="U1630" s="26">
        <f>IF(X1630&gt;='Methodology &amp; Assumptions'!$B$7, "Tier 1 Critical GIDA (Score ≥ 50.0)", IF(X1630&gt;='Methodology &amp; Assumptions'!$B$8, "Tier 2 High GIDA (Score 40.0–49.9)", "Tier 3 Moderate GIDA (Score &lt; 40.0)"))</f>
        <v/>
      </c>
      <c r="V1630" s="26">
        <f>IF(S1630&lt;='Methodology &amp; Assumptions'!$B$10, "Direct Optical Drop (&lt;3km)", IF(S1630&lt;='Methodology &amp; Assumptions'!$B$9, "Near Optical / Microwave (&lt;5km)", "Starlink Business LEO Satellite Backhaul (&gt;5km)"))</f>
        <v/>
      </c>
      <c r="W1630" s="28" t="n">
        <v>0.07200000000000001</v>
      </c>
      <c r="X1630" s="14" t="n">
        <v>42.28</v>
      </c>
      <c r="Y1630" s="14">
        <f>ROUND(MIN(100, (X1630/69.91)*100), 2)</f>
        <v/>
      </c>
    </row>
    <row r="1631">
      <c r="A1631" s="10" t="n">
        <v>5</v>
      </c>
      <c r="B1631" s="10" t="n">
        <v>627</v>
      </c>
      <c r="C1631" s="10" t="n">
        <v>4627</v>
      </c>
      <c r="D1631" s="10" t="inlineStr">
        <is>
          <t>0500511011</t>
        </is>
      </c>
      <c r="E1631" s="26" t="inlineStr">
        <is>
          <t>Region V (Bicol Region)</t>
        </is>
      </c>
      <c r="F1631" s="26" t="inlineStr">
        <is>
          <t>Albay</t>
        </is>
      </c>
      <c r="G1631" s="26" t="inlineStr">
        <is>
          <t>Manito</t>
        </is>
      </c>
      <c r="H1631" s="26" t="inlineStr">
        <is>
          <t>Malobago</t>
        </is>
      </c>
      <c r="I1631" s="27" t="n">
        <v>13.0805</v>
      </c>
      <c r="J1631" s="27" t="n">
        <v>123.835</v>
      </c>
      <c r="K1631" s="10" t="inlineStr">
        <is>
          <t>R</t>
        </is>
      </c>
      <c r="L1631" s="12" t="n">
        <v>822</v>
      </c>
      <c r="M1631" s="14" t="n">
        <v>4.1</v>
      </c>
      <c r="N1631" s="12">
        <f>ROUND(L1631/M1631, 0)</f>
        <v/>
      </c>
      <c r="O1631" s="12">
        <f>ROUND(N1631*'Methodology &amp; Assumptions'!$B$5, 0)</f>
        <v/>
      </c>
      <c r="P1631" s="10" t="inlineStr">
        <is>
          <t>Single Carrier (Band n50, 100MHz TDD)</t>
        </is>
      </c>
      <c r="Q1631" s="13">
        <f>ROUNDUP(O1631/'Methodology &amp; Assumptions'!$B$6, 0)</f>
        <v/>
      </c>
      <c r="R1631" s="13" t="n">
        <v>1</v>
      </c>
      <c r="S1631" s="14" t="n">
        <v>6.07</v>
      </c>
      <c r="T1631" s="14" t="n">
        <v>9.98</v>
      </c>
      <c r="U1631" s="26">
        <f>IF(X1631&gt;='Methodology &amp; Assumptions'!$B$7, "Tier 1 Critical GIDA (Score ≥ 50.0)", IF(X1631&gt;='Methodology &amp; Assumptions'!$B$8, "Tier 2 High GIDA (Score 40.0–49.9)", "Tier 3 Moderate GIDA (Score &lt; 40.0)"))</f>
        <v/>
      </c>
      <c r="V1631" s="26">
        <f>IF(S1631&lt;='Methodology &amp; Assumptions'!$B$10, "Direct Optical Drop (&lt;3km)", IF(S1631&lt;='Methodology &amp; Assumptions'!$B$9, "Near Optical / Microwave (&lt;5km)", "Starlink Business LEO Satellite Backhaul (&gt;5km)"))</f>
        <v/>
      </c>
      <c r="W1631" s="28" t="n">
        <v>0.237</v>
      </c>
      <c r="X1631" s="14" t="n">
        <v>42.28</v>
      </c>
      <c r="Y1631" s="14">
        <f>ROUND(MIN(100, (X1631/69.91)*100), 2)</f>
        <v/>
      </c>
    </row>
    <row r="1632">
      <c r="A1632" s="10" t="n">
        <v>5</v>
      </c>
      <c r="B1632" s="10" t="n">
        <v>628</v>
      </c>
      <c r="C1632" s="10" t="n">
        <v>4628</v>
      </c>
      <c r="D1632" s="10" t="inlineStr">
        <is>
          <t>1903620015</t>
        </is>
      </c>
      <c r="E1632" s="26" t="inlineStr">
        <is>
          <t>Bangsamoro Autonomous Region In Muslim Mindanao (BARMM)</t>
        </is>
      </c>
      <c r="F1632" s="26" t="inlineStr">
        <is>
          <t>Lanao del Sur</t>
        </is>
      </c>
      <c r="G1632" s="26" t="inlineStr">
        <is>
          <t>Pagayawan</t>
        </is>
      </c>
      <c r="H1632" s="26" t="inlineStr">
        <is>
          <t>Diampaca</t>
        </is>
      </c>
      <c r="I1632" s="27" t="n">
        <v>17.245809</v>
      </c>
      <c r="J1632" s="27" t="n">
        <v>122.227078</v>
      </c>
      <c r="K1632" s="10" t="inlineStr">
        <is>
          <t>R</t>
        </is>
      </c>
      <c r="L1632" s="12" t="n">
        <v>778</v>
      </c>
      <c r="M1632" s="14" t="n">
        <v>5.7</v>
      </c>
      <c r="N1632" s="12">
        <f>ROUND(L1632/M1632, 0)</f>
        <v/>
      </c>
      <c r="O1632" s="12">
        <f>ROUND(N1632*'Methodology &amp; Assumptions'!$B$5, 0)</f>
        <v/>
      </c>
      <c r="P1632" s="10" t="inlineStr">
        <is>
          <t>Single Carrier (Band n50, 100MHz TDD)</t>
        </is>
      </c>
      <c r="Q1632" s="13">
        <f>ROUNDUP(O1632/'Methodology &amp; Assumptions'!$B$6, 0)</f>
        <v/>
      </c>
      <c r="R1632" s="13" t="n">
        <v>1</v>
      </c>
      <c r="S1632" s="14" t="n">
        <v>28.63</v>
      </c>
      <c r="T1632" s="14" t="n">
        <v>33.84</v>
      </c>
      <c r="U1632" s="26">
        <f>IF(X1632&gt;='Methodology &amp; Assumptions'!$B$7, "Tier 1 Critical GIDA (Score ≥ 50.0)", IF(X1632&gt;='Methodology &amp; Assumptions'!$B$8, "Tier 2 High GIDA (Score 40.0–49.9)", "Tier 3 Moderate GIDA (Score &lt; 40.0)"))</f>
        <v/>
      </c>
      <c r="V1632" s="26">
        <f>IF(S1632&lt;='Methodology &amp; Assumptions'!$B$10, "Direct Optical Drop (&lt;3km)", IF(S1632&lt;='Methodology &amp; Assumptions'!$B$9, "Near Optical / Microwave (&lt;5km)", "Starlink Business LEO Satellite Backhaul (&gt;5km)"))</f>
        <v/>
      </c>
      <c r="W1632" s="28" t="n">
        <v>0.11</v>
      </c>
      <c r="X1632" s="14" t="n">
        <v>42.27</v>
      </c>
      <c r="Y1632" s="14">
        <f>ROUND(MIN(100, (X1632/69.91)*100), 2)</f>
        <v/>
      </c>
    </row>
    <row r="1633">
      <c r="A1633" s="10" t="n">
        <v>5</v>
      </c>
      <c r="B1633" s="10" t="n">
        <v>629</v>
      </c>
      <c r="C1633" s="10" t="n">
        <v>4629</v>
      </c>
      <c r="D1633" s="10" t="inlineStr">
        <is>
          <t>0403403008</t>
        </is>
      </c>
      <c r="E1633" s="26" t="inlineStr">
        <is>
          <t>Region IV-A (CALABARZON)</t>
        </is>
      </c>
      <c r="F1633" s="26" t="inlineStr">
        <is>
          <t>Laguna</t>
        </is>
      </c>
      <c r="G1633" s="26" t="inlineStr">
        <is>
          <t>City of Biñan</t>
        </is>
      </c>
      <c r="H1633" s="26" t="inlineStr">
        <is>
          <t>San Francisco</t>
        </is>
      </c>
      <c r="I1633" s="27" t="n">
        <v>14.331148</v>
      </c>
      <c r="J1633" s="27" t="n">
        <v>121.056015</v>
      </c>
      <c r="K1633" s="10" t="inlineStr">
        <is>
          <t>U</t>
        </is>
      </c>
      <c r="L1633" s="12" t="n">
        <v>43047</v>
      </c>
      <c r="M1633" s="14" t="n">
        <v>3.3</v>
      </c>
      <c r="N1633" s="12">
        <f>ROUND(L1633/M1633, 0)</f>
        <v/>
      </c>
      <c r="O1633" s="12">
        <f>ROUND(N1633*'Methodology &amp; Assumptions'!$B$5, 0)</f>
        <v/>
      </c>
      <c r="P1633" s="10" t="inlineStr">
        <is>
          <t>Single Carrier (Band n50, 100MHz TDD)</t>
        </is>
      </c>
      <c r="Q1633" s="13">
        <f>ROUNDUP(O1633/'Methodology &amp; Assumptions'!$B$6, 0)</f>
        <v/>
      </c>
      <c r="R1633" s="13" t="n">
        <v>1</v>
      </c>
      <c r="S1633" s="14" t="n">
        <v>2.25</v>
      </c>
      <c r="T1633" s="14" t="n">
        <v>1.36</v>
      </c>
      <c r="U1633" s="26">
        <f>IF(X1633&gt;='Methodology &amp; Assumptions'!$B$7, "Tier 1 Critical GIDA (Score ≥ 50.0)", IF(X1633&gt;='Methodology &amp; Assumptions'!$B$8, "Tier 2 High GIDA (Score 40.0–49.9)", "Tier 3 Moderate GIDA (Score &lt; 40.0)"))</f>
        <v/>
      </c>
      <c r="V1633" s="26">
        <f>IF(S1633&lt;='Methodology &amp; Assumptions'!$B$10, "Direct Optical Drop (&lt;3km)", IF(S1633&lt;='Methodology &amp; Assumptions'!$B$9, "Near Optical / Microwave (&lt;5km)", "Starlink Business LEO Satellite Backhaul (&gt;5km)"))</f>
        <v/>
      </c>
      <c r="W1633" s="28" t="n">
        <v>0.07200000000000001</v>
      </c>
      <c r="X1633" s="14" t="n">
        <v>42.27</v>
      </c>
      <c r="Y1633" s="14">
        <f>ROUND(MIN(100, (X1633/69.91)*100), 2)</f>
        <v/>
      </c>
    </row>
    <row r="1634">
      <c r="A1634" s="10" t="n">
        <v>5</v>
      </c>
      <c r="B1634" s="10" t="n">
        <v>630</v>
      </c>
      <c r="C1634" s="10" t="n">
        <v>4630</v>
      </c>
      <c r="D1634" s="10" t="inlineStr">
        <is>
          <t>1381300119</t>
        </is>
      </c>
      <c r="E1634" s="26" t="inlineStr">
        <is>
          <t>National Capital Region (NCR)</t>
        </is>
      </c>
      <c r="F1634" s="26" t="inlineStr">
        <is>
          <t>Second District (Not a Province)</t>
        </is>
      </c>
      <c r="G1634" s="26" t="inlineStr">
        <is>
          <t>Quezon City</t>
        </is>
      </c>
      <c r="H1634" s="26" t="inlineStr">
        <is>
          <t>Talipapa</t>
        </is>
      </c>
      <c r="I1634" s="27" t="n">
        <v>14.686981</v>
      </c>
      <c r="J1634" s="27" t="n">
        <v>121.02536</v>
      </c>
      <c r="K1634" s="10" t="inlineStr">
        <is>
          <t>U</t>
        </is>
      </c>
      <c r="L1634" s="12" t="n">
        <v>40584</v>
      </c>
      <c r="M1634" s="14" t="n">
        <v>3.8</v>
      </c>
      <c r="N1634" s="12">
        <f>ROUND(L1634/M1634, 0)</f>
        <v/>
      </c>
      <c r="O1634" s="12">
        <f>ROUND(N1634*'Methodology &amp; Assumptions'!$B$5, 0)</f>
        <v/>
      </c>
      <c r="P1634" s="10" t="inlineStr">
        <is>
          <t>Single Carrier (Band n50, 100MHz TDD)</t>
        </is>
      </c>
      <c r="Q1634" s="13">
        <f>ROUNDUP(O1634/'Methodology &amp; Assumptions'!$B$6, 0)</f>
        <v/>
      </c>
      <c r="R1634" s="13" t="n">
        <v>1</v>
      </c>
      <c r="S1634" s="14" t="n">
        <v>0.86</v>
      </c>
      <c r="T1634" s="14" t="n">
        <v>0.08</v>
      </c>
      <c r="U1634" s="26">
        <f>IF(X1634&gt;='Methodology &amp; Assumptions'!$B$7, "Tier 1 Critical GIDA (Score ≥ 50.0)", IF(X1634&gt;='Methodology &amp; Assumptions'!$B$8, "Tier 2 High GIDA (Score 40.0–49.9)", "Tier 3 Moderate GIDA (Score &lt; 40.0)"))</f>
        <v/>
      </c>
      <c r="V1634" s="26">
        <f>IF(S1634&lt;='Methodology &amp; Assumptions'!$B$10, "Direct Optical Drop (&lt;3km)", IF(S1634&lt;='Methodology &amp; Assumptions'!$B$9, "Near Optical / Microwave (&lt;5km)", "Starlink Business LEO Satellite Backhaul (&gt;5km)"))</f>
        <v/>
      </c>
      <c r="W1634" s="28" t="n">
        <v>0.109</v>
      </c>
      <c r="X1634" s="14" t="n">
        <v>42.27</v>
      </c>
      <c r="Y1634" s="14">
        <f>ROUND(MIN(100, (X1634/69.91)*100), 2)</f>
        <v/>
      </c>
    </row>
    <row r="1635">
      <c r="A1635" s="10" t="n">
        <v>5</v>
      </c>
      <c r="B1635" s="10" t="n">
        <v>631</v>
      </c>
      <c r="C1635" s="10" t="n">
        <v>4631</v>
      </c>
      <c r="D1635" s="10" t="inlineStr">
        <is>
          <t>1903606037</t>
        </is>
      </c>
      <c r="E1635" s="26" t="inlineStr">
        <is>
          <t>Bangsamoro Autonomous Region In Muslim Mindanao (BARMM)</t>
        </is>
      </c>
      <c r="F1635" s="26" t="inlineStr">
        <is>
          <t>Lanao del Sur</t>
        </is>
      </c>
      <c r="G1635" s="26" t="inlineStr">
        <is>
          <t>Bubong</t>
        </is>
      </c>
      <c r="H1635" s="26" t="inlineStr">
        <is>
          <t>Palao</t>
        </is>
      </c>
      <c r="I1635" s="27" t="n">
        <v>16.181615</v>
      </c>
      <c r="J1635" s="27" t="n">
        <v>122.462366</v>
      </c>
      <c r="K1635" s="10" t="inlineStr">
        <is>
          <t>R</t>
        </is>
      </c>
      <c r="L1635" s="12" t="n">
        <v>1104</v>
      </c>
      <c r="M1635" s="14" t="n">
        <v>5.7</v>
      </c>
      <c r="N1635" s="12">
        <f>ROUND(L1635/M1635, 0)</f>
        <v/>
      </c>
      <c r="O1635" s="12">
        <f>ROUND(N1635*'Methodology &amp; Assumptions'!$B$5, 0)</f>
        <v/>
      </c>
      <c r="P1635" s="10" t="inlineStr">
        <is>
          <t>Single Carrier (Band n50, 100MHz TDD)</t>
        </is>
      </c>
      <c r="Q1635" s="13">
        <f>ROUNDUP(O1635/'Methodology &amp; Assumptions'!$B$6, 0)</f>
        <v/>
      </c>
      <c r="R1635" s="13" t="n">
        <v>1</v>
      </c>
      <c r="S1635" s="14" t="n">
        <v>37.62</v>
      </c>
      <c r="T1635" s="14" t="n">
        <v>36.63</v>
      </c>
      <c r="U1635" s="26">
        <f>IF(X1635&gt;='Methodology &amp; Assumptions'!$B$7, "Tier 1 Critical GIDA (Score ≥ 50.0)", IF(X1635&gt;='Methodology &amp; Assumptions'!$B$8, "Tier 2 High GIDA (Score 40.0–49.9)", "Tier 3 Moderate GIDA (Score &lt; 40.0)"))</f>
        <v/>
      </c>
      <c r="V1635" s="26">
        <f>IF(S1635&lt;='Methodology &amp; Assumptions'!$B$10, "Direct Optical Drop (&lt;3km)", IF(S1635&lt;='Methodology &amp; Assumptions'!$B$9, "Near Optical / Microwave (&lt;5km)", "Starlink Business LEO Satellite Backhaul (&gt;5km)"))</f>
        <v/>
      </c>
      <c r="W1635" s="28" t="n">
        <v>0.11</v>
      </c>
      <c r="X1635" s="14" t="n">
        <v>42.26</v>
      </c>
      <c r="Y1635" s="14">
        <f>ROUND(MIN(100, (X1635/69.91)*100), 2)</f>
        <v/>
      </c>
    </row>
    <row r="1636">
      <c r="A1636" s="10" t="n">
        <v>5</v>
      </c>
      <c r="B1636" s="10" t="n">
        <v>632</v>
      </c>
      <c r="C1636" s="10" t="n">
        <v>4632</v>
      </c>
      <c r="D1636" s="10" t="inlineStr">
        <is>
          <t>1381200019</t>
        </is>
      </c>
      <c r="E1636" s="26" t="inlineStr">
        <is>
          <t>National Capital Region (NCR)</t>
        </is>
      </c>
      <c r="F1636" s="26" t="inlineStr">
        <is>
          <t>Second District (Not a Province)</t>
        </is>
      </c>
      <c r="G1636" s="26" t="inlineStr">
        <is>
          <t>City of Pasig</t>
        </is>
      </c>
      <c r="H1636" s="26" t="inlineStr">
        <is>
          <t>San Antonio</t>
        </is>
      </c>
      <c r="I1636" s="27" t="n">
        <v>14.589206</v>
      </c>
      <c r="J1636" s="27" t="n">
        <v>121.091294</v>
      </c>
      <c r="K1636" s="10" t="inlineStr">
        <is>
          <t>U</t>
        </is>
      </c>
      <c r="L1636" s="12" t="n">
        <v>12455</v>
      </c>
      <c r="M1636" s="14" t="n">
        <v>3.4</v>
      </c>
      <c r="N1636" s="12">
        <f>ROUND(L1636/M1636, 0)</f>
        <v/>
      </c>
      <c r="O1636" s="12">
        <f>ROUND(N1636*'Methodology &amp; Assumptions'!$B$5, 0)</f>
        <v/>
      </c>
      <c r="P1636" s="10" t="inlineStr">
        <is>
          <t>Single Carrier (Band n50, 100MHz TDD)</t>
        </is>
      </c>
      <c r="Q1636" s="13">
        <f>ROUNDUP(O1636/'Methodology &amp; Assumptions'!$B$6, 0)</f>
        <v/>
      </c>
      <c r="R1636" s="13" t="n">
        <v>1</v>
      </c>
      <c r="S1636" s="14" t="n">
        <v>1.18</v>
      </c>
      <c r="T1636" s="14" t="n">
        <v>0.13</v>
      </c>
      <c r="U1636" s="26">
        <f>IF(X1636&gt;='Methodology &amp; Assumptions'!$B$7, "Tier 1 Critical GIDA (Score ≥ 50.0)", IF(X1636&gt;='Methodology &amp; Assumptions'!$B$8, "Tier 2 High GIDA (Score 40.0–49.9)", "Tier 3 Moderate GIDA (Score &lt; 40.0)"))</f>
        <v/>
      </c>
      <c r="V1636" s="26">
        <f>IF(S1636&lt;='Methodology &amp; Assumptions'!$B$10, "Direct Optical Drop (&lt;3km)", IF(S1636&lt;='Methodology &amp; Assumptions'!$B$9, "Near Optical / Microwave (&lt;5km)", "Starlink Business LEO Satellite Backhaul (&gt;5km)"))</f>
        <v/>
      </c>
      <c r="W1636" s="28" t="n">
        <v>0.109</v>
      </c>
      <c r="X1636" s="14" t="n">
        <v>42.26</v>
      </c>
      <c r="Y1636" s="14">
        <f>ROUND(MIN(100, (X1636/69.91)*100), 2)</f>
        <v/>
      </c>
    </row>
    <row r="1637">
      <c r="A1637" s="10" t="n">
        <v>5</v>
      </c>
      <c r="B1637" s="10" t="n">
        <v>633</v>
      </c>
      <c r="C1637" s="10" t="n">
        <v>4633</v>
      </c>
      <c r="D1637" s="10" t="inlineStr">
        <is>
          <t>1705104008</t>
        </is>
      </c>
      <c r="E1637" s="26" t="inlineStr">
        <is>
          <t>MIMAROPA Region</t>
        </is>
      </c>
      <c r="F1637" s="26" t="inlineStr">
        <is>
          <t>Occidental Mindoro</t>
        </is>
      </c>
      <c r="G1637" s="26" t="inlineStr">
        <is>
          <t>Lubang</t>
        </is>
      </c>
      <c r="H1637" s="26" t="inlineStr">
        <is>
          <t>Vigo</t>
        </is>
      </c>
      <c r="I1637" s="27" t="n">
        <v>13.82463</v>
      </c>
      <c r="J1637" s="27" t="n">
        <v>120.182248</v>
      </c>
      <c r="K1637" s="10" t="inlineStr">
        <is>
          <t>R</t>
        </is>
      </c>
      <c r="L1637" s="12" t="n">
        <v>1961</v>
      </c>
      <c r="M1637" s="14" t="n">
        <v>3.9</v>
      </c>
      <c r="N1637" s="12">
        <f>ROUND(L1637/M1637, 0)</f>
        <v/>
      </c>
      <c r="O1637" s="12">
        <f>ROUND(N1637*'Methodology &amp; Assumptions'!$B$5, 0)</f>
        <v/>
      </c>
      <c r="P1637" s="10" t="inlineStr">
        <is>
          <t>Single Carrier (Band n50, 100MHz TDD)</t>
        </is>
      </c>
      <c r="Q1637" s="13">
        <f>ROUNDUP(O1637/'Methodology &amp; Assumptions'!$B$6, 0)</f>
        <v/>
      </c>
      <c r="R1637" s="13" t="n">
        <v>1</v>
      </c>
      <c r="S1637" s="14" t="n">
        <v>48.33</v>
      </c>
      <c r="T1637" s="14" t="n">
        <v>48.42</v>
      </c>
      <c r="U1637" s="26">
        <f>IF(X1637&gt;='Methodology &amp; Assumptions'!$B$7, "Tier 1 Critical GIDA (Score ≥ 50.0)", IF(X1637&gt;='Methodology &amp; Assumptions'!$B$8, "Tier 2 High GIDA (Score 40.0–49.9)", "Tier 3 Moderate GIDA (Score &lt; 40.0)"))</f>
        <v/>
      </c>
      <c r="V1637" s="26">
        <f>IF(S1637&lt;='Methodology &amp; Assumptions'!$B$10, "Direct Optical Drop (&lt;3km)", IF(S1637&lt;='Methodology &amp; Assumptions'!$B$9, "Near Optical / Microwave (&lt;5km)", "Starlink Business LEO Satellite Backhaul (&gt;5km)"))</f>
        <v/>
      </c>
      <c r="W1637" s="28" t="n">
        <v>0.15</v>
      </c>
      <c r="X1637" s="14" t="n">
        <v>42.26</v>
      </c>
      <c r="Y1637" s="14">
        <f>ROUND(MIN(100, (X1637/69.91)*100), 2)</f>
        <v/>
      </c>
    </row>
    <row r="1638">
      <c r="A1638" s="10" t="n">
        <v>5</v>
      </c>
      <c r="B1638" s="10" t="n">
        <v>634</v>
      </c>
      <c r="C1638" s="10" t="n">
        <v>4634</v>
      </c>
      <c r="D1638" s="10" t="inlineStr">
        <is>
          <t>0403405049</t>
        </is>
      </c>
      <c r="E1638" s="26" t="inlineStr">
        <is>
          <t>Region IV-A (CALABARZON)</t>
        </is>
      </c>
      <c r="F1638" s="26" t="inlineStr">
        <is>
          <t>Laguna</t>
        </is>
      </c>
      <c r="G1638" s="26" t="inlineStr">
        <is>
          <t>City of Calamba</t>
        </is>
      </c>
      <c r="H1638" s="26" t="inlineStr">
        <is>
          <t>Real</t>
        </is>
      </c>
      <c r="I1638" s="27" t="n">
        <v>14.198547</v>
      </c>
      <c r="J1638" s="27" t="n">
        <v>121.149164</v>
      </c>
      <c r="K1638" s="10" t="inlineStr">
        <is>
          <t>U</t>
        </is>
      </c>
      <c r="L1638" s="12" t="n">
        <v>17945</v>
      </c>
      <c r="M1638" s="14" t="n">
        <v>3.3</v>
      </c>
      <c r="N1638" s="12">
        <f>ROUND(L1638/M1638, 0)</f>
        <v/>
      </c>
      <c r="O1638" s="12">
        <f>ROUND(N1638*'Methodology &amp; Assumptions'!$B$5, 0)</f>
        <v/>
      </c>
      <c r="P1638" s="10" t="inlineStr">
        <is>
          <t>Single Carrier (Band n50, 100MHz TDD)</t>
        </is>
      </c>
      <c r="Q1638" s="13">
        <f>ROUNDUP(O1638/'Methodology &amp; Assumptions'!$B$6, 0)</f>
        <v/>
      </c>
      <c r="R1638" s="13" t="n">
        <v>1</v>
      </c>
      <c r="S1638" s="14" t="n">
        <v>0.36</v>
      </c>
      <c r="T1638" s="14" t="n">
        <v>0.2</v>
      </c>
      <c r="U1638" s="26">
        <f>IF(X1638&gt;='Methodology &amp; Assumptions'!$B$7, "Tier 1 Critical GIDA (Score ≥ 50.0)", IF(X1638&gt;='Methodology &amp; Assumptions'!$B$8, "Tier 2 High GIDA (Score 40.0–49.9)", "Tier 3 Moderate GIDA (Score &lt; 40.0)"))</f>
        <v/>
      </c>
      <c r="V1638" s="26">
        <f>IF(S1638&lt;='Methodology &amp; Assumptions'!$B$10, "Direct Optical Drop (&lt;3km)", IF(S1638&lt;='Methodology &amp; Assumptions'!$B$9, "Near Optical / Microwave (&lt;5km)", "Starlink Business LEO Satellite Backhaul (&gt;5km)"))</f>
        <v/>
      </c>
      <c r="W1638" s="28" t="n">
        <v>0.07200000000000001</v>
      </c>
      <c r="X1638" s="14" t="n">
        <v>42.26</v>
      </c>
      <c r="Y1638" s="14">
        <f>ROUND(MIN(100, (X1638/69.91)*100), 2)</f>
        <v/>
      </c>
    </row>
    <row r="1639">
      <c r="A1639" s="10" t="n">
        <v>5</v>
      </c>
      <c r="B1639" s="10" t="n">
        <v>635</v>
      </c>
      <c r="C1639" s="10" t="n">
        <v>4635</v>
      </c>
      <c r="D1639" s="10" t="inlineStr">
        <is>
          <t>0203123013</t>
        </is>
      </c>
      <c r="E1639" s="26" t="inlineStr">
        <is>
          <t>Region II (Cagayan Valley)</t>
        </is>
      </c>
      <c r="F1639" s="26" t="inlineStr">
        <is>
          <t>Isabela</t>
        </is>
      </c>
      <c r="G1639" s="26" t="inlineStr">
        <is>
          <t>Quirino</t>
        </is>
      </c>
      <c r="H1639" s="26" t="inlineStr">
        <is>
          <t>Santa Catalina</t>
        </is>
      </c>
      <c r="I1639" s="27" t="n">
        <v>17.161944</v>
      </c>
      <c r="J1639" s="27" t="n">
        <v>121.6775</v>
      </c>
      <c r="K1639" s="10" t="inlineStr">
        <is>
          <t>R</t>
        </is>
      </c>
      <c r="L1639" s="12" t="n">
        <v>802</v>
      </c>
      <c r="M1639" s="14" t="n">
        <v>3.9</v>
      </c>
      <c r="N1639" s="12">
        <f>ROUND(L1639/M1639, 0)</f>
        <v/>
      </c>
      <c r="O1639" s="12">
        <f>ROUND(N1639*'Methodology &amp; Assumptions'!$B$5, 0)</f>
        <v/>
      </c>
      <c r="P1639" s="10" t="inlineStr">
        <is>
          <t>Single Carrier (Band n50, 100MHz TDD)</t>
        </is>
      </c>
      <c r="Q1639" s="13">
        <f>ROUNDUP(O1639/'Methodology &amp; Assumptions'!$B$6, 0)</f>
        <v/>
      </c>
      <c r="R1639" s="13" t="n">
        <v>1</v>
      </c>
      <c r="S1639" s="14" t="n">
        <v>6.93</v>
      </c>
      <c r="T1639" s="14" t="n">
        <v>6.74</v>
      </c>
      <c r="U1639" s="26">
        <f>IF(X1639&gt;='Methodology &amp; Assumptions'!$B$7, "Tier 1 Critical GIDA (Score ≥ 50.0)", IF(X1639&gt;='Methodology &amp; Assumptions'!$B$8, "Tier 2 High GIDA (Score 40.0–49.9)", "Tier 3 Moderate GIDA (Score &lt; 40.0)"))</f>
        <v/>
      </c>
      <c r="V1639" s="26">
        <f>IF(S1639&lt;='Methodology &amp; Assumptions'!$B$10, "Direct Optical Drop (&lt;3km)", IF(S1639&lt;='Methodology &amp; Assumptions'!$B$9, "Near Optical / Microwave (&lt;5km)", "Starlink Business LEO Satellite Backhaul (&gt;5km)"))</f>
        <v/>
      </c>
      <c r="W1639" s="28" t="n">
        <v>0.083</v>
      </c>
      <c r="X1639" s="14" t="n">
        <v>42.26</v>
      </c>
      <c r="Y1639" s="14">
        <f>ROUND(MIN(100, (X1639/69.91)*100), 2)</f>
        <v/>
      </c>
    </row>
    <row r="1640">
      <c r="A1640" s="10" t="n">
        <v>5</v>
      </c>
      <c r="B1640" s="10" t="n">
        <v>636</v>
      </c>
      <c r="C1640" s="10" t="n">
        <v>4636</v>
      </c>
      <c r="D1640" s="10" t="inlineStr">
        <is>
          <t>1004201028</t>
        </is>
      </c>
      <c r="E1640" s="26" t="inlineStr">
        <is>
          <t>Region X (Northern Mindanao)</t>
        </is>
      </c>
      <c r="F1640" s="26" t="inlineStr">
        <is>
          <t>Misamis Occidental</t>
        </is>
      </c>
      <c r="G1640" s="26" t="inlineStr">
        <is>
          <t>Aloran</t>
        </is>
      </c>
      <c r="H1640" s="26" t="inlineStr">
        <is>
          <t>Roxas</t>
        </is>
      </c>
      <c r="I1640" s="27" t="n">
        <v>8.383234</v>
      </c>
      <c r="J1640" s="27" t="n">
        <v>123.7303</v>
      </c>
      <c r="K1640" s="10" t="inlineStr">
        <is>
          <t>R</t>
        </is>
      </c>
      <c r="L1640" s="12" t="n">
        <v>143</v>
      </c>
      <c r="M1640" s="14" t="n">
        <v>3.9</v>
      </c>
      <c r="N1640" s="12">
        <f>ROUND(L1640/M1640, 0)</f>
        <v/>
      </c>
      <c r="O1640" s="12">
        <f>ROUND(N1640*'Methodology &amp; Assumptions'!$B$5, 0)</f>
        <v/>
      </c>
      <c r="P1640" s="10" t="inlineStr">
        <is>
          <t>Single Carrier (Band n50, 100MHz TDD)</t>
        </is>
      </c>
      <c r="Q1640" s="13">
        <f>ROUNDUP(O1640/'Methodology &amp; Assumptions'!$B$6, 0)</f>
        <v/>
      </c>
      <c r="R1640" s="13" t="n">
        <v>1</v>
      </c>
      <c r="S1640" s="14" t="n">
        <v>38.59</v>
      </c>
      <c r="T1640" s="14" t="n">
        <v>33.94</v>
      </c>
      <c r="U1640" s="26">
        <f>IF(X1640&gt;='Methodology &amp; Assumptions'!$B$7, "Tier 1 Critical GIDA (Score ≥ 50.0)", IF(X1640&gt;='Methodology &amp; Assumptions'!$B$8, "Tier 2 High GIDA (Score 40.0–49.9)", "Tier 3 Moderate GIDA (Score &lt; 40.0)"))</f>
        <v/>
      </c>
      <c r="V1640" s="26">
        <f>IF(S1640&lt;='Methodology &amp; Assumptions'!$B$10, "Direct Optical Drop (&lt;3km)", IF(S1640&lt;='Methodology &amp; Assumptions'!$B$9, "Near Optical / Microwave (&lt;5km)", "Starlink Business LEO Satellite Backhaul (&gt;5km)"))</f>
        <v/>
      </c>
      <c r="W1640" s="28" t="n">
        <v>0.174</v>
      </c>
      <c r="X1640" s="14" t="n">
        <v>42.25</v>
      </c>
      <c r="Y1640" s="14">
        <f>ROUND(MIN(100, (X1640/69.91)*100), 2)</f>
        <v/>
      </c>
    </row>
    <row r="1641">
      <c r="A1641" s="10" t="n">
        <v>5</v>
      </c>
      <c r="B1641" s="10" t="n">
        <v>637</v>
      </c>
      <c r="C1641" s="10" t="n">
        <v>4637</v>
      </c>
      <c r="D1641" s="10" t="inlineStr">
        <is>
          <t>1400119010</t>
        </is>
      </c>
      <c r="E1641" s="26" t="inlineStr">
        <is>
          <t>Cordillera Administrative Region (CAR)</t>
        </is>
      </c>
      <c r="F1641" s="26" t="inlineStr">
        <is>
          <t>Abra</t>
        </is>
      </c>
      <c r="G1641" s="26" t="inlineStr">
        <is>
          <t>Pilar</t>
        </is>
      </c>
      <c r="H1641" s="26" t="inlineStr">
        <is>
          <t>Nagcanasan</t>
        </is>
      </c>
      <c r="I1641" s="27" t="n">
        <v>17.368198</v>
      </c>
      <c r="J1641" s="27" t="n">
        <v>120.564185</v>
      </c>
      <c r="K1641" s="10" t="inlineStr">
        <is>
          <t>R</t>
        </is>
      </c>
      <c r="L1641" s="12" t="n">
        <v>259</v>
      </c>
      <c r="M1641" s="14" t="n">
        <v>3.8</v>
      </c>
      <c r="N1641" s="12">
        <f>ROUND(L1641/M1641, 0)</f>
        <v/>
      </c>
      <c r="O1641" s="12">
        <f>ROUND(N1641*'Methodology &amp; Assumptions'!$B$5, 0)</f>
        <v/>
      </c>
      <c r="P1641" s="10" t="inlineStr">
        <is>
          <t>Single Carrier (Band n50, 100MHz TDD)</t>
        </is>
      </c>
      <c r="Q1641" s="13">
        <f>ROUNDUP(O1641/'Methodology &amp; Assumptions'!$B$6, 0)</f>
        <v/>
      </c>
      <c r="R1641" s="13" t="n">
        <v>1</v>
      </c>
      <c r="S1641" s="14" t="n">
        <v>8.82</v>
      </c>
      <c r="T1641" s="14" t="n">
        <v>8.76</v>
      </c>
      <c r="U1641" s="26">
        <f>IF(X1641&gt;='Methodology &amp; Assumptions'!$B$7, "Tier 1 Critical GIDA (Score ≥ 50.0)", IF(X1641&gt;='Methodology &amp; Assumptions'!$B$8, "Tier 2 High GIDA (Score 40.0–49.9)", "Tier 3 Moderate GIDA (Score &lt; 40.0)"))</f>
        <v/>
      </c>
      <c r="V1641" s="26">
        <f>IF(S1641&lt;='Methodology &amp; Assumptions'!$B$10, "Direct Optical Drop (&lt;3km)", IF(S1641&lt;='Methodology &amp; Assumptions'!$B$9, "Near Optical / Microwave (&lt;5km)", "Starlink Business LEO Satellite Backhaul (&gt;5km)"))</f>
        <v/>
      </c>
      <c r="W1641" s="28" t="n">
        <v>0.109</v>
      </c>
      <c r="X1641" s="14" t="n">
        <v>42.25</v>
      </c>
      <c r="Y1641" s="14">
        <f>ROUND(MIN(100, (X1641/69.91)*100), 2)</f>
        <v/>
      </c>
    </row>
    <row r="1642">
      <c r="A1642" s="10" t="n">
        <v>5</v>
      </c>
      <c r="B1642" s="10" t="n">
        <v>638</v>
      </c>
      <c r="C1642" s="10" t="n">
        <v>4638</v>
      </c>
      <c r="D1642" s="10" t="inlineStr">
        <is>
          <t>PH0004638</t>
        </is>
      </c>
      <c r="E1642" s="26" t="inlineStr">
        <is>
          <t>XI</t>
        </is>
      </c>
      <c r="F1642" s="26" t="inlineStr">
        <is>
          <t>Davao Del Sur</t>
        </is>
      </c>
      <c r="G1642" s="26" t="inlineStr">
        <is>
          <t>Davao City</t>
        </is>
      </c>
      <c r="H1642" s="26" t="inlineStr">
        <is>
          <t>Barangay 6-A (Pob.)</t>
        </is>
      </c>
      <c r="I1642" s="27" t="n">
        <v>7.072464</v>
      </c>
      <c r="J1642" s="27" t="n">
        <v>125.601083</v>
      </c>
      <c r="K1642" s="10" t="inlineStr">
        <is>
          <t>R</t>
        </is>
      </c>
      <c r="L1642" s="12" t="n">
        <v>2280</v>
      </c>
      <c r="M1642" s="14" t="n">
        <v>3.4</v>
      </c>
      <c r="N1642" s="12">
        <f>ROUND(L1642/M1642, 0)</f>
        <v/>
      </c>
      <c r="O1642" s="12">
        <f>ROUND(N1642*'Methodology &amp; Assumptions'!$B$5, 0)</f>
        <v/>
      </c>
      <c r="P1642" s="10" t="inlineStr">
        <is>
          <t>Single Carrier (Band n50, 100MHz TDD)</t>
        </is>
      </c>
      <c r="Q1642" s="13">
        <f>ROUNDUP(O1642/'Methodology &amp; Assumptions'!$B$6, 0)</f>
        <v/>
      </c>
      <c r="R1642" s="13" t="n">
        <v>1</v>
      </c>
      <c r="S1642" s="14" t="n">
        <v>1.36</v>
      </c>
      <c r="T1642" s="14" t="n">
        <v>0.48</v>
      </c>
      <c r="U1642" s="26">
        <f>IF(X1642&gt;='Methodology &amp; Assumptions'!$B$7, "Tier 1 Critical GIDA (Score ≥ 50.0)", IF(X1642&gt;='Methodology &amp; Assumptions'!$B$8, "Tier 2 High GIDA (Score 40.0–49.9)", "Tier 3 Moderate GIDA (Score &lt; 40.0)"))</f>
        <v/>
      </c>
      <c r="V1642" s="26">
        <f>IF(S1642&lt;='Methodology &amp; Assumptions'!$B$10, "Direct Optical Drop (&lt;3km)", IF(S1642&lt;='Methodology &amp; Assumptions'!$B$9, "Near Optical / Microwave (&lt;5km)", "Starlink Business LEO Satellite Backhaul (&gt;5km)"))</f>
        <v/>
      </c>
      <c r="W1642" s="28" t="n">
        <v>0.119</v>
      </c>
      <c r="X1642" s="14" t="n">
        <v>42.24</v>
      </c>
      <c r="Y1642" s="14">
        <f>ROUND(MIN(100, (X1642/69.91)*100), 2)</f>
        <v/>
      </c>
    </row>
    <row r="1643">
      <c r="A1643" s="10" t="n">
        <v>5</v>
      </c>
      <c r="B1643" s="10" t="n">
        <v>639</v>
      </c>
      <c r="C1643" s="10" t="n">
        <v>4639</v>
      </c>
      <c r="D1643" s="10" t="inlineStr">
        <is>
          <t>0402108025</t>
        </is>
      </c>
      <c r="E1643" s="26" t="inlineStr">
        <is>
          <t>Region IV-A (CALABARZON)</t>
        </is>
      </c>
      <c r="F1643" s="26" t="inlineStr">
        <is>
          <t>Cavite</t>
        </is>
      </c>
      <c r="G1643" s="26" t="inlineStr">
        <is>
          <t>City of General Trias</t>
        </is>
      </c>
      <c r="H1643" s="26" t="inlineStr">
        <is>
          <t>San Juan I</t>
        </is>
      </c>
      <c r="I1643" s="27" t="n">
        <v>14.382556</v>
      </c>
      <c r="J1643" s="27" t="n">
        <v>120.87727</v>
      </c>
      <c r="K1643" s="10" t="inlineStr">
        <is>
          <t>U</t>
        </is>
      </c>
      <c r="L1643" s="12" t="n">
        <v>5496</v>
      </c>
      <c r="M1643" s="14" t="n">
        <v>3.4</v>
      </c>
      <c r="N1643" s="12">
        <f>ROUND(L1643/M1643, 0)</f>
        <v/>
      </c>
      <c r="O1643" s="12">
        <f>ROUND(N1643*'Methodology &amp; Assumptions'!$B$5, 0)</f>
        <v/>
      </c>
      <c r="P1643" s="10" t="inlineStr">
        <is>
          <t>Single Carrier (Band n50, 100MHz TDD)</t>
        </is>
      </c>
      <c r="Q1643" s="13">
        <f>ROUNDUP(O1643/'Methodology &amp; Assumptions'!$B$6, 0)</f>
        <v/>
      </c>
      <c r="R1643" s="13" t="n">
        <v>1</v>
      </c>
      <c r="S1643" s="14" t="n">
        <v>1.43</v>
      </c>
      <c r="T1643" s="14" t="n">
        <v>1.88</v>
      </c>
      <c r="U1643" s="26">
        <f>IF(X1643&gt;='Methodology &amp; Assumptions'!$B$7, "Tier 1 Critical GIDA (Score ≥ 50.0)", IF(X1643&gt;='Methodology &amp; Assumptions'!$B$8, "Tier 2 High GIDA (Score 40.0–49.9)", "Tier 3 Moderate GIDA (Score &lt; 40.0)"))</f>
        <v/>
      </c>
      <c r="V1643" s="26">
        <f>IF(S1643&lt;='Methodology &amp; Assumptions'!$B$10, "Direct Optical Drop (&lt;3km)", IF(S1643&lt;='Methodology &amp; Assumptions'!$B$9, "Near Optical / Microwave (&lt;5km)", "Starlink Business LEO Satellite Backhaul (&gt;5km)"))</f>
        <v/>
      </c>
      <c r="W1643" s="28" t="n">
        <v>0.07200000000000001</v>
      </c>
      <c r="X1643" s="14" t="n">
        <v>42.24</v>
      </c>
      <c r="Y1643" s="14">
        <f>ROUND(MIN(100, (X1643/69.91)*100), 2)</f>
        <v/>
      </c>
    </row>
    <row r="1644">
      <c r="A1644" s="10" t="n">
        <v>5</v>
      </c>
      <c r="B1644" s="10" t="n">
        <v>640</v>
      </c>
      <c r="C1644" s="10" t="n">
        <v>4640</v>
      </c>
      <c r="D1644" s="10" t="inlineStr">
        <is>
          <t>0405628019</t>
        </is>
      </c>
      <c r="E1644" s="26" t="inlineStr">
        <is>
          <t>Region IV-A (CALABARZON)</t>
        </is>
      </c>
      <c r="F1644" s="26" t="inlineStr">
        <is>
          <t>Quezon</t>
        </is>
      </c>
      <c r="G1644" s="26" t="inlineStr">
        <is>
          <t>Mulanay</t>
        </is>
      </c>
      <c r="H1644" s="26" t="inlineStr">
        <is>
          <t>Ibabang Yuni</t>
        </is>
      </c>
      <c r="I1644" s="27" t="n">
        <v>13.425069</v>
      </c>
      <c r="J1644" s="27" t="n">
        <v>122.470739</v>
      </c>
      <c r="K1644" s="10" t="inlineStr">
        <is>
          <t>R</t>
        </is>
      </c>
      <c r="L1644" s="12" t="n">
        <v>2454</v>
      </c>
      <c r="M1644" s="14" t="n">
        <v>3.8</v>
      </c>
      <c r="N1644" s="12">
        <f>ROUND(L1644/M1644, 0)</f>
        <v/>
      </c>
      <c r="O1644" s="12">
        <f>ROUND(N1644*'Methodology &amp; Assumptions'!$B$5, 0)</f>
        <v/>
      </c>
      <c r="P1644" s="10" t="inlineStr">
        <is>
          <t>Single Carrier (Band n50, 100MHz TDD)</t>
        </is>
      </c>
      <c r="Q1644" s="13">
        <f>ROUNDUP(O1644/'Methodology &amp; Assumptions'!$B$6, 0)</f>
        <v/>
      </c>
      <c r="R1644" s="13" t="n">
        <v>1</v>
      </c>
      <c r="S1644" s="14" t="n">
        <v>6.6</v>
      </c>
      <c r="T1644" s="14" t="n">
        <v>13.59</v>
      </c>
      <c r="U1644" s="26">
        <f>IF(X1644&gt;='Methodology &amp; Assumptions'!$B$7, "Tier 1 Critical GIDA (Score ≥ 50.0)", IF(X1644&gt;='Methodology &amp; Assumptions'!$B$8, "Tier 2 High GIDA (Score 40.0–49.9)", "Tier 3 Moderate GIDA (Score &lt; 40.0)"))</f>
        <v/>
      </c>
      <c r="V1644" s="26">
        <f>IF(S1644&lt;='Methodology &amp; Assumptions'!$B$10, "Direct Optical Drop (&lt;3km)", IF(S1644&lt;='Methodology &amp; Assumptions'!$B$9, "Near Optical / Microwave (&lt;5km)", "Starlink Business LEO Satellite Backhaul (&gt;5km)"))</f>
        <v/>
      </c>
      <c r="W1644" s="28" t="n">
        <v>0.07200000000000001</v>
      </c>
      <c r="X1644" s="14" t="n">
        <v>42.24</v>
      </c>
      <c r="Y1644" s="14">
        <f>ROUND(MIN(100, (X1644/69.91)*100), 2)</f>
        <v/>
      </c>
    </row>
    <row r="1645">
      <c r="A1645" s="10" t="n">
        <v>5</v>
      </c>
      <c r="B1645" s="10" t="n">
        <v>641</v>
      </c>
      <c r="C1645" s="10" t="n">
        <v>4641</v>
      </c>
      <c r="D1645" s="10" t="inlineStr">
        <is>
          <t>0806016012</t>
        </is>
      </c>
      <c r="E1645" s="26" t="inlineStr">
        <is>
          <t>Region VIII (Eastern Visayas)</t>
        </is>
      </c>
      <c r="F1645" s="26" t="inlineStr">
        <is>
          <t>Samar</t>
        </is>
      </c>
      <c r="G1645" s="26" t="inlineStr">
        <is>
          <t>Santa Margarita</t>
        </is>
      </c>
      <c r="H1645" s="26" t="inlineStr">
        <is>
          <t>Can-ipulan</t>
        </is>
      </c>
      <c r="I1645" s="27" t="n">
        <v>12.04426</v>
      </c>
      <c r="J1645" s="27" t="n">
        <v>124.68539</v>
      </c>
      <c r="K1645" s="10" t="inlineStr">
        <is>
          <t>R</t>
        </is>
      </c>
      <c r="L1645" s="12" t="n">
        <v>295</v>
      </c>
      <c r="M1645" s="14" t="n">
        <v>4.1</v>
      </c>
      <c r="N1645" s="12">
        <f>ROUND(L1645/M1645, 0)</f>
        <v/>
      </c>
      <c r="O1645" s="12">
        <f>ROUND(N1645*'Methodology &amp; Assumptions'!$B$5, 0)</f>
        <v/>
      </c>
      <c r="P1645" s="10" t="inlineStr">
        <is>
          <t>Single Carrier (Band n50, 100MHz TDD)</t>
        </is>
      </c>
      <c r="Q1645" s="13">
        <f>ROUNDUP(O1645/'Methodology &amp; Assumptions'!$B$6, 0)</f>
        <v/>
      </c>
      <c r="R1645" s="13" t="n">
        <v>1</v>
      </c>
      <c r="S1645" s="14" t="n">
        <v>82.78</v>
      </c>
      <c r="T1645" s="14" t="n">
        <v>82.5</v>
      </c>
      <c r="U1645" s="26">
        <f>IF(X1645&gt;='Methodology &amp; Assumptions'!$B$7, "Tier 1 Critical GIDA (Score ≥ 50.0)", IF(X1645&gt;='Methodology &amp; Assumptions'!$B$8, "Tier 2 High GIDA (Score 40.0–49.9)", "Tier 3 Moderate GIDA (Score &lt; 40.0)"))</f>
        <v/>
      </c>
      <c r="V1645" s="26">
        <f>IF(S1645&lt;='Methodology &amp; Assumptions'!$B$10, "Direct Optical Drop (&lt;3km)", IF(S1645&lt;='Methodology &amp; Assumptions'!$B$9, "Near Optical / Microwave (&lt;5km)", "Starlink Business LEO Satellite Backhaul (&gt;5km)"))</f>
        <v/>
      </c>
      <c r="W1645" s="28" t="n">
        <v>0.237</v>
      </c>
      <c r="X1645" s="14" t="n">
        <v>42.24</v>
      </c>
      <c r="Y1645" s="14">
        <f>ROUND(MIN(100, (X1645/69.91)*100), 2)</f>
        <v/>
      </c>
    </row>
    <row r="1646">
      <c r="A1646" s="10" t="n">
        <v>5</v>
      </c>
      <c r="B1646" s="10" t="n">
        <v>642</v>
      </c>
      <c r="C1646" s="10" t="n">
        <v>4642</v>
      </c>
      <c r="D1646" s="10" t="inlineStr">
        <is>
          <t>1380200009</t>
        </is>
      </c>
      <c r="E1646" s="26" t="inlineStr">
        <is>
          <t>National Capital Region (NCR)</t>
        </is>
      </c>
      <c r="F1646" s="26" t="inlineStr">
        <is>
          <t>Fourth District (Not a Province)</t>
        </is>
      </c>
      <c r="G1646" s="26" t="inlineStr">
        <is>
          <t>City of Las Piñas</t>
        </is>
      </c>
      <c r="H1646" s="26" t="inlineStr">
        <is>
          <t>Zapote</t>
        </is>
      </c>
      <c r="I1646" s="27" t="n">
        <v>14.463889</v>
      </c>
      <c r="J1646" s="27" t="n">
        <v>120.970833</v>
      </c>
      <c r="K1646" s="10" t="inlineStr">
        <is>
          <t>U</t>
        </is>
      </c>
      <c r="L1646" s="12" t="n">
        <v>21169</v>
      </c>
      <c r="M1646" s="14" t="n">
        <v>3.8</v>
      </c>
      <c r="N1646" s="12">
        <f>ROUND(L1646/M1646, 0)</f>
        <v/>
      </c>
      <c r="O1646" s="12">
        <f>ROUND(N1646*'Methodology &amp; Assumptions'!$B$5, 0)</f>
        <v/>
      </c>
      <c r="P1646" s="10" t="inlineStr">
        <is>
          <t>Single Carrier (Band n50, 100MHz TDD)</t>
        </is>
      </c>
      <c r="Q1646" s="13">
        <f>ROUNDUP(O1646/'Methodology &amp; Assumptions'!$B$6, 0)</f>
        <v/>
      </c>
      <c r="R1646" s="13" t="n">
        <v>1</v>
      </c>
      <c r="S1646" s="14" t="n">
        <v>0.28</v>
      </c>
      <c r="T1646" s="14" t="n">
        <v>0.21</v>
      </c>
      <c r="U1646" s="26">
        <f>IF(X1646&gt;='Methodology &amp; Assumptions'!$B$7, "Tier 1 Critical GIDA (Score ≥ 50.0)", IF(X1646&gt;='Methodology &amp; Assumptions'!$B$8, "Tier 2 High GIDA (Score 40.0–49.9)", "Tier 3 Moderate GIDA (Score &lt; 40.0)"))</f>
        <v/>
      </c>
      <c r="V1646" s="26">
        <f>IF(S1646&lt;='Methodology &amp; Assumptions'!$B$10, "Direct Optical Drop (&lt;3km)", IF(S1646&lt;='Methodology &amp; Assumptions'!$B$9, "Near Optical / Microwave (&lt;5km)", "Starlink Business LEO Satellite Backhaul (&gt;5km)"))</f>
        <v/>
      </c>
      <c r="W1646" s="28" t="n">
        <v>0.109</v>
      </c>
      <c r="X1646" s="14" t="n">
        <v>42.24</v>
      </c>
      <c r="Y1646" s="14">
        <f>ROUND(MIN(100, (X1646/69.91)*100), 2)</f>
        <v/>
      </c>
    </row>
    <row r="1647">
      <c r="A1647" s="10" t="n">
        <v>5</v>
      </c>
      <c r="B1647" s="10" t="n">
        <v>643</v>
      </c>
      <c r="C1647" s="10" t="n">
        <v>4643</v>
      </c>
      <c r="D1647" s="10" t="inlineStr">
        <is>
          <t>1907010021</t>
        </is>
      </c>
      <c r="E1647" s="26" t="inlineStr">
        <is>
          <t>Bangsamoro Autonomous Region In Muslim Mindanao (BARMM)</t>
        </is>
      </c>
      <c r="F1647" s="26" t="inlineStr">
        <is>
          <t>Tawi-Tawi</t>
        </is>
      </c>
      <c r="G1647" s="26" t="inlineStr">
        <is>
          <t>Sapa-Sapa</t>
        </is>
      </c>
      <c r="H1647" s="26" t="inlineStr">
        <is>
          <t>Sukah-sukah</t>
        </is>
      </c>
      <c r="I1647" s="27" t="n">
        <v>17.255802</v>
      </c>
      <c r="J1647" s="27" t="n">
        <v>122.229846</v>
      </c>
      <c r="K1647" s="10" t="inlineStr">
        <is>
          <t>R</t>
        </is>
      </c>
      <c r="L1647" s="12" t="n">
        <v>1198</v>
      </c>
      <c r="M1647" s="14" t="n">
        <v>5.8</v>
      </c>
      <c r="N1647" s="12">
        <f>ROUND(L1647/M1647, 0)</f>
        <v/>
      </c>
      <c r="O1647" s="12">
        <f>ROUND(N1647*'Methodology &amp; Assumptions'!$B$5, 0)</f>
        <v/>
      </c>
      <c r="P1647" s="10" t="inlineStr">
        <is>
          <t>Single Carrier (Band n50, 100MHz TDD)</t>
        </is>
      </c>
      <c r="Q1647" s="13">
        <f>ROUNDUP(O1647/'Methodology &amp; Assumptions'!$B$6, 0)</f>
        <v/>
      </c>
      <c r="R1647" s="13" t="n">
        <v>1</v>
      </c>
      <c r="S1647" s="14" t="n">
        <v>29.56</v>
      </c>
      <c r="T1647" s="14" t="n">
        <v>34.43</v>
      </c>
      <c r="U1647" s="26">
        <f>IF(X1647&gt;='Methodology &amp; Assumptions'!$B$7, "Tier 1 Critical GIDA (Score ≥ 50.0)", IF(X1647&gt;='Methodology &amp; Assumptions'!$B$8, "Tier 2 High GIDA (Score 40.0–49.9)", "Tier 3 Moderate GIDA (Score &lt; 40.0)"))</f>
        <v/>
      </c>
      <c r="V1647" s="26">
        <f>IF(S1647&lt;='Methodology &amp; Assumptions'!$B$10, "Direct Optical Drop (&lt;3km)", IF(S1647&lt;='Methodology &amp; Assumptions'!$B$9, "Near Optical / Microwave (&lt;5km)", "Starlink Business LEO Satellite Backhaul (&gt;5km)"))</f>
        <v/>
      </c>
      <c r="W1647" s="28" t="n">
        <v>0.11</v>
      </c>
      <c r="X1647" s="14" t="n">
        <v>42.24</v>
      </c>
      <c r="Y1647" s="14">
        <f>ROUND(MIN(100, (X1647/69.91)*100), 2)</f>
        <v/>
      </c>
    </row>
    <row r="1648">
      <c r="A1648" s="10" t="n">
        <v>5</v>
      </c>
      <c r="B1648" s="10" t="n">
        <v>644</v>
      </c>
      <c r="C1648" s="10" t="n">
        <v>4644</v>
      </c>
      <c r="D1648" s="10" t="inlineStr">
        <is>
          <t>PH0004644</t>
        </is>
      </c>
      <c r="E1648" s="26" t="inlineStr">
        <is>
          <t>IV-A</t>
        </is>
      </c>
      <c r="F1648" s="26" t="inlineStr">
        <is>
          <t>Cavite</t>
        </is>
      </c>
      <c r="G1648" s="26" t="inlineStr">
        <is>
          <t>Cavite City</t>
        </is>
      </c>
      <c r="H1648" s="26" t="inlineStr">
        <is>
          <t>Barangay 57</t>
        </is>
      </c>
      <c r="I1648" s="27" t="n">
        <v>14.436872</v>
      </c>
      <c r="J1648" s="27" t="n">
        <v>120.908638</v>
      </c>
      <c r="K1648" s="10" t="inlineStr">
        <is>
          <t>R</t>
        </is>
      </c>
      <c r="L1648" s="12" t="n">
        <v>2316</v>
      </c>
      <c r="M1648" s="14" t="n">
        <v>3.4</v>
      </c>
      <c r="N1648" s="12">
        <f>ROUND(L1648/M1648, 0)</f>
        <v/>
      </c>
      <c r="O1648" s="12">
        <f>ROUND(N1648*'Methodology &amp; Assumptions'!$B$5, 0)</f>
        <v/>
      </c>
      <c r="P1648" s="10" t="inlineStr">
        <is>
          <t>Single Carrier (Band n50, 100MHz TDD)</t>
        </is>
      </c>
      <c r="Q1648" s="13">
        <f>ROUNDUP(O1648/'Methodology &amp; Assumptions'!$B$6, 0)</f>
        <v/>
      </c>
      <c r="R1648" s="13" t="n">
        <v>1</v>
      </c>
      <c r="S1648" s="14" t="n">
        <v>2.88</v>
      </c>
      <c r="T1648" s="14" t="n">
        <v>0.16</v>
      </c>
      <c r="U1648" s="26">
        <f>IF(X1648&gt;='Methodology &amp; Assumptions'!$B$7, "Tier 1 Critical GIDA (Score ≥ 50.0)", IF(X1648&gt;='Methodology &amp; Assumptions'!$B$8, "Tier 2 High GIDA (Score 40.0–49.9)", "Tier 3 Moderate GIDA (Score &lt; 40.0)"))</f>
        <v/>
      </c>
      <c r="V1648" s="26">
        <f>IF(S1648&lt;='Methodology &amp; Assumptions'!$B$10, "Direct Optical Drop (&lt;3km)", IF(S1648&lt;='Methodology &amp; Assumptions'!$B$9, "Near Optical / Microwave (&lt;5km)", "Starlink Business LEO Satellite Backhaul (&gt;5km)"))</f>
        <v/>
      </c>
      <c r="W1648" s="28" t="n">
        <v>0.07200000000000001</v>
      </c>
      <c r="X1648" s="14" t="n">
        <v>42.24</v>
      </c>
      <c r="Y1648" s="14">
        <f>ROUND(MIN(100, (X1648/69.91)*100), 2)</f>
        <v/>
      </c>
    </row>
    <row r="1649">
      <c r="A1649" s="10" t="n">
        <v>5</v>
      </c>
      <c r="B1649" s="10" t="n">
        <v>645</v>
      </c>
      <c r="C1649" s="10" t="n">
        <v>4645</v>
      </c>
      <c r="D1649" s="10" t="inlineStr">
        <is>
          <t>PH0004645</t>
        </is>
      </c>
      <c r="E1649" s="26" t="inlineStr">
        <is>
          <t>XI</t>
        </is>
      </c>
      <c r="F1649" s="26" t="inlineStr">
        <is>
          <t>Davao Del Sur</t>
        </is>
      </c>
      <c r="G1649" s="26" t="inlineStr">
        <is>
          <t>Davao City</t>
        </is>
      </c>
      <c r="H1649" s="26" t="inlineStr">
        <is>
          <t>Barangay 5-A (Pob.)</t>
        </is>
      </c>
      <c r="I1649" s="27" t="n">
        <v>7.071533</v>
      </c>
      <c r="J1649" s="27" t="n">
        <v>125.596187</v>
      </c>
      <c r="K1649" s="10" t="inlineStr">
        <is>
          <t>R</t>
        </is>
      </c>
      <c r="L1649" s="12" t="n">
        <v>2280</v>
      </c>
      <c r="M1649" s="14" t="n">
        <v>3.4</v>
      </c>
      <c r="N1649" s="12">
        <f>ROUND(L1649/M1649, 0)</f>
        <v/>
      </c>
      <c r="O1649" s="12">
        <f>ROUND(N1649*'Methodology &amp; Assumptions'!$B$5, 0)</f>
        <v/>
      </c>
      <c r="P1649" s="10" t="inlineStr">
        <is>
          <t>Single Carrier (Band n50, 100MHz TDD)</t>
        </is>
      </c>
      <c r="Q1649" s="13">
        <f>ROUNDUP(O1649/'Methodology &amp; Assumptions'!$B$6, 0)</f>
        <v/>
      </c>
      <c r="R1649" s="13" t="n">
        <v>1</v>
      </c>
      <c r="S1649" s="14" t="n">
        <v>1.57</v>
      </c>
      <c r="T1649" s="14" t="n">
        <v>0.8</v>
      </c>
      <c r="U1649" s="26">
        <f>IF(X1649&gt;='Methodology &amp; Assumptions'!$B$7, "Tier 1 Critical GIDA (Score ≥ 50.0)", IF(X1649&gt;='Methodology &amp; Assumptions'!$B$8, "Tier 2 High GIDA (Score 40.0–49.9)", "Tier 3 Moderate GIDA (Score &lt; 40.0)"))</f>
        <v/>
      </c>
      <c r="V1649" s="26">
        <f>IF(S1649&lt;='Methodology &amp; Assumptions'!$B$10, "Direct Optical Drop (&lt;3km)", IF(S1649&lt;='Methodology &amp; Assumptions'!$B$9, "Near Optical / Microwave (&lt;5km)", "Starlink Business LEO Satellite Backhaul (&gt;5km)"))</f>
        <v/>
      </c>
      <c r="W1649" s="28" t="n">
        <v>0.119</v>
      </c>
      <c r="X1649" s="14" t="n">
        <v>42.24</v>
      </c>
      <c r="Y1649" s="14">
        <f>ROUND(MIN(100, (X1649/69.91)*100), 2)</f>
        <v/>
      </c>
    </row>
    <row r="1650">
      <c r="A1650" s="10" t="n">
        <v>5</v>
      </c>
      <c r="B1650" s="10" t="n">
        <v>646</v>
      </c>
      <c r="C1650" s="10" t="n">
        <v>4646</v>
      </c>
      <c r="D1650" s="10" t="inlineStr">
        <is>
          <t>1903634015</t>
        </is>
      </c>
      <c r="E1650" s="26" t="inlineStr">
        <is>
          <t>Bangsamoro Autonomous Region In Muslim Mindanao (BARMM)</t>
        </is>
      </c>
      <c r="F1650" s="26" t="inlineStr">
        <is>
          <t>Lanao del Sur</t>
        </is>
      </c>
      <c r="G1650" s="26" t="inlineStr">
        <is>
          <t>Maguing</t>
        </is>
      </c>
      <c r="H1650" s="26" t="inlineStr">
        <is>
          <t>Camalig</t>
        </is>
      </c>
      <c r="I1650" s="27" t="n">
        <v>17.245391</v>
      </c>
      <c r="J1650" s="27" t="n">
        <v>122.22666</v>
      </c>
      <c r="K1650" s="10" t="inlineStr">
        <is>
          <t>R</t>
        </is>
      </c>
      <c r="L1650" s="12" t="n">
        <v>975</v>
      </c>
      <c r="M1650" s="14" t="n">
        <v>5.7</v>
      </c>
      <c r="N1650" s="12">
        <f>ROUND(L1650/M1650, 0)</f>
        <v/>
      </c>
      <c r="O1650" s="12">
        <f>ROUND(N1650*'Methodology &amp; Assumptions'!$B$5, 0)</f>
        <v/>
      </c>
      <c r="P1650" s="10" t="inlineStr">
        <is>
          <t>Single Carrier (Band n50, 100MHz TDD)</t>
        </is>
      </c>
      <c r="Q1650" s="13">
        <f>ROUNDUP(O1650/'Methodology &amp; Assumptions'!$B$6, 0)</f>
        <v/>
      </c>
      <c r="R1650" s="13" t="n">
        <v>1</v>
      </c>
      <c r="S1650" s="14" t="n">
        <v>28.57</v>
      </c>
      <c r="T1650" s="14" t="n">
        <v>33.78</v>
      </c>
      <c r="U1650" s="26">
        <f>IF(X1650&gt;='Methodology &amp; Assumptions'!$B$7, "Tier 1 Critical GIDA (Score ≥ 50.0)", IF(X1650&gt;='Methodology &amp; Assumptions'!$B$8, "Tier 2 High GIDA (Score 40.0–49.9)", "Tier 3 Moderate GIDA (Score &lt; 40.0)"))</f>
        <v/>
      </c>
      <c r="V1650" s="26">
        <f>IF(S1650&lt;='Methodology &amp; Assumptions'!$B$10, "Direct Optical Drop (&lt;3km)", IF(S1650&lt;='Methodology &amp; Assumptions'!$B$9, "Near Optical / Microwave (&lt;5km)", "Starlink Business LEO Satellite Backhaul (&gt;5km)"))</f>
        <v/>
      </c>
      <c r="W1650" s="28" t="n">
        <v>0.11</v>
      </c>
      <c r="X1650" s="14" t="n">
        <v>42.23</v>
      </c>
      <c r="Y1650" s="14">
        <f>ROUND(MIN(100, (X1650/69.91)*100), 2)</f>
        <v/>
      </c>
    </row>
    <row r="1651">
      <c r="A1651" s="10" t="n">
        <v>5</v>
      </c>
      <c r="B1651" s="10" t="n">
        <v>647</v>
      </c>
      <c r="C1651" s="10" t="n">
        <v>4647</v>
      </c>
      <c r="D1651" s="10" t="inlineStr">
        <is>
          <t>0405811002</t>
        </is>
      </c>
      <c r="E1651" s="26" t="inlineStr">
        <is>
          <t>Region IV-A (CALABARZON)</t>
        </is>
      </c>
      <c r="F1651" s="26" t="inlineStr">
        <is>
          <t>Rizal</t>
        </is>
      </c>
      <c r="G1651" s="26" t="inlineStr">
        <is>
          <t>San Mateo</t>
        </is>
      </c>
      <c r="H1651" s="26" t="inlineStr">
        <is>
          <t>Dulong Bayan 1</t>
        </is>
      </c>
      <c r="I1651" s="27" t="n">
        <v>14.700175</v>
      </c>
      <c r="J1651" s="27" t="n">
        <v>121.122596</v>
      </c>
      <c r="K1651" s="10" t="inlineStr">
        <is>
          <t>U</t>
        </is>
      </c>
      <c r="L1651" s="12" t="n">
        <v>5006</v>
      </c>
      <c r="M1651" s="14" t="n">
        <v>3.6</v>
      </c>
      <c r="N1651" s="12">
        <f>ROUND(L1651/M1651, 0)</f>
        <v/>
      </c>
      <c r="O1651" s="12">
        <f>ROUND(N1651*'Methodology &amp; Assumptions'!$B$5, 0)</f>
        <v/>
      </c>
      <c r="P1651" s="10" t="inlineStr">
        <is>
          <t>Single Carrier (Band n50, 100MHz TDD)</t>
        </is>
      </c>
      <c r="Q1651" s="13">
        <f>ROUNDUP(O1651/'Methodology &amp; Assumptions'!$B$6, 0)</f>
        <v/>
      </c>
      <c r="R1651" s="13" t="n">
        <v>1</v>
      </c>
      <c r="S1651" s="14" t="n">
        <v>1.64</v>
      </c>
      <c r="T1651" s="14" t="n">
        <v>0.25</v>
      </c>
      <c r="U1651" s="26">
        <f>IF(X1651&gt;='Methodology &amp; Assumptions'!$B$7, "Tier 1 Critical GIDA (Score ≥ 50.0)", IF(X1651&gt;='Methodology &amp; Assumptions'!$B$8, "Tier 2 High GIDA (Score 40.0–49.9)", "Tier 3 Moderate GIDA (Score &lt; 40.0)"))</f>
        <v/>
      </c>
      <c r="V1651" s="26">
        <f>IF(S1651&lt;='Methodology &amp; Assumptions'!$B$10, "Direct Optical Drop (&lt;3km)", IF(S1651&lt;='Methodology &amp; Assumptions'!$B$9, "Near Optical / Microwave (&lt;5km)", "Starlink Business LEO Satellite Backhaul (&gt;5km)"))</f>
        <v/>
      </c>
      <c r="W1651" s="28" t="n">
        <v>0.07200000000000001</v>
      </c>
      <c r="X1651" s="14" t="n">
        <v>42.23</v>
      </c>
      <c r="Y1651" s="14">
        <f>ROUND(MIN(100, (X1651/69.91)*100), 2)</f>
        <v/>
      </c>
    </row>
    <row r="1652">
      <c r="A1652" s="10" t="n">
        <v>5</v>
      </c>
      <c r="B1652" s="10" t="n">
        <v>648</v>
      </c>
      <c r="C1652" s="10" t="n">
        <v>4648</v>
      </c>
      <c r="D1652" s="10" t="inlineStr">
        <is>
          <t>0806417009</t>
        </is>
      </c>
      <c r="E1652" s="26" t="inlineStr">
        <is>
          <t>Region VIII (Eastern Visayas)</t>
        </is>
      </c>
      <c r="F1652" s="26" t="inlineStr">
        <is>
          <t>Southern Leyte</t>
        </is>
      </c>
      <c r="G1652" s="26" t="inlineStr">
        <is>
          <t>Sogod</t>
        </is>
      </c>
      <c r="H1652" s="26" t="inlineStr">
        <is>
          <t>Hindangan</t>
        </is>
      </c>
      <c r="I1652" s="27" t="n">
        <v>10.425264</v>
      </c>
      <c r="J1652" s="27" t="n">
        <v>124.927415</v>
      </c>
      <c r="K1652" s="10" t="inlineStr">
        <is>
          <t>R</t>
        </is>
      </c>
      <c r="L1652" s="12" t="n">
        <v>155</v>
      </c>
      <c r="M1652" s="14" t="n">
        <v>4.1</v>
      </c>
      <c r="N1652" s="12">
        <f>ROUND(L1652/M1652, 0)</f>
        <v/>
      </c>
      <c r="O1652" s="12">
        <f>ROUND(N1652*'Methodology &amp; Assumptions'!$B$5, 0)</f>
        <v/>
      </c>
      <c r="P1652" s="10" t="inlineStr">
        <is>
          <t>Single Carrier (Band n50, 100MHz TDD)</t>
        </is>
      </c>
      <c r="Q1652" s="13">
        <f>ROUNDUP(O1652/'Methodology &amp; Assumptions'!$B$6, 0)</f>
        <v/>
      </c>
      <c r="R1652" s="13" t="n">
        <v>1</v>
      </c>
      <c r="S1652" s="14" t="n">
        <v>7.42</v>
      </c>
      <c r="T1652" s="14" t="n">
        <v>7.02</v>
      </c>
      <c r="U1652" s="26">
        <f>IF(X1652&gt;='Methodology &amp; Assumptions'!$B$7, "Tier 1 Critical GIDA (Score ≥ 50.0)", IF(X1652&gt;='Methodology &amp; Assumptions'!$B$8, "Tier 2 High GIDA (Score 40.0–49.9)", "Tier 3 Moderate GIDA (Score &lt; 40.0)"))</f>
        <v/>
      </c>
      <c r="V1652" s="26">
        <f>IF(S1652&lt;='Methodology &amp; Assumptions'!$B$10, "Direct Optical Drop (&lt;3km)", IF(S1652&lt;='Methodology &amp; Assumptions'!$B$9, "Near Optical / Microwave (&lt;5km)", "Starlink Business LEO Satellite Backhaul (&gt;5km)"))</f>
        <v/>
      </c>
      <c r="W1652" s="28" t="n">
        <v>0.237</v>
      </c>
      <c r="X1652" s="14" t="n">
        <v>42.22</v>
      </c>
      <c r="Y1652" s="14">
        <f>ROUND(MIN(100, (X1652/69.91)*100), 2)</f>
        <v/>
      </c>
    </row>
    <row r="1653">
      <c r="A1653" s="10" t="n">
        <v>5</v>
      </c>
      <c r="B1653" s="10" t="n">
        <v>649</v>
      </c>
      <c r="C1653" s="10" t="n">
        <v>4649</v>
      </c>
      <c r="D1653" s="10" t="inlineStr">
        <is>
          <t>PH0004649</t>
        </is>
      </c>
      <c r="E1653" s="26" t="inlineStr">
        <is>
          <t>VII</t>
        </is>
      </c>
      <c r="F1653" s="26" t="inlineStr">
        <is>
          <t>Cebu</t>
        </is>
      </c>
      <c r="G1653" s="26" t="inlineStr">
        <is>
          <t>Lapu-Lapu City (Opon)</t>
        </is>
      </c>
      <c r="H1653" s="26" t="inlineStr">
        <is>
          <t>Pajo</t>
        </is>
      </c>
      <c r="I1653" s="27" t="n">
        <v>10.310916</v>
      </c>
      <c r="J1653" s="27" t="n">
        <v>123.966634</v>
      </c>
      <c r="K1653" s="10" t="inlineStr">
        <is>
          <t>R</t>
        </is>
      </c>
      <c r="L1653" s="12" t="n">
        <v>2250</v>
      </c>
      <c r="M1653" s="14" t="n">
        <v>3.8</v>
      </c>
      <c r="N1653" s="12">
        <f>ROUND(L1653/M1653, 0)</f>
        <v/>
      </c>
      <c r="O1653" s="12">
        <f>ROUND(N1653*'Methodology &amp; Assumptions'!$B$5, 0)</f>
        <v/>
      </c>
      <c r="P1653" s="10" t="inlineStr">
        <is>
          <t>Single Carrier (Band n50, 100MHz TDD)</t>
        </is>
      </c>
      <c r="Q1653" s="13">
        <f>ROUNDUP(O1653/'Methodology &amp; Assumptions'!$B$6, 0)</f>
        <v/>
      </c>
      <c r="R1653" s="13" t="n">
        <v>1</v>
      </c>
      <c r="S1653" s="14" t="n">
        <v>0.76</v>
      </c>
      <c r="T1653" s="14" t="n">
        <v>3.91</v>
      </c>
      <c r="U1653" s="26">
        <f>IF(X1653&gt;='Methodology &amp; Assumptions'!$B$7, "Tier 1 Critical GIDA (Score ≥ 50.0)", IF(X1653&gt;='Methodology &amp; Assumptions'!$B$8, "Tier 2 High GIDA (Score 40.0–49.9)", "Tier 3 Moderate GIDA (Score &lt; 40.0)"))</f>
        <v/>
      </c>
      <c r="V1653" s="26">
        <f>IF(S1653&lt;='Methodology &amp; Assumptions'!$B$10, "Direct Optical Drop (&lt;3km)", IF(S1653&lt;='Methodology &amp; Assumptions'!$B$9, "Near Optical / Microwave (&lt;5km)", "Starlink Business LEO Satellite Backhaul (&gt;5km)"))</f>
        <v/>
      </c>
      <c r="W1653" s="28" t="n">
        <v>0.21</v>
      </c>
      <c r="X1653" s="14" t="n">
        <v>42.22</v>
      </c>
      <c r="Y1653" s="14">
        <f>ROUND(MIN(100, (X1653/69.91)*100), 2)</f>
        <v/>
      </c>
    </row>
    <row r="1654">
      <c r="A1654" s="10" t="n">
        <v>5</v>
      </c>
      <c r="B1654" s="10" t="n">
        <v>650</v>
      </c>
      <c r="C1654" s="10" t="n">
        <v>4650</v>
      </c>
      <c r="D1654" s="10" t="inlineStr">
        <is>
          <t>1380500008</t>
        </is>
      </c>
      <c r="E1654" s="26" t="inlineStr">
        <is>
          <t>National Capital Region (NCR)</t>
        </is>
      </c>
      <c r="F1654" s="26" t="inlineStr">
        <is>
          <t>Second District (Not a Province)</t>
        </is>
      </c>
      <c r="G1654" s="26" t="inlineStr">
        <is>
          <t>City of Mandaluyong</t>
        </is>
      </c>
      <c r="H1654" s="26" t="inlineStr">
        <is>
          <t>Buayang Bato</t>
        </is>
      </c>
      <c r="I1654" s="27" t="n">
        <v>14.568333</v>
      </c>
      <c r="J1654" s="27" t="n">
        <v>121.051389</v>
      </c>
      <c r="K1654" s="10" t="inlineStr">
        <is>
          <t>U</t>
        </is>
      </c>
      <c r="L1654" s="12" t="n">
        <v>3188</v>
      </c>
      <c r="M1654" s="14" t="n">
        <v>3.3</v>
      </c>
      <c r="N1654" s="12">
        <f>ROUND(L1654/M1654, 0)</f>
        <v/>
      </c>
      <c r="O1654" s="12">
        <f>ROUND(N1654*'Methodology &amp; Assumptions'!$B$5, 0)</f>
        <v/>
      </c>
      <c r="P1654" s="10" t="inlineStr">
        <is>
          <t>Single Carrier (Band n50, 100MHz TDD)</t>
        </is>
      </c>
      <c r="Q1654" s="13">
        <f>ROUNDUP(O1654/'Methodology &amp; Assumptions'!$B$6, 0)</f>
        <v/>
      </c>
      <c r="R1654" s="13" t="n">
        <v>1</v>
      </c>
      <c r="S1654" s="14" t="n">
        <v>1.57</v>
      </c>
      <c r="T1654" s="14" t="n">
        <v>0.11</v>
      </c>
      <c r="U1654" s="26">
        <f>IF(X1654&gt;='Methodology &amp; Assumptions'!$B$7, "Tier 1 Critical GIDA (Score ≥ 50.0)", IF(X1654&gt;='Methodology &amp; Assumptions'!$B$8, "Tier 2 High GIDA (Score 40.0–49.9)", "Tier 3 Moderate GIDA (Score &lt; 40.0)"))</f>
        <v/>
      </c>
      <c r="V1654" s="26">
        <f>IF(S1654&lt;='Methodology &amp; Assumptions'!$B$10, "Direct Optical Drop (&lt;3km)", IF(S1654&lt;='Methodology &amp; Assumptions'!$B$9, "Near Optical / Microwave (&lt;5km)", "Starlink Business LEO Satellite Backhaul (&gt;5km)"))</f>
        <v/>
      </c>
      <c r="W1654" s="28" t="n">
        <v>0.109</v>
      </c>
      <c r="X1654" s="14" t="n">
        <v>42.22</v>
      </c>
      <c r="Y1654" s="14">
        <f>ROUND(MIN(100, (X1654/69.91)*100), 2)</f>
        <v/>
      </c>
    </row>
    <row r="1655">
      <c r="A1655" s="10" t="n">
        <v>5</v>
      </c>
      <c r="B1655" s="10" t="n">
        <v>651</v>
      </c>
      <c r="C1655" s="10" t="n">
        <v>4651</v>
      </c>
      <c r="D1655" s="10" t="inlineStr">
        <is>
          <t>0806026013</t>
        </is>
      </c>
      <c r="E1655" s="26" t="inlineStr">
        <is>
          <t>Region VIII (Eastern Visayas)</t>
        </is>
      </c>
      <c r="F1655" s="26" t="inlineStr">
        <is>
          <t>Samar</t>
        </is>
      </c>
      <c r="G1655" s="26" t="inlineStr">
        <is>
          <t>Pagsanghan</t>
        </is>
      </c>
      <c r="H1655" s="26" t="inlineStr">
        <is>
          <t>Canlapwas</t>
        </is>
      </c>
      <c r="I1655" s="27" t="n">
        <v>11.964226</v>
      </c>
      <c r="J1655" s="27" t="n">
        <v>124.719712</v>
      </c>
      <c r="K1655" s="10" t="inlineStr">
        <is>
          <t>R</t>
        </is>
      </c>
      <c r="L1655" s="12" t="n">
        <v>1100</v>
      </c>
      <c r="M1655" s="14" t="n">
        <v>4.1</v>
      </c>
      <c r="N1655" s="12">
        <f>ROUND(L1655/M1655, 0)</f>
        <v/>
      </c>
      <c r="O1655" s="12">
        <f>ROUND(N1655*'Methodology &amp; Assumptions'!$B$5, 0)</f>
        <v/>
      </c>
      <c r="P1655" s="10" t="inlineStr">
        <is>
          <t>Single Carrier (Band n50, 100MHz TDD)</t>
        </is>
      </c>
      <c r="Q1655" s="13">
        <f>ROUNDUP(O1655/'Methodology &amp; Assumptions'!$B$6, 0)</f>
        <v/>
      </c>
      <c r="R1655" s="13" t="n">
        <v>1</v>
      </c>
      <c r="S1655" s="14" t="n">
        <v>73.95999999999999</v>
      </c>
      <c r="T1655" s="14" t="n">
        <v>73.94</v>
      </c>
      <c r="U1655" s="26">
        <f>IF(X1655&gt;='Methodology &amp; Assumptions'!$B$7, "Tier 1 Critical GIDA (Score ≥ 50.0)", IF(X1655&gt;='Methodology &amp; Assumptions'!$B$8, "Tier 2 High GIDA (Score 40.0–49.9)", "Tier 3 Moderate GIDA (Score &lt; 40.0)"))</f>
        <v/>
      </c>
      <c r="V1655" s="26">
        <f>IF(S1655&lt;='Methodology &amp; Assumptions'!$B$10, "Direct Optical Drop (&lt;3km)", IF(S1655&lt;='Methodology &amp; Assumptions'!$B$9, "Near Optical / Microwave (&lt;5km)", "Starlink Business LEO Satellite Backhaul (&gt;5km)"))</f>
        <v/>
      </c>
      <c r="W1655" s="28" t="n">
        <v>0.237</v>
      </c>
      <c r="X1655" s="14" t="n">
        <v>42.22</v>
      </c>
      <c r="Y1655" s="14">
        <f>ROUND(MIN(100, (X1655/69.91)*100), 2)</f>
        <v/>
      </c>
    </row>
    <row r="1656">
      <c r="A1656" s="10" t="n">
        <v>5</v>
      </c>
      <c r="B1656" s="10" t="n">
        <v>652</v>
      </c>
      <c r="C1656" s="10" t="n">
        <v>4652</v>
      </c>
      <c r="D1656" s="10" t="inlineStr">
        <is>
          <t>0300809003</t>
        </is>
      </c>
      <c r="E1656" s="26" t="inlineStr">
        <is>
          <t>Region III (Central Luzon)</t>
        </is>
      </c>
      <c r="F1656" s="26" t="inlineStr">
        <is>
          <t>Bataan</t>
        </is>
      </c>
      <c r="G1656" s="26" t="inlineStr">
        <is>
          <t>Orani</t>
        </is>
      </c>
      <c r="H1656" s="26" t="inlineStr">
        <is>
          <t>Bayan</t>
        </is>
      </c>
      <c r="I1656" s="27" t="n">
        <v>14.790201</v>
      </c>
      <c r="J1656" s="27" t="n">
        <v>120.519705</v>
      </c>
      <c r="K1656" s="10" t="inlineStr">
        <is>
          <t>U</t>
        </is>
      </c>
      <c r="L1656" s="12" t="n">
        <v>6663</v>
      </c>
      <c r="M1656" s="14" t="n">
        <v>3.6</v>
      </c>
      <c r="N1656" s="12">
        <f>ROUND(L1656/M1656, 0)</f>
        <v/>
      </c>
      <c r="O1656" s="12">
        <f>ROUND(N1656*'Methodology &amp; Assumptions'!$B$5, 0)</f>
        <v/>
      </c>
      <c r="P1656" s="10" t="inlineStr">
        <is>
          <t>Single Carrier (Band n50, 100MHz TDD)</t>
        </is>
      </c>
      <c r="Q1656" s="13">
        <f>ROUNDUP(O1656/'Methodology &amp; Assumptions'!$B$6, 0)</f>
        <v/>
      </c>
      <c r="R1656" s="13" t="n">
        <v>1</v>
      </c>
      <c r="S1656" s="14" t="n">
        <v>2.23</v>
      </c>
      <c r="T1656" s="14" t="n">
        <v>1.04</v>
      </c>
      <c r="U1656" s="26">
        <f>IF(X1656&gt;='Methodology &amp; Assumptions'!$B$7, "Tier 1 Critical GIDA (Score ≥ 50.0)", IF(X1656&gt;='Methodology &amp; Assumptions'!$B$8, "Tier 2 High GIDA (Score 40.0–49.9)", "Tier 3 Moderate GIDA (Score &lt; 40.0)"))</f>
        <v/>
      </c>
      <c r="V1656" s="26">
        <f>IF(S1656&lt;='Methodology &amp; Assumptions'!$B$10, "Direct Optical Drop (&lt;3km)", IF(S1656&lt;='Methodology &amp; Assumptions'!$B$9, "Near Optical / Microwave (&lt;5km)", "Starlink Business LEO Satellite Backhaul (&gt;5km)"))</f>
        <v/>
      </c>
      <c r="W1656" s="28" t="n">
        <v>0.083</v>
      </c>
      <c r="X1656" s="14" t="n">
        <v>42.21</v>
      </c>
      <c r="Y1656" s="14">
        <f>ROUND(MIN(100, (X1656/69.91)*100), 2)</f>
        <v/>
      </c>
    </row>
    <row r="1657">
      <c r="A1657" s="10" t="n">
        <v>5</v>
      </c>
      <c r="B1657" s="10" t="n">
        <v>653</v>
      </c>
      <c r="C1657" s="10" t="n">
        <v>4653</v>
      </c>
      <c r="D1657" s="10" t="inlineStr">
        <is>
          <t>0603040072</t>
        </is>
      </c>
      <c r="E1657" s="26" t="inlineStr">
        <is>
          <t>Region VI (Western Visayas)</t>
        </is>
      </c>
      <c r="F1657" s="26" t="inlineStr">
        <is>
          <t>Iloilo</t>
        </is>
      </c>
      <c r="G1657" s="26" t="inlineStr">
        <is>
          <t>San Joaquin</t>
        </is>
      </c>
      <c r="H1657" s="26" t="inlineStr">
        <is>
          <t>San Luis</t>
        </is>
      </c>
      <c r="I1657" s="27" t="n">
        <v>10.532722</v>
      </c>
      <c r="J1657" s="27" t="n">
        <v>122.051805</v>
      </c>
      <c r="K1657" s="10" t="inlineStr">
        <is>
          <t>R</t>
        </is>
      </c>
      <c r="L1657" s="12" t="n">
        <v>653</v>
      </c>
      <c r="M1657" s="14" t="n">
        <v>3.8</v>
      </c>
      <c r="N1657" s="12">
        <f>ROUND(L1657/M1657, 0)</f>
        <v/>
      </c>
      <c r="O1657" s="12">
        <f>ROUND(N1657*'Methodology &amp; Assumptions'!$B$5, 0)</f>
        <v/>
      </c>
      <c r="P1657" s="10" t="inlineStr">
        <is>
          <t>Single Carrier (Band n50, 100MHz TDD)</t>
        </is>
      </c>
      <c r="Q1657" s="13">
        <f>ROUNDUP(O1657/'Methodology &amp; Assumptions'!$B$6, 0)</f>
        <v/>
      </c>
      <c r="R1657" s="13" t="n">
        <v>1</v>
      </c>
      <c r="S1657" s="14" t="n">
        <v>28.4</v>
      </c>
      <c r="T1657" s="14" t="n">
        <v>4.19</v>
      </c>
      <c r="U1657" s="26">
        <f>IF(X1657&gt;='Methodology &amp; Assumptions'!$B$7, "Tier 1 Critical GIDA (Score ≥ 50.0)", IF(X1657&gt;='Methodology &amp; Assumptions'!$B$8, "Tier 2 High GIDA (Score 40.0–49.9)", "Tier 3 Moderate GIDA (Score &lt; 40.0)"))</f>
        <v/>
      </c>
      <c r="V1657" s="26">
        <f>IF(S1657&lt;='Methodology &amp; Assumptions'!$B$10, "Direct Optical Drop (&lt;3km)", IF(S1657&lt;='Methodology &amp; Assumptions'!$B$9, "Near Optical / Microwave (&lt;5km)", "Starlink Business LEO Satellite Backhaul (&gt;5km)"))</f>
        <v/>
      </c>
      <c r="W1657" s="28" t="n">
        <v>0.237</v>
      </c>
      <c r="X1657" s="14" t="n">
        <v>42.2</v>
      </c>
      <c r="Y1657" s="14">
        <f>ROUND(MIN(100, (X1657/69.91)*100), 2)</f>
        <v/>
      </c>
    </row>
    <row r="1658">
      <c r="A1658" s="10" t="n">
        <v>5</v>
      </c>
      <c r="B1658" s="10" t="n">
        <v>654</v>
      </c>
      <c r="C1658" s="10" t="n">
        <v>4654</v>
      </c>
      <c r="D1658" s="10" t="inlineStr">
        <is>
          <t>1908819010</t>
        </is>
      </c>
      <c r="E1658" s="26" t="inlineStr">
        <is>
          <t>Bangsamoro Autonomous Region In Muslim Mindanao (BARMM)</t>
        </is>
      </c>
      <c r="F1658" s="26" t="inlineStr">
        <is>
          <t>Maguindanao del Sur</t>
        </is>
      </c>
      <c r="G1658" s="26" t="inlineStr">
        <is>
          <t>Rajah Buayan</t>
        </is>
      </c>
      <c r="H1658" s="26" t="inlineStr">
        <is>
          <t>Sapakan</t>
        </is>
      </c>
      <c r="I1658" s="27" t="n">
        <v>17.255175</v>
      </c>
      <c r="J1658" s="27" t="n">
        <v>122.229219</v>
      </c>
      <c r="K1658" s="10" t="inlineStr">
        <is>
          <t>R</t>
        </is>
      </c>
      <c r="L1658" s="12" t="n">
        <v>3419</v>
      </c>
      <c r="M1658" s="14" t="n">
        <v>4.7</v>
      </c>
      <c r="N1658" s="12">
        <f>ROUND(L1658/M1658, 0)</f>
        <v/>
      </c>
      <c r="O1658" s="12">
        <f>ROUND(N1658*'Methodology &amp; Assumptions'!$B$5, 0)</f>
        <v/>
      </c>
      <c r="P1658" s="10" t="inlineStr">
        <is>
          <t>Single Carrier (Band n50, 100MHz TDD)</t>
        </is>
      </c>
      <c r="Q1658" s="13">
        <f>ROUNDUP(O1658/'Methodology &amp; Assumptions'!$B$6, 0)</f>
        <v/>
      </c>
      <c r="R1658" s="13" t="n">
        <v>1</v>
      </c>
      <c r="S1658" s="14" t="n">
        <v>29.47</v>
      </c>
      <c r="T1658" s="14" t="n">
        <v>34.34</v>
      </c>
      <c r="U1658" s="26">
        <f>IF(X1658&gt;='Methodology &amp; Assumptions'!$B$7, "Tier 1 Critical GIDA (Score ≥ 50.0)", IF(X1658&gt;='Methodology &amp; Assumptions'!$B$8, "Tier 2 High GIDA (Score 40.0–49.9)", "Tier 3 Moderate GIDA (Score &lt; 40.0)"))</f>
        <v/>
      </c>
      <c r="V1658" s="26">
        <f>IF(S1658&lt;='Methodology &amp; Assumptions'!$B$10, "Direct Optical Drop (&lt;3km)", IF(S1658&lt;='Methodology &amp; Assumptions'!$B$9, "Near Optical / Microwave (&lt;5km)", "Starlink Business LEO Satellite Backhaul (&gt;5km)"))</f>
        <v/>
      </c>
      <c r="W1658" s="28" t="n">
        <v>0.11</v>
      </c>
      <c r="X1658" s="14" t="n">
        <v>42.2</v>
      </c>
      <c r="Y1658" s="14">
        <f>ROUND(MIN(100, (X1658/69.91)*100), 2)</f>
        <v/>
      </c>
    </row>
    <row r="1659">
      <c r="A1659" s="10" t="n">
        <v>5</v>
      </c>
      <c r="B1659" s="10" t="n">
        <v>655</v>
      </c>
      <c r="C1659" s="10" t="n">
        <v>4655</v>
      </c>
      <c r="D1659" s="10" t="inlineStr">
        <is>
          <t>0200902006</t>
        </is>
      </c>
      <c r="E1659" s="26" t="inlineStr">
        <is>
          <t>Region II (Cagayan Valley)</t>
        </is>
      </c>
      <c r="F1659" s="26" t="inlineStr">
        <is>
          <t>Batanes</t>
        </is>
      </c>
      <c r="G1659" s="26" t="inlineStr">
        <is>
          <t>Itbayat</t>
        </is>
      </c>
      <c r="H1659" s="26" t="inlineStr">
        <is>
          <t>Raele</t>
        </is>
      </c>
      <c r="I1659" s="27" t="n">
        <v>20.728968</v>
      </c>
      <c r="J1659" s="27" t="n">
        <v>121.804015</v>
      </c>
      <c r="K1659" s="10" t="inlineStr">
        <is>
          <t>R</t>
        </is>
      </c>
      <c r="L1659" s="12" t="n">
        <v>475</v>
      </c>
      <c r="M1659" s="14" t="n">
        <v>3</v>
      </c>
      <c r="N1659" s="12">
        <f>ROUND(L1659/M1659, 0)</f>
        <v/>
      </c>
      <c r="O1659" s="12">
        <f>ROUND(N1659*'Methodology &amp; Assumptions'!$B$5, 0)</f>
        <v/>
      </c>
      <c r="P1659" s="10" t="inlineStr">
        <is>
          <t>Single Carrier (Band n50, 100MHz TDD)</t>
        </is>
      </c>
      <c r="Q1659" s="13">
        <f>ROUNDUP(O1659/'Methodology &amp; Assumptions'!$B$6, 0)</f>
        <v/>
      </c>
      <c r="R1659" s="13" t="n">
        <v>1</v>
      </c>
      <c r="S1659" s="14" t="n">
        <v>999</v>
      </c>
      <c r="T1659" s="14" t="n">
        <v>999</v>
      </c>
      <c r="U1659" s="26">
        <f>IF(X1659&gt;='Methodology &amp; Assumptions'!$B$7, "Tier 1 Critical GIDA (Score ≥ 50.0)", IF(X1659&gt;='Methodology &amp; Assumptions'!$B$8, "Tier 2 High GIDA (Score 40.0–49.9)", "Tier 3 Moderate GIDA (Score &lt; 40.0)"))</f>
        <v/>
      </c>
      <c r="V1659" s="26">
        <f>IF(S1659&lt;='Methodology &amp; Assumptions'!$B$10, "Direct Optical Drop (&lt;3km)", IF(S1659&lt;='Methodology &amp; Assumptions'!$B$9, "Near Optical / Microwave (&lt;5km)", "Starlink Business LEO Satellite Backhaul (&gt;5km)"))</f>
        <v/>
      </c>
      <c r="W1659" s="28" t="n">
        <v>0.083</v>
      </c>
      <c r="X1659" s="14" t="n">
        <v>42.2</v>
      </c>
      <c r="Y1659" s="14">
        <f>ROUND(MIN(100, (X1659/69.91)*100), 2)</f>
        <v/>
      </c>
    </row>
    <row r="1660">
      <c r="A1660" s="10" t="n">
        <v>5</v>
      </c>
      <c r="B1660" s="10" t="n">
        <v>656</v>
      </c>
      <c r="C1660" s="10" t="n">
        <v>4656</v>
      </c>
      <c r="D1660" s="10" t="inlineStr">
        <is>
          <t>0504110007</t>
        </is>
      </c>
      <c r="E1660" s="26" t="inlineStr">
        <is>
          <t>Region V (Bicol Region)</t>
        </is>
      </c>
      <c r="F1660" s="26" t="inlineStr">
        <is>
          <t>Masbate</t>
        </is>
      </c>
      <c r="G1660" s="26" t="inlineStr">
        <is>
          <t>Mandaon</t>
        </is>
      </c>
      <c r="H1660" s="26" t="inlineStr">
        <is>
          <t>Cagmasoso</t>
        </is>
      </c>
      <c r="I1660" s="27" t="n">
        <v>12.16267</v>
      </c>
      <c r="J1660" s="27" t="n">
        <v>123.230868</v>
      </c>
      <c r="K1660" s="10" t="inlineStr">
        <is>
          <t>R</t>
        </is>
      </c>
      <c r="L1660" s="12" t="n">
        <v>484</v>
      </c>
      <c r="M1660" s="14" t="n">
        <v>4.1</v>
      </c>
      <c r="N1660" s="12">
        <f>ROUND(L1660/M1660, 0)</f>
        <v/>
      </c>
      <c r="O1660" s="12">
        <f>ROUND(N1660*'Methodology &amp; Assumptions'!$B$5, 0)</f>
        <v/>
      </c>
      <c r="P1660" s="10" t="inlineStr">
        <is>
          <t>Single Carrier (Band n50, 100MHz TDD)</t>
        </is>
      </c>
      <c r="Q1660" s="13">
        <f>ROUNDUP(O1660/'Methodology &amp; Assumptions'!$B$6, 0)</f>
        <v/>
      </c>
      <c r="R1660" s="13" t="n">
        <v>1</v>
      </c>
      <c r="S1660" s="14" t="n">
        <v>10.36</v>
      </c>
      <c r="T1660" s="14" t="n">
        <v>21.55</v>
      </c>
      <c r="U1660" s="26">
        <f>IF(X1660&gt;='Methodology &amp; Assumptions'!$B$7, "Tier 1 Critical GIDA (Score ≥ 50.0)", IF(X1660&gt;='Methodology &amp; Assumptions'!$B$8, "Tier 2 High GIDA (Score 40.0–49.9)", "Tier 3 Moderate GIDA (Score &lt; 40.0)"))</f>
        <v/>
      </c>
      <c r="V1660" s="26">
        <f>IF(S1660&lt;='Methodology &amp; Assumptions'!$B$10, "Direct Optical Drop (&lt;3km)", IF(S1660&lt;='Methodology &amp; Assumptions'!$B$9, "Near Optical / Microwave (&lt;5km)", "Starlink Business LEO Satellite Backhaul (&gt;5km)"))</f>
        <v/>
      </c>
      <c r="W1660" s="28" t="n">
        <v>0.237</v>
      </c>
      <c r="X1660" s="14" t="n">
        <v>42.19</v>
      </c>
      <c r="Y1660" s="14">
        <f>ROUND(MIN(100, (X1660/69.91)*100), 2)</f>
        <v/>
      </c>
    </row>
    <row r="1661">
      <c r="A1661" s="10" t="n">
        <v>5</v>
      </c>
      <c r="B1661" s="10" t="n">
        <v>657</v>
      </c>
      <c r="C1661" s="10" t="n">
        <v>4657</v>
      </c>
      <c r="D1661" s="10" t="inlineStr">
        <is>
          <t>PH0004657</t>
        </is>
      </c>
      <c r="E1661" s="26" t="inlineStr">
        <is>
          <t>XIII</t>
        </is>
      </c>
      <c r="F1661" s="26" t="inlineStr">
        <is>
          <t>Agusan Del Norte</t>
        </is>
      </c>
      <c r="G1661" s="26" t="inlineStr">
        <is>
          <t>Butuan City</t>
        </is>
      </c>
      <c r="H1661" s="26" t="inlineStr">
        <is>
          <t>Silongan Pob.</t>
        </is>
      </c>
      <c r="I1661" s="27" t="n">
        <v>11.16138</v>
      </c>
      <c r="J1661" s="27" t="n">
        <v>124.654151</v>
      </c>
      <c r="K1661" s="10" t="inlineStr">
        <is>
          <t>R</t>
        </is>
      </c>
      <c r="L1661" s="12" t="n">
        <v>2294</v>
      </c>
      <c r="M1661" s="14" t="n">
        <v>4.1</v>
      </c>
      <c r="N1661" s="12">
        <f>ROUND(L1661/M1661, 0)</f>
        <v/>
      </c>
      <c r="O1661" s="12">
        <f>ROUND(N1661*'Methodology &amp; Assumptions'!$B$5, 0)</f>
        <v/>
      </c>
      <c r="P1661" s="10" t="inlineStr">
        <is>
          <t>Single Carrier (Band n50, 100MHz TDD)</t>
        </is>
      </c>
      <c r="Q1661" s="13">
        <f>ROUNDUP(O1661/'Methodology &amp; Assumptions'!$B$6, 0)</f>
        <v/>
      </c>
      <c r="R1661" s="13" t="n">
        <v>1</v>
      </c>
      <c r="S1661" s="14" t="n">
        <v>10.45</v>
      </c>
      <c r="T1661" s="14" t="n">
        <v>8.34</v>
      </c>
      <c r="U1661" s="26">
        <f>IF(X1661&gt;='Methodology &amp; Assumptions'!$B$7, "Tier 1 Critical GIDA (Score ≥ 50.0)", IF(X1661&gt;='Methodology &amp; Assumptions'!$B$8, "Tier 2 High GIDA (Score 40.0–49.9)", "Tier 3 Moderate GIDA (Score &lt; 40.0)"))</f>
        <v/>
      </c>
      <c r="V1661" s="26">
        <f>IF(S1661&lt;='Methodology &amp; Assumptions'!$B$10, "Direct Optical Drop (&lt;3km)", IF(S1661&lt;='Methodology &amp; Assumptions'!$B$9, "Near Optical / Microwave (&lt;5km)", "Starlink Business LEO Satellite Backhaul (&gt;5km)"))</f>
        <v/>
      </c>
      <c r="W1661" s="28" t="n">
        <v>0.109</v>
      </c>
      <c r="X1661" s="14" t="n">
        <v>42.19</v>
      </c>
      <c r="Y1661" s="14">
        <f>ROUND(MIN(100, (X1661/69.91)*100), 2)</f>
        <v/>
      </c>
    </row>
    <row r="1662">
      <c r="A1662" s="10" t="n">
        <v>5</v>
      </c>
      <c r="B1662" s="10" t="n">
        <v>658</v>
      </c>
      <c r="C1662" s="10" t="n">
        <v>4658</v>
      </c>
      <c r="D1662" s="10" t="inlineStr">
        <is>
          <t>PH0004658</t>
        </is>
      </c>
      <c r="E1662" s="26" t="inlineStr">
        <is>
          <t>IV-A</t>
        </is>
      </c>
      <c r="F1662" s="26" t="inlineStr">
        <is>
          <t>Cavite</t>
        </is>
      </c>
      <c r="G1662" s="26" t="inlineStr">
        <is>
          <t>City of Bacoor</t>
        </is>
      </c>
      <c r="H1662" s="26" t="inlineStr">
        <is>
          <t>Salinas 1</t>
        </is>
      </c>
      <c r="I1662" s="27" t="n">
        <v>14.151981</v>
      </c>
      <c r="J1662" s="27" t="n">
        <v>120.801476</v>
      </c>
      <c r="K1662" s="10" t="inlineStr">
        <is>
          <t>R</t>
        </is>
      </c>
      <c r="L1662" s="12" t="n">
        <v>9584</v>
      </c>
      <c r="M1662" s="14" t="n">
        <v>3.4</v>
      </c>
      <c r="N1662" s="12">
        <f>ROUND(L1662/M1662, 0)</f>
        <v/>
      </c>
      <c r="O1662" s="12">
        <f>ROUND(N1662*'Methodology &amp; Assumptions'!$B$5, 0)</f>
        <v/>
      </c>
      <c r="P1662" s="10" t="inlineStr">
        <is>
          <t>Single Carrier (Band n50, 100MHz TDD)</t>
        </is>
      </c>
      <c r="Q1662" s="13">
        <f>ROUNDUP(O1662/'Methodology &amp; Assumptions'!$B$6, 0)</f>
        <v/>
      </c>
      <c r="R1662" s="13" t="n">
        <v>1</v>
      </c>
      <c r="S1662" s="14" t="n">
        <v>3.58</v>
      </c>
      <c r="T1662" s="14" t="n">
        <v>5.78</v>
      </c>
      <c r="U1662" s="26">
        <f>IF(X1662&gt;='Methodology &amp; Assumptions'!$B$7, "Tier 1 Critical GIDA (Score ≥ 50.0)", IF(X1662&gt;='Methodology &amp; Assumptions'!$B$8, "Tier 2 High GIDA (Score 40.0–49.9)", "Tier 3 Moderate GIDA (Score &lt; 40.0)"))</f>
        <v/>
      </c>
      <c r="V1662" s="26">
        <f>IF(S1662&lt;='Methodology &amp; Assumptions'!$B$10, "Direct Optical Drop (&lt;3km)", IF(S1662&lt;='Methodology &amp; Assumptions'!$B$9, "Near Optical / Microwave (&lt;5km)", "Starlink Business LEO Satellite Backhaul (&gt;5km)"))</f>
        <v/>
      </c>
      <c r="W1662" s="28" t="n">
        <v>0.07200000000000001</v>
      </c>
      <c r="X1662" s="14" t="n">
        <v>42.19</v>
      </c>
      <c r="Y1662" s="14">
        <f>ROUND(MIN(100, (X1662/69.91)*100), 2)</f>
        <v/>
      </c>
    </row>
    <row r="1663">
      <c r="A1663" s="10" t="n">
        <v>5</v>
      </c>
      <c r="B1663" s="10" t="n">
        <v>659</v>
      </c>
      <c r="C1663" s="10" t="n">
        <v>4659</v>
      </c>
      <c r="D1663" s="10" t="inlineStr">
        <is>
          <t>0402118050</t>
        </is>
      </c>
      <c r="E1663" s="26" t="inlineStr">
        <is>
          <t>Region IV-A (CALABARZON)</t>
        </is>
      </c>
      <c r="F1663" s="26" t="inlineStr">
        <is>
          <t>Cavite</t>
        </is>
      </c>
      <c r="G1663" s="26" t="inlineStr">
        <is>
          <t>Silang</t>
        </is>
      </c>
      <c r="H1663" s="26" t="inlineStr">
        <is>
          <t>Anahaw I</t>
        </is>
      </c>
      <c r="I1663" s="27" t="n">
        <v>14.206006</v>
      </c>
      <c r="J1663" s="27" t="n">
        <v>120.971156</v>
      </c>
      <c r="K1663" s="10" t="inlineStr">
        <is>
          <t>U</t>
        </is>
      </c>
      <c r="L1663" s="12" t="n">
        <v>5504</v>
      </c>
      <c r="M1663" s="14" t="n">
        <v>3.4</v>
      </c>
      <c r="N1663" s="12">
        <f>ROUND(L1663/M1663, 0)</f>
        <v/>
      </c>
      <c r="O1663" s="12">
        <f>ROUND(N1663*'Methodology &amp; Assumptions'!$B$5, 0)</f>
        <v/>
      </c>
      <c r="P1663" s="10" t="inlineStr">
        <is>
          <t>Single Carrier (Band n50, 100MHz TDD)</t>
        </is>
      </c>
      <c r="Q1663" s="13">
        <f>ROUNDUP(O1663/'Methodology &amp; Assumptions'!$B$6, 0)</f>
        <v/>
      </c>
      <c r="R1663" s="13" t="n">
        <v>1</v>
      </c>
      <c r="S1663" s="14" t="n">
        <v>4.77</v>
      </c>
      <c r="T1663" s="14" t="n">
        <v>0.53</v>
      </c>
      <c r="U1663" s="26">
        <f>IF(X1663&gt;='Methodology &amp; Assumptions'!$B$7, "Tier 1 Critical GIDA (Score ≥ 50.0)", IF(X1663&gt;='Methodology &amp; Assumptions'!$B$8, "Tier 2 High GIDA (Score 40.0–49.9)", "Tier 3 Moderate GIDA (Score &lt; 40.0)"))</f>
        <v/>
      </c>
      <c r="V1663" s="26">
        <f>IF(S1663&lt;='Methodology &amp; Assumptions'!$B$10, "Direct Optical Drop (&lt;3km)", IF(S1663&lt;='Methodology &amp; Assumptions'!$B$9, "Near Optical / Microwave (&lt;5km)", "Starlink Business LEO Satellite Backhaul (&gt;5km)"))</f>
        <v/>
      </c>
      <c r="W1663" s="28" t="n">
        <v>0.07200000000000001</v>
      </c>
      <c r="X1663" s="14" t="n">
        <v>42.19</v>
      </c>
      <c r="Y1663" s="14">
        <f>ROUND(MIN(100, (X1663/69.91)*100), 2)</f>
        <v/>
      </c>
    </row>
    <row r="1664">
      <c r="A1664" s="10" t="n">
        <v>5</v>
      </c>
      <c r="B1664" s="10" t="n">
        <v>660</v>
      </c>
      <c r="C1664" s="10" t="n">
        <v>4660</v>
      </c>
      <c r="D1664" s="10" t="inlineStr">
        <is>
          <t>1908819011</t>
        </is>
      </c>
      <c r="E1664" s="26" t="inlineStr">
        <is>
          <t>Bangsamoro Autonomous Region In Muslim Mindanao (BARMM)</t>
        </is>
      </c>
      <c r="F1664" s="26" t="inlineStr">
        <is>
          <t>Maguindanao del Sur</t>
        </is>
      </c>
      <c r="G1664" s="26" t="inlineStr">
        <is>
          <t>Rajah Buayan</t>
        </is>
      </c>
      <c r="H1664" s="26" t="inlineStr">
        <is>
          <t>Tabungao</t>
        </is>
      </c>
      <c r="I1664" s="27" t="n">
        <v>17.255171</v>
      </c>
      <c r="J1664" s="27" t="n">
        <v>122.229215</v>
      </c>
      <c r="K1664" s="10" t="inlineStr">
        <is>
          <t>R</t>
        </is>
      </c>
      <c r="L1664" s="12" t="n">
        <v>3569</v>
      </c>
      <c r="M1664" s="14" t="n">
        <v>4.7</v>
      </c>
      <c r="N1664" s="12">
        <f>ROUND(L1664/M1664, 0)</f>
        <v/>
      </c>
      <c r="O1664" s="12">
        <f>ROUND(N1664*'Methodology &amp; Assumptions'!$B$5, 0)</f>
        <v/>
      </c>
      <c r="P1664" s="10" t="inlineStr">
        <is>
          <t>Single Carrier (Band n50, 100MHz TDD)</t>
        </is>
      </c>
      <c r="Q1664" s="13">
        <f>ROUNDUP(O1664/'Methodology &amp; Assumptions'!$B$6, 0)</f>
        <v/>
      </c>
      <c r="R1664" s="13" t="n">
        <v>1</v>
      </c>
      <c r="S1664" s="14" t="n">
        <v>29.47</v>
      </c>
      <c r="T1664" s="14" t="n">
        <v>34.34</v>
      </c>
      <c r="U1664" s="26">
        <f>IF(X1664&gt;='Methodology &amp; Assumptions'!$B$7, "Tier 1 Critical GIDA (Score ≥ 50.0)", IF(X1664&gt;='Methodology &amp; Assumptions'!$B$8, "Tier 2 High GIDA (Score 40.0–49.9)", "Tier 3 Moderate GIDA (Score &lt; 40.0)"))</f>
        <v/>
      </c>
      <c r="V1664" s="26">
        <f>IF(S1664&lt;='Methodology &amp; Assumptions'!$B$10, "Direct Optical Drop (&lt;3km)", IF(S1664&lt;='Methodology &amp; Assumptions'!$B$9, "Near Optical / Microwave (&lt;5km)", "Starlink Business LEO Satellite Backhaul (&gt;5km)"))</f>
        <v/>
      </c>
      <c r="W1664" s="28" t="n">
        <v>0.11</v>
      </c>
      <c r="X1664" s="14" t="n">
        <v>42.19</v>
      </c>
      <c r="Y1664" s="14">
        <f>ROUND(MIN(100, (X1664/69.91)*100), 2)</f>
        <v/>
      </c>
    </row>
    <row r="1665">
      <c r="A1665" s="10" t="n">
        <v>5</v>
      </c>
      <c r="B1665" s="10" t="n">
        <v>661</v>
      </c>
      <c r="C1665" s="10" t="n">
        <v>4661</v>
      </c>
      <c r="D1665" s="10" t="inlineStr">
        <is>
          <t>0103314008</t>
        </is>
      </c>
      <c r="E1665" s="26" t="inlineStr">
        <is>
          <t>Region I (Ilocos Region)</t>
        </is>
      </c>
      <c r="F1665" s="26" t="inlineStr">
        <is>
          <t>La Union</t>
        </is>
      </c>
      <c r="G1665" s="26" t="inlineStr">
        <is>
          <t>City of San Fernando</t>
        </is>
      </c>
      <c r="H1665" s="26" t="inlineStr">
        <is>
          <t>Barangay III</t>
        </is>
      </c>
      <c r="I1665" s="27" t="n">
        <v>16.610016</v>
      </c>
      <c r="J1665" s="27" t="n">
        <v>120.341928</v>
      </c>
      <c r="K1665" s="10" t="inlineStr">
        <is>
          <t>U</t>
        </is>
      </c>
      <c r="L1665" s="12" t="n">
        <v>308</v>
      </c>
      <c r="M1665" s="14" t="n">
        <v>3.7</v>
      </c>
      <c r="N1665" s="12">
        <f>ROUND(L1665/M1665, 0)</f>
        <v/>
      </c>
      <c r="O1665" s="12">
        <f>ROUND(N1665*'Methodology &amp; Assumptions'!$B$5, 0)</f>
        <v/>
      </c>
      <c r="P1665" s="10" t="inlineStr">
        <is>
          <t>Single Carrier (Band n50, 100MHz TDD)</t>
        </is>
      </c>
      <c r="Q1665" s="13">
        <f>ROUNDUP(O1665/'Methodology &amp; Assumptions'!$B$6, 0)</f>
        <v/>
      </c>
      <c r="R1665" s="13" t="n">
        <v>1</v>
      </c>
      <c r="S1665" s="14" t="n">
        <v>2.68</v>
      </c>
      <c r="T1665" s="14" t="n">
        <v>2.62</v>
      </c>
      <c r="U1665" s="26">
        <f>IF(X1665&gt;='Methodology &amp; Assumptions'!$B$7, "Tier 1 Critical GIDA (Score ≥ 50.0)", IF(X1665&gt;='Methodology &amp; Assumptions'!$B$8, "Tier 2 High GIDA (Score 40.0–49.9)", "Tier 3 Moderate GIDA (Score &lt; 40.0)"))</f>
        <v/>
      </c>
      <c r="V1665" s="26">
        <f>IF(S1665&lt;='Methodology &amp; Assumptions'!$B$10, "Direct Optical Drop (&lt;3km)", IF(S1665&lt;='Methodology &amp; Assumptions'!$B$9, "Near Optical / Microwave (&lt;5km)", "Starlink Business LEO Satellite Backhaul (&gt;5km)"))</f>
        <v/>
      </c>
      <c r="W1665" s="28" t="n">
        <v>0.083</v>
      </c>
      <c r="X1665" s="14" t="n">
        <v>42.18</v>
      </c>
      <c r="Y1665" s="14">
        <f>ROUND(MIN(100, (X1665/69.91)*100), 2)</f>
        <v/>
      </c>
    </row>
    <row r="1666">
      <c r="A1666" s="10" t="n">
        <v>5</v>
      </c>
      <c r="B1666" s="10" t="n">
        <v>662</v>
      </c>
      <c r="C1666" s="10" t="n">
        <v>4662</v>
      </c>
      <c r="D1666" s="10" t="inlineStr">
        <is>
          <t>PH0004662</t>
        </is>
      </c>
      <c r="E1666" s="26" t="inlineStr">
        <is>
          <t>IV-A</t>
        </is>
      </c>
      <c r="F1666" s="26" t="inlineStr">
        <is>
          <t>Cavite</t>
        </is>
      </c>
      <c r="G1666" s="26" t="inlineStr">
        <is>
          <t>Cavite City</t>
        </is>
      </c>
      <c r="H1666" s="26" t="inlineStr">
        <is>
          <t>Barangay 37</t>
        </is>
      </c>
      <c r="I1666" s="27" t="n">
        <v>14.503873</v>
      </c>
      <c r="J1666" s="27" t="n">
        <v>120.857273</v>
      </c>
      <c r="K1666" s="10" t="inlineStr">
        <is>
          <t>R</t>
        </is>
      </c>
      <c r="L1666" s="12" t="n">
        <v>2316</v>
      </c>
      <c r="M1666" s="14" t="n">
        <v>3.4</v>
      </c>
      <c r="N1666" s="12">
        <f>ROUND(L1666/M1666, 0)</f>
        <v/>
      </c>
      <c r="O1666" s="12">
        <f>ROUND(N1666*'Methodology &amp; Assumptions'!$B$5, 0)</f>
        <v/>
      </c>
      <c r="P1666" s="10" t="inlineStr">
        <is>
          <t>Single Carrier (Band n50, 100MHz TDD)</t>
        </is>
      </c>
      <c r="Q1666" s="13">
        <f>ROUNDUP(O1666/'Methodology &amp; Assumptions'!$B$6, 0)</f>
        <v/>
      </c>
      <c r="R1666" s="13" t="n">
        <v>1</v>
      </c>
      <c r="S1666" s="14" t="n">
        <v>4.59</v>
      </c>
      <c r="T1666" s="14" t="n">
        <v>8.58</v>
      </c>
      <c r="U1666" s="26">
        <f>IF(X1666&gt;='Methodology &amp; Assumptions'!$B$7, "Tier 1 Critical GIDA (Score ≥ 50.0)", IF(X1666&gt;='Methodology &amp; Assumptions'!$B$8, "Tier 2 High GIDA (Score 40.0–49.9)", "Tier 3 Moderate GIDA (Score &lt; 40.0)"))</f>
        <v/>
      </c>
      <c r="V1666" s="26">
        <f>IF(S1666&lt;='Methodology &amp; Assumptions'!$B$10, "Direct Optical Drop (&lt;3km)", IF(S1666&lt;='Methodology &amp; Assumptions'!$B$9, "Near Optical / Microwave (&lt;5km)", "Starlink Business LEO Satellite Backhaul (&gt;5km)"))</f>
        <v/>
      </c>
      <c r="W1666" s="28" t="n">
        <v>0.07200000000000001</v>
      </c>
      <c r="X1666" s="14" t="n">
        <v>42.18</v>
      </c>
      <c r="Y1666" s="14">
        <f>ROUND(MIN(100, (X1666/69.91)*100), 2)</f>
        <v/>
      </c>
    </row>
    <row r="1667">
      <c r="A1667" s="10" t="n">
        <v>5</v>
      </c>
      <c r="B1667" s="10" t="n">
        <v>663</v>
      </c>
      <c r="C1667" s="10" t="n">
        <v>4663</v>
      </c>
      <c r="D1667" s="10" t="inlineStr">
        <is>
          <t>1380500003</t>
        </is>
      </c>
      <c r="E1667" s="26" t="inlineStr">
        <is>
          <t>National Capital Region (NCR)</t>
        </is>
      </c>
      <c r="F1667" s="26" t="inlineStr">
        <is>
          <t>Second District (Not a Province)</t>
        </is>
      </c>
      <c r="G1667" s="26" t="inlineStr">
        <is>
          <t>City of Mandaluyong</t>
        </is>
      </c>
      <c r="H1667" s="26" t="inlineStr">
        <is>
          <t>Barangka Drive</t>
        </is>
      </c>
      <c r="I1667" s="27" t="n">
        <v>14.573333</v>
      </c>
      <c r="J1667" s="27" t="n">
        <v>121.038056</v>
      </c>
      <c r="K1667" s="10" t="inlineStr">
        <is>
          <t>U</t>
        </is>
      </c>
      <c r="L1667" s="12" t="n">
        <v>16933</v>
      </c>
      <c r="M1667" s="14" t="n">
        <v>3.3</v>
      </c>
      <c r="N1667" s="12">
        <f>ROUND(L1667/M1667, 0)</f>
        <v/>
      </c>
      <c r="O1667" s="12">
        <f>ROUND(N1667*'Methodology &amp; Assumptions'!$B$5, 0)</f>
        <v/>
      </c>
      <c r="P1667" s="10" t="inlineStr">
        <is>
          <t>Single Carrier (Band n50, 100MHz TDD)</t>
        </is>
      </c>
      <c r="Q1667" s="13">
        <f>ROUNDUP(O1667/'Methodology &amp; Assumptions'!$B$6, 0)</f>
        <v/>
      </c>
      <c r="R1667" s="13" t="n">
        <v>1</v>
      </c>
      <c r="S1667" s="14" t="n">
        <v>1.27</v>
      </c>
      <c r="T1667" s="14" t="n">
        <v>0.31</v>
      </c>
      <c r="U1667" s="26">
        <f>IF(X1667&gt;='Methodology &amp; Assumptions'!$B$7, "Tier 1 Critical GIDA (Score ≥ 50.0)", IF(X1667&gt;='Methodology &amp; Assumptions'!$B$8, "Tier 2 High GIDA (Score 40.0–49.9)", "Tier 3 Moderate GIDA (Score &lt; 40.0)"))</f>
        <v/>
      </c>
      <c r="V1667" s="26">
        <f>IF(S1667&lt;='Methodology &amp; Assumptions'!$B$10, "Direct Optical Drop (&lt;3km)", IF(S1667&lt;='Methodology &amp; Assumptions'!$B$9, "Near Optical / Microwave (&lt;5km)", "Starlink Business LEO Satellite Backhaul (&gt;5km)"))</f>
        <v/>
      </c>
      <c r="W1667" s="28" t="n">
        <v>0.109</v>
      </c>
      <c r="X1667" s="14" t="n">
        <v>42.18</v>
      </c>
      <c r="Y1667" s="14">
        <f>ROUND(MIN(100, (X1667/69.91)*100), 2)</f>
        <v/>
      </c>
    </row>
    <row r="1668">
      <c r="A1668" s="10" t="n">
        <v>5</v>
      </c>
      <c r="B1668" s="10" t="n">
        <v>664</v>
      </c>
      <c r="C1668" s="10" t="n">
        <v>4664</v>
      </c>
      <c r="D1668" s="10" t="inlineStr">
        <is>
          <t>1004204015</t>
        </is>
      </c>
      <c r="E1668" s="26" t="inlineStr">
        <is>
          <t>Region X (Northern Mindanao)</t>
        </is>
      </c>
      <c r="F1668" s="26" t="inlineStr">
        <is>
          <t>Misamis Occidental</t>
        </is>
      </c>
      <c r="G1668" s="26" t="inlineStr">
        <is>
          <t>Calamba</t>
        </is>
      </c>
      <c r="H1668" s="26" t="inlineStr">
        <is>
          <t>Singalat</t>
        </is>
      </c>
      <c r="I1668" s="27" t="n">
        <v>8.419624000000001</v>
      </c>
      <c r="J1668" s="27" t="n">
        <v>123.636622</v>
      </c>
      <c r="K1668" s="10" t="inlineStr">
        <is>
          <t>R</t>
        </is>
      </c>
      <c r="L1668" s="12" t="n">
        <v>228</v>
      </c>
      <c r="M1668" s="14" t="n">
        <v>3.9</v>
      </c>
      <c r="N1668" s="12">
        <f>ROUND(L1668/M1668, 0)</f>
        <v/>
      </c>
      <c r="O1668" s="12">
        <f>ROUND(N1668*'Methodology &amp; Assumptions'!$B$5, 0)</f>
        <v/>
      </c>
      <c r="P1668" s="10" t="inlineStr">
        <is>
          <t>Single Carrier (Band n50, 100MHz TDD)</t>
        </is>
      </c>
      <c r="Q1668" s="13">
        <f>ROUNDUP(O1668/'Methodology &amp; Assumptions'!$B$6, 0)</f>
        <v/>
      </c>
      <c r="R1668" s="13" t="n">
        <v>1</v>
      </c>
      <c r="S1668" s="14" t="n">
        <v>45.54</v>
      </c>
      <c r="T1668" s="14" t="n">
        <v>42.25</v>
      </c>
      <c r="U1668" s="26">
        <f>IF(X1668&gt;='Methodology &amp; Assumptions'!$B$7, "Tier 1 Critical GIDA (Score ≥ 50.0)", IF(X1668&gt;='Methodology &amp; Assumptions'!$B$8, "Tier 2 High GIDA (Score 40.0–49.9)", "Tier 3 Moderate GIDA (Score &lt; 40.0)"))</f>
        <v/>
      </c>
      <c r="V1668" s="26">
        <f>IF(S1668&lt;='Methodology &amp; Assumptions'!$B$10, "Direct Optical Drop (&lt;3km)", IF(S1668&lt;='Methodology &amp; Assumptions'!$B$9, "Near Optical / Microwave (&lt;5km)", "Starlink Business LEO Satellite Backhaul (&gt;5km)"))</f>
        <v/>
      </c>
      <c r="W1668" s="28" t="n">
        <v>0.174</v>
      </c>
      <c r="X1668" s="14" t="n">
        <v>42.18</v>
      </c>
      <c r="Y1668" s="14">
        <f>ROUND(MIN(100, (X1668/69.91)*100), 2)</f>
        <v/>
      </c>
    </row>
    <row r="1669">
      <c r="A1669" s="10" t="n">
        <v>5</v>
      </c>
      <c r="B1669" s="10" t="n">
        <v>665</v>
      </c>
      <c r="C1669" s="10" t="n">
        <v>4665</v>
      </c>
      <c r="D1669" s="10" t="inlineStr">
        <is>
          <t>1381200013</t>
        </is>
      </c>
      <c r="E1669" s="26" t="inlineStr">
        <is>
          <t>National Capital Region (NCR)</t>
        </is>
      </c>
      <c r="F1669" s="26" t="inlineStr">
        <is>
          <t>Second District (Not a Province)</t>
        </is>
      </c>
      <c r="G1669" s="26" t="inlineStr">
        <is>
          <t>City of Pasig</t>
        </is>
      </c>
      <c r="H1669" s="26" t="inlineStr">
        <is>
          <t>Oranbo</t>
        </is>
      </c>
      <c r="I1669" s="27" t="n">
        <v>14.575713</v>
      </c>
      <c r="J1669" s="27" t="n">
        <v>121.065731</v>
      </c>
      <c r="K1669" s="10" t="inlineStr">
        <is>
          <t>U</t>
        </is>
      </c>
      <c r="L1669" s="12" t="n">
        <v>3470</v>
      </c>
      <c r="M1669" s="14" t="n">
        <v>3.4</v>
      </c>
      <c r="N1669" s="12">
        <f>ROUND(L1669/M1669, 0)</f>
        <v/>
      </c>
      <c r="O1669" s="12">
        <f>ROUND(N1669*'Methodology &amp; Assumptions'!$B$5, 0)</f>
        <v/>
      </c>
      <c r="P1669" s="10" t="inlineStr">
        <is>
          <t>Single Carrier (Band n50, 100MHz TDD)</t>
        </is>
      </c>
      <c r="Q1669" s="13">
        <f>ROUNDUP(O1669/'Methodology &amp; Assumptions'!$B$6, 0)</f>
        <v/>
      </c>
      <c r="R1669" s="13" t="n">
        <v>1</v>
      </c>
      <c r="S1669" s="14" t="n">
        <v>0.92</v>
      </c>
      <c r="T1669" s="14" t="n">
        <v>0.41</v>
      </c>
      <c r="U1669" s="26">
        <f>IF(X1669&gt;='Methodology &amp; Assumptions'!$B$7, "Tier 1 Critical GIDA (Score ≥ 50.0)", IF(X1669&gt;='Methodology &amp; Assumptions'!$B$8, "Tier 2 High GIDA (Score 40.0–49.9)", "Tier 3 Moderate GIDA (Score &lt; 40.0)"))</f>
        <v/>
      </c>
      <c r="V1669" s="26">
        <f>IF(S1669&lt;='Methodology &amp; Assumptions'!$B$10, "Direct Optical Drop (&lt;3km)", IF(S1669&lt;='Methodology &amp; Assumptions'!$B$9, "Near Optical / Microwave (&lt;5km)", "Starlink Business LEO Satellite Backhaul (&gt;5km)"))</f>
        <v/>
      </c>
      <c r="W1669" s="28" t="n">
        <v>0.109</v>
      </c>
      <c r="X1669" s="14" t="n">
        <v>42.17</v>
      </c>
      <c r="Y1669" s="14">
        <f>ROUND(MIN(100, (X1669/69.91)*100), 2)</f>
        <v/>
      </c>
    </row>
    <row r="1670">
      <c r="A1670" s="10" t="n">
        <v>5</v>
      </c>
      <c r="B1670" s="10" t="n">
        <v>666</v>
      </c>
      <c r="C1670" s="10" t="n">
        <v>4666</v>
      </c>
      <c r="D1670" s="10" t="inlineStr">
        <is>
          <t>0201529036</t>
        </is>
      </c>
      <c r="E1670" s="26" t="inlineStr">
        <is>
          <t>Region II (Cagayan Valley)</t>
        </is>
      </c>
      <c r="F1670" s="26" t="inlineStr">
        <is>
          <t>Cagayan</t>
        </is>
      </c>
      <c r="G1670" s="26" t="inlineStr">
        <is>
          <t>Tuguegarao City</t>
        </is>
      </c>
      <c r="H1670" s="26" t="inlineStr">
        <is>
          <t>Centro 3</t>
        </is>
      </c>
      <c r="I1670" s="27" t="n">
        <v>17.613906</v>
      </c>
      <c r="J1670" s="27" t="n">
        <v>121.725187</v>
      </c>
      <c r="K1670" s="10" t="inlineStr">
        <is>
          <t>U</t>
        </is>
      </c>
      <c r="L1670" s="12" t="n">
        <v>355</v>
      </c>
      <c r="M1670" s="14" t="n">
        <v>3.9</v>
      </c>
      <c r="N1670" s="12">
        <f>ROUND(L1670/M1670, 0)</f>
        <v/>
      </c>
      <c r="O1670" s="12">
        <f>ROUND(N1670*'Methodology &amp; Assumptions'!$B$5, 0)</f>
        <v/>
      </c>
      <c r="P1670" s="10" t="inlineStr">
        <is>
          <t>Single Carrier (Band n50, 100MHz TDD)</t>
        </is>
      </c>
      <c r="Q1670" s="13">
        <f>ROUNDUP(O1670/'Methodology &amp; Assumptions'!$B$6, 0)</f>
        <v/>
      </c>
      <c r="R1670" s="13" t="n">
        <v>1</v>
      </c>
      <c r="S1670" s="14" t="n">
        <v>4.77</v>
      </c>
      <c r="T1670" s="14" t="n">
        <v>0.36</v>
      </c>
      <c r="U1670" s="26">
        <f>IF(X1670&gt;='Methodology &amp; Assumptions'!$B$7, "Tier 1 Critical GIDA (Score ≥ 50.0)", IF(X1670&gt;='Methodology &amp; Assumptions'!$B$8, "Tier 2 High GIDA (Score 40.0–49.9)", "Tier 3 Moderate GIDA (Score &lt; 40.0)"))</f>
        <v/>
      </c>
      <c r="V1670" s="26">
        <f>IF(S1670&lt;='Methodology &amp; Assumptions'!$B$10, "Direct Optical Drop (&lt;3km)", IF(S1670&lt;='Methodology &amp; Assumptions'!$B$9, "Near Optical / Microwave (&lt;5km)", "Starlink Business LEO Satellite Backhaul (&gt;5km)"))</f>
        <v/>
      </c>
      <c r="W1670" s="28" t="n">
        <v>0.083</v>
      </c>
      <c r="X1670" s="14" t="n">
        <v>42.17</v>
      </c>
      <c r="Y1670" s="14">
        <f>ROUND(MIN(100, (X1670/69.91)*100), 2)</f>
        <v/>
      </c>
    </row>
    <row r="1671">
      <c r="A1671" s="10" t="n">
        <v>5</v>
      </c>
      <c r="B1671" s="10" t="n">
        <v>667</v>
      </c>
      <c r="C1671" s="10" t="n">
        <v>4667</v>
      </c>
      <c r="D1671" s="10" t="inlineStr">
        <is>
          <t>1102504002</t>
        </is>
      </c>
      <c r="E1671" s="26" t="inlineStr">
        <is>
          <t>Region XI (Davao Region)</t>
        </is>
      </c>
      <c r="F1671" s="26" t="inlineStr">
        <is>
          <t>Davao Oriental</t>
        </is>
      </c>
      <c r="G1671" s="26" t="inlineStr">
        <is>
          <t>Caraga</t>
        </is>
      </c>
      <c r="H1671" s="26" t="inlineStr">
        <is>
          <t>Caningag</t>
        </is>
      </c>
      <c r="I1671" s="27" t="n">
        <v>7.284617</v>
      </c>
      <c r="J1671" s="27" t="n">
        <v>126.472694</v>
      </c>
      <c r="K1671" s="10" t="inlineStr">
        <is>
          <t>R</t>
        </is>
      </c>
      <c r="L1671" s="12" t="n">
        <v>1175</v>
      </c>
      <c r="M1671" s="14" t="n">
        <v>3.6</v>
      </c>
      <c r="N1671" s="12">
        <f>ROUND(L1671/M1671, 0)</f>
        <v/>
      </c>
      <c r="O1671" s="12">
        <f>ROUND(N1671*'Methodology &amp; Assumptions'!$B$5, 0)</f>
        <v/>
      </c>
      <c r="P1671" s="10" t="inlineStr">
        <is>
          <t>Single Carrier (Band n50, 100MHz TDD)</t>
        </is>
      </c>
      <c r="Q1671" s="13">
        <f>ROUNDUP(O1671/'Methodology &amp; Assumptions'!$B$6, 0)</f>
        <v/>
      </c>
      <c r="R1671" s="13" t="n">
        <v>1</v>
      </c>
      <c r="S1671" s="14" t="n">
        <v>46.35</v>
      </c>
      <c r="T1671" s="14" t="n">
        <v>45.22</v>
      </c>
      <c r="U1671" s="26">
        <f>IF(X1671&gt;='Methodology &amp; Assumptions'!$B$7, "Tier 1 Critical GIDA (Score ≥ 50.0)", IF(X1671&gt;='Methodology &amp; Assumptions'!$B$8, "Tier 2 High GIDA (Score 40.0–49.9)", "Tier 3 Moderate GIDA (Score &lt; 40.0)"))</f>
        <v/>
      </c>
      <c r="V1671" s="26">
        <f>IF(S1671&lt;='Methodology &amp; Assumptions'!$B$10, "Direct Optical Drop (&lt;3km)", IF(S1671&lt;='Methodology &amp; Assumptions'!$B$9, "Near Optical / Microwave (&lt;5km)", "Starlink Business LEO Satellite Backhaul (&gt;5km)"))</f>
        <v/>
      </c>
      <c r="W1671" s="28" t="n">
        <v>0.174</v>
      </c>
      <c r="X1671" s="14" t="n">
        <v>42.17</v>
      </c>
      <c r="Y1671" s="14">
        <f>ROUND(MIN(100, (X1671/69.91)*100), 2)</f>
        <v/>
      </c>
    </row>
    <row r="1672">
      <c r="A1672" s="10" t="n">
        <v>5</v>
      </c>
      <c r="B1672" s="10" t="n">
        <v>668</v>
      </c>
      <c r="C1672" s="10" t="n">
        <v>4668</v>
      </c>
      <c r="D1672" s="10" t="inlineStr">
        <is>
          <t>PH0004668</t>
        </is>
      </c>
      <c r="E1672" s="26" t="inlineStr">
        <is>
          <t>XI</t>
        </is>
      </c>
      <c r="F1672" s="26" t="inlineStr">
        <is>
          <t>Davao Del Sur</t>
        </is>
      </c>
      <c r="G1672" s="26" t="inlineStr">
        <is>
          <t>Davao City</t>
        </is>
      </c>
      <c r="H1672" s="26" t="inlineStr">
        <is>
          <t>Panacan</t>
        </is>
      </c>
      <c r="I1672" s="27" t="n">
        <v>7.154492</v>
      </c>
      <c r="J1672" s="27" t="n">
        <v>125.659848</v>
      </c>
      <c r="K1672" s="10" t="inlineStr">
        <is>
          <t>R</t>
        </is>
      </c>
      <c r="L1672" s="12" t="n">
        <v>2280</v>
      </c>
      <c r="M1672" s="14" t="n">
        <v>3.4</v>
      </c>
      <c r="N1672" s="12">
        <f>ROUND(L1672/M1672, 0)</f>
        <v/>
      </c>
      <c r="O1672" s="12">
        <f>ROUND(N1672*'Methodology &amp; Assumptions'!$B$5, 0)</f>
        <v/>
      </c>
      <c r="P1672" s="10" t="inlineStr">
        <is>
          <t>Single Carrier (Band n50, 100MHz TDD)</t>
        </is>
      </c>
      <c r="Q1672" s="13">
        <f>ROUNDUP(O1672/'Methodology &amp; Assumptions'!$B$6, 0)</f>
        <v/>
      </c>
      <c r="R1672" s="13" t="n">
        <v>1</v>
      </c>
      <c r="S1672" s="14" t="n">
        <v>4.6</v>
      </c>
      <c r="T1672" s="14" t="n">
        <v>0.28</v>
      </c>
      <c r="U1672" s="26">
        <f>IF(X1672&gt;='Methodology &amp; Assumptions'!$B$7, "Tier 1 Critical GIDA (Score ≥ 50.0)", IF(X1672&gt;='Methodology &amp; Assumptions'!$B$8, "Tier 2 High GIDA (Score 40.0–49.9)", "Tier 3 Moderate GIDA (Score &lt; 40.0)"))</f>
        <v/>
      </c>
      <c r="V1672" s="26">
        <f>IF(S1672&lt;='Methodology &amp; Assumptions'!$B$10, "Direct Optical Drop (&lt;3km)", IF(S1672&lt;='Methodology &amp; Assumptions'!$B$9, "Near Optical / Microwave (&lt;5km)", "Starlink Business LEO Satellite Backhaul (&gt;5km)"))</f>
        <v/>
      </c>
      <c r="W1672" s="28" t="n">
        <v>0.119</v>
      </c>
      <c r="X1672" s="14" t="n">
        <v>42.16</v>
      </c>
      <c r="Y1672" s="14">
        <f>ROUND(MIN(100, (X1672/69.91)*100), 2)</f>
        <v/>
      </c>
    </row>
    <row r="1673">
      <c r="A1673" s="10" t="n">
        <v>5</v>
      </c>
      <c r="B1673" s="10" t="n">
        <v>669</v>
      </c>
      <c r="C1673" s="10" t="n">
        <v>4669</v>
      </c>
      <c r="D1673" s="10" t="inlineStr">
        <is>
          <t>0301412001</t>
        </is>
      </c>
      <c r="E1673" s="26" t="inlineStr">
        <is>
          <t>Region III (Central Luzon)</t>
        </is>
      </c>
      <c r="F1673" s="26" t="inlineStr">
        <is>
          <t>Bulacan</t>
        </is>
      </c>
      <c r="G1673" s="26" t="inlineStr">
        <is>
          <t>City of Meycauayan</t>
        </is>
      </c>
      <c r="H1673" s="26" t="inlineStr">
        <is>
          <t>Bagbaguin</t>
        </is>
      </c>
      <c r="I1673" s="27" t="n">
        <v>14.818854</v>
      </c>
      <c r="J1673" s="27" t="n">
        <v>120.955452</v>
      </c>
      <c r="K1673" s="10" t="inlineStr">
        <is>
          <t>U</t>
        </is>
      </c>
      <c r="L1673" s="12" t="n">
        <v>8807</v>
      </c>
      <c r="M1673" s="14" t="n">
        <v>3.5</v>
      </c>
      <c r="N1673" s="12">
        <f>ROUND(L1673/M1673, 0)</f>
        <v/>
      </c>
      <c r="O1673" s="12">
        <f>ROUND(N1673*'Methodology &amp; Assumptions'!$B$5, 0)</f>
        <v/>
      </c>
      <c r="P1673" s="10" t="inlineStr">
        <is>
          <t>Single Carrier (Band n50, 100MHz TDD)</t>
        </is>
      </c>
      <c r="Q1673" s="13">
        <f>ROUNDUP(O1673/'Methodology &amp; Assumptions'!$B$6, 0)</f>
        <v/>
      </c>
      <c r="R1673" s="13" t="n">
        <v>1</v>
      </c>
      <c r="S1673" s="14" t="n">
        <v>0.71</v>
      </c>
      <c r="T1673" s="14" t="n">
        <v>0.33</v>
      </c>
      <c r="U1673" s="26">
        <f>IF(X1673&gt;='Methodology &amp; Assumptions'!$B$7, "Tier 1 Critical GIDA (Score ≥ 50.0)", IF(X1673&gt;='Methodology &amp; Assumptions'!$B$8, "Tier 2 High GIDA (Score 40.0–49.9)", "Tier 3 Moderate GIDA (Score &lt; 40.0)"))</f>
        <v/>
      </c>
      <c r="V1673" s="26">
        <f>IF(S1673&lt;='Methodology &amp; Assumptions'!$B$10, "Direct Optical Drop (&lt;3km)", IF(S1673&lt;='Methodology &amp; Assumptions'!$B$9, "Near Optical / Microwave (&lt;5km)", "Starlink Business LEO Satellite Backhaul (&gt;5km)"))</f>
        <v/>
      </c>
      <c r="W1673" s="28" t="n">
        <v>0.083</v>
      </c>
      <c r="X1673" s="14" t="n">
        <v>42.16</v>
      </c>
      <c r="Y1673" s="14">
        <f>ROUND(MIN(100, (X1673/69.91)*100), 2)</f>
        <v/>
      </c>
    </row>
    <row r="1674">
      <c r="A1674" s="10" t="n">
        <v>5</v>
      </c>
      <c r="B1674" s="10" t="n">
        <v>670</v>
      </c>
      <c r="C1674" s="10" t="n">
        <v>4670</v>
      </c>
      <c r="D1674" s="10" t="inlineStr">
        <is>
          <t>1600304009</t>
        </is>
      </c>
      <c r="E1674" s="26" t="inlineStr">
        <is>
          <t>Region XIII (Caraga)</t>
        </is>
      </c>
      <c r="F1674" s="26" t="inlineStr">
        <is>
          <t>Agusan del Sur</t>
        </is>
      </c>
      <c r="G1674" s="26" t="inlineStr">
        <is>
          <t>La Paz</t>
        </is>
      </c>
      <c r="H1674" s="26" t="inlineStr">
        <is>
          <t>Angeles</t>
        </is>
      </c>
      <c r="I1674" s="27" t="n">
        <v>8.257854999999999</v>
      </c>
      <c r="J1674" s="27" t="n">
        <v>125.788625</v>
      </c>
      <c r="K1674" s="10" t="inlineStr">
        <is>
          <t>R</t>
        </is>
      </c>
      <c r="L1674" s="12" t="n">
        <v>1021</v>
      </c>
      <c r="M1674" s="14" t="n">
        <v>3.9</v>
      </c>
      <c r="N1674" s="12">
        <f>ROUND(L1674/M1674, 0)</f>
        <v/>
      </c>
      <c r="O1674" s="12">
        <f>ROUND(N1674*'Methodology &amp; Assumptions'!$B$5, 0)</f>
        <v/>
      </c>
      <c r="P1674" s="10" t="inlineStr">
        <is>
          <t>Single Carrier (Band n50, 100MHz TDD)</t>
        </is>
      </c>
      <c r="Q1674" s="13">
        <f>ROUNDUP(O1674/'Methodology &amp; Assumptions'!$B$6, 0)</f>
        <v/>
      </c>
      <c r="R1674" s="13" t="n">
        <v>1</v>
      </c>
      <c r="S1674" s="14" t="n">
        <v>23.99</v>
      </c>
      <c r="T1674" s="14" t="n">
        <v>20.77</v>
      </c>
      <c r="U1674" s="26">
        <f>IF(X1674&gt;='Methodology &amp; Assumptions'!$B$7, "Tier 1 Critical GIDA (Score ≥ 50.0)", IF(X1674&gt;='Methodology &amp; Assumptions'!$B$8, "Tier 2 High GIDA (Score 40.0–49.9)", "Tier 3 Moderate GIDA (Score &lt; 40.0)"))</f>
        <v/>
      </c>
      <c r="V1674" s="26">
        <f>IF(S1674&lt;='Methodology &amp; Assumptions'!$B$10, "Direct Optical Drop (&lt;3km)", IF(S1674&lt;='Methodology &amp; Assumptions'!$B$9, "Near Optical / Microwave (&lt;5km)", "Starlink Business LEO Satellite Backhaul (&gt;5km)"))</f>
        <v/>
      </c>
      <c r="W1674" s="28" t="n">
        <v>0.174</v>
      </c>
      <c r="X1674" s="14" t="n">
        <v>42.16</v>
      </c>
      <c r="Y1674" s="14">
        <f>ROUND(MIN(100, (X1674/69.91)*100), 2)</f>
        <v/>
      </c>
    </row>
    <row r="1675">
      <c r="A1675" s="10" t="n">
        <v>5</v>
      </c>
      <c r="B1675" s="10" t="n">
        <v>671</v>
      </c>
      <c r="C1675" s="10" t="n">
        <v>4671</v>
      </c>
      <c r="D1675" s="10" t="inlineStr">
        <is>
          <t>1705303011</t>
        </is>
      </c>
      <c r="E1675" s="26" t="inlineStr">
        <is>
          <t>MIMAROPA Region</t>
        </is>
      </c>
      <c r="F1675" s="26" t="inlineStr">
        <is>
          <t>Palawan</t>
        </is>
      </c>
      <c r="G1675" s="26" t="inlineStr">
        <is>
          <t>Araceli</t>
        </is>
      </c>
      <c r="H1675" s="26" t="inlineStr">
        <is>
          <t>Santo Niño</t>
        </is>
      </c>
      <c r="I1675" s="27" t="n">
        <v>10.576551</v>
      </c>
      <c r="J1675" s="27" t="n">
        <v>119.910144</v>
      </c>
      <c r="K1675" s="10" t="inlineStr">
        <is>
          <t>R</t>
        </is>
      </c>
      <c r="L1675" s="12" t="n">
        <v>578</v>
      </c>
      <c r="M1675" s="14" t="n">
        <v>3.9</v>
      </c>
      <c r="N1675" s="12">
        <f>ROUND(L1675/M1675, 0)</f>
        <v/>
      </c>
      <c r="O1675" s="12">
        <f>ROUND(N1675*'Methodology &amp; Assumptions'!$B$5, 0)</f>
        <v/>
      </c>
      <c r="P1675" s="10" t="inlineStr">
        <is>
          <t>Single Carrier (Band n50, 100MHz TDD)</t>
        </is>
      </c>
      <c r="Q1675" s="13">
        <f>ROUNDUP(O1675/'Methodology &amp; Assumptions'!$B$6, 0)</f>
        <v/>
      </c>
      <c r="R1675" s="13" t="n">
        <v>1</v>
      </c>
      <c r="S1675" s="14" t="n">
        <v>38.87</v>
      </c>
      <c r="T1675" s="14" t="n">
        <v>47.71</v>
      </c>
      <c r="U1675" s="26">
        <f>IF(X1675&gt;='Methodology &amp; Assumptions'!$B$7, "Tier 1 Critical GIDA (Score ≥ 50.0)", IF(X1675&gt;='Methodology &amp; Assumptions'!$B$8, "Tier 2 High GIDA (Score 40.0–49.9)", "Tier 3 Moderate GIDA (Score &lt; 40.0)"))</f>
        <v/>
      </c>
      <c r="V1675" s="26">
        <f>IF(S1675&lt;='Methodology &amp; Assumptions'!$B$10, "Direct Optical Drop (&lt;3km)", IF(S1675&lt;='Methodology &amp; Assumptions'!$B$9, "Near Optical / Microwave (&lt;5km)", "Starlink Business LEO Satellite Backhaul (&gt;5km)"))</f>
        <v/>
      </c>
      <c r="W1675" s="28" t="n">
        <v>0.15</v>
      </c>
      <c r="X1675" s="14" t="n">
        <v>42.15</v>
      </c>
      <c r="Y1675" s="14">
        <f>ROUND(MIN(100, (X1675/69.91)*100), 2)</f>
        <v/>
      </c>
    </row>
    <row r="1676">
      <c r="A1676" s="10" t="n">
        <v>5</v>
      </c>
      <c r="B1676" s="10" t="n">
        <v>672</v>
      </c>
      <c r="C1676" s="10" t="n">
        <v>4672</v>
      </c>
      <c r="D1676" s="10" t="inlineStr">
        <is>
          <t>1906613026</t>
        </is>
      </c>
      <c r="E1676" s="26" t="inlineStr">
        <is>
          <t>Bangsamoro Autonomous Region In Muslim Mindanao (BARMM)</t>
        </is>
      </c>
      <c r="F1676" s="26" t="inlineStr">
        <is>
          <t>Sulu</t>
        </is>
      </c>
      <c r="G1676" s="26" t="inlineStr">
        <is>
          <t>Talipao</t>
        </is>
      </c>
      <c r="H1676" s="26" t="inlineStr">
        <is>
          <t>Lambanah</t>
        </is>
      </c>
      <c r="I1676" s="27" t="n">
        <v>17.255453</v>
      </c>
      <c r="J1676" s="27" t="n">
        <v>122.229497</v>
      </c>
      <c r="K1676" s="10" t="inlineStr">
        <is>
          <t>U</t>
        </is>
      </c>
      <c r="L1676" s="12" t="n">
        <v>2428</v>
      </c>
      <c r="M1676" s="14" t="n">
        <v>6</v>
      </c>
      <c r="N1676" s="12">
        <f>ROUND(L1676/M1676, 0)</f>
        <v/>
      </c>
      <c r="O1676" s="12">
        <f>ROUND(N1676*'Methodology &amp; Assumptions'!$B$5, 0)</f>
        <v/>
      </c>
      <c r="P1676" s="10" t="inlineStr">
        <is>
          <t>Single Carrier (Band n50, 100MHz TDD)</t>
        </is>
      </c>
      <c r="Q1676" s="13">
        <f>ROUNDUP(O1676/'Methodology &amp; Assumptions'!$B$6, 0)</f>
        <v/>
      </c>
      <c r="R1676" s="13" t="n">
        <v>1</v>
      </c>
      <c r="S1676" s="14" t="n">
        <v>29.51</v>
      </c>
      <c r="T1676" s="14" t="n">
        <v>34.38</v>
      </c>
      <c r="U1676" s="26">
        <f>IF(X1676&gt;='Methodology &amp; Assumptions'!$B$7, "Tier 1 Critical GIDA (Score ≥ 50.0)", IF(X1676&gt;='Methodology &amp; Assumptions'!$B$8, "Tier 2 High GIDA (Score 40.0–49.9)", "Tier 3 Moderate GIDA (Score &lt; 40.0)"))</f>
        <v/>
      </c>
      <c r="V1676" s="26">
        <f>IF(S1676&lt;='Methodology &amp; Assumptions'!$B$10, "Direct Optical Drop (&lt;3km)", IF(S1676&lt;='Methodology &amp; Assumptions'!$B$9, "Near Optical / Microwave (&lt;5km)", "Starlink Business LEO Satellite Backhaul (&gt;5km)"))</f>
        <v/>
      </c>
      <c r="W1676" s="28" t="n">
        <v>0.11</v>
      </c>
      <c r="X1676" s="14" t="n">
        <v>42.15</v>
      </c>
      <c r="Y1676" s="14">
        <f>ROUND(MIN(100, (X1676/69.91)*100), 2)</f>
        <v/>
      </c>
    </row>
    <row r="1677">
      <c r="A1677" s="10" t="n">
        <v>5</v>
      </c>
      <c r="B1677" s="10" t="n">
        <v>673</v>
      </c>
      <c r="C1677" s="10" t="n">
        <v>4673</v>
      </c>
      <c r="D1677" s="10" t="inlineStr">
        <is>
          <t>1705910008</t>
        </is>
      </c>
      <c r="E1677" s="26" t="inlineStr">
        <is>
          <t>MIMAROPA Region</t>
        </is>
      </c>
      <c r="F1677" s="26" t="inlineStr">
        <is>
          <t>Romblon</t>
        </is>
      </c>
      <c r="G1677" s="26" t="inlineStr">
        <is>
          <t>Romblon</t>
        </is>
      </c>
      <c r="H1677" s="26" t="inlineStr">
        <is>
          <t>Alad</t>
        </is>
      </c>
      <c r="I1677" s="27" t="n">
        <v>12.621395</v>
      </c>
      <c r="J1677" s="27" t="n">
        <v>122.240798</v>
      </c>
      <c r="K1677" s="10" t="inlineStr">
        <is>
          <t>R</t>
        </is>
      </c>
      <c r="L1677" s="12" t="n">
        <v>2026</v>
      </c>
      <c r="M1677" s="14" t="n">
        <v>3.7</v>
      </c>
      <c r="N1677" s="12">
        <f>ROUND(L1677/M1677, 0)</f>
        <v/>
      </c>
      <c r="O1677" s="12">
        <f>ROUND(N1677*'Methodology &amp; Assumptions'!$B$5, 0)</f>
        <v/>
      </c>
      <c r="P1677" s="10" t="inlineStr">
        <is>
          <t>Single Carrier (Band n50, 100MHz TDD)</t>
        </is>
      </c>
      <c r="Q1677" s="13">
        <f>ROUNDUP(O1677/'Methodology &amp; Assumptions'!$B$6, 0)</f>
        <v/>
      </c>
      <c r="R1677" s="13" t="n">
        <v>1</v>
      </c>
      <c r="S1677" s="14" t="n">
        <v>74.8</v>
      </c>
      <c r="T1677" s="14" t="n">
        <v>62.04</v>
      </c>
      <c r="U1677" s="26">
        <f>IF(X1677&gt;='Methodology &amp; Assumptions'!$B$7, "Tier 1 Critical GIDA (Score ≥ 50.0)", IF(X1677&gt;='Methodology &amp; Assumptions'!$B$8, "Tier 2 High GIDA (Score 40.0–49.9)", "Tier 3 Moderate GIDA (Score &lt; 40.0)"))</f>
        <v/>
      </c>
      <c r="V1677" s="26">
        <f>IF(S1677&lt;='Methodology &amp; Assumptions'!$B$10, "Direct Optical Drop (&lt;3km)", IF(S1677&lt;='Methodology &amp; Assumptions'!$B$9, "Near Optical / Microwave (&lt;5km)", "Starlink Business LEO Satellite Backhaul (&gt;5km)"))</f>
        <v/>
      </c>
      <c r="W1677" s="28" t="n">
        <v>0.15</v>
      </c>
      <c r="X1677" s="14" t="n">
        <v>42.15</v>
      </c>
      <c r="Y1677" s="14">
        <f>ROUND(MIN(100, (X1677/69.91)*100), 2)</f>
        <v/>
      </c>
    </row>
    <row r="1678">
      <c r="A1678" s="10" t="n">
        <v>5</v>
      </c>
      <c r="B1678" s="10" t="n">
        <v>674</v>
      </c>
      <c r="C1678" s="10" t="n">
        <v>4674</v>
      </c>
      <c r="D1678" s="10" t="inlineStr">
        <is>
          <t>PH0004674</t>
        </is>
      </c>
      <c r="E1678" s="26" t="inlineStr">
        <is>
          <t>VII</t>
        </is>
      </c>
      <c r="F1678" s="26" t="inlineStr">
        <is>
          <t>Cebu</t>
        </is>
      </c>
      <c r="G1678" s="26" t="inlineStr">
        <is>
          <t>Talisay City</t>
        </is>
      </c>
      <c r="H1678" s="26" t="inlineStr">
        <is>
          <t>Mohon</t>
        </is>
      </c>
      <c r="I1678" s="27" t="n">
        <v>10.395462</v>
      </c>
      <c r="J1678" s="27" t="n">
        <v>123.780282</v>
      </c>
      <c r="K1678" s="10" t="inlineStr">
        <is>
          <t>R</t>
        </is>
      </c>
      <c r="L1678" s="12" t="n">
        <v>2250</v>
      </c>
      <c r="M1678" s="14" t="n">
        <v>3.8</v>
      </c>
      <c r="N1678" s="12">
        <f>ROUND(L1678/M1678, 0)</f>
        <v/>
      </c>
      <c r="O1678" s="12">
        <f>ROUND(N1678*'Methodology &amp; Assumptions'!$B$5, 0)</f>
        <v/>
      </c>
      <c r="P1678" s="10" t="inlineStr">
        <is>
          <t>Single Carrier (Band n50, 100MHz TDD)</t>
        </is>
      </c>
      <c r="Q1678" s="13">
        <f>ROUNDUP(O1678/'Methodology &amp; Assumptions'!$B$6, 0)</f>
        <v/>
      </c>
      <c r="R1678" s="13" t="n">
        <v>1</v>
      </c>
      <c r="S1678" s="14" t="n">
        <v>8.369999999999999</v>
      </c>
      <c r="T1678" s="14" t="n">
        <v>11.7</v>
      </c>
      <c r="U1678" s="26">
        <f>IF(X1678&gt;='Methodology &amp; Assumptions'!$B$7, "Tier 1 Critical GIDA (Score ≥ 50.0)", IF(X1678&gt;='Methodology &amp; Assumptions'!$B$8, "Tier 2 High GIDA (Score 40.0–49.9)", "Tier 3 Moderate GIDA (Score &lt; 40.0)"))</f>
        <v/>
      </c>
      <c r="V1678" s="26">
        <f>IF(S1678&lt;='Methodology &amp; Assumptions'!$B$10, "Direct Optical Drop (&lt;3km)", IF(S1678&lt;='Methodology &amp; Assumptions'!$B$9, "Near Optical / Microwave (&lt;5km)", "Starlink Business LEO Satellite Backhaul (&gt;5km)"))</f>
        <v/>
      </c>
      <c r="W1678" s="28" t="n">
        <v>0.21</v>
      </c>
      <c r="X1678" s="14" t="n">
        <v>42.13</v>
      </c>
      <c r="Y1678" s="14">
        <f>ROUND(MIN(100, (X1678/69.91)*100), 2)</f>
        <v/>
      </c>
    </row>
    <row r="1679">
      <c r="A1679" s="10" t="n">
        <v>5</v>
      </c>
      <c r="B1679" s="10" t="n">
        <v>675</v>
      </c>
      <c r="C1679" s="10" t="n">
        <v>4675</v>
      </c>
      <c r="D1679" s="10" t="inlineStr">
        <is>
          <t>1408101016</t>
        </is>
      </c>
      <c r="E1679" s="26" t="inlineStr">
        <is>
          <t>Cordillera Administrative Region (CAR)</t>
        </is>
      </c>
      <c r="F1679" s="26" t="inlineStr">
        <is>
          <t>Apayao</t>
        </is>
      </c>
      <c r="G1679" s="26" t="inlineStr">
        <is>
          <t>Calanasan</t>
        </is>
      </c>
      <c r="H1679" s="26" t="inlineStr">
        <is>
          <t>Kabugawan</t>
        </is>
      </c>
      <c r="I1679" s="27" t="n">
        <v>18.176611</v>
      </c>
      <c r="J1679" s="27" t="n">
        <v>121.0688</v>
      </c>
      <c r="K1679" s="10" t="inlineStr">
        <is>
          <t>R</t>
        </is>
      </c>
      <c r="L1679" s="12" t="n">
        <v>458</v>
      </c>
      <c r="M1679" s="14" t="n">
        <v>4.2</v>
      </c>
      <c r="N1679" s="12">
        <f>ROUND(L1679/M1679, 0)</f>
        <v/>
      </c>
      <c r="O1679" s="12">
        <f>ROUND(N1679*'Methodology &amp; Assumptions'!$B$5, 0)</f>
        <v/>
      </c>
      <c r="P1679" s="10" t="inlineStr">
        <is>
          <t>Single Carrier (Band n50, 100MHz TDD)</t>
        </is>
      </c>
      <c r="Q1679" s="13">
        <f>ROUNDUP(O1679/'Methodology &amp; Assumptions'!$B$6, 0)</f>
        <v/>
      </c>
      <c r="R1679" s="13" t="n">
        <v>1</v>
      </c>
      <c r="S1679" s="14" t="n">
        <v>21.12</v>
      </c>
      <c r="T1679" s="14" t="n">
        <v>27.1</v>
      </c>
      <c r="U1679" s="26">
        <f>IF(X1679&gt;='Methodology &amp; Assumptions'!$B$7, "Tier 1 Critical GIDA (Score ≥ 50.0)", IF(X1679&gt;='Methodology &amp; Assumptions'!$B$8, "Tier 2 High GIDA (Score 40.0–49.9)", "Tier 3 Moderate GIDA (Score &lt; 40.0)"))</f>
        <v/>
      </c>
      <c r="V1679" s="26">
        <f>IF(S1679&lt;='Methodology &amp; Assumptions'!$B$10, "Direct Optical Drop (&lt;3km)", IF(S1679&lt;='Methodology &amp; Assumptions'!$B$9, "Near Optical / Microwave (&lt;5km)", "Starlink Business LEO Satellite Backhaul (&gt;5km)"))</f>
        <v/>
      </c>
      <c r="W1679" s="28" t="n">
        <v>0.109</v>
      </c>
      <c r="X1679" s="14" t="n">
        <v>42.13</v>
      </c>
      <c r="Y1679" s="14">
        <f>ROUND(MIN(100, (X1679/69.91)*100), 2)</f>
        <v/>
      </c>
    </row>
    <row r="1680">
      <c r="A1680" s="10" t="n">
        <v>5</v>
      </c>
      <c r="B1680" s="10" t="n">
        <v>676</v>
      </c>
      <c r="C1680" s="10" t="n">
        <v>4676</v>
      </c>
      <c r="D1680" s="10" t="inlineStr">
        <is>
          <t>1001321014</t>
        </is>
      </c>
      <c r="E1680" s="26" t="inlineStr">
        <is>
          <t>Region X (Northern Mindanao)</t>
        </is>
      </c>
      <c r="F1680" s="26" t="inlineStr">
        <is>
          <t>Bukidnon</t>
        </is>
      </c>
      <c r="G1680" s="26" t="inlineStr">
        <is>
          <t>City of Valencia</t>
        </is>
      </c>
      <c r="H1680" s="26" t="inlineStr">
        <is>
          <t>Lourdes</t>
        </is>
      </c>
      <c r="I1680" s="27" t="n">
        <v>7.908603</v>
      </c>
      <c r="J1680" s="27" t="n">
        <v>125.11106</v>
      </c>
      <c r="K1680" s="10" t="inlineStr">
        <is>
          <t>R</t>
        </is>
      </c>
      <c r="L1680" s="12" t="n">
        <v>2187</v>
      </c>
      <c r="M1680" s="14" t="n">
        <v>3.8</v>
      </c>
      <c r="N1680" s="12">
        <f>ROUND(L1680/M1680, 0)</f>
        <v/>
      </c>
      <c r="O1680" s="12">
        <f>ROUND(N1680*'Methodology &amp; Assumptions'!$B$5, 0)</f>
        <v/>
      </c>
      <c r="P1680" s="10" t="inlineStr">
        <is>
          <t>Single Carrier (Band n50, 100MHz TDD)</t>
        </is>
      </c>
      <c r="Q1680" s="13">
        <f>ROUNDUP(O1680/'Methodology &amp; Assumptions'!$B$6, 0)</f>
        <v/>
      </c>
      <c r="R1680" s="13" t="n">
        <v>1</v>
      </c>
      <c r="S1680" s="14" t="n">
        <v>2.19</v>
      </c>
      <c r="T1680" s="14" t="n">
        <v>0.59</v>
      </c>
      <c r="U1680" s="26">
        <f>IF(X1680&gt;='Methodology &amp; Assumptions'!$B$7, "Tier 1 Critical GIDA (Score ≥ 50.0)", IF(X1680&gt;='Methodology &amp; Assumptions'!$B$8, "Tier 2 High GIDA (Score 40.0–49.9)", "Tier 3 Moderate GIDA (Score &lt; 40.0)"))</f>
        <v/>
      </c>
      <c r="V1680" s="26">
        <f>IF(S1680&lt;='Methodology &amp; Assumptions'!$B$10, "Direct Optical Drop (&lt;3km)", IF(S1680&lt;='Methodology &amp; Assumptions'!$B$9, "Near Optical / Microwave (&lt;5km)", "Starlink Business LEO Satellite Backhaul (&gt;5km)"))</f>
        <v/>
      </c>
      <c r="W1680" s="28" t="n">
        <v>0.174</v>
      </c>
      <c r="X1680" s="14" t="n">
        <v>42.12</v>
      </c>
      <c r="Y1680" s="14">
        <f>ROUND(MIN(100, (X1680/69.91)*100), 2)</f>
        <v/>
      </c>
    </row>
    <row r="1681">
      <c r="A1681" s="10" t="n">
        <v>5</v>
      </c>
      <c r="B1681" s="10" t="n">
        <v>677</v>
      </c>
      <c r="C1681" s="10" t="n">
        <v>4677</v>
      </c>
      <c r="D1681" s="10" t="inlineStr">
        <is>
          <t>1380608012</t>
        </is>
      </c>
      <c r="E1681" s="26" t="inlineStr">
        <is>
          <t>National Capital Region (NCR)</t>
        </is>
      </c>
      <c r="F1681" s="26" t="inlineStr">
        <is>
          <t>First District (Not a Province)</t>
        </is>
      </c>
      <c r="G1681" s="26" t="inlineStr">
        <is>
          <t>City of Manila</t>
        </is>
      </c>
      <c r="H1681" s="26" t="inlineStr">
        <is>
          <t>Barangay 670</t>
        </is>
      </c>
      <c r="I1681" s="27" t="n">
        <v>14.120127</v>
      </c>
      <c r="J1681" s="27" t="n">
        <v>122.175199</v>
      </c>
      <c r="K1681" s="10" t="inlineStr">
        <is>
          <t>U</t>
        </is>
      </c>
      <c r="L1681" s="12" t="n">
        <v>2858</v>
      </c>
      <c r="M1681" s="14" t="n">
        <v>3.9</v>
      </c>
      <c r="N1681" s="12">
        <f>ROUND(L1681/M1681, 0)</f>
        <v/>
      </c>
      <c r="O1681" s="12">
        <f>ROUND(N1681*'Methodology &amp; Assumptions'!$B$5, 0)</f>
        <v/>
      </c>
      <c r="P1681" s="10" t="inlineStr">
        <is>
          <t>Single Carrier (Band n50, 100MHz TDD)</t>
        </is>
      </c>
      <c r="Q1681" s="13">
        <f>ROUNDUP(O1681/'Methodology &amp; Assumptions'!$B$6, 0)</f>
        <v/>
      </c>
      <c r="R1681" s="13" t="n">
        <v>1</v>
      </c>
      <c r="S1681" s="14" t="n">
        <v>5.35</v>
      </c>
      <c r="T1681" s="14" t="n">
        <v>19.72</v>
      </c>
      <c r="U1681" s="26">
        <f>IF(X1681&gt;='Methodology &amp; Assumptions'!$B$7, "Tier 1 Critical GIDA (Score ≥ 50.0)", IF(X1681&gt;='Methodology &amp; Assumptions'!$B$8, "Tier 2 High GIDA (Score 40.0–49.9)", "Tier 3 Moderate GIDA (Score &lt; 40.0)"))</f>
        <v/>
      </c>
      <c r="V1681" s="26">
        <f>IF(S1681&lt;='Methodology &amp; Assumptions'!$B$10, "Direct Optical Drop (&lt;3km)", IF(S1681&lt;='Methodology &amp; Assumptions'!$B$9, "Near Optical / Microwave (&lt;5km)", "Starlink Business LEO Satellite Backhaul (&gt;5km)"))</f>
        <v/>
      </c>
      <c r="W1681" s="28" t="n">
        <v>0.109</v>
      </c>
      <c r="X1681" s="14" t="n">
        <v>42.11</v>
      </c>
      <c r="Y1681" s="14">
        <f>ROUND(MIN(100, (X1681/69.91)*100), 2)</f>
        <v/>
      </c>
    </row>
    <row r="1682">
      <c r="A1682" s="10" t="n">
        <v>5</v>
      </c>
      <c r="B1682" s="10" t="n">
        <v>678</v>
      </c>
      <c r="C1682" s="10" t="n">
        <v>4678</v>
      </c>
      <c r="D1682" s="10" t="inlineStr">
        <is>
          <t>0405802008</t>
        </is>
      </c>
      <c r="E1682" s="26" t="inlineStr">
        <is>
          <t>Region IV-A (CALABARZON)</t>
        </is>
      </c>
      <c r="F1682" s="26" t="inlineStr">
        <is>
          <t>Rizal</t>
        </is>
      </c>
      <c r="G1682" s="26" t="inlineStr">
        <is>
          <t>City of Antipolo</t>
        </is>
      </c>
      <c r="H1682" s="26" t="inlineStr">
        <is>
          <t>San Jose</t>
        </is>
      </c>
      <c r="I1682" s="27" t="n">
        <v>14.692505</v>
      </c>
      <c r="J1682" s="27" t="n">
        <v>121.300025</v>
      </c>
      <c r="K1682" s="10" t="inlineStr">
        <is>
          <t>U</t>
        </is>
      </c>
      <c r="L1682" s="12" t="n">
        <v>122171</v>
      </c>
      <c r="M1682" s="14" t="n">
        <v>3.6</v>
      </c>
      <c r="N1682" s="12">
        <f>ROUND(L1682/M1682, 0)</f>
        <v/>
      </c>
      <c r="O1682" s="12">
        <f>ROUND(N1682*'Methodology &amp; Assumptions'!$B$5, 0)</f>
        <v/>
      </c>
      <c r="P1682" s="10" t="inlineStr">
        <is>
          <t>Single Carrier (Band n50, 100MHz TDD)</t>
        </is>
      </c>
      <c r="Q1682" s="13">
        <f>ROUNDUP(O1682/'Methodology &amp; Assumptions'!$B$6, 0)</f>
        <v/>
      </c>
      <c r="R1682" s="13" t="n">
        <v>1</v>
      </c>
      <c r="S1682" s="14" t="n">
        <v>7.35</v>
      </c>
      <c r="T1682" s="14" t="n">
        <v>14.86</v>
      </c>
      <c r="U1682" s="26">
        <f>IF(X1682&gt;='Methodology &amp; Assumptions'!$B$7, "Tier 1 Critical GIDA (Score ≥ 50.0)", IF(X1682&gt;='Methodology &amp; Assumptions'!$B$8, "Tier 2 High GIDA (Score 40.0–49.9)", "Tier 3 Moderate GIDA (Score &lt; 40.0)"))</f>
        <v/>
      </c>
      <c r="V1682" s="26">
        <f>IF(S1682&lt;='Methodology &amp; Assumptions'!$B$10, "Direct Optical Drop (&lt;3km)", IF(S1682&lt;='Methodology &amp; Assumptions'!$B$9, "Near Optical / Microwave (&lt;5km)", "Starlink Business LEO Satellite Backhaul (&gt;5km)"))</f>
        <v/>
      </c>
      <c r="W1682" s="28" t="n">
        <v>0.07200000000000001</v>
      </c>
      <c r="X1682" s="14" t="n">
        <v>42.11</v>
      </c>
      <c r="Y1682" s="14">
        <f>ROUND(MIN(100, (X1682/69.91)*100), 2)</f>
        <v/>
      </c>
    </row>
    <row r="1683">
      <c r="A1683" s="10" t="n">
        <v>5</v>
      </c>
      <c r="B1683" s="10" t="n">
        <v>679</v>
      </c>
      <c r="C1683" s="10" t="n">
        <v>4679</v>
      </c>
      <c r="D1683" s="10" t="inlineStr">
        <is>
          <t>1381000009</t>
        </is>
      </c>
      <c r="E1683" s="26" t="inlineStr">
        <is>
          <t>National Capital Region (NCR)</t>
        </is>
      </c>
      <c r="F1683" s="26" t="inlineStr">
        <is>
          <t>Fourth District (Not a Province)</t>
        </is>
      </c>
      <c r="G1683" s="26" t="inlineStr">
        <is>
          <t>City of Parañaque</t>
        </is>
      </c>
      <c r="H1683" s="26" t="inlineStr">
        <is>
          <t>Marcelo Green Village</t>
        </is>
      </c>
      <c r="I1683" s="27" t="n">
        <v>14.458726</v>
      </c>
      <c r="J1683" s="27" t="n">
        <v>121.042458</v>
      </c>
      <c r="K1683" s="10" t="inlineStr">
        <is>
          <t>U</t>
        </is>
      </c>
      <c r="L1683" s="12" t="n">
        <v>38296</v>
      </c>
      <c r="M1683" s="14" t="n">
        <v>3.2</v>
      </c>
      <c r="N1683" s="12">
        <f>ROUND(L1683/M1683, 0)</f>
        <v/>
      </c>
      <c r="O1683" s="12">
        <f>ROUND(N1683*'Methodology &amp; Assumptions'!$B$5, 0)</f>
        <v/>
      </c>
      <c r="P1683" s="10" t="inlineStr">
        <is>
          <t>Single Carrier (Band n50, 100MHz TDD)</t>
        </is>
      </c>
      <c r="Q1683" s="13">
        <f>ROUNDUP(O1683/'Methodology &amp; Assumptions'!$B$6, 0)</f>
        <v/>
      </c>
      <c r="R1683" s="13" t="n">
        <v>1</v>
      </c>
      <c r="S1683" s="14" t="n">
        <v>0.71</v>
      </c>
      <c r="T1683" s="14" t="n">
        <v>0.43</v>
      </c>
      <c r="U1683" s="26">
        <f>IF(X1683&gt;='Methodology &amp; Assumptions'!$B$7, "Tier 1 Critical GIDA (Score ≥ 50.0)", IF(X1683&gt;='Methodology &amp; Assumptions'!$B$8, "Tier 2 High GIDA (Score 40.0–49.9)", "Tier 3 Moderate GIDA (Score &lt; 40.0)"))</f>
        <v/>
      </c>
      <c r="V1683" s="26">
        <f>IF(S1683&lt;='Methodology &amp; Assumptions'!$B$10, "Direct Optical Drop (&lt;3km)", IF(S1683&lt;='Methodology &amp; Assumptions'!$B$9, "Near Optical / Microwave (&lt;5km)", "Starlink Business LEO Satellite Backhaul (&gt;5km)"))</f>
        <v/>
      </c>
      <c r="W1683" s="28" t="n">
        <v>0.109</v>
      </c>
      <c r="X1683" s="14" t="n">
        <v>42.11</v>
      </c>
      <c r="Y1683" s="14">
        <f>ROUND(MIN(100, (X1683/69.91)*100), 2)</f>
        <v/>
      </c>
    </row>
    <row r="1684">
      <c r="A1684" s="10" t="n">
        <v>5</v>
      </c>
      <c r="B1684" s="10" t="n">
        <v>680</v>
      </c>
      <c r="C1684" s="10" t="n">
        <v>4680</v>
      </c>
      <c r="D1684" s="10" t="inlineStr">
        <is>
          <t>0401029051</t>
        </is>
      </c>
      <c r="E1684" s="26" t="inlineStr">
        <is>
          <t>Region IV-A (CALABARZON)</t>
        </is>
      </c>
      <c r="F1684" s="26" t="inlineStr">
        <is>
          <t>Batangas</t>
        </is>
      </c>
      <c r="G1684" s="26" t="inlineStr">
        <is>
          <t>Taal</t>
        </is>
      </c>
      <c r="H1684" s="26" t="inlineStr">
        <is>
          <t>Poblacion 14</t>
        </is>
      </c>
      <c r="I1684" s="27" t="n">
        <v>13.879311</v>
      </c>
      <c r="J1684" s="27" t="n">
        <v>120.931236</v>
      </c>
      <c r="K1684" s="10" t="inlineStr">
        <is>
          <t>R</t>
        </is>
      </c>
      <c r="L1684" s="12" t="n">
        <v>510</v>
      </c>
      <c r="M1684" s="14" t="n">
        <v>3.6</v>
      </c>
      <c r="N1684" s="12">
        <f>ROUND(L1684/M1684, 0)</f>
        <v/>
      </c>
      <c r="O1684" s="12">
        <f>ROUND(N1684*'Methodology &amp; Assumptions'!$B$5, 0)</f>
        <v/>
      </c>
      <c r="P1684" s="10" t="inlineStr">
        <is>
          <t>Single Carrier (Band n50, 100MHz TDD)</t>
        </is>
      </c>
      <c r="Q1684" s="13">
        <f>ROUNDUP(O1684/'Methodology &amp; Assumptions'!$B$6, 0)</f>
        <v/>
      </c>
      <c r="R1684" s="13" t="n">
        <v>1</v>
      </c>
      <c r="S1684" s="14" t="n">
        <v>1.59</v>
      </c>
      <c r="T1684" s="14" t="n">
        <v>1.16</v>
      </c>
      <c r="U1684" s="26">
        <f>IF(X1684&gt;='Methodology &amp; Assumptions'!$B$7, "Tier 1 Critical GIDA (Score ≥ 50.0)", IF(X1684&gt;='Methodology &amp; Assumptions'!$B$8, "Tier 2 High GIDA (Score 40.0–49.9)", "Tier 3 Moderate GIDA (Score &lt; 40.0)"))</f>
        <v/>
      </c>
      <c r="V1684" s="26">
        <f>IF(S1684&lt;='Methodology &amp; Assumptions'!$B$10, "Direct Optical Drop (&lt;3km)", IF(S1684&lt;='Methodology &amp; Assumptions'!$B$9, "Near Optical / Microwave (&lt;5km)", "Starlink Business LEO Satellite Backhaul (&gt;5km)"))</f>
        <v/>
      </c>
      <c r="W1684" s="28" t="n">
        <v>0.07200000000000001</v>
      </c>
      <c r="X1684" s="14" t="n">
        <v>42.1</v>
      </c>
      <c r="Y1684" s="14">
        <f>ROUND(MIN(100, (X1684/69.91)*100), 2)</f>
        <v/>
      </c>
    </row>
    <row r="1685">
      <c r="A1685" s="10" t="n">
        <v>5</v>
      </c>
      <c r="B1685" s="10" t="n">
        <v>681</v>
      </c>
      <c r="C1685" s="10" t="n">
        <v>4681</v>
      </c>
      <c r="D1685" s="10" t="inlineStr">
        <is>
          <t>0600616042</t>
        </is>
      </c>
      <c r="E1685" s="26" t="inlineStr">
        <is>
          <t>Region VI (Western Visayas)</t>
        </is>
      </c>
      <c r="F1685" s="26" t="inlineStr">
        <is>
          <t>Antique</t>
        </is>
      </c>
      <c r="G1685" s="26" t="inlineStr">
        <is>
          <t>Sibalom</t>
        </is>
      </c>
      <c r="H1685" s="26" t="inlineStr">
        <is>
          <t>Lagdo</t>
        </is>
      </c>
      <c r="I1685" s="27" t="n">
        <v>10.832906</v>
      </c>
      <c r="J1685" s="27" t="n">
        <v>122.010537</v>
      </c>
      <c r="K1685" s="10" t="inlineStr">
        <is>
          <t>R</t>
        </is>
      </c>
      <c r="L1685" s="12" t="n">
        <v>595</v>
      </c>
      <c r="M1685" s="14" t="n">
        <v>3.9</v>
      </c>
      <c r="N1685" s="12">
        <f>ROUND(L1685/M1685, 0)</f>
        <v/>
      </c>
      <c r="O1685" s="12">
        <f>ROUND(N1685*'Methodology &amp; Assumptions'!$B$5, 0)</f>
        <v/>
      </c>
      <c r="P1685" s="10" t="inlineStr">
        <is>
          <t>Single Carrier (Band n50, 100MHz TDD)</t>
        </is>
      </c>
      <c r="Q1685" s="13">
        <f>ROUNDUP(O1685/'Methodology &amp; Assumptions'!$B$6, 0)</f>
        <v/>
      </c>
      <c r="R1685" s="13" t="n">
        <v>1</v>
      </c>
      <c r="S1685" s="14" t="n">
        <v>11.15</v>
      </c>
      <c r="T1685" s="14" t="n">
        <v>3.88</v>
      </c>
      <c r="U1685" s="26">
        <f>IF(X1685&gt;='Methodology &amp; Assumptions'!$B$7, "Tier 1 Critical GIDA (Score ≥ 50.0)", IF(X1685&gt;='Methodology &amp; Assumptions'!$B$8, "Tier 2 High GIDA (Score 40.0–49.9)", "Tier 3 Moderate GIDA (Score &lt; 40.0)"))</f>
        <v/>
      </c>
      <c r="V1685" s="26">
        <f>IF(S1685&lt;='Methodology &amp; Assumptions'!$B$10, "Direct Optical Drop (&lt;3km)", IF(S1685&lt;='Methodology &amp; Assumptions'!$B$9, "Near Optical / Microwave (&lt;5km)", "Starlink Business LEO Satellite Backhaul (&gt;5km)"))</f>
        <v/>
      </c>
      <c r="W1685" s="28" t="n">
        <v>0.237</v>
      </c>
      <c r="X1685" s="14" t="n">
        <v>42.09</v>
      </c>
      <c r="Y1685" s="14">
        <f>ROUND(MIN(100, (X1685/69.91)*100), 2)</f>
        <v/>
      </c>
    </row>
    <row r="1686">
      <c r="A1686" s="10" t="n">
        <v>5</v>
      </c>
      <c r="B1686" s="10" t="n">
        <v>682</v>
      </c>
      <c r="C1686" s="10" t="n">
        <v>4682</v>
      </c>
      <c r="D1686" s="10" t="inlineStr">
        <is>
          <t>1001316016</t>
        </is>
      </c>
      <c r="E1686" s="26" t="inlineStr">
        <is>
          <t>Region X (Northern Mindanao)</t>
        </is>
      </c>
      <c r="F1686" s="26" t="inlineStr">
        <is>
          <t>Bukidnon</t>
        </is>
      </c>
      <c r="G1686" s="26" t="inlineStr">
        <is>
          <t>Pangantucan</t>
        </is>
      </c>
      <c r="H1686" s="26" t="inlineStr">
        <is>
          <t>Payad</t>
        </is>
      </c>
      <c r="I1686" s="27" t="n">
        <v>7.564208</v>
      </c>
      <c r="J1686" s="27" t="n">
        <v>124.854267</v>
      </c>
      <c r="K1686" s="10" t="inlineStr">
        <is>
          <t>R</t>
        </is>
      </c>
      <c r="L1686" s="12" t="n">
        <v>1257</v>
      </c>
      <c r="M1686" s="14" t="n">
        <v>3.8</v>
      </c>
      <c r="N1686" s="12">
        <f>ROUND(L1686/M1686, 0)</f>
        <v/>
      </c>
      <c r="O1686" s="12">
        <f>ROUND(N1686*'Methodology &amp; Assumptions'!$B$5, 0)</f>
        <v/>
      </c>
      <c r="P1686" s="10" t="inlineStr">
        <is>
          <t>Single Carrier (Band n50, 100MHz TDD)</t>
        </is>
      </c>
      <c r="Q1686" s="13">
        <f>ROUNDUP(O1686/'Methodology &amp; Assumptions'!$B$6, 0)</f>
        <v/>
      </c>
      <c r="R1686" s="13" t="n">
        <v>1</v>
      </c>
      <c r="S1686" s="14" t="n">
        <v>7.26</v>
      </c>
      <c r="T1686" s="14" t="n">
        <v>11.22</v>
      </c>
      <c r="U1686" s="26">
        <f>IF(X1686&gt;='Methodology &amp; Assumptions'!$B$7, "Tier 1 Critical GIDA (Score ≥ 50.0)", IF(X1686&gt;='Methodology &amp; Assumptions'!$B$8, "Tier 2 High GIDA (Score 40.0–49.9)", "Tier 3 Moderate GIDA (Score &lt; 40.0)"))</f>
        <v/>
      </c>
      <c r="V1686" s="26">
        <f>IF(S1686&lt;='Methodology &amp; Assumptions'!$B$10, "Direct Optical Drop (&lt;3km)", IF(S1686&lt;='Methodology &amp; Assumptions'!$B$9, "Near Optical / Microwave (&lt;5km)", "Starlink Business LEO Satellite Backhaul (&gt;5km)"))</f>
        <v/>
      </c>
      <c r="W1686" s="28" t="n">
        <v>0.174</v>
      </c>
      <c r="X1686" s="14" t="n">
        <v>42.09</v>
      </c>
      <c r="Y1686" s="14">
        <f>ROUND(MIN(100, (X1686/69.91)*100), 2)</f>
        <v/>
      </c>
    </row>
    <row r="1687">
      <c r="A1687" s="10" t="n">
        <v>5</v>
      </c>
      <c r="B1687" s="10" t="n">
        <v>683</v>
      </c>
      <c r="C1687" s="10" t="n">
        <v>4683</v>
      </c>
      <c r="D1687" s="10" t="inlineStr">
        <is>
          <t>1903604018</t>
        </is>
      </c>
      <c r="E1687" s="26" t="inlineStr">
        <is>
          <t>Bangsamoro Autonomous Region In Muslim Mindanao (BARMM)</t>
        </is>
      </c>
      <c r="F1687" s="26" t="inlineStr">
        <is>
          <t>Lanao del Sur</t>
        </is>
      </c>
      <c r="G1687" s="26" t="inlineStr">
        <is>
          <t>Bayang</t>
        </is>
      </c>
      <c r="H1687" s="26" t="inlineStr">
        <is>
          <t>Linao</t>
        </is>
      </c>
      <c r="I1687" s="27" t="n">
        <v>17.254731</v>
      </c>
      <c r="J1687" s="27" t="n">
        <v>122.228775</v>
      </c>
      <c r="K1687" s="10" t="inlineStr">
        <is>
          <t>R</t>
        </is>
      </c>
      <c r="L1687" s="12" t="n">
        <v>784</v>
      </c>
      <c r="M1687" s="14" t="n">
        <v>5.7</v>
      </c>
      <c r="N1687" s="12">
        <f>ROUND(L1687/M1687, 0)</f>
        <v/>
      </c>
      <c r="O1687" s="12">
        <f>ROUND(N1687*'Methodology &amp; Assumptions'!$B$5, 0)</f>
        <v/>
      </c>
      <c r="P1687" s="10" t="inlineStr">
        <is>
          <t>Single Carrier (Band n50, 100MHz TDD)</t>
        </is>
      </c>
      <c r="Q1687" s="13">
        <f>ROUNDUP(O1687/'Methodology &amp; Assumptions'!$B$6, 0)</f>
        <v/>
      </c>
      <c r="R1687" s="13" t="n">
        <v>1</v>
      </c>
      <c r="S1687" s="14" t="n">
        <v>29.4</v>
      </c>
      <c r="T1687" s="14" t="n">
        <v>34.28</v>
      </c>
      <c r="U1687" s="26">
        <f>IF(X1687&gt;='Methodology &amp; Assumptions'!$B$7, "Tier 1 Critical GIDA (Score ≥ 50.0)", IF(X1687&gt;='Methodology &amp; Assumptions'!$B$8, "Tier 2 High GIDA (Score 40.0–49.9)", "Tier 3 Moderate GIDA (Score &lt; 40.0)"))</f>
        <v/>
      </c>
      <c r="V1687" s="26">
        <f>IF(S1687&lt;='Methodology &amp; Assumptions'!$B$10, "Direct Optical Drop (&lt;3km)", IF(S1687&lt;='Methodology &amp; Assumptions'!$B$9, "Near Optical / Microwave (&lt;5km)", "Starlink Business LEO Satellite Backhaul (&gt;5km)"))</f>
        <v/>
      </c>
      <c r="W1687" s="28" t="n">
        <v>0.11</v>
      </c>
      <c r="X1687" s="14" t="n">
        <v>42.09</v>
      </c>
      <c r="Y1687" s="14">
        <f>ROUND(MIN(100, (X1687/69.91)*100), 2)</f>
        <v/>
      </c>
    </row>
    <row r="1688">
      <c r="A1688" s="10" t="n">
        <v>5</v>
      </c>
      <c r="B1688" s="10" t="n">
        <v>684</v>
      </c>
      <c r="C1688" s="10" t="n">
        <v>4684</v>
      </c>
      <c r="D1688" s="10" t="inlineStr">
        <is>
          <t>PH0004684</t>
        </is>
      </c>
      <c r="E1688" s="26" t="inlineStr">
        <is>
          <t>IX</t>
        </is>
      </c>
      <c r="F1688" s="26" t="inlineStr">
        <is>
          <t>Zamboanga Del Sur</t>
        </is>
      </c>
      <c r="G1688" s="26" t="inlineStr">
        <is>
          <t>Zamboanga City</t>
        </is>
      </c>
      <c r="H1688" s="26" t="inlineStr">
        <is>
          <t>Camino Nuevo</t>
        </is>
      </c>
      <c r="I1688" s="27" t="n">
        <v>7.078238</v>
      </c>
      <c r="J1688" s="27" t="n">
        <v>122.134021</v>
      </c>
      <c r="K1688" s="10" t="inlineStr">
        <is>
          <t>R</t>
        </is>
      </c>
      <c r="L1688" s="12" t="n">
        <v>2305</v>
      </c>
      <c r="M1688" s="14" t="n">
        <v>3.9</v>
      </c>
      <c r="N1688" s="12">
        <f>ROUND(L1688/M1688, 0)</f>
        <v/>
      </c>
      <c r="O1688" s="12">
        <f>ROUND(N1688*'Methodology &amp; Assumptions'!$B$5, 0)</f>
        <v/>
      </c>
      <c r="P1688" s="10" t="inlineStr">
        <is>
          <t>Single Carrier (Band n50, 100MHz TDD)</t>
        </is>
      </c>
      <c r="Q1688" s="13">
        <f>ROUNDUP(O1688/'Methodology &amp; Assumptions'!$B$6, 0)</f>
        <v/>
      </c>
      <c r="R1688" s="13" t="n">
        <v>1</v>
      </c>
      <c r="S1688" s="14" t="n">
        <v>19.82</v>
      </c>
      <c r="T1688" s="14" t="n">
        <v>7.13</v>
      </c>
      <c r="U1688" s="26">
        <f>IF(X1688&gt;='Methodology &amp; Assumptions'!$B$7, "Tier 1 Critical GIDA (Score ≥ 50.0)", IF(X1688&gt;='Methodology &amp; Assumptions'!$B$8, "Tier 2 High GIDA (Score 40.0–49.9)", "Tier 3 Moderate GIDA (Score &lt; 40.0)"))</f>
        <v/>
      </c>
      <c r="V1688" s="26">
        <f>IF(S1688&lt;='Methodology &amp; Assumptions'!$B$10, "Direct Optical Drop (&lt;3km)", IF(S1688&lt;='Methodology &amp; Assumptions'!$B$9, "Near Optical / Microwave (&lt;5km)", "Starlink Business LEO Satellite Backhaul (&gt;5km)"))</f>
        <v/>
      </c>
      <c r="W1688" s="28" t="n">
        <v>0.234</v>
      </c>
      <c r="X1688" s="14" t="n">
        <v>42.09</v>
      </c>
      <c r="Y1688" s="14">
        <f>ROUND(MIN(100, (X1688/69.91)*100), 2)</f>
        <v/>
      </c>
    </row>
    <row r="1689">
      <c r="A1689" s="10" t="n">
        <v>5</v>
      </c>
      <c r="B1689" s="10" t="n">
        <v>685</v>
      </c>
      <c r="C1689" s="10" t="n">
        <v>4685</v>
      </c>
      <c r="D1689" s="10" t="inlineStr">
        <is>
          <t>0405622012</t>
        </is>
      </c>
      <c r="E1689" s="26" t="inlineStr">
        <is>
          <t>Region IV-A (CALABARZON)</t>
        </is>
      </c>
      <c r="F1689" s="26" t="inlineStr">
        <is>
          <t>Quezon</t>
        </is>
      </c>
      <c r="G1689" s="26" t="inlineStr">
        <is>
          <t>Lopez</t>
        </is>
      </c>
      <c r="H1689" s="26" t="inlineStr">
        <is>
          <t>Binahian A</t>
        </is>
      </c>
      <c r="I1689" s="27" t="n">
        <v>13.826766</v>
      </c>
      <c r="J1689" s="27" t="n">
        <v>122.270783</v>
      </c>
      <c r="K1689" s="10" t="inlineStr">
        <is>
          <t>R</t>
        </is>
      </c>
      <c r="L1689" s="12" t="n">
        <v>370</v>
      </c>
      <c r="M1689" s="14" t="n">
        <v>3.8</v>
      </c>
      <c r="N1689" s="12">
        <f>ROUND(L1689/M1689, 0)</f>
        <v/>
      </c>
      <c r="O1689" s="12">
        <f>ROUND(N1689*'Methodology &amp; Assumptions'!$B$5, 0)</f>
        <v/>
      </c>
      <c r="P1689" s="10" t="inlineStr">
        <is>
          <t>Single Carrier (Band n50, 100MHz TDD)</t>
        </is>
      </c>
      <c r="Q1689" s="13">
        <f>ROUNDUP(O1689/'Methodology &amp; Assumptions'!$B$6, 0)</f>
        <v/>
      </c>
      <c r="R1689" s="13" t="n">
        <v>1</v>
      </c>
      <c r="S1689" s="14" t="n">
        <v>6.78</v>
      </c>
      <c r="T1689" s="14" t="n">
        <v>6.44</v>
      </c>
      <c r="U1689" s="26">
        <f>IF(X1689&gt;='Methodology &amp; Assumptions'!$B$7, "Tier 1 Critical GIDA (Score ≥ 50.0)", IF(X1689&gt;='Methodology &amp; Assumptions'!$B$8, "Tier 2 High GIDA (Score 40.0–49.9)", "Tier 3 Moderate GIDA (Score &lt; 40.0)"))</f>
        <v/>
      </c>
      <c r="V1689" s="26">
        <f>IF(S1689&lt;='Methodology &amp; Assumptions'!$B$10, "Direct Optical Drop (&lt;3km)", IF(S1689&lt;='Methodology &amp; Assumptions'!$B$9, "Near Optical / Microwave (&lt;5km)", "Starlink Business LEO Satellite Backhaul (&gt;5km)"))</f>
        <v/>
      </c>
      <c r="W1689" s="28" t="n">
        <v>0.07200000000000001</v>
      </c>
      <c r="X1689" s="14" t="n">
        <v>42.09</v>
      </c>
      <c r="Y1689" s="14">
        <f>ROUND(MIN(100, (X1689/69.91)*100), 2)</f>
        <v/>
      </c>
    </row>
    <row r="1690">
      <c r="A1690" s="10" t="n">
        <v>5</v>
      </c>
      <c r="B1690" s="10" t="n">
        <v>686</v>
      </c>
      <c r="C1690" s="10" t="n">
        <v>4686</v>
      </c>
      <c r="D1690" s="10" t="inlineStr">
        <is>
          <t>PH0004686</t>
        </is>
      </c>
      <c r="E1690" s="26" t="inlineStr">
        <is>
          <t>VII</t>
        </is>
      </c>
      <c r="F1690" s="26" t="inlineStr">
        <is>
          <t>Cebu</t>
        </is>
      </c>
      <c r="G1690" s="26" t="inlineStr">
        <is>
          <t>Lapu-Lapu City (Opon)</t>
        </is>
      </c>
      <c r="H1690" s="26" t="inlineStr">
        <is>
          <t>Cawhagan</t>
        </is>
      </c>
      <c r="I1690" s="27" t="n">
        <v>10.20259</v>
      </c>
      <c r="J1690" s="27" t="n">
        <v>124.018405</v>
      </c>
      <c r="K1690" s="10" t="inlineStr">
        <is>
          <t>R</t>
        </is>
      </c>
      <c r="L1690" s="12" t="n">
        <v>2250</v>
      </c>
      <c r="M1690" s="14" t="n">
        <v>3.8</v>
      </c>
      <c r="N1690" s="12">
        <f>ROUND(L1690/M1690, 0)</f>
        <v/>
      </c>
      <c r="O1690" s="12">
        <f>ROUND(N1690*'Methodology &amp; Assumptions'!$B$5, 0)</f>
        <v/>
      </c>
      <c r="P1690" s="10" t="inlineStr">
        <is>
          <t>Single Carrier (Band n50, 100MHz TDD)</t>
        </is>
      </c>
      <c r="Q1690" s="13">
        <f>ROUNDUP(O1690/'Methodology &amp; Assumptions'!$B$6, 0)</f>
        <v/>
      </c>
      <c r="R1690" s="13" t="n">
        <v>1</v>
      </c>
      <c r="S1690" s="14" t="n">
        <v>10.19</v>
      </c>
      <c r="T1690" s="14" t="n">
        <v>16.86</v>
      </c>
      <c r="U1690" s="26">
        <f>IF(X1690&gt;='Methodology &amp; Assumptions'!$B$7, "Tier 1 Critical GIDA (Score ≥ 50.0)", IF(X1690&gt;='Methodology &amp; Assumptions'!$B$8, "Tier 2 High GIDA (Score 40.0–49.9)", "Tier 3 Moderate GIDA (Score &lt; 40.0)"))</f>
        <v/>
      </c>
      <c r="V1690" s="26">
        <f>IF(S1690&lt;='Methodology &amp; Assumptions'!$B$10, "Direct Optical Drop (&lt;3km)", IF(S1690&lt;='Methodology &amp; Assumptions'!$B$9, "Near Optical / Microwave (&lt;5km)", "Starlink Business LEO Satellite Backhaul (&gt;5km)"))</f>
        <v/>
      </c>
      <c r="W1690" s="28" t="n">
        <v>0.21</v>
      </c>
      <c r="X1690" s="14" t="n">
        <v>42.09</v>
      </c>
      <c r="Y1690" s="14">
        <f>ROUND(MIN(100, (X1690/69.91)*100), 2)</f>
        <v/>
      </c>
    </row>
    <row r="1691">
      <c r="A1691" s="10" t="n">
        <v>5</v>
      </c>
      <c r="B1691" s="10" t="n">
        <v>687</v>
      </c>
      <c r="C1691" s="10" t="n">
        <v>4687</v>
      </c>
      <c r="D1691" s="10" t="inlineStr">
        <is>
          <t>1381600007</t>
        </is>
      </c>
      <c r="E1691" s="26" t="inlineStr">
        <is>
          <t>National Capital Region (NCR)</t>
        </is>
      </c>
      <c r="F1691" s="26" t="inlineStr">
        <is>
          <t>Third District (Not a Province)</t>
        </is>
      </c>
      <c r="G1691" s="26" t="inlineStr">
        <is>
          <t>City of Valenzuela</t>
        </is>
      </c>
      <c r="H1691" s="26" t="inlineStr">
        <is>
          <t>Canumay West</t>
        </is>
      </c>
      <c r="I1691" s="27" t="n">
        <v>14.70137</v>
      </c>
      <c r="J1691" s="27" t="n">
        <v>120.966249</v>
      </c>
      <c r="K1691" s="10" t="inlineStr">
        <is>
          <t>U</t>
        </is>
      </c>
      <c r="L1691" s="12" t="n">
        <v>27285</v>
      </c>
      <c r="M1691" s="14" t="n">
        <v>3.5</v>
      </c>
      <c r="N1691" s="12">
        <f>ROUND(L1691/M1691, 0)</f>
        <v/>
      </c>
      <c r="O1691" s="12">
        <f>ROUND(N1691*'Methodology &amp; Assumptions'!$B$5, 0)</f>
        <v/>
      </c>
      <c r="P1691" s="10" t="inlineStr">
        <is>
          <t>Single Carrier (Band n50, 100MHz TDD)</t>
        </is>
      </c>
      <c r="Q1691" s="13">
        <f>ROUNDUP(O1691/'Methodology &amp; Assumptions'!$B$6, 0)</f>
        <v/>
      </c>
      <c r="R1691" s="13" t="n">
        <v>1</v>
      </c>
      <c r="S1691" s="14" t="n">
        <v>1.06</v>
      </c>
      <c r="T1691" s="14" t="n">
        <v>0.42</v>
      </c>
      <c r="U1691" s="26">
        <f>IF(X1691&gt;='Methodology &amp; Assumptions'!$B$7, "Tier 1 Critical GIDA (Score ≥ 50.0)", IF(X1691&gt;='Methodology &amp; Assumptions'!$B$8, "Tier 2 High GIDA (Score 40.0–49.9)", "Tier 3 Moderate GIDA (Score &lt; 40.0)"))</f>
        <v/>
      </c>
      <c r="V1691" s="26">
        <f>IF(S1691&lt;='Methodology &amp; Assumptions'!$B$10, "Direct Optical Drop (&lt;3km)", IF(S1691&lt;='Methodology &amp; Assumptions'!$B$9, "Near Optical / Microwave (&lt;5km)", "Starlink Business LEO Satellite Backhaul (&gt;5km)"))</f>
        <v/>
      </c>
      <c r="W1691" s="28" t="n">
        <v>0.109</v>
      </c>
      <c r="X1691" s="14" t="n">
        <v>42.09</v>
      </c>
      <c r="Y1691" s="14">
        <f>ROUND(MIN(100, (X1691/69.91)*100), 2)</f>
        <v/>
      </c>
    </row>
    <row r="1692">
      <c r="A1692" s="10" t="n">
        <v>5</v>
      </c>
      <c r="B1692" s="10" t="n">
        <v>688</v>
      </c>
      <c r="C1692" s="10" t="n">
        <v>4688</v>
      </c>
      <c r="D1692" s="10" t="inlineStr">
        <is>
          <t>0402116009</t>
        </is>
      </c>
      <c r="E1692" s="26" t="inlineStr">
        <is>
          <t>Region IV-A (CALABARZON)</t>
        </is>
      </c>
      <c r="F1692" s="26" t="inlineStr">
        <is>
          <t>Cavite</t>
        </is>
      </c>
      <c r="G1692" s="26" t="inlineStr">
        <is>
          <t>Noveleta</t>
        </is>
      </c>
      <c r="H1692" s="26" t="inlineStr">
        <is>
          <t>Santa Rosa I</t>
        </is>
      </c>
      <c r="I1692" s="27" t="n">
        <v>14.427441</v>
      </c>
      <c r="J1692" s="27" t="n">
        <v>120.884811</v>
      </c>
      <c r="K1692" s="10" t="inlineStr">
        <is>
          <t>U</t>
        </is>
      </c>
      <c r="L1692" s="12" t="n">
        <v>5192</v>
      </c>
      <c r="M1692" s="14" t="n">
        <v>3.4</v>
      </c>
      <c r="N1692" s="12">
        <f>ROUND(L1692/M1692, 0)</f>
        <v/>
      </c>
      <c r="O1692" s="12">
        <f>ROUND(N1692*'Methodology &amp; Assumptions'!$B$5, 0)</f>
        <v/>
      </c>
      <c r="P1692" s="10" t="inlineStr">
        <is>
          <t>Single Carrier (Band n50, 100MHz TDD)</t>
        </is>
      </c>
      <c r="Q1692" s="13">
        <f>ROUNDUP(O1692/'Methodology &amp; Assumptions'!$B$6, 0)</f>
        <v/>
      </c>
      <c r="R1692" s="13" t="n">
        <v>1</v>
      </c>
      <c r="S1692" s="14" t="n">
        <v>0.3</v>
      </c>
      <c r="T1692" s="14" t="n">
        <v>0.33</v>
      </c>
      <c r="U1692" s="26">
        <f>IF(X1692&gt;='Methodology &amp; Assumptions'!$B$7, "Tier 1 Critical GIDA (Score ≥ 50.0)", IF(X1692&gt;='Methodology &amp; Assumptions'!$B$8, "Tier 2 High GIDA (Score 40.0–49.9)", "Tier 3 Moderate GIDA (Score &lt; 40.0)"))</f>
        <v/>
      </c>
      <c r="V1692" s="26">
        <f>IF(S1692&lt;='Methodology &amp; Assumptions'!$B$10, "Direct Optical Drop (&lt;3km)", IF(S1692&lt;='Methodology &amp; Assumptions'!$B$9, "Near Optical / Microwave (&lt;5km)", "Starlink Business LEO Satellite Backhaul (&gt;5km)"))</f>
        <v/>
      </c>
      <c r="W1692" s="28" t="n">
        <v>0.07200000000000001</v>
      </c>
      <c r="X1692" s="14" t="n">
        <v>42.09</v>
      </c>
      <c r="Y1692" s="14">
        <f>ROUND(MIN(100, (X1692/69.91)*100), 2)</f>
        <v/>
      </c>
    </row>
    <row r="1693">
      <c r="A1693" s="10" t="n">
        <v>5</v>
      </c>
      <c r="B1693" s="10" t="n">
        <v>689</v>
      </c>
      <c r="C1693" s="10" t="n">
        <v>4689</v>
      </c>
      <c r="D1693" s="10" t="inlineStr">
        <is>
          <t>PH0004689</t>
        </is>
      </c>
      <c r="E1693" s="26" t="inlineStr">
        <is>
          <t>XI</t>
        </is>
      </c>
      <c r="F1693" s="26" t="inlineStr">
        <is>
          <t>Davao Del Sur</t>
        </is>
      </c>
      <c r="G1693" s="26" t="inlineStr">
        <is>
          <t>Davao City</t>
        </is>
      </c>
      <c r="H1693" s="26" t="inlineStr">
        <is>
          <t>Barangay 20-B (Pob.)</t>
        </is>
      </c>
      <c r="I1693" s="27" t="n">
        <v>7.086607</v>
      </c>
      <c r="J1693" s="27" t="n">
        <v>125.612967</v>
      </c>
      <c r="K1693" s="10" t="inlineStr">
        <is>
          <t>R</t>
        </is>
      </c>
      <c r="L1693" s="12" t="n">
        <v>2280</v>
      </c>
      <c r="M1693" s="14" t="n">
        <v>3.4</v>
      </c>
      <c r="N1693" s="12">
        <f>ROUND(L1693/M1693, 0)</f>
        <v/>
      </c>
      <c r="O1693" s="12">
        <f>ROUND(N1693*'Methodology &amp; Assumptions'!$B$5, 0)</f>
        <v/>
      </c>
      <c r="P1693" s="10" t="inlineStr">
        <is>
          <t>Single Carrier (Band n50, 100MHz TDD)</t>
        </is>
      </c>
      <c r="Q1693" s="13">
        <f>ROUNDUP(O1693/'Methodology &amp; Assumptions'!$B$6, 0)</f>
        <v/>
      </c>
      <c r="R1693" s="13" t="n">
        <v>1</v>
      </c>
      <c r="S1693" s="14" t="n">
        <v>1.01</v>
      </c>
      <c r="T1693" s="14" t="n">
        <v>0.34</v>
      </c>
      <c r="U1693" s="26">
        <f>IF(X1693&gt;='Methodology &amp; Assumptions'!$B$7, "Tier 1 Critical GIDA (Score ≥ 50.0)", IF(X1693&gt;='Methodology &amp; Assumptions'!$B$8, "Tier 2 High GIDA (Score 40.0–49.9)", "Tier 3 Moderate GIDA (Score &lt; 40.0)"))</f>
        <v/>
      </c>
      <c r="V1693" s="26">
        <f>IF(S1693&lt;='Methodology &amp; Assumptions'!$B$10, "Direct Optical Drop (&lt;3km)", IF(S1693&lt;='Methodology &amp; Assumptions'!$B$9, "Near Optical / Microwave (&lt;5km)", "Starlink Business LEO Satellite Backhaul (&gt;5km)"))</f>
        <v/>
      </c>
      <c r="W1693" s="28" t="n">
        <v>0.119</v>
      </c>
      <c r="X1693" s="14" t="n">
        <v>42.08</v>
      </c>
      <c r="Y1693" s="14">
        <f>ROUND(MIN(100, (X1693/69.91)*100), 2)</f>
        <v/>
      </c>
    </row>
    <row r="1694">
      <c r="A1694" s="10" t="n">
        <v>5</v>
      </c>
      <c r="B1694" s="10" t="n">
        <v>690</v>
      </c>
      <c r="C1694" s="10" t="n">
        <v>4690</v>
      </c>
      <c r="D1694" s="10" t="inlineStr">
        <is>
          <t>0702232007</t>
        </is>
      </c>
      <c r="E1694" s="26" t="inlineStr">
        <is>
          <t>Region VII (Central Visayas)</t>
        </is>
      </c>
      <c r="F1694" s="26" t="inlineStr">
        <is>
          <t>Cebu</t>
        </is>
      </c>
      <c r="G1694" s="26" t="inlineStr">
        <is>
          <t>Minglanilla</t>
        </is>
      </c>
      <c r="H1694" s="26" t="inlineStr">
        <is>
          <t>Linao</t>
        </is>
      </c>
      <c r="I1694" s="27" t="n">
        <v>10.254955</v>
      </c>
      <c r="J1694" s="27" t="n">
        <v>123.8103</v>
      </c>
      <c r="K1694" s="10" t="inlineStr">
        <is>
          <t>U</t>
        </is>
      </c>
      <c r="L1694" s="12" t="n">
        <v>16506</v>
      </c>
      <c r="M1694" s="14" t="n">
        <v>3.8</v>
      </c>
      <c r="N1694" s="12">
        <f>ROUND(L1694/M1694, 0)</f>
        <v/>
      </c>
      <c r="O1694" s="12">
        <f>ROUND(N1694*'Methodology &amp; Assumptions'!$B$5, 0)</f>
        <v/>
      </c>
      <c r="P1694" s="10" t="inlineStr">
        <is>
          <t>Single Carrier (Band n50, 100MHz TDD)</t>
        </is>
      </c>
      <c r="Q1694" s="13">
        <f>ROUNDUP(O1694/'Methodology &amp; Assumptions'!$B$6, 0)</f>
        <v/>
      </c>
      <c r="R1694" s="13" t="n">
        <v>1</v>
      </c>
      <c r="S1694" s="14" t="n">
        <v>1.36</v>
      </c>
      <c r="T1694" s="14" t="n">
        <v>0.11</v>
      </c>
      <c r="U1694" s="26">
        <f>IF(X1694&gt;='Methodology &amp; Assumptions'!$B$7, "Tier 1 Critical GIDA (Score ≥ 50.0)", IF(X1694&gt;='Methodology &amp; Assumptions'!$B$8, "Tier 2 High GIDA (Score 40.0–49.9)", "Tier 3 Moderate GIDA (Score &lt; 40.0)"))</f>
        <v/>
      </c>
      <c r="V1694" s="26">
        <f>IF(S1694&lt;='Methodology &amp; Assumptions'!$B$10, "Direct Optical Drop (&lt;3km)", IF(S1694&lt;='Methodology &amp; Assumptions'!$B$9, "Near Optical / Microwave (&lt;5km)", "Starlink Business LEO Satellite Backhaul (&gt;5km)"))</f>
        <v/>
      </c>
      <c r="W1694" s="28" t="n">
        <v>0.237</v>
      </c>
      <c r="X1694" s="14" t="n">
        <v>42.08</v>
      </c>
      <c r="Y1694" s="14">
        <f>ROUND(MIN(100, (X1694/69.91)*100), 2)</f>
        <v/>
      </c>
    </row>
    <row r="1695">
      <c r="A1695" s="10" t="n">
        <v>5</v>
      </c>
      <c r="B1695" s="10" t="n">
        <v>691</v>
      </c>
      <c r="C1695" s="10" t="n">
        <v>4691</v>
      </c>
      <c r="D1695" s="10" t="inlineStr">
        <is>
          <t>0405617005</t>
        </is>
      </c>
      <c r="E1695" s="26" t="inlineStr">
        <is>
          <t>Region IV-A (CALABARZON)</t>
        </is>
      </c>
      <c r="F1695" s="26" t="inlineStr">
        <is>
          <t>Quezon</t>
        </is>
      </c>
      <c r="G1695" s="26" t="inlineStr">
        <is>
          <t>General Nakar</t>
        </is>
      </c>
      <c r="H1695" s="26" t="inlineStr">
        <is>
          <t>Canaway</t>
        </is>
      </c>
      <c r="I1695" s="27" t="n">
        <v>15.001212</v>
      </c>
      <c r="J1695" s="27" t="n">
        <v>121.545176</v>
      </c>
      <c r="K1695" s="10" t="inlineStr">
        <is>
          <t>R</t>
        </is>
      </c>
      <c r="L1695" s="12" t="n">
        <v>1452</v>
      </c>
      <c r="M1695" s="14" t="n">
        <v>3.8</v>
      </c>
      <c r="N1695" s="12">
        <f>ROUND(L1695/M1695, 0)</f>
        <v/>
      </c>
      <c r="O1695" s="12">
        <f>ROUND(N1695*'Methodology &amp; Assumptions'!$B$5, 0)</f>
        <v/>
      </c>
      <c r="P1695" s="10" t="inlineStr">
        <is>
          <t>Single Carrier (Band n50, 100MHz TDD)</t>
        </is>
      </c>
      <c r="Q1695" s="13">
        <f>ROUNDUP(O1695/'Methodology &amp; Assumptions'!$B$6, 0)</f>
        <v/>
      </c>
      <c r="R1695" s="13" t="n">
        <v>1</v>
      </c>
      <c r="S1695" s="14" t="n">
        <v>28.44</v>
      </c>
      <c r="T1695" s="14" t="n">
        <v>49.9</v>
      </c>
      <c r="U1695" s="26">
        <f>IF(X1695&gt;='Methodology &amp; Assumptions'!$B$7, "Tier 1 Critical GIDA (Score ≥ 50.0)", IF(X1695&gt;='Methodology &amp; Assumptions'!$B$8, "Tier 2 High GIDA (Score 40.0–49.9)", "Tier 3 Moderate GIDA (Score &lt; 40.0)"))</f>
        <v/>
      </c>
      <c r="V1695" s="26">
        <f>IF(S1695&lt;='Methodology &amp; Assumptions'!$B$10, "Direct Optical Drop (&lt;3km)", IF(S1695&lt;='Methodology &amp; Assumptions'!$B$9, "Near Optical / Microwave (&lt;5km)", "Starlink Business LEO Satellite Backhaul (&gt;5km)"))</f>
        <v/>
      </c>
      <c r="W1695" s="28" t="n">
        <v>0.07200000000000001</v>
      </c>
      <c r="X1695" s="14" t="n">
        <v>42.07</v>
      </c>
      <c r="Y1695" s="14">
        <f>ROUND(MIN(100, (X1695/69.91)*100), 2)</f>
        <v/>
      </c>
    </row>
    <row r="1696">
      <c r="A1696" s="10" t="n">
        <v>5</v>
      </c>
      <c r="B1696" s="10" t="n">
        <v>692</v>
      </c>
      <c r="C1696" s="10" t="n">
        <v>4692</v>
      </c>
      <c r="D1696" s="10" t="inlineStr">
        <is>
          <t>1903630029</t>
        </is>
      </c>
      <c r="E1696" s="26" t="inlineStr">
        <is>
          <t>Bangsamoro Autonomous Region In Muslim Mindanao (BARMM)</t>
        </is>
      </c>
      <c r="F1696" s="26" t="inlineStr">
        <is>
          <t>Lanao del Sur</t>
        </is>
      </c>
      <c r="G1696" s="26" t="inlineStr">
        <is>
          <t>Wao</t>
        </is>
      </c>
      <c r="H1696" s="26" t="inlineStr">
        <is>
          <t>Milaya</t>
        </is>
      </c>
      <c r="I1696" s="27" t="n">
        <v>17.254284</v>
      </c>
      <c r="J1696" s="27" t="n">
        <v>122.228328</v>
      </c>
      <c r="K1696" s="10" t="inlineStr">
        <is>
          <t>R</t>
        </is>
      </c>
      <c r="L1696" s="12" t="n">
        <v>2454</v>
      </c>
      <c r="M1696" s="14" t="n">
        <v>5.7</v>
      </c>
      <c r="N1696" s="12">
        <f>ROUND(L1696/M1696, 0)</f>
        <v/>
      </c>
      <c r="O1696" s="12">
        <f>ROUND(N1696*'Methodology &amp; Assumptions'!$B$5, 0)</f>
        <v/>
      </c>
      <c r="P1696" s="10" t="inlineStr">
        <is>
          <t>Single Carrier (Band n50, 100MHz TDD)</t>
        </is>
      </c>
      <c r="Q1696" s="13">
        <f>ROUNDUP(O1696/'Methodology &amp; Assumptions'!$B$6, 0)</f>
        <v/>
      </c>
      <c r="R1696" s="13" t="n">
        <v>1</v>
      </c>
      <c r="S1696" s="14" t="n">
        <v>29.33</v>
      </c>
      <c r="T1696" s="14" t="n">
        <v>34.22</v>
      </c>
      <c r="U1696" s="26">
        <f>IF(X1696&gt;='Methodology &amp; Assumptions'!$B$7, "Tier 1 Critical GIDA (Score ≥ 50.0)", IF(X1696&gt;='Methodology &amp; Assumptions'!$B$8, "Tier 2 High GIDA (Score 40.0–49.9)", "Tier 3 Moderate GIDA (Score &lt; 40.0)"))</f>
        <v/>
      </c>
      <c r="V1696" s="26">
        <f>IF(S1696&lt;='Methodology &amp; Assumptions'!$B$10, "Direct Optical Drop (&lt;3km)", IF(S1696&lt;='Methodology &amp; Assumptions'!$B$9, "Near Optical / Microwave (&lt;5km)", "Starlink Business LEO Satellite Backhaul (&gt;5km)"))</f>
        <v/>
      </c>
      <c r="W1696" s="28" t="n">
        <v>0.11</v>
      </c>
      <c r="X1696" s="14" t="n">
        <v>42.07</v>
      </c>
      <c r="Y1696" s="14">
        <f>ROUND(MIN(100, (X1696/69.91)*100), 2)</f>
        <v/>
      </c>
    </row>
    <row r="1697">
      <c r="A1697" s="10" t="n">
        <v>5</v>
      </c>
      <c r="B1697" s="10" t="n">
        <v>693</v>
      </c>
      <c r="C1697" s="10" t="n">
        <v>4693</v>
      </c>
      <c r="D1697" s="10" t="inlineStr">
        <is>
          <t>PH0004693</t>
        </is>
      </c>
      <c r="E1697" s="26" t="inlineStr">
        <is>
          <t>IX</t>
        </is>
      </c>
      <c r="F1697" s="26" t="inlineStr">
        <is>
          <t>Zamboanga Del Sur</t>
        </is>
      </c>
      <c r="G1697" s="26" t="inlineStr">
        <is>
          <t>Zamboanga City</t>
        </is>
      </c>
      <c r="H1697" s="26" t="inlineStr">
        <is>
          <t>Latuan</t>
        </is>
      </c>
      <c r="I1697" s="27" t="n">
        <v>7.231608</v>
      </c>
      <c r="J1697" s="27" t="n">
        <v>122.20618</v>
      </c>
      <c r="K1697" s="10" t="inlineStr">
        <is>
          <t>R</t>
        </is>
      </c>
      <c r="L1697" s="12" t="n">
        <v>2305</v>
      </c>
      <c r="M1697" s="14" t="n">
        <v>3.9</v>
      </c>
      <c r="N1697" s="12">
        <f>ROUND(L1697/M1697, 0)</f>
        <v/>
      </c>
      <c r="O1697" s="12">
        <f>ROUND(N1697*'Methodology &amp; Assumptions'!$B$5, 0)</f>
        <v/>
      </c>
      <c r="P1697" s="10" t="inlineStr">
        <is>
          <t>Single Carrier (Band n50, 100MHz TDD)</t>
        </is>
      </c>
      <c r="Q1697" s="13">
        <f>ROUNDUP(O1697/'Methodology &amp; Assumptions'!$B$6, 0)</f>
        <v/>
      </c>
      <c r="R1697" s="13" t="n">
        <v>1</v>
      </c>
      <c r="S1697" s="14" t="n">
        <v>6.1</v>
      </c>
      <c r="T1697" s="14" t="n">
        <v>3.62</v>
      </c>
      <c r="U1697" s="26">
        <f>IF(X1697&gt;='Methodology &amp; Assumptions'!$B$7, "Tier 1 Critical GIDA (Score ≥ 50.0)", IF(X1697&gt;='Methodology &amp; Assumptions'!$B$8, "Tier 2 High GIDA (Score 40.0–49.9)", "Tier 3 Moderate GIDA (Score &lt; 40.0)"))</f>
        <v/>
      </c>
      <c r="V1697" s="26">
        <f>IF(S1697&lt;='Methodology &amp; Assumptions'!$B$10, "Direct Optical Drop (&lt;3km)", IF(S1697&lt;='Methodology &amp; Assumptions'!$B$9, "Near Optical / Microwave (&lt;5km)", "Starlink Business LEO Satellite Backhaul (&gt;5km)"))</f>
        <v/>
      </c>
      <c r="W1697" s="28" t="n">
        <v>0.234</v>
      </c>
      <c r="X1697" s="14" t="n">
        <v>42.06</v>
      </c>
      <c r="Y1697" s="14">
        <f>ROUND(MIN(100, (X1697/69.91)*100), 2)</f>
        <v/>
      </c>
    </row>
    <row r="1698">
      <c r="A1698" s="10" t="n">
        <v>5</v>
      </c>
      <c r="B1698" s="10" t="n">
        <v>694</v>
      </c>
      <c r="C1698" s="10" t="n">
        <v>4694</v>
      </c>
      <c r="D1698" s="10" t="inlineStr">
        <is>
          <t>0200902007</t>
        </is>
      </c>
      <c r="E1698" s="26" t="inlineStr">
        <is>
          <t>Region II (Cagayan Valley)</t>
        </is>
      </c>
      <c r="F1698" s="26" t="inlineStr">
        <is>
          <t>Batanes</t>
        </is>
      </c>
      <c r="G1698" s="26" t="inlineStr">
        <is>
          <t>Itbayat</t>
        </is>
      </c>
      <c r="H1698" s="26" t="inlineStr">
        <is>
          <t>San Rafael</t>
        </is>
      </c>
      <c r="I1698" s="27" t="n">
        <v>20.783702</v>
      </c>
      <c r="J1698" s="27" t="n">
        <v>121.837941</v>
      </c>
      <c r="K1698" s="10" t="inlineStr">
        <is>
          <t>R</t>
        </is>
      </c>
      <c r="L1698" s="12" t="n">
        <v>902</v>
      </c>
      <c r="M1698" s="14" t="n">
        <v>3</v>
      </c>
      <c r="N1698" s="12">
        <f>ROUND(L1698/M1698, 0)</f>
        <v/>
      </c>
      <c r="O1698" s="12">
        <f>ROUND(N1698*'Methodology &amp; Assumptions'!$B$5, 0)</f>
        <v/>
      </c>
      <c r="P1698" s="10" t="inlineStr">
        <is>
          <t>Single Carrier (Band n50, 100MHz TDD)</t>
        </is>
      </c>
      <c r="Q1698" s="13">
        <f>ROUNDUP(O1698/'Methodology &amp; Assumptions'!$B$6, 0)</f>
        <v/>
      </c>
      <c r="R1698" s="13" t="n">
        <v>1</v>
      </c>
      <c r="S1698" s="14" t="n">
        <v>999</v>
      </c>
      <c r="T1698" s="14" t="n">
        <v>999</v>
      </c>
      <c r="U1698" s="26">
        <f>IF(X1698&gt;='Methodology &amp; Assumptions'!$B$7, "Tier 1 Critical GIDA (Score ≥ 50.0)", IF(X1698&gt;='Methodology &amp; Assumptions'!$B$8, "Tier 2 High GIDA (Score 40.0–49.9)", "Tier 3 Moderate GIDA (Score &lt; 40.0)"))</f>
        <v/>
      </c>
      <c r="V1698" s="26">
        <f>IF(S1698&lt;='Methodology &amp; Assumptions'!$B$10, "Direct Optical Drop (&lt;3km)", IF(S1698&lt;='Methodology &amp; Assumptions'!$B$9, "Near Optical / Microwave (&lt;5km)", "Starlink Business LEO Satellite Backhaul (&gt;5km)"))</f>
        <v/>
      </c>
      <c r="W1698" s="28" t="n">
        <v>0.083</v>
      </c>
      <c r="X1698" s="14" t="n">
        <v>42.06</v>
      </c>
      <c r="Y1698" s="14">
        <f>ROUND(MIN(100, (X1698/69.91)*100), 2)</f>
        <v/>
      </c>
    </row>
    <row r="1699">
      <c r="A1699" s="10" t="n">
        <v>5</v>
      </c>
      <c r="B1699" s="10" t="n">
        <v>695</v>
      </c>
      <c r="C1699" s="10" t="n">
        <v>4695</v>
      </c>
      <c r="D1699" s="10" t="inlineStr">
        <is>
          <t>0601906012</t>
        </is>
      </c>
      <c r="E1699" s="26" t="inlineStr">
        <is>
          <t>Region VI (Western Visayas)</t>
        </is>
      </c>
      <c r="F1699" s="26" t="inlineStr">
        <is>
          <t>Capiz</t>
        </is>
      </c>
      <c r="G1699" s="26" t="inlineStr">
        <is>
          <t>Jamindan</t>
        </is>
      </c>
      <c r="H1699" s="26" t="inlineStr">
        <is>
          <t>Igang</t>
        </is>
      </c>
      <c r="I1699" s="27" t="n">
        <v>11.469118</v>
      </c>
      <c r="J1699" s="27" t="n">
        <v>122.472764</v>
      </c>
      <c r="K1699" s="10" t="inlineStr">
        <is>
          <t>R</t>
        </is>
      </c>
      <c r="L1699" s="12" t="n">
        <v>450</v>
      </c>
      <c r="M1699" s="14" t="n">
        <v>3.8</v>
      </c>
      <c r="N1699" s="12">
        <f>ROUND(L1699/M1699, 0)</f>
        <v/>
      </c>
      <c r="O1699" s="12">
        <f>ROUND(N1699*'Methodology &amp; Assumptions'!$B$5, 0)</f>
        <v/>
      </c>
      <c r="P1699" s="10" t="inlineStr">
        <is>
          <t>Single Carrier (Band n50, 100MHz TDD)</t>
        </is>
      </c>
      <c r="Q1699" s="13">
        <f>ROUNDUP(O1699/'Methodology &amp; Assumptions'!$B$6, 0)</f>
        <v/>
      </c>
      <c r="R1699" s="13" t="n">
        <v>1</v>
      </c>
      <c r="S1699" s="14" t="n">
        <v>7.39</v>
      </c>
      <c r="T1699" s="14" t="n">
        <v>6.77</v>
      </c>
      <c r="U1699" s="26">
        <f>IF(X1699&gt;='Methodology &amp; Assumptions'!$B$7, "Tier 1 Critical GIDA (Score ≥ 50.0)", IF(X1699&gt;='Methodology &amp; Assumptions'!$B$8, "Tier 2 High GIDA (Score 40.0–49.9)", "Tier 3 Moderate GIDA (Score &lt; 40.0)"))</f>
        <v/>
      </c>
      <c r="V1699" s="26">
        <f>IF(S1699&lt;='Methodology &amp; Assumptions'!$B$10, "Direct Optical Drop (&lt;3km)", IF(S1699&lt;='Methodology &amp; Assumptions'!$B$9, "Near Optical / Microwave (&lt;5km)", "Starlink Business LEO Satellite Backhaul (&gt;5km)"))</f>
        <v/>
      </c>
      <c r="W1699" s="28" t="n">
        <v>0.237</v>
      </c>
      <c r="X1699" s="14" t="n">
        <v>42.06</v>
      </c>
      <c r="Y1699" s="14">
        <f>ROUND(MIN(100, (X1699/69.91)*100), 2)</f>
        <v/>
      </c>
    </row>
    <row r="1700">
      <c r="A1700" s="10" t="n">
        <v>5</v>
      </c>
      <c r="B1700" s="10" t="n">
        <v>696</v>
      </c>
      <c r="C1700" s="10" t="n">
        <v>4696</v>
      </c>
      <c r="D1700" s="10" t="inlineStr">
        <is>
          <t>1908803002</t>
        </is>
      </c>
      <c r="E1700" s="26" t="inlineStr">
        <is>
          <t>Bangsamoro Autonomous Region In Muslim Mindanao (BARMM)</t>
        </is>
      </c>
      <c r="F1700" s="26" t="inlineStr">
        <is>
          <t>Maguindanao del Sur</t>
        </is>
      </c>
      <c r="G1700" s="26" t="inlineStr">
        <is>
          <t>Datu Abdullah Sangki</t>
        </is>
      </c>
      <c r="H1700" s="26" t="inlineStr">
        <is>
          <t>Dimampao</t>
        </is>
      </c>
      <c r="I1700" s="27" t="n">
        <v>17.255154</v>
      </c>
      <c r="J1700" s="27" t="n">
        <v>122.229198</v>
      </c>
      <c r="K1700" s="10" t="inlineStr">
        <is>
          <t>R</t>
        </is>
      </c>
      <c r="L1700" s="12" t="n">
        <v>2550</v>
      </c>
      <c r="M1700" s="14" t="n">
        <v>4.7</v>
      </c>
      <c r="N1700" s="12">
        <f>ROUND(L1700/M1700, 0)</f>
        <v/>
      </c>
      <c r="O1700" s="12">
        <f>ROUND(N1700*'Methodology &amp; Assumptions'!$B$5, 0)</f>
        <v/>
      </c>
      <c r="P1700" s="10" t="inlineStr">
        <is>
          <t>Single Carrier (Band n50, 100MHz TDD)</t>
        </is>
      </c>
      <c r="Q1700" s="13">
        <f>ROUNDUP(O1700/'Methodology &amp; Assumptions'!$B$6, 0)</f>
        <v/>
      </c>
      <c r="R1700" s="13" t="n">
        <v>1</v>
      </c>
      <c r="S1700" s="14" t="n">
        <v>29.46</v>
      </c>
      <c r="T1700" s="14" t="n">
        <v>34.34</v>
      </c>
      <c r="U1700" s="26">
        <f>IF(X1700&gt;='Methodology &amp; Assumptions'!$B$7, "Tier 1 Critical GIDA (Score ≥ 50.0)", IF(X1700&gt;='Methodology &amp; Assumptions'!$B$8, "Tier 2 High GIDA (Score 40.0–49.9)", "Tier 3 Moderate GIDA (Score &lt; 40.0)"))</f>
        <v/>
      </c>
      <c r="V1700" s="26">
        <f>IF(S1700&lt;='Methodology &amp; Assumptions'!$B$10, "Direct Optical Drop (&lt;3km)", IF(S1700&lt;='Methodology &amp; Assumptions'!$B$9, "Near Optical / Microwave (&lt;5km)", "Starlink Business LEO Satellite Backhaul (&gt;5km)"))</f>
        <v/>
      </c>
      <c r="W1700" s="28" t="n">
        <v>0.11</v>
      </c>
      <c r="X1700" s="14" t="n">
        <v>42.06</v>
      </c>
      <c r="Y1700" s="14">
        <f>ROUND(MIN(100, (X1700/69.91)*100), 2)</f>
        <v/>
      </c>
    </row>
    <row r="1701">
      <c r="A1701" s="10" t="n">
        <v>5</v>
      </c>
      <c r="B1701" s="10" t="n">
        <v>697</v>
      </c>
      <c r="C1701" s="10" t="n">
        <v>4697</v>
      </c>
      <c r="D1701" s="10" t="inlineStr">
        <is>
          <t>1108208001</t>
        </is>
      </c>
      <c r="E1701" s="26" t="inlineStr">
        <is>
          <t>Region XI (Davao Region)</t>
        </is>
      </c>
      <c r="F1701" s="26" t="inlineStr">
        <is>
          <t>Davao de Oro</t>
        </is>
      </c>
      <c r="G1701" s="26" t="inlineStr">
        <is>
          <t>Montevista</t>
        </is>
      </c>
      <c r="H1701" s="26" t="inlineStr">
        <is>
          <t>Banagbanag</t>
        </is>
      </c>
      <c r="I1701" s="27" t="n">
        <v>7.649243</v>
      </c>
      <c r="J1701" s="27" t="n">
        <v>126.025536</v>
      </c>
      <c r="K1701" s="10" t="inlineStr">
        <is>
          <t>R</t>
        </is>
      </c>
      <c r="L1701" s="12" t="n">
        <v>1387</v>
      </c>
      <c r="M1701" s="14" t="n">
        <v>3.7</v>
      </c>
      <c r="N1701" s="12">
        <f>ROUND(L1701/M1701, 0)</f>
        <v/>
      </c>
      <c r="O1701" s="12">
        <f>ROUND(N1701*'Methodology &amp; Assumptions'!$B$5, 0)</f>
        <v/>
      </c>
      <c r="P1701" s="10" t="inlineStr">
        <is>
          <t>Single Carrier (Band n50, 100MHz TDD)</t>
        </is>
      </c>
      <c r="Q1701" s="13">
        <f>ROUNDUP(O1701/'Methodology &amp; Assumptions'!$B$6, 0)</f>
        <v/>
      </c>
      <c r="R1701" s="13" t="n">
        <v>1</v>
      </c>
      <c r="S1701" s="14" t="n">
        <v>20.09</v>
      </c>
      <c r="T1701" s="14" t="n">
        <v>4.77</v>
      </c>
      <c r="U1701" s="26">
        <f>IF(X1701&gt;='Methodology &amp; Assumptions'!$B$7, "Tier 1 Critical GIDA (Score ≥ 50.0)", IF(X1701&gt;='Methodology &amp; Assumptions'!$B$8, "Tier 2 High GIDA (Score 40.0–49.9)", "Tier 3 Moderate GIDA (Score &lt; 40.0)"))</f>
        <v/>
      </c>
      <c r="V1701" s="26">
        <f>IF(S1701&lt;='Methodology &amp; Assumptions'!$B$10, "Direct Optical Drop (&lt;3km)", IF(S1701&lt;='Methodology &amp; Assumptions'!$B$9, "Near Optical / Microwave (&lt;5km)", "Starlink Business LEO Satellite Backhaul (&gt;5km)"))</f>
        <v/>
      </c>
      <c r="W1701" s="28" t="n">
        <v>0.174</v>
      </c>
      <c r="X1701" s="14" t="n">
        <v>42.06</v>
      </c>
      <c r="Y1701" s="14">
        <f>ROUND(MIN(100, (X1701/69.91)*100), 2)</f>
        <v/>
      </c>
    </row>
    <row r="1702">
      <c r="A1702" s="10" t="n">
        <v>5</v>
      </c>
      <c r="B1702" s="10" t="n">
        <v>698</v>
      </c>
      <c r="C1702" s="10" t="n">
        <v>4698</v>
      </c>
      <c r="D1702" s="10" t="inlineStr">
        <is>
          <t>0405647058</t>
        </is>
      </c>
      <c r="E1702" s="26" t="inlineStr">
        <is>
          <t>Region IV-A (CALABARZON)</t>
        </is>
      </c>
      <c r="F1702" s="26" t="inlineStr">
        <is>
          <t>Quezon</t>
        </is>
      </c>
      <c r="G1702" s="26" t="inlineStr">
        <is>
          <t>City of Tayabas</t>
        </is>
      </c>
      <c r="H1702" s="26" t="inlineStr">
        <is>
          <t>San Roque Zone II</t>
        </is>
      </c>
      <c r="I1702" s="27" t="n">
        <v>14.017135</v>
      </c>
      <c r="J1702" s="27" t="n">
        <v>121.620302</v>
      </c>
      <c r="K1702" s="10" t="inlineStr">
        <is>
          <t>R</t>
        </is>
      </c>
      <c r="L1702" s="12" t="n">
        <v>869</v>
      </c>
      <c r="M1702" s="14" t="n">
        <v>3.8</v>
      </c>
      <c r="N1702" s="12">
        <f>ROUND(L1702/M1702, 0)</f>
        <v/>
      </c>
      <c r="O1702" s="12">
        <f>ROUND(N1702*'Methodology &amp; Assumptions'!$B$5, 0)</f>
        <v/>
      </c>
      <c r="P1702" s="10" t="inlineStr">
        <is>
          <t>Single Carrier (Band n50, 100MHz TDD)</t>
        </is>
      </c>
      <c r="Q1702" s="13">
        <f>ROUNDUP(O1702/'Methodology &amp; Assumptions'!$B$6, 0)</f>
        <v/>
      </c>
      <c r="R1702" s="13" t="n">
        <v>1</v>
      </c>
      <c r="S1702" s="14" t="n">
        <v>2.98</v>
      </c>
      <c r="T1702" s="14" t="n">
        <v>1.73</v>
      </c>
      <c r="U1702" s="26">
        <f>IF(X1702&gt;='Methodology &amp; Assumptions'!$B$7, "Tier 1 Critical GIDA (Score ≥ 50.0)", IF(X1702&gt;='Methodology &amp; Assumptions'!$B$8, "Tier 2 High GIDA (Score 40.0–49.9)", "Tier 3 Moderate GIDA (Score &lt; 40.0)"))</f>
        <v/>
      </c>
      <c r="V1702" s="26">
        <f>IF(S1702&lt;='Methodology &amp; Assumptions'!$B$10, "Direct Optical Drop (&lt;3km)", IF(S1702&lt;='Methodology &amp; Assumptions'!$B$9, "Near Optical / Microwave (&lt;5km)", "Starlink Business LEO Satellite Backhaul (&gt;5km)"))</f>
        <v/>
      </c>
      <c r="W1702" s="28" t="n">
        <v>0.07200000000000001</v>
      </c>
      <c r="X1702" s="14" t="n">
        <v>42.05</v>
      </c>
      <c r="Y1702" s="14">
        <f>ROUND(MIN(100, (X1702/69.91)*100), 2)</f>
        <v/>
      </c>
    </row>
    <row r="1703">
      <c r="A1703" s="10" t="n">
        <v>5</v>
      </c>
      <c r="B1703" s="10" t="n">
        <v>699</v>
      </c>
      <c r="C1703" s="10" t="n">
        <v>4699</v>
      </c>
      <c r="D1703" s="10" t="inlineStr">
        <is>
          <t>1380700001</t>
        </is>
      </c>
      <c r="E1703" s="26" t="inlineStr">
        <is>
          <t>National Capital Region (NCR)</t>
        </is>
      </c>
      <c r="F1703" s="26" t="inlineStr">
        <is>
          <t>Second District (Not a Province)</t>
        </is>
      </c>
      <c r="G1703" s="26" t="inlineStr">
        <is>
          <t>City of Marikina</t>
        </is>
      </c>
      <c r="H1703" s="26" t="inlineStr">
        <is>
          <t>Barangka</t>
        </is>
      </c>
      <c r="I1703" s="27" t="n">
        <v>14.633181</v>
      </c>
      <c r="J1703" s="27" t="n">
        <v>121.081891</v>
      </c>
      <c r="K1703" s="10" t="inlineStr">
        <is>
          <t>U</t>
        </is>
      </c>
      <c r="L1703" s="12" t="n">
        <v>17196</v>
      </c>
      <c r="M1703" s="14" t="n">
        <v>4</v>
      </c>
      <c r="N1703" s="12">
        <f>ROUND(L1703/M1703, 0)</f>
        <v/>
      </c>
      <c r="O1703" s="12">
        <f>ROUND(N1703*'Methodology &amp; Assumptions'!$B$5, 0)</f>
        <v/>
      </c>
      <c r="P1703" s="10" t="inlineStr">
        <is>
          <t>Single Carrier (Band n50, 100MHz TDD)</t>
        </is>
      </c>
      <c r="Q1703" s="13">
        <f>ROUNDUP(O1703/'Methodology &amp; Assumptions'!$B$6, 0)</f>
        <v/>
      </c>
      <c r="R1703" s="13" t="n">
        <v>1</v>
      </c>
      <c r="S1703" s="14" t="n">
        <v>1.39</v>
      </c>
      <c r="T1703" s="14" t="n">
        <v>0.85</v>
      </c>
      <c r="U1703" s="26">
        <f>IF(X1703&gt;='Methodology &amp; Assumptions'!$B$7, "Tier 1 Critical GIDA (Score ≥ 50.0)", IF(X1703&gt;='Methodology &amp; Assumptions'!$B$8, "Tier 2 High GIDA (Score 40.0–49.9)", "Tier 3 Moderate GIDA (Score &lt; 40.0)"))</f>
        <v/>
      </c>
      <c r="V1703" s="26">
        <f>IF(S1703&lt;='Methodology &amp; Assumptions'!$B$10, "Direct Optical Drop (&lt;3km)", IF(S1703&lt;='Methodology &amp; Assumptions'!$B$9, "Near Optical / Microwave (&lt;5km)", "Starlink Business LEO Satellite Backhaul (&gt;5km)"))</f>
        <v/>
      </c>
      <c r="W1703" s="28" t="n">
        <v>0.109</v>
      </c>
      <c r="X1703" s="14" t="n">
        <v>42.05</v>
      </c>
      <c r="Y1703" s="14">
        <f>ROUND(MIN(100, (X1703/69.91)*100), 2)</f>
        <v/>
      </c>
    </row>
    <row r="1704">
      <c r="A1704" s="10" t="n">
        <v>5</v>
      </c>
      <c r="B1704" s="10" t="n">
        <v>700</v>
      </c>
      <c r="C1704" s="10" t="n">
        <v>4700</v>
      </c>
      <c r="D1704" s="10" t="inlineStr">
        <is>
          <t>0704613008</t>
        </is>
      </c>
      <c r="E1704" s="26" t="inlineStr">
        <is>
          <t>Region VII (Central Visayas)</t>
        </is>
      </c>
      <c r="F1704" s="26" t="inlineStr">
        <is>
          <t>Negros Oriental</t>
        </is>
      </c>
      <c r="G1704" s="26" t="inlineStr">
        <is>
          <t>La Libertad</t>
        </is>
      </c>
      <c r="H1704" s="26" t="inlineStr">
        <is>
          <t>Eli</t>
        </is>
      </c>
      <c r="I1704" s="27" t="n">
        <v>10.055912</v>
      </c>
      <c r="J1704" s="27" t="n">
        <v>123.138143</v>
      </c>
      <c r="K1704" s="10" t="inlineStr">
        <is>
          <t>R</t>
        </is>
      </c>
      <c r="L1704" s="12" t="n">
        <v>1696</v>
      </c>
      <c r="M1704" s="14" t="n">
        <v>3.8</v>
      </c>
      <c r="N1704" s="12">
        <f>ROUND(L1704/M1704, 0)</f>
        <v/>
      </c>
      <c r="O1704" s="12">
        <f>ROUND(N1704*'Methodology &amp; Assumptions'!$B$5, 0)</f>
        <v/>
      </c>
      <c r="P1704" s="10" t="inlineStr">
        <is>
          <t>Single Carrier (Band n50, 100MHz TDD)</t>
        </is>
      </c>
      <c r="Q1704" s="13">
        <f>ROUNDUP(O1704/'Methodology &amp; Assumptions'!$B$6, 0)</f>
        <v/>
      </c>
      <c r="R1704" s="13" t="n">
        <v>1</v>
      </c>
      <c r="S1704" s="14" t="n">
        <v>15.88</v>
      </c>
      <c r="T1704" s="14" t="n">
        <v>10.46</v>
      </c>
      <c r="U1704" s="26">
        <f>IF(X1704&gt;='Methodology &amp; Assumptions'!$B$7, "Tier 1 Critical GIDA (Score ≥ 50.0)", IF(X1704&gt;='Methodology &amp; Assumptions'!$B$8, "Tier 2 High GIDA (Score 40.0–49.9)", "Tier 3 Moderate GIDA (Score &lt; 40.0)"))</f>
        <v/>
      </c>
      <c r="V1704" s="26">
        <f>IF(S1704&lt;='Methodology &amp; Assumptions'!$B$10, "Direct Optical Drop (&lt;3km)", IF(S1704&lt;='Methodology &amp; Assumptions'!$B$9, "Near Optical / Microwave (&lt;5km)", "Starlink Business LEO Satellite Backhaul (&gt;5km)"))</f>
        <v/>
      </c>
      <c r="W1704" s="28" t="n">
        <v>0.237</v>
      </c>
      <c r="X1704" s="14" t="n">
        <v>42.05</v>
      </c>
      <c r="Y1704" s="14">
        <f>ROUND(MIN(100, (X1704/69.91)*100), 2)</f>
        <v/>
      </c>
    </row>
    <row r="1705">
      <c r="A1705" s="10" t="n">
        <v>5</v>
      </c>
      <c r="B1705" s="10" t="n">
        <v>701</v>
      </c>
      <c r="C1705" s="10" t="n">
        <v>4701</v>
      </c>
      <c r="D1705" s="10" t="inlineStr">
        <is>
          <t>1908811001</t>
        </is>
      </c>
      <c r="E1705" s="26" t="inlineStr">
        <is>
          <t>Bangsamoro Autonomous Region In Muslim Mindanao (BARMM)</t>
        </is>
      </c>
      <c r="F1705" s="26" t="inlineStr">
        <is>
          <t>Maguindanao del Sur</t>
        </is>
      </c>
      <c r="G1705" s="26" t="inlineStr">
        <is>
          <t>Gen. S.K. Pendatun</t>
        </is>
      </c>
      <c r="H1705" s="26" t="inlineStr">
        <is>
          <t>Badak</t>
        </is>
      </c>
      <c r="I1705" s="27" t="n">
        <v>17.255007</v>
      </c>
      <c r="J1705" s="27" t="n">
        <v>122.229051</v>
      </c>
      <c r="K1705" s="10" t="inlineStr">
        <is>
          <t>R</t>
        </is>
      </c>
      <c r="L1705" s="12" t="n">
        <v>5081</v>
      </c>
      <c r="M1705" s="14" t="n">
        <v>4.7</v>
      </c>
      <c r="N1705" s="12">
        <f>ROUND(L1705/M1705, 0)</f>
        <v/>
      </c>
      <c r="O1705" s="12">
        <f>ROUND(N1705*'Methodology &amp; Assumptions'!$B$5, 0)</f>
        <v/>
      </c>
      <c r="P1705" s="10" t="inlineStr">
        <is>
          <t>Single Carrier (Band n50, 100MHz TDD)</t>
        </is>
      </c>
      <c r="Q1705" s="13">
        <f>ROUNDUP(O1705/'Methodology &amp; Assumptions'!$B$6, 0)</f>
        <v/>
      </c>
      <c r="R1705" s="13" t="n">
        <v>1</v>
      </c>
      <c r="S1705" s="14" t="n">
        <v>29.44</v>
      </c>
      <c r="T1705" s="14" t="n">
        <v>34.32</v>
      </c>
      <c r="U1705" s="26">
        <f>IF(X1705&gt;='Methodology &amp; Assumptions'!$B$7, "Tier 1 Critical GIDA (Score ≥ 50.0)", IF(X1705&gt;='Methodology &amp; Assumptions'!$B$8, "Tier 2 High GIDA (Score 40.0–49.9)", "Tier 3 Moderate GIDA (Score &lt; 40.0)"))</f>
        <v/>
      </c>
      <c r="V1705" s="26">
        <f>IF(S1705&lt;='Methodology &amp; Assumptions'!$B$10, "Direct Optical Drop (&lt;3km)", IF(S1705&lt;='Methodology &amp; Assumptions'!$B$9, "Near Optical / Microwave (&lt;5km)", "Starlink Business LEO Satellite Backhaul (&gt;5km)"))</f>
        <v/>
      </c>
      <c r="W1705" s="28" t="n">
        <v>0.11</v>
      </c>
      <c r="X1705" s="14" t="n">
        <v>42.04</v>
      </c>
      <c r="Y1705" s="14">
        <f>ROUND(MIN(100, (X1705/69.91)*100), 2)</f>
        <v/>
      </c>
    </row>
    <row r="1706">
      <c r="A1706" s="10" t="n">
        <v>5</v>
      </c>
      <c r="B1706" s="10" t="n">
        <v>702</v>
      </c>
      <c r="C1706" s="10" t="n">
        <v>4702</v>
      </c>
      <c r="D1706" s="10" t="inlineStr">
        <is>
          <t>1908709006</t>
        </is>
      </c>
      <c r="E1706" s="26" t="inlineStr">
        <is>
          <t>Bangsamoro Autonomous Region In Muslim Mindanao (BARMM)</t>
        </is>
      </c>
      <c r="F1706" s="26" t="inlineStr">
        <is>
          <t>Maguindanao del Norte</t>
        </is>
      </c>
      <c r="G1706" s="26" t="inlineStr">
        <is>
          <t>Parang</t>
        </is>
      </c>
      <c r="H1706" s="26" t="inlineStr">
        <is>
          <t>Gadunganpedpandaran</t>
        </is>
      </c>
      <c r="I1706" s="27" t="n">
        <v>16.18987</v>
      </c>
      <c r="J1706" s="27" t="n">
        <v>122.441483</v>
      </c>
      <c r="K1706" s="10" t="inlineStr">
        <is>
          <t>R</t>
        </is>
      </c>
      <c r="L1706" s="12" t="n">
        <v>2172</v>
      </c>
      <c r="M1706" s="14" t="n">
        <v>4.3</v>
      </c>
      <c r="N1706" s="12">
        <f>ROUND(L1706/M1706, 0)</f>
        <v/>
      </c>
      <c r="O1706" s="12">
        <f>ROUND(N1706*'Methodology &amp; Assumptions'!$B$5, 0)</f>
        <v/>
      </c>
      <c r="P1706" s="10" t="inlineStr">
        <is>
          <t>Single Carrier (Band n50, 100MHz TDD)</t>
        </is>
      </c>
      <c r="Q1706" s="13">
        <f>ROUNDUP(O1706/'Methodology &amp; Assumptions'!$B$6, 0)</f>
        <v/>
      </c>
      <c r="R1706" s="13" t="n">
        <v>1</v>
      </c>
      <c r="S1706" s="14" t="n">
        <v>35.22</v>
      </c>
      <c r="T1706" s="14" t="n">
        <v>34.22</v>
      </c>
      <c r="U1706" s="26">
        <f>IF(X1706&gt;='Methodology &amp; Assumptions'!$B$7, "Tier 1 Critical GIDA (Score ≥ 50.0)", IF(X1706&gt;='Methodology &amp; Assumptions'!$B$8, "Tier 2 High GIDA (Score 40.0–49.9)", "Tier 3 Moderate GIDA (Score &lt; 40.0)"))</f>
        <v/>
      </c>
      <c r="V1706" s="26">
        <f>IF(S1706&lt;='Methodology &amp; Assumptions'!$B$10, "Direct Optical Drop (&lt;3km)", IF(S1706&lt;='Methodology &amp; Assumptions'!$B$9, "Near Optical / Microwave (&lt;5km)", "Starlink Business LEO Satellite Backhaul (&gt;5km)"))</f>
        <v/>
      </c>
      <c r="W1706" s="28" t="n">
        <v>0.11</v>
      </c>
      <c r="X1706" s="14" t="n">
        <v>42.04</v>
      </c>
      <c r="Y1706" s="14">
        <f>ROUND(MIN(100, (X1706/69.91)*100), 2)</f>
        <v/>
      </c>
    </row>
    <row r="1707">
      <c r="A1707" s="10" t="n">
        <v>5</v>
      </c>
      <c r="B1707" s="10" t="n">
        <v>703</v>
      </c>
      <c r="C1707" s="10" t="n">
        <v>4703</v>
      </c>
      <c r="D1707" s="10" t="inlineStr">
        <is>
          <t>PH0004703</t>
        </is>
      </c>
      <c r="E1707" s="26" t="inlineStr">
        <is>
          <t>VII</t>
        </is>
      </c>
      <c r="F1707" s="26" t="inlineStr">
        <is>
          <t>Cebu</t>
        </is>
      </c>
      <c r="G1707" s="26" t="inlineStr">
        <is>
          <t>Lapu-Lapu City (Opon)</t>
        </is>
      </c>
      <c r="H1707" s="26" t="inlineStr">
        <is>
          <t>Gun-ob</t>
        </is>
      </c>
      <c r="I1707" s="27" t="n">
        <v>10.301734</v>
      </c>
      <c r="J1707" s="27" t="n">
        <v>123.951872</v>
      </c>
      <c r="K1707" s="10" t="inlineStr">
        <is>
          <t>R</t>
        </is>
      </c>
      <c r="L1707" s="12" t="n">
        <v>2250</v>
      </c>
      <c r="M1707" s="14" t="n">
        <v>3.8</v>
      </c>
      <c r="N1707" s="12">
        <f>ROUND(L1707/M1707, 0)</f>
        <v/>
      </c>
      <c r="O1707" s="12">
        <f>ROUND(N1707*'Methodology &amp; Assumptions'!$B$5, 0)</f>
        <v/>
      </c>
      <c r="P1707" s="10" t="inlineStr">
        <is>
          <t>Single Carrier (Band n50, 100MHz TDD)</t>
        </is>
      </c>
      <c r="Q1707" s="13">
        <f>ROUNDUP(O1707/'Methodology &amp; Assumptions'!$B$6, 0)</f>
        <v/>
      </c>
      <c r="R1707" s="13" t="n">
        <v>1</v>
      </c>
      <c r="S1707" s="14" t="n">
        <v>1.53</v>
      </c>
      <c r="T1707" s="14" t="n">
        <v>3.78</v>
      </c>
      <c r="U1707" s="26">
        <f>IF(X1707&gt;='Methodology &amp; Assumptions'!$B$7, "Tier 1 Critical GIDA (Score ≥ 50.0)", IF(X1707&gt;='Methodology &amp; Assumptions'!$B$8, "Tier 2 High GIDA (Score 40.0–49.9)", "Tier 3 Moderate GIDA (Score &lt; 40.0)"))</f>
        <v/>
      </c>
      <c r="V1707" s="26">
        <f>IF(S1707&lt;='Methodology &amp; Assumptions'!$B$10, "Direct Optical Drop (&lt;3km)", IF(S1707&lt;='Methodology &amp; Assumptions'!$B$9, "Near Optical / Microwave (&lt;5km)", "Starlink Business LEO Satellite Backhaul (&gt;5km)"))</f>
        <v/>
      </c>
      <c r="W1707" s="28" t="n">
        <v>0.21</v>
      </c>
      <c r="X1707" s="14" t="n">
        <v>42.04</v>
      </c>
      <c r="Y1707" s="14">
        <f>ROUND(MIN(100, (X1707/69.91)*100), 2)</f>
        <v/>
      </c>
    </row>
    <row r="1708">
      <c r="A1708" s="10" t="n">
        <v>5</v>
      </c>
      <c r="B1708" s="10" t="n">
        <v>704</v>
      </c>
      <c r="C1708" s="10" t="n">
        <v>4704</v>
      </c>
      <c r="D1708" s="10" t="inlineStr">
        <is>
          <t>0806006019</t>
        </is>
      </c>
      <c r="E1708" s="26" t="inlineStr">
        <is>
          <t>Region VIII (Eastern Visayas)</t>
        </is>
      </c>
      <c r="F1708" s="26" t="inlineStr">
        <is>
          <t>Samar</t>
        </is>
      </c>
      <c r="G1708" s="26" t="inlineStr">
        <is>
          <t>Daram</t>
        </is>
      </c>
      <c r="H1708" s="26" t="inlineStr">
        <is>
          <t>Canloloy</t>
        </is>
      </c>
      <c r="I1708" s="27" t="n">
        <v>11.54733</v>
      </c>
      <c r="J1708" s="27" t="n">
        <v>124.79631</v>
      </c>
      <c r="K1708" s="10" t="inlineStr">
        <is>
          <t>R</t>
        </is>
      </c>
      <c r="L1708" s="12" t="n">
        <v>205</v>
      </c>
      <c r="M1708" s="14" t="n">
        <v>4.1</v>
      </c>
      <c r="N1708" s="12">
        <f>ROUND(L1708/M1708, 0)</f>
        <v/>
      </c>
      <c r="O1708" s="12">
        <f>ROUND(N1708*'Methodology &amp; Assumptions'!$B$5, 0)</f>
        <v/>
      </c>
      <c r="P1708" s="10" t="inlineStr">
        <is>
          <t>Single Carrier (Band n50, 100MHz TDD)</t>
        </is>
      </c>
      <c r="Q1708" s="13">
        <f>ROUNDUP(O1708/'Methodology &amp; Assumptions'!$B$6, 0)</f>
        <v/>
      </c>
      <c r="R1708" s="13" t="n">
        <v>1</v>
      </c>
      <c r="S1708" s="14" t="n">
        <v>29.89</v>
      </c>
      <c r="T1708" s="14" t="n">
        <v>29.82</v>
      </c>
      <c r="U1708" s="26">
        <f>IF(X1708&gt;='Methodology &amp; Assumptions'!$B$7, "Tier 1 Critical GIDA (Score ≥ 50.0)", IF(X1708&gt;='Methodology &amp; Assumptions'!$B$8, "Tier 2 High GIDA (Score 40.0–49.9)", "Tier 3 Moderate GIDA (Score &lt; 40.0)"))</f>
        <v/>
      </c>
      <c r="V1708" s="26">
        <f>IF(S1708&lt;='Methodology &amp; Assumptions'!$B$10, "Direct Optical Drop (&lt;3km)", IF(S1708&lt;='Methodology &amp; Assumptions'!$B$9, "Near Optical / Microwave (&lt;5km)", "Starlink Business LEO Satellite Backhaul (&gt;5km)"))</f>
        <v/>
      </c>
      <c r="W1708" s="28" t="n">
        <v>0.237</v>
      </c>
      <c r="X1708" s="14" t="n">
        <v>42.03</v>
      </c>
      <c r="Y1708" s="14">
        <f>ROUND(MIN(100, (X1708/69.91)*100), 2)</f>
        <v/>
      </c>
    </row>
    <row r="1709">
      <c r="A1709" s="10" t="n">
        <v>5</v>
      </c>
      <c r="B1709" s="10" t="n">
        <v>705</v>
      </c>
      <c r="C1709" s="10" t="n">
        <v>4705</v>
      </c>
      <c r="D1709" s="10" t="inlineStr">
        <is>
          <t>0405647003</t>
        </is>
      </c>
      <c r="E1709" s="26" t="inlineStr">
        <is>
          <t>Region IV-A (CALABARZON)</t>
        </is>
      </c>
      <c r="F1709" s="26" t="inlineStr">
        <is>
          <t>Quezon</t>
        </is>
      </c>
      <c r="G1709" s="26" t="inlineStr">
        <is>
          <t>City of Tayabas</t>
        </is>
      </c>
      <c r="H1709" s="26" t="inlineStr">
        <is>
          <t>Angeles Zone I</t>
        </is>
      </c>
      <c r="I1709" s="27" t="n">
        <v>14.02231</v>
      </c>
      <c r="J1709" s="27" t="n">
        <v>121.595921</v>
      </c>
      <c r="K1709" s="10" t="inlineStr">
        <is>
          <t>R</t>
        </is>
      </c>
      <c r="L1709" s="12" t="n">
        <v>1781</v>
      </c>
      <c r="M1709" s="14" t="n">
        <v>3.8</v>
      </c>
      <c r="N1709" s="12">
        <f>ROUND(L1709/M1709, 0)</f>
        <v/>
      </c>
      <c r="O1709" s="12">
        <f>ROUND(N1709*'Methodology &amp; Assumptions'!$B$5, 0)</f>
        <v/>
      </c>
      <c r="P1709" s="10" t="inlineStr">
        <is>
          <t>Single Carrier (Band n50, 100MHz TDD)</t>
        </is>
      </c>
      <c r="Q1709" s="13">
        <f>ROUNDUP(O1709/'Methodology &amp; Assumptions'!$B$6, 0)</f>
        <v/>
      </c>
      <c r="R1709" s="13" t="n">
        <v>1</v>
      </c>
      <c r="S1709" s="14" t="n">
        <v>0.31</v>
      </c>
      <c r="T1709" s="14" t="n">
        <v>0.04</v>
      </c>
      <c r="U1709" s="26">
        <f>IF(X1709&gt;='Methodology &amp; Assumptions'!$B$7, "Tier 1 Critical GIDA (Score ≥ 50.0)", IF(X1709&gt;='Methodology &amp; Assumptions'!$B$8, "Tier 2 High GIDA (Score 40.0–49.9)", "Tier 3 Moderate GIDA (Score &lt; 40.0)"))</f>
        <v/>
      </c>
      <c r="V1709" s="26">
        <f>IF(S1709&lt;='Methodology &amp; Assumptions'!$B$10, "Direct Optical Drop (&lt;3km)", IF(S1709&lt;='Methodology &amp; Assumptions'!$B$9, "Near Optical / Microwave (&lt;5km)", "Starlink Business LEO Satellite Backhaul (&gt;5km)"))</f>
        <v/>
      </c>
      <c r="W1709" s="28" t="n">
        <v>0.07200000000000001</v>
      </c>
      <c r="X1709" s="14" t="n">
        <v>42.03</v>
      </c>
      <c r="Y1709" s="14">
        <f>ROUND(MIN(100, (X1709/69.91)*100), 2)</f>
        <v/>
      </c>
    </row>
    <row r="1710">
      <c r="A1710" s="10" t="n">
        <v>5</v>
      </c>
      <c r="B1710" s="10" t="n">
        <v>706</v>
      </c>
      <c r="C1710" s="10" t="n">
        <v>4706</v>
      </c>
      <c r="D1710" s="10" t="inlineStr">
        <is>
          <t>0403426026</t>
        </is>
      </c>
      <c r="E1710" s="26" t="inlineStr">
        <is>
          <t>Region IV-A (CALABARZON)</t>
        </is>
      </c>
      <c r="F1710" s="26" t="inlineStr">
        <is>
          <t>Laguna</t>
        </is>
      </c>
      <c r="G1710" s="26" t="inlineStr">
        <is>
          <t>Santa Cruz</t>
        </is>
      </c>
      <c r="H1710" s="26" t="inlineStr">
        <is>
          <t>Santo Angel Sur</t>
        </is>
      </c>
      <c r="I1710" s="27" t="n">
        <v>14.28119</v>
      </c>
      <c r="J1710" s="27" t="n">
        <v>121.411348</v>
      </c>
      <c r="K1710" s="10" t="inlineStr">
        <is>
          <t>U</t>
        </is>
      </c>
      <c r="L1710" s="12" t="n">
        <v>4457</v>
      </c>
      <c r="M1710" s="14" t="n">
        <v>3.3</v>
      </c>
      <c r="N1710" s="12">
        <f>ROUND(L1710/M1710, 0)</f>
        <v/>
      </c>
      <c r="O1710" s="12">
        <f>ROUND(N1710*'Methodology &amp; Assumptions'!$B$5, 0)</f>
        <v/>
      </c>
      <c r="P1710" s="10" t="inlineStr">
        <is>
          <t>Single Carrier (Band n50, 100MHz TDD)</t>
        </is>
      </c>
      <c r="Q1710" s="13">
        <f>ROUNDUP(O1710/'Methodology &amp; Assumptions'!$B$6, 0)</f>
        <v/>
      </c>
      <c r="R1710" s="13" t="n">
        <v>1</v>
      </c>
      <c r="S1710" s="14" t="n">
        <v>0.3</v>
      </c>
      <c r="T1710" s="14" t="n">
        <v>0.3</v>
      </c>
      <c r="U1710" s="26">
        <f>IF(X1710&gt;='Methodology &amp; Assumptions'!$B$7, "Tier 1 Critical GIDA (Score ≥ 50.0)", IF(X1710&gt;='Methodology &amp; Assumptions'!$B$8, "Tier 2 High GIDA (Score 40.0–49.9)", "Tier 3 Moderate GIDA (Score &lt; 40.0)"))</f>
        <v/>
      </c>
      <c r="V1710" s="26">
        <f>IF(S1710&lt;='Methodology &amp; Assumptions'!$B$10, "Direct Optical Drop (&lt;3km)", IF(S1710&lt;='Methodology &amp; Assumptions'!$B$9, "Near Optical / Microwave (&lt;5km)", "Starlink Business LEO Satellite Backhaul (&gt;5km)"))</f>
        <v/>
      </c>
      <c r="W1710" s="28" t="n">
        <v>0.07200000000000001</v>
      </c>
      <c r="X1710" s="14" t="n">
        <v>42.03</v>
      </c>
      <c r="Y1710" s="14">
        <f>ROUND(MIN(100, (X1710/69.91)*100), 2)</f>
        <v/>
      </c>
    </row>
    <row r="1711">
      <c r="A1711" s="10" t="n">
        <v>5</v>
      </c>
      <c r="B1711" s="10" t="n">
        <v>707</v>
      </c>
      <c r="C1711" s="10" t="n">
        <v>4707</v>
      </c>
      <c r="D1711" s="10" t="inlineStr">
        <is>
          <t>PH0004707</t>
        </is>
      </c>
      <c r="E1711" s="26" t="inlineStr">
        <is>
          <t>IV-A</t>
        </is>
      </c>
      <c r="F1711" s="26" t="inlineStr">
        <is>
          <t>Cavite</t>
        </is>
      </c>
      <c r="G1711" s="26" t="inlineStr">
        <is>
          <t>Cavite City</t>
        </is>
      </c>
      <c r="H1711" s="26" t="inlineStr">
        <is>
          <t>Barangay 41</t>
        </is>
      </c>
      <c r="I1711" s="27" t="n">
        <v>14.483004</v>
      </c>
      <c r="J1711" s="27" t="n">
        <v>120.897085</v>
      </c>
      <c r="K1711" s="10" t="inlineStr">
        <is>
          <t>R</t>
        </is>
      </c>
      <c r="L1711" s="12" t="n">
        <v>2316</v>
      </c>
      <c r="M1711" s="14" t="n">
        <v>3.4</v>
      </c>
      <c r="N1711" s="12">
        <f>ROUND(L1711/M1711, 0)</f>
        <v/>
      </c>
      <c r="O1711" s="12">
        <f>ROUND(N1711*'Methodology &amp; Assumptions'!$B$5, 0)</f>
        <v/>
      </c>
      <c r="P1711" s="10" t="inlineStr">
        <is>
          <t>Single Carrier (Band n50, 100MHz TDD)</t>
        </is>
      </c>
      <c r="Q1711" s="13">
        <f>ROUNDUP(O1711/'Methodology &amp; Assumptions'!$B$6, 0)</f>
        <v/>
      </c>
      <c r="R1711" s="13" t="n">
        <v>1</v>
      </c>
      <c r="S1711" s="14" t="n">
        <v>1.37</v>
      </c>
      <c r="T1711" s="14" t="n">
        <v>4.45</v>
      </c>
      <c r="U1711" s="26">
        <f>IF(X1711&gt;='Methodology &amp; Assumptions'!$B$7, "Tier 1 Critical GIDA (Score ≥ 50.0)", IF(X1711&gt;='Methodology &amp; Assumptions'!$B$8, "Tier 2 High GIDA (Score 40.0–49.9)", "Tier 3 Moderate GIDA (Score &lt; 40.0)"))</f>
        <v/>
      </c>
      <c r="V1711" s="26">
        <f>IF(S1711&lt;='Methodology &amp; Assumptions'!$B$10, "Direct Optical Drop (&lt;3km)", IF(S1711&lt;='Methodology &amp; Assumptions'!$B$9, "Near Optical / Microwave (&lt;5km)", "Starlink Business LEO Satellite Backhaul (&gt;5km)"))</f>
        <v/>
      </c>
      <c r="W1711" s="28" t="n">
        <v>0.07200000000000001</v>
      </c>
      <c r="X1711" s="14" t="n">
        <v>42.03</v>
      </c>
      <c r="Y1711" s="14">
        <f>ROUND(MIN(100, (X1711/69.91)*100), 2)</f>
        <v/>
      </c>
    </row>
    <row r="1712">
      <c r="A1712" s="10" t="n">
        <v>5</v>
      </c>
      <c r="B1712" s="10" t="n">
        <v>708</v>
      </c>
      <c r="C1712" s="10" t="n">
        <v>4708</v>
      </c>
      <c r="D1712" s="10" t="inlineStr">
        <is>
          <t>0401029026</t>
        </is>
      </c>
      <c r="E1712" s="26" t="inlineStr">
        <is>
          <t>Region IV-A (CALABARZON)</t>
        </is>
      </c>
      <c r="F1712" s="26" t="inlineStr">
        <is>
          <t>Batangas</t>
        </is>
      </c>
      <c r="G1712" s="26" t="inlineStr">
        <is>
          <t>Taal</t>
        </is>
      </c>
      <c r="H1712" s="26" t="inlineStr">
        <is>
          <t>Poblacion 2</t>
        </is>
      </c>
      <c r="I1712" s="27" t="n">
        <v>13.881459</v>
      </c>
      <c r="J1712" s="27" t="n">
        <v>120.925003</v>
      </c>
      <c r="K1712" s="10" t="inlineStr">
        <is>
          <t>U</t>
        </is>
      </c>
      <c r="L1712" s="12" t="n">
        <v>388</v>
      </c>
      <c r="M1712" s="14" t="n">
        <v>3.6</v>
      </c>
      <c r="N1712" s="12">
        <f>ROUND(L1712/M1712, 0)</f>
        <v/>
      </c>
      <c r="O1712" s="12">
        <f>ROUND(N1712*'Methodology &amp; Assumptions'!$B$5, 0)</f>
        <v/>
      </c>
      <c r="P1712" s="10" t="inlineStr">
        <is>
          <t>Single Carrier (Band n50, 100MHz TDD)</t>
        </is>
      </c>
      <c r="Q1712" s="13">
        <f>ROUNDUP(O1712/'Methodology &amp; Assumptions'!$B$6, 0)</f>
        <v/>
      </c>
      <c r="R1712" s="13" t="n">
        <v>1</v>
      </c>
      <c r="S1712" s="14" t="n">
        <v>1.07</v>
      </c>
      <c r="T1712" s="14" t="n">
        <v>1.4</v>
      </c>
      <c r="U1712" s="26">
        <f>IF(X1712&gt;='Methodology &amp; Assumptions'!$B$7, "Tier 1 Critical GIDA (Score ≥ 50.0)", IF(X1712&gt;='Methodology &amp; Assumptions'!$B$8, "Tier 2 High GIDA (Score 40.0–49.9)", "Tier 3 Moderate GIDA (Score &lt; 40.0)"))</f>
        <v/>
      </c>
      <c r="V1712" s="26">
        <f>IF(S1712&lt;='Methodology &amp; Assumptions'!$B$10, "Direct Optical Drop (&lt;3km)", IF(S1712&lt;='Methodology &amp; Assumptions'!$B$9, "Near Optical / Microwave (&lt;5km)", "Starlink Business LEO Satellite Backhaul (&gt;5km)"))</f>
        <v/>
      </c>
      <c r="W1712" s="28" t="n">
        <v>0.07200000000000001</v>
      </c>
      <c r="X1712" s="14" t="n">
        <v>42.02</v>
      </c>
      <c r="Y1712" s="14">
        <f>ROUND(MIN(100, (X1712/69.91)*100), 2)</f>
        <v/>
      </c>
    </row>
    <row r="1713">
      <c r="A1713" s="10" t="n">
        <v>5</v>
      </c>
      <c r="B1713" s="10" t="n">
        <v>709</v>
      </c>
      <c r="C1713" s="10" t="n">
        <v>4709</v>
      </c>
      <c r="D1713" s="10" t="inlineStr">
        <is>
          <t>PH0004709</t>
        </is>
      </c>
      <c r="E1713" s="26" t="inlineStr">
        <is>
          <t>BARMM (LaMa+SGA)</t>
        </is>
      </c>
      <c r="F1713" s="26" t="inlineStr">
        <is>
          <t>Lanao Del Sur</t>
        </is>
      </c>
      <c r="G1713" s="26" t="inlineStr">
        <is>
          <t>Bumbaran</t>
        </is>
      </c>
      <c r="H1713" s="26" t="inlineStr">
        <is>
          <t>Frankfort</t>
        </is>
      </c>
      <c r="I1713" s="27" t="n">
        <v>17.254276</v>
      </c>
      <c r="J1713" s="27" t="n">
        <v>122.22832</v>
      </c>
      <c r="K1713" s="10" t="inlineStr">
        <is>
          <t>R</t>
        </is>
      </c>
      <c r="L1713" s="12" t="n">
        <v>2518</v>
      </c>
      <c r="M1713" s="14" t="n">
        <v>5.7</v>
      </c>
      <c r="N1713" s="12">
        <f>ROUND(L1713/M1713, 0)</f>
        <v/>
      </c>
      <c r="O1713" s="12">
        <f>ROUND(N1713*'Methodology &amp; Assumptions'!$B$5, 0)</f>
        <v/>
      </c>
      <c r="P1713" s="10" t="inlineStr">
        <is>
          <t>Single Carrier (Band n50, 100MHz TDD)</t>
        </is>
      </c>
      <c r="Q1713" s="13">
        <f>ROUNDUP(O1713/'Methodology &amp; Assumptions'!$B$6, 0)</f>
        <v/>
      </c>
      <c r="R1713" s="13" t="n">
        <v>1</v>
      </c>
      <c r="S1713" s="14" t="n">
        <v>29.33</v>
      </c>
      <c r="T1713" s="14" t="n">
        <v>34.22</v>
      </c>
      <c r="U1713" s="26">
        <f>IF(X1713&gt;='Methodology &amp; Assumptions'!$B$7, "Tier 1 Critical GIDA (Score ≥ 50.0)", IF(X1713&gt;='Methodology &amp; Assumptions'!$B$8, "Tier 2 High GIDA (Score 40.0–49.9)", "Tier 3 Moderate GIDA (Score &lt; 40.0)"))</f>
        <v/>
      </c>
      <c r="V1713" s="26">
        <f>IF(S1713&lt;='Methodology &amp; Assumptions'!$B$10, "Direct Optical Drop (&lt;3km)", IF(S1713&lt;='Methodology &amp; Assumptions'!$B$9, "Near Optical / Microwave (&lt;5km)", "Starlink Business LEO Satellite Backhaul (&gt;5km)"))</f>
        <v/>
      </c>
      <c r="W1713" s="28" t="n">
        <v>0.235</v>
      </c>
      <c r="X1713" s="14" t="n">
        <v>42.02</v>
      </c>
      <c r="Y1713" s="14">
        <f>ROUND(MIN(100, (X1713/69.91)*100), 2)</f>
        <v/>
      </c>
    </row>
    <row r="1714">
      <c r="A1714" s="10" t="n">
        <v>5</v>
      </c>
      <c r="B1714" s="10" t="n">
        <v>710</v>
      </c>
      <c r="C1714" s="10" t="n">
        <v>4710</v>
      </c>
      <c r="D1714" s="10" t="inlineStr">
        <is>
          <t>1381600008</t>
        </is>
      </c>
      <c r="E1714" s="26" t="inlineStr">
        <is>
          <t>National Capital Region (NCR)</t>
        </is>
      </c>
      <c r="F1714" s="26" t="inlineStr">
        <is>
          <t>Third District (Not a Province)</t>
        </is>
      </c>
      <c r="G1714" s="26" t="inlineStr">
        <is>
          <t>City of Valenzuela</t>
        </is>
      </c>
      <c r="H1714" s="26" t="inlineStr">
        <is>
          <t>Karuhatan</t>
        </is>
      </c>
      <c r="I1714" s="27" t="n">
        <v>14.691147</v>
      </c>
      <c r="J1714" s="27" t="n">
        <v>120.976124</v>
      </c>
      <c r="K1714" s="10" t="inlineStr">
        <is>
          <t>U</t>
        </is>
      </c>
      <c r="L1714" s="12" t="n">
        <v>41864</v>
      </c>
      <c r="M1714" s="14" t="n">
        <v>3.5</v>
      </c>
      <c r="N1714" s="12">
        <f>ROUND(L1714/M1714, 0)</f>
        <v/>
      </c>
      <c r="O1714" s="12">
        <f>ROUND(N1714*'Methodology &amp; Assumptions'!$B$5, 0)</f>
        <v/>
      </c>
      <c r="P1714" s="10" t="inlineStr">
        <is>
          <t>Single Carrier (Band n50, 100MHz TDD)</t>
        </is>
      </c>
      <c r="Q1714" s="13">
        <f>ROUNDUP(O1714/'Methodology &amp; Assumptions'!$B$6, 0)</f>
        <v/>
      </c>
      <c r="R1714" s="13" t="n">
        <v>1</v>
      </c>
      <c r="S1714" s="14" t="n">
        <v>1.1</v>
      </c>
      <c r="T1714" s="14" t="n">
        <v>0.17</v>
      </c>
      <c r="U1714" s="26">
        <f>IF(X1714&gt;='Methodology &amp; Assumptions'!$B$7, "Tier 1 Critical GIDA (Score ≥ 50.0)", IF(X1714&gt;='Methodology &amp; Assumptions'!$B$8, "Tier 2 High GIDA (Score 40.0–49.9)", "Tier 3 Moderate GIDA (Score &lt; 40.0)"))</f>
        <v/>
      </c>
      <c r="V1714" s="26">
        <f>IF(S1714&lt;='Methodology &amp; Assumptions'!$B$10, "Direct Optical Drop (&lt;3km)", IF(S1714&lt;='Methodology &amp; Assumptions'!$B$9, "Near Optical / Microwave (&lt;5km)", "Starlink Business LEO Satellite Backhaul (&gt;5km)"))</f>
        <v/>
      </c>
      <c r="W1714" s="28" t="n">
        <v>0.109</v>
      </c>
      <c r="X1714" s="14" t="n">
        <v>42.02</v>
      </c>
      <c r="Y1714" s="14">
        <f>ROUND(MIN(100, (X1714/69.91)*100), 2)</f>
        <v/>
      </c>
    </row>
    <row r="1715">
      <c r="A1715" s="10" t="n">
        <v>5</v>
      </c>
      <c r="B1715" s="10" t="n">
        <v>711</v>
      </c>
      <c r="C1715" s="10" t="n">
        <v>4711</v>
      </c>
      <c r="D1715" s="10" t="inlineStr">
        <is>
          <t>1906607003</t>
        </is>
      </c>
      <c r="E1715" s="26" t="inlineStr">
        <is>
          <t>Bangsamoro Autonomous Region In Muslim Mindanao (BARMM)</t>
        </is>
      </c>
      <c r="F1715" s="26" t="inlineStr">
        <is>
          <t>Sulu</t>
        </is>
      </c>
      <c r="G1715" s="26" t="inlineStr">
        <is>
          <t>Old Panamao</t>
        </is>
      </c>
      <c r="H1715" s="26" t="inlineStr">
        <is>
          <t>Bangday</t>
        </is>
      </c>
      <c r="I1715" s="27" t="n">
        <v>17.264301</v>
      </c>
      <c r="J1715" s="27" t="n">
        <v>122.223797</v>
      </c>
      <c r="K1715" s="10" t="inlineStr">
        <is>
          <t>R</t>
        </is>
      </c>
      <c r="L1715" s="12" t="n">
        <v>1176</v>
      </c>
      <c r="M1715" s="14" t="n">
        <v>6</v>
      </c>
      <c r="N1715" s="12">
        <f>ROUND(L1715/M1715, 0)</f>
        <v/>
      </c>
      <c r="O1715" s="12">
        <f>ROUND(N1715*'Methodology &amp; Assumptions'!$B$5, 0)</f>
        <v/>
      </c>
      <c r="P1715" s="10" t="inlineStr">
        <is>
          <t>Single Carrier (Band n50, 100MHz TDD)</t>
        </is>
      </c>
      <c r="Q1715" s="13">
        <f>ROUNDUP(O1715/'Methodology &amp; Assumptions'!$B$6, 0)</f>
        <v/>
      </c>
      <c r="R1715" s="13" t="n">
        <v>1</v>
      </c>
      <c r="S1715" s="14" t="n">
        <v>29.69</v>
      </c>
      <c r="T1715" s="14" t="n">
        <v>34.1</v>
      </c>
      <c r="U1715" s="26">
        <f>IF(X1715&gt;='Methodology &amp; Assumptions'!$B$7, "Tier 1 Critical GIDA (Score ≥ 50.0)", IF(X1715&gt;='Methodology &amp; Assumptions'!$B$8, "Tier 2 High GIDA (Score 40.0–49.9)", "Tier 3 Moderate GIDA (Score &lt; 40.0)"))</f>
        <v/>
      </c>
      <c r="V1715" s="26">
        <f>IF(S1715&lt;='Methodology &amp; Assumptions'!$B$10, "Direct Optical Drop (&lt;3km)", IF(S1715&lt;='Methodology &amp; Assumptions'!$B$9, "Near Optical / Microwave (&lt;5km)", "Starlink Business LEO Satellite Backhaul (&gt;5km)"))</f>
        <v/>
      </c>
      <c r="W1715" s="28" t="n">
        <v>0.11</v>
      </c>
      <c r="X1715" s="14" t="n">
        <v>42.02</v>
      </c>
      <c r="Y1715" s="14">
        <f>ROUND(MIN(100, (X1715/69.91)*100), 2)</f>
        <v/>
      </c>
    </row>
    <row r="1716">
      <c r="A1716" s="10" t="n">
        <v>5</v>
      </c>
      <c r="B1716" s="10" t="n">
        <v>712</v>
      </c>
      <c r="C1716" s="10" t="n">
        <v>4712</v>
      </c>
      <c r="D1716" s="10" t="inlineStr">
        <is>
          <t>0405640001</t>
        </is>
      </c>
      <c r="E1716" s="26" t="inlineStr">
        <is>
          <t>Region IV-A (CALABARZON)</t>
        </is>
      </c>
      <c r="F1716" s="26" t="inlineStr">
        <is>
          <t>Quezon</t>
        </is>
      </c>
      <c r="G1716" s="26" t="inlineStr">
        <is>
          <t>San Andres</t>
        </is>
      </c>
      <c r="H1716" s="26" t="inlineStr">
        <is>
          <t>Alibihaban</t>
        </is>
      </c>
      <c r="I1716" s="27" t="n">
        <v>13.327569</v>
      </c>
      <c r="J1716" s="27" t="n">
        <v>122.716008</v>
      </c>
      <c r="K1716" s="10" t="inlineStr">
        <is>
          <t>R</t>
        </is>
      </c>
      <c r="L1716" s="12" t="n">
        <v>1552</v>
      </c>
      <c r="M1716" s="14" t="n">
        <v>3.8</v>
      </c>
      <c r="N1716" s="12">
        <f>ROUND(L1716/M1716, 0)</f>
        <v/>
      </c>
      <c r="O1716" s="12">
        <f>ROUND(N1716*'Methodology &amp; Assumptions'!$B$5, 0)</f>
        <v/>
      </c>
      <c r="P1716" s="10" t="inlineStr">
        <is>
          <t>Single Carrier (Band n50, 100MHz TDD)</t>
        </is>
      </c>
      <c r="Q1716" s="13">
        <f>ROUNDUP(O1716/'Methodology &amp; Assumptions'!$B$6, 0)</f>
        <v/>
      </c>
      <c r="R1716" s="13" t="n">
        <v>1</v>
      </c>
      <c r="S1716" s="14" t="n">
        <v>4.21</v>
      </c>
      <c r="T1716" s="14" t="n">
        <v>31.73</v>
      </c>
      <c r="U1716" s="26">
        <f>IF(X1716&gt;='Methodology &amp; Assumptions'!$B$7, "Tier 1 Critical GIDA (Score ≥ 50.0)", IF(X1716&gt;='Methodology &amp; Assumptions'!$B$8, "Tier 2 High GIDA (Score 40.0–49.9)", "Tier 3 Moderate GIDA (Score &lt; 40.0)"))</f>
        <v/>
      </c>
      <c r="V1716" s="26">
        <f>IF(S1716&lt;='Methodology &amp; Assumptions'!$B$10, "Direct Optical Drop (&lt;3km)", IF(S1716&lt;='Methodology &amp; Assumptions'!$B$9, "Near Optical / Microwave (&lt;5km)", "Starlink Business LEO Satellite Backhaul (&gt;5km)"))</f>
        <v/>
      </c>
      <c r="W1716" s="28" t="n">
        <v>0.07200000000000001</v>
      </c>
      <c r="X1716" s="14" t="n">
        <v>42.01</v>
      </c>
      <c r="Y1716" s="14">
        <f>ROUND(MIN(100, (X1716/69.91)*100), 2)</f>
        <v/>
      </c>
    </row>
    <row r="1717">
      <c r="A1717" s="10" t="n">
        <v>5</v>
      </c>
      <c r="B1717" s="10" t="n">
        <v>713</v>
      </c>
      <c r="C1717" s="10" t="n">
        <v>4713</v>
      </c>
      <c r="D1717" s="10" t="inlineStr">
        <is>
          <t>PH0004713</t>
        </is>
      </c>
      <c r="E1717" s="26" t="inlineStr">
        <is>
          <t>XI</t>
        </is>
      </c>
      <c r="F1717" s="26" t="inlineStr">
        <is>
          <t>Davao Del Sur</t>
        </is>
      </c>
      <c r="G1717" s="26" t="inlineStr">
        <is>
          <t>Davao City</t>
        </is>
      </c>
      <c r="H1717" s="26" t="inlineStr">
        <is>
          <t>Matina Crossing</t>
        </is>
      </c>
      <c r="I1717" s="27" t="n">
        <v>7.079508</v>
      </c>
      <c r="J1717" s="27" t="n">
        <v>125.574042</v>
      </c>
      <c r="K1717" s="10" t="inlineStr">
        <is>
          <t>R</t>
        </is>
      </c>
      <c r="L1717" s="12" t="n">
        <v>2280</v>
      </c>
      <c r="M1717" s="14" t="n">
        <v>3.4</v>
      </c>
      <c r="N1717" s="12">
        <f>ROUND(L1717/M1717, 0)</f>
        <v/>
      </c>
      <c r="O1717" s="12">
        <f>ROUND(N1717*'Methodology &amp; Assumptions'!$B$5, 0)</f>
        <v/>
      </c>
      <c r="P1717" s="10" t="inlineStr">
        <is>
          <t>Single Carrier (Band n50, 100MHz TDD)</t>
        </is>
      </c>
      <c r="Q1717" s="13">
        <f>ROUNDUP(O1717/'Methodology &amp; Assumptions'!$B$6, 0)</f>
        <v/>
      </c>
      <c r="R1717" s="13" t="n">
        <v>1</v>
      </c>
      <c r="S1717" s="14" t="n">
        <v>1.25</v>
      </c>
      <c r="T1717" s="14" t="n">
        <v>2.35</v>
      </c>
      <c r="U1717" s="26">
        <f>IF(X1717&gt;='Methodology &amp; Assumptions'!$B$7, "Tier 1 Critical GIDA (Score ≥ 50.0)", IF(X1717&gt;='Methodology &amp; Assumptions'!$B$8, "Tier 2 High GIDA (Score 40.0–49.9)", "Tier 3 Moderate GIDA (Score &lt; 40.0)"))</f>
        <v/>
      </c>
      <c r="V1717" s="26">
        <f>IF(S1717&lt;='Methodology &amp; Assumptions'!$B$10, "Direct Optical Drop (&lt;3km)", IF(S1717&lt;='Methodology &amp; Assumptions'!$B$9, "Near Optical / Microwave (&lt;5km)", "Starlink Business LEO Satellite Backhaul (&gt;5km)"))</f>
        <v/>
      </c>
      <c r="W1717" s="28" t="n">
        <v>0.119</v>
      </c>
      <c r="X1717" s="14" t="n">
        <v>42.01</v>
      </c>
      <c r="Y1717" s="14">
        <f>ROUND(MIN(100, (X1717/69.91)*100), 2)</f>
        <v/>
      </c>
    </row>
    <row r="1718">
      <c r="A1718" s="10" t="n">
        <v>5</v>
      </c>
      <c r="B1718" s="10" t="n">
        <v>714</v>
      </c>
      <c r="C1718" s="10" t="n">
        <v>4714</v>
      </c>
      <c r="D1718" s="10" t="inlineStr">
        <is>
          <t>PH0004714</t>
        </is>
      </c>
      <c r="E1718" s="26" t="inlineStr">
        <is>
          <t>IV-A</t>
        </is>
      </c>
      <c r="F1718" s="26" t="inlineStr">
        <is>
          <t>Cavite</t>
        </is>
      </c>
      <c r="G1718" s="26" t="inlineStr">
        <is>
          <t>Imus City</t>
        </is>
      </c>
      <c r="H1718" s="26" t="inlineStr">
        <is>
          <t>Tanzang Luma IV</t>
        </is>
      </c>
      <c r="I1718" s="27" t="n">
        <v>14.247223</v>
      </c>
      <c r="J1718" s="27" t="n">
        <v>120.912842</v>
      </c>
      <c r="K1718" s="10" t="inlineStr">
        <is>
          <t>R</t>
        </is>
      </c>
      <c r="L1718" s="12" t="n">
        <v>2316</v>
      </c>
      <c r="M1718" s="14" t="n">
        <v>3.4</v>
      </c>
      <c r="N1718" s="12">
        <f>ROUND(L1718/M1718, 0)</f>
        <v/>
      </c>
      <c r="O1718" s="12">
        <f>ROUND(N1718*'Methodology &amp; Assumptions'!$B$5, 0)</f>
        <v/>
      </c>
      <c r="P1718" s="10" t="inlineStr">
        <is>
          <t>Single Carrier (Band n50, 100MHz TDD)</t>
        </is>
      </c>
      <c r="Q1718" s="13">
        <f>ROUNDUP(O1718/'Methodology &amp; Assumptions'!$B$6, 0)</f>
        <v/>
      </c>
      <c r="R1718" s="13" t="n">
        <v>1</v>
      </c>
      <c r="S1718" s="14" t="n">
        <v>5.23</v>
      </c>
      <c r="T1718" s="14" t="n">
        <v>4.56</v>
      </c>
      <c r="U1718" s="26">
        <f>IF(X1718&gt;='Methodology &amp; Assumptions'!$B$7, "Tier 1 Critical GIDA (Score ≥ 50.0)", IF(X1718&gt;='Methodology &amp; Assumptions'!$B$8, "Tier 2 High GIDA (Score 40.0–49.9)", "Tier 3 Moderate GIDA (Score &lt; 40.0)"))</f>
        <v/>
      </c>
      <c r="V1718" s="26">
        <f>IF(S1718&lt;='Methodology &amp; Assumptions'!$B$10, "Direct Optical Drop (&lt;3km)", IF(S1718&lt;='Methodology &amp; Assumptions'!$B$9, "Near Optical / Microwave (&lt;5km)", "Starlink Business LEO Satellite Backhaul (&gt;5km)"))</f>
        <v/>
      </c>
      <c r="W1718" s="28" t="n">
        <v>0.07200000000000001</v>
      </c>
      <c r="X1718" s="14" t="n">
        <v>42</v>
      </c>
      <c r="Y1718" s="14">
        <f>ROUND(MIN(100, (X1718/69.91)*100), 2)</f>
        <v/>
      </c>
    </row>
    <row r="1719">
      <c r="A1719" s="10" t="n">
        <v>5</v>
      </c>
      <c r="B1719" s="10" t="n">
        <v>715</v>
      </c>
      <c r="C1719" s="10" t="n">
        <v>4715</v>
      </c>
      <c r="D1719" s="10" t="inlineStr">
        <is>
          <t>1381300083</t>
        </is>
      </c>
      <c r="E1719" s="26" t="inlineStr">
        <is>
          <t>National Capital Region (NCR)</t>
        </is>
      </c>
      <c r="F1719" s="26" t="inlineStr">
        <is>
          <t>Second District (Not a Province)</t>
        </is>
      </c>
      <c r="G1719" s="26" t="inlineStr">
        <is>
          <t>Quezon City</t>
        </is>
      </c>
      <c r="H1719" s="26" t="inlineStr">
        <is>
          <t>Pinagkaisahan</t>
        </is>
      </c>
      <c r="I1719" s="27" t="n">
        <v>14.627386</v>
      </c>
      <c r="J1719" s="27" t="n">
        <v>121.04658</v>
      </c>
      <c r="K1719" s="10" t="inlineStr">
        <is>
          <t>U</t>
        </is>
      </c>
      <c r="L1719" s="12" t="n">
        <v>4549</v>
      </c>
      <c r="M1719" s="14" t="n">
        <v>3.8</v>
      </c>
      <c r="N1719" s="12">
        <f>ROUND(L1719/M1719, 0)</f>
        <v/>
      </c>
      <c r="O1719" s="12">
        <f>ROUND(N1719*'Methodology &amp; Assumptions'!$B$5, 0)</f>
        <v/>
      </c>
      <c r="P1719" s="10" t="inlineStr">
        <is>
          <t>Single Carrier (Band n50, 100MHz TDD)</t>
        </is>
      </c>
      <c r="Q1719" s="13">
        <f>ROUNDUP(O1719/'Methodology &amp; Assumptions'!$B$6, 0)</f>
        <v/>
      </c>
      <c r="R1719" s="13" t="n">
        <v>1</v>
      </c>
      <c r="S1719" s="14" t="n">
        <v>1.45</v>
      </c>
      <c r="T1719" s="14" t="n">
        <v>0.37</v>
      </c>
      <c r="U1719" s="26">
        <f>IF(X1719&gt;='Methodology &amp; Assumptions'!$B$7, "Tier 1 Critical GIDA (Score ≥ 50.0)", IF(X1719&gt;='Methodology &amp; Assumptions'!$B$8, "Tier 2 High GIDA (Score 40.0–49.9)", "Tier 3 Moderate GIDA (Score &lt; 40.0)"))</f>
        <v/>
      </c>
      <c r="V1719" s="26">
        <f>IF(S1719&lt;='Methodology &amp; Assumptions'!$B$10, "Direct Optical Drop (&lt;3km)", IF(S1719&lt;='Methodology &amp; Assumptions'!$B$9, "Near Optical / Microwave (&lt;5km)", "Starlink Business LEO Satellite Backhaul (&gt;5km)"))</f>
        <v/>
      </c>
      <c r="W1719" s="28" t="n">
        <v>0.109</v>
      </c>
      <c r="X1719" s="14" t="n">
        <v>42</v>
      </c>
      <c r="Y1719" s="14">
        <f>ROUND(MIN(100, (X1719/69.91)*100), 2)</f>
        <v/>
      </c>
    </row>
    <row r="1720">
      <c r="A1720" s="10" t="n">
        <v>5</v>
      </c>
      <c r="B1720" s="10" t="n">
        <v>716</v>
      </c>
      <c r="C1720" s="10" t="n">
        <v>4716</v>
      </c>
      <c r="D1720" s="10" t="inlineStr">
        <is>
          <t>1381300130</t>
        </is>
      </c>
      <c r="E1720" s="26" t="inlineStr">
        <is>
          <t>National Capital Region (NCR)</t>
        </is>
      </c>
      <c r="F1720" s="26" t="inlineStr">
        <is>
          <t>Second District (Not a Province)</t>
        </is>
      </c>
      <c r="G1720" s="26" t="inlineStr">
        <is>
          <t>Quezon City</t>
        </is>
      </c>
      <c r="H1720" s="26" t="inlineStr">
        <is>
          <t>Veterans Village</t>
        </is>
      </c>
      <c r="I1720" s="27" t="n">
        <v>14.654115</v>
      </c>
      <c r="J1720" s="27" t="n">
        <v>121.024693</v>
      </c>
      <c r="K1720" s="10" t="inlineStr">
        <is>
          <t>U</t>
        </is>
      </c>
      <c r="L1720" s="12" t="n">
        <v>13290</v>
      </c>
      <c r="M1720" s="14" t="n">
        <v>3.8</v>
      </c>
      <c r="N1720" s="12">
        <f>ROUND(L1720/M1720, 0)</f>
        <v/>
      </c>
      <c r="O1720" s="12">
        <f>ROUND(N1720*'Methodology &amp; Assumptions'!$B$5, 0)</f>
        <v/>
      </c>
      <c r="P1720" s="10" t="inlineStr">
        <is>
          <t>Single Carrier (Band n50, 100MHz TDD)</t>
        </is>
      </c>
      <c r="Q1720" s="13">
        <f>ROUNDUP(O1720/'Methodology &amp; Assumptions'!$B$6, 0)</f>
        <v/>
      </c>
      <c r="R1720" s="13" t="n">
        <v>1</v>
      </c>
      <c r="S1720" s="14" t="n">
        <v>1.04</v>
      </c>
      <c r="T1720" s="14" t="n">
        <v>0.48</v>
      </c>
      <c r="U1720" s="26">
        <f>IF(X1720&gt;='Methodology &amp; Assumptions'!$B$7, "Tier 1 Critical GIDA (Score ≥ 50.0)", IF(X1720&gt;='Methodology &amp; Assumptions'!$B$8, "Tier 2 High GIDA (Score 40.0–49.9)", "Tier 3 Moderate GIDA (Score &lt; 40.0)"))</f>
        <v/>
      </c>
      <c r="V1720" s="26">
        <f>IF(S1720&lt;='Methodology &amp; Assumptions'!$B$10, "Direct Optical Drop (&lt;3km)", IF(S1720&lt;='Methodology &amp; Assumptions'!$B$9, "Near Optical / Microwave (&lt;5km)", "Starlink Business LEO Satellite Backhaul (&gt;5km)"))</f>
        <v/>
      </c>
      <c r="W1720" s="28" t="n">
        <v>0.109</v>
      </c>
      <c r="X1720" s="14" t="n">
        <v>42</v>
      </c>
      <c r="Y1720" s="14">
        <f>ROUND(MIN(100, (X1720/69.91)*100), 2)</f>
        <v/>
      </c>
    </row>
    <row r="1721">
      <c r="A1721" s="10" t="n">
        <v>5</v>
      </c>
      <c r="B1721" s="10" t="n">
        <v>717</v>
      </c>
      <c r="C1721" s="10" t="n">
        <v>4717</v>
      </c>
      <c r="D1721" s="10" t="inlineStr">
        <is>
          <t>PH0004717</t>
        </is>
      </c>
      <c r="E1721" s="26" t="inlineStr">
        <is>
          <t>NIR</t>
        </is>
      </c>
      <c r="F1721" s="26" t="inlineStr">
        <is>
          <t>Negros Oriental</t>
        </is>
      </c>
      <c r="G1721" s="26" t="inlineStr">
        <is>
          <t>Dumaguete City</t>
        </is>
      </c>
      <c r="H1721" s="26" t="inlineStr">
        <is>
          <t>Poblacion No. 6</t>
        </is>
      </c>
      <c r="I1721" s="27" t="n">
        <v>9.306297000000001</v>
      </c>
      <c r="J1721" s="27" t="n">
        <v>123.283416</v>
      </c>
      <c r="K1721" s="10" t="inlineStr">
        <is>
          <t>R</t>
        </is>
      </c>
      <c r="L1721" s="12" t="n">
        <v>2279</v>
      </c>
      <c r="M1721" s="14" t="n">
        <v>3.8</v>
      </c>
      <c r="N1721" s="12">
        <f>ROUND(L1721/M1721, 0)</f>
        <v/>
      </c>
      <c r="O1721" s="12">
        <f>ROUND(N1721*'Methodology &amp; Assumptions'!$B$5, 0)</f>
        <v/>
      </c>
      <c r="P1721" s="10" t="inlineStr">
        <is>
          <t>Single Carrier (Band n50, 100MHz TDD)</t>
        </is>
      </c>
      <c r="Q1721" s="13">
        <f>ROUNDUP(O1721/'Methodology &amp; Assumptions'!$B$6, 0)</f>
        <v/>
      </c>
      <c r="R1721" s="13" t="n">
        <v>1</v>
      </c>
      <c r="S1721" s="14" t="n">
        <v>2.28</v>
      </c>
      <c r="T1721" s="14" t="n">
        <v>2.2</v>
      </c>
      <c r="U1721" s="26">
        <f>IF(X1721&gt;='Methodology &amp; Assumptions'!$B$7, "Tier 1 Critical GIDA (Score ≥ 50.0)", IF(X1721&gt;='Methodology &amp; Assumptions'!$B$8, "Tier 2 High GIDA (Score 40.0–49.9)", "Tier 3 Moderate GIDA (Score &lt; 40.0)"))</f>
        <v/>
      </c>
      <c r="V1721" s="26">
        <f>IF(S1721&lt;='Methodology &amp; Assumptions'!$B$10, "Direct Optical Drop (&lt;3km)", IF(S1721&lt;='Methodology &amp; Assumptions'!$B$9, "Near Optical / Microwave (&lt;5km)", "Starlink Business LEO Satellite Backhaul (&gt;5km)"))</f>
        <v/>
      </c>
      <c r="W1721" s="28" t="n">
        <v>0.109</v>
      </c>
      <c r="X1721" s="14" t="n">
        <v>42</v>
      </c>
      <c r="Y1721" s="14">
        <f>ROUND(MIN(100, (X1721/69.91)*100), 2)</f>
        <v/>
      </c>
    </row>
    <row r="1722">
      <c r="A1722" s="10" t="n">
        <v>5</v>
      </c>
      <c r="B1722" s="10" t="n">
        <v>718</v>
      </c>
      <c r="C1722" s="10" t="n">
        <v>4718</v>
      </c>
      <c r="D1722" s="10" t="inlineStr">
        <is>
          <t>PH0004718</t>
        </is>
      </c>
      <c r="E1722" s="26" t="inlineStr">
        <is>
          <t>IV-A</t>
        </is>
      </c>
      <c r="F1722" s="26" t="inlineStr">
        <is>
          <t>Cavite</t>
        </is>
      </c>
      <c r="G1722" s="26" t="inlineStr">
        <is>
          <t>Cavite City</t>
        </is>
      </c>
      <c r="H1722" s="26" t="inlineStr">
        <is>
          <t>Barangay 13</t>
        </is>
      </c>
      <c r="I1722" s="27" t="n">
        <v>14.473223</v>
      </c>
      <c r="J1722" s="27" t="n">
        <v>120.886658</v>
      </c>
      <c r="K1722" s="10" t="inlineStr">
        <is>
          <t>R</t>
        </is>
      </c>
      <c r="L1722" s="12" t="n">
        <v>2316</v>
      </c>
      <c r="M1722" s="14" t="n">
        <v>3.4</v>
      </c>
      <c r="N1722" s="12">
        <f>ROUND(L1722/M1722, 0)</f>
        <v/>
      </c>
      <c r="O1722" s="12">
        <f>ROUND(N1722*'Methodology &amp; Assumptions'!$B$5, 0)</f>
        <v/>
      </c>
      <c r="P1722" s="10" t="inlineStr">
        <is>
          <t>Single Carrier (Band n50, 100MHz TDD)</t>
        </is>
      </c>
      <c r="Q1722" s="13">
        <f>ROUNDUP(O1722/'Methodology &amp; Assumptions'!$B$6, 0)</f>
        <v/>
      </c>
      <c r="R1722" s="13" t="n">
        <v>1</v>
      </c>
      <c r="S1722" s="14" t="n">
        <v>0.2</v>
      </c>
      <c r="T1722" s="14" t="n">
        <v>4.25</v>
      </c>
      <c r="U1722" s="26">
        <f>IF(X1722&gt;='Methodology &amp; Assumptions'!$B$7, "Tier 1 Critical GIDA (Score ≥ 50.0)", IF(X1722&gt;='Methodology &amp; Assumptions'!$B$8, "Tier 2 High GIDA (Score 40.0–49.9)", "Tier 3 Moderate GIDA (Score &lt; 40.0)"))</f>
        <v/>
      </c>
      <c r="V1722" s="26">
        <f>IF(S1722&lt;='Methodology &amp; Assumptions'!$B$10, "Direct Optical Drop (&lt;3km)", IF(S1722&lt;='Methodology &amp; Assumptions'!$B$9, "Near Optical / Microwave (&lt;5km)", "Starlink Business LEO Satellite Backhaul (&gt;5km)"))</f>
        <v/>
      </c>
      <c r="W1722" s="28" t="n">
        <v>0.07200000000000001</v>
      </c>
      <c r="X1722" s="14" t="n">
        <v>41.99</v>
      </c>
      <c r="Y1722" s="14">
        <f>ROUND(MIN(100, (X1722/69.91)*100), 2)</f>
        <v/>
      </c>
    </row>
    <row r="1723">
      <c r="A1723" s="10" t="n">
        <v>5</v>
      </c>
      <c r="B1723" s="10" t="n">
        <v>719</v>
      </c>
      <c r="C1723" s="10" t="n">
        <v>4719</v>
      </c>
      <c r="D1723" s="10" t="inlineStr">
        <is>
          <t>0600606027</t>
        </is>
      </c>
      <c r="E1723" s="26" t="inlineStr">
        <is>
          <t>Region VI (Western Visayas)</t>
        </is>
      </c>
      <c r="F1723" s="26" t="inlineStr">
        <is>
          <t>Antique</t>
        </is>
      </c>
      <c r="G1723" s="26" t="inlineStr">
        <is>
          <t>Culasi</t>
        </is>
      </c>
      <c r="H1723" s="26" t="inlineStr">
        <is>
          <t>Maniguin</t>
        </is>
      </c>
      <c r="I1723" s="27" t="n">
        <v>11.598096</v>
      </c>
      <c r="J1723" s="27" t="n">
        <v>121.695709</v>
      </c>
      <c r="K1723" s="10" t="inlineStr">
        <is>
          <t>R</t>
        </is>
      </c>
      <c r="L1723" s="12" t="n">
        <v>793</v>
      </c>
      <c r="M1723" s="14" t="n">
        <v>3.9</v>
      </c>
      <c r="N1723" s="12">
        <f>ROUND(L1723/M1723, 0)</f>
        <v/>
      </c>
      <c r="O1723" s="12">
        <f>ROUND(N1723*'Methodology &amp; Assumptions'!$B$5, 0)</f>
        <v/>
      </c>
      <c r="P1723" s="10" t="inlineStr">
        <is>
          <t>Single Carrier (Band n50, 100MHz TDD)</t>
        </is>
      </c>
      <c r="Q1723" s="13">
        <f>ROUNDUP(O1723/'Methodology &amp; Assumptions'!$B$6, 0)</f>
        <v/>
      </c>
      <c r="R1723" s="13" t="n">
        <v>1</v>
      </c>
      <c r="S1723" s="14" t="n">
        <v>47.52</v>
      </c>
      <c r="T1723" s="14" t="n">
        <v>45.45</v>
      </c>
      <c r="U1723" s="26">
        <f>IF(X1723&gt;='Methodology &amp; Assumptions'!$B$7, "Tier 1 Critical GIDA (Score ≥ 50.0)", IF(X1723&gt;='Methodology &amp; Assumptions'!$B$8, "Tier 2 High GIDA (Score 40.0–49.9)", "Tier 3 Moderate GIDA (Score &lt; 40.0)"))</f>
        <v/>
      </c>
      <c r="V1723" s="26">
        <f>IF(S1723&lt;='Methodology &amp; Assumptions'!$B$10, "Direct Optical Drop (&lt;3km)", IF(S1723&lt;='Methodology &amp; Assumptions'!$B$9, "Near Optical / Microwave (&lt;5km)", "Starlink Business LEO Satellite Backhaul (&gt;5km)"))</f>
        <v/>
      </c>
      <c r="W1723" s="28" t="n">
        <v>0.237</v>
      </c>
      <c r="X1723" s="14" t="n">
        <v>41.99</v>
      </c>
      <c r="Y1723" s="14">
        <f>ROUND(MIN(100, (X1723/69.91)*100), 2)</f>
        <v/>
      </c>
    </row>
    <row r="1724">
      <c r="A1724" s="10" t="n">
        <v>5</v>
      </c>
      <c r="B1724" s="10" t="n">
        <v>720</v>
      </c>
      <c r="C1724" s="10" t="n">
        <v>4720</v>
      </c>
      <c r="D1724" s="10" t="inlineStr">
        <is>
          <t>1403211005</t>
        </is>
      </c>
      <c r="E1724" s="26" t="inlineStr">
        <is>
          <t>Cordillera Administrative Region (CAR)</t>
        </is>
      </c>
      <c r="F1724" s="26" t="inlineStr">
        <is>
          <t>Kalinga</t>
        </is>
      </c>
      <c r="G1724" s="26" t="inlineStr">
        <is>
          <t>Rizal</t>
        </is>
      </c>
      <c r="H1724" s="26" t="inlineStr">
        <is>
          <t>Kinama</t>
        </is>
      </c>
      <c r="I1724" s="27" t="n">
        <v>17.578322</v>
      </c>
      <c r="J1724" s="27" t="n">
        <v>121.515998</v>
      </c>
      <c r="K1724" s="10" t="inlineStr">
        <is>
          <t>R</t>
        </is>
      </c>
      <c r="L1724" s="12" t="n">
        <v>1011</v>
      </c>
      <c r="M1724" s="14" t="n">
        <v>3.6</v>
      </c>
      <c r="N1724" s="12">
        <f>ROUND(L1724/M1724, 0)</f>
        <v/>
      </c>
      <c r="O1724" s="12">
        <f>ROUND(N1724*'Methodology &amp; Assumptions'!$B$5, 0)</f>
        <v/>
      </c>
      <c r="P1724" s="10" t="inlineStr">
        <is>
          <t>Single Carrier (Band n50, 100MHz TDD)</t>
        </is>
      </c>
      <c r="Q1724" s="13">
        <f>ROUNDUP(O1724/'Methodology &amp; Assumptions'!$B$6, 0)</f>
        <v/>
      </c>
      <c r="R1724" s="13" t="n">
        <v>1</v>
      </c>
      <c r="S1724" s="14" t="n">
        <v>10.29</v>
      </c>
      <c r="T1724" s="14" t="n">
        <v>8.82</v>
      </c>
      <c r="U1724" s="26">
        <f>IF(X1724&gt;='Methodology &amp; Assumptions'!$B$7, "Tier 1 Critical GIDA (Score ≥ 50.0)", IF(X1724&gt;='Methodology &amp; Assumptions'!$B$8, "Tier 2 High GIDA (Score 40.0–49.9)", "Tier 3 Moderate GIDA (Score &lt; 40.0)"))</f>
        <v/>
      </c>
      <c r="V1724" s="26">
        <f>IF(S1724&lt;='Methodology &amp; Assumptions'!$B$10, "Direct Optical Drop (&lt;3km)", IF(S1724&lt;='Methodology &amp; Assumptions'!$B$9, "Near Optical / Microwave (&lt;5km)", "Starlink Business LEO Satellite Backhaul (&gt;5km)"))</f>
        <v/>
      </c>
      <c r="W1724" s="28" t="n">
        <v>0.109</v>
      </c>
      <c r="X1724" s="14" t="n">
        <v>41.99</v>
      </c>
      <c r="Y1724" s="14">
        <f>ROUND(MIN(100, (X1724/69.91)*100), 2)</f>
        <v/>
      </c>
    </row>
    <row r="1725">
      <c r="A1725" s="10" t="n">
        <v>5</v>
      </c>
      <c r="B1725" s="10" t="n">
        <v>721</v>
      </c>
      <c r="C1725" s="10" t="n">
        <v>4721</v>
      </c>
      <c r="D1725" s="10" t="inlineStr">
        <is>
          <t>0405603034</t>
        </is>
      </c>
      <c r="E1725" s="26" t="inlineStr">
        <is>
          <t>Region IV-A (CALABARZON)</t>
        </is>
      </c>
      <c r="F1725" s="26" t="inlineStr">
        <is>
          <t>Quezon</t>
        </is>
      </c>
      <c r="G1725" s="26" t="inlineStr">
        <is>
          <t>Atimonan</t>
        </is>
      </c>
      <c r="H1725" s="26" t="inlineStr">
        <is>
          <t>San Jose Balatok</t>
        </is>
      </c>
      <c r="I1725" s="27" t="n">
        <v>13.982179</v>
      </c>
      <c r="J1725" s="27" t="n">
        <v>121.904914</v>
      </c>
      <c r="K1725" s="10" t="inlineStr">
        <is>
          <t>R</t>
        </is>
      </c>
      <c r="L1725" s="12" t="n">
        <v>62</v>
      </c>
      <c r="M1725" s="14" t="n">
        <v>3.8</v>
      </c>
      <c r="N1725" s="12">
        <f>ROUND(L1725/M1725, 0)</f>
        <v/>
      </c>
      <c r="O1725" s="12">
        <f>ROUND(N1725*'Methodology &amp; Assumptions'!$B$5, 0)</f>
        <v/>
      </c>
      <c r="P1725" s="10" t="inlineStr">
        <is>
          <t>Single Carrier (Band n50, 100MHz TDD)</t>
        </is>
      </c>
      <c r="Q1725" s="13">
        <f>ROUNDUP(O1725/'Methodology &amp; Assumptions'!$B$6, 0)</f>
        <v/>
      </c>
      <c r="R1725" s="13" t="n">
        <v>1</v>
      </c>
      <c r="S1725" s="14" t="n">
        <v>3.02</v>
      </c>
      <c r="T1725" s="14" t="n">
        <v>0.98</v>
      </c>
      <c r="U1725" s="26">
        <f>IF(X1725&gt;='Methodology &amp; Assumptions'!$B$7, "Tier 1 Critical GIDA (Score ≥ 50.0)", IF(X1725&gt;='Methodology &amp; Assumptions'!$B$8, "Tier 2 High GIDA (Score 40.0–49.9)", "Tier 3 Moderate GIDA (Score &lt; 40.0)"))</f>
        <v/>
      </c>
      <c r="V1725" s="26">
        <f>IF(S1725&lt;='Methodology &amp; Assumptions'!$B$10, "Direct Optical Drop (&lt;3km)", IF(S1725&lt;='Methodology &amp; Assumptions'!$B$9, "Near Optical / Microwave (&lt;5km)", "Starlink Business LEO Satellite Backhaul (&gt;5km)"))</f>
        <v/>
      </c>
      <c r="W1725" s="28" t="n">
        <v>0.07200000000000001</v>
      </c>
      <c r="X1725" s="14" t="n">
        <v>41.99</v>
      </c>
      <c r="Y1725" s="14">
        <f>ROUND(MIN(100, (X1725/69.91)*100), 2)</f>
        <v/>
      </c>
    </row>
    <row r="1726">
      <c r="A1726" s="10" t="n">
        <v>5</v>
      </c>
      <c r="B1726" s="10" t="n">
        <v>722</v>
      </c>
      <c r="C1726" s="10" t="n">
        <v>4722</v>
      </c>
      <c r="D1726" s="10" t="inlineStr">
        <is>
          <t>1001307013</t>
        </is>
      </c>
      <c r="E1726" s="26" t="inlineStr">
        <is>
          <t>Region X (Northern Mindanao)</t>
        </is>
      </c>
      <c r="F1726" s="26" t="inlineStr">
        <is>
          <t>Bukidnon</t>
        </is>
      </c>
      <c r="G1726" s="26" t="inlineStr">
        <is>
          <t>Kalilangan</t>
        </is>
      </c>
      <c r="H1726" s="26" t="inlineStr">
        <is>
          <t>Ninoy Aquino</t>
        </is>
      </c>
      <c r="I1726" s="27" t="n">
        <v>7.768559</v>
      </c>
      <c r="J1726" s="27" t="n">
        <v>124.785742</v>
      </c>
      <c r="K1726" s="10" t="inlineStr">
        <is>
          <t>R</t>
        </is>
      </c>
      <c r="L1726" s="12" t="n">
        <v>5005</v>
      </c>
      <c r="M1726" s="14" t="n">
        <v>3.8</v>
      </c>
      <c r="N1726" s="12">
        <f>ROUND(L1726/M1726, 0)</f>
        <v/>
      </c>
      <c r="O1726" s="12">
        <f>ROUND(N1726*'Methodology &amp; Assumptions'!$B$5, 0)</f>
        <v/>
      </c>
      <c r="P1726" s="10" t="inlineStr">
        <is>
          <t>Single Carrier (Band n50, 100MHz TDD)</t>
        </is>
      </c>
      <c r="Q1726" s="13">
        <f>ROUNDUP(O1726/'Methodology &amp; Assumptions'!$B$6, 0)</f>
        <v/>
      </c>
      <c r="R1726" s="13" t="n">
        <v>1</v>
      </c>
      <c r="S1726" s="14" t="n">
        <v>17.02</v>
      </c>
      <c r="T1726" s="14" t="n">
        <v>18.67</v>
      </c>
      <c r="U1726" s="26">
        <f>IF(X1726&gt;='Methodology &amp; Assumptions'!$B$7, "Tier 1 Critical GIDA (Score ≥ 50.0)", IF(X1726&gt;='Methodology &amp; Assumptions'!$B$8, "Tier 2 High GIDA (Score 40.0–49.9)", "Tier 3 Moderate GIDA (Score &lt; 40.0)"))</f>
        <v/>
      </c>
      <c r="V1726" s="26">
        <f>IF(S1726&lt;='Methodology &amp; Assumptions'!$B$10, "Direct Optical Drop (&lt;3km)", IF(S1726&lt;='Methodology &amp; Assumptions'!$B$9, "Near Optical / Microwave (&lt;5km)", "Starlink Business LEO Satellite Backhaul (&gt;5km)"))</f>
        <v/>
      </c>
      <c r="W1726" s="28" t="n">
        <v>0.174</v>
      </c>
      <c r="X1726" s="14" t="n">
        <v>41.99</v>
      </c>
      <c r="Y1726" s="14">
        <f>ROUND(MIN(100, (X1726/69.91)*100), 2)</f>
        <v/>
      </c>
    </row>
    <row r="1727">
      <c r="A1727" s="10" t="n">
        <v>5</v>
      </c>
      <c r="B1727" s="10" t="n">
        <v>723</v>
      </c>
      <c r="C1727" s="10" t="n">
        <v>4723</v>
      </c>
      <c r="D1727" s="10" t="inlineStr">
        <is>
          <t>PH0004723</t>
        </is>
      </c>
      <c r="E1727" s="26" t="inlineStr">
        <is>
          <t>NIR</t>
        </is>
      </c>
      <c r="F1727" s="26" t="inlineStr">
        <is>
          <t>Negros Occidental</t>
        </is>
      </c>
      <c r="G1727" s="26" t="inlineStr">
        <is>
          <t>Bacolod City</t>
        </is>
      </c>
      <c r="H1727" s="26" t="inlineStr">
        <is>
          <t>Barangay 7 (Pob.)</t>
        </is>
      </c>
      <c r="I1727" s="27" t="n">
        <v>10.661938</v>
      </c>
      <c r="J1727" s="27" t="n">
        <v>122.944119</v>
      </c>
      <c r="K1727" s="10" t="inlineStr">
        <is>
          <t>R</t>
        </is>
      </c>
      <c r="L1727" s="12" t="n">
        <v>2279</v>
      </c>
      <c r="M1727" s="14" t="n">
        <v>3.8</v>
      </c>
      <c r="N1727" s="12">
        <f>ROUND(L1727/M1727, 0)</f>
        <v/>
      </c>
      <c r="O1727" s="12">
        <f>ROUND(N1727*'Methodology &amp; Assumptions'!$B$5, 0)</f>
        <v/>
      </c>
      <c r="P1727" s="10" t="inlineStr">
        <is>
          <t>Single Carrier (Band n50, 100MHz TDD)</t>
        </is>
      </c>
      <c r="Q1727" s="13">
        <f>ROUNDUP(O1727/'Methodology &amp; Assumptions'!$B$6, 0)</f>
        <v/>
      </c>
      <c r="R1727" s="13" t="n">
        <v>1</v>
      </c>
      <c r="S1727" s="14" t="n">
        <v>1.05</v>
      </c>
      <c r="T1727" s="14" t="n">
        <v>0.2</v>
      </c>
      <c r="U1727" s="26">
        <f>IF(X1727&gt;='Methodology &amp; Assumptions'!$B$7, "Tier 1 Critical GIDA (Score ≥ 50.0)", IF(X1727&gt;='Methodology &amp; Assumptions'!$B$8, "Tier 2 High GIDA (Score 40.0–49.9)", "Tier 3 Moderate GIDA (Score &lt; 40.0)"))</f>
        <v/>
      </c>
      <c r="V1727" s="26">
        <f>IF(S1727&lt;='Methodology &amp; Assumptions'!$B$10, "Direct Optical Drop (&lt;3km)", IF(S1727&lt;='Methodology &amp; Assumptions'!$B$9, "Near Optical / Microwave (&lt;5km)", "Starlink Business LEO Satellite Backhaul (&gt;5km)"))</f>
        <v/>
      </c>
      <c r="W1727" s="28" t="n">
        <v>0.109</v>
      </c>
      <c r="X1727" s="14" t="n">
        <v>41.98</v>
      </c>
      <c r="Y1727" s="14">
        <f>ROUND(MIN(100, (X1727/69.91)*100), 2)</f>
        <v/>
      </c>
    </row>
    <row r="1728">
      <c r="A1728" s="10" t="n">
        <v>5</v>
      </c>
      <c r="B1728" s="10" t="n">
        <v>724</v>
      </c>
      <c r="C1728" s="10" t="n">
        <v>4724</v>
      </c>
      <c r="D1728" s="10" t="inlineStr">
        <is>
          <t>0300803026</t>
        </is>
      </c>
      <c r="E1728" s="26" t="inlineStr">
        <is>
          <t>Region III (Central Luzon)</t>
        </is>
      </c>
      <c r="F1728" s="26" t="inlineStr">
        <is>
          <t>Bataan</t>
        </is>
      </c>
      <c r="G1728" s="26" t="inlineStr">
        <is>
          <t>City of Balanga</t>
        </is>
      </c>
      <c r="H1728" s="26" t="inlineStr">
        <is>
          <t>Doña Francisca</t>
        </is>
      </c>
      <c r="I1728" s="27" t="n">
        <v>14.684113</v>
      </c>
      <c r="J1728" s="27" t="n">
        <v>120.519418</v>
      </c>
      <c r="K1728" s="10" t="inlineStr">
        <is>
          <t>U</t>
        </is>
      </c>
      <c r="L1728" s="12" t="n">
        <v>2426</v>
      </c>
      <c r="M1728" s="14" t="n">
        <v>3.6</v>
      </c>
      <c r="N1728" s="12">
        <f>ROUND(L1728/M1728, 0)</f>
        <v/>
      </c>
      <c r="O1728" s="12">
        <f>ROUND(N1728*'Methodology &amp; Assumptions'!$B$5, 0)</f>
        <v/>
      </c>
      <c r="P1728" s="10" t="inlineStr">
        <is>
          <t>Single Carrier (Band n50, 100MHz TDD)</t>
        </is>
      </c>
      <c r="Q1728" s="13">
        <f>ROUNDUP(O1728/'Methodology &amp; Assumptions'!$B$6, 0)</f>
        <v/>
      </c>
      <c r="R1728" s="13" t="n">
        <v>1</v>
      </c>
      <c r="S1728" s="14" t="n">
        <v>2.19</v>
      </c>
      <c r="T1728" s="14" t="n">
        <v>0.34</v>
      </c>
      <c r="U1728" s="26">
        <f>IF(X1728&gt;='Methodology &amp; Assumptions'!$B$7, "Tier 1 Critical GIDA (Score ≥ 50.0)", IF(X1728&gt;='Methodology &amp; Assumptions'!$B$8, "Tier 2 High GIDA (Score 40.0–49.9)", "Tier 3 Moderate GIDA (Score &lt; 40.0)"))</f>
        <v/>
      </c>
      <c r="V1728" s="26">
        <f>IF(S1728&lt;='Methodology &amp; Assumptions'!$B$10, "Direct Optical Drop (&lt;3km)", IF(S1728&lt;='Methodology &amp; Assumptions'!$B$9, "Near Optical / Microwave (&lt;5km)", "Starlink Business LEO Satellite Backhaul (&gt;5km)"))</f>
        <v/>
      </c>
      <c r="W1728" s="28" t="n">
        <v>0.083</v>
      </c>
      <c r="X1728" s="14" t="n">
        <v>41.98</v>
      </c>
      <c r="Y1728" s="14">
        <f>ROUND(MIN(100, (X1728/69.91)*100), 2)</f>
        <v/>
      </c>
    </row>
    <row r="1729">
      <c r="A1729" s="10" t="n">
        <v>5</v>
      </c>
      <c r="B1729" s="10" t="n">
        <v>725</v>
      </c>
      <c r="C1729" s="10" t="n">
        <v>4725</v>
      </c>
      <c r="D1729" s="10" t="inlineStr">
        <is>
          <t>1381600018</t>
        </is>
      </c>
      <c r="E1729" s="26" t="inlineStr">
        <is>
          <t>National Capital Region (NCR)</t>
        </is>
      </c>
      <c r="F1729" s="26" t="inlineStr">
        <is>
          <t>Third District (Not a Province)</t>
        </is>
      </c>
      <c r="G1729" s="26" t="inlineStr">
        <is>
          <t>City of Valenzuela</t>
        </is>
      </c>
      <c r="H1729" s="26" t="inlineStr">
        <is>
          <t>Mapulang Lupa</t>
        </is>
      </c>
      <c r="I1729" s="27" t="n">
        <v>14.70189</v>
      </c>
      <c r="J1729" s="27" t="n">
        <v>121.000701</v>
      </c>
      <c r="K1729" s="10" t="inlineStr">
        <is>
          <t>U</t>
        </is>
      </c>
      <c r="L1729" s="12" t="n">
        <v>30793</v>
      </c>
      <c r="M1729" s="14" t="n">
        <v>3.5</v>
      </c>
      <c r="N1729" s="12">
        <f>ROUND(L1729/M1729, 0)</f>
        <v/>
      </c>
      <c r="O1729" s="12">
        <f>ROUND(N1729*'Methodology &amp; Assumptions'!$B$5, 0)</f>
        <v/>
      </c>
      <c r="P1729" s="10" t="inlineStr">
        <is>
          <t>Single Carrier (Band n50, 100MHz TDD)</t>
        </is>
      </c>
      <c r="Q1729" s="13">
        <f>ROUNDUP(O1729/'Methodology &amp; Assumptions'!$B$6, 0)</f>
        <v/>
      </c>
      <c r="R1729" s="13" t="n">
        <v>1</v>
      </c>
      <c r="S1729" s="14" t="n">
        <v>0.73</v>
      </c>
      <c r="T1729" s="14" t="n">
        <v>0.07000000000000001</v>
      </c>
      <c r="U1729" s="26">
        <f>IF(X1729&gt;='Methodology &amp; Assumptions'!$B$7, "Tier 1 Critical GIDA (Score ≥ 50.0)", IF(X1729&gt;='Methodology &amp; Assumptions'!$B$8, "Tier 2 High GIDA (Score 40.0–49.9)", "Tier 3 Moderate GIDA (Score &lt; 40.0)"))</f>
        <v/>
      </c>
      <c r="V1729" s="26">
        <f>IF(S1729&lt;='Methodology &amp; Assumptions'!$B$10, "Direct Optical Drop (&lt;3km)", IF(S1729&lt;='Methodology &amp; Assumptions'!$B$9, "Near Optical / Microwave (&lt;5km)", "Starlink Business LEO Satellite Backhaul (&gt;5km)"))</f>
        <v/>
      </c>
      <c r="W1729" s="28" t="n">
        <v>0.109</v>
      </c>
      <c r="X1729" s="14" t="n">
        <v>41.98</v>
      </c>
      <c r="Y1729" s="14">
        <f>ROUND(MIN(100, (X1729/69.91)*100), 2)</f>
        <v/>
      </c>
    </row>
    <row r="1730">
      <c r="A1730" s="10" t="n">
        <v>5</v>
      </c>
      <c r="B1730" s="10" t="n">
        <v>726</v>
      </c>
      <c r="C1730" s="10" t="n">
        <v>4726</v>
      </c>
      <c r="D1730" s="10" t="inlineStr">
        <is>
          <t>0103314022</t>
        </is>
      </c>
      <c r="E1730" s="26" t="inlineStr">
        <is>
          <t>Region I (Ilocos Region)</t>
        </is>
      </c>
      <c r="F1730" s="26" t="inlineStr">
        <is>
          <t>La Union</t>
        </is>
      </c>
      <c r="G1730" s="26" t="inlineStr">
        <is>
          <t>City of San Fernando</t>
        </is>
      </c>
      <c r="H1730" s="26" t="inlineStr">
        <is>
          <t>Catbangen</t>
        </is>
      </c>
      <c r="I1730" s="27" t="n">
        <v>16.612554</v>
      </c>
      <c r="J1730" s="27" t="n">
        <v>120.312426</v>
      </c>
      <c r="K1730" s="10" t="inlineStr">
        <is>
          <t>U</t>
        </is>
      </c>
      <c r="L1730" s="12" t="n">
        <v>9670</v>
      </c>
      <c r="M1730" s="14" t="n">
        <v>3.7</v>
      </c>
      <c r="N1730" s="12">
        <f>ROUND(L1730/M1730, 0)</f>
        <v/>
      </c>
      <c r="O1730" s="12">
        <f>ROUND(N1730*'Methodology &amp; Assumptions'!$B$5, 0)</f>
        <v/>
      </c>
      <c r="P1730" s="10" t="inlineStr">
        <is>
          <t>Single Carrier (Band n50, 100MHz TDD)</t>
        </is>
      </c>
      <c r="Q1730" s="13">
        <f>ROUNDUP(O1730/'Methodology &amp; Assumptions'!$B$6, 0)</f>
        <v/>
      </c>
      <c r="R1730" s="13" t="n">
        <v>1</v>
      </c>
      <c r="S1730" s="14" t="n">
        <v>1.15</v>
      </c>
      <c r="T1730" s="14" t="n">
        <v>0.4</v>
      </c>
      <c r="U1730" s="26">
        <f>IF(X1730&gt;='Methodology &amp; Assumptions'!$B$7, "Tier 1 Critical GIDA (Score ≥ 50.0)", IF(X1730&gt;='Methodology &amp; Assumptions'!$B$8, "Tier 2 High GIDA (Score 40.0–49.9)", "Tier 3 Moderate GIDA (Score &lt; 40.0)"))</f>
        <v/>
      </c>
      <c r="V1730" s="26">
        <f>IF(S1730&lt;='Methodology &amp; Assumptions'!$B$10, "Direct Optical Drop (&lt;3km)", IF(S1730&lt;='Methodology &amp; Assumptions'!$B$9, "Near Optical / Microwave (&lt;5km)", "Starlink Business LEO Satellite Backhaul (&gt;5km)"))</f>
        <v/>
      </c>
      <c r="W1730" s="28" t="n">
        <v>0.083</v>
      </c>
      <c r="X1730" s="14" t="n">
        <v>41.98</v>
      </c>
      <c r="Y1730" s="14">
        <f>ROUND(MIN(100, (X1730/69.91)*100), 2)</f>
        <v/>
      </c>
    </row>
    <row r="1731">
      <c r="A1731" s="10" t="n">
        <v>5</v>
      </c>
      <c r="B1731" s="10" t="n">
        <v>727</v>
      </c>
      <c r="C1731" s="10" t="n">
        <v>4727</v>
      </c>
      <c r="D1731" s="10" t="inlineStr">
        <is>
          <t>0203111010</t>
        </is>
      </c>
      <c r="E1731" s="26" t="inlineStr">
        <is>
          <t>Region II (Cagayan Valley)</t>
        </is>
      </c>
      <c r="F1731" s="26" t="inlineStr">
        <is>
          <t>Isabela</t>
        </is>
      </c>
      <c r="G1731" s="26" t="inlineStr">
        <is>
          <t>Divilacan</t>
        </is>
      </c>
      <c r="H1731" s="26" t="inlineStr">
        <is>
          <t>Dimasalansan</t>
        </is>
      </c>
      <c r="I1731" s="27" t="n">
        <v>17.310413</v>
      </c>
      <c r="J1731" s="27" t="n">
        <v>122.396074</v>
      </c>
      <c r="K1731" s="10" t="inlineStr">
        <is>
          <t>R</t>
        </is>
      </c>
      <c r="L1731" s="12" t="n">
        <v>381</v>
      </c>
      <c r="M1731" s="14" t="n">
        <v>3.8</v>
      </c>
      <c r="N1731" s="12">
        <f>ROUND(L1731/M1731, 0)</f>
        <v/>
      </c>
      <c r="O1731" s="12">
        <f>ROUND(N1731*'Methodology &amp; Assumptions'!$B$5, 0)</f>
        <v/>
      </c>
      <c r="P1731" s="10" t="inlineStr">
        <is>
          <t>Single Carrier (Band n50, 100MHz TDD)</t>
        </is>
      </c>
      <c r="Q1731" s="13">
        <f>ROUNDUP(O1731/'Methodology &amp; Assumptions'!$B$6, 0)</f>
        <v/>
      </c>
      <c r="R1731" s="13" t="n">
        <v>1</v>
      </c>
      <c r="S1731" s="14" t="n">
        <v>47.48</v>
      </c>
      <c r="T1731" s="14" t="n">
        <v>53.08</v>
      </c>
      <c r="U1731" s="26">
        <f>IF(X1731&gt;='Methodology &amp; Assumptions'!$B$7, "Tier 1 Critical GIDA (Score ≥ 50.0)", IF(X1731&gt;='Methodology &amp; Assumptions'!$B$8, "Tier 2 High GIDA (Score 40.0–49.9)", "Tier 3 Moderate GIDA (Score &lt; 40.0)"))</f>
        <v/>
      </c>
      <c r="V1731" s="26">
        <f>IF(S1731&lt;='Methodology &amp; Assumptions'!$B$10, "Direct Optical Drop (&lt;3km)", IF(S1731&lt;='Methodology &amp; Assumptions'!$B$9, "Near Optical / Microwave (&lt;5km)", "Starlink Business LEO Satellite Backhaul (&gt;5km)"))</f>
        <v/>
      </c>
      <c r="W1731" s="28" t="n">
        <v>0.083</v>
      </c>
      <c r="X1731" s="14" t="n">
        <v>41.98</v>
      </c>
      <c r="Y1731" s="14">
        <f>ROUND(MIN(100, (X1731/69.91)*100), 2)</f>
        <v/>
      </c>
    </row>
    <row r="1732">
      <c r="A1732" s="10" t="n">
        <v>5</v>
      </c>
      <c r="B1732" s="10" t="n">
        <v>728</v>
      </c>
      <c r="C1732" s="10" t="n">
        <v>4728</v>
      </c>
      <c r="D1732" s="10" t="inlineStr">
        <is>
          <t>1606818020</t>
        </is>
      </c>
      <c r="E1732" s="26" t="inlineStr">
        <is>
          <t>Region XIII (Caraga)</t>
        </is>
      </c>
      <c r="F1732" s="26" t="inlineStr">
        <is>
          <t>Surigao del Sur</t>
        </is>
      </c>
      <c r="G1732" s="26" t="inlineStr">
        <is>
          <t>Tago</t>
        </is>
      </c>
      <c r="H1732" s="26" t="inlineStr">
        <is>
          <t>Umbay</t>
        </is>
      </c>
      <c r="I1732" s="27" t="n">
        <v>8.977599</v>
      </c>
      <c r="J1732" s="27" t="n">
        <v>126.177284</v>
      </c>
      <c r="K1732" s="10" t="inlineStr">
        <is>
          <t>R</t>
        </is>
      </c>
      <c r="L1732" s="12" t="n">
        <v>454</v>
      </c>
      <c r="M1732" s="14" t="n">
        <v>4.1</v>
      </c>
      <c r="N1732" s="12">
        <f>ROUND(L1732/M1732, 0)</f>
        <v/>
      </c>
      <c r="O1732" s="12">
        <f>ROUND(N1732*'Methodology &amp; Assumptions'!$B$5, 0)</f>
        <v/>
      </c>
      <c r="P1732" s="10" t="inlineStr">
        <is>
          <t>Single Carrier (Band n50, 100MHz TDD)</t>
        </is>
      </c>
      <c r="Q1732" s="13">
        <f>ROUNDUP(O1732/'Methodology &amp; Assumptions'!$B$6, 0)</f>
        <v/>
      </c>
      <c r="R1732" s="13" t="n">
        <v>1</v>
      </c>
      <c r="S1732" s="14" t="n">
        <v>11.26</v>
      </c>
      <c r="T1732" s="14" t="n">
        <v>2.09</v>
      </c>
      <c r="U1732" s="26">
        <f>IF(X1732&gt;='Methodology &amp; Assumptions'!$B$7, "Tier 1 Critical GIDA (Score ≥ 50.0)", IF(X1732&gt;='Methodology &amp; Assumptions'!$B$8, "Tier 2 High GIDA (Score 40.0–49.9)", "Tier 3 Moderate GIDA (Score &lt; 40.0)"))</f>
        <v/>
      </c>
      <c r="V1732" s="26">
        <f>IF(S1732&lt;='Methodology &amp; Assumptions'!$B$10, "Direct Optical Drop (&lt;3km)", IF(S1732&lt;='Methodology &amp; Assumptions'!$B$9, "Near Optical / Microwave (&lt;5km)", "Starlink Business LEO Satellite Backhaul (&gt;5km)"))</f>
        <v/>
      </c>
      <c r="W1732" s="28" t="n">
        <v>0.174</v>
      </c>
      <c r="X1732" s="14" t="n">
        <v>41.97</v>
      </c>
      <c r="Y1732" s="14">
        <f>ROUND(MIN(100, (X1732/69.91)*100), 2)</f>
        <v/>
      </c>
    </row>
    <row r="1733">
      <c r="A1733" s="10" t="n">
        <v>5</v>
      </c>
      <c r="B1733" s="10" t="n">
        <v>729</v>
      </c>
      <c r="C1733" s="10" t="n">
        <v>4729</v>
      </c>
      <c r="D1733" s="10" t="inlineStr">
        <is>
          <t>PH0004729</t>
        </is>
      </c>
      <c r="E1733" s="26" t="inlineStr">
        <is>
          <t>NCR</t>
        </is>
      </c>
      <c r="F1733" s="26" t="inlineStr">
        <is>
          <t>Metro Manila</t>
        </is>
      </c>
      <c r="G1733" s="26" t="inlineStr">
        <is>
          <t>Caloocan City</t>
        </is>
      </c>
      <c r="H1733" s="26" t="inlineStr">
        <is>
          <t>Barangay 161</t>
        </is>
      </c>
      <c r="I1733" s="27" t="n">
        <v>12.164469</v>
      </c>
      <c r="J1733" s="27" t="n">
        <v>123.183406</v>
      </c>
      <c r="K1733" s="10" t="inlineStr">
        <is>
          <t>R</t>
        </is>
      </c>
      <c r="L1733" s="12" t="n">
        <v>2279</v>
      </c>
      <c r="M1733" s="14" t="n">
        <v>3.8</v>
      </c>
      <c r="N1733" s="12">
        <f>ROUND(L1733/M1733, 0)</f>
        <v/>
      </c>
      <c r="O1733" s="12">
        <f>ROUND(N1733*'Methodology &amp; Assumptions'!$B$5, 0)</f>
        <v/>
      </c>
      <c r="P1733" s="10" t="inlineStr">
        <is>
          <t>Single Carrier (Band n50, 100MHz TDD)</t>
        </is>
      </c>
      <c r="Q1733" s="13">
        <f>ROUNDUP(O1733/'Methodology &amp; Assumptions'!$B$6, 0)</f>
        <v/>
      </c>
      <c r="R1733" s="13" t="n">
        <v>1</v>
      </c>
      <c r="S1733" s="14" t="n">
        <v>12.17</v>
      </c>
      <c r="T1733" s="14" t="n">
        <v>25.39</v>
      </c>
      <c r="U1733" s="26">
        <f>IF(X1733&gt;='Methodology &amp; Assumptions'!$B$7, "Tier 1 Critical GIDA (Score ≥ 50.0)", IF(X1733&gt;='Methodology &amp; Assumptions'!$B$8, "Tier 2 High GIDA (Score 40.0–49.9)", "Tier 3 Moderate GIDA (Score &lt; 40.0)"))</f>
        <v/>
      </c>
      <c r="V1733" s="26">
        <f>IF(S1733&lt;='Methodology &amp; Assumptions'!$B$10, "Direct Optical Drop (&lt;3km)", IF(S1733&lt;='Methodology &amp; Assumptions'!$B$9, "Near Optical / Microwave (&lt;5km)", "Starlink Business LEO Satellite Backhaul (&gt;5km)"))</f>
        <v/>
      </c>
      <c r="W1733" s="28" t="n">
        <v>0.011</v>
      </c>
      <c r="X1733" s="14" t="n">
        <v>41.97</v>
      </c>
      <c r="Y1733" s="14">
        <f>ROUND(MIN(100, (X1733/69.91)*100), 2)</f>
        <v/>
      </c>
    </row>
    <row r="1734">
      <c r="A1734" s="10" t="n">
        <v>5</v>
      </c>
      <c r="B1734" s="10" t="n">
        <v>730</v>
      </c>
      <c r="C1734" s="10" t="n">
        <v>4730</v>
      </c>
      <c r="D1734" s="10" t="inlineStr">
        <is>
          <t>0102910005</t>
        </is>
      </c>
      <c r="E1734" s="26" t="inlineStr">
        <is>
          <t>Region I (Ilocos Region)</t>
        </is>
      </c>
      <c r="F1734" s="26" t="inlineStr">
        <is>
          <t>Ilocos Sur</t>
        </is>
      </c>
      <c r="G1734" s="26" t="inlineStr">
        <is>
          <t>Gregorio del Pilar</t>
        </is>
      </c>
      <c r="H1734" s="26" t="inlineStr">
        <is>
          <t>Matue-Butarag</t>
        </is>
      </c>
      <c r="I1734" s="27" t="n">
        <v>17.15152</v>
      </c>
      <c r="J1734" s="27" t="n">
        <v>120.597549</v>
      </c>
      <c r="K1734" s="10" t="inlineStr">
        <is>
          <t>R</t>
        </is>
      </c>
      <c r="L1734" s="12" t="n">
        <v>700</v>
      </c>
      <c r="M1734" s="14" t="n">
        <v>3.8</v>
      </c>
      <c r="N1734" s="12">
        <f>ROUND(L1734/M1734, 0)</f>
        <v/>
      </c>
      <c r="O1734" s="12">
        <f>ROUND(N1734*'Methodology &amp; Assumptions'!$B$5, 0)</f>
        <v/>
      </c>
      <c r="P1734" s="10" t="inlineStr">
        <is>
          <t>Single Carrier (Band n50, 100MHz TDD)</t>
        </is>
      </c>
      <c r="Q1734" s="13">
        <f>ROUNDUP(O1734/'Methodology &amp; Assumptions'!$B$6, 0)</f>
        <v/>
      </c>
      <c r="R1734" s="13" t="n">
        <v>1</v>
      </c>
      <c r="S1734" s="14" t="n">
        <v>6.36</v>
      </c>
      <c r="T1734" s="14" t="n">
        <v>5.32</v>
      </c>
      <c r="U1734" s="26">
        <f>IF(X1734&gt;='Methodology &amp; Assumptions'!$B$7, "Tier 1 Critical GIDA (Score ≥ 50.0)", IF(X1734&gt;='Methodology &amp; Assumptions'!$B$8, "Tier 2 High GIDA (Score 40.0–49.9)", "Tier 3 Moderate GIDA (Score &lt; 40.0)"))</f>
        <v/>
      </c>
      <c r="V1734" s="26">
        <f>IF(S1734&lt;='Methodology &amp; Assumptions'!$B$10, "Direct Optical Drop (&lt;3km)", IF(S1734&lt;='Methodology &amp; Assumptions'!$B$9, "Near Optical / Microwave (&lt;5km)", "Starlink Business LEO Satellite Backhaul (&gt;5km)"))</f>
        <v/>
      </c>
      <c r="W1734" s="28" t="n">
        <v>0.083</v>
      </c>
      <c r="X1734" s="14" t="n">
        <v>41.97</v>
      </c>
      <c r="Y1734" s="14">
        <f>ROUND(MIN(100, (X1734/69.91)*100), 2)</f>
        <v/>
      </c>
    </row>
    <row r="1735">
      <c r="A1735" s="10" t="n">
        <v>5</v>
      </c>
      <c r="B1735" s="10" t="n">
        <v>731</v>
      </c>
      <c r="C1735" s="10" t="n">
        <v>4731</v>
      </c>
      <c r="D1735" s="10" t="inlineStr">
        <is>
          <t>1381300091</t>
        </is>
      </c>
      <c r="E1735" s="26" t="inlineStr">
        <is>
          <t>National Capital Region (NCR)</t>
        </is>
      </c>
      <c r="F1735" s="26" t="inlineStr">
        <is>
          <t>Second District (Not a Province)</t>
        </is>
      </c>
      <c r="G1735" s="26" t="inlineStr">
        <is>
          <t>Quezon City</t>
        </is>
      </c>
      <c r="H1735" s="26" t="inlineStr">
        <is>
          <t>Sacred Heart</t>
        </is>
      </c>
      <c r="I1735" s="27" t="n">
        <v>14.629784</v>
      </c>
      <c r="J1735" s="27" t="n">
        <v>121.036645</v>
      </c>
      <c r="K1735" s="10" t="inlineStr">
        <is>
          <t>U</t>
        </is>
      </c>
      <c r="L1735" s="12" t="n">
        <v>6345</v>
      </c>
      <c r="M1735" s="14" t="n">
        <v>3.8</v>
      </c>
      <c r="N1735" s="12">
        <f>ROUND(L1735/M1735, 0)</f>
        <v/>
      </c>
      <c r="O1735" s="12">
        <f>ROUND(N1735*'Methodology &amp; Assumptions'!$B$5, 0)</f>
        <v/>
      </c>
      <c r="P1735" s="10" t="inlineStr">
        <is>
          <t>Single Carrier (Band n50, 100MHz TDD)</t>
        </is>
      </c>
      <c r="Q1735" s="13">
        <f>ROUNDUP(O1735/'Methodology &amp; Assumptions'!$B$6, 0)</f>
        <v/>
      </c>
      <c r="R1735" s="13" t="n">
        <v>1</v>
      </c>
      <c r="S1735" s="14" t="n">
        <v>1.16</v>
      </c>
      <c r="T1735" s="14" t="n">
        <v>0.25</v>
      </c>
      <c r="U1735" s="26">
        <f>IF(X1735&gt;='Methodology &amp; Assumptions'!$B$7, "Tier 1 Critical GIDA (Score ≥ 50.0)", IF(X1735&gt;='Methodology &amp; Assumptions'!$B$8, "Tier 2 High GIDA (Score 40.0–49.9)", "Tier 3 Moderate GIDA (Score &lt; 40.0)"))</f>
        <v/>
      </c>
      <c r="V1735" s="26">
        <f>IF(S1735&lt;='Methodology &amp; Assumptions'!$B$10, "Direct Optical Drop (&lt;3km)", IF(S1735&lt;='Methodology &amp; Assumptions'!$B$9, "Near Optical / Microwave (&lt;5km)", "Starlink Business LEO Satellite Backhaul (&gt;5km)"))</f>
        <v/>
      </c>
      <c r="W1735" s="28" t="n">
        <v>0.109</v>
      </c>
      <c r="X1735" s="14" t="n">
        <v>41.97</v>
      </c>
      <c r="Y1735" s="14">
        <f>ROUND(MIN(100, (X1735/69.91)*100), 2)</f>
        <v/>
      </c>
    </row>
    <row r="1736">
      <c r="A1736" s="10" t="n">
        <v>5</v>
      </c>
      <c r="B1736" s="10" t="n">
        <v>732</v>
      </c>
      <c r="C1736" s="10" t="n">
        <v>4732</v>
      </c>
      <c r="D1736" s="10" t="inlineStr">
        <is>
          <t>1001308034</t>
        </is>
      </c>
      <c r="E1736" s="26" t="inlineStr">
        <is>
          <t>Region X (Northern Mindanao)</t>
        </is>
      </c>
      <c r="F1736" s="26" t="inlineStr">
        <is>
          <t>Bukidnon</t>
        </is>
      </c>
      <c r="G1736" s="26" t="inlineStr">
        <is>
          <t>Kibawe</t>
        </is>
      </c>
      <c r="H1736" s="26" t="inlineStr">
        <is>
          <t>Tumaras</t>
        </is>
      </c>
      <c r="I1736" s="27" t="n">
        <v>7.514394</v>
      </c>
      <c r="J1736" s="27" t="n">
        <v>125.017891</v>
      </c>
      <c r="K1736" s="10" t="inlineStr">
        <is>
          <t>R</t>
        </is>
      </c>
      <c r="L1736" s="12" t="n">
        <v>985</v>
      </c>
      <c r="M1736" s="14" t="n">
        <v>3.8</v>
      </c>
      <c r="N1736" s="12">
        <f>ROUND(L1736/M1736, 0)</f>
        <v/>
      </c>
      <c r="O1736" s="12">
        <f>ROUND(N1736*'Methodology &amp; Assumptions'!$B$5, 0)</f>
        <v/>
      </c>
      <c r="P1736" s="10" t="inlineStr">
        <is>
          <t>Single Carrier (Band n50, 100MHz TDD)</t>
        </is>
      </c>
      <c r="Q1736" s="13">
        <f>ROUNDUP(O1736/'Methodology &amp; Assumptions'!$B$6, 0)</f>
        <v/>
      </c>
      <c r="R1736" s="13" t="n">
        <v>1</v>
      </c>
      <c r="S1736" s="14" t="n">
        <v>6.78</v>
      </c>
      <c r="T1736" s="14" t="n">
        <v>6.54</v>
      </c>
      <c r="U1736" s="26">
        <f>IF(X1736&gt;='Methodology &amp; Assumptions'!$B$7, "Tier 1 Critical GIDA (Score ≥ 50.0)", IF(X1736&gt;='Methodology &amp; Assumptions'!$B$8, "Tier 2 High GIDA (Score 40.0–49.9)", "Tier 3 Moderate GIDA (Score &lt; 40.0)"))</f>
        <v/>
      </c>
      <c r="V1736" s="26">
        <f>IF(S1736&lt;='Methodology &amp; Assumptions'!$B$10, "Direct Optical Drop (&lt;3km)", IF(S1736&lt;='Methodology &amp; Assumptions'!$B$9, "Near Optical / Microwave (&lt;5km)", "Starlink Business LEO Satellite Backhaul (&gt;5km)"))</f>
        <v/>
      </c>
      <c r="W1736" s="28" t="n">
        <v>0.174</v>
      </c>
      <c r="X1736" s="14" t="n">
        <v>41.96</v>
      </c>
      <c r="Y1736" s="14">
        <f>ROUND(MIN(100, (X1736/69.91)*100), 2)</f>
        <v/>
      </c>
    </row>
    <row r="1737">
      <c r="A1737" s="10" t="n">
        <v>5</v>
      </c>
      <c r="B1737" s="10" t="n">
        <v>733</v>
      </c>
      <c r="C1737" s="10" t="n">
        <v>4733</v>
      </c>
      <c r="D1737" s="10" t="inlineStr">
        <is>
          <t>0504107013</t>
        </is>
      </c>
      <c r="E1737" s="26" t="inlineStr">
        <is>
          <t>Region V (Bicol Region)</t>
        </is>
      </c>
      <c r="F1737" s="26" t="inlineStr">
        <is>
          <t>Masbate</t>
        </is>
      </c>
      <c r="G1737" s="26" t="inlineStr">
        <is>
          <t>Claveria</t>
        </is>
      </c>
      <c r="H1737" s="26" t="inlineStr">
        <is>
          <t>Nonoc</t>
        </is>
      </c>
      <c r="I1737" s="27" t="n">
        <v>12.921219</v>
      </c>
      <c r="J1737" s="27" t="n">
        <v>123.174343</v>
      </c>
      <c r="K1737" s="10" t="inlineStr">
        <is>
          <t>R</t>
        </is>
      </c>
      <c r="L1737" s="12" t="n">
        <v>1634</v>
      </c>
      <c r="M1737" s="14" t="n">
        <v>4.1</v>
      </c>
      <c r="N1737" s="12">
        <f>ROUND(L1737/M1737, 0)</f>
        <v/>
      </c>
      <c r="O1737" s="12">
        <f>ROUND(N1737*'Methodology &amp; Assumptions'!$B$5, 0)</f>
        <v/>
      </c>
      <c r="P1737" s="10" t="inlineStr">
        <is>
          <t>Single Carrier (Band n50, 100MHz TDD)</t>
        </is>
      </c>
      <c r="Q1737" s="13">
        <f>ROUNDUP(O1737/'Methodology &amp; Assumptions'!$B$6, 0)</f>
        <v/>
      </c>
      <c r="R1737" s="13" t="n">
        <v>1</v>
      </c>
      <c r="S1737" s="14" t="n">
        <v>21.8</v>
      </c>
      <c r="T1737" s="14" t="n">
        <v>51.58</v>
      </c>
      <c r="U1737" s="26">
        <f>IF(X1737&gt;='Methodology &amp; Assumptions'!$B$7, "Tier 1 Critical GIDA (Score ≥ 50.0)", IF(X1737&gt;='Methodology &amp; Assumptions'!$B$8, "Tier 2 High GIDA (Score 40.0–49.9)", "Tier 3 Moderate GIDA (Score &lt; 40.0)"))</f>
        <v/>
      </c>
      <c r="V1737" s="26">
        <f>IF(S1737&lt;='Methodology &amp; Assumptions'!$B$10, "Direct Optical Drop (&lt;3km)", IF(S1737&lt;='Methodology &amp; Assumptions'!$B$9, "Near Optical / Microwave (&lt;5km)", "Starlink Business LEO Satellite Backhaul (&gt;5km)"))</f>
        <v/>
      </c>
      <c r="W1737" s="28" t="n">
        <v>0.237</v>
      </c>
      <c r="X1737" s="14" t="n">
        <v>41.96</v>
      </c>
      <c r="Y1737" s="14">
        <f>ROUND(MIN(100, (X1737/69.91)*100), 2)</f>
        <v/>
      </c>
    </row>
    <row r="1738">
      <c r="A1738" s="10" t="n">
        <v>5</v>
      </c>
      <c r="B1738" s="10" t="n">
        <v>734</v>
      </c>
      <c r="C1738" s="10" t="n">
        <v>4734</v>
      </c>
      <c r="D1738" s="10" t="inlineStr">
        <is>
          <t>1400109003</t>
        </is>
      </c>
      <c r="E1738" s="26" t="inlineStr">
        <is>
          <t>Cordillera Administrative Region (CAR)</t>
        </is>
      </c>
      <c r="F1738" s="26" t="inlineStr">
        <is>
          <t>Abra</t>
        </is>
      </c>
      <c r="G1738" s="26" t="inlineStr">
        <is>
          <t>Lacub</t>
        </is>
      </c>
      <c r="H1738" s="26" t="inlineStr">
        <is>
          <t>Guinguinabang</t>
        </is>
      </c>
      <c r="I1738" s="27" t="n">
        <v>17.689671</v>
      </c>
      <c r="J1738" s="27" t="n">
        <v>120.957866</v>
      </c>
      <c r="K1738" s="10" t="inlineStr">
        <is>
          <t>R</t>
        </is>
      </c>
      <c r="L1738" s="12" t="n">
        <v>311</v>
      </c>
      <c r="M1738" s="14" t="n">
        <v>3.8</v>
      </c>
      <c r="N1738" s="12">
        <f>ROUND(L1738/M1738, 0)</f>
        <v/>
      </c>
      <c r="O1738" s="12">
        <f>ROUND(N1738*'Methodology &amp; Assumptions'!$B$5, 0)</f>
        <v/>
      </c>
      <c r="P1738" s="10" t="inlineStr">
        <is>
          <t>Single Carrier (Band n50, 100MHz TDD)</t>
        </is>
      </c>
      <c r="Q1738" s="13">
        <f>ROUNDUP(O1738/'Methodology &amp; Assumptions'!$B$6, 0)</f>
        <v/>
      </c>
      <c r="R1738" s="13" t="n">
        <v>1</v>
      </c>
      <c r="S1738" s="14" t="n">
        <v>31.02</v>
      </c>
      <c r="T1738" s="14" t="n">
        <v>30.96</v>
      </c>
      <c r="U1738" s="26">
        <f>IF(X1738&gt;='Methodology &amp; Assumptions'!$B$7, "Tier 1 Critical GIDA (Score ≥ 50.0)", IF(X1738&gt;='Methodology &amp; Assumptions'!$B$8, "Tier 2 High GIDA (Score 40.0–49.9)", "Tier 3 Moderate GIDA (Score &lt; 40.0)"))</f>
        <v/>
      </c>
      <c r="V1738" s="26">
        <f>IF(S1738&lt;='Methodology &amp; Assumptions'!$B$10, "Direct Optical Drop (&lt;3km)", IF(S1738&lt;='Methodology &amp; Assumptions'!$B$9, "Near Optical / Microwave (&lt;5km)", "Starlink Business LEO Satellite Backhaul (&gt;5km)"))</f>
        <v/>
      </c>
      <c r="W1738" s="28" t="n">
        <v>0.109</v>
      </c>
      <c r="X1738" s="14" t="n">
        <v>41.95</v>
      </c>
      <c r="Y1738" s="14">
        <f>ROUND(MIN(100, (X1738/69.91)*100), 2)</f>
        <v/>
      </c>
    </row>
    <row r="1739">
      <c r="A1739" s="10" t="n">
        <v>5</v>
      </c>
      <c r="B1739" s="10" t="n">
        <v>735</v>
      </c>
      <c r="C1739" s="10" t="n">
        <v>4735</v>
      </c>
      <c r="D1739" s="10" t="inlineStr">
        <is>
          <t>0305405028</t>
        </is>
      </c>
      <c r="E1739" s="26" t="inlineStr">
        <is>
          <t>Region III (Central Luzon)</t>
        </is>
      </c>
      <c r="F1739" s="26" t="inlineStr">
        <is>
          <t>Pampanga</t>
        </is>
      </c>
      <c r="G1739" s="26" t="inlineStr">
        <is>
          <t>Candaba</t>
        </is>
      </c>
      <c r="H1739" s="26" t="inlineStr">
        <is>
          <t>Salapungan</t>
        </is>
      </c>
      <c r="I1739" s="27" t="n">
        <v>15.138095</v>
      </c>
      <c r="J1739" s="27" t="n">
        <v>120.934467</v>
      </c>
      <c r="K1739" s="10" t="inlineStr">
        <is>
          <t>U</t>
        </is>
      </c>
      <c r="L1739" s="12" t="n">
        <v>5325</v>
      </c>
      <c r="M1739" s="14" t="n">
        <v>4</v>
      </c>
      <c r="N1739" s="12">
        <f>ROUND(L1739/M1739, 0)</f>
        <v/>
      </c>
      <c r="O1739" s="12">
        <f>ROUND(N1739*'Methodology &amp; Assumptions'!$B$5, 0)</f>
        <v/>
      </c>
      <c r="P1739" s="10" t="inlineStr">
        <is>
          <t>Single Carrier (Band n50, 100MHz TDD)</t>
        </is>
      </c>
      <c r="Q1739" s="13">
        <f>ROUNDUP(O1739/'Methodology &amp; Assumptions'!$B$6, 0)</f>
        <v/>
      </c>
      <c r="R1739" s="13" t="n">
        <v>1</v>
      </c>
      <c r="S1739" s="14" t="n">
        <v>3.17</v>
      </c>
      <c r="T1739" s="14" t="n">
        <v>2.28</v>
      </c>
      <c r="U1739" s="26">
        <f>IF(X1739&gt;='Methodology &amp; Assumptions'!$B$7, "Tier 1 Critical GIDA (Score ≥ 50.0)", IF(X1739&gt;='Methodology &amp; Assumptions'!$B$8, "Tier 2 High GIDA (Score 40.0–49.9)", "Tier 3 Moderate GIDA (Score &lt; 40.0)"))</f>
        <v/>
      </c>
      <c r="V1739" s="26">
        <f>IF(S1739&lt;='Methodology &amp; Assumptions'!$B$10, "Direct Optical Drop (&lt;3km)", IF(S1739&lt;='Methodology &amp; Assumptions'!$B$9, "Near Optical / Microwave (&lt;5km)", "Starlink Business LEO Satellite Backhaul (&gt;5km)"))</f>
        <v/>
      </c>
      <c r="W1739" s="28" t="n">
        <v>0.083</v>
      </c>
      <c r="X1739" s="14" t="n">
        <v>41.95</v>
      </c>
      <c r="Y1739" s="14">
        <f>ROUND(MIN(100, (X1739/69.91)*100), 2)</f>
        <v/>
      </c>
    </row>
    <row r="1740">
      <c r="A1740" s="10" t="n">
        <v>5</v>
      </c>
      <c r="B1740" s="10" t="n">
        <v>736</v>
      </c>
      <c r="C1740" s="10" t="n">
        <v>4736</v>
      </c>
      <c r="D1740" s="10" t="inlineStr">
        <is>
          <t>0405803006</t>
        </is>
      </c>
      <c r="E1740" s="26" t="inlineStr">
        <is>
          <t>Region IV-A (CALABARZON)</t>
        </is>
      </c>
      <c r="F1740" s="26" t="inlineStr">
        <is>
          <t>Rizal</t>
        </is>
      </c>
      <c r="G1740" s="26" t="inlineStr">
        <is>
          <t>Baras</t>
        </is>
      </c>
      <c r="H1740" s="26" t="inlineStr">
        <is>
          <t>Concepcion</t>
        </is>
      </c>
      <c r="I1740" s="27" t="n">
        <v>14.521515</v>
      </c>
      <c r="J1740" s="27" t="n">
        <v>121.267867</v>
      </c>
      <c r="K1740" s="10" t="inlineStr">
        <is>
          <t>R</t>
        </is>
      </c>
      <c r="L1740" s="12" t="n">
        <v>1095</v>
      </c>
      <c r="M1740" s="14" t="n">
        <v>3.6</v>
      </c>
      <c r="N1740" s="12">
        <f>ROUND(L1740/M1740, 0)</f>
        <v/>
      </c>
      <c r="O1740" s="12">
        <f>ROUND(N1740*'Methodology &amp; Assumptions'!$B$5, 0)</f>
        <v/>
      </c>
      <c r="P1740" s="10" t="inlineStr">
        <is>
          <t>Single Carrier (Band n50, 100MHz TDD)</t>
        </is>
      </c>
      <c r="Q1740" s="13">
        <f>ROUNDUP(O1740/'Methodology &amp; Assumptions'!$B$6, 0)</f>
        <v/>
      </c>
      <c r="R1740" s="13" t="n">
        <v>1</v>
      </c>
      <c r="S1740" s="14" t="n">
        <v>0.5600000000000001</v>
      </c>
      <c r="T1740" s="14" t="n">
        <v>0.12</v>
      </c>
      <c r="U1740" s="26">
        <f>IF(X1740&gt;='Methodology &amp; Assumptions'!$B$7, "Tier 1 Critical GIDA (Score ≥ 50.0)", IF(X1740&gt;='Methodology &amp; Assumptions'!$B$8, "Tier 2 High GIDA (Score 40.0–49.9)", "Tier 3 Moderate GIDA (Score &lt; 40.0)"))</f>
        <v/>
      </c>
      <c r="V1740" s="26">
        <f>IF(S1740&lt;='Methodology &amp; Assumptions'!$B$10, "Direct Optical Drop (&lt;3km)", IF(S1740&lt;='Methodology &amp; Assumptions'!$B$9, "Near Optical / Microwave (&lt;5km)", "Starlink Business LEO Satellite Backhaul (&gt;5km)"))</f>
        <v/>
      </c>
      <c r="W1740" s="28" t="n">
        <v>0.07200000000000001</v>
      </c>
      <c r="X1740" s="14" t="n">
        <v>41.94</v>
      </c>
      <c r="Y1740" s="14">
        <f>ROUND(MIN(100, (X1740/69.91)*100), 2)</f>
        <v/>
      </c>
    </row>
    <row r="1741">
      <c r="A1741" s="10" t="n">
        <v>5</v>
      </c>
      <c r="B1741" s="10" t="n">
        <v>737</v>
      </c>
      <c r="C1741" s="10" t="n">
        <v>4737</v>
      </c>
      <c r="D1741" s="10" t="inlineStr">
        <is>
          <t>0402117018</t>
        </is>
      </c>
      <c r="E1741" s="26" t="inlineStr">
        <is>
          <t>Region IV-A (CALABARZON)</t>
        </is>
      </c>
      <c r="F1741" s="26" t="inlineStr">
        <is>
          <t>Cavite</t>
        </is>
      </c>
      <c r="G1741" s="26" t="inlineStr">
        <is>
          <t>Rosario</t>
        </is>
      </c>
      <c r="H1741" s="26" t="inlineStr">
        <is>
          <t>Sapa IV</t>
        </is>
      </c>
      <c r="I1741" s="27" t="n">
        <v>14.414008</v>
      </c>
      <c r="J1741" s="27" t="n">
        <v>120.863044</v>
      </c>
      <c r="K1741" s="10" t="inlineStr">
        <is>
          <t>R</t>
        </is>
      </c>
      <c r="L1741" s="12" t="n">
        <v>1019</v>
      </c>
      <c r="M1741" s="14" t="n">
        <v>3.4</v>
      </c>
      <c r="N1741" s="12">
        <f>ROUND(L1741/M1741, 0)</f>
        <v/>
      </c>
      <c r="O1741" s="12">
        <f>ROUND(N1741*'Methodology &amp; Assumptions'!$B$5, 0)</f>
        <v/>
      </c>
      <c r="P1741" s="10" t="inlineStr">
        <is>
          <t>Single Carrier (Band n50, 100MHz TDD)</t>
        </is>
      </c>
      <c r="Q1741" s="13">
        <f>ROUNDUP(O1741/'Methodology &amp; Assumptions'!$B$6, 0)</f>
        <v/>
      </c>
      <c r="R1741" s="13" t="n">
        <v>1</v>
      </c>
      <c r="S1741" s="14" t="n">
        <v>1.76</v>
      </c>
      <c r="T1741" s="14" t="n">
        <v>1.77</v>
      </c>
      <c r="U1741" s="26">
        <f>IF(X1741&gt;='Methodology &amp; Assumptions'!$B$7, "Tier 1 Critical GIDA (Score ≥ 50.0)", IF(X1741&gt;='Methodology &amp; Assumptions'!$B$8, "Tier 2 High GIDA (Score 40.0–49.9)", "Tier 3 Moderate GIDA (Score &lt; 40.0)"))</f>
        <v/>
      </c>
      <c r="V1741" s="26">
        <f>IF(S1741&lt;='Methodology &amp; Assumptions'!$B$10, "Direct Optical Drop (&lt;3km)", IF(S1741&lt;='Methodology &amp; Assumptions'!$B$9, "Near Optical / Microwave (&lt;5km)", "Starlink Business LEO Satellite Backhaul (&gt;5km)"))</f>
        <v/>
      </c>
      <c r="W1741" s="28" t="n">
        <v>0.07200000000000001</v>
      </c>
      <c r="X1741" s="14" t="n">
        <v>41.94</v>
      </c>
      <c r="Y1741" s="14">
        <f>ROUND(MIN(100, (X1741/69.91)*100), 2)</f>
        <v/>
      </c>
    </row>
    <row r="1742">
      <c r="A1742" s="10" t="n">
        <v>5</v>
      </c>
      <c r="B1742" s="10" t="n">
        <v>738</v>
      </c>
      <c r="C1742" s="10" t="n">
        <v>4738</v>
      </c>
      <c r="D1742" s="10" t="inlineStr">
        <is>
          <t>PH0004738</t>
        </is>
      </c>
      <c r="E1742" s="26" t="inlineStr">
        <is>
          <t>BARMM (LaMa+SGA)</t>
        </is>
      </c>
      <c r="F1742" s="26" t="inlineStr">
        <is>
          <t>Lanao Del Sur</t>
        </is>
      </c>
      <c r="G1742" s="26" t="inlineStr">
        <is>
          <t>Sultan Gumander (Picong)</t>
        </is>
      </c>
      <c r="H1742" s="26" t="inlineStr">
        <is>
          <t>Biasong</t>
        </is>
      </c>
      <c r="I1742" s="27" t="n">
        <v>17.254677</v>
      </c>
      <c r="J1742" s="27" t="n">
        <v>122.228721</v>
      </c>
      <c r="K1742" s="10" t="inlineStr">
        <is>
          <t>R</t>
        </is>
      </c>
      <c r="L1742" s="12" t="n">
        <v>2518</v>
      </c>
      <c r="M1742" s="14" t="n">
        <v>5.7</v>
      </c>
      <c r="N1742" s="12">
        <f>ROUND(L1742/M1742, 0)</f>
        <v/>
      </c>
      <c r="O1742" s="12">
        <f>ROUND(N1742*'Methodology &amp; Assumptions'!$B$5, 0)</f>
        <v/>
      </c>
      <c r="P1742" s="10" t="inlineStr">
        <is>
          <t>Single Carrier (Band n50, 100MHz TDD)</t>
        </is>
      </c>
      <c r="Q1742" s="13">
        <f>ROUNDUP(O1742/'Methodology &amp; Assumptions'!$B$6, 0)</f>
        <v/>
      </c>
      <c r="R1742" s="13" t="n">
        <v>1</v>
      </c>
      <c r="S1742" s="14" t="n">
        <v>29.39</v>
      </c>
      <c r="T1742" s="14" t="n">
        <v>34.28</v>
      </c>
      <c r="U1742" s="26">
        <f>IF(X1742&gt;='Methodology &amp; Assumptions'!$B$7, "Tier 1 Critical GIDA (Score ≥ 50.0)", IF(X1742&gt;='Methodology &amp; Assumptions'!$B$8, "Tier 2 High GIDA (Score 40.0–49.9)", "Tier 3 Moderate GIDA (Score &lt; 40.0)"))</f>
        <v/>
      </c>
      <c r="V1742" s="26">
        <f>IF(S1742&lt;='Methodology &amp; Assumptions'!$B$10, "Direct Optical Drop (&lt;3km)", IF(S1742&lt;='Methodology &amp; Assumptions'!$B$9, "Near Optical / Microwave (&lt;5km)", "Starlink Business LEO Satellite Backhaul (&gt;5km)"))</f>
        <v/>
      </c>
      <c r="W1742" s="28" t="n">
        <v>0.235</v>
      </c>
      <c r="X1742" s="14" t="n">
        <v>41.94</v>
      </c>
      <c r="Y1742" s="14">
        <f>ROUND(MIN(100, (X1742/69.91)*100), 2)</f>
        <v/>
      </c>
    </row>
    <row r="1743">
      <c r="A1743" s="10" t="n">
        <v>5</v>
      </c>
      <c r="B1743" s="10" t="n">
        <v>739</v>
      </c>
      <c r="C1743" s="10" t="n">
        <v>4739</v>
      </c>
      <c r="D1743" s="10" t="inlineStr">
        <is>
          <t>0501711002</t>
        </is>
      </c>
      <c r="E1743" s="26" t="inlineStr">
        <is>
          <t>Region V (Bicol Region)</t>
        </is>
      </c>
      <c r="F1743" s="26" t="inlineStr">
        <is>
          <t>Camarines Sur</t>
        </is>
      </c>
      <c r="G1743" s="26" t="inlineStr">
        <is>
          <t>Caramoan</t>
        </is>
      </c>
      <c r="H1743" s="26" t="inlineStr">
        <is>
          <t>Antolon</t>
        </is>
      </c>
      <c r="I1743" s="27" t="n">
        <v>13.79345</v>
      </c>
      <c r="J1743" s="27" t="n">
        <v>123.759866</v>
      </c>
      <c r="K1743" s="10" t="inlineStr">
        <is>
          <t>R</t>
        </is>
      </c>
      <c r="L1743" s="12" t="n">
        <v>595</v>
      </c>
      <c r="M1743" s="14" t="n">
        <v>4.2</v>
      </c>
      <c r="N1743" s="12">
        <f>ROUND(L1743/M1743, 0)</f>
        <v/>
      </c>
      <c r="O1743" s="12">
        <f>ROUND(N1743*'Methodology &amp; Assumptions'!$B$5, 0)</f>
        <v/>
      </c>
      <c r="P1743" s="10" t="inlineStr">
        <is>
          <t>Single Carrier (Band n50, 100MHz TDD)</t>
        </is>
      </c>
      <c r="Q1743" s="13">
        <f>ROUNDUP(O1743/'Methodology &amp; Assumptions'!$B$6, 0)</f>
        <v/>
      </c>
      <c r="R1743" s="13" t="n">
        <v>1</v>
      </c>
      <c r="S1743" s="14" t="n">
        <v>11.39</v>
      </c>
      <c r="T1743" s="14" t="n">
        <v>31.05</v>
      </c>
      <c r="U1743" s="26">
        <f>IF(X1743&gt;='Methodology &amp; Assumptions'!$B$7, "Tier 1 Critical GIDA (Score ≥ 50.0)", IF(X1743&gt;='Methodology &amp; Assumptions'!$B$8, "Tier 2 High GIDA (Score 40.0–49.9)", "Tier 3 Moderate GIDA (Score &lt; 40.0)"))</f>
        <v/>
      </c>
      <c r="V1743" s="26">
        <f>IF(S1743&lt;='Methodology &amp; Assumptions'!$B$10, "Direct Optical Drop (&lt;3km)", IF(S1743&lt;='Methodology &amp; Assumptions'!$B$9, "Near Optical / Microwave (&lt;5km)", "Starlink Business LEO Satellite Backhaul (&gt;5km)"))</f>
        <v/>
      </c>
      <c r="W1743" s="28" t="n">
        <v>0.237</v>
      </c>
      <c r="X1743" s="14" t="n">
        <v>41.94</v>
      </c>
      <c r="Y1743" s="14">
        <f>ROUND(MIN(100, (X1743/69.91)*100), 2)</f>
        <v/>
      </c>
    </row>
    <row r="1744">
      <c r="A1744" s="10" t="n">
        <v>5</v>
      </c>
      <c r="B1744" s="10" t="n">
        <v>740</v>
      </c>
      <c r="C1744" s="10" t="n">
        <v>4740</v>
      </c>
      <c r="D1744" s="10" t="inlineStr">
        <is>
          <t>1408104008</t>
        </is>
      </c>
      <c r="E1744" s="26" t="inlineStr">
        <is>
          <t>Cordillera Administrative Region (CAR)</t>
        </is>
      </c>
      <c r="F1744" s="26" t="inlineStr">
        <is>
          <t>Apayao</t>
        </is>
      </c>
      <c r="G1744" s="26" t="inlineStr">
        <is>
          <t>Kabugao</t>
        </is>
      </c>
      <c r="H1744" s="26" t="inlineStr">
        <is>
          <t>Karagawan</t>
        </is>
      </c>
      <c r="I1744" s="27" t="n">
        <v>17.916986</v>
      </c>
      <c r="J1744" s="27" t="n">
        <v>121.161059</v>
      </c>
      <c r="K1744" s="10" t="inlineStr">
        <is>
          <t>R</t>
        </is>
      </c>
      <c r="L1744" s="12" t="n">
        <v>688</v>
      </c>
      <c r="M1744" s="14" t="n">
        <v>4.2</v>
      </c>
      <c r="N1744" s="12">
        <f>ROUND(L1744/M1744, 0)</f>
        <v/>
      </c>
      <c r="O1744" s="12">
        <f>ROUND(N1744*'Methodology &amp; Assumptions'!$B$5, 0)</f>
        <v/>
      </c>
      <c r="P1744" s="10" t="inlineStr">
        <is>
          <t>Single Carrier (Band n50, 100MHz TDD)</t>
        </is>
      </c>
      <c r="Q1744" s="13">
        <f>ROUNDUP(O1744/'Methodology &amp; Assumptions'!$B$6, 0)</f>
        <v/>
      </c>
      <c r="R1744" s="13" t="n">
        <v>1</v>
      </c>
      <c r="S1744" s="14" t="n">
        <v>11.6</v>
      </c>
      <c r="T1744" s="14" t="n">
        <v>5.88</v>
      </c>
      <c r="U1744" s="26">
        <f>IF(X1744&gt;='Methodology &amp; Assumptions'!$B$7, "Tier 1 Critical GIDA (Score ≥ 50.0)", IF(X1744&gt;='Methodology &amp; Assumptions'!$B$8, "Tier 2 High GIDA (Score 40.0–49.9)", "Tier 3 Moderate GIDA (Score &lt; 40.0)"))</f>
        <v/>
      </c>
      <c r="V1744" s="26">
        <f>IF(S1744&lt;='Methodology &amp; Assumptions'!$B$10, "Direct Optical Drop (&lt;3km)", IF(S1744&lt;='Methodology &amp; Assumptions'!$B$9, "Near Optical / Microwave (&lt;5km)", "Starlink Business LEO Satellite Backhaul (&gt;5km)"))</f>
        <v/>
      </c>
      <c r="W1744" s="28" t="n">
        <v>0.109</v>
      </c>
      <c r="X1744" s="14" t="n">
        <v>41.94</v>
      </c>
      <c r="Y1744" s="14">
        <f>ROUND(MIN(100, (X1744/69.91)*100), 2)</f>
        <v/>
      </c>
    </row>
    <row r="1745">
      <c r="A1745" s="10" t="n">
        <v>5</v>
      </c>
      <c r="B1745" s="10" t="n">
        <v>741</v>
      </c>
      <c r="C1745" s="10" t="n">
        <v>4741</v>
      </c>
      <c r="D1745" s="10" t="inlineStr">
        <is>
          <t>1402711003</t>
        </is>
      </c>
      <c r="E1745" s="26" t="inlineStr">
        <is>
          <t>Cordillera Administrative Region (CAR)</t>
        </is>
      </c>
      <c r="F1745" s="26" t="inlineStr">
        <is>
          <t>Ifugao</t>
        </is>
      </c>
      <c r="G1745" s="26" t="inlineStr">
        <is>
          <t>Asipulo</t>
        </is>
      </c>
      <c r="H1745" s="26" t="inlineStr">
        <is>
          <t>Camandag</t>
        </is>
      </c>
      <c r="I1745" s="27" t="n">
        <v>16.576459</v>
      </c>
      <c r="J1745" s="27" t="n">
        <v>121.01487</v>
      </c>
      <c r="K1745" s="10" t="inlineStr">
        <is>
          <t>R</t>
        </is>
      </c>
      <c r="L1745" s="12" t="n">
        <v>4217</v>
      </c>
      <c r="M1745" s="14" t="n">
        <v>3.9</v>
      </c>
      <c r="N1745" s="12">
        <f>ROUND(L1745/M1745, 0)</f>
        <v/>
      </c>
      <c r="O1745" s="12">
        <f>ROUND(N1745*'Methodology &amp; Assumptions'!$B$5, 0)</f>
        <v/>
      </c>
      <c r="P1745" s="10" t="inlineStr">
        <is>
          <t>Single Carrier (Band n50, 100MHz TDD)</t>
        </is>
      </c>
      <c r="Q1745" s="13">
        <f>ROUNDUP(O1745/'Methodology &amp; Assumptions'!$B$6, 0)</f>
        <v/>
      </c>
      <c r="R1745" s="13" t="n">
        <v>1</v>
      </c>
      <c r="S1745" s="14" t="n">
        <v>17.2</v>
      </c>
      <c r="T1745" s="14" t="n">
        <v>15.7</v>
      </c>
      <c r="U1745" s="26">
        <f>IF(X1745&gt;='Methodology &amp; Assumptions'!$B$7, "Tier 1 Critical GIDA (Score ≥ 50.0)", IF(X1745&gt;='Methodology &amp; Assumptions'!$B$8, "Tier 2 High GIDA (Score 40.0–49.9)", "Tier 3 Moderate GIDA (Score &lt; 40.0)"))</f>
        <v/>
      </c>
      <c r="V1745" s="26">
        <f>IF(S1745&lt;='Methodology &amp; Assumptions'!$B$10, "Direct Optical Drop (&lt;3km)", IF(S1745&lt;='Methodology &amp; Assumptions'!$B$9, "Near Optical / Microwave (&lt;5km)", "Starlink Business LEO Satellite Backhaul (&gt;5km)"))</f>
        <v/>
      </c>
      <c r="W1745" s="28" t="n">
        <v>0.109</v>
      </c>
      <c r="X1745" s="14" t="n">
        <v>41.94</v>
      </c>
      <c r="Y1745" s="14">
        <f>ROUND(MIN(100, (X1745/69.91)*100), 2)</f>
        <v/>
      </c>
    </row>
    <row r="1746">
      <c r="A1746" s="10" t="n">
        <v>5</v>
      </c>
      <c r="B1746" s="10" t="n">
        <v>742</v>
      </c>
      <c r="C1746" s="10" t="n">
        <v>4742</v>
      </c>
      <c r="D1746" s="10" t="inlineStr">
        <is>
          <t>0200902008</t>
        </is>
      </c>
      <c r="E1746" s="26" t="inlineStr">
        <is>
          <t>Region II (Cagayan Valley)</t>
        </is>
      </c>
      <c r="F1746" s="26" t="inlineStr">
        <is>
          <t>Batanes</t>
        </is>
      </c>
      <c r="G1746" s="26" t="inlineStr">
        <is>
          <t>Itbayat</t>
        </is>
      </c>
      <c r="H1746" s="26" t="inlineStr">
        <is>
          <t>Santa Lucia</t>
        </is>
      </c>
      <c r="I1746" s="27" t="n">
        <v>20.767405</v>
      </c>
      <c r="J1746" s="27" t="n">
        <v>121.822628</v>
      </c>
      <c r="K1746" s="10" t="inlineStr">
        <is>
          <t>R</t>
        </is>
      </c>
      <c r="L1746" s="12" t="n">
        <v>440</v>
      </c>
      <c r="M1746" s="14" t="n">
        <v>3</v>
      </c>
      <c r="N1746" s="12">
        <f>ROUND(L1746/M1746, 0)</f>
        <v/>
      </c>
      <c r="O1746" s="12">
        <f>ROUND(N1746*'Methodology &amp; Assumptions'!$B$5, 0)</f>
        <v/>
      </c>
      <c r="P1746" s="10" t="inlineStr">
        <is>
          <t>Single Carrier (Band n50, 100MHz TDD)</t>
        </is>
      </c>
      <c r="Q1746" s="13">
        <f>ROUNDUP(O1746/'Methodology &amp; Assumptions'!$B$6, 0)</f>
        <v/>
      </c>
      <c r="R1746" s="13" t="n">
        <v>1</v>
      </c>
      <c r="S1746" s="14" t="n">
        <v>999</v>
      </c>
      <c r="T1746" s="14" t="n">
        <v>999</v>
      </c>
      <c r="U1746" s="26">
        <f>IF(X1746&gt;='Methodology &amp; Assumptions'!$B$7, "Tier 1 Critical GIDA (Score ≥ 50.0)", IF(X1746&gt;='Methodology &amp; Assumptions'!$B$8, "Tier 2 High GIDA (Score 40.0–49.9)", "Tier 3 Moderate GIDA (Score &lt; 40.0)"))</f>
        <v/>
      </c>
      <c r="V1746" s="26">
        <f>IF(S1746&lt;='Methodology &amp; Assumptions'!$B$10, "Direct Optical Drop (&lt;3km)", IF(S1746&lt;='Methodology &amp; Assumptions'!$B$9, "Near Optical / Microwave (&lt;5km)", "Starlink Business LEO Satellite Backhaul (&gt;5km)"))</f>
        <v/>
      </c>
      <c r="W1746" s="28" t="n">
        <v>0.083</v>
      </c>
      <c r="X1746" s="14" t="n">
        <v>41.93</v>
      </c>
      <c r="Y1746" s="14">
        <f>ROUND(MIN(100, (X1746/69.91)*100), 2)</f>
        <v/>
      </c>
    </row>
    <row r="1747">
      <c r="A1747" s="10" t="n">
        <v>5</v>
      </c>
      <c r="B1747" s="10" t="n">
        <v>743</v>
      </c>
      <c r="C1747" s="10" t="n">
        <v>4743</v>
      </c>
      <c r="D1747" s="10" t="inlineStr">
        <is>
          <t>1903601008</t>
        </is>
      </c>
      <c r="E1747" s="26" t="inlineStr">
        <is>
          <t>Bangsamoro Autonomous Region In Muslim Mindanao (BARMM)</t>
        </is>
      </c>
      <c r="F1747" s="26" t="inlineStr">
        <is>
          <t>Lanao del Sur</t>
        </is>
      </c>
      <c r="G1747" s="26" t="inlineStr">
        <is>
          <t>Bacolod-Kalawi</t>
        </is>
      </c>
      <c r="H1747" s="26" t="inlineStr">
        <is>
          <t>Dilabayan</t>
        </is>
      </c>
      <c r="I1747" s="27" t="n">
        <v>17.254721</v>
      </c>
      <c r="J1747" s="27" t="n">
        <v>122.228765</v>
      </c>
      <c r="K1747" s="10" t="inlineStr">
        <is>
          <t>R</t>
        </is>
      </c>
      <c r="L1747" s="12" t="n">
        <v>829</v>
      </c>
      <c r="M1747" s="14" t="n">
        <v>5.7</v>
      </c>
      <c r="N1747" s="12">
        <f>ROUND(L1747/M1747, 0)</f>
        <v/>
      </c>
      <c r="O1747" s="12">
        <f>ROUND(N1747*'Methodology &amp; Assumptions'!$B$5, 0)</f>
        <v/>
      </c>
      <c r="P1747" s="10" t="inlineStr">
        <is>
          <t>Single Carrier (Band n50, 100MHz TDD)</t>
        </is>
      </c>
      <c r="Q1747" s="13">
        <f>ROUNDUP(O1747/'Methodology &amp; Assumptions'!$B$6, 0)</f>
        <v/>
      </c>
      <c r="R1747" s="13" t="n">
        <v>1</v>
      </c>
      <c r="S1747" s="14" t="n">
        <v>29.4</v>
      </c>
      <c r="T1747" s="14" t="n">
        <v>34.28</v>
      </c>
      <c r="U1747" s="26">
        <f>IF(X1747&gt;='Methodology &amp; Assumptions'!$B$7, "Tier 1 Critical GIDA (Score ≥ 50.0)", IF(X1747&gt;='Methodology &amp; Assumptions'!$B$8, "Tier 2 High GIDA (Score 40.0–49.9)", "Tier 3 Moderate GIDA (Score &lt; 40.0)"))</f>
        <v/>
      </c>
      <c r="V1747" s="26">
        <f>IF(S1747&lt;='Methodology &amp; Assumptions'!$B$10, "Direct Optical Drop (&lt;3km)", IF(S1747&lt;='Methodology &amp; Assumptions'!$B$9, "Near Optical / Microwave (&lt;5km)", "Starlink Business LEO Satellite Backhaul (&gt;5km)"))</f>
        <v/>
      </c>
      <c r="W1747" s="28" t="n">
        <v>0.11</v>
      </c>
      <c r="X1747" s="14" t="n">
        <v>41.93</v>
      </c>
      <c r="Y1747" s="14">
        <f>ROUND(MIN(100, (X1747/69.91)*100), 2)</f>
        <v/>
      </c>
    </row>
    <row r="1748">
      <c r="A1748" s="10" t="n">
        <v>5</v>
      </c>
      <c r="B1748" s="10" t="n">
        <v>744</v>
      </c>
      <c r="C1748" s="10" t="n">
        <v>4744</v>
      </c>
      <c r="D1748" s="10" t="inlineStr">
        <is>
          <t>1380200010</t>
        </is>
      </c>
      <c r="E1748" s="26" t="inlineStr">
        <is>
          <t>National Capital Region (NCR)</t>
        </is>
      </c>
      <c r="F1748" s="26" t="inlineStr">
        <is>
          <t>Fourth District (Not a Province)</t>
        </is>
      </c>
      <c r="G1748" s="26" t="inlineStr">
        <is>
          <t>City of Las Piñas</t>
        </is>
      </c>
      <c r="H1748" s="26" t="inlineStr">
        <is>
          <t>Almanza Dos</t>
        </is>
      </c>
      <c r="I1748" s="27" t="n">
        <v>14.418592</v>
      </c>
      <c r="J1748" s="27" t="n">
        <v>121.017767</v>
      </c>
      <c r="K1748" s="10" t="inlineStr">
        <is>
          <t>U</t>
        </is>
      </c>
      <c r="L1748" s="12" t="n">
        <v>38003</v>
      </c>
      <c r="M1748" s="14" t="n">
        <v>3.8</v>
      </c>
      <c r="N1748" s="12">
        <f>ROUND(L1748/M1748, 0)</f>
        <v/>
      </c>
      <c r="O1748" s="12">
        <f>ROUND(N1748*'Methodology &amp; Assumptions'!$B$5, 0)</f>
        <v/>
      </c>
      <c r="P1748" s="10" t="inlineStr">
        <is>
          <t>Single Carrier (Band n50, 100MHz TDD)</t>
        </is>
      </c>
      <c r="Q1748" s="13">
        <f>ROUNDUP(O1748/'Methodology &amp; Assumptions'!$B$6, 0)</f>
        <v/>
      </c>
      <c r="R1748" s="13" t="n">
        <v>1</v>
      </c>
      <c r="S1748" s="14" t="n">
        <v>1.11</v>
      </c>
      <c r="T1748" s="14" t="n">
        <v>0.96</v>
      </c>
      <c r="U1748" s="26">
        <f>IF(X1748&gt;='Methodology &amp; Assumptions'!$B$7, "Tier 1 Critical GIDA (Score ≥ 50.0)", IF(X1748&gt;='Methodology &amp; Assumptions'!$B$8, "Tier 2 High GIDA (Score 40.0–49.9)", "Tier 3 Moderate GIDA (Score &lt; 40.0)"))</f>
        <v/>
      </c>
      <c r="V1748" s="26">
        <f>IF(S1748&lt;='Methodology &amp; Assumptions'!$B$10, "Direct Optical Drop (&lt;3km)", IF(S1748&lt;='Methodology &amp; Assumptions'!$B$9, "Near Optical / Microwave (&lt;5km)", "Starlink Business LEO Satellite Backhaul (&gt;5km)"))</f>
        <v/>
      </c>
      <c r="W1748" s="28" t="n">
        <v>0.109</v>
      </c>
      <c r="X1748" s="14" t="n">
        <v>41.93</v>
      </c>
      <c r="Y1748" s="14">
        <f>ROUND(MIN(100, (X1748/69.91)*100), 2)</f>
        <v/>
      </c>
    </row>
    <row r="1749">
      <c r="A1749" s="10" t="n">
        <v>5</v>
      </c>
      <c r="B1749" s="10" t="n">
        <v>745</v>
      </c>
      <c r="C1749" s="10" t="n">
        <v>4745</v>
      </c>
      <c r="D1749" s="10" t="inlineStr">
        <is>
          <t>0704613005</t>
        </is>
      </c>
      <c r="E1749" s="26" t="inlineStr">
        <is>
          <t>Region VII (Central Visayas)</t>
        </is>
      </c>
      <c r="F1749" s="26" t="inlineStr">
        <is>
          <t>Negros Oriental</t>
        </is>
      </c>
      <c r="G1749" s="26" t="inlineStr">
        <is>
          <t>La Libertad</t>
        </is>
      </c>
      <c r="H1749" s="26" t="inlineStr">
        <is>
          <t>Busilak</t>
        </is>
      </c>
      <c r="I1749" s="27" t="n">
        <v>10.072664</v>
      </c>
      <c r="J1749" s="27" t="n">
        <v>123.127658</v>
      </c>
      <c r="K1749" s="10" t="inlineStr">
        <is>
          <t>R</t>
        </is>
      </c>
      <c r="L1749" s="12" t="n">
        <v>1425</v>
      </c>
      <c r="M1749" s="14" t="n">
        <v>3.8</v>
      </c>
      <c r="N1749" s="12">
        <f>ROUND(L1749/M1749, 0)</f>
        <v/>
      </c>
      <c r="O1749" s="12">
        <f>ROUND(N1749*'Methodology &amp; Assumptions'!$B$5, 0)</f>
        <v/>
      </c>
      <c r="P1749" s="10" t="inlineStr">
        <is>
          <t>Single Carrier (Band n50, 100MHz TDD)</t>
        </is>
      </c>
      <c r="Q1749" s="13">
        <f>ROUNDUP(O1749/'Methodology &amp; Assumptions'!$B$6, 0)</f>
        <v/>
      </c>
      <c r="R1749" s="13" t="n">
        <v>1</v>
      </c>
      <c r="S1749" s="14" t="n">
        <v>16.29</v>
      </c>
      <c r="T1749" s="14" t="n">
        <v>12.47</v>
      </c>
      <c r="U1749" s="26">
        <f>IF(X1749&gt;='Methodology &amp; Assumptions'!$B$7, "Tier 1 Critical GIDA (Score ≥ 50.0)", IF(X1749&gt;='Methodology &amp; Assumptions'!$B$8, "Tier 2 High GIDA (Score 40.0–49.9)", "Tier 3 Moderate GIDA (Score &lt; 40.0)"))</f>
        <v/>
      </c>
      <c r="V1749" s="26">
        <f>IF(S1749&lt;='Methodology &amp; Assumptions'!$B$10, "Direct Optical Drop (&lt;3km)", IF(S1749&lt;='Methodology &amp; Assumptions'!$B$9, "Near Optical / Microwave (&lt;5km)", "Starlink Business LEO Satellite Backhaul (&gt;5km)"))</f>
        <v/>
      </c>
      <c r="W1749" s="28" t="n">
        <v>0.237</v>
      </c>
      <c r="X1749" s="14" t="n">
        <v>41.92</v>
      </c>
      <c r="Y1749" s="14">
        <f>ROUND(MIN(100, (X1749/69.91)*100), 2)</f>
        <v/>
      </c>
    </row>
    <row r="1750">
      <c r="A1750" s="10" t="n">
        <v>5</v>
      </c>
      <c r="B1750" s="10" t="n">
        <v>746</v>
      </c>
      <c r="C1750" s="10" t="n">
        <v>4746</v>
      </c>
      <c r="D1750" s="10" t="inlineStr">
        <is>
          <t>PH0004746</t>
        </is>
      </c>
      <c r="E1750" s="26" t="inlineStr">
        <is>
          <t>IX</t>
        </is>
      </c>
      <c r="F1750" s="26" t="inlineStr">
        <is>
          <t>Zamboanga Del Sur</t>
        </is>
      </c>
      <c r="G1750" s="26" t="inlineStr">
        <is>
          <t>Zamboanga City</t>
        </is>
      </c>
      <c r="H1750" s="26" t="inlineStr">
        <is>
          <t>Barangay Zone II (Pob.)</t>
        </is>
      </c>
      <c r="I1750" s="27" t="n">
        <v>7.082345</v>
      </c>
      <c r="J1750" s="27" t="n">
        <v>122.146458</v>
      </c>
      <c r="K1750" s="10" t="inlineStr">
        <is>
          <t>R</t>
        </is>
      </c>
      <c r="L1750" s="12" t="n">
        <v>2305</v>
      </c>
      <c r="M1750" s="14" t="n">
        <v>3.9</v>
      </c>
      <c r="N1750" s="12">
        <f>ROUND(L1750/M1750, 0)</f>
        <v/>
      </c>
      <c r="O1750" s="12">
        <f>ROUND(N1750*'Methodology &amp; Assumptions'!$B$5, 0)</f>
        <v/>
      </c>
      <c r="P1750" s="10" t="inlineStr">
        <is>
          <t>Single Carrier (Band n50, 100MHz TDD)</t>
        </is>
      </c>
      <c r="Q1750" s="13">
        <f>ROUNDUP(O1750/'Methodology &amp; Assumptions'!$B$6, 0)</f>
        <v/>
      </c>
      <c r="R1750" s="13" t="n">
        <v>1</v>
      </c>
      <c r="S1750" s="14" t="n">
        <v>20.74</v>
      </c>
      <c r="T1750" s="14" t="n">
        <v>6.04</v>
      </c>
      <c r="U1750" s="26">
        <f>IF(X1750&gt;='Methodology &amp; Assumptions'!$B$7, "Tier 1 Critical GIDA (Score ≥ 50.0)", IF(X1750&gt;='Methodology &amp; Assumptions'!$B$8, "Tier 2 High GIDA (Score 40.0–49.9)", "Tier 3 Moderate GIDA (Score &lt; 40.0)"))</f>
        <v/>
      </c>
      <c r="V1750" s="26">
        <f>IF(S1750&lt;='Methodology &amp; Assumptions'!$B$10, "Direct Optical Drop (&lt;3km)", IF(S1750&lt;='Methodology &amp; Assumptions'!$B$9, "Near Optical / Microwave (&lt;5km)", "Starlink Business LEO Satellite Backhaul (&gt;5km)"))</f>
        <v/>
      </c>
      <c r="W1750" s="28" t="n">
        <v>0.234</v>
      </c>
      <c r="X1750" s="14" t="n">
        <v>41.91</v>
      </c>
      <c r="Y1750" s="14">
        <f>ROUND(MIN(100, (X1750/69.91)*100), 2)</f>
        <v/>
      </c>
    </row>
    <row r="1751">
      <c r="A1751" s="10" t="n">
        <v>5</v>
      </c>
      <c r="B1751" s="10" t="n">
        <v>747</v>
      </c>
      <c r="C1751" s="10" t="n">
        <v>4747</v>
      </c>
      <c r="D1751" s="10" t="inlineStr">
        <is>
          <t>0300809009</t>
        </is>
      </c>
      <c r="E1751" s="26" t="inlineStr">
        <is>
          <t>Region III (Central Luzon)</t>
        </is>
      </c>
      <c r="F1751" s="26" t="inlineStr">
        <is>
          <t>Bataan</t>
        </is>
      </c>
      <c r="G1751" s="26" t="inlineStr">
        <is>
          <t>Orani</t>
        </is>
      </c>
      <c r="H1751" s="26" t="inlineStr">
        <is>
          <t>Masantol</t>
        </is>
      </c>
      <c r="I1751" s="27" t="n">
        <v>14.805203</v>
      </c>
      <c r="J1751" s="27" t="n">
        <v>120.500859</v>
      </c>
      <c r="K1751" s="10" t="inlineStr">
        <is>
          <t>R</t>
        </is>
      </c>
      <c r="L1751" s="12" t="n">
        <v>554</v>
      </c>
      <c r="M1751" s="14" t="n">
        <v>3.6</v>
      </c>
      <c r="N1751" s="12">
        <f>ROUND(L1751/M1751, 0)</f>
        <v/>
      </c>
      <c r="O1751" s="12">
        <f>ROUND(N1751*'Methodology &amp; Assumptions'!$B$5, 0)</f>
        <v/>
      </c>
      <c r="P1751" s="10" t="inlineStr">
        <is>
          <t>Single Carrier (Band n50, 100MHz TDD)</t>
        </is>
      </c>
      <c r="Q1751" s="13">
        <f>ROUNDUP(O1751/'Methodology &amp; Assumptions'!$B$6, 0)</f>
        <v/>
      </c>
      <c r="R1751" s="13" t="n">
        <v>1</v>
      </c>
      <c r="S1751" s="14" t="n">
        <v>3.51</v>
      </c>
      <c r="T1751" s="14" t="n">
        <v>1.13</v>
      </c>
      <c r="U1751" s="26">
        <f>IF(X1751&gt;='Methodology &amp; Assumptions'!$B$7, "Tier 1 Critical GIDA (Score ≥ 50.0)", IF(X1751&gt;='Methodology &amp; Assumptions'!$B$8, "Tier 2 High GIDA (Score 40.0–49.9)", "Tier 3 Moderate GIDA (Score &lt; 40.0)"))</f>
        <v/>
      </c>
      <c r="V1751" s="26">
        <f>IF(S1751&lt;='Methodology &amp; Assumptions'!$B$10, "Direct Optical Drop (&lt;3km)", IF(S1751&lt;='Methodology &amp; Assumptions'!$B$9, "Near Optical / Microwave (&lt;5km)", "Starlink Business LEO Satellite Backhaul (&gt;5km)"))</f>
        <v/>
      </c>
      <c r="W1751" s="28" t="n">
        <v>0.083</v>
      </c>
      <c r="X1751" s="14" t="n">
        <v>41.91</v>
      </c>
      <c r="Y1751" s="14">
        <f>ROUND(MIN(100, (X1751/69.91)*100), 2)</f>
        <v/>
      </c>
    </row>
    <row r="1752">
      <c r="A1752" s="10" t="n">
        <v>5</v>
      </c>
      <c r="B1752" s="10" t="n">
        <v>748</v>
      </c>
      <c r="C1752" s="10" t="n">
        <v>4748</v>
      </c>
      <c r="D1752" s="10" t="inlineStr">
        <is>
          <t>1001304006</t>
        </is>
      </c>
      <c r="E1752" s="26" t="inlineStr">
        <is>
          <t>Region X (Northern Mindanao)</t>
        </is>
      </c>
      <c r="F1752" s="26" t="inlineStr">
        <is>
          <t>Bukidnon</t>
        </is>
      </c>
      <c r="G1752" s="26" t="inlineStr">
        <is>
          <t>Don Carlos</t>
        </is>
      </c>
      <c r="H1752" s="26" t="inlineStr">
        <is>
          <t>Embayao</t>
        </is>
      </c>
      <c r="I1752" s="27" t="n">
        <v>7.752979</v>
      </c>
      <c r="J1752" s="27" t="n">
        <v>124.885185</v>
      </c>
      <c r="K1752" s="10" t="inlineStr">
        <is>
          <t>R</t>
        </is>
      </c>
      <c r="L1752" s="12" t="n">
        <v>1161</v>
      </c>
      <c r="M1752" s="14" t="n">
        <v>3.8</v>
      </c>
      <c r="N1752" s="12">
        <f>ROUND(L1752/M1752, 0)</f>
        <v/>
      </c>
      <c r="O1752" s="12">
        <f>ROUND(N1752*'Methodology &amp; Assumptions'!$B$5, 0)</f>
        <v/>
      </c>
      <c r="P1752" s="10" t="inlineStr">
        <is>
          <t>Single Carrier (Band n50, 100MHz TDD)</t>
        </is>
      </c>
      <c r="Q1752" s="13">
        <f>ROUNDUP(O1752/'Methodology &amp; Assumptions'!$B$6, 0)</f>
        <v/>
      </c>
      <c r="R1752" s="13" t="n">
        <v>1</v>
      </c>
      <c r="S1752" s="14" t="n">
        <v>7.92</v>
      </c>
      <c r="T1752" s="14" t="n">
        <v>13.02</v>
      </c>
      <c r="U1752" s="26">
        <f>IF(X1752&gt;='Methodology &amp; Assumptions'!$B$7, "Tier 1 Critical GIDA (Score ≥ 50.0)", IF(X1752&gt;='Methodology &amp; Assumptions'!$B$8, "Tier 2 High GIDA (Score 40.0–49.9)", "Tier 3 Moderate GIDA (Score &lt; 40.0)"))</f>
        <v/>
      </c>
      <c r="V1752" s="26">
        <f>IF(S1752&lt;='Methodology &amp; Assumptions'!$B$10, "Direct Optical Drop (&lt;3km)", IF(S1752&lt;='Methodology &amp; Assumptions'!$B$9, "Near Optical / Microwave (&lt;5km)", "Starlink Business LEO Satellite Backhaul (&gt;5km)"))</f>
        <v/>
      </c>
      <c r="W1752" s="28" t="n">
        <v>0.174</v>
      </c>
      <c r="X1752" s="14" t="n">
        <v>41.91</v>
      </c>
      <c r="Y1752" s="14">
        <f>ROUND(MIN(100, (X1752/69.91)*100), 2)</f>
        <v/>
      </c>
    </row>
    <row r="1753">
      <c r="A1753" s="10" t="n">
        <v>5</v>
      </c>
      <c r="B1753" s="10" t="n">
        <v>749</v>
      </c>
      <c r="C1753" s="10" t="n">
        <v>4749</v>
      </c>
      <c r="D1753" s="10" t="inlineStr">
        <is>
          <t>0102805039</t>
        </is>
      </c>
      <c r="E1753" s="26" t="inlineStr">
        <is>
          <t>Region I (Ilocos Region)</t>
        </is>
      </c>
      <c r="F1753" s="26" t="inlineStr">
        <is>
          <t>Ilocos Norte</t>
        </is>
      </c>
      <c r="G1753" s="26" t="inlineStr">
        <is>
          <t>City of Batac</t>
        </is>
      </c>
      <c r="H1753" s="26" t="inlineStr">
        <is>
          <t>San Julian</t>
        </is>
      </c>
      <c r="I1753" s="27" t="n">
        <v>18.043413</v>
      </c>
      <c r="J1753" s="27" t="n">
        <v>120.575224</v>
      </c>
      <c r="K1753" s="10" t="inlineStr">
        <is>
          <t>R</t>
        </is>
      </c>
      <c r="L1753" s="12" t="n">
        <v>472</v>
      </c>
      <c r="M1753" s="14" t="n">
        <v>3.7</v>
      </c>
      <c r="N1753" s="12">
        <f>ROUND(L1753/M1753, 0)</f>
        <v/>
      </c>
      <c r="O1753" s="12">
        <f>ROUND(N1753*'Methodology &amp; Assumptions'!$B$5, 0)</f>
        <v/>
      </c>
      <c r="P1753" s="10" t="inlineStr">
        <is>
          <t>Single Carrier (Band n50, 100MHz TDD)</t>
        </is>
      </c>
      <c r="Q1753" s="13">
        <f>ROUNDUP(O1753/'Methodology &amp; Assumptions'!$B$6, 0)</f>
        <v/>
      </c>
      <c r="R1753" s="13" t="n">
        <v>1</v>
      </c>
      <c r="S1753" s="14" t="n">
        <v>2.83</v>
      </c>
      <c r="T1753" s="14" t="n">
        <v>2.32</v>
      </c>
      <c r="U1753" s="26">
        <f>IF(X1753&gt;='Methodology &amp; Assumptions'!$B$7, "Tier 1 Critical GIDA (Score ≥ 50.0)", IF(X1753&gt;='Methodology &amp; Assumptions'!$B$8, "Tier 2 High GIDA (Score 40.0–49.9)", "Tier 3 Moderate GIDA (Score &lt; 40.0)"))</f>
        <v/>
      </c>
      <c r="V1753" s="26">
        <f>IF(S1753&lt;='Methodology &amp; Assumptions'!$B$10, "Direct Optical Drop (&lt;3km)", IF(S1753&lt;='Methodology &amp; Assumptions'!$B$9, "Near Optical / Microwave (&lt;5km)", "Starlink Business LEO Satellite Backhaul (&gt;5km)"))</f>
        <v/>
      </c>
      <c r="W1753" s="28" t="n">
        <v>0.083</v>
      </c>
      <c r="X1753" s="14" t="n">
        <v>41.9</v>
      </c>
      <c r="Y1753" s="14">
        <f>ROUND(MIN(100, (X1753/69.91)*100), 2)</f>
        <v/>
      </c>
    </row>
    <row r="1754">
      <c r="A1754" s="10" t="n">
        <v>5</v>
      </c>
      <c r="B1754" s="10" t="n">
        <v>750</v>
      </c>
      <c r="C1754" s="10" t="n">
        <v>4750</v>
      </c>
      <c r="D1754" s="10" t="inlineStr">
        <is>
          <t>1381300089</t>
        </is>
      </c>
      <c r="E1754" s="26" t="inlineStr">
        <is>
          <t>National Capital Region (NCR)</t>
        </is>
      </c>
      <c r="F1754" s="26" t="inlineStr">
        <is>
          <t>Second District (Not a Province)</t>
        </is>
      </c>
      <c r="G1754" s="26" t="inlineStr">
        <is>
          <t>Quezon City</t>
        </is>
      </c>
      <c r="H1754" s="26" t="inlineStr">
        <is>
          <t>Ramon Magsaysay</t>
        </is>
      </c>
      <c r="I1754" s="27" t="n">
        <v>14.66163</v>
      </c>
      <c r="J1754" s="27" t="n">
        <v>121.021759</v>
      </c>
      <c r="K1754" s="10" t="inlineStr">
        <is>
          <t>U</t>
        </is>
      </c>
      <c r="L1754" s="12" t="n">
        <v>14922</v>
      </c>
      <c r="M1754" s="14" t="n">
        <v>3.8</v>
      </c>
      <c r="N1754" s="12">
        <f>ROUND(L1754/M1754, 0)</f>
        <v/>
      </c>
      <c r="O1754" s="12">
        <f>ROUND(N1754*'Methodology &amp; Assumptions'!$B$5, 0)</f>
        <v/>
      </c>
      <c r="P1754" s="10" t="inlineStr">
        <is>
          <t>Single Carrier (Band n50, 100MHz TDD)</t>
        </is>
      </c>
      <c r="Q1754" s="13">
        <f>ROUNDUP(O1754/'Methodology &amp; Assumptions'!$B$6, 0)</f>
        <v/>
      </c>
      <c r="R1754" s="13" t="n">
        <v>1</v>
      </c>
      <c r="S1754" s="14" t="n">
        <v>0.17</v>
      </c>
      <c r="T1754" s="14" t="n">
        <v>0.17</v>
      </c>
      <c r="U1754" s="26">
        <f>IF(X1754&gt;='Methodology &amp; Assumptions'!$B$7, "Tier 1 Critical GIDA (Score ≥ 50.0)", IF(X1754&gt;='Methodology &amp; Assumptions'!$B$8, "Tier 2 High GIDA (Score 40.0–49.9)", "Tier 3 Moderate GIDA (Score &lt; 40.0)"))</f>
        <v/>
      </c>
      <c r="V1754" s="26">
        <f>IF(S1754&lt;='Methodology &amp; Assumptions'!$B$10, "Direct Optical Drop (&lt;3km)", IF(S1754&lt;='Methodology &amp; Assumptions'!$B$9, "Near Optical / Microwave (&lt;5km)", "Starlink Business LEO Satellite Backhaul (&gt;5km)"))</f>
        <v/>
      </c>
      <c r="W1754" s="28" t="n">
        <v>0.109</v>
      </c>
      <c r="X1754" s="14" t="n">
        <v>41.9</v>
      </c>
      <c r="Y1754" s="14">
        <f>ROUND(MIN(100, (X1754/69.91)*100), 2)</f>
        <v/>
      </c>
    </row>
    <row r="1755">
      <c r="A1755" s="10" t="n">
        <v>5</v>
      </c>
      <c r="B1755" s="10" t="n">
        <v>751</v>
      </c>
      <c r="C1755" s="10" t="n">
        <v>4751</v>
      </c>
      <c r="D1755" s="10" t="inlineStr">
        <is>
          <t>1102319023</t>
        </is>
      </c>
      <c r="E1755" s="26" t="inlineStr">
        <is>
          <t>Region XI (Davao Region)</t>
        </is>
      </c>
      <c r="F1755" s="26" t="inlineStr">
        <is>
          <t>Davao del Norte</t>
        </is>
      </c>
      <c r="G1755" s="26" t="inlineStr">
        <is>
          <t>City of Tagum</t>
        </is>
      </c>
      <c r="H1755" s="26" t="inlineStr">
        <is>
          <t>Magugpo East</t>
        </is>
      </c>
      <c r="I1755" s="27" t="n">
        <v>7.449749</v>
      </c>
      <c r="J1755" s="27" t="n">
        <v>125.816705</v>
      </c>
      <c r="K1755" s="10" t="inlineStr">
        <is>
          <t>U</t>
        </is>
      </c>
      <c r="L1755" s="12" t="n">
        <v>16035</v>
      </c>
      <c r="M1755" s="14" t="n">
        <v>3.7</v>
      </c>
      <c r="N1755" s="12">
        <f>ROUND(L1755/M1755, 0)</f>
        <v/>
      </c>
      <c r="O1755" s="12">
        <f>ROUND(N1755*'Methodology &amp; Assumptions'!$B$5, 0)</f>
        <v/>
      </c>
      <c r="P1755" s="10" t="inlineStr">
        <is>
          <t>Single Carrier (Band n50, 100MHz TDD)</t>
        </is>
      </c>
      <c r="Q1755" s="13">
        <f>ROUNDUP(O1755/'Methodology &amp; Assumptions'!$B$6, 0)</f>
        <v/>
      </c>
      <c r="R1755" s="13" t="n">
        <v>1</v>
      </c>
      <c r="S1755" s="14" t="n">
        <v>1.31</v>
      </c>
      <c r="T1755" s="14" t="n">
        <v>0.49</v>
      </c>
      <c r="U1755" s="26">
        <f>IF(X1755&gt;='Methodology &amp; Assumptions'!$B$7, "Tier 1 Critical GIDA (Score ≥ 50.0)", IF(X1755&gt;='Methodology &amp; Assumptions'!$B$8, "Tier 2 High GIDA (Score 40.0–49.9)", "Tier 3 Moderate GIDA (Score &lt; 40.0)"))</f>
        <v/>
      </c>
      <c r="V1755" s="26">
        <f>IF(S1755&lt;='Methodology &amp; Assumptions'!$B$10, "Direct Optical Drop (&lt;3km)", IF(S1755&lt;='Methodology &amp; Assumptions'!$B$9, "Near Optical / Microwave (&lt;5km)", "Starlink Business LEO Satellite Backhaul (&gt;5km)"))</f>
        <v/>
      </c>
      <c r="W1755" s="28" t="n">
        <v>0.174</v>
      </c>
      <c r="X1755" s="14" t="n">
        <v>41.9</v>
      </c>
      <c r="Y1755" s="14">
        <f>ROUND(MIN(100, (X1755/69.91)*100), 2)</f>
        <v/>
      </c>
    </row>
    <row r="1756">
      <c r="A1756" s="10" t="n">
        <v>5</v>
      </c>
      <c r="B1756" s="10" t="n">
        <v>752</v>
      </c>
      <c r="C1756" s="10" t="n">
        <v>4752</v>
      </c>
      <c r="D1756" s="10" t="inlineStr">
        <is>
          <t>0601903007</t>
        </is>
      </c>
      <c r="E1756" s="26" t="inlineStr">
        <is>
          <t>Region VI (Western Visayas)</t>
        </is>
      </c>
      <c r="F1756" s="26" t="inlineStr">
        <is>
          <t>Capiz</t>
        </is>
      </c>
      <c r="G1756" s="26" t="inlineStr">
        <is>
          <t>Dumalag</t>
        </is>
      </c>
      <c r="H1756" s="26" t="inlineStr">
        <is>
          <t>San Agustin</t>
        </is>
      </c>
      <c r="I1756" s="27" t="n">
        <v>11.3255</v>
      </c>
      <c r="J1756" s="27" t="n">
        <v>122.5927</v>
      </c>
      <c r="K1756" s="10" t="inlineStr">
        <is>
          <t>R</t>
        </is>
      </c>
      <c r="L1756" s="12" t="n">
        <v>707</v>
      </c>
      <c r="M1756" s="14" t="n">
        <v>3.8</v>
      </c>
      <c r="N1756" s="12">
        <f>ROUND(L1756/M1756, 0)</f>
        <v/>
      </c>
      <c r="O1756" s="12">
        <f>ROUND(N1756*'Methodology &amp; Assumptions'!$B$5, 0)</f>
        <v/>
      </c>
      <c r="P1756" s="10" t="inlineStr">
        <is>
          <t>Single Carrier (Band n50, 100MHz TDD)</t>
        </is>
      </c>
      <c r="Q1756" s="13">
        <f>ROUNDUP(O1756/'Methodology &amp; Assumptions'!$B$6, 0)</f>
        <v/>
      </c>
      <c r="R1756" s="13" t="n">
        <v>1</v>
      </c>
      <c r="S1756" s="14" t="n">
        <v>11.93</v>
      </c>
      <c r="T1756" s="14" t="n">
        <v>3.89</v>
      </c>
      <c r="U1756" s="26">
        <f>IF(X1756&gt;='Methodology &amp; Assumptions'!$B$7, "Tier 1 Critical GIDA (Score ≥ 50.0)", IF(X1756&gt;='Methodology &amp; Assumptions'!$B$8, "Tier 2 High GIDA (Score 40.0–49.9)", "Tier 3 Moderate GIDA (Score &lt; 40.0)"))</f>
        <v/>
      </c>
      <c r="V1756" s="26">
        <f>IF(S1756&lt;='Methodology &amp; Assumptions'!$B$10, "Direct Optical Drop (&lt;3km)", IF(S1756&lt;='Methodology &amp; Assumptions'!$B$9, "Near Optical / Microwave (&lt;5km)", "Starlink Business LEO Satellite Backhaul (&gt;5km)"))</f>
        <v/>
      </c>
      <c r="W1756" s="28" t="n">
        <v>0.237</v>
      </c>
      <c r="X1756" s="14" t="n">
        <v>41.89</v>
      </c>
      <c r="Y1756" s="14">
        <f>ROUND(MIN(100, (X1756/69.91)*100), 2)</f>
        <v/>
      </c>
    </row>
    <row r="1757">
      <c r="A1757" s="10" t="n">
        <v>5</v>
      </c>
      <c r="B1757" s="10" t="n">
        <v>753</v>
      </c>
      <c r="C1757" s="10" t="n">
        <v>4753</v>
      </c>
      <c r="D1757" s="10" t="inlineStr">
        <is>
          <t>1903611039</t>
        </is>
      </c>
      <c r="E1757" s="26" t="inlineStr">
        <is>
          <t>Bangsamoro Autonomous Region In Muslim Mindanao (BARMM)</t>
        </is>
      </c>
      <c r="F1757" s="26" t="inlineStr">
        <is>
          <t>Lanao del Sur</t>
        </is>
      </c>
      <c r="G1757" s="26" t="inlineStr">
        <is>
          <t>Lumba-Bayabao</t>
        </is>
      </c>
      <c r="H1757" s="26" t="inlineStr">
        <is>
          <t>Gadongan</t>
        </is>
      </c>
      <c r="I1757" s="27" t="n">
        <v>17.254184</v>
      </c>
      <c r="J1757" s="27" t="n">
        <v>122.228228</v>
      </c>
      <c r="K1757" s="10" t="inlineStr">
        <is>
          <t>R</t>
        </is>
      </c>
      <c r="L1757" s="12" t="n">
        <v>1235</v>
      </c>
      <c r="M1757" s="14" t="n">
        <v>5.7</v>
      </c>
      <c r="N1757" s="12">
        <f>ROUND(L1757/M1757, 0)</f>
        <v/>
      </c>
      <c r="O1757" s="12">
        <f>ROUND(N1757*'Methodology &amp; Assumptions'!$B$5, 0)</f>
        <v/>
      </c>
      <c r="P1757" s="10" t="inlineStr">
        <is>
          <t>Single Carrier (Band n50, 100MHz TDD)</t>
        </is>
      </c>
      <c r="Q1757" s="13">
        <f>ROUNDUP(O1757/'Methodology &amp; Assumptions'!$B$6, 0)</f>
        <v/>
      </c>
      <c r="R1757" s="13" t="n">
        <v>1</v>
      </c>
      <c r="S1757" s="14" t="n">
        <v>29.31</v>
      </c>
      <c r="T1757" s="14" t="n">
        <v>34.21</v>
      </c>
      <c r="U1757" s="26">
        <f>IF(X1757&gt;='Methodology &amp; Assumptions'!$B$7, "Tier 1 Critical GIDA (Score ≥ 50.0)", IF(X1757&gt;='Methodology &amp; Assumptions'!$B$8, "Tier 2 High GIDA (Score 40.0–49.9)", "Tier 3 Moderate GIDA (Score &lt; 40.0)"))</f>
        <v/>
      </c>
      <c r="V1757" s="26">
        <f>IF(S1757&lt;='Methodology &amp; Assumptions'!$B$10, "Direct Optical Drop (&lt;3km)", IF(S1757&lt;='Methodology &amp; Assumptions'!$B$9, "Near Optical / Microwave (&lt;5km)", "Starlink Business LEO Satellite Backhaul (&gt;5km)"))</f>
        <v/>
      </c>
      <c r="W1757" s="28" t="n">
        <v>0.11</v>
      </c>
      <c r="X1757" s="14" t="n">
        <v>41.89</v>
      </c>
      <c r="Y1757" s="14">
        <f>ROUND(MIN(100, (X1757/69.91)*100), 2)</f>
        <v/>
      </c>
    </row>
    <row r="1758">
      <c r="A1758" s="10" t="n">
        <v>5</v>
      </c>
      <c r="B1758" s="10" t="n">
        <v>754</v>
      </c>
      <c r="C1758" s="10" t="n">
        <v>4754</v>
      </c>
      <c r="D1758" s="10" t="inlineStr">
        <is>
          <t>PH0004754</t>
        </is>
      </c>
      <c r="E1758" s="26" t="inlineStr">
        <is>
          <t>NCR</t>
        </is>
      </c>
      <c r="F1758" s="26" t="inlineStr">
        <is>
          <t>Metro Manila</t>
        </is>
      </c>
      <c r="G1758" s="26" t="inlineStr">
        <is>
          <t>Taguig City</t>
        </is>
      </c>
      <c r="H1758" s="26" t="inlineStr">
        <is>
          <t>Rizal</t>
        </is>
      </c>
      <c r="I1758" s="27" t="n">
        <v>14.503376</v>
      </c>
      <c r="J1758" s="27" t="n">
        <v>121.057944</v>
      </c>
      <c r="K1758" s="10" t="inlineStr">
        <is>
          <t>R</t>
        </is>
      </c>
      <c r="L1758" s="12" t="n">
        <v>2279</v>
      </c>
      <c r="M1758" s="14" t="n">
        <v>3.8</v>
      </c>
      <c r="N1758" s="12">
        <f>ROUND(L1758/M1758, 0)</f>
        <v/>
      </c>
      <c r="O1758" s="12">
        <f>ROUND(N1758*'Methodology &amp; Assumptions'!$B$5, 0)</f>
        <v/>
      </c>
      <c r="P1758" s="10" t="inlineStr">
        <is>
          <t>Single Carrier (Band n50, 100MHz TDD)</t>
        </is>
      </c>
      <c r="Q1758" s="13">
        <f>ROUNDUP(O1758/'Methodology &amp; Assumptions'!$B$6, 0)</f>
        <v/>
      </c>
      <c r="R1758" s="13" t="n">
        <v>1</v>
      </c>
      <c r="S1758" s="14" t="n">
        <v>0.88</v>
      </c>
      <c r="T1758" s="14" t="n">
        <v>0.85</v>
      </c>
      <c r="U1758" s="26">
        <f>IF(X1758&gt;='Methodology &amp; Assumptions'!$B$7, "Tier 1 Critical GIDA (Score ≥ 50.0)", IF(X1758&gt;='Methodology &amp; Assumptions'!$B$8, "Tier 2 High GIDA (Score 40.0–49.9)", "Tier 3 Moderate GIDA (Score &lt; 40.0)"))</f>
        <v/>
      </c>
      <c r="V1758" s="26">
        <f>IF(S1758&lt;='Methodology &amp; Assumptions'!$B$10, "Direct Optical Drop (&lt;3km)", IF(S1758&lt;='Methodology &amp; Assumptions'!$B$9, "Near Optical / Microwave (&lt;5km)", "Starlink Business LEO Satellite Backhaul (&gt;5km)"))</f>
        <v/>
      </c>
      <c r="W1758" s="28" t="n">
        <v>0.011</v>
      </c>
      <c r="X1758" s="14" t="n">
        <v>41.88</v>
      </c>
      <c r="Y1758" s="14">
        <f>ROUND(MIN(100, (X1758/69.91)*100), 2)</f>
        <v/>
      </c>
    </row>
    <row r="1759">
      <c r="A1759" s="10" t="n">
        <v>5</v>
      </c>
      <c r="B1759" s="10" t="n">
        <v>755</v>
      </c>
      <c r="C1759" s="10" t="n">
        <v>4755</v>
      </c>
      <c r="D1759" s="10" t="inlineStr">
        <is>
          <t>1380800003</t>
        </is>
      </c>
      <c r="E1759" s="26" t="inlineStr">
        <is>
          <t>National Capital Region (NCR)</t>
        </is>
      </c>
      <c r="F1759" s="26" t="inlineStr">
        <is>
          <t>Fourth District (Not a Province)</t>
        </is>
      </c>
      <c r="G1759" s="26" t="inlineStr">
        <is>
          <t>City of Muntinlupa</t>
        </is>
      </c>
      <c r="H1759" s="26" t="inlineStr">
        <is>
          <t>Buli</t>
        </is>
      </c>
      <c r="I1759" s="27" t="n">
        <v>14.956736</v>
      </c>
      <c r="J1759" s="27" t="n">
        <v>120.088493</v>
      </c>
      <c r="K1759" s="10" t="inlineStr">
        <is>
          <t>U</t>
        </is>
      </c>
      <c r="L1759" s="12" t="n">
        <v>13557</v>
      </c>
      <c r="M1759" s="14" t="n">
        <v>3.8</v>
      </c>
      <c r="N1759" s="12">
        <f>ROUND(L1759/M1759, 0)</f>
        <v/>
      </c>
      <c r="O1759" s="12">
        <f>ROUND(N1759*'Methodology &amp; Assumptions'!$B$5, 0)</f>
        <v/>
      </c>
      <c r="P1759" s="10" t="inlineStr">
        <is>
          <t>Single Carrier (Band n50, 100MHz TDD)</t>
        </is>
      </c>
      <c r="Q1759" s="13">
        <f>ROUNDUP(O1759/'Methodology &amp; Assumptions'!$B$6, 0)</f>
        <v/>
      </c>
      <c r="R1759" s="13" t="n">
        <v>1</v>
      </c>
      <c r="S1759" s="14" t="n">
        <v>0.75</v>
      </c>
      <c r="T1759" s="14" t="n">
        <v>0.58</v>
      </c>
      <c r="U1759" s="26">
        <f>IF(X1759&gt;='Methodology &amp; Assumptions'!$B$7, "Tier 1 Critical GIDA (Score ≥ 50.0)", IF(X1759&gt;='Methodology &amp; Assumptions'!$B$8, "Tier 2 High GIDA (Score 40.0–49.9)", "Tier 3 Moderate GIDA (Score &lt; 40.0)"))</f>
        <v/>
      </c>
      <c r="V1759" s="26">
        <f>IF(S1759&lt;='Methodology &amp; Assumptions'!$B$10, "Direct Optical Drop (&lt;3km)", IF(S1759&lt;='Methodology &amp; Assumptions'!$B$9, "Near Optical / Microwave (&lt;5km)", "Starlink Business LEO Satellite Backhaul (&gt;5km)"))</f>
        <v/>
      </c>
      <c r="W1759" s="28" t="n">
        <v>0.109</v>
      </c>
      <c r="X1759" s="14" t="n">
        <v>41.88</v>
      </c>
      <c r="Y1759" s="14">
        <f>ROUND(MIN(100, (X1759/69.91)*100), 2)</f>
        <v/>
      </c>
    </row>
    <row r="1760">
      <c r="A1760" s="10" t="n">
        <v>5</v>
      </c>
      <c r="B1760" s="10" t="n">
        <v>756</v>
      </c>
      <c r="C1760" s="10" t="n">
        <v>4756</v>
      </c>
      <c r="D1760" s="10" t="inlineStr">
        <is>
          <t>0405647054</t>
        </is>
      </c>
      <c r="E1760" s="26" t="inlineStr">
        <is>
          <t>Region IV-A (CALABARZON)</t>
        </is>
      </c>
      <c r="F1760" s="26" t="inlineStr">
        <is>
          <t>Quezon</t>
        </is>
      </c>
      <c r="G1760" s="26" t="inlineStr">
        <is>
          <t>City of Tayabas</t>
        </is>
      </c>
      <c r="H1760" s="26" t="inlineStr">
        <is>
          <t>San Isidro Zone II</t>
        </is>
      </c>
      <c r="I1760" s="27" t="n">
        <v>14.014138</v>
      </c>
      <c r="J1760" s="27" t="n">
        <v>121.596729</v>
      </c>
      <c r="K1760" s="10" t="inlineStr">
        <is>
          <t>R</t>
        </is>
      </c>
      <c r="L1760" s="12" t="n">
        <v>432</v>
      </c>
      <c r="M1760" s="14" t="n">
        <v>3.8</v>
      </c>
      <c r="N1760" s="12">
        <f>ROUND(L1760/M1760, 0)</f>
        <v/>
      </c>
      <c r="O1760" s="12">
        <f>ROUND(N1760*'Methodology &amp; Assumptions'!$B$5, 0)</f>
        <v/>
      </c>
      <c r="P1760" s="10" t="inlineStr">
        <is>
          <t>Single Carrier (Band n50, 100MHz TDD)</t>
        </is>
      </c>
      <c r="Q1760" s="13">
        <f>ROUNDUP(O1760/'Methodology &amp; Assumptions'!$B$6, 0)</f>
        <v/>
      </c>
      <c r="R1760" s="13" t="n">
        <v>1</v>
      </c>
      <c r="S1760" s="14" t="n">
        <v>1.12</v>
      </c>
      <c r="T1760" s="14" t="n">
        <v>0.5</v>
      </c>
      <c r="U1760" s="26">
        <f>IF(X1760&gt;='Methodology &amp; Assumptions'!$B$7, "Tier 1 Critical GIDA (Score ≥ 50.0)", IF(X1760&gt;='Methodology &amp; Assumptions'!$B$8, "Tier 2 High GIDA (Score 40.0–49.9)", "Tier 3 Moderate GIDA (Score &lt; 40.0)"))</f>
        <v/>
      </c>
      <c r="V1760" s="26">
        <f>IF(S1760&lt;='Methodology &amp; Assumptions'!$B$10, "Direct Optical Drop (&lt;3km)", IF(S1760&lt;='Methodology &amp; Assumptions'!$B$9, "Near Optical / Microwave (&lt;5km)", "Starlink Business LEO Satellite Backhaul (&gt;5km)"))</f>
        <v/>
      </c>
      <c r="W1760" s="28" t="n">
        <v>0.07200000000000001</v>
      </c>
      <c r="X1760" s="14" t="n">
        <v>41.88</v>
      </c>
      <c r="Y1760" s="14">
        <f>ROUND(MIN(100, (X1760/69.91)*100), 2)</f>
        <v/>
      </c>
    </row>
    <row r="1761">
      <c r="A1761" s="10" t="n">
        <v>5</v>
      </c>
      <c r="B1761" s="10" t="n">
        <v>757</v>
      </c>
      <c r="C1761" s="10" t="n">
        <v>4757</v>
      </c>
      <c r="D1761" s="10" t="inlineStr">
        <is>
          <t>1380200016</t>
        </is>
      </c>
      <c r="E1761" s="26" t="inlineStr">
        <is>
          <t>National Capital Region (NCR)</t>
        </is>
      </c>
      <c r="F1761" s="26" t="inlineStr">
        <is>
          <t>Fourth District (Not a Province)</t>
        </is>
      </c>
      <c r="G1761" s="26" t="inlineStr">
        <is>
          <t>City of Las Piñas</t>
        </is>
      </c>
      <c r="H1761" s="26" t="inlineStr">
        <is>
          <t>Pulang Lupa Dos</t>
        </is>
      </c>
      <c r="I1761" s="27" t="n">
        <v>14.458611</v>
      </c>
      <c r="J1761" s="27" t="n">
        <v>120.986667</v>
      </c>
      <c r="K1761" s="10" t="inlineStr">
        <is>
          <t>U</t>
        </is>
      </c>
      <c r="L1761" s="12" t="n">
        <v>32981</v>
      </c>
      <c r="M1761" s="14" t="n">
        <v>3.8</v>
      </c>
      <c r="N1761" s="12">
        <f>ROUND(L1761/M1761, 0)</f>
        <v/>
      </c>
      <c r="O1761" s="12">
        <f>ROUND(N1761*'Methodology &amp; Assumptions'!$B$5, 0)</f>
        <v/>
      </c>
      <c r="P1761" s="10" t="inlineStr">
        <is>
          <t>Single Carrier (Band n50, 100MHz TDD)</t>
        </is>
      </c>
      <c r="Q1761" s="13">
        <f>ROUNDUP(O1761/'Methodology &amp; Assumptions'!$B$6, 0)</f>
        <v/>
      </c>
      <c r="R1761" s="13" t="n">
        <v>1</v>
      </c>
      <c r="S1761" s="14" t="n">
        <v>0.71</v>
      </c>
      <c r="T1761" s="14" t="n">
        <v>0.72</v>
      </c>
      <c r="U1761" s="26">
        <f>IF(X1761&gt;='Methodology &amp; Assumptions'!$B$7, "Tier 1 Critical GIDA (Score ≥ 50.0)", IF(X1761&gt;='Methodology &amp; Assumptions'!$B$8, "Tier 2 High GIDA (Score 40.0–49.9)", "Tier 3 Moderate GIDA (Score &lt; 40.0)"))</f>
        <v/>
      </c>
      <c r="V1761" s="26">
        <f>IF(S1761&lt;='Methodology &amp; Assumptions'!$B$10, "Direct Optical Drop (&lt;3km)", IF(S1761&lt;='Methodology &amp; Assumptions'!$B$9, "Near Optical / Microwave (&lt;5km)", "Starlink Business LEO Satellite Backhaul (&gt;5km)"))</f>
        <v/>
      </c>
      <c r="W1761" s="28" t="n">
        <v>0.109</v>
      </c>
      <c r="X1761" s="14" t="n">
        <v>41.88</v>
      </c>
      <c r="Y1761" s="14">
        <f>ROUND(MIN(100, (X1761/69.91)*100), 2)</f>
        <v/>
      </c>
    </row>
    <row r="1762">
      <c r="A1762" s="10" t="n">
        <v>5</v>
      </c>
      <c r="B1762" s="10" t="n">
        <v>758</v>
      </c>
      <c r="C1762" s="10" t="n">
        <v>4758</v>
      </c>
      <c r="D1762" s="10" t="inlineStr">
        <is>
          <t>1381300139</t>
        </is>
      </c>
      <c r="E1762" s="26" t="inlineStr">
        <is>
          <t>National Capital Region (NCR)</t>
        </is>
      </c>
      <c r="F1762" s="26" t="inlineStr">
        <is>
          <t>Second District (Not a Province)</t>
        </is>
      </c>
      <c r="G1762" s="26" t="inlineStr">
        <is>
          <t>Quezon City</t>
        </is>
      </c>
      <c r="H1762" s="26" t="inlineStr">
        <is>
          <t>Batasan Hills</t>
        </is>
      </c>
      <c r="I1762" s="27" t="n">
        <v>14.689907</v>
      </c>
      <c r="J1762" s="27" t="n">
        <v>121.094066</v>
      </c>
      <c r="K1762" s="10" t="inlineStr">
        <is>
          <t>U</t>
        </is>
      </c>
      <c r="L1762" s="12" t="n">
        <v>173562</v>
      </c>
      <c r="M1762" s="14" t="n">
        <v>3.8</v>
      </c>
      <c r="N1762" s="12">
        <f>ROUND(L1762/M1762, 0)</f>
        <v/>
      </c>
      <c r="O1762" s="12">
        <f>ROUND(N1762*'Methodology &amp; Assumptions'!$B$5, 0)</f>
        <v/>
      </c>
      <c r="P1762" s="10" t="inlineStr">
        <is>
          <t>Single Carrier (Band n50, 100MHz TDD)</t>
        </is>
      </c>
      <c r="Q1762" s="13">
        <f>ROUNDUP(O1762/'Methodology &amp; Assumptions'!$B$6, 0)</f>
        <v/>
      </c>
      <c r="R1762" s="13" t="n">
        <v>1</v>
      </c>
      <c r="S1762" s="14" t="n">
        <v>0.98</v>
      </c>
      <c r="T1762" s="14" t="n">
        <v>0.13</v>
      </c>
      <c r="U1762" s="26">
        <f>IF(X1762&gt;='Methodology &amp; Assumptions'!$B$7, "Tier 1 Critical GIDA (Score ≥ 50.0)", IF(X1762&gt;='Methodology &amp; Assumptions'!$B$8, "Tier 2 High GIDA (Score 40.0–49.9)", "Tier 3 Moderate GIDA (Score &lt; 40.0)"))</f>
        <v/>
      </c>
      <c r="V1762" s="26">
        <f>IF(S1762&lt;='Methodology &amp; Assumptions'!$B$10, "Direct Optical Drop (&lt;3km)", IF(S1762&lt;='Methodology &amp; Assumptions'!$B$9, "Near Optical / Microwave (&lt;5km)", "Starlink Business LEO Satellite Backhaul (&gt;5km)"))</f>
        <v/>
      </c>
      <c r="W1762" s="28" t="n">
        <v>0.109</v>
      </c>
      <c r="X1762" s="14" t="n">
        <v>41.87</v>
      </c>
      <c r="Y1762" s="14">
        <f>ROUND(MIN(100, (X1762/69.91)*100), 2)</f>
        <v/>
      </c>
    </row>
    <row r="1763">
      <c r="A1763" s="10" t="n">
        <v>5</v>
      </c>
      <c r="B1763" s="10" t="n">
        <v>759</v>
      </c>
      <c r="C1763" s="10" t="n">
        <v>4759</v>
      </c>
      <c r="D1763" s="10" t="inlineStr">
        <is>
          <t>1001308019</t>
        </is>
      </c>
      <c r="E1763" s="26" t="inlineStr">
        <is>
          <t>Region X (Northern Mindanao)</t>
        </is>
      </c>
      <c r="F1763" s="26" t="inlineStr">
        <is>
          <t>Bukidnon</t>
        </is>
      </c>
      <c r="G1763" s="26" t="inlineStr">
        <is>
          <t>Kibawe</t>
        </is>
      </c>
      <c r="H1763" s="26" t="inlineStr">
        <is>
          <t>Mascariñas</t>
        </is>
      </c>
      <c r="I1763" s="27" t="n">
        <v>7.470154</v>
      </c>
      <c r="J1763" s="27" t="n">
        <v>125.025279</v>
      </c>
      <c r="K1763" s="10" t="inlineStr">
        <is>
          <t>R</t>
        </is>
      </c>
      <c r="L1763" s="12" t="n">
        <v>844</v>
      </c>
      <c r="M1763" s="14" t="n">
        <v>3.8</v>
      </c>
      <c r="N1763" s="12">
        <f>ROUND(L1763/M1763, 0)</f>
        <v/>
      </c>
      <c r="O1763" s="12">
        <f>ROUND(N1763*'Methodology &amp; Assumptions'!$B$5, 0)</f>
        <v/>
      </c>
      <c r="P1763" s="10" t="inlineStr">
        <is>
          <t>Single Carrier (Band n50, 100MHz TDD)</t>
        </is>
      </c>
      <c r="Q1763" s="13">
        <f>ROUNDUP(O1763/'Methodology &amp; Assumptions'!$B$6, 0)</f>
        <v/>
      </c>
      <c r="R1763" s="13" t="n">
        <v>1</v>
      </c>
      <c r="S1763" s="14" t="n">
        <v>11.48</v>
      </c>
      <c r="T1763" s="14" t="n">
        <v>8.800000000000001</v>
      </c>
      <c r="U1763" s="26">
        <f>IF(X1763&gt;='Methodology &amp; Assumptions'!$B$7, "Tier 1 Critical GIDA (Score ≥ 50.0)", IF(X1763&gt;='Methodology &amp; Assumptions'!$B$8, "Tier 2 High GIDA (Score 40.0–49.9)", "Tier 3 Moderate GIDA (Score &lt; 40.0)"))</f>
        <v/>
      </c>
      <c r="V1763" s="26">
        <f>IF(S1763&lt;='Methodology &amp; Assumptions'!$B$10, "Direct Optical Drop (&lt;3km)", IF(S1763&lt;='Methodology &amp; Assumptions'!$B$9, "Near Optical / Microwave (&lt;5km)", "Starlink Business LEO Satellite Backhaul (&gt;5km)"))</f>
        <v/>
      </c>
      <c r="W1763" s="28" t="n">
        <v>0.174</v>
      </c>
      <c r="X1763" s="14" t="n">
        <v>41.87</v>
      </c>
      <c r="Y1763" s="14">
        <f>ROUND(MIN(100, (X1763/69.91)*100), 2)</f>
        <v/>
      </c>
    </row>
    <row r="1764">
      <c r="A1764" s="10" t="n">
        <v>5</v>
      </c>
      <c r="B1764" s="10" t="n">
        <v>760</v>
      </c>
      <c r="C1764" s="10" t="n">
        <v>4760</v>
      </c>
      <c r="D1764" s="10" t="inlineStr">
        <is>
          <t>0603040039</t>
        </is>
      </c>
      <c r="E1764" s="26" t="inlineStr">
        <is>
          <t>Region VI (Western Visayas)</t>
        </is>
      </c>
      <c r="F1764" s="26" t="inlineStr">
        <is>
          <t>Iloilo</t>
        </is>
      </c>
      <c r="G1764" s="26" t="inlineStr">
        <is>
          <t>San Joaquin</t>
        </is>
      </c>
      <c r="H1764" s="26" t="inlineStr">
        <is>
          <t>Igcores</t>
        </is>
      </c>
      <c r="I1764" s="27" t="n">
        <v>10.505998</v>
      </c>
      <c r="J1764" s="27" t="n">
        <v>122.038653</v>
      </c>
      <c r="K1764" s="10" t="inlineStr">
        <is>
          <t>R</t>
        </is>
      </c>
      <c r="L1764" s="12" t="n">
        <v>586</v>
      </c>
      <c r="M1764" s="14" t="n">
        <v>3.8</v>
      </c>
      <c r="N1764" s="12">
        <f>ROUND(L1764/M1764, 0)</f>
        <v/>
      </c>
      <c r="O1764" s="12">
        <f>ROUND(N1764*'Methodology &amp; Assumptions'!$B$5, 0)</f>
        <v/>
      </c>
      <c r="P1764" s="10" t="inlineStr">
        <is>
          <t>Single Carrier (Band n50, 100MHz TDD)</t>
        </is>
      </c>
      <c r="Q1764" s="13">
        <f>ROUNDUP(O1764/'Methodology &amp; Assumptions'!$B$6, 0)</f>
        <v/>
      </c>
      <c r="R1764" s="13" t="n">
        <v>1</v>
      </c>
      <c r="S1764" s="14" t="n">
        <v>30.55</v>
      </c>
      <c r="T1764" s="14" t="n">
        <v>6.91</v>
      </c>
      <c r="U1764" s="26">
        <f>IF(X1764&gt;='Methodology &amp; Assumptions'!$B$7, "Tier 1 Critical GIDA (Score ≥ 50.0)", IF(X1764&gt;='Methodology &amp; Assumptions'!$B$8, "Tier 2 High GIDA (Score 40.0–49.9)", "Tier 3 Moderate GIDA (Score &lt; 40.0)"))</f>
        <v/>
      </c>
      <c r="V1764" s="26">
        <f>IF(S1764&lt;='Methodology &amp; Assumptions'!$B$10, "Direct Optical Drop (&lt;3km)", IF(S1764&lt;='Methodology &amp; Assumptions'!$B$9, "Near Optical / Microwave (&lt;5km)", "Starlink Business LEO Satellite Backhaul (&gt;5km)"))</f>
        <v/>
      </c>
      <c r="W1764" s="28" t="n">
        <v>0.237</v>
      </c>
      <c r="X1764" s="14" t="n">
        <v>41.87</v>
      </c>
      <c r="Y1764" s="14">
        <f>ROUND(MIN(100, (X1764/69.91)*100), 2)</f>
        <v/>
      </c>
    </row>
    <row r="1765">
      <c r="A1765" s="10" t="n">
        <v>5</v>
      </c>
      <c r="B1765" s="10" t="n">
        <v>761</v>
      </c>
      <c r="C1765" s="10" t="n">
        <v>4761</v>
      </c>
      <c r="D1765" s="10" t="inlineStr">
        <is>
          <t>0806019003</t>
        </is>
      </c>
      <c r="E1765" s="26" t="inlineStr">
        <is>
          <t>Region VIII (Eastern Visayas)</t>
        </is>
      </c>
      <c r="F1765" s="26" t="inlineStr">
        <is>
          <t>Samar</t>
        </is>
      </c>
      <c r="G1765" s="26" t="inlineStr">
        <is>
          <t>Talalora</t>
        </is>
      </c>
      <c r="H1765" s="26" t="inlineStr">
        <is>
          <t>Mallorga</t>
        </is>
      </c>
      <c r="I1765" s="27" t="n">
        <v>11.53844</v>
      </c>
      <c r="J1765" s="27" t="n">
        <v>124.86709</v>
      </c>
      <c r="K1765" s="10" t="inlineStr">
        <is>
          <t>R</t>
        </is>
      </c>
      <c r="L1765" s="12" t="n">
        <v>429</v>
      </c>
      <c r="M1765" s="14" t="n">
        <v>4.1</v>
      </c>
      <c r="N1765" s="12">
        <f>ROUND(L1765/M1765, 0)</f>
        <v/>
      </c>
      <c r="O1765" s="12">
        <f>ROUND(N1765*'Methodology &amp; Assumptions'!$B$5, 0)</f>
        <v/>
      </c>
      <c r="P1765" s="10" t="inlineStr">
        <is>
          <t>Single Carrier (Band n50, 100MHz TDD)</t>
        </is>
      </c>
      <c r="Q1765" s="13">
        <f>ROUNDUP(O1765/'Methodology &amp; Assumptions'!$B$6, 0)</f>
        <v/>
      </c>
      <c r="R1765" s="13" t="n">
        <v>1</v>
      </c>
      <c r="S1765" s="14" t="n">
        <v>32.86</v>
      </c>
      <c r="T1765" s="14" t="n">
        <v>32.42</v>
      </c>
      <c r="U1765" s="26">
        <f>IF(X1765&gt;='Methodology &amp; Assumptions'!$B$7, "Tier 1 Critical GIDA (Score ≥ 50.0)", IF(X1765&gt;='Methodology &amp; Assumptions'!$B$8, "Tier 2 High GIDA (Score 40.0–49.9)", "Tier 3 Moderate GIDA (Score &lt; 40.0)"))</f>
        <v/>
      </c>
      <c r="V1765" s="26">
        <f>IF(S1765&lt;='Methodology &amp; Assumptions'!$B$10, "Direct Optical Drop (&lt;3km)", IF(S1765&lt;='Methodology &amp; Assumptions'!$B$9, "Near Optical / Microwave (&lt;5km)", "Starlink Business LEO Satellite Backhaul (&gt;5km)"))</f>
        <v/>
      </c>
      <c r="W1765" s="28" t="n">
        <v>0.237</v>
      </c>
      <c r="X1765" s="14" t="n">
        <v>41.87</v>
      </c>
      <c r="Y1765" s="14">
        <f>ROUND(MIN(100, (X1765/69.91)*100), 2)</f>
        <v/>
      </c>
    </row>
    <row r="1766">
      <c r="A1766" s="10" t="n">
        <v>5</v>
      </c>
      <c r="B1766" s="10" t="n">
        <v>762</v>
      </c>
      <c r="C1766" s="10" t="n">
        <v>4762</v>
      </c>
      <c r="D1766" s="10" t="inlineStr">
        <is>
          <t>PH0004762</t>
        </is>
      </c>
      <c r="E1766" s="26" t="inlineStr">
        <is>
          <t>IV-A</t>
        </is>
      </c>
      <c r="F1766" s="26" t="inlineStr">
        <is>
          <t>Cavite</t>
        </is>
      </c>
      <c r="G1766" s="26" t="inlineStr">
        <is>
          <t>Cavite City</t>
        </is>
      </c>
      <c r="H1766" s="26" t="inlineStr">
        <is>
          <t>Barangay 15</t>
        </is>
      </c>
      <c r="I1766" s="27" t="n">
        <v>14.487584</v>
      </c>
      <c r="J1766" s="27" t="n">
        <v>120.944442</v>
      </c>
      <c r="K1766" s="10" t="inlineStr">
        <is>
          <t>R</t>
        </is>
      </c>
      <c r="L1766" s="12" t="n">
        <v>2316</v>
      </c>
      <c r="M1766" s="14" t="n">
        <v>3.4</v>
      </c>
      <c r="N1766" s="12">
        <f>ROUND(L1766/M1766, 0)</f>
        <v/>
      </c>
      <c r="O1766" s="12">
        <f>ROUND(N1766*'Methodology &amp; Assumptions'!$B$5, 0)</f>
        <v/>
      </c>
      <c r="P1766" s="10" t="inlineStr">
        <is>
          <t>Single Carrier (Band n50, 100MHz TDD)</t>
        </is>
      </c>
      <c r="Q1766" s="13">
        <f>ROUNDUP(O1766/'Methodology &amp; Assumptions'!$B$6, 0)</f>
        <v/>
      </c>
      <c r="R1766" s="13" t="n">
        <v>1</v>
      </c>
      <c r="S1766" s="14" t="n">
        <v>3.71</v>
      </c>
      <c r="T1766" s="14" t="n">
        <v>3.48</v>
      </c>
      <c r="U1766" s="26">
        <f>IF(X1766&gt;='Methodology &amp; Assumptions'!$B$7, "Tier 1 Critical GIDA (Score ≥ 50.0)", IF(X1766&gt;='Methodology &amp; Assumptions'!$B$8, "Tier 2 High GIDA (Score 40.0–49.9)", "Tier 3 Moderate GIDA (Score &lt; 40.0)"))</f>
        <v/>
      </c>
      <c r="V1766" s="26">
        <f>IF(S1766&lt;='Methodology &amp; Assumptions'!$B$10, "Direct Optical Drop (&lt;3km)", IF(S1766&lt;='Methodology &amp; Assumptions'!$B$9, "Near Optical / Microwave (&lt;5km)", "Starlink Business LEO Satellite Backhaul (&gt;5km)"))</f>
        <v/>
      </c>
      <c r="W1766" s="28" t="n">
        <v>0.07200000000000001</v>
      </c>
      <c r="X1766" s="14" t="n">
        <v>41.86</v>
      </c>
      <c r="Y1766" s="14">
        <f>ROUND(MIN(100, (X1766/69.91)*100), 2)</f>
        <v/>
      </c>
    </row>
    <row r="1767">
      <c r="A1767" s="10" t="n">
        <v>5</v>
      </c>
      <c r="B1767" s="10" t="n">
        <v>763</v>
      </c>
      <c r="C1767" s="10" t="n">
        <v>4763</v>
      </c>
      <c r="D1767" s="10" t="inlineStr">
        <is>
          <t>PH0004763</t>
        </is>
      </c>
      <c r="E1767" s="26" t="inlineStr">
        <is>
          <t>IX</t>
        </is>
      </c>
      <c r="F1767" s="26" t="inlineStr">
        <is>
          <t>Zamboanga Del Sur</t>
        </is>
      </c>
      <c r="G1767" s="26" t="inlineStr">
        <is>
          <t>Zamboanga City</t>
        </is>
      </c>
      <c r="H1767" s="26" t="inlineStr">
        <is>
          <t>Barangay Zone III (Pob.)</t>
        </is>
      </c>
      <c r="I1767" s="27" t="n">
        <v>7.068828</v>
      </c>
      <c r="J1767" s="27" t="n">
        <v>122.138769</v>
      </c>
      <c r="K1767" s="10" t="inlineStr">
        <is>
          <t>R</t>
        </is>
      </c>
      <c r="L1767" s="12" t="n">
        <v>2305</v>
      </c>
      <c r="M1767" s="14" t="n">
        <v>3.9</v>
      </c>
      <c r="N1767" s="12">
        <f>ROUND(L1767/M1767, 0)</f>
        <v/>
      </c>
      <c r="O1767" s="12">
        <f>ROUND(N1767*'Methodology &amp; Assumptions'!$B$5, 0)</f>
        <v/>
      </c>
      <c r="P1767" s="10" t="inlineStr">
        <is>
          <t>Single Carrier (Band n50, 100MHz TDD)</t>
        </is>
      </c>
      <c r="Q1767" s="13">
        <f>ROUNDUP(O1767/'Methodology &amp; Assumptions'!$B$6, 0)</f>
        <v/>
      </c>
      <c r="R1767" s="13" t="n">
        <v>1</v>
      </c>
      <c r="S1767" s="14" t="n">
        <v>19.03</v>
      </c>
      <c r="T1767" s="14" t="n">
        <v>6.32</v>
      </c>
      <c r="U1767" s="26">
        <f>IF(X1767&gt;='Methodology &amp; Assumptions'!$B$7, "Tier 1 Critical GIDA (Score ≥ 50.0)", IF(X1767&gt;='Methodology &amp; Assumptions'!$B$8, "Tier 2 High GIDA (Score 40.0–49.9)", "Tier 3 Moderate GIDA (Score &lt; 40.0)"))</f>
        <v/>
      </c>
      <c r="V1767" s="26">
        <f>IF(S1767&lt;='Methodology &amp; Assumptions'!$B$10, "Direct Optical Drop (&lt;3km)", IF(S1767&lt;='Methodology &amp; Assumptions'!$B$9, "Near Optical / Microwave (&lt;5km)", "Starlink Business LEO Satellite Backhaul (&gt;5km)"))</f>
        <v/>
      </c>
      <c r="W1767" s="28" t="n">
        <v>0.234</v>
      </c>
      <c r="X1767" s="14" t="n">
        <v>41.85</v>
      </c>
      <c r="Y1767" s="14">
        <f>ROUND(MIN(100, (X1767/69.91)*100), 2)</f>
        <v/>
      </c>
    </row>
    <row r="1768">
      <c r="A1768" s="10" t="n">
        <v>5</v>
      </c>
      <c r="B1768" s="10" t="n">
        <v>764</v>
      </c>
      <c r="C1768" s="10" t="n">
        <v>4764</v>
      </c>
      <c r="D1768" s="10" t="inlineStr">
        <is>
          <t>PH0004764</t>
        </is>
      </c>
      <c r="E1768" s="26" t="inlineStr">
        <is>
          <t>IV-A</t>
        </is>
      </c>
      <c r="F1768" s="26" t="inlineStr">
        <is>
          <t>Cavite</t>
        </is>
      </c>
      <c r="G1768" s="26" t="inlineStr">
        <is>
          <t>Cavite City</t>
        </is>
      </c>
      <c r="H1768" s="26" t="inlineStr">
        <is>
          <t>Barangay 1</t>
        </is>
      </c>
      <c r="I1768" s="27" t="n">
        <v>14.441269</v>
      </c>
      <c r="J1768" s="27" t="n">
        <v>120.866587</v>
      </c>
      <c r="K1768" s="10" t="inlineStr">
        <is>
          <t>R</t>
        </is>
      </c>
      <c r="L1768" s="12" t="n">
        <v>2316</v>
      </c>
      <c r="M1768" s="14" t="n">
        <v>3.4</v>
      </c>
      <c r="N1768" s="12">
        <f>ROUND(L1768/M1768, 0)</f>
        <v/>
      </c>
      <c r="O1768" s="12">
        <f>ROUND(N1768*'Methodology &amp; Assumptions'!$B$5, 0)</f>
        <v/>
      </c>
      <c r="P1768" s="10" t="inlineStr">
        <is>
          <t>Single Carrier (Band n50, 100MHz TDD)</t>
        </is>
      </c>
      <c r="Q1768" s="13">
        <f>ROUNDUP(O1768/'Methodology &amp; Assumptions'!$B$6, 0)</f>
        <v/>
      </c>
      <c r="R1768" s="13" t="n">
        <v>1</v>
      </c>
      <c r="S1768" s="14" t="n">
        <v>2.2</v>
      </c>
      <c r="T1768" s="14" t="n">
        <v>2.17</v>
      </c>
      <c r="U1768" s="26">
        <f>IF(X1768&gt;='Methodology &amp; Assumptions'!$B$7, "Tier 1 Critical GIDA (Score ≥ 50.0)", IF(X1768&gt;='Methodology &amp; Assumptions'!$B$8, "Tier 2 High GIDA (Score 40.0–49.9)", "Tier 3 Moderate GIDA (Score &lt; 40.0)"))</f>
        <v/>
      </c>
      <c r="V1768" s="26">
        <f>IF(S1768&lt;='Methodology &amp; Assumptions'!$B$10, "Direct Optical Drop (&lt;3km)", IF(S1768&lt;='Methodology &amp; Assumptions'!$B$9, "Near Optical / Microwave (&lt;5km)", "Starlink Business LEO Satellite Backhaul (&gt;5km)"))</f>
        <v/>
      </c>
      <c r="W1768" s="28" t="n">
        <v>0.07200000000000001</v>
      </c>
      <c r="X1768" s="14" t="n">
        <v>41.85</v>
      </c>
      <c r="Y1768" s="14">
        <f>ROUND(MIN(100, (X1768/69.91)*100), 2)</f>
        <v/>
      </c>
    </row>
    <row r="1769">
      <c r="A1769" s="10" t="n">
        <v>5</v>
      </c>
      <c r="B1769" s="10" t="n">
        <v>765</v>
      </c>
      <c r="C1769" s="10" t="n">
        <v>4765</v>
      </c>
      <c r="D1769" s="10" t="inlineStr">
        <is>
          <t>1906607013</t>
        </is>
      </c>
      <c r="E1769" s="26" t="inlineStr">
        <is>
          <t>Bangsamoro Autonomous Region In Muslim Mindanao (BARMM)</t>
        </is>
      </c>
      <c r="F1769" s="26" t="inlineStr">
        <is>
          <t>Sulu</t>
        </is>
      </c>
      <c r="G1769" s="26" t="inlineStr">
        <is>
          <t>Old Panamao</t>
        </is>
      </c>
      <c r="H1769" s="26" t="inlineStr">
        <is>
          <t>Kan Ukol</t>
        </is>
      </c>
      <c r="I1769" s="27" t="n">
        <v>17.255583</v>
      </c>
      <c r="J1769" s="27" t="n">
        <v>122.229627</v>
      </c>
      <c r="K1769" s="10" t="inlineStr">
        <is>
          <t>R</t>
        </is>
      </c>
      <c r="L1769" s="12" t="n">
        <v>1338</v>
      </c>
      <c r="M1769" s="14" t="n">
        <v>6</v>
      </c>
      <c r="N1769" s="12">
        <f>ROUND(L1769/M1769, 0)</f>
        <v/>
      </c>
      <c r="O1769" s="12">
        <f>ROUND(N1769*'Methodology &amp; Assumptions'!$B$5, 0)</f>
        <v/>
      </c>
      <c r="P1769" s="10" t="inlineStr">
        <is>
          <t>Single Carrier (Band n50, 100MHz TDD)</t>
        </is>
      </c>
      <c r="Q1769" s="13">
        <f>ROUNDUP(O1769/'Methodology &amp; Assumptions'!$B$6, 0)</f>
        <v/>
      </c>
      <c r="R1769" s="13" t="n">
        <v>1</v>
      </c>
      <c r="S1769" s="14" t="n">
        <v>29.53</v>
      </c>
      <c r="T1769" s="14" t="n">
        <v>34.4</v>
      </c>
      <c r="U1769" s="26">
        <f>IF(X1769&gt;='Methodology &amp; Assumptions'!$B$7, "Tier 1 Critical GIDA (Score ≥ 50.0)", IF(X1769&gt;='Methodology &amp; Assumptions'!$B$8, "Tier 2 High GIDA (Score 40.0–49.9)", "Tier 3 Moderate GIDA (Score &lt; 40.0)"))</f>
        <v/>
      </c>
      <c r="V1769" s="26">
        <f>IF(S1769&lt;='Methodology &amp; Assumptions'!$B$10, "Direct Optical Drop (&lt;3km)", IF(S1769&lt;='Methodology &amp; Assumptions'!$B$9, "Near Optical / Microwave (&lt;5km)", "Starlink Business LEO Satellite Backhaul (&gt;5km)"))</f>
        <v/>
      </c>
      <c r="W1769" s="28" t="n">
        <v>0.11</v>
      </c>
      <c r="X1769" s="14" t="n">
        <v>41.85</v>
      </c>
      <c r="Y1769" s="14">
        <f>ROUND(MIN(100, (X1769/69.91)*100), 2)</f>
        <v/>
      </c>
    </row>
    <row r="1770">
      <c r="A1770" s="10" t="n">
        <v>5</v>
      </c>
      <c r="B1770" s="10" t="n">
        <v>766</v>
      </c>
      <c r="C1770" s="10" t="n">
        <v>4766</v>
      </c>
      <c r="D1770" s="10" t="inlineStr">
        <is>
          <t>0301412015</t>
        </is>
      </c>
      <c r="E1770" s="26" t="inlineStr">
        <is>
          <t>Region III (Central Luzon)</t>
        </is>
      </c>
      <c r="F1770" s="26" t="inlineStr">
        <is>
          <t>Bulacan</t>
        </is>
      </c>
      <c r="G1770" s="26" t="inlineStr">
        <is>
          <t>City of Meycauayan</t>
        </is>
      </c>
      <c r="H1770" s="26" t="inlineStr">
        <is>
          <t>Malhacan</t>
        </is>
      </c>
      <c r="I1770" s="27" t="n">
        <v>14.739918</v>
      </c>
      <c r="J1770" s="27" t="n">
        <v>120.963651</v>
      </c>
      <c r="K1770" s="10" t="inlineStr">
        <is>
          <t>U</t>
        </is>
      </c>
      <c r="L1770" s="12" t="n">
        <v>22515</v>
      </c>
      <c r="M1770" s="14" t="n">
        <v>3.5</v>
      </c>
      <c r="N1770" s="12">
        <f>ROUND(L1770/M1770, 0)</f>
        <v/>
      </c>
      <c r="O1770" s="12">
        <f>ROUND(N1770*'Methodology &amp; Assumptions'!$B$5, 0)</f>
        <v/>
      </c>
      <c r="P1770" s="10" t="inlineStr">
        <is>
          <t>Single Carrier (Band n50, 100MHz TDD)</t>
        </is>
      </c>
      <c r="Q1770" s="13">
        <f>ROUNDUP(O1770/'Methodology &amp; Assumptions'!$B$6, 0)</f>
        <v/>
      </c>
      <c r="R1770" s="13" t="n">
        <v>1</v>
      </c>
      <c r="S1770" s="14" t="n">
        <v>0.55</v>
      </c>
      <c r="T1770" s="14" t="n">
        <v>0.38</v>
      </c>
      <c r="U1770" s="26">
        <f>IF(X1770&gt;='Methodology &amp; Assumptions'!$B$7, "Tier 1 Critical GIDA (Score ≥ 50.0)", IF(X1770&gt;='Methodology &amp; Assumptions'!$B$8, "Tier 2 High GIDA (Score 40.0–49.9)", "Tier 3 Moderate GIDA (Score &lt; 40.0)"))</f>
        <v/>
      </c>
      <c r="V1770" s="26">
        <f>IF(S1770&lt;='Methodology &amp; Assumptions'!$B$10, "Direct Optical Drop (&lt;3km)", IF(S1770&lt;='Methodology &amp; Assumptions'!$B$9, "Near Optical / Microwave (&lt;5km)", "Starlink Business LEO Satellite Backhaul (&gt;5km)"))</f>
        <v/>
      </c>
      <c r="W1770" s="28" t="n">
        <v>0.083</v>
      </c>
      <c r="X1770" s="14" t="n">
        <v>41.85</v>
      </c>
      <c r="Y1770" s="14">
        <f>ROUND(MIN(100, (X1770/69.91)*100), 2)</f>
        <v/>
      </c>
    </row>
    <row r="1771">
      <c r="A1771" s="10" t="n">
        <v>5</v>
      </c>
      <c r="B1771" s="10" t="n">
        <v>767</v>
      </c>
      <c r="C1771" s="10" t="n">
        <v>4767</v>
      </c>
      <c r="D1771" s="10" t="inlineStr">
        <is>
          <t>PH0004767</t>
        </is>
      </c>
      <c r="E1771" s="26" t="inlineStr">
        <is>
          <t>IV-A</t>
        </is>
      </c>
      <c r="F1771" s="26" t="inlineStr">
        <is>
          <t>Cavite</t>
        </is>
      </c>
      <c r="G1771" s="26" t="inlineStr">
        <is>
          <t>Cavite City</t>
        </is>
      </c>
      <c r="H1771" s="26" t="inlineStr">
        <is>
          <t>Barangay 58</t>
        </is>
      </c>
      <c r="I1771" s="27" t="n">
        <v>14.528758</v>
      </c>
      <c r="J1771" s="27" t="n">
        <v>120.892398</v>
      </c>
      <c r="K1771" s="10" t="inlineStr">
        <is>
          <t>R</t>
        </is>
      </c>
      <c r="L1771" s="12" t="n">
        <v>2316</v>
      </c>
      <c r="M1771" s="14" t="n">
        <v>3.4</v>
      </c>
      <c r="N1771" s="12">
        <f>ROUND(L1771/M1771, 0)</f>
        <v/>
      </c>
      <c r="O1771" s="12">
        <f>ROUND(N1771*'Methodology &amp; Assumptions'!$B$5, 0)</f>
        <v/>
      </c>
      <c r="P1771" s="10" t="inlineStr">
        <is>
          <t>Single Carrier (Band n50, 100MHz TDD)</t>
        </is>
      </c>
      <c r="Q1771" s="13">
        <f>ROUNDUP(O1771/'Methodology &amp; Assumptions'!$B$6, 0)</f>
        <v/>
      </c>
      <c r="R1771" s="13" t="n">
        <v>1</v>
      </c>
      <c r="S1771" s="14" t="n">
        <v>6.02</v>
      </c>
      <c r="T1771" s="14" t="n">
        <v>9.359999999999999</v>
      </c>
      <c r="U1771" s="26">
        <f>IF(X1771&gt;='Methodology &amp; Assumptions'!$B$7, "Tier 1 Critical GIDA (Score ≥ 50.0)", IF(X1771&gt;='Methodology &amp; Assumptions'!$B$8, "Tier 2 High GIDA (Score 40.0–49.9)", "Tier 3 Moderate GIDA (Score &lt; 40.0)"))</f>
        <v/>
      </c>
      <c r="V1771" s="26">
        <f>IF(S1771&lt;='Methodology &amp; Assumptions'!$B$10, "Direct Optical Drop (&lt;3km)", IF(S1771&lt;='Methodology &amp; Assumptions'!$B$9, "Near Optical / Microwave (&lt;5km)", "Starlink Business LEO Satellite Backhaul (&gt;5km)"))</f>
        <v/>
      </c>
      <c r="W1771" s="28" t="n">
        <v>0.07200000000000001</v>
      </c>
      <c r="X1771" s="14" t="n">
        <v>41.85</v>
      </c>
      <c r="Y1771" s="14">
        <f>ROUND(MIN(100, (X1771/69.91)*100), 2)</f>
        <v/>
      </c>
    </row>
    <row r="1772">
      <c r="A1772" s="10" t="n">
        <v>5</v>
      </c>
      <c r="B1772" s="10" t="n">
        <v>768</v>
      </c>
      <c r="C1772" s="10" t="n">
        <v>4768</v>
      </c>
      <c r="D1772" s="10" t="inlineStr">
        <is>
          <t>0405622073</t>
        </is>
      </c>
      <c r="E1772" s="26" t="inlineStr">
        <is>
          <t>Region IV-A (CALABARZON)</t>
        </is>
      </c>
      <c r="F1772" s="26" t="inlineStr">
        <is>
          <t>Quezon</t>
        </is>
      </c>
      <c r="G1772" s="26" t="inlineStr">
        <is>
          <t>Lopez</t>
        </is>
      </c>
      <c r="H1772" s="26" t="inlineStr">
        <is>
          <t>Santa Elena</t>
        </is>
      </c>
      <c r="I1772" s="27" t="n">
        <v>13.820096</v>
      </c>
      <c r="J1772" s="27" t="n">
        <v>122.213252</v>
      </c>
      <c r="K1772" s="10" t="inlineStr">
        <is>
          <t>R</t>
        </is>
      </c>
      <c r="L1772" s="12" t="n">
        <v>213</v>
      </c>
      <c r="M1772" s="14" t="n">
        <v>3.8</v>
      </c>
      <c r="N1772" s="12">
        <f>ROUND(L1772/M1772, 0)</f>
        <v/>
      </c>
      <c r="O1772" s="12">
        <f>ROUND(N1772*'Methodology &amp; Assumptions'!$B$5, 0)</f>
        <v/>
      </c>
      <c r="P1772" s="10" t="inlineStr">
        <is>
          <t>Single Carrier (Band n50, 100MHz TDD)</t>
        </is>
      </c>
      <c r="Q1772" s="13">
        <f>ROUNDUP(O1772/'Methodology &amp; Assumptions'!$B$6, 0)</f>
        <v/>
      </c>
      <c r="R1772" s="13" t="n">
        <v>1</v>
      </c>
      <c r="S1772" s="14" t="n">
        <v>9.140000000000001</v>
      </c>
      <c r="T1772" s="14" t="n">
        <v>7.75</v>
      </c>
      <c r="U1772" s="26">
        <f>IF(X1772&gt;='Methodology &amp; Assumptions'!$B$7, "Tier 1 Critical GIDA (Score ≥ 50.0)", IF(X1772&gt;='Methodology &amp; Assumptions'!$B$8, "Tier 2 High GIDA (Score 40.0–49.9)", "Tier 3 Moderate GIDA (Score &lt; 40.0)"))</f>
        <v/>
      </c>
      <c r="V1772" s="26">
        <f>IF(S1772&lt;='Methodology &amp; Assumptions'!$B$10, "Direct Optical Drop (&lt;3km)", IF(S1772&lt;='Methodology &amp; Assumptions'!$B$9, "Near Optical / Microwave (&lt;5km)", "Starlink Business LEO Satellite Backhaul (&gt;5km)"))</f>
        <v/>
      </c>
      <c r="W1772" s="28" t="n">
        <v>0.07200000000000001</v>
      </c>
      <c r="X1772" s="14" t="n">
        <v>41.85</v>
      </c>
      <c r="Y1772" s="14">
        <f>ROUND(MIN(100, (X1772/69.91)*100), 2)</f>
        <v/>
      </c>
    </row>
    <row r="1773">
      <c r="A1773" s="10" t="n">
        <v>5</v>
      </c>
      <c r="B1773" s="10" t="n">
        <v>769</v>
      </c>
      <c r="C1773" s="10" t="n">
        <v>4769</v>
      </c>
      <c r="D1773" s="10" t="inlineStr">
        <is>
          <t>PH0004769</t>
        </is>
      </c>
      <c r="E1773" s="26" t="inlineStr">
        <is>
          <t>NCR</t>
        </is>
      </c>
      <c r="F1773" s="26" t="inlineStr">
        <is>
          <t>Metro Manila</t>
        </is>
      </c>
      <c r="G1773" s="26" t="inlineStr">
        <is>
          <t>Taguig City</t>
        </is>
      </c>
      <c r="H1773" s="26" t="inlineStr">
        <is>
          <t>South Daang Hari</t>
        </is>
      </c>
      <c r="I1773" s="27" t="n">
        <v>14.520964</v>
      </c>
      <c r="J1773" s="27" t="n">
        <v>121.053815</v>
      </c>
      <c r="K1773" s="10" t="inlineStr">
        <is>
          <t>R</t>
        </is>
      </c>
      <c r="L1773" s="12" t="n">
        <v>2279</v>
      </c>
      <c r="M1773" s="14" t="n">
        <v>3.8</v>
      </c>
      <c r="N1773" s="12">
        <f>ROUND(L1773/M1773, 0)</f>
        <v/>
      </c>
      <c r="O1773" s="12">
        <f>ROUND(N1773*'Methodology &amp; Assumptions'!$B$5, 0)</f>
        <v/>
      </c>
      <c r="P1773" s="10" t="inlineStr">
        <is>
          <t>Single Carrier (Band n50, 100MHz TDD)</t>
        </is>
      </c>
      <c r="Q1773" s="13">
        <f>ROUNDUP(O1773/'Methodology &amp; Assumptions'!$B$6, 0)</f>
        <v/>
      </c>
      <c r="R1773" s="13" t="n">
        <v>1</v>
      </c>
      <c r="S1773" s="14" t="n">
        <v>0.46</v>
      </c>
      <c r="T1773" s="14" t="n">
        <v>0.06</v>
      </c>
      <c r="U1773" s="26">
        <f>IF(X1773&gt;='Methodology &amp; Assumptions'!$B$7, "Tier 1 Critical GIDA (Score ≥ 50.0)", IF(X1773&gt;='Methodology &amp; Assumptions'!$B$8, "Tier 2 High GIDA (Score 40.0–49.9)", "Tier 3 Moderate GIDA (Score &lt; 40.0)"))</f>
        <v/>
      </c>
      <c r="V1773" s="26">
        <f>IF(S1773&lt;='Methodology &amp; Assumptions'!$B$10, "Direct Optical Drop (&lt;3km)", IF(S1773&lt;='Methodology &amp; Assumptions'!$B$9, "Near Optical / Microwave (&lt;5km)", "Starlink Business LEO Satellite Backhaul (&gt;5km)"))</f>
        <v/>
      </c>
      <c r="W1773" s="28" t="n">
        <v>0.011</v>
      </c>
      <c r="X1773" s="14" t="n">
        <v>41.84</v>
      </c>
      <c r="Y1773" s="14">
        <f>ROUND(MIN(100, (X1773/69.91)*100), 2)</f>
        <v/>
      </c>
    </row>
    <row r="1774">
      <c r="A1774" s="10" t="n">
        <v>5</v>
      </c>
      <c r="B1774" s="10" t="n">
        <v>770</v>
      </c>
      <c r="C1774" s="10" t="n">
        <v>4770</v>
      </c>
      <c r="D1774" s="10" t="inlineStr">
        <is>
          <t>0300809016</t>
        </is>
      </c>
      <c r="E1774" s="26" t="inlineStr">
        <is>
          <t>Region III (Central Luzon)</t>
        </is>
      </c>
      <c r="F1774" s="26" t="inlineStr">
        <is>
          <t>Bataan</t>
        </is>
      </c>
      <c r="G1774" s="26" t="inlineStr">
        <is>
          <t>Orani</t>
        </is>
      </c>
      <c r="H1774" s="26" t="inlineStr">
        <is>
          <t>Centro I</t>
        </is>
      </c>
      <c r="I1774" s="27" t="n">
        <v>14.793449</v>
      </c>
      <c r="J1774" s="27" t="n">
        <v>120.518295</v>
      </c>
      <c r="K1774" s="10" t="inlineStr">
        <is>
          <t>R</t>
        </is>
      </c>
      <c r="L1774" s="12" t="n">
        <v>513</v>
      </c>
      <c r="M1774" s="14" t="n">
        <v>3.6</v>
      </c>
      <c r="N1774" s="12">
        <f>ROUND(L1774/M1774, 0)</f>
        <v/>
      </c>
      <c r="O1774" s="12">
        <f>ROUND(N1774*'Methodology &amp; Assumptions'!$B$5, 0)</f>
        <v/>
      </c>
      <c r="P1774" s="10" t="inlineStr">
        <is>
          <t>Single Carrier (Band n50, 100MHz TDD)</t>
        </is>
      </c>
      <c r="Q1774" s="13">
        <f>ROUNDUP(O1774/'Methodology &amp; Assumptions'!$B$6, 0)</f>
        <v/>
      </c>
      <c r="R1774" s="13" t="n">
        <v>1</v>
      </c>
      <c r="S1774" s="14" t="n">
        <v>2.17</v>
      </c>
      <c r="T1774" s="14" t="n">
        <v>0.65</v>
      </c>
      <c r="U1774" s="26">
        <f>IF(X1774&gt;='Methodology &amp; Assumptions'!$B$7, "Tier 1 Critical GIDA (Score ≥ 50.0)", IF(X1774&gt;='Methodology &amp; Assumptions'!$B$8, "Tier 2 High GIDA (Score 40.0–49.9)", "Tier 3 Moderate GIDA (Score &lt; 40.0)"))</f>
        <v/>
      </c>
      <c r="V1774" s="26">
        <f>IF(S1774&lt;='Methodology &amp; Assumptions'!$B$10, "Direct Optical Drop (&lt;3km)", IF(S1774&lt;='Methodology &amp; Assumptions'!$B$9, "Near Optical / Microwave (&lt;5km)", "Starlink Business LEO Satellite Backhaul (&gt;5km)"))</f>
        <v/>
      </c>
      <c r="W1774" s="28" t="n">
        <v>0.083</v>
      </c>
      <c r="X1774" s="14" t="n">
        <v>41.84</v>
      </c>
      <c r="Y1774" s="14">
        <f>ROUND(MIN(100, (X1774/69.91)*100), 2)</f>
        <v/>
      </c>
    </row>
    <row r="1775">
      <c r="A1775" s="10" t="n">
        <v>5</v>
      </c>
      <c r="B1775" s="10" t="n">
        <v>771</v>
      </c>
      <c r="C1775" s="10" t="n">
        <v>4771</v>
      </c>
      <c r="D1775" s="10" t="inlineStr">
        <is>
          <t>PH0004771</t>
        </is>
      </c>
      <c r="E1775" s="26" t="inlineStr">
        <is>
          <t>VIII</t>
        </is>
      </c>
      <c r="F1775" s="26" t="inlineStr">
        <is>
          <t>Leyte</t>
        </is>
      </c>
      <c r="G1775" s="26" t="inlineStr">
        <is>
          <t>Tacloban City</t>
        </is>
      </c>
      <c r="H1775" s="26" t="inlineStr">
        <is>
          <t>Barangay 91</t>
        </is>
      </c>
      <c r="I1775" s="27" t="n">
        <v>11.236607</v>
      </c>
      <c r="J1775" s="27" t="n">
        <v>124.984541</v>
      </c>
      <c r="K1775" s="10" t="inlineStr">
        <is>
          <t>R</t>
        </is>
      </c>
      <c r="L1775" s="12" t="n">
        <v>2258</v>
      </c>
      <c r="M1775" s="14" t="n">
        <v>3.8</v>
      </c>
      <c r="N1775" s="12">
        <f>ROUND(L1775/M1775, 0)</f>
        <v/>
      </c>
      <c r="O1775" s="12">
        <f>ROUND(N1775*'Methodology &amp; Assumptions'!$B$5, 0)</f>
        <v/>
      </c>
      <c r="P1775" s="10" t="inlineStr">
        <is>
          <t>Single Carrier (Band n50, 100MHz TDD)</t>
        </is>
      </c>
      <c r="Q1775" s="13">
        <f>ROUNDUP(O1775/'Methodology &amp; Assumptions'!$B$6, 0)</f>
        <v/>
      </c>
      <c r="R1775" s="13" t="n">
        <v>1</v>
      </c>
      <c r="S1775" s="14" t="n">
        <v>1.98</v>
      </c>
      <c r="T1775" s="14" t="n">
        <v>3.81</v>
      </c>
      <c r="U1775" s="26">
        <f>IF(X1775&gt;='Methodology &amp; Assumptions'!$B$7, "Tier 1 Critical GIDA (Score ≥ 50.0)", IF(X1775&gt;='Methodology &amp; Assumptions'!$B$8, "Tier 2 High GIDA (Score 40.0–49.9)", "Tier 3 Moderate GIDA (Score &lt; 40.0)"))</f>
        <v/>
      </c>
      <c r="V1775" s="26">
        <f>IF(S1775&lt;='Methodology &amp; Assumptions'!$B$10, "Direct Optical Drop (&lt;3km)", IF(S1775&lt;='Methodology &amp; Assumptions'!$B$9, "Near Optical / Microwave (&lt;5km)", "Starlink Business LEO Satellite Backhaul (&gt;5km)"))</f>
        <v/>
      </c>
      <c r="W1775" s="28" t="n">
        <v>0.222</v>
      </c>
      <c r="X1775" s="14" t="n">
        <v>41.84</v>
      </c>
      <c r="Y1775" s="14">
        <f>ROUND(MIN(100, (X1775/69.91)*100), 2)</f>
        <v/>
      </c>
    </row>
    <row r="1776">
      <c r="A1776" s="10" t="n">
        <v>5</v>
      </c>
      <c r="B1776" s="10" t="n">
        <v>772</v>
      </c>
      <c r="C1776" s="10" t="n">
        <v>4772</v>
      </c>
      <c r="D1776" s="10" t="inlineStr">
        <is>
          <t>1380500025</t>
        </is>
      </c>
      <c r="E1776" s="26" t="inlineStr">
        <is>
          <t>National Capital Region (NCR)</t>
        </is>
      </c>
      <c r="F1776" s="26" t="inlineStr">
        <is>
          <t>Second District (Not a Province)</t>
        </is>
      </c>
      <c r="G1776" s="26" t="inlineStr">
        <is>
          <t>City of Mandaluyong</t>
        </is>
      </c>
      <c r="H1776" s="26" t="inlineStr">
        <is>
          <t>San Jose</t>
        </is>
      </c>
      <c r="I1776" s="27" t="n">
        <v>14.58</v>
      </c>
      <c r="J1776" s="27" t="n">
        <v>121.029167</v>
      </c>
      <c r="K1776" s="10" t="inlineStr">
        <is>
          <t>U</t>
        </is>
      </c>
      <c r="L1776" s="12" t="n">
        <v>9283</v>
      </c>
      <c r="M1776" s="14" t="n">
        <v>3.3</v>
      </c>
      <c r="N1776" s="12">
        <f>ROUND(L1776/M1776, 0)</f>
        <v/>
      </c>
      <c r="O1776" s="12">
        <f>ROUND(N1776*'Methodology &amp; Assumptions'!$B$5, 0)</f>
        <v/>
      </c>
      <c r="P1776" s="10" t="inlineStr">
        <is>
          <t>Single Carrier (Band n50, 100MHz TDD)</t>
        </is>
      </c>
      <c r="Q1776" s="13">
        <f>ROUNDUP(O1776/'Methodology &amp; Assumptions'!$B$6, 0)</f>
        <v/>
      </c>
      <c r="R1776" s="13" t="n">
        <v>1</v>
      </c>
      <c r="S1776" s="14" t="n">
        <v>0.42</v>
      </c>
      <c r="T1776" s="14" t="n">
        <v>0.32</v>
      </c>
      <c r="U1776" s="26">
        <f>IF(X1776&gt;='Methodology &amp; Assumptions'!$B$7, "Tier 1 Critical GIDA (Score ≥ 50.0)", IF(X1776&gt;='Methodology &amp; Assumptions'!$B$8, "Tier 2 High GIDA (Score 40.0–49.9)", "Tier 3 Moderate GIDA (Score &lt; 40.0)"))</f>
        <v/>
      </c>
      <c r="V1776" s="26">
        <f>IF(S1776&lt;='Methodology &amp; Assumptions'!$B$10, "Direct Optical Drop (&lt;3km)", IF(S1776&lt;='Methodology &amp; Assumptions'!$B$9, "Near Optical / Microwave (&lt;5km)", "Starlink Business LEO Satellite Backhaul (&gt;5km)"))</f>
        <v/>
      </c>
      <c r="W1776" s="28" t="n">
        <v>0.109</v>
      </c>
      <c r="X1776" s="14" t="n">
        <v>41.84</v>
      </c>
      <c r="Y1776" s="14">
        <f>ROUND(MIN(100, (X1776/69.91)*100), 2)</f>
        <v/>
      </c>
    </row>
    <row r="1777">
      <c r="A1777" s="10" t="n">
        <v>5</v>
      </c>
      <c r="B1777" s="10" t="n">
        <v>773</v>
      </c>
      <c r="C1777" s="10" t="n">
        <v>4773</v>
      </c>
      <c r="D1777" s="10" t="inlineStr">
        <is>
          <t>1600309019</t>
        </is>
      </c>
      <c r="E1777" s="26" t="inlineStr">
        <is>
          <t>Region XIII (Caraga)</t>
        </is>
      </c>
      <c r="F1777" s="26" t="inlineStr">
        <is>
          <t>Agusan del Sur</t>
        </is>
      </c>
      <c r="G1777" s="26" t="inlineStr">
        <is>
          <t>San Luis</t>
        </is>
      </c>
      <c r="H1777" s="26" t="inlineStr">
        <is>
          <t>Policarpo</t>
        </is>
      </c>
      <c r="I1777" s="27" t="n">
        <v>8.439601</v>
      </c>
      <c r="J1777" s="27" t="n">
        <v>125.681189</v>
      </c>
      <c r="K1777" s="10" t="inlineStr">
        <is>
          <t>R</t>
        </is>
      </c>
      <c r="L1777" s="12" t="n">
        <v>613</v>
      </c>
      <c r="M1777" s="14" t="n">
        <v>3.9</v>
      </c>
      <c r="N1777" s="12">
        <f>ROUND(L1777/M1777, 0)</f>
        <v/>
      </c>
      <c r="O1777" s="12">
        <f>ROUND(N1777*'Methodology &amp; Assumptions'!$B$5, 0)</f>
        <v/>
      </c>
      <c r="P1777" s="10" t="inlineStr">
        <is>
          <t>Single Carrier (Band n50, 100MHz TDD)</t>
        </is>
      </c>
      <c r="Q1777" s="13">
        <f>ROUNDUP(O1777/'Methodology &amp; Assumptions'!$B$6, 0)</f>
        <v/>
      </c>
      <c r="R1777" s="13" t="n">
        <v>1</v>
      </c>
      <c r="S1777" s="14" t="n">
        <v>31.56</v>
      </c>
      <c r="T1777" s="14" t="n">
        <v>24.79</v>
      </c>
      <c r="U1777" s="26">
        <f>IF(X1777&gt;='Methodology &amp; Assumptions'!$B$7, "Tier 1 Critical GIDA (Score ≥ 50.0)", IF(X1777&gt;='Methodology &amp; Assumptions'!$B$8, "Tier 2 High GIDA (Score 40.0–49.9)", "Tier 3 Moderate GIDA (Score &lt; 40.0)"))</f>
        <v/>
      </c>
      <c r="V1777" s="26">
        <f>IF(S1777&lt;='Methodology &amp; Assumptions'!$B$10, "Direct Optical Drop (&lt;3km)", IF(S1777&lt;='Methodology &amp; Assumptions'!$B$9, "Near Optical / Microwave (&lt;5km)", "Starlink Business LEO Satellite Backhaul (&gt;5km)"))</f>
        <v/>
      </c>
      <c r="W1777" s="28" t="n">
        <v>0.174</v>
      </c>
      <c r="X1777" s="14" t="n">
        <v>41.84</v>
      </c>
      <c r="Y1777" s="14">
        <f>ROUND(MIN(100, (X1777/69.91)*100), 2)</f>
        <v/>
      </c>
    </row>
    <row r="1778">
      <c r="A1778" s="10" t="n">
        <v>5</v>
      </c>
      <c r="B1778" s="10" t="n">
        <v>774</v>
      </c>
      <c r="C1778" s="10" t="n">
        <v>4774</v>
      </c>
      <c r="D1778" s="10" t="inlineStr">
        <is>
          <t>0501711001</t>
        </is>
      </c>
      <c r="E1778" s="26" t="inlineStr">
        <is>
          <t>Region V (Bicol Region)</t>
        </is>
      </c>
      <c r="F1778" s="26" t="inlineStr">
        <is>
          <t>Camarines Sur</t>
        </is>
      </c>
      <c r="G1778" s="26" t="inlineStr">
        <is>
          <t>Caramoan</t>
        </is>
      </c>
      <c r="H1778" s="26" t="inlineStr">
        <is>
          <t>Agaas</t>
        </is>
      </c>
      <c r="I1778" s="27" t="n">
        <v>13.81041</v>
      </c>
      <c r="J1778" s="27" t="n">
        <v>123.8032</v>
      </c>
      <c r="K1778" s="10" t="inlineStr">
        <is>
          <t>R</t>
        </is>
      </c>
      <c r="L1778" s="12" t="n">
        <v>432</v>
      </c>
      <c r="M1778" s="14" t="n">
        <v>4.2</v>
      </c>
      <c r="N1778" s="12">
        <f>ROUND(L1778/M1778, 0)</f>
        <v/>
      </c>
      <c r="O1778" s="12">
        <f>ROUND(N1778*'Methodology &amp; Assumptions'!$B$5, 0)</f>
        <v/>
      </c>
      <c r="P1778" s="10" t="inlineStr">
        <is>
          <t>Single Carrier (Band n50, 100MHz TDD)</t>
        </is>
      </c>
      <c r="Q1778" s="13">
        <f>ROUNDUP(O1778/'Methodology &amp; Assumptions'!$B$6, 0)</f>
        <v/>
      </c>
      <c r="R1778" s="13" t="n">
        <v>1</v>
      </c>
      <c r="S1778" s="14" t="n">
        <v>7.65</v>
      </c>
      <c r="T1778" s="14" t="n">
        <v>36.08</v>
      </c>
      <c r="U1778" s="26">
        <f>IF(X1778&gt;='Methodology &amp; Assumptions'!$B$7, "Tier 1 Critical GIDA (Score ≥ 50.0)", IF(X1778&gt;='Methodology &amp; Assumptions'!$B$8, "Tier 2 High GIDA (Score 40.0–49.9)", "Tier 3 Moderate GIDA (Score &lt; 40.0)"))</f>
        <v/>
      </c>
      <c r="V1778" s="26">
        <f>IF(S1778&lt;='Methodology &amp; Assumptions'!$B$10, "Direct Optical Drop (&lt;3km)", IF(S1778&lt;='Methodology &amp; Assumptions'!$B$9, "Near Optical / Microwave (&lt;5km)", "Starlink Business LEO Satellite Backhaul (&gt;5km)"))</f>
        <v/>
      </c>
      <c r="W1778" s="28" t="n">
        <v>0.237</v>
      </c>
      <c r="X1778" s="14" t="n">
        <v>41.84</v>
      </c>
      <c r="Y1778" s="14">
        <f>ROUND(MIN(100, (X1778/69.91)*100), 2)</f>
        <v/>
      </c>
    </row>
    <row r="1779">
      <c r="A1779" s="10" t="n">
        <v>5</v>
      </c>
      <c r="B1779" s="10" t="n">
        <v>775</v>
      </c>
      <c r="C1779" s="10" t="n">
        <v>4775</v>
      </c>
      <c r="D1779" s="10" t="inlineStr">
        <is>
          <t>PH0004775</t>
        </is>
      </c>
      <c r="E1779" s="26" t="inlineStr">
        <is>
          <t>XIII</t>
        </is>
      </c>
      <c r="F1779" s="26" t="inlineStr">
        <is>
          <t>Agusan Del Norte</t>
        </is>
      </c>
      <c r="G1779" s="26" t="inlineStr">
        <is>
          <t>Butuan City</t>
        </is>
      </c>
      <c r="H1779" s="26" t="inlineStr">
        <is>
          <t>Humabon Pob.</t>
        </is>
      </c>
      <c r="I1779" s="27" t="n">
        <v>11.178968</v>
      </c>
      <c r="J1779" s="27" t="n">
        <v>124.650076</v>
      </c>
      <c r="K1779" s="10" t="inlineStr">
        <is>
          <t>R</t>
        </is>
      </c>
      <c r="L1779" s="12" t="n">
        <v>2294</v>
      </c>
      <c r="M1779" s="14" t="n">
        <v>4.1</v>
      </c>
      <c r="N1779" s="12">
        <f>ROUND(L1779/M1779, 0)</f>
        <v/>
      </c>
      <c r="O1779" s="12">
        <f>ROUND(N1779*'Methodology &amp; Assumptions'!$B$5, 0)</f>
        <v/>
      </c>
      <c r="P1779" s="10" t="inlineStr">
        <is>
          <t>Single Carrier (Band n50, 100MHz TDD)</t>
        </is>
      </c>
      <c r="Q1779" s="13">
        <f>ROUNDUP(O1779/'Methodology &amp; Assumptions'!$B$6, 0)</f>
        <v/>
      </c>
      <c r="R1779" s="13" t="n">
        <v>1</v>
      </c>
      <c r="S1779" s="14" t="n">
        <v>9.69</v>
      </c>
      <c r="T1779" s="14" t="n">
        <v>9.039999999999999</v>
      </c>
      <c r="U1779" s="26">
        <f>IF(X1779&gt;='Methodology &amp; Assumptions'!$B$7, "Tier 1 Critical GIDA (Score ≥ 50.0)", IF(X1779&gt;='Methodology &amp; Assumptions'!$B$8, "Tier 2 High GIDA (Score 40.0–49.9)", "Tier 3 Moderate GIDA (Score &lt; 40.0)"))</f>
        <v/>
      </c>
      <c r="V1779" s="26">
        <f>IF(S1779&lt;='Methodology &amp; Assumptions'!$B$10, "Direct Optical Drop (&lt;3km)", IF(S1779&lt;='Methodology &amp; Assumptions'!$B$9, "Near Optical / Microwave (&lt;5km)", "Starlink Business LEO Satellite Backhaul (&gt;5km)"))</f>
        <v/>
      </c>
      <c r="W1779" s="28" t="n">
        <v>0.109</v>
      </c>
      <c r="X1779" s="14" t="n">
        <v>41.84</v>
      </c>
      <c r="Y1779" s="14">
        <f>ROUND(MIN(100, (X1779/69.91)*100), 2)</f>
        <v/>
      </c>
    </row>
    <row r="1780">
      <c r="A1780" s="10" t="n">
        <v>5</v>
      </c>
      <c r="B1780" s="10" t="n">
        <v>776</v>
      </c>
      <c r="C1780" s="10" t="n">
        <v>4776</v>
      </c>
      <c r="D1780" s="10" t="inlineStr">
        <is>
          <t>PH0004776</t>
        </is>
      </c>
      <c r="E1780" s="26" t="inlineStr">
        <is>
          <t>CAR</t>
        </is>
      </c>
      <c r="F1780" s="26" t="inlineStr">
        <is>
          <t>Benguet</t>
        </is>
      </c>
      <c r="G1780" s="26" t="inlineStr">
        <is>
          <t>Baguio City</t>
        </is>
      </c>
      <c r="H1780" s="26" t="inlineStr">
        <is>
          <t>Phil-Am</t>
        </is>
      </c>
      <c r="I1780" s="27" t="n">
        <v>16.430931</v>
      </c>
      <c r="J1780" s="27" t="n">
        <v>120.687518</v>
      </c>
      <c r="K1780" s="10" t="inlineStr">
        <is>
          <t>R</t>
        </is>
      </c>
      <c r="L1780" s="12" t="n">
        <v>2260</v>
      </c>
      <c r="M1780" s="14" t="n">
        <v>3.5</v>
      </c>
      <c r="N1780" s="12">
        <f>ROUND(L1780/M1780, 0)</f>
        <v/>
      </c>
      <c r="O1780" s="12">
        <f>ROUND(N1780*'Methodology &amp; Assumptions'!$B$5, 0)</f>
        <v/>
      </c>
      <c r="P1780" s="10" t="inlineStr">
        <is>
          <t>Single Carrier (Band n50, 100MHz TDD)</t>
        </is>
      </c>
      <c r="Q1780" s="13">
        <f>ROUNDUP(O1780/'Methodology &amp; Assumptions'!$B$6, 0)</f>
        <v/>
      </c>
      <c r="R1780" s="13" t="n">
        <v>1</v>
      </c>
      <c r="S1780" s="14" t="n">
        <v>5.44</v>
      </c>
      <c r="T1780" s="14" t="n">
        <v>1.26</v>
      </c>
      <c r="U1780" s="26">
        <f>IF(X1780&gt;='Methodology &amp; Assumptions'!$B$7, "Tier 1 Critical GIDA (Score ≥ 50.0)", IF(X1780&gt;='Methodology &amp; Assumptions'!$B$8, "Tier 2 High GIDA (Score 40.0–49.9)", "Tier 3 Moderate GIDA (Score &lt; 40.0)"))</f>
        <v/>
      </c>
      <c r="V1780" s="26">
        <f>IF(S1780&lt;='Methodology &amp; Assumptions'!$B$10, "Direct Optical Drop (&lt;3km)", IF(S1780&lt;='Methodology &amp; Assumptions'!$B$9, "Near Optical / Microwave (&lt;5km)", "Starlink Business LEO Satellite Backhaul (&gt;5km)"))</f>
        <v/>
      </c>
      <c r="W1780" s="28" t="n">
        <v>0.221</v>
      </c>
      <c r="X1780" s="14" t="n">
        <v>41.83</v>
      </c>
      <c r="Y1780" s="14">
        <f>ROUND(MIN(100, (X1780/69.91)*100), 2)</f>
        <v/>
      </c>
    </row>
    <row r="1781">
      <c r="A1781" s="10" t="n">
        <v>5</v>
      </c>
      <c r="B1781" s="10" t="n">
        <v>777</v>
      </c>
      <c r="C1781" s="10" t="n">
        <v>4777</v>
      </c>
      <c r="D1781" s="10" t="inlineStr">
        <is>
          <t>1380900017</t>
        </is>
      </c>
      <c r="E1781" s="26" t="inlineStr">
        <is>
          <t>National Capital Region (NCR)</t>
        </is>
      </c>
      <c r="F1781" s="26" t="inlineStr">
        <is>
          <t>Third District (Not a Province)</t>
        </is>
      </c>
      <c r="G1781" s="26" t="inlineStr">
        <is>
          <t>City of Navotas</t>
        </is>
      </c>
      <c r="H1781" s="26" t="inlineStr">
        <is>
          <t>Tangos North</t>
        </is>
      </c>
      <c r="I1781" s="27" t="n">
        <v>14.664093</v>
      </c>
      <c r="J1781" s="27" t="n">
        <v>120.964655</v>
      </c>
      <c r="K1781" s="10" t="inlineStr">
        <is>
          <t>U</t>
        </is>
      </c>
      <c r="L1781" s="12" t="n">
        <v>17891</v>
      </c>
      <c r="M1781" s="14" t="n">
        <v>3.4</v>
      </c>
      <c r="N1781" s="12">
        <f>ROUND(L1781/M1781, 0)</f>
        <v/>
      </c>
      <c r="O1781" s="12">
        <f>ROUND(N1781*'Methodology &amp; Assumptions'!$B$5, 0)</f>
        <v/>
      </c>
      <c r="P1781" s="10" t="inlineStr">
        <is>
          <t>Single Carrier (Band n50, 100MHz TDD)</t>
        </is>
      </c>
      <c r="Q1781" s="13">
        <f>ROUNDUP(O1781/'Methodology &amp; Assumptions'!$B$6, 0)</f>
        <v/>
      </c>
      <c r="R1781" s="13" t="n">
        <v>1</v>
      </c>
      <c r="S1781" s="14" t="n">
        <v>0.54</v>
      </c>
      <c r="T1781" s="14" t="n">
        <v>0.43</v>
      </c>
      <c r="U1781" s="26">
        <f>IF(X1781&gt;='Methodology &amp; Assumptions'!$B$7, "Tier 1 Critical GIDA (Score ≥ 50.0)", IF(X1781&gt;='Methodology &amp; Assumptions'!$B$8, "Tier 2 High GIDA (Score 40.0–49.9)", "Tier 3 Moderate GIDA (Score &lt; 40.0)"))</f>
        <v/>
      </c>
      <c r="V1781" s="26">
        <f>IF(S1781&lt;='Methodology &amp; Assumptions'!$B$10, "Direct Optical Drop (&lt;3km)", IF(S1781&lt;='Methodology &amp; Assumptions'!$B$9, "Near Optical / Microwave (&lt;5km)", "Starlink Business LEO Satellite Backhaul (&gt;5km)"))</f>
        <v/>
      </c>
      <c r="W1781" s="28" t="n">
        <v>0.109</v>
      </c>
      <c r="X1781" s="14" t="n">
        <v>41.83</v>
      </c>
      <c r="Y1781" s="14">
        <f>ROUND(MIN(100, (X1781/69.91)*100), 2)</f>
        <v/>
      </c>
    </row>
    <row r="1782">
      <c r="A1782" s="10" t="n">
        <v>5</v>
      </c>
      <c r="B1782" s="10" t="n">
        <v>778</v>
      </c>
      <c r="C1782" s="10" t="n">
        <v>4778</v>
      </c>
      <c r="D1782" s="10" t="inlineStr">
        <is>
          <t>1908824006</t>
        </is>
      </c>
      <c r="E1782" s="26" t="inlineStr">
        <is>
          <t>Bangsamoro Autonomous Region In Muslim Mindanao (BARMM)</t>
        </is>
      </c>
      <c r="F1782" s="26" t="inlineStr">
        <is>
          <t>Maguindanao del Sur</t>
        </is>
      </c>
      <c r="G1782" s="26" t="inlineStr">
        <is>
          <t>Talayan</t>
        </is>
      </c>
      <c r="H1782" s="26" t="inlineStr">
        <is>
          <t>Fukol</t>
        </is>
      </c>
      <c r="I1782" s="27" t="n">
        <v>16.12217</v>
      </c>
      <c r="J1782" s="27" t="n">
        <v>122.461528</v>
      </c>
      <c r="K1782" s="10" t="inlineStr">
        <is>
          <t>R</t>
        </is>
      </c>
      <c r="L1782" s="12" t="n">
        <v>1079</v>
      </c>
      <c r="M1782" s="14" t="n">
        <v>4.7</v>
      </c>
      <c r="N1782" s="12">
        <f>ROUND(L1782/M1782, 0)</f>
        <v/>
      </c>
      <c r="O1782" s="12">
        <f>ROUND(N1782*'Methodology &amp; Assumptions'!$B$5, 0)</f>
        <v/>
      </c>
      <c r="P1782" s="10" t="inlineStr">
        <is>
          <t>Single Carrier (Band n50, 100MHz TDD)</t>
        </is>
      </c>
      <c r="Q1782" s="13">
        <f>ROUNDUP(O1782/'Methodology &amp; Assumptions'!$B$6, 0)</f>
        <v/>
      </c>
      <c r="R1782" s="13" t="n">
        <v>1</v>
      </c>
      <c r="S1782" s="14" t="n">
        <v>39.95</v>
      </c>
      <c r="T1782" s="14" t="n">
        <v>39.5</v>
      </c>
      <c r="U1782" s="26">
        <f>IF(X1782&gt;='Methodology &amp; Assumptions'!$B$7, "Tier 1 Critical GIDA (Score ≥ 50.0)", IF(X1782&gt;='Methodology &amp; Assumptions'!$B$8, "Tier 2 High GIDA (Score 40.0–49.9)", "Tier 3 Moderate GIDA (Score &lt; 40.0)"))</f>
        <v/>
      </c>
      <c r="V1782" s="26">
        <f>IF(S1782&lt;='Methodology &amp; Assumptions'!$B$10, "Direct Optical Drop (&lt;3km)", IF(S1782&lt;='Methodology &amp; Assumptions'!$B$9, "Near Optical / Microwave (&lt;5km)", "Starlink Business LEO Satellite Backhaul (&gt;5km)"))</f>
        <v/>
      </c>
      <c r="W1782" s="28" t="n">
        <v>0.11</v>
      </c>
      <c r="X1782" s="14" t="n">
        <v>41.83</v>
      </c>
      <c r="Y1782" s="14">
        <f>ROUND(MIN(100, (X1782/69.91)*100), 2)</f>
        <v/>
      </c>
    </row>
    <row r="1783">
      <c r="A1783" s="10" t="n">
        <v>5</v>
      </c>
      <c r="B1783" s="10" t="n">
        <v>779</v>
      </c>
      <c r="C1783" s="10" t="n">
        <v>4779</v>
      </c>
      <c r="D1783" s="10" t="inlineStr">
        <is>
          <t>PH0004779</t>
        </is>
      </c>
      <c r="E1783" s="26" t="inlineStr">
        <is>
          <t>IV-A</t>
        </is>
      </c>
      <c r="F1783" s="26" t="inlineStr">
        <is>
          <t>Cavite</t>
        </is>
      </c>
      <c r="G1783" s="26" t="inlineStr">
        <is>
          <t>Cavite City</t>
        </is>
      </c>
      <c r="H1783" s="26" t="inlineStr">
        <is>
          <t>Barangay 18</t>
        </is>
      </c>
      <c r="I1783" s="27" t="n">
        <v>14.445114</v>
      </c>
      <c r="J1783" s="27" t="n">
        <v>120.935564</v>
      </c>
      <c r="K1783" s="10" t="inlineStr">
        <is>
          <t>R</t>
        </is>
      </c>
      <c r="L1783" s="12" t="n">
        <v>2316</v>
      </c>
      <c r="M1783" s="14" t="n">
        <v>3.4</v>
      </c>
      <c r="N1783" s="12">
        <f>ROUND(L1783/M1783, 0)</f>
        <v/>
      </c>
      <c r="O1783" s="12">
        <f>ROUND(N1783*'Methodology &amp; Assumptions'!$B$5, 0)</f>
        <v/>
      </c>
      <c r="P1783" s="10" t="inlineStr">
        <is>
          <t>Single Carrier (Band n50, 100MHz TDD)</t>
        </is>
      </c>
      <c r="Q1783" s="13">
        <f>ROUNDUP(O1783/'Methodology &amp; Assumptions'!$B$6, 0)</f>
        <v/>
      </c>
      <c r="R1783" s="13" t="n">
        <v>1</v>
      </c>
      <c r="S1783" s="14" t="n">
        <v>1.4</v>
      </c>
      <c r="T1783" s="14" t="n">
        <v>0.44</v>
      </c>
      <c r="U1783" s="26">
        <f>IF(X1783&gt;='Methodology &amp; Assumptions'!$B$7, "Tier 1 Critical GIDA (Score ≥ 50.0)", IF(X1783&gt;='Methodology &amp; Assumptions'!$B$8, "Tier 2 High GIDA (Score 40.0–49.9)", "Tier 3 Moderate GIDA (Score &lt; 40.0)"))</f>
        <v/>
      </c>
      <c r="V1783" s="26">
        <f>IF(S1783&lt;='Methodology &amp; Assumptions'!$B$10, "Direct Optical Drop (&lt;3km)", IF(S1783&lt;='Methodology &amp; Assumptions'!$B$9, "Near Optical / Microwave (&lt;5km)", "Starlink Business LEO Satellite Backhaul (&gt;5km)"))</f>
        <v/>
      </c>
      <c r="W1783" s="28" t="n">
        <v>0.07200000000000001</v>
      </c>
      <c r="X1783" s="14" t="n">
        <v>41.83</v>
      </c>
      <c r="Y1783" s="14">
        <f>ROUND(MIN(100, (X1783/69.91)*100), 2)</f>
        <v/>
      </c>
    </row>
    <row r="1784">
      <c r="A1784" s="10" t="n">
        <v>5</v>
      </c>
      <c r="B1784" s="10" t="n">
        <v>780</v>
      </c>
      <c r="C1784" s="10" t="n">
        <v>4780</v>
      </c>
      <c r="D1784" s="10" t="inlineStr">
        <is>
          <t>1606813010</t>
        </is>
      </c>
      <c r="E1784" s="26" t="inlineStr">
        <is>
          <t>Region XIII (Caraga)</t>
        </is>
      </c>
      <c r="F1784" s="26" t="inlineStr">
        <is>
          <t>Surigao del Sur</t>
        </is>
      </c>
      <c r="G1784" s="26" t="inlineStr">
        <is>
          <t>Madrid</t>
        </is>
      </c>
      <c r="H1784" s="26" t="inlineStr">
        <is>
          <t>San Roque</t>
        </is>
      </c>
      <c r="I1784" s="27" t="n">
        <v>9.219955000000001</v>
      </c>
      <c r="J1784" s="27" t="n">
        <v>125.929724</v>
      </c>
      <c r="K1784" s="10" t="inlineStr">
        <is>
          <t>R</t>
        </is>
      </c>
      <c r="L1784" s="12" t="n">
        <v>614</v>
      </c>
      <c r="M1784" s="14" t="n">
        <v>4.1</v>
      </c>
      <c r="N1784" s="12">
        <f>ROUND(L1784/M1784, 0)</f>
        <v/>
      </c>
      <c r="O1784" s="12">
        <f>ROUND(N1784*'Methodology &amp; Assumptions'!$B$5, 0)</f>
        <v/>
      </c>
      <c r="P1784" s="10" t="inlineStr">
        <is>
          <t>Single Carrier (Band n50, 100MHz TDD)</t>
        </is>
      </c>
      <c r="Q1784" s="13">
        <f>ROUNDUP(O1784/'Methodology &amp; Assumptions'!$B$6, 0)</f>
        <v/>
      </c>
      <c r="R1784" s="13" t="n">
        <v>1</v>
      </c>
      <c r="S1784" s="14" t="n">
        <v>16.58</v>
      </c>
      <c r="T1784" s="14" t="n">
        <v>5.98</v>
      </c>
      <c r="U1784" s="26">
        <f>IF(X1784&gt;='Methodology &amp; Assumptions'!$B$7, "Tier 1 Critical GIDA (Score ≥ 50.0)", IF(X1784&gt;='Methodology &amp; Assumptions'!$B$8, "Tier 2 High GIDA (Score 40.0–49.9)", "Tier 3 Moderate GIDA (Score &lt; 40.0)"))</f>
        <v/>
      </c>
      <c r="V1784" s="26">
        <f>IF(S1784&lt;='Methodology &amp; Assumptions'!$B$10, "Direct Optical Drop (&lt;3km)", IF(S1784&lt;='Methodology &amp; Assumptions'!$B$9, "Near Optical / Microwave (&lt;5km)", "Starlink Business LEO Satellite Backhaul (&gt;5km)"))</f>
        <v/>
      </c>
      <c r="W1784" s="28" t="n">
        <v>0.174</v>
      </c>
      <c r="X1784" s="14" t="n">
        <v>41.82</v>
      </c>
      <c r="Y1784" s="14">
        <f>ROUND(MIN(100, (X1784/69.91)*100), 2)</f>
        <v/>
      </c>
    </row>
    <row r="1785">
      <c r="A1785" s="10" t="n">
        <v>5</v>
      </c>
      <c r="B1785" s="10" t="n">
        <v>781</v>
      </c>
      <c r="C1785" s="10" t="n">
        <v>4781</v>
      </c>
      <c r="D1785" s="10" t="inlineStr">
        <is>
          <t>PH0004781</t>
        </is>
      </c>
      <c r="E1785" s="26" t="inlineStr">
        <is>
          <t>IV-A</t>
        </is>
      </c>
      <c r="F1785" s="26" t="inlineStr">
        <is>
          <t>Cavite</t>
        </is>
      </c>
      <c r="G1785" s="26" t="inlineStr">
        <is>
          <t>Cavite City</t>
        </is>
      </c>
      <c r="H1785" s="26" t="inlineStr">
        <is>
          <t>Barangay 38</t>
        </is>
      </c>
      <c r="I1785" s="27" t="n">
        <v>14.481662</v>
      </c>
      <c r="J1785" s="27" t="n">
        <v>120.892862</v>
      </c>
      <c r="K1785" s="10" t="inlineStr">
        <is>
          <t>R</t>
        </is>
      </c>
      <c r="L1785" s="12" t="n">
        <v>2316</v>
      </c>
      <c r="M1785" s="14" t="n">
        <v>3.4</v>
      </c>
      <c r="N1785" s="12">
        <f>ROUND(L1785/M1785, 0)</f>
        <v/>
      </c>
      <c r="O1785" s="12">
        <f>ROUND(N1785*'Methodology &amp; Assumptions'!$B$5, 0)</f>
        <v/>
      </c>
      <c r="P1785" s="10" t="inlineStr">
        <is>
          <t>Single Carrier (Band n50, 100MHz TDD)</t>
        </is>
      </c>
      <c r="Q1785" s="13">
        <f>ROUNDUP(O1785/'Methodology &amp; Assumptions'!$B$6, 0)</f>
        <v/>
      </c>
      <c r="R1785" s="13" t="n">
        <v>1</v>
      </c>
      <c r="S1785" s="14" t="n">
        <v>0.95</v>
      </c>
      <c r="T1785" s="14" t="n">
        <v>4.54</v>
      </c>
      <c r="U1785" s="26">
        <f>IF(X1785&gt;='Methodology &amp; Assumptions'!$B$7, "Tier 1 Critical GIDA (Score ≥ 50.0)", IF(X1785&gt;='Methodology &amp; Assumptions'!$B$8, "Tier 2 High GIDA (Score 40.0–49.9)", "Tier 3 Moderate GIDA (Score &lt; 40.0)"))</f>
        <v/>
      </c>
      <c r="V1785" s="26">
        <f>IF(S1785&lt;='Methodology &amp; Assumptions'!$B$10, "Direct Optical Drop (&lt;3km)", IF(S1785&lt;='Methodology &amp; Assumptions'!$B$9, "Near Optical / Microwave (&lt;5km)", "Starlink Business LEO Satellite Backhaul (&gt;5km)"))</f>
        <v/>
      </c>
      <c r="W1785" s="28" t="n">
        <v>0.07200000000000001</v>
      </c>
      <c r="X1785" s="14" t="n">
        <v>41.82</v>
      </c>
      <c r="Y1785" s="14">
        <f>ROUND(MIN(100, (X1785/69.91)*100), 2)</f>
        <v/>
      </c>
    </row>
    <row r="1786">
      <c r="A1786" s="10" t="n">
        <v>5</v>
      </c>
      <c r="B1786" s="10" t="n">
        <v>782</v>
      </c>
      <c r="C1786" s="10" t="n">
        <v>4782</v>
      </c>
      <c r="D1786" s="10" t="inlineStr">
        <is>
          <t>1004213027</t>
        </is>
      </c>
      <c r="E1786" s="26" t="inlineStr">
        <is>
          <t>Region X (Northern Mindanao)</t>
        </is>
      </c>
      <c r="F1786" s="26" t="inlineStr">
        <is>
          <t>Misamis Occidental</t>
        </is>
      </c>
      <c r="G1786" s="26" t="inlineStr">
        <is>
          <t>Sapang Dalaga</t>
        </is>
      </c>
      <c r="H1786" s="26" t="inlineStr">
        <is>
          <t>Disoy</t>
        </is>
      </c>
      <c r="I1786" s="27" t="n">
        <v>8.448706</v>
      </c>
      <c r="J1786" s="27" t="n">
        <v>123.593909</v>
      </c>
      <c r="K1786" s="10" t="inlineStr">
        <is>
          <t>R</t>
        </is>
      </c>
      <c r="L1786" s="12" t="n">
        <v>306</v>
      </c>
      <c r="M1786" s="14" t="n">
        <v>3.9</v>
      </c>
      <c r="N1786" s="12">
        <f>ROUND(L1786/M1786, 0)</f>
        <v/>
      </c>
      <c r="O1786" s="12">
        <f>ROUND(N1786*'Methodology &amp; Assumptions'!$B$5, 0)</f>
        <v/>
      </c>
      <c r="P1786" s="10" t="inlineStr">
        <is>
          <t>Single Carrier (Band n50, 100MHz TDD)</t>
        </is>
      </c>
      <c r="Q1786" s="13">
        <f>ROUNDUP(O1786/'Methodology &amp; Assumptions'!$B$6, 0)</f>
        <v/>
      </c>
      <c r="R1786" s="13" t="n">
        <v>1</v>
      </c>
      <c r="S1786" s="14" t="n">
        <v>50.46</v>
      </c>
      <c r="T1786" s="14" t="n">
        <v>47.56</v>
      </c>
      <c r="U1786" s="26">
        <f>IF(X1786&gt;='Methodology &amp; Assumptions'!$B$7, "Tier 1 Critical GIDA (Score ≥ 50.0)", IF(X1786&gt;='Methodology &amp; Assumptions'!$B$8, "Tier 2 High GIDA (Score 40.0–49.9)", "Tier 3 Moderate GIDA (Score &lt; 40.0)"))</f>
        <v/>
      </c>
      <c r="V1786" s="26">
        <f>IF(S1786&lt;='Methodology &amp; Assumptions'!$B$10, "Direct Optical Drop (&lt;3km)", IF(S1786&lt;='Methodology &amp; Assumptions'!$B$9, "Near Optical / Microwave (&lt;5km)", "Starlink Business LEO Satellite Backhaul (&gt;5km)"))</f>
        <v/>
      </c>
      <c r="W1786" s="28" t="n">
        <v>0.174</v>
      </c>
      <c r="X1786" s="14" t="n">
        <v>41.81</v>
      </c>
      <c r="Y1786" s="14">
        <f>ROUND(MIN(100, (X1786/69.91)*100), 2)</f>
        <v/>
      </c>
    </row>
    <row r="1787">
      <c r="A1787" s="10" t="n">
        <v>5</v>
      </c>
      <c r="B1787" s="10" t="n">
        <v>783</v>
      </c>
      <c r="C1787" s="10" t="n">
        <v>4783</v>
      </c>
      <c r="D1787" s="10" t="inlineStr">
        <is>
          <t>1004207023</t>
        </is>
      </c>
      <c r="E1787" s="26" t="inlineStr">
        <is>
          <t>Region X (Northern Mindanao)</t>
        </is>
      </c>
      <c r="F1787" s="26" t="inlineStr">
        <is>
          <t>Misamis Occidental</t>
        </is>
      </c>
      <c r="G1787" s="26" t="inlineStr">
        <is>
          <t>Jimenez</t>
        </is>
      </c>
      <c r="H1787" s="26" t="inlineStr">
        <is>
          <t>Seti</t>
        </is>
      </c>
      <c r="I1787" s="27" t="n">
        <v>8.314268999999999</v>
      </c>
      <c r="J1787" s="27" t="n">
        <v>123.775043</v>
      </c>
      <c r="K1787" s="10" t="inlineStr">
        <is>
          <t>R</t>
        </is>
      </c>
      <c r="L1787" s="12" t="n">
        <v>498</v>
      </c>
      <c r="M1787" s="14" t="n">
        <v>3.9</v>
      </c>
      <c r="N1787" s="12">
        <f>ROUND(L1787/M1787, 0)</f>
        <v/>
      </c>
      <c r="O1787" s="12">
        <f>ROUND(N1787*'Methodology &amp; Assumptions'!$B$5, 0)</f>
        <v/>
      </c>
      <c r="P1787" s="10" t="inlineStr">
        <is>
          <t>Single Carrier (Band n50, 100MHz TDD)</t>
        </is>
      </c>
      <c r="Q1787" s="13">
        <f>ROUNDUP(O1787/'Methodology &amp; Assumptions'!$B$6, 0)</f>
        <v/>
      </c>
      <c r="R1787" s="13" t="n">
        <v>1</v>
      </c>
      <c r="S1787" s="14" t="n">
        <v>30.29</v>
      </c>
      <c r="T1787" s="14" t="n">
        <v>25.07</v>
      </c>
      <c r="U1787" s="26">
        <f>IF(X1787&gt;='Methodology &amp; Assumptions'!$B$7, "Tier 1 Critical GIDA (Score ≥ 50.0)", IF(X1787&gt;='Methodology &amp; Assumptions'!$B$8, "Tier 2 High GIDA (Score 40.0–49.9)", "Tier 3 Moderate GIDA (Score &lt; 40.0)"))</f>
        <v/>
      </c>
      <c r="V1787" s="26">
        <f>IF(S1787&lt;='Methodology &amp; Assumptions'!$B$10, "Direct Optical Drop (&lt;3km)", IF(S1787&lt;='Methodology &amp; Assumptions'!$B$9, "Near Optical / Microwave (&lt;5km)", "Starlink Business LEO Satellite Backhaul (&gt;5km)"))</f>
        <v/>
      </c>
      <c r="W1787" s="28" t="n">
        <v>0.174</v>
      </c>
      <c r="X1787" s="14" t="n">
        <v>41.81</v>
      </c>
      <c r="Y1787" s="14">
        <f>ROUND(MIN(100, (X1787/69.91)*100), 2)</f>
        <v/>
      </c>
    </row>
    <row r="1788">
      <c r="A1788" s="10" t="n">
        <v>5</v>
      </c>
      <c r="B1788" s="10" t="n">
        <v>784</v>
      </c>
      <c r="C1788" s="10" t="n">
        <v>4784</v>
      </c>
      <c r="D1788" s="10" t="inlineStr">
        <is>
          <t>0704612014</t>
        </is>
      </c>
      <c r="E1788" s="26" t="inlineStr">
        <is>
          <t>Region VII (Central Visayas)</t>
        </is>
      </c>
      <c r="F1788" s="26" t="inlineStr">
        <is>
          <t>Negros Oriental</t>
        </is>
      </c>
      <c r="G1788" s="26" t="inlineStr">
        <is>
          <t>Jimalalud</t>
        </is>
      </c>
      <c r="H1788" s="26" t="inlineStr">
        <is>
          <t>Eli</t>
        </is>
      </c>
      <c r="I1788" s="27" t="n">
        <v>10.01529</v>
      </c>
      <c r="J1788" s="27" t="n">
        <v>123.131316</v>
      </c>
      <c r="K1788" s="10" t="inlineStr">
        <is>
          <t>R</t>
        </is>
      </c>
      <c r="L1788" s="12" t="n">
        <v>1779</v>
      </c>
      <c r="M1788" s="14" t="n">
        <v>3.8</v>
      </c>
      <c r="N1788" s="12">
        <f>ROUND(L1788/M1788, 0)</f>
        <v/>
      </c>
      <c r="O1788" s="12">
        <f>ROUND(N1788*'Methodology &amp; Assumptions'!$B$5, 0)</f>
        <v/>
      </c>
      <c r="P1788" s="10" t="inlineStr">
        <is>
          <t>Single Carrier (Band n50, 100MHz TDD)</t>
        </is>
      </c>
      <c r="Q1788" s="13">
        <f>ROUNDUP(O1788/'Methodology &amp; Assumptions'!$B$6, 0)</f>
        <v/>
      </c>
      <c r="R1788" s="13" t="n">
        <v>1</v>
      </c>
      <c r="S1788" s="14" t="n">
        <v>18.84</v>
      </c>
      <c r="T1788" s="14" t="n">
        <v>8.369999999999999</v>
      </c>
      <c r="U1788" s="26">
        <f>IF(X1788&gt;='Methodology &amp; Assumptions'!$B$7, "Tier 1 Critical GIDA (Score ≥ 50.0)", IF(X1788&gt;='Methodology &amp; Assumptions'!$B$8, "Tier 2 High GIDA (Score 40.0–49.9)", "Tier 3 Moderate GIDA (Score &lt; 40.0)"))</f>
        <v/>
      </c>
      <c r="V1788" s="26">
        <f>IF(S1788&lt;='Methodology &amp; Assumptions'!$B$10, "Direct Optical Drop (&lt;3km)", IF(S1788&lt;='Methodology &amp; Assumptions'!$B$9, "Near Optical / Microwave (&lt;5km)", "Starlink Business LEO Satellite Backhaul (&gt;5km)"))</f>
        <v/>
      </c>
      <c r="W1788" s="28" t="n">
        <v>0.237</v>
      </c>
      <c r="X1788" s="14" t="n">
        <v>41.81</v>
      </c>
      <c r="Y1788" s="14">
        <f>ROUND(MIN(100, (X1788/69.91)*100), 2)</f>
        <v/>
      </c>
    </row>
    <row r="1789">
      <c r="A1789" s="10" t="n">
        <v>5</v>
      </c>
      <c r="B1789" s="10" t="n">
        <v>785</v>
      </c>
      <c r="C1789" s="10" t="n">
        <v>4785</v>
      </c>
      <c r="D1789" s="10" t="inlineStr">
        <is>
          <t>1903604017</t>
        </is>
      </c>
      <c r="E1789" s="26" t="inlineStr">
        <is>
          <t>Bangsamoro Autonomous Region In Muslim Mindanao (BARMM)</t>
        </is>
      </c>
      <c r="F1789" s="26" t="inlineStr">
        <is>
          <t>Lanao del Sur</t>
        </is>
      </c>
      <c r="G1789" s="26" t="inlineStr">
        <is>
          <t>Bayang</t>
        </is>
      </c>
      <c r="H1789" s="26" t="inlineStr">
        <is>
          <t>Bubong Lilod</t>
        </is>
      </c>
      <c r="I1789" s="27" t="n">
        <v>17.25473</v>
      </c>
      <c r="J1789" s="27" t="n">
        <v>122.228774</v>
      </c>
      <c r="K1789" s="10" t="inlineStr">
        <is>
          <t>R</t>
        </is>
      </c>
      <c r="L1789" s="12" t="n">
        <v>967</v>
      </c>
      <c r="M1789" s="14" t="n">
        <v>5.7</v>
      </c>
      <c r="N1789" s="12">
        <f>ROUND(L1789/M1789, 0)</f>
        <v/>
      </c>
      <c r="O1789" s="12">
        <f>ROUND(N1789*'Methodology &amp; Assumptions'!$B$5, 0)</f>
        <v/>
      </c>
      <c r="P1789" s="10" t="inlineStr">
        <is>
          <t>Single Carrier (Band n50, 100MHz TDD)</t>
        </is>
      </c>
      <c r="Q1789" s="13">
        <f>ROUNDUP(O1789/'Methodology &amp; Assumptions'!$B$6, 0)</f>
        <v/>
      </c>
      <c r="R1789" s="13" t="n">
        <v>1</v>
      </c>
      <c r="S1789" s="14" t="n">
        <v>29.4</v>
      </c>
      <c r="T1789" s="14" t="n">
        <v>34.28</v>
      </c>
      <c r="U1789" s="26">
        <f>IF(X1789&gt;='Methodology &amp; Assumptions'!$B$7, "Tier 1 Critical GIDA (Score ≥ 50.0)", IF(X1789&gt;='Methodology &amp; Assumptions'!$B$8, "Tier 2 High GIDA (Score 40.0–49.9)", "Tier 3 Moderate GIDA (Score &lt; 40.0)"))</f>
        <v/>
      </c>
      <c r="V1789" s="26">
        <f>IF(S1789&lt;='Methodology &amp; Assumptions'!$B$10, "Direct Optical Drop (&lt;3km)", IF(S1789&lt;='Methodology &amp; Assumptions'!$B$9, "Near Optical / Microwave (&lt;5km)", "Starlink Business LEO Satellite Backhaul (&gt;5km)"))</f>
        <v/>
      </c>
      <c r="W1789" s="28" t="n">
        <v>0.11</v>
      </c>
      <c r="X1789" s="14" t="n">
        <v>41.81</v>
      </c>
      <c r="Y1789" s="14">
        <f>ROUND(MIN(100, (X1789/69.91)*100), 2)</f>
        <v/>
      </c>
    </row>
    <row r="1790">
      <c r="A1790" s="10" t="n">
        <v>5</v>
      </c>
      <c r="B1790" s="10" t="n">
        <v>786</v>
      </c>
      <c r="C1790" s="10" t="n">
        <v>4786</v>
      </c>
      <c r="D1790" s="10" t="inlineStr">
        <is>
          <t>PH0004786</t>
        </is>
      </c>
      <c r="E1790" s="26" t="inlineStr">
        <is>
          <t>IV-A</t>
        </is>
      </c>
      <c r="F1790" s="26" t="inlineStr">
        <is>
          <t>Cavite</t>
        </is>
      </c>
      <c r="G1790" s="26" t="inlineStr">
        <is>
          <t>Cavite City</t>
        </is>
      </c>
      <c r="H1790" s="26" t="inlineStr">
        <is>
          <t>Barangay 20</t>
        </is>
      </c>
      <c r="I1790" s="27" t="n">
        <v>14.476535</v>
      </c>
      <c r="J1790" s="27" t="n">
        <v>120.892429</v>
      </c>
      <c r="K1790" s="10" t="inlineStr">
        <is>
          <t>R</t>
        </is>
      </c>
      <c r="L1790" s="12" t="n">
        <v>2316</v>
      </c>
      <c r="M1790" s="14" t="n">
        <v>3.4</v>
      </c>
      <c r="N1790" s="12">
        <f>ROUND(L1790/M1790, 0)</f>
        <v/>
      </c>
      <c r="O1790" s="12">
        <f>ROUND(N1790*'Methodology &amp; Assumptions'!$B$5, 0)</f>
        <v/>
      </c>
      <c r="P1790" s="10" t="inlineStr">
        <is>
          <t>Single Carrier (Band n50, 100MHz TDD)</t>
        </is>
      </c>
      <c r="Q1790" s="13">
        <f>ROUNDUP(O1790/'Methodology &amp; Assumptions'!$B$6, 0)</f>
        <v/>
      </c>
      <c r="R1790" s="13" t="n">
        <v>1</v>
      </c>
      <c r="S1790" s="14" t="n">
        <v>0.5600000000000001</v>
      </c>
      <c r="T1790" s="14" t="n">
        <v>4.1</v>
      </c>
      <c r="U1790" s="26">
        <f>IF(X1790&gt;='Methodology &amp; Assumptions'!$B$7, "Tier 1 Critical GIDA (Score ≥ 50.0)", IF(X1790&gt;='Methodology &amp; Assumptions'!$B$8, "Tier 2 High GIDA (Score 40.0–49.9)", "Tier 3 Moderate GIDA (Score &lt; 40.0)"))</f>
        <v/>
      </c>
      <c r="V1790" s="26">
        <f>IF(S1790&lt;='Methodology &amp; Assumptions'!$B$10, "Direct Optical Drop (&lt;3km)", IF(S1790&lt;='Methodology &amp; Assumptions'!$B$9, "Near Optical / Microwave (&lt;5km)", "Starlink Business LEO Satellite Backhaul (&gt;5km)"))</f>
        <v/>
      </c>
      <c r="W1790" s="28" t="n">
        <v>0.07200000000000001</v>
      </c>
      <c r="X1790" s="14" t="n">
        <v>41.81</v>
      </c>
      <c r="Y1790" s="14">
        <f>ROUND(MIN(100, (X1790/69.91)*100), 2)</f>
        <v/>
      </c>
    </row>
    <row r="1791">
      <c r="A1791" s="10" t="n">
        <v>5</v>
      </c>
      <c r="B1791" s="10" t="n">
        <v>787</v>
      </c>
      <c r="C1791" s="10" t="n">
        <v>4787</v>
      </c>
      <c r="D1791" s="10" t="inlineStr">
        <is>
          <t>0401029027</t>
        </is>
      </c>
      <c r="E1791" s="26" t="inlineStr">
        <is>
          <t>Region IV-A (CALABARZON)</t>
        </is>
      </c>
      <c r="F1791" s="26" t="inlineStr">
        <is>
          <t>Batangas</t>
        </is>
      </c>
      <c r="G1791" s="26" t="inlineStr">
        <is>
          <t>Taal</t>
        </is>
      </c>
      <c r="H1791" s="26" t="inlineStr">
        <is>
          <t>Poblacion 3</t>
        </is>
      </c>
      <c r="I1791" s="27" t="n">
        <v>13.896899</v>
      </c>
      <c r="J1791" s="27" t="n">
        <v>120.927118</v>
      </c>
      <c r="K1791" s="10" t="inlineStr">
        <is>
          <t>R</t>
        </is>
      </c>
      <c r="L1791" s="12" t="n">
        <v>729</v>
      </c>
      <c r="M1791" s="14" t="n">
        <v>3.6</v>
      </c>
      <c r="N1791" s="12">
        <f>ROUND(L1791/M1791, 0)</f>
        <v/>
      </c>
      <c r="O1791" s="12">
        <f>ROUND(N1791*'Methodology &amp; Assumptions'!$B$5, 0)</f>
        <v/>
      </c>
      <c r="P1791" s="10" t="inlineStr">
        <is>
          <t>Single Carrier (Band n50, 100MHz TDD)</t>
        </is>
      </c>
      <c r="Q1791" s="13">
        <f>ROUNDUP(O1791/'Methodology &amp; Assumptions'!$B$6, 0)</f>
        <v/>
      </c>
      <c r="R1791" s="13" t="n">
        <v>1</v>
      </c>
      <c r="S1791" s="14" t="n">
        <v>0.31</v>
      </c>
      <c r="T1791" s="14" t="n">
        <v>0.14</v>
      </c>
      <c r="U1791" s="26">
        <f>IF(X1791&gt;='Methodology &amp; Assumptions'!$B$7, "Tier 1 Critical GIDA (Score ≥ 50.0)", IF(X1791&gt;='Methodology &amp; Assumptions'!$B$8, "Tier 2 High GIDA (Score 40.0–49.9)", "Tier 3 Moderate GIDA (Score &lt; 40.0)"))</f>
        <v/>
      </c>
      <c r="V1791" s="26">
        <f>IF(S1791&lt;='Methodology &amp; Assumptions'!$B$10, "Direct Optical Drop (&lt;3km)", IF(S1791&lt;='Methodology &amp; Assumptions'!$B$9, "Near Optical / Microwave (&lt;5km)", "Starlink Business LEO Satellite Backhaul (&gt;5km)"))</f>
        <v/>
      </c>
      <c r="W1791" s="28" t="n">
        <v>0.07200000000000001</v>
      </c>
      <c r="X1791" s="14" t="n">
        <v>41.81</v>
      </c>
      <c r="Y1791" s="14">
        <f>ROUND(MIN(100, (X1791/69.91)*100), 2)</f>
        <v/>
      </c>
    </row>
    <row r="1792">
      <c r="A1792" s="10" t="n">
        <v>5</v>
      </c>
      <c r="B1792" s="10" t="n">
        <v>788</v>
      </c>
      <c r="C1792" s="10" t="n">
        <v>4788</v>
      </c>
      <c r="D1792" s="10" t="inlineStr">
        <is>
          <t>0403425008</t>
        </is>
      </c>
      <c r="E1792" s="26" t="inlineStr">
        <is>
          <t>Region IV-A (CALABARZON)</t>
        </is>
      </c>
      <c r="F1792" s="26" t="inlineStr">
        <is>
          <t>Laguna</t>
        </is>
      </c>
      <c r="G1792" s="26" t="inlineStr">
        <is>
          <t>City of San Pedro</t>
        </is>
      </c>
      <c r="H1792" s="26" t="inlineStr">
        <is>
          <t>Magsaysay</t>
        </is>
      </c>
      <c r="I1792" s="27" t="n">
        <v>14.213945</v>
      </c>
      <c r="J1792" s="27" t="n">
        <v>121.28548</v>
      </c>
      <c r="K1792" s="10" t="inlineStr">
        <is>
          <t>U</t>
        </is>
      </c>
      <c r="L1792" s="12" t="n">
        <v>14023</v>
      </c>
      <c r="M1792" s="14" t="n">
        <v>3.3</v>
      </c>
      <c r="N1792" s="12">
        <f>ROUND(L1792/M1792, 0)</f>
        <v/>
      </c>
      <c r="O1792" s="12">
        <f>ROUND(N1792*'Methodology &amp; Assumptions'!$B$5, 0)</f>
        <v/>
      </c>
      <c r="P1792" s="10" t="inlineStr">
        <is>
          <t>Single Carrier (Band n50, 100MHz TDD)</t>
        </is>
      </c>
      <c r="Q1792" s="13">
        <f>ROUNDUP(O1792/'Methodology &amp; Assumptions'!$B$6, 0)</f>
        <v/>
      </c>
      <c r="R1792" s="13" t="n">
        <v>1</v>
      </c>
      <c r="S1792" s="14" t="n">
        <v>3.71</v>
      </c>
      <c r="T1792" s="14" t="n">
        <v>3.82</v>
      </c>
      <c r="U1792" s="26">
        <f>IF(X1792&gt;='Methodology &amp; Assumptions'!$B$7, "Tier 1 Critical GIDA (Score ≥ 50.0)", IF(X1792&gt;='Methodology &amp; Assumptions'!$B$8, "Tier 2 High GIDA (Score 40.0–49.9)", "Tier 3 Moderate GIDA (Score &lt; 40.0)"))</f>
        <v/>
      </c>
      <c r="V1792" s="26">
        <f>IF(S1792&lt;='Methodology &amp; Assumptions'!$B$10, "Direct Optical Drop (&lt;3km)", IF(S1792&lt;='Methodology &amp; Assumptions'!$B$9, "Near Optical / Microwave (&lt;5km)", "Starlink Business LEO Satellite Backhaul (&gt;5km)"))</f>
        <v/>
      </c>
      <c r="W1792" s="28" t="n">
        <v>0.07200000000000001</v>
      </c>
      <c r="X1792" s="14" t="n">
        <v>41.81</v>
      </c>
      <c r="Y1792" s="14">
        <f>ROUND(MIN(100, (X1792/69.91)*100), 2)</f>
        <v/>
      </c>
    </row>
    <row r="1793">
      <c r="A1793" s="10" t="n">
        <v>5</v>
      </c>
      <c r="B1793" s="10" t="n">
        <v>789</v>
      </c>
      <c r="C1793" s="10" t="n">
        <v>4789</v>
      </c>
      <c r="D1793" s="10" t="inlineStr">
        <is>
          <t>1900707005</t>
        </is>
      </c>
      <c r="E1793" s="26" t="inlineStr">
        <is>
          <t>Bangsamoro Autonomous Region In Muslim Mindanao (BARMM)</t>
        </is>
      </c>
      <c r="F1793" s="26" t="inlineStr">
        <is>
          <t>Basilan</t>
        </is>
      </c>
      <c r="G1793" s="26" t="inlineStr">
        <is>
          <t>Tuburan</t>
        </is>
      </c>
      <c r="H1793" s="26" t="inlineStr">
        <is>
          <t>Lahi-lahi</t>
        </is>
      </c>
      <c r="I1793" s="27" t="n">
        <v>6.620078</v>
      </c>
      <c r="J1793" s="27" t="n">
        <v>122.222003</v>
      </c>
      <c r="K1793" s="10" t="inlineStr">
        <is>
          <t>R</t>
        </is>
      </c>
      <c r="L1793" s="12" t="n">
        <v>3386</v>
      </c>
      <c r="M1793" s="14" t="n">
        <v>5.1</v>
      </c>
      <c r="N1793" s="12">
        <f>ROUND(L1793/M1793, 0)</f>
        <v/>
      </c>
      <c r="O1793" s="12">
        <f>ROUND(N1793*'Methodology &amp; Assumptions'!$B$5, 0)</f>
        <v/>
      </c>
      <c r="P1793" s="10" t="inlineStr">
        <is>
          <t>Single Carrier (Band n50, 100MHz TDD)</t>
        </is>
      </c>
      <c r="Q1793" s="13">
        <f>ROUNDUP(O1793/'Methodology &amp; Assumptions'!$B$6, 0)</f>
        <v/>
      </c>
      <c r="R1793" s="13" t="n">
        <v>1</v>
      </c>
      <c r="S1793" s="14" t="n">
        <v>36.19</v>
      </c>
      <c r="T1793" s="14" t="n">
        <v>36.18</v>
      </c>
      <c r="U1793" s="26">
        <f>IF(X1793&gt;='Methodology &amp; Assumptions'!$B$7, "Tier 1 Critical GIDA (Score ≥ 50.0)", IF(X1793&gt;='Methodology &amp; Assumptions'!$B$8, "Tier 2 High GIDA (Score 40.0–49.9)", "Tier 3 Moderate GIDA (Score &lt; 40.0)"))</f>
        <v/>
      </c>
      <c r="V1793" s="26">
        <f>IF(S1793&lt;='Methodology &amp; Assumptions'!$B$10, "Direct Optical Drop (&lt;3km)", IF(S1793&lt;='Methodology &amp; Assumptions'!$B$9, "Near Optical / Microwave (&lt;5km)", "Starlink Business LEO Satellite Backhaul (&gt;5km)"))</f>
        <v/>
      </c>
      <c r="W1793" s="28" t="n">
        <v>0.11</v>
      </c>
      <c r="X1793" s="14" t="n">
        <v>41.81</v>
      </c>
      <c r="Y1793" s="14">
        <f>ROUND(MIN(100, (X1793/69.91)*100), 2)</f>
        <v/>
      </c>
    </row>
    <row r="1794">
      <c r="A1794" s="10" t="n">
        <v>5</v>
      </c>
      <c r="B1794" s="10" t="n">
        <v>790</v>
      </c>
      <c r="C1794" s="10" t="n">
        <v>4790</v>
      </c>
      <c r="D1794" s="10" t="inlineStr">
        <is>
          <t>0803751010</t>
        </is>
      </c>
      <c r="E1794" s="26" t="inlineStr">
        <is>
          <t>Region VIII (Eastern Visayas)</t>
        </is>
      </c>
      <c r="F1794" s="26" t="inlineStr">
        <is>
          <t>Leyte</t>
        </is>
      </c>
      <c r="G1794" s="26" t="inlineStr">
        <is>
          <t>Villaba</t>
        </is>
      </c>
      <c r="H1794" s="26" t="inlineStr">
        <is>
          <t>Capinyahan</t>
        </is>
      </c>
      <c r="I1794" s="27" t="n">
        <v>11.217856</v>
      </c>
      <c r="J1794" s="27" t="n">
        <v>124.467408</v>
      </c>
      <c r="K1794" s="10" t="inlineStr">
        <is>
          <t>R</t>
        </is>
      </c>
      <c r="L1794" s="12" t="n">
        <v>760</v>
      </c>
      <c r="M1794" s="14" t="n">
        <v>3.8</v>
      </c>
      <c r="N1794" s="12">
        <f>ROUND(L1794/M1794, 0)</f>
        <v/>
      </c>
      <c r="O1794" s="12">
        <f>ROUND(N1794*'Methodology &amp; Assumptions'!$B$5, 0)</f>
        <v/>
      </c>
      <c r="P1794" s="10" t="inlineStr">
        <is>
          <t>Single Carrier (Band n50, 100MHz TDD)</t>
        </is>
      </c>
      <c r="Q1794" s="13">
        <f>ROUNDUP(O1794/'Methodology &amp; Assumptions'!$B$6, 0)</f>
        <v/>
      </c>
      <c r="R1794" s="13" t="n">
        <v>1</v>
      </c>
      <c r="S1794" s="14" t="n">
        <v>8.16</v>
      </c>
      <c r="T1794" s="14" t="n">
        <v>10.74</v>
      </c>
      <c r="U1794" s="26">
        <f>IF(X1794&gt;='Methodology &amp; Assumptions'!$B$7, "Tier 1 Critical GIDA (Score ≥ 50.0)", IF(X1794&gt;='Methodology &amp; Assumptions'!$B$8, "Tier 2 High GIDA (Score 40.0–49.9)", "Tier 3 Moderate GIDA (Score &lt; 40.0)"))</f>
        <v/>
      </c>
      <c r="V1794" s="26">
        <f>IF(S1794&lt;='Methodology &amp; Assumptions'!$B$10, "Direct Optical Drop (&lt;3km)", IF(S1794&lt;='Methodology &amp; Assumptions'!$B$9, "Near Optical / Microwave (&lt;5km)", "Starlink Business LEO Satellite Backhaul (&gt;5km)"))</f>
        <v/>
      </c>
      <c r="W1794" s="28" t="n">
        <v>0.237</v>
      </c>
      <c r="X1794" s="14" t="n">
        <v>41.8</v>
      </c>
      <c r="Y1794" s="14">
        <f>ROUND(MIN(100, (X1794/69.91)*100), 2)</f>
        <v/>
      </c>
    </row>
    <row r="1795">
      <c r="A1795" s="10" t="n">
        <v>5</v>
      </c>
      <c r="B1795" s="10" t="n">
        <v>791</v>
      </c>
      <c r="C1795" s="10" t="n">
        <v>4791</v>
      </c>
      <c r="D1795" s="10" t="inlineStr">
        <is>
          <t>1381300027</t>
        </is>
      </c>
      <c r="E1795" s="26" t="inlineStr">
        <is>
          <t>National Capital Region (NCR)</t>
        </is>
      </c>
      <c r="F1795" s="26" t="inlineStr">
        <is>
          <t>Second District (Not a Province)</t>
        </is>
      </c>
      <c r="G1795" s="26" t="inlineStr">
        <is>
          <t>Quezon City</t>
        </is>
      </c>
      <c r="H1795" s="26" t="inlineStr">
        <is>
          <t>Damayan</t>
        </is>
      </c>
      <c r="I1795" s="27" t="n">
        <v>14.638561</v>
      </c>
      <c r="J1795" s="27" t="n">
        <v>121.01475</v>
      </c>
      <c r="K1795" s="10" t="inlineStr">
        <is>
          <t>U</t>
        </is>
      </c>
      <c r="L1795" s="12" t="n">
        <v>6259</v>
      </c>
      <c r="M1795" s="14" t="n">
        <v>3.8</v>
      </c>
      <c r="N1795" s="12">
        <f>ROUND(L1795/M1795, 0)</f>
        <v/>
      </c>
      <c r="O1795" s="12">
        <f>ROUND(N1795*'Methodology &amp; Assumptions'!$B$5, 0)</f>
        <v/>
      </c>
      <c r="P1795" s="10" t="inlineStr">
        <is>
          <t>Single Carrier (Band n50, 100MHz TDD)</t>
        </is>
      </c>
      <c r="Q1795" s="13">
        <f>ROUNDUP(O1795/'Methodology &amp; Assumptions'!$B$6, 0)</f>
        <v/>
      </c>
      <c r="R1795" s="13" t="n">
        <v>1</v>
      </c>
      <c r="S1795" s="14" t="n">
        <v>0.89</v>
      </c>
      <c r="T1795" s="14" t="n">
        <v>0.22</v>
      </c>
      <c r="U1795" s="26">
        <f>IF(X1795&gt;='Methodology &amp; Assumptions'!$B$7, "Tier 1 Critical GIDA (Score ≥ 50.0)", IF(X1795&gt;='Methodology &amp; Assumptions'!$B$8, "Tier 2 High GIDA (Score 40.0–49.9)", "Tier 3 Moderate GIDA (Score &lt; 40.0)"))</f>
        <v/>
      </c>
      <c r="V1795" s="26">
        <f>IF(S1795&lt;='Methodology &amp; Assumptions'!$B$10, "Direct Optical Drop (&lt;3km)", IF(S1795&lt;='Methodology &amp; Assumptions'!$B$9, "Near Optical / Microwave (&lt;5km)", "Starlink Business LEO Satellite Backhaul (&gt;5km)"))</f>
        <v/>
      </c>
      <c r="W1795" s="28" t="n">
        <v>0.109</v>
      </c>
      <c r="X1795" s="14" t="n">
        <v>41.79</v>
      </c>
      <c r="Y1795" s="14">
        <f>ROUND(MIN(100, (X1795/69.91)*100), 2)</f>
        <v/>
      </c>
    </row>
    <row r="1796">
      <c r="A1796" s="10" t="n">
        <v>5</v>
      </c>
      <c r="B1796" s="10" t="n">
        <v>792</v>
      </c>
      <c r="C1796" s="10" t="n">
        <v>4792</v>
      </c>
      <c r="D1796" s="10" t="inlineStr">
        <is>
          <t>PH0004792</t>
        </is>
      </c>
      <c r="E1796" s="26" t="inlineStr">
        <is>
          <t>IV-A</t>
        </is>
      </c>
      <c r="F1796" s="26" t="inlineStr">
        <is>
          <t>Batangas</t>
        </is>
      </c>
      <c r="G1796" s="26" t="inlineStr">
        <is>
          <t>Lipa City</t>
        </is>
      </c>
      <c r="H1796" s="26" t="inlineStr">
        <is>
          <t>Bugtong na Pulo</t>
        </is>
      </c>
      <c r="I1796" s="27" t="n">
        <v>14.000372</v>
      </c>
      <c r="J1796" s="27" t="n">
        <v>121.167527</v>
      </c>
      <c r="K1796" s="10" t="inlineStr">
        <is>
          <t>R</t>
        </is>
      </c>
      <c r="L1796" s="12" t="n">
        <v>2259</v>
      </c>
      <c r="M1796" s="14" t="n">
        <v>3.6</v>
      </c>
      <c r="N1796" s="12">
        <f>ROUND(L1796/M1796, 0)</f>
        <v/>
      </c>
      <c r="O1796" s="12">
        <f>ROUND(N1796*'Methodology &amp; Assumptions'!$B$5, 0)</f>
        <v/>
      </c>
      <c r="P1796" s="10" t="inlineStr">
        <is>
          <t>Single Carrier (Band n50, 100MHz TDD)</t>
        </is>
      </c>
      <c r="Q1796" s="13">
        <f>ROUNDUP(O1796/'Methodology &amp; Assumptions'!$B$6, 0)</f>
        <v/>
      </c>
      <c r="R1796" s="13" t="n">
        <v>1</v>
      </c>
      <c r="S1796" s="14" t="n">
        <v>2.3</v>
      </c>
      <c r="T1796" s="14" t="n">
        <v>0.24</v>
      </c>
      <c r="U1796" s="26">
        <f>IF(X1796&gt;='Methodology &amp; Assumptions'!$B$7, "Tier 1 Critical GIDA (Score ≥ 50.0)", IF(X1796&gt;='Methodology &amp; Assumptions'!$B$8, "Tier 2 High GIDA (Score 40.0–49.9)", "Tier 3 Moderate GIDA (Score &lt; 40.0)"))</f>
        <v/>
      </c>
      <c r="V1796" s="26">
        <f>IF(S1796&lt;='Methodology &amp; Assumptions'!$B$10, "Direct Optical Drop (&lt;3km)", IF(S1796&lt;='Methodology &amp; Assumptions'!$B$9, "Near Optical / Microwave (&lt;5km)", "Starlink Business LEO Satellite Backhaul (&gt;5km)"))</f>
        <v/>
      </c>
      <c r="W1796" s="28" t="n">
        <v>0.07200000000000001</v>
      </c>
      <c r="X1796" s="14" t="n">
        <v>41.79</v>
      </c>
      <c r="Y1796" s="14">
        <f>ROUND(MIN(100, (X1796/69.91)*100), 2)</f>
        <v/>
      </c>
    </row>
    <row r="1797">
      <c r="A1797" s="10" t="n">
        <v>5</v>
      </c>
      <c r="B1797" s="10" t="n">
        <v>793</v>
      </c>
      <c r="C1797" s="10" t="n">
        <v>4793</v>
      </c>
      <c r="D1797" s="10" t="inlineStr">
        <is>
          <t>0205706003</t>
        </is>
      </c>
      <c r="E1797" s="26" t="inlineStr">
        <is>
          <t>Region II (Cagayan Valley)</t>
        </is>
      </c>
      <c r="F1797" s="26" t="inlineStr">
        <is>
          <t>Quirino</t>
        </is>
      </c>
      <c r="G1797" s="26" t="inlineStr">
        <is>
          <t>Nagtipunan</t>
        </is>
      </c>
      <c r="H1797" s="26" t="inlineStr">
        <is>
          <t>Dissimungal</t>
        </is>
      </c>
      <c r="I1797" s="27" t="n">
        <v>16.175978</v>
      </c>
      <c r="J1797" s="27" t="n">
        <v>121.765733</v>
      </c>
      <c r="K1797" s="10" t="inlineStr">
        <is>
          <t>R</t>
        </is>
      </c>
      <c r="L1797" s="12" t="n">
        <v>2074</v>
      </c>
      <c r="M1797" s="14" t="n">
        <v>3.9</v>
      </c>
      <c r="N1797" s="12">
        <f>ROUND(L1797/M1797, 0)</f>
        <v/>
      </c>
      <c r="O1797" s="12">
        <f>ROUND(N1797*'Methodology &amp; Assumptions'!$B$5, 0)</f>
        <v/>
      </c>
      <c r="P1797" s="10" t="inlineStr">
        <is>
          <t>Single Carrier (Band n50, 100MHz TDD)</t>
        </is>
      </c>
      <c r="Q1797" s="13">
        <f>ROUNDUP(O1797/'Methodology &amp; Assumptions'!$B$6, 0)</f>
        <v/>
      </c>
      <c r="R1797" s="13" t="n">
        <v>1</v>
      </c>
      <c r="S1797" s="14" t="n">
        <v>10.88</v>
      </c>
      <c r="T1797" s="14" t="n">
        <v>0.04</v>
      </c>
      <c r="U1797" s="26">
        <f>IF(X1797&gt;='Methodology &amp; Assumptions'!$B$7, "Tier 1 Critical GIDA (Score ≥ 50.0)", IF(X1797&gt;='Methodology &amp; Assumptions'!$B$8, "Tier 2 High GIDA (Score 40.0–49.9)", "Tier 3 Moderate GIDA (Score &lt; 40.0)"))</f>
        <v/>
      </c>
      <c r="V1797" s="26">
        <f>IF(S1797&lt;='Methodology &amp; Assumptions'!$B$10, "Direct Optical Drop (&lt;3km)", IF(S1797&lt;='Methodology &amp; Assumptions'!$B$9, "Near Optical / Microwave (&lt;5km)", "Starlink Business LEO Satellite Backhaul (&gt;5km)"))</f>
        <v/>
      </c>
      <c r="W1797" s="28" t="n">
        <v>0.083</v>
      </c>
      <c r="X1797" s="14" t="n">
        <v>41.79</v>
      </c>
      <c r="Y1797" s="14">
        <f>ROUND(MIN(100, (X1797/69.91)*100), 2)</f>
        <v/>
      </c>
    </row>
    <row r="1798">
      <c r="A1798" s="10" t="n">
        <v>5</v>
      </c>
      <c r="B1798" s="10" t="n">
        <v>794</v>
      </c>
      <c r="C1798" s="10" t="n">
        <v>4794</v>
      </c>
      <c r="D1798" s="10" t="inlineStr">
        <is>
          <t>PH0004794</t>
        </is>
      </c>
      <c r="E1798" s="26" t="inlineStr">
        <is>
          <t>VII</t>
        </is>
      </c>
      <c r="F1798" s="26" t="inlineStr">
        <is>
          <t>Cebu</t>
        </is>
      </c>
      <c r="G1798" s="26" t="inlineStr">
        <is>
          <t>Cebu City</t>
        </is>
      </c>
      <c r="H1798" s="26" t="inlineStr">
        <is>
          <t>Carreta</t>
        </is>
      </c>
      <c r="I1798" s="27" t="n">
        <v>10.307533</v>
      </c>
      <c r="J1798" s="27" t="n">
        <v>123.908767</v>
      </c>
      <c r="K1798" s="10" t="inlineStr">
        <is>
          <t>R</t>
        </is>
      </c>
      <c r="L1798" s="12" t="n">
        <v>2250</v>
      </c>
      <c r="M1798" s="14" t="n">
        <v>3.8</v>
      </c>
      <c r="N1798" s="12">
        <f>ROUND(L1798/M1798, 0)</f>
        <v/>
      </c>
      <c r="O1798" s="12">
        <f>ROUND(N1798*'Methodology &amp; Assumptions'!$B$5, 0)</f>
        <v/>
      </c>
      <c r="P1798" s="10" t="inlineStr">
        <is>
          <t>Single Carrier (Band n50, 100MHz TDD)</t>
        </is>
      </c>
      <c r="Q1798" s="13">
        <f>ROUNDUP(O1798/'Methodology &amp; Assumptions'!$B$6, 0)</f>
        <v/>
      </c>
      <c r="R1798" s="13" t="n">
        <v>1</v>
      </c>
      <c r="S1798" s="14" t="n">
        <v>1.3</v>
      </c>
      <c r="T1798" s="14" t="n">
        <v>0.33</v>
      </c>
      <c r="U1798" s="26">
        <f>IF(X1798&gt;='Methodology &amp; Assumptions'!$B$7, "Tier 1 Critical GIDA (Score ≥ 50.0)", IF(X1798&gt;='Methodology &amp; Assumptions'!$B$8, "Tier 2 High GIDA (Score 40.0–49.9)", "Tier 3 Moderate GIDA (Score &lt; 40.0)"))</f>
        <v/>
      </c>
      <c r="V1798" s="26">
        <f>IF(S1798&lt;='Methodology &amp; Assumptions'!$B$10, "Direct Optical Drop (&lt;3km)", IF(S1798&lt;='Methodology &amp; Assumptions'!$B$9, "Near Optical / Microwave (&lt;5km)", "Starlink Business LEO Satellite Backhaul (&gt;5km)"))</f>
        <v/>
      </c>
      <c r="W1798" s="28" t="n">
        <v>0.21</v>
      </c>
      <c r="X1798" s="14" t="n">
        <v>41.78</v>
      </c>
      <c r="Y1798" s="14">
        <f>ROUND(MIN(100, (X1798/69.91)*100), 2)</f>
        <v/>
      </c>
    </row>
    <row r="1799">
      <c r="A1799" s="10" t="n">
        <v>5</v>
      </c>
      <c r="B1799" s="10" t="n">
        <v>795</v>
      </c>
      <c r="C1799" s="10" t="n">
        <v>4795</v>
      </c>
      <c r="D1799" s="10" t="inlineStr">
        <is>
          <t>1906616008</t>
        </is>
      </c>
      <c r="E1799" s="26" t="inlineStr">
        <is>
          <t>Bangsamoro Autonomous Region In Muslim Mindanao (BARMM)</t>
        </is>
      </c>
      <c r="F1799" s="26" t="inlineStr">
        <is>
          <t>Sulu</t>
        </is>
      </c>
      <c r="G1799" s="26" t="inlineStr">
        <is>
          <t>Panglima Estino</t>
        </is>
      </c>
      <c r="H1799" s="26" t="inlineStr">
        <is>
          <t>Tiptipon</t>
        </is>
      </c>
      <c r="I1799" s="27" t="n">
        <v>17.255575</v>
      </c>
      <c r="J1799" s="27" t="n">
        <v>122.229619</v>
      </c>
      <c r="K1799" s="10" t="inlineStr">
        <is>
          <t>R</t>
        </is>
      </c>
      <c r="L1799" s="12" t="n">
        <v>2476</v>
      </c>
      <c r="M1799" s="14" t="n">
        <v>6</v>
      </c>
      <c r="N1799" s="12">
        <f>ROUND(L1799/M1799, 0)</f>
        <v/>
      </c>
      <c r="O1799" s="12">
        <f>ROUND(N1799*'Methodology &amp; Assumptions'!$B$5, 0)</f>
        <v/>
      </c>
      <c r="P1799" s="10" t="inlineStr">
        <is>
          <t>Single Carrier (Band n50, 100MHz TDD)</t>
        </is>
      </c>
      <c r="Q1799" s="13">
        <f>ROUNDUP(O1799/'Methodology &amp; Assumptions'!$B$6, 0)</f>
        <v/>
      </c>
      <c r="R1799" s="13" t="n">
        <v>1</v>
      </c>
      <c r="S1799" s="14" t="n">
        <v>29.53</v>
      </c>
      <c r="T1799" s="14" t="n">
        <v>34.4</v>
      </c>
      <c r="U1799" s="26">
        <f>IF(X1799&gt;='Methodology &amp; Assumptions'!$B$7, "Tier 1 Critical GIDA (Score ≥ 50.0)", IF(X1799&gt;='Methodology &amp; Assumptions'!$B$8, "Tier 2 High GIDA (Score 40.0–49.9)", "Tier 3 Moderate GIDA (Score &lt; 40.0)"))</f>
        <v/>
      </c>
      <c r="V1799" s="26">
        <f>IF(S1799&lt;='Methodology &amp; Assumptions'!$B$10, "Direct Optical Drop (&lt;3km)", IF(S1799&lt;='Methodology &amp; Assumptions'!$B$9, "Near Optical / Microwave (&lt;5km)", "Starlink Business LEO Satellite Backhaul (&gt;5km)"))</f>
        <v/>
      </c>
      <c r="W1799" s="28" t="n">
        <v>0.11</v>
      </c>
      <c r="X1799" s="14" t="n">
        <v>41.77</v>
      </c>
      <c r="Y1799" s="14">
        <f>ROUND(MIN(100, (X1799/69.91)*100), 2)</f>
        <v/>
      </c>
    </row>
    <row r="1800">
      <c r="A1800" s="10" t="n">
        <v>5</v>
      </c>
      <c r="B1800" s="10" t="n">
        <v>796</v>
      </c>
      <c r="C1800" s="10" t="n">
        <v>4796</v>
      </c>
      <c r="D1800" s="10" t="inlineStr">
        <is>
          <t>PH0004796</t>
        </is>
      </c>
      <c r="E1800" s="26" t="inlineStr">
        <is>
          <t>IV-A</t>
        </is>
      </c>
      <c r="F1800" s="26" t="inlineStr">
        <is>
          <t>Cavite</t>
        </is>
      </c>
      <c r="G1800" s="26" t="inlineStr">
        <is>
          <t>Cavite City</t>
        </is>
      </c>
      <c r="H1800" s="26" t="inlineStr">
        <is>
          <t>Barangay 7</t>
        </is>
      </c>
      <c r="I1800" s="27" t="n">
        <v>14.479459</v>
      </c>
      <c r="J1800" s="27" t="n">
        <v>120.842954</v>
      </c>
      <c r="K1800" s="10" t="inlineStr">
        <is>
          <t>R</t>
        </is>
      </c>
      <c r="L1800" s="12" t="n">
        <v>2316</v>
      </c>
      <c r="M1800" s="14" t="n">
        <v>3.4</v>
      </c>
      <c r="N1800" s="12">
        <f>ROUND(L1800/M1800, 0)</f>
        <v/>
      </c>
      <c r="O1800" s="12">
        <f>ROUND(N1800*'Methodology &amp; Assumptions'!$B$5, 0)</f>
        <v/>
      </c>
      <c r="P1800" s="10" t="inlineStr">
        <is>
          <t>Single Carrier (Band n50, 100MHz TDD)</t>
        </is>
      </c>
      <c r="Q1800" s="13">
        <f>ROUNDUP(O1800/'Methodology &amp; Assumptions'!$B$6, 0)</f>
        <v/>
      </c>
      <c r="R1800" s="13" t="n">
        <v>1</v>
      </c>
      <c r="S1800" s="14" t="n">
        <v>4.83</v>
      </c>
      <c r="T1800" s="14" t="n">
        <v>6.98</v>
      </c>
      <c r="U1800" s="26">
        <f>IF(X1800&gt;='Methodology &amp; Assumptions'!$B$7, "Tier 1 Critical GIDA (Score ≥ 50.0)", IF(X1800&gt;='Methodology &amp; Assumptions'!$B$8, "Tier 2 High GIDA (Score 40.0–49.9)", "Tier 3 Moderate GIDA (Score &lt; 40.0)"))</f>
        <v/>
      </c>
      <c r="V1800" s="26">
        <f>IF(S1800&lt;='Methodology &amp; Assumptions'!$B$10, "Direct Optical Drop (&lt;3km)", IF(S1800&lt;='Methodology &amp; Assumptions'!$B$9, "Near Optical / Microwave (&lt;5km)", "Starlink Business LEO Satellite Backhaul (&gt;5km)"))</f>
        <v/>
      </c>
      <c r="W1800" s="28" t="n">
        <v>0.07200000000000001</v>
      </c>
      <c r="X1800" s="14" t="n">
        <v>41.77</v>
      </c>
      <c r="Y1800" s="14">
        <f>ROUND(MIN(100, (X1800/69.91)*100), 2)</f>
        <v/>
      </c>
    </row>
    <row r="1801">
      <c r="A1801" s="10" t="n">
        <v>5</v>
      </c>
      <c r="B1801" s="10" t="n">
        <v>797</v>
      </c>
      <c r="C1801" s="10" t="n">
        <v>4797</v>
      </c>
      <c r="D1801" s="10" t="inlineStr">
        <is>
          <t>0603040042</t>
        </is>
      </c>
      <c r="E1801" s="26" t="inlineStr">
        <is>
          <t>Region VI (Western Visayas)</t>
        </is>
      </c>
      <c r="F1801" s="26" t="inlineStr">
        <is>
          <t>Iloilo</t>
        </is>
      </c>
      <c r="G1801" s="26" t="inlineStr">
        <is>
          <t>San Joaquin</t>
        </is>
      </c>
      <c r="H1801" s="26" t="inlineStr">
        <is>
          <t>Iglilico</t>
        </is>
      </c>
      <c r="I1801" s="27" t="n">
        <v>10.589331</v>
      </c>
      <c r="J1801" s="27" t="n">
        <v>122.087484</v>
      </c>
      <c r="K1801" s="10" t="inlineStr">
        <is>
          <t>R</t>
        </is>
      </c>
      <c r="L1801" s="12" t="n">
        <v>265</v>
      </c>
      <c r="M1801" s="14" t="n">
        <v>3.8</v>
      </c>
      <c r="N1801" s="12">
        <f>ROUND(L1801/M1801, 0)</f>
        <v/>
      </c>
      <c r="O1801" s="12">
        <f>ROUND(N1801*'Methodology &amp; Assumptions'!$B$5, 0)</f>
        <v/>
      </c>
      <c r="P1801" s="10" t="inlineStr">
        <is>
          <t>Single Carrier (Band n50, 100MHz TDD)</t>
        </is>
      </c>
      <c r="Q1801" s="13">
        <f>ROUNDUP(O1801/'Methodology &amp; Assumptions'!$B$6, 0)</f>
        <v/>
      </c>
      <c r="R1801" s="13" t="n">
        <v>1</v>
      </c>
      <c r="S1801" s="14" t="n">
        <v>25.23</v>
      </c>
      <c r="T1801" s="14" t="n">
        <v>1.74</v>
      </c>
      <c r="U1801" s="26">
        <f>IF(X1801&gt;='Methodology &amp; Assumptions'!$B$7, "Tier 1 Critical GIDA (Score ≥ 50.0)", IF(X1801&gt;='Methodology &amp; Assumptions'!$B$8, "Tier 2 High GIDA (Score 40.0–49.9)", "Tier 3 Moderate GIDA (Score &lt; 40.0)"))</f>
        <v/>
      </c>
      <c r="V1801" s="26">
        <f>IF(S1801&lt;='Methodology &amp; Assumptions'!$B$10, "Direct Optical Drop (&lt;3km)", IF(S1801&lt;='Methodology &amp; Assumptions'!$B$9, "Near Optical / Microwave (&lt;5km)", "Starlink Business LEO Satellite Backhaul (&gt;5km)"))</f>
        <v/>
      </c>
      <c r="W1801" s="28" t="n">
        <v>0.237</v>
      </c>
      <c r="X1801" s="14" t="n">
        <v>41.77</v>
      </c>
      <c r="Y1801" s="14">
        <f>ROUND(MIN(100, (X1801/69.91)*100), 2)</f>
        <v/>
      </c>
    </row>
    <row r="1802">
      <c r="A1802" s="10" t="n">
        <v>5</v>
      </c>
      <c r="B1802" s="10" t="n">
        <v>798</v>
      </c>
      <c r="C1802" s="10" t="n">
        <v>4798</v>
      </c>
      <c r="D1802" s="10" t="inlineStr">
        <is>
          <t>1906609032</t>
        </is>
      </c>
      <c r="E1802" s="26" t="inlineStr">
        <is>
          <t>Bangsamoro Autonomous Region In Muslim Mindanao (BARMM)</t>
        </is>
      </c>
      <c r="F1802" s="26" t="inlineStr">
        <is>
          <t>Sulu</t>
        </is>
      </c>
      <c r="G1802" s="26" t="inlineStr">
        <is>
          <t>Parang</t>
        </is>
      </c>
      <c r="H1802" s="26" t="inlineStr">
        <is>
          <t>Paugan</t>
        </is>
      </c>
      <c r="I1802" s="27" t="n">
        <v>17.255386</v>
      </c>
      <c r="J1802" s="27" t="n">
        <v>122.22943</v>
      </c>
      <c r="K1802" s="10" t="inlineStr">
        <is>
          <t>R</t>
        </is>
      </c>
      <c r="L1802" s="12" t="n">
        <v>970</v>
      </c>
      <c r="M1802" s="14" t="n">
        <v>6</v>
      </c>
      <c r="N1802" s="12">
        <f>ROUND(L1802/M1802, 0)</f>
        <v/>
      </c>
      <c r="O1802" s="12">
        <f>ROUND(N1802*'Methodology &amp; Assumptions'!$B$5, 0)</f>
        <v/>
      </c>
      <c r="P1802" s="10" t="inlineStr">
        <is>
          <t>Single Carrier (Band n50, 100MHz TDD)</t>
        </is>
      </c>
      <c r="Q1802" s="13">
        <f>ROUNDUP(O1802/'Methodology &amp; Assumptions'!$B$6, 0)</f>
        <v/>
      </c>
      <c r="R1802" s="13" t="n">
        <v>1</v>
      </c>
      <c r="S1802" s="14" t="n">
        <v>29.5</v>
      </c>
      <c r="T1802" s="14" t="n">
        <v>34.37</v>
      </c>
      <c r="U1802" s="26">
        <f>IF(X1802&gt;='Methodology &amp; Assumptions'!$B$7, "Tier 1 Critical GIDA (Score ≥ 50.0)", IF(X1802&gt;='Methodology &amp; Assumptions'!$B$8, "Tier 2 High GIDA (Score 40.0–49.9)", "Tier 3 Moderate GIDA (Score &lt; 40.0)"))</f>
        <v/>
      </c>
      <c r="V1802" s="26">
        <f>IF(S1802&lt;='Methodology &amp; Assumptions'!$B$10, "Direct Optical Drop (&lt;3km)", IF(S1802&lt;='Methodology &amp; Assumptions'!$B$9, "Near Optical / Microwave (&lt;5km)", "Starlink Business LEO Satellite Backhaul (&gt;5km)"))</f>
        <v/>
      </c>
      <c r="W1802" s="28" t="n">
        <v>0.11</v>
      </c>
      <c r="X1802" s="14" t="n">
        <v>41.76</v>
      </c>
      <c r="Y1802" s="14">
        <f>ROUND(MIN(100, (X1802/69.91)*100), 2)</f>
        <v/>
      </c>
    </row>
    <row r="1803">
      <c r="A1803" s="10" t="n">
        <v>5</v>
      </c>
      <c r="B1803" s="10" t="n">
        <v>799</v>
      </c>
      <c r="C1803" s="10" t="n">
        <v>4799</v>
      </c>
      <c r="D1803" s="10" t="inlineStr">
        <is>
          <t>1380800001</t>
        </is>
      </c>
      <c r="E1803" s="26" t="inlineStr">
        <is>
          <t>National Capital Region (NCR)</t>
        </is>
      </c>
      <c r="F1803" s="26" t="inlineStr">
        <is>
          <t>Fourth District (Not a Province)</t>
        </is>
      </c>
      <c r="G1803" s="26" t="inlineStr">
        <is>
          <t>City of Muntinlupa</t>
        </is>
      </c>
      <c r="H1803" s="26" t="inlineStr">
        <is>
          <t>Alabang</t>
        </is>
      </c>
      <c r="I1803" s="27" t="n">
        <v>14.952798</v>
      </c>
      <c r="J1803" s="27" t="n">
        <v>120.089058</v>
      </c>
      <c r="K1803" s="10" t="inlineStr">
        <is>
          <t>U</t>
        </is>
      </c>
      <c r="L1803" s="12" t="n">
        <v>72223</v>
      </c>
      <c r="M1803" s="14" t="n">
        <v>3.8</v>
      </c>
      <c r="N1803" s="12">
        <f>ROUND(L1803/M1803, 0)</f>
        <v/>
      </c>
      <c r="O1803" s="12">
        <f>ROUND(N1803*'Methodology &amp; Assumptions'!$B$5, 0)</f>
        <v/>
      </c>
      <c r="P1803" s="10" t="inlineStr">
        <is>
          <t>Single Carrier (Band n50, 100MHz TDD)</t>
        </is>
      </c>
      <c r="Q1803" s="13">
        <f>ROUNDUP(O1803/'Methodology &amp; Assumptions'!$B$6, 0)</f>
        <v/>
      </c>
      <c r="R1803" s="13" t="n">
        <v>1</v>
      </c>
      <c r="S1803" s="14" t="n">
        <v>0.31</v>
      </c>
      <c r="T1803" s="14" t="n">
        <v>0.14</v>
      </c>
      <c r="U1803" s="26">
        <f>IF(X1803&gt;='Methodology &amp; Assumptions'!$B$7, "Tier 1 Critical GIDA (Score ≥ 50.0)", IF(X1803&gt;='Methodology &amp; Assumptions'!$B$8, "Tier 2 High GIDA (Score 40.0–49.9)", "Tier 3 Moderate GIDA (Score &lt; 40.0)"))</f>
        <v/>
      </c>
      <c r="V1803" s="26">
        <f>IF(S1803&lt;='Methodology &amp; Assumptions'!$B$10, "Direct Optical Drop (&lt;3km)", IF(S1803&lt;='Methodology &amp; Assumptions'!$B$9, "Near Optical / Microwave (&lt;5km)", "Starlink Business LEO Satellite Backhaul (&gt;5km)"))</f>
        <v/>
      </c>
      <c r="W1803" s="28" t="n">
        <v>0.109</v>
      </c>
      <c r="X1803" s="14" t="n">
        <v>41.76</v>
      </c>
      <c r="Y1803" s="14">
        <f>ROUND(MIN(100, (X1803/69.91)*100), 2)</f>
        <v/>
      </c>
    </row>
    <row r="1804">
      <c r="A1804" s="10" t="n">
        <v>5</v>
      </c>
      <c r="B1804" s="10" t="n">
        <v>800</v>
      </c>
      <c r="C1804" s="10" t="n">
        <v>4800</v>
      </c>
      <c r="D1804" s="10" t="inlineStr">
        <is>
          <t>PH0004800</t>
        </is>
      </c>
      <c r="E1804" s="26" t="inlineStr">
        <is>
          <t>XIII</t>
        </is>
      </c>
      <c r="F1804" s="26" t="inlineStr">
        <is>
          <t>Agusan Del Norte</t>
        </is>
      </c>
      <c r="G1804" s="26" t="inlineStr">
        <is>
          <t>Butuan City</t>
        </is>
      </c>
      <c r="H1804" s="26" t="inlineStr">
        <is>
          <t>San Ignacio Pob.</t>
        </is>
      </c>
      <c r="I1804" s="27" t="n">
        <v>11.167213</v>
      </c>
      <c r="J1804" s="27" t="n">
        <v>124.66726</v>
      </c>
      <c r="K1804" s="10" t="inlineStr">
        <is>
          <t>R</t>
        </is>
      </c>
      <c r="L1804" s="12" t="n">
        <v>2294</v>
      </c>
      <c r="M1804" s="14" t="n">
        <v>4.1</v>
      </c>
      <c r="N1804" s="12">
        <f>ROUND(L1804/M1804, 0)</f>
        <v/>
      </c>
      <c r="O1804" s="12">
        <f>ROUND(N1804*'Methodology &amp; Assumptions'!$B$5, 0)</f>
        <v/>
      </c>
      <c r="P1804" s="10" t="inlineStr">
        <is>
          <t>Single Carrier (Band n50, 100MHz TDD)</t>
        </is>
      </c>
      <c r="Q1804" s="13">
        <f>ROUNDUP(O1804/'Methodology &amp; Assumptions'!$B$6, 0)</f>
        <v/>
      </c>
      <c r="R1804" s="13" t="n">
        <v>1</v>
      </c>
      <c r="S1804" s="14" t="n">
        <v>11.71</v>
      </c>
      <c r="T1804" s="14" t="n">
        <v>9.9</v>
      </c>
      <c r="U1804" s="26">
        <f>IF(X1804&gt;='Methodology &amp; Assumptions'!$B$7, "Tier 1 Critical GIDA (Score ≥ 50.0)", IF(X1804&gt;='Methodology &amp; Assumptions'!$B$8, "Tier 2 High GIDA (Score 40.0–49.9)", "Tier 3 Moderate GIDA (Score &lt; 40.0)"))</f>
        <v/>
      </c>
      <c r="V1804" s="26">
        <f>IF(S1804&lt;='Methodology &amp; Assumptions'!$B$10, "Direct Optical Drop (&lt;3km)", IF(S1804&lt;='Methodology &amp; Assumptions'!$B$9, "Near Optical / Microwave (&lt;5km)", "Starlink Business LEO Satellite Backhaul (&gt;5km)"))</f>
        <v/>
      </c>
      <c r="W1804" s="28" t="n">
        <v>0.109</v>
      </c>
      <c r="X1804" s="14" t="n">
        <v>41.76</v>
      </c>
      <c r="Y1804" s="14">
        <f>ROUND(MIN(100, (X1804/69.91)*100), 2)</f>
        <v/>
      </c>
    </row>
    <row r="1805">
      <c r="A1805" s="10" t="n">
        <v>5</v>
      </c>
      <c r="B1805" s="10" t="n">
        <v>801</v>
      </c>
      <c r="C1805" s="10" t="n">
        <v>4801</v>
      </c>
      <c r="D1805" s="10" t="inlineStr">
        <is>
          <t>1908819001</t>
        </is>
      </c>
      <c r="E1805" s="26" t="inlineStr">
        <is>
          <t>Bangsamoro Autonomous Region In Muslim Mindanao (BARMM)</t>
        </is>
      </c>
      <c r="F1805" s="26" t="inlineStr">
        <is>
          <t>Maguindanao del Sur</t>
        </is>
      </c>
      <c r="G1805" s="26" t="inlineStr">
        <is>
          <t>Rajah Buayan</t>
        </is>
      </c>
      <c r="H1805" s="26" t="inlineStr">
        <is>
          <t>Baital</t>
        </is>
      </c>
      <c r="I1805" s="27" t="n">
        <v>17.255176</v>
      </c>
      <c r="J1805" s="27" t="n">
        <v>122.22922</v>
      </c>
      <c r="K1805" s="10" t="inlineStr">
        <is>
          <t>R</t>
        </is>
      </c>
      <c r="L1805" s="12" t="n">
        <v>3124</v>
      </c>
      <c r="M1805" s="14" t="n">
        <v>4.7</v>
      </c>
      <c r="N1805" s="12">
        <f>ROUND(L1805/M1805, 0)</f>
        <v/>
      </c>
      <c r="O1805" s="12">
        <f>ROUND(N1805*'Methodology &amp; Assumptions'!$B$5, 0)</f>
        <v/>
      </c>
      <c r="P1805" s="10" t="inlineStr">
        <is>
          <t>Single Carrier (Band n50, 100MHz TDD)</t>
        </is>
      </c>
      <c r="Q1805" s="13">
        <f>ROUNDUP(O1805/'Methodology &amp; Assumptions'!$B$6, 0)</f>
        <v/>
      </c>
      <c r="R1805" s="13" t="n">
        <v>1</v>
      </c>
      <c r="S1805" s="14" t="n">
        <v>29.47</v>
      </c>
      <c r="T1805" s="14" t="n">
        <v>34.34</v>
      </c>
      <c r="U1805" s="26">
        <f>IF(X1805&gt;='Methodology &amp; Assumptions'!$B$7, "Tier 1 Critical GIDA (Score ≥ 50.0)", IF(X1805&gt;='Methodology &amp; Assumptions'!$B$8, "Tier 2 High GIDA (Score 40.0–49.9)", "Tier 3 Moderate GIDA (Score &lt; 40.0)"))</f>
        <v/>
      </c>
      <c r="V1805" s="26">
        <f>IF(S1805&lt;='Methodology &amp; Assumptions'!$B$10, "Direct Optical Drop (&lt;3km)", IF(S1805&lt;='Methodology &amp; Assumptions'!$B$9, "Near Optical / Microwave (&lt;5km)", "Starlink Business LEO Satellite Backhaul (&gt;5km)"))</f>
        <v/>
      </c>
      <c r="W1805" s="28" t="n">
        <v>0.11</v>
      </c>
      <c r="X1805" s="14" t="n">
        <v>41.75</v>
      </c>
      <c r="Y1805" s="14">
        <f>ROUND(MIN(100, (X1805/69.91)*100), 2)</f>
        <v/>
      </c>
    </row>
    <row r="1806">
      <c r="A1806" s="10" t="n">
        <v>5</v>
      </c>
      <c r="B1806" s="10" t="n">
        <v>802</v>
      </c>
      <c r="C1806" s="10" t="n">
        <v>4802</v>
      </c>
      <c r="D1806" s="10" t="inlineStr">
        <is>
          <t>1381400005</t>
        </is>
      </c>
      <c r="E1806" s="26" t="inlineStr">
        <is>
          <t>National Capital Region (NCR)</t>
        </is>
      </c>
      <c r="F1806" s="26" t="inlineStr">
        <is>
          <t>Second District (Not a Province)</t>
        </is>
      </c>
      <c r="G1806" s="26" t="inlineStr">
        <is>
          <t>City of San Juan</t>
        </is>
      </c>
      <c r="H1806" s="26" t="inlineStr">
        <is>
          <t>Ermitaño</t>
        </is>
      </c>
      <c r="I1806" s="27" t="n">
        <v>14.589781</v>
      </c>
      <c r="J1806" s="27" t="n">
        <v>121.035958</v>
      </c>
      <c r="K1806" s="10" t="inlineStr">
        <is>
          <t>U</t>
        </is>
      </c>
      <c r="L1806" s="12" t="n">
        <v>6762</v>
      </c>
      <c r="M1806" s="14" t="n">
        <v>3.6</v>
      </c>
      <c r="N1806" s="12">
        <f>ROUND(L1806/M1806, 0)</f>
        <v/>
      </c>
      <c r="O1806" s="12">
        <f>ROUND(N1806*'Methodology &amp; Assumptions'!$B$5, 0)</f>
        <v/>
      </c>
      <c r="P1806" s="10" t="inlineStr">
        <is>
          <t>Single Carrier (Band n50, 100MHz TDD)</t>
        </is>
      </c>
      <c r="Q1806" s="13">
        <f>ROUNDUP(O1806/'Methodology &amp; Assumptions'!$B$6, 0)</f>
        <v/>
      </c>
      <c r="R1806" s="13" t="n">
        <v>1</v>
      </c>
      <c r="S1806" s="14" t="n">
        <v>0.17</v>
      </c>
      <c r="T1806" s="14" t="n">
        <v>0.1</v>
      </c>
      <c r="U1806" s="26">
        <f>IF(X1806&gt;='Methodology &amp; Assumptions'!$B$7, "Tier 1 Critical GIDA (Score ≥ 50.0)", IF(X1806&gt;='Methodology &amp; Assumptions'!$B$8, "Tier 2 High GIDA (Score 40.0–49.9)", "Tier 3 Moderate GIDA (Score &lt; 40.0)"))</f>
        <v/>
      </c>
      <c r="V1806" s="26">
        <f>IF(S1806&lt;='Methodology &amp; Assumptions'!$B$10, "Direct Optical Drop (&lt;3km)", IF(S1806&lt;='Methodology &amp; Assumptions'!$B$9, "Near Optical / Microwave (&lt;5km)", "Starlink Business LEO Satellite Backhaul (&gt;5km)"))</f>
        <v/>
      </c>
      <c r="W1806" s="28" t="n">
        <v>0.109</v>
      </c>
      <c r="X1806" s="14" t="n">
        <v>41.74</v>
      </c>
      <c r="Y1806" s="14">
        <f>ROUND(MIN(100, (X1806/69.91)*100), 2)</f>
        <v/>
      </c>
    </row>
    <row r="1807">
      <c r="A1807" s="10" t="n">
        <v>5</v>
      </c>
      <c r="B1807" s="10" t="n">
        <v>803</v>
      </c>
      <c r="C1807" s="10" t="n">
        <v>4803</v>
      </c>
      <c r="D1807" s="10" t="inlineStr">
        <is>
          <t>1381300045</t>
        </is>
      </c>
      <c r="E1807" s="26" t="inlineStr">
        <is>
          <t>National Capital Region (NCR)</t>
        </is>
      </c>
      <c r="F1807" s="26" t="inlineStr">
        <is>
          <t>Second District (Not a Province)</t>
        </is>
      </c>
      <c r="G1807" s="26" t="inlineStr">
        <is>
          <t>Quezon City</t>
        </is>
      </c>
      <c r="H1807" s="26" t="inlineStr">
        <is>
          <t>Immaculate Concepcion</t>
        </is>
      </c>
      <c r="I1807" s="27" t="n">
        <v>14.699809</v>
      </c>
      <c r="J1807" s="27" t="n">
        <v>121.086478</v>
      </c>
      <c r="K1807" s="10" t="inlineStr">
        <is>
          <t>U</t>
        </is>
      </c>
      <c r="L1807" s="12" t="n">
        <v>8512</v>
      </c>
      <c r="M1807" s="14" t="n">
        <v>3.8</v>
      </c>
      <c r="N1807" s="12">
        <f>ROUND(L1807/M1807, 0)</f>
        <v/>
      </c>
      <c r="O1807" s="12">
        <f>ROUND(N1807*'Methodology &amp; Assumptions'!$B$5, 0)</f>
        <v/>
      </c>
      <c r="P1807" s="10" t="inlineStr">
        <is>
          <t>Single Carrier (Band n50, 100MHz TDD)</t>
        </is>
      </c>
      <c r="Q1807" s="13">
        <f>ROUNDUP(O1807/'Methodology &amp; Assumptions'!$B$6, 0)</f>
        <v/>
      </c>
      <c r="R1807" s="13" t="n">
        <v>1</v>
      </c>
      <c r="S1807" s="14" t="n">
        <v>0.32</v>
      </c>
      <c r="T1807" s="14" t="n">
        <v>0.17</v>
      </c>
      <c r="U1807" s="26">
        <f>IF(X1807&gt;='Methodology &amp; Assumptions'!$B$7, "Tier 1 Critical GIDA (Score ≥ 50.0)", IF(X1807&gt;='Methodology &amp; Assumptions'!$B$8, "Tier 2 High GIDA (Score 40.0–49.9)", "Tier 3 Moderate GIDA (Score &lt; 40.0)"))</f>
        <v/>
      </c>
      <c r="V1807" s="26">
        <f>IF(S1807&lt;='Methodology &amp; Assumptions'!$B$10, "Direct Optical Drop (&lt;3km)", IF(S1807&lt;='Methodology &amp; Assumptions'!$B$9, "Near Optical / Microwave (&lt;5km)", "Starlink Business LEO Satellite Backhaul (&gt;5km)"))</f>
        <v/>
      </c>
      <c r="W1807" s="28" t="n">
        <v>0.109</v>
      </c>
      <c r="X1807" s="14" t="n">
        <v>41.74</v>
      </c>
      <c r="Y1807" s="14">
        <f>ROUND(MIN(100, (X1807/69.91)*100), 2)</f>
        <v/>
      </c>
    </row>
    <row r="1808">
      <c r="A1808" s="10" t="n">
        <v>5</v>
      </c>
      <c r="B1808" s="10" t="n">
        <v>804</v>
      </c>
      <c r="C1808" s="10" t="n">
        <v>4804</v>
      </c>
      <c r="D1808" s="10" t="inlineStr">
        <is>
          <t>1001318027</t>
        </is>
      </c>
      <c r="E1808" s="26" t="inlineStr">
        <is>
          <t>Region X (Northern Mindanao)</t>
        </is>
      </c>
      <c r="F1808" s="26" t="inlineStr">
        <is>
          <t>Bukidnon</t>
        </is>
      </c>
      <c r="G1808" s="26" t="inlineStr">
        <is>
          <t>San Fernando</t>
        </is>
      </c>
      <c r="H1808" s="26" t="inlineStr">
        <is>
          <t>Bulalang</t>
        </is>
      </c>
      <c r="I1808" s="27" t="n">
        <v>7.745838</v>
      </c>
      <c r="J1808" s="27" t="n">
        <v>125.365844</v>
      </c>
      <c r="K1808" s="10" t="inlineStr">
        <is>
          <t>R</t>
        </is>
      </c>
      <c r="L1808" s="12" t="n">
        <v>911</v>
      </c>
      <c r="M1808" s="14" t="n">
        <v>3.8</v>
      </c>
      <c r="N1808" s="12">
        <f>ROUND(L1808/M1808, 0)</f>
        <v/>
      </c>
      <c r="O1808" s="12">
        <f>ROUND(N1808*'Methodology &amp; Assumptions'!$B$5, 0)</f>
        <v/>
      </c>
      <c r="P1808" s="10" t="inlineStr">
        <is>
          <t>Single Carrier (Band n50, 100MHz TDD)</t>
        </is>
      </c>
      <c r="Q1808" s="13">
        <f>ROUNDUP(O1808/'Methodology &amp; Assumptions'!$B$6, 0)</f>
        <v/>
      </c>
      <c r="R1808" s="13" t="n">
        <v>1</v>
      </c>
      <c r="S1808" s="14" t="n">
        <v>28.17</v>
      </c>
      <c r="T1808" s="14" t="n">
        <v>2.86</v>
      </c>
      <c r="U1808" s="26">
        <f>IF(X1808&gt;='Methodology &amp; Assumptions'!$B$7, "Tier 1 Critical GIDA (Score ≥ 50.0)", IF(X1808&gt;='Methodology &amp; Assumptions'!$B$8, "Tier 2 High GIDA (Score 40.0–49.9)", "Tier 3 Moderate GIDA (Score &lt; 40.0)"))</f>
        <v/>
      </c>
      <c r="V1808" s="26">
        <f>IF(S1808&lt;='Methodology &amp; Assumptions'!$B$10, "Direct Optical Drop (&lt;3km)", IF(S1808&lt;='Methodology &amp; Assumptions'!$B$9, "Near Optical / Microwave (&lt;5km)", "Starlink Business LEO Satellite Backhaul (&gt;5km)"))</f>
        <v/>
      </c>
      <c r="W1808" s="28" t="n">
        <v>0.174</v>
      </c>
      <c r="X1808" s="14" t="n">
        <v>41.73</v>
      </c>
      <c r="Y1808" s="14">
        <f>ROUND(MIN(100, (X1808/69.91)*100), 2)</f>
        <v/>
      </c>
    </row>
    <row r="1809">
      <c r="A1809" s="10" t="n">
        <v>5</v>
      </c>
      <c r="B1809" s="10" t="n">
        <v>805</v>
      </c>
      <c r="C1809" s="10" t="n">
        <v>4805</v>
      </c>
      <c r="D1809" s="10" t="inlineStr">
        <is>
          <t>PH0004805</t>
        </is>
      </c>
      <c r="E1809" s="26" t="inlineStr">
        <is>
          <t>VII</t>
        </is>
      </c>
      <c r="F1809" s="26" t="inlineStr">
        <is>
          <t>Cebu</t>
        </is>
      </c>
      <c r="G1809" s="26" t="inlineStr">
        <is>
          <t>Cebu City</t>
        </is>
      </c>
      <c r="H1809" s="26" t="inlineStr">
        <is>
          <t>Basak San Nicolas</t>
        </is>
      </c>
      <c r="I1809" s="27" t="n">
        <v>10.286004</v>
      </c>
      <c r="J1809" s="27" t="n">
        <v>123.870694</v>
      </c>
      <c r="K1809" s="10" t="inlineStr">
        <is>
          <t>R</t>
        </is>
      </c>
      <c r="L1809" s="12" t="n">
        <v>2250</v>
      </c>
      <c r="M1809" s="14" t="n">
        <v>3.8</v>
      </c>
      <c r="N1809" s="12">
        <f>ROUND(L1809/M1809, 0)</f>
        <v/>
      </c>
      <c r="O1809" s="12">
        <f>ROUND(N1809*'Methodology &amp; Assumptions'!$B$5, 0)</f>
        <v/>
      </c>
      <c r="P1809" s="10" t="inlineStr">
        <is>
          <t>Single Carrier (Band n50, 100MHz TDD)</t>
        </is>
      </c>
      <c r="Q1809" s="13">
        <f>ROUNDUP(O1809/'Methodology &amp; Assumptions'!$B$6, 0)</f>
        <v/>
      </c>
      <c r="R1809" s="13" t="n">
        <v>1</v>
      </c>
      <c r="S1809" s="14" t="n">
        <v>1.13</v>
      </c>
      <c r="T1809" s="14" t="n">
        <v>0.44</v>
      </c>
      <c r="U1809" s="26">
        <f>IF(X1809&gt;='Methodology &amp; Assumptions'!$B$7, "Tier 1 Critical GIDA (Score ≥ 50.0)", IF(X1809&gt;='Methodology &amp; Assumptions'!$B$8, "Tier 2 High GIDA (Score 40.0–49.9)", "Tier 3 Moderate GIDA (Score &lt; 40.0)"))</f>
        <v/>
      </c>
      <c r="V1809" s="26">
        <f>IF(S1809&lt;='Methodology &amp; Assumptions'!$B$10, "Direct Optical Drop (&lt;3km)", IF(S1809&lt;='Methodology &amp; Assumptions'!$B$9, "Near Optical / Microwave (&lt;5km)", "Starlink Business LEO Satellite Backhaul (&gt;5km)"))</f>
        <v/>
      </c>
      <c r="W1809" s="28" t="n">
        <v>0.21</v>
      </c>
      <c r="X1809" s="14" t="n">
        <v>41.73</v>
      </c>
      <c r="Y1809" s="14">
        <f>ROUND(MIN(100, (X1809/69.91)*100), 2)</f>
        <v/>
      </c>
    </row>
    <row r="1810">
      <c r="A1810" s="10" t="n">
        <v>5</v>
      </c>
      <c r="B1810" s="10" t="n">
        <v>806</v>
      </c>
      <c r="C1810" s="10" t="n">
        <v>4806</v>
      </c>
      <c r="D1810" s="10" t="inlineStr">
        <is>
          <t>PH0004806</t>
        </is>
      </c>
      <c r="E1810" s="26" t="inlineStr">
        <is>
          <t>IV-A</t>
        </is>
      </c>
      <c r="F1810" s="26" t="inlineStr">
        <is>
          <t>Cavite</t>
        </is>
      </c>
      <c r="G1810" s="26" t="inlineStr">
        <is>
          <t>Cavite City</t>
        </is>
      </c>
      <c r="H1810" s="26" t="inlineStr">
        <is>
          <t>Barangay 26</t>
        </is>
      </c>
      <c r="I1810" s="27" t="n">
        <v>14.515628</v>
      </c>
      <c r="J1810" s="27" t="n">
        <v>120.937619</v>
      </c>
      <c r="K1810" s="10" t="inlineStr">
        <is>
          <t>R</t>
        </is>
      </c>
      <c r="L1810" s="12" t="n">
        <v>2316</v>
      </c>
      <c r="M1810" s="14" t="n">
        <v>3.4</v>
      </c>
      <c r="N1810" s="12">
        <f>ROUND(L1810/M1810, 0)</f>
        <v/>
      </c>
      <c r="O1810" s="12">
        <f>ROUND(N1810*'Methodology &amp; Assumptions'!$B$5, 0)</f>
        <v/>
      </c>
      <c r="P1810" s="10" t="inlineStr">
        <is>
          <t>Single Carrier (Band n50, 100MHz TDD)</t>
        </is>
      </c>
      <c r="Q1810" s="13">
        <f>ROUNDUP(O1810/'Methodology &amp; Assumptions'!$B$6, 0)</f>
        <v/>
      </c>
      <c r="R1810" s="13" t="n">
        <v>1</v>
      </c>
      <c r="S1810" s="14" t="n">
        <v>6</v>
      </c>
      <c r="T1810" s="14" t="n">
        <v>5.98</v>
      </c>
      <c r="U1810" s="26">
        <f>IF(X1810&gt;='Methodology &amp; Assumptions'!$B$7, "Tier 1 Critical GIDA (Score ≥ 50.0)", IF(X1810&gt;='Methodology &amp; Assumptions'!$B$8, "Tier 2 High GIDA (Score 40.0–49.9)", "Tier 3 Moderate GIDA (Score &lt; 40.0)"))</f>
        <v/>
      </c>
      <c r="V1810" s="26">
        <f>IF(S1810&lt;='Methodology &amp; Assumptions'!$B$10, "Direct Optical Drop (&lt;3km)", IF(S1810&lt;='Methodology &amp; Assumptions'!$B$9, "Near Optical / Microwave (&lt;5km)", "Starlink Business LEO Satellite Backhaul (&gt;5km)"))</f>
        <v/>
      </c>
      <c r="W1810" s="28" t="n">
        <v>0.07200000000000001</v>
      </c>
      <c r="X1810" s="14" t="n">
        <v>41.73</v>
      </c>
      <c r="Y1810" s="14">
        <f>ROUND(MIN(100, (X1810/69.91)*100), 2)</f>
        <v/>
      </c>
    </row>
    <row r="1811">
      <c r="A1811" s="10" t="n">
        <v>5</v>
      </c>
      <c r="B1811" s="10" t="n">
        <v>807</v>
      </c>
      <c r="C1811" s="10" t="n">
        <v>4807</v>
      </c>
      <c r="D1811" s="10" t="inlineStr">
        <is>
          <t>1003516023</t>
        </is>
      </c>
      <c r="E1811" s="26" t="inlineStr">
        <is>
          <t>Region X (Northern Mindanao)</t>
        </is>
      </c>
      <c r="F1811" s="26" t="inlineStr">
        <is>
          <t>Lanao del Norte</t>
        </is>
      </c>
      <c r="G1811" s="26" t="inlineStr">
        <is>
          <t>Pantao Ragat</t>
        </is>
      </c>
      <c r="H1811" s="26" t="inlineStr">
        <is>
          <t>Tongcopan</t>
        </is>
      </c>
      <c r="I1811" s="27" t="n">
        <v>8.059479</v>
      </c>
      <c r="J1811" s="27" t="n">
        <v>124.202657</v>
      </c>
      <c r="K1811" s="10" t="inlineStr">
        <is>
          <t>R</t>
        </is>
      </c>
      <c r="L1811" s="12" t="n">
        <v>1421</v>
      </c>
      <c r="M1811" s="14" t="n">
        <v>4.2</v>
      </c>
      <c r="N1811" s="12">
        <f>ROUND(L1811/M1811, 0)</f>
        <v/>
      </c>
      <c r="O1811" s="12">
        <f>ROUND(N1811*'Methodology &amp; Assumptions'!$B$5, 0)</f>
        <v/>
      </c>
      <c r="P1811" s="10" t="inlineStr">
        <is>
          <t>Single Carrier (Band n50, 100MHz TDD)</t>
        </is>
      </c>
      <c r="Q1811" s="13">
        <f>ROUNDUP(O1811/'Methodology &amp; Assumptions'!$B$6, 0)</f>
        <v/>
      </c>
      <c r="R1811" s="13" t="n">
        <v>1</v>
      </c>
      <c r="S1811" s="14" t="n">
        <v>9.619999999999999</v>
      </c>
      <c r="T1811" s="14" t="n">
        <v>5.64</v>
      </c>
      <c r="U1811" s="26">
        <f>IF(X1811&gt;='Methodology &amp; Assumptions'!$B$7, "Tier 1 Critical GIDA (Score ≥ 50.0)", IF(X1811&gt;='Methodology &amp; Assumptions'!$B$8, "Tier 2 High GIDA (Score 40.0–49.9)", "Tier 3 Moderate GIDA (Score &lt; 40.0)"))</f>
        <v/>
      </c>
      <c r="V1811" s="26">
        <f>IF(S1811&lt;='Methodology &amp; Assumptions'!$B$10, "Direct Optical Drop (&lt;3km)", IF(S1811&lt;='Methodology &amp; Assumptions'!$B$9, "Near Optical / Microwave (&lt;5km)", "Starlink Business LEO Satellite Backhaul (&gt;5km)"))</f>
        <v/>
      </c>
      <c r="W1811" s="28" t="n">
        <v>0.174</v>
      </c>
      <c r="X1811" s="14" t="n">
        <v>41.73</v>
      </c>
      <c r="Y1811" s="14">
        <f>ROUND(MIN(100, (X1811/69.91)*100), 2)</f>
        <v/>
      </c>
    </row>
    <row r="1812">
      <c r="A1812" s="10" t="n">
        <v>5</v>
      </c>
      <c r="B1812" s="10" t="n">
        <v>808</v>
      </c>
      <c r="C1812" s="10" t="n">
        <v>4808</v>
      </c>
      <c r="D1812" s="10" t="inlineStr">
        <is>
          <t>1003518015</t>
        </is>
      </c>
      <c r="E1812" s="26" t="inlineStr">
        <is>
          <t>Region X (Northern Mindanao)</t>
        </is>
      </c>
      <c r="F1812" s="26" t="inlineStr">
        <is>
          <t>Lanao del Norte</t>
        </is>
      </c>
      <c r="G1812" s="26" t="inlineStr">
        <is>
          <t>Salvador</t>
        </is>
      </c>
      <c r="H1812" s="26" t="inlineStr">
        <is>
          <t>Pagalongan</t>
        </is>
      </c>
      <c r="I1812" s="27" t="n">
        <v>7.910322</v>
      </c>
      <c r="J1812" s="27" t="n">
        <v>123.856603</v>
      </c>
      <c r="K1812" s="10" t="inlineStr">
        <is>
          <t>R</t>
        </is>
      </c>
      <c r="L1812" s="12" t="n">
        <v>862</v>
      </c>
      <c r="M1812" s="14" t="n">
        <v>4.2</v>
      </c>
      <c r="N1812" s="12">
        <f>ROUND(L1812/M1812, 0)</f>
        <v/>
      </c>
      <c r="O1812" s="12">
        <f>ROUND(N1812*'Methodology &amp; Assumptions'!$B$5, 0)</f>
        <v/>
      </c>
      <c r="P1812" s="10" t="inlineStr">
        <is>
          <t>Single Carrier (Band n50, 100MHz TDD)</t>
        </is>
      </c>
      <c r="Q1812" s="13">
        <f>ROUNDUP(O1812/'Methodology &amp; Assumptions'!$B$6, 0)</f>
        <v/>
      </c>
      <c r="R1812" s="13" t="n">
        <v>1</v>
      </c>
      <c r="S1812" s="14" t="n">
        <v>16.05</v>
      </c>
      <c r="T1812" s="14" t="n">
        <v>9.34</v>
      </c>
      <c r="U1812" s="26">
        <f>IF(X1812&gt;='Methodology &amp; Assumptions'!$B$7, "Tier 1 Critical GIDA (Score ≥ 50.0)", IF(X1812&gt;='Methodology &amp; Assumptions'!$B$8, "Tier 2 High GIDA (Score 40.0–49.9)", "Tier 3 Moderate GIDA (Score &lt; 40.0)"))</f>
        <v/>
      </c>
      <c r="V1812" s="26">
        <f>IF(S1812&lt;='Methodology &amp; Assumptions'!$B$10, "Direct Optical Drop (&lt;3km)", IF(S1812&lt;='Methodology &amp; Assumptions'!$B$9, "Near Optical / Microwave (&lt;5km)", "Starlink Business LEO Satellite Backhaul (&gt;5km)"))</f>
        <v/>
      </c>
      <c r="W1812" s="28" t="n">
        <v>0.174</v>
      </c>
      <c r="X1812" s="14" t="n">
        <v>41.72</v>
      </c>
      <c r="Y1812" s="14">
        <f>ROUND(MIN(100, (X1812/69.91)*100), 2)</f>
        <v/>
      </c>
    </row>
    <row r="1813">
      <c r="A1813" s="10" t="n">
        <v>5</v>
      </c>
      <c r="B1813" s="10" t="n">
        <v>809</v>
      </c>
      <c r="C1813" s="10" t="n">
        <v>4809</v>
      </c>
      <c r="D1813" s="10" t="inlineStr">
        <is>
          <t>0402103028</t>
        </is>
      </c>
      <c r="E1813" s="26" t="inlineStr">
        <is>
          <t>Region IV-A (CALABARZON)</t>
        </is>
      </c>
      <c r="F1813" s="26" t="inlineStr">
        <is>
          <t>Cavite</t>
        </is>
      </c>
      <c r="G1813" s="26" t="inlineStr">
        <is>
          <t>City of Bacoor</t>
        </is>
      </c>
      <c r="H1813" s="26" t="inlineStr">
        <is>
          <t>Queens Row West</t>
        </is>
      </c>
      <c r="I1813" s="27" t="n">
        <v>14.457966</v>
      </c>
      <c r="J1813" s="27" t="n">
        <v>120.878221</v>
      </c>
      <c r="K1813" s="10" t="inlineStr">
        <is>
          <t>U</t>
        </is>
      </c>
      <c r="L1813" s="12" t="n">
        <v>11169</v>
      </c>
      <c r="M1813" s="14" t="n">
        <v>3.4</v>
      </c>
      <c r="N1813" s="12">
        <f>ROUND(L1813/M1813, 0)</f>
        <v/>
      </c>
      <c r="O1813" s="12">
        <f>ROUND(N1813*'Methodology &amp; Assumptions'!$B$5, 0)</f>
        <v/>
      </c>
      <c r="P1813" s="10" t="inlineStr">
        <is>
          <t>Single Carrier (Band n50, 100MHz TDD)</t>
        </is>
      </c>
      <c r="Q1813" s="13">
        <f>ROUNDUP(O1813/'Methodology &amp; Assumptions'!$B$6, 0)</f>
        <v/>
      </c>
      <c r="R1813" s="13" t="n">
        <v>1</v>
      </c>
      <c r="S1813" s="14" t="n">
        <v>2.13</v>
      </c>
      <c r="T1813" s="14" t="n">
        <v>3.04</v>
      </c>
      <c r="U1813" s="26">
        <f>IF(X1813&gt;='Methodology &amp; Assumptions'!$B$7, "Tier 1 Critical GIDA (Score ≥ 50.0)", IF(X1813&gt;='Methodology &amp; Assumptions'!$B$8, "Tier 2 High GIDA (Score 40.0–49.9)", "Tier 3 Moderate GIDA (Score &lt; 40.0)"))</f>
        <v/>
      </c>
      <c r="V1813" s="26">
        <f>IF(S1813&lt;='Methodology &amp; Assumptions'!$B$10, "Direct Optical Drop (&lt;3km)", IF(S1813&lt;='Methodology &amp; Assumptions'!$B$9, "Near Optical / Microwave (&lt;5km)", "Starlink Business LEO Satellite Backhaul (&gt;5km)"))</f>
        <v/>
      </c>
      <c r="W1813" s="28" t="n">
        <v>0.07200000000000001</v>
      </c>
      <c r="X1813" s="14" t="n">
        <v>41.72</v>
      </c>
      <c r="Y1813" s="14">
        <f>ROUND(MIN(100, (X1813/69.91)*100), 2)</f>
        <v/>
      </c>
    </row>
    <row r="1814">
      <c r="A1814" s="10" t="n">
        <v>5</v>
      </c>
      <c r="B1814" s="10" t="n">
        <v>810</v>
      </c>
      <c r="C1814" s="10" t="n">
        <v>4810</v>
      </c>
      <c r="D1814" s="10" t="inlineStr">
        <is>
          <t>PH0004810</t>
        </is>
      </c>
      <c r="E1814" s="26" t="inlineStr">
        <is>
          <t>IV-A</t>
        </is>
      </c>
      <c r="F1814" s="26" t="inlineStr">
        <is>
          <t>Cavite</t>
        </is>
      </c>
      <c r="G1814" s="26" t="inlineStr">
        <is>
          <t>Cavite City</t>
        </is>
      </c>
      <c r="H1814" s="26" t="inlineStr">
        <is>
          <t>Barangay 12</t>
        </is>
      </c>
      <c r="I1814" s="27" t="n">
        <v>14.470557</v>
      </c>
      <c r="J1814" s="27" t="n">
        <v>120.889176</v>
      </c>
      <c r="K1814" s="10" t="inlineStr">
        <is>
          <t>R</t>
        </is>
      </c>
      <c r="L1814" s="12" t="n">
        <v>2316</v>
      </c>
      <c r="M1814" s="14" t="n">
        <v>3.4</v>
      </c>
      <c r="N1814" s="12">
        <f>ROUND(L1814/M1814, 0)</f>
        <v/>
      </c>
      <c r="O1814" s="12">
        <f>ROUND(N1814*'Methodology &amp; Assumptions'!$B$5, 0)</f>
        <v/>
      </c>
      <c r="P1814" s="10" t="inlineStr">
        <is>
          <t>Single Carrier (Band n50, 100MHz TDD)</t>
        </is>
      </c>
      <c r="Q1814" s="13">
        <f>ROUNDUP(O1814/'Methodology &amp; Assumptions'!$B$6, 0)</f>
        <v/>
      </c>
      <c r="R1814" s="13" t="n">
        <v>1</v>
      </c>
      <c r="S1814" s="14" t="n">
        <v>0.5</v>
      </c>
      <c r="T1814" s="14" t="n">
        <v>3.85</v>
      </c>
      <c r="U1814" s="26">
        <f>IF(X1814&gt;='Methodology &amp; Assumptions'!$B$7, "Tier 1 Critical GIDA (Score ≥ 50.0)", IF(X1814&gt;='Methodology &amp; Assumptions'!$B$8, "Tier 2 High GIDA (Score 40.0–49.9)", "Tier 3 Moderate GIDA (Score &lt; 40.0)"))</f>
        <v/>
      </c>
      <c r="V1814" s="26">
        <f>IF(S1814&lt;='Methodology &amp; Assumptions'!$B$10, "Direct Optical Drop (&lt;3km)", IF(S1814&lt;='Methodology &amp; Assumptions'!$B$9, "Near Optical / Microwave (&lt;5km)", "Starlink Business LEO Satellite Backhaul (&gt;5km)"))</f>
        <v/>
      </c>
      <c r="W1814" s="28" t="n">
        <v>0.07200000000000001</v>
      </c>
      <c r="X1814" s="14" t="n">
        <v>41.72</v>
      </c>
      <c r="Y1814" s="14">
        <f>ROUND(MIN(100, (X1814/69.91)*100), 2)</f>
        <v/>
      </c>
    </row>
    <row r="1815">
      <c r="A1815" s="10" t="n">
        <v>5</v>
      </c>
      <c r="B1815" s="10" t="n">
        <v>811</v>
      </c>
      <c r="C1815" s="10" t="n">
        <v>4811</v>
      </c>
      <c r="D1815" s="10" t="inlineStr">
        <is>
          <t>0907323002</t>
        </is>
      </c>
      <c r="E1815" s="26" t="inlineStr">
        <is>
          <t>Region IX (Zamboanga Peninsula)</t>
        </is>
      </c>
      <c r="F1815" s="26" t="inlineStr">
        <is>
          <t>Zamboanga del Sur</t>
        </is>
      </c>
      <c r="G1815" s="26" t="inlineStr">
        <is>
          <t>Ramon Magsaysay</t>
        </is>
      </c>
      <c r="H1815" s="26" t="inlineStr">
        <is>
          <t>Bambong Daku</t>
        </is>
      </c>
      <c r="I1815" s="27" t="n">
        <v>8.03349</v>
      </c>
      <c r="J1815" s="27" t="n">
        <v>123.45376</v>
      </c>
      <c r="K1815" s="10" t="inlineStr">
        <is>
          <t>R</t>
        </is>
      </c>
      <c r="L1815" s="12" t="n">
        <v>749</v>
      </c>
      <c r="M1815" s="14" t="n">
        <v>3.9</v>
      </c>
      <c r="N1815" s="12">
        <f>ROUND(L1815/M1815, 0)</f>
        <v/>
      </c>
      <c r="O1815" s="12">
        <f>ROUND(N1815*'Methodology &amp; Assumptions'!$B$5, 0)</f>
        <v/>
      </c>
      <c r="P1815" s="10" t="inlineStr">
        <is>
          <t>Single Carrier (Band n50, 100MHz TDD)</t>
        </is>
      </c>
      <c r="Q1815" s="13">
        <f>ROUNDUP(O1815/'Methodology &amp; Assumptions'!$B$6, 0)</f>
        <v/>
      </c>
      <c r="R1815" s="13" t="n">
        <v>1</v>
      </c>
      <c r="S1815" s="14" t="n">
        <v>17.15</v>
      </c>
      <c r="T1815" s="14" t="n">
        <v>16.94</v>
      </c>
      <c r="U1815" s="26">
        <f>IF(X1815&gt;='Methodology &amp; Assumptions'!$B$7, "Tier 1 Critical GIDA (Score ≥ 50.0)", IF(X1815&gt;='Methodology &amp; Assumptions'!$B$8, "Tier 2 High GIDA (Score 40.0–49.9)", "Tier 3 Moderate GIDA (Score &lt; 40.0)"))</f>
        <v/>
      </c>
      <c r="V1815" s="26">
        <f>IF(S1815&lt;='Methodology &amp; Assumptions'!$B$10, "Direct Optical Drop (&lt;3km)", IF(S1815&lt;='Methodology &amp; Assumptions'!$B$9, "Near Optical / Microwave (&lt;5km)", "Starlink Business LEO Satellite Backhaul (&gt;5km)"))</f>
        <v/>
      </c>
      <c r="W1815" s="28" t="n">
        <v>0.11</v>
      </c>
      <c r="X1815" s="14" t="n">
        <v>41.72</v>
      </c>
      <c r="Y1815" s="14">
        <f>ROUND(MIN(100, (X1815/69.91)*100), 2)</f>
        <v/>
      </c>
    </row>
    <row r="1816">
      <c r="A1816" s="10" t="n">
        <v>5</v>
      </c>
      <c r="B1816" s="10" t="n">
        <v>812</v>
      </c>
      <c r="C1816" s="10" t="n">
        <v>4812</v>
      </c>
      <c r="D1816" s="10" t="inlineStr">
        <is>
          <t>1408101001</t>
        </is>
      </c>
      <c r="E1816" s="26" t="inlineStr">
        <is>
          <t>Cordillera Administrative Region (CAR)</t>
        </is>
      </c>
      <c r="F1816" s="26" t="inlineStr">
        <is>
          <t>Apayao</t>
        </is>
      </c>
      <c r="G1816" s="26" t="inlineStr">
        <is>
          <t>Calanasan</t>
        </is>
      </c>
      <c r="H1816" s="26" t="inlineStr">
        <is>
          <t>Butao</t>
        </is>
      </c>
      <c r="I1816" s="27" t="n">
        <v>18.119215</v>
      </c>
      <c r="J1816" s="27" t="n">
        <v>121.0205</v>
      </c>
      <c r="K1816" s="10" t="inlineStr">
        <is>
          <t>R</t>
        </is>
      </c>
      <c r="L1816" s="12" t="n">
        <v>806</v>
      </c>
      <c r="M1816" s="14" t="n">
        <v>4.2</v>
      </c>
      <c r="N1816" s="12">
        <f>ROUND(L1816/M1816, 0)</f>
        <v/>
      </c>
      <c r="O1816" s="12">
        <f>ROUND(N1816*'Methodology &amp; Assumptions'!$B$5, 0)</f>
        <v/>
      </c>
      <c r="P1816" s="10" t="inlineStr">
        <is>
          <t>Single Carrier (Band n50, 100MHz TDD)</t>
        </is>
      </c>
      <c r="Q1816" s="13">
        <f>ROUNDUP(O1816/'Methodology &amp; Assumptions'!$B$6, 0)</f>
        <v/>
      </c>
      <c r="R1816" s="13" t="n">
        <v>1</v>
      </c>
      <c r="S1816" s="14" t="n">
        <v>20.27</v>
      </c>
      <c r="T1816" s="14" t="n">
        <v>26.43</v>
      </c>
      <c r="U1816" s="26">
        <f>IF(X1816&gt;='Methodology &amp; Assumptions'!$B$7, "Tier 1 Critical GIDA (Score ≥ 50.0)", IF(X1816&gt;='Methodology &amp; Assumptions'!$B$8, "Tier 2 High GIDA (Score 40.0–49.9)", "Tier 3 Moderate GIDA (Score &lt; 40.0)"))</f>
        <v/>
      </c>
      <c r="V1816" s="26">
        <f>IF(S1816&lt;='Methodology &amp; Assumptions'!$B$10, "Direct Optical Drop (&lt;3km)", IF(S1816&lt;='Methodology &amp; Assumptions'!$B$9, "Near Optical / Microwave (&lt;5km)", "Starlink Business LEO Satellite Backhaul (&gt;5km)"))</f>
        <v/>
      </c>
      <c r="W1816" s="28" t="n">
        <v>0.109</v>
      </c>
      <c r="X1816" s="14" t="n">
        <v>41.71</v>
      </c>
      <c r="Y1816" s="14">
        <f>ROUND(MIN(100, (X1816/69.91)*100), 2)</f>
        <v/>
      </c>
    </row>
    <row r="1817">
      <c r="A1817" s="10" t="n">
        <v>5</v>
      </c>
      <c r="B1817" s="10" t="n">
        <v>813</v>
      </c>
      <c r="C1817" s="10" t="n">
        <v>4813</v>
      </c>
      <c r="D1817" s="10" t="inlineStr">
        <is>
          <t>PH0004813</t>
        </is>
      </c>
      <c r="E1817" s="26" t="inlineStr">
        <is>
          <t>VIII</t>
        </is>
      </c>
      <c r="F1817" s="26" t="inlineStr">
        <is>
          <t>Leyte</t>
        </is>
      </c>
      <c r="G1817" s="26" t="inlineStr">
        <is>
          <t>Tacloban City</t>
        </is>
      </c>
      <c r="H1817" s="26" t="inlineStr">
        <is>
          <t>Barangay 59</t>
        </is>
      </c>
      <c r="I1817" s="27" t="n">
        <v>11.343069</v>
      </c>
      <c r="J1817" s="27" t="n">
        <v>125.010335</v>
      </c>
      <c r="K1817" s="10" t="inlineStr">
        <is>
          <t>R</t>
        </is>
      </c>
      <c r="L1817" s="12" t="n">
        <v>2258</v>
      </c>
      <c r="M1817" s="14" t="n">
        <v>3.8</v>
      </c>
      <c r="N1817" s="12">
        <f>ROUND(L1817/M1817, 0)</f>
        <v/>
      </c>
      <c r="O1817" s="12">
        <f>ROUND(N1817*'Methodology &amp; Assumptions'!$B$5, 0)</f>
        <v/>
      </c>
      <c r="P1817" s="10" t="inlineStr">
        <is>
          <t>Single Carrier (Band n50, 100MHz TDD)</t>
        </is>
      </c>
      <c r="Q1817" s="13">
        <f>ROUNDUP(O1817/'Methodology &amp; Assumptions'!$B$6, 0)</f>
        <v/>
      </c>
      <c r="R1817" s="13" t="n">
        <v>1</v>
      </c>
      <c r="S1817" s="14" t="n">
        <v>11.54</v>
      </c>
      <c r="T1817" s="14" t="n">
        <v>14.52</v>
      </c>
      <c r="U1817" s="26">
        <f>IF(X1817&gt;='Methodology &amp; Assumptions'!$B$7, "Tier 1 Critical GIDA (Score ≥ 50.0)", IF(X1817&gt;='Methodology &amp; Assumptions'!$B$8, "Tier 2 High GIDA (Score 40.0–49.9)", "Tier 3 Moderate GIDA (Score &lt; 40.0)"))</f>
        <v/>
      </c>
      <c r="V1817" s="26">
        <f>IF(S1817&lt;='Methodology &amp; Assumptions'!$B$10, "Direct Optical Drop (&lt;3km)", IF(S1817&lt;='Methodology &amp; Assumptions'!$B$9, "Near Optical / Microwave (&lt;5km)", "Starlink Business LEO Satellite Backhaul (&gt;5km)"))</f>
        <v/>
      </c>
      <c r="W1817" s="28" t="n">
        <v>0.222</v>
      </c>
      <c r="X1817" s="14" t="n">
        <v>41.71</v>
      </c>
      <c r="Y1817" s="14">
        <f>ROUND(MIN(100, (X1817/69.91)*100), 2)</f>
        <v/>
      </c>
    </row>
    <row r="1818">
      <c r="A1818" s="10" t="n">
        <v>5</v>
      </c>
      <c r="B1818" s="10" t="n">
        <v>814</v>
      </c>
      <c r="C1818" s="10" t="n">
        <v>4814</v>
      </c>
      <c r="D1818" s="10" t="inlineStr">
        <is>
          <t>0504113024</t>
        </is>
      </c>
      <c r="E1818" s="26" t="inlineStr">
        <is>
          <t>Region V (Bicol Region)</t>
        </is>
      </c>
      <c r="F1818" s="26" t="inlineStr">
        <is>
          <t>Masbate</t>
        </is>
      </c>
      <c r="G1818" s="26" t="inlineStr">
        <is>
          <t>Mobo</t>
        </is>
      </c>
      <c r="H1818" s="26" t="inlineStr">
        <is>
          <t>Sawmill</t>
        </is>
      </c>
      <c r="I1818" s="27" t="n">
        <v>12.254888</v>
      </c>
      <c r="J1818" s="27" t="n">
        <v>123.667189</v>
      </c>
      <c r="K1818" s="10" t="inlineStr">
        <is>
          <t>R</t>
        </is>
      </c>
      <c r="L1818" s="12" t="n">
        <v>1068</v>
      </c>
      <c r="M1818" s="14" t="n">
        <v>4.1</v>
      </c>
      <c r="N1818" s="12">
        <f>ROUND(L1818/M1818, 0)</f>
        <v/>
      </c>
      <c r="O1818" s="12">
        <f>ROUND(N1818*'Methodology &amp; Assumptions'!$B$5, 0)</f>
        <v/>
      </c>
      <c r="P1818" s="10" t="inlineStr">
        <is>
          <t>Single Carrier (Band n50, 100MHz TDD)</t>
        </is>
      </c>
      <c r="Q1818" s="13">
        <f>ROUNDUP(O1818/'Methodology &amp; Assumptions'!$B$6, 0)</f>
        <v/>
      </c>
      <c r="R1818" s="13" t="n">
        <v>1</v>
      </c>
      <c r="S1818" s="14" t="n">
        <v>9.15</v>
      </c>
      <c r="T1818" s="14" t="n">
        <v>12.64</v>
      </c>
      <c r="U1818" s="26">
        <f>IF(X1818&gt;='Methodology &amp; Assumptions'!$B$7, "Tier 1 Critical GIDA (Score ≥ 50.0)", IF(X1818&gt;='Methodology &amp; Assumptions'!$B$8, "Tier 2 High GIDA (Score 40.0–49.9)", "Tier 3 Moderate GIDA (Score &lt; 40.0)"))</f>
        <v/>
      </c>
      <c r="V1818" s="26">
        <f>IF(S1818&lt;='Methodology &amp; Assumptions'!$B$10, "Direct Optical Drop (&lt;3km)", IF(S1818&lt;='Methodology &amp; Assumptions'!$B$9, "Near Optical / Microwave (&lt;5km)", "Starlink Business LEO Satellite Backhaul (&gt;5km)"))</f>
        <v/>
      </c>
      <c r="W1818" s="28" t="n">
        <v>0.237</v>
      </c>
      <c r="X1818" s="14" t="n">
        <v>41.71</v>
      </c>
      <c r="Y1818" s="14">
        <f>ROUND(MIN(100, (X1818/69.91)*100), 2)</f>
        <v/>
      </c>
    </row>
    <row r="1819">
      <c r="A1819" s="10" t="n">
        <v>5</v>
      </c>
      <c r="B1819" s="10" t="n">
        <v>815</v>
      </c>
      <c r="C1819" s="10" t="n">
        <v>4815</v>
      </c>
      <c r="D1819" s="10" t="inlineStr">
        <is>
          <t>0401003014</t>
        </is>
      </c>
      <c r="E1819" s="26" t="inlineStr">
        <is>
          <t>Region IV-A (CALABARZON)</t>
        </is>
      </c>
      <c r="F1819" s="26" t="inlineStr">
        <is>
          <t>Batangas</t>
        </is>
      </c>
      <c r="G1819" s="26" t="inlineStr">
        <is>
          <t>Balayan</t>
        </is>
      </c>
      <c r="H1819" s="26" t="inlineStr">
        <is>
          <t>Barangay 9</t>
        </is>
      </c>
      <c r="I1819" s="27" t="n">
        <v>13.948753</v>
      </c>
      <c r="J1819" s="27" t="n">
        <v>120.728409</v>
      </c>
      <c r="K1819" s="10" t="inlineStr">
        <is>
          <t>R</t>
        </is>
      </c>
      <c r="L1819" s="12" t="n">
        <v>1825</v>
      </c>
      <c r="M1819" s="14" t="n">
        <v>3.6</v>
      </c>
      <c r="N1819" s="12">
        <f>ROUND(L1819/M1819, 0)</f>
        <v/>
      </c>
      <c r="O1819" s="12">
        <f>ROUND(N1819*'Methodology &amp; Assumptions'!$B$5, 0)</f>
        <v/>
      </c>
      <c r="P1819" s="10" t="inlineStr">
        <is>
          <t>Single Carrier (Band n50, 100MHz TDD)</t>
        </is>
      </c>
      <c r="Q1819" s="13">
        <f>ROUNDUP(O1819/'Methodology &amp; Assumptions'!$B$6, 0)</f>
        <v/>
      </c>
      <c r="R1819" s="13" t="n">
        <v>1</v>
      </c>
      <c r="S1819" s="14" t="n">
        <v>0.59</v>
      </c>
      <c r="T1819" s="14" t="n">
        <v>0.14</v>
      </c>
      <c r="U1819" s="26">
        <f>IF(X1819&gt;='Methodology &amp; Assumptions'!$B$7, "Tier 1 Critical GIDA (Score ≥ 50.0)", IF(X1819&gt;='Methodology &amp; Assumptions'!$B$8, "Tier 2 High GIDA (Score 40.0–49.9)", "Tier 3 Moderate GIDA (Score &lt; 40.0)"))</f>
        <v/>
      </c>
      <c r="V1819" s="26">
        <f>IF(S1819&lt;='Methodology &amp; Assumptions'!$B$10, "Direct Optical Drop (&lt;3km)", IF(S1819&lt;='Methodology &amp; Assumptions'!$B$9, "Near Optical / Microwave (&lt;5km)", "Starlink Business LEO Satellite Backhaul (&gt;5km)"))</f>
        <v/>
      </c>
      <c r="W1819" s="28" t="n">
        <v>0.07200000000000001</v>
      </c>
      <c r="X1819" s="14" t="n">
        <v>41.7</v>
      </c>
      <c r="Y1819" s="14">
        <f>ROUND(MIN(100, (X1819/69.91)*100), 2)</f>
        <v/>
      </c>
    </row>
    <row r="1820">
      <c r="A1820" s="10" t="n">
        <v>5</v>
      </c>
      <c r="B1820" s="10" t="n">
        <v>816</v>
      </c>
      <c r="C1820" s="10" t="n">
        <v>4816</v>
      </c>
      <c r="D1820" s="10" t="inlineStr">
        <is>
          <t>0403404009</t>
        </is>
      </c>
      <c r="E1820" s="26" t="inlineStr">
        <is>
          <t>Region IV-A (CALABARZON)</t>
        </is>
      </c>
      <c r="F1820" s="26" t="inlineStr">
        <is>
          <t>Laguna</t>
        </is>
      </c>
      <c r="G1820" s="26" t="inlineStr">
        <is>
          <t>City of Cabuyao</t>
        </is>
      </c>
      <c r="H1820" s="26" t="inlineStr">
        <is>
          <t>Mamatid</t>
        </is>
      </c>
      <c r="I1820" s="27" t="n">
        <v>14.231088</v>
      </c>
      <c r="J1820" s="27" t="n">
        <v>121.241851</v>
      </c>
      <c r="K1820" s="10" t="inlineStr">
        <is>
          <t>U</t>
        </is>
      </c>
      <c r="L1820" s="12" t="n">
        <v>66959</v>
      </c>
      <c r="M1820" s="14" t="n">
        <v>3.3</v>
      </c>
      <c r="N1820" s="12">
        <f>ROUND(L1820/M1820, 0)</f>
        <v/>
      </c>
      <c r="O1820" s="12">
        <f>ROUND(N1820*'Methodology &amp; Assumptions'!$B$5, 0)</f>
        <v/>
      </c>
      <c r="P1820" s="10" t="inlineStr">
        <is>
          <t>Single Carrier (Band n50, 100MHz TDD)</t>
        </is>
      </c>
      <c r="Q1820" s="13">
        <f>ROUNDUP(O1820/'Methodology &amp; Assumptions'!$B$6, 0)</f>
        <v/>
      </c>
      <c r="R1820" s="13" t="n">
        <v>1</v>
      </c>
      <c r="S1820" s="14" t="n">
        <v>5.77</v>
      </c>
      <c r="T1820" s="14" t="n">
        <v>5.59</v>
      </c>
      <c r="U1820" s="26">
        <f>IF(X1820&gt;='Methodology &amp; Assumptions'!$B$7, "Tier 1 Critical GIDA (Score ≥ 50.0)", IF(X1820&gt;='Methodology &amp; Assumptions'!$B$8, "Tier 2 High GIDA (Score 40.0–49.9)", "Tier 3 Moderate GIDA (Score &lt; 40.0)"))</f>
        <v/>
      </c>
      <c r="V1820" s="26">
        <f>IF(S1820&lt;='Methodology &amp; Assumptions'!$B$10, "Direct Optical Drop (&lt;3km)", IF(S1820&lt;='Methodology &amp; Assumptions'!$B$9, "Near Optical / Microwave (&lt;5km)", "Starlink Business LEO Satellite Backhaul (&gt;5km)"))</f>
        <v/>
      </c>
      <c r="W1820" s="28" t="n">
        <v>0.07200000000000001</v>
      </c>
      <c r="X1820" s="14" t="n">
        <v>41.7</v>
      </c>
      <c r="Y1820" s="14">
        <f>ROUND(MIN(100, (X1820/69.91)*100), 2)</f>
        <v/>
      </c>
    </row>
    <row r="1821">
      <c r="A1821" s="10" t="n">
        <v>5</v>
      </c>
      <c r="B1821" s="10" t="n">
        <v>817</v>
      </c>
      <c r="C1821" s="10" t="n">
        <v>4817</v>
      </c>
      <c r="D1821" s="10" t="inlineStr">
        <is>
          <t>0401029030</t>
        </is>
      </c>
      <c r="E1821" s="26" t="inlineStr">
        <is>
          <t>Region IV-A (CALABARZON)</t>
        </is>
      </c>
      <c r="F1821" s="26" t="inlineStr">
        <is>
          <t>Batangas</t>
        </is>
      </c>
      <c r="G1821" s="26" t="inlineStr">
        <is>
          <t>Taal</t>
        </is>
      </c>
      <c r="H1821" s="26" t="inlineStr">
        <is>
          <t>Poblacion 6</t>
        </is>
      </c>
      <c r="I1821" s="27" t="n">
        <v>13.885145</v>
      </c>
      <c r="J1821" s="27" t="n">
        <v>120.944484</v>
      </c>
      <c r="K1821" s="10" t="inlineStr">
        <is>
          <t>R</t>
        </is>
      </c>
      <c r="L1821" s="12" t="n">
        <v>912</v>
      </c>
      <c r="M1821" s="14" t="n">
        <v>3.6</v>
      </c>
      <c r="N1821" s="12">
        <f>ROUND(L1821/M1821, 0)</f>
        <v/>
      </c>
      <c r="O1821" s="12">
        <f>ROUND(N1821*'Methodology &amp; Assumptions'!$B$5, 0)</f>
        <v/>
      </c>
      <c r="P1821" s="10" t="inlineStr">
        <is>
          <t>Single Carrier (Band n50, 100MHz TDD)</t>
        </is>
      </c>
      <c r="Q1821" s="13">
        <f>ROUNDUP(O1821/'Methodology &amp; Assumptions'!$B$6, 0)</f>
        <v/>
      </c>
      <c r="R1821" s="13" t="n">
        <v>1</v>
      </c>
      <c r="S1821" s="14" t="n">
        <v>2.49</v>
      </c>
      <c r="T1821" s="14" t="n">
        <v>0.25</v>
      </c>
      <c r="U1821" s="26">
        <f>IF(X1821&gt;='Methodology &amp; Assumptions'!$B$7, "Tier 1 Critical GIDA (Score ≥ 50.0)", IF(X1821&gt;='Methodology &amp; Assumptions'!$B$8, "Tier 2 High GIDA (Score 40.0–49.9)", "Tier 3 Moderate GIDA (Score &lt; 40.0)"))</f>
        <v/>
      </c>
      <c r="V1821" s="26">
        <f>IF(S1821&lt;='Methodology &amp; Assumptions'!$B$10, "Direct Optical Drop (&lt;3km)", IF(S1821&lt;='Methodology &amp; Assumptions'!$B$9, "Near Optical / Microwave (&lt;5km)", "Starlink Business LEO Satellite Backhaul (&gt;5km)"))</f>
        <v/>
      </c>
      <c r="W1821" s="28" t="n">
        <v>0.07200000000000001</v>
      </c>
      <c r="X1821" s="14" t="n">
        <v>41.7</v>
      </c>
      <c r="Y1821" s="14">
        <f>ROUND(MIN(100, (X1821/69.91)*100), 2)</f>
        <v/>
      </c>
    </row>
    <row r="1822">
      <c r="A1822" s="10" t="n">
        <v>5</v>
      </c>
      <c r="B1822" s="10" t="n">
        <v>818</v>
      </c>
      <c r="C1822" s="10" t="n">
        <v>4818</v>
      </c>
      <c r="D1822" s="10" t="inlineStr">
        <is>
          <t>1004325006</t>
        </is>
      </c>
      <c r="E1822" s="26" t="inlineStr">
        <is>
          <t>Region X (Northern Mindanao)</t>
        </is>
      </c>
      <c r="F1822" s="26" t="inlineStr">
        <is>
          <t>Misamis Oriental</t>
        </is>
      </c>
      <c r="G1822" s="26" t="inlineStr">
        <is>
          <t>Talisayan</t>
        </is>
      </c>
      <c r="H1822" s="26" t="inlineStr">
        <is>
          <t>Mahayag</t>
        </is>
      </c>
      <c r="I1822" s="27" t="n">
        <v>8.973205</v>
      </c>
      <c r="J1822" s="27" t="n">
        <v>124.913972</v>
      </c>
      <c r="K1822" s="10" t="inlineStr">
        <is>
          <t>R</t>
        </is>
      </c>
      <c r="L1822" s="12" t="n">
        <v>403</v>
      </c>
      <c r="M1822" s="14" t="n">
        <v>3.9</v>
      </c>
      <c r="N1822" s="12">
        <f>ROUND(L1822/M1822, 0)</f>
        <v/>
      </c>
      <c r="O1822" s="12">
        <f>ROUND(N1822*'Methodology &amp; Assumptions'!$B$5, 0)</f>
        <v/>
      </c>
      <c r="P1822" s="10" t="inlineStr">
        <is>
          <t>Single Carrier (Band n50, 100MHz TDD)</t>
        </is>
      </c>
      <c r="Q1822" s="13">
        <f>ROUNDUP(O1822/'Methodology &amp; Assumptions'!$B$6, 0)</f>
        <v/>
      </c>
      <c r="R1822" s="13" t="n">
        <v>1</v>
      </c>
      <c r="S1822" s="14" t="n">
        <v>3.4</v>
      </c>
      <c r="T1822" s="14" t="n">
        <v>0.65</v>
      </c>
      <c r="U1822" s="26">
        <f>IF(X1822&gt;='Methodology &amp; Assumptions'!$B$7, "Tier 1 Critical GIDA (Score ≥ 50.0)", IF(X1822&gt;='Methodology &amp; Assumptions'!$B$8, "Tier 2 High GIDA (Score 40.0–49.9)", "Tier 3 Moderate GIDA (Score &lt; 40.0)"))</f>
        <v/>
      </c>
      <c r="V1822" s="26">
        <f>IF(S1822&lt;='Methodology &amp; Assumptions'!$B$10, "Direct Optical Drop (&lt;3km)", IF(S1822&lt;='Methodology &amp; Assumptions'!$B$9, "Near Optical / Microwave (&lt;5km)", "Starlink Business LEO Satellite Backhaul (&gt;5km)"))</f>
        <v/>
      </c>
      <c r="W1822" s="28" t="n">
        <v>0.174</v>
      </c>
      <c r="X1822" s="14" t="n">
        <v>41.7</v>
      </c>
      <c r="Y1822" s="14">
        <f>ROUND(MIN(100, (X1822/69.91)*100), 2)</f>
        <v/>
      </c>
    </row>
    <row r="1823">
      <c r="A1823" s="10" t="n">
        <v>5</v>
      </c>
      <c r="B1823" s="10" t="n">
        <v>819</v>
      </c>
      <c r="C1823" s="10" t="n">
        <v>4819</v>
      </c>
      <c r="D1823" s="10" t="inlineStr">
        <is>
          <t>1001309025</t>
        </is>
      </c>
      <c r="E1823" s="26" t="inlineStr">
        <is>
          <t>Region X (Northern Mindanao)</t>
        </is>
      </c>
      <c r="F1823" s="26" t="inlineStr">
        <is>
          <t>Bukidnon</t>
        </is>
      </c>
      <c r="G1823" s="26" t="inlineStr">
        <is>
          <t>Kitaotao</t>
        </is>
      </c>
      <c r="H1823" s="26" t="inlineStr">
        <is>
          <t>Panganan</t>
        </is>
      </c>
      <c r="I1823" s="27" t="n">
        <v>7.598699</v>
      </c>
      <c r="J1823" s="27" t="n">
        <v>125.35533</v>
      </c>
      <c r="K1823" s="10" t="inlineStr">
        <is>
          <t>R</t>
        </is>
      </c>
      <c r="L1823" s="12" t="n">
        <v>1890</v>
      </c>
      <c r="M1823" s="14" t="n">
        <v>3.8</v>
      </c>
      <c r="N1823" s="12">
        <f>ROUND(L1823/M1823, 0)</f>
        <v/>
      </c>
      <c r="O1823" s="12">
        <f>ROUND(N1823*'Methodology &amp; Assumptions'!$B$5, 0)</f>
        <v/>
      </c>
      <c r="P1823" s="10" t="inlineStr">
        <is>
          <t>Single Carrier (Band n50, 100MHz TDD)</t>
        </is>
      </c>
      <c r="Q1823" s="13">
        <f>ROUNDUP(O1823/'Methodology &amp; Assumptions'!$B$6, 0)</f>
        <v/>
      </c>
      <c r="R1823" s="13" t="n">
        <v>1</v>
      </c>
      <c r="S1823" s="14" t="n">
        <v>17.96</v>
      </c>
      <c r="T1823" s="14" t="n">
        <v>11.42</v>
      </c>
      <c r="U1823" s="26">
        <f>IF(X1823&gt;='Methodology &amp; Assumptions'!$B$7, "Tier 1 Critical GIDA (Score ≥ 50.0)", IF(X1823&gt;='Methodology &amp; Assumptions'!$B$8, "Tier 2 High GIDA (Score 40.0–49.9)", "Tier 3 Moderate GIDA (Score &lt; 40.0)"))</f>
        <v/>
      </c>
      <c r="V1823" s="26">
        <f>IF(S1823&lt;='Methodology &amp; Assumptions'!$B$10, "Direct Optical Drop (&lt;3km)", IF(S1823&lt;='Methodology &amp; Assumptions'!$B$9, "Near Optical / Microwave (&lt;5km)", "Starlink Business LEO Satellite Backhaul (&gt;5km)"))</f>
        <v/>
      </c>
      <c r="W1823" s="28" t="n">
        <v>0.174</v>
      </c>
      <c r="X1823" s="14" t="n">
        <v>41.7</v>
      </c>
      <c r="Y1823" s="14">
        <f>ROUND(MIN(100, (X1823/69.91)*100), 2)</f>
        <v/>
      </c>
    </row>
    <row r="1824">
      <c r="A1824" s="10" t="n">
        <v>5</v>
      </c>
      <c r="B1824" s="10" t="n">
        <v>820</v>
      </c>
      <c r="C1824" s="10" t="n">
        <v>4820</v>
      </c>
      <c r="D1824" s="10" t="inlineStr">
        <is>
          <t>0504103030</t>
        </is>
      </c>
      <c r="E1824" s="26" t="inlineStr">
        <is>
          <t>Region V (Bicol Region)</t>
        </is>
      </c>
      <c r="F1824" s="26" t="inlineStr">
        <is>
          <t>Masbate</t>
        </is>
      </c>
      <c r="G1824" s="26" t="inlineStr">
        <is>
          <t>Balud</t>
        </is>
      </c>
      <c r="H1824" s="26" t="inlineStr">
        <is>
          <t>Tonga</t>
        </is>
      </c>
      <c r="I1824" s="27" t="n">
        <v>12.068108</v>
      </c>
      <c r="J1824" s="27" t="n">
        <v>123.237913</v>
      </c>
      <c r="K1824" s="10" t="inlineStr">
        <is>
          <t>R</t>
        </is>
      </c>
      <c r="L1824" s="12" t="n">
        <v>1044</v>
      </c>
      <c r="M1824" s="14" t="n">
        <v>4.1</v>
      </c>
      <c r="N1824" s="12">
        <f>ROUND(L1824/M1824, 0)</f>
        <v/>
      </c>
      <c r="O1824" s="12">
        <f>ROUND(N1824*'Methodology &amp; Assumptions'!$B$5, 0)</f>
        <v/>
      </c>
      <c r="P1824" s="10" t="inlineStr">
        <is>
          <t>Single Carrier (Band n50, 100MHz TDD)</t>
        </is>
      </c>
      <c r="Q1824" s="13">
        <f>ROUNDUP(O1824/'Methodology &amp; Assumptions'!$B$6, 0)</f>
        <v/>
      </c>
      <c r="R1824" s="13" t="n">
        <v>1</v>
      </c>
      <c r="S1824" s="14" t="n">
        <v>0.29</v>
      </c>
      <c r="T1824" s="14" t="n">
        <v>14.62</v>
      </c>
      <c r="U1824" s="26">
        <f>IF(X1824&gt;='Methodology &amp; Assumptions'!$B$7, "Tier 1 Critical GIDA (Score ≥ 50.0)", IF(X1824&gt;='Methodology &amp; Assumptions'!$B$8, "Tier 2 High GIDA (Score 40.0–49.9)", "Tier 3 Moderate GIDA (Score &lt; 40.0)"))</f>
        <v/>
      </c>
      <c r="V1824" s="26">
        <f>IF(S1824&lt;='Methodology &amp; Assumptions'!$B$10, "Direct Optical Drop (&lt;3km)", IF(S1824&lt;='Methodology &amp; Assumptions'!$B$9, "Near Optical / Microwave (&lt;5km)", "Starlink Business LEO Satellite Backhaul (&gt;5km)"))</f>
        <v/>
      </c>
      <c r="W1824" s="28" t="n">
        <v>0.237</v>
      </c>
      <c r="X1824" s="14" t="n">
        <v>41.7</v>
      </c>
      <c r="Y1824" s="14">
        <f>ROUND(MIN(100, (X1824/69.91)*100), 2)</f>
        <v/>
      </c>
    </row>
    <row r="1825">
      <c r="A1825" s="10" t="n">
        <v>5</v>
      </c>
      <c r="B1825" s="10" t="n">
        <v>821</v>
      </c>
      <c r="C1825" s="10" t="n">
        <v>4821</v>
      </c>
      <c r="D1825" s="10" t="inlineStr">
        <is>
          <t>1404408004</t>
        </is>
      </c>
      <c r="E1825" s="26" t="inlineStr">
        <is>
          <t>Cordillera Administrative Region (CAR)</t>
        </is>
      </c>
      <c r="F1825" s="26" t="inlineStr">
        <is>
          <t>Mountain Province</t>
        </is>
      </c>
      <c r="G1825" s="26" t="inlineStr">
        <is>
          <t>Sadanga</t>
        </is>
      </c>
      <c r="H1825" s="26" t="inlineStr">
        <is>
          <t>Bekigan</t>
        </is>
      </c>
      <c r="I1825" s="27" t="n">
        <v>17.182408</v>
      </c>
      <c r="J1825" s="27" t="n">
        <v>121.012655</v>
      </c>
      <c r="K1825" s="10" t="inlineStr">
        <is>
          <t>R</t>
        </is>
      </c>
      <c r="L1825" s="12" t="n">
        <v>499</v>
      </c>
      <c r="M1825" s="14" t="n">
        <v>3.7</v>
      </c>
      <c r="N1825" s="12">
        <f>ROUND(L1825/M1825, 0)</f>
        <v/>
      </c>
      <c r="O1825" s="12">
        <f>ROUND(N1825*'Methodology &amp; Assumptions'!$B$5, 0)</f>
        <v/>
      </c>
      <c r="P1825" s="10" t="inlineStr">
        <is>
          <t>Single Carrier (Band n50, 100MHz TDD)</t>
        </is>
      </c>
      <c r="Q1825" s="13">
        <f>ROUNDUP(O1825/'Methodology &amp; Assumptions'!$B$6, 0)</f>
        <v/>
      </c>
      <c r="R1825" s="13" t="n">
        <v>1</v>
      </c>
      <c r="S1825" s="14" t="n">
        <v>3.79</v>
      </c>
      <c r="T1825" s="14" t="n">
        <v>3.92</v>
      </c>
      <c r="U1825" s="26">
        <f>IF(X1825&gt;='Methodology &amp; Assumptions'!$B$7, "Tier 1 Critical GIDA (Score ≥ 50.0)", IF(X1825&gt;='Methodology &amp; Assumptions'!$B$8, "Tier 2 High GIDA (Score 40.0–49.9)", "Tier 3 Moderate GIDA (Score &lt; 40.0)"))</f>
        <v/>
      </c>
      <c r="V1825" s="26">
        <f>IF(S1825&lt;='Methodology &amp; Assumptions'!$B$10, "Direct Optical Drop (&lt;3km)", IF(S1825&lt;='Methodology &amp; Assumptions'!$B$9, "Near Optical / Microwave (&lt;5km)", "Starlink Business LEO Satellite Backhaul (&gt;5km)"))</f>
        <v/>
      </c>
      <c r="W1825" s="28" t="n">
        <v>0.109</v>
      </c>
      <c r="X1825" s="14" t="n">
        <v>41.7</v>
      </c>
      <c r="Y1825" s="14">
        <f>ROUND(MIN(100, (X1825/69.91)*100), 2)</f>
        <v/>
      </c>
    </row>
    <row r="1826">
      <c r="A1826" s="10" t="n">
        <v>5</v>
      </c>
      <c r="B1826" s="10" t="n">
        <v>822</v>
      </c>
      <c r="C1826" s="10" t="n">
        <v>4822</v>
      </c>
      <c r="D1826" s="10" t="inlineStr">
        <is>
          <t>0402104012</t>
        </is>
      </c>
      <c r="E1826" s="26" t="inlineStr">
        <is>
          <t>Region IV-A (CALABARZON)</t>
        </is>
      </c>
      <c r="F1826" s="26" t="inlineStr">
        <is>
          <t>Cavite</t>
        </is>
      </c>
      <c r="G1826" s="26" t="inlineStr">
        <is>
          <t>Carmona</t>
        </is>
      </c>
      <c r="H1826" s="26" t="inlineStr">
        <is>
          <t>Barangay 1</t>
        </is>
      </c>
      <c r="I1826" s="27" t="n">
        <v>14.299503</v>
      </c>
      <c r="J1826" s="27" t="n">
        <v>121.057201</v>
      </c>
      <c r="K1826" s="10" t="inlineStr">
        <is>
          <t>R</t>
        </is>
      </c>
      <c r="L1826" s="12" t="n">
        <v>3303</v>
      </c>
      <c r="M1826" s="14" t="n">
        <v>3.4</v>
      </c>
      <c r="N1826" s="12">
        <f>ROUND(L1826/M1826, 0)</f>
        <v/>
      </c>
      <c r="O1826" s="12">
        <f>ROUND(N1826*'Methodology &amp; Assumptions'!$B$5, 0)</f>
        <v/>
      </c>
      <c r="P1826" s="10" t="inlineStr">
        <is>
          <t>Single Carrier (Band n50, 100MHz TDD)</t>
        </is>
      </c>
      <c r="Q1826" s="13">
        <f>ROUNDUP(O1826/'Methodology &amp; Assumptions'!$B$6, 0)</f>
        <v/>
      </c>
      <c r="R1826" s="13" t="n">
        <v>1</v>
      </c>
      <c r="S1826" s="14" t="n">
        <v>0.53</v>
      </c>
      <c r="T1826" s="14" t="n">
        <v>1.49</v>
      </c>
      <c r="U1826" s="26">
        <f>IF(X1826&gt;='Methodology &amp; Assumptions'!$B$7, "Tier 1 Critical GIDA (Score ≥ 50.0)", IF(X1826&gt;='Methodology &amp; Assumptions'!$B$8, "Tier 2 High GIDA (Score 40.0–49.9)", "Tier 3 Moderate GIDA (Score &lt; 40.0)"))</f>
        <v/>
      </c>
      <c r="V1826" s="26">
        <f>IF(S1826&lt;='Methodology &amp; Assumptions'!$B$10, "Direct Optical Drop (&lt;3km)", IF(S1826&lt;='Methodology &amp; Assumptions'!$B$9, "Near Optical / Microwave (&lt;5km)", "Starlink Business LEO Satellite Backhaul (&gt;5km)"))</f>
        <v/>
      </c>
      <c r="W1826" s="28" t="n">
        <v>0.07200000000000001</v>
      </c>
      <c r="X1826" s="14" t="n">
        <v>41.69</v>
      </c>
      <c r="Y1826" s="14">
        <f>ROUND(MIN(100, (X1826/69.91)*100), 2)</f>
        <v/>
      </c>
    </row>
    <row r="1827">
      <c r="A1827" s="10" t="n">
        <v>5</v>
      </c>
      <c r="B1827" s="10" t="n">
        <v>823</v>
      </c>
      <c r="C1827" s="10" t="n">
        <v>4823</v>
      </c>
      <c r="D1827" s="10" t="inlineStr">
        <is>
          <t>PH0004823</t>
        </is>
      </c>
      <c r="E1827" s="26" t="inlineStr">
        <is>
          <t>IV-A</t>
        </is>
      </c>
      <c r="F1827" s="26" t="inlineStr">
        <is>
          <t>Cavite</t>
        </is>
      </c>
      <c r="G1827" s="26" t="inlineStr">
        <is>
          <t>Cavite City</t>
        </is>
      </c>
      <c r="H1827" s="26" t="inlineStr">
        <is>
          <t>Barangay 54</t>
        </is>
      </c>
      <c r="I1827" s="27" t="n">
        <v>14.480778</v>
      </c>
      <c r="J1827" s="27" t="n">
        <v>120.901138</v>
      </c>
      <c r="K1827" s="10" t="inlineStr">
        <is>
          <t>R</t>
        </is>
      </c>
      <c r="L1827" s="12" t="n">
        <v>2316</v>
      </c>
      <c r="M1827" s="14" t="n">
        <v>3.4</v>
      </c>
      <c r="N1827" s="12">
        <f>ROUND(L1827/M1827, 0)</f>
        <v/>
      </c>
      <c r="O1827" s="12">
        <f>ROUND(N1827*'Methodology &amp; Assumptions'!$B$5, 0)</f>
        <v/>
      </c>
      <c r="P1827" s="10" t="inlineStr">
        <is>
          <t>Single Carrier (Band n50, 100MHz TDD)</t>
        </is>
      </c>
      <c r="Q1827" s="13">
        <f>ROUNDUP(O1827/'Methodology &amp; Assumptions'!$B$6, 0)</f>
        <v/>
      </c>
      <c r="R1827" s="13" t="n">
        <v>1</v>
      </c>
      <c r="S1827" s="14" t="n">
        <v>1.6</v>
      </c>
      <c r="T1827" s="14" t="n">
        <v>4.04</v>
      </c>
      <c r="U1827" s="26">
        <f>IF(X1827&gt;='Methodology &amp; Assumptions'!$B$7, "Tier 1 Critical GIDA (Score ≥ 50.0)", IF(X1827&gt;='Methodology &amp; Assumptions'!$B$8, "Tier 2 High GIDA (Score 40.0–49.9)", "Tier 3 Moderate GIDA (Score &lt; 40.0)"))</f>
        <v/>
      </c>
      <c r="V1827" s="26">
        <f>IF(S1827&lt;='Methodology &amp; Assumptions'!$B$10, "Direct Optical Drop (&lt;3km)", IF(S1827&lt;='Methodology &amp; Assumptions'!$B$9, "Near Optical / Microwave (&lt;5km)", "Starlink Business LEO Satellite Backhaul (&gt;5km)"))</f>
        <v/>
      </c>
      <c r="W1827" s="28" t="n">
        <v>0.07200000000000001</v>
      </c>
      <c r="X1827" s="14" t="n">
        <v>41.69</v>
      </c>
      <c r="Y1827" s="14">
        <f>ROUND(MIN(100, (X1827/69.91)*100), 2)</f>
        <v/>
      </c>
    </row>
    <row r="1828">
      <c r="A1828" s="10" t="n">
        <v>5</v>
      </c>
      <c r="B1828" s="10" t="n">
        <v>824</v>
      </c>
      <c r="C1828" s="10" t="n">
        <v>4824</v>
      </c>
      <c r="D1828" s="10" t="inlineStr">
        <is>
          <t>1204701005</t>
        </is>
      </c>
      <c r="E1828" s="26" t="inlineStr">
        <is>
          <t>Region XII (SOCCSKSARGEN)</t>
        </is>
      </c>
      <c r="F1828" s="26" t="inlineStr">
        <is>
          <t>Cotabato</t>
        </is>
      </c>
      <c r="G1828" s="26" t="inlineStr">
        <is>
          <t>Alamada</t>
        </is>
      </c>
      <c r="H1828" s="26" t="inlineStr">
        <is>
          <t>Guiling</t>
        </is>
      </c>
      <c r="I1828" s="27" t="n">
        <v>7.476008</v>
      </c>
      <c r="J1828" s="27" t="n">
        <v>124.660878</v>
      </c>
      <c r="K1828" s="10" t="inlineStr">
        <is>
          <t>U</t>
        </is>
      </c>
      <c r="L1828" s="12" t="n">
        <v>4968</v>
      </c>
      <c r="M1828" s="14" t="n">
        <v>3.8</v>
      </c>
      <c r="N1828" s="12">
        <f>ROUND(L1828/M1828, 0)</f>
        <v/>
      </c>
      <c r="O1828" s="12">
        <f>ROUND(N1828*'Methodology &amp; Assumptions'!$B$5, 0)</f>
        <v/>
      </c>
      <c r="P1828" s="10" t="inlineStr">
        <is>
          <t>Single Carrier (Band n50, 100MHz TDD)</t>
        </is>
      </c>
      <c r="Q1828" s="13">
        <f>ROUNDUP(O1828/'Methodology &amp; Assumptions'!$B$6, 0)</f>
        <v/>
      </c>
      <c r="R1828" s="13" t="n">
        <v>1</v>
      </c>
      <c r="S1828" s="14" t="n">
        <v>30.61</v>
      </c>
      <c r="T1828" s="14" t="n">
        <v>17.76</v>
      </c>
      <c r="U1828" s="26">
        <f>IF(X1828&gt;='Methodology &amp; Assumptions'!$B$7, "Tier 1 Critical GIDA (Score ≥ 50.0)", IF(X1828&gt;='Methodology &amp; Assumptions'!$B$8, "Tier 2 High GIDA (Score 40.0–49.9)", "Tier 3 Moderate GIDA (Score &lt; 40.0)"))</f>
        <v/>
      </c>
      <c r="V1828" s="26">
        <f>IF(S1828&lt;='Methodology &amp; Assumptions'!$B$10, "Direct Optical Drop (&lt;3km)", IF(S1828&lt;='Methodology &amp; Assumptions'!$B$9, "Near Optical / Microwave (&lt;5km)", "Starlink Business LEO Satellite Backhaul (&gt;5km)"))</f>
        <v/>
      </c>
      <c r="W1828" s="28" t="n">
        <v>0.174</v>
      </c>
      <c r="X1828" s="14" t="n">
        <v>41.69</v>
      </c>
      <c r="Y1828" s="14">
        <f>ROUND(MIN(100, (X1828/69.91)*100), 2)</f>
        <v/>
      </c>
    </row>
    <row r="1829">
      <c r="A1829" s="10" t="n">
        <v>5</v>
      </c>
      <c r="B1829" s="10" t="n">
        <v>825</v>
      </c>
      <c r="C1829" s="10" t="n">
        <v>4825</v>
      </c>
      <c r="D1829" s="10" t="inlineStr">
        <is>
          <t>1380500026</t>
        </is>
      </c>
      <c r="E1829" s="26" t="inlineStr">
        <is>
          <t>National Capital Region (NCR)</t>
        </is>
      </c>
      <c r="F1829" s="26" t="inlineStr">
        <is>
          <t>Second District (Not a Province)</t>
        </is>
      </c>
      <c r="G1829" s="26" t="inlineStr">
        <is>
          <t>City of Mandaluyong</t>
        </is>
      </c>
      <c r="H1829" s="26" t="inlineStr">
        <is>
          <t>Vergara</t>
        </is>
      </c>
      <c r="I1829" s="27" t="n">
        <v>14.577205</v>
      </c>
      <c r="J1829" s="27" t="n">
        <v>121.025089</v>
      </c>
      <c r="K1829" s="10" t="inlineStr">
        <is>
          <t>U</t>
        </is>
      </c>
      <c r="L1829" s="12" t="n">
        <v>4768</v>
      </c>
      <c r="M1829" s="14" t="n">
        <v>3.3</v>
      </c>
      <c r="N1829" s="12">
        <f>ROUND(L1829/M1829, 0)</f>
        <v/>
      </c>
      <c r="O1829" s="12">
        <f>ROUND(N1829*'Methodology &amp; Assumptions'!$B$5, 0)</f>
        <v/>
      </c>
      <c r="P1829" s="10" t="inlineStr">
        <is>
          <t>Single Carrier (Band n50, 100MHz TDD)</t>
        </is>
      </c>
      <c r="Q1829" s="13">
        <f>ROUNDUP(O1829/'Methodology &amp; Assumptions'!$B$6, 0)</f>
        <v/>
      </c>
      <c r="R1829" s="13" t="n">
        <v>1</v>
      </c>
      <c r="S1829" s="14" t="n">
        <v>0.78</v>
      </c>
      <c r="T1829" s="14" t="n">
        <v>0.52</v>
      </c>
      <c r="U1829" s="26">
        <f>IF(X1829&gt;='Methodology &amp; Assumptions'!$B$7, "Tier 1 Critical GIDA (Score ≥ 50.0)", IF(X1829&gt;='Methodology &amp; Assumptions'!$B$8, "Tier 2 High GIDA (Score 40.0–49.9)", "Tier 3 Moderate GIDA (Score &lt; 40.0)"))</f>
        <v/>
      </c>
      <c r="V1829" s="26">
        <f>IF(S1829&lt;='Methodology &amp; Assumptions'!$B$10, "Direct Optical Drop (&lt;3km)", IF(S1829&lt;='Methodology &amp; Assumptions'!$B$9, "Near Optical / Microwave (&lt;5km)", "Starlink Business LEO Satellite Backhaul (&gt;5km)"))</f>
        <v/>
      </c>
      <c r="W1829" s="28" t="n">
        <v>0.109</v>
      </c>
      <c r="X1829" s="14" t="n">
        <v>41.69</v>
      </c>
      <c r="Y1829" s="14">
        <f>ROUND(MIN(100, (X1829/69.91)*100), 2)</f>
        <v/>
      </c>
    </row>
    <row r="1830">
      <c r="A1830" s="10" t="n">
        <v>5</v>
      </c>
      <c r="B1830" s="10" t="n">
        <v>826</v>
      </c>
      <c r="C1830" s="10" t="n">
        <v>4826</v>
      </c>
      <c r="D1830" s="10" t="inlineStr">
        <is>
          <t>PH0004826</t>
        </is>
      </c>
      <c r="E1830" s="26" t="inlineStr">
        <is>
          <t>IV-A</t>
        </is>
      </c>
      <c r="F1830" s="26" t="inlineStr">
        <is>
          <t>Cavite</t>
        </is>
      </c>
      <c r="G1830" s="26" t="inlineStr">
        <is>
          <t>Imus City</t>
        </is>
      </c>
      <c r="H1830" s="26" t="inlineStr">
        <is>
          <t>Toclong I-A</t>
        </is>
      </c>
      <c r="I1830" s="27" t="n">
        <v>14.314224</v>
      </c>
      <c r="J1830" s="27" t="n">
        <v>120.86152</v>
      </c>
      <c r="K1830" s="10" t="inlineStr">
        <is>
          <t>R</t>
        </is>
      </c>
      <c r="L1830" s="12" t="n">
        <v>2316</v>
      </c>
      <c r="M1830" s="14" t="n">
        <v>3.4</v>
      </c>
      <c r="N1830" s="12">
        <f>ROUND(L1830/M1830, 0)</f>
        <v/>
      </c>
      <c r="O1830" s="12">
        <f>ROUND(N1830*'Methodology &amp; Assumptions'!$B$5, 0)</f>
        <v/>
      </c>
      <c r="P1830" s="10" t="inlineStr">
        <is>
          <t>Single Carrier (Band n50, 100MHz TDD)</t>
        </is>
      </c>
      <c r="Q1830" s="13">
        <f>ROUNDUP(O1830/'Methodology &amp; Assumptions'!$B$6, 0)</f>
        <v/>
      </c>
      <c r="R1830" s="13" t="n">
        <v>1</v>
      </c>
      <c r="S1830" s="14" t="n">
        <v>3.63</v>
      </c>
      <c r="T1830" s="14" t="n">
        <v>0.6899999999999999</v>
      </c>
      <c r="U1830" s="26">
        <f>IF(X1830&gt;='Methodology &amp; Assumptions'!$B$7, "Tier 1 Critical GIDA (Score ≥ 50.0)", IF(X1830&gt;='Methodology &amp; Assumptions'!$B$8, "Tier 2 High GIDA (Score 40.0–49.9)", "Tier 3 Moderate GIDA (Score &lt; 40.0)"))</f>
        <v/>
      </c>
      <c r="V1830" s="26">
        <f>IF(S1830&lt;='Methodology &amp; Assumptions'!$B$10, "Direct Optical Drop (&lt;3km)", IF(S1830&lt;='Methodology &amp; Assumptions'!$B$9, "Near Optical / Microwave (&lt;5km)", "Starlink Business LEO Satellite Backhaul (&gt;5km)"))</f>
        <v/>
      </c>
      <c r="W1830" s="28" t="n">
        <v>0.07200000000000001</v>
      </c>
      <c r="X1830" s="14" t="n">
        <v>41.69</v>
      </c>
      <c r="Y1830" s="14">
        <f>ROUND(MIN(100, (X1830/69.91)*100), 2)</f>
        <v/>
      </c>
    </row>
    <row r="1831">
      <c r="A1831" s="10" t="n">
        <v>5</v>
      </c>
      <c r="B1831" s="10" t="n">
        <v>827</v>
      </c>
      <c r="C1831" s="10" t="n">
        <v>4827</v>
      </c>
      <c r="D1831" s="10" t="inlineStr">
        <is>
          <t>1903603001</t>
        </is>
      </c>
      <c r="E1831" s="26" t="inlineStr">
        <is>
          <t>Bangsamoro Autonomous Region In Muslim Mindanao (BARMM)</t>
        </is>
      </c>
      <c r="F1831" s="26" t="inlineStr">
        <is>
          <t>Lanao del Sur</t>
        </is>
      </c>
      <c r="G1831" s="26" t="inlineStr">
        <is>
          <t>Balindong</t>
        </is>
      </c>
      <c r="H1831" s="26" t="inlineStr">
        <is>
          <t>Abaga</t>
        </is>
      </c>
      <c r="I1831" s="27" t="n">
        <v>17.254319</v>
      </c>
      <c r="J1831" s="27" t="n">
        <v>122.228363</v>
      </c>
      <c r="K1831" s="10" t="inlineStr">
        <is>
          <t>R</t>
        </is>
      </c>
      <c r="L1831" s="12" t="n">
        <v>875</v>
      </c>
      <c r="M1831" s="14" t="n">
        <v>5.7</v>
      </c>
      <c r="N1831" s="12">
        <f>ROUND(L1831/M1831, 0)</f>
        <v/>
      </c>
      <c r="O1831" s="12">
        <f>ROUND(N1831*'Methodology &amp; Assumptions'!$B$5, 0)</f>
        <v/>
      </c>
      <c r="P1831" s="10" t="inlineStr">
        <is>
          <t>Single Carrier (Band n50, 100MHz TDD)</t>
        </is>
      </c>
      <c r="Q1831" s="13">
        <f>ROUNDUP(O1831/'Methodology &amp; Assumptions'!$B$6, 0)</f>
        <v/>
      </c>
      <c r="R1831" s="13" t="n">
        <v>1</v>
      </c>
      <c r="S1831" s="14" t="n">
        <v>29.34</v>
      </c>
      <c r="T1831" s="14" t="n">
        <v>34.23</v>
      </c>
      <c r="U1831" s="26">
        <f>IF(X1831&gt;='Methodology &amp; Assumptions'!$B$7, "Tier 1 Critical GIDA (Score ≥ 50.0)", IF(X1831&gt;='Methodology &amp; Assumptions'!$B$8, "Tier 2 High GIDA (Score 40.0–49.9)", "Tier 3 Moderate GIDA (Score &lt; 40.0)"))</f>
        <v/>
      </c>
      <c r="V1831" s="26">
        <f>IF(S1831&lt;='Methodology &amp; Assumptions'!$B$10, "Direct Optical Drop (&lt;3km)", IF(S1831&lt;='Methodology &amp; Assumptions'!$B$9, "Near Optical / Microwave (&lt;5km)", "Starlink Business LEO Satellite Backhaul (&gt;5km)"))</f>
        <v/>
      </c>
      <c r="W1831" s="28" t="n">
        <v>0.11</v>
      </c>
      <c r="X1831" s="14" t="n">
        <v>41.69</v>
      </c>
      <c r="Y1831" s="14">
        <f>ROUND(MIN(100, (X1831/69.91)*100), 2)</f>
        <v/>
      </c>
    </row>
    <row r="1832">
      <c r="A1832" s="10" t="n">
        <v>5</v>
      </c>
      <c r="B1832" s="10" t="n">
        <v>828</v>
      </c>
      <c r="C1832" s="10" t="n">
        <v>4828</v>
      </c>
      <c r="D1832" s="10" t="inlineStr">
        <is>
          <t>PH0004828</t>
        </is>
      </c>
      <c r="E1832" s="26" t="inlineStr">
        <is>
          <t>XIII</t>
        </is>
      </c>
      <c r="F1832" s="26" t="inlineStr">
        <is>
          <t>Agusan Del Norte</t>
        </is>
      </c>
      <c r="G1832" s="26" t="inlineStr">
        <is>
          <t>Butuan City</t>
        </is>
      </c>
      <c r="H1832" s="26" t="inlineStr">
        <is>
          <t>Leon Kilat Pob.</t>
        </is>
      </c>
      <c r="I1832" s="27" t="n">
        <v>11.164216</v>
      </c>
      <c r="J1832" s="27" t="n">
        <v>124.643947</v>
      </c>
      <c r="K1832" s="10" t="inlineStr">
        <is>
          <t>R</t>
        </is>
      </c>
      <c r="L1832" s="12" t="n">
        <v>2294</v>
      </c>
      <c r="M1832" s="14" t="n">
        <v>4.1</v>
      </c>
      <c r="N1832" s="12">
        <f>ROUND(L1832/M1832, 0)</f>
        <v/>
      </c>
      <c r="O1832" s="12">
        <f>ROUND(N1832*'Methodology &amp; Assumptions'!$B$5, 0)</f>
        <v/>
      </c>
      <c r="P1832" s="10" t="inlineStr">
        <is>
          <t>Single Carrier (Band n50, 100MHz TDD)</t>
        </is>
      </c>
      <c r="Q1832" s="13">
        <f>ROUNDUP(O1832/'Methodology &amp; Assumptions'!$B$6, 0)</f>
        <v/>
      </c>
      <c r="R1832" s="13" t="n">
        <v>1</v>
      </c>
      <c r="S1832" s="14" t="n">
        <v>9.289999999999999</v>
      </c>
      <c r="T1832" s="14" t="n">
        <v>7.54</v>
      </c>
      <c r="U1832" s="26">
        <f>IF(X1832&gt;='Methodology &amp; Assumptions'!$B$7, "Tier 1 Critical GIDA (Score ≥ 50.0)", IF(X1832&gt;='Methodology &amp; Assumptions'!$B$8, "Tier 2 High GIDA (Score 40.0–49.9)", "Tier 3 Moderate GIDA (Score &lt; 40.0)"))</f>
        <v/>
      </c>
      <c r="V1832" s="26">
        <f>IF(S1832&lt;='Methodology &amp; Assumptions'!$B$10, "Direct Optical Drop (&lt;3km)", IF(S1832&lt;='Methodology &amp; Assumptions'!$B$9, "Near Optical / Microwave (&lt;5km)", "Starlink Business LEO Satellite Backhaul (&gt;5km)"))</f>
        <v/>
      </c>
      <c r="W1832" s="28" t="n">
        <v>0.109</v>
      </c>
      <c r="X1832" s="14" t="n">
        <v>41.69</v>
      </c>
      <c r="Y1832" s="14">
        <f>ROUND(MIN(100, (X1832/69.91)*100), 2)</f>
        <v/>
      </c>
    </row>
    <row r="1833">
      <c r="A1833" s="10" t="n">
        <v>5</v>
      </c>
      <c r="B1833" s="10" t="n">
        <v>829</v>
      </c>
      <c r="C1833" s="10" t="n">
        <v>4829</v>
      </c>
      <c r="D1833" s="10" t="inlineStr">
        <is>
          <t>0803751020</t>
        </is>
      </c>
      <c r="E1833" s="26" t="inlineStr">
        <is>
          <t>Region VIII (Eastern Visayas)</t>
        </is>
      </c>
      <c r="F1833" s="26" t="inlineStr">
        <is>
          <t>Leyte</t>
        </is>
      </c>
      <c r="G1833" s="26" t="inlineStr">
        <is>
          <t>Villaba</t>
        </is>
      </c>
      <c r="H1833" s="26" t="inlineStr">
        <is>
          <t>New Balanac</t>
        </is>
      </c>
      <c r="I1833" s="27" t="n">
        <v>11.183114</v>
      </c>
      <c r="J1833" s="27" t="n">
        <v>124.485696</v>
      </c>
      <c r="K1833" s="10" t="inlineStr">
        <is>
          <t>R</t>
        </is>
      </c>
      <c r="L1833" s="12" t="n">
        <v>721</v>
      </c>
      <c r="M1833" s="14" t="n">
        <v>3.8</v>
      </c>
      <c r="N1833" s="12">
        <f>ROUND(L1833/M1833, 0)</f>
        <v/>
      </c>
      <c r="O1833" s="12">
        <f>ROUND(N1833*'Methodology &amp; Assumptions'!$B$5, 0)</f>
        <v/>
      </c>
      <c r="P1833" s="10" t="inlineStr">
        <is>
          <t>Single Carrier (Band n50, 100MHz TDD)</t>
        </is>
      </c>
      <c r="Q1833" s="13">
        <f>ROUNDUP(O1833/'Methodology &amp; Assumptions'!$B$6, 0)</f>
        <v/>
      </c>
      <c r="R1833" s="13" t="n">
        <v>1</v>
      </c>
      <c r="S1833" s="14" t="n">
        <v>4.59</v>
      </c>
      <c r="T1833" s="14" t="n">
        <v>8.1</v>
      </c>
      <c r="U1833" s="26">
        <f>IF(X1833&gt;='Methodology &amp; Assumptions'!$B$7, "Tier 1 Critical GIDA (Score ≥ 50.0)", IF(X1833&gt;='Methodology &amp; Assumptions'!$B$8, "Tier 2 High GIDA (Score 40.0–49.9)", "Tier 3 Moderate GIDA (Score &lt; 40.0)"))</f>
        <v/>
      </c>
      <c r="V1833" s="26">
        <f>IF(S1833&lt;='Methodology &amp; Assumptions'!$B$10, "Direct Optical Drop (&lt;3km)", IF(S1833&lt;='Methodology &amp; Assumptions'!$B$9, "Near Optical / Microwave (&lt;5km)", "Starlink Business LEO Satellite Backhaul (&gt;5km)"))</f>
        <v/>
      </c>
      <c r="W1833" s="28" t="n">
        <v>0.237</v>
      </c>
      <c r="X1833" s="14" t="n">
        <v>41.69</v>
      </c>
      <c r="Y1833" s="14">
        <f>ROUND(MIN(100, (X1833/69.91)*100), 2)</f>
        <v/>
      </c>
    </row>
    <row r="1834">
      <c r="A1834" s="10" t="n">
        <v>5</v>
      </c>
      <c r="B1834" s="10" t="n">
        <v>830</v>
      </c>
      <c r="C1834" s="10" t="n">
        <v>4830</v>
      </c>
      <c r="D1834" s="10" t="inlineStr">
        <is>
          <t>PH0004830</t>
        </is>
      </c>
      <c r="E1834" s="26" t="inlineStr">
        <is>
          <t>IV-A</t>
        </is>
      </c>
      <c r="F1834" s="26" t="inlineStr">
        <is>
          <t>Cavite</t>
        </is>
      </c>
      <c r="G1834" s="26" t="inlineStr">
        <is>
          <t>City of Bacoor</t>
        </is>
      </c>
      <c r="H1834" s="26" t="inlineStr">
        <is>
          <t>Mambog 2</t>
        </is>
      </c>
      <c r="I1834" s="27" t="n">
        <v>14.179921</v>
      </c>
      <c r="J1834" s="27" t="n">
        <v>121.036208</v>
      </c>
      <c r="K1834" s="10" t="inlineStr">
        <is>
          <t>R</t>
        </is>
      </c>
      <c r="L1834" s="12" t="n">
        <v>9584</v>
      </c>
      <c r="M1834" s="14" t="n">
        <v>3.4</v>
      </c>
      <c r="N1834" s="12">
        <f>ROUND(L1834/M1834, 0)</f>
        <v/>
      </c>
      <c r="O1834" s="12">
        <f>ROUND(N1834*'Methodology &amp; Assumptions'!$B$5, 0)</f>
        <v/>
      </c>
      <c r="P1834" s="10" t="inlineStr">
        <is>
          <t>Single Carrier (Band n50, 100MHz TDD)</t>
        </is>
      </c>
      <c r="Q1834" s="13">
        <f>ROUNDUP(O1834/'Methodology &amp; Assumptions'!$B$6, 0)</f>
        <v/>
      </c>
      <c r="R1834" s="13" t="n">
        <v>1</v>
      </c>
      <c r="S1834" s="14" t="n">
        <v>2.09</v>
      </c>
      <c r="T1834" s="14" t="n">
        <v>2.46</v>
      </c>
      <c r="U1834" s="26">
        <f>IF(X1834&gt;='Methodology &amp; Assumptions'!$B$7, "Tier 1 Critical GIDA (Score ≥ 50.0)", IF(X1834&gt;='Methodology &amp; Assumptions'!$B$8, "Tier 2 High GIDA (Score 40.0–49.9)", "Tier 3 Moderate GIDA (Score &lt; 40.0)"))</f>
        <v/>
      </c>
      <c r="V1834" s="26">
        <f>IF(S1834&lt;='Methodology &amp; Assumptions'!$B$10, "Direct Optical Drop (&lt;3km)", IF(S1834&lt;='Methodology &amp; Assumptions'!$B$9, "Near Optical / Microwave (&lt;5km)", "Starlink Business LEO Satellite Backhaul (&gt;5km)"))</f>
        <v/>
      </c>
      <c r="W1834" s="28" t="n">
        <v>0.07200000000000001</v>
      </c>
      <c r="X1834" s="14" t="n">
        <v>41.68</v>
      </c>
      <c r="Y1834" s="14">
        <f>ROUND(MIN(100, (X1834/69.91)*100), 2)</f>
        <v/>
      </c>
    </row>
    <row r="1835">
      <c r="A1835" s="10" t="n">
        <v>5</v>
      </c>
      <c r="B1835" s="10" t="n">
        <v>831</v>
      </c>
      <c r="C1835" s="10" t="n">
        <v>4831</v>
      </c>
      <c r="D1835" s="10" t="inlineStr">
        <is>
          <t>0506204018</t>
        </is>
      </c>
      <c r="E1835" s="26" t="inlineStr">
        <is>
          <t>Region V (Bicol Region)</t>
        </is>
      </c>
      <c r="F1835" s="26" t="inlineStr">
        <is>
          <t>Sorsogon</t>
        </is>
      </c>
      <c r="G1835" s="26" t="inlineStr">
        <is>
          <t>Bulusan</t>
        </is>
      </c>
      <c r="H1835" s="26" t="inlineStr">
        <is>
          <t>San Jose</t>
        </is>
      </c>
      <c r="I1835" s="27" t="n">
        <v>12.76009</v>
      </c>
      <c r="J1835" s="27" t="n">
        <v>124.12655</v>
      </c>
      <c r="K1835" s="10" t="inlineStr">
        <is>
          <t>R</t>
        </is>
      </c>
      <c r="L1835" s="12" t="n">
        <v>1023</v>
      </c>
      <c r="M1835" s="14" t="n">
        <v>4</v>
      </c>
      <c r="N1835" s="12">
        <f>ROUND(L1835/M1835, 0)</f>
        <v/>
      </c>
      <c r="O1835" s="12">
        <f>ROUND(N1835*'Methodology &amp; Assumptions'!$B$5, 0)</f>
        <v/>
      </c>
      <c r="P1835" s="10" t="inlineStr">
        <is>
          <t>Single Carrier (Band n50, 100MHz TDD)</t>
        </is>
      </c>
      <c r="Q1835" s="13">
        <f>ROUNDUP(O1835/'Methodology &amp; Assumptions'!$B$6, 0)</f>
        <v/>
      </c>
      <c r="R1835" s="13" t="n">
        <v>1</v>
      </c>
      <c r="S1835" s="14" t="n">
        <v>0.95</v>
      </c>
      <c r="T1835" s="14" t="n">
        <v>0.97</v>
      </c>
      <c r="U1835" s="26">
        <f>IF(X1835&gt;='Methodology &amp; Assumptions'!$B$7, "Tier 1 Critical GIDA (Score ≥ 50.0)", IF(X1835&gt;='Methodology &amp; Assumptions'!$B$8, "Tier 2 High GIDA (Score 40.0–49.9)", "Tier 3 Moderate GIDA (Score &lt; 40.0)"))</f>
        <v/>
      </c>
      <c r="V1835" s="26">
        <f>IF(S1835&lt;='Methodology &amp; Assumptions'!$B$10, "Direct Optical Drop (&lt;3km)", IF(S1835&lt;='Methodology &amp; Assumptions'!$B$9, "Near Optical / Microwave (&lt;5km)", "Starlink Business LEO Satellite Backhaul (&gt;5km)"))</f>
        <v/>
      </c>
      <c r="W1835" s="28" t="n">
        <v>0.237</v>
      </c>
      <c r="X1835" s="14" t="n">
        <v>41.68</v>
      </c>
      <c r="Y1835" s="14">
        <f>ROUND(MIN(100, (X1835/69.91)*100), 2)</f>
        <v/>
      </c>
    </row>
    <row r="1836">
      <c r="A1836" s="10" t="n">
        <v>5</v>
      </c>
      <c r="B1836" s="10" t="n">
        <v>832</v>
      </c>
      <c r="C1836" s="10" t="n">
        <v>4832</v>
      </c>
      <c r="D1836" s="10" t="inlineStr">
        <is>
          <t>0405622061</t>
        </is>
      </c>
      <c r="E1836" s="26" t="inlineStr">
        <is>
          <t>Region IV-A (CALABARZON)</t>
        </is>
      </c>
      <c r="F1836" s="26" t="inlineStr">
        <is>
          <t>Quezon</t>
        </is>
      </c>
      <c r="G1836" s="26" t="inlineStr">
        <is>
          <t>Lopez</t>
        </is>
      </c>
      <c r="H1836" s="26" t="inlineStr">
        <is>
          <t>Samat</t>
        </is>
      </c>
      <c r="I1836" s="27" t="n">
        <v>13.859624</v>
      </c>
      <c r="J1836" s="27" t="n">
        <v>122.296578</v>
      </c>
      <c r="K1836" s="10" t="inlineStr">
        <is>
          <t>R</t>
        </is>
      </c>
      <c r="L1836" s="12" t="n">
        <v>241</v>
      </c>
      <c r="M1836" s="14" t="n">
        <v>3.8</v>
      </c>
      <c r="N1836" s="12">
        <f>ROUND(L1836/M1836, 0)</f>
        <v/>
      </c>
      <c r="O1836" s="12">
        <f>ROUND(N1836*'Methodology &amp; Assumptions'!$B$5, 0)</f>
        <v/>
      </c>
      <c r="P1836" s="10" t="inlineStr">
        <is>
          <t>Single Carrier (Band n50, 100MHz TDD)</t>
        </is>
      </c>
      <c r="Q1836" s="13">
        <f>ROUNDUP(O1836/'Methodology &amp; Assumptions'!$B$6, 0)</f>
        <v/>
      </c>
      <c r="R1836" s="13" t="n">
        <v>1</v>
      </c>
      <c r="S1836" s="14" t="n">
        <v>4.82</v>
      </c>
      <c r="T1836" s="14" t="n">
        <v>2.39</v>
      </c>
      <c r="U1836" s="26">
        <f>IF(X1836&gt;='Methodology &amp; Assumptions'!$B$7, "Tier 1 Critical GIDA (Score ≥ 50.0)", IF(X1836&gt;='Methodology &amp; Assumptions'!$B$8, "Tier 2 High GIDA (Score 40.0–49.9)", "Tier 3 Moderate GIDA (Score &lt; 40.0)"))</f>
        <v/>
      </c>
      <c r="V1836" s="26">
        <f>IF(S1836&lt;='Methodology &amp; Assumptions'!$B$10, "Direct Optical Drop (&lt;3km)", IF(S1836&lt;='Methodology &amp; Assumptions'!$B$9, "Near Optical / Microwave (&lt;5km)", "Starlink Business LEO Satellite Backhaul (&gt;5km)"))</f>
        <v/>
      </c>
      <c r="W1836" s="28" t="n">
        <v>0.07200000000000001</v>
      </c>
      <c r="X1836" s="14" t="n">
        <v>41.68</v>
      </c>
      <c r="Y1836" s="14">
        <f>ROUND(MIN(100, (X1836/69.91)*100), 2)</f>
        <v/>
      </c>
    </row>
    <row r="1837">
      <c r="A1837" s="10" t="n">
        <v>5</v>
      </c>
      <c r="B1837" s="10" t="n">
        <v>833</v>
      </c>
      <c r="C1837" s="10" t="n">
        <v>4833</v>
      </c>
      <c r="D1837" s="10" t="inlineStr">
        <is>
          <t>0806006052</t>
        </is>
      </c>
      <c r="E1837" s="26" t="inlineStr">
        <is>
          <t>Region VIII (Eastern Visayas)</t>
        </is>
      </c>
      <c r="F1837" s="26" t="inlineStr">
        <is>
          <t>Samar</t>
        </is>
      </c>
      <c r="G1837" s="26" t="inlineStr">
        <is>
          <t>Daram</t>
        </is>
      </c>
      <c r="H1837" s="26" t="inlineStr">
        <is>
          <t>Tugas</t>
        </is>
      </c>
      <c r="I1837" s="27" t="n">
        <v>11.54308</v>
      </c>
      <c r="J1837" s="27" t="n">
        <v>124.80301</v>
      </c>
      <c r="K1837" s="10" t="inlineStr">
        <is>
          <t>R</t>
        </is>
      </c>
      <c r="L1837" s="12" t="n">
        <v>768</v>
      </c>
      <c r="M1837" s="14" t="n">
        <v>4.1</v>
      </c>
      <c r="N1837" s="12">
        <f>ROUND(L1837/M1837, 0)</f>
        <v/>
      </c>
      <c r="O1837" s="12">
        <f>ROUND(N1837*'Methodology &amp; Assumptions'!$B$5, 0)</f>
        <v/>
      </c>
      <c r="P1837" s="10" t="inlineStr">
        <is>
          <t>Single Carrier (Band n50, 100MHz TDD)</t>
        </is>
      </c>
      <c r="Q1837" s="13">
        <f>ROUNDUP(O1837/'Methodology &amp; Assumptions'!$B$6, 0)</f>
        <v/>
      </c>
      <c r="R1837" s="13" t="n">
        <v>1</v>
      </c>
      <c r="S1837" s="14" t="n">
        <v>29.75</v>
      </c>
      <c r="T1837" s="14" t="n">
        <v>29.68</v>
      </c>
      <c r="U1837" s="26">
        <f>IF(X1837&gt;='Methodology &amp; Assumptions'!$B$7, "Tier 1 Critical GIDA (Score ≥ 50.0)", IF(X1837&gt;='Methodology &amp; Assumptions'!$B$8, "Tier 2 High GIDA (Score 40.0–49.9)", "Tier 3 Moderate GIDA (Score &lt; 40.0)"))</f>
        <v/>
      </c>
      <c r="V1837" s="26">
        <f>IF(S1837&lt;='Methodology &amp; Assumptions'!$B$10, "Direct Optical Drop (&lt;3km)", IF(S1837&lt;='Methodology &amp; Assumptions'!$B$9, "Near Optical / Microwave (&lt;5km)", "Starlink Business LEO Satellite Backhaul (&gt;5km)"))</f>
        <v/>
      </c>
      <c r="W1837" s="28" t="n">
        <v>0.237</v>
      </c>
      <c r="X1837" s="14" t="n">
        <v>41.68</v>
      </c>
      <c r="Y1837" s="14">
        <f>ROUND(MIN(100, (X1837/69.91)*100), 2)</f>
        <v/>
      </c>
    </row>
    <row r="1838">
      <c r="A1838" s="10" t="n">
        <v>5</v>
      </c>
      <c r="B1838" s="10" t="n">
        <v>834</v>
      </c>
      <c r="C1838" s="10" t="n">
        <v>4834</v>
      </c>
      <c r="D1838" s="10" t="inlineStr">
        <is>
          <t>PH0004834</t>
        </is>
      </c>
      <c r="E1838" s="26" t="inlineStr">
        <is>
          <t>IV-A</t>
        </is>
      </c>
      <c r="F1838" s="26" t="inlineStr">
        <is>
          <t>Cavite</t>
        </is>
      </c>
      <c r="G1838" s="26" t="inlineStr">
        <is>
          <t>City of Bacoor</t>
        </is>
      </c>
      <c r="H1838" s="26" t="inlineStr">
        <is>
          <t>Ligas 2</t>
        </is>
      </c>
      <c r="I1838" s="27" t="n">
        <v>14.282294</v>
      </c>
      <c r="J1838" s="27" t="n">
        <v>120.723427</v>
      </c>
      <c r="K1838" s="10" t="inlineStr">
        <is>
          <t>R</t>
        </is>
      </c>
      <c r="L1838" s="12" t="n">
        <v>9584</v>
      </c>
      <c r="M1838" s="14" t="n">
        <v>3.4</v>
      </c>
      <c r="N1838" s="12">
        <f>ROUND(L1838/M1838, 0)</f>
        <v/>
      </c>
      <c r="O1838" s="12">
        <f>ROUND(N1838*'Methodology &amp; Assumptions'!$B$5, 0)</f>
        <v/>
      </c>
      <c r="P1838" s="10" t="inlineStr">
        <is>
          <t>Single Carrier (Band n50, 100MHz TDD)</t>
        </is>
      </c>
      <c r="Q1838" s="13">
        <f>ROUNDUP(O1838/'Methodology &amp; Assumptions'!$B$6, 0)</f>
        <v/>
      </c>
      <c r="R1838" s="13" t="n">
        <v>1</v>
      </c>
      <c r="S1838" s="14" t="n">
        <v>0.5</v>
      </c>
      <c r="T1838" s="14" t="n">
        <v>1.63</v>
      </c>
      <c r="U1838" s="26">
        <f>IF(X1838&gt;='Methodology &amp; Assumptions'!$B$7, "Tier 1 Critical GIDA (Score ≥ 50.0)", IF(X1838&gt;='Methodology &amp; Assumptions'!$B$8, "Tier 2 High GIDA (Score 40.0–49.9)", "Tier 3 Moderate GIDA (Score &lt; 40.0)"))</f>
        <v/>
      </c>
      <c r="V1838" s="26">
        <f>IF(S1838&lt;='Methodology &amp; Assumptions'!$B$10, "Direct Optical Drop (&lt;3km)", IF(S1838&lt;='Methodology &amp; Assumptions'!$B$9, "Near Optical / Microwave (&lt;5km)", "Starlink Business LEO Satellite Backhaul (&gt;5km)"))</f>
        <v/>
      </c>
      <c r="W1838" s="28" t="n">
        <v>0.07200000000000001</v>
      </c>
      <c r="X1838" s="14" t="n">
        <v>41.68</v>
      </c>
      <c r="Y1838" s="14">
        <f>ROUND(MIN(100, (X1838/69.91)*100), 2)</f>
        <v/>
      </c>
    </row>
    <row r="1839">
      <c r="A1839" s="10" t="n">
        <v>5</v>
      </c>
      <c r="B1839" s="10" t="n">
        <v>835</v>
      </c>
      <c r="C1839" s="10" t="n">
        <v>4835</v>
      </c>
      <c r="D1839" s="10" t="inlineStr">
        <is>
          <t>0405646005</t>
        </is>
      </c>
      <c r="E1839" s="26" t="inlineStr">
        <is>
          <t>Region IV-A (CALABARZON)</t>
        </is>
      </c>
      <c r="F1839" s="26" t="inlineStr">
        <is>
          <t>Quezon</t>
        </is>
      </c>
      <c r="G1839" s="26" t="inlineStr">
        <is>
          <t>Tagkawayan</t>
        </is>
      </c>
      <c r="H1839" s="26" t="inlineStr">
        <is>
          <t>Bosigon</t>
        </is>
      </c>
      <c r="I1839" s="27" t="n">
        <v>14.080294</v>
      </c>
      <c r="J1839" s="27" t="n">
        <v>122.538268</v>
      </c>
      <c r="K1839" s="10" t="inlineStr">
        <is>
          <t>R</t>
        </is>
      </c>
      <c r="L1839" s="12" t="n">
        <v>390</v>
      </c>
      <c r="M1839" s="14" t="n">
        <v>3.8</v>
      </c>
      <c r="N1839" s="12">
        <f>ROUND(L1839/M1839, 0)</f>
        <v/>
      </c>
      <c r="O1839" s="12">
        <f>ROUND(N1839*'Methodology &amp; Assumptions'!$B$5, 0)</f>
        <v/>
      </c>
      <c r="P1839" s="10" t="inlineStr">
        <is>
          <t>Single Carrier (Band n50, 100MHz TDD)</t>
        </is>
      </c>
      <c r="Q1839" s="13">
        <f>ROUNDUP(O1839/'Methodology &amp; Assumptions'!$B$6, 0)</f>
        <v/>
      </c>
      <c r="R1839" s="13" t="n">
        <v>1</v>
      </c>
      <c r="S1839" s="14" t="n">
        <v>10.64</v>
      </c>
      <c r="T1839" s="14" t="n">
        <v>7.36</v>
      </c>
      <c r="U1839" s="26">
        <f>IF(X1839&gt;='Methodology &amp; Assumptions'!$B$7, "Tier 1 Critical GIDA (Score ≥ 50.0)", IF(X1839&gt;='Methodology &amp; Assumptions'!$B$8, "Tier 2 High GIDA (Score 40.0–49.9)", "Tier 3 Moderate GIDA (Score &lt; 40.0)"))</f>
        <v/>
      </c>
      <c r="V1839" s="26">
        <f>IF(S1839&lt;='Methodology &amp; Assumptions'!$B$10, "Direct Optical Drop (&lt;3km)", IF(S1839&lt;='Methodology &amp; Assumptions'!$B$9, "Near Optical / Microwave (&lt;5km)", "Starlink Business LEO Satellite Backhaul (&gt;5km)"))</f>
        <v/>
      </c>
      <c r="W1839" s="28" t="n">
        <v>0.07200000000000001</v>
      </c>
      <c r="X1839" s="14" t="n">
        <v>41.68</v>
      </c>
      <c r="Y1839" s="14">
        <f>ROUND(MIN(100, (X1839/69.91)*100), 2)</f>
        <v/>
      </c>
    </row>
    <row r="1840">
      <c r="A1840" s="10" t="n">
        <v>5</v>
      </c>
      <c r="B1840" s="10" t="n">
        <v>836</v>
      </c>
      <c r="C1840" s="10" t="n">
        <v>4836</v>
      </c>
      <c r="D1840" s="10" t="inlineStr">
        <is>
          <t>PH0004836</t>
        </is>
      </c>
      <c r="E1840" s="26" t="inlineStr">
        <is>
          <t>VIII</t>
        </is>
      </c>
      <c r="F1840" s="26" t="inlineStr">
        <is>
          <t>Samar (Western Samar)</t>
        </is>
      </c>
      <c r="G1840" s="26" t="inlineStr">
        <is>
          <t>Catbalogan City</t>
        </is>
      </c>
      <c r="H1840" s="26" t="inlineStr">
        <is>
          <t>Muñoz</t>
        </is>
      </c>
      <c r="I1840" s="27" t="n">
        <v>12.878424</v>
      </c>
      <c r="J1840" s="27" t="n">
        <v>121.803969</v>
      </c>
      <c r="K1840" s="10" t="inlineStr">
        <is>
          <t>R</t>
        </is>
      </c>
      <c r="L1840" s="12" t="n">
        <v>2229</v>
      </c>
      <c r="M1840" s="14" t="n">
        <v>4.1</v>
      </c>
      <c r="N1840" s="12">
        <f>ROUND(L1840/M1840, 0)</f>
        <v/>
      </c>
      <c r="O1840" s="12">
        <f>ROUND(N1840*'Methodology &amp; Assumptions'!$B$5, 0)</f>
        <v/>
      </c>
      <c r="P1840" s="10" t="inlineStr">
        <is>
          <t>Single Carrier (Band n50, 100MHz TDD)</t>
        </is>
      </c>
      <c r="Q1840" s="13">
        <f>ROUNDUP(O1840/'Methodology &amp; Assumptions'!$B$6, 0)</f>
        <v/>
      </c>
      <c r="R1840" s="13" t="n">
        <v>1</v>
      </c>
      <c r="S1840" s="14" t="n">
        <v>36.51</v>
      </c>
      <c r="T1840" s="14" t="n">
        <v>36.32</v>
      </c>
      <c r="U1840" s="26">
        <f>IF(X1840&gt;='Methodology &amp; Assumptions'!$B$7, "Tier 1 Critical GIDA (Score ≥ 50.0)", IF(X1840&gt;='Methodology &amp; Assumptions'!$B$8, "Tier 2 High GIDA (Score 40.0–49.9)", "Tier 3 Moderate GIDA (Score &lt; 40.0)"))</f>
        <v/>
      </c>
      <c r="V1840" s="26">
        <f>IF(S1840&lt;='Methodology &amp; Assumptions'!$B$10, "Direct Optical Drop (&lt;3km)", IF(S1840&lt;='Methodology &amp; Assumptions'!$B$9, "Near Optical / Microwave (&lt;5km)", "Starlink Business LEO Satellite Backhaul (&gt;5km)"))</f>
        <v/>
      </c>
      <c r="W1840" s="28" t="n">
        <v>0.222</v>
      </c>
      <c r="X1840" s="14" t="n">
        <v>41.68</v>
      </c>
      <c r="Y1840" s="14">
        <f>ROUND(MIN(100, (X1840/69.91)*100), 2)</f>
        <v/>
      </c>
    </row>
    <row r="1841">
      <c r="A1841" s="10" t="n">
        <v>5</v>
      </c>
      <c r="B1841" s="10" t="n">
        <v>837</v>
      </c>
      <c r="C1841" s="10" t="n">
        <v>4837</v>
      </c>
      <c r="D1841" s="10" t="inlineStr">
        <is>
          <t>1408104007</t>
        </is>
      </c>
      <c r="E1841" s="26" t="inlineStr">
        <is>
          <t>Cordillera Administrative Region (CAR)</t>
        </is>
      </c>
      <c r="F1841" s="26" t="inlineStr">
        <is>
          <t>Apayao</t>
        </is>
      </c>
      <c r="G1841" s="26" t="inlineStr">
        <is>
          <t>Kabugao</t>
        </is>
      </c>
      <c r="H1841" s="26" t="inlineStr">
        <is>
          <t>Cabetayan</t>
        </is>
      </c>
      <c r="I1841" s="27" t="n">
        <v>17.999034</v>
      </c>
      <c r="J1841" s="27" t="n">
        <v>121.17377</v>
      </c>
      <c r="K1841" s="10" t="inlineStr">
        <is>
          <t>R</t>
        </is>
      </c>
      <c r="L1841" s="12" t="n">
        <v>608</v>
      </c>
      <c r="M1841" s="14" t="n">
        <v>4.2</v>
      </c>
      <c r="N1841" s="12">
        <f>ROUND(L1841/M1841, 0)</f>
        <v/>
      </c>
      <c r="O1841" s="12">
        <f>ROUND(N1841*'Methodology &amp; Assumptions'!$B$5, 0)</f>
        <v/>
      </c>
      <c r="P1841" s="10" t="inlineStr">
        <is>
          <t>Single Carrier (Band n50, 100MHz TDD)</t>
        </is>
      </c>
      <c r="Q1841" s="13">
        <f>ROUNDUP(O1841/'Methodology &amp; Assumptions'!$B$6, 0)</f>
        <v/>
      </c>
      <c r="R1841" s="13" t="n">
        <v>1</v>
      </c>
      <c r="S1841" s="14" t="n">
        <v>2.41</v>
      </c>
      <c r="T1841" s="14" t="n">
        <v>7.9</v>
      </c>
      <c r="U1841" s="26">
        <f>IF(X1841&gt;='Methodology &amp; Assumptions'!$B$7, "Tier 1 Critical GIDA (Score ≥ 50.0)", IF(X1841&gt;='Methodology &amp; Assumptions'!$B$8, "Tier 2 High GIDA (Score 40.0–49.9)", "Tier 3 Moderate GIDA (Score &lt; 40.0)"))</f>
        <v/>
      </c>
      <c r="V1841" s="26">
        <f>IF(S1841&lt;='Methodology &amp; Assumptions'!$B$10, "Direct Optical Drop (&lt;3km)", IF(S1841&lt;='Methodology &amp; Assumptions'!$B$9, "Near Optical / Microwave (&lt;5km)", "Starlink Business LEO Satellite Backhaul (&gt;5km)"))</f>
        <v/>
      </c>
      <c r="W1841" s="28" t="n">
        <v>0.109</v>
      </c>
      <c r="X1841" s="14" t="n">
        <v>41.68</v>
      </c>
      <c r="Y1841" s="14">
        <f>ROUND(MIN(100, (X1841/69.91)*100), 2)</f>
        <v/>
      </c>
    </row>
    <row r="1842">
      <c r="A1842" s="10" t="n">
        <v>5</v>
      </c>
      <c r="B1842" s="10" t="n">
        <v>838</v>
      </c>
      <c r="C1842" s="10" t="n">
        <v>4838</v>
      </c>
      <c r="D1842" s="10" t="inlineStr">
        <is>
          <t>1906604012</t>
        </is>
      </c>
      <c r="E1842" s="26" t="inlineStr">
        <is>
          <t>Bangsamoro Autonomous Region In Muslim Mindanao (BARMM)</t>
        </is>
      </c>
      <c r="F1842" s="26" t="inlineStr">
        <is>
          <t>Sulu</t>
        </is>
      </c>
      <c r="G1842" s="26" t="inlineStr">
        <is>
          <t>Luuk</t>
        </is>
      </c>
      <c r="H1842" s="26" t="inlineStr">
        <is>
          <t>Lambago</t>
        </is>
      </c>
      <c r="I1842" s="27" t="n">
        <v>17.255514</v>
      </c>
      <c r="J1842" s="27" t="n">
        <v>122.229558</v>
      </c>
      <c r="K1842" s="10" t="inlineStr">
        <is>
          <t>R</t>
        </is>
      </c>
      <c r="L1842" s="12" t="n">
        <v>2589</v>
      </c>
      <c r="M1842" s="14" t="n">
        <v>6</v>
      </c>
      <c r="N1842" s="12">
        <f>ROUND(L1842/M1842, 0)</f>
        <v/>
      </c>
      <c r="O1842" s="12">
        <f>ROUND(N1842*'Methodology &amp; Assumptions'!$B$5, 0)</f>
        <v/>
      </c>
      <c r="P1842" s="10" t="inlineStr">
        <is>
          <t>Single Carrier (Band n50, 100MHz TDD)</t>
        </is>
      </c>
      <c r="Q1842" s="13">
        <f>ROUNDUP(O1842/'Methodology &amp; Assumptions'!$B$6, 0)</f>
        <v/>
      </c>
      <c r="R1842" s="13" t="n">
        <v>1</v>
      </c>
      <c r="S1842" s="14" t="n">
        <v>29.52</v>
      </c>
      <c r="T1842" s="14" t="n">
        <v>34.39</v>
      </c>
      <c r="U1842" s="26">
        <f>IF(X1842&gt;='Methodology &amp; Assumptions'!$B$7, "Tier 1 Critical GIDA (Score ≥ 50.0)", IF(X1842&gt;='Methodology &amp; Assumptions'!$B$8, "Tier 2 High GIDA (Score 40.0–49.9)", "Tier 3 Moderate GIDA (Score &lt; 40.0)"))</f>
        <v/>
      </c>
      <c r="V1842" s="26">
        <f>IF(S1842&lt;='Methodology &amp; Assumptions'!$B$10, "Direct Optical Drop (&lt;3km)", IF(S1842&lt;='Methodology &amp; Assumptions'!$B$9, "Near Optical / Microwave (&lt;5km)", "Starlink Business LEO Satellite Backhaul (&gt;5km)"))</f>
        <v/>
      </c>
      <c r="W1842" s="28" t="n">
        <v>0.11</v>
      </c>
      <c r="X1842" s="14" t="n">
        <v>41.68</v>
      </c>
      <c r="Y1842" s="14">
        <f>ROUND(MIN(100, (X1842/69.91)*100), 2)</f>
        <v/>
      </c>
    </row>
    <row r="1843">
      <c r="A1843" s="10" t="n">
        <v>5</v>
      </c>
      <c r="B1843" s="10" t="n">
        <v>839</v>
      </c>
      <c r="C1843" s="10" t="n">
        <v>4839</v>
      </c>
      <c r="D1843" s="10" t="inlineStr">
        <is>
          <t>1208002021</t>
        </is>
      </c>
      <c r="E1843" s="26" t="inlineStr">
        <is>
          <t>Region XII (SOCCSKSARGEN)</t>
        </is>
      </c>
      <c r="F1843" s="26" t="inlineStr">
        <is>
          <t>Sarangani</t>
        </is>
      </c>
      <c r="G1843" s="26" t="inlineStr">
        <is>
          <t>Glan</t>
        </is>
      </c>
      <c r="H1843" s="26" t="inlineStr">
        <is>
          <t>New Aklan</t>
        </is>
      </c>
      <c r="I1843" s="27" t="n">
        <v>5.763581</v>
      </c>
      <c r="J1843" s="27" t="n">
        <v>125.339551</v>
      </c>
      <c r="K1843" s="10" t="inlineStr">
        <is>
          <t>R</t>
        </is>
      </c>
      <c r="L1843" s="12" t="n">
        <v>1809</v>
      </c>
      <c r="M1843" s="14" t="n">
        <v>3.9</v>
      </c>
      <c r="N1843" s="12">
        <f>ROUND(L1843/M1843, 0)</f>
        <v/>
      </c>
      <c r="O1843" s="12">
        <f>ROUND(N1843*'Methodology &amp; Assumptions'!$B$5, 0)</f>
        <v/>
      </c>
      <c r="P1843" s="10" t="inlineStr">
        <is>
          <t>Single Carrier (Band n50, 100MHz TDD)</t>
        </is>
      </c>
      <c r="Q1843" s="13">
        <f>ROUNDUP(O1843/'Methodology &amp; Assumptions'!$B$6, 0)</f>
        <v/>
      </c>
      <c r="R1843" s="13" t="n">
        <v>1</v>
      </c>
      <c r="S1843" s="14" t="n">
        <v>38.57</v>
      </c>
      <c r="T1843" s="14" t="n">
        <v>42.98</v>
      </c>
      <c r="U1843" s="26">
        <f>IF(X1843&gt;='Methodology &amp; Assumptions'!$B$7, "Tier 1 Critical GIDA (Score ≥ 50.0)", IF(X1843&gt;='Methodology &amp; Assumptions'!$B$8, "Tier 2 High GIDA (Score 40.0–49.9)", "Tier 3 Moderate GIDA (Score &lt; 40.0)"))</f>
        <v/>
      </c>
      <c r="V1843" s="26">
        <f>IF(S1843&lt;='Methodology &amp; Assumptions'!$B$10, "Direct Optical Drop (&lt;3km)", IF(S1843&lt;='Methodology &amp; Assumptions'!$B$9, "Near Optical / Microwave (&lt;5km)", "Starlink Business LEO Satellite Backhaul (&gt;5km)"))</f>
        <v/>
      </c>
      <c r="W1843" s="28" t="n">
        <v>0.174</v>
      </c>
      <c r="X1843" s="14" t="n">
        <v>41.67</v>
      </c>
      <c r="Y1843" s="14">
        <f>ROUND(MIN(100, (X1843/69.91)*100), 2)</f>
        <v/>
      </c>
    </row>
    <row r="1844">
      <c r="A1844" s="10" t="n">
        <v>5</v>
      </c>
      <c r="B1844" s="10" t="n">
        <v>840</v>
      </c>
      <c r="C1844" s="10" t="n">
        <v>4840</v>
      </c>
      <c r="D1844" s="10" t="inlineStr">
        <is>
          <t>PH0004840</t>
        </is>
      </c>
      <c r="E1844" s="26" t="inlineStr">
        <is>
          <t>VII</t>
        </is>
      </c>
      <c r="F1844" s="26" t="inlineStr">
        <is>
          <t>Bohol</t>
        </is>
      </c>
      <c r="G1844" s="26" t="inlineStr">
        <is>
          <t>Jetafe</t>
        </is>
      </c>
      <c r="H1844" s="26" t="inlineStr">
        <is>
          <t>Alumar</t>
        </is>
      </c>
      <c r="I1844" s="27" t="n">
        <v>9.855622</v>
      </c>
      <c r="J1844" s="27" t="n">
        <v>124.178938</v>
      </c>
      <c r="K1844" s="10" t="inlineStr">
        <is>
          <t>R</t>
        </is>
      </c>
      <c r="L1844" s="12" t="n">
        <v>2229</v>
      </c>
      <c r="M1844" s="14" t="n">
        <v>4</v>
      </c>
      <c r="N1844" s="12">
        <f>ROUND(L1844/M1844, 0)</f>
        <v/>
      </c>
      <c r="O1844" s="12">
        <f>ROUND(N1844*'Methodology &amp; Assumptions'!$B$5, 0)</f>
        <v/>
      </c>
      <c r="P1844" s="10" t="inlineStr">
        <is>
          <t>Single Carrier (Band n50, 100MHz TDD)</t>
        </is>
      </c>
      <c r="Q1844" s="13">
        <f>ROUNDUP(O1844/'Methodology &amp; Assumptions'!$B$6, 0)</f>
        <v/>
      </c>
      <c r="R1844" s="13" t="n">
        <v>1</v>
      </c>
      <c r="S1844" s="14" t="n">
        <v>36.24</v>
      </c>
      <c r="T1844" s="14" t="n">
        <v>1.99</v>
      </c>
      <c r="U1844" s="26">
        <f>IF(X1844&gt;='Methodology &amp; Assumptions'!$B$7, "Tier 1 Critical GIDA (Score ≥ 50.0)", IF(X1844&gt;='Methodology &amp; Assumptions'!$B$8, "Tier 2 High GIDA (Score 40.0–49.9)", "Tier 3 Moderate GIDA (Score &lt; 40.0)"))</f>
        <v/>
      </c>
      <c r="V1844" s="26">
        <f>IF(S1844&lt;='Methodology &amp; Assumptions'!$B$10, "Direct Optical Drop (&lt;3km)", IF(S1844&lt;='Methodology &amp; Assumptions'!$B$9, "Near Optical / Microwave (&lt;5km)", "Starlink Business LEO Satellite Backhaul (&gt;5km)"))</f>
        <v/>
      </c>
      <c r="W1844" s="28" t="n">
        <v>0.21</v>
      </c>
      <c r="X1844" s="14" t="n">
        <v>41.67</v>
      </c>
      <c r="Y1844" s="14">
        <f>ROUND(MIN(100, (X1844/69.91)*100), 2)</f>
        <v/>
      </c>
    </row>
    <row r="1845">
      <c r="A1845" s="10" t="n">
        <v>5</v>
      </c>
      <c r="B1845" s="10" t="n">
        <v>841</v>
      </c>
      <c r="C1845" s="10" t="n">
        <v>4841</v>
      </c>
      <c r="D1845" s="10" t="inlineStr">
        <is>
          <t>0405802009</t>
        </is>
      </c>
      <c r="E1845" s="26" t="inlineStr">
        <is>
          <t>Region IV-A (CALABARZON)</t>
        </is>
      </c>
      <c r="F1845" s="26" t="inlineStr">
        <is>
          <t>Rizal</t>
        </is>
      </c>
      <c r="G1845" s="26" t="inlineStr">
        <is>
          <t>City of Antipolo</t>
        </is>
      </c>
      <c r="H1845" s="26" t="inlineStr">
        <is>
          <t>San Roque</t>
        </is>
      </c>
      <c r="I1845" s="27" t="n">
        <v>14.584437</v>
      </c>
      <c r="J1845" s="27" t="n">
        <v>121.173716</v>
      </c>
      <c r="K1845" s="10" t="inlineStr">
        <is>
          <t>U</t>
        </is>
      </c>
      <c r="L1845" s="12" t="n">
        <v>67126</v>
      </c>
      <c r="M1845" s="14" t="n">
        <v>3.6</v>
      </c>
      <c r="N1845" s="12">
        <f>ROUND(L1845/M1845, 0)</f>
        <v/>
      </c>
      <c r="O1845" s="12">
        <f>ROUND(N1845*'Methodology &amp; Assumptions'!$B$5, 0)</f>
        <v/>
      </c>
      <c r="P1845" s="10" t="inlineStr">
        <is>
          <t>Single Carrier (Band n50, 100MHz TDD)</t>
        </is>
      </c>
      <c r="Q1845" s="13">
        <f>ROUNDUP(O1845/'Methodology &amp; Assumptions'!$B$6, 0)</f>
        <v/>
      </c>
      <c r="R1845" s="13" t="n">
        <v>1</v>
      </c>
      <c r="S1845" s="14" t="n">
        <v>0.35</v>
      </c>
      <c r="T1845" s="14" t="n">
        <v>0.26</v>
      </c>
      <c r="U1845" s="26">
        <f>IF(X1845&gt;='Methodology &amp; Assumptions'!$B$7, "Tier 1 Critical GIDA (Score ≥ 50.0)", IF(X1845&gt;='Methodology &amp; Assumptions'!$B$8, "Tier 2 High GIDA (Score 40.0–49.9)", "Tier 3 Moderate GIDA (Score &lt; 40.0)"))</f>
        <v/>
      </c>
      <c r="V1845" s="26">
        <f>IF(S1845&lt;='Methodology &amp; Assumptions'!$B$10, "Direct Optical Drop (&lt;3km)", IF(S1845&lt;='Methodology &amp; Assumptions'!$B$9, "Near Optical / Microwave (&lt;5km)", "Starlink Business LEO Satellite Backhaul (&gt;5km)"))</f>
        <v/>
      </c>
      <c r="W1845" s="28" t="n">
        <v>0.07200000000000001</v>
      </c>
      <c r="X1845" s="14" t="n">
        <v>41.67</v>
      </c>
      <c r="Y1845" s="14">
        <f>ROUND(MIN(100, (X1845/69.91)*100), 2)</f>
        <v/>
      </c>
    </row>
    <row r="1846">
      <c r="A1846" s="10" t="n">
        <v>5</v>
      </c>
      <c r="B1846" s="10" t="n">
        <v>842</v>
      </c>
      <c r="C1846" s="10" t="n">
        <v>4842</v>
      </c>
      <c r="D1846" s="10" t="inlineStr">
        <is>
          <t>1003506036</t>
        </is>
      </c>
      <c r="E1846" s="26" t="inlineStr">
        <is>
          <t>Region X (Northern Mindanao)</t>
        </is>
      </c>
      <c r="F1846" s="26" t="inlineStr">
        <is>
          <t>Lanao del Norte</t>
        </is>
      </c>
      <c r="G1846" s="26" t="inlineStr">
        <is>
          <t>Sultan Naga Dimaporo</t>
        </is>
      </c>
      <c r="H1846" s="26" t="inlineStr">
        <is>
          <t>Dalama</t>
        </is>
      </c>
      <c r="I1846" s="27" t="n">
        <v>7.779939</v>
      </c>
      <c r="J1846" s="27" t="n">
        <v>123.740869</v>
      </c>
      <c r="K1846" s="10" t="inlineStr">
        <is>
          <t>R</t>
        </is>
      </c>
      <c r="L1846" s="12" t="n">
        <v>930</v>
      </c>
      <c r="M1846" s="14" t="n">
        <v>4.2</v>
      </c>
      <c r="N1846" s="12">
        <f>ROUND(L1846/M1846, 0)</f>
        <v/>
      </c>
      <c r="O1846" s="12">
        <f>ROUND(N1846*'Methodology &amp; Assumptions'!$B$5, 0)</f>
        <v/>
      </c>
      <c r="P1846" s="10" t="inlineStr">
        <is>
          <t>Single Carrier (Band n50, 100MHz TDD)</t>
        </is>
      </c>
      <c r="Q1846" s="13">
        <f>ROUNDUP(O1846/'Methodology &amp; Assumptions'!$B$6, 0)</f>
        <v/>
      </c>
      <c r="R1846" s="13" t="n">
        <v>1</v>
      </c>
      <c r="S1846" s="14" t="n">
        <v>25.66</v>
      </c>
      <c r="T1846" s="14" t="n">
        <v>11.84</v>
      </c>
      <c r="U1846" s="26">
        <f>IF(X1846&gt;='Methodology &amp; Assumptions'!$B$7, "Tier 1 Critical GIDA (Score ≥ 50.0)", IF(X1846&gt;='Methodology &amp; Assumptions'!$B$8, "Tier 2 High GIDA (Score 40.0–49.9)", "Tier 3 Moderate GIDA (Score &lt; 40.0)"))</f>
        <v/>
      </c>
      <c r="V1846" s="26">
        <f>IF(S1846&lt;='Methodology &amp; Assumptions'!$B$10, "Direct Optical Drop (&lt;3km)", IF(S1846&lt;='Methodology &amp; Assumptions'!$B$9, "Near Optical / Microwave (&lt;5km)", "Starlink Business LEO Satellite Backhaul (&gt;5km)"))</f>
        <v/>
      </c>
      <c r="W1846" s="28" t="n">
        <v>0.174</v>
      </c>
      <c r="X1846" s="14" t="n">
        <v>41.66</v>
      </c>
      <c r="Y1846" s="14">
        <f>ROUND(MIN(100, (X1846/69.91)*100), 2)</f>
        <v/>
      </c>
    </row>
    <row r="1847">
      <c r="A1847" s="10" t="n">
        <v>5</v>
      </c>
      <c r="B1847" s="10" t="n">
        <v>843</v>
      </c>
      <c r="C1847" s="10" t="n">
        <v>4843</v>
      </c>
      <c r="D1847" s="10" t="inlineStr">
        <is>
          <t>1003517013</t>
        </is>
      </c>
      <c r="E1847" s="26" t="inlineStr">
        <is>
          <t>Region X (Northern Mindanao)</t>
        </is>
      </c>
      <c r="F1847" s="26" t="inlineStr">
        <is>
          <t>Lanao del Norte</t>
        </is>
      </c>
      <c r="G1847" s="26" t="inlineStr">
        <is>
          <t>Poona Piagapo</t>
        </is>
      </c>
      <c r="H1847" s="26" t="inlineStr">
        <is>
          <t>Lupitan</t>
        </is>
      </c>
      <c r="I1847" s="27" t="n">
        <v>8.074835999999999</v>
      </c>
      <c r="J1847" s="27" t="n">
        <v>124.144401</v>
      </c>
      <c r="K1847" s="10" t="inlineStr">
        <is>
          <t>R</t>
        </is>
      </c>
      <c r="L1847" s="12" t="n">
        <v>1019</v>
      </c>
      <c r="M1847" s="14" t="n">
        <v>4.2</v>
      </c>
      <c r="N1847" s="12">
        <f>ROUND(L1847/M1847, 0)</f>
        <v/>
      </c>
      <c r="O1847" s="12">
        <f>ROUND(N1847*'Methodology &amp; Assumptions'!$B$5, 0)</f>
        <v/>
      </c>
      <c r="P1847" s="10" t="inlineStr">
        <is>
          <t>Single Carrier (Band n50, 100MHz TDD)</t>
        </is>
      </c>
      <c r="Q1847" s="13">
        <f>ROUNDUP(O1847/'Methodology &amp; Assumptions'!$B$6, 0)</f>
        <v/>
      </c>
      <c r="R1847" s="13" t="n">
        <v>1</v>
      </c>
      <c r="S1847" s="14" t="n">
        <v>16.02</v>
      </c>
      <c r="T1847" s="14" t="n">
        <v>9.220000000000001</v>
      </c>
      <c r="U1847" s="26">
        <f>IF(X1847&gt;='Methodology &amp; Assumptions'!$B$7, "Tier 1 Critical GIDA (Score ≥ 50.0)", IF(X1847&gt;='Methodology &amp; Assumptions'!$B$8, "Tier 2 High GIDA (Score 40.0–49.9)", "Tier 3 Moderate GIDA (Score &lt; 40.0)"))</f>
        <v/>
      </c>
      <c r="V1847" s="26">
        <f>IF(S1847&lt;='Methodology &amp; Assumptions'!$B$10, "Direct Optical Drop (&lt;3km)", IF(S1847&lt;='Methodology &amp; Assumptions'!$B$9, "Near Optical / Microwave (&lt;5km)", "Starlink Business LEO Satellite Backhaul (&gt;5km)"))</f>
        <v/>
      </c>
      <c r="W1847" s="28" t="n">
        <v>0.174</v>
      </c>
      <c r="X1847" s="14" t="n">
        <v>41.66</v>
      </c>
      <c r="Y1847" s="14">
        <f>ROUND(MIN(100, (X1847/69.91)*100), 2)</f>
        <v/>
      </c>
    </row>
    <row r="1848">
      <c r="A1848" s="10" t="n">
        <v>5</v>
      </c>
      <c r="B1848" s="10" t="n">
        <v>844</v>
      </c>
      <c r="C1848" s="10" t="n">
        <v>4844</v>
      </c>
      <c r="D1848" s="10" t="inlineStr">
        <is>
          <t>1381300118</t>
        </is>
      </c>
      <c r="E1848" s="26" t="inlineStr">
        <is>
          <t>National Capital Region (NCR)</t>
        </is>
      </c>
      <c r="F1848" s="26" t="inlineStr">
        <is>
          <t>Second District (Not a Province)</t>
        </is>
      </c>
      <c r="G1848" s="26" t="inlineStr">
        <is>
          <t>Quezon City</t>
        </is>
      </c>
      <c r="H1848" s="26" t="inlineStr">
        <is>
          <t>Talayan</t>
        </is>
      </c>
      <c r="I1848" s="27" t="n">
        <v>14.608963</v>
      </c>
      <c r="J1848" s="27" t="n">
        <v>121.040733</v>
      </c>
      <c r="K1848" s="10" t="inlineStr">
        <is>
          <t>U</t>
        </is>
      </c>
      <c r="L1848" s="12" t="n">
        <v>4587</v>
      </c>
      <c r="M1848" s="14" t="n">
        <v>3.8</v>
      </c>
      <c r="N1848" s="12">
        <f>ROUND(L1848/M1848, 0)</f>
        <v/>
      </c>
      <c r="O1848" s="12">
        <f>ROUND(N1848*'Methodology &amp; Assumptions'!$B$5, 0)</f>
        <v/>
      </c>
      <c r="P1848" s="10" t="inlineStr">
        <is>
          <t>Single Carrier (Band n50, 100MHz TDD)</t>
        </is>
      </c>
      <c r="Q1848" s="13">
        <f>ROUNDUP(O1848/'Methodology &amp; Assumptions'!$B$6, 0)</f>
        <v/>
      </c>
      <c r="R1848" s="13" t="n">
        <v>1</v>
      </c>
      <c r="S1848" s="14" t="n">
        <v>2.2</v>
      </c>
      <c r="T1848" s="14" t="n">
        <v>0.23</v>
      </c>
      <c r="U1848" s="26">
        <f>IF(X1848&gt;='Methodology &amp; Assumptions'!$B$7, "Tier 1 Critical GIDA (Score ≥ 50.0)", IF(X1848&gt;='Methodology &amp; Assumptions'!$B$8, "Tier 2 High GIDA (Score 40.0–49.9)", "Tier 3 Moderate GIDA (Score &lt; 40.0)"))</f>
        <v/>
      </c>
      <c r="V1848" s="26">
        <f>IF(S1848&lt;='Methodology &amp; Assumptions'!$B$10, "Direct Optical Drop (&lt;3km)", IF(S1848&lt;='Methodology &amp; Assumptions'!$B$9, "Near Optical / Microwave (&lt;5km)", "Starlink Business LEO Satellite Backhaul (&gt;5km)"))</f>
        <v/>
      </c>
      <c r="W1848" s="28" t="n">
        <v>0.109</v>
      </c>
      <c r="X1848" s="14" t="n">
        <v>41.66</v>
      </c>
      <c r="Y1848" s="14">
        <f>ROUND(MIN(100, (X1848/69.91)*100), 2)</f>
        <v/>
      </c>
    </row>
    <row r="1849">
      <c r="A1849" s="10" t="n">
        <v>5</v>
      </c>
      <c r="B1849" s="10" t="n">
        <v>845</v>
      </c>
      <c r="C1849" s="10" t="n">
        <v>4845</v>
      </c>
      <c r="D1849" s="10" t="inlineStr">
        <is>
          <t>0405603024</t>
        </is>
      </c>
      <c r="E1849" s="26" t="inlineStr">
        <is>
          <t>Region IV-A (CALABARZON)</t>
        </is>
      </c>
      <c r="F1849" s="26" t="inlineStr">
        <is>
          <t>Quezon</t>
        </is>
      </c>
      <c r="G1849" s="26" t="inlineStr">
        <is>
          <t>Atimonan</t>
        </is>
      </c>
      <c r="H1849" s="26" t="inlineStr">
        <is>
          <t>Manggalayan Bundok</t>
        </is>
      </c>
      <c r="I1849" s="27" t="n">
        <v>13.934297</v>
      </c>
      <c r="J1849" s="27" t="n">
        <v>121.915441</v>
      </c>
      <c r="K1849" s="10" t="inlineStr">
        <is>
          <t>R</t>
        </is>
      </c>
      <c r="L1849" s="12" t="n">
        <v>148</v>
      </c>
      <c r="M1849" s="14" t="n">
        <v>3.8</v>
      </c>
      <c r="N1849" s="12">
        <f>ROUND(L1849/M1849, 0)</f>
        <v/>
      </c>
      <c r="O1849" s="12">
        <f>ROUND(N1849*'Methodology &amp; Assumptions'!$B$5, 0)</f>
        <v/>
      </c>
      <c r="P1849" s="10" t="inlineStr">
        <is>
          <t>Single Carrier (Band n50, 100MHz TDD)</t>
        </is>
      </c>
      <c r="Q1849" s="13">
        <f>ROUNDUP(O1849/'Methodology &amp; Assumptions'!$B$6, 0)</f>
        <v/>
      </c>
      <c r="R1849" s="13" t="n">
        <v>1</v>
      </c>
      <c r="S1849" s="14" t="n">
        <v>6.62</v>
      </c>
      <c r="T1849" s="14" t="n">
        <v>3.99</v>
      </c>
      <c r="U1849" s="26">
        <f>IF(X1849&gt;='Methodology &amp; Assumptions'!$B$7, "Tier 1 Critical GIDA (Score ≥ 50.0)", IF(X1849&gt;='Methodology &amp; Assumptions'!$B$8, "Tier 2 High GIDA (Score 40.0–49.9)", "Tier 3 Moderate GIDA (Score &lt; 40.0)"))</f>
        <v/>
      </c>
      <c r="V1849" s="26">
        <f>IF(S1849&lt;='Methodology &amp; Assumptions'!$B$10, "Direct Optical Drop (&lt;3km)", IF(S1849&lt;='Methodology &amp; Assumptions'!$B$9, "Near Optical / Microwave (&lt;5km)", "Starlink Business LEO Satellite Backhaul (&gt;5km)"))</f>
        <v/>
      </c>
      <c r="W1849" s="28" t="n">
        <v>0.07200000000000001</v>
      </c>
      <c r="X1849" s="14" t="n">
        <v>41.66</v>
      </c>
      <c r="Y1849" s="14">
        <f>ROUND(MIN(100, (X1849/69.91)*100), 2)</f>
        <v/>
      </c>
    </row>
    <row r="1850">
      <c r="A1850" s="10" t="n">
        <v>5</v>
      </c>
      <c r="B1850" s="10" t="n">
        <v>846</v>
      </c>
      <c r="C1850" s="10" t="n">
        <v>4846</v>
      </c>
      <c r="D1850" s="10" t="inlineStr">
        <is>
          <t>PH0004846</t>
        </is>
      </c>
      <c r="E1850" s="26" t="inlineStr">
        <is>
          <t>XI</t>
        </is>
      </c>
      <c r="F1850" s="26" t="inlineStr">
        <is>
          <t>Davao Del Sur</t>
        </is>
      </c>
      <c r="G1850" s="26" t="inlineStr">
        <is>
          <t>Davao City</t>
        </is>
      </c>
      <c r="H1850" s="26" t="inlineStr">
        <is>
          <t>Leon Garcia, Sr.</t>
        </is>
      </c>
      <c r="I1850" s="27" t="n">
        <v>7.082432</v>
      </c>
      <c r="J1850" s="27" t="n">
        <v>125.626752</v>
      </c>
      <c r="K1850" s="10" t="inlineStr">
        <is>
          <t>R</t>
        </is>
      </c>
      <c r="L1850" s="12" t="n">
        <v>2280</v>
      </c>
      <c r="M1850" s="14" t="n">
        <v>3.4</v>
      </c>
      <c r="N1850" s="12">
        <f>ROUND(L1850/M1850, 0)</f>
        <v/>
      </c>
      <c r="O1850" s="12">
        <f>ROUND(N1850*'Methodology &amp; Assumptions'!$B$5, 0)</f>
        <v/>
      </c>
      <c r="P1850" s="10" t="inlineStr">
        <is>
          <t>Single Carrier (Band n50, 100MHz TDD)</t>
        </is>
      </c>
      <c r="Q1850" s="13">
        <f>ROUNDUP(O1850/'Methodology &amp; Assumptions'!$B$6, 0)</f>
        <v/>
      </c>
      <c r="R1850" s="13" t="n">
        <v>1</v>
      </c>
      <c r="S1850" s="14" t="n">
        <v>2.23</v>
      </c>
      <c r="T1850" s="14" t="n">
        <v>0.26</v>
      </c>
      <c r="U1850" s="26">
        <f>IF(X1850&gt;='Methodology &amp; Assumptions'!$B$7, "Tier 1 Critical GIDA (Score ≥ 50.0)", IF(X1850&gt;='Methodology &amp; Assumptions'!$B$8, "Tier 2 High GIDA (Score 40.0–49.9)", "Tier 3 Moderate GIDA (Score &lt; 40.0)"))</f>
        <v/>
      </c>
      <c r="V1850" s="26">
        <f>IF(S1850&lt;='Methodology &amp; Assumptions'!$B$10, "Direct Optical Drop (&lt;3km)", IF(S1850&lt;='Methodology &amp; Assumptions'!$B$9, "Near Optical / Microwave (&lt;5km)", "Starlink Business LEO Satellite Backhaul (&gt;5km)"))</f>
        <v/>
      </c>
      <c r="W1850" s="28" t="n">
        <v>0.119</v>
      </c>
      <c r="X1850" s="14" t="n">
        <v>41.66</v>
      </c>
      <c r="Y1850" s="14">
        <f>ROUND(MIN(100, (X1850/69.91)*100), 2)</f>
        <v/>
      </c>
    </row>
    <row r="1851">
      <c r="A1851" s="10" t="n">
        <v>5</v>
      </c>
      <c r="B1851" s="10" t="n">
        <v>847</v>
      </c>
      <c r="C1851" s="10" t="n">
        <v>4847</v>
      </c>
      <c r="D1851" s="10" t="inlineStr">
        <is>
          <t>1381300022</t>
        </is>
      </c>
      <c r="E1851" s="26" t="inlineStr">
        <is>
          <t>National Capital Region (NCR)</t>
        </is>
      </c>
      <c r="F1851" s="26" t="inlineStr">
        <is>
          <t>Second District (Not a Province)</t>
        </is>
      </c>
      <c r="G1851" s="26" t="inlineStr">
        <is>
          <t>Quezon City</t>
        </is>
      </c>
      <c r="H1851" s="26" t="inlineStr">
        <is>
          <t>Commonwealth</t>
        </is>
      </c>
      <c r="I1851" s="27" t="n">
        <v>14.69</v>
      </c>
      <c r="J1851" s="27" t="n">
        <v>121.09925</v>
      </c>
      <c r="K1851" s="10" t="inlineStr">
        <is>
          <t>U</t>
        </is>
      </c>
      <c r="L1851" s="12" t="n">
        <v>222177</v>
      </c>
      <c r="M1851" s="14" t="n">
        <v>3.8</v>
      </c>
      <c r="N1851" s="12">
        <f>ROUND(L1851/M1851, 0)</f>
        <v/>
      </c>
      <c r="O1851" s="12">
        <f>ROUND(N1851*'Methodology &amp; Assumptions'!$B$5, 0)</f>
        <v/>
      </c>
      <c r="P1851" s="10" t="inlineStr">
        <is>
          <t>Single Carrier (Band n50, 100MHz TDD)</t>
        </is>
      </c>
      <c r="Q1851" s="13">
        <f>ROUNDUP(O1851/'Methodology &amp; Assumptions'!$B$6, 0)</f>
        <v/>
      </c>
      <c r="R1851" s="13" t="n">
        <v>1</v>
      </c>
      <c r="S1851" s="14" t="n">
        <v>0.8100000000000001</v>
      </c>
      <c r="T1851" s="14" t="n">
        <v>0.36</v>
      </c>
      <c r="U1851" s="26">
        <f>IF(X1851&gt;='Methodology &amp; Assumptions'!$B$7, "Tier 1 Critical GIDA (Score ≥ 50.0)", IF(X1851&gt;='Methodology &amp; Assumptions'!$B$8, "Tier 2 High GIDA (Score 40.0–49.9)", "Tier 3 Moderate GIDA (Score &lt; 40.0)"))</f>
        <v/>
      </c>
      <c r="V1851" s="26">
        <f>IF(S1851&lt;='Methodology &amp; Assumptions'!$B$10, "Direct Optical Drop (&lt;3km)", IF(S1851&lt;='Methodology &amp; Assumptions'!$B$9, "Near Optical / Microwave (&lt;5km)", "Starlink Business LEO Satellite Backhaul (&gt;5km)"))</f>
        <v/>
      </c>
      <c r="W1851" s="28" t="n">
        <v>0.109</v>
      </c>
      <c r="X1851" s="14" t="n">
        <v>41.65</v>
      </c>
      <c r="Y1851" s="14">
        <f>ROUND(MIN(100, (X1851/69.91)*100), 2)</f>
        <v/>
      </c>
    </row>
    <row r="1852">
      <c r="A1852" s="10" t="n">
        <v>5</v>
      </c>
      <c r="B1852" s="10" t="n">
        <v>848</v>
      </c>
      <c r="C1852" s="10" t="n">
        <v>4848</v>
      </c>
      <c r="D1852" s="10" t="inlineStr">
        <is>
          <t>0401029024</t>
        </is>
      </c>
      <c r="E1852" s="26" t="inlineStr">
        <is>
          <t>Region IV-A (CALABARZON)</t>
        </is>
      </c>
      <c r="F1852" s="26" t="inlineStr">
        <is>
          <t>Batangas</t>
        </is>
      </c>
      <c r="G1852" s="26" t="inlineStr">
        <is>
          <t>Taal</t>
        </is>
      </c>
      <c r="H1852" s="26" t="inlineStr">
        <is>
          <t>Poblacion 10</t>
        </is>
      </c>
      <c r="I1852" s="27" t="n">
        <v>13.882148</v>
      </c>
      <c r="J1852" s="27" t="n">
        <v>120.920924</v>
      </c>
      <c r="K1852" s="10" t="inlineStr">
        <is>
          <t>R</t>
        </is>
      </c>
      <c r="L1852" s="12" t="n">
        <v>786</v>
      </c>
      <c r="M1852" s="14" t="n">
        <v>3.6</v>
      </c>
      <c r="N1852" s="12">
        <f>ROUND(L1852/M1852, 0)</f>
        <v/>
      </c>
      <c r="O1852" s="12">
        <f>ROUND(N1852*'Methodology &amp; Assumptions'!$B$5, 0)</f>
        <v/>
      </c>
      <c r="P1852" s="10" t="inlineStr">
        <is>
          <t>Single Carrier (Band n50, 100MHz TDD)</t>
        </is>
      </c>
      <c r="Q1852" s="13">
        <f>ROUNDUP(O1852/'Methodology &amp; Assumptions'!$B$6, 0)</f>
        <v/>
      </c>
      <c r="R1852" s="13" t="n">
        <v>1</v>
      </c>
      <c r="S1852" s="14" t="n">
        <v>0.83</v>
      </c>
      <c r="T1852" s="14" t="n">
        <v>1.57</v>
      </c>
      <c r="U1852" s="26">
        <f>IF(X1852&gt;='Methodology &amp; Assumptions'!$B$7, "Tier 1 Critical GIDA (Score ≥ 50.0)", IF(X1852&gt;='Methodology &amp; Assumptions'!$B$8, "Tier 2 High GIDA (Score 40.0–49.9)", "Tier 3 Moderate GIDA (Score &lt; 40.0)"))</f>
        <v/>
      </c>
      <c r="V1852" s="26">
        <f>IF(S1852&lt;='Methodology &amp; Assumptions'!$B$10, "Direct Optical Drop (&lt;3km)", IF(S1852&lt;='Methodology &amp; Assumptions'!$B$9, "Near Optical / Microwave (&lt;5km)", "Starlink Business LEO Satellite Backhaul (&gt;5km)"))</f>
        <v/>
      </c>
      <c r="W1852" s="28" t="n">
        <v>0.07200000000000001</v>
      </c>
      <c r="X1852" s="14" t="n">
        <v>41.65</v>
      </c>
      <c r="Y1852" s="14">
        <f>ROUND(MIN(100, (X1852/69.91)*100), 2)</f>
        <v/>
      </c>
    </row>
    <row r="1853">
      <c r="A1853" s="10" t="n">
        <v>5</v>
      </c>
      <c r="B1853" s="10" t="n">
        <v>849</v>
      </c>
      <c r="C1853" s="10" t="n">
        <v>4849</v>
      </c>
      <c r="D1853" s="10" t="inlineStr">
        <is>
          <t>1907001013</t>
        </is>
      </c>
      <c r="E1853" s="26" t="inlineStr">
        <is>
          <t>Bangsamoro Autonomous Region In Muslim Mindanao (BARMM)</t>
        </is>
      </c>
      <c r="F1853" s="26" t="inlineStr">
        <is>
          <t>Tawi-Tawi</t>
        </is>
      </c>
      <c r="G1853" s="26" t="inlineStr">
        <is>
          <t>Panglima Sugala</t>
        </is>
      </c>
      <c r="H1853" s="26" t="inlineStr">
        <is>
          <t>Kulape</t>
        </is>
      </c>
      <c r="I1853" s="27" t="n">
        <v>17.255684</v>
      </c>
      <c r="J1853" s="27" t="n">
        <v>122.229728</v>
      </c>
      <c r="K1853" s="10" t="inlineStr">
        <is>
          <t>R</t>
        </is>
      </c>
      <c r="L1853" s="12" t="n">
        <v>2676</v>
      </c>
      <c r="M1853" s="14" t="n">
        <v>5.8</v>
      </c>
      <c r="N1853" s="12">
        <f>ROUND(L1853/M1853, 0)</f>
        <v/>
      </c>
      <c r="O1853" s="12">
        <f>ROUND(N1853*'Methodology &amp; Assumptions'!$B$5, 0)</f>
        <v/>
      </c>
      <c r="P1853" s="10" t="inlineStr">
        <is>
          <t>Single Carrier (Band n50, 100MHz TDD)</t>
        </is>
      </c>
      <c r="Q1853" s="13">
        <f>ROUNDUP(O1853/'Methodology &amp; Assumptions'!$B$6, 0)</f>
        <v/>
      </c>
      <c r="R1853" s="13" t="n">
        <v>1</v>
      </c>
      <c r="S1853" s="14" t="n">
        <v>29.54</v>
      </c>
      <c r="T1853" s="14" t="n">
        <v>34.41</v>
      </c>
      <c r="U1853" s="26">
        <f>IF(X1853&gt;='Methodology &amp; Assumptions'!$B$7, "Tier 1 Critical GIDA (Score ≥ 50.0)", IF(X1853&gt;='Methodology &amp; Assumptions'!$B$8, "Tier 2 High GIDA (Score 40.0–49.9)", "Tier 3 Moderate GIDA (Score &lt; 40.0)"))</f>
        <v/>
      </c>
      <c r="V1853" s="26">
        <f>IF(S1853&lt;='Methodology &amp; Assumptions'!$B$10, "Direct Optical Drop (&lt;3km)", IF(S1853&lt;='Methodology &amp; Assumptions'!$B$9, "Near Optical / Microwave (&lt;5km)", "Starlink Business LEO Satellite Backhaul (&gt;5km)"))</f>
        <v/>
      </c>
      <c r="W1853" s="28" t="n">
        <v>0.11</v>
      </c>
      <c r="X1853" s="14" t="n">
        <v>41.65</v>
      </c>
      <c r="Y1853" s="14">
        <f>ROUND(MIN(100, (X1853/69.91)*100), 2)</f>
        <v/>
      </c>
    </row>
    <row r="1854">
      <c r="A1854" s="10" t="n">
        <v>5</v>
      </c>
      <c r="B1854" s="10" t="n">
        <v>850</v>
      </c>
      <c r="C1854" s="10" t="n">
        <v>4850</v>
      </c>
      <c r="D1854" s="10" t="inlineStr">
        <is>
          <t>PH0004850</t>
        </is>
      </c>
      <c r="E1854" s="26" t="inlineStr">
        <is>
          <t>VI</t>
        </is>
      </c>
      <c r="F1854" s="26" t="inlineStr">
        <is>
          <t>Capiz</t>
        </is>
      </c>
      <c r="G1854" s="26" t="inlineStr">
        <is>
          <t>Roxas City</t>
        </is>
      </c>
      <c r="H1854" s="26" t="inlineStr">
        <is>
          <t>Poblacion II</t>
        </is>
      </c>
      <c r="I1854" s="27" t="n">
        <v>11.552276</v>
      </c>
      <c r="J1854" s="27" t="n">
        <v>122.742717</v>
      </c>
      <c r="K1854" s="10" t="inlineStr">
        <is>
          <t>R</t>
        </is>
      </c>
      <c r="L1854" s="12" t="n">
        <v>2282</v>
      </c>
      <c r="M1854" s="14" t="n">
        <v>3.8</v>
      </c>
      <c r="N1854" s="12">
        <f>ROUND(L1854/M1854, 0)</f>
        <v/>
      </c>
      <c r="O1854" s="12">
        <f>ROUND(N1854*'Methodology &amp; Assumptions'!$B$5, 0)</f>
        <v/>
      </c>
      <c r="P1854" s="10" t="inlineStr">
        <is>
          <t>Single Carrier (Band n50, 100MHz TDD)</t>
        </is>
      </c>
      <c r="Q1854" s="13">
        <f>ROUNDUP(O1854/'Methodology &amp; Assumptions'!$B$6, 0)</f>
        <v/>
      </c>
      <c r="R1854" s="13" t="n">
        <v>1</v>
      </c>
      <c r="S1854" s="14" t="n">
        <v>4.1</v>
      </c>
      <c r="T1854" s="14" t="n">
        <v>1.62</v>
      </c>
      <c r="U1854" s="26">
        <f>IF(X1854&gt;='Methodology &amp; Assumptions'!$B$7, "Tier 1 Critical GIDA (Score ≥ 50.0)", IF(X1854&gt;='Methodology &amp; Assumptions'!$B$8, "Tier 2 High GIDA (Score 40.0–49.9)", "Tier 3 Moderate GIDA (Score &lt; 40.0)"))</f>
        <v/>
      </c>
      <c r="V1854" s="26">
        <f>IF(S1854&lt;='Methodology &amp; Assumptions'!$B$10, "Direct Optical Drop (&lt;3km)", IF(S1854&lt;='Methodology &amp; Assumptions'!$B$9, "Near Optical / Microwave (&lt;5km)", "Starlink Business LEO Satellite Backhaul (&gt;5km)"))</f>
        <v/>
      </c>
      <c r="W1854" s="28" t="n">
        <v>0.156</v>
      </c>
      <c r="X1854" s="14" t="n">
        <v>41.65</v>
      </c>
      <c r="Y1854" s="14">
        <f>ROUND(MIN(100, (X1854/69.91)*100), 2)</f>
        <v/>
      </c>
    </row>
    <row r="1855">
      <c r="A1855" s="10" t="n">
        <v>5</v>
      </c>
      <c r="B1855" s="10" t="n">
        <v>851</v>
      </c>
      <c r="C1855" s="10" t="n">
        <v>4851</v>
      </c>
      <c r="D1855" s="10" t="inlineStr">
        <is>
          <t>0401006032</t>
        </is>
      </c>
      <c r="E1855" s="26" t="inlineStr">
        <is>
          <t>Region IV-A (CALABARZON)</t>
        </is>
      </c>
      <c r="F1855" s="26" t="inlineStr">
        <is>
          <t>Batangas</t>
        </is>
      </c>
      <c r="G1855" s="26" t="inlineStr">
        <is>
          <t>Bauan</t>
        </is>
      </c>
      <c r="H1855" s="26" t="inlineStr">
        <is>
          <t>San Andres Uno</t>
        </is>
      </c>
      <c r="I1855" s="27" t="n">
        <v>13.79574</v>
      </c>
      <c r="J1855" s="27" t="n">
        <v>120.978783</v>
      </c>
      <c r="K1855" s="10" t="inlineStr">
        <is>
          <t>R</t>
        </is>
      </c>
      <c r="L1855" s="12" t="n">
        <v>622</v>
      </c>
      <c r="M1855" s="14" t="n">
        <v>3.6</v>
      </c>
      <c r="N1855" s="12">
        <f>ROUND(L1855/M1855, 0)</f>
        <v/>
      </c>
      <c r="O1855" s="12">
        <f>ROUND(N1855*'Methodology &amp; Assumptions'!$B$5, 0)</f>
        <v/>
      </c>
      <c r="P1855" s="10" t="inlineStr">
        <is>
          <t>Single Carrier (Band n50, 100MHz TDD)</t>
        </is>
      </c>
      <c r="Q1855" s="13">
        <f>ROUNDUP(O1855/'Methodology &amp; Assumptions'!$B$6, 0)</f>
        <v/>
      </c>
      <c r="R1855" s="13" t="n">
        <v>1</v>
      </c>
      <c r="S1855" s="14" t="n">
        <v>2.05</v>
      </c>
      <c r="T1855" s="14" t="n">
        <v>2.08</v>
      </c>
      <c r="U1855" s="26">
        <f>IF(X1855&gt;='Methodology &amp; Assumptions'!$B$7, "Tier 1 Critical GIDA (Score ≥ 50.0)", IF(X1855&gt;='Methodology &amp; Assumptions'!$B$8, "Tier 2 High GIDA (Score 40.0–49.9)", "Tier 3 Moderate GIDA (Score &lt; 40.0)"))</f>
        <v/>
      </c>
      <c r="V1855" s="26">
        <f>IF(S1855&lt;='Methodology &amp; Assumptions'!$B$10, "Direct Optical Drop (&lt;3km)", IF(S1855&lt;='Methodology &amp; Assumptions'!$B$9, "Near Optical / Microwave (&lt;5km)", "Starlink Business LEO Satellite Backhaul (&gt;5km)"))</f>
        <v/>
      </c>
      <c r="W1855" s="28" t="n">
        <v>0.07200000000000001</v>
      </c>
      <c r="X1855" s="14" t="n">
        <v>41.65</v>
      </c>
      <c r="Y1855" s="14">
        <f>ROUND(MIN(100, (X1855/69.91)*100), 2)</f>
        <v/>
      </c>
    </row>
    <row r="1856">
      <c r="A1856" s="10" t="n">
        <v>5</v>
      </c>
      <c r="B1856" s="10" t="n">
        <v>852</v>
      </c>
      <c r="C1856" s="10" t="n">
        <v>4852</v>
      </c>
      <c r="D1856" s="10" t="inlineStr">
        <is>
          <t>1908814003</t>
        </is>
      </c>
      <c r="E1856" s="26" t="inlineStr">
        <is>
          <t>Bangsamoro Autonomous Region In Muslim Mindanao (BARMM)</t>
        </is>
      </c>
      <c r="F1856" s="26" t="inlineStr">
        <is>
          <t>Maguindanao del Sur</t>
        </is>
      </c>
      <c r="G1856" s="26" t="inlineStr">
        <is>
          <t>Mangudadatu</t>
        </is>
      </c>
      <c r="H1856" s="26" t="inlineStr">
        <is>
          <t>Luayan</t>
        </is>
      </c>
      <c r="I1856" s="27" t="n">
        <v>17.255745</v>
      </c>
      <c r="J1856" s="27" t="n">
        <v>122.22267</v>
      </c>
      <c r="K1856" s="10" t="inlineStr">
        <is>
          <t>R</t>
        </is>
      </c>
      <c r="L1856" s="12" t="n">
        <v>3132</v>
      </c>
      <c r="M1856" s="14" t="n">
        <v>4.7</v>
      </c>
      <c r="N1856" s="12">
        <f>ROUND(L1856/M1856, 0)</f>
        <v/>
      </c>
      <c r="O1856" s="12">
        <f>ROUND(N1856*'Methodology &amp; Assumptions'!$B$5, 0)</f>
        <v/>
      </c>
      <c r="P1856" s="10" t="inlineStr">
        <is>
          <t>Single Carrier (Band n50, 100MHz TDD)</t>
        </is>
      </c>
      <c r="Q1856" s="13">
        <f>ROUNDUP(O1856/'Methodology &amp; Assumptions'!$B$6, 0)</f>
        <v/>
      </c>
      <c r="R1856" s="13" t="n">
        <v>1</v>
      </c>
      <c r="S1856" s="14" t="n">
        <v>28.98</v>
      </c>
      <c r="T1856" s="14" t="n">
        <v>33.7</v>
      </c>
      <c r="U1856" s="26">
        <f>IF(X1856&gt;='Methodology &amp; Assumptions'!$B$7, "Tier 1 Critical GIDA (Score ≥ 50.0)", IF(X1856&gt;='Methodology &amp; Assumptions'!$B$8, "Tier 2 High GIDA (Score 40.0–49.9)", "Tier 3 Moderate GIDA (Score &lt; 40.0)"))</f>
        <v/>
      </c>
      <c r="V1856" s="26">
        <f>IF(S1856&lt;='Methodology &amp; Assumptions'!$B$10, "Direct Optical Drop (&lt;3km)", IF(S1856&lt;='Methodology &amp; Assumptions'!$B$9, "Near Optical / Microwave (&lt;5km)", "Starlink Business LEO Satellite Backhaul (&gt;5km)"))</f>
        <v/>
      </c>
      <c r="W1856" s="28" t="n">
        <v>0.11</v>
      </c>
      <c r="X1856" s="14" t="n">
        <v>41.64</v>
      </c>
      <c r="Y1856" s="14">
        <f>ROUND(MIN(100, (X1856/69.91)*100), 2)</f>
        <v/>
      </c>
    </row>
    <row r="1857">
      <c r="A1857" s="10" t="n">
        <v>5</v>
      </c>
      <c r="B1857" s="10" t="n">
        <v>853</v>
      </c>
      <c r="C1857" s="10" t="n">
        <v>4853</v>
      </c>
      <c r="D1857" s="10" t="inlineStr">
        <is>
          <t>PH0004853</t>
        </is>
      </c>
      <c r="E1857" s="26" t="inlineStr">
        <is>
          <t>NIR</t>
        </is>
      </c>
      <c r="F1857" s="26" t="inlineStr">
        <is>
          <t>Negros Oriental</t>
        </is>
      </c>
      <c r="G1857" s="26" t="inlineStr">
        <is>
          <t>Dumaguete City</t>
        </is>
      </c>
      <c r="H1857" s="26" t="inlineStr">
        <is>
          <t>Poblacion No. 7</t>
        </is>
      </c>
      <c r="I1857" s="27" t="n">
        <v>9.309120999999999</v>
      </c>
      <c r="J1857" s="27" t="n">
        <v>123.30442</v>
      </c>
      <c r="K1857" s="10" t="inlineStr">
        <is>
          <t>R</t>
        </is>
      </c>
      <c r="L1857" s="12" t="n">
        <v>2279</v>
      </c>
      <c r="M1857" s="14" t="n">
        <v>3.8</v>
      </c>
      <c r="N1857" s="12">
        <f>ROUND(L1857/M1857, 0)</f>
        <v/>
      </c>
      <c r="O1857" s="12">
        <f>ROUND(N1857*'Methodology &amp; Assumptions'!$B$5, 0)</f>
        <v/>
      </c>
      <c r="P1857" s="10" t="inlineStr">
        <is>
          <t>Single Carrier (Band n50, 100MHz TDD)</t>
        </is>
      </c>
      <c r="Q1857" s="13">
        <f>ROUNDUP(O1857/'Methodology &amp; Assumptions'!$B$6, 0)</f>
        <v/>
      </c>
      <c r="R1857" s="13" t="n">
        <v>1</v>
      </c>
      <c r="S1857" s="14" t="n">
        <v>0.38</v>
      </c>
      <c r="T1857" s="14" t="n">
        <v>0.15</v>
      </c>
      <c r="U1857" s="26">
        <f>IF(X1857&gt;='Methodology &amp; Assumptions'!$B$7, "Tier 1 Critical GIDA (Score ≥ 50.0)", IF(X1857&gt;='Methodology &amp; Assumptions'!$B$8, "Tier 2 High GIDA (Score 40.0–49.9)", "Tier 3 Moderate GIDA (Score &lt; 40.0)"))</f>
        <v/>
      </c>
      <c r="V1857" s="26">
        <f>IF(S1857&lt;='Methodology &amp; Assumptions'!$B$10, "Direct Optical Drop (&lt;3km)", IF(S1857&lt;='Methodology &amp; Assumptions'!$B$9, "Near Optical / Microwave (&lt;5km)", "Starlink Business LEO Satellite Backhaul (&gt;5km)"))</f>
        <v/>
      </c>
      <c r="W1857" s="28" t="n">
        <v>0.109</v>
      </c>
      <c r="X1857" s="14" t="n">
        <v>41.64</v>
      </c>
      <c r="Y1857" s="14">
        <f>ROUND(MIN(100, (X1857/69.91)*100), 2)</f>
        <v/>
      </c>
    </row>
    <row r="1858">
      <c r="A1858" s="10" t="n">
        <v>5</v>
      </c>
      <c r="B1858" s="10" t="n">
        <v>854</v>
      </c>
      <c r="C1858" s="10" t="n">
        <v>4854</v>
      </c>
      <c r="D1858" s="10" t="inlineStr">
        <is>
          <t>0402103027</t>
        </is>
      </c>
      <c r="E1858" s="26" t="inlineStr">
        <is>
          <t>Region IV-A (CALABARZON)</t>
        </is>
      </c>
      <c r="F1858" s="26" t="inlineStr">
        <is>
          <t>Cavite</t>
        </is>
      </c>
      <c r="G1858" s="26" t="inlineStr">
        <is>
          <t>City of Bacoor</t>
        </is>
      </c>
      <c r="H1858" s="26" t="inlineStr">
        <is>
          <t>Queens Row East</t>
        </is>
      </c>
      <c r="I1858" s="27" t="n">
        <v>14.412604</v>
      </c>
      <c r="J1858" s="27" t="n">
        <v>121.027781</v>
      </c>
      <c r="K1858" s="10" t="inlineStr">
        <is>
          <t>U</t>
        </is>
      </c>
      <c r="L1858" s="12" t="n">
        <v>19338</v>
      </c>
      <c r="M1858" s="14" t="n">
        <v>3.4</v>
      </c>
      <c r="N1858" s="12">
        <f>ROUND(L1858/M1858, 0)</f>
        <v/>
      </c>
      <c r="O1858" s="12">
        <f>ROUND(N1858*'Methodology &amp; Assumptions'!$B$5, 0)</f>
        <v/>
      </c>
      <c r="P1858" s="10" t="inlineStr">
        <is>
          <t>Single Carrier (Band n50, 100MHz TDD)</t>
        </is>
      </c>
      <c r="Q1858" s="13">
        <f>ROUNDUP(O1858/'Methodology &amp; Assumptions'!$B$6, 0)</f>
        <v/>
      </c>
      <c r="R1858" s="13" t="n">
        <v>1</v>
      </c>
      <c r="S1858" s="14" t="n">
        <v>1.63</v>
      </c>
      <c r="T1858" s="14" t="n">
        <v>0.75</v>
      </c>
      <c r="U1858" s="26">
        <f>IF(X1858&gt;='Methodology &amp; Assumptions'!$B$7, "Tier 1 Critical GIDA (Score ≥ 50.0)", IF(X1858&gt;='Methodology &amp; Assumptions'!$B$8, "Tier 2 High GIDA (Score 40.0–49.9)", "Tier 3 Moderate GIDA (Score &lt; 40.0)"))</f>
        <v/>
      </c>
      <c r="V1858" s="26">
        <f>IF(S1858&lt;='Methodology &amp; Assumptions'!$B$10, "Direct Optical Drop (&lt;3km)", IF(S1858&lt;='Methodology &amp; Assumptions'!$B$9, "Near Optical / Microwave (&lt;5km)", "Starlink Business LEO Satellite Backhaul (&gt;5km)"))</f>
        <v/>
      </c>
      <c r="W1858" s="28" t="n">
        <v>0.07200000000000001</v>
      </c>
      <c r="X1858" s="14" t="n">
        <v>41.64</v>
      </c>
      <c r="Y1858" s="14">
        <f>ROUND(MIN(100, (X1858/69.91)*100), 2)</f>
        <v/>
      </c>
    </row>
    <row r="1859">
      <c r="A1859" s="10" t="n">
        <v>5</v>
      </c>
      <c r="B1859" s="10" t="n">
        <v>855</v>
      </c>
      <c r="C1859" s="10" t="n">
        <v>4855</v>
      </c>
      <c r="D1859" s="10" t="inlineStr">
        <is>
          <t>1906616004</t>
        </is>
      </c>
      <c r="E1859" s="26" t="inlineStr">
        <is>
          <t>Bangsamoro Autonomous Region In Muslim Mindanao (BARMM)</t>
        </is>
      </c>
      <c r="F1859" s="26" t="inlineStr">
        <is>
          <t>Sulu</t>
        </is>
      </c>
      <c r="G1859" s="26" t="inlineStr">
        <is>
          <t>Panglima Estino</t>
        </is>
      </c>
      <c r="H1859" s="26" t="inlineStr">
        <is>
          <t>Lihbug Kabaw</t>
        </is>
      </c>
      <c r="I1859" s="27" t="n">
        <v>17.255566</v>
      </c>
      <c r="J1859" s="27" t="n">
        <v>122.22961</v>
      </c>
      <c r="K1859" s="10" t="inlineStr">
        <is>
          <t>R</t>
        </is>
      </c>
      <c r="L1859" s="12" t="n">
        <v>2498</v>
      </c>
      <c r="M1859" s="14" t="n">
        <v>6</v>
      </c>
      <c r="N1859" s="12">
        <f>ROUND(L1859/M1859, 0)</f>
        <v/>
      </c>
      <c r="O1859" s="12">
        <f>ROUND(N1859*'Methodology &amp; Assumptions'!$B$5, 0)</f>
        <v/>
      </c>
      <c r="P1859" s="10" t="inlineStr">
        <is>
          <t>Single Carrier (Band n50, 100MHz TDD)</t>
        </is>
      </c>
      <c r="Q1859" s="13">
        <f>ROUNDUP(O1859/'Methodology &amp; Assumptions'!$B$6, 0)</f>
        <v/>
      </c>
      <c r="R1859" s="13" t="n">
        <v>1</v>
      </c>
      <c r="S1859" s="14" t="n">
        <v>29.53</v>
      </c>
      <c r="T1859" s="14" t="n">
        <v>34.39</v>
      </c>
      <c r="U1859" s="26">
        <f>IF(X1859&gt;='Methodology &amp; Assumptions'!$B$7, "Tier 1 Critical GIDA (Score ≥ 50.0)", IF(X1859&gt;='Methodology &amp; Assumptions'!$B$8, "Tier 2 High GIDA (Score 40.0–49.9)", "Tier 3 Moderate GIDA (Score &lt; 40.0)"))</f>
        <v/>
      </c>
      <c r="V1859" s="26">
        <f>IF(S1859&lt;='Methodology &amp; Assumptions'!$B$10, "Direct Optical Drop (&lt;3km)", IF(S1859&lt;='Methodology &amp; Assumptions'!$B$9, "Near Optical / Microwave (&lt;5km)", "Starlink Business LEO Satellite Backhaul (&gt;5km)"))</f>
        <v/>
      </c>
      <c r="W1859" s="28" t="n">
        <v>0.11</v>
      </c>
      <c r="X1859" s="14" t="n">
        <v>41.64</v>
      </c>
      <c r="Y1859" s="14">
        <f>ROUND(MIN(100, (X1859/69.91)*100), 2)</f>
        <v/>
      </c>
    </row>
    <row r="1860">
      <c r="A1860" s="10" t="n">
        <v>5</v>
      </c>
      <c r="B1860" s="10" t="n">
        <v>856</v>
      </c>
      <c r="C1860" s="10" t="n">
        <v>4856</v>
      </c>
      <c r="D1860" s="10" t="inlineStr">
        <is>
          <t>0702206019</t>
        </is>
      </c>
      <c r="E1860" s="26" t="inlineStr">
        <is>
          <t>Region VII (Central Visayas)</t>
        </is>
      </c>
      <c r="F1860" s="26" t="inlineStr">
        <is>
          <t>Cebu</t>
        </is>
      </c>
      <c r="G1860" s="26" t="inlineStr">
        <is>
          <t>Asturias</t>
        </is>
      </c>
      <c r="H1860" s="26" t="inlineStr">
        <is>
          <t>Saksak</t>
        </is>
      </c>
      <c r="I1860" s="27" t="n">
        <v>10.534575</v>
      </c>
      <c r="J1860" s="27" t="n">
        <v>123.870756</v>
      </c>
      <c r="K1860" s="10" t="inlineStr">
        <is>
          <t>R</t>
        </is>
      </c>
      <c r="L1860" s="12" t="n">
        <v>322</v>
      </c>
      <c r="M1860" s="14" t="n">
        <v>3.8</v>
      </c>
      <c r="N1860" s="12">
        <f>ROUND(L1860/M1860, 0)</f>
        <v/>
      </c>
      <c r="O1860" s="12">
        <f>ROUND(N1860*'Methodology &amp; Assumptions'!$B$5, 0)</f>
        <v/>
      </c>
      <c r="P1860" s="10" t="inlineStr">
        <is>
          <t>Single Carrier (Band n50, 100MHz TDD)</t>
        </is>
      </c>
      <c r="Q1860" s="13">
        <f>ROUNDUP(O1860/'Methodology &amp; Assumptions'!$B$6, 0)</f>
        <v/>
      </c>
      <c r="R1860" s="13" t="n">
        <v>1</v>
      </c>
      <c r="S1860" s="14" t="n">
        <v>12.21</v>
      </c>
      <c r="T1860" s="14" t="n">
        <v>14.74</v>
      </c>
      <c r="U1860" s="26">
        <f>IF(X1860&gt;='Methodology &amp; Assumptions'!$B$7, "Tier 1 Critical GIDA (Score ≥ 50.0)", IF(X1860&gt;='Methodology &amp; Assumptions'!$B$8, "Tier 2 High GIDA (Score 40.0–49.9)", "Tier 3 Moderate GIDA (Score &lt; 40.0)"))</f>
        <v/>
      </c>
      <c r="V1860" s="26">
        <f>IF(S1860&lt;='Methodology &amp; Assumptions'!$B$10, "Direct Optical Drop (&lt;3km)", IF(S1860&lt;='Methodology &amp; Assumptions'!$B$9, "Near Optical / Microwave (&lt;5km)", "Starlink Business LEO Satellite Backhaul (&gt;5km)"))</f>
        <v/>
      </c>
      <c r="W1860" s="28" t="n">
        <v>0.237</v>
      </c>
      <c r="X1860" s="14" t="n">
        <v>41.63</v>
      </c>
      <c r="Y1860" s="14">
        <f>ROUND(MIN(100, (X1860/69.91)*100), 2)</f>
        <v/>
      </c>
    </row>
    <row r="1861">
      <c r="A1861" s="10" t="n">
        <v>5</v>
      </c>
      <c r="B1861" s="10" t="n">
        <v>857</v>
      </c>
      <c r="C1861" s="10" t="n">
        <v>4857</v>
      </c>
      <c r="D1861" s="10" t="inlineStr">
        <is>
          <t>1906607040</t>
        </is>
      </c>
      <c r="E1861" s="26" t="inlineStr">
        <is>
          <t>Bangsamoro Autonomous Region In Muslim Mindanao (BARMM)</t>
        </is>
      </c>
      <c r="F1861" s="26" t="inlineStr">
        <is>
          <t>Sulu</t>
        </is>
      </c>
      <c r="G1861" s="26" t="inlineStr">
        <is>
          <t>Old Panamao</t>
        </is>
      </c>
      <c r="H1861" s="26" t="inlineStr">
        <is>
          <t>Tinah</t>
        </is>
      </c>
      <c r="I1861" s="27" t="n">
        <v>17.252547</v>
      </c>
      <c r="J1861" s="27" t="n">
        <v>122.241449</v>
      </c>
      <c r="K1861" s="10" t="inlineStr">
        <is>
          <t>R</t>
        </is>
      </c>
      <c r="L1861" s="12" t="n">
        <v>717</v>
      </c>
      <c r="M1861" s="14" t="n">
        <v>6</v>
      </c>
      <c r="N1861" s="12">
        <f>ROUND(L1861/M1861, 0)</f>
        <v/>
      </c>
      <c r="O1861" s="12">
        <f>ROUND(N1861*'Methodology &amp; Assumptions'!$B$5, 0)</f>
        <v/>
      </c>
      <c r="P1861" s="10" t="inlineStr">
        <is>
          <t>Single Carrier (Band n50, 100MHz TDD)</t>
        </is>
      </c>
      <c r="Q1861" s="13">
        <f>ROUNDUP(O1861/'Methodology &amp; Assumptions'!$B$6, 0)</f>
        <v/>
      </c>
      <c r="R1861" s="13" t="n">
        <v>1</v>
      </c>
      <c r="S1861" s="14" t="n">
        <v>30.3</v>
      </c>
      <c r="T1861" s="14" t="n">
        <v>35.51</v>
      </c>
      <c r="U1861" s="26">
        <f>IF(X1861&gt;='Methodology &amp; Assumptions'!$B$7, "Tier 1 Critical GIDA (Score ≥ 50.0)", IF(X1861&gt;='Methodology &amp; Assumptions'!$B$8, "Tier 2 High GIDA (Score 40.0–49.9)", "Tier 3 Moderate GIDA (Score &lt; 40.0)"))</f>
        <v/>
      </c>
      <c r="V1861" s="26">
        <f>IF(S1861&lt;='Methodology &amp; Assumptions'!$B$10, "Direct Optical Drop (&lt;3km)", IF(S1861&lt;='Methodology &amp; Assumptions'!$B$9, "Near Optical / Microwave (&lt;5km)", "Starlink Business LEO Satellite Backhaul (&gt;5km)"))</f>
        <v/>
      </c>
      <c r="W1861" s="28" t="n">
        <v>0.11</v>
      </c>
      <c r="X1861" s="14" t="n">
        <v>41.63</v>
      </c>
      <c r="Y1861" s="14">
        <f>ROUND(MIN(100, (X1861/69.91)*100), 2)</f>
        <v/>
      </c>
    </row>
    <row r="1862">
      <c r="A1862" s="10" t="n">
        <v>5</v>
      </c>
      <c r="B1862" s="10" t="n">
        <v>858</v>
      </c>
      <c r="C1862" s="10" t="n">
        <v>4858</v>
      </c>
      <c r="D1862" s="10" t="inlineStr">
        <is>
          <t>0907317008</t>
        </is>
      </c>
      <c r="E1862" s="26" t="inlineStr">
        <is>
          <t>Region IX (Zamboanga Peninsula)</t>
        </is>
      </c>
      <c r="F1862" s="26" t="inlineStr">
        <is>
          <t>Zamboanga del Sur</t>
        </is>
      </c>
      <c r="G1862" s="26" t="inlineStr">
        <is>
          <t>Margosatubig</t>
        </is>
      </c>
      <c r="H1862" s="26" t="inlineStr">
        <is>
          <t>Kolot</t>
        </is>
      </c>
      <c r="I1862" s="27" t="n">
        <v>7.557826</v>
      </c>
      <c r="J1862" s="27" t="n">
        <v>123.122867</v>
      </c>
      <c r="K1862" s="10" t="inlineStr">
        <is>
          <t>R</t>
        </is>
      </c>
      <c r="L1862" s="12" t="n">
        <v>509</v>
      </c>
      <c r="M1862" s="14" t="n">
        <v>3.9</v>
      </c>
      <c r="N1862" s="12">
        <f>ROUND(L1862/M1862, 0)</f>
        <v/>
      </c>
      <c r="O1862" s="12">
        <f>ROUND(N1862*'Methodology &amp; Assumptions'!$B$5, 0)</f>
        <v/>
      </c>
      <c r="P1862" s="10" t="inlineStr">
        <is>
          <t>Single Carrier (Band n50, 100MHz TDD)</t>
        </is>
      </c>
      <c r="Q1862" s="13">
        <f>ROUNDUP(O1862/'Methodology &amp; Assumptions'!$B$6, 0)</f>
        <v/>
      </c>
      <c r="R1862" s="13" t="n">
        <v>1</v>
      </c>
      <c r="S1862" s="14" t="n">
        <v>20.53</v>
      </c>
      <c r="T1862" s="14" t="n">
        <v>19.91</v>
      </c>
      <c r="U1862" s="26">
        <f>IF(X1862&gt;='Methodology &amp; Assumptions'!$B$7, "Tier 1 Critical GIDA (Score ≥ 50.0)", IF(X1862&gt;='Methodology &amp; Assumptions'!$B$8, "Tier 2 High GIDA (Score 40.0–49.9)", "Tier 3 Moderate GIDA (Score &lt; 40.0)"))</f>
        <v/>
      </c>
      <c r="V1862" s="26">
        <f>IF(S1862&lt;='Methodology &amp; Assumptions'!$B$10, "Direct Optical Drop (&lt;3km)", IF(S1862&lt;='Methodology &amp; Assumptions'!$B$9, "Near Optical / Microwave (&lt;5km)", "Starlink Business LEO Satellite Backhaul (&gt;5km)"))</f>
        <v/>
      </c>
      <c r="W1862" s="28" t="n">
        <v>0.11</v>
      </c>
      <c r="X1862" s="14" t="n">
        <v>41.63</v>
      </c>
      <c r="Y1862" s="14">
        <f>ROUND(MIN(100, (X1862/69.91)*100), 2)</f>
        <v/>
      </c>
    </row>
    <row r="1863">
      <c r="A1863" s="10" t="n">
        <v>5</v>
      </c>
      <c r="B1863" s="10" t="n">
        <v>859</v>
      </c>
      <c r="C1863" s="10" t="n">
        <v>4859</v>
      </c>
      <c r="D1863" s="10" t="inlineStr">
        <is>
          <t>1907001015</t>
        </is>
      </c>
      <c r="E1863" s="26" t="inlineStr">
        <is>
          <t>Bangsamoro Autonomous Region In Muslim Mindanao (BARMM)</t>
        </is>
      </c>
      <c r="F1863" s="26" t="inlineStr">
        <is>
          <t>Tawi-Tawi</t>
        </is>
      </c>
      <c r="G1863" s="26" t="inlineStr">
        <is>
          <t>Panglima Sugala</t>
        </is>
      </c>
      <c r="H1863" s="26" t="inlineStr">
        <is>
          <t>Magsaggaw</t>
        </is>
      </c>
      <c r="I1863" s="27" t="n">
        <v>17.255686</v>
      </c>
      <c r="J1863" s="27" t="n">
        <v>122.22973</v>
      </c>
      <c r="K1863" s="10" t="inlineStr">
        <is>
          <t>R</t>
        </is>
      </c>
      <c r="L1863" s="12" t="n">
        <v>3479</v>
      </c>
      <c r="M1863" s="14" t="n">
        <v>5.8</v>
      </c>
      <c r="N1863" s="12">
        <f>ROUND(L1863/M1863, 0)</f>
        <v/>
      </c>
      <c r="O1863" s="12">
        <f>ROUND(N1863*'Methodology &amp; Assumptions'!$B$5, 0)</f>
        <v/>
      </c>
      <c r="P1863" s="10" t="inlineStr">
        <is>
          <t>Single Carrier (Band n50, 100MHz TDD)</t>
        </is>
      </c>
      <c r="Q1863" s="13">
        <f>ROUNDUP(O1863/'Methodology &amp; Assumptions'!$B$6, 0)</f>
        <v/>
      </c>
      <c r="R1863" s="13" t="n">
        <v>1</v>
      </c>
      <c r="S1863" s="14" t="n">
        <v>29.54</v>
      </c>
      <c r="T1863" s="14" t="n">
        <v>34.41</v>
      </c>
      <c r="U1863" s="26">
        <f>IF(X1863&gt;='Methodology &amp; Assumptions'!$B$7, "Tier 1 Critical GIDA (Score ≥ 50.0)", IF(X1863&gt;='Methodology &amp; Assumptions'!$B$8, "Tier 2 High GIDA (Score 40.0–49.9)", "Tier 3 Moderate GIDA (Score &lt; 40.0)"))</f>
        <v/>
      </c>
      <c r="V1863" s="26">
        <f>IF(S1863&lt;='Methodology &amp; Assumptions'!$B$10, "Direct Optical Drop (&lt;3km)", IF(S1863&lt;='Methodology &amp; Assumptions'!$B$9, "Near Optical / Microwave (&lt;5km)", "Starlink Business LEO Satellite Backhaul (&gt;5km)"))</f>
        <v/>
      </c>
      <c r="W1863" s="28" t="n">
        <v>0.11</v>
      </c>
      <c r="X1863" s="14" t="n">
        <v>41.62</v>
      </c>
      <c r="Y1863" s="14">
        <f>ROUND(MIN(100, (X1863/69.91)*100), 2)</f>
        <v/>
      </c>
    </row>
    <row r="1864">
      <c r="A1864" s="10" t="n">
        <v>5</v>
      </c>
      <c r="B1864" s="10" t="n">
        <v>860</v>
      </c>
      <c r="C1864" s="10" t="n">
        <v>4860</v>
      </c>
      <c r="D1864" s="10" t="inlineStr">
        <is>
          <t>PH0004860</t>
        </is>
      </c>
      <c r="E1864" s="26" t="inlineStr">
        <is>
          <t>XI</t>
        </is>
      </c>
      <c r="F1864" s="26" t="inlineStr">
        <is>
          <t>Davao Del Sur</t>
        </is>
      </c>
      <c r="G1864" s="26" t="inlineStr">
        <is>
          <t>Davao City</t>
        </is>
      </c>
      <c r="H1864" s="26" t="inlineStr">
        <is>
          <t>Buhangin (Pob.)</t>
        </is>
      </c>
      <c r="I1864" s="27" t="n">
        <v>7.113138</v>
      </c>
      <c r="J1864" s="27" t="n">
        <v>125.63124</v>
      </c>
      <c r="K1864" s="10" t="inlineStr">
        <is>
          <t>R</t>
        </is>
      </c>
      <c r="L1864" s="12" t="n">
        <v>2280</v>
      </c>
      <c r="M1864" s="14" t="n">
        <v>3.4</v>
      </c>
      <c r="N1864" s="12">
        <f>ROUND(L1864/M1864, 0)</f>
        <v/>
      </c>
      <c r="O1864" s="12">
        <f>ROUND(N1864*'Methodology &amp; Assumptions'!$B$5, 0)</f>
        <v/>
      </c>
      <c r="P1864" s="10" t="inlineStr">
        <is>
          <t>Single Carrier (Band n50, 100MHz TDD)</t>
        </is>
      </c>
      <c r="Q1864" s="13">
        <f>ROUNDUP(O1864/'Methodology &amp; Assumptions'!$B$6, 0)</f>
        <v/>
      </c>
      <c r="R1864" s="13" t="n">
        <v>1</v>
      </c>
      <c r="S1864" s="14" t="n">
        <v>0.99</v>
      </c>
      <c r="T1864" s="14" t="n">
        <v>0.15</v>
      </c>
      <c r="U1864" s="26">
        <f>IF(X1864&gt;='Methodology &amp; Assumptions'!$B$7, "Tier 1 Critical GIDA (Score ≥ 50.0)", IF(X1864&gt;='Methodology &amp; Assumptions'!$B$8, "Tier 2 High GIDA (Score 40.0–49.9)", "Tier 3 Moderate GIDA (Score &lt; 40.0)"))</f>
        <v/>
      </c>
      <c r="V1864" s="26">
        <f>IF(S1864&lt;='Methodology &amp; Assumptions'!$B$10, "Direct Optical Drop (&lt;3km)", IF(S1864&lt;='Methodology &amp; Assumptions'!$B$9, "Near Optical / Microwave (&lt;5km)", "Starlink Business LEO Satellite Backhaul (&gt;5km)"))</f>
        <v/>
      </c>
      <c r="W1864" s="28" t="n">
        <v>0.119</v>
      </c>
      <c r="X1864" s="14" t="n">
        <v>41.61</v>
      </c>
      <c r="Y1864" s="14">
        <f>ROUND(MIN(100, (X1864/69.91)*100), 2)</f>
        <v/>
      </c>
    </row>
    <row r="1865">
      <c r="A1865" s="10" t="n">
        <v>5</v>
      </c>
      <c r="B1865" s="10" t="n">
        <v>861</v>
      </c>
      <c r="C1865" s="10" t="n">
        <v>4861</v>
      </c>
      <c r="D1865" s="10" t="inlineStr">
        <is>
          <t>0201505004</t>
        </is>
      </c>
      <c r="E1865" s="26" t="inlineStr">
        <is>
          <t>Region II (Cagayan Valley)</t>
        </is>
      </c>
      <c r="F1865" s="26" t="inlineStr">
        <is>
          <t>Cagayan</t>
        </is>
      </c>
      <c r="G1865" s="26" t="inlineStr">
        <is>
          <t>Aparri</t>
        </is>
      </c>
      <c r="H1865" s="26" t="inlineStr">
        <is>
          <t>Bisagu</t>
        </is>
      </c>
      <c r="I1865" s="27" t="n">
        <v>18.347975</v>
      </c>
      <c r="J1865" s="27" t="n">
        <v>121.618693</v>
      </c>
      <c r="K1865" s="10" t="inlineStr">
        <is>
          <t>R</t>
        </is>
      </c>
      <c r="L1865" s="12" t="n">
        <v>1830</v>
      </c>
      <c r="M1865" s="14" t="n">
        <v>3.9</v>
      </c>
      <c r="N1865" s="12">
        <f>ROUND(L1865/M1865, 0)</f>
        <v/>
      </c>
      <c r="O1865" s="12">
        <f>ROUND(N1865*'Methodology &amp; Assumptions'!$B$5, 0)</f>
        <v/>
      </c>
      <c r="P1865" s="10" t="inlineStr">
        <is>
          <t>Single Carrier (Band n50, 100MHz TDD)</t>
        </is>
      </c>
      <c r="Q1865" s="13">
        <f>ROUNDUP(O1865/'Methodology &amp; Assumptions'!$B$6, 0)</f>
        <v/>
      </c>
      <c r="R1865" s="13" t="n">
        <v>1</v>
      </c>
      <c r="S1865" s="14" t="n">
        <v>2.06</v>
      </c>
      <c r="T1865" s="14" t="n">
        <v>8.33</v>
      </c>
      <c r="U1865" s="26">
        <f>IF(X1865&gt;='Methodology &amp; Assumptions'!$B$7, "Tier 1 Critical GIDA (Score ≥ 50.0)", IF(X1865&gt;='Methodology &amp; Assumptions'!$B$8, "Tier 2 High GIDA (Score 40.0–49.9)", "Tier 3 Moderate GIDA (Score &lt; 40.0)"))</f>
        <v/>
      </c>
      <c r="V1865" s="26">
        <f>IF(S1865&lt;='Methodology &amp; Assumptions'!$B$10, "Direct Optical Drop (&lt;3km)", IF(S1865&lt;='Methodology &amp; Assumptions'!$B$9, "Near Optical / Microwave (&lt;5km)", "Starlink Business LEO Satellite Backhaul (&gt;5km)"))</f>
        <v/>
      </c>
      <c r="W1865" s="28" t="n">
        <v>0.083</v>
      </c>
      <c r="X1865" s="14" t="n">
        <v>41.61</v>
      </c>
      <c r="Y1865" s="14">
        <f>ROUND(MIN(100, (X1865/69.91)*100), 2)</f>
        <v/>
      </c>
    </row>
    <row r="1866">
      <c r="A1866" s="10" t="n">
        <v>5</v>
      </c>
      <c r="B1866" s="10" t="n">
        <v>862</v>
      </c>
      <c r="C1866" s="10" t="n">
        <v>4862</v>
      </c>
      <c r="D1866" s="10" t="inlineStr">
        <is>
          <t>1600303027</t>
        </is>
      </c>
      <c r="E1866" s="26" t="inlineStr">
        <is>
          <t>Region XIII (Caraga)</t>
        </is>
      </c>
      <c r="F1866" s="26" t="inlineStr">
        <is>
          <t>Agusan del Sur</t>
        </is>
      </c>
      <c r="G1866" s="26" t="inlineStr">
        <is>
          <t>Esperanza</t>
        </is>
      </c>
      <c r="H1866" s="26" t="inlineStr">
        <is>
          <t>Taganahaw</t>
        </is>
      </c>
      <c r="I1866" s="27" t="n">
        <v>8.695983</v>
      </c>
      <c r="J1866" s="27" t="n">
        <v>125.67239</v>
      </c>
      <c r="K1866" s="10" t="inlineStr">
        <is>
          <t>R</t>
        </is>
      </c>
      <c r="L1866" s="12" t="n">
        <v>403</v>
      </c>
      <c r="M1866" s="14" t="n">
        <v>3.9</v>
      </c>
      <c r="N1866" s="12">
        <f>ROUND(L1866/M1866, 0)</f>
        <v/>
      </c>
      <c r="O1866" s="12">
        <f>ROUND(N1866*'Methodology &amp; Assumptions'!$B$5, 0)</f>
        <v/>
      </c>
      <c r="P1866" s="10" t="inlineStr">
        <is>
          <t>Single Carrier (Band n50, 100MHz TDD)</t>
        </is>
      </c>
      <c r="Q1866" s="13">
        <f>ROUNDUP(O1866/'Methodology &amp; Assumptions'!$B$6, 0)</f>
        <v/>
      </c>
      <c r="R1866" s="13" t="n">
        <v>1</v>
      </c>
      <c r="S1866" s="14" t="n">
        <v>9.449999999999999</v>
      </c>
      <c r="T1866" s="14" t="n">
        <v>3.4</v>
      </c>
      <c r="U1866" s="26">
        <f>IF(X1866&gt;='Methodology &amp; Assumptions'!$B$7, "Tier 1 Critical GIDA (Score ≥ 50.0)", IF(X1866&gt;='Methodology &amp; Assumptions'!$B$8, "Tier 2 High GIDA (Score 40.0–49.9)", "Tier 3 Moderate GIDA (Score &lt; 40.0)"))</f>
        <v/>
      </c>
      <c r="V1866" s="26">
        <f>IF(S1866&lt;='Methodology &amp; Assumptions'!$B$10, "Direct Optical Drop (&lt;3km)", IF(S1866&lt;='Methodology &amp; Assumptions'!$B$9, "Near Optical / Microwave (&lt;5km)", "Starlink Business LEO Satellite Backhaul (&gt;5km)"))</f>
        <v/>
      </c>
      <c r="W1866" s="28" t="n">
        <v>0.174</v>
      </c>
      <c r="X1866" s="14" t="n">
        <v>41.61</v>
      </c>
      <c r="Y1866" s="14">
        <f>ROUND(MIN(100, (X1866/69.91)*100), 2)</f>
        <v/>
      </c>
    </row>
    <row r="1867">
      <c r="A1867" s="10" t="n">
        <v>5</v>
      </c>
      <c r="B1867" s="10" t="n">
        <v>863</v>
      </c>
      <c r="C1867" s="10" t="n">
        <v>4863</v>
      </c>
      <c r="D1867" s="10" t="inlineStr">
        <is>
          <t>1907002031</t>
        </is>
      </c>
      <c r="E1867" s="26" t="inlineStr">
        <is>
          <t>Bangsamoro Autonomous Region In Muslim Mindanao (BARMM)</t>
        </is>
      </c>
      <c r="F1867" s="26" t="inlineStr">
        <is>
          <t>Tawi-Tawi</t>
        </is>
      </c>
      <c r="G1867" s="26" t="inlineStr">
        <is>
          <t>Bongao</t>
        </is>
      </c>
      <c r="H1867" s="26" t="inlineStr">
        <is>
          <t>Silubog</t>
        </is>
      </c>
      <c r="I1867" s="27" t="n">
        <v>14.505248</v>
      </c>
      <c r="J1867" s="27" t="n">
        <v>121.66997</v>
      </c>
      <c r="K1867" s="10" t="inlineStr">
        <is>
          <t>R</t>
        </is>
      </c>
      <c r="L1867" s="12" t="n">
        <v>1849</v>
      </c>
      <c r="M1867" s="14" t="n">
        <v>5.8</v>
      </c>
      <c r="N1867" s="12">
        <f>ROUND(L1867/M1867, 0)</f>
        <v/>
      </c>
      <c r="O1867" s="12">
        <f>ROUND(N1867*'Methodology &amp; Assumptions'!$B$5, 0)</f>
        <v/>
      </c>
      <c r="P1867" s="10" t="inlineStr">
        <is>
          <t>Single Carrier (Band n50, 100MHz TDD)</t>
        </is>
      </c>
      <c r="Q1867" s="13">
        <f>ROUNDUP(O1867/'Methodology &amp; Assumptions'!$B$6, 0)</f>
        <v/>
      </c>
      <c r="R1867" s="13" t="n">
        <v>1</v>
      </c>
      <c r="S1867" s="14" t="n">
        <v>4.43</v>
      </c>
      <c r="T1867" s="14" t="n">
        <v>23.72</v>
      </c>
      <c r="U1867" s="26">
        <f>IF(X1867&gt;='Methodology &amp; Assumptions'!$B$7, "Tier 1 Critical GIDA (Score ≥ 50.0)", IF(X1867&gt;='Methodology &amp; Assumptions'!$B$8, "Tier 2 High GIDA (Score 40.0–49.9)", "Tier 3 Moderate GIDA (Score &lt; 40.0)"))</f>
        <v/>
      </c>
      <c r="V1867" s="26">
        <f>IF(S1867&lt;='Methodology &amp; Assumptions'!$B$10, "Direct Optical Drop (&lt;3km)", IF(S1867&lt;='Methodology &amp; Assumptions'!$B$9, "Near Optical / Microwave (&lt;5km)", "Starlink Business LEO Satellite Backhaul (&gt;5km)"))</f>
        <v/>
      </c>
      <c r="W1867" s="28" t="n">
        <v>0.11</v>
      </c>
      <c r="X1867" s="14" t="n">
        <v>41.6</v>
      </c>
      <c r="Y1867" s="14">
        <f>ROUND(MIN(100, (X1867/69.91)*100), 2)</f>
        <v/>
      </c>
    </row>
    <row r="1868">
      <c r="A1868" s="10" t="n">
        <v>5</v>
      </c>
      <c r="B1868" s="10" t="n">
        <v>864</v>
      </c>
      <c r="C1868" s="10" t="n">
        <v>4864</v>
      </c>
      <c r="D1868" s="10" t="inlineStr">
        <is>
          <t>1001311009</t>
        </is>
      </c>
      <c r="E1868" s="26" t="inlineStr">
        <is>
          <t>Region X (Northern Mindanao)</t>
        </is>
      </c>
      <c r="F1868" s="26" t="inlineStr">
        <is>
          <t>Bukidnon</t>
        </is>
      </c>
      <c r="G1868" s="26" t="inlineStr">
        <is>
          <t>Libona</t>
        </is>
      </c>
      <c r="H1868" s="26" t="inlineStr">
        <is>
          <t>Palabucan</t>
        </is>
      </c>
      <c r="I1868" s="27" t="n">
        <v>8.398904999999999</v>
      </c>
      <c r="J1868" s="27" t="n">
        <v>124.781502</v>
      </c>
      <c r="K1868" s="10" t="inlineStr">
        <is>
          <t>R</t>
        </is>
      </c>
      <c r="L1868" s="12" t="n">
        <v>1829</v>
      </c>
      <c r="M1868" s="14" t="n">
        <v>3.8</v>
      </c>
      <c r="N1868" s="12">
        <f>ROUND(L1868/M1868, 0)</f>
        <v/>
      </c>
      <c r="O1868" s="12">
        <f>ROUND(N1868*'Methodology &amp; Assumptions'!$B$5, 0)</f>
        <v/>
      </c>
      <c r="P1868" s="10" t="inlineStr">
        <is>
          <t>Single Carrier (Band n50, 100MHz TDD)</t>
        </is>
      </c>
      <c r="Q1868" s="13">
        <f>ROUNDUP(O1868/'Methodology &amp; Assumptions'!$B$6, 0)</f>
        <v/>
      </c>
      <c r="R1868" s="13" t="n">
        <v>1</v>
      </c>
      <c r="S1868" s="14" t="n">
        <v>6.15</v>
      </c>
      <c r="T1868" s="14" t="n">
        <v>4.48</v>
      </c>
      <c r="U1868" s="26">
        <f>IF(X1868&gt;='Methodology &amp; Assumptions'!$B$7, "Tier 1 Critical GIDA (Score ≥ 50.0)", IF(X1868&gt;='Methodology &amp; Assumptions'!$B$8, "Tier 2 High GIDA (Score 40.0–49.9)", "Tier 3 Moderate GIDA (Score &lt; 40.0)"))</f>
        <v/>
      </c>
      <c r="V1868" s="26">
        <f>IF(S1868&lt;='Methodology &amp; Assumptions'!$B$10, "Direct Optical Drop (&lt;3km)", IF(S1868&lt;='Methodology &amp; Assumptions'!$B$9, "Near Optical / Microwave (&lt;5km)", "Starlink Business LEO Satellite Backhaul (&gt;5km)"))</f>
        <v/>
      </c>
      <c r="W1868" s="28" t="n">
        <v>0.174</v>
      </c>
      <c r="X1868" s="14" t="n">
        <v>41.6</v>
      </c>
      <c r="Y1868" s="14">
        <f>ROUND(MIN(100, (X1868/69.91)*100), 2)</f>
        <v/>
      </c>
    </row>
    <row r="1869">
      <c r="A1869" s="10" t="n">
        <v>5</v>
      </c>
      <c r="B1869" s="10" t="n">
        <v>865</v>
      </c>
      <c r="C1869" s="10" t="n">
        <v>4865</v>
      </c>
      <c r="D1869" s="10" t="inlineStr">
        <is>
          <t>PH0004865</t>
        </is>
      </c>
      <c r="E1869" s="26" t="inlineStr">
        <is>
          <t>IX</t>
        </is>
      </c>
      <c r="F1869" s="26" t="inlineStr">
        <is>
          <t>Zamboanga Del Sur</t>
        </is>
      </c>
      <c r="G1869" s="26" t="inlineStr">
        <is>
          <t>Zamboanga City</t>
        </is>
      </c>
      <c r="H1869" s="26" t="inlineStr">
        <is>
          <t>Barangay Zone IV (Pob.)</t>
        </is>
      </c>
      <c r="I1869" s="27" t="n">
        <v>7.086416</v>
      </c>
      <c r="J1869" s="27" t="n">
        <v>122.134741</v>
      </c>
      <c r="K1869" s="10" t="inlineStr">
        <is>
          <t>R</t>
        </is>
      </c>
      <c r="L1869" s="12" t="n">
        <v>2305</v>
      </c>
      <c r="M1869" s="14" t="n">
        <v>3.9</v>
      </c>
      <c r="N1869" s="12">
        <f>ROUND(L1869/M1869, 0)</f>
        <v/>
      </c>
      <c r="O1869" s="12">
        <f>ROUND(N1869*'Methodology &amp; Assumptions'!$B$5, 0)</f>
        <v/>
      </c>
      <c r="P1869" s="10" t="inlineStr">
        <is>
          <t>Single Carrier (Band n50, 100MHz TDD)</t>
        </is>
      </c>
      <c r="Q1869" s="13">
        <f>ROUNDUP(O1869/'Methodology &amp; Assumptions'!$B$6, 0)</f>
        <v/>
      </c>
      <c r="R1869" s="13" t="n">
        <v>1</v>
      </c>
      <c r="S1869" s="14" t="n">
        <v>20.7</v>
      </c>
      <c r="T1869" s="14" t="n">
        <v>7.4</v>
      </c>
      <c r="U1869" s="26">
        <f>IF(X1869&gt;='Methodology &amp; Assumptions'!$B$7, "Tier 1 Critical GIDA (Score ≥ 50.0)", IF(X1869&gt;='Methodology &amp; Assumptions'!$B$8, "Tier 2 High GIDA (Score 40.0–49.9)", "Tier 3 Moderate GIDA (Score &lt; 40.0)"))</f>
        <v/>
      </c>
      <c r="V1869" s="26">
        <f>IF(S1869&lt;='Methodology &amp; Assumptions'!$B$10, "Direct Optical Drop (&lt;3km)", IF(S1869&lt;='Methodology &amp; Assumptions'!$B$9, "Near Optical / Microwave (&lt;5km)", "Starlink Business LEO Satellite Backhaul (&gt;5km)"))</f>
        <v/>
      </c>
      <c r="W1869" s="28" t="n">
        <v>0.234</v>
      </c>
      <c r="X1869" s="14" t="n">
        <v>41.6</v>
      </c>
      <c r="Y1869" s="14">
        <f>ROUND(MIN(100, (X1869/69.91)*100), 2)</f>
        <v/>
      </c>
    </row>
    <row r="1870">
      <c r="A1870" s="10" t="n">
        <v>5</v>
      </c>
      <c r="B1870" s="10" t="n">
        <v>866</v>
      </c>
      <c r="C1870" s="10" t="n">
        <v>4866</v>
      </c>
      <c r="D1870" s="10" t="inlineStr">
        <is>
          <t>1606710005</t>
        </is>
      </c>
      <c r="E1870" s="26" t="inlineStr">
        <is>
          <t>Region XIII (Caraga)</t>
        </is>
      </c>
      <c r="F1870" s="26" t="inlineStr">
        <is>
          <t>Surigao del Norte</t>
        </is>
      </c>
      <c r="G1870" s="26" t="inlineStr">
        <is>
          <t>General Luna</t>
        </is>
      </c>
      <c r="H1870" s="26" t="inlineStr">
        <is>
          <t>Corazon</t>
        </is>
      </c>
      <c r="I1870" s="27" t="n">
        <v>9.814348000000001</v>
      </c>
      <c r="J1870" s="27" t="n">
        <v>126.107132</v>
      </c>
      <c r="K1870" s="10" t="inlineStr">
        <is>
          <t>R</t>
        </is>
      </c>
      <c r="L1870" s="12" t="n">
        <v>500</v>
      </c>
      <c r="M1870" s="14" t="n">
        <v>4.1</v>
      </c>
      <c r="N1870" s="12">
        <f>ROUND(L1870/M1870, 0)</f>
        <v/>
      </c>
      <c r="O1870" s="12">
        <f>ROUND(N1870*'Methodology &amp; Assumptions'!$B$5, 0)</f>
        <v/>
      </c>
      <c r="P1870" s="10" t="inlineStr">
        <is>
          <t>Single Carrier (Band n50, 100MHz TDD)</t>
        </is>
      </c>
      <c r="Q1870" s="13">
        <f>ROUNDUP(O1870/'Methodology &amp; Assumptions'!$B$6, 0)</f>
        <v/>
      </c>
      <c r="R1870" s="13" t="n">
        <v>1</v>
      </c>
      <c r="S1870" s="14" t="n">
        <v>52.59</v>
      </c>
      <c r="T1870" s="14" t="n">
        <v>41.25</v>
      </c>
      <c r="U1870" s="26">
        <f>IF(X1870&gt;='Methodology &amp; Assumptions'!$B$7, "Tier 1 Critical GIDA (Score ≥ 50.0)", IF(X1870&gt;='Methodology &amp; Assumptions'!$B$8, "Tier 2 High GIDA (Score 40.0–49.9)", "Tier 3 Moderate GIDA (Score &lt; 40.0)"))</f>
        <v/>
      </c>
      <c r="V1870" s="26">
        <f>IF(S1870&lt;='Methodology &amp; Assumptions'!$B$10, "Direct Optical Drop (&lt;3km)", IF(S1870&lt;='Methodology &amp; Assumptions'!$B$9, "Near Optical / Microwave (&lt;5km)", "Starlink Business LEO Satellite Backhaul (&gt;5km)"))</f>
        <v/>
      </c>
      <c r="W1870" s="28" t="n">
        <v>0.174</v>
      </c>
      <c r="X1870" s="14" t="n">
        <v>41.6</v>
      </c>
      <c r="Y1870" s="14">
        <f>ROUND(MIN(100, (X1870/69.91)*100), 2)</f>
        <v/>
      </c>
    </row>
    <row r="1871">
      <c r="A1871" s="10" t="n">
        <v>5</v>
      </c>
      <c r="B1871" s="10" t="n">
        <v>867</v>
      </c>
      <c r="C1871" s="10" t="n">
        <v>4867</v>
      </c>
      <c r="D1871" s="10" t="inlineStr">
        <is>
          <t>PH0004867</t>
        </is>
      </c>
      <c r="E1871" s="26" t="inlineStr">
        <is>
          <t>I</t>
        </is>
      </c>
      <c r="F1871" s="26" t="inlineStr">
        <is>
          <t>Pangasinan</t>
        </is>
      </c>
      <c r="G1871" s="26" t="inlineStr">
        <is>
          <t>San Carlos City</t>
        </is>
      </c>
      <c r="H1871" s="26" t="inlineStr">
        <is>
          <t>Burgos Padlan (Pob.)</t>
        </is>
      </c>
      <c r="I1871" s="27" t="n">
        <v>15.909737</v>
      </c>
      <c r="J1871" s="27" t="n">
        <v>120.333252</v>
      </c>
      <c r="K1871" s="10" t="inlineStr">
        <is>
          <t>R</t>
        </is>
      </c>
      <c r="L1871" s="12" t="n">
        <v>2218</v>
      </c>
      <c r="M1871" s="14" t="n">
        <v>3.6</v>
      </c>
      <c r="N1871" s="12">
        <f>ROUND(L1871/M1871, 0)</f>
        <v/>
      </c>
      <c r="O1871" s="12">
        <f>ROUND(N1871*'Methodology &amp; Assumptions'!$B$5, 0)</f>
        <v/>
      </c>
      <c r="P1871" s="10" t="inlineStr">
        <is>
          <t>Single Carrier (Band n50, 100MHz TDD)</t>
        </is>
      </c>
      <c r="Q1871" s="13">
        <f>ROUNDUP(O1871/'Methodology &amp; Assumptions'!$B$6, 0)</f>
        <v/>
      </c>
      <c r="R1871" s="13" t="n">
        <v>1</v>
      </c>
      <c r="S1871" s="14" t="n">
        <v>2.59</v>
      </c>
      <c r="T1871" s="14" t="n">
        <v>2.39</v>
      </c>
      <c r="U1871" s="26">
        <f>IF(X1871&gt;='Methodology &amp; Assumptions'!$B$7, "Tier 1 Critical GIDA (Score ≥ 50.0)", IF(X1871&gt;='Methodology &amp; Assumptions'!$B$8, "Tier 2 High GIDA (Score 40.0–49.9)", "Tier 3 Moderate GIDA (Score &lt; 40.0)"))</f>
        <v/>
      </c>
      <c r="V1871" s="26">
        <f>IF(S1871&lt;='Methodology &amp; Assumptions'!$B$10, "Direct Optical Drop (&lt;3km)", IF(S1871&lt;='Methodology &amp; Assumptions'!$B$9, "Near Optical / Microwave (&lt;5km)", "Starlink Business LEO Satellite Backhaul (&gt;5km)"))</f>
        <v/>
      </c>
      <c r="W1871" s="28" t="n">
        <v>0.083</v>
      </c>
      <c r="X1871" s="14" t="n">
        <v>41.6</v>
      </c>
      <c r="Y1871" s="14">
        <f>ROUND(MIN(100, (X1871/69.91)*100), 2)</f>
        <v/>
      </c>
    </row>
    <row r="1872">
      <c r="A1872" s="10" t="n">
        <v>5</v>
      </c>
      <c r="B1872" s="10" t="n">
        <v>868</v>
      </c>
      <c r="C1872" s="10" t="n">
        <v>4868</v>
      </c>
      <c r="D1872" s="10" t="inlineStr">
        <is>
          <t>0506207022</t>
        </is>
      </c>
      <c r="E1872" s="26" t="inlineStr">
        <is>
          <t>Region V (Bicol Region)</t>
        </is>
      </c>
      <c r="F1872" s="26" t="inlineStr">
        <is>
          <t>Sorsogon</t>
        </is>
      </c>
      <c r="G1872" s="26" t="inlineStr">
        <is>
          <t>Donsol</t>
        </is>
      </c>
      <c r="H1872" s="26" t="inlineStr">
        <is>
          <t>Malinao</t>
        </is>
      </c>
      <c r="I1872" s="27" t="n">
        <v>12.977461</v>
      </c>
      <c r="J1872" s="27" t="n">
        <v>123.542546</v>
      </c>
      <c r="K1872" s="10" t="inlineStr">
        <is>
          <t>R</t>
        </is>
      </c>
      <c r="L1872" s="12" t="n">
        <v>284</v>
      </c>
      <c r="M1872" s="14" t="n">
        <v>4</v>
      </c>
      <c r="N1872" s="12">
        <f>ROUND(L1872/M1872, 0)</f>
        <v/>
      </c>
      <c r="O1872" s="12">
        <f>ROUND(N1872*'Methodology &amp; Assumptions'!$B$5, 0)</f>
        <v/>
      </c>
      <c r="P1872" s="10" t="inlineStr">
        <is>
          <t>Single Carrier (Band n50, 100MHz TDD)</t>
        </is>
      </c>
      <c r="Q1872" s="13">
        <f>ROUNDUP(O1872/'Methodology &amp; Assumptions'!$B$6, 0)</f>
        <v/>
      </c>
      <c r="R1872" s="13" t="n">
        <v>1</v>
      </c>
      <c r="S1872" s="14" t="n">
        <v>9.77</v>
      </c>
      <c r="T1872" s="14" t="n">
        <v>19.2</v>
      </c>
      <c r="U1872" s="26">
        <f>IF(X1872&gt;='Methodology &amp; Assumptions'!$B$7, "Tier 1 Critical GIDA (Score ≥ 50.0)", IF(X1872&gt;='Methodology &amp; Assumptions'!$B$8, "Tier 2 High GIDA (Score 40.0–49.9)", "Tier 3 Moderate GIDA (Score &lt; 40.0)"))</f>
        <v/>
      </c>
      <c r="V1872" s="26">
        <f>IF(S1872&lt;='Methodology &amp; Assumptions'!$B$10, "Direct Optical Drop (&lt;3km)", IF(S1872&lt;='Methodology &amp; Assumptions'!$B$9, "Near Optical / Microwave (&lt;5km)", "Starlink Business LEO Satellite Backhaul (&gt;5km)"))</f>
        <v/>
      </c>
      <c r="W1872" s="28" t="n">
        <v>0.237</v>
      </c>
      <c r="X1872" s="14" t="n">
        <v>41.59</v>
      </c>
      <c r="Y1872" s="14">
        <f>ROUND(MIN(100, (X1872/69.91)*100), 2)</f>
        <v/>
      </c>
    </row>
    <row r="1873">
      <c r="A1873" s="10" t="n">
        <v>5</v>
      </c>
      <c r="B1873" s="10" t="n">
        <v>869</v>
      </c>
      <c r="C1873" s="10" t="n">
        <v>4869</v>
      </c>
      <c r="D1873" s="10" t="inlineStr">
        <is>
          <t>0706101011</t>
        </is>
      </c>
      <c r="E1873" s="26" t="inlineStr">
        <is>
          <t>Region VII (Central Visayas)</t>
        </is>
      </c>
      <c r="F1873" s="26" t="inlineStr">
        <is>
          <t>Siquijor</t>
        </is>
      </c>
      <c r="G1873" s="26" t="inlineStr">
        <is>
          <t>Enrique Villanueva</t>
        </is>
      </c>
      <c r="H1873" s="26" t="inlineStr">
        <is>
          <t>Olave</t>
        </is>
      </c>
      <c r="I1873" s="27" t="n">
        <v>9.26638</v>
      </c>
      <c r="J1873" s="27" t="n">
        <v>123.644447</v>
      </c>
      <c r="K1873" s="10" t="inlineStr">
        <is>
          <t>R</t>
        </is>
      </c>
      <c r="L1873" s="12" t="n">
        <v>217</v>
      </c>
      <c r="M1873" s="14" t="n">
        <v>3.9</v>
      </c>
      <c r="N1873" s="12">
        <f>ROUND(L1873/M1873, 0)</f>
        <v/>
      </c>
      <c r="O1873" s="12">
        <f>ROUND(N1873*'Methodology &amp; Assumptions'!$B$5, 0)</f>
        <v/>
      </c>
      <c r="P1873" s="10" t="inlineStr">
        <is>
          <t>Single Carrier (Band n50, 100MHz TDD)</t>
        </is>
      </c>
      <c r="Q1873" s="13">
        <f>ROUNDUP(O1873/'Methodology &amp; Assumptions'!$B$6, 0)</f>
        <v/>
      </c>
      <c r="R1873" s="13" t="n">
        <v>1</v>
      </c>
      <c r="S1873" s="14" t="n">
        <v>36.6</v>
      </c>
      <c r="T1873" s="14" t="n">
        <v>25.96</v>
      </c>
      <c r="U1873" s="26">
        <f>IF(X1873&gt;='Methodology &amp; Assumptions'!$B$7, "Tier 1 Critical GIDA (Score ≥ 50.0)", IF(X1873&gt;='Methodology &amp; Assumptions'!$B$8, "Tier 2 High GIDA (Score 40.0–49.9)", "Tier 3 Moderate GIDA (Score &lt; 40.0)"))</f>
        <v/>
      </c>
      <c r="V1873" s="26">
        <f>IF(S1873&lt;='Methodology &amp; Assumptions'!$B$10, "Direct Optical Drop (&lt;3km)", IF(S1873&lt;='Methodology &amp; Assumptions'!$B$9, "Near Optical / Microwave (&lt;5km)", "Starlink Business LEO Satellite Backhaul (&gt;5km)"))</f>
        <v/>
      </c>
      <c r="W1873" s="28" t="n">
        <v>0.237</v>
      </c>
      <c r="X1873" s="14" t="n">
        <v>41.59</v>
      </c>
      <c r="Y1873" s="14">
        <f>ROUND(MIN(100, (X1873/69.91)*100), 2)</f>
        <v/>
      </c>
    </row>
    <row r="1874">
      <c r="A1874" s="10" t="n">
        <v>5</v>
      </c>
      <c r="B1874" s="10" t="n">
        <v>870</v>
      </c>
      <c r="C1874" s="10" t="n">
        <v>4870</v>
      </c>
      <c r="D1874" s="10" t="inlineStr">
        <is>
          <t>0804824008</t>
        </is>
      </c>
      <c r="E1874" s="26" t="inlineStr">
        <is>
          <t>Region VIII (Eastern Visayas)</t>
        </is>
      </c>
      <c r="F1874" s="26" t="inlineStr">
        <is>
          <t>Northern Samar</t>
        </is>
      </c>
      <c r="G1874" s="26" t="inlineStr">
        <is>
          <t>Lope De Vega</t>
        </is>
      </c>
      <c r="H1874" s="26" t="inlineStr">
        <is>
          <t>Getigo</t>
        </is>
      </c>
      <c r="I1874" s="27" t="n">
        <v>12.274754</v>
      </c>
      <c r="J1874" s="27" t="n">
        <v>124.611212</v>
      </c>
      <c r="K1874" s="10" t="inlineStr">
        <is>
          <t>R</t>
        </is>
      </c>
      <c r="L1874" s="12" t="n">
        <v>932</v>
      </c>
      <c r="M1874" s="14" t="n">
        <v>4.3</v>
      </c>
      <c r="N1874" s="12">
        <f>ROUND(L1874/M1874, 0)</f>
        <v/>
      </c>
      <c r="O1874" s="12">
        <f>ROUND(N1874*'Methodology &amp; Assumptions'!$B$5, 0)</f>
        <v/>
      </c>
      <c r="P1874" s="10" t="inlineStr">
        <is>
          <t>Single Carrier (Band n50, 100MHz TDD)</t>
        </is>
      </c>
      <c r="Q1874" s="13">
        <f>ROUNDUP(O1874/'Methodology &amp; Assumptions'!$B$6, 0)</f>
        <v/>
      </c>
      <c r="R1874" s="13" t="n">
        <v>1</v>
      </c>
      <c r="S1874" s="14" t="n">
        <v>67.14</v>
      </c>
      <c r="T1874" s="14" t="n">
        <v>67.13</v>
      </c>
      <c r="U1874" s="26">
        <f>IF(X1874&gt;='Methodology &amp; Assumptions'!$B$7, "Tier 1 Critical GIDA (Score ≥ 50.0)", IF(X1874&gt;='Methodology &amp; Assumptions'!$B$8, "Tier 2 High GIDA (Score 40.0–49.9)", "Tier 3 Moderate GIDA (Score &lt; 40.0)"))</f>
        <v/>
      </c>
      <c r="V1874" s="26">
        <f>IF(S1874&lt;='Methodology &amp; Assumptions'!$B$10, "Direct Optical Drop (&lt;3km)", IF(S1874&lt;='Methodology &amp; Assumptions'!$B$9, "Near Optical / Microwave (&lt;5km)", "Starlink Business LEO Satellite Backhaul (&gt;5km)"))</f>
        <v/>
      </c>
      <c r="W1874" s="28" t="n">
        <v>0.237</v>
      </c>
      <c r="X1874" s="14" t="n">
        <v>41.59</v>
      </c>
      <c r="Y1874" s="14">
        <f>ROUND(MIN(100, (X1874/69.91)*100), 2)</f>
        <v/>
      </c>
    </row>
    <row r="1875">
      <c r="A1875" s="10" t="n">
        <v>5</v>
      </c>
      <c r="B1875" s="10" t="n">
        <v>871</v>
      </c>
      <c r="C1875" s="10" t="n">
        <v>4871</v>
      </c>
      <c r="D1875" s="10" t="inlineStr">
        <is>
          <t>PH0004871</t>
        </is>
      </c>
      <c r="E1875" s="26" t="inlineStr">
        <is>
          <t>XIII</t>
        </is>
      </c>
      <c r="F1875" s="26" t="inlineStr">
        <is>
          <t>Agusan Del Norte</t>
        </is>
      </c>
      <c r="G1875" s="26" t="inlineStr">
        <is>
          <t>Butuan City</t>
        </is>
      </c>
      <c r="H1875" s="26" t="inlineStr">
        <is>
          <t>Urduja Pob.</t>
        </is>
      </c>
      <c r="I1875" s="27" t="n">
        <v>11.183769</v>
      </c>
      <c r="J1875" s="27" t="n">
        <v>124.660762</v>
      </c>
      <c r="K1875" s="10" t="inlineStr">
        <is>
          <t>R</t>
        </is>
      </c>
      <c r="L1875" s="12" t="n">
        <v>2294</v>
      </c>
      <c r="M1875" s="14" t="n">
        <v>4.1</v>
      </c>
      <c r="N1875" s="12">
        <f>ROUND(L1875/M1875, 0)</f>
        <v/>
      </c>
      <c r="O1875" s="12">
        <f>ROUND(N1875*'Methodology &amp; Assumptions'!$B$5, 0)</f>
        <v/>
      </c>
      <c r="P1875" s="10" t="inlineStr">
        <is>
          <t>Single Carrier (Band n50, 100MHz TDD)</t>
        </is>
      </c>
      <c r="Q1875" s="13">
        <f>ROUNDUP(O1875/'Methodology &amp; Assumptions'!$B$6, 0)</f>
        <v/>
      </c>
      <c r="R1875" s="13" t="n">
        <v>1</v>
      </c>
      <c r="S1875" s="14" t="n">
        <v>10.84</v>
      </c>
      <c r="T1875" s="14" t="n">
        <v>10.3</v>
      </c>
      <c r="U1875" s="26">
        <f>IF(X1875&gt;='Methodology &amp; Assumptions'!$B$7, "Tier 1 Critical GIDA (Score ≥ 50.0)", IF(X1875&gt;='Methodology &amp; Assumptions'!$B$8, "Tier 2 High GIDA (Score 40.0–49.9)", "Tier 3 Moderate GIDA (Score &lt; 40.0)"))</f>
        <v/>
      </c>
      <c r="V1875" s="26">
        <f>IF(S1875&lt;='Methodology &amp; Assumptions'!$B$10, "Direct Optical Drop (&lt;3km)", IF(S1875&lt;='Methodology &amp; Assumptions'!$B$9, "Near Optical / Microwave (&lt;5km)", "Starlink Business LEO Satellite Backhaul (&gt;5km)"))</f>
        <v/>
      </c>
      <c r="W1875" s="28" t="n">
        <v>0.109</v>
      </c>
      <c r="X1875" s="14" t="n">
        <v>41.59</v>
      </c>
      <c r="Y1875" s="14">
        <f>ROUND(MIN(100, (X1875/69.91)*100), 2)</f>
        <v/>
      </c>
    </row>
    <row r="1876">
      <c r="A1876" s="10" t="n">
        <v>5</v>
      </c>
      <c r="B1876" s="10" t="n">
        <v>872</v>
      </c>
      <c r="C1876" s="10" t="n">
        <v>4872</v>
      </c>
      <c r="D1876" s="10" t="inlineStr">
        <is>
          <t>0803728034</t>
        </is>
      </c>
      <c r="E1876" s="26" t="inlineStr">
        <is>
          <t>Region VIII (Eastern Visayas)</t>
        </is>
      </c>
      <c r="F1876" s="26" t="inlineStr">
        <is>
          <t>Leyte</t>
        </is>
      </c>
      <c r="G1876" s="26" t="inlineStr">
        <is>
          <t>La Paz</t>
        </is>
      </c>
      <c r="H1876" s="26" t="inlineStr">
        <is>
          <t>Tabang</t>
        </is>
      </c>
      <c r="I1876" s="27" t="n">
        <v>10.902077</v>
      </c>
      <c r="J1876" s="27" t="n">
        <v>124.923171</v>
      </c>
      <c r="K1876" s="10" t="inlineStr">
        <is>
          <t>R</t>
        </is>
      </c>
      <c r="L1876" s="12" t="n">
        <v>75</v>
      </c>
      <c r="M1876" s="14" t="n">
        <v>3.8</v>
      </c>
      <c r="N1876" s="12">
        <f>ROUND(L1876/M1876, 0)</f>
        <v/>
      </c>
      <c r="O1876" s="12">
        <f>ROUND(N1876*'Methodology &amp; Assumptions'!$B$5, 0)</f>
        <v/>
      </c>
      <c r="P1876" s="10" t="inlineStr">
        <is>
          <t>Single Carrier (Band n50, 100MHz TDD)</t>
        </is>
      </c>
      <c r="Q1876" s="13">
        <f>ROUNDUP(O1876/'Methodology &amp; Assumptions'!$B$6, 0)</f>
        <v/>
      </c>
      <c r="R1876" s="13" t="n">
        <v>1</v>
      </c>
      <c r="S1876" s="14" t="n">
        <v>23.45</v>
      </c>
      <c r="T1876" s="14" t="n">
        <v>8.48</v>
      </c>
      <c r="U1876" s="26">
        <f>IF(X1876&gt;='Methodology &amp; Assumptions'!$B$7, "Tier 1 Critical GIDA (Score ≥ 50.0)", IF(X1876&gt;='Methodology &amp; Assumptions'!$B$8, "Tier 2 High GIDA (Score 40.0–49.9)", "Tier 3 Moderate GIDA (Score &lt; 40.0)"))</f>
        <v/>
      </c>
      <c r="V1876" s="26">
        <f>IF(S1876&lt;='Methodology &amp; Assumptions'!$B$10, "Direct Optical Drop (&lt;3km)", IF(S1876&lt;='Methodology &amp; Assumptions'!$B$9, "Near Optical / Microwave (&lt;5km)", "Starlink Business LEO Satellite Backhaul (&gt;5km)"))</f>
        <v/>
      </c>
      <c r="W1876" s="28" t="n">
        <v>0.237</v>
      </c>
      <c r="X1876" s="14" t="n">
        <v>41.59</v>
      </c>
      <c r="Y1876" s="14">
        <f>ROUND(MIN(100, (X1876/69.91)*100), 2)</f>
        <v/>
      </c>
    </row>
    <row r="1877">
      <c r="A1877" s="10" t="n">
        <v>5</v>
      </c>
      <c r="B1877" s="10" t="n">
        <v>873</v>
      </c>
      <c r="C1877" s="10" t="n">
        <v>4873</v>
      </c>
      <c r="D1877" s="10" t="inlineStr">
        <is>
          <t>PH0004873</t>
        </is>
      </c>
      <c r="E1877" s="26" t="inlineStr">
        <is>
          <t>NIR</t>
        </is>
      </c>
      <c r="F1877" s="26" t="inlineStr">
        <is>
          <t>Negros Oriental</t>
        </is>
      </c>
      <c r="G1877" s="26" t="inlineStr">
        <is>
          <t>Dumaguete City</t>
        </is>
      </c>
      <c r="H1877" s="26" t="inlineStr">
        <is>
          <t>Poblacion No. 5</t>
        </is>
      </c>
      <c r="I1877" s="27" t="n">
        <v>9.310404</v>
      </c>
      <c r="J1877" s="27" t="n">
        <v>123.295923</v>
      </c>
      <c r="K1877" s="10" t="inlineStr">
        <is>
          <t>R</t>
        </is>
      </c>
      <c r="L1877" s="12" t="n">
        <v>2279</v>
      </c>
      <c r="M1877" s="14" t="n">
        <v>3.8</v>
      </c>
      <c r="N1877" s="12">
        <f>ROUND(L1877/M1877, 0)</f>
        <v/>
      </c>
      <c r="O1877" s="12">
        <f>ROUND(N1877*'Methodology &amp; Assumptions'!$B$5, 0)</f>
        <v/>
      </c>
      <c r="P1877" s="10" t="inlineStr">
        <is>
          <t>Single Carrier (Band n50, 100MHz TDD)</t>
        </is>
      </c>
      <c r="Q1877" s="13">
        <f>ROUNDUP(O1877/'Methodology &amp; Assumptions'!$B$6, 0)</f>
        <v/>
      </c>
      <c r="R1877" s="13" t="n">
        <v>1</v>
      </c>
      <c r="S1877" s="14" t="n">
        <v>1.05</v>
      </c>
      <c r="T1877" s="14" t="n">
        <v>0.9</v>
      </c>
      <c r="U1877" s="26">
        <f>IF(X1877&gt;='Methodology &amp; Assumptions'!$B$7, "Tier 1 Critical GIDA (Score ≥ 50.0)", IF(X1877&gt;='Methodology &amp; Assumptions'!$B$8, "Tier 2 High GIDA (Score 40.0–49.9)", "Tier 3 Moderate GIDA (Score &lt; 40.0)"))</f>
        <v/>
      </c>
      <c r="V1877" s="26">
        <f>IF(S1877&lt;='Methodology &amp; Assumptions'!$B$10, "Direct Optical Drop (&lt;3km)", IF(S1877&lt;='Methodology &amp; Assumptions'!$B$9, "Near Optical / Microwave (&lt;5km)", "Starlink Business LEO Satellite Backhaul (&gt;5km)"))</f>
        <v/>
      </c>
      <c r="W1877" s="28" t="n">
        <v>0.109</v>
      </c>
      <c r="X1877" s="14" t="n">
        <v>41.59</v>
      </c>
      <c r="Y1877" s="14">
        <f>ROUND(MIN(100, (X1877/69.91)*100), 2)</f>
        <v/>
      </c>
    </row>
    <row r="1878">
      <c r="A1878" s="10" t="n">
        <v>5</v>
      </c>
      <c r="B1878" s="10" t="n">
        <v>874</v>
      </c>
      <c r="C1878" s="10" t="n">
        <v>4874</v>
      </c>
      <c r="D1878" s="10" t="inlineStr">
        <is>
          <t>0201510023</t>
        </is>
      </c>
      <c r="E1878" s="26" t="inlineStr">
        <is>
          <t>Region II (Cagayan Valley)</t>
        </is>
      </c>
      <c r="F1878" s="26" t="inlineStr">
        <is>
          <t>Cagayan</t>
        </is>
      </c>
      <c r="G1878" s="26" t="inlineStr">
        <is>
          <t>Camalaniugan</t>
        </is>
      </c>
      <c r="H1878" s="26" t="inlineStr">
        <is>
          <t>Tagum</t>
        </is>
      </c>
      <c r="I1878" s="27" t="n">
        <v>18.266256</v>
      </c>
      <c r="J1878" s="27" t="n">
        <v>121.692214</v>
      </c>
      <c r="K1878" s="10" t="inlineStr">
        <is>
          <t>R</t>
        </is>
      </c>
      <c r="L1878" s="12" t="n">
        <v>233</v>
      </c>
      <c r="M1878" s="14" t="n">
        <v>3.9</v>
      </c>
      <c r="N1878" s="12">
        <f>ROUND(L1878/M1878, 0)</f>
        <v/>
      </c>
      <c r="O1878" s="12">
        <f>ROUND(N1878*'Methodology &amp; Assumptions'!$B$5, 0)</f>
        <v/>
      </c>
      <c r="P1878" s="10" t="inlineStr">
        <is>
          <t>Single Carrier (Band n50, 100MHz TDD)</t>
        </is>
      </c>
      <c r="Q1878" s="13">
        <f>ROUNDUP(O1878/'Methodology &amp; Assumptions'!$B$6, 0)</f>
        <v/>
      </c>
      <c r="R1878" s="13" t="n">
        <v>1</v>
      </c>
      <c r="S1878" s="14" t="n">
        <v>0.74</v>
      </c>
      <c r="T1878" s="14" t="n">
        <v>0.65</v>
      </c>
      <c r="U1878" s="26">
        <f>IF(X1878&gt;='Methodology &amp; Assumptions'!$B$7, "Tier 1 Critical GIDA (Score ≥ 50.0)", IF(X1878&gt;='Methodology &amp; Assumptions'!$B$8, "Tier 2 High GIDA (Score 40.0–49.9)", "Tier 3 Moderate GIDA (Score &lt; 40.0)"))</f>
        <v/>
      </c>
      <c r="V1878" s="26">
        <f>IF(S1878&lt;='Methodology &amp; Assumptions'!$B$10, "Direct Optical Drop (&lt;3km)", IF(S1878&lt;='Methodology &amp; Assumptions'!$B$9, "Near Optical / Microwave (&lt;5km)", "Starlink Business LEO Satellite Backhaul (&gt;5km)"))</f>
        <v/>
      </c>
      <c r="W1878" s="28" t="n">
        <v>0.083</v>
      </c>
      <c r="X1878" s="14" t="n">
        <v>41.58</v>
      </c>
      <c r="Y1878" s="14">
        <f>ROUND(MIN(100, (X1878/69.91)*100), 2)</f>
        <v/>
      </c>
    </row>
    <row r="1879">
      <c r="A1879" s="10" t="n">
        <v>5</v>
      </c>
      <c r="B1879" s="10" t="n">
        <v>875</v>
      </c>
      <c r="C1879" s="10" t="n">
        <v>4875</v>
      </c>
      <c r="D1879" s="10" t="inlineStr">
        <is>
          <t>0205008003</t>
        </is>
      </c>
      <c r="E1879" s="26" t="inlineStr">
        <is>
          <t>Region II (Cagayan Valley)</t>
        </is>
      </c>
      <c r="F1879" s="26" t="inlineStr">
        <is>
          <t>Nueva Vizcaya</t>
        </is>
      </c>
      <c r="G1879" s="26" t="inlineStr">
        <is>
          <t>Dupax del Sur</t>
        </is>
      </c>
      <c r="H1879" s="26" t="inlineStr">
        <is>
          <t>Banila</t>
        </is>
      </c>
      <c r="I1879" s="27" t="n">
        <v>16.20724</v>
      </c>
      <c r="J1879" s="27" t="n">
        <v>121.09724</v>
      </c>
      <c r="K1879" s="10" t="inlineStr">
        <is>
          <t>R</t>
        </is>
      </c>
      <c r="L1879" s="12" t="n">
        <v>915</v>
      </c>
      <c r="M1879" s="14" t="n">
        <v>3.8</v>
      </c>
      <c r="N1879" s="12">
        <f>ROUND(L1879/M1879, 0)</f>
        <v/>
      </c>
      <c r="O1879" s="12">
        <f>ROUND(N1879*'Methodology &amp; Assumptions'!$B$5, 0)</f>
        <v/>
      </c>
      <c r="P1879" s="10" t="inlineStr">
        <is>
          <t>Single Carrier (Band n50, 100MHz TDD)</t>
        </is>
      </c>
      <c r="Q1879" s="13">
        <f>ROUNDUP(O1879/'Methodology &amp; Assumptions'!$B$6, 0)</f>
        <v/>
      </c>
      <c r="R1879" s="13" t="n">
        <v>1</v>
      </c>
      <c r="S1879" s="14" t="n">
        <v>10.01</v>
      </c>
      <c r="T1879" s="14" t="n">
        <v>10.92</v>
      </c>
      <c r="U1879" s="26">
        <f>IF(X1879&gt;='Methodology &amp; Assumptions'!$B$7, "Tier 1 Critical GIDA (Score ≥ 50.0)", IF(X1879&gt;='Methodology &amp; Assumptions'!$B$8, "Tier 2 High GIDA (Score 40.0–49.9)", "Tier 3 Moderate GIDA (Score &lt; 40.0)"))</f>
        <v/>
      </c>
      <c r="V1879" s="26">
        <f>IF(S1879&lt;='Methodology &amp; Assumptions'!$B$10, "Direct Optical Drop (&lt;3km)", IF(S1879&lt;='Methodology &amp; Assumptions'!$B$9, "Near Optical / Microwave (&lt;5km)", "Starlink Business LEO Satellite Backhaul (&gt;5km)"))</f>
        <v/>
      </c>
      <c r="W1879" s="28" t="n">
        <v>0.083</v>
      </c>
      <c r="X1879" s="14" t="n">
        <v>41.58</v>
      </c>
      <c r="Y1879" s="14">
        <f>ROUND(MIN(100, (X1879/69.91)*100), 2)</f>
        <v/>
      </c>
    </row>
    <row r="1880">
      <c r="A1880" s="10" t="n">
        <v>5</v>
      </c>
      <c r="B1880" s="10" t="n">
        <v>876</v>
      </c>
      <c r="C1880" s="10" t="n">
        <v>4876</v>
      </c>
      <c r="D1880" s="10" t="inlineStr">
        <is>
          <t>0907303006</t>
        </is>
      </c>
      <c r="E1880" s="26" t="inlineStr">
        <is>
          <t>Region IX (Zamboanga Peninsula)</t>
        </is>
      </c>
      <c r="F1880" s="26" t="inlineStr">
        <is>
          <t>Zamboanga del Sur</t>
        </is>
      </c>
      <c r="G1880" s="26" t="inlineStr">
        <is>
          <t>Bayog</t>
        </is>
      </c>
      <c r="H1880" s="26" t="inlineStr">
        <is>
          <t>Camp Blessing</t>
        </is>
      </c>
      <c r="I1880" s="27" t="n">
        <v>7.884762</v>
      </c>
      <c r="J1880" s="27" t="n">
        <v>123.068339</v>
      </c>
      <c r="K1880" s="10" t="inlineStr">
        <is>
          <t>R</t>
        </is>
      </c>
      <c r="L1880" s="12" t="n">
        <v>482</v>
      </c>
      <c r="M1880" s="14" t="n">
        <v>3.9</v>
      </c>
      <c r="N1880" s="12">
        <f>ROUND(L1880/M1880, 0)</f>
        <v/>
      </c>
      <c r="O1880" s="12">
        <f>ROUND(N1880*'Methodology &amp; Assumptions'!$B$5, 0)</f>
        <v/>
      </c>
      <c r="P1880" s="10" t="inlineStr">
        <is>
          <t>Single Carrier (Band n50, 100MHz TDD)</t>
        </is>
      </c>
      <c r="Q1880" s="13">
        <f>ROUNDUP(O1880/'Methodology &amp; Assumptions'!$B$6, 0)</f>
        <v/>
      </c>
      <c r="R1880" s="13" t="n">
        <v>1</v>
      </c>
      <c r="S1880" s="14" t="n">
        <v>17.29</v>
      </c>
      <c r="T1880" s="14" t="n">
        <v>12.7</v>
      </c>
      <c r="U1880" s="26">
        <f>IF(X1880&gt;='Methodology &amp; Assumptions'!$B$7, "Tier 1 Critical GIDA (Score ≥ 50.0)", IF(X1880&gt;='Methodology &amp; Assumptions'!$B$8, "Tier 2 High GIDA (Score 40.0–49.9)", "Tier 3 Moderate GIDA (Score &lt; 40.0)"))</f>
        <v/>
      </c>
      <c r="V1880" s="26">
        <f>IF(S1880&lt;='Methodology &amp; Assumptions'!$B$10, "Direct Optical Drop (&lt;3km)", IF(S1880&lt;='Methodology &amp; Assumptions'!$B$9, "Near Optical / Microwave (&lt;5km)", "Starlink Business LEO Satellite Backhaul (&gt;5km)"))</f>
        <v/>
      </c>
      <c r="W1880" s="28" t="n">
        <v>0.11</v>
      </c>
      <c r="X1880" s="14" t="n">
        <v>41.58</v>
      </c>
      <c r="Y1880" s="14">
        <f>ROUND(MIN(100, (X1880/69.91)*100), 2)</f>
        <v/>
      </c>
    </row>
    <row r="1881">
      <c r="A1881" s="10" t="n">
        <v>5</v>
      </c>
      <c r="B1881" s="10" t="n">
        <v>877</v>
      </c>
      <c r="C1881" s="10" t="n">
        <v>4877</v>
      </c>
      <c r="D1881" s="10" t="inlineStr">
        <is>
          <t>0301412026</t>
        </is>
      </c>
      <c r="E1881" s="26" t="inlineStr">
        <is>
          <t>Region III (Central Luzon)</t>
        </is>
      </c>
      <c r="F1881" s="26" t="inlineStr">
        <is>
          <t>Bulacan</t>
        </is>
      </c>
      <c r="G1881" s="26" t="inlineStr">
        <is>
          <t>City of Meycauayan</t>
        </is>
      </c>
      <c r="H1881" s="26" t="inlineStr">
        <is>
          <t>Caingin</t>
        </is>
      </c>
      <c r="I1881" s="27" t="n">
        <v>14.726766</v>
      </c>
      <c r="J1881" s="27" t="n">
        <v>120.968765</v>
      </c>
      <c r="K1881" s="10" t="inlineStr">
        <is>
          <t>U</t>
        </is>
      </c>
      <c r="L1881" s="12" t="n">
        <v>7207</v>
      </c>
      <c r="M1881" s="14" t="n">
        <v>3.5</v>
      </c>
      <c r="N1881" s="12">
        <f>ROUND(L1881/M1881, 0)</f>
        <v/>
      </c>
      <c r="O1881" s="12">
        <f>ROUND(N1881*'Methodology &amp; Assumptions'!$B$5, 0)</f>
        <v/>
      </c>
      <c r="P1881" s="10" t="inlineStr">
        <is>
          <t>Single Carrier (Band n50, 100MHz TDD)</t>
        </is>
      </c>
      <c r="Q1881" s="13">
        <f>ROUNDUP(O1881/'Methodology &amp; Assumptions'!$B$6, 0)</f>
        <v/>
      </c>
      <c r="R1881" s="13" t="n">
        <v>1</v>
      </c>
      <c r="S1881" s="14" t="n">
        <v>1.29</v>
      </c>
      <c r="T1881" s="14" t="n">
        <v>0.82</v>
      </c>
      <c r="U1881" s="26">
        <f>IF(X1881&gt;='Methodology &amp; Assumptions'!$B$7, "Tier 1 Critical GIDA (Score ≥ 50.0)", IF(X1881&gt;='Methodology &amp; Assumptions'!$B$8, "Tier 2 High GIDA (Score 40.0–49.9)", "Tier 3 Moderate GIDA (Score &lt; 40.0)"))</f>
        <v/>
      </c>
      <c r="V1881" s="26">
        <f>IF(S1881&lt;='Methodology &amp; Assumptions'!$B$10, "Direct Optical Drop (&lt;3km)", IF(S1881&lt;='Methodology &amp; Assumptions'!$B$9, "Near Optical / Microwave (&lt;5km)", "Starlink Business LEO Satellite Backhaul (&gt;5km)"))</f>
        <v/>
      </c>
      <c r="W1881" s="28" t="n">
        <v>0.083</v>
      </c>
      <c r="X1881" s="14" t="n">
        <v>41.57</v>
      </c>
      <c r="Y1881" s="14">
        <f>ROUND(MIN(100, (X1881/69.91)*100), 2)</f>
        <v/>
      </c>
    </row>
    <row r="1882">
      <c r="A1882" s="10" t="n">
        <v>5</v>
      </c>
      <c r="B1882" s="10" t="n">
        <v>878</v>
      </c>
      <c r="C1882" s="10" t="n">
        <v>4878</v>
      </c>
      <c r="D1882" s="10" t="inlineStr">
        <is>
          <t>1903604027</t>
        </is>
      </c>
      <c r="E1882" s="26" t="inlineStr">
        <is>
          <t>Bangsamoro Autonomous Region In Muslim Mindanao (BARMM)</t>
        </is>
      </c>
      <c r="F1882" s="26" t="inlineStr">
        <is>
          <t>Lanao del Sur</t>
        </is>
      </c>
      <c r="G1882" s="26" t="inlineStr">
        <is>
          <t>Bayang</t>
        </is>
      </c>
      <c r="H1882" s="26" t="inlineStr">
        <is>
          <t>Cadingilan Occidental</t>
        </is>
      </c>
      <c r="I1882" s="27" t="n">
        <v>16.980638</v>
      </c>
      <c r="J1882" s="27" t="n">
        <v>122.287941</v>
      </c>
      <c r="K1882" s="10" t="inlineStr">
        <is>
          <t>R</t>
        </is>
      </c>
      <c r="L1882" s="12" t="n">
        <v>909</v>
      </c>
      <c r="M1882" s="14" t="n">
        <v>5.7</v>
      </c>
      <c r="N1882" s="12">
        <f>ROUND(L1882/M1882, 0)</f>
        <v/>
      </c>
      <c r="O1882" s="12">
        <f>ROUND(N1882*'Methodology &amp; Assumptions'!$B$5, 0)</f>
        <v/>
      </c>
      <c r="P1882" s="10" t="inlineStr">
        <is>
          <t>Single Carrier (Band n50, 100MHz TDD)</t>
        </is>
      </c>
      <c r="Q1882" s="13">
        <f>ROUNDUP(O1882/'Methodology &amp; Assumptions'!$B$6, 0)</f>
        <v/>
      </c>
      <c r="R1882" s="13" t="n">
        <v>1</v>
      </c>
      <c r="S1882" s="14" t="n">
        <v>29.24</v>
      </c>
      <c r="T1882" s="14" t="n">
        <v>42.88</v>
      </c>
      <c r="U1882" s="26">
        <f>IF(X1882&gt;='Methodology &amp; Assumptions'!$B$7, "Tier 1 Critical GIDA (Score ≥ 50.0)", IF(X1882&gt;='Methodology &amp; Assumptions'!$B$8, "Tier 2 High GIDA (Score 40.0–49.9)", "Tier 3 Moderate GIDA (Score &lt; 40.0)"))</f>
        <v/>
      </c>
      <c r="V1882" s="26">
        <f>IF(S1882&lt;='Methodology &amp; Assumptions'!$B$10, "Direct Optical Drop (&lt;3km)", IF(S1882&lt;='Methodology &amp; Assumptions'!$B$9, "Near Optical / Microwave (&lt;5km)", "Starlink Business LEO Satellite Backhaul (&gt;5km)"))</f>
        <v/>
      </c>
      <c r="W1882" s="28" t="n">
        <v>0.11</v>
      </c>
      <c r="X1882" s="14" t="n">
        <v>41.57</v>
      </c>
      <c r="Y1882" s="14">
        <f>ROUND(MIN(100, (X1882/69.91)*100), 2)</f>
        <v/>
      </c>
    </row>
    <row r="1883">
      <c r="A1883" s="10" t="n">
        <v>5</v>
      </c>
      <c r="B1883" s="10" t="n">
        <v>879</v>
      </c>
      <c r="C1883" s="10" t="n">
        <v>4879</v>
      </c>
      <c r="D1883" s="10" t="inlineStr">
        <is>
          <t>0907328002</t>
        </is>
      </c>
      <c r="E1883" s="26" t="inlineStr">
        <is>
          <t>Region IX (Zamboanga Peninsula)</t>
        </is>
      </c>
      <c r="F1883" s="26" t="inlineStr">
        <is>
          <t>Zamboanga del Sur</t>
        </is>
      </c>
      <c r="G1883" s="26" t="inlineStr">
        <is>
          <t>Tambulig</t>
        </is>
      </c>
      <c r="H1883" s="26" t="inlineStr">
        <is>
          <t>Bag-ong Kauswagan</t>
        </is>
      </c>
      <c r="I1883" s="27" t="n">
        <v>8.126049999999999</v>
      </c>
      <c r="J1883" s="27" t="n">
        <v>123.29787</v>
      </c>
      <c r="K1883" s="10" t="inlineStr">
        <is>
          <t>R</t>
        </is>
      </c>
      <c r="L1883" s="12" t="n">
        <v>745</v>
      </c>
      <c r="M1883" s="14" t="n">
        <v>3.9</v>
      </c>
      <c r="N1883" s="12">
        <f>ROUND(L1883/M1883, 0)</f>
        <v/>
      </c>
      <c r="O1883" s="12">
        <f>ROUND(N1883*'Methodology &amp; Assumptions'!$B$5, 0)</f>
        <v/>
      </c>
      <c r="P1883" s="10" t="inlineStr">
        <is>
          <t>Single Carrier (Band n50, 100MHz TDD)</t>
        </is>
      </c>
      <c r="Q1883" s="13">
        <f>ROUNDUP(O1883/'Methodology &amp; Assumptions'!$B$6, 0)</f>
        <v/>
      </c>
      <c r="R1883" s="13" t="n">
        <v>1</v>
      </c>
      <c r="S1883" s="14" t="n">
        <v>36.34</v>
      </c>
      <c r="T1883" s="14" t="n">
        <v>30.94</v>
      </c>
      <c r="U1883" s="26">
        <f>IF(X1883&gt;='Methodology &amp; Assumptions'!$B$7, "Tier 1 Critical GIDA (Score ≥ 50.0)", IF(X1883&gt;='Methodology &amp; Assumptions'!$B$8, "Tier 2 High GIDA (Score 40.0–49.9)", "Tier 3 Moderate GIDA (Score &lt; 40.0)"))</f>
        <v/>
      </c>
      <c r="V1883" s="26">
        <f>IF(S1883&lt;='Methodology &amp; Assumptions'!$B$10, "Direct Optical Drop (&lt;3km)", IF(S1883&lt;='Methodology &amp; Assumptions'!$B$9, "Near Optical / Microwave (&lt;5km)", "Starlink Business LEO Satellite Backhaul (&gt;5km)"))</f>
        <v/>
      </c>
      <c r="W1883" s="28" t="n">
        <v>0.11</v>
      </c>
      <c r="X1883" s="14" t="n">
        <v>41.57</v>
      </c>
      <c r="Y1883" s="14">
        <f>ROUND(MIN(100, (X1883/69.91)*100), 2)</f>
        <v/>
      </c>
    </row>
    <row r="1884">
      <c r="A1884" s="10" t="n">
        <v>5</v>
      </c>
      <c r="B1884" s="10" t="n">
        <v>880</v>
      </c>
      <c r="C1884" s="10" t="n">
        <v>4880</v>
      </c>
      <c r="D1884" s="10" t="inlineStr">
        <is>
          <t>0704602015</t>
        </is>
      </c>
      <c r="E1884" s="26" t="inlineStr">
        <is>
          <t>Region VII (Central Visayas)</t>
        </is>
      </c>
      <c r="F1884" s="26" t="inlineStr">
        <is>
          <t>Negros Oriental</t>
        </is>
      </c>
      <c r="G1884" s="26" t="inlineStr">
        <is>
          <t>Ayungon</t>
        </is>
      </c>
      <c r="H1884" s="26" t="inlineStr">
        <is>
          <t>Maaslum</t>
        </is>
      </c>
      <c r="I1884" s="27" t="n">
        <v>9.859396</v>
      </c>
      <c r="J1884" s="27" t="n">
        <v>123.094825</v>
      </c>
      <c r="K1884" s="10" t="inlineStr">
        <is>
          <t>R</t>
        </is>
      </c>
      <c r="L1884" s="12" t="n">
        <v>1813</v>
      </c>
      <c r="M1884" s="14" t="n">
        <v>3.8</v>
      </c>
      <c r="N1884" s="12">
        <f>ROUND(L1884/M1884, 0)</f>
        <v/>
      </c>
      <c r="O1884" s="12">
        <f>ROUND(N1884*'Methodology &amp; Assumptions'!$B$5, 0)</f>
        <v/>
      </c>
      <c r="P1884" s="10" t="inlineStr">
        <is>
          <t>Single Carrier (Band n50, 100MHz TDD)</t>
        </is>
      </c>
      <c r="Q1884" s="13">
        <f>ROUNDUP(O1884/'Methodology &amp; Assumptions'!$B$6, 0)</f>
        <v/>
      </c>
      <c r="R1884" s="13" t="n">
        <v>1</v>
      </c>
      <c r="S1884" s="14" t="n">
        <v>23.34</v>
      </c>
      <c r="T1884" s="14" t="n">
        <v>4.66</v>
      </c>
      <c r="U1884" s="26">
        <f>IF(X1884&gt;='Methodology &amp; Assumptions'!$B$7, "Tier 1 Critical GIDA (Score ≥ 50.0)", IF(X1884&gt;='Methodology &amp; Assumptions'!$B$8, "Tier 2 High GIDA (Score 40.0–49.9)", "Tier 3 Moderate GIDA (Score &lt; 40.0)"))</f>
        <v/>
      </c>
      <c r="V1884" s="26">
        <f>IF(S1884&lt;='Methodology &amp; Assumptions'!$B$10, "Direct Optical Drop (&lt;3km)", IF(S1884&lt;='Methodology &amp; Assumptions'!$B$9, "Near Optical / Microwave (&lt;5km)", "Starlink Business LEO Satellite Backhaul (&gt;5km)"))</f>
        <v/>
      </c>
      <c r="W1884" s="28" t="n">
        <v>0.237</v>
      </c>
      <c r="X1884" s="14" t="n">
        <v>41.57</v>
      </c>
      <c r="Y1884" s="14">
        <f>ROUND(MIN(100, (X1884/69.91)*100), 2)</f>
        <v/>
      </c>
    </row>
    <row r="1885">
      <c r="A1885" s="10" t="n">
        <v>5</v>
      </c>
      <c r="B1885" s="10" t="n">
        <v>881</v>
      </c>
      <c r="C1885" s="10" t="n">
        <v>4881</v>
      </c>
      <c r="D1885" s="10" t="inlineStr">
        <is>
          <t>0103314009</t>
        </is>
      </c>
      <c r="E1885" s="26" t="inlineStr">
        <is>
          <t>Region I (Ilocos Region)</t>
        </is>
      </c>
      <c r="F1885" s="26" t="inlineStr">
        <is>
          <t>La Union</t>
        </is>
      </c>
      <c r="G1885" s="26" t="inlineStr">
        <is>
          <t>City of San Fernando</t>
        </is>
      </c>
      <c r="H1885" s="26" t="inlineStr">
        <is>
          <t>Barangay IV</t>
        </is>
      </c>
      <c r="I1885" s="27" t="n">
        <v>16.614123</v>
      </c>
      <c r="J1885" s="27" t="n">
        <v>120.354807</v>
      </c>
      <c r="K1885" s="10" t="inlineStr">
        <is>
          <t>U</t>
        </is>
      </c>
      <c r="L1885" s="12" t="n">
        <v>613</v>
      </c>
      <c r="M1885" s="14" t="n">
        <v>3.7</v>
      </c>
      <c r="N1885" s="12">
        <f>ROUND(L1885/M1885, 0)</f>
        <v/>
      </c>
      <c r="O1885" s="12">
        <f>ROUND(N1885*'Methodology &amp; Assumptions'!$B$5, 0)</f>
        <v/>
      </c>
      <c r="P1885" s="10" t="inlineStr">
        <is>
          <t>Single Carrier (Band n50, 100MHz TDD)</t>
        </is>
      </c>
      <c r="Q1885" s="13">
        <f>ROUNDUP(O1885/'Methodology &amp; Assumptions'!$B$6, 0)</f>
        <v/>
      </c>
      <c r="R1885" s="13" t="n">
        <v>1</v>
      </c>
      <c r="S1885" s="14" t="n">
        <v>4.12</v>
      </c>
      <c r="T1885" s="14" t="n">
        <v>4.03</v>
      </c>
      <c r="U1885" s="26">
        <f>IF(X1885&gt;='Methodology &amp; Assumptions'!$B$7, "Tier 1 Critical GIDA (Score ≥ 50.0)", IF(X1885&gt;='Methodology &amp; Assumptions'!$B$8, "Tier 2 High GIDA (Score 40.0–49.9)", "Tier 3 Moderate GIDA (Score &lt; 40.0)"))</f>
        <v/>
      </c>
      <c r="V1885" s="26">
        <f>IF(S1885&lt;='Methodology &amp; Assumptions'!$B$10, "Direct Optical Drop (&lt;3km)", IF(S1885&lt;='Methodology &amp; Assumptions'!$B$9, "Near Optical / Microwave (&lt;5km)", "Starlink Business LEO Satellite Backhaul (&gt;5km)"))</f>
        <v/>
      </c>
      <c r="W1885" s="28" t="n">
        <v>0.083</v>
      </c>
      <c r="X1885" s="14" t="n">
        <v>41.56</v>
      </c>
      <c r="Y1885" s="14">
        <f>ROUND(MIN(100, (X1885/69.91)*100), 2)</f>
        <v/>
      </c>
    </row>
    <row r="1886">
      <c r="A1886" s="10" t="n">
        <v>5</v>
      </c>
      <c r="B1886" s="10" t="n">
        <v>882</v>
      </c>
      <c r="C1886" s="10" t="n">
        <v>4882</v>
      </c>
      <c r="D1886" s="10" t="inlineStr">
        <is>
          <t>1380700011</t>
        </is>
      </c>
      <c r="E1886" s="26" t="inlineStr">
        <is>
          <t>National Capital Region (NCR)</t>
        </is>
      </c>
      <c r="F1886" s="26" t="inlineStr">
        <is>
          <t>Second District (Not a Province)</t>
        </is>
      </c>
      <c r="G1886" s="26" t="inlineStr">
        <is>
          <t>City of Marikina</t>
        </is>
      </c>
      <c r="H1886" s="26" t="inlineStr">
        <is>
          <t>Tañong</t>
        </is>
      </c>
      <c r="I1886" s="27" t="n">
        <v>14.647908</v>
      </c>
      <c r="J1886" s="27" t="n">
        <v>121.107671</v>
      </c>
      <c r="K1886" s="10" t="inlineStr">
        <is>
          <t>U</t>
        </is>
      </c>
      <c r="L1886" s="12" t="n">
        <v>9200</v>
      </c>
      <c r="M1886" s="14" t="n">
        <v>4</v>
      </c>
      <c r="N1886" s="12">
        <f>ROUND(L1886/M1886, 0)</f>
        <v/>
      </c>
      <c r="O1886" s="12">
        <f>ROUND(N1886*'Methodology &amp; Assumptions'!$B$5, 0)</f>
        <v/>
      </c>
      <c r="P1886" s="10" t="inlineStr">
        <is>
          <t>Single Carrier (Band n50, 100MHz TDD)</t>
        </is>
      </c>
      <c r="Q1886" s="13">
        <f>ROUNDUP(O1886/'Methodology &amp; Assumptions'!$B$6, 0)</f>
        <v/>
      </c>
      <c r="R1886" s="13" t="n">
        <v>1</v>
      </c>
      <c r="S1886" s="14" t="n">
        <v>1</v>
      </c>
      <c r="T1886" s="14" t="n">
        <v>0.38</v>
      </c>
      <c r="U1886" s="26">
        <f>IF(X1886&gt;='Methodology &amp; Assumptions'!$B$7, "Tier 1 Critical GIDA (Score ≥ 50.0)", IF(X1886&gt;='Methodology &amp; Assumptions'!$B$8, "Tier 2 High GIDA (Score 40.0–49.9)", "Tier 3 Moderate GIDA (Score &lt; 40.0)"))</f>
        <v/>
      </c>
      <c r="V1886" s="26">
        <f>IF(S1886&lt;='Methodology &amp; Assumptions'!$B$10, "Direct Optical Drop (&lt;3km)", IF(S1886&lt;='Methodology &amp; Assumptions'!$B$9, "Near Optical / Microwave (&lt;5km)", "Starlink Business LEO Satellite Backhaul (&gt;5km)"))</f>
        <v/>
      </c>
      <c r="W1886" s="28" t="n">
        <v>0.109</v>
      </c>
      <c r="X1886" s="14" t="n">
        <v>41.56</v>
      </c>
      <c r="Y1886" s="14">
        <f>ROUND(MIN(100, (X1886/69.91)*100), 2)</f>
        <v/>
      </c>
    </row>
    <row r="1887">
      <c r="A1887" s="10" t="n">
        <v>5</v>
      </c>
      <c r="B1887" s="10" t="n">
        <v>883</v>
      </c>
      <c r="C1887" s="10" t="n">
        <v>4883</v>
      </c>
      <c r="D1887" s="10" t="inlineStr">
        <is>
          <t>1102315041</t>
        </is>
      </c>
      <c r="E1887" s="26" t="inlineStr">
        <is>
          <t>Region XI (Davao Region)</t>
        </is>
      </c>
      <c r="F1887" s="26" t="inlineStr">
        <is>
          <t>Davao del Norte</t>
        </is>
      </c>
      <c r="G1887" s="26" t="inlineStr">
        <is>
          <t>City of Panabo</t>
        </is>
      </c>
      <c r="H1887" s="26" t="inlineStr">
        <is>
          <t>San Pedro</t>
        </is>
      </c>
      <c r="I1887" s="27" t="n">
        <v>7.29752</v>
      </c>
      <c r="J1887" s="27" t="n">
        <v>125.710852</v>
      </c>
      <c r="K1887" s="10" t="inlineStr">
        <is>
          <t>U</t>
        </is>
      </c>
      <c r="L1887" s="12" t="n">
        <v>3465</v>
      </c>
      <c r="M1887" s="14" t="n">
        <v>3.7</v>
      </c>
      <c r="N1887" s="12">
        <f>ROUND(L1887/M1887, 0)</f>
        <v/>
      </c>
      <c r="O1887" s="12">
        <f>ROUND(N1887*'Methodology &amp; Assumptions'!$B$5, 0)</f>
        <v/>
      </c>
      <c r="P1887" s="10" t="inlineStr">
        <is>
          <t>Single Carrier (Band n50, 100MHz TDD)</t>
        </is>
      </c>
      <c r="Q1887" s="13">
        <f>ROUNDUP(O1887/'Methodology &amp; Assumptions'!$B$6, 0)</f>
        <v/>
      </c>
      <c r="R1887" s="13" t="n">
        <v>1</v>
      </c>
      <c r="S1887" s="14" t="n">
        <v>3.39</v>
      </c>
      <c r="T1887" s="14" t="n">
        <v>3.23</v>
      </c>
      <c r="U1887" s="26">
        <f>IF(X1887&gt;='Methodology &amp; Assumptions'!$B$7, "Tier 1 Critical GIDA (Score ≥ 50.0)", IF(X1887&gt;='Methodology &amp; Assumptions'!$B$8, "Tier 2 High GIDA (Score 40.0–49.9)", "Tier 3 Moderate GIDA (Score &lt; 40.0)"))</f>
        <v/>
      </c>
      <c r="V1887" s="26">
        <f>IF(S1887&lt;='Methodology &amp; Assumptions'!$B$10, "Direct Optical Drop (&lt;3km)", IF(S1887&lt;='Methodology &amp; Assumptions'!$B$9, "Near Optical / Microwave (&lt;5km)", "Starlink Business LEO Satellite Backhaul (&gt;5km)"))</f>
        <v/>
      </c>
      <c r="W1887" s="28" t="n">
        <v>0.174</v>
      </c>
      <c r="X1887" s="14" t="n">
        <v>41.56</v>
      </c>
      <c r="Y1887" s="14">
        <f>ROUND(MIN(100, (X1887/69.91)*100), 2)</f>
        <v/>
      </c>
    </row>
    <row r="1888">
      <c r="A1888" s="10" t="n">
        <v>5</v>
      </c>
      <c r="B1888" s="10" t="n">
        <v>884</v>
      </c>
      <c r="C1888" s="10" t="n">
        <v>4884</v>
      </c>
      <c r="D1888" s="10" t="inlineStr">
        <is>
          <t>1907001001</t>
        </is>
      </c>
      <c r="E1888" s="26" t="inlineStr">
        <is>
          <t>Bangsamoro Autonomous Region In Muslim Mindanao (BARMM)</t>
        </is>
      </c>
      <c r="F1888" s="26" t="inlineStr">
        <is>
          <t>Tawi-Tawi</t>
        </is>
      </c>
      <c r="G1888" s="26" t="inlineStr">
        <is>
          <t>Panglima Sugala</t>
        </is>
      </c>
      <c r="H1888" s="26" t="inlineStr">
        <is>
          <t>Balimbing Proper</t>
        </is>
      </c>
      <c r="I1888" s="27" t="n">
        <v>17.255674</v>
      </c>
      <c r="J1888" s="27" t="n">
        <v>122.229718</v>
      </c>
      <c r="K1888" s="10" t="inlineStr">
        <is>
          <t>U</t>
        </is>
      </c>
      <c r="L1888" s="12" t="n">
        <v>5731</v>
      </c>
      <c r="M1888" s="14" t="n">
        <v>5.8</v>
      </c>
      <c r="N1888" s="12">
        <f>ROUND(L1888/M1888, 0)</f>
        <v/>
      </c>
      <c r="O1888" s="12">
        <f>ROUND(N1888*'Methodology &amp; Assumptions'!$B$5, 0)</f>
        <v/>
      </c>
      <c r="P1888" s="10" t="inlineStr">
        <is>
          <t>Single Carrier (Band n50, 100MHz TDD)</t>
        </is>
      </c>
      <c r="Q1888" s="13">
        <f>ROUNDUP(O1888/'Methodology &amp; Assumptions'!$B$6, 0)</f>
        <v/>
      </c>
      <c r="R1888" s="13" t="n">
        <v>1</v>
      </c>
      <c r="S1888" s="14" t="n">
        <v>29.54</v>
      </c>
      <c r="T1888" s="14" t="n">
        <v>34.41</v>
      </c>
      <c r="U1888" s="26">
        <f>IF(X1888&gt;='Methodology &amp; Assumptions'!$B$7, "Tier 1 Critical GIDA (Score ≥ 50.0)", IF(X1888&gt;='Methodology &amp; Assumptions'!$B$8, "Tier 2 High GIDA (Score 40.0–49.9)", "Tier 3 Moderate GIDA (Score &lt; 40.0)"))</f>
        <v/>
      </c>
      <c r="V1888" s="26">
        <f>IF(S1888&lt;='Methodology &amp; Assumptions'!$B$10, "Direct Optical Drop (&lt;3km)", IF(S1888&lt;='Methodology &amp; Assumptions'!$B$9, "Near Optical / Microwave (&lt;5km)", "Starlink Business LEO Satellite Backhaul (&gt;5km)"))</f>
        <v/>
      </c>
      <c r="W1888" s="28" t="n">
        <v>0.11</v>
      </c>
      <c r="X1888" s="14" t="n">
        <v>41.56</v>
      </c>
      <c r="Y1888" s="14">
        <f>ROUND(MIN(100, (X1888/69.91)*100), 2)</f>
        <v/>
      </c>
    </row>
    <row r="1889">
      <c r="A1889" s="10" t="n">
        <v>5</v>
      </c>
      <c r="B1889" s="10" t="n">
        <v>885</v>
      </c>
      <c r="C1889" s="10" t="n">
        <v>4885</v>
      </c>
      <c r="D1889" s="10" t="inlineStr">
        <is>
          <t>1408101010</t>
        </is>
      </c>
      <c r="E1889" s="26" t="inlineStr">
        <is>
          <t>Cordillera Administrative Region (CAR)</t>
        </is>
      </c>
      <c r="F1889" s="26" t="inlineStr">
        <is>
          <t>Apayao</t>
        </is>
      </c>
      <c r="G1889" s="26" t="inlineStr">
        <is>
          <t>Calanasan</t>
        </is>
      </c>
      <c r="H1889" s="26" t="inlineStr">
        <is>
          <t>Tubongan</t>
        </is>
      </c>
      <c r="I1889" s="27" t="n">
        <v>18.113899</v>
      </c>
      <c r="J1889" s="27" t="n">
        <v>121.041724</v>
      </c>
      <c r="K1889" s="10" t="inlineStr">
        <is>
          <t>R</t>
        </is>
      </c>
      <c r="L1889" s="12" t="n">
        <v>398</v>
      </c>
      <c r="M1889" s="14" t="n">
        <v>4.2</v>
      </c>
      <c r="N1889" s="12">
        <f>ROUND(L1889/M1889, 0)</f>
        <v/>
      </c>
      <c r="O1889" s="12">
        <f>ROUND(N1889*'Methodology &amp; Assumptions'!$B$5, 0)</f>
        <v/>
      </c>
      <c r="P1889" s="10" t="inlineStr">
        <is>
          <t>Single Carrier (Band n50, 100MHz TDD)</t>
        </is>
      </c>
      <c r="Q1889" s="13">
        <f>ROUNDUP(O1889/'Methodology &amp; Assumptions'!$B$6, 0)</f>
        <v/>
      </c>
      <c r="R1889" s="13" t="n">
        <v>1</v>
      </c>
      <c r="S1889" s="14" t="n">
        <v>18.09</v>
      </c>
      <c r="T1889" s="14" t="n">
        <v>26.82</v>
      </c>
      <c r="U1889" s="26">
        <f>IF(X1889&gt;='Methodology &amp; Assumptions'!$B$7, "Tier 1 Critical GIDA (Score ≥ 50.0)", IF(X1889&gt;='Methodology &amp; Assumptions'!$B$8, "Tier 2 High GIDA (Score 40.0–49.9)", "Tier 3 Moderate GIDA (Score &lt; 40.0)"))</f>
        <v/>
      </c>
      <c r="V1889" s="26">
        <f>IF(S1889&lt;='Methodology &amp; Assumptions'!$B$10, "Direct Optical Drop (&lt;3km)", IF(S1889&lt;='Methodology &amp; Assumptions'!$B$9, "Near Optical / Microwave (&lt;5km)", "Starlink Business LEO Satellite Backhaul (&gt;5km)"))</f>
        <v/>
      </c>
      <c r="W1889" s="28" t="n">
        <v>0.109</v>
      </c>
      <c r="X1889" s="14" t="n">
        <v>41.56</v>
      </c>
      <c r="Y1889" s="14">
        <f>ROUND(MIN(100, (X1889/69.91)*100), 2)</f>
        <v/>
      </c>
    </row>
    <row r="1890">
      <c r="A1890" s="10" t="n">
        <v>5</v>
      </c>
      <c r="B1890" s="10" t="n">
        <v>886</v>
      </c>
      <c r="C1890" s="10" t="n">
        <v>4886</v>
      </c>
      <c r="D1890" s="10" t="inlineStr">
        <is>
          <t>PH0004886</t>
        </is>
      </c>
      <c r="E1890" s="26" t="inlineStr">
        <is>
          <t>IV-A</t>
        </is>
      </c>
      <c r="F1890" s="26" t="inlineStr">
        <is>
          <t>Cavite</t>
        </is>
      </c>
      <c r="G1890" s="26" t="inlineStr">
        <is>
          <t>Cavite City</t>
        </is>
      </c>
      <c r="H1890" s="26" t="inlineStr">
        <is>
          <t>Barangay 49</t>
        </is>
      </c>
      <c r="I1890" s="27" t="n">
        <v>14.424782</v>
      </c>
      <c r="J1890" s="27" t="n">
        <v>120.891912</v>
      </c>
      <c r="K1890" s="10" t="inlineStr">
        <is>
          <t>R</t>
        </is>
      </c>
      <c r="L1890" s="12" t="n">
        <v>2316</v>
      </c>
      <c r="M1890" s="14" t="n">
        <v>3.4</v>
      </c>
      <c r="N1890" s="12">
        <f>ROUND(L1890/M1890, 0)</f>
        <v/>
      </c>
      <c r="O1890" s="12">
        <f>ROUND(N1890*'Methodology &amp; Assumptions'!$B$5, 0)</f>
        <v/>
      </c>
      <c r="P1890" s="10" t="inlineStr">
        <is>
          <t>Single Carrier (Band n50, 100MHz TDD)</t>
        </is>
      </c>
      <c r="Q1890" s="13">
        <f>ROUNDUP(O1890/'Methodology &amp; Assumptions'!$B$6, 0)</f>
        <v/>
      </c>
      <c r="R1890" s="13" t="n">
        <v>1</v>
      </c>
      <c r="S1890" s="14" t="n">
        <v>1.09</v>
      </c>
      <c r="T1890" s="14" t="n">
        <v>0.15</v>
      </c>
      <c r="U1890" s="26">
        <f>IF(X1890&gt;='Methodology &amp; Assumptions'!$B$7, "Tier 1 Critical GIDA (Score ≥ 50.0)", IF(X1890&gt;='Methodology &amp; Assumptions'!$B$8, "Tier 2 High GIDA (Score 40.0–49.9)", "Tier 3 Moderate GIDA (Score &lt; 40.0)"))</f>
        <v/>
      </c>
      <c r="V1890" s="26">
        <f>IF(S1890&lt;='Methodology &amp; Assumptions'!$B$10, "Direct Optical Drop (&lt;3km)", IF(S1890&lt;='Methodology &amp; Assumptions'!$B$9, "Near Optical / Microwave (&lt;5km)", "Starlink Business LEO Satellite Backhaul (&gt;5km)"))</f>
        <v/>
      </c>
      <c r="W1890" s="28" t="n">
        <v>0.07200000000000001</v>
      </c>
      <c r="X1890" s="14" t="n">
        <v>41.55</v>
      </c>
      <c r="Y1890" s="14">
        <f>ROUND(MIN(100, (X1890/69.91)*100), 2)</f>
        <v/>
      </c>
    </row>
    <row r="1891">
      <c r="A1891" s="10" t="n">
        <v>5</v>
      </c>
      <c r="B1891" s="10" t="n">
        <v>887</v>
      </c>
      <c r="C1891" s="10" t="n">
        <v>4887</v>
      </c>
      <c r="D1891" s="10" t="inlineStr">
        <is>
          <t>1381000008</t>
        </is>
      </c>
      <c r="E1891" s="26" t="inlineStr">
        <is>
          <t>National Capital Region (NCR)</t>
        </is>
      </c>
      <c r="F1891" s="26" t="inlineStr">
        <is>
          <t>Fourth District (Not a Province)</t>
        </is>
      </c>
      <c r="G1891" s="26" t="inlineStr">
        <is>
          <t>City of Parañaque</t>
        </is>
      </c>
      <c r="H1891" s="26" t="inlineStr">
        <is>
          <t>Don Bosco</t>
        </is>
      </c>
      <c r="I1891" s="27" t="n">
        <v>14.488613</v>
      </c>
      <c r="J1891" s="27" t="n">
        <v>121.02613</v>
      </c>
      <c r="K1891" s="10" t="inlineStr">
        <is>
          <t>U</t>
        </is>
      </c>
      <c r="L1891" s="12" t="n">
        <v>55229</v>
      </c>
      <c r="M1891" s="14" t="n">
        <v>3.2</v>
      </c>
      <c r="N1891" s="12">
        <f>ROUND(L1891/M1891, 0)</f>
        <v/>
      </c>
      <c r="O1891" s="12">
        <f>ROUND(N1891*'Methodology &amp; Assumptions'!$B$5, 0)</f>
        <v/>
      </c>
      <c r="P1891" s="10" t="inlineStr">
        <is>
          <t>Single Carrier (Band n50, 100MHz TDD)</t>
        </is>
      </c>
      <c r="Q1891" s="13">
        <f>ROUNDUP(O1891/'Methodology &amp; Assumptions'!$B$6, 0)</f>
        <v/>
      </c>
      <c r="R1891" s="13" t="n">
        <v>1</v>
      </c>
      <c r="S1891" s="14" t="n">
        <v>0.54</v>
      </c>
      <c r="T1891" s="14" t="n">
        <v>0.17</v>
      </c>
      <c r="U1891" s="26">
        <f>IF(X1891&gt;='Methodology &amp; Assumptions'!$B$7, "Tier 1 Critical GIDA (Score ≥ 50.0)", IF(X1891&gt;='Methodology &amp; Assumptions'!$B$8, "Tier 2 High GIDA (Score 40.0–49.9)", "Tier 3 Moderate GIDA (Score &lt; 40.0)"))</f>
        <v/>
      </c>
      <c r="V1891" s="26">
        <f>IF(S1891&lt;='Methodology &amp; Assumptions'!$B$10, "Direct Optical Drop (&lt;3km)", IF(S1891&lt;='Methodology &amp; Assumptions'!$B$9, "Near Optical / Microwave (&lt;5km)", "Starlink Business LEO Satellite Backhaul (&gt;5km)"))</f>
        <v/>
      </c>
      <c r="W1891" s="28" t="n">
        <v>0.109</v>
      </c>
      <c r="X1891" s="14" t="n">
        <v>41.55</v>
      </c>
      <c r="Y1891" s="14">
        <f>ROUND(MIN(100, (X1891/69.91)*100), 2)</f>
        <v/>
      </c>
    </row>
    <row r="1892">
      <c r="A1892" s="10" t="n">
        <v>5</v>
      </c>
      <c r="B1892" s="10" t="n">
        <v>888</v>
      </c>
      <c r="C1892" s="10" t="n">
        <v>4888</v>
      </c>
      <c r="D1892" s="10" t="inlineStr">
        <is>
          <t>0301411016</t>
        </is>
      </c>
      <c r="E1892" s="26" t="inlineStr">
        <is>
          <t>Region III (Central Luzon)</t>
        </is>
      </c>
      <c r="F1892" s="26" t="inlineStr">
        <is>
          <t>Bulacan</t>
        </is>
      </c>
      <c r="G1892" s="26" t="inlineStr">
        <is>
          <t>Marilao</t>
        </is>
      </c>
      <c r="H1892" s="26" t="inlineStr">
        <is>
          <t>Tabing Ilog</t>
        </is>
      </c>
      <c r="I1892" s="27" t="n">
        <v>14.764857</v>
      </c>
      <c r="J1892" s="27" t="n">
        <v>120.948871</v>
      </c>
      <c r="K1892" s="10" t="inlineStr">
        <is>
          <t>U</t>
        </is>
      </c>
      <c r="L1892" s="12" t="n">
        <v>8421</v>
      </c>
      <c r="M1892" s="14" t="n">
        <v>3.5</v>
      </c>
      <c r="N1892" s="12">
        <f>ROUND(L1892/M1892, 0)</f>
        <v/>
      </c>
      <c r="O1892" s="12">
        <f>ROUND(N1892*'Methodology &amp; Assumptions'!$B$5, 0)</f>
        <v/>
      </c>
      <c r="P1892" s="10" t="inlineStr">
        <is>
          <t>Single Carrier (Band n50, 100MHz TDD)</t>
        </is>
      </c>
      <c r="Q1892" s="13">
        <f>ROUNDUP(O1892/'Methodology &amp; Assumptions'!$B$6, 0)</f>
        <v/>
      </c>
      <c r="R1892" s="13" t="n">
        <v>1</v>
      </c>
      <c r="S1892" s="14" t="n">
        <v>1.07</v>
      </c>
      <c r="T1892" s="14" t="n">
        <v>0.28</v>
      </c>
      <c r="U1892" s="26">
        <f>IF(X1892&gt;='Methodology &amp; Assumptions'!$B$7, "Tier 1 Critical GIDA (Score ≥ 50.0)", IF(X1892&gt;='Methodology &amp; Assumptions'!$B$8, "Tier 2 High GIDA (Score 40.0–49.9)", "Tier 3 Moderate GIDA (Score &lt; 40.0)"))</f>
        <v/>
      </c>
      <c r="V1892" s="26">
        <f>IF(S1892&lt;='Methodology &amp; Assumptions'!$B$10, "Direct Optical Drop (&lt;3km)", IF(S1892&lt;='Methodology &amp; Assumptions'!$B$9, "Near Optical / Microwave (&lt;5km)", "Starlink Business LEO Satellite Backhaul (&gt;5km)"))</f>
        <v/>
      </c>
      <c r="W1892" s="28" t="n">
        <v>0.083</v>
      </c>
      <c r="X1892" s="14" t="n">
        <v>41.54</v>
      </c>
      <c r="Y1892" s="14">
        <f>ROUND(MIN(100, (X1892/69.91)*100), 2)</f>
        <v/>
      </c>
    </row>
    <row r="1893">
      <c r="A1893" s="10" t="n">
        <v>5</v>
      </c>
      <c r="B1893" s="10" t="n">
        <v>889</v>
      </c>
      <c r="C1893" s="10" t="n">
        <v>4889</v>
      </c>
      <c r="D1893" s="10" t="inlineStr">
        <is>
          <t>PH0004889</t>
        </is>
      </c>
      <c r="E1893" s="26" t="inlineStr">
        <is>
          <t>NIR</t>
        </is>
      </c>
      <c r="F1893" s="26" t="inlineStr">
        <is>
          <t>Negros Oriental</t>
        </is>
      </c>
      <c r="G1893" s="26" t="inlineStr">
        <is>
          <t>Dumaguete City</t>
        </is>
      </c>
      <c r="H1893" s="26" t="inlineStr">
        <is>
          <t>Poblacion No. 3</t>
        </is>
      </c>
      <c r="I1893" s="27" t="n">
        <v>9.296887</v>
      </c>
      <c r="J1893" s="27" t="n">
        <v>123.288191</v>
      </c>
      <c r="K1893" s="10" t="inlineStr">
        <is>
          <t>R</t>
        </is>
      </c>
      <c r="L1893" s="12" t="n">
        <v>2279</v>
      </c>
      <c r="M1893" s="14" t="n">
        <v>3.8</v>
      </c>
      <c r="N1893" s="12">
        <f>ROUND(L1893/M1893, 0)</f>
        <v/>
      </c>
      <c r="O1893" s="12">
        <f>ROUND(N1893*'Methodology &amp; Assumptions'!$B$5, 0)</f>
        <v/>
      </c>
      <c r="P1893" s="10" t="inlineStr">
        <is>
          <t>Single Carrier (Band n50, 100MHz TDD)</t>
        </is>
      </c>
      <c r="Q1893" s="13">
        <f>ROUNDUP(O1893/'Methodology &amp; Assumptions'!$B$6, 0)</f>
        <v/>
      </c>
      <c r="R1893" s="13" t="n">
        <v>1</v>
      </c>
      <c r="S1893" s="14" t="n">
        <v>2.01</v>
      </c>
      <c r="T1893" s="14" t="n">
        <v>1.18</v>
      </c>
      <c r="U1893" s="26">
        <f>IF(X1893&gt;='Methodology &amp; Assumptions'!$B$7, "Tier 1 Critical GIDA (Score ≥ 50.0)", IF(X1893&gt;='Methodology &amp; Assumptions'!$B$8, "Tier 2 High GIDA (Score 40.0–49.9)", "Tier 3 Moderate GIDA (Score &lt; 40.0)"))</f>
        <v/>
      </c>
      <c r="V1893" s="26">
        <f>IF(S1893&lt;='Methodology &amp; Assumptions'!$B$10, "Direct Optical Drop (&lt;3km)", IF(S1893&lt;='Methodology &amp; Assumptions'!$B$9, "Near Optical / Microwave (&lt;5km)", "Starlink Business LEO Satellite Backhaul (&gt;5km)"))</f>
        <v/>
      </c>
      <c r="W1893" s="28" t="n">
        <v>0.109</v>
      </c>
      <c r="X1893" s="14" t="n">
        <v>41.54</v>
      </c>
      <c r="Y1893" s="14">
        <f>ROUND(MIN(100, (X1893/69.91)*100), 2)</f>
        <v/>
      </c>
    </row>
    <row r="1894">
      <c r="A1894" s="10" t="n">
        <v>5</v>
      </c>
      <c r="B1894" s="10" t="n">
        <v>890</v>
      </c>
      <c r="C1894" s="10" t="n">
        <v>4890</v>
      </c>
      <c r="D1894" s="10" t="inlineStr">
        <is>
          <t>0802607020</t>
        </is>
      </c>
      <c r="E1894" s="26" t="inlineStr">
        <is>
          <t>Region VIII (Eastern Visayas)</t>
        </is>
      </c>
      <c r="F1894" s="26" t="inlineStr">
        <is>
          <t>Eastern Samar</t>
        </is>
      </c>
      <c r="G1894" s="26" t="inlineStr">
        <is>
          <t>General Macarthur</t>
        </is>
      </c>
      <c r="H1894" s="26" t="inlineStr">
        <is>
          <t>Quirino</t>
        </is>
      </c>
      <c r="I1894" s="27" t="n">
        <v>11.217835</v>
      </c>
      <c r="J1894" s="27" t="n">
        <v>125.517335</v>
      </c>
      <c r="K1894" s="10" t="inlineStr">
        <is>
          <t>R</t>
        </is>
      </c>
      <c r="L1894" s="12" t="n">
        <v>218</v>
      </c>
      <c r="M1894" s="14" t="n">
        <v>3.9</v>
      </c>
      <c r="N1894" s="12">
        <f>ROUND(L1894/M1894, 0)</f>
        <v/>
      </c>
      <c r="O1894" s="12">
        <f>ROUND(N1894*'Methodology &amp; Assumptions'!$B$5, 0)</f>
        <v/>
      </c>
      <c r="P1894" s="10" t="inlineStr">
        <is>
          <t>Single Carrier (Band n50, 100MHz TDD)</t>
        </is>
      </c>
      <c r="Q1894" s="13">
        <f>ROUNDUP(O1894/'Methodology &amp; Assumptions'!$B$6, 0)</f>
        <v/>
      </c>
      <c r="R1894" s="13" t="n">
        <v>1</v>
      </c>
      <c r="S1894" s="14" t="n">
        <v>55.4</v>
      </c>
      <c r="T1894" s="14" t="n">
        <v>54.26</v>
      </c>
      <c r="U1894" s="26">
        <f>IF(X1894&gt;='Methodology &amp; Assumptions'!$B$7, "Tier 1 Critical GIDA (Score ≥ 50.0)", IF(X1894&gt;='Methodology &amp; Assumptions'!$B$8, "Tier 2 High GIDA (Score 40.0–49.9)", "Tier 3 Moderate GIDA (Score &lt; 40.0)"))</f>
        <v/>
      </c>
      <c r="V1894" s="26">
        <f>IF(S1894&lt;='Methodology &amp; Assumptions'!$B$10, "Direct Optical Drop (&lt;3km)", IF(S1894&lt;='Methodology &amp; Assumptions'!$B$9, "Near Optical / Microwave (&lt;5km)", "Starlink Business LEO Satellite Backhaul (&gt;5km)"))</f>
        <v/>
      </c>
      <c r="W1894" s="28" t="n">
        <v>0.237</v>
      </c>
      <c r="X1894" s="14" t="n">
        <v>41.54</v>
      </c>
      <c r="Y1894" s="14">
        <f>ROUND(MIN(100, (X1894/69.91)*100), 2)</f>
        <v/>
      </c>
    </row>
    <row r="1895">
      <c r="A1895" s="10" t="n">
        <v>5</v>
      </c>
      <c r="B1895" s="10" t="n">
        <v>891</v>
      </c>
      <c r="C1895" s="10" t="n">
        <v>4891</v>
      </c>
      <c r="D1895" s="10" t="inlineStr">
        <is>
          <t>1906613029</t>
        </is>
      </c>
      <c r="E1895" s="26" t="inlineStr">
        <is>
          <t>Bangsamoro Autonomous Region In Muslim Mindanao (BARMM)</t>
        </is>
      </c>
      <c r="F1895" s="26" t="inlineStr">
        <is>
          <t>Sulu</t>
        </is>
      </c>
      <c r="G1895" s="26" t="inlineStr">
        <is>
          <t>Talipao</t>
        </is>
      </c>
      <c r="H1895" s="26" t="inlineStr">
        <is>
          <t>Lower Binuang</t>
        </is>
      </c>
      <c r="I1895" s="27" t="n">
        <v>17.246579</v>
      </c>
      <c r="J1895" s="27" t="n">
        <v>122.227848</v>
      </c>
      <c r="K1895" s="10" t="inlineStr">
        <is>
          <t>R</t>
        </is>
      </c>
      <c r="L1895" s="12" t="n">
        <v>1758</v>
      </c>
      <c r="M1895" s="14" t="n">
        <v>6</v>
      </c>
      <c r="N1895" s="12">
        <f>ROUND(L1895/M1895, 0)</f>
        <v/>
      </c>
      <c r="O1895" s="12">
        <f>ROUND(N1895*'Methodology &amp; Assumptions'!$B$5, 0)</f>
        <v/>
      </c>
      <c r="P1895" s="10" t="inlineStr">
        <is>
          <t>Single Carrier (Band n50, 100MHz TDD)</t>
        </is>
      </c>
      <c r="Q1895" s="13">
        <f>ROUNDUP(O1895/'Methodology &amp; Assumptions'!$B$6, 0)</f>
        <v/>
      </c>
      <c r="R1895" s="13" t="n">
        <v>1</v>
      </c>
      <c r="S1895" s="14" t="n">
        <v>28.75</v>
      </c>
      <c r="T1895" s="14" t="n">
        <v>33.94</v>
      </c>
      <c r="U1895" s="26">
        <f>IF(X1895&gt;='Methodology &amp; Assumptions'!$B$7, "Tier 1 Critical GIDA (Score ≥ 50.0)", IF(X1895&gt;='Methodology &amp; Assumptions'!$B$8, "Tier 2 High GIDA (Score 40.0–49.9)", "Tier 3 Moderate GIDA (Score &lt; 40.0)"))</f>
        <v/>
      </c>
      <c r="V1895" s="26">
        <f>IF(S1895&lt;='Methodology &amp; Assumptions'!$B$10, "Direct Optical Drop (&lt;3km)", IF(S1895&lt;='Methodology &amp; Assumptions'!$B$9, "Near Optical / Microwave (&lt;5km)", "Starlink Business LEO Satellite Backhaul (&gt;5km)"))</f>
        <v/>
      </c>
      <c r="W1895" s="28" t="n">
        <v>0.11</v>
      </c>
      <c r="X1895" s="14" t="n">
        <v>41.53</v>
      </c>
      <c r="Y1895" s="14">
        <f>ROUND(MIN(100, (X1895/69.91)*100), 2)</f>
        <v/>
      </c>
    </row>
    <row r="1896">
      <c r="A1896" s="10" t="n">
        <v>5</v>
      </c>
      <c r="B1896" s="10" t="n">
        <v>892</v>
      </c>
      <c r="C1896" s="10" t="n">
        <v>4892</v>
      </c>
      <c r="D1896" s="10" t="inlineStr">
        <is>
          <t>0405813005</t>
        </is>
      </c>
      <c r="E1896" s="26" t="inlineStr">
        <is>
          <t>Region IV-A (CALABARZON)</t>
        </is>
      </c>
      <c r="F1896" s="26" t="inlineStr">
        <is>
          <t>Rizal</t>
        </is>
      </c>
      <c r="G1896" s="26" t="inlineStr">
        <is>
          <t>Taytay</t>
        </is>
      </c>
      <c r="H1896" s="26" t="inlineStr">
        <is>
          <t>Santa Ana</t>
        </is>
      </c>
      <c r="I1896" s="27" t="n">
        <v>14.537187</v>
      </c>
      <c r="J1896" s="27" t="n">
        <v>121.109282</v>
      </c>
      <c r="K1896" s="10" t="inlineStr">
        <is>
          <t>U</t>
        </is>
      </c>
      <c r="L1896" s="12" t="n">
        <v>102828</v>
      </c>
      <c r="M1896" s="14" t="n">
        <v>3.6</v>
      </c>
      <c r="N1896" s="12">
        <f>ROUND(L1896/M1896, 0)</f>
        <v/>
      </c>
      <c r="O1896" s="12">
        <f>ROUND(N1896*'Methodology &amp; Assumptions'!$B$5, 0)</f>
        <v/>
      </c>
      <c r="P1896" s="10" t="inlineStr">
        <is>
          <t>Single Carrier (Band n50, 100MHz TDD)</t>
        </is>
      </c>
      <c r="Q1896" s="13">
        <f>ROUNDUP(O1896/'Methodology &amp; Assumptions'!$B$6, 0)</f>
        <v/>
      </c>
      <c r="R1896" s="13" t="n">
        <v>1</v>
      </c>
      <c r="S1896" s="14" t="n">
        <v>0.68</v>
      </c>
      <c r="T1896" s="14" t="n">
        <v>0.58</v>
      </c>
      <c r="U1896" s="26">
        <f>IF(X1896&gt;='Methodology &amp; Assumptions'!$B$7, "Tier 1 Critical GIDA (Score ≥ 50.0)", IF(X1896&gt;='Methodology &amp; Assumptions'!$B$8, "Tier 2 High GIDA (Score 40.0–49.9)", "Tier 3 Moderate GIDA (Score &lt; 40.0)"))</f>
        <v/>
      </c>
      <c r="V1896" s="26">
        <f>IF(S1896&lt;='Methodology &amp; Assumptions'!$B$10, "Direct Optical Drop (&lt;3km)", IF(S1896&lt;='Methodology &amp; Assumptions'!$B$9, "Near Optical / Microwave (&lt;5km)", "Starlink Business LEO Satellite Backhaul (&gt;5km)"))</f>
        <v/>
      </c>
      <c r="W1896" s="28" t="n">
        <v>0.07200000000000001</v>
      </c>
      <c r="X1896" s="14" t="n">
        <v>41.53</v>
      </c>
      <c r="Y1896" s="14">
        <f>ROUND(MIN(100, (X1896/69.91)*100), 2)</f>
        <v/>
      </c>
    </row>
    <row r="1897">
      <c r="A1897" s="10" t="n">
        <v>5</v>
      </c>
      <c r="B1897" s="10" t="n">
        <v>893</v>
      </c>
      <c r="C1897" s="10" t="n">
        <v>4893</v>
      </c>
      <c r="D1897" s="10" t="inlineStr">
        <is>
          <t>0500513029</t>
        </is>
      </c>
      <c r="E1897" s="26" t="inlineStr">
        <is>
          <t>Region V (Bicol Region)</t>
        </is>
      </c>
      <c r="F1897" s="26" t="inlineStr">
        <is>
          <t>Albay</t>
        </is>
      </c>
      <c r="G1897" s="26" t="inlineStr">
        <is>
          <t>Pio Duran</t>
        </is>
      </c>
      <c r="H1897" s="26" t="inlineStr">
        <is>
          <t>Salvacion</t>
        </is>
      </c>
      <c r="I1897" s="27" t="n">
        <v>13.083552</v>
      </c>
      <c r="J1897" s="27" t="n">
        <v>123.505591</v>
      </c>
      <c r="K1897" s="10" t="inlineStr">
        <is>
          <t>R</t>
        </is>
      </c>
      <c r="L1897" s="12" t="n">
        <v>603</v>
      </c>
      <c r="M1897" s="14" t="n">
        <v>4.1</v>
      </c>
      <c r="N1897" s="12">
        <f>ROUND(L1897/M1897, 0)</f>
        <v/>
      </c>
      <c r="O1897" s="12">
        <f>ROUND(N1897*'Methodology &amp; Assumptions'!$B$5, 0)</f>
        <v/>
      </c>
      <c r="P1897" s="10" t="inlineStr">
        <is>
          <t>Single Carrier (Band n50, 100MHz TDD)</t>
        </is>
      </c>
      <c r="Q1897" s="13">
        <f>ROUNDUP(O1897/'Methodology &amp; Assumptions'!$B$6, 0)</f>
        <v/>
      </c>
      <c r="R1897" s="13" t="n">
        <v>1</v>
      </c>
      <c r="S1897" s="14" t="n">
        <v>5.59</v>
      </c>
      <c r="T1897" s="14" t="n">
        <v>15.73</v>
      </c>
      <c r="U1897" s="26">
        <f>IF(X1897&gt;='Methodology &amp; Assumptions'!$B$7, "Tier 1 Critical GIDA (Score ≥ 50.0)", IF(X1897&gt;='Methodology &amp; Assumptions'!$B$8, "Tier 2 High GIDA (Score 40.0–49.9)", "Tier 3 Moderate GIDA (Score &lt; 40.0)"))</f>
        <v/>
      </c>
      <c r="V1897" s="26">
        <f>IF(S1897&lt;='Methodology &amp; Assumptions'!$B$10, "Direct Optical Drop (&lt;3km)", IF(S1897&lt;='Methodology &amp; Assumptions'!$B$9, "Near Optical / Microwave (&lt;5km)", "Starlink Business LEO Satellite Backhaul (&gt;5km)"))</f>
        <v/>
      </c>
      <c r="W1897" s="28" t="n">
        <v>0.237</v>
      </c>
      <c r="X1897" s="14" t="n">
        <v>41.53</v>
      </c>
      <c r="Y1897" s="14">
        <f>ROUND(MIN(100, (X1897/69.91)*100), 2)</f>
        <v/>
      </c>
    </row>
    <row r="1898">
      <c r="A1898" s="10" t="n">
        <v>5</v>
      </c>
      <c r="B1898" s="10" t="n">
        <v>894</v>
      </c>
      <c r="C1898" s="10" t="n">
        <v>4894</v>
      </c>
      <c r="D1898" s="10" t="inlineStr">
        <is>
          <t>1903610009</t>
        </is>
      </c>
      <c r="E1898" s="26" t="inlineStr">
        <is>
          <t>Bangsamoro Autonomous Region In Muslim Mindanao (BARMM)</t>
        </is>
      </c>
      <c r="F1898" s="26" t="inlineStr">
        <is>
          <t>Lanao del Sur</t>
        </is>
      </c>
      <c r="G1898" s="26" t="inlineStr">
        <is>
          <t>Kapai</t>
        </is>
      </c>
      <c r="H1898" s="26" t="inlineStr">
        <is>
          <t>Doronan</t>
        </is>
      </c>
      <c r="I1898" s="27" t="n">
        <v>17.254399</v>
      </c>
      <c r="J1898" s="27" t="n">
        <v>122.228443</v>
      </c>
      <c r="K1898" s="10" t="inlineStr">
        <is>
          <t>R</t>
        </is>
      </c>
      <c r="L1898" s="12" t="n">
        <v>1464</v>
      </c>
      <c r="M1898" s="14" t="n">
        <v>5.7</v>
      </c>
      <c r="N1898" s="12">
        <f>ROUND(L1898/M1898, 0)</f>
        <v/>
      </c>
      <c r="O1898" s="12">
        <f>ROUND(N1898*'Methodology &amp; Assumptions'!$B$5, 0)</f>
        <v/>
      </c>
      <c r="P1898" s="10" t="inlineStr">
        <is>
          <t>Single Carrier (Band n50, 100MHz TDD)</t>
        </is>
      </c>
      <c r="Q1898" s="13">
        <f>ROUNDUP(O1898/'Methodology &amp; Assumptions'!$B$6, 0)</f>
        <v/>
      </c>
      <c r="R1898" s="13" t="n">
        <v>1</v>
      </c>
      <c r="S1898" s="14" t="n">
        <v>29.35</v>
      </c>
      <c r="T1898" s="14" t="n">
        <v>34.24</v>
      </c>
      <c r="U1898" s="26">
        <f>IF(X1898&gt;='Methodology &amp; Assumptions'!$B$7, "Tier 1 Critical GIDA (Score ≥ 50.0)", IF(X1898&gt;='Methodology &amp; Assumptions'!$B$8, "Tier 2 High GIDA (Score 40.0–49.9)", "Tier 3 Moderate GIDA (Score &lt; 40.0)"))</f>
        <v/>
      </c>
      <c r="V1898" s="26">
        <f>IF(S1898&lt;='Methodology &amp; Assumptions'!$B$10, "Direct Optical Drop (&lt;3km)", IF(S1898&lt;='Methodology &amp; Assumptions'!$B$9, "Near Optical / Microwave (&lt;5km)", "Starlink Business LEO Satellite Backhaul (&gt;5km)"))</f>
        <v/>
      </c>
      <c r="W1898" s="28" t="n">
        <v>0.11</v>
      </c>
      <c r="X1898" s="14" t="n">
        <v>41.53</v>
      </c>
      <c r="Y1898" s="14">
        <f>ROUND(MIN(100, (X1898/69.91)*100), 2)</f>
        <v/>
      </c>
    </row>
    <row r="1899">
      <c r="A1899" s="10" t="n">
        <v>5</v>
      </c>
      <c r="B1899" s="10" t="n">
        <v>895</v>
      </c>
      <c r="C1899" s="10" t="n">
        <v>4895</v>
      </c>
      <c r="D1899" s="10" t="inlineStr">
        <is>
          <t>0405802004</t>
        </is>
      </c>
      <c r="E1899" s="26" t="inlineStr">
        <is>
          <t>Region IV-A (CALABARZON)</t>
        </is>
      </c>
      <c r="F1899" s="26" t="inlineStr">
        <is>
          <t>Rizal</t>
        </is>
      </c>
      <c r="G1899" s="26" t="inlineStr">
        <is>
          <t>City of Antipolo</t>
        </is>
      </c>
      <c r="H1899" s="26" t="inlineStr">
        <is>
          <t>Mayamot</t>
        </is>
      </c>
      <c r="I1899" s="27" t="n">
        <v>14.629676</v>
      </c>
      <c r="J1899" s="27" t="n">
        <v>121.120931</v>
      </c>
      <c r="K1899" s="10" t="inlineStr">
        <is>
          <t>U</t>
        </is>
      </c>
      <c r="L1899" s="12" t="n">
        <v>50271</v>
      </c>
      <c r="M1899" s="14" t="n">
        <v>3.6</v>
      </c>
      <c r="N1899" s="12">
        <f>ROUND(L1899/M1899, 0)</f>
        <v/>
      </c>
      <c r="O1899" s="12">
        <f>ROUND(N1899*'Methodology &amp; Assumptions'!$B$5, 0)</f>
        <v/>
      </c>
      <c r="P1899" s="10" t="inlineStr">
        <is>
          <t>Single Carrier (Band n50, 100MHz TDD)</t>
        </is>
      </c>
      <c r="Q1899" s="13">
        <f>ROUNDUP(O1899/'Methodology &amp; Assumptions'!$B$6, 0)</f>
        <v/>
      </c>
      <c r="R1899" s="13" t="n">
        <v>1</v>
      </c>
      <c r="S1899" s="14" t="n">
        <v>0.24</v>
      </c>
      <c r="T1899" s="14" t="n">
        <v>0.13</v>
      </c>
      <c r="U1899" s="26">
        <f>IF(X1899&gt;='Methodology &amp; Assumptions'!$B$7, "Tier 1 Critical GIDA (Score ≥ 50.0)", IF(X1899&gt;='Methodology &amp; Assumptions'!$B$8, "Tier 2 High GIDA (Score 40.0–49.9)", "Tier 3 Moderate GIDA (Score &lt; 40.0)"))</f>
        <v/>
      </c>
      <c r="V1899" s="26">
        <f>IF(S1899&lt;='Methodology &amp; Assumptions'!$B$10, "Direct Optical Drop (&lt;3km)", IF(S1899&lt;='Methodology &amp; Assumptions'!$B$9, "Near Optical / Microwave (&lt;5km)", "Starlink Business LEO Satellite Backhaul (&gt;5km)"))</f>
        <v/>
      </c>
      <c r="W1899" s="28" t="n">
        <v>0.07200000000000001</v>
      </c>
      <c r="X1899" s="14" t="n">
        <v>41.53</v>
      </c>
      <c r="Y1899" s="14">
        <f>ROUND(MIN(100, (X1899/69.91)*100), 2)</f>
        <v/>
      </c>
    </row>
    <row r="1900">
      <c r="A1900" s="10" t="n">
        <v>5</v>
      </c>
      <c r="B1900" s="10" t="n">
        <v>896</v>
      </c>
      <c r="C1900" s="10" t="n">
        <v>4896</v>
      </c>
      <c r="D1900" s="10" t="inlineStr">
        <is>
          <t>0405647009</t>
        </is>
      </c>
      <c r="E1900" s="26" t="inlineStr">
        <is>
          <t>Region IV-A (CALABARZON)</t>
        </is>
      </c>
      <c r="F1900" s="26" t="inlineStr">
        <is>
          <t>Quezon</t>
        </is>
      </c>
      <c r="G1900" s="26" t="inlineStr">
        <is>
          <t>City of Tayabas</t>
        </is>
      </c>
      <c r="H1900" s="26" t="inlineStr">
        <is>
          <t>Angustias Zone III</t>
        </is>
      </c>
      <c r="I1900" s="27" t="n">
        <v>14.03369</v>
      </c>
      <c r="J1900" s="27" t="n">
        <v>121.613732</v>
      </c>
      <c r="K1900" s="10" t="inlineStr">
        <is>
          <t>R</t>
        </is>
      </c>
      <c r="L1900" s="12" t="n">
        <v>381</v>
      </c>
      <c r="M1900" s="14" t="n">
        <v>3.8</v>
      </c>
      <c r="N1900" s="12">
        <f>ROUND(L1900/M1900, 0)</f>
        <v/>
      </c>
      <c r="O1900" s="12">
        <f>ROUND(N1900*'Methodology &amp; Assumptions'!$B$5, 0)</f>
        <v/>
      </c>
      <c r="P1900" s="10" t="inlineStr">
        <is>
          <t>Single Carrier (Band n50, 100MHz TDD)</t>
        </is>
      </c>
      <c r="Q1900" s="13">
        <f>ROUNDUP(O1900/'Methodology &amp; Assumptions'!$B$6, 0)</f>
        <v/>
      </c>
      <c r="R1900" s="13" t="n">
        <v>1</v>
      </c>
      <c r="S1900" s="14" t="n">
        <v>2.45</v>
      </c>
      <c r="T1900" s="14" t="n">
        <v>2.24</v>
      </c>
      <c r="U1900" s="26">
        <f>IF(X1900&gt;='Methodology &amp; Assumptions'!$B$7, "Tier 1 Critical GIDA (Score ≥ 50.0)", IF(X1900&gt;='Methodology &amp; Assumptions'!$B$8, "Tier 2 High GIDA (Score 40.0–49.9)", "Tier 3 Moderate GIDA (Score &lt; 40.0)"))</f>
        <v/>
      </c>
      <c r="V1900" s="26">
        <f>IF(S1900&lt;='Methodology &amp; Assumptions'!$B$10, "Direct Optical Drop (&lt;3km)", IF(S1900&lt;='Methodology &amp; Assumptions'!$B$9, "Near Optical / Microwave (&lt;5km)", "Starlink Business LEO Satellite Backhaul (&gt;5km)"))</f>
        <v/>
      </c>
      <c r="W1900" s="28" t="n">
        <v>0.07200000000000001</v>
      </c>
      <c r="X1900" s="14" t="n">
        <v>41.52</v>
      </c>
      <c r="Y1900" s="14">
        <f>ROUND(MIN(100, (X1900/69.91)*100), 2)</f>
        <v/>
      </c>
    </row>
    <row r="1901">
      <c r="A1901" s="10" t="n">
        <v>5</v>
      </c>
      <c r="B1901" s="10" t="n">
        <v>897</v>
      </c>
      <c r="C1901" s="10" t="n">
        <v>4897</v>
      </c>
      <c r="D1901" s="10" t="inlineStr">
        <is>
          <t>0200902009</t>
        </is>
      </c>
      <c r="E1901" s="26" t="inlineStr">
        <is>
          <t>Region II (Cagayan Valley)</t>
        </is>
      </c>
      <c r="F1901" s="26" t="inlineStr">
        <is>
          <t>Batanes</t>
        </is>
      </c>
      <c r="G1901" s="26" t="inlineStr">
        <is>
          <t>Itbayat</t>
        </is>
      </c>
      <c r="H1901" s="26" t="inlineStr">
        <is>
          <t>Santa Maria</t>
        </is>
      </c>
      <c r="I1901" s="27" t="n">
        <v>20.787201</v>
      </c>
      <c r="J1901" s="27" t="n">
        <v>121.841702</v>
      </c>
      <c r="K1901" s="10" t="inlineStr">
        <is>
          <t>R</t>
        </is>
      </c>
      <c r="L1901" s="12" t="n">
        <v>491</v>
      </c>
      <c r="M1901" s="14" t="n">
        <v>3</v>
      </c>
      <c r="N1901" s="12">
        <f>ROUND(L1901/M1901, 0)</f>
        <v/>
      </c>
      <c r="O1901" s="12">
        <f>ROUND(N1901*'Methodology &amp; Assumptions'!$B$5, 0)</f>
        <v/>
      </c>
      <c r="P1901" s="10" t="inlineStr">
        <is>
          <t>Single Carrier (Band n50, 100MHz TDD)</t>
        </is>
      </c>
      <c r="Q1901" s="13">
        <f>ROUNDUP(O1901/'Methodology &amp; Assumptions'!$B$6, 0)</f>
        <v/>
      </c>
      <c r="R1901" s="13" t="n">
        <v>1</v>
      </c>
      <c r="S1901" s="14" t="n">
        <v>999</v>
      </c>
      <c r="T1901" s="14" t="n">
        <v>999</v>
      </c>
      <c r="U1901" s="26">
        <f>IF(X1901&gt;='Methodology &amp; Assumptions'!$B$7, "Tier 1 Critical GIDA (Score ≥ 50.0)", IF(X1901&gt;='Methodology &amp; Assumptions'!$B$8, "Tier 2 High GIDA (Score 40.0–49.9)", "Tier 3 Moderate GIDA (Score &lt; 40.0)"))</f>
        <v/>
      </c>
      <c r="V1901" s="26">
        <f>IF(S1901&lt;='Methodology &amp; Assumptions'!$B$10, "Direct Optical Drop (&lt;3km)", IF(S1901&lt;='Methodology &amp; Assumptions'!$B$9, "Near Optical / Microwave (&lt;5km)", "Starlink Business LEO Satellite Backhaul (&gt;5km)"))</f>
        <v/>
      </c>
      <c r="W1901" s="28" t="n">
        <v>0.083</v>
      </c>
      <c r="X1901" s="14" t="n">
        <v>41.52</v>
      </c>
      <c r="Y1901" s="14">
        <f>ROUND(MIN(100, (X1901/69.91)*100), 2)</f>
        <v/>
      </c>
    </row>
    <row r="1902">
      <c r="A1902" s="10" t="n">
        <v>5</v>
      </c>
      <c r="B1902" s="10" t="n">
        <v>898</v>
      </c>
      <c r="C1902" s="10" t="n">
        <v>4898</v>
      </c>
      <c r="D1902" s="10" t="inlineStr">
        <is>
          <t>1907002043</t>
        </is>
      </c>
      <c r="E1902" s="26" t="inlineStr">
        <is>
          <t>Bangsamoro Autonomous Region In Muslim Mindanao (BARMM)</t>
        </is>
      </c>
      <c r="F1902" s="26" t="inlineStr">
        <is>
          <t>Tawi-Tawi</t>
        </is>
      </c>
      <c r="G1902" s="26" t="inlineStr">
        <is>
          <t>Bongao</t>
        </is>
      </c>
      <c r="H1902" s="26" t="inlineStr">
        <is>
          <t>Ungus-ungus</t>
        </is>
      </c>
      <c r="I1902" s="27" t="n">
        <v>14.493494</v>
      </c>
      <c r="J1902" s="27" t="n">
        <v>121.687383</v>
      </c>
      <c r="K1902" s="10" t="inlineStr">
        <is>
          <t>R</t>
        </is>
      </c>
      <c r="L1902" s="12" t="n">
        <v>1323</v>
      </c>
      <c r="M1902" s="14" t="n">
        <v>5.8</v>
      </c>
      <c r="N1902" s="12">
        <f>ROUND(L1902/M1902, 0)</f>
        <v/>
      </c>
      <c r="O1902" s="12">
        <f>ROUND(N1902*'Methodology &amp; Assumptions'!$B$5, 0)</f>
        <v/>
      </c>
      <c r="P1902" s="10" t="inlineStr">
        <is>
          <t>Single Carrier (Band n50, 100MHz TDD)</t>
        </is>
      </c>
      <c r="Q1902" s="13">
        <f>ROUNDUP(O1902/'Methodology &amp; Assumptions'!$B$6, 0)</f>
        <v/>
      </c>
      <c r="R1902" s="13" t="n">
        <v>1</v>
      </c>
      <c r="S1902" s="14" t="n">
        <v>6.44</v>
      </c>
      <c r="T1902" s="14" t="n">
        <v>25.06</v>
      </c>
      <c r="U1902" s="26">
        <f>IF(X1902&gt;='Methodology &amp; Assumptions'!$B$7, "Tier 1 Critical GIDA (Score ≥ 50.0)", IF(X1902&gt;='Methodology &amp; Assumptions'!$B$8, "Tier 2 High GIDA (Score 40.0–49.9)", "Tier 3 Moderate GIDA (Score &lt; 40.0)"))</f>
        <v/>
      </c>
      <c r="V1902" s="26">
        <f>IF(S1902&lt;='Methodology &amp; Assumptions'!$B$10, "Direct Optical Drop (&lt;3km)", IF(S1902&lt;='Methodology &amp; Assumptions'!$B$9, "Near Optical / Microwave (&lt;5km)", "Starlink Business LEO Satellite Backhaul (&gt;5km)"))</f>
        <v/>
      </c>
      <c r="W1902" s="28" t="n">
        <v>0.11</v>
      </c>
      <c r="X1902" s="14" t="n">
        <v>41.52</v>
      </c>
      <c r="Y1902" s="14">
        <f>ROUND(MIN(100, (X1902/69.91)*100), 2)</f>
        <v/>
      </c>
    </row>
    <row r="1903">
      <c r="A1903" s="10" t="n">
        <v>5</v>
      </c>
      <c r="B1903" s="10" t="n">
        <v>899</v>
      </c>
      <c r="C1903" s="10" t="n">
        <v>4899</v>
      </c>
      <c r="D1903" s="10" t="inlineStr">
        <is>
          <t>0504113022</t>
        </is>
      </c>
      <c r="E1903" s="26" t="inlineStr">
        <is>
          <t>Region V (Bicol Region)</t>
        </is>
      </c>
      <c r="F1903" s="26" t="inlineStr">
        <is>
          <t>Masbate</t>
        </is>
      </c>
      <c r="G1903" s="26" t="inlineStr">
        <is>
          <t>Mobo</t>
        </is>
      </c>
      <c r="H1903" s="26" t="inlineStr">
        <is>
          <t>Sambulawan</t>
        </is>
      </c>
      <c r="I1903" s="27" t="n">
        <v>12.283068</v>
      </c>
      <c r="J1903" s="27" t="n">
        <v>123.622231</v>
      </c>
      <c r="K1903" s="10" t="inlineStr">
        <is>
          <t>R</t>
        </is>
      </c>
      <c r="L1903" s="12" t="n">
        <v>379</v>
      </c>
      <c r="M1903" s="14" t="n">
        <v>4.1</v>
      </c>
      <c r="N1903" s="12">
        <f>ROUND(L1903/M1903, 0)</f>
        <v/>
      </c>
      <c r="O1903" s="12">
        <f>ROUND(N1903*'Methodology &amp; Assumptions'!$B$5, 0)</f>
        <v/>
      </c>
      <c r="P1903" s="10" t="inlineStr">
        <is>
          <t>Single Carrier (Band n50, 100MHz TDD)</t>
        </is>
      </c>
      <c r="Q1903" s="13">
        <f>ROUNDUP(O1903/'Methodology &amp; Assumptions'!$B$6, 0)</f>
        <v/>
      </c>
      <c r="R1903" s="13" t="n">
        <v>1</v>
      </c>
      <c r="S1903" s="14" t="n">
        <v>7.16</v>
      </c>
      <c r="T1903" s="14" t="n">
        <v>7.46</v>
      </c>
      <c r="U1903" s="26">
        <f>IF(X1903&gt;='Methodology &amp; Assumptions'!$B$7, "Tier 1 Critical GIDA (Score ≥ 50.0)", IF(X1903&gt;='Methodology &amp; Assumptions'!$B$8, "Tier 2 High GIDA (Score 40.0–49.9)", "Tier 3 Moderate GIDA (Score &lt; 40.0)"))</f>
        <v/>
      </c>
      <c r="V1903" s="26">
        <f>IF(S1903&lt;='Methodology &amp; Assumptions'!$B$10, "Direct Optical Drop (&lt;3km)", IF(S1903&lt;='Methodology &amp; Assumptions'!$B$9, "Near Optical / Microwave (&lt;5km)", "Starlink Business LEO Satellite Backhaul (&gt;5km)"))</f>
        <v/>
      </c>
      <c r="W1903" s="28" t="n">
        <v>0.237</v>
      </c>
      <c r="X1903" s="14" t="n">
        <v>41.52</v>
      </c>
      <c r="Y1903" s="14">
        <f>ROUND(MIN(100, (X1903/69.91)*100), 2)</f>
        <v/>
      </c>
    </row>
    <row r="1904">
      <c r="A1904" s="10" t="n">
        <v>5</v>
      </c>
      <c r="B1904" s="10" t="n">
        <v>900</v>
      </c>
      <c r="C1904" s="10" t="n">
        <v>4900</v>
      </c>
      <c r="D1904" s="10" t="inlineStr">
        <is>
          <t>1903620011</t>
        </is>
      </c>
      <c r="E1904" s="26" t="inlineStr">
        <is>
          <t>Bangsamoro Autonomous Region In Muslim Mindanao (BARMM)</t>
        </is>
      </c>
      <c r="F1904" s="26" t="inlineStr">
        <is>
          <t>Lanao del Sur</t>
        </is>
      </c>
      <c r="G1904" s="26" t="inlineStr">
        <is>
          <t>Pagayawan</t>
        </is>
      </c>
      <c r="H1904" s="26" t="inlineStr">
        <is>
          <t>Biala-an</t>
        </is>
      </c>
      <c r="I1904" s="27" t="n">
        <v>17.263397</v>
      </c>
      <c r="J1904" s="27" t="n">
        <v>122.222892</v>
      </c>
      <c r="K1904" s="10" t="inlineStr">
        <is>
          <t>R</t>
        </is>
      </c>
      <c r="L1904" s="12" t="n">
        <v>526</v>
      </c>
      <c r="M1904" s="14" t="n">
        <v>5.7</v>
      </c>
      <c r="N1904" s="12">
        <f>ROUND(L1904/M1904, 0)</f>
        <v/>
      </c>
      <c r="O1904" s="12">
        <f>ROUND(N1904*'Methodology &amp; Assumptions'!$B$5, 0)</f>
        <v/>
      </c>
      <c r="P1904" s="10" t="inlineStr">
        <is>
          <t>Single Carrier (Band n50, 100MHz TDD)</t>
        </is>
      </c>
      <c r="Q1904" s="13">
        <f>ROUNDUP(O1904/'Methodology &amp; Assumptions'!$B$6, 0)</f>
        <v/>
      </c>
      <c r="R1904" s="13" t="n">
        <v>1</v>
      </c>
      <c r="S1904" s="14" t="n">
        <v>29.55</v>
      </c>
      <c r="T1904" s="14" t="n">
        <v>33.98</v>
      </c>
      <c r="U1904" s="26">
        <f>IF(X1904&gt;='Methodology &amp; Assumptions'!$B$7, "Tier 1 Critical GIDA (Score ≥ 50.0)", IF(X1904&gt;='Methodology &amp; Assumptions'!$B$8, "Tier 2 High GIDA (Score 40.0–49.9)", "Tier 3 Moderate GIDA (Score &lt; 40.0)"))</f>
        <v/>
      </c>
      <c r="V1904" s="26">
        <f>IF(S1904&lt;='Methodology &amp; Assumptions'!$B$10, "Direct Optical Drop (&lt;3km)", IF(S1904&lt;='Methodology &amp; Assumptions'!$B$9, "Near Optical / Microwave (&lt;5km)", "Starlink Business LEO Satellite Backhaul (&gt;5km)"))</f>
        <v/>
      </c>
      <c r="W1904" s="28" t="n">
        <v>0.11</v>
      </c>
      <c r="X1904" s="14" t="n">
        <v>41.52</v>
      </c>
      <c r="Y1904" s="14">
        <f>ROUND(MIN(100, (X1904/69.91)*100), 2)</f>
        <v/>
      </c>
    </row>
    <row r="1905">
      <c r="A1905" s="10" t="n">
        <v>5</v>
      </c>
      <c r="B1905" s="10" t="n">
        <v>901</v>
      </c>
      <c r="C1905" s="10" t="n">
        <v>4901</v>
      </c>
      <c r="D1905" s="10" t="inlineStr">
        <is>
          <t>PH0004901</t>
        </is>
      </c>
      <c r="E1905" s="26" t="inlineStr">
        <is>
          <t>IV-A</t>
        </is>
      </c>
      <c r="F1905" s="26" t="inlineStr">
        <is>
          <t>Cavite</t>
        </is>
      </c>
      <c r="G1905" s="26" t="inlineStr">
        <is>
          <t>City of Bacoor</t>
        </is>
      </c>
      <c r="H1905" s="26" t="inlineStr">
        <is>
          <t>P.F. Espiritu 2</t>
        </is>
      </c>
      <c r="I1905" s="27" t="n">
        <v>14.114971</v>
      </c>
      <c r="J1905" s="27" t="n">
        <v>120.893189</v>
      </c>
      <c r="K1905" s="10" t="inlineStr">
        <is>
          <t>R</t>
        </is>
      </c>
      <c r="L1905" s="12" t="n">
        <v>9584</v>
      </c>
      <c r="M1905" s="14" t="n">
        <v>3.4</v>
      </c>
      <c r="N1905" s="12">
        <f>ROUND(L1905/M1905, 0)</f>
        <v/>
      </c>
      <c r="O1905" s="12">
        <f>ROUND(N1905*'Methodology &amp; Assumptions'!$B$5, 0)</f>
        <v/>
      </c>
      <c r="P1905" s="10" t="inlineStr">
        <is>
          <t>Single Carrier (Band n50, 100MHz TDD)</t>
        </is>
      </c>
      <c r="Q1905" s="13">
        <f>ROUNDUP(O1905/'Methodology &amp; Assumptions'!$B$6, 0)</f>
        <v/>
      </c>
      <c r="R1905" s="13" t="n">
        <v>1</v>
      </c>
      <c r="S1905" s="14" t="n">
        <v>2.33</v>
      </c>
      <c r="T1905" s="14" t="n">
        <v>3</v>
      </c>
      <c r="U1905" s="26">
        <f>IF(X1905&gt;='Methodology &amp; Assumptions'!$B$7, "Tier 1 Critical GIDA (Score ≥ 50.0)", IF(X1905&gt;='Methodology &amp; Assumptions'!$B$8, "Tier 2 High GIDA (Score 40.0–49.9)", "Tier 3 Moderate GIDA (Score &lt; 40.0)"))</f>
        <v/>
      </c>
      <c r="V1905" s="26">
        <f>IF(S1905&lt;='Methodology &amp; Assumptions'!$B$10, "Direct Optical Drop (&lt;3km)", IF(S1905&lt;='Methodology &amp; Assumptions'!$B$9, "Near Optical / Microwave (&lt;5km)", "Starlink Business LEO Satellite Backhaul (&gt;5km)"))</f>
        <v/>
      </c>
      <c r="W1905" s="28" t="n">
        <v>0.07200000000000001</v>
      </c>
      <c r="X1905" s="14" t="n">
        <v>41.51</v>
      </c>
      <c r="Y1905" s="14">
        <f>ROUND(MIN(100, (X1905/69.91)*100), 2)</f>
        <v/>
      </c>
    </row>
    <row r="1906">
      <c r="A1906" s="10" t="n">
        <v>5</v>
      </c>
      <c r="B1906" s="10" t="n">
        <v>902</v>
      </c>
      <c r="C1906" s="10" t="n">
        <v>4902</v>
      </c>
      <c r="D1906" s="10" t="inlineStr">
        <is>
          <t>0401012033</t>
        </is>
      </c>
      <c r="E1906" s="26" t="inlineStr">
        <is>
          <t>Region IV-A (CALABARZON)</t>
        </is>
      </c>
      <c r="F1906" s="26" t="inlineStr">
        <is>
          <t>Batangas</t>
        </is>
      </c>
      <c r="G1906" s="26" t="inlineStr">
        <is>
          <t>Lemery</t>
        </is>
      </c>
      <c r="H1906" s="26" t="inlineStr">
        <is>
          <t>District II</t>
        </is>
      </c>
      <c r="I1906" s="27" t="n">
        <v>13.932512</v>
      </c>
      <c r="J1906" s="27" t="n">
        <v>120.890411</v>
      </c>
      <c r="K1906" s="10" t="inlineStr">
        <is>
          <t>U</t>
        </is>
      </c>
      <c r="L1906" s="12" t="n">
        <v>622</v>
      </c>
      <c r="M1906" s="14" t="n">
        <v>3.6</v>
      </c>
      <c r="N1906" s="12">
        <f>ROUND(L1906/M1906, 0)</f>
        <v/>
      </c>
      <c r="O1906" s="12">
        <f>ROUND(N1906*'Methodology &amp; Assumptions'!$B$5, 0)</f>
        <v/>
      </c>
      <c r="P1906" s="10" t="inlineStr">
        <is>
          <t>Single Carrier (Band n50, 100MHz TDD)</t>
        </is>
      </c>
      <c r="Q1906" s="13">
        <f>ROUNDUP(O1906/'Methodology &amp; Assumptions'!$B$6, 0)</f>
        <v/>
      </c>
      <c r="R1906" s="13" t="n">
        <v>1</v>
      </c>
      <c r="S1906" s="14" t="n">
        <v>4.89</v>
      </c>
      <c r="T1906" s="14" t="n">
        <v>2.45</v>
      </c>
      <c r="U1906" s="26">
        <f>IF(X1906&gt;='Methodology &amp; Assumptions'!$B$7, "Tier 1 Critical GIDA (Score ≥ 50.0)", IF(X1906&gt;='Methodology &amp; Assumptions'!$B$8, "Tier 2 High GIDA (Score 40.0–49.9)", "Tier 3 Moderate GIDA (Score &lt; 40.0)"))</f>
        <v/>
      </c>
      <c r="V1906" s="26">
        <f>IF(S1906&lt;='Methodology &amp; Assumptions'!$B$10, "Direct Optical Drop (&lt;3km)", IF(S1906&lt;='Methodology &amp; Assumptions'!$B$9, "Near Optical / Microwave (&lt;5km)", "Starlink Business LEO Satellite Backhaul (&gt;5km)"))</f>
        <v/>
      </c>
      <c r="W1906" s="28" t="n">
        <v>0.07200000000000001</v>
      </c>
      <c r="X1906" s="14" t="n">
        <v>41.51</v>
      </c>
      <c r="Y1906" s="14">
        <f>ROUND(MIN(100, (X1906/69.91)*100), 2)</f>
        <v/>
      </c>
    </row>
    <row r="1907">
      <c r="A1907" s="10" t="n">
        <v>5</v>
      </c>
      <c r="B1907" s="10" t="n">
        <v>903</v>
      </c>
      <c r="C1907" s="10" t="n">
        <v>4903</v>
      </c>
      <c r="D1907" s="10" t="inlineStr">
        <is>
          <t>1907002046</t>
        </is>
      </c>
      <c r="E1907" s="26" t="inlineStr">
        <is>
          <t>Bangsamoro Autonomous Region In Muslim Mindanao (BARMM)</t>
        </is>
      </c>
      <c r="F1907" s="26" t="inlineStr">
        <is>
          <t>Tawi-Tawi</t>
        </is>
      </c>
      <c r="G1907" s="26" t="inlineStr">
        <is>
          <t>Bongao</t>
        </is>
      </c>
      <c r="H1907" s="26" t="inlineStr">
        <is>
          <t>Pagatpat</t>
        </is>
      </c>
      <c r="I1907" s="27" t="n">
        <v>5.032944</v>
      </c>
      <c r="J1907" s="27" t="n">
        <v>119.773501</v>
      </c>
      <c r="K1907" s="10" t="inlineStr">
        <is>
          <t>R</t>
        </is>
      </c>
      <c r="L1907" s="12" t="n">
        <v>1104</v>
      </c>
      <c r="M1907" s="14" t="n">
        <v>5.8</v>
      </c>
      <c r="N1907" s="12">
        <f>ROUND(L1907/M1907, 0)</f>
        <v/>
      </c>
      <c r="O1907" s="12">
        <f>ROUND(N1907*'Methodology &amp; Assumptions'!$B$5, 0)</f>
        <v/>
      </c>
      <c r="P1907" s="10" t="inlineStr">
        <is>
          <t>Single Carrier (Band n50, 100MHz TDD)</t>
        </is>
      </c>
      <c r="Q1907" s="13">
        <f>ROUNDUP(O1907/'Methodology &amp; Assumptions'!$B$6, 0)</f>
        <v/>
      </c>
      <c r="R1907" s="13" t="n">
        <v>1</v>
      </c>
      <c r="S1907" s="14" t="n">
        <v>999</v>
      </c>
      <c r="T1907" s="14" t="n">
        <v>999</v>
      </c>
      <c r="U1907" s="26">
        <f>IF(X1907&gt;='Methodology &amp; Assumptions'!$B$7, "Tier 1 Critical GIDA (Score ≥ 50.0)", IF(X1907&gt;='Methodology &amp; Assumptions'!$B$8, "Tier 2 High GIDA (Score 40.0–49.9)", "Tier 3 Moderate GIDA (Score &lt; 40.0)"))</f>
        <v/>
      </c>
      <c r="V1907" s="26">
        <f>IF(S1907&lt;='Methodology &amp; Assumptions'!$B$10, "Direct Optical Drop (&lt;3km)", IF(S1907&lt;='Methodology &amp; Assumptions'!$B$9, "Near Optical / Microwave (&lt;5km)", "Starlink Business LEO Satellite Backhaul (&gt;5km)"))</f>
        <v/>
      </c>
      <c r="W1907" s="28" t="n">
        <v>0.11</v>
      </c>
      <c r="X1907" s="14" t="n">
        <v>41.51</v>
      </c>
      <c r="Y1907" s="14">
        <f>ROUND(MIN(100, (X1907/69.91)*100), 2)</f>
        <v/>
      </c>
    </row>
    <row r="1908">
      <c r="A1908" s="10" t="n">
        <v>5</v>
      </c>
      <c r="B1908" s="10" t="n">
        <v>904</v>
      </c>
      <c r="C1908" s="10" t="n">
        <v>4904</v>
      </c>
      <c r="D1908" s="10" t="inlineStr">
        <is>
          <t>PH0004904</t>
        </is>
      </c>
      <c r="E1908" s="26" t="inlineStr">
        <is>
          <t>IV-A</t>
        </is>
      </c>
      <c r="F1908" s="26" t="inlineStr">
        <is>
          <t>Cavite</t>
        </is>
      </c>
      <c r="G1908" s="26" t="inlineStr">
        <is>
          <t>Cavite City</t>
        </is>
      </c>
      <c r="H1908" s="26" t="inlineStr">
        <is>
          <t>Barangay 59</t>
        </is>
      </c>
      <c r="I1908" s="27" t="n">
        <v>14.524074</v>
      </c>
      <c r="J1908" s="27" t="n">
        <v>120.861496</v>
      </c>
      <c r="K1908" s="10" t="inlineStr">
        <is>
          <t>R</t>
        </is>
      </c>
      <c r="L1908" s="12" t="n">
        <v>2316</v>
      </c>
      <c r="M1908" s="14" t="n">
        <v>3.4</v>
      </c>
      <c r="N1908" s="12">
        <f>ROUND(L1908/M1908, 0)</f>
        <v/>
      </c>
      <c r="O1908" s="12">
        <f>ROUND(N1908*'Methodology &amp; Assumptions'!$B$5, 0)</f>
        <v/>
      </c>
      <c r="P1908" s="10" t="inlineStr">
        <is>
          <t>Single Carrier (Band n50, 100MHz TDD)</t>
        </is>
      </c>
      <c r="Q1908" s="13">
        <f>ROUNDUP(O1908/'Methodology &amp; Assumptions'!$B$6, 0)</f>
        <v/>
      </c>
      <c r="R1908" s="13" t="n">
        <v>1</v>
      </c>
      <c r="S1908" s="14" t="n">
        <v>6.16</v>
      </c>
      <c r="T1908" s="14" t="n">
        <v>10.34</v>
      </c>
      <c r="U1908" s="26">
        <f>IF(X1908&gt;='Methodology &amp; Assumptions'!$B$7, "Tier 1 Critical GIDA (Score ≥ 50.0)", IF(X1908&gt;='Methodology &amp; Assumptions'!$B$8, "Tier 2 High GIDA (Score 40.0–49.9)", "Tier 3 Moderate GIDA (Score &lt; 40.0)"))</f>
        <v/>
      </c>
      <c r="V1908" s="26">
        <f>IF(S1908&lt;='Methodology &amp; Assumptions'!$B$10, "Direct Optical Drop (&lt;3km)", IF(S1908&lt;='Methodology &amp; Assumptions'!$B$9, "Near Optical / Microwave (&lt;5km)", "Starlink Business LEO Satellite Backhaul (&gt;5km)"))</f>
        <v/>
      </c>
      <c r="W1908" s="28" t="n">
        <v>0.07200000000000001</v>
      </c>
      <c r="X1908" s="14" t="n">
        <v>41.51</v>
      </c>
      <c r="Y1908" s="14">
        <f>ROUND(MIN(100, (X1908/69.91)*100), 2)</f>
        <v/>
      </c>
    </row>
    <row r="1909">
      <c r="A1909" s="10" t="n">
        <v>5</v>
      </c>
      <c r="B1909" s="10" t="n">
        <v>905</v>
      </c>
      <c r="C1909" s="10" t="n">
        <v>4905</v>
      </c>
      <c r="D1909" s="10" t="inlineStr">
        <is>
          <t>PH0004905</t>
        </is>
      </c>
      <c r="E1909" s="26" t="inlineStr">
        <is>
          <t>IV-A</t>
        </is>
      </c>
      <c r="F1909" s="26" t="inlineStr">
        <is>
          <t>Cavite</t>
        </is>
      </c>
      <c r="G1909" s="26" t="inlineStr">
        <is>
          <t>City of Bacoor</t>
        </is>
      </c>
      <c r="H1909" s="26" t="inlineStr">
        <is>
          <t>Talaba 1</t>
        </is>
      </c>
      <c r="I1909" s="27" t="n">
        <v>14.424906</v>
      </c>
      <c r="J1909" s="27" t="n">
        <v>120.784088</v>
      </c>
      <c r="K1909" s="10" t="inlineStr">
        <is>
          <t>R</t>
        </is>
      </c>
      <c r="L1909" s="12" t="n">
        <v>9584</v>
      </c>
      <c r="M1909" s="14" t="n">
        <v>3.4</v>
      </c>
      <c r="N1909" s="12">
        <f>ROUND(L1909/M1909, 0)</f>
        <v/>
      </c>
      <c r="O1909" s="12">
        <f>ROUND(N1909*'Methodology &amp; Assumptions'!$B$5, 0)</f>
        <v/>
      </c>
      <c r="P1909" s="10" t="inlineStr">
        <is>
          <t>Single Carrier (Band n50, 100MHz TDD)</t>
        </is>
      </c>
      <c r="Q1909" s="13">
        <f>ROUNDUP(O1909/'Methodology &amp; Assumptions'!$B$6, 0)</f>
        <v/>
      </c>
      <c r="R1909" s="13" t="n">
        <v>1</v>
      </c>
      <c r="S1909" s="14" t="n">
        <v>7.4</v>
      </c>
      <c r="T1909" s="14" t="n">
        <v>7.38</v>
      </c>
      <c r="U1909" s="26">
        <f>IF(X1909&gt;='Methodology &amp; Assumptions'!$B$7, "Tier 1 Critical GIDA (Score ≥ 50.0)", IF(X1909&gt;='Methodology &amp; Assumptions'!$B$8, "Tier 2 High GIDA (Score 40.0–49.9)", "Tier 3 Moderate GIDA (Score &lt; 40.0)"))</f>
        <v/>
      </c>
      <c r="V1909" s="26">
        <f>IF(S1909&lt;='Methodology &amp; Assumptions'!$B$10, "Direct Optical Drop (&lt;3km)", IF(S1909&lt;='Methodology &amp; Assumptions'!$B$9, "Near Optical / Microwave (&lt;5km)", "Starlink Business LEO Satellite Backhaul (&gt;5km)"))</f>
        <v/>
      </c>
      <c r="W1909" s="28" t="n">
        <v>0.07200000000000001</v>
      </c>
      <c r="X1909" s="14" t="n">
        <v>41.5</v>
      </c>
      <c r="Y1909" s="14">
        <f>ROUND(MIN(100, (X1909/69.91)*100), 2)</f>
        <v/>
      </c>
    </row>
    <row r="1910">
      <c r="A1910" s="10" t="n">
        <v>5</v>
      </c>
      <c r="B1910" s="10" t="n">
        <v>906</v>
      </c>
      <c r="C1910" s="10" t="n">
        <v>4906</v>
      </c>
      <c r="D1910" s="10" t="inlineStr">
        <is>
          <t>1903605022</t>
        </is>
      </c>
      <c r="E1910" s="26" t="inlineStr">
        <is>
          <t>Bangsamoro Autonomous Region In Muslim Mindanao (BARMM)</t>
        </is>
      </c>
      <c r="F1910" s="26" t="inlineStr">
        <is>
          <t>Lanao del Sur</t>
        </is>
      </c>
      <c r="G1910" s="26" t="inlineStr">
        <is>
          <t>Binidayan</t>
        </is>
      </c>
      <c r="H1910" s="26" t="inlineStr">
        <is>
          <t>Picalilangan</t>
        </is>
      </c>
      <c r="I1910" s="27" t="n">
        <v>17.254764</v>
      </c>
      <c r="J1910" s="27" t="n">
        <v>122.228808</v>
      </c>
      <c r="K1910" s="10" t="inlineStr">
        <is>
          <t>R</t>
        </is>
      </c>
      <c r="L1910" s="12" t="n">
        <v>1032</v>
      </c>
      <c r="M1910" s="14" t="n">
        <v>5.7</v>
      </c>
      <c r="N1910" s="12">
        <f>ROUND(L1910/M1910, 0)</f>
        <v/>
      </c>
      <c r="O1910" s="12">
        <f>ROUND(N1910*'Methodology &amp; Assumptions'!$B$5, 0)</f>
        <v/>
      </c>
      <c r="P1910" s="10" t="inlineStr">
        <is>
          <t>Single Carrier (Band n50, 100MHz TDD)</t>
        </is>
      </c>
      <c r="Q1910" s="13">
        <f>ROUNDUP(O1910/'Methodology &amp; Assumptions'!$B$6, 0)</f>
        <v/>
      </c>
      <c r="R1910" s="13" t="n">
        <v>1</v>
      </c>
      <c r="S1910" s="14" t="n">
        <v>29.4</v>
      </c>
      <c r="T1910" s="14" t="n">
        <v>34.29</v>
      </c>
      <c r="U1910" s="26">
        <f>IF(X1910&gt;='Methodology &amp; Assumptions'!$B$7, "Tier 1 Critical GIDA (Score ≥ 50.0)", IF(X1910&gt;='Methodology &amp; Assumptions'!$B$8, "Tier 2 High GIDA (Score 40.0–49.9)", "Tier 3 Moderate GIDA (Score &lt; 40.0)"))</f>
        <v/>
      </c>
      <c r="V1910" s="26">
        <f>IF(S1910&lt;='Methodology &amp; Assumptions'!$B$10, "Direct Optical Drop (&lt;3km)", IF(S1910&lt;='Methodology &amp; Assumptions'!$B$9, "Near Optical / Microwave (&lt;5km)", "Starlink Business LEO Satellite Backhaul (&gt;5km)"))</f>
        <v/>
      </c>
      <c r="W1910" s="28" t="n">
        <v>0.11</v>
      </c>
      <c r="X1910" s="14" t="n">
        <v>41.5</v>
      </c>
      <c r="Y1910" s="14">
        <f>ROUND(MIN(100, (X1910/69.91)*100), 2)</f>
        <v/>
      </c>
    </row>
    <row r="1911">
      <c r="A1911" s="10" t="n">
        <v>5</v>
      </c>
      <c r="B1911" s="10" t="n">
        <v>907</v>
      </c>
      <c r="C1911" s="10" t="n">
        <v>4907</v>
      </c>
      <c r="D1911" s="10" t="inlineStr">
        <is>
          <t>0402116008</t>
        </is>
      </c>
      <c r="E1911" s="26" t="inlineStr">
        <is>
          <t>Region IV-A (CALABARZON)</t>
        </is>
      </c>
      <c r="F1911" s="26" t="inlineStr">
        <is>
          <t>Cavite</t>
        </is>
      </c>
      <c r="G1911" s="26" t="inlineStr">
        <is>
          <t>Noveleta</t>
        </is>
      </c>
      <c r="H1911" s="26" t="inlineStr">
        <is>
          <t>San Jose I</t>
        </is>
      </c>
      <c r="I1911" s="27" t="n">
        <v>14.431639</v>
      </c>
      <c r="J1911" s="27" t="n">
        <v>120.87488</v>
      </c>
      <c r="K1911" s="10" t="inlineStr">
        <is>
          <t>R</t>
        </is>
      </c>
      <c r="L1911" s="12" t="n">
        <v>1532</v>
      </c>
      <c r="M1911" s="14" t="n">
        <v>3.4</v>
      </c>
      <c r="N1911" s="12">
        <f>ROUND(L1911/M1911, 0)</f>
        <v/>
      </c>
      <c r="O1911" s="12">
        <f>ROUND(N1911*'Methodology &amp; Assumptions'!$B$5, 0)</f>
        <v/>
      </c>
      <c r="P1911" s="10" t="inlineStr">
        <is>
          <t>Single Carrier (Band n50, 100MHz TDD)</t>
        </is>
      </c>
      <c r="Q1911" s="13">
        <f>ROUNDUP(O1911/'Methodology &amp; Assumptions'!$B$6, 0)</f>
        <v/>
      </c>
      <c r="R1911" s="13" t="n">
        <v>1</v>
      </c>
      <c r="S1911" s="14" t="n">
        <v>0.91</v>
      </c>
      <c r="T1911" s="14" t="n">
        <v>0.87</v>
      </c>
      <c r="U1911" s="26">
        <f>IF(X1911&gt;='Methodology &amp; Assumptions'!$B$7, "Tier 1 Critical GIDA (Score ≥ 50.0)", IF(X1911&gt;='Methodology &amp; Assumptions'!$B$8, "Tier 2 High GIDA (Score 40.0–49.9)", "Tier 3 Moderate GIDA (Score &lt; 40.0)"))</f>
        <v/>
      </c>
      <c r="V1911" s="26">
        <f>IF(S1911&lt;='Methodology &amp; Assumptions'!$B$10, "Direct Optical Drop (&lt;3km)", IF(S1911&lt;='Methodology &amp; Assumptions'!$B$9, "Near Optical / Microwave (&lt;5km)", "Starlink Business LEO Satellite Backhaul (&gt;5km)"))</f>
        <v/>
      </c>
      <c r="W1911" s="28" t="n">
        <v>0.07200000000000001</v>
      </c>
      <c r="X1911" s="14" t="n">
        <v>41.5</v>
      </c>
      <c r="Y1911" s="14">
        <f>ROUND(MIN(100, (X1911/69.91)*100), 2)</f>
        <v/>
      </c>
    </row>
    <row r="1912">
      <c r="A1912" s="10" t="n">
        <v>5</v>
      </c>
      <c r="B1912" s="10" t="n">
        <v>908</v>
      </c>
      <c r="C1912" s="10" t="n">
        <v>4908</v>
      </c>
      <c r="D1912" s="10" t="inlineStr">
        <is>
          <t>0405647049</t>
        </is>
      </c>
      <c r="E1912" s="26" t="inlineStr">
        <is>
          <t>Region IV-A (CALABARZON)</t>
        </is>
      </c>
      <c r="F1912" s="26" t="inlineStr">
        <is>
          <t>Quezon</t>
        </is>
      </c>
      <c r="G1912" s="26" t="inlineStr">
        <is>
          <t>City of Tayabas</t>
        </is>
      </c>
      <c r="H1912" s="26" t="inlineStr">
        <is>
          <t>San Diego Zone I</t>
        </is>
      </c>
      <c r="I1912" s="27" t="n">
        <v>14.005615</v>
      </c>
      <c r="J1912" s="27" t="n">
        <v>121.614867</v>
      </c>
      <c r="K1912" s="10" t="inlineStr">
        <is>
          <t>R</t>
        </is>
      </c>
      <c r="L1912" s="12" t="n">
        <v>385</v>
      </c>
      <c r="M1912" s="14" t="n">
        <v>3.8</v>
      </c>
      <c r="N1912" s="12">
        <f>ROUND(L1912/M1912, 0)</f>
        <v/>
      </c>
      <c r="O1912" s="12">
        <f>ROUND(N1912*'Methodology &amp; Assumptions'!$B$5, 0)</f>
        <v/>
      </c>
      <c r="P1912" s="10" t="inlineStr">
        <is>
          <t>Single Carrier (Band n50, 100MHz TDD)</t>
        </is>
      </c>
      <c r="Q1912" s="13">
        <f>ROUNDUP(O1912/'Methodology &amp; Assumptions'!$B$6, 0)</f>
        <v/>
      </c>
      <c r="R1912" s="13" t="n">
        <v>1</v>
      </c>
      <c r="S1912" s="14" t="n">
        <v>3.06</v>
      </c>
      <c r="T1912" s="14" t="n">
        <v>0.62</v>
      </c>
      <c r="U1912" s="26">
        <f>IF(X1912&gt;='Methodology &amp; Assumptions'!$B$7, "Tier 1 Critical GIDA (Score ≥ 50.0)", IF(X1912&gt;='Methodology &amp; Assumptions'!$B$8, "Tier 2 High GIDA (Score 40.0–49.9)", "Tier 3 Moderate GIDA (Score &lt; 40.0)"))</f>
        <v/>
      </c>
      <c r="V1912" s="26">
        <f>IF(S1912&lt;='Methodology &amp; Assumptions'!$B$10, "Direct Optical Drop (&lt;3km)", IF(S1912&lt;='Methodology &amp; Assumptions'!$B$9, "Near Optical / Microwave (&lt;5km)", "Starlink Business LEO Satellite Backhaul (&gt;5km)"))</f>
        <v/>
      </c>
      <c r="W1912" s="28" t="n">
        <v>0.07200000000000001</v>
      </c>
      <c r="X1912" s="14" t="n">
        <v>41.5</v>
      </c>
      <c r="Y1912" s="14">
        <f>ROUND(MIN(100, (X1912/69.91)*100), 2)</f>
        <v/>
      </c>
    </row>
    <row r="1913">
      <c r="A1913" s="10" t="n">
        <v>5</v>
      </c>
      <c r="B1913" s="10" t="n">
        <v>909</v>
      </c>
      <c r="C1913" s="10" t="n">
        <v>4909</v>
      </c>
      <c r="D1913" s="10" t="inlineStr">
        <is>
          <t>0402108003</t>
        </is>
      </c>
      <c r="E1913" s="26" t="inlineStr">
        <is>
          <t>Region IV-A (CALABARZON)</t>
        </is>
      </c>
      <c r="F1913" s="26" t="inlineStr">
        <is>
          <t>Cavite</t>
        </is>
      </c>
      <c r="G1913" s="26" t="inlineStr">
        <is>
          <t>City of General Trias</t>
        </is>
      </c>
      <c r="H1913" s="26" t="inlineStr">
        <is>
          <t>Gov. Ferrer Pob.</t>
        </is>
      </c>
      <c r="I1913" s="27" t="n">
        <v>14.326916</v>
      </c>
      <c r="J1913" s="27" t="n">
        <v>120.902305</v>
      </c>
      <c r="K1913" s="10" t="inlineStr">
        <is>
          <t>R</t>
        </is>
      </c>
      <c r="L1913" s="12" t="n">
        <v>261</v>
      </c>
      <c r="M1913" s="14" t="n">
        <v>3.4</v>
      </c>
      <c r="N1913" s="12">
        <f>ROUND(L1913/M1913, 0)</f>
        <v/>
      </c>
      <c r="O1913" s="12">
        <f>ROUND(N1913*'Methodology &amp; Assumptions'!$B$5, 0)</f>
        <v/>
      </c>
      <c r="P1913" s="10" t="inlineStr">
        <is>
          <t>Single Carrier (Band n50, 100MHz TDD)</t>
        </is>
      </c>
      <c r="Q1913" s="13">
        <f>ROUNDUP(O1913/'Methodology &amp; Assumptions'!$B$6, 0)</f>
        <v/>
      </c>
      <c r="R1913" s="13" t="n">
        <v>1</v>
      </c>
      <c r="S1913" s="14" t="n">
        <v>3.74</v>
      </c>
      <c r="T1913" s="14" t="n">
        <v>3.72</v>
      </c>
      <c r="U1913" s="26">
        <f>IF(X1913&gt;='Methodology &amp; Assumptions'!$B$7, "Tier 1 Critical GIDA (Score ≥ 50.0)", IF(X1913&gt;='Methodology &amp; Assumptions'!$B$8, "Tier 2 High GIDA (Score 40.0–49.9)", "Tier 3 Moderate GIDA (Score &lt; 40.0)"))</f>
        <v/>
      </c>
      <c r="V1913" s="26">
        <f>IF(S1913&lt;='Methodology &amp; Assumptions'!$B$10, "Direct Optical Drop (&lt;3km)", IF(S1913&lt;='Methodology &amp; Assumptions'!$B$9, "Near Optical / Microwave (&lt;5km)", "Starlink Business LEO Satellite Backhaul (&gt;5km)"))</f>
        <v/>
      </c>
      <c r="W1913" s="28" t="n">
        <v>0.07200000000000001</v>
      </c>
      <c r="X1913" s="14" t="n">
        <v>41.5</v>
      </c>
      <c r="Y1913" s="14">
        <f>ROUND(MIN(100, (X1913/69.91)*100), 2)</f>
        <v/>
      </c>
    </row>
    <row r="1914">
      <c r="A1914" s="10" t="n">
        <v>5</v>
      </c>
      <c r="B1914" s="10" t="n">
        <v>910</v>
      </c>
      <c r="C1914" s="10" t="n">
        <v>4910</v>
      </c>
      <c r="D1914" s="10" t="inlineStr">
        <is>
          <t>0402108010</t>
        </is>
      </c>
      <c r="E1914" s="26" t="inlineStr">
        <is>
          <t>Region IV-A (CALABARZON)</t>
        </is>
      </c>
      <c r="F1914" s="26" t="inlineStr">
        <is>
          <t>Cavite</t>
        </is>
      </c>
      <c r="G1914" s="26" t="inlineStr">
        <is>
          <t>City of General Trias</t>
        </is>
      </c>
      <c r="H1914" s="26" t="inlineStr">
        <is>
          <t>Prinza Pob.</t>
        </is>
      </c>
      <c r="I1914" s="27" t="n">
        <v>14.331113</v>
      </c>
      <c r="J1914" s="27" t="n">
        <v>120.892379</v>
      </c>
      <c r="K1914" s="10" t="inlineStr">
        <is>
          <t>U</t>
        </is>
      </c>
      <c r="L1914" s="12" t="n">
        <v>540</v>
      </c>
      <c r="M1914" s="14" t="n">
        <v>3.4</v>
      </c>
      <c r="N1914" s="12">
        <f>ROUND(L1914/M1914, 0)</f>
        <v/>
      </c>
      <c r="O1914" s="12">
        <f>ROUND(N1914*'Methodology &amp; Assumptions'!$B$5, 0)</f>
        <v/>
      </c>
      <c r="P1914" s="10" t="inlineStr">
        <is>
          <t>Single Carrier (Band n50, 100MHz TDD)</t>
        </is>
      </c>
      <c r="Q1914" s="13">
        <f>ROUNDUP(O1914/'Methodology &amp; Assumptions'!$B$6, 0)</f>
        <v/>
      </c>
      <c r="R1914" s="13" t="n">
        <v>1</v>
      </c>
      <c r="S1914" s="14" t="n">
        <v>4.53</v>
      </c>
      <c r="T1914" s="14" t="n">
        <v>3.59</v>
      </c>
      <c r="U1914" s="26">
        <f>IF(X1914&gt;='Methodology &amp; Assumptions'!$B$7, "Tier 1 Critical GIDA (Score ≥ 50.0)", IF(X1914&gt;='Methodology &amp; Assumptions'!$B$8, "Tier 2 High GIDA (Score 40.0–49.9)", "Tier 3 Moderate GIDA (Score &lt; 40.0)"))</f>
        <v/>
      </c>
      <c r="V1914" s="26">
        <f>IF(S1914&lt;='Methodology &amp; Assumptions'!$B$10, "Direct Optical Drop (&lt;3km)", IF(S1914&lt;='Methodology &amp; Assumptions'!$B$9, "Near Optical / Microwave (&lt;5km)", "Starlink Business LEO Satellite Backhaul (&gt;5km)"))</f>
        <v/>
      </c>
      <c r="W1914" s="28" t="n">
        <v>0.07200000000000001</v>
      </c>
      <c r="X1914" s="14" t="n">
        <v>41.49</v>
      </c>
      <c r="Y1914" s="14">
        <f>ROUND(MIN(100, (X1914/69.91)*100), 2)</f>
        <v/>
      </c>
    </row>
    <row r="1915">
      <c r="A1915" s="10" t="n">
        <v>5</v>
      </c>
      <c r="B1915" s="10" t="n">
        <v>911</v>
      </c>
      <c r="C1915" s="10" t="n">
        <v>4911</v>
      </c>
      <c r="D1915" s="10" t="inlineStr">
        <is>
          <t>PH0004911</t>
        </is>
      </c>
      <c r="E1915" s="26" t="inlineStr">
        <is>
          <t>XII</t>
        </is>
      </c>
      <c r="F1915" s="26" t="inlineStr">
        <is>
          <t>South Cotabato</t>
        </is>
      </c>
      <c r="G1915" s="26" t="inlineStr">
        <is>
          <t>General Santos City (Dadiangas)</t>
        </is>
      </c>
      <c r="H1915" s="26" t="inlineStr">
        <is>
          <t>Lagao</t>
        </is>
      </c>
      <c r="I1915" s="27" t="n">
        <v>6.131349</v>
      </c>
      <c r="J1915" s="27" t="n">
        <v>125.184974</v>
      </c>
      <c r="K1915" s="10" t="inlineStr">
        <is>
          <t>R</t>
        </is>
      </c>
      <c r="L1915" s="12" t="n">
        <v>2278</v>
      </c>
      <c r="M1915" s="14" t="n">
        <v>3.6</v>
      </c>
      <c r="N1915" s="12">
        <f>ROUND(L1915/M1915, 0)</f>
        <v/>
      </c>
      <c r="O1915" s="12">
        <f>ROUND(N1915*'Methodology &amp; Assumptions'!$B$5, 0)</f>
        <v/>
      </c>
      <c r="P1915" s="10" t="inlineStr">
        <is>
          <t>Single Carrier (Band n50, 100MHz TDD)</t>
        </is>
      </c>
      <c r="Q1915" s="13">
        <f>ROUNDUP(O1915/'Methodology &amp; Assumptions'!$B$6, 0)</f>
        <v/>
      </c>
      <c r="R1915" s="13" t="n">
        <v>1</v>
      </c>
      <c r="S1915" s="14" t="n">
        <v>1.72</v>
      </c>
      <c r="T1915" s="14" t="n">
        <v>0.28</v>
      </c>
      <c r="U1915" s="26">
        <f>IF(X1915&gt;='Methodology &amp; Assumptions'!$B$7, "Tier 1 Critical GIDA (Score ≥ 50.0)", IF(X1915&gt;='Methodology &amp; Assumptions'!$B$8, "Tier 2 High GIDA (Score 40.0–49.9)", "Tier 3 Moderate GIDA (Score &lt; 40.0)"))</f>
        <v/>
      </c>
      <c r="V1915" s="26">
        <f>IF(S1915&lt;='Methodology &amp; Assumptions'!$B$10, "Direct Optical Drop (&lt;3km)", IF(S1915&lt;='Methodology &amp; Assumptions'!$B$9, "Near Optical / Microwave (&lt;5km)", "Starlink Business LEO Satellite Backhaul (&gt;5km)"))</f>
        <v/>
      </c>
      <c r="W1915" s="28" t="n">
        <v>0.197</v>
      </c>
      <c r="X1915" s="14" t="n">
        <v>41.49</v>
      </c>
      <c r="Y1915" s="14">
        <f>ROUND(MIN(100, (X1915/69.91)*100), 2)</f>
        <v/>
      </c>
    </row>
    <row r="1916">
      <c r="A1916" s="10" t="n">
        <v>5</v>
      </c>
      <c r="B1916" s="10" t="n">
        <v>912</v>
      </c>
      <c r="C1916" s="10" t="n">
        <v>4912</v>
      </c>
      <c r="D1916" s="10" t="inlineStr">
        <is>
          <t>0201509004</t>
        </is>
      </c>
      <c r="E1916" s="26" t="inlineStr">
        <is>
          <t>Region II (Cagayan Valley)</t>
        </is>
      </c>
      <c r="F1916" s="26" t="inlineStr">
        <is>
          <t>Cagayan</t>
        </is>
      </c>
      <c r="G1916" s="26" t="inlineStr">
        <is>
          <t>Calayan</t>
        </is>
      </c>
      <c r="H1916" s="26" t="inlineStr">
        <is>
          <t>Dibay</t>
        </is>
      </c>
      <c r="I1916" s="27" t="n">
        <v>19.3764</v>
      </c>
      <c r="J1916" s="27" t="n">
        <v>121.39814</v>
      </c>
      <c r="K1916" s="10" t="inlineStr">
        <is>
          <t>R</t>
        </is>
      </c>
      <c r="L1916" s="12" t="n">
        <v>1706</v>
      </c>
      <c r="M1916" s="14" t="n">
        <v>3.9</v>
      </c>
      <c r="N1916" s="12">
        <f>ROUND(L1916/M1916, 0)</f>
        <v/>
      </c>
      <c r="O1916" s="12">
        <f>ROUND(N1916*'Methodology &amp; Assumptions'!$B$5, 0)</f>
        <v/>
      </c>
      <c r="P1916" s="10" t="inlineStr">
        <is>
          <t>Single Carrier (Band n50, 100MHz TDD)</t>
        </is>
      </c>
      <c r="Q1916" s="13">
        <f>ROUNDUP(O1916/'Methodology &amp; Assumptions'!$B$6, 0)</f>
        <v/>
      </c>
      <c r="R1916" s="13" t="n">
        <v>1</v>
      </c>
      <c r="S1916" s="14" t="n">
        <v>92.54000000000001</v>
      </c>
      <c r="T1916" s="14" t="n">
        <v>88.42</v>
      </c>
      <c r="U1916" s="26">
        <f>IF(X1916&gt;='Methodology &amp; Assumptions'!$B$7, "Tier 1 Critical GIDA (Score ≥ 50.0)", IF(X1916&gt;='Methodology &amp; Assumptions'!$B$8, "Tier 2 High GIDA (Score 40.0–49.9)", "Tier 3 Moderate GIDA (Score &lt; 40.0)"))</f>
        <v/>
      </c>
      <c r="V1916" s="26">
        <f>IF(S1916&lt;='Methodology &amp; Assumptions'!$B$10, "Direct Optical Drop (&lt;3km)", IF(S1916&lt;='Methodology &amp; Assumptions'!$B$9, "Near Optical / Microwave (&lt;5km)", "Starlink Business LEO Satellite Backhaul (&gt;5km)"))</f>
        <v/>
      </c>
      <c r="W1916" s="28" t="n">
        <v>0.083</v>
      </c>
      <c r="X1916" s="14" t="n">
        <v>41.49</v>
      </c>
      <c r="Y1916" s="14">
        <f>ROUND(MIN(100, (X1916/69.91)*100), 2)</f>
        <v/>
      </c>
    </row>
    <row r="1917">
      <c r="A1917" s="10" t="n">
        <v>5</v>
      </c>
      <c r="B1917" s="10" t="n">
        <v>913</v>
      </c>
      <c r="C1917" s="10" t="n">
        <v>4913</v>
      </c>
      <c r="D1917" s="10" t="inlineStr">
        <is>
          <t>PH0004913</t>
        </is>
      </c>
      <c r="E1917" s="26" t="inlineStr">
        <is>
          <t>CAR</t>
        </is>
      </c>
      <c r="F1917" s="26" t="inlineStr">
        <is>
          <t>Benguet</t>
        </is>
      </c>
      <c r="G1917" s="26" t="inlineStr">
        <is>
          <t>Baguio City</t>
        </is>
      </c>
      <c r="H1917" s="26" t="inlineStr">
        <is>
          <t>Bayan Park West</t>
        </is>
      </c>
      <c r="I1917" s="27" t="n">
        <v>16.327644</v>
      </c>
      <c r="J1917" s="27" t="n">
        <v>120.541534</v>
      </c>
      <c r="K1917" s="10" t="inlineStr">
        <is>
          <t>R</t>
        </is>
      </c>
      <c r="L1917" s="12" t="n">
        <v>2260</v>
      </c>
      <c r="M1917" s="14" t="n">
        <v>3.5</v>
      </c>
      <c r="N1917" s="12">
        <f>ROUND(L1917/M1917, 0)</f>
        <v/>
      </c>
      <c r="O1917" s="12">
        <f>ROUND(N1917*'Methodology &amp; Assumptions'!$B$5, 0)</f>
        <v/>
      </c>
      <c r="P1917" s="10" t="inlineStr">
        <is>
          <t>Single Carrier (Band n50, 100MHz TDD)</t>
        </is>
      </c>
      <c r="Q1917" s="13">
        <f>ROUNDUP(O1917/'Methodology &amp; Assumptions'!$B$6, 0)</f>
        <v/>
      </c>
      <c r="R1917" s="13" t="n">
        <v>1</v>
      </c>
      <c r="S1917" s="14" t="n">
        <v>6.75</v>
      </c>
      <c r="T1917" s="14" t="n">
        <v>4.99</v>
      </c>
      <c r="U1917" s="26">
        <f>IF(X1917&gt;='Methodology &amp; Assumptions'!$B$7, "Tier 1 Critical GIDA (Score ≥ 50.0)", IF(X1917&gt;='Methodology &amp; Assumptions'!$B$8, "Tier 2 High GIDA (Score 40.0–49.9)", "Tier 3 Moderate GIDA (Score &lt; 40.0)"))</f>
        <v/>
      </c>
      <c r="V1917" s="26">
        <f>IF(S1917&lt;='Methodology &amp; Assumptions'!$B$10, "Direct Optical Drop (&lt;3km)", IF(S1917&lt;='Methodology &amp; Assumptions'!$B$9, "Near Optical / Microwave (&lt;5km)", "Starlink Business LEO Satellite Backhaul (&gt;5km)"))</f>
        <v/>
      </c>
      <c r="W1917" s="28" t="n">
        <v>0.221</v>
      </c>
      <c r="X1917" s="14" t="n">
        <v>41.49</v>
      </c>
      <c r="Y1917" s="14">
        <f>ROUND(MIN(100, (X1917/69.91)*100), 2)</f>
        <v/>
      </c>
    </row>
    <row r="1918">
      <c r="A1918" s="10" t="n">
        <v>5</v>
      </c>
      <c r="B1918" s="10" t="n">
        <v>914</v>
      </c>
      <c r="C1918" s="10" t="n">
        <v>4914</v>
      </c>
      <c r="D1918" s="10" t="inlineStr">
        <is>
          <t>PH0004914</t>
        </is>
      </c>
      <c r="E1918" s="26" t="inlineStr">
        <is>
          <t>XI</t>
        </is>
      </c>
      <c r="F1918" s="26" t="inlineStr">
        <is>
          <t>Davao Del Sur</t>
        </is>
      </c>
      <c r="G1918" s="26" t="inlineStr">
        <is>
          <t>Davao City</t>
        </is>
      </c>
      <c r="H1918" s="26" t="inlineStr">
        <is>
          <t>Gov. Vicente Duterte</t>
        </is>
      </c>
      <c r="I1918" s="27" t="n">
        <v>7.229759</v>
      </c>
      <c r="J1918" s="27" t="n">
        <v>125.494812</v>
      </c>
      <c r="K1918" s="10" t="inlineStr">
        <is>
          <t>R</t>
        </is>
      </c>
      <c r="L1918" s="12" t="n">
        <v>2280</v>
      </c>
      <c r="M1918" s="14" t="n">
        <v>3.4</v>
      </c>
      <c r="N1918" s="12">
        <f>ROUND(L1918/M1918, 0)</f>
        <v/>
      </c>
      <c r="O1918" s="12">
        <f>ROUND(N1918*'Methodology &amp; Assumptions'!$B$5, 0)</f>
        <v/>
      </c>
      <c r="P1918" s="10" t="inlineStr">
        <is>
          <t>Single Carrier (Band n50, 100MHz TDD)</t>
        </is>
      </c>
      <c r="Q1918" s="13">
        <f>ROUNDUP(O1918/'Methodology &amp; Assumptions'!$B$6, 0)</f>
        <v/>
      </c>
      <c r="R1918" s="13" t="n">
        <v>1</v>
      </c>
      <c r="S1918" s="14" t="n">
        <v>6.57</v>
      </c>
      <c r="T1918" s="14" t="n">
        <v>6.14</v>
      </c>
      <c r="U1918" s="26">
        <f>IF(X1918&gt;='Methodology &amp; Assumptions'!$B$7, "Tier 1 Critical GIDA (Score ≥ 50.0)", IF(X1918&gt;='Methodology &amp; Assumptions'!$B$8, "Tier 2 High GIDA (Score 40.0–49.9)", "Tier 3 Moderate GIDA (Score &lt; 40.0)"))</f>
        <v/>
      </c>
      <c r="V1918" s="26">
        <f>IF(S1918&lt;='Methodology &amp; Assumptions'!$B$10, "Direct Optical Drop (&lt;3km)", IF(S1918&lt;='Methodology &amp; Assumptions'!$B$9, "Near Optical / Microwave (&lt;5km)", "Starlink Business LEO Satellite Backhaul (&gt;5km)"))</f>
        <v/>
      </c>
      <c r="W1918" s="28" t="n">
        <v>0.119</v>
      </c>
      <c r="X1918" s="14" t="n">
        <v>41.49</v>
      </c>
      <c r="Y1918" s="14">
        <f>ROUND(MIN(100, (X1918/69.91)*100), 2)</f>
        <v/>
      </c>
    </row>
    <row r="1919">
      <c r="A1919" s="10" t="n">
        <v>5</v>
      </c>
      <c r="B1919" s="10" t="n">
        <v>915</v>
      </c>
      <c r="C1919" s="10" t="n">
        <v>4915</v>
      </c>
      <c r="D1919" s="10" t="inlineStr">
        <is>
          <t>1204718014</t>
        </is>
      </c>
      <c r="E1919" s="26" t="inlineStr">
        <is>
          <t>Region XII (SOCCSKSARGEN)</t>
        </is>
      </c>
      <c r="F1919" s="26" t="inlineStr">
        <is>
          <t>Cotabato</t>
        </is>
      </c>
      <c r="G1919" s="26" t="inlineStr">
        <is>
          <t>Arakan</t>
        </is>
      </c>
      <c r="H1919" s="26" t="inlineStr">
        <is>
          <t>Kinawayan</t>
        </is>
      </c>
      <c r="I1919" s="27" t="n">
        <v>7.387237</v>
      </c>
      <c r="J1919" s="27" t="n">
        <v>125.172937</v>
      </c>
      <c r="K1919" s="10" t="inlineStr">
        <is>
          <t>R</t>
        </is>
      </c>
      <c r="L1919" s="12" t="n">
        <v>933</v>
      </c>
      <c r="M1919" s="14" t="n">
        <v>3.8</v>
      </c>
      <c r="N1919" s="12">
        <f>ROUND(L1919/M1919, 0)</f>
        <v/>
      </c>
      <c r="O1919" s="12">
        <f>ROUND(N1919*'Methodology &amp; Assumptions'!$B$5, 0)</f>
        <v/>
      </c>
      <c r="P1919" s="10" t="inlineStr">
        <is>
          <t>Single Carrier (Band n50, 100MHz TDD)</t>
        </is>
      </c>
      <c r="Q1919" s="13">
        <f>ROUNDUP(O1919/'Methodology &amp; Assumptions'!$B$6, 0)</f>
        <v/>
      </c>
      <c r="R1919" s="13" t="n">
        <v>1</v>
      </c>
      <c r="S1919" s="14" t="n">
        <v>12.99</v>
      </c>
      <c r="T1919" s="14" t="n">
        <v>7.55</v>
      </c>
      <c r="U1919" s="26">
        <f>IF(X1919&gt;='Methodology &amp; Assumptions'!$B$7, "Tier 1 Critical GIDA (Score ≥ 50.0)", IF(X1919&gt;='Methodology &amp; Assumptions'!$B$8, "Tier 2 High GIDA (Score 40.0–49.9)", "Tier 3 Moderate GIDA (Score &lt; 40.0)"))</f>
        <v/>
      </c>
      <c r="V1919" s="26">
        <f>IF(S1919&lt;='Methodology &amp; Assumptions'!$B$10, "Direct Optical Drop (&lt;3km)", IF(S1919&lt;='Methodology &amp; Assumptions'!$B$9, "Near Optical / Microwave (&lt;5km)", "Starlink Business LEO Satellite Backhaul (&gt;5km)"))</f>
        <v/>
      </c>
      <c r="W1919" s="28" t="n">
        <v>0.174</v>
      </c>
      <c r="X1919" s="14" t="n">
        <v>41.48</v>
      </c>
      <c r="Y1919" s="14">
        <f>ROUND(MIN(100, (X1919/69.91)*100), 2)</f>
        <v/>
      </c>
    </row>
    <row r="1920">
      <c r="A1920" s="10" t="n">
        <v>5</v>
      </c>
      <c r="B1920" s="10" t="n">
        <v>916</v>
      </c>
      <c r="C1920" s="10" t="n">
        <v>4916</v>
      </c>
      <c r="D1920" s="10" t="inlineStr">
        <is>
          <t>PH0004916</t>
        </is>
      </c>
      <c r="E1920" s="26" t="inlineStr">
        <is>
          <t>IV-A</t>
        </is>
      </c>
      <c r="F1920" s="26" t="inlineStr">
        <is>
          <t>Cavite</t>
        </is>
      </c>
      <c r="G1920" s="26" t="inlineStr">
        <is>
          <t>Cavite City</t>
        </is>
      </c>
      <c r="H1920" s="26" t="inlineStr">
        <is>
          <t>Barangay 36</t>
        </is>
      </c>
      <c r="I1920" s="27" t="n">
        <v>14.469459</v>
      </c>
      <c r="J1920" s="27" t="n">
        <v>120.955424</v>
      </c>
      <c r="K1920" s="10" t="inlineStr">
        <is>
          <t>R</t>
        </is>
      </c>
      <c r="L1920" s="12" t="n">
        <v>2316</v>
      </c>
      <c r="M1920" s="14" t="n">
        <v>3.4</v>
      </c>
      <c r="N1920" s="12">
        <f>ROUND(L1920/M1920, 0)</f>
        <v/>
      </c>
      <c r="O1920" s="12">
        <f>ROUND(N1920*'Methodology &amp; Assumptions'!$B$5, 0)</f>
        <v/>
      </c>
      <c r="P1920" s="10" t="inlineStr">
        <is>
          <t>Single Carrier (Band n50, 100MHz TDD)</t>
        </is>
      </c>
      <c r="Q1920" s="13">
        <f>ROUNDUP(O1920/'Methodology &amp; Assumptions'!$B$6, 0)</f>
        <v/>
      </c>
      <c r="R1920" s="13" t="n">
        <v>1</v>
      </c>
      <c r="S1920" s="14" t="n">
        <v>1.41</v>
      </c>
      <c r="T1920" s="14" t="n">
        <v>1.17</v>
      </c>
      <c r="U1920" s="26">
        <f>IF(X1920&gt;='Methodology &amp; Assumptions'!$B$7, "Tier 1 Critical GIDA (Score ≥ 50.0)", IF(X1920&gt;='Methodology &amp; Assumptions'!$B$8, "Tier 2 High GIDA (Score 40.0–49.9)", "Tier 3 Moderate GIDA (Score &lt; 40.0)"))</f>
        <v/>
      </c>
      <c r="V1920" s="26">
        <f>IF(S1920&lt;='Methodology &amp; Assumptions'!$B$10, "Direct Optical Drop (&lt;3km)", IF(S1920&lt;='Methodology &amp; Assumptions'!$B$9, "Near Optical / Microwave (&lt;5km)", "Starlink Business LEO Satellite Backhaul (&gt;5km)"))</f>
        <v/>
      </c>
      <c r="W1920" s="28" t="n">
        <v>0.07200000000000001</v>
      </c>
      <c r="X1920" s="14" t="n">
        <v>41.48</v>
      </c>
      <c r="Y1920" s="14">
        <f>ROUND(MIN(100, (X1920/69.91)*100), 2)</f>
        <v/>
      </c>
    </row>
    <row r="1921">
      <c r="A1921" s="10" t="n">
        <v>5</v>
      </c>
      <c r="B1921" s="10" t="n">
        <v>917</v>
      </c>
      <c r="C1921" s="10" t="n">
        <v>4917</v>
      </c>
      <c r="D1921" s="10" t="inlineStr">
        <is>
          <t>PH0004917</t>
        </is>
      </c>
      <c r="E1921" s="26" t="inlineStr">
        <is>
          <t>IV-A</t>
        </is>
      </c>
      <c r="F1921" s="26" t="inlineStr">
        <is>
          <t>Cavite</t>
        </is>
      </c>
      <c r="G1921" s="26" t="inlineStr">
        <is>
          <t>Cavite City</t>
        </is>
      </c>
      <c r="H1921" s="26" t="inlineStr">
        <is>
          <t>Barangay 29-A</t>
        </is>
      </c>
      <c r="I1921" s="27" t="n">
        <v>14.447793</v>
      </c>
      <c r="J1921" s="27" t="n">
        <v>120.845517</v>
      </c>
      <c r="K1921" s="10" t="inlineStr">
        <is>
          <t>R</t>
        </is>
      </c>
      <c r="L1921" s="12" t="n">
        <v>2316</v>
      </c>
      <c r="M1921" s="14" t="n">
        <v>3.4</v>
      </c>
      <c r="N1921" s="12">
        <f>ROUND(L1921/M1921, 0)</f>
        <v/>
      </c>
      <c r="O1921" s="12">
        <f>ROUND(N1921*'Methodology &amp; Assumptions'!$B$5, 0)</f>
        <v/>
      </c>
      <c r="P1921" s="10" t="inlineStr">
        <is>
          <t>Single Carrier (Band n50, 100MHz TDD)</t>
        </is>
      </c>
      <c r="Q1921" s="13">
        <f>ROUNDUP(O1921/'Methodology &amp; Assumptions'!$B$6, 0)</f>
        <v/>
      </c>
      <c r="R1921" s="13" t="n">
        <v>1</v>
      </c>
      <c r="S1921" s="14" t="n">
        <v>4.52</v>
      </c>
      <c r="T1921" s="14" t="n">
        <v>4.48</v>
      </c>
      <c r="U1921" s="26">
        <f>IF(X1921&gt;='Methodology &amp; Assumptions'!$B$7, "Tier 1 Critical GIDA (Score ≥ 50.0)", IF(X1921&gt;='Methodology &amp; Assumptions'!$B$8, "Tier 2 High GIDA (Score 40.0–49.9)", "Tier 3 Moderate GIDA (Score &lt; 40.0)"))</f>
        <v/>
      </c>
      <c r="V1921" s="26">
        <f>IF(S1921&lt;='Methodology &amp; Assumptions'!$B$10, "Direct Optical Drop (&lt;3km)", IF(S1921&lt;='Methodology &amp; Assumptions'!$B$9, "Near Optical / Microwave (&lt;5km)", "Starlink Business LEO Satellite Backhaul (&gt;5km)"))</f>
        <v/>
      </c>
      <c r="W1921" s="28" t="n">
        <v>0.07200000000000001</v>
      </c>
      <c r="X1921" s="14" t="n">
        <v>41.48</v>
      </c>
      <c r="Y1921" s="14">
        <f>ROUND(MIN(100, (X1921/69.91)*100), 2)</f>
        <v/>
      </c>
    </row>
    <row r="1922">
      <c r="A1922" s="10" t="n">
        <v>5</v>
      </c>
      <c r="B1922" s="10" t="n">
        <v>918</v>
      </c>
      <c r="C1922" s="10" t="n">
        <v>4918</v>
      </c>
      <c r="D1922" s="10" t="inlineStr">
        <is>
          <t>0102917003</t>
        </is>
      </c>
      <c r="E1922" s="26" t="inlineStr">
        <is>
          <t>Region I (Ilocos Region)</t>
        </is>
      </c>
      <c r="F1922" s="26" t="inlineStr">
        <is>
          <t>Ilocos Sur</t>
        </is>
      </c>
      <c r="G1922" s="26" t="inlineStr">
        <is>
          <t>San Emilio</t>
        </is>
      </c>
      <c r="H1922" s="26" t="inlineStr">
        <is>
          <t>Lancuas</t>
        </is>
      </c>
      <c r="I1922" s="27" t="n">
        <v>17.251509</v>
      </c>
      <c r="J1922" s="27" t="n">
        <v>120.59137</v>
      </c>
      <c r="K1922" s="10" t="inlineStr">
        <is>
          <t>R</t>
        </is>
      </c>
      <c r="L1922" s="12" t="n">
        <v>950</v>
      </c>
      <c r="M1922" s="14" t="n">
        <v>3.8</v>
      </c>
      <c r="N1922" s="12">
        <f>ROUND(L1922/M1922, 0)</f>
        <v/>
      </c>
      <c r="O1922" s="12">
        <f>ROUND(N1922*'Methodology &amp; Assumptions'!$B$5, 0)</f>
        <v/>
      </c>
      <c r="P1922" s="10" t="inlineStr">
        <is>
          <t>Single Carrier (Band n50, 100MHz TDD)</t>
        </is>
      </c>
      <c r="Q1922" s="13">
        <f>ROUNDUP(O1922/'Methodology &amp; Assumptions'!$B$6, 0)</f>
        <v/>
      </c>
      <c r="R1922" s="13" t="n">
        <v>1</v>
      </c>
      <c r="S1922" s="14" t="n">
        <v>7.23</v>
      </c>
      <c r="T1922" s="14" t="n">
        <v>1.82</v>
      </c>
      <c r="U1922" s="26">
        <f>IF(X1922&gt;='Methodology &amp; Assumptions'!$B$7, "Tier 1 Critical GIDA (Score ≥ 50.0)", IF(X1922&gt;='Methodology &amp; Assumptions'!$B$8, "Tier 2 High GIDA (Score 40.0–49.9)", "Tier 3 Moderate GIDA (Score &lt; 40.0)"))</f>
        <v/>
      </c>
      <c r="V1922" s="26">
        <f>IF(S1922&lt;='Methodology &amp; Assumptions'!$B$10, "Direct Optical Drop (&lt;3km)", IF(S1922&lt;='Methodology &amp; Assumptions'!$B$9, "Near Optical / Microwave (&lt;5km)", "Starlink Business LEO Satellite Backhaul (&gt;5km)"))</f>
        <v/>
      </c>
      <c r="W1922" s="28" t="n">
        <v>0.083</v>
      </c>
      <c r="X1922" s="14" t="n">
        <v>41.48</v>
      </c>
      <c r="Y1922" s="14">
        <f>ROUND(MIN(100, (X1922/69.91)*100), 2)</f>
        <v/>
      </c>
    </row>
    <row r="1923">
      <c r="A1923" s="10" t="n">
        <v>5</v>
      </c>
      <c r="B1923" s="10" t="n">
        <v>919</v>
      </c>
      <c r="C1923" s="10" t="n">
        <v>4919</v>
      </c>
      <c r="D1923" s="10" t="inlineStr">
        <is>
          <t>0402104013</t>
        </is>
      </c>
      <c r="E1923" s="26" t="inlineStr">
        <is>
          <t>Region IV-A (CALABARZON)</t>
        </is>
      </c>
      <c r="F1923" s="26" t="inlineStr">
        <is>
          <t>Cavite</t>
        </is>
      </c>
      <c r="G1923" s="26" t="inlineStr">
        <is>
          <t>Carmona</t>
        </is>
      </c>
      <c r="H1923" s="26" t="inlineStr">
        <is>
          <t>Barangay 2</t>
        </is>
      </c>
      <c r="I1923" s="27" t="n">
        <v>14.296506</v>
      </c>
      <c r="J1923" s="27" t="n">
        <v>121.033598</v>
      </c>
      <c r="K1923" s="10" t="inlineStr">
        <is>
          <t>R</t>
        </is>
      </c>
      <c r="L1923" s="12" t="n">
        <v>705</v>
      </c>
      <c r="M1923" s="14" t="n">
        <v>3.4</v>
      </c>
      <c r="N1923" s="12">
        <f>ROUND(L1923/M1923, 0)</f>
        <v/>
      </c>
      <c r="O1923" s="12">
        <f>ROUND(N1923*'Methodology &amp; Assumptions'!$B$5, 0)</f>
        <v/>
      </c>
      <c r="P1923" s="10" t="inlineStr">
        <is>
          <t>Single Carrier (Band n50, 100MHz TDD)</t>
        </is>
      </c>
      <c r="Q1923" s="13">
        <f>ROUNDUP(O1923/'Methodology &amp; Assumptions'!$B$6, 0)</f>
        <v/>
      </c>
      <c r="R1923" s="13" t="n">
        <v>1</v>
      </c>
      <c r="S1923" s="14" t="n">
        <v>1.83</v>
      </c>
      <c r="T1923" s="14" t="n">
        <v>2.39</v>
      </c>
      <c r="U1923" s="26">
        <f>IF(X1923&gt;='Methodology &amp; Assumptions'!$B$7, "Tier 1 Critical GIDA (Score ≥ 50.0)", IF(X1923&gt;='Methodology &amp; Assumptions'!$B$8, "Tier 2 High GIDA (Score 40.0–49.9)", "Tier 3 Moderate GIDA (Score &lt; 40.0)"))</f>
        <v/>
      </c>
      <c r="V1923" s="26">
        <f>IF(S1923&lt;='Methodology &amp; Assumptions'!$B$10, "Direct Optical Drop (&lt;3km)", IF(S1923&lt;='Methodology &amp; Assumptions'!$B$9, "Near Optical / Microwave (&lt;5km)", "Starlink Business LEO Satellite Backhaul (&gt;5km)"))</f>
        <v/>
      </c>
      <c r="W1923" s="28" t="n">
        <v>0.07200000000000001</v>
      </c>
      <c r="X1923" s="14" t="n">
        <v>41.48</v>
      </c>
      <c r="Y1923" s="14">
        <f>ROUND(MIN(100, (X1923/69.91)*100), 2)</f>
        <v/>
      </c>
    </row>
    <row r="1924">
      <c r="A1924" s="10" t="n">
        <v>5</v>
      </c>
      <c r="B1924" s="10" t="n">
        <v>920</v>
      </c>
      <c r="C1924" s="10" t="n">
        <v>4920</v>
      </c>
      <c r="D1924" s="10" t="inlineStr">
        <is>
          <t>0300809006</t>
        </is>
      </c>
      <c r="E1924" s="26" t="inlineStr">
        <is>
          <t>Region III (Central Luzon)</t>
        </is>
      </c>
      <c r="F1924" s="26" t="inlineStr">
        <is>
          <t>Bataan</t>
        </is>
      </c>
      <c r="G1924" s="26" t="inlineStr">
        <is>
          <t>Orani</t>
        </is>
      </c>
      <c r="H1924" s="26" t="inlineStr">
        <is>
          <t>Centro II</t>
        </is>
      </c>
      <c r="I1924" s="27" t="n">
        <v>14.790452</v>
      </c>
      <c r="J1924" s="27" t="n">
        <v>120.49464</v>
      </c>
      <c r="K1924" s="10" t="inlineStr">
        <is>
          <t>R</t>
        </is>
      </c>
      <c r="L1924" s="12" t="n">
        <v>453</v>
      </c>
      <c r="M1924" s="14" t="n">
        <v>3.6</v>
      </c>
      <c r="N1924" s="12">
        <f>ROUND(L1924/M1924, 0)</f>
        <v/>
      </c>
      <c r="O1924" s="12">
        <f>ROUND(N1924*'Methodology &amp; Assumptions'!$B$5, 0)</f>
        <v/>
      </c>
      <c r="P1924" s="10" t="inlineStr">
        <is>
          <t>Single Carrier (Band n50, 100MHz TDD)</t>
        </is>
      </c>
      <c r="Q1924" s="13">
        <f>ROUNDUP(O1924/'Methodology &amp; Assumptions'!$B$6, 0)</f>
        <v/>
      </c>
      <c r="R1924" s="13" t="n">
        <v>1</v>
      </c>
      <c r="S1924" s="14" t="n">
        <v>4.67</v>
      </c>
      <c r="T1924" s="14" t="n">
        <v>0.33</v>
      </c>
      <c r="U1924" s="26">
        <f>IF(X1924&gt;='Methodology &amp; Assumptions'!$B$7, "Tier 1 Critical GIDA (Score ≥ 50.0)", IF(X1924&gt;='Methodology &amp; Assumptions'!$B$8, "Tier 2 High GIDA (Score 40.0–49.9)", "Tier 3 Moderate GIDA (Score &lt; 40.0)"))</f>
        <v/>
      </c>
      <c r="V1924" s="26">
        <f>IF(S1924&lt;='Methodology &amp; Assumptions'!$B$10, "Direct Optical Drop (&lt;3km)", IF(S1924&lt;='Methodology &amp; Assumptions'!$B$9, "Near Optical / Microwave (&lt;5km)", "Starlink Business LEO Satellite Backhaul (&gt;5km)"))</f>
        <v/>
      </c>
      <c r="W1924" s="28" t="n">
        <v>0.083</v>
      </c>
      <c r="X1924" s="14" t="n">
        <v>41.47</v>
      </c>
      <c r="Y1924" s="14">
        <f>ROUND(MIN(100, (X1924/69.91)*100), 2)</f>
        <v/>
      </c>
    </row>
    <row r="1925">
      <c r="A1925" s="10" t="n">
        <v>5</v>
      </c>
      <c r="B1925" s="10" t="n">
        <v>921</v>
      </c>
      <c r="C1925" s="10" t="n">
        <v>4921</v>
      </c>
      <c r="D1925" s="10" t="inlineStr">
        <is>
          <t>1401104010</t>
        </is>
      </c>
      <c r="E1925" s="26" t="inlineStr">
        <is>
          <t>Cordillera Administrative Region (CAR)</t>
        </is>
      </c>
      <c r="F1925" s="26" t="inlineStr">
        <is>
          <t>Benguet</t>
        </is>
      </c>
      <c r="G1925" s="26" t="inlineStr">
        <is>
          <t>Bokod</t>
        </is>
      </c>
      <c r="H1925" s="26" t="inlineStr">
        <is>
          <t>Tikey</t>
        </is>
      </c>
      <c r="I1925" s="27" t="n">
        <v>16.522548</v>
      </c>
      <c r="J1925" s="27" t="n">
        <v>120.799327</v>
      </c>
      <c r="K1925" s="10" t="inlineStr">
        <is>
          <t>R</t>
        </is>
      </c>
      <c r="L1925" s="12" t="n">
        <v>615</v>
      </c>
      <c r="M1925" s="14" t="n">
        <v>3.5</v>
      </c>
      <c r="N1925" s="12">
        <f>ROUND(L1925/M1925, 0)</f>
        <v/>
      </c>
      <c r="O1925" s="12">
        <f>ROUND(N1925*'Methodology &amp; Assumptions'!$B$5, 0)</f>
        <v/>
      </c>
      <c r="P1925" s="10" t="inlineStr">
        <is>
          <t>Single Carrier (Band n50, 100MHz TDD)</t>
        </is>
      </c>
      <c r="Q1925" s="13">
        <f>ROUNDUP(O1925/'Methodology &amp; Assumptions'!$B$6, 0)</f>
        <v/>
      </c>
      <c r="R1925" s="13" t="n">
        <v>1</v>
      </c>
      <c r="S1925" s="14" t="n">
        <v>5.59</v>
      </c>
      <c r="T1925" s="14" t="n">
        <v>5.35</v>
      </c>
      <c r="U1925" s="26">
        <f>IF(X1925&gt;='Methodology &amp; Assumptions'!$B$7, "Tier 1 Critical GIDA (Score ≥ 50.0)", IF(X1925&gt;='Methodology &amp; Assumptions'!$B$8, "Tier 2 High GIDA (Score 40.0–49.9)", "Tier 3 Moderate GIDA (Score &lt; 40.0)"))</f>
        <v/>
      </c>
      <c r="V1925" s="26">
        <f>IF(S1925&lt;='Methodology &amp; Assumptions'!$B$10, "Direct Optical Drop (&lt;3km)", IF(S1925&lt;='Methodology &amp; Assumptions'!$B$9, "Near Optical / Microwave (&lt;5km)", "Starlink Business LEO Satellite Backhaul (&gt;5km)"))</f>
        <v/>
      </c>
      <c r="W1925" s="28" t="n">
        <v>0.109</v>
      </c>
      <c r="X1925" s="14" t="n">
        <v>41.46</v>
      </c>
      <c r="Y1925" s="14">
        <f>ROUND(MIN(100, (X1925/69.91)*100), 2)</f>
        <v/>
      </c>
    </row>
    <row r="1926">
      <c r="A1926" s="10" t="n">
        <v>5</v>
      </c>
      <c r="B1926" s="10" t="n">
        <v>922</v>
      </c>
      <c r="C1926" s="10" t="n">
        <v>4922</v>
      </c>
      <c r="D1926" s="10" t="inlineStr">
        <is>
          <t>1608501019</t>
        </is>
      </c>
      <c r="E1926" s="26" t="inlineStr">
        <is>
          <t>Region XIII (Caraga)</t>
        </is>
      </c>
      <c r="F1926" s="26" t="inlineStr">
        <is>
          <t>Dinagat Islands</t>
        </is>
      </c>
      <c r="G1926" s="26" t="inlineStr">
        <is>
          <t>Basilisa</t>
        </is>
      </c>
      <c r="H1926" s="26" t="inlineStr">
        <is>
          <t>Benglen</t>
        </is>
      </c>
      <c r="I1926" s="27" t="n">
        <v>10.138214</v>
      </c>
      <c r="J1926" s="27" t="n">
        <v>125.60128</v>
      </c>
      <c r="K1926" s="10" t="inlineStr">
        <is>
          <t>R</t>
        </is>
      </c>
      <c r="L1926" s="12" t="n">
        <v>734</v>
      </c>
      <c r="M1926" s="14" t="n">
        <v>3.8</v>
      </c>
      <c r="N1926" s="12">
        <f>ROUND(L1926/M1926, 0)</f>
        <v/>
      </c>
      <c r="O1926" s="12">
        <f>ROUND(N1926*'Methodology &amp; Assumptions'!$B$5, 0)</f>
        <v/>
      </c>
      <c r="P1926" s="10" t="inlineStr">
        <is>
          <t>Single Carrier (Band n50, 100MHz TDD)</t>
        </is>
      </c>
      <c r="Q1926" s="13">
        <f>ROUNDUP(O1926/'Methodology &amp; Assumptions'!$B$6, 0)</f>
        <v/>
      </c>
      <c r="R1926" s="13" t="n">
        <v>1</v>
      </c>
      <c r="S1926" s="14" t="n">
        <v>40.64</v>
      </c>
      <c r="T1926" s="14" t="n">
        <v>40.65</v>
      </c>
      <c r="U1926" s="26">
        <f>IF(X1926&gt;='Methodology &amp; Assumptions'!$B$7, "Tier 1 Critical GIDA (Score ≥ 50.0)", IF(X1926&gt;='Methodology &amp; Assumptions'!$B$8, "Tier 2 High GIDA (Score 40.0–49.9)", "Tier 3 Moderate GIDA (Score &lt; 40.0)"))</f>
        <v/>
      </c>
      <c r="V1926" s="26">
        <f>IF(S1926&lt;='Methodology &amp; Assumptions'!$B$10, "Direct Optical Drop (&lt;3km)", IF(S1926&lt;='Methodology &amp; Assumptions'!$B$9, "Near Optical / Microwave (&lt;5km)", "Starlink Business LEO Satellite Backhaul (&gt;5km)"))</f>
        <v/>
      </c>
      <c r="W1926" s="28" t="n">
        <v>0.174</v>
      </c>
      <c r="X1926" s="14" t="n">
        <v>41.46</v>
      </c>
      <c r="Y1926" s="14">
        <f>ROUND(MIN(100, (X1926/69.91)*100), 2)</f>
        <v/>
      </c>
    </row>
    <row r="1927">
      <c r="A1927" s="10" t="n">
        <v>5</v>
      </c>
      <c r="B1927" s="10" t="n">
        <v>923</v>
      </c>
      <c r="C1927" s="10" t="n">
        <v>4923</v>
      </c>
      <c r="D1927" s="10" t="inlineStr">
        <is>
          <t>1903605033</t>
        </is>
      </c>
      <c r="E1927" s="26" t="inlineStr">
        <is>
          <t>Bangsamoro Autonomous Region In Muslim Mindanao (BARMM)</t>
        </is>
      </c>
      <c r="F1927" s="26" t="inlineStr">
        <is>
          <t>Lanao del Sur</t>
        </is>
      </c>
      <c r="G1927" s="26" t="inlineStr">
        <is>
          <t>Binidayan</t>
        </is>
      </c>
      <c r="H1927" s="26" t="inlineStr">
        <is>
          <t>Timbangan</t>
        </is>
      </c>
      <c r="I1927" s="27" t="n">
        <v>17.254767</v>
      </c>
      <c r="J1927" s="27" t="n">
        <v>122.228811</v>
      </c>
      <c r="K1927" s="10" t="inlineStr">
        <is>
          <t>R</t>
        </is>
      </c>
      <c r="L1927" s="12" t="n">
        <v>956</v>
      </c>
      <c r="M1927" s="14" t="n">
        <v>5.7</v>
      </c>
      <c r="N1927" s="12">
        <f>ROUND(L1927/M1927, 0)</f>
        <v/>
      </c>
      <c r="O1927" s="12">
        <f>ROUND(N1927*'Methodology &amp; Assumptions'!$B$5, 0)</f>
        <v/>
      </c>
      <c r="P1927" s="10" t="inlineStr">
        <is>
          <t>Single Carrier (Band n50, 100MHz TDD)</t>
        </is>
      </c>
      <c r="Q1927" s="13">
        <f>ROUNDUP(O1927/'Methodology &amp; Assumptions'!$B$6, 0)</f>
        <v/>
      </c>
      <c r="R1927" s="13" t="n">
        <v>1</v>
      </c>
      <c r="S1927" s="14" t="n">
        <v>29.4</v>
      </c>
      <c r="T1927" s="14" t="n">
        <v>34.29</v>
      </c>
      <c r="U1927" s="26">
        <f>IF(X1927&gt;='Methodology &amp; Assumptions'!$B$7, "Tier 1 Critical GIDA (Score ≥ 50.0)", IF(X1927&gt;='Methodology &amp; Assumptions'!$B$8, "Tier 2 High GIDA (Score 40.0–49.9)", "Tier 3 Moderate GIDA (Score &lt; 40.0)"))</f>
        <v/>
      </c>
      <c r="V1927" s="26">
        <f>IF(S1927&lt;='Methodology &amp; Assumptions'!$B$10, "Direct Optical Drop (&lt;3km)", IF(S1927&lt;='Methodology &amp; Assumptions'!$B$9, "Near Optical / Microwave (&lt;5km)", "Starlink Business LEO Satellite Backhaul (&gt;5km)"))</f>
        <v/>
      </c>
      <c r="W1927" s="28" t="n">
        <v>0.11</v>
      </c>
      <c r="X1927" s="14" t="n">
        <v>41.46</v>
      </c>
      <c r="Y1927" s="14">
        <f>ROUND(MIN(100, (X1927/69.91)*100), 2)</f>
        <v/>
      </c>
    </row>
    <row r="1928">
      <c r="A1928" s="10" t="n">
        <v>5</v>
      </c>
      <c r="B1928" s="10" t="n">
        <v>924</v>
      </c>
      <c r="C1928" s="10" t="n">
        <v>4924</v>
      </c>
      <c r="D1928" s="10" t="inlineStr">
        <is>
          <t>0103308007</t>
        </is>
      </c>
      <c r="E1928" s="26" t="inlineStr">
        <is>
          <t>Region I (Ilocos Region)</t>
        </is>
      </c>
      <c r="F1928" s="26" t="inlineStr">
        <is>
          <t>La Union</t>
        </is>
      </c>
      <c r="G1928" s="26" t="inlineStr">
        <is>
          <t>Burgos</t>
        </is>
      </c>
      <c r="H1928" s="26" t="inlineStr">
        <is>
          <t>Libtong</t>
        </is>
      </c>
      <c r="I1928" s="27" t="n">
        <v>16.525904</v>
      </c>
      <c r="J1928" s="27" t="n">
        <v>120.463754</v>
      </c>
      <c r="K1928" s="10" t="inlineStr">
        <is>
          <t>R</t>
        </is>
      </c>
      <c r="L1928" s="12" t="n">
        <v>697</v>
      </c>
      <c r="M1928" s="14" t="n">
        <v>3.7</v>
      </c>
      <c r="N1928" s="12">
        <f>ROUND(L1928/M1928, 0)</f>
        <v/>
      </c>
      <c r="O1928" s="12">
        <f>ROUND(N1928*'Methodology &amp; Assumptions'!$B$5, 0)</f>
        <v/>
      </c>
      <c r="P1928" s="10" t="inlineStr">
        <is>
          <t>Single Carrier (Band n50, 100MHz TDD)</t>
        </is>
      </c>
      <c r="Q1928" s="13">
        <f>ROUNDUP(O1928/'Methodology &amp; Assumptions'!$B$6, 0)</f>
        <v/>
      </c>
      <c r="R1928" s="13" t="n">
        <v>1</v>
      </c>
      <c r="S1928" s="14" t="n">
        <v>3.83</v>
      </c>
      <c r="T1928" s="14" t="n">
        <v>0.99</v>
      </c>
      <c r="U1928" s="26">
        <f>IF(X1928&gt;='Methodology &amp; Assumptions'!$B$7, "Tier 1 Critical GIDA (Score ≥ 50.0)", IF(X1928&gt;='Methodology &amp; Assumptions'!$B$8, "Tier 2 High GIDA (Score 40.0–49.9)", "Tier 3 Moderate GIDA (Score &lt; 40.0)"))</f>
        <v/>
      </c>
      <c r="V1928" s="26">
        <f>IF(S1928&lt;='Methodology &amp; Assumptions'!$B$10, "Direct Optical Drop (&lt;3km)", IF(S1928&lt;='Methodology &amp; Assumptions'!$B$9, "Near Optical / Microwave (&lt;5km)", "Starlink Business LEO Satellite Backhaul (&gt;5km)"))</f>
        <v/>
      </c>
      <c r="W1928" s="28" t="n">
        <v>0.083</v>
      </c>
      <c r="X1928" s="14" t="n">
        <v>41.46</v>
      </c>
      <c r="Y1928" s="14">
        <f>ROUND(MIN(100, (X1928/69.91)*100), 2)</f>
        <v/>
      </c>
    </row>
    <row r="1929">
      <c r="A1929" s="10" t="n">
        <v>5</v>
      </c>
      <c r="B1929" s="10" t="n">
        <v>925</v>
      </c>
      <c r="C1929" s="10" t="n">
        <v>4925</v>
      </c>
      <c r="D1929" s="10" t="inlineStr">
        <is>
          <t>1903623005</t>
        </is>
      </c>
      <c r="E1929" s="26" t="inlineStr">
        <is>
          <t>Bangsamoro Autonomous Region In Muslim Mindanao (BARMM)</t>
        </is>
      </c>
      <c r="F1929" s="26" t="inlineStr">
        <is>
          <t>Lanao del Sur</t>
        </is>
      </c>
      <c r="G1929" s="26" t="inlineStr">
        <is>
          <t>Pualas</t>
        </is>
      </c>
      <c r="H1929" s="26" t="inlineStr">
        <is>
          <t>Bolinsong</t>
        </is>
      </c>
      <c r="I1929" s="27" t="n">
        <v>16.888321</v>
      </c>
      <c r="J1929" s="27" t="n">
        <v>122.303582</v>
      </c>
      <c r="K1929" s="10" t="inlineStr">
        <is>
          <t>R</t>
        </is>
      </c>
      <c r="L1929" s="12" t="n">
        <v>761</v>
      </c>
      <c r="M1929" s="14" t="n">
        <v>5.7</v>
      </c>
      <c r="N1929" s="12">
        <f>ROUND(L1929/M1929, 0)</f>
        <v/>
      </c>
      <c r="O1929" s="12">
        <f>ROUND(N1929*'Methodology &amp; Assumptions'!$B$5, 0)</f>
        <v/>
      </c>
      <c r="P1929" s="10" t="inlineStr">
        <is>
          <t>Single Carrier (Band n50, 100MHz TDD)</t>
        </is>
      </c>
      <c r="Q1929" s="13">
        <f>ROUNDUP(O1929/'Methodology &amp; Assumptions'!$B$6, 0)</f>
        <v/>
      </c>
      <c r="R1929" s="13" t="n">
        <v>1</v>
      </c>
      <c r="S1929" s="14" t="n">
        <v>32.73</v>
      </c>
      <c r="T1929" s="14" t="n">
        <v>40.77</v>
      </c>
      <c r="U1929" s="26">
        <f>IF(X1929&gt;='Methodology &amp; Assumptions'!$B$7, "Tier 1 Critical GIDA (Score ≥ 50.0)", IF(X1929&gt;='Methodology &amp; Assumptions'!$B$8, "Tier 2 High GIDA (Score 40.0–49.9)", "Tier 3 Moderate GIDA (Score &lt; 40.0)"))</f>
        <v/>
      </c>
      <c r="V1929" s="26">
        <f>IF(S1929&lt;='Methodology &amp; Assumptions'!$B$10, "Direct Optical Drop (&lt;3km)", IF(S1929&lt;='Methodology &amp; Assumptions'!$B$9, "Near Optical / Microwave (&lt;5km)", "Starlink Business LEO Satellite Backhaul (&gt;5km)"))</f>
        <v/>
      </c>
      <c r="W1929" s="28" t="n">
        <v>0.11</v>
      </c>
      <c r="X1929" s="14" t="n">
        <v>41.46</v>
      </c>
      <c r="Y1929" s="14">
        <f>ROUND(MIN(100, (X1929/69.91)*100), 2)</f>
        <v/>
      </c>
    </row>
    <row r="1930">
      <c r="A1930" s="10" t="n">
        <v>5</v>
      </c>
      <c r="B1930" s="10" t="n">
        <v>926</v>
      </c>
      <c r="C1930" s="10" t="n">
        <v>4926</v>
      </c>
      <c r="D1930" s="10" t="inlineStr">
        <is>
          <t>1404408002</t>
        </is>
      </c>
      <c r="E1930" s="26" t="inlineStr">
        <is>
          <t>Cordillera Administrative Region (CAR)</t>
        </is>
      </c>
      <c r="F1930" s="26" t="inlineStr">
        <is>
          <t>Mountain Province</t>
        </is>
      </c>
      <c r="G1930" s="26" t="inlineStr">
        <is>
          <t>Sadanga</t>
        </is>
      </c>
      <c r="H1930" s="26" t="inlineStr">
        <is>
          <t>Belwang</t>
        </is>
      </c>
      <c r="I1930" s="27" t="n">
        <v>17.179937</v>
      </c>
      <c r="J1930" s="27" t="n">
        <v>121.010571</v>
      </c>
      <c r="K1930" s="10" t="inlineStr">
        <is>
          <t>R</t>
        </is>
      </c>
      <c r="L1930" s="12" t="n">
        <v>857</v>
      </c>
      <c r="M1930" s="14" t="n">
        <v>3.7</v>
      </c>
      <c r="N1930" s="12">
        <f>ROUND(L1930/M1930, 0)</f>
        <v/>
      </c>
      <c r="O1930" s="12">
        <f>ROUND(N1930*'Methodology &amp; Assumptions'!$B$5, 0)</f>
        <v/>
      </c>
      <c r="P1930" s="10" t="inlineStr">
        <is>
          <t>Single Carrier (Band n50, 100MHz TDD)</t>
        </is>
      </c>
      <c r="Q1930" s="13">
        <f>ROUNDUP(O1930/'Methodology &amp; Assumptions'!$B$6, 0)</f>
        <v/>
      </c>
      <c r="R1930" s="13" t="n">
        <v>1</v>
      </c>
      <c r="S1930" s="14" t="n">
        <v>3.88</v>
      </c>
      <c r="T1930" s="14" t="n">
        <v>4.03</v>
      </c>
      <c r="U1930" s="26">
        <f>IF(X1930&gt;='Methodology &amp; Assumptions'!$B$7, "Tier 1 Critical GIDA (Score ≥ 50.0)", IF(X1930&gt;='Methodology &amp; Assumptions'!$B$8, "Tier 2 High GIDA (Score 40.0–49.9)", "Tier 3 Moderate GIDA (Score &lt; 40.0)"))</f>
        <v/>
      </c>
      <c r="V1930" s="26">
        <f>IF(S1930&lt;='Methodology &amp; Assumptions'!$B$10, "Direct Optical Drop (&lt;3km)", IF(S1930&lt;='Methodology &amp; Assumptions'!$B$9, "Near Optical / Microwave (&lt;5km)", "Starlink Business LEO Satellite Backhaul (&gt;5km)"))</f>
        <v/>
      </c>
      <c r="W1930" s="28" t="n">
        <v>0.109</v>
      </c>
      <c r="X1930" s="14" t="n">
        <v>41.45</v>
      </c>
      <c r="Y1930" s="14">
        <f>ROUND(MIN(100, (X1930/69.91)*100), 2)</f>
        <v/>
      </c>
    </row>
    <row r="1931">
      <c r="A1931" s="10" t="n">
        <v>5</v>
      </c>
      <c r="B1931" s="10" t="n">
        <v>927</v>
      </c>
      <c r="C1931" s="10" t="n">
        <v>4927</v>
      </c>
      <c r="D1931" s="10" t="inlineStr">
        <is>
          <t>1003514016</t>
        </is>
      </c>
      <c r="E1931" s="26" t="inlineStr">
        <is>
          <t>Region X (Northern Mindanao)</t>
        </is>
      </c>
      <c r="F1931" s="26" t="inlineStr">
        <is>
          <t>Lanao del Norte</t>
        </is>
      </c>
      <c r="G1931" s="26" t="inlineStr">
        <is>
          <t>Munai</t>
        </is>
      </c>
      <c r="H1931" s="26" t="inlineStr">
        <is>
          <t>Maganding</t>
        </is>
      </c>
      <c r="I1931" s="27" t="n">
        <v>8.020168</v>
      </c>
      <c r="J1931" s="27" t="n">
        <v>124.065836</v>
      </c>
      <c r="K1931" s="10" t="inlineStr">
        <is>
          <t>R</t>
        </is>
      </c>
      <c r="L1931" s="12" t="n">
        <v>753</v>
      </c>
      <c r="M1931" s="14" t="n">
        <v>4.2</v>
      </c>
      <c r="N1931" s="12">
        <f>ROUND(L1931/M1931, 0)</f>
        <v/>
      </c>
      <c r="O1931" s="12">
        <f>ROUND(N1931*'Methodology &amp; Assumptions'!$B$5, 0)</f>
        <v/>
      </c>
      <c r="P1931" s="10" t="inlineStr">
        <is>
          <t>Single Carrier (Band n50, 100MHz TDD)</t>
        </is>
      </c>
      <c r="Q1931" s="13">
        <f>ROUNDUP(O1931/'Methodology &amp; Assumptions'!$B$6, 0)</f>
        <v/>
      </c>
      <c r="R1931" s="13" t="n">
        <v>1</v>
      </c>
      <c r="S1931" s="14" t="n">
        <v>22.98</v>
      </c>
      <c r="T1931" s="14" t="n">
        <v>18.32</v>
      </c>
      <c r="U1931" s="26">
        <f>IF(X1931&gt;='Methodology &amp; Assumptions'!$B$7, "Tier 1 Critical GIDA (Score ≥ 50.0)", IF(X1931&gt;='Methodology &amp; Assumptions'!$B$8, "Tier 2 High GIDA (Score 40.0–49.9)", "Tier 3 Moderate GIDA (Score &lt; 40.0)"))</f>
        <v/>
      </c>
      <c r="V1931" s="26">
        <f>IF(S1931&lt;='Methodology &amp; Assumptions'!$B$10, "Direct Optical Drop (&lt;3km)", IF(S1931&lt;='Methodology &amp; Assumptions'!$B$9, "Near Optical / Microwave (&lt;5km)", "Starlink Business LEO Satellite Backhaul (&gt;5km)"))</f>
        <v/>
      </c>
      <c r="W1931" s="28" t="n">
        <v>0.174</v>
      </c>
      <c r="X1931" s="14" t="n">
        <v>41.45</v>
      </c>
      <c r="Y1931" s="14">
        <f>ROUND(MIN(100, (X1931/69.91)*100), 2)</f>
        <v/>
      </c>
    </row>
    <row r="1932">
      <c r="A1932" s="10" t="n">
        <v>5</v>
      </c>
      <c r="B1932" s="10" t="n">
        <v>928</v>
      </c>
      <c r="C1932" s="10" t="n">
        <v>4928</v>
      </c>
      <c r="D1932" s="10" t="inlineStr">
        <is>
          <t>0102805009</t>
        </is>
      </c>
      <c r="E1932" s="26" t="inlineStr">
        <is>
          <t>Region I (Ilocos Region)</t>
        </is>
      </c>
      <c r="F1932" s="26" t="inlineStr">
        <is>
          <t>Ilocos Norte</t>
        </is>
      </c>
      <c r="G1932" s="26" t="inlineStr">
        <is>
          <t>City of Batac</t>
        </is>
      </c>
      <c r="H1932" s="26" t="inlineStr">
        <is>
          <t>Ben-agan</t>
        </is>
      </c>
      <c r="I1932" s="27" t="n">
        <v>18.061001</v>
      </c>
      <c r="J1932" s="27" t="n">
        <v>120.57102</v>
      </c>
      <c r="K1932" s="10" t="inlineStr">
        <is>
          <t>R</t>
        </is>
      </c>
      <c r="L1932" s="12" t="n">
        <v>725</v>
      </c>
      <c r="M1932" s="14" t="n">
        <v>3.7</v>
      </c>
      <c r="N1932" s="12">
        <f>ROUND(L1932/M1932, 0)</f>
        <v/>
      </c>
      <c r="O1932" s="12">
        <f>ROUND(N1932*'Methodology &amp; Assumptions'!$B$5, 0)</f>
        <v/>
      </c>
      <c r="P1932" s="10" t="inlineStr">
        <is>
          <t>Single Carrier (Band n50, 100MHz TDD)</t>
        </is>
      </c>
      <c r="Q1932" s="13">
        <f>ROUNDUP(O1932/'Methodology &amp; Assumptions'!$B$6, 0)</f>
        <v/>
      </c>
      <c r="R1932" s="13" t="n">
        <v>1</v>
      </c>
      <c r="S1932" s="14" t="n">
        <v>2.05</v>
      </c>
      <c r="T1932" s="14" t="n">
        <v>1.24</v>
      </c>
      <c r="U1932" s="26">
        <f>IF(X1932&gt;='Methodology &amp; Assumptions'!$B$7, "Tier 1 Critical GIDA (Score ≥ 50.0)", IF(X1932&gt;='Methodology &amp; Assumptions'!$B$8, "Tier 2 High GIDA (Score 40.0–49.9)", "Tier 3 Moderate GIDA (Score &lt; 40.0)"))</f>
        <v/>
      </c>
      <c r="V1932" s="26">
        <f>IF(S1932&lt;='Methodology &amp; Assumptions'!$B$10, "Direct Optical Drop (&lt;3km)", IF(S1932&lt;='Methodology &amp; Assumptions'!$B$9, "Near Optical / Microwave (&lt;5km)", "Starlink Business LEO Satellite Backhaul (&gt;5km)"))</f>
        <v/>
      </c>
      <c r="W1932" s="28" t="n">
        <v>0.083</v>
      </c>
      <c r="X1932" s="14" t="n">
        <v>41.45</v>
      </c>
      <c r="Y1932" s="14">
        <f>ROUND(MIN(100, (X1932/69.91)*100), 2)</f>
        <v/>
      </c>
    </row>
    <row r="1933">
      <c r="A1933" s="10" t="n">
        <v>5</v>
      </c>
      <c r="B1933" s="10" t="n">
        <v>929</v>
      </c>
      <c r="C1933" s="10" t="n">
        <v>4929</v>
      </c>
      <c r="D1933" s="10" t="inlineStr">
        <is>
          <t>PH0004929</t>
        </is>
      </c>
      <c r="E1933" s="26" t="inlineStr">
        <is>
          <t>IV-A</t>
        </is>
      </c>
      <c r="F1933" s="26" t="inlineStr">
        <is>
          <t>Cavite</t>
        </is>
      </c>
      <c r="G1933" s="26" t="inlineStr">
        <is>
          <t>Cavite City</t>
        </is>
      </c>
      <c r="H1933" s="26" t="inlineStr">
        <is>
          <t>Barangay 46</t>
        </is>
      </c>
      <c r="I1933" s="27" t="n">
        <v>14.53769</v>
      </c>
      <c r="J1933" s="27" t="n">
        <v>120.912968</v>
      </c>
      <c r="K1933" s="10" t="inlineStr">
        <is>
          <t>R</t>
        </is>
      </c>
      <c r="L1933" s="12" t="n">
        <v>2316</v>
      </c>
      <c r="M1933" s="14" t="n">
        <v>3.4</v>
      </c>
      <c r="N1933" s="12">
        <f>ROUND(L1933/M1933, 0)</f>
        <v/>
      </c>
      <c r="O1933" s="12">
        <f>ROUND(N1933*'Methodology &amp; Assumptions'!$B$5, 0)</f>
        <v/>
      </c>
      <c r="P1933" s="10" t="inlineStr">
        <is>
          <t>Single Carrier (Band n50, 100MHz TDD)</t>
        </is>
      </c>
      <c r="Q1933" s="13">
        <f>ROUNDUP(O1933/'Methodology &amp; Assumptions'!$B$6, 0)</f>
        <v/>
      </c>
      <c r="R1933" s="13" t="n">
        <v>1</v>
      </c>
      <c r="S1933" s="14" t="n">
        <v>7.51</v>
      </c>
      <c r="T1933" s="14" t="n">
        <v>8.67</v>
      </c>
      <c r="U1933" s="26">
        <f>IF(X1933&gt;='Methodology &amp; Assumptions'!$B$7, "Tier 1 Critical GIDA (Score ≥ 50.0)", IF(X1933&gt;='Methodology &amp; Assumptions'!$B$8, "Tier 2 High GIDA (Score 40.0–49.9)", "Tier 3 Moderate GIDA (Score &lt; 40.0)"))</f>
        <v/>
      </c>
      <c r="V1933" s="26">
        <f>IF(S1933&lt;='Methodology &amp; Assumptions'!$B$10, "Direct Optical Drop (&lt;3km)", IF(S1933&lt;='Methodology &amp; Assumptions'!$B$9, "Near Optical / Microwave (&lt;5km)", "Starlink Business LEO Satellite Backhaul (&gt;5km)"))</f>
        <v/>
      </c>
      <c r="W1933" s="28" t="n">
        <v>0.07200000000000001</v>
      </c>
      <c r="X1933" s="14" t="n">
        <v>41.44</v>
      </c>
      <c r="Y1933" s="14">
        <f>ROUND(MIN(100, (X1933/69.91)*100), 2)</f>
        <v/>
      </c>
    </row>
    <row r="1934">
      <c r="A1934" s="10" t="n">
        <v>5</v>
      </c>
      <c r="B1934" s="10" t="n">
        <v>930</v>
      </c>
      <c r="C1934" s="10" t="n">
        <v>4930</v>
      </c>
      <c r="D1934" s="10" t="inlineStr">
        <is>
          <t>0301412021</t>
        </is>
      </c>
      <c r="E1934" s="26" t="inlineStr">
        <is>
          <t>Region III (Central Luzon)</t>
        </is>
      </c>
      <c r="F1934" s="26" t="inlineStr">
        <is>
          <t>Bulacan</t>
        </is>
      </c>
      <c r="G1934" s="26" t="inlineStr">
        <is>
          <t>City of Meycauayan</t>
        </is>
      </c>
      <c r="H1934" s="26" t="inlineStr">
        <is>
          <t>Saluysoy</t>
        </is>
      </c>
      <c r="I1934" s="27" t="n">
        <v>14.743481</v>
      </c>
      <c r="J1934" s="27" t="n">
        <v>120.95561</v>
      </c>
      <c r="K1934" s="10" t="inlineStr">
        <is>
          <t>U</t>
        </is>
      </c>
      <c r="L1934" s="12" t="n">
        <v>11523</v>
      </c>
      <c r="M1934" s="14" t="n">
        <v>3.5</v>
      </c>
      <c r="N1934" s="12">
        <f>ROUND(L1934/M1934, 0)</f>
        <v/>
      </c>
      <c r="O1934" s="12">
        <f>ROUND(N1934*'Methodology &amp; Assumptions'!$B$5, 0)</f>
        <v/>
      </c>
      <c r="P1934" s="10" t="inlineStr">
        <is>
          <t>Single Carrier (Band n50, 100MHz TDD)</t>
        </is>
      </c>
      <c r="Q1934" s="13">
        <f>ROUNDUP(O1934/'Methodology &amp; Assumptions'!$B$6, 0)</f>
        <v/>
      </c>
      <c r="R1934" s="13" t="n">
        <v>1</v>
      </c>
      <c r="S1934" s="14" t="n">
        <v>0.6899999999999999</v>
      </c>
      <c r="T1934" s="14" t="n">
        <v>0.36</v>
      </c>
      <c r="U1934" s="26">
        <f>IF(X1934&gt;='Methodology &amp; Assumptions'!$B$7, "Tier 1 Critical GIDA (Score ≥ 50.0)", IF(X1934&gt;='Methodology &amp; Assumptions'!$B$8, "Tier 2 High GIDA (Score 40.0–49.9)", "Tier 3 Moderate GIDA (Score &lt; 40.0)"))</f>
        <v/>
      </c>
      <c r="V1934" s="26">
        <f>IF(S1934&lt;='Methodology &amp; Assumptions'!$B$10, "Direct Optical Drop (&lt;3km)", IF(S1934&lt;='Methodology &amp; Assumptions'!$B$9, "Near Optical / Microwave (&lt;5km)", "Starlink Business LEO Satellite Backhaul (&gt;5km)"))</f>
        <v/>
      </c>
      <c r="W1934" s="28" t="n">
        <v>0.083</v>
      </c>
      <c r="X1934" s="14" t="n">
        <v>41.44</v>
      </c>
      <c r="Y1934" s="14">
        <f>ROUND(MIN(100, (X1934/69.91)*100), 2)</f>
        <v/>
      </c>
    </row>
    <row r="1935">
      <c r="A1935" s="10" t="n">
        <v>5</v>
      </c>
      <c r="B1935" s="10" t="n">
        <v>931</v>
      </c>
      <c r="C1935" s="10" t="n">
        <v>4931</v>
      </c>
      <c r="D1935" s="10" t="inlineStr">
        <is>
          <t>0405607078</t>
        </is>
      </c>
      <c r="E1935" s="26" t="inlineStr">
        <is>
          <t>Region IV-A (CALABARZON)</t>
        </is>
      </c>
      <c r="F1935" s="26" t="inlineStr">
        <is>
          <t>Quezon</t>
        </is>
      </c>
      <c r="G1935" s="26" t="inlineStr">
        <is>
          <t>Calauag</t>
        </is>
      </c>
      <c r="H1935" s="26" t="inlineStr">
        <is>
          <t>Sinag</t>
        </is>
      </c>
      <c r="I1935" s="27" t="n">
        <v>14.210602</v>
      </c>
      <c r="J1935" s="27" t="n">
        <v>122.266265</v>
      </c>
      <c r="K1935" s="10" t="inlineStr">
        <is>
          <t>R</t>
        </is>
      </c>
      <c r="L1935" s="12" t="n">
        <v>518</v>
      </c>
      <c r="M1935" s="14" t="n">
        <v>3.8</v>
      </c>
      <c r="N1935" s="12">
        <f>ROUND(L1935/M1935, 0)</f>
        <v/>
      </c>
      <c r="O1935" s="12">
        <f>ROUND(N1935*'Methodology &amp; Assumptions'!$B$5, 0)</f>
        <v/>
      </c>
      <c r="P1935" s="10" t="inlineStr">
        <is>
          <t>Single Carrier (Band n50, 100MHz TDD)</t>
        </is>
      </c>
      <c r="Q1935" s="13">
        <f>ROUNDUP(O1935/'Methodology &amp; Assumptions'!$B$6, 0)</f>
        <v/>
      </c>
      <c r="R1935" s="13" t="n">
        <v>1</v>
      </c>
      <c r="S1935" s="14" t="n">
        <v>9.800000000000001</v>
      </c>
      <c r="T1935" s="14" t="n">
        <v>13.19</v>
      </c>
      <c r="U1935" s="26">
        <f>IF(X1935&gt;='Methodology &amp; Assumptions'!$B$7, "Tier 1 Critical GIDA (Score ≥ 50.0)", IF(X1935&gt;='Methodology &amp; Assumptions'!$B$8, "Tier 2 High GIDA (Score 40.0–49.9)", "Tier 3 Moderate GIDA (Score &lt; 40.0)"))</f>
        <v/>
      </c>
      <c r="V1935" s="26">
        <f>IF(S1935&lt;='Methodology &amp; Assumptions'!$B$10, "Direct Optical Drop (&lt;3km)", IF(S1935&lt;='Methodology &amp; Assumptions'!$B$9, "Near Optical / Microwave (&lt;5km)", "Starlink Business LEO Satellite Backhaul (&gt;5km)"))</f>
        <v/>
      </c>
      <c r="W1935" s="28" t="n">
        <v>0.07200000000000001</v>
      </c>
      <c r="X1935" s="14" t="n">
        <v>41.44</v>
      </c>
      <c r="Y1935" s="14">
        <f>ROUND(MIN(100, (X1935/69.91)*100), 2)</f>
        <v/>
      </c>
    </row>
    <row r="1936">
      <c r="A1936" s="10" t="n">
        <v>5</v>
      </c>
      <c r="B1936" s="10" t="n">
        <v>932</v>
      </c>
      <c r="C1936" s="10" t="n">
        <v>4932</v>
      </c>
      <c r="D1936" s="10" t="inlineStr">
        <is>
          <t>PH0004932</t>
        </is>
      </c>
      <c r="E1936" s="26" t="inlineStr">
        <is>
          <t>VIII</t>
        </is>
      </c>
      <c r="F1936" s="26" t="inlineStr">
        <is>
          <t>Samar (Western Samar)</t>
        </is>
      </c>
      <c r="G1936" s="26" t="inlineStr">
        <is>
          <t>Catbalogan City</t>
        </is>
      </c>
      <c r="H1936" s="26" t="inlineStr">
        <is>
          <t>Poblacion 5</t>
        </is>
      </c>
      <c r="I1936" s="27" t="n">
        <v>12.860036</v>
      </c>
      <c r="J1936" s="27" t="n">
        <v>121.74996</v>
      </c>
      <c r="K1936" s="10" t="inlineStr">
        <is>
          <t>R</t>
        </is>
      </c>
      <c r="L1936" s="12" t="n">
        <v>2229</v>
      </c>
      <c r="M1936" s="14" t="n">
        <v>4.1</v>
      </c>
      <c r="N1936" s="12">
        <f>ROUND(L1936/M1936, 0)</f>
        <v/>
      </c>
      <c r="O1936" s="12">
        <f>ROUND(N1936*'Methodology &amp; Assumptions'!$B$5, 0)</f>
        <v/>
      </c>
      <c r="P1936" s="10" t="inlineStr">
        <is>
          <t>Single Carrier (Band n50, 100MHz TDD)</t>
        </is>
      </c>
      <c r="Q1936" s="13">
        <f>ROUNDUP(O1936/'Methodology &amp; Assumptions'!$B$6, 0)</f>
        <v/>
      </c>
      <c r="R1936" s="13" t="n">
        <v>1</v>
      </c>
      <c r="S1936" s="14" t="n">
        <v>31.27</v>
      </c>
      <c r="T1936" s="14" t="n">
        <v>30.61</v>
      </c>
      <c r="U1936" s="26">
        <f>IF(X1936&gt;='Methodology &amp; Assumptions'!$B$7, "Tier 1 Critical GIDA (Score ≥ 50.0)", IF(X1936&gt;='Methodology &amp; Assumptions'!$B$8, "Tier 2 High GIDA (Score 40.0–49.9)", "Tier 3 Moderate GIDA (Score &lt; 40.0)"))</f>
        <v/>
      </c>
      <c r="V1936" s="26">
        <f>IF(S1936&lt;='Methodology &amp; Assumptions'!$B$10, "Direct Optical Drop (&lt;3km)", IF(S1936&lt;='Methodology &amp; Assumptions'!$B$9, "Near Optical / Microwave (&lt;5km)", "Starlink Business LEO Satellite Backhaul (&gt;5km)"))</f>
        <v/>
      </c>
      <c r="W1936" s="28" t="n">
        <v>0.222</v>
      </c>
      <c r="X1936" s="14" t="n">
        <v>41.44</v>
      </c>
      <c r="Y1936" s="14">
        <f>ROUND(MIN(100, (X1936/69.91)*100), 2)</f>
        <v/>
      </c>
    </row>
    <row r="1937">
      <c r="A1937" s="10" t="n">
        <v>5</v>
      </c>
      <c r="B1937" s="10" t="n">
        <v>933</v>
      </c>
      <c r="C1937" s="10" t="n">
        <v>4933</v>
      </c>
      <c r="D1937" s="10" t="inlineStr">
        <is>
          <t>1906615009</t>
        </is>
      </c>
      <c r="E1937" s="26" t="inlineStr">
        <is>
          <t>Bangsamoro Autonomous Region In Muslim Mindanao (BARMM)</t>
        </is>
      </c>
      <c r="F1937" s="26" t="inlineStr">
        <is>
          <t>Sulu</t>
        </is>
      </c>
      <c r="G1937" s="26" t="inlineStr">
        <is>
          <t>Tongkil</t>
        </is>
      </c>
      <c r="H1937" s="26" t="inlineStr">
        <is>
          <t>Sigumbal</t>
        </is>
      </c>
      <c r="I1937" s="27" t="n">
        <v>17.255667</v>
      </c>
      <c r="J1937" s="27" t="n">
        <v>122.229711</v>
      </c>
      <c r="K1937" s="10" t="inlineStr">
        <is>
          <t>R</t>
        </is>
      </c>
      <c r="L1937" s="12" t="n">
        <v>3650</v>
      </c>
      <c r="M1937" s="14" t="n">
        <v>6</v>
      </c>
      <c r="N1937" s="12">
        <f>ROUND(L1937/M1937, 0)</f>
        <v/>
      </c>
      <c r="O1937" s="12">
        <f>ROUND(N1937*'Methodology &amp; Assumptions'!$B$5, 0)</f>
        <v/>
      </c>
      <c r="P1937" s="10" t="inlineStr">
        <is>
          <t>Single Carrier (Band n50, 100MHz TDD)</t>
        </is>
      </c>
      <c r="Q1937" s="13">
        <f>ROUNDUP(O1937/'Methodology &amp; Assumptions'!$B$6, 0)</f>
        <v/>
      </c>
      <c r="R1937" s="13" t="n">
        <v>1</v>
      </c>
      <c r="S1937" s="14" t="n">
        <v>29.54</v>
      </c>
      <c r="T1937" s="14" t="n">
        <v>34.41</v>
      </c>
      <c r="U1937" s="26">
        <f>IF(X1937&gt;='Methodology &amp; Assumptions'!$B$7, "Tier 1 Critical GIDA (Score ≥ 50.0)", IF(X1937&gt;='Methodology &amp; Assumptions'!$B$8, "Tier 2 High GIDA (Score 40.0–49.9)", "Tier 3 Moderate GIDA (Score &lt; 40.0)"))</f>
        <v/>
      </c>
      <c r="V1937" s="26">
        <f>IF(S1937&lt;='Methodology &amp; Assumptions'!$B$10, "Direct Optical Drop (&lt;3km)", IF(S1937&lt;='Methodology &amp; Assumptions'!$B$9, "Near Optical / Microwave (&lt;5km)", "Starlink Business LEO Satellite Backhaul (&gt;5km)"))</f>
        <v/>
      </c>
      <c r="W1937" s="28" t="n">
        <v>0.11</v>
      </c>
      <c r="X1937" s="14" t="n">
        <v>41.44</v>
      </c>
      <c r="Y1937" s="14">
        <f>ROUND(MIN(100, (X1937/69.91)*100), 2)</f>
        <v/>
      </c>
    </row>
    <row r="1938">
      <c r="A1938" s="10" t="n">
        <v>5</v>
      </c>
      <c r="B1938" s="10" t="n">
        <v>934</v>
      </c>
      <c r="C1938" s="10" t="n">
        <v>4934</v>
      </c>
      <c r="D1938" s="10" t="inlineStr">
        <is>
          <t>0806024015</t>
        </is>
      </c>
      <c r="E1938" s="26" t="inlineStr">
        <is>
          <t>Region VIII (Eastern Visayas)</t>
        </is>
      </c>
      <c r="F1938" s="26" t="inlineStr">
        <is>
          <t>Samar</t>
        </is>
      </c>
      <c r="G1938" s="26" t="inlineStr">
        <is>
          <t>Tagapul-An</t>
        </is>
      </c>
      <c r="H1938" s="26" t="inlineStr">
        <is>
          <t>Trinidad</t>
        </is>
      </c>
      <c r="I1938" s="27" t="n">
        <v>12.062672</v>
      </c>
      <c r="J1938" s="27" t="n">
        <v>124.158358</v>
      </c>
      <c r="K1938" s="10" t="inlineStr">
        <is>
          <t>R</t>
        </is>
      </c>
      <c r="L1938" s="12" t="n">
        <v>331</v>
      </c>
      <c r="M1938" s="14" t="n">
        <v>4.1</v>
      </c>
      <c r="N1938" s="12">
        <f>ROUND(L1938/M1938, 0)</f>
        <v/>
      </c>
      <c r="O1938" s="12">
        <f>ROUND(N1938*'Methodology &amp; Assumptions'!$B$5, 0)</f>
        <v/>
      </c>
      <c r="P1938" s="10" t="inlineStr">
        <is>
          <t>Single Carrier (Band n50, 100MHz TDD)</t>
        </is>
      </c>
      <c r="Q1938" s="13">
        <f>ROUNDUP(O1938/'Methodology &amp; Assumptions'!$B$6, 0)</f>
        <v/>
      </c>
      <c r="R1938" s="13" t="n">
        <v>1</v>
      </c>
      <c r="S1938" s="14" t="n">
        <v>34.48</v>
      </c>
      <c r="T1938" s="14" t="n">
        <v>58.83</v>
      </c>
      <c r="U1938" s="26">
        <f>IF(X1938&gt;='Methodology &amp; Assumptions'!$B$7, "Tier 1 Critical GIDA (Score ≥ 50.0)", IF(X1938&gt;='Methodology &amp; Assumptions'!$B$8, "Tier 2 High GIDA (Score 40.0–49.9)", "Tier 3 Moderate GIDA (Score &lt; 40.0)"))</f>
        <v/>
      </c>
      <c r="V1938" s="26">
        <f>IF(S1938&lt;='Methodology &amp; Assumptions'!$B$10, "Direct Optical Drop (&lt;3km)", IF(S1938&lt;='Methodology &amp; Assumptions'!$B$9, "Near Optical / Microwave (&lt;5km)", "Starlink Business LEO Satellite Backhaul (&gt;5km)"))</f>
        <v/>
      </c>
      <c r="W1938" s="28" t="n">
        <v>0.237</v>
      </c>
      <c r="X1938" s="14" t="n">
        <v>41.43</v>
      </c>
      <c r="Y1938" s="14">
        <f>ROUND(MIN(100, (X1938/69.91)*100), 2)</f>
        <v/>
      </c>
    </row>
    <row r="1939">
      <c r="A1939" s="10" t="n">
        <v>5</v>
      </c>
      <c r="B1939" s="10" t="n">
        <v>935</v>
      </c>
      <c r="C1939" s="10" t="n">
        <v>4935</v>
      </c>
      <c r="D1939" s="10" t="inlineStr">
        <is>
          <t>1903639013</t>
        </is>
      </c>
      <c r="E1939" s="26" t="inlineStr">
        <is>
          <t>Bangsamoro Autonomous Region In Muslim Mindanao (BARMM)</t>
        </is>
      </c>
      <c r="F1939" s="26" t="inlineStr">
        <is>
          <t>Lanao del Sur</t>
        </is>
      </c>
      <c r="G1939" s="26" t="inlineStr">
        <is>
          <t>Kapatagan</t>
        </is>
      </c>
      <c r="H1939" s="26" t="inlineStr">
        <is>
          <t>Sigayan</t>
        </is>
      </c>
      <c r="I1939" s="27" t="n">
        <v>17.259234</v>
      </c>
      <c r="J1939" s="27" t="n">
        <v>122.234975</v>
      </c>
      <c r="K1939" s="10" t="inlineStr">
        <is>
          <t>R</t>
        </is>
      </c>
      <c r="L1939" s="12" t="n">
        <v>1127</v>
      </c>
      <c r="M1939" s="14" t="n">
        <v>5.7</v>
      </c>
      <c r="N1939" s="12">
        <f>ROUND(L1939/M1939, 0)</f>
        <v/>
      </c>
      <c r="O1939" s="12">
        <f>ROUND(N1939*'Methodology &amp; Assumptions'!$B$5, 0)</f>
        <v/>
      </c>
      <c r="P1939" s="10" t="inlineStr">
        <is>
          <t>Single Carrier (Band n50, 100MHz TDD)</t>
        </is>
      </c>
      <c r="Q1939" s="13">
        <f>ROUNDUP(O1939/'Methodology &amp; Assumptions'!$B$6, 0)</f>
        <v/>
      </c>
      <c r="R1939" s="13" t="n">
        <v>1</v>
      </c>
      <c r="S1939" s="14" t="n">
        <v>30.22</v>
      </c>
      <c r="T1939" s="14" t="n">
        <v>35.06</v>
      </c>
      <c r="U1939" s="26">
        <f>IF(X1939&gt;='Methodology &amp; Assumptions'!$B$7, "Tier 1 Critical GIDA (Score ≥ 50.0)", IF(X1939&gt;='Methodology &amp; Assumptions'!$B$8, "Tier 2 High GIDA (Score 40.0–49.9)", "Tier 3 Moderate GIDA (Score &lt; 40.0)"))</f>
        <v/>
      </c>
      <c r="V1939" s="26">
        <f>IF(S1939&lt;='Methodology &amp; Assumptions'!$B$10, "Direct Optical Drop (&lt;3km)", IF(S1939&lt;='Methodology &amp; Assumptions'!$B$9, "Near Optical / Microwave (&lt;5km)", "Starlink Business LEO Satellite Backhaul (&gt;5km)"))</f>
        <v/>
      </c>
      <c r="W1939" s="28" t="n">
        <v>0.11</v>
      </c>
      <c r="X1939" s="14" t="n">
        <v>41.43</v>
      </c>
      <c r="Y1939" s="14">
        <f>ROUND(MIN(100, (X1939/69.91)*100), 2)</f>
        <v/>
      </c>
    </row>
    <row r="1940">
      <c r="A1940" s="10" t="n">
        <v>5</v>
      </c>
      <c r="B1940" s="10" t="n">
        <v>936</v>
      </c>
      <c r="C1940" s="10" t="n">
        <v>4936</v>
      </c>
      <c r="D1940" s="10" t="inlineStr">
        <is>
          <t>1606812008</t>
        </is>
      </c>
      <c r="E1940" s="26" t="inlineStr">
        <is>
          <t>Region XIII (Caraga)</t>
        </is>
      </c>
      <c r="F1940" s="26" t="inlineStr">
        <is>
          <t>Surigao del Sur</t>
        </is>
      </c>
      <c r="G1940" s="26" t="inlineStr">
        <is>
          <t>Lingig</t>
        </is>
      </c>
      <c r="H1940" s="26" t="inlineStr">
        <is>
          <t>Mansa-ilao</t>
        </is>
      </c>
      <c r="I1940" s="27" t="n">
        <v>7.943657</v>
      </c>
      <c r="J1940" s="27" t="n">
        <v>126.375829</v>
      </c>
      <c r="K1940" s="10" t="inlineStr">
        <is>
          <t>R</t>
        </is>
      </c>
      <c r="L1940" s="12" t="n">
        <v>529</v>
      </c>
      <c r="M1940" s="14" t="n">
        <v>4.1</v>
      </c>
      <c r="N1940" s="12">
        <f>ROUND(L1940/M1940, 0)</f>
        <v/>
      </c>
      <c r="O1940" s="12">
        <f>ROUND(N1940*'Methodology &amp; Assumptions'!$B$5, 0)</f>
        <v/>
      </c>
      <c r="P1940" s="10" t="inlineStr">
        <is>
          <t>Single Carrier (Band n50, 100MHz TDD)</t>
        </is>
      </c>
      <c r="Q1940" s="13">
        <f>ROUNDUP(O1940/'Methodology &amp; Assumptions'!$B$6, 0)</f>
        <v/>
      </c>
      <c r="R1940" s="13" t="n">
        <v>1</v>
      </c>
      <c r="S1940" s="14" t="n">
        <v>36.26</v>
      </c>
      <c r="T1940" s="14" t="n">
        <v>31.78</v>
      </c>
      <c r="U1940" s="26">
        <f>IF(X1940&gt;='Methodology &amp; Assumptions'!$B$7, "Tier 1 Critical GIDA (Score ≥ 50.0)", IF(X1940&gt;='Methodology &amp; Assumptions'!$B$8, "Tier 2 High GIDA (Score 40.0–49.9)", "Tier 3 Moderate GIDA (Score &lt; 40.0)"))</f>
        <v/>
      </c>
      <c r="V1940" s="26">
        <f>IF(S1940&lt;='Methodology &amp; Assumptions'!$B$10, "Direct Optical Drop (&lt;3km)", IF(S1940&lt;='Methodology &amp; Assumptions'!$B$9, "Near Optical / Microwave (&lt;5km)", "Starlink Business LEO Satellite Backhaul (&gt;5km)"))</f>
        <v/>
      </c>
      <c r="W1940" s="28" t="n">
        <v>0.174</v>
      </c>
      <c r="X1940" s="14" t="n">
        <v>41.43</v>
      </c>
      <c r="Y1940" s="14">
        <f>ROUND(MIN(100, (X1940/69.91)*100), 2)</f>
        <v/>
      </c>
    </row>
    <row r="1941">
      <c r="A1941" s="10" t="n">
        <v>5</v>
      </c>
      <c r="B1941" s="10" t="n">
        <v>937</v>
      </c>
      <c r="C1941" s="10" t="n">
        <v>4937</v>
      </c>
      <c r="D1941" s="10" t="inlineStr">
        <is>
          <t>1004204013</t>
        </is>
      </c>
      <c r="E1941" s="26" t="inlineStr">
        <is>
          <t>Region X (Northern Mindanao)</t>
        </is>
      </c>
      <c r="F1941" s="26" t="inlineStr">
        <is>
          <t>Misamis Occidental</t>
        </is>
      </c>
      <c r="G1941" s="26" t="inlineStr">
        <is>
          <t>Calamba</t>
        </is>
      </c>
      <c r="H1941" s="26" t="inlineStr">
        <is>
          <t>San Isidro</t>
        </is>
      </c>
      <c r="I1941" s="27" t="n">
        <v>8.511876000000001</v>
      </c>
      <c r="J1941" s="27" t="n">
        <v>123.660045</v>
      </c>
      <c r="K1941" s="10" t="inlineStr">
        <is>
          <t>R</t>
        </is>
      </c>
      <c r="L1941" s="12" t="n">
        <v>505</v>
      </c>
      <c r="M1941" s="14" t="n">
        <v>3.9</v>
      </c>
      <c r="N1941" s="12">
        <f>ROUND(L1941/M1941, 0)</f>
        <v/>
      </c>
      <c r="O1941" s="12">
        <f>ROUND(N1941*'Methodology &amp; Assumptions'!$B$5, 0)</f>
        <v/>
      </c>
      <c r="P1941" s="10" t="inlineStr">
        <is>
          <t>Single Carrier (Band n50, 100MHz TDD)</t>
        </is>
      </c>
      <c r="Q1941" s="13">
        <f>ROUNDUP(O1941/'Methodology &amp; Assumptions'!$B$6, 0)</f>
        <v/>
      </c>
      <c r="R1941" s="13" t="n">
        <v>1</v>
      </c>
      <c r="S1941" s="14" t="n">
        <v>54.34</v>
      </c>
      <c r="T1941" s="14" t="n">
        <v>49.65</v>
      </c>
      <c r="U1941" s="26">
        <f>IF(X1941&gt;='Methodology &amp; Assumptions'!$B$7, "Tier 1 Critical GIDA (Score ≥ 50.0)", IF(X1941&gt;='Methodology &amp; Assumptions'!$B$8, "Tier 2 High GIDA (Score 40.0–49.9)", "Tier 3 Moderate GIDA (Score &lt; 40.0)"))</f>
        <v/>
      </c>
      <c r="V1941" s="26">
        <f>IF(S1941&lt;='Methodology &amp; Assumptions'!$B$10, "Direct Optical Drop (&lt;3km)", IF(S1941&lt;='Methodology &amp; Assumptions'!$B$9, "Near Optical / Microwave (&lt;5km)", "Starlink Business LEO Satellite Backhaul (&gt;5km)"))</f>
        <v/>
      </c>
      <c r="W1941" s="28" t="n">
        <v>0.174</v>
      </c>
      <c r="X1941" s="14" t="n">
        <v>41.43</v>
      </c>
      <c r="Y1941" s="14">
        <f>ROUND(MIN(100, (X1941/69.91)*100), 2)</f>
        <v/>
      </c>
    </row>
    <row r="1942">
      <c r="A1942" s="10" t="n">
        <v>5</v>
      </c>
      <c r="B1942" s="10" t="n">
        <v>938</v>
      </c>
      <c r="C1942" s="10" t="n">
        <v>4938</v>
      </c>
      <c r="D1942" s="10" t="inlineStr">
        <is>
          <t>0804822015</t>
        </is>
      </c>
      <c r="E1942" s="26" t="inlineStr">
        <is>
          <t>Region VIII (Eastern Visayas)</t>
        </is>
      </c>
      <c r="F1942" s="26" t="inlineStr">
        <is>
          <t>Northern Samar</t>
        </is>
      </c>
      <c r="G1942" s="26" t="inlineStr">
        <is>
          <t>Silvino Lobos</t>
        </is>
      </c>
      <c r="H1942" s="26" t="inlineStr">
        <is>
          <t>Geparayan De Turag</t>
        </is>
      </c>
      <c r="I1942" s="27" t="n">
        <v>12.32186</v>
      </c>
      <c r="J1942" s="27" t="n">
        <v>124.8944</v>
      </c>
      <c r="K1942" s="10" t="inlineStr">
        <is>
          <t>R</t>
        </is>
      </c>
      <c r="L1942" s="12" t="n">
        <v>867</v>
      </c>
      <c r="M1942" s="14" t="n">
        <v>4.3</v>
      </c>
      <c r="N1942" s="12">
        <f>ROUND(L1942/M1942, 0)</f>
        <v/>
      </c>
      <c r="O1942" s="12">
        <f>ROUND(N1942*'Methodology &amp; Assumptions'!$B$5, 0)</f>
        <v/>
      </c>
      <c r="P1942" s="10" t="inlineStr">
        <is>
          <t>Single Carrier (Band n50, 100MHz TDD)</t>
        </is>
      </c>
      <c r="Q1942" s="13">
        <f>ROUNDUP(O1942/'Methodology &amp; Assumptions'!$B$6, 0)</f>
        <v/>
      </c>
      <c r="R1942" s="13" t="n">
        <v>1</v>
      </c>
      <c r="S1942" s="14" t="n">
        <v>92.88</v>
      </c>
      <c r="T1942" s="14" t="n">
        <v>92.31999999999999</v>
      </c>
      <c r="U1942" s="26">
        <f>IF(X1942&gt;='Methodology &amp; Assumptions'!$B$7, "Tier 1 Critical GIDA (Score ≥ 50.0)", IF(X1942&gt;='Methodology &amp; Assumptions'!$B$8, "Tier 2 High GIDA (Score 40.0–49.9)", "Tier 3 Moderate GIDA (Score &lt; 40.0)"))</f>
        <v/>
      </c>
      <c r="V1942" s="26">
        <f>IF(S1942&lt;='Methodology &amp; Assumptions'!$B$10, "Direct Optical Drop (&lt;3km)", IF(S1942&lt;='Methodology &amp; Assumptions'!$B$9, "Near Optical / Microwave (&lt;5km)", "Starlink Business LEO Satellite Backhaul (&gt;5km)"))</f>
        <v/>
      </c>
      <c r="W1942" s="28" t="n">
        <v>0.237</v>
      </c>
      <c r="X1942" s="14" t="n">
        <v>41.42</v>
      </c>
      <c r="Y1942" s="14">
        <f>ROUND(MIN(100, (X1942/69.91)*100), 2)</f>
        <v/>
      </c>
    </row>
    <row r="1943">
      <c r="A1943" s="10" t="n">
        <v>5</v>
      </c>
      <c r="B1943" s="10" t="n">
        <v>939</v>
      </c>
      <c r="C1943" s="10" t="n">
        <v>4939</v>
      </c>
      <c r="D1943" s="10" t="inlineStr">
        <is>
          <t>1381300111</t>
        </is>
      </c>
      <c r="E1943" s="26" t="inlineStr">
        <is>
          <t>National Capital Region (NCR)</t>
        </is>
      </c>
      <c r="F1943" s="26" t="inlineStr">
        <is>
          <t>Second District (Not a Province)</t>
        </is>
      </c>
      <c r="G1943" s="26" t="inlineStr">
        <is>
          <t>Quezon City</t>
        </is>
      </c>
      <c r="H1943" s="26" t="inlineStr">
        <is>
          <t>Sauyo</t>
        </is>
      </c>
      <c r="I1943" s="27" t="n">
        <v>14.689632</v>
      </c>
      <c r="J1943" s="27" t="n">
        <v>121.043254</v>
      </c>
      <c r="K1943" s="10" t="inlineStr">
        <is>
          <t>U</t>
        </is>
      </c>
      <c r="L1943" s="12" t="n">
        <v>79491</v>
      </c>
      <c r="M1943" s="14" t="n">
        <v>3.8</v>
      </c>
      <c r="N1943" s="12">
        <f>ROUND(L1943/M1943, 0)</f>
        <v/>
      </c>
      <c r="O1943" s="12">
        <f>ROUND(N1943*'Methodology &amp; Assumptions'!$B$5, 0)</f>
        <v/>
      </c>
      <c r="P1943" s="10" t="inlineStr">
        <is>
          <t>Single Carrier (Band n50, 100MHz TDD)</t>
        </is>
      </c>
      <c r="Q1943" s="13">
        <f>ROUNDUP(O1943/'Methodology &amp; Assumptions'!$B$6, 0)</f>
        <v/>
      </c>
      <c r="R1943" s="13" t="n">
        <v>1</v>
      </c>
      <c r="S1943" s="14" t="n">
        <v>1.44</v>
      </c>
      <c r="T1943" s="14" t="n">
        <v>1.3</v>
      </c>
      <c r="U1943" s="26">
        <f>IF(X1943&gt;='Methodology &amp; Assumptions'!$B$7, "Tier 1 Critical GIDA (Score ≥ 50.0)", IF(X1943&gt;='Methodology &amp; Assumptions'!$B$8, "Tier 2 High GIDA (Score 40.0–49.9)", "Tier 3 Moderate GIDA (Score &lt; 40.0)"))</f>
        <v/>
      </c>
      <c r="V1943" s="26">
        <f>IF(S1943&lt;='Methodology &amp; Assumptions'!$B$10, "Direct Optical Drop (&lt;3km)", IF(S1943&lt;='Methodology &amp; Assumptions'!$B$9, "Near Optical / Microwave (&lt;5km)", "Starlink Business LEO Satellite Backhaul (&gt;5km)"))</f>
        <v/>
      </c>
      <c r="W1943" s="28" t="n">
        <v>0.109</v>
      </c>
      <c r="X1943" s="14" t="n">
        <v>41.41</v>
      </c>
      <c r="Y1943" s="14">
        <f>ROUND(MIN(100, (X1943/69.91)*100), 2)</f>
        <v/>
      </c>
    </row>
    <row r="1944">
      <c r="A1944" s="10" t="n">
        <v>5</v>
      </c>
      <c r="B1944" s="10" t="n">
        <v>940</v>
      </c>
      <c r="C1944" s="10" t="n">
        <v>4940</v>
      </c>
      <c r="D1944" s="10" t="inlineStr">
        <is>
          <t>0403425004</t>
        </is>
      </c>
      <c r="E1944" s="26" t="inlineStr">
        <is>
          <t>Region IV-A (CALABARZON)</t>
        </is>
      </c>
      <c r="F1944" s="26" t="inlineStr">
        <is>
          <t>Laguna</t>
        </is>
      </c>
      <c r="G1944" s="26" t="inlineStr">
        <is>
          <t>City of San Pedro</t>
        </is>
      </c>
      <c r="H1944" s="26" t="inlineStr">
        <is>
          <t>G.S.I.S.</t>
        </is>
      </c>
      <c r="I1944" s="27" t="n">
        <v>14.251732</v>
      </c>
      <c r="J1944" s="27" t="n">
        <v>121.290969</v>
      </c>
      <c r="K1944" s="10" t="inlineStr">
        <is>
          <t>R</t>
        </is>
      </c>
      <c r="L1944" s="12" t="n">
        <v>3100</v>
      </c>
      <c r="M1944" s="14" t="n">
        <v>3.3</v>
      </c>
      <c r="N1944" s="12">
        <f>ROUND(L1944/M1944, 0)</f>
        <v/>
      </c>
      <c r="O1944" s="12">
        <f>ROUND(N1944*'Methodology &amp; Assumptions'!$B$5, 0)</f>
        <v/>
      </c>
      <c r="P1944" s="10" t="inlineStr">
        <is>
          <t>Single Carrier (Band n50, 100MHz TDD)</t>
        </is>
      </c>
      <c r="Q1944" s="13">
        <f>ROUNDUP(O1944/'Methodology &amp; Assumptions'!$B$6, 0)</f>
        <v/>
      </c>
      <c r="R1944" s="13" t="n">
        <v>1</v>
      </c>
      <c r="S1944" s="14" t="n">
        <v>7.85</v>
      </c>
      <c r="T1944" s="14" t="n">
        <v>7.99</v>
      </c>
      <c r="U1944" s="26">
        <f>IF(X1944&gt;='Methodology &amp; Assumptions'!$B$7, "Tier 1 Critical GIDA (Score ≥ 50.0)", IF(X1944&gt;='Methodology &amp; Assumptions'!$B$8, "Tier 2 High GIDA (Score 40.0–49.9)", "Tier 3 Moderate GIDA (Score &lt; 40.0)"))</f>
        <v/>
      </c>
      <c r="V1944" s="26">
        <f>IF(S1944&lt;='Methodology &amp; Assumptions'!$B$10, "Direct Optical Drop (&lt;3km)", IF(S1944&lt;='Methodology &amp; Assumptions'!$B$9, "Near Optical / Microwave (&lt;5km)", "Starlink Business LEO Satellite Backhaul (&gt;5km)"))</f>
        <v/>
      </c>
      <c r="W1944" s="28" t="n">
        <v>0.07200000000000001</v>
      </c>
      <c r="X1944" s="14" t="n">
        <v>41.41</v>
      </c>
      <c r="Y1944" s="14">
        <f>ROUND(MIN(100, (X1944/69.91)*100), 2)</f>
        <v/>
      </c>
    </row>
    <row r="1945">
      <c r="A1945" s="10" t="n">
        <v>5</v>
      </c>
      <c r="B1945" s="10" t="n">
        <v>941</v>
      </c>
      <c r="C1945" s="10" t="n">
        <v>4941</v>
      </c>
      <c r="D1945" s="10" t="inlineStr">
        <is>
          <t>PH0004941</t>
        </is>
      </c>
      <c r="E1945" s="26" t="inlineStr">
        <is>
          <t>VIII</t>
        </is>
      </c>
      <c r="F1945" s="26" t="inlineStr">
        <is>
          <t>Samar (Western Samar)</t>
        </is>
      </c>
      <c r="G1945" s="26" t="inlineStr">
        <is>
          <t>Catbalogan City</t>
        </is>
      </c>
      <c r="H1945" s="26" t="inlineStr">
        <is>
          <t>Poblacion 6</t>
        </is>
      </c>
      <c r="I1945" s="27" t="n">
        <v>12.911369</v>
      </c>
      <c r="J1945" s="27" t="n">
        <v>121.778277</v>
      </c>
      <c r="K1945" s="10" t="inlineStr">
        <is>
          <t>R</t>
        </is>
      </c>
      <c r="L1945" s="12" t="n">
        <v>2229</v>
      </c>
      <c r="M1945" s="14" t="n">
        <v>4.1</v>
      </c>
      <c r="N1945" s="12">
        <f>ROUND(L1945/M1945, 0)</f>
        <v/>
      </c>
      <c r="O1945" s="12">
        <f>ROUND(N1945*'Methodology &amp; Assumptions'!$B$5, 0)</f>
        <v/>
      </c>
      <c r="P1945" s="10" t="inlineStr">
        <is>
          <t>Single Carrier (Band n50, 100MHz TDD)</t>
        </is>
      </c>
      <c r="Q1945" s="13">
        <f>ROUNDUP(O1945/'Methodology &amp; Assumptions'!$B$6, 0)</f>
        <v/>
      </c>
      <c r="R1945" s="13" t="n">
        <v>1</v>
      </c>
      <c r="S1945" s="14" t="n">
        <v>33.03</v>
      </c>
      <c r="T1945" s="14" t="n">
        <v>32.92</v>
      </c>
      <c r="U1945" s="26">
        <f>IF(X1945&gt;='Methodology &amp; Assumptions'!$B$7, "Tier 1 Critical GIDA (Score ≥ 50.0)", IF(X1945&gt;='Methodology &amp; Assumptions'!$B$8, "Tier 2 High GIDA (Score 40.0–49.9)", "Tier 3 Moderate GIDA (Score &lt; 40.0)"))</f>
        <v/>
      </c>
      <c r="V1945" s="26">
        <f>IF(S1945&lt;='Methodology &amp; Assumptions'!$B$10, "Direct Optical Drop (&lt;3km)", IF(S1945&lt;='Methodology &amp; Assumptions'!$B$9, "Near Optical / Microwave (&lt;5km)", "Starlink Business LEO Satellite Backhaul (&gt;5km)"))</f>
        <v/>
      </c>
      <c r="W1945" s="28" t="n">
        <v>0.222</v>
      </c>
      <c r="X1945" s="14" t="n">
        <v>41.41</v>
      </c>
      <c r="Y1945" s="14">
        <f>ROUND(MIN(100, (X1945/69.91)*100), 2)</f>
        <v/>
      </c>
    </row>
    <row r="1946">
      <c r="A1946" s="10" t="n">
        <v>5</v>
      </c>
      <c r="B1946" s="10" t="n">
        <v>942</v>
      </c>
      <c r="C1946" s="10" t="n">
        <v>4942</v>
      </c>
      <c r="D1946" s="10" t="inlineStr">
        <is>
          <t>0301410015</t>
        </is>
      </c>
      <c r="E1946" s="26" t="inlineStr">
        <is>
          <t>Region III (Central Luzon)</t>
        </is>
      </c>
      <c r="F1946" s="26" t="inlineStr">
        <is>
          <t>Bulacan</t>
        </is>
      </c>
      <c r="G1946" s="26" t="inlineStr">
        <is>
          <t>City of Malolos</t>
        </is>
      </c>
      <c r="H1946" s="26" t="inlineStr">
        <is>
          <t>Guinhawa</t>
        </is>
      </c>
      <c r="I1946" s="27" t="n">
        <v>14.835356</v>
      </c>
      <c r="J1946" s="27" t="n">
        <v>120.827719</v>
      </c>
      <c r="K1946" s="10" t="inlineStr">
        <is>
          <t>U</t>
        </is>
      </c>
      <c r="L1946" s="12" t="n">
        <v>4408</v>
      </c>
      <c r="M1946" s="14" t="n">
        <v>3.5</v>
      </c>
      <c r="N1946" s="12">
        <f>ROUND(L1946/M1946, 0)</f>
        <v/>
      </c>
      <c r="O1946" s="12">
        <f>ROUND(N1946*'Methodology &amp; Assumptions'!$B$5, 0)</f>
        <v/>
      </c>
      <c r="P1946" s="10" t="inlineStr">
        <is>
          <t>Single Carrier (Band n50, 100MHz TDD)</t>
        </is>
      </c>
      <c r="Q1946" s="13">
        <f>ROUNDUP(O1946/'Methodology &amp; Assumptions'!$B$6, 0)</f>
        <v/>
      </c>
      <c r="R1946" s="13" t="n">
        <v>1</v>
      </c>
      <c r="S1946" s="14" t="n">
        <v>1.74</v>
      </c>
      <c r="T1946" s="14" t="n">
        <v>1.34</v>
      </c>
      <c r="U1946" s="26">
        <f>IF(X1946&gt;='Methodology &amp; Assumptions'!$B$7, "Tier 1 Critical GIDA (Score ≥ 50.0)", IF(X1946&gt;='Methodology &amp; Assumptions'!$B$8, "Tier 2 High GIDA (Score 40.0–49.9)", "Tier 3 Moderate GIDA (Score &lt; 40.0)"))</f>
        <v/>
      </c>
      <c r="V1946" s="26">
        <f>IF(S1946&lt;='Methodology &amp; Assumptions'!$B$10, "Direct Optical Drop (&lt;3km)", IF(S1946&lt;='Methodology &amp; Assumptions'!$B$9, "Near Optical / Microwave (&lt;5km)", "Starlink Business LEO Satellite Backhaul (&gt;5km)"))</f>
        <v/>
      </c>
      <c r="W1946" s="28" t="n">
        <v>0.083</v>
      </c>
      <c r="X1946" s="14" t="n">
        <v>41.4</v>
      </c>
      <c r="Y1946" s="14">
        <f>ROUND(MIN(100, (X1946/69.91)*100), 2)</f>
        <v/>
      </c>
    </row>
    <row r="1947">
      <c r="A1947" s="10" t="n">
        <v>5</v>
      </c>
      <c r="B1947" s="10" t="n">
        <v>943</v>
      </c>
      <c r="C1947" s="10" t="n">
        <v>4943</v>
      </c>
      <c r="D1947" s="10" t="inlineStr">
        <is>
          <t>0403405006</t>
        </is>
      </c>
      <c r="E1947" s="26" t="inlineStr">
        <is>
          <t>Region IV-A (CALABARZON)</t>
        </is>
      </c>
      <c r="F1947" s="26" t="inlineStr">
        <is>
          <t>Laguna</t>
        </is>
      </c>
      <c r="G1947" s="26" t="inlineStr">
        <is>
          <t>City of Calamba</t>
        </is>
      </c>
      <c r="H1947" s="26" t="inlineStr">
        <is>
          <t>Bucal</t>
        </is>
      </c>
      <c r="I1947" s="27" t="n">
        <v>14.188732</v>
      </c>
      <c r="J1947" s="27" t="n">
        <v>121.168864</v>
      </c>
      <c r="K1947" s="10" t="inlineStr">
        <is>
          <t>U</t>
        </is>
      </c>
      <c r="L1947" s="12" t="n">
        <v>15663</v>
      </c>
      <c r="M1947" s="14" t="n">
        <v>3.3</v>
      </c>
      <c r="N1947" s="12">
        <f>ROUND(L1947/M1947, 0)</f>
        <v/>
      </c>
      <c r="O1947" s="12">
        <f>ROUND(N1947*'Methodology &amp; Assumptions'!$B$5, 0)</f>
        <v/>
      </c>
      <c r="P1947" s="10" t="inlineStr">
        <is>
          <t>Single Carrier (Band n50, 100MHz TDD)</t>
        </is>
      </c>
      <c r="Q1947" s="13">
        <f>ROUNDUP(O1947/'Methodology &amp; Assumptions'!$B$6, 0)</f>
        <v/>
      </c>
      <c r="R1947" s="13" t="n">
        <v>1</v>
      </c>
      <c r="S1947" s="14" t="n">
        <v>2.62</v>
      </c>
      <c r="T1947" s="14" t="n">
        <v>0.07000000000000001</v>
      </c>
      <c r="U1947" s="26">
        <f>IF(X1947&gt;='Methodology &amp; Assumptions'!$B$7, "Tier 1 Critical GIDA (Score ≥ 50.0)", IF(X1947&gt;='Methodology &amp; Assumptions'!$B$8, "Tier 2 High GIDA (Score 40.0–49.9)", "Tier 3 Moderate GIDA (Score &lt; 40.0)"))</f>
        <v/>
      </c>
      <c r="V1947" s="26">
        <f>IF(S1947&lt;='Methodology &amp; Assumptions'!$B$10, "Direct Optical Drop (&lt;3km)", IF(S1947&lt;='Methodology &amp; Assumptions'!$B$9, "Near Optical / Microwave (&lt;5km)", "Starlink Business LEO Satellite Backhaul (&gt;5km)"))</f>
        <v/>
      </c>
      <c r="W1947" s="28" t="n">
        <v>0.07200000000000001</v>
      </c>
      <c r="X1947" s="14" t="n">
        <v>41.4</v>
      </c>
      <c r="Y1947" s="14">
        <f>ROUND(MIN(100, (X1947/69.91)*100), 2)</f>
        <v/>
      </c>
    </row>
    <row r="1948">
      <c r="A1948" s="10" t="n">
        <v>5</v>
      </c>
      <c r="B1948" s="10" t="n">
        <v>944</v>
      </c>
      <c r="C1948" s="10" t="n">
        <v>4944</v>
      </c>
      <c r="D1948" s="10" t="inlineStr">
        <is>
          <t>0402123018</t>
        </is>
      </c>
      <c r="E1948" s="26" t="inlineStr">
        <is>
          <t>Region IV-A (CALABARZON)</t>
        </is>
      </c>
      <c r="F1948" s="26" t="inlineStr">
        <is>
          <t>Cavite</t>
        </is>
      </c>
      <c r="G1948" s="26" t="inlineStr">
        <is>
          <t>Gen. Mariano Alvarez</t>
        </is>
      </c>
      <c r="H1948" s="26" t="inlineStr">
        <is>
          <t>Koronel Jose P. Elises</t>
        </is>
      </c>
      <c r="I1948" s="27" t="n">
        <v>14.31442</v>
      </c>
      <c r="J1948" s="27" t="n">
        <v>120.99928</v>
      </c>
      <c r="K1948" s="10" t="inlineStr">
        <is>
          <t>R</t>
        </is>
      </c>
      <c r="L1948" s="12" t="n">
        <v>4747</v>
      </c>
      <c r="M1948" s="14" t="n">
        <v>3.4</v>
      </c>
      <c r="N1948" s="12">
        <f>ROUND(L1948/M1948, 0)</f>
        <v/>
      </c>
      <c r="O1948" s="12">
        <f>ROUND(N1948*'Methodology &amp; Assumptions'!$B$5, 0)</f>
        <v/>
      </c>
      <c r="P1948" s="10" t="inlineStr">
        <is>
          <t>Single Carrier (Band n50, 100MHz TDD)</t>
        </is>
      </c>
      <c r="Q1948" s="13">
        <f>ROUNDUP(O1948/'Methodology &amp; Assumptions'!$B$6, 0)</f>
        <v/>
      </c>
      <c r="R1948" s="13" t="n">
        <v>1</v>
      </c>
      <c r="S1948" s="14" t="n">
        <v>1.84</v>
      </c>
      <c r="T1948" s="14" t="n">
        <v>4.46</v>
      </c>
      <c r="U1948" s="26">
        <f>IF(X1948&gt;='Methodology &amp; Assumptions'!$B$7, "Tier 1 Critical GIDA (Score ≥ 50.0)", IF(X1948&gt;='Methodology &amp; Assumptions'!$B$8, "Tier 2 High GIDA (Score 40.0–49.9)", "Tier 3 Moderate GIDA (Score &lt; 40.0)"))</f>
        <v/>
      </c>
      <c r="V1948" s="26">
        <f>IF(S1948&lt;='Methodology &amp; Assumptions'!$B$10, "Direct Optical Drop (&lt;3km)", IF(S1948&lt;='Methodology &amp; Assumptions'!$B$9, "Near Optical / Microwave (&lt;5km)", "Starlink Business LEO Satellite Backhaul (&gt;5km)"))</f>
        <v/>
      </c>
      <c r="W1948" s="28" t="n">
        <v>0.07200000000000001</v>
      </c>
      <c r="X1948" s="14" t="n">
        <v>41.4</v>
      </c>
      <c r="Y1948" s="14">
        <f>ROUND(MIN(100, (X1948/69.91)*100), 2)</f>
        <v/>
      </c>
    </row>
    <row r="1949">
      <c r="A1949" s="10" t="n">
        <v>5</v>
      </c>
      <c r="B1949" s="10" t="n">
        <v>945</v>
      </c>
      <c r="C1949" s="10" t="n">
        <v>4945</v>
      </c>
      <c r="D1949" s="10" t="inlineStr">
        <is>
          <t>0201509005</t>
        </is>
      </c>
      <c r="E1949" s="26" t="inlineStr">
        <is>
          <t>Region II (Cagayan Valley)</t>
        </is>
      </c>
      <c r="F1949" s="26" t="inlineStr">
        <is>
          <t>Cagayan</t>
        </is>
      </c>
      <c r="G1949" s="26" t="inlineStr">
        <is>
          <t>Calayan</t>
        </is>
      </c>
      <c r="H1949" s="26" t="inlineStr">
        <is>
          <t>Dilam</t>
        </is>
      </c>
      <c r="I1949" s="27" t="n">
        <v>19.369101</v>
      </c>
      <c r="J1949" s="27" t="n">
        <v>121.483005</v>
      </c>
      <c r="K1949" s="10" t="inlineStr">
        <is>
          <t>R</t>
        </is>
      </c>
      <c r="L1949" s="12" t="n">
        <v>1855</v>
      </c>
      <c r="M1949" s="14" t="n">
        <v>3.9</v>
      </c>
      <c r="N1949" s="12">
        <f>ROUND(L1949/M1949, 0)</f>
        <v/>
      </c>
      <c r="O1949" s="12">
        <f>ROUND(N1949*'Methodology &amp; Assumptions'!$B$5, 0)</f>
        <v/>
      </c>
      <c r="P1949" s="10" t="inlineStr">
        <is>
          <t>Single Carrier (Band n50, 100MHz TDD)</t>
        </is>
      </c>
      <c r="Q1949" s="13">
        <f>ROUNDUP(O1949/'Methodology &amp; Assumptions'!$B$6, 0)</f>
        <v/>
      </c>
      <c r="R1949" s="13" t="n">
        <v>1</v>
      </c>
      <c r="S1949" s="14" t="n">
        <v>93.81</v>
      </c>
      <c r="T1949" s="14" t="n">
        <v>90.61</v>
      </c>
      <c r="U1949" s="26">
        <f>IF(X1949&gt;='Methodology &amp; Assumptions'!$B$7, "Tier 1 Critical GIDA (Score ≥ 50.0)", IF(X1949&gt;='Methodology &amp; Assumptions'!$B$8, "Tier 2 High GIDA (Score 40.0–49.9)", "Tier 3 Moderate GIDA (Score &lt; 40.0)"))</f>
        <v/>
      </c>
      <c r="V1949" s="26">
        <f>IF(S1949&lt;='Methodology &amp; Assumptions'!$B$10, "Direct Optical Drop (&lt;3km)", IF(S1949&lt;='Methodology &amp; Assumptions'!$B$9, "Near Optical / Microwave (&lt;5km)", "Starlink Business LEO Satellite Backhaul (&gt;5km)"))</f>
        <v/>
      </c>
      <c r="W1949" s="28" t="n">
        <v>0.083</v>
      </c>
      <c r="X1949" s="14" t="n">
        <v>41.39</v>
      </c>
      <c r="Y1949" s="14">
        <f>ROUND(MIN(100, (X1949/69.91)*100), 2)</f>
        <v/>
      </c>
    </row>
    <row r="1950">
      <c r="A1950" s="10" t="n">
        <v>5</v>
      </c>
      <c r="B1950" s="10" t="n">
        <v>946</v>
      </c>
      <c r="C1950" s="10" t="n">
        <v>4946</v>
      </c>
      <c r="D1950" s="10" t="inlineStr">
        <is>
          <t>0504101006</t>
        </is>
      </c>
      <c r="E1950" s="26" t="inlineStr">
        <is>
          <t>Region V (Bicol Region)</t>
        </is>
      </c>
      <c r="F1950" s="26" t="inlineStr">
        <is>
          <t>Masbate</t>
        </is>
      </c>
      <c r="G1950" s="26" t="inlineStr">
        <is>
          <t>Aroroy</t>
        </is>
      </c>
      <c r="H1950" s="26" t="inlineStr">
        <is>
          <t>Balete</t>
        </is>
      </c>
      <c r="I1950" s="27" t="n">
        <v>12.3955</v>
      </c>
      <c r="J1950" s="27" t="n">
        <v>123.439604</v>
      </c>
      <c r="K1950" s="10" t="inlineStr">
        <is>
          <t>R</t>
        </is>
      </c>
      <c r="L1950" s="12" t="n">
        <v>1664</v>
      </c>
      <c r="M1950" s="14" t="n">
        <v>4.1</v>
      </c>
      <c r="N1950" s="12">
        <f>ROUND(L1950/M1950, 0)</f>
        <v/>
      </c>
      <c r="O1950" s="12">
        <f>ROUND(N1950*'Methodology &amp; Assumptions'!$B$5, 0)</f>
        <v/>
      </c>
      <c r="P1950" s="10" t="inlineStr">
        <is>
          <t>Single Carrier (Band n50, 100MHz TDD)</t>
        </is>
      </c>
      <c r="Q1950" s="13">
        <f>ROUNDUP(O1950/'Methodology &amp; Assumptions'!$B$6, 0)</f>
        <v/>
      </c>
      <c r="R1950" s="13" t="n">
        <v>1</v>
      </c>
      <c r="S1950" s="14" t="n">
        <v>10.51</v>
      </c>
      <c r="T1950" s="14" t="n">
        <v>7.52</v>
      </c>
      <c r="U1950" s="26">
        <f>IF(X1950&gt;='Methodology &amp; Assumptions'!$B$7, "Tier 1 Critical GIDA (Score ≥ 50.0)", IF(X1950&gt;='Methodology &amp; Assumptions'!$B$8, "Tier 2 High GIDA (Score 40.0–49.9)", "Tier 3 Moderate GIDA (Score &lt; 40.0)"))</f>
        <v/>
      </c>
      <c r="V1950" s="26">
        <f>IF(S1950&lt;='Methodology &amp; Assumptions'!$B$10, "Direct Optical Drop (&lt;3km)", IF(S1950&lt;='Methodology &amp; Assumptions'!$B$9, "Near Optical / Microwave (&lt;5km)", "Starlink Business LEO Satellite Backhaul (&gt;5km)"))</f>
        <v/>
      </c>
      <c r="W1950" s="28" t="n">
        <v>0.237</v>
      </c>
      <c r="X1950" s="14" t="n">
        <v>41.39</v>
      </c>
      <c r="Y1950" s="14">
        <f>ROUND(MIN(100, (X1950/69.91)*100), 2)</f>
        <v/>
      </c>
    </row>
    <row r="1951">
      <c r="A1951" s="10" t="n">
        <v>5</v>
      </c>
      <c r="B1951" s="10" t="n">
        <v>947</v>
      </c>
      <c r="C1951" s="10" t="n">
        <v>4947</v>
      </c>
      <c r="D1951" s="10" t="inlineStr">
        <is>
          <t>1401107002</t>
        </is>
      </c>
      <c r="E1951" s="26" t="inlineStr">
        <is>
          <t>Cordillera Administrative Region (CAR)</t>
        </is>
      </c>
      <c r="F1951" s="26" t="inlineStr">
        <is>
          <t>Benguet</t>
        </is>
      </c>
      <c r="G1951" s="26" t="inlineStr">
        <is>
          <t>Kabayan</t>
        </is>
      </c>
      <c r="H1951" s="26" t="inlineStr">
        <is>
          <t>Anchukey</t>
        </is>
      </c>
      <c r="I1951" s="27" t="n">
        <v>16.616975</v>
      </c>
      <c r="J1951" s="27" t="n">
        <v>120.850015</v>
      </c>
      <c r="K1951" s="10" t="inlineStr">
        <is>
          <t>R</t>
        </is>
      </c>
      <c r="L1951" s="12" t="n">
        <v>298</v>
      </c>
      <c r="M1951" s="14" t="n">
        <v>3.5</v>
      </c>
      <c r="N1951" s="12">
        <f>ROUND(L1951/M1951, 0)</f>
        <v/>
      </c>
      <c r="O1951" s="12">
        <f>ROUND(N1951*'Methodology &amp; Assumptions'!$B$5, 0)</f>
        <v/>
      </c>
      <c r="P1951" s="10" t="inlineStr">
        <is>
          <t>Single Carrier (Band n50, 100MHz TDD)</t>
        </is>
      </c>
      <c r="Q1951" s="13">
        <f>ROUNDUP(O1951/'Methodology &amp; Assumptions'!$B$6, 0)</f>
        <v/>
      </c>
      <c r="R1951" s="13" t="n">
        <v>1</v>
      </c>
      <c r="S1951" s="14" t="n">
        <v>1.62</v>
      </c>
      <c r="T1951" s="14" t="n">
        <v>8.640000000000001</v>
      </c>
      <c r="U1951" s="26">
        <f>IF(X1951&gt;='Methodology &amp; Assumptions'!$B$7, "Tier 1 Critical GIDA (Score ≥ 50.0)", IF(X1951&gt;='Methodology &amp; Assumptions'!$B$8, "Tier 2 High GIDA (Score 40.0–49.9)", "Tier 3 Moderate GIDA (Score &lt; 40.0)"))</f>
        <v/>
      </c>
      <c r="V1951" s="26">
        <f>IF(S1951&lt;='Methodology &amp; Assumptions'!$B$10, "Direct Optical Drop (&lt;3km)", IF(S1951&lt;='Methodology &amp; Assumptions'!$B$9, "Near Optical / Microwave (&lt;5km)", "Starlink Business LEO Satellite Backhaul (&gt;5km)"))</f>
        <v/>
      </c>
      <c r="W1951" s="28" t="n">
        <v>0.109</v>
      </c>
      <c r="X1951" s="14" t="n">
        <v>41.38</v>
      </c>
      <c r="Y1951" s="14">
        <f>ROUND(MIN(100, (X1951/69.91)*100), 2)</f>
        <v/>
      </c>
    </row>
    <row r="1952">
      <c r="A1952" s="10" t="n">
        <v>5</v>
      </c>
      <c r="B1952" s="10" t="n">
        <v>948</v>
      </c>
      <c r="C1952" s="10" t="n">
        <v>4948</v>
      </c>
      <c r="D1952" s="10" t="inlineStr">
        <is>
          <t>0103308006</t>
        </is>
      </c>
      <c r="E1952" s="26" t="inlineStr">
        <is>
          <t>Region I (Ilocos Region)</t>
        </is>
      </c>
      <c r="F1952" s="26" t="inlineStr">
        <is>
          <t>La Union</t>
        </is>
      </c>
      <c r="G1952" s="26" t="inlineStr">
        <is>
          <t>Burgos</t>
        </is>
      </c>
      <c r="H1952" s="26" t="inlineStr">
        <is>
          <t>Imelda</t>
        </is>
      </c>
      <c r="I1952" s="27" t="n">
        <v>16.530102</v>
      </c>
      <c r="J1952" s="27" t="n">
        <v>120.453721</v>
      </c>
      <c r="K1952" s="10" t="inlineStr">
        <is>
          <t>R</t>
        </is>
      </c>
      <c r="L1952" s="12" t="n">
        <v>480</v>
      </c>
      <c r="M1952" s="14" t="n">
        <v>3.7</v>
      </c>
      <c r="N1952" s="12">
        <f>ROUND(L1952/M1952, 0)</f>
        <v/>
      </c>
      <c r="O1952" s="12">
        <f>ROUND(N1952*'Methodology &amp; Assumptions'!$B$5, 0)</f>
        <v/>
      </c>
      <c r="P1952" s="10" t="inlineStr">
        <is>
          <t>Single Carrier (Band n50, 100MHz TDD)</t>
        </is>
      </c>
      <c r="Q1952" s="13">
        <f>ROUNDUP(O1952/'Methodology &amp; Assumptions'!$B$6, 0)</f>
        <v/>
      </c>
      <c r="R1952" s="13" t="n">
        <v>1</v>
      </c>
      <c r="S1952" s="14" t="n">
        <v>4.89</v>
      </c>
      <c r="T1952" s="14" t="n">
        <v>0.78</v>
      </c>
      <c r="U1952" s="26">
        <f>IF(X1952&gt;='Methodology &amp; Assumptions'!$B$7, "Tier 1 Critical GIDA (Score ≥ 50.0)", IF(X1952&gt;='Methodology &amp; Assumptions'!$B$8, "Tier 2 High GIDA (Score 40.0–49.9)", "Tier 3 Moderate GIDA (Score &lt; 40.0)"))</f>
        <v/>
      </c>
      <c r="V1952" s="26">
        <f>IF(S1952&lt;='Methodology &amp; Assumptions'!$B$10, "Direct Optical Drop (&lt;3km)", IF(S1952&lt;='Methodology &amp; Assumptions'!$B$9, "Near Optical / Microwave (&lt;5km)", "Starlink Business LEO Satellite Backhaul (&gt;5km)"))</f>
        <v/>
      </c>
      <c r="W1952" s="28" t="n">
        <v>0.083</v>
      </c>
      <c r="X1952" s="14" t="n">
        <v>41.38</v>
      </c>
      <c r="Y1952" s="14">
        <f>ROUND(MIN(100, (X1952/69.91)*100), 2)</f>
        <v/>
      </c>
    </row>
    <row r="1953">
      <c r="A1953" s="10" t="n">
        <v>5</v>
      </c>
      <c r="B1953" s="10" t="n">
        <v>949</v>
      </c>
      <c r="C1953" s="10" t="n">
        <v>4949</v>
      </c>
      <c r="D1953" s="10" t="inlineStr">
        <is>
          <t>1004208004</t>
        </is>
      </c>
      <c r="E1953" s="26" t="inlineStr">
        <is>
          <t>Region X (Northern Mindanao)</t>
        </is>
      </c>
      <c r="F1953" s="26" t="inlineStr">
        <is>
          <t>Misamis Occidental</t>
        </is>
      </c>
      <c r="G1953" s="26" t="inlineStr">
        <is>
          <t>Lopez Jaena</t>
        </is>
      </c>
      <c r="H1953" s="26" t="inlineStr">
        <is>
          <t>Bonifacio</t>
        </is>
      </c>
      <c r="I1953" s="27" t="n">
        <v>8.51276</v>
      </c>
      <c r="J1953" s="27" t="n">
        <v>123.720688</v>
      </c>
      <c r="K1953" s="10" t="inlineStr">
        <is>
          <t>R</t>
        </is>
      </c>
      <c r="L1953" s="12" t="n">
        <v>253</v>
      </c>
      <c r="M1953" s="14" t="n">
        <v>3.9</v>
      </c>
      <c r="N1953" s="12">
        <f>ROUND(L1953/M1953, 0)</f>
        <v/>
      </c>
      <c r="O1953" s="12">
        <f>ROUND(N1953*'Methodology &amp; Assumptions'!$B$5, 0)</f>
        <v/>
      </c>
      <c r="P1953" s="10" t="inlineStr">
        <is>
          <t>Single Carrier (Band n50, 100MHz TDD)</t>
        </is>
      </c>
      <c r="Q1953" s="13">
        <f>ROUNDUP(O1953/'Methodology &amp; Assumptions'!$B$6, 0)</f>
        <v/>
      </c>
      <c r="R1953" s="13" t="n">
        <v>1</v>
      </c>
      <c r="S1953" s="14" t="n">
        <v>52.95</v>
      </c>
      <c r="T1953" s="14" t="n">
        <v>46.34</v>
      </c>
      <c r="U1953" s="26">
        <f>IF(X1953&gt;='Methodology &amp; Assumptions'!$B$7, "Tier 1 Critical GIDA (Score ≥ 50.0)", IF(X1953&gt;='Methodology &amp; Assumptions'!$B$8, "Tier 2 High GIDA (Score 40.0–49.9)", "Tier 3 Moderate GIDA (Score &lt; 40.0)"))</f>
        <v/>
      </c>
      <c r="V1953" s="26">
        <f>IF(S1953&lt;='Methodology &amp; Assumptions'!$B$10, "Direct Optical Drop (&lt;3km)", IF(S1953&lt;='Methodology &amp; Assumptions'!$B$9, "Near Optical / Microwave (&lt;5km)", "Starlink Business LEO Satellite Backhaul (&gt;5km)"))</f>
        <v/>
      </c>
      <c r="W1953" s="28" t="n">
        <v>0.174</v>
      </c>
      <c r="X1953" s="14" t="n">
        <v>41.38</v>
      </c>
      <c r="Y1953" s="14">
        <f>ROUND(MIN(100, (X1953/69.91)*100), 2)</f>
        <v/>
      </c>
    </row>
    <row r="1954">
      <c r="A1954" s="10" t="n">
        <v>5</v>
      </c>
      <c r="B1954" s="10" t="n">
        <v>950</v>
      </c>
      <c r="C1954" s="10" t="n">
        <v>4950</v>
      </c>
      <c r="D1954" s="10" t="inlineStr">
        <is>
          <t>PH0004950</t>
        </is>
      </c>
      <c r="E1954" s="26" t="inlineStr">
        <is>
          <t>XII</t>
        </is>
      </c>
      <c r="F1954" s="26" t="inlineStr">
        <is>
          <t>South Cotabato</t>
        </is>
      </c>
      <c r="G1954" s="26" t="inlineStr">
        <is>
          <t>General Santos City (Dadiangas)</t>
        </is>
      </c>
      <c r="H1954" s="26" t="inlineStr">
        <is>
          <t>Labangal</t>
        </is>
      </c>
      <c r="I1954" s="27" t="n">
        <v>6.09215</v>
      </c>
      <c r="J1954" s="27" t="n">
        <v>125.146944</v>
      </c>
      <c r="K1954" s="10" t="inlineStr">
        <is>
          <t>R</t>
        </is>
      </c>
      <c r="L1954" s="12" t="n">
        <v>2278</v>
      </c>
      <c r="M1954" s="14" t="n">
        <v>3.6</v>
      </c>
      <c r="N1954" s="12">
        <f>ROUND(L1954/M1954, 0)</f>
        <v/>
      </c>
      <c r="O1954" s="12">
        <f>ROUND(N1954*'Methodology &amp; Assumptions'!$B$5, 0)</f>
        <v/>
      </c>
      <c r="P1954" s="10" t="inlineStr">
        <is>
          <t>Single Carrier (Band n50, 100MHz TDD)</t>
        </is>
      </c>
      <c r="Q1954" s="13">
        <f>ROUNDUP(O1954/'Methodology &amp; Assumptions'!$B$6, 0)</f>
        <v/>
      </c>
      <c r="R1954" s="13" t="n">
        <v>1</v>
      </c>
      <c r="S1954" s="14" t="n">
        <v>2.38</v>
      </c>
      <c r="T1954" s="14" t="n">
        <v>2.94</v>
      </c>
      <c r="U1954" s="26">
        <f>IF(X1954&gt;='Methodology &amp; Assumptions'!$B$7, "Tier 1 Critical GIDA (Score ≥ 50.0)", IF(X1954&gt;='Methodology &amp; Assumptions'!$B$8, "Tier 2 High GIDA (Score 40.0–49.9)", "Tier 3 Moderate GIDA (Score &lt; 40.0)"))</f>
        <v/>
      </c>
      <c r="V1954" s="26">
        <f>IF(S1954&lt;='Methodology &amp; Assumptions'!$B$10, "Direct Optical Drop (&lt;3km)", IF(S1954&lt;='Methodology &amp; Assumptions'!$B$9, "Near Optical / Microwave (&lt;5km)", "Starlink Business LEO Satellite Backhaul (&gt;5km)"))</f>
        <v/>
      </c>
      <c r="W1954" s="28" t="n">
        <v>0.197</v>
      </c>
      <c r="X1954" s="14" t="n">
        <v>41.37</v>
      </c>
      <c r="Y1954" s="14">
        <f>ROUND(MIN(100, (X1954/69.91)*100), 2)</f>
        <v/>
      </c>
    </row>
    <row r="1955">
      <c r="A1955" s="10" t="n">
        <v>5</v>
      </c>
      <c r="B1955" s="10" t="n">
        <v>951</v>
      </c>
      <c r="C1955" s="10" t="n">
        <v>4951</v>
      </c>
      <c r="D1955" s="10" t="inlineStr">
        <is>
          <t>0907208009</t>
        </is>
      </c>
      <c r="E1955" s="26" t="inlineStr">
        <is>
          <t>Region IX (Zamboanga Peninsula)</t>
        </is>
      </c>
      <c r="F1955" s="26" t="inlineStr">
        <is>
          <t>Zamboanga del Norte</t>
        </is>
      </c>
      <c r="G1955" s="26" t="inlineStr">
        <is>
          <t>Mutia</t>
        </is>
      </c>
      <c r="H1955" s="26" t="inlineStr">
        <is>
          <t>Paso Rio</t>
        </is>
      </c>
      <c r="I1955" s="27" t="n">
        <v>8.386103</v>
      </c>
      <c r="J1955" s="27" t="n">
        <v>123.513718</v>
      </c>
      <c r="K1955" s="10" t="inlineStr">
        <is>
          <t>R</t>
        </is>
      </c>
      <c r="L1955" s="12" t="n">
        <v>336</v>
      </c>
      <c r="M1955" s="14" t="n">
        <v>3.6</v>
      </c>
      <c r="N1955" s="12">
        <f>ROUND(L1955/M1955, 0)</f>
        <v/>
      </c>
      <c r="O1955" s="12">
        <f>ROUND(N1955*'Methodology &amp; Assumptions'!$B$5, 0)</f>
        <v/>
      </c>
      <c r="P1955" s="10" t="inlineStr">
        <is>
          <t>Single Carrier (Band n50, 100MHz TDD)</t>
        </is>
      </c>
      <c r="Q1955" s="13">
        <f>ROUNDUP(O1955/'Methodology &amp; Assumptions'!$B$6, 0)</f>
        <v/>
      </c>
      <c r="R1955" s="13" t="n">
        <v>1</v>
      </c>
      <c r="S1955" s="14" t="n">
        <v>48.86</v>
      </c>
      <c r="T1955" s="14" t="n">
        <v>47.66</v>
      </c>
      <c r="U1955" s="26">
        <f>IF(X1955&gt;='Methodology &amp; Assumptions'!$B$7, "Tier 1 Critical GIDA (Score ≥ 50.0)", IF(X1955&gt;='Methodology &amp; Assumptions'!$B$8, "Tier 2 High GIDA (Score 40.0–49.9)", "Tier 3 Moderate GIDA (Score &lt; 40.0)"))</f>
        <v/>
      </c>
      <c r="V1955" s="26">
        <f>IF(S1955&lt;='Methodology &amp; Assumptions'!$B$10, "Direct Optical Drop (&lt;3km)", IF(S1955&lt;='Methodology &amp; Assumptions'!$B$9, "Near Optical / Microwave (&lt;5km)", "Starlink Business LEO Satellite Backhaul (&gt;5km)"))</f>
        <v/>
      </c>
      <c r="W1955" s="28" t="n">
        <v>0.11</v>
      </c>
      <c r="X1955" s="14" t="n">
        <v>41.37</v>
      </c>
      <c r="Y1955" s="14">
        <f>ROUND(MIN(100, (X1955/69.91)*100), 2)</f>
        <v/>
      </c>
    </row>
    <row r="1956">
      <c r="A1956" s="10" t="n">
        <v>5</v>
      </c>
      <c r="B1956" s="10" t="n">
        <v>952</v>
      </c>
      <c r="C1956" s="10" t="n">
        <v>4952</v>
      </c>
      <c r="D1956" s="10" t="inlineStr">
        <is>
          <t>PH0004952</t>
        </is>
      </c>
      <c r="E1956" s="26" t="inlineStr">
        <is>
          <t>VII</t>
        </is>
      </c>
      <c r="F1956" s="26" t="inlineStr">
        <is>
          <t>Cebu</t>
        </is>
      </c>
      <c r="G1956" s="26" t="inlineStr">
        <is>
          <t>Cordoba</t>
        </is>
      </c>
      <c r="H1956" s="26" t="inlineStr">
        <is>
          <t>Gilutongan</t>
        </is>
      </c>
      <c r="I1956" s="27" t="n">
        <v>10.382316</v>
      </c>
      <c r="J1956" s="27" t="n">
        <v>123.750552</v>
      </c>
      <c r="K1956" s="10" t="inlineStr">
        <is>
          <t>R</t>
        </is>
      </c>
      <c r="L1956" s="12" t="n">
        <v>2250</v>
      </c>
      <c r="M1956" s="14" t="n">
        <v>3.8</v>
      </c>
      <c r="N1956" s="12">
        <f>ROUND(L1956/M1956, 0)</f>
        <v/>
      </c>
      <c r="O1956" s="12">
        <f>ROUND(N1956*'Methodology &amp; Assumptions'!$B$5, 0)</f>
        <v/>
      </c>
      <c r="P1956" s="10" t="inlineStr">
        <is>
          <t>Single Carrier (Band n50, 100MHz TDD)</t>
        </is>
      </c>
      <c r="Q1956" s="13">
        <f>ROUNDUP(O1956/'Methodology &amp; Assumptions'!$B$6, 0)</f>
        <v/>
      </c>
      <c r="R1956" s="13" t="n">
        <v>1</v>
      </c>
      <c r="S1956" s="14" t="n">
        <v>9.720000000000001</v>
      </c>
      <c r="T1956" s="14" t="n">
        <v>9.34</v>
      </c>
      <c r="U1956" s="26">
        <f>IF(X1956&gt;='Methodology &amp; Assumptions'!$B$7, "Tier 1 Critical GIDA (Score ≥ 50.0)", IF(X1956&gt;='Methodology &amp; Assumptions'!$B$8, "Tier 2 High GIDA (Score 40.0–49.9)", "Tier 3 Moderate GIDA (Score &lt; 40.0)"))</f>
        <v/>
      </c>
      <c r="V1956" s="26">
        <f>IF(S1956&lt;='Methodology &amp; Assumptions'!$B$10, "Direct Optical Drop (&lt;3km)", IF(S1956&lt;='Methodology &amp; Assumptions'!$B$9, "Near Optical / Microwave (&lt;5km)", "Starlink Business LEO Satellite Backhaul (&gt;5km)"))</f>
        <v/>
      </c>
      <c r="W1956" s="28" t="n">
        <v>0.21</v>
      </c>
      <c r="X1956" s="14" t="n">
        <v>41.37</v>
      </c>
      <c r="Y1956" s="14">
        <f>ROUND(MIN(100, (X1956/69.91)*100), 2)</f>
        <v/>
      </c>
    </row>
    <row r="1957">
      <c r="A1957" s="10" t="n">
        <v>5</v>
      </c>
      <c r="B1957" s="10" t="n">
        <v>953</v>
      </c>
      <c r="C1957" s="10" t="n">
        <v>4953</v>
      </c>
      <c r="D1957" s="10" t="inlineStr">
        <is>
          <t>1108208019</t>
        </is>
      </c>
      <c r="E1957" s="26" t="inlineStr">
        <is>
          <t>Region XI (Davao Region)</t>
        </is>
      </c>
      <c r="F1957" s="26" t="inlineStr">
        <is>
          <t>Davao de Oro</t>
        </is>
      </c>
      <c r="G1957" s="26" t="inlineStr">
        <is>
          <t>Montevista</t>
        </is>
      </c>
      <c r="H1957" s="26" t="inlineStr">
        <is>
          <t>Prosperidad</t>
        </is>
      </c>
      <c r="I1957" s="27" t="n">
        <v>7.827593</v>
      </c>
      <c r="J1957" s="27" t="n">
        <v>125.947286</v>
      </c>
      <c r="K1957" s="10" t="inlineStr">
        <is>
          <t>R</t>
        </is>
      </c>
      <c r="L1957" s="12" t="n">
        <v>2708</v>
      </c>
      <c r="M1957" s="14" t="n">
        <v>3.7</v>
      </c>
      <c r="N1957" s="12">
        <f>ROUND(L1957/M1957, 0)</f>
        <v/>
      </c>
      <c r="O1957" s="12">
        <f>ROUND(N1957*'Methodology &amp; Assumptions'!$B$5, 0)</f>
        <v/>
      </c>
      <c r="P1957" s="10" t="inlineStr">
        <is>
          <t>Single Carrier (Band n50, 100MHz TDD)</t>
        </is>
      </c>
      <c r="Q1957" s="13">
        <f>ROUNDUP(O1957/'Methodology &amp; Assumptions'!$B$6, 0)</f>
        <v/>
      </c>
      <c r="R1957" s="13" t="n">
        <v>1</v>
      </c>
      <c r="S1957" s="14" t="n">
        <v>12</v>
      </c>
      <c r="T1957" s="14" t="n">
        <v>9.42</v>
      </c>
      <c r="U1957" s="26">
        <f>IF(X1957&gt;='Methodology &amp; Assumptions'!$B$7, "Tier 1 Critical GIDA (Score ≥ 50.0)", IF(X1957&gt;='Methodology &amp; Assumptions'!$B$8, "Tier 2 High GIDA (Score 40.0–49.9)", "Tier 3 Moderate GIDA (Score &lt; 40.0)"))</f>
        <v/>
      </c>
      <c r="V1957" s="26">
        <f>IF(S1957&lt;='Methodology &amp; Assumptions'!$B$10, "Direct Optical Drop (&lt;3km)", IF(S1957&lt;='Methodology &amp; Assumptions'!$B$9, "Near Optical / Microwave (&lt;5km)", "Starlink Business LEO Satellite Backhaul (&gt;5km)"))</f>
        <v/>
      </c>
      <c r="W1957" s="28" t="n">
        <v>0.174</v>
      </c>
      <c r="X1957" s="14" t="n">
        <v>41.37</v>
      </c>
      <c r="Y1957" s="14">
        <f>ROUND(MIN(100, (X1957/69.91)*100), 2)</f>
        <v/>
      </c>
    </row>
    <row r="1958">
      <c r="A1958" s="10" t="n">
        <v>5</v>
      </c>
      <c r="B1958" s="10" t="n">
        <v>954</v>
      </c>
      <c r="C1958" s="10" t="n">
        <v>4954</v>
      </c>
      <c r="D1958" s="10" t="inlineStr">
        <is>
          <t>0802606038</t>
        </is>
      </c>
      <c r="E1958" s="26" t="inlineStr">
        <is>
          <t>Region VIII (Eastern Visayas)</t>
        </is>
      </c>
      <c r="F1958" s="26" t="inlineStr">
        <is>
          <t>Eastern Samar</t>
        </is>
      </c>
      <c r="G1958" s="26" t="inlineStr">
        <is>
          <t>Dolores</t>
        </is>
      </c>
      <c r="H1958" s="26" t="inlineStr">
        <is>
          <t>San Isidro</t>
        </is>
      </c>
      <c r="I1958" s="27" t="n">
        <v>12.063087</v>
      </c>
      <c r="J1958" s="27" t="n">
        <v>125.409241</v>
      </c>
      <c r="K1958" s="10" t="inlineStr">
        <is>
          <t>R</t>
        </is>
      </c>
      <c r="L1958" s="12" t="n">
        <v>474</v>
      </c>
      <c r="M1958" s="14" t="n">
        <v>3.9</v>
      </c>
      <c r="N1958" s="12">
        <f>ROUND(L1958/M1958, 0)</f>
        <v/>
      </c>
      <c r="O1958" s="12">
        <f>ROUND(N1958*'Methodology &amp; Assumptions'!$B$5, 0)</f>
        <v/>
      </c>
      <c r="P1958" s="10" t="inlineStr">
        <is>
          <t>Single Carrier (Band n50, 100MHz TDD)</t>
        </is>
      </c>
      <c r="Q1958" s="13">
        <f>ROUNDUP(O1958/'Methodology &amp; Assumptions'!$B$6, 0)</f>
        <v/>
      </c>
      <c r="R1958" s="13" t="n">
        <v>1</v>
      </c>
      <c r="S1958" s="14" t="n">
        <v>101.72</v>
      </c>
      <c r="T1958" s="14" t="n">
        <v>104.13</v>
      </c>
      <c r="U1958" s="26">
        <f>IF(X1958&gt;='Methodology &amp; Assumptions'!$B$7, "Tier 1 Critical GIDA (Score ≥ 50.0)", IF(X1958&gt;='Methodology &amp; Assumptions'!$B$8, "Tier 2 High GIDA (Score 40.0–49.9)", "Tier 3 Moderate GIDA (Score &lt; 40.0)"))</f>
        <v/>
      </c>
      <c r="V1958" s="26">
        <f>IF(S1958&lt;='Methodology &amp; Assumptions'!$B$10, "Direct Optical Drop (&lt;3km)", IF(S1958&lt;='Methodology &amp; Assumptions'!$B$9, "Near Optical / Microwave (&lt;5km)", "Starlink Business LEO Satellite Backhaul (&gt;5km)"))</f>
        <v/>
      </c>
      <c r="W1958" s="28" t="n">
        <v>0.237</v>
      </c>
      <c r="X1958" s="14" t="n">
        <v>41.36</v>
      </c>
      <c r="Y1958" s="14">
        <f>ROUND(MIN(100, (X1958/69.91)*100), 2)</f>
        <v/>
      </c>
    </row>
    <row r="1959">
      <c r="A1959" s="10" t="n">
        <v>5</v>
      </c>
      <c r="B1959" s="10" t="n">
        <v>955</v>
      </c>
      <c r="C1959" s="10" t="n">
        <v>4955</v>
      </c>
      <c r="D1959" s="10" t="inlineStr">
        <is>
          <t>0102908002</t>
        </is>
      </c>
      <c r="E1959" s="26" t="inlineStr">
        <is>
          <t>Region I (Ilocos Region)</t>
        </is>
      </c>
      <c r="F1959" s="26" t="inlineStr">
        <is>
          <t>Ilocos Sur</t>
        </is>
      </c>
      <c r="G1959" s="26" t="inlineStr">
        <is>
          <t>Cervantes</t>
        </is>
      </c>
      <c r="H1959" s="26" t="inlineStr">
        <is>
          <t>Comillas North</t>
        </is>
      </c>
      <c r="I1959" s="27" t="n">
        <v>16.970213</v>
      </c>
      <c r="J1959" s="27" t="n">
        <v>120.74823</v>
      </c>
      <c r="K1959" s="10" t="inlineStr">
        <is>
          <t>R</t>
        </is>
      </c>
      <c r="L1959" s="12" t="n">
        <v>2377</v>
      </c>
      <c r="M1959" s="14" t="n">
        <v>3.8</v>
      </c>
      <c r="N1959" s="12">
        <f>ROUND(L1959/M1959, 0)</f>
        <v/>
      </c>
      <c r="O1959" s="12">
        <f>ROUND(N1959*'Methodology &amp; Assumptions'!$B$5, 0)</f>
        <v/>
      </c>
      <c r="P1959" s="10" t="inlineStr">
        <is>
          <t>Single Carrier (Band n50, 100MHz TDD)</t>
        </is>
      </c>
      <c r="Q1959" s="13">
        <f>ROUNDUP(O1959/'Methodology &amp; Assumptions'!$B$6, 0)</f>
        <v/>
      </c>
      <c r="R1959" s="13" t="n">
        <v>1</v>
      </c>
      <c r="S1959" s="14" t="n">
        <v>2.98</v>
      </c>
      <c r="T1959" s="14" t="n">
        <v>0.11</v>
      </c>
      <c r="U1959" s="26">
        <f>IF(X1959&gt;='Methodology &amp; Assumptions'!$B$7, "Tier 1 Critical GIDA (Score ≥ 50.0)", IF(X1959&gt;='Methodology &amp; Assumptions'!$B$8, "Tier 2 High GIDA (Score 40.0–49.9)", "Tier 3 Moderate GIDA (Score &lt; 40.0)"))</f>
        <v/>
      </c>
      <c r="V1959" s="26">
        <f>IF(S1959&lt;='Methodology &amp; Assumptions'!$B$10, "Direct Optical Drop (&lt;3km)", IF(S1959&lt;='Methodology &amp; Assumptions'!$B$9, "Near Optical / Microwave (&lt;5km)", "Starlink Business LEO Satellite Backhaul (&gt;5km)"))</f>
        <v/>
      </c>
      <c r="W1959" s="28" t="n">
        <v>0.083</v>
      </c>
      <c r="X1959" s="14" t="n">
        <v>41.36</v>
      </c>
      <c r="Y1959" s="14">
        <f>ROUND(MIN(100, (X1959/69.91)*100), 2)</f>
        <v/>
      </c>
    </row>
    <row r="1960">
      <c r="A1960" s="10" t="n">
        <v>5</v>
      </c>
      <c r="B1960" s="10" t="n">
        <v>956</v>
      </c>
      <c r="C1960" s="10" t="n">
        <v>4956</v>
      </c>
      <c r="D1960" s="10" t="inlineStr">
        <is>
          <t>1606818010</t>
        </is>
      </c>
      <c r="E1960" s="26" t="inlineStr">
        <is>
          <t>Region XIII (Caraga)</t>
        </is>
      </c>
      <c r="F1960" s="26" t="inlineStr">
        <is>
          <t>Surigao del Sur</t>
        </is>
      </c>
      <c r="G1960" s="26" t="inlineStr">
        <is>
          <t>Tago</t>
        </is>
      </c>
      <c r="H1960" s="26" t="inlineStr">
        <is>
          <t>Cayale</t>
        </is>
      </c>
      <c r="I1960" s="27" t="n">
        <v>8.983304</v>
      </c>
      <c r="J1960" s="27" t="n">
        <v>126.121112</v>
      </c>
      <c r="K1960" s="10" t="inlineStr">
        <is>
          <t>R</t>
        </is>
      </c>
      <c r="L1960" s="12" t="n">
        <v>1933</v>
      </c>
      <c r="M1960" s="14" t="n">
        <v>4.1</v>
      </c>
      <c r="N1960" s="12">
        <f>ROUND(L1960/M1960, 0)</f>
        <v/>
      </c>
      <c r="O1960" s="12">
        <f>ROUND(N1960*'Methodology &amp; Assumptions'!$B$5, 0)</f>
        <v/>
      </c>
      <c r="P1960" s="10" t="inlineStr">
        <is>
          <t>Single Carrier (Band n50, 100MHz TDD)</t>
        </is>
      </c>
      <c r="Q1960" s="13">
        <f>ROUNDUP(O1960/'Methodology &amp; Assumptions'!$B$6, 0)</f>
        <v/>
      </c>
      <c r="R1960" s="13" t="n">
        <v>1</v>
      </c>
      <c r="S1960" s="14" t="n">
        <v>13.36</v>
      </c>
      <c r="T1960" s="14" t="n">
        <v>5.42</v>
      </c>
      <c r="U1960" s="26">
        <f>IF(X1960&gt;='Methodology &amp; Assumptions'!$B$7, "Tier 1 Critical GIDA (Score ≥ 50.0)", IF(X1960&gt;='Methodology &amp; Assumptions'!$B$8, "Tier 2 High GIDA (Score 40.0–49.9)", "Tier 3 Moderate GIDA (Score &lt; 40.0)"))</f>
        <v/>
      </c>
      <c r="V1960" s="26">
        <f>IF(S1960&lt;='Methodology &amp; Assumptions'!$B$10, "Direct Optical Drop (&lt;3km)", IF(S1960&lt;='Methodology &amp; Assumptions'!$B$9, "Near Optical / Microwave (&lt;5km)", "Starlink Business LEO Satellite Backhaul (&gt;5km)"))</f>
        <v/>
      </c>
      <c r="W1960" s="28" t="n">
        <v>0.174</v>
      </c>
      <c r="X1960" s="14" t="n">
        <v>41.36</v>
      </c>
      <c r="Y1960" s="14">
        <f>ROUND(MIN(100, (X1960/69.91)*100), 2)</f>
        <v/>
      </c>
    </row>
    <row r="1961">
      <c r="A1961" s="10" t="n">
        <v>5</v>
      </c>
      <c r="B1961" s="10" t="n">
        <v>957</v>
      </c>
      <c r="C1961" s="10" t="n">
        <v>4957</v>
      </c>
      <c r="D1961" s="10" t="inlineStr">
        <is>
          <t>1608501011</t>
        </is>
      </c>
      <c r="E1961" s="26" t="inlineStr">
        <is>
          <t>Region XIII (Caraga)</t>
        </is>
      </c>
      <c r="F1961" s="26" t="inlineStr">
        <is>
          <t>Dinagat Islands</t>
        </is>
      </c>
      <c r="G1961" s="26" t="inlineStr">
        <is>
          <t>Basilisa</t>
        </is>
      </c>
      <c r="H1961" s="26" t="inlineStr">
        <is>
          <t>Montag</t>
        </is>
      </c>
      <c r="I1961" s="27" t="n">
        <v>10.114355</v>
      </c>
      <c r="J1961" s="27" t="n">
        <v>125.531288</v>
      </c>
      <c r="K1961" s="10" t="inlineStr">
        <is>
          <t>R</t>
        </is>
      </c>
      <c r="L1961" s="12" t="n">
        <v>1269</v>
      </c>
      <c r="M1961" s="14" t="n">
        <v>3.8</v>
      </c>
      <c r="N1961" s="12">
        <f>ROUND(L1961/M1961, 0)</f>
        <v/>
      </c>
      <c r="O1961" s="12">
        <f>ROUND(N1961*'Methodology &amp; Assumptions'!$B$5, 0)</f>
        <v/>
      </c>
      <c r="P1961" s="10" t="inlineStr">
        <is>
          <t>Single Carrier (Band n50, 100MHz TDD)</t>
        </is>
      </c>
      <c r="Q1961" s="13">
        <f>ROUNDUP(O1961/'Methodology &amp; Assumptions'!$B$6, 0)</f>
        <v/>
      </c>
      <c r="R1961" s="13" t="n">
        <v>1</v>
      </c>
      <c r="S1961" s="14" t="n">
        <v>36.5</v>
      </c>
      <c r="T1961" s="14" t="n">
        <v>36.5</v>
      </c>
      <c r="U1961" s="26">
        <f>IF(X1961&gt;='Methodology &amp; Assumptions'!$B$7, "Tier 1 Critical GIDA (Score ≥ 50.0)", IF(X1961&gt;='Methodology &amp; Assumptions'!$B$8, "Tier 2 High GIDA (Score 40.0–49.9)", "Tier 3 Moderate GIDA (Score &lt; 40.0)"))</f>
        <v/>
      </c>
      <c r="V1961" s="26">
        <f>IF(S1961&lt;='Methodology &amp; Assumptions'!$B$10, "Direct Optical Drop (&lt;3km)", IF(S1961&lt;='Methodology &amp; Assumptions'!$B$9, "Near Optical / Microwave (&lt;5km)", "Starlink Business LEO Satellite Backhaul (&gt;5km)"))</f>
        <v/>
      </c>
      <c r="W1961" s="28" t="n">
        <v>0.174</v>
      </c>
      <c r="X1961" s="14" t="n">
        <v>41.36</v>
      </c>
      <c r="Y1961" s="14">
        <f>ROUND(MIN(100, (X1961/69.91)*100), 2)</f>
        <v/>
      </c>
    </row>
    <row r="1962">
      <c r="A1962" s="10" t="n">
        <v>5</v>
      </c>
      <c r="B1962" s="10" t="n">
        <v>958</v>
      </c>
      <c r="C1962" s="10" t="n">
        <v>4958</v>
      </c>
      <c r="D1962" s="10" t="inlineStr">
        <is>
          <t>PH0004958</t>
        </is>
      </c>
      <c r="E1962" s="26" t="inlineStr">
        <is>
          <t>IV-A</t>
        </is>
      </c>
      <c r="F1962" s="26" t="inlineStr">
        <is>
          <t>Cavite</t>
        </is>
      </c>
      <c r="G1962" s="26" t="inlineStr">
        <is>
          <t>Imus City</t>
        </is>
      </c>
      <c r="H1962" s="26" t="inlineStr">
        <is>
          <t>Magdalo</t>
        </is>
      </c>
      <c r="I1962" s="27" t="n">
        <v>14.297935</v>
      </c>
      <c r="J1962" s="27" t="n">
        <v>120.948615</v>
      </c>
      <c r="K1962" s="10" t="inlineStr">
        <is>
          <t>R</t>
        </is>
      </c>
      <c r="L1962" s="12" t="n">
        <v>2316</v>
      </c>
      <c r="M1962" s="14" t="n">
        <v>3.4</v>
      </c>
      <c r="N1962" s="12">
        <f>ROUND(L1962/M1962, 0)</f>
        <v/>
      </c>
      <c r="O1962" s="12">
        <f>ROUND(N1962*'Methodology &amp; Assumptions'!$B$5, 0)</f>
        <v/>
      </c>
      <c r="P1962" s="10" t="inlineStr">
        <is>
          <t>Single Carrier (Band n50, 100MHz TDD)</t>
        </is>
      </c>
      <c r="Q1962" s="13">
        <f>ROUNDUP(O1962/'Methodology &amp; Assumptions'!$B$6, 0)</f>
        <v/>
      </c>
      <c r="R1962" s="13" t="n">
        <v>1</v>
      </c>
      <c r="S1962" s="14" t="n">
        <v>1.12</v>
      </c>
      <c r="T1962" s="14" t="n">
        <v>0.05</v>
      </c>
      <c r="U1962" s="26">
        <f>IF(X1962&gt;='Methodology &amp; Assumptions'!$B$7, "Tier 1 Critical GIDA (Score ≥ 50.0)", IF(X1962&gt;='Methodology &amp; Assumptions'!$B$8, "Tier 2 High GIDA (Score 40.0–49.9)", "Tier 3 Moderate GIDA (Score &lt; 40.0)"))</f>
        <v/>
      </c>
      <c r="V1962" s="26">
        <f>IF(S1962&lt;='Methodology &amp; Assumptions'!$B$10, "Direct Optical Drop (&lt;3km)", IF(S1962&lt;='Methodology &amp; Assumptions'!$B$9, "Near Optical / Microwave (&lt;5km)", "Starlink Business LEO Satellite Backhaul (&gt;5km)"))</f>
        <v/>
      </c>
      <c r="W1962" s="28" t="n">
        <v>0.07200000000000001</v>
      </c>
      <c r="X1962" s="14" t="n">
        <v>41.36</v>
      </c>
      <c r="Y1962" s="14">
        <f>ROUND(MIN(100, (X1962/69.91)*100), 2)</f>
        <v/>
      </c>
    </row>
    <row r="1963">
      <c r="A1963" s="10" t="n">
        <v>5</v>
      </c>
      <c r="B1963" s="10" t="n">
        <v>959</v>
      </c>
      <c r="C1963" s="10" t="n">
        <v>4959</v>
      </c>
      <c r="D1963" s="10" t="inlineStr">
        <is>
          <t>1003511018</t>
        </is>
      </c>
      <c r="E1963" s="26" t="inlineStr">
        <is>
          <t>Region X (Northern Mindanao)</t>
        </is>
      </c>
      <c r="F1963" s="26" t="inlineStr">
        <is>
          <t>Lanao del Norte</t>
        </is>
      </c>
      <c r="G1963" s="26" t="inlineStr">
        <is>
          <t>Magsaysay</t>
        </is>
      </c>
      <c r="H1963" s="26" t="inlineStr">
        <is>
          <t>Somiorang</t>
        </is>
      </c>
      <c r="I1963" s="27" t="n">
        <v>8.047166000000001</v>
      </c>
      <c r="J1963" s="27" t="n">
        <v>123.898184</v>
      </c>
      <c r="K1963" s="10" t="inlineStr">
        <is>
          <t>R</t>
        </is>
      </c>
      <c r="L1963" s="12" t="n">
        <v>434</v>
      </c>
      <c r="M1963" s="14" t="n">
        <v>4.2</v>
      </c>
      <c r="N1963" s="12">
        <f>ROUND(L1963/M1963, 0)</f>
        <v/>
      </c>
      <c r="O1963" s="12">
        <f>ROUND(N1963*'Methodology &amp; Assumptions'!$B$5, 0)</f>
        <v/>
      </c>
      <c r="P1963" s="10" t="inlineStr">
        <is>
          <t>Single Carrier (Band n50, 100MHz TDD)</t>
        </is>
      </c>
      <c r="Q1963" s="13">
        <f>ROUNDUP(O1963/'Methodology &amp; Assumptions'!$B$6, 0)</f>
        <v/>
      </c>
      <c r="R1963" s="13" t="n">
        <v>1</v>
      </c>
      <c r="S1963" s="14" t="n">
        <v>10.91</v>
      </c>
      <c r="T1963" s="14" t="n">
        <v>6.55</v>
      </c>
      <c r="U1963" s="26">
        <f>IF(X1963&gt;='Methodology &amp; Assumptions'!$B$7, "Tier 1 Critical GIDA (Score ≥ 50.0)", IF(X1963&gt;='Methodology &amp; Assumptions'!$B$8, "Tier 2 High GIDA (Score 40.0–49.9)", "Tier 3 Moderate GIDA (Score &lt; 40.0)"))</f>
        <v/>
      </c>
      <c r="V1963" s="26">
        <f>IF(S1963&lt;='Methodology &amp; Assumptions'!$B$10, "Direct Optical Drop (&lt;3km)", IF(S1963&lt;='Methodology &amp; Assumptions'!$B$9, "Near Optical / Microwave (&lt;5km)", "Starlink Business LEO Satellite Backhaul (&gt;5km)"))</f>
        <v/>
      </c>
      <c r="W1963" s="28" t="n">
        <v>0.174</v>
      </c>
      <c r="X1963" s="14" t="n">
        <v>41.35</v>
      </c>
      <c r="Y1963" s="14">
        <f>ROUND(MIN(100, (X1963/69.91)*100), 2)</f>
        <v/>
      </c>
    </row>
    <row r="1964">
      <c r="A1964" s="10" t="n">
        <v>5</v>
      </c>
      <c r="B1964" s="10" t="n">
        <v>960</v>
      </c>
      <c r="C1964" s="10" t="n">
        <v>4960</v>
      </c>
      <c r="D1964" s="10" t="inlineStr">
        <is>
          <t>0804805001</t>
        </is>
      </c>
      <c r="E1964" s="26" t="inlineStr">
        <is>
          <t>Region VIII (Eastern Visayas)</t>
        </is>
      </c>
      <c r="F1964" s="26" t="inlineStr">
        <is>
          <t>Northern Samar</t>
        </is>
      </c>
      <c r="G1964" s="26" t="inlineStr">
        <is>
          <t>Catarman</t>
        </is>
      </c>
      <c r="H1964" s="26" t="inlineStr">
        <is>
          <t>Aguinaldo</t>
        </is>
      </c>
      <c r="I1964" s="27" t="n">
        <v>12.43569</v>
      </c>
      <c r="J1964" s="27" t="n">
        <v>124.64714</v>
      </c>
      <c r="K1964" s="10" t="inlineStr">
        <is>
          <t>R</t>
        </is>
      </c>
      <c r="L1964" s="12" t="n">
        <v>463</v>
      </c>
      <c r="M1964" s="14" t="n">
        <v>4.3</v>
      </c>
      <c r="N1964" s="12">
        <f>ROUND(L1964/M1964, 0)</f>
        <v/>
      </c>
      <c r="O1964" s="12">
        <f>ROUND(N1964*'Methodology &amp; Assumptions'!$B$5, 0)</f>
        <v/>
      </c>
      <c r="P1964" s="10" t="inlineStr">
        <is>
          <t>Single Carrier (Band n50, 100MHz TDD)</t>
        </is>
      </c>
      <c r="Q1964" s="13">
        <f>ROUNDUP(O1964/'Methodology &amp; Assumptions'!$B$6, 0)</f>
        <v/>
      </c>
      <c r="R1964" s="13" t="n">
        <v>1</v>
      </c>
      <c r="S1964" s="14" t="n">
        <v>63.23</v>
      </c>
      <c r="T1964" s="14" t="n">
        <v>62.65</v>
      </c>
      <c r="U1964" s="26">
        <f>IF(X1964&gt;='Methodology &amp; Assumptions'!$B$7, "Tier 1 Critical GIDA (Score ≥ 50.0)", IF(X1964&gt;='Methodology &amp; Assumptions'!$B$8, "Tier 2 High GIDA (Score 40.0–49.9)", "Tier 3 Moderate GIDA (Score &lt; 40.0)"))</f>
        <v/>
      </c>
      <c r="V1964" s="26">
        <f>IF(S1964&lt;='Methodology &amp; Assumptions'!$B$10, "Direct Optical Drop (&lt;3km)", IF(S1964&lt;='Methodology &amp; Assumptions'!$B$9, "Near Optical / Microwave (&lt;5km)", "Starlink Business LEO Satellite Backhaul (&gt;5km)"))</f>
        <v/>
      </c>
      <c r="W1964" s="28" t="n">
        <v>0.237</v>
      </c>
      <c r="X1964" s="14" t="n">
        <v>41.35</v>
      </c>
      <c r="Y1964" s="14">
        <f>ROUND(MIN(100, (X1964/69.91)*100), 2)</f>
        <v/>
      </c>
    </row>
    <row r="1965">
      <c r="A1965" s="10" t="n">
        <v>5</v>
      </c>
      <c r="B1965" s="10" t="n">
        <v>961</v>
      </c>
      <c r="C1965" s="10" t="n">
        <v>4961</v>
      </c>
      <c r="D1965" s="10" t="inlineStr">
        <is>
          <t>1908822005</t>
        </is>
      </c>
      <c r="E1965" s="26" t="inlineStr">
        <is>
          <t>Bangsamoro Autonomous Region In Muslim Mindanao (BARMM)</t>
        </is>
      </c>
      <c r="F1965" s="26" t="inlineStr">
        <is>
          <t>Maguindanao del Sur</t>
        </is>
      </c>
      <c r="G1965" s="26" t="inlineStr">
        <is>
          <t>South Upi</t>
        </is>
      </c>
      <c r="H1965" s="26" t="inlineStr">
        <is>
          <t>Kuya</t>
        </is>
      </c>
      <c r="I1965" s="27" t="n">
        <v>17.255071</v>
      </c>
      <c r="J1965" s="27" t="n">
        <v>122.229115</v>
      </c>
      <c r="K1965" s="10" t="inlineStr">
        <is>
          <t>U</t>
        </is>
      </c>
      <c r="L1965" s="12" t="n">
        <v>6770</v>
      </c>
      <c r="M1965" s="14" t="n">
        <v>4.7</v>
      </c>
      <c r="N1965" s="12">
        <f>ROUND(L1965/M1965, 0)</f>
        <v/>
      </c>
      <c r="O1965" s="12">
        <f>ROUND(N1965*'Methodology &amp; Assumptions'!$B$5, 0)</f>
        <v/>
      </c>
      <c r="P1965" s="10" t="inlineStr">
        <is>
          <t>Single Carrier (Band n50, 100MHz TDD)</t>
        </is>
      </c>
      <c r="Q1965" s="13">
        <f>ROUNDUP(O1965/'Methodology &amp; Assumptions'!$B$6, 0)</f>
        <v/>
      </c>
      <c r="R1965" s="13" t="n">
        <v>1</v>
      </c>
      <c r="S1965" s="14" t="n">
        <v>29.45</v>
      </c>
      <c r="T1965" s="14" t="n">
        <v>34.33</v>
      </c>
      <c r="U1965" s="26">
        <f>IF(X1965&gt;='Methodology &amp; Assumptions'!$B$7, "Tier 1 Critical GIDA (Score ≥ 50.0)", IF(X1965&gt;='Methodology &amp; Assumptions'!$B$8, "Tier 2 High GIDA (Score 40.0–49.9)", "Tier 3 Moderate GIDA (Score &lt; 40.0)"))</f>
        <v/>
      </c>
      <c r="V1965" s="26">
        <f>IF(S1965&lt;='Methodology &amp; Assumptions'!$B$10, "Direct Optical Drop (&lt;3km)", IF(S1965&lt;='Methodology &amp; Assumptions'!$B$9, "Near Optical / Microwave (&lt;5km)", "Starlink Business LEO Satellite Backhaul (&gt;5km)"))</f>
        <v/>
      </c>
      <c r="W1965" s="28" t="n">
        <v>0.11</v>
      </c>
      <c r="X1965" s="14" t="n">
        <v>41.35</v>
      </c>
      <c r="Y1965" s="14">
        <f>ROUND(MIN(100, (X1965/69.91)*100), 2)</f>
        <v/>
      </c>
    </row>
    <row r="1966">
      <c r="A1966" s="10" t="n">
        <v>5</v>
      </c>
      <c r="B1966" s="10" t="n">
        <v>962</v>
      </c>
      <c r="C1966" s="10" t="n">
        <v>4962</v>
      </c>
      <c r="D1966" s="10" t="inlineStr">
        <is>
          <t>PH0004962</t>
        </is>
      </c>
      <c r="E1966" s="26" t="inlineStr">
        <is>
          <t>I</t>
        </is>
      </c>
      <c r="F1966" s="26" t="inlineStr">
        <is>
          <t>Pangasinan</t>
        </is>
      </c>
      <c r="G1966" s="26" t="inlineStr">
        <is>
          <t>San Carlos City</t>
        </is>
      </c>
      <c r="H1966" s="26" t="inlineStr">
        <is>
          <t>Perez Boulevard (Pob.)</t>
        </is>
      </c>
      <c r="I1966" s="27" t="n">
        <v>15.913935</v>
      </c>
      <c r="J1966" s="27" t="n">
        <v>120.323251</v>
      </c>
      <c r="K1966" s="10" t="inlineStr">
        <is>
          <t>R</t>
        </is>
      </c>
      <c r="L1966" s="12" t="n">
        <v>2218</v>
      </c>
      <c r="M1966" s="14" t="n">
        <v>3.6</v>
      </c>
      <c r="N1966" s="12">
        <f>ROUND(L1966/M1966, 0)</f>
        <v/>
      </c>
      <c r="O1966" s="12">
        <f>ROUND(N1966*'Methodology &amp; Assumptions'!$B$5, 0)</f>
        <v/>
      </c>
      <c r="P1966" s="10" t="inlineStr">
        <is>
          <t>Single Carrier (Band n50, 100MHz TDD)</t>
        </is>
      </c>
      <c r="Q1966" s="13">
        <f>ROUNDUP(O1966/'Methodology &amp; Assumptions'!$B$6, 0)</f>
        <v/>
      </c>
      <c r="R1966" s="13" t="n">
        <v>1</v>
      </c>
      <c r="S1966" s="14" t="n">
        <v>3.11</v>
      </c>
      <c r="T1966" s="14" t="n">
        <v>2.98</v>
      </c>
      <c r="U1966" s="26">
        <f>IF(X1966&gt;='Methodology &amp; Assumptions'!$B$7, "Tier 1 Critical GIDA (Score ≥ 50.0)", IF(X1966&gt;='Methodology &amp; Assumptions'!$B$8, "Tier 2 High GIDA (Score 40.0–49.9)", "Tier 3 Moderate GIDA (Score &lt; 40.0)"))</f>
        <v/>
      </c>
      <c r="V1966" s="26">
        <f>IF(S1966&lt;='Methodology &amp; Assumptions'!$B$10, "Direct Optical Drop (&lt;3km)", IF(S1966&lt;='Methodology &amp; Assumptions'!$B$9, "Near Optical / Microwave (&lt;5km)", "Starlink Business LEO Satellite Backhaul (&gt;5km)"))</f>
        <v/>
      </c>
      <c r="W1966" s="28" t="n">
        <v>0.083</v>
      </c>
      <c r="X1966" s="14" t="n">
        <v>41.34</v>
      </c>
      <c r="Y1966" s="14">
        <f>ROUND(MIN(100, (X1966/69.91)*100), 2)</f>
        <v/>
      </c>
    </row>
    <row r="1967">
      <c r="A1967" s="10" t="n">
        <v>5</v>
      </c>
      <c r="B1967" s="10" t="n">
        <v>963</v>
      </c>
      <c r="C1967" s="10" t="n">
        <v>4963</v>
      </c>
      <c r="D1967" s="10" t="inlineStr">
        <is>
          <t>0504121004</t>
        </is>
      </c>
      <c r="E1967" s="26" t="inlineStr">
        <is>
          <t>Region V (Bicol Region)</t>
        </is>
      </c>
      <c r="F1967" s="26" t="inlineStr">
        <is>
          <t>Masbate</t>
        </is>
      </c>
      <c r="G1967" s="26" t="inlineStr">
        <is>
          <t>Uson</t>
        </is>
      </c>
      <c r="H1967" s="26" t="inlineStr">
        <is>
          <t>Badling</t>
        </is>
      </c>
      <c r="I1967" s="27" t="n">
        <v>12.193954</v>
      </c>
      <c r="J1967" s="27" t="n">
        <v>123.823413</v>
      </c>
      <c r="K1967" s="10" t="inlineStr">
        <is>
          <t>R</t>
        </is>
      </c>
      <c r="L1967" s="12" t="n">
        <v>800</v>
      </c>
      <c r="M1967" s="14" t="n">
        <v>4.1</v>
      </c>
      <c r="N1967" s="12">
        <f>ROUND(L1967/M1967, 0)</f>
        <v/>
      </c>
      <c r="O1967" s="12">
        <f>ROUND(N1967*'Methodology &amp; Assumptions'!$B$5, 0)</f>
        <v/>
      </c>
      <c r="P1967" s="10" t="inlineStr">
        <is>
          <t>Single Carrier (Band n50, 100MHz TDD)</t>
        </is>
      </c>
      <c r="Q1967" s="13">
        <f>ROUNDUP(O1967/'Methodology &amp; Assumptions'!$B$6, 0)</f>
        <v/>
      </c>
      <c r="R1967" s="13" t="n">
        <v>1</v>
      </c>
      <c r="S1967" s="14" t="n">
        <v>8.69</v>
      </c>
      <c r="T1967" s="14" t="n">
        <v>28.48</v>
      </c>
      <c r="U1967" s="26">
        <f>IF(X1967&gt;='Methodology &amp; Assumptions'!$B$7, "Tier 1 Critical GIDA (Score ≥ 50.0)", IF(X1967&gt;='Methodology &amp; Assumptions'!$B$8, "Tier 2 High GIDA (Score 40.0–49.9)", "Tier 3 Moderate GIDA (Score &lt; 40.0)"))</f>
        <v/>
      </c>
      <c r="V1967" s="26">
        <f>IF(S1967&lt;='Methodology &amp; Assumptions'!$B$10, "Direct Optical Drop (&lt;3km)", IF(S1967&lt;='Methodology &amp; Assumptions'!$B$9, "Near Optical / Microwave (&lt;5km)", "Starlink Business LEO Satellite Backhaul (&gt;5km)"))</f>
        <v/>
      </c>
      <c r="W1967" s="28" t="n">
        <v>0.237</v>
      </c>
      <c r="X1967" s="14" t="n">
        <v>41.34</v>
      </c>
      <c r="Y1967" s="14">
        <f>ROUND(MIN(100, (X1967/69.91)*100), 2)</f>
        <v/>
      </c>
    </row>
    <row r="1968">
      <c r="A1968" s="10" t="n">
        <v>5</v>
      </c>
      <c r="B1968" s="10" t="n">
        <v>964</v>
      </c>
      <c r="C1968" s="10" t="n">
        <v>4964</v>
      </c>
      <c r="D1968" s="10" t="inlineStr">
        <is>
          <t>PH0004964</t>
        </is>
      </c>
      <c r="E1968" s="26" t="inlineStr">
        <is>
          <t>IX</t>
        </is>
      </c>
      <c r="F1968" s="26" t="inlineStr">
        <is>
          <t>Zamboanga Del Sur</t>
        </is>
      </c>
      <c r="G1968" s="26" t="inlineStr">
        <is>
          <t>Zamboanga City</t>
        </is>
      </c>
      <c r="H1968" s="26" t="inlineStr">
        <is>
          <t>Santa Catalina</t>
        </is>
      </c>
      <c r="I1968" s="27" t="n">
        <v>6.90876</v>
      </c>
      <c r="J1968" s="27" t="n">
        <v>122.087779</v>
      </c>
      <c r="K1968" s="10" t="inlineStr">
        <is>
          <t>R</t>
        </is>
      </c>
      <c r="L1968" s="12" t="n">
        <v>2305</v>
      </c>
      <c r="M1968" s="14" t="n">
        <v>3.9</v>
      </c>
      <c r="N1968" s="12">
        <f>ROUND(L1968/M1968, 0)</f>
        <v/>
      </c>
      <c r="O1968" s="12">
        <f>ROUND(N1968*'Methodology &amp; Assumptions'!$B$5, 0)</f>
        <v/>
      </c>
      <c r="P1968" s="10" t="inlineStr">
        <is>
          <t>Single Carrier (Band n50, 100MHz TDD)</t>
        </is>
      </c>
      <c r="Q1968" s="13">
        <f>ROUNDUP(O1968/'Methodology &amp; Assumptions'!$B$6, 0)</f>
        <v/>
      </c>
      <c r="R1968" s="13" t="n">
        <v>1</v>
      </c>
      <c r="S1968" s="14" t="n">
        <v>1.56</v>
      </c>
      <c r="T1968" s="14" t="n">
        <v>1.12</v>
      </c>
      <c r="U1968" s="26">
        <f>IF(X1968&gt;='Methodology &amp; Assumptions'!$B$7, "Tier 1 Critical GIDA (Score ≥ 50.0)", IF(X1968&gt;='Methodology &amp; Assumptions'!$B$8, "Tier 2 High GIDA (Score 40.0–49.9)", "Tier 3 Moderate GIDA (Score &lt; 40.0)"))</f>
        <v/>
      </c>
      <c r="V1968" s="26">
        <f>IF(S1968&lt;='Methodology &amp; Assumptions'!$B$10, "Direct Optical Drop (&lt;3km)", IF(S1968&lt;='Methodology &amp; Assumptions'!$B$9, "Near Optical / Microwave (&lt;5km)", "Starlink Business LEO Satellite Backhaul (&gt;5km)"))</f>
        <v/>
      </c>
      <c r="W1968" s="28" t="n">
        <v>0.234</v>
      </c>
      <c r="X1968" s="14" t="n">
        <v>41.34</v>
      </c>
      <c r="Y1968" s="14">
        <f>ROUND(MIN(100, (X1968/69.91)*100), 2)</f>
        <v/>
      </c>
    </row>
    <row r="1969">
      <c r="A1969" s="10" t="n">
        <v>5</v>
      </c>
      <c r="B1969" s="10" t="n">
        <v>965</v>
      </c>
      <c r="C1969" s="10" t="n">
        <v>4965</v>
      </c>
      <c r="D1969" s="10" t="inlineStr">
        <is>
          <t>0405804022</t>
        </is>
      </c>
      <c r="E1969" s="26" t="inlineStr">
        <is>
          <t>Region IV-A (CALABARZON)</t>
        </is>
      </c>
      <c r="F1969" s="26" t="inlineStr">
        <is>
          <t>Rizal</t>
        </is>
      </c>
      <c r="G1969" s="26" t="inlineStr">
        <is>
          <t>Binangonan</t>
        </is>
      </c>
      <c r="H1969" s="26" t="inlineStr">
        <is>
          <t>Lunsad</t>
        </is>
      </c>
      <c r="I1969" s="27" t="n">
        <v>14.462124</v>
      </c>
      <c r="J1969" s="27" t="n">
        <v>121.19549</v>
      </c>
      <c r="K1969" s="10" t="inlineStr">
        <is>
          <t>U</t>
        </is>
      </c>
      <c r="L1969" s="12" t="n">
        <v>11246</v>
      </c>
      <c r="M1969" s="14" t="n">
        <v>3.6</v>
      </c>
      <c r="N1969" s="12">
        <f>ROUND(L1969/M1969, 0)</f>
        <v/>
      </c>
      <c r="O1969" s="12">
        <f>ROUND(N1969*'Methodology &amp; Assumptions'!$B$5, 0)</f>
        <v/>
      </c>
      <c r="P1969" s="10" t="inlineStr">
        <is>
          <t>Single Carrier (Band n50, 100MHz TDD)</t>
        </is>
      </c>
      <c r="Q1969" s="13">
        <f>ROUNDUP(O1969/'Methodology &amp; Assumptions'!$B$6, 0)</f>
        <v/>
      </c>
      <c r="R1969" s="13" t="n">
        <v>1</v>
      </c>
      <c r="S1969" s="14" t="n">
        <v>1.57</v>
      </c>
      <c r="T1969" s="14" t="n">
        <v>0.74</v>
      </c>
      <c r="U1969" s="26">
        <f>IF(X1969&gt;='Methodology &amp; Assumptions'!$B$7, "Tier 1 Critical GIDA (Score ≥ 50.0)", IF(X1969&gt;='Methodology &amp; Assumptions'!$B$8, "Tier 2 High GIDA (Score 40.0–49.9)", "Tier 3 Moderate GIDA (Score &lt; 40.0)"))</f>
        <v/>
      </c>
      <c r="V1969" s="26">
        <f>IF(S1969&lt;='Methodology &amp; Assumptions'!$B$10, "Direct Optical Drop (&lt;3km)", IF(S1969&lt;='Methodology &amp; Assumptions'!$B$9, "Near Optical / Microwave (&lt;5km)", "Starlink Business LEO Satellite Backhaul (&gt;5km)"))</f>
        <v/>
      </c>
      <c r="W1969" s="28" t="n">
        <v>0.07200000000000001</v>
      </c>
      <c r="X1969" s="14" t="n">
        <v>41.34</v>
      </c>
      <c r="Y1969" s="14">
        <f>ROUND(MIN(100, (X1969/69.91)*100), 2)</f>
        <v/>
      </c>
    </row>
    <row r="1970">
      <c r="A1970" s="10" t="n">
        <v>5</v>
      </c>
      <c r="B1970" s="10" t="n">
        <v>966</v>
      </c>
      <c r="C1970" s="10" t="n">
        <v>4966</v>
      </c>
      <c r="D1970" s="10" t="inlineStr">
        <is>
          <t>1908710033</t>
        </is>
      </c>
      <c r="E1970" s="26" t="inlineStr">
        <is>
          <t>Bangsamoro Autonomous Region In Muslim Mindanao (BARMM)</t>
        </is>
      </c>
      <c r="F1970" s="26" t="inlineStr">
        <is>
          <t>Maguindanao del Norte</t>
        </is>
      </c>
      <c r="G1970" s="26" t="inlineStr">
        <is>
          <t>Sultan Kudarat</t>
        </is>
      </c>
      <c r="H1970" s="26" t="inlineStr">
        <is>
          <t>Pingping</t>
        </is>
      </c>
      <c r="I1970" s="27" t="n">
        <v>17.254007</v>
      </c>
      <c r="J1970" s="27" t="n">
        <v>122.228051</v>
      </c>
      <c r="K1970" s="10" t="inlineStr">
        <is>
          <t>R</t>
        </is>
      </c>
      <c r="L1970" s="12" t="n">
        <v>1062</v>
      </c>
      <c r="M1970" s="14" t="n">
        <v>3.8</v>
      </c>
      <c r="N1970" s="12">
        <f>ROUND(L1970/M1970, 0)</f>
        <v/>
      </c>
      <c r="O1970" s="12">
        <f>ROUND(N1970*'Methodology &amp; Assumptions'!$B$5, 0)</f>
        <v/>
      </c>
      <c r="P1970" s="10" t="inlineStr">
        <is>
          <t>Single Carrier (Band n50, 100MHz TDD)</t>
        </is>
      </c>
      <c r="Q1970" s="13">
        <f>ROUNDUP(O1970/'Methodology &amp; Assumptions'!$B$6, 0)</f>
        <v/>
      </c>
      <c r="R1970" s="13" t="n">
        <v>1</v>
      </c>
      <c r="S1970" s="14" t="n">
        <v>29.29</v>
      </c>
      <c r="T1970" s="14" t="n">
        <v>34.19</v>
      </c>
      <c r="U1970" s="26">
        <f>IF(X1970&gt;='Methodology &amp; Assumptions'!$B$7, "Tier 1 Critical GIDA (Score ≥ 50.0)", IF(X1970&gt;='Methodology &amp; Assumptions'!$B$8, "Tier 2 High GIDA (Score 40.0–49.9)", "Tier 3 Moderate GIDA (Score &lt; 40.0)"))</f>
        <v/>
      </c>
      <c r="V1970" s="26">
        <f>IF(S1970&lt;='Methodology &amp; Assumptions'!$B$10, "Direct Optical Drop (&lt;3km)", IF(S1970&lt;='Methodology &amp; Assumptions'!$B$9, "Near Optical / Microwave (&lt;5km)", "Starlink Business LEO Satellite Backhaul (&gt;5km)"))</f>
        <v/>
      </c>
      <c r="W1970" s="28" t="n">
        <v>0.11</v>
      </c>
      <c r="X1970" s="14" t="n">
        <v>41.34</v>
      </c>
      <c r="Y1970" s="14">
        <f>ROUND(MIN(100, (X1970/69.91)*100), 2)</f>
        <v/>
      </c>
    </row>
    <row r="1971">
      <c r="A1971" s="10" t="n">
        <v>5</v>
      </c>
      <c r="B1971" s="10" t="n">
        <v>967</v>
      </c>
      <c r="C1971" s="10" t="n">
        <v>4967</v>
      </c>
      <c r="D1971" s="10" t="inlineStr">
        <is>
          <t>1380200012</t>
        </is>
      </c>
      <c r="E1971" s="26" t="inlineStr">
        <is>
          <t>National Capital Region (NCR)</t>
        </is>
      </c>
      <c r="F1971" s="26" t="inlineStr">
        <is>
          <t>Fourth District (Not a Province)</t>
        </is>
      </c>
      <c r="G1971" s="26" t="inlineStr">
        <is>
          <t>City of Las Piñas</t>
        </is>
      </c>
      <c r="H1971" s="26" t="inlineStr">
        <is>
          <t>Manuyo Dos</t>
        </is>
      </c>
      <c r="I1971" s="27" t="n">
        <v>14.470278</v>
      </c>
      <c r="J1971" s="27" t="n">
        <v>120.991389</v>
      </c>
      <c r="K1971" s="10" t="inlineStr">
        <is>
          <t>U</t>
        </is>
      </c>
      <c r="L1971" s="12" t="n">
        <v>45028</v>
      </c>
      <c r="M1971" s="14" t="n">
        <v>3.8</v>
      </c>
      <c r="N1971" s="12">
        <f>ROUND(L1971/M1971, 0)</f>
        <v/>
      </c>
      <c r="O1971" s="12">
        <f>ROUND(N1971*'Methodology &amp; Assumptions'!$B$5, 0)</f>
        <v/>
      </c>
      <c r="P1971" s="10" t="inlineStr">
        <is>
          <t>Single Carrier (Band n50, 100MHz TDD)</t>
        </is>
      </c>
      <c r="Q1971" s="13">
        <f>ROUNDUP(O1971/'Methodology &amp; Assumptions'!$B$6, 0)</f>
        <v/>
      </c>
      <c r="R1971" s="13" t="n">
        <v>1</v>
      </c>
      <c r="S1971" s="14" t="n">
        <v>0.93</v>
      </c>
      <c r="T1971" s="14" t="n">
        <v>0.6</v>
      </c>
      <c r="U1971" s="26">
        <f>IF(X1971&gt;='Methodology &amp; Assumptions'!$B$7, "Tier 1 Critical GIDA (Score ≥ 50.0)", IF(X1971&gt;='Methodology &amp; Assumptions'!$B$8, "Tier 2 High GIDA (Score 40.0–49.9)", "Tier 3 Moderate GIDA (Score &lt; 40.0)"))</f>
        <v/>
      </c>
      <c r="V1971" s="26">
        <f>IF(S1971&lt;='Methodology &amp; Assumptions'!$B$10, "Direct Optical Drop (&lt;3km)", IF(S1971&lt;='Methodology &amp; Assumptions'!$B$9, "Near Optical / Microwave (&lt;5km)", "Starlink Business LEO Satellite Backhaul (&gt;5km)"))</f>
        <v/>
      </c>
      <c r="W1971" s="28" t="n">
        <v>0.109</v>
      </c>
      <c r="X1971" s="14" t="n">
        <v>41.33</v>
      </c>
      <c r="Y1971" s="14">
        <f>ROUND(MIN(100, (X1971/69.91)*100), 2)</f>
        <v/>
      </c>
    </row>
    <row r="1972">
      <c r="A1972" s="10" t="n">
        <v>5</v>
      </c>
      <c r="B1972" s="10" t="n">
        <v>968</v>
      </c>
      <c r="C1972" s="10" t="n">
        <v>4968</v>
      </c>
      <c r="D1972" s="10" t="inlineStr">
        <is>
          <t>PH0004968</t>
        </is>
      </c>
      <c r="E1972" s="26" t="inlineStr">
        <is>
          <t>IV-A</t>
        </is>
      </c>
      <c r="F1972" s="26" t="inlineStr">
        <is>
          <t>Cavite</t>
        </is>
      </c>
      <c r="G1972" s="26" t="inlineStr">
        <is>
          <t>Cavite City</t>
        </is>
      </c>
      <c r="H1972" s="26" t="inlineStr">
        <is>
          <t>Barangay 22</t>
        </is>
      </c>
      <c r="I1972" s="27" t="n">
        <v>14.424789</v>
      </c>
      <c r="J1972" s="27" t="n">
        <v>120.926246</v>
      </c>
      <c r="K1972" s="10" t="inlineStr">
        <is>
          <t>R</t>
        </is>
      </c>
      <c r="L1972" s="12" t="n">
        <v>2316</v>
      </c>
      <c r="M1972" s="14" t="n">
        <v>3.4</v>
      </c>
      <c r="N1972" s="12">
        <f>ROUND(L1972/M1972, 0)</f>
        <v/>
      </c>
      <c r="O1972" s="12">
        <f>ROUND(N1972*'Methodology &amp; Assumptions'!$B$5, 0)</f>
        <v/>
      </c>
      <c r="P1972" s="10" t="inlineStr">
        <is>
          <t>Single Carrier (Band n50, 100MHz TDD)</t>
        </is>
      </c>
      <c r="Q1972" s="13">
        <f>ROUNDUP(O1972/'Methodology &amp; Assumptions'!$B$6, 0)</f>
        <v/>
      </c>
      <c r="R1972" s="13" t="n">
        <v>1</v>
      </c>
      <c r="S1972" s="14" t="n">
        <v>2.19</v>
      </c>
      <c r="T1972" s="14" t="n">
        <v>2.36</v>
      </c>
      <c r="U1972" s="26">
        <f>IF(X1972&gt;='Methodology &amp; Assumptions'!$B$7, "Tier 1 Critical GIDA (Score ≥ 50.0)", IF(X1972&gt;='Methodology &amp; Assumptions'!$B$8, "Tier 2 High GIDA (Score 40.0–49.9)", "Tier 3 Moderate GIDA (Score &lt; 40.0)"))</f>
        <v/>
      </c>
      <c r="V1972" s="26">
        <f>IF(S1972&lt;='Methodology &amp; Assumptions'!$B$10, "Direct Optical Drop (&lt;3km)", IF(S1972&lt;='Methodology &amp; Assumptions'!$B$9, "Near Optical / Microwave (&lt;5km)", "Starlink Business LEO Satellite Backhaul (&gt;5km)"))</f>
        <v/>
      </c>
      <c r="W1972" s="28" t="n">
        <v>0.07200000000000001</v>
      </c>
      <c r="X1972" s="14" t="n">
        <v>41.33</v>
      </c>
      <c r="Y1972" s="14">
        <f>ROUND(MIN(100, (X1972/69.91)*100), 2)</f>
        <v/>
      </c>
    </row>
    <row r="1973">
      <c r="A1973" s="10" t="n">
        <v>5</v>
      </c>
      <c r="B1973" s="10" t="n">
        <v>969</v>
      </c>
      <c r="C1973" s="10" t="n">
        <v>4969</v>
      </c>
      <c r="D1973" s="10" t="inlineStr">
        <is>
          <t>PH0004969</t>
        </is>
      </c>
      <c r="E1973" s="26" t="inlineStr">
        <is>
          <t>IV-A</t>
        </is>
      </c>
      <c r="F1973" s="26" t="inlineStr">
        <is>
          <t>Cavite</t>
        </is>
      </c>
      <c r="G1973" s="26" t="inlineStr">
        <is>
          <t>Cavite City</t>
        </is>
      </c>
      <c r="H1973" s="26" t="inlineStr">
        <is>
          <t>Barangay 62</t>
        </is>
      </c>
      <c r="I1973" s="27" t="n">
        <v>14.501001</v>
      </c>
      <c r="J1973" s="27" t="n">
        <v>120.835726</v>
      </c>
      <c r="K1973" s="10" t="inlineStr">
        <is>
          <t>R</t>
        </is>
      </c>
      <c r="L1973" s="12" t="n">
        <v>2316</v>
      </c>
      <c r="M1973" s="14" t="n">
        <v>3.4</v>
      </c>
      <c r="N1973" s="12">
        <f>ROUND(L1973/M1973, 0)</f>
        <v/>
      </c>
      <c r="O1973" s="12">
        <f>ROUND(N1973*'Methodology &amp; Assumptions'!$B$5, 0)</f>
        <v/>
      </c>
      <c r="P1973" s="10" t="inlineStr">
        <is>
          <t>Single Carrier (Band n50, 100MHz TDD)</t>
        </is>
      </c>
      <c r="Q1973" s="13">
        <f>ROUNDUP(O1973/'Methodology &amp; Assumptions'!$B$6, 0)</f>
        <v/>
      </c>
      <c r="R1973" s="13" t="n">
        <v>1</v>
      </c>
      <c r="S1973" s="14" t="n">
        <v>6.3</v>
      </c>
      <c r="T1973" s="14" t="n">
        <v>9.369999999999999</v>
      </c>
      <c r="U1973" s="26">
        <f>IF(X1973&gt;='Methodology &amp; Assumptions'!$B$7, "Tier 1 Critical GIDA (Score ≥ 50.0)", IF(X1973&gt;='Methodology &amp; Assumptions'!$B$8, "Tier 2 High GIDA (Score 40.0–49.9)", "Tier 3 Moderate GIDA (Score &lt; 40.0)"))</f>
        <v/>
      </c>
      <c r="V1973" s="26">
        <f>IF(S1973&lt;='Methodology &amp; Assumptions'!$B$10, "Direct Optical Drop (&lt;3km)", IF(S1973&lt;='Methodology &amp; Assumptions'!$B$9, "Near Optical / Microwave (&lt;5km)", "Starlink Business LEO Satellite Backhaul (&gt;5km)"))</f>
        <v/>
      </c>
      <c r="W1973" s="28" t="n">
        <v>0.07200000000000001</v>
      </c>
      <c r="X1973" s="14" t="n">
        <v>41.33</v>
      </c>
      <c r="Y1973" s="14">
        <f>ROUND(MIN(100, (X1973/69.91)*100), 2)</f>
        <v/>
      </c>
    </row>
    <row r="1974">
      <c r="A1974" s="10" t="n">
        <v>5</v>
      </c>
      <c r="B1974" s="10" t="n">
        <v>970</v>
      </c>
      <c r="C1974" s="10" t="n">
        <v>4970</v>
      </c>
      <c r="D1974" s="10" t="inlineStr">
        <is>
          <t>0803713005</t>
        </is>
      </c>
      <c r="E1974" s="26" t="inlineStr">
        <is>
          <t>Region VIII (Eastern Visayas)</t>
        </is>
      </c>
      <c r="F1974" s="26" t="inlineStr">
        <is>
          <t>Leyte</t>
        </is>
      </c>
      <c r="G1974" s="26" t="inlineStr">
        <is>
          <t>Calubian</t>
        </is>
      </c>
      <c r="H1974" s="26" t="inlineStr">
        <is>
          <t>Bunacan</t>
        </is>
      </c>
      <c r="I1974" s="27" t="n">
        <v>11.485632</v>
      </c>
      <c r="J1974" s="27" t="n">
        <v>124.34487</v>
      </c>
      <c r="K1974" s="10" t="inlineStr">
        <is>
          <t>R</t>
        </is>
      </c>
      <c r="L1974" s="12" t="n">
        <v>604</v>
      </c>
      <c r="M1974" s="14" t="n">
        <v>3.8</v>
      </c>
      <c r="N1974" s="12">
        <f>ROUND(L1974/M1974, 0)</f>
        <v/>
      </c>
      <c r="O1974" s="12">
        <f>ROUND(N1974*'Methodology &amp; Assumptions'!$B$5, 0)</f>
        <v/>
      </c>
      <c r="P1974" s="10" t="inlineStr">
        <is>
          <t>Single Carrier (Band n50, 100MHz TDD)</t>
        </is>
      </c>
      <c r="Q1974" s="13">
        <f>ROUNDUP(O1974/'Methodology &amp; Assumptions'!$B$6, 0)</f>
        <v/>
      </c>
      <c r="R1974" s="13" t="n">
        <v>1</v>
      </c>
      <c r="S1974" s="14" t="n">
        <v>38.18</v>
      </c>
      <c r="T1974" s="14" t="n">
        <v>31.53</v>
      </c>
      <c r="U1974" s="26">
        <f>IF(X1974&gt;='Methodology &amp; Assumptions'!$B$7, "Tier 1 Critical GIDA (Score ≥ 50.0)", IF(X1974&gt;='Methodology &amp; Assumptions'!$B$8, "Tier 2 High GIDA (Score 40.0–49.9)", "Tier 3 Moderate GIDA (Score &lt; 40.0)"))</f>
        <v/>
      </c>
      <c r="V1974" s="26">
        <f>IF(S1974&lt;='Methodology &amp; Assumptions'!$B$10, "Direct Optical Drop (&lt;3km)", IF(S1974&lt;='Methodology &amp; Assumptions'!$B$9, "Near Optical / Microwave (&lt;5km)", "Starlink Business LEO Satellite Backhaul (&gt;5km)"))</f>
        <v/>
      </c>
      <c r="W1974" s="28" t="n">
        <v>0.237</v>
      </c>
      <c r="X1974" s="14" t="n">
        <v>41.33</v>
      </c>
      <c r="Y1974" s="14">
        <f>ROUND(MIN(100, (X1974/69.91)*100), 2)</f>
        <v/>
      </c>
    </row>
    <row r="1975">
      <c r="A1975" s="10" t="n">
        <v>5</v>
      </c>
      <c r="B1975" s="10" t="n">
        <v>971</v>
      </c>
      <c r="C1975" s="10" t="n">
        <v>4971</v>
      </c>
      <c r="D1975" s="10" t="inlineStr">
        <is>
          <t>0102820011</t>
        </is>
      </c>
      <c r="E1975" s="26" t="inlineStr">
        <is>
          <t>Region I (Ilocos Region)</t>
        </is>
      </c>
      <c r="F1975" s="26" t="inlineStr">
        <is>
          <t>Ilocos Norte</t>
        </is>
      </c>
      <c r="G1975" s="26" t="inlineStr">
        <is>
          <t>San Nicolas</t>
        </is>
      </c>
      <c r="H1975" s="26" t="inlineStr">
        <is>
          <t>San Jose</t>
        </is>
      </c>
      <c r="I1975" s="27" t="n">
        <v>18.16487</v>
      </c>
      <c r="J1975" s="27" t="n">
        <v>120.59139</v>
      </c>
      <c r="K1975" s="10" t="inlineStr">
        <is>
          <t>R</t>
        </is>
      </c>
      <c r="L1975" s="12" t="n">
        <v>1474</v>
      </c>
      <c r="M1975" s="14" t="n">
        <v>3.7</v>
      </c>
      <c r="N1975" s="12">
        <f>ROUND(L1975/M1975, 0)</f>
        <v/>
      </c>
      <c r="O1975" s="12">
        <f>ROUND(N1975*'Methodology &amp; Assumptions'!$B$5, 0)</f>
        <v/>
      </c>
      <c r="P1975" s="10" t="inlineStr">
        <is>
          <t>Single Carrier (Band n50, 100MHz TDD)</t>
        </is>
      </c>
      <c r="Q1975" s="13">
        <f>ROUNDUP(O1975/'Methodology &amp; Assumptions'!$B$6, 0)</f>
        <v/>
      </c>
      <c r="R1975" s="13" t="n">
        <v>1</v>
      </c>
      <c r="S1975" s="14" t="n">
        <v>0.64</v>
      </c>
      <c r="T1975" s="14" t="n">
        <v>0.12</v>
      </c>
      <c r="U1975" s="26">
        <f>IF(X1975&gt;='Methodology &amp; Assumptions'!$B$7, "Tier 1 Critical GIDA (Score ≥ 50.0)", IF(X1975&gt;='Methodology &amp; Assumptions'!$B$8, "Tier 2 High GIDA (Score 40.0–49.9)", "Tier 3 Moderate GIDA (Score &lt; 40.0)"))</f>
        <v/>
      </c>
      <c r="V1975" s="26">
        <f>IF(S1975&lt;='Methodology &amp; Assumptions'!$B$10, "Direct Optical Drop (&lt;3km)", IF(S1975&lt;='Methodology &amp; Assumptions'!$B$9, "Near Optical / Microwave (&lt;5km)", "Starlink Business LEO Satellite Backhaul (&gt;5km)"))</f>
        <v/>
      </c>
      <c r="W1975" s="28" t="n">
        <v>0.083</v>
      </c>
      <c r="X1975" s="14" t="n">
        <v>41.33</v>
      </c>
      <c r="Y1975" s="14">
        <f>ROUND(MIN(100, (X1975/69.91)*100), 2)</f>
        <v/>
      </c>
    </row>
    <row r="1976">
      <c r="A1976" s="10" t="n">
        <v>5</v>
      </c>
      <c r="B1976" s="10" t="n">
        <v>972</v>
      </c>
      <c r="C1976" s="10" t="n">
        <v>4972</v>
      </c>
      <c r="D1976" s="10" t="inlineStr">
        <is>
          <t>PH0004972</t>
        </is>
      </c>
      <c r="E1976" s="26" t="inlineStr">
        <is>
          <t>CAR</t>
        </is>
      </c>
      <c r="F1976" s="26" t="inlineStr">
        <is>
          <t>Benguet</t>
        </is>
      </c>
      <c r="G1976" s="26" t="inlineStr">
        <is>
          <t>Baguio City</t>
        </is>
      </c>
      <c r="H1976" s="26" t="inlineStr">
        <is>
          <t>Greenwater Village</t>
        </is>
      </c>
      <c r="I1976" s="27" t="n">
        <v>16.500872</v>
      </c>
      <c r="J1976" s="27" t="n">
        <v>120.576934</v>
      </c>
      <c r="K1976" s="10" t="inlineStr">
        <is>
          <t>R</t>
        </is>
      </c>
      <c r="L1976" s="12" t="n">
        <v>2260</v>
      </c>
      <c r="M1976" s="14" t="n">
        <v>3.5</v>
      </c>
      <c r="N1976" s="12">
        <f>ROUND(L1976/M1976, 0)</f>
        <v/>
      </c>
      <c r="O1976" s="12">
        <f>ROUND(N1976*'Methodology &amp; Assumptions'!$B$5, 0)</f>
        <v/>
      </c>
      <c r="P1976" s="10" t="inlineStr">
        <is>
          <t>Single Carrier (Band n50, 100MHz TDD)</t>
        </is>
      </c>
      <c r="Q1976" s="13">
        <f>ROUNDUP(O1976/'Methodology &amp; Assumptions'!$B$6, 0)</f>
        <v/>
      </c>
      <c r="R1976" s="13" t="n">
        <v>1</v>
      </c>
      <c r="S1976" s="14" t="n">
        <v>4.22</v>
      </c>
      <c r="T1976" s="14" t="n">
        <v>4.35</v>
      </c>
      <c r="U1976" s="26">
        <f>IF(X1976&gt;='Methodology &amp; Assumptions'!$B$7, "Tier 1 Critical GIDA (Score ≥ 50.0)", IF(X1976&gt;='Methodology &amp; Assumptions'!$B$8, "Tier 2 High GIDA (Score 40.0–49.9)", "Tier 3 Moderate GIDA (Score &lt; 40.0)"))</f>
        <v/>
      </c>
      <c r="V1976" s="26">
        <f>IF(S1976&lt;='Methodology &amp; Assumptions'!$B$10, "Direct Optical Drop (&lt;3km)", IF(S1976&lt;='Methodology &amp; Assumptions'!$B$9, "Near Optical / Microwave (&lt;5km)", "Starlink Business LEO Satellite Backhaul (&gt;5km)"))</f>
        <v/>
      </c>
      <c r="W1976" s="28" t="n">
        <v>0.221</v>
      </c>
      <c r="X1976" s="14" t="n">
        <v>41.33</v>
      </c>
      <c r="Y1976" s="14">
        <f>ROUND(MIN(100, (X1976/69.91)*100), 2)</f>
        <v/>
      </c>
    </row>
    <row r="1977">
      <c r="A1977" s="10" t="n">
        <v>5</v>
      </c>
      <c r="B1977" s="10" t="n">
        <v>973</v>
      </c>
      <c r="C1977" s="10" t="n">
        <v>4973</v>
      </c>
      <c r="D1977" s="10" t="inlineStr">
        <is>
          <t>0803731020</t>
        </is>
      </c>
      <c r="E1977" s="26" t="inlineStr">
        <is>
          <t>Region VIII (Eastern Visayas)</t>
        </is>
      </c>
      <c r="F1977" s="26" t="inlineStr">
        <is>
          <t>Leyte</t>
        </is>
      </c>
      <c r="G1977" s="26" t="inlineStr">
        <is>
          <t>Mahaplag</t>
        </is>
      </c>
      <c r="H1977" s="26" t="inlineStr">
        <is>
          <t>San Juan</t>
        </is>
      </c>
      <c r="I1977" s="27" t="n">
        <v>10.548153</v>
      </c>
      <c r="J1977" s="27" t="n">
        <v>124.918086</v>
      </c>
      <c r="K1977" s="10" t="inlineStr">
        <is>
          <t>R</t>
        </is>
      </c>
      <c r="L1977" s="12" t="n">
        <v>483</v>
      </c>
      <c r="M1977" s="14" t="n">
        <v>3.8</v>
      </c>
      <c r="N1977" s="12">
        <f>ROUND(L1977/M1977, 0)</f>
        <v/>
      </c>
      <c r="O1977" s="12">
        <f>ROUND(N1977*'Methodology &amp; Assumptions'!$B$5, 0)</f>
        <v/>
      </c>
      <c r="P1977" s="10" t="inlineStr">
        <is>
          <t>Single Carrier (Band n50, 100MHz TDD)</t>
        </is>
      </c>
      <c r="Q1977" s="13">
        <f>ROUNDUP(O1977/'Methodology &amp; Assumptions'!$B$6, 0)</f>
        <v/>
      </c>
      <c r="R1977" s="13" t="n">
        <v>1</v>
      </c>
      <c r="S1977" s="14" t="n">
        <v>19.34</v>
      </c>
      <c r="T1977" s="14" t="n">
        <v>4.11</v>
      </c>
      <c r="U1977" s="26">
        <f>IF(X1977&gt;='Methodology &amp; Assumptions'!$B$7, "Tier 1 Critical GIDA (Score ≥ 50.0)", IF(X1977&gt;='Methodology &amp; Assumptions'!$B$8, "Tier 2 High GIDA (Score 40.0–49.9)", "Tier 3 Moderate GIDA (Score &lt; 40.0)"))</f>
        <v/>
      </c>
      <c r="V1977" s="26">
        <f>IF(S1977&lt;='Methodology &amp; Assumptions'!$B$10, "Direct Optical Drop (&lt;3km)", IF(S1977&lt;='Methodology &amp; Assumptions'!$B$9, "Near Optical / Microwave (&lt;5km)", "Starlink Business LEO Satellite Backhaul (&gt;5km)"))</f>
        <v/>
      </c>
      <c r="W1977" s="28" t="n">
        <v>0.237</v>
      </c>
      <c r="X1977" s="14" t="n">
        <v>41.32</v>
      </c>
      <c r="Y1977" s="14">
        <f>ROUND(MIN(100, (X1977/69.91)*100), 2)</f>
        <v/>
      </c>
    </row>
    <row r="1978">
      <c r="A1978" s="10" t="n">
        <v>5</v>
      </c>
      <c r="B1978" s="10" t="n">
        <v>974</v>
      </c>
      <c r="C1978" s="10" t="n">
        <v>4974</v>
      </c>
      <c r="D1978" s="10" t="inlineStr">
        <is>
          <t>0803738019</t>
        </is>
      </c>
      <c r="E1978" s="26" t="inlineStr">
        <is>
          <t>Region VIII (Eastern Visayas)</t>
        </is>
      </c>
      <c r="F1978" s="26" t="inlineStr">
        <is>
          <t>Leyte</t>
        </is>
      </c>
      <c r="G1978" s="26" t="inlineStr">
        <is>
          <t>Ormoc City</t>
        </is>
      </c>
      <c r="H1978" s="26" t="inlineStr">
        <is>
          <t>Danao</t>
        </is>
      </c>
      <c r="I1978" s="27" t="n">
        <v>11.089846</v>
      </c>
      <c r="J1978" s="27" t="n">
        <v>124.681956</v>
      </c>
      <c r="K1978" s="10" t="inlineStr">
        <is>
          <t>R</t>
        </is>
      </c>
      <c r="L1978" s="12" t="n">
        <v>2115</v>
      </c>
      <c r="M1978" s="14" t="n">
        <v>3.8</v>
      </c>
      <c r="N1978" s="12">
        <f>ROUND(L1978/M1978, 0)</f>
        <v/>
      </c>
      <c r="O1978" s="12">
        <f>ROUND(N1978*'Methodology &amp; Assumptions'!$B$5, 0)</f>
        <v/>
      </c>
      <c r="P1978" s="10" t="inlineStr">
        <is>
          <t>Single Carrier (Band n50, 100MHz TDD)</t>
        </is>
      </c>
      <c r="Q1978" s="13">
        <f>ROUNDUP(O1978/'Methodology &amp; Assumptions'!$B$6, 0)</f>
        <v/>
      </c>
      <c r="R1978" s="13" t="n">
        <v>1</v>
      </c>
      <c r="S1978" s="14" t="n">
        <v>11.61</v>
      </c>
      <c r="T1978" s="14" t="n">
        <v>9.49</v>
      </c>
      <c r="U1978" s="26">
        <f>IF(X1978&gt;='Methodology &amp; Assumptions'!$B$7, "Tier 1 Critical GIDA (Score ≥ 50.0)", IF(X1978&gt;='Methodology &amp; Assumptions'!$B$8, "Tier 2 High GIDA (Score 40.0–49.9)", "Tier 3 Moderate GIDA (Score &lt; 40.0)"))</f>
        <v/>
      </c>
      <c r="V1978" s="26">
        <f>IF(S1978&lt;='Methodology &amp; Assumptions'!$B$10, "Direct Optical Drop (&lt;3km)", IF(S1978&lt;='Methodology &amp; Assumptions'!$B$9, "Near Optical / Microwave (&lt;5km)", "Starlink Business LEO Satellite Backhaul (&gt;5km)"))</f>
        <v/>
      </c>
      <c r="W1978" s="28" t="n">
        <v>0.237</v>
      </c>
      <c r="X1978" s="14" t="n">
        <v>41.32</v>
      </c>
      <c r="Y1978" s="14">
        <f>ROUND(MIN(100, (X1978/69.91)*100), 2)</f>
        <v/>
      </c>
    </row>
    <row r="1979">
      <c r="A1979" s="10" t="n">
        <v>5</v>
      </c>
      <c r="B1979" s="10" t="n">
        <v>975</v>
      </c>
      <c r="C1979" s="10" t="n">
        <v>4975</v>
      </c>
      <c r="D1979" s="10" t="inlineStr">
        <is>
          <t>0907338006</t>
        </is>
      </c>
      <c r="E1979" s="26" t="inlineStr">
        <is>
          <t>Region IX (Zamboanga Peninsula)</t>
        </is>
      </c>
      <c r="F1979" s="26" t="inlineStr">
        <is>
          <t>Zamboanga del Sur</t>
        </is>
      </c>
      <c r="G1979" s="26" t="inlineStr">
        <is>
          <t>Pitogo</t>
        </is>
      </c>
      <c r="H1979" s="26" t="inlineStr">
        <is>
          <t>Limbayan</t>
        </is>
      </c>
      <c r="I1979" s="27" t="n">
        <v>7.36593</v>
      </c>
      <c r="J1979" s="27" t="n">
        <v>123.39949</v>
      </c>
      <c r="K1979" s="10" t="inlineStr">
        <is>
          <t>R</t>
        </is>
      </c>
      <c r="L1979" s="12" t="n">
        <v>1271</v>
      </c>
      <c r="M1979" s="14" t="n">
        <v>3.9</v>
      </c>
      <c r="N1979" s="12">
        <f>ROUND(L1979/M1979, 0)</f>
        <v/>
      </c>
      <c r="O1979" s="12">
        <f>ROUND(N1979*'Methodology &amp; Assumptions'!$B$5, 0)</f>
        <v/>
      </c>
      <c r="P1979" s="10" t="inlineStr">
        <is>
          <t>Single Carrier (Band n50, 100MHz TDD)</t>
        </is>
      </c>
      <c r="Q1979" s="13">
        <f>ROUNDUP(O1979/'Methodology &amp; Assumptions'!$B$6, 0)</f>
        <v/>
      </c>
      <c r="R1979" s="13" t="n">
        <v>1</v>
      </c>
      <c r="S1979" s="14" t="n">
        <v>51.88</v>
      </c>
      <c r="T1979" s="14" t="n">
        <v>50.26</v>
      </c>
      <c r="U1979" s="26">
        <f>IF(X1979&gt;='Methodology &amp; Assumptions'!$B$7, "Tier 1 Critical GIDA (Score ≥ 50.0)", IF(X1979&gt;='Methodology &amp; Assumptions'!$B$8, "Tier 2 High GIDA (Score 40.0–49.9)", "Tier 3 Moderate GIDA (Score &lt; 40.0)"))</f>
        <v/>
      </c>
      <c r="V1979" s="26">
        <f>IF(S1979&lt;='Methodology &amp; Assumptions'!$B$10, "Direct Optical Drop (&lt;3km)", IF(S1979&lt;='Methodology &amp; Assumptions'!$B$9, "Near Optical / Microwave (&lt;5km)", "Starlink Business LEO Satellite Backhaul (&gt;5km)"))</f>
        <v/>
      </c>
      <c r="W1979" s="28" t="n">
        <v>0.11</v>
      </c>
      <c r="X1979" s="14" t="n">
        <v>41.32</v>
      </c>
      <c r="Y1979" s="14">
        <f>ROUND(MIN(100, (X1979/69.91)*100), 2)</f>
        <v/>
      </c>
    </row>
    <row r="1980">
      <c r="A1980" s="10" t="n">
        <v>5</v>
      </c>
      <c r="B1980" s="10" t="n">
        <v>976</v>
      </c>
      <c r="C1980" s="10" t="n">
        <v>4976</v>
      </c>
      <c r="D1980" s="10" t="inlineStr">
        <is>
          <t>0405647004</t>
        </is>
      </c>
      <c r="E1980" s="26" t="inlineStr">
        <is>
          <t>Region IV-A (CALABARZON)</t>
        </is>
      </c>
      <c r="F1980" s="26" t="inlineStr">
        <is>
          <t>Quezon</t>
        </is>
      </c>
      <c r="G1980" s="26" t="inlineStr">
        <is>
          <t>City of Tayabas</t>
        </is>
      </c>
      <c r="H1980" s="26" t="inlineStr">
        <is>
          <t>Angeles Zone II</t>
        </is>
      </c>
      <c r="I1980" s="27" t="n">
        <v>14.027387</v>
      </c>
      <c r="J1980" s="27" t="n">
        <v>121.592687</v>
      </c>
      <c r="K1980" s="10" t="inlineStr">
        <is>
          <t>U</t>
        </is>
      </c>
      <c r="L1980" s="12" t="n">
        <v>826</v>
      </c>
      <c r="M1980" s="14" t="n">
        <v>3.8</v>
      </c>
      <c r="N1980" s="12">
        <f>ROUND(L1980/M1980, 0)</f>
        <v/>
      </c>
      <c r="O1980" s="12">
        <f>ROUND(N1980*'Methodology &amp; Assumptions'!$B$5, 0)</f>
        <v/>
      </c>
      <c r="P1980" s="10" t="inlineStr">
        <is>
          <t>Single Carrier (Band n50, 100MHz TDD)</t>
        </is>
      </c>
      <c r="Q1980" s="13">
        <f>ROUNDUP(O1980/'Methodology &amp; Assumptions'!$B$6, 0)</f>
        <v/>
      </c>
      <c r="R1980" s="13" t="n">
        <v>1</v>
      </c>
      <c r="S1980" s="14" t="n">
        <v>0.42</v>
      </c>
      <c r="T1980" s="14" t="n">
        <v>0.08</v>
      </c>
      <c r="U1980" s="26">
        <f>IF(X1980&gt;='Methodology &amp; Assumptions'!$B$7, "Tier 1 Critical GIDA (Score ≥ 50.0)", IF(X1980&gt;='Methodology &amp; Assumptions'!$B$8, "Tier 2 High GIDA (Score 40.0–49.9)", "Tier 3 Moderate GIDA (Score &lt; 40.0)"))</f>
        <v/>
      </c>
      <c r="V1980" s="26">
        <f>IF(S1980&lt;='Methodology &amp; Assumptions'!$B$10, "Direct Optical Drop (&lt;3km)", IF(S1980&lt;='Methodology &amp; Assumptions'!$B$9, "Near Optical / Microwave (&lt;5km)", "Starlink Business LEO Satellite Backhaul (&gt;5km)"))</f>
        <v/>
      </c>
      <c r="W1980" s="28" t="n">
        <v>0.07200000000000001</v>
      </c>
      <c r="X1980" s="14" t="n">
        <v>41.32</v>
      </c>
      <c r="Y1980" s="14">
        <f>ROUND(MIN(100, (X1980/69.91)*100), 2)</f>
        <v/>
      </c>
    </row>
    <row r="1981">
      <c r="A1981" s="10" t="n">
        <v>5</v>
      </c>
      <c r="B1981" s="10" t="n">
        <v>977</v>
      </c>
      <c r="C1981" s="10" t="n">
        <v>4977</v>
      </c>
      <c r="D1981" s="10" t="inlineStr">
        <is>
          <t>PH0004977</t>
        </is>
      </c>
      <c r="E1981" s="26" t="inlineStr">
        <is>
          <t>IV-A</t>
        </is>
      </c>
      <c r="F1981" s="26" t="inlineStr">
        <is>
          <t>Cavite</t>
        </is>
      </c>
      <c r="G1981" s="26" t="inlineStr">
        <is>
          <t>Cavite City</t>
        </is>
      </c>
      <c r="H1981" s="26" t="inlineStr">
        <is>
          <t>Barangay 40</t>
        </is>
      </c>
      <c r="I1981" s="27" t="n">
        <v>14.504079</v>
      </c>
      <c r="J1981" s="27" t="n">
        <v>120.958239</v>
      </c>
      <c r="K1981" s="10" t="inlineStr">
        <is>
          <t>R</t>
        </is>
      </c>
      <c r="L1981" s="12" t="n">
        <v>2316</v>
      </c>
      <c r="M1981" s="14" t="n">
        <v>3.4</v>
      </c>
      <c r="N1981" s="12">
        <f>ROUND(L1981/M1981, 0)</f>
        <v/>
      </c>
      <c r="O1981" s="12">
        <f>ROUND(N1981*'Methodology &amp; Assumptions'!$B$5, 0)</f>
        <v/>
      </c>
      <c r="P1981" s="10" t="inlineStr">
        <is>
          <t>Single Carrier (Band n50, 100MHz TDD)</t>
        </is>
      </c>
      <c r="Q1981" s="13">
        <f>ROUNDUP(O1981/'Methodology &amp; Assumptions'!$B$6, 0)</f>
        <v/>
      </c>
      <c r="R1981" s="13" t="n">
        <v>1</v>
      </c>
      <c r="S1981" s="14" t="n">
        <v>3.52</v>
      </c>
      <c r="T1981" s="14" t="n">
        <v>3.45</v>
      </c>
      <c r="U1981" s="26">
        <f>IF(X1981&gt;='Methodology &amp; Assumptions'!$B$7, "Tier 1 Critical GIDA (Score ≥ 50.0)", IF(X1981&gt;='Methodology &amp; Assumptions'!$B$8, "Tier 2 High GIDA (Score 40.0–49.9)", "Tier 3 Moderate GIDA (Score &lt; 40.0)"))</f>
        <v/>
      </c>
      <c r="V1981" s="26">
        <f>IF(S1981&lt;='Methodology &amp; Assumptions'!$B$10, "Direct Optical Drop (&lt;3km)", IF(S1981&lt;='Methodology &amp; Assumptions'!$B$9, "Near Optical / Microwave (&lt;5km)", "Starlink Business LEO Satellite Backhaul (&gt;5km)"))</f>
        <v/>
      </c>
      <c r="W1981" s="28" t="n">
        <v>0.07200000000000001</v>
      </c>
      <c r="X1981" s="14" t="n">
        <v>41.32</v>
      </c>
      <c r="Y1981" s="14">
        <f>ROUND(MIN(100, (X1981/69.91)*100), 2)</f>
        <v/>
      </c>
    </row>
    <row r="1982">
      <c r="A1982" s="10" t="n">
        <v>5</v>
      </c>
      <c r="B1982" s="10" t="n">
        <v>978</v>
      </c>
      <c r="C1982" s="10" t="n">
        <v>4978</v>
      </c>
      <c r="D1982" s="10" t="inlineStr">
        <is>
          <t>1908804004</t>
        </is>
      </c>
      <c r="E1982" s="26" t="inlineStr">
        <is>
          <t>Bangsamoro Autonomous Region In Muslim Mindanao (BARMM)</t>
        </is>
      </c>
      <c r="F1982" s="26" t="inlineStr">
        <is>
          <t>Maguindanao del Sur</t>
        </is>
      </c>
      <c r="G1982" s="26" t="inlineStr">
        <is>
          <t>Datu Anggal Midtimbang</t>
        </is>
      </c>
      <c r="H1982" s="26" t="inlineStr">
        <is>
          <t>Midtimbang</t>
        </is>
      </c>
      <c r="I1982" s="27" t="n">
        <v>17.255192</v>
      </c>
      <c r="J1982" s="27" t="n">
        <v>122.229236</v>
      </c>
      <c r="K1982" s="10" t="inlineStr">
        <is>
          <t>R</t>
        </is>
      </c>
      <c r="L1982" s="12" t="n">
        <v>4384</v>
      </c>
      <c r="M1982" s="14" t="n">
        <v>4.7</v>
      </c>
      <c r="N1982" s="12">
        <f>ROUND(L1982/M1982, 0)</f>
        <v/>
      </c>
      <c r="O1982" s="12">
        <f>ROUND(N1982*'Methodology &amp; Assumptions'!$B$5, 0)</f>
        <v/>
      </c>
      <c r="P1982" s="10" t="inlineStr">
        <is>
          <t>Single Carrier (Band n50, 100MHz TDD)</t>
        </is>
      </c>
      <c r="Q1982" s="13">
        <f>ROUNDUP(O1982/'Methodology &amp; Assumptions'!$B$6, 0)</f>
        <v/>
      </c>
      <c r="R1982" s="13" t="n">
        <v>1</v>
      </c>
      <c r="S1982" s="14" t="n">
        <v>29.47</v>
      </c>
      <c r="T1982" s="14" t="n">
        <v>34.34</v>
      </c>
      <c r="U1982" s="26">
        <f>IF(X1982&gt;='Methodology &amp; Assumptions'!$B$7, "Tier 1 Critical GIDA (Score ≥ 50.0)", IF(X1982&gt;='Methodology &amp; Assumptions'!$B$8, "Tier 2 High GIDA (Score 40.0–49.9)", "Tier 3 Moderate GIDA (Score &lt; 40.0)"))</f>
        <v/>
      </c>
      <c r="V1982" s="26">
        <f>IF(S1982&lt;='Methodology &amp; Assumptions'!$B$10, "Direct Optical Drop (&lt;3km)", IF(S1982&lt;='Methodology &amp; Assumptions'!$B$9, "Near Optical / Microwave (&lt;5km)", "Starlink Business LEO Satellite Backhaul (&gt;5km)"))</f>
        <v/>
      </c>
      <c r="W1982" s="28" t="n">
        <v>0.11</v>
      </c>
      <c r="X1982" s="14" t="n">
        <v>41.32</v>
      </c>
      <c r="Y1982" s="14">
        <f>ROUND(MIN(100, (X1982/69.91)*100), 2)</f>
        <v/>
      </c>
    </row>
    <row r="1983">
      <c r="A1983" s="10" t="n">
        <v>5</v>
      </c>
      <c r="B1983" s="10" t="n">
        <v>979</v>
      </c>
      <c r="C1983" s="10" t="n">
        <v>4979</v>
      </c>
      <c r="D1983" s="10" t="inlineStr">
        <is>
          <t>1606804005</t>
        </is>
      </c>
      <c r="E1983" s="26" t="inlineStr">
        <is>
          <t>Region XIII (Caraga)</t>
        </is>
      </c>
      <c r="F1983" s="26" t="inlineStr">
        <is>
          <t>Surigao del Sur</t>
        </is>
      </c>
      <c r="G1983" s="26" t="inlineStr">
        <is>
          <t>Cagwait</t>
        </is>
      </c>
      <c r="H1983" s="26" t="inlineStr">
        <is>
          <t>Tawagan</t>
        </is>
      </c>
      <c r="I1983" s="27" t="n">
        <v>8.916709000000001</v>
      </c>
      <c r="J1983" s="27" t="n">
        <v>126.300389</v>
      </c>
      <c r="K1983" s="10" t="inlineStr">
        <is>
          <t>R</t>
        </is>
      </c>
      <c r="L1983" s="12" t="n">
        <v>568</v>
      </c>
      <c r="M1983" s="14" t="n">
        <v>4.1</v>
      </c>
      <c r="N1983" s="12">
        <f>ROUND(L1983/M1983, 0)</f>
        <v/>
      </c>
      <c r="O1983" s="12">
        <f>ROUND(N1983*'Methodology &amp; Assumptions'!$B$5, 0)</f>
        <v/>
      </c>
      <c r="P1983" s="10" t="inlineStr">
        <is>
          <t>Single Carrier (Band n50, 100MHz TDD)</t>
        </is>
      </c>
      <c r="Q1983" s="13">
        <f>ROUNDUP(O1983/'Methodology &amp; Assumptions'!$B$6, 0)</f>
        <v/>
      </c>
      <c r="R1983" s="13" t="n">
        <v>1</v>
      </c>
      <c r="S1983" s="14" t="n">
        <v>21.11</v>
      </c>
      <c r="T1983" s="14" t="n">
        <v>0.54</v>
      </c>
      <c r="U1983" s="26">
        <f>IF(X1983&gt;='Methodology &amp; Assumptions'!$B$7, "Tier 1 Critical GIDA (Score ≥ 50.0)", IF(X1983&gt;='Methodology &amp; Assumptions'!$B$8, "Tier 2 High GIDA (Score 40.0–49.9)", "Tier 3 Moderate GIDA (Score &lt; 40.0)"))</f>
        <v/>
      </c>
      <c r="V1983" s="26">
        <f>IF(S1983&lt;='Methodology &amp; Assumptions'!$B$10, "Direct Optical Drop (&lt;3km)", IF(S1983&lt;='Methodology &amp; Assumptions'!$B$9, "Near Optical / Microwave (&lt;5km)", "Starlink Business LEO Satellite Backhaul (&gt;5km)"))</f>
        <v/>
      </c>
      <c r="W1983" s="28" t="n">
        <v>0.174</v>
      </c>
      <c r="X1983" s="14" t="n">
        <v>41.32</v>
      </c>
      <c r="Y1983" s="14">
        <f>ROUND(MIN(100, (X1983/69.91)*100), 2)</f>
        <v/>
      </c>
    </row>
    <row r="1984">
      <c r="A1984" s="10" t="n">
        <v>5</v>
      </c>
      <c r="B1984" s="10" t="n">
        <v>980</v>
      </c>
      <c r="C1984" s="10" t="n">
        <v>4980</v>
      </c>
      <c r="D1984" s="10" t="inlineStr">
        <is>
          <t>0504103014</t>
        </is>
      </c>
      <c r="E1984" s="26" t="inlineStr">
        <is>
          <t>Region V (Bicol Region)</t>
        </is>
      </c>
      <c r="F1984" s="26" t="inlineStr">
        <is>
          <t>Masbate</t>
        </is>
      </c>
      <c r="G1984" s="26" t="inlineStr">
        <is>
          <t>Balud</t>
        </is>
      </c>
      <c r="H1984" s="26" t="inlineStr">
        <is>
          <t>Mapitogo</t>
        </is>
      </c>
      <c r="I1984" s="27" t="n">
        <v>12.075996</v>
      </c>
      <c r="J1984" s="27" t="n">
        <v>123.286593</v>
      </c>
      <c r="K1984" s="10" t="inlineStr">
        <is>
          <t>R</t>
        </is>
      </c>
      <c r="L1984" s="12" t="n">
        <v>425</v>
      </c>
      <c r="M1984" s="14" t="n">
        <v>4.1</v>
      </c>
      <c r="N1984" s="12">
        <f>ROUND(L1984/M1984, 0)</f>
        <v/>
      </c>
      <c r="O1984" s="12">
        <f>ROUND(N1984*'Methodology &amp; Assumptions'!$B$5, 0)</f>
        <v/>
      </c>
      <c r="P1984" s="10" t="inlineStr">
        <is>
          <t>Single Carrier (Band n50, 100MHz TDD)</t>
        </is>
      </c>
      <c r="Q1984" s="13">
        <f>ROUNDUP(O1984/'Methodology &amp; Assumptions'!$B$6, 0)</f>
        <v/>
      </c>
      <c r="R1984" s="13" t="n">
        <v>1</v>
      </c>
      <c r="S1984" s="14" t="n">
        <v>5.13</v>
      </c>
      <c r="T1984" s="14" t="n">
        <v>10.48</v>
      </c>
      <c r="U1984" s="26">
        <f>IF(X1984&gt;='Methodology &amp; Assumptions'!$B$7, "Tier 1 Critical GIDA (Score ≥ 50.0)", IF(X1984&gt;='Methodology &amp; Assumptions'!$B$8, "Tier 2 High GIDA (Score 40.0–49.9)", "Tier 3 Moderate GIDA (Score &lt; 40.0)"))</f>
        <v/>
      </c>
      <c r="V1984" s="26">
        <f>IF(S1984&lt;='Methodology &amp; Assumptions'!$B$10, "Direct Optical Drop (&lt;3km)", IF(S1984&lt;='Methodology &amp; Assumptions'!$B$9, "Near Optical / Microwave (&lt;5km)", "Starlink Business LEO Satellite Backhaul (&gt;5km)"))</f>
        <v/>
      </c>
      <c r="W1984" s="28" t="n">
        <v>0.237</v>
      </c>
      <c r="X1984" s="14" t="n">
        <v>41.32</v>
      </c>
      <c r="Y1984" s="14">
        <f>ROUND(MIN(100, (X1984/69.91)*100), 2)</f>
        <v/>
      </c>
    </row>
    <row r="1985">
      <c r="A1985" s="10" t="n">
        <v>5</v>
      </c>
      <c r="B1985" s="10" t="n">
        <v>981</v>
      </c>
      <c r="C1985" s="10" t="n">
        <v>4981</v>
      </c>
      <c r="D1985" s="10" t="inlineStr">
        <is>
          <t>0402103026</t>
        </is>
      </c>
      <c r="E1985" s="26" t="inlineStr">
        <is>
          <t>Region IV-A (CALABARZON)</t>
        </is>
      </c>
      <c r="F1985" s="26" t="inlineStr">
        <is>
          <t>Cavite</t>
        </is>
      </c>
      <c r="G1985" s="26" t="inlineStr">
        <is>
          <t>City of Bacoor</t>
        </is>
      </c>
      <c r="H1985" s="26" t="inlineStr">
        <is>
          <t>Queens Row Central</t>
        </is>
      </c>
      <c r="I1985" s="27" t="n">
        <v>14.266615</v>
      </c>
      <c r="J1985" s="27" t="n">
        <v>121.082877</v>
      </c>
      <c r="K1985" s="10" t="inlineStr">
        <is>
          <t>U</t>
        </is>
      </c>
      <c r="L1985" s="12" t="n">
        <v>6419</v>
      </c>
      <c r="M1985" s="14" t="n">
        <v>3.4</v>
      </c>
      <c r="N1985" s="12">
        <f>ROUND(L1985/M1985, 0)</f>
        <v/>
      </c>
      <c r="O1985" s="12">
        <f>ROUND(N1985*'Methodology &amp; Assumptions'!$B$5, 0)</f>
        <v/>
      </c>
      <c r="P1985" s="10" t="inlineStr">
        <is>
          <t>Single Carrier (Band n50, 100MHz TDD)</t>
        </is>
      </c>
      <c r="Q1985" s="13">
        <f>ROUNDUP(O1985/'Methodology &amp; Assumptions'!$B$6, 0)</f>
        <v/>
      </c>
      <c r="R1985" s="13" t="n">
        <v>1</v>
      </c>
      <c r="S1985" s="14" t="n">
        <v>1.07</v>
      </c>
      <c r="T1985" s="14" t="n">
        <v>0.39</v>
      </c>
      <c r="U1985" s="26">
        <f>IF(X1985&gt;='Methodology &amp; Assumptions'!$B$7, "Tier 1 Critical GIDA (Score ≥ 50.0)", IF(X1985&gt;='Methodology &amp; Assumptions'!$B$8, "Tier 2 High GIDA (Score 40.0–49.9)", "Tier 3 Moderate GIDA (Score &lt; 40.0)"))</f>
        <v/>
      </c>
      <c r="V1985" s="26">
        <f>IF(S1985&lt;='Methodology &amp; Assumptions'!$B$10, "Direct Optical Drop (&lt;3km)", IF(S1985&lt;='Methodology &amp; Assumptions'!$B$9, "Near Optical / Microwave (&lt;5km)", "Starlink Business LEO Satellite Backhaul (&gt;5km)"))</f>
        <v/>
      </c>
      <c r="W1985" s="28" t="n">
        <v>0.07200000000000001</v>
      </c>
      <c r="X1985" s="14" t="n">
        <v>41.31</v>
      </c>
      <c r="Y1985" s="14">
        <f>ROUND(MIN(100, (X1985/69.91)*100), 2)</f>
        <v/>
      </c>
    </row>
    <row r="1986">
      <c r="A1986" s="10" t="n">
        <v>5</v>
      </c>
      <c r="B1986" s="10" t="n">
        <v>982</v>
      </c>
      <c r="C1986" s="10" t="n">
        <v>4982</v>
      </c>
      <c r="D1986" s="10" t="inlineStr">
        <is>
          <t>0600402009</t>
        </is>
      </c>
      <c r="E1986" s="26" t="inlineStr">
        <is>
          <t>Region VI (Western Visayas)</t>
        </is>
      </c>
      <c r="F1986" s="26" t="inlineStr">
        <is>
          <t>Aklan</t>
        </is>
      </c>
      <c r="G1986" s="26" t="inlineStr">
        <is>
          <t>Balete</t>
        </is>
      </c>
      <c r="H1986" s="26" t="inlineStr">
        <is>
          <t>Morales</t>
        </is>
      </c>
      <c r="I1986" s="27" t="n">
        <v>11.5452</v>
      </c>
      <c r="J1986" s="27" t="n">
        <v>122.3735</v>
      </c>
      <c r="K1986" s="10" t="inlineStr">
        <is>
          <t>R</t>
        </is>
      </c>
      <c r="L1986" s="12" t="n">
        <v>3496</v>
      </c>
      <c r="M1986" s="14" t="n">
        <v>3.9</v>
      </c>
      <c r="N1986" s="12">
        <f>ROUND(L1986/M1986, 0)</f>
        <v/>
      </c>
      <c r="O1986" s="12">
        <f>ROUND(N1986*'Methodology &amp; Assumptions'!$B$5, 0)</f>
        <v/>
      </c>
      <c r="P1986" s="10" t="inlineStr">
        <is>
          <t>Single Carrier (Band n50, 100MHz TDD)</t>
        </is>
      </c>
      <c r="Q1986" s="13">
        <f>ROUNDUP(O1986/'Methodology &amp; Assumptions'!$B$6, 0)</f>
        <v/>
      </c>
      <c r="R1986" s="13" t="n">
        <v>1</v>
      </c>
      <c r="S1986" s="14" t="n">
        <v>1.35</v>
      </c>
      <c r="T1986" s="14" t="n">
        <v>1.21</v>
      </c>
      <c r="U1986" s="26">
        <f>IF(X1986&gt;='Methodology &amp; Assumptions'!$B$7, "Tier 1 Critical GIDA (Score ≥ 50.0)", IF(X1986&gt;='Methodology &amp; Assumptions'!$B$8, "Tier 2 High GIDA (Score 40.0–49.9)", "Tier 3 Moderate GIDA (Score &lt; 40.0)"))</f>
        <v/>
      </c>
      <c r="V1986" s="26">
        <f>IF(S1986&lt;='Methodology &amp; Assumptions'!$B$10, "Direct Optical Drop (&lt;3km)", IF(S1986&lt;='Methodology &amp; Assumptions'!$B$9, "Near Optical / Microwave (&lt;5km)", "Starlink Business LEO Satellite Backhaul (&gt;5km)"))</f>
        <v/>
      </c>
      <c r="W1986" s="28" t="n">
        <v>0.237</v>
      </c>
      <c r="X1986" s="14" t="n">
        <v>41.31</v>
      </c>
      <c r="Y1986" s="14">
        <f>ROUND(MIN(100, (X1986/69.91)*100), 2)</f>
        <v/>
      </c>
    </row>
    <row r="1987">
      <c r="A1987" s="10" t="n">
        <v>5</v>
      </c>
      <c r="B1987" s="10" t="n">
        <v>983</v>
      </c>
      <c r="C1987" s="10" t="n">
        <v>4983</v>
      </c>
      <c r="D1987" s="10" t="inlineStr">
        <is>
          <t>PH0004983</t>
        </is>
      </c>
      <c r="E1987" s="26" t="inlineStr">
        <is>
          <t>IV-A</t>
        </is>
      </c>
      <c r="F1987" s="26" t="inlineStr">
        <is>
          <t>Cavite</t>
        </is>
      </c>
      <c r="G1987" s="26" t="inlineStr">
        <is>
          <t>City of Bacoor</t>
        </is>
      </c>
      <c r="H1987" s="26" t="inlineStr">
        <is>
          <t>Zapote 2</t>
        </is>
      </c>
      <c r="I1987" s="27" t="n">
        <v>14.187108</v>
      </c>
      <c r="J1987" s="27" t="n">
        <v>120.74971</v>
      </c>
      <c r="K1987" s="10" t="inlineStr">
        <is>
          <t>R</t>
        </is>
      </c>
      <c r="L1987" s="12" t="n">
        <v>9584</v>
      </c>
      <c r="M1987" s="14" t="n">
        <v>3.4</v>
      </c>
      <c r="N1987" s="12">
        <f>ROUND(L1987/M1987, 0)</f>
        <v/>
      </c>
      <c r="O1987" s="12">
        <f>ROUND(N1987*'Methodology &amp; Assumptions'!$B$5, 0)</f>
        <v/>
      </c>
      <c r="P1987" s="10" t="inlineStr">
        <is>
          <t>Single Carrier (Band n50, 100MHz TDD)</t>
        </is>
      </c>
      <c r="Q1987" s="13">
        <f>ROUNDUP(O1987/'Methodology &amp; Assumptions'!$B$6, 0)</f>
        <v/>
      </c>
      <c r="R1987" s="13" t="n">
        <v>1</v>
      </c>
      <c r="S1987" s="14" t="n">
        <v>2.26</v>
      </c>
      <c r="T1987" s="14" t="n">
        <v>0.28</v>
      </c>
      <c r="U1987" s="26">
        <f>IF(X1987&gt;='Methodology &amp; Assumptions'!$B$7, "Tier 1 Critical GIDA (Score ≥ 50.0)", IF(X1987&gt;='Methodology &amp; Assumptions'!$B$8, "Tier 2 High GIDA (Score 40.0–49.9)", "Tier 3 Moderate GIDA (Score &lt; 40.0)"))</f>
        <v/>
      </c>
      <c r="V1987" s="26">
        <f>IF(S1987&lt;='Methodology &amp; Assumptions'!$B$10, "Direct Optical Drop (&lt;3km)", IF(S1987&lt;='Methodology &amp; Assumptions'!$B$9, "Near Optical / Microwave (&lt;5km)", "Starlink Business LEO Satellite Backhaul (&gt;5km)"))</f>
        <v/>
      </c>
      <c r="W1987" s="28" t="n">
        <v>0.07200000000000001</v>
      </c>
      <c r="X1987" s="14" t="n">
        <v>41.3</v>
      </c>
      <c r="Y1987" s="14">
        <f>ROUND(MIN(100, (X1987/69.91)*100), 2)</f>
        <v/>
      </c>
    </row>
    <row r="1988">
      <c r="A1988" s="10" t="n">
        <v>5</v>
      </c>
      <c r="B1988" s="10" t="n">
        <v>984</v>
      </c>
      <c r="C1988" s="10" t="n">
        <v>4984</v>
      </c>
      <c r="D1988" s="10" t="inlineStr">
        <is>
          <t>1400102004</t>
        </is>
      </c>
      <c r="E1988" s="26" t="inlineStr">
        <is>
          <t>Cordillera Administrative Region (CAR)</t>
        </is>
      </c>
      <c r="F1988" s="26" t="inlineStr">
        <is>
          <t>Abra</t>
        </is>
      </c>
      <c r="G1988" s="26" t="inlineStr">
        <is>
          <t>Boliney</t>
        </is>
      </c>
      <c r="H1988" s="26" t="inlineStr">
        <is>
          <t>Dao-angan</t>
        </is>
      </c>
      <c r="I1988" s="27" t="n">
        <v>17.374658</v>
      </c>
      <c r="J1988" s="27" t="n">
        <v>120.855927</v>
      </c>
      <c r="K1988" s="10" t="inlineStr">
        <is>
          <t>R</t>
        </is>
      </c>
      <c r="L1988" s="12" t="n">
        <v>439</v>
      </c>
      <c r="M1988" s="14" t="n">
        <v>3.8</v>
      </c>
      <c r="N1988" s="12">
        <f>ROUND(L1988/M1988, 0)</f>
        <v/>
      </c>
      <c r="O1988" s="12">
        <f>ROUND(N1988*'Methodology &amp; Assumptions'!$B$5, 0)</f>
        <v/>
      </c>
      <c r="P1988" s="10" t="inlineStr">
        <is>
          <t>Single Carrier (Band n50, 100MHz TDD)</t>
        </is>
      </c>
      <c r="Q1988" s="13">
        <f>ROUNDUP(O1988/'Methodology &amp; Assumptions'!$B$6, 0)</f>
        <v/>
      </c>
      <c r="R1988" s="13" t="n">
        <v>1</v>
      </c>
      <c r="S1988" s="14" t="n">
        <v>30.56</v>
      </c>
      <c r="T1988" s="14" t="n">
        <v>28.2</v>
      </c>
      <c r="U1988" s="26">
        <f>IF(X1988&gt;='Methodology &amp; Assumptions'!$B$7, "Tier 1 Critical GIDA (Score ≥ 50.0)", IF(X1988&gt;='Methodology &amp; Assumptions'!$B$8, "Tier 2 High GIDA (Score 40.0–49.9)", "Tier 3 Moderate GIDA (Score &lt; 40.0)"))</f>
        <v/>
      </c>
      <c r="V1988" s="26">
        <f>IF(S1988&lt;='Methodology &amp; Assumptions'!$B$10, "Direct Optical Drop (&lt;3km)", IF(S1988&lt;='Methodology &amp; Assumptions'!$B$9, "Near Optical / Microwave (&lt;5km)", "Starlink Business LEO Satellite Backhaul (&gt;5km)"))</f>
        <v/>
      </c>
      <c r="W1988" s="28" t="n">
        <v>0.109</v>
      </c>
      <c r="X1988" s="14" t="n">
        <v>41.29</v>
      </c>
      <c r="Y1988" s="14">
        <f>ROUND(MIN(100, (X1988/69.91)*100), 2)</f>
        <v/>
      </c>
    </row>
    <row r="1989">
      <c r="A1989" s="10" t="n">
        <v>5</v>
      </c>
      <c r="B1989" s="10" t="n">
        <v>985</v>
      </c>
      <c r="C1989" s="10" t="n">
        <v>4985</v>
      </c>
      <c r="D1989" s="10" t="inlineStr">
        <is>
          <t>1906607030</t>
        </is>
      </c>
      <c r="E1989" s="26" t="inlineStr">
        <is>
          <t>Bangsamoro Autonomous Region In Muslim Mindanao (BARMM)</t>
        </is>
      </c>
      <c r="F1989" s="26" t="inlineStr">
        <is>
          <t>Sulu</t>
        </is>
      </c>
      <c r="G1989" s="26" t="inlineStr">
        <is>
          <t>Old Panamao</t>
        </is>
      </c>
      <c r="H1989" s="26" t="inlineStr">
        <is>
          <t>Pugad Manaul</t>
        </is>
      </c>
      <c r="I1989" s="27" t="n">
        <v>17.255576</v>
      </c>
      <c r="J1989" s="27" t="n">
        <v>122.22962</v>
      </c>
      <c r="K1989" s="10" t="inlineStr">
        <is>
          <t>R</t>
        </is>
      </c>
      <c r="L1989" s="12" t="n">
        <v>1441</v>
      </c>
      <c r="M1989" s="14" t="n">
        <v>6</v>
      </c>
      <c r="N1989" s="12">
        <f>ROUND(L1989/M1989, 0)</f>
        <v/>
      </c>
      <c r="O1989" s="12">
        <f>ROUND(N1989*'Methodology &amp; Assumptions'!$B$5, 0)</f>
        <v/>
      </c>
      <c r="P1989" s="10" t="inlineStr">
        <is>
          <t>Single Carrier (Band n50, 100MHz TDD)</t>
        </is>
      </c>
      <c r="Q1989" s="13">
        <f>ROUNDUP(O1989/'Methodology &amp; Assumptions'!$B$6, 0)</f>
        <v/>
      </c>
      <c r="R1989" s="13" t="n">
        <v>1</v>
      </c>
      <c r="S1989" s="14" t="n">
        <v>29.53</v>
      </c>
      <c r="T1989" s="14" t="n">
        <v>34.4</v>
      </c>
      <c r="U1989" s="26">
        <f>IF(X1989&gt;='Methodology &amp; Assumptions'!$B$7, "Tier 1 Critical GIDA (Score ≥ 50.0)", IF(X1989&gt;='Methodology &amp; Assumptions'!$B$8, "Tier 2 High GIDA (Score 40.0–49.9)", "Tier 3 Moderate GIDA (Score &lt; 40.0)"))</f>
        <v/>
      </c>
      <c r="V1989" s="26">
        <f>IF(S1989&lt;='Methodology &amp; Assumptions'!$B$10, "Direct Optical Drop (&lt;3km)", IF(S1989&lt;='Methodology &amp; Assumptions'!$B$9, "Near Optical / Microwave (&lt;5km)", "Starlink Business LEO Satellite Backhaul (&gt;5km)"))</f>
        <v/>
      </c>
      <c r="W1989" s="28" t="n">
        <v>0.11</v>
      </c>
      <c r="X1989" s="14" t="n">
        <v>41.29</v>
      </c>
      <c r="Y1989" s="14">
        <f>ROUND(MIN(100, (X1989/69.91)*100), 2)</f>
        <v/>
      </c>
    </row>
    <row r="1990">
      <c r="A1990" s="10" t="n">
        <v>5</v>
      </c>
      <c r="B1990" s="10" t="n">
        <v>986</v>
      </c>
      <c r="C1990" s="10" t="n">
        <v>4986</v>
      </c>
      <c r="D1990" s="10" t="inlineStr">
        <is>
          <t>1381300115</t>
        </is>
      </c>
      <c r="E1990" s="26" t="inlineStr">
        <is>
          <t>National Capital Region (NCR)</t>
        </is>
      </c>
      <c r="F1990" s="26" t="inlineStr">
        <is>
          <t>Second District (Not a Province)</t>
        </is>
      </c>
      <c r="G1990" s="26" t="inlineStr">
        <is>
          <t>Quezon City</t>
        </is>
      </c>
      <c r="H1990" s="26" t="inlineStr">
        <is>
          <t>Socorro</t>
        </is>
      </c>
      <c r="I1990" s="27" t="n">
        <v>14.621364</v>
      </c>
      <c r="J1990" s="27" t="n">
        <v>121.05831</v>
      </c>
      <c r="K1990" s="10" t="inlineStr">
        <is>
          <t>U</t>
        </is>
      </c>
      <c r="L1990" s="12" t="n">
        <v>23160</v>
      </c>
      <c r="M1990" s="14" t="n">
        <v>3.8</v>
      </c>
      <c r="N1990" s="12">
        <f>ROUND(L1990/M1990, 0)</f>
        <v/>
      </c>
      <c r="O1990" s="12">
        <f>ROUND(N1990*'Methodology &amp; Assumptions'!$B$5, 0)</f>
        <v/>
      </c>
      <c r="P1990" s="10" t="inlineStr">
        <is>
          <t>Single Carrier (Band n50, 100MHz TDD)</t>
        </is>
      </c>
      <c r="Q1990" s="13">
        <f>ROUNDUP(O1990/'Methodology &amp; Assumptions'!$B$6, 0)</f>
        <v/>
      </c>
      <c r="R1990" s="13" t="n">
        <v>1</v>
      </c>
      <c r="S1990" s="14" t="n">
        <v>0.17</v>
      </c>
      <c r="T1990" s="14" t="n">
        <v>0.13</v>
      </c>
      <c r="U1990" s="26">
        <f>IF(X1990&gt;='Methodology &amp; Assumptions'!$B$7, "Tier 1 Critical GIDA (Score ≥ 50.0)", IF(X1990&gt;='Methodology &amp; Assumptions'!$B$8, "Tier 2 High GIDA (Score 40.0–49.9)", "Tier 3 Moderate GIDA (Score &lt; 40.0)"))</f>
        <v/>
      </c>
      <c r="V1990" s="26">
        <f>IF(S1990&lt;='Methodology &amp; Assumptions'!$B$10, "Direct Optical Drop (&lt;3km)", IF(S1990&lt;='Methodology &amp; Assumptions'!$B$9, "Near Optical / Microwave (&lt;5km)", "Starlink Business LEO Satellite Backhaul (&gt;5km)"))</f>
        <v/>
      </c>
      <c r="W1990" s="28" t="n">
        <v>0.109</v>
      </c>
      <c r="X1990" s="14" t="n">
        <v>41.29</v>
      </c>
      <c r="Y1990" s="14">
        <f>ROUND(MIN(100, (X1990/69.91)*100), 2)</f>
        <v/>
      </c>
    </row>
    <row r="1991">
      <c r="A1991" s="10" t="n">
        <v>5</v>
      </c>
      <c r="B1991" s="10" t="n">
        <v>987</v>
      </c>
      <c r="C1991" s="10" t="n">
        <v>4987</v>
      </c>
      <c r="D1991" s="10" t="inlineStr">
        <is>
          <t>0405647006</t>
        </is>
      </c>
      <c r="E1991" s="26" t="inlineStr">
        <is>
          <t>Region IV-A (CALABARZON)</t>
        </is>
      </c>
      <c r="F1991" s="26" t="inlineStr">
        <is>
          <t>Quezon</t>
        </is>
      </c>
      <c r="G1991" s="26" t="inlineStr">
        <is>
          <t>City of Tayabas</t>
        </is>
      </c>
      <c r="H1991" s="26" t="inlineStr">
        <is>
          <t>Angeles Zone IV</t>
        </is>
      </c>
      <c r="I1991" s="27" t="n">
        <v>14.025709</v>
      </c>
      <c r="J1991" s="27" t="n">
        <v>121.626788</v>
      </c>
      <c r="K1991" s="10" t="inlineStr">
        <is>
          <t>R</t>
        </is>
      </c>
      <c r="L1991" s="12" t="n">
        <v>919</v>
      </c>
      <c r="M1991" s="14" t="n">
        <v>3.8</v>
      </c>
      <c r="N1991" s="12">
        <f>ROUND(L1991/M1991, 0)</f>
        <v/>
      </c>
      <c r="O1991" s="12">
        <f>ROUND(N1991*'Methodology &amp; Assumptions'!$B$5, 0)</f>
        <v/>
      </c>
      <c r="P1991" s="10" t="inlineStr">
        <is>
          <t>Single Carrier (Band n50, 100MHz TDD)</t>
        </is>
      </c>
      <c r="Q1991" s="13">
        <f>ROUNDUP(O1991/'Methodology &amp; Assumptions'!$B$6, 0)</f>
        <v/>
      </c>
      <c r="R1991" s="13" t="n">
        <v>1</v>
      </c>
      <c r="S1991" s="14" t="n">
        <v>3.6</v>
      </c>
      <c r="T1991" s="14" t="n">
        <v>2.83</v>
      </c>
      <c r="U1991" s="26">
        <f>IF(X1991&gt;='Methodology &amp; Assumptions'!$B$7, "Tier 1 Critical GIDA (Score ≥ 50.0)", IF(X1991&gt;='Methodology &amp; Assumptions'!$B$8, "Tier 2 High GIDA (Score 40.0–49.9)", "Tier 3 Moderate GIDA (Score &lt; 40.0)"))</f>
        <v/>
      </c>
      <c r="V1991" s="26">
        <f>IF(S1991&lt;='Methodology &amp; Assumptions'!$B$10, "Direct Optical Drop (&lt;3km)", IF(S1991&lt;='Methodology &amp; Assumptions'!$B$9, "Near Optical / Microwave (&lt;5km)", "Starlink Business LEO Satellite Backhaul (&gt;5km)"))</f>
        <v/>
      </c>
      <c r="W1991" s="28" t="n">
        <v>0.07200000000000001</v>
      </c>
      <c r="X1991" s="14" t="n">
        <v>41.28</v>
      </c>
      <c r="Y1991" s="14">
        <f>ROUND(MIN(100, (X1991/69.91)*100), 2)</f>
        <v/>
      </c>
    </row>
    <row r="1992">
      <c r="A1992" s="10" t="n">
        <v>5</v>
      </c>
      <c r="B1992" s="10" t="n">
        <v>988</v>
      </c>
      <c r="C1992" s="10" t="n">
        <v>4988</v>
      </c>
      <c r="D1992" s="10" t="inlineStr">
        <is>
          <t>0907303018</t>
        </is>
      </c>
      <c r="E1992" s="26" t="inlineStr">
        <is>
          <t>Region IX (Zamboanga Peninsula)</t>
        </is>
      </c>
      <c r="F1992" s="26" t="inlineStr">
        <is>
          <t>Zamboanga del Sur</t>
        </is>
      </c>
      <c r="G1992" s="26" t="inlineStr">
        <is>
          <t>Bayog</t>
        </is>
      </c>
      <c r="H1992" s="26" t="inlineStr">
        <is>
          <t>Kanipaan</t>
        </is>
      </c>
      <c r="I1992" s="27" t="n">
        <v>7.883724</v>
      </c>
      <c r="J1992" s="27" t="n">
        <v>123.08604</v>
      </c>
      <c r="K1992" s="10" t="inlineStr">
        <is>
          <t>R</t>
        </is>
      </c>
      <c r="L1992" s="12" t="n">
        <v>670</v>
      </c>
      <c r="M1992" s="14" t="n">
        <v>3.9</v>
      </c>
      <c r="N1992" s="12">
        <f>ROUND(L1992/M1992, 0)</f>
        <v/>
      </c>
      <c r="O1992" s="12">
        <f>ROUND(N1992*'Methodology &amp; Assumptions'!$B$5, 0)</f>
        <v/>
      </c>
      <c r="P1992" s="10" t="inlineStr">
        <is>
          <t>Single Carrier (Band n50, 100MHz TDD)</t>
        </is>
      </c>
      <c r="Q1992" s="13">
        <f>ROUNDUP(O1992/'Methodology &amp; Assumptions'!$B$6, 0)</f>
        <v/>
      </c>
      <c r="R1992" s="13" t="n">
        <v>1</v>
      </c>
      <c r="S1992" s="14" t="n">
        <v>17.45</v>
      </c>
      <c r="T1992" s="14" t="n">
        <v>11.91</v>
      </c>
      <c r="U1992" s="26">
        <f>IF(X1992&gt;='Methodology &amp; Assumptions'!$B$7, "Tier 1 Critical GIDA (Score ≥ 50.0)", IF(X1992&gt;='Methodology &amp; Assumptions'!$B$8, "Tier 2 High GIDA (Score 40.0–49.9)", "Tier 3 Moderate GIDA (Score &lt; 40.0)"))</f>
        <v/>
      </c>
      <c r="V1992" s="26">
        <f>IF(S1992&lt;='Methodology &amp; Assumptions'!$B$10, "Direct Optical Drop (&lt;3km)", IF(S1992&lt;='Methodology &amp; Assumptions'!$B$9, "Near Optical / Microwave (&lt;5km)", "Starlink Business LEO Satellite Backhaul (&gt;5km)"))</f>
        <v/>
      </c>
      <c r="W1992" s="28" t="n">
        <v>0.11</v>
      </c>
      <c r="X1992" s="14" t="n">
        <v>41.28</v>
      </c>
      <c r="Y1992" s="14">
        <f>ROUND(MIN(100, (X1992/69.91)*100), 2)</f>
        <v/>
      </c>
    </row>
    <row r="1993">
      <c r="A1993" s="10" t="n">
        <v>5</v>
      </c>
      <c r="B1993" s="10" t="n">
        <v>989</v>
      </c>
      <c r="C1993" s="10" t="n">
        <v>4989</v>
      </c>
      <c r="D1993" s="10" t="inlineStr">
        <is>
          <t>PH0004989</t>
        </is>
      </c>
      <c r="E1993" s="26" t="inlineStr">
        <is>
          <t>IV-A</t>
        </is>
      </c>
      <c r="F1993" s="26" t="inlineStr">
        <is>
          <t>Cavite</t>
        </is>
      </c>
      <c r="G1993" s="26" t="inlineStr">
        <is>
          <t>Cavite City</t>
        </is>
      </c>
      <c r="H1993" s="26" t="inlineStr">
        <is>
          <t>Barangay 35</t>
        </is>
      </c>
      <c r="I1993" s="27" t="n">
        <v>14.41993</v>
      </c>
      <c r="J1993" s="27" t="n">
        <v>120.868183</v>
      </c>
      <c r="K1993" s="10" t="inlineStr">
        <is>
          <t>R</t>
        </is>
      </c>
      <c r="L1993" s="12" t="n">
        <v>2316</v>
      </c>
      <c r="M1993" s="14" t="n">
        <v>3.4</v>
      </c>
      <c r="N1993" s="12">
        <f>ROUND(L1993/M1993, 0)</f>
        <v/>
      </c>
      <c r="O1993" s="12">
        <f>ROUND(N1993*'Methodology &amp; Assumptions'!$B$5, 0)</f>
        <v/>
      </c>
      <c r="P1993" s="10" t="inlineStr">
        <is>
          <t>Single Carrier (Band n50, 100MHz TDD)</t>
        </is>
      </c>
      <c r="Q1993" s="13">
        <f>ROUNDUP(O1993/'Methodology &amp; Assumptions'!$B$6, 0)</f>
        <v/>
      </c>
      <c r="R1993" s="13" t="n">
        <v>1</v>
      </c>
      <c r="S1993" s="14" t="n">
        <v>1.92</v>
      </c>
      <c r="T1993" s="14" t="n">
        <v>1.41</v>
      </c>
      <c r="U1993" s="26">
        <f>IF(X1993&gt;='Methodology &amp; Assumptions'!$B$7, "Tier 1 Critical GIDA (Score ≥ 50.0)", IF(X1993&gt;='Methodology &amp; Assumptions'!$B$8, "Tier 2 High GIDA (Score 40.0–49.9)", "Tier 3 Moderate GIDA (Score &lt; 40.0)"))</f>
        <v/>
      </c>
      <c r="V1993" s="26">
        <f>IF(S1993&lt;='Methodology &amp; Assumptions'!$B$10, "Direct Optical Drop (&lt;3km)", IF(S1993&lt;='Methodology &amp; Assumptions'!$B$9, "Near Optical / Microwave (&lt;5km)", "Starlink Business LEO Satellite Backhaul (&gt;5km)"))</f>
        <v/>
      </c>
      <c r="W1993" s="28" t="n">
        <v>0.07200000000000001</v>
      </c>
      <c r="X1993" s="14" t="n">
        <v>41.28</v>
      </c>
      <c r="Y1993" s="14">
        <f>ROUND(MIN(100, (X1993/69.91)*100), 2)</f>
        <v/>
      </c>
    </row>
    <row r="1994">
      <c r="A1994" s="10" t="n">
        <v>5</v>
      </c>
      <c r="B1994" s="10" t="n">
        <v>990</v>
      </c>
      <c r="C1994" s="10" t="n">
        <v>4990</v>
      </c>
      <c r="D1994" s="10" t="inlineStr">
        <is>
          <t>PH0004990</t>
        </is>
      </c>
      <c r="E1994" s="26" t="inlineStr">
        <is>
          <t>IV-A</t>
        </is>
      </c>
      <c r="F1994" s="26" t="inlineStr">
        <is>
          <t>Cavite</t>
        </is>
      </c>
      <c r="G1994" s="26" t="inlineStr">
        <is>
          <t>Cavite City</t>
        </is>
      </c>
      <c r="H1994" s="26" t="inlineStr">
        <is>
          <t>Barangay 31</t>
        </is>
      </c>
      <c r="I1994" s="27" t="n">
        <v>14.54339</v>
      </c>
      <c r="J1994" s="27" t="n">
        <v>120.876034</v>
      </c>
      <c r="K1994" s="10" t="inlineStr">
        <is>
          <t>R</t>
        </is>
      </c>
      <c r="L1994" s="12" t="n">
        <v>2316</v>
      </c>
      <c r="M1994" s="14" t="n">
        <v>3.4</v>
      </c>
      <c r="N1994" s="12">
        <f>ROUND(L1994/M1994, 0)</f>
        <v/>
      </c>
      <c r="O1994" s="12">
        <f>ROUND(N1994*'Methodology &amp; Assumptions'!$B$5, 0)</f>
        <v/>
      </c>
      <c r="P1994" s="10" t="inlineStr">
        <is>
          <t>Single Carrier (Band n50, 100MHz TDD)</t>
        </is>
      </c>
      <c r="Q1994" s="13">
        <f>ROUNDUP(O1994/'Methodology &amp; Assumptions'!$B$6, 0)</f>
        <v/>
      </c>
      <c r="R1994" s="13" t="n">
        <v>1</v>
      </c>
      <c r="S1994" s="14" t="n">
        <v>7.73</v>
      </c>
      <c r="T1994" s="14" t="n">
        <v>11.51</v>
      </c>
      <c r="U1994" s="26">
        <f>IF(X1994&gt;='Methodology &amp; Assumptions'!$B$7, "Tier 1 Critical GIDA (Score ≥ 50.0)", IF(X1994&gt;='Methodology &amp; Assumptions'!$B$8, "Tier 2 High GIDA (Score 40.0–49.9)", "Tier 3 Moderate GIDA (Score &lt; 40.0)"))</f>
        <v/>
      </c>
      <c r="V1994" s="26">
        <f>IF(S1994&lt;='Methodology &amp; Assumptions'!$B$10, "Direct Optical Drop (&lt;3km)", IF(S1994&lt;='Methodology &amp; Assumptions'!$B$9, "Near Optical / Microwave (&lt;5km)", "Starlink Business LEO Satellite Backhaul (&gt;5km)"))</f>
        <v/>
      </c>
      <c r="W1994" s="28" t="n">
        <v>0.07200000000000001</v>
      </c>
      <c r="X1994" s="14" t="n">
        <v>41.28</v>
      </c>
      <c r="Y1994" s="14">
        <f>ROUND(MIN(100, (X1994/69.91)*100), 2)</f>
        <v/>
      </c>
    </row>
    <row r="1995">
      <c r="A1995" s="10" t="n">
        <v>5</v>
      </c>
      <c r="B1995" s="10" t="n">
        <v>991</v>
      </c>
      <c r="C1995" s="10" t="n">
        <v>4991</v>
      </c>
      <c r="D1995" s="10" t="inlineStr">
        <is>
          <t>1906617006</t>
        </is>
      </c>
      <c r="E1995" s="26" t="inlineStr">
        <is>
          <t>Bangsamoro Autonomous Region In Muslim Mindanao (BARMM)</t>
        </is>
      </c>
      <c r="F1995" s="26" t="inlineStr">
        <is>
          <t>Sulu</t>
        </is>
      </c>
      <c r="G1995" s="26" t="inlineStr">
        <is>
          <t>Lugus</t>
        </is>
      </c>
      <c r="H1995" s="26" t="inlineStr">
        <is>
          <t>Huwit-huwit Proper</t>
        </is>
      </c>
      <c r="I1995" s="27" t="n">
        <v>16.610151</v>
      </c>
      <c r="J1995" s="27" t="n">
        <v>122.156741</v>
      </c>
      <c r="K1995" s="10" t="inlineStr">
        <is>
          <t>R</t>
        </is>
      </c>
      <c r="L1995" s="12" t="n">
        <v>722</v>
      </c>
      <c r="M1995" s="14" t="n">
        <v>6</v>
      </c>
      <c r="N1995" s="12">
        <f>ROUND(L1995/M1995, 0)</f>
        <v/>
      </c>
      <c r="O1995" s="12">
        <f>ROUND(N1995*'Methodology &amp; Assumptions'!$B$5, 0)</f>
        <v/>
      </c>
      <c r="P1995" s="10" t="inlineStr">
        <is>
          <t>Single Carrier (Band n50, 100MHz TDD)</t>
        </is>
      </c>
      <c r="Q1995" s="13">
        <f>ROUNDUP(O1995/'Methodology &amp; Assumptions'!$B$6, 0)</f>
        <v/>
      </c>
      <c r="R1995" s="13" t="n">
        <v>1</v>
      </c>
      <c r="S1995" s="14" t="n">
        <v>14.8</v>
      </c>
      <c r="T1995" s="14" t="n">
        <v>14.07</v>
      </c>
      <c r="U1995" s="26">
        <f>IF(X1995&gt;='Methodology &amp; Assumptions'!$B$7, "Tier 1 Critical GIDA (Score ≥ 50.0)", IF(X1995&gt;='Methodology &amp; Assumptions'!$B$8, "Tier 2 High GIDA (Score 40.0–49.9)", "Tier 3 Moderate GIDA (Score &lt; 40.0)"))</f>
        <v/>
      </c>
      <c r="V1995" s="26">
        <f>IF(S1995&lt;='Methodology &amp; Assumptions'!$B$10, "Direct Optical Drop (&lt;3km)", IF(S1995&lt;='Methodology &amp; Assumptions'!$B$9, "Near Optical / Microwave (&lt;5km)", "Starlink Business LEO Satellite Backhaul (&gt;5km)"))</f>
        <v/>
      </c>
      <c r="W1995" s="28" t="n">
        <v>0.11</v>
      </c>
      <c r="X1995" s="14" t="n">
        <v>41.28</v>
      </c>
      <c r="Y1995" s="14">
        <f>ROUND(MIN(100, (X1995/69.91)*100), 2)</f>
        <v/>
      </c>
    </row>
    <row r="1996">
      <c r="A1996" s="10" t="n">
        <v>5</v>
      </c>
      <c r="B1996" s="10" t="n">
        <v>992</v>
      </c>
      <c r="C1996" s="10" t="n">
        <v>4992</v>
      </c>
      <c r="D1996" s="10" t="inlineStr">
        <is>
          <t>0600601008</t>
        </is>
      </c>
      <c r="E1996" s="26" t="inlineStr">
        <is>
          <t>Region VI (Western Visayas)</t>
        </is>
      </c>
      <c r="F1996" s="26" t="inlineStr">
        <is>
          <t>Antique</t>
        </is>
      </c>
      <c r="G1996" s="26" t="inlineStr">
        <is>
          <t>Anini-Y</t>
        </is>
      </c>
      <c r="H1996" s="26" t="inlineStr">
        <is>
          <t>Igbarabatuan</t>
        </is>
      </c>
      <c r="I1996" s="27" t="n">
        <v>10.450717</v>
      </c>
      <c r="J1996" s="27" t="n">
        <v>121.973625</v>
      </c>
      <c r="K1996" s="10" t="inlineStr">
        <is>
          <t>R</t>
        </is>
      </c>
      <c r="L1996" s="12" t="n">
        <v>346</v>
      </c>
      <c r="M1996" s="14" t="n">
        <v>3.9</v>
      </c>
      <c r="N1996" s="12">
        <f>ROUND(L1996/M1996, 0)</f>
        <v/>
      </c>
      <c r="O1996" s="12">
        <f>ROUND(N1996*'Methodology &amp; Assumptions'!$B$5, 0)</f>
        <v/>
      </c>
      <c r="P1996" s="10" t="inlineStr">
        <is>
          <t>Single Carrier (Band n50, 100MHz TDD)</t>
        </is>
      </c>
      <c r="Q1996" s="13">
        <f>ROUNDUP(O1996/'Methodology &amp; Assumptions'!$B$6, 0)</f>
        <v/>
      </c>
      <c r="R1996" s="13" t="n">
        <v>1</v>
      </c>
      <c r="S1996" s="14" t="n">
        <v>34.87</v>
      </c>
      <c r="T1996" s="14" t="n">
        <v>14.82</v>
      </c>
      <c r="U1996" s="26">
        <f>IF(X1996&gt;='Methodology &amp; Assumptions'!$B$7, "Tier 1 Critical GIDA (Score ≥ 50.0)", IF(X1996&gt;='Methodology &amp; Assumptions'!$B$8, "Tier 2 High GIDA (Score 40.0–49.9)", "Tier 3 Moderate GIDA (Score &lt; 40.0)"))</f>
        <v/>
      </c>
      <c r="V1996" s="26">
        <f>IF(S1996&lt;='Methodology &amp; Assumptions'!$B$10, "Direct Optical Drop (&lt;3km)", IF(S1996&lt;='Methodology &amp; Assumptions'!$B$9, "Near Optical / Microwave (&lt;5km)", "Starlink Business LEO Satellite Backhaul (&gt;5km)"))</f>
        <v/>
      </c>
      <c r="W1996" s="28" t="n">
        <v>0.237</v>
      </c>
      <c r="X1996" s="14" t="n">
        <v>41.27</v>
      </c>
      <c r="Y1996" s="14">
        <f>ROUND(MIN(100, (X1996/69.91)*100), 2)</f>
        <v/>
      </c>
    </row>
    <row r="1997">
      <c r="A1997" s="10" t="n">
        <v>5</v>
      </c>
      <c r="B1997" s="10" t="n">
        <v>993</v>
      </c>
      <c r="C1997" s="10" t="n">
        <v>4993</v>
      </c>
      <c r="D1997" s="10" t="inlineStr">
        <is>
          <t>1903638004</t>
        </is>
      </c>
      <c r="E1997" s="26" t="inlineStr">
        <is>
          <t>Bangsamoro Autonomous Region In Muslim Mindanao (BARMM)</t>
        </is>
      </c>
      <c r="F1997" s="26" t="inlineStr">
        <is>
          <t>Lanao del Sur</t>
        </is>
      </c>
      <c r="G1997" s="26" t="inlineStr">
        <is>
          <t>Tagoloan Ii</t>
        </is>
      </c>
      <c r="H1997" s="26" t="inlineStr">
        <is>
          <t>Bayog</t>
        </is>
      </c>
      <c r="I1997" s="27" t="n">
        <v>17.259958</v>
      </c>
      <c r="J1997" s="27" t="n">
        <v>122.246876</v>
      </c>
      <c r="K1997" s="10" t="inlineStr">
        <is>
          <t>R</t>
        </is>
      </c>
      <c r="L1997" s="12" t="n">
        <v>629</v>
      </c>
      <c r="M1997" s="14" t="n">
        <v>5.7</v>
      </c>
      <c r="N1997" s="12">
        <f>ROUND(L1997/M1997, 0)</f>
        <v/>
      </c>
      <c r="O1997" s="12">
        <f>ROUND(N1997*'Methodology &amp; Assumptions'!$B$5, 0)</f>
        <v/>
      </c>
      <c r="P1997" s="10" t="inlineStr">
        <is>
          <t>Single Carrier (Band n50, 100MHz TDD)</t>
        </is>
      </c>
      <c r="Q1997" s="13">
        <f>ROUNDUP(O1997/'Methodology &amp; Assumptions'!$B$6, 0)</f>
        <v/>
      </c>
      <c r="R1997" s="13" t="n">
        <v>1</v>
      </c>
      <c r="S1997" s="14" t="n">
        <v>31.26</v>
      </c>
      <c r="T1997" s="14" t="n">
        <v>36.29</v>
      </c>
      <c r="U1997" s="26">
        <f>IF(X1997&gt;='Methodology &amp; Assumptions'!$B$7, "Tier 1 Critical GIDA (Score ≥ 50.0)", IF(X1997&gt;='Methodology &amp; Assumptions'!$B$8, "Tier 2 High GIDA (Score 40.0–49.9)", "Tier 3 Moderate GIDA (Score &lt; 40.0)"))</f>
        <v/>
      </c>
      <c r="V1997" s="26">
        <f>IF(S1997&lt;='Methodology &amp; Assumptions'!$B$10, "Direct Optical Drop (&lt;3km)", IF(S1997&lt;='Methodology &amp; Assumptions'!$B$9, "Near Optical / Microwave (&lt;5km)", "Starlink Business LEO Satellite Backhaul (&gt;5km)"))</f>
        <v/>
      </c>
      <c r="W1997" s="28" t="n">
        <v>0.11</v>
      </c>
      <c r="X1997" s="14" t="n">
        <v>41.27</v>
      </c>
      <c r="Y1997" s="14">
        <f>ROUND(MIN(100, (X1997/69.91)*100), 2)</f>
        <v/>
      </c>
    </row>
    <row r="1998">
      <c r="A1998" s="10" t="n">
        <v>5</v>
      </c>
      <c r="B1998" s="10" t="n">
        <v>994</v>
      </c>
      <c r="C1998" s="10" t="n">
        <v>4994</v>
      </c>
      <c r="D1998" s="10" t="inlineStr">
        <is>
          <t>1908823007</t>
        </is>
      </c>
      <c r="E1998" s="26" t="inlineStr">
        <is>
          <t>Bangsamoro Autonomous Region In Muslim Mindanao (BARMM)</t>
        </is>
      </c>
      <c r="F1998" s="26" t="inlineStr">
        <is>
          <t>Maguindanao del Sur</t>
        </is>
      </c>
      <c r="G1998" s="26" t="inlineStr">
        <is>
          <t>Sultan Sa Barongis</t>
        </is>
      </c>
      <c r="H1998" s="26" t="inlineStr">
        <is>
          <t>Langgapanan</t>
        </is>
      </c>
      <c r="I1998" s="27" t="n">
        <v>17.255045</v>
      </c>
      <c r="J1998" s="27" t="n">
        <v>122.229089</v>
      </c>
      <c r="K1998" s="10" t="inlineStr">
        <is>
          <t>R</t>
        </is>
      </c>
      <c r="L1998" s="12" t="n">
        <v>836</v>
      </c>
      <c r="M1998" s="14" t="n">
        <v>4.7</v>
      </c>
      <c r="N1998" s="12">
        <f>ROUND(L1998/M1998, 0)</f>
        <v/>
      </c>
      <c r="O1998" s="12">
        <f>ROUND(N1998*'Methodology &amp; Assumptions'!$B$5, 0)</f>
        <v/>
      </c>
      <c r="P1998" s="10" t="inlineStr">
        <is>
          <t>Single Carrier (Band n50, 100MHz TDD)</t>
        </is>
      </c>
      <c r="Q1998" s="13">
        <f>ROUNDUP(O1998/'Methodology &amp; Assumptions'!$B$6, 0)</f>
        <v/>
      </c>
      <c r="R1998" s="13" t="n">
        <v>1</v>
      </c>
      <c r="S1998" s="14" t="n">
        <v>29.45</v>
      </c>
      <c r="T1998" s="14" t="n">
        <v>34.32</v>
      </c>
      <c r="U1998" s="26">
        <f>IF(X1998&gt;='Methodology &amp; Assumptions'!$B$7, "Tier 1 Critical GIDA (Score ≥ 50.0)", IF(X1998&gt;='Methodology &amp; Assumptions'!$B$8, "Tier 2 High GIDA (Score 40.0–49.9)", "Tier 3 Moderate GIDA (Score &lt; 40.0)"))</f>
        <v/>
      </c>
      <c r="V1998" s="26">
        <f>IF(S1998&lt;='Methodology &amp; Assumptions'!$B$10, "Direct Optical Drop (&lt;3km)", IF(S1998&lt;='Methodology &amp; Assumptions'!$B$9, "Near Optical / Microwave (&lt;5km)", "Starlink Business LEO Satellite Backhaul (&gt;5km)"))</f>
        <v/>
      </c>
      <c r="W1998" s="28" t="n">
        <v>0.11</v>
      </c>
      <c r="X1998" s="14" t="n">
        <v>41.27</v>
      </c>
      <c r="Y1998" s="14">
        <f>ROUND(MIN(100, (X1998/69.91)*100), 2)</f>
        <v/>
      </c>
    </row>
    <row r="1999">
      <c r="A1999" s="10" t="n">
        <v>5</v>
      </c>
      <c r="B1999" s="10" t="n">
        <v>995</v>
      </c>
      <c r="C1999" s="10" t="n">
        <v>4995</v>
      </c>
      <c r="D1999" s="10" t="inlineStr">
        <is>
          <t>1907002037</t>
        </is>
      </c>
      <c r="E1999" s="26" t="inlineStr">
        <is>
          <t>Bangsamoro Autonomous Region In Muslim Mindanao (BARMM)</t>
        </is>
      </c>
      <c r="F1999" s="26" t="inlineStr">
        <is>
          <t>Tawi-Tawi</t>
        </is>
      </c>
      <c r="G1999" s="26" t="inlineStr">
        <is>
          <t>Bongao</t>
        </is>
      </c>
      <c r="H1999" s="26" t="inlineStr">
        <is>
          <t>Tarawakan</t>
        </is>
      </c>
      <c r="I1999" s="27" t="n">
        <v>14.490497</v>
      </c>
      <c r="J1999" s="27" t="n">
        <v>121.66376</v>
      </c>
      <c r="K1999" s="10" t="inlineStr">
        <is>
          <t>R</t>
        </is>
      </c>
      <c r="L1999" s="12" t="n">
        <v>3238</v>
      </c>
      <c r="M1999" s="14" t="n">
        <v>5.8</v>
      </c>
      <c r="N1999" s="12">
        <f>ROUND(L1999/M1999, 0)</f>
        <v/>
      </c>
      <c r="O1999" s="12">
        <f>ROUND(N1999*'Methodology &amp; Assumptions'!$B$5, 0)</f>
        <v/>
      </c>
      <c r="P1999" s="10" t="inlineStr">
        <is>
          <t>Single Carrier (Band n50, 100MHz TDD)</t>
        </is>
      </c>
      <c r="Q1999" s="13">
        <f>ROUNDUP(O1999/'Methodology &amp; Assumptions'!$B$6, 0)</f>
        <v/>
      </c>
      <c r="R1999" s="13" t="n">
        <v>1</v>
      </c>
      <c r="S1999" s="14" t="n">
        <v>4.12</v>
      </c>
      <c r="T1999" s="14" t="n">
        <v>22.54</v>
      </c>
      <c r="U1999" s="26">
        <f>IF(X1999&gt;='Methodology &amp; Assumptions'!$B$7, "Tier 1 Critical GIDA (Score ≥ 50.0)", IF(X1999&gt;='Methodology &amp; Assumptions'!$B$8, "Tier 2 High GIDA (Score 40.0–49.9)", "Tier 3 Moderate GIDA (Score &lt; 40.0)"))</f>
        <v/>
      </c>
      <c r="V1999" s="26">
        <f>IF(S1999&lt;='Methodology &amp; Assumptions'!$B$10, "Direct Optical Drop (&lt;3km)", IF(S1999&lt;='Methodology &amp; Assumptions'!$B$9, "Near Optical / Microwave (&lt;5km)", "Starlink Business LEO Satellite Backhaul (&gt;5km)"))</f>
        <v/>
      </c>
      <c r="W1999" s="28" t="n">
        <v>0.11</v>
      </c>
      <c r="X1999" s="14" t="n">
        <v>41.27</v>
      </c>
      <c r="Y1999" s="14">
        <f>ROUND(MIN(100, (X1999/69.91)*100), 2)</f>
        <v/>
      </c>
    </row>
    <row r="2000">
      <c r="A2000" s="10" t="n">
        <v>5</v>
      </c>
      <c r="B2000" s="10" t="n">
        <v>996</v>
      </c>
      <c r="C2000" s="10" t="n">
        <v>4996</v>
      </c>
      <c r="D2000" s="10" t="inlineStr">
        <is>
          <t>0704622017</t>
        </is>
      </c>
      <c r="E2000" s="26" t="inlineStr">
        <is>
          <t>Region VII (Central Visayas)</t>
        </is>
      </c>
      <c r="F2000" s="26" t="inlineStr">
        <is>
          <t>Negros Oriental</t>
        </is>
      </c>
      <c r="G2000" s="26" t="inlineStr">
        <is>
          <t>Tayasan</t>
        </is>
      </c>
      <c r="H2000" s="26" t="inlineStr">
        <is>
          <t>Numnum</t>
        </is>
      </c>
      <c r="I2000" s="27" t="n">
        <v>9.899475000000001</v>
      </c>
      <c r="J2000" s="27" t="n">
        <v>123.126152</v>
      </c>
      <c r="K2000" s="10" t="inlineStr">
        <is>
          <t>R</t>
        </is>
      </c>
      <c r="L2000" s="12" t="n">
        <v>485</v>
      </c>
      <c r="M2000" s="14" t="n">
        <v>3.8</v>
      </c>
      <c r="N2000" s="12">
        <f>ROUND(L2000/M2000, 0)</f>
        <v/>
      </c>
      <c r="O2000" s="12">
        <f>ROUND(N2000*'Methodology &amp; Assumptions'!$B$5, 0)</f>
        <v/>
      </c>
      <c r="P2000" s="10" t="inlineStr">
        <is>
          <t>Single Carrier (Band n50, 100MHz TDD)</t>
        </is>
      </c>
      <c r="Q2000" s="13">
        <f>ROUNDUP(O2000/'Methodology &amp; Assumptions'!$B$6, 0)</f>
        <v/>
      </c>
      <c r="R2000" s="13" t="n">
        <v>1</v>
      </c>
      <c r="S2000" s="14" t="n">
        <v>28.73</v>
      </c>
      <c r="T2000" s="14" t="n">
        <v>2.32</v>
      </c>
      <c r="U2000" s="26">
        <f>IF(X2000&gt;='Methodology &amp; Assumptions'!$B$7, "Tier 1 Critical GIDA (Score ≥ 50.0)", IF(X2000&gt;='Methodology &amp; Assumptions'!$B$8, "Tier 2 High GIDA (Score 40.0–49.9)", "Tier 3 Moderate GIDA (Score &lt; 40.0)"))</f>
        <v/>
      </c>
      <c r="V2000" s="26">
        <f>IF(S2000&lt;='Methodology &amp; Assumptions'!$B$10, "Direct Optical Drop (&lt;3km)", IF(S2000&lt;='Methodology &amp; Assumptions'!$B$9, "Near Optical / Microwave (&lt;5km)", "Starlink Business LEO Satellite Backhaul (&gt;5km)"))</f>
        <v/>
      </c>
      <c r="W2000" s="28" t="n">
        <v>0.237</v>
      </c>
      <c r="X2000" s="14" t="n">
        <v>41.26</v>
      </c>
      <c r="Y2000" s="14">
        <f>ROUND(MIN(100, (X2000/69.91)*100), 2)</f>
        <v/>
      </c>
    </row>
    <row r="2001">
      <c r="A2001" s="10" t="n">
        <v>5</v>
      </c>
      <c r="B2001" s="10" t="n">
        <v>997</v>
      </c>
      <c r="C2001" s="10" t="n">
        <v>4997</v>
      </c>
      <c r="D2001" s="10" t="inlineStr">
        <is>
          <t>0405647051</t>
        </is>
      </c>
      <c r="E2001" s="26" t="inlineStr">
        <is>
          <t>Region IV-A (CALABARZON)</t>
        </is>
      </c>
      <c r="F2001" s="26" t="inlineStr">
        <is>
          <t>Quezon</t>
        </is>
      </c>
      <c r="G2001" s="26" t="inlineStr">
        <is>
          <t>City of Tayabas</t>
        </is>
      </c>
      <c r="H2001" s="26" t="inlineStr">
        <is>
          <t>San Diego Zone III</t>
        </is>
      </c>
      <c r="I2001" s="27" t="n">
        <v>14.003019</v>
      </c>
      <c r="J2001" s="27" t="n">
        <v>121.598455</v>
      </c>
      <c r="K2001" s="10" t="inlineStr">
        <is>
          <t>R</t>
        </is>
      </c>
      <c r="L2001" s="12" t="n">
        <v>260</v>
      </c>
      <c r="M2001" s="14" t="n">
        <v>3.8</v>
      </c>
      <c r="N2001" s="12">
        <f>ROUND(L2001/M2001, 0)</f>
        <v/>
      </c>
      <c r="O2001" s="12">
        <f>ROUND(N2001*'Methodology &amp; Assumptions'!$B$5, 0)</f>
        <v/>
      </c>
      <c r="P2001" s="10" t="inlineStr">
        <is>
          <t>Single Carrier (Band n50, 100MHz TDD)</t>
        </is>
      </c>
      <c r="Q2001" s="13">
        <f>ROUNDUP(O2001/'Methodology &amp; Assumptions'!$B$6, 0)</f>
        <v/>
      </c>
      <c r="R2001" s="13" t="n">
        <v>1</v>
      </c>
      <c r="S2001" s="14" t="n">
        <v>2.36</v>
      </c>
      <c r="T2001" s="14" t="n">
        <v>1.1</v>
      </c>
      <c r="U2001" s="26">
        <f>IF(X2001&gt;='Methodology &amp; Assumptions'!$B$7, "Tier 1 Critical GIDA (Score ≥ 50.0)", IF(X2001&gt;='Methodology &amp; Assumptions'!$B$8, "Tier 2 High GIDA (Score 40.0–49.9)", "Tier 3 Moderate GIDA (Score &lt; 40.0)"))</f>
        <v/>
      </c>
      <c r="V2001" s="26">
        <f>IF(S2001&lt;='Methodology &amp; Assumptions'!$B$10, "Direct Optical Drop (&lt;3km)", IF(S2001&lt;='Methodology &amp; Assumptions'!$B$9, "Near Optical / Microwave (&lt;5km)", "Starlink Business LEO Satellite Backhaul (&gt;5km)"))</f>
        <v/>
      </c>
      <c r="W2001" s="28" t="n">
        <v>0.07200000000000001</v>
      </c>
      <c r="X2001" s="14" t="n">
        <v>41.26</v>
      </c>
      <c r="Y2001" s="14">
        <f>ROUND(MIN(100, (X2001/69.91)*100), 2)</f>
        <v/>
      </c>
    </row>
    <row r="2002">
      <c r="A2002" s="10" t="n">
        <v>5</v>
      </c>
      <c r="B2002" s="10" t="n">
        <v>998</v>
      </c>
      <c r="C2002" s="10" t="n">
        <v>4998</v>
      </c>
      <c r="D2002" s="10" t="inlineStr">
        <is>
          <t>1704006004</t>
        </is>
      </c>
      <c r="E2002" s="26" t="inlineStr">
        <is>
          <t>MIMAROPA Region</t>
        </is>
      </c>
      <c r="F2002" s="26" t="inlineStr">
        <is>
          <t>Marinduque</t>
        </is>
      </c>
      <c r="G2002" s="26" t="inlineStr">
        <is>
          <t>Torrijos</t>
        </is>
      </c>
      <c r="H2002" s="26" t="inlineStr">
        <is>
          <t>Bonliw</t>
        </is>
      </c>
      <c r="I2002" s="27" t="n">
        <v>13.371957</v>
      </c>
      <c r="J2002" s="27" t="n">
        <v>122.115399</v>
      </c>
      <c r="K2002" s="10" t="inlineStr">
        <is>
          <t>R</t>
        </is>
      </c>
      <c r="L2002" s="12" t="n">
        <v>1212</v>
      </c>
      <c r="M2002" s="14" t="n">
        <v>3.8</v>
      </c>
      <c r="N2002" s="12">
        <f>ROUND(L2002/M2002, 0)</f>
        <v/>
      </c>
      <c r="O2002" s="12">
        <f>ROUND(N2002*'Methodology &amp; Assumptions'!$B$5, 0)</f>
        <v/>
      </c>
      <c r="P2002" s="10" t="inlineStr">
        <is>
          <t>Single Carrier (Band n50, 100MHz TDD)</t>
        </is>
      </c>
      <c r="Q2002" s="13">
        <f>ROUNDUP(O2002/'Methodology &amp; Assumptions'!$B$6, 0)</f>
        <v/>
      </c>
      <c r="R2002" s="13" t="n">
        <v>1</v>
      </c>
      <c r="S2002" s="14" t="n">
        <v>32.17</v>
      </c>
      <c r="T2002" s="14" t="n">
        <v>31.58</v>
      </c>
      <c r="U2002" s="26">
        <f>IF(X2002&gt;='Methodology &amp; Assumptions'!$B$7, "Tier 1 Critical GIDA (Score ≥ 50.0)", IF(X2002&gt;='Methodology &amp; Assumptions'!$B$8, "Tier 2 High GIDA (Score 40.0–49.9)", "Tier 3 Moderate GIDA (Score &lt; 40.0)"))</f>
        <v/>
      </c>
      <c r="V2002" s="26">
        <f>IF(S2002&lt;='Methodology &amp; Assumptions'!$B$10, "Direct Optical Drop (&lt;3km)", IF(S2002&lt;='Methodology &amp; Assumptions'!$B$9, "Near Optical / Microwave (&lt;5km)", "Starlink Business LEO Satellite Backhaul (&gt;5km)"))</f>
        <v/>
      </c>
      <c r="W2002" s="28" t="n">
        <v>0.15</v>
      </c>
      <c r="X2002" s="14" t="n">
        <v>41.26</v>
      </c>
      <c r="Y2002" s="14">
        <f>ROUND(MIN(100, (X2002/69.91)*100), 2)</f>
        <v/>
      </c>
    </row>
    <row r="2003">
      <c r="A2003" s="10" t="n">
        <v>5</v>
      </c>
      <c r="B2003" s="10" t="n">
        <v>999</v>
      </c>
      <c r="C2003" s="10" t="n">
        <v>4999</v>
      </c>
      <c r="D2003" s="10" t="inlineStr">
        <is>
          <t>1380613003</t>
        </is>
      </c>
      <c r="E2003" s="26" t="inlineStr">
        <is>
          <t>National Capital Region (NCR)</t>
        </is>
      </c>
      <c r="F2003" s="26" t="inlineStr">
        <is>
          <t>First District (Not a Province)</t>
        </is>
      </c>
      <c r="G2003" s="26" t="inlineStr">
        <is>
          <t>City of Manila</t>
        </is>
      </c>
      <c r="H2003" s="26" t="inlineStr">
        <is>
          <t>Barangay 651</t>
        </is>
      </c>
      <c r="I2003" s="27" t="n">
        <v>11.699712</v>
      </c>
      <c r="J2003" s="27" t="n">
        <v>122.338439</v>
      </c>
      <c r="K2003" s="10" t="inlineStr">
        <is>
          <t>U</t>
        </is>
      </c>
      <c r="L2003" s="12" t="n">
        <v>2634</v>
      </c>
      <c r="M2003" s="14" t="n">
        <v>3.9</v>
      </c>
      <c r="N2003" s="12">
        <f>ROUND(L2003/M2003, 0)</f>
        <v/>
      </c>
      <c r="O2003" s="12">
        <f>ROUND(N2003*'Methodology &amp; Assumptions'!$B$5, 0)</f>
        <v/>
      </c>
      <c r="P2003" s="10" t="inlineStr">
        <is>
          <t>Single Carrier (Band n50, 100MHz TDD)</t>
        </is>
      </c>
      <c r="Q2003" s="13">
        <f>ROUNDUP(O2003/'Methodology &amp; Assumptions'!$B$6, 0)</f>
        <v/>
      </c>
      <c r="R2003" s="13" t="n">
        <v>1</v>
      </c>
      <c r="S2003" s="14" t="n">
        <v>1.23</v>
      </c>
      <c r="T2003" s="14" t="n">
        <v>0.78</v>
      </c>
      <c r="U2003" s="26">
        <f>IF(X2003&gt;='Methodology &amp; Assumptions'!$B$7, "Tier 1 Critical GIDA (Score ≥ 50.0)", IF(X2003&gt;='Methodology &amp; Assumptions'!$B$8, "Tier 2 High GIDA (Score 40.0–49.9)", "Tier 3 Moderate GIDA (Score &lt; 40.0)"))</f>
        <v/>
      </c>
      <c r="V2003" s="26">
        <f>IF(S2003&lt;='Methodology &amp; Assumptions'!$B$10, "Direct Optical Drop (&lt;3km)", IF(S2003&lt;='Methodology &amp; Assumptions'!$B$9, "Near Optical / Microwave (&lt;5km)", "Starlink Business LEO Satellite Backhaul (&gt;5km)"))</f>
        <v/>
      </c>
      <c r="W2003" s="28" t="n">
        <v>0.109</v>
      </c>
      <c r="X2003" s="14" t="n">
        <v>41.25</v>
      </c>
      <c r="Y2003" s="14">
        <f>ROUND(MIN(100, (X2003/69.91)*100), 2)</f>
        <v/>
      </c>
    </row>
    <row r="2004">
      <c r="A2004" s="10" t="n">
        <v>5</v>
      </c>
      <c r="B2004" s="10" t="n">
        <v>1000</v>
      </c>
      <c r="C2004" s="10" t="n">
        <v>5000</v>
      </c>
      <c r="D2004" s="10" t="inlineStr">
        <is>
          <t>PH0005000</t>
        </is>
      </c>
      <c r="E2004" s="26" t="inlineStr">
        <is>
          <t>IV-A</t>
        </is>
      </c>
      <c r="F2004" s="26" t="inlineStr">
        <is>
          <t>Cavite</t>
        </is>
      </c>
      <c r="G2004" s="26" t="inlineStr">
        <is>
          <t>Cavite City</t>
        </is>
      </c>
      <c r="H2004" s="26" t="inlineStr">
        <is>
          <t>Barangay 42-C</t>
        </is>
      </c>
      <c r="I2004" s="27" t="n">
        <v>14.445268</v>
      </c>
      <c r="J2004" s="27" t="n">
        <v>120.958017</v>
      </c>
      <c r="K2004" s="10" t="inlineStr">
        <is>
          <t>R</t>
        </is>
      </c>
      <c r="L2004" s="12" t="n">
        <v>2316</v>
      </c>
      <c r="M2004" s="14" t="n">
        <v>3.4</v>
      </c>
      <c r="N2004" s="12">
        <f>ROUND(L2004/M2004, 0)</f>
        <v/>
      </c>
      <c r="O2004" s="12">
        <f>ROUND(N2004*'Methodology &amp; Assumptions'!$B$5, 0)</f>
        <v/>
      </c>
      <c r="P2004" s="10" t="inlineStr">
        <is>
          <t>Single Carrier (Band n50, 100MHz TDD)</t>
        </is>
      </c>
      <c r="Q2004" s="13">
        <f>ROUNDUP(O2004/'Methodology &amp; Assumptions'!$B$6, 0)</f>
        <v/>
      </c>
      <c r="R2004" s="13" t="n">
        <v>1</v>
      </c>
      <c r="S2004" s="14" t="n">
        <v>1.03</v>
      </c>
      <c r="T2004" s="14" t="n">
        <v>0.53</v>
      </c>
      <c r="U2004" s="26">
        <f>IF(X2004&gt;='Methodology &amp; Assumptions'!$B$7, "Tier 1 Critical GIDA (Score ≥ 50.0)", IF(X2004&gt;='Methodology &amp; Assumptions'!$B$8, "Tier 2 High GIDA (Score 40.0–49.9)", "Tier 3 Moderate GIDA (Score &lt; 40.0)"))</f>
        <v/>
      </c>
      <c r="V2004" s="26">
        <f>IF(S2004&lt;='Methodology &amp; Assumptions'!$B$10, "Direct Optical Drop (&lt;3km)", IF(S2004&lt;='Methodology &amp; Assumptions'!$B$9, "Near Optical / Microwave (&lt;5km)", "Starlink Business LEO Satellite Backhaul (&gt;5km)"))</f>
        <v/>
      </c>
      <c r="W2004" s="28" t="n">
        <v>0.07200000000000001</v>
      </c>
      <c r="X2004" s="14" t="n">
        <v>41.24</v>
      </c>
      <c r="Y2004" s="14">
        <f>ROUND(MIN(100, (X2004/69.91)*100), 2)</f>
        <v/>
      </c>
    </row>
    <row r="2005">
      <c r="A2005" s="29" t="inlineStr">
        <is>
          <t>BATCH TOTAL / AVERAGE</t>
        </is>
      </c>
      <c r="B2005" s="29" t="n"/>
      <c r="C2005" s="29" t="n"/>
      <c r="D2005" s="29" t="n"/>
      <c r="E2005" s="29" t="n"/>
      <c r="F2005" s="29" t="n"/>
      <c r="G2005" s="29" t="n"/>
      <c r="H2005" s="29" t="n"/>
      <c r="I2005" s="29" t="n"/>
      <c r="J2005" s="29" t="n"/>
      <c r="K2005" s="29" t="n"/>
      <c r="L2005" s="17">
        <f>SUM(L5:L2004)</f>
        <v/>
      </c>
      <c r="M2005" s="29" t="n"/>
      <c r="N2005" s="17">
        <f>SUM(N5:N2004)</f>
        <v/>
      </c>
      <c r="O2005" s="17">
        <f>SUM(O5:O2004)</f>
        <v/>
      </c>
      <c r="P2005" s="29" t="n"/>
      <c r="Q2005" s="17">
        <f>SUM(Q5:Q2004)</f>
        <v/>
      </c>
      <c r="R2005" s="17">
        <f>SUM(R5:R2004)</f>
        <v/>
      </c>
      <c r="S2005" s="18">
        <f>AVERAGE(S5:S2004)</f>
        <v/>
      </c>
      <c r="T2005" s="29" t="n"/>
      <c r="U2005" s="29" t="n"/>
      <c r="V2005" s="29" t="n"/>
      <c r="W2005" s="29" t="n"/>
      <c r="X2005" s="18">
        <f>AVERAGE(X5:X2004)</f>
        <v/>
      </c>
      <c r="Y2005" s="18">
        <f>AVERAGE(Y5:Y2004)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5G FWA GIDA Siting — Provincial Distribution &amp; Cluster Analysis</t>
        </is>
      </c>
    </row>
    <row r="2">
      <c r="A2" s="2" t="inlineStr">
        <is>
          <t>Batch Allocation &amp; Infrastructure Allocation across Philippine Provinces</t>
        </is>
      </c>
    </row>
    <row r="3"/>
    <row r="4">
      <c r="A4" s="9" t="inlineStr">
        <is>
          <t>Region</t>
        </is>
      </c>
      <c r="B4" s="9" t="inlineStr">
        <is>
          <t>Province</t>
        </is>
      </c>
      <c r="C4" s="9" t="inlineStr">
        <is>
          <t>Total Sites</t>
        </is>
      </c>
      <c r="D4" s="9" t="inlineStr">
        <is>
          <t>Batch 1</t>
        </is>
      </c>
      <c r="E4" s="9" t="inlineStr">
        <is>
          <t>Batch 2</t>
        </is>
      </c>
      <c r="F4" s="9" t="inlineStr">
        <is>
          <t>Batch 3</t>
        </is>
      </c>
      <c r="G4" s="9" t="inlineStr">
        <is>
          <t>Batch 4</t>
        </is>
      </c>
      <c r="H4" s="9" t="inlineStr">
        <is>
          <t>Batch 5</t>
        </is>
      </c>
      <c r="I4" s="9" t="inlineStr">
        <is>
          <t>Population</t>
        </is>
      </c>
      <c r="J4" s="9" t="inlineStr">
        <is>
          <t>Households</t>
        </is>
      </c>
      <c r="K4" s="9" t="inlineStr">
        <is>
          <t>Subs @ 30%</t>
        </is>
      </c>
      <c r="L4" s="9" t="inlineStr">
        <is>
          <t>Tier 1 Critical</t>
        </is>
      </c>
      <c r="M4" s="9" t="inlineStr">
        <is>
          <t>Starlink Sites</t>
        </is>
      </c>
      <c r="N4" s="9" t="inlineStr">
        <is>
          <t>Fiber Sites</t>
        </is>
      </c>
    </row>
    <row r="5">
      <c r="A5" s="4" t="inlineStr">
        <is>
          <t>National Capital Region (NCR)</t>
        </is>
      </c>
      <c r="B5" s="4" t="inlineStr">
        <is>
          <t>First District (Not a Province)</t>
        </is>
      </c>
      <c r="C5" s="11" t="n">
        <v>892</v>
      </c>
      <c r="D5" s="11" t="n">
        <v>83</v>
      </c>
      <c r="E5" s="11" t="n">
        <v>239</v>
      </c>
      <c r="F5" s="11" t="n">
        <v>455</v>
      </c>
      <c r="G5" s="11" t="n">
        <v>111</v>
      </c>
      <c r="H5" s="11" t="n">
        <v>4</v>
      </c>
      <c r="I5" s="12" t="n">
        <v>1896481</v>
      </c>
      <c r="J5" s="12" t="n">
        <v>486283</v>
      </c>
      <c r="K5" s="12" t="n">
        <v>145887</v>
      </c>
      <c r="L5" s="12" t="n">
        <v>148</v>
      </c>
      <c r="M5" s="12" t="n">
        <v>801</v>
      </c>
      <c r="N5" s="12" t="n">
        <v>91</v>
      </c>
    </row>
    <row r="6">
      <c r="A6" s="4" t="inlineStr">
        <is>
          <t>National Capital Region (NCR)</t>
        </is>
      </c>
      <c r="B6" s="4" t="inlineStr">
        <is>
          <t>Fourth District (Not a Province)</t>
        </is>
      </c>
      <c r="C6" s="11" t="n">
        <v>247</v>
      </c>
      <c r="D6" s="11" t="n">
        <v>7</v>
      </c>
      <c r="E6" s="11" t="n">
        <v>99</v>
      </c>
      <c r="F6" s="11" t="n">
        <v>104</v>
      </c>
      <c r="G6" s="11" t="n">
        <v>16</v>
      </c>
      <c r="H6" s="11" t="n">
        <v>21</v>
      </c>
      <c r="I6" s="12" t="n">
        <v>1616954</v>
      </c>
      <c r="J6" s="12" t="n">
        <v>459623</v>
      </c>
      <c r="K6" s="12" t="n">
        <v>137891</v>
      </c>
      <c r="L6" s="12" t="n">
        <v>30</v>
      </c>
      <c r="M6" s="12" t="n">
        <v>34</v>
      </c>
      <c r="N6" s="12" t="n">
        <v>213</v>
      </c>
    </row>
    <row r="7">
      <c r="A7" s="4" t="inlineStr">
        <is>
          <t>IV-A</t>
        </is>
      </c>
      <c r="B7" s="4" t="inlineStr">
        <is>
          <t>Cavite</t>
        </is>
      </c>
      <c r="C7" s="11" t="n">
        <v>217</v>
      </c>
      <c r="D7" s="11" t="n">
        <v>6</v>
      </c>
      <c r="E7" s="11" t="n">
        <v>15</v>
      </c>
      <c r="F7" s="11" t="n">
        <v>18</v>
      </c>
      <c r="G7" s="11" t="n">
        <v>74</v>
      </c>
      <c r="H7" s="11" t="n">
        <v>104</v>
      </c>
      <c r="I7" s="12" t="n">
        <v>1244973</v>
      </c>
      <c r="J7" s="12" t="n">
        <v>366156</v>
      </c>
      <c r="K7" s="12" t="n">
        <v>109823</v>
      </c>
      <c r="L7" s="12" t="n">
        <v>10</v>
      </c>
      <c r="M7" s="12" t="n">
        <v>12</v>
      </c>
      <c r="N7" s="12" t="n">
        <v>205</v>
      </c>
    </row>
    <row r="8">
      <c r="A8" s="4" t="inlineStr">
        <is>
          <t>NCR</t>
        </is>
      </c>
      <c r="B8" s="4" t="inlineStr">
        <is>
          <t>Metro Manila</t>
        </is>
      </c>
      <c r="C8" s="11" t="n">
        <v>181</v>
      </c>
      <c r="D8" s="11" t="n">
        <v>2</v>
      </c>
      <c r="E8" s="11" t="n">
        <v>16</v>
      </c>
      <c r="F8" s="11" t="n">
        <v>105</v>
      </c>
      <c r="G8" s="11" t="n">
        <v>46</v>
      </c>
      <c r="H8" s="11" t="n">
        <v>12</v>
      </c>
      <c r="I8" s="12" t="n">
        <v>416615</v>
      </c>
      <c r="J8" s="12" t="n">
        <v>109776</v>
      </c>
      <c r="K8" s="12" t="n">
        <v>32933</v>
      </c>
      <c r="L8" s="12" t="n">
        <v>4</v>
      </c>
      <c r="M8" s="12" t="n">
        <v>144</v>
      </c>
      <c r="N8" s="12" t="n">
        <v>37</v>
      </c>
    </row>
    <row r="9">
      <c r="A9" s="4" t="inlineStr">
        <is>
          <t>National Capital Region (NCR)</t>
        </is>
      </c>
      <c r="B9" s="4" t="inlineStr">
        <is>
          <t>Second District (Not a Province)</t>
        </is>
      </c>
      <c r="C9" s="11" t="n">
        <v>161</v>
      </c>
      <c r="D9" s="11" t="n">
        <v>13</v>
      </c>
      <c r="E9" s="11" t="n">
        <v>36</v>
      </c>
      <c r="F9" s="11" t="n">
        <v>17</v>
      </c>
      <c r="G9" s="11" t="n">
        <v>30</v>
      </c>
      <c r="H9" s="11" t="n">
        <v>65</v>
      </c>
      <c r="I9" s="12" t="n">
        <v>3133263</v>
      </c>
      <c r="J9" s="12" t="n">
        <v>853827</v>
      </c>
      <c r="K9" s="12" t="n">
        <v>256147</v>
      </c>
      <c r="L9" s="12" t="n">
        <v>24</v>
      </c>
      <c r="M9" s="12" t="n">
        <v>0</v>
      </c>
      <c r="N9" s="12" t="n">
        <v>161</v>
      </c>
    </row>
    <row r="10">
      <c r="A10" s="4" t="inlineStr">
        <is>
          <t>Region VIII (Eastern Visayas)</t>
        </is>
      </c>
      <c r="B10" s="4" t="inlineStr">
        <is>
          <t>Samar</t>
        </is>
      </c>
      <c r="C10" s="11" t="n">
        <v>159</v>
      </c>
      <c r="D10" s="11" t="n">
        <v>29</v>
      </c>
      <c r="E10" s="11" t="n">
        <v>41</v>
      </c>
      <c r="F10" s="11" t="n">
        <v>39</v>
      </c>
      <c r="G10" s="11" t="n">
        <v>31</v>
      </c>
      <c r="H10" s="11" t="n">
        <v>19</v>
      </c>
      <c r="I10" s="12" t="n">
        <v>80867</v>
      </c>
      <c r="J10" s="12" t="n">
        <v>19720</v>
      </c>
      <c r="K10" s="12" t="n">
        <v>5916</v>
      </c>
      <c r="L10" s="12" t="n">
        <v>55</v>
      </c>
      <c r="M10" s="12" t="n">
        <v>159</v>
      </c>
      <c r="N10" s="12" t="n">
        <v>0</v>
      </c>
    </row>
    <row r="11">
      <c r="A11" s="4" t="inlineStr">
        <is>
          <t>Region VI (Western Visayas)</t>
        </is>
      </c>
      <c r="B11" s="4" t="inlineStr">
        <is>
          <t>Iloilo</t>
        </is>
      </c>
      <c r="C11" s="11" t="n">
        <v>158</v>
      </c>
      <c r="D11" s="11" t="n">
        <v>109</v>
      </c>
      <c r="E11" s="11" t="n">
        <v>18</v>
      </c>
      <c r="F11" s="11" t="n">
        <v>7</v>
      </c>
      <c r="G11" s="11" t="n">
        <v>13</v>
      </c>
      <c r="H11" s="11" t="n">
        <v>11</v>
      </c>
      <c r="I11" s="12" t="n">
        <v>303975</v>
      </c>
      <c r="J11" s="12" t="n">
        <v>80014</v>
      </c>
      <c r="K11" s="12" t="n">
        <v>23993</v>
      </c>
      <c r="L11" s="12" t="n">
        <v>121</v>
      </c>
      <c r="M11" s="12" t="n">
        <v>59</v>
      </c>
      <c r="N11" s="12" t="n">
        <v>99</v>
      </c>
    </row>
    <row r="12">
      <c r="A12" s="4" t="inlineStr">
        <is>
          <t>Bangsamoro Autonomous Region In Muslim Mindanao (BARMM)</t>
        </is>
      </c>
      <c r="B12" s="4" t="inlineStr">
        <is>
          <t>Lanao del Sur</t>
        </is>
      </c>
      <c r="C12" s="11" t="n">
        <v>138</v>
      </c>
      <c r="D12" s="11" t="n">
        <v>7</v>
      </c>
      <c r="E12" s="11" t="n">
        <v>44</v>
      </c>
      <c r="F12" s="11" t="n">
        <v>10</v>
      </c>
      <c r="G12" s="11" t="n">
        <v>40</v>
      </c>
      <c r="H12" s="11" t="n">
        <v>37</v>
      </c>
      <c r="I12" s="12" t="n">
        <v>132726</v>
      </c>
      <c r="J12" s="12" t="n">
        <v>23290</v>
      </c>
      <c r="K12" s="12" t="n">
        <v>6986</v>
      </c>
      <c r="L12" s="12" t="n">
        <v>51</v>
      </c>
      <c r="M12" s="12" t="n">
        <v>138</v>
      </c>
      <c r="N12" s="12" t="n">
        <v>0</v>
      </c>
    </row>
    <row r="13">
      <c r="A13" s="4" t="inlineStr">
        <is>
          <t>Bangsamoro Autonomous Region In Muslim Mindanao (BARMM)</t>
        </is>
      </c>
      <c r="B13" s="4" t="inlineStr">
        <is>
          <t>Sulu</t>
        </is>
      </c>
      <c r="C13" s="11" t="n">
        <v>123</v>
      </c>
      <c r="D13" s="11" t="n">
        <v>8</v>
      </c>
      <c r="E13" s="11" t="n">
        <v>64</v>
      </c>
      <c r="F13" s="11" t="n">
        <v>3</v>
      </c>
      <c r="G13" s="11" t="n">
        <v>12</v>
      </c>
      <c r="H13" s="11" t="n">
        <v>36</v>
      </c>
      <c r="I13" s="12" t="n">
        <v>224935</v>
      </c>
      <c r="J13" s="12" t="n">
        <v>38098</v>
      </c>
      <c r="K13" s="12" t="n">
        <v>11429</v>
      </c>
      <c r="L13" s="12" t="n">
        <v>71</v>
      </c>
      <c r="M13" s="12" t="n">
        <v>119</v>
      </c>
      <c r="N13" s="12" t="n">
        <v>4</v>
      </c>
    </row>
    <row r="14">
      <c r="A14" s="4" t="inlineStr">
        <is>
          <t>CAR</t>
        </is>
      </c>
      <c r="B14" s="4" t="inlineStr">
        <is>
          <t>Benguet</t>
        </is>
      </c>
      <c r="C14" s="11" t="n">
        <v>107</v>
      </c>
      <c r="D14" s="11" t="n">
        <v>9</v>
      </c>
      <c r="E14" s="11" t="n">
        <v>11</v>
      </c>
      <c r="F14" s="11" t="n">
        <v>18</v>
      </c>
      <c r="G14" s="11" t="n">
        <v>47</v>
      </c>
      <c r="H14" s="11" t="n">
        <v>22</v>
      </c>
      <c r="I14" s="12" t="n">
        <v>224714</v>
      </c>
      <c r="J14" s="12" t="n">
        <v>64229</v>
      </c>
      <c r="K14" s="12" t="n">
        <v>19287</v>
      </c>
      <c r="L14" s="12" t="n">
        <v>12</v>
      </c>
      <c r="M14" s="12" t="n">
        <v>18</v>
      </c>
      <c r="N14" s="12" t="n">
        <v>89</v>
      </c>
    </row>
    <row r="15">
      <c r="A15" s="4" t="inlineStr">
        <is>
          <t>Bangsamoro Autonomous Region In Muslim Mindanao (BARMM)</t>
        </is>
      </c>
      <c r="B15" s="4" t="inlineStr">
        <is>
          <t>Tawi-Tawi</t>
        </is>
      </c>
      <c r="C15" s="11" t="n">
        <v>105</v>
      </c>
      <c r="D15" s="11" t="n">
        <v>39</v>
      </c>
      <c r="E15" s="11" t="n">
        <v>13</v>
      </c>
      <c r="F15" s="11" t="n">
        <v>2</v>
      </c>
      <c r="G15" s="11" t="n">
        <v>25</v>
      </c>
      <c r="H15" s="11" t="n">
        <v>26</v>
      </c>
      <c r="I15" s="12" t="n">
        <v>243326</v>
      </c>
      <c r="J15" s="12" t="n">
        <v>41952</v>
      </c>
      <c r="K15" s="12" t="n">
        <v>12582</v>
      </c>
      <c r="L15" s="12" t="n">
        <v>50</v>
      </c>
      <c r="M15" s="12" t="n">
        <v>101</v>
      </c>
      <c r="N15" s="12" t="n">
        <v>4</v>
      </c>
    </row>
    <row r="16">
      <c r="A16" s="4" t="inlineStr">
        <is>
          <t>Region IV-A (CALABARZON)</t>
        </is>
      </c>
      <c r="B16" s="4" t="inlineStr">
        <is>
          <t>Laguna</t>
        </is>
      </c>
      <c r="C16" s="11" t="n">
        <v>99</v>
      </c>
      <c r="D16" s="11" t="n">
        <v>20</v>
      </c>
      <c r="E16" s="11" t="n">
        <v>6</v>
      </c>
      <c r="F16" s="11" t="n">
        <v>6</v>
      </c>
      <c r="G16" s="11" t="n">
        <v>40</v>
      </c>
      <c r="H16" s="11" t="n">
        <v>27</v>
      </c>
      <c r="I16" s="12" t="n">
        <v>1149709</v>
      </c>
      <c r="J16" s="12" t="n">
        <v>348404</v>
      </c>
      <c r="K16" s="12" t="n">
        <v>104511</v>
      </c>
      <c r="L16" s="12" t="n">
        <v>23</v>
      </c>
      <c r="M16" s="12" t="n">
        <v>11</v>
      </c>
      <c r="N16" s="12" t="n">
        <v>88</v>
      </c>
    </row>
    <row r="17">
      <c r="A17" s="4" t="inlineStr">
        <is>
          <t>Region IV-A (CALABARZON)</t>
        </is>
      </c>
      <c r="B17" s="4" t="inlineStr">
        <is>
          <t>Quezon</t>
        </is>
      </c>
      <c r="C17" s="11" t="n">
        <v>96</v>
      </c>
      <c r="D17" s="11" t="n">
        <v>23</v>
      </c>
      <c r="E17" s="11" t="n">
        <v>5</v>
      </c>
      <c r="F17" s="11" t="n">
        <v>10</v>
      </c>
      <c r="G17" s="11" t="n">
        <v>20</v>
      </c>
      <c r="H17" s="11" t="n">
        <v>38</v>
      </c>
      <c r="I17" s="12" t="n">
        <v>66853</v>
      </c>
      <c r="J17" s="12" t="n">
        <v>17594</v>
      </c>
      <c r="K17" s="12" t="n">
        <v>5278</v>
      </c>
      <c r="L17" s="12" t="n">
        <v>25</v>
      </c>
      <c r="M17" s="12" t="n">
        <v>43</v>
      </c>
      <c r="N17" s="12" t="n">
        <v>53</v>
      </c>
    </row>
    <row r="18">
      <c r="A18" s="4" t="inlineStr">
        <is>
          <t>MIMAROPA Region</t>
        </is>
      </c>
      <c r="B18" s="4" t="inlineStr">
        <is>
          <t>Palawan</t>
        </is>
      </c>
      <c r="C18" s="11" t="n">
        <v>95</v>
      </c>
      <c r="D18" s="11" t="n">
        <v>26</v>
      </c>
      <c r="E18" s="11" t="n">
        <v>14</v>
      </c>
      <c r="F18" s="11" t="n">
        <v>6</v>
      </c>
      <c r="G18" s="11" t="n">
        <v>32</v>
      </c>
      <c r="H18" s="11" t="n">
        <v>17</v>
      </c>
      <c r="I18" s="12" t="n">
        <v>195274</v>
      </c>
      <c r="J18" s="12" t="n">
        <v>50306</v>
      </c>
      <c r="K18" s="12" t="n">
        <v>15093</v>
      </c>
      <c r="L18" s="12" t="n">
        <v>36</v>
      </c>
      <c r="M18" s="12" t="n">
        <v>75</v>
      </c>
      <c r="N18" s="12" t="n">
        <v>20</v>
      </c>
    </row>
    <row r="19">
      <c r="A19" s="4" t="inlineStr">
        <is>
          <t>Region VIII (Eastern Visayas)</t>
        </is>
      </c>
      <c r="B19" s="4" t="inlineStr">
        <is>
          <t>Leyte</t>
        </is>
      </c>
      <c r="C19" s="11" t="n">
        <v>95</v>
      </c>
      <c r="D19" s="11" t="n">
        <v>24</v>
      </c>
      <c r="E19" s="11" t="n">
        <v>23</v>
      </c>
      <c r="F19" s="11" t="n">
        <v>7</v>
      </c>
      <c r="G19" s="11" t="n">
        <v>17</v>
      </c>
      <c r="H19" s="11" t="n">
        <v>24</v>
      </c>
      <c r="I19" s="12" t="n">
        <v>178816</v>
      </c>
      <c r="J19" s="12" t="n">
        <v>47042</v>
      </c>
      <c r="K19" s="12" t="n">
        <v>14097</v>
      </c>
      <c r="L19" s="12" t="n">
        <v>42</v>
      </c>
      <c r="M19" s="12" t="n">
        <v>55</v>
      </c>
      <c r="N19" s="12" t="n">
        <v>40</v>
      </c>
    </row>
    <row r="20">
      <c r="A20" s="4" t="inlineStr">
        <is>
          <t>Bangsamoro Autonomous Region In Muslim Mindanao (BARMM)</t>
        </is>
      </c>
      <c r="B20" s="4" t="inlineStr">
        <is>
          <t>Maguindanao del Sur</t>
        </is>
      </c>
      <c r="C20" s="11" t="n">
        <v>84</v>
      </c>
      <c r="D20" s="11" t="n">
        <v>6</v>
      </c>
      <c r="E20" s="11" t="n">
        <v>17</v>
      </c>
      <c r="F20" s="11" t="n">
        <v>14</v>
      </c>
      <c r="G20" s="11" t="n">
        <v>29</v>
      </c>
      <c r="H20" s="11" t="n">
        <v>18</v>
      </c>
      <c r="I20" s="12" t="n">
        <v>199274</v>
      </c>
      <c r="J20" s="12" t="n">
        <v>42401</v>
      </c>
      <c r="K20" s="12" t="n">
        <v>12720</v>
      </c>
      <c r="L20" s="12" t="n">
        <v>22</v>
      </c>
      <c r="M20" s="12" t="n">
        <v>84</v>
      </c>
      <c r="N20" s="12" t="n">
        <v>0</v>
      </c>
    </row>
    <row r="21">
      <c r="A21" s="4" t="inlineStr">
        <is>
          <t>Region IV-A (CALABARZON)</t>
        </is>
      </c>
      <c r="B21" s="4" t="inlineStr">
        <is>
          <t>Batangas</t>
        </is>
      </c>
      <c r="C21" s="11" t="n">
        <v>82</v>
      </c>
      <c r="D21" s="11" t="n">
        <v>17</v>
      </c>
      <c r="E21" s="11" t="n">
        <v>20</v>
      </c>
      <c r="F21" s="11" t="n">
        <v>7</v>
      </c>
      <c r="G21" s="11" t="n">
        <v>10</v>
      </c>
      <c r="H21" s="11" t="n">
        <v>28</v>
      </c>
      <c r="I21" s="12" t="n">
        <v>109733</v>
      </c>
      <c r="J21" s="12" t="n">
        <v>30487</v>
      </c>
      <c r="K21" s="12" t="n">
        <v>9144</v>
      </c>
      <c r="L21" s="12" t="n">
        <v>25</v>
      </c>
      <c r="M21" s="12" t="n">
        <v>11</v>
      </c>
      <c r="N21" s="12" t="n">
        <v>71</v>
      </c>
    </row>
    <row r="22">
      <c r="A22" s="4" t="inlineStr">
        <is>
          <t>Region X (Northern Mindanao)</t>
        </is>
      </c>
      <c r="B22" s="4" t="inlineStr">
        <is>
          <t>Lanao del Norte</t>
        </is>
      </c>
      <c r="C22" s="11" t="n">
        <v>82</v>
      </c>
      <c r="D22" s="11" t="n">
        <v>21</v>
      </c>
      <c r="E22" s="11" t="n">
        <v>16</v>
      </c>
      <c r="F22" s="11" t="n">
        <v>15</v>
      </c>
      <c r="G22" s="11" t="n">
        <v>9</v>
      </c>
      <c r="H22" s="11" t="n">
        <v>21</v>
      </c>
      <c r="I22" s="12" t="n">
        <v>77685</v>
      </c>
      <c r="J22" s="12" t="n">
        <v>18499</v>
      </c>
      <c r="K22" s="12" t="n">
        <v>5545</v>
      </c>
      <c r="L22" s="12" t="n">
        <v>36</v>
      </c>
      <c r="M22" s="12" t="n">
        <v>75</v>
      </c>
      <c r="N22" s="12" t="n">
        <v>7</v>
      </c>
    </row>
    <row r="23">
      <c r="A23" s="4" t="inlineStr">
        <is>
          <t>Bangsamoro Autonomous Region In Muslim Mindanao (BARMM)</t>
        </is>
      </c>
      <c r="B23" s="4" t="inlineStr">
        <is>
          <t>Maguindanao del Norte</t>
        </is>
      </c>
      <c r="C23" s="11" t="n">
        <v>75</v>
      </c>
      <c r="D23" s="11" t="n">
        <v>2</v>
      </c>
      <c r="E23" s="11" t="n">
        <v>26</v>
      </c>
      <c r="F23" s="11" t="n">
        <v>13</v>
      </c>
      <c r="G23" s="11" t="n">
        <v>23</v>
      </c>
      <c r="H23" s="11" t="n">
        <v>11</v>
      </c>
      <c r="I23" s="12" t="n">
        <v>366223</v>
      </c>
      <c r="J23" s="12" t="n">
        <v>85588</v>
      </c>
      <c r="K23" s="12" t="n">
        <v>25680</v>
      </c>
      <c r="L23" s="12" t="n">
        <v>25</v>
      </c>
      <c r="M23" s="12" t="n">
        <v>75</v>
      </c>
      <c r="N23" s="12" t="n">
        <v>0</v>
      </c>
    </row>
    <row r="24">
      <c r="A24" s="4" t="inlineStr">
        <is>
          <t>VII</t>
        </is>
      </c>
      <c r="B24" s="4" t="inlineStr">
        <is>
          <t>Cebu</t>
        </is>
      </c>
      <c r="C24" s="11" t="n">
        <v>67</v>
      </c>
      <c r="D24" s="11" t="n">
        <v>3</v>
      </c>
      <c r="E24" s="11" t="n">
        <v>2</v>
      </c>
      <c r="F24" s="11" t="n">
        <v>7</v>
      </c>
      <c r="G24" s="11" t="n">
        <v>18</v>
      </c>
      <c r="H24" s="11" t="n">
        <v>37</v>
      </c>
      <c r="I24" s="12" t="n">
        <v>181603</v>
      </c>
      <c r="J24" s="12" t="n">
        <v>47787</v>
      </c>
      <c r="K24" s="12" t="n">
        <v>14355</v>
      </c>
      <c r="L24" s="12" t="n">
        <v>4</v>
      </c>
      <c r="M24" s="12" t="n">
        <v>27</v>
      </c>
      <c r="N24" s="12" t="n">
        <v>40</v>
      </c>
    </row>
    <row r="25">
      <c r="A25" s="4" t="inlineStr">
        <is>
          <t>Region VIII (Eastern Visayas)</t>
        </is>
      </c>
      <c r="B25" s="4" t="inlineStr">
        <is>
          <t>Northern Samar</t>
        </is>
      </c>
      <c r="C25" s="11" t="n">
        <v>65</v>
      </c>
      <c r="D25" s="11" t="n">
        <v>0</v>
      </c>
      <c r="E25" s="11" t="n">
        <v>21</v>
      </c>
      <c r="F25" s="11" t="n">
        <v>5</v>
      </c>
      <c r="G25" s="11" t="n">
        <v>32</v>
      </c>
      <c r="H25" s="11" t="n">
        <v>7</v>
      </c>
      <c r="I25" s="12" t="n">
        <v>35251</v>
      </c>
      <c r="J25" s="12" t="n">
        <v>8195</v>
      </c>
      <c r="K25" s="12" t="n">
        <v>2463</v>
      </c>
      <c r="L25" s="12" t="n">
        <v>21</v>
      </c>
      <c r="M25" s="12" t="n">
        <v>65</v>
      </c>
      <c r="N25" s="12" t="n">
        <v>0</v>
      </c>
    </row>
    <row r="26">
      <c r="A26" s="4" t="inlineStr">
        <is>
          <t>Region I (Ilocos Region)</t>
        </is>
      </c>
      <c r="B26" s="4" t="inlineStr">
        <is>
          <t>Ilocos Norte</t>
        </is>
      </c>
      <c r="C26" s="11" t="n">
        <v>60</v>
      </c>
      <c r="D26" s="11" t="n">
        <v>25</v>
      </c>
      <c r="E26" s="11" t="n">
        <v>5</v>
      </c>
      <c r="F26" s="11" t="n">
        <v>2</v>
      </c>
      <c r="G26" s="11" t="n">
        <v>15</v>
      </c>
      <c r="H26" s="11" t="n">
        <v>13</v>
      </c>
      <c r="I26" s="12" t="n">
        <v>82877</v>
      </c>
      <c r="J26" s="12" t="n">
        <v>22408</v>
      </c>
      <c r="K26" s="12" t="n">
        <v>6716</v>
      </c>
      <c r="L26" s="12" t="n">
        <v>28</v>
      </c>
      <c r="M26" s="12" t="n">
        <v>11</v>
      </c>
      <c r="N26" s="12" t="n">
        <v>49</v>
      </c>
    </row>
    <row r="27">
      <c r="A27" s="4" t="inlineStr">
        <is>
          <t>Region II (Cagayan Valley)</t>
        </is>
      </c>
      <c r="B27" s="4" t="inlineStr">
        <is>
          <t>Cagayan</t>
        </is>
      </c>
      <c r="C27" s="11" t="n">
        <v>60</v>
      </c>
      <c r="D27" s="11" t="n">
        <v>28</v>
      </c>
      <c r="E27" s="11" t="n">
        <v>3</v>
      </c>
      <c r="F27" s="11" t="n">
        <v>0</v>
      </c>
      <c r="G27" s="11" t="n">
        <v>15</v>
      </c>
      <c r="H27" s="11" t="n">
        <v>14</v>
      </c>
      <c r="I27" s="12" t="n">
        <v>85281</v>
      </c>
      <c r="J27" s="12" t="n">
        <v>21885</v>
      </c>
      <c r="K27" s="12" t="n">
        <v>6568</v>
      </c>
      <c r="L27" s="12" t="n">
        <v>30</v>
      </c>
      <c r="M27" s="12" t="n">
        <v>24</v>
      </c>
      <c r="N27" s="12" t="n">
        <v>36</v>
      </c>
    </row>
    <row r="28">
      <c r="A28" s="4" t="inlineStr">
        <is>
          <t>National Capital Region (NCR)</t>
        </is>
      </c>
      <c r="B28" s="4" t="inlineStr">
        <is>
          <t>Third District (Not a Province)</t>
        </is>
      </c>
      <c r="C28" s="11" t="n">
        <v>59</v>
      </c>
      <c r="D28" s="11" t="n">
        <v>21</v>
      </c>
      <c r="E28" s="11" t="n">
        <v>8</v>
      </c>
      <c r="F28" s="11" t="n">
        <v>2</v>
      </c>
      <c r="G28" s="11" t="n">
        <v>15</v>
      </c>
      <c r="H28" s="11" t="n">
        <v>13</v>
      </c>
      <c r="I28" s="12" t="n">
        <v>992453</v>
      </c>
      <c r="J28" s="12" t="n">
        <v>281033</v>
      </c>
      <c r="K28" s="12" t="n">
        <v>84309</v>
      </c>
      <c r="L28" s="12" t="n">
        <v>26</v>
      </c>
      <c r="M28" s="12" t="n">
        <v>0</v>
      </c>
      <c r="N28" s="12" t="n">
        <v>59</v>
      </c>
    </row>
    <row r="29">
      <c r="A29" s="4" t="inlineStr">
        <is>
          <t>Region X (Northern Mindanao)</t>
        </is>
      </c>
      <c r="B29" s="4" t="inlineStr">
        <is>
          <t>Misamis Oriental</t>
        </is>
      </c>
      <c r="C29" s="11" t="n">
        <v>57</v>
      </c>
      <c r="D29" s="11" t="n">
        <v>46</v>
      </c>
      <c r="E29" s="11" t="n">
        <v>1</v>
      </c>
      <c r="F29" s="11" t="n">
        <v>1</v>
      </c>
      <c r="G29" s="11" t="n">
        <v>5</v>
      </c>
      <c r="H29" s="11" t="n">
        <v>4</v>
      </c>
      <c r="I29" s="12" t="n">
        <v>112859</v>
      </c>
      <c r="J29" s="12" t="n">
        <v>28959</v>
      </c>
      <c r="K29" s="12" t="n">
        <v>8692</v>
      </c>
      <c r="L29" s="12" t="n">
        <v>46</v>
      </c>
      <c r="M29" s="12" t="n">
        <v>5</v>
      </c>
      <c r="N29" s="12" t="n">
        <v>52</v>
      </c>
    </row>
    <row r="30">
      <c r="A30" s="4" t="inlineStr">
        <is>
          <t>Region II (Cagayan Valley)</t>
        </is>
      </c>
      <c r="B30" s="4" t="inlineStr">
        <is>
          <t>Nueva Vizcaya</t>
        </is>
      </c>
      <c r="C30" s="11" t="n">
        <v>54</v>
      </c>
      <c r="D30" s="11" t="n">
        <v>38</v>
      </c>
      <c r="E30" s="11" t="n">
        <v>4</v>
      </c>
      <c r="F30" s="11" t="n">
        <v>2</v>
      </c>
      <c r="G30" s="11" t="n">
        <v>4</v>
      </c>
      <c r="H30" s="11" t="n">
        <v>6</v>
      </c>
      <c r="I30" s="12" t="n">
        <v>70565</v>
      </c>
      <c r="J30" s="12" t="n">
        <v>18568</v>
      </c>
      <c r="K30" s="12" t="n">
        <v>5567</v>
      </c>
      <c r="L30" s="12" t="n">
        <v>41</v>
      </c>
      <c r="M30" s="12" t="n">
        <v>42</v>
      </c>
      <c r="N30" s="12" t="n">
        <v>12</v>
      </c>
    </row>
    <row r="31">
      <c r="A31" s="4" t="inlineStr">
        <is>
          <t>Cordillera Administrative Region (CAR)</t>
        </is>
      </c>
      <c r="B31" s="4" t="inlineStr">
        <is>
          <t>Kalinga</t>
        </is>
      </c>
      <c r="C31" s="11" t="n">
        <v>53</v>
      </c>
      <c r="D31" s="11" t="n">
        <v>35</v>
      </c>
      <c r="E31" s="11" t="n">
        <v>2</v>
      </c>
      <c r="F31" s="11" t="n">
        <v>2</v>
      </c>
      <c r="G31" s="11" t="n">
        <v>8</v>
      </c>
      <c r="H31" s="11" t="n">
        <v>6</v>
      </c>
      <c r="I31" s="12" t="n">
        <v>68402</v>
      </c>
      <c r="J31" s="12" t="n">
        <v>16074</v>
      </c>
      <c r="K31" s="12" t="n">
        <v>4821</v>
      </c>
      <c r="L31" s="12" t="n">
        <v>36</v>
      </c>
      <c r="M31" s="12" t="n">
        <v>36</v>
      </c>
      <c r="N31" s="12" t="n">
        <v>17</v>
      </c>
    </row>
    <row r="32">
      <c r="A32" s="4" t="inlineStr">
        <is>
          <t>Cordillera Administrative Region (CAR)</t>
        </is>
      </c>
      <c r="B32" s="4" t="inlineStr">
        <is>
          <t>Abra</t>
        </is>
      </c>
      <c r="C32" s="11" t="n">
        <v>52</v>
      </c>
      <c r="D32" s="11" t="n">
        <v>17</v>
      </c>
      <c r="E32" s="11" t="n">
        <v>11</v>
      </c>
      <c r="F32" s="11" t="n">
        <v>3</v>
      </c>
      <c r="G32" s="11" t="n">
        <v>8</v>
      </c>
      <c r="H32" s="11" t="n">
        <v>13</v>
      </c>
      <c r="I32" s="12" t="n">
        <v>24515</v>
      </c>
      <c r="J32" s="12" t="n">
        <v>6449</v>
      </c>
      <c r="K32" s="12" t="n">
        <v>1936</v>
      </c>
      <c r="L32" s="12" t="n">
        <v>24</v>
      </c>
      <c r="M32" s="12" t="n">
        <v>47</v>
      </c>
      <c r="N32" s="12" t="n">
        <v>5</v>
      </c>
    </row>
    <row r="33">
      <c r="A33" s="4" t="inlineStr">
        <is>
          <t>VIII</t>
        </is>
      </c>
      <c r="B33" s="4" t="inlineStr">
        <is>
          <t>Samar (Western Samar)</t>
        </is>
      </c>
      <c r="C33" s="11" t="n">
        <v>52</v>
      </c>
      <c r="D33" s="11" t="n">
        <v>7</v>
      </c>
      <c r="E33" s="11" t="n">
        <v>6</v>
      </c>
      <c r="F33" s="11" t="n">
        <v>0</v>
      </c>
      <c r="G33" s="11" t="n">
        <v>29</v>
      </c>
      <c r="H33" s="11" t="n">
        <v>10</v>
      </c>
      <c r="I33" s="12" t="n">
        <v>115908</v>
      </c>
      <c r="J33" s="12" t="n">
        <v>28288</v>
      </c>
      <c r="K33" s="12" t="n">
        <v>8476</v>
      </c>
      <c r="L33" s="12" t="n">
        <v>10</v>
      </c>
      <c r="M33" s="12" t="n">
        <v>52</v>
      </c>
      <c r="N33" s="12" t="n">
        <v>0</v>
      </c>
    </row>
    <row r="34">
      <c r="A34" s="4" t="inlineStr">
        <is>
          <t>Region I (Ilocos Region)</t>
        </is>
      </c>
      <c r="B34" s="4" t="inlineStr">
        <is>
          <t>Ilocos Sur</t>
        </is>
      </c>
      <c r="C34" s="11" t="n">
        <v>49</v>
      </c>
      <c r="D34" s="11" t="n">
        <v>18</v>
      </c>
      <c r="E34" s="11" t="n">
        <v>11</v>
      </c>
      <c r="F34" s="11" t="n">
        <v>5</v>
      </c>
      <c r="G34" s="11" t="n">
        <v>9</v>
      </c>
      <c r="H34" s="11" t="n">
        <v>6</v>
      </c>
      <c r="I34" s="12" t="n">
        <v>41512</v>
      </c>
      <c r="J34" s="12" t="n">
        <v>10915</v>
      </c>
      <c r="K34" s="12" t="n">
        <v>3273</v>
      </c>
      <c r="L34" s="12" t="n">
        <v>26</v>
      </c>
      <c r="M34" s="12" t="n">
        <v>20</v>
      </c>
      <c r="N34" s="12" t="n">
        <v>29</v>
      </c>
    </row>
    <row r="35">
      <c r="A35" s="4" t="inlineStr">
        <is>
          <t>XI</t>
        </is>
      </c>
      <c r="B35" s="4" t="inlineStr">
        <is>
          <t>Davao Del Sur</t>
        </is>
      </c>
      <c r="C35" s="11" t="n">
        <v>49</v>
      </c>
      <c r="D35" s="11" t="n">
        <v>1</v>
      </c>
      <c r="E35" s="11" t="n">
        <v>16</v>
      </c>
      <c r="F35" s="11" t="n">
        <v>7</v>
      </c>
      <c r="G35" s="11" t="n">
        <v>7</v>
      </c>
      <c r="H35" s="11" t="n">
        <v>18</v>
      </c>
      <c r="I35" s="12" t="n">
        <v>111720</v>
      </c>
      <c r="J35" s="12" t="n">
        <v>32879</v>
      </c>
      <c r="K35" s="12" t="n">
        <v>9849</v>
      </c>
      <c r="L35" s="12" t="n">
        <v>10</v>
      </c>
      <c r="M35" s="12" t="n">
        <v>6</v>
      </c>
      <c r="N35" s="12" t="n">
        <v>43</v>
      </c>
    </row>
    <row r="36">
      <c r="A36" s="4" t="inlineStr">
        <is>
          <t>Region VI (Western Visayas)</t>
        </is>
      </c>
      <c r="B36" s="4" t="inlineStr">
        <is>
          <t>Aklan</t>
        </is>
      </c>
      <c r="C36" s="11" t="n">
        <v>47</v>
      </c>
      <c r="D36" s="11" t="n">
        <v>35</v>
      </c>
      <c r="E36" s="11" t="n">
        <v>3</v>
      </c>
      <c r="F36" s="11" t="n">
        <v>2</v>
      </c>
      <c r="G36" s="11" t="n">
        <v>1</v>
      </c>
      <c r="H36" s="11" t="n">
        <v>6</v>
      </c>
      <c r="I36" s="12" t="n">
        <v>61322</v>
      </c>
      <c r="J36" s="12" t="n">
        <v>15722</v>
      </c>
      <c r="K36" s="12" t="n">
        <v>4719</v>
      </c>
      <c r="L36" s="12" t="n">
        <v>36</v>
      </c>
      <c r="M36" s="12" t="n">
        <v>27</v>
      </c>
      <c r="N36" s="12" t="n">
        <v>20</v>
      </c>
    </row>
    <row r="37">
      <c r="A37" s="4" t="inlineStr">
        <is>
          <t>Region VI (Western Visayas)</t>
        </is>
      </c>
      <c r="B37" s="4" t="inlineStr">
        <is>
          <t>Antique</t>
        </is>
      </c>
      <c r="C37" s="11" t="n">
        <v>47</v>
      </c>
      <c r="D37" s="11" t="n">
        <v>17</v>
      </c>
      <c r="E37" s="11" t="n">
        <v>8</v>
      </c>
      <c r="F37" s="11" t="n">
        <v>3</v>
      </c>
      <c r="G37" s="11" t="n">
        <v>8</v>
      </c>
      <c r="H37" s="11" t="n">
        <v>11</v>
      </c>
      <c r="I37" s="12" t="n">
        <v>16708</v>
      </c>
      <c r="J37" s="12" t="n">
        <v>4284</v>
      </c>
      <c r="K37" s="12" t="n">
        <v>1289</v>
      </c>
      <c r="L37" s="12" t="n">
        <v>25</v>
      </c>
      <c r="M37" s="12" t="n">
        <v>47</v>
      </c>
      <c r="N37" s="12" t="n">
        <v>0</v>
      </c>
    </row>
    <row r="38">
      <c r="A38" s="4" t="inlineStr">
        <is>
          <t>Region IX (Zamboanga Peninsula)</t>
        </is>
      </c>
      <c r="B38" s="4" t="inlineStr">
        <is>
          <t>Zamboanga del Sur</t>
        </is>
      </c>
      <c r="C38" s="11" t="n">
        <v>44</v>
      </c>
      <c r="D38" s="11" t="n">
        <v>3</v>
      </c>
      <c r="E38" s="11" t="n">
        <v>17</v>
      </c>
      <c r="F38" s="11" t="n">
        <v>6</v>
      </c>
      <c r="G38" s="11" t="n">
        <v>4</v>
      </c>
      <c r="H38" s="11" t="n">
        <v>14</v>
      </c>
      <c r="I38" s="12" t="n">
        <v>34999</v>
      </c>
      <c r="J38" s="12" t="n">
        <v>8975</v>
      </c>
      <c r="K38" s="12" t="n">
        <v>2692</v>
      </c>
      <c r="L38" s="12" t="n">
        <v>19</v>
      </c>
      <c r="M38" s="12" t="n">
        <v>39</v>
      </c>
      <c r="N38" s="12" t="n">
        <v>5</v>
      </c>
    </row>
    <row r="39">
      <c r="A39" s="4" t="inlineStr">
        <is>
          <t>VI</t>
        </is>
      </c>
      <c r="B39" s="4" t="inlineStr">
        <is>
          <t>Capiz</t>
        </is>
      </c>
      <c r="C39" s="11" t="n">
        <v>42</v>
      </c>
      <c r="D39" s="11" t="n">
        <v>18</v>
      </c>
      <c r="E39" s="11" t="n">
        <v>4</v>
      </c>
      <c r="F39" s="11" t="n">
        <v>1</v>
      </c>
      <c r="G39" s="11" t="n">
        <v>8</v>
      </c>
      <c r="H39" s="11" t="n">
        <v>11</v>
      </c>
      <c r="I39" s="12" t="n">
        <v>46248</v>
      </c>
      <c r="J39" s="12" t="n">
        <v>12175</v>
      </c>
      <c r="K39" s="12" t="n">
        <v>3648</v>
      </c>
      <c r="L39" s="12" t="n">
        <v>20</v>
      </c>
      <c r="M39" s="12" t="n">
        <v>30</v>
      </c>
      <c r="N39" s="12" t="n">
        <v>12</v>
      </c>
    </row>
    <row r="40">
      <c r="A40" s="4" t="inlineStr">
        <is>
          <t>Region VIII (Eastern Visayas)</t>
        </is>
      </c>
      <c r="B40" s="4" t="inlineStr">
        <is>
          <t>Eastern Samar</t>
        </is>
      </c>
      <c r="C40" s="11" t="n">
        <v>40</v>
      </c>
      <c r="D40" s="11" t="n">
        <v>4</v>
      </c>
      <c r="E40" s="11" t="n">
        <v>18</v>
      </c>
      <c r="F40" s="11" t="n">
        <v>2</v>
      </c>
      <c r="G40" s="11" t="n">
        <v>9</v>
      </c>
      <c r="H40" s="11" t="n">
        <v>7</v>
      </c>
      <c r="I40" s="12" t="n">
        <v>19562</v>
      </c>
      <c r="J40" s="12" t="n">
        <v>5014</v>
      </c>
      <c r="K40" s="12" t="n">
        <v>1505</v>
      </c>
      <c r="L40" s="12" t="n">
        <v>22</v>
      </c>
      <c r="M40" s="12" t="n">
        <v>40</v>
      </c>
      <c r="N40" s="12" t="n">
        <v>0</v>
      </c>
    </row>
    <row r="41">
      <c r="A41" s="4" t="inlineStr">
        <is>
          <t>Region II (Cagayan Valley)</t>
        </is>
      </c>
      <c r="B41" s="4" t="inlineStr">
        <is>
          <t>Isabela</t>
        </is>
      </c>
      <c r="C41" s="11" t="n">
        <v>38</v>
      </c>
      <c r="D41" s="11" t="n">
        <v>20</v>
      </c>
      <c r="E41" s="11" t="n">
        <v>6</v>
      </c>
      <c r="F41" s="11" t="n">
        <v>0</v>
      </c>
      <c r="G41" s="11" t="n">
        <v>3</v>
      </c>
      <c r="H41" s="11" t="n">
        <v>9</v>
      </c>
      <c r="I41" s="12" t="n">
        <v>42667</v>
      </c>
      <c r="J41" s="12" t="n">
        <v>11220</v>
      </c>
      <c r="K41" s="12" t="n">
        <v>3369</v>
      </c>
      <c r="L41" s="12" t="n">
        <v>25</v>
      </c>
      <c r="M41" s="12" t="n">
        <v>28</v>
      </c>
      <c r="N41" s="12" t="n">
        <v>10</v>
      </c>
    </row>
    <row r="42">
      <c r="A42" s="4" t="inlineStr">
        <is>
          <t>Region IV-A (CALABARZON)</t>
        </is>
      </c>
      <c r="B42" s="4" t="inlineStr">
        <is>
          <t>Rizal</t>
        </is>
      </c>
      <c r="C42" s="11" t="n">
        <v>37</v>
      </c>
      <c r="D42" s="11" t="n">
        <v>4</v>
      </c>
      <c r="E42" s="11" t="n">
        <v>8</v>
      </c>
      <c r="F42" s="11" t="n">
        <v>0</v>
      </c>
      <c r="G42" s="11" t="n">
        <v>10</v>
      </c>
      <c r="H42" s="11" t="n">
        <v>15</v>
      </c>
      <c r="I42" s="12" t="n">
        <v>1306028</v>
      </c>
      <c r="J42" s="12" t="n">
        <v>362785</v>
      </c>
      <c r="K42" s="12" t="n">
        <v>108836</v>
      </c>
      <c r="L42" s="12" t="n">
        <v>7</v>
      </c>
      <c r="M42" s="12" t="n">
        <v>1</v>
      </c>
      <c r="N42" s="12" t="n">
        <v>36</v>
      </c>
    </row>
    <row r="43">
      <c r="A43" s="4" t="inlineStr">
        <is>
          <t>III</t>
        </is>
      </c>
      <c r="B43" s="4" t="inlineStr">
        <is>
          <t>Nueva Ecija</t>
        </is>
      </c>
      <c r="C43" s="11" t="n">
        <v>35</v>
      </c>
      <c r="D43" s="11" t="n">
        <v>13</v>
      </c>
      <c r="E43" s="11" t="n">
        <v>4</v>
      </c>
      <c r="F43" s="11" t="n">
        <v>4</v>
      </c>
      <c r="G43" s="11" t="n">
        <v>8</v>
      </c>
      <c r="H43" s="11" t="n">
        <v>6</v>
      </c>
      <c r="I43" s="12" t="n">
        <v>80672</v>
      </c>
      <c r="J43" s="12" t="n">
        <v>23045</v>
      </c>
      <c r="K43" s="12" t="n">
        <v>6927</v>
      </c>
      <c r="L43" s="12" t="n">
        <v>15</v>
      </c>
      <c r="M43" s="12" t="n">
        <v>4</v>
      </c>
      <c r="N43" s="12" t="n">
        <v>31</v>
      </c>
    </row>
    <row r="44">
      <c r="A44" s="4" t="inlineStr">
        <is>
          <t>NIR</t>
        </is>
      </c>
      <c r="B44" s="4" t="inlineStr">
        <is>
          <t>Negros Occidental</t>
        </is>
      </c>
      <c r="C44" s="11" t="n">
        <v>35</v>
      </c>
      <c r="D44" s="11" t="n">
        <v>26</v>
      </c>
      <c r="E44" s="11" t="n">
        <v>1</v>
      </c>
      <c r="F44" s="11" t="n">
        <v>0</v>
      </c>
      <c r="G44" s="11" t="n">
        <v>4</v>
      </c>
      <c r="H44" s="11" t="n">
        <v>4</v>
      </c>
      <c r="I44" s="12" t="n">
        <v>82758</v>
      </c>
      <c r="J44" s="12" t="n">
        <v>21873</v>
      </c>
      <c r="K44" s="12" t="n">
        <v>6562</v>
      </c>
      <c r="L44" s="12" t="n">
        <v>27</v>
      </c>
      <c r="M44" s="12" t="n">
        <v>3</v>
      </c>
      <c r="N44" s="12" t="n">
        <v>32</v>
      </c>
    </row>
    <row r="45">
      <c r="A45" s="4" t="inlineStr">
        <is>
          <t>Cordillera Administrative Region (CAR)</t>
        </is>
      </c>
      <c r="B45" s="4" t="inlineStr">
        <is>
          <t>Apayao</t>
        </is>
      </c>
      <c r="C45" s="11" t="n">
        <v>35</v>
      </c>
      <c r="D45" s="11" t="n">
        <v>11</v>
      </c>
      <c r="E45" s="11" t="n">
        <v>3</v>
      </c>
      <c r="F45" s="11" t="n">
        <v>1</v>
      </c>
      <c r="G45" s="11" t="n">
        <v>11</v>
      </c>
      <c r="H45" s="11" t="n">
        <v>9</v>
      </c>
      <c r="I45" s="12" t="n">
        <v>23237</v>
      </c>
      <c r="J45" s="12" t="n">
        <v>5532</v>
      </c>
      <c r="K45" s="12" t="n">
        <v>1659</v>
      </c>
      <c r="L45" s="12" t="n">
        <v>13</v>
      </c>
      <c r="M45" s="12" t="n">
        <v>24</v>
      </c>
      <c r="N45" s="12" t="n">
        <v>11</v>
      </c>
    </row>
    <row r="46">
      <c r="A46" s="4" t="inlineStr">
        <is>
          <t>Region XI (Davao Region)</t>
        </is>
      </c>
      <c r="B46" s="4" t="inlineStr">
        <is>
          <t>Davao de Oro</t>
        </is>
      </c>
      <c r="C46" s="11" t="n">
        <v>34</v>
      </c>
      <c r="D46" s="11" t="n">
        <v>18</v>
      </c>
      <c r="E46" s="11" t="n">
        <v>4</v>
      </c>
      <c r="F46" s="11" t="n">
        <v>5</v>
      </c>
      <c r="G46" s="11" t="n">
        <v>4</v>
      </c>
      <c r="H46" s="11" t="n">
        <v>3</v>
      </c>
      <c r="I46" s="12" t="n">
        <v>72967</v>
      </c>
      <c r="J46" s="12" t="n">
        <v>19722</v>
      </c>
      <c r="K46" s="12" t="n">
        <v>5916</v>
      </c>
      <c r="L46" s="12" t="n">
        <v>20</v>
      </c>
      <c r="M46" s="12" t="n">
        <v>33</v>
      </c>
      <c r="N46" s="12" t="n">
        <v>1</v>
      </c>
    </row>
    <row r="47">
      <c r="A47" s="4" t="inlineStr">
        <is>
          <t>Region V (Bicol Region)</t>
        </is>
      </c>
      <c r="B47" s="4" t="inlineStr">
        <is>
          <t>Masbate</t>
        </is>
      </c>
      <c r="C47" s="11" t="n">
        <v>34</v>
      </c>
      <c r="D47" s="11" t="n">
        <v>1</v>
      </c>
      <c r="E47" s="11" t="n">
        <v>8</v>
      </c>
      <c r="F47" s="11" t="n">
        <v>5</v>
      </c>
      <c r="G47" s="11" t="n">
        <v>9</v>
      </c>
      <c r="H47" s="11" t="n">
        <v>11</v>
      </c>
      <c r="I47" s="12" t="n">
        <v>37519</v>
      </c>
      <c r="J47" s="12" t="n">
        <v>9149</v>
      </c>
      <c r="K47" s="12" t="n">
        <v>2745</v>
      </c>
      <c r="L47" s="12" t="n">
        <v>9</v>
      </c>
      <c r="M47" s="12" t="n">
        <v>30</v>
      </c>
      <c r="N47" s="12" t="n">
        <v>4</v>
      </c>
    </row>
    <row r="48">
      <c r="A48" s="4" t="inlineStr">
        <is>
          <t>Region V (Bicol Region)</t>
        </is>
      </c>
      <c r="B48" s="4" t="inlineStr">
        <is>
          <t>Camarines Sur</t>
        </is>
      </c>
      <c r="C48" s="11" t="n">
        <v>32</v>
      </c>
      <c r="D48" s="11" t="n">
        <v>5</v>
      </c>
      <c r="E48" s="11" t="n">
        <v>6</v>
      </c>
      <c r="F48" s="11" t="n">
        <v>3</v>
      </c>
      <c r="G48" s="11" t="n">
        <v>7</v>
      </c>
      <c r="H48" s="11" t="n">
        <v>11</v>
      </c>
      <c r="I48" s="12" t="n">
        <v>39403</v>
      </c>
      <c r="J48" s="12" t="n">
        <v>9385</v>
      </c>
      <c r="K48" s="12" t="n">
        <v>2817</v>
      </c>
      <c r="L48" s="12" t="n">
        <v>10</v>
      </c>
      <c r="M48" s="12" t="n">
        <v>15</v>
      </c>
      <c r="N48" s="12" t="n">
        <v>17</v>
      </c>
    </row>
    <row r="49">
      <c r="A49" s="4" t="inlineStr">
        <is>
          <t>Region XI (Davao Region)</t>
        </is>
      </c>
      <c r="B49" s="4" t="inlineStr">
        <is>
          <t>Davao Oriental</t>
        </is>
      </c>
      <c r="C49" s="11" t="n">
        <v>32</v>
      </c>
      <c r="D49" s="11" t="n">
        <v>9</v>
      </c>
      <c r="E49" s="11" t="n">
        <v>12</v>
      </c>
      <c r="F49" s="11" t="n">
        <v>5</v>
      </c>
      <c r="G49" s="11" t="n">
        <v>3</v>
      </c>
      <c r="H49" s="11" t="n">
        <v>3</v>
      </c>
      <c r="I49" s="12" t="n">
        <v>70253</v>
      </c>
      <c r="J49" s="12" t="n">
        <v>19515</v>
      </c>
      <c r="K49" s="12" t="n">
        <v>5855</v>
      </c>
      <c r="L49" s="12" t="n">
        <v>19</v>
      </c>
      <c r="M49" s="12" t="n">
        <v>32</v>
      </c>
      <c r="N49" s="12" t="n">
        <v>0</v>
      </c>
    </row>
    <row r="50">
      <c r="A50" s="4" t="inlineStr">
        <is>
          <t>Region XI (Davao Region)</t>
        </is>
      </c>
      <c r="B50" s="4" t="inlineStr">
        <is>
          <t>Davao Occidental</t>
        </is>
      </c>
      <c r="C50" s="11" t="n">
        <v>31</v>
      </c>
      <c r="D50" s="11" t="n">
        <v>12</v>
      </c>
      <c r="E50" s="11" t="n">
        <v>12</v>
      </c>
      <c r="F50" s="11" t="n">
        <v>1</v>
      </c>
      <c r="G50" s="11" t="n">
        <v>4</v>
      </c>
      <c r="H50" s="11" t="n">
        <v>2</v>
      </c>
      <c r="I50" s="12" t="n">
        <v>88953</v>
      </c>
      <c r="J50" s="12" t="n">
        <v>24490</v>
      </c>
      <c r="K50" s="12" t="n">
        <v>7349</v>
      </c>
      <c r="L50" s="12" t="n">
        <v>24</v>
      </c>
      <c r="M50" s="12" t="n">
        <v>31</v>
      </c>
      <c r="N50" s="12" t="n">
        <v>0</v>
      </c>
    </row>
    <row r="51">
      <c r="A51" s="4" t="inlineStr">
        <is>
          <t>Region II (Cagayan Valley)</t>
        </is>
      </c>
      <c r="B51" s="4" t="inlineStr">
        <is>
          <t>Batanes</t>
        </is>
      </c>
      <c r="C51" s="11" t="n">
        <v>29</v>
      </c>
      <c r="D51" s="11" t="n">
        <v>6</v>
      </c>
      <c r="E51" s="11" t="n">
        <v>1</v>
      </c>
      <c r="F51" s="11" t="n">
        <v>4</v>
      </c>
      <c r="G51" s="11" t="n">
        <v>9</v>
      </c>
      <c r="H51" s="11" t="n">
        <v>9</v>
      </c>
      <c r="I51" s="12" t="n">
        <v>18940</v>
      </c>
      <c r="J51" s="12" t="n">
        <v>6313</v>
      </c>
      <c r="K51" s="12" t="n">
        <v>1893</v>
      </c>
      <c r="L51" s="12" t="n">
        <v>6</v>
      </c>
      <c r="M51" s="12" t="n">
        <v>29</v>
      </c>
      <c r="N51" s="12" t="n">
        <v>0</v>
      </c>
    </row>
    <row r="52">
      <c r="A52" s="4" t="inlineStr">
        <is>
          <t>Bangsamoro Autonomous Region In Muslim Mindanao (BARMM)</t>
        </is>
      </c>
      <c r="B52" s="4" t="inlineStr">
        <is>
          <t>Basilan</t>
        </is>
      </c>
      <c r="C52" s="11" t="n">
        <v>29</v>
      </c>
      <c r="D52" s="11" t="n">
        <v>0</v>
      </c>
      <c r="E52" s="11" t="n">
        <v>4</v>
      </c>
      <c r="F52" s="11" t="n">
        <v>16</v>
      </c>
      <c r="G52" s="11" t="n">
        <v>8</v>
      </c>
      <c r="H52" s="11" t="n">
        <v>1</v>
      </c>
      <c r="I52" s="12" t="n">
        <v>59606</v>
      </c>
      <c r="J52" s="12" t="n">
        <v>11688</v>
      </c>
      <c r="K52" s="12" t="n">
        <v>3504</v>
      </c>
      <c r="L52" s="12" t="n">
        <v>3</v>
      </c>
      <c r="M52" s="12" t="n">
        <v>29</v>
      </c>
      <c r="N52" s="12" t="n">
        <v>0</v>
      </c>
    </row>
    <row r="53">
      <c r="A53" s="4" t="inlineStr">
        <is>
          <t>Region III (Central Luzon)</t>
        </is>
      </c>
      <c r="B53" s="4" t="inlineStr">
        <is>
          <t>Bataan</t>
        </is>
      </c>
      <c r="C53" s="11" t="n">
        <v>28</v>
      </c>
      <c r="D53" s="11" t="n">
        <v>1</v>
      </c>
      <c r="E53" s="11" t="n">
        <v>3</v>
      </c>
      <c r="F53" s="11" t="n">
        <v>5</v>
      </c>
      <c r="G53" s="11" t="n">
        <v>6</v>
      </c>
      <c r="H53" s="11" t="n">
        <v>13</v>
      </c>
      <c r="I53" s="12" t="n">
        <v>90645</v>
      </c>
      <c r="J53" s="12" t="n">
        <v>25179</v>
      </c>
      <c r="K53" s="12" t="n">
        <v>7554</v>
      </c>
      <c r="L53" s="12" t="n">
        <v>1</v>
      </c>
      <c r="M53" s="12" t="n">
        <v>2</v>
      </c>
      <c r="N53" s="12" t="n">
        <v>26</v>
      </c>
    </row>
    <row r="54">
      <c r="A54" s="4" t="inlineStr">
        <is>
          <t>Region III (Central Luzon)</t>
        </is>
      </c>
      <c r="B54" s="4" t="inlineStr">
        <is>
          <t>Bulacan</t>
        </is>
      </c>
      <c r="C54" s="11" t="n">
        <v>26</v>
      </c>
      <c r="D54" s="11" t="n">
        <v>0</v>
      </c>
      <c r="E54" s="11" t="n">
        <v>2</v>
      </c>
      <c r="F54" s="11" t="n">
        <v>2</v>
      </c>
      <c r="G54" s="11" t="n">
        <v>9</v>
      </c>
      <c r="H54" s="11" t="n">
        <v>13</v>
      </c>
      <c r="I54" s="12" t="n">
        <v>174435</v>
      </c>
      <c r="J54" s="12" t="n">
        <v>49839</v>
      </c>
      <c r="K54" s="12" t="n">
        <v>14952</v>
      </c>
      <c r="L54" s="12" t="n">
        <v>2</v>
      </c>
      <c r="M54" s="12" t="n">
        <v>4</v>
      </c>
      <c r="N54" s="12" t="n">
        <v>22</v>
      </c>
    </row>
    <row r="55">
      <c r="A55" s="4" t="inlineStr">
        <is>
          <t>Region III (Central Luzon)</t>
        </is>
      </c>
      <c r="B55" s="4" t="inlineStr">
        <is>
          <t>Pampanga</t>
        </is>
      </c>
      <c r="C55" s="11" t="n">
        <v>24</v>
      </c>
      <c r="D55" s="11" t="n">
        <v>0</v>
      </c>
      <c r="E55" s="11" t="n">
        <v>2</v>
      </c>
      <c r="F55" s="11" t="n">
        <v>4</v>
      </c>
      <c r="G55" s="11" t="n">
        <v>14</v>
      </c>
      <c r="H55" s="11" t="n">
        <v>4</v>
      </c>
      <c r="I55" s="12" t="n">
        <v>55472</v>
      </c>
      <c r="J55" s="12" t="n">
        <v>13876</v>
      </c>
      <c r="K55" s="12" t="n">
        <v>4159</v>
      </c>
      <c r="L55" s="12" t="n">
        <v>2</v>
      </c>
      <c r="M55" s="12" t="n">
        <v>3</v>
      </c>
      <c r="N55" s="12" t="n">
        <v>21</v>
      </c>
    </row>
    <row r="56">
      <c r="A56" s="4" t="inlineStr">
        <is>
          <t>Region V (Bicol Region)</t>
        </is>
      </c>
      <c r="B56" s="4" t="inlineStr">
        <is>
          <t>Albay</t>
        </is>
      </c>
      <c r="C56" s="11" t="n">
        <v>21</v>
      </c>
      <c r="D56" s="11" t="n">
        <v>8</v>
      </c>
      <c r="E56" s="11" t="n">
        <v>2</v>
      </c>
      <c r="F56" s="11" t="n">
        <v>3</v>
      </c>
      <c r="G56" s="11" t="n">
        <v>4</v>
      </c>
      <c r="H56" s="11" t="n">
        <v>4</v>
      </c>
      <c r="I56" s="12" t="n">
        <v>25527</v>
      </c>
      <c r="J56" s="12" t="n">
        <v>6227</v>
      </c>
      <c r="K56" s="12" t="n">
        <v>1868</v>
      </c>
      <c r="L56" s="12" t="n">
        <v>10</v>
      </c>
      <c r="M56" s="12" t="n">
        <v>9</v>
      </c>
      <c r="N56" s="12" t="n">
        <v>12</v>
      </c>
    </row>
    <row r="57">
      <c r="A57" s="4" t="inlineStr">
        <is>
          <t>Region V (Bicol Region)</t>
        </is>
      </c>
      <c r="B57" s="4" t="inlineStr">
        <is>
          <t>Sorsogon</t>
        </is>
      </c>
      <c r="C57" s="11" t="n">
        <v>21</v>
      </c>
      <c r="D57" s="11" t="n">
        <v>2</v>
      </c>
      <c r="E57" s="11" t="n">
        <v>14</v>
      </c>
      <c r="F57" s="11" t="n">
        <v>3</v>
      </c>
      <c r="G57" s="11" t="n">
        <v>0</v>
      </c>
      <c r="H57" s="11" t="n">
        <v>2</v>
      </c>
      <c r="I57" s="12" t="n">
        <v>15692</v>
      </c>
      <c r="J57" s="12" t="n">
        <v>3924</v>
      </c>
      <c r="K57" s="12" t="n">
        <v>1178</v>
      </c>
      <c r="L57" s="12" t="n">
        <v>15</v>
      </c>
      <c r="M57" s="12" t="n">
        <v>11</v>
      </c>
      <c r="N57" s="12" t="n">
        <v>10</v>
      </c>
    </row>
    <row r="58">
      <c r="A58" s="4" t="inlineStr">
        <is>
          <t>Region II (Cagayan Valley)</t>
        </is>
      </c>
      <c r="B58" s="4" t="inlineStr">
        <is>
          <t>Quirino</t>
        </is>
      </c>
      <c r="C58" s="11" t="n">
        <v>19</v>
      </c>
      <c r="D58" s="11" t="n">
        <v>16</v>
      </c>
      <c r="E58" s="11" t="n">
        <v>0</v>
      </c>
      <c r="F58" s="11" t="n">
        <v>0</v>
      </c>
      <c r="G58" s="11" t="n">
        <v>2</v>
      </c>
      <c r="H58" s="11" t="n">
        <v>1</v>
      </c>
      <c r="I58" s="12" t="n">
        <v>18078</v>
      </c>
      <c r="J58" s="12" t="n">
        <v>4638</v>
      </c>
      <c r="K58" s="12" t="n">
        <v>1391</v>
      </c>
      <c r="L58" s="12" t="n">
        <v>16</v>
      </c>
      <c r="M58" s="12" t="n">
        <v>14</v>
      </c>
      <c r="N58" s="12" t="n">
        <v>5</v>
      </c>
    </row>
    <row r="59">
      <c r="A59" s="4" t="inlineStr">
        <is>
          <t>Region III (Central Luzon)</t>
        </is>
      </c>
      <c r="B59" s="4" t="inlineStr">
        <is>
          <t>Aurora</t>
        </is>
      </c>
      <c r="C59" s="11" t="n">
        <v>19</v>
      </c>
      <c r="D59" s="11" t="n">
        <v>15</v>
      </c>
      <c r="E59" s="11" t="n">
        <v>0</v>
      </c>
      <c r="F59" s="11" t="n">
        <v>0</v>
      </c>
      <c r="G59" s="11" t="n">
        <v>2</v>
      </c>
      <c r="H59" s="11" t="n">
        <v>2</v>
      </c>
      <c r="I59" s="12" t="n">
        <v>13895</v>
      </c>
      <c r="J59" s="12" t="n">
        <v>3656</v>
      </c>
      <c r="K59" s="12" t="n">
        <v>1097</v>
      </c>
      <c r="L59" s="12" t="n">
        <v>15</v>
      </c>
      <c r="M59" s="12" t="n">
        <v>11</v>
      </c>
      <c r="N59" s="12" t="n">
        <v>8</v>
      </c>
    </row>
    <row r="60">
      <c r="A60" s="4" t="inlineStr">
        <is>
          <t>Cordillera Administrative Region (CAR)</t>
        </is>
      </c>
      <c r="B60" s="4" t="inlineStr">
        <is>
          <t>Ifugao</t>
        </is>
      </c>
      <c r="C60" s="11" t="n">
        <v>19</v>
      </c>
      <c r="D60" s="11" t="n">
        <v>10</v>
      </c>
      <c r="E60" s="11" t="n">
        <v>0</v>
      </c>
      <c r="F60" s="11" t="n">
        <v>1</v>
      </c>
      <c r="G60" s="11" t="n">
        <v>4</v>
      </c>
      <c r="H60" s="11" t="n">
        <v>4</v>
      </c>
      <c r="I60" s="12" t="n">
        <v>15314</v>
      </c>
      <c r="J60" s="12" t="n">
        <v>3927</v>
      </c>
      <c r="K60" s="12" t="n">
        <v>1178</v>
      </c>
      <c r="L60" s="12" t="n">
        <v>10</v>
      </c>
      <c r="M60" s="12" t="n">
        <v>9</v>
      </c>
      <c r="N60" s="12" t="n">
        <v>10</v>
      </c>
    </row>
    <row r="61">
      <c r="A61" s="4" t="inlineStr">
        <is>
          <t>Region VIII (Eastern Visayas)</t>
        </is>
      </c>
      <c r="B61" s="4" t="inlineStr">
        <is>
          <t>Southern Leyte</t>
        </is>
      </c>
      <c r="C61" s="11" t="n">
        <v>18</v>
      </c>
      <c r="D61" s="11" t="n">
        <v>11</v>
      </c>
      <c r="E61" s="11" t="n">
        <v>1</v>
      </c>
      <c r="F61" s="11" t="n">
        <v>0</v>
      </c>
      <c r="G61" s="11" t="n">
        <v>1</v>
      </c>
      <c r="H61" s="11" t="n">
        <v>5</v>
      </c>
      <c r="I61" s="12" t="n">
        <v>5724</v>
      </c>
      <c r="J61" s="12" t="n">
        <v>1397</v>
      </c>
      <c r="K61" s="12" t="n">
        <v>418</v>
      </c>
      <c r="L61" s="12" t="n">
        <v>12</v>
      </c>
      <c r="M61" s="12" t="n">
        <v>16</v>
      </c>
      <c r="N61" s="12" t="n">
        <v>2</v>
      </c>
    </row>
    <row r="62">
      <c r="A62" s="4" t="inlineStr">
        <is>
          <t>BARMM (LaMa+SGA)</t>
        </is>
      </c>
      <c r="B62" s="4" t="inlineStr">
        <is>
          <t>Lanao Del Sur</t>
        </is>
      </c>
      <c r="C62" s="11" t="n">
        <v>18</v>
      </c>
      <c r="D62" s="11" t="n">
        <v>1</v>
      </c>
      <c r="E62" s="11" t="n">
        <v>3</v>
      </c>
      <c r="F62" s="11" t="n">
        <v>3</v>
      </c>
      <c r="G62" s="11" t="n">
        <v>8</v>
      </c>
      <c r="H62" s="11" t="n">
        <v>3</v>
      </c>
      <c r="I62" s="12" t="n">
        <v>45324</v>
      </c>
      <c r="J62" s="12" t="n">
        <v>7956</v>
      </c>
      <c r="K62" s="12" t="n">
        <v>2394</v>
      </c>
      <c r="L62" s="12" t="n">
        <v>1</v>
      </c>
      <c r="M62" s="12" t="n">
        <v>18</v>
      </c>
      <c r="N62" s="12" t="n">
        <v>0</v>
      </c>
    </row>
    <row r="63">
      <c r="A63" s="4" t="inlineStr">
        <is>
          <t>Region X (Northern Mindanao)</t>
        </is>
      </c>
      <c r="B63" s="4" t="inlineStr">
        <is>
          <t>Misamis Occidental</t>
        </is>
      </c>
      <c r="C63" s="11" t="n">
        <v>18</v>
      </c>
      <c r="D63" s="11" t="n">
        <v>2</v>
      </c>
      <c r="E63" s="11" t="n">
        <v>5</v>
      </c>
      <c r="F63" s="11" t="n">
        <v>0</v>
      </c>
      <c r="G63" s="11" t="n">
        <v>2</v>
      </c>
      <c r="H63" s="11" t="n">
        <v>9</v>
      </c>
      <c r="I63" s="12" t="n">
        <v>9174</v>
      </c>
      <c r="J63" s="12" t="n">
        <v>2351</v>
      </c>
      <c r="K63" s="12" t="n">
        <v>705</v>
      </c>
      <c r="L63" s="12" t="n">
        <v>7</v>
      </c>
      <c r="M63" s="12" t="n">
        <v>18</v>
      </c>
      <c r="N63" s="12" t="n">
        <v>0</v>
      </c>
    </row>
    <row r="64">
      <c r="A64" s="4" t="inlineStr">
        <is>
          <t>Region I (Ilocos Region)</t>
        </is>
      </c>
      <c r="B64" s="4" t="inlineStr">
        <is>
          <t>La Union</t>
        </is>
      </c>
      <c r="C64" s="11" t="n">
        <v>17</v>
      </c>
      <c r="D64" s="11" t="n">
        <v>2</v>
      </c>
      <c r="E64" s="11" t="n">
        <v>2</v>
      </c>
      <c r="F64" s="11" t="n">
        <v>4</v>
      </c>
      <c r="G64" s="11" t="n">
        <v>2</v>
      </c>
      <c r="H64" s="11" t="n">
        <v>7</v>
      </c>
      <c r="I64" s="12" t="n">
        <v>25616</v>
      </c>
      <c r="J64" s="12" t="n">
        <v>6925</v>
      </c>
      <c r="K64" s="12" t="n">
        <v>2076</v>
      </c>
      <c r="L64" s="12" t="n">
        <v>3</v>
      </c>
      <c r="M64" s="12" t="n">
        <v>8</v>
      </c>
      <c r="N64" s="12" t="n">
        <v>9</v>
      </c>
    </row>
    <row r="65">
      <c r="A65" s="4" t="inlineStr">
        <is>
          <t>I</t>
        </is>
      </c>
      <c r="B65" s="4" t="inlineStr">
        <is>
          <t>Pangasinan</t>
        </is>
      </c>
      <c r="C65" s="11" t="n">
        <v>16</v>
      </c>
      <c r="D65" s="11" t="n">
        <v>6</v>
      </c>
      <c r="E65" s="11" t="n">
        <v>1</v>
      </c>
      <c r="F65" s="11" t="n">
        <v>2</v>
      </c>
      <c r="G65" s="11" t="n">
        <v>4</v>
      </c>
      <c r="H65" s="11" t="n">
        <v>3</v>
      </c>
      <c r="I65" s="12" t="n">
        <v>27610</v>
      </c>
      <c r="J65" s="12" t="n">
        <v>7668</v>
      </c>
      <c r="K65" s="12" t="n">
        <v>2303</v>
      </c>
      <c r="L65" s="12" t="n">
        <v>6</v>
      </c>
      <c r="M65" s="12" t="n">
        <v>5</v>
      </c>
      <c r="N65" s="12" t="n">
        <v>11</v>
      </c>
    </row>
    <row r="66">
      <c r="A66" s="4" t="inlineStr">
        <is>
          <t>Cordillera Administrative Region (CAR)</t>
        </is>
      </c>
      <c r="B66" s="4" t="inlineStr">
        <is>
          <t>Mountain Province</t>
        </is>
      </c>
      <c r="C66" s="11" t="n">
        <v>16</v>
      </c>
      <c r="D66" s="11" t="n">
        <v>7</v>
      </c>
      <c r="E66" s="11" t="n">
        <v>1</v>
      </c>
      <c r="F66" s="11" t="n">
        <v>1</v>
      </c>
      <c r="G66" s="11" t="n">
        <v>3</v>
      </c>
      <c r="H66" s="11" t="n">
        <v>4</v>
      </c>
      <c r="I66" s="12" t="n">
        <v>12794</v>
      </c>
      <c r="J66" s="12" t="n">
        <v>3460</v>
      </c>
      <c r="K66" s="12" t="n">
        <v>1038</v>
      </c>
      <c r="L66" s="12" t="n">
        <v>8</v>
      </c>
      <c r="M66" s="12" t="n">
        <v>8</v>
      </c>
      <c r="N66" s="12" t="n">
        <v>8</v>
      </c>
    </row>
    <row r="67">
      <c r="A67" s="4" t="inlineStr">
        <is>
          <t>Region IX (Zamboanga Peninsula)</t>
        </is>
      </c>
      <c r="B67" s="4" t="inlineStr">
        <is>
          <t>Zamboanga del Norte</t>
        </is>
      </c>
      <c r="C67" s="11" t="n">
        <v>16</v>
      </c>
      <c r="D67" s="11" t="n">
        <v>3</v>
      </c>
      <c r="E67" s="11" t="n">
        <v>2</v>
      </c>
      <c r="F67" s="11" t="n">
        <v>3</v>
      </c>
      <c r="G67" s="11" t="n">
        <v>2</v>
      </c>
      <c r="H67" s="11" t="n">
        <v>6</v>
      </c>
      <c r="I67" s="12" t="n">
        <v>12858</v>
      </c>
      <c r="J67" s="12" t="n">
        <v>3571</v>
      </c>
      <c r="K67" s="12" t="n">
        <v>1070</v>
      </c>
      <c r="L67" s="12" t="n">
        <v>5</v>
      </c>
      <c r="M67" s="12" t="n">
        <v>16</v>
      </c>
      <c r="N67" s="12" t="n">
        <v>0</v>
      </c>
    </row>
    <row r="68">
      <c r="A68" s="4" t="inlineStr">
        <is>
          <t>Region VII (Central Visayas)</t>
        </is>
      </c>
      <c r="B68" s="4" t="inlineStr">
        <is>
          <t>Negros Oriental</t>
        </is>
      </c>
      <c r="C68" s="11" t="n">
        <v>15</v>
      </c>
      <c r="D68" s="11" t="n">
        <v>0</v>
      </c>
      <c r="E68" s="11" t="n">
        <v>2</v>
      </c>
      <c r="F68" s="11" t="n">
        <v>1</v>
      </c>
      <c r="G68" s="11" t="n">
        <v>1</v>
      </c>
      <c r="H68" s="11" t="n">
        <v>11</v>
      </c>
      <c r="I68" s="12" t="n">
        <v>23802</v>
      </c>
      <c r="J68" s="12" t="n">
        <v>6265</v>
      </c>
      <c r="K68" s="12" t="n">
        <v>1878</v>
      </c>
      <c r="L68" s="12" t="n">
        <v>2</v>
      </c>
      <c r="M68" s="12" t="n">
        <v>9</v>
      </c>
      <c r="N68" s="12" t="n">
        <v>6</v>
      </c>
    </row>
    <row r="69">
      <c r="A69" s="4" t="inlineStr">
        <is>
          <t>Region XIII (Caraga)</t>
        </is>
      </c>
      <c r="B69" s="4" t="inlineStr">
        <is>
          <t>Surigao del Sur</t>
        </is>
      </c>
      <c r="C69" s="11" t="n">
        <v>14</v>
      </c>
      <c r="D69" s="11" t="n">
        <v>1</v>
      </c>
      <c r="E69" s="11" t="n">
        <v>2</v>
      </c>
      <c r="F69" s="11" t="n">
        <v>1</v>
      </c>
      <c r="G69" s="11" t="n">
        <v>0</v>
      </c>
      <c r="H69" s="11" t="n">
        <v>10</v>
      </c>
      <c r="I69" s="12" t="n">
        <v>17043</v>
      </c>
      <c r="J69" s="12" t="n">
        <v>4156</v>
      </c>
      <c r="K69" s="12" t="n">
        <v>1247</v>
      </c>
      <c r="L69" s="12" t="n">
        <v>3</v>
      </c>
      <c r="M69" s="12" t="n">
        <v>13</v>
      </c>
      <c r="N69" s="12" t="n">
        <v>1</v>
      </c>
    </row>
    <row r="70">
      <c r="A70" s="4" t="inlineStr">
        <is>
          <t>Region XII (SOCCSKSARGEN)</t>
        </is>
      </c>
      <c r="B70" s="4" t="inlineStr">
        <is>
          <t>Sarangani</t>
        </is>
      </c>
      <c r="C70" s="11" t="n">
        <v>14</v>
      </c>
      <c r="D70" s="11" t="n">
        <v>4</v>
      </c>
      <c r="E70" s="11" t="n">
        <v>6</v>
      </c>
      <c r="F70" s="11" t="n">
        <v>1</v>
      </c>
      <c r="G70" s="11" t="n">
        <v>0</v>
      </c>
      <c r="H70" s="11" t="n">
        <v>3</v>
      </c>
      <c r="I70" s="12" t="n">
        <v>55500</v>
      </c>
      <c r="J70" s="12" t="n">
        <v>14231</v>
      </c>
      <c r="K70" s="12" t="n">
        <v>4269</v>
      </c>
      <c r="L70" s="12" t="n">
        <v>10</v>
      </c>
      <c r="M70" s="12" t="n">
        <v>14</v>
      </c>
      <c r="N70" s="12" t="n">
        <v>0</v>
      </c>
    </row>
    <row r="71">
      <c r="A71" s="4" t="inlineStr">
        <is>
          <t>Region X (Northern Mindanao)</t>
        </is>
      </c>
      <c r="B71" s="4" t="inlineStr">
        <is>
          <t>Bukidnon</t>
        </is>
      </c>
      <c r="C71" s="11" t="n">
        <v>13</v>
      </c>
      <c r="D71" s="11" t="n">
        <v>0</v>
      </c>
      <c r="E71" s="11" t="n">
        <v>1</v>
      </c>
      <c r="F71" s="11" t="n">
        <v>1</v>
      </c>
      <c r="G71" s="11" t="n">
        <v>0</v>
      </c>
      <c r="H71" s="11" t="n">
        <v>11</v>
      </c>
      <c r="I71" s="12" t="n">
        <v>21817</v>
      </c>
      <c r="J71" s="12" t="n">
        <v>5742</v>
      </c>
      <c r="K71" s="12" t="n">
        <v>1723</v>
      </c>
      <c r="L71" s="12" t="n">
        <v>1</v>
      </c>
      <c r="M71" s="12" t="n">
        <v>11</v>
      </c>
      <c r="N71" s="12" t="n">
        <v>2</v>
      </c>
    </row>
    <row r="72">
      <c r="A72" s="4" t="inlineStr">
        <is>
          <t>Region V (Bicol Region)</t>
        </is>
      </c>
      <c r="B72" s="4" t="inlineStr">
        <is>
          <t>Catanduanes</t>
        </is>
      </c>
      <c r="C72" s="11" t="n">
        <v>12</v>
      </c>
      <c r="D72" s="11" t="n">
        <v>6</v>
      </c>
      <c r="E72" s="11" t="n">
        <v>2</v>
      </c>
      <c r="F72" s="11" t="n">
        <v>2</v>
      </c>
      <c r="G72" s="11" t="n">
        <v>0</v>
      </c>
      <c r="H72" s="11" t="n">
        <v>2</v>
      </c>
      <c r="I72" s="12" t="n">
        <v>8454</v>
      </c>
      <c r="J72" s="12" t="n">
        <v>2012</v>
      </c>
      <c r="K72" s="12" t="n">
        <v>604</v>
      </c>
      <c r="L72" s="12" t="n">
        <v>8</v>
      </c>
      <c r="M72" s="12" t="n">
        <v>12</v>
      </c>
      <c r="N72" s="12" t="n">
        <v>0</v>
      </c>
    </row>
    <row r="73">
      <c r="A73" s="4" t="inlineStr">
        <is>
          <t>IX</t>
        </is>
      </c>
      <c r="B73" s="4" t="inlineStr">
        <is>
          <t>Zamboanga Del Sur</t>
        </is>
      </c>
      <c r="C73" s="11" t="n">
        <v>11</v>
      </c>
      <c r="D73" s="11" t="n">
        <v>1</v>
      </c>
      <c r="E73" s="11" t="n">
        <v>0</v>
      </c>
      <c r="F73" s="11" t="n">
        <v>0</v>
      </c>
      <c r="G73" s="11" t="n">
        <v>1</v>
      </c>
      <c r="H73" s="11" t="n">
        <v>9</v>
      </c>
      <c r="I73" s="12" t="n">
        <v>25355</v>
      </c>
      <c r="J73" s="12" t="n">
        <v>6501</v>
      </c>
      <c r="K73" s="12" t="n">
        <v>1947</v>
      </c>
      <c r="L73" s="12" t="n">
        <v>1</v>
      </c>
      <c r="M73" s="12" t="n">
        <v>9</v>
      </c>
      <c r="N73" s="12" t="n">
        <v>2</v>
      </c>
    </row>
    <row r="74">
      <c r="A74" s="4" t="inlineStr">
        <is>
          <t>MIMAROPA Region</t>
        </is>
      </c>
      <c r="B74" s="4" t="inlineStr">
        <is>
          <t>Marinduque</t>
        </is>
      </c>
      <c r="C74" s="11" t="n">
        <v>10</v>
      </c>
      <c r="D74" s="11" t="n">
        <v>2</v>
      </c>
      <c r="E74" s="11" t="n">
        <v>2</v>
      </c>
      <c r="F74" s="11" t="n">
        <v>0</v>
      </c>
      <c r="G74" s="11" t="n">
        <v>2</v>
      </c>
      <c r="H74" s="11" t="n">
        <v>4</v>
      </c>
      <c r="I74" s="12" t="n">
        <v>5720</v>
      </c>
      <c r="J74" s="12" t="n">
        <v>1504</v>
      </c>
      <c r="K74" s="12" t="n">
        <v>452</v>
      </c>
      <c r="L74" s="12" t="n">
        <v>2</v>
      </c>
      <c r="M74" s="12" t="n">
        <v>10</v>
      </c>
      <c r="N74" s="12" t="n">
        <v>0</v>
      </c>
    </row>
    <row r="75">
      <c r="A75" s="4" t="inlineStr">
        <is>
          <t>VII</t>
        </is>
      </c>
      <c r="B75" s="4" t="inlineStr">
        <is>
          <t>Bohol</t>
        </is>
      </c>
      <c r="C75" s="11" t="n">
        <v>10</v>
      </c>
      <c r="D75" s="11" t="n">
        <v>1</v>
      </c>
      <c r="E75" s="11" t="n">
        <v>2</v>
      </c>
      <c r="F75" s="11" t="n">
        <v>2</v>
      </c>
      <c r="G75" s="11" t="n">
        <v>2</v>
      </c>
      <c r="H75" s="11" t="n">
        <v>3</v>
      </c>
      <c r="I75" s="12" t="n">
        <v>9929</v>
      </c>
      <c r="J75" s="12" t="n">
        <v>2481</v>
      </c>
      <c r="K75" s="12" t="n">
        <v>745</v>
      </c>
      <c r="L75" s="12" t="n">
        <v>3</v>
      </c>
      <c r="M75" s="12" t="n">
        <v>7</v>
      </c>
      <c r="N75" s="12" t="n">
        <v>3</v>
      </c>
    </row>
    <row r="76">
      <c r="A76" s="4" t="inlineStr">
        <is>
          <t>Region XIII (Caraga)</t>
        </is>
      </c>
      <c r="B76" s="4" t="inlineStr">
        <is>
          <t>Agusan del Sur</t>
        </is>
      </c>
      <c r="C76" s="11" t="n">
        <v>10</v>
      </c>
      <c r="D76" s="11" t="n">
        <v>0</v>
      </c>
      <c r="E76" s="11" t="n">
        <v>2</v>
      </c>
      <c r="F76" s="11" t="n">
        <v>1</v>
      </c>
      <c r="G76" s="11" t="n">
        <v>1</v>
      </c>
      <c r="H76" s="11" t="n">
        <v>6</v>
      </c>
      <c r="I76" s="12" t="n">
        <v>8581</v>
      </c>
      <c r="J76" s="12" t="n">
        <v>2200</v>
      </c>
      <c r="K76" s="12" t="n">
        <v>661</v>
      </c>
      <c r="L76" s="12" t="n">
        <v>2</v>
      </c>
      <c r="M76" s="12" t="n">
        <v>9</v>
      </c>
      <c r="N76" s="12" t="n">
        <v>1</v>
      </c>
    </row>
    <row r="77">
      <c r="A77" s="4" t="inlineStr">
        <is>
          <t>XIII</t>
        </is>
      </c>
      <c r="B77" s="4" t="inlineStr">
        <is>
          <t>Agusan Del Norte</t>
        </is>
      </c>
      <c r="C77" s="11" t="n">
        <v>10</v>
      </c>
      <c r="D77" s="11" t="n">
        <v>0</v>
      </c>
      <c r="E77" s="11" t="n">
        <v>0</v>
      </c>
      <c r="F77" s="11" t="n">
        <v>0</v>
      </c>
      <c r="G77" s="11" t="n">
        <v>2</v>
      </c>
      <c r="H77" s="11" t="n">
        <v>8</v>
      </c>
      <c r="I77" s="12" t="n">
        <v>22940</v>
      </c>
      <c r="J77" s="12" t="n">
        <v>5600</v>
      </c>
      <c r="K77" s="12" t="n">
        <v>1680</v>
      </c>
      <c r="L77" s="12" t="n">
        <v>0</v>
      </c>
      <c r="M77" s="12" t="n">
        <v>9</v>
      </c>
      <c r="N77" s="12" t="n">
        <v>1</v>
      </c>
    </row>
    <row r="78">
      <c r="A78" s="4" t="inlineStr">
        <is>
          <t>Region XI (Davao Region)</t>
        </is>
      </c>
      <c r="B78" s="4" t="inlineStr">
        <is>
          <t>Davao del Norte</t>
        </is>
      </c>
      <c r="C78" s="11" t="n">
        <v>9</v>
      </c>
      <c r="D78" s="11" t="n">
        <v>1</v>
      </c>
      <c r="E78" s="11" t="n">
        <v>0</v>
      </c>
      <c r="F78" s="11" t="n">
        <v>2</v>
      </c>
      <c r="G78" s="11" t="n">
        <v>3</v>
      </c>
      <c r="H78" s="11" t="n">
        <v>3</v>
      </c>
      <c r="I78" s="12" t="n">
        <v>56233</v>
      </c>
      <c r="J78" s="12" t="n">
        <v>15197</v>
      </c>
      <c r="K78" s="12" t="n">
        <v>4560</v>
      </c>
      <c r="L78" s="12" t="n">
        <v>1</v>
      </c>
      <c r="M78" s="12" t="n">
        <v>4</v>
      </c>
      <c r="N78" s="12" t="n">
        <v>5</v>
      </c>
    </row>
    <row r="79">
      <c r="A79" s="4" t="inlineStr">
        <is>
          <t>Region V (Bicol Region)</t>
        </is>
      </c>
      <c r="B79" s="4" t="inlineStr">
        <is>
          <t>Camarines Norte</t>
        </is>
      </c>
      <c r="C79" s="11" t="n">
        <v>8</v>
      </c>
      <c r="D79" s="11" t="n">
        <v>2</v>
      </c>
      <c r="E79" s="11" t="n">
        <v>4</v>
      </c>
      <c r="F79" s="11" t="n">
        <v>1</v>
      </c>
      <c r="G79" s="11" t="n">
        <v>1</v>
      </c>
      <c r="H79" s="11" t="n">
        <v>0</v>
      </c>
      <c r="I79" s="12" t="n">
        <v>8024</v>
      </c>
      <c r="J79" s="12" t="n">
        <v>2005</v>
      </c>
      <c r="K79" s="12" t="n">
        <v>602</v>
      </c>
      <c r="L79" s="12" t="n">
        <v>6</v>
      </c>
      <c r="M79" s="12" t="n">
        <v>8</v>
      </c>
      <c r="N79" s="12" t="n">
        <v>0</v>
      </c>
    </row>
    <row r="80">
      <c r="A80" s="4" t="inlineStr">
        <is>
          <t>Region XII (SOCCSKSARGEN)</t>
        </is>
      </c>
      <c r="B80" s="4" t="inlineStr">
        <is>
          <t>Cotabato</t>
        </is>
      </c>
      <c r="C80" s="11" t="n">
        <v>7</v>
      </c>
      <c r="D80" s="11" t="n">
        <v>0</v>
      </c>
      <c r="E80" s="11" t="n">
        <v>0</v>
      </c>
      <c r="F80" s="11" t="n">
        <v>0</v>
      </c>
      <c r="G80" s="11" t="n">
        <v>3</v>
      </c>
      <c r="H80" s="11" t="n">
        <v>4</v>
      </c>
      <c r="I80" s="12" t="n">
        <v>13259</v>
      </c>
      <c r="J80" s="12" t="n">
        <v>3489</v>
      </c>
      <c r="K80" s="12" t="n">
        <v>1046</v>
      </c>
      <c r="L80" s="12" t="n">
        <v>0</v>
      </c>
      <c r="M80" s="12" t="n">
        <v>7</v>
      </c>
      <c r="N80" s="12" t="n">
        <v>0</v>
      </c>
    </row>
    <row r="81">
      <c r="A81" s="4" t="inlineStr">
        <is>
          <t>Region XI (Davao Region)</t>
        </is>
      </c>
      <c r="B81" s="4" t="inlineStr">
        <is>
          <t>Davao del Sur</t>
        </is>
      </c>
      <c r="C81" s="11" t="n">
        <v>6</v>
      </c>
      <c r="D81" s="11" t="n">
        <v>1</v>
      </c>
      <c r="E81" s="11" t="n">
        <v>1</v>
      </c>
      <c r="F81" s="11" t="n">
        <v>1</v>
      </c>
      <c r="G81" s="11" t="n">
        <v>1</v>
      </c>
      <c r="H81" s="11" t="n">
        <v>2</v>
      </c>
      <c r="I81" s="12" t="n">
        <v>11274</v>
      </c>
      <c r="J81" s="12" t="n">
        <v>3318</v>
      </c>
      <c r="K81" s="12" t="n">
        <v>996</v>
      </c>
      <c r="L81" s="12" t="n">
        <v>2</v>
      </c>
      <c r="M81" s="12" t="n">
        <v>3</v>
      </c>
      <c r="N81" s="12" t="n">
        <v>3</v>
      </c>
    </row>
    <row r="82">
      <c r="A82" s="4" t="inlineStr">
        <is>
          <t>MIMAROPA Region</t>
        </is>
      </c>
      <c r="B82" s="4" t="inlineStr">
        <is>
          <t>Oriental Mindoro</t>
        </is>
      </c>
      <c r="C82" s="11" t="n">
        <v>6</v>
      </c>
      <c r="D82" s="11" t="n">
        <v>0</v>
      </c>
      <c r="E82" s="11" t="n">
        <v>1</v>
      </c>
      <c r="F82" s="11" t="n">
        <v>2</v>
      </c>
      <c r="G82" s="11" t="n">
        <v>0</v>
      </c>
      <c r="H82" s="11" t="n">
        <v>3</v>
      </c>
      <c r="I82" s="12" t="n">
        <v>5980</v>
      </c>
      <c r="J82" s="12" t="n">
        <v>1533</v>
      </c>
      <c r="K82" s="12" t="n">
        <v>460</v>
      </c>
      <c r="L82" s="12" t="n">
        <v>1</v>
      </c>
      <c r="M82" s="12" t="n">
        <v>3</v>
      </c>
      <c r="N82" s="12" t="n">
        <v>3</v>
      </c>
    </row>
    <row r="83">
      <c r="A83" s="4" t="inlineStr">
        <is>
          <t>Region XII (SOCCSKSARGEN)</t>
        </is>
      </c>
      <c r="B83" s="4" t="inlineStr">
        <is>
          <t>Sultan Kudarat</t>
        </is>
      </c>
      <c r="C83" s="11" t="n">
        <v>6</v>
      </c>
      <c r="D83" s="11" t="n">
        <v>0</v>
      </c>
      <c r="E83" s="11" t="n">
        <v>0</v>
      </c>
      <c r="F83" s="11" t="n">
        <v>0</v>
      </c>
      <c r="G83" s="11" t="n">
        <v>5</v>
      </c>
      <c r="H83" s="11" t="n">
        <v>1</v>
      </c>
      <c r="I83" s="12" t="n">
        <v>12993</v>
      </c>
      <c r="J83" s="12" t="n">
        <v>3419</v>
      </c>
      <c r="K83" s="12" t="n">
        <v>1024</v>
      </c>
      <c r="L83" s="12" t="n">
        <v>0</v>
      </c>
      <c r="M83" s="12" t="n">
        <v>6</v>
      </c>
      <c r="N83" s="12" t="n">
        <v>0</v>
      </c>
    </row>
    <row r="84">
      <c r="A84" s="4" t="inlineStr">
        <is>
          <t>XII</t>
        </is>
      </c>
      <c r="B84" s="4" t="inlineStr">
        <is>
          <t>South Cotabato</t>
        </is>
      </c>
      <c r="C84" s="11" t="n">
        <v>6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6</v>
      </c>
      <c r="I84" s="12" t="n">
        <v>14159</v>
      </c>
      <c r="J84" s="12" t="n">
        <v>3934</v>
      </c>
      <c r="K84" s="12" t="n">
        <v>1181</v>
      </c>
      <c r="L84" s="12" t="n">
        <v>0</v>
      </c>
      <c r="M84" s="12" t="n">
        <v>1</v>
      </c>
      <c r="N84" s="12" t="n">
        <v>5</v>
      </c>
    </row>
    <row r="85">
      <c r="A85" s="4" t="inlineStr">
        <is>
          <t>BARMM (LaMa+SGA)</t>
        </is>
      </c>
      <c r="B85" s="4" t="inlineStr">
        <is>
          <t>North Cotabato</t>
        </is>
      </c>
      <c r="C85" s="11" t="n">
        <v>5</v>
      </c>
      <c r="D85" s="11" t="n">
        <v>0</v>
      </c>
      <c r="E85" s="11" t="n">
        <v>1</v>
      </c>
      <c r="F85" s="11" t="n">
        <v>0</v>
      </c>
      <c r="G85" s="11" t="n">
        <v>4</v>
      </c>
      <c r="H85" s="11" t="n">
        <v>0</v>
      </c>
      <c r="I85" s="12" t="n">
        <v>12506</v>
      </c>
      <c r="J85" s="12" t="n">
        <v>3289</v>
      </c>
      <c r="K85" s="12" t="n">
        <v>987</v>
      </c>
      <c r="L85" s="12" t="n">
        <v>1</v>
      </c>
      <c r="M85" s="12" t="n">
        <v>5</v>
      </c>
      <c r="N85" s="12" t="n">
        <v>0</v>
      </c>
    </row>
    <row r="86">
      <c r="A86" s="4" t="inlineStr">
        <is>
          <t>MIMAROPA Region</t>
        </is>
      </c>
      <c r="B86" s="4" t="inlineStr">
        <is>
          <t>Occidental Mindoro</t>
        </is>
      </c>
      <c r="C86" s="11" t="n">
        <v>5</v>
      </c>
      <c r="D86" s="11" t="n">
        <v>0</v>
      </c>
      <c r="E86" s="11" t="n">
        <v>1</v>
      </c>
      <c r="F86" s="11" t="n">
        <v>0</v>
      </c>
      <c r="G86" s="11" t="n">
        <v>3</v>
      </c>
      <c r="H86" s="11" t="n">
        <v>1</v>
      </c>
      <c r="I86" s="12" t="n">
        <v>10555</v>
      </c>
      <c r="J86" s="12" t="n">
        <v>2707</v>
      </c>
      <c r="K86" s="12" t="n">
        <v>813</v>
      </c>
      <c r="L86" s="12" t="n">
        <v>1</v>
      </c>
      <c r="M86" s="12" t="n">
        <v>5</v>
      </c>
      <c r="N86" s="12" t="n">
        <v>0</v>
      </c>
    </row>
    <row r="87">
      <c r="A87" s="4" t="inlineStr">
        <is>
          <t>Region XIII (Caraga)</t>
        </is>
      </c>
      <c r="B87" s="4" t="inlineStr">
        <is>
          <t>Dinagat Islands</t>
        </is>
      </c>
      <c r="C87" s="11" t="n">
        <v>5</v>
      </c>
      <c r="D87" s="11" t="n">
        <v>0</v>
      </c>
      <c r="E87" s="11" t="n">
        <v>0</v>
      </c>
      <c r="F87" s="11" t="n">
        <v>1</v>
      </c>
      <c r="G87" s="11" t="n">
        <v>2</v>
      </c>
      <c r="H87" s="11" t="n">
        <v>2</v>
      </c>
      <c r="I87" s="12" t="n">
        <v>4549</v>
      </c>
      <c r="J87" s="12" t="n">
        <v>1197</v>
      </c>
      <c r="K87" s="12" t="n">
        <v>358</v>
      </c>
      <c r="L87" s="12" t="n">
        <v>0</v>
      </c>
      <c r="M87" s="12" t="n">
        <v>5</v>
      </c>
      <c r="N87" s="12" t="n">
        <v>0</v>
      </c>
    </row>
    <row r="88">
      <c r="A88" s="4" t="inlineStr">
        <is>
          <t>Region III (Central Luzon)</t>
        </is>
      </c>
      <c r="B88" s="4" t="inlineStr">
        <is>
          <t>Zambales</t>
        </is>
      </c>
      <c r="C88" s="11" t="n">
        <v>4</v>
      </c>
      <c r="D88" s="11" t="n">
        <v>4</v>
      </c>
      <c r="E88" s="11" t="n">
        <v>0</v>
      </c>
      <c r="F88" s="11" t="n">
        <v>0</v>
      </c>
      <c r="G88" s="11" t="n">
        <v>0</v>
      </c>
      <c r="H88" s="11" t="n">
        <v>0</v>
      </c>
      <c r="I88" s="12" t="n">
        <v>14651</v>
      </c>
      <c r="J88" s="12" t="n">
        <v>3856</v>
      </c>
      <c r="K88" s="12" t="n">
        <v>1157</v>
      </c>
      <c r="L88" s="12" t="n">
        <v>4</v>
      </c>
      <c r="M88" s="12" t="n">
        <v>2</v>
      </c>
      <c r="N88" s="12" t="n">
        <v>2</v>
      </c>
    </row>
    <row r="89">
      <c r="A89" s="4" t="inlineStr">
        <is>
          <t>Region XIII (Caraga)</t>
        </is>
      </c>
      <c r="B89" s="4" t="inlineStr">
        <is>
          <t>Surigao del Norte</t>
        </is>
      </c>
      <c r="C89" s="11" t="n">
        <v>4</v>
      </c>
      <c r="D89" s="11" t="n">
        <v>0</v>
      </c>
      <c r="E89" s="11" t="n">
        <v>1</v>
      </c>
      <c r="F89" s="11" t="n">
        <v>1</v>
      </c>
      <c r="G89" s="11" t="n">
        <v>0</v>
      </c>
      <c r="H89" s="11" t="n">
        <v>2</v>
      </c>
      <c r="I89" s="12" t="n">
        <v>2765</v>
      </c>
      <c r="J89" s="12" t="n">
        <v>675</v>
      </c>
      <c r="K89" s="12" t="n">
        <v>203</v>
      </c>
      <c r="L89" s="12" t="n">
        <v>1</v>
      </c>
      <c r="M89" s="12" t="n">
        <v>3</v>
      </c>
      <c r="N89" s="12" t="n">
        <v>1</v>
      </c>
    </row>
    <row r="90">
      <c r="A90" s="4" t="inlineStr">
        <is>
          <t>Region IX (Zamboanga Peninsula)</t>
        </is>
      </c>
      <c r="B90" s="4" t="inlineStr">
        <is>
          <t>Zamboanga Sibugay</t>
        </is>
      </c>
      <c r="C90" s="11" t="n">
        <v>4</v>
      </c>
      <c r="D90" s="11" t="n">
        <v>0</v>
      </c>
      <c r="E90" s="11" t="n">
        <v>2</v>
      </c>
      <c r="F90" s="11" t="n">
        <v>0</v>
      </c>
      <c r="G90" s="11" t="n">
        <v>1</v>
      </c>
      <c r="H90" s="11" t="n">
        <v>1</v>
      </c>
      <c r="I90" s="12" t="n">
        <v>4697</v>
      </c>
      <c r="J90" s="12" t="n">
        <v>1118</v>
      </c>
      <c r="K90" s="12" t="n">
        <v>336</v>
      </c>
      <c r="L90" s="12" t="n">
        <v>2</v>
      </c>
      <c r="M90" s="12" t="n">
        <v>4</v>
      </c>
      <c r="N90" s="12" t="n">
        <v>0</v>
      </c>
    </row>
    <row r="91">
      <c r="A91" s="4" t="inlineStr">
        <is>
          <t>Region III (Central Luzon)</t>
        </is>
      </c>
      <c r="B91" s="4" t="inlineStr">
        <is>
          <t>Tarlac</t>
        </is>
      </c>
      <c r="C91" s="11" t="n">
        <v>4</v>
      </c>
      <c r="D91" s="11" t="n">
        <v>0</v>
      </c>
      <c r="E91" s="11" t="n">
        <v>0</v>
      </c>
      <c r="F91" s="11" t="n">
        <v>1</v>
      </c>
      <c r="G91" s="11" t="n">
        <v>3</v>
      </c>
      <c r="H91" s="11" t="n">
        <v>0</v>
      </c>
      <c r="I91" s="12" t="n">
        <v>14497</v>
      </c>
      <c r="J91" s="12" t="n">
        <v>3717</v>
      </c>
      <c r="K91" s="12" t="n">
        <v>1115</v>
      </c>
      <c r="L91" s="12" t="n">
        <v>0</v>
      </c>
      <c r="M91" s="12" t="n">
        <v>1</v>
      </c>
      <c r="N91" s="12" t="n">
        <v>3</v>
      </c>
    </row>
    <row r="92">
      <c r="A92" s="4" t="inlineStr">
        <is>
          <t>MIMAROPA Region</t>
        </is>
      </c>
      <c r="B92" s="4" t="inlineStr">
        <is>
          <t>Romblon</t>
        </is>
      </c>
      <c r="C92" s="11" t="n">
        <v>4</v>
      </c>
      <c r="D92" s="11" t="n">
        <v>0</v>
      </c>
      <c r="E92" s="11" t="n">
        <v>0</v>
      </c>
      <c r="F92" s="11" t="n">
        <v>0</v>
      </c>
      <c r="G92" s="11" t="n">
        <v>1</v>
      </c>
      <c r="H92" s="11" t="n">
        <v>3</v>
      </c>
      <c r="I92" s="12" t="n">
        <v>4696</v>
      </c>
      <c r="J92" s="12" t="n">
        <v>1270</v>
      </c>
      <c r="K92" s="12" t="n">
        <v>380</v>
      </c>
      <c r="L92" s="12" t="n">
        <v>0</v>
      </c>
      <c r="M92" s="12" t="n">
        <v>4</v>
      </c>
      <c r="N92" s="12" t="n">
        <v>0</v>
      </c>
    </row>
    <row r="93">
      <c r="A93" s="4" t="inlineStr">
        <is>
          <t>XIII</t>
        </is>
      </c>
      <c r="B93" s="4" t="inlineStr">
        <is>
          <t>Surigao Del Norte</t>
        </is>
      </c>
      <c r="C93" s="11" t="n">
        <v>3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3</v>
      </c>
      <c r="I93" s="12" t="n">
        <v>6984</v>
      </c>
      <c r="J93" s="12" t="n">
        <v>1704</v>
      </c>
      <c r="K93" s="12" t="n">
        <v>510</v>
      </c>
      <c r="L93" s="12" t="n">
        <v>0</v>
      </c>
      <c r="M93" s="12" t="n">
        <v>1</v>
      </c>
      <c r="N93" s="12" t="n">
        <v>2</v>
      </c>
    </row>
    <row r="94">
      <c r="A94" s="4" t="inlineStr">
        <is>
          <t>X</t>
        </is>
      </c>
      <c r="B94" s="4" t="inlineStr">
        <is>
          <t>Lanao Del Norte</t>
        </is>
      </c>
      <c r="C94" s="11" t="n">
        <v>1</v>
      </c>
      <c r="D94" s="11" t="n">
        <v>1</v>
      </c>
      <c r="E94" s="11" t="n">
        <v>0</v>
      </c>
      <c r="F94" s="11" t="n">
        <v>0</v>
      </c>
      <c r="G94" s="11" t="n">
        <v>0</v>
      </c>
      <c r="H94" s="11" t="n">
        <v>0</v>
      </c>
      <c r="I94" s="12" t="n">
        <v>2318</v>
      </c>
      <c r="J94" s="12" t="n">
        <v>552</v>
      </c>
      <c r="K94" s="12" t="n">
        <v>166</v>
      </c>
      <c r="L94" s="12" t="n">
        <v>1</v>
      </c>
      <c r="M94" s="12" t="n">
        <v>1</v>
      </c>
      <c r="N94" s="12" t="n">
        <v>0</v>
      </c>
    </row>
    <row r="95">
      <c r="A95" s="4" t="inlineStr">
        <is>
          <t>Region IX (Zamboanga Peninsula)</t>
        </is>
      </c>
      <c r="B95" s="4" t="inlineStr">
        <is>
          <t>City of Isabela (Not a Province)</t>
        </is>
      </c>
      <c r="C95" s="11" t="n">
        <v>1</v>
      </c>
      <c r="D95" s="11" t="n">
        <v>0</v>
      </c>
      <c r="E95" s="11" t="n">
        <v>0</v>
      </c>
      <c r="F95" s="11" t="n">
        <v>1</v>
      </c>
      <c r="G95" s="11" t="n">
        <v>0</v>
      </c>
      <c r="H95" s="11" t="n">
        <v>0</v>
      </c>
      <c r="I95" s="12" t="n">
        <v>1811</v>
      </c>
      <c r="J95" s="12" t="n">
        <v>412</v>
      </c>
      <c r="K95" s="12" t="n">
        <v>124</v>
      </c>
      <c r="L95" s="12" t="n">
        <v>0</v>
      </c>
      <c r="M95" s="12" t="n">
        <v>1</v>
      </c>
      <c r="N95" s="12" t="n">
        <v>0</v>
      </c>
    </row>
    <row r="96">
      <c r="A96" s="4" t="inlineStr">
        <is>
          <t>Region VI (Western Visayas)</t>
        </is>
      </c>
      <c r="B96" s="4" t="inlineStr">
        <is>
          <t>Guimaras</t>
        </is>
      </c>
      <c r="C96" s="11" t="n">
        <v>1</v>
      </c>
      <c r="D96" s="11" t="n">
        <v>0</v>
      </c>
      <c r="E96" s="11" t="n">
        <v>0</v>
      </c>
      <c r="F96" s="11" t="n">
        <v>0</v>
      </c>
      <c r="G96" s="11" t="n">
        <v>1</v>
      </c>
      <c r="H96" s="11" t="n">
        <v>0</v>
      </c>
      <c r="I96" s="12" t="n">
        <v>1929</v>
      </c>
      <c r="J96" s="12" t="n">
        <v>508</v>
      </c>
      <c r="K96" s="12" t="n">
        <v>152</v>
      </c>
      <c r="L96" s="12" t="n">
        <v>0</v>
      </c>
      <c r="M96" s="12" t="n">
        <v>1</v>
      </c>
      <c r="N96" s="12" t="n">
        <v>0</v>
      </c>
    </row>
    <row r="97">
      <c r="A97" s="4" t="inlineStr">
        <is>
          <t>Region X (Northern Mindanao)</t>
        </is>
      </c>
      <c r="B97" s="4" t="inlineStr">
        <is>
          <t>Camiguin</t>
        </is>
      </c>
      <c r="C97" s="11" t="n">
        <v>1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1</v>
      </c>
      <c r="I97" s="12" t="n">
        <v>896</v>
      </c>
      <c r="J97" s="12" t="n">
        <v>230</v>
      </c>
      <c r="K97" s="12" t="n">
        <v>69</v>
      </c>
      <c r="L97" s="12" t="n">
        <v>0</v>
      </c>
      <c r="M97" s="12" t="n">
        <v>1</v>
      </c>
      <c r="N97" s="12" t="n">
        <v>0</v>
      </c>
    </row>
    <row r="98">
      <c r="A98" s="4" t="inlineStr">
        <is>
          <t>Region VII (Central Visayas)</t>
        </is>
      </c>
      <c r="B98" s="4" t="inlineStr">
        <is>
          <t>Siquijor</t>
        </is>
      </c>
      <c r="C98" s="11" t="n">
        <v>1</v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1</v>
      </c>
      <c r="I98" s="12" t="n">
        <v>217</v>
      </c>
      <c r="J98" s="12" t="n">
        <v>56</v>
      </c>
      <c r="K98" s="12" t="n">
        <v>17</v>
      </c>
      <c r="L98" s="12" t="n">
        <v>0</v>
      </c>
      <c r="M98" s="12" t="n">
        <v>1</v>
      </c>
      <c r="N98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2026-09-25T02:06:15Z</dcterms:created>
  <dcterms:modified xsi:type="dcterms:W3CDTF">2026-09-25T02:38:17Z</dcterms:modified>
  <cp:lastModifiedBy>OLIVER TUNGOL</cp:lastModifiedBy>
</cp:coreProperties>
</file>